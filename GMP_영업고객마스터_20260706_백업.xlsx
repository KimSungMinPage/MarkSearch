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영업대시보드" sheetId="2" state="visible" r:id="rId2"/>
    <sheet xmlns:r="http://schemas.openxmlformats.org/officeDocument/2006/relationships" name="02_영업통합마스터" sheetId="3" state="visible" r:id="rId3"/>
    <sheet xmlns:r="http://schemas.openxmlformats.org/officeDocument/2006/relationships" name="03_회사별요약" sheetId="4" state="visible" r:id="rId4"/>
    <sheet xmlns:r="http://schemas.openxmlformats.org/officeDocument/2006/relationships" name="04_지역별현황" sheetId="5" state="visible" r:id="rId5"/>
    <sheet xmlns:r="http://schemas.openxmlformats.org/officeDocument/2006/relationships" name="05_SITE_정제" sheetId="6" state="visible" r:id="rId6"/>
    <sheet xmlns:r="http://schemas.openxmlformats.org/officeDocument/2006/relationships" name="06_COMPANY_보강" sheetId="7" state="visible" r:id="rId7"/>
    <sheet xmlns:r="http://schemas.openxmlformats.org/officeDocument/2006/relationships" name="07_기업정보출처" sheetId="8" state="visible" r:id="rId8"/>
    <sheet xmlns:r="http://schemas.openxmlformats.org/officeDocument/2006/relationships" name="08_매칭검토" sheetId="9" state="visible" r:id="rId9"/>
    <sheet xmlns:r="http://schemas.openxmlformats.org/officeDocument/2006/relationships" name="09_데이터누락" sheetId="10" state="visible" r:id="rId10"/>
    <sheet xmlns:r="http://schemas.openxmlformats.org/officeDocument/2006/relationships" name="90_SITE_원본" sheetId="11" state="visible" r:id="rId11"/>
    <sheet xmlns:r="http://schemas.openxmlformats.org/officeDocument/2006/relationships" name="91_COMPANY_원본" sheetId="12" state="visible" r:id="rId12"/>
    <sheet xmlns:r="http://schemas.openxmlformats.org/officeDocument/2006/relationships" name="92_제조소상세_원본" sheetId="13" state="visible" r:id="rId13"/>
  </sheets>
  <definedNames>
    <definedName name="_xlnm._FilterDatabase" localSheetId="2" hidden="1">'02_영업통합마스터'!$A$1:$AV$505</definedName>
    <definedName name="_xlnm._FilterDatabase" localSheetId="3" hidden="1">'03_회사별요약'!$A$1:$T$410</definedName>
    <definedName name="_xlnm._FilterDatabase" localSheetId="5" hidden="1">'05_SITE_정제'!$A$1:$AA$573</definedName>
    <definedName name="_xlnm._FilterDatabase" localSheetId="6" hidden="1">'06_COMPANY_보강'!$A$1:$AW$410</definedName>
    <definedName name="_xlnm._FilterDatabase" localSheetId="7" hidden="1">'07_기업정보출처'!$A$1:$M$540</definedName>
    <definedName name="_xlnm._FilterDatabase" localSheetId="8" hidden="1">'08_매칭검토'!$A$1:$P$35</definedName>
    <definedName name="_xlnm._FilterDatabase" localSheetId="9" hidden="1">'09_데이터누락'!$A$1:$L$2550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YYYY-MM-DD"/>
    <numFmt numFmtId="167" formatCode="0.0%"/>
  </numFmts>
  <fonts count="7">
    <font>
      <name val="Calibri"/>
      <family val="2"/>
      <color theme="1"/>
      <sz val="11"/>
      <scheme val="minor"/>
    </font>
    <font>
      <name val="Malgun Gothic"/>
      <b val="1"/>
      <sz val="10"/>
    </font>
    <font>
      <name val="Malgun Gothic"/>
      <sz val="10"/>
    </font>
    <font>
      <name val="Malgun Gothic"/>
      <b val="1"/>
      <sz val="12"/>
    </font>
    <font>
      <name val="Malgun Gothic"/>
      <b val="1"/>
      <sz val="13"/>
    </font>
    <font>
      <name val="Malgun Gothic"/>
      <b val="1"/>
      <sz val="16"/>
    </font>
    <font>
      <name val="Malgun Gothic"/>
      <b val="1"/>
      <sz val="11"/>
    </font>
  </fonts>
  <fills count="14">
    <fill>
      <patternFill/>
    </fill>
    <fill>
      <patternFill patternType="gray125"/>
    </fill>
    <fill>
      <patternFill patternType="solid">
        <fgColor rgb="00DCE9EF"/>
      </patternFill>
    </fill>
    <fill>
      <patternFill patternType="solid">
        <fgColor rgb="00F5D6B8"/>
      </patternFill>
    </fill>
    <fill>
      <patternFill patternType="solid">
        <fgColor rgb="00E2E2E2"/>
      </patternFill>
    </fill>
    <fill>
      <patternFill patternType="solid">
        <fgColor rgb="00FFFFFF"/>
      </patternFill>
    </fill>
    <fill>
      <patternFill patternType="solid">
        <fgColor rgb="00D2E4F0"/>
      </patternFill>
    </fill>
    <fill>
      <patternFill patternType="solid">
        <fgColor rgb="00E8983E"/>
      </patternFill>
    </fill>
    <fill>
      <patternFill patternType="solid">
        <fgColor rgb="00FFF2CC"/>
      </patternFill>
    </fill>
    <fill>
      <patternFill patternType="solid">
        <fgColor rgb="00D6ECD3"/>
      </patternFill>
    </fill>
    <fill>
      <patternFill patternType="solid">
        <fgColor rgb="00F4C7C3"/>
      </patternFill>
    </fill>
    <fill>
      <patternFill patternType="solid">
        <fgColor rgb="00F5E09A"/>
      </patternFill>
    </fill>
    <fill>
      <patternFill patternType="solid">
        <fgColor rgb="00CFE2F3"/>
      </patternFill>
    </fill>
    <fill>
      <patternFill patternType="solid">
        <fgColor rgb="00E6D5F0"/>
      </patternFill>
    </fill>
  </fills>
  <borders count="2">
    <border>
      <left/>
      <right/>
      <top/>
      <bottom/>
      <diagonal/>
    </border>
    <border>
      <left style="thin">
        <color rgb="00C0CBD1"/>
      </left>
      <right style="thin">
        <color rgb="00C0CBD1"/>
      </right>
      <top style="thin">
        <color rgb="00C0CBD1"/>
      </top>
      <bottom style="thin">
        <color rgb="00C0CBD1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7" borderId="0" pivotButton="0" quotePrefix="0" xfId="0"/>
    <xf numFmtId="0" fontId="0" fillId="11" borderId="0" pivotButton="0" quotePrefix="0" xfId="0"/>
    <xf numFmtId="0" fontId="0" fillId="6" borderId="0" pivotButton="0" quotePrefix="0" xfId="0"/>
    <xf numFmtId="0" fontId="0" fillId="9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0" borderId="0" pivotButton="0" quotePrefix="0" xfId="0"/>
    <xf numFmtId="0" fontId="0" fillId="8" borderId="0" pivotButton="0" quotePrefix="0" xfId="0"/>
    <xf numFmtId="0" fontId="0" fillId="4" borderId="0" pivotButton="0" quotePrefix="0" xfId="0"/>
    <xf numFmtId="0" fontId="6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7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8" borderId="1" pivotButton="0" quotePrefix="0" xfId="0"/>
    <xf numFmtId="0" fontId="2" fillId="9" borderId="1" pivotButton="0" quotePrefix="0" xfId="0"/>
    <xf numFmtId="0" fontId="2" fillId="4" borderId="1" pivotButton="0" quotePrefix="0" xfId="0"/>
    <xf numFmtId="49" fontId="2" fillId="0" borderId="1" pivotButton="0" quotePrefix="0" xfId="0"/>
    <xf numFmtId="166" fontId="2" fillId="0" borderId="1" pivotButton="0" quotePrefix="0" xfId="0"/>
    <xf numFmtId="0" fontId="2" fillId="10" borderId="1" pivotButton="0" quotePrefix="0" xfId="0"/>
    <xf numFmtId="0" fontId="2" fillId="11" borderId="1" pivotButton="0" quotePrefix="0" xfId="0"/>
    <xf numFmtId="0" fontId="2" fillId="6" borderId="1" pivotButton="0" quotePrefix="0" xfId="0"/>
    <xf numFmtId="0" fontId="2" fillId="5" borderId="1" pivotButton="0" quotePrefix="0" xfId="0"/>
    <xf numFmtId="167" fontId="2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0" customWidth="1" min="4" max="4"/>
    <col width="10" customWidth="1" min="5" max="5"/>
  </cols>
  <sheetData>
    <row r="1">
      <c r="A1" s="1" t="inlineStr">
        <is>
          <t>GMP 영업고객마스터</t>
        </is>
      </c>
    </row>
    <row r="2">
      <c r="A2" s="2" t="inlineStr">
        <is>
          <t>작성일: 2026-07-06  |  원본 GMP 기준일: 2026-07-05  |  기업정보 최종확인일: 2026-07-06</t>
        </is>
      </c>
    </row>
    <row r="3">
      <c r="A3" s="2" t="inlineStr"/>
    </row>
    <row r="4">
      <c r="A4" s="3" t="inlineStr">
        <is>
          <t>■ 핵심 요약</t>
        </is>
      </c>
    </row>
    <row r="5">
      <c r="A5" s="2" t="inlineStr">
        <is>
          <t>전체 회사 409곳 · 물리 제조소 504곳 · GMP 적합판정서 572건</t>
        </is>
      </c>
    </row>
    <row r="6">
      <c r="A6" s="2" t="inlineStr">
        <is>
          <t>잠정Tier(확보데이터 기반): A 40 · B 85 · C 139 · D 145</t>
        </is>
      </c>
    </row>
    <row r="7">
      <c r="A7" s="2" t="inlineStr">
        <is>
          <t>규격Tier(§18, 매출·FDA·CMO·신공장 미확인으로 대부분 D): A 0 · B 0 · C 7 · D 402 — 웹조사 보강 시 재계산 필요</t>
        </is>
      </c>
    </row>
    <row r="8">
      <c r="A8" s="2" t="inlineStr">
        <is>
          <t>대표전화 확보 314곳 · 상장사 매칭 115곳 · 공장주소 확인 504/504</t>
        </is>
      </c>
    </row>
    <row r="9">
      <c r="A9" s="2" t="inlineStr">
        <is>
          <t>수출·FDA·EMA·CMO·CDMO·신공장·매출·종업원 = 전 회사 미확인 (웹조사 자동화 세션한도로 미수행, 09_데이터누락 참조)</t>
        </is>
      </c>
    </row>
    <row r="10">
      <c r="A10" s="2" t="inlineStr"/>
    </row>
    <row r="11">
      <c r="A11" s="3" t="inlineStr">
        <is>
          <t>■ 데이터 출처</t>
        </is>
      </c>
    </row>
    <row r="12">
      <c r="A12" s="2" t="inlineStr">
        <is>
          <t>· GMP 적합판정: 식약처 의약품안전나라 CCBBD01 (nedrug.mfds.go.kr/pbp/CCBBD01) 전량 수집</t>
        </is>
      </c>
    </row>
    <row r="13">
      <c r="A13" s="2" t="inlineStr">
        <is>
          <t>· 대표전화·업체허가번호·공장명: 식약처 의약품 등 업체허가현황 제조소상세 (data.go.kr 15095682)</t>
        </is>
      </c>
    </row>
    <row r="14">
      <c r="A14" s="2" t="inlineStr">
        <is>
          <t>· 상장·종목코드·홈페이지·대표자·업종: 한국거래소 KIND 상장법인목록 (kind.krx.co.kr)</t>
        </is>
      </c>
    </row>
    <row r="15">
      <c r="A15" s="2" t="inlineStr"/>
    </row>
    <row r="16">
      <c r="A16" s="3" t="inlineStr">
        <is>
          <t>■ 색상 범례</t>
        </is>
      </c>
    </row>
    <row r="17">
      <c r="A17" s="2" t="inlineStr">
        <is>
          <t>Tier A</t>
        </is>
      </c>
      <c r="B17" s="4" t="inlineStr">
        <is>
          <t xml:space="preserve"> </t>
        </is>
      </c>
    </row>
    <row r="18">
      <c r="A18" s="2" t="inlineStr">
        <is>
          <t>Tier B</t>
        </is>
      </c>
      <c r="B18" s="5" t="inlineStr">
        <is>
          <t xml:space="preserve"> </t>
        </is>
      </c>
    </row>
    <row r="19">
      <c r="A19" s="2" t="inlineStr">
        <is>
          <t>Tier C</t>
        </is>
      </c>
      <c r="B19" s="6" t="inlineStr">
        <is>
          <t xml:space="preserve"> </t>
        </is>
      </c>
    </row>
    <row r="20">
      <c r="A20" s="2" t="inlineStr">
        <is>
          <t>신공장/바이오</t>
        </is>
      </c>
      <c r="B20" s="7" t="inlineStr">
        <is>
          <t xml:space="preserve"> </t>
        </is>
      </c>
    </row>
    <row r="21">
      <c r="A21" s="2" t="inlineStr">
        <is>
          <t>FDA·EMA</t>
        </is>
      </c>
      <c r="B21" s="8" t="inlineStr">
        <is>
          <t xml:space="preserve"> </t>
        </is>
      </c>
    </row>
    <row r="22">
      <c r="A22" s="2" t="inlineStr">
        <is>
          <t>CMO·CDMO</t>
        </is>
      </c>
      <c r="B22" s="9" t="inlineStr">
        <is>
          <t xml:space="preserve"> </t>
        </is>
      </c>
    </row>
    <row r="23">
      <c r="A23" s="2" t="inlineStr">
        <is>
          <t>갱신임박6개월</t>
        </is>
      </c>
      <c r="B23" s="10" t="inlineStr">
        <is>
          <t xml:space="preserve"> </t>
        </is>
      </c>
    </row>
    <row r="24">
      <c r="A24" s="2" t="inlineStr">
        <is>
          <t>무균</t>
        </is>
      </c>
      <c r="B24" s="11" t="inlineStr">
        <is>
          <t xml:space="preserve"> </t>
        </is>
      </c>
    </row>
    <row r="25">
      <c r="A25" s="2" t="inlineStr">
        <is>
          <t>미확인</t>
        </is>
      </c>
      <c r="B25" s="12" t="inlineStr">
        <is>
          <t xml:space="preserve"> </t>
        </is>
      </c>
    </row>
    <row r="26">
      <c r="A26" s="2" t="inlineStr"/>
    </row>
    <row r="27">
      <c r="A27" s="3" t="inlineStr">
        <is>
          <t>■ 시트 안내</t>
        </is>
      </c>
    </row>
    <row r="28">
      <c r="A28" s="2" t="inlineStr">
        <is>
          <t>· 01_영업대시보드 — 핵심지표·지역상위·추천솔루션 분포</t>
        </is>
      </c>
    </row>
    <row r="29">
      <c r="A29" s="2" t="inlineStr">
        <is>
          <t>· 02_영업통합마스터 — 물리 제조소 1행(504행), 영업 메인</t>
        </is>
      </c>
    </row>
    <row r="30">
      <c r="A30" s="2" t="inlineStr">
        <is>
          <t>· 03_회사별요약 — 회사 단위 정렬표</t>
        </is>
      </c>
    </row>
    <row r="31">
      <c r="A31" s="2" t="inlineStr">
        <is>
          <t>· 04_지역별현황 — 시도·시군구별 제조소</t>
        </is>
      </c>
    </row>
    <row r="32">
      <c r="A32" s="2" t="inlineStr">
        <is>
          <t>· 05_SITE_정제 — 판정서 단위(572행)</t>
        </is>
      </c>
    </row>
    <row r="33">
      <c r="A33" s="2" t="inlineStr">
        <is>
          <t>· 06_COMPANY_보강 — 회사 단위 상세(주황=조사대상)</t>
        </is>
      </c>
    </row>
    <row r="34">
      <c r="A34" s="2" t="inlineStr">
        <is>
          <t>· 07_기업정보출처 — 외부정보 출처 로그</t>
        </is>
      </c>
    </row>
    <row r="35">
      <c r="A35" s="2" t="inlineStr">
        <is>
          <t>· 08_매칭검토 — 신뢰도&lt;80 검토</t>
        </is>
      </c>
    </row>
    <row r="36">
      <c r="A36" s="2" t="inlineStr">
        <is>
          <t>· 09_데이터누락 — 미확인 항목·권장조사</t>
        </is>
      </c>
    </row>
    <row r="37">
      <c r="A37" s="2" t="inlineStr">
        <is>
          <t>· 90~92 원본 보존</t>
        </is>
      </c>
    </row>
    <row r="38">
      <c r="A38" s="2" t="inlineStr"/>
    </row>
    <row r="39">
      <c r="A39" s="13" t="inlineStr">
        <is>
          <t>[광역지역별 물리 제조소 상위 20]</t>
        </is>
      </c>
    </row>
    <row r="40">
      <c r="A40" s="14" t="inlineStr">
        <is>
          <t>순위</t>
        </is>
      </c>
      <c r="B40" s="14" t="inlineStr">
        <is>
          <t>시도</t>
        </is>
      </c>
      <c r="C40" s="14" t="inlineStr">
        <is>
          <t>제조소 수</t>
        </is>
      </c>
      <c r="D40" s="14" t="inlineStr">
        <is>
          <t>회사 수</t>
        </is>
      </c>
      <c r="E40" s="14" t="inlineStr">
        <is>
          <t>비율</t>
        </is>
      </c>
    </row>
    <row r="41">
      <c r="A41" s="2" t="n">
        <v>1</v>
      </c>
      <c r="B41" s="2" t="inlineStr">
        <is>
          <t>경기도</t>
        </is>
      </c>
      <c r="C41" s="2" t="n">
        <v>175</v>
      </c>
      <c r="D41" s="2" t="n">
        <v>159</v>
      </c>
      <c r="E41" s="2" t="inlineStr">
        <is>
          <t>34.7%</t>
        </is>
      </c>
    </row>
    <row r="42">
      <c r="A42" s="2" t="n">
        <v>2</v>
      </c>
      <c r="B42" s="2" t="inlineStr">
        <is>
          <t>충청북도</t>
        </is>
      </c>
      <c r="C42" s="2" t="n">
        <v>100</v>
      </c>
      <c r="D42" s="2" t="n">
        <v>86</v>
      </c>
      <c r="E42" s="2" t="inlineStr">
        <is>
          <t>19.8%</t>
        </is>
      </c>
    </row>
    <row r="43">
      <c r="A43" s="2" t="n">
        <v>3</v>
      </c>
      <c r="B43" s="2" t="inlineStr">
        <is>
          <t>충청남도</t>
        </is>
      </c>
      <c r="C43" s="2" t="n">
        <v>42</v>
      </c>
      <c r="D43" s="2" t="n">
        <v>37</v>
      </c>
      <c r="E43" s="2" t="inlineStr">
        <is>
          <t>8.3%</t>
        </is>
      </c>
    </row>
    <row r="44">
      <c r="A44" s="2" t="n">
        <v>4</v>
      </c>
      <c r="B44" s="2" t="inlineStr">
        <is>
          <t>강원특별자치도</t>
        </is>
      </c>
      <c r="C44" s="2" t="n">
        <v>22</v>
      </c>
      <c r="D44" s="2" t="n">
        <v>21</v>
      </c>
      <c r="E44" s="2" t="inlineStr">
        <is>
          <t>4.4%</t>
        </is>
      </c>
    </row>
    <row r="45">
      <c r="A45" s="2" t="n">
        <v>5</v>
      </c>
      <c r="B45" s="2" t="inlineStr">
        <is>
          <t>서울특별시</t>
        </is>
      </c>
      <c r="C45" s="2" t="n">
        <v>20</v>
      </c>
      <c r="D45" s="2" t="n">
        <v>18</v>
      </c>
      <c r="E45" s="2" t="inlineStr">
        <is>
          <t>4.0%</t>
        </is>
      </c>
    </row>
    <row r="46">
      <c r="A46" s="2" t="n">
        <v>6</v>
      </c>
      <c r="B46" s="2" t="inlineStr">
        <is>
          <t>전북특별자치도</t>
        </is>
      </c>
      <c r="C46" s="2" t="n">
        <v>19</v>
      </c>
      <c r="D46" s="2" t="n">
        <v>16</v>
      </c>
      <c r="E46" s="2" t="inlineStr">
        <is>
          <t>3.8%</t>
        </is>
      </c>
    </row>
    <row r="47">
      <c r="A47" s="2" t="n">
        <v>7</v>
      </c>
      <c r="B47" s="2" t="inlineStr">
        <is>
          <t>경상남도</t>
        </is>
      </c>
      <c r="C47" s="2" t="n">
        <v>18</v>
      </c>
      <c r="D47" s="2" t="n">
        <v>18</v>
      </c>
      <c r="E47" s="2" t="inlineStr">
        <is>
          <t>3.6%</t>
        </is>
      </c>
    </row>
    <row r="48">
      <c r="A48" s="2" t="n">
        <v>8</v>
      </c>
      <c r="B48" s="2" t="inlineStr">
        <is>
          <t>경상북도</t>
        </is>
      </c>
      <c r="C48" s="2" t="n">
        <v>17</v>
      </c>
      <c r="D48" s="2" t="n">
        <v>16</v>
      </c>
      <c r="E48" s="2" t="inlineStr">
        <is>
          <t>3.4%</t>
        </is>
      </c>
    </row>
    <row r="49">
      <c r="A49" s="2" t="n">
        <v>9</v>
      </c>
      <c r="B49" s="2" t="inlineStr">
        <is>
          <t>인천광역시</t>
        </is>
      </c>
      <c r="C49" s="2" t="n">
        <v>16</v>
      </c>
      <c r="D49" s="2" t="n">
        <v>15</v>
      </c>
      <c r="E49" s="2" t="inlineStr">
        <is>
          <t>3.2%</t>
        </is>
      </c>
    </row>
    <row r="50">
      <c r="A50" s="2" t="n">
        <v>10</v>
      </c>
      <c r="B50" s="2" t="inlineStr">
        <is>
          <t>전라남도</t>
        </is>
      </c>
      <c r="C50" s="2" t="n">
        <v>13</v>
      </c>
      <c r="D50" s="2" t="n">
        <v>13</v>
      </c>
      <c r="E50" s="2" t="inlineStr">
        <is>
          <t>2.6%</t>
        </is>
      </c>
    </row>
    <row r="51">
      <c r="A51" s="2" t="n">
        <v>11</v>
      </c>
      <c r="B51" s="2" t="inlineStr">
        <is>
          <t>세종특별자치시</t>
        </is>
      </c>
      <c r="C51" s="2" t="n">
        <v>12</v>
      </c>
      <c r="D51" s="2" t="n">
        <v>11</v>
      </c>
      <c r="E51" s="2" t="inlineStr">
        <is>
          <t>2.4%</t>
        </is>
      </c>
    </row>
    <row r="52">
      <c r="A52" s="2" t="n">
        <v>12</v>
      </c>
      <c r="B52" s="2" t="inlineStr">
        <is>
          <t>대전광역시</t>
        </is>
      </c>
      <c r="C52" s="2" t="n">
        <v>11</v>
      </c>
      <c r="D52" s="2" t="n">
        <v>11</v>
      </c>
      <c r="E52" s="2" t="inlineStr">
        <is>
          <t>2.2%</t>
        </is>
      </c>
    </row>
    <row r="53">
      <c r="A53" s="2" t="n">
        <v>13</v>
      </c>
      <c r="B53" s="2" t="inlineStr">
        <is>
          <t>부산광역시</t>
        </is>
      </c>
      <c r="C53" s="2" t="n">
        <v>11</v>
      </c>
      <c r="D53" s="2" t="n">
        <v>11</v>
      </c>
      <c r="E53" s="2" t="inlineStr">
        <is>
          <t>2.2%</t>
        </is>
      </c>
    </row>
    <row r="54">
      <c r="A54" s="2" t="n">
        <v>14</v>
      </c>
      <c r="B54" s="2" t="inlineStr">
        <is>
          <t>대구광역시</t>
        </is>
      </c>
      <c r="C54" s="2" t="n">
        <v>9</v>
      </c>
      <c r="D54" s="2" t="n">
        <v>9</v>
      </c>
      <c r="E54" s="2" t="inlineStr">
        <is>
          <t>1.8%</t>
        </is>
      </c>
    </row>
    <row r="55">
      <c r="A55" s="2" t="n">
        <v>15</v>
      </c>
      <c r="B55" s="2" t="inlineStr">
        <is>
          <t>광주광역시</t>
        </is>
      </c>
      <c r="C55" s="2" t="n">
        <v>7</v>
      </c>
      <c r="D55" s="2" t="n">
        <v>7</v>
      </c>
      <c r="E55" s="2" t="inlineStr">
        <is>
          <t>1.4%</t>
        </is>
      </c>
    </row>
    <row r="56">
      <c r="A56" s="2" t="n">
        <v>16</v>
      </c>
      <c r="B56" s="2" t="inlineStr">
        <is>
          <t>울산광역시</t>
        </is>
      </c>
      <c r="C56" s="2" t="n">
        <v>7</v>
      </c>
      <c r="D56" s="2" t="n">
        <v>7</v>
      </c>
      <c r="E56" s="2" t="inlineStr">
        <is>
          <t>1.4%</t>
        </is>
      </c>
    </row>
    <row r="57">
      <c r="A57" s="2" t="n">
        <v>17</v>
      </c>
      <c r="B57" s="2" t="inlineStr">
        <is>
          <t>제주특별자치도</t>
        </is>
      </c>
      <c r="C57" s="2" t="n">
        <v>5</v>
      </c>
      <c r="D57" s="2" t="n">
        <v>5</v>
      </c>
      <c r="E57" s="2" t="inlineStr">
        <is>
          <t>1.0%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0" customWidth="1" min="3" max="3"/>
    <col width="9" customWidth="1" min="4" max="4"/>
    <col width="10" customWidth="1" min="5" max="5"/>
    <col width="6" customWidth="1" min="6" max="6"/>
    <col width="6" customWidth="1" min="7" max="7"/>
    <col width="6" customWidth="1" min="8" max="8"/>
    <col width="14" customWidth="1" min="9" max="9"/>
  </cols>
  <sheetData>
    <row r="1">
      <c r="A1" s="15" t="inlineStr">
        <is>
          <t>■ 영업 대시보드</t>
        </is>
      </c>
      <c r="B1" s="2" t="inlineStr"/>
    </row>
    <row r="2">
      <c r="A2" s="2" t="inlineStr">
        <is>
          <t>기준일(GMP 수집)</t>
        </is>
      </c>
      <c r="B2" s="2" t="inlineStr">
        <is>
          <t>2026-07-05</t>
        </is>
      </c>
    </row>
    <row r="3">
      <c r="A3" s="2" t="inlineStr">
        <is>
          <t>기업정보 최종확인</t>
        </is>
      </c>
      <c r="B3" s="2" t="inlineStr">
        <is>
          <t>2026-07-06</t>
        </is>
      </c>
    </row>
    <row r="4">
      <c r="A4" s="2" t="inlineStr">
        <is>
          <t>전체 회사 수</t>
        </is>
      </c>
      <c r="B4" s="2" t="n">
        <v>409</v>
      </c>
    </row>
    <row r="5">
      <c r="A5" s="2" t="inlineStr">
        <is>
          <t>전체 물리 제조소 수</t>
        </is>
      </c>
      <c r="B5" s="2" t="n">
        <v>504</v>
      </c>
    </row>
    <row r="6">
      <c r="A6" s="2" t="inlineStr">
        <is>
          <t>전체 적합판정서 건수</t>
        </is>
      </c>
      <c r="B6" s="2" t="n">
        <v>572</v>
      </c>
    </row>
    <row r="7">
      <c r="A7" s="2" t="inlineStr">
        <is>
          <t>잠정 Tier A 회사 수</t>
        </is>
      </c>
      <c r="B7" s="2" t="n">
        <v>40</v>
      </c>
    </row>
    <row r="8">
      <c r="A8" s="2" t="inlineStr">
        <is>
          <t>잠정 Tier B 회사 수</t>
        </is>
      </c>
      <c r="B8" s="2" t="n">
        <v>85</v>
      </c>
    </row>
    <row r="9">
      <c r="A9" s="2" t="inlineStr">
        <is>
          <t>잠정 Tier C 회사 수</t>
        </is>
      </c>
      <c r="B9" s="2" t="n">
        <v>139</v>
      </c>
    </row>
    <row r="10">
      <c r="A10" s="2" t="inlineStr">
        <is>
          <t>잠정 Tier D 회사 수</t>
        </is>
      </c>
      <c r="B10" s="2" t="n">
        <v>145</v>
      </c>
    </row>
    <row r="11">
      <c r="A11" s="2" t="inlineStr">
        <is>
          <t>갱신 임박(6개월) 제조소</t>
        </is>
      </c>
      <c r="B11" s="2" t="n">
        <v>57</v>
      </c>
    </row>
    <row r="12">
      <c r="A12" s="2" t="inlineStr">
        <is>
          <t>무균 제형 제조소</t>
        </is>
      </c>
      <c r="B12" s="2" t="n">
        <v>146</v>
      </c>
    </row>
    <row r="13">
      <c r="A13" s="2" t="inlineStr">
        <is>
          <t>바이오 제형 제조소</t>
        </is>
      </c>
      <c r="B13" s="2" t="n">
        <v>38</v>
      </c>
    </row>
    <row r="14">
      <c r="A14" s="2" t="inlineStr">
        <is>
          <t>상장사 매칭 수</t>
        </is>
      </c>
      <c r="B14" s="2" t="n">
        <v>115</v>
      </c>
    </row>
    <row r="15">
      <c r="A15" s="2" t="inlineStr">
        <is>
          <t>대표전화 확보 회사</t>
        </is>
      </c>
      <c r="B15" s="2" t="n">
        <v>314</v>
      </c>
    </row>
    <row r="16">
      <c r="A16" s="2" t="inlineStr">
        <is>
          <t>수출/FDA/CMO/신공장</t>
        </is>
      </c>
      <c r="B16" s="2" t="inlineStr">
        <is>
          <t>전 회사 미확인 → 웹조사 필요(누락시트 참조)</t>
        </is>
      </c>
    </row>
    <row r="18">
      <c r="A18" s="3" t="inlineStr">
        <is>
          <t>[지역별 물리 제조소 상위 15]</t>
        </is>
      </c>
    </row>
    <row r="19">
      <c r="A19" s="14" t="inlineStr">
        <is>
          <t>시도</t>
        </is>
      </c>
      <c r="B19" s="14" t="inlineStr">
        <is>
          <t>제조소 수</t>
        </is>
      </c>
      <c r="C19" s="14" t="inlineStr">
        <is>
          <t>회사 수</t>
        </is>
      </c>
    </row>
    <row r="20">
      <c r="A20" s="2" t="inlineStr">
        <is>
          <t>경기도</t>
        </is>
      </c>
      <c r="B20" s="2" t="n">
        <v>175</v>
      </c>
      <c r="C20" s="2" t="n">
        <v>159</v>
      </c>
    </row>
    <row r="21">
      <c r="A21" s="2" t="inlineStr">
        <is>
          <t>충청북도</t>
        </is>
      </c>
      <c r="B21" s="2" t="n">
        <v>100</v>
      </c>
      <c r="C21" s="2" t="n">
        <v>86</v>
      </c>
    </row>
    <row r="22">
      <c r="A22" s="2" t="inlineStr">
        <is>
          <t>충청남도</t>
        </is>
      </c>
      <c r="B22" s="2" t="n">
        <v>42</v>
      </c>
      <c r="C22" s="2" t="n">
        <v>37</v>
      </c>
    </row>
    <row r="23">
      <c r="A23" s="2" t="inlineStr">
        <is>
          <t>강원특별자치도</t>
        </is>
      </c>
      <c r="B23" s="2" t="n">
        <v>22</v>
      </c>
      <c r="C23" s="2" t="n">
        <v>21</v>
      </c>
    </row>
    <row r="24">
      <c r="A24" s="2" t="inlineStr">
        <is>
          <t>서울특별시</t>
        </is>
      </c>
      <c r="B24" s="2" t="n">
        <v>20</v>
      </c>
      <c r="C24" s="2" t="n">
        <v>18</v>
      </c>
    </row>
    <row r="25">
      <c r="A25" s="2" t="inlineStr">
        <is>
          <t>전북특별자치도</t>
        </is>
      </c>
      <c r="B25" s="2" t="n">
        <v>19</v>
      </c>
      <c r="C25" s="2" t="n">
        <v>16</v>
      </c>
    </row>
    <row r="26">
      <c r="A26" s="2" t="inlineStr">
        <is>
          <t>경상남도</t>
        </is>
      </c>
      <c r="B26" s="2" t="n">
        <v>18</v>
      </c>
      <c r="C26" s="2" t="n">
        <v>18</v>
      </c>
    </row>
    <row r="27">
      <c r="A27" s="2" t="inlineStr">
        <is>
          <t>경상북도</t>
        </is>
      </c>
      <c r="B27" s="2" t="n">
        <v>17</v>
      </c>
      <c r="C27" s="2" t="n">
        <v>16</v>
      </c>
    </row>
    <row r="28">
      <c r="A28" s="2" t="inlineStr">
        <is>
          <t>인천광역시</t>
        </is>
      </c>
      <c r="B28" s="2" t="n">
        <v>16</v>
      </c>
      <c r="C28" s="2" t="n">
        <v>15</v>
      </c>
    </row>
    <row r="29">
      <c r="A29" s="2" t="inlineStr">
        <is>
          <t>전라남도</t>
        </is>
      </c>
      <c r="B29" s="2" t="n">
        <v>13</v>
      </c>
      <c r="C29" s="2" t="n">
        <v>13</v>
      </c>
    </row>
    <row r="30">
      <c r="A30" s="2" t="inlineStr">
        <is>
          <t>세종특별자치시</t>
        </is>
      </c>
      <c r="B30" s="2" t="n">
        <v>12</v>
      </c>
      <c r="C30" s="2" t="n">
        <v>11</v>
      </c>
    </row>
    <row r="31">
      <c r="A31" s="2" t="inlineStr">
        <is>
          <t>대전광역시</t>
        </is>
      </c>
      <c r="B31" s="2" t="n">
        <v>11</v>
      </c>
      <c r="C31" s="2" t="n">
        <v>11</v>
      </c>
    </row>
    <row r="32">
      <c r="A32" s="2" t="inlineStr">
        <is>
          <t>부산광역시</t>
        </is>
      </c>
      <c r="B32" s="2" t="n">
        <v>11</v>
      </c>
      <c r="C32" s="2" t="n">
        <v>11</v>
      </c>
    </row>
    <row r="33">
      <c r="A33" s="2" t="inlineStr">
        <is>
          <t>대구광역시</t>
        </is>
      </c>
      <c r="B33" s="2" t="n">
        <v>9</v>
      </c>
      <c r="C33" s="2" t="n">
        <v>9</v>
      </c>
    </row>
    <row r="34">
      <c r="A34" s="2" t="inlineStr">
        <is>
          <t>광주광역시</t>
        </is>
      </c>
      <c r="B34" s="2" t="n">
        <v>7</v>
      </c>
      <c r="C34" s="2" t="n">
        <v>7</v>
      </c>
    </row>
    <row r="36">
      <c r="A36" s="3" t="inlineStr">
        <is>
          <t>[추천솔루션별 회사 수]</t>
        </is>
      </c>
    </row>
    <row r="37">
      <c r="A37" s="14" t="inlineStr">
        <is>
          <t>추천</t>
        </is>
      </c>
      <c r="B37" s="14" t="inlineStr">
        <is>
          <t>회사 수</t>
        </is>
      </c>
    </row>
    <row r="38">
      <c r="A38" s="2" t="inlineStr">
        <is>
          <t>EDMS</t>
        </is>
      </c>
      <c r="B38" s="2" t="n">
        <v>136</v>
      </c>
    </row>
    <row r="39">
      <c r="A39" s="2" t="inlineStr">
        <is>
          <t>QMS+LIMS</t>
        </is>
      </c>
      <c r="B39" s="2" t="n">
        <v>110</v>
      </c>
    </row>
    <row r="40">
      <c r="A40" s="2" t="inlineStr">
        <is>
          <t>QMS</t>
        </is>
      </c>
      <c r="B40" s="2" t="n">
        <v>61</v>
      </c>
    </row>
    <row r="41">
      <c r="A41" s="2" t="inlineStr">
        <is>
          <t>통합형</t>
        </is>
      </c>
      <c r="B41" s="2" t="n">
        <v>59</v>
      </c>
    </row>
    <row r="42">
      <c r="A42" s="2" t="inlineStr">
        <is>
          <t>LIMS</t>
        </is>
      </c>
      <c r="B42" s="2" t="n">
        <v>31</v>
      </c>
    </row>
    <row r="43">
      <c r="A43" s="2" t="inlineStr">
        <is>
          <t>EDMS+QMS+LMS</t>
        </is>
      </c>
      <c r="B43" s="2" t="n">
        <v>12</v>
      </c>
    </row>
    <row r="45">
      <c r="A45" s="3" t="inlineStr">
        <is>
          <t>[잠정우선순위 상위 30 — 즉시 공략 후보]</t>
        </is>
      </c>
    </row>
    <row r="46">
      <c r="A46" s="16" t="inlineStr">
        <is>
          <t>순위</t>
        </is>
      </c>
      <c r="B46" s="16" t="inlineStr">
        <is>
          <t>대표 업체명</t>
        </is>
      </c>
      <c r="C46" s="16" t="inlineStr">
        <is>
          <t>잠정Tier</t>
        </is>
      </c>
      <c r="D46" s="16" t="inlineStr">
        <is>
          <t>잠정점수</t>
        </is>
      </c>
      <c r="E46" s="16" t="inlineStr">
        <is>
          <t>물리제조소</t>
        </is>
      </c>
      <c r="F46" s="16" t="inlineStr">
        <is>
          <t>무균</t>
        </is>
      </c>
      <c r="G46" s="16" t="inlineStr">
        <is>
          <t>바이오</t>
        </is>
      </c>
      <c r="H46" s="16" t="inlineStr">
        <is>
          <t>상장</t>
        </is>
      </c>
      <c r="I46" s="16" t="inlineStr">
        <is>
          <t>추천솔루션</t>
        </is>
      </c>
    </row>
    <row r="47">
      <c r="A47" s="17" t="n">
        <v>1</v>
      </c>
      <c r="B47" s="17" t="inlineStr">
        <is>
          <t>(주)녹십자</t>
        </is>
      </c>
      <c r="C47" s="18" t="inlineStr">
        <is>
          <t>Tier A</t>
        </is>
      </c>
      <c r="D47" s="17" t="n">
        <v>50</v>
      </c>
      <c r="E47" s="17" t="n">
        <v>3</v>
      </c>
      <c r="F47" s="17" t="inlineStr">
        <is>
          <t>Y</t>
        </is>
      </c>
      <c r="G47" s="17" t="inlineStr">
        <is>
          <t>Y</t>
        </is>
      </c>
      <c r="H47" s="17" t="inlineStr">
        <is>
          <t>Y</t>
        </is>
      </c>
      <c r="I47" s="17" t="inlineStr">
        <is>
          <t>통합형</t>
        </is>
      </c>
    </row>
    <row r="48">
      <c r="A48" s="17" t="n">
        <v>2</v>
      </c>
      <c r="B48" s="17" t="inlineStr">
        <is>
          <t>동아에스티(주)</t>
        </is>
      </c>
      <c r="C48" s="18" t="inlineStr">
        <is>
          <t>Tier A</t>
        </is>
      </c>
      <c r="D48" s="17" t="n">
        <v>47</v>
      </c>
      <c r="E48" s="17" t="n">
        <v>3</v>
      </c>
      <c r="F48" s="17" t="inlineStr">
        <is>
          <t>Y</t>
        </is>
      </c>
      <c r="G48" s="17" t="inlineStr">
        <is>
          <t>Y</t>
        </is>
      </c>
      <c r="H48" s="17" t="inlineStr">
        <is>
          <t>Y</t>
        </is>
      </c>
      <c r="I48" s="17" t="inlineStr">
        <is>
          <t>통합형</t>
        </is>
      </c>
    </row>
    <row r="49">
      <c r="A49" s="17" t="n">
        <v>3</v>
      </c>
      <c r="B49" s="17" t="inlineStr">
        <is>
          <t>(주)메디톡스</t>
        </is>
      </c>
      <c r="C49" s="18" t="inlineStr">
        <is>
          <t>Tier A</t>
        </is>
      </c>
      <c r="D49" s="17" t="n">
        <v>47</v>
      </c>
      <c r="E49" s="17" t="n">
        <v>3</v>
      </c>
      <c r="F49" s="17" t="inlineStr">
        <is>
          <t>Y</t>
        </is>
      </c>
      <c r="G49" s="17" t="inlineStr">
        <is>
          <t>Y</t>
        </is>
      </c>
      <c r="H49" s="17" t="inlineStr">
        <is>
          <t>Y</t>
        </is>
      </c>
      <c r="I49" s="17" t="inlineStr">
        <is>
          <t>통합형</t>
        </is>
      </c>
    </row>
    <row r="50">
      <c r="A50" s="17" t="n">
        <v>4</v>
      </c>
      <c r="B50" s="17" t="inlineStr">
        <is>
          <t>(주)종근당바이오</t>
        </is>
      </c>
      <c r="C50" s="18" t="inlineStr">
        <is>
          <t>Tier A</t>
        </is>
      </c>
      <c r="D50" s="17" t="n">
        <v>45</v>
      </c>
      <c r="E50" s="17" t="n">
        <v>3</v>
      </c>
      <c r="F50" s="17" t="inlineStr">
        <is>
          <t>Y</t>
        </is>
      </c>
      <c r="G50" s="17" t="inlineStr">
        <is>
          <t>Y</t>
        </is>
      </c>
      <c r="H50" s="17" t="inlineStr">
        <is>
          <t>Y</t>
        </is>
      </c>
      <c r="I50" s="17" t="inlineStr">
        <is>
          <t>통합형</t>
        </is>
      </c>
    </row>
    <row r="51">
      <c r="A51" s="17" t="n">
        <v>5</v>
      </c>
      <c r="B51" s="17" t="inlineStr">
        <is>
          <t>(주)대웅제약</t>
        </is>
      </c>
      <c r="C51" s="18" t="inlineStr">
        <is>
          <t>Tier A</t>
        </is>
      </c>
      <c r="D51" s="17" t="n">
        <v>44</v>
      </c>
      <c r="E51" s="17" t="n">
        <v>2</v>
      </c>
      <c r="F51" s="17" t="inlineStr">
        <is>
          <t>Y</t>
        </is>
      </c>
      <c r="G51" s="17" t="inlineStr">
        <is>
          <t>Y</t>
        </is>
      </c>
      <c r="H51" s="17" t="inlineStr">
        <is>
          <t>Y</t>
        </is>
      </c>
      <c r="I51" s="17" t="inlineStr">
        <is>
          <t>통합형</t>
        </is>
      </c>
    </row>
    <row r="52">
      <c r="A52" s="17" t="n">
        <v>6</v>
      </c>
      <c r="B52" s="17" t="inlineStr">
        <is>
          <t>신풍제약(주)</t>
        </is>
      </c>
      <c r="C52" s="18" t="inlineStr">
        <is>
          <t>Tier A</t>
        </is>
      </c>
      <c r="D52" s="17" t="n">
        <v>43</v>
      </c>
      <c r="E52" s="17" t="n">
        <v>3</v>
      </c>
      <c r="F52" s="17" t="inlineStr">
        <is>
          <t>Y</t>
        </is>
      </c>
      <c r="G52" s="17" t="inlineStr"/>
      <c r="H52" s="17" t="inlineStr">
        <is>
          <t>Y</t>
        </is>
      </c>
      <c r="I52" s="17" t="inlineStr">
        <is>
          <t>통합형</t>
        </is>
      </c>
    </row>
    <row r="53">
      <c r="A53" s="17" t="n">
        <v>7</v>
      </c>
      <c r="B53" s="17" t="inlineStr">
        <is>
          <t>(주)듀켐바이오</t>
        </is>
      </c>
      <c r="C53" s="18" t="inlineStr">
        <is>
          <t>Tier A</t>
        </is>
      </c>
      <c r="D53" s="17" t="n">
        <v>41</v>
      </c>
      <c r="E53" s="17" t="n">
        <v>5</v>
      </c>
      <c r="F53" s="17" t="inlineStr">
        <is>
          <t>Y</t>
        </is>
      </c>
      <c r="G53" s="17" t="inlineStr"/>
      <c r="H53" s="17" t="inlineStr">
        <is>
          <t>Y</t>
        </is>
      </c>
      <c r="I53" s="17" t="inlineStr">
        <is>
          <t>통합형</t>
        </is>
      </c>
    </row>
    <row r="54">
      <c r="A54" s="17" t="n">
        <v>8</v>
      </c>
      <c r="B54" s="17" t="inlineStr">
        <is>
          <t>(주)엘지화학</t>
        </is>
      </c>
      <c r="C54" s="18" t="inlineStr">
        <is>
          <t>Tier A</t>
        </is>
      </c>
      <c r="D54" s="17" t="n">
        <v>40</v>
      </c>
      <c r="E54" s="17" t="n">
        <v>3</v>
      </c>
      <c r="F54" s="17" t="inlineStr">
        <is>
          <t>Y</t>
        </is>
      </c>
      <c r="G54" s="17" t="inlineStr">
        <is>
          <t>Y</t>
        </is>
      </c>
      <c r="H54" s="17" t="inlineStr"/>
      <c r="I54" s="17" t="inlineStr">
        <is>
          <t>통합형</t>
        </is>
      </c>
    </row>
    <row r="55">
      <c r="A55" s="17" t="n">
        <v>9</v>
      </c>
      <c r="B55" s="17" t="inlineStr">
        <is>
          <t>(주)셀트리온</t>
        </is>
      </c>
      <c r="C55" s="18" t="inlineStr">
        <is>
          <t>Tier A</t>
        </is>
      </c>
      <c r="D55" s="17" t="n">
        <v>39</v>
      </c>
      <c r="E55" s="17" t="n">
        <v>2</v>
      </c>
      <c r="F55" s="17" t="inlineStr">
        <is>
          <t>Y</t>
        </is>
      </c>
      <c r="G55" s="17" t="inlineStr">
        <is>
          <t>Y</t>
        </is>
      </c>
      <c r="H55" s="17" t="inlineStr">
        <is>
          <t>Y</t>
        </is>
      </c>
      <c r="I55" s="17" t="inlineStr">
        <is>
          <t>통합형</t>
        </is>
      </c>
    </row>
    <row r="56">
      <c r="A56" s="17" t="n">
        <v>10</v>
      </c>
      <c r="B56" s="17" t="inlineStr">
        <is>
          <t>에이치케이이노엔(주)</t>
        </is>
      </c>
      <c r="C56" s="18" t="inlineStr">
        <is>
          <t>Tier A</t>
        </is>
      </c>
      <c r="D56" s="17" t="n">
        <v>37</v>
      </c>
      <c r="E56" s="17" t="n">
        <v>3</v>
      </c>
      <c r="F56" s="17" t="inlineStr">
        <is>
          <t>Y</t>
        </is>
      </c>
      <c r="G56" s="17" t="inlineStr">
        <is>
          <t>Y</t>
        </is>
      </c>
      <c r="H56" s="17" t="inlineStr"/>
      <c r="I56" s="17" t="inlineStr">
        <is>
          <t>통합형</t>
        </is>
      </c>
    </row>
    <row r="57">
      <c r="A57" s="17" t="n">
        <v>11</v>
      </c>
      <c r="B57" s="17" t="inlineStr">
        <is>
          <t>(주)파마리서치바이오</t>
        </is>
      </c>
      <c r="C57" s="18" t="inlineStr">
        <is>
          <t>Tier A</t>
        </is>
      </c>
      <c r="D57" s="17" t="n">
        <v>37</v>
      </c>
      <c r="E57" s="17" t="n">
        <v>1</v>
      </c>
      <c r="F57" s="17" t="inlineStr">
        <is>
          <t>Y</t>
        </is>
      </c>
      <c r="G57" s="17" t="inlineStr">
        <is>
          <t>Y</t>
        </is>
      </c>
      <c r="H57" s="17" t="inlineStr">
        <is>
          <t>Y</t>
        </is>
      </c>
      <c r="I57" s="17" t="inlineStr">
        <is>
          <t>QMS+LIMS</t>
        </is>
      </c>
    </row>
    <row r="58">
      <c r="A58" s="17" t="n">
        <v>12</v>
      </c>
      <c r="B58" s="17" t="inlineStr">
        <is>
          <t>휴젤주식회사</t>
        </is>
      </c>
      <c r="C58" s="18" t="inlineStr">
        <is>
          <t>Tier A</t>
        </is>
      </c>
      <c r="D58" s="17" t="n">
        <v>37</v>
      </c>
      <c r="E58" s="17" t="n">
        <v>1</v>
      </c>
      <c r="F58" s="17" t="inlineStr">
        <is>
          <t>Y</t>
        </is>
      </c>
      <c r="G58" s="17" t="inlineStr">
        <is>
          <t>Y</t>
        </is>
      </c>
      <c r="H58" s="17" t="inlineStr">
        <is>
          <t>Y</t>
        </is>
      </c>
      <c r="I58" s="17" t="inlineStr">
        <is>
          <t>QMS+LIMS</t>
        </is>
      </c>
    </row>
    <row r="59">
      <c r="A59" s="17" t="n">
        <v>13</v>
      </c>
      <c r="B59" s="17" t="inlineStr">
        <is>
          <t>(주)퓨쳐켐</t>
        </is>
      </c>
      <c r="C59" s="18" t="inlineStr">
        <is>
          <t>Tier A</t>
        </is>
      </c>
      <c r="D59" s="17" t="n">
        <v>36</v>
      </c>
      <c r="E59" s="17" t="n">
        <v>3</v>
      </c>
      <c r="F59" s="17" t="inlineStr">
        <is>
          <t>Y</t>
        </is>
      </c>
      <c r="G59" s="17" t="inlineStr"/>
      <c r="H59" s="17" t="inlineStr">
        <is>
          <t>Y</t>
        </is>
      </c>
      <c r="I59" s="17" t="inlineStr">
        <is>
          <t>통합형</t>
        </is>
      </c>
    </row>
    <row r="60">
      <c r="A60" s="17" t="n">
        <v>14</v>
      </c>
      <c r="B60" s="17" t="inlineStr">
        <is>
          <t>일동제약(주)</t>
        </is>
      </c>
      <c r="C60" s="18" t="inlineStr">
        <is>
          <t>Tier A</t>
        </is>
      </c>
      <c r="D60" s="17" t="n">
        <v>36</v>
      </c>
      <c r="E60" s="17" t="n">
        <v>2</v>
      </c>
      <c r="F60" s="17" t="inlineStr">
        <is>
          <t>Y</t>
        </is>
      </c>
      <c r="G60" s="17" t="inlineStr"/>
      <c r="H60" s="17" t="inlineStr">
        <is>
          <t>Y</t>
        </is>
      </c>
      <c r="I60" s="17" t="inlineStr">
        <is>
          <t>통합형</t>
        </is>
      </c>
    </row>
    <row r="61">
      <c r="A61" s="17" t="n">
        <v>15</v>
      </c>
      <c r="B61" s="17" t="inlineStr">
        <is>
          <t>영진약품(주)</t>
        </is>
      </c>
      <c r="C61" s="18" t="inlineStr">
        <is>
          <t>Tier A</t>
        </is>
      </c>
      <c r="D61" s="17" t="n">
        <v>36</v>
      </c>
      <c r="E61" s="17" t="n">
        <v>2</v>
      </c>
      <c r="F61" s="17" t="inlineStr">
        <is>
          <t>Y</t>
        </is>
      </c>
      <c r="G61" s="17" t="inlineStr"/>
      <c r="H61" s="17" t="inlineStr">
        <is>
          <t>Y</t>
        </is>
      </c>
      <c r="I61" s="17" t="inlineStr">
        <is>
          <t>통합형</t>
        </is>
      </c>
    </row>
    <row r="62">
      <c r="A62" s="17" t="n">
        <v>16</v>
      </c>
      <c r="B62" s="17" t="inlineStr">
        <is>
          <t>삼진제약(주)</t>
        </is>
      </c>
      <c r="C62" s="18" t="inlineStr">
        <is>
          <t>Tier A</t>
        </is>
      </c>
      <c r="D62" s="17" t="n">
        <v>35</v>
      </c>
      <c r="E62" s="17" t="n">
        <v>2</v>
      </c>
      <c r="F62" s="17" t="inlineStr">
        <is>
          <t>Y</t>
        </is>
      </c>
      <c r="G62" s="17" t="inlineStr"/>
      <c r="H62" s="17" t="inlineStr">
        <is>
          <t>Y</t>
        </is>
      </c>
      <c r="I62" s="17" t="inlineStr">
        <is>
          <t>통합형</t>
        </is>
      </c>
    </row>
    <row r="63">
      <c r="A63" s="17" t="n">
        <v>17</v>
      </c>
      <c r="B63" s="17" t="inlineStr">
        <is>
          <t>(주)바이넥스</t>
        </is>
      </c>
      <c r="C63" s="18" t="inlineStr">
        <is>
          <t>Tier A</t>
        </is>
      </c>
      <c r="D63" s="17" t="n">
        <v>35</v>
      </c>
      <c r="E63" s="17" t="n">
        <v>2</v>
      </c>
      <c r="F63" s="17" t="inlineStr">
        <is>
          <t>Y</t>
        </is>
      </c>
      <c r="G63" s="17" t="inlineStr"/>
      <c r="H63" s="17" t="inlineStr">
        <is>
          <t>Y</t>
        </is>
      </c>
      <c r="I63" s="17" t="inlineStr">
        <is>
          <t>통합형</t>
        </is>
      </c>
    </row>
    <row r="64">
      <c r="A64" s="17" t="n">
        <v>18</v>
      </c>
      <c r="B64" s="17" t="inlineStr">
        <is>
          <t>(주)종근당</t>
        </is>
      </c>
      <c r="C64" s="18" t="inlineStr">
        <is>
          <t>Tier A</t>
        </is>
      </c>
      <c r="D64" s="17" t="n">
        <v>35</v>
      </c>
      <c r="E64" s="17" t="n">
        <v>2</v>
      </c>
      <c r="F64" s="17" t="inlineStr">
        <is>
          <t>Y</t>
        </is>
      </c>
      <c r="G64" s="17" t="inlineStr"/>
      <c r="H64" s="17" t="inlineStr">
        <is>
          <t>Y</t>
        </is>
      </c>
      <c r="I64" s="17" t="inlineStr">
        <is>
          <t>통합형</t>
        </is>
      </c>
    </row>
    <row r="65">
      <c r="A65" s="17" t="n">
        <v>19</v>
      </c>
      <c r="B65" s="17" t="inlineStr">
        <is>
          <t>(주)한국비엠아이</t>
        </is>
      </c>
      <c r="C65" s="18" t="inlineStr">
        <is>
          <t>Tier A</t>
        </is>
      </c>
      <c r="D65" s="17" t="n">
        <v>34</v>
      </c>
      <c r="E65" s="17" t="n">
        <v>2</v>
      </c>
      <c r="F65" s="17" t="inlineStr">
        <is>
          <t>Y</t>
        </is>
      </c>
      <c r="G65" s="17" t="inlineStr">
        <is>
          <t>Y</t>
        </is>
      </c>
      <c r="H65" s="17" t="inlineStr"/>
      <c r="I65" s="17" t="inlineStr">
        <is>
          <t>통합형</t>
        </is>
      </c>
    </row>
    <row r="66">
      <c r="A66" s="17" t="n">
        <v>20</v>
      </c>
      <c r="B66" s="17" t="inlineStr">
        <is>
          <t>(주)제테마</t>
        </is>
      </c>
      <c r="C66" s="18" t="inlineStr">
        <is>
          <t>Tier A</t>
        </is>
      </c>
      <c r="D66" s="17" t="n">
        <v>34</v>
      </c>
      <c r="E66" s="17" t="n">
        <v>1</v>
      </c>
      <c r="F66" s="17" t="inlineStr">
        <is>
          <t>Y</t>
        </is>
      </c>
      <c r="G66" s="17" t="inlineStr">
        <is>
          <t>Y</t>
        </is>
      </c>
      <c r="H66" s="17" t="inlineStr">
        <is>
          <t>Y</t>
        </is>
      </c>
      <c r="I66" s="17" t="inlineStr">
        <is>
          <t>QMS+LIMS</t>
        </is>
      </c>
    </row>
    <row r="67">
      <c r="A67" s="17" t="n">
        <v>21</v>
      </c>
      <c r="B67" s="17" t="inlineStr">
        <is>
          <t>(주)한국비엔씨</t>
        </is>
      </c>
      <c r="C67" s="18" t="inlineStr">
        <is>
          <t>Tier A</t>
        </is>
      </c>
      <c r="D67" s="17" t="n">
        <v>34</v>
      </c>
      <c r="E67" s="17" t="n">
        <v>1</v>
      </c>
      <c r="F67" s="17" t="inlineStr">
        <is>
          <t>Y</t>
        </is>
      </c>
      <c r="G67" s="17" t="inlineStr">
        <is>
          <t>Y</t>
        </is>
      </c>
      <c r="H67" s="17" t="inlineStr">
        <is>
          <t>Y</t>
        </is>
      </c>
      <c r="I67" s="17" t="inlineStr">
        <is>
          <t>QMS+LIMS</t>
        </is>
      </c>
    </row>
    <row r="68">
      <c r="A68" s="17" t="n">
        <v>22</v>
      </c>
      <c r="B68" s="17" t="inlineStr">
        <is>
          <t>(주)보령</t>
        </is>
      </c>
      <c r="C68" s="18" t="inlineStr">
        <is>
          <t>Tier A</t>
        </is>
      </c>
      <c r="D68" s="17" t="n">
        <v>33</v>
      </c>
      <c r="E68" s="17" t="n">
        <v>2</v>
      </c>
      <c r="F68" s="17" t="inlineStr">
        <is>
          <t>Y</t>
        </is>
      </c>
      <c r="G68" s="17" t="inlineStr"/>
      <c r="H68" s="17" t="inlineStr">
        <is>
          <t>Y</t>
        </is>
      </c>
      <c r="I68" s="17" t="inlineStr">
        <is>
          <t>통합형</t>
        </is>
      </c>
    </row>
    <row r="69">
      <c r="A69" s="17" t="n">
        <v>23</v>
      </c>
      <c r="B69" s="17" t="inlineStr">
        <is>
          <t>동국제약(주)</t>
        </is>
      </c>
      <c r="C69" s="18" t="inlineStr">
        <is>
          <t>Tier A</t>
        </is>
      </c>
      <c r="D69" s="17" t="n">
        <v>33</v>
      </c>
      <c r="E69" s="17" t="n">
        <v>2</v>
      </c>
      <c r="F69" s="17" t="inlineStr">
        <is>
          <t>Y</t>
        </is>
      </c>
      <c r="G69" s="17" t="inlineStr"/>
      <c r="H69" s="17" t="inlineStr">
        <is>
          <t>Y</t>
        </is>
      </c>
      <c r="I69" s="17" t="inlineStr">
        <is>
          <t>통합형</t>
        </is>
      </c>
    </row>
    <row r="70">
      <c r="A70" s="17" t="n">
        <v>24</v>
      </c>
      <c r="B70" s="17" t="inlineStr">
        <is>
          <t>에이치디엑스(주)</t>
        </is>
      </c>
      <c r="C70" s="18" t="inlineStr">
        <is>
          <t>Tier A</t>
        </is>
      </c>
      <c r="D70" s="17" t="n">
        <v>32</v>
      </c>
      <c r="E70" s="17" t="n">
        <v>4</v>
      </c>
      <c r="F70" s="17" t="inlineStr">
        <is>
          <t>Y</t>
        </is>
      </c>
      <c r="G70" s="17" t="inlineStr"/>
      <c r="H70" s="17" t="inlineStr"/>
      <c r="I70" s="17" t="inlineStr">
        <is>
          <t>통합형</t>
        </is>
      </c>
    </row>
    <row r="71">
      <c r="A71" s="17" t="n">
        <v>25</v>
      </c>
      <c r="B71" s="17" t="inlineStr">
        <is>
          <t>이연제약(주)</t>
        </is>
      </c>
      <c r="C71" s="18" t="inlineStr">
        <is>
          <t>Tier A</t>
        </is>
      </c>
      <c r="D71" s="17" t="n">
        <v>32</v>
      </c>
      <c r="E71" s="17" t="n">
        <v>2</v>
      </c>
      <c r="F71" s="17" t="inlineStr">
        <is>
          <t>Y</t>
        </is>
      </c>
      <c r="G71" s="17" t="inlineStr"/>
      <c r="H71" s="17" t="inlineStr">
        <is>
          <t>Y</t>
        </is>
      </c>
      <c r="I71" s="17" t="inlineStr">
        <is>
          <t>통합형</t>
        </is>
      </c>
    </row>
    <row r="72">
      <c r="A72" s="17" t="n">
        <v>26</v>
      </c>
      <c r="B72" s="17" t="inlineStr">
        <is>
          <t>(주)유바이오로직스</t>
        </is>
      </c>
      <c r="C72" s="18" t="inlineStr">
        <is>
          <t>Tier A</t>
        </is>
      </c>
      <c r="D72" s="17" t="n">
        <v>32</v>
      </c>
      <c r="E72" s="17" t="n">
        <v>2</v>
      </c>
      <c r="F72" s="17" t="inlineStr"/>
      <c r="G72" s="17" t="inlineStr">
        <is>
          <t>Y</t>
        </is>
      </c>
      <c r="H72" s="17" t="inlineStr">
        <is>
          <t>Y</t>
        </is>
      </c>
      <c r="I72" s="17" t="inlineStr">
        <is>
          <t>통합형</t>
        </is>
      </c>
    </row>
    <row r="73">
      <c r="A73" s="17" t="n">
        <v>27</v>
      </c>
      <c r="B73" s="17" t="inlineStr">
        <is>
          <t>하나제약(주)</t>
        </is>
      </c>
      <c r="C73" s="18" t="inlineStr">
        <is>
          <t>Tier A</t>
        </is>
      </c>
      <c r="D73" s="17" t="n">
        <v>32</v>
      </c>
      <c r="E73" s="17" t="n">
        <v>2</v>
      </c>
      <c r="F73" s="17" t="inlineStr">
        <is>
          <t>Y</t>
        </is>
      </c>
      <c r="G73" s="17" t="inlineStr"/>
      <c r="H73" s="17" t="inlineStr">
        <is>
          <t>Y</t>
        </is>
      </c>
      <c r="I73" s="17" t="inlineStr">
        <is>
          <t>통합형</t>
        </is>
      </c>
    </row>
    <row r="74">
      <c r="A74" s="17" t="n">
        <v>28</v>
      </c>
      <c r="B74" s="17" t="inlineStr">
        <is>
          <t>한미약품(주)</t>
        </is>
      </c>
      <c r="C74" s="18" t="inlineStr">
        <is>
          <t>Tier A</t>
        </is>
      </c>
      <c r="D74" s="17" t="n">
        <v>32</v>
      </c>
      <c r="E74" s="17" t="n">
        <v>2</v>
      </c>
      <c r="F74" s="17" t="inlineStr">
        <is>
          <t>Y</t>
        </is>
      </c>
      <c r="G74" s="17" t="inlineStr"/>
      <c r="H74" s="17" t="inlineStr">
        <is>
          <t>Y</t>
        </is>
      </c>
      <c r="I74" s="17" t="inlineStr">
        <is>
          <t>통합형</t>
        </is>
      </c>
    </row>
    <row r="75">
      <c r="A75" s="17" t="n">
        <v>29</v>
      </c>
      <c r="B75" s="17" t="inlineStr">
        <is>
          <t>경동제약(주)</t>
        </is>
      </c>
      <c r="C75" s="18" t="inlineStr">
        <is>
          <t>Tier A</t>
        </is>
      </c>
      <c r="D75" s="17" t="n">
        <v>32</v>
      </c>
      <c r="E75" s="17" t="n">
        <v>2</v>
      </c>
      <c r="F75" s="17" t="inlineStr">
        <is>
          <t>Y</t>
        </is>
      </c>
      <c r="G75" s="17" t="inlineStr"/>
      <c r="H75" s="17" t="inlineStr">
        <is>
          <t>Y</t>
        </is>
      </c>
      <c r="I75" s="17" t="inlineStr">
        <is>
          <t>통합형</t>
        </is>
      </c>
    </row>
    <row r="76">
      <c r="A76" s="17" t="n">
        <v>30</v>
      </c>
      <c r="B76" s="17" t="inlineStr">
        <is>
          <t>동국생명과학(주)</t>
        </is>
      </c>
      <c r="C76" s="18" t="inlineStr">
        <is>
          <t>Tier A</t>
        </is>
      </c>
      <c r="D76" s="17" t="n">
        <v>32</v>
      </c>
      <c r="E76" s="17" t="n">
        <v>1</v>
      </c>
      <c r="F76" s="17" t="inlineStr">
        <is>
          <t>Y</t>
        </is>
      </c>
      <c r="G76" s="17" t="inlineStr"/>
      <c r="H76" s="17" t="inlineStr">
        <is>
          <t>Y</t>
        </is>
      </c>
      <c r="I76" s="17" t="inlineStr">
        <is>
          <t>QMS+LIMS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5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14" customWidth="1" min="4" max="4"/>
    <col width="12" customWidth="1" min="5" max="5"/>
    <col width="10" customWidth="1" min="6" max="6"/>
    <col width="9" customWidth="1" min="7" max="7"/>
    <col width="6" customWidth="1" min="8" max="8"/>
    <col width="6" customWidth="1" min="9" max="9"/>
    <col width="6" customWidth="1" min="10" max="10"/>
    <col width="6" customWidth="1" min="11" max="11"/>
    <col width="7" customWidth="1" min="12" max="12"/>
    <col width="11" customWidth="1" min="13" max="13"/>
    <col width="11" customWidth="1" min="14" max="14"/>
    <col width="12" customWidth="1" min="15" max="15"/>
    <col width="12" customWidth="1" min="16" max="16"/>
    <col width="12" customWidth="1" min="17" max="17"/>
    <col width="9" customWidth="1" min="18" max="18"/>
    <col width="13" customWidth="1" min="19" max="19"/>
    <col width="13" customWidth="1" min="20" max="20"/>
    <col width="9" customWidth="1" min="21" max="21"/>
    <col width="16" customWidth="1" min="22" max="22"/>
    <col width="8" customWidth="1" min="23" max="23"/>
    <col width="9" customWidth="1" min="24" max="24"/>
    <col width="9" customWidth="1" min="25" max="25"/>
    <col width="10" customWidth="1" min="26" max="26"/>
    <col width="22" customWidth="1" min="27" max="27"/>
    <col width="13" customWidth="1" min="28" max="28"/>
    <col width="11" customWidth="1" min="29" max="29"/>
    <col width="7" customWidth="1" min="30" max="30"/>
    <col width="7" customWidth="1" min="31" max="31"/>
    <col width="30" customWidth="1" min="32" max="32"/>
    <col width="11" customWidth="1" min="33" max="33"/>
    <col width="36" customWidth="1" min="34" max="34"/>
    <col width="10" customWidth="1" min="35" max="35"/>
    <col width="11" customWidth="1" min="36" max="36"/>
    <col width="9" customWidth="1" min="37" max="37"/>
    <col width="9" customWidth="1" min="38" max="38"/>
    <col width="30" customWidth="1" min="39" max="39"/>
    <col width="11" customWidth="1" min="40" max="40"/>
    <col width="11" customWidth="1" min="41" max="41"/>
    <col width="11" customWidth="1" min="42" max="42"/>
    <col width="14" customWidth="1" min="43" max="43"/>
    <col width="11" customWidth="1" min="44" max="44"/>
    <col width="11" customWidth="1" min="45" max="45"/>
    <col width="9" customWidth="1" min="46" max="46"/>
    <col width="8" customWidth="1" min="47" max="47"/>
    <col width="6" customWidth="1" min="48" max="48"/>
  </cols>
  <sheetData>
    <row r="1">
      <c r="A1" s="19" t="inlineStr">
        <is>
          <t>잠정Tier</t>
        </is>
      </c>
      <c r="B1" s="19" t="inlineStr">
        <is>
          <t>잠정우선순위</t>
        </is>
      </c>
      <c r="C1" s="19" t="inlineStr">
        <is>
          <t>대표 업체명</t>
        </is>
      </c>
      <c r="D1" s="19" t="inlineStr">
        <is>
          <t>공장명</t>
        </is>
      </c>
      <c r="E1" s="19" t="inlineStr">
        <is>
          <t>시도</t>
        </is>
      </c>
      <c r="F1" s="19" t="inlineStr">
        <is>
          <t>시군구</t>
        </is>
      </c>
      <c r="G1" s="19" t="inlineStr">
        <is>
          <t>물리제조소수</t>
        </is>
      </c>
      <c r="H1" s="19" t="inlineStr">
        <is>
          <t>무균</t>
        </is>
      </c>
      <c r="I1" s="19" t="inlineStr">
        <is>
          <t>바이오</t>
        </is>
      </c>
      <c r="J1" s="19" t="inlineStr">
        <is>
          <t>완제</t>
        </is>
      </c>
      <c r="K1" s="19" t="inlineStr">
        <is>
          <t>원료</t>
        </is>
      </c>
      <c r="L1" s="19" t="inlineStr">
        <is>
          <t>수출</t>
        </is>
      </c>
      <c r="M1" s="19" t="inlineStr">
        <is>
          <t>FDA·EMA</t>
        </is>
      </c>
      <c r="N1" s="19" t="inlineStr">
        <is>
          <t>CMO·CDMO</t>
        </is>
      </c>
      <c r="O1" s="19" t="inlineStr">
        <is>
          <t>신공장·증설</t>
        </is>
      </c>
      <c r="P1" s="19" t="inlineStr">
        <is>
          <t>추천솔루션</t>
        </is>
      </c>
      <c r="Q1" s="19" t="inlineStr">
        <is>
          <t>최근매출(억원)</t>
        </is>
      </c>
      <c r="R1" s="19" t="inlineStr">
        <is>
          <t>종업원수</t>
        </is>
      </c>
      <c r="S1" s="19" t="inlineStr">
        <is>
          <t>영업Tier(규격)</t>
        </is>
      </c>
      <c r="T1" s="19" t="inlineStr">
        <is>
          <t>영업점수(규격)</t>
        </is>
      </c>
      <c r="U1" s="19" t="inlineStr">
        <is>
          <t>COMPANY_ID</t>
        </is>
      </c>
      <c r="V1" s="19" t="inlineStr">
        <is>
          <t>회사키(정규화)</t>
        </is>
      </c>
      <c r="W1" s="19" t="inlineStr">
        <is>
          <t>상장여부</t>
        </is>
      </c>
      <c r="X1" s="19" t="inlineStr">
        <is>
          <t>시장구분</t>
        </is>
      </c>
      <c r="Y1" s="19" t="inlineStr">
        <is>
          <t>종목코드</t>
        </is>
      </c>
      <c r="Z1" s="19" t="inlineStr">
        <is>
          <t>대표자</t>
        </is>
      </c>
      <c r="AA1" s="19" t="inlineStr">
        <is>
          <t>홈페이지</t>
        </is>
      </c>
      <c r="AB1" s="19" t="inlineStr">
        <is>
          <t>대표전화</t>
        </is>
      </c>
      <c r="AC1" s="19" t="inlineStr">
        <is>
          <t>최근매출기준연도</t>
        </is>
      </c>
      <c r="AD1" s="19" t="inlineStr">
        <is>
          <t>SITE대표</t>
        </is>
      </c>
      <c r="AE1" s="19" t="inlineStr">
        <is>
          <t>PHYS_ID</t>
        </is>
      </c>
      <c r="AF1" s="19" t="inlineStr">
        <is>
          <t>공장소재지_최종</t>
        </is>
      </c>
      <c r="AG1" s="19" t="inlineStr">
        <is>
          <t>완제원료구분</t>
        </is>
      </c>
      <c r="AH1" s="19" t="inlineStr">
        <is>
          <t>제형군·제조방법</t>
        </is>
      </c>
      <c r="AI1" s="19" t="inlineStr">
        <is>
          <t>적합판정서건수</t>
        </is>
      </c>
      <c r="AJ1" s="19" t="inlineStr">
        <is>
          <t>최단유효기간</t>
        </is>
      </c>
      <c r="AK1" s="19" t="inlineStr">
        <is>
          <t>갱신임박_6개월</t>
        </is>
      </c>
      <c r="AL1" s="19" t="inlineStr">
        <is>
          <t>갱신임박_12개월</t>
        </is>
      </c>
      <c r="AM1" s="19" t="inlineStr">
        <is>
          <t>추천접근사유</t>
        </is>
      </c>
      <c r="AN1" s="19" t="inlineStr">
        <is>
          <t>기존 IT시스템</t>
        </is>
      </c>
      <c r="AO1" s="19" t="inlineStr">
        <is>
          <t>담당부서</t>
        </is>
      </c>
      <c r="AP1" s="19" t="inlineStr">
        <is>
          <t>담당자 직책</t>
        </is>
      </c>
      <c r="AQ1" s="19" t="inlineStr">
        <is>
          <t>다음영업행동</t>
        </is>
      </c>
      <c r="AR1" s="19" t="inlineStr">
        <is>
          <t>최종확인일</t>
        </is>
      </c>
      <c r="AS1" s="19" t="inlineStr">
        <is>
          <t>기업정보신뢰도</t>
        </is>
      </c>
      <c r="AT1" s="19" t="inlineStr">
        <is>
          <t>매칭신뢰도</t>
        </is>
      </c>
      <c r="AU1" s="19" t="inlineStr">
        <is>
          <t>검토필요</t>
        </is>
      </c>
      <c r="AV1" s="19" t="inlineStr">
        <is>
          <t>비고</t>
        </is>
      </c>
    </row>
    <row r="2">
      <c r="A2" s="18" t="inlineStr">
        <is>
          <t>Tier A</t>
        </is>
      </c>
      <c r="B2" s="17" t="n">
        <v>50</v>
      </c>
      <c r="C2" s="17" t="inlineStr">
        <is>
          <t>(주)녹십자</t>
        </is>
      </c>
      <c r="D2" s="17" t="inlineStr">
        <is>
          <t>청원(일반제제)</t>
        </is>
      </c>
      <c r="E2" s="17" t="inlineStr">
        <is>
          <t>충청북도</t>
        </is>
      </c>
      <c r="F2" s="17" t="inlineStr">
        <is>
          <t>청주시</t>
        </is>
      </c>
      <c r="G2" s="17" t="n">
        <v>3</v>
      </c>
      <c r="H2" s="20" t="inlineStr">
        <is>
          <t>Y</t>
        </is>
      </c>
      <c r="I2" s="21" t="inlineStr">
        <is>
          <t>Y</t>
        </is>
      </c>
      <c r="J2" s="17" t="inlineStr">
        <is>
          <t>Y</t>
        </is>
      </c>
      <c r="K2" s="17" t="inlineStr">
        <is>
          <t>Y</t>
        </is>
      </c>
      <c r="L2" s="22" t="inlineStr">
        <is>
          <t>미확인</t>
        </is>
      </c>
      <c r="M2" s="22" t="inlineStr">
        <is>
          <t>미확인</t>
        </is>
      </c>
      <c r="N2" s="22" t="inlineStr">
        <is>
          <t>미확인</t>
        </is>
      </c>
      <c r="O2" s="22" t="inlineStr">
        <is>
          <t>미확인</t>
        </is>
      </c>
      <c r="P2" s="17" t="inlineStr">
        <is>
          <t>통합형</t>
        </is>
      </c>
      <c r="Q2" s="22" t="inlineStr">
        <is>
          <t>미확인</t>
        </is>
      </c>
      <c r="R2" s="22" t="inlineStr">
        <is>
          <t>미확인</t>
        </is>
      </c>
      <c r="S2" s="17" t="inlineStr">
        <is>
          <t>Tier C</t>
        </is>
      </c>
      <c r="T2" s="17" t="n">
        <v>35</v>
      </c>
      <c r="U2" s="17" t="inlineStr">
        <is>
          <t>C333</t>
        </is>
      </c>
      <c r="V2" s="17" t="inlineStr">
        <is>
          <t>녹십자</t>
        </is>
      </c>
      <c r="W2" s="17" t="inlineStr">
        <is>
          <t>Y</t>
        </is>
      </c>
      <c r="X2" s="17" t="inlineStr">
        <is>
          <t>유가</t>
        </is>
      </c>
      <c r="Y2" s="23" t="inlineStr">
        <is>
          <t>006280</t>
        </is>
      </c>
      <c r="Z2" s="17" t="inlineStr">
        <is>
          <t>허은철</t>
        </is>
      </c>
      <c r="AA2" s="17" t="inlineStr">
        <is>
          <t>http://www.gcbiopharma.com</t>
        </is>
      </c>
      <c r="AB2" s="17" t="inlineStr">
        <is>
          <t>031-260-9300</t>
        </is>
      </c>
      <c r="AC2" s="17" t="inlineStr">
        <is>
          <t>미확인</t>
        </is>
      </c>
      <c r="AD2" s="17" t="inlineStr">
        <is>
          <t>Y</t>
        </is>
      </c>
      <c r="AE2" s="17" t="inlineStr">
        <is>
          <t>P402</t>
        </is>
      </c>
      <c r="AF2" s="17" t="inlineStr">
        <is>
          <t>충청북도 청주시 청원구 오창읍 과학산업2로 586</t>
        </is>
      </c>
      <c r="AG2" s="17" t="inlineStr">
        <is>
          <t>완제의약품+원료의약품</t>
        </is>
      </c>
      <c r="AH2" s="17" t="inlineStr">
        <is>
          <t>생물-유전자재조합의약품-(배양, 정제, 바이러스불활화, 원액 제조), 생물-혈장분획제제-(분획, 정제, 바이러스불활화, 원액 제조)</t>
        </is>
      </c>
      <c r="AI2" s="17" t="n">
        <v>2</v>
      </c>
      <c r="AJ2" s="24" t="n">
        <v>46481</v>
      </c>
      <c r="AK2" s="17" t="inlineStr"/>
      <c r="AL2" s="17" t="inlineStr">
        <is>
          <t>Y</t>
        </is>
      </c>
      <c r="AM2" s="17" t="inlineStr">
        <is>
          <t>다중 제조소/다수 판정서로 문서관리 복잡; 무균/바이오 제조로 품질관리 난도 높음</t>
        </is>
      </c>
      <c r="AN2" s="17" t="inlineStr">
        <is>
          <t>미확인</t>
        </is>
      </c>
      <c r="AO2" s="17" t="inlineStr">
        <is>
          <t>미확인</t>
        </is>
      </c>
      <c r="AP2" s="17" t="inlineStr">
        <is>
          <t>미확인</t>
        </is>
      </c>
      <c r="AQ2" s="17" t="inlineStr">
        <is>
          <t>담당자 파악 후 접촉</t>
        </is>
      </c>
      <c r="AR2" s="17" t="inlineStr">
        <is>
          <t>2026-07-05</t>
        </is>
      </c>
      <c r="AS2" s="17" t="inlineStr">
        <is>
          <t>C(부분확인)</t>
        </is>
      </c>
      <c r="AT2" s="17" t="n">
        <v>90</v>
      </c>
      <c r="AU2" s="17" t="inlineStr"/>
      <c r="AV2" s="17" t="inlineStr"/>
    </row>
    <row r="3">
      <c r="A3" s="18" t="inlineStr">
        <is>
          <t>Tier A</t>
        </is>
      </c>
      <c r="B3" s="17" t="n">
        <v>50</v>
      </c>
      <c r="C3" s="17" t="inlineStr">
        <is>
          <t>(주)녹십자</t>
        </is>
      </c>
      <c r="D3" s="17" t="inlineStr">
        <is>
          <t>음성</t>
        </is>
      </c>
      <c r="E3" s="17" t="inlineStr">
        <is>
          <t>충청북도</t>
        </is>
      </c>
      <c r="F3" s="17" t="inlineStr">
        <is>
          <t>음성군</t>
        </is>
      </c>
      <c r="G3" s="17" t="n">
        <v>3</v>
      </c>
      <c r="H3" s="17" t="inlineStr"/>
      <c r="I3" s="17" t="inlineStr"/>
      <c r="J3" s="17" t="inlineStr">
        <is>
          <t>Y</t>
        </is>
      </c>
      <c r="K3" s="17" t="inlineStr">
        <is>
          <t>Y</t>
        </is>
      </c>
      <c r="L3" s="22" t="inlineStr">
        <is>
          <t>미확인</t>
        </is>
      </c>
      <c r="M3" s="22" t="inlineStr">
        <is>
          <t>미확인</t>
        </is>
      </c>
      <c r="N3" s="22" t="inlineStr">
        <is>
          <t>미확인</t>
        </is>
      </c>
      <c r="O3" s="22" t="inlineStr">
        <is>
          <t>미확인</t>
        </is>
      </c>
      <c r="P3" s="17" t="inlineStr">
        <is>
          <t>통합형</t>
        </is>
      </c>
      <c r="Q3" s="22" t="inlineStr">
        <is>
          <t>미확인</t>
        </is>
      </c>
      <c r="R3" s="22" t="inlineStr">
        <is>
          <t>미확인</t>
        </is>
      </c>
      <c r="S3" s="17" t="inlineStr">
        <is>
          <t>Tier C</t>
        </is>
      </c>
      <c r="T3" s="17" t="n">
        <v>35</v>
      </c>
      <c r="U3" s="17" t="inlineStr">
        <is>
          <t>C333</t>
        </is>
      </c>
      <c r="V3" s="17" t="inlineStr">
        <is>
          <t>녹십자</t>
        </is>
      </c>
      <c r="W3" s="17" t="inlineStr">
        <is>
          <t>Y</t>
        </is>
      </c>
      <c r="X3" s="17" t="inlineStr">
        <is>
          <t>유가</t>
        </is>
      </c>
      <c r="Y3" s="23" t="inlineStr">
        <is>
          <t>006280</t>
        </is>
      </c>
      <c r="Z3" s="17" t="inlineStr">
        <is>
          <t>허은철</t>
        </is>
      </c>
      <c r="AA3" s="17" t="inlineStr">
        <is>
          <t>http://www.gcbiopharma.com</t>
        </is>
      </c>
      <c r="AB3" s="17" t="inlineStr">
        <is>
          <t>031-260-9300</t>
        </is>
      </c>
      <c r="AC3" s="17" t="inlineStr">
        <is>
          <t>미확인</t>
        </is>
      </c>
      <c r="AD3" s="17" t="inlineStr">
        <is>
          <t>Y</t>
        </is>
      </c>
      <c r="AE3" s="17" t="inlineStr">
        <is>
          <t>P427</t>
        </is>
      </c>
      <c r="AF3" s="17" t="inlineStr">
        <is>
          <t>충청북도 음성군 금왕읍 무극로65번길 26</t>
        </is>
      </c>
      <c r="AG3" s="17" t="inlineStr">
        <is>
          <t>완제의약품</t>
        </is>
      </c>
      <c r="AH3" s="17" t="inlineStr">
        <is>
          <t>비무균-일반제제-내용고형제(정제, 캡슐제), 비무균-일반제제-연고제(연고제, 크림제, 리니멘트제(액상,반고형)), 비무균-일반제제-첩부제(첩부제, 카타플라스마제)</t>
        </is>
      </c>
      <c r="AI3" s="17" t="n">
        <v>1</v>
      </c>
      <c r="AJ3" s="24" t="n">
        <v>46445</v>
      </c>
      <c r="AK3" s="17" t="inlineStr"/>
      <c r="AL3" s="17" t="inlineStr">
        <is>
          <t>Y</t>
        </is>
      </c>
      <c r="AM3" s="17" t="inlineStr">
        <is>
          <t>다중 제조소/다수 판정서로 문서관리 복잡; 무균/바이오 제조로 품질관리 난도 높음</t>
        </is>
      </c>
      <c r="AN3" s="17" t="inlineStr">
        <is>
          <t>미확인</t>
        </is>
      </c>
      <c r="AO3" s="17" t="inlineStr">
        <is>
          <t>미확인</t>
        </is>
      </c>
      <c r="AP3" s="17" t="inlineStr">
        <is>
          <t>미확인</t>
        </is>
      </c>
      <c r="AQ3" s="17" t="inlineStr">
        <is>
          <t>담당자 파악 후 접촉</t>
        </is>
      </c>
      <c r="AR3" s="17" t="inlineStr">
        <is>
          <t>2026-07-05</t>
        </is>
      </c>
      <c r="AS3" s="17" t="inlineStr">
        <is>
          <t>C(부분확인)</t>
        </is>
      </c>
      <c r="AT3" s="17" t="n">
        <v>90</v>
      </c>
      <c r="AU3" s="17" t="inlineStr"/>
      <c r="AV3" s="17" t="inlineStr"/>
    </row>
    <row r="4">
      <c r="A4" s="18" t="inlineStr">
        <is>
          <t>Tier A</t>
        </is>
      </c>
      <c r="B4" s="17" t="n">
        <v>50</v>
      </c>
      <c r="C4" s="17" t="inlineStr">
        <is>
          <t>(주)녹십자</t>
        </is>
      </c>
      <c r="D4" s="17" t="inlineStr">
        <is>
          <t>화순(생물학적제제)</t>
        </is>
      </c>
      <c r="E4" s="17" t="inlineStr">
        <is>
          <t>전라남도</t>
        </is>
      </c>
      <c r="F4" s="17" t="inlineStr">
        <is>
          <t>화순군</t>
        </is>
      </c>
      <c r="G4" s="17" t="n">
        <v>3</v>
      </c>
      <c r="H4" s="20" t="inlineStr">
        <is>
          <t>Y</t>
        </is>
      </c>
      <c r="I4" s="21" t="inlineStr">
        <is>
          <t>Y</t>
        </is>
      </c>
      <c r="J4" s="17" t="inlineStr">
        <is>
          <t>Y</t>
        </is>
      </c>
      <c r="K4" s="17" t="inlineStr">
        <is>
          <t>Y</t>
        </is>
      </c>
      <c r="L4" s="22" t="inlineStr">
        <is>
          <t>미확인</t>
        </is>
      </c>
      <c r="M4" s="22" t="inlineStr">
        <is>
          <t>미확인</t>
        </is>
      </c>
      <c r="N4" s="22" t="inlineStr">
        <is>
          <t>미확인</t>
        </is>
      </c>
      <c r="O4" s="22" t="inlineStr">
        <is>
          <t>미확인</t>
        </is>
      </c>
      <c r="P4" s="17" t="inlineStr">
        <is>
          <t>통합형</t>
        </is>
      </c>
      <c r="Q4" s="22" t="inlineStr">
        <is>
          <t>미확인</t>
        </is>
      </c>
      <c r="R4" s="22" t="inlineStr">
        <is>
          <t>미확인</t>
        </is>
      </c>
      <c r="S4" s="17" t="inlineStr">
        <is>
          <t>Tier C</t>
        </is>
      </c>
      <c r="T4" s="17" t="n">
        <v>35</v>
      </c>
      <c r="U4" s="17" t="inlineStr">
        <is>
          <t>C333</t>
        </is>
      </c>
      <c r="V4" s="17" t="inlineStr">
        <is>
          <t>녹십자</t>
        </is>
      </c>
      <c r="W4" s="17" t="inlineStr">
        <is>
          <t>Y</t>
        </is>
      </c>
      <c r="X4" s="17" t="inlineStr">
        <is>
          <t>유가</t>
        </is>
      </c>
      <c r="Y4" s="23" t="inlineStr">
        <is>
          <t>006280</t>
        </is>
      </c>
      <c r="Z4" s="17" t="inlineStr">
        <is>
          <t>허은철</t>
        </is>
      </c>
      <c r="AA4" s="17" t="inlineStr">
        <is>
          <t>http://www.gcbiopharma.com</t>
        </is>
      </c>
      <c r="AB4" s="17" t="inlineStr">
        <is>
          <t>031-260-9300</t>
        </is>
      </c>
      <c r="AC4" s="17" t="inlineStr">
        <is>
          <t>미확인</t>
        </is>
      </c>
      <c r="AD4" s="17" t="inlineStr">
        <is>
          <t>Y</t>
        </is>
      </c>
      <c r="AE4" s="17" t="inlineStr">
        <is>
          <t>P456</t>
        </is>
      </c>
      <c r="AF4" s="17" t="inlineStr">
        <is>
          <t>전라남도 화순군 화순읍 산단길 40</t>
        </is>
      </c>
      <c r="AG4" s="17" t="inlineStr">
        <is>
          <t>완제의약품+원료의약품</t>
        </is>
      </c>
      <c r="AH4" s="17" t="inlineStr">
        <is>
          <t>생물-백신-(배양, 정제, 바이러스불활화, 원액 제조)</t>
        </is>
      </c>
      <c r="AI4" s="17" t="n">
        <v>2</v>
      </c>
      <c r="AJ4" s="24" t="n">
        <v>46356</v>
      </c>
      <c r="AK4" s="25" t="inlineStr">
        <is>
          <t>Y</t>
        </is>
      </c>
      <c r="AL4" s="17" t="inlineStr">
        <is>
          <t>Y</t>
        </is>
      </c>
      <c r="AM4" s="17" t="inlineStr">
        <is>
          <t>다중 제조소/다수 판정서로 문서관리 복잡; 무균/바이오 제조로 품질관리 난도 높음</t>
        </is>
      </c>
      <c r="AN4" s="17" t="inlineStr">
        <is>
          <t>미확인</t>
        </is>
      </c>
      <c r="AO4" s="17" t="inlineStr">
        <is>
          <t>미확인</t>
        </is>
      </c>
      <c r="AP4" s="17" t="inlineStr">
        <is>
          <t>미확인</t>
        </is>
      </c>
      <c r="AQ4" s="17" t="inlineStr">
        <is>
          <t>담당자 파악 후 접촉</t>
        </is>
      </c>
      <c r="AR4" s="17" t="inlineStr">
        <is>
          <t>2026-07-05</t>
        </is>
      </c>
      <c r="AS4" s="17" t="inlineStr">
        <is>
          <t>C(부분확인)</t>
        </is>
      </c>
      <c r="AT4" s="17" t="n">
        <v>90</v>
      </c>
      <c r="AU4" s="17" t="inlineStr"/>
      <c r="AV4" s="17" t="inlineStr"/>
    </row>
    <row r="5">
      <c r="A5" s="18" t="inlineStr">
        <is>
          <t>Tier A</t>
        </is>
      </c>
      <c r="B5" s="17" t="n">
        <v>47</v>
      </c>
      <c r="C5" s="17" t="inlineStr">
        <is>
          <t>(주)메디톡스</t>
        </is>
      </c>
      <c r="D5" s="17" t="inlineStr">
        <is>
          <t>오송 3공장</t>
        </is>
      </c>
      <c r="E5" s="17" t="inlineStr">
        <is>
          <t>충청북도</t>
        </is>
      </c>
      <c r="F5" s="17" t="inlineStr">
        <is>
          <t>청주시</t>
        </is>
      </c>
      <c r="G5" s="17" t="n">
        <v>3</v>
      </c>
      <c r="H5" s="20" t="inlineStr">
        <is>
          <t>Y</t>
        </is>
      </c>
      <c r="I5" s="21" t="inlineStr">
        <is>
          <t>Y</t>
        </is>
      </c>
      <c r="J5" s="17" t="inlineStr">
        <is>
          <t>Y</t>
        </is>
      </c>
      <c r="K5" s="17" t="inlineStr">
        <is>
          <t>Y</t>
        </is>
      </c>
      <c r="L5" s="22" t="inlineStr">
        <is>
          <t>미확인</t>
        </is>
      </c>
      <c r="M5" s="22" t="inlineStr">
        <is>
          <t>미확인</t>
        </is>
      </c>
      <c r="N5" s="22" t="inlineStr">
        <is>
          <t>미확인</t>
        </is>
      </c>
      <c r="O5" s="22" t="inlineStr">
        <is>
          <t>미확인</t>
        </is>
      </c>
      <c r="P5" s="17" t="inlineStr">
        <is>
          <t>통합형</t>
        </is>
      </c>
      <c r="Q5" s="22" t="inlineStr">
        <is>
          <t>미확인</t>
        </is>
      </c>
      <c r="R5" s="22" t="inlineStr">
        <is>
          <t>미확인</t>
        </is>
      </c>
      <c r="S5" s="17" t="inlineStr">
        <is>
          <t>Tier C</t>
        </is>
      </c>
      <c r="T5" s="17" t="n">
        <v>33</v>
      </c>
      <c r="U5" s="17" t="inlineStr">
        <is>
          <t>C130</t>
        </is>
      </c>
      <c r="V5" s="17" t="inlineStr">
        <is>
          <t>메디톡스</t>
        </is>
      </c>
      <c r="W5" s="17" t="inlineStr">
        <is>
          <t>Y</t>
        </is>
      </c>
      <c r="X5" s="17" t="inlineStr">
        <is>
          <t>코스닥</t>
        </is>
      </c>
      <c r="Y5" s="23" t="inlineStr">
        <is>
          <t>086900</t>
        </is>
      </c>
      <c r="Z5" s="17" t="inlineStr">
        <is>
          <t>정현호</t>
        </is>
      </c>
      <c r="AA5" s="17" t="inlineStr">
        <is>
          <t>http://www.medytox.com</t>
        </is>
      </c>
      <c r="AB5" s="17" t="inlineStr">
        <is>
          <t>041-544-1558</t>
        </is>
      </c>
      <c r="AC5" s="17" t="inlineStr">
        <is>
          <t>미확인</t>
        </is>
      </c>
      <c r="AD5" s="17" t="inlineStr">
        <is>
          <t>Y</t>
        </is>
      </c>
      <c r="AE5" s="17" t="inlineStr">
        <is>
          <t>P136</t>
        </is>
      </c>
      <c r="AF5" s="17" t="inlineStr">
        <is>
          <t>충청북도 청주시 흥덕구 오송읍 오송생명4로 102</t>
        </is>
      </c>
      <c r="AG5" s="17" t="inlineStr">
        <is>
          <t>완제의약품</t>
        </is>
      </c>
      <c r="AH5" s="17" t="inlineStr">
        <is>
          <t>생물-독소-주사제(동결건조주사제)</t>
        </is>
      </c>
      <c r="AI5" s="17" t="n">
        <v>1</v>
      </c>
      <c r="AJ5" s="24" t="n">
        <v>47011</v>
      </c>
      <c r="AK5" s="17" t="inlineStr"/>
      <c r="AL5" s="17" t="inlineStr"/>
      <c r="AM5" s="17" t="inlineStr">
        <is>
          <t>다중 제조소/다수 판정서로 문서관리 복잡; 무균/바이오 제조로 품질관리 난도 높음</t>
        </is>
      </c>
      <c r="AN5" s="17" t="inlineStr">
        <is>
          <t>미확인</t>
        </is>
      </c>
      <c r="AO5" s="17" t="inlineStr">
        <is>
          <t>미확인</t>
        </is>
      </c>
      <c r="AP5" s="17" t="inlineStr">
        <is>
          <t>미확인</t>
        </is>
      </c>
      <c r="AQ5" s="17" t="inlineStr">
        <is>
          <t>담당자 파악 후 접촉</t>
        </is>
      </c>
      <c r="AR5" s="17" t="inlineStr">
        <is>
          <t>2026-07-05</t>
        </is>
      </c>
      <c r="AS5" s="17" t="inlineStr">
        <is>
          <t>C(부분확인)</t>
        </is>
      </c>
      <c r="AT5" s="17" t="n">
        <v>90</v>
      </c>
      <c r="AU5" s="17" t="inlineStr"/>
      <c r="AV5" s="17" t="inlineStr"/>
    </row>
    <row r="6">
      <c r="A6" s="18" t="inlineStr">
        <is>
          <t>Tier A</t>
        </is>
      </c>
      <c r="B6" s="17" t="n">
        <v>47</v>
      </c>
      <c r="C6" s="17" t="inlineStr">
        <is>
          <t>(주)메디톡스</t>
        </is>
      </c>
      <c r="D6" s="17" t="inlineStr">
        <is>
          <t>오창</t>
        </is>
      </c>
      <c r="E6" s="17" t="inlineStr">
        <is>
          <t>충청북도</t>
        </is>
      </c>
      <c r="F6" s="17" t="inlineStr">
        <is>
          <t>청주시</t>
        </is>
      </c>
      <c r="G6" s="17" t="n">
        <v>3</v>
      </c>
      <c r="H6" s="20" t="inlineStr">
        <is>
          <t>Y</t>
        </is>
      </c>
      <c r="I6" s="21" t="inlineStr">
        <is>
          <t>Y</t>
        </is>
      </c>
      <c r="J6" s="17" t="inlineStr">
        <is>
          <t>Y</t>
        </is>
      </c>
      <c r="K6" s="17" t="inlineStr">
        <is>
          <t>Y</t>
        </is>
      </c>
      <c r="L6" s="22" t="inlineStr">
        <is>
          <t>미확인</t>
        </is>
      </c>
      <c r="M6" s="22" t="inlineStr">
        <is>
          <t>미확인</t>
        </is>
      </c>
      <c r="N6" s="22" t="inlineStr">
        <is>
          <t>미확인</t>
        </is>
      </c>
      <c r="O6" s="22" t="inlineStr">
        <is>
          <t>미확인</t>
        </is>
      </c>
      <c r="P6" s="17" t="inlineStr">
        <is>
          <t>통합형</t>
        </is>
      </c>
      <c r="Q6" s="22" t="inlineStr">
        <is>
          <t>미확인</t>
        </is>
      </c>
      <c r="R6" s="22" t="inlineStr">
        <is>
          <t>미확인</t>
        </is>
      </c>
      <c r="S6" s="17" t="inlineStr">
        <is>
          <t>Tier C</t>
        </is>
      </c>
      <c r="T6" s="17" t="n">
        <v>33</v>
      </c>
      <c r="U6" s="17" t="inlineStr">
        <is>
          <t>C130</t>
        </is>
      </c>
      <c r="V6" s="17" t="inlineStr">
        <is>
          <t>메디톡스</t>
        </is>
      </c>
      <c r="W6" s="17" t="inlineStr">
        <is>
          <t>Y</t>
        </is>
      </c>
      <c r="X6" s="17" t="inlineStr">
        <is>
          <t>코스닥</t>
        </is>
      </c>
      <c r="Y6" s="23" t="inlineStr">
        <is>
          <t>086900</t>
        </is>
      </c>
      <c r="Z6" s="17" t="inlineStr">
        <is>
          <t>정현호</t>
        </is>
      </c>
      <c r="AA6" s="17" t="inlineStr">
        <is>
          <t>http://www.medytox.com</t>
        </is>
      </c>
      <c r="AB6" s="17" t="inlineStr">
        <is>
          <t>041-544-1558</t>
        </is>
      </c>
      <c r="AC6" s="17" t="inlineStr">
        <is>
          <t>미확인</t>
        </is>
      </c>
      <c r="AD6" s="17" t="inlineStr">
        <is>
          <t>Y</t>
        </is>
      </c>
      <c r="AE6" s="17" t="inlineStr">
        <is>
          <t>P153</t>
        </is>
      </c>
      <c r="AF6" s="17" t="inlineStr">
        <is>
          <t>충청북도 청주시 청원구 오창읍 각리1길 78</t>
        </is>
      </c>
      <c r="AG6" s="17" t="inlineStr">
        <is>
          <t>완제의약품+원료의약품</t>
        </is>
      </c>
      <c r="AH6" s="17" t="inlineStr">
        <is>
          <t>생물-독소-주사제(주사제, 동결건조주사제)</t>
        </is>
      </c>
      <c r="AI6" s="17" t="n">
        <v>2</v>
      </c>
      <c r="AJ6" s="24" t="n">
        <v>46983</v>
      </c>
      <c r="AK6" s="17" t="inlineStr"/>
      <c r="AL6" s="17" t="inlineStr"/>
      <c r="AM6" s="17" t="inlineStr">
        <is>
          <t>다중 제조소/다수 판정서로 문서관리 복잡; 무균/바이오 제조로 품질관리 난도 높음</t>
        </is>
      </c>
      <c r="AN6" s="17" t="inlineStr">
        <is>
          <t>미확인</t>
        </is>
      </c>
      <c r="AO6" s="17" t="inlineStr">
        <is>
          <t>미확인</t>
        </is>
      </c>
      <c r="AP6" s="17" t="inlineStr">
        <is>
          <t>미확인</t>
        </is>
      </c>
      <c r="AQ6" s="17" t="inlineStr">
        <is>
          <t>담당자 파악 후 접촉</t>
        </is>
      </c>
      <c r="AR6" s="17" t="inlineStr">
        <is>
          <t>2026-07-05</t>
        </is>
      </c>
      <c r="AS6" s="17" t="inlineStr">
        <is>
          <t>C(부분확인)</t>
        </is>
      </c>
      <c r="AT6" s="17" t="n">
        <v>90</v>
      </c>
      <c r="AU6" s="17" t="inlineStr"/>
      <c r="AV6" s="17" t="inlineStr"/>
    </row>
    <row r="7">
      <c r="A7" s="18" t="inlineStr">
        <is>
          <t>Tier A</t>
        </is>
      </c>
      <c r="B7" s="17" t="n">
        <v>47</v>
      </c>
      <c r="C7" s="17" t="inlineStr">
        <is>
          <t>(주)메디톡스</t>
        </is>
      </c>
      <c r="D7" s="17" t="inlineStr">
        <is>
          <t>오송 3공장</t>
        </is>
      </c>
      <c r="E7" s="17" t="inlineStr">
        <is>
          <t>충청북도</t>
        </is>
      </c>
      <c r="F7" s="17" t="inlineStr">
        <is>
          <t>청주시</t>
        </is>
      </c>
      <c r="G7" s="17" t="n">
        <v>3</v>
      </c>
      <c r="H7" s="20" t="inlineStr">
        <is>
          <t>Y</t>
        </is>
      </c>
      <c r="I7" s="21" t="inlineStr">
        <is>
          <t>Y</t>
        </is>
      </c>
      <c r="J7" s="17" t="inlineStr">
        <is>
          <t>Y</t>
        </is>
      </c>
      <c r="K7" s="17" t="inlineStr">
        <is>
          <t>Y</t>
        </is>
      </c>
      <c r="L7" s="22" t="inlineStr">
        <is>
          <t>미확인</t>
        </is>
      </c>
      <c r="M7" s="22" t="inlineStr">
        <is>
          <t>미확인</t>
        </is>
      </c>
      <c r="N7" s="22" t="inlineStr">
        <is>
          <t>미확인</t>
        </is>
      </c>
      <c r="O7" s="22" t="inlineStr">
        <is>
          <t>미확인</t>
        </is>
      </c>
      <c r="P7" s="17" t="inlineStr">
        <is>
          <t>통합형</t>
        </is>
      </c>
      <c r="Q7" s="22" t="inlineStr">
        <is>
          <t>미확인</t>
        </is>
      </c>
      <c r="R7" s="22" t="inlineStr">
        <is>
          <t>미확인</t>
        </is>
      </c>
      <c r="S7" s="17" t="inlineStr">
        <is>
          <t>Tier C</t>
        </is>
      </c>
      <c r="T7" s="17" t="n">
        <v>33</v>
      </c>
      <c r="U7" s="17" t="inlineStr">
        <is>
          <t>C130</t>
        </is>
      </c>
      <c r="V7" s="17" t="inlineStr">
        <is>
          <t>메디톡스</t>
        </is>
      </c>
      <c r="W7" s="17" t="inlineStr">
        <is>
          <t>Y</t>
        </is>
      </c>
      <c r="X7" s="17" t="inlineStr">
        <is>
          <t>코스닥</t>
        </is>
      </c>
      <c r="Y7" s="23" t="inlineStr">
        <is>
          <t>086900</t>
        </is>
      </c>
      <c r="Z7" s="17" t="inlineStr">
        <is>
          <t>정현호</t>
        </is>
      </c>
      <c r="AA7" s="17" t="inlineStr">
        <is>
          <t>http://www.medytox.com</t>
        </is>
      </c>
      <c r="AB7" s="17" t="inlineStr">
        <is>
          <t>041-544-1558</t>
        </is>
      </c>
      <c r="AC7" s="17" t="inlineStr">
        <is>
          <t>미확인</t>
        </is>
      </c>
      <c r="AD7" s="17" t="inlineStr">
        <is>
          <t>Y</t>
        </is>
      </c>
      <c r="AE7" s="17" t="inlineStr">
        <is>
          <t>P360</t>
        </is>
      </c>
      <c r="AF7" s="17" t="inlineStr">
        <is>
          <t>충청북도 청주시 흥덕구 오송읍 오송생명6로 71</t>
        </is>
      </c>
      <c r="AG7" s="17" t="inlineStr">
        <is>
          <t>완제의약품</t>
        </is>
      </c>
      <c r="AH7" s="17" t="inlineStr">
        <is>
          <t>생물-독소-주사제(주사제)</t>
        </is>
      </c>
      <c r="AI7" s="17" t="n">
        <v>1</v>
      </c>
      <c r="AJ7" s="24" t="n">
        <v>46572</v>
      </c>
      <c r="AK7" s="17" t="inlineStr"/>
      <c r="AL7" s="17" t="inlineStr">
        <is>
          <t>Y</t>
        </is>
      </c>
      <c r="AM7" s="17" t="inlineStr">
        <is>
          <t>다중 제조소/다수 판정서로 문서관리 복잡; 무균/바이오 제조로 품질관리 난도 높음</t>
        </is>
      </c>
      <c r="AN7" s="17" t="inlineStr">
        <is>
          <t>미확인</t>
        </is>
      </c>
      <c r="AO7" s="17" t="inlineStr">
        <is>
          <t>미확인</t>
        </is>
      </c>
      <c r="AP7" s="17" t="inlineStr">
        <is>
          <t>미확인</t>
        </is>
      </c>
      <c r="AQ7" s="17" t="inlineStr">
        <is>
          <t>담당자 파악 후 접촉</t>
        </is>
      </c>
      <c r="AR7" s="17" t="inlineStr">
        <is>
          <t>2026-07-05</t>
        </is>
      </c>
      <c r="AS7" s="17" t="inlineStr">
        <is>
          <t>C(부분확인)</t>
        </is>
      </c>
      <c r="AT7" s="17" t="n">
        <v>90</v>
      </c>
      <c r="AU7" s="17" t="inlineStr"/>
      <c r="AV7" s="17" t="inlineStr"/>
    </row>
    <row r="8">
      <c r="A8" s="18" t="inlineStr">
        <is>
          <t>Tier A</t>
        </is>
      </c>
      <c r="B8" s="17" t="n">
        <v>47</v>
      </c>
      <c r="C8" s="17" t="inlineStr">
        <is>
          <t>동아에스티(주)</t>
        </is>
      </c>
      <c r="D8" s="17" t="inlineStr">
        <is>
          <t>송도</t>
        </is>
      </c>
      <c r="E8" s="17" t="inlineStr">
        <is>
          <t>인천광역시</t>
        </is>
      </c>
      <c r="F8" s="17" t="inlineStr">
        <is>
          <t>연수구</t>
        </is>
      </c>
      <c r="G8" s="17" t="n">
        <v>3</v>
      </c>
      <c r="H8" s="17" t="inlineStr"/>
      <c r="I8" s="17" t="inlineStr"/>
      <c r="J8" s="17" t="inlineStr">
        <is>
          <t>Y</t>
        </is>
      </c>
      <c r="K8" s="17" t="inlineStr">
        <is>
          <t>Y</t>
        </is>
      </c>
      <c r="L8" s="22" t="inlineStr">
        <is>
          <t>미확인</t>
        </is>
      </c>
      <c r="M8" s="22" t="inlineStr">
        <is>
          <t>미확인</t>
        </is>
      </c>
      <c r="N8" s="22" t="inlineStr">
        <is>
          <t>미확인</t>
        </is>
      </c>
      <c r="O8" s="22" t="inlineStr">
        <is>
          <t>미확인</t>
        </is>
      </c>
      <c r="P8" s="17" t="inlineStr">
        <is>
          <t>통합형</t>
        </is>
      </c>
      <c r="Q8" s="22" t="inlineStr">
        <is>
          <t>미확인</t>
        </is>
      </c>
      <c r="R8" s="22" t="inlineStr">
        <is>
          <t>미확인</t>
        </is>
      </c>
      <c r="S8" s="17" t="inlineStr">
        <is>
          <t>Tier C</t>
        </is>
      </c>
      <c r="T8" s="17" t="n">
        <v>33</v>
      </c>
      <c r="U8" s="17" t="inlineStr">
        <is>
          <t>C049</t>
        </is>
      </c>
      <c r="V8" s="17" t="inlineStr">
        <is>
          <t>동아에스티</t>
        </is>
      </c>
      <c r="W8" s="17" t="inlineStr">
        <is>
          <t>Y</t>
        </is>
      </c>
      <c r="X8" s="17" t="inlineStr">
        <is>
          <t>유가</t>
        </is>
      </c>
      <c r="Y8" s="23" t="inlineStr">
        <is>
          <t>170900</t>
        </is>
      </c>
      <c r="Z8" s="17" t="inlineStr">
        <is>
          <t>정재훈</t>
        </is>
      </c>
      <c r="AA8" s="17" t="inlineStr">
        <is>
          <t>http://www.donga.co.kr</t>
        </is>
      </c>
      <c r="AB8" s="17" t="inlineStr">
        <is>
          <t>02-920-8208</t>
        </is>
      </c>
      <c r="AC8" s="17" t="inlineStr">
        <is>
          <t>미확인</t>
        </is>
      </c>
      <c r="AD8" s="17" t="inlineStr">
        <is>
          <t>Y</t>
        </is>
      </c>
      <c r="AE8" s="17" t="inlineStr">
        <is>
          <t>P050</t>
        </is>
      </c>
      <c r="AF8" s="17" t="inlineStr">
        <is>
          <t>인천광역시 연수구 지식기반로 45 주2,6,7,8동</t>
        </is>
      </c>
      <c r="AG8" s="17" t="inlineStr">
        <is>
          <t>완제의약품</t>
        </is>
      </c>
      <c r="AH8" s="17" t="inlineStr">
        <is>
          <t>비무균-일반제제-내용고형제(정제)</t>
        </is>
      </c>
      <c r="AI8" s="17" t="n">
        <v>1</v>
      </c>
      <c r="AJ8" s="24" t="n">
        <v>47214</v>
      </c>
      <c r="AK8" s="17" t="inlineStr"/>
      <c r="AL8" s="17" t="inlineStr"/>
      <c r="AM8" s="17" t="inlineStr">
        <is>
          <t>다중 제조소/다수 판정서로 문서관리 복잡; 무균/바이오 제조로 품질관리 난도 높음</t>
        </is>
      </c>
      <c r="AN8" s="17" t="inlineStr">
        <is>
          <t>미확인</t>
        </is>
      </c>
      <c r="AO8" s="17" t="inlineStr">
        <is>
          <t>미확인</t>
        </is>
      </c>
      <c r="AP8" s="17" t="inlineStr">
        <is>
          <t>미확인</t>
        </is>
      </c>
      <c r="AQ8" s="17" t="inlineStr">
        <is>
          <t>담당자 파악 후 접촉</t>
        </is>
      </c>
      <c r="AR8" s="17" t="inlineStr">
        <is>
          <t>2026-07-05</t>
        </is>
      </c>
      <c r="AS8" s="17" t="inlineStr">
        <is>
          <t>C(부분확인)</t>
        </is>
      </c>
      <c r="AT8" s="17" t="n">
        <v>90</v>
      </c>
      <c r="AU8" s="17" t="inlineStr"/>
      <c r="AV8" s="17" t="inlineStr"/>
    </row>
    <row r="9">
      <c r="A9" s="18" t="inlineStr">
        <is>
          <t>Tier A</t>
        </is>
      </c>
      <c r="B9" s="17" t="n">
        <v>47</v>
      </c>
      <c r="C9" s="17" t="inlineStr">
        <is>
          <t>동아에스티(주)</t>
        </is>
      </c>
      <c r="D9" s="17" t="inlineStr">
        <is>
          <t>시험실</t>
        </is>
      </c>
      <c r="E9" s="17" t="inlineStr">
        <is>
          <t>충청남도</t>
        </is>
      </c>
      <c r="F9" s="17" t="inlineStr">
        <is>
          <t>천안시</t>
        </is>
      </c>
      <c r="G9" s="17" t="n">
        <v>3</v>
      </c>
      <c r="H9" s="20" t="inlineStr">
        <is>
          <t>Y</t>
        </is>
      </c>
      <c r="I9" s="17" t="inlineStr"/>
      <c r="J9" s="17" t="inlineStr">
        <is>
          <t>Y</t>
        </is>
      </c>
      <c r="K9" s="17" t="inlineStr">
        <is>
          <t>Y</t>
        </is>
      </c>
      <c r="L9" s="22" t="inlineStr">
        <is>
          <t>미확인</t>
        </is>
      </c>
      <c r="M9" s="22" t="inlineStr">
        <is>
          <t>미확인</t>
        </is>
      </c>
      <c r="N9" s="22" t="inlineStr">
        <is>
          <t>미확인</t>
        </is>
      </c>
      <c r="O9" s="22" t="inlineStr">
        <is>
          <t>미확인</t>
        </is>
      </c>
      <c r="P9" s="17" t="inlineStr">
        <is>
          <t>통합형</t>
        </is>
      </c>
      <c r="Q9" s="22" t="inlineStr">
        <is>
          <t>미확인</t>
        </is>
      </c>
      <c r="R9" s="22" t="inlineStr">
        <is>
          <t>미확인</t>
        </is>
      </c>
      <c r="S9" s="17" t="inlineStr">
        <is>
          <t>Tier C</t>
        </is>
      </c>
      <c r="T9" s="17" t="n">
        <v>33</v>
      </c>
      <c r="U9" s="17" t="inlineStr">
        <is>
          <t>C049</t>
        </is>
      </c>
      <c r="V9" s="17" t="inlineStr">
        <is>
          <t>동아에스티</t>
        </is>
      </c>
      <c r="W9" s="17" t="inlineStr">
        <is>
          <t>Y</t>
        </is>
      </c>
      <c r="X9" s="17" t="inlineStr">
        <is>
          <t>유가</t>
        </is>
      </c>
      <c r="Y9" s="23" t="inlineStr">
        <is>
          <t>170900</t>
        </is>
      </c>
      <c r="Z9" s="17" t="inlineStr">
        <is>
          <t>정재훈</t>
        </is>
      </c>
      <c r="AA9" s="17" t="inlineStr">
        <is>
          <t>http://www.donga.co.kr</t>
        </is>
      </c>
      <c r="AB9" s="17" t="inlineStr">
        <is>
          <t>02-920-8208</t>
        </is>
      </c>
      <c r="AC9" s="17" t="inlineStr">
        <is>
          <t>미확인</t>
        </is>
      </c>
      <c r="AD9" s="17" t="inlineStr">
        <is>
          <t>Y</t>
        </is>
      </c>
      <c r="AE9" s="17" t="inlineStr">
        <is>
          <t>P234</t>
        </is>
      </c>
      <c r="AF9" s="17" t="inlineStr">
        <is>
          <t>충청남도 천안시 서북구 백석공단1로 200-23 (2B, 3, 4B층)</t>
        </is>
      </c>
      <c r="AG9" s="17" t="inlineStr">
        <is>
          <t>완제의약품</t>
        </is>
      </c>
      <c r="AH9" s="17" t="inlineStr">
        <is>
          <t>비무균-일반제제-내용고형제(정제, 캡슐제), 무균-일반제제-주사제(주사제, 동결건조주사제), 무균-세포독성항암제제-주사제(주사제, 동결건조주사제)</t>
        </is>
      </c>
      <c r="AI9" s="17" t="n">
        <v>1</v>
      </c>
      <c r="AJ9" s="24" t="n">
        <v>46875</v>
      </c>
      <c r="AK9" s="17" t="inlineStr"/>
      <c r="AL9" s="17" t="inlineStr"/>
      <c r="AM9" s="17" t="inlineStr">
        <is>
          <t>다중 제조소/다수 판정서로 문서관리 복잡; 무균/바이오 제조로 품질관리 난도 높음</t>
        </is>
      </c>
      <c r="AN9" s="17" t="inlineStr">
        <is>
          <t>미확인</t>
        </is>
      </c>
      <c r="AO9" s="17" t="inlineStr">
        <is>
          <t>미확인</t>
        </is>
      </c>
      <c r="AP9" s="17" t="inlineStr">
        <is>
          <t>미확인</t>
        </is>
      </c>
      <c r="AQ9" s="17" t="inlineStr">
        <is>
          <t>담당자 파악 후 접촉</t>
        </is>
      </c>
      <c r="AR9" s="17" t="inlineStr">
        <is>
          <t>2026-07-05</t>
        </is>
      </c>
      <c r="AS9" s="17" t="inlineStr">
        <is>
          <t>C(부분확인)</t>
        </is>
      </c>
      <c r="AT9" s="17" t="n">
        <v>90</v>
      </c>
      <c r="AU9" s="17" t="inlineStr"/>
      <c r="AV9" s="17" t="inlineStr"/>
    </row>
    <row r="10">
      <c r="A10" s="18" t="inlineStr">
        <is>
          <t>Tier A</t>
        </is>
      </c>
      <c r="B10" s="17" t="n">
        <v>47</v>
      </c>
      <c r="C10" s="17" t="inlineStr">
        <is>
          <t>동아에스티(주)</t>
        </is>
      </c>
      <c r="D10" s="17" t="inlineStr">
        <is>
          <t>대구</t>
        </is>
      </c>
      <c r="E10" s="17" t="inlineStr">
        <is>
          <t>대구광역시</t>
        </is>
      </c>
      <c r="F10" s="17" t="inlineStr">
        <is>
          <t>달성군</t>
        </is>
      </c>
      <c r="G10" s="17" t="n">
        <v>3</v>
      </c>
      <c r="H10" s="20" t="inlineStr">
        <is>
          <t>Y</t>
        </is>
      </c>
      <c r="I10" s="21" t="inlineStr">
        <is>
          <t>Y</t>
        </is>
      </c>
      <c r="J10" s="17" t="inlineStr">
        <is>
          <t>Y</t>
        </is>
      </c>
      <c r="K10" s="17" t="inlineStr">
        <is>
          <t>Y</t>
        </is>
      </c>
      <c r="L10" s="22" t="inlineStr">
        <is>
          <t>미확인</t>
        </is>
      </c>
      <c r="M10" s="22" t="inlineStr">
        <is>
          <t>미확인</t>
        </is>
      </c>
      <c r="N10" s="22" t="inlineStr">
        <is>
          <t>미확인</t>
        </is>
      </c>
      <c r="O10" s="22" t="inlineStr">
        <is>
          <t>미확인</t>
        </is>
      </c>
      <c r="P10" s="17" t="inlineStr">
        <is>
          <t>통합형</t>
        </is>
      </c>
      <c r="Q10" s="22" t="inlineStr">
        <is>
          <t>미확인</t>
        </is>
      </c>
      <c r="R10" s="22" t="inlineStr">
        <is>
          <t>미확인</t>
        </is>
      </c>
      <c r="S10" s="17" t="inlineStr">
        <is>
          <t>Tier C</t>
        </is>
      </c>
      <c r="T10" s="17" t="n">
        <v>33</v>
      </c>
      <c r="U10" s="17" t="inlineStr">
        <is>
          <t>C049</t>
        </is>
      </c>
      <c r="V10" s="17" t="inlineStr">
        <is>
          <t>동아에스티</t>
        </is>
      </c>
      <c r="W10" s="17" t="inlineStr">
        <is>
          <t>Y</t>
        </is>
      </c>
      <c r="X10" s="17" t="inlineStr">
        <is>
          <t>유가</t>
        </is>
      </c>
      <c r="Y10" s="23" t="inlineStr">
        <is>
          <t>170900</t>
        </is>
      </c>
      <c r="Z10" s="17" t="inlineStr">
        <is>
          <t>정재훈</t>
        </is>
      </c>
      <c r="AA10" s="17" t="inlineStr">
        <is>
          <t>http://www.donga.co.kr</t>
        </is>
      </c>
      <c r="AB10" s="17" t="inlineStr">
        <is>
          <t>02-920-8208</t>
        </is>
      </c>
      <c r="AC10" s="17" t="inlineStr">
        <is>
          <t>미확인</t>
        </is>
      </c>
      <c r="AD10" s="17" t="inlineStr">
        <is>
          <t>Y</t>
        </is>
      </c>
      <c r="AE10" s="17" t="inlineStr">
        <is>
          <t>P401</t>
        </is>
      </c>
      <c r="AF10" s="17" t="inlineStr">
        <is>
          <t>대구광역시 달성군 논공읍 논공로 493</t>
        </is>
      </c>
      <c r="AG10" s="17" t="inlineStr">
        <is>
          <t>완제의약품+원료의약품</t>
        </is>
      </c>
      <c r="AH10" s="17" t="inlineStr">
        <is>
          <t>생물-유전자재조합의약품-주사제(주사제)</t>
        </is>
      </c>
      <c r="AI10" s="17" t="n">
        <v>2</v>
      </c>
      <c r="AJ10" s="24" t="n">
        <v>46481</v>
      </c>
      <c r="AK10" s="17" t="inlineStr"/>
      <c r="AL10" s="17" t="inlineStr">
        <is>
          <t>Y</t>
        </is>
      </c>
      <c r="AM10" s="17" t="inlineStr">
        <is>
          <t>다중 제조소/다수 판정서로 문서관리 복잡; 무균/바이오 제조로 품질관리 난도 높음</t>
        </is>
      </c>
      <c r="AN10" s="17" t="inlineStr">
        <is>
          <t>미확인</t>
        </is>
      </c>
      <c r="AO10" s="17" t="inlineStr">
        <is>
          <t>미확인</t>
        </is>
      </c>
      <c r="AP10" s="17" t="inlineStr">
        <is>
          <t>미확인</t>
        </is>
      </c>
      <c r="AQ10" s="17" t="inlineStr">
        <is>
          <t>담당자 파악 후 접촉</t>
        </is>
      </c>
      <c r="AR10" s="17" t="inlineStr">
        <is>
          <t>2026-07-05</t>
        </is>
      </c>
      <c r="AS10" s="17" t="inlineStr">
        <is>
          <t>C(부분확인)</t>
        </is>
      </c>
      <c r="AT10" s="17" t="n">
        <v>90</v>
      </c>
      <c r="AU10" s="17" t="inlineStr"/>
      <c r="AV10" s="17" t="inlineStr"/>
    </row>
    <row r="11">
      <c r="A11" s="18" t="inlineStr">
        <is>
          <t>Tier A</t>
        </is>
      </c>
      <c r="B11" s="17" t="n">
        <v>45</v>
      </c>
      <c r="C11" s="17" t="inlineStr">
        <is>
          <t>(주)종근당바이오</t>
        </is>
      </c>
      <c r="D11" s="17" t="inlineStr">
        <is>
          <t>안산</t>
        </is>
      </c>
      <c r="E11" s="17" t="inlineStr">
        <is>
          <t>경기도</t>
        </is>
      </c>
      <c r="F11" s="17" t="inlineStr">
        <is>
          <t>안산시</t>
        </is>
      </c>
      <c r="G11" s="17" t="n">
        <v>3</v>
      </c>
      <c r="H11" s="17" t="inlineStr"/>
      <c r="I11" s="17" t="inlineStr"/>
      <c r="J11" s="17" t="inlineStr">
        <is>
          <t>Y</t>
        </is>
      </c>
      <c r="K11" s="17" t="inlineStr">
        <is>
          <t>Y</t>
        </is>
      </c>
      <c r="L11" s="22" t="inlineStr">
        <is>
          <t>미확인</t>
        </is>
      </c>
      <c r="M11" s="22" t="inlineStr">
        <is>
          <t>미확인</t>
        </is>
      </c>
      <c r="N11" s="22" t="inlineStr">
        <is>
          <t>미확인</t>
        </is>
      </c>
      <c r="O11" s="22" t="inlineStr">
        <is>
          <t>미확인</t>
        </is>
      </c>
      <c r="P11" s="17" t="inlineStr">
        <is>
          <t>통합형</t>
        </is>
      </c>
      <c r="Q11" s="22" t="inlineStr">
        <is>
          <t>미확인</t>
        </is>
      </c>
      <c r="R11" s="22" t="inlineStr">
        <is>
          <t>미확인</t>
        </is>
      </c>
      <c r="S11" s="17" t="inlineStr">
        <is>
          <t>Tier C</t>
        </is>
      </c>
      <c r="T11" s="17" t="n">
        <v>30</v>
      </c>
      <c r="U11" s="17" t="inlineStr">
        <is>
          <t>C076</t>
        </is>
      </c>
      <c r="V11" s="17" t="inlineStr">
        <is>
          <t>종근당바이오</t>
        </is>
      </c>
      <c r="W11" s="17" t="inlineStr">
        <is>
          <t>Y</t>
        </is>
      </c>
      <c r="X11" s="17" t="inlineStr">
        <is>
          <t>유가</t>
        </is>
      </c>
      <c r="Y11" s="23" t="inlineStr">
        <is>
          <t>063160</t>
        </is>
      </c>
      <c r="Z11" s="17" t="inlineStr">
        <is>
          <t>박완갑</t>
        </is>
      </c>
      <c r="AA11" s="17" t="inlineStr">
        <is>
          <t>http://www.ckdbio.com</t>
        </is>
      </c>
      <c r="AB11" s="17" t="inlineStr">
        <is>
          <t>031-489-1121</t>
        </is>
      </c>
      <c r="AC11" s="17" t="inlineStr">
        <is>
          <t>미확인</t>
        </is>
      </c>
      <c r="AD11" s="17" t="inlineStr">
        <is>
          <t>Y</t>
        </is>
      </c>
      <c r="AE11" s="17" t="inlineStr">
        <is>
          <t>P078</t>
        </is>
      </c>
      <c r="AF11" s="17" t="inlineStr">
        <is>
          <t>경기도 안산시 단원구 신원로 292 .</t>
        </is>
      </c>
      <c r="AG11" s="17" t="inlineStr">
        <is>
          <t>완제의약품+원료의약품</t>
        </is>
      </c>
      <c r="AH11" s="17" t="inlineStr">
        <is>
          <t>비무균-일반제제-내용고형제(캡슐제)</t>
        </is>
      </c>
      <c r="AI11" s="17" t="n">
        <v>2</v>
      </c>
      <c r="AJ11" s="24" t="n">
        <v>46634</v>
      </c>
      <c r="AK11" s="17" t="inlineStr"/>
      <c r="AL11" s="17" t="inlineStr"/>
      <c r="AM11" s="17" t="inlineStr">
        <is>
          <t>다중 제조소/다수 판정서로 문서관리 복잡; 무균/바이오 제조로 품질관리 난도 높음</t>
        </is>
      </c>
      <c r="AN11" s="17" t="inlineStr">
        <is>
          <t>미확인</t>
        </is>
      </c>
      <c r="AO11" s="17" t="inlineStr">
        <is>
          <t>미확인</t>
        </is>
      </c>
      <c r="AP11" s="17" t="inlineStr">
        <is>
          <t>미확인</t>
        </is>
      </c>
      <c r="AQ11" s="17" t="inlineStr">
        <is>
          <t>담당자 파악 후 접촉</t>
        </is>
      </c>
      <c r="AR11" s="17" t="inlineStr">
        <is>
          <t>2026-07-05</t>
        </is>
      </c>
      <c r="AS11" s="17" t="inlineStr">
        <is>
          <t>C(부분확인)</t>
        </is>
      </c>
      <c r="AT11" s="17" t="n">
        <v>90</v>
      </c>
      <c r="AU11" s="17" t="inlineStr"/>
      <c r="AV11" s="17" t="inlineStr"/>
    </row>
    <row r="12">
      <c r="A12" s="18" t="inlineStr">
        <is>
          <t>Tier A</t>
        </is>
      </c>
      <c r="B12" s="17" t="n">
        <v>45</v>
      </c>
      <c r="C12" s="17" t="inlineStr">
        <is>
          <t>(주)종근당바이오</t>
        </is>
      </c>
      <c r="D12" s="17" t="inlineStr">
        <is>
          <t>예산</t>
        </is>
      </c>
      <c r="E12" s="17" t="inlineStr">
        <is>
          <t>충청남도</t>
        </is>
      </c>
      <c r="F12" s="17" t="inlineStr">
        <is>
          <t>예산군</t>
        </is>
      </c>
      <c r="G12" s="17" t="n">
        <v>3</v>
      </c>
      <c r="H12" s="17" t="inlineStr"/>
      <c r="I12" s="17" t="inlineStr"/>
      <c r="J12" s="17" t="inlineStr">
        <is>
          <t>Y</t>
        </is>
      </c>
      <c r="K12" s="17" t="inlineStr">
        <is>
          <t>Y</t>
        </is>
      </c>
      <c r="L12" s="22" t="inlineStr">
        <is>
          <t>미확인</t>
        </is>
      </c>
      <c r="M12" s="22" t="inlineStr">
        <is>
          <t>미확인</t>
        </is>
      </c>
      <c r="N12" s="22" t="inlineStr">
        <is>
          <t>미확인</t>
        </is>
      </c>
      <c r="O12" s="22" t="inlineStr">
        <is>
          <t>미확인</t>
        </is>
      </c>
      <c r="P12" s="17" t="inlineStr">
        <is>
          <t>통합형</t>
        </is>
      </c>
      <c r="Q12" s="22" t="inlineStr">
        <is>
          <t>미확인</t>
        </is>
      </c>
      <c r="R12" s="22" t="inlineStr">
        <is>
          <t>미확인</t>
        </is>
      </c>
      <c r="S12" s="17" t="inlineStr">
        <is>
          <t>Tier C</t>
        </is>
      </c>
      <c r="T12" s="17" t="n">
        <v>30</v>
      </c>
      <c r="U12" s="17" t="inlineStr">
        <is>
          <t>C076</t>
        </is>
      </c>
      <c r="V12" s="17" t="inlineStr">
        <is>
          <t>종근당바이오</t>
        </is>
      </c>
      <c r="W12" s="17" t="inlineStr">
        <is>
          <t>Y</t>
        </is>
      </c>
      <c r="X12" s="17" t="inlineStr">
        <is>
          <t>유가</t>
        </is>
      </c>
      <c r="Y12" s="23" t="inlineStr">
        <is>
          <t>063160</t>
        </is>
      </c>
      <c r="Z12" s="17" t="inlineStr">
        <is>
          <t>박완갑</t>
        </is>
      </c>
      <c r="AA12" s="17" t="inlineStr">
        <is>
          <t>http://www.ckdbio.com</t>
        </is>
      </c>
      <c r="AB12" s="17" t="inlineStr">
        <is>
          <t>031-489-1121</t>
        </is>
      </c>
      <c r="AC12" s="17" t="inlineStr">
        <is>
          <t>미확인</t>
        </is>
      </c>
      <c r="AD12" s="17" t="inlineStr">
        <is>
          <t>Y</t>
        </is>
      </c>
      <c r="AE12" s="17" t="inlineStr">
        <is>
          <t>P213</t>
        </is>
      </c>
      <c r="AF12" s="17" t="inlineStr">
        <is>
          <t>충청남도 예산군 삽교읍 산단3길 226 101호, 2-1동, 3-1동, 4동</t>
        </is>
      </c>
      <c r="AG12" s="17" t="inlineStr">
        <is>
          <t>원료의약품</t>
        </is>
      </c>
      <c r="AH12" s="17" t="inlineStr">
        <is>
          <t>비무균-일반제제-합성</t>
        </is>
      </c>
      <c r="AI12" s="17" t="n">
        <v>1</v>
      </c>
      <c r="AJ12" s="24" t="n">
        <v>46897</v>
      </c>
      <c r="AK12" s="17" t="inlineStr"/>
      <c r="AL12" s="17" t="inlineStr"/>
      <c r="AM12" s="17" t="inlineStr">
        <is>
          <t>다중 제조소/다수 판정서로 문서관리 복잡; 무균/바이오 제조로 품질관리 난도 높음</t>
        </is>
      </c>
      <c r="AN12" s="17" t="inlineStr">
        <is>
          <t>미확인</t>
        </is>
      </c>
      <c r="AO12" s="17" t="inlineStr">
        <is>
          <t>미확인</t>
        </is>
      </c>
      <c r="AP12" s="17" t="inlineStr">
        <is>
          <t>미확인</t>
        </is>
      </c>
      <c r="AQ12" s="17" t="inlineStr">
        <is>
          <t>담당자 파악 후 접촉</t>
        </is>
      </c>
      <c r="AR12" s="17" t="inlineStr">
        <is>
          <t>2026-07-05</t>
        </is>
      </c>
      <c r="AS12" s="17" t="inlineStr">
        <is>
          <t>C(부분확인)</t>
        </is>
      </c>
      <c r="AT12" s="17" t="n">
        <v>90</v>
      </c>
      <c r="AU12" s="17" t="inlineStr"/>
      <c r="AV12" s="17" t="inlineStr"/>
    </row>
    <row r="13">
      <c r="A13" s="18" t="inlineStr">
        <is>
          <t>Tier A</t>
        </is>
      </c>
      <c r="B13" s="17" t="n">
        <v>45</v>
      </c>
      <c r="C13" s="17" t="inlineStr">
        <is>
          <t>(주)종근당바이오</t>
        </is>
      </c>
      <c r="D13" s="17" t="inlineStr">
        <is>
          <t>오송</t>
        </is>
      </c>
      <c r="E13" s="17" t="inlineStr">
        <is>
          <t>충청북도</t>
        </is>
      </c>
      <c r="F13" s="17" t="inlineStr">
        <is>
          <t>청주시</t>
        </is>
      </c>
      <c r="G13" s="17" t="n">
        <v>3</v>
      </c>
      <c r="H13" s="20" t="inlineStr">
        <is>
          <t>Y</t>
        </is>
      </c>
      <c r="I13" s="21" t="inlineStr">
        <is>
          <t>Y</t>
        </is>
      </c>
      <c r="J13" s="17" t="inlineStr">
        <is>
          <t>Y</t>
        </is>
      </c>
      <c r="K13" s="17" t="inlineStr">
        <is>
          <t>Y</t>
        </is>
      </c>
      <c r="L13" s="22" t="inlineStr">
        <is>
          <t>미확인</t>
        </is>
      </c>
      <c r="M13" s="22" t="inlineStr">
        <is>
          <t>미확인</t>
        </is>
      </c>
      <c r="N13" s="22" t="inlineStr">
        <is>
          <t>미확인</t>
        </is>
      </c>
      <c r="O13" s="22" t="inlineStr">
        <is>
          <t>미확인</t>
        </is>
      </c>
      <c r="P13" s="17" t="inlineStr">
        <is>
          <t>통합형</t>
        </is>
      </c>
      <c r="Q13" s="22" t="inlineStr">
        <is>
          <t>미확인</t>
        </is>
      </c>
      <c r="R13" s="22" t="inlineStr">
        <is>
          <t>미확인</t>
        </is>
      </c>
      <c r="S13" s="17" t="inlineStr">
        <is>
          <t>Tier C</t>
        </is>
      </c>
      <c r="T13" s="17" t="n">
        <v>30</v>
      </c>
      <c r="U13" s="17" t="inlineStr">
        <is>
          <t>C076</t>
        </is>
      </c>
      <c r="V13" s="17" t="inlineStr">
        <is>
          <t>종근당바이오</t>
        </is>
      </c>
      <c r="W13" s="17" t="inlineStr">
        <is>
          <t>Y</t>
        </is>
      </c>
      <c r="X13" s="17" t="inlineStr">
        <is>
          <t>유가</t>
        </is>
      </c>
      <c r="Y13" s="23" t="inlineStr">
        <is>
          <t>063160</t>
        </is>
      </c>
      <c r="Z13" s="17" t="inlineStr">
        <is>
          <t>박완갑</t>
        </is>
      </c>
      <c r="AA13" s="17" t="inlineStr">
        <is>
          <t>http://www.ckdbio.com</t>
        </is>
      </c>
      <c r="AB13" s="17" t="inlineStr">
        <is>
          <t>031-489-1121</t>
        </is>
      </c>
      <c r="AC13" s="17" t="inlineStr">
        <is>
          <t>미확인</t>
        </is>
      </c>
      <c r="AD13" s="17" t="inlineStr">
        <is>
          <t>Y</t>
        </is>
      </c>
      <c r="AE13" s="17" t="inlineStr">
        <is>
          <t>P298</t>
        </is>
      </c>
      <c r="AF13" s="17" t="inlineStr">
        <is>
          <t>충청북도 청주시 흥덕구 오송읍 오송생명4로 22</t>
        </is>
      </c>
      <c r="AG13" s="17" t="inlineStr">
        <is>
          <t>완제의약품+원료의약품</t>
        </is>
      </c>
      <c r="AH13" s="17" t="inlineStr">
        <is>
          <t>생물-독소-(배양, 정제, 원액 제조)</t>
        </is>
      </c>
      <c r="AI13" s="17" t="n">
        <v>2</v>
      </c>
      <c r="AJ13" s="24" t="n">
        <v>46796</v>
      </c>
      <c r="AK13" s="17" t="inlineStr"/>
      <c r="AL13" s="17" t="inlineStr"/>
      <c r="AM13" s="17" t="inlineStr">
        <is>
          <t>다중 제조소/다수 판정서로 문서관리 복잡; 무균/바이오 제조로 품질관리 난도 높음</t>
        </is>
      </c>
      <c r="AN13" s="17" t="inlineStr">
        <is>
          <t>미확인</t>
        </is>
      </c>
      <c r="AO13" s="17" t="inlineStr">
        <is>
          <t>미확인</t>
        </is>
      </c>
      <c r="AP13" s="17" t="inlineStr">
        <is>
          <t>미확인</t>
        </is>
      </c>
      <c r="AQ13" s="17" t="inlineStr">
        <is>
          <t>담당자 파악 후 접촉</t>
        </is>
      </c>
      <c r="AR13" s="17" t="inlineStr">
        <is>
          <t>2026-07-05</t>
        </is>
      </c>
      <c r="AS13" s="17" t="inlineStr">
        <is>
          <t>C(부분확인)</t>
        </is>
      </c>
      <c r="AT13" s="17" t="n">
        <v>90</v>
      </c>
      <c r="AU13" s="17" t="inlineStr"/>
      <c r="AV13" s="17" t="inlineStr"/>
    </row>
    <row r="14">
      <c r="A14" s="18" t="inlineStr">
        <is>
          <t>Tier A</t>
        </is>
      </c>
      <c r="B14" s="17" t="n">
        <v>44</v>
      </c>
      <c r="C14" s="17" t="inlineStr">
        <is>
          <t>(주)대웅제약</t>
        </is>
      </c>
      <c r="D14" s="17" t="inlineStr">
        <is>
          <t>오송공장</t>
        </is>
      </c>
      <c r="E14" s="17" t="inlineStr">
        <is>
          <t>충청북도</t>
        </is>
      </c>
      <c r="F14" s="17" t="inlineStr">
        <is>
          <t>청주시</t>
        </is>
      </c>
      <c r="G14" s="17" t="n">
        <v>2</v>
      </c>
      <c r="H14" s="20" t="inlineStr">
        <is>
          <t>Y</t>
        </is>
      </c>
      <c r="I14" s="17" t="inlineStr"/>
      <c r="J14" s="17" t="inlineStr">
        <is>
          <t>Y</t>
        </is>
      </c>
      <c r="K14" s="17" t="inlineStr">
        <is>
          <t>Y</t>
        </is>
      </c>
      <c r="L14" s="22" t="inlineStr">
        <is>
          <t>미확인</t>
        </is>
      </c>
      <c r="M14" s="22" t="inlineStr">
        <is>
          <t>미확인</t>
        </is>
      </c>
      <c r="N14" s="22" t="inlineStr">
        <is>
          <t>미확인</t>
        </is>
      </c>
      <c r="O14" s="22" t="inlineStr">
        <is>
          <t>미확인</t>
        </is>
      </c>
      <c r="P14" s="17" t="inlineStr">
        <is>
          <t>통합형</t>
        </is>
      </c>
      <c r="Q14" s="22" t="inlineStr">
        <is>
          <t>미확인</t>
        </is>
      </c>
      <c r="R14" s="22" t="inlineStr">
        <is>
          <t>미확인</t>
        </is>
      </c>
      <c r="S14" s="17" t="inlineStr">
        <is>
          <t>Tier C</t>
        </is>
      </c>
      <c r="T14" s="17" t="n">
        <v>31</v>
      </c>
      <c r="U14" s="17" t="inlineStr">
        <is>
          <t>C104</t>
        </is>
      </c>
      <c r="V14" s="17" t="inlineStr">
        <is>
          <t>대웅제약</t>
        </is>
      </c>
      <c r="W14" s="17" t="inlineStr">
        <is>
          <t>Y</t>
        </is>
      </c>
      <c r="X14" s="17" t="inlineStr">
        <is>
          <t>유가</t>
        </is>
      </c>
      <c r="Y14" s="23" t="inlineStr">
        <is>
          <t>069620</t>
        </is>
      </c>
      <c r="Z14" s="17" t="inlineStr">
        <is>
          <t>이창재, 박성수</t>
        </is>
      </c>
      <c r="AA14" s="17" t="inlineStr">
        <is>
          <t>http://www.daewoong.co.kr</t>
        </is>
      </c>
      <c r="AB14" s="17" t="inlineStr">
        <is>
          <t>02-550-8721</t>
        </is>
      </c>
      <c r="AC14" s="17" t="inlineStr">
        <is>
          <t>미확인</t>
        </is>
      </c>
      <c r="AD14" s="17" t="inlineStr">
        <is>
          <t>Y</t>
        </is>
      </c>
      <c r="AE14" s="17" t="inlineStr">
        <is>
          <t>P108</t>
        </is>
      </c>
      <c r="AF14" s="17" t="inlineStr">
        <is>
          <t>충청북도 청주시 흥덕구 오송읍 오송생명2로 1</t>
        </is>
      </c>
      <c r="AG14" s="17" t="inlineStr">
        <is>
          <t>완제의약품</t>
        </is>
      </c>
      <c r="AH14" s="17" t="inlineStr">
        <is>
          <t>비무균-일반제제-내용고형제(정제), 무균-일반제제-주사제(주사제, 동결건조주사제)</t>
        </is>
      </c>
      <c r="AI14" s="17" t="n">
        <v>1</v>
      </c>
      <c r="AJ14" s="24" t="n">
        <v>47066</v>
      </c>
      <c r="AK14" s="17" t="inlineStr"/>
      <c r="AL14" s="17" t="inlineStr"/>
      <c r="AM14" s="17" t="inlineStr">
        <is>
          <t>다중 제조소/다수 판정서로 문서관리 복잡; 무균/바이오 제조로 품질관리 난도 높음</t>
        </is>
      </c>
      <c r="AN14" s="17" t="inlineStr">
        <is>
          <t>미확인</t>
        </is>
      </c>
      <c r="AO14" s="17" t="inlineStr">
        <is>
          <t>미확인</t>
        </is>
      </c>
      <c r="AP14" s="17" t="inlineStr">
        <is>
          <t>미확인</t>
        </is>
      </c>
      <c r="AQ14" s="17" t="inlineStr">
        <is>
          <t>담당자 파악 후 접촉</t>
        </is>
      </c>
      <c r="AR14" s="17" t="inlineStr">
        <is>
          <t>2026-07-05</t>
        </is>
      </c>
      <c r="AS14" s="17" t="inlineStr">
        <is>
          <t>C(부분확인)</t>
        </is>
      </c>
      <c r="AT14" s="17" t="n">
        <v>90</v>
      </c>
      <c r="AU14" s="17" t="inlineStr"/>
      <c r="AV14" s="17" t="inlineStr"/>
    </row>
    <row r="15">
      <c r="A15" s="18" t="inlineStr">
        <is>
          <t>Tier A</t>
        </is>
      </c>
      <c r="B15" s="17" t="n">
        <v>44</v>
      </c>
      <c r="C15" s="17" t="inlineStr">
        <is>
          <t>(주)대웅제약</t>
        </is>
      </c>
      <c r="D15" s="17" t="inlineStr">
        <is>
          <t>화성</t>
        </is>
      </c>
      <c r="E15" s="17" t="inlineStr">
        <is>
          <t>경기도</t>
        </is>
      </c>
      <c r="F15" s="17" t="inlineStr">
        <is>
          <t>화성시</t>
        </is>
      </c>
      <c r="G15" s="17" t="n">
        <v>2</v>
      </c>
      <c r="H15" s="20" t="inlineStr">
        <is>
          <t>Y</t>
        </is>
      </c>
      <c r="I15" s="21" t="inlineStr">
        <is>
          <t>Y</t>
        </is>
      </c>
      <c r="J15" s="17" t="inlineStr">
        <is>
          <t>Y</t>
        </is>
      </c>
      <c r="K15" s="17" t="inlineStr">
        <is>
          <t>Y</t>
        </is>
      </c>
      <c r="L15" s="22" t="inlineStr">
        <is>
          <t>미확인</t>
        </is>
      </c>
      <c r="M15" s="22" t="inlineStr">
        <is>
          <t>미확인</t>
        </is>
      </c>
      <c r="N15" s="22" t="inlineStr">
        <is>
          <t>미확인</t>
        </is>
      </c>
      <c r="O15" s="22" t="inlineStr">
        <is>
          <t>미확인</t>
        </is>
      </c>
      <c r="P15" s="17" t="inlineStr">
        <is>
          <t>통합형</t>
        </is>
      </c>
      <c r="Q15" s="22" t="inlineStr">
        <is>
          <t>미확인</t>
        </is>
      </c>
      <c r="R15" s="22" t="inlineStr">
        <is>
          <t>미확인</t>
        </is>
      </c>
      <c r="S15" s="17" t="inlineStr">
        <is>
          <t>Tier C</t>
        </is>
      </c>
      <c r="T15" s="17" t="n">
        <v>31</v>
      </c>
      <c r="U15" s="17" t="inlineStr">
        <is>
          <t>C104</t>
        </is>
      </c>
      <c r="V15" s="17" t="inlineStr">
        <is>
          <t>대웅제약</t>
        </is>
      </c>
      <c r="W15" s="17" t="inlineStr">
        <is>
          <t>Y</t>
        </is>
      </c>
      <c r="X15" s="17" t="inlineStr">
        <is>
          <t>유가</t>
        </is>
      </c>
      <c r="Y15" s="23" t="inlineStr">
        <is>
          <t>069620</t>
        </is>
      </c>
      <c r="Z15" s="17" t="inlineStr">
        <is>
          <t>이창재, 박성수</t>
        </is>
      </c>
      <c r="AA15" s="17" t="inlineStr">
        <is>
          <t>http://www.daewoong.co.kr</t>
        </is>
      </c>
      <c r="AB15" s="17" t="inlineStr">
        <is>
          <t>02-550-8721</t>
        </is>
      </c>
      <c r="AC15" s="17" t="inlineStr">
        <is>
          <t>미확인</t>
        </is>
      </c>
      <c r="AD15" s="17" t="inlineStr">
        <is>
          <t>Y</t>
        </is>
      </c>
      <c r="AE15" s="17" t="inlineStr">
        <is>
          <t>P495</t>
        </is>
      </c>
      <c r="AF15" s="17" t="inlineStr">
        <is>
          <t>경기도 화성시 만세구 향남읍 제약공단4길 35-14</t>
        </is>
      </c>
      <c r="AG15" s="17" t="inlineStr">
        <is>
          <t>완제의약품+원료의약품</t>
        </is>
      </c>
      <c r="AH15" s="17" t="inlineStr">
        <is>
          <t>생물-유전자재조합의약품-(배양, 정제, 원액 제조)</t>
        </is>
      </c>
      <c r="AI15" s="17" t="n">
        <v>2</v>
      </c>
      <c r="AJ15" s="24" t="n">
        <v>46258</v>
      </c>
      <c r="AK15" s="25" t="inlineStr">
        <is>
          <t>Y</t>
        </is>
      </c>
      <c r="AL15" s="17" t="inlineStr">
        <is>
          <t>Y</t>
        </is>
      </c>
      <c r="AM15" s="17" t="inlineStr">
        <is>
          <t>다중 제조소/다수 판정서로 문서관리 복잡; 무균/바이오 제조로 품질관리 난도 높음</t>
        </is>
      </c>
      <c r="AN15" s="17" t="inlineStr">
        <is>
          <t>미확인</t>
        </is>
      </c>
      <c r="AO15" s="17" t="inlineStr">
        <is>
          <t>미확인</t>
        </is>
      </c>
      <c r="AP15" s="17" t="inlineStr">
        <is>
          <t>미확인</t>
        </is>
      </c>
      <c r="AQ15" s="17" t="inlineStr">
        <is>
          <t>담당자 파악 후 접촉</t>
        </is>
      </c>
      <c r="AR15" s="17" t="inlineStr">
        <is>
          <t>2026-07-05</t>
        </is>
      </c>
      <c r="AS15" s="17" t="inlineStr">
        <is>
          <t>C(부분확인)</t>
        </is>
      </c>
      <c r="AT15" s="17" t="n">
        <v>90</v>
      </c>
      <c r="AU15" s="17" t="inlineStr"/>
      <c r="AV15" s="17" t="inlineStr"/>
    </row>
    <row r="16">
      <c r="A16" s="18" t="inlineStr">
        <is>
          <t>Tier A</t>
        </is>
      </c>
      <c r="B16" s="17" t="n">
        <v>43</v>
      </c>
      <c r="C16" s="17" t="inlineStr">
        <is>
          <t>신풍제약(주)</t>
        </is>
      </c>
      <c r="D16" s="17" t="inlineStr">
        <is>
          <t>안산1</t>
        </is>
      </c>
      <c r="E16" s="17" t="inlineStr">
        <is>
          <t>경기도</t>
        </is>
      </c>
      <c r="F16" s="17" t="inlineStr">
        <is>
          <t>안산시</t>
        </is>
      </c>
      <c r="G16" s="17" t="n">
        <v>3</v>
      </c>
      <c r="H16" s="20" t="inlineStr">
        <is>
          <t>Y</t>
        </is>
      </c>
      <c r="I16" s="17" t="inlineStr"/>
      <c r="J16" s="17" t="inlineStr">
        <is>
          <t>Y</t>
        </is>
      </c>
      <c r="K16" s="17" t="inlineStr">
        <is>
          <t>Y</t>
        </is>
      </c>
      <c r="L16" s="22" t="inlineStr">
        <is>
          <t>미확인</t>
        </is>
      </c>
      <c r="M16" s="22" t="inlineStr">
        <is>
          <t>미확인</t>
        </is>
      </c>
      <c r="N16" s="22" t="inlineStr">
        <is>
          <t>미확인</t>
        </is>
      </c>
      <c r="O16" s="22" t="inlineStr">
        <is>
          <t>미확인</t>
        </is>
      </c>
      <c r="P16" s="17" t="inlineStr">
        <is>
          <t>통합형</t>
        </is>
      </c>
      <c r="Q16" s="22" t="inlineStr">
        <is>
          <t>미확인</t>
        </is>
      </c>
      <c r="R16" s="22" t="inlineStr">
        <is>
          <t>미확인</t>
        </is>
      </c>
      <c r="S16" s="17" t="inlineStr">
        <is>
          <t>Tier D</t>
        </is>
      </c>
      <c r="T16" s="17" t="n">
        <v>28</v>
      </c>
      <c r="U16" s="17" t="inlineStr">
        <is>
          <t>C194</t>
        </is>
      </c>
      <c r="V16" s="17" t="inlineStr">
        <is>
          <t>신풍제약</t>
        </is>
      </c>
      <c r="W16" s="17" t="inlineStr">
        <is>
          <t>Y</t>
        </is>
      </c>
      <c r="X16" s="17" t="inlineStr">
        <is>
          <t>유가</t>
        </is>
      </c>
      <c r="Y16" s="23" t="inlineStr">
        <is>
          <t>019170</t>
        </is>
      </c>
      <c r="Z16" s="17" t="inlineStr">
        <is>
          <t>유 제 만</t>
        </is>
      </c>
      <c r="AA16" s="17" t="inlineStr">
        <is>
          <t>http://www.shinpoong.co.kr</t>
        </is>
      </c>
      <c r="AB16" s="17" t="inlineStr">
        <is>
          <t>031-491-6191</t>
        </is>
      </c>
      <c r="AC16" s="17" t="inlineStr">
        <is>
          <t>미확인</t>
        </is>
      </c>
      <c r="AD16" s="17" t="inlineStr">
        <is>
          <t>Y</t>
        </is>
      </c>
      <c r="AE16" s="17" t="inlineStr">
        <is>
          <t>P209</t>
        </is>
      </c>
      <c r="AF16" s="17" t="inlineStr">
        <is>
          <t>경기도 안산시 단원구 원시로 7</t>
        </is>
      </c>
      <c r="AG16" s="17" t="inlineStr">
        <is>
          <t>완제의약품+원료의약품</t>
        </is>
      </c>
      <c r="AH16" s="17" t="inlineStr">
        <is>
          <t>비무균-일반제제-내용고형제(정제, 캡슐제), 무균-일반제제-주사제(주사제, 분말주사제, 수액제), 비무균-일반제제-연고제(연고제, 크림제, 겔제)</t>
        </is>
      </c>
      <c r="AI16" s="17" t="n">
        <v>2</v>
      </c>
      <c r="AJ16" s="24" t="n">
        <v>46899</v>
      </c>
      <c r="AK16" s="17" t="inlineStr"/>
      <c r="AL16" s="17" t="inlineStr"/>
      <c r="AM16" s="17" t="inlineStr">
        <is>
          <t>다중 제조소/다수 판정서로 문서관리 복잡; 무균/바이오 제조로 품질관리 난도 높음</t>
        </is>
      </c>
      <c r="AN16" s="17" t="inlineStr">
        <is>
          <t>미확인</t>
        </is>
      </c>
      <c r="AO16" s="17" t="inlineStr">
        <is>
          <t>미확인</t>
        </is>
      </c>
      <c r="AP16" s="17" t="inlineStr">
        <is>
          <t>미확인</t>
        </is>
      </c>
      <c r="AQ16" s="17" t="inlineStr">
        <is>
          <t>담당자 파악 후 접촉</t>
        </is>
      </c>
      <c r="AR16" s="17" t="inlineStr">
        <is>
          <t>2026-07-05</t>
        </is>
      </c>
      <c r="AS16" s="17" t="inlineStr">
        <is>
          <t>C(부분확인)</t>
        </is>
      </c>
      <c r="AT16" s="17" t="n">
        <v>90</v>
      </c>
      <c r="AU16" s="17" t="inlineStr"/>
      <c r="AV16" s="17" t="inlineStr"/>
    </row>
    <row r="17">
      <c r="A17" s="18" t="inlineStr">
        <is>
          <t>Tier A</t>
        </is>
      </c>
      <c r="B17" s="17" t="n">
        <v>43</v>
      </c>
      <c r="C17" s="17" t="inlineStr">
        <is>
          <t>신풍제약(주)</t>
        </is>
      </c>
      <c r="D17" s="17" t="inlineStr">
        <is>
          <t>오송공장</t>
        </is>
      </c>
      <c r="E17" s="17" t="inlineStr">
        <is>
          <t>충청북도</t>
        </is>
      </c>
      <c r="F17" s="17" t="inlineStr">
        <is>
          <t>청주시</t>
        </is>
      </c>
      <c r="G17" s="17" t="n">
        <v>3</v>
      </c>
      <c r="H17" s="20" t="inlineStr">
        <is>
          <t>Y</t>
        </is>
      </c>
      <c r="I17" s="17" t="inlineStr"/>
      <c r="J17" s="17" t="inlineStr">
        <is>
          <t>Y</t>
        </is>
      </c>
      <c r="K17" s="17" t="inlineStr">
        <is>
          <t>Y</t>
        </is>
      </c>
      <c r="L17" s="22" t="inlineStr">
        <is>
          <t>미확인</t>
        </is>
      </c>
      <c r="M17" s="22" t="inlineStr">
        <is>
          <t>미확인</t>
        </is>
      </c>
      <c r="N17" s="22" t="inlineStr">
        <is>
          <t>미확인</t>
        </is>
      </c>
      <c r="O17" s="22" t="inlineStr">
        <is>
          <t>미확인</t>
        </is>
      </c>
      <c r="P17" s="17" t="inlineStr">
        <is>
          <t>통합형</t>
        </is>
      </c>
      <c r="Q17" s="22" t="inlineStr">
        <is>
          <t>미확인</t>
        </is>
      </c>
      <c r="R17" s="22" t="inlineStr">
        <is>
          <t>미확인</t>
        </is>
      </c>
      <c r="S17" s="17" t="inlineStr">
        <is>
          <t>Tier D</t>
        </is>
      </c>
      <c r="T17" s="17" t="n">
        <v>28</v>
      </c>
      <c r="U17" s="17" t="inlineStr">
        <is>
          <t>C194</t>
        </is>
      </c>
      <c r="V17" s="17" t="inlineStr">
        <is>
          <t>신풍제약</t>
        </is>
      </c>
      <c r="W17" s="17" t="inlineStr">
        <is>
          <t>Y</t>
        </is>
      </c>
      <c r="X17" s="17" t="inlineStr">
        <is>
          <t>유가</t>
        </is>
      </c>
      <c r="Y17" s="23" t="inlineStr">
        <is>
          <t>019170</t>
        </is>
      </c>
      <c r="Z17" s="17" t="inlineStr">
        <is>
          <t>유 제 만</t>
        </is>
      </c>
      <c r="AA17" s="17" t="inlineStr">
        <is>
          <t>http://www.shinpoong.co.kr</t>
        </is>
      </c>
      <c r="AB17" s="17" t="inlineStr">
        <is>
          <t>031-491-6191</t>
        </is>
      </c>
      <c r="AC17" s="17" t="inlineStr">
        <is>
          <t>미확인</t>
        </is>
      </c>
      <c r="AD17" s="17" t="inlineStr">
        <is>
          <t>Y</t>
        </is>
      </c>
      <c r="AE17" s="17" t="inlineStr">
        <is>
          <t>P379</t>
        </is>
      </c>
      <c r="AF17" s="17" t="inlineStr">
        <is>
          <t>충청북도 청주시 흥덕구 오송읍 오송생명5로 41-15</t>
        </is>
      </c>
      <c r="AG17" s="17" t="inlineStr">
        <is>
          <t>완제의약품</t>
        </is>
      </c>
      <c r="AH17" s="17" t="inlineStr">
        <is>
          <t>무균-세팔로스포린제제-주사제(분말주사제), 비무균-세팔로스포린제제-내용고형제(정제, 캡슐제)</t>
        </is>
      </c>
      <c r="AI17" s="17" t="n">
        <v>1</v>
      </c>
      <c r="AJ17" s="24" t="n">
        <v>46536</v>
      </c>
      <c r="AK17" s="17" t="inlineStr"/>
      <c r="AL17" s="17" t="inlineStr">
        <is>
          <t>Y</t>
        </is>
      </c>
      <c r="AM17" s="17" t="inlineStr">
        <is>
          <t>다중 제조소/다수 판정서로 문서관리 복잡; 무균/바이오 제조로 품질관리 난도 높음</t>
        </is>
      </c>
      <c r="AN17" s="17" t="inlineStr">
        <is>
          <t>미확인</t>
        </is>
      </c>
      <c r="AO17" s="17" t="inlineStr">
        <is>
          <t>미확인</t>
        </is>
      </c>
      <c r="AP17" s="17" t="inlineStr">
        <is>
          <t>미확인</t>
        </is>
      </c>
      <c r="AQ17" s="17" t="inlineStr">
        <is>
          <t>담당자 파악 후 접촉</t>
        </is>
      </c>
      <c r="AR17" s="17" t="inlineStr">
        <is>
          <t>2026-07-05</t>
        </is>
      </c>
      <c r="AS17" s="17" t="inlineStr">
        <is>
          <t>C(부분확인)</t>
        </is>
      </c>
      <c r="AT17" s="17" t="n">
        <v>90</v>
      </c>
      <c r="AU17" s="17" t="inlineStr"/>
      <c r="AV17" s="17" t="inlineStr"/>
    </row>
    <row r="18">
      <c r="A18" s="18" t="inlineStr">
        <is>
          <t>Tier A</t>
        </is>
      </c>
      <c r="B18" s="17" t="n">
        <v>43</v>
      </c>
      <c r="C18" s="17" t="inlineStr">
        <is>
          <t>신풍제약(주)</t>
        </is>
      </c>
      <c r="D18" s="17" t="inlineStr">
        <is>
          <t>안산2</t>
        </is>
      </c>
      <c r="E18" s="17" t="inlineStr">
        <is>
          <t>경기도</t>
        </is>
      </c>
      <c r="F18" s="17" t="inlineStr">
        <is>
          <t>안산시</t>
        </is>
      </c>
      <c r="G18" s="17" t="n">
        <v>3</v>
      </c>
      <c r="H18" s="20" t="inlineStr">
        <is>
          <t>Y</t>
        </is>
      </c>
      <c r="I18" s="17" t="inlineStr"/>
      <c r="J18" s="17" t="inlineStr">
        <is>
          <t>Y</t>
        </is>
      </c>
      <c r="K18" s="17" t="inlineStr">
        <is>
          <t>Y</t>
        </is>
      </c>
      <c r="L18" s="22" t="inlineStr">
        <is>
          <t>미확인</t>
        </is>
      </c>
      <c r="M18" s="22" t="inlineStr">
        <is>
          <t>미확인</t>
        </is>
      </c>
      <c r="N18" s="22" t="inlineStr">
        <is>
          <t>미확인</t>
        </is>
      </c>
      <c r="O18" s="22" t="inlineStr">
        <is>
          <t>미확인</t>
        </is>
      </c>
      <c r="P18" s="17" t="inlineStr">
        <is>
          <t>통합형</t>
        </is>
      </c>
      <c r="Q18" s="22" t="inlineStr">
        <is>
          <t>미확인</t>
        </is>
      </c>
      <c r="R18" s="22" t="inlineStr">
        <is>
          <t>미확인</t>
        </is>
      </c>
      <c r="S18" s="17" t="inlineStr">
        <is>
          <t>Tier D</t>
        </is>
      </c>
      <c r="T18" s="17" t="n">
        <v>28</v>
      </c>
      <c r="U18" s="17" t="inlineStr">
        <is>
          <t>C194</t>
        </is>
      </c>
      <c r="V18" s="17" t="inlineStr">
        <is>
          <t>신풍제약</t>
        </is>
      </c>
      <c r="W18" s="17" t="inlineStr">
        <is>
          <t>Y</t>
        </is>
      </c>
      <c r="X18" s="17" t="inlineStr">
        <is>
          <t>유가</t>
        </is>
      </c>
      <c r="Y18" s="23" t="inlineStr">
        <is>
          <t>019170</t>
        </is>
      </c>
      <c r="Z18" s="17" t="inlineStr">
        <is>
          <t>유 제 만</t>
        </is>
      </c>
      <c r="AA18" s="17" t="inlineStr">
        <is>
          <t>http://www.shinpoong.co.kr</t>
        </is>
      </c>
      <c r="AB18" s="17" t="inlineStr">
        <is>
          <t>031-491-6191</t>
        </is>
      </c>
      <c r="AC18" s="17" t="inlineStr">
        <is>
          <t>미확인</t>
        </is>
      </c>
      <c r="AD18" s="17" t="inlineStr">
        <is>
          <t>Y</t>
        </is>
      </c>
      <c r="AE18" s="17" t="inlineStr">
        <is>
          <t>P458</t>
        </is>
      </c>
      <c r="AF18" s="17" t="inlineStr">
        <is>
          <t>경기도 안산시 단원구 산단로19번길 70</t>
        </is>
      </c>
      <c r="AG18" s="17" t="inlineStr">
        <is>
          <t>완제의약품+원료의약품</t>
        </is>
      </c>
      <c r="AH18" s="17" t="inlineStr">
        <is>
          <t>비무균-일반제제-합성</t>
        </is>
      </c>
      <c r="AI18" s="17" t="n">
        <v>2</v>
      </c>
      <c r="AJ18" s="24" t="n">
        <v>46349</v>
      </c>
      <c r="AK18" s="25" t="inlineStr">
        <is>
          <t>Y</t>
        </is>
      </c>
      <c r="AL18" s="17" t="inlineStr">
        <is>
          <t>Y</t>
        </is>
      </c>
      <c r="AM18" s="17" t="inlineStr">
        <is>
          <t>다중 제조소/다수 판정서로 문서관리 복잡; 무균/바이오 제조로 품질관리 난도 높음</t>
        </is>
      </c>
      <c r="AN18" s="17" t="inlineStr">
        <is>
          <t>미확인</t>
        </is>
      </c>
      <c r="AO18" s="17" t="inlineStr">
        <is>
          <t>미확인</t>
        </is>
      </c>
      <c r="AP18" s="17" t="inlineStr">
        <is>
          <t>미확인</t>
        </is>
      </c>
      <c r="AQ18" s="17" t="inlineStr">
        <is>
          <t>담당자 파악 후 접촉</t>
        </is>
      </c>
      <c r="AR18" s="17" t="inlineStr">
        <is>
          <t>2026-07-05</t>
        </is>
      </c>
      <c r="AS18" s="17" t="inlineStr">
        <is>
          <t>C(부분확인)</t>
        </is>
      </c>
      <c r="AT18" s="17" t="n">
        <v>90</v>
      </c>
      <c r="AU18" s="17" t="inlineStr"/>
      <c r="AV18" s="17" t="inlineStr"/>
    </row>
    <row r="19">
      <c r="A19" s="18" t="inlineStr">
        <is>
          <t>Tier A</t>
        </is>
      </c>
      <c r="B19" s="17" t="n">
        <v>41</v>
      </c>
      <c r="C19" s="17" t="inlineStr">
        <is>
          <t>(주)듀켐바이오</t>
        </is>
      </c>
      <c r="D19" s="17" t="inlineStr">
        <is>
          <t>10공장(부산)</t>
        </is>
      </c>
      <c r="E19" s="17" t="inlineStr">
        <is>
          <t>부산광역시</t>
        </is>
      </c>
      <c r="F19" s="17" t="inlineStr">
        <is>
          <t>서구</t>
        </is>
      </c>
      <c r="G19" s="17" t="n">
        <v>5</v>
      </c>
      <c r="H19" s="20" t="inlineStr">
        <is>
          <t>Y</t>
        </is>
      </c>
      <c r="I19" s="17" t="inlineStr"/>
      <c r="J19" s="17" t="inlineStr">
        <is>
          <t>Y</t>
        </is>
      </c>
      <c r="K19" s="17" t="inlineStr"/>
      <c r="L19" s="22" t="inlineStr">
        <is>
          <t>미확인</t>
        </is>
      </c>
      <c r="M19" s="22" t="inlineStr">
        <is>
          <t>미확인</t>
        </is>
      </c>
      <c r="N19" s="22" t="inlineStr">
        <is>
          <t>미확인</t>
        </is>
      </c>
      <c r="O19" s="22" t="inlineStr">
        <is>
          <t>미확인</t>
        </is>
      </c>
      <c r="P19" s="17" t="inlineStr">
        <is>
          <t>통합형</t>
        </is>
      </c>
      <c r="Q19" s="22" t="inlineStr">
        <is>
          <t>미확인</t>
        </is>
      </c>
      <c r="R19" s="22" t="inlineStr">
        <is>
          <t>미확인</t>
        </is>
      </c>
      <c r="S19" s="17" t="inlineStr">
        <is>
          <t>Tier C</t>
        </is>
      </c>
      <c r="T19" s="17" t="n">
        <v>31</v>
      </c>
      <c r="U19" s="17" t="inlineStr">
        <is>
          <t>C136</t>
        </is>
      </c>
      <c r="V19" s="17" t="inlineStr">
        <is>
          <t>듀켐바이오</t>
        </is>
      </c>
      <c r="W19" s="17" t="inlineStr">
        <is>
          <t>Y</t>
        </is>
      </c>
      <c r="X19" s="17" t="inlineStr">
        <is>
          <t>코스닥</t>
        </is>
      </c>
      <c r="Y19" s="23" t="inlineStr">
        <is>
          <t>176750</t>
        </is>
      </c>
      <c r="Z19" s="17" t="inlineStr">
        <is>
          <t>김상우</t>
        </is>
      </c>
      <c r="AA19" s="17" t="inlineStr">
        <is>
          <t>http://www.duchembio.com</t>
        </is>
      </c>
      <c r="AB19" s="17" t="inlineStr">
        <is>
          <t>051-254-3126</t>
        </is>
      </c>
      <c r="AC19" s="17" t="inlineStr">
        <is>
          <t>미확인</t>
        </is>
      </c>
      <c r="AD19" s="17" t="inlineStr">
        <is>
          <t>Y</t>
        </is>
      </c>
      <c r="AE19" s="17" t="inlineStr">
        <is>
          <t>P142</t>
        </is>
      </c>
      <c r="AF19" s="17" t="inlineStr">
        <is>
          <t>부산광역시 서구 대신공원로 26 동아대학교 병원 센터동 지하1층 Cyclotron센터</t>
        </is>
      </c>
      <c r="AG19" s="17" t="inlineStr">
        <is>
          <t>완제의약품</t>
        </is>
      </c>
      <c r="AH19" s="17" t="inlineStr">
        <is>
          <t>무균-일반제제(방사성의약품)-주사제(주사제)</t>
        </is>
      </c>
      <c r="AI19" s="17" t="n">
        <v>1</v>
      </c>
      <c r="AJ19" s="24" t="n">
        <v>46990</v>
      </c>
      <c r="AK19" s="17" t="inlineStr"/>
      <c r="AL19" s="17" t="inlineStr"/>
      <c r="AM19" s="17" t="inlineStr">
        <is>
          <t>다중 제조소/다수 판정서로 문서관리 복잡; 무균/바이오 제조로 품질관리 난도 높음</t>
        </is>
      </c>
      <c r="AN19" s="17" t="inlineStr">
        <is>
          <t>미확인</t>
        </is>
      </c>
      <c r="AO19" s="17" t="inlineStr">
        <is>
          <t>미확인</t>
        </is>
      </c>
      <c r="AP19" s="17" t="inlineStr">
        <is>
          <t>미확인</t>
        </is>
      </c>
      <c r="AQ19" s="17" t="inlineStr">
        <is>
          <t>담당자 파악 후 접촉</t>
        </is>
      </c>
      <c r="AR19" s="17" t="inlineStr">
        <is>
          <t>2026-07-05</t>
        </is>
      </c>
      <c r="AS19" s="17" t="inlineStr">
        <is>
          <t>C(부분확인)</t>
        </is>
      </c>
      <c r="AT19" s="17" t="n">
        <v>90</v>
      </c>
      <c r="AU19" s="17" t="inlineStr"/>
      <c r="AV19" s="17" t="inlineStr"/>
    </row>
    <row r="20">
      <c r="A20" s="18" t="inlineStr">
        <is>
          <t>Tier A</t>
        </is>
      </c>
      <c r="B20" s="17" t="n">
        <v>41</v>
      </c>
      <c r="C20" s="17" t="inlineStr">
        <is>
          <t>(주)듀켐바이오</t>
        </is>
      </c>
      <c r="D20" s="17" t="inlineStr">
        <is>
          <t>6공장(서울)</t>
        </is>
      </c>
      <c r="E20" s="17" t="inlineStr">
        <is>
          <t>서울특별시</t>
        </is>
      </c>
      <c r="F20" s="17" t="inlineStr">
        <is>
          <t>서대문구</t>
        </is>
      </c>
      <c r="G20" s="17" t="n">
        <v>5</v>
      </c>
      <c r="H20" s="20" t="inlineStr">
        <is>
          <t>Y</t>
        </is>
      </c>
      <c r="I20" s="17" t="inlineStr"/>
      <c r="J20" s="17" t="inlineStr">
        <is>
          <t>Y</t>
        </is>
      </c>
      <c r="K20" s="17" t="inlineStr"/>
      <c r="L20" s="22" t="inlineStr">
        <is>
          <t>미확인</t>
        </is>
      </c>
      <c r="M20" s="22" t="inlineStr">
        <is>
          <t>미확인</t>
        </is>
      </c>
      <c r="N20" s="22" t="inlineStr">
        <is>
          <t>미확인</t>
        </is>
      </c>
      <c r="O20" s="22" t="inlineStr">
        <is>
          <t>미확인</t>
        </is>
      </c>
      <c r="P20" s="17" t="inlineStr">
        <is>
          <t>통합형</t>
        </is>
      </c>
      <c r="Q20" s="22" t="inlineStr">
        <is>
          <t>미확인</t>
        </is>
      </c>
      <c r="R20" s="22" t="inlineStr">
        <is>
          <t>미확인</t>
        </is>
      </c>
      <c r="S20" s="17" t="inlineStr">
        <is>
          <t>Tier C</t>
        </is>
      </c>
      <c r="T20" s="17" t="n">
        <v>31</v>
      </c>
      <c r="U20" s="17" t="inlineStr">
        <is>
          <t>C136</t>
        </is>
      </c>
      <c r="V20" s="17" t="inlineStr">
        <is>
          <t>듀켐바이오</t>
        </is>
      </c>
      <c r="W20" s="17" t="inlineStr">
        <is>
          <t>Y</t>
        </is>
      </c>
      <c r="X20" s="17" t="inlineStr">
        <is>
          <t>코스닥</t>
        </is>
      </c>
      <c r="Y20" s="23" t="inlineStr">
        <is>
          <t>176750</t>
        </is>
      </c>
      <c r="Z20" s="17" t="inlineStr">
        <is>
          <t>김상우</t>
        </is>
      </c>
      <c r="AA20" s="17" t="inlineStr">
        <is>
          <t>http://www.duchembio.com</t>
        </is>
      </c>
      <c r="AB20" s="17" t="inlineStr">
        <is>
          <t>051-254-3126</t>
        </is>
      </c>
      <c r="AC20" s="17" t="inlineStr">
        <is>
          <t>미확인</t>
        </is>
      </c>
      <c r="AD20" s="17" t="inlineStr">
        <is>
          <t>Y</t>
        </is>
      </c>
      <c r="AE20" s="17" t="inlineStr">
        <is>
          <t>P226</t>
        </is>
      </c>
      <c r="AF20" s="17" t="inlineStr">
        <is>
          <t>서울특별시 서대문구 연세로 50-1 (신촌동, 연세의료원 암전문병원 지하5층)</t>
        </is>
      </c>
      <c r="AG20" s="17" t="inlineStr">
        <is>
          <t>완제의약품</t>
        </is>
      </c>
      <c r="AH20" s="17" t="inlineStr">
        <is>
          <t>무균-일반제제(방사성의약품)-주사제(주사제)</t>
        </is>
      </c>
      <c r="AI20" s="17" t="n">
        <v>1</v>
      </c>
      <c r="AJ20" s="24" t="n">
        <v>46883</v>
      </c>
      <c r="AK20" s="17" t="inlineStr"/>
      <c r="AL20" s="17" t="inlineStr"/>
      <c r="AM20" s="17" t="inlineStr">
        <is>
          <t>다중 제조소/다수 판정서로 문서관리 복잡; 무균/바이오 제조로 품질관리 난도 높음</t>
        </is>
      </c>
      <c r="AN20" s="17" t="inlineStr">
        <is>
          <t>미확인</t>
        </is>
      </c>
      <c r="AO20" s="17" t="inlineStr">
        <is>
          <t>미확인</t>
        </is>
      </c>
      <c r="AP20" s="17" t="inlineStr">
        <is>
          <t>미확인</t>
        </is>
      </c>
      <c r="AQ20" s="17" t="inlineStr">
        <is>
          <t>담당자 파악 후 접촉</t>
        </is>
      </c>
      <c r="AR20" s="17" t="inlineStr">
        <is>
          <t>2026-07-05</t>
        </is>
      </c>
      <c r="AS20" s="17" t="inlineStr">
        <is>
          <t>C(부분확인)</t>
        </is>
      </c>
      <c r="AT20" s="17" t="n">
        <v>90</v>
      </c>
      <c r="AU20" s="17" t="inlineStr"/>
      <c r="AV20" s="17" t="inlineStr"/>
    </row>
    <row r="21">
      <c r="A21" s="18" t="inlineStr">
        <is>
          <t>Tier A</t>
        </is>
      </c>
      <c r="B21" s="17" t="n">
        <v>41</v>
      </c>
      <c r="C21" s="17" t="inlineStr">
        <is>
          <t>(주)듀켐바이오</t>
        </is>
      </c>
      <c r="D21" s="17" t="inlineStr">
        <is>
          <t>5공장(대구)</t>
        </is>
      </c>
      <c r="E21" s="17" t="inlineStr">
        <is>
          <t>대구광역시</t>
        </is>
      </c>
      <c r="F21" s="17" t="inlineStr">
        <is>
          <t>북구</t>
        </is>
      </c>
      <c r="G21" s="17" t="n">
        <v>5</v>
      </c>
      <c r="H21" s="20" t="inlineStr">
        <is>
          <t>Y</t>
        </is>
      </c>
      <c r="I21" s="17" t="inlineStr"/>
      <c r="J21" s="17" t="inlineStr">
        <is>
          <t>Y</t>
        </is>
      </c>
      <c r="K21" s="17" t="inlineStr"/>
      <c r="L21" s="22" t="inlineStr">
        <is>
          <t>미확인</t>
        </is>
      </c>
      <c r="M21" s="22" t="inlineStr">
        <is>
          <t>미확인</t>
        </is>
      </c>
      <c r="N21" s="22" t="inlineStr">
        <is>
          <t>미확인</t>
        </is>
      </c>
      <c r="O21" s="22" t="inlineStr">
        <is>
          <t>미확인</t>
        </is>
      </c>
      <c r="P21" s="17" t="inlineStr">
        <is>
          <t>통합형</t>
        </is>
      </c>
      <c r="Q21" s="22" t="inlineStr">
        <is>
          <t>미확인</t>
        </is>
      </c>
      <c r="R21" s="22" t="inlineStr">
        <is>
          <t>미확인</t>
        </is>
      </c>
      <c r="S21" s="17" t="inlineStr">
        <is>
          <t>Tier C</t>
        </is>
      </c>
      <c r="T21" s="17" t="n">
        <v>31</v>
      </c>
      <c r="U21" s="17" t="inlineStr">
        <is>
          <t>C136</t>
        </is>
      </c>
      <c r="V21" s="17" t="inlineStr">
        <is>
          <t>듀켐바이오</t>
        </is>
      </c>
      <c r="W21" s="17" t="inlineStr">
        <is>
          <t>Y</t>
        </is>
      </c>
      <c r="X21" s="17" t="inlineStr">
        <is>
          <t>코스닥</t>
        </is>
      </c>
      <c r="Y21" s="23" t="inlineStr">
        <is>
          <t>176750</t>
        </is>
      </c>
      <c r="Z21" s="17" t="inlineStr">
        <is>
          <t>김상우</t>
        </is>
      </c>
      <c r="AA21" s="17" t="inlineStr">
        <is>
          <t>http://www.duchembio.com</t>
        </is>
      </c>
      <c r="AB21" s="17" t="inlineStr">
        <is>
          <t>051-254-3126</t>
        </is>
      </c>
      <c r="AC21" s="17" t="inlineStr">
        <is>
          <t>미확인</t>
        </is>
      </c>
      <c r="AD21" s="17" t="inlineStr">
        <is>
          <t>Y</t>
        </is>
      </c>
      <c r="AE21" s="17" t="inlineStr">
        <is>
          <t>P261</t>
        </is>
      </c>
      <c r="AF21" s="17" t="inlineStr">
        <is>
          <t>대구광역시 북구 호국로 807</t>
        </is>
      </c>
      <c r="AG21" s="17" t="inlineStr">
        <is>
          <t>완제의약품</t>
        </is>
      </c>
      <c r="AH21" s="17" t="inlineStr">
        <is>
          <t>무균-일반제제(방사성의약품)-주사제(주사제)</t>
        </is>
      </c>
      <c r="AI21" s="17" t="n">
        <v>1</v>
      </c>
      <c r="AJ21" s="24" t="n">
        <v>46848</v>
      </c>
      <c r="AK21" s="17" t="inlineStr"/>
      <c r="AL21" s="17" t="inlineStr"/>
      <c r="AM21" s="17" t="inlineStr">
        <is>
          <t>다중 제조소/다수 판정서로 문서관리 복잡; 무균/바이오 제조로 품질관리 난도 높음</t>
        </is>
      </c>
      <c r="AN21" s="17" t="inlineStr">
        <is>
          <t>미확인</t>
        </is>
      </c>
      <c r="AO21" s="17" t="inlineStr">
        <is>
          <t>미확인</t>
        </is>
      </c>
      <c r="AP21" s="17" t="inlineStr">
        <is>
          <t>미확인</t>
        </is>
      </c>
      <c r="AQ21" s="17" t="inlineStr">
        <is>
          <t>담당자 파악 후 접촉</t>
        </is>
      </c>
      <c r="AR21" s="17" t="inlineStr">
        <is>
          <t>2026-07-05</t>
        </is>
      </c>
      <c r="AS21" s="17" t="inlineStr">
        <is>
          <t>C(부분확인)</t>
        </is>
      </c>
      <c r="AT21" s="17" t="n">
        <v>90</v>
      </c>
      <c r="AU21" s="17" t="inlineStr"/>
      <c r="AV21" s="17" t="inlineStr"/>
    </row>
    <row r="22">
      <c r="A22" s="18" t="inlineStr">
        <is>
          <t>Tier A</t>
        </is>
      </c>
      <c r="B22" s="17" t="n">
        <v>41</v>
      </c>
      <c r="C22" s="17" t="inlineStr">
        <is>
          <t>(주)듀켐바이오</t>
        </is>
      </c>
      <c r="D22" s="17" t="inlineStr">
        <is>
          <t>8공장(수원)</t>
        </is>
      </c>
      <c r="E22" s="17" t="inlineStr">
        <is>
          <t>경기도</t>
        </is>
      </c>
      <c r="F22" s="17" t="inlineStr">
        <is>
          <t>수원시</t>
        </is>
      </c>
      <c r="G22" s="17" t="n">
        <v>5</v>
      </c>
      <c r="H22" s="20" t="inlineStr">
        <is>
          <t>Y</t>
        </is>
      </c>
      <c r="I22" s="17" t="inlineStr"/>
      <c r="J22" s="17" t="inlineStr">
        <is>
          <t>Y</t>
        </is>
      </c>
      <c r="K22" s="17" t="inlineStr"/>
      <c r="L22" s="22" t="inlineStr">
        <is>
          <t>미확인</t>
        </is>
      </c>
      <c r="M22" s="22" t="inlineStr">
        <is>
          <t>미확인</t>
        </is>
      </c>
      <c r="N22" s="22" t="inlineStr">
        <is>
          <t>미확인</t>
        </is>
      </c>
      <c r="O22" s="22" t="inlineStr">
        <is>
          <t>미확인</t>
        </is>
      </c>
      <c r="P22" s="17" t="inlineStr">
        <is>
          <t>통합형</t>
        </is>
      </c>
      <c r="Q22" s="22" t="inlineStr">
        <is>
          <t>미확인</t>
        </is>
      </c>
      <c r="R22" s="22" t="inlineStr">
        <is>
          <t>미확인</t>
        </is>
      </c>
      <c r="S22" s="17" t="inlineStr">
        <is>
          <t>Tier C</t>
        </is>
      </c>
      <c r="T22" s="17" t="n">
        <v>31</v>
      </c>
      <c r="U22" s="17" t="inlineStr">
        <is>
          <t>C136</t>
        </is>
      </c>
      <c r="V22" s="17" t="inlineStr">
        <is>
          <t>듀켐바이오</t>
        </is>
      </c>
      <c r="W22" s="17" t="inlineStr">
        <is>
          <t>Y</t>
        </is>
      </c>
      <c r="X22" s="17" t="inlineStr">
        <is>
          <t>코스닥</t>
        </is>
      </c>
      <c r="Y22" s="23" t="inlineStr">
        <is>
          <t>176750</t>
        </is>
      </c>
      <c r="Z22" s="17" t="inlineStr">
        <is>
          <t>김상우</t>
        </is>
      </c>
      <c r="AA22" s="17" t="inlineStr">
        <is>
          <t>http://www.duchembio.com</t>
        </is>
      </c>
      <c r="AB22" s="17" t="inlineStr">
        <is>
          <t>051-254-3126</t>
        </is>
      </c>
      <c r="AC22" s="17" t="inlineStr">
        <is>
          <t>미확인</t>
        </is>
      </c>
      <c r="AD22" s="17" t="inlineStr">
        <is>
          <t>Y</t>
        </is>
      </c>
      <c r="AE22" s="17" t="inlineStr">
        <is>
          <t>P441</t>
        </is>
      </c>
      <c r="AF22" s="17" t="inlineStr">
        <is>
          <t>경기도 수원시 영통구 월드컵로 164 아주대학교병원 지하 2층 일부 싸이클로트론센터</t>
        </is>
      </c>
      <c r="AG22" s="17" t="inlineStr">
        <is>
          <t>완제의약품</t>
        </is>
      </c>
      <c r="AH22" s="17" t="inlineStr">
        <is>
          <t>무균-일반제제(방사성의약품)-주사제(주사제)</t>
        </is>
      </c>
      <c r="AI22" s="17" t="n">
        <v>1</v>
      </c>
      <c r="AJ22" s="24" t="n">
        <v>46417</v>
      </c>
      <c r="AK22" s="17" t="inlineStr"/>
      <c r="AL22" s="17" t="inlineStr">
        <is>
          <t>Y</t>
        </is>
      </c>
      <c r="AM22" s="17" t="inlineStr">
        <is>
          <t>다중 제조소/다수 판정서로 문서관리 복잡; 무균/바이오 제조로 품질관리 난도 높음</t>
        </is>
      </c>
      <c r="AN22" s="17" t="inlineStr">
        <is>
          <t>미확인</t>
        </is>
      </c>
      <c r="AO22" s="17" t="inlineStr">
        <is>
          <t>미확인</t>
        </is>
      </c>
      <c r="AP22" s="17" t="inlineStr">
        <is>
          <t>미확인</t>
        </is>
      </c>
      <c r="AQ22" s="17" t="inlineStr">
        <is>
          <t>담당자 파악 후 접촉</t>
        </is>
      </c>
      <c r="AR22" s="17" t="inlineStr">
        <is>
          <t>2026-07-05</t>
        </is>
      </c>
      <c r="AS22" s="17" t="inlineStr">
        <is>
          <t>C(부분확인)</t>
        </is>
      </c>
      <c r="AT22" s="17" t="n">
        <v>90</v>
      </c>
      <c r="AU22" s="17" t="inlineStr"/>
      <c r="AV22" s="17" t="inlineStr"/>
    </row>
    <row r="23">
      <c r="A23" s="18" t="inlineStr">
        <is>
          <t>Tier A</t>
        </is>
      </c>
      <c r="B23" s="17" t="n">
        <v>41</v>
      </c>
      <c r="C23" s="17" t="inlineStr">
        <is>
          <t>(주)듀켐바이오</t>
        </is>
      </c>
      <c r="D23" s="17" t="inlineStr">
        <is>
          <t>11공장(서울)</t>
        </is>
      </c>
      <c r="E23" s="17" t="inlineStr">
        <is>
          <t>서울특별시</t>
        </is>
      </c>
      <c r="F23" s="17" t="inlineStr">
        <is>
          <t>강남구</t>
        </is>
      </c>
      <c r="G23" s="17" t="n">
        <v>5</v>
      </c>
      <c r="H23" s="20" t="inlineStr">
        <is>
          <t>Y</t>
        </is>
      </c>
      <c r="I23" s="17" t="inlineStr"/>
      <c r="J23" s="17" t="inlineStr">
        <is>
          <t>Y</t>
        </is>
      </c>
      <c r="K23" s="17" t="inlineStr"/>
      <c r="L23" s="22" t="inlineStr">
        <is>
          <t>미확인</t>
        </is>
      </c>
      <c r="M23" s="22" t="inlineStr">
        <is>
          <t>미확인</t>
        </is>
      </c>
      <c r="N23" s="22" t="inlineStr">
        <is>
          <t>미확인</t>
        </is>
      </c>
      <c r="O23" s="22" t="inlineStr">
        <is>
          <t>미확인</t>
        </is>
      </c>
      <c r="P23" s="17" t="inlineStr">
        <is>
          <t>통합형</t>
        </is>
      </c>
      <c r="Q23" s="22" t="inlineStr">
        <is>
          <t>미확인</t>
        </is>
      </c>
      <c r="R23" s="22" t="inlineStr">
        <is>
          <t>미확인</t>
        </is>
      </c>
      <c r="S23" s="17" t="inlineStr">
        <is>
          <t>Tier C</t>
        </is>
      </c>
      <c r="T23" s="17" t="n">
        <v>31</v>
      </c>
      <c r="U23" s="17" t="inlineStr">
        <is>
          <t>C136</t>
        </is>
      </c>
      <c r="V23" s="17" t="inlineStr">
        <is>
          <t>듀켐바이오</t>
        </is>
      </c>
      <c r="W23" s="17" t="inlineStr">
        <is>
          <t>Y</t>
        </is>
      </c>
      <c r="X23" s="17" t="inlineStr">
        <is>
          <t>코스닥</t>
        </is>
      </c>
      <c r="Y23" s="23" t="inlineStr">
        <is>
          <t>176750</t>
        </is>
      </c>
      <c r="Z23" s="17" t="inlineStr">
        <is>
          <t>김상우</t>
        </is>
      </c>
      <c r="AA23" s="17" t="inlineStr">
        <is>
          <t>http://www.duchembio.com</t>
        </is>
      </c>
      <c r="AB23" s="17" t="inlineStr">
        <is>
          <t>051-254-3126</t>
        </is>
      </c>
      <c r="AC23" s="17" t="inlineStr">
        <is>
          <t>미확인</t>
        </is>
      </c>
      <c r="AD23" s="17" t="inlineStr">
        <is>
          <t>Y</t>
        </is>
      </c>
      <c r="AE23" s="17" t="inlineStr">
        <is>
          <t>P486</t>
        </is>
      </c>
      <c r="AF23" s="17" t="inlineStr">
        <is>
          <t>서울특별시 강남구 일원로 81 삼성서울병원 본관 지하 3층 사이클로트론센터</t>
        </is>
      </c>
      <c r="AG23" s="17" t="inlineStr">
        <is>
          <t>완제의약품</t>
        </is>
      </c>
      <c r="AH23" s="17" t="inlineStr">
        <is>
          <t>무균-일반제제(방사성의약품)-주사제(주사제)</t>
        </is>
      </c>
      <c r="AI23" s="17" t="n">
        <v>1</v>
      </c>
      <c r="AJ23" s="24" t="n">
        <v>46283</v>
      </c>
      <c r="AK23" s="25" t="inlineStr">
        <is>
          <t>Y</t>
        </is>
      </c>
      <c r="AL23" s="17" t="inlineStr">
        <is>
          <t>Y</t>
        </is>
      </c>
      <c r="AM23" s="17" t="inlineStr">
        <is>
          <t>다중 제조소/다수 판정서로 문서관리 복잡; 무균/바이오 제조로 품질관리 난도 높음</t>
        </is>
      </c>
      <c r="AN23" s="17" t="inlineStr">
        <is>
          <t>미확인</t>
        </is>
      </c>
      <c r="AO23" s="17" t="inlineStr">
        <is>
          <t>미확인</t>
        </is>
      </c>
      <c r="AP23" s="17" t="inlineStr">
        <is>
          <t>미확인</t>
        </is>
      </c>
      <c r="AQ23" s="17" t="inlineStr">
        <is>
          <t>담당자 파악 후 접촉</t>
        </is>
      </c>
      <c r="AR23" s="17" t="inlineStr">
        <is>
          <t>2026-07-05</t>
        </is>
      </c>
      <c r="AS23" s="17" t="inlineStr">
        <is>
          <t>C(부분확인)</t>
        </is>
      </c>
      <c r="AT23" s="17" t="n">
        <v>90</v>
      </c>
      <c r="AU23" s="17" t="inlineStr"/>
      <c r="AV23" s="17" t="inlineStr"/>
    </row>
    <row r="24">
      <c r="A24" s="18" t="inlineStr">
        <is>
          <t>Tier A</t>
        </is>
      </c>
      <c r="B24" s="17" t="n">
        <v>40</v>
      </c>
      <c r="C24" s="17" t="inlineStr">
        <is>
          <t>(주)엘지화학</t>
        </is>
      </c>
      <c r="D24" s="17" t="inlineStr">
        <is>
          <t>오송공장</t>
        </is>
      </c>
      <c r="E24" s="17" t="inlineStr">
        <is>
          <t>충청북도</t>
        </is>
      </c>
      <c r="F24" s="17" t="inlineStr">
        <is>
          <t>청주시</t>
        </is>
      </c>
      <c r="G24" s="17" t="n">
        <v>3</v>
      </c>
      <c r="H24" s="20" t="inlineStr">
        <is>
          <t>Y</t>
        </is>
      </c>
      <c r="I24" s="21" t="inlineStr">
        <is>
          <t>Y</t>
        </is>
      </c>
      <c r="J24" s="17" t="inlineStr">
        <is>
          <t>Y</t>
        </is>
      </c>
      <c r="K24" s="17" t="inlineStr">
        <is>
          <t>Y</t>
        </is>
      </c>
      <c r="L24" s="22" t="inlineStr">
        <is>
          <t>미확인</t>
        </is>
      </c>
      <c r="M24" s="22" t="inlineStr">
        <is>
          <t>미확인</t>
        </is>
      </c>
      <c r="N24" s="22" t="inlineStr">
        <is>
          <t>미확인</t>
        </is>
      </c>
      <c r="O24" s="22" t="inlineStr">
        <is>
          <t>미확인</t>
        </is>
      </c>
      <c r="P24" s="17" t="inlineStr">
        <is>
          <t>통합형</t>
        </is>
      </c>
      <c r="Q24" s="22" t="inlineStr">
        <is>
          <t>미확인</t>
        </is>
      </c>
      <c r="R24" s="22" t="inlineStr">
        <is>
          <t>미확인</t>
        </is>
      </c>
      <c r="S24" s="17" t="inlineStr">
        <is>
          <t>Tier C</t>
        </is>
      </c>
      <c r="T24" s="17" t="n">
        <v>30</v>
      </c>
      <c r="U24" s="17" t="inlineStr">
        <is>
          <t>C183</t>
        </is>
      </c>
      <c r="V24" s="17" t="inlineStr">
        <is>
          <t>엘지화학</t>
        </is>
      </c>
      <c r="W24" s="17" t="inlineStr"/>
      <c r="X24" s="17" t="inlineStr"/>
      <c r="Y24" s="23" t="inlineStr"/>
      <c r="Z24" s="17" t="inlineStr">
        <is>
          <t>김동춘</t>
        </is>
      </c>
      <c r="AA24" s="17" t="inlineStr"/>
      <c r="AB24" s="17" t="inlineStr">
        <is>
          <t>02-3773-3131</t>
        </is>
      </c>
      <c r="AC24" s="17" t="inlineStr">
        <is>
          <t>미확인</t>
        </is>
      </c>
      <c r="AD24" s="17" t="inlineStr">
        <is>
          <t>Y</t>
        </is>
      </c>
      <c r="AE24" s="17" t="inlineStr">
        <is>
          <t>P197</t>
        </is>
      </c>
      <c r="AF24" s="17" t="inlineStr">
        <is>
          <t>충청북도 청주시 흥덕구 오송읍 오송생명1로 151</t>
        </is>
      </c>
      <c r="AG24" s="17" t="inlineStr">
        <is>
          <t>완제의약품+원료의약품</t>
        </is>
      </c>
      <c r="AH24" s="17" t="inlineStr">
        <is>
          <t>비무균-일반제제-내용고형제(정제, 캡슐제), 무균-일반제제-주사제(주사제, 동결건조주사제), 생물-백신-주사제(주사제, 동결건조주사제), 생물-유전자재조합의약품-주사제(주사제, 동결건조주사제)</t>
        </is>
      </c>
      <c r="AI24" s="17" t="n">
        <v>2</v>
      </c>
      <c r="AJ24" s="24" t="n">
        <v>46920</v>
      </c>
      <c r="AK24" s="17" t="inlineStr"/>
      <c r="AL24" s="17" t="inlineStr"/>
      <c r="AM24" s="17" t="inlineStr">
        <is>
          <t>다중 제조소/다수 판정서로 문서관리 복잡; 무균/바이오 제조로 품질관리 난도 높음</t>
        </is>
      </c>
      <c r="AN24" s="17" t="inlineStr">
        <is>
          <t>미확인</t>
        </is>
      </c>
      <c r="AO24" s="17" t="inlineStr">
        <is>
          <t>미확인</t>
        </is>
      </c>
      <c r="AP24" s="17" t="inlineStr">
        <is>
          <t>미확인</t>
        </is>
      </c>
      <c r="AQ24" s="17" t="inlineStr">
        <is>
          <t>담당자 파악 후 접촉</t>
        </is>
      </c>
      <c r="AR24" s="17" t="inlineStr">
        <is>
          <t>2026-07-05</t>
        </is>
      </c>
      <c r="AS24" s="17" t="inlineStr">
        <is>
          <t>C(부분확인)</t>
        </is>
      </c>
      <c r="AT24" s="17" t="n">
        <v>90</v>
      </c>
      <c r="AU24" s="17" t="inlineStr"/>
      <c r="AV24" s="17" t="inlineStr"/>
    </row>
    <row r="25">
      <c r="A25" s="18" t="inlineStr">
        <is>
          <t>Tier A</t>
        </is>
      </c>
      <c r="B25" s="17" t="n">
        <v>40</v>
      </c>
      <c r="C25" s="17" t="inlineStr">
        <is>
          <t>(주)엘지화학</t>
        </is>
      </c>
      <c r="D25" s="17" t="inlineStr">
        <is>
          <t>울산공장</t>
        </is>
      </c>
      <c r="E25" s="17" t="inlineStr">
        <is>
          <t>울산광역시</t>
        </is>
      </c>
      <c r="F25" s="17" t="inlineStr">
        <is>
          <t>울주군</t>
        </is>
      </c>
      <c r="G25" s="17" t="n">
        <v>3</v>
      </c>
      <c r="H25" s="17" t="inlineStr"/>
      <c r="I25" s="17" t="inlineStr"/>
      <c r="J25" s="17" t="inlineStr">
        <is>
          <t>Y</t>
        </is>
      </c>
      <c r="K25" s="17" t="inlineStr">
        <is>
          <t>Y</t>
        </is>
      </c>
      <c r="L25" s="22" t="inlineStr">
        <is>
          <t>미확인</t>
        </is>
      </c>
      <c r="M25" s="22" t="inlineStr">
        <is>
          <t>미확인</t>
        </is>
      </c>
      <c r="N25" s="22" t="inlineStr">
        <is>
          <t>미확인</t>
        </is>
      </c>
      <c r="O25" s="22" t="inlineStr">
        <is>
          <t>미확인</t>
        </is>
      </c>
      <c r="P25" s="17" t="inlineStr">
        <is>
          <t>통합형</t>
        </is>
      </c>
      <c r="Q25" s="22" t="inlineStr">
        <is>
          <t>미확인</t>
        </is>
      </c>
      <c r="R25" s="22" t="inlineStr">
        <is>
          <t>미확인</t>
        </is>
      </c>
      <c r="S25" s="17" t="inlineStr">
        <is>
          <t>Tier C</t>
        </is>
      </c>
      <c r="T25" s="17" t="n">
        <v>30</v>
      </c>
      <c r="U25" s="17" t="inlineStr">
        <is>
          <t>C183</t>
        </is>
      </c>
      <c r="V25" s="17" t="inlineStr">
        <is>
          <t>엘지화학</t>
        </is>
      </c>
      <c r="W25" s="17" t="inlineStr"/>
      <c r="X25" s="17" t="inlineStr"/>
      <c r="Y25" s="23" t="inlineStr"/>
      <c r="Z25" s="17" t="inlineStr">
        <is>
          <t>김동춘</t>
        </is>
      </c>
      <c r="AA25" s="17" t="inlineStr"/>
      <c r="AB25" s="17" t="inlineStr">
        <is>
          <t>02-3773-3131</t>
        </is>
      </c>
      <c r="AC25" s="17" t="inlineStr">
        <is>
          <t>미확인</t>
        </is>
      </c>
      <c r="AD25" s="17" t="inlineStr">
        <is>
          <t>Y</t>
        </is>
      </c>
      <c r="AE25" s="17" t="inlineStr">
        <is>
          <t>P323</t>
        </is>
      </c>
      <c r="AF25" s="17" t="inlineStr">
        <is>
          <t>울산광역시 울주군 온산읍 이진로 19</t>
        </is>
      </c>
      <c r="AG25" s="17" t="inlineStr">
        <is>
          <t>원료의약품</t>
        </is>
      </c>
      <c r="AH25" s="17" t="inlineStr">
        <is>
          <t>비무균-일반제제-합성</t>
        </is>
      </c>
      <c r="AI25" s="17" t="n">
        <v>1</v>
      </c>
      <c r="AJ25" s="24" t="n">
        <v>46696</v>
      </c>
      <c r="AK25" s="17" t="inlineStr"/>
      <c r="AL25" s="17" t="inlineStr"/>
      <c r="AM25" s="17" t="inlineStr">
        <is>
          <t>다중 제조소/다수 판정서로 문서관리 복잡; 무균/바이오 제조로 품질관리 난도 높음</t>
        </is>
      </c>
      <c r="AN25" s="17" t="inlineStr">
        <is>
          <t>미확인</t>
        </is>
      </c>
      <c r="AO25" s="17" t="inlineStr">
        <is>
          <t>미확인</t>
        </is>
      </c>
      <c r="AP25" s="17" t="inlineStr">
        <is>
          <t>미확인</t>
        </is>
      </c>
      <c r="AQ25" s="17" t="inlineStr">
        <is>
          <t>담당자 파악 후 접촉</t>
        </is>
      </c>
      <c r="AR25" s="17" t="inlineStr">
        <is>
          <t>2026-07-05</t>
        </is>
      </c>
      <c r="AS25" s="17" t="inlineStr">
        <is>
          <t>C(부분확인)</t>
        </is>
      </c>
      <c r="AT25" s="17" t="n">
        <v>90</v>
      </c>
      <c r="AU25" s="17" t="inlineStr"/>
      <c r="AV25" s="17" t="inlineStr"/>
    </row>
    <row r="26">
      <c r="A26" s="18" t="inlineStr">
        <is>
          <t>Tier A</t>
        </is>
      </c>
      <c r="B26" s="17" t="n">
        <v>40</v>
      </c>
      <c r="C26" s="17" t="inlineStr">
        <is>
          <t>(주)엘지화학</t>
        </is>
      </c>
      <c r="D26" s="17" t="inlineStr">
        <is>
          <t>익산</t>
        </is>
      </c>
      <c r="E26" s="17" t="inlineStr">
        <is>
          <t>전북특별자치도</t>
        </is>
      </c>
      <c r="F26" s="17" t="inlineStr">
        <is>
          <t>익산시</t>
        </is>
      </c>
      <c r="G26" s="17" t="n">
        <v>3</v>
      </c>
      <c r="H26" s="20" t="inlineStr">
        <is>
          <t>Y</t>
        </is>
      </c>
      <c r="I26" s="17" t="inlineStr"/>
      <c r="J26" s="17" t="inlineStr">
        <is>
          <t>Y</t>
        </is>
      </c>
      <c r="K26" s="17" t="inlineStr">
        <is>
          <t>Y</t>
        </is>
      </c>
      <c r="L26" s="22" t="inlineStr">
        <is>
          <t>미확인</t>
        </is>
      </c>
      <c r="M26" s="22" t="inlineStr">
        <is>
          <t>미확인</t>
        </is>
      </c>
      <c r="N26" s="22" t="inlineStr">
        <is>
          <t>미확인</t>
        </is>
      </c>
      <c r="O26" s="22" t="inlineStr">
        <is>
          <t>미확인</t>
        </is>
      </c>
      <c r="P26" s="17" t="inlineStr">
        <is>
          <t>통합형</t>
        </is>
      </c>
      <c r="Q26" s="22" t="inlineStr">
        <is>
          <t>미확인</t>
        </is>
      </c>
      <c r="R26" s="22" t="inlineStr">
        <is>
          <t>미확인</t>
        </is>
      </c>
      <c r="S26" s="17" t="inlineStr">
        <is>
          <t>Tier C</t>
        </is>
      </c>
      <c r="T26" s="17" t="n">
        <v>30</v>
      </c>
      <c r="U26" s="17" t="inlineStr">
        <is>
          <t>C183</t>
        </is>
      </c>
      <c r="V26" s="17" t="inlineStr">
        <is>
          <t>엘지화학</t>
        </is>
      </c>
      <c r="W26" s="17" t="inlineStr"/>
      <c r="X26" s="17" t="inlineStr"/>
      <c r="Y26" s="23" t="inlineStr"/>
      <c r="Z26" s="17" t="inlineStr">
        <is>
          <t>김동춘</t>
        </is>
      </c>
      <c r="AA26" s="17" t="inlineStr"/>
      <c r="AB26" s="17" t="inlineStr">
        <is>
          <t>02-3773-3131</t>
        </is>
      </c>
      <c r="AC26" s="17" t="inlineStr">
        <is>
          <t>미확인</t>
        </is>
      </c>
      <c r="AD26" s="17" t="inlineStr">
        <is>
          <t>Y</t>
        </is>
      </c>
      <c r="AE26" s="17" t="inlineStr">
        <is>
          <t>P383</t>
        </is>
      </c>
      <c r="AF26" s="17" t="inlineStr">
        <is>
          <t>전북특별자치도 익산시 석암로 129</t>
        </is>
      </c>
      <c r="AG26" s="17" t="inlineStr">
        <is>
          <t>완제의약품+원료의약품</t>
        </is>
      </c>
      <c r="AH26" s="17" t="inlineStr">
        <is>
          <t>무균-일반제제-합성, 비무균-일반제제-합성, 무균-일반제제-발효, 생물-백신-(배양, 정제, 원액 제조), 생물-유전자재조합의약품-(배양, 정제, 원액 제조)</t>
        </is>
      </c>
      <c r="AI26" s="17" t="n">
        <v>2</v>
      </c>
      <c r="AJ26" s="24" t="n">
        <v>46530</v>
      </c>
      <c r="AK26" s="17" t="inlineStr"/>
      <c r="AL26" s="17" t="inlineStr">
        <is>
          <t>Y</t>
        </is>
      </c>
      <c r="AM26" s="17" t="inlineStr">
        <is>
          <t>다중 제조소/다수 판정서로 문서관리 복잡; 무균/바이오 제조로 품질관리 난도 높음</t>
        </is>
      </c>
      <c r="AN26" s="17" t="inlineStr">
        <is>
          <t>미확인</t>
        </is>
      </c>
      <c r="AO26" s="17" t="inlineStr">
        <is>
          <t>미확인</t>
        </is>
      </c>
      <c r="AP26" s="17" t="inlineStr">
        <is>
          <t>미확인</t>
        </is>
      </c>
      <c r="AQ26" s="17" t="inlineStr">
        <is>
          <t>담당자 파악 후 접촉</t>
        </is>
      </c>
      <c r="AR26" s="17" t="inlineStr">
        <is>
          <t>2026-07-05</t>
        </is>
      </c>
      <c r="AS26" s="17" t="inlineStr">
        <is>
          <t>C(부분확인)</t>
        </is>
      </c>
      <c r="AT26" s="17" t="n">
        <v>90</v>
      </c>
      <c r="AU26" s="17" t="inlineStr"/>
      <c r="AV26" s="17" t="inlineStr"/>
    </row>
    <row r="27">
      <c r="A27" s="18" t="inlineStr">
        <is>
          <t>Tier A</t>
        </is>
      </c>
      <c r="B27" s="17" t="n">
        <v>39</v>
      </c>
      <c r="C27" s="17" t="inlineStr">
        <is>
          <t>(주)셀트리온</t>
        </is>
      </c>
      <c r="D27" s="17" t="inlineStr">
        <is>
          <t>제1공장</t>
        </is>
      </c>
      <c r="E27" s="17" t="inlineStr">
        <is>
          <t>인천광역시</t>
        </is>
      </c>
      <c r="F27" s="17" t="inlineStr">
        <is>
          <t>연수구</t>
        </is>
      </c>
      <c r="G27" s="17" t="n">
        <v>2</v>
      </c>
      <c r="H27" s="17" t="inlineStr"/>
      <c r="I27" s="21" t="inlineStr">
        <is>
          <t>Y</t>
        </is>
      </c>
      <c r="J27" s="17" t="inlineStr">
        <is>
          <t>Y</t>
        </is>
      </c>
      <c r="K27" s="17" t="inlineStr">
        <is>
          <t>Y</t>
        </is>
      </c>
      <c r="L27" s="22" t="inlineStr">
        <is>
          <t>미확인</t>
        </is>
      </c>
      <c r="M27" s="22" t="inlineStr">
        <is>
          <t>미확인</t>
        </is>
      </c>
      <c r="N27" s="22" t="inlineStr">
        <is>
          <t>미확인</t>
        </is>
      </c>
      <c r="O27" s="22" t="inlineStr">
        <is>
          <t>미확인</t>
        </is>
      </c>
      <c r="P27" s="17" t="inlineStr">
        <is>
          <t>통합형</t>
        </is>
      </c>
      <c r="Q27" s="22" t="inlineStr">
        <is>
          <t>미확인</t>
        </is>
      </c>
      <c r="R27" s="22" t="inlineStr">
        <is>
          <t>미확인</t>
        </is>
      </c>
      <c r="S27" s="17" t="inlineStr">
        <is>
          <t>Tier D</t>
        </is>
      </c>
      <c r="T27" s="17" t="n">
        <v>23</v>
      </c>
      <c r="U27" s="17" t="inlineStr">
        <is>
          <t>C251</t>
        </is>
      </c>
      <c r="V27" s="17" t="inlineStr">
        <is>
          <t>셀트리온</t>
        </is>
      </c>
      <c r="W27" s="17" t="inlineStr">
        <is>
          <t>Y</t>
        </is>
      </c>
      <c r="X27" s="17" t="inlineStr">
        <is>
          <t>유가</t>
        </is>
      </c>
      <c r="Y27" s="23" t="inlineStr">
        <is>
          <t>068270</t>
        </is>
      </c>
      <c r="Z27" s="17" t="inlineStr">
        <is>
          <t>기우성, 서진석</t>
        </is>
      </c>
      <c r="AA27" s="17" t="inlineStr">
        <is>
          <t>http://www.celltrion.com</t>
        </is>
      </c>
      <c r="AB27" s="17" t="inlineStr">
        <is>
          <t>미확인</t>
        </is>
      </c>
      <c r="AC27" s="17" t="inlineStr">
        <is>
          <t>미확인</t>
        </is>
      </c>
      <c r="AD27" s="17" t="inlineStr">
        <is>
          <t>Y</t>
        </is>
      </c>
      <c r="AE27" s="17" t="inlineStr">
        <is>
          <t>P292</t>
        </is>
      </c>
      <c r="AF27" s="17" t="inlineStr">
        <is>
          <t>인천광역시 연수구 아카데미로 23</t>
        </is>
      </c>
      <c r="AG27" s="17" t="inlineStr">
        <is>
          <t>원료의약품</t>
        </is>
      </c>
      <c r="AH27" s="17" t="inlineStr">
        <is>
          <t>생물-유전자재조합의약품-(배양, 정제, 바이러스불활화, 원액 제조)</t>
        </is>
      </c>
      <c r="AI27" s="17" t="n">
        <v>1</v>
      </c>
      <c r="AJ27" s="24" t="n">
        <v>46800</v>
      </c>
      <c r="AK27" s="17" t="inlineStr"/>
      <c r="AL27" s="17" t="inlineStr"/>
      <c r="AM27" s="17" t="inlineStr">
        <is>
          <t>다중 제조소/다수 판정서로 문서관리 복잡; 무균/바이오 제조로 품질관리 난도 높음</t>
        </is>
      </c>
      <c r="AN27" s="17" t="inlineStr">
        <is>
          <t>미확인</t>
        </is>
      </c>
      <c r="AO27" s="17" t="inlineStr">
        <is>
          <t>미확인</t>
        </is>
      </c>
      <c r="AP27" s="17" t="inlineStr">
        <is>
          <t>미확인</t>
        </is>
      </c>
      <c r="AQ27" s="17" t="inlineStr">
        <is>
          <t>담당자 파악 후 접촉</t>
        </is>
      </c>
      <c r="AR27" s="17" t="inlineStr">
        <is>
          <t>2026-07-05</t>
        </is>
      </c>
      <c r="AS27" s="17" t="inlineStr">
        <is>
          <t>C(부분확인)</t>
        </is>
      </c>
      <c r="AT27" s="17" t="n">
        <v>90</v>
      </c>
      <c r="AU27" s="17" t="inlineStr"/>
      <c r="AV27" s="17" t="inlineStr"/>
    </row>
    <row r="28">
      <c r="A28" s="18" t="inlineStr">
        <is>
          <t>Tier A</t>
        </is>
      </c>
      <c r="B28" s="17" t="n">
        <v>39</v>
      </c>
      <c r="C28" s="17" t="inlineStr">
        <is>
          <t>(주)셀트리온</t>
        </is>
      </c>
      <c r="D28" s="17" t="inlineStr">
        <is>
          <t>제1공장</t>
        </is>
      </c>
      <c r="E28" s="17" t="inlineStr">
        <is>
          <t>인천광역시</t>
        </is>
      </c>
      <c r="F28" s="17" t="inlineStr">
        <is>
          <t>연수구</t>
        </is>
      </c>
      <c r="G28" s="17" t="n">
        <v>2</v>
      </c>
      <c r="H28" s="20" t="inlineStr">
        <is>
          <t>Y</t>
        </is>
      </c>
      <c r="I28" s="21" t="inlineStr">
        <is>
          <t>Y</t>
        </is>
      </c>
      <c r="J28" s="17" t="inlineStr">
        <is>
          <t>Y</t>
        </is>
      </c>
      <c r="K28" s="17" t="inlineStr">
        <is>
          <t>Y</t>
        </is>
      </c>
      <c r="L28" s="22" t="inlineStr">
        <is>
          <t>미확인</t>
        </is>
      </c>
      <c r="M28" s="22" t="inlineStr">
        <is>
          <t>미확인</t>
        </is>
      </c>
      <c r="N28" s="22" t="inlineStr">
        <is>
          <t>미확인</t>
        </is>
      </c>
      <c r="O28" s="22" t="inlineStr">
        <is>
          <t>미확인</t>
        </is>
      </c>
      <c r="P28" s="17" t="inlineStr">
        <is>
          <t>통합형</t>
        </is>
      </c>
      <c r="Q28" s="22" t="inlineStr">
        <is>
          <t>미확인</t>
        </is>
      </c>
      <c r="R28" s="22" t="inlineStr">
        <is>
          <t>미확인</t>
        </is>
      </c>
      <c r="S28" s="17" t="inlineStr">
        <is>
          <t>Tier D</t>
        </is>
      </c>
      <c r="T28" s="17" t="n">
        <v>23</v>
      </c>
      <c r="U28" s="17" t="inlineStr">
        <is>
          <t>C251</t>
        </is>
      </c>
      <c r="V28" s="17" t="inlineStr">
        <is>
          <t>셀트리온</t>
        </is>
      </c>
      <c r="W28" s="17" t="inlineStr">
        <is>
          <t>Y</t>
        </is>
      </c>
      <c r="X28" s="17" t="inlineStr">
        <is>
          <t>유가</t>
        </is>
      </c>
      <c r="Y28" s="23" t="inlineStr">
        <is>
          <t>068270</t>
        </is>
      </c>
      <c r="Z28" s="17" t="inlineStr">
        <is>
          <t>기우성, 서진석</t>
        </is>
      </c>
      <c r="AA28" s="17" t="inlineStr">
        <is>
          <t>http://www.celltrion.com</t>
        </is>
      </c>
      <c r="AB28" s="17" t="inlineStr">
        <is>
          <t>미확인</t>
        </is>
      </c>
      <c r="AC28" s="17" t="inlineStr">
        <is>
          <t>미확인</t>
        </is>
      </c>
      <c r="AD28" s="17" t="inlineStr">
        <is>
          <t>Y</t>
        </is>
      </c>
      <c r="AE28" s="17" t="inlineStr">
        <is>
          <t>P293</t>
        </is>
      </c>
      <c r="AF28" s="17" t="inlineStr">
        <is>
          <t>인천광역시 연수구 아카데미로51번길 20</t>
        </is>
      </c>
      <c r="AG28" s="17" t="inlineStr">
        <is>
          <t>완제의약품+원료의약품</t>
        </is>
      </c>
      <c r="AH28" s="17" t="inlineStr">
        <is>
          <t>생물-유전자재조합의약품-주사제(주사제)</t>
        </is>
      </c>
      <c r="AI28" s="17" t="n">
        <v>2</v>
      </c>
      <c r="AJ28" s="24" t="n">
        <v>46800</v>
      </c>
      <c r="AK28" s="17" t="inlineStr"/>
      <c r="AL28" s="17" t="inlineStr"/>
      <c r="AM28" s="17" t="inlineStr">
        <is>
          <t>다중 제조소/다수 판정서로 문서관리 복잡; 무균/바이오 제조로 품질관리 난도 높음</t>
        </is>
      </c>
      <c r="AN28" s="17" t="inlineStr">
        <is>
          <t>미확인</t>
        </is>
      </c>
      <c r="AO28" s="17" t="inlineStr">
        <is>
          <t>미확인</t>
        </is>
      </c>
      <c r="AP28" s="17" t="inlineStr">
        <is>
          <t>미확인</t>
        </is>
      </c>
      <c r="AQ28" s="17" t="inlineStr">
        <is>
          <t>담당자 파악 후 접촉</t>
        </is>
      </c>
      <c r="AR28" s="17" t="inlineStr">
        <is>
          <t>2026-07-05</t>
        </is>
      </c>
      <c r="AS28" s="17" t="inlineStr">
        <is>
          <t>C(부분확인)</t>
        </is>
      </c>
      <c r="AT28" s="17" t="n">
        <v>90</v>
      </c>
      <c r="AU28" s="17" t="inlineStr"/>
      <c r="AV28" s="17" t="inlineStr"/>
    </row>
    <row r="29">
      <c r="A29" s="18" t="inlineStr">
        <is>
          <t>Tier A</t>
        </is>
      </c>
      <c r="B29" s="17" t="n">
        <v>37</v>
      </c>
      <c r="C29" s="17" t="inlineStr">
        <is>
          <t>에이치케이이노엔(주)</t>
        </is>
      </c>
      <c r="D29" s="17" t="inlineStr">
        <is>
          <t>이천</t>
        </is>
      </c>
      <c r="E29" s="17" t="inlineStr">
        <is>
          <t>경기도</t>
        </is>
      </c>
      <c r="F29" s="17" t="inlineStr">
        <is>
          <t>이천시</t>
        </is>
      </c>
      <c r="G29" s="17" t="n">
        <v>3</v>
      </c>
      <c r="H29" s="20" t="inlineStr">
        <is>
          <t>Y</t>
        </is>
      </c>
      <c r="I29" s="21" t="inlineStr">
        <is>
          <t>Y</t>
        </is>
      </c>
      <c r="J29" s="17" t="inlineStr">
        <is>
          <t>Y</t>
        </is>
      </c>
      <c r="K29" s="17" t="inlineStr">
        <is>
          <t>Y</t>
        </is>
      </c>
      <c r="L29" s="22" t="inlineStr">
        <is>
          <t>미확인</t>
        </is>
      </c>
      <c r="M29" s="22" t="inlineStr">
        <is>
          <t>미확인</t>
        </is>
      </c>
      <c r="N29" s="22" t="inlineStr">
        <is>
          <t>미확인</t>
        </is>
      </c>
      <c r="O29" s="22" t="inlineStr">
        <is>
          <t>미확인</t>
        </is>
      </c>
      <c r="P29" s="17" t="inlineStr">
        <is>
          <t>통합형</t>
        </is>
      </c>
      <c r="Q29" s="22" t="inlineStr">
        <is>
          <t>미확인</t>
        </is>
      </c>
      <c r="R29" s="22" t="inlineStr">
        <is>
          <t>미확인</t>
        </is>
      </c>
      <c r="S29" s="17" t="inlineStr">
        <is>
          <t>Tier D</t>
        </is>
      </c>
      <c r="T29" s="17" t="n">
        <v>27</v>
      </c>
      <c r="U29" s="17" t="inlineStr">
        <is>
          <t>C086</t>
        </is>
      </c>
      <c r="V29" s="17" t="inlineStr">
        <is>
          <t>에이치케이이노엔</t>
        </is>
      </c>
      <c r="W29" s="17" t="inlineStr"/>
      <c r="X29" s="17" t="inlineStr"/>
      <c r="Y29" s="23" t="inlineStr"/>
      <c r="Z29" s="17" t="inlineStr">
        <is>
          <t>곽달원</t>
        </is>
      </c>
      <c r="AA29" s="17" t="inlineStr"/>
      <c r="AB29" s="17" t="inlineStr">
        <is>
          <t>031-639-4270</t>
        </is>
      </c>
      <c r="AC29" s="17" t="inlineStr">
        <is>
          <t>미확인</t>
        </is>
      </c>
      <c r="AD29" s="17" t="inlineStr">
        <is>
          <t>Y</t>
        </is>
      </c>
      <c r="AE29" s="17" t="inlineStr">
        <is>
          <t>P088</t>
        </is>
      </c>
      <c r="AF29" s="17" t="inlineStr">
        <is>
          <t>경기도 이천시 마장면 덕평로 811</t>
        </is>
      </c>
      <c r="AG29" s="17" t="inlineStr">
        <is>
          <t>완제의약품+원료의약품</t>
        </is>
      </c>
      <c r="AH29" s="17" t="inlineStr">
        <is>
          <t>생물-백신-주사제(동결건조주사제), 생물-유전자재조합의약품-주사제(주사제)</t>
        </is>
      </c>
      <c r="AI29" s="17" t="n">
        <v>2</v>
      </c>
      <c r="AJ29" s="24" t="n">
        <v>47136</v>
      </c>
      <c r="AK29" s="17" t="inlineStr"/>
      <c r="AL29" s="17" t="inlineStr"/>
      <c r="AM29" s="17" t="inlineStr">
        <is>
          <t>다중 제조소/다수 판정서로 문서관리 복잡; 무균/바이오 제조로 품질관리 난도 높음</t>
        </is>
      </c>
      <c r="AN29" s="17" t="inlineStr">
        <is>
          <t>미확인</t>
        </is>
      </c>
      <c r="AO29" s="17" t="inlineStr">
        <is>
          <t>미확인</t>
        </is>
      </c>
      <c r="AP29" s="17" t="inlineStr">
        <is>
          <t>미확인</t>
        </is>
      </c>
      <c r="AQ29" s="17" t="inlineStr">
        <is>
          <t>담당자 파악 후 접촉</t>
        </is>
      </c>
      <c r="AR29" s="17" t="inlineStr">
        <is>
          <t>2026-07-05</t>
        </is>
      </c>
      <c r="AS29" s="17" t="inlineStr">
        <is>
          <t>C(부분확인)</t>
        </is>
      </c>
      <c r="AT29" s="17" t="n">
        <v>90</v>
      </c>
      <c r="AU29" s="17" t="inlineStr"/>
      <c r="AV29" s="17" t="inlineStr"/>
    </row>
    <row r="30">
      <c r="A30" s="18" t="inlineStr">
        <is>
          <t>Tier A</t>
        </is>
      </c>
      <c r="B30" s="17" t="n">
        <v>37</v>
      </c>
      <c r="C30" s="17" t="inlineStr">
        <is>
          <t>에이치케이이노엔(주)</t>
        </is>
      </c>
      <c r="D30" s="17" t="inlineStr">
        <is>
          <t>음성</t>
        </is>
      </c>
      <c r="E30" s="17" t="inlineStr">
        <is>
          <t>충청북도</t>
        </is>
      </c>
      <c r="F30" s="17" t="inlineStr">
        <is>
          <t>음성군</t>
        </is>
      </c>
      <c r="G30" s="17" t="n">
        <v>3</v>
      </c>
      <c r="H30" s="20" t="inlineStr">
        <is>
          <t>Y</t>
        </is>
      </c>
      <c r="I30" s="17" t="inlineStr"/>
      <c r="J30" s="17" t="inlineStr">
        <is>
          <t>Y</t>
        </is>
      </c>
      <c r="K30" s="17" t="inlineStr">
        <is>
          <t>Y</t>
        </is>
      </c>
      <c r="L30" s="22" t="inlineStr">
        <is>
          <t>미확인</t>
        </is>
      </c>
      <c r="M30" s="22" t="inlineStr">
        <is>
          <t>미확인</t>
        </is>
      </c>
      <c r="N30" s="22" t="inlineStr">
        <is>
          <t>미확인</t>
        </is>
      </c>
      <c r="O30" s="22" t="inlineStr">
        <is>
          <t>미확인</t>
        </is>
      </c>
      <c r="P30" s="17" t="inlineStr">
        <is>
          <t>통합형</t>
        </is>
      </c>
      <c r="Q30" s="22" t="inlineStr">
        <is>
          <t>미확인</t>
        </is>
      </c>
      <c r="R30" s="22" t="inlineStr">
        <is>
          <t>미확인</t>
        </is>
      </c>
      <c r="S30" s="17" t="inlineStr">
        <is>
          <t>Tier D</t>
        </is>
      </c>
      <c r="T30" s="17" t="n">
        <v>27</v>
      </c>
      <c r="U30" s="17" t="inlineStr">
        <is>
          <t>C086</t>
        </is>
      </c>
      <c r="V30" s="17" t="inlineStr">
        <is>
          <t>에이치케이이노엔</t>
        </is>
      </c>
      <c r="W30" s="17" t="inlineStr"/>
      <c r="X30" s="17" t="inlineStr"/>
      <c r="Y30" s="23" t="inlineStr"/>
      <c r="Z30" s="17" t="inlineStr">
        <is>
          <t>곽달원</t>
        </is>
      </c>
      <c r="AA30" s="17" t="inlineStr"/>
      <c r="AB30" s="17" t="inlineStr">
        <is>
          <t>031-639-4270</t>
        </is>
      </c>
      <c r="AC30" s="17" t="inlineStr">
        <is>
          <t>미확인</t>
        </is>
      </c>
      <c r="AD30" s="17" t="inlineStr">
        <is>
          <t>Y</t>
        </is>
      </c>
      <c r="AE30" s="17" t="inlineStr">
        <is>
          <t>P232</t>
        </is>
      </c>
      <c r="AF30" s="17" t="inlineStr">
        <is>
          <t>충청북도 음성군 대소읍 대소산단로 20</t>
        </is>
      </c>
      <c r="AG30" s="17" t="inlineStr">
        <is>
          <t>완제의약품+원료의약품</t>
        </is>
      </c>
      <c r="AH30" s="17" t="inlineStr">
        <is>
          <t>비무균-세팔로스포린제제-내용고형제(정제, 시럽제(고형)), 무균-일반제제-주사제(수액제)</t>
        </is>
      </c>
      <c r="AI30" s="17" t="n">
        <v>2</v>
      </c>
      <c r="AJ30" s="24" t="n">
        <v>46876</v>
      </c>
      <c r="AK30" s="17" t="inlineStr"/>
      <c r="AL30" s="17" t="inlineStr"/>
      <c r="AM30" s="17" t="inlineStr">
        <is>
          <t>다중 제조소/다수 판정서로 문서관리 복잡; 무균/바이오 제조로 품질관리 난도 높음</t>
        </is>
      </c>
      <c r="AN30" s="17" t="inlineStr">
        <is>
          <t>미확인</t>
        </is>
      </c>
      <c r="AO30" s="17" t="inlineStr">
        <is>
          <t>미확인</t>
        </is>
      </c>
      <c r="AP30" s="17" t="inlineStr">
        <is>
          <t>미확인</t>
        </is>
      </c>
      <c r="AQ30" s="17" t="inlineStr">
        <is>
          <t>담당자 파악 후 접촉</t>
        </is>
      </c>
      <c r="AR30" s="17" t="inlineStr">
        <is>
          <t>2026-07-05</t>
        </is>
      </c>
      <c r="AS30" s="17" t="inlineStr">
        <is>
          <t>C(부분확인)</t>
        </is>
      </c>
      <c r="AT30" s="17" t="n">
        <v>90</v>
      </c>
      <c r="AU30" s="17" t="inlineStr"/>
      <c r="AV30" s="17" t="inlineStr"/>
    </row>
    <row r="31">
      <c r="A31" s="18" t="inlineStr">
        <is>
          <t>Tier A</t>
        </is>
      </c>
      <c r="B31" s="17" t="n">
        <v>37</v>
      </c>
      <c r="C31" s="17" t="inlineStr">
        <is>
          <t>에이치케이이노엔(주)</t>
        </is>
      </c>
      <c r="D31" s="17" t="inlineStr">
        <is>
          <t>오송</t>
        </is>
      </c>
      <c r="E31" s="17" t="inlineStr">
        <is>
          <t>충청북도</t>
        </is>
      </c>
      <c r="F31" s="17" t="inlineStr">
        <is>
          <t>청주시</t>
        </is>
      </c>
      <c r="G31" s="17" t="n">
        <v>3</v>
      </c>
      <c r="H31" s="20" t="inlineStr">
        <is>
          <t>Y</t>
        </is>
      </c>
      <c r="I31" s="17" t="inlineStr"/>
      <c r="J31" s="17" t="inlineStr">
        <is>
          <t>Y</t>
        </is>
      </c>
      <c r="K31" s="17" t="inlineStr">
        <is>
          <t>Y</t>
        </is>
      </c>
      <c r="L31" s="22" t="inlineStr">
        <is>
          <t>미확인</t>
        </is>
      </c>
      <c r="M31" s="22" t="inlineStr">
        <is>
          <t>미확인</t>
        </is>
      </c>
      <c r="N31" s="22" t="inlineStr">
        <is>
          <t>미확인</t>
        </is>
      </c>
      <c r="O31" s="22" t="inlineStr">
        <is>
          <t>미확인</t>
        </is>
      </c>
      <c r="P31" s="17" t="inlineStr">
        <is>
          <t>통합형</t>
        </is>
      </c>
      <c r="Q31" s="22" t="inlineStr">
        <is>
          <t>미확인</t>
        </is>
      </c>
      <c r="R31" s="22" t="inlineStr">
        <is>
          <t>미확인</t>
        </is>
      </c>
      <c r="S31" s="17" t="inlineStr">
        <is>
          <t>Tier D</t>
        </is>
      </c>
      <c r="T31" s="17" t="n">
        <v>27</v>
      </c>
      <c r="U31" s="17" t="inlineStr">
        <is>
          <t>C086</t>
        </is>
      </c>
      <c r="V31" s="17" t="inlineStr">
        <is>
          <t>에이치케이이노엔</t>
        </is>
      </c>
      <c r="W31" s="17" t="inlineStr"/>
      <c r="X31" s="17" t="inlineStr"/>
      <c r="Y31" s="23" t="inlineStr"/>
      <c r="Z31" s="17" t="inlineStr">
        <is>
          <t>곽달원</t>
        </is>
      </c>
      <c r="AA31" s="17" t="inlineStr"/>
      <c r="AB31" s="17" t="inlineStr">
        <is>
          <t>031-639-4270</t>
        </is>
      </c>
      <c r="AC31" s="17" t="inlineStr">
        <is>
          <t>미확인</t>
        </is>
      </c>
      <c r="AD31" s="17" t="inlineStr">
        <is>
          <t>Y</t>
        </is>
      </c>
      <c r="AE31" s="17" t="inlineStr">
        <is>
          <t>P279</t>
        </is>
      </c>
      <c r="AF31" s="17" t="inlineStr">
        <is>
          <t>충청북도 청주시 흥덕구 오송읍 오송생명2로 239</t>
        </is>
      </c>
      <c r="AG31" s="17" t="inlineStr">
        <is>
          <t>완제의약품</t>
        </is>
      </c>
      <c r="AH31" s="17" t="inlineStr">
        <is>
          <t>비무균-일반제제-내용고형제(정제, 캡슐제, 산제), 무균-세포독성항암제제-주사제(주사제), 무균-일반제제-주사제(수액제)</t>
        </is>
      </c>
      <c r="AI31" s="17" t="n">
        <v>1</v>
      </c>
      <c r="AJ31" s="24" t="n">
        <v>46822</v>
      </c>
      <c r="AK31" s="17" t="inlineStr"/>
      <c r="AL31" s="17" t="inlineStr"/>
      <c r="AM31" s="17" t="inlineStr">
        <is>
          <t>다중 제조소/다수 판정서로 문서관리 복잡; 무균/바이오 제조로 품질관리 난도 높음</t>
        </is>
      </c>
      <c r="AN31" s="17" t="inlineStr">
        <is>
          <t>미확인</t>
        </is>
      </c>
      <c r="AO31" s="17" t="inlineStr">
        <is>
          <t>미확인</t>
        </is>
      </c>
      <c r="AP31" s="17" t="inlineStr">
        <is>
          <t>미확인</t>
        </is>
      </c>
      <c r="AQ31" s="17" t="inlineStr">
        <is>
          <t>담당자 파악 후 접촉</t>
        </is>
      </c>
      <c r="AR31" s="17" t="inlineStr">
        <is>
          <t>2026-07-05</t>
        </is>
      </c>
      <c r="AS31" s="17" t="inlineStr">
        <is>
          <t>C(부분확인)</t>
        </is>
      </c>
      <c r="AT31" s="17" t="n">
        <v>90</v>
      </c>
      <c r="AU31" s="17" t="inlineStr"/>
      <c r="AV31" s="17" t="inlineStr"/>
    </row>
    <row r="32">
      <c r="A32" s="18" t="inlineStr">
        <is>
          <t>Tier A</t>
        </is>
      </c>
      <c r="B32" s="17" t="n">
        <v>37</v>
      </c>
      <c r="C32" s="17" t="inlineStr">
        <is>
          <t>(주)파마리서치바이오</t>
        </is>
      </c>
      <c r="D32" s="17" t="inlineStr">
        <is>
          <t>(주)파마리서치바이오</t>
        </is>
      </c>
      <c r="E32" s="17" t="inlineStr">
        <is>
          <t>강원특별자치도</t>
        </is>
      </c>
      <c r="F32" s="17" t="inlineStr">
        <is>
          <t>강릉시</t>
        </is>
      </c>
      <c r="G32" s="17" t="n">
        <v>1</v>
      </c>
      <c r="H32" s="20" t="inlineStr">
        <is>
          <t>Y</t>
        </is>
      </c>
      <c r="I32" s="21" t="inlineStr">
        <is>
          <t>Y</t>
        </is>
      </c>
      <c r="J32" s="17" t="inlineStr">
        <is>
          <t>Y</t>
        </is>
      </c>
      <c r="K32" s="17" t="inlineStr">
        <is>
          <t>Y</t>
        </is>
      </c>
      <c r="L32" s="22" t="inlineStr">
        <is>
          <t>미확인</t>
        </is>
      </c>
      <c r="M32" s="22" t="inlineStr">
        <is>
          <t>미확인</t>
        </is>
      </c>
      <c r="N32" s="22" t="inlineStr">
        <is>
          <t>미확인</t>
        </is>
      </c>
      <c r="O32" s="22" t="inlineStr">
        <is>
          <t>미확인</t>
        </is>
      </c>
      <c r="P32" s="17" t="inlineStr">
        <is>
          <t>QMS+LIMS</t>
        </is>
      </c>
      <c r="Q32" s="22" t="inlineStr">
        <is>
          <t>미확인</t>
        </is>
      </c>
      <c r="R32" s="22" t="inlineStr">
        <is>
          <t>미확인</t>
        </is>
      </c>
      <c r="S32" s="17" t="inlineStr">
        <is>
          <t>Tier D</t>
        </is>
      </c>
      <c r="T32" s="17" t="n">
        <v>22</v>
      </c>
      <c r="U32" s="17" t="inlineStr">
        <is>
          <t>C304</t>
        </is>
      </c>
      <c r="V32" s="17" t="inlineStr">
        <is>
          <t>파마리서치바이오</t>
        </is>
      </c>
      <c r="W32" s="17" t="inlineStr">
        <is>
          <t>Y</t>
        </is>
      </c>
      <c r="X32" s="17" t="inlineStr">
        <is>
          <t>코넥스</t>
        </is>
      </c>
      <c r="Y32" s="23" t="inlineStr">
        <is>
          <t>217950</t>
        </is>
      </c>
      <c r="Z32" s="17" t="inlineStr">
        <is>
          <t>백승걸, 원치엽 (각자대표)</t>
        </is>
      </c>
      <c r="AA32" s="17" t="inlineStr">
        <is>
          <t>http://www.pr-bio.co.kr</t>
        </is>
      </c>
      <c r="AB32" s="17" t="inlineStr">
        <is>
          <t>미확인</t>
        </is>
      </c>
      <c r="AC32" s="17" t="inlineStr">
        <is>
          <t>미확인</t>
        </is>
      </c>
      <c r="AD32" s="17" t="inlineStr">
        <is>
          <t>Y</t>
        </is>
      </c>
      <c r="AE32" s="17" t="inlineStr">
        <is>
          <t>P367</t>
        </is>
      </c>
      <c r="AF32" s="17" t="inlineStr">
        <is>
          <t>강원특별자치도 강릉시 사임당로 641-3 1층, 2층, 3층 일부(대전동)</t>
        </is>
      </c>
      <c r="AG32" s="17" t="inlineStr">
        <is>
          <t>완제의약품+원료의약품</t>
        </is>
      </c>
      <c r="AH32" s="17" t="inlineStr">
        <is>
          <t>생물-독소-주사제(동결건조주사제)</t>
        </is>
      </c>
      <c r="AI32" s="17" t="n">
        <v>2</v>
      </c>
      <c r="AJ32" s="24" t="n">
        <v>46558</v>
      </c>
      <c r="AK32" s="17" t="inlineStr"/>
      <c r="AL32" s="17" t="inlineStr">
        <is>
          <t>Y</t>
        </is>
      </c>
      <c r="AM32" s="17" t="inlineStr">
        <is>
          <t>무균/바이오 제조로 품질관리 난도 높음; 원료 제조로 시험실 관리 필요</t>
        </is>
      </c>
      <c r="AN32" s="17" t="inlineStr">
        <is>
          <t>미확인</t>
        </is>
      </c>
      <c r="AO32" s="17" t="inlineStr">
        <is>
          <t>미확인</t>
        </is>
      </c>
      <c r="AP32" s="17" t="inlineStr">
        <is>
          <t>미확인</t>
        </is>
      </c>
      <c r="AQ32" s="17" t="inlineStr">
        <is>
          <t>담당자 파악 후 접촉</t>
        </is>
      </c>
      <c r="AR32" s="17" t="inlineStr">
        <is>
          <t>2026-07-05</t>
        </is>
      </c>
      <c r="AS32" s="17" t="inlineStr">
        <is>
          <t>C(부분확인)</t>
        </is>
      </c>
      <c r="AT32" s="17" t="n">
        <v>90</v>
      </c>
      <c r="AU32" s="17" t="inlineStr"/>
      <c r="AV32" s="17" t="inlineStr"/>
    </row>
    <row r="33">
      <c r="A33" s="18" t="inlineStr">
        <is>
          <t>Tier A</t>
        </is>
      </c>
      <c r="B33" s="17" t="n">
        <v>37</v>
      </c>
      <c r="C33" s="17" t="inlineStr">
        <is>
          <t>휴젤주식회사</t>
        </is>
      </c>
      <c r="D33" s="17" t="inlineStr">
        <is>
          <t>제2공장</t>
        </is>
      </c>
      <c r="E33" s="17" t="inlineStr">
        <is>
          <t>강원특별자치도</t>
        </is>
      </c>
      <c r="F33" s="17" t="inlineStr">
        <is>
          <t>춘천시</t>
        </is>
      </c>
      <c r="G33" s="17" t="n">
        <v>1</v>
      </c>
      <c r="H33" s="20" t="inlineStr">
        <is>
          <t>Y</t>
        </is>
      </c>
      <c r="I33" s="21" t="inlineStr">
        <is>
          <t>Y</t>
        </is>
      </c>
      <c r="J33" s="17" t="inlineStr">
        <is>
          <t>Y</t>
        </is>
      </c>
      <c r="K33" s="17" t="inlineStr">
        <is>
          <t>Y</t>
        </is>
      </c>
      <c r="L33" s="22" t="inlineStr">
        <is>
          <t>미확인</t>
        </is>
      </c>
      <c r="M33" s="22" t="inlineStr">
        <is>
          <t>미확인</t>
        </is>
      </c>
      <c r="N33" s="22" t="inlineStr">
        <is>
          <t>미확인</t>
        </is>
      </c>
      <c r="O33" s="22" t="inlineStr">
        <is>
          <t>미확인</t>
        </is>
      </c>
      <c r="P33" s="17" t="inlineStr">
        <is>
          <t>QMS+LIMS</t>
        </is>
      </c>
      <c r="Q33" s="22" t="inlineStr">
        <is>
          <t>미확인</t>
        </is>
      </c>
      <c r="R33" s="22" t="inlineStr">
        <is>
          <t>미확인</t>
        </is>
      </c>
      <c r="S33" s="17" t="inlineStr">
        <is>
          <t>Tier D</t>
        </is>
      </c>
      <c r="T33" s="17" t="n">
        <v>25</v>
      </c>
      <c r="U33" s="17" t="inlineStr">
        <is>
          <t>C327</t>
        </is>
      </c>
      <c r="V33" s="17" t="inlineStr">
        <is>
          <t>휴젤</t>
        </is>
      </c>
      <c r="W33" s="17" t="inlineStr">
        <is>
          <t>Y</t>
        </is>
      </c>
      <c r="X33" s="17" t="inlineStr">
        <is>
          <t>코스닥</t>
        </is>
      </c>
      <c r="Y33" s="23" t="inlineStr">
        <is>
          <t>145020</t>
        </is>
      </c>
      <c r="Z33" s="17" t="inlineStr">
        <is>
          <t>Doohyun Chang</t>
        </is>
      </c>
      <c r="AA33" s="17" t="inlineStr">
        <is>
          <t>http://www.hugel.co.kr</t>
        </is>
      </c>
      <c r="AB33" s="17" t="inlineStr">
        <is>
          <t>033-255-3882</t>
        </is>
      </c>
      <c r="AC33" s="17" t="inlineStr">
        <is>
          <t>미확인</t>
        </is>
      </c>
      <c r="AD33" s="17" t="inlineStr">
        <is>
          <t>Y</t>
        </is>
      </c>
      <c r="AE33" s="17" t="inlineStr">
        <is>
          <t>P395</t>
        </is>
      </c>
      <c r="AF33" s="17" t="inlineStr">
        <is>
          <t>강원특별자치도 춘천시 동내면 거두단지1길 23 (거두리)</t>
        </is>
      </c>
      <c r="AG33" s="17" t="inlineStr">
        <is>
          <t>완제의약품+원료의약품</t>
        </is>
      </c>
      <c r="AH33" s="17" t="inlineStr">
        <is>
          <t>생물-독소-주사제(동결건조주사제)</t>
        </is>
      </c>
      <c r="AI33" s="17" t="n">
        <v>2</v>
      </c>
      <c r="AJ33" s="24" t="n">
        <v>46494</v>
      </c>
      <c r="AK33" s="17" t="inlineStr"/>
      <c r="AL33" s="17" t="inlineStr">
        <is>
          <t>Y</t>
        </is>
      </c>
      <c r="AM33" s="17" t="inlineStr">
        <is>
          <t>무균/바이오 제조로 품질관리 난도 높음; 원료 제조로 시험실 관리 필요</t>
        </is>
      </c>
      <c r="AN33" s="17" t="inlineStr">
        <is>
          <t>미확인</t>
        </is>
      </c>
      <c r="AO33" s="17" t="inlineStr">
        <is>
          <t>미확인</t>
        </is>
      </c>
      <c r="AP33" s="17" t="inlineStr">
        <is>
          <t>미확인</t>
        </is>
      </c>
      <c r="AQ33" s="17" t="inlineStr">
        <is>
          <t>담당자 파악 후 접촉</t>
        </is>
      </c>
      <c r="AR33" s="17" t="inlineStr">
        <is>
          <t>2026-07-05</t>
        </is>
      </c>
      <c r="AS33" s="17" t="inlineStr">
        <is>
          <t>C(부분확인)</t>
        </is>
      </c>
      <c r="AT33" s="17" t="n">
        <v>90</v>
      </c>
      <c r="AU33" s="17" t="inlineStr"/>
      <c r="AV33" s="17" t="inlineStr"/>
    </row>
    <row r="34">
      <c r="A34" s="18" t="inlineStr">
        <is>
          <t>Tier A</t>
        </is>
      </c>
      <c r="B34" s="17" t="n">
        <v>36</v>
      </c>
      <c r="C34" s="17" t="inlineStr">
        <is>
          <t>(주)퓨쳐켐</t>
        </is>
      </c>
      <c r="D34" s="17" t="inlineStr">
        <is>
          <t>제3공장</t>
        </is>
      </c>
      <c r="E34" s="17" t="inlineStr">
        <is>
          <t>서울특별시</t>
        </is>
      </c>
      <c r="F34" s="17" t="inlineStr">
        <is>
          <t>강서구</t>
        </is>
      </c>
      <c r="G34" s="17" t="n">
        <v>3</v>
      </c>
      <c r="H34" s="20" t="inlineStr">
        <is>
          <t>Y</t>
        </is>
      </c>
      <c r="I34" s="17" t="inlineStr"/>
      <c r="J34" s="17" t="inlineStr">
        <is>
          <t>Y</t>
        </is>
      </c>
      <c r="K34" s="17" t="inlineStr">
        <is>
          <t>Y</t>
        </is>
      </c>
      <c r="L34" s="22" t="inlineStr">
        <is>
          <t>미확인</t>
        </is>
      </c>
      <c r="M34" s="22" t="inlineStr">
        <is>
          <t>미확인</t>
        </is>
      </c>
      <c r="N34" s="22" t="inlineStr">
        <is>
          <t>미확인</t>
        </is>
      </c>
      <c r="O34" s="22" t="inlineStr">
        <is>
          <t>미확인</t>
        </is>
      </c>
      <c r="P34" s="17" t="inlineStr">
        <is>
          <t>통합형</t>
        </is>
      </c>
      <c r="Q34" s="22" t="inlineStr">
        <is>
          <t>미확인</t>
        </is>
      </c>
      <c r="R34" s="22" t="inlineStr">
        <is>
          <t>미확인</t>
        </is>
      </c>
      <c r="S34" s="17" t="inlineStr">
        <is>
          <t>Tier D</t>
        </is>
      </c>
      <c r="T34" s="17" t="n">
        <v>20</v>
      </c>
      <c r="U34" s="17" t="inlineStr">
        <is>
          <t>C041</t>
        </is>
      </c>
      <c r="V34" s="17" t="inlineStr">
        <is>
          <t>퓨쳐켐</t>
        </is>
      </c>
      <c r="W34" s="17" t="inlineStr">
        <is>
          <t>Y</t>
        </is>
      </c>
      <c r="X34" s="17" t="inlineStr">
        <is>
          <t>코스닥</t>
        </is>
      </c>
      <c r="Y34" s="23" t="inlineStr">
        <is>
          <t>220100</t>
        </is>
      </c>
      <c r="Z34" s="17" t="inlineStr">
        <is>
          <t>지대윤</t>
        </is>
      </c>
      <c r="AA34" s="17" t="inlineStr"/>
      <c r="AB34" s="17" t="inlineStr">
        <is>
          <t>02-2038-2311</t>
        </is>
      </c>
      <c r="AC34" s="17" t="inlineStr">
        <is>
          <t>미확인</t>
        </is>
      </c>
      <c r="AD34" s="17" t="inlineStr">
        <is>
          <t>Y</t>
        </is>
      </c>
      <c r="AE34" s="17" t="inlineStr">
        <is>
          <t>P041</t>
        </is>
      </c>
      <c r="AF34" s="17" t="inlineStr">
        <is>
          <t>서울특별시 강서구 공항대로 260 이화의대부속서울병원 지하1층(방사성의약품)</t>
        </is>
      </c>
      <c r="AG34" s="17" t="inlineStr">
        <is>
          <t>완제의약품</t>
        </is>
      </c>
      <c r="AH34" s="17" t="inlineStr">
        <is>
          <t>무균-일반제제(방사성의약품)-주사제(주사제)</t>
        </is>
      </c>
      <c r="AI34" s="17" t="n">
        <v>1</v>
      </c>
      <c r="AJ34" s="24" t="n">
        <v>47228</v>
      </c>
      <c r="AK34" s="17" t="inlineStr"/>
      <c r="AL34" s="17" t="inlineStr"/>
      <c r="AM34" s="17" t="inlineStr">
        <is>
          <t>다중 제조소/다수 판정서로 문서관리 복잡; 무균/바이오 제조로 품질관리 난도 높음</t>
        </is>
      </c>
      <c r="AN34" s="17" t="inlineStr">
        <is>
          <t>미확인</t>
        </is>
      </c>
      <c r="AO34" s="17" t="inlineStr">
        <is>
          <t>미확인</t>
        </is>
      </c>
      <c r="AP34" s="17" t="inlineStr">
        <is>
          <t>미확인</t>
        </is>
      </c>
      <c r="AQ34" s="17" t="inlineStr">
        <is>
          <t>담당자 파악 후 접촉</t>
        </is>
      </c>
      <c r="AR34" s="17" t="inlineStr">
        <is>
          <t>2026-07-05</t>
        </is>
      </c>
      <c r="AS34" s="17" t="inlineStr">
        <is>
          <t>C(부분확인)</t>
        </is>
      </c>
      <c r="AT34" s="17" t="n">
        <v>90</v>
      </c>
      <c r="AU34" s="17" t="inlineStr"/>
      <c r="AV34" s="17" t="inlineStr"/>
    </row>
    <row r="35">
      <c r="A35" s="18" t="inlineStr">
        <is>
          <t>Tier A</t>
        </is>
      </c>
      <c r="B35" s="17" t="n">
        <v>36</v>
      </c>
      <c r="C35" s="17" t="inlineStr">
        <is>
          <t>(주)퓨쳐켐</t>
        </is>
      </c>
      <c r="D35" s="17" t="inlineStr">
        <is>
          <t>제4공장</t>
        </is>
      </c>
      <c r="E35" s="17" t="inlineStr">
        <is>
          <t>부산광역시</t>
        </is>
      </c>
      <c r="F35" s="17" t="inlineStr">
        <is>
          <t>기장군</t>
        </is>
      </c>
      <c r="G35" s="17" t="n">
        <v>3</v>
      </c>
      <c r="H35" s="20" t="inlineStr">
        <is>
          <t>Y</t>
        </is>
      </c>
      <c r="I35" s="17" t="inlineStr"/>
      <c r="J35" s="17" t="inlineStr">
        <is>
          <t>Y</t>
        </is>
      </c>
      <c r="K35" s="17" t="inlineStr">
        <is>
          <t>Y</t>
        </is>
      </c>
      <c r="L35" s="22" t="inlineStr">
        <is>
          <t>미확인</t>
        </is>
      </c>
      <c r="M35" s="22" t="inlineStr">
        <is>
          <t>미확인</t>
        </is>
      </c>
      <c r="N35" s="22" t="inlineStr">
        <is>
          <t>미확인</t>
        </is>
      </c>
      <c r="O35" s="22" t="inlineStr">
        <is>
          <t>미확인</t>
        </is>
      </c>
      <c r="P35" s="17" t="inlineStr">
        <is>
          <t>통합형</t>
        </is>
      </c>
      <c r="Q35" s="22" t="inlineStr">
        <is>
          <t>미확인</t>
        </is>
      </c>
      <c r="R35" s="22" t="inlineStr">
        <is>
          <t>미확인</t>
        </is>
      </c>
      <c r="S35" s="17" t="inlineStr">
        <is>
          <t>Tier D</t>
        </is>
      </c>
      <c r="T35" s="17" t="n">
        <v>20</v>
      </c>
      <c r="U35" s="17" t="inlineStr">
        <is>
          <t>C041</t>
        </is>
      </c>
      <c r="V35" s="17" t="inlineStr">
        <is>
          <t>퓨쳐켐</t>
        </is>
      </c>
      <c r="W35" s="17" t="inlineStr">
        <is>
          <t>Y</t>
        </is>
      </c>
      <c r="X35" s="17" t="inlineStr">
        <is>
          <t>코스닥</t>
        </is>
      </c>
      <c r="Y35" s="23" t="inlineStr">
        <is>
          <t>220100</t>
        </is>
      </c>
      <c r="Z35" s="17" t="inlineStr">
        <is>
          <t>지대윤</t>
        </is>
      </c>
      <c r="AA35" s="17" t="inlineStr"/>
      <c r="AB35" s="17" t="inlineStr">
        <is>
          <t>02-2038-2311</t>
        </is>
      </c>
      <c r="AC35" s="17" t="inlineStr">
        <is>
          <t>미확인</t>
        </is>
      </c>
      <c r="AD35" s="17" t="inlineStr">
        <is>
          <t>Y</t>
        </is>
      </c>
      <c r="AE35" s="17" t="inlineStr">
        <is>
          <t>P054</t>
        </is>
      </c>
      <c r="AF35" s="17" t="inlineStr">
        <is>
          <t>부산광역시 기장군 장안읍 의과학2로 27-6 부산기장센터</t>
        </is>
      </c>
      <c r="AG35" s="17" t="inlineStr">
        <is>
          <t>완제의약품</t>
        </is>
      </c>
      <c r="AH35" s="17" t="inlineStr">
        <is>
          <t>무균-일반제제(방사성의약품)-주사제(주사제)</t>
        </is>
      </c>
      <c r="AI35" s="17" t="n">
        <v>1</v>
      </c>
      <c r="AJ35" s="24" t="n">
        <v>47210</v>
      </c>
      <c r="AK35" s="17" t="inlineStr"/>
      <c r="AL35" s="17" t="inlineStr"/>
      <c r="AM35" s="17" t="inlineStr">
        <is>
          <t>다중 제조소/다수 판정서로 문서관리 복잡; 무균/바이오 제조로 품질관리 난도 높음</t>
        </is>
      </c>
      <c r="AN35" s="17" t="inlineStr">
        <is>
          <t>미확인</t>
        </is>
      </c>
      <c r="AO35" s="17" t="inlineStr">
        <is>
          <t>미확인</t>
        </is>
      </c>
      <c r="AP35" s="17" t="inlineStr">
        <is>
          <t>미확인</t>
        </is>
      </c>
      <c r="AQ35" s="17" t="inlineStr">
        <is>
          <t>담당자 파악 후 접촉</t>
        </is>
      </c>
      <c r="AR35" s="17" t="inlineStr">
        <is>
          <t>2026-07-05</t>
        </is>
      </c>
      <c r="AS35" s="17" t="inlineStr">
        <is>
          <t>C(부분확인)</t>
        </is>
      </c>
      <c r="AT35" s="17" t="n">
        <v>90</v>
      </c>
      <c r="AU35" s="17" t="inlineStr"/>
      <c r="AV35" s="17" t="inlineStr"/>
    </row>
    <row r="36">
      <c r="A36" s="18" t="inlineStr">
        <is>
          <t>Tier A</t>
        </is>
      </c>
      <c r="B36" s="17" t="n">
        <v>36</v>
      </c>
      <c r="C36" s="17" t="inlineStr">
        <is>
          <t>(주)퓨쳐켐</t>
        </is>
      </c>
      <c r="D36" s="17" t="inlineStr">
        <is>
          <t>제2공장</t>
        </is>
      </c>
      <c r="E36" s="17" t="inlineStr">
        <is>
          <t>서울특별시</t>
        </is>
      </c>
      <c r="F36" s="17" t="inlineStr">
        <is>
          <t>성동구</t>
        </is>
      </c>
      <c r="G36" s="17" t="n">
        <v>3</v>
      </c>
      <c r="H36" s="17" t="inlineStr"/>
      <c r="I36" s="17" t="inlineStr"/>
      <c r="J36" s="17" t="inlineStr">
        <is>
          <t>Y</t>
        </is>
      </c>
      <c r="K36" s="17" t="inlineStr">
        <is>
          <t>Y</t>
        </is>
      </c>
      <c r="L36" s="22" t="inlineStr">
        <is>
          <t>미확인</t>
        </is>
      </c>
      <c r="M36" s="22" t="inlineStr">
        <is>
          <t>미확인</t>
        </is>
      </c>
      <c r="N36" s="22" t="inlineStr">
        <is>
          <t>미확인</t>
        </is>
      </c>
      <c r="O36" s="22" t="inlineStr">
        <is>
          <t>미확인</t>
        </is>
      </c>
      <c r="P36" s="17" t="inlineStr">
        <is>
          <t>통합형</t>
        </is>
      </c>
      <c r="Q36" s="22" t="inlineStr">
        <is>
          <t>미확인</t>
        </is>
      </c>
      <c r="R36" s="22" t="inlineStr">
        <is>
          <t>미확인</t>
        </is>
      </c>
      <c r="S36" s="17" t="inlineStr">
        <is>
          <t>Tier D</t>
        </is>
      </c>
      <c r="T36" s="17" t="n">
        <v>20</v>
      </c>
      <c r="U36" s="17" t="inlineStr">
        <is>
          <t>C041</t>
        </is>
      </c>
      <c r="V36" s="17" t="inlineStr">
        <is>
          <t>퓨쳐켐</t>
        </is>
      </c>
      <c r="W36" s="17" t="inlineStr">
        <is>
          <t>Y</t>
        </is>
      </c>
      <c r="X36" s="17" t="inlineStr">
        <is>
          <t>코스닥</t>
        </is>
      </c>
      <c r="Y36" s="23" t="inlineStr">
        <is>
          <t>220100</t>
        </is>
      </c>
      <c r="Z36" s="17" t="inlineStr">
        <is>
          <t>지대윤</t>
        </is>
      </c>
      <c r="AA36" s="17" t="inlineStr"/>
      <c r="AB36" s="17" t="inlineStr">
        <is>
          <t>02-2038-2311</t>
        </is>
      </c>
      <c r="AC36" s="17" t="inlineStr">
        <is>
          <t>미확인</t>
        </is>
      </c>
      <c r="AD36" s="17" t="inlineStr">
        <is>
          <t>Y</t>
        </is>
      </c>
      <c r="AE36" s="17" t="inlineStr">
        <is>
          <t>P104</t>
        </is>
      </c>
      <c r="AF36" s="17" t="inlineStr">
        <is>
          <t>서울특별시 성동구 성수일로10길 26 하우스디 세종타워 14층 1403호 ~ 1405호(원료의약품)</t>
        </is>
      </c>
      <c r="AG36" s="17" t="inlineStr">
        <is>
          <t>원료의약품</t>
        </is>
      </c>
      <c r="AH36" s="17" t="inlineStr">
        <is>
          <t>비무균-일반제제-합성</t>
        </is>
      </c>
      <c r="AI36" s="17" t="n">
        <v>1</v>
      </c>
      <c r="AJ36" s="24" t="n">
        <v>47074</v>
      </c>
      <c r="AK36" s="17" t="inlineStr"/>
      <c r="AL36" s="17" t="inlineStr"/>
      <c r="AM36" s="17" t="inlineStr">
        <is>
          <t>다중 제조소/다수 판정서로 문서관리 복잡; 무균/바이오 제조로 품질관리 난도 높음</t>
        </is>
      </c>
      <c r="AN36" s="17" t="inlineStr">
        <is>
          <t>미확인</t>
        </is>
      </c>
      <c r="AO36" s="17" t="inlineStr">
        <is>
          <t>미확인</t>
        </is>
      </c>
      <c r="AP36" s="17" t="inlineStr">
        <is>
          <t>미확인</t>
        </is>
      </c>
      <c r="AQ36" s="17" t="inlineStr">
        <is>
          <t>담당자 파악 후 접촉</t>
        </is>
      </c>
      <c r="AR36" s="17" t="inlineStr">
        <is>
          <t>2026-07-05</t>
        </is>
      </c>
      <c r="AS36" s="17" t="inlineStr">
        <is>
          <t>C(부분확인)</t>
        </is>
      </c>
      <c r="AT36" s="17" t="n">
        <v>90</v>
      </c>
      <c r="AU36" s="17" t="inlineStr"/>
      <c r="AV36" s="17" t="inlineStr"/>
    </row>
    <row r="37">
      <c r="A37" s="18" t="inlineStr">
        <is>
          <t>Tier A</t>
        </is>
      </c>
      <c r="B37" s="17" t="n">
        <v>36</v>
      </c>
      <c r="C37" s="17" t="inlineStr">
        <is>
          <t>영진약품(주)</t>
        </is>
      </c>
      <c r="D37" s="17" t="inlineStr">
        <is>
          <t>미확인</t>
        </is>
      </c>
      <c r="E37" s="17" t="inlineStr">
        <is>
          <t>경기도</t>
        </is>
      </c>
      <c r="F37" s="17" t="inlineStr">
        <is>
          <t>화성시</t>
        </is>
      </c>
      <c r="G37" s="17" t="n">
        <v>2</v>
      </c>
      <c r="H37" s="20" t="inlineStr">
        <is>
          <t>Y</t>
        </is>
      </c>
      <c r="I37" s="17" t="inlineStr"/>
      <c r="J37" s="17" t="inlineStr">
        <is>
          <t>Y</t>
        </is>
      </c>
      <c r="K37" s="17" t="inlineStr">
        <is>
          <t>Y</t>
        </is>
      </c>
      <c r="L37" s="22" t="inlineStr">
        <is>
          <t>미확인</t>
        </is>
      </c>
      <c r="M37" s="22" t="inlineStr">
        <is>
          <t>미확인</t>
        </is>
      </c>
      <c r="N37" s="22" t="inlineStr">
        <is>
          <t>미확인</t>
        </is>
      </c>
      <c r="O37" s="22" t="inlineStr">
        <is>
          <t>미확인</t>
        </is>
      </c>
      <c r="P37" s="17" t="inlineStr">
        <is>
          <t>통합형</t>
        </is>
      </c>
      <c r="Q37" s="22" t="inlineStr">
        <is>
          <t>미확인</t>
        </is>
      </c>
      <c r="R37" s="22" t="inlineStr">
        <is>
          <t>미확인</t>
        </is>
      </c>
      <c r="S37" s="17" t="inlineStr">
        <is>
          <t>Tier D</t>
        </is>
      </c>
      <c r="T37" s="17" t="n">
        <v>21</v>
      </c>
      <c r="U37" s="17" t="inlineStr">
        <is>
          <t>C221</t>
        </is>
      </c>
      <c r="V37" s="17" t="inlineStr">
        <is>
          <t>영진약품</t>
        </is>
      </c>
      <c r="W37" s="17" t="inlineStr">
        <is>
          <t>Y</t>
        </is>
      </c>
      <c r="X37" s="17" t="inlineStr">
        <is>
          <t>유가</t>
        </is>
      </c>
      <c r="Y37" s="23" t="inlineStr">
        <is>
          <t>003520</t>
        </is>
      </c>
      <c r="Z37" s="17" t="inlineStr">
        <is>
          <t>이기수</t>
        </is>
      </c>
      <c r="AA37" s="17" t="inlineStr">
        <is>
          <t>http://www.yungjin.co.kr</t>
        </is>
      </c>
      <c r="AB37" s="17" t="inlineStr">
        <is>
          <t>미확인</t>
        </is>
      </c>
      <c r="AC37" s="17" t="inlineStr">
        <is>
          <t>미확인</t>
        </is>
      </c>
      <c r="AD37" s="17" t="inlineStr">
        <is>
          <t>Y</t>
        </is>
      </c>
      <c r="AE37" s="17" t="inlineStr">
        <is>
          <t>P244</t>
        </is>
      </c>
      <c r="AF37" s="17" t="inlineStr">
        <is>
          <t>경기도 화성시 만세구 남양읍 무하로 66</t>
        </is>
      </c>
      <c r="AG37" s="17" t="inlineStr">
        <is>
          <t>완제의약품</t>
        </is>
      </c>
      <c r="AH37" s="17" t="inlineStr">
        <is>
          <t>비무균-세팔로스포린제제-내용고형제(정제, 캡슐제, 산제, 시럽제(고형)), 비무균-일반제제-내용고형제(정제, 캡슐제), 무균-세팔로스포린제제-주사제(분말주사제), 비무균-일반제제-내용액제(시럽제(액상), 현탁제)</t>
        </is>
      </c>
      <c r="AI37" s="17" t="n">
        <v>1</v>
      </c>
      <c r="AJ37" s="24" t="n">
        <v>46864</v>
      </c>
      <c r="AK37" s="17" t="inlineStr"/>
      <c r="AL37" s="17" t="inlineStr"/>
      <c r="AM37" s="17" t="inlineStr">
        <is>
          <t>다중 제조소/다수 판정서로 문서관리 복잡; 무균/바이오 제조로 품질관리 난도 높음</t>
        </is>
      </c>
      <c r="AN37" s="17" t="inlineStr">
        <is>
          <t>미확인</t>
        </is>
      </c>
      <c r="AO37" s="17" t="inlineStr">
        <is>
          <t>미확인</t>
        </is>
      </c>
      <c r="AP37" s="17" t="inlineStr">
        <is>
          <t>미확인</t>
        </is>
      </c>
      <c r="AQ37" s="17" t="inlineStr">
        <is>
          <t>담당자 파악 후 접촉</t>
        </is>
      </c>
      <c r="AR37" s="17" t="inlineStr">
        <is>
          <t>2026-07-05</t>
        </is>
      </c>
      <c r="AS37" s="17" t="inlineStr">
        <is>
          <t>C(부분확인)</t>
        </is>
      </c>
      <c r="AT37" s="17" t="n">
        <v>0</v>
      </c>
      <c r="AU37" s="17" t="inlineStr">
        <is>
          <t>Y</t>
        </is>
      </c>
      <c r="AV37" s="17" t="inlineStr"/>
    </row>
    <row r="38">
      <c r="A38" s="18" t="inlineStr">
        <is>
          <t>Tier A</t>
        </is>
      </c>
      <c r="B38" s="17" t="n">
        <v>36</v>
      </c>
      <c r="C38" s="17" t="inlineStr">
        <is>
          <t>영진약품(주)</t>
        </is>
      </c>
      <c r="D38" s="17" t="inlineStr">
        <is>
          <t>미확인</t>
        </is>
      </c>
      <c r="E38" s="17" t="inlineStr">
        <is>
          <t>전북특별자치도</t>
        </is>
      </c>
      <c r="F38" s="17" t="inlineStr">
        <is>
          <t>완주군</t>
        </is>
      </c>
      <c r="G38" s="17" t="n">
        <v>2</v>
      </c>
      <c r="H38" s="17" t="inlineStr"/>
      <c r="I38" s="17" t="inlineStr"/>
      <c r="J38" s="17" t="inlineStr">
        <is>
          <t>Y</t>
        </is>
      </c>
      <c r="K38" s="17" t="inlineStr">
        <is>
          <t>Y</t>
        </is>
      </c>
      <c r="L38" s="22" t="inlineStr">
        <is>
          <t>미확인</t>
        </is>
      </c>
      <c r="M38" s="22" t="inlineStr">
        <is>
          <t>미확인</t>
        </is>
      </c>
      <c r="N38" s="22" t="inlineStr">
        <is>
          <t>미확인</t>
        </is>
      </c>
      <c r="O38" s="22" t="inlineStr">
        <is>
          <t>미확인</t>
        </is>
      </c>
      <c r="P38" s="17" t="inlineStr">
        <is>
          <t>통합형</t>
        </is>
      </c>
      <c r="Q38" s="22" t="inlineStr">
        <is>
          <t>미확인</t>
        </is>
      </c>
      <c r="R38" s="22" t="inlineStr">
        <is>
          <t>미확인</t>
        </is>
      </c>
      <c r="S38" s="17" t="inlineStr">
        <is>
          <t>Tier D</t>
        </is>
      </c>
      <c r="T38" s="17" t="n">
        <v>21</v>
      </c>
      <c r="U38" s="17" t="inlineStr">
        <is>
          <t>C221</t>
        </is>
      </c>
      <c r="V38" s="17" t="inlineStr">
        <is>
          <t>영진약품</t>
        </is>
      </c>
      <c r="W38" s="17" t="inlineStr">
        <is>
          <t>Y</t>
        </is>
      </c>
      <c r="X38" s="17" t="inlineStr">
        <is>
          <t>유가</t>
        </is>
      </c>
      <c r="Y38" s="23" t="inlineStr">
        <is>
          <t>003520</t>
        </is>
      </c>
      <c r="Z38" s="17" t="inlineStr">
        <is>
          <t>이기수</t>
        </is>
      </c>
      <c r="AA38" s="17" t="inlineStr">
        <is>
          <t>http://www.yungjin.co.kr</t>
        </is>
      </c>
      <c r="AB38" s="17" t="inlineStr">
        <is>
          <t>미확인</t>
        </is>
      </c>
      <c r="AC38" s="17" t="inlineStr">
        <is>
          <t>미확인</t>
        </is>
      </c>
      <c r="AD38" s="17" t="inlineStr">
        <is>
          <t>Y</t>
        </is>
      </c>
      <c r="AE38" s="17" t="inlineStr">
        <is>
          <t>P471</t>
        </is>
      </c>
      <c r="AF38" s="17" t="inlineStr">
        <is>
          <t>전북특별자치도 완주군 봉동읍 완주산단5로 21</t>
        </is>
      </c>
      <c r="AG38" s="17" t="inlineStr">
        <is>
          <t>원료의약품</t>
        </is>
      </c>
      <c r="AH38" s="17" t="inlineStr">
        <is>
          <t>비무균-세팔로스포린제제-합성, 비무균-일반제제-합성</t>
        </is>
      </c>
      <c r="AI38" s="17" t="n">
        <v>1</v>
      </c>
      <c r="AJ38" s="24" t="n">
        <v>46327</v>
      </c>
      <c r="AK38" s="25" t="inlineStr">
        <is>
          <t>Y</t>
        </is>
      </c>
      <c r="AL38" s="17" t="inlineStr">
        <is>
          <t>Y</t>
        </is>
      </c>
      <c r="AM38" s="17" t="inlineStr">
        <is>
          <t>다중 제조소/다수 판정서로 문서관리 복잡; 무균/바이오 제조로 품질관리 난도 높음</t>
        </is>
      </c>
      <c r="AN38" s="17" t="inlineStr">
        <is>
          <t>미확인</t>
        </is>
      </c>
      <c r="AO38" s="17" t="inlineStr">
        <is>
          <t>미확인</t>
        </is>
      </c>
      <c r="AP38" s="17" t="inlineStr">
        <is>
          <t>미확인</t>
        </is>
      </c>
      <c r="AQ38" s="17" t="inlineStr">
        <is>
          <t>담당자 파악 후 접촉</t>
        </is>
      </c>
      <c r="AR38" s="17" t="inlineStr">
        <is>
          <t>2026-07-05</t>
        </is>
      </c>
      <c r="AS38" s="17" t="inlineStr">
        <is>
          <t>C(부분확인)</t>
        </is>
      </c>
      <c r="AT38" s="17" t="n">
        <v>0</v>
      </c>
      <c r="AU38" s="17" t="inlineStr">
        <is>
          <t>Y</t>
        </is>
      </c>
      <c r="AV38" s="17" t="inlineStr"/>
    </row>
    <row r="39">
      <c r="A39" s="18" t="inlineStr">
        <is>
          <t>Tier A</t>
        </is>
      </c>
      <c r="B39" s="17" t="n">
        <v>36</v>
      </c>
      <c r="C39" s="17" t="inlineStr">
        <is>
          <t>일동제약(주)</t>
        </is>
      </c>
      <c r="D39" s="17" t="inlineStr">
        <is>
          <t>청주</t>
        </is>
      </c>
      <c r="E39" s="17" t="inlineStr">
        <is>
          <t>충청북도</t>
        </is>
      </c>
      <c r="F39" s="17" t="inlineStr">
        <is>
          <t>청주시</t>
        </is>
      </c>
      <c r="G39" s="17" t="n">
        <v>2</v>
      </c>
      <c r="H39" s="17" t="inlineStr"/>
      <c r="I39" s="17" t="inlineStr"/>
      <c r="J39" s="17" t="inlineStr">
        <is>
          <t>Y</t>
        </is>
      </c>
      <c r="K39" s="17" t="inlineStr">
        <is>
          <t>Y</t>
        </is>
      </c>
      <c r="L39" s="22" t="inlineStr">
        <is>
          <t>미확인</t>
        </is>
      </c>
      <c r="M39" s="22" t="inlineStr">
        <is>
          <t>미확인</t>
        </is>
      </c>
      <c r="N39" s="22" t="inlineStr">
        <is>
          <t>미확인</t>
        </is>
      </c>
      <c r="O39" s="22" t="inlineStr">
        <is>
          <t>미확인</t>
        </is>
      </c>
      <c r="P39" s="17" t="inlineStr">
        <is>
          <t>통합형</t>
        </is>
      </c>
      <c r="Q39" s="22" t="inlineStr">
        <is>
          <t>미확인</t>
        </is>
      </c>
      <c r="R39" s="22" t="inlineStr">
        <is>
          <t>미확인</t>
        </is>
      </c>
      <c r="S39" s="17" t="inlineStr">
        <is>
          <t>Tier D</t>
        </is>
      </c>
      <c r="T39" s="17" t="n">
        <v>24</v>
      </c>
      <c r="U39" s="17" t="inlineStr">
        <is>
          <t>C171</t>
        </is>
      </c>
      <c r="V39" s="17" t="inlineStr">
        <is>
          <t>일동제약</t>
        </is>
      </c>
      <c r="W39" s="17" t="inlineStr">
        <is>
          <t>Y</t>
        </is>
      </c>
      <c r="X39" s="17" t="inlineStr">
        <is>
          <t>유가</t>
        </is>
      </c>
      <c r="Y39" s="23" t="inlineStr">
        <is>
          <t>249420</t>
        </is>
      </c>
      <c r="Z39" s="17" t="inlineStr">
        <is>
          <t>윤웅섭, 이재준(공동 대표이사)</t>
        </is>
      </c>
      <c r="AA39" s="17" t="inlineStr">
        <is>
          <t>http://www.ildong.com</t>
        </is>
      </c>
      <c r="AB39" s="17" t="inlineStr">
        <is>
          <t>02-526-3388</t>
        </is>
      </c>
      <c r="AC39" s="17" t="inlineStr">
        <is>
          <t>미확인</t>
        </is>
      </c>
      <c r="AD39" s="17" t="inlineStr">
        <is>
          <t>Y</t>
        </is>
      </c>
      <c r="AE39" s="17" t="inlineStr">
        <is>
          <t>P184</t>
        </is>
      </c>
      <c r="AF39" s="17" t="inlineStr">
        <is>
          <t>충청북도 청주시 흥덕구 공단로98번길 53</t>
        </is>
      </c>
      <c r="AG39" s="17" t="inlineStr">
        <is>
          <t>원료의약품</t>
        </is>
      </c>
      <c r="AH39" s="17" t="inlineStr">
        <is>
          <t>비무균-일반제제-합성</t>
        </is>
      </c>
      <c r="AI39" s="17" t="n">
        <v>1</v>
      </c>
      <c r="AJ39" s="24" t="n">
        <v>46940</v>
      </c>
      <c r="AK39" s="17" t="inlineStr"/>
      <c r="AL39" s="17" t="inlineStr"/>
      <c r="AM39" s="17" t="inlineStr">
        <is>
          <t>다중 제조소/다수 판정서로 문서관리 복잡; 무균/바이오 제조로 품질관리 난도 높음</t>
        </is>
      </c>
      <c r="AN39" s="17" t="inlineStr">
        <is>
          <t>미확인</t>
        </is>
      </c>
      <c r="AO39" s="17" t="inlineStr">
        <is>
          <t>미확인</t>
        </is>
      </c>
      <c r="AP39" s="17" t="inlineStr">
        <is>
          <t>미확인</t>
        </is>
      </c>
      <c r="AQ39" s="17" t="inlineStr">
        <is>
          <t>담당자 파악 후 접촉</t>
        </is>
      </c>
      <c r="AR39" s="17" t="inlineStr">
        <is>
          <t>2026-07-05</t>
        </is>
      </c>
      <c r="AS39" s="17" t="inlineStr">
        <is>
          <t>C(부분확인)</t>
        </is>
      </c>
      <c r="AT39" s="17" t="n">
        <v>90</v>
      </c>
      <c r="AU39" s="17" t="inlineStr"/>
      <c r="AV39" s="17" t="inlineStr"/>
    </row>
    <row r="40">
      <c r="A40" s="18" t="inlineStr">
        <is>
          <t>Tier A</t>
        </is>
      </c>
      <c r="B40" s="17" t="n">
        <v>36</v>
      </c>
      <c r="C40" s="17" t="inlineStr">
        <is>
          <t>일동제약(주)</t>
        </is>
      </c>
      <c r="D40" s="17" t="inlineStr">
        <is>
          <t>안성</t>
        </is>
      </c>
      <c r="E40" s="17" t="inlineStr">
        <is>
          <t>경기도</t>
        </is>
      </c>
      <c r="F40" s="17" t="inlineStr">
        <is>
          <t>안성시</t>
        </is>
      </c>
      <c r="G40" s="17" t="n">
        <v>2</v>
      </c>
      <c r="H40" s="20" t="inlineStr">
        <is>
          <t>Y</t>
        </is>
      </c>
      <c r="I40" s="17" t="inlineStr"/>
      <c r="J40" s="17" t="inlineStr">
        <is>
          <t>Y</t>
        </is>
      </c>
      <c r="K40" s="17" t="inlineStr">
        <is>
          <t>Y</t>
        </is>
      </c>
      <c r="L40" s="22" t="inlineStr">
        <is>
          <t>미확인</t>
        </is>
      </c>
      <c r="M40" s="22" t="inlineStr">
        <is>
          <t>미확인</t>
        </is>
      </c>
      <c r="N40" s="22" t="inlineStr">
        <is>
          <t>미확인</t>
        </is>
      </c>
      <c r="O40" s="22" t="inlineStr">
        <is>
          <t>미확인</t>
        </is>
      </c>
      <c r="P40" s="17" t="inlineStr">
        <is>
          <t>통합형</t>
        </is>
      </c>
      <c r="Q40" s="22" t="inlineStr">
        <is>
          <t>미확인</t>
        </is>
      </c>
      <c r="R40" s="22" t="inlineStr">
        <is>
          <t>미확인</t>
        </is>
      </c>
      <c r="S40" s="17" t="inlineStr">
        <is>
          <t>Tier D</t>
        </is>
      </c>
      <c r="T40" s="17" t="n">
        <v>24</v>
      </c>
      <c r="U40" s="17" t="inlineStr">
        <is>
          <t>C171</t>
        </is>
      </c>
      <c r="V40" s="17" t="inlineStr">
        <is>
          <t>일동제약</t>
        </is>
      </c>
      <c r="W40" s="17" t="inlineStr">
        <is>
          <t>Y</t>
        </is>
      </c>
      <c r="X40" s="17" t="inlineStr">
        <is>
          <t>유가</t>
        </is>
      </c>
      <c r="Y40" s="23" t="inlineStr">
        <is>
          <t>249420</t>
        </is>
      </c>
      <c r="Z40" s="17" t="inlineStr">
        <is>
          <t>윤웅섭, 이재준(공동 대표이사)</t>
        </is>
      </c>
      <c r="AA40" s="17" t="inlineStr">
        <is>
          <t>http://www.ildong.com</t>
        </is>
      </c>
      <c r="AB40" s="17" t="inlineStr">
        <is>
          <t>02-526-3388</t>
        </is>
      </c>
      <c r="AC40" s="17" t="inlineStr">
        <is>
          <t>미확인</t>
        </is>
      </c>
      <c r="AD40" s="17" t="inlineStr">
        <is>
          <t>Y</t>
        </is>
      </c>
      <c r="AE40" s="17" t="inlineStr">
        <is>
          <t>P485</t>
        </is>
      </c>
      <c r="AF40" s="17" t="inlineStr">
        <is>
          <t>경기도 안성시 공단1로 25</t>
        </is>
      </c>
      <c r="AG40" s="17" t="inlineStr">
        <is>
          <t>완제의약품</t>
        </is>
      </c>
      <c r="AH40" s="17" t="inlineStr">
        <is>
          <t>비무균-일반제제-내용고형제(정제, 캡슐제, 과립제), 무균-일반제제-주사제(주사제, 동결건조주사제), 무균-세팔로스포린제제-주사제(동결건조주사제), 무균-세포독성항암제제-주사제(주사제, 동결건조주사제), 비무균-세팔로스포린제제-내용고형제(정제, 캡슐제, 산제, 시럽제(고형)), 비무균-세포독성항암제제-내용고형제(정제, 캡슐제)</t>
        </is>
      </c>
      <c r="AI40" s="17" t="n">
        <v>1</v>
      </c>
      <c r="AJ40" s="24" t="n">
        <v>46286</v>
      </c>
      <c r="AK40" s="25" t="inlineStr">
        <is>
          <t>Y</t>
        </is>
      </c>
      <c r="AL40" s="17" t="inlineStr">
        <is>
          <t>Y</t>
        </is>
      </c>
      <c r="AM40" s="17" t="inlineStr">
        <is>
          <t>다중 제조소/다수 판정서로 문서관리 복잡; 무균/바이오 제조로 품질관리 난도 높음</t>
        </is>
      </c>
      <c r="AN40" s="17" t="inlineStr">
        <is>
          <t>미확인</t>
        </is>
      </c>
      <c r="AO40" s="17" t="inlineStr">
        <is>
          <t>미확인</t>
        </is>
      </c>
      <c r="AP40" s="17" t="inlineStr">
        <is>
          <t>미확인</t>
        </is>
      </c>
      <c r="AQ40" s="17" t="inlineStr">
        <is>
          <t>담당자 파악 후 접촉</t>
        </is>
      </c>
      <c r="AR40" s="17" t="inlineStr">
        <is>
          <t>2026-07-05</t>
        </is>
      </c>
      <c r="AS40" s="17" t="inlineStr">
        <is>
          <t>C(부분확인)</t>
        </is>
      </c>
      <c r="AT40" s="17" t="n">
        <v>90</v>
      </c>
      <c r="AU40" s="17" t="inlineStr"/>
      <c r="AV40" s="17" t="inlineStr"/>
    </row>
    <row r="41">
      <c r="A41" s="18" t="inlineStr">
        <is>
          <t>Tier A</t>
        </is>
      </c>
      <c r="B41" s="17" t="n">
        <v>35</v>
      </c>
      <c r="C41" s="17" t="inlineStr">
        <is>
          <t>(주)바이넥스</t>
        </is>
      </c>
      <c r="D41" s="17" t="inlineStr">
        <is>
          <t>인천</t>
        </is>
      </c>
      <c r="E41" s="17" t="inlineStr">
        <is>
          <t>인천광역시</t>
        </is>
      </c>
      <c r="F41" s="17" t="inlineStr">
        <is>
          <t>연수구</t>
        </is>
      </c>
      <c r="G41" s="17" t="n">
        <v>2</v>
      </c>
      <c r="H41" s="20" t="inlineStr">
        <is>
          <t>Y</t>
        </is>
      </c>
      <c r="I41" s="17" t="inlineStr"/>
      <c r="J41" s="17" t="inlineStr">
        <is>
          <t>Y</t>
        </is>
      </c>
      <c r="K41" s="17" t="inlineStr">
        <is>
          <t>Y</t>
        </is>
      </c>
      <c r="L41" s="22" t="inlineStr">
        <is>
          <t>미확인</t>
        </is>
      </c>
      <c r="M41" s="22" t="inlineStr">
        <is>
          <t>미확인</t>
        </is>
      </c>
      <c r="N41" s="22" t="inlineStr">
        <is>
          <t>미확인</t>
        </is>
      </c>
      <c r="O41" s="22" t="inlineStr">
        <is>
          <t>미확인</t>
        </is>
      </c>
      <c r="P41" s="17" t="inlineStr">
        <is>
          <t>통합형</t>
        </is>
      </c>
      <c r="Q41" s="22" t="inlineStr">
        <is>
          <t>미확인</t>
        </is>
      </c>
      <c r="R41" s="22" t="inlineStr">
        <is>
          <t>미확인</t>
        </is>
      </c>
      <c r="S41" s="17" t="inlineStr">
        <is>
          <t>Tier D</t>
        </is>
      </c>
      <c r="T41" s="17" t="n">
        <v>22</v>
      </c>
      <c r="U41" s="17" t="inlineStr">
        <is>
          <t>C216</t>
        </is>
      </c>
      <c r="V41" s="17" t="inlineStr">
        <is>
          <t>바이넥스</t>
        </is>
      </c>
      <c r="W41" s="17" t="inlineStr">
        <is>
          <t>Y</t>
        </is>
      </c>
      <c r="X41" s="17" t="inlineStr">
        <is>
          <t>코스닥</t>
        </is>
      </c>
      <c r="Y41" s="23" t="inlineStr">
        <is>
          <t>053030</t>
        </is>
      </c>
      <c r="Z41" s="17" t="inlineStr">
        <is>
          <t>이혁종</t>
        </is>
      </c>
      <c r="AA41" s="17" t="inlineStr">
        <is>
          <t>http://www.bi-nex.co.kr</t>
        </is>
      </c>
      <c r="AB41" s="17" t="inlineStr">
        <is>
          <t>032-850-3013</t>
        </is>
      </c>
      <c r="AC41" s="17" t="inlineStr">
        <is>
          <t>미확인</t>
        </is>
      </c>
      <c r="AD41" s="17" t="inlineStr">
        <is>
          <t>Y</t>
        </is>
      </c>
      <c r="AE41" s="17" t="inlineStr">
        <is>
          <t>P239</t>
        </is>
      </c>
      <c r="AF41" s="17" t="inlineStr">
        <is>
          <t>인천광역시 연수구 갯벌로 3</t>
        </is>
      </c>
      <c r="AG41" s="17" t="inlineStr">
        <is>
          <t>완제의약품</t>
        </is>
      </c>
      <c r="AH41" s="17" t="inlineStr">
        <is>
          <t>무균-일반제제-주사제(주사제)</t>
        </is>
      </c>
      <c r="AI41" s="17" t="n">
        <v>1</v>
      </c>
      <c r="AJ41" s="24" t="n">
        <v>46870</v>
      </c>
      <c r="AK41" s="17" t="inlineStr"/>
      <c r="AL41" s="17" t="inlineStr"/>
      <c r="AM41" s="17" t="inlineStr">
        <is>
          <t>다중 제조소/다수 판정서로 문서관리 복잡; 무균/바이오 제조로 품질관리 난도 높음</t>
        </is>
      </c>
      <c r="AN41" s="17" t="inlineStr">
        <is>
          <t>미확인</t>
        </is>
      </c>
      <c r="AO41" s="17" t="inlineStr">
        <is>
          <t>미확인</t>
        </is>
      </c>
      <c r="AP41" s="17" t="inlineStr">
        <is>
          <t>미확인</t>
        </is>
      </c>
      <c r="AQ41" s="17" t="inlineStr">
        <is>
          <t>담당자 파악 후 접촉</t>
        </is>
      </c>
      <c r="AR41" s="17" t="inlineStr">
        <is>
          <t>2026-07-05</t>
        </is>
      </c>
      <c r="AS41" s="17" t="inlineStr">
        <is>
          <t>C(부분확인)</t>
        </is>
      </c>
      <c r="AT41" s="17" t="n">
        <v>90</v>
      </c>
      <c r="AU41" s="17" t="inlineStr"/>
      <c r="AV41" s="17" t="inlineStr"/>
    </row>
    <row r="42">
      <c r="A42" s="18" t="inlineStr">
        <is>
          <t>Tier A</t>
        </is>
      </c>
      <c r="B42" s="17" t="n">
        <v>35</v>
      </c>
      <c r="C42" s="17" t="inlineStr">
        <is>
          <t>(주)바이넥스</t>
        </is>
      </c>
      <c r="D42" s="17" t="inlineStr">
        <is>
          <t>부산</t>
        </is>
      </c>
      <c r="E42" s="17" t="inlineStr">
        <is>
          <t>부산광역시</t>
        </is>
      </c>
      <c r="F42" s="17" t="inlineStr">
        <is>
          <t>사하구</t>
        </is>
      </c>
      <c r="G42" s="17" t="n">
        <v>2</v>
      </c>
      <c r="H42" s="17" t="inlineStr"/>
      <c r="I42" s="17" t="inlineStr"/>
      <c r="J42" s="17" t="inlineStr">
        <is>
          <t>Y</t>
        </is>
      </c>
      <c r="K42" s="17" t="inlineStr">
        <is>
          <t>Y</t>
        </is>
      </c>
      <c r="L42" s="22" t="inlineStr">
        <is>
          <t>미확인</t>
        </is>
      </c>
      <c r="M42" s="22" t="inlineStr">
        <is>
          <t>미확인</t>
        </is>
      </c>
      <c r="N42" s="22" t="inlineStr">
        <is>
          <t>미확인</t>
        </is>
      </c>
      <c r="O42" s="22" t="inlineStr">
        <is>
          <t>미확인</t>
        </is>
      </c>
      <c r="P42" s="17" t="inlineStr">
        <is>
          <t>통합형</t>
        </is>
      </c>
      <c r="Q42" s="22" t="inlineStr">
        <is>
          <t>미확인</t>
        </is>
      </c>
      <c r="R42" s="22" t="inlineStr">
        <is>
          <t>미확인</t>
        </is>
      </c>
      <c r="S42" s="17" t="inlineStr">
        <is>
          <t>Tier D</t>
        </is>
      </c>
      <c r="T42" s="17" t="n">
        <v>22</v>
      </c>
      <c r="U42" s="17" t="inlineStr">
        <is>
          <t>C216</t>
        </is>
      </c>
      <c r="V42" s="17" t="inlineStr">
        <is>
          <t>바이넥스</t>
        </is>
      </c>
      <c r="W42" s="17" t="inlineStr">
        <is>
          <t>Y</t>
        </is>
      </c>
      <c r="X42" s="17" t="inlineStr">
        <is>
          <t>코스닥</t>
        </is>
      </c>
      <c r="Y42" s="23" t="inlineStr">
        <is>
          <t>053030</t>
        </is>
      </c>
      <c r="Z42" s="17" t="inlineStr">
        <is>
          <t>이혁종</t>
        </is>
      </c>
      <c r="AA42" s="17" t="inlineStr">
        <is>
          <t>http://www.bi-nex.co.kr</t>
        </is>
      </c>
      <c r="AB42" s="17" t="inlineStr">
        <is>
          <t>032-850-3013</t>
        </is>
      </c>
      <c r="AC42" s="17" t="inlineStr">
        <is>
          <t>미확인</t>
        </is>
      </c>
      <c r="AD42" s="17" t="inlineStr">
        <is>
          <t>Y</t>
        </is>
      </c>
      <c r="AE42" s="17" t="inlineStr">
        <is>
          <t>P290</t>
        </is>
      </c>
      <c r="AF42" s="17" t="inlineStr">
        <is>
          <t>부산광역시 사하구 다대로 368-3</t>
        </is>
      </c>
      <c r="AG42" s="17" t="inlineStr">
        <is>
          <t>완제의약품+원료의약품</t>
        </is>
      </c>
      <c r="AH42" s="17" t="inlineStr">
        <is>
          <t>비무균-일반제제-발효</t>
        </is>
      </c>
      <c r="AI42" s="17" t="n">
        <v>2</v>
      </c>
      <c r="AJ42" s="24" t="n">
        <v>46572</v>
      </c>
      <c r="AK42" s="17" t="inlineStr"/>
      <c r="AL42" s="17" t="inlineStr">
        <is>
          <t>Y</t>
        </is>
      </c>
      <c r="AM42" s="17" t="inlineStr">
        <is>
          <t>다중 제조소/다수 판정서로 문서관리 복잡; 무균/바이오 제조로 품질관리 난도 높음</t>
        </is>
      </c>
      <c r="AN42" s="17" t="inlineStr">
        <is>
          <t>미확인</t>
        </is>
      </c>
      <c r="AO42" s="17" t="inlineStr">
        <is>
          <t>미확인</t>
        </is>
      </c>
      <c r="AP42" s="17" t="inlineStr">
        <is>
          <t>미확인</t>
        </is>
      </c>
      <c r="AQ42" s="17" t="inlineStr">
        <is>
          <t>담당자 파악 후 접촉</t>
        </is>
      </c>
      <c r="AR42" s="17" t="inlineStr">
        <is>
          <t>2026-07-05</t>
        </is>
      </c>
      <c r="AS42" s="17" t="inlineStr">
        <is>
          <t>C(부분확인)</t>
        </is>
      </c>
      <c r="AT42" s="17" t="n">
        <v>90</v>
      </c>
      <c r="AU42" s="17" t="inlineStr"/>
      <c r="AV42" s="17" t="inlineStr"/>
    </row>
    <row r="43">
      <c r="A43" s="18" t="inlineStr">
        <is>
          <t>Tier A</t>
        </is>
      </c>
      <c r="B43" s="17" t="n">
        <v>35</v>
      </c>
      <c r="C43" s="17" t="inlineStr">
        <is>
          <t>(주)종근당</t>
        </is>
      </c>
      <c r="D43" s="17" t="inlineStr">
        <is>
          <t>천안</t>
        </is>
      </c>
      <c r="E43" s="17" t="inlineStr">
        <is>
          <t>충청남도</t>
        </is>
      </c>
      <c r="F43" s="17" t="inlineStr">
        <is>
          <t>천안시</t>
        </is>
      </c>
      <c r="G43" s="17" t="n">
        <v>2</v>
      </c>
      <c r="H43" s="20" t="inlineStr">
        <is>
          <t>Y</t>
        </is>
      </c>
      <c r="I43" s="17" t="inlineStr"/>
      <c r="J43" s="17" t="inlineStr">
        <is>
          <t>Y</t>
        </is>
      </c>
      <c r="K43" s="17" t="inlineStr">
        <is>
          <t>Y</t>
        </is>
      </c>
      <c r="L43" s="22" t="inlineStr">
        <is>
          <t>미확인</t>
        </is>
      </c>
      <c r="M43" s="22" t="inlineStr">
        <is>
          <t>미확인</t>
        </is>
      </c>
      <c r="N43" s="22" t="inlineStr">
        <is>
          <t>미확인</t>
        </is>
      </c>
      <c r="O43" s="22" t="inlineStr">
        <is>
          <t>미확인</t>
        </is>
      </c>
      <c r="P43" s="17" t="inlineStr">
        <is>
          <t>통합형</t>
        </is>
      </c>
      <c r="Q43" s="22" t="inlineStr">
        <is>
          <t>미확인</t>
        </is>
      </c>
      <c r="R43" s="22" t="inlineStr">
        <is>
          <t>미확인</t>
        </is>
      </c>
      <c r="S43" s="17" t="inlineStr">
        <is>
          <t>Tier D</t>
        </is>
      </c>
      <c r="T43" s="17" t="n">
        <v>22</v>
      </c>
      <c r="U43" s="17" t="inlineStr">
        <is>
          <t>C338</t>
        </is>
      </c>
      <c r="V43" s="17" t="inlineStr">
        <is>
          <t>종근당</t>
        </is>
      </c>
      <c r="W43" s="17" t="inlineStr">
        <is>
          <t>Y</t>
        </is>
      </c>
      <c r="X43" s="17" t="inlineStr">
        <is>
          <t>유가</t>
        </is>
      </c>
      <c r="Y43" s="23" t="inlineStr">
        <is>
          <t>185750</t>
        </is>
      </c>
      <c r="Z43" s="17" t="inlineStr">
        <is>
          <t>김영주</t>
        </is>
      </c>
      <c r="AA43" s="17" t="inlineStr">
        <is>
          <t>http://www.ckdpharm.com</t>
        </is>
      </c>
      <c r="AB43" s="17" t="inlineStr">
        <is>
          <t>02-2194-0429</t>
        </is>
      </c>
      <c r="AC43" s="17" t="inlineStr">
        <is>
          <t>미확인</t>
        </is>
      </c>
      <c r="AD43" s="17" t="inlineStr">
        <is>
          <t>Y</t>
        </is>
      </c>
      <c r="AE43" s="17" t="inlineStr">
        <is>
          <t>P407</t>
        </is>
      </c>
      <c r="AF43" s="17" t="inlineStr">
        <is>
          <t>충청남도 천안시 서북구 성거읍 망향로 797-46</t>
        </is>
      </c>
      <c r="AG43" s="17" t="inlineStr">
        <is>
          <t>완제의약품</t>
        </is>
      </c>
      <c r="AH43" s="17" t="inlineStr">
        <is>
          <t>비무균-페니실린제제-내용고형제(정제, 캡슐제, 시럽제(고형)), 무균-세팔로스포린제제-주사제(분말주사제), 무균-페니실린제제-주사제(분말주사제)</t>
        </is>
      </c>
      <c r="AI43" s="17" t="n">
        <v>1</v>
      </c>
      <c r="AJ43" s="24" t="n">
        <v>46474</v>
      </c>
      <c r="AK43" s="17" t="inlineStr"/>
      <c r="AL43" s="17" t="inlineStr">
        <is>
          <t>Y</t>
        </is>
      </c>
      <c r="AM43" s="17" t="inlineStr">
        <is>
          <t>다중 제조소/다수 판정서로 문서관리 복잡; 무균/바이오 제조로 품질관리 난도 높음</t>
        </is>
      </c>
      <c r="AN43" s="17" t="inlineStr">
        <is>
          <t>미확인</t>
        </is>
      </c>
      <c r="AO43" s="17" t="inlineStr">
        <is>
          <t>미확인</t>
        </is>
      </c>
      <c r="AP43" s="17" t="inlineStr">
        <is>
          <t>미확인</t>
        </is>
      </c>
      <c r="AQ43" s="17" t="inlineStr">
        <is>
          <t>담당자 파악 후 접촉</t>
        </is>
      </c>
      <c r="AR43" s="17" t="inlineStr">
        <is>
          <t>2026-07-05</t>
        </is>
      </c>
      <c r="AS43" s="17" t="inlineStr">
        <is>
          <t>C(부분확인)</t>
        </is>
      </c>
      <c r="AT43" s="17" t="n">
        <v>90</v>
      </c>
      <c r="AU43" s="17" t="inlineStr"/>
      <c r="AV43" s="17" t="inlineStr"/>
    </row>
    <row r="44">
      <c r="A44" s="18" t="inlineStr">
        <is>
          <t>Tier A</t>
        </is>
      </c>
      <c r="B44" s="17" t="n">
        <v>35</v>
      </c>
      <c r="C44" s="17" t="inlineStr">
        <is>
          <t>(주)종근당</t>
        </is>
      </c>
      <c r="D44" s="17" t="inlineStr">
        <is>
          <t>천안</t>
        </is>
      </c>
      <c r="E44" s="17" t="inlineStr">
        <is>
          <t>충청남도</t>
        </is>
      </c>
      <c r="F44" s="17" t="inlineStr">
        <is>
          <t>천안시</t>
        </is>
      </c>
      <c r="G44" s="17" t="n">
        <v>2</v>
      </c>
      <c r="H44" s="20" t="inlineStr">
        <is>
          <t>Y</t>
        </is>
      </c>
      <c r="I44" s="17" t="inlineStr"/>
      <c r="J44" s="17" t="inlineStr">
        <is>
          <t>Y</t>
        </is>
      </c>
      <c r="K44" s="17" t="inlineStr">
        <is>
          <t>Y</t>
        </is>
      </c>
      <c r="L44" s="22" t="inlineStr">
        <is>
          <t>미확인</t>
        </is>
      </c>
      <c r="M44" s="22" t="inlineStr">
        <is>
          <t>미확인</t>
        </is>
      </c>
      <c r="N44" s="22" t="inlineStr">
        <is>
          <t>미확인</t>
        </is>
      </c>
      <c r="O44" s="22" t="inlineStr">
        <is>
          <t>미확인</t>
        </is>
      </c>
      <c r="P44" s="17" t="inlineStr">
        <is>
          <t>통합형</t>
        </is>
      </c>
      <c r="Q44" s="22" t="inlineStr">
        <is>
          <t>미확인</t>
        </is>
      </c>
      <c r="R44" s="22" t="inlineStr">
        <is>
          <t>미확인</t>
        </is>
      </c>
      <c r="S44" s="17" t="inlineStr">
        <is>
          <t>Tier D</t>
        </is>
      </c>
      <c r="T44" s="17" t="n">
        <v>22</v>
      </c>
      <c r="U44" s="17" t="inlineStr">
        <is>
          <t>C338</t>
        </is>
      </c>
      <c r="V44" s="17" t="inlineStr">
        <is>
          <t>종근당</t>
        </is>
      </c>
      <c r="W44" s="17" t="inlineStr">
        <is>
          <t>Y</t>
        </is>
      </c>
      <c r="X44" s="17" t="inlineStr">
        <is>
          <t>유가</t>
        </is>
      </c>
      <c r="Y44" s="23" t="inlineStr">
        <is>
          <t>185750</t>
        </is>
      </c>
      <c r="Z44" s="17" t="inlineStr">
        <is>
          <t>김영주</t>
        </is>
      </c>
      <c r="AA44" s="17" t="inlineStr">
        <is>
          <t>http://www.ckdpharm.com</t>
        </is>
      </c>
      <c r="AB44" s="17" t="inlineStr">
        <is>
          <t>02-2194-0429</t>
        </is>
      </c>
      <c r="AC44" s="17" t="inlineStr">
        <is>
          <t>미확인</t>
        </is>
      </c>
      <c r="AD44" s="17" t="inlineStr">
        <is>
          <t>Y</t>
        </is>
      </c>
      <c r="AE44" s="17" t="inlineStr">
        <is>
          <t>P409</t>
        </is>
      </c>
      <c r="AF44" s="17" t="inlineStr">
        <is>
          <t>충청남도 천안시 서북구 성거읍 망향로 797-48</t>
        </is>
      </c>
      <c r="AG44" s="17" t="inlineStr">
        <is>
          <t>완제의약품+원료의약품</t>
        </is>
      </c>
      <c r="AH44" s="17" t="inlineStr">
        <is>
          <t>비무균-일반제제-과립, 생물-유전자재조합의약품-(배양, 정제, 원액 제조)</t>
        </is>
      </c>
      <c r="AI44" s="17" t="n">
        <v>2</v>
      </c>
      <c r="AJ44" s="24" t="n">
        <v>46474</v>
      </c>
      <c r="AK44" s="17" t="inlineStr"/>
      <c r="AL44" s="17" t="inlineStr">
        <is>
          <t>Y</t>
        </is>
      </c>
      <c r="AM44" s="17" t="inlineStr">
        <is>
          <t>다중 제조소/다수 판정서로 문서관리 복잡; 무균/바이오 제조로 품질관리 난도 높음</t>
        </is>
      </c>
      <c r="AN44" s="17" t="inlineStr">
        <is>
          <t>미확인</t>
        </is>
      </c>
      <c r="AO44" s="17" t="inlineStr">
        <is>
          <t>미확인</t>
        </is>
      </c>
      <c r="AP44" s="17" t="inlineStr">
        <is>
          <t>미확인</t>
        </is>
      </c>
      <c r="AQ44" s="17" t="inlineStr">
        <is>
          <t>담당자 파악 후 접촉</t>
        </is>
      </c>
      <c r="AR44" s="17" t="inlineStr">
        <is>
          <t>2026-07-05</t>
        </is>
      </c>
      <c r="AS44" s="17" t="inlineStr">
        <is>
          <t>C(부분확인)</t>
        </is>
      </c>
      <c r="AT44" s="17" t="n">
        <v>90</v>
      </c>
      <c r="AU44" s="17" t="inlineStr"/>
      <c r="AV44" s="17" t="inlineStr"/>
    </row>
    <row r="45">
      <c r="A45" s="18" t="inlineStr">
        <is>
          <t>Tier A</t>
        </is>
      </c>
      <c r="B45" s="17" t="n">
        <v>35</v>
      </c>
      <c r="C45" s="17" t="inlineStr">
        <is>
          <t>삼진제약(주)</t>
        </is>
      </c>
      <c r="D45" s="17" t="inlineStr">
        <is>
          <t>화성</t>
        </is>
      </c>
      <c r="E45" s="17" t="inlineStr">
        <is>
          <t>경기도</t>
        </is>
      </c>
      <c r="F45" s="17" t="inlineStr">
        <is>
          <t>화성시</t>
        </is>
      </c>
      <c r="G45" s="17" t="n">
        <v>2</v>
      </c>
      <c r="H45" s="17" t="inlineStr"/>
      <c r="I45" s="17" t="inlineStr"/>
      <c r="J45" s="17" t="inlineStr">
        <is>
          <t>Y</t>
        </is>
      </c>
      <c r="K45" s="17" t="inlineStr">
        <is>
          <t>Y</t>
        </is>
      </c>
      <c r="L45" s="22" t="inlineStr">
        <is>
          <t>미확인</t>
        </is>
      </c>
      <c r="M45" s="22" t="inlineStr">
        <is>
          <t>미확인</t>
        </is>
      </c>
      <c r="N45" s="22" t="inlineStr">
        <is>
          <t>미확인</t>
        </is>
      </c>
      <c r="O45" s="22" t="inlineStr">
        <is>
          <t>미확인</t>
        </is>
      </c>
      <c r="P45" s="17" t="inlineStr">
        <is>
          <t>통합형</t>
        </is>
      </c>
      <c r="Q45" s="22" t="inlineStr">
        <is>
          <t>미확인</t>
        </is>
      </c>
      <c r="R45" s="22" t="inlineStr">
        <is>
          <t>미확인</t>
        </is>
      </c>
      <c r="S45" s="17" t="inlineStr">
        <is>
          <t>Tier D</t>
        </is>
      </c>
      <c r="T45" s="17" t="n">
        <v>22</v>
      </c>
      <c r="U45" s="17" t="inlineStr">
        <is>
          <t>C215</t>
        </is>
      </c>
      <c r="V45" s="17" t="inlineStr">
        <is>
          <t>삼진제약</t>
        </is>
      </c>
      <c r="W45" s="17" t="inlineStr">
        <is>
          <t>Y</t>
        </is>
      </c>
      <c r="X45" s="17" t="inlineStr">
        <is>
          <t>유가</t>
        </is>
      </c>
      <c r="Y45" s="23" t="inlineStr">
        <is>
          <t>005500</t>
        </is>
      </c>
      <c r="Z45" s="17" t="inlineStr">
        <is>
          <t>최지현, 조규석</t>
        </is>
      </c>
      <c r="AA45" s="17" t="inlineStr">
        <is>
          <t>http://www.samjinpharm.co.kr</t>
        </is>
      </c>
      <c r="AB45" s="17" t="inlineStr">
        <is>
          <t>031-3531-7126</t>
        </is>
      </c>
      <c r="AC45" s="17" t="inlineStr">
        <is>
          <t>미확인</t>
        </is>
      </c>
      <c r="AD45" s="17" t="inlineStr">
        <is>
          <t>Y</t>
        </is>
      </c>
      <c r="AE45" s="17" t="inlineStr">
        <is>
          <t>P236</t>
        </is>
      </c>
      <c r="AF45" s="17" t="inlineStr">
        <is>
          <t>경기도 화성시 만세구 향남읍 제약공단1길 52</t>
        </is>
      </c>
      <c r="AG45" s="17" t="inlineStr">
        <is>
          <t>완제의약품</t>
        </is>
      </c>
      <c r="AH45" s="17" t="inlineStr">
        <is>
          <t>비무균-일반제제-내용고형제(정제, 캡슐제)</t>
        </is>
      </c>
      <c r="AI45" s="17" t="n">
        <v>1</v>
      </c>
      <c r="AJ45" s="24" t="n">
        <v>46871</v>
      </c>
      <c r="AK45" s="17" t="inlineStr"/>
      <c r="AL45" s="17" t="inlineStr"/>
      <c r="AM45" s="17" t="inlineStr">
        <is>
          <t>다중 제조소/다수 판정서로 문서관리 복잡; 무균/바이오 제조로 품질관리 난도 높음</t>
        </is>
      </c>
      <c r="AN45" s="17" t="inlineStr">
        <is>
          <t>미확인</t>
        </is>
      </c>
      <c r="AO45" s="17" t="inlineStr">
        <is>
          <t>미확인</t>
        </is>
      </c>
      <c r="AP45" s="17" t="inlineStr">
        <is>
          <t>미확인</t>
        </is>
      </c>
      <c r="AQ45" s="17" t="inlineStr">
        <is>
          <t>담당자 파악 후 접촉</t>
        </is>
      </c>
      <c r="AR45" s="17" t="inlineStr">
        <is>
          <t>2026-07-05</t>
        </is>
      </c>
      <c r="AS45" s="17" t="inlineStr">
        <is>
          <t>C(부분확인)</t>
        </is>
      </c>
      <c r="AT45" s="17" t="n">
        <v>90</v>
      </c>
      <c r="AU45" s="17" t="inlineStr"/>
      <c r="AV45" s="17" t="inlineStr"/>
    </row>
    <row r="46">
      <c r="A46" s="18" t="inlineStr">
        <is>
          <t>Tier A</t>
        </is>
      </c>
      <c r="B46" s="17" t="n">
        <v>35</v>
      </c>
      <c r="C46" s="17" t="inlineStr">
        <is>
          <t>삼진제약(주)</t>
        </is>
      </c>
      <c r="D46" s="17" t="inlineStr">
        <is>
          <t>오송</t>
        </is>
      </c>
      <c r="E46" s="17" t="inlineStr">
        <is>
          <t>충청북도</t>
        </is>
      </c>
      <c r="F46" s="17" t="inlineStr">
        <is>
          <t>청주시</t>
        </is>
      </c>
      <c r="G46" s="17" t="n">
        <v>2</v>
      </c>
      <c r="H46" s="20" t="inlineStr">
        <is>
          <t>Y</t>
        </is>
      </c>
      <c r="I46" s="17" t="inlineStr"/>
      <c r="J46" s="17" t="inlineStr">
        <is>
          <t>Y</t>
        </is>
      </c>
      <c r="K46" s="17" t="inlineStr">
        <is>
          <t>Y</t>
        </is>
      </c>
      <c r="L46" s="22" t="inlineStr">
        <is>
          <t>미확인</t>
        </is>
      </c>
      <c r="M46" s="22" t="inlineStr">
        <is>
          <t>미확인</t>
        </is>
      </c>
      <c r="N46" s="22" t="inlineStr">
        <is>
          <t>미확인</t>
        </is>
      </c>
      <c r="O46" s="22" t="inlineStr">
        <is>
          <t>미확인</t>
        </is>
      </c>
      <c r="P46" s="17" t="inlineStr">
        <is>
          <t>통합형</t>
        </is>
      </c>
      <c r="Q46" s="22" t="inlineStr">
        <is>
          <t>미확인</t>
        </is>
      </c>
      <c r="R46" s="22" t="inlineStr">
        <is>
          <t>미확인</t>
        </is>
      </c>
      <c r="S46" s="17" t="inlineStr">
        <is>
          <t>Tier D</t>
        </is>
      </c>
      <c r="T46" s="17" t="n">
        <v>22</v>
      </c>
      <c r="U46" s="17" t="inlineStr">
        <is>
          <t>C215</t>
        </is>
      </c>
      <c r="V46" s="17" t="inlineStr">
        <is>
          <t>삼진제약</t>
        </is>
      </c>
      <c r="W46" s="17" t="inlineStr">
        <is>
          <t>Y</t>
        </is>
      </c>
      <c r="X46" s="17" t="inlineStr">
        <is>
          <t>유가</t>
        </is>
      </c>
      <c r="Y46" s="23" t="inlineStr">
        <is>
          <t>005500</t>
        </is>
      </c>
      <c r="Z46" s="17" t="inlineStr">
        <is>
          <t>최지현, 조규석</t>
        </is>
      </c>
      <c r="AA46" s="17" t="inlineStr">
        <is>
          <t>http://www.samjinpharm.co.kr</t>
        </is>
      </c>
      <c r="AB46" s="17" t="inlineStr">
        <is>
          <t>031-3531-7126</t>
        </is>
      </c>
      <c r="AC46" s="17" t="inlineStr">
        <is>
          <t>미확인</t>
        </is>
      </c>
      <c r="AD46" s="17" t="inlineStr">
        <is>
          <t>Y</t>
        </is>
      </c>
      <c r="AE46" s="17" t="inlineStr">
        <is>
          <t>P263</t>
        </is>
      </c>
      <c r="AF46" s="17" t="inlineStr">
        <is>
          <t>충청북도 청주시 흥덕구 오송읍 오송생명6로 156</t>
        </is>
      </c>
      <c r="AG46" s="17" t="inlineStr">
        <is>
          <t>완제의약품+원료의약품</t>
        </is>
      </c>
      <c r="AH46" s="17" t="inlineStr">
        <is>
          <t>비무균-일반제제-합성</t>
        </is>
      </c>
      <c r="AI46" s="17" t="n">
        <v>2</v>
      </c>
      <c r="AJ46" s="24" t="n">
        <v>46540</v>
      </c>
      <c r="AK46" s="17" t="inlineStr"/>
      <c r="AL46" s="17" t="inlineStr">
        <is>
          <t>Y</t>
        </is>
      </c>
      <c r="AM46" s="17" t="inlineStr">
        <is>
          <t>다중 제조소/다수 판정서로 문서관리 복잡; 무균/바이오 제조로 품질관리 난도 높음</t>
        </is>
      </c>
      <c r="AN46" s="17" t="inlineStr">
        <is>
          <t>미확인</t>
        </is>
      </c>
      <c r="AO46" s="17" t="inlineStr">
        <is>
          <t>미확인</t>
        </is>
      </c>
      <c r="AP46" s="17" t="inlineStr">
        <is>
          <t>미확인</t>
        </is>
      </c>
      <c r="AQ46" s="17" t="inlineStr">
        <is>
          <t>담당자 파악 후 접촉</t>
        </is>
      </c>
      <c r="AR46" s="17" t="inlineStr">
        <is>
          <t>2026-07-05</t>
        </is>
      </c>
      <c r="AS46" s="17" t="inlineStr">
        <is>
          <t>C(부분확인)</t>
        </is>
      </c>
      <c r="AT46" s="17" t="n">
        <v>90</v>
      </c>
      <c r="AU46" s="17" t="inlineStr"/>
      <c r="AV46" s="17" t="inlineStr"/>
    </row>
    <row r="47">
      <c r="A47" s="18" t="inlineStr">
        <is>
          <t>Tier A</t>
        </is>
      </c>
      <c r="B47" s="17" t="n">
        <v>34</v>
      </c>
      <c r="C47" s="17" t="inlineStr">
        <is>
          <t>(주)한국비엠아이</t>
        </is>
      </c>
      <c r="D47" s="17" t="inlineStr">
        <is>
          <t>미확인</t>
        </is>
      </c>
      <c r="E47" s="17" t="inlineStr">
        <is>
          <t>제주특별자치도</t>
        </is>
      </c>
      <c r="F47" s="17" t="inlineStr">
        <is>
          <t>제주시</t>
        </is>
      </c>
      <c r="G47" s="17" t="n">
        <v>2</v>
      </c>
      <c r="H47" s="20" t="inlineStr">
        <is>
          <t>Y</t>
        </is>
      </c>
      <c r="I47" s="17" t="inlineStr"/>
      <c r="J47" s="17" t="inlineStr">
        <is>
          <t>Y</t>
        </is>
      </c>
      <c r="K47" s="17" t="inlineStr">
        <is>
          <t>Y</t>
        </is>
      </c>
      <c r="L47" s="22" t="inlineStr">
        <is>
          <t>미확인</t>
        </is>
      </c>
      <c r="M47" s="22" t="inlineStr">
        <is>
          <t>미확인</t>
        </is>
      </c>
      <c r="N47" s="22" t="inlineStr">
        <is>
          <t>미확인</t>
        </is>
      </c>
      <c r="O47" s="22" t="inlineStr">
        <is>
          <t>미확인</t>
        </is>
      </c>
      <c r="P47" s="17" t="inlineStr">
        <is>
          <t>통합형</t>
        </is>
      </c>
      <c r="Q47" s="22" t="inlineStr">
        <is>
          <t>미확인</t>
        </is>
      </c>
      <c r="R47" s="22" t="inlineStr">
        <is>
          <t>미확인</t>
        </is>
      </c>
      <c r="S47" s="17" t="inlineStr">
        <is>
          <t>Tier D</t>
        </is>
      </c>
      <c r="T47" s="17" t="n">
        <v>26</v>
      </c>
      <c r="U47" s="17" t="inlineStr">
        <is>
          <t>C134</t>
        </is>
      </c>
      <c r="V47" s="17" t="inlineStr">
        <is>
          <t>한국비엠아이</t>
        </is>
      </c>
      <c r="W47" s="17" t="inlineStr"/>
      <c r="X47" s="17" t="inlineStr"/>
      <c r="Y47" s="23" t="inlineStr"/>
      <c r="Z47" s="17" t="inlineStr">
        <is>
          <t>이광인</t>
        </is>
      </c>
      <c r="AA47" s="17" t="inlineStr"/>
      <c r="AB47" s="17" t="inlineStr">
        <is>
          <t>미확인</t>
        </is>
      </c>
      <c r="AC47" s="17" t="inlineStr">
        <is>
          <t>미확인</t>
        </is>
      </c>
      <c r="AD47" s="17" t="inlineStr">
        <is>
          <t>Y</t>
        </is>
      </c>
      <c r="AE47" s="17" t="inlineStr">
        <is>
          <t>P140</t>
        </is>
      </c>
      <c r="AF47" s="17" t="inlineStr">
        <is>
          <t>제주특별자치도 제주시 첨단로7길 11</t>
        </is>
      </c>
      <c r="AG47" s="17" t="inlineStr">
        <is>
          <t>완제의약품+원료의약품</t>
        </is>
      </c>
      <c r="AH47" s="17" t="inlineStr">
        <is>
          <t>비무균-일반제제-내용고형제(정제, 캡슐제), 무균-일반제제-주사제(주사제, 동결건조주사제, 관류제), 생물-독소-주사제(동결건조주사제), 생물-유전자재조합의약품-주사제(주사제), 비무균-일반제제-내용액제(경구용액제)</t>
        </is>
      </c>
      <c r="AI47" s="17" t="n">
        <v>2</v>
      </c>
      <c r="AJ47" s="24" t="n">
        <v>46997</v>
      </c>
      <c r="AK47" s="17" t="inlineStr"/>
      <c r="AL47" s="17" t="inlineStr"/>
      <c r="AM47" s="17" t="inlineStr">
        <is>
          <t>다중 제조소/다수 판정서로 문서관리 복잡; 무균/바이오 제조로 품질관리 난도 높음</t>
        </is>
      </c>
      <c r="AN47" s="17" t="inlineStr">
        <is>
          <t>미확인</t>
        </is>
      </c>
      <c r="AO47" s="17" t="inlineStr">
        <is>
          <t>미확인</t>
        </is>
      </c>
      <c r="AP47" s="17" t="inlineStr">
        <is>
          <t>미확인</t>
        </is>
      </c>
      <c r="AQ47" s="17" t="inlineStr">
        <is>
          <t>담당자 파악 후 접촉</t>
        </is>
      </c>
      <c r="AR47" s="17" t="inlineStr">
        <is>
          <t>2026-07-05</t>
        </is>
      </c>
      <c r="AS47" s="17" t="inlineStr">
        <is>
          <t>C(부분확인)</t>
        </is>
      </c>
      <c r="AT47" s="17" t="n">
        <v>0</v>
      </c>
      <c r="AU47" s="17" t="inlineStr">
        <is>
          <t>Y</t>
        </is>
      </c>
      <c r="AV47" s="17" t="inlineStr"/>
    </row>
    <row r="48">
      <c r="A48" s="18" t="inlineStr">
        <is>
          <t>Tier A</t>
        </is>
      </c>
      <c r="B48" s="17" t="n">
        <v>34</v>
      </c>
      <c r="C48" s="17" t="inlineStr">
        <is>
          <t>(주)한국비엠아이</t>
        </is>
      </c>
      <c r="D48" s="17" t="inlineStr">
        <is>
          <t>미확인</t>
        </is>
      </c>
      <c r="E48" s="17" t="inlineStr">
        <is>
          <t>충청북도</t>
        </is>
      </c>
      <c r="F48" s="17" t="inlineStr">
        <is>
          <t>청주시</t>
        </is>
      </c>
      <c r="G48" s="17" t="n">
        <v>2</v>
      </c>
      <c r="H48" s="17" t="inlineStr"/>
      <c r="I48" s="21" t="inlineStr">
        <is>
          <t>Y</t>
        </is>
      </c>
      <c r="J48" s="17" t="inlineStr">
        <is>
          <t>Y</t>
        </is>
      </c>
      <c r="K48" s="17" t="inlineStr">
        <is>
          <t>Y</t>
        </is>
      </c>
      <c r="L48" s="22" t="inlineStr">
        <is>
          <t>미확인</t>
        </is>
      </c>
      <c r="M48" s="22" t="inlineStr">
        <is>
          <t>미확인</t>
        </is>
      </c>
      <c r="N48" s="22" t="inlineStr">
        <is>
          <t>미확인</t>
        </is>
      </c>
      <c r="O48" s="22" t="inlineStr">
        <is>
          <t>미확인</t>
        </is>
      </c>
      <c r="P48" s="17" t="inlineStr">
        <is>
          <t>통합형</t>
        </is>
      </c>
      <c r="Q48" s="22" t="inlineStr">
        <is>
          <t>미확인</t>
        </is>
      </c>
      <c r="R48" s="22" t="inlineStr">
        <is>
          <t>미확인</t>
        </is>
      </c>
      <c r="S48" s="17" t="inlineStr">
        <is>
          <t>Tier D</t>
        </is>
      </c>
      <c r="T48" s="17" t="n">
        <v>26</v>
      </c>
      <c r="U48" s="17" t="inlineStr">
        <is>
          <t>C134</t>
        </is>
      </c>
      <c r="V48" s="17" t="inlineStr">
        <is>
          <t>한국비엠아이</t>
        </is>
      </c>
      <c r="W48" s="17" t="inlineStr"/>
      <c r="X48" s="17" t="inlineStr"/>
      <c r="Y48" s="23" t="inlineStr"/>
      <c r="Z48" s="17" t="inlineStr">
        <is>
          <t>이광인</t>
        </is>
      </c>
      <c r="AA48" s="17" t="inlineStr"/>
      <c r="AB48" s="17" t="inlineStr">
        <is>
          <t>미확인</t>
        </is>
      </c>
      <c r="AC48" s="17" t="inlineStr">
        <is>
          <t>미확인</t>
        </is>
      </c>
      <c r="AD48" s="17" t="inlineStr">
        <is>
          <t>Y</t>
        </is>
      </c>
      <c r="AE48" s="17" t="inlineStr">
        <is>
          <t>P434</t>
        </is>
      </c>
      <c r="AF48" s="17" t="inlineStr">
        <is>
          <t>충청북도 청주시 흥덕구 오송읍 오송생명14로 90</t>
        </is>
      </c>
      <c r="AG48" s="17" t="inlineStr">
        <is>
          <t>원료의약품</t>
        </is>
      </c>
      <c r="AH48" s="17" t="inlineStr">
        <is>
          <t>생물-유전자재조합의약품-(배양, 정제, 바이러스불활화, 원액 제조)</t>
        </is>
      </c>
      <c r="AI48" s="17" t="n">
        <v>1</v>
      </c>
      <c r="AJ48" s="24" t="n">
        <v>46424</v>
      </c>
      <c r="AK48" s="17" t="inlineStr"/>
      <c r="AL48" s="17" t="inlineStr">
        <is>
          <t>Y</t>
        </is>
      </c>
      <c r="AM48" s="17" t="inlineStr">
        <is>
          <t>다중 제조소/다수 판정서로 문서관리 복잡; 무균/바이오 제조로 품질관리 난도 높음</t>
        </is>
      </c>
      <c r="AN48" s="17" t="inlineStr">
        <is>
          <t>미확인</t>
        </is>
      </c>
      <c r="AO48" s="17" t="inlineStr">
        <is>
          <t>미확인</t>
        </is>
      </c>
      <c r="AP48" s="17" t="inlineStr">
        <is>
          <t>미확인</t>
        </is>
      </c>
      <c r="AQ48" s="17" t="inlineStr">
        <is>
          <t>담당자 파악 후 접촉</t>
        </is>
      </c>
      <c r="AR48" s="17" t="inlineStr">
        <is>
          <t>2026-07-05</t>
        </is>
      </c>
      <c r="AS48" s="17" t="inlineStr">
        <is>
          <t>C(부분확인)</t>
        </is>
      </c>
      <c r="AT48" s="17" t="n">
        <v>0</v>
      </c>
      <c r="AU48" s="17" t="inlineStr">
        <is>
          <t>Y</t>
        </is>
      </c>
      <c r="AV48" s="17" t="inlineStr"/>
    </row>
    <row r="49">
      <c r="A49" s="18" t="inlineStr">
        <is>
          <t>Tier A</t>
        </is>
      </c>
      <c r="B49" s="17" t="n">
        <v>34</v>
      </c>
      <c r="C49" s="17" t="inlineStr">
        <is>
          <t>(주)제테마</t>
        </is>
      </c>
      <c r="D49" s="17" t="inlineStr">
        <is>
          <t>(주)제테마원주공장</t>
        </is>
      </c>
      <c r="E49" s="17" t="inlineStr">
        <is>
          <t>강원특별자치도</t>
        </is>
      </c>
      <c r="F49" s="17" t="inlineStr">
        <is>
          <t>원주시</t>
        </is>
      </c>
      <c r="G49" s="17" t="n">
        <v>1</v>
      </c>
      <c r="H49" s="20" t="inlineStr">
        <is>
          <t>Y</t>
        </is>
      </c>
      <c r="I49" s="21" t="inlineStr">
        <is>
          <t>Y</t>
        </is>
      </c>
      <c r="J49" s="17" t="inlineStr">
        <is>
          <t>Y</t>
        </is>
      </c>
      <c r="K49" s="17" t="inlineStr">
        <is>
          <t>Y</t>
        </is>
      </c>
      <c r="L49" s="22" t="inlineStr">
        <is>
          <t>미확인</t>
        </is>
      </c>
      <c r="M49" s="22" t="inlineStr">
        <is>
          <t>미확인</t>
        </is>
      </c>
      <c r="N49" s="22" t="inlineStr">
        <is>
          <t>미확인</t>
        </is>
      </c>
      <c r="O49" s="22" t="inlineStr">
        <is>
          <t>미확인</t>
        </is>
      </c>
      <c r="P49" s="17" t="inlineStr">
        <is>
          <t>QMS+LIMS</t>
        </is>
      </c>
      <c r="Q49" s="22" t="inlineStr">
        <is>
          <t>미확인</t>
        </is>
      </c>
      <c r="R49" s="22" t="inlineStr">
        <is>
          <t>미확인</t>
        </is>
      </c>
      <c r="S49" s="17" t="inlineStr">
        <is>
          <t>Tier D</t>
        </is>
      </c>
      <c r="T49" s="17" t="n">
        <v>19</v>
      </c>
      <c r="U49" s="17" t="inlineStr">
        <is>
          <t>C060</t>
        </is>
      </c>
      <c r="V49" s="17" t="inlineStr">
        <is>
          <t>제테마</t>
        </is>
      </c>
      <c r="W49" s="17" t="inlineStr">
        <is>
          <t>Y</t>
        </is>
      </c>
      <c r="X49" s="17" t="inlineStr">
        <is>
          <t>코스닥</t>
        </is>
      </c>
      <c r="Y49" s="23" t="inlineStr">
        <is>
          <t>216080</t>
        </is>
      </c>
      <c r="Z49" s="17" t="inlineStr">
        <is>
          <t>남정선</t>
        </is>
      </c>
      <c r="AA49" s="17" t="inlineStr">
        <is>
          <t>http://www.jetema.com</t>
        </is>
      </c>
      <c r="AB49" s="17" t="inlineStr">
        <is>
          <t>미확인</t>
        </is>
      </c>
      <c r="AC49" s="17" t="inlineStr">
        <is>
          <t>미확인</t>
        </is>
      </c>
      <c r="AD49" s="17" t="inlineStr">
        <is>
          <t>Y</t>
        </is>
      </c>
      <c r="AE49" s="17" t="inlineStr">
        <is>
          <t>P062</t>
        </is>
      </c>
      <c r="AF49" s="17" t="inlineStr">
        <is>
          <t>강원특별자치도 원주시 지정면 조엄로 321</t>
        </is>
      </c>
      <c r="AG49" s="17" t="inlineStr">
        <is>
          <t>완제의약품+원료의약품</t>
        </is>
      </c>
      <c r="AH49" s="17" t="inlineStr">
        <is>
          <t>생물-독소-(배양, 정제, 원액 제조)</t>
        </is>
      </c>
      <c r="AI49" s="17" t="n">
        <v>2</v>
      </c>
      <c r="AJ49" s="24" t="n">
        <v>47186</v>
      </c>
      <c r="AK49" s="17" t="inlineStr"/>
      <c r="AL49" s="17" t="inlineStr"/>
      <c r="AM49" s="17" t="inlineStr">
        <is>
          <t>무균/바이오 제조로 품질관리 난도 높음; 원료 제조로 시험실 관리 필요</t>
        </is>
      </c>
      <c r="AN49" s="17" t="inlineStr">
        <is>
          <t>미확인</t>
        </is>
      </c>
      <c r="AO49" s="17" t="inlineStr">
        <is>
          <t>미확인</t>
        </is>
      </c>
      <c r="AP49" s="17" t="inlineStr">
        <is>
          <t>미확인</t>
        </is>
      </c>
      <c r="AQ49" s="17" t="inlineStr">
        <is>
          <t>담당자 파악 후 접촉</t>
        </is>
      </c>
      <c r="AR49" s="17" t="inlineStr">
        <is>
          <t>2026-07-05</t>
        </is>
      </c>
      <c r="AS49" s="17" t="inlineStr">
        <is>
          <t>C(부분확인)</t>
        </is>
      </c>
      <c r="AT49" s="17" t="n">
        <v>90</v>
      </c>
      <c r="AU49" s="17" t="inlineStr"/>
      <c r="AV49" s="17" t="inlineStr"/>
    </row>
    <row r="50">
      <c r="A50" s="18" t="inlineStr">
        <is>
          <t>Tier A</t>
        </is>
      </c>
      <c r="B50" s="17" t="n">
        <v>34</v>
      </c>
      <c r="C50" s="17" t="inlineStr">
        <is>
          <t>(주)한국비엔씨</t>
        </is>
      </c>
      <c r="D50" s="17" t="inlineStr">
        <is>
          <t>2공장 세종공장</t>
        </is>
      </c>
      <c r="E50" s="17" t="inlineStr">
        <is>
          <t>세종특별자치시</t>
        </is>
      </c>
      <c r="F50" s="17" t="inlineStr">
        <is>
          <t>세종특별자치시</t>
        </is>
      </c>
      <c r="G50" s="17" t="n">
        <v>1</v>
      </c>
      <c r="H50" s="20" t="inlineStr">
        <is>
          <t>Y</t>
        </is>
      </c>
      <c r="I50" s="21" t="inlineStr">
        <is>
          <t>Y</t>
        </is>
      </c>
      <c r="J50" s="17" t="inlineStr">
        <is>
          <t>Y</t>
        </is>
      </c>
      <c r="K50" s="17" t="inlineStr">
        <is>
          <t>Y</t>
        </is>
      </c>
      <c r="L50" s="22" t="inlineStr">
        <is>
          <t>미확인</t>
        </is>
      </c>
      <c r="M50" s="22" t="inlineStr">
        <is>
          <t>미확인</t>
        </is>
      </c>
      <c r="N50" s="22" t="inlineStr">
        <is>
          <t>미확인</t>
        </is>
      </c>
      <c r="O50" s="22" t="inlineStr">
        <is>
          <t>미확인</t>
        </is>
      </c>
      <c r="P50" s="17" t="inlineStr">
        <is>
          <t>QMS+LIMS</t>
        </is>
      </c>
      <c r="Q50" s="22" t="inlineStr">
        <is>
          <t>미확인</t>
        </is>
      </c>
      <c r="R50" s="22" t="inlineStr">
        <is>
          <t>미확인</t>
        </is>
      </c>
      <c r="S50" s="17" t="inlineStr">
        <is>
          <t>Tier D</t>
        </is>
      </c>
      <c r="T50" s="17" t="n">
        <v>22</v>
      </c>
      <c r="U50" s="17" t="inlineStr">
        <is>
          <t>C158</t>
        </is>
      </c>
      <c r="V50" s="17" t="inlineStr">
        <is>
          <t>한국비엔씨</t>
        </is>
      </c>
      <c r="W50" s="17" t="inlineStr">
        <is>
          <t>Y</t>
        </is>
      </c>
      <c r="X50" s="17" t="inlineStr">
        <is>
          <t>코스닥</t>
        </is>
      </c>
      <c r="Y50" s="23" t="inlineStr">
        <is>
          <t>256840</t>
        </is>
      </c>
      <c r="Z50" s="17" t="inlineStr">
        <is>
          <t>최완규</t>
        </is>
      </c>
      <c r="AA50" s="17" t="inlineStr">
        <is>
          <t>http://www.bnckorea.co.kr</t>
        </is>
      </c>
      <c r="AB50" s="17" t="inlineStr">
        <is>
          <t>044-715-5101</t>
        </is>
      </c>
      <c r="AC50" s="17" t="inlineStr">
        <is>
          <t>미확인</t>
        </is>
      </c>
      <c r="AD50" s="17" t="inlineStr">
        <is>
          <t>Y</t>
        </is>
      </c>
      <c r="AE50" s="17" t="inlineStr">
        <is>
          <t>P170</t>
        </is>
      </c>
      <c r="AF50" s="17" t="inlineStr">
        <is>
          <t>세종특별자치시 소정면 소정산단북로 7</t>
        </is>
      </c>
      <c r="AG50" s="17" t="inlineStr">
        <is>
          <t>완제의약품+원료의약품</t>
        </is>
      </c>
      <c r="AH50" s="17" t="inlineStr">
        <is>
          <t>생물-독소-(배양, 정제, 원액 제조)</t>
        </is>
      </c>
      <c r="AI50" s="17" t="n">
        <v>2</v>
      </c>
      <c r="AJ50" s="24" t="n">
        <v>46882</v>
      </c>
      <c r="AK50" s="17" t="inlineStr"/>
      <c r="AL50" s="17" t="inlineStr"/>
      <c r="AM50" s="17" t="inlineStr">
        <is>
          <t>무균/바이오 제조로 품질관리 난도 높음; 원료 제조로 시험실 관리 필요</t>
        </is>
      </c>
      <c r="AN50" s="17" t="inlineStr">
        <is>
          <t>미확인</t>
        </is>
      </c>
      <c r="AO50" s="17" t="inlineStr">
        <is>
          <t>미확인</t>
        </is>
      </c>
      <c r="AP50" s="17" t="inlineStr">
        <is>
          <t>미확인</t>
        </is>
      </c>
      <c r="AQ50" s="17" t="inlineStr">
        <is>
          <t>담당자 파악 후 접촉</t>
        </is>
      </c>
      <c r="AR50" s="17" t="inlineStr">
        <is>
          <t>2026-07-05</t>
        </is>
      </c>
      <c r="AS50" s="17" t="inlineStr">
        <is>
          <t>C(부분확인)</t>
        </is>
      </c>
      <c r="AT50" s="17" t="n">
        <v>90</v>
      </c>
      <c r="AU50" s="17" t="inlineStr"/>
      <c r="AV50" s="17" t="inlineStr"/>
    </row>
    <row r="51">
      <c r="A51" s="18" t="inlineStr">
        <is>
          <t>Tier A</t>
        </is>
      </c>
      <c r="B51" s="17" t="n">
        <v>33</v>
      </c>
      <c r="C51" s="17" t="inlineStr">
        <is>
          <t>(주)보령</t>
        </is>
      </c>
      <c r="D51" s="17" t="inlineStr">
        <is>
          <t>안산</t>
        </is>
      </c>
      <c r="E51" s="17" t="inlineStr">
        <is>
          <t>경기도</t>
        </is>
      </c>
      <c r="F51" s="17" t="inlineStr">
        <is>
          <t>안산시</t>
        </is>
      </c>
      <c r="G51" s="17" t="n">
        <v>2</v>
      </c>
      <c r="H51" s="20" t="inlineStr">
        <is>
          <t>Y</t>
        </is>
      </c>
      <c r="I51" s="17" t="inlineStr"/>
      <c r="J51" s="17" t="inlineStr">
        <is>
          <t>Y</t>
        </is>
      </c>
      <c r="K51" s="17" t="inlineStr">
        <is>
          <t>Y</t>
        </is>
      </c>
      <c r="L51" s="22" t="inlineStr">
        <is>
          <t>미확인</t>
        </is>
      </c>
      <c r="M51" s="22" t="inlineStr">
        <is>
          <t>미확인</t>
        </is>
      </c>
      <c r="N51" s="22" t="inlineStr">
        <is>
          <t>미확인</t>
        </is>
      </c>
      <c r="O51" s="22" t="inlineStr">
        <is>
          <t>미확인</t>
        </is>
      </c>
      <c r="P51" s="17" t="inlineStr">
        <is>
          <t>통합형</t>
        </is>
      </c>
      <c r="Q51" s="22" t="inlineStr">
        <is>
          <t>미확인</t>
        </is>
      </c>
      <c r="R51" s="22" t="inlineStr">
        <is>
          <t>미확인</t>
        </is>
      </c>
      <c r="S51" s="17" t="inlineStr">
        <is>
          <t>Tier D</t>
        </is>
      </c>
      <c r="T51" s="17" t="n">
        <v>19</v>
      </c>
      <c r="U51" s="17" t="inlineStr">
        <is>
          <t>C150</t>
        </is>
      </c>
      <c r="V51" s="17" t="inlineStr">
        <is>
          <t>보령</t>
        </is>
      </c>
      <c r="W51" s="17" t="inlineStr">
        <is>
          <t>Y</t>
        </is>
      </c>
      <c r="X51" s="17" t="inlineStr">
        <is>
          <t>유가</t>
        </is>
      </c>
      <c r="Y51" s="23" t="inlineStr">
        <is>
          <t>003850</t>
        </is>
      </c>
      <c r="Z51" s="17" t="inlineStr">
        <is>
          <t>김정균</t>
        </is>
      </c>
      <c r="AA51" s="17" t="inlineStr">
        <is>
          <t>http://www.boryung.co.kr</t>
        </is>
      </c>
      <c r="AB51" s="17" t="inlineStr">
        <is>
          <t>02-708-8016</t>
        </is>
      </c>
      <c r="AC51" s="17" t="inlineStr">
        <is>
          <t>미확인</t>
        </is>
      </c>
      <c r="AD51" s="17" t="inlineStr">
        <is>
          <t>Y</t>
        </is>
      </c>
      <c r="AE51" s="17" t="inlineStr">
        <is>
          <t>P160</t>
        </is>
      </c>
      <c r="AF51" s="17" t="inlineStr">
        <is>
          <t>경기도 안산시 단원구 능안로 107 ,109</t>
        </is>
      </c>
      <c r="AG51" s="17" t="inlineStr">
        <is>
          <t>완제의약품+원료의약품</t>
        </is>
      </c>
      <c r="AH51" s="17" t="inlineStr">
        <is>
          <t>비무균-세팔로스포린제제-내용고형제(정제, 캡슐제, 산제, 시럽제(고형)), 비무균-일반제제-내용고형제(정제, 캡슐제, 산제, 과립제), 비무균-페니실린제제-내용고형제(정제, 캡슐제, 시럽제(고형)), 무균-세팔로스포린제제-주사제(분말주사제), 무균-세포독성항암제제-주사제(주사제, 동결건조주사제), 무균-일반제제-주사제(주사제, 복막투석제), 비무균-성호르몬제-내용액제(현탁제), 비무균-일반제제-내용액제(현탁제), 비무균-일반제제-그 밖의 액제(흡입제(액상))</t>
        </is>
      </c>
      <c r="AI51" s="17" t="n">
        <v>2</v>
      </c>
      <c r="AJ51" s="24" t="n">
        <v>46962</v>
      </c>
      <c r="AK51" s="17" t="inlineStr"/>
      <c r="AL51" s="17" t="inlineStr"/>
      <c r="AM51" s="17" t="inlineStr">
        <is>
          <t>다중 제조소/다수 판정서로 문서관리 복잡; 무균/바이오 제조로 품질관리 난도 높음</t>
        </is>
      </c>
      <c r="AN51" s="17" t="inlineStr">
        <is>
          <t>미확인</t>
        </is>
      </c>
      <c r="AO51" s="17" t="inlineStr">
        <is>
          <t>미확인</t>
        </is>
      </c>
      <c r="AP51" s="17" t="inlineStr">
        <is>
          <t>미확인</t>
        </is>
      </c>
      <c r="AQ51" s="17" t="inlineStr">
        <is>
          <t>담당자 파악 후 접촉</t>
        </is>
      </c>
      <c r="AR51" s="17" t="inlineStr">
        <is>
          <t>2026-07-05</t>
        </is>
      </c>
      <c r="AS51" s="17" t="inlineStr">
        <is>
          <t>C(부분확인)</t>
        </is>
      </c>
      <c r="AT51" s="17" t="n">
        <v>90</v>
      </c>
      <c r="AU51" s="17" t="inlineStr"/>
      <c r="AV51" s="17" t="inlineStr"/>
    </row>
    <row r="52">
      <c r="A52" s="18" t="inlineStr">
        <is>
          <t>Tier A</t>
        </is>
      </c>
      <c r="B52" s="17" t="n">
        <v>33</v>
      </c>
      <c r="C52" s="17" t="inlineStr">
        <is>
          <t>(주)보령</t>
        </is>
      </c>
      <c r="D52" s="17" t="inlineStr">
        <is>
          <t>예산</t>
        </is>
      </c>
      <c r="E52" s="17" t="inlineStr">
        <is>
          <t>충청남도</t>
        </is>
      </c>
      <c r="F52" s="17" t="inlineStr">
        <is>
          <t>예산군</t>
        </is>
      </c>
      <c r="G52" s="17" t="n">
        <v>2</v>
      </c>
      <c r="H52" s="20" t="inlineStr">
        <is>
          <t>Y</t>
        </is>
      </c>
      <c r="I52" s="17" t="inlineStr"/>
      <c r="J52" s="17" t="inlineStr">
        <is>
          <t>Y</t>
        </is>
      </c>
      <c r="K52" s="17" t="inlineStr">
        <is>
          <t>Y</t>
        </is>
      </c>
      <c r="L52" s="22" t="inlineStr">
        <is>
          <t>미확인</t>
        </is>
      </c>
      <c r="M52" s="22" t="inlineStr">
        <is>
          <t>미확인</t>
        </is>
      </c>
      <c r="N52" s="22" t="inlineStr">
        <is>
          <t>미확인</t>
        </is>
      </c>
      <c r="O52" s="22" t="inlineStr">
        <is>
          <t>미확인</t>
        </is>
      </c>
      <c r="P52" s="17" t="inlineStr">
        <is>
          <t>통합형</t>
        </is>
      </c>
      <c r="Q52" s="22" t="inlineStr">
        <is>
          <t>미확인</t>
        </is>
      </c>
      <c r="R52" s="22" t="inlineStr">
        <is>
          <t>미확인</t>
        </is>
      </c>
      <c r="S52" s="17" t="inlineStr">
        <is>
          <t>Tier D</t>
        </is>
      </c>
      <c r="T52" s="17" t="n">
        <v>19</v>
      </c>
      <c r="U52" s="17" t="inlineStr">
        <is>
          <t>C150</t>
        </is>
      </c>
      <c r="V52" s="17" t="inlineStr">
        <is>
          <t>보령</t>
        </is>
      </c>
      <c r="W52" s="17" t="inlineStr">
        <is>
          <t>Y</t>
        </is>
      </c>
      <c r="X52" s="17" t="inlineStr">
        <is>
          <t>유가</t>
        </is>
      </c>
      <c r="Y52" s="23" t="inlineStr">
        <is>
          <t>003850</t>
        </is>
      </c>
      <c r="Z52" s="17" t="inlineStr">
        <is>
          <t>김정균</t>
        </is>
      </c>
      <c r="AA52" s="17" t="inlineStr">
        <is>
          <t>http://www.boryung.co.kr</t>
        </is>
      </c>
      <c r="AB52" s="17" t="inlineStr">
        <is>
          <t>02-708-8016</t>
        </is>
      </c>
      <c r="AC52" s="17" t="inlineStr">
        <is>
          <t>미확인</t>
        </is>
      </c>
      <c r="AD52" s="17" t="inlineStr">
        <is>
          <t>Y</t>
        </is>
      </c>
      <c r="AE52" s="17" t="inlineStr">
        <is>
          <t>P163</t>
        </is>
      </c>
      <c r="AF52" s="17" t="inlineStr">
        <is>
          <t>충청남도 예산군 응봉면 충서로 254</t>
        </is>
      </c>
      <c r="AG52" s="17" t="inlineStr">
        <is>
          <t>완제의약품+원료의약품</t>
        </is>
      </c>
      <c r="AH52" s="17" t="inlineStr">
        <is>
          <t>비무균-일반제제-내용고형제(정제, 캡슐제, 구강붕해정, 츄어블정(저작정)), 무균-세포독성항암제제-주사제(주사제, 동결건조주사제)</t>
        </is>
      </c>
      <c r="AI52" s="17" t="n">
        <v>2</v>
      </c>
      <c r="AJ52" s="24" t="n">
        <v>46960</v>
      </c>
      <c r="AK52" s="17" t="inlineStr"/>
      <c r="AL52" s="17" t="inlineStr"/>
      <c r="AM52" s="17" t="inlineStr">
        <is>
          <t>다중 제조소/다수 판정서로 문서관리 복잡; 무균/바이오 제조로 품질관리 난도 높음</t>
        </is>
      </c>
      <c r="AN52" s="17" t="inlineStr">
        <is>
          <t>미확인</t>
        </is>
      </c>
      <c r="AO52" s="17" t="inlineStr">
        <is>
          <t>미확인</t>
        </is>
      </c>
      <c r="AP52" s="17" t="inlineStr">
        <is>
          <t>미확인</t>
        </is>
      </c>
      <c r="AQ52" s="17" t="inlineStr">
        <is>
          <t>담당자 파악 후 접촉</t>
        </is>
      </c>
      <c r="AR52" s="17" t="inlineStr">
        <is>
          <t>2026-07-05</t>
        </is>
      </c>
      <c r="AS52" s="17" t="inlineStr">
        <is>
          <t>C(부분확인)</t>
        </is>
      </c>
      <c r="AT52" s="17" t="n">
        <v>90</v>
      </c>
      <c r="AU52" s="17" t="inlineStr"/>
      <c r="AV52" s="17" t="inlineStr"/>
    </row>
    <row r="53">
      <c r="A53" s="18" t="inlineStr">
        <is>
          <t>Tier A</t>
        </is>
      </c>
      <c r="B53" s="17" t="n">
        <v>33</v>
      </c>
      <c r="C53" s="17" t="inlineStr">
        <is>
          <t>동국제약(주)</t>
        </is>
      </c>
      <c r="D53" s="17" t="inlineStr">
        <is>
          <t>진광로</t>
        </is>
      </c>
      <c r="E53" s="17" t="inlineStr">
        <is>
          <t>충청북도</t>
        </is>
      </c>
      <c r="F53" s="17" t="inlineStr">
        <is>
          <t>진천군</t>
        </is>
      </c>
      <c r="G53" s="17" t="n">
        <v>2</v>
      </c>
      <c r="H53" s="20" t="inlineStr">
        <is>
          <t>Y</t>
        </is>
      </c>
      <c r="I53" s="17" t="inlineStr"/>
      <c r="J53" s="17" t="inlineStr">
        <is>
          <t>Y</t>
        </is>
      </c>
      <c r="K53" s="17" t="inlineStr">
        <is>
          <t>Y</t>
        </is>
      </c>
      <c r="L53" s="22" t="inlineStr">
        <is>
          <t>미확인</t>
        </is>
      </c>
      <c r="M53" s="22" t="inlineStr">
        <is>
          <t>미확인</t>
        </is>
      </c>
      <c r="N53" s="22" t="inlineStr">
        <is>
          <t>미확인</t>
        </is>
      </c>
      <c r="O53" s="22" t="inlineStr">
        <is>
          <t>미확인</t>
        </is>
      </c>
      <c r="P53" s="17" t="inlineStr">
        <is>
          <t>통합형</t>
        </is>
      </c>
      <c r="Q53" s="22" t="inlineStr">
        <is>
          <t>미확인</t>
        </is>
      </c>
      <c r="R53" s="22" t="inlineStr">
        <is>
          <t>미확인</t>
        </is>
      </c>
      <c r="S53" s="17" t="inlineStr">
        <is>
          <t>Tier D</t>
        </is>
      </c>
      <c r="T53" s="17" t="n">
        <v>19</v>
      </c>
      <c r="U53" s="17" t="inlineStr">
        <is>
          <t>C180</t>
        </is>
      </c>
      <c r="V53" s="17" t="inlineStr">
        <is>
          <t>동국제약</t>
        </is>
      </c>
      <c r="W53" s="17" t="inlineStr">
        <is>
          <t>Y</t>
        </is>
      </c>
      <c r="X53" s="17" t="inlineStr">
        <is>
          <t>코스닥</t>
        </is>
      </c>
      <c r="Y53" s="23" t="inlineStr">
        <is>
          <t>086450</t>
        </is>
      </c>
      <c r="Z53" s="17" t="inlineStr">
        <is>
          <t>송준호</t>
        </is>
      </c>
      <c r="AA53" s="17" t="inlineStr">
        <is>
          <t>http://www.dkpharm.co.kr</t>
        </is>
      </c>
      <c r="AB53" s="17" t="inlineStr">
        <is>
          <t>02-2191-9856</t>
        </is>
      </c>
      <c r="AC53" s="17" t="inlineStr">
        <is>
          <t>미확인</t>
        </is>
      </c>
      <c r="AD53" s="17" t="inlineStr">
        <is>
          <t>Y</t>
        </is>
      </c>
      <c r="AE53" s="17" t="inlineStr">
        <is>
          <t>P193</t>
        </is>
      </c>
      <c r="AF53" s="17" t="inlineStr">
        <is>
          <t>충청북도 진천군 광혜원면 진광로 1103</t>
        </is>
      </c>
      <c r="AG53" s="17" t="inlineStr">
        <is>
          <t>완제의약품+원료의약품</t>
        </is>
      </c>
      <c r="AH53" s="17" t="inlineStr">
        <is>
          <t>무균-일반제제-주사제(주사제)</t>
        </is>
      </c>
      <c r="AI53" s="17" t="n">
        <v>2</v>
      </c>
      <c r="AJ53" s="24" t="n">
        <v>46927</v>
      </c>
      <c r="AK53" s="17" t="inlineStr"/>
      <c r="AL53" s="17" t="inlineStr"/>
      <c r="AM53" s="17" t="inlineStr">
        <is>
          <t>다중 제조소/다수 판정서로 문서관리 복잡; 무균/바이오 제조로 품질관리 난도 높음</t>
        </is>
      </c>
      <c r="AN53" s="17" t="inlineStr">
        <is>
          <t>미확인</t>
        </is>
      </c>
      <c r="AO53" s="17" t="inlineStr">
        <is>
          <t>미확인</t>
        </is>
      </c>
      <c r="AP53" s="17" t="inlineStr">
        <is>
          <t>미확인</t>
        </is>
      </c>
      <c r="AQ53" s="17" t="inlineStr">
        <is>
          <t>담당자 파악 후 접촉</t>
        </is>
      </c>
      <c r="AR53" s="17" t="inlineStr">
        <is>
          <t>2026-07-05</t>
        </is>
      </c>
      <c r="AS53" s="17" t="inlineStr">
        <is>
          <t>C(부분확인)</t>
        </is>
      </c>
      <c r="AT53" s="17" t="n">
        <v>90</v>
      </c>
      <c r="AU53" s="17" t="inlineStr"/>
      <c r="AV53" s="17" t="inlineStr"/>
    </row>
    <row r="54">
      <c r="A54" s="18" t="inlineStr">
        <is>
          <t>Tier A</t>
        </is>
      </c>
      <c r="B54" s="17" t="n">
        <v>33</v>
      </c>
      <c r="C54" s="17" t="inlineStr">
        <is>
          <t>동국제약(주)</t>
        </is>
      </c>
      <c r="D54" s="17" t="inlineStr">
        <is>
          <t>용소2길</t>
        </is>
      </c>
      <c r="E54" s="17" t="inlineStr">
        <is>
          <t>충청북도</t>
        </is>
      </c>
      <c r="F54" s="17" t="inlineStr">
        <is>
          <t>진천군</t>
        </is>
      </c>
      <c r="G54" s="17" t="n">
        <v>2</v>
      </c>
      <c r="H54" s="20" t="inlineStr">
        <is>
          <t>Y</t>
        </is>
      </c>
      <c r="I54" s="17" t="inlineStr"/>
      <c r="J54" s="17" t="inlineStr">
        <is>
          <t>Y</t>
        </is>
      </c>
      <c r="K54" s="17" t="inlineStr">
        <is>
          <t>Y</t>
        </is>
      </c>
      <c r="L54" s="22" t="inlineStr">
        <is>
          <t>미확인</t>
        </is>
      </c>
      <c r="M54" s="22" t="inlineStr">
        <is>
          <t>미확인</t>
        </is>
      </c>
      <c r="N54" s="22" t="inlineStr">
        <is>
          <t>미확인</t>
        </is>
      </c>
      <c r="O54" s="22" t="inlineStr">
        <is>
          <t>미확인</t>
        </is>
      </c>
      <c r="P54" s="17" t="inlineStr">
        <is>
          <t>통합형</t>
        </is>
      </c>
      <c r="Q54" s="22" t="inlineStr">
        <is>
          <t>미확인</t>
        </is>
      </c>
      <c r="R54" s="22" t="inlineStr">
        <is>
          <t>미확인</t>
        </is>
      </c>
      <c r="S54" s="17" t="inlineStr">
        <is>
          <t>Tier D</t>
        </is>
      </c>
      <c r="T54" s="17" t="n">
        <v>19</v>
      </c>
      <c r="U54" s="17" t="inlineStr">
        <is>
          <t>C180</t>
        </is>
      </c>
      <c r="V54" s="17" t="inlineStr">
        <is>
          <t>동국제약</t>
        </is>
      </c>
      <c r="W54" s="17" t="inlineStr">
        <is>
          <t>Y</t>
        </is>
      </c>
      <c r="X54" s="17" t="inlineStr">
        <is>
          <t>코스닥</t>
        </is>
      </c>
      <c r="Y54" s="23" t="inlineStr">
        <is>
          <t>086450</t>
        </is>
      </c>
      <c r="Z54" s="17" t="inlineStr">
        <is>
          <t>송준호</t>
        </is>
      </c>
      <c r="AA54" s="17" t="inlineStr">
        <is>
          <t>http://www.dkpharm.co.kr</t>
        </is>
      </c>
      <c r="AB54" s="17" t="inlineStr">
        <is>
          <t>02-2191-9856</t>
        </is>
      </c>
      <c r="AC54" s="17" t="inlineStr">
        <is>
          <t>미확인</t>
        </is>
      </c>
      <c r="AD54" s="17" t="inlineStr">
        <is>
          <t>Y</t>
        </is>
      </c>
      <c r="AE54" s="17" t="inlineStr">
        <is>
          <t>P291</t>
        </is>
      </c>
      <c r="AF54" s="17" t="inlineStr">
        <is>
          <t>충청북도 진천군 광혜원면 용소2길 33-19</t>
        </is>
      </c>
      <c r="AG54" s="17" t="inlineStr">
        <is>
          <t>완제의약품+원료의약품</t>
        </is>
      </c>
      <c r="AH54" s="17" t="inlineStr">
        <is>
          <t>비무균-일반제제-내용고형제(정제, 캡슐제), 무균-일반제제-주사제(주사제, 동결건조주사제), 비무균-일반제제-연고제(연고제, 크림제, 겔제), 비무균-일반제제-그 밖의 고형제(외용산제)</t>
        </is>
      </c>
      <c r="AI54" s="17" t="n">
        <v>2</v>
      </c>
      <c r="AJ54" s="24" t="n">
        <v>46806</v>
      </c>
      <c r="AK54" s="17" t="inlineStr"/>
      <c r="AL54" s="17" t="inlineStr"/>
      <c r="AM54" s="17" t="inlineStr">
        <is>
          <t>다중 제조소/다수 판정서로 문서관리 복잡; 무균/바이오 제조로 품질관리 난도 높음</t>
        </is>
      </c>
      <c r="AN54" s="17" t="inlineStr">
        <is>
          <t>미확인</t>
        </is>
      </c>
      <c r="AO54" s="17" t="inlineStr">
        <is>
          <t>미확인</t>
        </is>
      </c>
      <c r="AP54" s="17" t="inlineStr">
        <is>
          <t>미확인</t>
        </is>
      </c>
      <c r="AQ54" s="17" t="inlineStr">
        <is>
          <t>담당자 파악 후 접촉</t>
        </is>
      </c>
      <c r="AR54" s="17" t="inlineStr">
        <is>
          <t>2026-07-05</t>
        </is>
      </c>
      <c r="AS54" s="17" t="inlineStr">
        <is>
          <t>C(부분확인)</t>
        </is>
      </c>
      <c r="AT54" s="17" t="n">
        <v>90</v>
      </c>
      <c r="AU54" s="17" t="inlineStr"/>
      <c r="AV54" s="17" t="inlineStr"/>
    </row>
    <row r="55">
      <c r="A55" s="18" t="inlineStr">
        <is>
          <t>Tier A</t>
        </is>
      </c>
      <c r="B55" s="17" t="n">
        <v>32</v>
      </c>
      <c r="C55" s="17" t="inlineStr">
        <is>
          <t>에이치디엑스(주)</t>
        </is>
      </c>
      <c r="D55" s="17" t="inlineStr">
        <is>
          <t>경기 안양</t>
        </is>
      </c>
      <c r="E55" s="17" t="inlineStr">
        <is>
          <t>경기도</t>
        </is>
      </c>
      <c r="F55" s="17" t="inlineStr">
        <is>
          <t>안양시</t>
        </is>
      </c>
      <c r="G55" s="17" t="n">
        <v>4</v>
      </c>
      <c r="H55" s="20" t="inlineStr">
        <is>
          <t>Y</t>
        </is>
      </c>
      <c r="I55" s="17" t="inlineStr"/>
      <c r="J55" s="17" t="inlineStr">
        <is>
          <t>Y</t>
        </is>
      </c>
      <c r="K55" s="17" t="inlineStr"/>
      <c r="L55" s="22" t="inlineStr">
        <is>
          <t>미확인</t>
        </is>
      </c>
      <c r="M55" s="22" t="inlineStr">
        <is>
          <t>미확인</t>
        </is>
      </c>
      <c r="N55" s="22" t="inlineStr">
        <is>
          <t>미확인</t>
        </is>
      </c>
      <c r="O55" s="22" t="inlineStr">
        <is>
          <t>미확인</t>
        </is>
      </c>
      <c r="P55" s="17" t="inlineStr">
        <is>
          <t>통합형</t>
        </is>
      </c>
      <c r="Q55" s="22" t="inlineStr">
        <is>
          <t>미확인</t>
        </is>
      </c>
      <c r="R55" s="22" t="inlineStr">
        <is>
          <t>미확인</t>
        </is>
      </c>
      <c r="S55" s="17" t="inlineStr">
        <is>
          <t>Tier D</t>
        </is>
      </c>
      <c r="T55" s="17" t="n">
        <v>28</v>
      </c>
      <c r="U55" s="17" t="inlineStr">
        <is>
          <t>C021</t>
        </is>
      </c>
      <c r="V55" s="17" t="inlineStr">
        <is>
          <t>에이치디엑스</t>
        </is>
      </c>
      <c r="W55" s="17" t="inlineStr"/>
      <c r="X55" s="17" t="inlineStr"/>
      <c r="Y55" s="23" t="inlineStr"/>
      <c r="Z55" s="17" t="inlineStr">
        <is>
          <t>이창영</t>
        </is>
      </c>
      <c r="AA55" s="17" t="inlineStr"/>
      <c r="AB55" s="17" t="inlineStr">
        <is>
          <t>061-722-8440</t>
        </is>
      </c>
      <c r="AC55" s="17" t="inlineStr">
        <is>
          <t>미확인</t>
        </is>
      </c>
      <c r="AD55" s="17" t="inlineStr">
        <is>
          <t>Y</t>
        </is>
      </c>
      <c r="AE55" s="17" t="inlineStr">
        <is>
          <t>P021</t>
        </is>
      </c>
      <c r="AF55" s="17" t="inlineStr">
        <is>
          <t>경기도 안양시 동안구 관평로170번길 22</t>
        </is>
      </c>
      <c r="AG55" s="17" t="inlineStr">
        <is>
          <t>완제의약품</t>
        </is>
      </c>
      <c r="AH55" s="17" t="inlineStr">
        <is>
          <t>무균-일반제제(방사성의약품)-주사제(주사제)</t>
        </is>
      </c>
      <c r="AI55" s="17" t="n">
        <v>1</v>
      </c>
      <c r="AJ55" s="24" t="n">
        <v>47277</v>
      </c>
      <c r="AK55" s="17" t="inlineStr"/>
      <c r="AL55" s="17" t="inlineStr"/>
      <c r="AM55" s="17" t="inlineStr">
        <is>
          <t>다중 제조소/다수 판정서로 문서관리 복잡; 무균/바이오 제조로 품질관리 난도 높음</t>
        </is>
      </c>
      <c r="AN55" s="17" t="inlineStr">
        <is>
          <t>미확인</t>
        </is>
      </c>
      <c r="AO55" s="17" t="inlineStr">
        <is>
          <t>미확인</t>
        </is>
      </c>
      <c r="AP55" s="17" t="inlineStr">
        <is>
          <t>미확인</t>
        </is>
      </c>
      <c r="AQ55" s="17" t="inlineStr">
        <is>
          <t>담당자 파악 후 접촉</t>
        </is>
      </c>
      <c r="AR55" s="17" t="inlineStr">
        <is>
          <t>2026-07-05</t>
        </is>
      </c>
      <c r="AS55" s="17" t="inlineStr">
        <is>
          <t>C(부분확인)</t>
        </is>
      </c>
      <c r="AT55" s="17" t="n">
        <v>90</v>
      </c>
      <c r="AU55" s="17" t="inlineStr"/>
      <c r="AV55" s="17" t="inlineStr"/>
    </row>
    <row r="56">
      <c r="A56" s="18" t="inlineStr">
        <is>
          <t>Tier A</t>
        </is>
      </c>
      <c r="B56" s="17" t="n">
        <v>32</v>
      </c>
      <c r="C56" s="17" t="inlineStr">
        <is>
          <t>에이치디엑스(주)</t>
        </is>
      </c>
      <c r="D56" s="17" t="inlineStr">
        <is>
          <t>전남순천</t>
        </is>
      </c>
      <c r="E56" s="17" t="inlineStr">
        <is>
          <t>전라남도</t>
        </is>
      </c>
      <c r="F56" s="17" t="inlineStr">
        <is>
          <t>순천시</t>
        </is>
      </c>
      <c r="G56" s="17" t="n">
        <v>4</v>
      </c>
      <c r="H56" s="20" t="inlineStr">
        <is>
          <t>Y</t>
        </is>
      </c>
      <c r="I56" s="17" t="inlineStr"/>
      <c r="J56" s="17" t="inlineStr">
        <is>
          <t>Y</t>
        </is>
      </c>
      <c r="K56" s="17" t="inlineStr"/>
      <c r="L56" s="22" t="inlineStr">
        <is>
          <t>미확인</t>
        </is>
      </c>
      <c r="M56" s="22" t="inlineStr">
        <is>
          <t>미확인</t>
        </is>
      </c>
      <c r="N56" s="22" t="inlineStr">
        <is>
          <t>미확인</t>
        </is>
      </c>
      <c r="O56" s="22" t="inlineStr">
        <is>
          <t>미확인</t>
        </is>
      </c>
      <c r="P56" s="17" t="inlineStr">
        <is>
          <t>통합형</t>
        </is>
      </c>
      <c r="Q56" s="22" t="inlineStr">
        <is>
          <t>미확인</t>
        </is>
      </c>
      <c r="R56" s="22" t="inlineStr">
        <is>
          <t>미확인</t>
        </is>
      </c>
      <c r="S56" s="17" t="inlineStr">
        <is>
          <t>Tier D</t>
        </is>
      </c>
      <c r="T56" s="17" t="n">
        <v>28</v>
      </c>
      <c r="U56" s="17" t="inlineStr">
        <is>
          <t>C021</t>
        </is>
      </c>
      <c r="V56" s="17" t="inlineStr">
        <is>
          <t>에이치디엑스</t>
        </is>
      </c>
      <c r="W56" s="17" t="inlineStr"/>
      <c r="X56" s="17" t="inlineStr"/>
      <c r="Y56" s="23" t="inlineStr"/>
      <c r="Z56" s="17" t="inlineStr">
        <is>
          <t>이창영</t>
        </is>
      </c>
      <c r="AA56" s="17" t="inlineStr"/>
      <c r="AB56" s="17" t="inlineStr">
        <is>
          <t>061-722-8440</t>
        </is>
      </c>
      <c r="AC56" s="17" t="inlineStr">
        <is>
          <t>미확인</t>
        </is>
      </c>
      <c r="AD56" s="17" t="inlineStr">
        <is>
          <t>Y</t>
        </is>
      </c>
      <c r="AE56" s="17" t="inlineStr">
        <is>
          <t>P047</t>
        </is>
      </c>
      <c r="AF56" s="17" t="inlineStr">
        <is>
          <t>전라남도 순천시 순광로 221 성가롤로병원 내 (조례동)</t>
        </is>
      </c>
      <c r="AG56" s="17" t="inlineStr">
        <is>
          <t>완제의약품</t>
        </is>
      </c>
      <c r="AH56" s="17" t="inlineStr">
        <is>
          <t>무균-일반제제(방사성의약품)-주사제(주사제)</t>
        </is>
      </c>
      <c r="AI56" s="17" t="n">
        <v>1</v>
      </c>
      <c r="AJ56" s="24" t="n">
        <v>47219</v>
      </c>
      <c r="AK56" s="17" t="inlineStr"/>
      <c r="AL56" s="17" t="inlineStr"/>
      <c r="AM56" s="17" t="inlineStr">
        <is>
          <t>다중 제조소/다수 판정서로 문서관리 복잡; 무균/바이오 제조로 품질관리 난도 높음</t>
        </is>
      </c>
      <c r="AN56" s="17" t="inlineStr">
        <is>
          <t>미확인</t>
        </is>
      </c>
      <c r="AO56" s="17" t="inlineStr">
        <is>
          <t>미확인</t>
        </is>
      </c>
      <c r="AP56" s="17" t="inlineStr">
        <is>
          <t>미확인</t>
        </is>
      </c>
      <c r="AQ56" s="17" t="inlineStr">
        <is>
          <t>담당자 파악 후 접촉</t>
        </is>
      </c>
      <c r="AR56" s="17" t="inlineStr">
        <is>
          <t>2026-07-05</t>
        </is>
      </c>
      <c r="AS56" s="17" t="inlineStr">
        <is>
          <t>C(부분확인)</t>
        </is>
      </c>
      <c r="AT56" s="17" t="n">
        <v>90</v>
      </c>
      <c r="AU56" s="17" t="inlineStr"/>
      <c r="AV56" s="17" t="inlineStr"/>
    </row>
    <row r="57">
      <c r="A57" s="18" t="inlineStr">
        <is>
          <t>Tier A</t>
        </is>
      </c>
      <c r="B57" s="17" t="n">
        <v>32</v>
      </c>
      <c r="C57" s="17" t="inlineStr">
        <is>
          <t>에이치디엑스(주)</t>
        </is>
      </c>
      <c r="D57" s="17" t="inlineStr">
        <is>
          <t>서울(종로구 대학로)</t>
        </is>
      </c>
      <c r="E57" s="17" t="inlineStr">
        <is>
          <t>서울특별시</t>
        </is>
      </c>
      <c r="F57" s="17" t="inlineStr">
        <is>
          <t>종로구</t>
        </is>
      </c>
      <c r="G57" s="17" t="n">
        <v>4</v>
      </c>
      <c r="H57" s="20" t="inlineStr">
        <is>
          <t>Y</t>
        </is>
      </c>
      <c r="I57" s="17" t="inlineStr"/>
      <c r="J57" s="17" t="inlineStr">
        <is>
          <t>Y</t>
        </is>
      </c>
      <c r="K57" s="17" t="inlineStr"/>
      <c r="L57" s="22" t="inlineStr">
        <is>
          <t>미확인</t>
        </is>
      </c>
      <c r="M57" s="22" t="inlineStr">
        <is>
          <t>미확인</t>
        </is>
      </c>
      <c r="N57" s="22" t="inlineStr">
        <is>
          <t>미확인</t>
        </is>
      </c>
      <c r="O57" s="22" t="inlineStr">
        <is>
          <t>미확인</t>
        </is>
      </c>
      <c r="P57" s="17" t="inlineStr">
        <is>
          <t>통합형</t>
        </is>
      </c>
      <c r="Q57" s="22" t="inlineStr">
        <is>
          <t>미확인</t>
        </is>
      </c>
      <c r="R57" s="22" t="inlineStr">
        <is>
          <t>미확인</t>
        </is>
      </c>
      <c r="S57" s="17" t="inlineStr">
        <is>
          <t>Tier D</t>
        </is>
      </c>
      <c r="T57" s="17" t="n">
        <v>28</v>
      </c>
      <c r="U57" s="17" t="inlineStr">
        <is>
          <t>C021</t>
        </is>
      </c>
      <c r="V57" s="17" t="inlineStr">
        <is>
          <t>에이치디엑스</t>
        </is>
      </c>
      <c r="W57" s="17" t="inlineStr"/>
      <c r="X57" s="17" t="inlineStr"/>
      <c r="Y57" s="23" t="inlineStr"/>
      <c r="Z57" s="17" t="inlineStr">
        <is>
          <t>이창영</t>
        </is>
      </c>
      <c r="AA57" s="17" t="inlineStr"/>
      <c r="AB57" s="17" t="inlineStr">
        <is>
          <t>061-722-8440</t>
        </is>
      </c>
      <c r="AC57" s="17" t="inlineStr">
        <is>
          <t>미확인</t>
        </is>
      </c>
      <c r="AD57" s="17" t="inlineStr">
        <is>
          <t>Y</t>
        </is>
      </c>
      <c r="AE57" s="17" t="inlineStr">
        <is>
          <t>P093</t>
        </is>
      </c>
      <c r="AF57" s="17" t="inlineStr">
        <is>
          <t>서울특별시 종로구 대학로 103 지하2층(연건동, 서울대학교 의과대학 의과학관 싸이클로트론실)</t>
        </is>
      </c>
      <c r="AG57" s="17" t="inlineStr">
        <is>
          <t>완제의약품</t>
        </is>
      </c>
      <c r="AH57" s="17" t="inlineStr">
        <is>
          <t>무균-일반제제(방사성의약품)-주사제(주사제)</t>
        </is>
      </c>
      <c r="AI57" s="17" t="n">
        <v>1</v>
      </c>
      <c r="AJ57" s="24" t="n">
        <v>47109</v>
      </c>
      <c r="AK57" s="17" t="inlineStr"/>
      <c r="AL57" s="17" t="inlineStr"/>
      <c r="AM57" s="17" t="inlineStr">
        <is>
          <t>다중 제조소/다수 판정서로 문서관리 복잡; 무균/바이오 제조로 품질관리 난도 높음</t>
        </is>
      </c>
      <c r="AN57" s="17" t="inlineStr">
        <is>
          <t>미확인</t>
        </is>
      </c>
      <c r="AO57" s="17" t="inlineStr">
        <is>
          <t>미확인</t>
        </is>
      </c>
      <c r="AP57" s="17" t="inlineStr">
        <is>
          <t>미확인</t>
        </is>
      </c>
      <c r="AQ57" s="17" t="inlineStr">
        <is>
          <t>담당자 파악 후 접촉</t>
        </is>
      </c>
      <c r="AR57" s="17" t="inlineStr">
        <is>
          <t>2026-07-05</t>
        </is>
      </c>
      <c r="AS57" s="17" t="inlineStr">
        <is>
          <t>C(부분확인)</t>
        </is>
      </c>
      <c r="AT57" s="17" t="n">
        <v>90</v>
      </c>
      <c r="AU57" s="17" t="inlineStr"/>
      <c r="AV57" s="17" t="inlineStr"/>
    </row>
    <row r="58">
      <c r="A58" s="18" t="inlineStr">
        <is>
          <t>Tier A</t>
        </is>
      </c>
      <c r="B58" s="17" t="n">
        <v>32</v>
      </c>
      <c r="C58" s="17" t="inlineStr">
        <is>
          <t>에이치디엑스(주)</t>
        </is>
      </c>
      <c r="D58" s="17" t="inlineStr">
        <is>
          <t>대전</t>
        </is>
      </c>
      <c r="E58" s="17" t="inlineStr">
        <is>
          <t>대전광역시</t>
        </is>
      </c>
      <c r="F58" s="17" t="inlineStr">
        <is>
          <t>서구</t>
        </is>
      </c>
      <c r="G58" s="17" t="n">
        <v>4</v>
      </c>
      <c r="H58" s="20" t="inlineStr">
        <is>
          <t>Y</t>
        </is>
      </c>
      <c r="I58" s="17" t="inlineStr"/>
      <c r="J58" s="17" t="inlineStr">
        <is>
          <t>Y</t>
        </is>
      </c>
      <c r="K58" s="17" t="inlineStr"/>
      <c r="L58" s="22" t="inlineStr">
        <is>
          <t>미확인</t>
        </is>
      </c>
      <c r="M58" s="22" t="inlineStr">
        <is>
          <t>미확인</t>
        </is>
      </c>
      <c r="N58" s="22" t="inlineStr">
        <is>
          <t>미확인</t>
        </is>
      </c>
      <c r="O58" s="22" t="inlineStr">
        <is>
          <t>미확인</t>
        </is>
      </c>
      <c r="P58" s="17" t="inlineStr">
        <is>
          <t>통합형</t>
        </is>
      </c>
      <c r="Q58" s="22" t="inlineStr">
        <is>
          <t>미확인</t>
        </is>
      </c>
      <c r="R58" s="22" t="inlineStr">
        <is>
          <t>미확인</t>
        </is>
      </c>
      <c r="S58" s="17" t="inlineStr">
        <is>
          <t>Tier D</t>
        </is>
      </c>
      <c r="T58" s="17" t="n">
        <v>28</v>
      </c>
      <c r="U58" s="17" t="inlineStr">
        <is>
          <t>C021</t>
        </is>
      </c>
      <c r="V58" s="17" t="inlineStr">
        <is>
          <t>에이치디엑스</t>
        </is>
      </c>
      <c r="W58" s="17" t="inlineStr"/>
      <c r="X58" s="17" t="inlineStr"/>
      <c r="Y58" s="23" t="inlineStr"/>
      <c r="Z58" s="17" t="inlineStr">
        <is>
          <t>이창영</t>
        </is>
      </c>
      <c r="AA58" s="17" t="inlineStr"/>
      <c r="AB58" s="17" t="inlineStr">
        <is>
          <t>061-722-8440</t>
        </is>
      </c>
      <c r="AC58" s="17" t="inlineStr">
        <is>
          <t>미확인</t>
        </is>
      </c>
      <c r="AD58" s="17" t="inlineStr">
        <is>
          <t>Y</t>
        </is>
      </c>
      <c r="AE58" s="17" t="inlineStr">
        <is>
          <t>P502</t>
        </is>
      </c>
      <c r="AF58" s="17" t="inlineStr">
        <is>
          <t>대전광역시 서구 관저동로 158 지하1층(관저동, 건양대학교병원)</t>
        </is>
      </c>
      <c r="AG58" s="17" t="inlineStr">
        <is>
          <t>완제의약품</t>
        </is>
      </c>
      <c r="AH58" s="17" t="inlineStr">
        <is>
          <t>주사제(주사제(방사성의약품))</t>
        </is>
      </c>
      <c r="AI58" s="17" t="n">
        <v>1</v>
      </c>
      <c r="AJ58" s="24" t="n">
        <v>46242</v>
      </c>
      <c r="AK58" s="25" t="inlineStr">
        <is>
          <t>Y</t>
        </is>
      </c>
      <c r="AL58" s="17" t="inlineStr">
        <is>
          <t>Y</t>
        </is>
      </c>
      <c r="AM58" s="17" t="inlineStr">
        <is>
          <t>다중 제조소/다수 판정서로 문서관리 복잡; 무균/바이오 제조로 품질관리 난도 높음</t>
        </is>
      </c>
      <c r="AN58" s="17" t="inlineStr">
        <is>
          <t>미확인</t>
        </is>
      </c>
      <c r="AO58" s="17" t="inlineStr">
        <is>
          <t>미확인</t>
        </is>
      </c>
      <c r="AP58" s="17" t="inlineStr">
        <is>
          <t>미확인</t>
        </is>
      </c>
      <c r="AQ58" s="17" t="inlineStr">
        <is>
          <t>담당자 파악 후 접촉</t>
        </is>
      </c>
      <c r="AR58" s="17" t="inlineStr">
        <is>
          <t>2026-07-05</t>
        </is>
      </c>
      <c r="AS58" s="17" t="inlineStr">
        <is>
          <t>C(부분확인)</t>
        </is>
      </c>
      <c r="AT58" s="17" t="n">
        <v>90</v>
      </c>
      <c r="AU58" s="17" t="inlineStr"/>
      <c r="AV58" s="17" t="inlineStr"/>
    </row>
    <row r="59">
      <c r="A59" s="18" t="inlineStr">
        <is>
          <t>Tier A</t>
        </is>
      </c>
      <c r="B59" s="17" t="n">
        <v>32</v>
      </c>
      <c r="C59" s="17" t="inlineStr">
        <is>
          <t>(주)유바이오로직스</t>
        </is>
      </c>
      <c r="D59" s="17" t="inlineStr">
        <is>
          <t>[보관소2]</t>
        </is>
      </c>
      <c r="E59" s="17" t="inlineStr">
        <is>
          <t>강원특별자치도</t>
        </is>
      </c>
      <c r="F59" s="17" t="inlineStr">
        <is>
          <t>춘천시</t>
        </is>
      </c>
      <c r="G59" s="17" t="n">
        <v>2</v>
      </c>
      <c r="H59" s="17" t="inlineStr"/>
      <c r="I59" s="21" t="inlineStr">
        <is>
          <t>Y</t>
        </is>
      </c>
      <c r="J59" s="17" t="inlineStr">
        <is>
          <t>Y</t>
        </is>
      </c>
      <c r="K59" s="17" t="inlineStr">
        <is>
          <t>Y</t>
        </is>
      </c>
      <c r="L59" s="22" t="inlineStr">
        <is>
          <t>미확인</t>
        </is>
      </c>
      <c r="M59" s="22" t="inlineStr">
        <is>
          <t>미확인</t>
        </is>
      </c>
      <c r="N59" s="22" t="inlineStr">
        <is>
          <t>미확인</t>
        </is>
      </c>
      <c r="O59" s="22" t="inlineStr">
        <is>
          <t>미확인</t>
        </is>
      </c>
      <c r="P59" s="17" t="inlineStr">
        <is>
          <t>통합형</t>
        </is>
      </c>
      <c r="Q59" s="22" t="inlineStr">
        <is>
          <t>미확인</t>
        </is>
      </c>
      <c r="R59" s="22" t="inlineStr">
        <is>
          <t>미확인</t>
        </is>
      </c>
      <c r="S59" s="17" t="inlineStr">
        <is>
          <t>Tier D</t>
        </is>
      </c>
      <c r="T59" s="17" t="n">
        <v>18</v>
      </c>
      <c r="U59" s="17" t="inlineStr">
        <is>
          <t>C050</t>
        </is>
      </c>
      <c r="V59" s="17" t="inlineStr">
        <is>
          <t>유바이오로직스</t>
        </is>
      </c>
      <c r="W59" s="17" t="inlineStr">
        <is>
          <t>Y</t>
        </is>
      </c>
      <c r="X59" s="17" t="inlineStr">
        <is>
          <t>코스닥</t>
        </is>
      </c>
      <c r="Y59" s="23" t="inlineStr">
        <is>
          <t>206650</t>
        </is>
      </c>
      <c r="Z59" s="17" t="inlineStr">
        <is>
          <t>백영옥,허태영(공동대표이사)</t>
        </is>
      </c>
      <c r="AA59" s="17" t="inlineStr">
        <is>
          <t>http://www.eubiologics.com</t>
        </is>
      </c>
      <c r="AB59" s="17" t="inlineStr">
        <is>
          <t>070-4235-1105</t>
        </is>
      </c>
      <c r="AC59" s="17" t="inlineStr">
        <is>
          <t>미확인</t>
        </is>
      </c>
      <c r="AD59" s="17" t="inlineStr">
        <is>
          <t>Y</t>
        </is>
      </c>
      <c r="AE59" s="17" t="inlineStr">
        <is>
          <t>P051</t>
        </is>
      </c>
      <c r="AF59" s="17" t="inlineStr">
        <is>
          <t>강원특별자치도 춘천시 소양강로 56 4동 1층, 2-4~2-6, 3-1~3-4, 4-6호, 1층 외곽냉장실 3~8, 지하일부</t>
        </is>
      </c>
      <c r="AG59" s="17" t="inlineStr">
        <is>
          <t>완제의약품+원료의약품</t>
        </is>
      </c>
      <c r="AH59" s="17" t="inlineStr">
        <is>
          <t>생물-백신-내용액제(경구용액제)</t>
        </is>
      </c>
      <c r="AI59" s="17" t="n">
        <v>2</v>
      </c>
      <c r="AJ59" s="24" t="n">
        <v>47214</v>
      </c>
      <c r="AK59" s="17" t="inlineStr"/>
      <c r="AL59" s="17" t="inlineStr"/>
      <c r="AM59" s="17" t="inlineStr">
        <is>
          <t>다중 제조소/다수 판정서로 문서관리 복잡; 무균/바이오 제조로 품질관리 난도 높음</t>
        </is>
      </c>
      <c r="AN59" s="17" t="inlineStr">
        <is>
          <t>미확인</t>
        </is>
      </c>
      <c r="AO59" s="17" t="inlineStr">
        <is>
          <t>미확인</t>
        </is>
      </c>
      <c r="AP59" s="17" t="inlineStr">
        <is>
          <t>미확인</t>
        </is>
      </c>
      <c r="AQ59" s="17" t="inlineStr">
        <is>
          <t>담당자 파악 후 접촉</t>
        </is>
      </c>
      <c r="AR59" s="17" t="inlineStr">
        <is>
          <t>2026-07-05</t>
        </is>
      </c>
      <c r="AS59" s="17" t="inlineStr">
        <is>
          <t>C(부분확인)</t>
        </is>
      </c>
      <c r="AT59" s="17" t="n">
        <v>90</v>
      </c>
      <c r="AU59" s="17" t="inlineStr"/>
      <c r="AV59" s="17" t="inlineStr"/>
    </row>
    <row r="60">
      <c r="A60" s="18" t="inlineStr">
        <is>
          <t>Tier A</t>
        </is>
      </c>
      <c r="B60" s="17" t="n">
        <v>32</v>
      </c>
      <c r="C60" s="17" t="inlineStr">
        <is>
          <t>(주)유바이오로직스</t>
        </is>
      </c>
      <c r="D60" s="17" t="inlineStr">
        <is>
          <t>[제2공장]</t>
        </is>
      </c>
      <c r="E60" s="17" t="inlineStr">
        <is>
          <t>강원특별자치도</t>
        </is>
      </c>
      <c r="F60" s="17" t="inlineStr">
        <is>
          <t>춘천시</t>
        </is>
      </c>
      <c r="G60" s="17" t="n">
        <v>2</v>
      </c>
      <c r="H60" s="17" t="inlineStr"/>
      <c r="I60" s="21" t="inlineStr">
        <is>
          <t>Y</t>
        </is>
      </c>
      <c r="J60" s="17" t="inlineStr">
        <is>
          <t>Y</t>
        </is>
      </c>
      <c r="K60" s="17" t="inlineStr">
        <is>
          <t>Y</t>
        </is>
      </c>
      <c r="L60" s="22" t="inlineStr">
        <is>
          <t>미확인</t>
        </is>
      </c>
      <c r="M60" s="22" t="inlineStr">
        <is>
          <t>미확인</t>
        </is>
      </c>
      <c r="N60" s="22" t="inlineStr">
        <is>
          <t>미확인</t>
        </is>
      </c>
      <c r="O60" s="22" t="inlineStr">
        <is>
          <t>미확인</t>
        </is>
      </c>
      <c r="P60" s="17" t="inlineStr">
        <is>
          <t>통합형</t>
        </is>
      </c>
      <c r="Q60" s="22" t="inlineStr">
        <is>
          <t>미확인</t>
        </is>
      </c>
      <c r="R60" s="22" t="inlineStr">
        <is>
          <t>미확인</t>
        </is>
      </c>
      <c r="S60" s="17" t="inlineStr">
        <is>
          <t>Tier D</t>
        </is>
      </c>
      <c r="T60" s="17" t="n">
        <v>18</v>
      </c>
      <c r="U60" s="17" t="inlineStr">
        <is>
          <t>C050</t>
        </is>
      </c>
      <c r="V60" s="17" t="inlineStr">
        <is>
          <t>유바이오로직스</t>
        </is>
      </c>
      <c r="W60" s="17" t="inlineStr">
        <is>
          <t>Y</t>
        </is>
      </c>
      <c r="X60" s="17" t="inlineStr">
        <is>
          <t>코스닥</t>
        </is>
      </c>
      <c r="Y60" s="23" t="inlineStr">
        <is>
          <t>206650</t>
        </is>
      </c>
      <c r="Z60" s="17" t="inlineStr">
        <is>
          <t>백영옥,허태영(공동대표이사)</t>
        </is>
      </c>
      <c r="AA60" s="17" t="inlineStr">
        <is>
          <t>http://www.eubiologics.com</t>
        </is>
      </c>
      <c r="AB60" s="17" t="inlineStr">
        <is>
          <t>070-4235-1105</t>
        </is>
      </c>
      <c r="AC60" s="17" t="inlineStr">
        <is>
          <t>미확인</t>
        </is>
      </c>
      <c r="AD60" s="17" t="inlineStr">
        <is>
          <t>Y</t>
        </is>
      </c>
      <c r="AE60" s="17" t="inlineStr">
        <is>
          <t>P278</t>
        </is>
      </c>
      <c r="AF60" s="17" t="inlineStr">
        <is>
          <t>강원특별자치도 춘천시 동산면 원무동길 125 생산동 지하1층일부,1층~4층, 관리동 2층,4층</t>
        </is>
      </c>
      <c r="AG60" s="17" t="inlineStr">
        <is>
          <t>완제의약품+원료의약품</t>
        </is>
      </c>
      <c r="AH60" s="17" t="inlineStr">
        <is>
          <t>생물-백신-(배양, 정제, 바이러스불활화, 원액 제조)</t>
        </is>
      </c>
      <c r="AI60" s="17" t="n">
        <v>2</v>
      </c>
      <c r="AJ60" s="24" t="n">
        <v>46733</v>
      </c>
      <c r="AK60" s="17" t="inlineStr"/>
      <c r="AL60" s="17" t="inlineStr"/>
      <c r="AM60" s="17" t="inlineStr">
        <is>
          <t>다중 제조소/다수 판정서로 문서관리 복잡; 무균/바이오 제조로 품질관리 난도 높음</t>
        </is>
      </c>
      <c r="AN60" s="17" t="inlineStr">
        <is>
          <t>미확인</t>
        </is>
      </c>
      <c r="AO60" s="17" t="inlineStr">
        <is>
          <t>미확인</t>
        </is>
      </c>
      <c r="AP60" s="17" t="inlineStr">
        <is>
          <t>미확인</t>
        </is>
      </c>
      <c r="AQ60" s="17" t="inlineStr">
        <is>
          <t>담당자 파악 후 접촉</t>
        </is>
      </c>
      <c r="AR60" s="17" t="inlineStr">
        <is>
          <t>2026-07-05</t>
        </is>
      </c>
      <c r="AS60" s="17" t="inlineStr">
        <is>
          <t>C(부분확인)</t>
        </is>
      </c>
      <c r="AT60" s="17" t="n">
        <v>90</v>
      </c>
      <c r="AU60" s="17" t="inlineStr"/>
      <c r="AV60" s="17" t="inlineStr"/>
    </row>
    <row r="61">
      <c r="A61" s="18" t="inlineStr">
        <is>
          <t>Tier A</t>
        </is>
      </c>
      <c r="B61" s="17" t="n">
        <v>32</v>
      </c>
      <c r="C61" s="17" t="inlineStr">
        <is>
          <t>경동제약(주)</t>
        </is>
      </c>
      <c r="D61" s="17" t="inlineStr">
        <is>
          <t>향남(원료)</t>
        </is>
      </c>
      <c r="E61" s="17" t="inlineStr">
        <is>
          <t>경기도</t>
        </is>
      </c>
      <c r="F61" s="17" t="inlineStr">
        <is>
          <t>화성시</t>
        </is>
      </c>
      <c r="G61" s="17" t="n">
        <v>2</v>
      </c>
      <c r="H61" s="17" t="inlineStr"/>
      <c r="I61" s="17" t="inlineStr"/>
      <c r="J61" s="17" t="inlineStr">
        <is>
          <t>Y</t>
        </is>
      </c>
      <c r="K61" s="17" t="inlineStr">
        <is>
          <t>Y</t>
        </is>
      </c>
      <c r="L61" s="22" t="inlineStr">
        <is>
          <t>미확인</t>
        </is>
      </c>
      <c r="M61" s="22" t="inlineStr">
        <is>
          <t>미확인</t>
        </is>
      </c>
      <c r="N61" s="22" t="inlineStr">
        <is>
          <t>미확인</t>
        </is>
      </c>
      <c r="O61" s="22" t="inlineStr">
        <is>
          <t>미확인</t>
        </is>
      </c>
      <c r="P61" s="17" t="inlineStr">
        <is>
          <t>통합형</t>
        </is>
      </c>
      <c r="Q61" s="22" t="inlineStr">
        <is>
          <t>미확인</t>
        </is>
      </c>
      <c r="R61" s="22" t="inlineStr">
        <is>
          <t>미확인</t>
        </is>
      </c>
      <c r="S61" s="17" t="inlineStr">
        <is>
          <t>Tier D</t>
        </is>
      </c>
      <c r="T61" s="17" t="n">
        <v>19</v>
      </c>
      <c r="U61" s="17" t="inlineStr">
        <is>
          <t>C163</t>
        </is>
      </c>
      <c r="V61" s="17" t="inlineStr">
        <is>
          <t>경동제약</t>
        </is>
      </c>
      <c r="W61" s="17" t="inlineStr">
        <is>
          <t>Y</t>
        </is>
      </c>
      <c r="X61" s="17" t="inlineStr">
        <is>
          <t>코스닥</t>
        </is>
      </c>
      <c r="Y61" s="23" t="inlineStr">
        <is>
          <t>011040</t>
        </is>
      </c>
      <c r="Z61" s="17" t="inlineStr">
        <is>
          <t>류기성, 김경훈(각자 대표)</t>
        </is>
      </c>
      <c r="AA61" s="17" t="inlineStr">
        <is>
          <t>http://www.kdpharma.co.kr</t>
        </is>
      </c>
      <c r="AB61" s="17" t="inlineStr">
        <is>
          <t>02-576-6123</t>
        </is>
      </c>
      <c r="AC61" s="17" t="inlineStr">
        <is>
          <t>미확인</t>
        </is>
      </c>
      <c r="AD61" s="17" t="inlineStr">
        <is>
          <t>Y</t>
        </is>
      </c>
      <c r="AE61" s="17" t="inlineStr">
        <is>
          <t>P175</t>
        </is>
      </c>
      <c r="AF61" s="17" t="inlineStr">
        <is>
          <t>경기도 화성시 만세구 향남읍 발안공단로2길 15</t>
        </is>
      </c>
      <c r="AG61" s="17" t="inlineStr">
        <is>
          <t>원료의약품</t>
        </is>
      </c>
      <c r="AH61" s="17" t="inlineStr">
        <is>
          <t>비무균-일반제제-합성</t>
        </is>
      </c>
      <c r="AI61" s="17" t="n">
        <v>1</v>
      </c>
      <c r="AJ61" s="24" t="n">
        <v>46947</v>
      </c>
      <c r="AK61" s="17" t="inlineStr"/>
      <c r="AL61" s="17" t="inlineStr"/>
      <c r="AM61" s="17" t="inlineStr">
        <is>
          <t>다중 제조소/다수 판정서로 문서관리 복잡; 무균/바이오 제조로 품질관리 난도 높음</t>
        </is>
      </c>
      <c r="AN61" s="17" t="inlineStr">
        <is>
          <t>미확인</t>
        </is>
      </c>
      <c r="AO61" s="17" t="inlineStr">
        <is>
          <t>미확인</t>
        </is>
      </c>
      <c r="AP61" s="17" t="inlineStr">
        <is>
          <t>미확인</t>
        </is>
      </c>
      <c r="AQ61" s="17" t="inlineStr">
        <is>
          <t>담당자 파악 후 접촉</t>
        </is>
      </c>
      <c r="AR61" s="17" t="inlineStr">
        <is>
          <t>2026-07-05</t>
        </is>
      </c>
      <c r="AS61" s="17" t="inlineStr">
        <is>
          <t>C(부분확인)</t>
        </is>
      </c>
      <c r="AT61" s="17" t="n">
        <v>90</v>
      </c>
      <c r="AU61" s="17" t="inlineStr"/>
      <c r="AV61" s="17" t="inlineStr"/>
    </row>
    <row r="62">
      <c r="A62" s="18" t="inlineStr">
        <is>
          <t>Tier A</t>
        </is>
      </c>
      <c r="B62" s="17" t="n">
        <v>32</v>
      </c>
      <c r="C62" s="17" t="inlineStr">
        <is>
          <t>경동제약(주)</t>
        </is>
      </c>
      <c r="D62" s="17" t="inlineStr">
        <is>
          <t>화성</t>
        </is>
      </c>
      <c r="E62" s="17" t="inlineStr">
        <is>
          <t>경기도</t>
        </is>
      </c>
      <c r="F62" s="17" t="inlineStr">
        <is>
          <t>화성시</t>
        </is>
      </c>
      <c r="G62" s="17" t="n">
        <v>2</v>
      </c>
      <c r="H62" s="20" t="inlineStr">
        <is>
          <t>Y</t>
        </is>
      </c>
      <c r="I62" s="17" t="inlineStr"/>
      <c r="J62" s="17" t="inlineStr">
        <is>
          <t>Y</t>
        </is>
      </c>
      <c r="K62" s="17" t="inlineStr">
        <is>
          <t>Y</t>
        </is>
      </c>
      <c r="L62" s="22" t="inlineStr">
        <is>
          <t>미확인</t>
        </is>
      </c>
      <c r="M62" s="22" t="inlineStr">
        <is>
          <t>미확인</t>
        </is>
      </c>
      <c r="N62" s="22" t="inlineStr">
        <is>
          <t>미확인</t>
        </is>
      </c>
      <c r="O62" s="22" t="inlineStr">
        <is>
          <t>미확인</t>
        </is>
      </c>
      <c r="P62" s="17" t="inlineStr">
        <is>
          <t>통합형</t>
        </is>
      </c>
      <c r="Q62" s="22" t="inlineStr">
        <is>
          <t>미확인</t>
        </is>
      </c>
      <c r="R62" s="22" t="inlineStr">
        <is>
          <t>미확인</t>
        </is>
      </c>
      <c r="S62" s="17" t="inlineStr">
        <is>
          <t>Tier D</t>
        </is>
      </c>
      <c r="T62" s="17" t="n">
        <v>19</v>
      </c>
      <c r="U62" s="17" t="inlineStr">
        <is>
          <t>C163</t>
        </is>
      </c>
      <c r="V62" s="17" t="inlineStr">
        <is>
          <t>경동제약</t>
        </is>
      </c>
      <c r="W62" s="17" t="inlineStr">
        <is>
          <t>Y</t>
        </is>
      </c>
      <c r="X62" s="17" t="inlineStr">
        <is>
          <t>코스닥</t>
        </is>
      </c>
      <c r="Y62" s="23" t="inlineStr">
        <is>
          <t>011040</t>
        </is>
      </c>
      <c r="Z62" s="17" t="inlineStr">
        <is>
          <t>류기성, 김경훈(각자 대표)</t>
        </is>
      </c>
      <c r="AA62" s="17" t="inlineStr">
        <is>
          <t>http://www.kdpharma.co.kr</t>
        </is>
      </c>
      <c r="AB62" s="17" t="inlineStr">
        <is>
          <t>02-576-6123</t>
        </is>
      </c>
      <c r="AC62" s="17" t="inlineStr">
        <is>
          <t>미확인</t>
        </is>
      </c>
      <c r="AD62" s="17" t="inlineStr">
        <is>
          <t>Y</t>
        </is>
      </c>
      <c r="AE62" s="17" t="inlineStr">
        <is>
          <t>P304</t>
        </is>
      </c>
      <c r="AF62" s="17" t="inlineStr">
        <is>
          <t>경기도 화성시 만세구 양감면 제약단지로 224-3</t>
        </is>
      </c>
      <c r="AG62" s="17" t="inlineStr">
        <is>
          <t>완제의약품+원료의약품</t>
        </is>
      </c>
      <c r="AH62" s="17" t="inlineStr">
        <is>
          <t>비무균-세팔로스포린제제-내용고형제(정제, 캡슐제), 비무균-일반제제-내용고형제(정제, 캡슐제), 무균-세팔로스포린제제-주사제(분말주사제), 무균-일반제제-주사제(주사제, 동결건조주사제)</t>
        </is>
      </c>
      <c r="AI62" s="17" t="n">
        <v>2</v>
      </c>
      <c r="AJ62" s="24" t="n">
        <v>46790</v>
      </c>
      <c r="AK62" s="17" t="inlineStr"/>
      <c r="AL62" s="17" t="inlineStr"/>
      <c r="AM62" s="17" t="inlineStr">
        <is>
          <t>다중 제조소/다수 판정서로 문서관리 복잡; 무균/바이오 제조로 품질관리 난도 높음</t>
        </is>
      </c>
      <c r="AN62" s="17" t="inlineStr">
        <is>
          <t>미확인</t>
        </is>
      </c>
      <c r="AO62" s="17" t="inlineStr">
        <is>
          <t>미확인</t>
        </is>
      </c>
      <c r="AP62" s="17" t="inlineStr">
        <is>
          <t>미확인</t>
        </is>
      </c>
      <c r="AQ62" s="17" t="inlineStr">
        <is>
          <t>담당자 파악 후 접촉</t>
        </is>
      </c>
      <c r="AR62" s="17" t="inlineStr">
        <is>
          <t>2026-07-05</t>
        </is>
      </c>
      <c r="AS62" s="17" t="inlineStr">
        <is>
          <t>C(부분확인)</t>
        </is>
      </c>
      <c r="AT62" s="17" t="n">
        <v>90</v>
      </c>
      <c r="AU62" s="17" t="inlineStr"/>
      <c r="AV62" s="17" t="inlineStr"/>
    </row>
    <row r="63">
      <c r="A63" s="18" t="inlineStr">
        <is>
          <t>Tier A</t>
        </is>
      </c>
      <c r="B63" s="17" t="n">
        <v>32</v>
      </c>
      <c r="C63" s="17" t="inlineStr">
        <is>
          <t>이연제약(주)</t>
        </is>
      </c>
      <c r="D63" s="17" t="inlineStr">
        <is>
          <t>충주</t>
        </is>
      </c>
      <c r="E63" s="17" t="inlineStr">
        <is>
          <t>충청북도</t>
        </is>
      </c>
      <c r="F63" s="17" t="inlineStr">
        <is>
          <t>충주시</t>
        </is>
      </c>
      <c r="G63" s="17" t="n">
        <v>2</v>
      </c>
      <c r="H63" s="20" t="inlineStr">
        <is>
          <t>Y</t>
        </is>
      </c>
      <c r="I63" s="17" t="inlineStr"/>
      <c r="J63" s="17" t="inlineStr">
        <is>
          <t>Y</t>
        </is>
      </c>
      <c r="K63" s="17" t="inlineStr">
        <is>
          <t>Y</t>
        </is>
      </c>
      <c r="L63" s="22" t="inlineStr">
        <is>
          <t>미확인</t>
        </is>
      </c>
      <c r="M63" s="22" t="inlineStr">
        <is>
          <t>미확인</t>
        </is>
      </c>
      <c r="N63" s="22" t="inlineStr">
        <is>
          <t>미확인</t>
        </is>
      </c>
      <c r="O63" s="22" t="inlineStr">
        <is>
          <t>미확인</t>
        </is>
      </c>
      <c r="P63" s="17" t="inlineStr">
        <is>
          <t>통합형</t>
        </is>
      </c>
      <c r="Q63" s="22" t="inlineStr">
        <is>
          <t>미확인</t>
        </is>
      </c>
      <c r="R63" s="22" t="inlineStr">
        <is>
          <t>미확인</t>
        </is>
      </c>
      <c r="S63" s="17" t="inlineStr">
        <is>
          <t>Tier D</t>
        </is>
      </c>
      <c r="T63" s="17" t="n">
        <v>19</v>
      </c>
      <c r="U63" s="17" t="inlineStr">
        <is>
          <t>C001</t>
        </is>
      </c>
      <c r="V63" s="17" t="inlineStr">
        <is>
          <t>이연제약</t>
        </is>
      </c>
      <c r="W63" s="17" t="inlineStr">
        <is>
          <t>Y</t>
        </is>
      </c>
      <c r="X63" s="17" t="inlineStr">
        <is>
          <t>유가</t>
        </is>
      </c>
      <c r="Y63" s="23" t="inlineStr">
        <is>
          <t>102460</t>
        </is>
      </c>
      <c r="Z63" s="17" t="inlineStr">
        <is>
          <t>정순옥, 유용환 (각자 대표이사)</t>
        </is>
      </c>
      <c r="AA63" s="17" t="inlineStr">
        <is>
          <t>http://reyonpharm.co.kr</t>
        </is>
      </c>
      <c r="AB63" s="17" t="inlineStr">
        <is>
          <t>043-840-6300</t>
        </is>
      </c>
      <c r="AC63" s="17" t="inlineStr">
        <is>
          <t>미확인</t>
        </is>
      </c>
      <c r="AD63" s="17" t="inlineStr">
        <is>
          <t>Y</t>
        </is>
      </c>
      <c r="AE63" s="17" t="inlineStr">
        <is>
          <t>P001</t>
        </is>
      </c>
      <c r="AF63" s="17" t="inlineStr">
        <is>
          <t>충청북도 충주시 대소원면 기업도시1로 64</t>
        </is>
      </c>
      <c r="AG63" s="17" t="inlineStr">
        <is>
          <t>완제의약품</t>
        </is>
      </c>
      <c r="AH63" s="17" t="inlineStr">
        <is>
          <t>무균-일반제제-주사제(주사제, 동결건조주사제)</t>
        </is>
      </c>
      <c r="AI63" s="17" t="n">
        <v>1</v>
      </c>
      <c r="AJ63" s="24" t="n">
        <v>47357</v>
      </c>
      <c r="AK63" s="17" t="inlineStr"/>
      <c r="AL63" s="17" t="inlineStr"/>
      <c r="AM63" s="17" t="inlineStr">
        <is>
          <t>다중 제조소/다수 판정서로 문서관리 복잡; 무균/바이오 제조로 품질관리 난도 높음</t>
        </is>
      </c>
      <c r="AN63" s="17" t="inlineStr">
        <is>
          <t>미확인</t>
        </is>
      </c>
      <c r="AO63" s="17" t="inlineStr">
        <is>
          <t>미확인</t>
        </is>
      </c>
      <c r="AP63" s="17" t="inlineStr">
        <is>
          <t>미확인</t>
        </is>
      </c>
      <c r="AQ63" s="17" t="inlineStr">
        <is>
          <t>담당자 파악 후 접촉</t>
        </is>
      </c>
      <c r="AR63" s="17" t="inlineStr">
        <is>
          <t>2026-07-05</t>
        </is>
      </c>
      <c r="AS63" s="17" t="inlineStr">
        <is>
          <t>C(부분확인)</t>
        </is>
      </c>
      <c r="AT63" s="17" t="n">
        <v>90</v>
      </c>
      <c r="AU63" s="17" t="inlineStr"/>
      <c r="AV63" s="17" t="inlineStr"/>
    </row>
    <row r="64">
      <c r="A64" s="18" t="inlineStr">
        <is>
          <t>Tier A</t>
        </is>
      </c>
      <c r="B64" s="17" t="n">
        <v>32</v>
      </c>
      <c r="C64" s="17" t="inlineStr">
        <is>
          <t>이연제약(주)</t>
        </is>
      </c>
      <c r="D64" s="17" t="inlineStr">
        <is>
          <t>진천</t>
        </is>
      </c>
      <c r="E64" s="17" t="inlineStr">
        <is>
          <t>충청북도</t>
        </is>
      </c>
      <c r="F64" s="17" t="inlineStr">
        <is>
          <t>진천군</t>
        </is>
      </c>
      <c r="G64" s="17" t="n">
        <v>2</v>
      </c>
      <c r="H64" s="20" t="inlineStr">
        <is>
          <t>Y</t>
        </is>
      </c>
      <c r="I64" s="17" t="inlineStr"/>
      <c r="J64" s="17" t="inlineStr">
        <is>
          <t>Y</t>
        </is>
      </c>
      <c r="K64" s="17" t="inlineStr">
        <is>
          <t>Y</t>
        </is>
      </c>
      <c r="L64" s="22" t="inlineStr">
        <is>
          <t>미확인</t>
        </is>
      </c>
      <c r="M64" s="22" t="inlineStr">
        <is>
          <t>미확인</t>
        </is>
      </c>
      <c r="N64" s="22" t="inlineStr">
        <is>
          <t>미확인</t>
        </is>
      </c>
      <c r="O64" s="22" t="inlineStr">
        <is>
          <t>미확인</t>
        </is>
      </c>
      <c r="P64" s="17" t="inlineStr">
        <is>
          <t>통합형</t>
        </is>
      </c>
      <c r="Q64" s="22" t="inlineStr">
        <is>
          <t>미확인</t>
        </is>
      </c>
      <c r="R64" s="22" t="inlineStr">
        <is>
          <t>미확인</t>
        </is>
      </c>
      <c r="S64" s="17" t="inlineStr">
        <is>
          <t>Tier D</t>
        </is>
      </c>
      <c r="T64" s="17" t="n">
        <v>19</v>
      </c>
      <c r="U64" s="17" t="inlineStr">
        <is>
          <t>C001</t>
        </is>
      </c>
      <c r="V64" s="17" t="inlineStr">
        <is>
          <t>이연제약</t>
        </is>
      </c>
      <c r="W64" s="17" t="inlineStr">
        <is>
          <t>Y</t>
        </is>
      </c>
      <c r="X64" s="17" t="inlineStr">
        <is>
          <t>유가</t>
        </is>
      </c>
      <c r="Y64" s="23" t="inlineStr">
        <is>
          <t>102460</t>
        </is>
      </c>
      <c r="Z64" s="17" t="inlineStr">
        <is>
          <t>정순옥, 유용환 (각자 대표이사)</t>
        </is>
      </c>
      <c r="AA64" s="17" t="inlineStr">
        <is>
          <t>http://reyonpharm.co.kr</t>
        </is>
      </c>
      <c r="AB64" s="17" t="inlineStr">
        <is>
          <t>043-840-6300</t>
        </is>
      </c>
      <c r="AC64" s="17" t="inlineStr">
        <is>
          <t>미확인</t>
        </is>
      </c>
      <c r="AD64" s="17" t="inlineStr">
        <is>
          <t>Y</t>
        </is>
      </c>
      <c r="AE64" s="17" t="inlineStr">
        <is>
          <t>P147</t>
        </is>
      </c>
      <c r="AF64" s="17" t="inlineStr">
        <is>
          <t>충청북도 진천군 덕산읍 한삼로 69-10</t>
        </is>
      </c>
      <c r="AG64" s="17" t="inlineStr">
        <is>
          <t>완제의약품+원료의약품</t>
        </is>
      </c>
      <c r="AH64" s="17" t="inlineStr">
        <is>
          <t>비무균-일반제제-합성, 비무균-일반제제-발효</t>
        </is>
      </c>
      <c r="AI64" s="17" t="n">
        <v>2</v>
      </c>
      <c r="AJ64" s="24" t="n">
        <v>46990</v>
      </c>
      <c r="AK64" s="17" t="inlineStr"/>
      <c r="AL64" s="17" t="inlineStr"/>
      <c r="AM64" s="17" t="inlineStr">
        <is>
          <t>다중 제조소/다수 판정서로 문서관리 복잡; 무균/바이오 제조로 품질관리 난도 높음</t>
        </is>
      </c>
      <c r="AN64" s="17" t="inlineStr">
        <is>
          <t>미확인</t>
        </is>
      </c>
      <c r="AO64" s="17" t="inlineStr">
        <is>
          <t>미확인</t>
        </is>
      </c>
      <c r="AP64" s="17" t="inlineStr">
        <is>
          <t>미확인</t>
        </is>
      </c>
      <c r="AQ64" s="17" t="inlineStr">
        <is>
          <t>담당자 파악 후 접촉</t>
        </is>
      </c>
      <c r="AR64" s="17" t="inlineStr">
        <is>
          <t>2026-07-05</t>
        </is>
      </c>
      <c r="AS64" s="17" t="inlineStr">
        <is>
          <t>C(부분확인)</t>
        </is>
      </c>
      <c r="AT64" s="17" t="n">
        <v>90</v>
      </c>
      <c r="AU64" s="17" t="inlineStr"/>
      <c r="AV64" s="17" t="inlineStr"/>
    </row>
    <row r="65">
      <c r="A65" s="18" t="inlineStr">
        <is>
          <t>Tier A</t>
        </is>
      </c>
      <c r="B65" s="17" t="n">
        <v>32</v>
      </c>
      <c r="C65" s="17" t="inlineStr">
        <is>
          <t>하나제약(주)</t>
        </is>
      </c>
      <c r="D65" s="17" t="inlineStr">
        <is>
          <t>화성하길공장</t>
        </is>
      </c>
      <c r="E65" s="17" t="inlineStr">
        <is>
          <t>경기도</t>
        </is>
      </c>
      <c r="F65" s="17" t="inlineStr">
        <is>
          <t>화성시</t>
        </is>
      </c>
      <c r="G65" s="17" t="n">
        <v>2</v>
      </c>
      <c r="H65" s="20" t="inlineStr">
        <is>
          <t>Y</t>
        </is>
      </c>
      <c r="I65" s="17" t="inlineStr"/>
      <c r="J65" s="17" t="inlineStr">
        <is>
          <t>Y</t>
        </is>
      </c>
      <c r="K65" s="17" t="inlineStr">
        <is>
          <t>Y</t>
        </is>
      </c>
      <c r="L65" s="22" t="inlineStr">
        <is>
          <t>미확인</t>
        </is>
      </c>
      <c r="M65" s="22" t="inlineStr">
        <is>
          <t>미확인</t>
        </is>
      </c>
      <c r="N65" s="22" t="inlineStr">
        <is>
          <t>미확인</t>
        </is>
      </c>
      <c r="O65" s="22" t="inlineStr">
        <is>
          <t>미확인</t>
        </is>
      </c>
      <c r="P65" s="17" t="inlineStr">
        <is>
          <t>통합형</t>
        </is>
      </c>
      <c r="Q65" s="22" t="inlineStr">
        <is>
          <t>미확인</t>
        </is>
      </c>
      <c r="R65" s="22" t="inlineStr">
        <is>
          <t>미확인</t>
        </is>
      </c>
      <c r="S65" s="17" t="inlineStr">
        <is>
          <t>Tier D</t>
        </is>
      </c>
      <c r="T65" s="17" t="n">
        <v>19</v>
      </c>
      <c r="U65" s="17" t="inlineStr">
        <is>
          <t>C126</t>
        </is>
      </c>
      <c r="V65" s="17" t="inlineStr">
        <is>
          <t>하나제약</t>
        </is>
      </c>
      <c r="W65" s="17" t="inlineStr">
        <is>
          <t>Y</t>
        </is>
      </c>
      <c r="X65" s="17" t="inlineStr">
        <is>
          <t>유가</t>
        </is>
      </c>
      <c r="Y65" s="23" t="inlineStr">
        <is>
          <t>293480</t>
        </is>
      </c>
      <c r="Z65" s="17" t="inlineStr">
        <is>
          <t>최태홍</t>
        </is>
      </c>
      <c r="AA65" s="17" t="inlineStr">
        <is>
          <t>http://www.hanaph.co.kr</t>
        </is>
      </c>
      <c r="AB65" s="17" t="inlineStr">
        <is>
          <t>031-366-5511</t>
        </is>
      </c>
      <c r="AC65" s="17" t="inlineStr">
        <is>
          <t>미확인</t>
        </is>
      </c>
      <c r="AD65" s="17" t="inlineStr">
        <is>
          <t>Y</t>
        </is>
      </c>
      <c r="AE65" s="17" t="inlineStr">
        <is>
          <t>P132</t>
        </is>
      </c>
      <c r="AF65" s="17" t="inlineStr">
        <is>
          <t>경기도 화성시 만세구 향남읍 제약단지로 13-39</t>
        </is>
      </c>
      <c r="AG65" s="17" t="inlineStr">
        <is>
          <t>완제의약품</t>
        </is>
      </c>
      <c r="AH65" s="17" t="inlineStr">
        <is>
          <t>비무균-일반제제-내용고형제(정제, 캡슐제), 무균-일반제제-주사제(주사제, 동결건조주사제)</t>
        </is>
      </c>
      <c r="AI65" s="17" t="n">
        <v>1</v>
      </c>
      <c r="AJ65" s="24" t="n">
        <v>47024</v>
      </c>
      <c r="AK65" s="17" t="inlineStr"/>
      <c r="AL65" s="17" t="inlineStr"/>
      <c r="AM65" s="17" t="inlineStr">
        <is>
          <t>다중 제조소/다수 판정서로 문서관리 복잡; 무균/바이오 제조로 품질관리 난도 높음</t>
        </is>
      </c>
      <c r="AN65" s="17" t="inlineStr">
        <is>
          <t>미확인</t>
        </is>
      </c>
      <c r="AO65" s="17" t="inlineStr">
        <is>
          <t>미확인</t>
        </is>
      </c>
      <c r="AP65" s="17" t="inlineStr">
        <is>
          <t>미확인</t>
        </is>
      </c>
      <c r="AQ65" s="17" t="inlineStr">
        <is>
          <t>담당자 파악 후 접촉</t>
        </is>
      </c>
      <c r="AR65" s="17" t="inlineStr">
        <is>
          <t>2026-07-05</t>
        </is>
      </c>
      <c r="AS65" s="17" t="inlineStr">
        <is>
          <t>C(부분확인)</t>
        </is>
      </c>
      <c r="AT65" s="17" t="n">
        <v>90</v>
      </c>
      <c r="AU65" s="17" t="inlineStr"/>
      <c r="AV65" s="17" t="inlineStr"/>
    </row>
    <row r="66">
      <c r="A66" s="18" t="inlineStr">
        <is>
          <t>Tier A</t>
        </is>
      </c>
      <c r="B66" s="17" t="n">
        <v>32</v>
      </c>
      <c r="C66" s="17" t="inlineStr">
        <is>
          <t>하나제약(주)</t>
        </is>
      </c>
      <c r="D66" s="17" t="inlineStr">
        <is>
          <t>화성하길공장</t>
        </is>
      </c>
      <c r="E66" s="17" t="inlineStr">
        <is>
          <t>경기도</t>
        </is>
      </c>
      <c r="F66" s="17" t="inlineStr">
        <is>
          <t>화성시</t>
        </is>
      </c>
      <c r="G66" s="17" t="n">
        <v>2</v>
      </c>
      <c r="H66" s="17" t="inlineStr"/>
      <c r="I66" s="17" t="inlineStr"/>
      <c r="J66" s="17" t="inlineStr">
        <is>
          <t>Y</t>
        </is>
      </c>
      <c r="K66" s="17" t="inlineStr">
        <is>
          <t>Y</t>
        </is>
      </c>
      <c r="L66" s="22" t="inlineStr">
        <is>
          <t>미확인</t>
        </is>
      </c>
      <c r="M66" s="22" t="inlineStr">
        <is>
          <t>미확인</t>
        </is>
      </c>
      <c r="N66" s="22" t="inlineStr">
        <is>
          <t>미확인</t>
        </is>
      </c>
      <c r="O66" s="22" t="inlineStr">
        <is>
          <t>미확인</t>
        </is>
      </c>
      <c r="P66" s="17" t="inlineStr">
        <is>
          <t>통합형</t>
        </is>
      </c>
      <c r="Q66" s="22" t="inlineStr">
        <is>
          <t>미확인</t>
        </is>
      </c>
      <c r="R66" s="22" t="inlineStr">
        <is>
          <t>미확인</t>
        </is>
      </c>
      <c r="S66" s="17" t="inlineStr">
        <is>
          <t>Tier D</t>
        </is>
      </c>
      <c r="T66" s="17" t="n">
        <v>19</v>
      </c>
      <c r="U66" s="17" t="inlineStr">
        <is>
          <t>C126</t>
        </is>
      </c>
      <c r="V66" s="17" t="inlineStr">
        <is>
          <t>하나제약</t>
        </is>
      </c>
      <c r="W66" s="17" t="inlineStr">
        <is>
          <t>Y</t>
        </is>
      </c>
      <c r="X66" s="17" t="inlineStr">
        <is>
          <t>유가</t>
        </is>
      </c>
      <c r="Y66" s="23" t="inlineStr">
        <is>
          <t>293480</t>
        </is>
      </c>
      <c r="Z66" s="17" t="inlineStr">
        <is>
          <t>최태홍</t>
        </is>
      </c>
      <c r="AA66" s="17" t="inlineStr">
        <is>
          <t>http://www.hanaph.co.kr</t>
        </is>
      </c>
      <c r="AB66" s="17" t="inlineStr">
        <is>
          <t>031-366-5511</t>
        </is>
      </c>
      <c r="AC66" s="17" t="inlineStr">
        <is>
          <t>미확인</t>
        </is>
      </c>
      <c r="AD66" s="17" t="inlineStr">
        <is>
          <t>Y</t>
        </is>
      </c>
      <c r="AE66" s="17" t="inlineStr">
        <is>
          <t>P265</t>
        </is>
      </c>
      <c r="AF66" s="17" t="inlineStr">
        <is>
          <t>경기도 화성시 만세구 향남읍 제약공단3길 133</t>
        </is>
      </c>
      <c r="AG66" s="17" t="inlineStr">
        <is>
          <t>완제의약품+원료의약품</t>
        </is>
      </c>
      <c r="AH66" s="17" t="inlineStr">
        <is>
          <t>비무균-일반제제-내용액제(흡입액제)</t>
        </is>
      </c>
      <c r="AI66" s="17" t="n">
        <v>2</v>
      </c>
      <c r="AJ66" s="24" t="n">
        <v>46842</v>
      </c>
      <c r="AK66" s="17" t="inlineStr"/>
      <c r="AL66" s="17" t="inlineStr"/>
      <c r="AM66" s="17" t="inlineStr">
        <is>
          <t>다중 제조소/다수 판정서로 문서관리 복잡; 무균/바이오 제조로 품질관리 난도 높음</t>
        </is>
      </c>
      <c r="AN66" s="17" t="inlineStr">
        <is>
          <t>미확인</t>
        </is>
      </c>
      <c r="AO66" s="17" t="inlineStr">
        <is>
          <t>미확인</t>
        </is>
      </c>
      <c r="AP66" s="17" t="inlineStr">
        <is>
          <t>미확인</t>
        </is>
      </c>
      <c r="AQ66" s="17" t="inlineStr">
        <is>
          <t>담당자 파악 후 접촉</t>
        </is>
      </c>
      <c r="AR66" s="17" t="inlineStr">
        <is>
          <t>2026-07-05</t>
        </is>
      </c>
      <c r="AS66" s="17" t="inlineStr">
        <is>
          <t>C(부분확인)</t>
        </is>
      </c>
      <c r="AT66" s="17" t="n">
        <v>90</v>
      </c>
      <c r="AU66" s="17" t="inlineStr"/>
      <c r="AV66" s="17" t="inlineStr"/>
    </row>
    <row r="67">
      <c r="A67" s="18" t="inlineStr">
        <is>
          <t>Tier A</t>
        </is>
      </c>
      <c r="B67" s="17" t="n">
        <v>32</v>
      </c>
      <c r="C67" s="17" t="inlineStr">
        <is>
          <t>한미약품(주)</t>
        </is>
      </c>
      <c r="D67" s="17" t="inlineStr">
        <is>
          <t>화성</t>
        </is>
      </c>
      <c r="E67" s="17" t="inlineStr">
        <is>
          <t>경기도</t>
        </is>
      </c>
      <c r="F67" s="17" t="inlineStr">
        <is>
          <t>화성시</t>
        </is>
      </c>
      <c r="G67" s="17" t="n">
        <v>2</v>
      </c>
      <c r="H67" s="17" t="inlineStr"/>
      <c r="I67" s="17" t="inlineStr"/>
      <c r="J67" s="17" t="inlineStr">
        <is>
          <t>Y</t>
        </is>
      </c>
      <c r="K67" s="17" t="inlineStr">
        <is>
          <t>Y</t>
        </is>
      </c>
      <c r="L67" s="22" t="inlineStr">
        <is>
          <t>미확인</t>
        </is>
      </c>
      <c r="M67" s="22" t="inlineStr">
        <is>
          <t>미확인</t>
        </is>
      </c>
      <c r="N67" s="22" t="inlineStr">
        <is>
          <t>미확인</t>
        </is>
      </c>
      <c r="O67" s="22" t="inlineStr">
        <is>
          <t>미확인</t>
        </is>
      </c>
      <c r="P67" s="17" t="inlineStr">
        <is>
          <t>통합형</t>
        </is>
      </c>
      <c r="Q67" s="22" t="inlineStr">
        <is>
          <t>미확인</t>
        </is>
      </c>
      <c r="R67" s="22" t="inlineStr">
        <is>
          <t>미확인</t>
        </is>
      </c>
      <c r="S67" s="17" t="inlineStr">
        <is>
          <t>Tier D</t>
        </is>
      </c>
      <c r="T67" s="17" t="n">
        <v>16</v>
      </c>
      <c r="U67" s="17" t="inlineStr">
        <is>
          <t>C161</t>
        </is>
      </c>
      <c r="V67" s="17" t="inlineStr">
        <is>
          <t>한미약품</t>
        </is>
      </c>
      <c r="W67" s="17" t="inlineStr">
        <is>
          <t>Y</t>
        </is>
      </c>
      <c r="X67" s="17" t="inlineStr">
        <is>
          <t>유가</t>
        </is>
      </c>
      <c r="Y67" s="23" t="inlineStr">
        <is>
          <t>128940</t>
        </is>
      </c>
      <c r="Z67" s="17" t="inlineStr">
        <is>
          <t>황상연</t>
        </is>
      </c>
      <c r="AA67" s="17" t="inlineStr"/>
      <c r="AB67" s="17" t="inlineStr">
        <is>
          <t>02-410-9114</t>
        </is>
      </c>
      <c r="AC67" s="17" t="inlineStr">
        <is>
          <t>미확인</t>
        </is>
      </c>
      <c r="AD67" s="17" t="inlineStr">
        <is>
          <t>Y</t>
        </is>
      </c>
      <c r="AE67" s="17" t="inlineStr">
        <is>
          <t>P173</t>
        </is>
      </c>
      <c r="AF67" s="17" t="inlineStr">
        <is>
          <t>경기도 화성시 만세구 팔탄면 무하로 214</t>
        </is>
      </c>
      <c r="AG67" s="17" t="inlineStr">
        <is>
          <t>완제의약품</t>
        </is>
      </c>
      <c r="AH67" s="17" t="inlineStr">
        <is>
          <t>비무균-일반제제-내용고형제(정제, 캡슐제, 산제, 흡입제(고형), 구강붕해정, 츄어블정(저작정)), 무균-일반제제-점안제(점안제)</t>
        </is>
      </c>
      <c r="AI67" s="17" t="n">
        <v>1</v>
      </c>
      <c r="AJ67" s="24" t="n">
        <v>46948</v>
      </c>
      <c r="AK67" s="17" t="inlineStr"/>
      <c r="AL67" s="17" t="inlineStr"/>
      <c r="AM67" s="17" t="inlineStr">
        <is>
          <t>다중 제조소/다수 판정서로 문서관리 복잡; 무균/바이오 제조로 품질관리 난도 높음</t>
        </is>
      </c>
      <c r="AN67" s="17" t="inlineStr">
        <is>
          <t>미확인</t>
        </is>
      </c>
      <c r="AO67" s="17" t="inlineStr">
        <is>
          <t>미확인</t>
        </is>
      </c>
      <c r="AP67" s="17" t="inlineStr">
        <is>
          <t>미확인</t>
        </is>
      </c>
      <c r="AQ67" s="17" t="inlineStr">
        <is>
          <t>담당자 파악 후 접촉</t>
        </is>
      </c>
      <c r="AR67" s="17" t="inlineStr">
        <is>
          <t>2026-07-05</t>
        </is>
      </c>
      <c r="AS67" s="17" t="inlineStr">
        <is>
          <t>C(부분확인)</t>
        </is>
      </c>
      <c r="AT67" s="17" t="n">
        <v>90</v>
      </c>
      <c r="AU67" s="17" t="inlineStr"/>
      <c r="AV67" s="17" t="inlineStr"/>
    </row>
    <row r="68">
      <c r="A68" s="18" t="inlineStr">
        <is>
          <t>Tier A</t>
        </is>
      </c>
      <c r="B68" s="17" t="n">
        <v>32</v>
      </c>
      <c r="C68" s="17" t="inlineStr">
        <is>
          <t>한미약품(주)</t>
        </is>
      </c>
      <c r="D68" s="17" t="inlineStr">
        <is>
          <t>평택</t>
        </is>
      </c>
      <c r="E68" s="17" t="inlineStr">
        <is>
          <t>경기도</t>
        </is>
      </c>
      <c r="F68" s="17" t="inlineStr">
        <is>
          <t>평택시</t>
        </is>
      </c>
      <c r="G68" s="17" t="n">
        <v>2</v>
      </c>
      <c r="H68" s="20" t="inlineStr">
        <is>
          <t>Y</t>
        </is>
      </c>
      <c r="I68" s="17" t="inlineStr"/>
      <c r="J68" s="17" t="inlineStr">
        <is>
          <t>Y</t>
        </is>
      </c>
      <c r="K68" s="17" t="inlineStr">
        <is>
          <t>Y</t>
        </is>
      </c>
      <c r="L68" s="22" t="inlineStr">
        <is>
          <t>미확인</t>
        </is>
      </c>
      <c r="M68" s="22" t="inlineStr">
        <is>
          <t>미확인</t>
        </is>
      </c>
      <c r="N68" s="22" t="inlineStr">
        <is>
          <t>미확인</t>
        </is>
      </c>
      <c r="O68" s="22" t="inlineStr">
        <is>
          <t>미확인</t>
        </is>
      </c>
      <c r="P68" s="17" t="inlineStr">
        <is>
          <t>통합형</t>
        </is>
      </c>
      <c r="Q68" s="22" t="inlineStr">
        <is>
          <t>미확인</t>
        </is>
      </c>
      <c r="R68" s="22" t="inlineStr">
        <is>
          <t>미확인</t>
        </is>
      </c>
      <c r="S68" s="17" t="inlineStr">
        <is>
          <t>Tier D</t>
        </is>
      </c>
      <c r="T68" s="17" t="n">
        <v>16</v>
      </c>
      <c r="U68" s="17" t="inlineStr">
        <is>
          <t>C161</t>
        </is>
      </c>
      <c r="V68" s="17" t="inlineStr">
        <is>
          <t>한미약품</t>
        </is>
      </c>
      <c r="W68" s="17" t="inlineStr">
        <is>
          <t>Y</t>
        </is>
      </c>
      <c r="X68" s="17" t="inlineStr">
        <is>
          <t>유가</t>
        </is>
      </c>
      <c r="Y68" s="23" t="inlineStr">
        <is>
          <t>128940</t>
        </is>
      </c>
      <c r="Z68" s="17" t="inlineStr">
        <is>
          <t>황상연</t>
        </is>
      </c>
      <c r="AA68" s="17" t="inlineStr"/>
      <c r="AB68" s="17" t="inlineStr">
        <is>
          <t>02-410-9114</t>
        </is>
      </c>
      <c r="AC68" s="17" t="inlineStr">
        <is>
          <t>미확인</t>
        </is>
      </c>
      <c r="AD68" s="17" t="inlineStr">
        <is>
          <t>Y</t>
        </is>
      </c>
      <c r="AE68" s="17" t="inlineStr">
        <is>
          <t>P221</t>
        </is>
      </c>
      <c r="AF68" s="17" t="inlineStr">
        <is>
          <t>경기도 평택시 팽성읍 추팔산단로 114</t>
        </is>
      </c>
      <c r="AG68" s="17" t="inlineStr">
        <is>
          <t>완제의약품+원료의약품</t>
        </is>
      </c>
      <c r="AH68" s="17" t="inlineStr">
        <is>
          <t>비무균-일반제제-내용고형제(정제, 츄어블정(저작정)), 무균-일반제제-주사제(주사제), 생물-유전자재조합의약품-주사제(주사제)</t>
        </is>
      </c>
      <c r="AI68" s="17" t="n">
        <v>2</v>
      </c>
      <c r="AJ68" s="24" t="n">
        <v>46885</v>
      </c>
      <c r="AK68" s="17" t="inlineStr"/>
      <c r="AL68" s="17" t="inlineStr"/>
      <c r="AM68" s="17" t="inlineStr">
        <is>
          <t>다중 제조소/다수 판정서로 문서관리 복잡; 무균/바이오 제조로 품질관리 난도 높음</t>
        </is>
      </c>
      <c r="AN68" s="17" t="inlineStr">
        <is>
          <t>미확인</t>
        </is>
      </c>
      <c r="AO68" s="17" t="inlineStr">
        <is>
          <t>미확인</t>
        </is>
      </c>
      <c r="AP68" s="17" t="inlineStr">
        <is>
          <t>미확인</t>
        </is>
      </c>
      <c r="AQ68" s="17" t="inlineStr">
        <is>
          <t>담당자 파악 후 접촉</t>
        </is>
      </c>
      <c r="AR68" s="17" t="inlineStr">
        <is>
          <t>2026-07-05</t>
        </is>
      </c>
      <c r="AS68" s="17" t="inlineStr">
        <is>
          <t>C(부분확인)</t>
        </is>
      </c>
      <c r="AT68" s="17" t="n">
        <v>90</v>
      </c>
      <c r="AU68" s="17" t="inlineStr"/>
      <c r="AV68" s="17" t="inlineStr"/>
    </row>
    <row r="69">
      <c r="A69" s="18" t="inlineStr">
        <is>
          <t>Tier A</t>
        </is>
      </c>
      <c r="B69" s="17" t="n">
        <v>32</v>
      </c>
      <c r="C69" s="17" t="inlineStr">
        <is>
          <t>(주)삼양바이오팜</t>
        </is>
      </c>
      <c r="D69" s="17" t="inlineStr">
        <is>
          <t>신일</t>
        </is>
      </c>
      <c r="E69" s="17" t="inlineStr">
        <is>
          <t>대전광역시</t>
        </is>
      </c>
      <c r="F69" s="17" t="inlineStr">
        <is>
          <t>대덕구</t>
        </is>
      </c>
      <c r="G69" s="17" t="n">
        <v>1</v>
      </c>
      <c r="H69" s="20" t="inlineStr">
        <is>
          <t>Y</t>
        </is>
      </c>
      <c r="I69" s="17" t="inlineStr"/>
      <c r="J69" s="17" t="inlineStr">
        <is>
          <t>Y</t>
        </is>
      </c>
      <c r="K69" s="17" t="inlineStr">
        <is>
          <t>Y</t>
        </is>
      </c>
      <c r="L69" s="22" t="inlineStr">
        <is>
          <t>미확인</t>
        </is>
      </c>
      <c r="M69" s="22" t="inlineStr">
        <is>
          <t>미확인</t>
        </is>
      </c>
      <c r="N69" s="22" t="inlineStr">
        <is>
          <t>미확인</t>
        </is>
      </c>
      <c r="O69" s="22" t="inlineStr">
        <is>
          <t>미확인</t>
        </is>
      </c>
      <c r="P69" s="17" t="inlineStr">
        <is>
          <t>QMS+LIMS</t>
        </is>
      </c>
      <c r="Q69" s="22" t="inlineStr">
        <is>
          <t>미확인</t>
        </is>
      </c>
      <c r="R69" s="22" t="inlineStr">
        <is>
          <t>미확인</t>
        </is>
      </c>
      <c r="S69" s="17" t="inlineStr">
        <is>
          <t>Tier D</t>
        </is>
      </c>
      <c r="T69" s="17" t="n">
        <v>20</v>
      </c>
      <c r="U69" s="17" t="inlineStr">
        <is>
          <t>C383</t>
        </is>
      </c>
      <c r="V69" s="17" t="inlineStr">
        <is>
          <t>삼양바이오팜</t>
        </is>
      </c>
      <c r="W69" s="17" t="inlineStr">
        <is>
          <t>Y</t>
        </is>
      </c>
      <c r="X69" s="17" t="inlineStr">
        <is>
          <t>유가</t>
        </is>
      </c>
      <c r="Y69" s="23" t="inlineStr">
        <is>
          <t>0120G0</t>
        </is>
      </c>
      <c r="Z69" s="17" t="inlineStr">
        <is>
          <t>김경진</t>
        </is>
      </c>
      <c r="AA69" s="17" t="inlineStr">
        <is>
          <t>http://www.samyangbiopharm.com</t>
        </is>
      </c>
      <c r="AB69" s="17" t="inlineStr">
        <is>
          <t>042-930-3127</t>
        </is>
      </c>
      <c r="AC69" s="17" t="inlineStr">
        <is>
          <t>미확인</t>
        </is>
      </c>
      <c r="AD69" s="17" t="inlineStr">
        <is>
          <t>Y</t>
        </is>
      </c>
      <c r="AE69" s="17" t="inlineStr">
        <is>
          <t>P467</t>
        </is>
      </c>
      <c r="AF69" s="17" t="inlineStr">
        <is>
          <t>대전광역시 대덕구 신일동로 79</t>
        </is>
      </c>
      <c r="AG69" s="17" t="inlineStr">
        <is>
          <t>완제의약품+원료의약품</t>
        </is>
      </c>
      <c r="AH69" s="17" t="inlineStr">
        <is>
          <t>무균-세포독성항암제제-주사제(주사제)</t>
        </is>
      </c>
      <c r="AI69" s="17" t="n">
        <v>2</v>
      </c>
      <c r="AJ69" s="24" t="n">
        <v>46334</v>
      </c>
      <c r="AK69" s="25" t="inlineStr">
        <is>
          <t>Y</t>
        </is>
      </c>
      <c r="AL69" s="17" t="inlineStr">
        <is>
          <t>Y</t>
        </is>
      </c>
      <c r="AM69" s="17" t="inlineStr">
        <is>
          <t>무균/바이오 제조로 품질관리 난도 높음; 원료 제조로 시험실 관리 필요</t>
        </is>
      </c>
      <c r="AN69" s="17" t="inlineStr">
        <is>
          <t>미확인</t>
        </is>
      </c>
      <c r="AO69" s="17" t="inlineStr">
        <is>
          <t>미확인</t>
        </is>
      </c>
      <c r="AP69" s="17" t="inlineStr">
        <is>
          <t>미확인</t>
        </is>
      </c>
      <c r="AQ69" s="17" t="inlineStr">
        <is>
          <t>담당자 파악 후 접촉</t>
        </is>
      </c>
      <c r="AR69" s="17" t="inlineStr">
        <is>
          <t>2026-07-05</t>
        </is>
      </c>
      <c r="AS69" s="17" t="inlineStr">
        <is>
          <t>C(부분확인)</t>
        </is>
      </c>
      <c r="AT69" s="17" t="n">
        <v>90</v>
      </c>
      <c r="AU69" s="17" t="inlineStr"/>
      <c r="AV69" s="17" t="inlineStr"/>
    </row>
    <row r="70">
      <c r="A70" s="18" t="inlineStr">
        <is>
          <t>Tier A</t>
        </is>
      </c>
      <c r="B70" s="17" t="n">
        <v>32</v>
      </c>
      <c r="C70" s="17" t="inlineStr">
        <is>
          <t>동국생명과학(주)</t>
        </is>
      </c>
      <c r="D70" s="17" t="inlineStr">
        <is>
          <t>안성</t>
        </is>
      </c>
      <c r="E70" s="17" t="inlineStr">
        <is>
          <t>경기도</t>
        </is>
      </c>
      <c r="F70" s="17" t="inlineStr">
        <is>
          <t>안성시</t>
        </is>
      </c>
      <c r="G70" s="17" t="n">
        <v>1</v>
      </c>
      <c r="H70" s="20" t="inlineStr">
        <is>
          <t>Y</t>
        </is>
      </c>
      <c r="I70" s="17" t="inlineStr"/>
      <c r="J70" s="17" t="inlineStr">
        <is>
          <t>Y</t>
        </is>
      </c>
      <c r="K70" s="17" t="inlineStr">
        <is>
          <t>Y</t>
        </is>
      </c>
      <c r="L70" s="22" t="inlineStr">
        <is>
          <t>미확인</t>
        </is>
      </c>
      <c r="M70" s="22" t="inlineStr">
        <is>
          <t>미확인</t>
        </is>
      </c>
      <c r="N70" s="22" t="inlineStr">
        <is>
          <t>미확인</t>
        </is>
      </c>
      <c r="O70" s="22" t="inlineStr">
        <is>
          <t>미확인</t>
        </is>
      </c>
      <c r="P70" s="17" t="inlineStr">
        <is>
          <t>QMS+LIMS</t>
        </is>
      </c>
      <c r="Q70" s="22" t="inlineStr">
        <is>
          <t>미확인</t>
        </is>
      </c>
      <c r="R70" s="22" t="inlineStr">
        <is>
          <t>미확인</t>
        </is>
      </c>
      <c r="S70" s="17" t="inlineStr">
        <is>
          <t>Tier D</t>
        </is>
      </c>
      <c r="T70" s="17" t="n">
        <v>17</v>
      </c>
      <c r="U70" s="17" t="inlineStr">
        <is>
          <t>C062</t>
        </is>
      </c>
      <c r="V70" s="17" t="inlineStr">
        <is>
          <t>동국생명과학</t>
        </is>
      </c>
      <c r="W70" s="17" t="inlineStr">
        <is>
          <t>Y</t>
        </is>
      </c>
      <c r="X70" s="17" t="inlineStr">
        <is>
          <t>코스닥</t>
        </is>
      </c>
      <c r="Y70" s="23" t="inlineStr">
        <is>
          <t>303810</t>
        </is>
      </c>
      <c r="Z70" s="17" t="inlineStr">
        <is>
          <t>박재원</t>
        </is>
      </c>
      <c r="AA70" s="17" t="inlineStr">
        <is>
          <t>http://dkls.co.kr</t>
        </is>
      </c>
      <c r="AB70" s="17" t="inlineStr">
        <is>
          <t>미확인</t>
        </is>
      </c>
      <c r="AC70" s="17" t="inlineStr">
        <is>
          <t>미확인</t>
        </is>
      </c>
      <c r="AD70" s="17" t="inlineStr">
        <is>
          <t>Y</t>
        </is>
      </c>
      <c r="AE70" s="17" t="inlineStr">
        <is>
          <t>P064</t>
        </is>
      </c>
      <c r="AF70" s="17" t="inlineStr">
        <is>
          <t>경기도 안성시 미양면 제2공단1길 92</t>
        </is>
      </c>
      <c r="AG70" s="17" t="inlineStr">
        <is>
          <t>완제의약품+원료의약품</t>
        </is>
      </c>
      <c r="AH70" s="17" t="inlineStr">
        <is>
          <t>비무균-일반제제-합성</t>
        </is>
      </c>
      <c r="AI70" s="17" t="n">
        <v>2</v>
      </c>
      <c r="AJ70" s="24" t="n">
        <v>46272</v>
      </c>
      <c r="AK70" s="25" t="inlineStr">
        <is>
          <t>Y</t>
        </is>
      </c>
      <c r="AL70" s="17" t="inlineStr">
        <is>
          <t>Y</t>
        </is>
      </c>
      <c r="AM70" s="17" t="inlineStr">
        <is>
          <t>무균/바이오 제조로 품질관리 난도 높음; 원료 제조로 시험실 관리 필요</t>
        </is>
      </c>
      <c r="AN70" s="17" t="inlineStr">
        <is>
          <t>미확인</t>
        </is>
      </c>
      <c r="AO70" s="17" t="inlineStr">
        <is>
          <t>미확인</t>
        </is>
      </c>
      <c r="AP70" s="17" t="inlineStr">
        <is>
          <t>미확인</t>
        </is>
      </c>
      <c r="AQ70" s="17" t="inlineStr">
        <is>
          <t>담당자 파악 후 접촉</t>
        </is>
      </c>
      <c r="AR70" s="17" t="inlineStr">
        <is>
          <t>2026-07-05</t>
        </is>
      </c>
      <c r="AS70" s="17" t="inlineStr">
        <is>
          <t>C(부분확인)</t>
        </is>
      </c>
      <c r="AT70" s="17" t="n">
        <v>90</v>
      </c>
      <c r="AU70" s="17" t="inlineStr"/>
      <c r="AV70" s="17" t="inlineStr"/>
    </row>
    <row r="71">
      <c r="A71" s="18" t="inlineStr">
        <is>
          <t>Tier A</t>
        </is>
      </c>
      <c r="B71" s="17" t="n">
        <v>31</v>
      </c>
      <c r="C71" s="17" t="inlineStr">
        <is>
          <t>(주)하이텍팜</t>
        </is>
      </c>
      <c r="D71" s="17" t="inlineStr">
        <is>
          <t>음성</t>
        </is>
      </c>
      <c r="E71" s="17" t="inlineStr">
        <is>
          <t>충청북도</t>
        </is>
      </c>
      <c r="F71" s="17" t="inlineStr">
        <is>
          <t>음성군</t>
        </is>
      </c>
      <c r="G71" s="17" t="n">
        <v>2</v>
      </c>
      <c r="H71" s="17" t="inlineStr"/>
      <c r="I71" s="17" t="inlineStr"/>
      <c r="J71" s="17" t="inlineStr"/>
      <c r="K71" s="17" t="inlineStr">
        <is>
          <t>Y</t>
        </is>
      </c>
      <c r="L71" s="22" t="inlineStr">
        <is>
          <t>미확인</t>
        </is>
      </c>
      <c r="M71" s="22" t="inlineStr">
        <is>
          <t>미확인</t>
        </is>
      </c>
      <c r="N71" s="22" t="inlineStr">
        <is>
          <t>미확인</t>
        </is>
      </c>
      <c r="O71" s="22" t="inlineStr">
        <is>
          <t>미확인</t>
        </is>
      </c>
      <c r="P71" s="17" t="inlineStr">
        <is>
          <t>통합형</t>
        </is>
      </c>
      <c r="Q71" s="22" t="inlineStr">
        <is>
          <t>미확인</t>
        </is>
      </c>
      <c r="R71" s="22" t="inlineStr">
        <is>
          <t>미확인</t>
        </is>
      </c>
      <c r="S71" s="17" t="inlineStr">
        <is>
          <t>Tier D</t>
        </is>
      </c>
      <c r="T71" s="17" t="n">
        <v>19</v>
      </c>
      <c r="U71" s="17" t="inlineStr">
        <is>
          <t>C190</t>
        </is>
      </c>
      <c r="V71" s="17" t="inlineStr">
        <is>
          <t>하이텍팜</t>
        </is>
      </c>
      <c r="W71" s="17" t="inlineStr">
        <is>
          <t>Y</t>
        </is>
      </c>
      <c r="X71" s="17" t="inlineStr">
        <is>
          <t>코스닥</t>
        </is>
      </c>
      <c r="Y71" s="23" t="inlineStr">
        <is>
          <t>106190</t>
        </is>
      </c>
      <c r="Z71" s="17" t="inlineStr">
        <is>
          <t>차현준</t>
        </is>
      </c>
      <c r="AA71" s="17" t="inlineStr">
        <is>
          <t>http://www.htpharm.com</t>
        </is>
      </c>
      <c r="AB71" s="17" t="inlineStr">
        <is>
          <t>043-883-0012</t>
        </is>
      </c>
      <c r="AC71" s="17" t="inlineStr">
        <is>
          <t>미확인</t>
        </is>
      </c>
      <c r="AD71" s="17" t="inlineStr">
        <is>
          <t>Y</t>
        </is>
      </c>
      <c r="AE71" s="17" t="inlineStr">
        <is>
          <t>P204</t>
        </is>
      </c>
      <c r="AF71" s="17" t="inlineStr">
        <is>
          <t>충청북도 음성군 대소읍 신내로 280</t>
        </is>
      </c>
      <c r="AG71" s="17" t="inlineStr">
        <is>
          <t>원료의약품</t>
        </is>
      </c>
      <c r="AH71" s="17" t="inlineStr">
        <is>
          <t>비무균-카바페넴제제-합성</t>
        </is>
      </c>
      <c r="AI71" s="17" t="n">
        <v>1</v>
      </c>
      <c r="AJ71" s="24" t="n">
        <v>46913</v>
      </c>
      <c r="AK71" s="17" t="inlineStr"/>
      <c r="AL71" s="17" t="inlineStr"/>
      <c r="AM71" s="17" t="inlineStr">
        <is>
          <t>다중 제조소/다수 판정서로 문서관리 복잡; 무균/바이오 제조로 품질관리 난도 높음</t>
        </is>
      </c>
      <c r="AN71" s="17" t="inlineStr">
        <is>
          <t>미확인</t>
        </is>
      </c>
      <c r="AO71" s="17" t="inlineStr">
        <is>
          <t>미확인</t>
        </is>
      </c>
      <c r="AP71" s="17" t="inlineStr">
        <is>
          <t>미확인</t>
        </is>
      </c>
      <c r="AQ71" s="17" t="inlineStr">
        <is>
          <t>담당자 파악 후 접촉</t>
        </is>
      </c>
      <c r="AR71" s="17" t="inlineStr">
        <is>
          <t>2026-07-05</t>
        </is>
      </c>
      <c r="AS71" s="17" t="inlineStr">
        <is>
          <t>C(부분확인)</t>
        </is>
      </c>
      <c r="AT71" s="17" t="n">
        <v>90</v>
      </c>
      <c r="AU71" s="17" t="inlineStr"/>
      <c r="AV71" s="17" t="inlineStr"/>
    </row>
    <row r="72">
      <c r="A72" s="18" t="inlineStr">
        <is>
          <t>Tier A</t>
        </is>
      </c>
      <c r="B72" s="17" t="n">
        <v>31</v>
      </c>
      <c r="C72" s="17" t="inlineStr">
        <is>
          <t>(주)하이텍팜</t>
        </is>
      </c>
      <c r="D72" s="17" t="inlineStr">
        <is>
          <t>충주공장</t>
        </is>
      </c>
      <c r="E72" s="17" t="inlineStr">
        <is>
          <t>충청북도</t>
        </is>
      </c>
      <c r="F72" s="17" t="inlineStr">
        <is>
          <t>충주시</t>
        </is>
      </c>
      <c r="G72" s="17" t="n">
        <v>2</v>
      </c>
      <c r="H72" s="20" t="inlineStr">
        <is>
          <t>Y</t>
        </is>
      </c>
      <c r="I72" s="17" t="inlineStr"/>
      <c r="J72" s="17" t="inlineStr"/>
      <c r="K72" s="17" t="inlineStr">
        <is>
          <t>Y</t>
        </is>
      </c>
      <c r="L72" s="22" t="inlineStr">
        <is>
          <t>미확인</t>
        </is>
      </c>
      <c r="M72" s="22" t="inlineStr">
        <is>
          <t>미확인</t>
        </is>
      </c>
      <c r="N72" s="22" t="inlineStr">
        <is>
          <t>미확인</t>
        </is>
      </c>
      <c r="O72" s="22" t="inlineStr">
        <is>
          <t>미확인</t>
        </is>
      </c>
      <c r="P72" s="17" t="inlineStr">
        <is>
          <t>통합형</t>
        </is>
      </c>
      <c r="Q72" s="22" t="inlineStr">
        <is>
          <t>미확인</t>
        </is>
      </c>
      <c r="R72" s="22" t="inlineStr">
        <is>
          <t>미확인</t>
        </is>
      </c>
      <c r="S72" s="17" t="inlineStr">
        <is>
          <t>Tier D</t>
        </is>
      </c>
      <c r="T72" s="17" t="n">
        <v>19</v>
      </c>
      <c r="U72" s="17" t="inlineStr">
        <is>
          <t>C190</t>
        </is>
      </c>
      <c r="V72" s="17" t="inlineStr">
        <is>
          <t>하이텍팜</t>
        </is>
      </c>
      <c r="W72" s="17" t="inlineStr">
        <is>
          <t>Y</t>
        </is>
      </c>
      <c r="X72" s="17" t="inlineStr">
        <is>
          <t>코스닥</t>
        </is>
      </c>
      <c r="Y72" s="23" t="inlineStr">
        <is>
          <t>106190</t>
        </is>
      </c>
      <c r="Z72" s="17" t="inlineStr">
        <is>
          <t>차현준</t>
        </is>
      </c>
      <c r="AA72" s="17" t="inlineStr">
        <is>
          <t>http://www.htpharm.com</t>
        </is>
      </c>
      <c r="AB72" s="17" t="inlineStr">
        <is>
          <t>043-883-0012</t>
        </is>
      </c>
      <c r="AC72" s="17" t="inlineStr">
        <is>
          <t>미확인</t>
        </is>
      </c>
      <c r="AD72" s="17" t="inlineStr">
        <is>
          <t>Y</t>
        </is>
      </c>
      <c r="AE72" s="17" t="inlineStr">
        <is>
          <t>P338</t>
        </is>
      </c>
      <c r="AF72" s="17" t="inlineStr">
        <is>
          <t>충청북도 충주시 대소원면 첨단산업6로 12 (주)하이텍팜</t>
        </is>
      </c>
      <c r="AG72" s="17" t="inlineStr">
        <is>
          <t>원료의약품</t>
        </is>
      </c>
      <c r="AH72" s="17" t="inlineStr">
        <is>
          <t>무균-카바페넴제제-합성, 비무균-카바페넴제제-합성, 무균-카바페넴제제-혼합</t>
        </is>
      </c>
      <c r="AI72" s="17" t="n">
        <v>1</v>
      </c>
      <c r="AJ72" s="24" t="n">
        <v>46634</v>
      </c>
      <c r="AK72" s="17" t="inlineStr"/>
      <c r="AL72" s="17" t="inlineStr"/>
      <c r="AM72" s="17" t="inlineStr">
        <is>
          <t>다중 제조소/다수 판정서로 문서관리 복잡; 무균/바이오 제조로 품질관리 난도 높음</t>
        </is>
      </c>
      <c r="AN72" s="17" t="inlineStr">
        <is>
          <t>미확인</t>
        </is>
      </c>
      <c r="AO72" s="17" t="inlineStr">
        <is>
          <t>미확인</t>
        </is>
      </c>
      <c r="AP72" s="17" t="inlineStr">
        <is>
          <t>미확인</t>
        </is>
      </c>
      <c r="AQ72" s="17" t="inlineStr">
        <is>
          <t>담당자 파악 후 접촉</t>
        </is>
      </c>
      <c r="AR72" s="17" t="inlineStr">
        <is>
          <t>2026-07-05</t>
        </is>
      </c>
      <c r="AS72" s="17" t="inlineStr">
        <is>
          <t>C(부분확인)</t>
        </is>
      </c>
      <c r="AT72" s="17" t="n">
        <v>90</v>
      </c>
      <c r="AU72" s="17" t="inlineStr"/>
      <c r="AV72" s="17" t="inlineStr"/>
    </row>
    <row r="73">
      <c r="A73" s="18" t="inlineStr">
        <is>
          <t>Tier A</t>
        </is>
      </c>
      <c r="B73" s="17" t="n">
        <v>31</v>
      </c>
      <c r="C73" s="17" t="inlineStr">
        <is>
          <t>(주)휴온스</t>
        </is>
      </c>
      <c r="D73" s="17" t="inlineStr">
        <is>
          <t>제천 제2공장</t>
        </is>
      </c>
      <c r="E73" s="17" t="inlineStr">
        <is>
          <t>충청북도</t>
        </is>
      </c>
      <c r="F73" s="17" t="inlineStr">
        <is>
          <t>제천시</t>
        </is>
      </c>
      <c r="G73" s="17" t="n">
        <v>2</v>
      </c>
      <c r="H73" s="20" t="inlineStr">
        <is>
          <t>Y</t>
        </is>
      </c>
      <c r="I73" s="17" t="inlineStr"/>
      <c r="J73" s="17" t="inlineStr">
        <is>
          <t>Y</t>
        </is>
      </c>
      <c r="K73" s="17" t="inlineStr"/>
      <c r="L73" s="22" t="inlineStr">
        <is>
          <t>미확인</t>
        </is>
      </c>
      <c r="M73" s="22" t="inlineStr">
        <is>
          <t>미확인</t>
        </is>
      </c>
      <c r="N73" s="22" t="inlineStr">
        <is>
          <t>미확인</t>
        </is>
      </c>
      <c r="O73" s="22" t="inlineStr">
        <is>
          <t>미확인</t>
        </is>
      </c>
      <c r="P73" s="17" t="inlineStr">
        <is>
          <t>통합형</t>
        </is>
      </c>
      <c r="Q73" s="22" t="inlineStr">
        <is>
          <t>미확인</t>
        </is>
      </c>
      <c r="R73" s="22" t="inlineStr">
        <is>
          <t>미확인</t>
        </is>
      </c>
      <c r="S73" s="17" t="inlineStr">
        <is>
          <t>Tier D</t>
        </is>
      </c>
      <c r="T73" s="17" t="n">
        <v>21</v>
      </c>
      <c r="U73" s="17" t="inlineStr">
        <is>
          <t>C370</t>
        </is>
      </c>
      <c r="V73" s="17" t="inlineStr">
        <is>
          <t>휴온스</t>
        </is>
      </c>
      <c r="W73" s="17" t="inlineStr">
        <is>
          <t>Y</t>
        </is>
      </c>
      <c r="X73" s="17" t="inlineStr">
        <is>
          <t>코스닥</t>
        </is>
      </c>
      <c r="Y73" s="23" t="inlineStr">
        <is>
          <t>243070</t>
        </is>
      </c>
      <c r="Z73" s="17" t="inlineStr">
        <is>
          <t>Song Soo-young</t>
        </is>
      </c>
      <c r="AA73" s="17" t="inlineStr">
        <is>
          <t>http://www.huons.com</t>
        </is>
      </c>
      <c r="AB73" s="17" t="inlineStr">
        <is>
          <t>미확인</t>
        </is>
      </c>
      <c r="AC73" s="17" t="inlineStr">
        <is>
          <t>미확인</t>
        </is>
      </c>
      <c r="AD73" s="17" t="inlineStr">
        <is>
          <t>Y</t>
        </is>
      </c>
      <c r="AE73" s="17" t="inlineStr">
        <is>
          <t>P450</t>
        </is>
      </c>
      <c r="AF73" s="17" t="inlineStr">
        <is>
          <t>충청북도 제천시 바이오밸리로 100</t>
        </is>
      </c>
      <c r="AG73" s="17" t="inlineStr">
        <is>
          <t>완제의약품</t>
        </is>
      </c>
      <c r="AH73" s="17" t="inlineStr">
        <is>
          <t>비무균-일반제제-내용고형제(정제, 캡슐제, 츄어블정(저작정)), 무균-일반제제-주사제(주사제, 관류제), 무균-일반제제-점안제(점안제)</t>
        </is>
      </c>
      <c r="AI73" s="17" t="n">
        <v>1</v>
      </c>
      <c r="AJ73" s="24" t="n">
        <v>46377</v>
      </c>
      <c r="AK73" s="25" t="inlineStr">
        <is>
          <t>Y</t>
        </is>
      </c>
      <c r="AL73" s="17" t="inlineStr">
        <is>
          <t>Y</t>
        </is>
      </c>
      <c r="AM73" s="17" t="inlineStr">
        <is>
          <t>다중 제조소/다수 판정서로 문서관리 복잡; 무균/바이오 제조로 품질관리 난도 높음</t>
        </is>
      </c>
      <c r="AN73" s="17" t="inlineStr">
        <is>
          <t>미확인</t>
        </is>
      </c>
      <c r="AO73" s="17" t="inlineStr">
        <is>
          <t>미확인</t>
        </is>
      </c>
      <c r="AP73" s="17" t="inlineStr">
        <is>
          <t>미확인</t>
        </is>
      </c>
      <c r="AQ73" s="17" t="inlineStr">
        <is>
          <t>담당자 파악 후 접촉</t>
        </is>
      </c>
      <c r="AR73" s="17" t="inlineStr">
        <is>
          <t>2026-07-05</t>
        </is>
      </c>
      <c r="AS73" s="17" t="inlineStr">
        <is>
          <t>C(부분확인)</t>
        </is>
      </c>
      <c r="AT73" s="17" t="n">
        <v>90</v>
      </c>
      <c r="AU73" s="17" t="inlineStr"/>
      <c r="AV73" s="17" t="inlineStr"/>
    </row>
    <row r="74">
      <c r="A74" s="18" t="inlineStr">
        <is>
          <t>Tier A</t>
        </is>
      </c>
      <c r="B74" s="17" t="n">
        <v>31</v>
      </c>
      <c r="C74" s="17" t="inlineStr">
        <is>
          <t>(주)휴온스</t>
        </is>
      </c>
      <c r="D74" s="17" t="inlineStr">
        <is>
          <t>제천 제2공장</t>
        </is>
      </c>
      <c r="E74" s="17" t="inlineStr">
        <is>
          <t>충청북도</t>
        </is>
      </c>
      <c r="F74" s="17" t="inlineStr">
        <is>
          <t>제천시</t>
        </is>
      </c>
      <c r="G74" s="17" t="n">
        <v>2</v>
      </c>
      <c r="H74" s="20" t="inlineStr">
        <is>
          <t>Y</t>
        </is>
      </c>
      <c r="I74" s="17" t="inlineStr"/>
      <c r="J74" s="17" t="inlineStr">
        <is>
          <t>Y</t>
        </is>
      </c>
      <c r="K74" s="17" t="inlineStr"/>
      <c r="L74" s="22" t="inlineStr">
        <is>
          <t>미확인</t>
        </is>
      </c>
      <c r="M74" s="22" t="inlineStr">
        <is>
          <t>미확인</t>
        </is>
      </c>
      <c r="N74" s="22" t="inlineStr">
        <is>
          <t>미확인</t>
        </is>
      </c>
      <c r="O74" s="22" t="inlineStr">
        <is>
          <t>미확인</t>
        </is>
      </c>
      <c r="P74" s="17" t="inlineStr">
        <is>
          <t>통합형</t>
        </is>
      </c>
      <c r="Q74" s="22" t="inlineStr">
        <is>
          <t>미확인</t>
        </is>
      </c>
      <c r="R74" s="22" t="inlineStr">
        <is>
          <t>미확인</t>
        </is>
      </c>
      <c r="S74" s="17" t="inlineStr">
        <is>
          <t>Tier D</t>
        </is>
      </c>
      <c r="T74" s="17" t="n">
        <v>21</v>
      </c>
      <c r="U74" s="17" t="inlineStr">
        <is>
          <t>C370</t>
        </is>
      </c>
      <c r="V74" s="17" t="inlineStr">
        <is>
          <t>휴온스</t>
        </is>
      </c>
      <c r="W74" s="17" t="inlineStr">
        <is>
          <t>Y</t>
        </is>
      </c>
      <c r="X74" s="17" t="inlineStr">
        <is>
          <t>코스닥</t>
        </is>
      </c>
      <c r="Y74" s="23" t="inlineStr">
        <is>
          <t>243070</t>
        </is>
      </c>
      <c r="Z74" s="17" t="inlineStr">
        <is>
          <t>Song Soo-young</t>
        </is>
      </c>
      <c r="AA74" s="17" t="inlineStr">
        <is>
          <t>http://www.huons.com</t>
        </is>
      </c>
      <c r="AB74" s="17" t="inlineStr">
        <is>
          <t>미확인</t>
        </is>
      </c>
      <c r="AC74" s="17" t="inlineStr">
        <is>
          <t>미확인</t>
        </is>
      </c>
      <c r="AD74" s="17" t="inlineStr">
        <is>
          <t>Y</t>
        </is>
      </c>
      <c r="AE74" s="17" t="inlineStr">
        <is>
          <t>P490</t>
        </is>
      </c>
      <c r="AF74" s="17" t="inlineStr">
        <is>
          <t>충청북도 제천시 바이오밸리로 137</t>
        </is>
      </c>
      <c r="AG74" s="17" t="inlineStr">
        <is>
          <t>완제의약품</t>
        </is>
      </c>
      <c r="AH74" s="17" t="inlineStr">
        <is>
          <t>무균-일반제제-주사제(주사제), 무균-일반제제-점안제(점안제)</t>
        </is>
      </c>
      <c r="AI74" s="17" t="n">
        <v>1</v>
      </c>
      <c r="AJ74" s="24" t="n">
        <v>46275</v>
      </c>
      <c r="AK74" s="25" t="inlineStr">
        <is>
          <t>Y</t>
        </is>
      </c>
      <c r="AL74" s="17" t="inlineStr">
        <is>
          <t>Y</t>
        </is>
      </c>
      <c r="AM74" s="17" t="inlineStr">
        <is>
          <t>다중 제조소/다수 판정서로 문서관리 복잡; 무균/바이오 제조로 품질관리 난도 높음</t>
        </is>
      </c>
      <c r="AN74" s="17" t="inlineStr">
        <is>
          <t>미확인</t>
        </is>
      </c>
      <c r="AO74" s="17" t="inlineStr">
        <is>
          <t>미확인</t>
        </is>
      </c>
      <c r="AP74" s="17" t="inlineStr">
        <is>
          <t>미확인</t>
        </is>
      </c>
      <c r="AQ74" s="17" t="inlineStr">
        <is>
          <t>담당자 파악 후 접촉</t>
        </is>
      </c>
      <c r="AR74" s="17" t="inlineStr">
        <is>
          <t>2026-07-05</t>
        </is>
      </c>
      <c r="AS74" s="17" t="inlineStr">
        <is>
          <t>C(부분확인)</t>
        </is>
      </c>
      <c r="AT74" s="17" t="n">
        <v>90</v>
      </c>
      <c r="AU74" s="17" t="inlineStr"/>
      <c r="AV74" s="17" t="inlineStr"/>
    </row>
    <row r="75">
      <c r="A75" s="18" t="inlineStr">
        <is>
          <t>Tier A</t>
        </is>
      </c>
      <c r="B75" s="17" t="n">
        <v>31</v>
      </c>
      <c r="C75" s="17" t="inlineStr">
        <is>
          <t>대원제약(주)</t>
        </is>
      </c>
      <c r="D75" s="17" t="inlineStr">
        <is>
          <t>2공장 진천공장</t>
        </is>
      </c>
      <c r="E75" s="17" t="inlineStr">
        <is>
          <t>충청북도</t>
        </is>
      </c>
      <c r="F75" s="17" t="inlineStr">
        <is>
          <t>진천군</t>
        </is>
      </c>
      <c r="G75" s="17" t="n">
        <v>2</v>
      </c>
      <c r="H75" s="17" t="inlineStr"/>
      <c r="I75" s="17" t="inlineStr"/>
      <c r="J75" s="17" t="inlineStr">
        <is>
          <t>Y</t>
        </is>
      </c>
      <c r="K75" s="17" t="inlineStr"/>
      <c r="L75" s="22" t="inlineStr">
        <is>
          <t>미확인</t>
        </is>
      </c>
      <c r="M75" s="22" t="inlineStr">
        <is>
          <t>미확인</t>
        </is>
      </c>
      <c r="N75" s="22" t="inlineStr">
        <is>
          <t>미확인</t>
        </is>
      </c>
      <c r="O75" s="22" t="inlineStr">
        <is>
          <t>미확인</t>
        </is>
      </c>
      <c r="P75" s="17" t="inlineStr">
        <is>
          <t>통합형</t>
        </is>
      </c>
      <c r="Q75" s="22" t="inlineStr">
        <is>
          <t>미확인</t>
        </is>
      </c>
      <c r="R75" s="22" t="inlineStr">
        <is>
          <t>미확인</t>
        </is>
      </c>
      <c r="S75" s="17" t="inlineStr">
        <is>
          <t>Tier D</t>
        </is>
      </c>
      <c r="T75" s="17" t="n">
        <v>24</v>
      </c>
      <c r="U75" s="17" t="inlineStr">
        <is>
          <t>C103</t>
        </is>
      </c>
      <c r="V75" s="17" t="inlineStr">
        <is>
          <t>대원제약</t>
        </is>
      </c>
      <c r="W75" s="17" t="inlineStr">
        <is>
          <t>Y</t>
        </is>
      </c>
      <c r="X75" s="17" t="inlineStr">
        <is>
          <t>유가</t>
        </is>
      </c>
      <c r="Y75" s="23" t="inlineStr">
        <is>
          <t>003220</t>
        </is>
      </c>
      <c r="Z75" s="17" t="inlineStr">
        <is>
          <t>백승열, BAEK JONATHAN IN</t>
        </is>
      </c>
      <c r="AA75" s="17" t="inlineStr">
        <is>
          <t>http://www.daewonpharm.com</t>
        </is>
      </c>
      <c r="AB75" s="17" t="inlineStr">
        <is>
          <t>02-2204-6965</t>
        </is>
      </c>
      <c r="AC75" s="17" t="inlineStr">
        <is>
          <t>미확인</t>
        </is>
      </c>
      <c r="AD75" s="17" t="inlineStr">
        <is>
          <t>Y</t>
        </is>
      </c>
      <c r="AE75" s="17" t="inlineStr">
        <is>
          <t>P107</t>
        </is>
      </c>
      <c r="AF75" s="17" t="inlineStr">
        <is>
          <t>충청북도 진천군 광혜원면 용소2길 44</t>
        </is>
      </c>
      <c r="AG75" s="17" t="inlineStr">
        <is>
          <t>완제의약품</t>
        </is>
      </c>
      <c r="AH75" s="17" t="inlineStr">
        <is>
          <t>비무균-일반제제-내용액제(시럽제(액상), 현탁제)</t>
        </is>
      </c>
      <c r="AI75" s="17" t="n">
        <v>1</v>
      </c>
      <c r="AJ75" s="24" t="n">
        <v>47071</v>
      </c>
      <c r="AK75" s="17" t="inlineStr"/>
      <c r="AL75" s="17" t="inlineStr"/>
      <c r="AM75" s="17" t="inlineStr">
        <is>
          <t>다중 제조소/다수 판정서로 문서관리 복잡; 무균/바이오 제조로 품질관리 난도 높음</t>
        </is>
      </c>
      <c r="AN75" s="17" t="inlineStr">
        <is>
          <t>미확인</t>
        </is>
      </c>
      <c r="AO75" s="17" t="inlineStr">
        <is>
          <t>미확인</t>
        </is>
      </c>
      <c r="AP75" s="17" t="inlineStr">
        <is>
          <t>미확인</t>
        </is>
      </c>
      <c r="AQ75" s="17" t="inlineStr">
        <is>
          <t>담당자 파악 후 접촉</t>
        </is>
      </c>
      <c r="AR75" s="17" t="inlineStr">
        <is>
          <t>2026-07-05</t>
        </is>
      </c>
      <c r="AS75" s="17" t="inlineStr">
        <is>
          <t>C(부분확인)</t>
        </is>
      </c>
      <c r="AT75" s="17" t="n">
        <v>90</v>
      </c>
      <c r="AU75" s="17" t="inlineStr"/>
      <c r="AV75" s="17" t="inlineStr"/>
    </row>
    <row r="76">
      <c r="A76" s="18" t="inlineStr">
        <is>
          <t>Tier A</t>
        </is>
      </c>
      <c r="B76" s="17" t="n">
        <v>31</v>
      </c>
      <c r="C76" s="17" t="inlineStr">
        <is>
          <t>대원제약(주)</t>
        </is>
      </c>
      <c r="D76" s="17" t="inlineStr">
        <is>
          <t>화성</t>
        </is>
      </c>
      <c r="E76" s="17" t="inlineStr">
        <is>
          <t>경기도</t>
        </is>
      </c>
      <c r="F76" s="17" t="inlineStr">
        <is>
          <t>화성시</t>
        </is>
      </c>
      <c r="G76" s="17" t="n">
        <v>2</v>
      </c>
      <c r="H76" s="20" t="inlineStr">
        <is>
          <t>Y</t>
        </is>
      </c>
      <c r="I76" s="17" t="inlineStr"/>
      <c r="J76" s="17" t="inlineStr">
        <is>
          <t>Y</t>
        </is>
      </c>
      <c r="K76" s="17" t="inlineStr"/>
      <c r="L76" s="22" t="inlineStr">
        <is>
          <t>미확인</t>
        </is>
      </c>
      <c r="M76" s="22" t="inlineStr">
        <is>
          <t>미확인</t>
        </is>
      </c>
      <c r="N76" s="22" t="inlineStr">
        <is>
          <t>미확인</t>
        </is>
      </c>
      <c r="O76" s="22" t="inlineStr">
        <is>
          <t>미확인</t>
        </is>
      </c>
      <c r="P76" s="17" t="inlineStr">
        <is>
          <t>통합형</t>
        </is>
      </c>
      <c r="Q76" s="22" t="inlineStr">
        <is>
          <t>미확인</t>
        </is>
      </c>
      <c r="R76" s="22" t="inlineStr">
        <is>
          <t>미확인</t>
        </is>
      </c>
      <c r="S76" s="17" t="inlineStr">
        <is>
          <t>Tier D</t>
        </is>
      </c>
      <c r="T76" s="17" t="n">
        <v>24</v>
      </c>
      <c r="U76" s="17" t="inlineStr">
        <is>
          <t>C103</t>
        </is>
      </c>
      <c r="V76" s="17" t="inlineStr">
        <is>
          <t>대원제약</t>
        </is>
      </c>
      <c r="W76" s="17" t="inlineStr">
        <is>
          <t>Y</t>
        </is>
      </c>
      <c r="X76" s="17" t="inlineStr">
        <is>
          <t>유가</t>
        </is>
      </c>
      <c r="Y76" s="23" t="inlineStr">
        <is>
          <t>003220</t>
        </is>
      </c>
      <c r="Z76" s="17" t="inlineStr">
        <is>
          <t>백승열, BAEK JONATHAN IN</t>
        </is>
      </c>
      <c r="AA76" s="17" t="inlineStr">
        <is>
          <t>http://www.daewonpharm.com</t>
        </is>
      </c>
      <c r="AB76" s="17" t="inlineStr">
        <is>
          <t>02-2204-6965</t>
        </is>
      </c>
      <c r="AC76" s="17" t="inlineStr">
        <is>
          <t>미확인</t>
        </is>
      </c>
      <c r="AD76" s="17" t="inlineStr">
        <is>
          <t>Y</t>
        </is>
      </c>
      <c r="AE76" s="17" t="inlineStr">
        <is>
          <t>P479</t>
        </is>
      </c>
      <c r="AF76" s="17" t="inlineStr">
        <is>
          <t>경기도 화성시 만세구 향남읍 제약공단1길 24</t>
        </is>
      </c>
      <c r="AG76" s="17" t="inlineStr">
        <is>
          <t>완제의약품</t>
        </is>
      </c>
      <c r="AH76" s="17" t="inlineStr">
        <is>
          <t>비무균-일반제제-내용고형제(정제, 캡슐제, 시럽제(고형)), 무균-일반제제-주사제(주사제), 비무균-일반제제-내용액제(시럽제(액상), 현탁제), 비무균-성호르몬제-내용액제(현탁제)</t>
        </is>
      </c>
      <c r="AI76" s="17" t="n">
        <v>1</v>
      </c>
      <c r="AJ76" s="24" t="n">
        <v>46307</v>
      </c>
      <c r="AK76" s="25" t="inlineStr">
        <is>
          <t>Y</t>
        </is>
      </c>
      <c r="AL76" s="17" t="inlineStr">
        <is>
          <t>Y</t>
        </is>
      </c>
      <c r="AM76" s="17" t="inlineStr">
        <is>
          <t>다중 제조소/다수 판정서로 문서관리 복잡; 무균/바이오 제조로 품질관리 난도 높음</t>
        </is>
      </c>
      <c r="AN76" s="17" t="inlineStr">
        <is>
          <t>미확인</t>
        </is>
      </c>
      <c r="AO76" s="17" t="inlineStr">
        <is>
          <t>미확인</t>
        </is>
      </c>
      <c r="AP76" s="17" t="inlineStr">
        <is>
          <t>미확인</t>
        </is>
      </c>
      <c r="AQ76" s="17" t="inlineStr">
        <is>
          <t>담당자 파악 후 접촉</t>
        </is>
      </c>
      <c r="AR76" s="17" t="inlineStr">
        <is>
          <t>2026-07-05</t>
        </is>
      </c>
      <c r="AS76" s="17" t="inlineStr">
        <is>
          <t>C(부분확인)</t>
        </is>
      </c>
      <c r="AT76" s="17" t="n">
        <v>90</v>
      </c>
      <c r="AU76" s="17" t="inlineStr"/>
      <c r="AV76" s="17" t="inlineStr"/>
    </row>
    <row r="77">
      <c r="A77" s="18" t="inlineStr">
        <is>
          <t>Tier A</t>
        </is>
      </c>
      <c r="B77" s="17" t="n">
        <v>31</v>
      </c>
      <c r="C77" s="17" t="inlineStr">
        <is>
          <t>명인제약(주)</t>
        </is>
      </c>
      <c r="D77" s="17" t="inlineStr">
        <is>
          <t>제2공장</t>
        </is>
      </c>
      <c r="E77" s="17" t="inlineStr">
        <is>
          <t>경기도</t>
        </is>
      </c>
      <c r="F77" s="17" t="inlineStr">
        <is>
          <t>화성시</t>
        </is>
      </c>
      <c r="G77" s="17" t="n">
        <v>2</v>
      </c>
      <c r="H77" s="17" t="inlineStr"/>
      <c r="I77" s="17" t="inlineStr"/>
      <c r="J77" s="17" t="inlineStr">
        <is>
          <t>Y</t>
        </is>
      </c>
      <c r="K77" s="17" t="inlineStr">
        <is>
          <t>Y</t>
        </is>
      </c>
      <c r="L77" s="22" t="inlineStr">
        <is>
          <t>미확인</t>
        </is>
      </c>
      <c r="M77" s="22" t="inlineStr">
        <is>
          <t>미확인</t>
        </is>
      </c>
      <c r="N77" s="22" t="inlineStr">
        <is>
          <t>미확인</t>
        </is>
      </c>
      <c r="O77" s="22" t="inlineStr">
        <is>
          <t>미확인</t>
        </is>
      </c>
      <c r="P77" s="17" t="inlineStr">
        <is>
          <t>통합형</t>
        </is>
      </c>
      <c r="Q77" s="22" t="inlineStr">
        <is>
          <t>미확인</t>
        </is>
      </c>
      <c r="R77" s="22" t="inlineStr">
        <is>
          <t>미확인</t>
        </is>
      </c>
      <c r="S77" s="17" t="inlineStr">
        <is>
          <t>Tier D</t>
        </is>
      </c>
      <c r="T77" s="17" t="n">
        <v>19</v>
      </c>
      <c r="U77" s="17" t="inlineStr">
        <is>
          <t>C213</t>
        </is>
      </c>
      <c r="V77" s="17" t="inlineStr">
        <is>
          <t>명인제약</t>
        </is>
      </c>
      <c r="W77" s="17" t="inlineStr">
        <is>
          <t>Y</t>
        </is>
      </c>
      <c r="X77" s="17" t="inlineStr">
        <is>
          <t>유가</t>
        </is>
      </c>
      <c r="Y77" s="23" t="inlineStr">
        <is>
          <t>317450</t>
        </is>
      </c>
      <c r="Z77" s="17" t="inlineStr">
        <is>
          <t>이관순,차봉권</t>
        </is>
      </c>
      <c r="AA77" s="17" t="inlineStr">
        <is>
          <t>http://www.myunginph.co.kr</t>
        </is>
      </c>
      <c r="AB77" s="17" t="inlineStr">
        <is>
          <t>02-587-9060</t>
        </is>
      </c>
      <c r="AC77" s="17" t="inlineStr">
        <is>
          <t>미확인</t>
        </is>
      </c>
      <c r="AD77" s="17" t="inlineStr">
        <is>
          <t>Y</t>
        </is>
      </c>
      <c r="AE77" s="17" t="inlineStr">
        <is>
          <t>P231</t>
        </is>
      </c>
      <c r="AF77" s="17" t="inlineStr">
        <is>
          <t>경기도 화성시 만세구 향남읍 발안공단로 17</t>
        </is>
      </c>
      <c r="AG77" s="17" t="inlineStr">
        <is>
          <t>원료의약품</t>
        </is>
      </c>
      <c r="AH77" s="17" t="inlineStr">
        <is>
          <t>비무균-일반제제-합성</t>
        </is>
      </c>
      <c r="AI77" s="17" t="n">
        <v>1</v>
      </c>
      <c r="AJ77" s="24" t="n">
        <v>46876</v>
      </c>
      <c r="AK77" s="17" t="inlineStr"/>
      <c r="AL77" s="17" t="inlineStr"/>
      <c r="AM77" s="17" t="inlineStr">
        <is>
          <t>다중 제조소/다수 판정서로 문서관리 복잡; 무균/바이오 제조로 품질관리 난도 높음</t>
        </is>
      </c>
      <c r="AN77" s="17" t="inlineStr">
        <is>
          <t>미확인</t>
        </is>
      </c>
      <c r="AO77" s="17" t="inlineStr">
        <is>
          <t>미확인</t>
        </is>
      </c>
      <c r="AP77" s="17" t="inlineStr">
        <is>
          <t>미확인</t>
        </is>
      </c>
      <c r="AQ77" s="17" t="inlineStr">
        <is>
          <t>담당자 파악 후 접촉</t>
        </is>
      </c>
      <c r="AR77" s="17" t="inlineStr">
        <is>
          <t>2026-07-05</t>
        </is>
      </c>
      <c r="AS77" s="17" t="inlineStr">
        <is>
          <t>C(부분확인)</t>
        </is>
      </c>
      <c r="AT77" s="17" t="n">
        <v>90</v>
      </c>
      <c r="AU77" s="17" t="inlineStr"/>
      <c r="AV77" s="17" t="inlineStr"/>
    </row>
    <row r="78">
      <c r="A78" s="18" t="inlineStr">
        <is>
          <t>Tier A</t>
        </is>
      </c>
      <c r="B78" s="17" t="n">
        <v>31</v>
      </c>
      <c r="C78" s="17" t="inlineStr">
        <is>
          <t>명인제약(주)</t>
        </is>
      </c>
      <c r="D78" s="17" t="inlineStr">
        <is>
          <t>제1공장</t>
        </is>
      </c>
      <c r="E78" s="17" t="inlineStr">
        <is>
          <t>경기도</t>
        </is>
      </c>
      <c r="F78" s="17" t="inlineStr">
        <is>
          <t>화성시</t>
        </is>
      </c>
      <c r="G78" s="17" t="n">
        <v>2</v>
      </c>
      <c r="H78" s="20" t="inlineStr">
        <is>
          <t>Y</t>
        </is>
      </c>
      <c r="I78" s="17" t="inlineStr"/>
      <c r="J78" s="17" t="inlineStr">
        <is>
          <t>Y</t>
        </is>
      </c>
      <c r="K78" s="17" t="inlineStr">
        <is>
          <t>Y</t>
        </is>
      </c>
      <c r="L78" s="22" t="inlineStr">
        <is>
          <t>미확인</t>
        </is>
      </c>
      <c r="M78" s="22" t="inlineStr">
        <is>
          <t>미확인</t>
        </is>
      </c>
      <c r="N78" s="22" t="inlineStr">
        <is>
          <t>미확인</t>
        </is>
      </c>
      <c r="O78" s="22" t="inlineStr">
        <is>
          <t>미확인</t>
        </is>
      </c>
      <c r="P78" s="17" t="inlineStr">
        <is>
          <t>통합형</t>
        </is>
      </c>
      <c r="Q78" s="22" t="inlineStr">
        <is>
          <t>미확인</t>
        </is>
      </c>
      <c r="R78" s="22" t="inlineStr">
        <is>
          <t>미확인</t>
        </is>
      </c>
      <c r="S78" s="17" t="inlineStr">
        <is>
          <t>Tier D</t>
        </is>
      </c>
      <c r="T78" s="17" t="n">
        <v>19</v>
      </c>
      <c r="U78" s="17" t="inlineStr">
        <is>
          <t>C213</t>
        </is>
      </c>
      <c r="V78" s="17" t="inlineStr">
        <is>
          <t>명인제약</t>
        </is>
      </c>
      <c r="W78" s="17" t="inlineStr">
        <is>
          <t>Y</t>
        </is>
      </c>
      <c r="X78" s="17" t="inlineStr">
        <is>
          <t>유가</t>
        </is>
      </c>
      <c r="Y78" s="23" t="inlineStr">
        <is>
          <t>317450</t>
        </is>
      </c>
      <c r="Z78" s="17" t="inlineStr">
        <is>
          <t>이관순,차봉권</t>
        </is>
      </c>
      <c r="AA78" s="17" t="inlineStr">
        <is>
          <t>http://www.myunginph.co.kr</t>
        </is>
      </c>
      <c r="AB78" s="17" t="inlineStr">
        <is>
          <t>02-587-9060</t>
        </is>
      </c>
      <c r="AC78" s="17" t="inlineStr">
        <is>
          <t>미확인</t>
        </is>
      </c>
      <c r="AD78" s="17" t="inlineStr">
        <is>
          <t>Y</t>
        </is>
      </c>
      <c r="AE78" s="17" t="inlineStr">
        <is>
          <t>P271</t>
        </is>
      </c>
      <c r="AF78" s="17" t="inlineStr">
        <is>
          <t>경기도 화성시 만세구 팔탄면 노하길 361-12</t>
        </is>
      </c>
      <c r="AG78" s="17" t="inlineStr">
        <is>
          <t>완제의약품</t>
        </is>
      </c>
      <c r="AH78" s="17" t="inlineStr">
        <is>
          <t>비무균-일반제제-내용고형제(정제, 캡슐제, 구강붕해정), 무균-일반제제-주사제(주사제, 동결건조주사제)</t>
        </is>
      </c>
      <c r="AI78" s="17" t="n">
        <v>1</v>
      </c>
      <c r="AJ78" s="24" t="n">
        <v>46836</v>
      </c>
      <c r="AK78" s="17" t="inlineStr"/>
      <c r="AL78" s="17" t="inlineStr"/>
      <c r="AM78" s="17" t="inlineStr">
        <is>
          <t>다중 제조소/다수 판정서로 문서관리 복잡; 무균/바이오 제조로 품질관리 난도 높음</t>
        </is>
      </c>
      <c r="AN78" s="17" t="inlineStr">
        <is>
          <t>미확인</t>
        </is>
      </c>
      <c r="AO78" s="17" t="inlineStr">
        <is>
          <t>미확인</t>
        </is>
      </c>
      <c r="AP78" s="17" t="inlineStr">
        <is>
          <t>미확인</t>
        </is>
      </c>
      <c r="AQ78" s="17" t="inlineStr">
        <is>
          <t>담당자 파악 후 접촉</t>
        </is>
      </c>
      <c r="AR78" s="17" t="inlineStr">
        <is>
          <t>2026-07-05</t>
        </is>
      </c>
      <c r="AS78" s="17" t="inlineStr">
        <is>
          <t>C(부분확인)</t>
        </is>
      </c>
      <c r="AT78" s="17" t="n">
        <v>90</v>
      </c>
      <c r="AU78" s="17" t="inlineStr"/>
      <c r="AV78" s="17" t="inlineStr"/>
    </row>
    <row r="79">
      <c r="A79" s="18" t="inlineStr">
        <is>
          <t>Tier A</t>
        </is>
      </c>
      <c r="B79" s="17" t="n">
        <v>31</v>
      </c>
      <c r="C79" s="17" t="inlineStr">
        <is>
          <t>일양약품(주)</t>
        </is>
      </c>
      <c r="D79" s="17" t="inlineStr">
        <is>
          <t>용인</t>
        </is>
      </c>
      <c r="E79" s="17" t="inlineStr">
        <is>
          <t>경기도</t>
        </is>
      </c>
      <c r="F79" s="17" t="inlineStr">
        <is>
          <t>용인시</t>
        </is>
      </c>
      <c r="G79" s="17" t="n">
        <v>2</v>
      </c>
      <c r="H79" s="17" t="inlineStr"/>
      <c r="I79" s="17" t="inlineStr"/>
      <c r="J79" s="17" t="inlineStr">
        <is>
          <t>Y</t>
        </is>
      </c>
      <c r="K79" s="17" t="inlineStr">
        <is>
          <t>Y</t>
        </is>
      </c>
      <c r="L79" s="22" t="inlineStr">
        <is>
          <t>미확인</t>
        </is>
      </c>
      <c r="M79" s="22" t="inlineStr">
        <is>
          <t>미확인</t>
        </is>
      </c>
      <c r="N79" s="22" t="inlineStr">
        <is>
          <t>미확인</t>
        </is>
      </c>
      <c r="O79" s="22" t="inlineStr">
        <is>
          <t>미확인</t>
        </is>
      </c>
      <c r="P79" s="17" t="inlineStr">
        <is>
          <t>통합형</t>
        </is>
      </c>
      <c r="Q79" s="22" t="inlineStr">
        <is>
          <t>미확인</t>
        </is>
      </c>
      <c r="R79" s="22" t="inlineStr">
        <is>
          <t>미확인</t>
        </is>
      </c>
      <c r="S79" s="17" t="inlineStr">
        <is>
          <t>Tier D</t>
        </is>
      </c>
      <c r="T79" s="17" t="n">
        <v>18</v>
      </c>
      <c r="U79" s="17" t="inlineStr">
        <is>
          <t>C123</t>
        </is>
      </c>
      <c r="V79" s="17" t="inlineStr">
        <is>
          <t>일양약품</t>
        </is>
      </c>
      <c r="W79" s="17" t="inlineStr">
        <is>
          <t>Y</t>
        </is>
      </c>
      <c r="X79" s="17" t="inlineStr">
        <is>
          <t>유가</t>
        </is>
      </c>
      <c r="Y79" s="23" t="inlineStr">
        <is>
          <t>007570</t>
        </is>
      </c>
      <c r="Z79" s="17" t="inlineStr">
        <is>
          <t>정유석</t>
        </is>
      </c>
      <c r="AA79" s="17" t="inlineStr">
        <is>
          <t>http://www.ilyang.co.kr</t>
        </is>
      </c>
      <c r="AB79" s="17" t="inlineStr">
        <is>
          <t>031-281-7851</t>
        </is>
      </c>
      <c r="AC79" s="17" t="inlineStr">
        <is>
          <t>미확인</t>
        </is>
      </c>
      <c r="AD79" s="17" t="inlineStr">
        <is>
          <t>Y</t>
        </is>
      </c>
      <c r="AE79" s="17" t="inlineStr">
        <is>
          <t>P129</t>
        </is>
      </c>
      <c r="AF79" s="17" t="inlineStr">
        <is>
          <t>경기도 용인시 기흥구 하갈로 110</t>
        </is>
      </c>
      <c r="AG79" s="17" t="inlineStr">
        <is>
          <t>완제의약품+원료의약품</t>
        </is>
      </c>
      <c r="AH79" s="17" t="inlineStr">
        <is>
          <t>비무균-일반제제-합성</t>
        </is>
      </c>
      <c r="AI79" s="17" t="n">
        <v>2</v>
      </c>
      <c r="AJ79" s="24" t="n">
        <v>47025</v>
      </c>
      <c r="AK79" s="17" t="inlineStr"/>
      <c r="AL79" s="17" t="inlineStr"/>
      <c r="AM79" s="17" t="inlineStr">
        <is>
          <t>다중 제조소/다수 판정서로 문서관리 복잡; 무균/바이오 제조로 품질관리 난도 높음</t>
        </is>
      </c>
      <c r="AN79" s="17" t="inlineStr">
        <is>
          <t>미확인</t>
        </is>
      </c>
      <c r="AO79" s="17" t="inlineStr">
        <is>
          <t>미확인</t>
        </is>
      </c>
      <c r="AP79" s="17" t="inlineStr">
        <is>
          <t>미확인</t>
        </is>
      </c>
      <c r="AQ79" s="17" t="inlineStr">
        <is>
          <t>담당자 파악 후 접촉</t>
        </is>
      </c>
      <c r="AR79" s="17" t="inlineStr">
        <is>
          <t>2026-07-05</t>
        </is>
      </c>
      <c r="AS79" s="17" t="inlineStr">
        <is>
          <t>C(부분확인)</t>
        </is>
      </c>
      <c r="AT79" s="17" t="n">
        <v>90</v>
      </c>
      <c r="AU79" s="17" t="inlineStr"/>
      <c r="AV79" s="17" t="inlineStr"/>
    </row>
    <row r="80">
      <c r="A80" s="18" t="inlineStr">
        <is>
          <t>Tier A</t>
        </is>
      </c>
      <c r="B80" s="17" t="n">
        <v>31</v>
      </c>
      <c r="C80" s="17" t="inlineStr">
        <is>
          <t>일양약품(주)</t>
        </is>
      </c>
      <c r="D80" s="17" t="inlineStr">
        <is>
          <t>음성</t>
        </is>
      </c>
      <c r="E80" s="17" t="inlineStr">
        <is>
          <t>충청북도</t>
        </is>
      </c>
      <c r="F80" s="17" t="inlineStr">
        <is>
          <t>음성군</t>
        </is>
      </c>
      <c r="G80" s="17" t="n">
        <v>2</v>
      </c>
      <c r="H80" s="17" t="inlineStr"/>
      <c r="I80" s="21" t="inlineStr">
        <is>
          <t>Y</t>
        </is>
      </c>
      <c r="J80" s="17" t="inlineStr">
        <is>
          <t>Y</t>
        </is>
      </c>
      <c r="K80" s="17" t="inlineStr">
        <is>
          <t>Y</t>
        </is>
      </c>
      <c r="L80" s="22" t="inlineStr">
        <is>
          <t>미확인</t>
        </is>
      </c>
      <c r="M80" s="22" t="inlineStr">
        <is>
          <t>미확인</t>
        </is>
      </c>
      <c r="N80" s="22" t="inlineStr">
        <is>
          <t>미확인</t>
        </is>
      </c>
      <c r="O80" s="22" t="inlineStr">
        <is>
          <t>미확인</t>
        </is>
      </c>
      <c r="P80" s="17" t="inlineStr">
        <is>
          <t>통합형</t>
        </is>
      </c>
      <c r="Q80" s="22" t="inlineStr">
        <is>
          <t>미확인</t>
        </is>
      </c>
      <c r="R80" s="22" t="inlineStr">
        <is>
          <t>미확인</t>
        </is>
      </c>
      <c r="S80" s="17" t="inlineStr">
        <is>
          <t>Tier D</t>
        </is>
      </c>
      <c r="T80" s="17" t="n">
        <v>18</v>
      </c>
      <c r="U80" s="17" t="inlineStr">
        <is>
          <t>C123</t>
        </is>
      </c>
      <c r="V80" s="17" t="inlineStr">
        <is>
          <t>일양약품</t>
        </is>
      </c>
      <c r="W80" s="17" t="inlineStr">
        <is>
          <t>Y</t>
        </is>
      </c>
      <c r="X80" s="17" t="inlineStr">
        <is>
          <t>유가</t>
        </is>
      </c>
      <c r="Y80" s="23" t="inlineStr">
        <is>
          <t>007570</t>
        </is>
      </c>
      <c r="Z80" s="17" t="inlineStr">
        <is>
          <t>정유석</t>
        </is>
      </c>
      <c r="AA80" s="17" t="inlineStr">
        <is>
          <t>http://www.ilyang.co.kr</t>
        </is>
      </c>
      <c r="AB80" s="17" t="inlineStr">
        <is>
          <t>031-281-7851</t>
        </is>
      </c>
      <c r="AC80" s="17" t="inlineStr">
        <is>
          <t>미확인</t>
        </is>
      </c>
      <c r="AD80" s="17" t="inlineStr">
        <is>
          <t>Y</t>
        </is>
      </c>
      <c r="AE80" s="17" t="inlineStr">
        <is>
          <t>P327</t>
        </is>
      </c>
      <c r="AF80" s="17" t="inlineStr">
        <is>
          <t>충청북도 음성군 금왕읍 대금로 1291</t>
        </is>
      </c>
      <c r="AG80" s="17" t="inlineStr">
        <is>
          <t>원료의약품</t>
        </is>
      </c>
      <c r="AH80" s="17" t="inlineStr">
        <is>
          <t>생물-백신-(배양, 정제, 원액 제조)</t>
        </is>
      </c>
      <c r="AI80" s="17" t="n">
        <v>1</v>
      </c>
      <c r="AJ80" s="24" t="n">
        <v>46683</v>
      </c>
      <c r="AK80" s="17" t="inlineStr"/>
      <c r="AL80" s="17" t="inlineStr"/>
      <c r="AM80" s="17" t="inlineStr">
        <is>
          <t>다중 제조소/다수 판정서로 문서관리 복잡; 무균/바이오 제조로 품질관리 난도 높음</t>
        </is>
      </c>
      <c r="AN80" s="17" t="inlineStr">
        <is>
          <t>미확인</t>
        </is>
      </c>
      <c r="AO80" s="17" t="inlineStr">
        <is>
          <t>미확인</t>
        </is>
      </c>
      <c r="AP80" s="17" t="inlineStr">
        <is>
          <t>미확인</t>
        </is>
      </c>
      <c r="AQ80" s="17" t="inlineStr">
        <is>
          <t>담당자 파악 후 접촉</t>
        </is>
      </c>
      <c r="AR80" s="17" t="inlineStr">
        <is>
          <t>2026-07-05</t>
        </is>
      </c>
      <c r="AS80" s="17" t="inlineStr">
        <is>
          <t>C(부분확인)</t>
        </is>
      </c>
      <c r="AT80" s="17" t="n">
        <v>90</v>
      </c>
      <c r="AU80" s="17" t="inlineStr"/>
      <c r="AV80" s="17" t="inlineStr"/>
    </row>
    <row r="81">
      <c r="A81" s="18" t="inlineStr">
        <is>
          <t>Tier A</t>
        </is>
      </c>
      <c r="B81" s="17" t="n">
        <v>31</v>
      </c>
      <c r="C81" s="17" t="inlineStr">
        <is>
          <t>(주)휴온스바이오파마</t>
        </is>
      </c>
      <c r="D81" s="17" t="inlineStr">
        <is>
          <t>제1공장</t>
        </is>
      </c>
      <c r="E81" s="17" t="inlineStr">
        <is>
          <t>충청북도</t>
        </is>
      </c>
      <c r="F81" s="17" t="inlineStr">
        <is>
          <t>제천시</t>
        </is>
      </c>
      <c r="G81" s="17" t="n">
        <v>1</v>
      </c>
      <c r="H81" s="20" t="inlineStr">
        <is>
          <t>Y</t>
        </is>
      </c>
      <c r="I81" s="21" t="inlineStr">
        <is>
          <t>Y</t>
        </is>
      </c>
      <c r="J81" s="17" t="inlineStr">
        <is>
          <t>Y</t>
        </is>
      </c>
      <c r="K81" s="17" t="inlineStr">
        <is>
          <t>Y</t>
        </is>
      </c>
      <c r="L81" s="22" t="inlineStr">
        <is>
          <t>미확인</t>
        </is>
      </c>
      <c r="M81" s="22" t="inlineStr">
        <is>
          <t>미확인</t>
        </is>
      </c>
      <c r="N81" s="22" t="inlineStr">
        <is>
          <t>미확인</t>
        </is>
      </c>
      <c r="O81" s="22" t="inlineStr">
        <is>
          <t>미확인</t>
        </is>
      </c>
      <c r="P81" s="17" t="inlineStr">
        <is>
          <t>QMS+LIMS</t>
        </is>
      </c>
      <c r="Q81" s="22" t="inlineStr">
        <is>
          <t>미확인</t>
        </is>
      </c>
      <c r="R81" s="22" t="inlineStr">
        <is>
          <t>미확인</t>
        </is>
      </c>
      <c r="S81" s="17" t="inlineStr">
        <is>
          <t>Tier D</t>
        </is>
      </c>
      <c r="T81" s="17" t="n">
        <v>24</v>
      </c>
      <c r="U81" s="17" t="inlineStr">
        <is>
          <t>C375</t>
        </is>
      </c>
      <c r="V81" s="17" t="inlineStr">
        <is>
          <t>휴온스바이오파마</t>
        </is>
      </c>
      <c r="W81" s="17" t="inlineStr"/>
      <c r="X81" s="17" t="inlineStr"/>
      <c r="Y81" s="23" t="inlineStr"/>
      <c r="Z81" s="17" t="inlineStr">
        <is>
          <t>이정희</t>
        </is>
      </c>
      <c r="AA81" s="17" t="inlineStr"/>
      <c r="AB81" s="17" t="inlineStr">
        <is>
          <t>070-7492-3131</t>
        </is>
      </c>
      <c r="AC81" s="17" t="inlineStr">
        <is>
          <t>미확인</t>
        </is>
      </c>
      <c r="AD81" s="17" t="inlineStr">
        <is>
          <t>Y</t>
        </is>
      </c>
      <c r="AE81" s="17" t="inlineStr">
        <is>
          <t>P455</t>
        </is>
      </c>
      <c r="AF81" s="17" t="inlineStr">
        <is>
          <t>충청북도 제천시 바이오밸리2로 50</t>
        </is>
      </c>
      <c r="AG81" s="17" t="inlineStr">
        <is>
          <t>완제의약품+원료의약품</t>
        </is>
      </c>
      <c r="AH81" s="17" t="inlineStr">
        <is>
          <t>생물-독소-주사제(주사제)</t>
        </is>
      </c>
      <c r="AI81" s="17" t="n">
        <v>2</v>
      </c>
      <c r="AJ81" s="24" t="n">
        <v>46362</v>
      </c>
      <c r="AK81" s="25" t="inlineStr">
        <is>
          <t>Y</t>
        </is>
      </c>
      <c r="AL81" s="17" t="inlineStr">
        <is>
          <t>Y</t>
        </is>
      </c>
      <c r="AM81" s="17" t="inlineStr">
        <is>
          <t>무균/바이오 제조로 품질관리 난도 높음; 원료 제조로 시험실 관리 필요</t>
        </is>
      </c>
      <c r="AN81" s="17" t="inlineStr">
        <is>
          <t>미확인</t>
        </is>
      </c>
      <c r="AO81" s="17" t="inlineStr">
        <is>
          <t>미확인</t>
        </is>
      </c>
      <c r="AP81" s="17" t="inlineStr">
        <is>
          <t>미확인</t>
        </is>
      </c>
      <c r="AQ81" s="17" t="inlineStr">
        <is>
          <t>담당자 파악 후 접촉</t>
        </is>
      </c>
      <c r="AR81" s="17" t="inlineStr">
        <is>
          <t>2026-07-05</t>
        </is>
      </c>
      <c r="AS81" s="17" t="inlineStr">
        <is>
          <t>C(부분확인)</t>
        </is>
      </c>
      <c r="AT81" s="17" t="n">
        <v>90</v>
      </c>
      <c r="AU81" s="17" t="inlineStr"/>
      <c r="AV81" s="17" t="inlineStr"/>
    </row>
    <row r="82">
      <c r="A82" s="18" t="inlineStr">
        <is>
          <t>Tier A</t>
        </is>
      </c>
      <c r="B82" s="17" t="n">
        <v>31</v>
      </c>
      <c r="C82" s="17" t="inlineStr">
        <is>
          <t>에스케이플라즈마(주)</t>
        </is>
      </c>
      <c r="D82" s="17" t="inlineStr">
        <is>
          <t>제2공장</t>
        </is>
      </c>
      <c r="E82" s="17" t="inlineStr">
        <is>
          <t>경상북도</t>
        </is>
      </c>
      <c r="F82" s="17" t="inlineStr">
        <is>
          <t>안동시</t>
        </is>
      </c>
      <c r="G82" s="17" t="n">
        <v>1</v>
      </c>
      <c r="H82" s="20" t="inlineStr">
        <is>
          <t>Y</t>
        </is>
      </c>
      <c r="I82" s="21" t="inlineStr">
        <is>
          <t>Y</t>
        </is>
      </c>
      <c r="J82" s="17" t="inlineStr">
        <is>
          <t>Y</t>
        </is>
      </c>
      <c r="K82" s="17" t="inlineStr">
        <is>
          <t>Y</t>
        </is>
      </c>
      <c r="L82" s="22" t="inlineStr">
        <is>
          <t>미확인</t>
        </is>
      </c>
      <c r="M82" s="22" t="inlineStr">
        <is>
          <t>미확인</t>
        </is>
      </c>
      <c r="N82" s="22" t="inlineStr">
        <is>
          <t>미확인</t>
        </is>
      </c>
      <c r="O82" s="22" t="inlineStr">
        <is>
          <t>미확인</t>
        </is>
      </c>
      <c r="P82" s="17" t="inlineStr">
        <is>
          <t>QMS+LIMS</t>
        </is>
      </c>
      <c r="Q82" s="22" t="inlineStr">
        <is>
          <t>미확인</t>
        </is>
      </c>
      <c r="R82" s="22" t="inlineStr">
        <is>
          <t>미확인</t>
        </is>
      </c>
      <c r="S82" s="17" t="inlineStr">
        <is>
          <t>Tier D</t>
        </is>
      </c>
      <c r="T82" s="17" t="n">
        <v>24</v>
      </c>
      <c r="U82" s="17" t="inlineStr">
        <is>
          <t>C377</t>
        </is>
      </c>
      <c r="V82" s="17" t="inlineStr">
        <is>
          <t>에스케이플라즈마</t>
        </is>
      </c>
      <c r="W82" s="17" t="inlineStr"/>
      <c r="X82" s="17" t="inlineStr"/>
      <c r="Y82" s="23" t="inlineStr"/>
      <c r="Z82" s="17" t="inlineStr">
        <is>
          <t>김승주</t>
        </is>
      </c>
      <c r="AA82" s="17" t="inlineStr"/>
      <c r="AB82" s="17" t="inlineStr">
        <is>
          <t>미확인</t>
        </is>
      </c>
      <c r="AC82" s="17" t="inlineStr">
        <is>
          <t>미확인</t>
        </is>
      </c>
      <c r="AD82" s="17" t="inlineStr">
        <is>
          <t>Y</t>
        </is>
      </c>
      <c r="AE82" s="17" t="inlineStr">
        <is>
          <t>P460</t>
        </is>
      </c>
      <c r="AF82" s="17" t="inlineStr">
        <is>
          <t>경상북도 안동시 풍산읍 산업단지길 157</t>
        </is>
      </c>
      <c r="AG82" s="17" t="inlineStr">
        <is>
          <t>완제의약품+원료의약품</t>
        </is>
      </c>
      <c r="AH82" s="17" t="inlineStr">
        <is>
          <t>생물-혈장분획제제-(정제, 바이러스불활화, 원액 제조)</t>
        </is>
      </c>
      <c r="AI82" s="17" t="n">
        <v>2</v>
      </c>
      <c r="AJ82" s="24" t="n">
        <v>46349</v>
      </c>
      <c r="AK82" s="25" t="inlineStr">
        <is>
          <t>Y</t>
        </is>
      </c>
      <c r="AL82" s="17" t="inlineStr">
        <is>
          <t>Y</t>
        </is>
      </c>
      <c r="AM82" s="17" t="inlineStr">
        <is>
          <t>무균/바이오 제조로 품질관리 난도 높음; 원료 제조로 시험실 관리 필요</t>
        </is>
      </c>
      <c r="AN82" s="17" t="inlineStr">
        <is>
          <t>미확인</t>
        </is>
      </c>
      <c r="AO82" s="17" t="inlineStr">
        <is>
          <t>미확인</t>
        </is>
      </c>
      <c r="AP82" s="17" t="inlineStr">
        <is>
          <t>미확인</t>
        </is>
      </c>
      <c r="AQ82" s="17" t="inlineStr">
        <is>
          <t>담당자 파악 후 접촉</t>
        </is>
      </c>
      <c r="AR82" s="17" t="inlineStr">
        <is>
          <t>2026-07-05</t>
        </is>
      </c>
      <c r="AS82" s="17" t="inlineStr">
        <is>
          <t>C(부분확인)</t>
        </is>
      </c>
      <c r="AT82" s="17" t="n">
        <v>90</v>
      </c>
      <c r="AU82" s="17" t="inlineStr"/>
      <c r="AV82" s="17" t="inlineStr"/>
    </row>
    <row r="83">
      <c r="A83" s="18" t="inlineStr">
        <is>
          <t>Tier A</t>
        </is>
      </c>
      <c r="B83" s="17" t="n">
        <v>31</v>
      </c>
      <c r="C83" s="17" t="inlineStr">
        <is>
          <t>테고사이언스(주)</t>
        </is>
      </c>
      <c r="D83" s="17" t="inlineStr">
        <is>
          <t>제2공장</t>
        </is>
      </c>
      <c r="E83" s="17" t="inlineStr">
        <is>
          <t>서울특별시</t>
        </is>
      </c>
      <c r="F83" s="17" t="inlineStr">
        <is>
          <t>강서구</t>
        </is>
      </c>
      <c r="G83" s="17" t="n">
        <v>1</v>
      </c>
      <c r="H83" s="20" t="inlineStr">
        <is>
          <t>Y</t>
        </is>
      </c>
      <c r="I83" s="21" t="inlineStr">
        <is>
          <t>Y</t>
        </is>
      </c>
      <c r="J83" s="17" t="inlineStr">
        <is>
          <t>Y</t>
        </is>
      </c>
      <c r="K83" s="17" t="inlineStr"/>
      <c r="L83" s="22" t="inlineStr">
        <is>
          <t>미확인</t>
        </is>
      </c>
      <c r="M83" s="22" t="inlineStr">
        <is>
          <t>미확인</t>
        </is>
      </c>
      <c r="N83" s="22" t="inlineStr">
        <is>
          <t>미확인</t>
        </is>
      </c>
      <c r="O83" s="22" t="inlineStr">
        <is>
          <t>미확인</t>
        </is>
      </c>
      <c r="P83" s="17" t="inlineStr">
        <is>
          <t>QMS+LIMS</t>
        </is>
      </c>
      <c r="Q83" s="22" t="inlineStr">
        <is>
          <t>미확인</t>
        </is>
      </c>
      <c r="R83" s="22" t="inlineStr">
        <is>
          <t>미확인</t>
        </is>
      </c>
      <c r="S83" s="17" t="inlineStr">
        <is>
          <t>Tier D</t>
        </is>
      </c>
      <c r="T83" s="17" t="n">
        <v>25</v>
      </c>
      <c r="U83" s="17" t="inlineStr">
        <is>
          <t>C350</t>
        </is>
      </c>
      <c r="V83" s="17" t="inlineStr">
        <is>
          <t>테고사이언스</t>
        </is>
      </c>
      <c r="W83" s="17" t="inlineStr">
        <is>
          <t>Y</t>
        </is>
      </c>
      <c r="X83" s="17" t="inlineStr">
        <is>
          <t>코스닥</t>
        </is>
      </c>
      <c r="Y83" s="23" t="inlineStr">
        <is>
          <t>191420</t>
        </is>
      </c>
      <c r="Z83" s="17" t="inlineStr">
        <is>
          <t>전세화</t>
        </is>
      </c>
      <c r="AA83" s="17" t="inlineStr">
        <is>
          <t>http://www.tegoscience.com</t>
        </is>
      </c>
      <c r="AB83" s="17" t="inlineStr">
        <is>
          <t>02-818-2927</t>
        </is>
      </c>
      <c r="AC83" s="17" t="inlineStr">
        <is>
          <t>미확인</t>
        </is>
      </c>
      <c r="AD83" s="17" t="inlineStr">
        <is>
          <t>Y</t>
        </is>
      </c>
      <c r="AE83" s="17" t="inlineStr">
        <is>
          <t>P423</t>
        </is>
      </c>
      <c r="AF83" s="17" t="inlineStr">
        <is>
          <t>서울특별시 강서구 마곡중앙8로 93</t>
        </is>
      </c>
      <c r="AG83" s="17" t="inlineStr">
        <is>
          <t>완제의약품</t>
        </is>
      </c>
      <c r="AH83" s="17" t="inlineStr">
        <is>
          <t>생물-세포치료제-주사제(첨단바이오의약품)(주사제), 생물-세포치료제-첩부제(첨단바이오의약품)(카타플라스마제)</t>
        </is>
      </c>
      <c r="AI83" s="17" t="n">
        <v>1</v>
      </c>
      <c r="AJ83" s="24" t="n">
        <v>46452</v>
      </c>
      <c r="AK83" s="17" t="inlineStr"/>
      <c r="AL83" s="17" t="inlineStr">
        <is>
          <t>Y</t>
        </is>
      </c>
      <c r="AM83" s="17" t="inlineStr">
        <is>
          <t>무균/바이오 제조로 품질관리 난도 높음</t>
        </is>
      </c>
      <c r="AN83" s="17" t="inlineStr">
        <is>
          <t>미확인</t>
        </is>
      </c>
      <c r="AO83" s="17" t="inlineStr">
        <is>
          <t>미확인</t>
        </is>
      </c>
      <c r="AP83" s="17" t="inlineStr">
        <is>
          <t>미확인</t>
        </is>
      </c>
      <c r="AQ83" s="17" t="inlineStr">
        <is>
          <t>담당자 파악 후 접촉</t>
        </is>
      </c>
      <c r="AR83" s="17" t="inlineStr">
        <is>
          <t>2026-07-05</t>
        </is>
      </c>
      <c r="AS83" s="17" t="inlineStr">
        <is>
          <t>C(부분확인)</t>
        </is>
      </c>
      <c r="AT83" s="17" t="n">
        <v>90</v>
      </c>
      <c r="AU83" s="17" t="inlineStr"/>
      <c r="AV83" s="17" t="inlineStr"/>
    </row>
    <row r="84">
      <c r="A84" s="18" t="inlineStr">
        <is>
          <t>Tier A</t>
        </is>
      </c>
      <c r="B84" s="17" t="n">
        <v>30</v>
      </c>
      <c r="C84" s="17" t="inlineStr">
        <is>
          <t>(주)팬젠</t>
        </is>
      </c>
      <c r="D84" s="17" t="inlineStr">
        <is>
          <t>(주)팬젠 수원공장</t>
        </is>
      </c>
      <c r="E84" s="17" t="inlineStr">
        <is>
          <t>경기도</t>
        </is>
      </c>
      <c r="F84" s="17" t="inlineStr">
        <is>
          <t>수원시</t>
        </is>
      </c>
      <c r="G84" s="17" t="n">
        <v>1</v>
      </c>
      <c r="H84" s="17" t="inlineStr"/>
      <c r="I84" s="21" t="inlineStr">
        <is>
          <t>Y</t>
        </is>
      </c>
      <c r="J84" s="17" t="inlineStr"/>
      <c r="K84" s="17" t="inlineStr">
        <is>
          <t>Y</t>
        </is>
      </c>
      <c r="L84" s="22" t="inlineStr">
        <is>
          <t>미확인</t>
        </is>
      </c>
      <c r="M84" s="22" t="inlineStr">
        <is>
          <t>미확인</t>
        </is>
      </c>
      <c r="N84" s="22" t="inlineStr">
        <is>
          <t>미확인</t>
        </is>
      </c>
      <c r="O84" s="22" t="inlineStr">
        <is>
          <t>미확인</t>
        </is>
      </c>
      <c r="P84" s="17" t="inlineStr">
        <is>
          <t>QMS+LIMS</t>
        </is>
      </c>
      <c r="Q84" s="22" t="inlineStr">
        <is>
          <t>미확인</t>
        </is>
      </c>
      <c r="R84" s="22" t="inlineStr">
        <is>
          <t>미확인</t>
        </is>
      </c>
      <c r="S84" s="17" t="inlineStr">
        <is>
          <t>Tier D</t>
        </is>
      </c>
      <c r="T84" s="17" t="n">
        <v>19</v>
      </c>
      <c r="U84" s="17" t="inlineStr">
        <is>
          <t>C386</t>
        </is>
      </c>
      <c r="V84" s="17" t="inlineStr">
        <is>
          <t>팬젠</t>
        </is>
      </c>
      <c r="W84" s="17" t="inlineStr">
        <is>
          <t>Y</t>
        </is>
      </c>
      <c r="X84" s="17" t="inlineStr">
        <is>
          <t>코스닥</t>
        </is>
      </c>
      <c r="Y84" s="23" t="inlineStr">
        <is>
          <t>222110</t>
        </is>
      </c>
      <c r="Z84" s="17" t="inlineStr">
        <is>
          <t>윤재승</t>
        </is>
      </c>
      <c r="AA84" s="17" t="inlineStr">
        <is>
          <t>http://www.pangen.com</t>
        </is>
      </c>
      <c r="AB84" s="17" t="inlineStr">
        <is>
          <t>031-733-9165</t>
        </is>
      </c>
      <c r="AC84" s="17" t="inlineStr">
        <is>
          <t>미확인</t>
        </is>
      </c>
      <c r="AD84" s="17" t="inlineStr">
        <is>
          <t>Y</t>
        </is>
      </c>
      <c r="AE84" s="17" t="inlineStr">
        <is>
          <t>P474</t>
        </is>
      </c>
      <c r="AF84" s="17" t="inlineStr">
        <is>
          <t>경기도 수원시 영통구 신원로 306 영통이노플렉스 2동 4층 (원천동)</t>
        </is>
      </c>
      <c r="AG84" s="17" t="inlineStr">
        <is>
          <t>원료의약품</t>
        </is>
      </c>
      <c r="AH84" s="17" t="inlineStr">
        <is>
          <t>생물-유전자재조합의약품-(배양, 정제, 바이러스불활화, 원액 제조)</t>
        </is>
      </c>
      <c r="AI84" s="17" t="n">
        <v>1</v>
      </c>
      <c r="AJ84" s="24" t="n">
        <v>46320</v>
      </c>
      <c r="AK84" s="25" t="inlineStr">
        <is>
          <t>Y</t>
        </is>
      </c>
      <c r="AL84" s="17" t="inlineStr">
        <is>
          <t>Y</t>
        </is>
      </c>
      <c r="AM84" s="17" t="inlineStr">
        <is>
          <t>무균/바이오 제조로 품질관리 난도 높음; 원료 제조로 시험실 관리 필요</t>
        </is>
      </c>
      <c r="AN84" s="17" t="inlineStr">
        <is>
          <t>미확인</t>
        </is>
      </c>
      <c r="AO84" s="17" t="inlineStr">
        <is>
          <t>미확인</t>
        </is>
      </c>
      <c r="AP84" s="17" t="inlineStr">
        <is>
          <t>미확인</t>
        </is>
      </c>
      <c r="AQ84" s="17" t="inlineStr">
        <is>
          <t>담당자 파악 후 접촉</t>
        </is>
      </c>
      <c r="AR84" s="17" t="inlineStr">
        <is>
          <t>2026-07-05</t>
        </is>
      </c>
      <c r="AS84" s="17" t="inlineStr">
        <is>
          <t>C(부분확인)</t>
        </is>
      </c>
      <c r="AT84" s="17" t="n">
        <v>90</v>
      </c>
      <c r="AU84" s="17" t="inlineStr"/>
      <c r="AV84" s="17" t="inlineStr"/>
    </row>
    <row r="85">
      <c r="A85" s="26" t="inlineStr">
        <is>
          <t>Tier B</t>
        </is>
      </c>
      <c r="B85" s="17" t="n">
        <v>29</v>
      </c>
      <c r="C85" s="17" t="inlineStr">
        <is>
          <t>한국코러스(주)</t>
        </is>
      </c>
      <c r="D85" s="17" t="inlineStr">
        <is>
          <t>춘천</t>
        </is>
      </c>
      <c r="E85" s="17" t="inlineStr">
        <is>
          <t>강원특별자치도</t>
        </is>
      </c>
      <c r="F85" s="17" t="inlineStr">
        <is>
          <t>춘천시</t>
        </is>
      </c>
      <c r="G85" s="17" t="n">
        <v>3</v>
      </c>
      <c r="H85" s="20" t="inlineStr">
        <is>
          <t>Y</t>
        </is>
      </c>
      <c r="I85" s="17" t="inlineStr"/>
      <c r="J85" s="17" t="inlineStr">
        <is>
          <t>Y</t>
        </is>
      </c>
      <c r="K85" s="17" t="inlineStr">
        <is>
          <t>Y</t>
        </is>
      </c>
      <c r="L85" s="22" t="inlineStr">
        <is>
          <t>미확인</t>
        </is>
      </c>
      <c r="M85" s="22" t="inlineStr">
        <is>
          <t>미확인</t>
        </is>
      </c>
      <c r="N85" s="22" t="inlineStr">
        <is>
          <t>미확인</t>
        </is>
      </c>
      <c r="O85" s="22" t="inlineStr">
        <is>
          <t>미확인</t>
        </is>
      </c>
      <c r="P85" s="17" t="inlineStr">
        <is>
          <t>통합형</t>
        </is>
      </c>
      <c r="Q85" s="22" t="inlineStr">
        <is>
          <t>미확인</t>
        </is>
      </c>
      <c r="R85" s="22" t="inlineStr">
        <is>
          <t>미확인</t>
        </is>
      </c>
      <c r="S85" s="17" t="inlineStr">
        <is>
          <t>Tier D</t>
        </is>
      </c>
      <c r="T85" s="17" t="n">
        <v>20</v>
      </c>
      <c r="U85" s="17" t="inlineStr">
        <is>
          <t>C038</t>
        </is>
      </c>
      <c r="V85" s="17" t="inlineStr">
        <is>
          <t>한국코러스</t>
        </is>
      </c>
      <c r="W85" s="17" t="inlineStr"/>
      <c r="X85" s="17" t="inlineStr"/>
      <c r="Y85" s="23" t="inlineStr"/>
      <c r="Z85" s="17" t="inlineStr">
        <is>
          <t>황재간</t>
        </is>
      </c>
      <c r="AA85" s="17" t="inlineStr"/>
      <c r="AB85" s="17" t="inlineStr">
        <is>
          <t>043-644-8457</t>
        </is>
      </c>
      <c r="AC85" s="17" t="inlineStr">
        <is>
          <t>미확인</t>
        </is>
      </c>
      <c r="AD85" s="17" t="inlineStr">
        <is>
          <t>Y</t>
        </is>
      </c>
      <c r="AE85" s="17" t="inlineStr">
        <is>
          <t>P038</t>
        </is>
      </c>
      <c r="AF85" s="17" t="inlineStr">
        <is>
          <t>강원특별자치도 춘천시 동내면 거두단지 1길11</t>
        </is>
      </c>
      <c r="AG85" s="17" t="inlineStr">
        <is>
          <t>완제의약품+원료의약품</t>
        </is>
      </c>
      <c r="AH85" s="17" t="inlineStr">
        <is>
          <t>비무균-일반제제-정제(추출에 한함)</t>
        </is>
      </c>
      <c r="AI85" s="17" t="n">
        <v>2</v>
      </c>
      <c r="AJ85" s="24" t="n">
        <v>46947</v>
      </c>
      <c r="AK85" s="17" t="inlineStr"/>
      <c r="AL85" s="17" t="inlineStr"/>
      <c r="AM85" s="17" t="inlineStr">
        <is>
          <t>다중 제조소/다수 판정서로 문서관리 복잡; 무균/바이오 제조로 품질관리 난도 높음</t>
        </is>
      </c>
      <c r="AN85" s="17" t="inlineStr">
        <is>
          <t>미확인</t>
        </is>
      </c>
      <c r="AO85" s="17" t="inlineStr">
        <is>
          <t>미확인</t>
        </is>
      </c>
      <c r="AP85" s="17" t="inlineStr">
        <is>
          <t>미확인</t>
        </is>
      </c>
      <c r="AQ85" s="17" t="inlineStr">
        <is>
          <t>담당자 파악 후 접촉</t>
        </is>
      </c>
      <c r="AR85" s="17" t="inlineStr">
        <is>
          <t>2026-07-05</t>
        </is>
      </c>
      <c r="AS85" s="17" t="inlineStr">
        <is>
          <t>C(부분확인)</t>
        </is>
      </c>
      <c r="AT85" s="17" t="n">
        <v>90</v>
      </c>
      <c r="AU85" s="17" t="inlineStr"/>
      <c r="AV85" s="17" t="inlineStr"/>
    </row>
    <row r="86">
      <c r="A86" s="26" t="inlineStr">
        <is>
          <t>Tier B</t>
        </is>
      </c>
      <c r="B86" s="17" t="n">
        <v>29</v>
      </c>
      <c r="C86" s="17" t="inlineStr">
        <is>
          <t>한국코러스(주)</t>
        </is>
      </c>
      <c r="D86" s="17" t="inlineStr">
        <is>
          <t>음성</t>
        </is>
      </c>
      <c r="E86" s="17" t="inlineStr">
        <is>
          <t>충청북도</t>
        </is>
      </c>
      <c r="F86" s="17" t="inlineStr">
        <is>
          <t>음성군</t>
        </is>
      </c>
      <c r="G86" s="17" t="n">
        <v>3</v>
      </c>
      <c r="H86" s="20" t="inlineStr">
        <is>
          <t>Y</t>
        </is>
      </c>
      <c r="I86" s="17" t="inlineStr"/>
      <c r="J86" s="17" t="inlineStr">
        <is>
          <t>Y</t>
        </is>
      </c>
      <c r="K86" s="17" t="inlineStr">
        <is>
          <t>Y</t>
        </is>
      </c>
      <c r="L86" s="22" t="inlineStr">
        <is>
          <t>미확인</t>
        </is>
      </c>
      <c r="M86" s="22" t="inlineStr">
        <is>
          <t>미확인</t>
        </is>
      </c>
      <c r="N86" s="22" t="inlineStr">
        <is>
          <t>미확인</t>
        </is>
      </c>
      <c r="O86" s="22" t="inlineStr">
        <is>
          <t>미확인</t>
        </is>
      </c>
      <c r="P86" s="17" t="inlineStr">
        <is>
          <t>통합형</t>
        </is>
      </c>
      <c r="Q86" s="22" t="inlineStr">
        <is>
          <t>미확인</t>
        </is>
      </c>
      <c r="R86" s="22" t="inlineStr">
        <is>
          <t>미확인</t>
        </is>
      </c>
      <c r="S86" s="17" t="inlineStr">
        <is>
          <t>Tier D</t>
        </is>
      </c>
      <c r="T86" s="17" t="n">
        <v>20</v>
      </c>
      <c r="U86" s="17" t="inlineStr">
        <is>
          <t>C038</t>
        </is>
      </c>
      <c r="V86" s="17" t="inlineStr">
        <is>
          <t>한국코러스</t>
        </is>
      </c>
      <c r="W86" s="17" t="inlineStr"/>
      <c r="X86" s="17" t="inlineStr"/>
      <c r="Y86" s="23" t="inlineStr"/>
      <c r="Z86" s="17" t="inlineStr">
        <is>
          <t>황재간</t>
        </is>
      </c>
      <c r="AA86" s="17" t="inlineStr"/>
      <c r="AB86" s="17" t="inlineStr">
        <is>
          <t>043-644-8457</t>
        </is>
      </c>
      <c r="AC86" s="17" t="inlineStr">
        <is>
          <t>미확인</t>
        </is>
      </c>
      <c r="AD86" s="17" t="inlineStr">
        <is>
          <t>Y</t>
        </is>
      </c>
      <c r="AE86" s="17" t="inlineStr">
        <is>
          <t>P196</t>
        </is>
      </c>
      <c r="AF86" s="17" t="inlineStr">
        <is>
          <t>충청북도 음성군 대소면 대풍산단로 78 (주)한독약품 내 세팔로스포린동 2층 건물</t>
        </is>
      </c>
      <c r="AG86" s="17" t="inlineStr">
        <is>
          <t>완제의약품</t>
        </is>
      </c>
      <c r="AH86" s="17" t="inlineStr">
        <is>
          <t>무균-세팔로스포린제제-주사제(분말주사제)</t>
        </is>
      </c>
      <c r="AI86" s="17" t="n">
        <v>1</v>
      </c>
      <c r="AJ86" s="24" t="n">
        <v>46926</v>
      </c>
      <c r="AK86" s="17" t="inlineStr"/>
      <c r="AL86" s="17" t="inlineStr"/>
      <c r="AM86" s="17" t="inlineStr">
        <is>
          <t>다중 제조소/다수 판정서로 문서관리 복잡; 무균/바이오 제조로 품질관리 난도 높음</t>
        </is>
      </c>
      <c r="AN86" s="17" t="inlineStr">
        <is>
          <t>미확인</t>
        </is>
      </c>
      <c r="AO86" s="17" t="inlineStr">
        <is>
          <t>미확인</t>
        </is>
      </c>
      <c r="AP86" s="17" t="inlineStr">
        <is>
          <t>미확인</t>
        </is>
      </c>
      <c r="AQ86" s="17" t="inlineStr">
        <is>
          <t>담당자 파악 후 접촉</t>
        </is>
      </c>
      <c r="AR86" s="17" t="inlineStr">
        <is>
          <t>2026-07-05</t>
        </is>
      </c>
      <c r="AS86" s="17" t="inlineStr">
        <is>
          <t>C(부분확인)</t>
        </is>
      </c>
      <c r="AT86" s="17" t="n">
        <v>90</v>
      </c>
      <c r="AU86" s="17" t="inlineStr"/>
      <c r="AV86" s="17" t="inlineStr"/>
    </row>
    <row r="87">
      <c r="A87" s="26" t="inlineStr">
        <is>
          <t>Tier B</t>
        </is>
      </c>
      <c r="B87" s="17" t="n">
        <v>29</v>
      </c>
      <c r="C87" s="17" t="inlineStr">
        <is>
          <t>한국코러스(주)</t>
        </is>
      </c>
      <c r="D87" s="17" t="inlineStr">
        <is>
          <t>제천</t>
        </is>
      </c>
      <c r="E87" s="17" t="inlineStr">
        <is>
          <t>충청북도</t>
        </is>
      </c>
      <c r="F87" s="17" t="inlineStr">
        <is>
          <t>제천시</t>
        </is>
      </c>
      <c r="G87" s="17" t="n">
        <v>3</v>
      </c>
      <c r="H87" s="17" t="inlineStr"/>
      <c r="I87" s="17" t="inlineStr"/>
      <c r="J87" s="17" t="inlineStr">
        <is>
          <t>Y</t>
        </is>
      </c>
      <c r="K87" s="17" t="inlineStr">
        <is>
          <t>Y</t>
        </is>
      </c>
      <c r="L87" s="22" t="inlineStr">
        <is>
          <t>미확인</t>
        </is>
      </c>
      <c r="M87" s="22" t="inlineStr">
        <is>
          <t>미확인</t>
        </is>
      </c>
      <c r="N87" s="22" t="inlineStr">
        <is>
          <t>미확인</t>
        </is>
      </c>
      <c r="O87" s="22" t="inlineStr">
        <is>
          <t>미확인</t>
        </is>
      </c>
      <c r="P87" s="17" t="inlineStr">
        <is>
          <t>통합형</t>
        </is>
      </c>
      <c r="Q87" s="22" t="inlineStr">
        <is>
          <t>미확인</t>
        </is>
      </c>
      <c r="R87" s="22" t="inlineStr">
        <is>
          <t>미확인</t>
        </is>
      </c>
      <c r="S87" s="17" t="inlineStr">
        <is>
          <t>Tier D</t>
        </is>
      </c>
      <c r="T87" s="17" t="n">
        <v>20</v>
      </c>
      <c r="U87" s="17" t="inlineStr">
        <is>
          <t>C038</t>
        </is>
      </c>
      <c r="V87" s="17" t="inlineStr">
        <is>
          <t>한국코러스</t>
        </is>
      </c>
      <c r="W87" s="17" t="inlineStr"/>
      <c r="X87" s="17" t="inlineStr"/>
      <c r="Y87" s="23" t="inlineStr"/>
      <c r="Z87" s="17" t="inlineStr">
        <is>
          <t>황재간</t>
        </is>
      </c>
      <c r="AA87" s="17" t="inlineStr"/>
      <c r="AB87" s="17" t="inlineStr">
        <is>
          <t>043-644-8457</t>
        </is>
      </c>
      <c r="AC87" s="17" t="inlineStr">
        <is>
          <t>미확인</t>
        </is>
      </c>
      <c r="AD87" s="17" t="inlineStr">
        <is>
          <t>Y</t>
        </is>
      </c>
      <c r="AE87" s="17" t="inlineStr">
        <is>
          <t>P308</t>
        </is>
      </c>
      <c r="AF87" s="17" t="inlineStr">
        <is>
          <t>충청북도 제천시 강저로 30</t>
        </is>
      </c>
      <c r="AG87" s="17" t="inlineStr">
        <is>
          <t>완제의약품</t>
        </is>
      </c>
      <c r="AH87" s="17" t="inlineStr">
        <is>
          <t>비무균-세팔로스포린제제-내용고형제(캡슐제), 비무균-일반제제-내용고형제(정제, 캡슐제)</t>
        </is>
      </c>
      <c r="AI87" s="17" t="n">
        <v>1</v>
      </c>
      <c r="AJ87" s="24" t="n">
        <v>46778</v>
      </c>
      <c r="AK87" s="17" t="inlineStr"/>
      <c r="AL87" s="17" t="inlineStr"/>
      <c r="AM87" s="17" t="inlineStr">
        <is>
          <t>다중 제조소/다수 판정서로 문서관리 복잡; 무균/바이오 제조로 품질관리 난도 높음</t>
        </is>
      </c>
      <c r="AN87" s="17" t="inlineStr">
        <is>
          <t>미확인</t>
        </is>
      </c>
      <c r="AO87" s="17" t="inlineStr">
        <is>
          <t>미확인</t>
        </is>
      </c>
      <c r="AP87" s="17" t="inlineStr">
        <is>
          <t>미확인</t>
        </is>
      </c>
      <c r="AQ87" s="17" t="inlineStr">
        <is>
          <t>담당자 파악 후 접촉</t>
        </is>
      </c>
      <c r="AR87" s="17" t="inlineStr">
        <is>
          <t>2026-07-05</t>
        </is>
      </c>
      <c r="AS87" s="17" t="inlineStr">
        <is>
          <t>C(부분확인)</t>
        </is>
      </c>
      <c r="AT87" s="17" t="n">
        <v>90</v>
      </c>
      <c r="AU87" s="17" t="inlineStr"/>
      <c r="AV87" s="17" t="inlineStr"/>
    </row>
    <row r="88">
      <c r="A88" s="26" t="inlineStr">
        <is>
          <t>Tier B</t>
        </is>
      </c>
      <c r="B88" s="17" t="n">
        <v>28</v>
      </c>
      <c r="C88" s="17" t="inlineStr">
        <is>
          <t>화일약품(주)</t>
        </is>
      </c>
      <c r="D88" s="17" t="inlineStr">
        <is>
          <t>안산시(완제의약품)</t>
        </is>
      </c>
      <c r="E88" s="17" t="inlineStr">
        <is>
          <t>경기도</t>
        </is>
      </c>
      <c r="F88" s="17" t="inlineStr">
        <is>
          <t>안산시</t>
        </is>
      </c>
      <c r="G88" s="17" t="n">
        <v>2</v>
      </c>
      <c r="H88" s="17" t="inlineStr"/>
      <c r="I88" s="17" t="inlineStr"/>
      <c r="J88" s="17" t="inlineStr">
        <is>
          <t>Y</t>
        </is>
      </c>
      <c r="K88" s="17" t="inlineStr">
        <is>
          <t>Y</t>
        </is>
      </c>
      <c r="L88" s="22" t="inlineStr">
        <is>
          <t>미확인</t>
        </is>
      </c>
      <c r="M88" s="22" t="inlineStr">
        <is>
          <t>미확인</t>
        </is>
      </c>
      <c r="N88" s="22" t="inlineStr">
        <is>
          <t>미확인</t>
        </is>
      </c>
      <c r="O88" s="22" t="inlineStr">
        <is>
          <t>미확인</t>
        </is>
      </c>
      <c r="P88" s="17" t="inlineStr">
        <is>
          <t>통합형</t>
        </is>
      </c>
      <c r="Q88" s="22" t="inlineStr">
        <is>
          <t>미확인</t>
        </is>
      </c>
      <c r="R88" s="22" t="inlineStr">
        <is>
          <t>미확인</t>
        </is>
      </c>
      <c r="S88" s="17" t="inlineStr">
        <is>
          <t>Tier D</t>
        </is>
      </c>
      <c r="T88" s="17" t="n">
        <v>16</v>
      </c>
      <c r="U88" s="17" t="inlineStr">
        <is>
          <t>C290</t>
        </is>
      </c>
      <c r="V88" s="17" t="inlineStr">
        <is>
          <t>화일약품</t>
        </is>
      </c>
      <c r="W88" s="17" t="inlineStr">
        <is>
          <t>Y</t>
        </is>
      </c>
      <c r="X88" s="17" t="inlineStr">
        <is>
          <t>코스닥</t>
        </is>
      </c>
      <c r="Y88" s="23" t="inlineStr">
        <is>
          <t>061250</t>
        </is>
      </c>
      <c r="Z88" s="17" t="inlineStr">
        <is>
          <t>김유정, 서생규 (각자 대표이사)</t>
        </is>
      </c>
      <c r="AA88" s="17" t="inlineStr">
        <is>
          <t>http://www.hwail.com</t>
        </is>
      </c>
      <c r="AB88" s="17" t="inlineStr">
        <is>
          <t>031-491-4042</t>
        </is>
      </c>
      <c r="AC88" s="17" t="inlineStr">
        <is>
          <t>미확인</t>
        </is>
      </c>
      <c r="AD88" s="17" t="inlineStr">
        <is>
          <t>Y</t>
        </is>
      </c>
      <c r="AE88" s="17" t="inlineStr">
        <is>
          <t>P348</t>
        </is>
      </c>
      <c r="AF88" s="17" t="inlineStr">
        <is>
          <t>경기도 안산시 단원구 산단로67번길 156</t>
        </is>
      </c>
      <c r="AG88" s="17" t="inlineStr">
        <is>
          <t>완제의약품</t>
        </is>
      </c>
      <c r="AH88" s="17" t="inlineStr">
        <is>
          <t>비무균-세팔로스포린제제-내용고형제(캡슐제)</t>
        </is>
      </c>
      <c r="AI88" s="17" t="n">
        <v>1</v>
      </c>
      <c r="AJ88" s="24" t="n">
        <v>46593</v>
      </c>
      <c r="AK88" s="17" t="inlineStr"/>
      <c r="AL88" s="17" t="inlineStr"/>
      <c r="AM88" s="17" t="inlineStr">
        <is>
          <t>다중 제조소/다수 판정서로 문서관리 복잡; 원료 제조로 시험실 관리 필요</t>
        </is>
      </c>
      <c r="AN88" s="17" t="inlineStr">
        <is>
          <t>미확인</t>
        </is>
      </c>
      <c r="AO88" s="17" t="inlineStr">
        <is>
          <t>미확인</t>
        </is>
      </c>
      <c r="AP88" s="17" t="inlineStr">
        <is>
          <t>미확인</t>
        </is>
      </c>
      <c r="AQ88" s="17" t="inlineStr">
        <is>
          <t>담당자 파악 후 접촉</t>
        </is>
      </c>
      <c r="AR88" s="17" t="inlineStr">
        <is>
          <t>2026-07-05</t>
        </is>
      </c>
      <c r="AS88" s="17" t="inlineStr">
        <is>
          <t>C(부분확인)</t>
        </is>
      </c>
      <c r="AT88" s="17" t="n">
        <v>90</v>
      </c>
      <c r="AU88" s="17" t="inlineStr"/>
      <c r="AV88" s="17" t="inlineStr"/>
    </row>
    <row r="89">
      <c r="A89" s="26" t="inlineStr">
        <is>
          <t>Tier B</t>
        </is>
      </c>
      <c r="B89" s="17" t="n">
        <v>28</v>
      </c>
      <c r="C89" s="17" t="inlineStr">
        <is>
          <t>화일약품(주)</t>
        </is>
      </c>
      <c r="D89" s="17" t="inlineStr">
        <is>
          <t>발안(소분)</t>
        </is>
      </c>
      <c r="E89" s="17" t="inlineStr">
        <is>
          <t>경기도</t>
        </is>
      </c>
      <c r="F89" s="17" t="inlineStr">
        <is>
          <t>화성시</t>
        </is>
      </c>
      <c r="G89" s="17" t="n">
        <v>2</v>
      </c>
      <c r="H89" s="17" t="inlineStr"/>
      <c r="I89" s="17" t="inlineStr"/>
      <c r="J89" s="17" t="inlineStr">
        <is>
          <t>Y</t>
        </is>
      </c>
      <c r="K89" s="17" t="inlineStr">
        <is>
          <t>Y</t>
        </is>
      </c>
      <c r="L89" s="22" t="inlineStr">
        <is>
          <t>미확인</t>
        </is>
      </c>
      <c r="M89" s="22" t="inlineStr">
        <is>
          <t>미확인</t>
        </is>
      </c>
      <c r="N89" s="22" t="inlineStr">
        <is>
          <t>미확인</t>
        </is>
      </c>
      <c r="O89" s="22" t="inlineStr">
        <is>
          <t>미확인</t>
        </is>
      </c>
      <c r="P89" s="17" t="inlineStr">
        <is>
          <t>통합형</t>
        </is>
      </c>
      <c r="Q89" s="22" t="inlineStr">
        <is>
          <t>미확인</t>
        </is>
      </c>
      <c r="R89" s="22" t="inlineStr">
        <is>
          <t>미확인</t>
        </is>
      </c>
      <c r="S89" s="17" t="inlineStr">
        <is>
          <t>Tier D</t>
        </is>
      </c>
      <c r="T89" s="17" t="n">
        <v>16</v>
      </c>
      <c r="U89" s="17" t="inlineStr">
        <is>
          <t>C290</t>
        </is>
      </c>
      <c r="V89" s="17" t="inlineStr">
        <is>
          <t>화일약품</t>
        </is>
      </c>
      <c r="W89" s="17" t="inlineStr">
        <is>
          <t>Y</t>
        </is>
      </c>
      <c r="X89" s="17" t="inlineStr">
        <is>
          <t>코스닥</t>
        </is>
      </c>
      <c r="Y89" s="23" t="inlineStr">
        <is>
          <t>061250</t>
        </is>
      </c>
      <c r="Z89" s="17" t="inlineStr">
        <is>
          <t>김유정, 서생규 (각자 대표이사)</t>
        </is>
      </c>
      <c r="AA89" s="17" t="inlineStr">
        <is>
          <t>http://www.hwail.com</t>
        </is>
      </c>
      <c r="AB89" s="17" t="inlineStr">
        <is>
          <t>031-491-4042</t>
        </is>
      </c>
      <c r="AC89" s="17" t="inlineStr">
        <is>
          <t>미확인</t>
        </is>
      </c>
      <c r="AD89" s="17" t="inlineStr">
        <is>
          <t>Y</t>
        </is>
      </c>
      <c r="AE89" s="17" t="inlineStr">
        <is>
          <t>P470</t>
        </is>
      </c>
      <c r="AF89" s="17" t="inlineStr">
        <is>
          <t>경기도 화성시 만세구 향남읍 발안공단로1길 45</t>
        </is>
      </c>
      <c r="AG89" s="17" t="inlineStr">
        <is>
          <t>원료의약품</t>
        </is>
      </c>
      <c r="AH89" s="17" t="inlineStr">
        <is>
          <t>비무균-일반제제-소분</t>
        </is>
      </c>
      <c r="AI89" s="17" t="n">
        <v>1</v>
      </c>
      <c r="AJ89" s="24" t="n">
        <v>46328</v>
      </c>
      <c r="AK89" s="25" t="inlineStr">
        <is>
          <t>Y</t>
        </is>
      </c>
      <c r="AL89" s="17" t="inlineStr">
        <is>
          <t>Y</t>
        </is>
      </c>
      <c r="AM89" s="17" t="inlineStr">
        <is>
          <t>다중 제조소/다수 판정서로 문서관리 복잡; 원료 제조로 시험실 관리 필요</t>
        </is>
      </c>
      <c r="AN89" s="17" t="inlineStr">
        <is>
          <t>미확인</t>
        </is>
      </c>
      <c r="AO89" s="17" t="inlineStr">
        <is>
          <t>미확인</t>
        </is>
      </c>
      <c r="AP89" s="17" t="inlineStr">
        <is>
          <t>미확인</t>
        </is>
      </c>
      <c r="AQ89" s="17" t="inlineStr">
        <is>
          <t>담당자 파악 후 접촉</t>
        </is>
      </c>
      <c r="AR89" s="17" t="inlineStr">
        <is>
          <t>2026-07-05</t>
        </is>
      </c>
      <c r="AS89" s="17" t="inlineStr">
        <is>
          <t>C(부분확인)</t>
        </is>
      </c>
      <c r="AT89" s="17" t="n">
        <v>90</v>
      </c>
      <c r="AU89" s="17" t="inlineStr"/>
      <c r="AV89" s="17" t="inlineStr"/>
    </row>
    <row r="90">
      <c r="A90" s="26" t="inlineStr">
        <is>
          <t>Tier B</t>
        </is>
      </c>
      <c r="B90" s="17" t="n">
        <v>28</v>
      </c>
      <c r="C90" s="17" t="inlineStr">
        <is>
          <t>(주)바이오솔루션</t>
        </is>
      </c>
      <c r="D90" s="17" t="inlineStr">
        <is>
          <t>미확인</t>
        </is>
      </c>
      <c r="E90" s="17" t="inlineStr">
        <is>
          <t>서울특별시</t>
        </is>
      </c>
      <c r="F90" s="17" t="inlineStr">
        <is>
          <t>노원구</t>
        </is>
      </c>
      <c r="G90" s="17" t="n">
        <v>1</v>
      </c>
      <c r="H90" s="20" t="inlineStr">
        <is>
          <t>Y</t>
        </is>
      </c>
      <c r="I90" s="21" t="inlineStr">
        <is>
          <t>Y</t>
        </is>
      </c>
      <c r="J90" s="17" t="inlineStr">
        <is>
          <t>Y</t>
        </is>
      </c>
      <c r="K90" s="17" t="inlineStr"/>
      <c r="L90" s="22" t="inlineStr">
        <is>
          <t>미확인</t>
        </is>
      </c>
      <c r="M90" s="22" t="inlineStr">
        <is>
          <t>미확인</t>
        </is>
      </c>
      <c r="N90" s="22" t="inlineStr">
        <is>
          <t>미확인</t>
        </is>
      </c>
      <c r="O90" s="22" t="inlineStr">
        <is>
          <t>미확인</t>
        </is>
      </c>
      <c r="P90" s="17" t="inlineStr">
        <is>
          <t>QMS+LIMS</t>
        </is>
      </c>
      <c r="Q90" s="22" t="inlineStr">
        <is>
          <t>미확인</t>
        </is>
      </c>
      <c r="R90" s="22" t="inlineStr">
        <is>
          <t>미확인</t>
        </is>
      </c>
      <c r="S90" s="17" t="inlineStr">
        <is>
          <t>Tier D</t>
        </is>
      </c>
      <c r="T90" s="17" t="n">
        <v>19</v>
      </c>
      <c r="U90" s="17" t="inlineStr">
        <is>
          <t>C272</t>
        </is>
      </c>
      <c r="V90" s="17" t="inlineStr">
        <is>
          <t>바이오솔루션</t>
        </is>
      </c>
      <c r="W90" s="17" t="inlineStr">
        <is>
          <t>Y</t>
        </is>
      </c>
      <c r="X90" s="17" t="inlineStr">
        <is>
          <t>코스닥</t>
        </is>
      </c>
      <c r="Y90" s="23" t="inlineStr">
        <is>
          <t>086820</t>
        </is>
      </c>
      <c r="Z90" s="17" t="inlineStr">
        <is>
          <t>이정선</t>
        </is>
      </c>
      <c r="AA90" s="17" t="inlineStr">
        <is>
          <t>http://www.biosolutions.co.kr/</t>
        </is>
      </c>
      <c r="AB90" s="17" t="inlineStr">
        <is>
          <t>미확인</t>
        </is>
      </c>
      <c r="AC90" s="17" t="inlineStr">
        <is>
          <t>미확인</t>
        </is>
      </c>
      <c r="AD90" s="17" t="inlineStr">
        <is>
          <t>Y</t>
        </is>
      </c>
      <c r="AE90" s="17" t="inlineStr">
        <is>
          <t>P325</t>
        </is>
      </c>
      <c r="AF90" s="17" t="inlineStr">
        <is>
          <t>서울특별시 노원구 공릉로 232 서울테크노파크 1층 101호, 102호, 5층 501~504호, 513호, (원료보관소)506호, (자재보관소)514호</t>
        </is>
      </c>
      <c r="AG90" s="17" t="inlineStr">
        <is>
          <t>완제의약품</t>
        </is>
      </c>
      <c r="AH90" s="17" t="inlineStr">
        <is>
          <t>생물-세포치료제-주사제(첨단바이오의약품)(주사제)</t>
        </is>
      </c>
      <c r="AI90" s="17" t="n">
        <v>1</v>
      </c>
      <c r="AJ90" s="24" t="n">
        <v>46689</v>
      </c>
      <c r="AK90" s="17" t="inlineStr"/>
      <c r="AL90" s="17" t="inlineStr"/>
      <c r="AM90" s="17" t="inlineStr">
        <is>
          <t>무균/바이오 제조로 품질관리 난도 높음</t>
        </is>
      </c>
      <c r="AN90" s="17" t="inlineStr">
        <is>
          <t>미확인</t>
        </is>
      </c>
      <c r="AO90" s="17" t="inlineStr">
        <is>
          <t>미확인</t>
        </is>
      </c>
      <c r="AP90" s="17" t="inlineStr">
        <is>
          <t>미확인</t>
        </is>
      </c>
      <c r="AQ90" s="17" t="inlineStr">
        <is>
          <t>담당자 파악 후 접촉</t>
        </is>
      </c>
      <c r="AR90" s="17" t="inlineStr">
        <is>
          <t>2026-07-05</t>
        </is>
      </c>
      <c r="AS90" s="17" t="inlineStr">
        <is>
          <t>C(부분확인)</t>
        </is>
      </c>
      <c r="AT90" s="17" t="n">
        <v>0</v>
      </c>
      <c r="AU90" s="17" t="inlineStr">
        <is>
          <t>Y</t>
        </is>
      </c>
      <c r="AV90" s="17" t="inlineStr"/>
    </row>
    <row r="91">
      <c r="A91" s="26" t="inlineStr">
        <is>
          <t>Tier B</t>
        </is>
      </c>
      <c r="B91" s="17" t="n">
        <v>28</v>
      </c>
      <c r="C91" s="17" t="inlineStr">
        <is>
          <t>(주)안트로젠</t>
        </is>
      </c>
      <c r="D91" s="17" t="inlineStr">
        <is>
          <t>미확인</t>
        </is>
      </c>
      <c r="E91" s="17" t="inlineStr">
        <is>
          <t>서울특별시</t>
        </is>
      </c>
      <c r="F91" s="17" t="inlineStr">
        <is>
          <t>금천구</t>
        </is>
      </c>
      <c r="G91" s="17" t="n">
        <v>1</v>
      </c>
      <c r="H91" s="20" t="inlineStr">
        <is>
          <t>Y</t>
        </is>
      </c>
      <c r="I91" s="21" t="inlineStr">
        <is>
          <t>Y</t>
        </is>
      </c>
      <c r="J91" s="17" t="inlineStr">
        <is>
          <t>Y</t>
        </is>
      </c>
      <c r="K91" s="17" t="inlineStr"/>
      <c r="L91" s="22" t="inlineStr">
        <is>
          <t>미확인</t>
        </is>
      </c>
      <c r="M91" s="22" t="inlineStr">
        <is>
          <t>미확인</t>
        </is>
      </c>
      <c r="N91" s="22" t="inlineStr">
        <is>
          <t>미확인</t>
        </is>
      </c>
      <c r="O91" s="22" t="inlineStr">
        <is>
          <t>미확인</t>
        </is>
      </c>
      <c r="P91" s="17" t="inlineStr">
        <is>
          <t>QMS+LIMS</t>
        </is>
      </c>
      <c r="Q91" s="22" t="inlineStr">
        <is>
          <t>미확인</t>
        </is>
      </c>
      <c r="R91" s="22" t="inlineStr">
        <is>
          <t>미확인</t>
        </is>
      </c>
      <c r="S91" s="17" t="inlineStr">
        <is>
          <t>Tier D</t>
        </is>
      </c>
      <c r="T91" s="17" t="n">
        <v>19</v>
      </c>
      <c r="U91" s="17" t="inlineStr">
        <is>
          <t>C273</t>
        </is>
      </c>
      <c r="V91" s="17" t="inlineStr">
        <is>
          <t>안트로젠</t>
        </is>
      </c>
      <c r="W91" s="17" t="inlineStr">
        <is>
          <t>Y</t>
        </is>
      </c>
      <c r="X91" s="17" t="inlineStr">
        <is>
          <t>코스닥</t>
        </is>
      </c>
      <c r="Y91" s="23" t="inlineStr">
        <is>
          <t>065660</t>
        </is>
      </c>
      <c r="Z91" s="17" t="inlineStr">
        <is>
          <t>이성구, 김미형(각자대표)</t>
        </is>
      </c>
      <c r="AA91" s="17" t="inlineStr">
        <is>
          <t>http://www.anterogen.com</t>
        </is>
      </c>
      <c r="AB91" s="17" t="inlineStr">
        <is>
          <t>미확인</t>
        </is>
      </c>
      <c r="AC91" s="17" t="inlineStr">
        <is>
          <t>미확인</t>
        </is>
      </c>
      <c r="AD91" s="17" t="inlineStr">
        <is>
          <t>Y</t>
        </is>
      </c>
      <c r="AE91" s="17" t="inlineStr">
        <is>
          <t>P328</t>
        </is>
      </c>
      <c r="AF91" s="17" t="inlineStr">
        <is>
          <t>서울특별시 금천구 디지털로 130 남성프라자(에이스9차) 404~407호, 610호 일부</t>
        </is>
      </c>
      <c r="AG91" s="17" t="inlineStr">
        <is>
          <t>완제의약품</t>
        </is>
      </c>
      <c r="AH91" s="17" t="inlineStr">
        <is>
          <t>생물-세포치료제-주사제(첨단바이오의약품)(주사제)</t>
        </is>
      </c>
      <c r="AI91" s="17" t="n">
        <v>1</v>
      </c>
      <c r="AJ91" s="24" t="n">
        <v>46682</v>
      </c>
      <c r="AK91" s="17" t="inlineStr"/>
      <c r="AL91" s="17" t="inlineStr"/>
      <c r="AM91" s="17" t="inlineStr">
        <is>
          <t>무균/바이오 제조로 품질관리 난도 높음</t>
        </is>
      </c>
      <c r="AN91" s="17" t="inlineStr">
        <is>
          <t>미확인</t>
        </is>
      </c>
      <c r="AO91" s="17" t="inlineStr">
        <is>
          <t>미확인</t>
        </is>
      </c>
      <c r="AP91" s="17" t="inlineStr">
        <is>
          <t>미확인</t>
        </is>
      </c>
      <c r="AQ91" s="17" t="inlineStr">
        <is>
          <t>담당자 파악 후 접촉</t>
        </is>
      </c>
      <c r="AR91" s="17" t="inlineStr">
        <is>
          <t>2026-07-05</t>
        </is>
      </c>
      <c r="AS91" s="17" t="inlineStr">
        <is>
          <t>C(부분확인)</t>
        </is>
      </c>
      <c r="AT91" s="17" t="n">
        <v>0</v>
      </c>
      <c r="AU91" s="17" t="inlineStr">
        <is>
          <t>Y</t>
        </is>
      </c>
      <c r="AV91" s="17" t="inlineStr"/>
    </row>
    <row r="92">
      <c r="A92" s="26" t="inlineStr">
        <is>
          <t>Tier B</t>
        </is>
      </c>
      <c r="B92" s="17" t="n">
        <v>28</v>
      </c>
      <c r="C92" s="17" t="inlineStr">
        <is>
          <t>(주)이수앱지스</t>
        </is>
      </c>
      <c r="D92" s="17" t="inlineStr">
        <is>
          <t>용인공장</t>
        </is>
      </c>
      <c r="E92" s="17" t="inlineStr">
        <is>
          <t>경기도</t>
        </is>
      </c>
      <c r="F92" s="17" t="inlineStr">
        <is>
          <t>용인시</t>
        </is>
      </c>
      <c r="G92" s="17" t="n">
        <v>1</v>
      </c>
      <c r="H92" s="17" t="inlineStr"/>
      <c r="I92" s="21" t="inlineStr">
        <is>
          <t>Y</t>
        </is>
      </c>
      <c r="J92" s="17" t="inlineStr"/>
      <c r="K92" s="17" t="inlineStr">
        <is>
          <t>Y</t>
        </is>
      </c>
      <c r="L92" s="22" t="inlineStr">
        <is>
          <t>미확인</t>
        </is>
      </c>
      <c r="M92" s="22" t="inlineStr">
        <is>
          <t>미확인</t>
        </is>
      </c>
      <c r="N92" s="22" t="inlineStr">
        <is>
          <t>미확인</t>
        </is>
      </c>
      <c r="O92" s="22" t="inlineStr">
        <is>
          <t>미확인</t>
        </is>
      </c>
      <c r="P92" s="17" t="inlineStr">
        <is>
          <t>QMS+LIMS</t>
        </is>
      </c>
      <c r="Q92" s="22" t="inlineStr">
        <is>
          <t>미확인</t>
        </is>
      </c>
      <c r="R92" s="22" t="inlineStr">
        <is>
          <t>미확인</t>
        </is>
      </c>
      <c r="S92" s="17" t="inlineStr">
        <is>
          <t>Tier D</t>
        </is>
      </c>
      <c r="T92" s="17" t="n">
        <v>14</v>
      </c>
      <c r="U92" s="17" t="inlineStr">
        <is>
          <t>C329</t>
        </is>
      </c>
      <c r="V92" s="17" t="inlineStr">
        <is>
          <t>이수앱지스</t>
        </is>
      </c>
      <c r="W92" s="17" t="inlineStr">
        <is>
          <t>Y</t>
        </is>
      </c>
      <c r="X92" s="17" t="inlineStr">
        <is>
          <t>코스닥</t>
        </is>
      </c>
      <c r="Y92" s="23" t="inlineStr">
        <is>
          <t>086890</t>
        </is>
      </c>
      <c r="Z92" s="17" t="inlineStr">
        <is>
          <t>유준수</t>
        </is>
      </c>
      <c r="AA92" s="17" t="inlineStr">
        <is>
          <t>http://www.abxis.com</t>
        </is>
      </c>
      <c r="AB92" s="17" t="inlineStr">
        <is>
          <t>미확인</t>
        </is>
      </c>
      <c r="AC92" s="17" t="inlineStr">
        <is>
          <t>미확인</t>
        </is>
      </c>
      <c r="AD92" s="17" t="inlineStr">
        <is>
          <t>Y</t>
        </is>
      </c>
      <c r="AE92" s="17" t="inlineStr">
        <is>
          <t>P397</t>
        </is>
      </c>
      <c r="AF92" s="17" t="inlineStr">
        <is>
          <t>경기도 용인시 기흥구 동백중앙로16번길 16-25 대우프론티어밸리 1차 203~209호, 219~221호, 213호, 304호</t>
        </is>
      </c>
      <c r="AG92" s="17" t="inlineStr">
        <is>
          <t>원료의약품</t>
        </is>
      </c>
      <c r="AH92" s="17" t="inlineStr">
        <is>
          <t>생물-유전자재조합의약품-(배양, 정제, 바이러스불활화, 원액 제조)</t>
        </is>
      </c>
      <c r="AI92" s="17" t="n">
        <v>1</v>
      </c>
      <c r="AJ92" s="24" t="n">
        <v>46494</v>
      </c>
      <c r="AK92" s="17" t="inlineStr"/>
      <c r="AL92" s="17" t="inlineStr">
        <is>
          <t>Y</t>
        </is>
      </c>
      <c r="AM92" s="17" t="inlineStr">
        <is>
          <t>무균/바이오 제조로 품질관리 난도 높음; 원료 제조로 시험실 관리 필요</t>
        </is>
      </c>
      <c r="AN92" s="17" t="inlineStr">
        <is>
          <t>미확인</t>
        </is>
      </c>
      <c r="AO92" s="17" t="inlineStr">
        <is>
          <t>미확인</t>
        </is>
      </c>
      <c r="AP92" s="17" t="inlineStr">
        <is>
          <t>미확인</t>
        </is>
      </c>
      <c r="AQ92" s="17" t="inlineStr">
        <is>
          <t>담당자 파악 후 접촉</t>
        </is>
      </c>
      <c r="AR92" s="17" t="inlineStr">
        <is>
          <t>2026-07-05</t>
        </is>
      </c>
      <c r="AS92" s="17" t="inlineStr">
        <is>
          <t>C(부분확인)</t>
        </is>
      </c>
      <c r="AT92" s="17" t="n">
        <v>90</v>
      </c>
      <c r="AU92" s="17" t="inlineStr"/>
      <c r="AV92" s="17" t="inlineStr"/>
    </row>
    <row r="93">
      <c r="A93" s="26" t="inlineStr">
        <is>
          <t>Tier B</t>
        </is>
      </c>
      <c r="B93" s="17" t="n">
        <v>28</v>
      </c>
      <c r="C93" s="17" t="inlineStr">
        <is>
          <t>메디포스트(주)</t>
        </is>
      </c>
      <c r="D93" s="17" t="inlineStr">
        <is>
          <t>미확인</t>
        </is>
      </c>
      <c r="E93" s="17" t="inlineStr">
        <is>
          <t>서울특별시</t>
        </is>
      </c>
      <c r="F93" s="17" t="inlineStr">
        <is>
          <t>구로구</t>
        </is>
      </c>
      <c r="G93" s="17" t="n">
        <v>1</v>
      </c>
      <c r="H93" s="20" t="inlineStr">
        <is>
          <t>Y</t>
        </is>
      </c>
      <c r="I93" s="21" t="inlineStr">
        <is>
          <t>Y</t>
        </is>
      </c>
      <c r="J93" s="17" t="inlineStr">
        <is>
          <t>Y</t>
        </is>
      </c>
      <c r="K93" s="17" t="inlineStr"/>
      <c r="L93" s="22" t="inlineStr">
        <is>
          <t>미확인</t>
        </is>
      </c>
      <c r="M93" s="22" t="inlineStr">
        <is>
          <t>미확인</t>
        </is>
      </c>
      <c r="N93" s="22" t="inlineStr">
        <is>
          <t>미확인</t>
        </is>
      </c>
      <c r="O93" s="22" t="inlineStr">
        <is>
          <t>미확인</t>
        </is>
      </c>
      <c r="P93" s="17" t="inlineStr">
        <is>
          <t>QMS+LIMS</t>
        </is>
      </c>
      <c r="Q93" s="22" t="inlineStr">
        <is>
          <t>미확인</t>
        </is>
      </c>
      <c r="R93" s="22" t="inlineStr">
        <is>
          <t>미확인</t>
        </is>
      </c>
      <c r="S93" s="17" t="inlineStr">
        <is>
          <t>Tier D</t>
        </is>
      </c>
      <c r="T93" s="17" t="n">
        <v>19</v>
      </c>
      <c r="U93" s="17" t="inlineStr">
        <is>
          <t>C058</t>
        </is>
      </c>
      <c r="V93" s="17" t="inlineStr">
        <is>
          <t>메디포스트</t>
        </is>
      </c>
      <c r="W93" s="17" t="inlineStr">
        <is>
          <t>Y</t>
        </is>
      </c>
      <c r="X93" s="17" t="inlineStr">
        <is>
          <t>코스닥</t>
        </is>
      </c>
      <c r="Y93" s="23" t="inlineStr">
        <is>
          <t>078160</t>
        </is>
      </c>
      <c r="Z93" s="17" t="inlineStr">
        <is>
          <t>오원일</t>
        </is>
      </c>
      <c r="AA93" s="17" t="inlineStr">
        <is>
          <t>http://www.medi-post.co.kr</t>
        </is>
      </c>
      <c r="AB93" s="17" t="inlineStr">
        <is>
          <t>미확인</t>
        </is>
      </c>
      <c r="AC93" s="17" t="inlineStr">
        <is>
          <t>미확인</t>
        </is>
      </c>
      <c r="AD93" s="17" t="inlineStr">
        <is>
          <t>Y</t>
        </is>
      </c>
      <c r="AE93" s="17" t="inlineStr">
        <is>
          <t>P060</t>
        </is>
      </c>
      <c r="AF93" s="17" t="inlineStr">
        <is>
          <t>서울특별시 구로구 디지털로 306 9층 901~907호, 911호, 5층 501호(일부),B1층 B101호, B106호, B111호, B121~123호, B128호, B129호(구로동, 대륭포스트타워 2차)</t>
        </is>
      </c>
      <c r="AG93" s="17" t="inlineStr">
        <is>
          <t>완제의약품</t>
        </is>
      </c>
      <c r="AH93" s="17" t="inlineStr">
        <is>
          <t>생물-세포치료제-주사제(첨단바이오의약품)(주사제)</t>
        </is>
      </c>
      <c r="AI93" s="17" t="n">
        <v>1</v>
      </c>
      <c r="AJ93" s="24" t="n">
        <v>47193</v>
      </c>
      <c r="AK93" s="17" t="inlineStr"/>
      <c r="AL93" s="17" t="inlineStr"/>
      <c r="AM93" s="17" t="inlineStr">
        <is>
          <t>무균/바이오 제조로 품질관리 난도 높음</t>
        </is>
      </c>
      <c r="AN93" s="17" t="inlineStr">
        <is>
          <t>미확인</t>
        </is>
      </c>
      <c r="AO93" s="17" t="inlineStr">
        <is>
          <t>미확인</t>
        </is>
      </c>
      <c r="AP93" s="17" t="inlineStr">
        <is>
          <t>미확인</t>
        </is>
      </c>
      <c r="AQ93" s="17" t="inlineStr">
        <is>
          <t>담당자 파악 후 접촉</t>
        </is>
      </c>
      <c r="AR93" s="17" t="inlineStr">
        <is>
          <t>2026-07-05</t>
        </is>
      </c>
      <c r="AS93" s="17" t="inlineStr">
        <is>
          <t>C(부분확인)</t>
        </is>
      </c>
      <c r="AT93" s="17" t="n">
        <v>0</v>
      </c>
      <c r="AU93" s="17" t="inlineStr">
        <is>
          <t>Y</t>
        </is>
      </c>
      <c r="AV93" s="17" t="inlineStr"/>
    </row>
    <row r="94">
      <c r="A94" s="26" t="inlineStr">
        <is>
          <t>Tier B</t>
        </is>
      </c>
      <c r="B94" s="17" t="n">
        <v>28</v>
      </c>
      <c r="C94" s="17" t="inlineStr">
        <is>
          <t>주식회사 큐로셀</t>
        </is>
      </c>
      <c r="D94" s="17" t="inlineStr">
        <is>
          <t>미확인</t>
        </is>
      </c>
      <c r="E94" s="17" t="inlineStr">
        <is>
          <t>대전광역시</t>
        </is>
      </c>
      <c r="F94" s="17" t="inlineStr">
        <is>
          <t>유성구</t>
        </is>
      </c>
      <c r="G94" s="17" t="n">
        <v>1</v>
      </c>
      <c r="H94" s="20" t="inlineStr">
        <is>
          <t>Y</t>
        </is>
      </c>
      <c r="I94" s="21" t="inlineStr">
        <is>
          <t>Y</t>
        </is>
      </c>
      <c r="J94" s="17" t="inlineStr">
        <is>
          <t>Y</t>
        </is>
      </c>
      <c r="K94" s="17" t="inlineStr"/>
      <c r="L94" s="22" t="inlineStr">
        <is>
          <t>미확인</t>
        </is>
      </c>
      <c r="M94" s="22" t="inlineStr">
        <is>
          <t>미확인</t>
        </is>
      </c>
      <c r="N94" s="22" t="inlineStr">
        <is>
          <t>미확인</t>
        </is>
      </c>
      <c r="O94" s="22" t="inlineStr">
        <is>
          <t>미확인</t>
        </is>
      </c>
      <c r="P94" s="17" t="inlineStr">
        <is>
          <t>QMS+LIMS</t>
        </is>
      </c>
      <c r="Q94" s="22" t="inlineStr">
        <is>
          <t>미확인</t>
        </is>
      </c>
      <c r="R94" s="22" t="inlineStr">
        <is>
          <t>미확인</t>
        </is>
      </c>
      <c r="S94" s="17" t="inlineStr">
        <is>
          <t>Tier D</t>
        </is>
      </c>
      <c r="T94" s="17" t="n">
        <v>19</v>
      </c>
      <c r="U94" s="17" t="inlineStr">
        <is>
          <t>C037</t>
        </is>
      </c>
      <c r="V94" s="17" t="inlineStr">
        <is>
          <t>큐로셀</t>
        </is>
      </c>
      <c r="W94" s="17" t="inlineStr">
        <is>
          <t>Y</t>
        </is>
      </c>
      <c r="X94" s="17" t="inlineStr">
        <is>
          <t>코스닥</t>
        </is>
      </c>
      <c r="Y94" s="23" t="inlineStr">
        <is>
          <t>372320</t>
        </is>
      </c>
      <c r="Z94" s="17" t="inlineStr">
        <is>
          <t>김건수</t>
        </is>
      </c>
      <c r="AA94" s="17" t="inlineStr">
        <is>
          <t>http://curocellbtx.com</t>
        </is>
      </c>
      <c r="AB94" s="17" t="inlineStr">
        <is>
          <t>미확인</t>
        </is>
      </c>
      <c r="AC94" s="17" t="inlineStr">
        <is>
          <t>미확인</t>
        </is>
      </c>
      <c r="AD94" s="17" t="inlineStr">
        <is>
          <t>Y</t>
        </is>
      </c>
      <c r="AE94" s="17" t="inlineStr">
        <is>
          <t>P037</t>
        </is>
      </c>
      <c r="AF94" s="17" t="inlineStr">
        <is>
          <t>대전광역시 유성구 국제과학16로 11</t>
        </is>
      </c>
      <c r="AG94" s="17" t="inlineStr">
        <is>
          <t>완제의약품</t>
        </is>
      </c>
      <c r="AH94" s="17" t="inlineStr">
        <is>
          <t>생물-유전자치료제-주사제(첨단바이오의약품)(주사제)</t>
        </is>
      </c>
      <c r="AI94" s="17" t="n">
        <v>1</v>
      </c>
      <c r="AJ94" s="24" t="n">
        <v>47243</v>
      </c>
      <c r="AK94" s="17" t="inlineStr"/>
      <c r="AL94" s="17" t="inlineStr"/>
      <c r="AM94" s="17" t="inlineStr">
        <is>
          <t>무균/바이오 제조로 품질관리 난도 높음</t>
        </is>
      </c>
      <c r="AN94" s="17" t="inlineStr">
        <is>
          <t>미확인</t>
        </is>
      </c>
      <c r="AO94" s="17" t="inlineStr">
        <is>
          <t>미확인</t>
        </is>
      </c>
      <c r="AP94" s="17" t="inlineStr">
        <is>
          <t>미확인</t>
        </is>
      </c>
      <c r="AQ94" s="17" t="inlineStr">
        <is>
          <t>담당자 파악 후 접촉</t>
        </is>
      </c>
      <c r="AR94" s="17" t="inlineStr">
        <is>
          <t>2026-07-05</t>
        </is>
      </c>
      <c r="AS94" s="17" t="inlineStr">
        <is>
          <t>C(부분확인)</t>
        </is>
      </c>
      <c r="AT94" s="17" t="n">
        <v>0</v>
      </c>
      <c r="AU94" s="17" t="inlineStr">
        <is>
          <t>Y</t>
        </is>
      </c>
      <c r="AV94" s="17" t="inlineStr"/>
    </row>
    <row r="95">
      <c r="A95" s="26" t="inlineStr">
        <is>
          <t>Tier B</t>
        </is>
      </c>
      <c r="B95" s="17" t="n">
        <v>28</v>
      </c>
      <c r="C95" s="17" t="inlineStr">
        <is>
          <t>주식회사지씨셀</t>
        </is>
      </c>
      <c r="D95" s="17" t="inlineStr">
        <is>
          <t>미확인</t>
        </is>
      </c>
      <c r="E95" s="17" t="inlineStr">
        <is>
          <t>경기도</t>
        </is>
      </c>
      <c r="F95" s="17" t="inlineStr">
        <is>
          <t>용인시</t>
        </is>
      </c>
      <c r="G95" s="17" t="n">
        <v>1</v>
      </c>
      <c r="H95" s="20" t="inlineStr">
        <is>
          <t>Y</t>
        </is>
      </c>
      <c r="I95" s="21" t="inlineStr">
        <is>
          <t>Y</t>
        </is>
      </c>
      <c r="J95" s="17" t="inlineStr">
        <is>
          <t>Y</t>
        </is>
      </c>
      <c r="K95" s="17" t="inlineStr"/>
      <c r="L95" s="22" t="inlineStr">
        <is>
          <t>미확인</t>
        </is>
      </c>
      <c r="M95" s="22" t="inlineStr">
        <is>
          <t>미확인</t>
        </is>
      </c>
      <c r="N95" s="22" t="inlineStr">
        <is>
          <t>미확인</t>
        </is>
      </c>
      <c r="O95" s="22" t="inlineStr">
        <is>
          <t>미확인</t>
        </is>
      </c>
      <c r="P95" s="17" t="inlineStr">
        <is>
          <t>QMS+LIMS</t>
        </is>
      </c>
      <c r="Q95" s="22" t="inlineStr">
        <is>
          <t>미확인</t>
        </is>
      </c>
      <c r="R95" s="22" t="inlineStr">
        <is>
          <t>미확인</t>
        </is>
      </c>
      <c r="S95" s="17" t="inlineStr">
        <is>
          <t>Tier D</t>
        </is>
      </c>
      <c r="T95" s="17" t="n">
        <v>19</v>
      </c>
      <c r="U95" s="17" t="inlineStr">
        <is>
          <t>C282</t>
        </is>
      </c>
      <c r="V95" s="17" t="inlineStr">
        <is>
          <t>지씨셀</t>
        </is>
      </c>
      <c r="W95" s="17" t="inlineStr">
        <is>
          <t>Y</t>
        </is>
      </c>
      <c r="X95" s="17" t="inlineStr">
        <is>
          <t>코스닥</t>
        </is>
      </c>
      <c r="Y95" s="23" t="inlineStr">
        <is>
          <t>144510</t>
        </is>
      </c>
      <c r="Z95" s="17" t="inlineStr">
        <is>
          <t>원성용, 김재왕</t>
        </is>
      </c>
      <c r="AA95" s="17" t="inlineStr">
        <is>
          <t>http://www.gclabcell.com</t>
        </is>
      </c>
      <c r="AB95" s="17" t="inlineStr">
        <is>
          <t>미확인</t>
        </is>
      </c>
      <c r="AC95" s="17" t="inlineStr">
        <is>
          <t>미확인</t>
        </is>
      </c>
      <c r="AD95" s="17" t="inlineStr">
        <is>
          <t>Y</t>
        </is>
      </c>
      <c r="AE95" s="17" t="inlineStr">
        <is>
          <t>P339</t>
        </is>
      </c>
      <c r="AF95" s="17" t="inlineStr">
        <is>
          <t>경기도 용인시 기흥구 이현로30번길 107 셀센터 지하2층(일부), 지하1층(일부) , 1층, 2층</t>
        </is>
      </c>
      <c r="AG95" s="17" t="inlineStr">
        <is>
          <t>완제의약품</t>
        </is>
      </c>
      <c r="AH95" s="17" t="inlineStr">
        <is>
          <t>생물-세포치료제-주사제(첨단바이오의약품)(주사제)</t>
        </is>
      </c>
      <c r="AI95" s="17" t="n">
        <v>1</v>
      </c>
      <c r="AJ95" s="24" t="n">
        <v>46634</v>
      </c>
      <c r="AK95" s="17" t="inlineStr"/>
      <c r="AL95" s="17" t="inlineStr"/>
      <c r="AM95" s="17" t="inlineStr">
        <is>
          <t>무균/바이오 제조로 품질관리 난도 높음</t>
        </is>
      </c>
      <c r="AN95" s="17" t="inlineStr">
        <is>
          <t>미확인</t>
        </is>
      </c>
      <c r="AO95" s="17" t="inlineStr">
        <is>
          <t>미확인</t>
        </is>
      </c>
      <c r="AP95" s="17" t="inlineStr">
        <is>
          <t>미확인</t>
        </is>
      </c>
      <c r="AQ95" s="17" t="inlineStr">
        <is>
          <t>담당자 파악 후 접촉</t>
        </is>
      </c>
      <c r="AR95" s="17" t="inlineStr">
        <is>
          <t>2026-07-05</t>
        </is>
      </c>
      <c r="AS95" s="17" t="inlineStr">
        <is>
          <t>C(부분확인)</t>
        </is>
      </c>
      <c r="AT95" s="17" t="n">
        <v>0</v>
      </c>
      <c r="AU95" s="17" t="inlineStr">
        <is>
          <t>Y</t>
        </is>
      </c>
      <c r="AV95" s="17" t="inlineStr"/>
    </row>
    <row r="96">
      <c r="A96" s="26" t="inlineStr">
        <is>
          <t>Tier B</t>
        </is>
      </c>
      <c r="B96" s="17" t="n">
        <v>28</v>
      </c>
      <c r="C96" s="17" t="inlineStr">
        <is>
          <t>파미셀주식회사</t>
        </is>
      </c>
      <c r="D96" s="17" t="inlineStr">
        <is>
          <t>미확인</t>
        </is>
      </c>
      <c r="E96" s="17" t="inlineStr">
        <is>
          <t>경기도</t>
        </is>
      </c>
      <c r="F96" s="17" t="inlineStr">
        <is>
          <t>성남시</t>
        </is>
      </c>
      <c r="G96" s="17" t="n">
        <v>1</v>
      </c>
      <c r="H96" s="20" t="inlineStr">
        <is>
          <t>Y</t>
        </is>
      </c>
      <c r="I96" s="21" t="inlineStr">
        <is>
          <t>Y</t>
        </is>
      </c>
      <c r="J96" s="17" t="inlineStr">
        <is>
          <t>Y</t>
        </is>
      </c>
      <c r="K96" s="17" t="inlineStr"/>
      <c r="L96" s="22" t="inlineStr">
        <is>
          <t>미확인</t>
        </is>
      </c>
      <c r="M96" s="22" t="inlineStr">
        <is>
          <t>미확인</t>
        </is>
      </c>
      <c r="N96" s="22" t="inlineStr">
        <is>
          <t>미확인</t>
        </is>
      </c>
      <c r="O96" s="22" t="inlineStr">
        <is>
          <t>미확인</t>
        </is>
      </c>
      <c r="P96" s="17" t="inlineStr">
        <is>
          <t>QMS+LIMS</t>
        </is>
      </c>
      <c r="Q96" s="22" t="inlineStr">
        <is>
          <t>미확인</t>
        </is>
      </c>
      <c r="R96" s="22" t="inlineStr">
        <is>
          <t>미확인</t>
        </is>
      </c>
      <c r="S96" s="17" t="inlineStr">
        <is>
          <t>Tier D</t>
        </is>
      </c>
      <c r="T96" s="17" t="n">
        <v>19</v>
      </c>
      <c r="U96" s="17" t="inlineStr">
        <is>
          <t>C257</t>
        </is>
      </c>
      <c r="V96" s="17" t="inlineStr">
        <is>
          <t>파미셀</t>
        </is>
      </c>
      <c r="W96" s="17" t="inlineStr">
        <is>
          <t>Y</t>
        </is>
      </c>
      <c r="X96" s="17" t="inlineStr">
        <is>
          <t>유가</t>
        </is>
      </c>
      <c r="Y96" s="23" t="inlineStr">
        <is>
          <t>005690</t>
        </is>
      </c>
      <c r="Z96" s="17" t="inlineStr">
        <is>
          <t>김현수</t>
        </is>
      </c>
      <c r="AA96" s="17" t="inlineStr">
        <is>
          <t>http://www.pharmicell.com</t>
        </is>
      </c>
      <c r="AB96" s="17" t="inlineStr">
        <is>
          <t>미확인</t>
        </is>
      </c>
      <c r="AC96" s="17" t="inlineStr">
        <is>
          <t>미확인</t>
        </is>
      </c>
      <c r="AD96" s="17" t="inlineStr">
        <is>
          <t>Y</t>
        </is>
      </c>
      <c r="AE96" s="17" t="inlineStr">
        <is>
          <t>P300</t>
        </is>
      </c>
      <c r="AF96" s="17" t="inlineStr">
        <is>
          <t>경기도 성남시 중원구 둔촌대로 484 시콕스타워 901 902 911 920 921 922 923 515 516 517 518 519 520 521 522 523(상대원동)</t>
        </is>
      </c>
      <c r="AG96" s="17" t="inlineStr">
        <is>
          <t>완제의약품</t>
        </is>
      </c>
      <c r="AH96" s="17" t="inlineStr">
        <is>
          <t>생물-세포치료제-주사제(첨단바이오의약품)(주사제)</t>
        </is>
      </c>
      <c r="AI96" s="17" t="n">
        <v>1</v>
      </c>
      <c r="AJ96" s="24" t="n">
        <v>46793</v>
      </c>
      <c r="AK96" s="17" t="inlineStr"/>
      <c r="AL96" s="17" t="inlineStr"/>
      <c r="AM96" s="17" t="inlineStr">
        <is>
          <t>무균/바이오 제조로 품질관리 난도 높음</t>
        </is>
      </c>
      <c r="AN96" s="17" t="inlineStr">
        <is>
          <t>미확인</t>
        </is>
      </c>
      <c r="AO96" s="17" t="inlineStr">
        <is>
          <t>미확인</t>
        </is>
      </c>
      <c r="AP96" s="17" t="inlineStr">
        <is>
          <t>미확인</t>
        </is>
      </c>
      <c r="AQ96" s="17" t="inlineStr">
        <is>
          <t>담당자 파악 후 접촉</t>
        </is>
      </c>
      <c r="AR96" s="17" t="inlineStr">
        <is>
          <t>2026-07-05</t>
        </is>
      </c>
      <c r="AS96" s="17" t="inlineStr">
        <is>
          <t>C(부분확인)</t>
        </is>
      </c>
      <c r="AT96" s="17" t="n">
        <v>0</v>
      </c>
      <c r="AU96" s="17" t="inlineStr">
        <is>
          <t>Y</t>
        </is>
      </c>
      <c r="AV96" s="17" t="inlineStr"/>
    </row>
    <row r="97">
      <c r="A97" s="26" t="inlineStr">
        <is>
          <t>Tier B</t>
        </is>
      </c>
      <c r="B97" s="17" t="n">
        <v>27</v>
      </c>
      <c r="C97" s="17" t="inlineStr">
        <is>
          <t>유니메드제약(주)</t>
        </is>
      </c>
      <c r="D97" s="17" t="inlineStr">
        <is>
          <t>아산공장</t>
        </is>
      </c>
      <c r="E97" s="17" t="inlineStr">
        <is>
          <t>충청남도</t>
        </is>
      </c>
      <c r="F97" s="17" t="inlineStr">
        <is>
          <t>아산시</t>
        </is>
      </c>
      <c r="G97" s="17" t="n">
        <v>2</v>
      </c>
      <c r="H97" s="20" t="inlineStr">
        <is>
          <t>Y</t>
        </is>
      </c>
      <c r="I97" s="17" t="inlineStr"/>
      <c r="J97" s="17" t="inlineStr">
        <is>
          <t>Y</t>
        </is>
      </c>
      <c r="K97" s="17" t="inlineStr">
        <is>
          <t>Y</t>
        </is>
      </c>
      <c r="L97" s="22" t="inlineStr">
        <is>
          <t>미확인</t>
        </is>
      </c>
      <c r="M97" s="22" t="inlineStr">
        <is>
          <t>미확인</t>
        </is>
      </c>
      <c r="N97" s="22" t="inlineStr">
        <is>
          <t>미확인</t>
        </is>
      </c>
      <c r="O97" s="22" t="inlineStr">
        <is>
          <t>미확인</t>
        </is>
      </c>
      <c r="P97" s="17" t="inlineStr">
        <is>
          <t>통합형</t>
        </is>
      </c>
      <c r="Q97" s="22" t="inlineStr">
        <is>
          <t>미확인</t>
        </is>
      </c>
      <c r="R97" s="22" t="inlineStr">
        <is>
          <t>미확인</t>
        </is>
      </c>
      <c r="S97" s="17" t="inlineStr">
        <is>
          <t>Tier D</t>
        </is>
      </c>
      <c r="T97" s="17" t="n">
        <v>19</v>
      </c>
      <c r="U97" s="17" t="inlineStr">
        <is>
          <t>C026</t>
        </is>
      </c>
      <c r="V97" s="17" t="inlineStr">
        <is>
          <t>유니메드제약</t>
        </is>
      </c>
      <c r="W97" s="17" t="inlineStr"/>
      <c r="X97" s="17" t="inlineStr"/>
      <c r="Y97" s="23" t="inlineStr"/>
      <c r="Z97" s="17" t="inlineStr">
        <is>
          <t>김건남</t>
        </is>
      </c>
      <c r="AA97" s="17" t="inlineStr"/>
      <c r="AB97" s="17" t="inlineStr">
        <is>
          <t>02-424-2777</t>
        </is>
      </c>
      <c r="AC97" s="17" t="inlineStr">
        <is>
          <t>미확인</t>
        </is>
      </c>
      <c r="AD97" s="17" t="inlineStr">
        <is>
          <t>Y</t>
        </is>
      </c>
      <c r="AE97" s="17" t="inlineStr">
        <is>
          <t>P026</t>
        </is>
      </c>
      <c r="AF97" s="17" t="inlineStr">
        <is>
          <t>충청남도 아산시 실옥로 110-27</t>
        </is>
      </c>
      <c r="AG97" s="17" t="inlineStr">
        <is>
          <t>완제의약품+원료의약품</t>
        </is>
      </c>
      <c r="AH97" s="17" t="inlineStr">
        <is>
          <t>비무균-일반제제-내용고형제(정제, 캡슐제), 무균-일반제제-주사제(주사제), 무균-일반제제-점안제(점안제), 비무균-일반제제-첩부제(첩부제)</t>
        </is>
      </c>
      <c r="AI97" s="17" t="n">
        <v>2</v>
      </c>
      <c r="AJ97" s="24" t="n">
        <v>47270</v>
      </c>
      <c r="AK97" s="17" t="inlineStr"/>
      <c r="AL97" s="17" t="inlineStr"/>
      <c r="AM97" s="17" t="inlineStr">
        <is>
          <t>다중 제조소/다수 판정서로 문서관리 복잡; 무균/바이오 제조로 품질관리 난도 높음</t>
        </is>
      </c>
      <c r="AN97" s="17" t="inlineStr">
        <is>
          <t>미확인</t>
        </is>
      </c>
      <c r="AO97" s="17" t="inlineStr">
        <is>
          <t>미확인</t>
        </is>
      </c>
      <c r="AP97" s="17" t="inlineStr">
        <is>
          <t>미확인</t>
        </is>
      </c>
      <c r="AQ97" s="17" t="inlineStr">
        <is>
          <t>담당자 파악 후 접촉</t>
        </is>
      </c>
      <c r="AR97" s="17" t="inlineStr">
        <is>
          <t>2026-07-05</t>
        </is>
      </c>
      <c r="AS97" s="17" t="inlineStr">
        <is>
          <t>C(부분확인)</t>
        </is>
      </c>
      <c r="AT97" s="17" t="n">
        <v>90</v>
      </c>
      <c r="AU97" s="17" t="inlineStr"/>
      <c r="AV97" s="17" t="inlineStr"/>
    </row>
    <row r="98">
      <c r="A98" s="26" t="inlineStr">
        <is>
          <t>Tier B</t>
        </is>
      </c>
      <c r="B98" s="17" t="n">
        <v>27</v>
      </c>
      <c r="C98" s="17" t="inlineStr">
        <is>
          <t>유니메드제약(주)</t>
        </is>
      </c>
      <c r="D98" s="17" t="inlineStr">
        <is>
          <t>오송공장</t>
        </is>
      </c>
      <c r="E98" s="17" t="inlineStr">
        <is>
          <t>충청북도</t>
        </is>
      </c>
      <c r="F98" s="17" t="inlineStr">
        <is>
          <t>청주시</t>
        </is>
      </c>
      <c r="G98" s="17" t="n">
        <v>2</v>
      </c>
      <c r="H98" s="20" t="inlineStr">
        <is>
          <t>Y</t>
        </is>
      </c>
      <c r="I98" s="17" t="inlineStr"/>
      <c r="J98" s="17" t="inlineStr">
        <is>
          <t>Y</t>
        </is>
      </c>
      <c r="K98" s="17" t="inlineStr">
        <is>
          <t>Y</t>
        </is>
      </c>
      <c r="L98" s="22" t="inlineStr">
        <is>
          <t>미확인</t>
        </is>
      </c>
      <c r="M98" s="22" t="inlineStr">
        <is>
          <t>미확인</t>
        </is>
      </c>
      <c r="N98" s="22" t="inlineStr">
        <is>
          <t>미확인</t>
        </is>
      </c>
      <c r="O98" s="22" t="inlineStr">
        <is>
          <t>미확인</t>
        </is>
      </c>
      <c r="P98" s="17" t="inlineStr">
        <is>
          <t>통합형</t>
        </is>
      </c>
      <c r="Q98" s="22" t="inlineStr">
        <is>
          <t>미확인</t>
        </is>
      </c>
      <c r="R98" s="22" t="inlineStr">
        <is>
          <t>미확인</t>
        </is>
      </c>
      <c r="S98" s="17" t="inlineStr">
        <is>
          <t>Tier D</t>
        </is>
      </c>
      <c r="T98" s="17" t="n">
        <v>19</v>
      </c>
      <c r="U98" s="17" t="inlineStr">
        <is>
          <t>C026</t>
        </is>
      </c>
      <c r="V98" s="17" t="inlineStr">
        <is>
          <t>유니메드제약</t>
        </is>
      </c>
      <c r="W98" s="17" t="inlineStr"/>
      <c r="X98" s="17" t="inlineStr"/>
      <c r="Y98" s="23" t="inlineStr"/>
      <c r="Z98" s="17" t="inlineStr">
        <is>
          <t>김건남</t>
        </is>
      </c>
      <c r="AA98" s="17" t="inlineStr"/>
      <c r="AB98" s="17" t="inlineStr">
        <is>
          <t>02-424-2777</t>
        </is>
      </c>
      <c r="AC98" s="17" t="inlineStr">
        <is>
          <t>미확인</t>
        </is>
      </c>
      <c r="AD98" s="17" t="inlineStr">
        <is>
          <t>Y</t>
        </is>
      </c>
      <c r="AE98" s="17" t="inlineStr">
        <is>
          <t>P417</t>
        </is>
      </c>
      <c r="AF98" s="17" t="inlineStr">
        <is>
          <t>충청북도 청주시 흥덕구 오송읍 오송생명6로 132</t>
        </is>
      </c>
      <c r="AG98" s="17" t="inlineStr">
        <is>
          <t>완제의약품</t>
        </is>
      </c>
      <c r="AH98" s="17" t="inlineStr">
        <is>
          <t>무균-일반제제-주사제(주사제), 무균-일반제제-점안제(점안제), 비무균-일반제제-내용액제(경구용액제)</t>
        </is>
      </c>
      <c r="AI98" s="17" t="n">
        <v>1</v>
      </c>
      <c r="AJ98" s="24" t="n">
        <v>46458</v>
      </c>
      <c r="AK98" s="17" t="inlineStr"/>
      <c r="AL98" s="17" t="inlineStr">
        <is>
          <t>Y</t>
        </is>
      </c>
      <c r="AM98" s="17" t="inlineStr">
        <is>
          <t>다중 제조소/다수 판정서로 문서관리 복잡; 무균/바이오 제조로 품질관리 난도 높음</t>
        </is>
      </c>
      <c r="AN98" s="17" t="inlineStr">
        <is>
          <t>미확인</t>
        </is>
      </c>
      <c r="AO98" s="17" t="inlineStr">
        <is>
          <t>미확인</t>
        </is>
      </c>
      <c r="AP98" s="17" t="inlineStr">
        <is>
          <t>미확인</t>
        </is>
      </c>
      <c r="AQ98" s="17" t="inlineStr">
        <is>
          <t>담당자 파악 후 접촉</t>
        </is>
      </c>
      <c r="AR98" s="17" t="inlineStr">
        <is>
          <t>2026-07-05</t>
        </is>
      </c>
      <c r="AS98" s="17" t="inlineStr">
        <is>
          <t>C(부분확인)</t>
        </is>
      </c>
      <c r="AT98" s="17" t="n">
        <v>90</v>
      </c>
      <c r="AU98" s="17" t="inlineStr"/>
      <c r="AV98" s="17" t="inlineStr"/>
    </row>
    <row r="99">
      <c r="A99" s="26" t="inlineStr">
        <is>
          <t>Tier B</t>
        </is>
      </c>
      <c r="B99" s="17" t="n">
        <v>27</v>
      </c>
      <c r="C99" s="17" t="inlineStr">
        <is>
          <t>(주)경보제약</t>
        </is>
      </c>
      <c r="D99" s="17" t="inlineStr">
        <is>
          <t>아산</t>
        </is>
      </c>
      <c r="E99" s="17" t="inlineStr">
        <is>
          <t>충청남도</t>
        </is>
      </c>
      <c r="F99" s="17" t="inlineStr">
        <is>
          <t>아산시</t>
        </is>
      </c>
      <c r="G99" s="17" t="n">
        <v>1</v>
      </c>
      <c r="H99" s="20" t="inlineStr">
        <is>
          <t>Y</t>
        </is>
      </c>
      <c r="I99" s="17" t="inlineStr"/>
      <c r="J99" s="17" t="inlineStr">
        <is>
          <t>Y</t>
        </is>
      </c>
      <c r="K99" s="17" t="inlineStr">
        <is>
          <t>Y</t>
        </is>
      </c>
      <c r="L99" s="22" t="inlineStr">
        <is>
          <t>미확인</t>
        </is>
      </c>
      <c r="M99" s="22" t="inlineStr">
        <is>
          <t>미확인</t>
        </is>
      </c>
      <c r="N99" s="22" t="inlineStr">
        <is>
          <t>미확인</t>
        </is>
      </c>
      <c r="O99" s="22" t="inlineStr">
        <is>
          <t>미확인</t>
        </is>
      </c>
      <c r="P99" s="17" t="inlineStr">
        <is>
          <t>QMS+LIMS</t>
        </is>
      </c>
      <c r="Q99" s="22" t="inlineStr">
        <is>
          <t>미확인</t>
        </is>
      </c>
      <c r="R99" s="22" t="inlineStr">
        <is>
          <t>미확인</t>
        </is>
      </c>
      <c r="S99" s="17" t="inlineStr">
        <is>
          <t>Tier D</t>
        </is>
      </c>
      <c r="T99" s="17" t="n">
        <v>15</v>
      </c>
      <c r="U99" s="17" t="inlineStr">
        <is>
          <t>C083</t>
        </is>
      </c>
      <c r="V99" s="17" t="inlineStr">
        <is>
          <t>경보제약</t>
        </is>
      </c>
      <c r="W99" s="17" t="inlineStr">
        <is>
          <t>Y</t>
        </is>
      </c>
      <c r="X99" s="17" t="inlineStr">
        <is>
          <t>유가</t>
        </is>
      </c>
      <c r="Y99" s="23" t="inlineStr">
        <is>
          <t>214390</t>
        </is>
      </c>
      <c r="Z99" s="17" t="inlineStr">
        <is>
          <t>김태영</t>
        </is>
      </c>
      <c r="AA99" s="17" t="inlineStr">
        <is>
          <t>http://www.kbpharma.co.kr</t>
        </is>
      </c>
      <c r="AB99" s="17" t="inlineStr">
        <is>
          <t>041-545-0456</t>
        </is>
      </c>
      <c r="AC99" s="17" t="inlineStr">
        <is>
          <t>미확인</t>
        </is>
      </c>
      <c r="AD99" s="17" t="inlineStr">
        <is>
          <t>Y</t>
        </is>
      </c>
      <c r="AE99" s="17" t="inlineStr">
        <is>
          <t>P085</t>
        </is>
      </c>
      <c r="AF99" s="17" t="inlineStr">
        <is>
          <t>충청남도 아산시 실옥로 174</t>
        </is>
      </c>
      <c r="AG99" s="17" t="inlineStr">
        <is>
          <t>완제의약품+원료의약품</t>
        </is>
      </c>
      <c r="AH99" s="17" t="inlineStr">
        <is>
          <t>무균-세팔로스포린제제-합성, 비무균-세팔로스포린제제-합성, 비무균-세포독성항암제제-합성, 비무균-일반제제-합성</t>
        </is>
      </c>
      <c r="AI99" s="17" t="n">
        <v>2</v>
      </c>
      <c r="AJ99" s="24" t="n">
        <v>47149</v>
      </c>
      <c r="AK99" s="17" t="inlineStr"/>
      <c r="AL99" s="17" t="inlineStr"/>
      <c r="AM99" s="17" t="inlineStr">
        <is>
          <t>무균/바이오 제조로 품질관리 난도 높음; 원료 제조로 시험실 관리 필요</t>
        </is>
      </c>
      <c r="AN99" s="17" t="inlineStr">
        <is>
          <t>미확인</t>
        </is>
      </c>
      <c r="AO99" s="17" t="inlineStr">
        <is>
          <t>미확인</t>
        </is>
      </c>
      <c r="AP99" s="17" t="inlineStr">
        <is>
          <t>미확인</t>
        </is>
      </c>
      <c r="AQ99" s="17" t="inlineStr">
        <is>
          <t>담당자 파악 후 접촉</t>
        </is>
      </c>
      <c r="AR99" s="17" t="inlineStr">
        <is>
          <t>2026-07-05</t>
        </is>
      </c>
      <c r="AS99" s="17" t="inlineStr">
        <is>
          <t>C(부분확인)</t>
        </is>
      </c>
      <c r="AT99" s="17" t="n">
        <v>90</v>
      </c>
      <c r="AU99" s="17" t="inlineStr"/>
      <c r="AV99" s="17" t="inlineStr"/>
    </row>
    <row r="100">
      <c r="A100" s="26" t="inlineStr">
        <is>
          <t>Tier B</t>
        </is>
      </c>
      <c r="B100" s="17" t="n">
        <v>27</v>
      </c>
      <c r="C100" s="17" t="inlineStr">
        <is>
          <t>(주)녹십자웰빙</t>
        </is>
      </c>
      <c r="D100" s="17" t="inlineStr">
        <is>
          <t>제2공장 음성혁신공장</t>
        </is>
      </c>
      <c r="E100" s="17" t="inlineStr">
        <is>
          <t>충청북도</t>
        </is>
      </c>
      <c r="F100" s="17" t="inlineStr">
        <is>
          <t>음성군</t>
        </is>
      </c>
      <c r="G100" s="17" t="n">
        <v>1</v>
      </c>
      <c r="H100" s="20" t="inlineStr">
        <is>
          <t>Y</t>
        </is>
      </c>
      <c r="I100" s="17" t="inlineStr"/>
      <c r="J100" s="17" t="inlineStr">
        <is>
          <t>Y</t>
        </is>
      </c>
      <c r="K100" s="17" t="inlineStr">
        <is>
          <t>Y</t>
        </is>
      </c>
      <c r="L100" s="22" t="inlineStr">
        <is>
          <t>미확인</t>
        </is>
      </c>
      <c r="M100" s="22" t="inlineStr">
        <is>
          <t>미확인</t>
        </is>
      </c>
      <c r="N100" s="22" t="inlineStr">
        <is>
          <t>미확인</t>
        </is>
      </c>
      <c r="O100" s="22" t="inlineStr">
        <is>
          <t>미확인</t>
        </is>
      </c>
      <c r="P100" s="17" t="inlineStr">
        <is>
          <t>QMS+LIMS</t>
        </is>
      </c>
      <c r="Q100" s="22" t="inlineStr">
        <is>
          <t>미확인</t>
        </is>
      </c>
      <c r="R100" s="22" t="inlineStr">
        <is>
          <t>미확인</t>
        </is>
      </c>
      <c r="S100" s="17" t="inlineStr">
        <is>
          <t>Tier D</t>
        </is>
      </c>
      <c r="T100" s="17" t="n">
        <v>15</v>
      </c>
      <c r="U100" s="17" t="inlineStr">
        <is>
          <t>C089</t>
        </is>
      </c>
      <c r="V100" s="17" t="inlineStr">
        <is>
          <t>녹십자웰빙</t>
        </is>
      </c>
      <c r="W100" s="17" t="inlineStr">
        <is>
          <t>Y</t>
        </is>
      </c>
      <c r="X100" s="17" t="inlineStr">
        <is>
          <t>코스닥</t>
        </is>
      </c>
      <c r="Y100" s="23" t="inlineStr">
        <is>
          <t>234690</t>
        </is>
      </c>
      <c r="Z100" s="17" t="inlineStr">
        <is>
          <t>김상현</t>
        </is>
      </c>
      <c r="AA100" s="17" t="inlineStr">
        <is>
          <t>http://www.greencrosswb.com</t>
        </is>
      </c>
      <c r="AB100" s="17" t="inlineStr">
        <is>
          <t>070-4470-2319</t>
        </is>
      </c>
      <c r="AC100" s="17" t="inlineStr">
        <is>
          <t>미확인</t>
        </is>
      </c>
      <c r="AD100" s="17" t="inlineStr">
        <is>
          <t>Y</t>
        </is>
      </c>
      <c r="AE100" s="17" t="inlineStr">
        <is>
          <t>P091</t>
        </is>
      </c>
      <c r="AF100" s="17" t="inlineStr">
        <is>
          <t>충청북도 음성군 맹동면 두레로 173</t>
        </is>
      </c>
      <c r="AG100" s="17" t="inlineStr">
        <is>
          <t>완제의약품+원료의약품</t>
        </is>
      </c>
      <c r="AH100" s="17" t="inlineStr">
        <is>
          <t>비무균-일반제제-추출</t>
        </is>
      </c>
      <c r="AI100" s="17" t="n">
        <v>2</v>
      </c>
      <c r="AJ100" s="24" t="n">
        <v>47113</v>
      </c>
      <c r="AK100" s="17" t="inlineStr"/>
      <c r="AL100" s="17" t="inlineStr"/>
      <c r="AM100" s="17" t="inlineStr">
        <is>
          <t>무균/바이오 제조로 품질관리 난도 높음; 원료 제조로 시험실 관리 필요</t>
        </is>
      </c>
      <c r="AN100" s="17" t="inlineStr">
        <is>
          <t>미확인</t>
        </is>
      </c>
      <c r="AO100" s="17" t="inlineStr">
        <is>
          <t>미확인</t>
        </is>
      </c>
      <c r="AP100" s="17" t="inlineStr">
        <is>
          <t>미확인</t>
        </is>
      </c>
      <c r="AQ100" s="17" t="inlineStr">
        <is>
          <t>담당자 파악 후 접촉</t>
        </is>
      </c>
      <c r="AR100" s="17" t="inlineStr">
        <is>
          <t>2026-07-05</t>
        </is>
      </c>
      <c r="AS100" s="17" t="inlineStr">
        <is>
          <t>C(부분확인)</t>
        </is>
      </c>
      <c r="AT100" s="17" t="n">
        <v>90</v>
      </c>
      <c r="AU100" s="17" t="inlineStr"/>
      <c r="AV100" s="17" t="inlineStr"/>
    </row>
    <row r="101">
      <c r="A101" s="26" t="inlineStr">
        <is>
          <t>Tier B</t>
        </is>
      </c>
      <c r="B101" s="17" t="n">
        <v>27</v>
      </c>
      <c r="C101" s="17" t="inlineStr">
        <is>
          <t>(주)휴메딕스</t>
        </is>
      </c>
      <c r="D101" s="17" t="inlineStr">
        <is>
          <t>제천</t>
        </is>
      </c>
      <c r="E101" s="17" t="inlineStr">
        <is>
          <t>충청북도</t>
        </is>
      </c>
      <c r="F101" s="17" t="inlineStr">
        <is>
          <t>제천시</t>
        </is>
      </c>
      <c r="G101" s="17" t="n">
        <v>1</v>
      </c>
      <c r="H101" s="20" t="inlineStr">
        <is>
          <t>Y</t>
        </is>
      </c>
      <c r="I101" s="17" t="inlineStr"/>
      <c r="J101" s="17" t="inlineStr">
        <is>
          <t>Y</t>
        </is>
      </c>
      <c r="K101" s="17" t="inlineStr">
        <is>
          <t>Y</t>
        </is>
      </c>
      <c r="L101" s="22" t="inlineStr">
        <is>
          <t>미확인</t>
        </is>
      </c>
      <c r="M101" s="22" t="inlineStr">
        <is>
          <t>미확인</t>
        </is>
      </c>
      <c r="N101" s="22" t="inlineStr">
        <is>
          <t>미확인</t>
        </is>
      </c>
      <c r="O101" s="22" t="inlineStr">
        <is>
          <t>미확인</t>
        </is>
      </c>
      <c r="P101" s="17" t="inlineStr">
        <is>
          <t>QMS+LIMS</t>
        </is>
      </c>
      <c r="Q101" s="22" t="inlineStr">
        <is>
          <t>미확인</t>
        </is>
      </c>
      <c r="R101" s="22" t="inlineStr">
        <is>
          <t>미확인</t>
        </is>
      </c>
      <c r="S101" s="17" t="inlineStr">
        <is>
          <t>Tier D</t>
        </is>
      </c>
      <c r="T101" s="17" t="n">
        <v>15</v>
      </c>
      <c r="U101" s="17" t="inlineStr">
        <is>
          <t>C162</t>
        </is>
      </c>
      <c r="V101" s="17" t="inlineStr">
        <is>
          <t>휴메딕스</t>
        </is>
      </c>
      <c r="W101" s="17" t="inlineStr">
        <is>
          <t>Y</t>
        </is>
      </c>
      <c r="X101" s="17" t="inlineStr">
        <is>
          <t>코스닥</t>
        </is>
      </c>
      <c r="Y101" s="23" t="inlineStr">
        <is>
          <t>200670</t>
        </is>
      </c>
      <c r="Z101" s="17" t="inlineStr">
        <is>
          <t>강민종</t>
        </is>
      </c>
      <c r="AA101" s="17" t="inlineStr">
        <is>
          <t>http://www.humedix.com</t>
        </is>
      </c>
      <c r="AB101" s="17" t="inlineStr">
        <is>
          <t>043-648-6450</t>
        </is>
      </c>
      <c r="AC101" s="17" t="inlineStr">
        <is>
          <t>미확인</t>
        </is>
      </c>
      <c r="AD101" s="17" t="inlineStr">
        <is>
          <t>Y</t>
        </is>
      </c>
      <c r="AE101" s="17" t="inlineStr">
        <is>
          <t>P174</t>
        </is>
      </c>
      <c r="AF101" s="17" t="inlineStr">
        <is>
          <t>충청북도 제천시 바이오밸리2로 17</t>
        </is>
      </c>
      <c r="AG101" s="17" t="inlineStr">
        <is>
          <t>완제의약품+원료의약품</t>
        </is>
      </c>
      <c r="AH101" s="17" t="inlineStr">
        <is>
          <t>무균-일반제제-합성, 비무균-일반제제-추출</t>
        </is>
      </c>
      <c r="AI101" s="17" t="n">
        <v>2</v>
      </c>
      <c r="AJ101" s="24" t="n">
        <v>46948</v>
      </c>
      <c r="AK101" s="17" t="inlineStr"/>
      <c r="AL101" s="17" t="inlineStr"/>
      <c r="AM101" s="17" t="inlineStr">
        <is>
          <t>무균/바이오 제조로 품질관리 난도 높음; 원료 제조로 시험실 관리 필요</t>
        </is>
      </c>
      <c r="AN101" s="17" t="inlineStr">
        <is>
          <t>미확인</t>
        </is>
      </c>
      <c r="AO101" s="17" t="inlineStr">
        <is>
          <t>미확인</t>
        </is>
      </c>
      <c r="AP101" s="17" t="inlineStr">
        <is>
          <t>미확인</t>
        </is>
      </c>
      <c r="AQ101" s="17" t="inlineStr">
        <is>
          <t>담당자 파악 후 접촉</t>
        </is>
      </c>
      <c r="AR101" s="17" t="inlineStr">
        <is>
          <t>2026-07-05</t>
        </is>
      </c>
      <c r="AS101" s="17" t="inlineStr">
        <is>
          <t>C(부분확인)</t>
        </is>
      </c>
      <c r="AT101" s="17" t="n">
        <v>90</v>
      </c>
      <c r="AU101" s="17" t="inlineStr"/>
      <c r="AV101" s="17" t="inlineStr"/>
    </row>
    <row r="102">
      <c r="A102" s="26" t="inlineStr">
        <is>
          <t>Tier B</t>
        </is>
      </c>
      <c r="B102" s="17" t="n">
        <v>27</v>
      </c>
      <c r="C102" s="17" t="inlineStr">
        <is>
          <t>제일약품(주)</t>
        </is>
      </c>
      <c r="D102" s="17" t="inlineStr">
        <is>
          <t>용인</t>
        </is>
      </c>
      <c r="E102" s="17" t="inlineStr">
        <is>
          <t>경기도</t>
        </is>
      </c>
      <c r="F102" s="17" t="inlineStr">
        <is>
          <t>용인시</t>
        </is>
      </c>
      <c r="G102" s="17" t="n">
        <v>1</v>
      </c>
      <c r="H102" s="20" t="inlineStr">
        <is>
          <t>Y</t>
        </is>
      </c>
      <c r="I102" s="17" t="inlineStr"/>
      <c r="J102" s="17" t="inlineStr">
        <is>
          <t>Y</t>
        </is>
      </c>
      <c r="K102" s="17" t="inlineStr">
        <is>
          <t>Y</t>
        </is>
      </c>
      <c r="L102" s="22" t="inlineStr">
        <is>
          <t>미확인</t>
        </is>
      </c>
      <c r="M102" s="22" t="inlineStr">
        <is>
          <t>미확인</t>
        </is>
      </c>
      <c r="N102" s="22" t="inlineStr">
        <is>
          <t>미확인</t>
        </is>
      </c>
      <c r="O102" s="22" t="inlineStr">
        <is>
          <t>미확인</t>
        </is>
      </c>
      <c r="P102" s="17" t="inlineStr">
        <is>
          <t>QMS+LIMS</t>
        </is>
      </c>
      <c r="Q102" s="22" t="inlineStr">
        <is>
          <t>미확인</t>
        </is>
      </c>
      <c r="R102" s="22" t="inlineStr">
        <is>
          <t>미확인</t>
        </is>
      </c>
      <c r="S102" s="17" t="inlineStr">
        <is>
          <t>Tier D</t>
        </is>
      </c>
      <c r="T102" s="17" t="n">
        <v>12</v>
      </c>
      <c r="U102" s="17" t="inlineStr">
        <is>
          <t>C108</t>
        </is>
      </c>
      <c r="V102" s="17" t="inlineStr">
        <is>
          <t>제일약품</t>
        </is>
      </c>
      <c r="W102" s="17" t="inlineStr">
        <is>
          <t>Y</t>
        </is>
      </c>
      <c r="X102" s="17" t="inlineStr">
        <is>
          <t>유가</t>
        </is>
      </c>
      <c r="Y102" s="23" t="inlineStr">
        <is>
          <t>271980</t>
        </is>
      </c>
      <c r="Z102" s="17" t="inlineStr">
        <is>
          <t>성석제, 한상철 (공동대표)</t>
        </is>
      </c>
      <c r="AA102" s="17" t="inlineStr">
        <is>
          <t>http://www.jeilpharm.co.kr</t>
        </is>
      </c>
      <c r="AB102" s="17" t="inlineStr">
        <is>
          <t>미확인</t>
        </is>
      </c>
      <c r="AC102" s="17" t="inlineStr">
        <is>
          <t>미확인</t>
        </is>
      </c>
      <c r="AD102" s="17" t="inlineStr">
        <is>
          <t>Y</t>
        </is>
      </c>
      <c r="AE102" s="17" t="inlineStr">
        <is>
          <t>P113</t>
        </is>
      </c>
      <c r="AF102" s="17" t="inlineStr">
        <is>
          <t>경기도 용인시 처인구 백암면 청강가창로 7 (B동 외)</t>
        </is>
      </c>
      <c r="AG102" s="17" t="inlineStr">
        <is>
          <t>완제의약품+원료의약품</t>
        </is>
      </c>
      <c r="AH102" s="17" t="inlineStr">
        <is>
          <t>비무균-세팔로스포린제제-합성, 비무균-일반제제-합성</t>
        </is>
      </c>
      <c r="AI102" s="17" t="n">
        <v>2</v>
      </c>
      <c r="AJ102" s="24" t="n">
        <v>47053</v>
      </c>
      <c r="AK102" s="17" t="inlineStr"/>
      <c r="AL102" s="17" t="inlineStr"/>
      <c r="AM102" s="17" t="inlineStr">
        <is>
          <t>무균/바이오 제조로 품질관리 난도 높음; 원료 제조로 시험실 관리 필요</t>
        </is>
      </c>
      <c r="AN102" s="17" t="inlineStr">
        <is>
          <t>미확인</t>
        </is>
      </c>
      <c r="AO102" s="17" t="inlineStr">
        <is>
          <t>미확인</t>
        </is>
      </c>
      <c r="AP102" s="17" t="inlineStr">
        <is>
          <t>미확인</t>
        </is>
      </c>
      <c r="AQ102" s="17" t="inlineStr">
        <is>
          <t>담당자 파악 후 접촉</t>
        </is>
      </c>
      <c r="AR102" s="17" t="inlineStr">
        <is>
          <t>2026-07-05</t>
        </is>
      </c>
      <c r="AS102" s="17" t="inlineStr">
        <is>
          <t>C(부분확인)</t>
        </is>
      </c>
      <c r="AT102" s="17" t="n">
        <v>90</v>
      </c>
      <c r="AU102" s="17" t="inlineStr"/>
      <c r="AV102" s="17" t="inlineStr"/>
    </row>
    <row r="103">
      <c r="A103" s="26" t="inlineStr">
        <is>
          <t>Tier B</t>
        </is>
      </c>
      <c r="B103" s="17" t="n">
        <v>26</v>
      </c>
      <c r="C103" s="17" t="inlineStr">
        <is>
          <t>(주)유한양행</t>
        </is>
      </c>
      <c r="D103" s="17" t="inlineStr">
        <is>
          <t>미확인</t>
        </is>
      </c>
      <c r="E103" s="17" t="inlineStr">
        <is>
          <t>충청북도</t>
        </is>
      </c>
      <c r="F103" s="17" t="inlineStr">
        <is>
          <t>청주시</t>
        </is>
      </c>
      <c r="G103" s="17" t="n">
        <v>2</v>
      </c>
      <c r="H103" s="17" t="inlineStr"/>
      <c r="I103" s="17" t="inlineStr"/>
      <c r="J103" s="17" t="inlineStr">
        <is>
          <t>Y</t>
        </is>
      </c>
      <c r="K103" s="17" t="inlineStr"/>
      <c r="L103" s="22" t="inlineStr">
        <is>
          <t>미확인</t>
        </is>
      </c>
      <c r="M103" s="22" t="inlineStr">
        <is>
          <t>미확인</t>
        </is>
      </c>
      <c r="N103" s="22" t="inlineStr">
        <is>
          <t>미확인</t>
        </is>
      </c>
      <c r="O103" s="22" t="inlineStr">
        <is>
          <t>미확인</t>
        </is>
      </c>
      <c r="P103" s="17" t="inlineStr">
        <is>
          <t>통합형</t>
        </is>
      </c>
      <c r="Q103" s="22" t="inlineStr">
        <is>
          <t>미확인</t>
        </is>
      </c>
      <c r="R103" s="22" t="inlineStr">
        <is>
          <t>미확인</t>
        </is>
      </c>
      <c r="S103" s="17" t="inlineStr">
        <is>
          <t>Tier D</t>
        </is>
      </c>
      <c r="T103" s="17" t="n">
        <v>16</v>
      </c>
      <c r="U103" s="17" t="inlineStr">
        <is>
          <t>C075</t>
        </is>
      </c>
      <c r="V103" s="17" t="inlineStr">
        <is>
          <t>유한양행</t>
        </is>
      </c>
      <c r="W103" s="17" t="inlineStr">
        <is>
          <t>Y</t>
        </is>
      </c>
      <c r="X103" s="17" t="inlineStr">
        <is>
          <t>유가</t>
        </is>
      </c>
      <c r="Y103" s="23" t="inlineStr">
        <is>
          <t>000100</t>
        </is>
      </c>
      <c r="Z103" s="17" t="inlineStr">
        <is>
          <t>대표이사 조욱제</t>
        </is>
      </c>
      <c r="AA103" s="17" t="inlineStr">
        <is>
          <t>http://www.yuhan.co.kr</t>
        </is>
      </c>
      <c r="AB103" s="17" t="inlineStr">
        <is>
          <t>미확인</t>
        </is>
      </c>
      <c r="AC103" s="17" t="inlineStr">
        <is>
          <t>미확인</t>
        </is>
      </c>
      <c r="AD103" s="17" t="inlineStr">
        <is>
          <t>Y</t>
        </is>
      </c>
      <c r="AE103" s="17" t="inlineStr">
        <is>
          <t>P077</t>
        </is>
      </c>
      <c r="AF103" s="17" t="inlineStr">
        <is>
          <t>충청북도 청주시 청원구 오창읍 연구단지로 238</t>
        </is>
      </c>
      <c r="AG103" s="17" t="inlineStr">
        <is>
          <t>완제의약품</t>
        </is>
      </c>
      <c r="AH103" s="17" t="inlineStr">
        <is>
          <t>비무균-일반제제-내용고형제(정제)</t>
        </is>
      </c>
      <c r="AI103" s="17" t="n">
        <v>1</v>
      </c>
      <c r="AJ103" s="24" t="n">
        <v>47161</v>
      </c>
      <c r="AK103" s="17" t="inlineStr"/>
      <c r="AL103" s="17" t="inlineStr"/>
      <c r="AM103" s="17" t="inlineStr">
        <is>
          <t>다중 제조소/다수 판정서로 문서관리 복잡; 무균/바이오 제조로 품질관리 난도 높음</t>
        </is>
      </c>
      <c r="AN103" s="17" t="inlineStr">
        <is>
          <t>미확인</t>
        </is>
      </c>
      <c r="AO103" s="17" t="inlineStr">
        <is>
          <t>미확인</t>
        </is>
      </c>
      <c r="AP103" s="17" t="inlineStr">
        <is>
          <t>미확인</t>
        </is>
      </c>
      <c r="AQ103" s="17" t="inlineStr">
        <is>
          <t>담당자 파악 후 접촉</t>
        </is>
      </c>
      <c r="AR103" s="17" t="inlineStr">
        <is>
          <t>2026-07-05</t>
        </is>
      </c>
      <c r="AS103" s="17" t="inlineStr">
        <is>
          <t>C(부분확인)</t>
        </is>
      </c>
      <c r="AT103" s="17" t="n">
        <v>90</v>
      </c>
      <c r="AU103" s="17" t="inlineStr"/>
      <c r="AV103" s="17" t="inlineStr"/>
    </row>
    <row r="104">
      <c r="A104" s="26" t="inlineStr">
        <is>
          <t>Tier B</t>
        </is>
      </c>
      <c r="B104" s="17" t="n">
        <v>26</v>
      </c>
      <c r="C104" s="17" t="inlineStr">
        <is>
          <t>(주)유한양행</t>
        </is>
      </c>
      <c r="D104" s="17" t="inlineStr">
        <is>
          <t>미확인</t>
        </is>
      </c>
      <c r="E104" s="17" t="inlineStr">
        <is>
          <t>충청북도</t>
        </is>
      </c>
      <c r="F104" s="17" t="inlineStr">
        <is>
          <t>청주시</t>
        </is>
      </c>
      <c r="G104" s="17" t="n">
        <v>2</v>
      </c>
      <c r="H104" s="20" t="inlineStr">
        <is>
          <t>Y</t>
        </is>
      </c>
      <c r="I104" s="17" t="inlineStr"/>
      <c r="J104" s="17" t="inlineStr">
        <is>
          <t>Y</t>
        </is>
      </c>
      <c r="K104" s="17" t="inlineStr"/>
      <c r="L104" s="22" t="inlineStr">
        <is>
          <t>미확인</t>
        </is>
      </c>
      <c r="M104" s="22" t="inlineStr">
        <is>
          <t>미확인</t>
        </is>
      </c>
      <c r="N104" s="22" t="inlineStr">
        <is>
          <t>미확인</t>
        </is>
      </c>
      <c r="O104" s="22" t="inlineStr">
        <is>
          <t>미확인</t>
        </is>
      </c>
      <c r="P104" s="17" t="inlineStr">
        <is>
          <t>통합형</t>
        </is>
      </c>
      <c r="Q104" s="22" t="inlineStr">
        <is>
          <t>미확인</t>
        </is>
      </c>
      <c r="R104" s="22" t="inlineStr">
        <is>
          <t>미확인</t>
        </is>
      </c>
      <c r="S104" s="17" t="inlineStr">
        <is>
          <t>Tier D</t>
        </is>
      </c>
      <c r="T104" s="17" t="n">
        <v>16</v>
      </c>
      <c r="U104" s="17" t="inlineStr">
        <is>
          <t>C075</t>
        </is>
      </c>
      <c r="V104" s="17" t="inlineStr">
        <is>
          <t>유한양행</t>
        </is>
      </c>
      <c r="W104" s="17" t="inlineStr">
        <is>
          <t>Y</t>
        </is>
      </c>
      <c r="X104" s="17" t="inlineStr">
        <is>
          <t>유가</t>
        </is>
      </c>
      <c r="Y104" s="23" t="inlineStr">
        <is>
          <t>000100</t>
        </is>
      </c>
      <c r="Z104" s="17" t="inlineStr">
        <is>
          <t>대표이사 조욱제</t>
        </is>
      </c>
      <c r="AA104" s="17" t="inlineStr">
        <is>
          <t>http://www.yuhan.co.kr</t>
        </is>
      </c>
      <c r="AB104" s="17" t="inlineStr">
        <is>
          <t>미확인</t>
        </is>
      </c>
      <c r="AC104" s="17" t="inlineStr">
        <is>
          <t>미확인</t>
        </is>
      </c>
      <c r="AD104" s="17" t="inlineStr">
        <is>
          <t>Y</t>
        </is>
      </c>
      <c r="AE104" s="17" t="inlineStr">
        <is>
          <t>P119</t>
        </is>
      </c>
      <c r="AF104" s="17" t="inlineStr">
        <is>
          <t>충청북도 청주시 청원구 오창읍 연구단지로 219</t>
        </is>
      </c>
      <c r="AG104" s="17" t="inlineStr">
        <is>
          <t>완제의약품</t>
        </is>
      </c>
      <c r="AH104" s="17" t="inlineStr">
        <is>
          <t>비무균-세팔로스포린제제-내용고형제(정제, 캡슐제, 산제, 시럽제(고형)), 비무균-일반제제-내용고형제(정제, 캡슐제, 산제, 시럽제(고형), 츄어블정(저작정)), 비무균-페니실린제제-내용고형제(정제, 캡슐제, 시럽제(고형)), 무균-일반제제-주사제(주사제), 무균-카바페넴제제-주사제(분말주사제), 비무균-일반제제-내용액제(경구용액제, 시럽제(액상), 현탁제, 점비액제), 비무균-일반제제-외용액제(로션제), 비무균-일반제제-연고제(연고제, 크림제)</t>
        </is>
      </c>
      <c r="AI104" s="17" t="n">
        <v>1</v>
      </c>
      <c r="AJ104" s="24" t="n">
        <v>47046</v>
      </c>
      <c r="AK104" s="17" t="inlineStr"/>
      <c r="AL104" s="17" t="inlineStr"/>
      <c r="AM104" s="17" t="inlineStr">
        <is>
          <t>다중 제조소/다수 판정서로 문서관리 복잡; 무균/바이오 제조로 품질관리 난도 높음</t>
        </is>
      </c>
      <c r="AN104" s="17" t="inlineStr">
        <is>
          <t>미확인</t>
        </is>
      </c>
      <c r="AO104" s="17" t="inlineStr">
        <is>
          <t>미확인</t>
        </is>
      </c>
      <c r="AP104" s="17" t="inlineStr">
        <is>
          <t>미확인</t>
        </is>
      </c>
      <c r="AQ104" s="17" t="inlineStr">
        <is>
          <t>담당자 파악 후 접촉</t>
        </is>
      </c>
      <c r="AR104" s="17" t="inlineStr">
        <is>
          <t>2026-07-05</t>
        </is>
      </c>
      <c r="AS104" s="17" t="inlineStr">
        <is>
          <t>C(부분확인)</t>
        </is>
      </c>
      <c r="AT104" s="17" t="n">
        <v>90</v>
      </c>
      <c r="AU104" s="17" t="inlineStr"/>
      <c r="AV104" s="17" t="inlineStr"/>
    </row>
    <row r="105">
      <c r="A105" s="26" t="inlineStr">
        <is>
          <t>Tier B</t>
        </is>
      </c>
      <c r="B105" s="17" t="n">
        <v>26</v>
      </c>
      <c r="C105" s="17" t="inlineStr">
        <is>
          <t>경남제약(주)</t>
        </is>
      </c>
      <c r="D105" s="17" t="inlineStr">
        <is>
          <t>의령</t>
        </is>
      </c>
      <c r="E105" s="17" t="inlineStr">
        <is>
          <t>경상남도</t>
        </is>
      </c>
      <c r="F105" s="17" t="inlineStr">
        <is>
          <t>의령군</t>
        </is>
      </c>
      <c r="G105" s="17" t="n">
        <v>2</v>
      </c>
      <c r="H105" s="17" t="inlineStr"/>
      <c r="I105" s="17" t="inlineStr"/>
      <c r="J105" s="17" t="inlineStr">
        <is>
          <t>Y</t>
        </is>
      </c>
      <c r="K105" s="17" t="inlineStr">
        <is>
          <t>Y</t>
        </is>
      </c>
      <c r="L105" s="22" t="inlineStr">
        <is>
          <t>미확인</t>
        </is>
      </c>
      <c r="M105" s="22" t="inlineStr">
        <is>
          <t>미확인</t>
        </is>
      </c>
      <c r="N105" s="22" t="inlineStr">
        <is>
          <t>미확인</t>
        </is>
      </c>
      <c r="O105" s="22" t="inlineStr">
        <is>
          <t>미확인</t>
        </is>
      </c>
      <c r="P105" s="17" t="inlineStr">
        <is>
          <t>통합형</t>
        </is>
      </c>
      <c r="Q105" s="22" t="inlineStr">
        <is>
          <t>미확인</t>
        </is>
      </c>
      <c r="R105" s="22" t="inlineStr">
        <is>
          <t>미확인</t>
        </is>
      </c>
      <c r="S105" s="17" t="inlineStr">
        <is>
          <t>Tier D</t>
        </is>
      </c>
      <c r="T105" s="17" t="n">
        <v>14</v>
      </c>
      <c r="U105" s="17" t="inlineStr">
        <is>
          <t>C230</t>
        </is>
      </c>
      <c r="V105" s="17" t="inlineStr">
        <is>
          <t>경남제약</t>
        </is>
      </c>
      <c r="W105" s="17" t="inlineStr">
        <is>
          <t>Y</t>
        </is>
      </c>
      <c r="X105" s="17" t="inlineStr">
        <is>
          <t>코스닥</t>
        </is>
      </c>
      <c r="Y105" s="23" t="inlineStr">
        <is>
          <t>053950</t>
        </is>
      </c>
      <c r="Z105" s="17" t="inlineStr">
        <is>
          <t>김성곤</t>
        </is>
      </c>
      <c r="AA105" s="17" t="inlineStr">
        <is>
          <t>http://www.kyungnampharm.com</t>
        </is>
      </c>
      <c r="AB105" s="17" t="inlineStr">
        <is>
          <t>055-5728-7002</t>
        </is>
      </c>
      <c r="AC105" s="17" t="inlineStr">
        <is>
          <t>미확인</t>
        </is>
      </c>
      <c r="AD105" s="17" t="inlineStr">
        <is>
          <t>Y</t>
        </is>
      </c>
      <c r="AE105" s="17" t="inlineStr">
        <is>
          <t>P254</t>
        </is>
      </c>
      <c r="AF105" s="17" t="inlineStr">
        <is>
          <t>경상남도 의령군 의령읍 구룡로4남길 79</t>
        </is>
      </c>
      <c r="AG105" s="17" t="inlineStr">
        <is>
          <t>원료의약품</t>
        </is>
      </c>
      <c r="AH105" s="17" t="inlineStr">
        <is>
          <t>비무균-일반제제-추출</t>
        </is>
      </c>
      <c r="AI105" s="17" t="n">
        <v>1</v>
      </c>
      <c r="AJ105" s="24" t="n">
        <v>46850</v>
      </c>
      <c r="AK105" s="17" t="inlineStr"/>
      <c r="AL105" s="17" t="inlineStr"/>
      <c r="AM105" s="17" t="inlineStr">
        <is>
          <t>다중 제조소/다수 판정서로 문서관리 복잡; 원료 제조로 시험실 관리 필요</t>
        </is>
      </c>
      <c r="AN105" s="17" t="inlineStr">
        <is>
          <t>미확인</t>
        </is>
      </c>
      <c r="AO105" s="17" t="inlineStr">
        <is>
          <t>미확인</t>
        </is>
      </c>
      <c r="AP105" s="17" t="inlineStr">
        <is>
          <t>미확인</t>
        </is>
      </c>
      <c r="AQ105" s="17" t="inlineStr">
        <is>
          <t>담당자 파악 후 접촉</t>
        </is>
      </c>
      <c r="AR105" s="17" t="inlineStr">
        <is>
          <t>2026-07-05</t>
        </is>
      </c>
      <c r="AS105" s="17" t="inlineStr">
        <is>
          <t>C(부분확인)</t>
        </is>
      </c>
      <c r="AT105" s="17" t="n">
        <v>90</v>
      </c>
      <c r="AU105" s="17" t="inlineStr"/>
      <c r="AV105" s="17" t="inlineStr"/>
    </row>
    <row r="106">
      <c r="A106" s="26" t="inlineStr">
        <is>
          <t>Tier B</t>
        </is>
      </c>
      <c r="B106" s="17" t="n">
        <v>26</v>
      </c>
      <c r="C106" s="17" t="inlineStr">
        <is>
          <t>경남제약(주)</t>
        </is>
      </c>
      <c r="D106" s="17" t="inlineStr">
        <is>
          <t>아산</t>
        </is>
      </c>
      <c r="E106" s="17" t="inlineStr">
        <is>
          <t>충청남도</t>
        </is>
      </c>
      <c r="F106" s="17" t="inlineStr">
        <is>
          <t>아산시</t>
        </is>
      </c>
      <c r="G106" s="17" t="n">
        <v>2</v>
      </c>
      <c r="H106" s="17" t="inlineStr"/>
      <c r="I106" s="17" t="inlineStr"/>
      <c r="J106" s="17" t="inlineStr">
        <is>
          <t>Y</t>
        </is>
      </c>
      <c r="K106" s="17" t="inlineStr">
        <is>
          <t>Y</t>
        </is>
      </c>
      <c r="L106" s="22" t="inlineStr">
        <is>
          <t>미확인</t>
        </is>
      </c>
      <c r="M106" s="22" t="inlineStr">
        <is>
          <t>미확인</t>
        </is>
      </c>
      <c r="N106" s="22" t="inlineStr">
        <is>
          <t>미확인</t>
        </is>
      </c>
      <c r="O106" s="22" t="inlineStr">
        <is>
          <t>미확인</t>
        </is>
      </c>
      <c r="P106" s="17" t="inlineStr">
        <is>
          <t>통합형</t>
        </is>
      </c>
      <c r="Q106" s="22" t="inlineStr">
        <is>
          <t>미확인</t>
        </is>
      </c>
      <c r="R106" s="22" t="inlineStr">
        <is>
          <t>미확인</t>
        </is>
      </c>
      <c r="S106" s="17" t="inlineStr">
        <is>
          <t>Tier D</t>
        </is>
      </c>
      <c r="T106" s="17" t="n">
        <v>14</v>
      </c>
      <c r="U106" s="17" t="inlineStr">
        <is>
          <t>C230</t>
        </is>
      </c>
      <c r="V106" s="17" t="inlineStr">
        <is>
          <t>경남제약</t>
        </is>
      </c>
      <c r="W106" s="17" t="inlineStr">
        <is>
          <t>Y</t>
        </is>
      </c>
      <c r="X106" s="17" t="inlineStr">
        <is>
          <t>코스닥</t>
        </is>
      </c>
      <c r="Y106" s="23" t="inlineStr">
        <is>
          <t>053950</t>
        </is>
      </c>
      <c r="Z106" s="17" t="inlineStr">
        <is>
          <t>김성곤</t>
        </is>
      </c>
      <c r="AA106" s="17" t="inlineStr">
        <is>
          <t>http://www.kyungnampharm.com</t>
        </is>
      </c>
      <c r="AB106" s="17" t="inlineStr">
        <is>
          <t>055-5728-7002</t>
        </is>
      </c>
      <c r="AC106" s="17" t="inlineStr">
        <is>
          <t>미확인</t>
        </is>
      </c>
      <c r="AD106" s="17" t="inlineStr">
        <is>
          <t>Y</t>
        </is>
      </c>
      <c r="AE106" s="17" t="inlineStr">
        <is>
          <t>P371</t>
        </is>
      </c>
      <c r="AF106" s="17" t="inlineStr">
        <is>
          <t>충청남도 아산시 신창면 서부남로790번길 49</t>
        </is>
      </c>
      <c r="AG106" s="17" t="inlineStr">
        <is>
          <t>완제의약품</t>
        </is>
      </c>
      <c r="AH106" s="17" t="inlineStr">
        <is>
          <t>비무균-일반제제-내용고형제(정제, 캡슐제, 산제, 트로키제), 비무균-일반제제-내용액제(경구용액제)</t>
        </is>
      </c>
      <c r="AI106" s="17" t="n">
        <v>1</v>
      </c>
      <c r="AJ106" s="24" t="n">
        <v>46557</v>
      </c>
      <c r="AK106" s="17" t="inlineStr"/>
      <c r="AL106" s="17" t="inlineStr">
        <is>
          <t>Y</t>
        </is>
      </c>
      <c r="AM106" s="17" t="inlineStr">
        <is>
          <t>다중 제조소/다수 판정서로 문서관리 복잡; 원료 제조로 시험실 관리 필요</t>
        </is>
      </c>
      <c r="AN106" s="17" t="inlineStr">
        <is>
          <t>미확인</t>
        </is>
      </c>
      <c r="AO106" s="17" t="inlineStr">
        <is>
          <t>미확인</t>
        </is>
      </c>
      <c r="AP106" s="17" t="inlineStr">
        <is>
          <t>미확인</t>
        </is>
      </c>
      <c r="AQ106" s="17" t="inlineStr">
        <is>
          <t>담당자 파악 후 접촉</t>
        </is>
      </c>
      <c r="AR106" s="17" t="inlineStr">
        <is>
          <t>2026-07-05</t>
        </is>
      </c>
      <c r="AS106" s="17" t="inlineStr">
        <is>
          <t>C(부분확인)</t>
        </is>
      </c>
      <c r="AT106" s="17" t="n">
        <v>90</v>
      </c>
      <c r="AU106" s="17" t="inlineStr"/>
      <c r="AV106" s="17" t="inlineStr"/>
    </row>
    <row r="107">
      <c r="A107" s="26" t="inlineStr">
        <is>
          <t>Tier B</t>
        </is>
      </c>
      <c r="B107" s="17" t="n">
        <v>26</v>
      </c>
      <c r="C107" s="17" t="inlineStr">
        <is>
          <t>에스티팜주식회사</t>
        </is>
      </c>
      <c r="D107" s="17" t="inlineStr">
        <is>
          <t>시흥</t>
        </is>
      </c>
      <c r="E107" s="17" t="inlineStr">
        <is>
          <t>경기도</t>
        </is>
      </c>
      <c r="F107" s="17" t="inlineStr">
        <is>
          <t>시흥시</t>
        </is>
      </c>
      <c r="G107" s="17" t="n">
        <v>2</v>
      </c>
      <c r="H107" s="17" t="inlineStr"/>
      <c r="I107" s="17" t="inlineStr"/>
      <c r="J107" s="17" t="inlineStr"/>
      <c r="K107" s="17" t="inlineStr">
        <is>
          <t>Y</t>
        </is>
      </c>
      <c r="L107" s="22" t="inlineStr">
        <is>
          <t>미확인</t>
        </is>
      </c>
      <c r="M107" s="22" t="inlineStr">
        <is>
          <t>미확인</t>
        </is>
      </c>
      <c r="N107" s="22" t="inlineStr">
        <is>
          <t>미확인</t>
        </is>
      </c>
      <c r="O107" s="22" t="inlineStr">
        <is>
          <t>미확인</t>
        </is>
      </c>
      <c r="P107" s="17" t="inlineStr">
        <is>
          <t>통합형</t>
        </is>
      </c>
      <c r="Q107" s="22" t="inlineStr">
        <is>
          <t>미확인</t>
        </is>
      </c>
      <c r="R107" s="22" t="inlineStr">
        <is>
          <t>미확인</t>
        </is>
      </c>
      <c r="S107" s="17" t="inlineStr">
        <is>
          <t>Tier D</t>
        </is>
      </c>
      <c r="T107" s="17" t="n">
        <v>11</v>
      </c>
      <c r="U107" s="17" t="inlineStr">
        <is>
          <t>C054</t>
        </is>
      </c>
      <c r="V107" s="17" t="inlineStr">
        <is>
          <t>에스티팜</t>
        </is>
      </c>
      <c r="W107" s="17" t="inlineStr">
        <is>
          <t>Y</t>
        </is>
      </c>
      <c r="X107" s="17" t="inlineStr">
        <is>
          <t>코스닥</t>
        </is>
      </c>
      <c r="Y107" s="23" t="inlineStr">
        <is>
          <t>237690</t>
        </is>
      </c>
      <c r="Z107" s="17" t="inlineStr">
        <is>
          <t>Sung Moo-je</t>
        </is>
      </c>
      <c r="AA107" s="17" t="inlineStr">
        <is>
          <t>http://www.stpharm.co.kr</t>
        </is>
      </c>
      <c r="AB107" s="17" t="inlineStr">
        <is>
          <t>미확인</t>
        </is>
      </c>
      <c r="AC107" s="17" t="inlineStr">
        <is>
          <t>미확인</t>
        </is>
      </c>
      <c r="AD107" s="17" t="inlineStr">
        <is>
          <t>Y</t>
        </is>
      </c>
      <c r="AE107" s="17" t="inlineStr">
        <is>
          <t>P056</t>
        </is>
      </c>
      <c r="AF107" s="17" t="inlineStr">
        <is>
          <t>경기도 시흥시 협력로 231</t>
        </is>
      </c>
      <c r="AG107" s="17" t="inlineStr">
        <is>
          <t>원료의약품</t>
        </is>
      </c>
      <c r="AH107" s="17" t="inlineStr">
        <is>
          <t>비무균-일반제제-합성</t>
        </is>
      </c>
      <c r="AI107" s="17" t="n">
        <v>1</v>
      </c>
      <c r="AJ107" s="24" t="n">
        <v>47199</v>
      </c>
      <c r="AK107" s="17" t="inlineStr"/>
      <c r="AL107" s="17" t="inlineStr"/>
      <c r="AM107" s="17" t="inlineStr">
        <is>
          <t>다중 제조소/다수 판정서로 문서관리 복잡; 원료 제조로 시험실 관리 필요</t>
        </is>
      </c>
      <c r="AN107" s="17" t="inlineStr">
        <is>
          <t>미확인</t>
        </is>
      </c>
      <c r="AO107" s="17" t="inlineStr">
        <is>
          <t>미확인</t>
        </is>
      </c>
      <c r="AP107" s="17" t="inlineStr">
        <is>
          <t>미확인</t>
        </is>
      </c>
      <c r="AQ107" s="17" t="inlineStr">
        <is>
          <t>담당자 파악 후 접촉</t>
        </is>
      </c>
      <c r="AR107" s="17" t="inlineStr">
        <is>
          <t>2026-07-05</t>
        </is>
      </c>
      <c r="AS107" s="17" t="inlineStr">
        <is>
          <t>C(부분확인)</t>
        </is>
      </c>
      <c r="AT107" s="17" t="n">
        <v>90</v>
      </c>
      <c r="AU107" s="17" t="inlineStr"/>
      <c r="AV107" s="17" t="inlineStr"/>
    </row>
    <row r="108">
      <c r="A108" s="26" t="inlineStr">
        <is>
          <t>Tier B</t>
        </is>
      </c>
      <c r="B108" s="17" t="n">
        <v>26</v>
      </c>
      <c r="C108" s="17" t="inlineStr">
        <is>
          <t>에스티팜주식회사</t>
        </is>
      </c>
      <c r="D108" s="17" t="inlineStr">
        <is>
          <t>안산</t>
        </is>
      </c>
      <c r="E108" s="17" t="inlineStr">
        <is>
          <t>경기도</t>
        </is>
      </c>
      <c r="F108" s="17" t="inlineStr">
        <is>
          <t>안산시</t>
        </is>
      </c>
      <c r="G108" s="17" t="n">
        <v>2</v>
      </c>
      <c r="H108" s="17" t="inlineStr"/>
      <c r="I108" s="17" t="inlineStr"/>
      <c r="J108" s="17" t="inlineStr"/>
      <c r="K108" s="17" t="inlineStr">
        <is>
          <t>Y</t>
        </is>
      </c>
      <c r="L108" s="22" t="inlineStr">
        <is>
          <t>미확인</t>
        </is>
      </c>
      <c r="M108" s="22" t="inlineStr">
        <is>
          <t>미확인</t>
        </is>
      </c>
      <c r="N108" s="22" t="inlineStr">
        <is>
          <t>미확인</t>
        </is>
      </c>
      <c r="O108" s="22" t="inlineStr">
        <is>
          <t>미확인</t>
        </is>
      </c>
      <c r="P108" s="17" t="inlineStr">
        <is>
          <t>통합형</t>
        </is>
      </c>
      <c r="Q108" s="22" t="inlineStr">
        <is>
          <t>미확인</t>
        </is>
      </c>
      <c r="R108" s="22" t="inlineStr">
        <is>
          <t>미확인</t>
        </is>
      </c>
      <c r="S108" s="17" t="inlineStr">
        <is>
          <t>Tier D</t>
        </is>
      </c>
      <c r="T108" s="17" t="n">
        <v>11</v>
      </c>
      <c r="U108" s="17" t="inlineStr">
        <is>
          <t>C054</t>
        </is>
      </c>
      <c r="V108" s="17" t="inlineStr">
        <is>
          <t>에스티팜</t>
        </is>
      </c>
      <c r="W108" s="17" t="inlineStr">
        <is>
          <t>Y</t>
        </is>
      </c>
      <c r="X108" s="17" t="inlineStr">
        <is>
          <t>코스닥</t>
        </is>
      </c>
      <c r="Y108" s="23" t="inlineStr">
        <is>
          <t>237690</t>
        </is>
      </c>
      <c r="Z108" s="17" t="inlineStr">
        <is>
          <t>Sung Moo-je</t>
        </is>
      </c>
      <c r="AA108" s="17" t="inlineStr">
        <is>
          <t>http://www.stpharm.co.kr</t>
        </is>
      </c>
      <c r="AB108" s="17" t="inlineStr">
        <is>
          <t>미확인</t>
        </is>
      </c>
      <c r="AC108" s="17" t="inlineStr">
        <is>
          <t>미확인</t>
        </is>
      </c>
      <c r="AD108" s="17" t="inlineStr">
        <is>
          <t>Y</t>
        </is>
      </c>
      <c r="AE108" s="17" t="inlineStr">
        <is>
          <t>P413</t>
        </is>
      </c>
      <c r="AF108" s="17" t="inlineStr">
        <is>
          <t>경기도 안산시 단원구 해안로 171</t>
        </is>
      </c>
      <c r="AG108" s="17" t="inlineStr">
        <is>
          <t>원료의약품</t>
        </is>
      </c>
      <c r="AH108" s="17" t="inlineStr">
        <is>
          <t>비무균-일반제제-합성</t>
        </is>
      </c>
      <c r="AI108" s="17" t="n">
        <v>1</v>
      </c>
      <c r="AJ108" s="24" t="n">
        <v>46466</v>
      </c>
      <c r="AK108" s="17" t="inlineStr"/>
      <c r="AL108" s="17" t="inlineStr">
        <is>
          <t>Y</t>
        </is>
      </c>
      <c r="AM108" s="17" t="inlineStr">
        <is>
          <t>다중 제조소/다수 판정서로 문서관리 복잡; 원료 제조로 시험실 관리 필요</t>
        </is>
      </c>
      <c r="AN108" s="17" t="inlineStr">
        <is>
          <t>미확인</t>
        </is>
      </c>
      <c r="AO108" s="17" t="inlineStr">
        <is>
          <t>미확인</t>
        </is>
      </c>
      <c r="AP108" s="17" t="inlineStr">
        <is>
          <t>미확인</t>
        </is>
      </c>
      <c r="AQ108" s="17" t="inlineStr">
        <is>
          <t>담당자 파악 후 접촉</t>
        </is>
      </c>
      <c r="AR108" s="17" t="inlineStr">
        <is>
          <t>2026-07-05</t>
        </is>
      </c>
      <c r="AS108" s="17" t="inlineStr">
        <is>
          <t>C(부분확인)</t>
        </is>
      </c>
      <c r="AT108" s="17" t="n">
        <v>90</v>
      </c>
      <c r="AU108" s="17" t="inlineStr"/>
      <c r="AV108" s="17" t="inlineStr"/>
    </row>
    <row r="109">
      <c r="A109" s="26" t="inlineStr">
        <is>
          <t>Tier B</t>
        </is>
      </c>
      <c r="B109" s="17" t="n">
        <v>26</v>
      </c>
      <c r="C109" s="17" t="inlineStr">
        <is>
          <t>제이더블유중외제약(주)</t>
        </is>
      </c>
      <c r="D109" s="17" t="inlineStr">
        <is>
          <t>시흥</t>
        </is>
      </c>
      <c r="E109" s="17" t="inlineStr">
        <is>
          <t>경기도</t>
        </is>
      </c>
      <c r="F109" s="17" t="inlineStr">
        <is>
          <t>시흥시</t>
        </is>
      </c>
      <c r="G109" s="17" t="n">
        <v>2</v>
      </c>
      <c r="H109" s="20" t="inlineStr">
        <is>
          <t>Y</t>
        </is>
      </c>
      <c r="I109" s="17" t="inlineStr"/>
      <c r="J109" s="17" t="inlineStr">
        <is>
          <t>Y</t>
        </is>
      </c>
      <c r="K109" s="17" t="inlineStr">
        <is>
          <t>Y</t>
        </is>
      </c>
      <c r="L109" s="22" t="inlineStr">
        <is>
          <t>미확인</t>
        </is>
      </c>
      <c r="M109" s="22" t="inlineStr">
        <is>
          <t>미확인</t>
        </is>
      </c>
      <c r="N109" s="22" t="inlineStr">
        <is>
          <t>미확인</t>
        </is>
      </c>
      <c r="O109" s="22" t="inlineStr">
        <is>
          <t>미확인</t>
        </is>
      </c>
      <c r="P109" s="17" t="inlineStr">
        <is>
          <t>통합형</t>
        </is>
      </c>
      <c r="Q109" s="22" t="inlineStr">
        <is>
          <t>미확인</t>
        </is>
      </c>
      <c r="R109" s="22" t="inlineStr">
        <is>
          <t>미확인</t>
        </is>
      </c>
      <c r="S109" s="17" t="inlineStr">
        <is>
          <t>Tier D</t>
        </is>
      </c>
      <c r="T109" s="17" t="n">
        <v>19</v>
      </c>
      <c r="U109" s="17" t="inlineStr">
        <is>
          <t>C210</t>
        </is>
      </c>
      <c r="V109" s="17" t="inlineStr">
        <is>
          <t>제이더블유중외제약</t>
        </is>
      </c>
      <c r="W109" s="17" t="inlineStr"/>
      <c r="X109" s="17" t="inlineStr"/>
      <c r="Y109" s="23" t="inlineStr"/>
      <c r="Z109" s="17" t="inlineStr">
        <is>
          <t>신영섭</t>
        </is>
      </c>
      <c r="AA109" s="17" t="inlineStr"/>
      <c r="AB109" s="17" t="inlineStr">
        <is>
          <t>02-840-6986</t>
        </is>
      </c>
      <c r="AC109" s="17" t="inlineStr">
        <is>
          <t>미확인</t>
        </is>
      </c>
      <c r="AD109" s="17" t="inlineStr">
        <is>
          <t>Y</t>
        </is>
      </c>
      <c r="AE109" s="17" t="inlineStr">
        <is>
          <t>P228</t>
        </is>
      </c>
      <c r="AF109" s="17" t="inlineStr">
        <is>
          <t>경기도 시흥시 경제로 56 시화공단 1마 301 (정왕동)</t>
        </is>
      </c>
      <c r="AG109" s="17" t="inlineStr">
        <is>
          <t>원료의약품</t>
        </is>
      </c>
      <c r="AH109" s="17" t="inlineStr">
        <is>
          <t>무균-카바페넴제제-합성, 비무균-일반제제-합성, 비무균-카바페넴제제-합성, 무균-카바페넴제제-혼합</t>
        </is>
      </c>
      <c r="AI109" s="17" t="n">
        <v>1</v>
      </c>
      <c r="AJ109" s="24" t="n">
        <v>46876</v>
      </c>
      <c r="AK109" s="17" t="inlineStr"/>
      <c r="AL109" s="17" t="inlineStr"/>
      <c r="AM109" s="17" t="inlineStr">
        <is>
          <t>다중 제조소/다수 판정서로 문서관리 복잡; 무균/바이오 제조로 품질관리 난도 높음</t>
        </is>
      </c>
      <c r="AN109" s="17" t="inlineStr">
        <is>
          <t>미확인</t>
        </is>
      </c>
      <c r="AO109" s="17" t="inlineStr">
        <is>
          <t>미확인</t>
        </is>
      </c>
      <c r="AP109" s="17" t="inlineStr">
        <is>
          <t>미확인</t>
        </is>
      </c>
      <c r="AQ109" s="17" t="inlineStr">
        <is>
          <t>담당자 파악 후 접촉</t>
        </is>
      </c>
      <c r="AR109" s="17" t="inlineStr">
        <is>
          <t>2026-07-05</t>
        </is>
      </c>
      <c r="AS109" s="17" t="inlineStr">
        <is>
          <t>C(부분확인)</t>
        </is>
      </c>
      <c r="AT109" s="17" t="n">
        <v>90</v>
      </c>
      <c r="AU109" s="17" t="inlineStr"/>
      <c r="AV109" s="17" t="inlineStr"/>
    </row>
    <row r="110">
      <c r="A110" s="26" t="inlineStr">
        <is>
          <t>Tier B</t>
        </is>
      </c>
      <c r="B110" s="17" t="n">
        <v>26</v>
      </c>
      <c r="C110" s="17" t="inlineStr">
        <is>
          <t>제이더블유중외제약(주)</t>
        </is>
      </c>
      <c r="D110" s="17" t="inlineStr">
        <is>
          <t>당진</t>
        </is>
      </c>
      <c r="E110" s="17" t="inlineStr">
        <is>
          <t>충청남도</t>
        </is>
      </c>
      <c r="F110" s="17" t="inlineStr">
        <is>
          <t>당진시</t>
        </is>
      </c>
      <c r="G110" s="17" t="n">
        <v>2</v>
      </c>
      <c r="H110" s="20" t="inlineStr">
        <is>
          <t>Y</t>
        </is>
      </c>
      <c r="I110" s="17" t="inlineStr"/>
      <c r="J110" s="17" t="inlineStr">
        <is>
          <t>Y</t>
        </is>
      </c>
      <c r="K110" s="17" t="inlineStr">
        <is>
          <t>Y</t>
        </is>
      </c>
      <c r="L110" s="22" t="inlineStr">
        <is>
          <t>미확인</t>
        </is>
      </c>
      <c r="M110" s="22" t="inlineStr">
        <is>
          <t>미확인</t>
        </is>
      </c>
      <c r="N110" s="22" t="inlineStr">
        <is>
          <t>미확인</t>
        </is>
      </c>
      <c r="O110" s="22" t="inlineStr">
        <is>
          <t>미확인</t>
        </is>
      </c>
      <c r="P110" s="17" t="inlineStr">
        <is>
          <t>통합형</t>
        </is>
      </c>
      <c r="Q110" s="22" t="inlineStr">
        <is>
          <t>미확인</t>
        </is>
      </c>
      <c r="R110" s="22" t="inlineStr">
        <is>
          <t>미확인</t>
        </is>
      </c>
      <c r="S110" s="17" t="inlineStr">
        <is>
          <t>Tier D</t>
        </is>
      </c>
      <c r="T110" s="17" t="n">
        <v>19</v>
      </c>
      <c r="U110" s="17" t="inlineStr">
        <is>
          <t>C210</t>
        </is>
      </c>
      <c r="V110" s="17" t="inlineStr">
        <is>
          <t>제이더블유중외제약</t>
        </is>
      </c>
      <c r="W110" s="17" t="inlineStr"/>
      <c r="X110" s="17" t="inlineStr"/>
      <c r="Y110" s="23" t="inlineStr"/>
      <c r="Z110" s="17" t="inlineStr">
        <is>
          <t>신영섭</t>
        </is>
      </c>
      <c r="AA110" s="17" t="inlineStr"/>
      <c r="AB110" s="17" t="inlineStr">
        <is>
          <t>02-840-6986</t>
        </is>
      </c>
      <c r="AC110" s="17" t="inlineStr">
        <is>
          <t>미확인</t>
        </is>
      </c>
      <c r="AD110" s="17" t="inlineStr">
        <is>
          <t>Y</t>
        </is>
      </c>
      <c r="AE110" s="17" t="inlineStr">
        <is>
          <t>P438</t>
        </is>
      </c>
      <c r="AF110" s="17" t="inlineStr">
        <is>
          <t>충청남도 당진시 송악읍 한진1길 56</t>
        </is>
      </c>
      <c r="AG110" s="17" t="inlineStr">
        <is>
          <t>완제의약품</t>
        </is>
      </c>
      <c r="AH110" s="17" t="inlineStr">
        <is>
          <t>비무균-일반제제-내용고형제(정제, 캡슐제, 구강붕해정), 무균-일반제제-주사제(주사제, 분말주사제), 무균-일반제제-점안제(점안제), 비무균-일반제제-내용액제(경구용액제, 시럽제(액상), 현탁제), 무균-카바페넴제제-주사제(분말주사제), 생물-유전자재조합의약품-주사제(동결건조주사제)</t>
        </is>
      </c>
      <c r="AI110" s="17" t="n">
        <v>1</v>
      </c>
      <c r="AJ110" s="24" t="n">
        <v>46419</v>
      </c>
      <c r="AK110" s="17" t="inlineStr"/>
      <c r="AL110" s="17" t="inlineStr">
        <is>
          <t>Y</t>
        </is>
      </c>
      <c r="AM110" s="17" t="inlineStr">
        <is>
          <t>다중 제조소/다수 판정서로 문서관리 복잡; 무균/바이오 제조로 품질관리 난도 높음</t>
        </is>
      </c>
      <c r="AN110" s="17" t="inlineStr">
        <is>
          <t>미확인</t>
        </is>
      </c>
      <c r="AO110" s="17" t="inlineStr">
        <is>
          <t>미확인</t>
        </is>
      </c>
      <c r="AP110" s="17" t="inlineStr">
        <is>
          <t>미확인</t>
        </is>
      </c>
      <c r="AQ110" s="17" t="inlineStr">
        <is>
          <t>담당자 파악 후 접촉</t>
        </is>
      </c>
      <c r="AR110" s="17" t="inlineStr">
        <is>
          <t>2026-07-05</t>
        </is>
      </c>
      <c r="AS110" s="17" t="inlineStr">
        <is>
          <t>C(부분확인)</t>
        </is>
      </c>
      <c r="AT110" s="17" t="n">
        <v>90</v>
      </c>
      <c r="AU110" s="17" t="inlineStr"/>
      <c r="AV110" s="17" t="inlineStr"/>
    </row>
    <row r="111">
      <c r="A111" s="26" t="inlineStr">
        <is>
          <t>Tier B</t>
        </is>
      </c>
      <c r="B111" s="17" t="n">
        <v>26</v>
      </c>
      <c r="C111" s="17" t="inlineStr">
        <is>
          <t>보란파마</t>
        </is>
      </c>
      <c r="D111" s="17" t="inlineStr">
        <is>
          <t>제1공장</t>
        </is>
      </c>
      <c r="E111" s="17" t="inlineStr">
        <is>
          <t>경기도</t>
        </is>
      </c>
      <c r="F111" s="17" t="inlineStr">
        <is>
          <t>평택시</t>
        </is>
      </c>
      <c r="G111" s="17" t="n">
        <v>1</v>
      </c>
      <c r="H111" s="20" t="inlineStr">
        <is>
          <t>Y</t>
        </is>
      </c>
      <c r="I111" s="21" t="inlineStr">
        <is>
          <t>Y</t>
        </is>
      </c>
      <c r="J111" s="17" t="inlineStr">
        <is>
          <t>Y</t>
        </is>
      </c>
      <c r="K111" s="17" t="inlineStr"/>
      <c r="L111" s="22" t="inlineStr">
        <is>
          <t>미확인</t>
        </is>
      </c>
      <c r="M111" s="22" t="inlineStr">
        <is>
          <t>미확인</t>
        </is>
      </c>
      <c r="N111" s="22" t="inlineStr">
        <is>
          <t>미확인</t>
        </is>
      </c>
      <c r="O111" s="22" t="inlineStr">
        <is>
          <t>미확인</t>
        </is>
      </c>
      <c r="P111" s="17" t="inlineStr">
        <is>
          <t>QMS+LIMS</t>
        </is>
      </c>
      <c r="Q111" s="22" t="inlineStr">
        <is>
          <t>미확인</t>
        </is>
      </c>
      <c r="R111" s="22" t="inlineStr">
        <is>
          <t>미확인</t>
        </is>
      </c>
      <c r="S111" s="17" t="inlineStr">
        <is>
          <t>Tier D</t>
        </is>
      </c>
      <c r="T111" s="17" t="n">
        <v>24</v>
      </c>
      <c r="U111" s="17" t="inlineStr">
        <is>
          <t>C004</t>
        </is>
      </c>
      <c r="V111" s="17" t="inlineStr">
        <is>
          <t>보란파마</t>
        </is>
      </c>
      <c r="W111" s="17" t="inlineStr"/>
      <c r="X111" s="17" t="inlineStr"/>
      <c r="Y111" s="23" t="inlineStr"/>
      <c r="Z111" s="17" t="inlineStr">
        <is>
          <t>김현숙</t>
        </is>
      </c>
      <c r="AA111" s="17" t="inlineStr"/>
      <c r="AB111" s="17" t="inlineStr">
        <is>
          <t>070-5100-4350</t>
        </is>
      </c>
      <c r="AC111" s="17" t="inlineStr">
        <is>
          <t>미확인</t>
        </is>
      </c>
      <c r="AD111" s="17" t="inlineStr">
        <is>
          <t>Y</t>
        </is>
      </c>
      <c r="AE111" s="17" t="inlineStr">
        <is>
          <t>P004</t>
        </is>
      </c>
      <c r="AF111" s="17" t="inlineStr">
        <is>
          <t>경기도 평택시 청북읍 고렴산단로 121</t>
        </is>
      </c>
      <c r="AG111" s="17" t="inlineStr">
        <is>
          <t>완제의약품</t>
        </is>
      </c>
      <c r="AH111" s="17" t="inlineStr">
        <is>
          <t>무균-일반제제-주사제(주사제), 생물-항독소-주사제(동결건조주사제)</t>
        </is>
      </c>
      <c r="AI111" s="17" t="n">
        <v>2</v>
      </c>
      <c r="AJ111" s="24" t="n">
        <v>46229</v>
      </c>
      <c r="AK111" s="25" t="inlineStr">
        <is>
          <t>Y</t>
        </is>
      </c>
      <c r="AL111" s="17" t="inlineStr">
        <is>
          <t>Y</t>
        </is>
      </c>
      <c r="AM111" s="17" t="inlineStr">
        <is>
          <t>무균/바이오 제조로 품질관리 난도 높음</t>
        </is>
      </c>
      <c r="AN111" s="17" t="inlineStr">
        <is>
          <t>미확인</t>
        </is>
      </c>
      <c r="AO111" s="17" t="inlineStr">
        <is>
          <t>미확인</t>
        </is>
      </c>
      <c r="AP111" s="17" t="inlineStr">
        <is>
          <t>미확인</t>
        </is>
      </c>
      <c r="AQ111" s="17" t="inlineStr">
        <is>
          <t>담당자 파악 후 접촉</t>
        </is>
      </c>
      <c r="AR111" s="17" t="inlineStr">
        <is>
          <t>2026-07-05</t>
        </is>
      </c>
      <c r="AS111" s="17" t="inlineStr">
        <is>
          <t>C(부분확인)</t>
        </is>
      </c>
      <c r="AT111" s="17" t="n">
        <v>90</v>
      </c>
      <c r="AU111" s="17" t="inlineStr"/>
      <c r="AV111" s="17" t="inlineStr"/>
    </row>
    <row r="112">
      <c r="A112" s="26" t="inlineStr">
        <is>
          <t>Tier B</t>
        </is>
      </c>
      <c r="B112" s="17" t="n">
        <v>26</v>
      </c>
      <c r="C112" s="17" t="inlineStr">
        <is>
          <t>에스케이바이오사이언스(주)</t>
        </is>
      </c>
      <c r="D112" s="17" t="inlineStr">
        <is>
          <t>L HOUSE</t>
        </is>
      </c>
      <c r="E112" s="17" t="inlineStr">
        <is>
          <t>경상북도</t>
        </is>
      </c>
      <c r="F112" s="17" t="inlineStr">
        <is>
          <t>안동시</t>
        </is>
      </c>
      <c r="G112" s="17" t="n">
        <v>1</v>
      </c>
      <c r="H112" s="20" t="inlineStr">
        <is>
          <t>Y</t>
        </is>
      </c>
      <c r="I112" s="21" t="inlineStr">
        <is>
          <t>Y</t>
        </is>
      </c>
      <c r="J112" s="17" t="inlineStr">
        <is>
          <t>Y</t>
        </is>
      </c>
      <c r="K112" s="17" t="inlineStr">
        <is>
          <t>Y</t>
        </is>
      </c>
      <c r="L112" s="22" t="inlineStr">
        <is>
          <t>미확인</t>
        </is>
      </c>
      <c r="M112" s="22" t="inlineStr">
        <is>
          <t>미확인</t>
        </is>
      </c>
      <c r="N112" s="22" t="inlineStr">
        <is>
          <t>미확인</t>
        </is>
      </c>
      <c r="O112" s="22" t="inlineStr">
        <is>
          <t>미확인</t>
        </is>
      </c>
      <c r="P112" s="17" t="inlineStr">
        <is>
          <t>QMS+LIMS</t>
        </is>
      </c>
      <c r="Q112" s="22" t="inlineStr">
        <is>
          <t>미확인</t>
        </is>
      </c>
      <c r="R112" s="22" t="inlineStr">
        <is>
          <t>미확인</t>
        </is>
      </c>
      <c r="S112" s="17" t="inlineStr">
        <is>
          <t>Tier D</t>
        </is>
      </c>
      <c r="T112" s="17" t="n">
        <v>19</v>
      </c>
      <c r="U112" s="17" t="inlineStr">
        <is>
          <t>C115</t>
        </is>
      </c>
      <c r="V112" s="17" t="inlineStr">
        <is>
          <t>에스케이바이오사이언스</t>
        </is>
      </c>
      <c r="W112" s="17" t="inlineStr"/>
      <c r="X112" s="17" t="inlineStr"/>
      <c r="Y112" s="23" t="inlineStr"/>
      <c r="Z112" s="17" t="inlineStr">
        <is>
          <t>안재용</t>
        </is>
      </c>
      <c r="AA112" s="17" t="inlineStr"/>
      <c r="AB112" s="17" t="inlineStr">
        <is>
          <t>미확인</t>
        </is>
      </c>
      <c r="AC112" s="17" t="inlineStr">
        <is>
          <t>미확인</t>
        </is>
      </c>
      <c r="AD112" s="17" t="inlineStr">
        <is>
          <t>Y</t>
        </is>
      </c>
      <c r="AE112" s="17" t="inlineStr">
        <is>
          <t>P121</t>
        </is>
      </c>
      <c r="AF112" s="17" t="inlineStr">
        <is>
          <t>경상북도 안동시 풍산읍 산업단지길 150</t>
        </is>
      </c>
      <c r="AG112" s="17" t="inlineStr">
        <is>
          <t>완제의약품+원료의약품</t>
        </is>
      </c>
      <c r="AH112" s="17" t="inlineStr">
        <is>
          <t>생물-백신-(배양, 정제, 바이러스불활화, 원액 제조)</t>
        </is>
      </c>
      <c r="AI112" s="17" t="n">
        <v>2</v>
      </c>
      <c r="AJ112" s="24" t="n">
        <v>47039</v>
      </c>
      <c r="AK112" s="17" t="inlineStr"/>
      <c r="AL112" s="17" t="inlineStr"/>
      <c r="AM112" s="17" t="inlineStr">
        <is>
          <t>무균/바이오 제조로 품질관리 난도 높음; 원료 제조로 시험실 관리 필요</t>
        </is>
      </c>
      <c r="AN112" s="17" t="inlineStr">
        <is>
          <t>미확인</t>
        </is>
      </c>
      <c r="AO112" s="17" t="inlineStr">
        <is>
          <t>미확인</t>
        </is>
      </c>
      <c r="AP112" s="17" t="inlineStr">
        <is>
          <t>미확인</t>
        </is>
      </c>
      <c r="AQ112" s="17" t="inlineStr">
        <is>
          <t>담당자 파악 후 접촉</t>
        </is>
      </c>
      <c r="AR112" s="17" t="inlineStr">
        <is>
          <t>2026-07-05</t>
        </is>
      </c>
      <c r="AS112" s="17" t="inlineStr">
        <is>
          <t>C(부분확인)</t>
        </is>
      </c>
      <c r="AT112" s="17" t="n">
        <v>90</v>
      </c>
      <c r="AU112" s="17" t="inlineStr"/>
      <c r="AV112" s="17" t="inlineStr"/>
    </row>
    <row r="113">
      <c r="A113" s="26" t="inlineStr">
        <is>
          <t>Tier B</t>
        </is>
      </c>
      <c r="B113" s="17" t="n">
        <v>26</v>
      </c>
      <c r="C113" s="17" t="inlineStr">
        <is>
          <t>제네톡스(주)</t>
        </is>
      </c>
      <c r="D113" s="17" t="inlineStr">
        <is>
          <t>제1공장</t>
        </is>
      </c>
      <c r="E113" s="17" t="inlineStr">
        <is>
          <t>강원특별자치도</t>
        </is>
      </c>
      <c r="F113" s="17" t="inlineStr">
        <is>
          <t>횡성군</t>
        </is>
      </c>
      <c r="G113" s="17" t="n">
        <v>1</v>
      </c>
      <c r="H113" s="20" t="inlineStr">
        <is>
          <t>Y</t>
        </is>
      </c>
      <c r="I113" s="21" t="inlineStr">
        <is>
          <t>Y</t>
        </is>
      </c>
      <c r="J113" s="17" t="inlineStr">
        <is>
          <t>Y</t>
        </is>
      </c>
      <c r="K113" s="17" t="inlineStr">
        <is>
          <t>Y</t>
        </is>
      </c>
      <c r="L113" s="22" t="inlineStr">
        <is>
          <t>미확인</t>
        </is>
      </c>
      <c r="M113" s="22" t="inlineStr">
        <is>
          <t>미확인</t>
        </is>
      </c>
      <c r="N113" s="22" t="inlineStr">
        <is>
          <t>미확인</t>
        </is>
      </c>
      <c r="O113" s="22" t="inlineStr">
        <is>
          <t>미확인</t>
        </is>
      </c>
      <c r="P113" s="17" t="inlineStr">
        <is>
          <t>QMS+LIMS</t>
        </is>
      </c>
      <c r="Q113" s="22" t="inlineStr">
        <is>
          <t>미확인</t>
        </is>
      </c>
      <c r="R113" s="22" t="inlineStr">
        <is>
          <t>미확인</t>
        </is>
      </c>
      <c r="S113" s="17" t="inlineStr">
        <is>
          <t>Tier D</t>
        </is>
      </c>
      <c r="T113" s="17" t="n">
        <v>19</v>
      </c>
      <c r="U113" s="17" t="inlineStr">
        <is>
          <t>C110</t>
        </is>
      </c>
      <c r="V113" s="17" t="inlineStr">
        <is>
          <t>제네톡스</t>
        </is>
      </c>
      <c r="W113" s="17" t="inlineStr"/>
      <c r="X113" s="17" t="inlineStr"/>
      <c r="Y113" s="23" t="inlineStr"/>
      <c r="Z113" s="17" t="inlineStr">
        <is>
          <t>이영준</t>
        </is>
      </c>
      <c r="AA113" s="17" t="inlineStr"/>
      <c r="AB113" s="17" t="inlineStr">
        <is>
          <t>03334437003220</t>
        </is>
      </c>
      <c r="AC113" s="17" t="inlineStr">
        <is>
          <t>미확인</t>
        </is>
      </c>
      <c r="AD113" s="17" t="inlineStr">
        <is>
          <t>Y</t>
        </is>
      </c>
      <c r="AE113" s="17" t="inlineStr">
        <is>
          <t>P115</t>
        </is>
      </c>
      <c r="AF113" s="17" t="inlineStr">
        <is>
          <t>강원특별자치도 횡성군 우천면 우천산업단지로 38-53 1층, 2층 일부</t>
        </is>
      </c>
      <c r="AG113" s="17" t="inlineStr">
        <is>
          <t>완제의약품+원료의약품</t>
        </is>
      </c>
      <c r="AH113" s="17" t="inlineStr">
        <is>
          <t>생물-독소-(배양, 정제, 원액 제조)</t>
        </is>
      </c>
      <c r="AI113" s="17" t="n">
        <v>2</v>
      </c>
      <c r="AJ113" s="24" t="n">
        <v>47052</v>
      </c>
      <c r="AK113" s="17" t="inlineStr"/>
      <c r="AL113" s="17" t="inlineStr"/>
      <c r="AM113" s="17" t="inlineStr">
        <is>
          <t>무균/바이오 제조로 품질관리 난도 높음; 원료 제조로 시험실 관리 필요</t>
        </is>
      </c>
      <c r="AN113" s="17" t="inlineStr">
        <is>
          <t>미확인</t>
        </is>
      </c>
      <c r="AO113" s="17" t="inlineStr">
        <is>
          <t>미확인</t>
        </is>
      </c>
      <c r="AP113" s="17" t="inlineStr">
        <is>
          <t>미확인</t>
        </is>
      </c>
      <c r="AQ113" s="17" t="inlineStr">
        <is>
          <t>담당자 파악 후 접촉</t>
        </is>
      </c>
      <c r="AR113" s="17" t="inlineStr">
        <is>
          <t>2026-07-05</t>
        </is>
      </c>
      <c r="AS113" s="17" t="inlineStr">
        <is>
          <t>C(부분확인)</t>
        </is>
      </c>
      <c r="AT113" s="17" t="n">
        <v>90</v>
      </c>
      <c r="AU113" s="17" t="inlineStr"/>
      <c r="AV113" s="17" t="inlineStr"/>
    </row>
    <row r="114">
      <c r="A114" s="26" t="inlineStr">
        <is>
          <t>Tier B</t>
        </is>
      </c>
      <c r="B114" s="17" t="n">
        <v>24</v>
      </c>
      <c r="C114" s="17" t="inlineStr">
        <is>
          <t>(주)유영제약</t>
        </is>
      </c>
      <c r="D114" s="17" t="inlineStr">
        <is>
          <t>진천</t>
        </is>
      </c>
      <c r="E114" s="17" t="inlineStr">
        <is>
          <t>충청북도</t>
        </is>
      </c>
      <c r="F114" s="17" t="inlineStr">
        <is>
          <t>진천군</t>
        </is>
      </c>
      <c r="G114" s="17" t="n">
        <v>1</v>
      </c>
      <c r="H114" s="20" t="inlineStr">
        <is>
          <t>Y</t>
        </is>
      </c>
      <c r="I114" s="17" t="inlineStr"/>
      <c r="J114" s="17" t="inlineStr">
        <is>
          <t>Y</t>
        </is>
      </c>
      <c r="K114" s="17" t="inlineStr">
        <is>
          <t>Y</t>
        </is>
      </c>
      <c r="L114" s="22" t="inlineStr">
        <is>
          <t>미확인</t>
        </is>
      </c>
      <c r="M114" s="22" t="inlineStr">
        <is>
          <t>미확인</t>
        </is>
      </c>
      <c r="N114" s="22" t="inlineStr">
        <is>
          <t>미확인</t>
        </is>
      </c>
      <c r="O114" s="22" t="inlineStr">
        <is>
          <t>미확인</t>
        </is>
      </c>
      <c r="P114" s="17" t="inlineStr">
        <is>
          <t>QMS+LIMS</t>
        </is>
      </c>
      <c r="Q114" s="22" t="inlineStr">
        <is>
          <t>미확인</t>
        </is>
      </c>
      <c r="R114" s="22" t="inlineStr">
        <is>
          <t>미확인</t>
        </is>
      </c>
      <c r="S114" s="17" t="inlineStr">
        <is>
          <t>Tier D</t>
        </is>
      </c>
      <c r="T114" s="17" t="n">
        <v>17</v>
      </c>
      <c r="U114" s="17" t="inlineStr">
        <is>
          <t>C385</t>
        </is>
      </c>
      <c r="V114" s="17" t="inlineStr">
        <is>
          <t>유영제약</t>
        </is>
      </c>
      <c r="W114" s="17" t="inlineStr"/>
      <c r="X114" s="17" t="inlineStr"/>
      <c r="Y114" s="23" t="inlineStr"/>
      <c r="Z114" s="17" t="inlineStr">
        <is>
          <t>유주평</t>
        </is>
      </c>
      <c r="AA114" s="17" t="inlineStr"/>
      <c r="AB114" s="17" t="inlineStr">
        <is>
          <t>043-535-2976</t>
        </is>
      </c>
      <c r="AC114" s="17" t="inlineStr">
        <is>
          <t>미확인</t>
        </is>
      </c>
      <c r="AD114" s="17" t="inlineStr">
        <is>
          <t>Y</t>
        </is>
      </c>
      <c r="AE114" s="17" t="inlineStr">
        <is>
          <t>P472</t>
        </is>
      </c>
      <c r="AF114" s="17" t="inlineStr">
        <is>
          <t>충청북도 진천군 광혜원면 용소2길 33</t>
        </is>
      </c>
      <c r="AG114" s="17" t="inlineStr">
        <is>
          <t>완제의약품+원료의약품</t>
        </is>
      </c>
      <c r="AH114" s="17" t="inlineStr">
        <is>
          <t>비무균-일반제제-합성</t>
        </is>
      </c>
      <c r="AI114" s="17" t="n">
        <v>2</v>
      </c>
      <c r="AJ114" s="24" t="n">
        <v>46327</v>
      </c>
      <c r="AK114" s="25" t="inlineStr">
        <is>
          <t>Y</t>
        </is>
      </c>
      <c r="AL114" s="17" t="inlineStr">
        <is>
          <t>Y</t>
        </is>
      </c>
      <c r="AM114" s="17" t="inlineStr">
        <is>
          <t>무균/바이오 제조로 품질관리 난도 높음; 원료 제조로 시험실 관리 필요</t>
        </is>
      </c>
      <c r="AN114" s="17" t="inlineStr">
        <is>
          <t>미확인</t>
        </is>
      </c>
      <c r="AO114" s="17" t="inlineStr">
        <is>
          <t>미확인</t>
        </is>
      </c>
      <c r="AP114" s="17" t="inlineStr">
        <is>
          <t>미확인</t>
        </is>
      </c>
      <c r="AQ114" s="17" t="inlineStr">
        <is>
          <t>담당자 파악 후 접촉</t>
        </is>
      </c>
      <c r="AR114" s="17" t="inlineStr">
        <is>
          <t>2026-07-05</t>
        </is>
      </c>
      <c r="AS114" s="17" t="inlineStr">
        <is>
          <t>C(부분확인)</t>
        </is>
      </c>
      <c r="AT114" s="17" t="n">
        <v>90</v>
      </c>
      <c r="AU114" s="17" t="inlineStr"/>
      <c r="AV114" s="17" t="inlineStr"/>
    </row>
    <row r="115">
      <c r="A115" s="26" t="inlineStr">
        <is>
          <t>Tier B</t>
        </is>
      </c>
      <c r="B115" s="17" t="n">
        <v>24</v>
      </c>
      <c r="C115" s="17" t="inlineStr">
        <is>
          <t>명문제약(주)</t>
        </is>
      </c>
      <c r="D115" s="17" t="inlineStr">
        <is>
          <t>화성</t>
        </is>
      </c>
      <c r="E115" s="17" t="inlineStr">
        <is>
          <t>경기도</t>
        </is>
      </c>
      <c r="F115" s="17" t="inlineStr">
        <is>
          <t>화성시</t>
        </is>
      </c>
      <c r="G115" s="17" t="n">
        <v>1</v>
      </c>
      <c r="H115" s="20" t="inlineStr">
        <is>
          <t>Y</t>
        </is>
      </c>
      <c r="I115" s="17" t="inlineStr"/>
      <c r="J115" s="17" t="inlineStr">
        <is>
          <t>Y</t>
        </is>
      </c>
      <c r="K115" s="17" t="inlineStr"/>
      <c r="L115" s="22" t="inlineStr">
        <is>
          <t>미확인</t>
        </is>
      </c>
      <c r="M115" s="22" t="inlineStr">
        <is>
          <t>미확인</t>
        </is>
      </c>
      <c r="N115" s="22" t="inlineStr">
        <is>
          <t>미확인</t>
        </is>
      </c>
      <c r="O115" s="22" t="inlineStr">
        <is>
          <t>미확인</t>
        </is>
      </c>
      <c r="P115" s="17" t="inlineStr">
        <is>
          <t>QMS+LIMS</t>
        </is>
      </c>
      <c r="Q115" s="22" t="inlineStr">
        <is>
          <t>미확인</t>
        </is>
      </c>
      <c r="R115" s="22" t="inlineStr">
        <is>
          <t>미확인</t>
        </is>
      </c>
      <c r="S115" s="17" t="inlineStr">
        <is>
          <t>Tier D</t>
        </is>
      </c>
      <c r="T115" s="17" t="n">
        <v>15</v>
      </c>
      <c r="U115" s="17" t="inlineStr">
        <is>
          <t>C312</t>
        </is>
      </c>
      <c r="V115" s="17" t="inlineStr">
        <is>
          <t>명문제약</t>
        </is>
      </c>
      <c r="W115" s="17" t="inlineStr">
        <is>
          <t>Y</t>
        </is>
      </c>
      <c r="X115" s="17" t="inlineStr">
        <is>
          <t>유가</t>
        </is>
      </c>
      <c r="Y115" s="23" t="inlineStr">
        <is>
          <t>017180</t>
        </is>
      </c>
      <c r="Z115" s="17" t="inlineStr">
        <is>
          <t>배철한</t>
        </is>
      </c>
      <c r="AA115" s="17" t="inlineStr">
        <is>
          <t>http://www.mmpharm.co.kr</t>
        </is>
      </c>
      <c r="AB115" s="17" t="inlineStr">
        <is>
          <t>미확인</t>
        </is>
      </c>
      <c r="AC115" s="17" t="inlineStr">
        <is>
          <t>미확인</t>
        </is>
      </c>
      <c r="AD115" s="17" t="inlineStr">
        <is>
          <t>Y</t>
        </is>
      </c>
      <c r="AE115" s="17" t="inlineStr">
        <is>
          <t>P377</t>
        </is>
      </c>
      <c r="AF115" s="17" t="inlineStr">
        <is>
          <t>경기도 화성시 만세구 향남읍 제약공단2길 26</t>
        </is>
      </c>
      <c r="AG115" s="17" t="inlineStr">
        <is>
          <t>완제의약품</t>
        </is>
      </c>
      <c r="AH115" s="17" t="inlineStr">
        <is>
          <t>비무균-일반제제-내용고형제(정제, 캡슐제), 무균-일반제제-주사제(주사제), 비무균-일반제제-외용액제(외용액제, 에어로솔제), 비무균-일반제제-첩부제(경피흡수제), 비무균-성호르몬제-내용고형제(정제)</t>
        </is>
      </c>
      <c r="AI115" s="17" t="n">
        <v>1</v>
      </c>
      <c r="AJ115" s="24" t="n">
        <v>46537</v>
      </c>
      <c r="AK115" s="17" t="inlineStr"/>
      <c r="AL115" s="17" t="inlineStr">
        <is>
          <t>Y</t>
        </is>
      </c>
      <c r="AM115" s="17" t="inlineStr">
        <is>
          <t>무균/바이오 제조로 품질관리 난도 높음</t>
        </is>
      </c>
      <c r="AN115" s="17" t="inlineStr">
        <is>
          <t>미확인</t>
        </is>
      </c>
      <c r="AO115" s="17" t="inlineStr">
        <is>
          <t>미확인</t>
        </is>
      </c>
      <c r="AP115" s="17" t="inlineStr">
        <is>
          <t>미확인</t>
        </is>
      </c>
      <c r="AQ115" s="17" t="inlineStr">
        <is>
          <t>담당자 파악 후 접촉</t>
        </is>
      </c>
      <c r="AR115" s="17" t="inlineStr">
        <is>
          <t>2026-07-05</t>
        </is>
      </c>
      <c r="AS115" s="17" t="inlineStr">
        <is>
          <t>C(부분확인)</t>
        </is>
      </c>
      <c r="AT115" s="17" t="n">
        <v>90</v>
      </c>
      <c r="AU115" s="17" t="inlineStr"/>
      <c r="AV115" s="17" t="inlineStr"/>
    </row>
    <row r="116">
      <c r="A116" s="26" t="inlineStr">
        <is>
          <t>Tier B</t>
        </is>
      </c>
      <c r="B116" s="17" t="n">
        <v>24</v>
      </c>
      <c r="C116" s="17" t="inlineStr">
        <is>
          <t>부광약품(주)</t>
        </is>
      </c>
      <c r="D116" s="17" t="inlineStr">
        <is>
          <t>안산2</t>
        </is>
      </c>
      <c r="E116" s="17" t="inlineStr">
        <is>
          <t>경기도</t>
        </is>
      </c>
      <c r="F116" s="17" t="inlineStr">
        <is>
          <t>안산시</t>
        </is>
      </c>
      <c r="G116" s="17" t="n">
        <v>1</v>
      </c>
      <c r="H116" s="20" t="inlineStr">
        <is>
          <t>Y</t>
        </is>
      </c>
      <c r="I116" s="17" t="inlineStr"/>
      <c r="J116" s="17" t="inlineStr">
        <is>
          <t>Y</t>
        </is>
      </c>
      <c r="K116" s="17" t="inlineStr"/>
      <c r="L116" s="22" t="inlineStr">
        <is>
          <t>미확인</t>
        </is>
      </c>
      <c r="M116" s="22" t="inlineStr">
        <is>
          <t>미확인</t>
        </is>
      </c>
      <c r="N116" s="22" t="inlineStr">
        <is>
          <t>미확인</t>
        </is>
      </c>
      <c r="O116" s="22" t="inlineStr">
        <is>
          <t>미확인</t>
        </is>
      </c>
      <c r="P116" s="17" t="inlineStr">
        <is>
          <t>QMS+LIMS</t>
        </is>
      </c>
      <c r="Q116" s="22" t="inlineStr">
        <is>
          <t>미확인</t>
        </is>
      </c>
      <c r="R116" s="22" t="inlineStr">
        <is>
          <t>미확인</t>
        </is>
      </c>
      <c r="S116" s="17" t="inlineStr">
        <is>
          <t>Tier D</t>
        </is>
      </c>
      <c r="T116" s="17" t="n">
        <v>18</v>
      </c>
      <c r="U116" s="17" t="inlineStr">
        <is>
          <t>C365</t>
        </is>
      </c>
      <c r="V116" s="17" t="inlineStr">
        <is>
          <t>부광약품</t>
        </is>
      </c>
      <c r="W116" s="17" t="inlineStr">
        <is>
          <t>Y</t>
        </is>
      </c>
      <c r="X116" s="17" t="inlineStr">
        <is>
          <t>유가</t>
        </is>
      </c>
      <c r="Y116" s="23" t="inlineStr">
        <is>
          <t>003000</t>
        </is>
      </c>
      <c r="Z116" s="17" t="inlineStr">
        <is>
          <t>이제영</t>
        </is>
      </c>
      <c r="AA116" s="17" t="inlineStr">
        <is>
          <t>http://www.bukwang.co.kr</t>
        </is>
      </c>
      <c r="AB116" s="17" t="inlineStr">
        <is>
          <t>031-492-0908</t>
        </is>
      </c>
      <c r="AC116" s="17" t="inlineStr">
        <is>
          <t>미확인</t>
        </is>
      </c>
      <c r="AD116" s="17" t="inlineStr">
        <is>
          <t>Y</t>
        </is>
      </c>
      <c r="AE116" s="17" t="inlineStr">
        <is>
          <t>P443</t>
        </is>
      </c>
      <c r="AF116" s="17" t="inlineStr">
        <is>
          <t>경기도 안산시 단원구 능안로 47</t>
        </is>
      </c>
      <c r="AG116" s="17" t="inlineStr">
        <is>
          <t>완제의약품</t>
        </is>
      </c>
      <c r="AH116" s="17" t="inlineStr">
        <is>
          <t>비무균-일반제제-내용고형제(정제, 캡슐제, 과립제), 무균-일반제제-주사제(주사제), 비무균-일반제제-내용액제(시럽제(액상), 현탁제), 비무균-일반제제-외용액제(외용액제, 점비액제), 비무균-일반제제-연고제(연고제, 크림제, 겔제)</t>
        </is>
      </c>
      <c r="AI116" s="17" t="n">
        <v>1</v>
      </c>
      <c r="AJ116" s="24" t="n">
        <v>46412</v>
      </c>
      <c r="AK116" s="17" t="inlineStr"/>
      <c r="AL116" s="17" t="inlineStr">
        <is>
          <t>Y</t>
        </is>
      </c>
      <c r="AM116" s="17" t="inlineStr">
        <is>
          <t>무균/바이오 제조로 품질관리 난도 높음</t>
        </is>
      </c>
      <c r="AN116" s="17" t="inlineStr">
        <is>
          <t>미확인</t>
        </is>
      </c>
      <c r="AO116" s="17" t="inlineStr">
        <is>
          <t>미확인</t>
        </is>
      </c>
      <c r="AP116" s="17" t="inlineStr">
        <is>
          <t>미확인</t>
        </is>
      </c>
      <c r="AQ116" s="17" t="inlineStr">
        <is>
          <t>담당자 파악 후 접촉</t>
        </is>
      </c>
      <c r="AR116" s="17" t="inlineStr">
        <is>
          <t>2026-07-05</t>
        </is>
      </c>
      <c r="AS116" s="17" t="inlineStr">
        <is>
          <t>C(부분확인)</t>
        </is>
      </c>
      <c r="AT116" s="17" t="n">
        <v>90</v>
      </c>
      <c r="AU116" s="17" t="inlineStr"/>
      <c r="AV116" s="17" t="inlineStr"/>
    </row>
    <row r="117">
      <c r="A117" s="26" t="inlineStr">
        <is>
          <t>Tier B</t>
        </is>
      </c>
      <c r="B117" s="17" t="n">
        <v>23</v>
      </c>
      <c r="C117" s="17" t="inlineStr">
        <is>
          <t>(주)셀트리온제약</t>
        </is>
      </c>
      <c r="D117" s="17" t="inlineStr">
        <is>
          <t>진천</t>
        </is>
      </c>
      <c r="E117" s="17" t="inlineStr">
        <is>
          <t>충청북도</t>
        </is>
      </c>
      <c r="F117" s="17" t="inlineStr">
        <is>
          <t>진천군</t>
        </is>
      </c>
      <c r="G117" s="17" t="n">
        <v>2</v>
      </c>
      <c r="H117" s="17" t="inlineStr"/>
      <c r="I117" s="17" t="inlineStr"/>
      <c r="J117" s="17" t="inlineStr">
        <is>
          <t>Y</t>
        </is>
      </c>
      <c r="K117" s="17" t="inlineStr"/>
      <c r="L117" s="22" t="inlineStr">
        <is>
          <t>미확인</t>
        </is>
      </c>
      <c r="M117" s="22" t="inlineStr">
        <is>
          <t>미확인</t>
        </is>
      </c>
      <c r="N117" s="22" t="inlineStr">
        <is>
          <t>미확인</t>
        </is>
      </c>
      <c r="O117" s="22" t="inlineStr">
        <is>
          <t>미확인</t>
        </is>
      </c>
      <c r="P117" s="17" t="inlineStr">
        <is>
          <t>EDMS+QMS+LMS</t>
        </is>
      </c>
      <c r="Q117" s="22" t="inlineStr">
        <is>
          <t>미확인</t>
        </is>
      </c>
      <c r="R117" s="22" t="inlineStr">
        <is>
          <t>미확인</t>
        </is>
      </c>
      <c r="S117" s="17" t="inlineStr">
        <is>
          <t>Tier D</t>
        </is>
      </c>
      <c r="T117" s="17" t="n">
        <v>16</v>
      </c>
      <c r="U117" s="17" t="inlineStr">
        <is>
          <t>C277</t>
        </is>
      </c>
      <c r="V117" s="17" t="inlineStr">
        <is>
          <t>셀트리온제약</t>
        </is>
      </c>
      <c r="W117" s="17" t="inlineStr">
        <is>
          <t>Y</t>
        </is>
      </c>
      <c r="X117" s="17" t="inlineStr">
        <is>
          <t>코스닥</t>
        </is>
      </c>
      <c r="Y117" s="23" t="inlineStr">
        <is>
          <t>068760</t>
        </is>
      </c>
      <c r="Z117" s="17" t="inlineStr">
        <is>
          <t>유영호</t>
        </is>
      </c>
      <c r="AA117" s="17" t="inlineStr">
        <is>
          <t>http://www.celltrionph.com</t>
        </is>
      </c>
      <c r="AB117" s="17" t="inlineStr">
        <is>
          <t>4083611</t>
        </is>
      </c>
      <c r="AC117" s="17" t="inlineStr">
        <is>
          <t>미확인</t>
        </is>
      </c>
      <c r="AD117" s="17" t="inlineStr">
        <is>
          <t>Y</t>
        </is>
      </c>
      <c r="AE117" s="17" t="inlineStr">
        <is>
          <t>P332</t>
        </is>
      </c>
      <c r="AF117" s="17" t="inlineStr">
        <is>
          <t>충청북도 진천군 이월면 반지길 47-17</t>
        </is>
      </c>
      <c r="AG117" s="17" t="inlineStr">
        <is>
          <t>완제의약품</t>
        </is>
      </c>
      <c r="AH117" s="17" t="inlineStr">
        <is>
          <t>비무균-일반제제-내용고형제(정제, 캡슐제)</t>
        </is>
      </c>
      <c r="AI117" s="17" t="n">
        <v>1</v>
      </c>
      <c r="AJ117" s="24" t="n">
        <v>46666</v>
      </c>
      <c r="AK117" s="17" t="inlineStr"/>
      <c r="AL117" s="17" t="inlineStr"/>
      <c r="AM117" s="17" t="inlineStr">
        <is>
          <t>다중 제조소/다수 판정서로 문서관리 복잡; 다중 제조소로 교육관리 대상 광범위</t>
        </is>
      </c>
      <c r="AN117" s="17" t="inlineStr">
        <is>
          <t>미확인</t>
        </is>
      </c>
      <c r="AO117" s="17" t="inlineStr">
        <is>
          <t>미확인</t>
        </is>
      </c>
      <c r="AP117" s="17" t="inlineStr">
        <is>
          <t>미확인</t>
        </is>
      </c>
      <c r="AQ117" s="17" t="inlineStr">
        <is>
          <t>담당자 파악 후 접촉</t>
        </is>
      </c>
      <c r="AR117" s="17" t="inlineStr">
        <is>
          <t>2026-07-05</t>
        </is>
      </c>
      <c r="AS117" s="17" t="inlineStr">
        <is>
          <t>C(부분확인)</t>
        </is>
      </c>
      <c r="AT117" s="17" t="n">
        <v>90</v>
      </c>
      <c r="AU117" s="17" t="inlineStr"/>
      <c r="AV117" s="17" t="inlineStr"/>
    </row>
    <row r="118">
      <c r="A118" s="26" t="inlineStr">
        <is>
          <t>Tier B</t>
        </is>
      </c>
      <c r="B118" s="17" t="n">
        <v>23</v>
      </c>
      <c r="C118" s="17" t="inlineStr">
        <is>
          <t>(주)셀트리온제약</t>
        </is>
      </c>
      <c r="D118" s="17" t="inlineStr">
        <is>
          <t>오창</t>
        </is>
      </c>
      <c r="E118" s="17" t="inlineStr">
        <is>
          <t>충청북도</t>
        </is>
      </c>
      <c r="F118" s="17" t="inlineStr">
        <is>
          <t>청주시</t>
        </is>
      </c>
      <c r="G118" s="17" t="n">
        <v>2</v>
      </c>
      <c r="H118" s="17" t="inlineStr"/>
      <c r="I118" s="17" t="inlineStr"/>
      <c r="J118" s="17" t="inlineStr">
        <is>
          <t>Y</t>
        </is>
      </c>
      <c r="K118" s="17" t="inlineStr"/>
      <c r="L118" s="22" t="inlineStr">
        <is>
          <t>미확인</t>
        </is>
      </c>
      <c r="M118" s="22" t="inlineStr">
        <is>
          <t>미확인</t>
        </is>
      </c>
      <c r="N118" s="22" t="inlineStr">
        <is>
          <t>미확인</t>
        </is>
      </c>
      <c r="O118" s="22" t="inlineStr">
        <is>
          <t>미확인</t>
        </is>
      </c>
      <c r="P118" s="17" t="inlineStr">
        <is>
          <t>EDMS+QMS+LMS</t>
        </is>
      </c>
      <c r="Q118" s="22" t="inlineStr">
        <is>
          <t>미확인</t>
        </is>
      </c>
      <c r="R118" s="22" t="inlineStr">
        <is>
          <t>미확인</t>
        </is>
      </c>
      <c r="S118" s="17" t="inlineStr">
        <is>
          <t>Tier D</t>
        </is>
      </c>
      <c r="T118" s="17" t="n">
        <v>16</v>
      </c>
      <c r="U118" s="17" t="inlineStr">
        <is>
          <t>C277</t>
        </is>
      </c>
      <c r="V118" s="17" t="inlineStr">
        <is>
          <t>셀트리온제약</t>
        </is>
      </c>
      <c r="W118" s="17" t="inlineStr">
        <is>
          <t>Y</t>
        </is>
      </c>
      <c r="X118" s="17" t="inlineStr">
        <is>
          <t>코스닥</t>
        </is>
      </c>
      <c r="Y118" s="23" t="inlineStr">
        <is>
          <t>068760</t>
        </is>
      </c>
      <c r="Z118" s="17" t="inlineStr">
        <is>
          <t>유영호</t>
        </is>
      </c>
      <c r="AA118" s="17" t="inlineStr">
        <is>
          <t>http://www.celltrionph.com</t>
        </is>
      </c>
      <c r="AB118" s="17" t="inlineStr">
        <is>
          <t>4083611</t>
        </is>
      </c>
      <c r="AC118" s="17" t="inlineStr">
        <is>
          <t>미확인</t>
        </is>
      </c>
      <c r="AD118" s="17" t="inlineStr">
        <is>
          <t>Y</t>
        </is>
      </c>
      <c r="AE118" s="17" t="inlineStr">
        <is>
          <t>P457</t>
        </is>
      </c>
      <c r="AF118" s="17" t="inlineStr">
        <is>
          <t>충청북도 청주시 청원구 오창읍 2산단로 82</t>
        </is>
      </c>
      <c r="AG118" s="17" t="inlineStr">
        <is>
          <t>완제의약품</t>
        </is>
      </c>
      <c r="AH118" s="17" t="inlineStr">
        <is>
          <t>비무균-일반제제-내용고형제(정제, 캡슐제)</t>
        </is>
      </c>
      <c r="AI118" s="17" t="n">
        <v>1</v>
      </c>
      <c r="AJ118" s="24" t="n">
        <v>46355</v>
      </c>
      <c r="AK118" s="25" t="inlineStr">
        <is>
          <t>Y</t>
        </is>
      </c>
      <c r="AL118" s="17" t="inlineStr">
        <is>
          <t>Y</t>
        </is>
      </c>
      <c r="AM118" s="17" t="inlineStr">
        <is>
          <t>다중 제조소/다수 판정서로 문서관리 복잡; 다중 제조소로 교육관리 대상 광범위</t>
        </is>
      </c>
      <c r="AN118" s="17" t="inlineStr">
        <is>
          <t>미확인</t>
        </is>
      </c>
      <c r="AO118" s="17" t="inlineStr">
        <is>
          <t>미확인</t>
        </is>
      </c>
      <c r="AP118" s="17" t="inlineStr">
        <is>
          <t>미확인</t>
        </is>
      </c>
      <c r="AQ118" s="17" t="inlineStr">
        <is>
          <t>담당자 파악 후 접촉</t>
        </is>
      </c>
      <c r="AR118" s="17" t="inlineStr">
        <is>
          <t>2026-07-05</t>
        </is>
      </c>
      <c r="AS118" s="17" t="inlineStr">
        <is>
          <t>C(부분확인)</t>
        </is>
      </c>
      <c r="AT118" s="17" t="n">
        <v>90</v>
      </c>
      <c r="AU118" s="17" t="inlineStr"/>
      <c r="AV118" s="17" t="inlineStr"/>
    </row>
    <row r="119">
      <c r="A119" s="26" t="inlineStr">
        <is>
          <t>Tier B</t>
        </is>
      </c>
      <c r="B119" s="17" t="n">
        <v>23</v>
      </c>
      <c r="C119" s="17" t="inlineStr">
        <is>
          <t>(주)퓨쳐켐헬스케어</t>
        </is>
      </c>
      <c r="D119" s="17" t="inlineStr">
        <is>
          <t>부산</t>
        </is>
      </c>
      <c r="E119" s="17" t="inlineStr">
        <is>
          <t>부산광역시</t>
        </is>
      </c>
      <c r="F119" s="17" t="inlineStr">
        <is>
          <t>서구</t>
        </is>
      </c>
      <c r="G119" s="17" t="n">
        <v>2</v>
      </c>
      <c r="H119" s="20" t="inlineStr">
        <is>
          <t>Y</t>
        </is>
      </c>
      <c r="I119" s="17" t="inlineStr"/>
      <c r="J119" s="17" t="inlineStr">
        <is>
          <t>Y</t>
        </is>
      </c>
      <c r="K119" s="17" t="inlineStr"/>
      <c r="L119" s="22" t="inlineStr">
        <is>
          <t>미확인</t>
        </is>
      </c>
      <c r="M119" s="22" t="inlineStr">
        <is>
          <t>미확인</t>
        </is>
      </c>
      <c r="N119" s="22" t="inlineStr">
        <is>
          <t>미확인</t>
        </is>
      </c>
      <c r="O119" s="22" t="inlineStr">
        <is>
          <t>미확인</t>
        </is>
      </c>
      <c r="P119" s="17" t="inlineStr">
        <is>
          <t>통합형</t>
        </is>
      </c>
      <c r="Q119" s="22" t="inlineStr">
        <is>
          <t>미확인</t>
        </is>
      </c>
      <c r="R119" s="22" t="inlineStr">
        <is>
          <t>미확인</t>
        </is>
      </c>
      <c r="S119" s="17" t="inlineStr">
        <is>
          <t>Tier D</t>
        </is>
      </c>
      <c r="T119" s="17" t="n">
        <v>21</v>
      </c>
      <c r="U119" s="17" t="inlineStr">
        <is>
          <t>C053</t>
        </is>
      </c>
      <c r="V119" s="17" t="inlineStr">
        <is>
          <t>퓨쳐켐헬스케어</t>
        </is>
      </c>
      <c r="W119" s="17" t="inlineStr"/>
      <c r="X119" s="17" t="inlineStr"/>
      <c r="Y119" s="23" t="inlineStr"/>
      <c r="Z119" s="17" t="inlineStr">
        <is>
          <t>지대윤</t>
        </is>
      </c>
      <c r="AA119" s="17" t="inlineStr"/>
      <c r="AB119" s="17" t="inlineStr">
        <is>
          <t>051-253-1175</t>
        </is>
      </c>
      <c r="AC119" s="17" t="inlineStr">
        <is>
          <t>미확인</t>
        </is>
      </c>
      <c r="AD119" s="17" t="inlineStr">
        <is>
          <t>Y</t>
        </is>
      </c>
      <c r="AE119" s="17" t="inlineStr">
        <is>
          <t>P055</t>
        </is>
      </c>
      <c r="AF119" s="17" t="inlineStr">
        <is>
          <t>부산광역시 서구 감천로 262 고신대학교복음병원 2동 지하2층 사이크로트론실(암남동)</t>
        </is>
      </c>
      <c r="AG119" s="17" t="inlineStr">
        <is>
          <t>완제의약품</t>
        </is>
      </c>
      <c r="AH119" s="17" t="inlineStr">
        <is>
          <t>무균-일반제제(방사성의약품)-주사제(주사제)</t>
        </is>
      </c>
      <c r="AI119" s="17" t="n">
        <v>1</v>
      </c>
      <c r="AJ119" s="24" t="n">
        <v>47204</v>
      </c>
      <c r="AK119" s="17" t="inlineStr"/>
      <c r="AL119" s="17" t="inlineStr"/>
      <c r="AM119" s="17" t="inlineStr">
        <is>
          <t>다중 제조소/다수 판정서로 문서관리 복잡; 무균/바이오 제조로 품질관리 난도 높음</t>
        </is>
      </c>
      <c r="AN119" s="17" t="inlineStr">
        <is>
          <t>미확인</t>
        </is>
      </c>
      <c r="AO119" s="17" t="inlineStr">
        <is>
          <t>미확인</t>
        </is>
      </c>
      <c r="AP119" s="17" t="inlineStr">
        <is>
          <t>미확인</t>
        </is>
      </c>
      <c r="AQ119" s="17" t="inlineStr">
        <is>
          <t>담당자 파악 후 접촉</t>
        </is>
      </c>
      <c r="AR119" s="17" t="inlineStr">
        <is>
          <t>2026-07-05</t>
        </is>
      </c>
      <c r="AS119" s="17" t="inlineStr">
        <is>
          <t>C(부분확인)</t>
        </is>
      </c>
      <c r="AT119" s="17" t="n">
        <v>90</v>
      </c>
      <c r="AU119" s="17" t="inlineStr"/>
      <c r="AV119" s="17" t="inlineStr"/>
    </row>
    <row r="120">
      <c r="A120" s="26" t="inlineStr">
        <is>
          <t>Tier B</t>
        </is>
      </c>
      <c r="B120" s="17" t="n">
        <v>23</v>
      </c>
      <c r="C120" s="17" t="inlineStr">
        <is>
          <t>(주)퓨쳐켐헬스케어</t>
        </is>
      </c>
      <c r="D120" s="17" t="inlineStr">
        <is>
          <t>서울</t>
        </is>
      </c>
      <c r="E120" s="17" t="inlineStr">
        <is>
          <t>서울특별시</t>
        </is>
      </c>
      <c r="F120" s="17" t="inlineStr">
        <is>
          <t>서초구</t>
        </is>
      </c>
      <c r="G120" s="17" t="n">
        <v>2</v>
      </c>
      <c r="H120" s="20" t="inlineStr">
        <is>
          <t>Y</t>
        </is>
      </c>
      <c r="I120" s="17" t="inlineStr"/>
      <c r="J120" s="17" t="inlineStr">
        <is>
          <t>Y</t>
        </is>
      </c>
      <c r="K120" s="17" t="inlineStr"/>
      <c r="L120" s="22" t="inlineStr">
        <is>
          <t>미확인</t>
        </is>
      </c>
      <c r="M120" s="22" t="inlineStr">
        <is>
          <t>미확인</t>
        </is>
      </c>
      <c r="N120" s="22" t="inlineStr">
        <is>
          <t>미확인</t>
        </is>
      </c>
      <c r="O120" s="22" t="inlineStr">
        <is>
          <t>미확인</t>
        </is>
      </c>
      <c r="P120" s="17" t="inlineStr">
        <is>
          <t>통합형</t>
        </is>
      </c>
      <c r="Q120" s="22" t="inlineStr">
        <is>
          <t>미확인</t>
        </is>
      </c>
      <c r="R120" s="22" t="inlineStr">
        <is>
          <t>미확인</t>
        </is>
      </c>
      <c r="S120" s="17" t="inlineStr">
        <is>
          <t>Tier D</t>
        </is>
      </c>
      <c r="T120" s="17" t="n">
        <v>21</v>
      </c>
      <c r="U120" s="17" t="inlineStr">
        <is>
          <t>C053</t>
        </is>
      </c>
      <c r="V120" s="17" t="inlineStr">
        <is>
          <t>퓨쳐켐헬스케어</t>
        </is>
      </c>
      <c r="W120" s="17" t="inlineStr"/>
      <c r="X120" s="17" t="inlineStr"/>
      <c r="Y120" s="23" t="inlineStr"/>
      <c r="Z120" s="17" t="inlineStr">
        <is>
          <t>지대윤</t>
        </is>
      </c>
      <c r="AA120" s="17" t="inlineStr"/>
      <c r="AB120" s="17" t="inlineStr">
        <is>
          <t>051-253-1175</t>
        </is>
      </c>
      <c r="AC120" s="17" t="inlineStr">
        <is>
          <t>미확인</t>
        </is>
      </c>
      <c r="AD120" s="17" t="inlineStr">
        <is>
          <t>Y</t>
        </is>
      </c>
      <c r="AE120" s="17" t="inlineStr">
        <is>
          <t>P504</t>
        </is>
      </c>
      <c r="AF120" s="17" t="inlineStr">
        <is>
          <t>서울특별시 서초구 반포대로 222 가톨릭대학교 가톨릭중앙의료원 의과학연구동 (반포동)</t>
        </is>
      </c>
      <c r="AG120" s="17" t="inlineStr">
        <is>
          <t>완제의약품</t>
        </is>
      </c>
      <c r="AH120" s="17" t="inlineStr">
        <is>
          <t>주사제(주사제(방사성의약품))</t>
        </is>
      </c>
      <c r="AI120" s="17" t="n">
        <v>1</v>
      </c>
      <c r="AJ120" s="24" t="n">
        <v>46221</v>
      </c>
      <c r="AK120" s="25" t="inlineStr">
        <is>
          <t>Y</t>
        </is>
      </c>
      <c r="AL120" s="17" t="inlineStr">
        <is>
          <t>Y</t>
        </is>
      </c>
      <c r="AM120" s="17" t="inlineStr">
        <is>
          <t>다중 제조소/다수 판정서로 문서관리 복잡; 무균/바이오 제조로 품질관리 난도 높음</t>
        </is>
      </c>
      <c r="AN120" s="17" t="inlineStr">
        <is>
          <t>미확인</t>
        </is>
      </c>
      <c r="AO120" s="17" t="inlineStr">
        <is>
          <t>미확인</t>
        </is>
      </c>
      <c r="AP120" s="17" t="inlineStr">
        <is>
          <t>미확인</t>
        </is>
      </c>
      <c r="AQ120" s="17" t="inlineStr">
        <is>
          <t>담당자 파악 후 접촉</t>
        </is>
      </c>
      <c r="AR120" s="17" t="inlineStr">
        <is>
          <t>2026-07-05</t>
        </is>
      </c>
      <c r="AS120" s="17" t="inlineStr">
        <is>
          <t>C(부분확인)</t>
        </is>
      </c>
      <c r="AT120" s="17" t="n">
        <v>90</v>
      </c>
      <c r="AU120" s="17" t="inlineStr"/>
      <c r="AV120" s="17" t="inlineStr"/>
    </row>
    <row r="121">
      <c r="A121" s="26" t="inlineStr">
        <is>
          <t>Tier B</t>
        </is>
      </c>
      <c r="B121" s="17" t="n">
        <v>23</v>
      </c>
      <c r="C121" s="17" t="inlineStr">
        <is>
          <t>(주)한국백신</t>
        </is>
      </c>
      <c r="D121" s="17" t="inlineStr">
        <is>
          <t>안산</t>
        </is>
      </c>
      <c r="E121" s="17" t="inlineStr">
        <is>
          <t>경기도</t>
        </is>
      </c>
      <c r="F121" s="17" t="inlineStr">
        <is>
          <t>안산시</t>
        </is>
      </c>
      <c r="G121" s="17" t="n">
        <v>1</v>
      </c>
      <c r="H121" s="20" t="inlineStr">
        <is>
          <t>Y</t>
        </is>
      </c>
      <c r="I121" s="21" t="inlineStr">
        <is>
          <t>Y</t>
        </is>
      </c>
      <c r="J121" s="17" t="inlineStr">
        <is>
          <t>Y</t>
        </is>
      </c>
      <c r="K121" s="17" t="inlineStr"/>
      <c r="L121" s="22" t="inlineStr">
        <is>
          <t>미확인</t>
        </is>
      </c>
      <c r="M121" s="22" t="inlineStr">
        <is>
          <t>미확인</t>
        </is>
      </c>
      <c r="N121" s="22" t="inlineStr">
        <is>
          <t>미확인</t>
        </is>
      </c>
      <c r="O121" s="22" t="inlineStr">
        <is>
          <t>미확인</t>
        </is>
      </c>
      <c r="P121" s="17" t="inlineStr">
        <is>
          <t>QMS+LIMS</t>
        </is>
      </c>
      <c r="Q121" s="22" t="inlineStr">
        <is>
          <t>미확인</t>
        </is>
      </c>
      <c r="R121" s="22" t="inlineStr">
        <is>
          <t>미확인</t>
        </is>
      </c>
      <c r="S121" s="17" t="inlineStr">
        <is>
          <t>Tier D</t>
        </is>
      </c>
      <c r="T121" s="17" t="n">
        <v>22</v>
      </c>
      <c r="U121" s="17" t="inlineStr">
        <is>
          <t>C364</t>
        </is>
      </c>
      <c r="V121" s="17" t="inlineStr">
        <is>
          <t>한국백신</t>
        </is>
      </c>
      <c r="W121" s="17" t="inlineStr"/>
      <c r="X121" s="17" t="inlineStr"/>
      <c r="Y121" s="23" t="inlineStr"/>
      <c r="Z121" s="17" t="inlineStr">
        <is>
          <t>하창화</t>
        </is>
      </c>
      <c r="AA121" s="17" t="inlineStr"/>
      <c r="AB121" s="17" t="inlineStr">
        <is>
          <t>031-495-6397</t>
        </is>
      </c>
      <c r="AC121" s="17" t="inlineStr">
        <is>
          <t>미확인</t>
        </is>
      </c>
      <c r="AD121" s="17" t="inlineStr">
        <is>
          <t>Y</t>
        </is>
      </c>
      <c r="AE121" s="17" t="inlineStr">
        <is>
          <t>P442</t>
        </is>
      </c>
      <c r="AF121" s="17" t="inlineStr">
        <is>
          <t>경기도 안산시 단원구 목내로 128</t>
        </is>
      </c>
      <c r="AG121" s="17" t="inlineStr">
        <is>
          <t>완제의약품</t>
        </is>
      </c>
      <c r="AH121" s="17" t="inlineStr">
        <is>
          <t>생물-백신-주사제(주사제)</t>
        </is>
      </c>
      <c r="AI121" s="17" t="n">
        <v>1</v>
      </c>
      <c r="AJ121" s="24" t="n">
        <v>46412</v>
      </c>
      <c r="AK121" s="17" t="inlineStr"/>
      <c r="AL121" s="17" t="inlineStr">
        <is>
          <t>Y</t>
        </is>
      </c>
      <c r="AM121" s="17" t="inlineStr">
        <is>
          <t>무균/바이오 제조로 품질관리 난도 높음</t>
        </is>
      </c>
      <c r="AN121" s="17" t="inlineStr">
        <is>
          <t>미확인</t>
        </is>
      </c>
      <c r="AO121" s="17" t="inlineStr">
        <is>
          <t>미확인</t>
        </is>
      </c>
      <c r="AP121" s="17" t="inlineStr">
        <is>
          <t>미확인</t>
        </is>
      </c>
      <c r="AQ121" s="17" t="inlineStr">
        <is>
          <t>담당자 파악 후 접촉</t>
        </is>
      </c>
      <c r="AR121" s="17" t="inlineStr">
        <is>
          <t>2026-07-05</t>
        </is>
      </c>
      <c r="AS121" s="17" t="inlineStr">
        <is>
          <t>C(부분확인)</t>
        </is>
      </c>
      <c r="AT121" s="17" t="n">
        <v>90</v>
      </c>
      <c r="AU121" s="17" t="inlineStr"/>
      <c r="AV121" s="17" t="inlineStr"/>
    </row>
    <row r="122">
      <c r="A122" s="26" t="inlineStr">
        <is>
          <t>Tier B</t>
        </is>
      </c>
      <c r="B122" s="17" t="n">
        <v>23</v>
      </c>
      <c r="C122" s="17" t="inlineStr">
        <is>
          <t>엠에프씨주식회사</t>
        </is>
      </c>
      <c r="D122" s="17" t="inlineStr">
        <is>
          <t>화성공장</t>
        </is>
      </c>
      <c r="E122" s="17" t="inlineStr">
        <is>
          <t>경기도</t>
        </is>
      </c>
      <c r="F122" s="17" t="inlineStr">
        <is>
          <t>화성시</t>
        </is>
      </c>
      <c r="G122" s="17" t="n">
        <v>1</v>
      </c>
      <c r="H122" s="17" t="inlineStr"/>
      <c r="I122" s="17" t="inlineStr"/>
      <c r="J122" s="17" t="inlineStr"/>
      <c r="K122" s="17" t="inlineStr">
        <is>
          <t>Y</t>
        </is>
      </c>
      <c r="L122" s="22" t="inlineStr">
        <is>
          <t>미확인</t>
        </is>
      </c>
      <c r="M122" s="22" t="inlineStr">
        <is>
          <t>미확인</t>
        </is>
      </c>
      <c r="N122" s="22" t="inlineStr">
        <is>
          <t>미확인</t>
        </is>
      </c>
      <c r="O122" s="22" t="inlineStr">
        <is>
          <t>미확인</t>
        </is>
      </c>
      <c r="P122" s="17" t="inlineStr">
        <is>
          <t>QMS+LIMS</t>
        </is>
      </c>
      <c r="Q122" s="22" t="inlineStr">
        <is>
          <t>미확인</t>
        </is>
      </c>
      <c r="R122" s="22" t="inlineStr">
        <is>
          <t>미확인</t>
        </is>
      </c>
      <c r="S122" s="17" t="inlineStr">
        <is>
          <t>Tier D</t>
        </is>
      </c>
      <c r="T122" s="17" t="n">
        <v>9</v>
      </c>
      <c r="U122" s="17" t="inlineStr">
        <is>
          <t>C404</t>
        </is>
      </c>
      <c r="V122" s="17" t="inlineStr">
        <is>
          <t>엠에프씨</t>
        </is>
      </c>
      <c r="W122" s="17" t="inlineStr">
        <is>
          <t>Y</t>
        </is>
      </c>
      <c r="X122" s="17" t="inlineStr">
        <is>
          <t>코스닥</t>
        </is>
      </c>
      <c r="Y122" s="23" t="inlineStr">
        <is>
          <t>432980</t>
        </is>
      </c>
      <c r="Z122" s="17" t="inlineStr">
        <is>
          <t>황성관, 서기형(각자 대표이사)</t>
        </is>
      </c>
      <c r="AA122" s="17" t="inlineStr">
        <is>
          <t>http://www.mfcglobal.co.kr</t>
        </is>
      </c>
      <c r="AB122" s="17" t="inlineStr">
        <is>
          <t>미확인</t>
        </is>
      </c>
      <c r="AC122" s="17" t="inlineStr">
        <is>
          <t>미확인</t>
        </is>
      </c>
      <c r="AD122" s="17" t="inlineStr">
        <is>
          <t>Y</t>
        </is>
      </c>
      <c r="AE122" s="17" t="inlineStr">
        <is>
          <t>P497</t>
        </is>
      </c>
      <c r="AF122" s="17" t="inlineStr">
        <is>
          <t>경기도 화성시 만세구 마도면 청원산단7길 35</t>
        </is>
      </c>
      <c r="AG122" s="17" t="inlineStr">
        <is>
          <t>원료의약품</t>
        </is>
      </c>
      <c r="AH122" s="17" t="inlineStr">
        <is>
          <t>비무균-일반제제-합성</t>
        </is>
      </c>
      <c r="AI122" s="17" t="n">
        <v>1</v>
      </c>
      <c r="AJ122" s="24" t="n">
        <v>46251</v>
      </c>
      <c r="AK122" s="25" t="inlineStr">
        <is>
          <t>Y</t>
        </is>
      </c>
      <c r="AL122" s="17" t="inlineStr">
        <is>
          <t>Y</t>
        </is>
      </c>
      <c r="AM122" s="17" t="inlineStr">
        <is>
          <t>원료 제조로 시험실 관리 필요</t>
        </is>
      </c>
      <c r="AN122" s="17" t="inlineStr">
        <is>
          <t>미확인</t>
        </is>
      </c>
      <c r="AO122" s="17" t="inlineStr">
        <is>
          <t>미확인</t>
        </is>
      </c>
      <c r="AP122" s="17" t="inlineStr">
        <is>
          <t>미확인</t>
        </is>
      </c>
      <c r="AQ122" s="17" t="inlineStr">
        <is>
          <t>담당자 파악 후 접촉</t>
        </is>
      </c>
      <c r="AR122" s="17" t="inlineStr">
        <is>
          <t>2026-07-05</t>
        </is>
      </c>
      <c r="AS122" s="17" t="inlineStr">
        <is>
          <t>C(부분확인)</t>
        </is>
      </c>
      <c r="AT122" s="17" t="n">
        <v>90</v>
      </c>
      <c r="AU122" s="17" t="inlineStr"/>
      <c r="AV122" s="17" t="inlineStr"/>
    </row>
    <row r="123">
      <c r="A123" s="26" t="inlineStr">
        <is>
          <t>Tier B</t>
        </is>
      </c>
      <c r="B123" s="17" t="n">
        <v>22</v>
      </c>
      <c r="C123" s="17" t="inlineStr">
        <is>
          <t>(주)나이벡</t>
        </is>
      </c>
      <c r="D123" s="17" t="inlineStr">
        <is>
          <t>(주)나이벡</t>
        </is>
      </c>
      <c r="E123" s="17" t="inlineStr">
        <is>
          <t>충청북도</t>
        </is>
      </c>
      <c r="F123" s="17" t="inlineStr">
        <is>
          <t>진천군</t>
        </is>
      </c>
      <c r="G123" s="17" t="n">
        <v>1</v>
      </c>
      <c r="H123" s="17" t="inlineStr"/>
      <c r="I123" s="17" t="inlineStr"/>
      <c r="J123" s="17" t="inlineStr">
        <is>
          <t>Y</t>
        </is>
      </c>
      <c r="K123" s="17" t="inlineStr">
        <is>
          <t>Y</t>
        </is>
      </c>
      <c r="L123" s="22" t="inlineStr">
        <is>
          <t>미확인</t>
        </is>
      </c>
      <c r="M123" s="22" t="inlineStr">
        <is>
          <t>미확인</t>
        </is>
      </c>
      <c r="N123" s="22" t="inlineStr">
        <is>
          <t>미확인</t>
        </is>
      </c>
      <c r="O123" s="22" t="inlineStr">
        <is>
          <t>미확인</t>
        </is>
      </c>
      <c r="P123" s="17" t="inlineStr">
        <is>
          <t>QMS+LIMS</t>
        </is>
      </c>
      <c r="Q123" s="22" t="inlineStr">
        <is>
          <t>미확인</t>
        </is>
      </c>
      <c r="R123" s="22" t="inlineStr">
        <is>
          <t>미확인</t>
        </is>
      </c>
      <c r="S123" s="17" t="inlineStr">
        <is>
          <t>Tier D</t>
        </is>
      </c>
      <c r="T123" s="17" t="n">
        <v>7</v>
      </c>
      <c r="U123" s="17" t="inlineStr">
        <is>
          <t>C181</t>
        </is>
      </c>
      <c r="V123" s="17" t="inlineStr">
        <is>
          <t>나이벡</t>
        </is>
      </c>
      <c r="W123" s="17" t="inlineStr">
        <is>
          <t>Y</t>
        </is>
      </c>
      <c r="X123" s="17" t="inlineStr">
        <is>
          <t>코스닥</t>
        </is>
      </c>
      <c r="Y123" s="23" t="inlineStr">
        <is>
          <t>138610</t>
        </is>
      </c>
      <c r="Z123" s="17" t="inlineStr">
        <is>
          <t>정종평</t>
        </is>
      </c>
      <c r="AA123" s="17" t="inlineStr"/>
      <c r="AB123" s="17" t="inlineStr">
        <is>
          <t>070-5006-8811</t>
        </is>
      </c>
      <c r="AC123" s="17" t="inlineStr">
        <is>
          <t>미확인</t>
        </is>
      </c>
      <c r="AD123" s="17" t="inlineStr">
        <is>
          <t>Y</t>
        </is>
      </c>
      <c r="AE123" s="17" t="inlineStr">
        <is>
          <t>P194</t>
        </is>
      </c>
      <c r="AF123" s="17" t="inlineStr">
        <is>
          <t>충청북도 진천군 이월면 밤디길 116</t>
        </is>
      </c>
      <c r="AG123" s="17" t="inlineStr">
        <is>
          <t>완제의약품+원료의약품</t>
        </is>
      </c>
      <c r="AH123" s="17" t="inlineStr">
        <is>
          <t>비무균-일반제제-합성</t>
        </is>
      </c>
      <c r="AI123" s="17" t="n">
        <v>2</v>
      </c>
      <c r="AJ123" s="24" t="n">
        <v>46529</v>
      </c>
      <c r="AK123" s="17" t="inlineStr"/>
      <c r="AL123" s="17" t="inlineStr">
        <is>
          <t>Y</t>
        </is>
      </c>
      <c r="AM123" s="17" t="inlineStr">
        <is>
          <t>원료 제조로 시험실 관리 필요</t>
        </is>
      </c>
      <c r="AN123" s="17" t="inlineStr">
        <is>
          <t>미확인</t>
        </is>
      </c>
      <c r="AO123" s="17" t="inlineStr">
        <is>
          <t>미확인</t>
        </is>
      </c>
      <c r="AP123" s="17" t="inlineStr">
        <is>
          <t>미확인</t>
        </is>
      </c>
      <c r="AQ123" s="17" t="inlineStr">
        <is>
          <t>담당자 파악 후 접촉</t>
        </is>
      </c>
      <c r="AR123" s="17" t="inlineStr">
        <is>
          <t>2026-07-05</t>
        </is>
      </c>
      <c r="AS123" s="17" t="inlineStr">
        <is>
          <t>C(부분확인)</t>
        </is>
      </c>
      <c r="AT123" s="17" t="n">
        <v>90</v>
      </c>
      <c r="AU123" s="17" t="inlineStr"/>
      <c r="AV123" s="17" t="inlineStr"/>
    </row>
    <row r="124">
      <c r="A124" s="26" t="inlineStr">
        <is>
          <t>Tier B</t>
        </is>
      </c>
      <c r="B124" s="17" t="n">
        <v>22</v>
      </c>
      <c r="C124" s="17" t="inlineStr">
        <is>
          <t>㈜비알팜</t>
        </is>
      </c>
      <c r="D124" s="17" t="inlineStr">
        <is>
          <t>(주)비알팜</t>
        </is>
      </c>
      <c r="E124" s="17" t="inlineStr">
        <is>
          <t>강원특별자치도</t>
        </is>
      </c>
      <c r="F124" s="17" t="inlineStr">
        <is>
          <t>원주시</t>
        </is>
      </c>
      <c r="G124" s="17" t="n">
        <v>1</v>
      </c>
      <c r="H124" s="20" t="inlineStr">
        <is>
          <t>Y</t>
        </is>
      </c>
      <c r="I124" s="17" t="inlineStr"/>
      <c r="J124" s="17" t="inlineStr">
        <is>
          <t>Y</t>
        </is>
      </c>
      <c r="K124" s="17" t="inlineStr">
        <is>
          <t>Y</t>
        </is>
      </c>
      <c r="L124" s="22" t="inlineStr">
        <is>
          <t>미확인</t>
        </is>
      </c>
      <c r="M124" s="22" t="inlineStr">
        <is>
          <t>미확인</t>
        </is>
      </c>
      <c r="N124" s="22" t="inlineStr">
        <is>
          <t>미확인</t>
        </is>
      </c>
      <c r="O124" s="22" t="inlineStr">
        <is>
          <t>미확인</t>
        </is>
      </c>
      <c r="P124" s="17" t="inlineStr">
        <is>
          <t>QMS+LIMS</t>
        </is>
      </c>
      <c r="Q124" s="22" t="inlineStr">
        <is>
          <t>미확인</t>
        </is>
      </c>
      <c r="R124" s="22" t="inlineStr">
        <is>
          <t>미확인</t>
        </is>
      </c>
      <c r="S124" s="17" t="inlineStr">
        <is>
          <t>Tier D</t>
        </is>
      </c>
      <c r="T124" s="17" t="n">
        <v>15</v>
      </c>
      <c r="U124" s="17" t="inlineStr">
        <is>
          <t>C113</t>
        </is>
      </c>
      <c r="V124" s="17" t="inlineStr">
        <is>
          <t>비알팜</t>
        </is>
      </c>
      <c r="W124" s="17" t="inlineStr"/>
      <c r="X124" s="17" t="inlineStr"/>
      <c r="Y124" s="23" t="inlineStr"/>
      <c r="Z124" s="17" t="inlineStr">
        <is>
          <t>김석순</t>
        </is>
      </c>
      <c r="AA124" s="17" t="inlineStr"/>
      <c r="AB124" s="17" t="inlineStr">
        <is>
          <t>미확인</t>
        </is>
      </c>
      <c r="AC124" s="17" t="inlineStr">
        <is>
          <t>미확인</t>
        </is>
      </c>
      <c r="AD124" s="17" t="inlineStr">
        <is>
          <t>Y</t>
        </is>
      </c>
      <c r="AE124" s="17" t="inlineStr">
        <is>
          <t>P118</t>
        </is>
      </c>
      <c r="AF124" s="17" t="inlineStr">
        <is>
          <t>강원특별자치도 원주시 지정면 신평로 13 1층 일부(보관소), 2층</t>
        </is>
      </c>
      <c r="AG124" s="17" t="inlineStr">
        <is>
          <t>완제의약품+원료의약품</t>
        </is>
      </c>
      <c r="AH124" s="17" t="inlineStr">
        <is>
          <t>무균-일반제제-주사제(주사제)</t>
        </is>
      </c>
      <c r="AI124" s="17" t="n">
        <v>2</v>
      </c>
      <c r="AJ124" s="24" t="n">
        <v>46467</v>
      </c>
      <c r="AK124" s="17" t="inlineStr"/>
      <c r="AL124" s="17" t="inlineStr">
        <is>
          <t>Y</t>
        </is>
      </c>
      <c r="AM124" s="17" t="inlineStr">
        <is>
          <t>무균/바이오 제조로 품질관리 난도 높음; 원료 제조로 시험실 관리 필요</t>
        </is>
      </c>
      <c r="AN124" s="17" t="inlineStr">
        <is>
          <t>미확인</t>
        </is>
      </c>
      <c r="AO124" s="17" t="inlineStr">
        <is>
          <t>미확인</t>
        </is>
      </c>
      <c r="AP124" s="17" t="inlineStr">
        <is>
          <t>미확인</t>
        </is>
      </c>
      <c r="AQ124" s="17" t="inlineStr">
        <is>
          <t>담당자 파악 후 접촉</t>
        </is>
      </c>
      <c r="AR124" s="17" t="inlineStr">
        <is>
          <t>2026-07-05</t>
        </is>
      </c>
      <c r="AS124" s="17" t="inlineStr">
        <is>
          <t>C(부분확인)</t>
        </is>
      </c>
      <c r="AT124" s="17" t="n">
        <v>90</v>
      </c>
      <c r="AU124" s="17" t="inlineStr"/>
      <c r="AV124" s="17" t="inlineStr"/>
    </row>
    <row r="125">
      <c r="A125" s="26" t="inlineStr">
        <is>
          <t>Tier B</t>
        </is>
      </c>
      <c r="B125" s="17" t="n">
        <v>21</v>
      </c>
      <c r="C125" s="17" t="inlineStr">
        <is>
          <t>(주)다산제약</t>
        </is>
      </c>
      <c r="D125" s="17" t="inlineStr">
        <is>
          <t>제2공장</t>
        </is>
      </c>
      <c r="E125" s="17" t="inlineStr">
        <is>
          <t>충청남도</t>
        </is>
      </c>
      <c r="F125" s="17" t="inlineStr">
        <is>
          <t>아산시</t>
        </is>
      </c>
      <c r="G125" s="17" t="n">
        <v>2</v>
      </c>
      <c r="H125" s="17" t="inlineStr"/>
      <c r="I125" s="17" t="inlineStr"/>
      <c r="J125" s="17" t="inlineStr">
        <is>
          <t>Y</t>
        </is>
      </c>
      <c r="K125" s="17" t="inlineStr">
        <is>
          <t>Y</t>
        </is>
      </c>
      <c r="L125" s="22" t="inlineStr">
        <is>
          <t>미확인</t>
        </is>
      </c>
      <c r="M125" s="22" t="inlineStr">
        <is>
          <t>미확인</t>
        </is>
      </c>
      <c r="N125" s="22" t="inlineStr">
        <is>
          <t>미확인</t>
        </is>
      </c>
      <c r="O125" s="22" t="inlineStr">
        <is>
          <t>미확인</t>
        </is>
      </c>
      <c r="P125" s="17" t="inlineStr">
        <is>
          <t>통합형</t>
        </is>
      </c>
      <c r="Q125" s="22" t="inlineStr">
        <is>
          <t>미확인</t>
        </is>
      </c>
      <c r="R125" s="22" t="inlineStr">
        <is>
          <t>미확인</t>
        </is>
      </c>
      <c r="S125" s="17" t="inlineStr">
        <is>
          <t>Tier D</t>
        </is>
      </c>
      <c r="T125" s="17" t="n">
        <v>13</v>
      </c>
      <c r="U125" s="17" t="inlineStr">
        <is>
          <t>C120</t>
        </is>
      </c>
      <c r="V125" s="17" t="inlineStr">
        <is>
          <t>다산제약</t>
        </is>
      </c>
      <c r="W125" s="17" t="inlineStr"/>
      <c r="X125" s="17" t="inlineStr"/>
      <c r="Y125" s="23" t="inlineStr"/>
      <c r="Z125" s="17" t="inlineStr">
        <is>
          <t>유형선</t>
        </is>
      </c>
      <c r="AA125" s="17" t="inlineStr"/>
      <c r="AB125" s="17" t="inlineStr">
        <is>
          <t>041-543-5311</t>
        </is>
      </c>
      <c r="AC125" s="17" t="inlineStr">
        <is>
          <t>미확인</t>
        </is>
      </c>
      <c r="AD125" s="17" t="inlineStr">
        <is>
          <t>Y</t>
        </is>
      </c>
      <c r="AE125" s="17" t="inlineStr">
        <is>
          <t>P126</t>
        </is>
      </c>
      <c r="AF125" s="17" t="inlineStr">
        <is>
          <t>충청남도 아산시 도고면 덕암산로 381</t>
        </is>
      </c>
      <c r="AG125" s="17" t="inlineStr">
        <is>
          <t>완제의약품</t>
        </is>
      </c>
      <c r="AH125" s="17" t="inlineStr">
        <is>
          <t>비무균-일반제제-내용고형제(정제, 캡슐제)</t>
        </is>
      </c>
      <c r="AI125" s="17" t="n">
        <v>1</v>
      </c>
      <c r="AJ125" s="24" t="n">
        <v>47032</v>
      </c>
      <c r="AK125" s="17" t="inlineStr"/>
      <c r="AL125" s="17" t="inlineStr"/>
      <c r="AM125" s="17" t="inlineStr">
        <is>
          <t>다중 제조소/다수 판정서로 문서관리 복잡; 원료 제조로 시험실 관리 필요</t>
        </is>
      </c>
      <c r="AN125" s="17" t="inlineStr">
        <is>
          <t>미확인</t>
        </is>
      </c>
      <c r="AO125" s="17" t="inlineStr">
        <is>
          <t>미확인</t>
        </is>
      </c>
      <c r="AP125" s="17" t="inlineStr">
        <is>
          <t>미확인</t>
        </is>
      </c>
      <c r="AQ125" s="17" t="inlineStr">
        <is>
          <t>담당자 파악 후 접촉</t>
        </is>
      </c>
      <c r="AR125" s="17" t="inlineStr">
        <is>
          <t>2026-07-05</t>
        </is>
      </c>
      <c r="AS125" s="17" t="inlineStr">
        <is>
          <t>C(부분확인)</t>
        </is>
      </c>
      <c r="AT125" s="17" t="n">
        <v>90</v>
      </c>
      <c r="AU125" s="17" t="inlineStr"/>
      <c r="AV125" s="17" t="inlineStr"/>
    </row>
    <row r="126">
      <c r="A126" s="26" t="inlineStr">
        <is>
          <t>Tier B</t>
        </is>
      </c>
      <c r="B126" s="17" t="n">
        <v>21</v>
      </c>
      <c r="C126" s="17" t="inlineStr">
        <is>
          <t>(주)다산제약</t>
        </is>
      </c>
      <c r="D126" s="17" t="inlineStr">
        <is>
          <t>제2공장</t>
        </is>
      </c>
      <c r="E126" s="17" t="inlineStr">
        <is>
          <t>충청남도</t>
        </is>
      </c>
      <c r="F126" s="17" t="inlineStr">
        <is>
          <t>아산시</t>
        </is>
      </c>
      <c r="G126" s="17" t="n">
        <v>2</v>
      </c>
      <c r="H126" s="17" t="inlineStr"/>
      <c r="I126" s="17" t="inlineStr"/>
      <c r="J126" s="17" t="inlineStr">
        <is>
          <t>Y</t>
        </is>
      </c>
      <c r="K126" s="17" t="inlineStr">
        <is>
          <t>Y</t>
        </is>
      </c>
      <c r="L126" s="22" t="inlineStr">
        <is>
          <t>미확인</t>
        </is>
      </c>
      <c r="M126" s="22" t="inlineStr">
        <is>
          <t>미확인</t>
        </is>
      </c>
      <c r="N126" s="22" t="inlineStr">
        <is>
          <t>미확인</t>
        </is>
      </c>
      <c r="O126" s="22" t="inlineStr">
        <is>
          <t>미확인</t>
        </is>
      </c>
      <c r="P126" s="17" t="inlineStr">
        <is>
          <t>통합형</t>
        </is>
      </c>
      <c r="Q126" s="22" t="inlineStr">
        <is>
          <t>미확인</t>
        </is>
      </c>
      <c r="R126" s="22" t="inlineStr">
        <is>
          <t>미확인</t>
        </is>
      </c>
      <c r="S126" s="17" t="inlineStr">
        <is>
          <t>Tier D</t>
        </is>
      </c>
      <c r="T126" s="17" t="n">
        <v>13</v>
      </c>
      <c r="U126" s="17" t="inlineStr">
        <is>
          <t>C120</t>
        </is>
      </c>
      <c r="V126" s="17" t="inlineStr">
        <is>
          <t>다산제약</t>
        </is>
      </c>
      <c r="W126" s="17" t="inlineStr"/>
      <c r="X126" s="17" t="inlineStr"/>
      <c r="Y126" s="23" t="inlineStr"/>
      <c r="Z126" s="17" t="inlineStr">
        <is>
          <t>유형선</t>
        </is>
      </c>
      <c r="AA126" s="17" t="inlineStr"/>
      <c r="AB126" s="17" t="inlineStr">
        <is>
          <t>041-543-5311</t>
        </is>
      </c>
      <c r="AC126" s="17" t="inlineStr">
        <is>
          <t>미확인</t>
        </is>
      </c>
      <c r="AD126" s="17" t="inlineStr">
        <is>
          <t>Y</t>
        </is>
      </c>
      <c r="AE126" s="17" t="inlineStr">
        <is>
          <t>P469</t>
        </is>
      </c>
      <c r="AF126" s="17" t="inlineStr">
        <is>
          <t>충청남도 아산시 도고면 덕암산로 342</t>
        </is>
      </c>
      <c r="AG126" s="17" t="inlineStr">
        <is>
          <t>완제의약품+원료의약품</t>
        </is>
      </c>
      <c r="AH126" s="17" t="inlineStr">
        <is>
          <t>비무균-일반제제-(소분, 과립)</t>
        </is>
      </c>
      <c r="AI126" s="17" t="n">
        <v>2</v>
      </c>
      <c r="AJ126" s="24" t="n">
        <v>46328</v>
      </c>
      <c r="AK126" s="25" t="inlineStr">
        <is>
          <t>Y</t>
        </is>
      </c>
      <c r="AL126" s="17" t="inlineStr">
        <is>
          <t>Y</t>
        </is>
      </c>
      <c r="AM126" s="17" t="inlineStr">
        <is>
          <t>다중 제조소/다수 판정서로 문서관리 복잡; 원료 제조로 시험실 관리 필요</t>
        </is>
      </c>
      <c r="AN126" s="17" t="inlineStr">
        <is>
          <t>미확인</t>
        </is>
      </c>
      <c r="AO126" s="17" t="inlineStr">
        <is>
          <t>미확인</t>
        </is>
      </c>
      <c r="AP126" s="17" t="inlineStr">
        <is>
          <t>미확인</t>
        </is>
      </c>
      <c r="AQ126" s="17" t="inlineStr">
        <is>
          <t>담당자 파악 후 접촉</t>
        </is>
      </c>
      <c r="AR126" s="17" t="inlineStr">
        <is>
          <t>2026-07-05</t>
        </is>
      </c>
      <c r="AS126" s="17" t="inlineStr">
        <is>
          <t>C(부분확인)</t>
        </is>
      </c>
      <c r="AT126" s="17" t="n">
        <v>90</v>
      </c>
      <c r="AU126" s="17" t="inlineStr"/>
      <c r="AV126" s="17" t="inlineStr"/>
    </row>
    <row r="127">
      <c r="A127" s="26" t="inlineStr">
        <is>
          <t>Tier B</t>
        </is>
      </c>
      <c r="B127" s="17" t="n">
        <v>21</v>
      </c>
      <c r="C127" s="17" t="inlineStr">
        <is>
          <t>서울대학교병원</t>
        </is>
      </c>
      <c r="D127" s="17" t="inlineStr">
        <is>
          <t>종로</t>
        </is>
      </c>
      <c r="E127" s="17" t="inlineStr">
        <is>
          <t>서울특별시</t>
        </is>
      </c>
      <c r="F127" s="17" t="inlineStr">
        <is>
          <t>종로구</t>
        </is>
      </c>
      <c r="G127" s="17" t="n">
        <v>2</v>
      </c>
      <c r="H127" s="20" t="inlineStr">
        <is>
          <t>Y</t>
        </is>
      </c>
      <c r="I127" s="17" t="inlineStr"/>
      <c r="J127" s="17" t="inlineStr">
        <is>
          <t>Y</t>
        </is>
      </c>
      <c r="K127" s="17" t="inlineStr"/>
      <c r="L127" s="22" t="inlineStr">
        <is>
          <t>미확인</t>
        </is>
      </c>
      <c r="M127" s="22" t="inlineStr">
        <is>
          <t>미확인</t>
        </is>
      </c>
      <c r="N127" s="22" t="inlineStr">
        <is>
          <t>미확인</t>
        </is>
      </c>
      <c r="O127" s="22" t="inlineStr">
        <is>
          <t>미확인</t>
        </is>
      </c>
      <c r="P127" s="17" t="inlineStr">
        <is>
          <t>통합형</t>
        </is>
      </c>
      <c r="Q127" s="22" t="inlineStr">
        <is>
          <t>미확인</t>
        </is>
      </c>
      <c r="R127" s="22" t="inlineStr">
        <is>
          <t>미확인</t>
        </is>
      </c>
      <c r="S127" s="17" t="inlineStr">
        <is>
          <t>Tier D</t>
        </is>
      </c>
      <c r="T127" s="17" t="n">
        <v>19</v>
      </c>
      <c r="U127" s="17" t="inlineStr">
        <is>
          <t>C080</t>
        </is>
      </c>
      <c r="V127" s="17" t="inlineStr">
        <is>
          <t>서울대학교병원</t>
        </is>
      </c>
      <c r="W127" s="17" t="inlineStr"/>
      <c r="X127" s="17" t="inlineStr"/>
      <c r="Y127" s="23" t="inlineStr"/>
      <c r="Z127" s="17" t="inlineStr">
        <is>
          <t>백남종</t>
        </is>
      </c>
      <c r="AA127" s="17" t="inlineStr"/>
      <c r="AB127" s="17" t="inlineStr">
        <is>
          <t>031-6282-0127</t>
        </is>
      </c>
      <c r="AC127" s="17" t="inlineStr">
        <is>
          <t>미확인</t>
        </is>
      </c>
      <c r="AD127" s="17" t="inlineStr">
        <is>
          <t>Y</t>
        </is>
      </c>
      <c r="AE127" s="17" t="inlineStr">
        <is>
          <t>P082</t>
        </is>
      </c>
      <c r="AF127" s="17" t="inlineStr">
        <is>
          <t>서울특별시 종로구 대학로 101 서울대학교 암병원 종양핵의학검사실 사이클로트론실 (연건동)</t>
        </is>
      </c>
      <c r="AG127" s="17" t="inlineStr">
        <is>
          <t>완제의약품</t>
        </is>
      </c>
      <c r="AH127" s="17" t="inlineStr">
        <is>
          <t>무균-일반제제(방사성의약품)-주사제(주사제)</t>
        </is>
      </c>
      <c r="AI127" s="17" t="n">
        <v>1</v>
      </c>
      <c r="AJ127" s="24" t="n">
        <v>47158</v>
      </c>
      <c r="AK127" s="17" t="inlineStr"/>
      <c r="AL127" s="17" t="inlineStr"/>
      <c r="AM127" s="17" t="inlineStr">
        <is>
          <t>다중 제조소/다수 판정서로 문서관리 복잡; 무균/바이오 제조로 품질관리 난도 높음</t>
        </is>
      </c>
      <c r="AN127" s="17" t="inlineStr">
        <is>
          <t>미확인</t>
        </is>
      </c>
      <c r="AO127" s="17" t="inlineStr">
        <is>
          <t>미확인</t>
        </is>
      </c>
      <c r="AP127" s="17" t="inlineStr">
        <is>
          <t>미확인</t>
        </is>
      </c>
      <c r="AQ127" s="17" t="inlineStr">
        <is>
          <t>담당자 파악 후 접촉</t>
        </is>
      </c>
      <c r="AR127" s="17" t="inlineStr">
        <is>
          <t>2026-07-05</t>
        </is>
      </c>
      <c r="AS127" s="17" t="inlineStr">
        <is>
          <t>C(부분확인)</t>
        </is>
      </c>
      <c r="AT127" s="17" t="n">
        <v>90</v>
      </c>
      <c r="AU127" s="17" t="inlineStr"/>
      <c r="AV127" s="17" t="inlineStr"/>
    </row>
    <row r="128">
      <c r="A128" s="26" t="inlineStr">
        <is>
          <t>Tier B</t>
        </is>
      </c>
      <c r="B128" s="17" t="n">
        <v>21</v>
      </c>
      <c r="C128" s="17" t="inlineStr">
        <is>
          <t>서울대학교병원</t>
        </is>
      </c>
      <c r="D128" s="17" t="inlineStr">
        <is>
          <t>성남</t>
        </is>
      </c>
      <c r="E128" s="17" t="inlineStr">
        <is>
          <t>경기도</t>
        </is>
      </c>
      <c r="F128" s="17" t="inlineStr">
        <is>
          <t>성남시</t>
        </is>
      </c>
      <c r="G128" s="17" t="n">
        <v>2</v>
      </c>
      <c r="H128" s="20" t="inlineStr">
        <is>
          <t>Y</t>
        </is>
      </c>
      <c r="I128" s="17" t="inlineStr"/>
      <c r="J128" s="17" t="inlineStr">
        <is>
          <t>Y</t>
        </is>
      </c>
      <c r="K128" s="17" t="inlineStr"/>
      <c r="L128" s="22" t="inlineStr">
        <is>
          <t>미확인</t>
        </is>
      </c>
      <c r="M128" s="22" t="inlineStr">
        <is>
          <t>미확인</t>
        </is>
      </c>
      <c r="N128" s="22" t="inlineStr">
        <is>
          <t>미확인</t>
        </is>
      </c>
      <c r="O128" s="22" t="inlineStr">
        <is>
          <t>미확인</t>
        </is>
      </c>
      <c r="P128" s="17" t="inlineStr">
        <is>
          <t>통합형</t>
        </is>
      </c>
      <c r="Q128" s="22" t="inlineStr">
        <is>
          <t>미확인</t>
        </is>
      </c>
      <c r="R128" s="22" t="inlineStr">
        <is>
          <t>미확인</t>
        </is>
      </c>
      <c r="S128" s="17" t="inlineStr">
        <is>
          <t>Tier D</t>
        </is>
      </c>
      <c r="T128" s="17" t="n">
        <v>19</v>
      </c>
      <c r="U128" s="17" t="inlineStr">
        <is>
          <t>C080</t>
        </is>
      </c>
      <c r="V128" s="17" t="inlineStr">
        <is>
          <t>서울대학교병원</t>
        </is>
      </c>
      <c r="W128" s="17" t="inlineStr"/>
      <c r="X128" s="17" t="inlineStr"/>
      <c r="Y128" s="23" t="inlineStr"/>
      <c r="Z128" s="17" t="inlineStr">
        <is>
          <t>백남종</t>
        </is>
      </c>
      <c r="AA128" s="17" t="inlineStr"/>
      <c r="AB128" s="17" t="inlineStr">
        <is>
          <t>031-6282-0127</t>
        </is>
      </c>
      <c r="AC128" s="17" t="inlineStr">
        <is>
          <t>미확인</t>
        </is>
      </c>
      <c r="AD128" s="17" t="inlineStr">
        <is>
          <t>Y</t>
        </is>
      </c>
      <c r="AE128" s="17" t="inlineStr">
        <is>
          <t>P387</t>
        </is>
      </c>
      <c r="AF128" s="17" t="inlineStr">
        <is>
          <t>경기도 성남시 분당구 구미로173번길 82 분당서울대학교병원 (구미동)</t>
        </is>
      </c>
      <c r="AG128" s="17" t="inlineStr">
        <is>
          <t>완제의약품</t>
        </is>
      </c>
      <c r="AH128" s="17" t="inlineStr">
        <is>
          <t>무균-일반제제(방사성의약품)-주사제(주사제)</t>
        </is>
      </c>
      <c r="AI128" s="17" t="n">
        <v>1</v>
      </c>
      <c r="AJ128" s="24" t="n">
        <v>46516</v>
      </c>
      <c r="AK128" s="17" t="inlineStr"/>
      <c r="AL128" s="17" t="inlineStr">
        <is>
          <t>Y</t>
        </is>
      </c>
      <c r="AM128" s="17" t="inlineStr">
        <is>
          <t>다중 제조소/다수 판정서로 문서관리 복잡; 무균/바이오 제조로 품질관리 난도 높음</t>
        </is>
      </c>
      <c r="AN128" s="17" t="inlineStr">
        <is>
          <t>미확인</t>
        </is>
      </c>
      <c r="AO128" s="17" t="inlineStr">
        <is>
          <t>미확인</t>
        </is>
      </c>
      <c r="AP128" s="17" t="inlineStr">
        <is>
          <t>미확인</t>
        </is>
      </c>
      <c r="AQ128" s="17" t="inlineStr">
        <is>
          <t>담당자 파악 후 접촉</t>
        </is>
      </c>
      <c r="AR128" s="17" t="inlineStr">
        <is>
          <t>2026-07-05</t>
        </is>
      </c>
      <c r="AS128" s="17" t="inlineStr">
        <is>
          <t>C(부분확인)</t>
        </is>
      </c>
      <c r="AT128" s="17" t="n">
        <v>90</v>
      </c>
      <c r="AU128" s="17" t="inlineStr"/>
      <c r="AV128" s="17" t="inlineStr"/>
    </row>
    <row r="129">
      <c r="A129" s="26" t="inlineStr">
        <is>
          <t>Tier B</t>
        </is>
      </c>
      <c r="B129" s="17" t="n">
        <v>21</v>
      </c>
      <c r="C129" s="17" t="inlineStr">
        <is>
          <t>한국유나이티드제약(주)</t>
        </is>
      </c>
      <c r="D129" s="17" t="inlineStr">
        <is>
          <t>부동리(원료제조)</t>
        </is>
      </c>
      <c r="E129" s="17" t="inlineStr">
        <is>
          <t>세종특별자치시</t>
        </is>
      </c>
      <c r="F129" s="17" t="inlineStr">
        <is>
          <t>세종특별자치시</t>
        </is>
      </c>
      <c r="G129" s="17" t="n">
        <v>2</v>
      </c>
      <c r="H129" s="20" t="inlineStr">
        <is>
          <t>Y</t>
        </is>
      </c>
      <c r="I129" s="17" t="inlineStr"/>
      <c r="J129" s="17" t="inlineStr">
        <is>
          <t>Y</t>
        </is>
      </c>
      <c r="K129" s="17" t="inlineStr"/>
      <c r="L129" s="22" t="inlineStr">
        <is>
          <t>미확인</t>
        </is>
      </c>
      <c r="M129" s="22" t="inlineStr">
        <is>
          <t>미확인</t>
        </is>
      </c>
      <c r="N129" s="22" t="inlineStr">
        <is>
          <t>미확인</t>
        </is>
      </c>
      <c r="O129" s="22" t="inlineStr">
        <is>
          <t>미확인</t>
        </is>
      </c>
      <c r="P129" s="17" t="inlineStr">
        <is>
          <t>통합형</t>
        </is>
      </c>
      <c r="Q129" s="22" t="inlineStr">
        <is>
          <t>미확인</t>
        </is>
      </c>
      <c r="R129" s="22" t="inlineStr">
        <is>
          <t>미확인</t>
        </is>
      </c>
      <c r="S129" s="17" t="inlineStr">
        <is>
          <t>Tier D</t>
        </is>
      </c>
      <c r="T129" s="17" t="n">
        <v>19</v>
      </c>
      <c r="U129" s="17" t="inlineStr">
        <is>
          <t>C367</t>
        </is>
      </c>
      <c r="V129" s="17" t="inlineStr">
        <is>
          <t>한국유나이티드제약</t>
        </is>
      </c>
      <c r="W129" s="17" t="inlineStr"/>
      <c r="X129" s="17" t="inlineStr"/>
      <c r="Y129" s="23" t="inlineStr"/>
      <c r="Z129" s="17" t="inlineStr">
        <is>
          <t>강덕영</t>
        </is>
      </c>
      <c r="AA129" s="17" t="inlineStr"/>
      <c r="AB129" s="17" t="inlineStr">
        <is>
          <t>041-862-6856</t>
        </is>
      </c>
      <c r="AC129" s="17" t="inlineStr">
        <is>
          <t>미확인</t>
        </is>
      </c>
      <c r="AD129" s="17" t="inlineStr">
        <is>
          <t>Y</t>
        </is>
      </c>
      <c r="AE129" s="17" t="inlineStr">
        <is>
          <t>P445</t>
        </is>
      </c>
      <c r="AF129" s="17" t="inlineStr">
        <is>
          <t>세종특별자치시 연서면 공단로 107</t>
        </is>
      </c>
      <c r="AG129" s="17" t="inlineStr">
        <is>
          <t>완제의약품</t>
        </is>
      </c>
      <c r="AH129" s="17" t="inlineStr">
        <is>
          <t>비무균-일반제제-내용고형제(흡입분말제), 무균-세포독성항암제제-주사제(주사제, 분말주사제, 동결건조주사제), 비무균-세포독성항암제제-내용고형제(정제, 캡슐제)</t>
        </is>
      </c>
      <c r="AI129" s="17" t="n">
        <v>1</v>
      </c>
      <c r="AJ129" s="24" t="n">
        <v>46404</v>
      </c>
      <c r="AK129" s="17" t="inlineStr"/>
      <c r="AL129" s="17" t="inlineStr">
        <is>
          <t>Y</t>
        </is>
      </c>
      <c r="AM129" s="17" t="inlineStr">
        <is>
          <t>다중 제조소/다수 판정서로 문서관리 복잡; 무균/바이오 제조로 품질관리 난도 높음</t>
        </is>
      </c>
      <c r="AN129" s="17" t="inlineStr">
        <is>
          <t>미확인</t>
        </is>
      </c>
      <c r="AO129" s="17" t="inlineStr">
        <is>
          <t>미확인</t>
        </is>
      </c>
      <c r="AP129" s="17" t="inlineStr">
        <is>
          <t>미확인</t>
        </is>
      </c>
      <c r="AQ129" s="17" t="inlineStr">
        <is>
          <t>담당자 파악 후 접촉</t>
        </is>
      </c>
      <c r="AR129" s="17" t="inlineStr">
        <is>
          <t>2026-07-05</t>
        </is>
      </c>
      <c r="AS129" s="17" t="inlineStr">
        <is>
          <t>C(부분확인)</t>
        </is>
      </c>
      <c r="AT129" s="17" t="n">
        <v>90</v>
      </c>
      <c r="AU129" s="17" t="inlineStr"/>
      <c r="AV129" s="17" t="inlineStr"/>
    </row>
    <row r="130">
      <c r="A130" s="26" t="inlineStr">
        <is>
          <t>Tier B</t>
        </is>
      </c>
      <c r="B130" s="17" t="n">
        <v>21</v>
      </c>
      <c r="C130" s="17" t="inlineStr">
        <is>
          <t>한국유나이티드제약(주)</t>
        </is>
      </c>
      <c r="D130" s="17" t="inlineStr">
        <is>
          <t>노장리(1공장)</t>
        </is>
      </c>
      <c r="E130" s="17" t="inlineStr">
        <is>
          <t>세종특별자치시</t>
        </is>
      </c>
      <c r="F130" s="17" t="inlineStr">
        <is>
          <t>세종특별자치시</t>
        </is>
      </c>
      <c r="G130" s="17" t="n">
        <v>2</v>
      </c>
      <c r="H130" s="20" t="inlineStr">
        <is>
          <t>Y</t>
        </is>
      </c>
      <c r="I130" s="17" t="inlineStr"/>
      <c r="J130" s="17" t="inlineStr">
        <is>
          <t>Y</t>
        </is>
      </c>
      <c r="K130" s="17" t="inlineStr"/>
      <c r="L130" s="22" t="inlineStr">
        <is>
          <t>미확인</t>
        </is>
      </c>
      <c r="M130" s="22" t="inlineStr">
        <is>
          <t>미확인</t>
        </is>
      </c>
      <c r="N130" s="22" t="inlineStr">
        <is>
          <t>미확인</t>
        </is>
      </c>
      <c r="O130" s="22" t="inlineStr">
        <is>
          <t>미확인</t>
        </is>
      </c>
      <c r="P130" s="17" t="inlineStr">
        <is>
          <t>통합형</t>
        </is>
      </c>
      <c r="Q130" s="22" t="inlineStr">
        <is>
          <t>미확인</t>
        </is>
      </c>
      <c r="R130" s="22" t="inlineStr">
        <is>
          <t>미확인</t>
        </is>
      </c>
      <c r="S130" s="17" t="inlineStr">
        <is>
          <t>Tier D</t>
        </is>
      </c>
      <c r="T130" s="17" t="n">
        <v>19</v>
      </c>
      <c r="U130" s="17" t="inlineStr">
        <is>
          <t>C367</t>
        </is>
      </c>
      <c r="V130" s="17" t="inlineStr">
        <is>
          <t>한국유나이티드제약</t>
        </is>
      </c>
      <c r="W130" s="17" t="inlineStr"/>
      <c r="X130" s="17" t="inlineStr"/>
      <c r="Y130" s="23" t="inlineStr"/>
      <c r="Z130" s="17" t="inlineStr">
        <is>
          <t>강덕영</t>
        </is>
      </c>
      <c r="AA130" s="17" t="inlineStr"/>
      <c r="AB130" s="17" t="inlineStr">
        <is>
          <t>041-862-6856</t>
        </is>
      </c>
      <c r="AC130" s="17" t="inlineStr">
        <is>
          <t>미확인</t>
        </is>
      </c>
      <c r="AD130" s="17" t="inlineStr">
        <is>
          <t>Y</t>
        </is>
      </c>
      <c r="AE130" s="17" t="inlineStr">
        <is>
          <t>P446</t>
        </is>
      </c>
      <c r="AF130" s="17" t="inlineStr">
        <is>
          <t>세종특별자치시 전동면 노장공단길 25-23</t>
        </is>
      </c>
      <c r="AG130" s="17" t="inlineStr">
        <is>
          <t>완제의약품</t>
        </is>
      </c>
      <c r="AH130" s="17" t="inlineStr">
        <is>
          <t>비무균-일반제제-내용고형제(정제, 캡슐제), 무균-일반제제-주사제(주사제, 분말주사제, 동결건조주사제)</t>
        </is>
      </c>
      <c r="AI130" s="17" t="n">
        <v>1</v>
      </c>
      <c r="AJ130" s="24" t="n">
        <v>46404</v>
      </c>
      <c r="AK130" s="17" t="inlineStr"/>
      <c r="AL130" s="17" t="inlineStr">
        <is>
          <t>Y</t>
        </is>
      </c>
      <c r="AM130" s="17" t="inlineStr">
        <is>
          <t>다중 제조소/다수 판정서로 문서관리 복잡; 무균/바이오 제조로 품질관리 난도 높음</t>
        </is>
      </c>
      <c r="AN130" s="17" t="inlineStr">
        <is>
          <t>미확인</t>
        </is>
      </c>
      <c r="AO130" s="17" t="inlineStr">
        <is>
          <t>미확인</t>
        </is>
      </c>
      <c r="AP130" s="17" t="inlineStr">
        <is>
          <t>미확인</t>
        </is>
      </c>
      <c r="AQ130" s="17" t="inlineStr">
        <is>
          <t>담당자 파악 후 접촉</t>
        </is>
      </c>
      <c r="AR130" s="17" t="inlineStr">
        <is>
          <t>2026-07-05</t>
        </is>
      </c>
      <c r="AS130" s="17" t="inlineStr">
        <is>
          <t>C(부분확인)</t>
        </is>
      </c>
      <c r="AT130" s="17" t="n">
        <v>90</v>
      </c>
      <c r="AU130" s="17" t="inlineStr"/>
      <c r="AV130" s="17" t="inlineStr"/>
    </row>
    <row r="131">
      <c r="A131" s="26" t="inlineStr">
        <is>
          <t>Tier B</t>
        </is>
      </c>
      <c r="B131" s="17" t="n">
        <v>21</v>
      </c>
      <c r="C131" s="17" t="inlineStr">
        <is>
          <t>(주)비씨월드제약</t>
        </is>
      </c>
      <c r="D131" s="17" t="inlineStr">
        <is>
          <t>여주</t>
        </is>
      </c>
      <c r="E131" s="17" t="inlineStr">
        <is>
          <t>경기도</t>
        </is>
      </c>
      <c r="F131" s="17" t="inlineStr">
        <is>
          <t>여주시</t>
        </is>
      </c>
      <c r="G131" s="17" t="n">
        <v>1</v>
      </c>
      <c r="H131" s="20" t="inlineStr">
        <is>
          <t>Y</t>
        </is>
      </c>
      <c r="I131" s="17" t="inlineStr"/>
      <c r="J131" s="17" t="inlineStr">
        <is>
          <t>Y</t>
        </is>
      </c>
      <c r="K131" s="17" t="inlineStr"/>
      <c r="L131" s="22" t="inlineStr">
        <is>
          <t>미확인</t>
        </is>
      </c>
      <c r="M131" s="22" t="inlineStr">
        <is>
          <t>미확인</t>
        </is>
      </c>
      <c r="N131" s="22" t="inlineStr">
        <is>
          <t>미확인</t>
        </is>
      </c>
      <c r="O131" s="22" t="inlineStr">
        <is>
          <t>미확인</t>
        </is>
      </c>
      <c r="P131" s="17" t="inlineStr">
        <is>
          <t>QMS+LIMS</t>
        </is>
      </c>
      <c r="Q131" s="22" t="inlineStr">
        <is>
          <t>미확인</t>
        </is>
      </c>
      <c r="R131" s="22" t="inlineStr">
        <is>
          <t>미확인</t>
        </is>
      </c>
      <c r="S131" s="17" t="inlineStr">
        <is>
          <t>Tier D</t>
        </is>
      </c>
      <c r="T131" s="17" t="n">
        <v>15</v>
      </c>
      <c r="U131" s="17" t="inlineStr">
        <is>
          <t>C225</t>
        </is>
      </c>
      <c r="V131" s="17" t="inlineStr">
        <is>
          <t>비씨월드제약</t>
        </is>
      </c>
      <c r="W131" s="17" t="inlineStr">
        <is>
          <t>Y</t>
        </is>
      </c>
      <c r="X131" s="17" t="inlineStr">
        <is>
          <t>코스닥</t>
        </is>
      </c>
      <c r="Y131" s="23" t="inlineStr">
        <is>
          <t>200780</t>
        </is>
      </c>
      <c r="Z131" s="17" t="inlineStr">
        <is>
          <t>홍성한</t>
        </is>
      </c>
      <c r="AA131" s="17" t="inlineStr">
        <is>
          <t>http://www.bcwp.co.kr</t>
        </is>
      </c>
      <c r="AB131" s="17" t="inlineStr">
        <is>
          <t>031-881-6146</t>
        </is>
      </c>
      <c r="AC131" s="17" t="inlineStr">
        <is>
          <t>미확인</t>
        </is>
      </c>
      <c r="AD131" s="17" t="inlineStr">
        <is>
          <t>Y</t>
        </is>
      </c>
      <c r="AE131" s="17" t="inlineStr">
        <is>
          <t>P249</t>
        </is>
      </c>
      <c r="AF131" s="17" t="inlineStr">
        <is>
          <t>경기도 여주시 가남읍 여주남로 872-23</t>
        </is>
      </c>
      <c r="AG131" s="17" t="inlineStr">
        <is>
          <t>완제의약품</t>
        </is>
      </c>
      <c r="AH131" s="17" t="inlineStr">
        <is>
          <t>비무균-일반제제-내용고형제(정제, 캡슐제), 무균-일반제제-주사제(주사제, 동결건조주사제)</t>
        </is>
      </c>
      <c r="AI131" s="17" t="n">
        <v>1</v>
      </c>
      <c r="AJ131" s="24" t="n">
        <v>46857</v>
      </c>
      <c r="AK131" s="17" t="inlineStr"/>
      <c r="AL131" s="17" t="inlineStr"/>
      <c r="AM131" s="17" t="inlineStr">
        <is>
          <t>무균/바이오 제조로 품질관리 난도 높음</t>
        </is>
      </c>
      <c r="AN131" s="17" t="inlineStr">
        <is>
          <t>미확인</t>
        </is>
      </c>
      <c r="AO131" s="17" t="inlineStr">
        <is>
          <t>미확인</t>
        </is>
      </c>
      <c r="AP131" s="17" t="inlineStr">
        <is>
          <t>미확인</t>
        </is>
      </c>
      <c r="AQ131" s="17" t="inlineStr">
        <is>
          <t>담당자 파악 후 접촉</t>
        </is>
      </c>
      <c r="AR131" s="17" t="inlineStr">
        <is>
          <t>2026-07-05</t>
        </is>
      </c>
      <c r="AS131" s="17" t="inlineStr">
        <is>
          <t>C(부분확인)</t>
        </is>
      </c>
      <c r="AT131" s="17" t="n">
        <v>90</v>
      </c>
      <c r="AU131" s="17" t="inlineStr"/>
      <c r="AV131" s="17" t="inlineStr"/>
    </row>
    <row r="132">
      <c r="A132" s="26" t="inlineStr">
        <is>
          <t>Tier B</t>
        </is>
      </c>
      <c r="B132" s="17" t="n">
        <v>21</v>
      </c>
      <c r="C132" s="17" t="inlineStr">
        <is>
          <t>(주)셀비온</t>
        </is>
      </c>
      <c r="D132" s="17" t="inlineStr">
        <is>
          <t>제조소</t>
        </is>
      </c>
      <c r="E132" s="17" t="inlineStr">
        <is>
          <t>서울특별시</t>
        </is>
      </c>
      <c r="F132" s="17" t="inlineStr">
        <is>
          <t>종로구</t>
        </is>
      </c>
      <c r="G132" s="17" t="n">
        <v>1</v>
      </c>
      <c r="H132" s="20" t="inlineStr">
        <is>
          <t>Y</t>
        </is>
      </c>
      <c r="I132" s="17" t="inlineStr"/>
      <c r="J132" s="17" t="inlineStr">
        <is>
          <t>Y</t>
        </is>
      </c>
      <c r="K132" s="17" t="inlineStr"/>
      <c r="L132" s="22" t="inlineStr">
        <is>
          <t>미확인</t>
        </is>
      </c>
      <c r="M132" s="22" t="inlineStr">
        <is>
          <t>미확인</t>
        </is>
      </c>
      <c r="N132" s="22" t="inlineStr">
        <is>
          <t>미확인</t>
        </is>
      </c>
      <c r="O132" s="22" t="inlineStr">
        <is>
          <t>미확인</t>
        </is>
      </c>
      <c r="P132" s="17" t="inlineStr">
        <is>
          <t>QMS+LIMS</t>
        </is>
      </c>
      <c r="Q132" s="22" t="inlineStr">
        <is>
          <t>미확인</t>
        </is>
      </c>
      <c r="R132" s="22" t="inlineStr">
        <is>
          <t>미확인</t>
        </is>
      </c>
      <c r="S132" s="17" t="inlineStr">
        <is>
          <t>Tier D</t>
        </is>
      </c>
      <c r="T132" s="17" t="n">
        <v>12</v>
      </c>
      <c r="U132" s="17" t="inlineStr">
        <is>
          <t>C019</t>
        </is>
      </c>
      <c r="V132" s="17" t="inlineStr">
        <is>
          <t>셀비온</t>
        </is>
      </c>
      <c r="W132" s="17" t="inlineStr">
        <is>
          <t>Y</t>
        </is>
      </c>
      <c r="X132" s="17" t="inlineStr">
        <is>
          <t>코스닥</t>
        </is>
      </c>
      <c r="Y132" s="23" t="inlineStr">
        <is>
          <t>308430</t>
        </is>
      </c>
      <c r="Z132" s="17" t="inlineStr">
        <is>
          <t>김권</t>
        </is>
      </c>
      <c r="AA132" s="17" t="inlineStr">
        <is>
          <t>http://cellbion.co.kr</t>
        </is>
      </c>
      <c r="AB132" s="17" t="inlineStr">
        <is>
          <t>미확인</t>
        </is>
      </c>
      <c r="AC132" s="17" t="inlineStr">
        <is>
          <t>미확인</t>
        </is>
      </c>
      <c r="AD132" s="17" t="inlineStr">
        <is>
          <t>Y</t>
        </is>
      </c>
      <c r="AE132" s="17" t="inlineStr">
        <is>
          <t>P019</t>
        </is>
      </c>
      <c r="AF132" s="17" t="inlineStr">
        <is>
          <t>서울특별시 종로구 대학로 101 서울대학교병원 암연구소 6층 일부</t>
        </is>
      </c>
      <c r="AG132" s="17" t="inlineStr">
        <is>
          <t>완제의약품</t>
        </is>
      </c>
      <c r="AH132" s="17" t="inlineStr">
        <is>
          <t>무균-일반제제-주사제(주사제, 동결건조주사제)</t>
        </is>
      </c>
      <c r="AI132" s="17" t="n">
        <v>1</v>
      </c>
      <c r="AJ132" s="24" t="n">
        <v>47284</v>
      </c>
      <c r="AK132" s="17" t="inlineStr"/>
      <c r="AL132" s="17" t="inlineStr"/>
      <c r="AM132" s="17" t="inlineStr">
        <is>
          <t>무균/바이오 제조로 품질관리 난도 높음</t>
        </is>
      </c>
      <c r="AN132" s="17" t="inlineStr">
        <is>
          <t>미확인</t>
        </is>
      </c>
      <c r="AO132" s="17" t="inlineStr">
        <is>
          <t>미확인</t>
        </is>
      </c>
      <c r="AP132" s="17" t="inlineStr">
        <is>
          <t>미확인</t>
        </is>
      </c>
      <c r="AQ132" s="17" t="inlineStr">
        <is>
          <t>담당자 파악 후 접촉</t>
        </is>
      </c>
      <c r="AR132" s="17" t="inlineStr">
        <is>
          <t>2026-07-05</t>
        </is>
      </c>
      <c r="AS132" s="17" t="inlineStr">
        <is>
          <t>C(부분확인)</t>
        </is>
      </c>
      <c r="AT132" s="17" t="n">
        <v>90</v>
      </c>
      <c r="AU132" s="17" t="inlineStr"/>
      <c r="AV132" s="17" t="inlineStr"/>
    </row>
    <row r="133">
      <c r="A133" s="26" t="inlineStr">
        <is>
          <t>Tier B</t>
        </is>
      </c>
      <c r="B133" s="17" t="n">
        <v>21</v>
      </c>
      <c r="C133" s="17" t="inlineStr">
        <is>
          <t>(주)엔지켐생명과학</t>
        </is>
      </c>
      <c r="D133" s="17" t="inlineStr">
        <is>
          <t>제천</t>
        </is>
      </c>
      <c r="E133" s="17" t="inlineStr">
        <is>
          <t>충청북도</t>
        </is>
      </c>
      <c r="F133" s="17" t="inlineStr">
        <is>
          <t>제천시</t>
        </is>
      </c>
      <c r="G133" s="17" t="n">
        <v>1</v>
      </c>
      <c r="H133" s="17" t="inlineStr"/>
      <c r="I133" s="17" t="inlineStr"/>
      <c r="J133" s="17" t="inlineStr"/>
      <c r="K133" s="17" t="inlineStr">
        <is>
          <t>Y</t>
        </is>
      </c>
      <c r="L133" s="22" t="inlineStr">
        <is>
          <t>미확인</t>
        </is>
      </c>
      <c r="M133" s="22" t="inlineStr">
        <is>
          <t>미확인</t>
        </is>
      </c>
      <c r="N133" s="22" t="inlineStr">
        <is>
          <t>미확인</t>
        </is>
      </c>
      <c r="O133" s="22" t="inlineStr">
        <is>
          <t>미확인</t>
        </is>
      </c>
      <c r="P133" s="17" t="inlineStr">
        <is>
          <t>QMS+LIMS</t>
        </is>
      </c>
      <c r="Q133" s="22" t="inlineStr">
        <is>
          <t>미확인</t>
        </is>
      </c>
      <c r="R133" s="22" t="inlineStr">
        <is>
          <t>미확인</t>
        </is>
      </c>
      <c r="S133" s="17" t="inlineStr">
        <is>
          <t>Tier D</t>
        </is>
      </c>
      <c r="T133" s="17" t="n">
        <v>10</v>
      </c>
      <c r="U133" s="17" t="inlineStr">
        <is>
          <t>C357</t>
        </is>
      </c>
      <c r="V133" s="17" t="inlineStr">
        <is>
          <t>엔지켐생명과학</t>
        </is>
      </c>
      <c r="W133" s="17" t="inlineStr">
        <is>
          <t>Y</t>
        </is>
      </c>
      <c r="X133" s="17" t="inlineStr">
        <is>
          <t>코스닥</t>
        </is>
      </c>
      <c r="Y133" s="23" t="inlineStr">
        <is>
          <t>183490</t>
        </is>
      </c>
      <c r="Z133" s="17" t="inlineStr">
        <is>
          <t>손기영</t>
        </is>
      </c>
      <c r="AA133" s="17" t="inlineStr">
        <is>
          <t>http://www.enzychem.co.kr</t>
        </is>
      </c>
      <c r="AB133" s="17" t="inlineStr">
        <is>
          <t>043-652-2846</t>
        </is>
      </c>
      <c r="AC133" s="17" t="inlineStr">
        <is>
          <t>미확인</t>
        </is>
      </c>
      <c r="AD133" s="17" t="inlineStr">
        <is>
          <t>Y</t>
        </is>
      </c>
      <c r="AE133" s="17" t="inlineStr">
        <is>
          <t>P432</t>
        </is>
      </c>
      <c r="AF133" s="17" t="inlineStr">
        <is>
          <t>충청북도 제천시 바이오밸리로 59</t>
        </is>
      </c>
      <c r="AG133" s="17" t="inlineStr">
        <is>
          <t>원료의약품</t>
        </is>
      </c>
      <c r="AH133" s="17" t="inlineStr">
        <is>
          <t>비무균-일반제제-합성</t>
        </is>
      </c>
      <c r="AI133" s="17" t="n">
        <v>1</v>
      </c>
      <c r="AJ133" s="24" t="n">
        <v>46425</v>
      </c>
      <c r="AK133" s="17" t="inlineStr"/>
      <c r="AL133" s="17" t="inlineStr">
        <is>
          <t>Y</t>
        </is>
      </c>
      <c r="AM133" s="17" t="inlineStr">
        <is>
          <t>원료 제조로 시험실 관리 필요</t>
        </is>
      </c>
      <c r="AN133" s="17" t="inlineStr">
        <is>
          <t>미확인</t>
        </is>
      </c>
      <c r="AO133" s="17" t="inlineStr">
        <is>
          <t>미확인</t>
        </is>
      </c>
      <c r="AP133" s="17" t="inlineStr">
        <is>
          <t>미확인</t>
        </is>
      </c>
      <c r="AQ133" s="17" t="inlineStr">
        <is>
          <t>담당자 파악 후 접촉</t>
        </is>
      </c>
      <c r="AR133" s="17" t="inlineStr">
        <is>
          <t>2026-07-05</t>
        </is>
      </c>
      <c r="AS133" s="17" t="inlineStr">
        <is>
          <t>C(부분확인)</t>
        </is>
      </c>
      <c r="AT133" s="17" t="n">
        <v>90</v>
      </c>
      <c r="AU133" s="17" t="inlineStr"/>
      <c r="AV133" s="17" t="inlineStr"/>
    </row>
    <row r="134">
      <c r="A134" s="26" t="inlineStr">
        <is>
          <t>Tier B</t>
        </is>
      </c>
      <c r="B134" s="17" t="n">
        <v>21</v>
      </c>
      <c r="C134" s="17" t="inlineStr">
        <is>
          <t>(주)옵투스제약</t>
        </is>
      </c>
      <c r="D134" s="17" t="inlineStr">
        <is>
          <t>2공장</t>
        </is>
      </c>
      <c r="E134" s="17" t="inlineStr">
        <is>
          <t>충청북도</t>
        </is>
      </c>
      <c r="F134" s="17" t="inlineStr">
        <is>
          <t>청주시</t>
        </is>
      </c>
      <c r="G134" s="17" t="n">
        <v>1</v>
      </c>
      <c r="H134" s="20" t="inlineStr">
        <is>
          <t>Y</t>
        </is>
      </c>
      <c r="I134" s="17" t="inlineStr"/>
      <c r="J134" s="17" t="inlineStr">
        <is>
          <t>Y</t>
        </is>
      </c>
      <c r="K134" s="17" t="inlineStr"/>
      <c r="L134" s="22" t="inlineStr">
        <is>
          <t>미확인</t>
        </is>
      </c>
      <c r="M134" s="22" t="inlineStr">
        <is>
          <t>미확인</t>
        </is>
      </c>
      <c r="N134" s="22" t="inlineStr">
        <is>
          <t>미확인</t>
        </is>
      </c>
      <c r="O134" s="22" t="inlineStr">
        <is>
          <t>미확인</t>
        </is>
      </c>
      <c r="P134" s="17" t="inlineStr">
        <is>
          <t>QMS+LIMS</t>
        </is>
      </c>
      <c r="Q134" s="22" t="inlineStr">
        <is>
          <t>미확인</t>
        </is>
      </c>
      <c r="R134" s="22" t="inlineStr">
        <is>
          <t>미확인</t>
        </is>
      </c>
      <c r="S134" s="17" t="inlineStr">
        <is>
          <t>Tier D</t>
        </is>
      </c>
      <c r="T134" s="17" t="n">
        <v>15</v>
      </c>
      <c r="U134" s="17" t="inlineStr">
        <is>
          <t>C133</t>
        </is>
      </c>
      <c r="V134" s="17" t="inlineStr">
        <is>
          <t>옵투스제약</t>
        </is>
      </c>
      <c r="W134" s="17" t="inlineStr">
        <is>
          <t>Y</t>
        </is>
      </c>
      <c r="X134" s="17" t="inlineStr">
        <is>
          <t>코스닥</t>
        </is>
      </c>
      <c r="Y134" s="23" t="inlineStr">
        <is>
          <t>131030</t>
        </is>
      </c>
      <c r="Z134" s="17" t="inlineStr">
        <is>
          <t>심상호</t>
        </is>
      </c>
      <c r="AA134" s="17" t="inlineStr">
        <is>
          <t>http://www.optuspharm.com</t>
        </is>
      </c>
      <c r="AB134" s="17" t="inlineStr">
        <is>
          <t>043-830-0500</t>
        </is>
      </c>
      <c r="AC134" s="17" t="inlineStr">
        <is>
          <t>미확인</t>
        </is>
      </c>
      <c r="AD134" s="17" t="inlineStr">
        <is>
          <t>Y</t>
        </is>
      </c>
      <c r="AE134" s="17" t="inlineStr">
        <is>
          <t>P139</t>
        </is>
      </c>
      <c r="AF134" s="17" t="inlineStr">
        <is>
          <t>충청북도 청주시 흥덕구 오송읍 오송생명6로 50</t>
        </is>
      </c>
      <c r="AG134" s="17" t="inlineStr">
        <is>
          <t>완제의약품</t>
        </is>
      </c>
      <c r="AH134" s="17" t="inlineStr">
        <is>
          <t>무균-일반제제-점안제(점안제)</t>
        </is>
      </c>
      <c r="AI134" s="17" t="n">
        <v>1</v>
      </c>
      <c r="AJ134" s="24" t="n">
        <v>46997</v>
      </c>
      <c r="AK134" s="17" t="inlineStr"/>
      <c r="AL134" s="17" t="inlineStr"/>
      <c r="AM134" s="17" t="inlineStr">
        <is>
          <t>무균/바이오 제조로 품질관리 난도 높음</t>
        </is>
      </c>
      <c r="AN134" s="17" t="inlineStr">
        <is>
          <t>미확인</t>
        </is>
      </c>
      <c r="AO134" s="17" t="inlineStr">
        <is>
          <t>미확인</t>
        </is>
      </c>
      <c r="AP134" s="17" t="inlineStr">
        <is>
          <t>미확인</t>
        </is>
      </c>
      <c r="AQ134" s="17" t="inlineStr">
        <is>
          <t>담당자 파악 후 접촉</t>
        </is>
      </c>
      <c r="AR134" s="17" t="inlineStr">
        <is>
          <t>2026-07-05</t>
        </is>
      </c>
      <c r="AS134" s="17" t="inlineStr">
        <is>
          <t>C(부분확인)</t>
        </is>
      </c>
      <c r="AT134" s="17" t="n">
        <v>90</v>
      </c>
      <c r="AU134" s="17" t="inlineStr"/>
      <c r="AV134" s="17" t="inlineStr"/>
    </row>
    <row r="135">
      <c r="A135" s="26" t="inlineStr">
        <is>
          <t>Tier B</t>
        </is>
      </c>
      <c r="B135" s="17" t="n">
        <v>21</v>
      </c>
      <c r="C135" s="17" t="inlineStr">
        <is>
          <t>(주)펩트론</t>
        </is>
      </c>
      <c r="D135" s="17" t="inlineStr">
        <is>
          <t>㈜펩트론 오송바이오파크</t>
        </is>
      </c>
      <c r="E135" s="17" t="inlineStr">
        <is>
          <t>충청북도</t>
        </is>
      </c>
      <c r="F135" s="17" t="inlineStr">
        <is>
          <t>청주시</t>
        </is>
      </c>
      <c r="G135" s="17" t="n">
        <v>1</v>
      </c>
      <c r="H135" s="20" t="inlineStr">
        <is>
          <t>Y</t>
        </is>
      </c>
      <c r="I135" s="17" t="inlineStr"/>
      <c r="J135" s="17" t="inlineStr">
        <is>
          <t>Y</t>
        </is>
      </c>
      <c r="K135" s="17" t="inlineStr"/>
      <c r="L135" s="22" t="inlineStr">
        <is>
          <t>미확인</t>
        </is>
      </c>
      <c r="M135" s="22" t="inlineStr">
        <is>
          <t>미확인</t>
        </is>
      </c>
      <c r="N135" s="22" t="inlineStr">
        <is>
          <t>미확인</t>
        </is>
      </c>
      <c r="O135" s="22" t="inlineStr">
        <is>
          <t>미확인</t>
        </is>
      </c>
      <c r="P135" s="17" t="inlineStr">
        <is>
          <t>QMS+LIMS</t>
        </is>
      </c>
      <c r="Q135" s="22" t="inlineStr">
        <is>
          <t>미확인</t>
        </is>
      </c>
      <c r="R135" s="22" t="inlineStr">
        <is>
          <t>미확인</t>
        </is>
      </c>
      <c r="S135" s="17" t="inlineStr">
        <is>
          <t>Tier D</t>
        </is>
      </c>
      <c r="T135" s="17" t="n">
        <v>12</v>
      </c>
      <c r="U135" s="17" t="inlineStr">
        <is>
          <t>C153</t>
        </is>
      </c>
      <c r="V135" s="17" t="inlineStr">
        <is>
          <t>펩트론</t>
        </is>
      </c>
      <c r="W135" s="17" t="inlineStr">
        <is>
          <t>Y</t>
        </is>
      </c>
      <c r="X135" s="17" t="inlineStr">
        <is>
          <t>코스닥</t>
        </is>
      </c>
      <c r="Y135" s="23" t="inlineStr">
        <is>
          <t>087010</t>
        </is>
      </c>
      <c r="Z135" s="17" t="inlineStr">
        <is>
          <t>최호일</t>
        </is>
      </c>
      <c r="AA135" s="17" t="inlineStr">
        <is>
          <t>http://www.peptron.co.kr</t>
        </is>
      </c>
      <c r="AB135" s="17" t="inlineStr">
        <is>
          <t>미확인</t>
        </is>
      </c>
      <c r="AC135" s="17" t="inlineStr">
        <is>
          <t>미확인</t>
        </is>
      </c>
      <c r="AD135" s="17" t="inlineStr">
        <is>
          <t>Y</t>
        </is>
      </c>
      <c r="AE135" s="17" t="inlineStr">
        <is>
          <t>P164</t>
        </is>
      </c>
      <c r="AF135" s="17" t="inlineStr">
        <is>
          <t>충청북도 청주시 흥덕구 오송읍 의료단지길 135</t>
        </is>
      </c>
      <c r="AG135" s="17" t="inlineStr">
        <is>
          <t>완제의약품</t>
        </is>
      </c>
      <c r="AH135" s="17" t="inlineStr">
        <is>
          <t>무균-일반제제-주사제(동결건조주사제)</t>
        </is>
      </c>
      <c r="AI135" s="17" t="n">
        <v>1</v>
      </c>
      <c r="AJ135" s="24" t="n">
        <v>46958</v>
      </c>
      <c r="AK135" s="17" t="inlineStr"/>
      <c r="AL135" s="17" t="inlineStr"/>
      <c r="AM135" s="17" t="inlineStr">
        <is>
          <t>무균/바이오 제조로 품질관리 난도 높음</t>
        </is>
      </c>
      <c r="AN135" s="17" t="inlineStr">
        <is>
          <t>미확인</t>
        </is>
      </c>
      <c r="AO135" s="17" t="inlineStr">
        <is>
          <t>미확인</t>
        </is>
      </c>
      <c r="AP135" s="17" t="inlineStr">
        <is>
          <t>미확인</t>
        </is>
      </c>
      <c r="AQ135" s="17" t="inlineStr">
        <is>
          <t>담당자 파악 후 접촉</t>
        </is>
      </c>
      <c r="AR135" s="17" t="inlineStr">
        <is>
          <t>2026-07-05</t>
        </is>
      </c>
      <c r="AS135" s="17" t="inlineStr">
        <is>
          <t>C(부분확인)</t>
        </is>
      </c>
      <c r="AT135" s="17" t="n">
        <v>90</v>
      </c>
      <c r="AU135" s="17" t="inlineStr"/>
      <c r="AV135" s="17" t="inlineStr"/>
    </row>
    <row r="136">
      <c r="A136" s="26" t="inlineStr">
        <is>
          <t>Tier B</t>
        </is>
      </c>
      <c r="B136" s="17" t="n">
        <v>21</v>
      </c>
      <c r="C136" s="17" t="inlineStr">
        <is>
          <t>국제약품(주)</t>
        </is>
      </c>
      <c r="D136" s="17" t="inlineStr">
        <is>
          <t>안산</t>
        </is>
      </c>
      <c r="E136" s="17" t="inlineStr">
        <is>
          <t>경기도</t>
        </is>
      </c>
      <c r="F136" s="17" t="inlineStr">
        <is>
          <t>안산시</t>
        </is>
      </c>
      <c r="G136" s="17" t="n">
        <v>1</v>
      </c>
      <c r="H136" s="20" t="inlineStr">
        <is>
          <t>Y</t>
        </is>
      </c>
      <c r="I136" s="17" t="inlineStr"/>
      <c r="J136" s="17" t="inlineStr">
        <is>
          <t>Y</t>
        </is>
      </c>
      <c r="K136" s="17" t="inlineStr"/>
      <c r="L136" s="22" t="inlineStr">
        <is>
          <t>미확인</t>
        </is>
      </c>
      <c r="M136" s="22" t="inlineStr">
        <is>
          <t>미확인</t>
        </is>
      </c>
      <c r="N136" s="22" t="inlineStr">
        <is>
          <t>미확인</t>
        </is>
      </c>
      <c r="O136" s="22" t="inlineStr">
        <is>
          <t>미확인</t>
        </is>
      </c>
      <c r="P136" s="17" t="inlineStr">
        <is>
          <t>QMS+LIMS</t>
        </is>
      </c>
      <c r="Q136" s="22" t="inlineStr">
        <is>
          <t>미확인</t>
        </is>
      </c>
      <c r="R136" s="22" t="inlineStr">
        <is>
          <t>미확인</t>
        </is>
      </c>
      <c r="S136" s="17" t="inlineStr">
        <is>
          <t>Tier D</t>
        </is>
      </c>
      <c r="T136" s="17" t="n">
        <v>15</v>
      </c>
      <c r="U136" s="17" t="inlineStr">
        <is>
          <t>C191</t>
        </is>
      </c>
      <c r="V136" s="17" t="inlineStr">
        <is>
          <t>국제약품</t>
        </is>
      </c>
      <c r="W136" s="17" t="inlineStr">
        <is>
          <t>Y</t>
        </is>
      </c>
      <c r="X136" s="17" t="inlineStr">
        <is>
          <t>유가</t>
        </is>
      </c>
      <c r="Y136" s="23" t="inlineStr">
        <is>
          <t>002720</t>
        </is>
      </c>
      <c r="Z136" s="17" t="inlineStr">
        <is>
          <t>남태훈</t>
        </is>
      </c>
      <c r="AA136" s="17" t="inlineStr">
        <is>
          <t>http://www.kukjepharm.co.kr</t>
        </is>
      </c>
      <c r="AB136" s="17" t="inlineStr">
        <is>
          <t>031-4919-4114</t>
        </is>
      </c>
      <c r="AC136" s="17" t="inlineStr">
        <is>
          <t>미확인</t>
        </is>
      </c>
      <c r="AD136" s="17" t="inlineStr">
        <is>
          <t>Y</t>
        </is>
      </c>
      <c r="AE136" s="17" t="inlineStr">
        <is>
          <t>P205</t>
        </is>
      </c>
      <c r="AF136" s="17" t="inlineStr">
        <is>
          <t>경기도 안산시 단원구 산성로 47</t>
        </is>
      </c>
      <c r="AG136" s="17" t="inlineStr">
        <is>
          <t>완제의약품</t>
        </is>
      </c>
      <c r="AH136" s="17" t="inlineStr">
        <is>
          <t>비무균-세팔로스포린제제-내용고형제(정제, 캡슐제, 시럽제(고형)), 비무균-일반제제-내용고형제(정제, 캡슐제), 무균-세팔로스포린제제-주사제(분말주사제, 동결건조주사제), 무균-일반제제-점안제(점안제)</t>
        </is>
      </c>
      <c r="AI136" s="17" t="n">
        <v>1</v>
      </c>
      <c r="AJ136" s="24" t="n">
        <v>46913</v>
      </c>
      <c r="AK136" s="17" t="inlineStr"/>
      <c r="AL136" s="17" t="inlineStr"/>
      <c r="AM136" s="17" t="inlineStr">
        <is>
          <t>무균/바이오 제조로 품질관리 난도 높음</t>
        </is>
      </c>
      <c r="AN136" s="17" t="inlineStr">
        <is>
          <t>미확인</t>
        </is>
      </c>
      <c r="AO136" s="17" t="inlineStr">
        <is>
          <t>미확인</t>
        </is>
      </c>
      <c r="AP136" s="17" t="inlineStr">
        <is>
          <t>미확인</t>
        </is>
      </c>
      <c r="AQ136" s="17" t="inlineStr">
        <is>
          <t>담당자 파악 후 접촉</t>
        </is>
      </c>
      <c r="AR136" s="17" t="inlineStr">
        <is>
          <t>2026-07-05</t>
        </is>
      </c>
      <c r="AS136" s="17" t="inlineStr">
        <is>
          <t>C(부분확인)</t>
        </is>
      </c>
      <c r="AT136" s="17" t="n">
        <v>90</v>
      </c>
      <c r="AU136" s="17" t="inlineStr"/>
      <c r="AV136" s="17" t="inlineStr"/>
    </row>
    <row r="137">
      <c r="A137" s="26" t="inlineStr">
        <is>
          <t>Tier B</t>
        </is>
      </c>
      <c r="B137" s="17" t="n">
        <v>21</v>
      </c>
      <c r="C137" s="17" t="inlineStr">
        <is>
          <t>그린생명과학(주)</t>
        </is>
      </c>
      <c r="D137" s="17" t="inlineStr">
        <is>
          <t>여수</t>
        </is>
      </c>
      <c r="E137" s="17" t="inlineStr">
        <is>
          <t>전라남도</t>
        </is>
      </c>
      <c r="F137" s="17" t="inlineStr">
        <is>
          <t>여수시</t>
        </is>
      </c>
      <c r="G137" s="17" t="n">
        <v>1</v>
      </c>
      <c r="H137" s="17" t="inlineStr"/>
      <c r="I137" s="17" t="inlineStr"/>
      <c r="J137" s="17" t="inlineStr"/>
      <c r="K137" s="17" t="inlineStr">
        <is>
          <t>Y</t>
        </is>
      </c>
      <c r="L137" s="22" t="inlineStr">
        <is>
          <t>미확인</t>
        </is>
      </c>
      <c r="M137" s="22" t="inlineStr">
        <is>
          <t>미확인</t>
        </is>
      </c>
      <c r="N137" s="22" t="inlineStr">
        <is>
          <t>미확인</t>
        </is>
      </c>
      <c r="O137" s="22" t="inlineStr">
        <is>
          <t>미확인</t>
        </is>
      </c>
      <c r="P137" s="17" t="inlineStr">
        <is>
          <t>QMS+LIMS</t>
        </is>
      </c>
      <c r="Q137" s="22" t="inlineStr">
        <is>
          <t>미확인</t>
        </is>
      </c>
      <c r="R137" s="22" t="inlineStr">
        <is>
          <t>미확인</t>
        </is>
      </c>
      <c r="S137" s="17" t="inlineStr">
        <is>
          <t>Tier D</t>
        </is>
      </c>
      <c r="T137" s="17" t="n">
        <v>10</v>
      </c>
      <c r="U137" s="17" t="inlineStr">
        <is>
          <t>C300</t>
        </is>
      </c>
      <c r="V137" s="17" t="inlineStr">
        <is>
          <t>그린생명과학</t>
        </is>
      </c>
      <c r="W137" s="17" t="inlineStr">
        <is>
          <t>Y</t>
        </is>
      </c>
      <c r="X137" s="17" t="inlineStr">
        <is>
          <t>코스닥</t>
        </is>
      </c>
      <c r="Y137" s="23" t="inlineStr">
        <is>
          <t>114450</t>
        </is>
      </c>
      <c r="Z137" s="17" t="inlineStr">
        <is>
          <t>양준화, 이기성(각자 대표이사)</t>
        </is>
      </c>
      <c r="AA137" s="17" t="inlineStr">
        <is>
          <t>http://www.kpxls.com/</t>
        </is>
      </c>
      <c r="AB137" s="17" t="inlineStr">
        <is>
          <t>061-688-4840</t>
        </is>
      </c>
      <c r="AC137" s="17" t="inlineStr">
        <is>
          <t>미확인</t>
        </is>
      </c>
      <c r="AD137" s="17" t="inlineStr">
        <is>
          <t>Y</t>
        </is>
      </c>
      <c r="AE137" s="17" t="inlineStr">
        <is>
          <t>P362</t>
        </is>
      </c>
      <c r="AF137" s="17" t="inlineStr">
        <is>
          <t>전라남도 여수시 여수산단2로 84</t>
        </is>
      </c>
      <c r="AG137" s="17" t="inlineStr">
        <is>
          <t>원료의약품</t>
        </is>
      </c>
      <c r="AH137" s="17" t="inlineStr">
        <is>
          <t>비무균-일반제제-합성</t>
        </is>
      </c>
      <c r="AI137" s="17" t="n">
        <v>1</v>
      </c>
      <c r="AJ137" s="24" t="n">
        <v>46570</v>
      </c>
      <c r="AK137" s="17" t="inlineStr"/>
      <c r="AL137" s="17" t="inlineStr">
        <is>
          <t>Y</t>
        </is>
      </c>
      <c r="AM137" s="17" t="inlineStr">
        <is>
          <t>원료 제조로 시험실 관리 필요</t>
        </is>
      </c>
      <c r="AN137" s="17" t="inlineStr">
        <is>
          <t>미확인</t>
        </is>
      </c>
      <c r="AO137" s="17" t="inlineStr">
        <is>
          <t>미확인</t>
        </is>
      </c>
      <c r="AP137" s="17" t="inlineStr">
        <is>
          <t>미확인</t>
        </is>
      </c>
      <c r="AQ137" s="17" t="inlineStr">
        <is>
          <t>담당자 파악 후 접촉</t>
        </is>
      </c>
      <c r="AR137" s="17" t="inlineStr">
        <is>
          <t>2026-07-05</t>
        </is>
      </c>
      <c r="AS137" s="17" t="inlineStr">
        <is>
          <t>C(부분확인)</t>
        </is>
      </c>
      <c r="AT137" s="17" t="n">
        <v>90</v>
      </c>
      <c r="AU137" s="17" t="inlineStr"/>
      <c r="AV137" s="17" t="inlineStr"/>
    </row>
    <row r="138">
      <c r="A138" s="26" t="inlineStr">
        <is>
          <t>Tier B</t>
        </is>
      </c>
      <c r="B138" s="17" t="n">
        <v>21</v>
      </c>
      <c r="C138" s="17" t="inlineStr">
        <is>
          <t>대봉엘에스(주)</t>
        </is>
      </c>
      <c r="D138" s="17" t="inlineStr">
        <is>
          <t>인천</t>
        </is>
      </c>
      <c r="E138" s="17" t="inlineStr">
        <is>
          <t>인천광역시</t>
        </is>
      </c>
      <c r="F138" s="17" t="inlineStr">
        <is>
          <t>남동구</t>
        </is>
      </c>
      <c r="G138" s="17" t="n">
        <v>1</v>
      </c>
      <c r="H138" s="17" t="inlineStr"/>
      <c r="I138" s="17" t="inlineStr"/>
      <c r="J138" s="17" t="inlineStr"/>
      <c r="K138" s="17" t="inlineStr">
        <is>
          <t>Y</t>
        </is>
      </c>
      <c r="L138" s="22" t="inlineStr">
        <is>
          <t>미확인</t>
        </is>
      </c>
      <c r="M138" s="22" t="inlineStr">
        <is>
          <t>미확인</t>
        </is>
      </c>
      <c r="N138" s="22" t="inlineStr">
        <is>
          <t>미확인</t>
        </is>
      </c>
      <c r="O138" s="22" t="inlineStr">
        <is>
          <t>미확인</t>
        </is>
      </c>
      <c r="P138" s="17" t="inlineStr">
        <is>
          <t>QMS+LIMS</t>
        </is>
      </c>
      <c r="Q138" s="22" t="inlineStr">
        <is>
          <t>미확인</t>
        </is>
      </c>
      <c r="R138" s="22" t="inlineStr">
        <is>
          <t>미확인</t>
        </is>
      </c>
      <c r="S138" s="17" t="inlineStr">
        <is>
          <t>Tier D</t>
        </is>
      </c>
      <c r="T138" s="17" t="n">
        <v>10</v>
      </c>
      <c r="U138" s="17" t="inlineStr">
        <is>
          <t>C348</t>
        </is>
      </c>
      <c r="V138" s="17" t="inlineStr">
        <is>
          <t>대봉엘에스</t>
        </is>
      </c>
      <c r="W138" s="17" t="inlineStr">
        <is>
          <t>Y</t>
        </is>
      </c>
      <c r="X138" s="17" t="inlineStr">
        <is>
          <t>코스닥</t>
        </is>
      </c>
      <c r="Y138" s="23" t="inlineStr">
        <is>
          <t>078140</t>
        </is>
      </c>
      <c r="Z138" s="17" t="inlineStr">
        <is>
          <t>박종호, 박진오</t>
        </is>
      </c>
      <c r="AA138" s="17" t="inlineStr">
        <is>
          <t>http://www.daebongls.co.kr</t>
        </is>
      </c>
      <c r="AB138" s="17" t="inlineStr">
        <is>
          <t>032-817-8805</t>
        </is>
      </c>
      <c r="AC138" s="17" t="inlineStr">
        <is>
          <t>미확인</t>
        </is>
      </c>
      <c r="AD138" s="17" t="inlineStr">
        <is>
          <t>Y</t>
        </is>
      </c>
      <c r="AE138" s="17" t="inlineStr">
        <is>
          <t>P420</t>
        </is>
      </c>
      <c r="AF138" s="17" t="inlineStr">
        <is>
          <t>인천광역시 남동구 능허대로649번길 123 122B-9L</t>
        </is>
      </c>
      <c r="AG138" s="17" t="inlineStr">
        <is>
          <t>원료의약품</t>
        </is>
      </c>
      <c r="AH138" s="17" t="inlineStr">
        <is>
          <t>비무균-일반제제-합성, 비무균-일반제제-(정제(합성에 한함), 정제(발효에 한함), 정제(추출에 한함)), 비무균-일반제제-소분</t>
        </is>
      </c>
      <c r="AI138" s="17" t="n">
        <v>1</v>
      </c>
      <c r="AJ138" s="24" t="n">
        <v>46453</v>
      </c>
      <c r="AK138" s="17" t="inlineStr"/>
      <c r="AL138" s="17" t="inlineStr">
        <is>
          <t>Y</t>
        </is>
      </c>
      <c r="AM138" s="17" t="inlineStr">
        <is>
          <t>원료 제조로 시험실 관리 필요</t>
        </is>
      </c>
      <c r="AN138" s="17" t="inlineStr">
        <is>
          <t>미확인</t>
        </is>
      </c>
      <c r="AO138" s="17" t="inlineStr">
        <is>
          <t>미확인</t>
        </is>
      </c>
      <c r="AP138" s="17" t="inlineStr">
        <is>
          <t>미확인</t>
        </is>
      </c>
      <c r="AQ138" s="17" t="inlineStr">
        <is>
          <t>담당자 파악 후 접촉</t>
        </is>
      </c>
      <c r="AR138" s="17" t="inlineStr">
        <is>
          <t>2026-07-05</t>
        </is>
      </c>
      <c r="AS138" s="17" t="inlineStr">
        <is>
          <t>C(부분확인)</t>
        </is>
      </c>
      <c r="AT138" s="17" t="n">
        <v>90</v>
      </c>
      <c r="AU138" s="17" t="inlineStr"/>
      <c r="AV138" s="17" t="inlineStr"/>
    </row>
    <row r="139">
      <c r="A139" s="26" t="inlineStr">
        <is>
          <t>Tier B</t>
        </is>
      </c>
      <c r="B139" s="17" t="n">
        <v>21</v>
      </c>
      <c r="C139" s="17" t="inlineStr">
        <is>
          <t>대정화금(주)</t>
        </is>
      </c>
      <c r="D139" s="17" t="inlineStr">
        <is>
          <t>제1공장</t>
        </is>
      </c>
      <c r="E139" s="17" t="inlineStr">
        <is>
          <t>경기도</t>
        </is>
      </c>
      <c r="F139" s="17" t="inlineStr">
        <is>
          <t>시흥시</t>
        </is>
      </c>
      <c r="G139" s="17" t="n">
        <v>1</v>
      </c>
      <c r="H139" s="17" t="inlineStr"/>
      <c r="I139" s="17" t="inlineStr"/>
      <c r="J139" s="17" t="inlineStr"/>
      <c r="K139" s="17" t="inlineStr">
        <is>
          <t>Y</t>
        </is>
      </c>
      <c r="L139" s="22" t="inlineStr">
        <is>
          <t>미확인</t>
        </is>
      </c>
      <c r="M139" s="22" t="inlineStr">
        <is>
          <t>미확인</t>
        </is>
      </c>
      <c r="N139" s="22" t="inlineStr">
        <is>
          <t>미확인</t>
        </is>
      </c>
      <c r="O139" s="22" t="inlineStr">
        <is>
          <t>미확인</t>
        </is>
      </c>
      <c r="P139" s="17" t="inlineStr">
        <is>
          <t>QMS+LIMS</t>
        </is>
      </c>
      <c r="Q139" s="22" t="inlineStr">
        <is>
          <t>미확인</t>
        </is>
      </c>
      <c r="R139" s="22" t="inlineStr">
        <is>
          <t>미확인</t>
        </is>
      </c>
      <c r="S139" s="17" t="inlineStr">
        <is>
          <t>Tier D</t>
        </is>
      </c>
      <c r="T139" s="17" t="n">
        <v>10</v>
      </c>
      <c r="U139" s="17" t="inlineStr">
        <is>
          <t>C336</t>
        </is>
      </c>
      <c r="V139" s="17" t="inlineStr">
        <is>
          <t>대정화금</t>
        </is>
      </c>
      <c r="W139" s="17" t="inlineStr">
        <is>
          <t>Y</t>
        </is>
      </c>
      <c r="X139" s="17" t="inlineStr">
        <is>
          <t>코스닥</t>
        </is>
      </c>
      <c r="Y139" s="23" t="inlineStr">
        <is>
          <t>120240</t>
        </is>
      </c>
      <c r="Z139" s="17" t="inlineStr">
        <is>
          <t>송영준</t>
        </is>
      </c>
      <c r="AA139" s="17" t="inlineStr">
        <is>
          <t>http://www.daejung.kr</t>
        </is>
      </c>
      <c r="AB139" s="17" t="inlineStr">
        <is>
          <t>031-488-8821</t>
        </is>
      </c>
      <c r="AC139" s="17" t="inlineStr">
        <is>
          <t>미확인</t>
        </is>
      </c>
      <c r="AD139" s="17" t="inlineStr">
        <is>
          <t>Y</t>
        </is>
      </c>
      <c r="AE139" s="17" t="inlineStr">
        <is>
          <t>P405</t>
        </is>
      </c>
      <c r="AF139" s="17" t="inlineStr">
        <is>
          <t>경기도 시흥시 서해안로 186 (시화공단 1다 107) (정왕동)</t>
        </is>
      </c>
      <c r="AG139" s="17" t="inlineStr">
        <is>
          <t>원료의약품</t>
        </is>
      </c>
      <c r="AH139" s="17" t="inlineStr">
        <is>
          <t>비무균-일반제제-(정제(합성에 한함), 정제(발효에 한함)), 비무균-일반제제-소분</t>
        </is>
      </c>
      <c r="AI139" s="17" t="n">
        <v>1</v>
      </c>
      <c r="AJ139" s="24" t="n">
        <v>46479</v>
      </c>
      <c r="AK139" s="17" t="inlineStr"/>
      <c r="AL139" s="17" t="inlineStr">
        <is>
          <t>Y</t>
        </is>
      </c>
      <c r="AM139" s="17" t="inlineStr">
        <is>
          <t>원료 제조로 시험실 관리 필요</t>
        </is>
      </c>
      <c r="AN139" s="17" t="inlineStr">
        <is>
          <t>미확인</t>
        </is>
      </c>
      <c r="AO139" s="17" t="inlineStr">
        <is>
          <t>미확인</t>
        </is>
      </c>
      <c r="AP139" s="17" t="inlineStr">
        <is>
          <t>미확인</t>
        </is>
      </c>
      <c r="AQ139" s="17" t="inlineStr">
        <is>
          <t>담당자 파악 후 접촉</t>
        </is>
      </c>
      <c r="AR139" s="17" t="inlineStr">
        <is>
          <t>2026-07-05</t>
        </is>
      </c>
      <c r="AS139" s="17" t="inlineStr">
        <is>
          <t>C(부분확인)</t>
        </is>
      </c>
      <c r="AT139" s="17" t="n">
        <v>90</v>
      </c>
      <c r="AU139" s="17" t="inlineStr"/>
      <c r="AV139" s="17" t="inlineStr"/>
    </row>
    <row r="140">
      <c r="A140" s="26" t="inlineStr">
        <is>
          <t>Tier B</t>
        </is>
      </c>
      <c r="B140" s="17" t="n">
        <v>21</v>
      </c>
      <c r="C140" s="17" t="inlineStr">
        <is>
          <t>대한뉴팜(주)</t>
        </is>
      </c>
      <c r="D140" s="17" t="inlineStr">
        <is>
          <t>화성(보관소)</t>
        </is>
      </c>
      <c r="E140" s="17" t="inlineStr">
        <is>
          <t>경기도</t>
        </is>
      </c>
      <c r="F140" s="17" t="inlineStr">
        <is>
          <t>화성시</t>
        </is>
      </c>
      <c r="G140" s="17" t="n">
        <v>1</v>
      </c>
      <c r="H140" s="20" t="inlineStr">
        <is>
          <t>Y</t>
        </is>
      </c>
      <c r="I140" s="17" t="inlineStr"/>
      <c r="J140" s="17" t="inlineStr">
        <is>
          <t>Y</t>
        </is>
      </c>
      <c r="K140" s="17" t="inlineStr"/>
      <c r="L140" s="22" t="inlineStr">
        <is>
          <t>미확인</t>
        </is>
      </c>
      <c r="M140" s="22" t="inlineStr">
        <is>
          <t>미확인</t>
        </is>
      </c>
      <c r="N140" s="22" t="inlineStr">
        <is>
          <t>미확인</t>
        </is>
      </c>
      <c r="O140" s="22" t="inlineStr">
        <is>
          <t>미확인</t>
        </is>
      </c>
      <c r="P140" s="17" t="inlineStr">
        <is>
          <t>QMS+LIMS</t>
        </is>
      </c>
      <c r="Q140" s="22" t="inlineStr">
        <is>
          <t>미확인</t>
        </is>
      </c>
      <c r="R140" s="22" t="inlineStr">
        <is>
          <t>미확인</t>
        </is>
      </c>
      <c r="S140" s="17" t="inlineStr">
        <is>
          <t>Tier D</t>
        </is>
      </c>
      <c r="T140" s="17" t="n">
        <v>12</v>
      </c>
      <c r="U140" s="17" t="inlineStr">
        <is>
          <t>C095</t>
        </is>
      </c>
      <c r="V140" s="17" t="inlineStr">
        <is>
          <t>대한뉴팜</t>
        </is>
      </c>
      <c r="W140" s="17" t="inlineStr">
        <is>
          <t>Y</t>
        </is>
      </c>
      <c r="X140" s="17" t="inlineStr">
        <is>
          <t>코스닥</t>
        </is>
      </c>
      <c r="Y140" s="23" t="inlineStr">
        <is>
          <t>054670</t>
        </is>
      </c>
      <c r="Z140" s="17" t="inlineStr">
        <is>
          <t>이원석</t>
        </is>
      </c>
      <c r="AA140" s="17" t="inlineStr">
        <is>
          <t>http://www.dhnp.co.kr</t>
        </is>
      </c>
      <c r="AB140" s="17" t="inlineStr">
        <is>
          <t>미확인</t>
        </is>
      </c>
      <c r="AC140" s="17" t="inlineStr">
        <is>
          <t>미확인</t>
        </is>
      </c>
      <c r="AD140" s="17" t="inlineStr">
        <is>
          <t>Y</t>
        </is>
      </c>
      <c r="AE140" s="17" t="inlineStr">
        <is>
          <t>P098</t>
        </is>
      </c>
      <c r="AF140" s="17" t="inlineStr">
        <is>
          <t>경기도 화성시 만세구 향남읍 제약공단1길 66</t>
        </is>
      </c>
      <c r="AG140" s="17" t="inlineStr">
        <is>
          <t>완제의약품</t>
        </is>
      </c>
      <c r="AH140" s="17" t="inlineStr">
        <is>
          <t>비무균-일반제제-내용고형제(정제, 캡슐제), 무균-일반제제-주사제(주사제, 동결건조주사제)</t>
        </is>
      </c>
      <c r="AI140" s="17" t="n">
        <v>1</v>
      </c>
      <c r="AJ140" s="24" t="n">
        <v>47087</v>
      </c>
      <c r="AK140" s="17" t="inlineStr"/>
      <c r="AL140" s="17" t="inlineStr"/>
      <c r="AM140" s="17" t="inlineStr">
        <is>
          <t>무균/바이오 제조로 품질관리 난도 높음</t>
        </is>
      </c>
      <c r="AN140" s="17" t="inlineStr">
        <is>
          <t>미확인</t>
        </is>
      </c>
      <c r="AO140" s="17" t="inlineStr">
        <is>
          <t>미확인</t>
        </is>
      </c>
      <c r="AP140" s="17" t="inlineStr">
        <is>
          <t>미확인</t>
        </is>
      </c>
      <c r="AQ140" s="17" t="inlineStr">
        <is>
          <t>담당자 파악 후 접촉</t>
        </is>
      </c>
      <c r="AR140" s="17" t="inlineStr">
        <is>
          <t>2026-07-05</t>
        </is>
      </c>
      <c r="AS140" s="17" t="inlineStr">
        <is>
          <t>C(부분확인)</t>
        </is>
      </c>
      <c r="AT140" s="17" t="n">
        <v>90</v>
      </c>
      <c r="AU140" s="17" t="inlineStr"/>
      <c r="AV140" s="17" t="inlineStr"/>
    </row>
    <row r="141">
      <c r="A141" s="26" t="inlineStr">
        <is>
          <t>Tier B</t>
        </is>
      </c>
      <c r="B141" s="17" t="n">
        <v>21</v>
      </c>
      <c r="C141" s="17" t="inlineStr">
        <is>
          <t>삼성제약(주)</t>
        </is>
      </c>
      <c r="D141" s="17" t="inlineStr">
        <is>
          <t>제1공장</t>
        </is>
      </c>
      <c r="E141" s="17" t="inlineStr">
        <is>
          <t>경기도</t>
        </is>
      </c>
      <c r="F141" s="17" t="inlineStr">
        <is>
          <t>화성시</t>
        </is>
      </c>
      <c r="G141" s="17" t="n">
        <v>1</v>
      </c>
      <c r="H141" s="20" t="inlineStr">
        <is>
          <t>Y</t>
        </is>
      </c>
      <c r="I141" s="17" t="inlineStr"/>
      <c r="J141" s="17" t="inlineStr">
        <is>
          <t>Y</t>
        </is>
      </c>
      <c r="K141" s="17" t="inlineStr"/>
      <c r="L141" s="22" t="inlineStr">
        <is>
          <t>미확인</t>
        </is>
      </c>
      <c r="M141" s="22" t="inlineStr">
        <is>
          <t>미확인</t>
        </is>
      </c>
      <c r="N141" s="22" t="inlineStr">
        <is>
          <t>미확인</t>
        </is>
      </c>
      <c r="O141" s="22" t="inlineStr">
        <is>
          <t>미확인</t>
        </is>
      </c>
      <c r="P141" s="17" t="inlineStr">
        <is>
          <t>QMS+LIMS</t>
        </is>
      </c>
      <c r="Q141" s="22" t="inlineStr">
        <is>
          <t>미확인</t>
        </is>
      </c>
      <c r="R141" s="22" t="inlineStr">
        <is>
          <t>미확인</t>
        </is>
      </c>
      <c r="S141" s="17" t="inlineStr">
        <is>
          <t>Tier D</t>
        </is>
      </c>
      <c r="T141" s="17" t="n">
        <v>12</v>
      </c>
      <c r="U141" s="17" t="inlineStr">
        <is>
          <t>C045</t>
        </is>
      </c>
      <c r="V141" s="17" t="inlineStr">
        <is>
          <t>삼성제약</t>
        </is>
      </c>
      <c r="W141" s="17" t="inlineStr">
        <is>
          <t>Y</t>
        </is>
      </c>
      <c r="X141" s="17" t="inlineStr">
        <is>
          <t>유가</t>
        </is>
      </c>
      <c r="Y141" s="23" t="inlineStr">
        <is>
          <t>001360</t>
        </is>
      </c>
      <c r="Z141" s="17" t="inlineStr">
        <is>
          <t>정성택 대표이사</t>
        </is>
      </c>
      <c r="AA141" s="17" t="inlineStr">
        <is>
          <t>http://www.sspharm.co.kr</t>
        </is>
      </c>
      <c r="AB141" s="17" t="inlineStr">
        <is>
          <t>미확인</t>
        </is>
      </c>
      <c r="AC141" s="17" t="inlineStr">
        <is>
          <t>미확인</t>
        </is>
      </c>
      <c r="AD141" s="17" t="inlineStr">
        <is>
          <t>Y</t>
        </is>
      </c>
      <c r="AE141" s="17" t="inlineStr">
        <is>
          <t>P045</t>
        </is>
      </c>
      <c r="AF141" s="17" t="inlineStr">
        <is>
          <t>경기도 화성시 향남읍 제약공단4길 10</t>
        </is>
      </c>
      <c r="AG141" s="17" t="inlineStr">
        <is>
          <t>완제의약품</t>
        </is>
      </c>
      <c r="AH141" s="17" t="inlineStr">
        <is>
          <t>무균-일반제제-주사제(동결건조주사제)</t>
        </is>
      </c>
      <c r="AI141" s="17" t="n">
        <v>1</v>
      </c>
      <c r="AJ141" s="24" t="n">
        <v>47221</v>
      </c>
      <c r="AK141" s="17" t="inlineStr"/>
      <c r="AL141" s="17" t="inlineStr"/>
      <c r="AM141" s="17" t="inlineStr">
        <is>
          <t>무균/바이오 제조로 품질관리 난도 높음</t>
        </is>
      </c>
      <c r="AN141" s="17" t="inlineStr">
        <is>
          <t>미확인</t>
        </is>
      </c>
      <c r="AO141" s="17" t="inlineStr">
        <is>
          <t>미확인</t>
        </is>
      </c>
      <c r="AP141" s="17" t="inlineStr">
        <is>
          <t>미확인</t>
        </is>
      </c>
      <c r="AQ141" s="17" t="inlineStr">
        <is>
          <t>담당자 파악 후 접촉</t>
        </is>
      </c>
      <c r="AR141" s="17" t="inlineStr">
        <is>
          <t>2026-07-05</t>
        </is>
      </c>
      <c r="AS141" s="17" t="inlineStr">
        <is>
          <t>C(부분확인)</t>
        </is>
      </c>
      <c r="AT141" s="17" t="n">
        <v>90</v>
      </c>
      <c r="AU141" s="17" t="inlineStr"/>
      <c r="AV141" s="17" t="inlineStr"/>
    </row>
    <row r="142">
      <c r="A142" s="26" t="inlineStr">
        <is>
          <t>Tier B</t>
        </is>
      </c>
      <c r="B142" s="17" t="n">
        <v>21</v>
      </c>
      <c r="C142" s="17" t="inlineStr">
        <is>
          <t>우진비앤지(주)</t>
        </is>
      </c>
      <c r="D142" s="17" t="inlineStr">
        <is>
          <t>화성</t>
        </is>
      </c>
      <c r="E142" s="17" t="inlineStr">
        <is>
          <t>경기도</t>
        </is>
      </c>
      <c r="F142" s="17" t="inlineStr">
        <is>
          <t>화성시</t>
        </is>
      </c>
      <c r="G142" s="17" t="n">
        <v>1</v>
      </c>
      <c r="H142" s="17" t="inlineStr"/>
      <c r="I142" s="17" t="inlineStr"/>
      <c r="J142" s="17" t="inlineStr"/>
      <c r="K142" s="17" t="inlineStr">
        <is>
          <t>Y</t>
        </is>
      </c>
      <c r="L142" s="22" t="inlineStr">
        <is>
          <t>미확인</t>
        </is>
      </c>
      <c r="M142" s="22" t="inlineStr">
        <is>
          <t>미확인</t>
        </is>
      </c>
      <c r="N142" s="22" t="inlineStr">
        <is>
          <t>미확인</t>
        </is>
      </c>
      <c r="O142" s="22" t="inlineStr">
        <is>
          <t>미확인</t>
        </is>
      </c>
      <c r="P142" s="17" t="inlineStr">
        <is>
          <t>QMS+LIMS</t>
        </is>
      </c>
      <c r="Q142" s="22" t="inlineStr">
        <is>
          <t>미확인</t>
        </is>
      </c>
      <c r="R142" s="22" t="inlineStr">
        <is>
          <t>미확인</t>
        </is>
      </c>
      <c r="S142" s="17" t="inlineStr">
        <is>
          <t>Tier D</t>
        </is>
      </c>
      <c r="T142" s="17" t="n">
        <v>10</v>
      </c>
      <c r="U142" s="17" t="inlineStr">
        <is>
          <t>C353</t>
        </is>
      </c>
      <c r="V142" s="17" t="inlineStr">
        <is>
          <t>우진비앤지</t>
        </is>
      </c>
      <c r="W142" s="17" t="inlineStr">
        <is>
          <t>Y</t>
        </is>
      </c>
      <c r="X142" s="17" t="inlineStr">
        <is>
          <t>코스닥</t>
        </is>
      </c>
      <c r="Y142" s="23" t="inlineStr">
        <is>
          <t>018620</t>
        </is>
      </c>
      <c r="Z142" s="17" t="inlineStr">
        <is>
          <t>강재구</t>
        </is>
      </c>
      <c r="AA142" s="17" t="inlineStr">
        <is>
          <t>http://www.woogenebng.com</t>
        </is>
      </c>
      <c r="AB142" s="17" t="inlineStr">
        <is>
          <t>031-352-0185</t>
        </is>
      </c>
      <c r="AC142" s="17" t="inlineStr">
        <is>
          <t>미확인</t>
        </is>
      </c>
      <c r="AD142" s="17" t="inlineStr">
        <is>
          <t>Y</t>
        </is>
      </c>
      <c r="AE142" s="17" t="inlineStr">
        <is>
          <t>P426</t>
        </is>
      </c>
      <c r="AF142" s="17" t="inlineStr">
        <is>
          <t>경기도 화성시 양감면 정문송산로 230</t>
        </is>
      </c>
      <c r="AG142" s="17" t="inlineStr">
        <is>
          <t>원료의약품</t>
        </is>
      </c>
      <c r="AH142" s="17" t="inlineStr">
        <is>
          <t>비무균-일반제제-발효</t>
        </is>
      </c>
      <c r="AI142" s="17" t="n">
        <v>1</v>
      </c>
      <c r="AJ142" s="24" t="n">
        <v>46445</v>
      </c>
      <c r="AK142" s="17" t="inlineStr"/>
      <c r="AL142" s="17" t="inlineStr">
        <is>
          <t>Y</t>
        </is>
      </c>
      <c r="AM142" s="17" t="inlineStr">
        <is>
          <t>원료 제조로 시험실 관리 필요</t>
        </is>
      </c>
      <c r="AN142" s="17" t="inlineStr">
        <is>
          <t>미확인</t>
        </is>
      </c>
      <c r="AO142" s="17" t="inlineStr">
        <is>
          <t>미확인</t>
        </is>
      </c>
      <c r="AP142" s="17" t="inlineStr">
        <is>
          <t>미확인</t>
        </is>
      </c>
      <c r="AQ142" s="17" t="inlineStr">
        <is>
          <t>담당자 파악 후 접촉</t>
        </is>
      </c>
      <c r="AR142" s="17" t="inlineStr">
        <is>
          <t>2026-07-05</t>
        </is>
      </c>
      <c r="AS142" s="17" t="inlineStr">
        <is>
          <t>C(부분확인)</t>
        </is>
      </c>
      <c r="AT142" s="17" t="n">
        <v>90</v>
      </c>
      <c r="AU142" s="17" t="inlineStr"/>
      <c r="AV142" s="17" t="inlineStr"/>
    </row>
    <row r="143">
      <c r="A143" s="26" t="inlineStr">
        <is>
          <t>Tier B</t>
        </is>
      </c>
      <c r="B143" s="17" t="n">
        <v>21</v>
      </c>
      <c r="C143" s="17" t="inlineStr">
        <is>
          <t>일성아이에스(주)</t>
        </is>
      </c>
      <c r="D143" s="17" t="inlineStr">
        <is>
          <t>안산</t>
        </is>
      </c>
      <c r="E143" s="17" t="inlineStr">
        <is>
          <t>경기도</t>
        </is>
      </c>
      <c r="F143" s="17" t="inlineStr">
        <is>
          <t>안산시</t>
        </is>
      </c>
      <c r="G143" s="17" t="n">
        <v>1</v>
      </c>
      <c r="H143" s="20" t="inlineStr">
        <is>
          <t>Y</t>
        </is>
      </c>
      <c r="I143" s="17" t="inlineStr"/>
      <c r="J143" s="17" t="inlineStr">
        <is>
          <t>Y</t>
        </is>
      </c>
      <c r="K143" s="17" t="inlineStr"/>
      <c r="L143" s="22" t="inlineStr">
        <is>
          <t>미확인</t>
        </is>
      </c>
      <c r="M143" s="22" t="inlineStr">
        <is>
          <t>미확인</t>
        </is>
      </c>
      <c r="N143" s="22" t="inlineStr">
        <is>
          <t>미확인</t>
        </is>
      </c>
      <c r="O143" s="22" t="inlineStr">
        <is>
          <t>미확인</t>
        </is>
      </c>
      <c r="P143" s="17" t="inlineStr">
        <is>
          <t>QMS+LIMS</t>
        </is>
      </c>
      <c r="Q143" s="22" t="inlineStr">
        <is>
          <t>미확인</t>
        </is>
      </c>
      <c r="R143" s="22" t="inlineStr">
        <is>
          <t>미확인</t>
        </is>
      </c>
      <c r="S143" s="17" t="inlineStr">
        <is>
          <t>Tier D</t>
        </is>
      </c>
      <c r="T143" s="17" t="n">
        <v>15</v>
      </c>
      <c r="U143" s="17" t="inlineStr">
        <is>
          <t>C175</t>
        </is>
      </c>
      <c r="V143" s="17" t="inlineStr">
        <is>
          <t>일성아이에스</t>
        </is>
      </c>
      <c r="W143" s="17" t="inlineStr">
        <is>
          <t>Y</t>
        </is>
      </c>
      <c r="X143" s="17" t="inlineStr">
        <is>
          <t>유가</t>
        </is>
      </c>
      <c r="Y143" s="23" t="inlineStr">
        <is>
          <t>003120</t>
        </is>
      </c>
      <c r="Z143" s="17" t="inlineStr">
        <is>
          <t>윤석근, 엄대식, 윤종호(각자대표)</t>
        </is>
      </c>
      <c r="AA143" s="17" t="inlineStr">
        <is>
          <t>http://www.ilsungis.com</t>
        </is>
      </c>
      <c r="AB143" s="17" t="inlineStr">
        <is>
          <t>031-490-3400</t>
        </is>
      </c>
      <c r="AC143" s="17" t="inlineStr">
        <is>
          <t>미확인</t>
        </is>
      </c>
      <c r="AD143" s="17" t="inlineStr">
        <is>
          <t>Y</t>
        </is>
      </c>
      <c r="AE143" s="17" t="inlineStr">
        <is>
          <t>P188</t>
        </is>
      </c>
      <c r="AF143" s="17" t="inlineStr">
        <is>
          <t>경기도 안산시 단원구 산단로 349 (B동제외,D동일부제외)</t>
        </is>
      </c>
      <c r="AG143" s="17" t="inlineStr">
        <is>
          <t>완제의약품</t>
        </is>
      </c>
      <c r="AH143" s="17" t="inlineStr">
        <is>
          <t>비무균-일반제제-내용고형제(정제, 캡슐제), 비무균-페니실린제제-내용고형제(정제, 시럽제(고형)), 무균-일반제제-주사제(주사제, 수액제), 비무균-일반제제-내용액제(흡입제(액상))</t>
        </is>
      </c>
      <c r="AI143" s="17" t="n">
        <v>1</v>
      </c>
      <c r="AJ143" s="24" t="n">
        <v>46934</v>
      </c>
      <c r="AK143" s="17" t="inlineStr"/>
      <c r="AL143" s="17" t="inlineStr"/>
      <c r="AM143" s="17" t="inlineStr">
        <is>
          <t>무균/바이오 제조로 품질관리 난도 높음</t>
        </is>
      </c>
      <c r="AN143" s="17" t="inlineStr">
        <is>
          <t>미확인</t>
        </is>
      </c>
      <c r="AO143" s="17" t="inlineStr">
        <is>
          <t>미확인</t>
        </is>
      </c>
      <c r="AP143" s="17" t="inlineStr">
        <is>
          <t>미확인</t>
        </is>
      </c>
      <c r="AQ143" s="17" t="inlineStr">
        <is>
          <t>담당자 파악 후 접촉</t>
        </is>
      </c>
      <c r="AR143" s="17" t="inlineStr">
        <is>
          <t>2026-07-05</t>
        </is>
      </c>
      <c r="AS143" s="17" t="inlineStr">
        <is>
          <t>C(부분확인)</t>
        </is>
      </c>
      <c r="AT143" s="17" t="n">
        <v>90</v>
      </c>
      <c r="AU143" s="17" t="inlineStr"/>
      <c r="AV143" s="17" t="inlineStr"/>
    </row>
    <row r="144">
      <c r="A144" s="26" t="inlineStr">
        <is>
          <t>Tier B</t>
        </is>
      </c>
      <c r="B144" s="17" t="n">
        <v>21</v>
      </c>
      <c r="C144" s="17" t="inlineStr">
        <is>
          <t>주식회사큐라티스</t>
        </is>
      </c>
      <c r="D144" s="17" t="inlineStr">
        <is>
          <t>1공장</t>
        </is>
      </c>
      <c r="E144" s="17" t="inlineStr">
        <is>
          <t>충청북도</t>
        </is>
      </c>
      <c r="F144" s="17" t="inlineStr">
        <is>
          <t>청주시</t>
        </is>
      </c>
      <c r="G144" s="17" t="n">
        <v>1</v>
      </c>
      <c r="H144" s="20" t="inlineStr">
        <is>
          <t>Y</t>
        </is>
      </c>
      <c r="I144" s="17" t="inlineStr"/>
      <c r="J144" s="17" t="inlineStr">
        <is>
          <t>Y</t>
        </is>
      </c>
      <c r="K144" s="17" t="inlineStr"/>
      <c r="L144" s="22" t="inlineStr">
        <is>
          <t>미확인</t>
        </is>
      </c>
      <c r="M144" s="22" t="inlineStr">
        <is>
          <t>미확인</t>
        </is>
      </c>
      <c r="N144" s="22" t="inlineStr">
        <is>
          <t>미확인</t>
        </is>
      </c>
      <c r="O144" s="22" t="inlineStr">
        <is>
          <t>미확인</t>
        </is>
      </c>
      <c r="P144" s="17" t="inlineStr">
        <is>
          <t>QMS+LIMS</t>
        </is>
      </c>
      <c r="Q144" s="22" t="inlineStr">
        <is>
          <t>미확인</t>
        </is>
      </c>
      <c r="R144" s="22" t="inlineStr">
        <is>
          <t>미확인</t>
        </is>
      </c>
      <c r="S144" s="17" t="inlineStr">
        <is>
          <t>Tier D</t>
        </is>
      </c>
      <c r="T144" s="17" t="n">
        <v>15</v>
      </c>
      <c r="U144" s="17" t="inlineStr">
        <is>
          <t>C275</t>
        </is>
      </c>
      <c r="V144" s="17" t="inlineStr">
        <is>
          <t>큐라티스</t>
        </is>
      </c>
      <c r="W144" s="17" t="inlineStr">
        <is>
          <t>Y</t>
        </is>
      </c>
      <c r="X144" s="17" t="inlineStr">
        <is>
          <t>코스닥</t>
        </is>
      </c>
      <c r="Y144" s="23" t="inlineStr">
        <is>
          <t>348080</t>
        </is>
      </c>
      <c r="Z144" s="17" t="inlineStr">
        <is>
          <t>김성준</t>
        </is>
      </c>
      <c r="AA144" s="17" t="inlineStr">
        <is>
          <t>http://quratis.com</t>
        </is>
      </c>
      <c r="AB144" s="17" t="inlineStr">
        <is>
          <t>043-904-7002</t>
        </is>
      </c>
      <c r="AC144" s="17" t="inlineStr">
        <is>
          <t>미확인</t>
        </is>
      </c>
      <c r="AD144" s="17" t="inlineStr">
        <is>
          <t>Y</t>
        </is>
      </c>
      <c r="AE144" s="17" t="inlineStr">
        <is>
          <t>P330</t>
        </is>
      </c>
      <c r="AF144" s="17" t="inlineStr">
        <is>
          <t>충청북도 청주시 흥덕구 오송읍 의료단지길 143</t>
        </is>
      </c>
      <c r="AG144" s="17" t="inlineStr">
        <is>
          <t>완제의약품</t>
        </is>
      </c>
      <c r="AH144" s="17" t="inlineStr">
        <is>
          <t>무균-일반제제-주사제(주사제)</t>
        </is>
      </c>
      <c r="AI144" s="17" t="n">
        <v>1</v>
      </c>
      <c r="AJ144" s="24" t="n">
        <v>46676</v>
      </c>
      <c r="AK144" s="17" t="inlineStr"/>
      <c r="AL144" s="17" t="inlineStr"/>
      <c r="AM144" s="17" t="inlineStr">
        <is>
          <t>무균/바이오 제조로 품질관리 난도 높음</t>
        </is>
      </c>
      <c r="AN144" s="17" t="inlineStr">
        <is>
          <t>미확인</t>
        </is>
      </c>
      <c r="AO144" s="17" t="inlineStr">
        <is>
          <t>미확인</t>
        </is>
      </c>
      <c r="AP144" s="17" t="inlineStr">
        <is>
          <t>미확인</t>
        </is>
      </c>
      <c r="AQ144" s="17" t="inlineStr">
        <is>
          <t>담당자 파악 후 접촉</t>
        </is>
      </c>
      <c r="AR144" s="17" t="inlineStr">
        <is>
          <t>2026-07-05</t>
        </is>
      </c>
      <c r="AS144" s="17" t="inlineStr">
        <is>
          <t>C(부분확인)</t>
        </is>
      </c>
      <c r="AT144" s="17" t="n">
        <v>90</v>
      </c>
      <c r="AU144" s="17" t="inlineStr"/>
      <c r="AV144" s="17" t="inlineStr"/>
    </row>
    <row r="145">
      <c r="A145" s="26" t="inlineStr">
        <is>
          <t>Tier B</t>
        </is>
      </c>
      <c r="B145" s="17" t="n">
        <v>21</v>
      </c>
      <c r="C145" s="17" t="inlineStr">
        <is>
          <t>코오롱생명과학(주)</t>
        </is>
      </c>
      <c r="D145" s="17" t="inlineStr">
        <is>
          <t>충주</t>
        </is>
      </c>
      <c r="E145" s="17" t="inlineStr">
        <is>
          <t>충청북도</t>
        </is>
      </c>
      <c r="F145" s="17" t="inlineStr">
        <is>
          <t>충주시</t>
        </is>
      </c>
      <c r="G145" s="17" t="n">
        <v>1</v>
      </c>
      <c r="H145" s="17" t="inlineStr"/>
      <c r="I145" s="17" t="inlineStr"/>
      <c r="J145" s="17" t="inlineStr"/>
      <c r="K145" s="17" t="inlineStr">
        <is>
          <t>Y</t>
        </is>
      </c>
      <c r="L145" s="22" t="inlineStr">
        <is>
          <t>미확인</t>
        </is>
      </c>
      <c r="M145" s="22" t="inlineStr">
        <is>
          <t>미확인</t>
        </is>
      </c>
      <c r="N145" s="22" t="inlineStr">
        <is>
          <t>미확인</t>
        </is>
      </c>
      <c r="O145" s="22" t="inlineStr">
        <is>
          <t>미확인</t>
        </is>
      </c>
      <c r="P145" s="17" t="inlineStr">
        <is>
          <t>QMS+LIMS</t>
        </is>
      </c>
      <c r="Q145" s="22" t="inlineStr">
        <is>
          <t>미확인</t>
        </is>
      </c>
      <c r="R145" s="22" t="inlineStr">
        <is>
          <t>미확인</t>
        </is>
      </c>
      <c r="S145" s="17" t="inlineStr">
        <is>
          <t>Tier D</t>
        </is>
      </c>
      <c r="T145" s="17" t="n">
        <v>7</v>
      </c>
      <c r="U145" s="17" t="inlineStr">
        <is>
          <t>C299</t>
        </is>
      </c>
      <c r="V145" s="17" t="inlineStr">
        <is>
          <t>코오롱생명과학</t>
        </is>
      </c>
      <c r="W145" s="17" t="inlineStr">
        <is>
          <t>Y</t>
        </is>
      </c>
      <c r="X145" s="17" t="inlineStr">
        <is>
          <t>코스닥</t>
        </is>
      </c>
      <c r="Y145" s="23" t="inlineStr">
        <is>
          <t>102940</t>
        </is>
      </c>
      <c r="Z145" s="17" t="inlineStr">
        <is>
          <t>이한국</t>
        </is>
      </c>
      <c r="AA145" s="17" t="inlineStr"/>
      <c r="AB145" s="17" t="inlineStr">
        <is>
          <t>043-880-3336</t>
        </is>
      </c>
      <c r="AC145" s="17" t="inlineStr">
        <is>
          <t>미확인</t>
        </is>
      </c>
      <c r="AD145" s="17" t="inlineStr">
        <is>
          <t>Y</t>
        </is>
      </c>
      <c r="AE145" s="17" t="inlineStr">
        <is>
          <t>P361</t>
        </is>
      </c>
      <c r="AF145" s="17" t="inlineStr">
        <is>
          <t>충청북도 충주시 대소원면 기업도시1로 54</t>
        </is>
      </c>
      <c r="AG145" s="17" t="inlineStr">
        <is>
          <t>원료의약품</t>
        </is>
      </c>
      <c r="AH145" s="17" t="inlineStr">
        <is>
          <t>비무균-일반제제-합성, 비무균-일반제제-추출</t>
        </is>
      </c>
      <c r="AI145" s="17" t="n">
        <v>1</v>
      </c>
      <c r="AJ145" s="24" t="n">
        <v>46572</v>
      </c>
      <c r="AK145" s="17" t="inlineStr"/>
      <c r="AL145" s="17" t="inlineStr">
        <is>
          <t>Y</t>
        </is>
      </c>
      <c r="AM145" s="17" t="inlineStr">
        <is>
          <t>원료 제조로 시험실 관리 필요</t>
        </is>
      </c>
      <c r="AN145" s="17" t="inlineStr">
        <is>
          <t>미확인</t>
        </is>
      </c>
      <c r="AO145" s="17" t="inlineStr">
        <is>
          <t>미확인</t>
        </is>
      </c>
      <c r="AP145" s="17" t="inlineStr">
        <is>
          <t>미확인</t>
        </is>
      </c>
      <c r="AQ145" s="17" t="inlineStr">
        <is>
          <t>담당자 파악 후 접촉</t>
        </is>
      </c>
      <c r="AR145" s="17" t="inlineStr">
        <is>
          <t>2026-07-05</t>
        </is>
      </c>
      <c r="AS145" s="17" t="inlineStr">
        <is>
          <t>C(부분확인)</t>
        </is>
      </c>
      <c r="AT145" s="17" t="n">
        <v>90</v>
      </c>
      <c r="AU145" s="17" t="inlineStr"/>
      <c r="AV145" s="17" t="inlineStr"/>
    </row>
    <row r="146">
      <c r="A146" s="26" t="inlineStr">
        <is>
          <t>Tier B</t>
        </is>
      </c>
      <c r="B146" s="17" t="n">
        <v>21</v>
      </c>
      <c r="C146" s="17" t="inlineStr">
        <is>
          <t>한국유니온제약(주)</t>
        </is>
      </c>
      <c r="D146" s="17" t="inlineStr">
        <is>
          <t>제2공장</t>
        </is>
      </c>
      <c r="E146" s="17" t="inlineStr">
        <is>
          <t>강원특별자치도</t>
        </is>
      </c>
      <c r="F146" s="17" t="inlineStr">
        <is>
          <t>원주시</t>
        </is>
      </c>
      <c r="G146" s="17" t="n">
        <v>1</v>
      </c>
      <c r="H146" s="20" t="inlineStr">
        <is>
          <t>Y</t>
        </is>
      </c>
      <c r="I146" s="17" t="inlineStr"/>
      <c r="J146" s="17" t="inlineStr">
        <is>
          <t>Y</t>
        </is>
      </c>
      <c r="K146" s="17" t="inlineStr"/>
      <c r="L146" s="22" t="inlineStr">
        <is>
          <t>미확인</t>
        </is>
      </c>
      <c r="M146" s="22" t="inlineStr">
        <is>
          <t>미확인</t>
        </is>
      </c>
      <c r="N146" s="22" t="inlineStr">
        <is>
          <t>미확인</t>
        </is>
      </c>
      <c r="O146" s="22" t="inlineStr">
        <is>
          <t>미확인</t>
        </is>
      </c>
      <c r="P146" s="17" t="inlineStr">
        <is>
          <t>QMS+LIMS</t>
        </is>
      </c>
      <c r="Q146" s="22" t="inlineStr">
        <is>
          <t>미확인</t>
        </is>
      </c>
      <c r="R146" s="22" t="inlineStr">
        <is>
          <t>미확인</t>
        </is>
      </c>
      <c r="S146" s="17" t="inlineStr">
        <is>
          <t>Tier D</t>
        </is>
      </c>
      <c r="T146" s="17" t="n">
        <v>12</v>
      </c>
      <c r="U146" s="17" t="inlineStr">
        <is>
          <t>C099</t>
        </is>
      </c>
      <c r="V146" s="17" t="inlineStr">
        <is>
          <t>한국유니온제약</t>
        </is>
      </c>
      <c r="W146" s="17" t="inlineStr">
        <is>
          <t>Y</t>
        </is>
      </c>
      <c r="X146" s="17" t="inlineStr">
        <is>
          <t>코스닥</t>
        </is>
      </c>
      <c r="Y146" s="23" t="inlineStr">
        <is>
          <t>080720</t>
        </is>
      </c>
      <c r="Z146" s="17" t="inlineStr">
        <is>
          <t>정근호</t>
        </is>
      </c>
      <c r="AA146" s="17" t="inlineStr">
        <is>
          <t>http://www.ukp.co.kr/</t>
        </is>
      </c>
      <c r="AB146" s="17" t="inlineStr">
        <is>
          <t>미확인</t>
        </is>
      </c>
      <c r="AC146" s="17" t="inlineStr">
        <is>
          <t>미확인</t>
        </is>
      </c>
      <c r="AD146" s="17" t="inlineStr">
        <is>
          <t>Y</t>
        </is>
      </c>
      <c r="AE146" s="17" t="inlineStr">
        <is>
          <t>P102</t>
        </is>
      </c>
      <c r="AF146" s="17" t="inlineStr">
        <is>
          <t>강원특별자치도 원주시 문막읍 문막공단길 247 A동 1층, 2층, C동, D동(시험동) 2층, 3층, E동(완제보관소)</t>
        </is>
      </c>
      <c r="AG146" s="17" t="inlineStr">
        <is>
          <t>완제의약품</t>
        </is>
      </c>
      <c r="AH146" s="17" t="inlineStr">
        <is>
          <t>비무균-일반제제-내용고형제(정제, 캡슐제), 무균-세팔로스포린제제-주사제(분말주사제), 무균-일반제제-주사제(주사제)</t>
        </is>
      </c>
      <c r="AI146" s="17" t="n">
        <v>1</v>
      </c>
      <c r="AJ146" s="24" t="n">
        <v>47079</v>
      </c>
      <c r="AK146" s="17" t="inlineStr"/>
      <c r="AL146" s="17" t="inlineStr"/>
      <c r="AM146" s="17" t="inlineStr">
        <is>
          <t>무균/바이오 제조로 품질관리 난도 높음</t>
        </is>
      </c>
      <c r="AN146" s="17" t="inlineStr">
        <is>
          <t>미확인</t>
        </is>
      </c>
      <c r="AO146" s="17" t="inlineStr">
        <is>
          <t>미확인</t>
        </is>
      </c>
      <c r="AP146" s="17" t="inlineStr">
        <is>
          <t>미확인</t>
        </is>
      </c>
      <c r="AQ146" s="17" t="inlineStr">
        <is>
          <t>담당자 파악 후 접촉</t>
        </is>
      </c>
      <c r="AR146" s="17" t="inlineStr">
        <is>
          <t>2026-07-05</t>
        </is>
      </c>
      <c r="AS146" s="17" t="inlineStr">
        <is>
          <t>C(부분확인)</t>
        </is>
      </c>
      <c r="AT146" s="17" t="n">
        <v>90</v>
      </c>
      <c r="AU146" s="17" t="inlineStr"/>
      <c r="AV146" s="17" t="inlineStr"/>
    </row>
    <row r="147">
      <c r="A147" s="26" t="inlineStr">
        <is>
          <t>Tier B</t>
        </is>
      </c>
      <c r="B147" s="17" t="n">
        <v>21</v>
      </c>
      <c r="C147" s="17" t="inlineStr">
        <is>
          <t>한올바이오파마(주)</t>
        </is>
      </c>
      <c r="D147" s="17" t="inlineStr">
        <is>
          <t>대전</t>
        </is>
      </c>
      <c r="E147" s="17" t="inlineStr">
        <is>
          <t>대전광역시</t>
        </is>
      </c>
      <c r="F147" s="17" t="inlineStr">
        <is>
          <t>대덕구</t>
        </is>
      </c>
      <c r="G147" s="17" t="n">
        <v>1</v>
      </c>
      <c r="H147" s="20" t="inlineStr">
        <is>
          <t>Y</t>
        </is>
      </c>
      <c r="I147" s="17" t="inlineStr"/>
      <c r="J147" s="17" t="inlineStr">
        <is>
          <t>Y</t>
        </is>
      </c>
      <c r="K147" s="17" t="inlineStr"/>
      <c r="L147" s="22" t="inlineStr">
        <is>
          <t>미확인</t>
        </is>
      </c>
      <c r="M147" s="22" t="inlineStr">
        <is>
          <t>미확인</t>
        </is>
      </c>
      <c r="N147" s="22" t="inlineStr">
        <is>
          <t>미확인</t>
        </is>
      </c>
      <c r="O147" s="22" t="inlineStr">
        <is>
          <t>미확인</t>
        </is>
      </c>
      <c r="P147" s="17" t="inlineStr">
        <is>
          <t>QMS+LIMS</t>
        </is>
      </c>
      <c r="Q147" s="22" t="inlineStr">
        <is>
          <t>미확인</t>
        </is>
      </c>
      <c r="R147" s="22" t="inlineStr">
        <is>
          <t>미확인</t>
        </is>
      </c>
      <c r="S147" s="17" t="inlineStr">
        <is>
          <t>Tier D</t>
        </is>
      </c>
      <c r="T147" s="17" t="n">
        <v>15</v>
      </c>
      <c r="U147" s="17" t="inlineStr">
        <is>
          <t>C131</t>
        </is>
      </c>
      <c r="V147" s="17" t="inlineStr">
        <is>
          <t>한올바이오파마</t>
        </is>
      </c>
      <c r="W147" s="17" t="inlineStr">
        <is>
          <t>Y</t>
        </is>
      </c>
      <c r="X147" s="17" t="inlineStr">
        <is>
          <t>유가</t>
        </is>
      </c>
      <c r="Y147" s="23" t="inlineStr">
        <is>
          <t>009420</t>
        </is>
      </c>
      <c r="Z147" s="17" t="inlineStr">
        <is>
          <t>박수진,박승국(공동대표이사)</t>
        </is>
      </c>
      <c r="AA147" s="17" t="inlineStr">
        <is>
          <t>http://www.hanall.co.kr</t>
        </is>
      </c>
      <c r="AB147" s="17" t="inlineStr">
        <is>
          <t>042-454-6105</t>
        </is>
      </c>
      <c r="AC147" s="17" t="inlineStr">
        <is>
          <t>미확인</t>
        </is>
      </c>
      <c r="AD147" s="17" t="inlineStr">
        <is>
          <t>Y</t>
        </is>
      </c>
      <c r="AE147" s="17" t="inlineStr">
        <is>
          <t>P137</t>
        </is>
      </c>
      <c r="AF147" s="17" t="inlineStr">
        <is>
          <t>대전광역시 대덕구 상서당1길 43</t>
        </is>
      </c>
      <c r="AG147" s="17" t="inlineStr">
        <is>
          <t>완제의약품</t>
        </is>
      </c>
      <c r="AH147" s="17" t="inlineStr">
        <is>
          <t>비무균-일반제제-내용고형제(정제, 캡슐제), 무균-일반제제-주사제(주사제, 수액제), 비무균-일반제제-연고제(연고제, 크림제, 겔제)</t>
        </is>
      </c>
      <c r="AI147" s="17" t="n">
        <v>1</v>
      </c>
      <c r="AJ147" s="24" t="n">
        <v>47003</v>
      </c>
      <c r="AK147" s="17" t="inlineStr"/>
      <c r="AL147" s="17" t="inlineStr"/>
      <c r="AM147" s="17" t="inlineStr">
        <is>
          <t>무균/바이오 제조로 품질관리 난도 높음</t>
        </is>
      </c>
      <c r="AN147" s="17" t="inlineStr">
        <is>
          <t>미확인</t>
        </is>
      </c>
      <c r="AO147" s="17" t="inlineStr">
        <is>
          <t>미확인</t>
        </is>
      </c>
      <c r="AP147" s="17" t="inlineStr">
        <is>
          <t>미확인</t>
        </is>
      </c>
      <c r="AQ147" s="17" t="inlineStr">
        <is>
          <t>담당자 파악 후 접촉</t>
        </is>
      </c>
      <c r="AR147" s="17" t="inlineStr">
        <is>
          <t>2026-07-05</t>
        </is>
      </c>
      <c r="AS147" s="17" t="inlineStr">
        <is>
          <t>C(부분확인)</t>
        </is>
      </c>
      <c r="AT147" s="17" t="n">
        <v>90</v>
      </c>
      <c r="AU147" s="17" t="inlineStr"/>
      <c r="AV147" s="17" t="inlineStr"/>
    </row>
    <row r="148">
      <c r="A148" s="26" t="inlineStr">
        <is>
          <t>Tier B</t>
        </is>
      </c>
      <c r="B148" s="17" t="n">
        <v>20</v>
      </c>
      <c r="C148" s="17" t="inlineStr">
        <is>
          <t>디아이지에어가스(주)</t>
        </is>
      </c>
      <c r="D148" s="17" t="inlineStr">
        <is>
          <t>파주</t>
        </is>
      </c>
      <c r="E148" s="17" t="inlineStr">
        <is>
          <t>경기도</t>
        </is>
      </c>
      <c r="F148" s="17" t="inlineStr">
        <is>
          <t>파주시</t>
        </is>
      </c>
      <c r="G148" s="17" t="n">
        <v>5</v>
      </c>
      <c r="H148" s="17" t="inlineStr"/>
      <c r="I148" s="17" t="inlineStr"/>
      <c r="J148" s="17" t="inlineStr">
        <is>
          <t>Y</t>
        </is>
      </c>
      <c r="K148" s="17" t="inlineStr"/>
      <c r="L148" s="22" t="inlineStr">
        <is>
          <t>미확인</t>
        </is>
      </c>
      <c r="M148" s="22" t="inlineStr">
        <is>
          <t>미확인</t>
        </is>
      </c>
      <c r="N148" s="22" t="inlineStr">
        <is>
          <t>미확인</t>
        </is>
      </c>
      <c r="O148" s="22" t="inlineStr">
        <is>
          <t>미확인</t>
        </is>
      </c>
      <c r="P148" s="17" t="inlineStr">
        <is>
          <t>통합형</t>
        </is>
      </c>
      <c r="Q148" s="22" t="inlineStr">
        <is>
          <t>미확인</t>
        </is>
      </c>
      <c r="R148" s="22" t="inlineStr">
        <is>
          <t>미확인</t>
        </is>
      </c>
      <c r="S148" s="17" t="inlineStr">
        <is>
          <t>Tier D</t>
        </is>
      </c>
      <c r="T148" s="17" t="n">
        <v>15</v>
      </c>
      <c r="U148" s="17" t="inlineStr">
        <is>
          <t>C072</t>
        </is>
      </c>
      <c r="V148" s="17" t="inlineStr">
        <is>
          <t>디아이지에어가스</t>
        </is>
      </c>
      <c r="W148" s="17" t="inlineStr"/>
      <c r="X148" s="17" t="inlineStr"/>
      <c r="Y148" s="23" t="inlineStr"/>
      <c r="Z148" s="17" t="inlineStr">
        <is>
          <t>오규석</t>
        </is>
      </c>
      <c r="AA148" s="17" t="inlineStr"/>
      <c r="AB148" s="17" t="inlineStr">
        <is>
          <t>031-491-2648</t>
        </is>
      </c>
      <c r="AC148" s="17" t="inlineStr">
        <is>
          <t>미확인</t>
        </is>
      </c>
      <c r="AD148" s="17" t="inlineStr">
        <is>
          <t>Y</t>
        </is>
      </c>
      <c r="AE148" s="17" t="inlineStr">
        <is>
          <t>P074</t>
        </is>
      </c>
      <c r="AF148" s="17" t="inlineStr">
        <is>
          <t>경기도 파주시 월롱면 엘씨디로 284</t>
        </is>
      </c>
      <c r="AG148" s="17" t="inlineStr">
        <is>
          <t>완제의약품</t>
        </is>
      </c>
      <c r="AH148" s="17" t="inlineStr">
        <is>
          <t>비무균-일반제제(의료용 고압가스)-가스제(의료용 고압가스)</t>
        </is>
      </c>
      <c r="AI148" s="17" t="n">
        <v>1</v>
      </c>
      <c r="AJ148" s="24" t="n">
        <v>47170</v>
      </c>
      <c r="AK148" s="17" t="inlineStr"/>
      <c r="AL148" s="17" t="inlineStr"/>
      <c r="AM148" s="17" t="inlineStr">
        <is>
          <t>다중 제조소/다수 판정서로 문서관리 복잡; 다중 제조소로 교육관리 대상 광범위</t>
        </is>
      </c>
      <c r="AN148" s="17" t="inlineStr">
        <is>
          <t>미확인</t>
        </is>
      </c>
      <c r="AO148" s="17" t="inlineStr">
        <is>
          <t>미확인</t>
        </is>
      </c>
      <c r="AP148" s="17" t="inlineStr">
        <is>
          <t>미확인</t>
        </is>
      </c>
      <c r="AQ148" s="17" t="inlineStr">
        <is>
          <t>담당자 파악 후 접촉</t>
        </is>
      </c>
      <c r="AR148" s="17" t="inlineStr">
        <is>
          <t>2026-07-05</t>
        </is>
      </c>
      <c r="AS148" s="17" t="inlineStr">
        <is>
          <t>C(부분확인)</t>
        </is>
      </c>
      <c r="AT148" s="17" t="n">
        <v>90</v>
      </c>
      <c r="AU148" s="17" t="inlineStr"/>
      <c r="AV148" s="17" t="inlineStr"/>
    </row>
    <row r="149">
      <c r="A149" s="26" t="inlineStr">
        <is>
          <t>Tier B</t>
        </is>
      </c>
      <c r="B149" s="17" t="n">
        <v>20</v>
      </c>
      <c r="C149" s="17" t="inlineStr">
        <is>
          <t>디아이지에어가스(주)</t>
        </is>
      </c>
      <c r="D149" s="17" t="inlineStr">
        <is>
          <t>반월공장</t>
        </is>
      </c>
      <c r="E149" s="17" t="inlineStr">
        <is>
          <t>경기도</t>
        </is>
      </c>
      <c r="F149" s="17" t="inlineStr">
        <is>
          <t>안산시</t>
        </is>
      </c>
      <c r="G149" s="17" t="n">
        <v>5</v>
      </c>
      <c r="H149" s="17" t="inlineStr"/>
      <c r="I149" s="17" t="inlineStr"/>
      <c r="J149" s="17" t="inlineStr">
        <is>
          <t>Y</t>
        </is>
      </c>
      <c r="K149" s="17" t="inlineStr"/>
      <c r="L149" s="22" t="inlineStr">
        <is>
          <t>미확인</t>
        </is>
      </c>
      <c r="M149" s="22" t="inlineStr">
        <is>
          <t>미확인</t>
        </is>
      </c>
      <c r="N149" s="22" t="inlineStr">
        <is>
          <t>미확인</t>
        </is>
      </c>
      <c r="O149" s="22" t="inlineStr">
        <is>
          <t>미확인</t>
        </is>
      </c>
      <c r="P149" s="17" t="inlineStr">
        <is>
          <t>통합형</t>
        </is>
      </c>
      <c r="Q149" s="22" t="inlineStr">
        <is>
          <t>미확인</t>
        </is>
      </c>
      <c r="R149" s="22" t="inlineStr">
        <is>
          <t>미확인</t>
        </is>
      </c>
      <c r="S149" s="17" t="inlineStr">
        <is>
          <t>Tier D</t>
        </is>
      </c>
      <c r="T149" s="17" t="n">
        <v>15</v>
      </c>
      <c r="U149" s="17" t="inlineStr">
        <is>
          <t>C072</t>
        </is>
      </c>
      <c r="V149" s="17" t="inlineStr">
        <is>
          <t>디아이지에어가스</t>
        </is>
      </c>
      <c r="W149" s="17" t="inlineStr"/>
      <c r="X149" s="17" t="inlineStr"/>
      <c r="Y149" s="23" t="inlineStr"/>
      <c r="Z149" s="17" t="inlineStr">
        <is>
          <t>오규석</t>
        </is>
      </c>
      <c r="AA149" s="17" t="inlineStr"/>
      <c r="AB149" s="17" t="inlineStr">
        <is>
          <t>031-491-2648</t>
        </is>
      </c>
      <c r="AC149" s="17" t="inlineStr">
        <is>
          <t>미확인</t>
        </is>
      </c>
      <c r="AD149" s="17" t="inlineStr">
        <is>
          <t>Y</t>
        </is>
      </c>
      <c r="AE149" s="17" t="inlineStr">
        <is>
          <t>P151</t>
        </is>
      </c>
      <c r="AF149" s="17" t="inlineStr">
        <is>
          <t>경기도 안산시 단원구 산단로 128</t>
        </is>
      </c>
      <c r="AG149" s="17" t="inlineStr">
        <is>
          <t>완제의약품</t>
        </is>
      </c>
      <c r="AH149" s="17" t="inlineStr">
        <is>
          <t>비무균-일반제제(의료용 고압가스)-가스제(의료용 고압가스)</t>
        </is>
      </c>
      <c r="AI149" s="17" t="n">
        <v>1</v>
      </c>
      <c r="AJ149" s="24" t="n">
        <v>46983</v>
      </c>
      <c r="AK149" s="17" t="inlineStr"/>
      <c r="AL149" s="17" t="inlineStr"/>
      <c r="AM149" s="17" t="inlineStr">
        <is>
          <t>다중 제조소/다수 판정서로 문서관리 복잡; 다중 제조소로 교육관리 대상 광범위</t>
        </is>
      </c>
      <c r="AN149" s="17" t="inlineStr">
        <is>
          <t>미확인</t>
        </is>
      </c>
      <c r="AO149" s="17" t="inlineStr">
        <is>
          <t>미확인</t>
        </is>
      </c>
      <c r="AP149" s="17" t="inlineStr">
        <is>
          <t>미확인</t>
        </is>
      </c>
      <c r="AQ149" s="17" t="inlineStr">
        <is>
          <t>담당자 파악 후 접촉</t>
        </is>
      </c>
      <c r="AR149" s="17" t="inlineStr">
        <is>
          <t>2026-07-05</t>
        </is>
      </c>
      <c r="AS149" s="17" t="inlineStr">
        <is>
          <t>C(부분확인)</t>
        </is>
      </c>
      <c r="AT149" s="17" t="n">
        <v>90</v>
      </c>
      <c r="AU149" s="17" t="inlineStr"/>
      <c r="AV149" s="17" t="inlineStr"/>
    </row>
    <row r="150">
      <c r="A150" s="26" t="inlineStr">
        <is>
          <t>Tier B</t>
        </is>
      </c>
      <c r="B150" s="17" t="n">
        <v>20</v>
      </c>
      <c r="C150" s="17" t="inlineStr">
        <is>
          <t>디아이지에어가스(주)</t>
        </is>
      </c>
      <c r="D150" s="17" t="inlineStr">
        <is>
          <t>대전</t>
        </is>
      </c>
      <c r="E150" s="17" t="inlineStr">
        <is>
          <t>대전광역시</t>
        </is>
      </c>
      <c r="F150" s="17" t="inlineStr">
        <is>
          <t>대덕구</t>
        </is>
      </c>
      <c r="G150" s="17" t="n">
        <v>5</v>
      </c>
      <c r="H150" s="17" t="inlineStr"/>
      <c r="I150" s="17" t="inlineStr"/>
      <c r="J150" s="17" t="inlineStr">
        <is>
          <t>Y</t>
        </is>
      </c>
      <c r="K150" s="17" t="inlineStr"/>
      <c r="L150" s="22" t="inlineStr">
        <is>
          <t>미확인</t>
        </is>
      </c>
      <c r="M150" s="22" t="inlineStr">
        <is>
          <t>미확인</t>
        </is>
      </c>
      <c r="N150" s="22" t="inlineStr">
        <is>
          <t>미확인</t>
        </is>
      </c>
      <c r="O150" s="22" t="inlineStr">
        <is>
          <t>미확인</t>
        </is>
      </c>
      <c r="P150" s="17" t="inlineStr">
        <is>
          <t>통합형</t>
        </is>
      </c>
      <c r="Q150" s="22" t="inlineStr">
        <is>
          <t>미확인</t>
        </is>
      </c>
      <c r="R150" s="22" t="inlineStr">
        <is>
          <t>미확인</t>
        </is>
      </c>
      <c r="S150" s="17" t="inlineStr">
        <is>
          <t>Tier D</t>
        </is>
      </c>
      <c r="T150" s="17" t="n">
        <v>15</v>
      </c>
      <c r="U150" s="17" t="inlineStr">
        <is>
          <t>C072</t>
        </is>
      </c>
      <c r="V150" s="17" t="inlineStr">
        <is>
          <t>디아이지에어가스</t>
        </is>
      </c>
      <c r="W150" s="17" t="inlineStr"/>
      <c r="X150" s="17" t="inlineStr"/>
      <c r="Y150" s="23" t="inlineStr"/>
      <c r="Z150" s="17" t="inlineStr">
        <is>
          <t>오규석</t>
        </is>
      </c>
      <c r="AA150" s="17" t="inlineStr"/>
      <c r="AB150" s="17" t="inlineStr">
        <is>
          <t>031-491-2648</t>
        </is>
      </c>
      <c r="AC150" s="17" t="inlineStr">
        <is>
          <t>미확인</t>
        </is>
      </c>
      <c r="AD150" s="17" t="inlineStr">
        <is>
          <t>Y</t>
        </is>
      </c>
      <c r="AE150" s="17" t="inlineStr">
        <is>
          <t>P206</t>
        </is>
      </c>
      <c r="AF150" s="17" t="inlineStr">
        <is>
          <t>대전광역시 대덕구 신일동로 45</t>
        </is>
      </c>
      <c r="AG150" s="17" t="inlineStr">
        <is>
          <t>완제의약품</t>
        </is>
      </c>
      <c r="AH150" s="17" t="inlineStr">
        <is>
          <t>비무균-일반제제(의료용 고압가스)-가스제(의료용 고압가스)</t>
        </is>
      </c>
      <c r="AI150" s="17" t="n">
        <v>1</v>
      </c>
      <c r="AJ150" s="24" t="n">
        <v>46912</v>
      </c>
      <c r="AK150" s="17" t="inlineStr"/>
      <c r="AL150" s="17" t="inlineStr"/>
      <c r="AM150" s="17" t="inlineStr">
        <is>
          <t>다중 제조소/다수 판정서로 문서관리 복잡; 다중 제조소로 교육관리 대상 광범위</t>
        </is>
      </c>
      <c r="AN150" s="17" t="inlineStr">
        <is>
          <t>미확인</t>
        </is>
      </c>
      <c r="AO150" s="17" t="inlineStr">
        <is>
          <t>미확인</t>
        </is>
      </c>
      <c r="AP150" s="17" t="inlineStr">
        <is>
          <t>미확인</t>
        </is>
      </c>
      <c r="AQ150" s="17" t="inlineStr">
        <is>
          <t>담당자 파악 후 접촉</t>
        </is>
      </c>
      <c r="AR150" s="17" t="inlineStr">
        <is>
          <t>2026-07-05</t>
        </is>
      </c>
      <c r="AS150" s="17" t="inlineStr">
        <is>
          <t>C(부분확인)</t>
        </is>
      </c>
      <c r="AT150" s="17" t="n">
        <v>90</v>
      </c>
      <c r="AU150" s="17" t="inlineStr"/>
      <c r="AV150" s="17" t="inlineStr"/>
    </row>
    <row r="151">
      <c r="A151" s="26" t="inlineStr">
        <is>
          <t>Tier B</t>
        </is>
      </c>
      <c r="B151" s="17" t="n">
        <v>20</v>
      </c>
      <c r="C151" s="17" t="inlineStr">
        <is>
          <t>디아이지에어가스(주)</t>
        </is>
      </c>
      <c r="D151" s="17" t="inlineStr">
        <is>
          <t>여천</t>
        </is>
      </c>
      <c r="E151" s="17" t="inlineStr">
        <is>
          <t>전라남도</t>
        </is>
      </c>
      <c r="F151" s="17" t="inlineStr">
        <is>
          <t>여수시</t>
        </is>
      </c>
      <c r="G151" s="17" t="n">
        <v>5</v>
      </c>
      <c r="H151" s="17" t="inlineStr"/>
      <c r="I151" s="17" t="inlineStr"/>
      <c r="J151" s="17" t="inlineStr">
        <is>
          <t>Y</t>
        </is>
      </c>
      <c r="K151" s="17" t="inlineStr"/>
      <c r="L151" s="22" t="inlineStr">
        <is>
          <t>미확인</t>
        </is>
      </c>
      <c r="M151" s="22" t="inlineStr">
        <is>
          <t>미확인</t>
        </is>
      </c>
      <c r="N151" s="22" t="inlineStr">
        <is>
          <t>미확인</t>
        </is>
      </c>
      <c r="O151" s="22" t="inlineStr">
        <is>
          <t>미확인</t>
        </is>
      </c>
      <c r="P151" s="17" t="inlineStr">
        <is>
          <t>통합형</t>
        </is>
      </c>
      <c r="Q151" s="22" t="inlineStr">
        <is>
          <t>미확인</t>
        </is>
      </c>
      <c r="R151" s="22" t="inlineStr">
        <is>
          <t>미확인</t>
        </is>
      </c>
      <c r="S151" s="17" t="inlineStr">
        <is>
          <t>Tier D</t>
        </is>
      </c>
      <c r="T151" s="17" t="n">
        <v>15</v>
      </c>
      <c r="U151" s="17" t="inlineStr">
        <is>
          <t>C072</t>
        </is>
      </c>
      <c r="V151" s="17" t="inlineStr">
        <is>
          <t>디아이지에어가스</t>
        </is>
      </c>
      <c r="W151" s="17" t="inlineStr"/>
      <c r="X151" s="17" t="inlineStr"/>
      <c r="Y151" s="23" t="inlineStr"/>
      <c r="Z151" s="17" t="inlineStr">
        <is>
          <t>오규석</t>
        </is>
      </c>
      <c r="AA151" s="17" t="inlineStr"/>
      <c r="AB151" s="17" t="inlineStr">
        <is>
          <t>031-491-2648</t>
        </is>
      </c>
      <c r="AC151" s="17" t="inlineStr">
        <is>
          <t>미확인</t>
        </is>
      </c>
      <c r="AD151" s="17" t="inlineStr">
        <is>
          <t>Y</t>
        </is>
      </c>
      <c r="AE151" s="17" t="inlineStr">
        <is>
          <t>P280</t>
        </is>
      </c>
      <c r="AF151" s="17" t="inlineStr">
        <is>
          <t>전라남도 여수시 여수산단로 317</t>
        </is>
      </c>
      <c r="AG151" s="17" t="inlineStr">
        <is>
          <t>완제의약품</t>
        </is>
      </c>
      <c r="AH151" s="17" t="inlineStr">
        <is>
          <t>비무균-일반제제(의료용 고압가스)-가스제(의료용 고압가스)</t>
        </is>
      </c>
      <c r="AI151" s="17" t="n">
        <v>1</v>
      </c>
      <c r="AJ151" s="24" t="n">
        <v>46821</v>
      </c>
      <c r="AK151" s="17" t="inlineStr"/>
      <c r="AL151" s="17" t="inlineStr"/>
      <c r="AM151" s="17" t="inlineStr">
        <is>
          <t>다중 제조소/다수 판정서로 문서관리 복잡; 다중 제조소로 교육관리 대상 광범위</t>
        </is>
      </c>
      <c r="AN151" s="17" t="inlineStr">
        <is>
          <t>미확인</t>
        </is>
      </c>
      <c r="AO151" s="17" t="inlineStr">
        <is>
          <t>미확인</t>
        </is>
      </c>
      <c r="AP151" s="17" t="inlineStr">
        <is>
          <t>미확인</t>
        </is>
      </c>
      <c r="AQ151" s="17" t="inlineStr">
        <is>
          <t>담당자 파악 후 접촉</t>
        </is>
      </c>
      <c r="AR151" s="17" t="inlineStr">
        <is>
          <t>2026-07-05</t>
        </is>
      </c>
      <c r="AS151" s="17" t="inlineStr">
        <is>
          <t>C(부분확인)</t>
        </is>
      </c>
      <c r="AT151" s="17" t="n">
        <v>90</v>
      </c>
      <c r="AU151" s="17" t="inlineStr"/>
      <c r="AV151" s="17" t="inlineStr"/>
    </row>
    <row r="152">
      <c r="A152" s="26" t="inlineStr">
        <is>
          <t>Tier B</t>
        </is>
      </c>
      <c r="B152" s="17" t="n">
        <v>20</v>
      </c>
      <c r="C152" s="17" t="inlineStr">
        <is>
          <t>디아이지에어가스(주)</t>
        </is>
      </c>
      <c r="D152" s="17" t="inlineStr">
        <is>
          <t>울산</t>
        </is>
      </c>
      <c r="E152" s="17" t="inlineStr">
        <is>
          <t>울산광역시</t>
        </is>
      </c>
      <c r="F152" s="17" t="inlineStr">
        <is>
          <t>남구</t>
        </is>
      </c>
      <c r="G152" s="17" t="n">
        <v>5</v>
      </c>
      <c r="H152" s="17" t="inlineStr"/>
      <c r="I152" s="17" t="inlineStr"/>
      <c r="J152" s="17" t="inlineStr">
        <is>
          <t>Y</t>
        </is>
      </c>
      <c r="K152" s="17" t="inlineStr"/>
      <c r="L152" s="22" t="inlineStr">
        <is>
          <t>미확인</t>
        </is>
      </c>
      <c r="M152" s="22" t="inlineStr">
        <is>
          <t>미확인</t>
        </is>
      </c>
      <c r="N152" s="22" t="inlineStr">
        <is>
          <t>미확인</t>
        </is>
      </c>
      <c r="O152" s="22" t="inlineStr">
        <is>
          <t>미확인</t>
        </is>
      </c>
      <c r="P152" s="17" t="inlineStr">
        <is>
          <t>통합형</t>
        </is>
      </c>
      <c r="Q152" s="22" t="inlineStr">
        <is>
          <t>미확인</t>
        </is>
      </c>
      <c r="R152" s="22" t="inlineStr">
        <is>
          <t>미확인</t>
        </is>
      </c>
      <c r="S152" s="17" t="inlineStr">
        <is>
          <t>Tier D</t>
        </is>
      </c>
      <c r="T152" s="17" t="n">
        <v>15</v>
      </c>
      <c r="U152" s="17" t="inlineStr">
        <is>
          <t>C072</t>
        </is>
      </c>
      <c r="V152" s="17" t="inlineStr">
        <is>
          <t>디아이지에어가스</t>
        </is>
      </c>
      <c r="W152" s="17" t="inlineStr"/>
      <c r="X152" s="17" t="inlineStr"/>
      <c r="Y152" s="23" t="inlineStr"/>
      <c r="Z152" s="17" t="inlineStr">
        <is>
          <t>오규석</t>
        </is>
      </c>
      <c r="AA152" s="17" t="inlineStr"/>
      <c r="AB152" s="17" t="inlineStr">
        <is>
          <t>031-491-2648</t>
        </is>
      </c>
      <c r="AC152" s="17" t="inlineStr">
        <is>
          <t>미확인</t>
        </is>
      </c>
      <c r="AD152" s="17" t="inlineStr">
        <is>
          <t>Y</t>
        </is>
      </c>
      <c r="AE152" s="17" t="inlineStr">
        <is>
          <t>P285</t>
        </is>
      </c>
      <c r="AF152" s="17" t="inlineStr">
        <is>
          <t>울산광역시 남구 처용로487번길 18-64</t>
        </is>
      </c>
      <c r="AG152" s="17" t="inlineStr">
        <is>
          <t>완제의약품</t>
        </is>
      </c>
      <c r="AH152" s="17" t="inlineStr">
        <is>
          <t>비무균-일반제제-가스제(의료용 고압가스)</t>
        </is>
      </c>
      <c r="AI152" s="17" t="n">
        <v>1</v>
      </c>
      <c r="AJ152" s="24" t="n">
        <v>46813</v>
      </c>
      <c r="AK152" s="17" t="inlineStr"/>
      <c r="AL152" s="17" t="inlineStr"/>
      <c r="AM152" s="17" t="inlineStr">
        <is>
          <t>다중 제조소/다수 판정서로 문서관리 복잡; 다중 제조소로 교육관리 대상 광범위</t>
        </is>
      </c>
      <c r="AN152" s="17" t="inlineStr">
        <is>
          <t>미확인</t>
        </is>
      </c>
      <c r="AO152" s="17" t="inlineStr">
        <is>
          <t>미확인</t>
        </is>
      </c>
      <c r="AP152" s="17" t="inlineStr">
        <is>
          <t>미확인</t>
        </is>
      </c>
      <c r="AQ152" s="17" t="inlineStr">
        <is>
          <t>담당자 파악 후 접촉</t>
        </is>
      </c>
      <c r="AR152" s="17" t="inlineStr">
        <is>
          <t>2026-07-05</t>
        </is>
      </c>
      <c r="AS152" s="17" t="inlineStr">
        <is>
          <t>C(부분확인)</t>
        </is>
      </c>
      <c r="AT152" s="17" t="n">
        <v>90</v>
      </c>
      <c r="AU152" s="17" t="inlineStr"/>
      <c r="AV152" s="17" t="inlineStr"/>
    </row>
    <row r="153">
      <c r="A153" s="26" t="inlineStr">
        <is>
          <t>Tier B</t>
        </is>
      </c>
      <c r="B153" s="17" t="n">
        <v>20</v>
      </c>
      <c r="C153" s="17" t="inlineStr">
        <is>
          <t>(주)피에스지</t>
        </is>
      </c>
      <c r="D153" s="17" t="inlineStr">
        <is>
          <t>미확인</t>
        </is>
      </c>
      <c r="E153" s="17" t="inlineStr">
        <is>
          <t>경상남도</t>
        </is>
      </c>
      <c r="F153" s="17" t="inlineStr">
        <is>
          <t>김해시</t>
        </is>
      </c>
      <c r="G153" s="17" t="n">
        <v>3</v>
      </c>
      <c r="H153" s="17" t="inlineStr"/>
      <c r="I153" s="17" t="inlineStr"/>
      <c r="J153" s="17" t="inlineStr">
        <is>
          <t>Y</t>
        </is>
      </c>
      <c r="K153" s="17" t="inlineStr"/>
      <c r="L153" s="22" t="inlineStr">
        <is>
          <t>미확인</t>
        </is>
      </c>
      <c r="M153" s="22" t="inlineStr">
        <is>
          <t>미확인</t>
        </is>
      </c>
      <c r="N153" s="22" t="inlineStr">
        <is>
          <t>미확인</t>
        </is>
      </c>
      <c r="O153" s="22" t="inlineStr">
        <is>
          <t>미확인</t>
        </is>
      </c>
      <c r="P153" s="17" t="inlineStr">
        <is>
          <t>통합형</t>
        </is>
      </c>
      <c r="Q153" s="22" t="inlineStr">
        <is>
          <t>미확인</t>
        </is>
      </c>
      <c r="R153" s="22" t="inlineStr">
        <is>
          <t>미확인</t>
        </is>
      </c>
      <c r="S153" s="17" t="inlineStr">
        <is>
          <t>Tier D</t>
        </is>
      </c>
      <c r="T153" s="17" t="n">
        <v>17</v>
      </c>
      <c r="U153" s="17" t="inlineStr">
        <is>
          <t>C247</t>
        </is>
      </c>
      <c r="V153" s="17" t="inlineStr">
        <is>
          <t>피에스지</t>
        </is>
      </c>
      <c r="W153" s="17" t="inlineStr"/>
      <c r="X153" s="17" t="inlineStr"/>
      <c r="Y153" s="23" t="inlineStr"/>
      <c r="Z153" s="17" t="inlineStr">
        <is>
          <t>이승윤</t>
        </is>
      </c>
      <c r="AA153" s="17" t="inlineStr"/>
      <c r="AB153" s="17" t="inlineStr">
        <is>
          <t>미확인</t>
        </is>
      </c>
      <c r="AC153" s="17" t="inlineStr">
        <is>
          <t>미확인</t>
        </is>
      </c>
      <c r="AD153" s="17" t="inlineStr">
        <is>
          <t>Y</t>
        </is>
      </c>
      <c r="AE153" s="17" t="inlineStr">
        <is>
          <t>P286</t>
        </is>
      </c>
      <c r="AF153" s="17" t="inlineStr">
        <is>
          <t>경상남도 김해시 주촌면 서부로1637번길 364</t>
        </is>
      </c>
      <c r="AG153" s="17" t="inlineStr">
        <is>
          <t>완제의약품</t>
        </is>
      </c>
      <c r="AH153" s="17" t="inlineStr">
        <is>
          <t>--(의료용 고압가스)</t>
        </is>
      </c>
      <c r="AI153" s="17" t="n">
        <v>1</v>
      </c>
      <c r="AJ153" s="24" t="n">
        <v>46810</v>
      </c>
      <c r="AK153" s="17" t="inlineStr"/>
      <c r="AL153" s="17" t="inlineStr"/>
      <c r="AM153" s="17" t="inlineStr">
        <is>
          <t>다중 제조소/다수 판정서로 문서관리 복잡; 다중 제조소로 교육관리 대상 광범위</t>
        </is>
      </c>
      <c r="AN153" s="17" t="inlineStr">
        <is>
          <t>미확인</t>
        </is>
      </c>
      <c r="AO153" s="17" t="inlineStr">
        <is>
          <t>미확인</t>
        </is>
      </c>
      <c r="AP153" s="17" t="inlineStr">
        <is>
          <t>미확인</t>
        </is>
      </c>
      <c r="AQ153" s="17" t="inlineStr">
        <is>
          <t>담당자 파악 후 접촉</t>
        </is>
      </c>
      <c r="AR153" s="17" t="inlineStr">
        <is>
          <t>2026-07-05</t>
        </is>
      </c>
      <c r="AS153" s="17" t="inlineStr">
        <is>
          <t>C(부분확인)</t>
        </is>
      </c>
      <c r="AT153" s="17" t="n">
        <v>0</v>
      </c>
      <c r="AU153" s="17" t="inlineStr">
        <is>
          <t>Y</t>
        </is>
      </c>
      <c r="AV153" s="17" t="inlineStr"/>
    </row>
    <row r="154">
      <c r="A154" s="26" t="inlineStr">
        <is>
          <t>Tier B</t>
        </is>
      </c>
      <c r="B154" s="17" t="n">
        <v>20</v>
      </c>
      <c r="C154" s="17" t="inlineStr">
        <is>
          <t>(주)피에스지</t>
        </is>
      </c>
      <c r="D154" s="17" t="inlineStr">
        <is>
          <t>미확인</t>
        </is>
      </c>
      <c r="E154" s="17" t="inlineStr">
        <is>
          <t>전라남도</t>
        </is>
      </c>
      <c r="F154" s="17" t="inlineStr">
        <is>
          <t>보성군</t>
        </is>
      </c>
      <c r="G154" s="17" t="n">
        <v>3</v>
      </c>
      <c r="H154" s="17" t="inlineStr"/>
      <c r="I154" s="17" t="inlineStr"/>
      <c r="J154" s="17" t="inlineStr">
        <is>
          <t>Y</t>
        </is>
      </c>
      <c r="K154" s="17" t="inlineStr"/>
      <c r="L154" s="22" t="inlineStr">
        <is>
          <t>미확인</t>
        </is>
      </c>
      <c r="M154" s="22" t="inlineStr">
        <is>
          <t>미확인</t>
        </is>
      </c>
      <c r="N154" s="22" t="inlineStr">
        <is>
          <t>미확인</t>
        </is>
      </c>
      <c r="O154" s="22" t="inlineStr">
        <is>
          <t>미확인</t>
        </is>
      </c>
      <c r="P154" s="17" t="inlineStr">
        <is>
          <t>통합형</t>
        </is>
      </c>
      <c r="Q154" s="22" t="inlineStr">
        <is>
          <t>미확인</t>
        </is>
      </c>
      <c r="R154" s="22" t="inlineStr">
        <is>
          <t>미확인</t>
        </is>
      </c>
      <c r="S154" s="17" t="inlineStr">
        <is>
          <t>Tier D</t>
        </is>
      </c>
      <c r="T154" s="17" t="n">
        <v>17</v>
      </c>
      <c r="U154" s="17" t="inlineStr">
        <is>
          <t>C247</t>
        </is>
      </c>
      <c r="V154" s="17" t="inlineStr">
        <is>
          <t>피에스지</t>
        </is>
      </c>
      <c r="W154" s="17" t="inlineStr"/>
      <c r="X154" s="17" t="inlineStr"/>
      <c r="Y154" s="23" t="inlineStr"/>
      <c r="Z154" s="17" t="inlineStr">
        <is>
          <t>이승윤</t>
        </is>
      </c>
      <c r="AA154" s="17" t="inlineStr"/>
      <c r="AB154" s="17" t="inlineStr">
        <is>
          <t>미확인</t>
        </is>
      </c>
      <c r="AC154" s="17" t="inlineStr">
        <is>
          <t>미확인</t>
        </is>
      </c>
      <c r="AD154" s="17" t="inlineStr">
        <is>
          <t>Y</t>
        </is>
      </c>
      <c r="AE154" s="17" t="inlineStr">
        <is>
          <t>P315</t>
        </is>
      </c>
      <c r="AF154" s="17" t="inlineStr">
        <is>
          <t>전라남도 보성군 벌교읍 녹색로 5695-13</t>
        </is>
      </c>
      <c r="AG154" s="17" t="inlineStr">
        <is>
          <t>완제의약품</t>
        </is>
      </c>
      <c r="AH154" s="17" t="inlineStr">
        <is>
          <t>비무균-일반제제(의료용 고압가스)-가스제(의료용 고압가스)</t>
        </is>
      </c>
      <c r="AI154" s="17" t="n">
        <v>1</v>
      </c>
      <c r="AJ154" s="24" t="n">
        <v>46743</v>
      </c>
      <c r="AK154" s="17" t="inlineStr"/>
      <c r="AL154" s="17" t="inlineStr"/>
      <c r="AM154" s="17" t="inlineStr">
        <is>
          <t>다중 제조소/다수 판정서로 문서관리 복잡; 다중 제조소로 교육관리 대상 광범위</t>
        </is>
      </c>
      <c r="AN154" s="17" t="inlineStr">
        <is>
          <t>미확인</t>
        </is>
      </c>
      <c r="AO154" s="17" t="inlineStr">
        <is>
          <t>미확인</t>
        </is>
      </c>
      <c r="AP154" s="17" t="inlineStr">
        <is>
          <t>미확인</t>
        </is>
      </c>
      <c r="AQ154" s="17" t="inlineStr">
        <is>
          <t>담당자 파악 후 접촉</t>
        </is>
      </c>
      <c r="AR154" s="17" t="inlineStr">
        <is>
          <t>2026-07-05</t>
        </is>
      </c>
      <c r="AS154" s="17" t="inlineStr">
        <is>
          <t>C(부분확인)</t>
        </is>
      </c>
      <c r="AT154" s="17" t="n">
        <v>0</v>
      </c>
      <c r="AU154" s="17" t="inlineStr">
        <is>
          <t>Y</t>
        </is>
      </c>
      <c r="AV154" s="17" t="inlineStr"/>
    </row>
    <row r="155">
      <c r="A155" s="26" t="inlineStr">
        <is>
          <t>Tier B</t>
        </is>
      </c>
      <c r="B155" s="17" t="n">
        <v>20</v>
      </c>
      <c r="C155" s="17" t="inlineStr">
        <is>
          <t>(주)피에스지</t>
        </is>
      </c>
      <c r="D155" s="17" t="inlineStr">
        <is>
          <t>미확인</t>
        </is>
      </c>
      <c r="E155" s="17" t="inlineStr">
        <is>
          <t>부산광역시</t>
        </is>
      </c>
      <c r="F155" s="17" t="inlineStr">
        <is>
          <t>영도구</t>
        </is>
      </c>
      <c r="G155" s="17" t="n">
        <v>3</v>
      </c>
      <c r="H155" s="17" t="inlineStr"/>
      <c r="I155" s="17" t="inlineStr"/>
      <c r="J155" s="17" t="inlineStr">
        <is>
          <t>Y</t>
        </is>
      </c>
      <c r="K155" s="17" t="inlineStr"/>
      <c r="L155" s="22" t="inlineStr">
        <is>
          <t>미확인</t>
        </is>
      </c>
      <c r="M155" s="22" t="inlineStr">
        <is>
          <t>미확인</t>
        </is>
      </c>
      <c r="N155" s="22" t="inlineStr">
        <is>
          <t>미확인</t>
        </is>
      </c>
      <c r="O155" s="22" t="inlineStr">
        <is>
          <t>미확인</t>
        </is>
      </c>
      <c r="P155" s="17" t="inlineStr">
        <is>
          <t>통합형</t>
        </is>
      </c>
      <c r="Q155" s="22" t="inlineStr">
        <is>
          <t>미확인</t>
        </is>
      </c>
      <c r="R155" s="22" t="inlineStr">
        <is>
          <t>미확인</t>
        </is>
      </c>
      <c r="S155" s="17" t="inlineStr">
        <is>
          <t>Tier D</t>
        </is>
      </c>
      <c r="T155" s="17" t="n">
        <v>17</v>
      </c>
      <c r="U155" s="17" t="inlineStr">
        <is>
          <t>C247</t>
        </is>
      </c>
      <c r="V155" s="17" t="inlineStr">
        <is>
          <t>피에스지</t>
        </is>
      </c>
      <c r="W155" s="17" t="inlineStr"/>
      <c r="X155" s="17" t="inlineStr"/>
      <c r="Y155" s="23" t="inlineStr"/>
      <c r="Z155" s="17" t="inlineStr">
        <is>
          <t>이승윤</t>
        </is>
      </c>
      <c r="AA155" s="17" t="inlineStr"/>
      <c r="AB155" s="17" t="inlineStr">
        <is>
          <t>미확인</t>
        </is>
      </c>
      <c r="AC155" s="17" t="inlineStr">
        <is>
          <t>미확인</t>
        </is>
      </c>
      <c r="AD155" s="17" t="inlineStr">
        <is>
          <t>Y</t>
        </is>
      </c>
      <c r="AE155" s="17" t="inlineStr">
        <is>
          <t>P465</t>
        </is>
      </c>
      <c r="AF155" s="17" t="inlineStr">
        <is>
          <t>부산광역시 영도구 해양로135번길 11</t>
        </is>
      </c>
      <c r="AG155" s="17" t="inlineStr">
        <is>
          <t>완제의약품</t>
        </is>
      </c>
      <c r="AH155" s="17" t="inlineStr">
        <is>
          <t>비무균-일반제제(의료용 고압가스)-가스제(의료용 고압가스)</t>
        </is>
      </c>
      <c r="AI155" s="17" t="n">
        <v>1</v>
      </c>
      <c r="AJ155" s="24" t="n">
        <v>46339</v>
      </c>
      <c r="AK155" s="25" t="inlineStr">
        <is>
          <t>Y</t>
        </is>
      </c>
      <c r="AL155" s="17" t="inlineStr">
        <is>
          <t>Y</t>
        </is>
      </c>
      <c r="AM155" s="17" t="inlineStr">
        <is>
          <t>다중 제조소/다수 판정서로 문서관리 복잡; 다중 제조소로 교육관리 대상 광범위</t>
        </is>
      </c>
      <c r="AN155" s="17" t="inlineStr">
        <is>
          <t>미확인</t>
        </is>
      </c>
      <c r="AO155" s="17" t="inlineStr">
        <is>
          <t>미확인</t>
        </is>
      </c>
      <c r="AP155" s="17" t="inlineStr">
        <is>
          <t>미확인</t>
        </is>
      </c>
      <c r="AQ155" s="17" t="inlineStr">
        <is>
          <t>담당자 파악 후 접촉</t>
        </is>
      </c>
      <c r="AR155" s="17" t="inlineStr">
        <is>
          <t>2026-07-05</t>
        </is>
      </c>
      <c r="AS155" s="17" t="inlineStr">
        <is>
          <t>C(부분확인)</t>
        </is>
      </c>
      <c r="AT155" s="17" t="n">
        <v>0</v>
      </c>
      <c r="AU155" s="17" t="inlineStr">
        <is>
          <t>Y</t>
        </is>
      </c>
      <c r="AV155" s="17" t="inlineStr"/>
    </row>
    <row r="156">
      <c r="A156" s="26" t="inlineStr">
        <is>
          <t>Tier B</t>
        </is>
      </c>
      <c r="B156" s="17" t="n">
        <v>20</v>
      </c>
      <c r="C156" s="17" t="inlineStr">
        <is>
          <t>대웅바이오(주)</t>
        </is>
      </c>
      <c r="D156" s="17" t="inlineStr">
        <is>
          <t>미확인</t>
        </is>
      </c>
      <c r="E156" s="17" t="inlineStr">
        <is>
          <t>경기도</t>
        </is>
      </c>
      <c r="F156" s="17" t="inlineStr">
        <is>
          <t>화성시</t>
        </is>
      </c>
      <c r="G156" s="17" t="n">
        <v>3</v>
      </c>
      <c r="H156" s="17" t="inlineStr"/>
      <c r="I156" s="17" t="inlineStr"/>
      <c r="J156" s="17" t="inlineStr">
        <is>
          <t>Y</t>
        </is>
      </c>
      <c r="K156" s="17" t="inlineStr">
        <is>
          <t>Y</t>
        </is>
      </c>
      <c r="L156" s="22" t="inlineStr">
        <is>
          <t>미확인</t>
        </is>
      </c>
      <c r="M156" s="22" t="inlineStr">
        <is>
          <t>미확인</t>
        </is>
      </c>
      <c r="N156" s="22" t="inlineStr">
        <is>
          <t>미확인</t>
        </is>
      </c>
      <c r="O156" s="22" t="inlineStr">
        <is>
          <t>미확인</t>
        </is>
      </c>
      <c r="P156" s="17" t="inlineStr">
        <is>
          <t>통합형</t>
        </is>
      </c>
      <c r="Q156" s="22" t="inlineStr">
        <is>
          <t>미확인</t>
        </is>
      </c>
      <c r="R156" s="22" t="inlineStr">
        <is>
          <t>미확인</t>
        </is>
      </c>
      <c r="S156" s="17" t="inlineStr">
        <is>
          <t>Tier D</t>
        </is>
      </c>
      <c r="T156" s="17" t="n">
        <v>12</v>
      </c>
      <c r="U156" s="17" t="inlineStr">
        <is>
          <t>C090</t>
        </is>
      </c>
      <c r="V156" s="17" t="inlineStr">
        <is>
          <t>대웅바이오</t>
        </is>
      </c>
      <c r="W156" s="17" t="inlineStr"/>
      <c r="X156" s="17" t="inlineStr"/>
      <c r="Y156" s="23" t="inlineStr"/>
      <c r="Z156" s="17" t="inlineStr">
        <is>
          <t>진성곤</t>
        </is>
      </c>
      <c r="AA156" s="17" t="inlineStr"/>
      <c r="AB156" s="17" t="inlineStr">
        <is>
          <t>031-3535-2713</t>
        </is>
      </c>
      <c r="AC156" s="17" t="inlineStr">
        <is>
          <t>미확인</t>
        </is>
      </c>
      <c r="AD156" s="17" t="inlineStr">
        <is>
          <t>Y</t>
        </is>
      </c>
      <c r="AE156" s="17" t="inlineStr">
        <is>
          <t>P092</t>
        </is>
      </c>
      <c r="AF156" s="17" t="inlineStr">
        <is>
          <t>경기도 화성시 만세구 향남읍 제약공단4길 57</t>
        </is>
      </c>
      <c r="AG156" s="17" t="inlineStr">
        <is>
          <t>완제의약품</t>
        </is>
      </c>
      <c r="AH156" s="17" t="inlineStr">
        <is>
          <t>비무균-세팔로스포린제제-내용고형제(캡슐제)</t>
        </is>
      </c>
      <c r="AI156" s="17" t="n">
        <v>1</v>
      </c>
      <c r="AJ156" s="24" t="n">
        <v>47110</v>
      </c>
      <c r="AK156" s="17" t="inlineStr"/>
      <c r="AL156" s="17" t="inlineStr"/>
      <c r="AM156" s="17" t="inlineStr">
        <is>
          <t>다중 제조소/다수 판정서로 문서관리 복잡; 원료 제조로 시험실 관리 필요</t>
        </is>
      </c>
      <c r="AN156" s="17" t="inlineStr">
        <is>
          <t>미확인</t>
        </is>
      </c>
      <c r="AO156" s="17" t="inlineStr">
        <is>
          <t>미확인</t>
        </is>
      </c>
      <c r="AP156" s="17" t="inlineStr">
        <is>
          <t>미확인</t>
        </is>
      </c>
      <c r="AQ156" s="17" t="inlineStr">
        <is>
          <t>담당자 파악 후 접촉</t>
        </is>
      </c>
      <c r="AR156" s="17" t="inlineStr">
        <is>
          <t>2026-07-05</t>
        </is>
      </c>
      <c r="AS156" s="17" t="inlineStr">
        <is>
          <t>C(부분확인)</t>
        </is>
      </c>
      <c r="AT156" s="17" t="n">
        <v>90</v>
      </c>
      <c r="AU156" s="17" t="inlineStr"/>
      <c r="AV156" s="17" t="inlineStr"/>
    </row>
    <row r="157">
      <c r="A157" s="26" t="inlineStr">
        <is>
          <t>Tier B</t>
        </is>
      </c>
      <c r="B157" s="17" t="n">
        <v>20</v>
      </c>
      <c r="C157" s="17" t="inlineStr">
        <is>
          <t>대웅바이오(주)</t>
        </is>
      </c>
      <c r="D157" s="17" t="inlineStr">
        <is>
          <t>안성</t>
        </is>
      </c>
      <c r="E157" s="17" t="inlineStr">
        <is>
          <t>경기도</t>
        </is>
      </c>
      <c r="F157" s="17" t="inlineStr">
        <is>
          <t>안성시</t>
        </is>
      </c>
      <c r="G157" s="17" t="n">
        <v>3</v>
      </c>
      <c r="H157" s="17" t="inlineStr"/>
      <c r="I157" s="17" t="inlineStr"/>
      <c r="J157" s="17" t="inlineStr">
        <is>
          <t>Y</t>
        </is>
      </c>
      <c r="K157" s="17" t="inlineStr">
        <is>
          <t>Y</t>
        </is>
      </c>
      <c r="L157" s="22" t="inlineStr">
        <is>
          <t>미확인</t>
        </is>
      </c>
      <c r="M157" s="22" t="inlineStr">
        <is>
          <t>미확인</t>
        </is>
      </c>
      <c r="N157" s="22" t="inlineStr">
        <is>
          <t>미확인</t>
        </is>
      </c>
      <c r="O157" s="22" t="inlineStr">
        <is>
          <t>미확인</t>
        </is>
      </c>
      <c r="P157" s="17" t="inlineStr">
        <is>
          <t>통합형</t>
        </is>
      </c>
      <c r="Q157" s="22" t="inlineStr">
        <is>
          <t>미확인</t>
        </is>
      </c>
      <c r="R157" s="22" t="inlineStr">
        <is>
          <t>미확인</t>
        </is>
      </c>
      <c r="S157" s="17" t="inlineStr">
        <is>
          <t>Tier D</t>
        </is>
      </c>
      <c r="T157" s="17" t="n">
        <v>12</v>
      </c>
      <c r="U157" s="17" t="inlineStr">
        <is>
          <t>C090</t>
        </is>
      </c>
      <c r="V157" s="17" t="inlineStr">
        <is>
          <t>대웅바이오</t>
        </is>
      </c>
      <c r="W157" s="17" t="inlineStr"/>
      <c r="X157" s="17" t="inlineStr"/>
      <c r="Y157" s="23" t="inlineStr"/>
      <c r="Z157" s="17" t="inlineStr">
        <is>
          <t>진성곤</t>
        </is>
      </c>
      <c r="AA157" s="17" t="inlineStr"/>
      <c r="AB157" s="17" t="inlineStr">
        <is>
          <t>031-3535-2713</t>
        </is>
      </c>
      <c r="AC157" s="17" t="inlineStr">
        <is>
          <t>미확인</t>
        </is>
      </c>
      <c r="AD157" s="17" t="inlineStr">
        <is>
          <t>Y</t>
        </is>
      </c>
      <c r="AE157" s="17" t="inlineStr">
        <is>
          <t>P247</t>
        </is>
      </c>
      <c r="AF157" s="17" t="inlineStr">
        <is>
          <t>경기도 안성시 공단1로 69</t>
        </is>
      </c>
      <c r="AG157" s="17" t="inlineStr">
        <is>
          <t>완제의약품</t>
        </is>
      </c>
      <c r="AH157" s="17" t="inlineStr">
        <is>
          <t>비무균-일반제제-내용고형제(정제, 캡슐제)</t>
        </is>
      </c>
      <c r="AI157" s="17" t="n">
        <v>1</v>
      </c>
      <c r="AJ157" s="24" t="n">
        <v>46862</v>
      </c>
      <c r="AK157" s="17" t="inlineStr"/>
      <c r="AL157" s="17" t="inlineStr"/>
      <c r="AM157" s="17" t="inlineStr">
        <is>
          <t>다중 제조소/다수 판정서로 문서관리 복잡; 원료 제조로 시험실 관리 필요</t>
        </is>
      </c>
      <c r="AN157" s="17" t="inlineStr">
        <is>
          <t>미확인</t>
        </is>
      </c>
      <c r="AO157" s="17" t="inlineStr">
        <is>
          <t>미확인</t>
        </is>
      </c>
      <c r="AP157" s="17" t="inlineStr">
        <is>
          <t>미확인</t>
        </is>
      </c>
      <c r="AQ157" s="17" t="inlineStr">
        <is>
          <t>담당자 파악 후 접촉</t>
        </is>
      </c>
      <c r="AR157" s="17" t="inlineStr">
        <is>
          <t>2026-07-05</t>
        </is>
      </c>
      <c r="AS157" s="17" t="inlineStr">
        <is>
          <t>C(부분확인)</t>
        </is>
      </c>
      <c r="AT157" s="17" t="n">
        <v>90</v>
      </c>
      <c r="AU157" s="17" t="inlineStr"/>
      <c r="AV157" s="17" t="inlineStr"/>
    </row>
    <row r="158">
      <c r="A158" s="26" t="inlineStr">
        <is>
          <t>Tier B</t>
        </is>
      </c>
      <c r="B158" s="17" t="n">
        <v>20</v>
      </c>
      <c r="C158" s="17" t="inlineStr">
        <is>
          <t>대웅바이오(주)</t>
        </is>
      </c>
      <c r="D158" s="17" t="inlineStr">
        <is>
          <t>미확인</t>
        </is>
      </c>
      <c r="E158" s="17" t="inlineStr">
        <is>
          <t>경기도</t>
        </is>
      </c>
      <c r="F158" s="17" t="inlineStr">
        <is>
          <t>화성시</t>
        </is>
      </c>
      <c r="G158" s="17" t="n">
        <v>3</v>
      </c>
      <c r="H158" s="17" t="inlineStr"/>
      <c r="I158" s="17" t="inlineStr"/>
      <c r="J158" s="17" t="inlineStr">
        <is>
          <t>Y</t>
        </is>
      </c>
      <c r="K158" s="17" t="inlineStr">
        <is>
          <t>Y</t>
        </is>
      </c>
      <c r="L158" s="22" t="inlineStr">
        <is>
          <t>미확인</t>
        </is>
      </c>
      <c r="M158" s="22" t="inlineStr">
        <is>
          <t>미확인</t>
        </is>
      </c>
      <c r="N158" s="22" t="inlineStr">
        <is>
          <t>미확인</t>
        </is>
      </c>
      <c r="O158" s="22" t="inlineStr">
        <is>
          <t>미확인</t>
        </is>
      </c>
      <c r="P158" s="17" t="inlineStr">
        <is>
          <t>통합형</t>
        </is>
      </c>
      <c r="Q158" s="22" t="inlineStr">
        <is>
          <t>미확인</t>
        </is>
      </c>
      <c r="R158" s="22" t="inlineStr">
        <is>
          <t>미확인</t>
        </is>
      </c>
      <c r="S158" s="17" t="inlineStr">
        <is>
          <t>Tier D</t>
        </is>
      </c>
      <c r="T158" s="17" t="n">
        <v>12</v>
      </c>
      <c r="U158" s="17" t="inlineStr">
        <is>
          <t>C090</t>
        </is>
      </c>
      <c r="V158" s="17" t="inlineStr">
        <is>
          <t>대웅바이오</t>
        </is>
      </c>
      <c r="W158" s="17" t="inlineStr"/>
      <c r="X158" s="17" t="inlineStr"/>
      <c r="Y158" s="23" t="inlineStr"/>
      <c r="Z158" s="17" t="inlineStr">
        <is>
          <t>진성곤</t>
        </is>
      </c>
      <c r="AA158" s="17" t="inlineStr"/>
      <c r="AB158" s="17" t="inlineStr">
        <is>
          <t>031-3535-2713</t>
        </is>
      </c>
      <c r="AC158" s="17" t="inlineStr">
        <is>
          <t>미확인</t>
        </is>
      </c>
      <c r="AD158" s="17" t="inlineStr">
        <is>
          <t>Y</t>
        </is>
      </c>
      <c r="AE158" s="17" t="inlineStr">
        <is>
          <t>P256</t>
        </is>
      </c>
      <c r="AF158" s="17" t="inlineStr">
        <is>
          <t>경기도 화성시 만세구 향남읍 제약단지로 29</t>
        </is>
      </c>
      <c r="AG158" s="17" t="inlineStr">
        <is>
          <t>원료의약품</t>
        </is>
      </c>
      <c r="AH158" s="17" t="inlineStr">
        <is>
          <t>비무균-일반제제-합성</t>
        </is>
      </c>
      <c r="AI158" s="17" t="n">
        <v>1</v>
      </c>
      <c r="AJ158" s="24" t="n">
        <v>46850</v>
      </c>
      <c r="AK158" s="17" t="inlineStr"/>
      <c r="AL158" s="17" t="inlineStr"/>
      <c r="AM158" s="17" t="inlineStr">
        <is>
          <t>다중 제조소/다수 판정서로 문서관리 복잡; 원료 제조로 시험실 관리 필요</t>
        </is>
      </c>
      <c r="AN158" s="17" t="inlineStr">
        <is>
          <t>미확인</t>
        </is>
      </c>
      <c r="AO158" s="17" t="inlineStr">
        <is>
          <t>미확인</t>
        </is>
      </c>
      <c r="AP158" s="17" t="inlineStr">
        <is>
          <t>미확인</t>
        </is>
      </c>
      <c r="AQ158" s="17" t="inlineStr">
        <is>
          <t>담당자 파악 후 접촉</t>
        </is>
      </c>
      <c r="AR158" s="17" t="inlineStr">
        <is>
          <t>2026-07-05</t>
        </is>
      </c>
      <c r="AS158" s="17" t="inlineStr">
        <is>
          <t>C(부분확인)</t>
        </is>
      </c>
      <c r="AT158" s="17" t="n">
        <v>90</v>
      </c>
      <c r="AU158" s="17" t="inlineStr"/>
      <c r="AV158" s="17" t="inlineStr"/>
    </row>
    <row r="159">
      <c r="A159" s="26" t="inlineStr">
        <is>
          <t>Tier B</t>
        </is>
      </c>
      <c r="B159" s="17" t="n">
        <v>20</v>
      </c>
      <c r="C159" s="17" t="inlineStr">
        <is>
          <t>(주)이니바이오</t>
        </is>
      </c>
      <c r="D159" s="17" t="inlineStr">
        <is>
          <t>제1공장</t>
        </is>
      </c>
      <c r="E159" s="17" t="inlineStr">
        <is>
          <t>경기도</t>
        </is>
      </c>
      <c r="F159" s="17" t="inlineStr">
        <is>
          <t>부천시</t>
        </is>
      </c>
      <c r="G159" s="17" t="n">
        <v>1</v>
      </c>
      <c r="H159" s="20" t="inlineStr">
        <is>
          <t>Y</t>
        </is>
      </c>
      <c r="I159" s="21" t="inlineStr">
        <is>
          <t>Y</t>
        </is>
      </c>
      <c r="J159" s="17" t="inlineStr">
        <is>
          <t>Y</t>
        </is>
      </c>
      <c r="K159" s="17" t="inlineStr"/>
      <c r="L159" s="22" t="inlineStr">
        <is>
          <t>미확인</t>
        </is>
      </c>
      <c r="M159" s="22" t="inlineStr">
        <is>
          <t>미확인</t>
        </is>
      </c>
      <c r="N159" s="22" t="inlineStr">
        <is>
          <t>미확인</t>
        </is>
      </c>
      <c r="O159" s="22" t="inlineStr">
        <is>
          <t>미확인</t>
        </is>
      </c>
      <c r="P159" s="17" t="inlineStr">
        <is>
          <t>QMS+LIMS</t>
        </is>
      </c>
      <c r="Q159" s="22" t="inlineStr">
        <is>
          <t>미확인</t>
        </is>
      </c>
      <c r="R159" s="22" t="inlineStr">
        <is>
          <t>미확인</t>
        </is>
      </c>
      <c r="S159" s="17" t="inlineStr">
        <is>
          <t>Tier D</t>
        </is>
      </c>
      <c r="T159" s="17" t="n">
        <v>19</v>
      </c>
      <c r="U159" s="17" t="inlineStr">
        <is>
          <t>C022</t>
        </is>
      </c>
      <c r="V159" s="17" t="inlineStr">
        <is>
          <t>이니바이오</t>
        </is>
      </c>
      <c r="W159" s="17" t="inlineStr"/>
      <c r="X159" s="17" t="inlineStr"/>
      <c r="Y159" s="23" t="inlineStr"/>
      <c r="Z159" s="17" t="inlineStr">
        <is>
          <t>이기세</t>
        </is>
      </c>
      <c r="AA159" s="17" t="inlineStr"/>
      <c r="AB159" s="17" t="inlineStr">
        <is>
          <t>미확인</t>
        </is>
      </c>
      <c r="AC159" s="17" t="inlineStr">
        <is>
          <t>미확인</t>
        </is>
      </c>
      <c r="AD159" s="17" t="inlineStr">
        <is>
          <t>Y</t>
        </is>
      </c>
      <c r="AE159" s="17" t="inlineStr">
        <is>
          <t>P022</t>
        </is>
      </c>
      <c r="AF159" s="17" t="inlineStr">
        <is>
          <t>경기도 부천시 오정구 송내대로 506 (삼정동)</t>
        </is>
      </c>
      <c r="AG159" s="17" t="inlineStr">
        <is>
          <t>완제의약품</t>
        </is>
      </c>
      <c r="AH159" s="17" t="inlineStr">
        <is>
          <t>생물-독소-주사제(주사제)</t>
        </is>
      </c>
      <c r="AI159" s="17" t="n">
        <v>1</v>
      </c>
      <c r="AJ159" s="24" t="n">
        <v>47277</v>
      </c>
      <c r="AK159" s="17" t="inlineStr"/>
      <c r="AL159" s="17" t="inlineStr"/>
      <c r="AM159" s="17" t="inlineStr">
        <is>
          <t>무균/바이오 제조로 품질관리 난도 높음</t>
        </is>
      </c>
      <c r="AN159" s="17" t="inlineStr">
        <is>
          <t>미확인</t>
        </is>
      </c>
      <c r="AO159" s="17" t="inlineStr">
        <is>
          <t>미확인</t>
        </is>
      </c>
      <c r="AP159" s="17" t="inlineStr">
        <is>
          <t>미확인</t>
        </is>
      </c>
      <c r="AQ159" s="17" t="inlineStr">
        <is>
          <t>담당자 파악 후 접촉</t>
        </is>
      </c>
      <c r="AR159" s="17" t="inlineStr">
        <is>
          <t>2026-07-05</t>
        </is>
      </c>
      <c r="AS159" s="17" t="inlineStr">
        <is>
          <t>C(부분확인)</t>
        </is>
      </c>
      <c r="AT159" s="17" t="n">
        <v>90</v>
      </c>
      <c r="AU159" s="17" t="inlineStr"/>
      <c r="AV159" s="17" t="inlineStr"/>
    </row>
    <row r="160">
      <c r="A160" s="26" t="inlineStr">
        <is>
          <t>Tier B</t>
        </is>
      </c>
      <c r="B160" s="17" t="n">
        <v>20</v>
      </c>
      <c r="C160" s="17" t="inlineStr">
        <is>
          <t>(주)프로톡스</t>
        </is>
      </c>
      <c r="D160" s="17" t="inlineStr">
        <is>
          <t>제1공장</t>
        </is>
      </c>
      <c r="E160" s="17" t="inlineStr">
        <is>
          <t>경기도</t>
        </is>
      </c>
      <c r="F160" s="17" t="inlineStr">
        <is>
          <t>화성시</t>
        </is>
      </c>
      <c r="G160" s="17" t="n">
        <v>1</v>
      </c>
      <c r="H160" s="20" t="inlineStr">
        <is>
          <t>Y</t>
        </is>
      </c>
      <c r="I160" s="21" t="inlineStr">
        <is>
          <t>Y</t>
        </is>
      </c>
      <c r="J160" s="17" t="inlineStr">
        <is>
          <t>Y</t>
        </is>
      </c>
      <c r="K160" s="17" t="inlineStr"/>
      <c r="L160" s="22" t="inlineStr">
        <is>
          <t>미확인</t>
        </is>
      </c>
      <c r="M160" s="22" t="inlineStr">
        <is>
          <t>미확인</t>
        </is>
      </c>
      <c r="N160" s="22" t="inlineStr">
        <is>
          <t>미확인</t>
        </is>
      </c>
      <c r="O160" s="22" t="inlineStr">
        <is>
          <t>미확인</t>
        </is>
      </c>
      <c r="P160" s="17" t="inlineStr">
        <is>
          <t>QMS+LIMS</t>
        </is>
      </c>
      <c r="Q160" s="22" t="inlineStr">
        <is>
          <t>미확인</t>
        </is>
      </c>
      <c r="R160" s="22" t="inlineStr">
        <is>
          <t>미확인</t>
        </is>
      </c>
      <c r="S160" s="17" t="inlineStr">
        <is>
          <t>Tier D</t>
        </is>
      </c>
      <c r="T160" s="17" t="n">
        <v>19</v>
      </c>
      <c r="U160" s="17" t="inlineStr">
        <is>
          <t>C030</t>
        </is>
      </c>
      <c r="V160" s="17" t="inlineStr">
        <is>
          <t>프로톡스</t>
        </is>
      </c>
      <c r="W160" s="17" t="inlineStr"/>
      <c r="X160" s="17" t="inlineStr"/>
      <c r="Y160" s="23" t="inlineStr"/>
      <c r="Z160" s="17" t="inlineStr">
        <is>
          <t>김창수</t>
        </is>
      </c>
      <c r="AA160" s="17" t="inlineStr"/>
      <c r="AB160" s="17" t="inlineStr">
        <is>
          <t>미확인</t>
        </is>
      </c>
      <c r="AC160" s="17" t="inlineStr">
        <is>
          <t>미확인</t>
        </is>
      </c>
      <c r="AD160" s="17" t="inlineStr">
        <is>
          <t>Y</t>
        </is>
      </c>
      <c r="AE160" s="17" t="inlineStr">
        <is>
          <t>P030</t>
        </is>
      </c>
      <c r="AF160" s="17" t="inlineStr">
        <is>
          <t>경기도 화성시 향남읍 제약공단4길 94</t>
        </is>
      </c>
      <c r="AG160" s="17" t="inlineStr">
        <is>
          <t>완제의약품</t>
        </is>
      </c>
      <c r="AH160" s="17" t="inlineStr">
        <is>
          <t>생물-독소-주사제(동결건조주사제)</t>
        </is>
      </c>
      <c r="AI160" s="17" t="n">
        <v>1</v>
      </c>
      <c r="AJ160" s="24" t="n">
        <v>47255</v>
      </c>
      <c r="AK160" s="17" t="inlineStr"/>
      <c r="AL160" s="17" t="inlineStr"/>
      <c r="AM160" s="17" t="inlineStr">
        <is>
          <t>무균/바이오 제조로 품질관리 난도 높음</t>
        </is>
      </c>
      <c r="AN160" s="17" t="inlineStr">
        <is>
          <t>미확인</t>
        </is>
      </c>
      <c r="AO160" s="17" t="inlineStr">
        <is>
          <t>미확인</t>
        </is>
      </c>
      <c r="AP160" s="17" t="inlineStr">
        <is>
          <t>미확인</t>
        </is>
      </c>
      <c r="AQ160" s="17" t="inlineStr">
        <is>
          <t>담당자 파악 후 접촉</t>
        </is>
      </c>
      <c r="AR160" s="17" t="inlineStr">
        <is>
          <t>2026-07-05</t>
        </is>
      </c>
      <c r="AS160" s="17" t="inlineStr">
        <is>
          <t>C(부분확인)</t>
        </is>
      </c>
      <c r="AT160" s="17" t="n">
        <v>90</v>
      </c>
      <c r="AU160" s="17" t="inlineStr"/>
      <c r="AV160" s="17" t="inlineStr"/>
    </row>
    <row r="161">
      <c r="A161" s="26" t="inlineStr">
        <is>
          <t>Tier B</t>
        </is>
      </c>
      <c r="B161" s="17" t="n">
        <v>19</v>
      </c>
      <c r="C161" s="17" t="inlineStr">
        <is>
          <t>경방신약(주)</t>
        </is>
      </c>
      <c r="D161" s="17" t="inlineStr">
        <is>
          <t>2공장</t>
        </is>
      </c>
      <c r="E161" s="17" t="inlineStr">
        <is>
          <t>충청남도</t>
        </is>
      </c>
      <c r="F161" s="17" t="inlineStr">
        <is>
          <t>금산군</t>
        </is>
      </c>
      <c r="G161" s="17" t="n">
        <v>2</v>
      </c>
      <c r="H161" s="17" t="inlineStr"/>
      <c r="I161" s="17" t="inlineStr"/>
      <c r="J161" s="17" t="inlineStr">
        <is>
          <t>Y</t>
        </is>
      </c>
      <c r="K161" s="17" t="inlineStr">
        <is>
          <t>Y</t>
        </is>
      </c>
      <c r="L161" s="22" t="inlineStr">
        <is>
          <t>미확인</t>
        </is>
      </c>
      <c r="M161" s="22" t="inlineStr">
        <is>
          <t>미확인</t>
        </is>
      </c>
      <c r="N161" s="22" t="inlineStr">
        <is>
          <t>미확인</t>
        </is>
      </c>
      <c r="O161" s="22" t="inlineStr">
        <is>
          <t>미확인</t>
        </is>
      </c>
      <c r="P161" s="17" t="inlineStr">
        <is>
          <t>통합형</t>
        </is>
      </c>
      <c r="Q161" s="22" t="inlineStr">
        <is>
          <t>미확인</t>
        </is>
      </c>
      <c r="R161" s="22" t="inlineStr">
        <is>
          <t>미확인</t>
        </is>
      </c>
      <c r="S161" s="17" t="inlineStr">
        <is>
          <t>Tier D</t>
        </is>
      </c>
      <c r="T161" s="17" t="n">
        <v>11</v>
      </c>
      <c r="U161" s="17" t="inlineStr">
        <is>
          <t>C010</t>
        </is>
      </c>
      <c r="V161" s="17" t="inlineStr">
        <is>
          <t>경방신약</t>
        </is>
      </c>
      <c r="W161" s="17" t="inlineStr"/>
      <c r="X161" s="17" t="inlineStr"/>
      <c r="Y161" s="23" t="inlineStr"/>
      <c r="Z161" s="17" t="inlineStr">
        <is>
          <t>김충환</t>
        </is>
      </c>
      <c r="AA161" s="17" t="inlineStr"/>
      <c r="AB161" s="17" t="inlineStr">
        <is>
          <t>0328224322032222890515997199</t>
        </is>
      </c>
      <c r="AC161" s="17" t="inlineStr">
        <is>
          <t>미확인</t>
        </is>
      </c>
      <c r="AD161" s="17" t="inlineStr">
        <is>
          <t>Y</t>
        </is>
      </c>
      <c r="AE161" s="17" t="inlineStr">
        <is>
          <t>P010</t>
        </is>
      </c>
      <c r="AF161" s="17" t="inlineStr">
        <is>
          <t>충청남도 금산군 부리면 인삼약초공단로 27</t>
        </is>
      </c>
      <c r="AG161" s="17" t="inlineStr">
        <is>
          <t>완제의약품+원료의약품</t>
        </is>
      </c>
      <c r="AH161" s="17" t="inlineStr">
        <is>
          <t>비무균-일반제제-추출</t>
        </is>
      </c>
      <c r="AI161" s="17" t="n">
        <v>2</v>
      </c>
      <c r="AJ161" s="24" t="n">
        <v>47304</v>
      </c>
      <c r="AK161" s="17" t="inlineStr"/>
      <c r="AL161" s="17" t="inlineStr"/>
      <c r="AM161" s="17" t="inlineStr">
        <is>
          <t>다중 제조소/다수 판정서로 문서관리 복잡; 원료 제조로 시험실 관리 필요</t>
        </is>
      </c>
      <c r="AN161" s="17" t="inlineStr">
        <is>
          <t>미확인</t>
        </is>
      </c>
      <c r="AO161" s="17" t="inlineStr">
        <is>
          <t>미확인</t>
        </is>
      </c>
      <c r="AP161" s="17" t="inlineStr">
        <is>
          <t>미확인</t>
        </is>
      </c>
      <c r="AQ161" s="17" t="inlineStr">
        <is>
          <t>담당자 파악 후 접촉</t>
        </is>
      </c>
      <c r="AR161" s="17" t="inlineStr">
        <is>
          <t>2026-07-05</t>
        </is>
      </c>
      <c r="AS161" s="17" t="inlineStr">
        <is>
          <t>C(부분확인)</t>
        </is>
      </c>
      <c r="AT161" s="17" t="n">
        <v>90</v>
      </c>
      <c r="AU161" s="17" t="inlineStr"/>
      <c r="AV161" s="17" t="inlineStr"/>
    </row>
    <row r="162">
      <c r="A162" s="26" t="inlineStr">
        <is>
          <t>Tier B</t>
        </is>
      </c>
      <c r="B162" s="17" t="n">
        <v>19</v>
      </c>
      <c r="C162" s="17" t="inlineStr">
        <is>
          <t>경방신약(주)</t>
        </is>
      </c>
      <c r="D162" s="17" t="inlineStr">
        <is>
          <t>1공장</t>
        </is>
      </c>
      <c r="E162" s="17" t="inlineStr">
        <is>
          <t>인천광역시</t>
        </is>
      </c>
      <c r="F162" s="17" t="inlineStr">
        <is>
          <t>남동구</t>
        </is>
      </c>
      <c r="G162" s="17" t="n">
        <v>2</v>
      </c>
      <c r="H162" s="17" t="inlineStr"/>
      <c r="I162" s="17" t="inlineStr"/>
      <c r="J162" s="17" t="inlineStr">
        <is>
          <t>Y</t>
        </is>
      </c>
      <c r="K162" s="17" t="inlineStr">
        <is>
          <t>Y</t>
        </is>
      </c>
      <c r="L162" s="22" t="inlineStr">
        <is>
          <t>미확인</t>
        </is>
      </c>
      <c r="M162" s="22" t="inlineStr">
        <is>
          <t>미확인</t>
        </is>
      </c>
      <c r="N162" s="22" t="inlineStr">
        <is>
          <t>미확인</t>
        </is>
      </c>
      <c r="O162" s="22" t="inlineStr">
        <is>
          <t>미확인</t>
        </is>
      </c>
      <c r="P162" s="17" t="inlineStr">
        <is>
          <t>통합형</t>
        </is>
      </c>
      <c r="Q162" s="22" t="inlineStr">
        <is>
          <t>미확인</t>
        </is>
      </c>
      <c r="R162" s="22" t="inlineStr">
        <is>
          <t>미확인</t>
        </is>
      </c>
      <c r="S162" s="17" t="inlineStr">
        <is>
          <t>Tier D</t>
        </is>
      </c>
      <c r="T162" s="17" t="n">
        <v>11</v>
      </c>
      <c r="U162" s="17" t="inlineStr">
        <is>
          <t>C010</t>
        </is>
      </c>
      <c r="V162" s="17" t="inlineStr">
        <is>
          <t>경방신약</t>
        </is>
      </c>
      <c r="W162" s="17" t="inlineStr"/>
      <c r="X162" s="17" t="inlineStr"/>
      <c r="Y162" s="23" t="inlineStr"/>
      <c r="Z162" s="17" t="inlineStr">
        <is>
          <t>김충환</t>
        </is>
      </c>
      <c r="AA162" s="17" t="inlineStr"/>
      <c r="AB162" s="17" t="inlineStr">
        <is>
          <t>0328224322032222890515997199</t>
        </is>
      </c>
      <c r="AC162" s="17" t="inlineStr">
        <is>
          <t>미확인</t>
        </is>
      </c>
      <c r="AD162" s="17" t="inlineStr">
        <is>
          <t>Y</t>
        </is>
      </c>
      <c r="AE162" s="17" t="inlineStr">
        <is>
          <t>P447</t>
        </is>
      </c>
      <c r="AF162" s="17" t="inlineStr">
        <is>
          <t>인천광역시 남동구 남동대로 394</t>
        </is>
      </c>
      <c r="AG162" s="17" t="inlineStr">
        <is>
          <t>완제의약품</t>
        </is>
      </c>
      <c r="AH162" s="17" t="inlineStr">
        <is>
          <t>비무균-일반제제-내용고형제(정제, 캡슐제, 산제, 과립제, 환제)</t>
        </is>
      </c>
      <c r="AI162" s="17" t="n">
        <v>1</v>
      </c>
      <c r="AJ162" s="24" t="n">
        <v>46404</v>
      </c>
      <c r="AK162" s="17" t="inlineStr"/>
      <c r="AL162" s="17" t="inlineStr">
        <is>
          <t>Y</t>
        </is>
      </c>
      <c r="AM162" s="17" t="inlineStr">
        <is>
          <t>다중 제조소/다수 판정서로 문서관리 복잡; 원료 제조로 시험실 관리 필요</t>
        </is>
      </c>
      <c r="AN162" s="17" t="inlineStr">
        <is>
          <t>미확인</t>
        </is>
      </c>
      <c r="AO162" s="17" t="inlineStr">
        <is>
          <t>미확인</t>
        </is>
      </c>
      <c r="AP162" s="17" t="inlineStr">
        <is>
          <t>미확인</t>
        </is>
      </c>
      <c r="AQ162" s="17" t="inlineStr">
        <is>
          <t>담당자 파악 후 접촉</t>
        </is>
      </c>
      <c r="AR162" s="17" t="inlineStr">
        <is>
          <t>2026-07-05</t>
        </is>
      </c>
      <c r="AS162" s="17" t="inlineStr">
        <is>
          <t>C(부분확인)</t>
        </is>
      </c>
      <c r="AT162" s="17" t="n">
        <v>90</v>
      </c>
      <c r="AU162" s="17" t="inlineStr"/>
      <c r="AV162" s="17" t="inlineStr"/>
    </row>
    <row r="163">
      <c r="A163" s="26" t="inlineStr">
        <is>
          <t>Tier B</t>
        </is>
      </c>
      <c r="B163" s="17" t="n">
        <v>19</v>
      </c>
      <c r="C163" s="17" t="inlineStr">
        <is>
          <t>동방에프티엘(주)</t>
        </is>
      </c>
      <c r="D163" s="17" t="inlineStr">
        <is>
          <t>3공장</t>
        </is>
      </c>
      <c r="E163" s="17" t="inlineStr">
        <is>
          <t>경기도</t>
        </is>
      </c>
      <c r="F163" s="17" t="inlineStr">
        <is>
          <t>화성시</t>
        </is>
      </c>
      <c r="G163" s="17" t="n">
        <v>2</v>
      </c>
      <c r="H163" s="17" t="inlineStr"/>
      <c r="I163" s="17" t="inlineStr"/>
      <c r="J163" s="17" t="inlineStr">
        <is>
          <t>Y</t>
        </is>
      </c>
      <c r="K163" s="17" t="inlineStr">
        <is>
          <t>Y</t>
        </is>
      </c>
      <c r="L163" s="22" t="inlineStr">
        <is>
          <t>미확인</t>
        </is>
      </c>
      <c r="M163" s="22" t="inlineStr">
        <is>
          <t>미확인</t>
        </is>
      </c>
      <c r="N163" s="22" t="inlineStr">
        <is>
          <t>미확인</t>
        </is>
      </c>
      <c r="O163" s="22" t="inlineStr">
        <is>
          <t>미확인</t>
        </is>
      </c>
      <c r="P163" s="17" t="inlineStr">
        <is>
          <t>통합형</t>
        </is>
      </c>
      <c r="Q163" s="22" t="inlineStr">
        <is>
          <t>미확인</t>
        </is>
      </c>
      <c r="R163" s="22" t="inlineStr">
        <is>
          <t>미확인</t>
        </is>
      </c>
      <c r="S163" s="17" t="inlineStr">
        <is>
          <t>Tier D</t>
        </is>
      </c>
      <c r="T163" s="17" t="n">
        <v>11</v>
      </c>
      <c r="U163" s="17" t="inlineStr">
        <is>
          <t>C092</t>
        </is>
      </c>
      <c r="V163" s="17" t="inlineStr">
        <is>
          <t>동방에프티엘</t>
        </is>
      </c>
      <c r="W163" s="17" t="inlineStr"/>
      <c r="X163" s="17" t="inlineStr"/>
      <c r="Y163" s="23" t="inlineStr"/>
      <c r="Z163" s="17" t="inlineStr">
        <is>
          <t>김남기</t>
        </is>
      </c>
      <c r="AA163" s="17" t="inlineStr"/>
      <c r="AB163" s="17" t="inlineStr">
        <is>
          <t>02-741-7517</t>
        </is>
      </c>
      <c r="AC163" s="17" t="inlineStr">
        <is>
          <t>미확인</t>
        </is>
      </c>
      <c r="AD163" s="17" t="inlineStr">
        <is>
          <t>Y</t>
        </is>
      </c>
      <c r="AE163" s="17" t="inlineStr">
        <is>
          <t>P095</t>
        </is>
      </c>
      <c r="AF163" s="17" t="inlineStr">
        <is>
          <t>경기도 화성시 만세구 향남읍 제약공단4길 74</t>
        </is>
      </c>
      <c r="AG163" s="17" t="inlineStr">
        <is>
          <t>원료의약품</t>
        </is>
      </c>
      <c r="AH163" s="17" t="inlineStr">
        <is>
          <t>비무균-일반제제-합성</t>
        </is>
      </c>
      <c r="AI163" s="17" t="n">
        <v>1</v>
      </c>
      <c r="AJ163" s="24" t="n">
        <v>47101</v>
      </c>
      <c r="AK163" s="17" t="inlineStr"/>
      <c r="AL163" s="17" t="inlineStr"/>
      <c r="AM163" s="17" t="inlineStr">
        <is>
          <t>다중 제조소/다수 판정서로 문서관리 복잡; 원료 제조로 시험실 관리 필요</t>
        </is>
      </c>
      <c r="AN163" s="17" t="inlineStr">
        <is>
          <t>미확인</t>
        </is>
      </c>
      <c r="AO163" s="17" t="inlineStr">
        <is>
          <t>미확인</t>
        </is>
      </c>
      <c r="AP163" s="17" t="inlineStr">
        <is>
          <t>미확인</t>
        </is>
      </c>
      <c r="AQ163" s="17" t="inlineStr">
        <is>
          <t>담당자 파악 후 접촉</t>
        </is>
      </c>
      <c r="AR163" s="17" t="inlineStr">
        <is>
          <t>2026-07-05</t>
        </is>
      </c>
      <c r="AS163" s="17" t="inlineStr">
        <is>
          <t>C(부분확인)</t>
        </is>
      </c>
      <c r="AT163" s="17" t="n">
        <v>90</v>
      </c>
      <c r="AU163" s="17" t="inlineStr"/>
      <c r="AV163" s="17" t="inlineStr"/>
    </row>
    <row r="164">
      <c r="A164" s="26" t="inlineStr">
        <is>
          <t>Tier B</t>
        </is>
      </c>
      <c r="B164" s="17" t="n">
        <v>19</v>
      </c>
      <c r="C164" s="17" t="inlineStr">
        <is>
          <t>동방에프티엘(주)</t>
        </is>
      </c>
      <c r="D164" s="17" t="inlineStr">
        <is>
          <t>3공장</t>
        </is>
      </c>
      <c r="E164" s="17" t="inlineStr">
        <is>
          <t>경기도</t>
        </is>
      </c>
      <c r="F164" s="17" t="inlineStr">
        <is>
          <t>화성시</t>
        </is>
      </c>
      <c r="G164" s="17" t="n">
        <v>2</v>
      </c>
      <c r="H164" s="17" t="inlineStr"/>
      <c r="I164" s="17" t="inlineStr"/>
      <c r="J164" s="17" t="inlineStr">
        <is>
          <t>Y</t>
        </is>
      </c>
      <c r="K164" s="17" t="inlineStr">
        <is>
          <t>Y</t>
        </is>
      </c>
      <c r="L164" s="22" t="inlineStr">
        <is>
          <t>미확인</t>
        </is>
      </c>
      <c r="M164" s="22" t="inlineStr">
        <is>
          <t>미확인</t>
        </is>
      </c>
      <c r="N164" s="22" t="inlineStr">
        <is>
          <t>미확인</t>
        </is>
      </c>
      <c r="O164" s="22" t="inlineStr">
        <is>
          <t>미확인</t>
        </is>
      </c>
      <c r="P164" s="17" t="inlineStr">
        <is>
          <t>통합형</t>
        </is>
      </c>
      <c r="Q164" s="22" t="inlineStr">
        <is>
          <t>미확인</t>
        </is>
      </c>
      <c r="R164" s="22" t="inlineStr">
        <is>
          <t>미확인</t>
        </is>
      </c>
      <c r="S164" s="17" t="inlineStr">
        <is>
          <t>Tier D</t>
        </is>
      </c>
      <c r="T164" s="17" t="n">
        <v>11</v>
      </c>
      <c r="U164" s="17" t="inlineStr">
        <is>
          <t>C092</t>
        </is>
      </c>
      <c r="V164" s="17" t="inlineStr">
        <is>
          <t>동방에프티엘</t>
        </is>
      </c>
      <c r="W164" s="17" t="inlineStr"/>
      <c r="X164" s="17" t="inlineStr"/>
      <c r="Y164" s="23" t="inlineStr"/>
      <c r="Z164" s="17" t="inlineStr">
        <is>
          <t>김남기</t>
        </is>
      </c>
      <c r="AA164" s="17" t="inlineStr"/>
      <c r="AB164" s="17" t="inlineStr">
        <is>
          <t>02-741-7517</t>
        </is>
      </c>
      <c r="AC164" s="17" t="inlineStr">
        <is>
          <t>미확인</t>
        </is>
      </c>
      <c r="AD164" s="17" t="inlineStr">
        <is>
          <t>Y</t>
        </is>
      </c>
      <c r="AE164" s="17" t="inlineStr">
        <is>
          <t>P364</t>
        </is>
      </c>
      <c r="AF164" s="17" t="inlineStr">
        <is>
          <t>경기도 화성시 만세구 향남읍 제약공단4길 78</t>
        </is>
      </c>
      <c r="AG164" s="17" t="inlineStr">
        <is>
          <t>완제의약품+원료의약품</t>
        </is>
      </c>
      <c r="AH164" s="17" t="inlineStr">
        <is>
          <t>비무균-일반제제-합성, 비무균-일반제제-추출</t>
        </is>
      </c>
      <c r="AI164" s="17" t="n">
        <v>2</v>
      </c>
      <c r="AJ164" s="24" t="n">
        <v>46564</v>
      </c>
      <c r="AK164" s="17" t="inlineStr"/>
      <c r="AL164" s="17" t="inlineStr">
        <is>
          <t>Y</t>
        </is>
      </c>
      <c r="AM164" s="17" t="inlineStr">
        <is>
          <t>다중 제조소/다수 판정서로 문서관리 복잡; 원료 제조로 시험실 관리 필요</t>
        </is>
      </c>
      <c r="AN164" s="17" t="inlineStr">
        <is>
          <t>미확인</t>
        </is>
      </c>
      <c r="AO164" s="17" t="inlineStr">
        <is>
          <t>미확인</t>
        </is>
      </c>
      <c r="AP164" s="17" t="inlineStr">
        <is>
          <t>미확인</t>
        </is>
      </c>
      <c r="AQ164" s="17" t="inlineStr">
        <is>
          <t>담당자 파악 후 접촉</t>
        </is>
      </c>
      <c r="AR164" s="17" t="inlineStr">
        <is>
          <t>2026-07-05</t>
        </is>
      </c>
      <c r="AS164" s="17" t="inlineStr">
        <is>
          <t>C(부분확인)</t>
        </is>
      </c>
      <c r="AT164" s="17" t="n">
        <v>90</v>
      </c>
      <c r="AU164" s="17" t="inlineStr"/>
      <c r="AV164" s="17" t="inlineStr"/>
    </row>
    <row r="165">
      <c r="A165" s="26" t="inlineStr">
        <is>
          <t>Tier B</t>
        </is>
      </c>
      <c r="B165" s="17" t="n">
        <v>19</v>
      </c>
      <c r="C165" s="17" t="inlineStr">
        <is>
          <t>(주)유케이케미팜</t>
        </is>
      </c>
      <c r="D165" s="17" t="inlineStr">
        <is>
          <t>안산</t>
        </is>
      </c>
      <c r="E165" s="17" t="inlineStr">
        <is>
          <t>경기도</t>
        </is>
      </c>
      <c r="F165" s="17" t="inlineStr">
        <is>
          <t>안산시</t>
        </is>
      </c>
      <c r="G165" s="17" t="n">
        <v>1</v>
      </c>
      <c r="H165" s="20" t="inlineStr">
        <is>
          <t>Y</t>
        </is>
      </c>
      <c r="I165" s="17" t="inlineStr"/>
      <c r="J165" s="17" t="inlineStr">
        <is>
          <t>Y</t>
        </is>
      </c>
      <c r="K165" s="17" t="inlineStr">
        <is>
          <t>Y</t>
        </is>
      </c>
      <c r="L165" s="22" t="inlineStr">
        <is>
          <t>미확인</t>
        </is>
      </c>
      <c r="M165" s="22" t="inlineStr">
        <is>
          <t>미확인</t>
        </is>
      </c>
      <c r="N165" s="22" t="inlineStr">
        <is>
          <t>미확인</t>
        </is>
      </c>
      <c r="O165" s="22" t="inlineStr">
        <is>
          <t>미확인</t>
        </is>
      </c>
      <c r="P165" s="17" t="inlineStr">
        <is>
          <t>QMS+LIMS</t>
        </is>
      </c>
      <c r="Q165" s="22" t="inlineStr">
        <is>
          <t>미확인</t>
        </is>
      </c>
      <c r="R165" s="22" t="inlineStr">
        <is>
          <t>미확인</t>
        </is>
      </c>
      <c r="S165" s="17" t="inlineStr">
        <is>
          <t>Tier D</t>
        </is>
      </c>
      <c r="T165" s="17" t="n">
        <v>12</v>
      </c>
      <c r="U165" s="17" t="inlineStr">
        <is>
          <t>C015</t>
        </is>
      </c>
      <c r="V165" s="17" t="inlineStr">
        <is>
          <t>유케이케미팜</t>
        </is>
      </c>
      <c r="W165" s="17" t="inlineStr"/>
      <c r="X165" s="17" t="inlineStr"/>
      <c r="Y165" s="23" t="inlineStr"/>
      <c r="Z165" s="17" t="inlineStr">
        <is>
          <t>오기범</t>
        </is>
      </c>
      <c r="AA165" s="17" t="inlineStr"/>
      <c r="AB165" s="17" t="inlineStr">
        <is>
          <t>미확인</t>
        </is>
      </c>
      <c r="AC165" s="17" t="inlineStr">
        <is>
          <t>미확인</t>
        </is>
      </c>
      <c r="AD165" s="17" t="inlineStr">
        <is>
          <t>Y</t>
        </is>
      </c>
      <c r="AE165" s="17" t="inlineStr">
        <is>
          <t>P015</t>
        </is>
      </c>
      <c r="AF165" s="17" t="inlineStr">
        <is>
          <t>경기도 안산시 단원구 목내로122번길 11</t>
        </is>
      </c>
      <c r="AG165" s="17" t="inlineStr">
        <is>
          <t>완제의약품+원료의약품</t>
        </is>
      </c>
      <c r="AH165" s="17" t="inlineStr">
        <is>
          <t>비무균-일반제제-합성</t>
        </is>
      </c>
      <c r="AI165" s="17" t="n">
        <v>2</v>
      </c>
      <c r="AJ165" s="24" t="n">
        <v>47291</v>
      </c>
      <c r="AK165" s="17" t="inlineStr"/>
      <c r="AL165" s="17" t="inlineStr"/>
      <c r="AM165" s="17" t="inlineStr">
        <is>
          <t>무균/바이오 제조로 품질관리 난도 높음; 원료 제조로 시험실 관리 필요</t>
        </is>
      </c>
      <c r="AN165" s="17" t="inlineStr">
        <is>
          <t>미확인</t>
        </is>
      </c>
      <c r="AO165" s="17" t="inlineStr">
        <is>
          <t>미확인</t>
        </is>
      </c>
      <c r="AP165" s="17" t="inlineStr">
        <is>
          <t>미확인</t>
        </is>
      </c>
      <c r="AQ165" s="17" t="inlineStr">
        <is>
          <t>담당자 파악 후 접촉</t>
        </is>
      </c>
      <c r="AR165" s="17" t="inlineStr">
        <is>
          <t>2026-07-05</t>
        </is>
      </c>
      <c r="AS165" s="17" t="inlineStr">
        <is>
          <t>C(부분확인)</t>
        </is>
      </c>
      <c r="AT165" s="17" t="n">
        <v>90</v>
      </c>
      <c r="AU165" s="17" t="inlineStr"/>
      <c r="AV165" s="17" t="inlineStr"/>
    </row>
    <row r="166">
      <c r="A166" s="26" t="inlineStr">
        <is>
          <t>Tier B</t>
        </is>
      </c>
      <c r="B166" s="17" t="n">
        <v>19</v>
      </c>
      <c r="C166" s="17" t="inlineStr">
        <is>
          <t>(주)파마리서치</t>
        </is>
      </c>
      <c r="D166" s="17" t="inlineStr">
        <is>
          <t>(보관소2)</t>
        </is>
      </c>
      <c r="E166" s="17" t="inlineStr">
        <is>
          <t>강원특별자치도</t>
        </is>
      </c>
      <c r="F166" s="17" t="inlineStr">
        <is>
          <t>강릉시</t>
        </is>
      </c>
      <c r="G166" s="17" t="n">
        <v>1</v>
      </c>
      <c r="H166" s="17" t="inlineStr"/>
      <c r="I166" s="17" t="inlineStr"/>
      <c r="J166" s="17" t="inlineStr">
        <is>
          <t>Y</t>
        </is>
      </c>
      <c r="K166" s="17" t="inlineStr">
        <is>
          <t>Y</t>
        </is>
      </c>
      <c r="L166" s="22" t="inlineStr">
        <is>
          <t>미확인</t>
        </is>
      </c>
      <c r="M166" s="22" t="inlineStr">
        <is>
          <t>미확인</t>
        </is>
      </c>
      <c r="N166" s="22" t="inlineStr">
        <is>
          <t>미확인</t>
        </is>
      </c>
      <c r="O166" s="22" t="inlineStr">
        <is>
          <t>미확인</t>
        </is>
      </c>
      <c r="P166" s="17" t="inlineStr">
        <is>
          <t>LIMS</t>
        </is>
      </c>
      <c r="Q166" s="22" t="inlineStr">
        <is>
          <t>미확인</t>
        </is>
      </c>
      <c r="R166" s="22" t="inlineStr">
        <is>
          <t>미확인</t>
        </is>
      </c>
      <c r="S166" s="17" t="inlineStr">
        <is>
          <t>Tier D</t>
        </is>
      </c>
      <c r="T166" s="17" t="n">
        <v>4</v>
      </c>
      <c r="U166" s="17" t="inlineStr">
        <is>
          <t>C098</t>
        </is>
      </c>
      <c r="V166" s="17" t="inlineStr">
        <is>
          <t>파마리서치</t>
        </is>
      </c>
      <c r="W166" s="17" t="inlineStr">
        <is>
          <t>Y</t>
        </is>
      </c>
      <c r="X166" s="17" t="inlineStr">
        <is>
          <t>코스닥</t>
        </is>
      </c>
      <c r="Y166" s="23" t="inlineStr">
        <is>
          <t>214450</t>
        </is>
      </c>
      <c r="Z166" s="17" t="inlineStr">
        <is>
          <t>손지훈</t>
        </is>
      </c>
      <c r="AA166" s="17" t="inlineStr">
        <is>
          <t>http://pharmaresearch.com/</t>
        </is>
      </c>
      <c r="AB166" s="17" t="inlineStr">
        <is>
          <t>미확인</t>
        </is>
      </c>
      <c r="AC166" s="17" t="inlineStr">
        <is>
          <t>미확인</t>
        </is>
      </c>
      <c r="AD166" s="17" t="inlineStr">
        <is>
          <t>Y</t>
        </is>
      </c>
      <c r="AE166" s="17" t="inlineStr">
        <is>
          <t>P101</t>
        </is>
      </c>
      <c r="AF166" s="17" t="inlineStr">
        <is>
          <t>강원특별자치도 강릉시 과학단지로 77-19 (대전동)</t>
        </is>
      </c>
      <c r="AG166" s="17" t="inlineStr">
        <is>
          <t>완제의약품+원료의약품</t>
        </is>
      </c>
      <c r="AH166" s="17" t="inlineStr">
        <is>
          <t>비무균-일반제제-외용액제(외용액제)</t>
        </is>
      </c>
      <c r="AI166" s="17" t="n">
        <v>2</v>
      </c>
      <c r="AJ166" s="24" t="n">
        <v>47081</v>
      </c>
      <c r="AK166" s="17" t="inlineStr"/>
      <c r="AL166" s="17" t="inlineStr"/>
      <c r="AM166" s="17" t="inlineStr">
        <is>
          <t>원료 제조로 시험실 관리 필요</t>
        </is>
      </c>
      <c r="AN166" s="17" t="inlineStr">
        <is>
          <t>미확인</t>
        </is>
      </c>
      <c r="AO166" s="17" t="inlineStr">
        <is>
          <t>미확인</t>
        </is>
      </c>
      <c r="AP166" s="17" t="inlineStr">
        <is>
          <t>미확인</t>
        </is>
      </c>
      <c r="AQ166" s="17" t="inlineStr">
        <is>
          <t>담당자 파악 후 접촉</t>
        </is>
      </c>
      <c r="AR166" s="17" t="inlineStr">
        <is>
          <t>2026-07-05</t>
        </is>
      </c>
      <c r="AS166" s="17" t="inlineStr">
        <is>
          <t>C(부분확인)</t>
        </is>
      </c>
      <c r="AT166" s="17" t="n">
        <v>90</v>
      </c>
      <c r="AU166" s="17" t="inlineStr"/>
      <c r="AV166" s="17" t="inlineStr"/>
    </row>
    <row r="167">
      <c r="A167" s="26" t="inlineStr">
        <is>
          <t>Tier B</t>
        </is>
      </c>
      <c r="B167" s="17" t="n">
        <v>19</v>
      </c>
      <c r="C167" s="17" t="inlineStr">
        <is>
          <t>대구경북첨단의료산업진흥재단</t>
        </is>
      </c>
      <c r="D167" s="17" t="inlineStr">
        <is>
          <t>제1공장</t>
        </is>
      </c>
      <c r="E167" s="17" t="inlineStr">
        <is>
          <t>대구광역시</t>
        </is>
      </c>
      <c r="F167" s="17" t="inlineStr">
        <is>
          <t>동구</t>
        </is>
      </c>
      <c r="G167" s="17" t="n">
        <v>1</v>
      </c>
      <c r="H167" s="20" t="inlineStr">
        <is>
          <t>Y</t>
        </is>
      </c>
      <c r="I167" s="17" t="inlineStr"/>
      <c r="J167" s="17" t="inlineStr">
        <is>
          <t>Y</t>
        </is>
      </c>
      <c r="K167" s="17" t="inlineStr">
        <is>
          <t>Y</t>
        </is>
      </c>
      <c r="L167" s="22" t="inlineStr">
        <is>
          <t>미확인</t>
        </is>
      </c>
      <c r="M167" s="22" t="inlineStr">
        <is>
          <t>미확인</t>
        </is>
      </c>
      <c r="N167" s="22" t="inlineStr">
        <is>
          <t>미확인</t>
        </is>
      </c>
      <c r="O167" s="22" t="inlineStr">
        <is>
          <t>미확인</t>
        </is>
      </c>
      <c r="P167" s="17" t="inlineStr">
        <is>
          <t>QMS+LIMS</t>
        </is>
      </c>
      <c r="Q167" s="22" t="inlineStr">
        <is>
          <t>미확인</t>
        </is>
      </c>
      <c r="R167" s="22" t="inlineStr">
        <is>
          <t>미확인</t>
        </is>
      </c>
      <c r="S167" s="17" t="inlineStr">
        <is>
          <t>Tier D</t>
        </is>
      </c>
      <c r="T167" s="17" t="n">
        <v>12</v>
      </c>
      <c r="U167" s="17" t="inlineStr">
        <is>
          <t>C250</t>
        </is>
      </c>
      <c r="V167" s="17" t="inlineStr">
        <is>
          <t>대구경북첨단의료산업진흥재단</t>
        </is>
      </c>
      <c r="W167" s="17" t="inlineStr"/>
      <c r="X167" s="17" t="inlineStr"/>
      <c r="Y167" s="23" t="inlineStr"/>
      <c r="Z167" s="17" t="inlineStr">
        <is>
          <t>박구선</t>
        </is>
      </c>
      <c r="AA167" s="17" t="inlineStr"/>
      <c r="AB167" s="17" t="inlineStr">
        <is>
          <t>053-790-5822</t>
        </is>
      </c>
      <c r="AC167" s="17" t="inlineStr">
        <is>
          <t>미확인</t>
        </is>
      </c>
      <c r="AD167" s="17" t="inlineStr">
        <is>
          <t>Y</t>
        </is>
      </c>
      <c r="AE167" s="17" t="inlineStr">
        <is>
          <t>P289</t>
        </is>
      </c>
      <c r="AF167" s="17" t="inlineStr">
        <is>
          <t>대구광역시 동구 첨복로 80</t>
        </is>
      </c>
      <c r="AG167" s="17" t="inlineStr">
        <is>
          <t>완제의약품+원료의약품</t>
        </is>
      </c>
      <c r="AH167" s="17" t="inlineStr">
        <is>
          <t>비무균-일반제제-합성</t>
        </is>
      </c>
      <c r="AI167" s="17" t="n">
        <v>2</v>
      </c>
      <c r="AJ167" s="24" t="n">
        <v>46807</v>
      </c>
      <c r="AK167" s="17" t="inlineStr"/>
      <c r="AL167" s="17" t="inlineStr"/>
      <c r="AM167" s="17" t="inlineStr">
        <is>
          <t>무균/바이오 제조로 품질관리 난도 높음; 원료 제조로 시험실 관리 필요</t>
        </is>
      </c>
      <c r="AN167" s="17" t="inlineStr">
        <is>
          <t>미확인</t>
        </is>
      </c>
      <c r="AO167" s="17" t="inlineStr">
        <is>
          <t>미확인</t>
        </is>
      </c>
      <c r="AP167" s="17" t="inlineStr">
        <is>
          <t>미확인</t>
        </is>
      </c>
      <c r="AQ167" s="17" t="inlineStr">
        <is>
          <t>담당자 파악 후 접촉</t>
        </is>
      </c>
      <c r="AR167" s="17" t="inlineStr">
        <is>
          <t>2026-07-05</t>
        </is>
      </c>
      <c r="AS167" s="17" t="inlineStr">
        <is>
          <t>C(부분확인)</t>
        </is>
      </c>
      <c r="AT167" s="17" t="n">
        <v>90</v>
      </c>
      <c r="AU167" s="17" t="inlineStr"/>
      <c r="AV167" s="17" t="inlineStr"/>
    </row>
    <row r="168">
      <c r="A168" s="26" t="inlineStr">
        <is>
          <t>Tier B</t>
        </is>
      </c>
      <c r="B168" s="17" t="n">
        <v>19</v>
      </c>
      <c r="C168" s="17" t="inlineStr">
        <is>
          <t>동화약품(주)</t>
        </is>
      </c>
      <c r="D168" s="17" t="inlineStr">
        <is>
          <t>충주</t>
        </is>
      </c>
      <c r="E168" s="17" t="inlineStr">
        <is>
          <t>충청북도</t>
        </is>
      </c>
      <c r="F168" s="17" t="inlineStr">
        <is>
          <t>충주시</t>
        </is>
      </c>
      <c r="G168" s="17" t="n">
        <v>1</v>
      </c>
      <c r="H168" s="17" t="inlineStr"/>
      <c r="I168" s="17" t="inlineStr"/>
      <c r="J168" s="17" t="inlineStr">
        <is>
          <t>Y</t>
        </is>
      </c>
      <c r="K168" s="17" t="inlineStr">
        <is>
          <t>Y</t>
        </is>
      </c>
      <c r="L168" s="22" t="inlineStr">
        <is>
          <t>미확인</t>
        </is>
      </c>
      <c r="M168" s="22" t="inlineStr">
        <is>
          <t>미확인</t>
        </is>
      </c>
      <c r="N168" s="22" t="inlineStr">
        <is>
          <t>미확인</t>
        </is>
      </c>
      <c r="O168" s="22" t="inlineStr">
        <is>
          <t>미확인</t>
        </is>
      </c>
      <c r="P168" s="17" t="inlineStr">
        <is>
          <t>LIMS</t>
        </is>
      </c>
      <c r="Q168" s="22" t="inlineStr">
        <is>
          <t>미확인</t>
        </is>
      </c>
      <c r="R168" s="22" t="inlineStr">
        <is>
          <t>미확인</t>
        </is>
      </c>
      <c r="S168" s="17" t="inlineStr">
        <is>
          <t>Tier D</t>
        </is>
      </c>
      <c r="T168" s="17" t="n">
        <v>7</v>
      </c>
      <c r="U168" s="17" t="inlineStr">
        <is>
          <t>C188</t>
        </is>
      </c>
      <c r="V168" s="17" t="inlineStr">
        <is>
          <t>동화약품</t>
        </is>
      </c>
      <c r="W168" s="17" t="inlineStr">
        <is>
          <t>Y</t>
        </is>
      </c>
      <c r="X168" s="17" t="inlineStr">
        <is>
          <t>유가</t>
        </is>
      </c>
      <c r="Y168" s="23" t="inlineStr">
        <is>
          <t>000020</t>
        </is>
      </c>
      <c r="Z168" s="17" t="inlineStr">
        <is>
          <t>유준하, 윤인호(각자 대표이사)</t>
        </is>
      </c>
      <c r="AA168" s="17" t="inlineStr">
        <is>
          <t>http://www.dong-wha.co.kr</t>
        </is>
      </c>
      <c r="AB168" s="17" t="inlineStr">
        <is>
          <t>080-023-1897</t>
        </is>
      </c>
      <c r="AC168" s="17" t="inlineStr">
        <is>
          <t>미확인</t>
        </is>
      </c>
      <c r="AD168" s="17" t="inlineStr">
        <is>
          <t>Y</t>
        </is>
      </c>
      <c r="AE168" s="17" t="inlineStr">
        <is>
          <t>P202</t>
        </is>
      </c>
      <c r="AF168" s="17" t="inlineStr">
        <is>
          <t>충청북도 충주시 충주산단1로 167</t>
        </is>
      </c>
      <c r="AG168" s="17" t="inlineStr">
        <is>
          <t>완제의약품+원료의약품</t>
        </is>
      </c>
      <c r="AH168" s="17" t="inlineStr">
        <is>
          <t>비무균-일반제제-합성</t>
        </is>
      </c>
      <c r="AI168" s="17" t="n">
        <v>2</v>
      </c>
      <c r="AJ168" s="24" t="n">
        <v>46918</v>
      </c>
      <c r="AK168" s="17" t="inlineStr"/>
      <c r="AL168" s="17" t="inlineStr"/>
      <c r="AM168" s="17" t="inlineStr">
        <is>
          <t>원료 제조로 시험실 관리 필요</t>
        </is>
      </c>
      <c r="AN168" s="17" t="inlineStr">
        <is>
          <t>미확인</t>
        </is>
      </c>
      <c r="AO168" s="17" t="inlineStr">
        <is>
          <t>미확인</t>
        </is>
      </c>
      <c r="AP168" s="17" t="inlineStr">
        <is>
          <t>미확인</t>
        </is>
      </c>
      <c r="AQ168" s="17" t="inlineStr">
        <is>
          <t>담당자 파악 후 접촉</t>
        </is>
      </c>
      <c r="AR168" s="17" t="inlineStr">
        <is>
          <t>2026-07-05</t>
        </is>
      </c>
      <c r="AS168" s="17" t="inlineStr">
        <is>
          <t>C(부분확인)</t>
        </is>
      </c>
      <c r="AT168" s="17" t="n">
        <v>90</v>
      </c>
      <c r="AU168" s="17" t="inlineStr"/>
      <c r="AV168" s="17" t="inlineStr"/>
    </row>
    <row r="169">
      <c r="A169" s="26" t="inlineStr">
        <is>
          <t>Tier B</t>
        </is>
      </c>
      <c r="B169" s="17" t="n">
        <v>19</v>
      </c>
      <c r="C169" s="17" t="inlineStr">
        <is>
          <t>에스피씨(주)</t>
        </is>
      </c>
      <c r="D169" s="17" t="inlineStr">
        <is>
          <t>평택시</t>
        </is>
      </c>
      <c r="E169" s="17" t="inlineStr">
        <is>
          <t>경기도</t>
        </is>
      </c>
      <c r="F169" s="17" t="inlineStr">
        <is>
          <t>평택시</t>
        </is>
      </c>
      <c r="G169" s="17" t="n">
        <v>1</v>
      </c>
      <c r="H169" s="20" t="inlineStr">
        <is>
          <t>Y</t>
        </is>
      </c>
      <c r="I169" s="17" t="inlineStr"/>
      <c r="J169" s="17" t="inlineStr">
        <is>
          <t>Y</t>
        </is>
      </c>
      <c r="K169" s="17" t="inlineStr">
        <is>
          <t>Y</t>
        </is>
      </c>
      <c r="L169" s="22" t="inlineStr">
        <is>
          <t>미확인</t>
        </is>
      </c>
      <c r="M169" s="22" t="inlineStr">
        <is>
          <t>미확인</t>
        </is>
      </c>
      <c r="N169" s="22" t="inlineStr">
        <is>
          <t>미확인</t>
        </is>
      </c>
      <c r="O169" s="22" t="inlineStr">
        <is>
          <t>미확인</t>
        </is>
      </c>
      <c r="P169" s="17" t="inlineStr">
        <is>
          <t>QMS+LIMS</t>
        </is>
      </c>
      <c r="Q169" s="22" t="inlineStr">
        <is>
          <t>미확인</t>
        </is>
      </c>
      <c r="R169" s="22" t="inlineStr">
        <is>
          <t>미확인</t>
        </is>
      </c>
      <c r="S169" s="17" t="inlineStr">
        <is>
          <t>Tier D</t>
        </is>
      </c>
      <c r="T169" s="17" t="n">
        <v>12</v>
      </c>
      <c r="U169" s="17" t="inlineStr">
        <is>
          <t>C006</t>
        </is>
      </c>
      <c r="V169" s="17" t="inlineStr">
        <is>
          <t>에스피씨</t>
        </is>
      </c>
      <c r="W169" s="17" t="inlineStr"/>
      <c r="X169" s="17" t="inlineStr"/>
      <c r="Y169" s="23" t="inlineStr"/>
      <c r="Z169" s="17" t="inlineStr">
        <is>
          <t>이건호</t>
        </is>
      </c>
      <c r="AA169" s="17" t="inlineStr"/>
      <c r="AB169" s="17" t="inlineStr">
        <is>
          <t>031-682-4675</t>
        </is>
      </c>
      <c r="AC169" s="17" t="inlineStr">
        <is>
          <t>미확인</t>
        </is>
      </c>
      <c r="AD169" s="17" t="inlineStr">
        <is>
          <t>Y</t>
        </is>
      </c>
      <c r="AE169" s="17" t="inlineStr">
        <is>
          <t>P006</t>
        </is>
      </c>
      <c r="AF169" s="17" t="inlineStr">
        <is>
          <t>경기도 평택시 포승읍 평택항만길 386</t>
        </is>
      </c>
      <c r="AG169" s="17" t="inlineStr">
        <is>
          <t>완제의약품+원료의약품</t>
        </is>
      </c>
      <c r="AH169" s="17" t="inlineStr">
        <is>
          <t>비무균-일반제제-내용고형제(산제)</t>
        </is>
      </c>
      <c r="AI169" s="17" t="n">
        <v>2</v>
      </c>
      <c r="AJ169" s="24" t="n">
        <v>47319</v>
      </c>
      <c r="AK169" s="17" t="inlineStr"/>
      <c r="AL169" s="17" t="inlineStr"/>
      <c r="AM169" s="17" t="inlineStr">
        <is>
          <t>무균/바이오 제조로 품질관리 난도 높음; 원료 제조로 시험실 관리 필요</t>
        </is>
      </c>
      <c r="AN169" s="17" t="inlineStr">
        <is>
          <t>미확인</t>
        </is>
      </c>
      <c r="AO169" s="17" t="inlineStr">
        <is>
          <t>미확인</t>
        </is>
      </c>
      <c r="AP169" s="17" t="inlineStr">
        <is>
          <t>미확인</t>
        </is>
      </c>
      <c r="AQ169" s="17" t="inlineStr">
        <is>
          <t>담당자 파악 후 접촉</t>
        </is>
      </c>
      <c r="AR169" s="17" t="inlineStr">
        <is>
          <t>2026-07-05</t>
        </is>
      </c>
      <c r="AS169" s="17" t="inlineStr">
        <is>
          <t>C(부분확인)</t>
        </is>
      </c>
      <c r="AT169" s="17" t="n">
        <v>90</v>
      </c>
      <c r="AU169" s="17" t="inlineStr"/>
      <c r="AV169" s="17" t="inlineStr"/>
    </row>
    <row r="170">
      <c r="A170" s="26" t="inlineStr">
        <is>
          <t>Tier B</t>
        </is>
      </c>
      <c r="B170" s="17" t="n">
        <v>19</v>
      </c>
      <c r="C170" s="17" t="inlineStr">
        <is>
          <t>한국원자력연구원</t>
        </is>
      </c>
      <c r="D170" s="17" t="inlineStr">
        <is>
          <t>대전</t>
        </is>
      </c>
      <c r="E170" s="17" t="inlineStr">
        <is>
          <t>대전광역시</t>
        </is>
      </c>
      <c r="F170" s="17" t="inlineStr">
        <is>
          <t>유성구</t>
        </is>
      </c>
      <c r="G170" s="17" t="n">
        <v>1</v>
      </c>
      <c r="H170" s="20" t="inlineStr">
        <is>
          <t>Y</t>
        </is>
      </c>
      <c r="I170" s="17" t="inlineStr"/>
      <c r="J170" s="17" t="inlineStr">
        <is>
          <t>Y</t>
        </is>
      </c>
      <c r="K170" s="17" t="inlineStr">
        <is>
          <t>Y</t>
        </is>
      </c>
      <c r="L170" s="22" t="inlineStr">
        <is>
          <t>미확인</t>
        </is>
      </c>
      <c r="M170" s="22" t="inlineStr">
        <is>
          <t>미확인</t>
        </is>
      </c>
      <c r="N170" s="22" t="inlineStr">
        <is>
          <t>미확인</t>
        </is>
      </c>
      <c r="O170" s="22" t="inlineStr">
        <is>
          <t>미확인</t>
        </is>
      </c>
      <c r="P170" s="17" t="inlineStr">
        <is>
          <t>QMS+LIMS</t>
        </is>
      </c>
      <c r="Q170" s="22" t="inlineStr">
        <is>
          <t>미확인</t>
        </is>
      </c>
      <c r="R170" s="22" t="inlineStr">
        <is>
          <t>미확인</t>
        </is>
      </c>
      <c r="S170" s="17" t="inlineStr">
        <is>
          <t>Tier D</t>
        </is>
      </c>
      <c r="T170" s="17" t="n">
        <v>12</v>
      </c>
      <c r="U170" s="17" t="inlineStr">
        <is>
          <t>C002</t>
        </is>
      </c>
      <c r="V170" s="17" t="inlineStr">
        <is>
          <t>한국원자력연구원</t>
        </is>
      </c>
      <c r="W170" s="17" t="inlineStr"/>
      <c r="X170" s="17" t="inlineStr"/>
      <c r="Y170" s="23" t="inlineStr"/>
      <c r="Z170" s="17" t="inlineStr">
        <is>
          <t>주한규</t>
        </is>
      </c>
      <c r="AA170" s="17" t="inlineStr"/>
      <c r="AB170" s="17" t="inlineStr">
        <is>
          <t>042-868-2000</t>
        </is>
      </c>
      <c r="AC170" s="17" t="inlineStr">
        <is>
          <t>미확인</t>
        </is>
      </c>
      <c r="AD170" s="17" t="inlineStr">
        <is>
          <t>Y</t>
        </is>
      </c>
      <c r="AE170" s="17" t="inlineStr">
        <is>
          <t>P002</t>
        </is>
      </c>
      <c r="AF170" s="17" t="inlineStr">
        <is>
          <t>대전광역시 유성구 대덕대로989번길 111</t>
        </is>
      </c>
      <c r="AG170" s="17" t="inlineStr">
        <is>
          <t>완제의약품+원료의약품</t>
        </is>
      </c>
      <c r="AH170" s="17" t="inlineStr">
        <is>
          <t>무균-일반제제(방사성의약품)-주사제(주사제)</t>
        </is>
      </c>
      <c r="AI170" s="17" t="n">
        <v>2</v>
      </c>
      <c r="AJ170" s="24" t="n">
        <v>47332</v>
      </c>
      <c r="AK170" s="17" t="inlineStr"/>
      <c r="AL170" s="17" t="inlineStr"/>
      <c r="AM170" s="17" t="inlineStr">
        <is>
          <t>무균/바이오 제조로 품질관리 난도 높음; 원료 제조로 시험실 관리 필요</t>
        </is>
      </c>
      <c r="AN170" s="17" t="inlineStr">
        <is>
          <t>미확인</t>
        </is>
      </c>
      <c r="AO170" s="17" t="inlineStr">
        <is>
          <t>미확인</t>
        </is>
      </c>
      <c r="AP170" s="17" t="inlineStr">
        <is>
          <t>미확인</t>
        </is>
      </c>
      <c r="AQ170" s="17" t="inlineStr">
        <is>
          <t>담당자 파악 후 접촉</t>
        </is>
      </c>
      <c r="AR170" s="17" t="inlineStr">
        <is>
          <t>2026-07-05</t>
        </is>
      </c>
      <c r="AS170" s="17" t="inlineStr">
        <is>
          <t>C(부분확인)</t>
        </is>
      </c>
      <c r="AT170" s="17" t="n">
        <v>90</v>
      </c>
      <c r="AU170" s="17" t="inlineStr"/>
      <c r="AV170" s="17" t="inlineStr"/>
    </row>
    <row r="171">
      <c r="A171" s="26" t="inlineStr">
        <is>
          <t>Tier B</t>
        </is>
      </c>
      <c r="B171" s="17" t="n">
        <v>18</v>
      </c>
      <c r="C171" s="17" t="inlineStr">
        <is>
          <t>(주)알피바이오</t>
        </is>
      </c>
      <c r="D171" s="17" t="inlineStr">
        <is>
          <t>화성(마도)</t>
        </is>
      </c>
      <c r="E171" s="17" t="inlineStr">
        <is>
          <t>경기도</t>
        </is>
      </c>
      <c r="F171" s="17" t="inlineStr">
        <is>
          <t>화성시</t>
        </is>
      </c>
      <c r="G171" s="17" t="n">
        <v>2</v>
      </c>
      <c r="H171" s="17" t="inlineStr"/>
      <c r="I171" s="17" t="inlineStr"/>
      <c r="J171" s="17" t="inlineStr">
        <is>
          <t>Y</t>
        </is>
      </c>
      <c r="K171" s="17" t="inlineStr"/>
      <c r="L171" s="22" t="inlineStr">
        <is>
          <t>미확인</t>
        </is>
      </c>
      <c r="M171" s="22" t="inlineStr">
        <is>
          <t>미확인</t>
        </is>
      </c>
      <c r="N171" s="22" t="inlineStr">
        <is>
          <t>미확인</t>
        </is>
      </c>
      <c r="O171" s="22" t="inlineStr">
        <is>
          <t>미확인</t>
        </is>
      </c>
      <c r="P171" s="17" t="inlineStr">
        <is>
          <t>EDMS+QMS+LMS</t>
        </is>
      </c>
      <c r="Q171" s="22" t="inlineStr">
        <is>
          <t>미확인</t>
        </is>
      </c>
      <c r="R171" s="22" t="inlineStr">
        <is>
          <t>미확인</t>
        </is>
      </c>
      <c r="S171" s="17" t="inlineStr">
        <is>
          <t>Tier D</t>
        </is>
      </c>
      <c r="T171" s="17" t="n">
        <v>8</v>
      </c>
      <c r="U171" s="17" t="inlineStr">
        <is>
          <t>C096</t>
        </is>
      </c>
      <c r="V171" s="17" t="inlineStr">
        <is>
          <t>알피바이오</t>
        </is>
      </c>
      <c r="W171" s="17" t="inlineStr">
        <is>
          <t>Y</t>
        </is>
      </c>
      <c r="X171" s="17" t="inlineStr">
        <is>
          <t>코스닥</t>
        </is>
      </c>
      <c r="Y171" s="23" t="inlineStr">
        <is>
          <t>314140</t>
        </is>
      </c>
      <c r="Z171" s="17" t="inlineStr">
        <is>
          <t>윤재훈</t>
        </is>
      </c>
      <c r="AA171" s="17" t="inlineStr">
        <is>
          <t>http://rpskorea.com</t>
        </is>
      </c>
      <c r="AB171" s="17" t="inlineStr">
        <is>
          <t>미확인</t>
        </is>
      </c>
      <c r="AC171" s="17" t="inlineStr">
        <is>
          <t>미확인</t>
        </is>
      </c>
      <c r="AD171" s="17" t="inlineStr">
        <is>
          <t>Y</t>
        </is>
      </c>
      <c r="AE171" s="17" t="inlineStr">
        <is>
          <t>P099</t>
        </is>
      </c>
      <c r="AF171" s="17" t="inlineStr">
        <is>
          <t>경기도 화성시 만세구 마도면 청원산단5길 60 (1층,2층일부,3층일부)</t>
        </is>
      </c>
      <c r="AG171" s="17" t="inlineStr">
        <is>
          <t>완제의약품</t>
        </is>
      </c>
      <c r="AH171" s="17" t="inlineStr">
        <is>
          <t>비무균-일반제제-내용고형제(캡슐제)</t>
        </is>
      </c>
      <c r="AI171" s="17" t="n">
        <v>1</v>
      </c>
      <c r="AJ171" s="24" t="n">
        <v>47087</v>
      </c>
      <c r="AK171" s="17" t="inlineStr"/>
      <c r="AL171" s="17" t="inlineStr"/>
      <c r="AM171" s="17" t="inlineStr">
        <is>
          <t>다중 제조소/다수 판정서로 문서관리 복잡; 다중 제조소로 교육관리 대상 광범위</t>
        </is>
      </c>
      <c r="AN171" s="17" t="inlineStr">
        <is>
          <t>미확인</t>
        </is>
      </c>
      <c r="AO171" s="17" t="inlineStr">
        <is>
          <t>미확인</t>
        </is>
      </c>
      <c r="AP171" s="17" t="inlineStr">
        <is>
          <t>미확인</t>
        </is>
      </c>
      <c r="AQ171" s="17" t="inlineStr">
        <is>
          <t>담당자 파악 후 접촉</t>
        </is>
      </c>
      <c r="AR171" s="17" t="inlineStr">
        <is>
          <t>2026-07-05</t>
        </is>
      </c>
      <c r="AS171" s="17" t="inlineStr">
        <is>
          <t>C(부분확인)</t>
        </is>
      </c>
      <c r="AT171" s="17" t="n">
        <v>90</v>
      </c>
      <c r="AU171" s="17" t="inlineStr"/>
      <c r="AV171" s="17" t="inlineStr"/>
    </row>
    <row r="172">
      <c r="A172" s="26" t="inlineStr">
        <is>
          <t>Tier B</t>
        </is>
      </c>
      <c r="B172" s="17" t="n">
        <v>18</v>
      </c>
      <c r="C172" s="17" t="inlineStr">
        <is>
          <t>(주)알피바이오</t>
        </is>
      </c>
      <c r="D172" s="17" t="inlineStr">
        <is>
          <t>화성(보관소2)</t>
        </is>
      </c>
      <c r="E172" s="17" t="inlineStr">
        <is>
          <t>경기도</t>
        </is>
      </c>
      <c r="F172" s="17" t="inlineStr">
        <is>
          <t>화성시</t>
        </is>
      </c>
      <c r="G172" s="17" t="n">
        <v>2</v>
      </c>
      <c r="H172" s="17" t="inlineStr"/>
      <c r="I172" s="17" t="inlineStr"/>
      <c r="J172" s="17" t="inlineStr">
        <is>
          <t>Y</t>
        </is>
      </c>
      <c r="K172" s="17" t="inlineStr"/>
      <c r="L172" s="22" t="inlineStr">
        <is>
          <t>미확인</t>
        </is>
      </c>
      <c r="M172" s="22" t="inlineStr">
        <is>
          <t>미확인</t>
        </is>
      </c>
      <c r="N172" s="22" t="inlineStr">
        <is>
          <t>미확인</t>
        </is>
      </c>
      <c r="O172" s="22" t="inlineStr">
        <is>
          <t>미확인</t>
        </is>
      </c>
      <c r="P172" s="17" t="inlineStr">
        <is>
          <t>EDMS+QMS+LMS</t>
        </is>
      </c>
      <c r="Q172" s="22" t="inlineStr">
        <is>
          <t>미확인</t>
        </is>
      </c>
      <c r="R172" s="22" t="inlineStr">
        <is>
          <t>미확인</t>
        </is>
      </c>
      <c r="S172" s="17" t="inlineStr">
        <is>
          <t>Tier D</t>
        </is>
      </c>
      <c r="T172" s="17" t="n">
        <v>8</v>
      </c>
      <c r="U172" s="17" t="inlineStr">
        <is>
          <t>C096</t>
        </is>
      </c>
      <c r="V172" s="17" t="inlineStr">
        <is>
          <t>알피바이오</t>
        </is>
      </c>
      <c r="W172" s="17" t="inlineStr">
        <is>
          <t>Y</t>
        </is>
      </c>
      <c r="X172" s="17" t="inlineStr">
        <is>
          <t>코스닥</t>
        </is>
      </c>
      <c r="Y172" s="23" t="inlineStr">
        <is>
          <t>314140</t>
        </is>
      </c>
      <c r="Z172" s="17" t="inlineStr">
        <is>
          <t>윤재훈</t>
        </is>
      </c>
      <c r="AA172" s="17" t="inlineStr">
        <is>
          <t>http://rpskorea.com</t>
        </is>
      </c>
      <c r="AB172" s="17" t="inlineStr">
        <is>
          <t>미확인</t>
        </is>
      </c>
      <c r="AC172" s="17" t="inlineStr">
        <is>
          <t>미확인</t>
        </is>
      </c>
      <c r="AD172" s="17" t="inlineStr">
        <is>
          <t>Y</t>
        </is>
      </c>
      <c r="AE172" s="17" t="inlineStr">
        <is>
          <t>P145</t>
        </is>
      </c>
      <c r="AF172" s="17" t="inlineStr">
        <is>
          <t>경기도 화성시 만세구 향남읍 제약공단4길 35-7</t>
        </is>
      </c>
      <c r="AG172" s="17" t="inlineStr">
        <is>
          <t>완제의약품</t>
        </is>
      </c>
      <c r="AH172" s="17" t="inlineStr">
        <is>
          <t>비무균-일반제제-내용고형제(캡슐제, 경구용젤리제(반고형))</t>
        </is>
      </c>
      <c r="AI172" s="17" t="n">
        <v>1</v>
      </c>
      <c r="AJ172" s="24" t="n">
        <v>46990</v>
      </c>
      <c r="AK172" s="17" t="inlineStr"/>
      <c r="AL172" s="17" t="inlineStr"/>
      <c r="AM172" s="17" t="inlineStr">
        <is>
          <t>다중 제조소/다수 판정서로 문서관리 복잡; 다중 제조소로 교육관리 대상 광범위</t>
        </is>
      </c>
      <c r="AN172" s="17" t="inlineStr">
        <is>
          <t>미확인</t>
        </is>
      </c>
      <c r="AO172" s="17" t="inlineStr">
        <is>
          <t>미확인</t>
        </is>
      </c>
      <c r="AP172" s="17" t="inlineStr">
        <is>
          <t>미확인</t>
        </is>
      </c>
      <c r="AQ172" s="17" t="inlineStr">
        <is>
          <t>담당자 파악 후 접촉</t>
        </is>
      </c>
      <c r="AR172" s="17" t="inlineStr">
        <is>
          <t>2026-07-05</t>
        </is>
      </c>
      <c r="AS172" s="17" t="inlineStr">
        <is>
          <t>C(부분확인)</t>
        </is>
      </c>
      <c r="AT172" s="17" t="n">
        <v>90</v>
      </c>
      <c r="AU172" s="17" t="inlineStr"/>
      <c r="AV172" s="17" t="inlineStr"/>
    </row>
    <row r="173">
      <c r="A173" s="26" t="inlineStr">
        <is>
          <t>Tier B</t>
        </is>
      </c>
      <c r="B173" s="17" t="n">
        <v>18</v>
      </c>
      <c r="C173" s="17" t="inlineStr">
        <is>
          <t>(주)와이에스생명과학</t>
        </is>
      </c>
      <c r="D173" s="17" t="inlineStr">
        <is>
          <t>이천</t>
        </is>
      </c>
      <c r="E173" s="17" t="inlineStr">
        <is>
          <t>경기도</t>
        </is>
      </c>
      <c r="F173" s="17" t="inlineStr">
        <is>
          <t>이천시</t>
        </is>
      </c>
      <c r="G173" s="17" t="n">
        <v>2</v>
      </c>
      <c r="H173" s="17" t="inlineStr"/>
      <c r="I173" s="17" t="inlineStr"/>
      <c r="J173" s="17" t="inlineStr">
        <is>
          <t>Y</t>
        </is>
      </c>
      <c r="K173" s="17" t="inlineStr">
        <is>
          <t>Y</t>
        </is>
      </c>
      <c r="L173" s="22" t="inlineStr">
        <is>
          <t>미확인</t>
        </is>
      </c>
      <c r="M173" s="22" t="inlineStr">
        <is>
          <t>미확인</t>
        </is>
      </c>
      <c r="N173" s="22" t="inlineStr">
        <is>
          <t>미확인</t>
        </is>
      </c>
      <c r="O173" s="22" t="inlineStr">
        <is>
          <t>미확인</t>
        </is>
      </c>
      <c r="P173" s="17" t="inlineStr">
        <is>
          <t>통합형</t>
        </is>
      </c>
      <c r="Q173" s="22" t="inlineStr">
        <is>
          <t>미확인</t>
        </is>
      </c>
      <c r="R173" s="22" t="inlineStr">
        <is>
          <t>미확인</t>
        </is>
      </c>
      <c r="S173" s="17" t="inlineStr">
        <is>
          <t>Tier D</t>
        </is>
      </c>
      <c r="T173" s="17" t="n">
        <v>11</v>
      </c>
      <c r="U173" s="17" t="inlineStr">
        <is>
          <t>C347</t>
        </is>
      </c>
      <c r="V173" s="17" t="inlineStr">
        <is>
          <t>와이에스생명과학</t>
        </is>
      </c>
      <c r="W173" s="17" t="inlineStr"/>
      <c r="X173" s="17" t="inlineStr"/>
      <c r="Y173" s="23" t="inlineStr"/>
      <c r="Z173" s="17" t="inlineStr">
        <is>
          <t>오창영</t>
        </is>
      </c>
      <c r="AA173" s="17" t="inlineStr"/>
      <c r="AB173" s="17" t="inlineStr">
        <is>
          <t>070-4754-7383</t>
        </is>
      </c>
      <c r="AC173" s="17" t="inlineStr">
        <is>
          <t>미확인</t>
        </is>
      </c>
      <c r="AD173" s="17" t="inlineStr">
        <is>
          <t>Y</t>
        </is>
      </c>
      <c r="AE173" s="17" t="inlineStr">
        <is>
          <t>P419</t>
        </is>
      </c>
      <c r="AF173" s="17" t="inlineStr">
        <is>
          <t>경기도 이천시 모가면 공원로 133-1</t>
        </is>
      </c>
      <c r="AG173" s="17" t="inlineStr">
        <is>
          <t>완제의약품</t>
        </is>
      </c>
      <c r="AH173" s="17" t="inlineStr">
        <is>
          <t>비무균-일반제제-내용고형제(정제)</t>
        </is>
      </c>
      <c r="AI173" s="17" t="n">
        <v>1</v>
      </c>
      <c r="AJ173" s="24" t="n">
        <v>46456</v>
      </c>
      <c r="AK173" s="17" t="inlineStr"/>
      <c r="AL173" s="17" t="inlineStr">
        <is>
          <t>Y</t>
        </is>
      </c>
      <c r="AM173" s="17" t="inlineStr">
        <is>
          <t>다중 제조소/다수 판정서로 문서관리 복잡; 원료 제조로 시험실 관리 필요</t>
        </is>
      </c>
      <c r="AN173" s="17" t="inlineStr">
        <is>
          <t>미확인</t>
        </is>
      </c>
      <c r="AO173" s="17" t="inlineStr">
        <is>
          <t>미확인</t>
        </is>
      </c>
      <c r="AP173" s="17" t="inlineStr">
        <is>
          <t>미확인</t>
        </is>
      </c>
      <c r="AQ173" s="17" t="inlineStr">
        <is>
          <t>담당자 파악 후 접촉</t>
        </is>
      </c>
      <c r="AR173" s="17" t="inlineStr">
        <is>
          <t>2026-07-05</t>
        </is>
      </c>
      <c r="AS173" s="17" t="inlineStr">
        <is>
          <t>C(부분확인)</t>
        </is>
      </c>
      <c r="AT173" s="17" t="n">
        <v>90</v>
      </c>
      <c r="AU173" s="17" t="inlineStr"/>
      <c r="AV173" s="17" t="inlineStr"/>
    </row>
    <row r="174">
      <c r="A174" s="26" t="inlineStr">
        <is>
          <t>Tier B</t>
        </is>
      </c>
      <c r="B174" s="17" t="n">
        <v>18</v>
      </c>
      <c r="C174" s="17" t="inlineStr">
        <is>
          <t>(주)와이에스생명과학</t>
        </is>
      </c>
      <c r="D174" s="17" t="inlineStr">
        <is>
          <t>화성시</t>
        </is>
      </c>
      <c r="E174" s="17" t="inlineStr">
        <is>
          <t>경기도</t>
        </is>
      </c>
      <c r="F174" s="17" t="inlineStr">
        <is>
          <t>화성시</t>
        </is>
      </c>
      <c r="G174" s="17" t="n">
        <v>2</v>
      </c>
      <c r="H174" s="17" t="inlineStr"/>
      <c r="I174" s="17" t="inlineStr"/>
      <c r="J174" s="17" t="inlineStr">
        <is>
          <t>Y</t>
        </is>
      </c>
      <c r="K174" s="17" t="inlineStr">
        <is>
          <t>Y</t>
        </is>
      </c>
      <c r="L174" s="22" t="inlineStr">
        <is>
          <t>미확인</t>
        </is>
      </c>
      <c r="M174" s="22" t="inlineStr">
        <is>
          <t>미확인</t>
        </is>
      </c>
      <c r="N174" s="22" t="inlineStr">
        <is>
          <t>미확인</t>
        </is>
      </c>
      <c r="O174" s="22" t="inlineStr">
        <is>
          <t>미확인</t>
        </is>
      </c>
      <c r="P174" s="17" t="inlineStr">
        <is>
          <t>통합형</t>
        </is>
      </c>
      <c r="Q174" s="22" t="inlineStr">
        <is>
          <t>미확인</t>
        </is>
      </c>
      <c r="R174" s="22" t="inlineStr">
        <is>
          <t>미확인</t>
        </is>
      </c>
      <c r="S174" s="17" t="inlineStr">
        <is>
          <t>Tier D</t>
        </is>
      </c>
      <c r="T174" s="17" t="n">
        <v>11</v>
      </c>
      <c r="U174" s="17" t="inlineStr">
        <is>
          <t>C347</t>
        </is>
      </c>
      <c r="V174" s="17" t="inlineStr">
        <is>
          <t>와이에스생명과학</t>
        </is>
      </c>
      <c r="W174" s="17" t="inlineStr"/>
      <c r="X174" s="17" t="inlineStr"/>
      <c r="Y174" s="23" t="inlineStr"/>
      <c r="Z174" s="17" t="inlineStr">
        <is>
          <t>오창영</t>
        </is>
      </c>
      <c r="AA174" s="17" t="inlineStr"/>
      <c r="AB174" s="17" t="inlineStr">
        <is>
          <t>070-4754-7383</t>
        </is>
      </c>
      <c r="AC174" s="17" t="inlineStr">
        <is>
          <t>미확인</t>
        </is>
      </c>
      <c r="AD174" s="17" t="inlineStr">
        <is>
          <t>Y</t>
        </is>
      </c>
      <c r="AE174" s="17" t="inlineStr">
        <is>
          <t>P430</t>
        </is>
      </c>
      <c r="AF174" s="17" t="inlineStr">
        <is>
          <t>경기도 화성시 만세구 장안면 수정로 207</t>
        </is>
      </c>
      <c r="AG174" s="17" t="inlineStr">
        <is>
          <t>원료의약품</t>
        </is>
      </c>
      <c r="AH174" s="17" t="inlineStr">
        <is>
          <t>비무균-일반제제-합성</t>
        </is>
      </c>
      <c r="AI174" s="17" t="n">
        <v>1</v>
      </c>
      <c r="AJ174" s="24" t="n">
        <v>46433</v>
      </c>
      <c r="AK174" s="17" t="inlineStr"/>
      <c r="AL174" s="17" t="inlineStr">
        <is>
          <t>Y</t>
        </is>
      </c>
      <c r="AM174" s="17" t="inlineStr">
        <is>
          <t>다중 제조소/다수 판정서로 문서관리 복잡; 원료 제조로 시험실 관리 필요</t>
        </is>
      </c>
      <c r="AN174" s="17" t="inlineStr">
        <is>
          <t>미확인</t>
        </is>
      </c>
      <c r="AO174" s="17" t="inlineStr">
        <is>
          <t>미확인</t>
        </is>
      </c>
      <c r="AP174" s="17" t="inlineStr">
        <is>
          <t>미확인</t>
        </is>
      </c>
      <c r="AQ174" s="17" t="inlineStr">
        <is>
          <t>담당자 파악 후 접촉</t>
        </is>
      </c>
      <c r="AR174" s="17" t="inlineStr">
        <is>
          <t>2026-07-05</t>
        </is>
      </c>
      <c r="AS174" s="17" t="inlineStr">
        <is>
          <t>C(부분확인)</t>
        </is>
      </c>
      <c r="AT174" s="17" t="n">
        <v>90</v>
      </c>
      <c r="AU174" s="17" t="inlineStr"/>
      <c r="AV174" s="17" t="inlineStr"/>
    </row>
    <row r="175">
      <c r="A175" s="26" t="inlineStr">
        <is>
          <t>Tier B</t>
        </is>
      </c>
      <c r="B175" s="17" t="n">
        <v>18</v>
      </c>
      <c r="C175" s="17" t="inlineStr">
        <is>
          <t>(주)와이즈메디</t>
        </is>
      </c>
      <c r="D175" s="17" t="inlineStr">
        <is>
          <t>진천</t>
        </is>
      </c>
      <c r="E175" s="17" t="inlineStr">
        <is>
          <t>충청북도</t>
        </is>
      </c>
      <c r="F175" s="17" t="inlineStr">
        <is>
          <t>진천군</t>
        </is>
      </c>
      <c r="G175" s="17" t="n">
        <v>2</v>
      </c>
      <c r="H175" s="20" t="inlineStr">
        <is>
          <t>Y</t>
        </is>
      </c>
      <c r="I175" s="17" t="inlineStr"/>
      <c r="J175" s="17" t="inlineStr">
        <is>
          <t>Y</t>
        </is>
      </c>
      <c r="K175" s="17" t="inlineStr"/>
      <c r="L175" s="22" t="inlineStr">
        <is>
          <t>미확인</t>
        </is>
      </c>
      <c r="M175" s="22" t="inlineStr">
        <is>
          <t>미확인</t>
        </is>
      </c>
      <c r="N175" s="22" t="inlineStr">
        <is>
          <t>미확인</t>
        </is>
      </c>
      <c r="O175" s="22" t="inlineStr">
        <is>
          <t>미확인</t>
        </is>
      </c>
      <c r="P175" s="17" t="inlineStr">
        <is>
          <t>통합형</t>
        </is>
      </c>
      <c r="Q175" s="22" t="inlineStr">
        <is>
          <t>미확인</t>
        </is>
      </c>
      <c r="R175" s="22" t="inlineStr">
        <is>
          <t>미확인</t>
        </is>
      </c>
      <c r="S175" s="17" t="inlineStr">
        <is>
          <t>Tier D</t>
        </is>
      </c>
      <c r="T175" s="17" t="n">
        <v>16</v>
      </c>
      <c r="U175" s="17" t="inlineStr">
        <is>
          <t>C077</t>
        </is>
      </c>
      <c r="V175" s="17" t="inlineStr">
        <is>
          <t>와이즈메디</t>
        </is>
      </c>
      <c r="W175" s="17" t="inlineStr"/>
      <c r="X175" s="17" t="inlineStr"/>
      <c r="Y175" s="23" t="inlineStr"/>
      <c r="Z175" s="17" t="inlineStr">
        <is>
          <t>강덕현</t>
        </is>
      </c>
      <c r="AA175" s="17" t="inlineStr"/>
      <c r="AB175" s="17" t="inlineStr">
        <is>
          <t>미확인</t>
        </is>
      </c>
      <c r="AC175" s="17" t="inlineStr">
        <is>
          <t>미확인</t>
        </is>
      </c>
      <c r="AD175" s="17" t="inlineStr">
        <is>
          <t>Y</t>
        </is>
      </c>
      <c r="AE175" s="17" t="inlineStr">
        <is>
          <t>P079</t>
        </is>
      </c>
      <c r="AF175" s="17" t="inlineStr">
        <is>
          <t>충청북도 진천군 광혜원면 용소길 90</t>
        </is>
      </c>
      <c r="AG175" s="17" t="inlineStr">
        <is>
          <t>완제의약품</t>
        </is>
      </c>
      <c r="AH175" s="17" t="inlineStr">
        <is>
          <t>무균-일반제제-주사제(수액제)</t>
        </is>
      </c>
      <c r="AI175" s="17" t="n">
        <v>1</v>
      </c>
      <c r="AJ175" s="24" t="n">
        <v>47160</v>
      </c>
      <c r="AK175" s="17" t="inlineStr"/>
      <c r="AL175" s="17" t="inlineStr"/>
      <c r="AM175" s="17" t="inlineStr">
        <is>
          <t>다중 제조소/다수 판정서로 문서관리 복잡; 무균/바이오 제조로 품질관리 난도 높음</t>
        </is>
      </c>
      <c r="AN175" s="17" t="inlineStr">
        <is>
          <t>미확인</t>
        </is>
      </c>
      <c r="AO175" s="17" t="inlineStr">
        <is>
          <t>미확인</t>
        </is>
      </c>
      <c r="AP175" s="17" t="inlineStr">
        <is>
          <t>미확인</t>
        </is>
      </c>
      <c r="AQ175" s="17" t="inlineStr">
        <is>
          <t>담당자 파악 후 접촉</t>
        </is>
      </c>
      <c r="AR175" s="17" t="inlineStr">
        <is>
          <t>2026-07-05</t>
        </is>
      </c>
      <c r="AS175" s="17" t="inlineStr">
        <is>
          <t>C(부분확인)</t>
        </is>
      </c>
      <c r="AT175" s="17" t="n">
        <v>90</v>
      </c>
      <c r="AU175" s="17" t="inlineStr"/>
      <c r="AV175" s="17" t="inlineStr"/>
    </row>
    <row r="176">
      <c r="A176" s="26" t="inlineStr">
        <is>
          <t>Tier B</t>
        </is>
      </c>
      <c r="B176" s="17" t="n">
        <v>18</v>
      </c>
      <c r="C176" s="17" t="inlineStr">
        <is>
          <t>(주)와이즈메디</t>
        </is>
      </c>
      <c r="D176" s="17" t="inlineStr">
        <is>
          <t>진천</t>
        </is>
      </c>
      <c r="E176" s="17" t="inlineStr">
        <is>
          <t>충청북도</t>
        </is>
      </c>
      <c r="F176" s="17" t="inlineStr">
        <is>
          <t>진천군</t>
        </is>
      </c>
      <c r="G176" s="17" t="n">
        <v>2</v>
      </c>
      <c r="H176" s="20" t="inlineStr">
        <is>
          <t>Y</t>
        </is>
      </c>
      <c r="I176" s="17" t="inlineStr"/>
      <c r="J176" s="17" t="inlineStr">
        <is>
          <t>Y</t>
        </is>
      </c>
      <c r="K176" s="17" t="inlineStr"/>
      <c r="L176" s="22" t="inlineStr">
        <is>
          <t>미확인</t>
        </is>
      </c>
      <c r="M176" s="22" t="inlineStr">
        <is>
          <t>미확인</t>
        </is>
      </c>
      <c r="N176" s="22" t="inlineStr">
        <is>
          <t>미확인</t>
        </is>
      </c>
      <c r="O176" s="22" t="inlineStr">
        <is>
          <t>미확인</t>
        </is>
      </c>
      <c r="P176" s="17" t="inlineStr">
        <is>
          <t>통합형</t>
        </is>
      </c>
      <c r="Q176" s="22" t="inlineStr">
        <is>
          <t>미확인</t>
        </is>
      </c>
      <c r="R176" s="22" t="inlineStr">
        <is>
          <t>미확인</t>
        </is>
      </c>
      <c r="S176" s="17" t="inlineStr">
        <is>
          <t>Tier D</t>
        </is>
      </c>
      <c r="T176" s="17" t="n">
        <v>16</v>
      </c>
      <c r="U176" s="17" t="inlineStr">
        <is>
          <t>C077</t>
        </is>
      </c>
      <c r="V176" s="17" t="inlineStr">
        <is>
          <t>와이즈메디</t>
        </is>
      </c>
      <c r="W176" s="17" t="inlineStr"/>
      <c r="X176" s="17" t="inlineStr"/>
      <c r="Y176" s="23" t="inlineStr"/>
      <c r="Z176" s="17" t="inlineStr">
        <is>
          <t>강덕현</t>
        </is>
      </c>
      <c r="AA176" s="17" t="inlineStr"/>
      <c r="AB176" s="17" t="inlineStr">
        <is>
          <t>미확인</t>
        </is>
      </c>
      <c r="AC176" s="17" t="inlineStr">
        <is>
          <t>미확인</t>
        </is>
      </c>
      <c r="AD176" s="17" t="inlineStr">
        <is>
          <t>Y</t>
        </is>
      </c>
      <c r="AE176" s="17" t="inlineStr">
        <is>
          <t>P336</t>
        </is>
      </c>
      <c r="AF176" s="17" t="inlineStr">
        <is>
          <t>충청북도 진천군 광혜원면 용소2길 27</t>
        </is>
      </c>
      <c r="AG176" s="17" t="inlineStr">
        <is>
          <t>완제의약품</t>
        </is>
      </c>
      <c r="AH176" s="17" t="inlineStr">
        <is>
          <t>무균-일반제제-주사제(수액제)</t>
        </is>
      </c>
      <c r="AI176" s="17" t="n">
        <v>1</v>
      </c>
      <c r="AJ176" s="24" t="n">
        <v>46641</v>
      </c>
      <c r="AK176" s="17" t="inlineStr"/>
      <c r="AL176" s="17" t="inlineStr"/>
      <c r="AM176" s="17" t="inlineStr">
        <is>
          <t>다중 제조소/다수 판정서로 문서관리 복잡; 무균/바이오 제조로 품질관리 난도 높음</t>
        </is>
      </c>
      <c r="AN176" s="17" t="inlineStr">
        <is>
          <t>미확인</t>
        </is>
      </c>
      <c r="AO176" s="17" t="inlineStr">
        <is>
          <t>미확인</t>
        </is>
      </c>
      <c r="AP176" s="17" t="inlineStr">
        <is>
          <t>미확인</t>
        </is>
      </c>
      <c r="AQ176" s="17" t="inlineStr">
        <is>
          <t>담당자 파악 후 접촉</t>
        </is>
      </c>
      <c r="AR176" s="17" t="inlineStr">
        <is>
          <t>2026-07-05</t>
        </is>
      </c>
      <c r="AS176" s="17" t="inlineStr">
        <is>
          <t>C(부분확인)</t>
        </is>
      </c>
      <c r="AT176" s="17" t="n">
        <v>90</v>
      </c>
      <c r="AU176" s="17" t="inlineStr"/>
      <c r="AV176" s="17" t="inlineStr"/>
    </row>
    <row r="177">
      <c r="A177" s="26" t="inlineStr">
        <is>
          <t>Tier B</t>
        </is>
      </c>
      <c r="B177" s="17" t="n">
        <v>18</v>
      </c>
      <c r="C177" s="17" t="inlineStr">
        <is>
          <t>오스템파마주식회사</t>
        </is>
      </c>
      <c r="D177" s="17" t="inlineStr">
        <is>
          <t>2공장</t>
        </is>
      </c>
      <c r="E177" s="17" t="inlineStr">
        <is>
          <t>충청북도</t>
        </is>
      </c>
      <c r="F177" s="17" t="inlineStr">
        <is>
          <t>청주시</t>
        </is>
      </c>
      <c r="G177" s="17" t="n">
        <v>2</v>
      </c>
      <c r="H177" s="20" t="inlineStr">
        <is>
          <t>Y</t>
        </is>
      </c>
      <c r="I177" s="17" t="inlineStr"/>
      <c r="J177" s="17" t="inlineStr">
        <is>
          <t>Y</t>
        </is>
      </c>
      <c r="K177" s="17" t="inlineStr"/>
      <c r="L177" s="22" t="inlineStr">
        <is>
          <t>미확인</t>
        </is>
      </c>
      <c r="M177" s="22" t="inlineStr">
        <is>
          <t>미확인</t>
        </is>
      </c>
      <c r="N177" s="22" t="inlineStr">
        <is>
          <t>미확인</t>
        </is>
      </c>
      <c r="O177" s="22" t="inlineStr">
        <is>
          <t>미확인</t>
        </is>
      </c>
      <c r="P177" s="17" t="inlineStr">
        <is>
          <t>통합형</t>
        </is>
      </c>
      <c r="Q177" s="22" t="inlineStr">
        <is>
          <t>미확인</t>
        </is>
      </c>
      <c r="R177" s="22" t="inlineStr">
        <is>
          <t>미확인</t>
        </is>
      </c>
      <c r="S177" s="17" t="inlineStr">
        <is>
          <t>Tier D</t>
        </is>
      </c>
      <c r="T177" s="17" t="n">
        <v>16</v>
      </c>
      <c r="U177" s="17" t="inlineStr">
        <is>
          <t>C179</t>
        </is>
      </c>
      <c r="V177" s="17" t="inlineStr">
        <is>
          <t>오스템파마</t>
        </is>
      </c>
      <c r="W177" s="17" t="inlineStr"/>
      <c r="X177" s="17" t="inlineStr"/>
      <c r="Y177" s="23" t="inlineStr"/>
      <c r="Z177" s="17" t="inlineStr">
        <is>
          <t>문병점</t>
        </is>
      </c>
      <c r="AA177" s="17" t="inlineStr"/>
      <c r="AB177" s="17" t="inlineStr">
        <is>
          <t>070-4394-1482</t>
        </is>
      </c>
      <c r="AC177" s="17" t="inlineStr">
        <is>
          <t>미확인</t>
        </is>
      </c>
      <c r="AD177" s="17" t="inlineStr">
        <is>
          <t>Y</t>
        </is>
      </c>
      <c r="AE177" s="17" t="inlineStr">
        <is>
          <t>P192</t>
        </is>
      </c>
      <c r="AF177" s="17" t="inlineStr">
        <is>
          <t>충청북도 청주시 흥덕구 오송읍 오송생명1로 265</t>
        </is>
      </c>
      <c r="AG177" s="17" t="inlineStr">
        <is>
          <t>완제의약품</t>
        </is>
      </c>
      <c r="AH177" s="17" t="inlineStr">
        <is>
          <t>비무균-일반제제-내용고형제(정제), 무균-일반제제-주사제(주사제)</t>
        </is>
      </c>
      <c r="AI177" s="17" t="n">
        <v>1</v>
      </c>
      <c r="AJ177" s="24" t="n">
        <v>46927</v>
      </c>
      <c r="AK177" s="17" t="inlineStr"/>
      <c r="AL177" s="17" t="inlineStr"/>
      <c r="AM177" s="17" t="inlineStr">
        <is>
          <t>다중 제조소/다수 판정서로 문서관리 복잡; 무균/바이오 제조로 품질관리 난도 높음</t>
        </is>
      </c>
      <c r="AN177" s="17" t="inlineStr">
        <is>
          <t>미확인</t>
        </is>
      </c>
      <c r="AO177" s="17" t="inlineStr">
        <is>
          <t>미확인</t>
        </is>
      </c>
      <c r="AP177" s="17" t="inlineStr">
        <is>
          <t>미확인</t>
        </is>
      </c>
      <c r="AQ177" s="17" t="inlineStr">
        <is>
          <t>담당자 파악 후 접촉</t>
        </is>
      </c>
      <c r="AR177" s="17" t="inlineStr">
        <is>
          <t>2026-07-05</t>
        </is>
      </c>
      <c r="AS177" s="17" t="inlineStr">
        <is>
          <t>C(부분확인)</t>
        </is>
      </c>
      <c r="AT177" s="17" t="n">
        <v>90</v>
      </c>
      <c r="AU177" s="17" t="inlineStr"/>
      <c r="AV177" s="17" t="inlineStr"/>
    </row>
    <row r="178">
      <c r="A178" s="26" t="inlineStr">
        <is>
          <t>Tier B</t>
        </is>
      </c>
      <c r="B178" s="17" t="n">
        <v>18</v>
      </c>
      <c r="C178" s="17" t="inlineStr">
        <is>
          <t>오스템파마주식회사</t>
        </is>
      </c>
      <c r="D178" s="17" t="inlineStr">
        <is>
          <t>1공장</t>
        </is>
      </c>
      <c r="E178" s="17" t="inlineStr">
        <is>
          <t>서울특별시</t>
        </is>
      </c>
      <c r="F178" s="17" t="inlineStr">
        <is>
          <t>금천구</t>
        </is>
      </c>
      <c r="G178" s="17" t="n">
        <v>2</v>
      </c>
      <c r="H178" s="17" t="inlineStr"/>
      <c r="I178" s="17" t="inlineStr"/>
      <c r="J178" s="17" t="inlineStr">
        <is>
          <t>Y</t>
        </is>
      </c>
      <c r="K178" s="17" t="inlineStr"/>
      <c r="L178" s="22" t="inlineStr">
        <is>
          <t>미확인</t>
        </is>
      </c>
      <c r="M178" s="22" t="inlineStr">
        <is>
          <t>미확인</t>
        </is>
      </c>
      <c r="N178" s="22" t="inlineStr">
        <is>
          <t>미확인</t>
        </is>
      </c>
      <c r="O178" s="22" t="inlineStr">
        <is>
          <t>미확인</t>
        </is>
      </c>
      <c r="P178" s="17" t="inlineStr">
        <is>
          <t>통합형</t>
        </is>
      </c>
      <c r="Q178" s="22" t="inlineStr">
        <is>
          <t>미확인</t>
        </is>
      </c>
      <c r="R178" s="22" t="inlineStr">
        <is>
          <t>미확인</t>
        </is>
      </c>
      <c r="S178" s="17" t="inlineStr">
        <is>
          <t>Tier D</t>
        </is>
      </c>
      <c r="T178" s="17" t="n">
        <v>16</v>
      </c>
      <c r="U178" s="17" t="inlineStr">
        <is>
          <t>C179</t>
        </is>
      </c>
      <c r="V178" s="17" t="inlineStr">
        <is>
          <t>오스템파마</t>
        </is>
      </c>
      <c r="W178" s="17" t="inlineStr"/>
      <c r="X178" s="17" t="inlineStr"/>
      <c r="Y178" s="23" t="inlineStr"/>
      <c r="Z178" s="17" t="inlineStr">
        <is>
          <t>문병점</t>
        </is>
      </c>
      <c r="AA178" s="17" t="inlineStr"/>
      <c r="AB178" s="17" t="inlineStr">
        <is>
          <t>070-4394-1482</t>
        </is>
      </c>
      <c r="AC178" s="17" t="inlineStr">
        <is>
          <t>미확인</t>
        </is>
      </c>
      <c r="AD178" s="17" t="inlineStr">
        <is>
          <t>Y</t>
        </is>
      </c>
      <c r="AE178" s="17" t="inlineStr">
        <is>
          <t>P354</t>
        </is>
      </c>
      <c r="AF178" s="17" t="inlineStr">
        <is>
          <t>서울특별시 금천구 가산디지털2로 123 12층 1201~1204호(가산동, 월드메르디앙벤처센터2차)</t>
        </is>
      </c>
      <c r="AG178" s="17" t="inlineStr">
        <is>
          <t>완제의약품</t>
        </is>
      </c>
      <c r="AH178" s="17" t="inlineStr">
        <is>
          <t>비무균-일반제제-연고제(겔제)</t>
        </is>
      </c>
      <c r="AI178" s="17" t="n">
        <v>1</v>
      </c>
      <c r="AJ178" s="24" t="n">
        <v>46586</v>
      </c>
      <c r="AK178" s="17" t="inlineStr"/>
      <c r="AL178" s="17" t="inlineStr"/>
      <c r="AM178" s="17" t="inlineStr">
        <is>
          <t>다중 제조소/다수 판정서로 문서관리 복잡; 무균/바이오 제조로 품질관리 난도 높음</t>
        </is>
      </c>
      <c r="AN178" s="17" t="inlineStr">
        <is>
          <t>미확인</t>
        </is>
      </c>
      <c r="AO178" s="17" t="inlineStr">
        <is>
          <t>미확인</t>
        </is>
      </c>
      <c r="AP178" s="17" t="inlineStr">
        <is>
          <t>미확인</t>
        </is>
      </c>
      <c r="AQ178" s="17" t="inlineStr">
        <is>
          <t>담당자 파악 후 접촉</t>
        </is>
      </c>
      <c r="AR178" s="17" t="inlineStr">
        <is>
          <t>2026-07-05</t>
        </is>
      </c>
      <c r="AS178" s="17" t="inlineStr">
        <is>
          <t>C(부분확인)</t>
        </is>
      </c>
      <c r="AT178" s="17" t="n">
        <v>90</v>
      </c>
      <c r="AU178" s="17" t="inlineStr"/>
      <c r="AV178" s="17" t="inlineStr"/>
    </row>
    <row r="179">
      <c r="A179" s="26" t="inlineStr">
        <is>
          <t>Tier B</t>
        </is>
      </c>
      <c r="B179" s="17" t="n">
        <v>18</v>
      </c>
      <c r="C179" s="17" t="inlineStr">
        <is>
          <t>환인제약(주)</t>
        </is>
      </c>
      <c r="D179" s="17" t="inlineStr">
        <is>
          <t>향남</t>
        </is>
      </c>
      <c r="E179" s="17" t="inlineStr">
        <is>
          <t>경기도</t>
        </is>
      </c>
      <c r="F179" s="17" t="inlineStr">
        <is>
          <t>화성시</t>
        </is>
      </c>
      <c r="G179" s="17" t="n">
        <v>2</v>
      </c>
      <c r="H179" s="17" t="inlineStr"/>
      <c r="I179" s="17" t="inlineStr"/>
      <c r="J179" s="17" t="inlineStr">
        <is>
          <t>Y</t>
        </is>
      </c>
      <c r="K179" s="17" t="inlineStr"/>
      <c r="L179" s="22" t="inlineStr">
        <is>
          <t>미확인</t>
        </is>
      </c>
      <c r="M179" s="22" t="inlineStr">
        <is>
          <t>미확인</t>
        </is>
      </c>
      <c r="N179" s="22" t="inlineStr">
        <is>
          <t>미확인</t>
        </is>
      </c>
      <c r="O179" s="22" t="inlineStr">
        <is>
          <t>미확인</t>
        </is>
      </c>
      <c r="P179" s="17" t="inlineStr">
        <is>
          <t>EDMS+QMS+LMS</t>
        </is>
      </c>
      <c r="Q179" s="22" t="inlineStr">
        <is>
          <t>미확인</t>
        </is>
      </c>
      <c r="R179" s="22" t="inlineStr">
        <is>
          <t>미확인</t>
        </is>
      </c>
      <c r="S179" s="17" t="inlineStr">
        <is>
          <t>Tier D</t>
        </is>
      </c>
      <c r="T179" s="17" t="n">
        <v>11</v>
      </c>
      <c r="U179" s="17" t="inlineStr">
        <is>
          <t>C069</t>
        </is>
      </c>
      <c r="V179" s="17" t="inlineStr">
        <is>
          <t>환인제약</t>
        </is>
      </c>
      <c r="W179" s="17" t="inlineStr">
        <is>
          <t>Y</t>
        </is>
      </c>
      <c r="X179" s="17" t="inlineStr">
        <is>
          <t>유가</t>
        </is>
      </c>
      <c r="Y179" s="23" t="inlineStr">
        <is>
          <t>016580</t>
        </is>
      </c>
      <c r="Z179" s="17" t="inlineStr">
        <is>
          <t>이광식, 이원범(각자 대표이사)</t>
        </is>
      </c>
      <c r="AA179" s="17" t="inlineStr">
        <is>
          <t>http://www.whanin.co.kr</t>
        </is>
      </c>
      <c r="AB179" s="17" t="inlineStr">
        <is>
          <t>031-849-4310</t>
        </is>
      </c>
      <c r="AC179" s="17" t="inlineStr">
        <is>
          <t>미확인</t>
        </is>
      </c>
      <c r="AD179" s="17" t="inlineStr">
        <is>
          <t>Y</t>
        </is>
      </c>
      <c r="AE179" s="17" t="inlineStr">
        <is>
          <t>P071</t>
        </is>
      </c>
      <c r="AF179" s="17" t="inlineStr">
        <is>
          <t>경기도 화성시 만세구 향남읍 제약공단2길 45</t>
        </is>
      </c>
      <c r="AG179" s="17" t="inlineStr">
        <is>
          <t>완제의약품</t>
        </is>
      </c>
      <c r="AH179" s="17" t="inlineStr">
        <is>
          <t>비무균-일반제제-내용고형제(정제, 캡슐제)</t>
        </is>
      </c>
      <c r="AI179" s="17" t="n">
        <v>1</v>
      </c>
      <c r="AJ179" s="24" t="n">
        <v>47172</v>
      </c>
      <c r="AK179" s="17" t="inlineStr"/>
      <c r="AL179" s="17" t="inlineStr"/>
      <c r="AM179" s="17" t="inlineStr">
        <is>
          <t>다중 제조소/다수 판정서로 문서관리 복잡; 다중 제조소로 교육관리 대상 광범위</t>
        </is>
      </c>
      <c r="AN179" s="17" t="inlineStr">
        <is>
          <t>미확인</t>
        </is>
      </c>
      <c r="AO179" s="17" t="inlineStr">
        <is>
          <t>미확인</t>
        </is>
      </c>
      <c r="AP179" s="17" t="inlineStr">
        <is>
          <t>미확인</t>
        </is>
      </c>
      <c r="AQ179" s="17" t="inlineStr">
        <is>
          <t>담당자 파악 후 접촉</t>
        </is>
      </c>
      <c r="AR179" s="17" t="inlineStr">
        <is>
          <t>2026-07-05</t>
        </is>
      </c>
      <c r="AS179" s="17" t="inlineStr">
        <is>
          <t>C(부분확인)</t>
        </is>
      </c>
      <c r="AT179" s="17" t="n">
        <v>90</v>
      </c>
      <c r="AU179" s="17" t="inlineStr"/>
      <c r="AV179" s="17" t="inlineStr"/>
    </row>
    <row r="180">
      <c r="A180" s="26" t="inlineStr">
        <is>
          <t>Tier B</t>
        </is>
      </c>
      <c r="B180" s="17" t="n">
        <v>18</v>
      </c>
      <c r="C180" s="17" t="inlineStr">
        <is>
          <t>환인제약(주)</t>
        </is>
      </c>
      <c r="D180" s="17" t="inlineStr">
        <is>
          <t>안성</t>
        </is>
      </c>
      <c r="E180" s="17" t="inlineStr">
        <is>
          <t>경기도</t>
        </is>
      </c>
      <c r="F180" s="17" t="inlineStr">
        <is>
          <t>안성시</t>
        </is>
      </c>
      <c r="G180" s="17" t="n">
        <v>2</v>
      </c>
      <c r="H180" s="17" t="inlineStr"/>
      <c r="I180" s="17" t="inlineStr"/>
      <c r="J180" s="17" t="inlineStr">
        <is>
          <t>Y</t>
        </is>
      </c>
      <c r="K180" s="17" t="inlineStr"/>
      <c r="L180" s="22" t="inlineStr">
        <is>
          <t>미확인</t>
        </is>
      </c>
      <c r="M180" s="22" t="inlineStr">
        <is>
          <t>미확인</t>
        </is>
      </c>
      <c r="N180" s="22" t="inlineStr">
        <is>
          <t>미확인</t>
        </is>
      </c>
      <c r="O180" s="22" t="inlineStr">
        <is>
          <t>미확인</t>
        </is>
      </c>
      <c r="P180" s="17" t="inlineStr">
        <is>
          <t>EDMS+QMS+LMS</t>
        </is>
      </c>
      <c r="Q180" s="22" t="inlineStr">
        <is>
          <t>미확인</t>
        </is>
      </c>
      <c r="R180" s="22" t="inlineStr">
        <is>
          <t>미확인</t>
        </is>
      </c>
      <c r="S180" s="17" t="inlineStr">
        <is>
          <t>Tier D</t>
        </is>
      </c>
      <c r="T180" s="17" t="n">
        <v>11</v>
      </c>
      <c r="U180" s="17" t="inlineStr">
        <is>
          <t>C069</t>
        </is>
      </c>
      <c r="V180" s="17" t="inlineStr">
        <is>
          <t>환인제약</t>
        </is>
      </c>
      <c r="W180" s="17" t="inlineStr">
        <is>
          <t>Y</t>
        </is>
      </c>
      <c r="X180" s="17" t="inlineStr">
        <is>
          <t>유가</t>
        </is>
      </c>
      <c r="Y180" s="23" t="inlineStr">
        <is>
          <t>016580</t>
        </is>
      </c>
      <c r="Z180" s="17" t="inlineStr">
        <is>
          <t>이광식, 이원범(각자 대표이사)</t>
        </is>
      </c>
      <c r="AA180" s="17" t="inlineStr">
        <is>
          <t>http://www.whanin.co.kr</t>
        </is>
      </c>
      <c r="AB180" s="17" t="inlineStr">
        <is>
          <t>031-849-4310</t>
        </is>
      </c>
      <c r="AC180" s="17" t="inlineStr">
        <is>
          <t>미확인</t>
        </is>
      </c>
      <c r="AD180" s="17" t="inlineStr">
        <is>
          <t>Y</t>
        </is>
      </c>
      <c r="AE180" s="17" t="inlineStr">
        <is>
          <t>P109</t>
        </is>
      </c>
      <c r="AF180" s="17" t="inlineStr">
        <is>
          <t>경기도 안성시 공단로 50</t>
        </is>
      </c>
      <c r="AG180" s="17" t="inlineStr">
        <is>
          <t>완제의약품</t>
        </is>
      </c>
      <c r="AH180" s="17" t="inlineStr">
        <is>
          <t>비무균-일반제제-내용고형제(정제, 캡슐제)</t>
        </is>
      </c>
      <c r="AI180" s="17" t="n">
        <v>1</v>
      </c>
      <c r="AJ180" s="24" t="n">
        <v>47065</v>
      </c>
      <c r="AK180" s="17" t="inlineStr"/>
      <c r="AL180" s="17" t="inlineStr"/>
      <c r="AM180" s="17" t="inlineStr">
        <is>
          <t>다중 제조소/다수 판정서로 문서관리 복잡; 다중 제조소로 교육관리 대상 광범위</t>
        </is>
      </c>
      <c r="AN180" s="17" t="inlineStr">
        <is>
          <t>미확인</t>
        </is>
      </c>
      <c r="AO180" s="17" t="inlineStr">
        <is>
          <t>미확인</t>
        </is>
      </c>
      <c r="AP180" s="17" t="inlineStr">
        <is>
          <t>미확인</t>
        </is>
      </c>
      <c r="AQ180" s="17" t="inlineStr">
        <is>
          <t>담당자 파악 후 접촉</t>
        </is>
      </c>
      <c r="AR180" s="17" t="inlineStr">
        <is>
          <t>2026-07-05</t>
        </is>
      </c>
      <c r="AS180" s="17" t="inlineStr">
        <is>
          <t>C(부분확인)</t>
        </is>
      </c>
      <c r="AT180" s="17" t="n">
        <v>90</v>
      </c>
      <c r="AU180" s="17" t="inlineStr"/>
      <c r="AV180" s="17" t="inlineStr"/>
    </row>
    <row r="181">
      <c r="A181" s="26" t="inlineStr">
        <is>
          <t>Tier B</t>
        </is>
      </c>
      <c r="B181" s="17" t="n">
        <v>18</v>
      </c>
      <c r="C181" s="17" t="inlineStr">
        <is>
          <t>(주)국전</t>
        </is>
      </c>
      <c r="D181" s="17" t="inlineStr">
        <is>
          <t>향남공장</t>
        </is>
      </c>
      <c r="E181" s="17" t="inlineStr">
        <is>
          <t>경기도</t>
        </is>
      </c>
      <c r="F181" s="17" t="inlineStr">
        <is>
          <t>화성시</t>
        </is>
      </c>
      <c r="G181" s="17" t="n">
        <v>1</v>
      </c>
      <c r="H181" s="17" t="inlineStr"/>
      <c r="I181" s="17" t="inlineStr"/>
      <c r="J181" s="17" t="inlineStr"/>
      <c r="K181" s="17" t="inlineStr">
        <is>
          <t>Y</t>
        </is>
      </c>
      <c r="L181" s="22" t="inlineStr">
        <is>
          <t>미확인</t>
        </is>
      </c>
      <c r="M181" s="22" t="inlineStr">
        <is>
          <t>미확인</t>
        </is>
      </c>
      <c r="N181" s="22" t="inlineStr">
        <is>
          <t>미확인</t>
        </is>
      </c>
      <c r="O181" s="22" t="inlineStr">
        <is>
          <t>미확인</t>
        </is>
      </c>
      <c r="P181" s="17" t="inlineStr">
        <is>
          <t>LIMS</t>
        </is>
      </c>
      <c r="Q181" s="22" t="inlineStr">
        <is>
          <t>미확인</t>
        </is>
      </c>
      <c r="R181" s="22" t="inlineStr">
        <is>
          <t>미확인</t>
        </is>
      </c>
      <c r="S181" s="17" t="inlineStr">
        <is>
          <t>Tier D</t>
        </is>
      </c>
      <c r="T181" s="17" t="n">
        <v>4</v>
      </c>
      <c r="U181" s="17" t="inlineStr">
        <is>
          <t>C293</t>
        </is>
      </c>
      <c r="V181" s="17" t="inlineStr">
        <is>
          <t>국전</t>
        </is>
      </c>
      <c r="W181" s="17" t="inlineStr">
        <is>
          <t>Y</t>
        </is>
      </c>
      <c r="X181" s="17" t="inlineStr">
        <is>
          <t>코스닥</t>
        </is>
      </c>
      <c r="Y181" s="23" t="inlineStr">
        <is>
          <t>307750</t>
        </is>
      </c>
      <c r="Z181" s="17" t="inlineStr">
        <is>
          <t>홍종호</t>
        </is>
      </c>
      <c r="AA181" s="17" t="inlineStr"/>
      <c r="AB181" s="17" t="inlineStr">
        <is>
          <t>031-352-8179</t>
        </is>
      </c>
      <c r="AC181" s="17" t="inlineStr">
        <is>
          <t>미확인</t>
        </is>
      </c>
      <c r="AD181" s="17" t="inlineStr">
        <is>
          <t>Y</t>
        </is>
      </c>
      <c r="AE181" s="17" t="inlineStr">
        <is>
          <t>P352</t>
        </is>
      </c>
      <c r="AF181" s="17" t="inlineStr">
        <is>
          <t>경기도 화성시 만세구 향남읍 발안공단로 8</t>
        </is>
      </c>
      <c r="AG181" s="17" t="inlineStr">
        <is>
          <t>원료의약품</t>
        </is>
      </c>
      <c r="AH181" s="17" t="inlineStr">
        <is>
          <t>비무균-일반제제-합성</t>
        </is>
      </c>
      <c r="AI181" s="17" t="n">
        <v>1</v>
      </c>
      <c r="AJ181" s="24" t="n">
        <v>46586</v>
      </c>
      <c r="AK181" s="17" t="inlineStr"/>
      <c r="AL181" s="17" t="inlineStr"/>
      <c r="AM181" s="17" t="inlineStr">
        <is>
          <t>원료 제조로 시험실 관리 필요</t>
        </is>
      </c>
      <c r="AN181" s="17" t="inlineStr">
        <is>
          <t>미확인</t>
        </is>
      </c>
      <c r="AO181" s="17" t="inlineStr">
        <is>
          <t>미확인</t>
        </is>
      </c>
      <c r="AP181" s="17" t="inlineStr">
        <is>
          <t>미확인</t>
        </is>
      </c>
      <c r="AQ181" s="17" t="inlineStr">
        <is>
          <t>담당자 파악 후 접촉</t>
        </is>
      </c>
      <c r="AR181" s="17" t="inlineStr">
        <is>
          <t>2026-07-05</t>
        </is>
      </c>
      <c r="AS181" s="17" t="inlineStr">
        <is>
          <t>C(부분확인)</t>
        </is>
      </c>
      <c r="AT181" s="17" t="n">
        <v>90</v>
      </c>
      <c r="AU181" s="17" t="inlineStr"/>
      <c r="AV181" s="17" t="inlineStr"/>
    </row>
    <row r="182">
      <c r="A182" s="26" t="inlineStr">
        <is>
          <t>Tier B</t>
        </is>
      </c>
      <c r="B182" s="17" t="n">
        <v>18</v>
      </c>
      <c r="C182" s="17" t="inlineStr">
        <is>
          <t>(주)루텍</t>
        </is>
      </c>
      <c r="D182" s="17" t="inlineStr">
        <is>
          <t>미확인</t>
        </is>
      </c>
      <c r="E182" s="17" t="inlineStr">
        <is>
          <t>충청북도</t>
        </is>
      </c>
      <c r="F182" s="17" t="inlineStr">
        <is>
          <t>청주시</t>
        </is>
      </c>
      <c r="G182" s="17" t="n">
        <v>1</v>
      </c>
      <c r="H182" s="20" t="inlineStr">
        <is>
          <t>Y</t>
        </is>
      </c>
      <c r="I182" s="17" t="inlineStr"/>
      <c r="J182" s="17" t="inlineStr"/>
      <c r="K182" s="17" t="inlineStr">
        <is>
          <t>Y</t>
        </is>
      </c>
      <c r="L182" s="22" t="inlineStr">
        <is>
          <t>미확인</t>
        </is>
      </c>
      <c r="M182" s="22" t="inlineStr">
        <is>
          <t>미확인</t>
        </is>
      </c>
      <c r="N182" s="22" t="inlineStr">
        <is>
          <t>미확인</t>
        </is>
      </c>
      <c r="O182" s="22" t="inlineStr">
        <is>
          <t>미확인</t>
        </is>
      </c>
      <c r="P182" s="17" t="inlineStr">
        <is>
          <t>QMS+LIMS</t>
        </is>
      </c>
      <c r="Q182" s="22" t="inlineStr">
        <is>
          <t>미확인</t>
        </is>
      </c>
      <c r="R182" s="22" t="inlineStr">
        <is>
          <t>미확인</t>
        </is>
      </c>
      <c r="S182" s="17" t="inlineStr">
        <is>
          <t>Tier D</t>
        </is>
      </c>
      <c r="T182" s="17" t="n">
        <v>12</v>
      </c>
      <c r="U182" s="17" t="inlineStr">
        <is>
          <t>C174</t>
        </is>
      </c>
      <c r="V182" s="17" t="inlineStr">
        <is>
          <t>루텍</t>
        </is>
      </c>
      <c r="W182" s="17" t="inlineStr"/>
      <c r="X182" s="17" t="inlineStr"/>
      <c r="Y182" s="23" t="inlineStr"/>
      <c r="Z182" s="17" t="inlineStr">
        <is>
          <t>이장휘</t>
        </is>
      </c>
      <c r="AA182" s="17" t="inlineStr"/>
      <c r="AB182" s="17" t="inlineStr">
        <is>
          <t>043-264-7038</t>
        </is>
      </c>
      <c r="AC182" s="17" t="inlineStr">
        <is>
          <t>미확인</t>
        </is>
      </c>
      <c r="AD182" s="17" t="inlineStr">
        <is>
          <t>Y</t>
        </is>
      </c>
      <c r="AE182" s="17" t="inlineStr">
        <is>
          <t>P187</t>
        </is>
      </c>
      <c r="AF182" s="17" t="inlineStr">
        <is>
          <t>충청북도 청주시 흥덕구 공단로98번길 53-1</t>
        </is>
      </c>
      <c r="AG182" s="17" t="inlineStr">
        <is>
          <t>원료의약품</t>
        </is>
      </c>
      <c r="AH182" s="17" t="inlineStr">
        <is>
          <t>무균-일반제제-발효</t>
        </is>
      </c>
      <c r="AI182" s="17" t="n">
        <v>1</v>
      </c>
      <c r="AJ182" s="24" t="n">
        <v>46934</v>
      </c>
      <c r="AK182" s="17" t="inlineStr"/>
      <c r="AL182" s="17" t="inlineStr"/>
      <c r="AM182" s="17" t="inlineStr">
        <is>
          <t>무균/바이오 제조로 품질관리 난도 높음; 원료 제조로 시험실 관리 필요</t>
        </is>
      </c>
      <c r="AN182" s="17" t="inlineStr">
        <is>
          <t>미확인</t>
        </is>
      </c>
      <c r="AO182" s="17" t="inlineStr">
        <is>
          <t>미확인</t>
        </is>
      </c>
      <c r="AP182" s="17" t="inlineStr">
        <is>
          <t>미확인</t>
        </is>
      </c>
      <c r="AQ182" s="17" t="inlineStr">
        <is>
          <t>담당자 파악 후 접촉</t>
        </is>
      </c>
      <c r="AR182" s="17" t="inlineStr">
        <is>
          <t>2026-07-05</t>
        </is>
      </c>
      <c r="AS182" s="17" t="inlineStr">
        <is>
          <t>C(부분확인)</t>
        </is>
      </c>
      <c r="AT182" s="17" t="n">
        <v>90</v>
      </c>
      <c r="AU182" s="17" t="inlineStr"/>
      <c r="AV182" s="17" t="inlineStr"/>
    </row>
    <row r="183">
      <c r="A183" s="26" t="inlineStr">
        <is>
          <t>Tier B</t>
        </is>
      </c>
      <c r="B183" s="17" t="n">
        <v>18</v>
      </c>
      <c r="C183" s="17" t="inlineStr">
        <is>
          <t>(주)보락</t>
        </is>
      </c>
      <c r="D183" s="17" t="inlineStr">
        <is>
          <t>보관소</t>
        </is>
      </c>
      <c r="E183" s="17" t="inlineStr">
        <is>
          <t>경기도</t>
        </is>
      </c>
      <c r="F183" s="17" t="inlineStr">
        <is>
          <t>화성시</t>
        </is>
      </c>
      <c r="G183" s="17" t="n">
        <v>1</v>
      </c>
      <c r="H183" s="17" t="inlineStr"/>
      <c r="I183" s="17" t="inlineStr"/>
      <c r="J183" s="17" t="inlineStr"/>
      <c r="K183" s="17" t="inlineStr">
        <is>
          <t>Y</t>
        </is>
      </c>
      <c r="L183" s="22" t="inlineStr">
        <is>
          <t>미확인</t>
        </is>
      </c>
      <c r="M183" s="22" t="inlineStr">
        <is>
          <t>미확인</t>
        </is>
      </c>
      <c r="N183" s="22" t="inlineStr">
        <is>
          <t>미확인</t>
        </is>
      </c>
      <c r="O183" s="22" t="inlineStr">
        <is>
          <t>미확인</t>
        </is>
      </c>
      <c r="P183" s="17" t="inlineStr">
        <is>
          <t>LIMS</t>
        </is>
      </c>
      <c r="Q183" s="22" t="inlineStr">
        <is>
          <t>미확인</t>
        </is>
      </c>
      <c r="R183" s="22" t="inlineStr">
        <is>
          <t>미확인</t>
        </is>
      </c>
      <c r="S183" s="17" t="inlineStr">
        <is>
          <t>Tier D</t>
        </is>
      </c>
      <c r="T183" s="17" t="n">
        <v>4</v>
      </c>
      <c r="U183" s="17" t="inlineStr">
        <is>
          <t>C057</t>
        </is>
      </c>
      <c r="V183" s="17" t="inlineStr">
        <is>
          <t>보락</t>
        </is>
      </c>
      <c r="W183" s="17" t="inlineStr">
        <is>
          <t>Y</t>
        </is>
      </c>
      <c r="X183" s="17" t="inlineStr">
        <is>
          <t>유가</t>
        </is>
      </c>
      <c r="Y183" s="23" t="inlineStr">
        <is>
          <t>002760</t>
        </is>
      </c>
      <c r="Z183" s="17" t="inlineStr">
        <is>
          <t>정기련</t>
        </is>
      </c>
      <c r="AA183" s="17" t="inlineStr">
        <is>
          <t>http://www.bolak.co.kr</t>
        </is>
      </c>
      <c r="AB183" s="17" t="inlineStr">
        <is>
          <t>미확인</t>
        </is>
      </c>
      <c r="AC183" s="17" t="inlineStr">
        <is>
          <t>미확인</t>
        </is>
      </c>
      <c r="AD183" s="17" t="inlineStr">
        <is>
          <t>Y</t>
        </is>
      </c>
      <c r="AE183" s="17" t="inlineStr">
        <is>
          <t>P059</t>
        </is>
      </c>
      <c r="AF183" s="17" t="inlineStr">
        <is>
          <t>경기도 화성시 만세구 양감면 초록로 720-37</t>
        </is>
      </c>
      <c r="AG183" s="17" t="inlineStr">
        <is>
          <t>원료의약품</t>
        </is>
      </c>
      <c r="AH183" s="17" t="inlineStr">
        <is>
          <t>비무균-세포독성항암제제-합성, 비무균-일반제제-합성, 비무균-일반제제-추출, 비무균-세포독성항암제제-정제(합성에 한함), 비무균-일반제제-(정제(합성에 한함), 정제(추출에 한함)), 비무균-일반제제-소분</t>
        </is>
      </c>
      <c r="AI183" s="17" t="n">
        <v>1</v>
      </c>
      <c r="AJ183" s="24" t="n">
        <v>47193</v>
      </c>
      <c r="AK183" s="17" t="inlineStr"/>
      <c r="AL183" s="17" t="inlineStr"/>
      <c r="AM183" s="17" t="inlineStr">
        <is>
          <t>원료 제조로 시험실 관리 필요</t>
        </is>
      </c>
      <c r="AN183" s="17" t="inlineStr">
        <is>
          <t>미확인</t>
        </is>
      </c>
      <c r="AO183" s="17" t="inlineStr">
        <is>
          <t>미확인</t>
        </is>
      </c>
      <c r="AP183" s="17" t="inlineStr">
        <is>
          <t>미확인</t>
        </is>
      </c>
      <c r="AQ183" s="17" t="inlineStr">
        <is>
          <t>담당자 파악 후 접촉</t>
        </is>
      </c>
      <c r="AR183" s="17" t="inlineStr">
        <is>
          <t>2026-07-05</t>
        </is>
      </c>
      <c r="AS183" s="17" t="inlineStr">
        <is>
          <t>C(부분확인)</t>
        </is>
      </c>
      <c r="AT183" s="17" t="n">
        <v>90</v>
      </c>
      <c r="AU183" s="17" t="inlineStr"/>
      <c r="AV183" s="17" t="inlineStr"/>
    </row>
    <row r="184">
      <c r="A184" s="26" t="inlineStr">
        <is>
          <t>Tier B</t>
        </is>
      </c>
      <c r="B184" s="17" t="n">
        <v>18</v>
      </c>
      <c r="C184" s="17" t="inlineStr">
        <is>
          <t>(주)비보존제약</t>
        </is>
      </c>
      <c r="D184" s="17" t="inlineStr">
        <is>
          <t>화성</t>
        </is>
      </c>
      <c r="E184" s="17" t="inlineStr">
        <is>
          <t>경기도</t>
        </is>
      </c>
      <c r="F184" s="17" t="inlineStr">
        <is>
          <t>화성시</t>
        </is>
      </c>
      <c r="G184" s="17" t="n">
        <v>1</v>
      </c>
      <c r="H184" s="17" t="inlineStr"/>
      <c r="I184" s="17" t="inlineStr"/>
      <c r="J184" s="17" t="inlineStr">
        <is>
          <t>Y</t>
        </is>
      </c>
      <c r="K184" s="17" t="inlineStr"/>
      <c r="L184" s="22" t="inlineStr">
        <is>
          <t>미확인</t>
        </is>
      </c>
      <c r="M184" s="22" t="inlineStr">
        <is>
          <t>미확인</t>
        </is>
      </c>
      <c r="N184" s="22" t="inlineStr">
        <is>
          <t>미확인</t>
        </is>
      </c>
      <c r="O184" s="22" t="inlineStr">
        <is>
          <t>미확인</t>
        </is>
      </c>
      <c r="P184" s="17" t="inlineStr">
        <is>
          <t>QMS</t>
        </is>
      </c>
      <c r="Q184" s="22" t="inlineStr">
        <is>
          <t>미확인</t>
        </is>
      </c>
      <c r="R184" s="22" t="inlineStr">
        <is>
          <t>미확인</t>
        </is>
      </c>
      <c r="S184" s="17" t="inlineStr">
        <is>
          <t>Tier D</t>
        </is>
      </c>
      <c r="T184" s="17" t="n">
        <v>12</v>
      </c>
      <c r="U184" s="17" t="inlineStr">
        <is>
          <t>C376</t>
        </is>
      </c>
      <c r="V184" s="17" t="inlineStr">
        <is>
          <t>비보존제약</t>
        </is>
      </c>
      <c r="W184" s="17" t="inlineStr">
        <is>
          <t>Y</t>
        </is>
      </c>
      <c r="X184" s="17" t="inlineStr">
        <is>
          <t>코스닥</t>
        </is>
      </c>
      <c r="Y184" s="23" t="inlineStr">
        <is>
          <t>082800</t>
        </is>
      </c>
      <c r="Z184" s="17" t="inlineStr">
        <is>
          <t>장부환</t>
        </is>
      </c>
      <c r="AA184" s="17" t="inlineStr">
        <is>
          <t>http://www.vivozonpharm.com</t>
        </is>
      </c>
      <c r="AB184" s="17" t="inlineStr">
        <is>
          <t>031-3536-5513</t>
        </is>
      </c>
      <c r="AC184" s="17" t="inlineStr">
        <is>
          <t>미확인</t>
        </is>
      </c>
      <c r="AD184" s="17" t="inlineStr">
        <is>
          <t>Y</t>
        </is>
      </c>
      <c r="AE184" s="17" t="inlineStr">
        <is>
          <t>P459</t>
        </is>
      </c>
      <c r="AF184" s="17" t="inlineStr">
        <is>
          <t>경기도 화성시 만세구 향남읍 제약공단2길 34-40</t>
        </is>
      </c>
      <c r="AG184" s="17" t="inlineStr">
        <is>
          <t>완제의약품</t>
        </is>
      </c>
      <c r="AH184" s="17" t="inlineStr">
        <is>
          <t>비무균-일반제제-내용고형제(정제, 캡슐제, 시럽제(고형)), 비무균-일반제제-내용액제(경구용액제, 시럽제(액상)), 비무균-일반제제-연고제(연고제, 크림제, 겔제)</t>
        </is>
      </c>
      <c r="AI184" s="17" t="n">
        <v>1</v>
      </c>
      <c r="AJ184" s="24" t="n">
        <v>46349</v>
      </c>
      <c r="AK184" s="25" t="inlineStr">
        <is>
          <t>Y</t>
        </is>
      </c>
      <c r="AL184" s="17" t="inlineStr">
        <is>
          <t>Y</t>
        </is>
      </c>
      <c r="AM184" s="17" t="inlineStr">
        <is>
          <t>기본 GMP 문서관리 대상</t>
        </is>
      </c>
      <c r="AN184" s="17" t="inlineStr">
        <is>
          <t>미확인</t>
        </is>
      </c>
      <c r="AO184" s="17" t="inlineStr">
        <is>
          <t>미확인</t>
        </is>
      </c>
      <c r="AP184" s="17" t="inlineStr">
        <is>
          <t>미확인</t>
        </is>
      </c>
      <c r="AQ184" s="17" t="inlineStr">
        <is>
          <t>담당자 파악 후 접촉</t>
        </is>
      </c>
      <c r="AR184" s="17" t="inlineStr">
        <is>
          <t>2026-07-05</t>
        </is>
      </c>
      <c r="AS184" s="17" t="inlineStr">
        <is>
          <t>C(부분확인)</t>
        </is>
      </c>
      <c r="AT184" s="17" t="n">
        <v>90</v>
      </c>
      <c r="AU184" s="17" t="inlineStr"/>
      <c r="AV184" s="17" t="inlineStr"/>
    </row>
    <row r="185">
      <c r="A185" s="26" t="inlineStr">
        <is>
          <t>Tier B</t>
        </is>
      </c>
      <c r="B185" s="17" t="n">
        <v>18</v>
      </c>
      <c r="C185" s="17" t="inlineStr">
        <is>
          <t>(주)서울제약</t>
        </is>
      </c>
      <c r="D185" s="17" t="inlineStr">
        <is>
          <t>청주</t>
        </is>
      </c>
      <c r="E185" s="17" t="inlineStr">
        <is>
          <t>충청북도</t>
        </is>
      </c>
      <c r="F185" s="17" t="inlineStr">
        <is>
          <t>청주시</t>
        </is>
      </c>
      <c r="G185" s="17" t="n">
        <v>1</v>
      </c>
      <c r="H185" s="17" t="inlineStr"/>
      <c r="I185" s="17" t="inlineStr"/>
      <c r="J185" s="17" t="inlineStr">
        <is>
          <t>Y</t>
        </is>
      </c>
      <c r="K185" s="17" t="inlineStr"/>
      <c r="L185" s="22" t="inlineStr">
        <is>
          <t>미확인</t>
        </is>
      </c>
      <c r="M185" s="22" t="inlineStr">
        <is>
          <t>미확인</t>
        </is>
      </c>
      <c r="N185" s="22" t="inlineStr">
        <is>
          <t>미확인</t>
        </is>
      </c>
      <c r="O185" s="22" t="inlineStr">
        <is>
          <t>미확인</t>
        </is>
      </c>
      <c r="P185" s="17" t="inlineStr">
        <is>
          <t>QMS</t>
        </is>
      </c>
      <c r="Q185" s="22" t="inlineStr">
        <is>
          <t>미확인</t>
        </is>
      </c>
      <c r="R185" s="22" t="inlineStr">
        <is>
          <t>미확인</t>
        </is>
      </c>
      <c r="S185" s="17" t="inlineStr">
        <is>
          <t>Tier D</t>
        </is>
      </c>
      <c r="T185" s="17" t="n">
        <v>12</v>
      </c>
      <c r="U185" s="17" t="inlineStr">
        <is>
          <t>C381</t>
        </is>
      </c>
      <c r="V185" s="17" t="inlineStr">
        <is>
          <t>서울제약</t>
        </is>
      </c>
      <c r="W185" s="17" t="inlineStr">
        <is>
          <t>Y</t>
        </is>
      </c>
      <c r="X185" s="17" t="inlineStr">
        <is>
          <t>코스닥</t>
        </is>
      </c>
      <c r="Y185" s="23" t="inlineStr">
        <is>
          <t>018680</t>
        </is>
      </c>
      <c r="Z185" s="17" t="inlineStr">
        <is>
          <t>윤동현, 신봉환 (각자대표)</t>
        </is>
      </c>
      <c r="AA185" s="17" t="inlineStr">
        <is>
          <t>http://www.seoulpharma.com</t>
        </is>
      </c>
      <c r="AB185" s="17" t="inlineStr">
        <is>
          <t>02-3470-2382</t>
        </is>
      </c>
      <c r="AC185" s="17" t="inlineStr">
        <is>
          <t>미확인</t>
        </is>
      </c>
      <c r="AD185" s="17" t="inlineStr">
        <is>
          <t>Y</t>
        </is>
      </c>
      <c r="AE185" s="17" t="inlineStr">
        <is>
          <t>P464</t>
        </is>
      </c>
      <c r="AF185" s="17" t="inlineStr">
        <is>
          <t>충청북도 청주시 흥덕구 오송읍 오송생명6로 124-31</t>
        </is>
      </c>
      <c r="AG185" s="17" t="inlineStr">
        <is>
          <t>완제의약품</t>
        </is>
      </c>
      <c r="AH185" s="17" t="inlineStr">
        <is>
          <t>비무균-일반제제-내용고형제(정제, 캡슐제, 과립제, 구강용해필름)</t>
        </is>
      </c>
      <c r="AI185" s="17" t="n">
        <v>1</v>
      </c>
      <c r="AJ185" s="24" t="n">
        <v>46340</v>
      </c>
      <c r="AK185" s="25" t="inlineStr">
        <is>
          <t>Y</t>
        </is>
      </c>
      <c r="AL185" s="17" t="inlineStr">
        <is>
          <t>Y</t>
        </is>
      </c>
      <c r="AM185" s="17" t="inlineStr">
        <is>
          <t>기본 GMP 문서관리 대상</t>
        </is>
      </c>
      <c r="AN185" s="17" t="inlineStr">
        <is>
          <t>미확인</t>
        </is>
      </c>
      <c r="AO185" s="17" t="inlineStr">
        <is>
          <t>미확인</t>
        </is>
      </c>
      <c r="AP185" s="17" t="inlineStr">
        <is>
          <t>미확인</t>
        </is>
      </c>
      <c r="AQ185" s="17" t="inlineStr">
        <is>
          <t>담당자 파악 후 접촉</t>
        </is>
      </c>
      <c r="AR185" s="17" t="inlineStr">
        <is>
          <t>2026-07-05</t>
        </is>
      </c>
      <c r="AS185" s="17" t="inlineStr">
        <is>
          <t>C(부분확인)</t>
        </is>
      </c>
      <c r="AT185" s="17" t="n">
        <v>90</v>
      </c>
      <c r="AU185" s="17" t="inlineStr"/>
      <c r="AV185" s="17" t="inlineStr"/>
    </row>
    <row r="186">
      <c r="A186" s="26" t="inlineStr">
        <is>
          <t>Tier B</t>
        </is>
      </c>
      <c r="B186" s="17" t="n">
        <v>18</v>
      </c>
      <c r="C186" s="17" t="inlineStr">
        <is>
          <t>(주)아이티켐</t>
        </is>
      </c>
      <c r="D186" s="17" t="inlineStr">
        <is>
          <t>1공장</t>
        </is>
      </c>
      <c r="E186" s="17" t="inlineStr">
        <is>
          <t>충청북도</t>
        </is>
      </c>
      <c r="F186" s="17" t="inlineStr">
        <is>
          <t>청주시</t>
        </is>
      </c>
      <c r="G186" s="17" t="n">
        <v>1</v>
      </c>
      <c r="H186" s="17" t="inlineStr"/>
      <c r="I186" s="17" t="inlineStr"/>
      <c r="J186" s="17" t="inlineStr"/>
      <c r="K186" s="17" t="inlineStr">
        <is>
          <t>Y</t>
        </is>
      </c>
      <c r="L186" s="22" t="inlineStr">
        <is>
          <t>미확인</t>
        </is>
      </c>
      <c r="M186" s="22" t="inlineStr">
        <is>
          <t>미확인</t>
        </is>
      </c>
      <c r="N186" s="22" t="inlineStr">
        <is>
          <t>미확인</t>
        </is>
      </c>
      <c r="O186" s="22" t="inlineStr">
        <is>
          <t>미확인</t>
        </is>
      </c>
      <c r="P186" s="17" t="inlineStr">
        <is>
          <t>LIMS</t>
        </is>
      </c>
      <c r="Q186" s="22" t="inlineStr">
        <is>
          <t>미확인</t>
        </is>
      </c>
      <c r="R186" s="22" t="inlineStr">
        <is>
          <t>미확인</t>
        </is>
      </c>
      <c r="S186" s="17" t="inlineStr">
        <is>
          <t>Tier D</t>
        </is>
      </c>
      <c r="T186" s="17" t="n">
        <v>7</v>
      </c>
      <c r="U186" s="17" t="inlineStr">
        <is>
          <t>C226</t>
        </is>
      </c>
      <c r="V186" s="17" t="inlineStr">
        <is>
          <t>아이티켐</t>
        </is>
      </c>
      <c r="W186" s="17" t="inlineStr">
        <is>
          <t>Y</t>
        </is>
      </c>
      <c r="X186" s="17" t="inlineStr">
        <is>
          <t>코스닥</t>
        </is>
      </c>
      <c r="Y186" s="23" t="inlineStr">
        <is>
          <t>309710</t>
        </is>
      </c>
      <c r="Z186" s="17" t="inlineStr">
        <is>
          <t>김인규</t>
        </is>
      </c>
      <c r="AA186" s="17" t="inlineStr">
        <is>
          <t>http://itchem.co.kr/home/main.php</t>
        </is>
      </c>
      <c r="AB186" s="17" t="inlineStr">
        <is>
          <t>043217702807075461932</t>
        </is>
      </c>
      <c r="AC186" s="17" t="inlineStr">
        <is>
          <t>미확인</t>
        </is>
      </c>
      <c r="AD186" s="17" t="inlineStr">
        <is>
          <t>Y</t>
        </is>
      </c>
      <c r="AE186" s="17" t="inlineStr">
        <is>
          <t>P250</t>
        </is>
      </c>
      <c r="AF186" s="17" t="inlineStr">
        <is>
          <t>충청북도 청주시 청원구 오창읍 양청송대길 231</t>
        </is>
      </c>
      <c r="AG186" s="17" t="inlineStr">
        <is>
          <t>원료의약품</t>
        </is>
      </c>
      <c r="AH186" s="17" t="inlineStr">
        <is>
          <t>비무균-일반제제-합성</t>
        </is>
      </c>
      <c r="AI186" s="17" t="n">
        <v>1</v>
      </c>
      <c r="AJ186" s="24" t="n">
        <v>46856</v>
      </c>
      <c r="AK186" s="17" t="inlineStr"/>
      <c r="AL186" s="17" t="inlineStr"/>
      <c r="AM186" s="17" t="inlineStr">
        <is>
          <t>원료 제조로 시험실 관리 필요</t>
        </is>
      </c>
      <c r="AN186" s="17" t="inlineStr">
        <is>
          <t>미확인</t>
        </is>
      </c>
      <c r="AO186" s="17" t="inlineStr">
        <is>
          <t>미확인</t>
        </is>
      </c>
      <c r="AP186" s="17" t="inlineStr">
        <is>
          <t>미확인</t>
        </is>
      </c>
      <c r="AQ186" s="17" t="inlineStr">
        <is>
          <t>담당자 파악 후 접촉</t>
        </is>
      </c>
      <c r="AR186" s="17" t="inlineStr">
        <is>
          <t>2026-07-05</t>
        </is>
      </c>
      <c r="AS186" s="17" t="inlineStr">
        <is>
          <t>C(부분확인)</t>
        </is>
      </c>
      <c r="AT186" s="17" t="n">
        <v>90</v>
      </c>
      <c r="AU186" s="17" t="inlineStr"/>
      <c r="AV186" s="17" t="inlineStr"/>
    </row>
    <row r="187">
      <c r="A187" s="26" t="inlineStr">
        <is>
          <t>Tier B</t>
        </is>
      </c>
      <c r="B187" s="17" t="n">
        <v>18</v>
      </c>
      <c r="C187" s="17" t="inlineStr">
        <is>
          <t>(주)켐트로스</t>
        </is>
      </c>
      <c r="D187" s="17" t="inlineStr">
        <is>
          <t>안산</t>
        </is>
      </c>
      <c r="E187" s="17" t="inlineStr">
        <is>
          <t>경기도</t>
        </is>
      </c>
      <c r="F187" s="17" t="inlineStr">
        <is>
          <t>안산시</t>
        </is>
      </c>
      <c r="G187" s="17" t="n">
        <v>1</v>
      </c>
      <c r="H187" s="17" t="inlineStr"/>
      <c r="I187" s="17" t="inlineStr"/>
      <c r="J187" s="17" t="inlineStr"/>
      <c r="K187" s="17" t="inlineStr">
        <is>
          <t>Y</t>
        </is>
      </c>
      <c r="L187" s="22" t="inlineStr">
        <is>
          <t>미확인</t>
        </is>
      </c>
      <c r="M187" s="22" t="inlineStr">
        <is>
          <t>미확인</t>
        </is>
      </c>
      <c r="N187" s="22" t="inlineStr">
        <is>
          <t>미확인</t>
        </is>
      </c>
      <c r="O187" s="22" t="inlineStr">
        <is>
          <t>미확인</t>
        </is>
      </c>
      <c r="P187" s="17" t="inlineStr">
        <is>
          <t>LIMS</t>
        </is>
      </c>
      <c r="Q187" s="22" t="inlineStr">
        <is>
          <t>미확인</t>
        </is>
      </c>
      <c r="R187" s="22" t="inlineStr">
        <is>
          <t>미확인</t>
        </is>
      </c>
      <c r="S187" s="17" t="inlineStr">
        <is>
          <t>Tier D</t>
        </is>
      </c>
      <c r="T187" s="17" t="n">
        <v>7</v>
      </c>
      <c r="U187" s="17" t="inlineStr">
        <is>
          <t>C186</t>
        </is>
      </c>
      <c r="V187" s="17" t="inlineStr">
        <is>
          <t>켐트로스</t>
        </is>
      </c>
      <c r="W187" s="17" t="inlineStr">
        <is>
          <t>Y</t>
        </is>
      </c>
      <c r="X187" s="17" t="inlineStr">
        <is>
          <t>코스닥</t>
        </is>
      </c>
      <c r="Y187" s="23" t="inlineStr">
        <is>
          <t>220260</t>
        </is>
      </c>
      <c r="Z187" s="17" t="inlineStr">
        <is>
          <t>이동훈</t>
        </is>
      </c>
      <c r="AA187" s="17" t="inlineStr">
        <is>
          <t>http://chemtros.com</t>
        </is>
      </c>
      <c r="AB187" s="17" t="inlineStr">
        <is>
          <t>031-4910-6534</t>
        </is>
      </c>
      <c r="AC187" s="17" t="inlineStr">
        <is>
          <t>미확인</t>
        </is>
      </c>
      <c r="AD187" s="17" t="inlineStr">
        <is>
          <t>Y</t>
        </is>
      </c>
      <c r="AE187" s="17" t="inlineStr">
        <is>
          <t>P200</t>
        </is>
      </c>
      <c r="AF187" s="17" t="inlineStr">
        <is>
          <t>경기도 안산시 단원구 능안로 7 반월공단B14-17</t>
        </is>
      </c>
      <c r="AG187" s="17" t="inlineStr">
        <is>
          <t>원료의약품</t>
        </is>
      </c>
      <c r="AH187" s="17" t="inlineStr">
        <is>
          <t>비무균-일반제제-합성, 비무균-일반제제-소분</t>
        </is>
      </c>
      <c r="AI187" s="17" t="n">
        <v>1</v>
      </c>
      <c r="AJ187" s="24" t="n">
        <v>46919</v>
      </c>
      <c r="AK187" s="17" t="inlineStr"/>
      <c r="AL187" s="17" t="inlineStr"/>
      <c r="AM187" s="17" t="inlineStr">
        <is>
          <t>원료 제조로 시험실 관리 필요</t>
        </is>
      </c>
      <c r="AN187" s="17" t="inlineStr">
        <is>
          <t>미확인</t>
        </is>
      </c>
      <c r="AO187" s="17" t="inlineStr">
        <is>
          <t>미확인</t>
        </is>
      </c>
      <c r="AP187" s="17" t="inlineStr">
        <is>
          <t>미확인</t>
        </is>
      </c>
      <c r="AQ187" s="17" t="inlineStr">
        <is>
          <t>담당자 파악 후 접촉</t>
        </is>
      </c>
      <c r="AR187" s="17" t="inlineStr">
        <is>
          <t>2026-07-05</t>
        </is>
      </c>
      <c r="AS187" s="17" t="inlineStr">
        <is>
          <t>C(부분확인)</t>
        </is>
      </c>
      <c r="AT187" s="17" t="n">
        <v>90</v>
      </c>
      <c r="AU187" s="17" t="inlineStr"/>
      <c r="AV187" s="17" t="inlineStr"/>
    </row>
    <row r="188">
      <c r="A188" s="26" t="inlineStr">
        <is>
          <t>Tier B</t>
        </is>
      </c>
      <c r="B188" s="17" t="n">
        <v>18</v>
      </c>
      <c r="C188" s="17" t="inlineStr">
        <is>
          <t>(주)태준제약</t>
        </is>
      </c>
      <c r="D188" s="17" t="inlineStr">
        <is>
          <t>용인</t>
        </is>
      </c>
      <c r="E188" s="17" t="inlineStr">
        <is>
          <t>경기도</t>
        </is>
      </c>
      <c r="F188" s="17" t="inlineStr">
        <is>
          <t>용인시</t>
        </is>
      </c>
      <c r="G188" s="17" t="n">
        <v>1</v>
      </c>
      <c r="H188" s="20" t="inlineStr">
        <is>
          <t>Y</t>
        </is>
      </c>
      <c r="I188" s="17" t="inlineStr"/>
      <c r="J188" s="17" t="inlineStr">
        <is>
          <t>Y</t>
        </is>
      </c>
      <c r="K188" s="17" t="inlineStr"/>
      <c r="L188" s="22" t="inlineStr">
        <is>
          <t>미확인</t>
        </is>
      </c>
      <c r="M188" s="22" t="inlineStr">
        <is>
          <t>미확인</t>
        </is>
      </c>
      <c r="N188" s="22" t="inlineStr">
        <is>
          <t>미확인</t>
        </is>
      </c>
      <c r="O188" s="22" t="inlineStr">
        <is>
          <t>미확인</t>
        </is>
      </c>
      <c r="P188" s="17" t="inlineStr">
        <is>
          <t>QMS+LIMS</t>
        </is>
      </c>
      <c r="Q188" s="22" t="inlineStr">
        <is>
          <t>미확인</t>
        </is>
      </c>
      <c r="R188" s="22" t="inlineStr">
        <is>
          <t>미확인</t>
        </is>
      </c>
      <c r="S188" s="17" t="inlineStr">
        <is>
          <t>Tier D</t>
        </is>
      </c>
      <c r="T188" s="17" t="n">
        <v>17</v>
      </c>
      <c r="U188" s="17" t="inlineStr">
        <is>
          <t>C396</t>
        </is>
      </c>
      <c r="V188" s="17" t="inlineStr">
        <is>
          <t>태준제약</t>
        </is>
      </c>
      <c r="W188" s="17" t="inlineStr"/>
      <c r="X188" s="17" t="inlineStr"/>
      <c r="Y188" s="23" t="inlineStr"/>
      <c r="Z188" s="17" t="inlineStr">
        <is>
          <t>이태영</t>
        </is>
      </c>
      <c r="AA188" s="17" t="inlineStr"/>
      <c r="AB188" s="17" t="inlineStr">
        <is>
          <t>미확인</t>
        </is>
      </c>
      <c r="AC188" s="17" t="inlineStr">
        <is>
          <t>미확인</t>
        </is>
      </c>
      <c r="AD188" s="17" t="inlineStr">
        <is>
          <t>Y</t>
        </is>
      </c>
      <c r="AE188" s="17" t="inlineStr">
        <is>
          <t>P487</t>
        </is>
      </c>
      <c r="AF188" s="17" t="inlineStr">
        <is>
          <t>경기도 용인시 처인구 남사읍 경기동로 109-30</t>
        </is>
      </c>
      <c r="AG188" s="17" t="inlineStr">
        <is>
          <t>완제의약품</t>
        </is>
      </c>
      <c r="AH188" s="17" t="inlineStr">
        <is>
          <t>비무균-일반제제-내용고형제(정제, 산제), 무균-일반제제-주사제(주사제), 무균-일반제제-점안제(점안제), 비무균-일반제제-내용액제(경구용액제, 시럽제(액상), 현탁제)</t>
        </is>
      </c>
      <c r="AI188" s="17" t="n">
        <v>1</v>
      </c>
      <c r="AJ188" s="24" t="n">
        <v>46279</v>
      </c>
      <c r="AK188" s="25" t="inlineStr">
        <is>
          <t>Y</t>
        </is>
      </c>
      <c r="AL188" s="17" t="inlineStr">
        <is>
          <t>Y</t>
        </is>
      </c>
      <c r="AM188" s="17" t="inlineStr">
        <is>
          <t>무균/바이오 제조로 품질관리 난도 높음</t>
        </is>
      </c>
      <c r="AN188" s="17" t="inlineStr">
        <is>
          <t>미확인</t>
        </is>
      </c>
      <c r="AO188" s="17" t="inlineStr">
        <is>
          <t>미확인</t>
        </is>
      </c>
      <c r="AP188" s="17" t="inlineStr">
        <is>
          <t>미확인</t>
        </is>
      </c>
      <c r="AQ188" s="17" t="inlineStr">
        <is>
          <t>담당자 파악 후 접촉</t>
        </is>
      </c>
      <c r="AR188" s="17" t="inlineStr">
        <is>
          <t>2026-07-05</t>
        </is>
      </c>
      <c r="AS188" s="17" t="inlineStr">
        <is>
          <t>C(부분확인)</t>
        </is>
      </c>
      <c r="AT188" s="17" t="n">
        <v>90</v>
      </c>
      <c r="AU188" s="17" t="inlineStr"/>
      <c r="AV188" s="17" t="inlineStr"/>
    </row>
    <row r="189">
      <c r="A189" s="26" t="inlineStr">
        <is>
          <t>Tier B</t>
        </is>
      </c>
      <c r="B189" s="17" t="n">
        <v>18</v>
      </c>
      <c r="C189" s="17" t="inlineStr">
        <is>
          <t>(주)펜믹스</t>
        </is>
      </c>
      <c r="D189" s="17" t="inlineStr">
        <is>
          <t>천안</t>
        </is>
      </c>
      <c r="E189" s="17" t="inlineStr">
        <is>
          <t>충청남도</t>
        </is>
      </c>
      <c r="F189" s="17" t="inlineStr">
        <is>
          <t>천안시</t>
        </is>
      </c>
      <c r="G189" s="17" t="n">
        <v>1</v>
      </c>
      <c r="H189" s="20" t="inlineStr">
        <is>
          <t>Y</t>
        </is>
      </c>
      <c r="I189" s="17" t="inlineStr"/>
      <c r="J189" s="17" t="inlineStr">
        <is>
          <t>Y</t>
        </is>
      </c>
      <c r="K189" s="17" t="inlineStr"/>
      <c r="L189" s="22" t="inlineStr">
        <is>
          <t>미확인</t>
        </is>
      </c>
      <c r="M189" s="22" t="inlineStr">
        <is>
          <t>미확인</t>
        </is>
      </c>
      <c r="N189" s="22" t="inlineStr">
        <is>
          <t>미확인</t>
        </is>
      </c>
      <c r="O189" s="22" t="inlineStr">
        <is>
          <t>미확인</t>
        </is>
      </c>
      <c r="P189" s="17" t="inlineStr">
        <is>
          <t>QMS+LIMS</t>
        </is>
      </c>
      <c r="Q189" s="22" t="inlineStr">
        <is>
          <t>미확인</t>
        </is>
      </c>
      <c r="R189" s="22" t="inlineStr">
        <is>
          <t>미확인</t>
        </is>
      </c>
      <c r="S189" s="17" t="inlineStr">
        <is>
          <t>Tier D</t>
        </is>
      </c>
      <c r="T189" s="17" t="n">
        <v>17</v>
      </c>
      <c r="U189" s="17" t="inlineStr">
        <is>
          <t>C373</t>
        </is>
      </c>
      <c r="V189" s="17" t="inlineStr">
        <is>
          <t>펜믹스</t>
        </is>
      </c>
      <c r="W189" s="17" t="inlineStr"/>
      <c r="X189" s="17" t="inlineStr"/>
      <c r="Y189" s="23" t="inlineStr"/>
      <c r="Z189" s="17" t="inlineStr">
        <is>
          <t>박동규</t>
        </is>
      </c>
      <c r="AA189" s="17" t="inlineStr"/>
      <c r="AB189" s="17" t="inlineStr">
        <is>
          <t>041-580-5890</t>
        </is>
      </c>
      <c r="AC189" s="17" t="inlineStr">
        <is>
          <t>미확인</t>
        </is>
      </c>
      <c r="AD189" s="17" t="inlineStr">
        <is>
          <t>Y</t>
        </is>
      </c>
      <c r="AE189" s="17" t="inlineStr">
        <is>
          <t>P453</t>
        </is>
      </c>
      <c r="AF189" s="17" t="inlineStr">
        <is>
          <t>충청남도 천안시 서북구 직산읍 거리막길 33</t>
        </is>
      </c>
      <c r="AG189" s="17" t="inlineStr">
        <is>
          <t>완제의약품</t>
        </is>
      </c>
      <c r="AH189" s="17" t="inlineStr">
        <is>
          <t>무균-일반제제-주사제(주사제, 동결건조주사제), 무균-페니실린제제-주사제(분말주사제, 동결건조주사제), 비무균-페니실린제제-내용고형제(정제, 시럽제(고형))</t>
        </is>
      </c>
      <c r="AI189" s="17" t="n">
        <v>1</v>
      </c>
      <c r="AJ189" s="24" t="n">
        <v>46369</v>
      </c>
      <c r="AK189" s="25" t="inlineStr">
        <is>
          <t>Y</t>
        </is>
      </c>
      <c r="AL189" s="17" t="inlineStr">
        <is>
          <t>Y</t>
        </is>
      </c>
      <c r="AM189" s="17" t="inlineStr">
        <is>
          <t>무균/바이오 제조로 품질관리 난도 높음</t>
        </is>
      </c>
      <c r="AN189" s="17" t="inlineStr">
        <is>
          <t>미확인</t>
        </is>
      </c>
      <c r="AO189" s="17" t="inlineStr">
        <is>
          <t>미확인</t>
        </is>
      </c>
      <c r="AP189" s="17" t="inlineStr">
        <is>
          <t>미확인</t>
        </is>
      </c>
      <c r="AQ189" s="17" t="inlineStr">
        <is>
          <t>담당자 파악 후 접촉</t>
        </is>
      </c>
      <c r="AR189" s="17" t="inlineStr">
        <is>
          <t>2026-07-05</t>
        </is>
      </c>
      <c r="AS189" s="17" t="inlineStr">
        <is>
          <t>C(부분확인)</t>
        </is>
      </c>
      <c r="AT189" s="17" t="n">
        <v>90</v>
      </c>
      <c r="AU189" s="17" t="inlineStr"/>
      <c r="AV189" s="17" t="inlineStr"/>
    </row>
    <row r="190">
      <c r="A190" s="26" t="inlineStr">
        <is>
          <t>Tier B</t>
        </is>
      </c>
      <c r="B190" s="17" t="n">
        <v>18</v>
      </c>
      <c r="C190" s="17" t="inlineStr">
        <is>
          <t>대상(주)</t>
        </is>
      </c>
      <c r="D190" s="17" t="inlineStr">
        <is>
          <t>미확인</t>
        </is>
      </c>
      <c r="E190" s="17" t="inlineStr">
        <is>
          <t>전북특별자치도</t>
        </is>
      </c>
      <c r="F190" s="17" t="inlineStr">
        <is>
          <t>군산시</t>
        </is>
      </c>
      <c r="G190" s="17" t="n">
        <v>1</v>
      </c>
      <c r="H190" s="17" t="inlineStr"/>
      <c r="I190" s="17" t="inlineStr"/>
      <c r="J190" s="17" t="inlineStr"/>
      <c r="K190" s="17" t="inlineStr">
        <is>
          <t>Y</t>
        </is>
      </c>
      <c r="L190" s="22" t="inlineStr">
        <is>
          <t>미확인</t>
        </is>
      </c>
      <c r="M190" s="22" t="inlineStr">
        <is>
          <t>미확인</t>
        </is>
      </c>
      <c r="N190" s="22" t="inlineStr">
        <is>
          <t>미확인</t>
        </is>
      </c>
      <c r="O190" s="22" t="inlineStr">
        <is>
          <t>미확인</t>
        </is>
      </c>
      <c r="P190" s="17" t="inlineStr">
        <is>
          <t>LIMS</t>
        </is>
      </c>
      <c r="Q190" s="22" t="inlineStr">
        <is>
          <t>미확인</t>
        </is>
      </c>
      <c r="R190" s="22" t="inlineStr">
        <is>
          <t>미확인</t>
        </is>
      </c>
      <c r="S190" s="17" t="inlineStr">
        <is>
          <t>Tier D</t>
        </is>
      </c>
      <c r="T190" s="17" t="n">
        <v>4</v>
      </c>
      <c r="U190" s="17" t="inlineStr">
        <is>
          <t>C160</t>
        </is>
      </c>
      <c r="V190" s="17" t="inlineStr">
        <is>
          <t>대상</t>
        </is>
      </c>
      <c r="W190" s="17" t="inlineStr">
        <is>
          <t>Y</t>
        </is>
      </c>
      <c r="X190" s="17" t="inlineStr">
        <is>
          <t>유가</t>
        </is>
      </c>
      <c r="Y190" s="23" t="inlineStr">
        <is>
          <t>001680</t>
        </is>
      </c>
      <c r="Z190" s="17" t="inlineStr">
        <is>
          <t>임정배</t>
        </is>
      </c>
      <c r="AA190" s="17" t="inlineStr">
        <is>
          <t>http://www.daesang.co.kr</t>
        </is>
      </c>
      <c r="AB190" s="17" t="inlineStr">
        <is>
          <t>미확인</t>
        </is>
      </c>
      <c r="AC190" s="17" t="inlineStr">
        <is>
          <t>미확인</t>
        </is>
      </c>
      <c r="AD190" s="17" t="inlineStr">
        <is>
          <t>Y</t>
        </is>
      </c>
      <c r="AE190" s="17" t="inlineStr">
        <is>
          <t>P172</t>
        </is>
      </c>
      <c r="AF190" s="17" t="inlineStr">
        <is>
          <t>전북특별자치도 군산시 외항1길 208 GMP동, 사무동 3층(시험실)</t>
        </is>
      </c>
      <c r="AG190" s="17" t="inlineStr">
        <is>
          <t>원료의약품</t>
        </is>
      </c>
      <c r="AH190" s="17" t="inlineStr">
        <is>
          <t>비무균-일반제제-정제(발효에 한함)</t>
        </is>
      </c>
      <c r="AI190" s="17" t="n">
        <v>1</v>
      </c>
      <c r="AJ190" s="24" t="n">
        <v>46952</v>
      </c>
      <c r="AK190" s="17" t="inlineStr"/>
      <c r="AL190" s="17" t="inlineStr"/>
      <c r="AM190" s="17" t="inlineStr">
        <is>
          <t>원료 제조로 시험실 관리 필요</t>
        </is>
      </c>
      <c r="AN190" s="17" t="inlineStr">
        <is>
          <t>미확인</t>
        </is>
      </c>
      <c r="AO190" s="17" t="inlineStr">
        <is>
          <t>미확인</t>
        </is>
      </c>
      <c r="AP190" s="17" t="inlineStr">
        <is>
          <t>미확인</t>
        </is>
      </c>
      <c r="AQ190" s="17" t="inlineStr">
        <is>
          <t>담당자 파악 후 접촉</t>
        </is>
      </c>
      <c r="AR190" s="17" t="inlineStr">
        <is>
          <t>2026-07-05</t>
        </is>
      </c>
      <c r="AS190" s="17" t="inlineStr">
        <is>
          <t>C(부분확인)</t>
        </is>
      </c>
      <c r="AT190" s="17" t="n">
        <v>0</v>
      </c>
      <c r="AU190" s="17" t="inlineStr">
        <is>
          <t>Y</t>
        </is>
      </c>
      <c r="AV190" s="17" t="inlineStr"/>
    </row>
    <row r="191">
      <c r="A191" s="26" t="inlineStr">
        <is>
          <t>Tier B</t>
        </is>
      </c>
      <c r="B191" s="17" t="n">
        <v>18</v>
      </c>
      <c r="C191" s="17" t="inlineStr">
        <is>
          <t>대화제약(주)</t>
        </is>
      </c>
      <c r="D191" s="17" t="inlineStr">
        <is>
          <t>횡성</t>
        </is>
      </c>
      <c r="E191" s="17" t="inlineStr">
        <is>
          <t>강원특별자치도</t>
        </is>
      </c>
      <c r="F191" s="17" t="inlineStr">
        <is>
          <t>횡성군</t>
        </is>
      </c>
      <c r="G191" s="17" t="n">
        <v>1</v>
      </c>
      <c r="H191" s="17" t="inlineStr"/>
      <c r="I191" s="17" t="inlineStr"/>
      <c r="J191" s="17" t="inlineStr">
        <is>
          <t>Y</t>
        </is>
      </c>
      <c r="K191" s="17" t="inlineStr"/>
      <c r="L191" s="22" t="inlineStr">
        <is>
          <t>미확인</t>
        </is>
      </c>
      <c r="M191" s="22" t="inlineStr">
        <is>
          <t>미확인</t>
        </is>
      </c>
      <c r="N191" s="22" t="inlineStr">
        <is>
          <t>미확인</t>
        </is>
      </c>
      <c r="O191" s="22" t="inlineStr">
        <is>
          <t>미확인</t>
        </is>
      </c>
      <c r="P191" s="17" t="inlineStr">
        <is>
          <t>QMS</t>
        </is>
      </c>
      <c r="Q191" s="22" t="inlineStr">
        <is>
          <t>미확인</t>
        </is>
      </c>
      <c r="R191" s="22" t="inlineStr">
        <is>
          <t>미확인</t>
        </is>
      </c>
      <c r="S191" s="17" t="inlineStr">
        <is>
          <t>Tier D</t>
        </is>
      </c>
      <c r="T191" s="17" t="n">
        <v>12</v>
      </c>
      <c r="U191" s="17" t="inlineStr">
        <is>
          <t>C379</t>
        </is>
      </c>
      <c r="V191" s="17" t="inlineStr">
        <is>
          <t>대화제약</t>
        </is>
      </c>
      <c r="W191" s="17" t="inlineStr">
        <is>
          <t>Y</t>
        </is>
      </c>
      <c r="X191" s="17" t="inlineStr">
        <is>
          <t>코스닥</t>
        </is>
      </c>
      <c r="Y191" s="23" t="inlineStr">
        <is>
          <t>067080</t>
        </is>
      </c>
      <c r="Z191" s="17" t="inlineStr">
        <is>
          <t>김은석(단독대표)</t>
        </is>
      </c>
      <c r="AA191" s="17" t="inlineStr">
        <is>
          <t>http://www.dhpharm.co.kr</t>
        </is>
      </c>
      <c r="AB191" s="17" t="inlineStr">
        <is>
          <t>033-342-5140</t>
        </is>
      </c>
      <c r="AC191" s="17" t="inlineStr">
        <is>
          <t>미확인</t>
        </is>
      </c>
      <c r="AD191" s="17" t="inlineStr">
        <is>
          <t>Y</t>
        </is>
      </c>
      <c r="AE191" s="17" t="inlineStr">
        <is>
          <t>P462</t>
        </is>
      </c>
      <c r="AF191" s="17" t="inlineStr">
        <is>
          <t>강원특별자치도 횡성군 횡성읍 한우로 495</t>
        </is>
      </c>
      <c r="AG191" s="17" t="inlineStr">
        <is>
          <t>완제의약품</t>
        </is>
      </c>
      <c r="AH191" s="17" t="inlineStr">
        <is>
          <t>비무균-일반제제-내용고형제(정제, 캡슐제, 구강용해필름), 비무균-일반제제-연고제(연고제, 크림제, 겔제), 비무균-일반제제-첩부제(첩부제, 카타플라스마제, 경피흡수제), 비무균-세포독성항암제제-내용액제(경구용액제)</t>
        </is>
      </c>
      <c r="AI191" s="17" t="n">
        <v>1</v>
      </c>
      <c r="AJ191" s="24" t="n">
        <v>46342</v>
      </c>
      <c r="AK191" s="25" t="inlineStr">
        <is>
          <t>Y</t>
        </is>
      </c>
      <c r="AL191" s="17" t="inlineStr">
        <is>
          <t>Y</t>
        </is>
      </c>
      <c r="AM191" s="17" t="inlineStr">
        <is>
          <t>기본 GMP 문서관리 대상</t>
        </is>
      </c>
      <c r="AN191" s="17" t="inlineStr">
        <is>
          <t>미확인</t>
        </is>
      </c>
      <c r="AO191" s="17" t="inlineStr">
        <is>
          <t>미확인</t>
        </is>
      </c>
      <c r="AP191" s="17" t="inlineStr">
        <is>
          <t>미확인</t>
        </is>
      </c>
      <c r="AQ191" s="17" t="inlineStr">
        <is>
          <t>담당자 파악 후 접촉</t>
        </is>
      </c>
      <c r="AR191" s="17" t="inlineStr">
        <is>
          <t>2026-07-05</t>
        </is>
      </c>
      <c r="AS191" s="17" t="inlineStr">
        <is>
          <t>C(부분확인)</t>
        </is>
      </c>
      <c r="AT191" s="17" t="n">
        <v>90</v>
      </c>
      <c r="AU191" s="17" t="inlineStr"/>
      <c r="AV191" s="17" t="inlineStr"/>
    </row>
    <row r="192">
      <c r="A192" s="26" t="inlineStr">
        <is>
          <t>Tier B</t>
        </is>
      </c>
      <c r="B192" s="17" t="n">
        <v>18</v>
      </c>
      <c r="C192" s="17" t="inlineStr">
        <is>
          <t>삼천당제약(주)</t>
        </is>
      </c>
      <c r="D192" s="17" t="inlineStr">
        <is>
          <t>화성</t>
        </is>
      </c>
      <c r="E192" s="17" t="inlineStr">
        <is>
          <t>경기도</t>
        </is>
      </c>
      <c r="F192" s="17" t="inlineStr">
        <is>
          <t>화성시</t>
        </is>
      </c>
      <c r="G192" s="17" t="n">
        <v>1</v>
      </c>
      <c r="H192" s="17" t="inlineStr"/>
      <c r="I192" s="17" t="inlineStr"/>
      <c r="J192" s="17" t="inlineStr">
        <is>
          <t>Y</t>
        </is>
      </c>
      <c r="K192" s="17" t="inlineStr"/>
      <c r="L192" s="22" t="inlineStr">
        <is>
          <t>미확인</t>
        </is>
      </c>
      <c r="M192" s="22" t="inlineStr">
        <is>
          <t>미확인</t>
        </is>
      </c>
      <c r="N192" s="22" t="inlineStr">
        <is>
          <t>미확인</t>
        </is>
      </c>
      <c r="O192" s="22" t="inlineStr">
        <is>
          <t>미확인</t>
        </is>
      </c>
      <c r="P192" s="17" t="inlineStr">
        <is>
          <t>QMS</t>
        </is>
      </c>
      <c r="Q192" s="22" t="inlineStr">
        <is>
          <t>미확인</t>
        </is>
      </c>
      <c r="R192" s="22" t="inlineStr">
        <is>
          <t>미확인</t>
        </is>
      </c>
      <c r="S192" s="17" t="inlineStr">
        <is>
          <t>Tier D</t>
        </is>
      </c>
      <c r="T192" s="17" t="n">
        <v>12</v>
      </c>
      <c r="U192" s="17" t="inlineStr">
        <is>
          <t>C407</t>
        </is>
      </c>
      <c r="V192" s="17" t="inlineStr">
        <is>
          <t>삼천당제약</t>
        </is>
      </c>
      <c r="W192" s="17" t="inlineStr">
        <is>
          <t>Y</t>
        </is>
      </c>
      <c r="X192" s="17" t="inlineStr">
        <is>
          <t>코스닥</t>
        </is>
      </c>
      <c r="Y192" s="23" t="inlineStr">
        <is>
          <t>000250</t>
        </is>
      </c>
      <c r="Z192" s="17" t="inlineStr">
        <is>
          <t>전인석</t>
        </is>
      </c>
      <c r="AA192" s="17" t="inlineStr">
        <is>
          <t>http://www.scd.co.kr</t>
        </is>
      </c>
      <c r="AB192" s="17" t="inlineStr">
        <is>
          <t>031-350-7300</t>
        </is>
      </c>
      <c r="AC192" s="17" t="inlineStr">
        <is>
          <t>미확인</t>
        </is>
      </c>
      <c r="AD192" s="17" t="inlineStr">
        <is>
          <t>Y</t>
        </is>
      </c>
      <c r="AE192" s="17" t="inlineStr">
        <is>
          <t>P500</t>
        </is>
      </c>
      <c r="AF192" s="17" t="inlineStr">
        <is>
          <t>경기도 화성시 만세구 향남읍 제약공단2길 71</t>
        </is>
      </c>
      <c r="AG192" s="17" t="inlineStr">
        <is>
          <t>완제의약품</t>
        </is>
      </c>
      <c r="AH192" s="17" t="inlineStr">
        <is>
          <t>비무균-일반제제-내용고형제(정제, 캡슐제), 무균-일반제제-점안제(점안제), 비무균-일반제제-내용액제(점비액제)</t>
        </is>
      </c>
      <c r="AI192" s="17" t="n">
        <v>1</v>
      </c>
      <c r="AJ192" s="24" t="n">
        <v>46244</v>
      </c>
      <c r="AK192" s="25" t="inlineStr">
        <is>
          <t>Y</t>
        </is>
      </c>
      <c r="AL192" s="17" t="inlineStr">
        <is>
          <t>Y</t>
        </is>
      </c>
      <c r="AM192" s="17" t="inlineStr">
        <is>
          <t>기본 GMP 문서관리 대상</t>
        </is>
      </c>
      <c r="AN192" s="17" t="inlineStr">
        <is>
          <t>미확인</t>
        </is>
      </c>
      <c r="AO192" s="17" t="inlineStr">
        <is>
          <t>미확인</t>
        </is>
      </c>
      <c r="AP192" s="17" t="inlineStr">
        <is>
          <t>미확인</t>
        </is>
      </c>
      <c r="AQ192" s="17" t="inlineStr">
        <is>
          <t>담당자 파악 후 접촉</t>
        </is>
      </c>
      <c r="AR192" s="17" t="inlineStr">
        <is>
          <t>2026-07-05</t>
        </is>
      </c>
      <c r="AS192" s="17" t="inlineStr">
        <is>
          <t>C(부분확인)</t>
        </is>
      </c>
      <c r="AT192" s="17" t="n">
        <v>90</v>
      </c>
      <c r="AU192" s="17" t="inlineStr"/>
      <c r="AV192" s="17" t="inlineStr"/>
    </row>
    <row r="193">
      <c r="A193" s="26" t="inlineStr">
        <is>
          <t>Tier B</t>
        </is>
      </c>
      <c r="B193" s="17" t="n">
        <v>18</v>
      </c>
      <c r="C193" s="17" t="inlineStr">
        <is>
          <t>안국약품(주)</t>
        </is>
      </c>
      <c r="D193" s="17" t="inlineStr">
        <is>
          <t>화성</t>
        </is>
      </c>
      <c r="E193" s="17" t="inlineStr">
        <is>
          <t>경기도</t>
        </is>
      </c>
      <c r="F193" s="17" t="inlineStr">
        <is>
          <t>화성시</t>
        </is>
      </c>
      <c r="G193" s="17" t="n">
        <v>1</v>
      </c>
      <c r="H193" s="17" t="inlineStr"/>
      <c r="I193" s="17" t="inlineStr"/>
      <c r="J193" s="17" t="inlineStr">
        <is>
          <t>Y</t>
        </is>
      </c>
      <c r="K193" s="17" t="inlineStr"/>
      <c r="L193" s="22" t="inlineStr">
        <is>
          <t>미확인</t>
        </is>
      </c>
      <c r="M193" s="22" t="inlineStr">
        <is>
          <t>미확인</t>
        </is>
      </c>
      <c r="N193" s="22" t="inlineStr">
        <is>
          <t>미확인</t>
        </is>
      </c>
      <c r="O193" s="22" t="inlineStr">
        <is>
          <t>미확인</t>
        </is>
      </c>
      <c r="P193" s="17" t="inlineStr">
        <is>
          <t>QMS</t>
        </is>
      </c>
      <c r="Q193" s="22" t="inlineStr">
        <is>
          <t>미확인</t>
        </is>
      </c>
      <c r="R193" s="22" t="inlineStr">
        <is>
          <t>미확인</t>
        </is>
      </c>
      <c r="S193" s="17" t="inlineStr">
        <is>
          <t>Tier D</t>
        </is>
      </c>
      <c r="T193" s="17" t="n">
        <v>12</v>
      </c>
      <c r="U193" s="17" t="inlineStr">
        <is>
          <t>C399</t>
        </is>
      </c>
      <c r="V193" s="17" t="inlineStr">
        <is>
          <t>안국약품</t>
        </is>
      </c>
      <c r="W193" s="17" t="inlineStr">
        <is>
          <t>Y</t>
        </is>
      </c>
      <c r="X193" s="17" t="inlineStr">
        <is>
          <t>코스닥</t>
        </is>
      </c>
      <c r="Y193" s="23" t="inlineStr">
        <is>
          <t>001540</t>
        </is>
      </c>
      <c r="Z193" s="17" t="inlineStr">
        <is>
          <t>어진, 박인철 (각자 대표)</t>
        </is>
      </c>
      <c r="AA193" s="17" t="inlineStr">
        <is>
          <t>http://www.ahn-gook.com</t>
        </is>
      </c>
      <c r="AB193" s="17" t="inlineStr">
        <is>
          <t>02-3289-4292</t>
        </is>
      </c>
      <c r="AC193" s="17" t="inlineStr">
        <is>
          <t>미확인</t>
        </is>
      </c>
      <c r="AD193" s="17" t="inlineStr">
        <is>
          <t>Y</t>
        </is>
      </c>
      <c r="AE193" s="17" t="inlineStr">
        <is>
          <t>P491</t>
        </is>
      </c>
      <c r="AF193" s="17" t="inlineStr">
        <is>
          <t>경기도 화성시 만세구 향남읍 제약공단1길 40</t>
        </is>
      </c>
      <c r="AG193" s="17" t="inlineStr">
        <is>
          <t>완제의약품</t>
        </is>
      </c>
      <c r="AH193" s="17" t="inlineStr">
        <is>
          <t>비무균-일반제제-내용고형제(정제, 캡슐제, 산제), 비무균-일반제제-내용액제(시럽제(액상))</t>
        </is>
      </c>
      <c r="AI193" s="17" t="n">
        <v>1</v>
      </c>
      <c r="AJ193" s="24" t="n">
        <v>46272</v>
      </c>
      <c r="AK193" s="25" t="inlineStr">
        <is>
          <t>Y</t>
        </is>
      </c>
      <c r="AL193" s="17" t="inlineStr">
        <is>
          <t>Y</t>
        </is>
      </c>
      <c r="AM193" s="17" t="inlineStr">
        <is>
          <t>기본 GMP 문서관리 대상</t>
        </is>
      </c>
      <c r="AN193" s="17" t="inlineStr">
        <is>
          <t>미확인</t>
        </is>
      </c>
      <c r="AO193" s="17" t="inlineStr">
        <is>
          <t>미확인</t>
        </is>
      </c>
      <c r="AP193" s="17" t="inlineStr">
        <is>
          <t>미확인</t>
        </is>
      </c>
      <c r="AQ193" s="17" t="inlineStr">
        <is>
          <t>담당자 파악 후 접촉</t>
        </is>
      </c>
      <c r="AR193" s="17" t="inlineStr">
        <is>
          <t>2026-07-05</t>
        </is>
      </c>
      <c r="AS193" s="17" t="inlineStr">
        <is>
          <t>C(부분확인)</t>
        </is>
      </c>
      <c r="AT193" s="17" t="n">
        <v>90</v>
      </c>
      <c r="AU193" s="17" t="inlineStr"/>
      <c r="AV193" s="17" t="inlineStr"/>
    </row>
    <row r="194">
      <c r="A194" s="26" t="inlineStr">
        <is>
          <t>Tier B</t>
        </is>
      </c>
      <c r="B194" s="17" t="n">
        <v>18</v>
      </c>
      <c r="C194" s="17" t="inlineStr">
        <is>
          <t>의료법인한라의료재단</t>
        </is>
      </c>
      <c r="D194" s="17" t="inlineStr">
        <is>
          <t>미확인</t>
        </is>
      </c>
      <c r="E194" s="17" t="inlineStr">
        <is>
          <t>제주특별자치도</t>
        </is>
      </c>
      <c r="F194" s="17" t="inlineStr">
        <is>
          <t>제주시</t>
        </is>
      </c>
      <c r="G194" s="17" t="n">
        <v>1</v>
      </c>
      <c r="H194" s="20" t="inlineStr">
        <is>
          <t>Y</t>
        </is>
      </c>
      <c r="I194" s="17" t="inlineStr"/>
      <c r="J194" s="17" t="inlineStr">
        <is>
          <t>Y</t>
        </is>
      </c>
      <c r="K194" s="17" t="inlineStr"/>
      <c r="L194" s="22" t="inlineStr">
        <is>
          <t>미확인</t>
        </is>
      </c>
      <c r="M194" s="22" t="inlineStr">
        <is>
          <t>미확인</t>
        </is>
      </c>
      <c r="N194" s="22" t="inlineStr">
        <is>
          <t>미확인</t>
        </is>
      </c>
      <c r="O194" s="22" t="inlineStr">
        <is>
          <t>미확인</t>
        </is>
      </c>
      <c r="P194" s="17" t="inlineStr">
        <is>
          <t>QMS+LIMS</t>
        </is>
      </c>
      <c r="Q194" s="22" t="inlineStr">
        <is>
          <t>미확인</t>
        </is>
      </c>
      <c r="R194" s="22" t="inlineStr">
        <is>
          <t>미확인</t>
        </is>
      </c>
      <c r="S194" s="17" t="inlineStr">
        <is>
          <t>Tier D</t>
        </is>
      </c>
      <c r="T194" s="17" t="n">
        <v>17</v>
      </c>
      <c r="U194" s="17" t="inlineStr">
        <is>
          <t>C398</t>
        </is>
      </c>
      <c r="V194" s="17" t="inlineStr">
        <is>
          <t>의료법인한라의료재단</t>
        </is>
      </c>
      <c r="W194" s="17" t="inlineStr"/>
      <c r="X194" s="17" t="inlineStr"/>
      <c r="Y194" s="23" t="inlineStr"/>
      <c r="Z194" s="17" t="inlineStr">
        <is>
          <t>김성수</t>
        </is>
      </c>
      <c r="AA194" s="17" t="inlineStr"/>
      <c r="AB194" s="17" t="inlineStr">
        <is>
          <t>미확인</t>
        </is>
      </c>
      <c r="AC194" s="17" t="inlineStr">
        <is>
          <t>미확인</t>
        </is>
      </c>
      <c r="AD194" s="17" t="inlineStr">
        <is>
          <t>Y</t>
        </is>
      </c>
      <c r="AE194" s="17" t="inlineStr">
        <is>
          <t>P489</t>
        </is>
      </c>
      <c r="AF194" s="17" t="inlineStr">
        <is>
          <t>제주특별자치도 제주시 도령로 65</t>
        </is>
      </c>
      <c r="AG194" s="17" t="inlineStr">
        <is>
          <t>완제의약품</t>
        </is>
      </c>
      <c r="AH194" s="17" t="inlineStr">
        <is>
          <t>무균-일반제제(방사성의약품)-주사제(주사제)</t>
        </is>
      </c>
      <c r="AI194" s="17" t="n">
        <v>1</v>
      </c>
      <c r="AJ194" s="24" t="n">
        <v>46276</v>
      </c>
      <c r="AK194" s="25" t="inlineStr">
        <is>
          <t>Y</t>
        </is>
      </c>
      <c r="AL194" s="17" t="inlineStr">
        <is>
          <t>Y</t>
        </is>
      </c>
      <c r="AM194" s="17" t="inlineStr">
        <is>
          <t>무균/바이오 제조로 품질관리 난도 높음</t>
        </is>
      </c>
      <c r="AN194" s="17" t="inlineStr">
        <is>
          <t>미확인</t>
        </is>
      </c>
      <c r="AO194" s="17" t="inlineStr">
        <is>
          <t>미확인</t>
        </is>
      </c>
      <c r="AP194" s="17" t="inlineStr">
        <is>
          <t>미확인</t>
        </is>
      </c>
      <c r="AQ194" s="17" t="inlineStr">
        <is>
          <t>담당자 파악 후 접촉</t>
        </is>
      </c>
      <c r="AR194" s="17" t="inlineStr">
        <is>
          <t>2026-07-05</t>
        </is>
      </c>
      <c r="AS194" s="17" t="inlineStr">
        <is>
          <t>C(부분확인)</t>
        </is>
      </c>
      <c r="AT194" s="17" t="n">
        <v>0</v>
      </c>
      <c r="AU194" s="17" t="inlineStr">
        <is>
          <t>Y</t>
        </is>
      </c>
      <c r="AV194" s="17" t="inlineStr"/>
    </row>
    <row r="195">
      <c r="A195" s="26" t="inlineStr">
        <is>
          <t>Tier B</t>
        </is>
      </c>
      <c r="B195" s="17" t="n">
        <v>18</v>
      </c>
      <c r="C195" s="17" t="inlineStr">
        <is>
          <t>주식회사현대바이오랜드</t>
        </is>
      </c>
      <c r="D195" s="17" t="inlineStr">
        <is>
          <t>오송공장</t>
        </is>
      </c>
      <c r="E195" s="17" t="inlineStr">
        <is>
          <t>충청북도</t>
        </is>
      </c>
      <c r="F195" s="17" t="inlineStr">
        <is>
          <t>청주시</t>
        </is>
      </c>
      <c r="G195" s="17" t="n">
        <v>1</v>
      </c>
      <c r="H195" s="17" t="inlineStr"/>
      <c r="I195" s="17" t="inlineStr"/>
      <c r="J195" s="17" t="inlineStr"/>
      <c r="K195" s="17" t="inlineStr">
        <is>
          <t>Y</t>
        </is>
      </c>
      <c r="L195" s="22" t="inlineStr">
        <is>
          <t>미확인</t>
        </is>
      </c>
      <c r="M195" s="22" t="inlineStr">
        <is>
          <t>미확인</t>
        </is>
      </c>
      <c r="N195" s="22" t="inlineStr">
        <is>
          <t>미확인</t>
        </is>
      </c>
      <c r="O195" s="22" t="inlineStr">
        <is>
          <t>미확인</t>
        </is>
      </c>
      <c r="P195" s="17" t="inlineStr">
        <is>
          <t>LIMS</t>
        </is>
      </c>
      <c r="Q195" s="22" t="inlineStr">
        <is>
          <t>미확인</t>
        </is>
      </c>
      <c r="R195" s="22" t="inlineStr">
        <is>
          <t>미확인</t>
        </is>
      </c>
      <c r="S195" s="17" t="inlineStr">
        <is>
          <t>Tier D</t>
        </is>
      </c>
      <c r="T195" s="17" t="n">
        <v>7</v>
      </c>
      <c r="U195" s="17" t="inlineStr">
        <is>
          <t>C145</t>
        </is>
      </c>
      <c r="V195" s="17" t="inlineStr">
        <is>
          <t>현대바이오랜드</t>
        </is>
      </c>
      <c r="W195" s="17" t="inlineStr">
        <is>
          <t>Y</t>
        </is>
      </c>
      <c r="X195" s="17" t="inlineStr">
        <is>
          <t>코스닥</t>
        </is>
      </c>
      <c r="Y195" s="23" t="inlineStr">
        <is>
          <t>052260</t>
        </is>
      </c>
      <c r="Z195" s="17" t="inlineStr">
        <is>
          <t>이희준</t>
        </is>
      </c>
      <c r="AA195" s="17" t="inlineStr">
        <is>
          <t>http://www.hyundaibioland.co.kr</t>
        </is>
      </c>
      <c r="AB195" s="17" t="inlineStr">
        <is>
          <t>043-249-6720</t>
        </is>
      </c>
      <c r="AC195" s="17" t="inlineStr">
        <is>
          <t>미확인</t>
        </is>
      </c>
      <c r="AD195" s="17" t="inlineStr">
        <is>
          <t>Y</t>
        </is>
      </c>
      <c r="AE195" s="17" t="inlineStr">
        <is>
          <t>P155</t>
        </is>
      </c>
      <c r="AF195" s="17" t="inlineStr">
        <is>
          <t>충청북도 청주시 흥덕구 오송읍 오송생명2로 22</t>
        </is>
      </c>
      <c r="AG195" s="17" t="inlineStr">
        <is>
          <t>원료의약품</t>
        </is>
      </c>
      <c r="AH195" s="17" t="inlineStr">
        <is>
          <t>비무균-일반제제-추출</t>
        </is>
      </c>
      <c r="AI195" s="17" t="n">
        <v>1</v>
      </c>
      <c r="AJ195" s="24" t="n">
        <v>46976</v>
      </c>
      <c r="AK195" s="17" t="inlineStr"/>
      <c r="AL195" s="17" t="inlineStr"/>
      <c r="AM195" s="17" t="inlineStr">
        <is>
          <t>원료 제조로 시험실 관리 필요</t>
        </is>
      </c>
      <c r="AN195" s="17" t="inlineStr">
        <is>
          <t>미확인</t>
        </is>
      </c>
      <c r="AO195" s="17" t="inlineStr">
        <is>
          <t>미확인</t>
        </is>
      </c>
      <c r="AP195" s="17" t="inlineStr">
        <is>
          <t>미확인</t>
        </is>
      </c>
      <c r="AQ195" s="17" t="inlineStr">
        <is>
          <t>담당자 파악 후 접촉</t>
        </is>
      </c>
      <c r="AR195" s="17" t="inlineStr">
        <is>
          <t>2026-07-05</t>
        </is>
      </c>
      <c r="AS195" s="17" t="inlineStr">
        <is>
          <t>C(부분확인)</t>
        </is>
      </c>
      <c r="AT195" s="17" t="n">
        <v>90</v>
      </c>
      <c r="AU195" s="17" t="inlineStr"/>
      <c r="AV195" s="17" t="inlineStr"/>
    </row>
    <row r="196">
      <c r="A196" s="26" t="inlineStr">
        <is>
          <t>Tier B</t>
        </is>
      </c>
      <c r="B196" s="17" t="n">
        <v>18</v>
      </c>
      <c r="C196" s="17" t="inlineStr">
        <is>
          <t>한국원자력의학원</t>
        </is>
      </c>
      <c r="D196" s="17" t="inlineStr">
        <is>
          <t>서울</t>
        </is>
      </c>
      <c r="E196" s="17" t="inlineStr">
        <is>
          <t>서울특별시</t>
        </is>
      </c>
      <c r="F196" s="17" t="inlineStr">
        <is>
          <t>노원구</t>
        </is>
      </c>
      <c r="G196" s="17" t="n">
        <v>1</v>
      </c>
      <c r="H196" s="20" t="inlineStr">
        <is>
          <t>Y</t>
        </is>
      </c>
      <c r="I196" s="17" t="inlineStr"/>
      <c r="J196" s="17" t="inlineStr">
        <is>
          <t>Y</t>
        </is>
      </c>
      <c r="K196" s="17" t="inlineStr"/>
      <c r="L196" s="22" t="inlineStr">
        <is>
          <t>미확인</t>
        </is>
      </c>
      <c r="M196" s="22" t="inlineStr">
        <is>
          <t>미확인</t>
        </is>
      </c>
      <c r="N196" s="22" t="inlineStr">
        <is>
          <t>미확인</t>
        </is>
      </c>
      <c r="O196" s="22" t="inlineStr">
        <is>
          <t>미확인</t>
        </is>
      </c>
      <c r="P196" s="17" t="inlineStr">
        <is>
          <t>QMS+LIMS</t>
        </is>
      </c>
      <c r="Q196" s="22" t="inlineStr">
        <is>
          <t>미확인</t>
        </is>
      </c>
      <c r="R196" s="22" t="inlineStr">
        <is>
          <t>미확인</t>
        </is>
      </c>
      <c r="S196" s="17" t="inlineStr">
        <is>
          <t>Tier D</t>
        </is>
      </c>
      <c r="T196" s="17" t="n">
        <v>17</v>
      </c>
      <c r="U196" s="17" t="inlineStr">
        <is>
          <t>C409</t>
        </is>
      </c>
      <c r="V196" s="17" t="inlineStr">
        <is>
          <t>한국원자력의학원</t>
        </is>
      </c>
      <c r="W196" s="17" t="inlineStr"/>
      <c r="X196" s="17" t="inlineStr"/>
      <c r="Y196" s="23" t="inlineStr"/>
      <c r="Z196" s="17" t="inlineStr">
        <is>
          <t>이진경</t>
        </is>
      </c>
      <c r="AA196" s="17" t="inlineStr"/>
      <c r="AB196" s="17" t="inlineStr">
        <is>
          <t>02-970-2114</t>
        </is>
      </c>
      <c r="AC196" s="17" t="inlineStr">
        <is>
          <t>미확인</t>
        </is>
      </c>
      <c r="AD196" s="17" t="inlineStr">
        <is>
          <t>Y</t>
        </is>
      </c>
      <c r="AE196" s="17" t="inlineStr">
        <is>
          <t>P503</t>
        </is>
      </c>
      <c r="AF196" s="17" t="inlineStr">
        <is>
          <t>서울특별시 노원구 노원로 75 한국원자력의학원 비상진료센터동 지하1층~2층, 국가RI신약센터 지하1층</t>
        </is>
      </c>
      <c r="AG196" s="17" t="inlineStr">
        <is>
          <t>완제의약품</t>
        </is>
      </c>
      <c r="AH196" s="17" t="inlineStr">
        <is>
          <t>주사제(주사제(방사성의약품)), 내용액제(경구용액제(방사성의약품))</t>
        </is>
      </c>
      <c r="AI196" s="17" t="n">
        <v>1</v>
      </c>
      <c r="AJ196" s="24" t="n">
        <v>46235</v>
      </c>
      <c r="AK196" s="25" t="inlineStr">
        <is>
          <t>Y</t>
        </is>
      </c>
      <c r="AL196" s="17" t="inlineStr">
        <is>
          <t>Y</t>
        </is>
      </c>
      <c r="AM196" s="17" t="inlineStr">
        <is>
          <t>무균/바이오 제조로 품질관리 난도 높음</t>
        </is>
      </c>
      <c r="AN196" s="17" t="inlineStr">
        <is>
          <t>미확인</t>
        </is>
      </c>
      <c r="AO196" s="17" t="inlineStr">
        <is>
          <t>미확인</t>
        </is>
      </c>
      <c r="AP196" s="17" t="inlineStr">
        <is>
          <t>미확인</t>
        </is>
      </c>
      <c r="AQ196" s="17" t="inlineStr">
        <is>
          <t>담당자 파악 후 접촉</t>
        </is>
      </c>
      <c r="AR196" s="17" t="inlineStr">
        <is>
          <t>2026-07-05</t>
        </is>
      </c>
      <c r="AS196" s="17" t="inlineStr">
        <is>
          <t>C(부분확인)</t>
        </is>
      </c>
      <c r="AT196" s="17" t="n">
        <v>90</v>
      </c>
      <c r="AU196" s="17" t="inlineStr"/>
      <c r="AV196" s="17" t="inlineStr"/>
    </row>
    <row r="197">
      <c r="A197" s="26" t="inlineStr">
        <is>
          <t>Tier B</t>
        </is>
      </c>
      <c r="B197" s="17" t="n">
        <v>18</v>
      </c>
      <c r="C197" s="17" t="inlineStr">
        <is>
          <t>한미정밀화학(주)</t>
        </is>
      </c>
      <c r="D197" s="17" t="inlineStr">
        <is>
          <t>공장, 위험물창고, 질소발생장치 및 NMR 시험실</t>
        </is>
      </c>
      <c r="E197" s="17" t="inlineStr">
        <is>
          <t>경기도</t>
        </is>
      </c>
      <c r="F197" s="17" t="inlineStr">
        <is>
          <t>시흥시</t>
        </is>
      </c>
      <c r="G197" s="17" t="n">
        <v>1</v>
      </c>
      <c r="H197" s="20" t="inlineStr">
        <is>
          <t>Y</t>
        </is>
      </c>
      <c r="I197" s="17" t="inlineStr"/>
      <c r="J197" s="17" t="inlineStr"/>
      <c r="K197" s="17" t="inlineStr">
        <is>
          <t>Y</t>
        </is>
      </c>
      <c r="L197" s="22" t="inlineStr">
        <is>
          <t>미확인</t>
        </is>
      </c>
      <c r="M197" s="22" t="inlineStr">
        <is>
          <t>미확인</t>
        </is>
      </c>
      <c r="N197" s="22" t="inlineStr">
        <is>
          <t>미확인</t>
        </is>
      </c>
      <c r="O197" s="22" t="inlineStr">
        <is>
          <t>미확인</t>
        </is>
      </c>
      <c r="P197" s="17" t="inlineStr">
        <is>
          <t>QMS+LIMS</t>
        </is>
      </c>
      <c r="Q197" s="22" t="inlineStr">
        <is>
          <t>미확인</t>
        </is>
      </c>
      <c r="R197" s="22" t="inlineStr">
        <is>
          <t>미확인</t>
        </is>
      </c>
      <c r="S197" s="17" t="inlineStr">
        <is>
          <t>Tier D</t>
        </is>
      </c>
      <c r="T197" s="17" t="n">
        <v>12</v>
      </c>
      <c r="U197" s="17" t="inlineStr">
        <is>
          <t>C284</t>
        </is>
      </c>
      <c r="V197" s="17" t="inlineStr">
        <is>
          <t>한미정밀화학</t>
        </is>
      </c>
      <c r="W197" s="17" t="inlineStr"/>
      <c r="X197" s="17" t="inlineStr"/>
      <c r="Y197" s="23" t="inlineStr"/>
      <c r="Z197" s="17" t="inlineStr">
        <is>
          <t>장영길</t>
        </is>
      </c>
      <c r="AA197" s="17" t="inlineStr"/>
      <c r="AB197" s="17" t="inlineStr">
        <is>
          <t>미확인</t>
        </is>
      </c>
      <c r="AC197" s="17" t="inlineStr">
        <is>
          <t>미확인</t>
        </is>
      </c>
      <c r="AD197" s="17" t="inlineStr">
        <is>
          <t>Y</t>
        </is>
      </c>
      <c r="AE197" s="17" t="inlineStr">
        <is>
          <t>P341</t>
        </is>
      </c>
      <c r="AF197" s="17" t="inlineStr">
        <is>
          <t>경기도 시흥시 경제로 57 (1248-10)</t>
        </is>
      </c>
      <c r="AG197" s="17" t="inlineStr">
        <is>
          <t>원료의약품</t>
        </is>
      </c>
      <c r="AH197" s="17" t="inlineStr">
        <is>
          <t>무균-세팔로스포린제제-합성, 비무균-세팔로스포린제제-합성, 비무균-일반제제-합성</t>
        </is>
      </c>
      <c r="AI197" s="17" t="n">
        <v>1</v>
      </c>
      <c r="AJ197" s="24" t="n">
        <v>46628</v>
      </c>
      <c r="AK197" s="17" t="inlineStr"/>
      <c r="AL197" s="17" t="inlineStr"/>
      <c r="AM197" s="17" t="inlineStr">
        <is>
          <t>무균/바이오 제조로 품질관리 난도 높음; 원료 제조로 시험실 관리 필요</t>
        </is>
      </c>
      <c r="AN197" s="17" t="inlineStr">
        <is>
          <t>미확인</t>
        </is>
      </c>
      <c r="AO197" s="17" t="inlineStr">
        <is>
          <t>미확인</t>
        </is>
      </c>
      <c r="AP197" s="17" t="inlineStr">
        <is>
          <t>미확인</t>
        </is>
      </c>
      <c r="AQ197" s="17" t="inlineStr">
        <is>
          <t>담당자 파악 후 접촉</t>
        </is>
      </c>
      <c r="AR197" s="17" t="inlineStr">
        <is>
          <t>2026-07-05</t>
        </is>
      </c>
      <c r="AS197" s="17" t="inlineStr">
        <is>
          <t>C(부분확인)</t>
        </is>
      </c>
      <c r="AT197" s="17" t="n">
        <v>90</v>
      </c>
      <c r="AU197" s="17" t="inlineStr"/>
      <c r="AV197" s="17" t="inlineStr"/>
    </row>
    <row r="198">
      <c r="A198" s="27" t="inlineStr">
        <is>
          <t>Tier C</t>
        </is>
      </c>
      <c r="B198" s="17" t="n">
        <v>17</v>
      </c>
      <c r="C198" s="17" t="inlineStr">
        <is>
          <t>대한적십자사혈장분획센터</t>
        </is>
      </c>
      <c r="D198" s="17" t="inlineStr">
        <is>
          <t>음성</t>
        </is>
      </c>
      <c r="E198" s="17" t="inlineStr">
        <is>
          <t>충청북도</t>
        </is>
      </c>
      <c r="F198" s="17" t="inlineStr">
        <is>
          <t>음성군</t>
        </is>
      </c>
      <c r="G198" s="17" t="n">
        <v>1</v>
      </c>
      <c r="H198" s="17" t="inlineStr"/>
      <c r="I198" s="21" t="inlineStr">
        <is>
          <t>Y</t>
        </is>
      </c>
      <c r="J198" s="17" t="inlineStr"/>
      <c r="K198" s="17" t="inlineStr">
        <is>
          <t>Y</t>
        </is>
      </c>
      <c r="L198" s="22" t="inlineStr">
        <is>
          <t>미확인</t>
        </is>
      </c>
      <c r="M198" s="22" t="inlineStr">
        <is>
          <t>미확인</t>
        </is>
      </c>
      <c r="N198" s="22" t="inlineStr">
        <is>
          <t>미확인</t>
        </is>
      </c>
      <c r="O198" s="22" t="inlineStr">
        <is>
          <t>미확인</t>
        </is>
      </c>
      <c r="P198" s="17" t="inlineStr">
        <is>
          <t>QMS+LIMS</t>
        </is>
      </c>
      <c r="Q198" s="22" t="inlineStr">
        <is>
          <t>미확인</t>
        </is>
      </c>
      <c r="R198" s="22" t="inlineStr">
        <is>
          <t>미확인</t>
        </is>
      </c>
      <c r="S198" s="17" t="inlineStr">
        <is>
          <t>Tier D</t>
        </is>
      </c>
      <c r="T198" s="17" t="n">
        <v>11</v>
      </c>
      <c r="U198" s="17" t="inlineStr">
        <is>
          <t>C209</t>
        </is>
      </c>
      <c r="V198" s="17" t="inlineStr">
        <is>
          <t>대한적십자사혈장분획센터</t>
        </is>
      </c>
      <c r="W198" s="17" t="inlineStr"/>
      <c r="X198" s="17" t="inlineStr"/>
      <c r="Y198" s="23" t="inlineStr"/>
      <c r="Z198" s="17" t="inlineStr">
        <is>
          <t>지용훈</t>
        </is>
      </c>
      <c r="AA198" s="17" t="inlineStr"/>
      <c r="AB198" s="17" t="inlineStr">
        <is>
          <t>04387912341365</t>
        </is>
      </c>
      <c r="AC198" s="17" t="inlineStr">
        <is>
          <t>미확인</t>
        </is>
      </c>
      <c r="AD198" s="17" t="inlineStr">
        <is>
          <t>Y</t>
        </is>
      </c>
      <c r="AE198" s="17" t="inlineStr">
        <is>
          <t>P227</t>
        </is>
      </c>
      <c r="AF198" s="17" t="inlineStr">
        <is>
          <t>충청북도 음성군 감곡면 대학길232번길 16</t>
        </is>
      </c>
      <c r="AG198" s="17" t="inlineStr">
        <is>
          <t>원료의약품</t>
        </is>
      </c>
      <c r="AH198" s="17" t="inlineStr">
        <is>
          <t>생물-혈장분획제제-정제</t>
        </is>
      </c>
      <c r="AI198" s="17" t="n">
        <v>1</v>
      </c>
      <c r="AJ198" s="24" t="n">
        <v>46883</v>
      </c>
      <c r="AK198" s="17" t="inlineStr"/>
      <c r="AL198" s="17" t="inlineStr"/>
      <c r="AM198" s="17" t="inlineStr">
        <is>
          <t>무균/바이오 제조로 품질관리 난도 높음; 원료 제조로 시험실 관리 필요</t>
        </is>
      </c>
      <c r="AN198" s="17" t="inlineStr">
        <is>
          <t>미확인</t>
        </is>
      </c>
      <c r="AO198" s="17" t="inlineStr">
        <is>
          <t>미확인</t>
        </is>
      </c>
      <c r="AP198" s="17" t="inlineStr">
        <is>
          <t>미확인</t>
        </is>
      </c>
      <c r="AQ198" s="17" t="inlineStr">
        <is>
          <t>담당자 파악 후 접촉</t>
        </is>
      </c>
      <c r="AR198" s="17" t="inlineStr">
        <is>
          <t>2026-07-05</t>
        </is>
      </c>
      <c r="AS198" s="17" t="inlineStr">
        <is>
          <t>C(부분확인)</t>
        </is>
      </c>
      <c r="AT198" s="17" t="n">
        <v>90</v>
      </c>
      <c r="AU198" s="17" t="inlineStr"/>
      <c r="AV198" s="17" t="inlineStr"/>
    </row>
    <row r="199">
      <c r="A199" s="27" t="inlineStr">
        <is>
          <t>Tier C</t>
        </is>
      </c>
      <c r="B199" s="17" t="n">
        <v>16</v>
      </c>
      <c r="C199" s="17" t="inlineStr">
        <is>
          <t>(주)삼영유니텍</t>
        </is>
      </c>
      <c r="D199" s="17" t="inlineStr">
        <is>
          <t>2공장</t>
        </is>
      </c>
      <c r="E199" s="17" t="inlineStr">
        <is>
          <t>대전광역시</t>
        </is>
      </c>
      <c r="F199" s="17" t="inlineStr">
        <is>
          <t>유성구</t>
        </is>
      </c>
      <c r="G199" s="17" t="n">
        <v>1</v>
      </c>
      <c r="H199" s="20" t="inlineStr">
        <is>
          <t>Y</t>
        </is>
      </c>
      <c r="I199" s="17" t="inlineStr"/>
      <c r="J199" s="17" t="inlineStr">
        <is>
          <t>Y</t>
        </is>
      </c>
      <c r="K199" s="17" t="inlineStr"/>
      <c r="L199" s="22" t="inlineStr">
        <is>
          <t>미확인</t>
        </is>
      </c>
      <c r="M199" s="22" t="inlineStr">
        <is>
          <t>미확인</t>
        </is>
      </c>
      <c r="N199" s="22" t="inlineStr">
        <is>
          <t>미확인</t>
        </is>
      </c>
      <c r="O199" s="22" t="inlineStr">
        <is>
          <t>미확인</t>
        </is>
      </c>
      <c r="P199" s="17" t="inlineStr">
        <is>
          <t>QMS+LIMS</t>
        </is>
      </c>
      <c r="Q199" s="22" t="inlineStr">
        <is>
          <t>미확인</t>
        </is>
      </c>
      <c r="R199" s="22" t="inlineStr">
        <is>
          <t>미확인</t>
        </is>
      </c>
      <c r="S199" s="17" t="inlineStr">
        <is>
          <t>Tier D</t>
        </is>
      </c>
      <c r="T199" s="17" t="n">
        <v>15</v>
      </c>
      <c r="U199" s="17" t="inlineStr">
        <is>
          <t>C305</t>
        </is>
      </c>
      <c r="V199" s="17" t="inlineStr">
        <is>
          <t>삼영유니텍</t>
        </is>
      </c>
      <c r="W199" s="17" t="inlineStr"/>
      <c r="X199" s="17" t="inlineStr"/>
      <c r="Y199" s="23" t="inlineStr"/>
      <c r="Z199" s="17" t="inlineStr">
        <is>
          <t>정경일</t>
        </is>
      </c>
      <c r="AA199" s="17" t="inlineStr"/>
      <c r="AB199" s="17" t="inlineStr">
        <is>
          <t>042-863-8982</t>
        </is>
      </c>
      <c r="AC199" s="17" t="inlineStr">
        <is>
          <t>미확인</t>
        </is>
      </c>
      <c r="AD199" s="17" t="inlineStr">
        <is>
          <t>Y</t>
        </is>
      </c>
      <c r="AE199" s="17" t="inlineStr">
        <is>
          <t>P368</t>
        </is>
      </c>
      <c r="AF199" s="17" t="inlineStr">
        <is>
          <t>대전광역시 유성구 테크노11로 33</t>
        </is>
      </c>
      <c r="AG199" s="17" t="inlineStr">
        <is>
          <t>완제의약품</t>
        </is>
      </c>
      <c r="AH199" s="17" t="inlineStr">
        <is>
          <t>비무균-일반제제(방사성의약품)-내용고형제(캡슐제), 무균-일반제제(방사성의약품)-주사제(주사제), 비무균-일반제제(방사성의약품)-내용액제(경구용액제)</t>
        </is>
      </c>
      <c r="AI199" s="17" t="n">
        <v>1</v>
      </c>
      <c r="AJ199" s="24" t="n">
        <v>46558</v>
      </c>
      <c r="AK199" s="17" t="inlineStr"/>
      <c r="AL199" s="17" t="inlineStr">
        <is>
          <t>Y</t>
        </is>
      </c>
      <c r="AM199" s="17" t="inlineStr">
        <is>
          <t>무균/바이오 제조로 품질관리 난도 높음</t>
        </is>
      </c>
      <c r="AN199" s="17" t="inlineStr">
        <is>
          <t>미확인</t>
        </is>
      </c>
      <c r="AO199" s="17" t="inlineStr">
        <is>
          <t>미확인</t>
        </is>
      </c>
      <c r="AP199" s="17" t="inlineStr">
        <is>
          <t>미확인</t>
        </is>
      </c>
      <c r="AQ199" s="17" t="inlineStr">
        <is>
          <t>담당자 파악 후 접촉</t>
        </is>
      </c>
      <c r="AR199" s="17" t="inlineStr">
        <is>
          <t>2026-07-05</t>
        </is>
      </c>
      <c r="AS199" s="17" t="inlineStr">
        <is>
          <t>C(부분확인)</t>
        </is>
      </c>
      <c r="AT199" s="17" t="n">
        <v>90</v>
      </c>
      <c r="AU199" s="17" t="inlineStr"/>
      <c r="AV199" s="17" t="inlineStr"/>
    </row>
    <row r="200">
      <c r="A200" s="27" t="inlineStr">
        <is>
          <t>Tier C</t>
        </is>
      </c>
      <c r="B200" s="17" t="n">
        <v>16</v>
      </c>
      <c r="C200" s="17" t="inlineStr">
        <is>
          <t>(주)씨티씨바이오</t>
        </is>
      </c>
      <c r="D200" s="17" t="inlineStr">
        <is>
          <t>제2공장</t>
        </is>
      </c>
      <c r="E200" s="17" t="inlineStr">
        <is>
          <t>경기도</t>
        </is>
      </c>
      <c r="F200" s="17" t="inlineStr">
        <is>
          <t>안산시</t>
        </is>
      </c>
      <c r="G200" s="17" t="n">
        <v>1</v>
      </c>
      <c r="H200" s="17" t="inlineStr"/>
      <c r="I200" s="17" t="inlineStr"/>
      <c r="J200" s="17" t="inlineStr">
        <is>
          <t>Y</t>
        </is>
      </c>
      <c r="K200" s="17" t="inlineStr"/>
      <c r="L200" s="22" t="inlineStr">
        <is>
          <t>미확인</t>
        </is>
      </c>
      <c r="M200" s="22" t="inlineStr">
        <is>
          <t>미확인</t>
        </is>
      </c>
      <c r="N200" s="22" t="inlineStr">
        <is>
          <t>미확인</t>
        </is>
      </c>
      <c r="O200" s="22" t="inlineStr">
        <is>
          <t>미확인</t>
        </is>
      </c>
      <c r="P200" s="17" t="inlineStr">
        <is>
          <t>QMS</t>
        </is>
      </c>
      <c r="Q200" s="22" t="inlineStr">
        <is>
          <t>미확인</t>
        </is>
      </c>
      <c r="R200" s="22" t="inlineStr">
        <is>
          <t>미확인</t>
        </is>
      </c>
      <c r="S200" s="17" t="inlineStr">
        <is>
          <t>Tier D</t>
        </is>
      </c>
      <c r="T200" s="17" t="n">
        <v>7</v>
      </c>
      <c r="U200" s="17" t="inlineStr">
        <is>
          <t>C358</t>
        </is>
      </c>
      <c r="V200" s="17" t="inlineStr">
        <is>
          <t>씨티씨바이오</t>
        </is>
      </c>
      <c r="W200" s="17" t="inlineStr">
        <is>
          <t>Y</t>
        </is>
      </c>
      <c r="X200" s="17" t="inlineStr">
        <is>
          <t>코스닥</t>
        </is>
      </c>
      <c r="Y200" s="23" t="inlineStr">
        <is>
          <t>060590</t>
        </is>
      </c>
      <c r="Z200" s="17" t="inlineStr">
        <is>
          <t>조창선(단독대표이사)</t>
        </is>
      </c>
      <c r="AA200" s="17" t="inlineStr">
        <is>
          <t>http://www.ctcbio.com</t>
        </is>
      </c>
      <c r="AB200" s="17" t="inlineStr">
        <is>
          <t>미확인</t>
        </is>
      </c>
      <c r="AC200" s="17" t="inlineStr">
        <is>
          <t>미확인</t>
        </is>
      </c>
      <c r="AD200" s="17" t="inlineStr">
        <is>
          <t>Y</t>
        </is>
      </c>
      <c r="AE200" s="17" t="inlineStr">
        <is>
          <t>P433</t>
        </is>
      </c>
      <c r="AF200" s="17" t="inlineStr">
        <is>
          <t>경기도 안산시 단원구 강촌로 228-16</t>
        </is>
      </c>
      <c r="AG200" s="17" t="inlineStr">
        <is>
          <t>완제의약품</t>
        </is>
      </c>
      <c r="AH200" s="17" t="inlineStr">
        <is>
          <t>비무균-일반제제-내용고형제(정제, 산제, 구강용해필름)</t>
        </is>
      </c>
      <c r="AI200" s="17" t="n">
        <v>1</v>
      </c>
      <c r="AJ200" s="24" t="n">
        <v>46424</v>
      </c>
      <c r="AK200" s="17" t="inlineStr"/>
      <c r="AL200" s="17" t="inlineStr">
        <is>
          <t>Y</t>
        </is>
      </c>
      <c r="AM200" s="17" t="inlineStr">
        <is>
          <t>기본 GMP 문서관리 대상</t>
        </is>
      </c>
      <c r="AN200" s="17" t="inlineStr">
        <is>
          <t>미확인</t>
        </is>
      </c>
      <c r="AO200" s="17" t="inlineStr">
        <is>
          <t>미확인</t>
        </is>
      </c>
      <c r="AP200" s="17" t="inlineStr">
        <is>
          <t>미확인</t>
        </is>
      </c>
      <c r="AQ200" s="17" t="inlineStr">
        <is>
          <t>담당자 파악 후 접촉</t>
        </is>
      </c>
      <c r="AR200" s="17" t="inlineStr">
        <is>
          <t>2026-07-05</t>
        </is>
      </c>
      <c r="AS200" s="17" t="inlineStr">
        <is>
          <t>C(부분확인)</t>
        </is>
      </c>
      <c r="AT200" s="17" t="n">
        <v>90</v>
      </c>
      <c r="AU200" s="17" t="inlineStr"/>
      <c r="AV200" s="17" t="inlineStr"/>
    </row>
    <row r="201">
      <c r="A201" s="27" t="inlineStr">
        <is>
          <t>Tier C</t>
        </is>
      </c>
      <c r="B201" s="17" t="n">
        <v>16</v>
      </c>
      <c r="C201" s="17" t="inlineStr">
        <is>
          <t>(주)이든파마</t>
        </is>
      </c>
      <c r="D201" s="17" t="inlineStr">
        <is>
          <t>진천공장</t>
        </is>
      </c>
      <c r="E201" s="17" t="inlineStr">
        <is>
          <t>충청북도</t>
        </is>
      </c>
      <c r="F201" s="17" t="inlineStr">
        <is>
          <t>진천군</t>
        </is>
      </c>
      <c r="G201" s="17" t="n">
        <v>1</v>
      </c>
      <c r="H201" s="17" t="inlineStr"/>
      <c r="I201" s="17" t="inlineStr"/>
      <c r="J201" s="17" t="inlineStr">
        <is>
          <t>Y</t>
        </is>
      </c>
      <c r="K201" s="17" t="inlineStr">
        <is>
          <t>Y</t>
        </is>
      </c>
      <c r="L201" s="22" t="inlineStr">
        <is>
          <t>미확인</t>
        </is>
      </c>
      <c r="M201" s="22" t="inlineStr">
        <is>
          <t>미확인</t>
        </is>
      </c>
      <c r="N201" s="22" t="inlineStr">
        <is>
          <t>미확인</t>
        </is>
      </c>
      <c r="O201" s="22" t="inlineStr">
        <is>
          <t>미확인</t>
        </is>
      </c>
      <c r="P201" s="17" t="inlineStr">
        <is>
          <t>QMS+LIMS</t>
        </is>
      </c>
      <c r="Q201" s="22" t="inlineStr">
        <is>
          <t>미확인</t>
        </is>
      </c>
      <c r="R201" s="22" t="inlineStr">
        <is>
          <t>미확인</t>
        </is>
      </c>
      <c r="S201" s="17" t="inlineStr">
        <is>
          <t>Tier D</t>
        </is>
      </c>
      <c r="T201" s="17" t="n">
        <v>9</v>
      </c>
      <c r="U201" s="17" t="inlineStr">
        <is>
          <t>C402</t>
        </is>
      </c>
      <c r="V201" s="17" t="inlineStr">
        <is>
          <t>이든파마</t>
        </is>
      </c>
      <c r="W201" s="17" t="inlineStr"/>
      <c r="X201" s="17" t="inlineStr"/>
      <c r="Y201" s="23" t="inlineStr"/>
      <c r="Z201" s="17" t="inlineStr">
        <is>
          <t>김용환</t>
        </is>
      </c>
      <c r="AA201" s="17" t="inlineStr"/>
      <c r="AB201" s="17" t="inlineStr">
        <is>
          <t>043-534-9100</t>
        </is>
      </c>
      <c r="AC201" s="17" t="inlineStr">
        <is>
          <t>미확인</t>
        </is>
      </c>
      <c r="AD201" s="17" t="inlineStr">
        <is>
          <t>Y</t>
        </is>
      </c>
      <c r="AE201" s="17" t="inlineStr">
        <is>
          <t>P494</t>
        </is>
      </c>
      <c r="AF201" s="17" t="inlineStr">
        <is>
          <t>충청북도 진천군 문백면 농다리로 1149</t>
        </is>
      </c>
      <c r="AG201" s="17" t="inlineStr">
        <is>
          <t>완제의약품+원료의약품</t>
        </is>
      </c>
      <c r="AH201" s="17" t="inlineStr">
        <is>
          <t>비무균-일반제제-내용고형제(정제, 과립제)</t>
        </is>
      </c>
      <c r="AI201" s="17" t="n">
        <v>2</v>
      </c>
      <c r="AJ201" s="24" t="n">
        <v>46258</v>
      </c>
      <c r="AK201" s="25" t="inlineStr">
        <is>
          <t>Y</t>
        </is>
      </c>
      <c r="AL201" s="17" t="inlineStr">
        <is>
          <t>Y</t>
        </is>
      </c>
      <c r="AM201" s="17" t="inlineStr">
        <is>
          <t>원료 제조로 시험실 관리 필요</t>
        </is>
      </c>
      <c r="AN201" s="17" t="inlineStr">
        <is>
          <t>미확인</t>
        </is>
      </c>
      <c r="AO201" s="17" t="inlineStr">
        <is>
          <t>미확인</t>
        </is>
      </c>
      <c r="AP201" s="17" t="inlineStr">
        <is>
          <t>미확인</t>
        </is>
      </c>
      <c r="AQ201" s="17" t="inlineStr">
        <is>
          <t>담당자 파악 후 접촉</t>
        </is>
      </c>
      <c r="AR201" s="17" t="inlineStr">
        <is>
          <t>2026-07-05</t>
        </is>
      </c>
      <c r="AS201" s="17" t="inlineStr">
        <is>
          <t>C(부분확인)</t>
        </is>
      </c>
      <c r="AT201" s="17" t="n">
        <v>90</v>
      </c>
      <c r="AU201" s="17" t="inlineStr"/>
      <c r="AV201" s="17" t="inlineStr"/>
    </row>
    <row r="202">
      <c r="A202" s="27" t="inlineStr">
        <is>
          <t>Tier C</t>
        </is>
      </c>
      <c r="B202" s="17" t="n">
        <v>16</v>
      </c>
      <c r="C202" s="17" t="inlineStr">
        <is>
          <t>(주)제일제약</t>
        </is>
      </c>
      <c r="D202" s="17" t="inlineStr">
        <is>
          <t>대구</t>
        </is>
      </c>
      <c r="E202" s="17" t="inlineStr">
        <is>
          <t>대구광역시</t>
        </is>
      </c>
      <c r="F202" s="17" t="inlineStr">
        <is>
          <t>달서구</t>
        </is>
      </c>
      <c r="G202" s="17" t="n">
        <v>1</v>
      </c>
      <c r="H202" s="20" t="inlineStr">
        <is>
          <t>Y</t>
        </is>
      </c>
      <c r="I202" s="17" t="inlineStr"/>
      <c r="J202" s="17" t="inlineStr">
        <is>
          <t>Y</t>
        </is>
      </c>
      <c r="K202" s="17" t="inlineStr"/>
      <c r="L202" s="22" t="inlineStr">
        <is>
          <t>미확인</t>
        </is>
      </c>
      <c r="M202" s="22" t="inlineStr">
        <is>
          <t>미확인</t>
        </is>
      </c>
      <c r="N202" s="22" t="inlineStr">
        <is>
          <t>미확인</t>
        </is>
      </c>
      <c r="O202" s="22" t="inlineStr">
        <is>
          <t>미확인</t>
        </is>
      </c>
      <c r="P202" s="17" t="inlineStr">
        <is>
          <t>QMS+LIMS</t>
        </is>
      </c>
      <c r="Q202" s="22" t="inlineStr">
        <is>
          <t>미확인</t>
        </is>
      </c>
      <c r="R202" s="22" t="inlineStr">
        <is>
          <t>미확인</t>
        </is>
      </c>
      <c r="S202" s="17" t="inlineStr">
        <is>
          <t>Tier D</t>
        </is>
      </c>
      <c r="T202" s="17" t="n">
        <v>15</v>
      </c>
      <c r="U202" s="17" t="inlineStr">
        <is>
          <t>C355</t>
        </is>
      </c>
      <c r="V202" s="17" t="inlineStr">
        <is>
          <t>제일제약</t>
        </is>
      </c>
      <c r="W202" s="17" t="inlineStr"/>
      <c r="X202" s="17" t="inlineStr"/>
      <c r="Y202" s="23" t="inlineStr"/>
      <c r="Z202" s="17" t="inlineStr">
        <is>
          <t>경훈표</t>
        </is>
      </c>
      <c r="AA202" s="17" t="inlineStr"/>
      <c r="AB202" s="17" t="inlineStr">
        <is>
          <t>053-5836-2268</t>
        </is>
      </c>
      <c r="AC202" s="17" t="inlineStr">
        <is>
          <t>미확인</t>
        </is>
      </c>
      <c r="AD202" s="17" t="inlineStr">
        <is>
          <t>Y</t>
        </is>
      </c>
      <c r="AE202" s="17" t="inlineStr">
        <is>
          <t>P429</t>
        </is>
      </c>
      <c r="AF202" s="17" t="inlineStr">
        <is>
          <t>대구광역시 달서구 성서로 18-29 대천동</t>
        </is>
      </c>
      <c r="AG202" s="17" t="inlineStr">
        <is>
          <t>완제의약품</t>
        </is>
      </c>
      <c r="AH202" s="17" t="inlineStr">
        <is>
          <t>무균-일반제제-주사제(주사제)</t>
        </is>
      </c>
      <c r="AI202" s="17" t="n">
        <v>1</v>
      </c>
      <c r="AJ202" s="24" t="n">
        <v>46433</v>
      </c>
      <c r="AK202" s="17" t="inlineStr"/>
      <c r="AL202" s="17" t="inlineStr">
        <is>
          <t>Y</t>
        </is>
      </c>
      <c r="AM202" s="17" t="inlineStr">
        <is>
          <t>무균/바이오 제조로 품질관리 난도 높음</t>
        </is>
      </c>
      <c r="AN202" s="17" t="inlineStr">
        <is>
          <t>미확인</t>
        </is>
      </c>
      <c r="AO202" s="17" t="inlineStr">
        <is>
          <t>미확인</t>
        </is>
      </c>
      <c r="AP202" s="17" t="inlineStr">
        <is>
          <t>미확인</t>
        </is>
      </c>
      <c r="AQ202" s="17" t="inlineStr">
        <is>
          <t>담당자 파악 후 접촉</t>
        </is>
      </c>
      <c r="AR202" s="17" t="inlineStr">
        <is>
          <t>2026-07-05</t>
        </is>
      </c>
      <c r="AS202" s="17" t="inlineStr">
        <is>
          <t>C(부분확인)</t>
        </is>
      </c>
      <c r="AT202" s="17" t="n">
        <v>90</v>
      </c>
      <c r="AU202" s="17" t="inlineStr"/>
      <c r="AV202" s="17" t="inlineStr"/>
    </row>
    <row r="203">
      <c r="A203" s="27" t="inlineStr">
        <is>
          <t>Tier C</t>
        </is>
      </c>
      <c r="B203" s="17" t="n">
        <v>16</v>
      </c>
      <c r="C203" s="17" t="inlineStr">
        <is>
          <t>고려제약(주)</t>
        </is>
      </c>
      <c r="D203" s="17" t="inlineStr">
        <is>
          <t>이천</t>
        </is>
      </c>
      <c r="E203" s="17" t="inlineStr">
        <is>
          <t>경기도</t>
        </is>
      </c>
      <c r="F203" s="17" t="inlineStr">
        <is>
          <t>이천시</t>
        </is>
      </c>
      <c r="G203" s="17" t="n">
        <v>1</v>
      </c>
      <c r="H203" s="17" t="inlineStr"/>
      <c r="I203" s="17" t="inlineStr"/>
      <c r="J203" s="17" t="inlineStr">
        <is>
          <t>Y</t>
        </is>
      </c>
      <c r="K203" s="17" t="inlineStr"/>
      <c r="L203" s="22" t="inlineStr">
        <is>
          <t>미확인</t>
        </is>
      </c>
      <c r="M203" s="22" t="inlineStr">
        <is>
          <t>미확인</t>
        </is>
      </c>
      <c r="N203" s="22" t="inlineStr">
        <is>
          <t>미확인</t>
        </is>
      </c>
      <c r="O203" s="22" t="inlineStr">
        <is>
          <t>미확인</t>
        </is>
      </c>
      <c r="P203" s="17" t="inlineStr">
        <is>
          <t>QMS</t>
        </is>
      </c>
      <c r="Q203" s="22" t="inlineStr">
        <is>
          <t>미확인</t>
        </is>
      </c>
      <c r="R203" s="22" t="inlineStr">
        <is>
          <t>미확인</t>
        </is>
      </c>
      <c r="S203" s="17" t="inlineStr">
        <is>
          <t>Tier D</t>
        </is>
      </c>
      <c r="T203" s="17" t="n">
        <v>10</v>
      </c>
      <c r="U203" s="17" t="inlineStr">
        <is>
          <t>C345</t>
        </is>
      </c>
      <c r="V203" s="17" t="inlineStr">
        <is>
          <t>고려제약</t>
        </is>
      </c>
      <c r="W203" s="17" t="inlineStr">
        <is>
          <t>Y</t>
        </is>
      </c>
      <c r="X203" s="17" t="inlineStr">
        <is>
          <t>코스닥</t>
        </is>
      </c>
      <c r="Y203" s="23" t="inlineStr">
        <is>
          <t>014570</t>
        </is>
      </c>
      <c r="Z203" s="17" t="inlineStr">
        <is>
          <t>박해룡, 박상훈 (각자대표)</t>
        </is>
      </c>
      <c r="AA203" s="17" t="inlineStr">
        <is>
          <t>http://www.nicepharma.com</t>
        </is>
      </c>
      <c r="AB203" s="17" t="inlineStr">
        <is>
          <t>031-634-7100</t>
        </is>
      </c>
      <c r="AC203" s="17" t="inlineStr">
        <is>
          <t>미확인</t>
        </is>
      </c>
      <c r="AD203" s="17" t="inlineStr">
        <is>
          <t>Y</t>
        </is>
      </c>
      <c r="AE203" s="17" t="inlineStr">
        <is>
          <t>P416</t>
        </is>
      </c>
      <c r="AF203" s="17" t="inlineStr">
        <is>
          <t>경기도 이천시 신둔면 원적로 69-10</t>
        </is>
      </c>
      <c r="AG203" s="17" t="inlineStr">
        <is>
          <t>완제의약품</t>
        </is>
      </c>
      <c r="AH203" s="17" t="inlineStr">
        <is>
          <t>비무균-일반제제-내용고형제(정제, 캡슐제, 구강붕해정, 츄어블정(저작정)), 비무균-일반제제-내용액제(경구용액제)</t>
        </is>
      </c>
      <c r="AI203" s="17" t="n">
        <v>1</v>
      </c>
      <c r="AJ203" s="24" t="n">
        <v>46460</v>
      </c>
      <c r="AK203" s="17" t="inlineStr"/>
      <c r="AL203" s="17" t="inlineStr">
        <is>
          <t>Y</t>
        </is>
      </c>
      <c r="AM203" s="17" t="inlineStr">
        <is>
          <t>기본 GMP 문서관리 대상</t>
        </is>
      </c>
      <c r="AN203" s="17" t="inlineStr">
        <is>
          <t>미확인</t>
        </is>
      </c>
      <c r="AO203" s="17" t="inlineStr">
        <is>
          <t>미확인</t>
        </is>
      </c>
      <c r="AP203" s="17" t="inlineStr">
        <is>
          <t>미확인</t>
        </is>
      </c>
      <c r="AQ203" s="17" t="inlineStr">
        <is>
          <t>담당자 파악 후 접촉</t>
        </is>
      </c>
      <c r="AR203" s="17" t="inlineStr">
        <is>
          <t>2026-07-05</t>
        </is>
      </c>
      <c r="AS203" s="17" t="inlineStr">
        <is>
          <t>C(부분확인)</t>
        </is>
      </c>
      <c r="AT203" s="17" t="n">
        <v>90</v>
      </c>
      <c r="AU203" s="17" t="inlineStr"/>
      <c r="AV203" s="17" t="inlineStr"/>
    </row>
    <row r="204">
      <c r="A204" s="27" t="inlineStr">
        <is>
          <t>Tier C</t>
        </is>
      </c>
      <c r="B204" s="17" t="n">
        <v>16</v>
      </c>
      <c r="C204" s="17" t="inlineStr">
        <is>
          <t>광동제약(주)</t>
        </is>
      </c>
      <c r="D204" s="17" t="inlineStr">
        <is>
          <t>평택</t>
        </is>
      </c>
      <c r="E204" s="17" t="inlineStr">
        <is>
          <t>경기도</t>
        </is>
      </c>
      <c r="F204" s="17" t="inlineStr">
        <is>
          <t>평택시</t>
        </is>
      </c>
      <c r="G204" s="17" t="n">
        <v>1</v>
      </c>
      <c r="H204" s="17" t="inlineStr"/>
      <c r="I204" s="17" t="inlineStr"/>
      <c r="J204" s="17" t="inlineStr">
        <is>
          <t>Y</t>
        </is>
      </c>
      <c r="K204" s="17" t="inlineStr"/>
      <c r="L204" s="22" t="inlineStr">
        <is>
          <t>미확인</t>
        </is>
      </c>
      <c r="M204" s="22" t="inlineStr">
        <is>
          <t>미확인</t>
        </is>
      </c>
      <c r="N204" s="22" t="inlineStr">
        <is>
          <t>미확인</t>
        </is>
      </c>
      <c r="O204" s="22" t="inlineStr">
        <is>
          <t>미확인</t>
        </is>
      </c>
      <c r="P204" s="17" t="inlineStr">
        <is>
          <t>QMS</t>
        </is>
      </c>
      <c r="Q204" s="22" t="inlineStr">
        <is>
          <t>미확인</t>
        </is>
      </c>
      <c r="R204" s="22" t="inlineStr">
        <is>
          <t>미확인</t>
        </is>
      </c>
      <c r="S204" s="17" t="inlineStr">
        <is>
          <t>Tier D</t>
        </is>
      </c>
      <c r="T204" s="17" t="n">
        <v>10</v>
      </c>
      <c r="U204" s="17" t="inlineStr">
        <is>
          <t>C339</t>
        </is>
      </c>
      <c r="V204" s="17" t="inlineStr">
        <is>
          <t>광동제약</t>
        </is>
      </c>
      <c r="W204" s="17" t="inlineStr">
        <is>
          <t>Y</t>
        </is>
      </c>
      <c r="X204" s="17" t="inlineStr">
        <is>
          <t>유가</t>
        </is>
      </c>
      <c r="Y204" s="23" t="inlineStr">
        <is>
          <t>009290</t>
        </is>
      </c>
      <c r="Z204" s="17" t="inlineStr">
        <is>
          <t>최성원, 박상영(각자대표)</t>
        </is>
      </c>
      <c r="AA204" s="17" t="inlineStr">
        <is>
          <t>http://www.ekdp.com</t>
        </is>
      </c>
      <c r="AB204" s="17" t="inlineStr">
        <is>
          <t>031-612-1111</t>
        </is>
      </c>
      <c r="AC204" s="17" t="inlineStr">
        <is>
          <t>미확인</t>
        </is>
      </c>
      <c r="AD204" s="17" t="inlineStr">
        <is>
          <t>Y</t>
        </is>
      </c>
      <c r="AE204" s="17" t="inlineStr">
        <is>
          <t>P408</t>
        </is>
      </c>
      <c r="AF204" s="17" t="inlineStr">
        <is>
          <t>경기도 평택시 산단로 114</t>
        </is>
      </c>
      <c r="AG204" s="17" t="inlineStr">
        <is>
          <t>완제의약품</t>
        </is>
      </c>
      <c r="AH204" s="17" t="inlineStr">
        <is>
          <t>비무균-일반제제-내용고형제(정제, 캡슐제, 과립제, 환제), 비무균-일반제제-내용액제(경구용액제, 현탁제, 엑스제(액상))</t>
        </is>
      </c>
      <c r="AI204" s="17" t="n">
        <v>1</v>
      </c>
      <c r="AJ204" s="24" t="n">
        <v>46474</v>
      </c>
      <c r="AK204" s="17" t="inlineStr"/>
      <c r="AL204" s="17" t="inlineStr">
        <is>
          <t>Y</t>
        </is>
      </c>
      <c r="AM204" s="17" t="inlineStr">
        <is>
          <t>기본 GMP 문서관리 대상</t>
        </is>
      </c>
      <c r="AN204" s="17" t="inlineStr">
        <is>
          <t>미확인</t>
        </is>
      </c>
      <c r="AO204" s="17" t="inlineStr">
        <is>
          <t>미확인</t>
        </is>
      </c>
      <c r="AP204" s="17" t="inlineStr">
        <is>
          <t>미확인</t>
        </is>
      </c>
      <c r="AQ204" s="17" t="inlineStr">
        <is>
          <t>담당자 파악 후 접촉</t>
        </is>
      </c>
      <c r="AR204" s="17" t="inlineStr">
        <is>
          <t>2026-07-05</t>
        </is>
      </c>
      <c r="AS204" s="17" t="inlineStr">
        <is>
          <t>C(부분확인)</t>
        </is>
      </c>
      <c r="AT204" s="17" t="n">
        <v>90</v>
      </c>
      <c r="AU204" s="17" t="inlineStr"/>
      <c r="AV204" s="17" t="inlineStr"/>
    </row>
    <row r="205">
      <c r="A205" s="27" t="inlineStr">
        <is>
          <t>Tier C</t>
        </is>
      </c>
      <c r="B205" s="17" t="n">
        <v>16</v>
      </c>
      <c r="C205" s="17" t="inlineStr">
        <is>
          <t>국립암센터</t>
        </is>
      </c>
      <c r="D205" s="17" t="inlineStr">
        <is>
          <t>고양</t>
        </is>
      </c>
      <c r="E205" s="17" t="inlineStr">
        <is>
          <t>경기도</t>
        </is>
      </c>
      <c r="F205" s="17" t="inlineStr">
        <is>
          <t>고양시</t>
        </is>
      </c>
      <c r="G205" s="17" t="n">
        <v>1</v>
      </c>
      <c r="H205" s="20" t="inlineStr">
        <is>
          <t>Y</t>
        </is>
      </c>
      <c r="I205" s="17" t="inlineStr"/>
      <c r="J205" s="17" t="inlineStr">
        <is>
          <t>Y</t>
        </is>
      </c>
      <c r="K205" s="17" t="inlineStr"/>
      <c r="L205" s="22" t="inlineStr">
        <is>
          <t>미확인</t>
        </is>
      </c>
      <c r="M205" s="22" t="inlineStr">
        <is>
          <t>미확인</t>
        </is>
      </c>
      <c r="N205" s="22" t="inlineStr">
        <is>
          <t>미확인</t>
        </is>
      </c>
      <c r="O205" s="22" t="inlineStr">
        <is>
          <t>미확인</t>
        </is>
      </c>
      <c r="P205" s="17" t="inlineStr">
        <is>
          <t>QMS+LIMS</t>
        </is>
      </c>
      <c r="Q205" s="22" t="inlineStr">
        <is>
          <t>미확인</t>
        </is>
      </c>
      <c r="R205" s="22" t="inlineStr">
        <is>
          <t>미확인</t>
        </is>
      </c>
      <c r="S205" s="17" t="inlineStr">
        <is>
          <t>Tier D</t>
        </is>
      </c>
      <c r="T205" s="17" t="n">
        <v>15</v>
      </c>
      <c r="U205" s="17" t="inlineStr">
        <is>
          <t>C369</t>
        </is>
      </c>
      <c r="V205" s="17" t="inlineStr">
        <is>
          <t>국립암센터</t>
        </is>
      </c>
      <c r="W205" s="17" t="inlineStr"/>
      <c r="X205" s="17" t="inlineStr"/>
      <c r="Y205" s="23" t="inlineStr"/>
      <c r="Z205" s="17" t="inlineStr">
        <is>
          <t>양한광</t>
        </is>
      </c>
      <c r="AA205" s="17" t="inlineStr"/>
      <c r="AB205" s="17" t="inlineStr">
        <is>
          <t>031-920-0114</t>
        </is>
      </c>
      <c r="AC205" s="17" t="inlineStr">
        <is>
          <t>미확인</t>
        </is>
      </c>
      <c r="AD205" s="17" t="inlineStr">
        <is>
          <t>Y</t>
        </is>
      </c>
      <c r="AE205" s="17" t="inlineStr">
        <is>
          <t>P449</t>
        </is>
      </c>
      <c r="AF205" s="17" t="inlineStr">
        <is>
          <t>경기도 고양시 일산동구 일산로 323</t>
        </is>
      </c>
      <c r="AG205" s="17" t="inlineStr">
        <is>
          <t>완제의약품</t>
        </is>
      </c>
      <c r="AH205" s="17" t="inlineStr">
        <is>
          <t>무균-일반제제(방사성의약품)-주사제(주사제)</t>
        </is>
      </c>
      <c r="AI205" s="17" t="n">
        <v>1</v>
      </c>
      <c r="AJ205" s="24" t="n">
        <v>46398</v>
      </c>
      <c r="AK205" s="17" t="inlineStr"/>
      <c r="AL205" s="17" t="inlineStr">
        <is>
          <t>Y</t>
        </is>
      </c>
      <c r="AM205" s="17" t="inlineStr">
        <is>
          <t>무균/바이오 제조로 품질관리 난도 높음</t>
        </is>
      </c>
      <c r="AN205" s="17" t="inlineStr">
        <is>
          <t>미확인</t>
        </is>
      </c>
      <c r="AO205" s="17" t="inlineStr">
        <is>
          <t>미확인</t>
        </is>
      </c>
      <c r="AP205" s="17" t="inlineStr">
        <is>
          <t>미확인</t>
        </is>
      </c>
      <c r="AQ205" s="17" t="inlineStr">
        <is>
          <t>담당자 파악 후 접촉</t>
        </is>
      </c>
      <c r="AR205" s="17" t="inlineStr">
        <is>
          <t>2026-07-05</t>
        </is>
      </c>
      <c r="AS205" s="17" t="inlineStr">
        <is>
          <t>C(부분확인)</t>
        </is>
      </c>
      <c r="AT205" s="17" t="n">
        <v>90</v>
      </c>
      <c r="AU205" s="17" t="inlineStr"/>
      <c r="AV205" s="17" t="inlineStr"/>
    </row>
    <row r="206">
      <c r="A206" s="27" t="inlineStr">
        <is>
          <t>Tier C</t>
        </is>
      </c>
      <c r="B206" s="17" t="n">
        <v>16</v>
      </c>
      <c r="C206" s="17" t="inlineStr">
        <is>
          <t>신일제약(주)</t>
        </is>
      </c>
      <c r="D206" s="17" t="inlineStr">
        <is>
          <t>충주</t>
        </is>
      </c>
      <c r="E206" s="17" t="inlineStr">
        <is>
          <t>충청북도</t>
        </is>
      </c>
      <c r="F206" s="17" t="inlineStr">
        <is>
          <t>충주시</t>
        </is>
      </c>
      <c r="G206" s="17" t="n">
        <v>1</v>
      </c>
      <c r="H206" s="17" t="inlineStr"/>
      <c r="I206" s="17" t="inlineStr"/>
      <c r="J206" s="17" t="inlineStr">
        <is>
          <t>Y</t>
        </is>
      </c>
      <c r="K206" s="17" t="inlineStr"/>
      <c r="L206" s="22" t="inlineStr">
        <is>
          <t>미확인</t>
        </is>
      </c>
      <c r="M206" s="22" t="inlineStr">
        <is>
          <t>미확인</t>
        </is>
      </c>
      <c r="N206" s="22" t="inlineStr">
        <is>
          <t>미확인</t>
        </is>
      </c>
      <c r="O206" s="22" t="inlineStr">
        <is>
          <t>미확인</t>
        </is>
      </c>
      <c r="P206" s="17" t="inlineStr">
        <is>
          <t>QMS</t>
        </is>
      </c>
      <c r="Q206" s="22" t="inlineStr">
        <is>
          <t>미확인</t>
        </is>
      </c>
      <c r="R206" s="22" t="inlineStr">
        <is>
          <t>미확인</t>
        </is>
      </c>
      <c r="S206" s="17" t="inlineStr">
        <is>
          <t>Tier D</t>
        </is>
      </c>
      <c r="T206" s="17" t="n">
        <v>10</v>
      </c>
      <c r="U206" s="17" t="inlineStr">
        <is>
          <t>C342</t>
        </is>
      </c>
      <c r="V206" s="17" t="inlineStr">
        <is>
          <t>신일제약</t>
        </is>
      </c>
      <c r="W206" s="17" t="inlineStr">
        <is>
          <t>Y</t>
        </is>
      </c>
      <c r="X206" s="17" t="inlineStr">
        <is>
          <t>코스닥</t>
        </is>
      </c>
      <c r="Y206" s="23" t="inlineStr">
        <is>
          <t>012790</t>
        </is>
      </c>
      <c r="Z206" s="17" t="inlineStr">
        <is>
          <t>홍재현</t>
        </is>
      </c>
      <c r="AA206" s="17" t="inlineStr">
        <is>
          <t>http://www.sinilpharm.com</t>
        </is>
      </c>
      <c r="AB206" s="17" t="inlineStr">
        <is>
          <t>043-855-3944</t>
        </is>
      </c>
      <c r="AC206" s="17" t="inlineStr">
        <is>
          <t>미확인</t>
        </is>
      </c>
      <c r="AD206" s="17" t="inlineStr">
        <is>
          <t>Y</t>
        </is>
      </c>
      <c r="AE206" s="17" t="inlineStr">
        <is>
          <t>P412</t>
        </is>
      </c>
      <c r="AF206" s="17" t="inlineStr">
        <is>
          <t>충청북도 충주시 앙성면 복상골길 28</t>
        </is>
      </c>
      <c r="AG206" s="17" t="inlineStr">
        <is>
          <t>완제의약품</t>
        </is>
      </c>
      <c r="AH206" s="17" t="inlineStr">
        <is>
          <t>비무균-일반제제-내용고형제(정제, 캡슐제, 트로키제, 껌제), 비무균-일반제제-연고제(연고제, 크림제, 리니멘트제(액상,반고형), 겔제), 비무균-일반제제-첩부제(첩부제, 경피흡수제)</t>
        </is>
      </c>
      <c r="AI206" s="17" t="n">
        <v>1</v>
      </c>
      <c r="AJ206" s="24" t="n">
        <v>46467</v>
      </c>
      <c r="AK206" s="17" t="inlineStr"/>
      <c r="AL206" s="17" t="inlineStr">
        <is>
          <t>Y</t>
        </is>
      </c>
      <c r="AM206" s="17" t="inlineStr">
        <is>
          <t>기본 GMP 문서관리 대상</t>
        </is>
      </c>
      <c r="AN206" s="17" t="inlineStr">
        <is>
          <t>미확인</t>
        </is>
      </c>
      <c r="AO206" s="17" t="inlineStr">
        <is>
          <t>미확인</t>
        </is>
      </c>
      <c r="AP206" s="17" t="inlineStr">
        <is>
          <t>미확인</t>
        </is>
      </c>
      <c r="AQ206" s="17" t="inlineStr">
        <is>
          <t>담당자 파악 후 접촉</t>
        </is>
      </c>
      <c r="AR206" s="17" t="inlineStr">
        <is>
          <t>2026-07-05</t>
        </is>
      </c>
      <c r="AS206" s="17" t="inlineStr">
        <is>
          <t>C(부분확인)</t>
        </is>
      </c>
      <c r="AT206" s="17" t="n">
        <v>90</v>
      </c>
      <c r="AU206" s="17" t="inlineStr"/>
      <c r="AV206" s="17" t="inlineStr"/>
    </row>
    <row r="207">
      <c r="A207" s="27" t="inlineStr">
        <is>
          <t>Tier C</t>
        </is>
      </c>
      <c r="B207" s="17" t="n">
        <v>16</v>
      </c>
      <c r="C207" s="17" t="inlineStr">
        <is>
          <t>씨엠에스제약(주)</t>
        </is>
      </c>
      <c r="D207" s="17" t="inlineStr">
        <is>
          <t>1공장</t>
        </is>
      </c>
      <c r="E207" s="17" t="inlineStr">
        <is>
          <t>충청북도</t>
        </is>
      </c>
      <c r="F207" s="17" t="inlineStr">
        <is>
          <t>청주시</t>
        </is>
      </c>
      <c r="G207" s="17" t="n">
        <v>1</v>
      </c>
      <c r="H207" s="20" t="inlineStr">
        <is>
          <t>Y</t>
        </is>
      </c>
      <c r="I207" s="17" t="inlineStr"/>
      <c r="J207" s="17" t="inlineStr">
        <is>
          <t>Y</t>
        </is>
      </c>
      <c r="K207" s="17" t="inlineStr"/>
      <c r="L207" s="22" t="inlineStr">
        <is>
          <t>미확인</t>
        </is>
      </c>
      <c r="M207" s="22" t="inlineStr">
        <is>
          <t>미확인</t>
        </is>
      </c>
      <c r="N207" s="22" t="inlineStr">
        <is>
          <t>미확인</t>
        </is>
      </c>
      <c r="O207" s="22" t="inlineStr">
        <is>
          <t>미확인</t>
        </is>
      </c>
      <c r="P207" s="17" t="inlineStr">
        <is>
          <t>QMS+LIMS</t>
        </is>
      </c>
      <c r="Q207" s="22" t="inlineStr">
        <is>
          <t>미확인</t>
        </is>
      </c>
      <c r="R207" s="22" t="inlineStr">
        <is>
          <t>미확인</t>
        </is>
      </c>
      <c r="S207" s="17" t="inlineStr">
        <is>
          <t>Tier D</t>
        </is>
      </c>
      <c r="T207" s="17" t="n">
        <v>15</v>
      </c>
      <c r="U207" s="17" t="inlineStr">
        <is>
          <t>C301</t>
        </is>
      </c>
      <c r="V207" s="17" t="inlineStr">
        <is>
          <t>씨엠에스제약</t>
        </is>
      </c>
      <c r="W207" s="17" t="inlineStr"/>
      <c r="X207" s="17" t="inlineStr"/>
      <c r="Y207" s="23" t="inlineStr"/>
      <c r="Z207" s="17" t="inlineStr">
        <is>
          <t>김부근</t>
        </is>
      </c>
      <c r="AA207" s="17" t="inlineStr"/>
      <c r="AB207" s="17" t="inlineStr">
        <is>
          <t>043-238-5000</t>
        </is>
      </c>
      <c r="AC207" s="17" t="inlineStr">
        <is>
          <t>미확인</t>
        </is>
      </c>
      <c r="AD207" s="17" t="inlineStr">
        <is>
          <t>Y</t>
        </is>
      </c>
      <c r="AE207" s="17" t="inlineStr">
        <is>
          <t>P363</t>
        </is>
      </c>
      <c r="AF207" s="17" t="inlineStr">
        <is>
          <t>충청북도 청주시 흥덕구 오송읍 오송생명10로 152</t>
        </is>
      </c>
      <c r="AG207" s="17" t="inlineStr">
        <is>
          <t>완제의약품</t>
        </is>
      </c>
      <c r="AH207" s="17" t="inlineStr">
        <is>
          <t>무균-일반제제-주사제(주사제)</t>
        </is>
      </c>
      <c r="AI207" s="17" t="n">
        <v>1</v>
      </c>
      <c r="AJ207" s="24" t="n">
        <v>46565</v>
      </c>
      <c r="AK207" s="17" t="inlineStr"/>
      <c r="AL207" s="17" t="inlineStr">
        <is>
          <t>Y</t>
        </is>
      </c>
      <c r="AM207" s="17" t="inlineStr">
        <is>
          <t>무균/바이오 제조로 품질관리 난도 높음</t>
        </is>
      </c>
      <c r="AN207" s="17" t="inlineStr">
        <is>
          <t>미확인</t>
        </is>
      </c>
      <c r="AO207" s="17" t="inlineStr">
        <is>
          <t>미확인</t>
        </is>
      </c>
      <c r="AP207" s="17" t="inlineStr">
        <is>
          <t>미확인</t>
        </is>
      </c>
      <c r="AQ207" s="17" t="inlineStr">
        <is>
          <t>담당자 파악 후 접촉</t>
        </is>
      </c>
      <c r="AR207" s="17" t="inlineStr">
        <is>
          <t>2026-07-05</t>
        </is>
      </c>
      <c r="AS207" s="17" t="inlineStr">
        <is>
          <t>C(부분확인)</t>
        </is>
      </c>
      <c r="AT207" s="17" t="n">
        <v>90</v>
      </c>
      <c r="AU207" s="17" t="inlineStr"/>
      <c r="AV207" s="17" t="inlineStr"/>
    </row>
    <row r="208">
      <c r="A208" s="27" t="inlineStr">
        <is>
          <t>Tier C</t>
        </is>
      </c>
      <c r="B208" s="17" t="n">
        <v>16</v>
      </c>
      <c r="C208" s="17" t="inlineStr">
        <is>
          <t>알리코제약(주)</t>
        </is>
      </c>
      <c r="D208" s="17" t="inlineStr">
        <is>
          <t>진천</t>
        </is>
      </c>
      <c r="E208" s="17" t="inlineStr">
        <is>
          <t>충청북도</t>
        </is>
      </c>
      <c r="F208" s="17" t="inlineStr">
        <is>
          <t>진천군</t>
        </is>
      </c>
      <c r="G208" s="17" t="n">
        <v>1</v>
      </c>
      <c r="H208" s="17" t="inlineStr"/>
      <c r="I208" s="17" t="inlineStr"/>
      <c r="J208" s="17" t="inlineStr">
        <is>
          <t>Y</t>
        </is>
      </c>
      <c r="K208" s="17" t="inlineStr"/>
      <c r="L208" s="22" t="inlineStr">
        <is>
          <t>미확인</t>
        </is>
      </c>
      <c r="M208" s="22" t="inlineStr">
        <is>
          <t>미확인</t>
        </is>
      </c>
      <c r="N208" s="22" t="inlineStr">
        <is>
          <t>미확인</t>
        </is>
      </c>
      <c r="O208" s="22" t="inlineStr">
        <is>
          <t>미확인</t>
        </is>
      </c>
      <c r="P208" s="17" t="inlineStr">
        <is>
          <t>QMS</t>
        </is>
      </c>
      <c r="Q208" s="22" t="inlineStr">
        <is>
          <t>미확인</t>
        </is>
      </c>
      <c r="R208" s="22" t="inlineStr">
        <is>
          <t>미확인</t>
        </is>
      </c>
      <c r="S208" s="17" t="inlineStr">
        <is>
          <t>Tier D</t>
        </is>
      </c>
      <c r="T208" s="17" t="n">
        <v>10</v>
      </c>
      <c r="U208" s="17" t="inlineStr">
        <is>
          <t>C360</t>
        </is>
      </c>
      <c r="V208" s="17" t="inlineStr">
        <is>
          <t>알리코제약</t>
        </is>
      </c>
      <c r="W208" s="17" t="inlineStr">
        <is>
          <t>Y</t>
        </is>
      </c>
      <c r="X208" s="17" t="inlineStr">
        <is>
          <t>코스닥</t>
        </is>
      </c>
      <c r="Y208" s="23" t="inlineStr">
        <is>
          <t>260660</t>
        </is>
      </c>
      <c r="Z208" s="17" t="inlineStr">
        <is>
          <t>이항구</t>
        </is>
      </c>
      <c r="AA208" s="17" t="inlineStr">
        <is>
          <t>http://www.arlico.co.kr</t>
        </is>
      </c>
      <c r="AB208" s="17" t="inlineStr">
        <is>
          <t>043-535-8877</t>
        </is>
      </c>
      <c r="AC208" s="17" t="inlineStr">
        <is>
          <t>미확인</t>
        </is>
      </c>
      <c r="AD208" s="17" t="inlineStr">
        <is>
          <t>Y</t>
        </is>
      </c>
      <c r="AE208" s="17" t="inlineStr">
        <is>
          <t>P436</t>
        </is>
      </c>
      <c r="AF208" s="17" t="inlineStr">
        <is>
          <t>충청북도 진천군 광혜원면 용소2길 21</t>
        </is>
      </c>
      <c r="AG208" s="17" t="inlineStr">
        <is>
          <t>완제의약품</t>
        </is>
      </c>
      <c r="AH208" s="17" t="inlineStr">
        <is>
          <t>비무균-일반제제-내용고형제(정제, 캡슐제), 비무균-일반제제-연고제(연고제, 크림제, 겔제)</t>
        </is>
      </c>
      <c r="AI208" s="17" t="n">
        <v>1</v>
      </c>
      <c r="AJ208" s="24" t="n">
        <v>46424</v>
      </c>
      <c r="AK208" s="17" t="inlineStr"/>
      <c r="AL208" s="17" t="inlineStr">
        <is>
          <t>Y</t>
        </is>
      </c>
      <c r="AM208" s="17" t="inlineStr">
        <is>
          <t>기본 GMP 문서관리 대상</t>
        </is>
      </c>
      <c r="AN208" s="17" t="inlineStr">
        <is>
          <t>미확인</t>
        </is>
      </c>
      <c r="AO208" s="17" t="inlineStr">
        <is>
          <t>미확인</t>
        </is>
      </c>
      <c r="AP208" s="17" t="inlineStr">
        <is>
          <t>미확인</t>
        </is>
      </c>
      <c r="AQ208" s="17" t="inlineStr">
        <is>
          <t>담당자 파악 후 접촉</t>
        </is>
      </c>
      <c r="AR208" s="17" t="inlineStr">
        <is>
          <t>2026-07-05</t>
        </is>
      </c>
      <c r="AS208" s="17" t="inlineStr">
        <is>
          <t>C(부분확인)</t>
        </is>
      </c>
      <c r="AT208" s="17" t="n">
        <v>90</v>
      </c>
      <c r="AU208" s="17" t="inlineStr"/>
      <c r="AV208" s="17" t="inlineStr"/>
    </row>
    <row r="209">
      <c r="A209" s="27" t="inlineStr">
        <is>
          <t>Tier C</t>
        </is>
      </c>
      <c r="B209" s="17" t="n">
        <v>16</v>
      </c>
      <c r="C209" s="17" t="inlineStr">
        <is>
          <t>연세의료원</t>
        </is>
      </c>
      <c r="D209" s="17" t="inlineStr">
        <is>
          <t>제1공장</t>
        </is>
      </c>
      <c r="E209" s="17" t="inlineStr">
        <is>
          <t>서울특별시</t>
        </is>
      </c>
      <c r="F209" s="17" t="inlineStr">
        <is>
          <t>서대문구</t>
        </is>
      </c>
      <c r="G209" s="17" t="n">
        <v>1</v>
      </c>
      <c r="H209" s="20" t="inlineStr">
        <is>
          <t>Y</t>
        </is>
      </c>
      <c r="I209" s="17" t="inlineStr"/>
      <c r="J209" s="17" t="inlineStr">
        <is>
          <t>Y</t>
        </is>
      </c>
      <c r="K209" s="17" t="inlineStr"/>
      <c r="L209" s="22" t="inlineStr">
        <is>
          <t>미확인</t>
        </is>
      </c>
      <c r="M209" s="22" t="inlineStr">
        <is>
          <t>미확인</t>
        </is>
      </c>
      <c r="N209" s="22" t="inlineStr">
        <is>
          <t>미확인</t>
        </is>
      </c>
      <c r="O209" s="22" t="inlineStr">
        <is>
          <t>미확인</t>
        </is>
      </c>
      <c r="P209" s="17" t="inlineStr">
        <is>
          <t>QMS+LIMS</t>
        </is>
      </c>
      <c r="Q209" s="22" t="inlineStr">
        <is>
          <t>미확인</t>
        </is>
      </c>
      <c r="R209" s="22" t="inlineStr">
        <is>
          <t>미확인</t>
        </is>
      </c>
      <c r="S209" s="17" t="inlineStr">
        <is>
          <t>Tier D</t>
        </is>
      </c>
      <c r="T209" s="17" t="n">
        <v>15</v>
      </c>
      <c r="U209" s="17" t="inlineStr">
        <is>
          <t>C334</t>
        </is>
      </c>
      <c r="V209" s="17" t="inlineStr">
        <is>
          <t>연세의료원</t>
        </is>
      </c>
      <c r="W209" s="17" t="inlineStr"/>
      <c r="X209" s="17" t="inlineStr"/>
      <c r="Y209" s="23" t="inlineStr"/>
      <c r="Z209" s="17" t="inlineStr">
        <is>
          <t>금기창</t>
        </is>
      </c>
      <c r="AA209" s="17" t="inlineStr"/>
      <c r="AB209" s="17" t="inlineStr">
        <is>
          <t>미확인</t>
        </is>
      </c>
      <c r="AC209" s="17" t="inlineStr">
        <is>
          <t>미확인</t>
        </is>
      </c>
      <c r="AD209" s="17" t="inlineStr">
        <is>
          <t>Y</t>
        </is>
      </c>
      <c r="AE209" s="17" t="inlineStr">
        <is>
          <t>P403</t>
        </is>
      </c>
      <c r="AF209" s="17" t="inlineStr">
        <is>
          <t>서울특별시 서대문구 연세로 50-1 연세암병원 지하 5층</t>
        </is>
      </c>
      <c r="AG209" s="17" t="inlineStr">
        <is>
          <t>완제의약품</t>
        </is>
      </c>
      <c r="AH209" s="17" t="inlineStr">
        <is>
          <t>무균-일반제제(방사성의약품)-주사제(주사제)</t>
        </is>
      </c>
      <c r="AI209" s="17" t="n">
        <v>1</v>
      </c>
      <c r="AJ209" s="24" t="n">
        <v>46480</v>
      </c>
      <c r="AK209" s="17" t="inlineStr"/>
      <c r="AL209" s="17" t="inlineStr">
        <is>
          <t>Y</t>
        </is>
      </c>
      <c r="AM209" s="17" t="inlineStr">
        <is>
          <t>무균/바이오 제조로 품질관리 난도 높음</t>
        </is>
      </c>
      <c r="AN209" s="17" t="inlineStr">
        <is>
          <t>미확인</t>
        </is>
      </c>
      <c r="AO209" s="17" t="inlineStr">
        <is>
          <t>미확인</t>
        </is>
      </c>
      <c r="AP209" s="17" t="inlineStr">
        <is>
          <t>미확인</t>
        </is>
      </c>
      <c r="AQ209" s="17" t="inlineStr">
        <is>
          <t>담당자 파악 후 접촉</t>
        </is>
      </c>
      <c r="AR209" s="17" t="inlineStr">
        <is>
          <t>2026-07-05</t>
        </is>
      </c>
      <c r="AS209" s="17" t="inlineStr">
        <is>
          <t>C(부분확인)</t>
        </is>
      </c>
      <c r="AT209" s="17" t="n">
        <v>90</v>
      </c>
      <c r="AU209" s="17" t="inlineStr"/>
      <c r="AV209" s="17" t="inlineStr"/>
    </row>
    <row r="210">
      <c r="A210" s="27" t="inlineStr">
        <is>
          <t>Tier C</t>
        </is>
      </c>
      <c r="B210" s="17" t="n">
        <v>16</v>
      </c>
      <c r="C210" s="17" t="inlineStr">
        <is>
          <t>태경케미컬(주)</t>
        </is>
      </c>
      <c r="D210" s="17" t="inlineStr">
        <is>
          <t>1공장</t>
        </is>
      </c>
      <c r="E210" s="17" t="inlineStr">
        <is>
          <t>충청남도</t>
        </is>
      </c>
      <c r="F210" s="17" t="inlineStr">
        <is>
          <t>서산시</t>
        </is>
      </c>
      <c r="G210" s="17" t="n">
        <v>1</v>
      </c>
      <c r="H210" s="17" t="inlineStr"/>
      <c r="I210" s="17" t="inlineStr"/>
      <c r="J210" s="17" t="inlineStr">
        <is>
          <t>Y</t>
        </is>
      </c>
      <c r="K210" s="17" t="inlineStr"/>
      <c r="L210" s="22" t="inlineStr">
        <is>
          <t>미확인</t>
        </is>
      </c>
      <c r="M210" s="22" t="inlineStr">
        <is>
          <t>미확인</t>
        </is>
      </c>
      <c r="N210" s="22" t="inlineStr">
        <is>
          <t>미확인</t>
        </is>
      </c>
      <c r="O210" s="22" t="inlineStr">
        <is>
          <t>미확인</t>
        </is>
      </c>
      <c r="P210" s="17" t="inlineStr">
        <is>
          <t>QMS</t>
        </is>
      </c>
      <c r="Q210" s="22" t="inlineStr">
        <is>
          <t>미확인</t>
        </is>
      </c>
      <c r="R210" s="22" t="inlineStr">
        <is>
          <t>미확인</t>
        </is>
      </c>
      <c r="S210" s="17" t="inlineStr">
        <is>
          <t>Tier D</t>
        </is>
      </c>
      <c r="T210" s="17" t="n">
        <v>10</v>
      </c>
      <c r="U210" s="17" t="inlineStr">
        <is>
          <t>C346</t>
        </is>
      </c>
      <c r="V210" s="17" t="inlineStr">
        <is>
          <t>태경케미컬</t>
        </is>
      </c>
      <c r="W210" s="17" t="inlineStr">
        <is>
          <t>Y</t>
        </is>
      </c>
      <c r="X210" s="17" t="inlineStr">
        <is>
          <t>유가</t>
        </is>
      </c>
      <c r="Y210" s="23" t="inlineStr">
        <is>
          <t>006890</t>
        </is>
      </c>
      <c r="Z210" s="17" t="inlineStr">
        <is>
          <t>박기환</t>
        </is>
      </c>
      <c r="AA210" s="17" t="inlineStr">
        <is>
          <t>http://www.taekyungchem.co.kr</t>
        </is>
      </c>
      <c r="AB210" s="17" t="inlineStr">
        <is>
          <t>041-681-3191</t>
        </is>
      </c>
      <c r="AC210" s="17" t="inlineStr">
        <is>
          <t>미확인</t>
        </is>
      </c>
      <c r="AD210" s="17" t="inlineStr">
        <is>
          <t>Y</t>
        </is>
      </c>
      <c r="AE210" s="17" t="inlineStr">
        <is>
          <t>P418</t>
        </is>
      </c>
      <c r="AF210" s="17" t="inlineStr">
        <is>
          <t>충청남도 서산시 대산읍 독곶2로 96-43</t>
        </is>
      </c>
      <c r="AG210" s="17" t="inlineStr">
        <is>
          <t>완제의약품</t>
        </is>
      </c>
      <c r="AH210" s="17" t="inlineStr">
        <is>
          <t>비무균-일반제제(의료용 고압가스)-가스제(의료용 고압가스)</t>
        </is>
      </c>
      <c r="AI210" s="17" t="n">
        <v>1</v>
      </c>
      <c r="AJ210" s="24" t="n">
        <v>46458</v>
      </c>
      <c r="AK210" s="17" t="inlineStr"/>
      <c r="AL210" s="17" t="inlineStr">
        <is>
          <t>Y</t>
        </is>
      </c>
      <c r="AM210" s="17" t="inlineStr">
        <is>
          <t>기본 GMP 문서관리 대상</t>
        </is>
      </c>
      <c r="AN210" s="17" t="inlineStr">
        <is>
          <t>미확인</t>
        </is>
      </c>
      <c r="AO210" s="17" t="inlineStr">
        <is>
          <t>미확인</t>
        </is>
      </c>
      <c r="AP210" s="17" t="inlineStr">
        <is>
          <t>미확인</t>
        </is>
      </c>
      <c r="AQ210" s="17" t="inlineStr">
        <is>
          <t>담당자 파악 후 접촉</t>
        </is>
      </c>
      <c r="AR210" s="17" t="inlineStr">
        <is>
          <t>2026-07-05</t>
        </is>
      </c>
      <c r="AS210" s="17" t="inlineStr">
        <is>
          <t>C(부분확인)</t>
        </is>
      </c>
      <c r="AT210" s="17" t="n">
        <v>90</v>
      </c>
      <c r="AU210" s="17" t="inlineStr"/>
      <c r="AV210" s="17" t="inlineStr"/>
    </row>
    <row r="211">
      <c r="A211" s="27" t="inlineStr">
        <is>
          <t>Tier C</t>
        </is>
      </c>
      <c r="B211" s="17" t="n">
        <v>15</v>
      </c>
      <c r="C211" s="17" t="inlineStr">
        <is>
          <t>단일시스켐(주)</t>
        </is>
      </c>
      <c r="D211" s="17" t="inlineStr">
        <is>
          <t>김포 분공장</t>
        </is>
      </c>
      <c r="E211" s="17" t="inlineStr">
        <is>
          <t>경기도</t>
        </is>
      </c>
      <c r="F211" s="17" t="inlineStr">
        <is>
          <t>김포시</t>
        </is>
      </c>
      <c r="G211" s="17" t="n">
        <v>3</v>
      </c>
      <c r="H211" s="17" t="inlineStr"/>
      <c r="I211" s="17" t="inlineStr"/>
      <c r="J211" s="17" t="inlineStr">
        <is>
          <t>Y</t>
        </is>
      </c>
      <c r="K211" s="17" t="inlineStr"/>
      <c r="L211" s="22" t="inlineStr">
        <is>
          <t>미확인</t>
        </is>
      </c>
      <c r="M211" s="22" t="inlineStr">
        <is>
          <t>미확인</t>
        </is>
      </c>
      <c r="N211" s="22" t="inlineStr">
        <is>
          <t>미확인</t>
        </is>
      </c>
      <c r="O211" s="22" t="inlineStr">
        <is>
          <t>미확인</t>
        </is>
      </c>
      <c r="P211" s="17" t="inlineStr">
        <is>
          <t>통합형</t>
        </is>
      </c>
      <c r="Q211" s="22" t="inlineStr">
        <is>
          <t>미확인</t>
        </is>
      </c>
      <c r="R211" s="22" t="inlineStr">
        <is>
          <t>미확인</t>
        </is>
      </c>
      <c r="S211" s="17" t="inlineStr">
        <is>
          <t>Tier D</t>
        </is>
      </c>
      <c r="T211" s="17" t="n">
        <v>12</v>
      </c>
      <c r="U211" s="17" t="inlineStr">
        <is>
          <t>C063</t>
        </is>
      </c>
      <c r="V211" s="17" t="inlineStr">
        <is>
          <t>단일시스켐</t>
        </is>
      </c>
      <c r="W211" s="17" t="inlineStr"/>
      <c r="X211" s="17" t="inlineStr"/>
      <c r="Y211" s="23" t="inlineStr"/>
      <c r="Z211" s="17" t="inlineStr">
        <is>
          <t>장세훈</t>
        </is>
      </c>
      <c r="AA211" s="17" t="inlineStr"/>
      <c r="AB211" s="17" t="inlineStr">
        <is>
          <t>031-981-5544</t>
        </is>
      </c>
      <c r="AC211" s="17" t="inlineStr">
        <is>
          <t>미확인</t>
        </is>
      </c>
      <c r="AD211" s="17" t="inlineStr">
        <is>
          <t>Y</t>
        </is>
      </c>
      <c r="AE211" s="17" t="inlineStr">
        <is>
          <t>P065</t>
        </is>
      </c>
      <c r="AF211" s="17" t="inlineStr">
        <is>
          <t>경기도 김포시 양촌읍 황금로24번길 76</t>
        </is>
      </c>
      <c r="AG211" s="17" t="inlineStr">
        <is>
          <t>완제의약품</t>
        </is>
      </c>
      <c r="AH211" s="17" t="inlineStr">
        <is>
          <t>비무균-일반제제(의료용 고압가스)-가스제(의료용 고압가스)</t>
        </is>
      </c>
      <c r="AI211" s="17" t="n">
        <v>1</v>
      </c>
      <c r="AJ211" s="24" t="n">
        <v>47176</v>
      </c>
      <c r="AK211" s="17" t="inlineStr"/>
      <c r="AL211" s="17" t="inlineStr"/>
      <c r="AM211" s="17" t="inlineStr">
        <is>
          <t>다중 제조소/다수 판정서로 문서관리 복잡; 다중 제조소로 교육관리 대상 광범위</t>
        </is>
      </c>
      <c r="AN211" s="17" t="inlineStr">
        <is>
          <t>미확인</t>
        </is>
      </c>
      <c r="AO211" s="17" t="inlineStr">
        <is>
          <t>미확인</t>
        </is>
      </c>
      <c r="AP211" s="17" t="inlineStr">
        <is>
          <t>미확인</t>
        </is>
      </c>
      <c r="AQ211" s="17" t="inlineStr">
        <is>
          <t>담당자 파악 후 접촉</t>
        </is>
      </c>
      <c r="AR211" s="17" t="inlineStr">
        <is>
          <t>2026-07-05</t>
        </is>
      </c>
      <c r="AS211" s="17" t="inlineStr">
        <is>
          <t>C(부분확인)</t>
        </is>
      </c>
      <c r="AT211" s="17" t="n">
        <v>90</v>
      </c>
      <c r="AU211" s="17" t="inlineStr"/>
      <c r="AV211" s="17" t="inlineStr"/>
    </row>
    <row r="212">
      <c r="A212" s="27" t="inlineStr">
        <is>
          <t>Tier C</t>
        </is>
      </c>
      <c r="B212" s="17" t="n">
        <v>15</v>
      </c>
      <c r="C212" s="17" t="inlineStr">
        <is>
          <t>단일시스켐(주)</t>
        </is>
      </c>
      <c r="D212" s="17" t="inlineStr">
        <is>
          <t>화성공장</t>
        </is>
      </c>
      <c r="E212" s="17" t="inlineStr">
        <is>
          <t>경기도</t>
        </is>
      </c>
      <c r="F212" s="17" t="inlineStr">
        <is>
          <t>화성시</t>
        </is>
      </c>
      <c r="G212" s="17" t="n">
        <v>3</v>
      </c>
      <c r="H212" s="17" t="inlineStr"/>
      <c r="I212" s="17" t="inlineStr"/>
      <c r="J212" s="17" t="inlineStr">
        <is>
          <t>Y</t>
        </is>
      </c>
      <c r="K212" s="17" t="inlineStr"/>
      <c r="L212" s="22" t="inlineStr">
        <is>
          <t>미확인</t>
        </is>
      </c>
      <c r="M212" s="22" t="inlineStr">
        <is>
          <t>미확인</t>
        </is>
      </c>
      <c r="N212" s="22" t="inlineStr">
        <is>
          <t>미확인</t>
        </is>
      </c>
      <c r="O212" s="22" t="inlineStr">
        <is>
          <t>미확인</t>
        </is>
      </c>
      <c r="P212" s="17" t="inlineStr">
        <is>
          <t>통합형</t>
        </is>
      </c>
      <c r="Q212" s="22" t="inlineStr">
        <is>
          <t>미확인</t>
        </is>
      </c>
      <c r="R212" s="22" t="inlineStr">
        <is>
          <t>미확인</t>
        </is>
      </c>
      <c r="S212" s="17" t="inlineStr">
        <is>
          <t>Tier D</t>
        </is>
      </c>
      <c r="T212" s="17" t="n">
        <v>12</v>
      </c>
      <c r="U212" s="17" t="inlineStr">
        <is>
          <t>C063</t>
        </is>
      </c>
      <c r="V212" s="17" t="inlineStr">
        <is>
          <t>단일시스켐</t>
        </is>
      </c>
      <c r="W212" s="17" t="inlineStr"/>
      <c r="X212" s="17" t="inlineStr"/>
      <c r="Y212" s="23" t="inlineStr"/>
      <c r="Z212" s="17" t="inlineStr">
        <is>
          <t>장세훈</t>
        </is>
      </c>
      <c r="AA212" s="17" t="inlineStr"/>
      <c r="AB212" s="17" t="inlineStr">
        <is>
          <t>031-981-5544</t>
        </is>
      </c>
      <c r="AC212" s="17" t="inlineStr">
        <is>
          <t>미확인</t>
        </is>
      </c>
      <c r="AD212" s="17" t="inlineStr">
        <is>
          <t>Y</t>
        </is>
      </c>
      <c r="AE212" s="17" t="inlineStr">
        <is>
          <t>P169</t>
        </is>
      </c>
      <c r="AF212" s="17" t="inlineStr">
        <is>
          <t>경기도 화성시 정남면 만년로98번길 24</t>
        </is>
      </c>
      <c r="AG212" s="17" t="inlineStr">
        <is>
          <t>완제의약품</t>
        </is>
      </c>
      <c r="AH212" s="17" t="inlineStr">
        <is>
          <t>비무균-일반제제(의료용 고압가스)-가스제(의료용 고압가스)</t>
        </is>
      </c>
      <c r="AI212" s="17" t="n">
        <v>1</v>
      </c>
      <c r="AJ212" s="24" t="n">
        <v>46953</v>
      </c>
      <c r="AK212" s="17" t="inlineStr"/>
      <c r="AL212" s="17" t="inlineStr"/>
      <c r="AM212" s="17" t="inlineStr">
        <is>
          <t>다중 제조소/다수 판정서로 문서관리 복잡; 다중 제조소로 교육관리 대상 광범위</t>
        </is>
      </c>
      <c r="AN212" s="17" t="inlineStr">
        <is>
          <t>미확인</t>
        </is>
      </c>
      <c r="AO212" s="17" t="inlineStr">
        <is>
          <t>미확인</t>
        </is>
      </c>
      <c r="AP212" s="17" t="inlineStr">
        <is>
          <t>미확인</t>
        </is>
      </c>
      <c r="AQ212" s="17" t="inlineStr">
        <is>
          <t>담당자 파악 후 접촉</t>
        </is>
      </c>
      <c r="AR212" s="17" t="inlineStr">
        <is>
          <t>2026-07-05</t>
        </is>
      </c>
      <c r="AS212" s="17" t="inlineStr">
        <is>
          <t>C(부분확인)</t>
        </is>
      </c>
      <c r="AT212" s="17" t="n">
        <v>90</v>
      </c>
      <c r="AU212" s="17" t="inlineStr"/>
      <c r="AV212" s="17" t="inlineStr"/>
    </row>
    <row r="213">
      <c r="A213" s="27" t="inlineStr">
        <is>
          <t>Tier C</t>
        </is>
      </c>
      <c r="B213" s="17" t="n">
        <v>15</v>
      </c>
      <c r="C213" s="17" t="inlineStr">
        <is>
          <t>단일시스켐(주)</t>
        </is>
      </c>
      <c r="D213" s="17" t="inlineStr">
        <is>
          <t>음성</t>
        </is>
      </c>
      <c r="E213" s="17" t="inlineStr">
        <is>
          <t>충청북도</t>
        </is>
      </c>
      <c r="F213" s="17" t="inlineStr">
        <is>
          <t>음성군</t>
        </is>
      </c>
      <c r="G213" s="17" t="n">
        <v>3</v>
      </c>
      <c r="H213" s="17" t="inlineStr"/>
      <c r="I213" s="17" t="inlineStr"/>
      <c r="J213" s="17" t="inlineStr">
        <is>
          <t>Y</t>
        </is>
      </c>
      <c r="K213" s="17" t="inlineStr"/>
      <c r="L213" s="22" t="inlineStr">
        <is>
          <t>미확인</t>
        </is>
      </c>
      <c r="M213" s="22" t="inlineStr">
        <is>
          <t>미확인</t>
        </is>
      </c>
      <c r="N213" s="22" t="inlineStr">
        <is>
          <t>미확인</t>
        </is>
      </c>
      <c r="O213" s="22" t="inlineStr">
        <is>
          <t>미확인</t>
        </is>
      </c>
      <c r="P213" s="17" t="inlineStr">
        <is>
          <t>통합형</t>
        </is>
      </c>
      <c r="Q213" s="22" t="inlineStr">
        <is>
          <t>미확인</t>
        </is>
      </c>
      <c r="R213" s="22" t="inlineStr">
        <is>
          <t>미확인</t>
        </is>
      </c>
      <c r="S213" s="17" t="inlineStr">
        <is>
          <t>Tier D</t>
        </is>
      </c>
      <c r="T213" s="17" t="n">
        <v>12</v>
      </c>
      <c r="U213" s="17" t="inlineStr">
        <is>
          <t>C063</t>
        </is>
      </c>
      <c r="V213" s="17" t="inlineStr">
        <is>
          <t>단일시스켐</t>
        </is>
      </c>
      <c r="W213" s="17" t="inlineStr"/>
      <c r="X213" s="17" t="inlineStr"/>
      <c r="Y213" s="23" t="inlineStr"/>
      <c r="Z213" s="17" t="inlineStr">
        <is>
          <t>장세훈</t>
        </is>
      </c>
      <c r="AA213" s="17" t="inlineStr"/>
      <c r="AB213" s="17" t="inlineStr">
        <is>
          <t>031-981-5544</t>
        </is>
      </c>
      <c r="AC213" s="17" t="inlineStr">
        <is>
          <t>미확인</t>
        </is>
      </c>
      <c r="AD213" s="17" t="inlineStr">
        <is>
          <t>Y</t>
        </is>
      </c>
      <c r="AE213" s="17" t="inlineStr">
        <is>
          <t>P238</t>
        </is>
      </c>
      <c r="AF213" s="17" t="inlineStr">
        <is>
          <t>충청북도 음성군 음성읍 한불로69번길 12-7</t>
        </is>
      </c>
      <c r="AG213" s="17" t="inlineStr">
        <is>
          <t>완제의약품</t>
        </is>
      </c>
      <c r="AH213" s="17" t="inlineStr">
        <is>
          <t>비무균-일반제제-가스제(의료용 고압가스)</t>
        </is>
      </c>
      <c r="AI213" s="17" t="n">
        <v>1</v>
      </c>
      <c r="AJ213" s="24" t="n">
        <v>46871</v>
      </c>
      <c r="AK213" s="17" t="inlineStr"/>
      <c r="AL213" s="17" t="inlineStr"/>
      <c r="AM213" s="17" t="inlineStr">
        <is>
          <t>다중 제조소/다수 판정서로 문서관리 복잡; 다중 제조소로 교육관리 대상 광범위</t>
        </is>
      </c>
      <c r="AN213" s="17" t="inlineStr">
        <is>
          <t>미확인</t>
        </is>
      </c>
      <c r="AO213" s="17" t="inlineStr">
        <is>
          <t>미확인</t>
        </is>
      </c>
      <c r="AP213" s="17" t="inlineStr">
        <is>
          <t>미확인</t>
        </is>
      </c>
      <c r="AQ213" s="17" t="inlineStr">
        <is>
          <t>담당자 파악 후 접촉</t>
        </is>
      </c>
      <c r="AR213" s="17" t="inlineStr">
        <is>
          <t>2026-07-05</t>
        </is>
      </c>
      <c r="AS213" s="17" t="inlineStr">
        <is>
          <t>C(부분확인)</t>
        </is>
      </c>
      <c r="AT213" s="17" t="n">
        <v>90</v>
      </c>
      <c r="AU213" s="17" t="inlineStr"/>
      <c r="AV213" s="17" t="inlineStr"/>
    </row>
    <row r="214">
      <c r="A214" s="27" t="inlineStr">
        <is>
          <t>Tier C</t>
        </is>
      </c>
      <c r="B214" s="17" t="n">
        <v>15</v>
      </c>
      <c r="C214" s="17" t="inlineStr">
        <is>
          <t>대덕가스(주)</t>
        </is>
      </c>
      <c r="D214" s="17" t="inlineStr">
        <is>
          <t>미확인</t>
        </is>
      </c>
      <c r="E214" s="17" t="inlineStr">
        <is>
          <t>충청남도</t>
        </is>
      </c>
      <c r="F214" s="17" t="inlineStr">
        <is>
          <t>서산시</t>
        </is>
      </c>
      <c r="G214" s="17" t="n">
        <v>3</v>
      </c>
      <c r="H214" s="17" t="inlineStr"/>
      <c r="I214" s="17" t="inlineStr"/>
      <c r="J214" s="17" t="inlineStr">
        <is>
          <t>Y</t>
        </is>
      </c>
      <c r="K214" s="17" t="inlineStr"/>
      <c r="L214" s="22" t="inlineStr">
        <is>
          <t>미확인</t>
        </is>
      </c>
      <c r="M214" s="22" t="inlineStr">
        <is>
          <t>미확인</t>
        </is>
      </c>
      <c r="N214" s="22" t="inlineStr">
        <is>
          <t>미확인</t>
        </is>
      </c>
      <c r="O214" s="22" t="inlineStr">
        <is>
          <t>미확인</t>
        </is>
      </c>
      <c r="P214" s="17" t="inlineStr">
        <is>
          <t>통합형</t>
        </is>
      </c>
      <c r="Q214" s="22" t="inlineStr">
        <is>
          <t>미확인</t>
        </is>
      </c>
      <c r="R214" s="22" t="inlineStr">
        <is>
          <t>미확인</t>
        </is>
      </c>
      <c r="S214" s="17" t="inlineStr">
        <is>
          <t>Tier D</t>
        </is>
      </c>
      <c r="T214" s="17" t="n">
        <v>12</v>
      </c>
      <c r="U214" s="17" t="inlineStr">
        <is>
          <t>C085</t>
        </is>
      </c>
      <c r="V214" s="17" t="inlineStr">
        <is>
          <t>대덕가스</t>
        </is>
      </c>
      <c r="W214" s="17" t="inlineStr"/>
      <c r="X214" s="17" t="inlineStr"/>
      <c r="Y214" s="23" t="inlineStr"/>
      <c r="Z214" s="17" t="inlineStr">
        <is>
          <t>이남규</t>
        </is>
      </c>
      <c r="AA214" s="17" t="inlineStr"/>
      <c r="AB214" s="17" t="inlineStr">
        <is>
          <t>미확인</t>
        </is>
      </c>
      <c r="AC214" s="17" t="inlineStr">
        <is>
          <t>미확인</t>
        </is>
      </c>
      <c r="AD214" s="17" t="inlineStr">
        <is>
          <t>Y</t>
        </is>
      </c>
      <c r="AE214" s="17" t="inlineStr">
        <is>
          <t>P087</t>
        </is>
      </c>
      <c r="AF214" s="17" t="inlineStr">
        <is>
          <t>충청남도 서산시 고북면 고북1로 343-12</t>
        </is>
      </c>
      <c r="AG214" s="17" t="inlineStr">
        <is>
          <t>완제의약품</t>
        </is>
      </c>
      <c r="AH214" s="17" t="inlineStr">
        <is>
          <t>비무균-일반제제(의료용 고압가스)-가스제(의료용 고압가스)</t>
        </is>
      </c>
      <c r="AI214" s="17" t="n">
        <v>1</v>
      </c>
      <c r="AJ214" s="24" t="n">
        <v>47137</v>
      </c>
      <c r="AK214" s="17" t="inlineStr"/>
      <c r="AL214" s="17" t="inlineStr"/>
      <c r="AM214" s="17" t="inlineStr">
        <is>
          <t>다중 제조소/다수 판정서로 문서관리 복잡; 다중 제조소로 교육관리 대상 광범위</t>
        </is>
      </c>
      <c r="AN214" s="17" t="inlineStr">
        <is>
          <t>미확인</t>
        </is>
      </c>
      <c r="AO214" s="17" t="inlineStr">
        <is>
          <t>미확인</t>
        </is>
      </c>
      <c r="AP214" s="17" t="inlineStr">
        <is>
          <t>미확인</t>
        </is>
      </c>
      <c r="AQ214" s="17" t="inlineStr">
        <is>
          <t>담당자 파악 후 접촉</t>
        </is>
      </c>
      <c r="AR214" s="17" t="inlineStr">
        <is>
          <t>2026-07-05</t>
        </is>
      </c>
      <c r="AS214" s="17" t="inlineStr">
        <is>
          <t>C(부분확인)</t>
        </is>
      </c>
      <c r="AT214" s="17" t="n">
        <v>0</v>
      </c>
      <c r="AU214" s="17" t="inlineStr">
        <is>
          <t>Y</t>
        </is>
      </c>
      <c r="AV214" s="17" t="inlineStr"/>
    </row>
    <row r="215">
      <c r="A215" s="27" t="inlineStr">
        <is>
          <t>Tier C</t>
        </is>
      </c>
      <c r="B215" s="17" t="n">
        <v>15</v>
      </c>
      <c r="C215" s="17" t="inlineStr">
        <is>
          <t>대덕가스(주)</t>
        </is>
      </c>
      <c r="D215" s="17" t="inlineStr">
        <is>
          <t>미확인</t>
        </is>
      </c>
      <c r="E215" s="17" t="inlineStr">
        <is>
          <t>충청남도</t>
        </is>
      </c>
      <c r="F215" s="17" t="inlineStr">
        <is>
          <t>천안시</t>
        </is>
      </c>
      <c r="G215" s="17" t="n">
        <v>3</v>
      </c>
      <c r="H215" s="17" t="inlineStr"/>
      <c r="I215" s="17" t="inlineStr"/>
      <c r="J215" s="17" t="inlineStr">
        <is>
          <t>Y</t>
        </is>
      </c>
      <c r="K215" s="17" t="inlineStr"/>
      <c r="L215" s="22" t="inlineStr">
        <is>
          <t>미확인</t>
        </is>
      </c>
      <c r="M215" s="22" t="inlineStr">
        <is>
          <t>미확인</t>
        </is>
      </c>
      <c r="N215" s="22" t="inlineStr">
        <is>
          <t>미확인</t>
        </is>
      </c>
      <c r="O215" s="22" t="inlineStr">
        <is>
          <t>미확인</t>
        </is>
      </c>
      <c r="P215" s="17" t="inlineStr">
        <is>
          <t>통합형</t>
        </is>
      </c>
      <c r="Q215" s="22" t="inlineStr">
        <is>
          <t>미확인</t>
        </is>
      </c>
      <c r="R215" s="22" t="inlineStr">
        <is>
          <t>미확인</t>
        </is>
      </c>
      <c r="S215" s="17" t="inlineStr">
        <is>
          <t>Tier D</t>
        </is>
      </c>
      <c r="T215" s="17" t="n">
        <v>12</v>
      </c>
      <c r="U215" s="17" t="inlineStr">
        <is>
          <t>C085</t>
        </is>
      </c>
      <c r="V215" s="17" t="inlineStr">
        <is>
          <t>대덕가스</t>
        </is>
      </c>
      <c r="W215" s="17" t="inlineStr"/>
      <c r="X215" s="17" t="inlineStr"/>
      <c r="Y215" s="23" t="inlineStr"/>
      <c r="Z215" s="17" t="inlineStr">
        <is>
          <t>이남규</t>
        </is>
      </c>
      <c r="AA215" s="17" t="inlineStr"/>
      <c r="AB215" s="17" t="inlineStr">
        <is>
          <t>미확인</t>
        </is>
      </c>
      <c r="AC215" s="17" t="inlineStr">
        <is>
          <t>미확인</t>
        </is>
      </c>
      <c r="AD215" s="17" t="inlineStr">
        <is>
          <t>Y</t>
        </is>
      </c>
      <c r="AE215" s="17" t="inlineStr">
        <is>
          <t>P235</t>
        </is>
      </c>
      <c r="AF215" s="17" t="inlineStr">
        <is>
          <t>충청남도 천안시 서북구 직산읍 직산로 186</t>
        </is>
      </c>
      <c r="AG215" s="17" t="inlineStr">
        <is>
          <t>완제의약품</t>
        </is>
      </c>
      <c r="AH215" s="17" t="inlineStr">
        <is>
          <t>비무균-일반제제(의료용 고압가스)-가스제(의료용 고압가스)</t>
        </is>
      </c>
      <c r="AI215" s="17" t="n">
        <v>1</v>
      </c>
      <c r="AJ215" s="24" t="n">
        <v>46875</v>
      </c>
      <c r="AK215" s="17" t="inlineStr"/>
      <c r="AL215" s="17" t="inlineStr"/>
      <c r="AM215" s="17" t="inlineStr">
        <is>
          <t>다중 제조소/다수 판정서로 문서관리 복잡; 다중 제조소로 교육관리 대상 광범위</t>
        </is>
      </c>
      <c r="AN215" s="17" t="inlineStr">
        <is>
          <t>미확인</t>
        </is>
      </c>
      <c r="AO215" s="17" t="inlineStr">
        <is>
          <t>미확인</t>
        </is>
      </c>
      <c r="AP215" s="17" t="inlineStr">
        <is>
          <t>미확인</t>
        </is>
      </c>
      <c r="AQ215" s="17" t="inlineStr">
        <is>
          <t>담당자 파악 후 접촉</t>
        </is>
      </c>
      <c r="AR215" s="17" t="inlineStr">
        <is>
          <t>2026-07-05</t>
        </is>
      </c>
      <c r="AS215" s="17" t="inlineStr">
        <is>
          <t>C(부분확인)</t>
        </is>
      </c>
      <c r="AT215" s="17" t="n">
        <v>0</v>
      </c>
      <c r="AU215" s="17" t="inlineStr">
        <is>
          <t>Y</t>
        </is>
      </c>
      <c r="AV215" s="17" t="inlineStr"/>
    </row>
    <row r="216">
      <c r="A216" s="27" t="inlineStr">
        <is>
          <t>Tier C</t>
        </is>
      </c>
      <c r="B216" s="17" t="n">
        <v>15</v>
      </c>
      <c r="C216" s="17" t="inlineStr">
        <is>
          <t>대덕가스(주)</t>
        </is>
      </c>
      <c r="D216" s="17" t="inlineStr">
        <is>
          <t>미확인</t>
        </is>
      </c>
      <c r="E216" s="17" t="inlineStr">
        <is>
          <t>인천광역시</t>
        </is>
      </c>
      <c r="F216" s="17" t="inlineStr">
        <is>
          <t>남동구</t>
        </is>
      </c>
      <c r="G216" s="17" t="n">
        <v>3</v>
      </c>
      <c r="H216" s="17" t="inlineStr"/>
      <c r="I216" s="17" t="inlineStr"/>
      <c r="J216" s="17" t="inlineStr">
        <is>
          <t>Y</t>
        </is>
      </c>
      <c r="K216" s="17" t="inlineStr"/>
      <c r="L216" s="22" t="inlineStr">
        <is>
          <t>미확인</t>
        </is>
      </c>
      <c r="M216" s="22" t="inlineStr">
        <is>
          <t>미확인</t>
        </is>
      </c>
      <c r="N216" s="22" t="inlineStr">
        <is>
          <t>미확인</t>
        </is>
      </c>
      <c r="O216" s="22" t="inlineStr">
        <is>
          <t>미확인</t>
        </is>
      </c>
      <c r="P216" s="17" t="inlineStr">
        <is>
          <t>통합형</t>
        </is>
      </c>
      <c r="Q216" s="22" t="inlineStr">
        <is>
          <t>미확인</t>
        </is>
      </c>
      <c r="R216" s="22" t="inlineStr">
        <is>
          <t>미확인</t>
        </is>
      </c>
      <c r="S216" s="17" t="inlineStr">
        <is>
          <t>Tier D</t>
        </is>
      </c>
      <c r="T216" s="17" t="n">
        <v>12</v>
      </c>
      <c r="U216" s="17" t="inlineStr">
        <is>
          <t>C085</t>
        </is>
      </c>
      <c r="V216" s="17" t="inlineStr">
        <is>
          <t>대덕가스</t>
        </is>
      </c>
      <c r="W216" s="17" t="inlineStr"/>
      <c r="X216" s="17" t="inlineStr"/>
      <c r="Y216" s="23" t="inlineStr"/>
      <c r="Z216" s="17" t="inlineStr">
        <is>
          <t>이남규</t>
        </is>
      </c>
      <c r="AA216" s="17" t="inlineStr"/>
      <c r="AB216" s="17" t="inlineStr">
        <is>
          <t>미확인</t>
        </is>
      </c>
      <c r="AC216" s="17" t="inlineStr">
        <is>
          <t>미확인</t>
        </is>
      </c>
      <c r="AD216" s="17" t="inlineStr">
        <is>
          <t>Y</t>
        </is>
      </c>
      <c r="AE216" s="17" t="inlineStr">
        <is>
          <t>P347</t>
        </is>
      </c>
      <c r="AF216" s="17" t="inlineStr">
        <is>
          <t>인천광역시 남동구 남촌동 622-2 12블럭 3로트</t>
        </is>
      </c>
      <c r="AG216" s="17" t="inlineStr">
        <is>
          <t>완제의약품</t>
        </is>
      </c>
      <c r="AH216" s="17" t="inlineStr">
        <is>
          <t>비무균-일반제제(의료용 고압가스)-가스제(의료용 고압가스)</t>
        </is>
      </c>
      <c r="AI216" s="17" t="n">
        <v>1</v>
      </c>
      <c r="AJ216" s="24" t="n">
        <v>46596</v>
      </c>
      <c r="AK216" s="17" t="inlineStr"/>
      <c r="AL216" s="17" t="inlineStr"/>
      <c r="AM216" s="17" t="inlineStr">
        <is>
          <t>다중 제조소/다수 판정서로 문서관리 복잡; 다중 제조소로 교육관리 대상 광범위</t>
        </is>
      </c>
      <c r="AN216" s="17" t="inlineStr">
        <is>
          <t>미확인</t>
        </is>
      </c>
      <c r="AO216" s="17" t="inlineStr">
        <is>
          <t>미확인</t>
        </is>
      </c>
      <c r="AP216" s="17" t="inlineStr">
        <is>
          <t>미확인</t>
        </is>
      </c>
      <c r="AQ216" s="17" t="inlineStr">
        <is>
          <t>담당자 파악 후 접촉</t>
        </is>
      </c>
      <c r="AR216" s="17" t="inlineStr">
        <is>
          <t>2026-07-05</t>
        </is>
      </c>
      <c r="AS216" s="17" t="inlineStr">
        <is>
          <t>C(부분확인)</t>
        </is>
      </c>
      <c r="AT216" s="17" t="n">
        <v>0</v>
      </c>
      <c r="AU216" s="17" t="inlineStr">
        <is>
          <t>Y</t>
        </is>
      </c>
      <c r="AV216" s="17" t="inlineStr"/>
    </row>
    <row r="217">
      <c r="A217" s="27" t="inlineStr">
        <is>
          <t>Tier C</t>
        </is>
      </c>
      <c r="B217" s="17" t="n">
        <v>15</v>
      </c>
      <c r="C217" s="17" t="inlineStr">
        <is>
          <t>동아제약(주)</t>
        </is>
      </c>
      <c r="D217" s="17" t="inlineStr">
        <is>
          <t>당진</t>
        </is>
      </c>
      <c r="E217" s="17" t="inlineStr">
        <is>
          <t>충청남도</t>
        </is>
      </c>
      <c r="F217" s="17" t="inlineStr">
        <is>
          <t>당진시</t>
        </is>
      </c>
      <c r="G217" s="17" t="n">
        <v>3</v>
      </c>
      <c r="H217" s="17" t="inlineStr"/>
      <c r="I217" s="17" t="inlineStr"/>
      <c r="J217" s="17" t="inlineStr">
        <is>
          <t>Y</t>
        </is>
      </c>
      <c r="K217" s="17" t="inlineStr"/>
      <c r="L217" s="22" t="inlineStr">
        <is>
          <t>미확인</t>
        </is>
      </c>
      <c r="M217" s="22" t="inlineStr">
        <is>
          <t>미확인</t>
        </is>
      </c>
      <c r="N217" s="22" t="inlineStr">
        <is>
          <t>미확인</t>
        </is>
      </c>
      <c r="O217" s="22" t="inlineStr">
        <is>
          <t>미확인</t>
        </is>
      </c>
      <c r="P217" s="17" t="inlineStr">
        <is>
          <t>통합형</t>
        </is>
      </c>
      <c r="Q217" s="22" t="inlineStr">
        <is>
          <t>미확인</t>
        </is>
      </c>
      <c r="R217" s="22" t="inlineStr">
        <is>
          <t>미확인</t>
        </is>
      </c>
      <c r="S217" s="17" t="inlineStr">
        <is>
          <t>Tier D</t>
        </is>
      </c>
      <c r="T217" s="17" t="n">
        <v>12</v>
      </c>
      <c r="U217" s="17" t="inlineStr">
        <is>
          <t>C034</t>
        </is>
      </c>
      <c r="V217" s="17" t="inlineStr">
        <is>
          <t>동아제약</t>
        </is>
      </c>
      <c r="W217" s="17" t="inlineStr"/>
      <c r="X217" s="17" t="inlineStr"/>
      <c r="Y217" s="23" t="inlineStr"/>
      <c r="Z217" s="17" t="inlineStr">
        <is>
          <t>백상환</t>
        </is>
      </c>
      <c r="AA217" s="17" t="inlineStr"/>
      <c r="AB217" s="17" t="inlineStr">
        <is>
          <t>미확인</t>
        </is>
      </c>
      <c r="AC217" s="17" t="inlineStr">
        <is>
          <t>미확인</t>
        </is>
      </c>
      <c r="AD217" s="17" t="inlineStr">
        <is>
          <t>Y</t>
        </is>
      </c>
      <c r="AE217" s="17" t="inlineStr">
        <is>
          <t>P034</t>
        </is>
      </c>
      <c r="AF217" s="17" t="inlineStr">
        <is>
          <t>충청남도 당진시 합덕읍 인더스파크로 22</t>
        </is>
      </c>
      <c r="AG217" s="17" t="inlineStr">
        <is>
          <t>완제의약품</t>
        </is>
      </c>
      <c r="AH217" s="17" t="inlineStr">
        <is>
          <t>비무균-일반제제-내용액제(경구용액제)</t>
        </is>
      </c>
      <c r="AI217" s="17" t="n">
        <v>1</v>
      </c>
      <c r="AJ217" s="24" t="n">
        <v>47249</v>
      </c>
      <c r="AK217" s="17" t="inlineStr"/>
      <c r="AL217" s="17" t="inlineStr"/>
      <c r="AM217" s="17" t="inlineStr">
        <is>
          <t>다중 제조소/다수 판정서로 문서관리 복잡; 다중 제조소로 교육관리 대상 광범위</t>
        </is>
      </c>
      <c r="AN217" s="17" t="inlineStr">
        <is>
          <t>미확인</t>
        </is>
      </c>
      <c r="AO217" s="17" t="inlineStr">
        <is>
          <t>미확인</t>
        </is>
      </c>
      <c r="AP217" s="17" t="inlineStr">
        <is>
          <t>미확인</t>
        </is>
      </c>
      <c r="AQ217" s="17" t="inlineStr">
        <is>
          <t>담당자 파악 후 접촉</t>
        </is>
      </c>
      <c r="AR217" s="17" t="inlineStr">
        <is>
          <t>2026-07-05</t>
        </is>
      </c>
      <c r="AS217" s="17" t="inlineStr">
        <is>
          <t>C(부분확인)</t>
        </is>
      </c>
      <c r="AT217" s="17" t="n">
        <v>90</v>
      </c>
      <c r="AU217" s="17" t="inlineStr"/>
      <c r="AV217" s="17" t="inlineStr"/>
    </row>
    <row r="218">
      <c r="A218" s="27" t="inlineStr">
        <is>
          <t>Tier C</t>
        </is>
      </c>
      <c r="B218" s="17" t="n">
        <v>15</v>
      </c>
      <c r="C218" s="17" t="inlineStr">
        <is>
          <t>동아제약(주)</t>
        </is>
      </c>
      <c r="D218" s="17" t="inlineStr">
        <is>
          <t>이천</t>
        </is>
      </c>
      <c r="E218" s="17" t="inlineStr">
        <is>
          <t>경기도</t>
        </is>
      </c>
      <c r="F218" s="17" t="inlineStr">
        <is>
          <t>이천시</t>
        </is>
      </c>
      <c r="G218" s="17" t="n">
        <v>3</v>
      </c>
      <c r="H218" s="17" t="inlineStr"/>
      <c r="I218" s="17" t="inlineStr"/>
      <c r="J218" s="17" t="inlineStr">
        <is>
          <t>Y</t>
        </is>
      </c>
      <c r="K218" s="17" t="inlineStr"/>
      <c r="L218" s="22" t="inlineStr">
        <is>
          <t>미확인</t>
        </is>
      </c>
      <c r="M218" s="22" t="inlineStr">
        <is>
          <t>미확인</t>
        </is>
      </c>
      <c r="N218" s="22" t="inlineStr">
        <is>
          <t>미확인</t>
        </is>
      </c>
      <c r="O218" s="22" t="inlineStr">
        <is>
          <t>미확인</t>
        </is>
      </c>
      <c r="P218" s="17" t="inlineStr">
        <is>
          <t>통합형</t>
        </is>
      </c>
      <c r="Q218" s="22" t="inlineStr">
        <is>
          <t>미확인</t>
        </is>
      </c>
      <c r="R218" s="22" t="inlineStr">
        <is>
          <t>미확인</t>
        </is>
      </c>
      <c r="S218" s="17" t="inlineStr">
        <is>
          <t>Tier D</t>
        </is>
      </c>
      <c r="T218" s="17" t="n">
        <v>12</v>
      </c>
      <c r="U218" s="17" t="inlineStr">
        <is>
          <t>C034</t>
        </is>
      </c>
      <c r="V218" s="17" t="inlineStr">
        <is>
          <t>동아제약</t>
        </is>
      </c>
      <c r="W218" s="17" t="inlineStr"/>
      <c r="X218" s="17" t="inlineStr"/>
      <c r="Y218" s="23" t="inlineStr"/>
      <c r="Z218" s="17" t="inlineStr">
        <is>
          <t>백상환</t>
        </is>
      </c>
      <c r="AA218" s="17" t="inlineStr"/>
      <c r="AB218" s="17" t="inlineStr">
        <is>
          <t>미확인</t>
        </is>
      </c>
      <c r="AC218" s="17" t="inlineStr">
        <is>
          <t>미확인</t>
        </is>
      </c>
      <c r="AD218" s="17" t="inlineStr">
        <is>
          <t>Y</t>
        </is>
      </c>
      <c r="AE218" s="17" t="inlineStr">
        <is>
          <t>P268</t>
        </is>
      </c>
      <c r="AF218" s="17" t="inlineStr">
        <is>
          <t>경기도 이천시 경충대로2946번길 61</t>
        </is>
      </c>
      <c r="AG218" s="17" t="inlineStr">
        <is>
          <t>완제의약품</t>
        </is>
      </c>
      <c r="AH218" s="17" t="inlineStr">
        <is>
          <t>비무균-일반제제-내용액제(시럽제(액상)), 비무균-일반제제-연고제(겔제)</t>
        </is>
      </c>
      <c r="AI218" s="17" t="n">
        <v>1</v>
      </c>
      <c r="AJ218" s="24" t="n">
        <v>46836</v>
      </c>
      <c r="AK218" s="17" t="inlineStr"/>
      <c r="AL218" s="17" t="inlineStr"/>
      <c r="AM218" s="17" t="inlineStr">
        <is>
          <t>다중 제조소/다수 판정서로 문서관리 복잡; 다중 제조소로 교육관리 대상 광범위</t>
        </is>
      </c>
      <c r="AN218" s="17" t="inlineStr">
        <is>
          <t>미확인</t>
        </is>
      </c>
      <c r="AO218" s="17" t="inlineStr">
        <is>
          <t>미확인</t>
        </is>
      </c>
      <c r="AP218" s="17" t="inlineStr">
        <is>
          <t>미확인</t>
        </is>
      </c>
      <c r="AQ218" s="17" t="inlineStr">
        <is>
          <t>담당자 파악 후 접촉</t>
        </is>
      </c>
      <c r="AR218" s="17" t="inlineStr">
        <is>
          <t>2026-07-05</t>
        </is>
      </c>
      <c r="AS218" s="17" t="inlineStr">
        <is>
          <t>C(부분확인)</t>
        </is>
      </c>
      <c r="AT218" s="17" t="n">
        <v>90</v>
      </c>
      <c r="AU218" s="17" t="inlineStr"/>
      <c r="AV218" s="17" t="inlineStr"/>
    </row>
    <row r="219">
      <c r="A219" s="27" t="inlineStr">
        <is>
          <t>Tier C</t>
        </is>
      </c>
      <c r="B219" s="17" t="n">
        <v>15</v>
      </c>
      <c r="C219" s="17" t="inlineStr">
        <is>
          <t>동아제약(주)</t>
        </is>
      </c>
      <c r="D219" s="17" t="inlineStr">
        <is>
          <t>시험실</t>
        </is>
      </c>
      <c r="E219" s="17" t="inlineStr">
        <is>
          <t>충청남도</t>
        </is>
      </c>
      <c r="F219" s="17" t="inlineStr">
        <is>
          <t>천안시</t>
        </is>
      </c>
      <c r="G219" s="17" t="n">
        <v>3</v>
      </c>
      <c r="H219" s="17" t="inlineStr"/>
      <c r="I219" s="17" t="inlineStr"/>
      <c r="J219" s="17" t="inlineStr">
        <is>
          <t>Y</t>
        </is>
      </c>
      <c r="K219" s="17" t="inlineStr"/>
      <c r="L219" s="22" t="inlineStr">
        <is>
          <t>미확인</t>
        </is>
      </c>
      <c r="M219" s="22" t="inlineStr">
        <is>
          <t>미확인</t>
        </is>
      </c>
      <c r="N219" s="22" t="inlineStr">
        <is>
          <t>미확인</t>
        </is>
      </c>
      <c r="O219" s="22" t="inlineStr">
        <is>
          <t>미확인</t>
        </is>
      </c>
      <c r="P219" s="17" t="inlineStr">
        <is>
          <t>통합형</t>
        </is>
      </c>
      <c r="Q219" s="22" t="inlineStr">
        <is>
          <t>미확인</t>
        </is>
      </c>
      <c r="R219" s="22" t="inlineStr">
        <is>
          <t>미확인</t>
        </is>
      </c>
      <c r="S219" s="17" t="inlineStr">
        <is>
          <t>Tier D</t>
        </is>
      </c>
      <c r="T219" s="17" t="n">
        <v>12</v>
      </c>
      <c r="U219" s="17" t="inlineStr">
        <is>
          <t>C034</t>
        </is>
      </c>
      <c r="V219" s="17" t="inlineStr">
        <is>
          <t>동아제약</t>
        </is>
      </c>
      <c r="W219" s="17" t="inlineStr"/>
      <c r="X219" s="17" t="inlineStr"/>
      <c r="Y219" s="23" t="inlineStr"/>
      <c r="Z219" s="17" t="inlineStr">
        <is>
          <t>백상환</t>
        </is>
      </c>
      <c r="AA219" s="17" t="inlineStr"/>
      <c r="AB219" s="17" t="inlineStr">
        <is>
          <t>미확인</t>
        </is>
      </c>
      <c r="AC219" s="17" t="inlineStr">
        <is>
          <t>미확인</t>
        </is>
      </c>
      <c r="AD219" s="17" t="inlineStr">
        <is>
          <t>Y</t>
        </is>
      </c>
      <c r="AE219" s="17" t="inlineStr">
        <is>
          <t>P324</t>
        </is>
      </c>
      <c r="AF219" s="17" t="inlineStr">
        <is>
          <t>충청남도 천안시 서북구 백석공단1로 200-23 (1, 2A, 4A층)</t>
        </is>
      </c>
      <c r="AG219" s="17" t="inlineStr">
        <is>
          <t>완제의약품</t>
        </is>
      </c>
      <c r="AH219" s="17" t="inlineStr">
        <is>
          <t>비무균-일반제제-내용액제(경구용액제, 시럽제(액상))</t>
        </is>
      </c>
      <c r="AI219" s="17" t="n">
        <v>1</v>
      </c>
      <c r="AJ219" s="24" t="n">
        <v>46690</v>
      </c>
      <c r="AK219" s="17" t="inlineStr"/>
      <c r="AL219" s="17" t="inlineStr"/>
      <c r="AM219" s="17" t="inlineStr">
        <is>
          <t>다중 제조소/다수 판정서로 문서관리 복잡; 다중 제조소로 교육관리 대상 광범위</t>
        </is>
      </c>
      <c r="AN219" s="17" t="inlineStr">
        <is>
          <t>미확인</t>
        </is>
      </c>
      <c r="AO219" s="17" t="inlineStr">
        <is>
          <t>미확인</t>
        </is>
      </c>
      <c r="AP219" s="17" t="inlineStr">
        <is>
          <t>미확인</t>
        </is>
      </c>
      <c r="AQ219" s="17" t="inlineStr">
        <is>
          <t>담당자 파악 후 접촉</t>
        </is>
      </c>
      <c r="AR219" s="17" t="inlineStr">
        <is>
          <t>2026-07-05</t>
        </is>
      </c>
      <c r="AS219" s="17" t="inlineStr">
        <is>
          <t>C(부분확인)</t>
        </is>
      </c>
      <c r="AT219" s="17" t="n">
        <v>90</v>
      </c>
      <c r="AU219" s="17" t="inlineStr"/>
      <c r="AV219" s="17" t="inlineStr"/>
    </row>
    <row r="220">
      <c r="A220" s="27" t="inlineStr">
        <is>
          <t>Tier C</t>
        </is>
      </c>
      <c r="B220" s="17" t="n">
        <v>15</v>
      </c>
      <c r="C220" s="17" t="inlineStr">
        <is>
          <t>린데코리아주식회사</t>
        </is>
      </c>
      <c r="D220" s="17" t="inlineStr">
        <is>
          <t>용인</t>
        </is>
      </c>
      <c r="E220" s="17" t="inlineStr">
        <is>
          <t>경기도</t>
        </is>
      </c>
      <c r="F220" s="17" t="inlineStr">
        <is>
          <t>용인시</t>
        </is>
      </c>
      <c r="G220" s="17" t="n">
        <v>3</v>
      </c>
      <c r="H220" s="17" t="inlineStr"/>
      <c r="I220" s="17" t="inlineStr"/>
      <c r="J220" s="17" t="inlineStr">
        <is>
          <t>Y</t>
        </is>
      </c>
      <c r="K220" s="17" t="inlineStr"/>
      <c r="L220" s="22" t="inlineStr">
        <is>
          <t>미확인</t>
        </is>
      </c>
      <c r="M220" s="22" t="inlineStr">
        <is>
          <t>미확인</t>
        </is>
      </c>
      <c r="N220" s="22" t="inlineStr">
        <is>
          <t>미확인</t>
        </is>
      </c>
      <c r="O220" s="22" t="inlineStr">
        <is>
          <t>미확인</t>
        </is>
      </c>
      <c r="P220" s="17" t="inlineStr">
        <is>
          <t>통합형</t>
        </is>
      </c>
      <c r="Q220" s="22" t="inlineStr">
        <is>
          <t>미확인</t>
        </is>
      </c>
      <c r="R220" s="22" t="inlineStr">
        <is>
          <t>미확인</t>
        </is>
      </c>
      <c r="S220" s="17" t="inlineStr">
        <is>
          <t>Tier D</t>
        </is>
      </c>
      <c r="T220" s="17" t="n">
        <v>12</v>
      </c>
      <c r="U220" s="17" t="inlineStr">
        <is>
          <t>C172</t>
        </is>
      </c>
      <c r="V220" s="17" t="inlineStr">
        <is>
          <t>린데코리아</t>
        </is>
      </c>
      <c r="W220" s="17" t="inlineStr"/>
      <c r="X220" s="17" t="inlineStr"/>
      <c r="Y220" s="23" t="inlineStr"/>
      <c r="Z220" s="17" t="inlineStr">
        <is>
          <t>성백석</t>
        </is>
      </c>
      <c r="AA220" s="17" t="inlineStr"/>
      <c r="AB220" s="17" t="inlineStr">
        <is>
          <t>041-537-7300</t>
        </is>
      </c>
      <c r="AC220" s="17" t="inlineStr">
        <is>
          <t>미확인</t>
        </is>
      </c>
      <c r="AD220" s="17" t="inlineStr">
        <is>
          <t>Y</t>
        </is>
      </c>
      <c r="AE220" s="17" t="inlineStr">
        <is>
          <t>P185</t>
        </is>
      </c>
      <c r="AF220" s="17" t="inlineStr">
        <is>
          <t>경기도 용인시 기흥구 삼성2로96번길 20</t>
        </is>
      </c>
      <c r="AG220" s="17" t="inlineStr">
        <is>
          <t>완제의약품</t>
        </is>
      </c>
      <c r="AH220" s="17" t="inlineStr">
        <is>
          <t>비무균-일반제제(의료용 고압가스)-가스제(의료용 고압가스)</t>
        </is>
      </c>
      <c r="AI220" s="17" t="n">
        <v>1</v>
      </c>
      <c r="AJ220" s="24" t="n">
        <v>46939</v>
      </c>
      <c r="AK220" s="17" t="inlineStr"/>
      <c r="AL220" s="17" t="inlineStr"/>
      <c r="AM220" s="17" t="inlineStr">
        <is>
          <t>다중 제조소/다수 판정서로 문서관리 복잡; 다중 제조소로 교육관리 대상 광범위</t>
        </is>
      </c>
      <c r="AN220" s="17" t="inlineStr">
        <is>
          <t>미확인</t>
        </is>
      </c>
      <c r="AO220" s="17" t="inlineStr">
        <is>
          <t>미확인</t>
        </is>
      </c>
      <c r="AP220" s="17" t="inlineStr">
        <is>
          <t>미확인</t>
        </is>
      </c>
      <c r="AQ220" s="17" t="inlineStr">
        <is>
          <t>담당자 파악 후 접촉</t>
        </is>
      </c>
      <c r="AR220" s="17" t="inlineStr">
        <is>
          <t>2026-07-05</t>
        </is>
      </c>
      <c r="AS220" s="17" t="inlineStr">
        <is>
          <t>C(부분확인)</t>
        </is>
      </c>
      <c r="AT220" s="17" t="n">
        <v>90</v>
      </c>
      <c r="AU220" s="17" t="inlineStr"/>
      <c r="AV220" s="17" t="inlineStr"/>
    </row>
    <row r="221">
      <c r="A221" s="27" t="inlineStr">
        <is>
          <t>Tier C</t>
        </is>
      </c>
      <c r="B221" s="17" t="n">
        <v>15</v>
      </c>
      <c r="C221" s="17" t="inlineStr">
        <is>
          <t>린데코리아주식회사</t>
        </is>
      </c>
      <c r="D221" s="17" t="inlineStr">
        <is>
          <t>탕정</t>
        </is>
      </c>
      <c r="E221" s="17" t="inlineStr">
        <is>
          <t>충청남도</t>
        </is>
      </c>
      <c r="F221" s="17" t="inlineStr">
        <is>
          <t>아산시</t>
        </is>
      </c>
      <c r="G221" s="17" t="n">
        <v>3</v>
      </c>
      <c r="H221" s="17" t="inlineStr"/>
      <c r="I221" s="17" t="inlineStr"/>
      <c r="J221" s="17" t="inlineStr">
        <is>
          <t>Y</t>
        </is>
      </c>
      <c r="K221" s="17" t="inlineStr"/>
      <c r="L221" s="22" t="inlineStr">
        <is>
          <t>미확인</t>
        </is>
      </c>
      <c r="M221" s="22" t="inlineStr">
        <is>
          <t>미확인</t>
        </is>
      </c>
      <c r="N221" s="22" t="inlineStr">
        <is>
          <t>미확인</t>
        </is>
      </c>
      <c r="O221" s="22" t="inlineStr">
        <is>
          <t>미확인</t>
        </is>
      </c>
      <c r="P221" s="17" t="inlineStr">
        <is>
          <t>통합형</t>
        </is>
      </c>
      <c r="Q221" s="22" t="inlineStr">
        <is>
          <t>미확인</t>
        </is>
      </c>
      <c r="R221" s="22" t="inlineStr">
        <is>
          <t>미확인</t>
        </is>
      </c>
      <c r="S221" s="17" t="inlineStr">
        <is>
          <t>Tier D</t>
        </is>
      </c>
      <c r="T221" s="17" t="n">
        <v>12</v>
      </c>
      <c r="U221" s="17" t="inlineStr">
        <is>
          <t>C172</t>
        </is>
      </c>
      <c r="V221" s="17" t="inlineStr">
        <is>
          <t>린데코리아</t>
        </is>
      </c>
      <c r="W221" s="17" t="inlineStr"/>
      <c r="X221" s="17" t="inlineStr"/>
      <c r="Y221" s="23" t="inlineStr"/>
      <c r="Z221" s="17" t="inlineStr">
        <is>
          <t>성백석</t>
        </is>
      </c>
      <c r="AA221" s="17" t="inlineStr"/>
      <c r="AB221" s="17" t="inlineStr">
        <is>
          <t>041-537-7300</t>
        </is>
      </c>
      <c r="AC221" s="17" t="inlineStr">
        <is>
          <t>미확인</t>
        </is>
      </c>
      <c r="AD221" s="17" t="inlineStr">
        <is>
          <t>Y</t>
        </is>
      </c>
      <c r="AE221" s="17" t="inlineStr">
        <is>
          <t>P321</t>
        </is>
      </c>
      <c r="AF221" s="17" t="inlineStr">
        <is>
          <t>충청남도 아산시 탕정면 탕정로 380-43</t>
        </is>
      </c>
      <c r="AG221" s="17" t="inlineStr">
        <is>
          <t>완제의약품</t>
        </is>
      </c>
      <c r="AH221" s="17" t="inlineStr">
        <is>
          <t>비무균-일반제제(의료용 고압가스)-가스제(의료용 고압가스)</t>
        </is>
      </c>
      <c r="AI221" s="17" t="n">
        <v>1</v>
      </c>
      <c r="AJ221" s="24" t="n">
        <v>46698</v>
      </c>
      <c r="AK221" s="17" t="inlineStr"/>
      <c r="AL221" s="17" t="inlineStr"/>
      <c r="AM221" s="17" t="inlineStr">
        <is>
          <t>다중 제조소/다수 판정서로 문서관리 복잡; 다중 제조소로 교육관리 대상 광범위</t>
        </is>
      </c>
      <c r="AN221" s="17" t="inlineStr">
        <is>
          <t>미확인</t>
        </is>
      </c>
      <c r="AO221" s="17" t="inlineStr">
        <is>
          <t>미확인</t>
        </is>
      </c>
      <c r="AP221" s="17" t="inlineStr">
        <is>
          <t>미확인</t>
        </is>
      </c>
      <c r="AQ221" s="17" t="inlineStr">
        <is>
          <t>담당자 파악 후 접촉</t>
        </is>
      </c>
      <c r="AR221" s="17" t="inlineStr">
        <is>
          <t>2026-07-05</t>
        </is>
      </c>
      <c r="AS221" s="17" t="inlineStr">
        <is>
          <t>C(부분확인)</t>
        </is>
      </c>
      <c r="AT221" s="17" t="n">
        <v>90</v>
      </c>
      <c r="AU221" s="17" t="inlineStr"/>
      <c r="AV221" s="17" t="inlineStr"/>
    </row>
    <row r="222">
      <c r="A222" s="27" t="inlineStr">
        <is>
          <t>Tier C</t>
        </is>
      </c>
      <c r="B222" s="17" t="n">
        <v>15</v>
      </c>
      <c r="C222" s="17" t="inlineStr">
        <is>
          <t>린데코리아주식회사</t>
        </is>
      </c>
      <c r="D222" s="17" t="inlineStr">
        <is>
          <t>창원</t>
        </is>
      </c>
      <c r="E222" s="17" t="inlineStr">
        <is>
          <t>경상남도</t>
        </is>
      </c>
      <c r="F222" s="17" t="inlineStr">
        <is>
          <t>창원시</t>
        </is>
      </c>
      <c r="G222" s="17" t="n">
        <v>3</v>
      </c>
      <c r="H222" s="17" t="inlineStr"/>
      <c r="I222" s="17" t="inlineStr"/>
      <c r="J222" s="17" t="inlineStr">
        <is>
          <t>Y</t>
        </is>
      </c>
      <c r="K222" s="17" t="inlineStr"/>
      <c r="L222" s="22" t="inlineStr">
        <is>
          <t>미확인</t>
        </is>
      </c>
      <c r="M222" s="22" t="inlineStr">
        <is>
          <t>미확인</t>
        </is>
      </c>
      <c r="N222" s="22" t="inlineStr">
        <is>
          <t>미확인</t>
        </is>
      </c>
      <c r="O222" s="22" t="inlineStr">
        <is>
          <t>미확인</t>
        </is>
      </c>
      <c r="P222" s="17" t="inlineStr">
        <is>
          <t>통합형</t>
        </is>
      </c>
      <c r="Q222" s="22" t="inlineStr">
        <is>
          <t>미확인</t>
        </is>
      </c>
      <c r="R222" s="22" t="inlineStr">
        <is>
          <t>미확인</t>
        </is>
      </c>
      <c r="S222" s="17" t="inlineStr">
        <is>
          <t>Tier D</t>
        </is>
      </c>
      <c r="T222" s="17" t="n">
        <v>12</v>
      </c>
      <c r="U222" s="17" t="inlineStr">
        <is>
          <t>C172</t>
        </is>
      </c>
      <c r="V222" s="17" t="inlineStr">
        <is>
          <t>린데코리아</t>
        </is>
      </c>
      <c r="W222" s="17" t="inlineStr"/>
      <c r="X222" s="17" t="inlineStr"/>
      <c r="Y222" s="23" t="inlineStr"/>
      <c r="Z222" s="17" t="inlineStr">
        <is>
          <t>성백석</t>
        </is>
      </c>
      <c r="AA222" s="17" t="inlineStr"/>
      <c r="AB222" s="17" t="inlineStr">
        <is>
          <t>041-537-7300</t>
        </is>
      </c>
      <c r="AC222" s="17" t="inlineStr">
        <is>
          <t>미확인</t>
        </is>
      </c>
      <c r="AD222" s="17" t="inlineStr">
        <is>
          <t>Y</t>
        </is>
      </c>
      <c r="AE222" s="17" t="inlineStr">
        <is>
          <t>P326</t>
        </is>
      </c>
      <c r="AF222" s="17" t="inlineStr">
        <is>
          <t>경상남도 창원시 성산구 삼동로 100-31</t>
        </is>
      </c>
      <c r="AG222" s="17" t="inlineStr">
        <is>
          <t>완제의약품</t>
        </is>
      </c>
      <c r="AH222" s="17" t="inlineStr">
        <is>
          <t>비무균-일반제제-가스제(의료용 고압가스)</t>
        </is>
      </c>
      <c r="AI222" s="17" t="n">
        <v>1</v>
      </c>
      <c r="AJ222" s="24" t="n">
        <v>46685</v>
      </c>
      <c r="AK222" s="17" t="inlineStr"/>
      <c r="AL222" s="17" t="inlineStr"/>
      <c r="AM222" s="17" t="inlineStr">
        <is>
          <t>다중 제조소/다수 판정서로 문서관리 복잡; 다중 제조소로 교육관리 대상 광범위</t>
        </is>
      </c>
      <c r="AN222" s="17" t="inlineStr">
        <is>
          <t>미확인</t>
        </is>
      </c>
      <c r="AO222" s="17" t="inlineStr">
        <is>
          <t>미확인</t>
        </is>
      </c>
      <c r="AP222" s="17" t="inlineStr">
        <is>
          <t>미확인</t>
        </is>
      </c>
      <c r="AQ222" s="17" t="inlineStr">
        <is>
          <t>담당자 파악 후 접촉</t>
        </is>
      </c>
      <c r="AR222" s="17" t="inlineStr">
        <is>
          <t>2026-07-05</t>
        </is>
      </c>
      <c r="AS222" s="17" t="inlineStr">
        <is>
          <t>C(부분확인)</t>
        </is>
      </c>
      <c r="AT222" s="17" t="n">
        <v>90</v>
      </c>
      <c r="AU222" s="17" t="inlineStr"/>
      <c r="AV222" s="17" t="inlineStr"/>
    </row>
    <row r="223">
      <c r="A223" s="27" t="inlineStr">
        <is>
          <t>Tier C</t>
        </is>
      </c>
      <c r="B223" s="17" t="n">
        <v>15</v>
      </c>
      <c r="C223" s="17" t="inlineStr">
        <is>
          <t>한국특수가스(주)</t>
        </is>
      </c>
      <c r="D223" s="17" t="inlineStr">
        <is>
          <t>한국특수가스(주)광주사업장</t>
        </is>
      </c>
      <c r="E223" s="17" t="inlineStr">
        <is>
          <t>광주광역시</t>
        </is>
      </c>
      <c r="F223" s="17" t="inlineStr">
        <is>
          <t>광산구</t>
        </is>
      </c>
      <c r="G223" s="17" t="n">
        <v>3</v>
      </c>
      <c r="H223" s="17" t="inlineStr"/>
      <c r="I223" s="17" t="inlineStr"/>
      <c r="J223" s="17" t="inlineStr">
        <is>
          <t>Y</t>
        </is>
      </c>
      <c r="K223" s="17" t="inlineStr"/>
      <c r="L223" s="22" t="inlineStr">
        <is>
          <t>미확인</t>
        </is>
      </c>
      <c r="M223" s="22" t="inlineStr">
        <is>
          <t>미확인</t>
        </is>
      </c>
      <c r="N223" s="22" t="inlineStr">
        <is>
          <t>미확인</t>
        </is>
      </c>
      <c r="O223" s="22" t="inlineStr">
        <is>
          <t>미확인</t>
        </is>
      </c>
      <c r="P223" s="17" t="inlineStr">
        <is>
          <t>통합형</t>
        </is>
      </c>
      <c r="Q223" s="22" t="inlineStr">
        <is>
          <t>미확인</t>
        </is>
      </c>
      <c r="R223" s="22" t="inlineStr">
        <is>
          <t>미확인</t>
        </is>
      </c>
      <c r="S223" s="17" t="inlineStr">
        <is>
          <t>Tier D</t>
        </is>
      </c>
      <c r="T223" s="17" t="n">
        <v>12</v>
      </c>
      <c r="U223" s="17" t="inlineStr">
        <is>
          <t>C036</t>
        </is>
      </c>
      <c r="V223" s="17" t="inlineStr">
        <is>
          <t>한국특수가스</t>
        </is>
      </c>
      <c r="W223" s="17" t="inlineStr"/>
      <c r="X223" s="17" t="inlineStr"/>
      <c r="Y223" s="23" t="inlineStr"/>
      <c r="Z223" s="17" t="inlineStr">
        <is>
          <t>한승문</t>
        </is>
      </c>
      <c r="AA223" s="17" t="inlineStr"/>
      <c r="AB223" s="17" t="inlineStr">
        <is>
          <t>0105185</t>
        </is>
      </c>
      <c r="AC223" s="17" t="inlineStr">
        <is>
          <t>미확인</t>
        </is>
      </c>
      <c r="AD223" s="17" t="inlineStr">
        <is>
          <t>Y</t>
        </is>
      </c>
      <c r="AE223" s="17" t="inlineStr">
        <is>
          <t>P036</t>
        </is>
      </c>
      <c r="AF223" s="17" t="inlineStr">
        <is>
          <t>광주광역시 광산구 평동로803번길 93</t>
        </is>
      </c>
      <c r="AG223" s="17" t="inlineStr">
        <is>
          <t>완제의약품</t>
        </is>
      </c>
      <c r="AH223" s="17" t="inlineStr">
        <is>
          <t>비무균-일반제제(의료용 고압가스)-가스제(의료용 고압가스)</t>
        </is>
      </c>
      <c r="AI223" s="17" t="n">
        <v>1</v>
      </c>
      <c r="AJ223" s="24" t="n">
        <v>47246</v>
      </c>
      <c r="AK223" s="17" t="inlineStr"/>
      <c r="AL223" s="17" t="inlineStr"/>
      <c r="AM223" s="17" t="inlineStr">
        <is>
          <t>다중 제조소/다수 판정서로 문서관리 복잡; 다중 제조소로 교육관리 대상 광범위</t>
        </is>
      </c>
      <c r="AN223" s="17" t="inlineStr">
        <is>
          <t>미확인</t>
        </is>
      </c>
      <c r="AO223" s="17" t="inlineStr">
        <is>
          <t>미확인</t>
        </is>
      </c>
      <c r="AP223" s="17" t="inlineStr">
        <is>
          <t>미확인</t>
        </is>
      </c>
      <c r="AQ223" s="17" t="inlineStr">
        <is>
          <t>담당자 파악 후 접촉</t>
        </is>
      </c>
      <c r="AR223" s="17" t="inlineStr">
        <is>
          <t>2026-07-05</t>
        </is>
      </c>
      <c r="AS223" s="17" t="inlineStr">
        <is>
          <t>C(부분확인)</t>
        </is>
      </c>
      <c r="AT223" s="17" t="n">
        <v>90</v>
      </c>
      <c r="AU223" s="17" t="inlineStr"/>
      <c r="AV223" s="17" t="inlineStr"/>
    </row>
    <row r="224">
      <c r="A224" s="27" t="inlineStr">
        <is>
          <t>Tier C</t>
        </is>
      </c>
      <c r="B224" s="17" t="n">
        <v>15</v>
      </c>
      <c r="C224" s="17" t="inlineStr">
        <is>
          <t>한국특수가스(주)</t>
        </is>
      </c>
      <c r="D224" s="17" t="inlineStr">
        <is>
          <t>한국특수가스(주)</t>
        </is>
      </c>
      <c r="E224" s="17" t="inlineStr">
        <is>
          <t>전북특별자치도</t>
        </is>
      </c>
      <c r="F224" s="17" t="inlineStr">
        <is>
          <t>익산시</t>
        </is>
      </c>
      <c r="G224" s="17" t="n">
        <v>3</v>
      </c>
      <c r="H224" s="17" t="inlineStr"/>
      <c r="I224" s="17" t="inlineStr"/>
      <c r="J224" s="17" t="inlineStr">
        <is>
          <t>Y</t>
        </is>
      </c>
      <c r="K224" s="17" t="inlineStr"/>
      <c r="L224" s="22" t="inlineStr">
        <is>
          <t>미확인</t>
        </is>
      </c>
      <c r="M224" s="22" t="inlineStr">
        <is>
          <t>미확인</t>
        </is>
      </c>
      <c r="N224" s="22" t="inlineStr">
        <is>
          <t>미확인</t>
        </is>
      </c>
      <c r="O224" s="22" t="inlineStr">
        <is>
          <t>미확인</t>
        </is>
      </c>
      <c r="P224" s="17" t="inlineStr">
        <is>
          <t>통합형</t>
        </is>
      </c>
      <c r="Q224" s="22" t="inlineStr">
        <is>
          <t>미확인</t>
        </is>
      </c>
      <c r="R224" s="22" t="inlineStr">
        <is>
          <t>미확인</t>
        </is>
      </c>
      <c r="S224" s="17" t="inlineStr">
        <is>
          <t>Tier D</t>
        </is>
      </c>
      <c r="T224" s="17" t="n">
        <v>12</v>
      </c>
      <c r="U224" s="17" t="inlineStr">
        <is>
          <t>C036</t>
        </is>
      </c>
      <c r="V224" s="17" t="inlineStr">
        <is>
          <t>한국특수가스</t>
        </is>
      </c>
      <c r="W224" s="17" t="inlineStr"/>
      <c r="X224" s="17" t="inlineStr"/>
      <c r="Y224" s="23" t="inlineStr"/>
      <c r="Z224" s="17" t="inlineStr">
        <is>
          <t>한승문</t>
        </is>
      </c>
      <c r="AA224" s="17" t="inlineStr"/>
      <c r="AB224" s="17" t="inlineStr">
        <is>
          <t>0105185</t>
        </is>
      </c>
      <c r="AC224" s="17" t="inlineStr">
        <is>
          <t>미확인</t>
        </is>
      </c>
      <c r="AD224" s="17" t="inlineStr">
        <is>
          <t>Y</t>
        </is>
      </c>
      <c r="AE224" s="17" t="inlineStr">
        <is>
          <t>P274</t>
        </is>
      </c>
      <c r="AF224" s="17" t="inlineStr">
        <is>
          <t>전북특별자치도 익산시 서동로32길 11</t>
        </is>
      </c>
      <c r="AG224" s="17" t="inlineStr">
        <is>
          <t>완제의약품</t>
        </is>
      </c>
      <c r="AH224" s="17" t="inlineStr">
        <is>
          <t>비무균-일반제제(의료용 고압가스)-가스제(의료용 고압가스)</t>
        </is>
      </c>
      <c r="AI224" s="17" t="n">
        <v>1</v>
      </c>
      <c r="AJ224" s="24" t="n">
        <v>46828</v>
      </c>
      <c r="AK224" s="17" t="inlineStr"/>
      <c r="AL224" s="17" t="inlineStr"/>
      <c r="AM224" s="17" t="inlineStr">
        <is>
          <t>다중 제조소/다수 판정서로 문서관리 복잡; 다중 제조소로 교육관리 대상 광범위</t>
        </is>
      </c>
      <c r="AN224" s="17" t="inlineStr">
        <is>
          <t>미확인</t>
        </is>
      </c>
      <c r="AO224" s="17" t="inlineStr">
        <is>
          <t>미확인</t>
        </is>
      </c>
      <c r="AP224" s="17" t="inlineStr">
        <is>
          <t>미확인</t>
        </is>
      </c>
      <c r="AQ224" s="17" t="inlineStr">
        <is>
          <t>담당자 파악 후 접촉</t>
        </is>
      </c>
      <c r="AR224" s="17" t="inlineStr">
        <is>
          <t>2026-07-05</t>
        </is>
      </c>
      <c r="AS224" s="17" t="inlineStr">
        <is>
          <t>C(부분확인)</t>
        </is>
      </c>
      <c r="AT224" s="17" t="n">
        <v>90</v>
      </c>
      <c r="AU224" s="17" t="inlineStr"/>
      <c r="AV224" s="17" t="inlineStr"/>
    </row>
    <row r="225">
      <c r="A225" s="27" t="inlineStr">
        <is>
          <t>Tier C</t>
        </is>
      </c>
      <c r="B225" s="17" t="n">
        <v>15</v>
      </c>
      <c r="C225" s="17" t="inlineStr">
        <is>
          <t>한국특수가스(주)</t>
        </is>
      </c>
      <c r="D225" s="17" t="inlineStr">
        <is>
          <t>한국특수가스(주) 전주사업장</t>
        </is>
      </c>
      <c r="E225" s="17" t="inlineStr">
        <is>
          <t>전북특별자치도</t>
        </is>
      </c>
      <c r="F225" s="17" t="inlineStr">
        <is>
          <t>전주시</t>
        </is>
      </c>
      <c r="G225" s="17" t="n">
        <v>3</v>
      </c>
      <c r="H225" s="17" t="inlineStr"/>
      <c r="I225" s="17" t="inlineStr"/>
      <c r="J225" s="17" t="inlineStr">
        <is>
          <t>Y</t>
        </is>
      </c>
      <c r="K225" s="17" t="inlineStr"/>
      <c r="L225" s="22" t="inlineStr">
        <is>
          <t>미확인</t>
        </is>
      </c>
      <c r="M225" s="22" t="inlineStr">
        <is>
          <t>미확인</t>
        </is>
      </c>
      <c r="N225" s="22" t="inlineStr">
        <is>
          <t>미확인</t>
        </is>
      </c>
      <c r="O225" s="22" t="inlineStr">
        <is>
          <t>미확인</t>
        </is>
      </c>
      <c r="P225" s="17" t="inlineStr">
        <is>
          <t>통합형</t>
        </is>
      </c>
      <c r="Q225" s="22" t="inlineStr">
        <is>
          <t>미확인</t>
        </is>
      </c>
      <c r="R225" s="22" t="inlineStr">
        <is>
          <t>미확인</t>
        </is>
      </c>
      <c r="S225" s="17" t="inlineStr">
        <is>
          <t>Tier D</t>
        </is>
      </c>
      <c r="T225" s="17" t="n">
        <v>12</v>
      </c>
      <c r="U225" s="17" t="inlineStr">
        <is>
          <t>C036</t>
        </is>
      </c>
      <c r="V225" s="17" t="inlineStr">
        <is>
          <t>한국특수가스</t>
        </is>
      </c>
      <c r="W225" s="17" t="inlineStr"/>
      <c r="X225" s="17" t="inlineStr"/>
      <c r="Y225" s="23" t="inlineStr"/>
      <c r="Z225" s="17" t="inlineStr">
        <is>
          <t>한승문</t>
        </is>
      </c>
      <c r="AA225" s="17" t="inlineStr"/>
      <c r="AB225" s="17" t="inlineStr">
        <is>
          <t>0105185</t>
        </is>
      </c>
      <c r="AC225" s="17" t="inlineStr">
        <is>
          <t>미확인</t>
        </is>
      </c>
      <c r="AD225" s="17" t="inlineStr">
        <is>
          <t>Y</t>
        </is>
      </c>
      <c r="AE225" s="17" t="inlineStr">
        <is>
          <t>P277</t>
        </is>
      </c>
      <c r="AF225" s="17" t="inlineStr">
        <is>
          <t>전북특별자치도 전주시 덕진구 추천로 177-8</t>
        </is>
      </c>
      <c r="AG225" s="17" t="inlineStr">
        <is>
          <t>완제의약품</t>
        </is>
      </c>
      <c r="AH225" s="17" t="inlineStr">
        <is>
          <t>비무균-일반제제(의료용 고압가스)-가스제(의료용 고압가스)</t>
        </is>
      </c>
      <c r="AI225" s="17" t="n">
        <v>1</v>
      </c>
      <c r="AJ225" s="24" t="n">
        <v>46826</v>
      </c>
      <c r="AK225" s="17" t="inlineStr"/>
      <c r="AL225" s="17" t="inlineStr"/>
      <c r="AM225" s="17" t="inlineStr">
        <is>
          <t>다중 제조소/다수 판정서로 문서관리 복잡; 다중 제조소로 교육관리 대상 광범위</t>
        </is>
      </c>
      <c r="AN225" s="17" t="inlineStr">
        <is>
          <t>미확인</t>
        </is>
      </c>
      <c r="AO225" s="17" t="inlineStr">
        <is>
          <t>미확인</t>
        </is>
      </c>
      <c r="AP225" s="17" t="inlineStr">
        <is>
          <t>미확인</t>
        </is>
      </c>
      <c r="AQ225" s="17" t="inlineStr">
        <is>
          <t>담당자 파악 후 접촉</t>
        </is>
      </c>
      <c r="AR225" s="17" t="inlineStr">
        <is>
          <t>2026-07-05</t>
        </is>
      </c>
      <c r="AS225" s="17" t="inlineStr">
        <is>
          <t>C(부분확인)</t>
        </is>
      </c>
      <c r="AT225" s="17" t="n">
        <v>90</v>
      </c>
      <c r="AU225" s="17" t="inlineStr"/>
      <c r="AV225" s="17" t="inlineStr"/>
    </row>
    <row r="226">
      <c r="A226" s="27" t="inlineStr">
        <is>
          <t>Tier C</t>
        </is>
      </c>
      <c r="B226" s="17" t="n">
        <v>15</v>
      </c>
      <c r="C226" s="17" t="inlineStr">
        <is>
          <t>(주)돌나라한농제약</t>
        </is>
      </c>
      <c r="D226" s="17" t="inlineStr">
        <is>
          <t>미확인</t>
        </is>
      </c>
      <c r="E226" s="17" t="inlineStr">
        <is>
          <t>경상북도</t>
        </is>
      </c>
      <c r="F226" s="17" t="inlineStr">
        <is>
          <t>상주시</t>
        </is>
      </c>
      <c r="G226" s="17" t="n">
        <v>2</v>
      </c>
      <c r="H226" s="17" t="inlineStr"/>
      <c r="I226" s="17" t="inlineStr"/>
      <c r="J226" s="17" t="inlineStr">
        <is>
          <t>Y</t>
        </is>
      </c>
      <c r="K226" s="17" t="inlineStr">
        <is>
          <t>Y</t>
        </is>
      </c>
      <c r="L226" s="22" t="inlineStr">
        <is>
          <t>미확인</t>
        </is>
      </c>
      <c r="M226" s="22" t="inlineStr">
        <is>
          <t>미확인</t>
        </is>
      </c>
      <c r="N226" s="22" t="inlineStr">
        <is>
          <t>미확인</t>
        </is>
      </c>
      <c r="O226" s="22" t="inlineStr">
        <is>
          <t>미확인</t>
        </is>
      </c>
      <c r="P226" s="17" t="inlineStr">
        <is>
          <t>통합형</t>
        </is>
      </c>
      <c r="Q226" s="22" t="inlineStr">
        <is>
          <t>미확인</t>
        </is>
      </c>
      <c r="R226" s="22" t="inlineStr">
        <is>
          <t>미확인</t>
        </is>
      </c>
      <c r="S226" s="17" t="inlineStr">
        <is>
          <t>Tier D</t>
        </is>
      </c>
      <c r="T226" s="17" t="n">
        <v>8</v>
      </c>
      <c r="U226" s="17" t="inlineStr">
        <is>
          <t>C266</t>
        </is>
      </c>
      <c r="V226" s="17" t="inlineStr">
        <is>
          <t>돌나라한농제약</t>
        </is>
      </c>
      <c r="W226" s="17" t="inlineStr"/>
      <c r="X226" s="17" t="inlineStr"/>
      <c r="Y226" s="23" t="inlineStr"/>
      <c r="Z226" s="17" t="inlineStr">
        <is>
          <t>김제경</t>
        </is>
      </c>
      <c r="AA226" s="17" t="inlineStr"/>
      <c r="AB226" s="17" t="inlineStr">
        <is>
          <t>미확인</t>
        </is>
      </c>
      <c r="AC226" s="17" t="inlineStr">
        <is>
          <t>미확인</t>
        </is>
      </c>
      <c r="AD226" s="17" t="inlineStr">
        <is>
          <t>Y</t>
        </is>
      </c>
      <c r="AE226" s="17" t="inlineStr">
        <is>
          <t>P313</t>
        </is>
      </c>
      <c r="AF226" s="17" t="inlineStr">
        <is>
          <t>경상북도 상주시 외서면 낙원동길 147</t>
        </is>
      </c>
      <c r="AG226" s="17" t="inlineStr">
        <is>
          <t>완제의약품</t>
        </is>
      </c>
      <c r="AH226" s="17" t="inlineStr">
        <is>
          <t>비무균-일반제제-내용고형제(산제, 과립제)</t>
        </is>
      </c>
      <c r="AI226" s="17" t="n">
        <v>1</v>
      </c>
      <c r="AJ226" s="24" t="n">
        <v>46763</v>
      </c>
      <c r="AK226" s="17" t="inlineStr"/>
      <c r="AL226" s="17" t="inlineStr"/>
      <c r="AM226" s="17" t="inlineStr">
        <is>
          <t>다중 제조소/다수 판정서로 문서관리 복잡; 원료 제조로 시험실 관리 필요</t>
        </is>
      </c>
      <c r="AN226" s="17" t="inlineStr">
        <is>
          <t>미확인</t>
        </is>
      </c>
      <c r="AO226" s="17" t="inlineStr">
        <is>
          <t>미확인</t>
        </is>
      </c>
      <c r="AP226" s="17" t="inlineStr">
        <is>
          <t>미확인</t>
        </is>
      </c>
      <c r="AQ226" s="17" t="inlineStr">
        <is>
          <t>담당자 파악 후 접촉</t>
        </is>
      </c>
      <c r="AR226" s="17" t="inlineStr">
        <is>
          <t>2026-07-05</t>
        </is>
      </c>
      <c r="AS226" s="17" t="inlineStr">
        <is>
          <t>C(부분확인)</t>
        </is>
      </c>
      <c r="AT226" s="17" t="n">
        <v>0</v>
      </c>
      <c r="AU226" s="17" t="inlineStr">
        <is>
          <t>Y</t>
        </is>
      </c>
      <c r="AV226" s="17" t="inlineStr"/>
    </row>
    <row r="227">
      <c r="A227" s="27" t="inlineStr">
        <is>
          <t>Tier C</t>
        </is>
      </c>
      <c r="B227" s="17" t="n">
        <v>15</v>
      </c>
      <c r="C227" s="17" t="inlineStr">
        <is>
          <t>(주)돌나라한농제약</t>
        </is>
      </c>
      <c r="D227" s="17" t="inlineStr">
        <is>
          <t>미확인</t>
        </is>
      </c>
      <c r="E227" s="17" t="inlineStr">
        <is>
          <t>경상북도</t>
        </is>
      </c>
      <c r="F227" s="17" t="inlineStr">
        <is>
          <t>상주시</t>
        </is>
      </c>
      <c r="G227" s="17" t="n">
        <v>2</v>
      </c>
      <c r="H227" s="17" t="inlineStr"/>
      <c r="I227" s="17" t="inlineStr"/>
      <c r="J227" s="17" t="inlineStr">
        <is>
          <t>Y</t>
        </is>
      </c>
      <c r="K227" s="17" t="inlineStr">
        <is>
          <t>Y</t>
        </is>
      </c>
      <c r="L227" s="22" t="inlineStr">
        <is>
          <t>미확인</t>
        </is>
      </c>
      <c r="M227" s="22" t="inlineStr">
        <is>
          <t>미확인</t>
        </is>
      </c>
      <c r="N227" s="22" t="inlineStr">
        <is>
          <t>미확인</t>
        </is>
      </c>
      <c r="O227" s="22" t="inlineStr">
        <is>
          <t>미확인</t>
        </is>
      </c>
      <c r="P227" s="17" t="inlineStr">
        <is>
          <t>통합형</t>
        </is>
      </c>
      <c r="Q227" s="22" t="inlineStr">
        <is>
          <t>미확인</t>
        </is>
      </c>
      <c r="R227" s="22" t="inlineStr">
        <is>
          <t>미확인</t>
        </is>
      </c>
      <c r="S227" s="17" t="inlineStr">
        <is>
          <t>Tier D</t>
        </is>
      </c>
      <c r="T227" s="17" t="n">
        <v>8</v>
      </c>
      <c r="U227" s="17" t="inlineStr">
        <is>
          <t>C266</t>
        </is>
      </c>
      <c r="V227" s="17" t="inlineStr">
        <is>
          <t>돌나라한농제약</t>
        </is>
      </c>
      <c r="W227" s="17" t="inlineStr"/>
      <c r="X227" s="17" t="inlineStr"/>
      <c r="Y227" s="23" t="inlineStr"/>
      <c r="Z227" s="17" t="inlineStr">
        <is>
          <t>김제경</t>
        </is>
      </c>
      <c r="AA227" s="17" t="inlineStr"/>
      <c r="AB227" s="17" t="inlineStr">
        <is>
          <t>미확인</t>
        </is>
      </c>
      <c r="AC227" s="17" t="inlineStr">
        <is>
          <t>미확인</t>
        </is>
      </c>
      <c r="AD227" s="17" t="inlineStr">
        <is>
          <t>Y</t>
        </is>
      </c>
      <c r="AE227" s="17" t="inlineStr">
        <is>
          <t>P314</t>
        </is>
      </c>
      <c r="AF227" s="17" t="inlineStr">
        <is>
          <t>경상북도 상주시 외서면 하나동2길 19-14</t>
        </is>
      </c>
      <c r="AG227" s="17" t="inlineStr">
        <is>
          <t>원료의약품</t>
        </is>
      </c>
      <c r="AH227" s="17" t="inlineStr">
        <is>
          <t>비무균-일반제제-(분쇄, 탄화)</t>
        </is>
      </c>
      <c r="AI227" s="17" t="n">
        <v>1</v>
      </c>
      <c r="AJ227" s="24" t="n">
        <v>46763</v>
      </c>
      <c r="AK227" s="17" t="inlineStr"/>
      <c r="AL227" s="17" t="inlineStr"/>
      <c r="AM227" s="17" t="inlineStr">
        <is>
          <t>다중 제조소/다수 판정서로 문서관리 복잡; 원료 제조로 시험실 관리 필요</t>
        </is>
      </c>
      <c r="AN227" s="17" t="inlineStr">
        <is>
          <t>미확인</t>
        </is>
      </c>
      <c r="AO227" s="17" t="inlineStr">
        <is>
          <t>미확인</t>
        </is>
      </c>
      <c r="AP227" s="17" t="inlineStr">
        <is>
          <t>미확인</t>
        </is>
      </c>
      <c r="AQ227" s="17" t="inlineStr">
        <is>
          <t>담당자 파악 후 접촉</t>
        </is>
      </c>
      <c r="AR227" s="17" t="inlineStr">
        <is>
          <t>2026-07-05</t>
        </is>
      </c>
      <c r="AS227" s="17" t="inlineStr">
        <is>
          <t>C(부분확인)</t>
        </is>
      </c>
      <c r="AT227" s="17" t="n">
        <v>0</v>
      </c>
      <c r="AU227" s="17" t="inlineStr">
        <is>
          <t>Y</t>
        </is>
      </c>
      <c r="AV227" s="17" t="inlineStr"/>
    </row>
    <row r="228">
      <c r="A228" s="27" t="inlineStr">
        <is>
          <t>Tier C</t>
        </is>
      </c>
      <c r="B228" s="17" t="n">
        <v>15</v>
      </c>
      <c r="C228" s="17" t="inlineStr">
        <is>
          <t>에이치엘비펩(주)</t>
        </is>
      </c>
      <c r="D228" s="17" t="inlineStr">
        <is>
          <t>에이치엘비펩(주)-장성</t>
        </is>
      </c>
      <c r="E228" s="17" t="inlineStr">
        <is>
          <t>전라남도</t>
        </is>
      </c>
      <c r="F228" s="17" t="inlineStr">
        <is>
          <t>장성군</t>
        </is>
      </c>
      <c r="G228" s="17" t="n">
        <v>2</v>
      </c>
      <c r="H228" s="17" t="inlineStr"/>
      <c r="I228" s="17" t="inlineStr"/>
      <c r="J228" s="17" t="inlineStr"/>
      <c r="K228" s="17" t="inlineStr">
        <is>
          <t>Y</t>
        </is>
      </c>
      <c r="L228" s="22" t="inlineStr">
        <is>
          <t>미확인</t>
        </is>
      </c>
      <c r="M228" s="22" t="inlineStr">
        <is>
          <t>미확인</t>
        </is>
      </c>
      <c r="N228" s="22" t="inlineStr">
        <is>
          <t>미확인</t>
        </is>
      </c>
      <c r="O228" s="22" t="inlineStr">
        <is>
          <t>미확인</t>
        </is>
      </c>
      <c r="P228" s="17" t="inlineStr">
        <is>
          <t>통합형</t>
        </is>
      </c>
      <c r="Q228" s="22" t="inlineStr">
        <is>
          <t>미확인</t>
        </is>
      </c>
      <c r="R228" s="22" t="inlineStr">
        <is>
          <t>미확인</t>
        </is>
      </c>
      <c r="S228" s="17" t="inlineStr">
        <is>
          <t>Tier D</t>
        </is>
      </c>
      <c r="T228" s="17" t="n">
        <v>8</v>
      </c>
      <c r="U228" s="17" t="inlineStr">
        <is>
          <t>C151</t>
        </is>
      </c>
      <c r="V228" s="17" t="inlineStr">
        <is>
          <t>에이치엘비펩</t>
        </is>
      </c>
      <c r="W228" s="17" t="inlineStr"/>
      <c r="X228" s="17" t="inlineStr"/>
      <c r="Y228" s="23" t="inlineStr"/>
      <c r="Z228" s="17" t="inlineStr">
        <is>
          <t>심경재</t>
        </is>
      </c>
      <c r="AA228" s="17" t="inlineStr"/>
      <c r="AB228" s="17" t="inlineStr">
        <is>
          <t>070-4331-5130</t>
        </is>
      </c>
      <c r="AC228" s="17" t="inlineStr">
        <is>
          <t>미확인</t>
        </is>
      </c>
      <c r="AD228" s="17" t="inlineStr">
        <is>
          <t>Y</t>
        </is>
      </c>
      <c r="AE228" s="17" t="inlineStr">
        <is>
          <t>P161</t>
        </is>
      </c>
      <c r="AF228" s="17" t="inlineStr">
        <is>
          <t>전라남도 장성군 남면 나노산단로 123 전라남도 나노바이오센터 내 시험생산2동 (3층건물)</t>
        </is>
      </c>
      <c r="AG228" s="17" t="inlineStr">
        <is>
          <t>원료의약품</t>
        </is>
      </c>
      <c r="AH228" s="17" t="inlineStr">
        <is>
          <t>비무균-일반제제-합성</t>
        </is>
      </c>
      <c r="AI228" s="17" t="n">
        <v>1</v>
      </c>
      <c r="AJ228" s="24" t="n">
        <v>46961</v>
      </c>
      <c r="AK228" s="17" t="inlineStr"/>
      <c r="AL228" s="17" t="inlineStr"/>
      <c r="AM228" s="17" t="inlineStr">
        <is>
          <t>다중 제조소/다수 판정서로 문서관리 복잡; 원료 제조로 시험실 관리 필요</t>
        </is>
      </c>
      <c r="AN228" s="17" t="inlineStr">
        <is>
          <t>미확인</t>
        </is>
      </c>
      <c r="AO228" s="17" t="inlineStr">
        <is>
          <t>미확인</t>
        </is>
      </c>
      <c r="AP228" s="17" t="inlineStr">
        <is>
          <t>미확인</t>
        </is>
      </c>
      <c r="AQ228" s="17" t="inlineStr">
        <is>
          <t>담당자 파악 후 접촉</t>
        </is>
      </c>
      <c r="AR228" s="17" t="inlineStr">
        <is>
          <t>2026-07-05</t>
        </is>
      </c>
      <c r="AS228" s="17" t="inlineStr">
        <is>
          <t>C(부분확인)</t>
        </is>
      </c>
      <c r="AT228" s="17" t="n">
        <v>90</v>
      </c>
      <c r="AU228" s="17" t="inlineStr"/>
      <c r="AV228" s="17" t="inlineStr"/>
    </row>
    <row r="229">
      <c r="A229" s="27" t="inlineStr">
        <is>
          <t>Tier C</t>
        </is>
      </c>
      <c r="B229" s="17" t="n">
        <v>15</v>
      </c>
      <c r="C229" s="17" t="inlineStr">
        <is>
          <t>에이치엘비펩(주)</t>
        </is>
      </c>
      <c r="D229" s="17" t="inlineStr">
        <is>
          <t>에이치엘비펩(주)-오송</t>
        </is>
      </c>
      <c r="E229" s="17" t="inlineStr">
        <is>
          <t>충청북도</t>
        </is>
      </c>
      <c r="F229" s="17" t="inlineStr">
        <is>
          <t>청주시</t>
        </is>
      </c>
      <c r="G229" s="17" t="n">
        <v>2</v>
      </c>
      <c r="H229" s="17" t="inlineStr"/>
      <c r="I229" s="17" t="inlineStr"/>
      <c r="J229" s="17" t="inlineStr"/>
      <c r="K229" s="17" t="inlineStr">
        <is>
          <t>Y</t>
        </is>
      </c>
      <c r="L229" s="22" t="inlineStr">
        <is>
          <t>미확인</t>
        </is>
      </c>
      <c r="M229" s="22" t="inlineStr">
        <is>
          <t>미확인</t>
        </is>
      </c>
      <c r="N229" s="22" t="inlineStr">
        <is>
          <t>미확인</t>
        </is>
      </c>
      <c r="O229" s="22" t="inlineStr">
        <is>
          <t>미확인</t>
        </is>
      </c>
      <c r="P229" s="17" t="inlineStr">
        <is>
          <t>통합형</t>
        </is>
      </c>
      <c r="Q229" s="22" t="inlineStr">
        <is>
          <t>미확인</t>
        </is>
      </c>
      <c r="R229" s="22" t="inlineStr">
        <is>
          <t>미확인</t>
        </is>
      </c>
      <c r="S229" s="17" t="inlineStr">
        <is>
          <t>Tier D</t>
        </is>
      </c>
      <c r="T229" s="17" t="n">
        <v>8</v>
      </c>
      <c r="U229" s="17" t="inlineStr">
        <is>
          <t>C151</t>
        </is>
      </c>
      <c r="V229" s="17" t="inlineStr">
        <is>
          <t>에이치엘비펩</t>
        </is>
      </c>
      <c r="W229" s="17" t="inlineStr"/>
      <c r="X229" s="17" t="inlineStr"/>
      <c r="Y229" s="23" t="inlineStr"/>
      <c r="Z229" s="17" t="inlineStr">
        <is>
          <t>심경재</t>
        </is>
      </c>
      <c r="AA229" s="17" t="inlineStr"/>
      <c r="AB229" s="17" t="inlineStr">
        <is>
          <t>070-4331-5130</t>
        </is>
      </c>
      <c r="AC229" s="17" t="inlineStr">
        <is>
          <t>미확인</t>
        </is>
      </c>
      <c r="AD229" s="17" t="inlineStr">
        <is>
          <t>Y</t>
        </is>
      </c>
      <c r="AE229" s="17" t="inlineStr">
        <is>
          <t>P264</t>
        </is>
      </c>
      <c r="AF229" s="17" t="inlineStr">
        <is>
          <t>충청북도 청주시 흥덕구 오송읍 정중연제로 773</t>
        </is>
      </c>
      <c r="AG229" s="17" t="inlineStr">
        <is>
          <t>원료의약품</t>
        </is>
      </c>
      <c r="AH229" s="17" t="inlineStr">
        <is>
          <t>비무균-일반제제-합성</t>
        </is>
      </c>
      <c r="AI229" s="17" t="n">
        <v>1</v>
      </c>
      <c r="AJ229" s="24" t="n">
        <v>46842</v>
      </c>
      <c r="AK229" s="17" t="inlineStr"/>
      <c r="AL229" s="17" t="inlineStr"/>
      <c r="AM229" s="17" t="inlineStr">
        <is>
          <t>다중 제조소/다수 판정서로 문서관리 복잡; 원료 제조로 시험실 관리 필요</t>
        </is>
      </c>
      <c r="AN229" s="17" t="inlineStr">
        <is>
          <t>미확인</t>
        </is>
      </c>
      <c r="AO229" s="17" t="inlineStr">
        <is>
          <t>미확인</t>
        </is>
      </c>
      <c r="AP229" s="17" t="inlineStr">
        <is>
          <t>미확인</t>
        </is>
      </c>
      <c r="AQ229" s="17" t="inlineStr">
        <is>
          <t>담당자 파악 후 접촉</t>
        </is>
      </c>
      <c r="AR229" s="17" t="inlineStr">
        <is>
          <t>2026-07-05</t>
        </is>
      </c>
      <c r="AS229" s="17" t="inlineStr">
        <is>
          <t>C(부분확인)</t>
        </is>
      </c>
      <c r="AT229" s="17" t="n">
        <v>90</v>
      </c>
      <c r="AU229" s="17" t="inlineStr"/>
      <c r="AV229" s="17" t="inlineStr"/>
    </row>
    <row r="230">
      <c r="A230" s="27" t="inlineStr">
        <is>
          <t>Tier C</t>
        </is>
      </c>
      <c r="B230" s="17" t="n">
        <v>15</v>
      </c>
      <c r="C230" s="17" t="inlineStr">
        <is>
          <t>이니스트에스티(주)</t>
        </is>
      </c>
      <c r="D230" s="17" t="inlineStr">
        <is>
          <t>오송</t>
        </is>
      </c>
      <c r="E230" s="17" t="inlineStr">
        <is>
          <t>충청북도</t>
        </is>
      </c>
      <c r="F230" s="17" t="inlineStr">
        <is>
          <t>청주시</t>
        </is>
      </c>
      <c r="G230" s="17" t="n">
        <v>2</v>
      </c>
      <c r="H230" s="17" t="inlineStr"/>
      <c r="I230" s="17" t="inlineStr"/>
      <c r="J230" s="17" t="inlineStr"/>
      <c r="K230" s="17" t="inlineStr">
        <is>
          <t>Y</t>
        </is>
      </c>
      <c r="L230" s="22" t="inlineStr">
        <is>
          <t>미확인</t>
        </is>
      </c>
      <c r="M230" s="22" t="inlineStr">
        <is>
          <t>미확인</t>
        </is>
      </c>
      <c r="N230" s="22" t="inlineStr">
        <is>
          <t>미확인</t>
        </is>
      </c>
      <c r="O230" s="22" t="inlineStr">
        <is>
          <t>미확인</t>
        </is>
      </c>
      <c r="P230" s="17" t="inlineStr">
        <is>
          <t>통합형</t>
        </is>
      </c>
      <c r="Q230" s="22" t="inlineStr">
        <is>
          <t>미확인</t>
        </is>
      </c>
      <c r="R230" s="22" t="inlineStr">
        <is>
          <t>미확인</t>
        </is>
      </c>
      <c r="S230" s="17" t="inlineStr">
        <is>
          <t>Tier D</t>
        </is>
      </c>
      <c r="T230" s="17" t="n">
        <v>8</v>
      </c>
      <c r="U230" s="17" t="inlineStr">
        <is>
          <t>C165</t>
        </is>
      </c>
      <c r="V230" s="17" t="inlineStr">
        <is>
          <t>이니스트에스티</t>
        </is>
      </c>
      <c r="W230" s="17" t="inlineStr"/>
      <c r="X230" s="17" t="inlineStr"/>
      <c r="Y230" s="23" t="inlineStr"/>
      <c r="Z230" s="17" t="inlineStr">
        <is>
          <t>한쌍수</t>
        </is>
      </c>
      <c r="AA230" s="17" t="inlineStr"/>
      <c r="AB230" s="17" t="inlineStr">
        <is>
          <t>031-669-9515</t>
        </is>
      </c>
      <c r="AC230" s="17" t="inlineStr">
        <is>
          <t>미확인</t>
        </is>
      </c>
      <c r="AD230" s="17" t="inlineStr">
        <is>
          <t>Y</t>
        </is>
      </c>
      <c r="AE230" s="17" t="inlineStr">
        <is>
          <t>P178</t>
        </is>
      </c>
      <c r="AF230" s="17" t="inlineStr">
        <is>
          <t>충청북도 청주시 흥덕구 오송읍 오송생명6로 54</t>
        </is>
      </c>
      <c r="AG230" s="17" t="inlineStr">
        <is>
          <t>원료의약품</t>
        </is>
      </c>
      <c r="AH230" s="17" t="inlineStr">
        <is>
          <t>비무균-일반제제-합성</t>
        </is>
      </c>
      <c r="AI230" s="17" t="n">
        <v>1</v>
      </c>
      <c r="AJ230" s="24" t="n">
        <v>46946</v>
      </c>
      <c r="AK230" s="17" t="inlineStr"/>
      <c r="AL230" s="17" t="inlineStr"/>
      <c r="AM230" s="17" t="inlineStr">
        <is>
          <t>다중 제조소/다수 판정서로 문서관리 복잡; 원료 제조로 시험실 관리 필요</t>
        </is>
      </c>
      <c r="AN230" s="17" t="inlineStr">
        <is>
          <t>미확인</t>
        </is>
      </c>
      <c r="AO230" s="17" t="inlineStr">
        <is>
          <t>미확인</t>
        </is>
      </c>
      <c r="AP230" s="17" t="inlineStr">
        <is>
          <t>미확인</t>
        </is>
      </c>
      <c r="AQ230" s="17" t="inlineStr">
        <is>
          <t>담당자 파악 후 접촉</t>
        </is>
      </c>
      <c r="AR230" s="17" t="inlineStr">
        <is>
          <t>2026-07-05</t>
        </is>
      </c>
      <c r="AS230" s="17" t="inlineStr">
        <is>
          <t>C(부분확인)</t>
        </is>
      </c>
      <c r="AT230" s="17" t="n">
        <v>90</v>
      </c>
      <c r="AU230" s="17" t="inlineStr"/>
      <c r="AV230" s="17" t="inlineStr"/>
    </row>
    <row r="231">
      <c r="A231" s="27" t="inlineStr">
        <is>
          <t>Tier C</t>
        </is>
      </c>
      <c r="B231" s="17" t="n">
        <v>15</v>
      </c>
      <c r="C231" s="17" t="inlineStr">
        <is>
          <t>이니스트에스티(주)</t>
        </is>
      </c>
      <c r="D231" s="17" t="inlineStr">
        <is>
          <t>음성</t>
        </is>
      </c>
      <c r="E231" s="17" t="inlineStr">
        <is>
          <t>충청북도</t>
        </is>
      </c>
      <c r="F231" s="17" t="inlineStr">
        <is>
          <t>음성군</t>
        </is>
      </c>
      <c r="G231" s="17" t="n">
        <v>2</v>
      </c>
      <c r="H231" s="17" t="inlineStr"/>
      <c r="I231" s="17" t="inlineStr"/>
      <c r="J231" s="17" t="inlineStr"/>
      <c r="K231" s="17" t="inlineStr">
        <is>
          <t>Y</t>
        </is>
      </c>
      <c r="L231" s="22" t="inlineStr">
        <is>
          <t>미확인</t>
        </is>
      </c>
      <c r="M231" s="22" t="inlineStr">
        <is>
          <t>미확인</t>
        </is>
      </c>
      <c r="N231" s="22" t="inlineStr">
        <is>
          <t>미확인</t>
        </is>
      </c>
      <c r="O231" s="22" t="inlineStr">
        <is>
          <t>미확인</t>
        </is>
      </c>
      <c r="P231" s="17" t="inlineStr">
        <is>
          <t>통합형</t>
        </is>
      </c>
      <c r="Q231" s="22" t="inlineStr">
        <is>
          <t>미확인</t>
        </is>
      </c>
      <c r="R231" s="22" t="inlineStr">
        <is>
          <t>미확인</t>
        </is>
      </c>
      <c r="S231" s="17" t="inlineStr">
        <is>
          <t>Tier D</t>
        </is>
      </c>
      <c r="T231" s="17" t="n">
        <v>8</v>
      </c>
      <c r="U231" s="17" t="inlineStr">
        <is>
          <t>C165</t>
        </is>
      </c>
      <c r="V231" s="17" t="inlineStr">
        <is>
          <t>이니스트에스티</t>
        </is>
      </c>
      <c r="W231" s="17" t="inlineStr"/>
      <c r="X231" s="17" t="inlineStr"/>
      <c r="Y231" s="23" t="inlineStr"/>
      <c r="Z231" s="17" t="inlineStr">
        <is>
          <t>한쌍수</t>
        </is>
      </c>
      <c r="AA231" s="17" t="inlineStr"/>
      <c r="AB231" s="17" t="inlineStr">
        <is>
          <t>031-669-9515</t>
        </is>
      </c>
      <c r="AC231" s="17" t="inlineStr">
        <is>
          <t>미확인</t>
        </is>
      </c>
      <c r="AD231" s="17" t="inlineStr">
        <is>
          <t>Y</t>
        </is>
      </c>
      <c r="AE231" s="17" t="inlineStr">
        <is>
          <t>P357</t>
        </is>
      </c>
      <c r="AF231" s="17" t="inlineStr">
        <is>
          <t>충청북도 음성군 금왕읍 신내로 500</t>
        </is>
      </c>
      <c r="AG231" s="17" t="inlineStr">
        <is>
          <t>원료의약품</t>
        </is>
      </c>
      <c r="AH231" s="17" t="inlineStr">
        <is>
          <t>비무균-일반제제-합성</t>
        </is>
      </c>
      <c r="AI231" s="17" t="n">
        <v>1</v>
      </c>
      <c r="AJ231" s="24" t="n">
        <v>46578</v>
      </c>
      <c r="AK231" s="17" t="inlineStr"/>
      <c r="AL231" s="17" t="inlineStr"/>
      <c r="AM231" s="17" t="inlineStr">
        <is>
          <t>다중 제조소/다수 판정서로 문서관리 복잡; 원료 제조로 시험실 관리 필요</t>
        </is>
      </c>
      <c r="AN231" s="17" t="inlineStr">
        <is>
          <t>미확인</t>
        </is>
      </c>
      <c r="AO231" s="17" t="inlineStr">
        <is>
          <t>미확인</t>
        </is>
      </c>
      <c r="AP231" s="17" t="inlineStr">
        <is>
          <t>미확인</t>
        </is>
      </c>
      <c r="AQ231" s="17" t="inlineStr">
        <is>
          <t>담당자 파악 후 접촉</t>
        </is>
      </c>
      <c r="AR231" s="17" t="inlineStr">
        <is>
          <t>2026-07-05</t>
        </is>
      </c>
      <c r="AS231" s="17" t="inlineStr">
        <is>
          <t>C(부분확인)</t>
        </is>
      </c>
      <c r="AT231" s="17" t="n">
        <v>90</v>
      </c>
      <c r="AU231" s="17" t="inlineStr"/>
      <c r="AV231" s="17" t="inlineStr"/>
    </row>
    <row r="232">
      <c r="A232" s="27" t="inlineStr">
        <is>
          <t>Tier C</t>
        </is>
      </c>
      <c r="B232" s="17" t="n">
        <v>15</v>
      </c>
      <c r="C232" s="17" t="inlineStr">
        <is>
          <t>주식회사 유한화학</t>
        </is>
      </c>
      <c r="D232" s="17" t="inlineStr">
        <is>
          <t>소분</t>
        </is>
      </c>
      <c r="E232" s="17" t="inlineStr">
        <is>
          <t>경기도</t>
        </is>
      </c>
      <c r="F232" s="17" t="inlineStr">
        <is>
          <t>안산시</t>
        </is>
      </c>
      <c r="G232" s="17" t="n">
        <v>2</v>
      </c>
      <c r="H232" s="17" t="inlineStr"/>
      <c r="I232" s="17" t="inlineStr"/>
      <c r="J232" s="17" t="inlineStr"/>
      <c r="K232" s="17" t="inlineStr">
        <is>
          <t>Y</t>
        </is>
      </c>
      <c r="L232" s="22" t="inlineStr">
        <is>
          <t>미확인</t>
        </is>
      </c>
      <c r="M232" s="22" t="inlineStr">
        <is>
          <t>미확인</t>
        </is>
      </c>
      <c r="N232" s="22" t="inlineStr">
        <is>
          <t>미확인</t>
        </is>
      </c>
      <c r="O232" s="22" t="inlineStr">
        <is>
          <t>미확인</t>
        </is>
      </c>
      <c r="P232" s="17" t="inlineStr">
        <is>
          <t>통합형</t>
        </is>
      </c>
      <c r="Q232" s="22" t="inlineStr">
        <is>
          <t>미확인</t>
        </is>
      </c>
      <c r="R232" s="22" t="inlineStr">
        <is>
          <t>미확인</t>
        </is>
      </c>
      <c r="S232" s="17" t="inlineStr">
        <is>
          <t>Tier D</t>
        </is>
      </c>
      <c r="T232" s="17" t="n">
        <v>8</v>
      </c>
      <c r="U232" s="17" t="inlineStr">
        <is>
          <t>C087</t>
        </is>
      </c>
      <c r="V232" s="17" t="inlineStr">
        <is>
          <t>유한화학</t>
        </is>
      </c>
      <c r="W232" s="17" t="inlineStr"/>
      <c r="X232" s="17" t="inlineStr"/>
      <c r="Y232" s="23" t="inlineStr"/>
      <c r="Z232" s="17" t="inlineStr">
        <is>
          <t>이영래</t>
        </is>
      </c>
      <c r="AA232" s="17" t="inlineStr"/>
      <c r="AB232" s="17" t="inlineStr">
        <is>
          <t>031-499-4111</t>
        </is>
      </c>
      <c r="AC232" s="17" t="inlineStr">
        <is>
          <t>미확인</t>
        </is>
      </c>
      <c r="AD232" s="17" t="inlineStr">
        <is>
          <t>Y</t>
        </is>
      </c>
      <c r="AE232" s="17" t="inlineStr">
        <is>
          <t>P089</t>
        </is>
      </c>
      <c r="AF232" s="17" t="inlineStr">
        <is>
          <t>경기도 안산시 단원구 지원로 45 시화공단 5바 402호 (성곡동)</t>
        </is>
      </c>
      <c r="AG232" s="17" t="inlineStr">
        <is>
          <t>원료의약품</t>
        </is>
      </c>
      <c r="AH232" s="17" t="inlineStr">
        <is>
          <t>비무균-일반제제-합성</t>
        </is>
      </c>
      <c r="AI232" s="17" t="n">
        <v>1</v>
      </c>
      <c r="AJ232" s="24" t="n">
        <v>47135</v>
      </c>
      <c r="AK232" s="17" t="inlineStr"/>
      <c r="AL232" s="17" t="inlineStr"/>
      <c r="AM232" s="17" t="inlineStr">
        <is>
          <t>다중 제조소/다수 판정서로 문서관리 복잡; 원료 제조로 시험실 관리 필요</t>
        </is>
      </c>
      <c r="AN232" s="17" t="inlineStr">
        <is>
          <t>미확인</t>
        </is>
      </c>
      <c r="AO232" s="17" t="inlineStr">
        <is>
          <t>미확인</t>
        </is>
      </c>
      <c r="AP232" s="17" t="inlineStr">
        <is>
          <t>미확인</t>
        </is>
      </c>
      <c r="AQ232" s="17" t="inlineStr">
        <is>
          <t>담당자 파악 후 접촉</t>
        </is>
      </c>
      <c r="AR232" s="17" t="inlineStr">
        <is>
          <t>2026-07-05</t>
        </is>
      </c>
      <c r="AS232" s="17" t="inlineStr">
        <is>
          <t>C(부분확인)</t>
        </is>
      </c>
      <c r="AT232" s="17" t="n">
        <v>90</v>
      </c>
      <c r="AU232" s="17" t="inlineStr"/>
      <c r="AV232" s="17" t="inlineStr"/>
    </row>
    <row r="233">
      <c r="A233" s="27" t="inlineStr">
        <is>
          <t>Tier C</t>
        </is>
      </c>
      <c r="B233" s="17" t="n">
        <v>15</v>
      </c>
      <c r="C233" s="17" t="inlineStr">
        <is>
          <t>주식회사 유한화학</t>
        </is>
      </c>
      <c r="D233" s="17" t="inlineStr">
        <is>
          <t>화성</t>
        </is>
      </c>
      <c r="E233" s="17" t="inlineStr">
        <is>
          <t>경기도</t>
        </is>
      </c>
      <c r="F233" s="17" t="inlineStr">
        <is>
          <t>화성시</t>
        </is>
      </c>
      <c r="G233" s="17" t="n">
        <v>2</v>
      </c>
      <c r="H233" s="17" t="inlineStr"/>
      <c r="I233" s="17" t="inlineStr"/>
      <c r="J233" s="17" t="inlineStr"/>
      <c r="K233" s="17" t="inlineStr">
        <is>
          <t>Y</t>
        </is>
      </c>
      <c r="L233" s="22" t="inlineStr">
        <is>
          <t>미확인</t>
        </is>
      </c>
      <c r="M233" s="22" t="inlineStr">
        <is>
          <t>미확인</t>
        </is>
      </c>
      <c r="N233" s="22" t="inlineStr">
        <is>
          <t>미확인</t>
        </is>
      </c>
      <c r="O233" s="22" t="inlineStr">
        <is>
          <t>미확인</t>
        </is>
      </c>
      <c r="P233" s="17" t="inlineStr">
        <is>
          <t>통합형</t>
        </is>
      </c>
      <c r="Q233" s="22" t="inlineStr">
        <is>
          <t>미확인</t>
        </is>
      </c>
      <c r="R233" s="22" t="inlineStr">
        <is>
          <t>미확인</t>
        </is>
      </c>
      <c r="S233" s="17" t="inlineStr">
        <is>
          <t>Tier D</t>
        </is>
      </c>
      <c r="T233" s="17" t="n">
        <v>8</v>
      </c>
      <c r="U233" s="17" t="inlineStr">
        <is>
          <t>C087</t>
        </is>
      </c>
      <c r="V233" s="17" t="inlineStr">
        <is>
          <t>유한화학</t>
        </is>
      </c>
      <c r="W233" s="17" t="inlineStr"/>
      <c r="X233" s="17" t="inlineStr"/>
      <c r="Y233" s="23" t="inlineStr"/>
      <c r="Z233" s="17" t="inlineStr">
        <is>
          <t>이영래</t>
        </is>
      </c>
      <c r="AA233" s="17" t="inlineStr"/>
      <c r="AB233" s="17" t="inlineStr">
        <is>
          <t>031-499-4111</t>
        </is>
      </c>
      <c r="AC233" s="17" t="inlineStr">
        <is>
          <t>미확인</t>
        </is>
      </c>
      <c r="AD233" s="17" t="inlineStr">
        <is>
          <t>Y</t>
        </is>
      </c>
      <c r="AE233" s="17" t="inlineStr">
        <is>
          <t>P257</t>
        </is>
      </c>
      <c r="AF233" s="17" t="inlineStr">
        <is>
          <t>경기도 화성시 만세구 마도면 청원산단8길 162</t>
        </is>
      </c>
      <c r="AG233" s="17" t="inlineStr">
        <is>
          <t>원료의약품</t>
        </is>
      </c>
      <c r="AH233" s="17" t="inlineStr">
        <is>
          <t>비무균-일반제제-합성</t>
        </is>
      </c>
      <c r="AI233" s="17" t="n">
        <v>1</v>
      </c>
      <c r="AJ233" s="24" t="n">
        <v>46849</v>
      </c>
      <c r="AK233" s="17" t="inlineStr"/>
      <c r="AL233" s="17" t="inlineStr"/>
      <c r="AM233" s="17" t="inlineStr">
        <is>
          <t>다중 제조소/다수 판정서로 문서관리 복잡; 원료 제조로 시험실 관리 필요</t>
        </is>
      </c>
      <c r="AN233" s="17" t="inlineStr">
        <is>
          <t>미확인</t>
        </is>
      </c>
      <c r="AO233" s="17" t="inlineStr">
        <is>
          <t>미확인</t>
        </is>
      </c>
      <c r="AP233" s="17" t="inlineStr">
        <is>
          <t>미확인</t>
        </is>
      </c>
      <c r="AQ233" s="17" t="inlineStr">
        <is>
          <t>담당자 파악 후 접촉</t>
        </is>
      </c>
      <c r="AR233" s="17" t="inlineStr">
        <is>
          <t>2026-07-05</t>
        </is>
      </c>
      <c r="AS233" s="17" t="inlineStr">
        <is>
          <t>C(부분확인)</t>
        </is>
      </c>
      <c r="AT233" s="17" t="n">
        <v>90</v>
      </c>
      <c r="AU233" s="17" t="inlineStr"/>
      <c r="AV233" s="17" t="inlineStr"/>
    </row>
    <row r="234">
      <c r="A234" s="27" t="inlineStr">
        <is>
          <t>Tier C</t>
        </is>
      </c>
      <c r="B234" s="17" t="n">
        <v>15</v>
      </c>
      <c r="C234" s="17" t="inlineStr">
        <is>
          <t>한국프라임제약(주)</t>
        </is>
      </c>
      <c r="D234" s="17" t="inlineStr">
        <is>
          <t>미확인</t>
        </is>
      </c>
      <c r="E234" s="17" t="inlineStr">
        <is>
          <t>전북특별자치도</t>
        </is>
      </c>
      <c r="F234" s="17" t="inlineStr">
        <is>
          <t>완주군</t>
        </is>
      </c>
      <c r="G234" s="17" t="n">
        <v>2</v>
      </c>
      <c r="H234" s="17" t="inlineStr"/>
      <c r="I234" s="17" t="inlineStr"/>
      <c r="J234" s="17" t="inlineStr">
        <is>
          <t>Y</t>
        </is>
      </c>
      <c r="K234" s="17" t="inlineStr">
        <is>
          <t>Y</t>
        </is>
      </c>
      <c r="L234" s="22" t="inlineStr">
        <is>
          <t>미확인</t>
        </is>
      </c>
      <c r="M234" s="22" t="inlineStr">
        <is>
          <t>미확인</t>
        </is>
      </c>
      <c r="N234" s="22" t="inlineStr">
        <is>
          <t>미확인</t>
        </is>
      </c>
      <c r="O234" s="22" t="inlineStr">
        <is>
          <t>미확인</t>
        </is>
      </c>
      <c r="P234" s="17" t="inlineStr">
        <is>
          <t>통합형</t>
        </is>
      </c>
      <c r="Q234" s="22" t="inlineStr">
        <is>
          <t>미확인</t>
        </is>
      </c>
      <c r="R234" s="22" t="inlineStr">
        <is>
          <t>미확인</t>
        </is>
      </c>
      <c r="S234" s="17" t="inlineStr">
        <is>
          <t>Tier D</t>
        </is>
      </c>
      <c r="T234" s="17" t="n">
        <v>8</v>
      </c>
      <c r="U234" s="17" t="inlineStr">
        <is>
          <t>C059</t>
        </is>
      </c>
      <c r="V234" s="17" t="inlineStr">
        <is>
          <t>한국프라임제약</t>
        </is>
      </c>
      <c r="W234" s="17" t="inlineStr"/>
      <c r="X234" s="17" t="inlineStr"/>
      <c r="Y234" s="23" t="inlineStr"/>
      <c r="Z234" s="17" t="inlineStr">
        <is>
          <t>김대익</t>
        </is>
      </c>
      <c r="AA234" s="17" t="inlineStr"/>
      <c r="AB234" s="17" t="inlineStr">
        <is>
          <t>미확인</t>
        </is>
      </c>
      <c r="AC234" s="17" t="inlineStr">
        <is>
          <t>미확인</t>
        </is>
      </c>
      <c r="AD234" s="17" t="inlineStr">
        <is>
          <t>Y</t>
        </is>
      </c>
      <c r="AE234" s="17" t="inlineStr">
        <is>
          <t>P061</t>
        </is>
      </c>
      <c r="AF234" s="17" t="inlineStr">
        <is>
          <t>전북특별자치도 완주군 봉동읍 완주산단9로 100</t>
        </is>
      </c>
      <c r="AG234" s="17" t="inlineStr">
        <is>
          <t>완제의약품</t>
        </is>
      </c>
      <c r="AH234" s="17" t="inlineStr">
        <is>
          <t>비무균-일반제제-내용고형제(정제, 캡슐제)</t>
        </is>
      </c>
      <c r="AI234" s="17" t="n">
        <v>1</v>
      </c>
      <c r="AJ234" s="24" t="n">
        <v>47191</v>
      </c>
      <c r="AK234" s="17" t="inlineStr"/>
      <c r="AL234" s="17" t="inlineStr"/>
      <c r="AM234" s="17" t="inlineStr">
        <is>
          <t>다중 제조소/다수 판정서로 문서관리 복잡; 원료 제조로 시험실 관리 필요</t>
        </is>
      </c>
      <c r="AN234" s="17" t="inlineStr">
        <is>
          <t>미확인</t>
        </is>
      </c>
      <c r="AO234" s="17" t="inlineStr">
        <is>
          <t>미확인</t>
        </is>
      </c>
      <c r="AP234" s="17" t="inlineStr">
        <is>
          <t>미확인</t>
        </is>
      </c>
      <c r="AQ234" s="17" t="inlineStr">
        <is>
          <t>담당자 파악 후 접촉</t>
        </is>
      </c>
      <c r="AR234" s="17" t="inlineStr">
        <is>
          <t>2026-07-05</t>
        </is>
      </c>
      <c r="AS234" s="17" t="inlineStr">
        <is>
          <t>C(부분확인)</t>
        </is>
      </c>
      <c r="AT234" s="17" t="n">
        <v>0</v>
      </c>
      <c r="AU234" s="17" t="inlineStr">
        <is>
          <t>Y</t>
        </is>
      </c>
      <c r="AV234" s="17" t="inlineStr"/>
    </row>
    <row r="235">
      <c r="A235" s="27" t="inlineStr">
        <is>
          <t>Tier C</t>
        </is>
      </c>
      <c r="B235" s="17" t="n">
        <v>15</v>
      </c>
      <c r="C235" s="17" t="inlineStr">
        <is>
          <t>한국프라임제약(주)</t>
        </is>
      </c>
      <c r="D235" s="17" t="inlineStr">
        <is>
          <t>미확인</t>
        </is>
      </c>
      <c r="E235" s="17" t="inlineStr">
        <is>
          <t>전북특별자치도</t>
        </is>
      </c>
      <c r="F235" s="17" t="inlineStr">
        <is>
          <t>완주군</t>
        </is>
      </c>
      <c r="G235" s="17" t="n">
        <v>2</v>
      </c>
      <c r="H235" s="17" t="inlineStr"/>
      <c r="I235" s="17" t="inlineStr"/>
      <c r="J235" s="17" t="inlineStr">
        <is>
          <t>Y</t>
        </is>
      </c>
      <c r="K235" s="17" t="inlineStr">
        <is>
          <t>Y</t>
        </is>
      </c>
      <c r="L235" s="22" t="inlineStr">
        <is>
          <t>미확인</t>
        </is>
      </c>
      <c r="M235" s="22" t="inlineStr">
        <is>
          <t>미확인</t>
        </is>
      </c>
      <c r="N235" s="22" t="inlineStr">
        <is>
          <t>미확인</t>
        </is>
      </c>
      <c r="O235" s="22" t="inlineStr">
        <is>
          <t>미확인</t>
        </is>
      </c>
      <c r="P235" s="17" t="inlineStr">
        <is>
          <t>통합형</t>
        </is>
      </c>
      <c r="Q235" s="22" t="inlineStr">
        <is>
          <t>미확인</t>
        </is>
      </c>
      <c r="R235" s="22" t="inlineStr">
        <is>
          <t>미확인</t>
        </is>
      </c>
      <c r="S235" s="17" t="inlineStr">
        <is>
          <t>Tier D</t>
        </is>
      </c>
      <c r="T235" s="17" t="n">
        <v>8</v>
      </c>
      <c r="U235" s="17" t="inlineStr">
        <is>
          <t>C059</t>
        </is>
      </c>
      <c r="V235" s="17" t="inlineStr">
        <is>
          <t>한국프라임제약</t>
        </is>
      </c>
      <c r="W235" s="17" t="inlineStr"/>
      <c r="X235" s="17" t="inlineStr"/>
      <c r="Y235" s="23" t="inlineStr"/>
      <c r="Z235" s="17" t="inlineStr">
        <is>
          <t>김대익</t>
        </is>
      </c>
      <c r="AA235" s="17" t="inlineStr"/>
      <c r="AB235" s="17" t="inlineStr">
        <is>
          <t>미확인</t>
        </is>
      </c>
      <c r="AC235" s="17" t="inlineStr">
        <is>
          <t>미확인</t>
        </is>
      </c>
      <c r="AD235" s="17" t="inlineStr">
        <is>
          <t>Y</t>
        </is>
      </c>
      <c r="AE235" s="17" t="inlineStr">
        <is>
          <t>P262</t>
        </is>
      </c>
      <c r="AF235" s="17" t="inlineStr">
        <is>
          <t>전북특별자치도 완주군 봉동읍 완주산단6로 209</t>
        </is>
      </c>
      <c r="AG235" s="17" t="inlineStr">
        <is>
          <t>원료의약품</t>
        </is>
      </c>
      <c r="AH235" s="17" t="inlineStr">
        <is>
          <t>비무균-일반제제-정제(합성에 한함)</t>
        </is>
      </c>
      <c r="AI235" s="17" t="n">
        <v>1</v>
      </c>
      <c r="AJ235" s="24" t="n">
        <v>46847</v>
      </c>
      <c r="AK235" s="17" t="inlineStr"/>
      <c r="AL235" s="17" t="inlineStr"/>
      <c r="AM235" s="17" t="inlineStr">
        <is>
          <t>다중 제조소/다수 판정서로 문서관리 복잡; 원료 제조로 시험실 관리 필요</t>
        </is>
      </c>
      <c r="AN235" s="17" t="inlineStr">
        <is>
          <t>미확인</t>
        </is>
      </c>
      <c r="AO235" s="17" t="inlineStr">
        <is>
          <t>미확인</t>
        </is>
      </c>
      <c r="AP235" s="17" t="inlineStr">
        <is>
          <t>미확인</t>
        </is>
      </c>
      <c r="AQ235" s="17" t="inlineStr">
        <is>
          <t>담당자 파악 후 접촉</t>
        </is>
      </c>
      <c r="AR235" s="17" t="inlineStr">
        <is>
          <t>2026-07-05</t>
        </is>
      </c>
      <c r="AS235" s="17" t="inlineStr">
        <is>
          <t>C(부분확인)</t>
        </is>
      </c>
      <c r="AT235" s="17" t="n">
        <v>0</v>
      </c>
      <c r="AU235" s="17" t="inlineStr">
        <is>
          <t>Y</t>
        </is>
      </c>
      <c r="AV235" s="17" t="inlineStr"/>
    </row>
    <row r="236">
      <c r="A236" s="27" t="inlineStr">
        <is>
          <t>Tier C</t>
        </is>
      </c>
      <c r="B236" s="17" t="n">
        <v>15</v>
      </c>
      <c r="C236" s="17" t="inlineStr">
        <is>
          <t>한성산업(주)</t>
        </is>
      </c>
      <c r="D236" s="17" t="inlineStr">
        <is>
          <t>경주</t>
        </is>
      </c>
      <c r="E236" s="17" t="inlineStr">
        <is>
          <t>경상북도</t>
        </is>
      </c>
      <c r="F236" s="17" t="inlineStr">
        <is>
          <t>경주시</t>
        </is>
      </c>
      <c r="G236" s="17" t="n">
        <v>2</v>
      </c>
      <c r="H236" s="17" t="inlineStr"/>
      <c r="I236" s="17" t="inlineStr"/>
      <c r="J236" s="17" t="inlineStr">
        <is>
          <t>Y</t>
        </is>
      </c>
      <c r="K236" s="17" t="inlineStr"/>
      <c r="L236" s="22" t="inlineStr">
        <is>
          <t>미확인</t>
        </is>
      </c>
      <c r="M236" s="22" t="inlineStr">
        <is>
          <t>미확인</t>
        </is>
      </c>
      <c r="N236" s="22" t="inlineStr">
        <is>
          <t>미확인</t>
        </is>
      </c>
      <c r="O236" s="22" t="inlineStr">
        <is>
          <t>미확인</t>
        </is>
      </c>
      <c r="P236" s="17" t="inlineStr">
        <is>
          <t>EDMS+QMS+LMS</t>
        </is>
      </c>
      <c r="Q236" s="22" t="inlineStr">
        <is>
          <t>미확인</t>
        </is>
      </c>
      <c r="R236" s="22" t="inlineStr">
        <is>
          <t>미확인</t>
        </is>
      </c>
      <c r="S236" s="17" t="inlineStr">
        <is>
          <t>Tier D</t>
        </is>
      </c>
      <c r="T236" s="17" t="n">
        <v>13</v>
      </c>
      <c r="U236" s="17" t="inlineStr">
        <is>
          <t>C233</t>
        </is>
      </c>
      <c r="V236" s="17" t="inlineStr">
        <is>
          <t>한성산업</t>
        </is>
      </c>
      <c r="W236" s="17" t="inlineStr"/>
      <c r="X236" s="17" t="inlineStr"/>
      <c r="Y236" s="23" t="inlineStr"/>
      <c r="Z236" s="17" t="inlineStr">
        <is>
          <t>이재하</t>
        </is>
      </c>
      <c r="AA236" s="17" t="inlineStr"/>
      <c r="AB236" s="17" t="inlineStr">
        <is>
          <t>054-776-0001</t>
        </is>
      </c>
      <c r="AC236" s="17" t="inlineStr">
        <is>
          <t>미확인</t>
        </is>
      </c>
      <c r="AD236" s="17" t="inlineStr">
        <is>
          <t>Y</t>
        </is>
      </c>
      <c r="AE236" s="17" t="inlineStr">
        <is>
          <t>P259</t>
        </is>
      </c>
      <c r="AF236" s="17" t="inlineStr">
        <is>
          <t>경상북도 경주시 광중길 18</t>
        </is>
      </c>
      <c r="AG236" s="17" t="inlineStr">
        <is>
          <t>완제의약품</t>
        </is>
      </c>
      <c r="AH236" s="17" t="inlineStr">
        <is>
          <t>비무균-일반제제(의료용 고압가스)-가스제(의료용 고압가스)</t>
        </is>
      </c>
      <c r="AI236" s="17" t="n">
        <v>1</v>
      </c>
      <c r="AJ236" s="24" t="n">
        <v>46849</v>
      </c>
      <c r="AK236" s="17" t="inlineStr"/>
      <c r="AL236" s="17" t="inlineStr"/>
      <c r="AM236" s="17" t="inlineStr">
        <is>
          <t>다중 제조소/다수 판정서로 문서관리 복잡; 다중 제조소로 교육관리 대상 광범위</t>
        </is>
      </c>
      <c r="AN236" s="17" t="inlineStr">
        <is>
          <t>미확인</t>
        </is>
      </c>
      <c r="AO236" s="17" t="inlineStr">
        <is>
          <t>미확인</t>
        </is>
      </c>
      <c r="AP236" s="17" t="inlineStr">
        <is>
          <t>미확인</t>
        </is>
      </c>
      <c r="AQ236" s="17" t="inlineStr">
        <is>
          <t>담당자 파악 후 접촉</t>
        </is>
      </c>
      <c r="AR236" s="17" t="inlineStr">
        <is>
          <t>2026-07-05</t>
        </is>
      </c>
      <c r="AS236" s="17" t="inlineStr">
        <is>
          <t>C(부분확인)</t>
        </is>
      </c>
      <c r="AT236" s="17" t="n">
        <v>90</v>
      </c>
      <c r="AU236" s="17" t="inlineStr"/>
      <c r="AV236" s="17" t="inlineStr"/>
    </row>
    <row r="237">
      <c r="A237" s="27" t="inlineStr">
        <is>
          <t>Tier C</t>
        </is>
      </c>
      <c r="B237" s="17" t="n">
        <v>15</v>
      </c>
      <c r="C237" s="17" t="inlineStr">
        <is>
          <t>한성산업(주)</t>
        </is>
      </c>
      <c r="D237" s="17" t="inlineStr">
        <is>
          <t>사상</t>
        </is>
      </c>
      <c r="E237" s="17" t="inlineStr">
        <is>
          <t>부산광역시</t>
        </is>
      </c>
      <c r="F237" s="17" t="inlineStr">
        <is>
          <t>사상구</t>
        </is>
      </c>
      <c r="G237" s="17" t="n">
        <v>2</v>
      </c>
      <c r="H237" s="17" t="inlineStr"/>
      <c r="I237" s="17" t="inlineStr"/>
      <c r="J237" s="17" t="inlineStr">
        <is>
          <t>Y</t>
        </is>
      </c>
      <c r="K237" s="17" t="inlineStr"/>
      <c r="L237" s="22" t="inlineStr">
        <is>
          <t>미확인</t>
        </is>
      </c>
      <c r="M237" s="22" t="inlineStr">
        <is>
          <t>미확인</t>
        </is>
      </c>
      <c r="N237" s="22" t="inlineStr">
        <is>
          <t>미확인</t>
        </is>
      </c>
      <c r="O237" s="22" t="inlineStr">
        <is>
          <t>미확인</t>
        </is>
      </c>
      <c r="P237" s="17" t="inlineStr">
        <is>
          <t>EDMS+QMS+LMS</t>
        </is>
      </c>
      <c r="Q237" s="22" t="inlineStr">
        <is>
          <t>미확인</t>
        </is>
      </c>
      <c r="R237" s="22" t="inlineStr">
        <is>
          <t>미확인</t>
        </is>
      </c>
      <c r="S237" s="17" t="inlineStr">
        <is>
          <t>Tier D</t>
        </is>
      </c>
      <c r="T237" s="17" t="n">
        <v>13</v>
      </c>
      <c r="U237" s="17" t="inlineStr">
        <is>
          <t>C233</t>
        </is>
      </c>
      <c r="V237" s="17" t="inlineStr">
        <is>
          <t>한성산업</t>
        </is>
      </c>
      <c r="W237" s="17" t="inlineStr"/>
      <c r="X237" s="17" t="inlineStr"/>
      <c r="Y237" s="23" t="inlineStr"/>
      <c r="Z237" s="17" t="inlineStr">
        <is>
          <t>이재하</t>
        </is>
      </c>
      <c r="AA237" s="17" t="inlineStr"/>
      <c r="AB237" s="17" t="inlineStr">
        <is>
          <t>054-776-0001</t>
        </is>
      </c>
      <c r="AC237" s="17" t="inlineStr">
        <is>
          <t>미확인</t>
        </is>
      </c>
      <c r="AD237" s="17" t="inlineStr">
        <is>
          <t>Y</t>
        </is>
      </c>
      <c r="AE237" s="17" t="inlineStr">
        <is>
          <t>P473</t>
        </is>
      </c>
      <c r="AF237" s="17" t="inlineStr">
        <is>
          <t>부산광역시 사상구 낙동대로915번길 12</t>
        </is>
      </c>
      <c r="AG237" s="17" t="inlineStr">
        <is>
          <t>완제의약품</t>
        </is>
      </c>
      <c r="AH237" s="17" t="inlineStr">
        <is>
          <t>비무균-일반제제(의료용 고압가스)-가스제(의료용 고압가스)</t>
        </is>
      </c>
      <c r="AI237" s="17" t="n">
        <v>1</v>
      </c>
      <c r="AJ237" s="24" t="n">
        <v>46327</v>
      </c>
      <c r="AK237" s="25" t="inlineStr">
        <is>
          <t>Y</t>
        </is>
      </c>
      <c r="AL237" s="17" t="inlineStr">
        <is>
          <t>Y</t>
        </is>
      </c>
      <c r="AM237" s="17" t="inlineStr">
        <is>
          <t>다중 제조소/다수 판정서로 문서관리 복잡; 다중 제조소로 교육관리 대상 광범위</t>
        </is>
      </c>
      <c r="AN237" s="17" t="inlineStr">
        <is>
          <t>미확인</t>
        </is>
      </c>
      <c r="AO237" s="17" t="inlineStr">
        <is>
          <t>미확인</t>
        </is>
      </c>
      <c r="AP237" s="17" t="inlineStr">
        <is>
          <t>미확인</t>
        </is>
      </c>
      <c r="AQ237" s="17" t="inlineStr">
        <is>
          <t>담당자 파악 후 접촉</t>
        </is>
      </c>
      <c r="AR237" s="17" t="inlineStr">
        <is>
          <t>2026-07-05</t>
        </is>
      </c>
      <c r="AS237" s="17" t="inlineStr">
        <is>
          <t>C(부분확인)</t>
        </is>
      </c>
      <c r="AT237" s="17" t="n">
        <v>90</v>
      </c>
      <c r="AU237" s="17" t="inlineStr"/>
      <c r="AV237" s="17" t="inlineStr"/>
    </row>
    <row r="238">
      <c r="A238" s="27" t="inlineStr">
        <is>
          <t>Tier C</t>
        </is>
      </c>
      <c r="B238" s="17" t="n">
        <v>15</v>
      </c>
      <c r="C238" s="17" t="inlineStr">
        <is>
          <t>(주)에이치에스바이오</t>
        </is>
      </c>
      <c r="D238" s="17" t="inlineStr">
        <is>
          <t>(주)에이치에스바이오</t>
        </is>
      </c>
      <c r="E238" s="17" t="inlineStr">
        <is>
          <t>충청북도</t>
        </is>
      </c>
      <c r="F238" s="17" t="inlineStr">
        <is>
          <t>진천군</t>
        </is>
      </c>
      <c r="G238" s="17" t="n">
        <v>1</v>
      </c>
      <c r="H238" s="17" t="inlineStr"/>
      <c r="I238" s="17" t="inlineStr"/>
      <c r="J238" s="17" t="inlineStr"/>
      <c r="K238" s="17" t="inlineStr">
        <is>
          <t>Y</t>
        </is>
      </c>
      <c r="L238" s="22" t="inlineStr">
        <is>
          <t>미확인</t>
        </is>
      </c>
      <c r="M238" s="22" t="inlineStr">
        <is>
          <t>미확인</t>
        </is>
      </c>
      <c r="N238" s="22" t="inlineStr">
        <is>
          <t>미확인</t>
        </is>
      </c>
      <c r="O238" s="22" t="inlineStr">
        <is>
          <t>미확인</t>
        </is>
      </c>
      <c r="P238" s="17" t="inlineStr">
        <is>
          <t>QMS+LIMS</t>
        </is>
      </c>
      <c r="Q238" s="22" t="inlineStr">
        <is>
          <t>미확인</t>
        </is>
      </c>
      <c r="R238" s="22" t="inlineStr">
        <is>
          <t>미확인</t>
        </is>
      </c>
      <c r="S238" s="17" t="inlineStr">
        <is>
          <t>Tier D</t>
        </is>
      </c>
      <c r="T238" s="17" t="n">
        <v>9</v>
      </c>
      <c r="U238" s="17" t="inlineStr">
        <is>
          <t>C408</t>
        </is>
      </c>
      <c r="V238" s="17" t="inlineStr">
        <is>
          <t>에이치에스바이오</t>
        </is>
      </c>
      <c r="W238" s="17" t="inlineStr"/>
      <c r="X238" s="17" t="inlineStr"/>
      <c r="Y238" s="23" t="inlineStr"/>
      <c r="Z238" s="17" t="inlineStr">
        <is>
          <t>김기남, 오민근</t>
        </is>
      </c>
      <c r="AA238" s="17" t="inlineStr"/>
      <c r="AB238" s="17" t="inlineStr">
        <is>
          <t>043-536-5780</t>
        </is>
      </c>
      <c r="AC238" s="17" t="inlineStr">
        <is>
          <t>미확인</t>
        </is>
      </c>
      <c r="AD238" s="17" t="inlineStr">
        <is>
          <t>Y</t>
        </is>
      </c>
      <c r="AE238" s="17" t="inlineStr">
        <is>
          <t>P501</t>
        </is>
      </c>
      <c r="AF238" s="17" t="inlineStr">
        <is>
          <t>충청북도 진천군 덕산읍 신척산단4로 57 (주)에이치에스바이오</t>
        </is>
      </c>
      <c r="AG238" s="17" t="inlineStr">
        <is>
          <t>원료의약품</t>
        </is>
      </c>
      <c r="AH238" s="17" t="inlineStr">
        <is>
          <t>합성(합성(비무균)), 추출(추출(비무균))</t>
        </is>
      </c>
      <c r="AI238" s="17" t="n">
        <v>1</v>
      </c>
      <c r="AJ238" s="24" t="n">
        <v>46244</v>
      </c>
      <c r="AK238" s="25" t="inlineStr">
        <is>
          <t>Y</t>
        </is>
      </c>
      <c r="AL238" s="17" t="inlineStr">
        <is>
          <t>Y</t>
        </is>
      </c>
      <c r="AM238" s="17" t="inlineStr">
        <is>
          <t>원료 제조로 시험실 관리 필요</t>
        </is>
      </c>
      <c r="AN238" s="17" t="inlineStr">
        <is>
          <t>미확인</t>
        </is>
      </c>
      <c r="AO238" s="17" t="inlineStr">
        <is>
          <t>미확인</t>
        </is>
      </c>
      <c r="AP238" s="17" t="inlineStr">
        <is>
          <t>미확인</t>
        </is>
      </c>
      <c r="AQ238" s="17" t="inlineStr">
        <is>
          <t>담당자 파악 후 접촉</t>
        </is>
      </c>
      <c r="AR238" s="17" t="inlineStr">
        <is>
          <t>2026-07-05</t>
        </is>
      </c>
      <c r="AS238" s="17" t="inlineStr">
        <is>
          <t>C(부분확인)</t>
        </is>
      </c>
      <c r="AT238" s="17" t="n">
        <v>90</v>
      </c>
      <c r="AU238" s="17" t="inlineStr"/>
      <c r="AV238" s="17" t="inlineStr"/>
    </row>
    <row r="239">
      <c r="A239" s="27" t="inlineStr">
        <is>
          <t>Tier C</t>
        </is>
      </c>
      <c r="B239" s="17" t="n">
        <v>15</v>
      </c>
      <c r="C239" s="17" t="inlineStr">
        <is>
          <t>(주)유일팜테크</t>
        </is>
      </c>
      <c r="D239" s="17" t="inlineStr">
        <is>
          <t>진천</t>
        </is>
      </c>
      <c r="E239" s="17" t="inlineStr">
        <is>
          <t>충청북도</t>
        </is>
      </c>
      <c r="F239" s="17" t="inlineStr">
        <is>
          <t>진천군</t>
        </is>
      </c>
      <c r="G239" s="17" t="n">
        <v>1</v>
      </c>
      <c r="H239" s="17" t="inlineStr"/>
      <c r="I239" s="17" t="inlineStr"/>
      <c r="J239" s="17" t="inlineStr"/>
      <c r="K239" s="17" t="inlineStr">
        <is>
          <t>Y</t>
        </is>
      </c>
      <c r="L239" s="22" t="inlineStr">
        <is>
          <t>미확인</t>
        </is>
      </c>
      <c r="M239" s="22" t="inlineStr">
        <is>
          <t>미확인</t>
        </is>
      </c>
      <c r="N239" s="22" t="inlineStr">
        <is>
          <t>미확인</t>
        </is>
      </c>
      <c r="O239" s="22" t="inlineStr">
        <is>
          <t>미확인</t>
        </is>
      </c>
      <c r="P239" s="17" t="inlineStr">
        <is>
          <t>QMS+LIMS</t>
        </is>
      </c>
      <c r="Q239" s="22" t="inlineStr">
        <is>
          <t>미확인</t>
        </is>
      </c>
      <c r="R239" s="22" t="inlineStr">
        <is>
          <t>미확인</t>
        </is>
      </c>
      <c r="S239" s="17" t="inlineStr">
        <is>
          <t>Tier D</t>
        </is>
      </c>
      <c r="T239" s="17" t="n">
        <v>9</v>
      </c>
      <c r="U239" s="17" t="inlineStr">
        <is>
          <t>C392</t>
        </is>
      </c>
      <c r="V239" s="17" t="inlineStr">
        <is>
          <t>유일팜테크</t>
        </is>
      </c>
      <c r="W239" s="17" t="inlineStr"/>
      <c r="X239" s="17" t="inlineStr"/>
      <c r="Y239" s="23" t="inlineStr"/>
      <c r="Z239" s="17" t="inlineStr">
        <is>
          <t>김한석</t>
        </is>
      </c>
      <c r="AA239" s="17" t="inlineStr"/>
      <c r="AB239" s="17" t="inlineStr">
        <is>
          <t>043-537-2162</t>
        </is>
      </c>
      <c r="AC239" s="17" t="inlineStr">
        <is>
          <t>미확인</t>
        </is>
      </c>
      <c r="AD239" s="17" t="inlineStr">
        <is>
          <t>Y</t>
        </is>
      </c>
      <c r="AE239" s="17" t="inlineStr">
        <is>
          <t>P481</t>
        </is>
      </c>
      <c r="AF239" s="17" t="inlineStr">
        <is>
          <t>충청북도 진천군 이월면 물미길 3</t>
        </is>
      </c>
      <c r="AG239" s="17" t="inlineStr">
        <is>
          <t>원료의약품</t>
        </is>
      </c>
      <c r="AH239" s="17" t="inlineStr">
        <is>
          <t>비무균-일반제제-합성</t>
        </is>
      </c>
      <c r="AI239" s="17" t="n">
        <v>1</v>
      </c>
      <c r="AJ239" s="24" t="n">
        <v>46300</v>
      </c>
      <c r="AK239" s="25" t="inlineStr">
        <is>
          <t>Y</t>
        </is>
      </c>
      <c r="AL239" s="17" t="inlineStr">
        <is>
          <t>Y</t>
        </is>
      </c>
      <c r="AM239" s="17" t="inlineStr">
        <is>
          <t>원료 제조로 시험실 관리 필요</t>
        </is>
      </c>
      <c r="AN239" s="17" t="inlineStr">
        <is>
          <t>미확인</t>
        </is>
      </c>
      <c r="AO239" s="17" t="inlineStr">
        <is>
          <t>미확인</t>
        </is>
      </c>
      <c r="AP239" s="17" t="inlineStr">
        <is>
          <t>미확인</t>
        </is>
      </c>
      <c r="AQ239" s="17" t="inlineStr">
        <is>
          <t>담당자 파악 후 접촉</t>
        </is>
      </c>
      <c r="AR239" s="17" t="inlineStr">
        <is>
          <t>2026-07-05</t>
        </is>
      </c>
      <c r="AS239" s="17" t="inlineStr">
        <is>
          <t>C(부분확인)</t>
        </is>
      </c>
      <c r="AT239" s="17" t="n">
        <v>90</v>
      </c>
      <c r="AU239" s="17" t="inlineStr"/>
      <c r="AV239" s="17" t="inlineStr"/>
    </row>
    <row r="240">
      <c r="A240" s="27" t="inlineStr">
        <is>
          <t>Tier C</t>
        </is>
      </c>
      <c r="B240" s="17" t="n">
        <v>15</v>
      </c>
      <c r="C240" s="17" t="inlineStr">
        <is>
          <t>애경바이오팜 주식회사</t>
        </is>
      </c>
      <c r="D240" s="17" t="inlineStr">
        <is>
          <t>제1공장</t>
        </is>
      </c>
      <c r="E240" s="17" t="inlineStr">
        <is>
          <t>울산광역시</t>
        </is>
      </c>
      <c r="F240" s="17" t="inlineStr">
        <is>
          <t>남구</t>
        </is>
      </c>
      <c r="G240" s="17" t="n">
        <v>1</v>
      </c>
      <c r="H240" s="17" t="inlineStr"/>
      <c r="I240" s="17" t="inlineStr"/>
      <c r="J240" s="17" t="inlineStr"/>
      <c r="K240" s="17" t="inlineStr">
        <is>
          <t>Y</t>
        </is>
      </c>
      <c r="L240" s="22" t="inlineStr">
        <is>
          <t>미확인</t>
        </is>
      </c>
      <c r="M240" s="22" t="inlineStr">
        <is>
          <t>미확인</t>
        </is>
      </c>
      <c r="N240" s="22" t="inlineStr">
        <is>
          <t>미확인</t>
        </is>
      </c>
      <c r="O240" s="22" t="inlineStr">
        <is>
          <t>미확인</t>
        </is>
      </c>
      <c r="P240" s="17" t="inlineStr">
        <is>
          <t>QMS+LIMS</t>
        </is>
      </c>
      <c r="Q240" s="22" t="inlineStr">
        <is>
          <t>미확인</t>
        </is>
      </c>
      <c r="R240" s="22" t="inlineStr">
        <is>
          <t>미확인</t>
        </is>
      </c>
      <c r="S240" s="17" t="inlineStr">
        <is>
          <t>Tier D</t>
        </is>
      </c>
      <c r="T240" s="17" t="n">
        <v>9</v>
      </c>
      <c r="U240" s="17" t="inlineStr">
        <is>
          <t>C391</t>
        </is>
      </c>
      <c r="V240" s="17" t="inlineStr">
        <is>
          <t>애경바이오팜</t>
        </is>
      </c>
      <c r="W240" s="17" t="inlineStr"/>
      <c r="X240" s="17" t="inlineStr"/>
      <c r="Y240" s="23" t="inlineStr"/>
      <c r="Z240" s="17" t="inlineStr">
        <is>
          <t>김성완</t>
        </is>
      </c>
      <c r="AA240" s="17" t="inlineStr"/>
      <c r="AB240" s="17" t="inlineStr">
        <is>
          <t>052-259-4500</t>
        </is>
      </c>
      <c r="AC240" s="17" t="inlineStr">
        <is>
          <t>미확인</t>
        </is>
      </c>
      <c r="AD240" s="17" t="inlineStr">
        <is>
          <t>Y</t>
        </is>
      </c>
      <c r="AE240" s="17" t="inlineStr">
        <is>
          <t>P480</t>
        </is>
      </c>
      <c r="AF240" s="17" t="inlineStr">
        <is>
          <t>울산광역시 남구 상개로 81 (80, 80A)동</t>
        </is>
      </c>
      <c r="AG240" s="17" t="inlineStr">
        <is>
          <t>원료의약품</t>
        </is>
      </c>
      <c r="AH240" s="17" t="inlineStr">
        <is>
          <t>비무균-일반제제-추출</t>
        </is>
      </c>
      <c r="AI240" s="17" t="n">
        <v>1</v>
      </c>
      <c r="AJ240" s="24" t="n">
        <v>46300</v>
      </c>
      <c r="AK240" s="25" t="inlineStr">
        <is>
          <t>Y</t>
        </is>
      </c>
      <c r="AL240" s="17" t="inlineStr">
        <is>
          <t>Y</t>
        </is>
      </c>
      <c r="AM240" s="17" t="inlineStr">
        <is>
          <t>원료 제조로 시험실 관리 필요</t>
        </is>
      </c>
      <c r="AN240" s="17" t="inlineStr">
        <is>
          <t>미확인</t>
        </is>
      </c>
      <c r="AO240" s="17" t="inlineStr">
        <is>
          <t>미확인</t>
        </is>
      </c>
      <c r="AP240" s="17" t="inlineStr">
        <is>
          <t>미확인</t>
        </is>
      </c>
      <c r="AQ240" s="17" t="inlineStr">
        <is>
          <t>담당자 파악 후 접촉</t>
        </is>
      </c>
      <c r="AR240" s="17" t="inlineStr">
        <is>
          <t>2026-07-05</t>
        </is>
      </c>
      <c r="AS240" s="17" t="inlineStr">
        <is>
          <t>C(부분확인)</t>
        </is>
      </c>
      <c r="AT240" s="17" t="n">
        <v>90</v>
      </c>
      <c r="AU240" s="17" t="inlineStr"/>
      <c r="AV240" s="17" t="inlineStr"/>
    </row>
    <row r="241">
      <c r="A241" s="27" t="inlineStr">
        <is>
          <t>Tier C</t>
        </is>
      </c>
      <c r="B241" s="17" t="n">
        <v>15</v>
      </c>
      <c r="C241" s="17" t="inlineStr">
        <is>
          <t>에이치엘지노믹스(주)</t>
        </is>
      </c>
      <c r="D241" s="17" t="inlineStr">
        <is>
          <t>용인</t>
        </is>
      </c>
      <c r="E241" s="17" t="inlineStr">
        <is>
          <t>경기도</t>
        </is>
      </c>
      <c r="F241" s="17" t="inlineStr">
        <is>
          <t>용인시</t>
        </is>
      </c>
      <c r="G241" s="17" t="n">
        <v>1</v>
      </c>
      <c r="H241" s="17" t="inlineStr"/>
      <c r="I241" s="17" t="inlineStr"/>
      <c r="J241" s="17" t="inlineStr"/>
      <c r="K241" s="17" t="inlineStr">
        <is>
          <t>Y</t>
        </is>
      </c>
      <c r="L241" s="22" t="inlineStr">
        <is>
          <t>미확인</t>
        </is>
      </c>
      <c r="M241" s="22" t="inlineStr">
        <is>
          <t>미확인</t>
        </is>
      </c>
      <c r="N241" s="22" t="inlineStr">
        <is>
          <t>미확인</t>
        </is>
      </c>
      <c r="O241" s="22" t="inlineStr">
        <is>
          <t>미확인</t>
        </is>
      </c>
      <c r="P241" s="17" t="inlineStr">
        <is>
          <t>QMS+LIMS</t>
        </is>
      </c>
      <c r="Q241" s="22" t="inlineStr">
        <is>
          <t>미확인</t>
        </is>
      </c>
      <c r="R241" s="22" t="inlineStr">
        <is>
          <t>미확인</t>
        </is>
      </c>
      <c r="S241" s="17" t="inlineStr">
        <is>
          <t>Tier D</t>
        </is>
      </c>
      <c r="T241" s="17" t="n">
        <v>9</v>
      </c>
      <c r="U241" s="17" t="inlineStr">
        <is>
          <t>C384</t>
        </is>
      </c>
      <c r="V241" s="17" t="inlineStr">
        <is>
          <t>에이치엘지노믹스</t>
        </is>
      </c>
      <c r="W241" s="17" t="inlineStr"/>
      <c r="X241" s="17" t="inlineStr"/>
      <c r="Y241" s="23" t="inlineStr"/>
      <c r="Z241" s="17" t="inlineStr">
        <is>
          <t>김호진</t>
        </is>
      </c>
      <c r="AA241" s="17" t="inlineStr"/>
      <c r="AB241" s="17" t="inlineStr">
        <is>
          <t>031-335-2080</t>
        </is>
      </c>
      <c r="AC241" s="17" t="inlineStr">
        <is>
          <t>미확인</t>
        </is>
      </c>
      <c r="AD241" s="17" t="inlineStr">
        <is>
          <t>Y</t>
        </is>
      </c>
      <c r="AE241" s="17" t="inlineStr">
        <is>
          <t>P468</t>
        </is>
      </c>
      <c r="AF241" s="17" t="inlineStr">
        <is>
          <t>경기도 용인시 처인구 원삼면 보개원삼로 1552</t>
        </is>
      </c>
      <c r="AG241" s="17" t="inlineStr">
        <is>
          <t>원료의약품</t>
        </is>
      </c>
      <c r="AH241" s="17" t="inlineStr">
        <is>
          <t>비무균-일반제제-합성</t>
        </is>
      </c>
      <c r="AI241" s="17" t="n">
        <v>1</v>
      </c>
      <c r="AJ241" s="24" t="n">
        <v>46333</v>
      </c>
      <c r="AK241" s="25" t="inlineStr">
        <is>
          <t>Y</t>
        </is>
      </c>
      <c r="AL241" s="17" t="inlineStr">
        <is>
          <t>Y</t>
        </is>
      </c>
      <c r="AM241" s="17" t="inlineStr">
        <is>
          <t>원료 제조로 시험실 관리 필요</t>
        </is>
      </c>
      <c r="AN241" s="17" t="inlineStr">
        <is>
          <t>미확인</t>
        </is>
      </c>
      <c r="AO241" s="17" t="inlineStr">
        <is>
          <t>미확인</t>
        </is>
      </c>
      <c r="AP241" s="17" t="inlineStr">
        <is>
          <t>미확인</t>
        </is>
      </c>
      <c r="AQ241" s="17" t="inlineStr">
        <is>
          <t>담당자 파악 후 접촉</t>
        </is>
      </c>
      <c r="AR241" s="17" t="inlineStr">
        <is>
          <t>2026-07-05</t>
        </is>
      </c>
      <c r="AS241" s="17" t="inlineStr">
        <is>
          <t>C(부분확인)</t>
        </is>
      </c>
      <c r="AT241" s="17" t="n">
        <v>90</v>
      </c>
      <c r="AU241" s="17" t="inlineStr"/>
      <c r="AV241" s="17" t="inlineStr"/>
    </row>
    <row r="242">
      <c r="A242" s="27" t="inlineStr">
        <is>
          <t>Tier C</t>
        </is>
      </c>
      <c r="B242" s="17" t="n">
        <v>15</v>
      </c>
      <c r="C242" s="17" t="inlineStr">
        <is>
          <t>크로다코리아주식회사</t>
        </is>
      </c>
      <c r="D242" s="17" t="inlineStr">
        <is>
          <t>전북 익산</t>
        </is>
      </c>
      <c r="E242" s="17" t="inlineStr">
        <is>
          <t>전북특별자치도</t>
        </is>
      </c>
      <c r="F242" s="17" t="inlineStr">
        <is>
          <t>익산시</t>
        </is>
      </c>
      <c r="G242" s="17" t="n">
        <v>1</v>
      </c>
      <c r="H242" s="17" t="inlineStr"/>
      <c r="I242" s="17" t="inlineStr"/>
      <c r="J242" s="17" t="inlineStr"/>
      <c r="K242" s="17" t="inlineStr">
        <is>
          <t>Y</t>
        </is>
      </c>
      <c r="L242" s="22" t="inlineStr">
        <is>
          <t>미확인</t>
        </is>
      </c>
      <c r="M242" s="22" t="inlineStr">
        <is>
          <t>미확인</t>
        </is>
      </c>
      <c r="N242" s="22" t="inlineStr">
        <is>
          <t>미확인</t>
        </is>
      </c>
      <c r="O242" s="22" t="inlineStr">
        <is>
          <t>미확인</t>
        </is>
      </c>
      <c r="P242" s="17" t="inlineStr">
        <is>
          <t>QMS+LIMS</t>
        </is>
      </c>
      <c r="Q242" s="22" t="inlineStr">
        <is>
          <t>미확인</t>
        </is>
      </c>
      <c r="R242" s="22" t="inlineStr">
        <is>
          <t>미확인</t>
        </is>
      </c>
      <c r="S242" s="17" t="inlineStr">
        <is>
          <t>Tier D</t>
        </is>
      </c>
      <c r="T242" s="17" t="n">
        <v>9</v>
      </c>
      <c r="U242" s="17" t="inlineStr">
        <is>
          <t>C403</t>
        </is>
      </c>
      <c r="V242" s="17" t="inlineStr">
        <is>
          <t>크로다코리아</t>
        </is>
      </c>
      <c r="W242" s="17" t="inlineStr"/>
      <c r="X242" s="17" t="inlineStr"/>
      <c r="Y242" s="23" t="inlineStr"/>
      <c r="Z242" s="17" t="inlineStr">
        <is>
          <t>최용진</t>
        </is>
      </c>
      <c r="AA242" s="17" t="inlineStr"/>
      <c r="AB242" s="17" t="inlineStr">
        <is>
          <t>063-830-8911</t>
        </is>
      </c>
      <c r="AC242" s="17" t="inlineStr">
        <is>
          <t>미확인</t>
        </is>
      </c>
      <c r="AD242" s="17" t="inlineStr">
        <is>
          <t>Y</t>
        </is>
      </c>
      <c r="AE242" s="17" t="inlineStr">
        <is>
          <t>P496</t>
        </is>
      </c>
      <c r="AF242" s="17" t="inlineStr">
        <is>
          <t>전북특별자치도 익산시 석암로11길 11 제2공단 3차지구 21블럭 (용제동)</t>
        </is>
      </c>
      <c r="AG242" s="17" t="inlineStr">
        <is>
          <t>원료의약품</t>
        </is>
      </c>
      <c r="AH242" s="17" t="inlineStr">
        <is>
          <t>비무균-일반제제-합성, 비무균-일반제제-추출</t>
        </is>
      </c>
      <c r="AI242" s="17" t="n">
        <v>1</v>
      </c>
      <c r="AJ242" s="24" t="n">
        <v>46256</v>
      </c>
      <c r="AK242" s="25" t="inlineStr">
        <is>
          <t>Y</t>
        </is>
      </c>
      <c r="AL242" s="17" t="inlineStr">
        <is>
          <t>Y</t>
        </is>
      </c>
      <c r="AM242" s="17" t="inlineStr">
        <is>
          <t>원료 제조로 시험실 관리 필요</t>
        </is>
      </c>
      <c r="AN242" s="17" t="inlineStr">
        <is>
          <t>미확인</t>
        </is>
      </c>
      <c r="AO242" s="17" t="inlineStr">
        <is>
          <t>미확인</t>
        </is>
      </c>
      <c r="AP242" s="17" t="inlineStr">
        <is>
          <t>미확인</t>
        </is>
      </c>
      <c r="AQ242" s="17" t="inlineStr">
        <is>
          <t>담당자 파악 후 접촉</t>
        </is>
      </c>
      <c r="AR242" s="17" t="inlineStr">
        <is>
          <t>2026-07-05</t>
        </is>
      </c>
      <c r="AS242" s="17" t="inlineStr">
        <is>
          <t>C(부분확인)</t>
        </is>
      </c>
      <c r="AT242" s="17" t="n">
        <v>90</v>
      </c>
      <c r="AU242" s="17" t="inlineStr"/>
      <c r="AV242" s="17" t="inlineStr"/>
    </row>
    <row r="243">
      <c r="A243" s="27" t="inlineStr">
        <is>
          <t>Tier C</t>
        </is>
      </c>
      <c r="B243" s="17" t="n">
        <v>14</v>
      </c>
      <c r="C243" s="17" t="inlineStr">
        <is>
          <t>구미제약(주)</t>
        </is>
      </c>
      <c r="D243" s="17" t="inlineStr">
        <is>
          <t>김포</t>
        </is>
      </c>
      <c r="E243" s="17" t="inlineStr">
        <is>
          <t>경기도</t>
        </is>
      </c>
      <c r="F243" s="17" t="inlineStr">
        <is>
          <t>김포시</t>
        </is>
      </c>
      <c r="G243" s="17" t="n">
        <v>1</v>
      </c>
      <c r="H243" s="17" t="inlineStr"/>
      <c r="I243" s="17" t="inlineStr"/>
      <c r="J243" s="17" t="inlineStr">
        <is>
          <t>Y</t>
        </is>
      </c>
      <c r="K243" s="17" t="inlineStr">
        <is>
          <t>Y</t>
        </is>
      </c>
      <c r="L243" s="22" t="inlineStr">
        <is>
          <t>미확인</t>
        </is>
      </c>
      <c r="M243" s="22" t="inlineStr">
        <is>
          <t>미확인</t>
        </is>
      </c>
      <c r="N243" s="22" t="inlineStr">
        <is>
          <t>미확인</t>
        </is>
      </c>
      <c r="O243" s="22" t="inlineStr">
        <is>
          <t>미확인</t>
        </is>
      </c>
      <c r="P243" s="17" t="inlineStr">
        <is>
          <t>QMS+LIMS</t>
        </is>
      </c>
      <c r="Q243" s="22" t="inlineStr">
        <is>
          <t>미확인</t>
        </is>
      </c>
      <c r="R243" s="22" t="inlineStr">
        <is>
          <t>미확인</t>
        </is>
      </c>
      <c r="S243" s="17" t="inlineStr">
        <is>
          <t>Tier D</t>
        </is>
      </c>
      <c r="T243" s="17" t="n">
        <v>7</v>
      </c>
      <c r="U243" s="17" t="inlineStr">
        <is>
          <t>C307</t>
        </is>
      </c>
      <c r="V243" s="17" t="inlineStr">
        <is>
          <t>구미제약</t>
        </is>
      </c>
      <c r="W243" s="17" t="inlineStr"/>
      <c r="X243" s="17" t="inlineStr"/>
      <c r="Y243" s="23" t="inlineStr"/>
      <c r="Z243" s="17" t="inlineStr">
        <is>
          <t>이용의</t>
        </is>
      </c>
      <c r="AA243" s="17" t="inlineStr"/>
      <c r="AB243" s="17" t="inlineStr">
        <is>
          <t>031-989-8226</t>
        </is>
      </c>
      <c r="AC243" s="17" t="inlineStr">
        <is>
          <t>미확인</t>
        </is>
      </c>
      <c r="AD243" s="17" t="inlineStr">
        <is>
          <t>Y</t>
        </is>
      </c>
      <c r="AE243" s="17" t="inlineStr">
        <is>
          <t>P370</t>
        </is>
      </c>
      <c r="AF243" s="17" t="inlineStr">
        <is>
          <t>경기도 김포시 통진읍 옹정로 242</t>
        </is>
      </c>
      <c r="AG243" s="17" t="inlineStr">
        <is>
          <t>완제의약품+원료의약품</t>
        </is>
      </c>
      <c r="AH243" s="17" t="inlineStr">
        <is>
          <t>비무균-일반제제-소분</t>
        </is>
      </c>
      <c r="AI243" s="17" t="n">
        <v>2</v>
      </c>
      <c r="AJ243" s="24" t="n">
        <v>46557</v>
      </c>
      <c r="AK243" s="17" t="inlineStr"/>
      <c r="AL243" s="17" t="inlineStr">
        <is>
          <t>Y</t>
        </is>
      </c>
      <c r="AM243" s="17" t="inlineStr">
        <is>
          <t>원료 제조로 시험실 관리 필요</t>
        </is>
      </c>
      <c r="AN243" s="17" t="inlineStr">
        <is>
          <t>미확인</t>
        </is>
      </c>
      <c r="AO243" s="17" t="inlineStr">
        <is>
          <t>미확인</t>
        </is>
      </c>
      <c r="AP243" s="17" t="inlineStr">
        <is>
          <t>미확인</t>
        </is>
      </c>
      <c r="AQ243" s="17" t="inlineStr">
        <is>
          <t>담당자 파악 후 접촉</t>
        </is>
      </c>
      <c r="AR243" s="17" t="inlineStr">
        <is>
          <t>2026-07-05</t>
        </is>
      </c>
      <c r="AS243" s="17" t="inlineStr">
        <is>
          <t>C(부분확인)</t>
        </is>
      </c>
      <c r="AT243" s="17" t="n">
        <v>90</v>
      </c>
      <c r="AU243" s="17" t="inlineStr"/>
      <c r="AV243" s="17" t="inlineStr"/>
    </row>
    <row r="244">
      <c r="A244" s="27" t="inlineStr">
        <is>
          <t>Tier C</t>
        </is>
      </c>
      <c r="B244" s="17" t="n">
        <v>14</v>
      </c>
      <c r="C244" s="17" t="inlineStr">
        <is>
          <t>명문바이오(주)</t>
        </is>
      </c>
      <c r="D244" s="17" t="inlineStr">
        <is>
          <t>명문바이오(주)</t>
        </is>
      </c>
      <c r="E244" s="17" t="inlineStr">
        <is>
          <t>경기도</t>
        </is>
      </c>
      <c r="F244" s="17" t="inlineStr">
        <is>
          <t>화성시</t>
        </is>
      </c>
      <c r="G244" s="17" t="n">
        <v>1</v>
      </c>
      <c r="H244" s="17" t="inlineStr"/>
      <c r="I244" s="17" t="inlineStr"/>
      <c r="J244" s="17" t="inlineStr">
        <is>
          <t>Y</t>
        </is>
      </c>
      <c r="K244" s="17" t="inlineStr">
        <is>
          <t>Y</t>
        </is>
      </c>
      <c r="L244" s="22" t="inlineStr">
        <is>
          <t>미확인</t>
        </is>
      </c>
      <c r="M244" s="22" t="inlineStr">
        <is>
          <t>미확인</t>
        </is>
      </c>
      <c r="N244" s="22" t="inlineStr">
        <is>
          <t>미확인</t>
        </is>
      </c>
      <c r="O244" s="22" t="inlineStr">
        <is>
          <t>미확인</t>
        </is>
      </c>
      <c r="P244" s="17" t="inlineStr">
        <is>
          <t>QMS+LIMS</t>
        </is>
      </c>
      <c r="Q244" s="22" t="inlineStr">
        <is>
          <t>미확인</t>
        </is>
      </c>
      <c r="R244" s="22" t="inlineStr">
        <is>
          <t>미확인</t>
        </is>
      </c>
      <c r="S244" s="17" t="inlineStr">
        <is>
          <t>Tier D</t>
        </is>
      </c>
      <c r="T244" s="17" t="n">
        <v>7</v>
      </c>
      <c r="U244" s="17" t="inlineStr">
        <is>
          <t>C313</t>
        </is>
      </c>
      <c r="V244" s="17" t="inlineStr">
        <is>
          <t>명문바이오</t>
        </is>
      </c>
      <c r="W244" s="17" t="inlineStr"/>
      <c r="X244" s="17" t="inlineStr"/>
      <c r="Y244" s="23" t="inlineStr"/>
      <c r="Z244" s="17" t="inlineStr">
        <is>
          <t>우석민</t>
        </is>
      </c>
      <c r="AA244" s="17" t="inlineStr"/>
      <c r="AB244" s="17" t="inlineStr">
        <is>
          <t>미확인</t>
        </is>
      </c>
      <c r="AC244" s="17" t="inlineStr">
        <is>
          <t>미확인</t>
        </is>
      </c>
      <c r="AD244" s="17" t="inlineStr">
        <is>
          <t>Y</t>
        </is>
      </c>
      <c r="AE244" s="17" t="inlineStr">
        <is>
          <t>P378</t>
        </is>
      </c>
      <c r="AF244" s="17" t="inlineStr">
        <is>
          <t>경기도 화성시 향남읍 제약공단2길 28 (10동 외)</t>
        </is>
      </c>
      <c r="AG244" s="17" t="inlineStr">
        <is>
          <t>완제의약품+원료의약품</t>
        </is>
      </c>
      <c r="AH244" s="17" t="inlineStr">
        <is>
          <t>비무균-일반제제-합성, 비무균-일반제제-정제(합성에 한함)</t>
        </is>
      </c>
      <c r="AI244" s="17" t="n">
        <v>2</v>
      </c>
      <c r="AJ244" s="24" t="n">
        <v>46513</v>
      </c>
      <c r="AK244" s="17" t="inlineStr"/>
      <c r="AL244" s="17" t="inlineStr">
        <is>
          <t>Y</t>
        </is>
      </c>
      <c r="AM244" s="17" t="inlineStr">
        <is>
          <t>원료 제조로 시험실 관리 필요</t>
        </is>
      </c>
      <c r="AN244" s="17" t="inlineStr">
        <is>
          <t>미확인</t>
        </is>
      </c>
      <c r="AO244" s="17" t="inlineStr">
        <is>
          <t>미확인</t>
        </is>
      </c>
      <c r="AP244" s="17" t="inlineStr">
        <is>
          <t>미확인</t>
        </is>
      </c>
      <c r="AQ244" s="17" t="inlineStr">
        <is>
          <t>담당자 파악 후 접촉</t>
        </is>
      </c>
      <c r="AR244" s="17" t="inlineStr">
        <is>
          <t>2026-07-05</t>
        </is>
      </c>
      <c r="AS244" s="17" t="inlineStr">
        <is>
          <t>C(부분확인)</t>
        </is>
      </c>
      <c r="AT244" s="17" t="n">
        <v>90</v>
      </c>
      <c r="AU244" s="17" t="inlineStr"/>
      <c r="AV244" s="17" t="inlineStr"/>
    </row>
    <row r="245">
      <c r="A245" s="27" t="inlineStr">
        <is>
          <t>Tier C</t>
        </is>
      </c>
      <c r="B245" s="17" t="n">
        <v>14</v>
      </c>
      <c r="C245" s="17" t="inlineStr">
        <is>
          <t>에스에스팜(주)</t>
        </is>
      </c>
      <c r="D245" s="17" t="inlineStr">
        <is>
          <t>안산</t>
        </is>
      </c>
      <c r="E245" s="17" t="inlineStr">
        <is>
          <t>경기도</t>
        </is>
      </c>
      <c r="F245" s="17" t="inlineStr">
        <is>
          <t>안산시</t>
        </is>
      </c>
      <c r="G245" s="17" t="n">
        <v>1</v>
      </c>
      <c r="H245" s="17" t="inlineStr"/>
      <c r="I245" s="17" t="inlineStr"/>
      <c r="J245" s="17" t="inlineStr">
        <is>
          <t>Y</t>
        </is>
      </c>
      <c r="K245" s="17" t="inlineStr">
        <is>
          <t>Y</t>
        </is>
      </c>
      <c r="L245" s="22" t="inlineStr">
        <is>
          <t>미확인</t>
        </is>
      </c>
      <c r="M245" s="22" t="inlineStr">
        <is>
          <t>미확인</t>
        </is>
      </c>
      <c r="N245" s="22" t="inlineStr">
        <is>
          <t>미확인</t>
        </is>
      </c>
      <c r="O245" s="22" t="inlineStr">
        <is>
          <t>미확인</t>
        </is>
      </c>
      <c r="P245" s="17" t="inlineStr">
        <is>
          <t>QMS+LIMS</t>
        </is>
      </c>
      <c r="Q245" s="22" t="inlineStr">
        <is>
          <t>미확인</t>
        </is>
      </c>
      <c r="R245" s="22" t="inlineStr">
        <is>
          <t>미확인</t>
        </is>
      </c>
      <c r="S245" s="17" t="inlineStr">
        <is>
          <t>Tier D</t>
        </is>
      </c>
      <c r="T245" s="17" t="n">
        <v>7</v>
      </c>
      <c r="U245" s="17" t="inlineStr">
        <is>
          <t>C008</t>
        </is>
      </c>
      <c r="V245" s="17" t="inlineStr">
        <is>
          <t>에스에스팜</t>
        </is>
      </c>
      <c r="W245" s="17" t="inlineStr"/>
      <c r="X245" s="17" t="inlineStr"/>
      <c r="Y245" s="23" t="inlineStr"/>
      <c r="Z245" s="17" t="inlineStr">
        <is>
          <t>고재원</t>
        </is>
      </c>
      <c r="AA245" s="17" t="inlineStr"/>
      <c r="AB245" s="17" t="inlineStr">
        <is>
          <t>031-491-6311</t>
        </is>
      </c>
      <c r="AC245" s="17" t="inlineStr">
        <is>
          <t>미확인</t>
        </is>
      </c>
      <c r="AD245" s="17" t="inlineStr">
        <is>
          <t>Y</t>
        </is>
      </c>
      <c r="AE245" s="17" t="inlineStr">
        <is>
          <t>P008</t>
        </is>
      </c>
      <c r="AF245" s="17" t="inlineStr">
        <is>
          <t>경기도 안산시 단원구 범지기로141번길 10</t>
        </is>
      </c>
      <c r="AG245" s="17" t="inlineStr">
        <is>
          <t>완제의약품+원료의약품</t>
        </is>
      </c>
      <c r="AH245" s="17" t="inlineStr">
        <is>
          <t>비무균-일반제제-내용고형제(산제)</t>
        </is>
      </c>
      <c r="AI245" s="17" t="n">
        <v>2</v>
      </c>
      <c r="AJ245" s="24" t="n">
        <v>46529</v>
      </c>
      <c r="AK245" s="17" t="inlineStr"/>
      <c r="AL245" s="17" t="inlineStr">
        <is>
          <t>Y</t>
        </is>
      </c>
      <c r="AM245" s="17" t="inlineStr">
        <is>
          <t>원료 제조로 시험실 관리 필요</t>
        </is>
      </c>
      <c r="AN245" s="17" t="inlineStr">
        <is>
          <t>미확인</t>
        </is>
      </c>
      <c r="AO245" s="17" t="inlineStr">
        <is>
          <t>미확인</t>
        </is>
      </c>
      <c r="AP245" s="17" t="inlineStr">
        <is>
          <t>미확인</t>
        </is>
      </c>
      <c r="AQ245" s="17" t="inlineStr">
        <is>
          <t>담당자 파악 후 접촉</t>
        </is>
      </c>
      <c r="AR245" s="17" t="inlineStr">
        <is>
          <t>2026-07-05</t>
        </is>
      </c>
      <c r="AS245" s="17" t="inlineStr">
        <is>
          <t>C(부분확인)</t>
        </is>
      </c>
      <c r="AT245" s="17" t="n">
        <v>90</v>
      </c>
      <c r="AU245" s="17" t="inlineStr"/>
      <c r="AV245" s="17" t="inlineStr"/>
    </row>
    <row r="246">
      <c r="A246" s="27" t="inlineStr">
        <is>
          <t>Tier C</t>
        </is>
      </c>
      <c r="B246" s="17" t="n">
        <v>14</v>
      </c>
      <c r="C246" s="17" t="inlineStr">
        <is>
          <t>주식회사 제론셀베인</t>
        </is>
      </c>
      <c r="D246" s="17" t="inlineStr">
        <is>
          <t>1공장</t>
        </is>
      </c>
      <c r="E246" s="17" t="inlineStr">
        <is>
          <t>충청남도</t>
        </is>
      </c>
      <c r="F246" s="17" t="inlineStr">
        <is>
          <t>아산시</t>
        </is>
      </c>
      <c r="G246" s="17" t="n">
        <v>1</v>
      </c>
      <c r="H246" s="17" t="inlineStr"/>
      <c r="I246" s="17" t="inlineStr"/>
      <c r="J246" s="17" t="inlineStr">
        <is>
          <t>Y</t>
        </is>
      </c>
      <c r="K246" s="17" t="inlineStr">
        <is>
          <t>Y</t>
        </is>
      </c>
      <c r="L246" s="22" t="inlineStr">
        <is>
          <t>미확인</t>
        </is>
      </c>
      <c r="M246" s="22" t="inlineStr">
        <is>
          <t>미확인</t>
        </is>
      </c>
      <c r="N246" s="22" t="inlineStr">
        <is>
          <t>미확인</t>
        </is>
      </c>
      <c r="O246" s="22" t="inlineStr">
        <is>
          <t>미확인</t>
        </is>
      </c>
      <c r="P246" s="17" t="inlineStr">
        <is>
          <t>QMS+LIMS</t>
        </is>
      </c>
      <c r="Q246" s="22" t="inlineStr">
        <is>
          <t>미확인</t>
        </is>
      </c>
      <c r="R246" s="22" t="inlineStr">
        <is>
          <t>미확인</t>
        </is>
      </c>
      <c r="S246" s="17" t="inlineStr">
        <is>
          <t>Tier D</t>
        </is>
      </c>
      <c r="T246" s="17" t="n">
        <v>7</v>
      </c>
      <c r="U246" s="17" t="inlineStr">
        <is>
          <t>C309</t>
        </is>
      </c>
      <c r="V246" s="17" t="inlineStr">
        <is>
          <t>제론셀베인</t>
        </is>
      </c>
      <c r="W246" s="17" t="inlineStr"/>
      <c r="X246" s="17" t="inlineStr"/>
      <c r="Y246" s="23" t="inlineStr"/>
      <c r="Z246" s="17" t="inlineStr">
        <is>
          <t>김덕규</t>
        </is>
      </c>
      <c r="AA246" s="17" t="inlineStr"/>
      <c r="AB246" s="17" t="inlineStr">
        <is>
          <t>041-533-9889</t>
        </is>
      </c>
      <c r="AC246" s="17" t="inlineStr">
        <is>
          <t>미확인</t>
        </is>
      </c>
      <c r="AD246" s="17" t="inlineStr">
        <is>
          <t>Y</t>
        </is>
      </c>
      <c r="AE246" s="17" t="inlineStr">
        <is>
          <t>P374</t>
        </is>
      </c>
      <c r="AF246" s="17" t="inlineStr">
        <is>
          <t>충청남도 아산시 둔포면 윤보선로 342 2동</t>
        </is>
      </c>
      <c r="AG246" s="17" t="inlineStr">
        <is>
          <t>완제의약품+원료의약품</t>
        </is>
      </c>
      <c r="AH246" s="17" t="inlineStr">
        <is>
          <t>비무균-일반제제-외용액제(외용액제)</t>
        </is>
      </c>
      <c r="AI246" s="17" t="n">
        <v>2</v>
      </c>
      <c r="AJ246" s="24" t="n">
        <v>46542</v>
      </c>
      <c r="AK246" s="17" t="inlineStr"/>
      <c r="AL246" s="17" t="inlineStr">
        <is>
          <t>Y</t>
        </is>
      </c>
      <c r="AM246" s="17" t="inlineStr">
        <is>
          <t>원료 제조로 시험실 관리 필요</t>
        </is>
      </c>
      <c r="AN246" s="17" t="inlineStr">
        <is>
          <t>미확인</t>
        </is>
      </c>
      <c r="AO246" s="17" t="inlineStr">
        <is>
          <t>미확인</t>
        </is>
      </c>
      <c r="AP246" s="17" t="inlineStr">
        <is>
          <t>미확인</t>
        </is>
      </c>
      <c r="AQ246" s="17" t="inlineStr">
        <is>
          <t>담당자 파악 후 접촉</t>
        </is>
      </c>
      <c r="AR246" s="17" t="inlineStr">
        <is>
          <t>2026-07-05</t>
        </is>
      </c>
      <c r="AS246" s="17" t="inlineStr">
        <is>
          <t>C(부분확인)</t>
        </is>
      </c>
      <c r="AT246" s="17" t="n">
        <v>90</v>
      </c>
      <c r="AU246" s="17" t="inlineStr"/>
      <c r="AV246" s="17" t="inlineStr"/>
    </row>
    <row r="247">
      <c r="A247" s="27" t="inlineStr">
        <is>
          <t>Tier C</t>
        </is>
      </c>
      <c r="B247" s="17" t="n">
        <v>13</v>
      </c>
      <c r="C247" s="17" t="inlineStr">
        <is>
          <t>(주)한창메딕</t>
        </is>
      </c>
      <c r="D247" s="17" t="inlineStr">
        <is>
          <t>(주)한창메딕</t>
        </is>
      </c>
      <c r="E247" s="17" t="inlineStr">
        <is>
          <t>충청남도</t>
        </is>
      </c>
      <c r="F247" s="17" t="inlineStr">
        <is>
          <t>아산시</t>
        </is>
      </c>
      <c r="G247" s="17" t="n">
        <v>2</v>
      </c>
      <c r="H247" s="17" t="inlineStr"/>
      <c r="I247" s="17" t="inlineStr"/>
      <c r="J247" s="17" t="inlineStr">
        <is>
          <t>Y</t>
        </is>
      </c>
      <c r="K247" s="17" t="inlineStr"/>
      <c r="L247" s="22" t="inlineStr">
        <is>
          <t>미확인</t>
        </is>
      </c>
      <c r="M247" s="22" t="inlineStr">
        <is>
          <t>미확인</t>
        </is>
      </c>
      <c r="N247" s="22" t="inlineStr">
        <is>
          <t>미확인</t>
        </is>
      </c>
      <c r="O247" s="22" t="inlineStr">
        <is>
          <t>미확인</t>
        </is>
      </c>
      <c r="P247" s="17" t="inlineStr">
        <is>
          <t>EDMS+QMS+LMS</t>
        </is>
      </c>
      <c r="Q247" s="22" t="inlineStr">
        <is>
          <t>미확인</t>
        </is>
      </c>
      <c r="R247" s="22" t="inlineStr">
        <is>
          <t>미확인</t>
        </is>
      </c>
      <c r="S247" s="17" t="inlineStr">
        <is>
          <t>Tier D</t>
        </is>
      </c>
      <c r="T247" s="17" t="n">
        <v>11</v>
      </c>
      <c r="U247" s="17" t="inlineStr">
        <is>
          <t>C286</t>
        </is>
      </c>
      <c r="V247" s="17" t="inlineStr">
        <is>
          <t>한창메딕</t>
        </is>
      </c>
      <c r="W247" s="17" t="inlineStr"/>
      <c r="X247" s="17" t="inlineStr"/>
      <c r="Y247" s="23" t="inlineStr"/>
      <c r="Z247" s="17" t="inlineStr">
        <is>
          <t>한경준</t>
        </is>
      </c>
      <c r="AA247" s="17" t="inlineStr"/>
      <c r="AB247" s="17" t="inlineStr">
        <is>
          <t>041-547-8805</t>
        </is>
      </c>
      <c r="AC247" s="17" t="inlineStr">
        <is>
          <t>미확인</t>
        </is>
      </c>
      <c r="AD247" s="17" t="inlineStr">
        <is>
          <t>Y</t>
        </is>
      </c>
      <c r="AE247" s="17" t="inlineStr">
        <is>
          <t>P343</t>
        </is>
      </c>
      <c r="AF247" s="17" t="inlineStr">
        <is>
          <t>충청남도 아산시 음봉면 월산로201번길 10</t>
        </is>
      </c>
      <c r="AG247" s="17" t="inlineStr">
        <is>
          <t>완제의약품</t>
        </is>
      </c>
      <c r="AH247" s="17" t="inlineStr">
        <is>
          <t>비무균-일반제제-외용액제(외용액제)</t>
        </is>
      </c>
      <c r="AI247" s="17" t="n">
        <v>1</v>
      </c>
      <c r="AJ247" s="24" t="n">
        <v>46618</v>
      </c>
      <c r="AK247" s="17" t="inlineStr"/>
      <c r="AL247" s="17" t="inlineStr"/>
      <c r="AM247" s="17" t="inlineStr">
        <is>
          <t>다중 제조소/다수 판정서로 문서관리 복잡; 다중 제조소로 교육관리 대상 광범위</t>
        </is>
      </c>
      <c r="AN247" s="17" t="inlineStr">
        <is>
          <t>미확인</t>
        </is>
      </c>
      <c r="AO247" s="17" t="inlineStr">
        <is>
          <t>미확인</t>
        </is>
      </c>
      <c r="AP247" s="17" t="inlineStr">
        <is>
          <t>미확인</t>
        </is>
      </c>
      <c r="AQ247" s="17" t="inlineStr">
        <is>
          <t>담당자 파악 후 접촉</t>
        </is>
      </c>
      <c r="AR247" s="17" t="inlineStr">
        <is>
          <t>2026-07-05</t>
        </is>
      </c>
      <c r="AS247" s="17" t="inlineStr">
        <is>
          <t>C(부분확인)</t>
        </is>
      </c>
      <c r="AT247" s="17" t="n">
        <v>90</v>
      </c>
      <c r="AU247" s="17" t="inlineStr"/>
      <c r="AV247" s="17" t="inlineStr"/>
    </row>
    <row r="248">
      <c r="A248" s="27" t="inlineStr">
        <is>
          <t>Tier C</t>
        </is>
      </c>
      <c r="B248" s="17" t="n">
        <v>13</v>
      </c>
      <c r="C248" s="17" t="inlineStr">
        <is>
          <t>(주)한창메딕</t>
        </is>
      </c>
      <c r="D248" s="17" t="inlineStr">
        <is>
          <t>제1공장</t>
        </is>
      </c>
      <c r="E248" s="17" t="inlineStr">
        <is>
          <t>충청남도</t>
        </is>
      </c>
      <c r="F248" s="17" t="inlineStr">
        <is>
          <t>천안시</t>
        </is>
      </c>
      <c r="G248" s="17" t="n">
        <v>2</v>
      </c>
      <c r="H248" s="17" t="inlineStr"/>
      <c r="I248" s="17" t="inlineStr"/>
      <c r="J248" s="17" t="inlineStr">
        <is>
          <t>Y</t>
        </is>
      </c>
      <c r="K248" s="17" t="inlineStr"/>
      <c r="L248" s="22" t="inlineStr">
        <is>
          <t>미확인</t>
        </is>
      </c>
      <c r="M248" s="22" t="inlineStr">
        <is>
          <t>미확인</t>
        </is>
      </c>
      <c r="N248" s="22" t="inlineStr">
        <is>
          <t>미확인</t>
        </is>
      </c>
      <c r="O248" s="22" t="inlineStr">
        <is>
          <t>미확인</t>
        </is>
      </c>
      <c r="P248" s="17" t="inlineStr">
        <is>
          <t>EDMS+QMS+LMS</t>
        </is>
      </c>
      <c r="Q248" s="22" t="inlineStr">
        <is>
          <t>미확인</t>
        </is>
      </c>
      <c r="R248" s="22" t="inlineStr">
        <is>
          <t>미확인</t>
        </is>
      </c>
      <c r="S248" s="17" t="inlineStr">
        <is>
          <t>Tier D</t>
        </is>
      </c>
      <c r="T248" s="17" t="n">
        <v>11</v>
      </c>
      <c r="U248" s="17" t="inlineStr">
        <is>
          <t>C286</t>
        </is>
      </c>
      <c r="V248" s="17" t="inlineStr">
        <is>
          <t>한창메딕</t>
        </is>
      </c>
      <c r="W248" s="17" t="inlineStr"/>
      <c r="X248" s="17" t="inlineStr"/>
      <c r="Y248" s="23" t="inlineStr"/>
      <c r="Z248" s="17" t="inlineStr">
        <is>
          <t>한경준</t>
        </is>
      </c>
      <c r="AA248" s="17" t="inlineStr"/>
      <c r="AB248" s="17" t="inlineStr">
        <is>
          <t>041-547-8805</t>
        </is>
      </c>
      <c r="AC248" s="17" t="inlineStr">
        <is>
          <t>미확인</t>
        </is>
      </c>
      <c r="AD248" s="17" t="inlineStr">
        <is>
          <t>Y</t>
        </is>
      </c>
      <c r="AE248" s="17" t="inlineStr">
        <is>
          <t>P373</t>
        </is>
      </c>
      <c r="AF248" s="17" t="inlineStr">
        <is>
          <t>충청남도 천안시 동남구 수신면 장산2길 79-35</t>
        </is>
      </c>
      <c r="AG248" s="17" t="inlineStr">
        <is>
          <t>완제의약품</t>
        </is>
      </c>
      <c r="AH248" s="17" t="inlineStr">
        <is>
          <t>비무균-일반제제-외용액제(외용액제)</t>
        </is>
      </c>
      <c r="AI248" s="17" t="n">
        <v>1</v>
      </c>
      <c r="AJ248" s="24" t="n">
        <v>46550</v>
      </c>
      <c r="AK248" s="17" t="inlineStr"/>
      <c r="AL248" s="17" t="inlineStr">
        <is>
          <t>Y</t>
        </is>
      </c>
      <c r="AM248" s="17" t="inlineStr">
        <is>
          <t>다중 제조소/다수 판정서로 문서관리 복잡; 다중 제조소로 교육관리 대상 광범위</t>
        </is>
      </c>
      <c r="AN248" s="17" t="inlineStr">
        <is>
          <t>미확인</t>
        </is>
      </c>
      <c r="AO248" s="17" t="inlineStr">
        <is>
          <t>미확인</t>
        </is>
      </c>
      <c r="AP248" s="17" t="inlineStr">
        <is>
          <t>미확인</t>
        </is>
      </c>
      <c r="AQ248" s="17" t="inlineStr">
        <is>
          <t>담당자 파악 후 접촉</t>
        </is>
      </c>
      <c r="AR248" s="17" t="inlineStr">
        <is>
          <t>2026-07-05</t>
        </is>
      </c>
      <c r="AS248" s="17" t="inlineStr">
        <is>
          <t>C(부분확인)</t>
        </is>
      </c>
      <c r="AT248" s="17" t="n">
        <v>90</v>
      </c>
      <c r="AU248" s="17" t="inlineStr"/>
      <c r="AV248" s="17" t="inlineStr"/>
    </row>
    <row r="249">
      <c r="A249" s="27" t="inlineStr">
        <is>
          <t>Tier C</t>
        </is>
      </c>
      <c r="B249" s="17" t="n">
        <v>13</v>
      </c>
      <c r="C249" s="17" t="inlineStr">
        <is>
          <t>코스맥스파마(주)</t>
        </is>
      </c>
      <c r="D249" s="17" t="inlineStr">
        <is>
          <t>1공장</t>
        </is>
      </c>
      <c r="E249" s="17" t="inlineStr">
        <is>
          <t>충청북도</t>
        </is>
      </c>
      <c r="F249" s="17" t="inlineStr">
        <is>
          <t>청주시</t>
        </is>
      </c>
      <c r="G249" s="17" t="n">
        <v>2</v>
      </c>
      <c r="H249" s="17" t="inlineStr"/>
      <c r="I249" s="17" t="inlineStr"/>
      <c r="J249" s="17" t="inlineStr">
        <is>
          <t>Y</t>
        </is>
      </c>
      <c r="K249" s="17" t="inlineStr"/>
      <c r="L249" s="22" t="inlineStr">
        <is>
          <t>미확인</t>
        </is>
      </c>
      <c r="M249" s="22" t="inlineStr">
        <is>
          <t>미확인</t>
        </is>
      </c>
      <c r="N249" s="22" t="inlineStr">
        <is>
          <t>미확인</t>
        </is>
      </c>
      <c r="O249" s="22" t="inlineStr">
        <is>
          <t>미확인</t>
        </is>
      </c>
      <c r="P249" s="17" t="inlineStr">
        <is>
          <t>EDMS+QMS+LMS</t>
        </is>
      </c>
      <c r="Q249" s="22" t="inlineStr">
        <is>
          <t>미확인</t>
        </is>
      </c>
      <c r="R249" s="22" t="inlineStr">
        <is>
          <t>미확인</t>
        </is>
      </c>
      <c r="S249" s="17" t="inlineStr">
        <is>
          <t>Tier D</t>
        </is>
      </c>
      <c r="T249" s="17" t="n">
        <v>11</v>
      </c>
      <c r="U249" s="17" t="inlineStr">
        <is>
          <t>C105</t>
        </is>
      </c>
      <c r="V249" s="17" t="inlineStr">
        <is>
          <t>코스맥스파마</t>
        </is>
      </c>
      <c r="W249" s="17" t="inlineStr"/>
      <c r="X249" s="17" t="inlineStr"/>
      <c r="Y249" s="23" t="inlineStr"/>
      <c r="Z249" s="17" t="inlineStr">
        <is>
          <t>이호경</t>
        </is>
      </c>
      <c r="AA249" s="17" t="inlineStr"/>
      <c r="AB249" s="17" t="inlineStr">
        <is>
          <t>043-238-8477</t>
        </is>
      </c>
      <c r="AC249" s="17" t="inlineStr">
        <is>
          <t>미확인</t>
        </is>
      </c>
      <c r="AD249" s="17" t="inlineStr">
        <is>
          <t>Y</t>
        </is>
      </c>
      <c r="AE249" s="17" t="inlineStr">
        <is>
          <t>P110</t>
        </is>
      </c>
      <c r="AF249" s="17" t="inlineStr">
        <is>
          <t>충청북도 청주시 흥덕구 오송읍 오송생명4로 168-23</t>
        </is>
      </c>
      <c r="AG249" s="17" t="inlineStr">
        <is>
          <t>완제의약품</t>
        </is>
      </c>
      <c r="AH249" s="17" t="inlineStr">
        <is>
          <t>비무균-일반제제-내용고형제(정제, 캡슐제)</t>
        </is>
      </c>
      <c r="AI249" s="17" t="n">
        <v>1</v>
      </c>
      <c r="AJ249" s="24" t="n">
        <v>47060</v>
      </c>
      <c r="AK249" s="17" t="inlineStr"/>
      <c r="AL249" s="17" t="inlineStr"/>
      <c r="AM249" s="17" t="inlineStr">
        <is>
          <t>다중 제조소/다수 판정서로 문서관리 복잡; 다중 제조소로 교육관리 대상 광범위</t>
        </is>
      </c>
      <c r="AN249" s="17" t="inlineStr">
        <is>
          <t>미확인</t>
        </is>
      </c>
      <c r="AO249" s="17" t="inlineStr">
        <is>
          <t>미확인</t>
        </is>
      </c>
      <c r="AP249" s="17" t="inlineStr">
        <is>
          <t>미확인</t>
        </is>
      </c>
      <c r="AQ249" s="17" t="inlineStr">
        <is>
          <t>담당자 파악 후 접촉</t>
        </is>
      </c>
      <c r="AR249" s="17" t="inlineStr">
        <is>
          <t>2026-07-05</t>
        </is>
      </c>
      <c r="AS249" s="17" t="inlineStr">
        <is>
          <t>C(부분확인)</t>
        </is>
      </c>
      <c r="AT249" s="17" t="n">
        <v>90</v>
      </c>
      <c r="AU249" s="17" t="inlineStr"/>
      <c r="AV249" s="17" t="inlineStr"/>
    </row>
    <row r="250">
      <c r="A250" s="27" t="inlineStr">
        <is>
          <t>Tier C</t>
        </is>
      </c>
      <c r="B250" s="17" t="n">
        <v>13</v>
      </c>
      <c r="C250" s="17" t="inlineStr">
        <is>
          <t>코스맥스파마(주)</t>
        </is>
      </c>
      <c r="D250" s="17" t="inlineStr">
        <is>
          <t>2공장</t>
        </is>
      </c>
      <c r="E250" s="17" t="inlineStr">
        <is>
          <t>충청북도</t>
        </is>
      </c>
      <c r="F250" s="17" t="inlineStr">
        <is>
          <t>제천시</t>
        </is>
      </c>
      <c r="G250" s="17" t="n">
        <v>2</v>
      </c>
      <c r="H250" s="17" t="inlineStr"/>
      <c r="I250" s="17" t="inlineStr"/>
      <c r="J250" s="17" t="inlineStr">
        <is>
          <t>Y</t>
        </is>
      </c>
      <c r="K250" s="17" t="inlineStr"/>
      <c r="L250" s="22" t="inlineStr">
        <is>
          <t>미확인</t>
        </is>
      </c>
      <c r="M250" s="22" t="inlineStr">
        <is>
          <t>미확인</t>
        </is>
      </c>
      <c r="N250" s="22" t="inlineStr">
        <is>
          <t>미확인</t>
        </is>
      </c>
      <c r="O250" s="22" t="inlineStr">
        <is>
          <t>미확인</t>
        </is>
      </c>
      <c r="P250" s="17" t="inlineStr">
        <is>
          <t>EDMS+QMS+LMS</t>
        </is>
      </c>
      <c r="Q250" s="22" t="inlineStr">
        <is>
          <t>미확인</t>
        </is>
      </c>
      <c r="R250" s="22" t="inlineStr">
        <is>
          <t>미확인</t>
        </is>
      </c>
      <c r="S250" s="17" t="inlineStr">
        <is>
          <t>Tier D</t>
        </is>
      </c>
      <c r="T250" s="17" t="n">
        <v>11</v>
      </c>
      <c r="U250" s="17" t="inlineStr">
        <is>
          <t>C105</t>
        </is>
      </c>
      <c r="V250" s="17" t="inlineStr">
        <is>
          <t>코스맥스파마</t>
        </is>
      </c>
      <c r="W250" s="17" t="inlineStr"/>
      <c r="X250" s="17" t="inlineStr"/>
      <c r="Y250" s="23" t="inlineStr"/>
      <c r="Z250" s="17" t="inlineStr">
        <is>
          <t>이호경</t>
        </is>
      </c>
      <c r="AA250" s="17" t="inlineStr"/>
      <c r="AB250" s="17" t="inlineStr">
        <is>
          <t>043-238-8477</t>
        </is>
      </c>
      <c r="AC250" s="17" t="inlineStr">
        <is>
          <t>미확인</t>
        </is>
      </c>
      <c r="AD250" s="17" t="inlineStr">
        <is>
          <t>Y</t>
        </is>
      </c>
      <c r="AE250" s="17" t="inlineStr">
        <is>
          <t>P421</t>
        </is>
      </c>
      <c r="AF250" s="17" t="inlineStr">
        <is>
          <t>충청북도 제천시 바이오밸리3로 30 일부</t>
        </is>
      </c>
      <c r="AG250" s="17" t="inlineStr">
        <is>
          <t>완제의약품</t>
        </is>
      </c>
      <c r="AH250" s="17" t="inlineStr">
        <is>
          <t>비무균-일반제제-내용고형제(캡슐제)</t>
        </is>
      </c>
      <c r="AI250" s="17" t="n">
        <v>1</v>
      </c>
      <c r="AJ250" s="24" t="n">
        <v>46452</v>
      </c>
      <c r="AK250" s="17" t="inlineStr"/>
      <c r="AL250" s="17" t="inlineStr">
        <is>
          <t>Y</t>
        </is>
      </c>
      <c r="AM250" s="17" t="inlineStr">
        <is>
          <t>다중 제조소/다수 판정서로 문서관리 복잡; 다중 제조소로 교육관리 대상 광범위</t>
        </is>
      </c>
      <c r="AN250" s="17" t="inlineStr">
        <is>
          <t>미확인</t>
        </is>
      </c>
      <c r="AO250" s="17" t="inlineStr">
        <is>
          <t>미확인</t>
        </is>
      </c>
      <c r="AP250" s="17" t="inlineStr">
        <is>
          <t>미확인</t>
        </is>
      </c>
      <c r="AQ250" s="17" t="inlineStr">
        <is>
          <t>담당자 파악 후 접촉</t>
        </is>
      </c>
      <c r="AR250" s="17" t="inlineStr">
        <is>
          <t>2026-07-05</t>
        </is>
      </c>
      <c r="AS250" s="17" t="inlineStr">
        <is>
          <t>C(부분확인)</t>
        </is>
      </c>
      <c r="AT250" s="17" t="n">
        <v>90</v>
      </c>
      <c r="AU250" s="17" t="inlineStr"/>
      <c r="AV250" s="17" t="inlineStr"/>
    </row>
    <row r="251">
      <c r="A251" s="27" t="inlineStr">
        <is>
          <t>Tier C</t>
        </is>
      </c>
      <c r="B251" s="17" t="n">
        <v>13</v>
      </c>
      <c r="C251" s="17" t="inlineStr">
        <is>
          <t>(재)전남바이오진흥원 그린바이오본부 천연센터</t>
        </is>
      </c>
      <c r="D251" s="17" t="inlineStr">
        <is>
          <t>천연물의약품원료플랜트</t>
        </is>
      </c>
      <c r="E251" s="17" t="inlineStr">
        <is>
          <t>전라남도</t>
        </is>
      </c>
      <c r="F251" s="17" t="inlineStr">
        <is>
          <t>화순군</t>
        </is>
      </c>
      <c r="G251" s="17" t="n">
        <v>1</v>
      </c>
      <c r="H251" s="17" t="inlineStr"/>
      <c r="I251" s="17" t="inlineStr"/>
      <c r="J251" s="17" t="inlineStr"/>
      <c r="K251" s="17" t="inlineStr">
        <is>
          <t>Y</t>
        </is>
      </c>
      <c r="L251" s="22" t="inlineStr">
        <is>
          <t>미확인</t>
        </is>
      </c>
      <c r="M251" s="22" t="inlineStr">
        <is>
          <t>미확인</t>
        </is>
      </c>
      <c r="N251" s="22" t="inlineStr">
        <is>
          <t>미확인</t>
        </is>
      </c>
      <c r="O251" s="22" t="inlineStr">
        <is>
          <t>미확인</t>
        </is>
      </c>
      <c r="P251" s="17" t="inlineStr">
        <is>
          <t>QMS+LIMS</t>
        </is>
      </c>
      <c r="Q251" s="22" t="inlineStr">
        <is>
          <t>미확인</t>
        </is>
      </c>
      <c r="R251" s="22" t="inlineStr">
        <is>
          <t>미확인</t>
        </is>
      </c>
      <c r="S251" s="17" t="inlineStr">
        <is>
          <t>Tier D</t>
        </is>
      </c>
      <c r="T251" s="17" t="n">
        <v>7</v>
      </c>
      <c r="U251" s="17" t="inlineStr">
        <is>
          <t>C362</t>
        </is>
      </c>
      <c r="V251" s="17" t="inlineStr">
        <is>
          <t>(재)전남바이오진흥원그린바이오본부천연센터</t>
        </is>
      </c>
      <c r="W251" s="17" t="inlineStr"/>
      <c r="X251" s="17" t="inlineStr"/>
      <c r="Y251" s="23" t="inlineStr"/>
      <c r="Z251" s="17" t="inlineStr">
        <is>
          <t>김기홍</t>
        </is>
      </c>
      <c r="AA251" s="17" t="inlineStr"/>
      <c r="AB251" s="17" t="inlineStr">
        <is>
          <t>061-375-6805</t>
        </is>
      </c>
      <c r="AC251" s="17" t="inlineStr">
        <is>
          <t>미확인</t>
        </is>
      </c>
      <c r="AD251" s="17" t="inlineStr">
        <is>
          <t>Y</t>
        </is>
      </c>
      <c r="AE251" s="17" t="inlineStr">
        <is>
          <t>P439</t>
        </is>
      </c>
      <c r="AF251" s="17" t="inlineStr">
        <is>
          <t>전라남도 화순군 화순읍 산단길 100-1 천연물의약품원료플랜트</t>
        </is>
      </c>
      <c r="AG251" s="17" t="inlineStr">
        <is>
          <t>원료의약품</t>
        </is>
      </c>
      <c r="AH251" s="17" t="inlineStr">
        <is>
          <t>비무균-일반제제-추출</t>
        </is>
      </c>
      <c r="AI251" s="17" t="n">
        <v>1</v>
      </c>
      <c r="AJ251" s="24" t="n">
        <v>46418</v>
      </c>
      <c r="AK251" s="17" t="inlineStr"/>
      <c r="AL251" s="17" t="inlineStr">
        <is>
          <t>Y</t>
        </is>
      </c>
      <c r="AM251" s="17" t="inlineStr">
        <is>
          <t>원료 제조로 시험실 관리 필요</t>
        </is>
      </c>
      <c r="AN251" s="17" t="inlineStr">
        <is>
          <t>미확인</t>
        </is>
      </c>
      <c r="AO251" s="17" t="inlineStr">
        <is>
          <t>미확인</t>
        </is>
      </c>
      <c r="AP251" s="17" t="inlineStr">
        <is>
          <t>미확인</t>
        </is>
      </c>
      <c r="AQ251" s="17" t="inlineStr">
        <is>
          <t>담당자 파악 후 접촉</t>
        </is>
      </c>
      <c r="AR251" s="17" t="inlineStr">
        <is>
          <t>2026-07-05</t>
        </is>
      </c>
      <c r="AS251" s="17" t="inlineStr">
        <is>
          <t>C(부분확인)</t>
        </is>
      </c>
      <c r="AT251" s="17" t="n">
        <v>90</v>
      </c>
      <c r="AU251" s="17" t="inlineStr"/>
      <c r="AV251" s="17" t="inlineStr"/>
    </row>
    <row r="252">
      <c r="A252" s="27" t="inlineStr">
        <is>
          <t>Tier C</t>
        </is>
      </c>
      <c r="B252" s="17" t="n">
        <v>13</v>
      </c>
      <c r="C252" s="17" t="inlineStr">
        <is>
          <t>(주)녹십자엠에스</t>
        </is>
      </c>
      <c r="D252" s="17" t="inlineStr">
        <is>
          <t>8공장</t>
        </is>
      </c>
      <c r="E252" s="17" t="inlineStr">
        <is>
          <t>충청북도</t>
        </is>
      </c>
      <c r="F252" s="17" t="inlineStr">
        <is>
          <t>음성군</t>
        </is>
      </c>
      <c r="G252" s="17" t="n">
        <v>1</v>
      </c>
      <c r="H252" s="17" t="inlineStr"/>
      <c r="I252" s="17" t="inlineStr"/>
      <c r="J252" s="17" t="inlineStr">
        <is>
          <t>Y</t>
        </is>
      </c>
      <c r="K252" s="17" t="inlineStr"/>
      <c r="L252" s="22" t="inlineStr">
        <is>
          <t>미확인</t>
        </is>
      </c>
      <c r="M252" s="22" t="inlineStr">
        <is>
          <t>미확인</t>
        </is>
      </c>
      <c r="N252" s="22" t="inlineStr">
        <is>
          <t>미확인</t>
        </is>
      </c>
      <c r="O252" s="22" t="inlineStr">
        <is>
          <t>미확인</t>
        </is>
      </c>
      <c r="P252" s="17" t="inlineStr">
        <is>
          <t>EDMS</t>
        </is>
      </c>
      <c r="Q252" s="22" t="inlineStr">
        <is>
          <t>미확인</t>
        </is>
      </c>
      <c r="R252" s="22" t="inlineStr">
        <is>
          <t>미확인</t>
        </is>
      </c>
      <c r="S252" s="17" t="inlineStr">
        <is>
          <t>Tier D</t>
        </is>
      </c>
      <c r="T252" s="17" t="n">
        <v>7</v>
      </c>
      <c r="U252" s="17" t="inlineStr">
        <is>
          <t>C066</t>
        </is>
      </c>
      <c r="V252" s="17" t="inlineStr">
        <is>
          <t>녹십자엠에스</t>
        </is>
      </c>
      <c r="W252" s="17" t="inlineStr">
        <is>
          <t>Y</t>
        </is>
      </c>
      <c r="X252" s="17" t="inlineStr">
        <is>
          <t>코스닥</t>
        </is>
      </c>
      <c r="Y252" s="23" t="inlineStr">
        <is>
          <t>142280</t>
        </is>
      </c>
      <c r="Z252" s="17" t="inlineStr">
        <is>
          <t>김연근</t>
        </is>
      </c>
      <c r="AA252" s="17" t="inlineStr">
        <is>
          <t>http://www.greencrossms.com</t>
        </is>
      </c>
      <c r="AB252" s="17" t="inlineStr">
        <is>
          <t>031-260-9553</t>
        </is>
      </c>
      <c r="AC252" s="17" t="inlineStr">
        <is>
          <t>미확인</t>
        </is>
      </c>
      <c r="AD252" s="17" t="inlineStr">
        <is>
          <t>Y</t>
        </is>
      </c>
      <c r="AE252" s="17" t="inlineStr">
        <is>
          <t>P068</t>
        </is>
      </c>
      <c r="AF252" s="17" t="inlineStr">
        <is>
          <t>충청북도 음성군 맹동면 태정로 148</t>
        </is>
      </c>
      <c r="AG252" s="17" t="inlineStr">
        <is>
          <t>완제의약품</t>
        </is>
      </c>
      <c r="AH252" s="17" t="inlineStr">
        <is>
          <t>비무균-일반제제-외용액제(혈액투석제(액상)), 비무균-일반제제-그 밖의 고형제(혈액투석제(고형))</t>
        </is>
      </c>
      <c r="AI252" s="17" t="n">
        <v>1</v>
      </c>
      <c r="AJ252" s="24" t="n">
        <v>47172</v>
      </c>
      <c r="AK252" s="17" t="inlineStr"/>
      <c r="AL252" s="17" t="inlineStr"/>
      <c r="AM252" s="17" t="inlineStr">
        <is>
          <t>기본 문서관리 수요</t>
        </is>
      </c>
      <c r="AN252" s="17" t="inlineStr">
        <is>
          <t>미확인</t>
        </is>
      </c>
      <c r="AO252" s="17" t="inlineStr">
        <is>
          <t>미확인</t>
        </is>
      </c>
      <c r="AP252" s="17" t="inlineStr">
        <is>
          <t>미확인</t>
        </is>
      </c>
      <c r="AQ252" s="17" t="inlineStr">
        <is>
          <t>담당자 파악 후 접촉</t>
        </is>
      </c>
      <c r="AR252" s="17" t="inlineStr">
        <is>
          <t>2026-07-05</t>
        </is>
      </c>
      <c r="AS252" s="17" t="inlineStr">
        <is>
          <t>C(부분확인)</t>
        </is>
      </c>
      <c r="AT252" s="17" t="n">
        <v>90</v>
      </c>
      <c r="AU252" s="17" t="inlineStr"/>
      <c r="AV252" s="17" t="inlineStr"/>
    </row>
    <row r="253">
      <c r="A253" s="27" t="inlineStr">
        <is>
          <t>Tier C</t>
        </is>
      </c>
      <c r="B253" s="17" t="n">
        <v>13</v>
      </c>
      <c r="C253" s="17" t="inlineStr">
        <is>
          <t>(주)동구바이오제약</t>
        </is>
      </c>
      <c r="D253" s="17" t="inlineStr">
        <is>
          <t>화성</t>
        </is>
      </c>
      <c r="E253" s="17" t="inlineStr">
        <is>
          <t>경기도</t>
        </is>
      </c>
      <c r="F253" s="17" t="inlineStr">
        <is>
          <t>화성시</t>
        </is>
      </c>
      <c r="G253" s="17" t="n">
        <v>1</v>
      </c>
      <c r="H253" s="17" t="inlineStr"/>
      <c r="I253" s="17" t="inlineStr"/>
      <c r="J253" s="17" t="inlineStr">
        <is>
          <t>Y</t>
        </is>
      </c>
      <c r="K253" s="17" t="inlineStr"/>
      <c r="L253" s="22" t="inlineStr">
        <is>
          <t>미확인</t>
        </is>
      </c>
      <c r="M253" s="22" t="inlineStr">
        <is>
          <t>미확인</t>
        </is>
      </c>
      <c r="N253" s="22" t="inlineStr">
        <is>
          <t>미확인</t>
        </is>
      </c>
      <c r="O253" s="22" t="inlineStr">
        <is>
          <t>미확인</t>
        </is>
      </c>
      <c r="P253" s="17" t="inlineStr">
        <is>
          <t>EDMS</t>
        </is>
      </c>
      <c r="Q253" s="22" t="inlineStr">
        <is>
          <t>미확인</t>
        </is>
      </c>
      <c r="R253" s="22" t="inlineStr">
        <is>
          <t>미확인</t>
        </is>
      </c>
      <c r="S253" s="17" t="inlineStr">
        <is>
          <t>Tier D</t>
        </is>
      </c>
      <c r="T253" s="17" t="n">
        <v>7</v>
      </c>
      <c r="U253" s="17" t="inlineStr">
        <is>
          <t>C198</t>
        </is>
      </c>
      <c r="V253" s="17" t="inlineStr">
        <is>
          <t>동구바이오제약</t>
        </is>
      </c>
      <c r="W253" s="17" t="inlineStr">
        <is>
          <t>Y</t>
        </is>
      </c>
      <c r="X253" s="17" t="inlineStr">
        <is>
          <t>코스닥</t>
        </is>
      </c>
      <c r="Y253" s="23" t="inlineStr">
        <is>
          <t>006620</t>
        </is>
      </c>
      <c r="Z253" s="17" t="inlineStr">
        <is>
          <t>조용준</t>
        </is>
      </c>
      <c r="AA253" s="17" t="inlineStr">
        <is>
          <t>http://www.dongkoo.com</t>
        </is>
      </c>
      <c r="AB253" s="17" t="inlineStr">
        <is>
          <t>031-3535-4115</t>
        </is>
      </c>
      <c r="AC253" s="17" t="inlineStr">
        <is>
          <t>미확인</t>
        </is>
      </c>
      <c r="AD253" s="17" t="inlineStr">
        <is>
          <t>Y</t>
        </is>
      </c>
      <c r="AE253" s="17" t="inlineStr">
        <is>
          <t>P214</t>
        </is>
      </c>
      <c r="AF253" s="17" t="inlineStr">
        <is>
          <t>경기도 화성시 만세구 향남읍 제약공단2길 18 (상신리 901-3)</t>
        </is>
      </c>
      <c r="AG253" s="17" t="inlineStr">
        <is>
          <t>완제의약품</t>
        </is>
      </c>
      <c r="AH253" s="17" t="inlineStr">
        <is>
          <t>비무균-일반제제-내용고형제(정제, 캡슐제), 비무균-일반제제-외용액제(외용액제, 로션제), 비무균-일반제제-연고제(연고제, 크림제)</t>
        </is>
      </c>
      <c r="AI253" s="17" t="n">
        <v>1</v>
      </c>
      <c r="AJ253" s="24" t="n">
        <v>46892</v>
      </c>
      <c r="AK253" s="17" t="inlineStr"/>
      <c r="AL253" s="17" t="inlineStr"/>
      <c r="AM253" s="17" t="inlineStr">
        <is>
          <t>기본 문서관리 수요</t>
        </is>
      </c>
      <c r="AN253" s="17" t="inlineStr">
        <is>
          <t>미확인</t>
        </is>
      </c>
      <c r="AO253" s="17" t="inlineStr">
        <is>
          <t>미확인</t>
        </is>
      </c>
      <c r="AP253" s="17" t="inlineStr">
        <is>
          <t>미확인</t>
        </is>
      </c>
      <c r="AQ253" s="17" t="inlineStr">
        <is>
          <t>담당자 파악 후 접촉</t>
        </is>
      </c>
      <c r="AR253" s="17" t="inlineStr">
        <is>
          <t>2026-07-05</t>
        </is>
      </c>
      <c r="AS253" s="17" t="inlineStr">
        <is>
          <t>C(부분확인)</t>
        </is>
      </c>
      <c r="AT253" s="17" t="n">
        <v>90</v>
      </c>
      <c r="AU253" s="17" t="inlineStr"/>
      <c r="AV253" s="17" t="inlineStr"/>
    </row>
    <row r="254">
      <c r="A254" s="27" t="inlineStr">
        <is>
          <t>Tier C</t>
        </is>
      </c>
      <c r="B254" s="17" t="n">
        <v>13</v>
      </c>
      <c r="C254" s="17" t="inlineStr">
        <is>
          <t>(주)동인화학</t>
        </is>
      </c>
      <c r="D254" s="17" t="inlineStr">
        <is>
          <t>평택</t>
        </is>
      </c>
      <c r="E254" s="17" t="inlineStr">
        <is>
          <t>경기도</t>
        </is>
      </c>
      <c r="F254" s="17" t="inlineStr">
        <is>
          <t>평택시</t>
        </is>
      </c>
      <c r="G254" s="17" t="n">
        <v>1</v>
      </c>
      <c r="H254" s="17" t="inlineStr"/>
      <c r="I254" s="17" t="inlineStr"/>
      <c r="J254" s="17" t="inlineStr"/>
      <c r="K254" s="17" t="inlineStr">
        <is>
          <t>Y</t>
        </is>
      </c>
      <c r="L254" s="22" t="inlineStr">
        <is>
          <t>미확인</t>
        </is>
      </c>
      <c r="M254" s="22" t="inlineStr">
        <is>
          <t>미확인</t>
        </is>
      </c>
      <c r="N254" s="22" t="inlineStr">
        <is>
          <t>미확인</t>
        </is>
      </c>
      <c r="O254" s="22" t="inlineStr">
        <is>
          <t>미확인</t>
        </is>
      </c>
      <c r="P254" s="17" t="inlineStr">
        <is>
          <t>QMS+LIMS</t>
        </is>
      </c>
      <c r="Q254" s="22" t="inlineStr">
        <is>
          <t>미확인</t>
        </is>
      </c>
      <c r="R254" s="22" t="inlineStr">
        <is>
          <t>미확인</t>
        </is>
      </c>
      <c r="S254" s="17" t="inlineStr">
        <is>
          <t>Tier D</t>
        </is>
      </c>
      <c r="T254" s="17" t="n">
        <v>7</v>
      </c>
      <c r="U254" s="17" t="inlineStr">
        <is>
          <t>C311</t>
        </is>
      </c>
      <c r="V254" s="17" t="inlineStr">
        <is>
          <t>동인화학</t>
        </is>
      </c>
      <c r="W254" s="17" t="inlineStr"/>
      <c r="X254" s="17" t="inlineStr"/>
      <c r="Y254" s="23" t="inlineStr"/>
      <c r="Z254" s="17" t="inlineStr">
        <is>
          <t>김선경</t>
        </is>
      </c>
      <c r="AA254" s="17" t="inlineStr"/>
      <c r="AB254" s="17" t="inlineStr">
        <is>
          <t>031-665-0972</t>
        </is>
      </c>
      <c r="AC254" s="17" t="inlineStr">
        <is>
          <t>미확인</t>
        </is>
      </c>
      <c r="AD254" s="17" t="inlineStr">
        <is>
          <t>Y</t>
        </is>
      </c>
      <c r="AE254" s="17" t="inlineStr">
        <is>
          <t>P376</t>
        </is>
      </c>
      <c r="AF254" s="17" t="inlineStr">
        <is>
          <t>경기도 평택시 산단로16번길 62</t>
        </is>
      </c>
      <c r="AG254" s="17" t="inlineStr">
        <is>
          <t>원료의약품</t>
        </is>
      </c>
      <c r="AH254" s="17" t="inlineStr">
        <is>
          <t>비무균-일반제제-합성, 비무균-일반제제-정제(합성에 한함)</t>
        </is>
      </c>
      <c r="AI254" s="17" t="n">
        <v>1</v>
      </c>
      <c r="AJ254" s="24" t="n">
        <v>46542</v>
      </c>
      <c r="AK254" s="17" t="inlineStr"/>
      <c r="AL254" s="17" t="inlineStr">
        <is>
          <t>Y</t>
        </is>
      </c>
      <c r="AM254" s="17" t="inlineStr">
        <is>
          <t>원료 제조로 시험실 관리 필요</t>
        </is>
      </c>
      <c r="AN254" s="17" t="inlineStr">
        <is>
          <t>미확인</t>
        </is>
      </c>
      <c r="AO254" s="17" t="inlineStr">
        <is>
          <t>미확인</t>
        </is>
      </c>
      <c r="AP254" s="17" t="inlineStr">
        <is>
          <t>미확인</t>
        </is>
      </c>
      <c r="AQ254" s="17" t="inlineStr">
        <is>
          <t>담당자 파악 후 접촉</t>
        </is>
      </c>
      <c r="AR254" s="17" t="inlineStr">
        <is>
          <t>2026-07-05</t>
        </is>
      </c>
      <c r="AS254" s="17" t="inlineStr">
        <is>
          <t>C(부분확인)</t>
        </is>
      </c>
      <c r="AT254" s="17" t="n">
        <v>90</v>
      </c>
      <c r="AU254" s="17" t="inlineStr"/>
      <c r="AV254" s="17" t="inlineStr"/>
    </row>
    <row r="255">
      <c r="A255" s="27" t="inlineStr">
        <is>
          <t>Tier C</t>
        </is>
      </c>
      <c r="B255" s="17" t="n">
        <v>13</v>
      </c>
      <c r="C255" s="17" t="inlineStr">
        <is>
          <t>(주)라이트팜텍</t>
        </is>
      </c>
      <c r="D255" s="17" t="inlineStr">
        <is>
          <t>평택</t>
        </is>
      </c>
      <c r="E255" s="17" t="inlineStr">
        <is>
          <t>경기도</t>
        </is>
      </c>
      <c r="F255" s="17" t="inlineStr">
        <is>
          <t>평택시</t>
        </is>
      </c>
      <c r="G255" s="17" t="n">
        <v>1</v>
      </c>
      <c r="H255" s="20" t="inlineStr">
        <is>
          <t>Y</t>
        </is>
      </c>
      <c r="I255" s="17" t="inlineStr"/>
      <c r="J255" s="17" t="inlineStr">
        <is>
          <t>Y</t>
        </is>
      </c>
      <c r="K255" s="17" t="inlineStr"/>
      <c r="L255" s="22" t="inlineStr">
        <is>
          <t>미확인</t>
        </is>
      </c>
      <c r="M255" s="22" t="inlineStr">
        <is>
          <t>미확인</t>
        </is>
      </c>
      <c r="N255" s="22" t="inlineStr">
        <is>
          <t>미확인</t>
        </is>
      </c>
      <c r="O255" s="22" t="inlineStr">
        <is>
          <t>미확인</t>
        </is>
      </c>
      <c r="P255" s="17" t="inlineStr">
        <is>
          <t>QMS+LIMS</t>
        </is>
      </c>
      <c r="Q255" s="22" t="inlineStr">
        <is>
          <t>미확인</t>
        </is>
      </c>
      <c r="R255" s="22" t="inlineStr">
        <is>
          <t>미확인</t>
        </is>
      </c>
      <c r="S255" s="17" t="inlineStr">
        <is>
          <t>Tier D</t>
        </is>
      </c>
      <c r="T255" s="17" t="n">
        <v>12</v>
      </c>
      <c r="U255" s="17" t="inlineStr">
        <is>
          <t>C283</t>
        </is>
      </c>
      <c r="V255" s="17" t="inlineStr">
        <is>
          <t>라이트팜텍</t>
        </is>
      </c>
      <c r="W255" s="17" t="inlineStr"/>
      <c r="X255" s="17" t="inlineStr"/>
      <c r="Y255" s="23" t="inlineStr"/>
      <c r="Z255" s="17" t="inlineStr">
        <is>
          <t>김철주</t>
        </is>
      </c>
      <c r="AA255" s="17" t="inlineStr"/>
      <c r="AB255" s="17" t="inlineStr">
        <is>
          <t>02-801-8570</t>
        </is>
      </c>
      <c r="AC255" s="17" t="inlineStr">
        <is>
          <t>미확인</t>
        </is>
      </c>
      <c r="AD255" s="17" t="inlineStr">
        <is>
          <t>Y</t>
        </is>
      </c>
      <c r="AE255" s="17" t="inlineStr">
        <is>
          <t>P340</t>
        </is>
      </c>
      <c r="AF255" s="17" t="inlineStr">
        <is>
          <t>경기도 평택시 청북읍 고렴산단로 89</t>
        </is>
      </c>
      <c r="AG255" s="17" t="inlineStr">
        <is>
          <t>완제의약품</t>
        </is>
      </c>
      <c r="AH255" s="17" t="inlineStr">
        <is>
          <t>무균-일반제제-점안제(점안제)</t>
        </is>
      </c>
      <c r="AI255" s="17" t="n">
        <v>1</v>
      </c>
      <c r="AJ255" s="24" t="n">
        <v>46631</v>
      </c>
      <c r="AK255" s="17" t="inlineStr"/>
      <c r="AL255" s="17" t="inlineStr"/>
      <c r="AM255" s="17" t="inlineStr">
        <is>
          <t>무균/바이오 제조로 품질관리 난도 높음</t>
        </is>
      </c>
      <c r="AN255" s="17" t="inlineStr">
        <is>
          <t>미확인</t>
        </is>
      </c>
      <c r="AO255" s="17" t="inlineStr">
        <is>
          <t>미확인</t>
        </is>
      </c>
      <c r="AP255" s="17" t="inlineStr">
        <is>
          <t>미확인</t>
        </is>
      </c>
      <c r="AQ255" s="17" t="inlineStr">
        <is>
          <t>담당자 파악 후 접촉</t>
        </is>
      </c>
      <c r="AR255" s="17" t="inlineStr">
        <is>
          <t>2026-07-05</t>
        </is>
      </c>
      <c r="AS255" s="17" t="inlineStr">
        <is>
          <t>C(부분확인)</t>
        </is>
      </c>
      <c r="AT255" s="17" t="n">
        <v>90</v>
      </c>
      <c r="AU255" s="17" t="inlineStr"/>
      <c r="AV255" s="17" t="inlineStr"/>
    </row>
    <row r="256">
      <c r="A256" s="27" t="inlineStr">
        <is>
          <t>Tier C</t>
        </is>
      </c>
      <c r="B256" s="17" t="n">
        <v>13</v>
      </c>
      <c r="C256" s="17" t="inlineStr">
        <is>
          <t>(주)리독스바이오</t>
        </is>
      </c>
      <c r="D256" s="17" t="inlineStr">
        <is>
          <t>제1공장</t>
        </is>
      </c>
      <c r="E256" s="17" t="inlineStr">
        <is>
          <t>경기도</t>
        </is>
      </c>
      <c r="F256" s="17" t="inlineStr">
        <is>
          <t>화성시</t>
        </is>
      </c>
      <c r="G256" s="17" t="n">
        <v>1</v>
      </c>
      <c r="H256" s="17" t="inlineStr"/>
      <c r="I256" s="17" t="inlineStr"/>
      <c r="J256" s="17" t="inlineStr"/>
      <c r="K256" s="17" t="inlineStr">
        <is>
          <t>Y</t>
        </is>
      </c>
      <c r="L256" s="22" t="inlineStr">
        <is>
          <t>미확인</t>
        </is>
      </c>
      <c r="M256" s="22" t="inlineStr">
        <is>
          <t>미확인</t>
        </is>
      </c>
      <c r="N256" s="22" t="inlineStr">
        <is>
          <t>미확인</t>
        </is>
      </c>
      <c r="O256" s="22" t="inlineStr">
        <is>
          <t>미확인</t>
        </is>
      </c>
      <c r="P256" s="17" t="inlineStr">
        <is>
          <t>QMS+LIMS</t>
        </is>
      </c>
      <c r="Q256" s="22" t="inlineStr">
        <is>
          <t>미확인</t>
        </is>
      </c>
      <c r="R256" s="22" t="inlineStr">
        <is>
          <t>미확인</t>
        </is>
      </c>
      <c r="S256" s="17" t="inlineStr">
        <is>
          <t>Tier D</t>
        </is>
      </c>
      <c r="T256" s="17" t="n">
        <v>7</v>
      </c>
      <c r="U256" s="17" t="inlineStr">
        <is>
          <t>C343</t>
        </is>
      </c>
      <c r="V256" s="17" t="inlineStr">
        <is>
          <t>리독스바이오</t>
        </is>
      </c>
      <c r="W256" s="17" t="inlineStr"/>
      <c r="X256" s="17" t="inlineStr"/>
      <c r="Y256" s="23" t="inlineStr"/>
      <c r="Z256" s="17" t="inlineStr">
        <is>
          <t>김수지</t>
        </is>
      </c>
      <c r="AA256" s="17" t="inlineStr"/>
      <c r="AB256" s="17" t="inlineStr">
        <is>
          <t>미확인</t>
        </is>
      </c>
      <c r="AC256" s="17" t="inlineStr">
        <is>
          <t>미확인</t>
        </is>
      </c>
      <c r="AD256" s="17" t="inlineStr">
        <is>
          <t>Y</t>
        </is>
      </c>
      <c r="AE256" s="17" t="inlineStr">
        <is>
          <t>P414</t>
        </is>
      </c>
      <c r="AF256" s="17" t="inlineStr">
        <is>
          <t>경기도 화성시 만세구 향남읍 제약공단3길 83</t>
        </is>
      </c>
      <c r="AG256" s="17" t="inlineStr">
        <is>
          <t>원료의약품</t>
        </is>
      </c>
      <c r="AH256" s="17" t="inlineStr">
        <is>
          <t>비무균-일반제제-합성, 비무균-일반제제-정제(추출에 한함)</t>
        </is>
      </c>
      <c r="AI256" s="17" t="n">
        <v>1</v>
      </c>
      <c r="AJ256" s="24" t="n">
        <v>46465</v>
      </c>
      <c r="AK256" s="17" t="inlineStr"/>
      <c r="AL256" s="17" t="inlineStr">
        <is>
          <t>Y</t>
        </is>
      </c>
      <c r="AM256" s="17" t="inlineStr">
        <is>
          <t>원료 제조로 시험실 관리 필요</t>
        </is>
      </c>
      <c r="AN256" s="17" t="inlineStr">
        <is>
          <t>미확인</t>
        </is>
      </c>
      <c r="AO256" s="17" t="inlineStr">
        <is>
          <t>미확인</t>
        </is>
      </c>
      <c r="AP256" s="17" t="inlineStr">
        <is>
          <t>미확인</t>
        </is>
      </c>
      <c r="AQ256" s="17" t="inlineStr">
        <is>
          <t>담당자 파악 후 접촉</t>
        </is>
      </c>
      <c r="AR256" s="17" t="inlineStr">
        <is>
          <t>2026-07-05</t>
        </is>
      </c>
      <c r="AS256" s="17" t="inlineStr">
        <is>
          <t>C(부분확인)</t>
        </is>
      </c>
      <c r="AT256" s="17" t="n">
        <v>90</v>
      </c>
      <c r="AU256" s="17" t="inlineStr"/>
      <c r="AV256" s="17" t="inlineStr"/>
    </row>
    <row r="257">
      <c r="A257" s="27" t="inlineStr">
        <is>
          <t>Tier C</t>
        </is>
      </c>
      <c r="B257" s="17" t="n">
        <v>13</v>
      </c>
      <c r="C257" s="17" t="inlineStr">
        <is>
          <t>(주)바스칸바이오제약</t>
        </is>
      </c>
      <c r="D257" s="17" t="inlineStr">
        <is>
          <t>미확인</t>
        </is>
      </c>
      <c r="E257" s="17" t="inlineStr">
        <is>
          <t>경기도</t>
        </is>
      </c>
      <c r="F257" s="17" t="inlineStr">
        <is>
          <t>안성시</t>
        </is>
      </c>
      <c r="G257" s="17" t="n">
        <v>1</v>
      </c>
      <c r="H257" s="17" t="inlineStr"/>
      <c r="I257" s="17" t="inlineStr"/>
      <c r="J257" s="17" t="inlineStr">
        <is>
          <t>Y</t>
        </is>
      </c>
      <c r="K257" s="17" t="inlineStr"/>
      <c r="L257" s="22" t="inlineStr">
        <is>
          <t>미확인</t>
        </is>
      </c>
      <c r="M257" s="22" t="inlineStr">
        <is>
          <t>미확인</t>
        </is>
      </c>
      <c r="N257" s="22" t="inlineStr">
        <is>
          <t>미확인</t>
        </is>
      </c>
      <c r="O257" s="22" t="inlineStr">
        <is>
          <t>미확인</t>
        </is>
      </c>
      <c r="P257" s="17" t="inlineStr">
        <is>
          <t>EDMS</t>
        </is>
      </c>
      <c r="Q257" s="22" t="inlineStr">
        <is>
          <t>미확인</t>
        </is>
      </c>
      <c r="R257" s="22" t="inlineStr">
        <is>
          <t>미확인</t>
        </is>
      </c>
      <c r="S257" s="17" t="inlineStr">
        <is>
          <t>Tier D</t>
        </is>
      </c>
      <c r="T257" s="17" t="n">
        <v>4</v>
      </c>
      <c r="U257" s="17" t="inlineStr">
        <is>
          <t>C135</t>
        </is>
      </c>
      <c r="V257" s="17" t="inlineStr">
        <is>
          <t>바스칸바이오제약</t>
        </is>
      </c>
      <c r="W257" s="17" t="inlineStr">
        <is>
          <t>Y</t>
        </is>
      </c>
      <c r="X257" s="17" t="inlineStr">
        <is>
          <t>코넥스</t>
        </is>
      </c>
      <c r="Y257" s="23" t="inlineStr">
        <is>
          <t>354390</t>
        </is>
      </c>
      <c r="Z257" s="17" t="inlineStr">
        <is>
          <t>이법표</t>
        </is>
      </c>
      <c r="AA257" s="17" t="inlineStr">
        <is>
          <t>http://www.baskhanbio.com</t>
        </is>
      </c>
      <c r="AB257" s="17" t="inlineStr">
        <is>
          <t>미확인</t>
        </is>
      </c>
      <c r="AC257" s="17" t="inlineStr">
        <is>
          <t>미확인</t>
        </is>
      </c>
      <c r="AD257" s="17" t="inlineStr">
        <is>
          <t>Y</t>
        </is>
      </c>
      <c r="AE257" s="17" t="inlineStr">
        <is>
          <t>P141</t>
        </is>
      </c>
      <c r="AF257" s="17" t="inlineStr">
        <is>
          <t>경기도 안성시 원곡면 원당로 354</t>
        </is>
      </c>
      <c r="AG257" s="17" t="inlineStr">
        <is>
          <t>완제의약품</t>
        </is>
      </c>
      <c r="AH257" s="17" t="inlineStr">
        <is>
          <t>비무균-일반제제-내용고형제(정제, 캡슐제)</t>
        </is>
      </c>
      <c r="AI257" s="17" t="n">
        <v>1</v>
      </c>
      <c r="AJ257" s="24" t="n">
        <v>46997</v>
      </c>
      <c r="AK257" s="17" t="inlineStr"/>
      <c r="AL257" s="17" t="inlineStr"/>
      <c r="AM257" s="17" t="inlineStr">
        <is>
          <t>기본 문서관리 수요</t>
        </is>
      </c>
      <c r="AN257" s="17" t="inlineStr">
        <is>
          <t>미확인</t>
        </is>
      </c>
      <c r="AO257" s="17" t="inlineStr">
        <is>
          <t>미확인</t>
        </is>
      </c>
      <c r="AP257" s="17" t="inlineStr">
        <is>
          <t>미확인</t>
        </is>
      </c>
      <c r="AQ257" s="17" t="inlineStr">
        <is>
          <t>담당자 파악 후 접촉</t>
        </is>
      </c>
      <c r="AR257" s="17" t="inlineStr">
        <is>
          <t>2026-07-05</t>
        </is>
      </c>
      <c r="AS257" s="17" t="inlineStr">
        <is>
          <t>C(부분확인)</t>
        </is>
      </c>
      <c r="AT257" s="17" t="n">
        <v>0</v>
      </c>
      <c r="AU257" s="17" t="inlineStr">
        <is>
          <t>Y</t>
        </is>
      </c>
      <c r="AV257" s="17" t="inlineStr"/>
    </row>
    <row r="258">
      <c r="A258" s="27" t="inlineStr">
        <is>
          <t>Tier C</t>
        </is>
      </c>
      <c r="B258" s="17" t="n">
        <v>13</v>
      </c>
      <c r="C258" s="17" t="inlineStr">
        <is>
          <t>(주)보령바이오파마</t>
        </is>
      </c>
      <c r="D258" s="17" t="inlineStr">
        <is>
          <t>(주)보령바이오파마</t>
        </is>
      </c>
      <c r="E258" s="17" t="inlineStr">
        <is>
          <t>충청북도</t>
        </is>
      </c>
      <c r="F258" s="17" t="inlineStr">
        <is>
          <t>진천군</t>
        </is>
      </c>
      <c r="G258" s="17" t="n">
        <v>1</v>
      </c>
      <c r="H258" s="20" t="inlineStr">
        <is>
          <t>Y</t>
        </is>
      </c>
      <c r="I258" s="17" t="inlineStr"/>
      <c r="J258" s="17" t="inlineStr">
        <is>
          <t>Y</t>
        </is>
      </c>
      <c r="K258" s="17" t="inlineStr"/>
      <c r="L258" s="22" t="inlineStr">
        <is>
          <t>미확인</t>
        </is>
      </c>
      <c r="M258" s="22" t="inlineStr">
        <is>
          <t>미확인</t>
        </is>
      </c>
      <c r="N258" s="22" t="inlineStr">
        <is>
          <t>미확인</t>
        </is>
      </c>
      <c r="O258" s="22" t="inlineStr">
        <is>
          <t>미확인</t>
        </is>
      </c>
      <c r="P258" s="17" t="inlineStr">
        <is>
          <t>QMS+LIMS</t>
        </is>
      </c>
      <c r="Q258" s="22" t="inlineStr">
        <is>
          <t>미확인</t>
        </is>
      </c>
      <c r="R258" s="22" t="inlineStr">
        <is>
          <t>미확인</t>
        </is>
      </c>
      <c r="S258" s="17" t="inlineStr">
        <is>
          <t>Tier D</t>
        </is>
      </c>
      <c r="T258" s="17" t="n">
        <v>12</v>
      </c>
      <c r="U258" s="17" t="inlineStr">
        <is>
          <t>C279</t>
        </is>
      </c>
      <c r="V258" s="17" t="inlineStr">
        <is>
          <t>보령바이오파마</t>
        </is>
      </c>
      <c r="W258" s="17" t="inlineStr"/>
      <c r="X258" s="17" t="inlineStr"/>
      <c r="Y258" s="23" t="inlineStr"/>
      <c r="Z258" s="17" t="inlineStr">
        <is>
          <t>장홍두</t>
        </is>
      </c>
      <c r="AA258" s="17" t="inlineStr"/>
      <c r="AB258" s="17" t="inlineStr">
        <is>
          <t>02-740-4204</t>
        </is>
      </c>
      <c r="AC258" s="17" t="inlineStr">
        <is>
          <t>미확인</t>
        </is>
      </c>
      <c r="AD258" s="17" t="inlineStr">
        <is>
          <t>Y</t>
        </is>
      </c>
      <c r="AE258" s="17" t="inlineStr">
        <is>
          <t>P334</t>
        </is>
      </c>
      <c r="AF258" s="17" t="inlineStr">
        <is>
          <t>충청북도 진천군 광혜원면 사동길 2</t>
        </is>
      </c>
      <c r="AG258" s="17" t="inlineStr">
        <is>
          <t>완제의약품</t>
        </is>
      </c>
      <c r="AH258" s="17" t="inlineStr">
        <is>
          <t>비무균-일반제제-내용고형제(캡슐제), 비무균-일반제제-내용액제(시럽제(액상)), 생물-백신-주사제(주사제)</t>
        </is>
      </c>
      <c r="AI258" s="17" t="n">
        <v>1</v>
      </c>
      <c r="AJ258" s="24" t="n">
        <v>46642</v>
      </c>
      <c r="AK258" s="17" t="inlineStr"/>
      <c r="AL258" s="17" t="inlineStr"/>
      <c r="AM258" s="17" t="inlineStr">
        <is>
          <t>무균/바이오 제조로 품질관리 난도 높음</t>
        </is>
      </c>
      <c r="AN258" s="17" t="inlineStr">
        <is>
          <t>미확인</t>
        </is>
      </c>
      <c r="AO258" s="17" t="inlineStr">
        <is>
          <t>미확인</t>
        </is>
      </c>
      <c r="AP258" s="17" t="inlineStr">
        <is>
          <t>미확인</t>
        </is>
      </c>
      <c r="AQ258" s="17" t="inlineStr">
        <is>
          <t>담당자 파악 후 접촉</t>
        </is>
      </c>
      <c r="AR258" s="17" t="inlineStr">
        <is>
          <t>2026-07-05</t>
        </is>
      </c>
      <c r="AS258" s="17" t="inlineStr">
        <is>
          <t>C(부분확인)</t>
        </is>
      </c>
      <c r="AT258" s="17" t="n">
        <v>90</v>
      </c>
      <c r="AU258" s="17" t="inlineStr"/>
      <c r="AV258" s="17" t="inlineStr"/>
    </row>
    <row r="259">
      <c r="A259" s="27" t="inlineStr">
        <is>
          <t>Tier C</t>
        </is>
      </c>
      <c r="B259" s="17" t="n">
        <v>13</v>
      </c>
      <c r="C259" s="17" t="inlineStr">
        <is>
          <t>(주)비씨월드헬스케어</t>
        </is>
      </c>
      <c r="D259" s="17" t="inlineStr">
        <is>
          <t>공장</t>
        </is>
      </c>
      <c r="E259" s="17" t="inlineStr">
        <is>
          <t>강원특별자치도</t>
        </is>
      </c>
      <c r="F259" s="17" t="inlineStr">
        <is>
          <t>원주시</t>
        </is>
      </c>
      <c r="G259" s="17" t="n">
        <v>1</v>
      </c>
      <c r="H259" s="20" t="inlineStr">
        <is>
          <t>Y</t>
        </is>
      </c>
      <c r="I259" s="17" t="inlineStr"/>
      <c r="J259" s="17" t="inlineStr">
        <is>
          <t>Y</t>
        </is>
      </c>
      <c r="K259" s="17" t="inlineStr"/>
      <c r="L259" s="22" t="inlineStr">
        <is>
          <t>미확인</t>
        </is>
      </c>
      <c r="M259" s="22" t="inlineStr">
        <is>
          <t>미확인</t>
        </is>
      </c>
      <c r="N259" s="22" t="inlineStr">
        <is>
          <t>미확인</t>
        </is>
      </c>
      <c r="O259" s="22" t="inlineStr">
        <is>
          <t>미확인</t>
        </is>
      </c>
      <c r="P259" s="17" t="inlineStr">
        <is>
          <t>QMS+LIMS</t>
        </is>
      </c>
      <c r="Q259" s="22" t="inlineStr">
        <is>
          <t>미확인</t>
        </is>
      </c>
      <c r="R259" s="22" t="inlineStr">
        <is>
          <t>미확인</t>
        </is>
      </c>
      <c r="S259" s="17" t="inlineStr">
        <is>
          <t>Tier D</t>
        </is>
      </c>
      <c r="T259" s="17" t="n">
        <v>12</v>
      </c>
      <c r="U259" s="17" t="inlineStr">
        <is>
          <t>C107</t>
        </is>
      </c>
      <c r="V259" s="17" t="inlineStr">
        <is>
          <t>비씨월드헬스케어</t>
        </is>
      </c>
      <c r="W259" s="17" t="inlineStr"/>
      <c r="X259" s="17" t="inlineStr"/>
      <c r="Y259" s="23" t="inlineStr"/>
      <c r="Z259" s="17" t="inlineStr">
        <is>
          <t>홍성한</t>
        </is>
      </c>
      <c r="AA259" s="17" t="inlineStr"/>
      <c r="AB259" s="17" t="inlineStr">
        <is>
          <t>033-813-0991</t>
        </is>
      </c>
      <c r="AC259" s="17" t="inlineStr">
        <is>
          <t>미확인</t>
        </is>
      </c>
      <c r="AD259" s="17" t="inlineStr">
        <is>
          <t>Y</t>
        </is>
      </c>
      <c r="AE259" s="17" t="inlineStr">
        <is>
          <t>P112</t>
        </is>
      </c>
      <c r="AF259" s="17" t="inlineStr">
        <is>
          <t>강원특별자치도 원주시 지정면 신평로 77 1층~3층</t>
        </is>
      </c>
      <c r="AG259" s="17" t="inlineStr">
        <is>
          <t>완제의약품</t>
        </is>
      </c>
      <c r="AH259" s="17" t="inlineStr">
        <is>
          <t>무균-카바페넴제제-주사제(분말주사제)</t>
        </is>
      </c>
      <c r="AI259" s="17" t="n">
        <v>1</v>
      </c>
      <c r="AJ259" s="24" t="n">
        <v>47053</v>
      </c>
      <c r="AK259" s="17" t="inlineStr"/>
      <c r="AL259" s="17" t="inlineStr"/>
      <c r="AM259" s="17" t="inlineStr">
        <is>
          <t>무균/바이오 제조로 품질관리 난도 높음</t>
        </is>
      </c>
      <c r="AN259" s="17" t="inlineStr">
        <is>
          <t>미확인</t>
        </is>
      </c>
      <c r="AO259" s="17" t="inlineStr">
        <is>
          <t>미확인</t>
        </is>
      </c>
      <c r="AP259" s="17" t="inlineStr">
        <is>
          <t>미확인</t>
        </is>
      </c>
      <c r="AQ259" s="17" t="inlineStr">
        <is>
          <t>담당자 파악 후 접촉</t>
        </is>
      </c>
      <c r="AR259" s="17" t="inlineStr">
        <is>
          <t>2026-07-05</t>
        </is>
      </c>
      <c r="AS259" s="17" t="inlineStr">
        <is>
          <t>C(부분확인)</t>
        </is>
      </c>
      <c r="AT259" s="17" t="n">
        <v>90</v>
      </c>
      <c r="AU259" s="17" t="inlineStr"/>
      <c r="AV259" s="17" t="inlineStr"/>
    </row>
    <row r="260">
      <c r="A260" s="27" t="inlineStr">
        <is>
          <t>Tier C</t>
        </is>
      </c>
      <c r="B260" s="17" t="n">
        <v>13</v>
      </c>
      <c r="C260" s="17" t="inlineStr">
        <is>
          <t>(주)비앤씨코리아</t>
        </is>
      </c>
      <c r="D260" s="17" t="inlineStr">
        <is>
          <t>(주)비앤씨코리아</t>
        </is>
      </c>
      <c r="E260" s="17" t="inlineStr">
        <is>
          <t>충청북도</t>
        </is>
      </c>
      <c r="F260" s="17" t="inlineStr">
        <is>
          <t>제천시</t>
        </is>
      </c>
      <c r="G260" s="17" t="n">
        <v>1</v>
      </c>
      <c r="H260" s="20" t="inlineStr">
        <is>
          <t>Y</t>
        </is>
      </c>
      <c r="I260" s="17" t="inlineStr"/>
      <c r="J260" s="17" t="inlineStr">
        <is>
          <t>Y</t>
        </is>
      </c>
      <c r="K260" s="17" t="inlineStr"/>
      <c r="L260" s="22" t="inlineStr">
        <is>
          <t>미확인</t>
        </is>
      </c>
      <c r="M260" s="22" t="inlineStr">
        <is>
          <t>미확인</t>
        </is>
      </c>
      <c r="N260" s="22" t="inlineStr">
        <is>
          <t>미확인</t>
        </is>
      </c>
      <c r="O260" s="22" t="inlineStr">
        <is>
          <t>미확인</t>
        </is>
      </c>
      <c r="P260" s="17" t="inlineStr">
        <is>
          <t>QMS+LIMS</t>
        </is>
      </c>
      <c r="Q260" s="22" t="inlineStr">
        <is>
          <t>미확인</t>
        </is>
      </c>
      <c r="R260" s="22" t="inlineStr">
        <is>
          <t>미확인</t>
        </is>
      </c>
      <c r="S260" s="17" t="inlineStr">
        <is>
          <t>Tier D</t>
        </is>
      </c>
      <c r="T260" s="17" t="n">
        <v>12</v>
      </c>
      <c r="U260" s="17" t="inlineStr">
        <is>
          <t>C024</t>
        </is>
      </c>
      <c r="V260" s="17" t="inlineStr">
        <is>
          <t>비앤씨코리아</t>
        </is>
      </c>
      <c r="W260" s="17" t="inlineStr"/>
      <c r="X260" s="17" t="inlineStr"/>
      <c r="Y260" s="23" t="inlineStr"/>
      <c r="Z260" s="17" t="inlineStr">
        <is>
          <t>박종갑</t>
        </is>
      </c>
      <c r="AA260" s="17" t="inlineStr"/>
      <c r="AB260" s="17" t="inlineStr">
        <is>
          <t>1599-0341</t>
        </is>
      </c>
      <c r="AC260" s="17" t="inlineStr">
        <is>
          <t>미확인</t>
        </is>
      </c>
      <c r="AD260" s="17" t="inlineStr">
        <is>
          <t>Y</t>
        </is>
      </c>
      <c r="AE260" s="17" t="inlineStr">
        <is>
          <t>P024</t>
        </is>
      </c>
      <c r="AF260" s="17" t="inlineStr">
        <is>
          <t>충청북도 제천시 제2바이오밸리로7가길 24</t>
        </is>
      </c>
      <c r="AG260" s="17" t="inlineStr">
        <is>
          <t>완제의약품</t>
        </is>
      </c>
      <c r="AH260" s="17" t="inlineStr">
        <is>
          <t>무균-일반제제-점안제(점안제)</t>
        </is>
      </c>
      <c r="AI260" s="17" t="n">
        <v>1</v>
      </c>
      <c r="AJ260" s="24" t="n">
        <v>47272</v>
      </c>
      <c r="AK260" s="17" t="inlineStr"/>
      <c r="AL260" s="17" t="inlineStr"/>
      <c r="AM260" s="17" t="inlineStr">
        <is>
          <t>무균/바이오 제조로 품질관리 난도 높음</t>
        </is>
      </c>
      <c r="AN260" s="17" t="inlineStr">
        <is>
          <t>미확인</t>
        </is>
      </c>
      <c r="AO260" s="17" t="inlineStr">
        <is>
          <t>미확인</t>
        </is>
      </c>
      <c r="AP260" s="17" t="inlineStr">
        <is>
          <t>미확인</t>
        </is>
      </c>
      <c r="AQ260" s="17" t="inlineStr">
        <is>
          <t>담당자 파악 후 접촉</t>
        </is>
      </c>
      <c r="AR260" s="17" t="inlineStr">
        <is>
          <t>2026-07-05</t>
        </is>
      </c>
      <c r="AS260" s="17" t="inlineStr">
        <is>
          <t>C(부분확인)</t>
        </is>
      </c>
      <c r="AT260" s="17" t="n">
        <v>90</v>
      </c>
      <c r="AU260" s="17" t="inlineStr"/>
      <c r="AV260" s="17" t="inlineStr"/>
    </row>
    <row r="261">
      <c r="A261" s="27" t="inlineStr">
        <is>
          <t>Tier C</t>
        </is>
      </c>
      <c r="B261" s="17" t="n">
        <v>13</v>
      </c>
      <c r="C261" s="17" t="inlineStr">
        <is>
          <t>(주)삼오제약</t>
        </is>
      </c>
      <c r="D261" s="17" t="inlineStr">
        <is>
          <t>소분</t>
        </is>
      </c>
      <c r="E261" s="17" t="inlineStr">
        <is>
          <t>경기도</t>
        </is>
      </c>
      <c r="F261" s="17" t="inlineStr">
        <is>
          <t>시흥시</t>
        </is>
      </c>
      <c r="G261" s="17" t="n">
        <v>1</v>
      </c>
      <c r="H261" s="17" t="inlineStr"/>
      <c r="I261" s="17" t="inlineStr"/>
      <c r="J261" s="17" t="inlineStr"/>
      <c r="K261" s="17" t="inlineStr">
        <is>
          <t>Y</t>
        </is>
      </c>
      <c r="L261" s="22" t="inlineStr">
        <is>
          <t>미확인</t>
        </is>
      </c>
      <c r="M261" s="22" t="inlineStr">
        <is>
          <t>미확인</t>
        </is>
      </c>
      <c r="N261" s="22" t="inlineStr">
        <is>
          <t>미확인</t>
        </is>
      </c>
      <c r="O261" s="22" t="inlineStr">
        <is>
          <t>미확인</t>
        </is>
      </c>
      <c r="P261" s="17" t="inlineStr">
        <is>
          <t>QMS+LIMS</t>
        </is>
      </c>
      <c r="Q261" s="22" t="inlineStr">
        <is>
          <t>미확인</t>
        </is>
      </c>
      <c r="R261" s="22" t="inlineStr">
        <is>
          <t>미확인</t>
        </is>
      </c>
      <c r="S261" s="17" t="inlineStr">
        <is>
          <t>Tier D</t>
        </is>
      </c>
      <c r="T261" s="17" t="n">
        <v>7</v>
      </c>
      <c r="U261" s="17" t="inlineStr">
        <is>
          <t>C308</t>
        </is>
      </c>
      <c r="V261" s="17" t="inlineStr">
        <is>
          <t>삼오제약</t>
        </is>
      </c>
      <c r="W261" s="17" t="inlineStr"/>
      <c r="X261" s="17" t="inlineStr"/>
      <c r="Y261" s="23" t="inlineStr"/>
      <c r="Z261" s="17" t="inlineStr">
        <is>
          <t>양영재</t>
        </is>
      </c>
      <c r="AA261" s="17" t="inlineStr"/>
      <c r="AB261" s="17" t="inlineStr">
        <is>
          <t>031-498-0355</t>
        </is>
      </c>
      <c r="AC261" s="17" t="inlineStr">
        <is>
          <t>미확인</t>
        </is>
      </c>
      <c r="AD261" s="17" t="inlineStr">
        <is>
          <t>Y</t>
        </is>
      </c>
      <c r="AE261" s="17" t="inlineStr">
        <is>
          <t>P372</t>
        </is>
      </c>
      <c r="AF261" s="17" t="inlineStr">
        <is>
          <t>경기도 시흥시 옥구천서로81번길 63 (시화공단 1마 705호) (정왕동)</t>
        </is>
      </c>
      <c r="AG261" s="17" t="inlineStr">
        <is>
          <t>원료의약품</t>
        </is>
      </c>
      <c r="AH261" s="17" t="inlineStr">
        <is>
          <t>비무균-일반제제-합성, 비무균-일반제제-추출, 비무균-일반제제-소분</t>
        </is>
      </c>
      <c r="AI261" s="17" t="n">
        <v>1</v>
      </c>
      <c r="AJ261" s="24" t="n">
        <v>46551</v>
      </c>
      <c r="AK261" s="17" t="inlineStr"/>
      <c r="AL261" s="17" t="inlineStr">
        <is>
          <t>Y</t>
        </is>
      </c>
      <c r="AM261" s="17" t="inlineStr">
        <is>
          <t>원료 제조로 시험실 관리 필요</t>
        </is>
      </c>
      <c r="AN261" s="17" t="inlineStr">
        <is>
          <t>미확인</t>
        </is>
      </c>
      <c r="AO261" s="17" t="inlineStr">
        <is>
          <t>미확인</t>
        </is>
      </c>
      <c r="AP261" s="17" t="inlineStr">
        <is>
          <t>미확인</t>
        </is>
      </c>
      <c r="AQ261" s="17" t="inlineStr">
        <is>
          <t>담당자 파악 후 접촉</t>
        </is>
      </c>
      <c r="AR261" s="17" t="inlineStr">
        <is>
          <t>2026-07-05</t>
        </is>
      </c>
      <c r="AS261" s="17" t="inlineStr">
        <is>
          <t>C(부분확인)</t>
        </is>
      </c>
      <c r="AT261" s="17" t="n">
        <v>90</v>
      </c>
      <c r="AU261" s="17" t="inlineStr"/>
      <c r="AV261" s="17" t="inlineStr"/>
    </row>
    <row r="262">
      <c r="A262" s="27" t="inlineStr">
        <is>
          <t>Tier C</t>
        </is>
      </c>
      <c r="B262" s="17" t="n">
        <v>13</v>
      </c>
      <c r="C262" s="17" t="inlineStr">
        <is>
          <t>(주)서흥</t>
        </is>
      </c>
      <c r="D262" s="17" t="inlineStr">
        <is>
          <t>오송</t>
        </is>
      </c>
      <c r="E262" s="17" t="inlineStr">
        <is>
          <t>충청북도</t>
        </is>
      </c>
      <c r="F262" s="17" t="inlineStr">
        <is>
          <t>청주시</t>
        </is>
      </c>
      <c r="G262" s="17" t="n">
        <v>1</v>
      </c>
      <c r="H262" s="17" t="inlineStr"/>
      <c r="I262" s="17" t="inlineStr"/>
      <c r="J262" s="17" t="inlineStr">
        <is>
          <t>Y</t>
        </is>
      </c>
      <c r="K262" s="17" t="inlineStr"/>
      <c r="L262" s="22" t="inlineStr">
        <is>
          <t>미확인</t>
        </is>
      </c>
      <c r="M262" s="22" t="inlineStr">
        <is>
          <t>미확인</t>
        </is>
      </c>
      <c r="N262" s="22" t="inlineStr">
        <is>
          <t>미확인</t>
        </is>
      </c>
      <c r="O262" s="22" t="inlineStr">
        <is>
          <t>미확인</t>
        </is>
      </c>
      <c r="P262" s="17" t="inlineStr">
        <is>
          <t>EDMS</t>
        </is>
      </c>
      <c r="Q262" s="22" t="inlineStr">
        <is>
          <t>미확인</t>
        </is>
      </c>
      <c r="R262" s="22" t="inlineStr">
        <is>
          <t>미확인</t>
        </is>
      </c>
      <c r="S262" s="17" t="inlineStr">
        <is>
          <t>Tier D</t>
        </is>
      </c>
      <c r="T262" s="17" t="n">
        <v>7</v>
      </c>
      <c r="U262" s="17" t="inlineStr">
        <is>
          <t>C071</t>
        </is>
      </c>
      <c r="V262" s="17" t="inlineStr">
        <is>
          <t>서흥</t>
        </is>
      </c>
      <c r="W262" s="17" t="inlineStr">
        <is>
          <t>Y</t>
        </is>
      </c>
      <c r="X262" s="17" t="inlineStr">
        <is>
          <t>유가</t>
        </is>
      </c>
      <c r="Y262" s="23" t="inlineStr">
        <is>
          <t>008490</t>
        </is>
      </c>
      <c r="Z262" s="17" t="inlineStr">
        <is>
          <t>양주환</t>
        </is>
      </c>
      <c r="AA262" s="17" t="inlineStr">
        <is>
          <t>http://www.suheung.com</t>
        </is>
      </c>
      <c r="AB262" s="17" t="inlineStr">
        <is>
          <t>043-249-4252</t>
        </is>
      </c>
      <c r="AC262" s="17" t="inlineStr">
        <is>
          <t>미확인</t>
        </is>
      </c>
      <c r="AD262" s="17" t="inlineStr">
        <is>
          <t>Y</t>
        </is>
      </c>
      <c r="AE262" s="17" t="inlineStr">
        <is>
          <t>P073</t>
        </is>
      </c>
      <c r="AF262" s="17" t="inlineStr">
        <is>
          <t>충청북도 청주시 흥덕구 오송읍 오송생명로 61</t>
        </is>
      </c>
      <c r="AG262" s="17" t="inlineStr">
        <is>
          <t>완제의약품</t>
        </is>
      </c>
      <c r="AH262" s="17" t="inlineStr">
        <is>
          <t>비무균-일반제제-내용고형제(정제, 캡슐제), --()</t>
        </is>
      </c>
      <c r="AI262" s="17" t="n">
        <v>1</v>
      </c>
      <c r="AJ262" s="24" t="n">
        <v>47170</v>
      </c>
      <c r="AK262" s="17" t="inlineStr"/>
      <c r="AL262" s="17" t="inlineStr"/>
      <c r="AM262" s="17" t="inlineStr">
        <is>
          <t>기본 문서관리 수요</t>
        </is>
      </c>
      <c r="AN262" s="17" t="inlineStr">
        <is>
          <t>미확인</t>
        </is>
      </c>
      <c r="AO262" s="17" t="inlineStr">
        <is>
          <t>미확인</t>
        </is>
      </c>
      <c r="AP262" s="17" t="inlineStr">
        <is>
          <t>미확인</t>
        </is>
      </c>
      <c r="AQ262" s="17" t="inlineStr">
        <is>
          <t>담당자 파악 후 접촉</t>
        </is>
      </c>
      <c r="AR262" s="17" t="inlineStr">
        <is>
          <t>2026-07-05</t>
        </is>
      </c>
      <c r="AS262" s="17" t="inlineStr">
        <is>
          <t>C(부분확인)</t>
        </is>
      </c>
      <c r="AT262" s="17" t="n">
        <v>90</v>
      </c>
      <c r="AU262" s="17" t="inlineStr"/>
      <c r="AV262" s="17" t="inlineStr"/>
    </row>
    <row r="263">
      <c r="A263" s="27" t="inlineStr">
        <is>
          <t>Tier C</t>
        </is>
      </c>
      <c r="B263" s="17" t="n">
        <v>13</v>
      </c>
      <c r="C263" s="17" t="inlineStr">
        <is>
          <t>(주)에이프로젠바이오로직스</t>
        </is>
      </c>
      <c r="D263" s="17" t="inlineStr">
        <is>
          <t>화성</t>
        </is>
      </c>
      <c r="E263" s="17" t="inlineStr">
        <is>
          <t>경기도</t>
        </is>
      </c>
      <c r="F263" s="17" t="inlineStr">
        <is>
          <t>화성시</t>
        </is>
      </c>
      <c r="G263" s="17" t="n">
        <v>1</v>
      </c>
      <c r="H263" s="17" t="inlineStr"/>
      <c r="I263" s="17" t="inlineStr"/>
      <c r="J263" s="17" t="inlineStr">
        <is>
          <t>Y</t>
        </is>
      </c>
      <c r="K263" s="17" t="inlineStr"/>
      <c r="L263" s="22" t="inlineStr">
        <is>
          <t>미확인</t>
        </is>
      </c>
      <c r="M263" s="22" t="inlineStr">
        <is>
          <t>미확인</t>
        </is>
      </c>
      <c r="N263" s="22" t="inlineStr">
        <is>
          <t>미확인</t>
        </is>
      </c>
      <c r="O263" s="22" t="inlineStr">
        <is>
          <t>미확인</t>
        </is>
      </c>
      <c r="P263" s="17" t="inlineStr">
        <is>
          <t>EDMS</t>
        </is>
      </c>
      <c r="Q263" s="22" t="inlineStr">
        <is>
          <t>미확인</t>
        </is>
      </c>
      <c r="R263" s="22" t="inlineStr">
        <is>
          <t>미확인</t>
        </is>
      </c>
      <c r="S263" s="17" t="inlineStr">
        <is>
          <t>Tier D</t>
        </is>
      </c>
      <c r="T263" s="17" t="n">
        <v>4</v>
      </c>
      <c r="U263" s="17" t="inlineStr">
        <is>
          <t>C206</t>
        </is>
      </c>
      <c r="V263" s="17" t="inlineStr">
        <is>
          <t>에이프로젠바이오로직스</t>
        </is>
      </c>
      <c r="W263" s="17" t="inlineStr">
        <is>
          <t>Y</t>
        </is>
      </c>
      <c r="X263" s="17" t="inlineStr">
        <is>
          <t>유가</t>
        </is>
      </c>
      <c r="Y263" s="23" t="inlineStr">
        <is>
          <t>003060</t>
        </is>
      </c>
      <c r="Z263" s="17" t="inlineStr">
        <is>
          <t>김재섭, 김정출</t>
        </is>
      </c>
      <c r="AA263" s="17" t="inlineStr">
        <is>
          <t>http://www.aprogen-pharm.com</t>
        </is>
      </c>
      <c r="AB263" s="17" t="inlineStr">
        <is>
          <t>미확인</t>
        </is>
      </c>
      <c r="AC263" s="17" t="inlineStr">
        <is>
          <t>미확인</t>
        </is>
      </c>
      <c r="AD263" s="17" t="inlineStr">
        <is>
          <t>Y</t>
        </is>
      </c>
      <c r="AE263" s="17" t="inlineStr">
        <is>
          <t>P223</t>
        </is>
      </c>
      <c r="AF263" s="17" t="inlineStr">
        <is>
          <t>경기도 화성시 만세구 양감면 두머리길 16</t>
        </is>
      </c>
      <c r="AG263" s="17" t="inlineStr">
        <is>
          <t>완제의약품</t>
        </is>
      </c>
      <c r="AH263" s="17" t="inlineStr">
        <is>
          <t>비무균-일반제제-내용고형제(정제, 캡슐제), 비무균-일반제제-연고제(연고제, 크림제)</t>
        </is>
      </c>
      <c r="AI263" s="17" t="n">
        <v>1</v>
      </c>
      <c r="AJ263" s="24" t="n">
        <v>46885</v>
      </c>
      <c r="AK263" s="17" t="inlineStr"/>
      <c r="AL263" s="17" t="inlineStr"/>
      <c r="AM263" s="17" t="inlineStr">
        <is>
          <t>기본 문서관리 수요</t>
        </is>
      </c>
      <c r="AN263" s="17" t="inlineStr">
        <is>
          <t>미확인</t>
        </is>
      </c>
      <c r="AO263" s="17" t="inlineStr">
        <is>
          <t>미확인</t>
        </is>
      </c>
      <c r="AP263" s="17" t="inlineStr">
        <is>
          <t>미확인</t>
        </is>
      </c>
      <c r="AQ263" s="17" t="inlineStr">
        <is>
          <t>담당자 파악 후 접촉</t>
        </is>
      </c>
      <c r="AR263" s="17" t="inlineStr">
        <is>
          <t>2026-07-05</t>
        </is>
      </c>
      <c r="AS263" s="17" t="inlineStr">
        <is>
          <t>C(부분확인)</t>
        </is>
      </c>
      <c r="AT263" s="17" t="n">
        <v>90</v>
      </c>
      <c r="AU263" s="17" t="inlineStr"/>
      <c r="AV263" s="17" t="inlineStr"/>
    </row>
    <row r="264">
      <c r="A264" s="27" t="inlineStr">
        <is>
          <t>Tier C</t>
        </is>
      </c>
      <c r="B264" s="17" t="n">
        <v>13</v>
      </c>
      <c r="C264" s="17" t="inlineStr">
        <is>
          <t>(주)엔바이로코리아</t>
        </is>
      </c>
      <c r="D264" s="17" t="inlineStr">
        <is>
          <t>제1공장</t>
        </is>
      </c>
      <c r="E264" s="17" t="inlineStr">
        <is>
          <t>대전광역시</t>
        </is>
      </c>
      <c r="F264" s="17" t="inlineStr">
        <is>
          <t>유성구</t>
        </is>
      </c>
      <c r="G264" s="17" t="n">
        <v>1</v>
      </c>
      <c r="H264" s="20" t="inlineStr">
        <is>
          <t>Y</t>
        </is>
      </c>
      <c r="I264" s="17" t="inlineStr"/>
      <c r="J264" s="17" t="inlineStr">
        <is>
          <t>Y</t>
        </is>
      </c>
      <c r="K264" s="17" t="inlineStr"/>
      <c r="L264" s="22" t="inlineStr">
        <is>
          <t>미확인</t>
        </is>
      </c>
      <c r="M264" s="22" t="inlineStr">
        <is>
          <t>미확인</t>
        </is>
      </c>
      <c r="N264" s="22" t="inlineStr">
        <is>
          <t>미확인</t>
        </is>
      </c>
      <c r="O264" s="22" t="inlineStr">
        <is>
          <t>미확인</t>
        </is>
      </c>
      <c r="P264" s="17" t="inlineStr">
        <is>
          <t>QMS+LIMS</t>
        </is>
      </c>
      <c r="Q264" s="22" t="inlineStr">
        <is>
          <t>미확인</t>
        </is>
      </c>
      <c r="R264" s="22" t="inlineStr">
        <is>
          <t>미확인</t>
        </is>
      </c>
      <c r="S264" s="17" t="inlineStr">
        <is>
          <t>Tier D</t>
        </is>
      </c>
      <c r="T264" s="17" t="n">
        <v>12</v>
      </c>
      <c r="U264" s="17" t="inlineStr">
        <is>
          <t>C003</t>
        </is>
      </c>
      <c r="V264" s="17" t="inlineStr">
        <is>
          <t>엔바이로코리아</t>
        </is>
      </c>
      <c r="W264" s="17" t="inlineStr"/>
      <c r="X264" s="17" t="inlineStr"/>
      <c r="Y264" s="23" t="inlineStr"/>
      <c r="Z264" s="17" t="inlineStr">
        <is>
          <t>박성한, 서재원</t>
        </is>
      </c>
      <c r="AA264" s="17" t="inlineStr"/>
      <c r="AB264" s="17" t="inlineStr">
        <is>
          <t>042-864-2341</t>
        </is>
      </c>
      <c r="AC264" s="17" t="inlineStr">
        <is>
          <t>미확인</t>
        </is>
      </c>
      <c r="AD264" s="17" t="inlineStr">
        <is>
          <t>Y</t>
        </is>
      </c>
      <c r="AE264" s="17" t="inlineStr">
        <is>
          <t>P003</t>
        </is>
      </c>
      <c r="AF264" s="17" t="inlineStr">
        <is>
          <t>대전광역시 유성구 테크노2로 167-10 (용산동 528)</t>
        </is>
      </c>
      <c r="AG264" s="17" t="inlineStr">
        <is>
          <t>완제의약품</t>
        </is>
      </c>
      <c r="AH264" s="17" t="inlineStr">
        <is>
          <t>무균-일반제제(방사성의약품)-주사제(주사제)</t>
        </is>
      </c>
      <c r="AI264" s="17" t="n">
        <v>1</v>
      </c>
      <c r="AJ264" s="24" t="n">
        <v>47325</v>
      </c>
      <c r="AK264" s="17" t="inlineStr"/>
      <c r="AL264" s="17" t="inlineStr"/>
      <c r="AM264" s="17" t="inlineStr">
        <is>
          <t>무균/바이오 제조로 품질관리 난도 높음</t>
        </is>
      </c>
      <c r="AN264" s="17" t="inlineStr">
        <is>
          <t>미확인</t>
        </is>
      </c>
      <c r="AO264" s="17" t="inlineStr">
        <is>
          <t>미확인</t>
        </is>
      </c>
      <c r="AP264" s="17" t="inlineStr">
        <is>
          <t>미확인</t>
        </is>
      </c>
      <c r="AQ264" s="17" t="inlineStr">
        <is>
          <t>담당자 파악 후 접촉</t>
        </is>
      </c>
      <c r="AR264" s="17" t="inlineStr">
        <is>
          <t>2026-07-05</t>
        </is>
      </c>
      <c r="AS264" s="17" t="inlineStr">
        <is>
          <t>C(부분확인)</t>
        </is>
      </c>
      <c r="AT264" s="17" t="n">
        <v>90</v>
      </c>
      <c r="AU264" s="17" t="inlineStr"/>
      <c r="AV264" s="17" t="inlineStr"/>
    </row>
    <row r="265">
      <c r="A265" s="27" t="inlineStr">
        <is>
          <t>Tier C</t>
        </is>
      </c>
      <c r="B265" s="17" t="n">
        <v>13</v>
      </c>
      <c r="C265" s="17" t="inlineStr">
        <is>
          <t>(주)엘앤씨바이오</t>
        </is>
      </c>
      <c r="D265" s="17" t="inlineStr">
        <is>
          <t>(주)엘앤씨바이오</t>
        </is>
      </c>
      <c r="E265" s="17" t="inlineStr">
        <is>
          <t>경기도</t>
        </is>
      </c>
      <c r="F265" s="17" t="inlineStr">
        <is>
          <t>안성시</t>
        </is>
      </c>
      <c r="G265" s="17" t="n">
        <v>1</v>
      </c>
      <c r="H265" s="17" t="inlineStr"/>
      <c r="I265" s="17" t="inlineStr"/>
      <c r="J265" s="17" t="inlineStr">
        <is>
          <t>Y</t>
        </is>
      </c>
      <c r="K265" s="17" t="inlineStr"/>
      <c r="L265" s="22" t="inlineStr">
        <is>
          <t>미확인</t>
        </is>
      </c>
      <c r="M265" s="22" t="inlineStr">
        <is>
          <t>미확인</t>
        </is>
      </c>
      <c r="N265" s="22" t="inlineStr">
        <is>
          <t>미확인</t>
        </is>
      </c>
      <c r="O265" s="22" t="inlineStr">
        <is>
          <t>미확인</t>
        </is>
      </c>
      <c r="P265" s="17" t="inlineStr">
        <is>
          <t>EDMS</t>
        </is>
      </c>
      <c r="Q265" s="22" t="inlineStr">
        <is>
          <t>미확인</t>
        </is>
      </c>
      <c r="R265" s="22" t="inlineStr">
        <is>
          <t>미확인</t>
        </is>
      </c>
      <c r="S265" s="17" t="inlineStr">
        <is>
          <t>Tier D</t>
        </is>
      </c>
      <c r="T265" s="17" t="n">
        <v>7</v>
      </c>
      <c r="U265" s="17" t="inlineStr">
        <is>
          <t>C040</t>
        </is>
      </c>
      <c r="V265" s="17" t="inlineStr">
        <is>
          <t>엘앤씨바이오</t>
        </is>
      </c>
      <c r="W265" s="17" t="inlineStr">
        <is>
          <t>Y</t>
        </is>
      </c>
      <c r="X265" s="17" t="inlineStr">
        <is>
          <t>코스닥</t>
        </is>
      </c>
      <c r="Y265" s="23" t="inlineStr">
        <is>
          <t>290650</t>
        </is>
      </c>
      <c r="Z265" s="17" t="inlineStr">
        <is>
          <t>이환철, 이재호 (각자 대표이사)</t>
        </is>
      </c>
      <c r="AA265" s="17" t="inlineStr">
        <is>
          <t>http://www.lncbio.co.kr</t>
        </is>
      </c>
      <c r="AB265" s="17" t="inlineStr">
        <is>
          <t>070-7720-0540</t>
        </is>
      </c>
      <c r="AC265" s="17" t="inlineStr">
        <is>
          <t>미확인</t>
        </is>
      </c>
      <c r="AD265" s="17" t="inlineStr">
        <is>
          <t>Y</t>
        </is>
      </c>
      <c r="AE265" s="17" t="inlineStr">
        <is>
          <t>P040</t>
        </is>
      </c>
      <c r="AF265" s="17" t="inlineStr">
        <is>
          <t>경기도 안성시 공단2로 104 가동 1층</t>
        </is>
      </c>
      <c r="AG265" s="17" t="inlineStr">
        <is>
          <t>완제의약품</t>
        </is>
      </c>
      <c r="AH265" s="17" t="inlineStr">
        <is>
          <t>비무균-일반제제-내용고형제(정제, 캡슐제)</t>
        </is>
      </c>
      <c r="AI265" s="17" t="n">
        <v>1</v>
      </c>
      <c r="AJ265" s="24" t="n">
        <v>47233</v>
      </c>
      <c r="AK265" s="17" t="inlineStr"/>
      <c r="AL265" s="17" t="inlineStr"/>
      <c r="AM265" s="17" t="inlineStr">
        <is>
          <t>기본 문서관리 수요</t>
        </is>
      </c>
      <c r="AN265" s="17" t="inlineStr">
        <is>
          <t>미확인</t>
        </is>
      </c>
      <c r="AO265" s="17" t="inlineStr">
        <is>
          <t>미확인</t>
        </is>
      </c>
      <c r="AP265" s="17" t="inlineStr">
        <is>
          <t>미확인</t>
        </is>
      </c>
      <c r="AQ265" s="17" t="inlineStr">
        <is>
          <t>담당자 파악 후 접촉</t>
        </is>
      </c>
      <c r="AR265" s="17" t="inlineStr">
        <is>
          <t>2026-07-05</t>
        </is>
      </c>
      <c r="AS265" s="17" t="inlineStr">
        <is>
          <t>C(부분확인)</t>
        </is>
      </c>
      <c r="AT265" s="17" t="n">
        <v>90</v>
      </c>
      <c r="AU265" s="17" t="inlineStr"/>
      <c r="AV265" s="17" t="inlineStr"/>
    </row>
    <row r="266">
      <c r="A266" s="27" t="inlineStr">
        <is>
          <t>Tier C</t>
        </is>
      </c>
      <c r="B266" s="17" t="n">
        <v>13</v>
      </c>
      <c r="C266" s="17" t="inlineStr">
        <is>
          <t>(주)오스코리아제약</t>
        </is>
      </c>
      <c r="D266" s="17" t="inlineStr">
        <is>
          <t>(주)오스코리아제약</t>
        </is>
      </c>
      <c r="E266" s="17" t="inlineStr">
        <is>
          <t>강원특별자치도</t>
        </is>
      </c>
      <c r="F266" s="17" t="inlineStr">
        <is>
          <t>원주시</t>
        </is>
      </c>
      <c r="G266" s="17" t="n">
        <v>1</v>
      </c>
      <c r="H266" s="20" t="inlineStr">
        <is>
          <t>Y</t>
        </is>
      </c>
      <c r="I266" s="17" t="inlineStr"/>
      <c r="J266" s="17" t="inlineStr">
        <is>
          <t>Y</t>
        </is>
      </c>
      <c r="K266" s="17" t="inlineStr"/>
      <c r="L266" s="22" t="inlineStr">
        <is>
          <t>미확인</t>
        </is>
      </c>
      <c r="M266" s="22" t="inlineStr">
        <is>
          <t>미확인</t>
        </is>
      </c>
      <c r="N266" s="22" t="inlineStr">
        <is>
          <t>미확인</t>
        </is>
      </c>
      <c r="O266" s="22" t="inlineStr">
        <is>
          <t>미확인</t>
        </is>
      </c>
      <c r="P266" s="17" t="inlineStr">
        <is>
          <t>QMS+LIMS</t>
        </is>
      </c>
      <c r="Q266" s="22" t="inlineStr">
        <is>
          <t>미확인</t>
        </is>
      </c>
      <c r="R266" s="22" t="inlineStr">
        <is>
          <t>미확인</t>
        </is>
      </c>
      <c r="S266" s="17" t="inlineStr">
        <is>
          <t>Tier D</t>
        </is>
      </c>
      <c r="T266" s="17" t="n">
        <v>12</v>
      </c>
      <c r="U266" s="17" t="inlineStr">
        <is>
          <t>C144</t>
        </is>
      </c>
      <c r="V266" s="17" t="inlineStr">
        <is>
          <t>오스코리아제약</t>
        </is>
      </c>
      <c r="W266" s="17" t="inlineStr"/>
      <c r="X266" s="17" t="inlineStr"/>
      <c r="Y266" s="23" t="inlineStr"/>
      <c r="Z266" s="17" t="inlineStr">
        <is>
          <t>박종현</t>
        </is>
      </c>
      <c r="AA266" s="17" t="inlineStr"/>
      <c r="AB266" s="17" t="inlineStr">
        <is>
          <t>033-731-2801</t>
        </is>
      </c>
      <c r="AC266" s="17" t="inlineStr">
        <is>
          <t>미확인</t>
        </is>
      </c>
      <c r="AD266" s="17" t="inlineStr">
        <is>
          <t>Y</t>
        </is>
      </c>
      <c r="AE266" s="17" t="inlineStr">
        <is>
          <t>P154</t>
        </is>
      </c>
      <c r="AF266" s="17" t="inlineStr">
        <is>
          <t>강원특별자치도 원주시 문막읍 문막공단길 252</t>
        </is>
      </c>
      <c r="AG266" s="17" t="inlineStr">
        <is>
          <t>완제의약품</t>
        </is>
      </c>
      <c r="AH266" s="17" t="inlineStr">
        <is>
          <t>무균-일반제제-주사제(주사제), 비무균-일반제제-외용액제(외용액제)</t>
        </is>
      </c>
      <c r="AI266" s="17" t="n">
        <v>1</v>
      </c>
      <c r="AJ266" s="24" t="n">
        <v>46976</v>
      </c>
      <c r="AK266" s="17" t="inlineStr"/>
      <c r="AL266" s="17" t="inlineStr"/>
      <c r="AM266" s="17" t="inlineStr">
        <is>
          <t>무균/바이오 제조로 품질관리 난도 높음</t>
        </is>
      </c>
      <c r="AN266" s="17" t="inlineStr">
        <is>
          <t>미확인</t>
        </is>
      </c>
      <c r="AO266" s="17" t="inlineStr">
        <is>
          <t>미확인</t>
        </is>
      </c>
      <c r="AP266" s="17" t="inlineStr">
        <is>
          <t>미확인</t>
        </is>
      </c>
      <c r="AQ266" s="17" t="inlineStr">
        <is>
          <t>담당자 파악 후 접촉</t>
        </is>
      </c>
      <c r="AR266" s="17" t="inlineStr">
        <is>
          <t>2026-07-05</t>
        </is>
      </c>
      <c r="AS266" s="17" t="inlineStr">
        <is>
          <t>C(부분확인)</t>
        </is>
      </c>
      <c r="AT266" s="17" t="n">
        <v>90</v>
      </c>
      <c r="AU266" s="17" t="inlineStr"/>
      <c r="AV266" s="17" t="inlineStr"/>
    </row>
    <row r="267">
      <c r="A267" s="27" t="inlineStr">
        <is>
          <t>Tier C</t>
        </is>
      </c>
      <c r="B267" s="17" t="n">
        <v>13</v>
      </c>
      <c r="C267" s="17" t="inlineStr">
        <is>
          <t>(주)유유제약</t>
        </is>
      </c>
      <c r="D267" s="17" t="inlineStr">
        <is>
          <t>제천</t>
        </is>
      </c>
      <c r="E267" s="17" t="inlineStr">
        <is>
          <t>충청북도</t>
        </is>
      </c>
      <c r="F267" s="17" t="inlineStr">
        <is>
          <t>제천시</t>
        </is>
      </c>
      <c r="G267" s="17" t="n">
        <v>1</v>
      </c>
      <c r="H267" s="17" t="inlineStr"/>
      <c r="I267" s="17" t="inlineStr"/>
      <c r="J267" s="17" t="inlineStr">
        <is>
          <t>Y</t>
        </is>
      </c>
      <c r="K267" s="17" t="inlineStr"/>
      <c r="L267" s="22" t="inlineStr">
        <is>
          <t>미확인</t>
        </is>
      </c>
      <c r="M267" s="22" t="inlineStr">
        <is>
          <t>미확인</t>
        </is>
      </c>
      <c r="N267" s="22" t="inlineStr">
        <is>
          <t>미확인</t>
        </is>
      </c>
      <c r="O267" s="22" t="inlineStr">
        <is>
          <t>미확인</t>
        </is>
      </c>
      <c r="P267" s="17" t="inlineStr">
        <is>
          <t>EDMS</t>
        </is>
      </c>
      <c r="Q267" s="22" t="inlineStr">
        <is>
          <t>미확인</t>
        </is>
      </c>
      <c r="R267" s="22" t="inlineStr">
        <is>
          <t>미확인</t>
        </is>
      </c>
      <c r="S267" s="17" t="inlineStr">
        <is>
          <t>Tier D</t>
        </is>
      </c>
      <c r="T267" s="17" t="n">
        <v>7</v>
      </c>
      <c r="U267" s="17" t="inlineStr">
        <is>
          <t>C296</t>
        </is>
      </c>
      <c r="V267" s="17" t="inlineStr">
        <is>
          <t>유유제약</t>
        </is>
      </c>
      <c r="W267" s="17" t="inlineStr">
        <is>
          <t>Y</t>
        </is>
      </c>
      <c r="X267" s="17" t="inlineStr">
        <is>
          <t>유가</t>
        </is>
      </c>
      <c r="Y267" s="23" t="inlineStr">
        <is>
          <t>000220</t>
        </is>
      </c>
      <c r="Z267" s="17" t="inlineStr">
        <is>
          <t>유원상, 박노용(각자대표)</t>
        </is>
      </c>
      <c r="AA267" s="17" t="inlineStr">
        <is>
          <t>http://www.yuyu.co.kr</t>
        </is>
      </c>
      <c r="AB267" s="17" t="inlineStr">
        <is>
          <t>02-2253-6600</t>
        </is>
      </c>
      <c r="AC267" s="17" t="inlineStr">
        <is>
          <t>미확인</t>
        </is>
      </c>
      <c r="AD267" s="17" t="inlineStr">
        <is>
          <t>Y</t>
        </is>
      </c>
      <c r="AE267" s="17" t="inlineStr">
        <is>
          <t>P356</t>
        </is>
      </c>
      <c r="AF267" s="17" t="inlineStr">
        <is>
          <t>충청북도 제천시 바이오밸리1로 94</t>
        </is>
      </c>
      <c r="AG267" s="17" t="inlineStr">
        <is>
          <t>완제의약품</t>
        </is>
      </c>
      <c r="AH267" s="17" t="inlineStr">
        <is>
          <t>비무균-일반제제-내용고형제(정제, 캡슐제)</t>
        </is>
      </c>
      <c r="AI267" s="17" t="n">
        <v>1</v>
      </c>
      <c r="AJ267" s="24" t="n">
        <v>46579</v>
      </c>
      <c r="AK267" s="17" t="inlineStr"/>
      <c r="AL267" s="17" t="inlineStr"/>
      <c r="AM267" s="17" t="inlineStr">
        <is>
          <t>기본 문서관리 수요</t>
        </is>
      </c>
      <c r="AN267" s="17" t="inlineStr">
        <is>
          <t>미확인</t>
        </is>
      </c>
      <c r="AO267" s="17" t="inlineStr">
        <is>
          <t>미확인</t>
        </is>
      </c>
      <c r="AP267" s="17" t="inlineStr">
        <is>
          <t>미확인</t>
        </is>
      </c>
      <c r="AQ267" s="17" t="inlineStr">
        <is>
          <t>담당자 파악 후 접촉</t>
        </is>
      </c>
      <c r="AR267" s="17" t="inlineStr">
        <is>
          <t>2026-07-05</t>
        </is>
      </c>
      <c r="AS267" s="17" t="inlineStr">
        <is>
          <t>C(부분확인)</t>
        </is>
      </c>
      <c r="AT267" s="17" t="n">
        <v>90</v>
      </c>
      <c r="AU267" s="17" t="inlineStr"/>
      <c r="AV267" s="17" t="inlineStr"/>
    </row>
    <row r="268">
      <c r="A268" s="27" t="inlineStr">
        <is>
          <t>Tier C</t>
        </is>
      </c>
      <c r="B268" s="17" t="n">
        <v>13</v>
      </c>
      <c r="C268" s="17" t="inlineStr">
        <is>
          <t>(주)중헌제약</t>
        </is>
      </c>
      <c r="D268" s="17" t="inlineStr">
        <is>
          <t>옥산공장</t>
        </is>
      </c>
      <c r="E268" s="17" t="inlineStr">
        <is>
          <t>충청북도</t>
        </is>
      </c>
      <c r="F268" s="17" t="inlineStr">
        <is>
          <t>청주시</t>
        </is>
      </c>
      <c r="G268" s="17" t="n">
        <v>1</v>
      </c>
      <c r="H268" s="20" t="inlineStr">
        <is>
          <t>Y</t>
        </is>
      </c>
      <c r="I268" s="17" t="inlineStr"/>
      <c r="J268" s="17" t="inlineStr">
        <is>
          <t>Y</t>
        </is>
      </c>
      <c r="K268" s="17" t="inlineStr"/>
      <c r="L268" s="22" t="inlineStr">
        <is>
          <t>미확인</t>
        </is>
      </c>
      <c r="M268" s="22" t="inlineStr">
        <is>
          <t>미확인</t>
        </is>
      </c>
      <c r="N268" s="22" t="inlineStr">
        <is>
          <t>미확인</t>
        </is>
      </c>
      <c r="O268" s="22" t="inlineStr">
        <is>
          <t>미확인</t>
        </is>
      </c>
      <c r="P268" s="17" t="inlineStr">
        <is>
          <t>QMS+LIMS</t>
        </is>
      </c>
      <c r="Q268" s="22" t="inlineStr">
        <is>
          <t>미확인</t>
        </is>
      </c>
      <c r="R268" s="22" t="inlineStr">
        <is>
          <t>미확인</t>
        </is>
      </c>
      <c r="S268" s="17" t="inlineStr">
        <is>
          <t>Tier D</t>
        </is>
      </c>
      <c r="T268" s="17" t="n">
        <v>12</v>
      </c>
      <c r="U268" s="17" t="inlineStr">
        <is>
          <t>C252</t>
        </is>
      </c>
      <c r="V268" s="17" t="inlineStr">
        <is>
          <t>중헌제약</t>
        </is>
      </c>
      <c r="W268" s="17" t="inlineStr"/>
      <c r="X268" s="17" t="inlineStr"/>
      <c r="Y268" s="23" t="inlineStr"/>
      <c r="Z268" s="17" t="inlineStr">
        <is>
          <t>윤석준</t>
        </is>
      </c>
      <c r="AA268" s="17" t="inlineStr"/>
      <c r="AB268" s="17" t="inlineStr">
        <is>
          <t>04371120000269293605</t>
        </is>
      </c>
      <c r="AC268" s="17" t="inlineStr">
        <is>
          <t>미확인</t>
        </is>
      </c>
      <c r="AD268" s="17" t="inlineStr">
        <is>
          <t>Y</t>
        </is>
      </c>
      <c r="AE268" s="17" t="inlineStr">
        <is>
          <t>P294</t>
        </is>
      </c>
      <c r="AF268" s="17" t="inlineStr">
        <is>
          <t>충청북도 청주시 흥덕구 옥산면 옥산산단로 28 공장동</t>
        </is>
      </c>
      <c r="AG268" s="17" t="inlineStr">
        <is>
          <t>완제의약품</t>
        </is>
      </c>
      <c r="AH268" s="17" t="inlineStr">
        <is>
          <t>비무균-일반제제-내용고형제(정제, 캡슐제), 무균-일반제제-주사제(주사제)</t>
        </is>
      </c>
      <c r="AI268" s="17" t="n">
        <v>1</v>
      </c>
      <c r="AJ268" s="24" t="n">
        <v>46800</v>
      </c>
      <c r="AK268" s="17" t="inlineStr"/>
      <c r="AL268" s="17" t="inlineStr"/>
      <c r="AM268" s="17" t="inlineStr">
        <is>
          <t>무균/바이오 제조로 품질관리 난도 높음</t>
        </is>
      </c>
      <c r="AN268" s="17" t="inlineStr">
        <is>
          <t>미확인</t>
        </is>
      </c>
      <c r="AO268" s="17" t="inlineStr">
        <is>
          <t>미확인</t>
        </is>
      </c>
      <c r="AP268" s="17" t="inlineStr">
        <is>
          <t>미확인</t>
        </is>
      </c>
      <c r="AQ268" s="17" t="inlineStr">
        <is>
          <t>담당자 파악 후 접촉</t>
        </is>
      </c>
      <c r="AR268" s="17" t="inlineStr">
        <is>
          <t>2026-07-05</t>
        </is>
      </c>
      <c r="AS268" s="17" t="inlineStr">
        <is>
          <t>C(부분확인)</t>
        </is>
      </c>
      <c r="AT268" s="17" t="n">
        <v>90</v>
      </c>
      <c r="AU268" s="17" t="inlineStr"/>
      <c r="AV268" s="17" t="inlineStr"/>
    </row>
    <row r="269">
      <c r="A269" s="27" t="inlineStr">
        <is>
          <t>Tier C</t>
        </is>
      </c>
      <c r="B269" s="17" t="n">
        <v>13</v>
      </c>
      <c r="C269" s="17" t="inlineStr">
        <is>
          <t>(주)카이바이오텍</t>
        </is>
      </c>
      <c r="D269" s="17" t="inlineStr">
        <is>
          <t>(주)카이바이오텍-전북대병원점</t>
        </is>
      </c>
      <c r="E269" s="17" t="inlineStr">
        <is>
          <t>전북특별자치도</t>
        </is>
      </c>
      <c r="F269" s="17" t="inlineStr">
        <is>
          <t>전주시</t>
        </is>
      </c>
      <c r="G269" s="17" t="n">
        <v>1</v>
      </c>
      <c r="H269" s="20" t="inlineStr">
        <is>
          <t>Y</t>
        </is>
      </c>
      <c r="I269" s="17" t="inlineStr"/>
      <c r="J269" s="17" t="inlineStr">
        <is>
          <t>Y</t>
        </is>
      </c>
      <c r="K269" s="17" t="inlineStr"/>
      <c r="L269" s="22" t="inlineStr">
        <is>
          <t>미확인</t>
        </is>
      </c>
      <c r="M269" s="22" t="inlineStr">
        <is>
          <t>미확인</t>
        </is>
      </c>
      <c r="N269" s="22" t="inlineStr">
        <is>
          <t>미확인</t>
        </is>
      </c>
      <c r="O269" s="22" t="inlineStr">
        <is>
          <t>미확인</t>
        </is>
      </c>
      <c r="P269" s="17" t="inlineStr">
        <is>
          <t>QMS+LIMS</t>
        </is>
      </c>
      <c r="Q269" s="22" t="inlineStr">
        <is>
          <t>미확인</t>
        </is>
      </c>
      <c r="R269" s="22" t="inlineStr">
        <is>
          <t>미확인</t>
        </is>
      </c>
      <c r="S269" s="17" t="inlineStr">
        <is>
          <t>Tier D</t>
        </is>
      </c>
      <c r="T269" s="17" t="n">
        <v>12</v>
      </c>
      <c r="U269" s="17" t="inlineStr">
        <is>
          <t>C027</t>
        </is>
      </c>
      <c r="V269" s="17" t="inlineStr">
        <is>
          <t>카이바이오텍</t>
        </is>
      </c>
      <c r="W269" s="17" t="inlineStr"/>
      <c r="X269" s="17" t="inlineStr"/>
      <c r="Y269" s="23" t="inlineStr"/>
      <c r="Z269" s="17" t="inlineStr">
        <is>
          <t>김영덕</t>
        </is>
      </c>
      <c r="AA269" s="17" t="inlineStr"/>
      <c r="AB269" s="17" t="inlineStr">
        <is>
          <t>미확인</t>
        </is>
      </c>
      <c r="AC269" s="17" t="inlineStr">
        <is>
          <t>미확인</t>
        </is>
      </c>
      <c r="AD269" s="17" t="inlineStr">
        <is>
          <t>Y</t>
        </is>
      </c>
      <c r="AE269" s="17" t="inlineStr">
        <is>
          <t>P027</t>
        </is>
      </c>
      <c r="AF269" s="17" t="inlineStr">
        <is>
          <t>전북특별자치도 전주시 덕진구 백제대로 567</t>
        </is>
      </c>
      <c r="AG269" s="17" t="inlineStr">
        <is>
          <t>완제의약품</t>
        </is>
      </c>
      <c r="AH269" s="17" t="inlineStr">
        <is>
          <t>무균-일반제제(방사성의약품)-주사제(주사제)</t>
        </is>
      </c>
      <c r="AI269" s="17" t="n">
        <v>1</v>
      </c>
      <c r="AJ269" s="24" t="n">
        <v>47268</v>
      </c>
      <c r="AK269" s="17" t="inlineStr"/>
      <c r="AL269" s="17" t="inlineStr"/>
      <c r="AM269" s="17" t="inlineStr">
        <is>
          <t>무균/바이오 제조로 품질관리 난도 높음</t>
        </is>
      </c>
      <c r="AN269" s="17" t="inlineStr">
        <is>
          <t>미확인</t>
        </is>
      </c>
      <c r="AO269" s="17" t="inlineStr">
        <is>
          <t>미확인</t>
        </is>
      </c>
      <c r="AP269" s="17" t="inlineStr">
        <is>
          <t>미확인</t>
        </is>
      </c>
      <c r="AQ269" s="17" t="inlineStr">
        <is>
          <t>담당자 파악 후 접촉</t>
        </is>
      </c>
      <c r="AR269" s="17" t="inlineStr">
        <is>
          <t>2026-07-05</t>
        </is>
      </c>
      <c r="AS269" s="17" t="inlineStr">
        <is>
          <t>C(부분확인)</t>
        </is>
      </c>
      <c r="AT269" s="17" t="n">
        <v>90</v>
      </c>
      <c r="AU269" s="17" t="inlineStr"/>
      <c r="AV269" s="17" t="inlineStr"/>
    </row>
    <row r="270">
      <c r="A270" s="27" t="inlineStr">
        <is>
          <t>Tier C</t>
        </is>
      </c>
      <c r="B270" s="17" t="n">
        <v>13</v>
      </c>
      <c r="C270" s="17" t="inlineStr">
        <is>
          <t>(주)코미팜</t>
        </is>
      </c>
      <c r="D270" s="17" t="inlineStr">
        <is>
          <t>1공장</t>
        </is>
      </c>
      <c r="E270" s="17" t="inlineStr">
        <is>
          <t>충청북도</t>
        </is>
      </c>
      <c r="F270" s="17" t="inlineStr">
        <is>
          <t>청주시</t>
        </is>
      </c>
      <c r="G270" s="17" t="n">
        <v>1</v>
      </c>
      <c r="H270" s="17" t="inlineStr"/>
      <c r="I270" s="17" t="inlineStr"/>
      <c r="J270" s="17" t="inlineStr">
        <is>
          <t>Y</t>
        </is>
      </c>
      <c r="K270" s="17" t="inlineStr"/>
      <c r="L270" s="22" t="inlineStr">
        <is>
          <t>미확인</t>
        </is>
      </c>
      <c r="M270" s="22" t="inlineStr">
        <is>
          <t>미확인</t>
        </is>
      </c>
      <c r="N270" s="22" t="inlineStr">
        <is>
          <t>미확인</t>
        </is>
      </c>
      <c r="O270" s="22" t="inlineStr">
        <is>
          <t>미확인</t>
        </is>
      </c>
      <c r="P270" s="17" t="inlineStr">
        <is>
          <t>EDMS</t>
        </is>
      </c>
      <c r="Q270" s="22" t="inlineStr">
        <is>
          <t>미확인</t>
        </is>
      </c>
      <c r="R270" s="22" t="inlineStr">
        <is>
          <t>미확인</t>
        </is>
      </c>
      <c r="S270" s="17" t="inlineStr">
        <is>
          <t>Tier D</t>
        </is>
      </c>
      <c r="T270" s="17" t="n">
        <v>7</v>
      </c>
      <c r="U270" s="17" t="inlineStr">
        <is>
          <t>C267</t>
        </is>
      </c>
      <c r="V270" s="17" t="inlineStr">
        <is>
          <t>코미팜</t>
        </is>
      </c>
      <c r="W270" s="17" t="inlineStr">
        <is>
          <t>Y</t>
        </is>
      </c>
      <c r="X270" s="17" t="inlineStr">
        <is>
          <t>코스닥</t>
        </is>
      </c>
      <c r="Y270" s="23" t="inlineStr">
        <is>
          <t>041960</t>
        </is>
      </c>
      <c r="Z270" s="17" t="inlineStr">
        <is>
          <t>양경훈, 문성철(각자 대표이사)</t>
        </is>
      </c>
      <c r="AA270" s="17" t="inlineStr">
        <is>
          <t>http://www.komipharm.com</t>
        </is>
      </c>
      <c r="AB270" s="17" t="inlineStr">
        <is>
          <t>043-238-8800</t>
        </is>
      </c>
      <c r="AC270" s="17" t="inlineStr">
        <is>
          <t>미확인</t>
        </is>
      </c>
      <c r="AD270" s="17" t="inlineStr">
        <is>
          <t>Y</t>
        </is>
      </c>
      <c r="AE270" s="17" t="inlineStr">
        <is>
          <t>P316</t>
        </is>
      </c>
      <c r="AF270" s="17" t="inlineStr">
        <is>
          <t>충청북도 청주시 흥덕구 오송읍 오송가락로 291</t>
        </is>
      </c>
      <c r="AG270" s="17" t="inlineStr">
        <is>
          <t>완제의약품</t>
        </is>
      </c>
      <c r="AH270" s="17" t="inlineStr">
        <is>
          <t>비무균-일반제제-내용고형제(정제)</t>
        </is>
      </c>
      <c r="AI270" s="17" t="n">
        <v>1</v>
      </c>
      <c r="AJ270" s="24" t="n">
        <v>46741</v>
      </c>
      <c r="AK270" s="17" t="inlineStr"/>
      <c r="AL270" s="17" t="inlineStr"/>
      <c r="AM270" s="17" t="inlineStr">
        <is>
          <t>기본 문서관리 수요</t>
        </is>
      </c>
      <c r="AN270" s="17" t="inlineStr">
        <is>
          <t>미확인</t>
        </is>
      </c>
      <c r="AO270" s="17" t="inlineStr">
        <is>
          <t>미확인</t>
        </is>
      </c>
      <c r="AP270" s="17" t="inlineStr">
        <is>
          <t>미확인</t>
        </is>
      </c>
      <c r="AQ270" s="17" t="inlineStr">
        <is>
          <t>담당자 파악 후 접촉</t>
        </is>
      </c>
      <c r="AR270" s="17" t="inlineStr">
        <is>
          <t>2026-07-05</t>
        </is>
      </c>
      <c r="AS270" s="17" t="inlineStr">
        <is>
          <t>C(부분확인)</t>
        </is>
      </c>
      <c r="AT270" s="17" t="n">
        <v>90</v>
      </c>
      <c r="AU270" s="17" t="inlineStr"/>
      <c r="AV270" s="17" t="inlineStr"/>
    </row>
    <row r="271">
      <c r="A271" s="27" t="inlineStr">
        <is>
          <t>Tier C</t>
        </is>
      </c>
      <c r="B271" s="17" t="n">
        <v>13</v>
      </c>
      <c r="C271" s="17" t="inlineStr">
        <is>
          <t>(주)테라젠이텍스</t>
        </is>
      </c>
      <c r="D271" s="17" t="inlineStr">
        <is>
          <t>안산</t>
        </is>
      </c>
      <c r="E271" s="17" t="inlineStr">
        <is>
          <t>경기도</t>
        </is>
      </c>
      <c r="F271" s="17" t="inlineStr">
        <is>
          <t>안산시</t>
        </is>
      </c>
      <c r="G271" s="17" t="n">
        <v>1</v>
      </c>
      <c r="H271" s="17" t="inlineStr"/>
      <c r="I271" s="17" t="inlineStr"/>
      <c r="J271" s="17" t="inlineStr">
        <is>
          <t>Y</t>
        </is>
      </c>
      <c r="K271" s="17" t="inlineStr"/>
      <c r="L271" s="22" t="inlineStr">
        <is>
          <t>미확인</t>
        </is>
      </c>
      <c r="M271" s="22" t="inlineStr">
        <is>
          <t>미확인</t>
        </is>
      </c>
      <c r="N271" s="22" t="inlineStr">
        <is>
          <t>미확인</t>
        </is>
      </c>
      <c r="O271" s="22" t="inlineStr">
        <is>
          <t>미확인</t>
        </is>
      </c>
      <c r="P271" s="17" t="inlineStr">
        <is>
          <t>EDMS</t>
        </is>
      </c>
      <c r="Q271" s="22" t="inlineStr">
        <is>
          <t>미확인</t>
        </is>
      </c>
      <c r="R271" s="22" t="inlineStr">
        <is>
          <t>미확인</t>
        </is>
      </c>
      <c r="S271" s="17" t="inlineStr">
        <is>
          <t>Tier D</t>
        </is>
      </c>
      <c r="T271" s="17" t="n">
        <v>7</v>
      </c>
      <c r="U271" s="17" t="inlineStr">
        <is>
          <t>C139</t>
        </is>
      </c>
      <c r="V271" s="17" t="inlineStr">
        <is>
          <t>테라젠이텍스</t>
        </is>
      </c>
      <c r="W271" s="17" t="inlineStr">
        <is>
          <t>Y</t>
        </is>
      </c>
      <c r="X271" s="17" t="inlineStr">
        <is>
          <t>코스닥</t>
        </is>
      </c>
      <c r="Y271" s="23" t="inlineStr">
        <is>
          <t>066700</t>
        </is>
      </c>
      <c r="Z271" s="17" t="inlineStr">
        <is>
          <t>고진업, 박시홍</t>
        </is>
      </c>
      <c r="AA271" s="17" t="inlineStr">
        <is>
          <t>http://www.thera-gen.com</t>
        </is>
      </c>
      <c r="AB271" s="17" t="inlineStr">
        <is>
          <t>031-495-3399</t>
        </is>
      </c>
      <c r="AC271" s="17" t="inlineStr">
        <is>
          <t>미확인</t>
        </is>
      </c>
      <c r="AD271" s="17" t="inlineStr">
        <is>
          <t>Y</t>
        </is>
      </c>
      <c r="AE271" s="17" t="inlineStr">
        <is>
          <t>P146</t>
        </is>
      </c>
      <c r="AF271" s="17" t="inlineStr">
        <is>
          <t>경기도 안산시 단원구 산단로68번길 58</t>
        </is>
      </c>
      <c r="AG271" s="17" t="inlineStr">
        <is>
          <t>완제의약품</t>
        </is>
      </c>
      <c r="AH271" s="17" t="inlineStr">
        <is>
          <t>비무균-일반제제-내용고형제(정제, 캡슐제, 트로키제), 비무균-일반제제-내용액제(시럽제(액상))</t>
        </is>
      </c>
      <c r="AI271" s="17" t="n">
        <v>1</v>
      </c>
      <c r="AJ271" s="24" t="n">
        <v>46990</v>
      </c>
      <c r="AK271" s="17" t="inlineStr"/>
      <c r="AL271" s="17" t="inlineStr"/>
      <c r="AM271" s="17" t="inlineStr">
        <is>
          <t>기본 문서관리 수요</t>
        </is>
      </c>
      <c r="AN271" s="17" t="inlineStr">
        <is>
          <t>미확인</t>
        </is>
      </c>
      <c r="AO271" s="17" t="inlineStr">
        <is>
          <t>미확인</t>
        </is>
      </c>
      <c r="AP271" s="17" t="inlineStr">
        <is>
          <t>미확인</t>
        </is>
      </c>
      <c r="AQ271" s="17" t="inlineStr">
        <is>
          <t>담당자 파악 후 접촉</t>
        </is>
      </c>
      <c r="AR271" s="17" t="inlineStr">
        <is>
          <t>2026-07-05</t>
        </is>
      </c>
      <c r="AS271" s="17" t="inlineStr">
        <is>
          <t>C(부분확인)</t>
        </is>
      </c>
      <c r="AT271" s="17" t="n">
        <v>90</v>
      </c>
      <c r="AU271" s="17" t="inlineStr"/>
      <c r="AV271" s="17" t="inlineStr"/>
    </row>
    <row r="272">
      <c r="A272" s="27" t="inlineStr">
        <is>
          <t>Tier C</t>
        </is>
      </c>
      <c r="B272" s="17" t="n">
        <v>13</v>
      </c>
      <c r="C272" s="17" t="inlineStr">
        <is>
          <t>(주)티디에스팜</t>
        </is>
      </c>
      <c r="D272" s="17" t="inlineStr">
        <is>
          <t>오송</t>
        </is>
      </c>
      <c r="E272" s="17" t="inlineStr">
        <is>
          <t>충청북도</t>
        </is>
      </c>
      <c r="F272" s="17" t="inlineStr">
        <is>
          <t>청주시</t>
        </is>
      </c>
      <c r="G272" s="17" t="n">
        <v>1</v>
      </c>
      <c r="H272" s="17" t="inlineStr"/>
      <c r="I272" s="17" t="inlineStr"/>
      <c r="J272" s="17" t="inlineStr">
        <is>
          <t>Y</t>
        </is>
      </c>
      <c r="K272" s="17" t="inlineStr"/>
      <c r="L272" s="22" t="inlineStr">
        <is>
          <t>미확인</t>
        </is>
      </c>
      <c r="M272" s="22" t="inlineStr">
        <is>
          <t>미확인</t>
        </is>
      </c>
      <c r="N272" s="22" t="inlineStr">
        <is>
          <t>미확인</t>
        </is>
      </c>
      <c r="O272" s="22" t="inlineStr">
        <is>
          <t>미확인</t>
        </is>
      </c>
      <c r="P272" s="17" t="inlineStr">
        <is>
          <t>EDMS</t>
        </is>
      </c>
      <c r="Q272" s="22" t="inlineStr">
        <is>
          <t>미확인</t>
        </is>
      </c>
      <c r="R272" s="22" t="inlineStr">
        <is>
          <t>미확인</t>
        </is>
      </c>
      <c r="S272" s="17" t="inlineStr">
        <is>
          <t>Tier D</t>
        </is>
      </c>
      <c r="T272" s="17" t="n">
        <v>7</v>
      </c>
      <c r="U272" s="17" t="inlineStr">
        <is>
          <t>C046</t>
        </is>
      </c>
      <c r="V272" s="17" t="inlineStr">
        <is>
          <t>티디에스팜</t>
        </is>
      </c>
      <c r="W272" s="17" t="inlineStr">
        <is>
          <t>Y</t>
        </is>
      </c>
      <c r="X272" s="17" t="inlineStr">
        <is>
          <t>코스닥</t>
        </is>
      </c>
      <c r="Y272" s="23" t="inlineStr">
        <is>
          <t>464280</t>
        </is>
      </c>
      <c r="Z272" s="17" t="inlineStr">
        <is>
          <t>김철준</t>
        </is>
      </c>
      <c r="AA272" s="17" t="inlineStr">
        <is>
          <t>http://www.tdspharm.com</t>
        </is>
      </c>
      <c r="AB272" s="17" t="inlineStr">
        <is>
          <t>031-8018-7340</t>
        </is>
      </c>
      <c r="AC272" s="17" t="inlineStr">
        <is>
          <t>미확인</t>
        </is>
      </c>
      <c r="AD272" s="17" t="inlineStr">
        <is>
          <t>Y</t>
        </is>
      </c>
      <c r="AE272" s="17" t="inlineStr">
        <is>
          <t>P046</t>
        </is>
      </c>
      <c r="AF272" s="17" t="inlineStr">
        <is>
          <t>충청북도 청주시 흥덕구 오송읍 오송생명4로 168-49</t>
        </is>
      </c>
      <c r="AG272" s="17" t="inlineStr">
        <is>
          <t>완제의약품</t>
        </is>
      </c>
      <c r="AH272" s="17" t="inlineStr">
        <is>
          <t>비무균-일반제제-첩부제(첩부제, 카타플라스마제), --()</t>
        </is>
      </c>
      <c r="AI272" s="17" t="n">
        <v>1</v>
      </c>
      <c r="AJ272" s="24" t="n">
        <v>47221</v>
      </c>
      <c r="AK272" s="17" t="inlineStr"/>
      <c r="AL272" s="17" t="inlineStr"/>
      <c r="AM272" s="17" t="inlineStr">
        <is>
          <t>기본 문서관리 수요</t>
        </is>
      </c>
      <c r="AN272" s="17" t="inlineStr">
        <is>
          <t>미확인</t>
        </is>
      </c>
      <c r="AO272" s="17" t="inlineStr">
        <is>
          <t>미확인</t>
        </is>
      </c>
      <c r="AP272" s="17" t="inlineStr">
        <is>
          <t>미확인</t>
        </is>
      </c>
      <c r="AQ272" s="17" t="inlineStr">
        <is>
          <t>담당자 파악 후 접촉</t>
        </is>
      </c>
      <c r="AR272" s="17" t="inlineStr">
        <is>
          <t>2026-07-05</t>
        </is>
      </c>
      <c r="AS272" s="17" t="inlineStr">
        <is>
          <t>C(부분확인)</t>
        </is>
      </c>
      <c r="AT272" s="17" t="n">
        <v>90</v>
      </c>
      <c r="AU272" s="17" t="inlineStr"/>
      <c r="AV272" s="17" t="inlineStr"/>
    </row>
    <row r="273">
      <c r="A273" s="27" t="inlineStr">
        <is>
          <t>Tier C</t>
        </is>
      </c>
      <c r="B273" s="17" t="n">
        <v>13</v>
      </c>
      <c r="C273" s="17" t="inlineStr">
        <is>
          <t>(주)파마코스텍</t>
        </is>
      </c>
      <c r="D273" s="17" t="inlineStr">
        <is>
          <t>화성시</t>
        </is>
      </c>
      <c r="E273" s="17" t="inlineStr">
        <is>
          <t>경기도</t>
        </is>
      </c>
      <c r="F273" s="17" t="inlineStr">
        <is>
          <t>화성시</t>
        </is>
      </c>
      <c r="G273" s="17" t="n">
        <v>1</v>
      </c>
      <c r="H273" s="17" t="inlineStr"/>
      <c r="I273" s="17" t="inlineStr"/>
      <c r="J273" s="17" t="inlineStr"/>
      <c r="K273" s="17" t="inlineStr">
        <is>
          <t>Y</t>
        </is>
      </c>
      <c r="L273" s="22" t="inlineStr">
        <is>
          <t>미확인</t>
        </is>
      </c>
      <c r="M273" s="22" t="inlineStr">
        <is>
          <t>미확인</t>
        </is>
      </c>
      <c r="N273" s="22" t="inlineStr">
        <is>
          <t>미확인</t>
        </is>
      </c>
      <c r="O273" s="22" t="inlineStr">
        <is>
          <t>미확인</t>
        </is>
      </c>
      <c r="P273" s="17" t="inlineStr">
        <is>
          <t>QMS+LIMS</t>
        </is>
      </c>
      <c r="Q273" s="22" t="inlineStr">
        <is>
          <t>미확인</t>
        </is>
      </c>
      <c r="R273" s="22" t="inlineStr">
        <is>
          <t>미확인</t>
        </is>
      </c>
      <c r="S273" s="17" t="inlineStr">
        <is>
          <t>Tier D</t>
        </is>
      </c>
      <c r="T273" s="17" t="n">
        <v>7</v>
      </c>
      <c r="U273" s="17" t="inlineStr">
        <is>
          <t>C337</t>
        </is>
      </c>
      <c r="V273" s="17" t="inlineStr">
        <is>
          <t>파마코스텍</t>
        </is>
      </c>
      <c r="W273" s="17" t="inlineStr"/>
      <c r="X273" s="17" t="inlineStr"/>
      <c r="Y273" s="23" t="inlineStr"/>
      <c r="Z273" s="17" t="inlineStr">
        <is>
          <t>김재원</t>
        </is>
      </c>
      <c r="AA273" s="17" t="inlineStr"/>
      <c r="AB273" s="17" t="inlineStr">
        <is>
          <t>031-359-9969</t>
        </is>
      </c>
      <c r="AC273" s="17" t="inlineStr">
        <is>
          <t>미확인</t>
        </is>
      </c>
      <c r="AD273" s="17" t="inlineStr">
        <is>
          <t>Y</t>
        </is>
      </c>
      <c r="AE273" s="17" t="inlineStr">
        <is>
          <t>P406</t>
        </is>
      </c>
      <c r="AF273" s="17" t="inlineStr">
        <is>
          <t>경기도 화성시 만세구 향남읍 제약단지로 47</t>
        </is>
      </c>
      <c r="AG273" s="17" t="inlineStr">
        <is>
          <t>원료의약품</t>
        </is>
      </c>
      <c r="AH273" s="17" t="inlineStr">
        <is>
          <t>비무균-일반제제-합성, 비무균-일반제제-정제(합성에 한함)</t>
        </is>
      </c>
      <c r="AI273" s="17" t="n">
        <v>1</v>
      </c>
      <c r="AJ273" s="24" t="n">
        <v>46479</v>
      </c>
      <c r="AK273" s="17" t="inlineStr"/>
      <c r="AL273" s="17" t="inlineStr">
        <is>
          <t>Y</t>
        </is>
      </c>
      <c r="AM273" s="17" t="inlineStr">
        <is>
          <t>원료 제조로 시험실 관리 필요</t>
        </is>
      </c>
      <c r="AN273" s="17" t="inlineStr">
        <is>
          <t>미확인</t>
        </is>
      </c>
      <c r="AO273" s="17" t="inlineStr">
        <is>
          <t>미확인</t>
        </is>
      </c>
      <c r="AP273" s="17" t="inlineStr">
        <is>
          <t>미확인</t>
        </is>
      </c>
      <c r="AQ273" s="17" t="inlineStr">
        <is>
          <t>담당자 파악 후 접촉</t>
        </is>
      </c>
      <c r="AR273" s="17" t="inlineStr">
        <is>
          <t>2026-07-05</t>
        </is>
      </c>
      <c r="AS273" s="17" t="inlineStr">
        <is>
          <t>C(부분확인)</t>
        </is>
      </c>
      <c r="AT273" s="17" t="n">
        <v>90</v>
      </c>
      <c r="AU273" s="17" t="inlineStr"/>
      <c r="AV273" s="17" t="inlineStr"/>
    </row>
    <row r="274">
      <c r="A274" s="27" t="inlineStr">
        <is>
          <t>Tier C</t>
        </is>
      </c>
      <c r="B274" s="17" t="n">
        <v>13</v>
      </c>
      <c r="C274" s="17" t="inlineStr">
        <is>
          <t>(주)팜젠사이언스</t>
        </is>
      </c>
      <c r="D274" s="17" t="inlineStr">
        <is>
          <t>화성</t>
        </is>
      </c>
      <c r="E274" s="17" t="inlineStr">
        <is>
          <t>경기도</t>
        </is>
      </c>
      <c r="F274" s="17" t="inlineStr">
        <is>
          <t>화성시</t>
        </is>
      </c>
      <c r="G274" s="17" t="n">
        <v>1</v>
      </c>
      <c r="H274" s="17" t="inlineStr"/>
      <c r="I274" s="17" t="inlineStr"/>
      <c r="J274" s="17" t="inlineStr">
        <is>
          <t>Y</t>
        </is>
      </c>
      <c r="K274" s="17" t="inlineStr"/>
      <c r="L274" s="22" t="inlineStr">
        <is>
          <t>미확인</t>
        </is>
      </c>
      <c r="M274" s="22" t="inlineStr">
        <is>
          <t>미확인</t>
        </is>
      </c>
      <c r="N274" s="22" t="inlineStr">
        <is>
          <t>미확인</t>
        </is>
      </c>
      <c r="O274" s="22" t="inlineStr">
        <is>
          <t>미확인</t>
        </is>
      </c>
      <c r="P274" s="17" t="inlineStr">
        <is>
          <t>EDMS</t>
        </is>
      </c>
      <c r="Q274" s="22" t="inlineStr">
        <is>
          <t>미확인</t>
        </is>
      </c>
      <c r="R274" s="22" t="inlineStr">
        <is>
          <t>미확인</t>
        </is>
      </c>
      <c r="S274" s="17" t="inlineStr">
        <is>
          <t>Tier D</t>
        </is>
      </c>
      <c r="T274" s="17" t="n">
        <v>7</v>
      </c>
      <c r="U274" s="17" t="inlineStr">
        <is>
          <t>C222</t>
        </is>
      </c>
      <c r="V274" s="17" t="inlineStr">
        <is>
          <t>팜젠사이언스</t>
        </is>
      </c>
      <c r="W274" s="17" t="inlineStr">
        <is>
          <t>Y</t>
        </is>
      </c>
      <c r="X274" s="17" t="inlineStr">
        <is>
          <t>유가</t>
        </is>
      </c>
      <c r="Y274" s="23" t="inlineStr">
        <is>
          <t>004720</t>
        </is>
      </c>
      <c r="Z274" s="17" t="inlineStr">
        <is>
          <t>박희덕</t>
        </is>
      </c>
      <c r="AA274" s="17" t="inlineStr">
        <is>
          <t>http://www.pharmgenscience.com</t>
        </is>
      </c>
      <c r="AB274" s="17" t="inlineStr">
        <is>
          <t>02-2194-3590</t>
        </is>
      </c>
      <c r="AC274" s="17" t="inlineStr">
        <is>
          <t>미확인</t>
        </is>
      </c>
      <c r="AD274" s="17" t="inlineStr">
        <is>
          <t>Y</t>
        </is>
      </c>
      <c r="AE274" s="17" t="inlineStr">
        <is>
          <t>P245</t>
        </is>
      </c>
      <c r="AF274" s="17" t="inlineStr">
        <is>
          <t>경기도 화성시 만세구 향남읍 제약공단2길 50</t>
        </is>
      </c>
      <c r="AG274" s="17" t="inlineStr">
        <is>
          <t>완제의약품</t>
        </is>
      </c>
      <c r="AH274" s="17" t="inlineStr">
        <is>
          <t>비무균-일반제제-내용고형제(정제, 캡슐제, 과립제, 시럽제(고형)), 비무균-일반제제-내용액제(경구용액제, 시럽제(액상), 현탁제), 비무균-일반제제-그 밖의 고형제(혈액투석제(고형))</t>
        </is>
      </c>
      <c r="AI274" s="17" t="n">
        <v>1</v>
      </c>
      <c r="AJ274" s="24" t="n">
        <v>46864</v>
      </c>
      <c r="AK274" s="17" t="inlineStr"/>
      <c r="AL274" s="17" t="inlineStr"/>
      <c r="AM274" s="17" t="inlineStr">
        <is>
          <t>기본 문서관리 수요</t>
        </is>
      </c>
      <c r="AN274" s="17" t="inlineStr">
        <is>
          <t>미확인</t>
        </is>
      </c>
      <c r="AO274" s="17" t="inlineStr">
        <is>
          <t>미확인</t>
        </is>
      </c>
      <c r="AP274" s="17" t="inlineStr">
        <is>
          <t>미확인</t>
        </is>
      </c>
      <c r="AQ274" s="17" t="inlineStr">
        <is>
          <t>담당자 파악 후 접촉</t>
        </is>
      </c>
      <c r="AR274" s="17" t="inlineStr">
        <is>
          <t>2026-07-05</t>
        </is>
      </c>
      <c r="AS274" s="17" t="inlineStr">
        <is>
          <t>C(부분확인)</t>
        </is>
      </c>
      <c r="AT274" s="17" t="n">
        <v>90</v>
      </c>
      <c r="AU274" s="17" t="inlineStr"/>
      <c r="AV274" s="17" t="inlineStr"/>
    </row>
    <row r="275">
      <c r="A275" s="27" t="inlineStr">
        <is>
          <t>Tier C</t>
        </is>
      </c>
      <c r="B275" s="17" t="n">
        <v>13</v>
      </c>
      <c r="C275" s="17" t="inlineStr">
        <is>
          <t>(주)하원정밀화학</t>
        </is>
      </c>
      <c r="D275" s="17" t="inlineStr">
        <is>
          <t>충남</t>
        </is>
      </c>
      <c r="E275" s="17" t="inlineStr">
        <is>
          <t>세종특별자치시</t>
        </is>
      </c>
      <c r="F275" s="17" t="inlineStr">
        <is>
          <t>세종특별자치시</t>
        </is>
      </c>
      <c r="G275" s="17" t="n">
        <v>1</v>
      </c>
      <c r="H275" s="17" t="inlineStr"/>
      <c r="I275" s="17" t="inlineStr"/>
      <c r="J275" s="17" t="inlineStr"/>
      <c r="K275" s="17" t="inlineStr">
        <is>
          <t>Y</t>
        </is>
      </c>
      <c r="L275" s="22" t="inlineStr">
        <is>
          <t>미확인</t>
        </is>
      </c>
      <c r="M275" s="22" t="inlineStr">
        <is>
          <t>미확인</t>
        </is>
      </c>
      <c r="N275" s="22" t="inlineStr">
        <is>
          <t>미확인</t>
        </is>
      </c>
      <c r="O275" s="22" t="inlineStr">
        <is>
          <t>미확인</t>
        </is>
      </c>
      <c r="P275" s="17" t="inlineStr">
        <is>
          <t>QMS+LIMS</t>
        </is>
      </c>
      <c r="Q275" s="22" t="inlineStr">
        <is>
          <t>미확인</t>
        </is>
      </c>
      <c r="R275" s="22" t="inlineStr">
        <is>
          <t>미확인</t>
        </is>
      </c>
      <c r="S275" s="17" t="inlineStr">
        <is>
          <t>Tier D</t>
        </is>
      </c>
      <c r="T275" s="17" t="n">
        <v>7</v>
      </c>
      <c r="U275" s="17" t="inlineStr">
        <is>
          <t>C328</t>
        </is>
      </c>
      <c r="V275" s="17" t="inlineStr">
        <is>
          <t>하원정밀화학</t>
        </is>
      </c>
      <c r="W275" s="17" t="inlineStr"/>
      <c r="X275" s="17" t="inlineStr"/>
      <c r="Y275" s="23" t="inlineStr"/>
      <c r="Z275" s="17" t="inlineStr">
        <is>
          <t>구자춘</t>
        </is>
      </c>
      <c r="AA275" s="17" t="inlineStr"/>
      <c r="AB275" s="17" t="inlineStr">
        <is>
          <t>044-862-2681</t>
        </is>
      </c>
      <c r="AC275" s="17" t="inlineStr">
        <is>
          <t>미확인</t>
        </is>
      </c>
      <c r="AD275" s="17" t="inlineStr">
        <is>
          <t>Y</t>
        </is>
      </c>
      <c r="AE275" s="17" t="inlineStr">
        <is>
          <t>P396</t>
        </is>
      </c>
      <c r="AF275" s="17" t="inlineStr">
        <is>
          <t>세종특별자치시 전동면 노장공단길 53-10</t>
        </is>
      </c>
      <c r="AG275" s="17" t="inlineStr">
        <is>
          <t>원료의약품</t>
        </is>
      </c>
      <c r="AH275" s="17" t="inlineStr">
        <is>
          <t>비무균-일반제제-합성</t>
        </is>
      </c>
      <c r="AI275" s="17" t="n">
        <v>1</v>
      </c>
      <c r="AJ275" s="24" t="n">
        <v>46494</v>
      </c>
      <c r="AK275" s="17" t="inlineStr"/>
      <c r="AL275" s="17" t="inlineStr">
        <is>
          <t>Y</t>
        </is>
      </c>
      <c r="AM275" s="17" t="inlineStr">
        <is>
          <t>원료 제조로 시험실 관리 필요</t>
        </is>
      </c>
      <c r="AN275" s="17" t="inlineStr">
        <is>
          <t>미확인</t>
        </is>
      </c>
      <c r="AO275" s="17" t="inlineStr">
        <is>
          <t>미확인</t>
        </is>
      </c>
      <c r="AP275" s="17" t="inlineStr">
        <is>
          <t>미확인</t>
        </is>
      </c>
      <c r="AQ275" s="17" t="inlineStr">
        <is>
          <t>담당자 파악 후 접촉</t>
        </is>
      </c>
      <c r="AR275" s="17" t="inlineStr">
        <is>
          <t>2026-07-05</t>
        </is>
      </c>
      <c r="AS275" s="17" t="inlineStr">
        <is>
          <t>C(부분확인)</t>
        </is>
      </c>
      <c r="AT275" s="17" t="n">
        <v>90</v>
      </c>
      <c r="AU275" s="17" t="inlineStr"/>
      <c r="AV275" s="17" t="inlineStr"/>
    </row>
    <row r="276">
      <c r="A276" s="27" t="inlineStr">
        <is>
          <t>Tier C</t>
        </is>
      </c>
      <c r="B276" s="17" t="n">
        <v>13</v>
      </c>
      <c r="C276" s="17" t="inlineStr">
        <is>
          <t>(주)한국파마</t>
        </is>
      </c>
      <c r="D276" s="17" t="inlineStr">
        <is>
          <t>화성-제1공장</t>
        </is>
      </c>
      <c r="E276" s="17" t="inlineStr">
        <is>
          <t>경기도</t>
        </is>
      </c>
      <c r="F276" s="17" t="inlineStr">
        <is>
          <t>화성시</t>
        </is>
      </c>
      <c r="G276" s="17" t="n">
        <v>1</v>
      </c>
      <c r="H276" s="17" t="inlineStr"/>
      <c r="I276" s="17" t="inlineStr"/>
      <c r="J276" s="17" t="inlineStr">
        <is>
          <t>Y</t>
        </is>
      </c>
      <c r="K276" s="17" t="inlineStr"/>
      <c r="L276" s="22" t="inlineStr">
        <is>
          <t>미확인</t>
        </is>
      </c>
      <c r="M276" s="22" t="inlineStr">
        <is>
          <t>미확인</t>
        </is>
      </c>
      <c r="N276" s="22" t="inlineStr">
        <is>
          <t>미확인</t>
        </is>
      </c>
      <c r="O276" s="22" t="inlineStr">
        <is>
          <t>미확인</t>
        </is>
      </c>
      <c r="P276" s="17" t="inlineStr">
        <is>
          <t>EDMS</t>
        </is>
      </c>
      <c r="Q276" s="22" t="inlineStr">
        <is>
          <t>미확인</t>
        </is>
      </c>
      <c r="R276" s="22" t="inlineStr">
        <is>
          <t>미확인</t>
        </is>
      </c>
      <c r="S276" s="17" t="inlineStr">
        <is>
          <t>Tier D</t>
        </is>
      </c>
      <c r="T276" s="17" t="n">
        <v>7</v>
      </c>
      <c r="U276" s="17" t="inlineStr">
        <is>
          <t>C185</t>
        </is>
      </c>
      <c r="V276" s="17" t="inlineStr">
        <is>
          <t>한국파마</t>
        </is>
      </c>
      <c r="W276" s="17" t="inlineStr">
        <is>
          <t>Y</t>
        </is>
      </c>
      <c r="X276" s="17" t="inlineStr">
        <is>
          <t>코스닥</t>
        </is>
      </c>
      <c r="Y276" s="23" t="inlineStr">
        <is>
          <t>032300</t>
        </is>
      </c>
      <c r="Z276" s="17" t="inlineStr">
        <is>
          <t>박은희</t>
        </is>
      </c>
      <c r="AA276" s="17" t="inlineStr">
        <is>
          <t>http://koreapharma.co.kr</t>
        </is>
      </c>
      <c r="AB276" s="17" t="inlineStr">
        <is>
          <t>02-558-1277</t>
        </is>
      </c>
      <c r="AC276" s="17" t="inlineStr">
        <is>
          <t>미확인</t>
        </is>
      </c>
      <c r="AD276" s="17" t="inlineStr">
        <is>
          <t>Y</t>
        </is>
      </c>
      <c r="AE276" s="17" t="inlineStr">
        <is>
          <t>P199</t>
        </is>
      </c>
      <c r="AF276" s="17" t="inlineStr">
        <is>
          <t>경기도 화성시 만세구 향남읍 제약공단3길 87</t>
        </is>
      </c>
      <c r="AG276" s="17" t="inlineStr">
        <is>
          <t>완제의약품</t>
        </is>
      </c>
      <c r="AH276" s="17" t="inlineStr">
        <is>
          <t>비무균-일반제제-내용고형제(정제, 캡슐제, 산제), 비무균-일반제제-내용액제(경구용액제), 비무균-일반제제-외용액제(외용액제, 로션제), 비무균-일반제제-연고제(연고제, 크림제)</t>
        </is>
      </c>
      <c r="AI276" s="17" t="n">
        <v>1</v>
      </c>
      <c r="AJ276" s="24" t="n">
        <v>46920</v>
      </c>
      <c r="AK276" s="17" t="inlineStr"/>
      <c r="AL276" s="17" t="inlineStr"/>
      <c r="AM276" s="17" t="inlineStr">
        <is>
          <t>기본 문서관리 수요</t>
        </is>
      </c>
      <c r="AN276" s="17" t="inlineStr">
        <is>
          <t>미확인</t>
        </is>
      </c>
      <c r="AO276" s="17" t="inlineStr">
        <is>
          <t>미확인</t>
        </is>
      </c>
      <c r="AP276" s="17" t="inlineStr">
        <is>
          <t>미확인</t>
        </is>
      </c>
      <c r="AQ276" s="17" t="inlineStr">
        <is>
          <t>담당자 파악 후 접촉</t>
        </is>
      </c>
      <c r="AR276" s="17" t="inlineStr">
        <is>
          <t>2026-07-05</t>
        </is>
      </c>
      <c r="AS276" s="17" t="inlineStr">
        <is>
          <t>C(부분확인)</t>
        </is>
      </c>
      <c r="AT276" s="17" t="n">
        <v>90</v>
      </c>
      <c r="AU276" s="17" t="inlineStr"/>
      <c r="AV276" s="17" t="inlineStr"/>
    </row>
    <row r="277">
      <c r="A277" s="27" t="inlineStr">
        <is>
          <t>Tier C</t>
        </is>
      </c>
      <c r="B277" s="17" t="n">
        <v>13</v>
      </c>
      <c r="C277" s="17" t="inlineStr">
        <is>
          <t>(주)한국팜비오</t>
        </is>
      </c>
      <c r="D277" s="17" t="inlineStr">
        <is>
          <t>제2공장</t>
        </is>
      </c>
      <c r="E277" s="17" t="inlineStr">
        <is>
          <t>충청북도</t>
        </is>
      </c>
      <c r="F277" s="17" t="inlineStr">
        <is>
          <t>충주시</t>
        </is>
      </c>
      <c r="G277" s="17" t="n">
        <v>1</v>
      </c>
      <c r="H277" s="20" t="inlineStr">
        <is>
          <t>Y</t>
        </is>
      </c>
      <c r="I277" s="17" t="inlineStr"/>
      <c r="J277" s="17" t="inlineStr">
        <is>
          <t>Y</t>
        </is>
      </c>
      <c r="K277" s="17" t="inlineStr"/>
      <c r="L277" s="22" t="inlineStr">
        <is>
          <t>미확인</t>
        </is>
      </c>
      <c r="M277" s="22" t="inlineStr">
        <is>
          <t>미확인</t>
        </is>
      </c>
      <c r="N277" s="22" t="inlineStr">
        <is>
          <t>미확인</t>
        </is>
      </c>
      <c r="O277" s="22" t="inlineStr">
        <is>
          <t>미확인</t>
        </is>
      </c>
      <c r="P277" s="17" t="inlineStr">
        <is>
          <t>QMS+LIMS</t>
        </is>
      </c>
      <c r="Q277" s="22" t="inlineStr">
        <is>
          <t>미확인</t>
        </is>
      </c>
      <c r="R277" s="22" t="inlineStr">
        <is>
          <t>미확인</t>
        </is>
      </c>
      <c r="S277" s="17" t="inlineStr">
        <is>
          <t>Tier D</t>
        </is>
      </c>
      <c r="T277" s="17" t="n">
        <v>12</v>
      </c>
      <c r="U277" s="17" t="inlineStr">
        <is>
          <t>C197</t>
        </is>
      </c>
      <c r="V277" s="17" t="inlineStr">
        <is>
          <t>한국팜비오</t>
        </is>
      </c>
      <c r="W277" s="17" t="inlineStr"/>
      <c r="X277" s="17" t="inlineStr"/>
      <c r="Y277" s="23" t="inlineStr"/>
      <c r="Z277" s="17" t="inlineStr">
        <is>
          <t>남봉길</t>
        </is>
      </c>
      <c r="AA277" s="17" t="inlineStr"/>
      <c r="AB277" s="17" t="inlineStr">
        <is>
          <t>02-587-2551</t>
        </is>
      </c>
      <c r="AC277" s="17" t="inlineStr">
        <is>
          <t>미확인</t>
        </is>
      </c>
      <c r="AD277" s="17" t="inlineStr">
        <is>
          <t>Y</t>
        </is>
      </c>
      <c r="AE277" s="17" t="inlineStr">
        <is>
          <t>P212</t>
        </is>
      </c>
      <c r="AF277" s="17" t="inlineStr">
        <is>
          <t>충청북도 충주시 대소원면 첨단산업9로 36</t>
        </is>
      </c>
      <c r="AG277" s="17" t="inlineStr">
        <is>
          <t>완제의약품</t>
        </is>
      </c>
      <c r="AH277" s="17" t="inlineStr">
        <is>
          <t>비무균-일반제제-내용고형제(정제, 캡슐제, 산제), 무균-일반제제-주사제(주사제, 수액제), 비무균-일반제제-내용액제(경구용액제)</t>
        </is>
      </c>
      <c r="AI277" s="17" t="n">
        <v>1</v>
      </c>
      <c r="AJ277" s="24" t="n">
        <v>46898</v>
      </c>
      <c r="AK277" s="17" t="inlineStr"/>
      <c r="AL277" s="17" t="inlineStr"/>
      <c r="AM277" s="17" t="inlineStr">
        <is>
          <t>무균/바이오 제조로 품질관리 난도 높음</t>
        </is>
      </c>
      <c r="AN277" s="17" t="inlineStr">
        <is>
          <t>미확인</t>
        </is>
      </c>
      <c r="AO277" s="17" t="inlineStr">
        <is>
          <t>미확인</t>
        </is>
      </c>
      <c r="AP277" s="17" t="inlineStr">
        <is>
          <t>미확인</t>
        </is>
      </c>
      <c r="AQ277" s="17" t="inlineStr">
        <is>
          <t>담당자 파악 후 접촉</t>
        </is>
      </c>
      <c r="AR277" s="17" t="inlineStr">
        <is>
          <t>2026-07-05</t>
        </is>
      </c>
      <c r="AS277" s="17" t="inlineStr">
        <is>
          <t>C(부분확인)</t>
        </is>
      </c>
      <c r="AT277" s="17" t="n">
        <v>90</v>
      </c>
      <c r="AU277" s="17" t="inlineStr"/>
      <c r="AV277" s="17" t="inlineStr"/>
    </row>
    <row r="278">
      <c r="A278" s="27" t="inlineStr">
        <is>
          <t>Tier C</t>
        </is>
      </c>
      <c r="B278" s="17" t="n">
        <v>13</v>
      </c>
      <c r="C278" s="17" t="inlineStr">
        <is>
          <t>(주)한독</t>
        </is>
      </c>
      <c r="D278" s="17" t="inlineStr">
        <is>
          <t>음성</t>
        </is>
      </c>
      <c r="E278" s="17" t="inlineStr">
        <is>
          <t>충청북도</t>
        </is>
      </c>
      <c r="F278" s="17" t="inlineStr">
        <is>
          <t>음성군</t>
        </is>
      </c>
      <c r="G278" s="17" t="n">
        <v>1</v>
      </c>
      <c r="H278" s="17" t="inlineStr"/>
      <c r="I278" s="17" t="inlineStr"/>
      <c r="J278" s="17" t="inlineStr">
        <is>
          <t>Y</t>
        </is>
      </c>
      <c r="K278" s="17" t="inlineStr"/>
      <c r="L278" s="22" t="inlineStr">
        <is>
          <t>미확인</t>
        </is>
      </c>
      <c r="M278" s="22" t="inlineStr">
        <is>
          <t>미확인</t>
        </is>
      </c>
      <c r="N278" s="22" t="inlineStr">
        <is>
          <t>미확인</t>
        </is>
      </c>
      <c r="O278" s="22" t="inlineStr">
        <is>
          <t>미확인</t>
        </is>
      </c>
      <c r="P278" s="17" t="inlineStr">
        <is>
          <t>EDMS</t>
        </is>
      </c>
      <c r="Q278" s="22" t="inlineStr">
        <is>
          <t>미확인</t>
        </is>
      </c>
      <c r="R278" s="22" t="inlineStr">
        <is>
          <t>미확인</t>
        </is>
      </c>
      <c r="S278" s="17" t="inlineStr">
        <is>
          <t>Tier D</t>
        </is>
      </c>
      <c r="T278" s="17" t="n">
        <v>7</v>
      </c>
      <c r="U278" s="17" t="inlineStr">
        <is>
          <t>C124</t>
        </is>
      </c>
      <c r="V278" s="17" t="inlineStr">
        <is>
          <t>한독</t>
        </is>
      </c>
      <c r="W278" s="17" t="inlineStr">
        <is>
          <t>Y</t>
        </is>
      </c>
      <c r="X278" s="17" t="inlineStr">
        <is>
          <t>유가</t>
        </is>
      </c>
      <c r="Y278" s="23" t="inlineStr">
        <is>
          <t>002390</t>
        </is>
      </c>
      <c r="Z278" s="17" t="inlineStr">
        <is>
          <t>김영진, 백진기</t>
        </is>
      </c>
      <c r="AA278" s="17" t="inlineStr">
        <is>
          <t>http://www.handok.co.kr</t>
        </is>
      </c>
      <c r="AB278" s="17" t="inlineStr">
        <is>
          <t>02-537-5331</t>
        </is>
      </c>
      <c r="AC278" s="17" t="inlineStr">
        <is>
          <t>미확인</t>
        </is>
      </c>
      <c r="AD278" s="17" t="inlineStr">
        <is>
          <t>Y</t>
        </is>
      </c>
      <c r="AE278" s="17" t="inlineStr">
        <is>
          <t>P130</t>
        </is>
      </c>
      <c r="AF278" s="17" t="inlineStr">
        <is>
          <t>충청북도 음성군 대소읍 대풍산단로 78</t>
        </is>
      </c>
      <c r="AG278" s="17" t="inlineStr">
        <is>
          <t>완제의약품</t>
        </is>
      </c>
      <c r="AH278" s="17" t="inlineStr">
        <is>
          <t>비무균-일반제제-내용고형제(정제, 캡슐제, 구강붕해정, 츄어블정(저작정)), 비무균-일반제제-외용액제(외용액제, 로션제), 비무균-일반제제-연고제(연고제, 크림제, 겔제), 비무균-일반제제-첩부제(첩부제)</t>
        </is>
      </c>
      <c r="AI278" s="17" t="n">
        <v>1</v>
      </c>
      <c r="AJ278" s="24" t="n">
        <v>47025</v>
      </c>
      <c r="AK278" s="17" t="inlineStr"/>
      <c r="AL278" s="17" t="inlineStr"/>
      <c r="AM278" s="17" t="inlineStr">
        <is>
          <t>기본 문서관리 수요</t>
        </is>
      </c>
      <c r="AN278" s="17" t="inlineStr">
        <is>
          <t>미확인</t>
        </is>
      </c>
      <c r="AO278" s="17" t="inlineStr">
        <is>
          <t>미확인</t>
        </is>
      </c>
      <c r="AP278" s="17" t="inlineStr">
        <is>
          <t>미확인</t>
        </is>
      </c>
      <c r="AQ278" s="17" t="inlineStr">
        <is>
          <t>담당자 파악 후 접촉</t>
        </is>
      </c>
      <c r="AR278" s="17" t="inlineStr">
        <is>
          <t>2026-07-05</t>
        </is>
      </c>
      <c r="AS278" s="17" t="inlineStr">
        <is>
          <t>C(부분확인)</t>
        </is>
      </c>
      <c r="AT278" s="17" t="n">
        <v>90</v>
      </c>
      <c r="AU278" s="17" t="inlineStr"/>
      <c r="AV278" s="17" t="inlineStr"/>
    </row>
    <row r="279">
      <c r="A279" s="27" t="inlineStr">
        <is>
          <t>Tier C</t>
        </is>
      </c>
      <c r="B279" s="17" t="n">
        <v>13</v>
      </c>
      <c r="C279" s="17" t="inlineStr">
        <is>
          <t>(주)한서켐</t>
        </is>
      </c>
      <c r="D279" s="17" t="inlineStr">
        <is>
          <t>.</t>
        </is>
      </c>
      <c r="E279" s="17" t="inlineStr">
        <is>
          <t>경기도</t>
        </is>
      </c>
      <c r="F279" s="17" t="inlineStr">
        <is>
          <t>평택시</t>
        </is>
      </c>
      <c r="G279" s="17" t="n">
        <v>1</v>
      </c>
      <c r="H279" s="17" t="inlineStr"/>
      <c r="I279" s="17" t="inlineStr"/>
      <c r="J279" s="17" t="inlineStr"/>
      <c r="K279" s="17" t="inlineStr">
        <is>
          <t>Y</t>
        </is>
      </c>
      <c r="L279" s="22" t="inlineStr">
        <is>
          <t>미확인</t>
        </is>
      </c>
      <c r="M279" s="22" t="inlineStr">
        <is>
          <t>미확인</t>
        </is>
      </c>
      <c r="N279" s="22" t="inlineStr">
        <is>
          <t>미확인</t>
        </is>
      </c>
      <c r="O279" s="22" t="inlineStr">
        <is>
          <t>미확인</t>
        </is>
      </c>
      <c r="P279" s="17" t="inlineStr">
        <is>
          <t>QMS+LIMS</t>
        </is>
      </c>
      <c r="Q279" s="22" t="inlineStr">
        <is>
          <t>미확인</t>
        </is>
      </c>
      <c r="R279" s="22" t="inlineStr">
        <is>
          <t>미확인</t>
        </is>
      </c>
      <c r="S279" s="17" t="inlineStr">
        <is>
          <t>Tier D</t>
        </is>
      </c>
      <c r="T279" s="17" t="n">
        <v>7</v>
      </c>
      <c r="U279" s="17" t="inlineStr">
        <is>
          <t>C306</t>
        </is>
      </c>
      <c r="V279" s="17" t="inlineStr">
        <is>
          <t>한서켐</t>
        </is>
      </c>
      <c r="W279" s="17" t="inlineStr"/>
      <c r="X279" s="17" t="inlineStr"/>
      <c r="Y279" s="23" t="inlineStr"/>
      <c r="Z279" s="17" t="inlineStr">
        <is>
          <t>김기남, 오민근</t>
        </is>
      </c>
      <c r="AA279" s="17" t="inlineStr"/>
      <c r="AB279" s="17" t="inlineStr">
        <is>
          <t>031-682-8655</t>
        </is>
      </c>
      <c r="AC279" s="17" t="inlineStr">
        <is>
          <t>미확인</t>
        </is>
      </c>
      <c r="AD279" s="17" t="inlineStr">
        <is>
          <t>Y</t>
        </is>
      </c>
      <c r="AE279" s="17" t="inlineStr">
        <is>
          <t>P369</t>
        </is>
      </c>
      <c r="AF279" s="17" t="inlineStr">
        <is>
          <t>경기도 평택시 포승읍 포승공단로 41</t>
        </is>
      </c>
      <c r="AG279" s="17" t="inlineStr">
        <is>
          <t>원료의약품</t>
        </is>
      </c>
      <c r="AH279" s="17" t="inlineStr">
        <is>
          <t>비무균-일반제제-합성</t>
        </is>
      </c>
      <c r="AI279" s="17" t="n">
        <v>1</v>
      </c>
      <c r="AJ279" s="24" t="n">
        <v>46557</v>
      </c>
      <c r="AK279" s="17" t="inlineStr"/>
      <c r="AL279" s="17" t="inlineStr">
        <is>
          <t>Y</t>
        </is>
      </c>
      <c r="AM279" s="17" t="inlineStr">
        <is>
          <t>원료 제조로 시험실 관리 필요</t>
        </is>
      </c>
      <c r="AN279" s="17" t="inlineStr">
        <is>
          <t>미확인</t>
        </is>
      </c>
      <c r="AO279" s="17" t="inlineStr">
        <is>
          <t>미확인</t>
        </is>
      </c>
      <c r="AP279" s="17" t="inlineStr">
        <is>
          <t>미확인</t>
        </is>
      </c>
      <c r="AQ279" s="17" t="inlineStr">
        <is>
          <t>담당자 파악 후 접촉</t>
        </is>
      </c>
      <c r="AR279" s="17" t="inlineStr">
        <is>
          <t>2026-07-05</t>
        </is>
      </c>
      <c r="AS279" s="17" t="inlineStr">
        <is>
          <t>C(부분확인)</t>
        </is>
      </c>
      <c r="AT279" s="17" t="n">
        <v>90</v>
      </c>
      <c r="AU279" s="17" t="inlineStr"/>
      <c r="AV279" s="17" t="inlineStr"/>
    </row>
    <row r="280">
      <c r="A280" s="27" t="inlineStr">
        <is>
          <t>Tier C</t>
        </is>
      </c>
      <c r="B280" s="17" t="n">
        <v>13</v>
      </c>
      <c r="C280" s="17" t="inlineStr">
        <is>
          <t>대신무약(주)</t>
        </is>
      </c>
      <c r="D280" s="17" t="inlineStr">
        <is>
          <t>제조소 및 제1보관소</t>
        </is>
      </c>
      <c r="E280" s="17" t="inlineStr">
        <is>
          <t>서울특별시</t>
        </is>
      </c>
      <c r="F280" s="17" t="inlineStr">
        <is>
          <t>서초구</t>
        </is>
      </c>
      <c r="G280" s="17" t="n">
        <v>1</v>
      </c>
      <c r="H280" s="17" t="inlineStr"/>
      <c r="I280" s="17" t="inlineStr"/>
      <c r="J280" s="17" t="inlineStr"/>
      <c r="K280" s="17" t="inlineStr">
        <is>
          <t>Y</t>
        </is>
      </c>
      <c r="L280" s="22" t="inlineStr">
        <is>
          <t>미확인</t>
        </is>
      </c>
      <c r="M280" s="22" t="inlineStr">
        <is>
          <t>미확인</t>
        </is>
      </c>
      <c r="N280" s="22" t="inlineStr">
        <is>
          <t>미확인</t>
        </is>
      </c>
      <c r="O280" s="22" t="inlineStr">
        <is>
          <t>미확인</t>
        </is>
      </c>
      <c r="P280" s="17" t="inlineStr">
        <is>
          <t>QMS+LIMS</t>
        </is>
      </c>
      <c r="Q280" s="22" t="inlineStr">
        <is>
          <t>미확인</t>
        </is>
      </c>
      <c r="R280" s="22" t="inlineStr">
        <is>
          <t>미확인</t>
        </is>
      </c>
      <c r="S280" s="17" t="inlineStr">
        <is>
          <t>Tier D</t>
        </is>
      </c>
      <c r="T280" s="17" t="n">
        <v>7</v>
      </c>
      <c r="U280" s="17" t="inlineStr">
        <is>
          <t>C321</t>
        </is>
      </c>
      <c r="V280" s="17" t="inlineStr">
        <is>
          <t>대신무약</t>
        </is>
      </c>
      <c r="W280" s="17" t="inlineStr"/>
      <c r="X280" s="17" t="inlineStr"/>
      <c r="Y280" s="23" t="inlineStr"/>
      <c r="Z280" s="17" t="inlineStr">
        <is>
          <t>김정덕</t>
        </is>
      </c>
      <c r="AA280" s="17" t="inlineStr"/>
      <c r="AB280" s="17" t="inlineStr">
        <is>
          <t>5725841</t>
        </is>
      </c>
      <c r="AC280" s="17" t="inlineStr">
        <is>
          <t>미확인</t>
        </is>
      </c>
      <c r="AD280" s="17" t="inlineStr">
        <is>
          <t>Y</t>
        </is>
      </c>
      <c r="AE280" s="17" t="inlineStr">
        <is>
          <t>P389</t>
        </is>
      </c>
      <c r="AF280" s="17" t="inlineStr">
        <is>
          <t>서울특별시 서초구 양재천로 113-4</t>
        </is>
      </c>
      <c r="AG280" s="17" t="inlineStr">
        <is>
          <t>원료의약품</t>
        </is>
      </c>
      <c r="AH280" s="17" t="inlineStr">
        <is>
          <t>비무균-일반제제-소분</t>
        </is>
      </c>
      <c r="AI280" s="17" t="n">
        <v>1</v>
      </c>
      <c r="AJ280" s="24" t="n">
        <v>46514</v>
      </c>
      <c r="AK280" s="17" t="inlineStr"/>
      <c r="AL280" s="17" t="inlineStr">
        <is>
          <t>Y</t>
        </is>
      </c>
      <c r="AM280" s="17" t="inlineStr">
        <is>
          <t>원료 제조로 시험실 관리 필요</t>
        </is>
      </c>
      <c r="AN280" s="17" t="inlineStr">
        <is>
          <t>미확인</t>
        </is>
      </c>
      <c r="AO280" s="17" t="inlineStr">
        <is>
          <t>미확인</t>
        </is>
      </c>
      <c r="AP280" s="17" t="inlineStr">
        <is>
          <t>미확인</t>
        </is>
      </c>
      <c r="AQ280" s="17" t="inlineStr">
        <is>
          <t>담당자 파악 후 접촉</t>
        </is>
      </c>
      <c r="AR280" s="17" t="inlineStr">
        <is>
          <t>2026-07-05</t>
        </is>
      </c>
      <c r="AS280" s="17" t="inlineStr">
        <is>
          <t>C(부분확인)</t>
        </is>
      </c>
      <c r="AT280" s="17" t="n">
        <v>90</v>
      </c>
      <c r="AU280" s="17" t="inlineStr"/>
      <c r="AV280" s="17" t="inlineStr"/>
    </row>
    <row r="281">
      <c r="A281" s="27" t="inlineStr">
        <is>
          <t>Tier C</t>
        </is>
      </c>
      <c r="B281" s="17" t="n">
        <v>13</v>
      </c>
      <c r="C281" s="17" t="inlineStr">
        <is>
          <t>대한약품공업(주)</t>
        </is>
      </c>
      <c r="D281" s="17" t="inlineStr">
        <is>
          <t>보관소</t>
        </is>
      </c>
      <c r="E281" s="17" t="inlineStr">
        <is>
          <t>경기도</t>
        </is>
      </c>
      <c r="F281" s="17" t="inlineStr">
        <is>
          <t>안산시</t>
        </is>
      </c>
      <c r="G281" s="17" t="n">
        <v>1</v>
      </c>
      <c r="H281" s="20" t="inlineStr">
        <is>
          <t>Y</t>
        </is>
      </c>
      <c r="I281" s="17" t="inlineStr"/>
      <c r="J281" s="17" t="inlineStr">
        <is>
          <t>Y</t>
        </is>
      </c>
      <c r="K281" s="17" t="inlineStr"/>
      <c r="L281" s="22" t="inlineStr">
        <is>
          <t>미확인</t>
        </is>
      </c>
      <c r="M281" s="22" t="inlineStr">
        <is>
          <t>미확인</t>
        </is>
      </c>
      <c r="N281" s="22" t="inlineStr">
        <is>
          <t>미확인</t>
        </is>
      </c>
      <c r="O281" s="22" t="inlineStr">
        <is>
          <t>미확인</t>
        </is>
      </c>
      <c r="P281" s="17" t="inlineStr">
        <is>
          <t>QMS+LIMS</t>
        </is>
      </c>
      <c r="Q281" s="22" t="inlineStr">
        <is>
          <t>미확인</t>
        </is>
      </c>
      <c r="R281" s="22" t="inlineStr">
        <is>
          <t>미확인</t>
        </is>
      </c>
      <c r="S281" s="17" t="inlineStr">
        <is>
          <t>Tier D</t>
        </is>
      </c>
      <c r="T281" s="17" t="n">
        <v>12</v>
      </c>
      <c r="U281" s="17" t="inlineStr">
        <is>
          <t>C043</t>
        </is>
      </c>
      <c r="V281" s="17" t="inlineStr">
        <is>
          <t>대한약품공업</t>
        </is>
      </c>
      <c r="W281" s="17" t="inlineStr"/>
      <c r="X281" s="17" t="inlineStr"/>
      <c r="Y281" s="23" t="inlineStr"/>
      <c r="Z281" s="17" t="inlineStr">
        <is>
          <t>이승영</t>
        </is>
      </c>
      <c r="AA281" s="17" t="inlineStr"/>
      <c r="AB281" s="17" t="inlineStr">
        <is>
          <t>미확인</t>
        </is>
      </c>
      <c r="AC281" s="17" t="inlineStr">
        <is>
          <t>미확인</t>
        </is>
      </c>
      <c r="AD281" s="17" t="inlineStr">
        <is>
          <t>Y</t>
        </is>
      </c>
      <c r="AE281" s="17" t="inlineStr">
        <is>
          <t>P043</t>
        </is>
      </c>
      <c r="AF281" s="17" t="inlineStr">
        <is>
          <t>경기도 안산시 단원구 산단로 77</t>
        </is>
      </c>
      <c r="AG281" s="17" t="inlineStr">
        <is>
          <t>완제의약품</t>
        </is>
      </c>
      <c r="AH281" s="17" t="inlineStr">
        <is>
          <t>무균-일반제제-주사제(주사제, 수액제, 관류제), 비무균-일반제제-내용액제(경구용액제, 흡입액제), 비무균-일반제제-외용액제(외용액제, 혈액투석제(액상))</t>
        </is>
      </c>
      <c r="AI281" s="17" t="n">
        <v>1</v>
      </c>
      <c r="AJ281" s="24" t="n">
        <v>47228</v>
      </c>
      <c r="AK281" s="17" t="inlineStr"/>
      <c r="AL281" s="17" t="inlineStr"/>
      <c r="AM281" s="17" t="inlineStr">
        <is>
          <t>무균/바이오 제조로 품질관리 난도 높음</t>
        </is>
      </c>
      <c r="AN281" s="17" t="inlineStr">
        <is>
          <t>미확인</t>
        </is>
      </c>
      <c r="AO281" s="17" t="inlineStr">
        <is>
          <t>미확인</t>
        </is>
      </c>
      <c r="AP281" s="17" t="inlineStr">
        <is>
          <t>미확인</t>
        </is>
      </c>
      <c r="AQ281" s="17" t="inlineStr">
        <is>
          <t>담당자 파악 후 접촉</t>
        </is>
      </c>
      <c r="AR281" s="17" t="inlineStr">
        <is>
          <t>2026-07-05</t>
        </is>
      </c>
      <c r="AS281" s="17" t="inlineStr">
        <is>
          <t>C(부분확인)</t>
        </is>
      </c>
      <c r="AT281" s="17" t="n">
        <v>90</v>
      </c>
      <c r="AU281" s="17" t="inlineStr"/>
      <c r="AV281" s="17" t="inlineStr"/>
    </row>
    <row r="282">
      <c r="A282" s="27" t="inlineStr">
        <is>
          <t>Tier C</t>
        </is>
      </c>
      <c r="B282" s="17" t="n">
        <v>13</v>
      </c>
      <c r="C282" s="17" t="inlineStr">
        <is>
          <t>덕산약품공업(주)</t>
        </is>
      </c>
      <c r="D282" s="17" t="inlineStr">
        <is>
          <t>안산(실험실)</t>
        </is>
      </c>
      <c r="E282" s="17" t="inlineStr">
        <is>
          <t>경기도</t>
        </is>
      </c>
      <c r="F282" s="17" t="inlineStr">
        <is>
          <t>안산시</t>
        </is>
      </c>
      <c r="G282" s="17" t="n">
        <v>1</v>
      </c>
      <c r="H282" s="17" t="inlineStr"/>
      <c r="I282" s="17" t="inlineStr"/>
      <c r="J282" s="17" t="inlineStr"/>
      <c r="K282" s="17" t="inlineStr">
        <is>
          <t>Y</t>
        </is>
      </c>
      <c r="L282" s="22" t="inlineStr">
        <is>
          <t>미확인</t>
        </is>
      </c>
      <c r="M282" s="22" t="inlineStr">
        <is>
          <t>미확인</t>
        </is>
      </c>
      <c r="N282" s="22" t="inlineStr">
        <is>
          <t>미확인</t>
        </is>
      </c>
      <c r="O282" s="22" t="inlineStr">
        <is>
          <t>미확인</t>
        </is>
      </c>
      <c r="P282" s="17" t="inlineStr">
        <is>
          <t>QMS+LIMS</t>
        </is>
      </c>
      <c r="Q282" s="22" t="inlineStr">
        <is>
          <t>미확인</t>
        </is>
      </c>
      <c r="R282" s="22" t="inlineStr">
        <is>
          <t>미확인</t>
        </is>
      </c>
      <c r="S282" s="17" t="inlineStr">
        <is>
          <t>Tier D</t>
        </is>
      </c>
      <c r="T282" s="17" t="n">
        <v>7</v>
      </c>
      <c r="U282" s="17" t="inlineStr">
        <is>
          <t>C318</t>
        </is>
      </c>
      <c r="V282" s="17" t="inlineStr">
        <is>
          <t>덕산약품공업</t>
        </is>
      </c>
      <c r="W282" s="17" t="inlineStr"/>
      <c r="X282" s="17" t="inlineStr"/>
      <c r="Y282" s="23" t="inlineStr"/>
      <c r="Z282" s="17" t="inlineStr">
        <is>
          <t>고영채</t>
        </is>
      </c>
      <c r="AA282" s="17" t="inlineStr"/>
      <c r="AB282" s="17" t="inlineStr">
        <is>
          <t>031-495-4055</t>
        </is>
      </c>
      <c r="AC282" s="17" t="inlineStr">
        <is>
          <t>미확인</t>
        </is>
      </c>
      <c r="AD282" s="17" t="inlineStr">
        <is>
          <t>Y</t>
        </is>
      </c>
      <c r="AE282" s="17" t="inlineStr">
        <is>
          <t>P385</t>
        </is>
      </c>
      <c r="AF282" s="17" t="inlineStr">
        <is>
          <t>경기도 안산시 단원구 신원로133번길 53</t>
        </is>
      </c>
      <c r="AG282" s="17" t="inlineStr">
        <is>
          <t>원료의약품</t>
        </is>
      </c>
      <c r="AH282" s="17" t="inlineStr">
        <is>
          <t>비무균-일반제제-합성, 비무균-일반제제-(정제(합성에 한함), 정제(발효에 한함)), 비무균-일반제제-소분</t>
        </is>
      </c>
      <c r="AI282" s="17" t="n">
        <v>1</v>
      </c>
      <c r="AJ282" s="24" t="n">
        <v>46516</v>
      </c>
      <c r="AK282" s="17" t="inlineStr"/>
      <c r="AL282" s="17" t="inlineStr">
        <is>
          <t>Y</t>
        </is>
      </c>
      <c r="AM282" s="17" t="inlineStr">
        <is>
          <t>원료 제조로 시험실 관리 필요</t>
        </is>
      </c>
      <c r="AN282" s="17" t="inlineStr">
        <is>
          <t>미확인</t>
        </is>
      </c>
      <c r="AO282" s="17" t="inlineStr">
        <is>
          <t>미확인</t>
        </is>
      </c>
      <c r="AP282" s="17" t="inlineStr">
        <is>
          <t>미확인</t>
        </is>
      </c>
      <c r="AQ282" s="17" t="inlineStr">
        <is>
          <t>담당자 파악 후 접촉</t>
        </is>
      </c>
      <c r="AR282" s="17" t="inlineStr">
        <is>
          <t>2026-07-05</t>
        </is>
      </c>
      <c r="AS282" s="17" t="inlineStr">
        <is>
          <t>C(부분확인)</t>
        </is>
      </c>
      <c r="AT282" s="17" t="n">
        <v>90</v>
      </c>
      <c r="AU282" s="17" t="inlineStr"/>
      <c r="AV282" s="17" t="inlineStr"/>
    </row>
    <row r="283">
      <c r="A283" s="27" t="inlineStr">
        <is>
          <t>Tier C</t>
        </is>
      </c>
      <c r="B283" s="17" t="n">
        <v>13</v>
      </c>
      <c r="C283" s="17" t="inlineStr">
        <is>
          <t>동광제약(주)</t>
        </is>
      </c>
      <c r="D283" s="17" t="inlineStr">
        <is>
          <t>평택</t>
        </is>
      </c>
      <c r="E283" s="17" t="inlineStr">
        <is>
          <t>경기도</t>
        </is>
      </c>
      <c r="F283" s="17" t="inlineStr">
        <is>
          <t>평택시</t>
        </is>
      </c>
      <c r="G283" s="17" t="n">
        <v>1</v>
      </c>
      <c r="H283" s="20" t="inlineStr">
        <is>
          <t>Y</t>
        </is>
      </c>
      <c r="I283" s="17" t="inlineStr"/>
      <c r="J283" s="17" t="inlineStr">
        <is>
          <t>Y</t>
        </is>
      </c>
      <c r="K283" s="17" t="inlineStr"/>
      <c r="L283" s="22" t="inlineStr">
        <is>
          <t>미확인</t>
        </is>
      </c>
      <c r="M283" s="22" t="inlineStr">
        <is>
          <t>미확인</t>
        </is>
      </c>
      <c r="N283" s="22" t="inlineStr">
        <is>
          <t>미확인</t>
        </is>
      </c>
      <c r="O283" s="22" t="inlineStr">
        <is>
          <t>미확인</t>
        </is>
      </c>
      <c r="P283" s="17" t="inlineStr">
        <is>
          <t>QMS+LIMS</t>
        </is>
      </c>
      <c r="Q283" s="22" t="inlineStr">
        <is>
          <t>미확인</t>
        </is>
      </c>
      <c r="R283" s="22" t="inlineStr">
        <is>
          <t>미확인</t>
        </is>
      </c>
      <c r="S283" s="17" t="inlineStr">
        <is>
          <t>Tier D</t>
        </is>
      </c>
      <c r="T283" s="17" t="n">
        <v>12</v>
      </c>
      <c r="U283" s="17" t="inlineStr">
        <is>
          <t>C280</t>
        </is>
      </c>
      <c r="V283" s="17" t="inlineStr">
        <is>
          <t>동광제약</t>
        </is>
      </c>
      <c r="W283" s="17" t="inlineStr"/>
      <c r="X283" s="17" t="inlineStr"/>
      <c r="Y283" s="23" t="inlineStr"/>
      <c r="Z283" s="17" t="inlineStr">
        <is>
          <t>장만식</t>
        </is>
      </c>
      <c r="AA283" s="17" t="inlineStr"/>
      <c r="AB283" s="17" t="inlineStr">
        <is>
          <t>02-776-7641</t>
        </is>
      </c>
      <c r="AC283" s="17" t="inlineStr">
        <is>
          <t>미확인</t>
        </is>
      </c>
      <c r="AD283" s="17" t="inlineStr">
        <is>
          <t>Y</t>
        </is>
      </c>
      <c r="AE283" s="17" t="inlineStr">
        <is>
          <t>P335</t>
        </is>
      </c>
      <c r="AF283" s="17" t="inlineStr">
        <is>
          <t>경기도 평택시 산단로 115</t>
        </is>
      </c>
      <c r="AG283" s="17" t="inlineStr">
        <is>
          <t>완제의약품</t>
        </is>
      </c>
      <c r="AH283" s="17" t="inlineStr">
        <is>
          <t>비무균-일반제제-내용고형제(정제, 캡슐제), 무균-일반제제-주사제(주사제, 동결건조주사제), 비무균-일반제제-연고제(연고제, 크림제, 겔제), 무균-카바페넴제제-주사제(분말주사제)</t>
        </is>
      </c>
      <c r="AI283" s="17" t="n">
        <v>1</v>
      </c>
      <c r="AJ283" s="24" t="n">
        <v>46642</v>
      </c>
      <c r="AK283" s="17" t="inlineStr"/>
      <c r="AL283" s="17" t="inlineStr"/>
      <c r="AM283" s="17" t="inlineStr">
        <is>
          <t>무균/바이오 제조로 품질관리 난도 높음</t>
        </is>
      </c>
      <c r="AN283" s="17" t="inlineStr">
        <is>
          <t>미확인</t>
        </is>
      </c>
      <c r="AO283" s="17" t="inlineStr">
        <is>
          <t>미확인</t>
        </is>
      </c>
      <c r="AP283" s="17" t="inlineStr">
        <is>
          <t>미확인</t>
        </is>
      </c>
      <c r="AQ283" s="17" t="inlineStr">
        <is>
          <t>담당자 파악 후 접촉</t>
        </is>
      </c>
      <c r="AR283" s="17" t="inlineStr">
        <is>
          <t>2026-07-05</t>
        </is>
      </c>
      <c r="AS283" s="17" t="inlineStr">
        <is>
          <t>C(부분확인)</t>
        </is>
      </c>
      <c r="AT283" s="17" t="n">
        <v>90</v>
      </c>
      <c r="AU283" s="17" t="inlineStr"/>
      <c r="AV283" s="17" t="inlineStr"/>
    </row>
    <row r="284">
      <c r="A284" s="27" t="inlineStr">
        <is>
          <t>Tier C</t>
        </is>
      </c>
      <c r="B284" s="17" t="n">
        <v>13</v>
      </c>
      <c r="C284" s="17" t="inlineStr">
        <is>
          <t>동성제약(주)</t>
        </is>
      </c>
      <c r="D284" s="17" t="inlineStr">
        <is>
          <t>아산</t>
        </is>
      </c>
      <c r="E284" s="17" t="inlineStr">
        <is>
          <t>충청남도</t>
        </is>
      </c>
      <c r="F284" s="17" t="inlineStr">
        <is>
          <t>아산시</t>
        </is>
      </c>
      <c r="G284" s="17" t="n">
        <v>1</v>
      </c>
      <c r="H284" s="17" t="inlineStr"/>
      <c r="I284" s="17" t="inlineStr"/>
      <c r="J284" s="17" t="inlineStr">
        <is>
          <t>Y</t>
        </is>
      </c>
      <c r="K284" s="17" t="inlineStr"/>
      <c r="L284" s="22" t="inlineStr">
        <is>
          <t>미확인</t>
        </is>
      </c>
      <c r="M284" s="22" t="inlineStr">
        <is>
          <t>미확인</t>
        </is>
      </c>
      <c r="N284" s="22" t="inlineStr">
        <is>
          <t>미확인</t>
        </is>
      </c>
      <c r="O284" s="22" t="inlineStr">
        <is>
          <t>미확인</t>
        </is>
      </c>
      <c r="P284" s="17" t="inlineStr">
        <is>
          <t>EDMS</t>
        </is>
      </c>
      <c r="Q284" s="22" t="inlineStr">
        <is>
          <t>미확인</t>
        </is>
      </c>
      <c r="R284" s="22" t="inlineStr">
        <is>
          <t>미확인</t>
        </is>
      </c>
      <c r="S284" s="17" t="inlineStr">
        <is>
          <t>Tier D</t>
        </is>
      </c>
      <c r="T284" s="17" t="n">
        <v>7</v>
      </c>
      <c r="U284" s="17" t="inlineStr">
        <is>
          <t>C042</t>
        </is>
      </c>
      <c r="V284" s="17" t="inlineStr">
        <is>
          <t>동성제약</t>
        </is>
      </c>
      <c r="W284" s="17" t="inlineStr">
        <is>
          <t>Y</t>
        </is>
      </c>
      <c r="X284" s="17" t="inlineStr">
        <is>
          <t>유가</t>
        </is>
      </c>
      <c r="Y284" s="23" t="inlineStr">
        <is>
          <t>002210</t>
        </is>
      </c>
      <c r="Z284" s="17" t="inlineStr">
        <is>
          <t>최용석</t>
        </is>
      </c>
      <c r="AA284" s="17" t="inlineStr">
        <is>
          <t>http://dongsung-pharm.co.kr</t>
        </is>
      </c>
      <c r="AB284" s="17" t="inlineStr">
        <is>
          <t>041-420-5430</t>
        </is>
      </c>
      <c r="AC284" s="17" t="inlineStr">
        <is>
          <t>미확인</t>
        </is>
      </c>
      <c r="AD284" s="17" t="inlineStr">
        <is>
          <t>Y</t>
        </is>
      </c>
      <c r="AE284" s="17" t="inlineStr">
        <is>
          <t>P042</t>
        </is>
      </c>
      <c r="AF284" s="17" t="inlineStr">
        <is>
          <t>충청남도 아산시 둔포면 관대안길 45</t>
        </is>
      </c>
      <c r="AG284" s="17" t="inlineStr">
        <is>
          <t>완제의약품</t>
        </is>
      </c>
      <c r="AH284" s="17" t="inlineStr">
        <is>
          <t>비무균-일반제제-내용고형제(정제, 캡슐제, 환제), 비무균-성호르몬제-내용액제(경구용액제), 비무균-일반제제-외용액제(외용액제, 로션제), 비무균-일반제제-연고제(연고제, 크림제, 겔제)</t>
        </is>
      </c>
      <c r="AI284" s="17" t="n">
        <v>1</v>
      </c>
      <c r="AJ284" s="24" t="n">
        <v>47228</v>
      </c>
      <c r="AK284" s="17" t="inlineStr"/>
      <c r="AL284" s="17" t="inlineStr"/>
      <c r="AM284" s="17" t="inlineStr">
        <is>
          <t>기본 문서관리 수요</t>
        </is>
      </c>
      <c r="AN284" s="17" t="inlineStr">
        <is>
          <t>미확인</t>
        </is>
      </c>
      <c r="AO284" s="17" t="inlineStr">
        <is>
          <t>미확인</t>
        </is>
      </c>
      <c r="AP284" s="17" t="inlineStr">
        <is>
          <t>미확인</t>
        </is>
      </c>
      <c r="AQ284" s="17" t="inlineStr">
        <is>
          <t>담당자 파악 후 접촉</t>
        </is>
      </c>
      <c r="AR284" s="17" t="inlineStr">
        <is>
          <t>2026-07-05</t>
        </is>
      </c>
      <c r="AS284" s="17" t="inlineStr">
        <is>
          <t>C(부분확인)</t>
        </is>
      </c>
      <c r="AT284" s="17" t="n">
        <v>90</v>
      </c>
      <c r="AU284" s="17" t="inlineStr"/>
      <c r="AV284" s="17" t="inlineStr"/>
    </row>
    <row r="285">
      <c r="A285" s="27" t="inlineStr">
        <is>
          <t>Tier C</t>
        </is>
      </c>
      <c r="B285" s="17" t="n">
        <v>13</v>
      </c>
      <c r="C285" s="17" t="inlineStr">
        <is>
          <t>삼성서울병원</t>
        </is>
      </c>
      <c r="D285" s="17" t="inlineStr">
        <is>
          <t>양성자센터 지하 2층 방사성의약품제조소</t>
        </is>
      </c>
      <c r="E285" s="17" t="inlineStr">
        <is>
          <t>서울특별시</t>
        </is>
      </c>
      <c r="F285" s="17" t="inlineStr">
        <is>
          <t>강남구</t>
        </is>
      </c>
      <c r="G285" s="17" t="n">
        <v>1</v>
      </c>
      <c r="H285" s="20" t="inlineStr">
        <is>
          <t>Y</t>
        </is>
      </c>
      <c r="I285" s="17" t="inlineStr"/>
      <c r="J285" s="17" t="inlineStr">
        <is>
          <t>Y</t>
        </is>
      </c>
      <c r="K285" s="17" t="inlineStr"/>
      <c r="L285" s="22" t="inlineStr">
        <is>
          <t>미확인</t>
        </is>
      </c>
      <c r="M285" s="22" t="inlineStr">
        <is>
          <t>미확인</t>
        </is>
      </c>
      <c r="N285" s="22" t="inlineStr">
        <is>
          <t>미확인</t>
        </is>
      </c>
      <c r="O285" s="22" t="inlineStr">
        <is>
          <t>미확인</t>
        </is>
      </c>
      <c r="P285" s="17" t="inlineStr">
        <is>
          <t>QMS+LIMS</t>
        </is>
      </c>
      <c r="Q285" s="22" t="inlineStr">
        <is>
          <t>미확인</t>
        </is>
      </c>
      <c r="R285" s="22" t="inlineStr">
        <is>
          <t>미확인</t>
        </is>
      </c>
      <c r="S285" s="17" t="inlineStr">
        <is>
          <t>Tier D</t>
        </is>
      </c>
      <c r="T285" s="17" t="n">
        <v>12</v>
      </c>
      <c r="U285" s="17" t="inlineStr">
        <is>
          <t>C033</t>
        </is>
      </c>
      <c r="V285" s="17" t="inlineStr">
        <is>
          <t>삼성서울병원</t>
        </is>
      </c>
      <c r="W285" s="17" t="inlineStr"/>
      <c r="X285" s="17" t="inlineStr"/>
      <c r="Y285" s="23" t="inlineStr"/>
      <c r="Z285" s="17" t="inlineStr">
        <is>
          <t>한승환</t>
        </is>
      </c>
      <c r="AA285" s="17" t="inlineStr"/>
      <c r="AB285" s="17" t="inlineStr">
        <is>
          <t>미확인</t>
        </is>
      </c>
      <c r="AC285" s="17" t="inlineStr">
        <is>
          <t>미확인</t>
        </is>
      </c>
      <c r="AD285" s="17" t="inlineStr">
        <is>
          <t>Y</t>
        </is>
      </c>
      <c r="AE285" s="17" t="inlineStr">
        <is>
          <t>P033</t>
        </is>
      </c>
      <c r="AF285" s="17" t="inlineStr">
        <is>
          <t>서울특별시 강남구 일원로 81 양성자센터 지하 2층 방사성의약품제조소</t>
        </is>
      </c>
      <c r="AG285" s="17" t="inlineStr">
        <is>
          <t>완제의약품</t>
        </is>
      </c>
      <c r="AH285" s="17" t="inlineStr">
        <is>
          <t>무균-일반제제(방사성의약품)-주사제(주사제)</t>
        </is>
      </c>
      <c r="AI285" s="17" t="n">
        <v>1</v>
      </c>
      <c r="AJ285" s="24" t="n">
        <v>47249</v>
      </c>
      <c r="AK285" s="17" t="inlineStr"/>
      <c r="AL285" s="17" t="inlineStr"/>
      <c r="AM285" s="17" t="inlineStr">
        <is>
          <t>무균/바이오 제조로 품질관리 난도 높음</t>
        </is>
      </c>
      <c r="AN285" s="17" t="inlineStr">
        <is>
          <t>미확인</t>
        </is>
      </c>
      <c r="AO285" s="17" t="inlineStr">
        <is>
          <t>미확인</t>
        </is>
      </c>
      <c r="AP285" s="17" t="inlineStr">
        <is>
          <t>미확인</t>
        </is>
      </c>
      <c r="AQ285" s="17" t="inlineStr">
        <is>
          <t>담당자 파악 후 접촉</t>
        </is>
      </c>
      <c r="AR285" s="17" t="inlineStr">
        <is>
          <t>2026-07-05</t>
        </is>
      </c>
      <c r="AS285" s="17" t="inlineStr">
        <is>
          <t>C(부분확인)</t>
        </is>
      </c>
      <c r="AT285" s="17" t="n">
        <v>90</v>
      </c>
      <c r="AU285" s="17" t="inlineStr"/>
      <c r="AV285" s="17" t="inlineStr"/>
    </row>
    <row r="286">
      <c r="A286" s="27" t="inlineStr">
        <is>
          <t>Tier C</t>
        </is>
      </c>
      <c r="B286" s="17" t="n">
        <v>13</v>
      </c>
      <c r="C286" s="17" t="inlineStr">
        <is>
          <t>삼아제약(주)</t>
        </is>
      </c>
      <c r="D286" s="17" t="inlineStr">
        <is>
          <t>문막</t>
        </is>
      </c>
      <c r="E286" s="17" t="inlineStr">
        <is>
          <t>강원특별자치도</t>
        </is>
      </c>
      <c r="F286" s="17" t="inlineStr">
        <is>
          <t>원주시</t>
        </is>
      </c>
      <c r="G286" s="17" t="n">
        <v>1</v>
      </c>
      <c r="H286" s="17" t="inlineStr"/>
      <c r="I286" s="17" t="inlineStr"/>
      <c r="J286" s="17" t="inlineStr">
        <is>
          <t>Y</t>
        </is>
      </c>
      <c r="K286" s="17" t="inlineStr"/>
      <c r="L286" s="22" t="inlineStr">
        <is>
          <t>미확인</t>
        </is>
      </c>
      <c r="M286" s="22" t="inlineStr">
        <is>
          <t>미확인</t>
        </is>
      </c>
      <c r="N286" s="22" t="inlineStr">
        <is>
          <t>미확인</t>
        </is>
      </c>
      <c r="O286" s="22" t="inlineStr">
        <is>
          <t>미확인</t>
        </is>
      </c>
      <c r="P286" s="17" t="inlineStr">
        <is>
          <t>EDMS</t>
        </is>
      </c>
      <c r="Q286" s="22" t="inlineStr">
        <is>
          <t>미확인</t>
        </is>
      </c>
      <c r="R286" s="22" t="inlineStr">
        <is>
          <t>미확인</t>
        </is>
      </c>
      <c r="S286" s="17" t="inlineStr">
        <is>
          <t>Tier D</t>
        </is>
      </c>
      <c r="T286" s="17" t="n">
        <v>7</v>
      </c>
      <c r="U286" s="17" t="inlineStr">
        <is>
          <t>C236</t>
        </is>
      </c>
      <c r="V286" s="17" t="inlineStr">
        <is>
          <t>삼아제약</t>
        </is>
      </c>
      <c r="W286" s="17" t="inlineStr">
        <is>
          <t>Y</t>
        </is>
      </c>
      <c r="X286" s="17" t="inlineStr">
        <is>
          <t>코스닥</t>
        </is>
      </c>
      <c r="Y286" s="23" t="inlineStr">
        <is>
          <t>009300</t>
        </is>
      </c>
      <c r="Z286" s="17" t="inlineStr">
        <is>
          <t>허 준</t>
        </is>
      </c>
      <c r="AA286" s="17" t="inlineStr">
        <is>
          <t>http://www.samapharm.co.kr</t>
        </is>
      </c>
      <c r="AB286" s="17" t="inlineStr">
        <is>
          <t>2056-7200</t>
        </is>
      </c>
      <c r="AC286" s="17" t="inlineStr">
        <is>
          <t>미확인</t>
        </is>
      </c>
      <c r="AD286" s="17" t="inlineStr">
        <is>
          <t>Y</t>
        </is>
      </c>
      <c r="AE286" s="17" t="inlineStr">
        <is>
          <t>P267</t>
        </is>
      </c>
      <c r="AF286" s="17" t="inlineStr">
        <is>
          <t>강원특별자치도 원주시 문막읍 동화공단로 49</t>
        </is>
      </c>
      <c r="AG286" s="17" t="inlineStr">
        <is>
          <t>완제의약품</t>
        </is>
      </c>
      <c r="AH286" s="17" t="inlineStr">
        <is>
          <t>비무균-일반제제-내용고형제(정제, 시럽제(고형)), 비무균-일반제제-내용액제(경구용액제, 시럽제(액상), 현탁제)</t>
        </is>
      </c>
      <c r="AI286" s="17" t="n">
        <v>1</v>
      </c>
      <c r="AJ286" s="24" t="n">
        <v>46836</v>
      </c>
      <c r="AK286" s="17" t="inlineStr"/>
      <c r="AL286" s="17" t="inlineStr"/>
      <c r="AM286" s="17" t="inlineStr">
        <is>
          <t>기본 문서관리 수요</t>
        </is>
      </c>
      <c r="AN286" s="17" t="inlineStr">
        <is>
          <t>미확인</t>
        </is>
      </c>
      <c r="AO286" s="17" t="inlineStr">
        <is>
          <t>미확인</t>
        </is>
      </c>
      <c r="AP286" s="17" t="inlineStr">
        <is>
          <t>미확인</t>
        </is>
      </c>
      <c r="AQ286" s="17" t="inlineStr">
        <is>
          <t>담당자 파악 후 접촉</t>
        </is>
      </c>
      <c r="AR286" s="17" t="inlineStr">
        <is>
          <t>2026-07-05</t>
        </is>
      </c>
      <c r="AS286" s="17" t="inlineStr">
        <is>
          <t>C(부분확인)</t>
        </is>
      </c>
      <c r="AT286" s="17" t="n">
        <v>90</v>
      </c>
      <c r="AU286" s="17" t="inlineStr"/>
      <c r="AV286" s="17" t="inlineStr"/>
    </row>
    <row r="287">
      <c r="A287" s="27" t="inlineStr">
        <is>
          <t>Tier C</t>
        </is>
      </c>
      <c r="B287" s="17" t="n">
        <v>13</v>
      </c>
      <c r="C287" s="17" t="inlineStr">
        <is>
          <t>삼양화학공업(주)</t>
        </is>
      </c>
      <c r="D287" s="17" t="inlineStr">
        <is>
          <t>미확인</t>
        </is>
      </c>
      <c r="E287" s="17" t="inlineStr">
        <is>
          <t>경상남도</t>
        </is>
      </c>
      <c r="F287" s="17" t="inlineStr">
        <is>
          <t>양산시</t>
        </is>
      </c>
      <c r="G287" s="17" t="n">
        <v>1</v>
      </c>
      <c r="H287" s="20" t="inlineStr">
        <is>
          <t>Y</t>
        </is>
      </c>
      <c r="I287" s="17" t="inlineStr"/>
      <c r="J287" s="17" t="inlineStr">
        <is>
          <t>Y</t>
        </is>
      </c>
      <c r="K287" s="17" t="inlineStr"/>
      <c r="L287" s="22" t="inlineStr">
        <is>
          <t>미확인</t>
        </is>
      </c>
      <c r="M287" s="22" t="inlineStr">
        <is>
          <t>미확인</t>
        </is>
      </c>
      <c r="N287" s="22" t="inlineStr">
        <is>
          <t>미확인</t>
        </is>
      </c>
      <c r="O287" s="22" t="inlineStr">
        <is>
          <t>미확인</t>
        </is>
      </c>
      <c r="P287" s="17" t="inlineStr">
        <is>
          <t>QMS+LIMS</t>
        </is>
      </c>
      <c r="Q287" s="22" t="inlineStr">
        <is>
          <t>미확인</t>
        </is>
      </c>
      <c r="R287" s="22" t="inlineStr">
        <is>
          <t>미확인</t>
        </is>
      </c>
      <c r="S287" s="17" t="inlineStr">
        <is>
          <t>Tier D</t>
        </is>
      </c>
      <c r="T287" s="17" t="n">
        <v>12</v>
      </c>
      <c r="U287" s="17" t="inlineStr">
        <is>
          <t>C114</t>
        </is>
      </c>
      <c r="V287" s="17" t="inlineStr">
        <is>
          <t>삼양화학공업</t>
        </is>
      </c>
      <c r="W287" s="17" t="inlineStr"/>
      <c r="X287" s="17" t="inlineStr"/>
      <c r="Y287" s="23" t="inlineStr"/>
      <c r="Z287" s="17" t="inlineStr">
        <is>
          <t>정석환</t>
        </is>
      </c>
      <c r="AA287" s="17" t="inlineStr"/>
      <c r="AB287" s="17" t="inlineStr">
        <is>
          <t>미확인</t>
        </is>
      </c>
      <c r="AC287" s="17" t="inlineStr">
        <is>
          <t>미확인</t>
        </is>
      </c>
      <c r="AD287" s="17" t="inlineStr">
        <is>
          <t>Y</t>
        </is>
      </c>
      <c r="AE287" s="17" t="inlineStr">
        <is>
          <t>P120</t>
        </is>
      </c>
      <c r="AF287" s="17" t="inlineStr">
        <is>
          <t>경상남도 양산시 회현1길 125</t>
        </is>
      </c>
      <c r="AG287" s="17" t="inlineStr">
        <is>
          <t>완제의약품</t>
        </is>
      </c>
      <c r="AH287" s="17" t="inlineStr">
        <is>
          <t>무균-일반제제-주사제(주사제)</t>
        </is>
      </c>
      <c r="AI287" s="17" t="n">
        <v>1</v>
      </c>
      <c r="AJ287" s="24" t="n">
        <v>47039</v>
      </c>
      <c r="AK287" s="17" t="inlineStr"/>
      <c r="AL287" s="17" t="inlineStr"/>
      <c r="AM287" s="17" t="inlineStr">
        <is>
          <t>무균/바이오 제조로 품질관리 난도 높음</t>
        </is>
      </c>
      <c r="AN287" s="17" t="inlineStr">
        <is>
          <t>미확인</t>
        </is>
      </c>
      <c r="AO287" s="17" t="inlineStr">
        <is>
          <t>미확인</t>
        </is>
      </c>
      <c r="AP287" s="17" t="inlineStr">
        <is>
          <t>미확인</t>
        </is>
      </c>
      <c r="AQ287" s="17" t="inlineStr">
        <is>
          <t>담당자 파악 후 접촉</t>
        </is>
      </c>
      <c r="AR287" s="17" t="inlineStr">
        <is>
          <t>2026-07-05</t>
        </is>
      </c>
      <c r="AS287" s="17" t="inlineStr">
        <is>
          <t>C(부분확인)</t>
        </is>
      </c>
      <c r="AT287" s="17" t="n">
        <v>0</v>
      </c>
      <c r="AU287" s="17" t="inlineStr">
        <is>
          <t>Y</t>
        </is>
      </c>
      <c r="AV287" s="17" t="inlineStr"/>
    </row>
    <row r="288">
      <c r="A288" s="27" t="inlineStr">
        <is>
          <t>Tier C</t>
        </is>
      </c>
      <c r="B288" s="17" t="n">
        <v>13</v>
      </c>
      <c r="C288" s="17" t="inlineStr">
        <is>
          <t>삼익제약(주)</t>
        </is>
      </c>
      <c r="D288" s="17" t="inlineStr">
        <is>
          <t>인천</t>
        </is>
      </c>
      <c r="E288" s="17" t="inlineStr">
        <is>
          <t>인천광역시</t>
        </is>
      </c>
      <c r="F288" s="17" t="inlineStr">
        <is>
          <t>부평구</t>
        </is>
      </c>
      <c r="G288" s="17" t="n">
        <v>1</v>
      </c>
      <c r="H288" s="17" t="inlineStr"/>
      <c r="I288" s="17" t="inlineStr"/>
      <c r="J288" s="17" t="inlineStr">
        <is>
          <t>Y</t>
        </is>
      </c>
      <c r="K288" s="17" t="inlineStr"/>
      <c r="L288" s="22" t="inlineStr">
        <is>
          <t>미확인</t>
        </is>
      </c>
      <c r="M288" s="22" t="inlineStr">
        <is>
          <t>미확인</t>
        </is>
      </c>
      <c r="N288" s="22" t="inlineStr">
        <is>
          <t>미확인</t>
        </is>
      </c>
      <c r="O288" s="22" t="inlineStr">
        <is>
          <t>미확인</t>
        </is>
      </c>
      <c r="P288" s="17" t="inlineStr">
        <is>
          <t>EDMS</t>
        </is>
      </c>
      <c r="Q288" s="22" t="inlineStr">
        <is>
          <t>미확인</t>
        </is>
      </c>
      <c r="R288" s="22" t="inlineStr">
        <is>
          <t>미확인</t>
        </is>
      </c>
      <c r="S288" s="17" t="inlineStr">
        <is>
          <t>Tier D</t>
        </is>
      </c>
      <c r="T288" s="17" t="n">
        <v>7</v>
      </c>
      <c r="U288" s="17" t="inlineStr">
        <is>
          <t>C235</t>
        </is>
      </c>
      <c r="V288" s="17" t="inlineStr">
        <is>
          <t>삼익제약</t>
        </is>
      </c>
      <c r="W288" s="17" t="inlineStr">
        <is>
          <t>Y</t>
        </is>
      </c>
      <c r="X288" s="17" t="inlineStr">
        <is>
          <t>코스닥</t>
        </is>
      </c>
      <c r="Y288" s="23" t="inlineStr">
        <is>
          <t>014950</t>
        </is>
      </c>
      <c r="Z288" s="17" t="inlineStr">
        <is>
          <t>이충환</t>
        </is>
      </c>
      <c r="AA288" s="17" t="inlineStr">
        <is>
          <t>http://www.samik.co.kr</t>
        </is>
      </c>
      <c r="AB288" s="17" t="inlineStr">
        <is>
          <t>032-519-6061</t>
        </is>
      </c>
      <c r="AC288" s="17" t="inlineStr">
        <is>
          <t>미확인</t>
        </is>
      </c>
      <c r="AD288" s="17" t="inlineStr">
        <is>
          <t>Y</t>
        </is>
      </c>
      <c r="AE288" s="17" t="inlineStr">
        <is>
          <t>P266</t>
        </is>
      </c>
      <c r="AF288" s="17" t="inlineStr">
        <is>
          <t>인천광역시 부평구 청안로 13</t>
        </is>
      </c>
      <c r="AG288" s="17" t="inlineStr">
        <is>
          <t>완제의약품</t>
        </is>
      </c>
      <c r="AH288" s="17" t="inlineStr">
        <is>
          <t>비무균-일반제제-내용고형제(정제, 캡슐제, 과립제), 비무균-일반제제-내용액제(시럽제(액상), 엑스제(액상))</t>
        </is>
      </c>
      <c r="AI288" s="17" t="n">
        <v>1</v>
      </c>
      <c r="AJ288" s="24" t="n">
        <v>46842</v>
      </c>
      <c r="AK288" s="17" t="inlineStr"/>
      <c r="AL288" s="17" t="inlineStr"/>
      <c r="AM288" s="17" t="inlineStr">
        <is>
          <t>기본 문서관리 수요</t>
        </is>
      </c>
      <c r="AN288" s="17" t="inlineStr">
        <is>
          <t>미확인</t>
        </is>
      </c>
      <c r="AO288" s="17" t="inlineStr">
        <is>
          <t>미확인</t>
        </is>
      </c>
      <c r="AP288" s="17" t="inlineStr">
        <is>
          <t>미확인</t>
        </is>
      </c>
      <c r="AQ288" s="17" t="inlineStr">
        <is>
          <t>담당자 파악 후 접촉</t>
        </is>
      </c>
      <c r="AR288" s="17" t="inlineStr">
        <is>
          <t>2026-07-05</t>
        </is>
      </c>
      <c r="AS288" s="17" t="inlineStr">
        <is>
          <t>C(부분확인)</t>
        </is>
      </c>
      <c r="AT288" s="17" t="n">
        <v>90</v>
      </c>
      <c r="AU288" s="17" t="inlineStr"/>
      <c r="AV288" s="17" t="inlineStr"/>
    </row>
    <row r="289">
      <c r="A289" s="27" t="inlineStr">
        <is>
          <t>Tier C</t>
        </is>
      </c>
      <c r="B289" s="17" t="n">
        <v>13</v>
      </c>
      <c r="C289" s="17" t="inlineStr">
        <is>
          <t>삼일제약(주)</t>
        </is>
      </c>
      <c r="D289" s="17" t="inlineStr">
        <is>
          <t>안산</t>
        </is>
      </c>
      <c r="E289" s="17" t="inlineStr">
        <is>
          <t>경기도</t>
        </is>
      </c>
      <c r="F289" s="17" t="inlineStr">
        <is>
          <t>안산시</t>
        </is>
      </c>
      <c r="G289" s="17" t="n">
        <v>1</v>
      </c>
      <c r="H289" s="17" t="inlineStr"/>
      <c r="I289" s="17" t="inlineStr"/>
      <c r="J289" s="17" t="inlineStr">
        <is>
          <t>Y</t>
        </is>
      </c>
      <c r="K289" s="17" t="inlineStr"/>
      <c r="L289" s="22" t="inlineStr">
        <is>
          <t>미확인</t>
        </is>
      </c>
      <c r="M289" s="22" t="inlineStr">
        <is>
          <t>미확인</t>
        </is>
      </c>
      <c r="N289" s="22" t="inlineStr">
        <is>
          <t>미확인</t>
        </is>
      </c>
      <c r="O289" s="22" t="inlineStr">
        <is>
          <t>미확인</t>
        </is>
      </c>
      <c r="P289" s="17" t="inlineStr">
        <is>
          <t>EDMS</t>
        </is>
      </c>
      <c r="Q289" s="22" t="inlineStr">
        <is>
          <t>미확인</t>
        </is>
      </c>
      <c r="R289" s="22" t="inlineStr">
        <is>
          <t>미확인</t>
        </is>
      </c>
      <c r="S289" s="17" t="inlineStr">
        <is>
          <t>Tier D</t>
        </is>
      </c>
      <c r="T289" s="17" t="n">
        <v>7</v>
      </c>
      <c r="U289" s="17" t="inlineStr">
        <is>
          <t>C231</t>
        </is>
      </c>
      <c r="V289" s="17" t="inlineStr">
        <is>
          <t>삼일제약</t>
        </is>
      </c>
      <c r="W289" s="17" t="inlineStr">
        <is>
          <t>Y</t>
        </is>
      </c>
      <c r="X289" s="17" t="inlineStr">
        <is>
          <t>유가</t>
        </is>
      </c>
      <c r="Y289" s="23" t="inlineStr">
        <is>
          <t>000520</t>
        </is>
      </c>
      <c r="Z289" s="17" t="inlineStr">
        <is>
          <t>허승범</t>
        </is>
      </c>
      <c r="AA289" s="17" t="inlineStr">
        <is>
          <t>http://www.samil-pharm.com</t>
        </is>
      </c>
      <c r="AB289" s="17" t="inlineStr">
        <is>
          <t>031-492-4066</t>
        </is>
      </c>
      <c r="AC289" s="17" t="inlineStr">
        <is>
          <t>미확인</t>
        </is>
      </c>
      <c r="AD289" s="17" t="inlineStr">
        <is>
          <t>Y</t>
        </is>
      </c>
      <c r="AE289" s="17" t="inlineStr">
        <is>
          <t>P255</t>
        </is>
      </c>
      <c r="AF289" s="17" t="inlineStr">
        <is>
          <t>경기도 안산시 단원구 산단로 216 (원시동)</t>
        </is>
      </c>
      <c r="AG289" s="17" t="inlineStr">
        <is>
          <t>완제의약품</t>
        </is>
      </c>
      <c r="AH289" s="17" t="inlineStr">
        <is>
          <t>비무균-일반제제-내용고형제(정제, 과립제, 시럽제(고형), 츄어블정(저작정)), 무균-일반제제-점안제(점안제), 비무균-일반제제-내용액제(경구용액제, 시럽제(액상), 현탁제), 비무균-일반제제-외용액제(외용액제), 무균-일반제제-연고제(안연고제), 비무균-일반제제-연고제(연고제, 겔제)</t>
        </is>
      </c>
      <c r="AI289" s="17" t="n">
        <v>1</v>
      </c>
      <c r="AJ289" s="24" t="n">
        <v>46850</v>
      </c>
      <c r="AK289" s="17" t="inlineStr"/>
      <c r="AL289" s="17" t="inlineStr"/>
      <c r="AM289" s="17" t="inlineStr">
        <is>
          <t>기본 문서관리 수요</t>
        </is>
      </c>
      <c r="AN289" s="17" t="inlineStr">
        <is>
          <t>미확인</t>
        </is>
      </c>
      <c r="AO289" s="17" t="inlineStr">
        <is>
          <t>미확인</t>
        </is>
      </c>
      <c r="AP289" s="17" t="inlineStr">
        <is>
          <t>미확인</t>
        </is>
      </c>
      <c r="AQ289" s="17" t="inlineStr">
        <is>
          <t>담당자 파악 후 접촉</t>
        </is>
      </c>
      <c r="AR289" s="17" t="inlineStr">
        <is>
          <t>2026-07-05</t>
        </is>
      </c>
      <c r="AS289" s="17" t="inlineStr">
        <is>
          <t>C(부분확인)</t>
        </is>
      </c>
      <c r="AT289" s="17" t="n">
        <v>90</v>
      </c>
      <c r="AU289" s="17" t="inlineStr"/>
      <c r="AV289" s="17" t="inlineStr"/>
    </row>
    <row r="290">
      <c r="A290" s="27" t="inlineStr">
        <is>
          <t>Tier C</t>
        </is>
      </c>
      <c r="B290" s="17" t="n">
        <v>13</v>
      </c>
      <c r="C290" s="17" t="inlineStr">
        <is>
          <t>신신제약(주)</t>
        </is>
      </c>
      <c r="D290" s="17" t="inlineStr">
        <is>
          <t>세종</t>
        </is>
      </c>
      <c r="E290" s="17" t="inlineStr">
        <is>
          <t>세종특별자치시</t>
        </is>
      </c>
      <c r="F290" s="17" t="inlineStr">
        <is>
          <t>세종특별자치시</t>
        </is>
      </c>
      <c r="G290" s="17" t="n">
        <v>1</v>
      </c>
      <c r="H290" s="17" t="inlineStr"/>
      <c r="I290" s="17" t="inlineStr"/>
      <c r="J290" s="17" t="inlineStr">
        <is>
          <t>Y</t>
        </is>
      </c>
      <c r="K290" s="17" t="inlineStr"/>
      <c r="L290" s="22" t="inlineStr">
        <is>
          <t>미확인</t>
        </is>
      </c>
      <c r="M290" s="22" t="inlineStr">
        <is>
          <t>미확인</t>
        </is>
      </c>
      <c r="N290" s="22" t="inlineStr">
        <is>
          <t>미확인</t>
        </is>
      </c>
      <c r="O290" s="22" t="inlineStr">
        <is>
          <t>미확인</t>
        </is>
      </c>
      <c r="P290" s="17" t="inlineStr">
        <is>
          <t>EDMS</t>
        </is>
      </c>
      <c r="Q290" s="22" t="inlineStr">
        <is>
          <t>미확인</t>
        </is>
      </c>
      <c r="R290" s="22" t="inlineStr">
        <is>
          <t>미확인</t>
        </is>
      </c>
      <c r="S290" s="17" t="inlineStr">
        <is>
          <t>Tier D</t>
        </is>
      </c>
      <c r="T290" s="17" t="n">
        <v>7</v>
      </c>
      <c r="U290" s="17" t="inlineStr">
        <is>
          <t>C109</t>
        </is>
      </c>
      <c r="V290" s="17" t="inlineStr">
        <is>
          <t>신신제약</t>
        </is>
      </c>
      <c r="W290" s="17" t="inlineStr">
        <is>
          <t>Y</t>
        </is>
      </c>
      <c r="X290" s="17" t="inlineStr">
        <is>
          <t>코스닥</t>
        </is>
      </c>
      <c r="Y290" s="23" t="inlineStr">
        <is>
          <t>002800</t>
        </is>
      </c>
      <c r="Z290" s="17" t="inlineStr">
        <is>
          <t>이병기</t>
        </is>
      </c>
      <c r="AA290" s="17" t="inlineStr">
        <is>
          <t>http://www.sinsin.com</t>
        </is>
      </c>
      <c r="AB290" s="17" t="inlineStr">
        <is>
          <t>031-776-1150</t>
        </is>
      </c>
      <c r="AC290" s="17" t="inlineStr">
        <is>
          <t>미확인</t>
        </is>
      </c>
      <c r="AD290" s="17" t="inlineStr">
        <is>
          <t>Y</t>
        </is>
      </c>
      <c r="AE290" s="17" t="inlineStr">
        <is>
          <t>P114</t>
        </is>
      </c>
      <c r="AF290" s="17" t="inlineStr">
        <is>
          <t>세종특별자치시 소정면 소정산단동로 9</t>
        </is>
      </c>
      <c r="AG290" s="17" t="inlineStr">
        <is>
          <t>완제의약품</t>
        </is>
      </c>
      <c r="AH290" s="17" t="inlineStr">
        <is>
          <t>비무균-일반제제-외용액제(외용액제, 로션제, 외용에어로솔제), 비무균-일반제제-연고제(크림제, 겔제), 비무균-일반제제-첩부제(첩부제, 카타플라스마제)</t>
        </is>
      </c>
      <c r="AI290" s="17" t="n">
        <v>1</v>
      </c>
      <c r="AJ290" s="24" t="n">
        <v>47053</v>
      </c>
      <c r="AK290" s="17" t="inlineStr"/>
      <c r="AL290" s="17" t="inlineStr"/>
      <c r="AM290" s="17" t="inlineStr">
        <is>
          <t>기본 문서관리 수요</t>
        </is>
      </c>
      <c r="AN290" s="17" t="inlineStr">
        <is>
          <t>미확인</t>
        </is>
      </c>
      <c r="AO290" s="17" t="inlineStr">
        <is>
          <t>미확인</t>
        </is>
      </c>
      <c r="AP290" s="17" t="inlineStr">
        <is>
          <t>미확인</t>
        </is>
      </c>
      <c r="AQ290" s="17" t="inlineStr">
        <is>
          <t>담당자 파악 후 접촉</t>
        </is>
      </c>
      <c r="AR290" s="17" t="inlineStr">
        <is>
          <t>2026-07-05</t>
        </is>
      </c>
      <c r="AS290" s="17" t="inlineStr">
        <is>
          <t>C(부분확인)</t>
        </is>
      </c>
      <c r="AT290" s="17" t="n">
        <v>90</v>
      </c>
      <c r="AU290" s="17" t="inlineStr"/>
      <c r="AV290" s="17" t="inlineStr"/>
    </row>
    <row r="291">
      <c r="A291" s="27" t="inlineStr">
        <is>
          <t>Tier C</t>
        </is>
      </c>
      <c r="B291" s="17" t="n">
        <v>13</v>
      </c>
      <c r="C291" s="17" t="inlineStr">
        <is>
          <t>아이큐어(주)</t>
        </is>
      </c>
      <c r="D291" s="17" t="inlineStr">
        <is>
          <t>완주</t>
        </is>
      </c>
      <c r="E291" s="17" t="inlineStr">
        <is>
          <t>전북특별자치도</t>
        </is>
      </c>
      <c r="F291" s="17" t="inlineStr">
        <is>
          <t>완주군</t>
        </is>
      </c>
      <c r="G291" s="17" t="n">
        <v>1</v>
      </c>
      <c r="H291" s="17" t="inlineStr"/>
      <c r="I291" s="17" t="inlineStr"/>
      <c r="J291" s="17" t="inlineStr">
        <is>
          <t>Y</t>
        </is>
      </c>
      <c r="K291" s="17" t="inlineStr"/>
      <c r="L291" s="22" t="inlineStr">
        <is>
          <t>미확인</t>
        </is>
      </c>
      <c r="M291" s="22" t="inlineStr">
        <is>
          <t>미확인</t>
        </is>
      </c>
      <c r="N291" s="22" t="inlineStr">
        <is>
          <t>미확인</t>
        </is>
      </c>
      <c r="O291" s="22" t="inlineStr">
        <is>
          <t>미확인</t>
        </is>
      </c>
      <c r="P291" s="17" t="inlineStr">
        <is>
          <t>EDMS</t>
        </is>
      </c>
      <c r="Q291" s="22" t="inlineStr">
        <is>
          <t>미확인</t>
        </is>
      </c>
      <c r="R291" s="22" t="inlineStr">
        <is>
          <t>미확인</t>
        </is>
      </c>
      <c r="S291" s="17" t="inlineStr">
        <is>
          <t>Tier D</t>
        </is>
      </c>
      <c r="T291" s="17" t="n">
        <v>4</v>
      </c>
      <c r="U291" s="17" t="inlineStr">
        <is>
          <t>C242</t>
        </is>
      </c>
      <c r="V291" s="17" t="inlineStr">
        <is>
          <t>아이큐어</t>
        </is>
      </c>
      <c r="W291" s="17" t="inlineStr">
        <is>
          <t>Y</t>
        </is>
      </c>
      <c r="X291" s="17" t="inlineStr">
        <is>
          <t>코스닥</t>
        </is>
      </c>
      <c r="Y291" s="23" t="inlineStr">
        <is>
          <t>175250</t>
        </is>
      </c>
      <c r="Z291" s="17" t="inlineStr">
        <is>
          <t>이영석</t>
        </is>
      </c>
      <c r="AA291" s="17" t="inlineStr">
        <is>
          <t>http://icure.co.kr</t>
        </is>
      </c>
      <c r="AB291" s="17" t="inlineStr">
        <is>
          <t>미확인</t>
        </is>
      </c>
      <c r="AC291" s="17" t="inlineStr">
        <is>
          <t>미확인</t>
        </is>
      </c>
      <c r="AD291" s="17" t="inlineStr">
        <is>
          <t>Y</t>
        </is>
      </c>
      <c r="AE291" s="17" t="inlineStr">
        <is>
          <t>P276</t>
        </is>
      </c>
      <c r="AF291" s="17" t="inlineStr">
        <is>
          <t>전북특별자치도 완주군 봉동읍 완주산단5로 248</t>
        </is>
      </c>
      <c r="AG291" s="17" t="inlineStr">
        <is>
          <t>완제의약품</t>
        </is>
      </c>
      <c r="AH291" s="17" t="inlineStr">
        <is>
          <t>비무균-일반제제-내용고형제(정제, 캡슐제), 비무균-일반제제-첩부제(첩부제, 카타플라스마제, 경피흡수제)</t>
        </is>
      </c>
      <c r="AI291" s="17" t="n">
        <v>1</v>
      </c>
      <c r="AJ291" s="24" t="n">
        <v>46827</v>
      </c>
      <c r="AK291" s="17" t="inlineStr"/>
      <c r="AL291" s="17" t="inlineStr"/>
      <c r="AM291" s="17" t="inlineStr">
        <is>
          <t>기본 문서관리 수요</t>
        </is>
      </c>
      <c r="AN291" s="17" t="inlineStr">
        <is>
          <t>미확인</t>
        </is>
      </c>
      <c r="AO291" s="17" t="inlineStr">
        <is>
          <t>미확인</t>
        </is>
      </c>
      <c r="AP291" s="17" t="inlineStr">
        <is>
          <t>미확인</t>
        </is>
      </c>
      <c r="AQ291" s="17" t="inlineStr">
        <is>
          <t>담당자 파악 후 접촉</t>
        </is>
      </c>
      <c r="AR291" s="17" t="inlineStr">
        <is>
          <t>2026-07-05</t>
        </is>
      </c>
      <c r="AS291" s="17" t="inlineStr">
        <is>
          <t>C(부분확인)</t>
        </is>
      </c>
      <c r="AT291" s="17" t="n">
        <v>90</v>
      </c>
      <c r="AU291" s="17" t="inlineStr"/>
      <c r="AV291" s="17" t="inlineStr"/>
    </row>
    <row r="292">
      <c r="A292" s="27" t="inlineStr">
        <is>
          <t>Tier C</t>
        </is>
      </c>
      <c r="B292" s="17" t="n">
        <v>13</v>
      </c>
      <c r="C292" s="17" t="inlineStr">
        <is>
          <t>아주약품(주)</t>
        </is>
      </c>
      <c r="D292" s="17" t="inlineStr">
        <is>
          <t>평택</t>
        </is>
      </c>
      <c r="E292" s="17" t="inlineStr">
        <is>
          <t>경기도</t>
        </is>
      </c>
      <c r="F292" s="17" t="inlineStr">
        <is>
          <t>평택시</t>
        </is>
      </c>
      <c r="G292" s="17" t="n">
        <v>1</v>
      </c>
      <c r="H292" s="20" t="inlineStr">
        <is>
          <t>Y</t>
        </is>
      </c>
      <c r="I292" s="17" t="inlineStr"/>
      <c r="J292" s="17" t="inlineStr">
        <is>
          <t>Y</t>
        </is>
      </c>
      <c r="K292" s="17" t="inlineStr"/>
      <c r="L292" s="22" t="inlineStr">
        <is>
          <t>미확인</t>
        </is>
      </c>
      <c r="M292" s="22" t="inlineStr">
        <is>
          <t>미확인</t>
        </is>
      </c>
      <c r="N292" s="22" t="inlineStr">
        <is>
          <t>미확인</t>
        </is>
      </c>
      <c r="O292" s="22" t="inlineStr">
        <is>
          <t>미확인</t>
        </is>
      </c>
      <c r="P292" s="17" t="inlineStr">
        <is>
          <t>QMS+LIMS</t>
        </is>
      </c>
      <c r="Q292" s="22" t="inlineStr">
        <is>
          <t>미확인</t>
        </is>
      </c>
      <c r="R292" s="22" t="inlineStr">
        <is>
          <t>미확인</t>
        </is>
      </c>
      <c r="S292" s="17" t="inlineStr">
        <is>
          <t>Tier D</t>
        </is>
      </c>
      <c r="T292" s="17" t="n">
        <v>12</v>
      </c>
      <c r="U292" s="17" t="inlineStr">
        <is>
          <t>C068</t>
        </is>
      </c>
      <c r="V292" s="17" t="inlineStr">
        <is>
          <t>아주약품</t>
        </is>
      </c>
      <c r="W292" s="17" t="inlineStr"/>
      <c r="X292" s="17" t="inlineStr"/>
      <c r="Y292" s="23" t="inlineStr"/>
      <c r="Z292" s="17" t="inlineStr">
        <is>
          <t>김태훈</t>
        </is>
      </c>
      <c r="AA292" s="17" t="inlineStr"/>
      <c r="AB292" s="17" t="inlineStr">
        <is>
          <t>2630-0700</t>
        </is>
      </c>
      <c r="AC292" s="17" t="inlineStr">
        <is>
          <t>미확인</t>
        </is>
      </c>
      <c r="AD292" s="17" t="inlineStr">
        <is>
          <t>Y</t>
        </is>
      </c>
      <c r="AE292" s="17" t="inlineStr">
        <is>
          <t>P070</t>
        </is>
      </c>
      <c r="AF292" s="17" t="inlineStr">
        <is>
          <t>경기도 평택시 산단로121번길 23</t>
        </is>
      </c>
      <c r="AG292" s="17" t="inlineStr">
        <is>
          <t>완제의약품</t>
        </is>
      </c>
      <c r="AH292" s="17" t="inlineStr">
        <is>
          <t>비무균-일반제제-내용고형제(정제, 캡슐제, 과립제), 무균-일반제제-주사제(주사제)</t>
        </is>
      </c>
      <c r="AI292" s="17" t="n">
        <v>1</v>
      </c>
      <c r="AJ292" s="24" t="n">
        <v>47172</v>
      </c>
      <c r="AK292" s="17" t="inlineStr"/>
      <c r="AL292" s="17" t="inlineStr"/>
      <c r="AM292" s="17" t="inlineStr">
        <is>
          <t>무균/바이오 제조로 품질관리 난도 높음</t>
        </is>
      </c>
      <c r="AN292" s="17" t="inlineStr">
        <is>
          <t>미확인</t>
        </is>
      </c>
      <c r="AO292" s="17" t="inlineStr">
        <is>
          <t>미확인</t>
        </is>
      </c>
      <c r="AP292" s="17" t="inlineStr">
        <is>
          <t>미확인</t>
        </is>
      </c>
      <c r="AQ292" s="17" t="inlineStr">
        <is>
          <t>담당자 파악 후 접촉</t>
        </is>
      </c>
      <c r="AR292" s="17" t="inlineStr">
        <is>
          <t>2026-07-05</t>
        </is>
      </c>
      <c r="AS292" s="17" t="inlineStr">
        <is>
          <t>C(부분확인)</t>
        </is>
      </c>
      <c r="AT292" s="17" t="n">
        <v>90</v>
      </c>
      <c r="AU292" s="17" t="inlineStr"/>
      <c r="AV292" s="17" t="inlineStr"/>
    </row>
    <row r="293">
      <c r="A293" s="27" t="inlineStr">
        <is>
          <t>Tier C</t>
        </is>
      </c>
      <c r="B293" s="17" t="n">
        <v>13</v>
      </c>
      <c r="C293" s="17" t="inlineStr">
        <is>
          <t>위더스제약(주)</t>
        </is>
      </c>
      <c r="D293" s="17" t="inlineStr">
        <is>
          <t>1공장(안성) 보관소</t>
        </is>
      </c>
      <c r="E293" s="17" t="inlineStr">
        <is>
          <t>경기도</t>
        </is>
      </c>
      <c r="F293" s="17" t="inlineStr">
        <is>
          <t>안성시</t>
        </is>
      </c>
      <c r="G293" s="17" t="n">
        <v>1</v>
      </c>
      <c r="H293" s="17" t="inlineStr"/>
      <c r="I293" s="17" t="inlineStr"/>
      <c r="J293" s="17" t="inlineStr">
        <is>
          <t>Y</t>
        </is>
      </c>
      <c r="K293" s="17" t="inlineStr"/>
      <c r="L293" s="22" t="inlineStr">
        <is>
          <t>미확인</t>
        </is>
      </c>
      <c r="M293" s="22" t="inlineStr">
        <is>
          <t>미확인</t>
        </is>
      </c>
      <c r="N293" s="22" t="inlineStr">
        <is>
          <t>미확인</t>
        </is>
      </c>
      <c r="O293" s="22" t="inlineStr">
        <is>
          <t>미확인</t>
        </is>
      </c>
      <c r="P293" s="17" t="inlineStr">
        <is>
          <t>EDMS</t>
        </is>
      </c>
      <c r="Q293" s="22" t="inlineStr">
        <is>
          <t>미확인</t>
        </is>
      </c>
      <c r="R293" s="22" t="inlineStr">
        <is>
          <t>미확인</t>
        </is>
      </c>
      <c r="S293" s="17" t="inlineStr">
        <is>
          <t>Tier D</t>
        </is>
      </c>
      <c r="T293" s="17" t="n">
        <v>4</v>
      </c>
      <c r="U293" s="17" t="inlineStr">
        <is>
          <t>C249</t>
        </is>
      </c>
      <c r="V293" s="17" t="inlineStr">
        <is>
          <t>위더스제약</t>
        </is>
      </c>
      <c r="W293" s="17" t="inlineStr">
        <is>
          <t>Y</t>
        </is>
      </c>
      <c r="X293" s="17" t="inlineStr">
        <is>
          <t>코스닥</t>
        </is>
      </c>
      <c r="Y293" s="23" t="inlineStr">
        <is>
          <t>330350</t>
        </is>
      </c>
      <c r="Z293" s="17" t="inlineStr">
        <is>
          <t>성대영</t>
        </is>
      </c>
      <c r="AA293" s="17" t="inlineStr">
        <is>
          <t>http://withuspharm.com</t>
        </is>
      </c>
      <c r="AB293" s="17" t="inlineStr">
        <is>
          <t>미확인</t>
        </is>
      </c>
      <c r="AC293" s="17" t="inlineStr">
        <is>
          <t>미확인</t>
        </is>
      </c>
      <c r="AD293" s="17" t="inlineStr">
        <is>
          <t>Y</t>
        </is>
      </c>
      <c r="AE293" s="17" t="inlineStr">
        <is>
          <t>P288</t>
        </is>
      </c>
      <c r="AF293" s="17" t="inlineStr">
        <is>
          <t>경기도 안성시 미양면 제2공단2길 103</t>
        </is>
      </c>
      <c r="AG293" s="17" t="inlineStr">
        <is>
          <t>완제의약품</t>
        </is>
      </c>
      <c r="AH293" s="17" t="inlineStr">
        <is>
          <t>비무균-세팔로스포린제제-내용고형제(정제, 캡슐제), 비무균-일반제제-내용고형제(정제, 캡슐제)</t>
        </is>
      </c>
      <c r="AI293" s="17" t="n">
        <v>1</v>
      </c>
      <c r="AJ293" s="24" t="n">
        <v>46807</v>
      </c>
      <c r="AK293" s="17" t="inlineStr"/>
      <c r="AL293" s="17" t="inlineStr"/>
      <c r="AM293" s="17" t="inlineStr">
        <is>
          <t>기본 문서관리 수요</t>
        </is>
      </c>
      <c r="AN293" s="17" t="inlineStr">
        <is>
          <t>미확인</t>
        </is>
      </c>
      <c r="AO293" s="17" t="inlineStr">
        <is>
          <t>미확인</t>
        </is>
      </c>
      <c r="AP293" s="17" t="inlineStr">
        <is>
          <t>미확인</t>
        </is>
      </c>
      <c r="AQ293" s="17" t="inlineStr">
        <is>
          <t>담당자 파악 후 접촉</t>
        </is>
      </c>
      <c r="AR293" s="17" t="inlineStr">
        <is>
          <t>2026-07-05</t>
        </is>
      </c>
      <c r="AS293" s="17" t="inlineStr">
        <is>
          <t>C(부분확인)</t>
        </is>
      </c>
      <c r="AT293" s="17" t="n">
        <v>90</v>
      </c>
      <c r="AU293" s="17" t="inlineStr"/>
      <c r="AV293" s="17" t="inlineStr"/>
    </row>
    <row r="294">
      <c r="A294" s="27" t="inlineStr">
        <is>
          <t>Tier C</t>
        </is>
      </c>
      <c r="B294" s="17" t="n">
        <v>13</v>
      </c>
      <c r="C294" s="17" t="inlineStr">
        <is>
          <t>재단법인아산사회복지재단서울아산병원</t>
        </is>
      </c>
      <c r="D294" s="17" t="inlineStr">
        <is>
          <t>.</t>
        </is>
      </c>
      <c r="E294" s="17" t="inlineStr">
        <is>
          <t>서울특별시</t>
        </is>
      </c>
      <c r="F294" s="17" t="inlineStr">
        <is>
          <t>송파구</t>
        </is>
      </c>
      <c r="G294" s="17" t="n">
        <v>1</v>
      </c>
      <c r="H294" s="20" t="inlineStr">
        <is>
          <t>Y</t>
        </is>
      </c>
      <c r="I294" s="17" t="inlineStr"/>
      <c r="J294" s="17" t="inlineStr">
        <is>
          <t>Y</t>
        </is>
      </c>
      <c r="K294" s="17" t="inlineStr"/>
      <c r="L294" s="22" t="inlineStr">
        <is>
          <t>미확인</t>
        </is>
      </c>
      <c r="M294" s="22" t="inlineStr">
        <is>
          <t>미확인</t>
        </is>
      </c>
      <c r="N294" s="22" t="inlineStr">
        <is>
          <t>미확인</t>
        </is>
      </c>
      <c r="O294" s="22" t="inlineStr">
        <is>
          <t>미확인</t>
        </is>
      </c>
      <c r="P294" s="17" t="inlineStr">
        <is>
          <t>QMS+LIMS</t>
        </is>
      </c>
      <c r="Q294" s="22" t="inlineStr">
        <is>
          <t>미확인</t>
        </is>
      </c>
      <c r="R294" s="22" t="inlineStr">
        <is>
          <t>미확인</t>
        </is>
      </c>
      <c r="S294" s="17" t="inlineStr">
        <is>
          <t>Tier D</t>
        </is>
      </c>
      <c r="T294" s="17" t="n">
        <v>12</v>
      </c>
      <c r="U294" s="17" t="inlineStr">
        <is>
          <t>C067</t>
        </is>
      </c>
      <c r="V294" s="17" t="inlineStr">
        <is>
          <t>재단법인아산사회복지재단서울아산병원</t>
        </is>
      </c>
      <c r="W294" s="17" t="inlineStr"/>
      <c r="X294" s="17" t="inlineStr"/>
      <c r="Y294" s="23" t="inlineStr"/>
      <c r="Z294" s="17" t="inlineStr">
        <is>
          <t>정몽준</t>
        </is>
      </c>
      <c r="AA294" s="17" t="inlineStr"/>
      <c r="AB294" s="17" t="inlineStr">
        <is>
          <t>미확인</t>
        </is>
      </c>
      <c r="AC294" s="17" t="inlineStr">
        <is>
          <t>미확인</t>
        </is>
      </c>
      <c r="AD294" s="17" t="inlineStr">
        <is>
          <t>Y</t>
        </is>
      </c>
      <c r="AE294" s="17" t="inlineStr">
        <is>
          <t>P069</t>
        </is>
      </c>
      <c r="AF294" s="17" t="inlineStr">
        <is>
          <t>서울특별시 송파구 올림픽로43길 88</t>
        </is>
      </c>
      <c r="AG294" s="17" t="inlineStr">
        <is>
          <t>완제의약품</t>
        </is>
      </c>
      <c r="AH294" s="17" t="inlineStr">
        <is>
          <t>무균-일반제제(방사성의약품)-주사제(주사제)</t>
        </is>
      </c>
      <c r="AI294" s="17" t="n">
        <v>1</v>
      </c>
      <c r="AJ294" s="24" t="n">
        <v>47172</v>
      </c>
      <c r="AK294" s="17" t="inlineStr"/>
      <c r="AL294" s="17" t="inlineStr"/>
      <c r="AM294" s="17" t="inlineStr">
        <is>
          <t>무균/바이오 제조로 품질관리 난도 높음</t>
        </is>
      </c>
      <c r="AN294" s="17" t="inlineStr">
        <is>
          <t>미확인</t>
        </is>
      </c>
      <c r="AO294" s="17" t="inlineStr">
        <is>
          <t>미확인</t>
        </is>
      </c>
      <c r="AP294" s="17" t="inlineStr">
        <is>
          <t>미확인</t>
        </is>
      </c>
      <c r="AQ294" s="17" t="inlineStr">
        <is>
          <t>담당자 파악 후 접촉</t>
        </is>
      </c>
      <c r="AR294" s="17" t="inlineStr">
        <is>
          <t>2026-07-05</t>
        </is>
      </c>
      <c r="AS294" s="17" t="inlineStr">
        <is>
          <t>C(부분확인)</t>
        </is>
      </c>
      <c r="AT294" s="17" t="n">
        <v>90</v>
      </c>
      <c r="AU294" s="17" t="inlineStr"/>
      <c r="AV294" s="17" t="inlineStr"/>
    </row>
    <row r="295">
      <c r="A295" s="27" t="inlineStr">
        <is>
          <t>Tier C</t>
        </is>
      </c>
      <c r="B295" s="17" t="n">
        <v>13</v>
      </c>
      <c r="C295" s="17" t="inlineStr">
        <is>
          <t>전남대학교병원</t>
        </is>
      </c>
      <c r="D295" s="17" t="inlineStr">
        <is>
          <t>전남대학교병원 분자영상신약개발센터</t>
        </is>
      </c>
      <c r="E295" s="17" t="inlineStr">
        <is>
          <t>광주광역시</t>
        </is>
      </c>
      <c r="F295" s="17" t="inlineStr">
        <is>
          <t>동구</t>
        </is>
      </c>
      <c r="G295" s="17" t="n">
        <v>1</v>
      </c>
      <c r="H295" s="20" t="inlineStr">
        <is>
          <t>Y</t>
        </is>
      </c>
      <c r="I295" s="17" t="inlineStr"/>
      <c r="J295" s="17" t="inlineStr">
        <is>
          <t>Y</t>
        </is>
      </c>
      <c r="K295" s="17" t="inlineStr"/>
      <c r="L295" s="22" t="inlineStr">
        <is>
          <t>미확인</t>
        </is>
      </c>
      <c r="M295" s="22" t="inlineStr">
        <is>
          <t>미확인</t>
        </is>
      </c>
      <c r="N295" s="22" t="inlineStr">
        <is>
          <t>미확인</t>
        </is>
      </c>
      <c r="O295" s="22" t="inlineStr">
        <is>
          <t>미확인</t>
        </is>
      </c>
      <c r="P295" s="17" t="inlineStr">
        <is>
          <t>QMS+LIMS</t>
        </is>
      </c>
      <c r="Q295" s="22" t="inlineStr">
        <is>
          <t>미확인</t>
        </is>
      </c>
      <c r="R295" s="22" t="inlineStr">
        <is>
          <t>미확인</t>
        </is>
      </c>
      <c r="S295" s="17" t="inlineStr">
        <is>
          <t>Tier D</t>
        </is>
      </c>
      <c r="T295" s="17" t="n">
        <v>12</v>
      </c>
      <c r="U295" s="17" t="inlineStr">
        <is>
          <t>C141</t>
        </is>
      </c>
      <c r="V295" s="17" t="inlineStr">
        <is>
          <t>전남대학교병원</t>
        </is>
      </c>
      <c r="W295" s="17" t="inlineStr"/>
      <c r="X295" s="17" t="inlineStr"/>
      <c r="Y295" s="23" t="inlineStr"/>
      <c r="Z295" s="17" t="inlineStr">
        <is>
          <t>정신</t>
        </is>
      </c>
      <c r="AA295" s="17" t="inlineStr"/>
      <c r="AB295" s="17" t="inlineStr">
        <is>
          <t>062-220-6877</t>
        </is>
      </c>
      <c r="AC295" s="17" t="inlineStr">
        <is>
          <t>미확인</t>
        </is>
      </c>
      <c r="AD295" s="17" t="inlineStr">
        <is>
          <t>Y</t>
        </is>
      </c>
      <c r="AE295" s="17" t="inlineStr">
        <is>
          <t>P149</t>
        </is>
      </c>
      <c r="AF295" s="17" t="inlineStr">
        <is>
          <t>광주광역시 동구 제봉로 42 전남대학교병원 6동 어린이병원, 지하 1층 분자영상신약개발센터</t>
        </is>
      </c>
      <c r="AG295" s="17" t="inlineStr">
        <is>
          <t>완제의약품</t>
        </is>
      </c>
      <c r="AH295" s="17" t="inlineStr">
        <is>
          <t>무균-일반제제(방사성의약품)-주사제(주사제)</t>
        </is>
      </c>
      <c r="AI295" s="17" t="n">
        <v>1</v>
      </c>
      <c r="AJ295" s="24" t="n">
        <v>46983</v>
      </c>
      <c r="AK295" s="17" t="inlineStr"/>
      <c r="AL295" s="17" t="inlineStr"/>
      <c r="AM295" s="17" t="inlineStr">
        <is>
          <t>무균/바이오 제조로 품질관리 난도 높음</t>
        </is>
      </c>
      <c r="AN295" s="17" t="inlineStr">
        <is>
          <t>미확인</t>
        </is>
      </c>
      <c r="AO295" s="17" t="inlineStr">
        <is>
          <t>미확인</t>
        </is>
      </c>
      <c r="AP295" s="17" t="inlineStr">
        <is>
          <t>미확인</t>
        </is>
      </c>
      <c r="AQ295" s="17" t="inlineStr">
        <is>
          <t>담당자 파악 후 접촉</t>
        </is>
      </c>
      <c r="AR295" s="17" t="inlineStr">
        <is>
          <t>2026-07-05</t>
        </is>
      </c>
      <c r="AS295" s="17" t="inlineStr">
        <is>
          <t>C(부분확인)</t>
        </is>
      </c>
      <c r="AT295" s="17" t="n">
        <v>90</v>
      </c>
      <c r="AU295" s="17" t="inlineStr"/>
      <c r="AV295" s="17" t="inlineStr"/>
    </row>
    <row r="296">
      <c r="A296" s="27" t="inlineStr">
        <is>
          <t>Tier C</t>
        </is>
      </c>
      <c r="B296" s="17" t="n">
        <v>13</v>
      </c>
      <c r="C296" s="17" t="inlineStr">
        <is>
          <t>제이더블유생명과학(주)</t>
        </is>
      </c>
      <c r="D296" s="17" t="inlineStr">
        <is>
          <t>시험실</t>
        </is>
      </c>
      <c r="E296" s="17" t="inlineStr">
        <is>
          <t>충청남도</t>
        </is>
      </c>
      <c r="F296" s="17" t="inlineStr">
        <is>
          <t>당진시</t>
        </is>
      </c>
      <c r="G296" s="17" t="n">
        <v>1</v>
      </c>
      <c r="H296" s="20" t="inlineStr">
        <is>
          <t>Y</t>
        </is>
      </c>
      <c r="I296" s="17" t="inlineStr"/>
      <c r="J296" s="17" t="inlineStr">
        <is>
          <t>Y</t>
        </is>
      </c>
      <c r="K296" s="17" t="inlineStr"/>
      <c r="L296" s="22" t="inlineStr">
        <is>
          <t>미확인</t>
        </is>
      </c>
      <c r="M296" s="22" t="inlineStr">
        <is>
          <t>미확인</t>
        </is>
      </c>
      <c r="N296" s="22" t="inlineStr">
        <is>
          <t>미확인</t>
        </is>
      </c>
      <c r="O296" s="22" t="inlineStr">
        <is>
          <t>미확인</t>
        </is>
      </c>
      <c r="P296" s="17" t="inlineStr">
        <is>
          <t>QMS+LIMS</t>
        </is>
      </c>
      <c r="Q296" s="22" t="inlineStr">
        <is>
          <t>미확인</t>
        </is>
      </c>
      <c r="R296" s="22" t="inlineStr">
        <is>
          <t>미확인</t>
        </is>
      </c>
      <c r="S296" s="17" t="inlineStr">
        <is>
          <t>Tier D</t>
        </is>
      </c>
      <c r="T296" s="17" t="n">
        <v>12</v>
      </c>
      <c r="U296" s="17" t="inlineStr">
        <is>
          <t>C170</t>
        </is>
      </c>
      <c r="V296" s="17" t="inlineStr">
        <is>
          <t>제이더블유생명과학</t>
        </is>
      </c>
      <c r="W296" s="17" t="inlineStr"/>
      <c r="X296" s="17" t="inlineStr"/>
      <c r="Y296" s="23" t="inlineStr"/>
      <c r="Z296" s="17" t="inlineStr">
        <is>
          <t>노정열</t>
        </is>
      </c>
      <c r="AA296" s="17" t="inlineStr"/>
      <c r="AB296" s="17" t="inlineStr">
        <is>
          <t>02-840-6828</t>
        </is>
      </c>
      <c r="AC296" s="17" t="inlineStr">
        <is>
          <t>미확인</t>
        </is>
      </c>
      <c r="AD296" s="17" t="inlineStr">
        <is>
          <t>Y</t>
        </is>
      </c>
      <c r="AE296" s="17" t="inlineStr">
        <is>
          <t>P183</t>
        </is>
      </c>
      <c r="AF296" s="17" t="inlineStr">
        <is>
          <t>충청남도 당진시 송악읍 한진1길 28</t>
        </is>
      </c>
      <c r="AG296" s="17" t="inlineStr">
        <is>
          <t>완제의약품</t>
        </is>
      </c>
      <c r="AH296" s="17" t="inlineStr">
        <is>
          <t>무균-일반제제-주사제(수액제, 관류제), 비무균-일반제제-외용액제(투석제(액상))</t>
        </is>
      </c>
      <c r="AI296" s="17" t="n">
        <v>1</v>
      </c>
      <c r="AJ296" s="24" t="n">
        <v>46941</v>
      </c>
      <c r="AK296" s="17" t="inlineStr"/>
      <c r="AL296" s="17" t="inlineStr"/>
      <c r="AM296" s="17" t="inlineStr">
        <is>
          <t>무균/바이오 제조로 품질관리 난도 높음</t>
        </is>
      </c>
      <c r="AN296" s="17" t="inlineStr">
        <is>
          <t>미확인</t>
        </is>
      </c>
      <c r="AO296" s="17" t="inlineStr">
        <is>
          <t>미확인</t>
        </is>
      </c>
      <c r="AP296" s="17" t="inlineStr">
        <is>
          <t>미확인</t>
        </is>
      </c>
      <c r="AQ296" s="17" t="inlineStr">
        <is>
          <t>담당자 파악 후 접촉</t>
        </is>
      </c>
      <c r="AR296" s="17" t="inlineStr">
        <is>
          <t>2026-07-05</t>
        </is>
      </c>
      <c r="AS296" s="17" t="inlineStr">
        <is>
          <t>C(부분확인)</t>
        </is>
      </c>
      <c r="AT296" s="17" t="n">
        <v>90</v>
      </c>
      <c r="AU296" s="17" t="inlineStr"/>
      <c r="AV296" s="17" t="inlineStr"/>
    </row>
    <row r="297">
      <c r="A297" s="27" t="inlineStr">
        <is>
          <t>Tier C</t>
        </is>
      </c>
      <c r="B297" s="17" t="n">
        <v>13</v>
      </c>
      <c r="C297" s="17" t="inlineStr">
        <is>
          <t>제주대학교병원</t>
        </is>
      </c>
      <c r="D297" s="17" t="inlineStr">
        <is>
          <t>제주대학교병원</t>
        </is>
      </c>
      <c r="E297" s="17" t="inlineStr">
        <is>
          <t>제주특별자치도</t>
        </is>
      </c>
      <c r="F297" s="17" t="inlineStr">
        <is>
          <t>제주시</t>
        </is>
      </c>
      <c r="G297" s="17" t="n">
        <v>1</v>
      </c>
      <c r="H297" s="20" t="inlineStr">
        <is>
          <t>Y</t>
        </is>
      </c>
      <c r="I297" s="17" t="inlineStr"/>
      <c r="J297" s="17" t="inlineStr">
        <is>
          <t>Y</t>
        </is>
      </c>
      <c r="K297" s="17" t="inlineStr"/>
      <c r="L297" s="22" t="inlineStr">
        <is>
          <t>미확인</t>
        </is>
      </c>
      <c r="M297" s="22" t="inlineStr">
        <is>
          <t>미확인</t>
        </is>
      </c>
      <c r="N297" s="22" t="inlineStr">
        <is>
          <t>미확인</t>
        </is>
      </c>
      <c r="O297" s="22" t="inlineStr">
        <is>
          <t>미확인</t>
        </is>
      </c>
      <c r="P297" s="17" t="inlineStr">
        <is>
          <t>QMS+LIMS</t>
        </is>
      </c>
      <c r="Q297" s="22" t="inlineStr">
        <is>
          <t>미확인</t>
        </is>
      </c>
      <c r="R297" s="22" t="inlineStr">
        <is>
          <t>미확인</t>
        </is>
      </c>
      <c r="S297" s="17" t="inlineStr">
        <is>
          <t>Tier D</t>
        </is>
      </c>
      <c r="T297" s="17" t="n">
        <v>12</v>
      </c>
      <c r="U297" s="17" t="inlineStr">
        <is>
          <t>C032</t>
        </is>
      </c>
      <c r="V297" s="17" t="inlineStr">
        <is>
          <t>제주대학교병원</t>
        </is>
      </c>
      <c r="W297" s="17" t="inlineStr"/>
      <c r="X297" s="17" t="inlineStr"/>
      <c r="Y297" s="23" t="inlineStr"/>
      <c r="Z297" s="17" t="inlineStr">
        <is>
          <t>최국명</t>
        </is>
      </c>
      <c r="AA297" s="17" t="inlineStr"/>
      <c r="AB297" s="17" t="inlineStr">
        <is>
          <t>064-717-1301</t>
        </is>
      </c>
      <c r="AC297" s="17" t="inlineStr">
        <is>
          <t>미확인</t>
        </is>
      </c>
      <c r="AD297" s="17" t="inlineStr">
        <is>
          <t>Y</t>
        </is>
      </c>
      <c r="AE297" s="17" t="inlineStr">
        <is>
          <t>P032</t>
        </is>
      </c>
      <c r="AF297" s="17" t="inlineStr">
        <is>
          <t>제주특별자치도 제주시 아란13길 15</t>
        </is>
      </c>
      <c r="AG297" s="17" t="inlineStr">
        <is>
          <t>완제의약품</t>
        </is>
      </c>
      <c r="AH297" s="17" t="inlineStr">
        <is>
          <t>무균-일반제제(방사성의약품)-주사제(주사제)</t>
        </is>
      </c>
      <c r="AI297" s="17" t="n">
        <v>1</v>
      </c>
      <c r="AJ297" s="24" t="n">
        <v>47254</v>
      </c>
      <c r="AK297" s="17" t="inlineStr"/>
      <c r="AL297" s="17" t="inlineStr"/>
      <c r="AM297" s="17" t="inlineStr">
        <is>
          <t>무균/바이오 제조로 품질관리 난도 높음</t>
        </is>
      </c>
      <c r="AN297" s="17" t="inlineStr">
        <is>
          <t>미확인</t>
        </is>
      </c>
      <c r="AO297" s="17" t="inlineStr">
        <is>
          <t>미확인</t>
        </is>
      </c>
      <c r="AP297" s="17" t="inlineStr">
        <is>
          <t>미확인</t>
        </is>
      </c>
      <c r="AQ297" s="17" t="inlineStr">
        <is>
          <t>담당자 파악 후 접촉</t>
        </is>
      </c>
      <c r="AR297" s="17" t="inlineStr">
        <is>
          <t>2026-07-05</t>
        </is>
      </c>
      <c r="AS297" s="17" t="inlineStr">
        <is>
          <t>C(부분확인)</t>
        </is>
      </c>
      <c r="AT297" s="17" t="n">
        <v>90</v>
      </c>
      <c r="AU297" s="17" t="inlineStr"/>
      <c r="AV297" s="17" t="inlineStr"/>
    </row>
    <row r="298">
      <c r="A298" s="27" t="inlineStr">
        <is>
          <t>Tier C</t>
        </is>
      </c>
      <c r="B298" s="17" t="n">
        <v>13</v>
      </c>
      <c r="C298" s="17" t="inlineStr">
        <is>
          <t>조아제약(주)</t>
        </is>
      </c>
      <c r="D298" s="17" t="inlineStr">
        <is>
          <t>함안</t>
        </is>
      </c>
      <c r="E298" s="17" t="inlineStr">
        <is>
          <t>경상남도</t>
        </is>
      </c>
      <c r="F298" s="17" t="inlineStr">
        <is>
          <t>함안군</t>
        </is>
      </c>
      <c r="G298" s="17" t="n">
        <v>1</v>
      </c>
      <c r="H298" s="17" t="inlineStr"/>
      <c r="I298" s="17" t="inlineStr"/>
      <c r="J298" s="17" t="inlineStr">
        <is>
          <t>Y</t>
        </is>
      </c>
      <c r="K298" s="17" t="inlineStr"/>
      <c r="L298" s="22" t="inlineStr">
        <is>
          <t>미확인</t>
        </is>
      </c>
      <c r="M298" s="22" t="inlineStr">
        <is>
          <t>미확인</t>
        </is>
      </c>
      <c r="N298" s="22" t="inlineStr">
        <is>
          <t>미확인</t>
        </is>
      </c>
      <c r="O298" s="22" t="inlineStr">
        <is>
          <t>미확인</t>
        </is>
      </c>
      <c r="P298" s="17" t="inlineStr">
        <is>
          <t>EDMS</t>
        </is>
      </c>
      <c r="Q298" s="22" t="inlineStr">
        <is>
          <t>미확인</t>
        </is>
      </c>
      <c r="R298" s="22" t="inlineStr">
        <is>
          <t>미확인</t>
        </is>
      </c>
      <c r="S298" s="17" t="inlineStr">
        <is>
          <t>Tier D</t>
        </is>
      </c>
      <c r="T298" s="17" t="n">
        <v>7</v>
      </c>
      <c r="U298" s="17" t="inlineStr">
        <is>
          <t>C164</t>
        </is>
      </c>
      <c r="V298" s="17" t="inlineStr">
        <is>
          <t>조아제약</t>
        </is>
      </c>
      <c r="W298" s="17" t="inlineStr">
        <is>
          <t>Y</t>
        </is>
      </c>
      <c r="X298" s="17" t="inlineStr">
        <is>
          <t>코스닥</t>
        </is>
      </c>
      <c r="Y298" s="23" t="inlineStr">
        <is>
          <t>034940</t>
        </is>
      </c>
      <c r="Z298" s="17" t="inlineStr">
        <is>
          <t>조성환, 조성배(각자대표)</t>
        </is>
      </c>
      <c r="AA298" s="17" t="inlineStr">
        <is>
          <t>http://www.choa.co.kr</t>
        </is>
      </c>
      <c r="AB298" s="17" t="inlineStr">
        <is>
          <t>055-580-5302</t>
        </is>
      </c>
      <c r="AC298" s="17" t="inlineStr">
        <is>
          <t>미확인</t>
        </is>
      </c>
      <c r="AD298" s="17" t="inlineStr">
        <is>
          <t>Y</t>
        </is>
      </c>
      <c r="AE298" s="17" t="inlineStr">
        <is>
          <t>P177</t>
        </is>
      </c>
      <c r="AF298" s="17" t="inlineStr">
        <is>
          <t>경상남도 함안군 함안면 광정로 318</t>
        </is>
      </c>
      <c r="AG298" s="17" t="inlineStr">
        <is>
          <t>완제의약품</t>
        </is>
      </c>
      <c r="AH298" s="17" t="inlineStr">
        <is>
          <t>비무균-일반제제-내용고형제(정제, 캡슐제), 비무균-일반제제-내용액제(경구용액제, 시럽제(액상))</t>
        </is>
      </c>
      <c r="AI298" s="17" t="n">
        <v>1</v>
      </c>
      <c r="AJ298" s="24" t="n">
        <v>46947</v>
      </c>
      <c r="AK298" s="17" t="inlineStr"/>
      <c r="AL298" s="17" t="inlineStr"/>
      <c r="AM298" s="17" t="inlineStr">
        <is>
          <t>기본 문서관리 수요</t>
        </is>
      </c>
      <c r="AN298" s="17" t="inlineStr">
        <is>
          <t>미확인</t>
        </is>
      </c>
      <c r="AO298" s="17" t="inlineStr">
        <is>
          <t>미확인</t>
        </is>
      </c>
      <c r="AP298" s="17" t="inlineStr">
        <is>
          <t>미확인</t>
        </is>
      </c>
      <c r="AQ298" s="17" t="inlineStr">
        <is>
          <t>담당자 파악 후 접촉</t>
        </is>
      </c>
      <c r="AR298" s="17" t="inlineStr">
        <is>
          <t>2026-07-05</t>
        </is>
      </c>
      <c r="AS298" s="17" t="inlineStr">
        <is>
          <t>C(부분확인)</t>
        </is>
      </c>
      <c r="AT298" s="17" t="n">
        <v>90</v>
      </c>
      <c r="AU298" s="17" t="inlineStr"/>
      <c r="AV298" s="17" t="inlineStr"/>
    </row>
    <row r="299">
      <c r="A299" s="27" t="inlineStr">
        <is>
          <t>Tier C</t>
        </is>
      </c>
      <c r="B299" s="17" t="n">
        <v>13</v>
      </c>
      <c r="C299" s="17" t="inlineStr">
        <is>
          <t>주식회사넥스제너</t>
        </is>
      </c>
      <c r="D299" s="17" t="inlineStr">
        <is>
          <t>1공장</t>
        </is>
      </c>
      <c r="E299" s="17" t="inlineStr">
        <is>
          <t>경기도</t>
        </is>
      </c>
      <c r="F299" s="17" t="inlineStr">
        <is>
          <t>화성시</t>
        </is>
      </c>
      <c r="G299" s="17" t="n">
        <v>1</v>
      </c>
      <c r="H299" s="17" t="inlineStr"/>
      <c r="I299" s="17" t="inlineStr"/>
      <c r="J299" s="17" t="inlineStr"/>
      <c r="K299" s="17" t="inlineStr">
        <is>
          <t>Y</t>
        </is>
      </c>
      <c r="L299" s="22" t="inlineStr">
        <is>
          <t>미확인</t>
        </is>
      </c>
      <c r="M299" s="22" t="inlineStr">
        <is>
          <t>미확인</t>
        </is>
      </c>
      <c r="N299" s="22" t="inlineStr">
        <is>
          <t>미확인</t>
        </is>
      </c>
      <c r="O299" s="22" t="inlineStr">
        <is>
          <t>미확인</t>
        </is>
      </c>
      <c r="P299" s="17" t="inlineStr">
        <is>
          <t>QMS+LIMS</t>
        </is>
      </c>
      <c r="Q299" s="22" t="inlineStr">
        <is>
          <t>미확인</t>
        </is>
      </c>
      <c r="R299" s="22" t="inlineStr">
        <is>
          <t>미확인</t>
        </is>
      </c>
      <c r="S299" s="17" t="inlineStr">
        <is>
          <t>Tier D</t>
        </is>
      </c>
      <c r="T299" s="17" t="n">
        <v>7</v>
      </c>
      <c r="U299" s="17" t="inlineStr">
        <is>
          <t>C332</t>
        </is>
      </c>
      <c r="V299" s="17" t="inlineStr">
        <is>
          <t>넥스제너</t>
        </is>
      </c>
      <c r="W299" s="17" t="inlineStr"/>
      <c r="X299" s="17" t="inlineStr"/>
      <c r="Y299" s="23" t="inlineStr"/>
      <c r="Z299" s="17" t="inlineStr">
        <is>
          <t>김수동</t>
        </is>
      </c>
      <c r="AA299" s="17" t="inlineStr"/>
      <c r="AB299" s="17" t="inlineStr">
        <is>
          <t>031-376-1676</t>
        </is>
      </c>
      <c r="AC299" s="17" t="inlineStr">
        <is>
          <t>미확인</t>
        </is>
      </c>
      <c r="AD299" s="17" t="inlineStr">
        <is>
          <t>Y</t>
        </is>
      </c>
      <c r="AE299" s="17" t="inlineStr">
        <is>
          <t>P400</t>
        </is>
      </c>
      <c r="AF299" s="17" t="inlineStr">
        <is>
          <t>경기도 화성시 동탄대로23길 93 아너스카이 10층</t>
        </is>
      </c>
      <c r="AG299" s="17" t="inlineStr">
        <is>
          <t>원료의약품</t>
        </is>
      </c>
      <c r="AH299" s="17" t="inlineStr">
        <is>
          <t>비무균-일반제제-합성</t>
        </is>
      </c>
      <c r="AI299" s="17" t="n">
        <v>1</v>
      </c>
      <c r="AJ299" s="24" t="n">
        <v>46485</v>
      </c>
      <c r="AK299" s="17" t="inlineStr"/>
      <c r="AL299" s="17" t="inlineStr">
        <is>
          <t>Y</t>
        </is>
      </c>
      <c r="AM299" s="17" t="inlineStr">
        <is>
          <t>원료 제조로 시험실 관리 필요</t>
        </is>
      </c>
      <c r="AN299" s="17" t="inlineStr">
        <is>
          <t>미확인</t>
        </is>
      </c>
      <c r="AO299" s="17" t="inlineStr">
        <is>
          <t>미확인</t>
        </is>
      </c>
      <c r="AP299" s="17" t="inlineStr">
        <is>
          <t>미확인</t>
        </is>
      </c>
      <c r="AQ299" s="17" t="inlineStr">
        <is>
          <t>담당자 파악 후 접촉</t>
        </is>
      </c>
      <c r="AR299" s="17" t="inlineStr">
        <is>
          <t>2026-07-05</t>
        </is>
      </c>
      <c r="AS299" s="17" t="inlineStr">
        <is>
          <t>C(부분확인)</t>
        </is>
      </c>
      <c r="AT299" s="17" t="n">
        <v>90</v>
      </c>
      <c r="AU299" s="17" t="inlineStr"/>
      <c r="AV299" s="17" t="inlineStr"/>
    </row>
    <row r="300">
      <c r="A300" s="27" t="inlineStr">
        <is>
          <t>Tier C</t>
        </is>
      </c>
      <c r="B300" s="17" t="n">
        <v>13</v>
      </c>
      <c r="C300" s="17" t="inlineStr">
        <is>
          <t>주식회사뉴큐어엠</t>
        </is>
      </c>
      <c r="D300" s="17" t="inlineStr">
        <is>
          <t>주식회사뉴큐어엠</t>
        </is>
      </c>
      <c r="E300" s="17" t="inlineStr">
        <is>
          <t>인천광역시</t>
        </is>
      </c>
      <c r="F300" s="17" t="inlineStr">
        <is>
          <t>남동구</t>
        </is>
      </c>
      <c r="G300" s="17" t="n">
        <v>1</v>
      </c>
      <c r="H300" s="20" t="inlineStr">
        <is>
          <t>Y</t>
        </is>
      </c>
      <c r="I300" s="17" t="inlineStr"/>
      <c r="J300" s="17" t="inlineStr">
        <is>
          <t>Y</t>
        </is>
      </c>
      <c r="K300" s="17" t="inlineStr"/>
      <c r="L300" s="22" t="inlineStr">
        <is>
          <t>미확인</t>
        </is>
      </c>
      <c r="M300" s="22" t="inlineStr">
        <is>
          <t>미확인</t>
        </is>
      </c>
      <c r="N300" s="22" t="inlineStr">
        <is>
          <t>미확인</t>
        </is>
      </c>
      <c r="O300" s="22" t="inlineStr">
        <is>
          <t>미확인</t>
        </is>
      </c>
      <c r="P300" s="17" t="inlineStr">
        <is>
          <t>QMS+LIMS</t>
        </is>
      </c>
      <c r="Q300" s="22" t="inlineStr">
        <is>
          <t>미확인</t>
        </is>
      </c>
      <c r="R300" s="22" t="inlineStr">
        <is>
          <t>미확인</t>
        </is>
      </c>
      <c r="S300" s="17" t="inlineStr">
        <is>
          <t>Tier D</t>
        </is>
      </c>
      <c r="T300" s="17" t="n">
        <v>12</v>
      </c>
      <c r="U300" s="17" t="inlineStr">
        <is>
          <t>C294</t>
        </is>
      </c>
      <c r="V300" s="17" t="inlineStr">
        <is>
          <t>뉴큐어엠</t>
        </is>
      </c>
      <c r="W300" s="17" t="inlineStr"/>
      <c r="X300" s="17" t="inlineStr"/>
      <c r="Y300" s="23" t="inlineStr"/>
      <c r="Z300" s="17" t="inlineStr">
        <is>
          <t>기도연</t>
        </is>
      </c>
      <c r="AA300" s="17" t="inlineStr"/>
      <c r="AB300" s="17" t="inlineStr">
        <is>
          <t>032-460-9032</t>
        </is>
      </c>
      <c r="AC300" s="17" t="inlineStr">
        <is>
          <t>미확인</t>
        </is>
      </c>
      <c r="AD300" s="17" t="inlineStr">
        <is>
          <t>Y</t>
        </is>
      </c>
      <c r="AE300" s="17" t="inlineStr">
        <is>
          <t>P353</t>
        </is>
      </c>
      <c r="AF300" s="17" t="inlineStr">
        <is>
          <t>인천광역시 남동구 남동대로774번길 24 뇌과학연구소 (구월동)</t>
        </is>
      </c>
      <c r="AG300" s="17" t="inlineStr">
        <is>
          <t>완제의약품</t>
        </is>
      </c>
      <c r="AH300" s="17" t="inlineStr">
        <is>
          <t>무균-일반제제(방사성의약품)-주사제(주사제)</t>
        </is>
      </c>
      <c r="AI300" s="17" t="n">
        <v>1</v>
      </c>
      <c r="AJ300" s="24" t="n">
        <v>46586</v>
      </c>
      <c r="AK300" s="17" t="inlineStr"/>
      <c r="AL300" s="17" t="inlineStr"/>
      <c r="AM300" s="17" t="inlineStr">
        <is>
          <t>무균/바이오 제조로 품질관리 난도 높음</t>
        </is>
      </c>
      <c r="AN300" s="17" t="inlineStr">
        <is>
          <t>미확인</t>
        </is>
      </c>
      <c r="AO300" s="17" t="inlineStr">
        <is>
          <t>미확인</t>
        </is>
      </c>
      <c r="AP300" s="17" t="inlineStr">
        <is>
          <t>미확인</t>
        </is>
      </c>
      <c r="AQ300" s="17" t="inlineStr">
        <is>
          <t>담당자 파악 후 접촉</t>
        </is>
      </c>
      <c r="AR300" s="17" t="inlineStr">
        <is>
          <t>2026-07-05</t>
        </is>
      </c>
      <c r="AS300" s="17" t="inlineStr">
        <is>
          <t>C(부분확인)</t>
        </is>
      </c>
      <c r="AT300" s="17" t="n">
        <v>90</v>
      </c>
      <c r="AU300" s="17" t="inlineStr"/>
      <c r="AV300" s="17" t="inlineStr"/>
    </row>
    <row r="301">
      <c r="A301" s="27" t="inlineStr">
        <is>
          <t>Tier C</t>
        </is>
      </c>
      <c r="B301" s="17" t="n">
        <v>13</v>
      </c>
      <c r="C301" s="17" t="inlineStr">
        <is>
          <t>주식회사제노스</t>
        </is>
      </c>
      <c r="D301" s="17" t="inlineStr">
        <is>
          <t>제노스 의약품 제조소</t>
        </is>
      </c>
      <c r="E301" s="17" t="inlineStr">
        <is>
          <t>경기도</t>
        </is>
      </c>
      <c r="F301" s="17" t="inlineStr">
        <is>
          <t>수원시</t>
        </is>
      </c>
      <c r="G301" s="17" t="n">
        <v>1</v>
      </c>
      <c r="H301" s="20" t="inlineStr">
        <is>
          <t>Y</t>
        </is>
      </c>
      <c r="I301" s="17" t="inlineStr"/>
      <c r="J301" s="17" t="inlineStr">
        <is>
          <t>Y</t>
        </is>
      </c>
      <c r="K301" s="17" t="inlineStr"/>
      <c r="L301" s="22" t="inlineStr">
        <is>
          <t>미확인</t>
        </is>
      </c>
      <c r="M301" s="22" t="inlineStr">
        <is>
          <t>미확인</t>
        </is>
      </c>
      <c r="N301" s="22" t="inlineStr">
        <is>
          <t>미확인</t>
        </is>
      </c>
      <c r="O301" s="22" t="inlineStr">
        <is>
          <t>미확인</t>
        </is>
      </c>
      <c r="P301" s="17" t="inlineStr">
        <is>
          <t>QMS+LIMS</t>
        </is>
      </c>
      <c r="Q301" s="22" t="inlineStr">
        <is>
          <t>미확인</t>
        </is>
      </c>
      <c r="R301" s="22" t="inlineStr">
        <is>
          <t>미확인</t>
        </is>
      </c>
      <c r="S301" s="17" t="inlineStr">
        <is>
          <t>Tier D</t>
        </is>
      </c>
      <c r="T301" s="17" t="n">
        <v>12</v>
      </c>
      <c r="U301" s="17" t="inlineStr">
        <is>
          <t>C023</t>
        </is>
      </c>
      <c r="V301" s="17" t="inlineStr">
        <is>
          <t>제노스</t>
        </is>
      </c>
      <c r="W301" s="17" t="inlineStr"/>
      <c r="X301" s="17" t="inlineStr"/>
      <c r="Y301" s="23" t="inlineStr"/>
      <c r="Z301" s="17" t="inlineStr">
        <is>
          <t>정성민</t>
        </is>
      </c>
      <c r="AA301" s="17" t="inlineStr"/>
      <c r="AB301" s="17" t="inlineStr">
        <is>
          <t>031-888-5100</t>
        </is>
      </c>
      <c r="AC301" s="17" t="inlineStr">
        <is>
          <t>미확인</t>
        </is>
      </c>
      <c r="AD301" s="17" t="inlineStr">
        <is>
          <t>Y</t>
        </is>
      </c>
      <c r="AE301" s="17" t="inlineStr">
        <is>
          <t>P023</t>
        </is>
      </c>
      <c r="AF301" s="17" t="inlineStr">
        <is>
          <t>경기도 수원시 영통구 창룡대로256번길 76 덴티움지식산업센터 지하 1층 일부</t>
        </is>
      </c>
      <c r="AG301" s="17" t="inlineStr">
        <is>
          <t>완제의약품</t>
        </is>
      </c>
      <c r="AH301" s="17" t="inlineStr">
        <is>
          <t>무균-일반제제-주사제(주사제)</t>
        </is>
      </c>
      <c r="AI301" s="17" t="n">
        <v>1</v>
      </c>
      <c r="AJ301" s="24" t="n">
        <v>47276</v>
      </c>
      <c r="AK301" s="17" t="inlineStr"/>
      <c r="AL301" s="17" t="inlineStr"/>
      <c r="AM301" s="17" t="inlineStr">
        <is>
          <t>무균/바이오 제조로 품질관리 난도 높음</t>
        </is>
      </c>
      <c r="AN301" s="17" t="inlineStr">
        <is>
          <t>미확인</t>
        </is>
      </c>
      <c r="AO301" s="17" t="inlineStr">
        <is>
          <t>미확인</t>
        </is>
      </c>
      <c r="AP301" s="17" t="inlineStr">
        <is>
          <t>미확인</t>
        </is>
      </c>
      <c r="AQ301" s="17" t="inlineStr">
        <is>
          <t>담당자 파악 후 접촉</t>
        </is>
      </c>
      <c r="AR301" s="17" t="inlineStr">
        <is>
          <t>2026-07-05</t>
        </is>
      </c>
      <c r="AS301" s="17" t="inlineStr">
        <is>
          <t>C(부분확인)</t>
        </is>
      </c>
      <c r="AT301" s="17" t="n">
        <v>90</v>
      </c>
      <c r="AU301" s="17" t="inlineStr"/>
      <c r="AV301" s="17" t="inlineStr"/>
    </row>
    <row r="302">
      <c r="A302" s="27" t="inlineStr">
        <is>
          <t>Tier C</t>
        </is>
      </c>
      <c r="B302" s="17" t="n">
        <v>13</v>
      </c>
      <c r="C302" s="17" t="inlineStr">
        <is>
          <t>주식회사제뉴원사이언스</t>
        </is>
      </c>
      <c r="D302" s="17" t="inlineStr">
        <is>
          <t>세종</t>
        </is>
      </c>
      <c r="E302" s="17" t="inlineStr">
        <is>
          <t>세종특별자치시</t>
        </is>
      </c>
      <c r="F302" s="17" t="inlineStr">
        <is>
          <t>세종특별자치시</t>
        </is>
      </c>
      <c r="G302" s="17" t="n">
        <v>1</v>
      </c>
      <c r="H302" s="20" t="inlineStr">
        <is>
          <t>Y</t>
        </is>
      </c>
      <c r="I302" s="17" t="inlineStr"/>
      <c r="J302" s="17" t="inlineStr">
        <is>
          <t>Y</t>
        </is>
      </c>
      <c r="K302" s="17" t="inlineStr"/>
      <c r="L302" s="22" t="inlineStr">
        <is>
          <t>미확인</t>
        </is>
      </c>
      <c r="M302" s="22" t="inlineStr">
        <is>
          <t>미확인</t>
        </is>
      </c>
      <c r="N302" s="22" t="inlineStr">
        <is>
          <t>미확인</t>
        </is>
      </c>
      <c r="O302" s="22" t="inlineStr">
        <is>
          <t>미확인</t>
        </is>
      </c>
      <c r="P302" s="17" t="inlineStr">
        <is>
          <t>QMS+LIMS</t>
        </is>
      </c>
      <c r="Q302" s="22" t="inlineStr">
        <is>
          <t>미확인</t>
        </is>
      </c>
      <c r="R302" s="22" t="inlineStr">
        <is>
          <t>미확인</t>
        </is>
      </c>
      <c r="S302" s="17" t="inlineStr">
        <is>
          <t>Tier D</t>
        </is>
      </c>
      <c r="T302" s="17" t="n">
        <v>12</v>
      </c>
      <c r="U302" s="17" t="inlineStr">
        <is>
          <t>C148</t>
        </is>
      </c>
      <c r="V302" s="17" t="inlineStr">
        <is>
          <t>제뉴원사이언스</t>
        </is>
      </c>
      <c r="W302" s="17" t="inlineStr"/>
      <c r="X302" s="17" t="inlineStr"/>
      <c r="Y302" s="23" t="inlineStr"/>
      <c r="Z302" s="17" t="inlineStr">
        <is>
          <t>전광현</t>
        </is>
      </c>
      <c r="AA302" s="17" t="inlineStr"/>
      <c r="AB302" s="17" t="inlineStr">
        <is>
          <t>080-601-0080</t>
        </is>
      </c>
      <c r="AC302" s="17" t="inlineStr">
        <is>
          <t>미확인</t>
        </is>
      </c>
      <c r="AD302" s="17" t="inlineStr">
        <is>
          <t>Y</t>
        </is>
      </c>
      <c r="AE302" s="17" t="inlineStr">
        <is>
          <t>P158</t>
        </is>
      </c>
      <c r="AF302" s="17" t="inlineStr">
        <is>
          <t>세종특별자치시 전의면 산단길 245</t>
        </is>
      </c>
      <c r="AG302" s="17" t="inlineStr">
        <is>
          <t>완제의약품</t>
        </is>
      </c>
      <c r="AH302" s="17" t="inlineStr">
        <is>
          <t>비무균-일반제제-내용고형제(정제, 캡슐제, 산제), 무균-일반제제-주사제(수액제, 동결건조주사제), 비무균-일반제제-내용액제(경구용액제, 시럽제(액상), 현탁제), 비무균-일반제제-외용액제(외용액제, 로션제, 펌프스프레이제), 비무균-일반제제-연고제(연고제, 크림제, 겔제)</t>
        </is>
      </c>
      <c r="AI302" s="17" t="n">
        <v>1</v>
      </c>
      <c r="AJ302" s="24" t="n">
        <v>46969</v>
      </c>
      <c r="AK302" s="17" t="inlineStr"/>
      <c r="AL302" s="17" t="inlineStr"/>
      <c r="AM302" s="17" t="inlineStr">
        <is>
          <t>무균/바이오 제조로 품질관리 난도 높음</t>
        </is>
      </c>
      <c r="AN302" s="17" t="inlineStr">
        <is>
          <t>미확인</t>
        </is>
      </c>
      <c r="AO302" s="17" t="inlineStr">
        <is>
          <t>미확인</t>
        </is>
      </c>
      <c r="AP302" s="17" t="inlineStr">
        <is>
          <t>미확인</t>
        </is>
      </c>
      <c r="AQ302" s="17" t="inlineStr">
        <is>
          <t>담당자 파악 후 접촉</t>
        </is>
      </c>
      <c r="AR302" s="17" t="inlineStr">
        <is>
          <t>2026-07-05</t>
        </is>
      </c>
      <c r="AS302" s="17" t="inlineStr">
        <is>
          <t>C(부분확인)</t>
        </is>
      </c>
      <c r="AT302" s="17" t="n">
        <v>90</v>
      </c>
      <c r="AU302" s="17" t="inlineStr"/>
      <c r="AV302" s="17" t="inlineStr"/>
    </row>
    <row r="303">
      <c r="A303" s="27" t="inlineStr">
        <is>
          <t>Tier C</t>
        </is>
      </c>
      <c r="B303" s="17" t="n">
        <v>13</v>
      </c>
      <c r="C303" s="17" t="inlineStr">
        <is>
          <t>진양제약(주)</t>
        </is>
      </c>
      <c r="D303" s="17" t="inlineStr">
        <is>
          <t>강원도</t>
        </is>
      </c>
      <c r="E303" s="17" t="inlineStr">
        <is>
          <t>강원특별자치도</t>
        </is>
      </c>
      <c r="F303" s="17" t="inlineStr">
        <is>
          <t>원주시</t>
        </is>
      </c>
      <c r="G303" s="17" t="n">
        <v>1</v>
      </c>
      <c r="H303" s="17" t="inlineStr"/>
      <c r="I303" s="17" t="inlineStr"/>
      <c r="J303" s="17" t="inlineStr">
        <is>
          <t>Y</t>
        </is>
      </c>
      <c r="K303" s="17" t="inlineStr"/>
      <c r="L303" s="22" t="inlineStr">
        <is>
          <t>미확인</t>
        </is>
      </c>
      <c r="M303" s="22" t="inlineStr">
        <is>
          <t>미확인</t>
        </is>
      </c>
      <c r="N303" s="22" t="inlineStr">
        <is>
          <t>미확인</t>
        </is>
      </c>
      <c r="O303" s="22" t="inlineStr">
        <is>
          <t>미확인</t>
        </is>
      </c>
      <c r="P303" s="17" t="inlineStr">
        <is>
          <t>EDMS</t>
        </is>
      </c>
      <c r="Q303" s="22" t="inlineStr">
        <is>
          <t>미확인</t>
        </is>
      </c>
      <c r="R303" s="22" t="inlineStr">
        <is>
          <t>미확인</t>
        </is>
      </c>
      <c r="S303" s="17" t="inlineStr">
        <is>
          <t>Tier D</t>
        </is>
      </c>
      <c r="T303" s="17" t="n">
        <v>4</v>
      </c>
      <c r="U303" s="17" t="inlineStr">
        <is>
          <t>C192</t>
        </is>
      </c>
      <c r="V303" s="17" t="inlineStr">
        <is>
          <t>진양제약</t>
        </is>
      </c>
      <c r="W303" s="17" t="inlineStr">
        <is>
          <t>Y</t>
        </is>
      </c>
      <c r="X303" s="17" t="inlineStr">
        <is>
          <t>코스닥</t>
        </is>
      </c>
      <c r="Y303" s="23" t="inlineStr">
        <is>
          <t>007370</t>
        </is>
      </c>
      <c r="Z303" s="17" t="inlineStr">
        <is>
          <t>최재준</t>
        </is>
      </c>
      <c r="AA303" s="17" t="inlineStr">
        <is>
          <t>http://www.jinyangpharm.co.kr</t>
        </is>
      </c>
      <c r="AB303" s="17" t="inlineStr">
        <is>
          <t>미확인</t>
        </is>
      </c>
      <c r="AC303" s="17" t="inlineStr">
        <is>
          <t>미확인</t>
        </is>
      </c>
      <c r="AD303" s="17" t="inlineStr">
        <is>
          <t>Y</t>
        </is>
      </c>
      <c r="AE303" s="17" t="inlineStr">
        <is>
          <t>P207</t>
        </is>
      </c>
      <c r="AF303" s="17" t="inlineStr">
        <is>
          <t>강원특별자치도 원주시 지정면 신평로 34</t>
        </is>
      </c>
      <c r="AG303" s="17" t="inlineStr">
        <is>
          <t>완제의약품</t>
        </is>
      </c>
      <c r="AH303" s="17" t="inlineStr">
        <is>
          <t>비무균-일반제제-내용고형제(정제, 캡슐제, 시럽제(고형))</t>
        </is>
      </c>
      <c r="AI303" s="17" t="n">
        <v>1</v>
      </c>
      <c r="AJ303" s="24" t="n">
        <v>46912</v>
      </c>
      <c r="AK303" s="17" t="inlineStr"/>
      <c r="AL303" s="17" t="inlineStr"/>
      <c r="AM303" s="17" t="inlineStr">
        <is>
          <t>기본 문서관리 수요</t>
        </is>
      </c>
      <c r="AN303" s="17" t="inlineStr">
        <is>
          <t>미확인</t>
        </is>
      </c>
      <c r="AO303" s="17" t="inlineStr">
        <is>
          <t>미확인</t>
        </is>
      </c>
      <c r="AP303" s="17" t="inlineStr">
        <is>
          <t>미확인</t>
        </is>
      </c>
      <c r="AQ303" s="17" t="inlineStr">
        <is>
          <t>담당자 파악 후 접촉</t>
        </is>
      </c>
      <c r="AR303" s="17" t="inlineStr">
        <is>
          <t>2026-07-05</t>
        </is>
      </c>
      <c r="AS303" s="17" t="inlineStr">
        <is>
          <t>C(부분확인)</t>
        </is>
      </c>
      <c r="AT303" s="17" t="n">
        <v>90</v>
      </c>
      <c r="AU303" s="17" t="inlineStr"/>
      <c r="AV303" s="17" t="inlineStr"/>
    </row>
    <row r="304">
      <c r="A304" s="27" t="inlineStr">
        <is>
          <t>Tier C</t>
        </is>
      </c>
      <c r="B304" s="17" t="n">
        <v>13</v>
      </c>
      <c r="C304" s="17" t="inlineStr">
        <is>
          <t>타나베파마코리아주식회사</t>
        </is>
      </c>
      <c r="D304" s="17" t="inlineStr">
        <is>
          <t>화성</t>
        </is>
      </c>
      <c r="E304" s="17" t="inlineStr">
        <is>
          <t>경기도</t>
        </is>
      </c>
      <c r="F304" s="17" t="inlineStr">
        <is>
          <t>화성시</t>
        </is>
      </c>
      <c r="G304" s="17" t="n">
        <v>1</v>
      </c>
      <c r="H304" s="20" t="inlineStr">
        <is>
          <t>Y</t>
        </is>
      </c>
      <c r="I304" s="17" t="inlineStr"/>
      <c r="J304" s="17" t="inlineStr">
        <is>
          <t>Y</t>
        </is>
      </c>
      <c r="K304" s="17" t="inlineStr"/>
      <c r="L304" s="22" t="inlineStr">
        <is>
          <t>미확인</t>
        </is>
      </c>
      <c r="M304" s="22" t="inlineStr">
        <is>
          <t>미확인</t>
        </is>
      </c>
      <c r="N304" s="22" t="inlineStr">
        <is>
          <t>미확인</t>
        </is>
      </c>
      <c r="O304" s="22" t="inlineStr">
        <is>
          <t>미확인</t>
        </is>
      </c>
      <c r="P304" s="17" t="inlineStr">
        <is>
          <t>QMS+LIMS</t>
        </is>
      </c>
      <c r="Q304" s="22" t="inlineStr">
        <is>
          <t>미확인</t>
        </is>
      </c>
      <c r="R304" s="22" t="inlineStr">
        <is>
          <t>미확인</t>
        </is>
      </c>
      <c r="S304" s="17" t="inlineStr">
        <is>
          <t>Tier D</t>
        </is>
      </c>
      <c r="T304" s="17" t="n">
        <v>12</v>
      </c>
      <c r="U304" s="17" t="inlineStr">
        <is>
          <t>C084</t>
        </is>
      </c>
      <c r="V304" s="17" t="inlineStr">
        <is>
          <t>타나베파마코리아</t>
        </is>
      </c>
      <c r="W304" s="17" t="inlineStr"/>
      <c r="X304" s="17" t="inlineStr"/>
      <c r="Y304" s="23" t="inlineStr"/>
      <c r="Z304" s="17" t="inlineStr">
        <is>
          <t>이원규</t>
        </is>
      </c>
      <c r="AA304" s="17" t="inlineStr"/>
      <c r="AB304" s="17" t="inlineStr">
        <is>
          <t>02-347-5104</t>
        </is>
      </c>
      <c r="AC304" s="17" t="inlineStr">
        <is>
          <t>미확인</t>
        </is>
      </c>
      <c r="AD304" s="17" t="inlineStr">
        <is>
          <t>Y</t>
        </is>
      </c>
      <c r="AE304" s="17" t="inlineStr">
        <is>
          <t>P086</t>
        </is>
      </c>
      <c r="AF304" s="17" t="inlineStr">
        <is>
          <t>경기도 화성시 만세구 향남읍 제약공단2길 80</t>
        </is>
      </c>
      <c r="AG304" s="17" t="inlineStr">
        <is>
          <t>완제의약품</t>
        </is>
      </c>
      <c r="AH304" s="17" t="inlineStr">
        <is>
          <t>무균-일반제제-주사제(주사제)</t>
        </is>
      </c>
      <c r="AI304" s="17" t="n">
        <v>1</v>
      </c>
      <c r="AJ304" s="24" t="n">
        <v>47149</v>
      </c>
      <c r="AK304" s="17" t="inlineStr"/>
      <c r="AL304" s="17" t="inlineStr"/>
      <c r="AM304" s="17" t="inlineStr">
        <is>
          <t>무균/바이오 제조로 품질관리 난도 높음</t>
        </is>
      </c>
      <c r="AN304" s="17" t="inlineStr">
        <is>
          <t>미확인</t>
        </is>
      </c>
      <c r="AO304" s="17" t="inlineStr">
        <is>
          <t>미확인</t>
        </is>
      </c>
      <c r="AP304" s="17" t="inlineStr">
        <is>
          <t>미확인</t>
        </is>
      </c>
      <c r="AQ304" s="17" t="inlineStr">
        <is>
          <t>담당자 파악 후 접촉</t>
        </is>
      </c>
      <c r="AR304" s="17" t="inlineStr">
        <is>
          <t>2026-07-05</t>
        </is>
      </c>
      <c r="AS304" s="17" t="inlineStr">
        <is>
          <t>C(부분확인)</t>
        </is>
      </c>
      <c r="AT304" s="17" t="n">
        <v>90</v>
      </c>
      <c r="AU304" s="17" t="inlineStr"/>
      <c r="AV304" s="17" t="inlineStr"/>
    </row>
    <row r="305">
      <c r="A305" s="27" t="inlineStr">
        <is>
          <t>Tier C</t>
        </is>
      </c>
      <c r="B305" s="17" t="n">
        <v>13</v>
      </c>
      <c r="C305" s="17" t="inlineStr">
        <is>
          <t>한림제약(주)</t>
        </is>
      </c>
      <c r="D305" s="17" t="inlineStr">
        <is>
          <t>용인</t>
        </is>
      </c>
      <c r="E305" s="17" t="inlineStr">
        <is>
          <t>경기도</t>
        </is>
      </c>
      <c r="F305" s="17" t="inlineStr">
        <is>
          <t>용인시</t>
        </is>
      </c>
      <c r="G305" s="17" t="n">
        <v>1</v>
      </c>
      <c r="H305" s="20" t="inlineStr">
        <is>
          <t>Y</t>
        </is>
      </c>
      <c r="I305" s="17" t="inlineStr"/>
      <c r="J305" s="17" t="inlineStr">
        <is>
          <t>Y</t>
        </is>
      </c>
      <c r="K305" s="17" t="inlineStr"/>
      <c r="L305" s="22" t="inlineStr">
        <is>
          <t>미확인</t>
        </is>
      </c>
      <c r="M305" s="22" t="inlineStr">
        <is>
          <t>미확인</t>
        </is>
      </c>
      <c r="N305" s="22" t="inlineStr">
        <is>
          <t>미확인</t>
        </is>
      </c>
      <c r="O305" s="22" t="inlineStr">
        <is>
          <t>미확인</t>
        </is>
      </c>
      <c r="P305" s="17" t="inlineStr">
        <is>
          <t>QMS+LIMS</t>
        </is>
      </c>
      <c r="Q305" s="22" t="inlineStr">
        <is>
          <t>미확인</t>
        </is>
      </c>
      <c r="R305" s="22" t="inlineStr">
        <is>
          <t>미확인</t>
        </is>
      </c>
      <c r="S305" s="17" t="inlineStr">
        <is>
          <t>Tier D</t>
        </is>
      </c>
      <c r="T305" s="17" t="n">
        <v>12</v>
      </c>
      <c r="U305" s="17" t="inlineStr">
        <is>
          <t>C182</t>
        </is>
      </c>
      <c r="V305" s="17" t="inlineStr">
        <is>
          <t>한림제약</t>
        </is>
      </c>
      <c r="W305" s="17" t="inlineStr"/>
      <c r="X305" s="17" t="inlineStr"/>
      <c r="Y305" s="23" t="inlineStr"/>
      <c r="Z305" s="17" t="inlineStr">
        <is>
          <t>장규열</t>
        </is>
      </c>
      <c r="AA305" s="17" t="inlineStr"/>
      <c r="AB305" s="17" t="inlineStr">
        <is>
          <t>02-3489-6000</t>
        </is>
      </c>
      <c r="AC305" s="17" t="inlineStr">
        <is>
          <t>미확인</t>
        </is>
      </c>
      <c r="AD305" s="17" t="inlineStr">
        <is>
          <t>Y</t>
        </is>
      </c>
      <c r="AE305" s="17" t="inlineStr">
        <is>
          <t>P195</t>
        </is>
      </c>
      <c r="AF305" s="17" t="inlineStr">
        <is>
          <t>경기도 용인시 처인구 영문로 2-27</t>
        </is>
      </c>
      <c r="AG305" s="17" t="inlineStr">
        <is>
          <t>완제의약품</t>
        </is>
      </c>
      <c r="AH305" s="17" t="inlineStr">
        <is>
          <t>비무균-일반제제-내용고형제(정제, 캡슐제), 무균-일반제제-주사제(주사제, 동결건조주사제), 무균-일반제제-점안제(점안제), 비무균-일반제제-내용액제(경구용액제, 엘릭서제, 점비액제), 무균-일반제제-연고제(안연고제)</t>
        </is>
      </c>
      <c r="AI305" s="17" t="n">
        <v>1</v>
      </c>
      <c r="AJ305" s="24" t="n">
        <v>46927</v>
      </c>
      <c r="AK305" s="17" t="inlineStr"/>
      <c r="AL305" s="17" t="inlineStr"/>
      <c r="AM305" s="17" t="inlineStr">
        <is>
          <t>무균/바이오 제조로 품질관리 난도 높음</t>
        </is>
      </c>
      <c r="AN305" s="17" t="inlineStr">
        <is>
          <t>미확인</t>
        </is>
      </c>
      <c r="AO305" s="17" t="inlineStr">
        <is>
          <t>미확인</t>
        </is>
      </c>
      <c r="AP305" s="17" t="inlineStr">
        <is>
          <t>미확인</t>
        </is>
      </c>
      <c r="AQ305" s="17" t="inlineStr">
        <is>
          <t>담당자 파악 후 접촉</t>
        </is>
      </c>
      <c r="AR305" s="17" t="inlineStr">
        <is>
          <t>2026-07-05</t>
        </is>
      </c>
      <c r="AS305" s="17" t="inlineStr">
        <is>
          <t>C(부분확인)</t>
        </is>
      </c>
      <c r="AT305" s="17" t="n">
        <v>90</v>
      </c>
      <c r="AU305" s="17" t="inlineStr"/>
      <c r="AV305" s="17" t="inlineStr"/>
    </row>
    <row r="306">
      <c r="A306" s="27" t="inlineStr">
        <is>
          <t>Tier C</t>
        </is>
      </c>
      <c r="B306" s="17" t="n">
        <v>13</v>
      </c>
      <c r="C306" s="17" t="inlineStr">
        <is>
          <t>현대약품(주)</t>
        </is>
      </c>
      <c r="D306" s="17" t="inlineStr">
        <is>
          <t>천안</t>
        </is>
      </c>
      <c r="E306" s="17" t="inlineStr">
        <is>
          <t>충청남도</t>
        </is>
      </c>
      <c r="F306" s="17" t="inlineStr">
        <is>
          <t>천안시</t>
        </is>
      </c>
      <c r="G306" s="17" t="n">
        <v>1</v>
      </c>
      <c r="H306" s="17" t="inlineStr"/>
      <c r="I306" s="17" t="inlineStr"/>
      <c r="J306" s="17" t="inlineStr">
        <is>
          <t>Y</t>
        </is>
      </c>
      <c r="K306" s="17" t="inlineStr"/>
      <c r="L306" s="22" t="inlineStr">
        <is>
          <t>미확인</t>
        </is>
      </c>
      <c r="M306" s="22" t="inlineStr">
        <is>
          <t>미확인</t>
        </is>
      </c>
      <c r="N306" s="22" t="inlineStr">
        <is>
          <t>미확인</t>
        </is>
      </c>
      <c r="O306" s="22" t="inlineStr">
        <is>
          <t>미확인</t>
        </is>
      </c>
      <c r="P306" s="17" t="inlineStr">
        <is>
          <t>EDMS</t>
        </is>
      </c>
      <c r="Q306" s="22" t="inlineStr">
        <is>
          <t>미확인</t>
        </is>
      </c>
      <c r="R306" s="22" t="inlineStr">
        <is>
          <t>미확인</t>
        </is>
      </c>
      <c r="S306" s="17" t="inlineStr">
        <is>
          <t>Tier D</t>
        </is>
      </c>
      <c r="T306" s="17" t="n">
        <v>7</v>
      </c>
      <c r="U306" s="17" t="inlineStr">
        <is>
          <t>C106</t>
        </is>
      </c>
      <c r="V306" s="17" t="inlineStr">
        <is>
          <t>현대약품</t>
        </is>
      </c>
      <c r="W306" s="17" t="inlineStr">
        <is>
          <t>Y</t>
        </is>
      </c>
      <c r="X306" s="17" t="inlineStr">
        <is>
          <t>유가</t>
        </is>
      </c>
      <c r="Y306" s="23" t="inlineStr">
        <is>
          <t>004310</t>
        </is>
      </c>
      <c r="Z306" s="17" t="inlineStr">
        <is>
          <t>이상준</t>
        </is>
      </c>
      <c r="AA306" s="17" t="inlineStr">
        <is>
          <t>http://www.hyundaipharm.co.kr</t>
        </is>
      </c>
      <c r="AB306" s="17" t="inlineStr">
        <is>
          <t>041-570-5114</t>
        </is>
      </c>
      <c r="AC306" s="17" t="inlineStr">
        <is>
          <t>미확인</t>
        </is>
      </c>
      <c r="AD306" s="17" t="inlineStr">
        <is>
          <t>Y</t>
        </is>
      </c>
      <c r="AE306" s="17" t="inlineStr">
        <is>
          <t>P111</t>
        </is>
      </c>
      <c r="AF306" s="17" t="inlineStr">
        <is>
          <t>충청남도 천안시 동남구 풍세면 잔다리길 55</t>
        </is>
      </c>
      <c r="AG306" s="17" t="inlineStr">
        <is>
          <t>완제의약품</t>
        </is>
      </c>
      <c r="AH306" s="17" t="inlineStr">
        <is>
          <t>비무균-일반제제-내용고형제(정제, 캡슐제, 산제), 비무균-일반제제-외용액제(외용액제, 펌프스프레이제)</t>
        </is>
      </c>
      <c r="AI306" s="17" t="n">
        <v>1</v>
      </c>
      <c r="AJ306" s="24" t="n">
        <v>47060</v>
      </c>
      <c r="AK306" s="17" t="inlineStr"/>
      <c r="AL306" s="17" t="inlineStr"/>
      <c r="AM306" s="17" t="inlineStr">
        <is>
          <t>기본 문서관리 수요</t>
        </is>
      </c>
      <c r="AN306" s="17" t="inlineStr">
        <is>
          <t>미확인</t>
        </is>
      </c>
      <c r="AO306" s="17" t="inlineStr">
        <is>
          <t>미확인</t>
        </is>
      </c>
      <c r="AP306" s="17" t="inlineStr">
        <is>
          <t>미확인</t>
        </is>
      </c>
      <c r="AQ306" s="17" t="inlineStr">
        <is>
          <t>담당자 파악 후 접촉</t>
        </is>
      </c>
      <c r="AR306" s="17" t="inlineStr">
        <is>
          <t>2026-07-05</t>
        </is>
      </c>
      <c r="AS306" s="17" t="inlineStr">
        <is>
          <t>C(부분확인)</t>
        </is>
      </c>
      <c r="AT306" s="17" t="n">
        <v>90</v>
      </c>
      <c r="AU306" s="17" t="inlineStr"/>
      <c r="AV306" s="17" t="inlineStr"/>
    </row>
    <row r="307">
      <c r="A307" s="27" t="inlineStr">
        <is>
          <t>Tier C</t>
        </is>
      </c>
      <c r="B307" s="17" t="n">
        <v>13</v>
      </c>
      <c r="C307" s="17" t="inlineStr">
        <is>
          <t>화순전남대학병원</t>
        </is>
      </c>
      <c r="D307" s="17" t="inlineStr">
        <is>
          <t>화순군</t>
        </is>
      </c>
      <c r="E307" s="17" t="inlineStr">
        <is>
          <t>전라남도</t>
        </is>
      </c>
      <c r="F307" s="17" t="inlineStr">
        <is>
          <t>화순군</t>
        </is>
      </c>
      <c r="G307" s="17" t="n">
        <v>1</v>
      </c>
      <c r="H307" s="20" t="inlineStr">
        <is>
          <t>Y</t>
        </is>
      </c>
      <c r="I307" s="17" t="inlineStr"/>
      <c r="J307" s="17" t="inlineStr">
        <is>
          <t>Y</t>
        </is>
      </c>
      <c r="K307" s="17" t="inlineStr"/>
      <c r="L307" s="22" t="inlineStr">
        <is>
          <t>미확인</t>
        </is>
      </c>
      <c r="M307" s="22" t="inlineStr">
        <is>
          <t>미확인</t>
        </is>
      </c>
      <c r="N307" s="22" t="inlineStr">
        <is>
          <t>미확인</t>
        </is>
      </c>
      <c r="O307" s="22" t="inlineStr">
        <is>
          <t>미확인</t>
        </is>
      </c>
      <c r="P307" s="17" t="inlineStr">
        <is>
          <t>QMS+LIMS</t>
        </is>
      </c>
      <c r="Q307" s="22" t="inlineStr">
        <is>
          <t>미확인</t>
        </is>
      </c>
      <c r="R307" s="22" t="inlineStr">
        <is>
          <t>미확인</t>
        </is>
      </c>
      <c r="S307" s="17" t="inlineStr">
        <is>
          <t>Tier D</t>
        </is>
      </c>
      <c r="T307" s="17" t="n">
        <v>12</v>
      </c>
      <c r="U307" s="17" t="inlineStr">
        <is>
          <t>C035</t>
        </is>
      </c>
      <c r="V307" s="17" t="inlineStr">
        <is>
          <t>화순전남대학병원</t>
        </is>
      </c>
      <c r="W307" s="17" t="inlineStr"/>
      <c r="X307" s="17" t="inlineStr"/>
      <c r="Y307" s="23" t="inlineStr"/>
      <c r="Z307" s="17" t="inlineStr">
        <is>
          <t>이완식</t>
        </is>
      </c>
      <c r="AA307" s="17" t="inlineStr"/>
      <c r="AB307" s="17" t="inlineStr">
        <is>
          <t>061-379-7262</t>
        </is>
      </c>
      <c r="AC307" s="17" t="inlineStr">
        <is>
          <t>미확인</t>
        </is>
      </c>
      <c r="AD307" s="17" t="inlineStr">
        <is>
          <t>Y</t>
        </is>
      </c>
      <c r="AE307" s="17" t="inlineStr">
        <is>
          <t>P035</t>
        </is>
      </c>
      <c r="AF307" s="17" t="inlineStr">
        <is>
          <t>전라남도 화순군 화순읍 서양로 322 화순전남대학교병원</t>
        </is>
      </c>
      <c r="AG307" s="17" t="inlineStr">
        <is>
          <t>완제의약품</t>
        </is>
      </c>
      <c r="AH307" s="17" t="inlineStr">
        <is>
          <t>무균-일반제제(방사성의약품)-주사제(주사제)</t>
        </is>
      </c>
      <c r="AI307" s="17" t="n">
        <v>1</v>
      </c>
      <c r="AJ307" s="24" t="n">
        <v>47247</v>
      </c>
      <c r="AK307" s="17" t="inlineStr"/>
      <c r="AL307" s="17" t="inlineStr"/>
      <c r="AM307" s="17" t="inlineStr">
        <is>
          <t>무균/바이오 제조로 품질관리 난도 높음</t>
        </is>
      </c>
      <c r="AN307" s="17" t="inlineStr">
        <is>
          <t>미확인</t>
        </is>
      </c>
      <c r="AO307" s="17" t="inlineStr">
        <is>
          <t>미확인</t>
        </is>
      </c>
      <c r="AP307" s="17" t="inlineStr">
        <is>
          <t>미확인</t>
        </is>
      </c>
      <c r="AQ307" s="17" t="inlineStr">
        <is>
          <t>담당자 파악 후 접촉</t>
        </is>
      </c>
      <c r="AR307" s="17" t="inlineStr">
        <is>
          <t>2026-07-05</t>
        </is>
      </c>
      <c r="AS307" s="17" t="inlineStr">
        <is>
          <t>C(부분확인)</t>
        </is>
      </c>
      <c r="AT307" s="17" t="n">
        <v>90</v>
      </c>
      <c r="AU307" s="17" t="inlineStr"/>
      <c r="AV307" s="17" t="inlineStr"/>
    </row>
    <row r="308">
      <c r="A308" s="27" t="inlineStr">
        <is>
          <t>Tier C</t>
        </is>
      </c>
      <c r="B308" s="17" t="n">
        <v>11</v>
      </c>
      <c r="C308" s="17" t="inlineStr">
        <is>
          <t>(주)한국피엠지제약</t>
        </is>
      </c>
      <c r="D308" s="17" t="inlineStr">
        <is>
          <t>시흥</t>
        </is>
      </c>
      <c r="E308" s="17" t="inlineStr">
        <is>
          <t>경기도</t>
        </is>
      </c>
      <c r="F308" s="17" t="inlineStr">
        <is>
          <t>시흥시</t>
        </is>
      </c>
      <c r="G308" s="17" t="n">
        <v>1</v>
      </c>
      <c r="H308" s="17" t="inlineStr"/>
      <c r="I308" s="17" t="inlineStr"/>
      <c r="J308" s="17" t="inlineStr">
        <is>
          <t>Y</t>
        </is>
      </c>
      <c r="K308" s="17" t="inlineStr">
        <is>
          <t>Y</t>
        </is>
      </c>
      <c r="L308" s="22" t="inlineStr">
        <is>
          <t>미확인</t>
        </is>
      </c>
      <c r="M308" s="22" t="inlineStr">
        <is>
          <t>미확인</t>
        </is>
      </c>
      <c r="N308" s="22" t="inlineStr">
        <is>
          <t>미확인</t>
        </is>
      </c>
      <c r="O308" s="22" t="inlineStr">
        <is>
          <t>미확인</t>
        </is>
      </c>
      <c r="P308" s="17" t="inlineStr">
        <is>
          <t>LIMS</t>
        </is>
      </c>
      <c r="Q308" s="22" t="inlineStr">
        <is>
          <t>미확인</t>
        </is>
      </c>
      <c r="R308" s="22" t="inlineStr">
        <is>
          <t>미확인</t>
        </is>
      </c>
      <c r="S308" s="17" t="inlineStr">
        <is>
          <t>Tier D</t>
        </is>
      </c>
      <c r="T308" s="17" t="n">
        <v>4</v>
      </c>
      <c r="U308" s="17" t="inlineStr">
        <is>
          <t>C081</t>
        </is>
      </c>
      <c r="V308" s="17" t="inlineStr">
        <is>
          <t>한국피엠지제약</t>
        </is>
      </c>
      <c r="W308" s="17" t="inlineStr"/>
      <c r="X308" s="17" t="inlineStr"/>
      <c r="Y308" s="23" t="inlineStr"/>
      <c r="Z308" s="17" t="inlineStr">
        <is>
          <t>전영진</t>
        </is>
      </c>
      <c r="AA308" s="17" t="inlineStr"/>
      <c r="AB308" s="17" t="inlineStr">
        <is>
          <t>031-439-5470</t>
        </is>
      </c>
      <c r="AC308" s="17" t="inlineStr">
        <is>
          <t>미확인</t>
        </is>
      </c>
      <c r="AD308" s="17" t="inlineStr">
        <is>
          <t>Y</t>
        </is>
      </c>
      <c r="AE308" s="17" t="inlineStr">
        <is>
          <t>P083</t>
        </is>
      </c>
      <c r="AF308" s="17" t="inlineStr">
        <is>
          <t>경기도 시흥시 경제로 59</t>
        </is>
      </c>
      <c r="AG308" s="17" t="inlineStr">
        <is>
          <t>완제의약품+원료의약품</t>
        </is>
      </c>
      <c r="AH308" s="17" t="inlineStr">
        <is>
          <t>비무균-일반제제-내용고형제(정제, 캡슐제)</t>
        </is>
      </c>
      <c r="AI308" s="17" t="n">
        <v>2</v>
      </c>
      <c r="AJ308" s="24" t="n">
        <v>47156</v>
      </c>
      <c r="AK308" s="17" t="inlineStr"/>
      <c r="AL308" s="17" t="inlineStr"/>
      <c r="AM308" s="17" t="inlineStr">
        <is>
          <t>원료 제조로 시험실 관리 필요</t>
        </is>
      </c>
      <c r="AN308" s="17" t="inlineStr">
        <is>
          <t>미확인</t>
        </is>
      </c>
      <c r="AO308" s="17" t="inlineStr">
        <is>
          <t>미확인</t>
        </is>
      </c>
      <c r="AP308" s="17" t="inlineStr">
        <is>
          <t>미확인</t>
        </is>
      </c>
      <c r="AQ308" s="17" t="inlineStr">
        <is>
          <t>담당자 파악 후 접촉</t>
        </is>
      </c>
      <c r="AR308" s="17" t="inlineStr">
        <is>
          <t>2026-07-05</t>
        </is>
      </c>
      <c r="AS308" s="17" t="inlineStr">
        <is>
          <t>C(부분확인)</t>
        </is>
      </c>
      <c r="AT308" s="17" t="n">
        <v>90</v>
      </c>
      <c r="AU308" s="17" t="inlineStr"/>
      <c r="AV308" s="17" t="inlineStr"/>
    </row>
    <row r="309">
      <c r="A309" s="27" t="inlineStr">
        <is>
          <t>Tier C</t>
        </is>
      </c>
      <c r="B309" s="17" t="n">
        <v>11</v>
      </c>
      <c r="C309" s="17" t="inlineStr">
        <is>
          <t>(주)한풍제약</t>
        </is>
      </c>
      <c r="D309" s="17" t="inlineStr">
        <is>
          <t>미확인</t>
        </is>
      </c>
      <c r="E309" s="17" t="inlineStr">
        <is>
          <t>전북특별자치도</t>
        </is>
      </c>
      <c r="F309" s="17" t="inlineStr">
        <is>
          <t>완주군</t>
        </is>
      </c>
      <c r="G309" s="17" t="n">
        <v>1</v>
      </c>
      <c r="H309" s="17" t="inlineStr"/>
      <c r="I309" s="17" t="inlineStr"/>
      <c r="J309" s="17" t="inlineStr">
        <is>
          <t>Y</t>
        </is>
      </c>
      <c r="K309" s="17" t="inlineStr">
        <is>
          <t>Y</t>
        </is>
      </c>
      <c r="L309" s="22" t="inlineStr">
        <is>
          <t>미확인</t>
        </is>
      </c>
      <c r="M309" s="22" t="inlineStr">
        <is>
          <t>미확인</t>
        </is>
      </c>
      <c r="N309" s="22" t="inlineStr">
        <is>
          <t>미확인</t>
        </is>
      </c>
      <c r="O309" s="22" t="inlineStr">
        <is>
          <t>미확인</t>
        </is>
      </c>
      <c r="P309" s="17" t="inlineStr">
        <is>
          <t>LIMS</t>
        </is>
      </c>
      <c r="Q309" s="22" t="inlineStr">
        <is>
          <t>미확인</t>
        </is>
      </c>
      <c r="R309" s="22" t="inlineStr">
        <is>
          <t>미확인</t>
        </is>
      </c>
      <c r="S309" s="17" t="inlineStr">
        <is>
          <t>Tier D</t>
        </is>
      </c>
      <c r="T309" s="17" t="n">
        <v>4</v>
      </c>
      <c r="U309" s="17" t="inlineStr">
        <is>
          <t>C253</t>
        </is>
      </c>
      <c r="V309" s="17" t="inlineStr">
        <is>
          <t>한풍제약</t>
        </is>
      </c>
      <c r="W309" s="17" t="inlineStr"/>
      <c r="X309" s="17" t="inlineStr"/>
      <c r="Y309" s="23" t="inlineStr"/>
      <c r="Z309" s="17" t="inlineStr">
        <is>
          <t>조인식</t>
        </is>
      </c>
      <c r="AA309" s="17" t="inlineStr"/>
      <c r="AB309" s="17" t="inlineStr">
        <is>
          <t>미확인</t>
        </is>
      </c>
      <c r="AC309" s="17" t="inlineStr">
        <is>
          <t>미확인</t>
        </is>
      </c>
      <c r="AD309" s="17" t="inlineStr">
        <is>
          <t>Y</t>
        </is>
      </c>
      <c r="AE309" s="17" t="inlineStr">
        <is>
          <t>P295</t>
        </is>
      </c>
      <c r="AF309" s="17" t="inlineStr">
        <is>
          <t>전북특별자치도 완주군 봉동읍 완주산단6로 301 , 봉동로 705</t>
        </is>
      </c>
      <c r="AG309" s="17" t="inlineStr">
        <is>
          <t>완제의약품+원료의약품</t>
        </is>
      </c>
      <c r="AH309" s="17" t="inlineStr">
        <is>
          <t>비무균-일반제제-추출</t>
        </is>
      </c>
      <c r="AI309" s="17" t="n">
        <v>2</v>
      </c>
      <c r="AJ309" s="24" t="n">
        <v>46798</v>
      </c>
      <c r="AK309" s="17" t="inlineStr"/>
      <c r="AL309" s="17" t="inlineStr"/>
      <c r="AM309" s="17" t="inlineStr">
        <is>
          <t>원료 제조로 시험실 관리 필요</t>
        </is>
      </c>
      <c r="AN309" s="17" t="inlineStr">
        <is>
          <t>미확인</t>
        </is>
      </c>
      <c r="AO309" s="17" t="inlineStr">
        <is>
          <t>미확인</t>
        </is>
      </c>
      <c r="AP309" s="17" t="inlineStr">
        <is>
          <t>미확인</t>
        </is>
      </c>
      <c r="AQ309" s="17" t="inlineStr">
        <is>
          <t>담당자 파악 후 접촉</t>
        </is>
      </c>
      <c r="AR309" s="17" t="inlineStr">
        <is>
          <t>2026-07-05</t>
        </is>
      </c>
      <c r="AS309" s="17" t="inlineStr">
        <is>
          <t>C(부분확인)</t>
        </is>
      </c>
      <c r="AT309" s="17" t="n">
        <v>90</v>
      </c>
      <c r="AU309" s="17" t="inlineStr"/>
      <c r="AV309" s="17" t="inlineStr"/>
    </row>
    <row r="310">
      <c r="A310" s="27" t="inlineStr">
        <is>
          <t>Tier C</t>
        </is>
      </c>
      <c r="B310" s="17" t="n">
        <v>11</v>
      </c>
      <c r="C310" s="17" t="inlineStr">
        <is>
          <t>에스케이케미칼(주)</t>
        </is>
      </c>
      <c r="D310" s="17" t="inlineStr">
        <is>
          <t>청주</t>
        </is>
      </c>
      <c r="E310" s="17" t="inlineStr">
        <is>
          <t>충청북도</t>
        </is>
      </c>
      <c r="F310" s="17" t="inlineStr">
        <is>
          <t>청주시</t>
        </is>
      </c>
      <c r="G310" s="17" t="n">
        <v>1</v>
      </c>
      <c r="H310" s="17" t="inlineStr"/>
      <c r="I310" s="17" t="inlineStr"/>
      <c r="J310" s="17" t="inlineStr">
        <is>
          <t>Y</t>
        </is>
      </c>
      <c r="K310" s="17" t="inlineStr">
        <is>
          <t>Y</t>
        </is>
      </c>
      <c r="L310" s="22" t="inlineStr">
        <is>
          <t>미확인</t>
        </is>
      </c>
      <c r="M310" s="22" t="inlineStr">
        <is>
          <t>미확인</t>
        </is>
      </c>
      <c r="N310" s="22" t="inlineStr">
        <is>
          <t>미확인</t>
        </is>
      </c>
      <c r="O310" s="22" t="inlineStr">
        <is>
          <t>미확인</t>
        </is>
      </c>
      <c r="P310" s="17" t="inlineStr">
        <is>
          <t>LIMS</t>
        </is>
      </c>
      <c r="Q310" s="22" t="inlineStr">
        <is>
          <t>미확인</t>
        </is>
      </c>
      <c r="R310" s="22" t="inlineStr">
        <is>
          <t>미확인</t>
        </is>
      </c>
      <c r="S310" s="17" t="inlineStr">
        <is>
          <t>Tier D</t>
        </is>
      </c>
      <c r="T310" s="17" t="n">
        <v>4</v>
      </c>
      <c r="U310" s="17" t="inlineStr">
        <is>
          <t>C199</t>
        </is>
      </c>
      <c r="V310" s="17" t="inlineStr">
        <is>
          <t>에스케이케미칼</t>
        </is>
      </c>
      <c r="W310" s="17" t="inlineStr"/>
      <c r="X310" s="17" t="inlineStr"/>
      <c r="Y310" s="23" t="inlineStr"/>
      <c r="Z310" s="17" t="inlineStr">
        <is>
          <t>안재현</t>
        </is>
      </c>
      <c r="AA310" s="17" t="inlineStr"/>
      <c r="AB310" s="17" t="inlineStr">
        <is>
          <t>미확인</t>
        </is>
      </c>
      <c r="AC310" s="17" t="inlineStr">
        <is>
          <t>미확인</t>
        </is>
      </c>
      <c r="AD310" s="17" t="inlineStr">
        <is>
          <t>Y</t>
        </is>
      </c>
      <c r="AE310" s="17" t="inlineStr">
        <is>
          <t>P215</t>
        </is>
      </c>
      <c r="AF310" s="17" t="inlineStr">
        <is>
          <t>충청북도 청주시 흥덕구 산단로 149</t>
        </is>
      </c>
      <c r="AG310" s="17" t="inlineStr">
        <is>
          <t>완제의약품+원료의약품</t>
        </is>
      </c>
      <c r="AH310" s="17" t="inlineStr">
        <is>
          <t>비무균-일반제제-추출</t>
        </is>
      </c>
      <c r="AI310" s="17" t="n">
        <v>2</v>
      </c>
      <c r="AJ310" s="24" t="n">
        <v>46891</v>
      </c>
      <c r="AK310" s="17" t="inlineStr"/>
      <c r="AL310" s="17" t="inlineStr"/>
      <c r="AM310" s="17" t="inlineStr">
        <is>
          <t>원료 제조로 시험실 관리 필요</t>
        </is>
      </c>
      <c r="AN310" s="17" t="inlineStr">
        <is>
          <t>미확인</t>
        </is>
      </c>
      <c r="AO310" s="17" t="inlineStr">
        <is>
          <t>미확인</t>
        </is>
      </c>
      <c r="AP310" s="17" t="inlineStr">
        <is>
          <t>미확인</t>
        </is>
      </c>
      <c r="AQ310" s="17" t="inlineStr">
        <is>
          <t>담당자 파악 후 접촉</t>
        </is>
      </c>
      <c r="AR310" s="17" t="inlineStr">
        <is>
          <t>2026-07-05</t>
        </is>
      </c>
      <c r="AS310" s="17" t="inlineStr">
        <is>
          <t>C(부분확인)</t>
        </is>
      </c>
      <c r="AT310" s="17" t="n">
        <v>90</v>
      </c>
      <c r="AU310" s="17" t="inlineStr"/>
      <c r="AV310" s="17" t="inlineStr"/>
    </row>
    <row r="311">
      <c r="A311" s="27" t="inlineStr">
        <is>
          <t>Tier C</t>
        </is>
      </c>
      <c r="B311" s="17" t="n">
        <v>11</v>
      </c>
      <c r="C311" s="17" t="inlineStr">
        <is>
          <t>한국바이오켐제약(주)</t>
        </is>
      </c>
      <c r="D311" s="17" t="inlineStr">
        <is>
          <t>세종</t>
        </is>
      </c>
      <c r="E311" s="17" t="inlineStr">
        <is>
          <t>세종특별자치시</t>
        </is>
      </c>
      <c r="F311" s="17" t="inlineStr">
        <is>
          <t>세종특별자치시</t>
        </is>
      </c>
      <c r="G311" s="17" t="n">
        <v>1</v>
      </c>
      <c r="H311" s="17" t="inlineStr"/>
      <c r="I311" s="17" t="inlineStr"/>
      <c r="J311" s="17" t="inlineStr">
        <is>
          <t>Y</t>
        </is>
      </c>
      <c r="K311" s="17" t="inlineStr">
        <is>
          <t>Y</t>
        </is>
      </c>
      <c r="L311" s="22" t="inlineStr">
        <is>
          <t>미확인</t>
        </is>
      </c>
      <c r="M311" s="22" t="inlineStr">
        <is>
          <t>미확인</t>
        </is>
      </c>
      <c r="N311" s="22" t="inlineStr">
        <is>
          <t>미확인</t>
        </is>
      </c>
      <c r="O311" s="22" t="inlineStr">
        <is>
          <t>미확인</t>
        </is>
      </c>
      <c r="P311" s="17" t="inlineStr">
        <is>
          <t>LIMS</t>
        </is>
      </c>
      <c r="Q311" s="22" t="inlineStr">
        <is>
          <t>미확인</t>
        </is>
      </c>
      <c r="R311" s="22" t="inlineStr">
        <is>
          <t>미확인</t>
        </is>
      </c>
      <c r="S311" s="17" t="inlineStr">
        <is>
          <t>Tier D</t>
        </is>
      </c>
      <c r="T311" s="17" t="n">
        <v>4</v>
      </c>
      <c r="U311" s="17" t="inlineStr">
        <is>
          <t>C289</t>
        </is>
      </c>
      <c r="V311" s="17" t="inlineStr">
        <is>
          <t>한국바이오켐제약</t>
        </is>
      </c>
      <c r="W311" s="17" t="inlineStr"/>
      <c r="X311" s="17" t="inlineStr"/>
      <c r="Y311" s="23" t="inlineStr"/>
      <c r="Z311" s="17" t="inlineStr">
        <is>
          <t>송원호</t>
        </is>
      </c>
      <c r="AA311" s="17" t="inlineStr"/>
      <c r="AB311" s="17" t="inlineStr">
        <is>
          <t>044-865-5030</t>
        </is>
      </c>
      <c r="AC311" s="17" t="inlineStr">
        <is>
          <t>미확인</t>
        </is>
      </c>
      <c r="AD311" s="17" t="inlineStr">
        <is>
          <t>Y</t>
        </is>
      </c>
      <c r="AE311" s="17" t="inlineStr">
        <is>
          <t>P346</t>
        </is>
      </c>
      <c r="AF311" s="17" t="inlineStr">
        <is>
          <t>세종특별자치시 전의면 산단길 204</t>
        </is>
      </c>
      <c r="AG311" s="17" t="inlineStr">
        <is>
          <t>완제의약품+원료의약품</t>
        </is>
      </c>
      <c r="AH311" s="17" t="inlineStr">
        <is>
          <t>비무균-일반제제-내용고형제(캡슐제), 비무균-일반제제-내용액제(경구용액제, 시럽제(액상))</t>
        </is>
      </c>
      <c r="AI311" s="17" t="n">
        <v>2</v>
      </c>
      <c r="AJ311" s="24" t="n">
        <v>46606</v>
      </c>
      <c r="AK311" s="17" t="inlineStr"/>
      <c r="AL311" s="17" t="inlineStr"/>
      <c r="AM311" s="17" t="inlineStr">
        <is>
          <t>원료 제조로 시험실 관리 필요</t>
        </is>
      </c>
      <c r="AN311" s="17" t="inlineStr">
        <is>
          <t>미확인</t>
        </is>
      </c>
      <c r="AO311" s="17" t="inlineStr">
        <is>
          <t>미확인</t>
        </is>
      </c>
      <c r="AP311" s="17" t="inlineStr">
        <is>
          <t>미확인</t>
        </is>
      </c>
      <c r="AQ311" s="17" t="inlineStr">
        <is>
          <t>담당자 파악 후 접촉</t>
        </is>
      </c>
      <c r="AR311" s="17" t="inlineStr">
        <is>
          <t>2026-07-05</t>
        </is>
      </c>
      <c r="AS311" s="17" t="inlineStr">
        <is>
          <t>C(부분확인)</t>
        </is>
      </c>
      <c r="AT311" s="17" t="n">
        <v>90</v>
      </c>
      <c r="AU311" s="17" t="inlineStr"/>
      <c r="AV311" s="17" t="inlineStr"/>
    </row>
    <row r="312">
      <c r="A312" s="27" t="inlineStr">
        <is>
          <t>Tier C</t>
        </is>
      </c>
      <c r="B312" s="17" t="n">
        <v>11</v>
      </c>
      <c r="C312" s="17" t="inlineStr">
        <is>
          <t>한국오츠카제약(주)</t>
        </is>
      </c>
      <c r="D312" s="17" t="inlineStr">
        <is>
          <t>화성</t>
        </is>
      </c>
      <c r="E312" s="17" t="inlineStr">
        <is>
          <t>경기도</t>
        </is>
      </c>
      <c r="F312" s="17" t="inlineStr">
        <is>
          <t>화성시</t>
        </is>
      </c>
      <c r="G312" s="17" t="n">
        <v>1</v>
      </c>
      <c r="H312" s="17" t="inlineStr"/>
      <c r="I312" s="17" t="inlineStr"/>
      <c r="J312" s="17" t="inlineStr">
        <is>
          <t>Y</t>
        </is>
      </c>
      <c r="K312" s="17" t="inlineStr">
        <is>
          <t>Y</t>
        </is>
      </c>
      <c r="L312" s="22" t="inlineStr">
        <is>
          <t>미확인</t>
        </is>
      </c>
      <c r="M312" s="22" t="inlineStr">
        <is>
          <t>미확인</t>
        </is>
      </c>
      <c r="N312" s="22" t="inlineStr">
        <is>
          <t>미확인</t>
        </is>
      </c>
      <c r="O312" s="22" t="inlineStr">
        <is>
          <t>미확인</t>
        </is>
      </c>
      <c r="P312" s="17" t="inlineStr">
        <is>
          <t>LIMS</t>
        </is>
      </c>
      <c r="Q312" s="22" t="inlineStr">
        <is>
          <t>미확인</t>
        </is>
      </c>
      <c r="R312" s="22" t="inlineStr">
        <is>
          <t>미확인</t>
        </is>
      </c>
      <c r="S312" s="17" t="inlineStr">
        <is>
          <t>Tier D</t>
        </is>
      </c>
      <c r="T312" s="17" t="n">
        <v>4</v>
      </c>
      <c r="U312" s="17" t="inlineStr">
        <is>
          <t>C138</t>
        </is>
      </c>
      <c r="V312" s="17" t="inlineStr">
        <is>
          <t>한국오츠카제약</t>
        </is>
      </c>
      <c r="W312" s="17" t="inlineStr"/>
      <c r="X312" s="17" t="inlineStr"/>
      <c r="Y312" s="23" t="inlineStr"/>
      <c r="Z312" s="17" t="inlineStr">
        <is>
          <t>문성호</t>
        </is>
      </c>
      <c r="AA312" s="17" t="inlineStr"/>
      <c r="AB312" s="17" t="inlineStr">
        <is>
          <t>02-3465-3929</t>
        </is>
      </c>
      <c r="AC312" s="17" t="inlineStr">
        <is>
          <t>미확인</t>
        </is>
      </c>
      <c r="AD312" s="17" t="inlineStr">
        <is>
          <t>Y</t>
        </is>
      </c>
      <c r="AE312" s="17" t="inlineStr">
        <is>
          <t>P144</t>
        </is>
      </c>
      <c r="AF312" s="17" t="inlineStr">
        <is>
          <t>경기도 화성시 만세구 향남읍 제약공단3길 27</t>
        </is>
      </c>
      <c r="AG312" s="17" t="inlineStr">
        <is>
          <t>완제의약품+원료의약품</t>
        </is>
      </c>
      <c r="AH312" s="17" t="inlineStr">
        <is>
          <t>비무균-일반제제-합성</t>
        </is>
      </c>
      <c r="AI312" s="17" t="n">
        <v>2</v>
      </c>
      <c r="AJ312" s="24" t="n">
        <v>46990</v>
      </c>
      <c r="AK312" s="17" t="inlineStr"/>
      <c r="AL312" s="17" t="inlineStr"/>
      <c r="AM312" s="17" t="inlineStr">
        <is>
          <t>원료 제조로 시험실 관리 필요</t>
        </is>
      </c>
      <c r="AN312" s="17" t="inlineStr">
        <is>
          <t>미확인</t>
        </is>
      </c>
      <c r="AO312" s="17" t="inlineStr">
        <is>
          <t>미확인</t>
        </is>
      </c>
      <c r="AP312" s="17" t="inlineStr">
        <is>
          <t>미확인</t>
        </is>
      </c>
      <c r="AQ312" s="17" t="inlineStr">
        <is>
          <t>담당자 파악 후 접촉</t>
        </is>
      </c>
      <c r="AR312" s="17" t="inlineStr">
        <is>
          <t>2026-07-05</t>
        </is>
      </c>
      <c r="AS312" s="17" t="inlineStr">
        <is>
          <t>C(부분확인)</t>
        </is>
      </c>
      <c r="AT312" s="17" t="n">
        <v>90</v>
      </c>
      <c r="AU312" s="17" t="inlineStr"/>
      <c r="AV312" s="17" t="inlineStr"/>
    </row>
    <row r="313">
      <c r="A313" s="27" t="inlineStr">
        <is>
          <t>Tier C</t>
        </is>
      </c>
      <c r="B313" s="17" t="n">
        <v>10</v>
      </c>
      <c r="C313" s="17" t="inlineStr">
        <is>
          <t>(주)마더스제약</t>
        </is>
      </c>
      <c r="D313" s="17" t="inlineStr">
        <is>
          <t>보관소</t>
        </is>
      </c>
      <c r="E313" s="17" t="inlineStr">
        <is>
          <t>경상북도</t>
        </is>
      </c>
      <c r="F313" s="17" t="inlineStr">
        <is>
          <t>경산시</t>
        </is>
      </c>
      <c r="G313" s="17" t="n">
        <v>2</v>
      </c>
      <c r="H313" s="17" t="inlineStr"/>
      <c r="I313" s="17" t="inlineStr"/>
      <c r="J313" s="17" t="inlineStr">
        <is>
          <t>Y</t>
        </is>
      </c>
      <c r="K313" s="17" t="inlineStr"/>
      <c r="L313" s="22" t="inlineStr">
        <is>
          <t>미확인</t>
        </is>
      </c>
      <c r="M313" s="22" t="inlineStr">
        <is>
          <t>미확인</t>
        </is>
      </c>
      <c r="N313" s="22" t="inlineStr">
        <is>
          <t>미확인</t>
        </is>
      </c>
      <c r="O313" s="22" t="inlineStr">
        <is>
          <t>미확인</t>
        </is>
      </c>
      <c r="P313" s="17" t="inlineStr">
        <is>
          <t>EDMS+QMS+LMS</t>
        </is>
      </c>
      <c r="Q313" s="22" t="inlineStr">
        <is>
          <t>미확인</t>
        </is>
      </c>
      <c r="R313" s="22" t="inlineStr">
        <is>
          <t>미확인</t>
        </is>
      </c>
      <c r="S313" s="17" t="inlineStr">
        <is>
          <t>Tier D</t>
        </is>
      </c>
      <c r="T313" s="17" t="n">
        <v>8</v>
      </c>
      <c r="U313" s="17" t="inlineStr">
        <is>
          <t>C196</t>
        </is>
      </c>
      <c r="V313" s="17" t="inlineStr">
        <is>
          <t>마더스제약</t>
        </is>
      </c>
      <c r="W313" s="17" t="inlineStr"/>
      <c r="X313" s="17" t="inlineStr"/>
      <c r="Y313" s="23" t="inlineStr"/>
      <c r="Z313" s="17" t="inlineStr">
        <is>
          <t>김좌진</t>
        </is>
      </c>
      <c r="AA313" s="17" t="inlineStr"/>
      <c r="AB313" s="17" t="inlineStr">
        <is>
          <t>미확인</t>
        </is>
      </c>
      <c r="AC313" s="17" t="inlineStr">
        <is>
          <t>미확인</t>
        </is>
      </c>
      <c r="AD313" s="17" t="inlineStr">
        <is>
          <t>Y</t>
        </is>
      </c>
      <c r="AE313" s="17" t="inlineStr">
        <is>
          <t>P211</t>
        </is>
      </c>
      <c r="AF313" s="17" t="inlineStr">
        <is>
          <t>경상북도 경산시 진량읍 공단6로24길 18</t>
        </is>
      </c>
      <c r="AG313" s="17" t="inlineStr">
        <is>
          <t>완제의약품</t>
        </is>
      </c>
      <c r="AH313" s="17" t="inlineStr">
        <is>
          <t>비무균-일반제제-내용고형제(정제, 캡슐제)</t>
        </is>
      </c>
      <c r="AI313" s="17" t="n">
        <v>1</v>
      </c>
      <c r="AJ313" s="24" t="n">
        <v>46899</v>
      </c>
      <c r="AK313" s="17" t="inlineStr"/>
      <c r="AL313" s="17" t="inlineStr"/>
      <c r="AM313" s="17" t="inlineStr">
        <is>
          <t>다중 제조소/다수 판정서로 문서관리 복잡; 다중 제조소로 교육관리 대상 광범위</t>
        </is>
      </c>
      <c r="AN313" s="17" t="inlineStr">
        <is>
          <t>미확인</t>
        </is>
      </c>
      <c r="AO313" s="17" t="inlineStr">
        <is>
          <t>미확인</t>
        </is>
      </c>
      <c r="AP313" s="17" t="inlineStr">
        <is>
          <t>미확인</t>
        </is>
      </c>
      <c r="AQ313" s="17" t="inlineStr">
        <is>
          <t>담당자 파악 후 접촉</t>
        </is>
      </c>
      <c r="AR313" s="17" t="inlineStr">
        <is>
          <t>2026-07-05</t>
        </is>
      </c>
      <c r="AS313" s="17" t="inlineStr">
        <is>
          <t>C(부분확인)</t>
        </is>
      </c>
      <c r="AT313" s="17" t="n">
        <v>90</v>
      </c>
      <c r="AU313" s="17" t="inlineStr"/>
      <c r="AV313" s="17" t="inlineStr"/>
    </row>
    <row r="314">
      <c r="A314" s="27" t="inlineStr">
        <is>
          <t>Tier C</t>
        </is>
      </c>
      <c r="B314" s="17" t="n">
        <v>10</v>
      </c>
      <c r="C314" s="17" t="inlineStr">
        <is>
          <t>(주)마더스제약</t>
        </is>
      </c>
      <c r="D314" s="17" t="inlineStr">
        <is>
          <t>(주)마더스제약 제2공장</t>
        </is>
      </c>
      <c r="E314" s="17" t="inlineStr">
        <is>
          <t>전북특별자치도</t>
        </is>
      </c>
      <c r="F314" s="17" t="inlineStr">
        <is>
          <t>익산시</t>
        </is>
      </c>
      <c r="G314" s="17" t="n">
        <v>2</v>
      </c>
      <c r="H314" s="17" t="inlineStr"/>
      <c r="I314" s="17" t="inlineStr"/>
      <c r="J314" s="17" t="inlineStr">
        <is>
          <t>Y</t>
        </is>
      </c>
      <c r="K314" s="17" t="inlineStr"/>
      <c r="L314" s="22" t="inlineStr">
        <is>
          <t>미확인</t>
        </is>
      </c>
      <c r="M314" s="22" t="inlineStr">
        <is>
          <t>미확인</t>
        </is>
      </c>
      <c r="N314" s="22" t="inlineStr">
        <is>
          <t>미확인</t>
        </is>
      </c>
      <c r="O314" s="22" t="inlineStr">
        <is>
          <t>미확인</t>
        </is>
      </c>
      <c r="P314" s="17" t="inlineStr">
        <is>
          <t>EDMS+QMS+LMS</t>
        </is>
      </c>
      <c r="Q314" s="22" t="inlineStr">
        <is>
          <t>미확인</t>
        </is>
      </c>
      <c r="R314" s="22" t="inlineStr">
        <is>
          <t>미확인</t>
        </is>
      </c>
      <c r="S314" s="17" t="inlineStr">
        <is>
          <t>Tier D</t>
        </is>
      </c>
      <c r="T314" s="17" t="n">
        <v>8</v>
      </c>
      <c r="U314" s="17" t="inlineStr">
        <is>
          <t>C196</t>
        </is>
      </c>
      <c r="V314" s="17" t="inlineStr">
        <is>
          <t>마더스제약</t>
        </is>
      </c>
      <c r="W314" s="17" t="inlineStr"/>
      <c r="X314" s="17" t="inlineStr"/>
      <c r="Y314" s="23" t="inlineStr"/>
      <c r="Z314" s="17" t="inlineStr">
        <is>
          <t>김좌진</t>
        </is>
      </c>
      <c r="AA314" s="17" t="inlineStr"/>
      <c r="AB314" s="17" t="inlineStr">
        <is>
          <t>미확인</t>
        </is>
      </c>
      <c r="AC314" s="17" t="inlineStr">
        <is>
          <t>미확인</t>
        </is>
      </c>
      <c r="AD314" s="17" t="inlineStr">
        <is>
          <t>Y</t>
        </is>
      </c>
      <c r="AE314" s="17" t="inlineStr">
        <is>
          <t>P237</t>
        </is>
      </c>
      <c r="AF314" s="17" t="inlineStr">
        <is>
          <t>전북특별자치도 익산시 삼기면 산단오룡길 38 마더스제약 제2공장</t>
        </is>
      </c>
      <c r="AG314" s="17" t="inlineStr">
        <is>
          <t>완제의약품</t>
        </is>
      </c>
      <c r="AH314" s="17" t="inlineStr">
        <is>
          <t>비무균-일반제제-내용고형제(정제, 캡슐제)</t>
        </is>
      </c>
      <c r="AI314" s="17" t="n">
        <v>1</v>
      </c>
      <c r="AJ314" s="24" t="n">
        <v>46871</v>
      </c>
      <c r="AK314" s="17" t="inlineStr"/>
      <c r="AL314" s="17" t="inlineStr"/>
      <c r="AM314" s="17" t="inlineStr">
        <is>
          <t>다중 제조소/다수 판정서로 문서관리 복잡; 다중 제조소로 교육관리 대상 광범위</t>
        </is>
      </c>
      <c r="AN314" s="17" t="inlineStr">
        <is>
          <t>미확인</t>
        </is>
      </c>
      <c r="AO314" s="17" t="inlineStr">
        <is>
          <t>미확인</t>
        </is>
      </c>
      <c r="AP314" s="17" t="inlineStr">
        <is>
          <t>미확인</t>
        </is>
      </c>
      <c r="AQ314" s="17" t="inlineStr">
        <is>
          <t>담당자 파악 후 접촉</t>
        </is>
      </c>
      <c r="AR314" s="17" t="inlineStr">
        <is>
          <t>2026-07-05</t>
        </is>
      </c>
      <c r="AS314" s="17" t="inlineStr">
        <is>
          <t>C(부분확인)</t>
        </is>
      </c>
      <c r="AT314" s="17" t="n">
        <v>90</v>
      </c>
      <c r="AU314" s="17" t="inlineStr"/>
      <c r="AV314" s="17" t="inlineStr"/>
    </row>
    <row r="315">
      <c r="A315" s="27" t="inlineStr">
        <is>
          <t>Tier C</t>
        </is>
      </c>
      <c r="B315" s="17" t="n">
        <v>10</v>
      </c>
      <c r="C315" s="17" t="inlineStr">
        <is>
          <t>(주)에어퍼스트</t>
        </is>
      </c>
      <c r="D315" s="17" t="inlineStr">
        <is>
          <t>기흥공장(제2공장)</t>
        </is>
      </c>
      <c r="E315" s="17" t="inlineStr">
        <is>
          <t>경기도</t>
        </is>
      </c>
      <c r="F315" s="17" t="inlineStr">
        <is>
          <t>용인시</t>
        </is>
      </c>
      <c r="G315" s="17" t="n">
        <v>2</v>
      </c>
      <c r="H315" s="17" t="inlineStr"/>
      <c r="I315" s="17" t="inlineStr"/>
      <c r="J315" s="17" t="inlineStr">
        <is>
          <t>Y</t>
        </is>
      </c>
      <c r="K315" s="17" t="inlineStr"/>
      <c r="L315" s="22" t="inlineStr">
        <is>
          <t>미확인</t>
        </is>
      </c>
      <c r="M315" s="22" t="inlineStr">
        <is>
          <t>미확인</t>
        </is>
      </c>
      <c r="N315" s="22" t="inlineStr">
        <is>
          <t>미확인</t>
        </is>
      </c>
      <c r="O315" s="22" t="inlineStr">
        <is>
          <t>미확인</t>
        </is>
      </c>
      <c r="P315" s="17" t="inlineStr">
        <is>
          <t>EDMS+QMS+LMS</t>
        </is>
      </c>
      <c r="Q315" s="22" t="inlineStr">
        <is>
          <t>미확인</t>
        </is>
      </c>
      <c r="R315" s="22" t="inlineStr">
        <is>
          <t>미확인</t>
        </is>
      </c>
      <c r="S315" s="17" t="inlineStr">
        <is>
          <t>Tier D</t>
        </is>
      </c>
      <c r="T315" s="17" t="n">
        <v>8</v>
      </c>
      <c r="U315" s="17" t="inlineStr">
        <is>
          <t>C202</t>
        </is>
      </c>
      <c r="V315" s="17" t="inlineStr">
        <is>
          <t>에어퍼스트</t>
        </is>
      </c>
      <c r="W315" s="17" t="inlineStr"/>
      <c r="X315" s="17" t="inlineStr"/>
      <c r="Y315" s="23" t="inlineStr"/>
      <c r="Z315" s="17" t="inlineStr">
        <is>
          <t>양한용</t>
        </is>
      </c>
      <c r="AA315" s="17" t="inlineStr"/>
      <c r="AB315" s="17" t="inlineStr">
        <is>
          <t>02-780-9331</t>
        </is>
      </c>
      <c r="AC315" s="17" t="inlineStr">
        <is>
          <t>미확인</t>
        </is>
      </c>
      <c r="AD315" s="17" t="inlineStr">
        <is>
          <t>Y</t>
        </is>
      </c>
      <c r="AE315" s="17" t="inlineStr">
        <is>
          <t>P218</t>
        </is>
      </c>
      <c r="AF315" s="17" t="inlineStr">
        <is>
          <t>경기도 용인시 기흥구 농서로 60</t>
        </is>
      </c>
      <c r="AG315" s="17" t="inlineStr">
        <is>
          <t>완제의약품</t>
        </is>
      </c>
      <c r="AH315" s="17" t="inlineStr">
        <is>
          <t>비무균-일반제제(의료용 고압가스)-가스제(의료용 고압가스)</t>
        </is>
      </c>
      <c r="AI315" s="17" t="n">
        <v>1</v>
      </c>
      <c r="AJ315" s="24" t="n">
        <v>46890</v>
      </c>
      <c r="AK315" s="17" t="inlineStr"/>
      <c r="AL315" s="17" t="inlineStr"/>
      <c r="AM315" s="17" t="inlineStr">
        <is>
          <t>다중 제조소/다수 판정서로 문서관리 복잡; 다중 제조소로 교육관리 대상 광범위</t>
        </is>
      </c>
      <c r="AN315" s="17" t="inlineStr">
        <is>
          <t>미확인</t>
        </is>
      </c>
      <c r="AO315" s="17" t="inlineStr">
        <is>
          <t>미확인</t>
        </is>
      </c>
      <c r="AP315" s="17" t="inlineStr">
        <is>
          <t>미확인</t>
        </is>
      </c>
      <c r="AQ315" s="17" t="inlineStr">
        <is>
          <t>담당자 파악 후 접촉</t>
        </is>
      </c>
      <c r="AR315" s="17" t="inlineStr">
        <is>
          <t>2026-07-05</t>
        </is>
      </c>
      <c r="AS315" s="17" t="inlineStr">
        <is>
          <t>C(부분확인)</t>
        </is>
      </c>
      <c r="AT315" s="17" t="n">
        <v>90</v>
      </c>
      <c r="AU315" s="17" t="inlineStr"/>
      <c r="AV315" s="17" t="inlineStr"/>
    </row>
    <row r="316">
      <c r="A316" s="27" t="inlineStr">
        <is>
          <t>Tier C</t>
        </is>
      </c>
      <c r="B316" s="17" t="n">
        <v>10</v>
      </c>
      <c r="C316" s="17" t="inlineStr">
        <is>
          <t>(주)에어퍼스트</t>
        </is>
      </c>
      <c r="D316" s="17" t="inlineStr">
        <is>
          <t>포항</t>
        </is>
      </c>
      <c r="E316" s="17" t="inlineStr">
        <is>
          <t>경상북도</t>
        </is>
      </c>
      <c r="F316" s="17" t="inlineStr">
        <is>
          <t>포항시</t>
        </is>
      </c>
      <c r="G316" s="17" t="n">
        <v>2</v>
      </c>
      <c r="H316" s="17" t="inlineStr"/>
      <c r="I316" s="17" t="inlineStr"/>
      <c r="J316" s="17" t="inlineStr">
        <is>
          <t>Y</t>
        </is>
      </c>
      <c r="K316" s="17" t="inlineStr"/>
      <c r="L316" s="22" t="inlineStr">
        <is>
          <t>미확인</t>
        </is>
      </c>
      <c r="M316" s="22" t="inlineStr">
        <is>
          <t>미확인</t>
        </is>
      </c>
      <c r="N316" s="22" t="inlineStr">
        <is>
          <t>미확인</t>
        </is>
      </c>
      <c r="O316" s="22" t="inlineStr">
        <is>
          <t>미확인</t>
        </is>
      </c>
      <c r="P316" s="17" t="inlineStr">
        <is>
          <t>EDMS+QMS+LMS</t>
        </is>
      </c>
      <c r="Q316" s="22" t="inlineStr">
        <is>
          <t>미확인</t>
        </is>
      </c>
      <c r="R316" s="22" t="inlineStr">
        <is>
          <t>미확인</t>
        </is>
      </c>
      <c r="S316" s="17" t="inlineStr">
        <is>
          <t>Tier D</t>
        </is>
      </c>
      <c r="T316" s="17" t="n">
        <v>8</v>
      </c>
      <c r="U316" s="17" t="inlineStr">
        <is>
          <t>C202</t>
        </is>
      </c>
      <c r="V316" s="17" t="inlineStr">
        <is>
          <t>에어퍼스트</t>
        </is>
      </c>
      <c r="W316" s="17" t="inlineStr"/>
      <c r="X316" s="17" t="inlineStr"/>
      <c r="Y316" s="23" t="inlineStr"/>
      <c r="Z316" s="17" t="inlineStr">
        <is>
          <t>양한용</t>
        </is>
      </c>
      <c r="AA316" s="17" t="inlineStr"/>
      <c r="AB316" s="17" t="inlineStr">
        <is>
          <t>02-780-9331</t>
        </is>
      </c>
      <c r="AC316" s="17" t="inlineStr">
        <is>
          <t>미확인</t>
        </is>
      </c>
      <c r="AD316" s="17" t="inlineStr">
        <is>
          <t>Y</t>
        </is>
      </c>
      <c r="AE316" s="17" t="inlineStr">
        <is>
          <t>P320</t>
        </is>
      </c>
      <c r="AF316" s="17" t="inlineStr">
        <is>
          <t>경상북도 포항시 남구 대송로101번길 35</t>
        </is>
      </c>
      <c r="AG316" s="17" t="inlineStr">
        <is>
          <t>완제의약품</t>
        </is>
      </c>
      <c r="AH316" s="17" t="inlineStr">
        <is>
          <t>비무균-일반제제(의료용 고압가스)-가스제(의료용 고압가스)</t>
        </is>
      </c>
      <c r="AI316" s="17" t="n">
        <v>1</v>
      </c>
      <c r="AJ316" s="24" t="n">
        <v>46708</v>
      </c>
      <c r="AK316" s="17" t="inlineStr"/>
      <c r="AL316" s="17" t="inlineStr"/>
      <c r="AM316" s="17" t="inlineStr">
        <is>
          <t>다중 제조소/다수 판정서로 문서관리 복잡; 다중 제조소로 교육관리 대상 광범위</t>
        </is>
      </c>
      <c r="AN316" s="17" t="inlineStr">
        <is>
          <t>미확인</t>
        </is>
      </c>
      <c r="AO316" s="17" t="inlineStr">
        <is>
          <t>미확인</t>
        </is>
      </c>
      <c r="AP316" s="17" t="inlineStr">
        <is>
          <t>미확인</t>
        </is>
      </c>
      <c r="AQ316" s="17" t="inlineStr">
        <is>
          <t>담당자 파악 후 접촉</t>
        </is>
      </c>
      <c r="AR316" s="17" t="inlineStr">
        <is>
          <t>2026-07-05</t>
        </is>
      </c>
      <c r="AS316" s="17" t="inlineStr">
        <is>
          <t>C(부분확인)</t>
        </is>
      </c>
      <c r="AT316" s="17" t="n">
        <v>90</v>
      </c>
      <c r="AU316" s="17" t="inlineStr"/>
      <c r="AV316" s="17" t="inlineStr"/>
    </row>
    <row r="317">
      <c r="A317" s="27" t="inlineStr">
        <is>
          <t>Tier C</t>
        </is>
      </c>
      <c r="B317" s="17" t="n">
        <v>10</v>
      </c>
      <c r="C317" s="17" t="inlineStr">
        <is>
          <t>알보젠코리아(주)</t>
        </is>
      </c>
      <c r="D317" s="17" t="inlineStr">
        <is>
          <t>공주</t>
        </is>
      </c>
      <c r="E317" s="17" t="inlineStr">
        <is>
          <t>충청남도</t>
        </is>
      </c>
      <c r="F317" s="17" t="inlineStr">
        <is>
          <t>공주시</t>
        </is>
      </c>
      <c r="G317" s="17" t="n">
        <v>2</v>
      </c>
      <c r="H317" s="17" t="inlineStr"/>
      <c r="I317" s="17" t="inlineStr"/>
      <c r="J317" s="17" t="inlineStr">
        <is>
          <t>Y</t>
        </is>
      </c>
      <c r="K317" s="17" t="inlineStr"/>
      <c r="L317" s="22" t="inlineStr">
        <is>
          <t>미확인</t>
        </is>
      </c>
      <c r="M317" s="22" t="inlineStr">
        <is>
          <t>미확인</t>
        </is>
      </c>
      <c r="N317" s="22" t="inlineStr">
        <is>
          <t>미확인</t>
        </is>
      </c>
      <c r="O317" s="22" t="inlineStr">
        <is>
          <t>미확인</t>
        </is>
      </c>
      <c r="P317" s="17" t="inlineStr">
        <is>
          <t>EDMS+QMS+LMS</t>
        </is>
      </c>
      <c r="Q317" s="22" t="inlineStr">
        <is>
          <t>미확인</t>
        </is>
      </c>
      <c r="R317" s="22" t="inlineStr">
        <is>
          <t>미확인</t>
        </is>
      </c>
      <c r="S317" s="17" t="inlineStr">
        <is>
          <t>Tier D</t>
        </is>
      </c>
      <c r="T317" s="17" t="n">
        <v>8</v>
      </c>
      <c r="U317" s="17" t="inlineStr">
        <is>
          <t>C223</t>
        </is>
      </c>
      <c r="V317" s="17" t="inlineStr">
        <is>
          <t>알보젠코리아</t>
        </is>
      </c>
      <c r="W317" s="17" t="inlineStr"/>
      <c r="X317" s="17" t="inlineStr"/>
      <c r="Y317" s="23" t="inlineStr"/>
      <c r="Z317" s="17" t="inlineStr">
        <is>
          <t>임희균</t>
        </is>
      </c>
      <c r="AA317" s="17" t="inlineStr"/>
      <c r="AB317" s="17" t="inlineStr">
        <is>
          <t>041-840-5300</t>
        </is>
      </c>
      <c r="AC317" s="17" t="inlineStr">
        <is>
          <t>미확인</t>
        </is>
      </c>
      <c r="AD317" s="17" t="inlineStr">
        <is>
          <t>Y</t>
        </is>
      </c>
      <c r="AE317" s="17" t="inlineStr">
        <is>
          <t>P246</t>
        </is>
      </c>
      <c r="AF317" s="17" t="inlineStr">
        <is>
          <t>충청남도 공주시 정안면 정안농공단지길 55-8</t>
        </is>
      </c>
      <c r="AG317" s="17" t="inlineStr">
        <is>
          <t>완제의약품</t>
        </is>
      </c>
      <c r="AH317" s="17" t="inlineStr">
        <is>
          <t>비무균-일반제제-내용고형제(정제, 질정, 캡슐제, 산제, 과립제)</t>
        </is>
      </c>
      <c r="AI317" s="17" t="n">
        <v>1</v>
      </c>
      <c r="AJ317" s="24" t="n">
        <v>46863</v>
      </c>
      <c r="AK317" s="17" t="inlineStr"/>
      <c r="AL317" s="17" t="inlineStr"/>
      <c r="AM317" s="17" t="inlineStr">
        <is>
          <t>다중 제조소/다수 판정서로 문서관리 복잡; 다중 제조소로 교육관리 대상 광범위</t>
        </is>
      </c>
      <c r="AN317" s="17" t="inlineStr">
        <is>
          <t>미확인</t>
        </is>
      </c>
      <c r="AO317" s="17" t="inlineStr">
        <is>
          <t>미확인</t>
        </is>
      </c>
      <c r="AP317" s="17" t="inlineStr">
        <is>
          <t>미확인</t>
        </is>
      </c>
      <c r="AQ317" s="17" t="inlineStr">
        <is>
          <t>담당자 파악 후 접촉</t>
        </is>
      </c>
      <c r="AR317" s="17" t="inlineStr">
        <is>
          <t>2026-07-05</t>
        </is>
      </c>
      <c r="AS317" s="17" t="inlineStr">
        <is>
          <t>C(부분확인)</t>
        </is>
      </c>
      <c r="AT317" s="17" t="n">
        <v>90</v>
      </c>
      <c r="AU317" s="17" t="inlineStr"/>
      <c r="AV317" s="17" t="inlineStr"/>
    </row>
    <row r="318">
      <c r="A318" s="27" t="inlineStr">
        <is>
          <t>Tier C</t>
        </is>
      </c>
      <c r="B318" s="17" t="n">
        <v>10</v>
      </c>
      <c r="C318" s="17" t="inlineStr">
        <is>
          <t>알보젠코리아(주)</t>
        </is>
      </c>
      <c r="D318" s="17" t="inlineStr">
        <is>
          <t>화성</t>
        </is>
      </c>
      <c r="E318" s="17" t="inlineStr">
        <is>
          <t>경기도</t>
        </is>
      </c>
      <c r="F318" s="17" t="inlineStr">
        <is>
          <t>화성시</t>
        </is>
      </c>
      <c r="G318" s="17" t="n">
        <v>2</v>
      </c>
      <c r="H318" s="17" t="inlineStr"/>
      <c r="I318" s="17" t="inlineStr"/>
      <c r="J318" s="17" t="inlineStr">
        <is>
          <t>Y</t>
        </is>
      </c>
      <c r="K318" s="17" t="inlineStr"/>
      <c r="L318" s="22" t="inlineStr">
        <is>
          <t>미확인</t>
        </is>
      </c>
      <c r="M318" s="22" t="inlineStr">
        <is>
          <t>미확인</t>
        </is>
      </c>
      <c r="N318" s="22" t="inlineStr">
        <is>
          <t>미확인</t>
        </is>
      </c>
      <c r="O318" s="22" t="inlineStr">
        <is>
          <t>미확인</t>
        </is>
      </c>
      <c r="P318" s="17" t="inlineStr">
        <is>
          <t>EDMS+QMS+LMS</t>
        </is>
      </c>
      <c r="Q318" s="22" t="inlineStr">
        <is>
          <t>미확인</t>
        </is>
      </c>
      <c r="R318" s="22" t="inlineStr">
        <is>
          <t>미확인</t>
        </is>
      </c>
      <c r="S318" s="17" t="inlineStr">
        <is>
          <t>Tier D</t>
        </is>
      </c>
      <c r="T318" s="17" t="n">
        <v>8</v>
      </c>
      <c r="U318" s="17" t="inlineStr">
        <is>
          <t>C223</t>
        </is>
      </c>
      <c r="V318" s="17" t="inlineStr">
        <is>
          <t>알보젠코리아</t>
        </is>
      </c>
      <c r="W318" s="17" t="inlineStr"/>
      <c r="X318" s="17" t="inlineStr"/>
      <c r="Y318" s="23" t="inlineStr"/>
      <c r="Z318" s="17" t="inlineStr">
        <is>
          <t>임희균</t>
        </is>
      </c>
      <c r="AA318" s="17" t="inlineStr"/>
      <c r="AB318" s="17" t="inlineStr">
        <is>
          <t>041-840-5300</t>
        </is>
      </c>
      <c r="AC318" s="17" t="inlineStr">
        <is>
          <t>미확인</t>
        </is>
      </c>
      <c r="AD318" s="17" t="inlineStr">
        <is>
          <t>Y</t>
        </is>
      </c>
      <c r="AE318" s="17" t="inlineStr">
        <is>
          <t>P305</t>
        </is>
      </c>
      <c r="AF318" s="17" t="inlineStr">
        <is>
          <t>경기도 화성시 만세구 향남읍 제약공단2길 36</t>
        </is>
      </c>
      <c r="AG318" s="17" t="inlineStr">
        <is>
          <t>완제의약품</t>
        </is>
      </c>
      <c r="AH318" s="17" t="inlineStr">
        <is>
          <t>비무균-일반제제-내용고형제(정제, 질정, 캡슐제, 시럽제(고형))</t>
        </is>
      </c>
      <c r="AI318" s="17" t="n">
        <v>1</v>
      </c>
      <c r="AJ318" s="24" t="n">
        <v>46779</v>
      </c>
      <c r="AK318" s="17" t="inlineStr"/>
      <c r="AL318" s="17" t="inlineStr"/>
      <c r="AM318" s="17" t="inlineStr">
        <is>
          <t>다중 제조소/다수 판정서로 문서관리 복잡; 다중 제조소로 교육관리 대상 광범위</t>
        </is>
      </c>
      <c r="AN318" s="17" t="inlineStr">
        <is>
          <t>미확인</t>
        </is>
      </c>
      <c r="AO318" s="17" t="inlineStr">
        <is>
          <t>미확인</t>
        </is>
      </c>
      <c r="AP318" s="17" t="inlineStr">
        <is>
          <t>미확인</t>
        </is>
      </c>
      <c r="AQ318" s="17" t="inlineStr">
        <is>
          <t>담당자 파악 후 접촉</t>
        </is>
      </c>
      <c r="AR318" s="17" t="inlineStr">
        <is>
          <t>2026-07-05</t>
        </is>
      </c>
      <c r="AS318" s="17" t="inlineStr">
        <is>
          <t>C(부분확인)</t>
        </is>
      </c>
      <c r="AT318" s="17" t="n">
        <v>90</v>
      </c>
      <c r="AU318" s="17" t="inlineStr"/>
      <c r="AV318" s="17" t="inlineStr"/>
    </row>
    <row r="319">
      <c r="A319" s="27" t="inlineStr">
        <is>
          <t>Tier C</t>
        </is>
      </c>
      <c r="B319" s="17" t="n">
        <v>10</v>
      </c>
      <c r="C319" s="17" t="inlineStr">
        <is>
          <t>에어프로덕츠코리아(주)</t>
        </is>
      </c>
      <c r="D319" s="17" t="inlineStr">
        <is>
          <t>온산</t>
        </is>
      </c>
      <c r="E319" s="17" t="inlineStr">
        <is>
          <t>울산광역시</t>
        </is>
      </c>
      <c r="F319" s="17" t="inlineStr">
        <is>
          <t>울주군</t>
        </is>
      </c>
      <c r="G319" s="17" t="n">
        <v>2</v>
      </c>
      <c r="H319" s="17" t="inlineStr"/>
      <c r="I319" s="17" t="inlineStr"/>
      <c r="J319" s="17" t="inlineStr">
        <is>
          <t>Y</t>
        </is>
      </c>
      <c r="K319" s="17" t="inlineStr"/>
      <c r="L319" s="22" t="inlineStr">
        <is>
          <t>미확인</t>
        </is>
      </c>
      <c r="M319" s="22" t="inlineStr">
        <is>
          <t>미확인</t>
        </is>
      </c>
      <c r="N319" s="22" t="inlineStr">
        <is>
          <t>미확인</t>
        </is>
      </c>
      <c r="O319" s="22" t="inlineStr">
        <is>
          <t>미확인</t>
        </is>
      </c>
      <c r="P319" s="17" t="inlineStr">
        <is>
          <t>EDMS+QMS+LMS</t>
        </is>
      </c>
      <c r="Q319" s="22" t="inlineStr">
        <is>
          <t>미확인</t>
        </is>
      </c>
      <c r="R319" s="22" t="inlineStr">
        <is>
          <t>미확인</t>
        </is>
      </c>
      <c r="S319" s="17" t="inlineStr">
        <is>
          <t>Tier D</t>
        </is>
      </c>
      <c r="T319" s="17" t="n">
        <v>8</v>
      </c>
      <c r="U319" s="17" t="inlineStr">
        <is>
          <t>C070</t>
        </is>
      </c>
      <c r="V319" s="17" t="inlineStr">
        <is>
          <t>에어프로덕츠코리아</t>
        </is>
      </c>
      <c r="W319" s="17" t="inlineStr"/>
      <c r="X319" s="17" t="inlineStr"/>
      <c r="Y319" s="23" t="inlineStr"/>
      <c r="Z319" s="17" t="inlineStr">
        <is>
          <t>김승록</t>
        </is>
      </c>
      <c r="AA319" s="17" t="inlineStr"/>
      <c r="AB319" s="17" t="inlineStr">
        <is>
          <t>052-259-4098</t>
        </is>
      </c>
      <c r="AC319" s="17" t="inlineStr">
        <is>
          <t>미확인</t>
        </is>
      </c>
      <c r="AD319" s="17" t="inlineStr">
        <is>
          <t>Y</t>
        </is>
      </c>
      <c r="AE319" s="17" t="inlineStr">
        <is>
          <t>P072</t>
        </is>
      </c>
      <c r="AF319" s="17" t="inlineStr">
        <is>
          <t>울산광역시 울주군 온산읍 석당길 15</t>
        </is>
      </c>
      <c r="AG319" s="17" t="inlineStr">
        <is>
          <t>완제의약품</t>
        </is>
      </c>
      <c r="AH319" s="17" t="inlineStr">
        <is>
          <t>비무균-일반제제-가스제(의료용 고압가스)</t>
        </is>
      </c>
      <c r="AI319" s="17" t="n">
        <v>1</v>
      </c>
      <c r="AJ319" s="24" t="n">
        <v>47170</v>
      </c>
      <c r="AK319" s="17" t="inlineStr"/>
      <c r="AL319" s="17" t="inlineStr"/>
      <c r="AM319" s="17" t="inlineStr">
        <is>
          <t>다중 제조소/다수 판정서로 문서관리 복잡; 다중 제조소로 교육관리 대상 광범위</t>
        </is>
      </c>
      <c r="AN319" s="17" t="inlineStr">
        <is>
          <t>미확인</t>
        </is>
      </c>
      <c r="AO319" s="17" t="inlineStr">
        <is>
          <t>미확인</t>
        </is>
      </c>
      <c r="AP319" s="17" t="inlineStr">
        <is>
          <t>미확인</t>
        </is>
      </c>
      <c r="AQ319" s="17" t="inlineStr">
        <is>
          <t>담당자 파악 후 접촉</t>
        </is>
      </c>
      <c r="AR319" s="17" t="inlineStr">
        <is>
          <t>2026-07-05</t>
        </is>
      </c>
      <c r="AS319" s="17" t="inlineStr">
        <is>
          <t>C(부분확인)</t>
        </is>
      </c>
      <c r="AT319" s="17" t="n">
        <v>90</v>
      </c>
      <c r="AU319" s="17" t="inlineStr"/>
      <c r="AV319" s="17" t="inlineStr"/>
    </row>
    <row r="320">
      <c r="A320" s="27" t="inlineStr">
        <is>
          <t>Tier C</t>
        </is>
      </c>
      <c r="B320" s="17" t="n">
        <v>10</v>
      </c>
      <c r="C320" s="17" t="inlineStr">
        <is>
          <t>에어프로덕츠코리아(주)</t>
        </is>
      </c>
      <c r="D320" s="17" t="inlineStr">
        <is>
          <t>아산(탕정)</t>
        </is>
      </c>
      <c r="E320" s="17" t="inlineStr">
        <is>
          <t>충청남도</t>
        </is>
      </c>
      <c r="F320" s="17" t="inlineStr">
        <is>
          <t>아산시</t>
        </is>
      </c>
      <c r="G320" s="17" t="n">
        <v>2</v>
      </c>
      <c r="H320" s="17" t="inlineStr"/>
      <c r="I320" s="17" t="inlineStr"/>
      <c r="J320" s="17" t="inlineStr">
        <is>
          <t>Y</t>
        </is>
      </c>
      <c r="K320" s="17" t="inlineStr"/>
      <c r="L320" s="22" t="inlineStr">
        <is>
          <t>미확인</t>
        </is>
      </c>
      <c r="M320" s="22" t="inlineStr">
        <is>
          <t>미확인</t>
        </is>
      </c>
      <c r="N320" s="22" t="inlineStr">
        <is>
          <t>미확인</t>
        </is>
      </c>
      <c r="O320" s="22" t="inlineStr">
        <is>
          <t>미확인</t>
        </is>
      </c>
      <c r="P320" s="17" t="inlineStr">
        <is>
          <t>EDMS+QMS+LMS</t>
        </is>
      </c>
      <c r="Q320" s="22" t="inlineStr">
        <is>
          <t>미확인</t>
        </is>
      </c>
      <c r="R320" s="22" t="inlineStr">
        <is>
          <t>미확인</t>
        </is>
      </c>
      <c r="S320" s="17" t="inlineStr">
        <is>
          <t>Tier D</t>
        </is>
      </c>
      <c r="T320" s="17" t="n">
        <v>8</v>
      </c>
      <c r="U320" s="17" t="inlineStr">
        <is>
          <t>C070</t>
        </is>
      </c>
      <c r="V320" s="17" t="inlineStr">
        <is>
          <t>에어프로덕츠코리아</t>
        </is>
      </c>
      <c r="W320" s="17" t="inlineStr"/>
      <c r="X320" s="17" t="inlineStr"/>
      <c r="Y320" s="23" t="inlineStr"/>
      <c r="Z320" s="17" t="inlineStr">
        <is>
          <t>김승록</t>
        </is>
      </c>
      <c r="AA320" s="17" t="inlineStr"/>
      <c r="AB320" s="17" t="inlineStr">
        <is>
          <t>052-259-4098</t>
        </is>
      </c>
      <c r="AC320" s="17" t="inlineStr">
        <is>
          <t>미확인</t>
        </is>
      </c>
      <c r="AD320" s="17" t="inlineStr">
        <is>
          <t>Y</t>
        </is>
      </c>
      <c r="AE320" s="17" t="inlineStr">
        <is>
          <t>P311</t>
        </is>
      </c>
      <c r="AF320" s="17" t="inlineStr">
        <is>
          <t>충청남도 아산시 탕정면 탕정로 380-33</t>
        </is>
      </c>
      <c r="AG320" s="17" t="inlineStr">
        <is>
          <t>완제의약품</t>
        </is>
      </c>
      <c r="AH320" s="17" t="inlineStr">
        <is>
          <t>비무균-일반제제-가스제(의료용 고압가스)</t>
        </is>
      </c>
      <c r="AI320" s="17" t="n">
        <v>1</v>
      </c>
      <c r="AJ320" s="24" t="n">
        <v>46768</v>
      </c>
      <c r="AK320" s="17" t="inlineStr"/>
      <c r="AL320" s="17" t="inlineStr"/>
      <c r="AM320" s="17" t="inlineStr">
        <is>
          <t>다중 제조소/다수 판정서로 문서관리 복잡; 다중 제조소로 교육관리 대상 광범위</t>
        </is>
      </c>
      <c r="AN320" s="17" t="inlineStr">
        <is>
          <t>미확인</t>
        </is>
      </c>
      <c r="AO320" s="17" t="inlineStr">
        <is>
          <t>미확인</t>
        </is>
      </c>
      <c r="AP320" s="17" t="inlineStr">
        <is>
          <t>미확인</t>
        </is>
      </c>
      <c r="AQ320" s="17" t="inlineStr">
        <is>
          <t>담당자 파악 후 접촉</t>
        </is>
      </c>
      <c r="AR320" s="17" t="inlineStr">
        <is>
          <t>2026-07-05</t>
        </is>
      </c>
      <c r="AS320" s="17" t="inlineStr">
        <is>
          <t>C(부분확인)</t>
        </is>
      </c>
      <c r="AT320" s="17" t="n">
        <v>90</v>
      </c>
      <c r="AU320" s="17" t="inlineStr"/>
      <c r="AV320" s="17" t="inlineStr"/>
    </row>
    <row r="321">
      <c r="A321" s="27" t="inlineStr">
        <is>
          <t>Tier C</t>
        </is>
      </c>
      <c r="B321" s="17" t="n">
        <v>10</v>
      </c>
      <c r="C321" s="17" t="inlineStr">
        <is>
          <t>원광제약(주)</t>
        </is>
      </c>
      <c r="D321" s="17" t="inlineStr">
        <is>
          <t>1공장(삼기)</t>
        </is>
      </c>
      <c r="E321" s="17" t="inlineStr">
        <is>
          <t>전북특별자치도</t>
        </is>
      </c>
      <c r="F321" s="17" t="inlineStr">
        <is>
          <t>익산시</t>
        </is>
      </c>
      <c r="G321" s="17" t="n">
        <v>2</v>
      </c>
      <c r="H321" s="17" t="inlineStr"/>
      <c r="I321" s="17" t="inlineStr"/>
      <c r="J321" s="17" t="inlineStr">
        <is>
          <t>Y</t>
        </is>
      </c>
      <c r="K321" s="17" t="inlineStr"/>
      <c r="L321" s="22" t="inlineStr">
        <is>
          <t>미확인</t>
        </is>
      </c>
      <c r="M321" s="22" t="inlineStr">
        <is>
          <t>미확인</t>
        </is>
      </c>
      <c r="N321" s="22" t="inlineStr">
        <is>
          <t>미확인</t>
        </is>
      </c>
      <c r="O321" s="22" t="inlineStr">
        <is>
          <t>미확인</t>
        </is>
      </c>
      <c r="P321" s="17" t="inlineStr">
        <is>
          <t>EDMS+QMS+LMS</t>
        </is>
      </c>
      <c r="Q321" s="22" t="inlineStr">
        <is>
          <t>미확인</t>
        </is>
      </c>
      <c r="R321" s="22" t="inlineStr">
        <is>
          <t>미확인</t>
        </is>
      </c>
      <c r="S321" s="17" t="inlineStr">
        <is>
          <t>Tier D</t>
        </is>
      </c>
      <c r="T321" s="17" t="n">
        <v>8</v>
      </c>
      <c r="U321" s="17" t="inlineStr">
        <is>
          <t>C117</t>
        </is>
      </c>
      <c r="V321" s="17" t="inlineStr">
        <is>
          <t>원광제약</t>
        </is>
      </c>
      <c r="W321" s="17" t="inlineStr"/>
      <c r="X321" s="17" t="inlineStr"/>
      <c r="Y321" s="23" t="inlineStr"/>
      <c r="Z321" s="17" t="inlineStr">
        <is>
          <t>최경수</t>
        </is>
      </c>
      <c r="AA321" s="17" t="inlineStr"/>
      <c r="AB321" s="17" t="inlineStr">
        <is>
          <t>063-832-3114</t>
        </is>
      </c>
      <c r="AC321" s="17" t="inlineStr">
        <is>
          <t>미확인</t>
        </is>
      </c>
      <c r="AD321" s="17" t="inlineStr">
        <is>
          <t>Y</t>
        </is>
      </c>
      <c r="AE321" s="17" t="inlineStr">
        <is>
          <t>P123</t>
        </is>
      </c>
      <c r="AF321" s="17" t="inlineStr">
        <is>
          <t>전북특별자치도 익산시 삼기면 미륵사지로 795-20</t>
        </is>
      </c>
      <c r="AG321" s="17" t="inlineStr">
        <is>
          <t>완제의약품</t>
        </is>
      </c>
      <c r="AH321" s="17" t="inlineStr">
        <is>
          <t>비무균-일반제제-내용고형제(환제), 비무균-일반제제-내용액제(경구용액제, 현탁제, 엑스제(액상))</t>
        </is>
      </c>
      <c r="AI321" s="17" t="n">
        <v>1</v>
      </c>
      <c r="AJ321" s="24" t="n">
        <v>47039</v>
      </c>
      <c r="AK321" s="17" t="inlineStr"/>
      <c r="AL321" s="17" t="inlineStr"/>
      <c r="AM321" s="17" t="inlineStr">
        <is>
          <t>다중 제조소/다수 판정서로 문서관리 복잡; 다중 제조소로 교육관리 대상 광범위</t>
        </is>
      </c>
      <c r="AN321" s="17" t="inlineStr">
        <is>
          <t>미확인</t>
        </is>
      </c>
      <c r="AO321" s="17" t="inlineStr">
        <is>
          <t>미확인</t>
        </is>
      </c>
      <c r="AP321" s="17" t="inlineStr">
        <is>
          <t>미확인</t>
        </is>
      </c>
      <c r="AQ321" s="17" t="inlineStr">
        <is>
          <t>담당자 파악 후 접촉</t>
        </is>
      </c>
      <c r="AR321" s="17" t="inlineStr">
        <is>
          <t>2026-07-05</t>
        </is>
      </c>
      <c r="AS321" s="17" t="inlineStr">
        <is>
          <t>C(부분확인)</t>
        </is>
      </c>
      <c r="AT321" s="17" t="n">
        <v>90</v>
      </c>
      <c r="AU321" s="17" t="inlineStr"/>
      <c r="AV321" s="17" t="inlineStr"/>
    </row>
    <row r="322">
      <c r="A322" s="27" t="inlineStr">
        <is>
          <t>Tier C</t>
        </is>
      </c>
      <c r="B322" s="17" t="n">
        <v>10</v>
      </c>
      <c r="C322" s="17" t="inlineStr">
        <is>
          <t>원광제약(주)</t>
        </is>
      </c>
      <c r="D322" s="17" t="inlineStr">
        <is>
          <t>2공장(춘포)</t>
        </is>
      </c>
      <c r="E322" s="17" t="inlineStr">
        <is>
          <t>전북특별자치도</t>
        </is>
      </c>
      <c r="F322" s="17" t="inlineStr">
        <is>
          <t>익산시</t>
        </is>
      </c>
      <c r="G322" s="17" t="n">
        <v>2</v>
      </c>
      <c r="H322" s="17" t="inlineStr"/>
      <c r="I322" s="17" t="inlineStr"/>
      <c r="J322" s="17" t="inlineStr">
        <is>
          <t>Y</t>
        </is>
      </c>
      <c r="K322" s="17" t="inlineStr"/>
      <c r="L322" s="22" t="inlineStr">
        <is>
          <t>미확인</t>
        </is>
      </c>
      <c r="M322" s="22" t="inlineStr">
        <is>
          <t>미확인</t>
        </is>
      </c>
      <c r="N322" s="22" t="inlineStr">
        <is>
          <t>미확인</t>
        </is>
      </c>
      <c r="O322" s="22" t="inlineStr">
        <is>
          <t>미확인</t>
        </is>
      </c>
      <c r="P322" s="17" t="inlineStr">
        <is>
          <t>EDMS+QMS+LMS</t>
        </is>
      </c>
      <c r="Q322" s="22" t="inlineStr">
        <is>
          <t>미확인</t>
        </is>
      </c>
      <c r="R322" s="22" t="inlineStr">
        <is>
          <t>미확인</t>
        </is>
      </c>
      <c r="S322" s="17" t="inlineStr">
        <is>
          <t>Tier D</t>
        </is>
      </c>
      <c r="T322" s="17" t="n">
        <v>8</v>
      </c>
      <c r="U322" s="17" t="inlineStr">
        <is>
          <t>C117</t>
        </is>
      </c>
      <c r="V322" s="17" t="inlineStr">
        <is>
          <t>원광제약</t>
        </is>
      </c>
      <c r="W322" s="17" t="inlineStr"/>
      <c r="X322" s="17" t="inlineStr"/>
      <c r="Y322" s="23" t="inlineStr"/>
      <c r="Z322" s="17" t="inlineStr">
        <is>
          <t>최경수</t>
        </is>
      </c>
      <c r="AA322" s="17" t="inlineStr"/>
      <c r="AB322" s="17" t="inlineStr">
        <is>
          <t>063-832-3114</t>
        </is>
      </c>
      <c r="AC322" s="17" t="inlineStr">
        <is>
          <t>미확인</t>
        </is>
      </c>
      <c r="AD322" s="17" t="inlineStr">
        <is>
          <t>Y</t>
        </is>
      </c>
      <c r="AE322" s="17" t="inlineStr">
        <is>
          <t>P176</t>
        </is>
      </c>
      <c r="AF322" s="17" t="inlineStr">
        <is>
          <t>전북특별자치도 익산시 춘포면 석암로11길 165</t>
        </is>
      </c>
      <c r="AG322" s="17" t="inlineStr">
        <is>
          <t>완제의약품</t>
        </is>
      </c>
      <c r="AH322" s="17" t="inlineStr">
        <is>
          <t>비무균-성호르몬제-내용액제(현탁제), 비무균-일반제제-그 밖의 고형제(혈액투석제(고형))</t>
        </is>
      </c>
      <c r="AI322" s="17" t="n">
        <v>1</v>
      </c>
      <c r="AJ322" s="24" t="n">
        <v>46947</v>
      </c>
      <c r="AK322" s="17" t="inlineStr"/>
      <c r="AL322" s="17" t="inlineStr"/>
      <c r="AM322" s="17" t="inlineStr">
        <is>
          <t>다중 제조소/다수 판정서로 문서관리 복잡; 다중 제조소로 교육관리 대상 광범위</t>
        </is>
      </c>
      <c r="AN322" s="17" t="inlineStr">
        <is>
          <t>미확인</t>
        </is>
      </c>
      <c r="AO322" s="17" t="inlineStr">
        <is>
          <t>미확인</t>
        </is>
      </c>
      <c r="AP322" s="17" t="inlineStr">
        <is>
          <t>미확인</t>
        </is>
      </c>
      <c r="AQ322" s="17" t="inlineStr">
        <is>
          <t>담당자 파악 후 접촉</t>
        </is>
      </c>
      <c r="AR322" s="17" t="inlineStr">
        <is>
          <t>2026-07-05</t>
        </is>
      </c>
      <c r="AS322" s="17" t="inlineStr">
        <is>
          <t>C(부분확인)</t>
        </is>
      </c>
      <c r="AT322" s="17" t="n">
        <v>90</v>
      </c>
      <c r="AU322" s="17" t="inlineStr"/>
      <c r="AV322" s="17" t="inlineStr"/>
    </row>
    <row r="323">
      <c r="A323" s="27" t="inlineStr">
        <is>
          <t>Tier C</t>
        </is>
      </c>
      <c r="B323" s="17" t="n">
        <v>10</v>
      </c>
      <c r="C323" s="17" t="inlineStr">
        <is>
          <t>태극제약(주)</t>
        </is>
      </c>
      <c r="D323" s="17" t="inlineStr">
        <is>
          <t>화성</t>
        </is>
      </c>
      <c r="E323" s="17" t="inlineStr">
        <is>
          <t>경기도</t>
        </is>
      </c>
      <c r="F323" s="17" t="inlineStr">
        <is>
          <t>화성시</t>
        </is>
      </c>
      <c r="G323" s="17" t="n">
        <v>2</v>
      </c>
      <c r="H323" s="17" t="inlineStr"/>
      <c r="I323" s="17" t="inlineStr"/>
      <c r="J323" s="17" t="inlineStr">
        <is>
          <t>Y</t>
        </is>
      </c>
      <c r="K323" s="17" t="inlineStr"/>
      <c r="L323" s="22" t="inlineStr">
        <is>
          <t>미확인</t>
        </is>
      </c>
      <c r="M323" s="22" t="inlineStr">
        <is>
          <t>미확인</t>
        </is>
      </c>
      <c r="N323" s="22" t="inlineStr">
        <is>
          <t>미확인</t>
        </is>
      </c>
      <c r="O323" s="22" t="inlineStr">
        <is>
          <t>미확인</t>
        </is>
      </c>
      <c r="P323" s="17" t="inlineStr">
        <is>
          <t>EDMS+QMS+LMS</t>
        </is>
      </c>
      <c r="Q323" s="22" t="inlineStr">
        <is>
          <t>미확인</t>
        </is>
      </c>
      <c r="R323" s="22" t="inlineStr">
        <is>
          <t>미확인</t>
        </is>
      </c>
      <c r="S323" s="17" t="inlineStr">
        <is>
          <t>Tier D</t>
        </is>
      </c>
      <c r="T323" s="17" t="n">
        <v>8</v>
      </c>
      <c r="U323" s="17" t="inlineStr">
        <is>
          <t>C261</t>
        </is>
      </c>
      <c r="V323" s="17" t="inlineStr">
        <is>
          <t>태극제약</t>
        </is>
      </c>
      <c r="W323" s="17" t="inlineStr"/>
      <c r="X323" s="17" t="inlineStr"/>
      <c r="Y323" s="23" t="inlineStr"/>
      <c r="Z323" s="17" t="inlineStr">
        <is>
          <t>최승만</t>
        </is>
      </c>
      <c r="AA323" s="17" t="inlineStr"/>
      <c r="AB323" s="17" t="inlineStr">
        <is>
          <t>02-3474-7761</t>
        </is>
      </c>
      <c r="AC323" s="17" t="inlineStr">
        <is>
          <t>미확인</t>
        </is>
      </c>
      <c r="AD323" s="17" t="inlineStr">
        <is>
          <t>Y</t>
        </is>
      </c>
      <c r="AE323" s="17" t="inlineStr">
        <is>
          <t>P306</t>
        </is>
      </c>
      <c r="AF323" s="17" t="inlineStr">
        <is>
          <t>경기도 화성시 만세구 향남읍 제약공단3길 123</t>
        </is>
      </c>
      <c r="AG323" s="17" t="inlineStr">
        <is>
          <t>완제의약품</t>
        </is>
      </c>
      <c r="AH323" s="17" t="inlineStr">
        <is>
          <t>비무균-일반제제-내용고형제(정제, 캡슐제), 비무균-일반제제-내용액제(경구용액제, 시럽제(액상), 현탁제, 구강용스프레이제), 비무균-일반제제-외용액제(외용액제)</t>
        </is>
      </c>
      <c r="AI323" s="17" t="n">
        <v>1</v>
      </c>
      <c r="AJ323" s="24" t="n">
        <v>46778</v>
      </c>
      <c r="AK323" s="17" t="inlineStr"/>
      <c r="AL323" s="17" t="inlineStr"/>
      <c r="AM323" s="17" t="inlineStr">
        <is>
          <t>다중 제조소/다수 판정서로 문서관리 복잡; 다중 제조소로 교육관리 대상 광범위</t>
        </is>
      </c>
      <c r="AN323" s="17" t="inlineStr">
        <is>
          <t>미확인</t>
        </is>
      </c>
      <c r="AO323" s="17" t="inlineStr">
        <is>
          <t>미확인</t>
        </is>
      </c>
      <c r="AP323" s="17" t="inlineStr">
        <is>
          <t>미확인</t>
        </is>
      </c>
      <c r="AQ323" s="17" t="inlineStr">
        <is>
          <t>담당자 파악 후 접촉</t>
        </is>
      </c>
      <c r="AR323" s="17" t="inlineStr">
        <is>
          <t>2026-07-05</t>
        </is>
      </c>
      <c r="AS323" s="17" t="inlineStr">
        <is>
          <t>C(부분확인)</t>
        </is>
      </c>
      <c r="AT323" s="17" t="n">
        <v>90</v>
      </c>
      <c r="AU323" s="17" t="inlineStr"/>
      <c r="AV323" s="17" t="inlineStr"/>
    </row>
    <row r="324">
      <c r="A324" s="27" t="inlineStr">
        <is>
          <t>Tier C</t>
        </is>
      </c>
      <c r="B324" s="17" t="n">
        <v>10</v>
      </c>
      <c r="C324" s="17" t="inlineStr">
        <is>
          <t>태극제약(주)</t>
        </is>
      </c>
      <c r="D324" s="17" t="inlineStr">
        <is>
          <t>부여</t>
        </is>
      </c>
      <c r="E324" s="17" t="inlineStr">
        <is>
          <t>충청남도</t>
        </is>
      </c>
      <c r="F324" s="17" t="inlineStr">
        <is>
          <t>부여군</t>
        </is>
      </c>
      <c r="G324" s="17" t="n">
        <v>2</v>
      </c>
      <c r="H324" s="17" t="inlineStr"/>
      <c r="I324" s="17" t="inlineStr"/>
      <c r="J324" s="17" t="inlineStr">
        <is>
          <t>Y</t>
        </is>
      </c>
      <c r="K324" s="17" t="inlineStr"/>
      <c r="L324" s="22" t="inlineStr">
        <is>
          <t>미확인</t>
        </is>
      </c>
      <c r="M324" s="22" t="inlineStr">
        <is>
          <t>미확인</t>
        </is>
      </c>
      <c r="N324" s="22" t="inlineStr">
        <is>
          <t>미확인</t>
        </is>
      </c>
      <c r="O324" s="22" t="inlineStr">
        <is>
          <t>미확인</t>
        </is>
      </c>
      <c r="P324" s="17" t="inlineStr">
        <is>
          <t>EDMS+QMS+LMS</t>
        </is>
      </c>
      <c r="Q324" s="22" t="inlineStr">
        <is>
          <t>미확인</t>
        </is>
      </c>
      <c r="R324" s="22" t="inlineStr">
        <is>
          <t>미확인</t>
        </is>
      </c>
      <c r="S324" s="17" t="inlineStr">
        <is>
          <t>Tier D</t>
        </is>
      </c>
      <c r="T324" s="17" t="n">
        <v>8</v>
      </c>
      <c r="U324" s="17" t="inlineStr">
        <is>
          <t>C261</t>
        </is>
      </c>
      <c r="V324" s="17" t="inlineStr">
        <is>
          <t>태극제약</t>
        </is>
      </c>
      <c r="W324" s="17" t="inlineStr"/>
      <c r="X324" s="17" t="inlineStr"/>
      <c r="Y324" s="23" t="inlineStr"/>
      <c r="Z324" s="17" t="inlineStr">
        <is>
          <t>최승만</t>
        </is>
      </c>
      <c r="AA324" s="17" t="inlineStr"/>
      <c r="AB324" s="17" t="inlineStr">
        <is>
          <t>02-3474-7761</t>
        </is>
      </c>
      <c r="AC324" s="17" t="inlineStr">
        <is>
          <t>미확인</t>
        </is>
      </c>
      <c r="AD324" s="17" t="inlineStr">
        <is>
          <t>Y</t>
        </is>
      </c>
      <c r="AE324" s="17" t="inlineStr">
        <is>
          <t>P350</t>
        </is>
      </c>
      <c r="AF324" s="17" t="inlineStr">
        <is>
          <t>충청남도 부여군 초촌면 금백로 821</t>
        </is>
      </c>
      <c r="AG324" s="17" t="inlineStr">
        <is>
          <t>완제의약품</t>
        </is>
      </c>
      <c r="AH324" s="17" t="inlineStr">
        <is>
          <t>비무균-일반제제-외용액제(외용액제, 로션제, 점비액제), 비무균-일반제제-연고제(연고제, 크림제, 페이스트제, 겔제, 구강용반고형제)</t>
        </is>
      </c>
      <c r="AI324" s="17" t="n">
        <v>1</v>
      </c>
      <c r="AJ324" s="24" t="n">
        <v>46593</v>
      </c>
      <c r="AK324" s="17" t="inlineStr"/>
      <c r="AL324" s="17" t="inlineStr"/>
      <c r="AM324" s="17" t="inlineStr">
        <is>
          <t>다중 제조소/다수 판정서로 문서관리 복잡; 다중 제조소로 교육관리 대상 광범위</t>
        </is>
      </c>
      <c r="AN324" s="17" t="inlineStr">
        <is>
          <t>미확인</t>
        </is>
      </c>
      <c r="AO324" s="17" t="inlineStr">
        <is>
          <t>미확인</t>
        </is>
      </c>
      <c r="AP324" s="17" t="inlineStr">
        <is>
          <t>미확인</t>
        </is>
      </c>
      <c r="AQ324" s="17" t="inlineStr">
        <is>
          <t>담당자 파악 후 접촉</t>
        </is>
      </c>
      <c r="AR324" s="17" t="inlineStr">
        <is>
          <t>2026-07-05</t>
        </is>
      </c>
      <c r="AS324" s="17" t="inlineStr">
        <is>
          <t>C(부분확인)</t>
        </is>
      </c>
      <c r="AT324" s="17" t="n">
        <v>90</v>
      </c>
      <c r="AU324" s="17" t="inlineStr"/>
      <c r="AV324" s="17" t="inlineStr"/>
    </row>
    <row r="325">
      <c r="A325" s="27" t="inlineStr">
        <is>
          <t>Tier C</t>
        </is>
      </c>
      <c r="B325" s="17" t="n">
        <v>10</v>
      </c>
      <c r="C325" s="17" t="inlineStr">
        <is>
          <t>(유한)동아가스산업</t>
        </is>
      </c>
      <c r="D325" s="17" t="inlineStr">
        <is>
          <t>사천</t>
        </is>
      </c>
      <c r="E325" s="17" t="inlineStr">
        <is>
          <t>경상남도</t>
        </is>
      </c>
      <c r="F325" s="17" t="inlineStr">
        <is>
          <t>사천시</t>
        </is>
      </c>
      <c r="G325" s="17" t="n">
        <v>1</v>
      </c>
      <c r="H325" s="17" t="inlineStr"/>
      <c r="I325" s="17" t="inlineStr"/>
      <c r="J325" s="17" t="inlineStr">
        <is>
          <t>Y</t>
        </is>
      </c>
      <c r="K325" s="17" t="inlineStr"/>
      <c r="L325" s="22" t="inlineStr">
        <is>
          <t>미확인</t>
        </is>
      </c>
      <c r="M325" s="22" t="inlineStr">
        <is>
          <t>미확인</t>
        </is>
      </c>
      <c r="N325" s="22" t="inlineStr">
        <is>
          <t>미확인</t>
        </is>
      </c>
      <c r="O325" s="22" t="inlineStr">
        <is>
          <t>미확인</t>
        </is>
      </c>
      <c r="P325" s="17" t="inlineStr">
        <is>
          <t>QMS</t>
        </is>
      </c>
      <c r="Q325" s="22" t="inlineStr">
        <is>
          <t>미확인</t>
        </is>
      </c>
      <c r="R325" s="22" t="inlineStr">
        <is>
          <t>미확인</t>
        </is>
      </c>
      <c r="S325" s="17" t="inlineStr">
        <is>
          <t>Tier D</t>
        </is>
      </c>
      <c r="T325" s="17" t="n">
        <v>9</v>
      </c>
      <c r="U325" s="17" t="inlineStr">
        <is>
          <t>C405</t>
        </is>
      </c>
      <c r="V325" s="17" t="inlineStr">
        <is>
          <t>(유한)동아가스산업</t>
        </is>
      </c>
      <c r="W325" s="17" t="inlineStr"/>
      <c r="X325" s="17" t="inlineStr"/>
      <c r="Y325" s="23" t="inlineStr"/>
      <c r="Z325" s="17" t="inlineStr">
        <is>
          <t>김대철</t>
        </is>
      </c>
      <c r="AA325" s="17" t="inlineStr"/>
      <c r="AB325" s="17" t="inlineStr">
        <is>
          <t>055-834-3688</t>
        </is>
      </c>
      <c r="AC325" s="17" t="inlineStr">
        <is>
          <t>미확인</t>
        </is>
      </c>
      <c r="AD325" s="17" t="inlineStr">
        <is>
          <t>Y</t>
        </is>
      </c>
      <c r="AE325" s="17" t="inlineStr">
        <is>
          <t>P498</t>
        </is>
      </c>
      <c r="AF325" s="17" t="inlineStr">
        <is>
          <t>경상남도 사천시 사천대로 712</t>
        </is>
      </c>
      <c r="AG325" s="17" t="inlineStr">
        <is>
          <t>완제의약품</t>
        </is>
      </c>
      <c r="AH325" s="17" t="inlineStr">
        <is>
          <t>그밖의 제형(가스군(흡입제(소분, 기체상, 의료용 고압가스))), 그밖의 제형(액제군(흡입제(소분, 액상, 의료용 고압가스)))</t>
        </is>
      </c>
      <c r="AI325" s="17" t="n">
        <v>1</v>
      </c>
      <c r="AJ325" s="24" t="n">
        <v>46251</v>
      </c>
      <c r="AK325" s="25" t="inlineStr">
        <is>
          <t>Y</t>
        </is>
      </c>
      <c r="AL325" s="17" t="inlineStr">
        <is>
          <t>Y</t>
        </is>
      </c>
      <c r="AM325" s="17" t="inlineStr">
        <is>
          <t>기본 GMP 문서관리 대상</t>
        </is>
      </c>
      <c r="AN325" s="17" t="inlineStr">
        <is>
          <t>미확인</t>
        </is>
      </c>
      <c r="AO325" s="17" t="inlineStr">
        <is>
          <t>미확인</t>
        </is>
      </c>
      <c r="AP325" s="17" t="inlineStr">
        <is>
          <t>미확인</t>
        </is>
      </c>
      <c r="AQ325" s="17" t="inlineStr">
        <is>
          <t>담당자 파악 후 접촉</t>
        </is>
      </c>
      <c r="AR325" s="17" t="inlineStr">
        <is>
          <t>2026-07-05</t>
        </is>
      </c>
      <c r="AS325" s="17" t="inlineStr">
        <is>
          <t>C(부분확인)</t>
        </is>
      </c>
      <c r="AT325" s="17" t="n">
        <v>90</v>
      </c>
      <c r="AU325" s="17" t="inlineStr"/>
      <c r="AV325" s="17" t="inlineStr"/>
    </row>
    <row r="326">
      <c r="A326" s="27" t="inlineStr">
        <is>
          <t>Tier C</t>
        </is>
      </c>
      <c r="B326" s="17" t="n">
        <v>10</v>
      </c>
      <c r="C326" s="17" t="inlineStr">
        <is>
          <t>(주)대평</t>
        </is>
      </c>
      <c r="D326" s="17" t="inlineStr">
        <is>
          <t>상주</t>
        </is>
      </c>
      <c r="E326" s="17" t="inlineStr">
        <is>
          <t>경상북도</t>
        </is>
      </c>
      <c r="F326" s="17" t="inlineStr">
        <is>
          <t>상주시</t>
        </is>
      </c>
      <c r="G326" s="17" t="n">
        <v>1</v>
      </c>
      <c r="H326" s="17" t="inlineStr"/>
      <c r="I326" s="17" t="inlineStr"/>
      <c r="J326" s="17" t="inlineStr"/>
      <c r="K326" s="17" t="inlineStr">
        <is>
          <t>Y</t>
        </is>
      </c>
      <c r="L326" s="22" t="inlineStr">
        <is>
          <t>미확인</t>
        </is>
      </c>
      <c r="M326" s="22" t="inlineStr">
        <is>
          <t>미확인</t>
        </is>
      </c>
      <c r="N326" s="22" t="inlineStr">
        <is>
          <t>미확인</t>
        </is>
      </c>
      <c r="O326" s="22" t="inlineStr">
        <is>
          <t>미확인</t>
        </is>
      </c>
      <c r="P326" s="17" t="inlineStr">
        <is>
          <t>LIMS</t>
        </is>
      </c>
      <c r="Q326" s="22" t="inlineStr">
        <is>
          <t>미확인</t>
        </is>
      </c>
      <c r="R326" s="22" t="inlineStr">
        <is>
          <t>미확인</t>
        </is>
      </c>
      <c r="S326" s="17" t="inlineStr">
        <is>
          <t>Tier D</t>
        </is>
      </c>
      <c r="T326" s="17" t="n">
        <v>4</v>
      </c>
      <c r="U326" s="17" t="inlineStr">
        <is>
          <t>C189</t>
        </is>
      </c>
      <c r="V326" s="17" t="inlineStr">
        <is>
          <t>대평</t>
        </is>
      </c>
      <c r="W326" s="17" t="inlineStr"/>
      <c r="X326" s="17" t="inlineStr"/>
      <c r="Y326" s="23" t="inlineStr"/>
      <c r="Z326" s="17" t="inlineStr">
        <is>
          <t>김경재, 김동주</t>
        </is>
      </c>
      <c r="AA326" s="17" t="inlineStr"/>
      <c r="AB326" s="17" t="inlineStr">
        <is>
          <t>054-541-9005</t>
        </is>
      </c>
      <c r="AC326" s="17" t="inlineStr">
        <is>
          <t>미확인</t>
        </is>
      </c>
      <c r="AD326" s="17" t="inlineStr">
        <is>
          <t>Y</t>
        </is>
      </c>
      <c r="AE326" s="17" t="inlineStr">
        <is>
          <t>P203</t>
        </is>
      </c>
      <c r="AF326" s="17" t="inlineStr">
        <is>
          <t>경상북도 상주시 함창읍 영동길 19-8</t>
        </is>
      </c>
      <c r="AG326" s="17" t="inlineStr">
        <is>
          <t>원료의약품</t>
        </is>
      </c>
      <c r="AH326" s="17" t="inlineStr">
        <is>
          <t>비무균-일반제제-추출</t>
        </is>
      </c>
      <c r="AI326" s="17" t="n">
        <v>1</v>
      </c>
      <c r="AJ326" s="24" t="n">
        <v>46918</v>
      </c>
      <c r="AK326" s="17" t="inlineStr"/>
      <c r="AL326" s="17" t="inlineStr"/>
      <c r="AM326" s="17" t="inlineStr">
        <is>
          <t>원료 제조로 시험실 관리 필요</t>
        </is>
      </c>
      <c r="AN326" s="17" t="inlineStr">
        <is>
          <t>미확인</t>
        </is>
      </c>
      <c r="AO326" s="17" t="inlineStr">
        <is>
          <t>미확인</t>
        </is>
      </c>
      <c r="AP326" s="17" t="inlineStr">
        <is>
          <t>미확인</t>
        </is>
      </c>
      <c r="AQ326" s="17" t="inlineStr">
        <is>
          <t>담당자 파악 후 접촉</t>
        </is>
      </c>
      <c r="AR326" s="17" t="inlineStr">
        <is>
          <t>2026-07-05</t>
        </is>
      </c>
      <c r="AS326" s="17" t="inlineStr">
        <is>
          <t>C(부분확인)</t>
        </is>
      </c>
      <c r="AT326" s="17" t="n">
        <v>90</v>
      </c>
      <c r="AU326" s="17" t="inlineStr"/>
      <c r="AV326" s="17" t="inlineStr"/>
    </row>
    <row r="327">
      <c r="A327" s="27" t="inlineStr">
        <is>
          <t>Tier C</t>
        </is>
      </c>
      <c r="B327" s="17" t="n">
        <v>10</v>
      </c>
      <c r="C327" s="17" t="inlineStr">
        <is>
          <t>(주)성일바이오엑스</t>
        </is>
      </c>
      <c r="D327" s="17" t="inlineStr">
        <is>
          <t>화성공장</t>
        </is>
      </c>
      <c r="E327" s="17" t="inlineStr">
        <is>
          <t>경기도</t>
        </is>
      </c>
      <c r="F327" s="17" t="inlineStr">
        <is>
          <t>화성시</t>
        </is>
      </c>
      <c r="G327" s="17" t="n">
        <v>1</v>
      </c>
      <c r="H327" s="17" t="inlineStr"/>
      <c r="I327" s="17" t="inlineStr"/>
      <c r="J327" s="17" t="inlineStr"/>
      <c r="K327" s="17" t="inlineStr">
        <is>
          <t>Y</t>
        </is>
      </c>
      <c r="L327" s="22" t="inlineStr">
        <is>
          <t>미확인</t>
        </is>
      </c>
      <c r="M327" s="22" t="inlineStr">
        <is>
          <t>미확인</t>
        </is>
      </c>
      <c r="N327" s="22" t="inlineStr">
        <is>
          <t>미확인</t>
        </is>
      </c>
      <c r="O327" s="22" t="inlineStr">
        <is>
          <t>미확인</t>
        </is>
      </c>
      <c r="P327" s="17" t="inlineStr">
        <is>
          <t>LIMS</t>
        </is>
      </c>
      <c r="Q327" s="22" t="inlineStr">
        <is>
          <t>미확인</t>
        </is>
      </c>
      <c r="R327" s="22" t="inlineStr">
        <is>
          <t>미확인</t>
        </is>
      </c>
      <c r="S327" s="17" t="inlineStr">
        <is>
          <t>Tier D</t>
        </is>
      </c>
      <c r="T327" s="17" t="n">
        <v>4</v>
      </c>
      <c r="U327" s="17" t="inlineStr">
        <is>
          <t>C051</t>
        </is>
      </c>
      <c r="V327" s="17" t="inlineStr">
        <is>
          <t>성일바이오엑스</t>
        </is>
      </c>
      <c r="W327" s="17" t="inlineStr"/>
      <c r="X327" s="17" t="inlineStr"/>
      <c r="Y327" s="23" t="inlineStr"/>
      <c r="Z327" s="17" t="inlineStr">
        <is>
          <t>천성호</t>
        </is>
      </c>
      <c r="AA327" s="17" t="inlineStr"/>
      <c r="AB327" s="17" t="inlineStr">
        <is>
          <t>031-355-4371</t>
        </is>
      </c>
      <c r="AC327" s="17" t="inlineStr">
        <is>
          <t>미확인</t>
        </is>
      </c>
      <c r="AD327" s="17" t="inlineStr">
        <is>
          <t>Y</t>
        </is>
      </c>
      <c r="AE327" s="17" t="inlineStr">
        <is>
          <t>P052</t>
        </is>
      </c>
      <c r="AF327" s="17" t="inlineStr">
        <is>
          <t>경기도 화성시 만세구 마도면 마도로 775</t>
        </is>
      </c>
      <c r="AG327" s="17" t="inlineStr">
        <is>
          <t>원료의약품</t>
        </is>
      </c>
      <c r="AH327" s="17" t="inlineStr">
        <is>
          <t>비무균-일반제제-추출, 비무균-일반제제-분쇄</t>
        </is>
      </c>
      <c r="AI327" s="17" t="n">
        <v>1</v>
      </c>
      <c r="AJ327" s="24" t="n">
        <v>47213</v>
      </c>
      <c r="AK327" s="17" t="inlineStr"/>
      <c r="AL327" s="17" t="inlineStr"/>
      <c r="AM327" s="17" t="inlineStr">
        <is>
          <t>원료 제조로 시험실 관리 필요</t>
        </is>
      </c>
      <c r="AN327" s="17" t="inlineStr">
        <is>
          <t>미확인</t>
        </is>
      </c>
      <c r="AO327" s="17" t="inlineStr">
        <is>
          <t>미확인</t>
        </is>
      </c>
      <c r="AP327" s="17" t="inlineStr">
        <is>
          <t>미확인</t>
        </is>
      </c>
      <c r="AQ327" s="17" t="inlineStr">
        <is>
          <t>담당자 파악 후 접촉</t>
        </is>
      </c>
      <c r="AR327" s="17" t="inlineStr">
        <is>
          <t>2026-07-05</t>
        </is>
      </c>
      <c r="AS327" s="17" t="inlineStr">
        <is>
          <t>C(부분확인)</t>
        </is>
      </c>
      <c r="AT327" s="17" t="n">
        <v>90</v>
      </c>
      <c r="AU327" s="17" t="inlineStr"/>
      <c r="AV327" s="17" t="inlineStr"/>
    </row>
    <row r="328">
      <c r="A328" s="27" t="inlineStr">
        <is>
          <t>Tier C</t>
        </is>
      </c>
      <c r="B328" s="17" t="n">
        <v>10</v>
      </c>
      <c r="C328" s="17" t="inlineStr">
        <is>
          <t>(주)신라충전소</t>
        </is>
      </c>
      <c r="D328" s="17" t="inlineStr">
        <is>
          <t>제1공장</t>
        </is>
      </c>
      <c r="E328" s="17" t="inlineStr">
        <is>
          <t>경상북도</t>
        </is>
      </c>
      <c r="F328" s="17" t="inlineStr">
        <is>
          <t>구미시</t>
        </is>
      </c>
      <c r="G328" s="17" t="n">
        <v>1</v>
      </c>
      <c r="H328" s="17" t="inlineStr"/>
      <c r="I328" s="17" t="inlineStr"/>
      <c r="J328" s="17" t="inlineStr">
        <is>
          <t>Y</t>
        </is>
      </c>
      <c r="K328" s="17" t="inlineStr"/>
      <c r="L328" s="22" t="inlineStr">
        <is>
          <t>미확인</t>
        </is>
      </c>
      <c r="M328" s="22" t="inlineStr">
        <is>
          <t>미확인</t>
        </is>
      </c>
      <c r="N328" s="22" t="inlineStr">
        <is>
          <t>미확인</t>
        </is>
      </c>
      <c r="O328" s="22" t="inlineStr">
        <is>
          <t>미확인</t>
        </is>
      </c>
      <c r="P328" s="17" t="inlineStr">
        <is>
          <t>QMS</t>
        </is>
      </c>
      <c r="Q328" s="22" t="inlineStr">
        <is>
          <t>미확인</t>
        </is>
      </c>
      <c r="R328" s="22" t="inlineStr">
        <is>
          <t>미확인</t>
        </is>
      </c>
      <c r="S328" s="17" t="inlineStr">
        <is>
          <t>Tier D</t>
        </is>
      </c>
      <c r="T328" s="17" t="n">
        <v>9</v>
      </c>
      <c r="U328" s="17" t="inlineStr">
        <is>
          <t>C372</t>
        </is>
      </c>
      <c r="V328" s="17" t="inlineStr">
        <is>
          <t>신라충전소</t>
        </is>
      </c>
      <c r="W328" s="17" t="inlineStr"/>
      <c r="X328" s="17" t="inlineStr"/>
      <c r="Y328" s="23" t="inlineStr"/>
      <c r="Z328" s="17" t="inlineStr">
        <is>
          <t>박용인</t>
        </is>
      </c>
      <c r="AA328" s="17" t="inlineStr"/>
      <c r="AB328" s="17" t="inlineStr">
        <is>
          <t>054-453-0405</t>
        </is>
      </c>
      <c r="AC328" s="17" t="inlineStr">
        <is>
          <t>미확인</t>
        </is>
      </c>
      <c r="AD328" s="17" t="inlineStr">
        <is>
          <t>Y</t>
        </is>
      </c>
      <c r="AE328" s="17" t="inlineStr">
        <is>
          <t>P452</t>
        </is>
      </c>
      <c r="AF328" s="17" t="inlineStr">
        <is>
          <t>경상북도 구미시 장천면 낙동대로 832</t>
        </is>
      </c>
      <c r="AG328" s="17" t="inlineStr">
        <is>
          <t>완제의약품</t>
        </is>
      </c>
      <c r="AH328" s="17" t="inlineStr">
        <is>
          <t>비무균-일반제제(의료용 고압가스)-가스제(의료용 고압가스), 비무균-일반제제(의료용 고압가스)-그 밖의 액제(흡입제(액상))</t>
        </is>
      </c>
      <c r="AI328" s="17" t="n">
        <v>1</v>
      </c>
      <c r="AJ328" s="24" t="n">
        <v>46370</v>
      </c>
      <c r="AK328" s="25" t="inlineStr">
        <is>
          <t>Y</t>
        </is>
      </c>
      <c r="AL328" s="17" t="inlineStr">
        <is>
          <t>Y</t>
        </is>
      </c>
      <c r="AM328" s="17" t="inlineStr">
        <is>
          <t>기본 GMP 문서관리 대상</t>
        </is>
      </c>
      <c r="AN328" s="17" t="inlineStr">
        <is>
          <t>미확인</t>
        </is>
      </c>
      <c r="AO328" s="17" t="inlineStr">
        <is>
          <t>미확인</t>
        </is>
      </c>
      <c r="AP328" s="17" t="inlineStr">
        <is>
          <t>미확인</t>
        </is>
      </c>
      <c r="AQ328" s="17" t="inlineStr">
        <is>
          <t>담당자 파악 후 접촉</t>
        </is>
      </c>
      <c r="AR328" s="17" t="inlineStr">
        <is>
          <t>2026-07-05</t>
        </is>
      </c>
      <c r="AS328" s="17" t="inlineStr">
        <is>
          <t>C(부분확인)</t>
        </is>
      </c>
      <c r="AT328" s="17" t="n">
        <v>90</v>
      </c>
      <c r="AU328" s="17" t="inlineStr"/>
      <c r="AV328" s="17" t="inlineStr"/>
    </row>
    <row r="329">
      <c r="A329" s="27" t="inlineStr">
        <is>
          <t>Tier C</t>
        </is>
      </c>
      <c r="B329" s="17" t="n">
        <v>10</v>
      </c>
      <c r="C329" s="17" t="inlineStr">
        <is>
          <t>(주)애거슨바이오</t>
        </is>
      </c>
      <c r="D329" s="17" t="inlineStr">
        <is>
          <t>(주)애거슨바이오</t>
        </is>
      </c>
      <c r="E329" s="17" t="inlineStr">
        <is>
          <t>충청북도</t>
        </is>
      </c>
      <c r="F329" s="17" t="inlineStr">
        <is>
          <t>음성군</t>
        </is>
      </c>
      <c r="G329" s="17" t="n">
        <v>1</v>
      </c>
      <c r="H329" s="17" t="inlineStr"/>
      <c r="I329" s="17" t="inlineStr"/>
      <c r="J329" s="17" t="inlineStr"/>
      <c r="K329" s="17" t="inlineStr">
        <is>
          <t>Y</t>
        </is>
      </c>
      <c r="L329" s="22" t="inlineStr">
        <is>
          <t>미확인</t>
        </is>
      </c>
      <c r="M329" s="22" t="inlineStr">
        <is>
          <t>미확인</t>
        </is>
      </c>
      <c r="N329" s="22" t="inlineStr">
        <is>
          <t>미확인</t>
        </is>
      </c>
      <c r="O329" s="22" t="inlineStr">
        <is>
          <t>미확인</t>
        </is>
      </c>
      <c r="P329" s="17" t="inlineStr">
        <is>
          <t>LIMS</t>
        </is>
      </c>
      <c r="Q329" s="22" t="inlineStr">
        <is>
          <t>미확인</t>
        </is>
      </c>
      <c r="R329" s="22" t="inlineStr">
        <is>
          <t>미확인</t>
        </is>
      </c>
      <c r="S329" s="17" t="inlineStr">
        <is>
          <t>Tier D</t>
        </is>
      </c>
      <c r="T329" s="17" t="n">
        <v>4</v>
      </c>
      <c r="U329" s="17" t="inlineStr">
        <is>
          <t>C005</t>
        </is>
      </c>
      <c r="V329" s="17" t="inlineStr">
        <is>
          <t>애거슨바이오</t>
        </is>
      </c>
      <c r="W329" s="17" t="inlineStr"/>
      <c r="X329" s="17" t="inlineStr"/>
      <c r="Y329" s="23" t="inlineStr"/>
      <c r="Z329" s="17" t="inlineStr">
        <is>
          <t>서승열</t>
        </is>
      </c>
      <c r="AA329" s="17" t="inlineStr"/>
      <c r="AB329" s="17" t="inlineStr">
        <is>
          <t>043-882-8774</t>
        </is>
      </c>
      <c r="AC329" s="17" t="inlineStr">
        <is>
          <t>미확인</t>
        </is>
      </c>
      <c r="AD329" s="17" t="inlineStr">
        <is>
          <t>Y</t>
        </is>
      </c>
      <c r="AE329" s="17" t="inlineStr">
        <is>
          <t>P005</t>
        </is>
      </c>
      <c r="AF329" s="17" t="inlineStr">
        <is>
          <t>충청북도 음성군 금왕읍 금왕테크노5길 7</t>
        </is>
      </c>
      <c r="AG329" s="17" t="inlineStr">
        <is>
          <t>원료의약품</t>
        </is>
      </c>
      <c r="AH329" s="17" t="inlineStr">
        <is>
          <t>비무균-일반제제-합성</t>
        </is>
      </c>
      <c r="AI329" s="17" t="n">
        <v>1</v>
      </c>
      <c r="AJ329" s="24" t="n">
        <v>47324</v>
      </c>
      <c r="AK329" s="17" t="inlineStr"/>
      <c r="AL329" s="17" t="inlineStr"/>
      <c r="AM329" s="17" t="inlineStr">
        <is>
          <t>원료 제조로 시험실 관리 필요</t>
        </is>
      </c>
      <c r="AN329" s="17" t="inlineStr">
        <is>
          <t>미확인</t>
        </is>
      </c>
      <c r="AO329" s="17" t="inlineStr">
        <is>
          <t>미확인</t>
        </is>
      </c>
      <c r="AP329" s="17" t="inlineStr">
        <is>
          <t>미확인</t>
        </is>
      </c>
      <c r="AQ329" s="17" t="inlineStr">
        <is>
          <t>담당자 파악 후 접촉</t>
        </is>
      </c>
      <c r="AR329" s="17" t="inlineStr">
        <is>
          <t>2026-07-05</t>
        </is>
      </c>
      <c r="AS329" s="17" t="inlineStr">
        <is>
          <t>C(부분확인)</t>
        </is>
      </c>
      <c r="AT329" s="17" t="n">
        <v>90</v>
      </c>
      <c r="AU329" s="17" t="inlineStr"/>
      <c r="AV329" s="17" t="inlineStr"/>
    </row>
    <row r="330">
      <c r="A330" s="27" t="inlineStr">
        <is>
          <t>Tier C</t>
        </is>
      </c>
      <c r="B330" s="17" t="n">
        <v>10</v>
      </c>
      <c r="C330" s="17" t="inlineStr">
        <is>
          <t>(주)우진가스텍</t>
        </is>
      </c>
      <c r="D330" s="17" t="inlineStr">
        <is>
          <t>(주)우진가스텍</t>
        </is>
      </c>
      <c r="E330" s="17" t="inlineStr">
        <is>
          <t>경상남도</t>
        </is>
      </c>
      <c r="F330" s="17" t="inlineStr">
        <is>
          <t>김해시</t>
        </is>
      </c>
      <c r="G330" s="17" t="n">
        <v>1</v>
      </c>
      <c r="H330" s="17" t="inlineStr"/>
      <c r="I330" s="17" t="inlineStr"/>
      <c r="J330" s="17" t="inlineStr">
        <is>
          <t>Y</t>
        </is>
      </c>
      <c r="K330" s="17" t="inlineStr"/>
      <c r="L330" s="22" t="inlineStr">
        <is>
          <t>미확인</t>
        </is>
      </c>
      <c r="M330" s="22" t="inlineStr">
        <is>
          <t>미확인</t>
        </is>
      </c>
      <c r="N330" s="22" t="inlineStr">
        <is>
          <t>미확인</t>
        </is>
      </c>
      <c r="O330" s="22" t="inlineStr">
        <is>
          <t>미확인</t>
        </is>
      </c>
      <c r="P330" s="17" t="inlineStr">
        <is>
          <t>QMS</t>
        </is>
      </c>
      <c r="Q330" s="22" t="inlineStr">
        <is>
          <t>미확인</t>
        </is>
      </c>
      <c r="R330" s="22" t="inlineStr">
        <is>
          <t>미확인</t>
        </is>
      </c>
      <c r="S330" s="17" t="inlineStr">
        <is>
          <t>Tier D</t>
        </is>
      </c>
      <c r="T330" s="17" t="n">
        <v>9</v>
      </c>
      <c r="U330" s="17" t="inlineStr">
        <is>
          <t>C397</t>
        </is>
      </c>
      <c r="V330" s="17" t="inlineStr">
        <is>
          <t>우진가스텍</t>
        </is>
      </c>
      <c r="W330" s="17" t="inlineStr"/>
      <c r="X330" s="17" t="inlineStr"/>
      <c r="Y330" s="23" t="inlineStr"/>
      <c r="Z330" s="17" t="inlineStr">
        <is>
          <t>신은수</t>
        </is>
      </c>
      <c r="AA330" s="17" t="inlineStr"/>
      <c r="AB330" s="17" t="inlineStr">
        <is>
          <t>055-3361-2612</t>
        </is>
      </c>
      <c r="AC330" s="17" t="inlineStr">
        <is>
          <t>미확인</t>
        </is>
      </c>
      <c r="AD330" s="17" t="inlineStr">
        <is>
          <t>Y</t>
        </is>
      </c>
      <c r="AE330" s="17" t="inlineStr">
        <is>
          <t>P488</t>
        </is>
      </c>
      <c r="AF330" s="17" t="inlineStr">
        <is>
          <t>경상남도 김해시 생림면 마사로 29</t>
        </is>
      </c>
      <c r="AG330" s="17" t="inlineStr">
        <is>
          <t>완제의약품</t>
        </is>
      </c>
      <c r="AH330" s="17" t="inlineStr">
        <is>
          <t>비무균-일반제제(의료용 고압가스)-가스제(의료용 고압가스)</t>
        </is>
      </c>
      <c r="AI330" s="17" t="n">
        <v>1</v>
      </c>
      <c r="AJ330" s="24" t="n">
        <v>46277</v>
      </c>
      <c r="AK330" s="25" t="inlineStr">
        <is>
          <t>Y</t>
        </is>
      </c>
      <c r="AL330" s="17" t="inlineStr">
        <is>
          <t>Y</t>
        </is>
      </c>
      <c r="AM330" s="17" t="inlineStr">
        <is>
          <t>기본 GMP 문서관리 대상</t>
        </is>
      </c>
      <c r="AN330" s="17" t="inlineStr">
        <is>
          <t>미확인</t>
        </is>
      </c>
      <c r="AO330" s="17" t="inlineStr">
        <is>
          <t>미확인</t>
        </is>
      </c>
      <c r="AP330" s="17" t="inlineStr">
        <is>
          <t>미확인</t>
        </is>
      </c>
      <c r="AQ330" s="17" t="inlineStr">
        <is>
          <t>담당자 파악 후 접촉</t>
        </is>
      </c>
      <c r="AR330" s="17" t="inlineStr">
        <is>
          <t>2026-07-05</t>
        </is>
      </c>
      <c r="AS330" s="17" t="inlineStr">
        <is>
          <t>C(부분확인)</t>
        </is>
      </c>
      <c r="AT330" s="17" t="n">
        <v>90</v>
      </c>
      <c r="AU330" s="17" t="inlineStr"/>
      <c r="AV330" s="17" t="inlineStr"/>
    </row>
    <row r="331">
      <c r="A331" s="27" t="inlineStr">
        <is>
          <t>Tier C</t>
        </is>
      </c>
      <c r="B331" s="17" t="n">
        <v>10</v>
      </c>
      <c r="C331" s="17" t="inlineStr">
        <is>
          <t>(주)원풍약품상사</t>
        </is>
      </c>
      <c r="D331" s="17" t="inlineStr">
        <is>
          <t>화성</t>
        </is>
      </c>
      <c r="E331" s="17" t="inlineStr">
        <is>
          <t>경기도</t>
        </is>
      </c>
      <c r="F331" s="17" t="inlineStr">
        <is>
          <t>화성시</t>
        </is>
      </c>
      <c r="G331" s="17" t="n">
        <v>1</v>
      </c>
      <c r="H331" s="17" t="inlineStr"/>
      <c r="I331" s="17" t="inlineStr"/>
      <c r="J331" s="17" t="inlineStr"/>
      <c r="K331" s="17" t="inlineStr">
        <is>
          <t>Y</t>
        </is>
      </c>
      <c r="L331" s="22" t="inlineStr">
        <is>
          <t>미확인</t>
        </is>
      </c>
      <c r="M331" s="22" t="inlineStr">
        <is>
          <t>미확인</t>
        </is>
      </c>
      <c r="N331" s="22" t="inlineStr">
        <is>
          <t>미확인</t>
        </is>
      </c>
      <c r="O331" s="22" t="inlineStr">
        <is>
          <t>미확인</t>
        </is>
      </c>
      <c r="P331" s="17" t="inlineStr">
        <is>
          <t>LIMS</t>
        </is>
      </c>
      <c r="Q331" s="22" t="inlineStr">
        <is>
          <t>미확인</t>
        </is>
      </c>
      <c r="R331" s="22" t="inlineStr">
        <is>
          <t>미확인</t>
        </is>
      </c>
      <c r="S331" s="17" t="inlineStr">
        <is>
          <t>Tier D</t>
        </is>
      </c>
      <c r="T331" s="17" t="n">
        <v>4</v>
      </c>
      <c r="U331" s="17" t="inlineStr">
        <is>
          <t>C288</t>
        </is>
      </c>
      <c r="V331" s="17" t="inlineStr">
        <is>
          <t>원풍약품상사</t>
        </is>
      </c>
      <c r="W331" s="17" t="inlineStr"/>
      <c r="X331" s="17" t="inlineStr"/>
      <c r="Y331" s="23" t="inlineStr"/>
      <c r="Z331" s="17" t="inlineStr">
        <is>
          <t>이재진</t>
        </is>
      </c>
      <c r="AA331" s="17" t="inlineStr"/>
      <c r="AB331" s="17" t="inlineStr">
        <is>
          <t>3768-1009</t>
        </is>
      </c>
      <c r="AC331" s="17" t="inlineStr">
        <is>
          <t>미확인</t>
        </is>
      </c>
      <c r="AD331" s="17" t="inlineStr">
        <is>
          <t>Y</t>
        </is>
      </c>
      <c r="AE331" s="17" t="inlineStr">
        <is>
          <t>P345</t>
        </is>
      </c>
      <c r="AF331" s="17" t="inlineStr">
        <is>
          <t>경기도 화성시 향남읍 발안공단로2길 33</t>
        </is>
      </c>
      <c r="AG331" s="17" t="inlineStr">
        <is>
          <t>원료의약품</t>
        </is>
      </c>
      <c r="AH331" s="17" t="inlineStr">
        <is>
          <t>비무균-일반제제-소분</t>
        </is>
      </c>
      <c r="AI331" s="17" t="n">
        <v>1</v>
      </c>
      <c r="AJ331" s="24" t="n">
        <v>46612</v>
      </c>
      <c r="AK331" s="17" t="inlineStr"/>
      <c r="AL331" s="17" t="inlineStr"/>
      <c r="AM331" s="17" t="inlineStr">
        <is>
          <t>원료 제조로 시험실 관리 필요</t>
        </is>
      </c>
      <c r="AN331" s="17" t="inlineStr">
        <is>
          <t>미확인</t>
        </is>
      </c>
      <c r="AO331" s="17" t="inlineStr">
        <is>
          <t>미확인</t>
        </is>
      </c>
      <c r="AP331" s="17" t="inlineStr">
        <is>
          <t>미확인</t>
        </is>
      </c>
      <c r="AQ331" s="17" t="inlineStr">
        <is>
          <t>담당자 파악 후 접촉</t>
        </is>
      </c>
      <c r="AR331" s="17" t="inlineStr">
        <is>
          <t>2026-07-05</t>
        </is>
      </c>
      <c r="AS331" s="17" t="inlineStr">
        <is>
          <t>C(부분확인)</t>
        </is>
      </c>
      <c r="AT331" s="17" t="n">
        <v>90</v>
      </c>
      <c r="AU331" s="17" t="inlineStr"/>
      <c r="AV331" s="17" t="inlineStr"/>
    </row>
    <row r="332">
      <c r="A332" s="27" t="inlineStr">
        <is>
          <t>Tier C</t>
        </is>
      </c>
      <c r="B332" s="17" t="n">
        <v>10</v>
      </c>
      <c r="C332" s="17" t="inlineStr">
        <is>
          <t>(주)켐포트</t>
        </is>
      </c>
      <c r="D332" s="17" t="inlineStr">
        <is>
          <t>제1공장</t>
        </is>
      </c>
      <c r="E332" s="17" t="inlineStr">
        <is>
          <t>전라남도</t>
        </is>
      </c>
      <c r="F332" s="17" t="inlineStr">
        <is>
          <t>나주시</t>
        </is>
      </c>
      <c r="G332" s="17" t="n">
        <v>1</v>
      </c>
      <c r="H332" s="17" t="inlineStr"/>
      <c r="I332" s="17" t="inlineStr"/>
      <c r="J332" s="17" t="inlineStr"/>
      <c r="K332" s="17" t="inlineStr">
        <is>
          <t>Y</t>
        </is>
      </c>
      <c r="L332" s="22" t="inlineStr">
        <is>
          <t>미확인</t>
        </is>
      </c>
      <c r="M332" s="22" t="inlineStr">
        <is>
          <t>미확인</t>
        </is>
      </c>
      <c r="N332" s="22" t="inlineStr">
        <is>
          <t>미확인</t>
        </is>
      </c>
      <c r="O332" s="22" t="inlineStr">
        <is>
          <t>미확인</t>
        </is>
      </c>
      <c r="P332" s="17" t="inlineStr">
        <is>
          <t>LIMS</t>
        </is>
      </c>
      <c r="Q332" s="22" t="inlineStr">
        <is>
          <t>미확인</t>
        </is>
      </c>
      <c r="R332" s="22" t="inlineStr">
        <is>
          <t>미확인</t>
        </is>
      </c>
      <c r="S332" s="17" t="inlineStr">
        <is>
          <t>Tier D</t>
        </is>
      </c>
      <c r="T332" s="17" t="n">
        <v>4</v>
      </c>
      <c r="U332" s="17" t="inlineStr">
        <is>
          <t>C137</t>
        </is>
      </c>
      <c r="V332" s="17" t="inlineStr">
        <is>
          <t>켐포트</t>
        </is>
      </c>
      <c r="W332" s="17" t="inlineStr"/>
      <c r="X332" s="17" t="inlineStr"/>
      <c r="Y332" s="23" t="inlineStr"/>
      <c r="Z332" s="17" t="inlineStr">
        <is>
          <t>김영주</t>
        </is>
      </c>
      <c r="AA332" s="17" t="inlineStr"/>
      <c r="AB332" s="17" t="inlineStr">
        <is>
          <t>미확인</t>
        </is>
      </c>
      <c r="AC332" s="17" t="inlineStr">
        <is>
          <t>미확인</t>
        </is>
      </c>
      <c r="AD332" s="17" t="inlineStr">
        <is>
          <t>Y</t>
        </is>
      </c>
      <c r="AE332" s="17" t="inlineStr">
        <is>
          <t>P143</t>
        </is>
      </c>
      <c r="AF332" s="17" t="inlineStr">
        <is>
          <t>전라남도 나주시 동수농공단지길 30-51 실험실: 전라남도 목포시 고하대로719번길 52 연구동 2층 (주)켐포트 실험실(목포지점)</t>
        </is>
      </c>
      <c r="AG332" s="17" t="inlineStr">
        <is>
          <t>원료의약품</t>
        </is>
      </c>
      <c r="AH332" s="17" t="inlineStr">
        <is>
          <t>비무균-일반제제-추출</t>
        </is>
      </c>
      <c r="AI332" s="17" t="n">
        <v>1</v>
      </c>
      <c r="AJ332" s="24" t="n">
        <v>46990</v>
      </c>
      <c r="AK332" s="17" t="inlineStr"/>
      <c r="AL332" s="17" t="inlineStr"/>
      <c r="AM332" s="17" t="inlineStr">
        <is>
          <t>원료 제조로 시험실 관리 필요</t>
        </is>
      </c>
      <c r="AN332" s="17" t="inlineStr">
        <is>
          <t>미확인</t>
        </is>
      </c>
      <c r="AO332" s="17" t="inlineStr">
        <is>
          <t>미확인</t>
        </is>
      </c>
      <c r="AP332" s="17" t="inlineStr">
        <is>
          <t>미확인</t>
        </is>
      </c>
      <c r="AQ332" s="17" t="inlineStr">
        <is>
          <t>담당자 파악 후 접촉</t>
        </is>
      </c>
      <c r="AR332" s="17" t="inlineStr">
        <is>
          <t>2026-07-05</t>
        </is>
      </c>
      <c r="AS332" s="17" t="inlineStr">
        <is>
          <t>C(부분확인)</t>
        </is>
      </c>
      <c r="AT332" s="17" t="n">
        <v>90</v>
      </c>
      <c r="AU332" s="17" t="inlineStr"/>
      <c r="AV332" s="17" t="inlineStr"/>
    </row>
    <row r="333">
      <c r="A333" s="27" t="inlineStr">
        <is>
          <t>Tier C</t>
        </is>
      </c>
      <c r="B333" s="17" t="n">
        <v>10</v>
      </c>
      <c r="C333" s="17" t="inlineStr">
        <is>
          <t>(주)코아팜바이오</t>
        </is>
      </c>
      <c r="D333" s="17" t="inlineStr">
        <is>
          <t>(주)코아팜바이오</t>
        </is>
      </c>
      <c r="E333" s="17" t="inlineStr">
        <is>
          <t>충청북도</t>
        </is>
      </c>
      <c r="F333" s="17" t="inlineStr">
        <is>
          <t>청주시</t>
        </is>
      </c>
      <c r="G333" s="17" t="n">
        <v>1</v>
      </c>
      <c r="H333" s="17" t="inlineStr"/>
      <c r="I333" s="17" t="inlineStr"/>
      <c r="J333" s="17" t="inlineStr">
        <is>
          <t>Y</t>
        </is>
      </c>
      <c r="K333" s="17" t="inlineStr"/>
      <c r="L333" s="22" t="inlineStr">
        <is>
          <t>미확인</t>
        </is>
      </c>
      <c r="M333" s="22" t="inlineStr">
        <is>
          <t>미확인</t>
        </is>
      </c>
      <c r="N333" s="22" t="inlineStr">
        <is>
          <t>미확인</t>
        </is>
      </c>
      <c r="O333" s="22" t="inlineStr">
        <is>
          <t>미확인</t>
        </is>
      </c>
      <c r="P333" s="17" t="inlineStr">
        <is>
          <t>QMS</t>
        </is>
      </c>
      <c r="Q333" s="22" t="inlineStr">
        <is>
          <t>미확인</t>
        </is>
      </c>
      <c r="R333" s="22" t="inlineStr">
        <is>
          <t>미확인</t>
        </is>
      </c>
      <c r="S333" s="17" t="inlineStr">
        <is>
          <t>Tier D</t>
        </is>
      </c>
      <c r="T333" s="17" t="n">
        <v>9</v>
      </c>
      <c r="U333" s="17" t="inlineStr">
        <is>
          <t>C374</t>
        </is>
      </c>
      <c r="V333" s="17" t="inlineStr">
        <is>
          <t>코아팜바이오</t>
        </is>
      </c>
      <c r="W333" s="17" t="inlineStr"/>
      <c r="X333" s="17" t="inlineStr"/>
      <c r="Y333" s="23" t="inlineStr"/>
      <c r="Z333" s="17" t="inlineStr">
        <is>
          <t>백진욱</t>
        </is>
      </c>
      <c r="AA333" s="17" t="inlineStr"/>
      <c r="AB333" s="17" t="inlineStr">
        <is>
          <t>02-927-8220</t>
        </is>
      </c>
      <c r="AC333" s="17" t="inlineStr">
        <is>
          <t>미확인</t>
        </is>
      </c>
      <c r="AD333" s="17" t="inlineStr">
        <is>
          <t>Y</t>
        </is>
      </c>
      <c r="AE333" s="17" t="inlineStr">
        <is>
          <t>P454</t>
        </is>
      </c>
      <c r="AF333" s="17" t="inlineStr">
        <is>
          <t>충청북도 청주시 흥덕구 오송읍 오송생명14로 5</t>
        </is>
      </c>
      <c r="AG333" s="17" t="inlineStr">
        <is>
          <t>완제의약품</t>
        </is>
      </c>
      <c r="AH333" s="17" t="inlineStr">
        <is>
          <t>비무균-일반제제-내용고형제(정제, 산제)</t>
        </is>
      </c>
      <c r="AI333" s="17" t="n">
        <v>1</v>
      </c>
      <c r="AJ333" s="24" t="n">
        <v>46369</v>
      </c>
      <c r="AK333" s="25" t="inlineStr">
        <is>
          <t>Y</t>
        </is>
      </c>
      <c r="AL333" s="17" t="inlineStr">
        <is>
          <t>Y</t>
        </is>
      </c>
      <c r="AM333" s="17" t="inlineStr">
        <is>
          <t>기본 GMP 문서관리 대상</t>
        </is>
      </c>
      <c r="AN333" s="17" t="inlineStr">
        <is>
          <t>미확인</t>
        </is>
      </c>
      <c r="AO333" s="17" t="inlineStr">
        <is>
          <t>미확인</t>
        </is>
      </c>
      <c r="AP333" s="17" t="inlineStr">
        <is>
          <t>미확인</t>
        </is>
      </c>
      <c r="AQ333" s="17" t="inlineStr">
        <is>
          <t>담당자 파악 후 접촉</t>
        </is>
      </c>
      <c r="AR333" s="17" t="inlineStr">
        <is>
          <t>2026-07-05</t>
        </is>
      </c>
      <c r="AS333" s="17" t="inlineStr">
        <is>
          <t>C(부분확인)</t>
        </is>
      </c>
      <c r="AT333" s="17" t="n">
        <v>90</v>
      </c>
      <c r="AU333" s="17" t="inlineStr"/>
      <c r="AV333" s="17" t="inlineStr"/>
    </row>
    <row r="334">
      <c r="A334" s="27" t="inlineStr">
        <is>
          <t>Tier C</t>
        </is>
      </c>
      <c r="B334" s="17" t="n">
        <v>10</v>
      </c>
      <c r="C334" s="17" t="inlineStr">
        <is>
          <t>(주)평화산소</t>
        </is>
      </c>
      <c r="D334" s="17" t="inlineStr">
        <is>
          <t>제1공장</t>
        </is>
      </c>
      <c r="E334" s="17" t="inlineStr">
        <is>
          <t>경상남도</t>
        </is>
      </c>
      <c r="F334" s="17" t="inlineStr">
        <is>
          <t>창원시</t>
        </is>
      </c>
      <c r="G334" s="17" t="n">
        <v>1</v>
      </c>
      <c r="H334" s="17" t="inlineStr"/>
      <c r="I334" s="17" t="inlineStr"/>
      <c r="J334" s="17" t="inlineStr">
        <is>
          <t>Y</t>
        </is>
      </c>
      <c r="K334" s="17" t="inlineStr"/>
      <c r="L334" s="22" t="inlineStr">
        <is>
          <t>미확인</t>
        </is>
      </c>
      <c r="M334" s="22" t="inlineStr">
        <is>
          <t>미확인</t>
        </is>
      </c>
      <c r="N334" s="22" t="inlineStr">
        <is>
          <t>미확인</t>
        </is>
      </c>
      <c r="O334" s="22" t="inlineStr">
        <is>
          <t>미확인</t>
        </is>
      </c>
      <c r="P334" s="17" t="inlineStr">
        <is>
          <t>QMS</t>
        </is>
      </c>
      <c r="Q334" s="22" t="inlineStr">
        <is>
          <t>미확인</t>
        </is>
      </c>
      <c r="R334" s="22" t="inlineStr">
        <is>
          <t>미확인</t>
        </is>
      </c>
      <c r="S334" s="17" t="inlineStr">
        <is>
          <t>Tier D</t>
        </is>
      </c>
      <c r="T334" s="17" t="n">
        <v>9</v>
      </c>
      <c r="U334" s="17" t="inlineStr">
        <is>
          <t>C394</t>
        </is>
      </c>
      <c r="V334" s="17" t="inlineStr">
        <is>
          <t>평화산소</t>
        </is>
      </c>
      <c r="W334" s="17" t="inlineStr"/>
      <c r="X334" s="17" t="inlineStr"/>
      <c r="Y334" s="23" t="inlineStr"/>
      <c r="Z334" s="17" t="inlineStr">
        <is>
          <t>이기열</t>
        </is>
      </c>
      <c r="AA334" s="17" t="inlineStr"/>
      <c r="AB334" s="17" t="inlineStr">
        <is>
          <t>055-255-9211</t>
        </is>
      </c>
      <c r="AC334" s="17" t="inlineStr">
        <is>
          <t>미확인</t>
        </is>
      </c>
      <c r="AD334" s="17" t="inlineStr">
        <is>
          <t>Y</t>
        </is>
      </c>
      <c r="AE334" s="17" t="inlineStr">
        <is>
          <t>P483</t>
        </is>
      </c>
      <c r="AF334" s="17" t="inlineStr">
        <is>
          <t>경상남도 창원시 마산합포구 진북면 정현공단길 113</t>
        </is>
      </c>
      <c r="AG334" s="17" t="inlineStr">
        <is>
          <t>완제의약품</t>
        </is>
      </c>
      <c r="AH334" s="17" t="inlineStr">
        <is>
          <t>그밖의 제형(가스군(흡입제(소분, 기체상, 의료용 고압가스))), 그밖의 제형(액제군(흡입제(소분, 액상, 의료용 고압가스)))</t>
        </is>
      </c>
      <c r="AI334" s="17" t="n">
        <v>1</v>
      </c>
      <c r="AJ334" s="24" t="n">
        <v>46290</v>
      </c>
      <c r="AK334" s="25" t="inlineStr">
        <is>
          <t>Y</t>
        </is>
      </c>
      <c r="AL334" s="17" t="inlineStr">
        <is>
          <t>Y</t>
        </is>
      </c>
      <c r="AM334" s="17" t="inlineStr">
        <is>
          <t>기본 GMP 문서관리 대상</t>
        </is>
      </c>
      <c r="AN334" s="17" t="inlineStr">
        <is>
          <t>미확인</t>
        </is>
      </c>
      <c r="AO334" s="17" t="inlineStr">
        <is>
          <t>미확인</t>
        </is>
      </c>
      <c r="AP334" s="17" t="inlineStr">
        <is>
          <t>미확인</t>
        </is>
      </c>
      <c r="AQ334" s="17" t="inlineStr">
        <is>
          <t>담당자 파악 후 접촉</t>
        </is>
      </c>
      <c r="AR334" s="17" t="inlineStr">
        <is>
          <t>2026-07-05</t>
        </is>
      </c>
      <c r="AS334" s="17" t="inlineStr">
        <is>
          <t>C(부분확인)</t>
        </is>
      </c>
      <c r="AT334" s="17" t="n">
        <v>90</v>
      </c>
      <c r="AU334" s="17" t="inlineStr"/>
      <c r="AV334" s="17" t="inlineStr"/>
    </row>
    <row r="335">
      <c r="A335" s="27" t="inlineStr">
        <is>
          <t>Tier C</t>
        </is>
      </c>
      <c r="B335" s="17" t="n">
        <v>10</v>
      </c>
      <c r="C335" s="17" t="inlineStr">
        <is>
          <t>(주)폴라리스에이아이파마</t>
        </is>
      </c>
      <c r="D335" s="17" t="inlineStr">
        <is>
          <t>화성</t>
        </is>
      </c>
      <c r="E335" s="17" t="inlineStr">
        <is>
          <t>경기도</t>
        </is>
      </c>
      <c r="F335" s="17" t="inlineStr">
        <is>
          <t>화성시</t>
        </is>
      </c>
      <c r="G335" s="17" t="n">
        <v>1</v>
      </c>
      <c r="H335" s="17" t="inlineStr"/>
      <c r="I335" s="17" t="inlineStr"/>
      <c r="J335" s="17" t="inlineStr"/>
      <c r="K335" s="17" t="inlineStr">
        <is>
          <t>Y</t>
        </is>
      </c>
      <c r="L335" s="22" t="inlineStr">
        <is>
          <t>미확인</t>
        </is>
      </c>
      <c r="M335" s="22" t="inlineStr">
        <is>
          <t>미확인</t>
        </is>
      </c>
      <c r="N335" s="22" t="inlineStr">
        <is>
          <t>미확인</t>
        </is>
      </c>
      <c r="O335" s="22" t="inlineStr">
        <is>
          <t>미확인</t>
        </is>
      </c>
      <c r="P335" s="17" t="inlineStr">
        <is>
          <t>LIMS</t>
        </is>
      </c>
      <c r="Q335" s="22" t="inlineStr">
        <is>
          <t>미확인</t>
        </is>
      </c>
      <c r="R335" s="22" t="inlineStr">
        <is>
          <t>미확인</t>
        </is>
      </c>
      <c r="S335" s="17" t="inlineStr">
        <is>
          <t>Tier D</t>
        </is>
      </c>
      <c r="T335" s="17" t="n">
        <v>4</v>
      </c>
      <c r="U335" s="17" t="inlineStr">
        <is>
          <t>C246</t>
        </is>
      </c>
      <c r="V335" s="17" t="inlineStr">
        <is>
          <t>폴라리스에이아이파마</t>
        </is>
      </c>
      <c r="W335" s="17" t="inlineStr"/>
      <c r="X335" s="17" t="inlineStr"/>
      <c r="Y335" s="23" t="inlineStr"/>
      <c r="Z335" s="17" t="inlineStr">
        <is>
          <t>조원경</t>
        </is>
      </c>
      <c r="AA335" s="17" t="inlineStr"/>
      <c r="AB335" s="17" t="inlineStr">
        <is>
          <t>031-831-4800</t>
        </is>
      </c>
      <c r="AC335" s="17" t="inlineStr">
        <is>
          <t>미확인</t>
        </is>
      </c>
      <c r="AD335" s="17" t="inlineStr">
        <is>
          <t>Y</t>
        </is>
      </c>
      <c r="AE335" s="17" t="inlineStr">
        <is>
          <t>P284</t>
        </is>
      </c>
      <c r="AF335" s="17" t="inlineStr">
        <is>
          <t>경기도 화성시 만세구 향남읍 발안공단로 25</t>
        </is>
      </c>
      <c r="AG335" s="17" t="inlineStr">
        <is>
          <t>원료의약품</t>
        </is>
      </c>
      <c r="AH335" s="17" t="inlineStr">
        <is>
          <t>비무균-일반제제-합성</t>
        </is>
      </c>
      <c r="AI335" s="17" t="n">
        <v>1</v>
      </c>
      <c r="AJ335" s="24" t="n">
        <v>46815</v>
      </c>
      <c r="AK335" s="17" t="inlineStr"/>
      <c r="AL335" s="17" t="inlineStr"/>
      <c r="AM335" s="17" t="inlineStr">
        <is>
          <t>원료 제조로 시험실 관리 필요</t>
        </is>
      </c>
      <c r="AN335" s="17" t="inlineStr">
        <is>
          <t>미확인</t>
        </is>
      </c>
      <c r="AO335" s="17" t="inlineStr">
        <is>
          <t>미확인</t>
        </is>
      </c>
      <c r="AP335" s="17" t="inlineStr">
        <is>
          <t>미확인</t>
        </is>
      </c>
      <c r="AQ335" s="17" t="inlineStr">
        <is>
          <t>담당자 파악 후 접촉</t>
        </is>
      </c>
      <c r="AR335" s="17" t="inlineStr">
        <is>
          <t>2026-07-05</t>
        </is>
      </c>
      <c r="AS335" s="17" t="inlineStr">
        <is>
          <t>C(부분확인)</t>
        </is>
      </c>
      <c r="AT335" s="17" t="n">
        <v>90</v>
      </c>
      <c r="AU335" s="17" t="inlineStr"/>
      <c r="AV335" s="17" t="inlineStr"/>
    </row>
    <row r="336">
      <c r="A336" s="27" t="inlineStr">
        <is>
          <t>Tier C</t>
        </is>
      </c>
      <c r="B336" s="17" t="n">
        <v>10</v>
      </c>
      <c r="C336" s="17" t="inlineStr">
        <is>
          <t>(주)프로라젠</t>
        </is>
      </c>
      <c r="D336" s="17" t="inlineStr">
        <is>
          <t>(주)프로라젠신촌공장</t>
        </is>
      </c>
      <c r="E336" s="17" t="inlineStr">
        <is>
          <t>서울특별시</t>
        </is>
      </c>
      <c r="F336" s="17" t="inlineStr">
        <is>
          <t>서대문구</t>
        </is>
      </c>
      <c r="G336" s="17" t="n">
        <v>1</v>
      </c>
      <c r="H336" s="17" t="inlineStr"/>
      <c r="I336" s="17" t="inlineStr"/>
      <c r="J336" s="17" t="inlineStr"/>
      <c r="K336" s="17" t="inlineStr">
        <is>
          <t>Y</t>
        </is>
      </c>
      <c r="L336" s="22" t="inlineStr">
        <is>
          <t>미확인</t>
        </is>
      </c>
      <c r="M336" s="22" t="inlineStr">
        <is>
          <t>미확인</t>
        </is>
      </c>
      <c r="N336" s="22" t="inlineStr">
        <is>
          <t>미확인</t>
        </is>
      </c>
      <c r="O336" s="22" t="inlineStr">
        <is>
          <t>미확인</t>
        </is>
      </c>
      <c r="P336" s="17" t="inlineStr">
        <is>
          <t>LIMS</t>
        </is>
      </c>
      <c r="Q336" s="22" t="inlineStr">
        <is>
          <t>미확인</t>
        </is>
      </c>
      <c r="R336" s="22" t="inlineStr">
        <is>
          <t>미확인</t>
        </is>
      </c>
      <c r="S336" s="17" t="inlineStr">
        <is>
          <t>Tier D</t>
        </is>
      </c>
      <c r="T336" s="17" t="n">
        <v>4</v>
      </c>
      <c r="U336" s="17" t="inlineStr">
        <is>
          <t>C142</t>
        </is>
      </c>
      <c r="V336" s="17" t="inlineStr">
        <is>
          <t>프로라젠</t>
        </is>
      </c>
      <c r="W336" s="17" t="inlineStr"/>
      <c r="X336" s="17" t="inlineStr"/>
      <c r="Y336" s="23" t="inlineStr"/>
      <c r="Z336" s="17" t="inlineStr">
        <is>
          <t>김지태, 이광훈</t>
        </is>
      </c>
      <c r="AA336" s="17" t="inlineStr"/>
      <c r="AB336" s="17" t="inlineStr">
        <is>
          <t>070-7770-6330</t>
        </is>
      </c>
      <c r="AC336" s="17" t="inlineStr">
        <is>
          <t>미확인</t>
        </is>
      </c>
      <c r="AD336" s="17" t="inlineStr">
        <is>
          <t>Y</t>
        </is>
      </c>
      <c r="AE336" s="17" t="inlineStr">
        <is>
          <t>P150</t>
        </is>
      </c>
      <c r="AF336" s="17" t="inlineStr">
        <is>
          <t>서울특별시 서대문구 연세로 50-1 연세대학교 의과대학 연세의생명연구원 임상의학연구센터 206,207,211~216-1호</t>
        </is>
      </c>
      <c r="AG336" s="17" t="inlineStr">
        <is>
          <t>원료의약품</t>
        </is>
      </c>
      <c r="AH336" s="17" t="inlineStr">
        <is>
          <t>비무균-일반제제-추출</t>
        </is>
      </c>
      <c r="AI336" s="17" t="n">
        <v>1</v>
      </c>
      <c r="AJ336" s="24" t="n">
        <v>46983</v>
      </c>
      <c r="AK336" s="17" t="inlineStr"/>
      <c r="AL336" s="17" t="inlineStr"/>
      <c r="AM336" s="17" t="inlineStr">
        <is>
          <t>원료 제조로 시험실 관리 필요</t>
        </is>
      </c>
      <c r="AN336" s="17" t="inlineStr">
        <is>
          <t>미확인</t>
        </is>
      </c>
      <c r="AO336" s="17" t="inlineStr">
        <is>
          <t>미확인</t>
        </is>
      </c>
      <c r="AP336" s="17" t="inlineStr">
        <is>
          <t>미확인</t>
        </is>
      </c>
      <c r="AQ336" s="17" t="inlineStr">
        <is>
          <t>담당자 파악 후 접촉</t>
        </is>
      </c>
      <c r="AR336" s="17" t="inlineStr">
        <is>
          <t>2026-07-05</t>
        </is>
      </c>
      <c r="AS336" s="17" t="inlineStr">
        <is>
          <t>C(부분확인)</t>
        </is>
      </c>
      <c r="AT336" s="17" t="n">
        <v>90</v>
      </c>
      <c r="AU336" s="17" t="inlineStr"/>
      <c r="AV336" s="17" t="inlineStr"/>
    </row>
    <row r="337">
      <c r="A337" s="27" t="inlineStr">
        <is>
          <t>Tier C</t>
        </is>
      </c>
      <c r="B337" s="17" t="n">
        <v>10</v>
      </c>
      <c r="C337" s="17" t="inlineStr">
        <is>
          <t>(주)한국신약</t>
        </is>
      </c>
      <c r="D337" s="17" t="inlineStr">
        <is>
          <t>논산공장</t>
        </is>
      </c>
      <c r="E337" s="17" t="inlineStr">
        <is>
          <t>충청남도</t>
        </is>
      </c>
      <c r="F337" s="17" t="inlineStr">
        <is>
          <t>논산시</t>
        </is>
      </c>
      <c r="G337" s="17" t="n">
        <v>1</v>
      </c>
      <c r="H337" s="17" t="inlineStr"/>
      <c r="I337" s="17" t="inlineStr"/>
      <c r="J337" s="17" t="inlineStr">
        <is>
          <t>Y</t>
        </is>
      </c>
      <c r="K337" s="17" t="inlineStr"/>
      <c r="L337" s="22" t="inlineStr">
        <is>
          <t>미확인</t>
        </is>
      </c>
      <c r="M337" s="22" t="inlineStr">
        <is>
          <t>미확인</t>
        </is>
      </c>
      <c r="N337" s="22" t="inlineStr">
        <is>
          <t>미확인</t>
        </is>
      </c>
      <c r="O337" s="22" t="inlineStr">
        <is>
          <t>미확인</t>
        </is>
      </c>
      <c r="P337" s="17" t="inlineStr">
        <is>
          <t>QMS</t>
        </is>
      </c>
      <c r="Q337" s="22" t="inlineStr">
        <is>
          <t>미확인</t>
        </is>
      </c>
      <c r="R337" s="22" t="inlineStr">
        <is>
          <t>미확인</t>
        </is>
      </c>
      <c r="S337" s="17" t="inlineStr">
        <is>
          <t>Tier D</t>
        </is>
      </c>
      <c r="T337" s="17" t="n">
        <v>9</v>
      </c>
      <c r="U337" s="17" t="inlineStr">
        <is>
          <t>C395</t>
        </is>
      </c>
      <c r="V337" s="17" t="inlineStr">
        <is>
          <t>한국신약</t>
        </is>
      </c>
      <c r="W337" s="17" t="inlineStr"/>
      <c r="X337" s="17" t="inlineStr"/>
      <c r="Y337" s="23" t="inlineStr"/>
      <c r="Z337" s="17" t="inlineStr">
        <is>
          <t>한상욱</t>
        </is>
      </c>
      <c r="AA337" s="17" t="inlineStr"/>
      <c r="AB337" s="17" t="inlineStr">
        <is>
          <t>041-740-8830</t>
        </is>
      </c>
      <c r="AC337" s="17" t="inlineStr">
        <is>
          <t>미확인</t>
        </is>
      </c>
      <c r="AD337" s="17" t="inlineStr">
        <is>
          <t>Y</t>
        </is>
      </c>
      <c r="AE337" s="17" t="inlineStr">
        <is>
          <t>P484</t>
        </is>
      </c>
      <c r="AF337" s="17" t="inlineStr">
        <is>
          <t>충청남도 논산시 양촌면 중산길 39-83</t>
        </is>
      </c>
      <c r="AG337" s="17" t="inlineStr">
        <is>
          <t>완제의약품</t>
        </is>
      </c>
      <c r="AH337" s="17" t="inlineStr">
        <is>
          <t>비무균-일반제제-내용고형제(정제, 캡슐제, 산제, 과립제, 환제), 비무균-일반제제-내용액제(경구용액제, 엑스제(액상))</t>
        </is>
      </c>
      <c r="AI337" s="17" t="n">
        <v>1</v>
      </c>
      <c r="AJ337" s="24" t="n">
        <v>46286</v>
      </c>
      <c r="AK337" s="25" t="inlineStr">
        <is>
          <t>Y</t>
        </is>
      </c>
      <c r="AL337" s="17" t="inlineStr">
        <is>
          <t>Y</t>
        </is>
      </c>
      <c r="AM337" s="17" t="inlineStr">
        <is>
          <t>기본 GMP 문서관리 대상</t>
        </is>
      </c>
      <c r="AN337" s="17" t="inlineStr">
        <is>
          <t>미확인</t>
        </is>
      </c>
      <c r="AO337" s="17" t="inlineStr">
        <is>
          <t>미확인</t>
        </is>
      </c>
      <c r="AP337" s="17" t="inlineStr">
        <is>
          <t>미확인</t>
        </is>
      </c>
      <c r="AQ337" s="17" t="inlineStr">
        <is>
          <t>담당자 파악 후 접촉</t>
        </is>
      </c>
      <c r="AR337" s="17" t="inlineStr">
        <is>
          <t>2026-07-05</t>
        </is>
      </c>
      <c r="AS337" s="17" t="inlineStr">
        <is>
          <t>C(부분확인)</t>
        </is>
      </c>
      <c r="AT337" s="17" t="n">
        <v>90</v>
      </c>
      <c r="AU337" s="17" t="inlineStr"/>
      <c r="AV337" s="17" t="inlineStr"/>
    </row>
    <row r="338">
      <c r="A338" s="27" t="inlineStr">
        <is>
          <t>Tier C</t>
        </is>
      </c>
      <c r="B338" s="17" t="n">
        <v>10</v>
      </c>
      <c r="C338" s="17" t="inlineStr">
        <is>
          <t>(주)화승가스테크</t>
        </is>
      </c>
      <c r="D338" s="17" t="inlineStr">
        <is>
          <t>(주)화승가스테크</t>
        </is>
      </c>
      <c r="E338" s="17" t="inlineStr">
        <is>
          <t>부산광역시</t>
        </is>
      </c>
      <c r="F338" s="17" t="inlineStr">
        <is>
          <t>사하구</t>
        </is>
      </c>
      <c r="G338" s="17" t="n">
        <v>1</v>
      </c>
      <c r="H338" s="17" t="inlineStr"/>
      <c r="I338" s="17" t="inlineStr"/>
      <c r="J338" s="17" t="inlineStr">
        <is>
          <t>Y</t>
        </is>
      </c>
      <c r="K338" s="17" t="inlineStr"/>
      <c r="L338" s="22" t="inlineStr">
        <is>
          <t>미확인</t>
        </is>
      </c>
      <c r="M338" s="22" t="inlineStr">
        <is>
          <t>미확인</t>
        </is>
      </c>
      <c r="N338" s="22" t="inlineStr">
        <is>
          <t>미확인</t>
        </is>
      </c>
      <c r="O338" s="22" t="inlineStr">
        <is>
          <t>미확인</t>
        </is>
      </c>
      <c r="P338" s="17" t="inlineStr">
        <is>
          <t>QMS</t>
        </is>
      </c>
      <c r="Q338" s="22" t="inlineStr">
        <is>
          <t>미확인</t>
        </is>
      </c>
      <c r="R338" s="22" t="inlineStr">
        <is>
          <t>미확인</t>
        </is>
      </c>
      <c r="S338" s="17" t="inlineStr">
        <is>
          <t>Tier D</t>
        </is>
      </c>
      <c r="T338" s="17" t="n">
        <v>9</v>
      </c>
      <c r="U338" s="17" t="inlineStr">
        <is>
          <t>C401</t>
        </is>
      </c>
      <c r="V338" s="17" t="inlineStr">
        <is>
          <t>화승가스테크</t>
        </is>
      </c>
      <c r="W338" s="17" t="inlineStr"/>
      <c r="X338" s="17" t="inlineStr"/>
      <c r="Y338" s="23" t="inlineStr"/>
      <c r="Z338" s="17" t="inlineStr">
        <is>
          <t>이흥수</t>
        </is>
      </c>
      <c r="AA338" s="17" t="inlineStr"/>
      <c r="AB338" s="17" t="inlineStr">
        <is>
          <t>051-264-2080</t>
        </is>
      </c>
      <c r="AC338" s="17" t="inlineStr">
        <is>
          <t>미확인</t>
        </is>
      </c>
      <c r="AD338" s="17" t="inlineStr">
        <is>
          <t>Y</t>
        </is>
      </c>
      <c r="AE338" s="17" t="inlineStr">
        <is>
          <t>P493</t>
        </is>
      </c>
      <c r="AF338" s="17" t="inlineStr">
        <is>
          <t>부산광역시 사하구 하신중앙로 44-5</t>
        </is>
      </c>
      <c r="AG338" s="17" t="inlineStr">
        <is>
          <t>완제의약품</t>
        </is>
      </c>
      <c r="AH338" s="17" t="inlineStr">
        <is>
          <t>비무균-일반제제(의료용 고압가스)-가스제(의료용 고압가스)</t>
        </is>
      </c>
      <c r="AI338" s="17" t="n">
        <v>1</v>
      </c>
      <c r="AJ338" s="24" t="n">
        <v>46264</v>
      </c>
      <c r="AK338" s="25" t="inlineStr">
        <is>
          <t>Y</t>
        </is>
      </c>
      <c r="AL338" s="17" t="inlineStr">
        <is>
          <t>Y</t>
        </is>
      </c>
      <c r="AM338" s="17" t="inlineStr">
        <is>
          <t>기본 GMP 문서관리 대상</t>
        </is>
      </c>
      <c r="AN338" s="17" t="inlineStr">
        <is>
          <t>미확인</t>
        </is>
      </c>
      <c r="AO338" s="17" t="inlineStr">
        <is>
          <t>미확인</t>
        </is>
      </c>
      <c r="AP338" s="17" t="inlineStr">
        <is>
          <t>미확인</t>
        </is>
      </c>
      <c r="AQ338" s="17" t="inlineStr">
        <is>
          <t>담당자 파악 후 접촉</t>
        </is>
      </c>
      <c r="AR338" s="17" t="inlineStr">
        <is>
          <t>2026-07-05</t>
        </is>
      </c>
      <c r="AS338" s="17" t="inlineStr">
        <is>
          <t>C(부분확인)</t>
        </is>
      </c>
      <c r="AT338" s="17" t="n">
        <v>90</v>
      </c>
      <c r="AU338" s="17" t="inlineStr"/>
      <c r="AV338" s="17" t="inlineStr"/>
    </row>
    <row r="339">
      <c r="A339" s="27" t="inlineStr">
        <is>
          <t>Tier C</t>
        </is>
      </c>
      <c r="B339" s="17" t="n">
        <v>10</v>
      </c>
      <c r="C339" s="17" t="inlineStr">
        <is>
          <t>경북산업가스충전소</t>
        </is>
      </c>
      <c r="D339" s="17" t="inlineStr">
        <is>
          <t>경북산업가스충전소</t>
        </is>
      </c>
      <c r="E339" s="17" t="inlineStr">
        <is>
          <t>경상북도</t>
        </is>
      </c>
      <c r="F339" s="17" t="inlineStr">
        <is>
          <t>구미시</t>
        </is>
      </c>
      <c r="G339" s="17" t="n">
        <v>1</v>
      </c>
      <c r="H339" s="17" t="inlineStr"/>
      <c r="I339" s="17" t="inlineStr"/>
      <c r="J339" s="17" t="inlineStr">
        <is>
          <t>Y</t>
        </is>
      </c>
      <c r="K339" s="17" t="inlineStr"/>
      <c r="L339" s="22" t="inlineStr">
        <is>
          <t>미확인</t>
        </is>
      </c>
      <c r="M339" s="22" t="inlineStr">
        <is>
          <t>미확인</t>
        </is>
      </c>
      <c r="N339" s="22" t="inlineStr">
        <is>
          <t>미확인</t>
        </is>
      </c>
      <c r="O339" s="22" t="inlineStr">
        <is>
          <t>미확인</t>
        </is>
      </c>
      <c r="P339" s="17" t="inlineStr">
        <is>
          <t>QMS</t>
        </is>
      </c>
      <c r="Q339" s="22" t="inlineStr">
        <is>
          <t>미확인</t>
        </is>
      </c>
      <c r="R339" s="22" t="inlineStr">
        <is>
          <t>미확인</t>
        </is>
      </c>
      <c r="S339" s="17" t="inlineStr">
        <is>
          <t>Tier D</t>
        </is>
      </c>
      <c r="T339" s="17" t="n">
        <v>9</v>
      </c>
      <c r="U339" s="17" t="inlineStr">
        <is>
          <t>C387</t>
        </is>
      </c>
      <c r="V339" s="17" t="inlineStr">
        <is>
          <t>경북산업가스충전소</t>
        </is>
      </c>
      <c r="W339" s="17" t="inlineStr"/>
      <c r="X339" s="17" t="inlineStr"/>
      <c r="Y339" s="23" t="inlineStr"/>
      <c r="Z339" s="17" t="inlineStr">
        <is>
          <t>남은식</t>
        </is>
      </c>
      <c r="AA339" s="17" t="inlineStr"/>
      <c r="AB339" s="17" t="inlineStr">
        <is>
          <t>054-443-0331</t>
        </is>
      </c>
      <c r="AC339" s="17" t="inlineStr">
        <is>
          <t>미확인</t>
        </is>
      </c>
      <c r="AD339" s="17" t="inlineStr">
        <is>
          <t>Y</t>
        </is>
      </c>
      <c r="AE339" s="17" t="inlineStr">
        <is>
          <t>P475</t>
        </is>
      </c>
      <c r="AF339" s="17" t="inlineStr">
        <is>
          <t>경상북도 구미시 고아읍 선산대로 516 , 518</t>
        </is>
      </c>
      <c r="AG339" s="17" t="inlineStr">
        <is>
          <t>완제의약품</t>
        </is>
      </c>
      <c r="AH339" s="17" t="inlineStr">
        <is>
          <t>비무균-일반제제(의료용 고압가스)-가스제(의료용 고압가스)</t>
        </is>
      </c>
      <c r="AI339" s="17" t="n">
        <v>1</v>
      </c>
      <c r="AJ339" s="24" t="n">
        <v>46320</v>
      </c>
      <c r="AK339" s="25" t="inlineStr">
        <is>
          <t>Y</t>
        </is>
      </c>
      <c r="AL339" s="17" t="inlineStr">
        <is>
          <t>Y</t>
        </is>
      </c>
      <c r="AM339" s="17" t="inlineStr">
        <is>
          <t>기본 GMP 문서관리 대상</t>
        </is>
      </c>
      <c r="AN339" s="17" t="inlineStr">
        <is>
          <t>미확인</t>
        </is>
      </c>
      <c r="AO339" s="17" t="inlineStr">
        <is>
          <t>미확인</t>
        </is>
      </c>
      <c r="AP339" s="17" t="inlineStr">
        <is>
          <t>미확인</t>
        </is>
      </c>
      <c r="AQ339" s="17" t="inlineStr">
        <is>
          <t>담당자 파악 후 접촉</t>
        </is>
      </c>
      <c r="AR339" s="17" t="inlineStr">
        <is>
          <t>2026-07-05</t>
        </is>
      </c>
      <c r="AS339" s="17" t="inlineStr">
        <is>
          <t>C(부분확인)</t>
        </is>
      </c>
      <c r="AT339" s="17" t="n">
        <v>90</v>
      </c>
      <c r="AU339" s="17" t="inlineStr"/>
      <c r="AV339" s="17" t="inlineStr"/>
    </row>
    <row r="340">
      <c r="A340" s="27" t="inlineStr">
        <is>
          <t>Tier C</t>
        </is>
      </c>
      <c r="B340" s="17" t="n">
        <v>10</v>
      </c>
      <c r="C340" s="17" t="inlineStr">
        <is>
          <t>대성가스텍(주)</t>
        </is>
      </c>
      <c r="D340" s="17" t="inlineStr">
        <is>
          <t>미확인</t>
        </is>
      </c>
      <c r="E340" s="17" t="inlineStr">
        <is>
          <t>경기도</t>
        </is>
      </c>
      <c r="F340" s="17" t="inlineStr">
        <is>
          <t>화성시</t>
        </is>
      </c>
      <c r="G340" s="17" t="n">
        <v>1</v>
      </c>
      <c r="H340" s="17" t="inlineStr"/>
      <c r="I340" s="17" t="inlineStr"/>
      <c r="J340" s="17" t="inlineStr">
        <is>
          <t>Y</t>
        </is>
      </c>
      <c r="K340" s="17" t="inlineStr"/>
      <c r="L340" s="22" t="inlineStr">
        <is>
          <t>미확인</t>
        </is>
      </c>
      <c r="M340" s="22" t="inlineStr">
        <is>
          <t>미확인</t>
        </is>
      </c>
      <c r="N340" s="22" t="inlineStr">
        <is>
          <t>미확인</t>
        </is>
      </c>
      <c r="O340" s="22" t="inlineStr">
        <is>
          <t>미확인</t>
        </is>
      </c>
      <c r="P340" s="17" t="inlineStr">
        <is>
          <t>QMS</t>
        </is>
      </c>
      <c r="Q340" s="22" t="inlineStr">
        <is>
          <t>미확인</t>
        </is>
      </c>
      <c r="R340" s="22" t="inlineStr">
        <is>
          <t>미확인</t>
        </is>
      </c>
      <c r="S340" s="17" t="inlineStr">
        <is>
          <t>Tier D</t>
        </is>
      </c>
      <c r="T340" s="17" t="n">
        <v>9</v>
      </c>
      <c r="U340" s="17" t="inlineStr">
        <is>
          <t>C389</t>
        </is>
      </c>
      <c r="V340" s="17" t="inlineStr">
        <is>
          <t>대성가스텍</t>
        </is>
      </c>
      <c r="W340" s="17" t="inlineStr"/>
      <c r="X340" s="17" t="inlineStr"/>
      <c r="Y340" s="23" t="inlineStr"/>
      <c r="Z340" s="17" t="inlineStr">
        <is>
          <t>안대경</t>
        </is>
      </c>
      <c r="AA340" s="17" t="inlineStr"/>
      <c r="AB340" s="17" t="inlineStr">
        <is>
          <t>미확인</t>
        </is>
      </c>
      <c r="AC340" s="17" t="inlineStr">
        <is>
          <t>미확인</t>
        </is>
      </c>
      <c r="AD340" s="17" t="inlineStr">
        <is>
          <t>Y</t>
        </is>
      </c>
      <c r="AE340" s="17" t="inlineStr">
        <is>
          <t>P477</t>
        </is>
      </c>
      <c r="AF340" s="17" t="inlineStr">
        <is>
          <t>경기도 화성시 향남읍 서봉로 739</t>
        </is>
      </c>
      <c r="AG340" s="17" t="inlineStr">
        <is>
          <t>완제의약품</t>
        </is>
      </c>
      <c r="AH340" s="17" t="inlineStr">
        <is>
          <t>비무균-일반제제(의료용 고압가스)-가스제(흡입제(액상), 의료용 고압가스)</t>
        </is>
      </c>
      <c r="AI340" s="17" t="n">
        <v>1</v>
      </c>
      <c r="AJ340" s="24" t="n">
        <v>46311</v>
      </c>
      <c r="AK340" s="25" t="inlineStr">
        <is>
          <t>Y</t>
        </is>
      </c>
      <c r="AL340" s="17" t="inlineStr">
        <is>
          <t>Y</t>
        </is>
      </c>
      <c r="AM340" s="17" t="inlineStr">
        <is>
          <t>기본 GMP 문서관리 대상</t>
        </is>
      </c>
      <c r="AN340" s="17" t="inlineStr">
        <is>
          <t>미확인</t>
        </is>
      </c>
      <c r="AO340" s="17" t="inlineStr">
        <is>
          <t>미확인</t>
        </is>
      </c>
      <c r="AP340" s="17" t="inlineStr">
        <is>
          <t>미확인</t>
        </is>
      </c>
      <c r="AQ340" s="17" t="inlineStr">
        <is>
          <t>담당자 파악 후 접촉</t>
        </is>
      </c>
      <c r="AR340" s="17" t="inlineStr">
        <is>
          <t>2026-07-05</t>
        </is>
      </c>
      <c r="AS340" s="17" t="inlineStr">
        <is>
          <t>C(부분확인)</t>
        </is>
      </c>
      <c r="AT340" s="17" t="n">
        <v>0</v>
      </c>
      <c r="AU340" s="17" t="inlineStr">
        <is>
          <t>Y</t>
        </is>
      </c>
      <c r="AV340" s="17" t="inlineStr"/>
    </row>
    <row r="341">
      <c r="A341" s="27" t="inlineStr">
        <is>
          <t>Tier C</t>
        </is>
      </c>
      <c r="B341" s="17" t="n">
        <v>10</v>
      </c>
      <c r="C341" s="17" t="inlineStr">
        <is>
          <t>라이프슈티컬</t>
        </is>
      </c>
      <c r="D341" s="17" t="inlineStr">
        <is>
          <t>제천</t>
        </is>
      </c>
      <c r="E341" s="17" t="inlineStr">
        <is>
          <t>충청북도</t>
        </is>
      </c>
      <c r="F341" s="17" t="inlineStr">
        <is>
          <t>제천시</t>
        </is>
      </c>
      <c r="G341" s="17" t="n">
        <v>1</v>
      </c>
      <c r="H341" s="17" t="inlineStr"/>
      <c r="I341" s="17" t="inlineStr"/>
      <c r="J341" s="17" t="inlineStr"/>
      <c r="K341" s="17" t="inlineStr">
        <is>
          <t>Y</t>
        </is>
      </c>
      <c r="L341" s="22" t="inlineStr">
        <is>
          <t>미확인</t>
        </is>
      </c>
      <c r="M341" s="22" t="inlineStr">
        <is>
          <t>미확인</t>
        </is>
      </c>
      <c r="N341" s="22" t="inlineStr">
        <is>
          <t>미확인</t>
        </is>
      </c>
      <c r="O341" s="22" t="inlineStr">
        <is>
          <t>미확인</t>
        </is>
      </c>
      <c r="P341" s="17" t="inlineStr">
        <is>
          <t>LIMS</t>
        </is>
      </c>
      <c r="Q341" s="22" t="inlineStr">
        <is>
          <t>미확인</t>
        </is>
      </c>
      <c r="R341" s="22" t="inlineStr">
        <is>
          <t>미확인</t>
        </is>
      </c>
      <c r="S341" s="17" t="inlineStr">
        <is>
          <t>Tier D</t>
        </is>
      </c>
      <c r="T341" s="17" t="n">
        <v>4</v>
      </c>
      <c r="U341" s="17" t="inlineStr">
        <is>
          <t>C031</t>
        </is>
      </c>
      <c r="V341" s="17" t="inlineStr">
        <is>
          <t>라이프슈티컬</t>
        </is>
      </c>
      <c r="W341" s="17" t="inlineStr"/>
      <c r="X341" s="17" t="inlineStr"/>
      <c r="Y341" s="23" t="inlineStr"/>
      <c r="Z341" s="17" t="inlineStr">
        <is>
          <t>손재민</t>
        </is>
      </c>
      <c r="AA341" s="17" t="inlineStr"/>
      <c r="AB341" s="17" t="inlineStr">
        <is>
          <t>043-652-8404</t>
        </is>
      </c>
      <c r="AC341" s="17" t="inlineStr">
        <is>
          <t>미확인</t>
        </is>
      </c>
      <c r="AD341" s="17" t="inlineStr">
        <is>
          <t>Y</t>
        </is>
      </c>
      <c r="AE341" s="17" t="inlineStr">
        <is>
          <t>P031</t>
        </is>
      </c>
      <c r="AF341" s="17" t="inlineStr">
        <is>
          <t>충청북도 제천시 바이오밸리2로 100</t>
        </is>
      </c>
      <c r="AG341" s="17" t="inlineStr">
        <is>
          <t>원료의약품</t>
        </is>
      </c>
      <c r="AH341" s="17" t="inlineStr">
        <is>
          <t>비무균-일반제제-발효, 무균-일반제제-정제(발효에 한함)</t>
        </is>
      </c>
      <c r="AI341" s="17" t="n">
        <v>1</v>
      </c>
      <c r="AJ341" s="24" t="n">
        <v>47255</v>
      </c>
      <c r="AK341" s="17" t="inlineStr"/>
      <c r="AL341" s="17" t="inlineStr"/>
      <c r="AM341" s="17" t="inlineStr">
        <is>
          <t>원료 제조로 시험실 관리 필요</t>
        </is>
      </c>
      <c r="AN341" s="17" t="inlineStr">
        <is>
          <t>미확인</t>
        </is>
      </c>
      <c r="AO341" s="17" t="inlineStr">
        <is>
          <t>미확인</t>
        </is>
      </c>
      <c r="AP341" s="17" t="inlineStr">
        <is>
          <t>미확인</t>
        </is>
      </c>
      <c r="AQ341" s="17" t="inlineStr">
        <is>
          <t>담당자 파악 후 접촉</t>
        </is>
      </c>
      <c r="AR341" s="17" t="inlineStr">
        <is>
          <t>2026-07-05</t>
        </is>
      </c>
      <c r="AS341" s="17" t="inlineStr">
        <is>
          <t>C(부분확인)</t>
        </is>
      </c>
      <c r="AT341" s="17" t="n">
        <v>90</v>
      </c>
      <c r="AU341" s="17" t="inlineStr"/>
      <c r="AV341" s="17" t="inlineStr"/>
    </row>
    <row r="342">
      <c r="A342" s="27" t="inlineStr">
        <is>
          <t>Tier C</t>
        </is>
      </c>
      <c r="B342" s="17" t="n">
        <v>10</v>
      </c>
      <c r="C342" s="17" t="inlineStr">
        <is>
          <t>삼남제약(주)</t>
        </is>
      </c>
      <c r="D342" s="17" t="inlineStr">
        <is>
          <t>금산</t>
        </is>
      </c>
      <c r="E342" s="17" t="inlineStr">
        <is>
          <t>충청남도</t>
        </is>
      </c>
      <c r="F342" s="17" t="inlineStr">
        <is>
          <t>금산군</t>
        </is>
      </c>
      <c r="G342" s="17" t="n">
        <v>1</v>
      </c>
      <c r="H342" s="17" t="inlineStr"/>
      <c r="I342" s="17" t="inlineStr"/>
      <c r="J342" s="17" t="inlineStr">
        <is>
          <t>Y</t>
        </is>
      </c>
      <c r="K342" s="17" t="inlineStr"/>
      <c r="L342" s="22" t="inlineStr">
        <is>
          <t>미확인</t>
        </is>
      </c>
      <c r="M342" s="22" t="inlineStr">
        <is>
          <t>미확인</t>
        </is>
      </c>
      <c r="N342" s="22" t="inlineStr">
        <is>
          <t>미확인</t>
        </is>
      </c>
      <c r="O342" s="22" t="inlineStr">
        <is>
          <t>미확인</t>
        </is>
      </c>
      <c r="P342" s="17" t="inlineStr">
        <is>
          <t>QMS</t>
        </is>
      </c>
      <c r="Q342" s="22" t="inlineStr">
        <is>
          <t>미확인</t>
        </is>
      </c>
      <c r="R342" s="22" t="inlineStr">
        <is>
          <t>미확인</t>
        </is>
      </c>
      <c r="S342" s="17" t="inlineStr">
        <is>
          <t>Tier D</t>
        </is>
      </c>
      <c r="T342" s="17" t="n">
        <v>9</v>
      </c>
      <c r="U342" s="17" t="inlineStr">
        <is>
          <t>C390</t>
        </is>
      </c>
      <c r="V342" s="17" t="inlineStr">
        <is>
          <t>삼남제약</t>
        </is>
      </c>
      <c r="W342" s="17" t="inlineStr"/>
      <c r="X342" s="17" t="inlineStr"/>
      <c r="Y342" s="23" t="inlineStr"/>
      <c r="Z342" s="17" t="inlineStr">
        <is>
          <t>김호택</t>
        </is>
      </c>
      <c r="AA342" s="17" t="inlineStr"/>
      <c r="AB342" s="17" t="inlineStr">
        <is>
          <t>041-754-3771</t>
        </is>
      </c>
      <c r="AC342" s="17" t="inlineStr">
        <is>
          <t>미확인</t>
        </is>
      </c>
      <c r="AD342" s="17" t="inlineStr">
        <is>
          <t>Y</t>
        </is>
      </c>
      <c r="AE342" s="17" t="inlineStr">
        <is>
          <t>P478</t>
        </is>
      </c>
      <c r="AF342" s="17" t="inlineStr">
        <is>
          <t>충청남도 금산군 금산읍 인삼로 77</t>
        </is>
      </c>
      <c r="AG342" s="17" t="inlineStr">
        <is>
          <t>완제의약품</t>
        </is>
      </c>
      <c r="AH342" s="17" t="inlineStr">
        <is>
          <t>비무균-일반제제-내용고형제(정제, 캡슐제, 산제)</t>
        </is>
      </c>
      <c r="AI342" s="17" t="n">
        <v>1</v>
      </c>
      <c r="AJ342" s="24" t="n">
        <v>46307</v>
      </c>
      <c r="AK342" s="25" t="inlineStr">
        <is>
          <t>Y</t>
        </is>
      </c>
      <c r="AL342" s="17" t="inlineStr">
        <is>
          <t>Y</t>
        </is>
      </c>
      <c r="AM342" s="17" t="inlineStr">
        <is>
          <t>기본 GMP 문서관리 대상</t>
        </is>
      </c>
      <c r="AN342" s="17" t="inlineStr">
        <is>
          <t>미확인</t>
        </is>
      </c>
      <c r="AO342" s="17" t="inlineStr">
        <is>
          <t>미확인</t>
        </is>
      </c>
      <c r="AP342" s="17" t="inlineStr">
        <is>
          <t>미확인</t>
        </is>
      </c>
      <c r="AQ342" s="17" t="inlineStr">
        <is>
          <t>담당자 파악 후 접촉</t>
        </is>
      </c>
      <c r="AR342" s="17" t="inlineStr">
        <is>
          <t>2026-07-05</t>
        </is>
      </c>
      <c r="AS342" s="17" t="inlineStr">
        <is>
          <t>C(부분확인)</t>
        </is>
      </c>
      <c r="AT342" s="17" t="n">
        <v>90</v>
      </c>
      <c r="AU342" s="17" t="inlineStr"/>
      <c r="AV342" s="17" t="inlineStr"/>
    </row>
    <row r="343">
      <c r="A343" s="27" t="inlineStr">
        <is>
          <t>Tier C</t>
        </is>
      </c>
      <c r="B343" s="17" t="n">
        <v>10</v>
      </c>
      <c r="C343" s="17" t="inlineStr">
        <is>
          <t>삼전순약공업(주)</t>
        </is>
      </c>
      <c r="D343" s="17" t="inlineStr">
        <is>
          <t>평택</t>
        </is>
      </c>
      <c r="E343" s="17" t="inlineStr">
        <is>
          <t>경기도</t>
        </is>
      </c>
      <c r="F343" s="17" t="inlineStr">
        <is>
          <t>평택시</t>
        </is>
      </c>
      <c r="G343" s="17" t="n">
        <v>1</v>
      </c>
      <c r="H343" s="17" t="inlineStr"/>
      <c r="I343" s="17" t="inlineStr"/>
      <c r="J343" s="17" t="inlineStr"/>
      <c r="K343" s="17" t="inlineStr">
        <is>
          <t>Y</t>
        </is>
      </c>
      <c r="L343" s="22" t="inlineStr">
        <is>
          <t>미확인</t>
        </is>
      </c>
      <c r="M343" s="22" t="inlineStr">
        <is>
          <t>미확인</t>
        </is>
      </c>
      <c r="N343" s="22" t="inlineStr">
        <is>
          <t>미확인</t>
        </is>
      </c>
      <c r="O343" s="22" t="inlineStr">
        <is>
          <t>미확인</t>
        </is>
      </c>
      <c r="P343" s="17" t="inlineStr">
        <is>
          <t>LIMS</t>
        </is>
      </c>
      <c r="Q343" s="22" t="inlineStr">
        <is>
          <t>미확인</t>
        </is>
      </c>
      <c r="R343" s="22" t="inlineStr">
        <is>
          <t>미확인</t>
        </is>
      </c>
      <c r="S343" s="17" t="inlineStr">
        <is>
          <t>Tier D</t>
        </is>
      </c>
      <c r="T343" s="17" t="n">
        <v>4</v>
      </c>
      <c r="U343" s="17" t="inlineStr">
        <is>
          <t>C217</t>
        </is>
      </c>
      <c r="V343" s="17" t="inlineStr">
        <is>
          <t>삼전순약공업</t>
        </is>
      </c>
      <c r="W343" s="17" t="inlineStr"/>
      <c r="X343" s="17" t="inlineStr"/>
      <c r="Y343" s="23" t="inlineStr"/>
      <c r="Z343" s="17" t="inlineStr">
        <is>
          <t>박두곤, 전성혁</t>
        </is>
      </c>
      <c r="AA343" s="17" t="inlineStr"/>
      <c r="AB343" s="17" t="inlineStr">
        <is>
          <t>031-6680-7004</t>
        </is>
      </c>
      <c r="AC343" s="17" t="inlineStr">
        <is>
          <t>미확인</t>
        </is>
      </c>
      <c r="AD343" s="17" t="inlineStr">
        <is>
          <t>Y</t>
        </is>
      </c>
      <c r="AE343" s="17" t="inlineStr">
        <is>
          <t>P240</t>
        </is>
      </c>
      <c r="AF343" s="17" t="inlineStr">
        <is>
          <t>경기도 평택시 산단로16번길 117</t>
        </is>
      </c>
      <c r="AG343" s="17" t="inlineStr">
        <is>
          <t>원료의약품</t>
        </is>
      </c>
      <c r="AH343" s="17" t="inlineStr">
        <is>
          <t>비무균-일반제제-합성</t>
        </is>
      </c>
      <c r="AI343" s="17" t="n">
        <v>1</v>
      </c>
      <c r="AJ343" s="24" t="n">
        <v>46870</v>
      </c>
      <c r="AK343" s="17" t="inlineStr"/>
      <c r="AL343" s="17" t="inlineStr"/>
      <c r="AM343" s="17" t="inlineStr">
        <is>
          <t>원료 제조로 시험실 관리 필요</t>
        </is>
      </c>
      <c r="AN343" s="17" t="inlineStr">
        <is>
          <t>미확인</t>
        </is>
      </c>
      <c r="AO343" s="17" t="inlineStr">
        <is>
          <t>미확인</t>
        </is>
      </c>
      <c r="AP343" s="17" t="inlineStr">
        <is>
          <t>미확인</t>
        </is>
      </c>
      <c r="AQ343" s="17" t="inlineStr">
        <is>
          <t>담당자 파악 후 접촉</t>
        </is>
      </c>
      <c r="AR343" s="17" t="inlineStr">
        <is>
          <t>2026-07-05</t>
        </is>
      </c>
      <c r="AS343" s="17" t="inlineStr">
        <is>
          <t>C(부분확인)</t>
        </is>
      </c>
      <c r="AT343" s="17" t="n">
        <v>90</v>
      </c>
      <c r="AU343" s="17" t="inlineStr"/>
      <c r="AV343" s="17" t="inlineStr"/>
    </row>
    <row r="344">
      <c r="A344" s="27" t="inlineStr">
        <is>
          <t>Tier C</t>
        </is>
      </c>
      <c r="B344" s="17" t="n">
        <v>10</v>
      </c>
      <c r="C344" s="17" t="inlineStr">
        <is>
          <t>서진산업가스(주)</t>
        </is>
      </c>
      <c r="D344" s="17" t="inlineStr">
        <is>
          <t>1공장</t>
        </is>
      </c>
      <c r="E344" s="17" t="inlineStr">
        <is>
          <t>충청남도</t>
        </is>
      </c>
      <c r="F344" s="17" t="inlineStr">
        <is>
          <t>당진시</t>
        </is>
      </c>
      <c r="G344" s="17" t="n">
        <v>1</v>
      </c>
      <c r="H344" s="17" t="inlineStr"/>
      <c r="I344" s="17" t="inlineStr"/>
      <c r="J344" s="17" t="inlineStr">
        <is>
          <t>Y</t>
        </is>
      </c>
      <c r="K344" s="17" t="inlineStr"/>
      <c r="L344" s="22" t="inlineStr">
        <is>
          <t>미확인</t>
        </is>
      </c>
      <c r="M344" s="22" t="inlineStr">
        <is>
          <t>미확인</t>
        </is>
      </c>
      <c r="N344" s="22" t="inlineStr">
        <is>
          <t>미확인</t>
        </is>
      </c>
      <c r="O344" s="22" t="inlineStr">
        <is>
          <t>미확인</t>
        </is>
      </c>
      <c r="P344" s="17" t="inlineStr">
        <is>
          <t>QMS</t>
        </is>
      </c>
      <c r="Q344" s="22" t="inlineStr">
        <is>
          <t>미확인</t>
        </is>
      </c>
      <c r="R344" s="22" t="inlineStr">
        <is>
          <t>미확인</t>
        </is>
      </c>
      <c r="S344" s="17" t="inlineStr">
        <is>
          <t>Tier D</t>
        </is>
      </c>
      <c r="T344" s="17" t="n">
        <v>9</v>
      </c>
      <c r="U344" s="17" t="inlineStr">
        <is>
          <t>C393</t>
        </is>
      </c>
      <c r="V344" s="17" t="inlineStr">
        <is>
          <t>서진산업가스</t>
        </is>
      </c>
      <c r="W344" s="17" t="inlineStr"/>
      <c r="X344" s="17" t="inlineStr"/>
      <c r="Y344" s="23" t="inlineStr"/>
      <c r="Z344" s="17" t="inlineStr">
        <is>
          <t>윤형순</t>
        </is>
      </c>
      <c r="AA344" s="17" t="inlineStr"/>
      <c r="AB344" s="17" t="inlineStr">
        <is>
          <t>041-353-3400</t>
        </is>
      </c>
      <c r="AC344" s="17" t="inlineStr">
        <is>
          <t>미확인</t>
        </is>
      </c>
      <c r="AD344" s="17" t="inlineStr">
        <is>
          <t>Y</t>
        </is>
      </c>
      <c r="AE344" s="17" t="inlineStr">
        <is>
          <t>P482</t>
        </is>
      </c>
      <c r="AF344" s="17" t="inlineStr">
        <is>
          <t>충청남도 당진시 송산면 무수들길 334</t>
        </is>
      </c>
      <c r="AG344" s="17" t="inlineStr">
        <is>
          <t>완제의약품</t>
        </is>
      </c>
      <c r="AH344" s="17" t="inlineStr">
        <is>
          <t>비무균-일반제제(의료용 고압가스)-가스제(의료용 고압가스)</t>
        </is>
      </c>
      <c r="AI344" s="17" t="n">
        <v>1</v>
      </c>
      <c r="AJ344" s="24" t="n">
        <v>46290</v>
      </c>
      <c r="AK344" s="25" t="inlineStr">
        <is>
          <t>Y</t>
        </is>
      </c>
      <c r="AL344" s="17" t="inlineStr">
        <is>
          <t>Y</t>
        </is>
      </c>
      <c r="AM344" s="17" t="inlineStr">
        <is>
          <t>기본 GMP 문서관리 대상</t>
        </is>
      </c>
      <c r="AN344" s="17" t="inlineStr">
        <is>
          <t>미확인</t>
        </is>
      </c>
      <c r="AO344" s="17" t="inlineStr">
        <is>
          <t>미확인</t>
        </is>
      </c>
      <c r="AP344" s="17" t="inlineStr">
        <is>
          <t>미확인</t>
        </is>
      </c>
      <c r="AQ344" s="17" t="inlineStr">
        <is>
          <t>담당자 파악 후 접촉</t>
        </is>
      </c>
      <c r="AR344" s="17" t="inlineStr">
        <is>
          <t>2026-07-05</t>
        </is>
      </c>
      <c r="AS344" s="17" t="inlineStr">
        <is>
          <t>C(부분확인)</t>
        </is>
      </c>
      <c r="AT344" s="17" t="n">
        <v>90</v>
      </c>
      <c r="AU344" s="17" t="inlineStr"/>
      <c r="AV344" s="17" t="inlineStr"/>
    </row>
    <row r="345">
      <c r="A345" s="27" t="inlineStr">
        <is>
          <t>Tier C</t>
        </is>
      </c>
      <c r="B345" s="17" t="n">
        <v>10</v>
      </c>
      <c r="C345" s="17" t="inlineStr">
        <is>
          <t>성우화학(주)</t>
        </is>
      </c>
      <c r="D345" s="17" t="inlineStr">
        <is>
          <t>화성</t>
        </is>
      </c>
      <c r="E345" s="17" t="inlineStr">
        <is>
          <t>경기도</t>
        </is>
      </c>
      <c r="F345" s="17" t="inlineStr">
        <is>
          <t>화성시</t>
        </is>
      </c>
      <c r="G345" s="17" t="n">
        <v>1</v>
      </c>
      <c r="H345" s="17" t="inlineStr"/>
      <c r="I345" s="17" t="inlineStr"/>
      <c r="J345" s="17" t="inlineStr"/>
      <c r="K345" s="17" t="inlineStr">
        <is>
          <t>Y</t>
        </is>
      </c>
      <c r="L345" s="22" t="inlineStr">
        <is>
          <t>미확인</t>
        </is>
      </c>
      <c r="M345" s="22" t="inlineStr">
        <is>
          <t>미확인</t>
        </is>
      </c>
      <c r="N345" s="22" t="inlineStr">
        <is>
          <t>미확인</t>
        </is>
      </c>
      <c r="O345" s="22" t="inlineStr">
        <is>
          <t>미확인</t>
        </is>
      </c>
      <c r="P345" s="17" t="inlineStr">
        <is>
          <t>LIMS</t>
        </is>
      </c>
      <c r="Q345" s="22" t="inlineStr">
        <is>
          <t>미확인</t>
        </is>
      </c>
      <c r="R345" s="22" t="inlineStr">
        <is>
          <t>미확인</t>
        </is>
      </c>
      <c r="S345" s="17" t="inlineStr">
        <is>
          <t>Tier D</t>
        </is>
      </c>
      <c r="T345" s="17" t="n">
        <v>4</v>
      </c>
      <c r="U345" s="17" t="inlineStr">
        <is>
          <t>C254</t>
        </is>
      </c>
      <c r="V345" s="17" t="inlineStr">
        <is>
          <t>성우화학</t>
        </is>
      </c>
      <c r="W345" s="17" t="inlineStr"/>
      <c r="X345" s="17" t="inlineStr"/>
      <c r="Y345" s="23" t="inlineStr"/>
      <c r="Z345" s="17" t="inlineStr">
        <is>
          <t>윤영봉</t>
        </is>
      </c>
      <c r="AA345" s="17" t="inlineStr"/>
      <c r="AB345" s="17" t="inlineStr">
        <is>
          <t>031-353-7251</t>
        </is>
      </c>
      <c r="AC345" s="17" t="inlineStr">
        <is>
          <t>미확인</t>
        </is>
      </c>
      <c r="AD345" s="17" t="inlineStr">
        <is>
          <t>Y</t>
        </is>
      </c>
      <c r="AE345" s="17" t="inlineStr">
        <is>
          <t>P296</t>
        </is>
      </c>
      <c r="AF345" s="17" t="inlineStr">
        <is>
          <t>경기도 화성시 향남읍 발안공단로1길 32</t>
        </is>
      </c>
      <c r="AG345" s="17" t="inlineStr">
        <is>
          <t>원료의약품</t>
        </is>
      </c>
      <c r="AH345" s="17" t="inlineStr">
        <is>
          <t>비무균-일반제제-합성, 비무균-일반제제-추출, 비무균-일반제제-혼합</t>
        </is>
      </c>
      <c r="AI345" s="17" t="n">
        <v>1</v>
      </c>
      <c r="AJ345" s="24" t="n">
        <v>46797</v>
      </c>
      <c r="AK345" s="17" t="inlineStr"/>
      <c r="AL345" s="17" t="inlineStr"/>
      <c r="AM345" s="17" t="inlineStr">
        <is>
          <t>원료 제조로 시험실 관리 필요</t>
        </is>
      </c>
      <c r="AN345" s="17" t="inlineStr">
        <is>
          <t>미확인</t>
        </is>
      </c>
      <c r="AO345" s="17" t="inlineStr">
        <is>
          <t>미확인</t>
        </is>
      </c>
      <c r="AP345" s="17" t="inlineStr">
        <is>
          <t>미확인</t>
        </is>
      </c>
      <c r="AQ345" s="17" t="inlineStr">
        <is>
          <t>담당자 파악 후 접촉</t>
        </is>
      </c>
      <c r="AR345" s="17" t="inlineStr">
        <is>
          <t>2026-07-05</t>
        </is>
      </c>
      <c r="AS345" s="17" t="inlineStr">
        <is>
          <t>C(부분확인)</t>
        </is>
      </c>
      <c r="AT345" s="17" t="n">
        <v>90</v>
      </c>
      <c r="AU345" s="17" t="inlineStr"/>
      <c r="AV345" s="17" t="inlineStr"/>
    </row>
    <row r="346">
      <c r="A346" s="27" t="inlineStr">
        <is>
          <t>Tier C</t>
        </is>
      </c>
      <c r="B346" s="17" t="n">
        <v>10</v>
      </c>
      <c r="C346" s="17" t="inlineStr">
        <is>
          <t>성이바이오제약주식회사</t>
        </is>
      </c>
      <c r="D346" s="17" t="inlineStr">
        <is>
          <t>성이바이오제약주식회사</t>
        </is>
      </c>
      <c r="E346" s="17" t="inlineStr">
        <is>
          <t>강원특별자치도</t>
        </is>
      </c>
      <c r="F346" s="17" t="inlineStr">
        <is>
          <t>원주시</t>
        </is>
      </c>
      <c r="G346" s="17" t="n">
        <v>1</v>
      </c>
      <c r="H346" s="17" t="inlineStr"/>
      <c r="I346" s="17" t="inlineStr"/>
      <c r="J346" s="17" t="inlineStr">
        <is>
          <t>Y</t>
        </is>
      </c>
      <c r="K346" s="17" t="inlineStr"/>
      <c r="L346" s="22" t="inlineStr">
        <is>
          <t>미확인</t>
        </is>
      </c>
      <c r="M346" s="22" t="inlineStr">
        <is>
          <t>미확인</t>
        </is>
      </c>
      <c r="N346" s="22" t="inlineStr">
        <is>
          <t>미확인</t>
        </is>
      </c>
      <c r="O346" s="22" t="inlineStr">
        <is>
          <t>미확인</t>
        </is>
      </c>
      <c r="P346" s="17" t="inlineStr">
        <is>
          <t>QMS</t>
        </is>
      </c>
      <c r="Q346" s="22" t="inlineStr">
        <is>
          <t>미확인</t>
        </is>
      </c>
      <c r="R346" s="22" t="inlineStr">
        <is>
          <t>미확인</t>
        </is>
      </c>
      <c r="S346" s="17" t="inlineStr">
        <is>
          <t>Tier D</t>
        </is>
      </c>
      <c r="T346" s="17" t="n">
        <v>9</v>
      </c>
      <c r="U346" s="17" t="inlineStr">
        <is>
          <t>C380</t>
        </is>
      </c>
      <c r="V346" s="17" t="inlineStr">
        <is>
          <t>성이바이오제약</t>
        </is>
      </c>
      <c r="W346" s="17" t="inlineStr"/>
      <c r="X346" s="17" t="inlineStr"/>
      <c r="Y346" s="23" t="inlineStr"/>
      <c r="Z346" s="17" t="inlineStr">
        <is>
          <t>전통규</t>
        </is>
      </c>
      <c r="AA346" s="17" t="inlineStr"/>
      <c r="AB346" s="17" t="inlineStr">
        <is>
          <t>033-734-3360</t>
        </is>
      </c>
      <c r="AC346" s="17" t="inlineStr">
        <is>
          <t>미확인</t>
        </is>
      </c>
      <c r="AD346" s="17" t="inlineStr">
        <is>
          <t>Y</t>
        </is>
      </c>
      <c r="AE346" s="17" t="inlineStr">
        <is>
          <t>P463</t>
        </is>
      </c>
      <c r="AF346" s="17" t="inlineStr">
        <is>
          <t>강원특별자치도 원주시 지정면 지래울로 184 1층 일부, 3층</t>
        </is>
      </c>
      <c r="AG346" s="17" t="inlineStr">
        <is>
          <t>완제의약품</t>
        </is>
      </c>
      <c r="AH346" s="17" t="inlineStr">
        <is>
          <t>비무균-일반제제-내용고형제(정제, 캡슐제)</t>
        </is>
      </c>
      <c r="AI346" s="17" t="n">
        <v>1</v>
      </c>
      <c r="AJ346" s="24" t="n">
        <v>46341</v>
      </c>
      <c r="AK346" s="25" t="inlineStr">
        <is>
          <t>Y</t>
        </is>
      </c>
      <c r="AL346" s="17" t="inlineStr">
        <is>
          <t>Y</t>
        </is>
      </c>
      <c r="AM346" s="17" t="inlineStr">
        <is>
          <t>기본 GMP 문서관리 대상</t>
        </is>
      </c>
      <c r="AN346" s="17" t="inlineStr">
        <is>
          <t>미확인</t>
        </is>
      </c>
      <c r="AO346" s="17" t="inlineStr">
        <is>
          <t>미확인</t>
        </is>
      </c>
      <c r="AP346" s="17" t="inlineStr">
        <is>
          <t>미확인</t>
        </is>
      </c>
      <c r="AQ346" s="17" t="inlineStr">
        <is>
          <t>담당자 파악 후 접촉</t>
        </is>
      </c>
      <c r="AR346" s="17" t="inlineStr">
        <is>
          <t>2026-07-05</t>
        </is>
      </c>
      <c r="AS346" s="17" t="inlineStr">
        <is>
          <t>C(부분확인)</t>
        </is>
      </c>
      <c r="AT346" s="17" t="n">
        <v>90</v>
      </c>
      <c r="AU346" s="17" t="inlineStr"/>
      <c r="AV346" s="17" t="inlineStr"/>
    </row>
    <row r="347">
      <c r="A347" s="27" t="inlineStr">
        <is>
          <t>Tier C</t>
        </is>
      </c>
      <c r="B347" s="17" t="n">
        <v>10</v>
      </c>
      <c r="C347" s="17" t="inlineStr">
        <is>
          <t>시믹씨엠오코리아주식회사</t>
        </is>
      </c>
      <c r="D347" s="17" t="inlineStr">
        <is>
          <t>.</t>
        </is>
      </c>
      <c r="E347" s="17" t="inlineStr">
        <is>
          <t>경기도</t>
        </is>
      </c>
      <c r="F347" s="17" t="inlineStr">
        <is>
          <t>부천시</t>
        </is>
      </c>
      <c r="G347" s="17" t="n">
        <v>1</v>
      </c>
      <c r="H347" s="17" t="inlineStr"/>
      <c r="I347" s="17" t="inlineStr"/>
      <c r="J347" s="17" t="inlineStr">
        <is>
          <t>Y</t>
        </is>
      </c>
      <c r="K347" s="17" t="inlineStr"/>
      <c r="L347" s="22" t="inlineStr">
        <is>
          <t>미확인</t>
        </is>
      </c>
      <c r="M347" s="22" t="inlineStr">
        <is>
          <t>미확인</t>
        </is>
      </c>
      <c r="N347" s="22" t="inlineStr">
        <is>
          <t>미확인</t>
        </is>
      </c>
      <c r="O347" s="22" t="inlineStr">
        <is>
          <t>미확인</t>
        </is>
      </c>
      <c r="P347" s="17" t="inlineStr">
        <is>
          <t>QMS</t>
        </is>
      </c>
      <c r="Q347" s="22" t="inlineStr">
        <is>
          <t>미확인</t>
        </is>
      </c>
      <c r="R347" s="22" t="inlineStr">
        <is>
          <t>미확인</t>
        </is>
      </c>
      <c r="S347" s="17" t="inlineStr">
        <is>
          <t>Tier D</t>
        </is>
      </c>
      <c r="T347" s="17" t="n">
        <v>9</v>
      </c>
      <c r="U347" s="17" t="inlineStr">
        <is>
          <t>C388</t>
        </is>
      </c>
      <c r="V347" s="17" t="inlineStr">
        <is>
          <t>시믹씨엠오코리아</t>
        </is>
      </c>
      <c r="W347" s="17" t="inlineStr"/>
      <c r="X347" s="17" t="inlineStr"/>
      <c r="Y347" s="23" t="inlineStr"/>
      <c r="Z347" s="17" t="inlineStr">
        <is>
          <t>하마우라다케시</t>
        </is>
      </c>
      <c r="AA347" s="17" t="inlineStr"/>
      <c r="AB347" s="17" t="inlineStr">
        <is>
          <t>미확인</t>
        </is>
      </c>
      <c r="AC347" s="17" t="inlineStr">
        <is>
          <t>미확인</t>
        </is>
      </c>
      <c r="AD347" s="17" t="inlineStr">
        <is>
          <t>Y</t>
        </is>
      </c>
      <c r="AE347" s="17" t="inlineStr">
        <is>
          <t>P476</t>
        </is>
      </c>
      <c r="AF347" s="17" t="inlineStr">
        <is>
          <t>경기도 부천시 원미구 옥산로230번길 23</t>
        </is>
      </c>
      <c r="AG347" s="17" t="inlineStr">
        <is>
          <t>완제의약품</t>
        </is>
      </c>
      <c r="AH347" s="17" t="inlineStr">
        <is>
          <t>비무균-일반제제-연고제(연고제, 크림제, 겔제)</t>
        </is>
      </c>
      <c r="AI347" s="17" t="n">
        <v>1</v>
      </c>
      <c r="AJ347" s="24" t="n">
        <v>46313</v>
      </c>
      <c r="AK347" s="25" t="inlineStr">
        <is>
          <t>Y</t>
        </is>
      </c>
      <c r="AL347" s="17" t="inlineStr">
        <is>
          <t>Y</t>
        </is>
      </c>
      <c r="AM347" s="17" t="inlineStr">
        <is>
          <t>기본 GMP 문서관리 대상</t>
        </is>
      </c>
      <c r="AN347" s="17" t="inlineStr">
        <is>
          <t>미확인</t>
        </is>
      </c>
      <c r="AO347" s="17" t="inlineStr">
        <is>
          <t>미확인</t>
        </is>
      </c>
      <c r="AP347" s="17" t="inlineStr">
        <is>
          <t>미확인</t>
        </is>
      </c>
      <c r="AQ347" s="17" t="inlineStr">
        <is>
          <t>담당자 파악 후 접촉</t>
        </is>
      </c>
      <c r="AR347" s="17" t="inlineStr">
        <is>
          <t>2026-07-05</t>
        </is>
      </c>
      <c r="AS347" s="17" t="inlineStr">
        <is>
          <t>C(부분확인)</t>
        </is>
      </c>
      <c r="AT347" s="17" t="n">
        <v>90</v>
      </c>
      <c r="AU347" s="17" t="inlineStr"/>
      <c r="AV347" s="17" t="inlineStr"/>
    </row>
    <row r="348">
      <c r="A348" s="27" t="inlineStr">
        <is>
          <t>Tier C</t>
        </is>
      </c>
      <c r="B348" s="17" t="n">
        <v>10</v>
      </c>
      <c r="C348" s="17" t="inlineStr">
        <is>
          <t>신원산업(주)</t>
        </is>
      </c>
      <c r="D348" s="17" t="inlineStr">
        <is>
          <t>미확인</t>
        </is>
      </c>
      <c r="E348" s="17" t="inlineStr">
        <is>
          <t>충청북도</t>
        </is>
      </c>
      <c r="F348" s="17" t="inlineStr">
        <is>
          <t>음성군</t>
        </is>
      </c>
      <c r="G348" s="17" t="n">
        <v>1</v>
      </c>
      <c r="H348" s="17" t="inlineStr"/>
      <c r="I348" s="17" t="inlineStr"/>
      <c r="J348" s="17" t="inlineStr"/>
      <c r="K348" s="17" t="inlineStr">
        <is>
          <t>Y</t>
        </is>
      </c>
      <c r="L348" s="22" t="inlineStr">
        <is>
          <t>미확인</t>
        </is>
      </c>
      <c r="M348" s="22" t="inlineStr">
        <is>
          <t>미확인</t>
        </is>
      </c>
      <c r="N348" s="22" t="inlineStr">
        <is>
          <t>미확인</t>
        </is>
      </c>
      <c r="O348" s="22" t="inlineStr">
        <is>
          <t>미확인</t>
        </is>
      </c>
      <c r="P348" s="17" t="inlineStr">
        <is>
          <t>LIMS</t>
        </is>
      </c>
      <c r="Q348" s="22" t="inlineStr">
        <is>
          <t>미확인</t>
        </is>
      </c>
      <c r="R348" s="22" t="inlineStr">
        <is>
          <t>미확인</t>
        </is>
      </c>
      <c r="S348" s="17" t="inlineStr">
        <is>
          <t>Tier D</t>
        </is>
      </c>
      <c r="T348" s="17" t="n">
        <v>4</v>
      </c>
      <c r="U348" s="17" t="inlineStr">
        <is>
          <t>C157</t>
        </is>
      </c>
      <c r="V348" s="17" t="inlineStr">
        <is>
          <t>신원산업</t>
        </is>
      </c>
      <c r="W348" s="17" t="inlineStr"/>
      <c r="X348" s="17" t="inlineStr"/>
      <c r="Y348" s="23" t="inlineStr"/>
      <c r="Z348" s="17" t="inlineStr">
        <is>
          <t>안태균</t>
        </is>
      </c>
      <c r="AA348" s="17" t="inlineStr"/>
      <c r="AB348" s="17" t="inlineStr">
        <is>
          <t>미확인</t>
        </is>
      </c>
      <c r="AC348" s="17" t="inlineStr">
        <is>
          <t>미확인</t>
        </is>
      </c>
      <c r="AD348" s="17" t="inlineStr">
        <is>
          <t>Y</t>
        </is>
      </c>
      <c r="AE348" s="17" t="inlineStr">
        <is>
          <t>P168</t>
        </is>
      </c>
      <c r="AF348" s="17" t="inlineStr">
        <is>
          <t>충청북도 음성군 삼성면 덕호로 189</t>
        </is>
      </c>
      <c r="AG348" s="17" t="inlineStr">
        <is>
          <t>원료의약품</t>
        </is>
      </c>
      <c r="AH348" s="17" t="inlineStr">
        <is>
          <t>비무균-일반제제-합성</t>
        </is>
      </c>
      <c r="AI348" s="17" t="n">
        <v>1</v>
      </c>
      <c r="AJ348" s="24" t="n">
        <v>46953</v>
      </c>
      <c r="AK348" s="17" t="inlineStr"/>
      <c r="AL348" s="17" t="inlineStr"/>
      <c r="AM348" s="17" t="inlineStr">
        <is>
          <t>원료 제조로 시험실 관리 필요</t>
        </is>
      </c>
      <c r="AN348" s="17" t="inlineStr">
        <is>
          <t>미확인</t>
        </is>
      </c>
      <c r="AO348" s="17" t="inlineStr">
        <is>
          <t>미확인</t>
        </is>
      </c>
      <c r="AP348" s="17" t="inlineStr">
        <is>
          <t>미확인</t>
        </is>
      </c>
      <c r="AQ348" s="17" t="inlineStr">
        <is>
          <t>담당자 파악 후 접촉</t>
        </is>
      </c>
      <c r="AR348" s="17" t="inlineStr">
        <is>
          <t>2026-07-05</t>
        </is>
      </c>
      <c r="AS348" s="17" t="inlineStr">
        <is>
          <t>C(부분확인)</t>
        </is>
      </c>
      <c r="AT348" s="17" t="n">
        <v>0</v>
      </c>
      <c r="AU348" s="17" t="inlineStr">
        <is>
          <t>Y</t>
        </is>
      </c>
      <c r="AV348" s="17" t="inlineStr"/>
    </row>
    <row r="349">
      <c r="A349" s="27" t="inlineStr">
        <is>
          <t>Tier C</t>
        </is>
      </c>
      <c r="B349" s="17" t="n">
        <v>10</v>
      </c>
      <c r="C349" s="17" t="inlineStr">
        <is>
          <t>아이엠씨디코리아주식회사</t>
        </is>
      </c>
      <c r="D349" s="17" t="inlineStr">
        <is>
          <t>화성시</t>
        </is>
      </c>
      <c r="E349" s="17" t="inlineStr">
        <is>
          <t>경기도</t>
        </is>
      </c>
      <c r="F349" s="17" t="inlineStr">
        <is>
          <t>화성시</t>
        </is>
      </c>
      <c r="G349" s="17" t="n">
        <v>1</v>
      </c>
      <c r="H349" s="17" t="inlineStr"/>
      <c r="I349" s="17" t="inlineStr"/>
      <c r="J349" s="17" t="inlineStr"/>
      <c r="K349" s="17" t="inlineStr">
        <is>
          <t>Y</t>
        </is>
      </c>
      <c r="L349" s="22" t="inlineStr">
        <is>
          <t>미확인</t>
        </is>
      </c>
      <c r="M349" s="22" t="inlineStr">
        <is>
          <t>미확인</t>
        </is>
      </c>
      <c r="N349" s="22" t="inlineStr">
        <is>
          <t>미확인</t>
        </is>
      </c>
      <c r="O349" s="22" t="inlineStr">
        <is>
          <t>미확인</t>
        </is>
      </c>
      <c r="P349" s="17" t="inlineStr">
        <is>
          <t>LIMS</t>
        </is>
      </c>
      <c r="Q349" s="22" t="inlineStr">
        <is>
          <t>미확인</t>
        </is>
      </c>
      <c r="R349" s="22" t="inlineStr">
        <is>
          <t>미확인</t>
        </is>
      </c>
      <c r="S349" s="17" t="inlineStr">
        <is>
          <t>Tier D</t>
        </is>
      </c>
      <c r="T349" s="17" t="n">
        <v>4</v>
      </c>
      <c r="U349" s="17" t="inlineStr">
        <is>
          <t>C291</t>
        </is>
      </c>
      <c r="V349" s="17" t="inlineStr">
        <is>
          <t>아이엠씨디코리아</t>
        </is>
      </c>
      <c r="W349" s="17" t="inlineStr"/>
      <c r="X349" s="17" t="inlineStr"/>
      <c r="Y349" s="23" t="inlineStr"/>
      <c r="Z349" s="17" t="inlineStr">
        <is>
          <t>이동준</t>
        </is>
      </c>
      <c r="AA349" s="17" t="inlineStr"/>
      <c r="AB349" s="17" t="inlineStr">
        <is>
          <t>02-573-1858</t>
        </is>
      </c>
      <c r="AC349" s="17" t="inlineStr">
        <is>
          <t>미확인</t>
        </is>
      </c>
      <c r="AD349" s="17" t="inlineStr">
        <is>
          <t>Y</t>
        </is>
      </c>
      <c r="AE349" s="17" t="inlineStr">
        <is>
          <t>P349</t>
        </is>
      </c>
      <c r="AF349" s="17" t="inlineStr">
        <is>
          <t>경기도 화성시 향남읍 발안공단로1길 26</t>
        </is>
      </c>
      <c r="AG349" s="17" t="inlineStr">
        <is>
          <t>원료의약품</t>
        </is>
      </c>
      <c r="AH349" s="17" t="inlineStr">
        <is>
          <t>비무균-일반제제-소분</t>
        </is>
      </c>
      <c r="AI349" s="17" t="n">
        <v>1</v>
      </c>
      <c r="AJ349" s="24" t="n">
        <v>46593</v>
      </c>
      <c r="AK349" s="17" t="inlineStr"/>
      <c r="AL349" s="17" t="inlineStr"/>
      <c r="AM349" s="17" t="inlineStr">
        <is>
          <t>원료 제조로 시험실 관리 필요</t>
        </is>
      </c>
      <c r="AN349" s="17" t="inlineStr">
        <is>
          <t>미확인</t>
        </is>
      </c>
      <c r="AO349" s="17" t="inlineStr">
        <is>
          <t>미확인</t>
        </is>
      </c>
      <c r="AP349" s="17" t="inlineStr">
        <is>
          <t>미확인</t>
        </is>
      </c>
      <c r="AQ349" s="17" t="inlineStr">
        <is>
          <t>담당자 파악 후 접촉</t>
        </is>
      </c>
      <c r="AR349" s="17" t="inlineStr">
        <is>
          <t>2026-07-05</t>
        </is>
      </c>
      <c r="AS349" s="17" t="inlineStr">
        <is>
          <t>C(부분확인)</t>
        </is>
      </c>
      <c r="AT349" s="17" t="n">
        <v>90</v>
      </c>
      <c r="AU349" s="17" t="inlineStr"/>
      <c r="AV349" s="17" t="inlineStr"/>
    </row>
    <row r="350">
      <c r="A350" s="27" t="inlineStr">
        <is>
          <t>Tier C</t>
        </is>
      </c>
      <c r="B350" s="17" t="n">
        <v>10</v>
      </c>
      <c r="C350" s="17" t="inlineStr">
        <is>
          <t>에스케이바이오텍(주)</t>
        </is>
      </c>
      <c r="D350" s="17" t="inlineStr">
        <is>
          <t>세종공장</t>
        </is>
      </c>
      <c r="E350" s="17" t="inlineStr">
        <is>
          <t>세종특별자치시</t>
        </is>
      </c>
      <c r="F350" s="17" t="inlineStr">
        <is>
          <t>세종특별자치시</t>
        </is>
      </c>
      <c r="G350" s="17" t="n">
        <v>1</v>
      </c>
      <c r="H350" s="17" t="inlineStr"/>
      <c r="I350" s="17" t="inlineStr"/>
      <c r="J350" s="17" t="inlineStr"/>
      <c r="K350" s="17" t="inlineStr">
        <is>
          <t>Y</t>
        </is>
      </c>
      <c r="L350" s="22" t="inlineStr">
        <is>
          <t>미확인</t>
        </is>
      </c>
      <c r="M350" s="22" t="inlineStr">
        <is>
          <t>미확인</t>
        </is>
      </c>
      <c r="N350" s="22" t="inlineStr">
        <is>
          <t>미확인</t>
        </is>
      </c>
      <c r="O350" s="22" t="inlineStr">
        <is>
          <t>미확인</t>
        </is>
      </c>
      <c r="P350" s="17" t="inlineStr">
        <is>
          <t>LIMS</t>
        </is>
      </c>
      <c r="Q350" s="22" t="inlineStr">
        <is>
          <t>미확인</t>
        </is>
      </c>
      <c r="R350" s="22" t="inlineStr">
        <is>
          <t>미확인</t>
        </is>
      </c>
      <c r="S350" s="17" t="inlineStr">
        <is>
          <t>Tier D</t>
        </is>
      </c>
      <c r="T350" s="17" t="n">
        <v>4</v>
      </c>
      <c r="U350" s="17" t="inlineStr">
        <is>
          <t>C129</t>
        </is>
      </c>
      <c r="V350" s="17" t="inlineStr">
        <is>
          <t>에스케이바이오텍</t>
        </is>
      </c>
      <c r="W350" s="17" t="inlineStr"/>
      <c r="X350" s="17" t="inlineStr"/>
      <c r="Y350" s="23" t="inlineStr"/>
      <c r="Z350" s="17" t="inlineStr">
        <is>
          <t>박용우</t>
        </is>
      </c>
      <c r="AA350" s="17" t="inlineStr"/>
      <c r="AB350" s="17" t="inlineStr">
        <is>
          <t>044-850-0806</t>
        </is>
      </c>
      <c r="AC350" s="17" t="inlineStr">
        <is>
          <t>미확인</t>
        </is>
      </c>
      <c r="AD350" s="17" t="inlineStr">
        <is>
          <t>Y</t>
        </is>
      </c>
      <c r="AE350" s="17" t="inlineStr">
        <is>
          <t>P135</t>
        </is>
      </c>
      <c r="AF350" s="17" t="inlineStr">
        <is>
          <t>세종특별자치시 연동면 명학산단로 80</t>
        </is>
      </c>
      <c r="AG350" s="17" t="inlineStr">
        <is>
          <t>원료의약품</t>
        </is>
      </c>
      <c r="AH350" s="17" t="inlineStr">
        <is>
          <t>비무균-일반제제-합성</t>
        </is>
      </c>
      <c r="AI350" s="17" t="n">
        <v>1</v>
      </c>
      <c r="AJ350" s="24" t="n">
        <v>47014</v>
      </c>
      <c r="AK350" s="17" t="inlineStr"/>
      <c r="AL350" s="17" t="inlineStr"/>
      <c r="AM350" s="17" t="inlineStr">
        <is>
          <t>원료 제조로 시험실 관리 필요</t>
        </is>
      </c>
      <c r="AN350" s="17" t="inlineStr">
        <is>
          <t>미확인</t>
        </is>
      </c>
      <c r="AO350" s="17" t="inlineStr">
        <is>
          <t>미확인</t>
        </is>
      </c>
      <c r="AP350" s="17" t="inlineStr">
        <is>
          <t>미확인</t>
        </is>
      </c>
      <c r="AQ350" s="17" t="inlineStr">
        <is>
          <t>담당자 파악 후 접촉</t>
        </is>
      </c>
      <c r="AR350" s="17" t="inlineStr">
        <is>
          <t>2026-07-05</t>
        </is>
      </c>
      <c r="AS350" s="17" t="inlineStr">
        <is>
          <t>C(부분확인)</t>
        </is>
      </c>
      <c r="AT350" s="17" t="n">
        <v>90</v>
      </c>
      <c r="AU350" s="17" t="inlineStr"/>
      <c r="AV350" s="17" t="inlineStr"/>
    </row>
    <row r="351">
      <c r="A351" s="27" t="inlineStr">
        <is>
          <t>Tier C</t>
        </is>
      </c>
      <c r="B351" s="17" t="n">
        <v>10</v>
      </c>
      <c r="C351" s="17" t="inlineStr">
        <is>
          <t>엔비케이제약(주)</t>
        </is>
      </c>
      <c r="D351" s="17" t="inlineStr">
        <is>
          <t>천안</t>
        </is>
      </c>
      <c r="E351" s="17" t="inlineStr">
        <is>
          <t>충청남도</t>
        </is>
      </c>
      <c r="F351" s="17" t="inlineStr">
        <is>
          <t>천안시</t>
        </is>
      </c>
      <c r="G351" s="17" t="n">
        <v>1</v>
      </c>
      <c r="H351" s="17" t="inlineStr"/>
      <c r="I351" s="17" t="inlineStr"/>
      <c r="J351" s="17" t="inlineStr">
        <is>
          <t>Y</t>
        </is>
      </c>
      <c r="K351" s="17" t="inlineStr"/>
      <c r="L351" s="22" t="inlineStr">
        <is>
          <t>미확인</t>
        </is>
      </c>
      <c r="M351" s="22" t="inlineStr">
        <is>
          <t>미확인</t>
        </is>
      </c>
      <c r="N351" s="22" t="inlineStr">
        <is>
          <t>미확인</t>
        </is>
      </c>
      <c r="O351" s="22" t="inlineStr">
        <is>
          <t>미확인</t>
        </is>
      </c>
      <c r="P351" s="17" t="inlineStr">
        <is>
          <t>QMS</t>
        </is>
      </c>
      <c r="Q351" s="22" t="inlineStr">
        <is>
          <t>미확인</t>
        </is>
      </c>
      <c r="R351" s="22" t="inlineStr">
        <is>
          <t>미확인</t>
        </is>
      </c>
      <c r="S351" s="17" t="inlineStr">
        <is>
          <t>Tier D</t>
        </is>
      </c>
      <c r="T351" s="17" t="n">
        <v>9</v>
      </c>
      <c r="U351" s="17" t="inlineStr">
        <is>
          <t>C400</t>
        </is>
      </c>
      <c r="V351" s="17" t="inlineStr">
        <is>
          <t>엔비케이제약</t>
        </is>
      </c>
      <c r="W351" s="17" t="inlineStr"/>
      <c r="X351" s="17" t="inlineStr"/>
      <c r="Y351" s="23" t="inlineStr"/>
      <c r="Z351" s="17" t="inlineStr">
        <is>
          <t>이상헌</t>
        </is>
      </c>
      <c r="AA351" s="17" t="inlineStr"/>
      <c r="AB351" s="17" t="inlineStr">
        <is>
          <t>041-578-7490</t>
        </is>
      </c>
      <c r="AC351" s="17" t="inlineStr">
        <is>
          <t>미확인</t>
        </is>
      </c>
      <c r="AD351" s="17" t="inlineStr">
        <is>
          <t>Y</t>
        </is>
      </c>
      <c r="AE351" s="17" t="inlineStr">
        <is>
          <t>P492</t>
        </is>
      </c>
      <c r="AF351" s="17" t="inlineStr">
        <is>
          <t>충청남도 천안시 동남구 풍세면 풍세로 539</t>
        </is>
      </c>
      <c r="AG351" s="17" t="inlineStr">
        <is>
          <t>완제의약품</t>
        </is>
      </c>
      <c r="AH351" s="17" t="inlineStr">
        <is>
          <t>비무균-일반제제-내용고형제(정제, 캡슐제)</t>
        </is>
      </c>
      <c r="AI351" s="17" t="n">
        <v>1</v>
      </c>
      <c r="AJ351" s="24" t="n">
        <v>46265</v>
      </c>
      <c r="AK351" s="25" t="inlineStr">
        <is>
          <t>Y</t>
        </is>
      </c>
      <c r="AL351" s="17" t="inlineStr">
        <is>
          <t>Y</t>
        </is>
      </c>
      <c r="AM351" s="17" t="inlineStr">
        <is>
          <t>기본 GMP 문서관리 대상</t>
        </is>
      </c>
      <c r="AN351" s="17" t="inlineStr">
        <is>
          <t>미확인</t>
        </is>
      </c>
      <c r="AO351" s="17" t="inlineStr">
        <is>
          <t>미확인</t>
        </is>
      </c>
      <c r="AP351" s="17" t="inlineStr">
        <is>
          <t>미확인</t>
        </is>
      </c>
      <c r="AQ351" s="17" t="inlineStr">
        <is>
          <t>담당자 파악 후 접촉</t>
        </is>
      </c>
      <c r="AR351" s="17" t="inlineStr">
        <is>
          <t>2026-07-05</t>
        </is>
      </c>
      <c r="AS351" s="17" t="inlineStr">
        <is>
          <t>C(부분확인)</t>
        </is>
      </c>
      <c r="AT351" s="17" t="n">
        <v>90</v>
      </c>
      <c r="AU351" s="17" t="inlineStr"/>
      <c r="AV351" s="17" t="inlineStr"/>
    </row>
    <row r="352">
      <c r="A352" s="27" t="inlineStr">
        <is>
          <t>Tier C</t>
        </is>
      </c>
      <c r="B352" s="17" t="n">
        <v>10</v>
      </c>
      <c r="C352" s="17" t="inlineStr">
        <is>
          <t>엠에스종합가스(주)</t>
        </is>
      </c>
      <c r="D352" s="17" t="inlineStr">
        <is>
          <t>양산</t>
        </is>
      </c>
      <c r="E352" s="17" t="inlineStr">
        <is>
          <t>경상남도</t>
        </is>
      </c>
      <c r="F352" s="17" t="inlineStr">
        <is>
          <t>양산시</t>
        </is>
      </c>
      <c r="G352" s="17" t="n">
        <v>1</v>
      </c>
      <c r="H352" s="17" t="inlineStr"/>
      <c r="I352" s="17" t="inlineStr"/>
      <c r="J352" s="17" t="inlineStr">
        <is>
          <t>Y</t>
        </is>
      </c>
      <c r="K352" s="17" t="inlineStr"/>
      <c r="L352" s="22" t="inlineStr">
        <is>
          <t>미확인</t>
        </is>
      </c>
      <c r="M352" s="22" t="inlineStr">
        <is>
          <t>미확인</t>
        </is>
      </c>
      <c r="N352" s="22" t="inlineStr">
        <is>
          <t>미확인</t>
        </is>
      </c>
      <c r="O352" s="22" t="inlineStr">
        <is>
          <t>미확인</t>
        </is>
      </c>
      <c r="P352" s="17" t="inlineStr">
        <is>
          <t>QMS</t>
        </is>
      </c>
      <c r="Q352" s="22" t="inlineStr">
        <is>
          <t>미확인</t>
        </is>
      </c>
      <c r="R352" s="22" t="inlineStr">
        <is>
          <t>미확인</t>
        </is>
      </c>
      <c r="S352" s="17" t="inlineStr">
        <is>
          <t>Tier D</t>
        </is>
      </c>
      <c r="T352" s="17" t="n">
        <v>9</v>
      </c>
      <c r="U352" s="17" t="inlineStr">
        <is>
          <t>C406</t>
        </is>
      </c>
      <c r="V352" s="17" t="inlineStr">
        <is>
          <t>엠에스종합가스</t>
        </is>
      </c>
      <c r="W352" s="17" t="inlineStr"/>
      <c r="X352" s="17" t="inlineStr"/>
      <c r="Y352" s="23" t="inlineStr"/>
      <c r="Z352" s="17" t="inlineStr">
        <is>
          <t>전청민</t>
        </is>
      </c>
      <c r="AA352" s="17" t="inlineStr"/>
      <c r="AB352" s="17" t="inlineStr">
        <is>
          <t>055-366-5522</t>
        </is>
      </c>
      <c r="AC352" s="17" t="inlineStr">
        <is>
          <t>미확인</t>
        </is>
      </c>
      <c r="AD352" s="17" t="inlineStr">
        <is>
          <t>Y</t>
        </is>
      </c>
      <c r="AE352" s="17" t="inlineStr">
        <is>
          <t>P499</t>
        </is>
      </c>
      <c r="AF352" s="17" t="inlineStr">
        <is>
          <t>경상남도 양산시 소주공단2길 48</t>
        </is>
      </c>
      <c r="AG352" s="17" t="inlineStr">
        <is>
          <t>완제의약품</t>
        </is>
      </c>
      <c r="AH352" s="17" t="inlineStr">
        <is>
          <t>그밖의 제형(가스군(흡입제(소분, 기체상, 의료용 고압가스))), 그밖의 제형(액제군(흡입제(소분, 액상, 의료용 고압가스)))</t>
        </is>
      </c>
      <c r="AI352" s="17" t="n">
        <v>1</v>
      </c>
      <c r="AJ352" s="24" t="n">
        <v>46244</v>
      </c>
      <c r="AK352" s="25" t="inlineStr">
        <is>
          <t>Y</t>
        </is>
      </c>
      <c r="AL352" s="17" t="inlineStr">
        <is>
          <t>Y</t>
        </is>
      </c>
      <c r="AM352" s="17" t="inlineStr">
        <is>
          <t>기본 GMP 문서관리 대상</t>
        </is>
      </c>
      <c r="AN352" s="17" t="inlineStr">
        <is>
          <t>미확인</t>
        </is>
      </c>
      <c r="AO352" s="17" t="inlineStr">
        <is>
          <t>미확인</t>
        </is>
      </c>
      <c r="AP352" s="17" t="inlineStr">
        <is>
          <t>미확인</t>
        </is>
      </c>
      <c r="AQ352" s="17" t="inlineStr">
        <is>
          <t>담당자 파악 후 접촉</t>
        </is>
      </c>
      <c r="AR352" s="17" t="inlineStr">
        <is>
          <t>2026-07-05</t>
        </is>
      </c>
      <c r="AS352" s="17" t="inlineStr">
        <is>
          <t>C(부분확인)</t>
        </is>
      </c>
      <c r="AT352" s="17" t="n">
        <v>90</v>
      </c>
      <c r="AU352" s="17" t="inlineStr"/>
      <c r="AV352" s="17" t="inlineStr"/>
    </row>
    <row r="353">
      <c r="A353" s="27" t="inlineStr">
        <is>
          <t>Tier C</t>
        </is>
      </c>
      <c r="B353" s="17" t="n">
        <v>10</v>
      </c>
      <c r="C353" s="17" t="inlineStr">
        <is>
          <t>제이투에이치바이오텍(주)</t>
        </is>
      </c>
      <c r="D353" s="17" t="inlineStr">
        <is>
          <t>1공장</t>
        </is>
      </c>
      <c r="E353" s="17" t="inlineStr">
        <is>
          <t>경기도</t>
        </is>
      </c>
      <c r="F353" s="17" t="inlineStr">
        <is>
          <t>안산시</t>
        </is>
      </c>
      <c r="G353" s="17" t="n">
        <v>1</v>
      </c>
      <c r="H353" s="17" t="inlineStr"/>
      <c r="I353" s="17" t="inlineStr"/>
      <c r="J353" s="17" t="inlineStr"/>
      <c r="K353" s="17" t="inlineStr">
        <is>
          <t>Y</t>
        </is>
      </c>
      <c r="L353" s="22" t="inlineStr">
        <is>
          <t>미확인</t>
        </is>
      </c>
      <c r="M353" s="22" t="inlineStr">
        <is>
          <t>미확인</t>
        </is>
      </c>
      <c r="N353" s="22" t="inlineStr">
        <is>
          <t>미확인</t>
        </is>
      </c>
      <c r="O353" s="22" t="inlineStr">
        <is>
          <t>미확인</t>
        </is>
      </c>
      <c r="P353" s="17" t="inlineStr">
        <is>
          <t>LIMS</t>
        </is>
      </c>
      <c r="Q353" s="22" t="inlineStr">
        <is>
          <t>미확인</t>
        </is>
      </c>
      <c r="R353" s="22" t="inlineStr">
        <is>
          <t>미확인</t>
        </is>
      </c>
      <c r="S353" s="17" t="inlineStr">
        <is>
          <t>Tier D</t>
        </is>
      </c>
      <c r="T353" s="17" t="n">
        <v>4</v>
      </c>
      <c r="U353" s="17" t="inlineStr">
        <is>
          <t>C214</t>
        </is>
      </c>
      <c r="V353" s="17" t="inlineStr">
        <is>
          <t>제이투에이치바이오텍</t>
        </is>
      </c>
      <c r="W353" s="17" t="inlineStr"/>
      <c r="X353" s="17" t="inlineStr"/>
      <c r="Y353" s="23" t="inlineStr"/>
      <c r="Z353" s="17" t="inlineStr">
        <is>
          <t>김재선</t>
        </is>
      </c>
      <c r="AA353" s="17" t="inlineStr"/>
      <c r="AB353" s="17" t="inlineStr">
        <is>
          <t>미확인</t>
        </is>
      </c>
      <c r="AC353" s="17" t="inlineStr">
        <is>
          <t>미확인</t>
        </is>
      </c>
      <c r="AD353" s="17" t="inlineStr">
        <is>
          <t>Y</t>
        </is>
      </c>
      <c r="AE353" s="17" t="inlineStr">
        <is>
          <t>P233</t>
        </is>
      </c>
      <c r="AF353" s="17" t="inlineStr">
        <is>
          <t>경기도 안산시 단원구 산단로 349 B동,D동일부</t>
        </is>
      </c>
      <c r="AG353" s="17" t="inlineStr">
        <is>
          <t>원료의약품</t>
        </is>
      </c>
      <c r="AH353" s="17" t="inlineStr">
        <is>
          <t>비무균-일반제제-합성</t>
        </is>
      </c>
      <c r="AI353" s="17" t="n">
        <v>1</v>
      </c>
      <c r="AJ353" s="24" t="n">
        <v>46876</v>
      </c>
      <c r="AK353" s="17" t="inlineStr"/>
      <c r="AL353" s="17" t="inlineStr"/>
      <c r="AM353" s="17" t="inlineStr">
        <is>
          <t>원료 제조로 시험실 관리 필요</t>
        </is>
      </c>
      <c r="AN353" s="17" t="inlineStr">
        <is>
          <t>미확인</t>
        </is>
      </c>
      <c r="AO353" s="17" t="inlineStr">
        <is>
          <t>미확인</t>
        </is>
      </c>
      <c r="AP353" s="17" t="inlineStr">
        <is>
          <t>미확인</t>
        </is>
      </c>
      <c r="AQ353" s="17" t="inlineStr">
        <is>
          <t>담당자 파악 후 접촉</t>
        </is>
      </c>
      <c r="AR353" s="17" t="inlineStr">
        <is>
          <t>2026-07-05</t>
        </is>
      </c>
      <c r="AS353" s="17" t="inlineStr">
        <is>
          <t>C(부분확인)</t>
        </is>
      </c>
      <c r="AT353" s="17" t="n">
        <v>90</v>
      </c>
      <c r="AU353" s="17" t="inlineStr"/>
      <c r="AV353" s="17" t="inlineStr"/>
    </row>
    <row r="354">
      <c r="A354" s="27" t="inlineStr">
        <is>
          <t>Tier C</t>
        </is>
      </c>
      <c r="B354" s="17" t="n">
        <v>10</v>
      </c>
      <c r="C354" s="17" t="inlineStr">
        <is>
          <t>주식회사 노바엠헬스케어</t>
        </is>
      </c>
      <c r="D354" s="17" t="inlineStr">
        <is>
          <t>경산공장</t>
        </is>
      </c>
      <c r="E354" s="17" t="inlineStr">
        <is>
          <t>경상북도</t>
        </is>
      </c>
      <c r="F354" s="17" t="inlineStr">
        <is>
          <t>경산시</t>
        </is>
      </c>
      <c r="G354" s="17" t="n">
        <v>1</v>
      </c>
      <c r="H354" s="17" t="inlineStr"/>
      <c r="I354" s="17" t="inlineStr"/>
      <c r="J354" s="17" t="inlineStr">
        <is>
          <t>Y</t>
        </is>
      </c>
      <c r="K354" s="17" t="inlineStr"/>
      <c r="L354" s="22" t="inlineStr">
        <is>
          <t>미확인</t>
        </is>
      </c>
      <c r="M354" s="22" t="inlineStr">
        <is>
          <t>미확인</t>
        </is>
      </c>
      <c r="N354" s="22" t="inlineStr">
        <is>
          <t>미확인</t>
        </is>
      </c>
      <c r="O354" s="22" t="inlineStr">
        <is>
          <t>미확인</t>
        </is>
      </c>
      <c r="P354" s="17" t="inlineStr">
        <is>
          <t>QMS</t>
        </is>
      </c>
      <c r="Q354" s="22" t="inlineStr">
        <is>
          <t>미확인</t>
        </is>
      </c>
      <c r="R354" s="22" t="inlineStr">
        <is>
          <t>미확인</t>
        </is>
      </c>
      <c r="S354" s="17" t="inlineStr">
        <is>
          <t>Tier D</t>
        </is>
      </c>
      <c r="T354" s="17" t="n">
        <v>9</v>
      </c>
      <c r="U354" s="17" t="inlineStr">
        <is>
          <t>C371</t>
        </is>
      </c>
      <c r="V354" s="17" t="inlineStr">
        <is>
          <t>노바엠헬스케어</t>
        </is>
      </c>
      <c r="W354" s="17" t="inlineStr"/>
      <c r="X354" s="17" t="inlineStr"/>
      <c r="Y354" s="23" t="inlineStr"/>
      <c r="Z354" s="17" t="inlineStr">
        <is>
          <t>권준범</t>
        </is>
      </c>
      <c r="AA354" s="17" t="inlineStr"/>
      <c r="AB354" s="17" t="inlineStr">
        <is>
          <t>053-217-0033</t>
        </is>
      </c>
      <c r="AC354" s="17" t="inlineStr">
        <is>
          <t>미확인</t>
        </is>
      </c>
      <c r="AD354" s="17" t="inlineStr">
        <is>
          <t>Y</t>
        </is>
      </c>
      <c r="AE354" s="17" t="inlineStr">
        <is>
          <t>P451</t>
        </is>
      </c>
      <c r="AF354" s="17" t="inlineStr">
        <is>
          <t>경상북도 경산시 하양읍 지식산업4로 16-53</t>
        </is>
      </c>
      <c r="AG354" s="17" t="inlineStr">
        <is>
          <t>완제의약품</t>
        </is>
      </c>
      <c r="AH354" s="17" t="inlineStr">
        <is>
          <t>비무균-일반제제-내용고형제(정제, 캡슐제)</t>
        </is>
      </c>
      <c r="AI354" s="17" t="n">
        <v>1</v>
      </c>
      <c r="AJ354" s="24" t="n">
        <v>46376</v>
      </c>
      <c r="AK354" s="25" t="inlineStr">
        <is>
          <t>Y</t>
        </is>
      </c>
      <c r="AL354" s="17" t="inlineStr">
        <is>
          <t>Y</t>
        </is>
      </c>
      <c r="AM354" s="17" t="inlineStr">
        <is>
          <t>기본 GMP 문서관리 대상</t>
        </is>
      </c>
      <c r="AN354" s="17" t="inlineStr">
        <is>
          <t>미확인</t>
        </is>
      </c>
      <c r="AO354" s="17" t="inlineStr">
        <is>
          <t>미확인</t>
        </is>
      </c>
      <c r="AP354" s="17" t="inlineStr">
        <is>
          <t>미확인</t>
        </is>
      </c>
      <c r="AQ354" s="17" t="inlineStr">
        <is>
          <t>담당자 파악 후 접촉</t>
        </is>
      </c>
      <c r="AR354" s="17" t="inlineStr">
        <is>
          <t>2026-07-05</t>
        </is>
      </c>
      <c r="AS354" s="17" t="inlineStr">
        <is>
          <t>C(부분확인)</t>
        </is>
      </c>
      <c r="AT354" s="17" t="n">
        <v>90</v>
      </c>
      <c r="AU354" s="17" t="inlineStr"/>
      <c r="AV354" s="17" t="inlineStr"/>
    </row>
    <row r="355">
      <c r="A355" s="27" t="inlineStr">
        <is>
          <t>Tier C</t>
        </is>
      </c>
      <c r="B355" s="17" t="n">
        <v>10</v>
      </c>
      <c r="C355" s="17" t="inlineStr">
        <is>
          <t>주식회사삼현제약</t>
        </is>
      </c>
      <c r="D355" s="17" t="inlineStr">
        <is>
          <t>미확인</t>
        </is>
      </c>
      <c r="E355" s="17" t="inlineStr">
        <is>
          <t>인천광역시</t>
        </is>
      </c>
      <c r="F355" s="17" t="inlineStr">
        <is>
          <t>강화군</t>
        </is>
      </c>
      <c r="G355" s="17" t="n">
        <v>1</v>
      </c>
      <c r="H355" s="17" t="inlineStr"/>
      <c r="I355" s="17" t="inlineStr"/>
      <c r="J355" s="17" t="inlineStr">
        <is>
          <t>Y</t>
        </is>
      </c>
      <c r="K355" s="17" t="inlineStr"/>
      <c r="L355" s="22" t="inlineStr">
        <is>
          <t>미확인</t>
        </is>
      </c>
      <c r="M355" s="22" t="inlineStr">
        <is>
          <t>미확인</t>
        </is>
      </c>
      <c r="N355" s="22" t="inlineStr">
        <is>
          <t>미확인</t>
        </is>
      </c>
      <c r="O355" s="22" t="inlineStr">
        <is>
          <t>미확인</t>
        </is>
      </c>
      <c r="P355" s="17" t="inlineStr">
        <is>
          <t>QMS</t>
        </is>
      </c>
      <c r="Q355" s="22" t="inlineStr">
        <is>
          <t>미확인</t>
        </is>
      </c>
      <c r="R355" s="22" t="inlineStr">
        <is>
          <t>미확인</t>
        </is>
      </c>
      <c r="S355" s="17" t="inlineStr">
        <is>
          <t>Tier D</t>
        </is>
      </c>
      <c r="T355" s="17" t="n">
        <v>9</v>
      </c>
      <c r="U355" s="17" t="inlineStr">
        <is>
          <t>C378</t>
        </is>
      </c>
      <c r="V355" s="17" t="inlineStr">
        <is>
          <t>삼현제약</t>
        </is>
      </c>
      <c r="W355" s="17" t="inlineStr"/>
      <c r="X355" s="17" t="inlineStr"/>
      <c r="Y355" s="23" t="inlineStr"/>
      <c r="Z355" s="17" t="inlineStr">
        <is>
          <t>이양수</t>
        </is>
      </c>
      <c r="AA355" s="17" t="inlineStr"/>
      <c r="AB355" s="17" t="inlineStr">
        <is>
          <t>미확인</t>
        </is>
      </c>
      <c r="AC355" s="17" t="inlineStr">
        <is>
          <t>미확인</t>
        </is>
      </c>
      <c r="AD355" s="17" t="inlineStr">
        <is>
          <t>Y</t>
        </is>
      </c>
      <c r="AE355" s="17" t="inlineStr">
        <is>
          <t>P461</t>
        </is>
      </c>
      <c r="AF355" s="17" t="inlineStr">
        <is>
          <t>인천광역시 강화군 하점면 강화대로967번길 22 1층 일부, 2층(시험실)</t>
        </is>
      </c>
      <c r="AG355" s="17" t="inlineStr">
        <is>
          <t>완제의약품</t>
        </is>
      </c>
      <c r="AH355" s="17" t="inlineStr">
        <is>
          <t>외용액제(외용액제)</t>
        </is>
      </c>
      <c r="AI355" s="17" t="n">
        <v>1</v>
      </c>
      <c r="AJ355" s="24" t="n">
        <v>46346</v>
      </c>
      <c r="AK355" s="25" t="inlineStr">
        <is>
          <t>Y</t>
        </is>
      </c>
      <c r="AL355" s="17" t="inlineStr">
        <is>
          <t>Y</t>
        </is>
      </c>
      <c r="AM355" s="17" t="inlineStr">
        <is>
          <t>기본 GMP 문서관리 대상</t>
        </is>
      </c>
      <c r="AN355" s="17" t="inlineStr">
        <is>
          <t>미확인</t>
        </is>
      </c>
      <c r="AO355" s="17" t="inlineStr">
        <is>
          <t>미확인</t>
        </is>
      </c>
      <c r="AP355" s="17" t="inlineStr">
        <is>
          <t>미확인</t>
        </is>
      </c>
      <c r="AQ355" s="17" t="inlineStr">
        <is>
          <t>담당자 파악 후 접촉</t>
        </is>
      </c>
      <c r="AR355" s="17" t="inlineStr">
        <is>
          <t>2026-07-05</t>
        </is>
      </c>
      <c r="AS355" s="17" t="inlineStr">
        <is>
          <t>C(부분확인)</t>
        </is>
      </c>
      <c r="AT355" s="17" t="n">
        <v>0</v>
      </c>
      <c r="AU355" s="17" t="inlineStr">
        <is>
          <t>Y</t>
        </is>
      </c>
      <c r="AV355" s="17" t="inlineStr"/>
    </row>
    <row r="356">
      <c r="A356" s="27" t="inlineStr">
        <is>
          <t>Tier C</t>
        </is>
      </c>
      <c r="B356" s="17" t="n">
        <v>10</v>
      </c>
      <c r="C356" s="17" t="inlineStr">
        <is>
          <t>주식회사위지피제약</t>
        </is>
      </c>
      <c r="D356" s="17" t="inlineStr">
        <is>
          <t>제1공장</t>
        </is>
      </c>
      <c r="E356" s="17" t="inlineStr">
        <is>
          <t>경기도</t>
        </is>
      </c>
      <c r="F356" s="17" t="inlineStr">
        <is>
          <t>시흥시</t>
        </is>
      </c>
      <c r="G356" s="17" t="n">
        <v>1</v>
      </c>
      <c r="H356" s="17" t="inlineStr"/>
      <c r="I356" s="17" t="inlineStr"/>
      <c r="J356" s="17" t="inlineStr">
        <is>
          <t>Y</t>
        </is>
      </c>
      <c r="K356" s="17" t="inlineStr"/>
      <c r="L356" s="22" t="inlineStr">
        <is>
          <t>미확인</t>
        </is>
      </c>
      <c r="M356" s="22" t="inlineStr">
        <is>
          <t>미확인</t>
        </is>
      </c>
      <c r="N356" s="22" t="inlineStr">
        <is>
          <t>미확인</t>
        </is>
      </c>
      <c r="O356" s="22" t="inlineStr">
        <is>
          <t>미확인</t>
        </is>
      </c>
      <c r="P356" s="17" t="inlineStr">
        <is>
          <t>QMS</t>
        </is>
      </c>
      <c r="Q356" s="22" t="inlineStr">
        <is>
          <t>미확인</t>
        </is>
      </c>
      <c r="R356" s="22" t="inlineStr">
        <is>
          <t>미확인</t>
        </is>
      </c>
      <c r="S356" s="17" t="inlineStr">
        <is>
          <t>Tier D</t>
        </is>
      </c>
      <c r="T356" s="17" t="n">
        <v>9</v>
      </c>
      <c r="U356" s="17" t="inlineStr">
        <is>
          <t>C382</t>
        </is>
      </c>
      <c r="V356" s="17" t="inlineStr">
        <is>
          <t>위지피제약</t>
        </is>
      </c>
      <c r="W356" s="17" t="inlineStr"/>
      <c r="X356" s="17" t="inlineStr"/>
      <c r="Y356" s="23" t="inlineStr"/>
      <c r="Z356" s="17" t="inlineStr">
        <is>
          <t>강진구, 박성준</t>
        </is>
      </c>
      <c r="AA356" s="17" t="inlineStr"/>
      <c r="AB356" s="17" t="inlineStr">
        <is>
          <t>미확인</t>
        </is>
      </c>
      <c r="AC356" s="17" t="inlineStr">
        <is>
          <t>미확인</t>
        </is>
      </c>
      <c r="AD356" s="17" t="inlineStr">
        <is>
          <t>Y</t>
        </is>
      </c>
      <c r="AE356" s="17" t="inlineStr">
        <is>
          <t>P466</t>
        </is>
      </c>
      <c r="AF356" s="17" t="inlineStr">
        <is>
          <t>경기도 시흥시 소망공원로 213 1층 일부, 2층 일부</t>
        </is>
      </c>
      <c r="AG356" s="17" t="inlineStr">
        <is>
          <t>완제의약품</t>
        </is>
      </c>
      <c r="AH356" s="17" t="inlineStr">
        <is>
          <t>비무균-일반제제-외용액제(외용액제)</t>
        </is>
      </c>
      <c r="AI356" s="17" t="n">
        <v>1</v>
      </c>
      <c r="AJ356" s="24" t="n">
        <v>46334</v>
      </c>
      <c r="AK356" s="25" t="inlineStr">
        <is>
          <t>Y</t>
        </is>
      </c>
      <c r="AL356" s="17" t="inlineStr">
        <is>
          <t>Y</t>
        </is>
      </c>
      <c r="AM356" s="17" t="inlineStr">
        <is>
          <t>기본 GMP 문서관리 대상</t>
        </is>
      </c>
      <c r="AN356" s="17" t="inlineStr">
        <is>
          <t>미확인</t>
        </is>
      </c>
      <c r="AO356" s="17" t="inlineStr">
        <is>
          <t>미확인</t>
        </is>
      </c>
      <c r="AP356" s="17" t="inlineStr">
        <is>
          <t>미확인</t>
        </is>
      </c>
      <c r="AQ356" s="17" t="inlineStr">
        <is>
          <t>담당자 파악 후 접촉</t>
        </is>
      </c>
      <c r="AR356" s="17" t="inlineStr">
        <is>
          <t>2026-07-05</t>
        </is>
      </c>
      <c r="AS356" s="17" t="inlineStr">
        <is>
          <t>C(부분확인)</t>
        </is>
      </c>
      <c r="AT356" s="17" t="n">
        <v>90</v>
      </c>
      <c r="AU356" s="17" t="inlineStr"/>
      <c r="AV356" s="17" t="inlineStr"/>
    </row>
    <row r="357">
      <c r="A357" s="27" t="inlineStr">
        <is>
          <t>Tier C</t>
        </is>
      </c>
      <c r="B357" s="17" t="n">
        <v>10</v>
      </c>
      <c r="C357" s="17" t="inlineStr">
        <is>
          <t>주식회사진바이오팜</t>
        </is>
      </c>
      <c r="D357" s="17" t="inlineStr">
        <is>
          <t>주식회사진바이오팜</t>
        </is>
      </c>
      <c r="E357" s="17" t="inlineStr">
        <is>
          <t>경기도</t>
        </is>
      </c>
      <c r="F357" s="17" t="inlineStr">
        <is>
          <t>평택시</t>
        </is>
      </c>
      <c r="G357" s="17" t="n">
        <v>1</v>
      </c>
      <c r="H357" s="17" t="inlineStr"/>
      <c r="I357" s="17" t="inlineStr"/>
      <c r="J357" s="17" t="inlineStr"/>
      <c r="K357" s="17" t="inlineStr">
        <is>
          <t>Y</t>
        </is>
      </c>
      <c r="L357" s="22" t="inlineStr">
        <is>
          <t>미확인</t>
        </is>
      </c>
      <c r="M357" s="22" t="inlineStr">
        <is>
          <t>미확인</t>
        </is>
      </c>
      <c r="N357" s="22" t="inlineStr">
        <is>
          <t>미확인</t>
        </is>
      </c>
      <c r="O357" s="22" t="inlineStr">
        <is>
          <t>미확인</t>
        </is>
      </c>
      <c r="P357" s="17" t="inlineStr">
        <is>
          <t>LIMS</t>
        </is>
      </c>
      <c r="Q357" s="22" t="inlineStr">
        <is>
          <t>미확인</t>
        </is>
      </c>
      <c r="R357" s="22" t="inlineStr">
        <is>
          <t>미확인</t>
        </is>
      </c>
      <c r="S357" s="17" t="inlineStr">
        <is>
          <t>Tier D</t>
        </is>
      </c>
      <c r="T357" s="17" t="n">
        <v>4</v>
      </c>
      <c r="U357" s="17" t="inlineStr">
        <is>
          <t>C281</t>
        </is>
      </c>
      <c r="V357" s="17" t="inlineStr">
        <is>
          <t>진바이오팜</t>
        </is>
      </c>
      <c r="W357" s="17" t="inlineStr"/>
      <c r="X357" s="17" t="inlineStr"/>
      <c r="Y357" s="23" t="inlineStr"/>
      <c r="Z357" s="17" t="inlineStr">
        <is>
          <t>김영숙</t>
        </is>
      </c>
      <c r="AA357" s="17" t="inlineStr"/>
      <c r="AB357" s="17" t="inlineStr">
        <is>
          <t>031-686-7736</t>
        </is>
      </c>
      <c r="AC357" s="17" t="inlineStr">
        <is>
          <t>미확인</t>
        </is>
      </c>
      <c r="AD357" s="17" t="inlineStr">
        <is>
          <t>Y</t>
        </is>
      </c>
      <c r="AE357" s="17" t="inlineStr">
        <is>
          <t>P337</t>
        </is>
      </c>
      <c r="AF357" s="17" t="inlineStr">
        <is>
          <t>경기도 평택시 청북읍 드림산단5로 34</t>
        </is>
      </c>
      <c r="AG357" s="17" t="inlineStr">
        <is>
          <t>원료의약품</t>
        </is>
      </c>
      <c r="AH357" s="17" t="inlineStr">
        <is>
          <t>비무균-일반제제-추출, 비무균-일반제제-분쇄</t>
        </is>
      </c>
      <c r="AI357" s="17" t="n">
        <v>1</v>
      </c>
      <c r="AJ357" s="24" t="n">
        <v>46635</v>
      </c>
      <c r="AK357" s="17" t="inlineStr"/>
      <c r="AL357" s="17" t="inlineStr"/>
      <c r="AM357" s="17" t="inlineStr">
        <is>
          <t>원료 제조로 시험실 관리 필요</t>
        </is>
      </c>
      <c r="AN357" s="17" t="inlineStr">
        <is>
          <t>미확인</t>
        </is>
      </c>
      <c r="AO357" s="17" t="inlineStr">
        <is>
          <t>미확인</t>
        </is>
      </c>
      <c r="AP357" s="17" t="inlineStr">
        <is>
          <t>미확인</t>
        </is>
      </c>
      <c r="AQ357" s="17" t="inlineStr">
        <is>
          <t>담당자 파악 후 접촉</t>
        </is>
      </c>
      <c r="AR357" s="17" t="inlineStr">
        <is>
          <t>2026-07-05</t>
        </is>
      </c>
      <c r="AS357" s="17" t="inlineStr">
        <is>
          <t>C(부분확인)</t>
        </is>
      </c>
      <c r="AT357" s="17" t="n">
        <v>90</v>
      </c>
      <c r="AU357" s="17" t="inlineStr"/>
      <c r="AV357" s="17" t="inlineStr"/>
    </row>
    <row r="358">
      <c r="A358" s="27" t="inlineStr">
        <is>
          <t>Tier C</t>
        </is>
      </c>
      <c r="B358" s="17" t="n">
        <v>10</v>
      </c>
      <c r="C358" s="17" t="inlineStr">
        <is>
          <t>지에이치(주)</t>
        </is>
      </c>
      <c r="D358" s="17" t="inlineStr">
        <is>
          <t>응봉공장</t>
        </is>
      </c>
      <c r="E358" s="17" t="inlineStr">
        <is>
          <t>충청남도</t>
        </is>
      </c>
      <c r="F358" s="17" t="inlineStr">
        <is>
          <t>예산군</t>
        </is>
      </c>
      <c r="G358" s="17" t="n">
        <v>1</v>
      </c>
      <c r="H358" s="17" t="inlineStr"/>
      <c r="I358" s="17" t="inlineStr"/>
      <c r="J358" s="17" t="inlineStr"/>
      <c r="K358" s="17" t="inlineStr">
        <is>
          <t>Y</t>
        </is>
      </c>
      <c r="L358" s="22" t="inlineStr">
        <is>
          <t>미확인</t>
        </is>
      </c>
      <c r="M358" s="22" t="inlineStr">
        <is>
          <t>미확인</t>
        </is>
      </c>
      <c r="N358" s="22" t="inlineStr">
        <is>
          <t>미확인</t>
        </is>
      </c>
      <c r="O358" s="22" t="inlineStr">
        <is>
          <t>미확인</t>
        </is>
      </c>
      <c r="P358" s="17" t="inlineStr">
        <is>
          <t>LIMS</t>
        </is>
      </c>
      <c r="Q358" s="22" t="inlineStr">
        <is>
          <t>미확인</t>
        </is>
      </c>
      <c r="R358" s="22" t="inlineStr">
        <is>
          <t>미확인</t>
        </is>
      </c>
      <c r="S358" s="17" t="inlineStr">
        <is>
          <t>Tier D</t>
        </is>
      </c>
      <c r="T358" s="17" t="n">
        <v>4</v>
      </c>
      <c r="U358" s="17" t="inlineStr">
        <is>
          <t>C009</t>
        </is>
      </c>
      <c r="V358" s="17" t="inlineStr">
        <is>
          <t>지에이치</t>
        </is>
      </c>
      <c r="W358" s="17" t="inlineStr"/>
      <c r="X358" s="17" t="inlineStr"/>
      <c r="Y358" s="23" t="inlineStr"/>
      <c r="Z358" s="17" t="inlineStr">
        <is>
          <t>이희경</t>
        </is>
      </c>
      <c r="AA358" s="17" t="inlineStr"/>
      <c r="AB358" s="17" t="inlineStr">
        <is>
          <t>02-587-9123</t>
        </is>
      </c>
      <c r="AC358" s="17" t="inlineStr">
        <is>
          <t>미확인</t>
        </is>
      </c>
      <c r="AD358" s="17" t="inlineStr">
        <is>
          <t>Y</t>
        </is>
      </c>
      <c r="AE358" s="17" t="inlineStr">
        <is>
          <t>P009</t>
        </is>
      </c>
      <c r="AF358" s="17" t="inlineStr">
        <is>
          <t>충청남도 예산군 응봉면 응봉로 50-33</t>
        </is>
      </c>
      <c r="AG358" s="17" t="inlineStr">
        <is>
          <t>원료의약품</t>
        </is>
      </c>
      <c r="AH358" s="17" t="inlineStr">
        <is>
          <t>비무균-일반제제-추출</t>
        </is>
      </c>
      <c r="AI358" s="17" t="n">
        <v>1</v>
      </c>
      <c r="AJ358" s="24" t="n">
        <v>47310</v>
      </c>
      <c r="AK358" s="17" t="inlineStr"/>
      <c r="AL358" s="17" t="inlineStr"/>
      <c r="AM358" s="17" t="inlineStr">
        <is>
          <t>원료 제조로 시험실 관리 필요</t>
        </is>
      </c>
      <c r="AN358" s="17" t="inlineStr">
        <is>
          <t>미확인</t>
        </is>
      </c>
      <c r="AO358" s="17" t="inlineStr">
        <is>
          <t>미확인</t>
        </is>
      </c>
      <c r="AP358" s="17" t="inlineStr">
        <is>
          <t>미확인</t>
        </is>
      </c>
      <c r="AQ358" s="17" t="inlineStr">
        <is>
          <t>담당자 파악 후 접촉</t>
        </is>
      </c>
      <c r="AR358" s="17" t="inlineStr">
        <is>
          <t>2026-07-05</t>
        </is>
      </c>
      <c r="AS358" s="17" t="inlineStr">
        <is>
          <t>C(부분확인)</t>
        </is>
      </c>
      <c r="AT358" s="17" t="n">
        <v>90</v>
      </c>
      <c r="AU358" s="17" t="inlineStr"/>
      <c r="AV358" s="17" t="inlineStr"/>
    </row>
    <row r="359">
      <c r="A359" s="27" t="inlineStr">
        <is>
          <t>Tier C</t>
        </is>
      </c>
      <c r="B359" s="17" t="n">
        <v>10</v>
      </c>
      <c r="C359" s="17" t="inlineStr">
        <is>
          <t>한국바스프(주)</t>
        </is>
      </c>
      <c r="D359" s="17" t="inlineStr">
        <is>
          <t>한국바스프(주)-군산</t>
        </is>
      </c>
      <c r="E359" s="17" t="inlineStr">
        <is>
          <t>전북특별자치도</t>
        </is>
      </c>
      <c r="F359" s="17" t="inlineStr">
        <is>
          <t>군산시</t>
        </is>
      </c>
      <c r="G359" s="17" t="n">
        <v>1</v>
      </c>
      <c r="H359" s="17" t="inlineStr"/>
      <c r="I359" s="17" t="inlineStr"/>
      <c r="J359" s="17" t="inlineStr"/>
      <c r="K359" s="17" t="inlineStr">
        <is>
          <t>Y</t>
        </is>
      </c>
      <c r="L359" s="22" t="inlineStr">
        <is>
          <t>미확인</t>
        </is>
      </c>
      <c r="M359" s="22" t="inlineStr">
        <is>
          <t>미확인</t>
        </is>
      </c>
      <c r="N359" s="22" t="inlineStr">
        <is>
          <t>미확인</t>
        </is>
      </c>
      <c r="O359" s="22" t="inlineStr">
        <is>
          <t>미확인</t>
        </is>
      </c>
      <c r="P359" s="17" t="inlineStr">
        <is>
          <t>LIMS</t>
        </is>
      </c>
      <c r="Q359" s="22" t="inlineStr">
        <is>
          <t>미확인</t>
        </is>
      </c>
      <c r="R359" s="22" t="inlineStr">
        <is>
          <t>미확인</t>
        </is>
      </c>
      <c r="S359" s="17" t="inlineStr">
        <is>
          <t>Tier D</t>
        </is>
      </c>
      <c r="T359" s="17" t="n">
        <v>4</v>
      </c>
      <c r="U359" s="17" t="inlineStr">
        <is>
          <t>C260</t>
        </is>
      </c>
      <c r="V359" s="17" t="inlineStr">
        <is>
          <t>한국바스프</t>
        </is>
      </c>
      <c r="W359" s="17" t="inlineStr"/>
      <c r="X359" s="17" t="inlineStr"/>
      <c r="Y359" s="23" t="inlineStr"/>
      <c r="Z359" s="17" t="inlineStr">
        <is>
          <t>이우석</t>
        </is>
      </c>
      <c r="AA359" s="17" t="inlineStr"/>
      <c r="AB359" s="17" t="inlineStr">
        <is>
          <t>063-469-2500</t>
        </is>
      </c>
      <c r="AC359" s="17" t="inlineStr">
        <is>
          <t>미확인</t>
        </is>
      </c>
      <c r="AD359" s="17" t="inlineStr">
        <is>
          <t>Y</t>
        </is>
      </c>
      <c r="AE359" s="17" t="inlineStr">
        <is>
          <t>P303</t>
        </is>
      </c>
      <c r="AF359" s="17" t="inlineStr">
        <is>
          <t>전북특별자치도 군산시 외항4길 57(소룡동)</t>
        </is>
      </c>
      <c r="AG359" s="17" t="inlineStr">
        <is>
          <t>원료의약품</t>
        </is>
      </c>
      <c r="AH359" s="17" t="inlineStr">
        <is>
          <t>비무균-일반제제-발효</t>
        </is>
      </c>
      <c r="AI359" s="17" t="n">
        <v>1</v>
      </c>
      <c r="AJ359" s="24" t="n">
        <v>46791</v>
      </c>
      <c r="AK359" s="17" t="inlineStr"/>
      <c r="AL359" s="17" t="inlineStr"/>
      <c r="AM359" s="17" t="inlineStr">
        <is>
          <t>원료 제조로 시험실 관리 필요</t>
        </is>
      </c>
      <c r="AN359" s="17" t="inlineStr">
        <is>
          <t>미확인</t>
        </is>
      </c>
      <c r="AO359" s="17" t="inlineStr">
        <is>
          <t>미확인</t>
        </is>
      </c>
      <c r="AP359" s="17" t="inlineStr">
        <is>
          <t>미확인</t>
        </is>
      </c>
      <c r="AQ359" s="17" t="inlineStr">
        <is>
          <t>담당자 파악 후 접촉</t>
        </is>
      </c>
      <c r="AR359" s="17" t="inlineStr">
        <is>
          <t>2026-07-05</t>
        </is>
      </c>
      <c r="AS359" s="17" t="inlineStr">
        <is>
          <t>C(부분확인)</t>
        </is>
      </c>
      <c r="AT359" s="17" t="n">
        <v>90</v>
      </c>
      <c r="AU359" s="17" t="inlineStr"/>
      <c r="AV359" s="17" t="inlineStr"/>
    </row>
    <row r="360">
      <c r="A360" s="27" t="inlineStr">
        <is>
          <t>Tier C</t>
        </is>
      </c>
      <c r="B360" s="17" t="n">
        <v>10</v>
      </c>
      <c r="C360" s="17" t="inlineStr">
        <is>
          <t>한성신약주식회사</t>
        </is>
      </c>
      <c r="D360" s="17" t="inlineStr">
        <is>
          <t>제2공장 한성신약(주) 진천공장</t>
        </is>
      </c>
      <c r="E360" s="17" t="inlineStr">
        <is>
          <t>충청북도</t>
        </is>
      </c>
      <c r="F360" s="17" t="inlineStr">
        <is>
          <t>진천군</t>
        </is>
      </c>
      <c r="G360" s="17" t="n">
        <v>1</v>
      </c>
      <c r="H360" s="17" t="inlineStr"/>
      <c r="I360" s="17" t="inlineStr"/>
      <c r="J360" s="17" t="inlineStr"/>
      <c r="K360" s="17" t="inlineStr">
        <is>
          <t>Y</t>
        </is>
      </c>
      <c r="L360" s="22" t="inlineStr">
        <is>
          <t>미확인</t>
        </is>
      </c>
      <c r="M360" s="22" t="inlineStr">
        <is>
          <t>미확인</t>
        </is>
      </c>
      <c r="N360" s="22" t="inlineStr">
        <is>
          <t>미확인</t>
        </is>
      </c>
      <c r="O360" s="22" t="inlineStr">
        <is>
          <t>미확인</t>
        </is>
      </c>
      <c r="P360" s="17" t="inlineStr">
        <is>
          <t>LIMS</t>
        </is>
      </c>
      <c r="Q360" s="22" t="inlineStr">
        <is>
          <t>미확인</t>
        </is>
      </c>
      <c r="R360" s="22" t="inlineStr">
        <is>
          <t>미확인</t>
        </is>
      </c>
      <c r="S360" s="17" t="inlineStr">
        <is>
          <t>Tier D</t>
        </is>
      </c>
      <c r="T360" s="17" t="n">
        <v>4</v>
      </c>
      <c r="U360" s="17" t="inlineStr">
        <is>
          <t>C278</t>
        </is>
      </c>
      <c r="V360" s="17" t="inlineStr">
        <is>
          <t>한성신약</t>
        </is>
      </c>
      <c r="W360" s="17" t="inlineStr"/>
      <c r="X360" s="17" t="inlineStr"/>
      <c r="Y360" s="23" t="inlineStr"/>
      <c r="Z360" s="17" t="inlineStr">
        <is>
          <t>장세화</t>
        </is>
      </c>
      <c r="AA360" s="17" t="inlineStr"/>
      <c r="AB360" s="17" t="inlineStr">
        <is>
          <t>031-988-0353</t>
        </is>
      </c>
      <c r="AC360" s="17" t="inlineStr">
        <is>
          <t>미확인</t>
        </is>
      </c>
      <c r="AD360" s="17" t="inlineStr">
        <is>
          <t>Y</t>
        </is>
      </c>
      <c r="AE360" s="17" t="inlineStr">
        <is>
          <t>P333</t>
        </is>
      </c>
      <c r="AF360" s="17" t="inlineStr">
        <is>
          <t>충청북도 진천군 덕산읍 신척산단4로 93</t>
        </is>
      </c>
      <c r="AG360" s="17" t="inlineStr">
        <is>
          <t>원료의약품</t>
        </is>
      </c>
      <c r="AH360" s="17" t="inlineStr">
        <is>
          <t>비무균-일반제제-추출</t>
        </is>
      </c>
      <c r="AI360" s="17" t="n">
        <v>1</v>
      </c>
      <c r="AJ360" s="24" t="n">
        <v>46654</v>
      </c>
      <c r="AK360" s="17" t="inlineStr"/>
      <c r="AL360" s="17" t="inlineStr"/>
      <c r="AM360" s="17" t="inlineStr">
        <is>
          <t>원료 제조로 시험실 관리 필요</t>
        </is>
      </c>
      <c r="AN360" s="17" t="inlineStr">
        <is>
          <t>미확인</t>
        </is>
      </c>
      <c r="AO360" s="17" t="inlineStr">
        <is>
          <t>미확인</t>
        </is>
      </c>
      <c r="AP360" s="17" t="inlineStr">
        <is>
          <t>미확인</t>
        </is>
      </c>
      <c r="AQ360" s="17" t="inlineStr">
        <is>
          <t>담당자 파악 후 접촉</t>
        </is>
      </c>
      <c r="AR360" s="17" t="inlineStr">
        <is>
          <t>2026-07-05</t>
        </is>
      </c>
      <c r="AS360" s="17" t="inlineStr">
        <is>
          <t>C(부분확인)</t>
        </is>
      </c>
      <c r="AT360" s="17" t="n">
        <v>90</v>
      </c>
      <c r="AU360" s="17" t="inlineStr"/>
      <c r="AV360" s="17" t="inlineStr"/>
    </row>
    <row r="361">
      <c r="A361" s="28" t="inlineStr">
        <is>
          <t>Tier D</t>
        </is>
      </c>
      <c r="B361" s="17" t="n">
        <v>8</v>
      </c>
      <c r="C361" s="17" t="inlineStr">
        <is>
          <t>(주)나노팜</t>
        </is>
      </c>
      <c r="D361" s="17" t="inlineStr">
        <is>
          <t>(주)나노팜</t>
        </is>
      </c>
      <c r="E361" s="17" t="inlineStr">
        <is>
          <t>충청북도</t>
        </is>
      </c>
      <c r="F361" s="17" t="inlineStr">
        <is>
          <t>진천군</t>
        </is>
      </c>
      <c r="G361" s="17" t="n">
        <v>1</v>
      </c>
      <c r="H361" s="17" t="inlineStr"/>
      <c r="I361" s="17" t="inlineStr"/>
      <c r="J361" s="17" t="inlineStr">
        <is>
          <t>Y</t>
        </is>
      </c>
      <c r="K361" s="17" t="inlineStr"/>
      <c r="L361" s="22" t="inlineStr">
        <is>
          <t>미확인</t>
        </is>
      </c>
      <c r="M361" s="22" t="inlineStr">
        <is>
          <t>미확인</t>
        </is>
      </c>
      <c r="N361" s="22" t="inlineStr">
        <is>
          <t>미확인</t>
        </is>
      </c>
      <c r="O361" s="22" t="inlineStr">
        <is>
          <t>미확인</t>
        </is>
      </c>
      <c r="P361" s="17" t="inlineStr">
        <is>
          <t>QMS</t>
        </is>
      </c>
      <c r="Q361" s="22" t="inlineStr">
        <is>
          <t>미확인</t>
        </is>
      </c>
      <c r="R361" s="22" t="inlineStr">
        <is>
          <t>미확인</t>
        </is>
      </c>
      <c r="S361" s="17" t="inlineStr">
        <is>
          <t>Tier D</t>
        </is>
      </c>
      <c r="T361" s="17" t="n">
        <v>7</v>
      </c>
      <c r="U361" s="17" t="inlineStr">
        <is>
          <t>C314</t>
        </is>
      </c>
      <c r="V361" s="17" t="inlineStr">
        <is>
          <t>나노팜</t>
        </is>
      </c>
      <c r="W361" s="17" t="inlineStr"/>
      <c r="X361" s="17" t="inlineStr"/>
      <c r="Y361" s="23" t="inlineStr"/>
      <c r="Z361" s="17" t="inlineStr">
        <is>
          <t>이승용</t>
        </is>
      </c>
      <c r="AA361" s="17" t="inlineStr"/>
      <c r="AB361" s="17" t="inlineStr">
        <is>
          <t>043-5337-7804</t>
        </is>
      </c>
      <c r="AC361" s="17" t="inlineStr">
        <is>
          <t>미확인</t>
        </is>
      </c>
      <c r="AD361" s="17" t="inlineStr">
        <is>
          <t>Y</t>
        </is>
      </c>
      <c r="AE361" s="17" t="inlineStr">
        <is>
          <t>P380</t>
        </is>
      </c>
      <c r="AF361" s="17" t="inlineStr">
        <is>
          <t>충청북도 진천군 진천읍 상신2길 70</t>
        </is>
      </c>
      <c r="AG361" s="17" t="inlineStr">
        <is>
          <t>완제의약품</t>
        </is>
      </c>
      <c r="AH361" s="17" t="inlineStr">
        <is>
          <t>비무균-일반제제-외용액제(외용액제, 로션제), 비무균-일반제제-연고제(크림제, 겔제)</t>
        </is>
      </c>
      <c r="AI361" s="17" t="n">
        <v>1</v>
      </c>
      <c r="AJ361" s="24" t="n">
        <v>46536</v>
      </c>
      <c r="AK361" s="17" t="inlineStr"/>
      <c r="AL361" s="17" t="inlineStr">
        <is>
          <t>Y</t>
        </is>
      </c>
      <c r="AM361" s="17" t="inlineStr">
        <is>
          <t>기본 GMP 문서관리 대상</t>
        </is>
      </c>
      <c r="AN361" s="17" t="inlineStr">
        <is>
          <t>미확인</t>
        </is>
      </c>
      <c r="AO361" s="17" t="inlineStr">
        <is>
          <t>미확인</t>
        </is>
      </c>
      <c r="AP361" s="17" t="inlineStr">
        <is>
          <t>미확인</t>
        </is>
      </c>
      <c r="AQ361" s="17" t="inlineStr">
        <is>
          <t>담당자 파악 후 접촉</t>
        </is>
      </c>
      <c r="AR361" s="17" t="inlineStr">
        <is>
          <t>2026-07-05</t>
        </is>
      </c>
      <c r="AS361" s="17" t="inlineStr">
        <is>
          <t>C(부분확인)</t>
        </is>
      </c>
      <c r="AT361" s="17" t="n">
        <v>90</v>
      </c>
      <c r="AU361" s="17" t="inlineStr"/>
      <c r="AV361" s="17" t="inlineStr"/>
    </row>
    <row r="362">
      <c r="A362" s="28" t="inlineStr">
        <is>
          <t>Tier D</t>
        </is>
      </c>
      <c r="B362" s="17" t="n">
        <v>8</v>
      </c>
      <c r="C362" s="17" t="inlineStr">
        <is>
          <t>(주)덕양가스</t>
        </is>
      </c>
      <c r="D362" s="17" t="inlineStr">
        <is>
          <t>덕양가스 달천공장</t>
        </is>
      </c>
      <c r="E362" s="17" t="inlineStr">
        <is>
          <t>울산광역시</t>
        </is>
      </c>
      <c r="F362" s="17" t="inlineStr">
        <is>
          <t>북구</t>
        </is>
      </c>
      <c r="G362" s="17" t="n">
        <v>1</v>
      </c>
      <c r="H362" s="17" t="inlineStr"/>
      <c r="I362" s="17" t="inlineStr"/>
      <c r="J362" s="17" t="inlineStr">
        <is>
          <t>Y</t>
        </is>
      </c>
      <c r="K362" s="17" t="inlineStr"/>
      <c r="L362" s="22" t="inlineStr">
        <is>
          <t>미확인</t>
        </is>
      </c>
      <c r="M362" s="22" t="inlineStr">
        <is>
          <t>미확인</t>
        </is>
      </c>
      <c r="N362" s="22" t="inlineStr">
        <is>
          <t>미확인</t>
        </is>
      </c>
      <c r="O362" s="22" t="inlineStr">
        <is>
          <t>미확인</t>
        </is>
      </c>
      <c r="P362" s="17" t="inlineStr">
        <is>
          <t>QMS</t>
        </is>
      </c>
      <c r="Q362" s="22" t="inlineStr">
        <is>
          <t>미확인</t>
        </is>
      </c>
      <c r="R362" s="22" t="inlineStr">
        <is>
          <t>미확인</t>
        </is>
      </c>
      <c r="S362" s="17" t="inlineStr">
        <is>
          <t>Tier D</t>
        </is>
      </c>
      <c r="T362" s="17" t="n">
        <v>7</v>
      </c>
      <c r="U362" s="17" t="inlineStr">
        <is>
          <t>C315</t>
        </is>
      </c>
      <c r="V362" s="17" t="inlineStr">
        <is>
          <t>덕양가스</t>
        </is>
      </c>
      <c r="W362" s="17" t="inlineStr"/>
      <c r="X362" s="17" t="inlineStr"/>
      <c r="Y362" s="23" t="inlineStr"/>
      <c r="Z362" s="17" t="inlineStr">
        <is>
          <t>이치윤</t>
        </is>
      </c>
      <c r="AA362" s="17" t="inlineStr"/>
      <c r="AB362" s="17" t="inlineStr">
        <is>
          <t>052-282-8100</t>
        </is>
      </c>
      <c r="AC362" s="17" t="inlineStr">
        <is>
          <t>미확인</t>
        </is>
      </c>
      <c r="AD362" s="17" t="inlineStr">
        <is>
          <t>Y</t>
        </is>
      </c>
      <c r="AE362" s="17" t="inlineStr">
        <is>
          <t>P381</t>
        </is>
      </c>
      <c r="AF362" s="17" t="inlineStr">
        <is>
          <t>울산광역시 북구 농공단지2길 9</t>
        </is>
      </c>
      <c r="AG362" s="17" t="inlineStr">
        <is>
          <t>완제의약품</t>
        </is>
      </c>
      <c r="AH362" s="17" t="inlineStr">
        <is>
          <t>비무균-일반제제(의료용 고압가스)-가스제(의료용 고압가스)</t>
        </is>
      </c>
      <c r="AI362" s="17" t="n">
        <v>1</v>
      </c>
      <c r="AJ362" s="24" t="n">
        <v>46535</v>
      </c>
      <c r="AK362" s="17" t="inlineStr"/>
      <c r="AL362" s="17" t="inlineStr">
        <is>
          <t>Y</t>
        </is>
      </c>
      <c r="AM362" s="17" t="inlineStr">
        <is>
          <t>기본 GMP 문서관리 대상</t>
        </is>
      </c>
      <c r="AN362" s="17" t="inlineStr">
        <is>
          <t>미확인</t>
        </is>
      </c>
      <c r="AO362" s="17" t="inlineStr">
        <is>
          <t>미확인</t>
        </is>
      </c>
      <c r="AP362" s="17" t="inlineStr">
        <is>
          <t>미확인</t>
        </is>
      </c>
      <c r="AQ362" s="17" t="inlineStr">
        <is>
          <t>담당자 파악 후 접촉</t>
        </is>
      </c>
      <c r="AR362" s="17" t="inlineStr">
        <is>
          <t>2026-07-05</t>
        </is>
      </c>
      <c r="AS362" s="17" t="inlineStr">
        <is>
          <t>C(부분확인)</t>
        </is>
      </c>
      <c r="AT362" s="17" t="n">
        <v>90</v>
      </c>
      <c r="AU362" s="17" t="inlineStr"/>
      <c r="AV362" s="17" t="inlineStr"/>
    </row>
    <row r="363">
      <c r="A363" s="28" t="inlineStr">
        <is>
          <t>Tier D</t>
        </is>
      </c>
      <c r="B363" s="17" t="n">
        <v>8</v>
      </c>
      <c r="C363" s="17" t="inlineStr">
        <is>
          <t>(주)새한제약</t>
        </is>
      </c>
      <c r="D363" s="17" t="inlineStr">
        <is>
          <t>안성</t>
        </is>
      </c>
      <c r="E363" s="17" t="inlineStr">
        <is>
          <t>경기도</t>
        </is>
      </c>
      <c r="F363" s="17" t="inlineStr">
        <is>
          <t>안성시</t>
        </is>
      </c>
      <c r="G363" s="17" t="n">
        <v>1</v>
      </c>
      <c r="H363" s="17" t="inlineStr"/>
      <c r="I363" s="17" t="inlineStr"/>
      <c r="J363" s="17" t="inlineStr">
        <is>
          <t>Y</t>
        </is>
      </c>
      <c r="K363" s="17" t="inlineStr"/>
      <c r="L363" s="22" t="inlineStr">
        <is>
          <t>미확인</t>
        </is>
      </c>
      <c r="M363" s="22" t="inlineStr">
        <is>
          <t>미확인</t>
        </is>
      </c>
      <c r="N363" s="22" t="inlineStr">
        <is>
          <t>미확인</t>
        </is>
      </c>
      <c r="O363" s="22" t="inlineStr">
        <is>
          <t>미확인</t>
        </is>
      </c>
      <c r="P363" s="17" t="inlineStr">
        <is>
          <t>QMS</t>
        </is>
      </c>
      <c r="Q363" s="22" t="inlineStr">
        <is>
          <t>미확인</t>
        </is>
      </c>
      <c r="R363" s="22" t="inlineStr">
        <is>
          <t>미확인</t>
        </is>
      </c>
      <c r="S363" s="17" t="inlineStr">
        <is>
          <t>Tier D</t>
        </is>
      </c>
      <c r="T363" s="17" t="n">
        <v>7</v>
      </c>
      <c r="U363" s="17" t="inlineStr">
        <is>
          <t>C298</t>
        </is>
      </c>
      <c r="V363" s="17" t="inlineStr">
        <is>
          <t>새한제약</t>
        </is>
      </c>
      <c r="W363" s="17" t="inlineStr"/>
      <c r="X363" s="17" t="inlineStr"/>
      <c r="Y363" s="23" t="inlineStr"/>
      <c r="Z363" s="17" t="inlineStr">
        <is>
          <t>오성석</t>
        </is>
      </c>
      <c r="AA363" s="17" t="inlineStr"/>
      <c r="AB363" s="17" t="inlineStr">
        <is>
          <t>031-673-3132</t>
        </is>
      </c>
      <c r="AC363" s="17" t="inlineStr">
        <is>
          <t>미확인</t>
        </is>
      </c>
      <c r="AD363" s="17" t="inlineStr">
        <is>
          <t>Y</t>
        </is>
      </c>
      <c r="AE363" s="17" t="inlineStr">
        <is>
          <t>P359</t>
        </is>
      </c>
      <c r="AF363" s="17" t="inlineStr">
        <is>
          <t>경기도 안성시 공단2로 50-4</t>
        </is>
      </c>
      <c r="AG363" s="17" t="inlineStr">
        <is>
          <t>완제의약품</t>
        </is>
      </c>
      <c r="AH363" s="17" t="inlineStr">
        <is>
          <t>비무균-일반제제-내용고형제(정제, 캡슐제)</t>
        </is>
      </c>
      <c r="AI363" s="17" t="n">
        <v>1</v>
      </c>
      <c r="AJ363" s="24" t="n">
        <v>46572</v>
      </c>
      <c r="AK363" s="17" t="inlineStr"/>
      <c r="AL363" s="17" t="inlineStr">
        <is>
          <t>Y</t>
        </is>
      </c>
      <c r="AM363" s="17" t="inlineStr">
        <is>
          <t>기본 GMP 문서관리 대상</t>
        </is>
      </c>
      <c r="AN363" s="17" t="inlineStr">
        <is>
          <t>미확인</t>
        </is>
      </c>
      <c r="AO363" s="17" t="inlineStr">
        <is>
          <t>미확인</t>
        </is>
      </c>
      <c r="AP363" s="17" t="inlineStr">
        <is>
          <t>미확인</t>
        </is>
      </c>
      <c r="AQ363" s="17" t="inlineStr">
        <is>
          <t>담당자 파악 후 접촉</t>
        </is>
      </c>
      <c r="AR363" s="17" t="inlineStr">
        <is>
          <t>2026-07-05</t>
        </is>
      </c>
      <c r="AS363" s="17" t="inlineStr">
        <is>
          <t>C(부분확인)</t>
        </is>
      </c>
      <c r="AT363" s="17" t="n">
        <v>90</v>
      </c>
      <c r="AU363" s="17" t="inlineStr"/>
      <c r="AV363" s="17" t="inlineStr"/>
    </row>
    <row r="364">
      <c r="A364" s="28" t="inlineStr">
        <is>
          <t>Tier D</t>
        </is>
      </c>
      <c r="B364" s="17" t="n">
        <v>8</v>
      </c>
      <c r="C364" s="17" t="inlineStr">
        <is>
          <t>(주)세종산업가스</t>
        </is>
      </c>
      <c r="D364" s="17" t="inlineStr">
        <is>
          <t>세종산업가스</t>
        </is>
      </c>
      <c r="E364" s="17" t="inlineStr">
        <is>
          <t>세종특별자치시</t>
        </is>
      </c>
      <c r="F364" s="17" t="inlineStr">
        <is>
          <t>세종특별자치시</t>
        </is>
      </c>
      <c r="G364" s="17" t="n">
        <v>1</v>
      </c>
      <c r="H364" s="17" t="inlineStr"/>
      <c r="I364" s="17" t="inlineStr"/>
      <c r="J364" s="17" t="inlineStr">
        <is>
          <t>Y</t>
        </is>
      </c>
      <c r="K364" s="17" t="inlineStr"/>
      <c r="L364" s="22" t="inlineStr">
        <is>
          <t>미확인</t>
        </is>
      </c>
      <c r="M364" s="22" t="inlineStr">
        <is>
          <t>미확인</t>
        </is>
      </c>
      <c r="N364" s="22" t="inlineStr">
        <is>
          <t>미확인</t>
        </is>
      </c>
      <c r="O364" s="22" t="inlineStr">
        <is>
          <t>미확인</t>
        </is>
      </c>
      <c r="P364" s="17" t="inlineStr">
        <is>
          <t>QMS</t>
        </is>
      </c>
      <c r="Q364" s="22" t="inlineStr">
        <is>
          <t>미확인</t>
        </is>
      </c>
      <c r="R364" s="22" t="inlineStr">
        <is>
          <t>미확인</t>
        </is>
      </c>
      <c r="S364" s="17" t="inlineStr">
        <is>
          <t>Tier D</t>
        </is>
      </c>
      <c r="T364" s="17" t="n">
        <v>7</v>
      </c>
      <c r="U364" s="17" t="inlineStr">
        <is>
          <t>C341</t>
        </is>
      </c>
      <c r="V364" s="17" t="inlineStr">
        <is>
          <t>세종산업가스</t>
        </is>
      </c>
      <c r="W364" s="17" t="inlineStr"/>
      <c r="X364" s="17" t="inlineStr"/>
      <c r="Y364" s="23" t="inlineStr"/>
      <c r="Z364" s="17" t="inlineStr">
        <is>
          <t>강민구</t>
        </is>
      </c>
      <c r="AA364" s="17" t="inlineStr"/>
      <c r="AB364" s="17" t="inlineStr">
        <is>
          <t>044-865-9505</t>
        </is>
      </c>
      <c r="AC364" s="17" t="inlineStr">
        <is>
          <t>미확인</t>
        </is>
      </c>
      <c r="AD364" s="17" t="inlineStr">
        <is>
          <t>Y</t>
        </is>
      </c>
      <c r="AE364" s="17" t="inlineStr">
        <is>
          <t>P411</t>
        </is>
      </c>
      <c r="AF364" s="17" t="inlineStr">
        <is>
          <t>세종특별자치시 전동면 운주산로 638</t>
        </is>
      </c>
      <c r="AG364" s="17" t="inlineStr">
        <is>
          <t>완제의약품</t>
        </is>
      </c>
      <c r="AH364" s="17" t="inlineStr">
        <is>
          <t>비무균-일반제제(의료용 고압가스)-가스제(의료용 고압가스)</t>
        </is>
      </c>
      <c r="AI364" s="17" t="n">
        <v>1</v>
      </c>
      <c r="AJ364" s="24" t="n">
        <v>46473</v>
      </c>
      <c r="AK364" s="17" t="inlineStr"/>
      <c r="AL364" s="17" t="inlineStr">
        <is>
          <t>Y</t>
        </is>
      </c>
      <c r="AM364" s="17" t="inlineStr">
        <is>
          <t>기본 GMP 문서관리 대상</t>
        </is>
      </c>
      <c r="AN364" s="17" t="inlineStr">
        <is>
          <t>미확인</t>
        </is>
      </c>
      <c r="AO364" s="17" t="inlineStr">
        <is>
          <t>미확인</t>
        </is>
      </c>
      <c r="AP364" s="17" t="inlineStr">
        <is>
          <t>미확인</t>
        </is>
      </c>
      <c r="AQ364" s="17" t="inlineStr">
        <is>
          <t>담당자 파악 후 접촉</t>
        </is>
      </c>
      <c r="AR364" s="17" t="inlineStr">
        <is>
          <t>2026-07-05</t>
        </is>
      </c>
      <c r="AS364" s="17" t="inlineStr">
        <is>
          <t>C(부분확인)</t>
        </is>
      </c>
      <c r="AT364" s="17" t="n">
        <v>90</v>
      </c>
      <c r="AU364" s="17" t="inlineStr"/>
      <c r="AV364" s="17" t="inlineStr"/>
    </row>
    <row r="365">
      <c r="A365" s="28" t="inlineStr">
        <is>
          <t>Tier D</t>
        </is>
      </c>
      <c r="B365" s="17" t="n">
        <v>8</v>
      </c>
      <c r="C365" s="17" t="inlineStr">
        <is>
          <t>(주)씨엘팜</t>
        </is>
      </c>
      <c r="D365" s="17" t="inlineStr">
        <is>
          <t>(주)씨엘팜</t>
        </is>
      </c>
      <c r="E365" s="17" t="inlineStr">
        <is>
          <t>충청남도</t>
        </is>
      </c>
      <c r="F365" s="17" t="inlineStr">
        <is>
          <t>아산시</t>
        </is>
      </c>
      <c r="G365" s="17" t="n">
        <v>1</v>
      </c>
      <c r="H365" s="17" t="inlineStr"/>
      <c r="I365" s="17" t="inlineStr"/>
      <c r="J365" s="17" t="inlineStr">
        <is>
          <t>Y</t>
        </is>
      </c>
      <c r="K365" s="17" t="inlineStr"/>
      <c r="L365" s="22" t="inlineStr">
        <is>
          <t>미확인</t>
        </is>
      </c>
      <c r="M365" s="22" t="inlineStr">
        <is>
          <t>미확인</t>
        </is>
      </c>
      <c r="N365" s="22" t="inlineStr">
        <is>
          <t>미확인</t>
        </is>
      </c>
      <c r="O365" s="22" t="inlineStr">
        <is>
          <t>미확인</t>
        </is>
      </c>
      <c r="P365" s="17" t="inlineStr">
        <is>
          <t>QMS</t>
        </is>
      </c>
      <c r="Q365" s="22" t="inlineStr">
        <is>
          <t>미확인</t>
        </is>
      </c>
      <c r="R365" s="22" t="inlineStr">
        <is>
          <t>미확인</t>
        </is>
      </c>
      <c r="S365" s="17" t="inlineStr">
        <is>
          <t>Tier D</t>
        </is>
      </c>
      <c r="T365" s="17" t="n">
        <v>7</v>
      </c>
      <c r="U365" s="17" t="inlineStr">
        <is>
          <t>C325</t>
        </is>
      </c>
      <c r="V365" s="17" t="inlineStr">
        <is>
          <t>씨엘팜</t>
        </is>
      </c>
      <c r="W365" s="17" t="inlineStr"/>
      <c r="X365" s="17" t="inlineStr"/>
      <c r="Y365" s="23" t="inlineStr"/>
      <c r="Z365" s="17" t="inlineStr">
        <is>
          <t>장석훈</t>
        </is>
      </c>
      <c r="AA365" s="17" t="inlineStr"/>
      <c r="AB365" s="17" t="inlineStr">
        <is>
          <t>041-546-1661</t>
        </is>
      </c>
      <c r="AC365" s="17" t="inlineStr">
        <is>
          <t>미확인</t>
        </is>
      </c>
      <c r="AD365" s="17" t="inlineStr">
        <is>
          <t>Y</t>
        </is>
      </c>
      <c r="AE365" s="17" t="inlineStr">
        <is>
          <t>P393</t>
        </is>
      </c>
      <c r="AF365" s="17" t="inlineStr">
        <is>
          <t>충청남도 아산시 신창면 가내길 101</t>
        </is>
      </c>
      <c r="AG365" s="17" t="inlineStr">
        <is>
          <t>완제의약품</t>
        </is>
      </c>
      <c r="AH365" s="17" t="inlineStr">
        <is>
          <t>비무균-일반제제-내용고형제(구강용해필름)</t>
        </is>
      </c>
      <c r="AI365" s="17" t="n">
        <v>1</v>
      </c>
      <c r="AJ365" s="24" t="n">
        <v>46501</v>
      </c>
      <c r="AK365" s="17" t="inlineStr"/>
      <c r="AL365" s="17" t="inlineStr">
        <is>
          <t>Y</t>
        </is>
      </c>
      <c r="AM365" s="17" t="inlineStr">
        <is>
          <t>기본 GMP 문서관리 대상</t>
        </is>
      </c>
      <c r="AN365" s="17" t="inlineStr">
        <is>
          <t>미확인</t>
        </is>
      </c>
      <c r="AO365" s="17" t="inlineStr">
        <is>
          <t>미확인</t>
        </is>
      </c>
      <c r="AP365" s="17" t="inlineStr">
        <is>
          <t>미확인</t>
        </is>
      </c>
      <c r="AQ365" s="17" t="inlineStr">
        <is>
          <t>담당자 파악 후 접촉</t>
        </is>
      </c>
      <c r="AR365" s="17" t="inlineStr">
        <is>
          <t>2026-07-05</t>
        </is>
      </c>
      <c r="AS365" s="17" t="inlineStr">
        <is>
          <t>C(부분확인)</t>
        </is>
      </c>
      <c r="AT365" s="17" t="n">
        <v>90</v>
      </c>
      <c r="AU365" s="17" t="inlineStr"/>
      <c r="AV365" s="17" t="inlineStr"/>
    </row>
    <row r="366">
      <c r="A366" s="28" t="inlineStr">
        <is>
          <t>Tier D</t>
        </is>
      </c>
      <c r="B366" s="17" t="n">
        <v>8</v>
      </c>
      <c r="C366" s="17" t="inlineStr">
        <is>
          <t>(주)씨엠지제약</t>
        </is>
      </c>
      <c r="D366" s="17" t="inlineStr">
        <is>
          <t>시흥(정왕동)</t>
        </is>
      </c>
      <c r="E366" s="17" t="inlineStr">
        <is>
          <t>경기도</t>
        </is>
      </c>
      <c r="F366" s="17" t="inlineStr">
        <is>
          <t>시흥시</t>
        </is>
      </c>
      <c r="G366" s="17" t="n">
        <v>1</v>
      </c>
      <c r="H366" s="17" t="inlineStr"/>
      <c r="I366" s="17" t="inlineStr"/>
      <c r="J366" s="17" t="inlineStr">
        <is>
          <t>Y</t>
        </is>
      </c>
      <c r="K366" s="17" t="inlineStr"/>
      <c r="L366" s="22" t="inlineStr">
        <is>
          <t>미확인</t>
        </is>
      </c>
      <c r="M366" s="22" t="inlineStr">
        <is>
          <t>미확인</t>
        </is>
      </c>
      <c r="N366" s="22" t="inlineStr">
        <is>
          <t>미확인</t>
        </is>
      </c>
      <c r="O366" s="22" t="inlineStr">
        <is>
          <t>미확인</t>
        </is>
      </c>
      <c r="P366" s="17" t="inlineStr">
        <is>
          <t>QMS</t>
        </is>
      </c>
      <c r="Q366" s="22" t="inlineStr">
        <is>
          <t>미확인</t>
        </is>
      </c>
      <c r="R366" s="22" t="inlineStr">
        <is>
          <t>미확인</t>
        </is>
      </c>
      <c r="S366" s="17" t="inlineStr">
        <is>
          <t>Tier D</t>
        </is>
      </c>
      <c r="T366" s="17" t="n">
        <v>7</v>
      </c>
      <c r="U366" s="17" t="inlineStr">
        <is>
          <t>C354</t>
        </is>
      </c>
      <c r="V366" s="17" t="inlineStr">
        <is>
          <t>씨엠지제약</t>
        </is>
      </c>
      <c r="W366" s="17" t="inlineStr"/>
      <c r="X366" s="17" t="inlineStr"/>
      <c r="Y366" s="23" t="inlineStr"/>
      <c r="Z366" s="17" t="inlineStr">
        <is>
          <t>이주형</t>
        </is>
      </c>
      <c r="AA366" s="17" t="inlineStr"/>
      <c r="AB366" s="17" t="inlineStr">
        <is>
          <t>미확인</t>
        </is>
      </c>
      <c r="AC366" s="17" t="inlineStr">
        <is>
          <t>미확인</t>
        </is>
      </c>
      <c r="AD366" s="17" t="inlineStr">
        <is>
          <t>Y</t>
        </is>
      </c>
      <c r="AE366" s="17" t="inlineStr">
        <is>
          <t>P428</t>
        </is>
      </c>
      <c r="AF366" s="17" t="inlineStr">
        <is>
          <t>경기도 시흥시 공단1대로27번길 27</t>
        </is>
      </c>
      <c r="AG366" s="17" t="inlineStr">
        <is>
          <t>완제의약품</t>
        </is>
      </c>
      <c r="AH366" s="17" t="inlineStr">
        <is>
          <t>비무균-일반제제-내용고형제(정제, 캡슐제, 구강용해필름)</t>
        </is>
      </c>
      <c r="AI366" s="17" t="n">
        <v>1</v>
      </c>
      <c r="AJ366" s="24" t="n">
        <v>46439</v>
      </c>
      <c r="AK366" s="17" t="inlineStr"/>
      <c r="AL366" s="17" t="inlineStr">
        <is>
          <t>Y</t>
        </is>
      </c>
      <c r="AM366" s="17" t="inlineStr">
        <is>
          <t>기본 GMP 문서관리 대상</t>
        </is>
      </c>
      <c r="AN366" s="17" t="inlineStr">
        <is>
          <t>미확인</t>
        </is>
      </c>
      <c r="AO366" s="17" t="inlineStr">
        <is>
          <t>미확인</t>
        </is>
      </c>
      <c r="AP366" s="17" t="inlineStr">
        <is>
          <t>미확인</t>
        </is>
      </c>
      <c r="AQ366" s="17" t="inlineStr">
        <is>
          <t>담당자 파악 후 접촉</t>
        </is>
      </c>
      <c r="AR366" s="17" t="inlineStr">
        <is>
          <t>2026-07-05</t>
        </is>
      </c>
      <c r="AS366" s="17" t="inlineStr">
        <is>
          <t>C(부분확인)</t>
        </is>
      </c>
      <c r="AT366" s="17" t="n">
        <v>90</v>
      </c>
      <c r="AU366" s="17" t="inlineStr"/>
      <c r="AV366" s="17" t="inlineStr"/>
    </row>
    <row r="367">
      <c r="A367" s="28" t="inlineStr">
        <is>
          <t>Tier D</t>
        </is>
      </c>
      <c r="B367" s="17" t="n">
        <v>8</v>
      </c>
      <c r="C367" s="17" t="inlineStr">
        <is>
          <t>(주)유니온가스</t>
        </is>
      </c>
      <c r="D367" s="17" t="inlineStr">
        <is>
          <t>미확인</t>
        </is>
      </c>
      <c r="E367" s="17" t="inlineStr">
        <is>
          <t>경기도</t>
        </is>
      </c>
      <c r="F367" s="17" t="inlineStr">
        <is>
          <t>용인시</t>
        </is>
      </c>
      <c r="G367" s="17" t="n">
        <v>1</v>
      </c>
      <c r="H367" s="17" t="inlineStr"/>
      <c r="I367" s="17" t="inlineStr"/>
      <c r="J367" s="17" t="inlineStr">
        <is>
          <t>Y</t>
        </is>
      </c>
      <c r="K367" s="17" t="inlineStr"/>
      <c r="L367" s="22" t="inlineStr">
        <is>
          <t>미확인</t>
        </is>
      </c>
      <c r="M367" s="22" t="inlineStr">
        <is>
          <t>미확인</t>
        </is>
      </c>
      <c r="N367" s="22" t="inlineStr">
        <is>
          <t>미확인</t>
        </is>
      </c>
      <c r="O367" s="22" t="inlineStr">
        <is>
          <t>미확인</t>
        </is>
      </c>
      <c r="P367" s="17" t="inlineStr">
        <is>
          <t>QMS</t>
        </is>
      </c>
      <c r="Q367" s="22" t="inlineStr">
        <is>
          <t>미확인</t>
        </is>
      </c>
      <c r="R367" s="22" t="inlineStr">
        <is>
          <t>미확인</t>
        </is>
      </c>
      <c r="S367" s="17" t="inlineStr">
        <is>
          <t>Tier D</t>
        </is>
      </c>
      <c r="T367" s="17" t="n">
        <v>7</v>
      </c>
      <c r="U367" s="17" t="inlineStr">
        <is>
          <t>C316</t>
        </is>
      </c>
      <c r="V367" s="17" t="inlineStr">
        <is>
          <t>유니온가스</t>
        </is>
      </c>
      <c r="W367" s="17" t="inlineStr"/>
      <c r="X367" s="17" t="inlineStr"/>
      <c r="Y367" s="23" t="inlineStr"/>
      <c r="Z367" s="17" t="inlineStr">
        <is>
          <t>강용성</t>
        </is>
      </c>
      <c r="AA367" s="17" t="inlineStr"/>
      <c r="AB367" s="17" t="inlineStr">
        <is>
          <t>미확인</t>
        </is>
      </c>
      <c r="AC367" s="17" t="inlineStr">
        <is>
          <t>미확인</t>
        </is>
      </c>
      <c r="AD367" s="17" t="inlineStr">
        <is>
          <t>Y</t>
        </is>
      </c>
      <c r="AE367" s="17" t="inlineStr">
        <is>
          <t>P382</t>
        </is>
      </c>
      <c r="AF367" s="17" t="inlineStr">
        <is>
          <t>경기도 용인시 처인구 남사면 원암로 370-1</t>
        </is>
      </c>
      <c r="AG367" s="17" t="inlineStr">
        <is>
          <t>완제의약품</t>
        </is>
      </c>
      <c r="AH367" s="17" t="inlineStr">
        <is>
          <t>비무균-일반제제(의료용 고압가스)-가스제(의료용 고압가스)</t>
        </is>
      </c>
      <c r="AI367" s="17" t="n">
        <v>1</v>
      </c>
      <c r="AJ367" s="24" t="n">
        <v>46533</v>
      </c>
      <c r="AK367" s="17" t="inlineStr"/>
      <c r="AL367" s="17" t="inlineStr">
        <is>
          <t>Y</t>
        </is>
      </c>
      <c r="AM367" s="17" t="inlineStr">
        <is>
          <t>기본 GMP 문서관리 대상</t>
        </is>
      </c>
      <c r="AN367" s="17" t="inlineStr">
        <is>
          <t>미확인</t>
        </is>
      </c>
      <c r="AO367" s="17" t="inlineStr">
        <is>
          <t>미확인</t>
        </is>
      </c>
      <c r="AP367" s="17" t="inlineStr">
        <is>
          <t>미확인</t>
        </is>
      </c>
      <c r="AQ367" s="17" t="inlineStr">
        <is>
          <t>담당자 파악 후 접촉</t>
        </is>
      </c>
      <c r="AR367" s="17" t="inlineStr">
        <is>
          <t>2026-07-05</t>
        </is>
      </c>
      <c r="AS367" s="17" t="inlineStr">
        <is>
          <t>C(부분확인)</t>
        </is>
      </c>
      <c r="AT367" s="17" t="n">
        <v>0</v>
      </c>
      <c r="AU367" s="17" t="inlineStr">
        <is>
          <t>Y</t>
        </is>
      </c>
      <c r="AV367" s="17" t="inlineStr"/>
    </row>
    <row r="368">
      <c r="A368" s="28" t="inlineStr">
        <is>
          <t>Tier D</t>
        </is>
      </c>
      <c r="B368" s="17" t="n">
        <v>8</v>
      </c>
      <c r="C368" s="17" t="inlineStr">
        <is>
          <t>(주)인트로바이오파마</t>
        </is>
      </c>
      <c r="D368" s="17" t="inlineStr">
        <is>
          <t>평택</t>
        </is>
      </c>
      <c r="E368" s="17" t="inlineStr">
        <is>
          <t>경기도</t>
        </is>
      </c>
      <c r="F368" s="17" t="inlineStr">
        <is>
          <t>평택시</t>
        </is>
      </c>
      <c r="G368" s="17" t="n">
        <v>1</v>
      </c>
      <c r="H368" s="17" t="inlineStr"/>
      <c r="I368" s="17" t="inlineStr"/>
      <c r="J368" s="17" t="inlineStr">
        <is>
          <t>Y</t>
        </is>
      </c>
      <c r="K368" s="17" t="inlineStr"/>
      <c r="L368" s="22" t="inlineStr">
        <is>
          <t>미확인</t>
        </is>
      </c>
      <c r="M368" s="22" t="inlineStr">
        <is>
          <t>미확인</t>
        </is>
      </c>
      <c r="N368" s="22" t="inlineStr">
        <is>
          <t>미확인</t>
        </is>
      </c>
      <c r="O368" s="22" t="inlineStr">
        <is>
          <t>미확인</t>
        </is>
      </c>
      <c r="P368" s="17" t="inlineStr">
        <is>
          <t>QMS</t>
        </is>
      </c>
      <c r="Q368" s="22" t="inlineStr">
        <is>
          <t>미확인</t>
        </is>
      </c>
      <c r="R368" s="22" t="inlineStr">
        <is>
          <t>미확인</t>
        </is>
      </c>
      <c r="S368" s="17" t="inlineStr">
        <is>
          <t>Tier D</t>
        </is>
      </c>
      <c r="T368" s="17" t="n">
        <v>7</v>
      </c>
      <c r="U368" s="17" t="inlineStr">
        <is>
          <t>C319</t>
        </is>
      </c>
      <c r="V368" s="17" t="inlineStr">
        <is>
          <t>인트로바이오파마</t>
        </is>
      </c>
      <c r="W368" s="17" t="inlineStr"/>
      <c r="X368" s="17" t="inlineStr"/>
      <c r="Y368" s="23" t="inlineStr"/>
      <c r="Z368" s="17" t="inlineStr">
        <is>
          <t>박석용</t>
        </is>
      </c>
      <c r="AA368" s="17" t="inlineStr"/>
      <c r="AB368" s="17" t="inlineStr">
        <is>
          <t>미확인</t>
        </is>
      </c>
      <c r="AC368" s="17" t="inlineStr">
        <is>
          <t>미확인</t>
        </is>
      </c>
      <c r="AD368" s="17" t="inlineStr">
        <is>
          <t>Y</t>
        </is>
      </c>
      <c r="AE368" s="17" t="inlineStr">
        <is>
          <t>P386</t>
        </is>
      </c>
      <c r="AF368" s="17" t="inlineStr">
        <is>
          <t>경기도 평택시 서탄면 마두길 104-12 ,104-2 1동 1층(일부)및2층(일부)(보관소)</t>
        </is>
      </c>
      <c r="AG368" s="17" t="inlineStr">
        <is>
          <t>완제의약품</t>
        </is>
      </c>
      <c r="AH368" s="17" t="inlineStr">
        <is>
          <t>비무균-일반제제-내용고형제(정제, 캡슐제)</t>
        </is>
      </c>
      <c r="AI368" s="17" t="n">
        <v>1</v>
      </c>
      <c r="AJ368" s="24" t="n">
        <v>46516</v>
      </c>
      <c r="AK368" s="17" t="inlineStr"/>
      <c r="AL368" s="17" t="inlineStr">
        <is>
          <t>Y</t>
        </is>
      </c>
      <c r="AM368" s="17" t="inlineStr">
        <is>
          <t>기본 GMP 문서관리 대상</t>
        </is>
      </c>
      <c r="AN368" s="17" t="inlineStr">
        <is>
          <t>미확인</t>
        </is>
      </c>
      <c r="AO368" s="17" t="inlineStr">
        <is>
          <t>미확인</t>
        </is>
      </c>
      <c r="AP368" s="17" t="inlineStr">
        <is>
          <t>미확인</t>
        </is>
      </c>
      <c r="AQ368" s="17" t="inlineStr">
        <is>
          <t>담당자 파악 후 접촉</t>
        </is>
      </c>
      <c r="AR368" s="17" t="inlineStr">
        <is>
          <t>2026-07-05</t>
        </is>
      </c>
      <c r="AS368" s="17" t="inlineStr">
        <is>
          <t>C(부분확인)</t>
        </is>
      </c>
      <c r="AT368" s="17" t="n">
        <v>90</v>
      </c>
      <c r="AU368" s="17" t="inlineStr"/>
      <c r="AV368" s="17" t="inlineStr"/>
    </row>
    <row r="369">
      <c r="A369" s="28" t="inlineStr">
        <is>
          <t>Tier D</t>
        </is>
      </c>
      <c r="B369" s="17" t="n">
        <v>8</v>
      </c>
      <c r="C369" s="17" t="inlineStr">
        <is>
          <t>(주)휴온스생명과학</t>
        </is>
      </c>
      <c r="D369" s="17" t="inlineStr">
        <is>
          <t>오송</t>
        </is>
      </c>
      <c r="E369" s="17" t="inlineStr">
        <is>
          <t>충청북도</t>
        </is>
      </c>
      <c r="F369" s="17" t="inlineStr">
        <is>
          <t>청주시</t>
        </is>
      </c>
      <c r="G369" s="17" t="n">
        <v>1</v>
      </c>
      <c r="H369" s="17" t="inlineStr"/>
      <c r="I369" s="17" t="inlineStr"/>
      <c r="J369" s="17" t="inlineStr">
        <is>
          <t>Y</t>
        </is>
      </c>
      <c r="K369" s="17" t="inlineStr"/>
      <c r="L369" s="22" t="inlineStr">
        <is>
          <t>미확인</t>
        </is>
      </c>
      <c r="M369" s="22" t="inlineStr">
        <is>
          <t>미확인</t>
        </is>
      </c>
      <c r="N369" s="22" t="inlineStr">
        <is>
          <t>미확인</t>
        </is>
      </c>
      <c r="O369" s="22" t="inlineStr">
        <is>
          <t>미확인</t>
        </is>
      </c>
      <c r="P369" s="17" t="inlineStr">
        <is>
          <t>QMS</t>
        </is>
      </c>
      <c r="Q369" s="22" t="inlineStr">
        <is>
          <t>미확인</t>
        </is>
      </c>
      <c r="R369" s="22" t="inlineStr">
        <is>
          <t>미확인</t>
        </is>
      </c>
      <c r="S369" s="17" t="inlineStr">
        <is>
          <t>Tier D</t>
        </is>
      </c>
      <c r="T369" s="17" t="n">
        <v>7</v>
      </c>
      <c r="U369" s="17" t="inlineStr">
        <is>
          <t>C335</t>
        </is>
      </c>
      <c r="V369" s="17" t="inlineStr">
        <is>
          <t>휴온스생명과학</t>
        </is>
      </c>
      <c r="W369" s="17" t="inlineStr"/>
      <c r="X369" s="17" t="inlineStr"/>
      <c r="Y369" s="23" t="inlineStr"/>
      <c r="Z369" s="17" t="inlineStr">
        <is>
          <t>이재훈</t>
        </is>
      </c>
      <c r="AA369" s="17" t="inlineStr"/>
      <c r="AB369" s="17" t="inlineStr">
        <is>
          <t>070-4659-3131</t>
        </is>
      </c>
      <c r="AC369" s="17" t="inlineStr">
        <is>
          <t>미확인</t>
        </is>
      </c>
      <c r="AD369" s="17" t="inlineStr">
        <is>
          <t>Y</t>
        </is>
      </c>
      <c r="AE369" s="17" t="inlineStr">
        <is>
          <t>P404</t>
        </is>
      </c>
      <c r="AF369" s="17" t="inlineStr">
        <is>
          <t>충청북도 청주시 흥덕구 오송읍 오송생명6로 70</t>
        </is>
      </c>
      <c r="AG369" s="17" t="inlineStr">
        <is>
          <t>완제의약품</t>
        </is>
      </c>
      <c r="AH369" s="17" t="inlineStr">
        <is>
          <t>비무균-일반제제-내용고형제(정제, 캡슐제)</t>
        </is>
      </c>
      <c r="AI369" s="17" t="n">
        <v>1</v>
      </c>
      <c r="AJ369" s="24" t="n">
        <v>46480</v>
      </c>
      <c r="AK369" s="17" t="inlineStr"/>
      <c r="AL369" s="17" t="inlineStr">
        <is>
          <t>Y</t>
        </is>
      </c>
      <c r="AM369" s="17" t="inlineStr">
        <is>
          <t>기본 GMP 문서관리 대상</t>
        </is>
      </c>
      <c r="AN369" s="17" t="inlineStr">
        <is>
          <t>미확인</t>
        </is>
      </c>
      <c r="AO369" s="17" t="inlineStr">
        <is>
          <t>미확인</t>
        </is>
      </c>
      <c r="AP369" s="17" t="inlineStr">
        <is>
          <t>미확인</t>
        </is>
      </c>
      <c r="AQ369" s="17" t="inlineStr">
        <is>
          <t>담당자 파악 후 접촉</t>
        </is>
      </c>
      <c r="AR369" s="17" t="inlineStr">
        <is>
          <t>2026-07-05</t>
        </is>
      </c>
      <c r="AS369" s="17" t="inlineStr">
        <is>
          <t>C(부분확인)</t>
        </is>
      </c>
      <c r="AT369" s="17" t="n">
        <v>90</v>
      </c>
      <c r="AU369" s="17" t="inlineStr"/>
      <c r="AV369" s="17" t="inlineStr"/>
    </row>
    <row r="370">
      <c r="A370" s="28" t="inlineStr">
        <is>
          <t>Tier D</t>
        </is>
      </c>
      <c r="B370" s="17" t="n">
        <v>8</v>
      </c>
      <c r="C370" s="17" t="inlineStr">
        <is>
          <t>건일제약(주)</t>
        </is>
      </c>
      <c r="D370" s="17" t="inlineStr">
        <is>
          <t>1공장</t>
        </is>
      </c>
      <c r="E370" s="17" t="inlineStr">
        <is>
          <t>충청남도</t>
        </is>
      </c>
      <c r="F370" s="17" t="inlineStr">
        <is>
          <t>천안시</t>
        </is>
      </c>
      <c r="G370" s="17" t="n">
        <v>1</v>
      </c>
      <c r="H370" s="17" t="inlineStr"/>
      <c r="I370" s="17" t="inlineStr"/>
      <c r="J370" s="17" t="inlineStr">
        <is>
          <t>Y</t>
        </is>
      </c>
      <c r="K370" s="17" t="inlineStr"/>
      <c r="L370" s="22" t="inlineStr">
        <is>
          <t>미확인</t>
        </is>
      </c>
      <c r="M370" s="22" t="inlineStr">
        <is>
          <t>미확인</t>
        </is>
      </c>
      <c r="N370" s="22" t="inlineStr">
        <is>
          <t>미확인</t>
        </is>
      </c>
      <c r="O370" s="22" t="inlineStr">
        <is>
          <t>미확인</t>
        </is>
      </c>
      <c r="P370" s="17" t="inlineStr">
        <is>
          <t>QMS</t>
        </is>
      </c>
      <c r="Q370" s="22" t="inlineStr">
        <is>
          <t>미확인</t>
        </is>
      </c>
      <c r="R370" s="22" t="inlineStr">
        <is>
          <t>미확인</t>
        </is>
      </c>
      <c r="S370" s="17" t="inlineStr">
        <is>
          <t>Tier D</t>
        </is>
      </c>
      <c r="T370" s="17" t="n">
        <v>7</v>
      </c>
      <c r="U370" s="17" t="inlineStr">
        <is>
          <t>C303</t>
        </is>
      </c>
      <c r="V370" s="17" t="inlineStr">
        <is>
          <t>건일제약</t>
        </is>
      </c>
      <c r="W370" s="17" t="inlineStr"/>
      <c r="X370" s="17" t="inlineStr"/>
      <c r="Y370" s="23" t="inlineStr"/>
      <c r="Z370" s="17" t="inlineStr">
        <is>
          <t>박동규</t>
        </is>
      </c>
      <c r="AA370" s="17" t="inlineStr"/>
      <c r="AB370" s="17" t="inlineStr">
        <is>
          <t>02-2175-9751</t>
        </is>
      </c>
      <c r="AC370" s="17" t="inlineStr">
        <is>
          <t>미확인</t>
        </is>
      </c>
      <c r="AD370" s="17" t="inlineStr">
        <is>
          <t>Y</t>
        </is>
      </c>
      <c r="AE370" s="17" t="inlineStr">
        <is>
          <t>P366</t>
        </is>
      </c>
      <c r="AF370" s="17" t="inlineStr">
        <is>
          <t>충청남도 천안시 서북구 직산읍 거리막길 33</t>
        </is>
      </c>
      <c r="AG370" s="17" t="inlineStr">
        <is>
          <t>완제의약품</t>
        </is>
      </c>
      <c r="AH370" s="17" t="inlineStr">
        <is>
          <t>비무균-일반제제-내용고형제(정제, 캡슐제, 산제)</t>
        </is>
      </c>
      <c r="AI370" s="17" t="n">
        <v>1</v>
      </c>
      <c r="AJ370" s="24" t="n">
        <v>46564</v>
      </c>
      <c r="AK370" s="17" t="inlineStr"/>
      <c r="AL370" s="17" t="inlineStr">
        <is>
          <t>Y</t>
        </is>
      </c>
      <c r="AM370" s="17" t="inlineStr">
        <is>
          <t>기본 GMP 문서관리 대상</t>
        </is>
      </c>
      <c r="AN370" s="17" t="inlineStr">
        <is>
          <t>미확인</t>
        </is>
      </c>
      <c r="AO370" s="17" t="inlineStr">
        <is>
          <t>미확인</t>
        </is>
      </c>
      <c r="AP370" s="17" t="inlineStr">
        <is>
          <t>미확인</t>
        </is>
      </c>
      <c r="AQ370" s="17" t="inlineStr">
        <is>
          <t>담당자 파악 후 접촉</t>
        </is>
      </c>
      <c r="AR370" s="17" t="inlineStr">
        <is>
          <t>2026-07-05</t>
        </is>
      </c>
      <c r="AS370" s="17" t="inlineStr">
        <is>
          <t>C(부분확인)</t>
        </is>
      </c>
      <c r="AT370" s="17" t="n">
        <v>90</v>
      </c>
      <c r="AU370" s="17" t="inlineStr"/>
      <c r="AV370" s="17" t="inlineStr"/>
    </row>
    <row r="371">
      <c r="A371" s="28" t="inlineStr">
        <is>
          <t>Tier D</t>
        </is>
      </c>
      <c r="B371" s="17" t="n">
        <v>8</v>
      </c>
      <c r="C371" s="17" t="inlineStr">
        <is>
          <t>경진제약(주)</t>
        </is>
      </c>
      <c r="D371" s="17" t="inlineStr">
        <is>
          <t>이천</t>
        </is>
      </c>
      <c r="E371" s="17" t="inlineStr">
        <is>
          <t>경기도</t>
        </is>
      </c>
      <c r="F371" s="17" t="inlineStr">
        <is>
          <t>이천시</t>
        </is>
      </c>
      <c r="G371" s="17" t="n">
        <v>1</v>
      </c>
      <c r="H371" s="17" t="inlineStr"/>
      <c r="I371" s="17" t="inlineStr"/>
      <c r="J371" s="17" t="inlineStr">
        <is>
          <t>Y</t>
        </is>
      </c>
      <c r="K371" s="17" t="inlineStr"/>
      <c r="L371" s="22" t="inlineStr">
        <is>
          <t>미확인</t>
        </is>
      </c>
      <c r="M371" s="22" t="inlineStr">
        <is>
          <t>미확인</t>
        </is>
      </c>
      <c r="N371" s="22" t="inlineStr">
        <is>
          <t>미확인</t>
        </is>
      </c>
      <c r="O371" s="22" t="inlineStr">
        <is>
          <t>미확인</t>
        </is>
      </c>
      <c r="P371" s="17" t="inlineStr">
        <is>
          <t>QMS</t>
        </is>
      </c>
      <c r="Q371" s="22" t="inlineStr">
        <is>
          <t>미확인</t>
        </is>
      </c>
      <c r="R371" s="22" t="inlineStr">
        <is>
          <t>미확인</t>
        </is>
      </c>
      <c r="S371" s="17" t="inlineStr">
        <is>
          <t>Tier D</t>
        </is>
      </c>
      <c r="T371" s="17" t="n">
        <v>7</v>
      </c>
      <c r="U371" s="17" t="inlineStr">
        <is>
          <t>C344</t>
        </is>
      </c>
      <c r="V371" s="17" t="inlineStr">
        <is>
          <t>경진제약</t>
        </is>
      </c>
      <c r="W371" s="17" t="inlineStr"/>
      <c r="X371" s="17" t="inlineStr"/>
      <c r="Y371" s="23" t="inlineStr"/>
      <c r="Z371" s="17" t="inlineStr">
        <is>
          <t>이중기</t>
        </is>
      </c>
      <c r="AA371" s="17" t="inlineStr"/>
      <c r="AB371" s="17" t="inlineStr">
        <is>
          <t>02-2612-0714</t>
        </is>
      </c>
      <c r="AC371" s="17" t="inlineStr">
        <is>
          <t>미확인</t>
        </is>
      </c>
      <c r="AD371" s="17" t="inlineStr">
        <is>
          <t>Y</t>
        </is>
      </c>
      <c r="AE371" s="17" t="inlineStr">
        <is>
          <t>P415</t>
        </is>
      </c>
      <c r="AF371" s="17" t="inlineStr">
        <is>
          <t>경기도 이천시 율면 일생로406번길 6</t>
        </is>
      </c>
      <c r="AG371" s="17" t="inlineStr">
        <is>
          <t>완제의약품</t>
        </is>
      </c>
      <c r="AH371" s="17" t="inlineStr">
        <is>
          <t>비무균-일반제제-내용고형제(정제, 캡슐제, 산제, 과립제, 환제), 비무균-일반제제-내용액제(경구용액제)</t>
        </is>
      </c>
      <c r="AI371" s="17" t="n">
        <v>1</v>
      </c>
      <c r="AJ371" s="24" t="n">
        <v>46460</v>
      </c>
      <c r="AK371" s="17" t="inlineStr"/>
      <c r="AL371" s="17" t="inlineStr">
        <is>
          <t>Y</t>
        </is>
      </c>
      <c r="AM371" s="17" t="inlineStr">
        <is>
          <t>기본 GMP 문서관리 대상</t>
        </is>
      </c>
      <c r="AN371" s="17" t="inlineStr">
        <is>
          <t>미확인</t>
        </is>
      </c>
      <c r="AO371" s="17" t="inlineStr">
        <is>
          <t>미확인</t>
        </is>
      </c>
      <c r="AP371" s="17" t="inlineStr">
        <is>
          <t>미확인</t>
        </is>
      </c>
      <c r="AQ371" s="17" t="inlineStr">
        <is>
          <t>담당자 파악 후 접촉</t>
        </is>
      </c>
      <c r="AR371" s="17" t="inlineStr">
        <is>
          <t>2026-07-05</t>
        </is>
      </c>
      <c r="AS371" s="17" t="inlineStr">
        <is>
          <t>C(부분확인)</t>
        </is>
      </c>
      <c r="AT371" s="17" t="n">
        <v>90</v>
      </c>
      <c r="AU371" s="17" t="inlineStr"/>
      <c r="AV371" s="17" t="inlineStr"/>
    </row>
    <row r="372">
      <c r="A372" s="28" t="inlineStr">
        <is>
          <t>Tier D</t>
        </is>
      </c>
      <c r="B372" s="17" t="n">
        <v>8</v>
      </c>
      <c r="C372" s="17" t="inlineStr">
        <is>
          <t>구주제약(주)</t>
        </is>
      </c>
      <c r="D372" s="17" t="inlineStr">
        <is>
          <t>화성</t>
        </is>
      </c>
      <c r="E372" s="17" t="inlineStr">
        <is>
          <t>경기도</t>
        </is>
      </c>
      <c r="F372" s="17" t="inlineStr">
        <is>
          <t>화성시</t>
        </is>
      </c>
      <c r="G372" s="17" t="n">
        <v>1</v>
      </c>
      <c r="H372" s="17" t="inlineStr"/>
      <c r="I372" s="17" t="inlineStr"/>
      <c r="J372" s="17" t="inlineStr">
        <is>
          <t>Y</t>
        </is>
      </c>
      <c r="K372" s="17" t="inlineStr"/>
      <c r="L372" s="22" t="inlineStr">
        <is>
          <t>미확인</t>
        </is>
      </c>
      <c r="M372" s="22" t="inlineStr">
        <is>
          <t>미확인</t>
        </is>
      </c>
      <c r="N372" s="22" t="inlineStr">
        <is>
          <t>미확인</t>
        </is>
      </c>
      <c r="O372" s="22" t="inlineStr">
        <is>
          <t>미확인</t>
        </is>
      </c>
      <c r="P372" s="17" t="inlineStr">
        <is>
          <t>QMS</t>
        </is>
      </c>
      <c r="Q372" s="22" t="inlineStr">
        <is>
          <t>미확인</t>
        </is>
      </c>
      <c r="R372" s="22" t="inlineStr">
        <is>
          <t>미확인</t>
        </is>
      </c>
      <c r="S372" s="17" t="inlineStr">
        <is>
          <t>Tier D</t>
        </is>
      </c>
      <c r="T372" s="17" t="n">
        <v>7</v>
      </c>
      <c r="U372" s="17" t="inlineStr">
        <is>
          <t>C302</t>
        </is>
      </c>
      <c r="V372" s="17" t="inlineStr">
        <is>
          <t>구주제약</t>
        </is>
      </c>
      <c r="W372" s="17" t="inlineStr"/>
      <c r="X372" s="17" t="inlineStr"/>
      <c r="Y372" s="23" t="inlineStr"/>
      <c r="Z372" s="17" t="inlineStr">
        <is>
          <t>김우태</t>
        </is>
      </c>
      <c r="AA372" s="17" t="inlineStr"/>
      <c r="AB372" s="17" t="inlineStr">
        <is>
          <t>6721096</t>
        </is>
      </c>
      <c r="AC372" s="17" t="inlineStr">
        <is>
          <t>미확인</t>
        </is>
      </c>
      <c r="AD372" s="17" t="inlineStr">
        <is>
          <t>Y</t>
        </is>
      </c>
      <c r="AE372" s="17" t="inlineStr">
        <is>
          <t>P365</t>
        </is>
      </c>
      <c r="AF372" s="17" t="inlineStr">
        <is>
          <t>경기도 화성시 효행구 정남면 덕절제기길 5</t>
        </is>
      </c>
      <c r="AG372" s="17" t="inlineStr">
        <is>
          <t>완제의약품</t>
        </is>
      </c>
      <c r="AH372" s="17" t="inlineStr">
        <is>
          <t>비무균-일반제제-내용고형제(정제, 캡슐제), 비무균-일반제제-내용액제(경구용액제, 시럽제(액상))</t>
        </is>
      </c>
      <c r="AI372" s="17" t="n">
        <v>1</v>
      </c>
      <c r="AJ372" s="24" t="n">
        <v>46564</v>
      </c>
      <c r="AK372" s="17" t="inlineStr"/>
      <c r="AL372" s="17" t="inlineStr">
        <is>
          <t>Y</t>
        </is>
      </c>
      <c r="AM372" s="17" t="inlineStr">
        <is>
          <t>기본 GMP 문서관리 대상</t>
        </is>
      </c>
      <c r="AN372" s="17" t="inlineStr">
        <is>
          <t>미확인</t>
        </is>
      </c>
      <c r="AO372" s="17" t="inlineStr">
        <is>
          <t>미확인</t>
        </is>
      </c>
      <c r="AP372" s="17" t="inlineStr">
        <is>
          <t>미확인</t>
        </is>
      </c>
      <c r="AQ372" s="17" t="inlineStr">
        <is>
          <t>담당자 파악 후 접촉</t>
        </is>
      </c>
      <c r="AR372" s="17" t="inlineStr">
        <is>
          <t>2026-07-05</t>
        </is>
      </c>
      <c r="AS372" s="17" t="inlineStr">
        <is>
          <t>C(부분확인)</t>
        </is>
      </c>
      <c r="AT372" s="17" t="n">
        <v>90</v>
      </c>
      <c r="AU372" s="17" t="inlineStr"/>
      <c r="AV372" s="17" t="inlineStr"/>
    </row>
    <row r="373">
      <c r="A373" s="28" t="inlineStr">
        <is>
          <t>Tier D</t>
        </is>
      </c>
      <c r="B373" s="17" t="n">
        <v>8</v>
      </c>
      <c r="C373" s="17" t="inlineStr">
        <is>
          <t>단일에이피(주)</t>
        </is>
      </c>
      <c r="D373" s="17" t="inlineStr">
        <is>
          <t>제1공장</t>
        </is>
      </c>
      <c r="E373" s="17" t="inlineStr">
        <is>
          <t>경기도</t>
        </is>
      </c>
      <c r="F373" s="17" t="inlineStr">
        <is>
          <t>구리시</t>
        </is>
      </c>
      <c r="G373" s="17" t="n">
        <v>1</v>
      </c>
      <c r="H373" s="17" t="inlineStr"/>
      <c r="I373" s="17" t="inlineStr"/>
      <c r="J373" s="17" t="inlineStr">
        <is>
          <t>Y</t>
        </is>
      </c>
      <c r="K373" s="17" t="inlineStr"/>
      <c r="L373" s="22" t="inlineStr">
        <is>
          <t>미확인</t>
        </is>
      </c>
      <c r="M373" s="22" t="inlineStr">
        <is>
          <t>미확인</t>
        </is>
      </c>
      <c r="N373" s="22" t="inlineStr">
        <is>
          <t>미확인</t>
        </is>
      </c>
      <c r="O373" s="22" t="inlineStr">
        <is>
          <t>미확인</t>
        </is>
      </c>
      <c r="P373" s="17" t="inlineStr">
        <is>
          <t>QMS</t>
        </is>
      </c>
      <c r="Q373" s="22" t="inlineStr">
        <is>
          <t>미확인</t>
        </is>
      </c>
      <c r="R373" s="22" t="inlineStr">
        <is>
          <t>미확인</t>
        </is>
      </c>
      <c r="S373" s="17" t="inlineStr">
        <is>
          <t>Tier D</t>
        </is>
      </c>
      <c r="T373" s="17" t="n">
        <v>7</v>
      </c>
      <c r="U373" s="17" t="inlineStr">
        <is>
          <t>C310</t>
        </is>
      </c>
      <c r="V373" s="17" t="inlineStr">
        <is>
          <t>단일에이피</t>
        </is>
      </c>
      <c r="W373" s="17" t="inlineStr"/>
      <c r="X373" s="17" t="inlineStr"/>
      <c r="Y373" s="23" t="inlineStr"/>
      <c r="Z373" s="17" t="inlineStr">
        <is>
          <t>장세정</t>
        </is>
      </c>
      <c r="AA373" s="17" t="inlineStr"/>
      <c r="AB373" s="17" t="inlineStr">
        <is>
          <t>031-563-3379</t>
        </is>
      </c>
      <c r="AC373" s="17" t="inlineStr">
        <is>
          <t>미확인</t>
        </is>
      </c>
      <c r="AD373" s="17" t="inlineStr">
        <is>
          <t>Y</t>
        </is>
      </c>
      <c r="AE373" s="17" t="inlineStr">
        <is>
          <t>P375</t>
        </is>
      </c>
      <c r="AF373" s="17" t="inlineStr">
        <is>
          <t>경기도 구리시 동구릉로200번길 30 충전동</t>
        </is>
      </c>
      <c r="AG373" s="17" t="inlineStr">
        <is>
          <t>완제의약품</t>
        </is>
      </c>
      <c r="AH373" s="17" t="inlineStr">
        <is>
          <t>비무균-일반제제(의료용 고압가스)-가스제(의료용 고압가스)</t>
        </is>
      </c>
      <c r="AI373" s="17" t="n">
        <v>1</v>
      </c>
      <c r="AJ373" s="24" t="n">
        <v>46542</v>
      </c>
      <c r="AK373" s="17" t="inlineStr"/>
      <c r="AL373" s="17" t="inlineStr">
        <is>
          <t>Y</t>
        </is>
      </c>
      <c r="AM373" s="17" t="inlineStr">
        <is>
          <t>기본 GMP 문서관리 대상</t>
        </is>
      </c>
      <c r="AN373" s="17" t="inlineStr">
        <is>
          <t>미확인</t>
        </is>
      </c>
      <c r="AO373" s="17" t="inlineStr">
        <is>
          <t>미확인</t>
        </is>
      </c>
      <c r="AP373" s="17" t="inlineStr">
        <is>
          <t>미확인</t>
        </is>
      </c>
      <c r="AQ373" s="17" t="inlineStr">
        <is>
          <t>담당자 파악 후 접촉</t>
        </is>
      </c>
      <c r="AR373" s="17" t="inlineStr">
        <is>
          <t>2026-07-05</t>
        </is>
      </c>
      <c r="AS373" s="17" t="inlineStr">
        <is>
          <t>C(부분확인)</t>
        </is>
      </c>
      <c r="AT373" s="17" t="n">
        <v>90</v>
      </c>
      <c r="AU373" s="17" t="inlineStr"/>
      <c r="AV373" s="17" t="inlineStr"/>
    </row>
    <row r="374">
      <c r="A374" s="28" t="inlineStr">
        <is>
          <t>Tier D</t>
        </is>
      </c>
      <c r="B374" s="17" t="n">
        <v>8</v>
      </c>
      <c r="C374" s="17" t="inlineStr">
        <is>
          <t>대원바이오텍주식회사</t>
        </is>
      </c>
      <c r="D374" s="17" t="inlineStr">
        <is>
          <t>대원바이오텍주식회사</t>
        </is>
      </c>
      <c r="E374" s="17" t="inlineStr">
        <is>
          <t>서울특별시</t>
        </is>
      </c>
      <c r="F374" s="17" t="inlineStr">
        <is>
          <t>금천구</t>
        </is>
      </c>
      <c r="G374" s="17" t="n">
        <v>1</v>
      </c>
      <c r="H374" s="17" t="inlineStr"/>
      <c r="I374" s="17" t="inlineStr"/>
      <c r="J374" s="17" t="inlineStr">
        <is>
          <t>Y</t>
        </is>
      </c>
      <c r="K374" s="17" t="inlineStr"/>
      <c r="L374" s="22" t="inlineStr">
        <is>
          <t>미확인</t>
        </is>
      </c>
      <c r="M374" s="22" t="inlineStr">
        <is>
          <t>미확인</t>
        </is>
      </c>
      <c r="N374" s="22" t="inlineStr">
        <is>
          <t>미확인</t>
        </is>
      </c>
      <c r="O374" s="22" t="inlineStr">
        <is>
          <t>미확인</t>
        </is>
      </c>
      <c r="P374" s="17" t="inlineStr">
        <is>
          <t>QMS</t>
        </is>
      </c>
      <c r="Q374" s="22" t="inlineStr">
        <is>
          <t>미확인</t>
        </is>
      </c>
      <c r="R374" s="22" t="inlineStr">
        <is>
          <t>미확인</t>
        </is>
      </c>
      <c r="S374" s="17" t="inlineStr">
        <is>
          <t>Tier D</t>
        </is>
      </c>
      <c r="T374" s="17" t="n">
        <v>7</v>
      </c>
      <c r="U374" s="17" t="inlineStr">
        <is>
          <t>C330</t>
        </is>
      </c>
      <c r="V374" s="17" t="inlineStr">
        <is>
          <t>대원바이오텍</t>
        </is>
      </c>
      <c r="W374" s="17" t="inlineStr"/>
      <c r="X374" s="17" t="inlineStr"/>
      <c r="Y374" s="23" t="inlineStr"/>
      <c r="Z374" s="17" t="inlineStr">
        <is>
          <t>조태균</t>
        </is>
      </c>
      <c r="AA374" s="17" t="inlineStr"/>
      <c r="AB374" s="17" t="inlineStr">
        <is>
          <t>070-4327-0447</t>
        </is>
      </c>
      <c r="AC374" s="17" t="inlineStr">
        <is>
          <t>미확인</t>
        </is>
      </c>
      <c r="AD374" s="17" t="inlineStr">
        <is>
          <t>Y</t>
        </is>
      </c>
      <c r="AE374" s="17" t="inlineStr">
        <is>
          <t>P398</t>
        </is>
      </c>
      <c r="AF374" s="17" t="inlineStr">
        <is>
          <t>서울특별시 금천구 가산디지털1로 19 15층, 1501호~1503호(가산동, 대륭테크노타운 18차)</t>
        </is>
      </c>
      <c r="AG374" s="17" t="inlineStr">
        <is>
          <t>완제의약품</t>
        </is>
      </c>
      <c r="AH374" s="17" t="inlineStr">
        <is>
          <t>비무균-일반제제-내용고형제(정제)</t>
        </is>
      </c>
      <c r="AI374" s="17" t="n">
        <v>1</v>
      </c>
      <c r="AJ374" s="24" t="n">
        <v>46493</v>
      </c>
      <c r="AK374" s="17" t="inlineStr"/>
      <c r="AL374" s="17" t="inlineStr">
        <is>
          <t>Y</t>
        </is>
      </c>
      <c r="AM374" s="17" t="inlineStr">
        <is>
          <t>기본 GMP 문서관리 대상</t>
        </is>
      </c>
      <c r="AN374" s="17" t="inlineStr">
        <is>
          <t>미확인</t>
        </is>
      </c>
      <c r="AO374" s="17" t="inlineStr">
        <is>
          <t>미확인</t>
        </is>
      </c>
      <c r="AP374" s="17" t="inlineStr">
        <is>
          <t>미확인</t>
        </is>
      </c>
      <c r="AQ374" s="17" t="inlineStr">
        <is>
          <t>담당자 파악 후 접촉</t>
        </is>
      </c>
      <c r="AR374" s="17" t="inlineStr">
        <is>
          <t>2026-07-05</t>
        </is>
      </c>
      <c r="AS374" s="17" t="inlineStr">
        <is>
          <t>C(부분확인)</t>
        </is>
      </c>
      <c r="AT374" s="17" t="n">
        <v>90</v>
      </c>
      <c r="AU374" s="17" t="inlineStr"/>
      <c r="AV374" s="17" t="inlineStr"/>
    </row>
    <row r="375">
      <c r="A375" s="28" t="inlineStr">
        <is>
          <t>Tier D</t>
        </is>
      </c>
      <c r="B375" s="17" t="n">
        <v>8</v>
      </c>
      <c r="C375" s="17" t="inlineStr">
        <is>
          <t>메딕스제약(주)</t>
        </is>
      </c>
      <c r="D375" s="17" t="inlineStr">
        <is>
          <t>제 2공장</t>
        </is>
      </c>
      <c r="E375" s="17" t="inlineStr">
        <is>
          <t>전북특별자치도</t>
        </is>
      </c>
      <c r="F375" s="17" t="inlineStr">
        <is>
          <t>완주군</t>
        </is>
      </c>
      <c r="G375" s="17" t="n">
        <v>1</v>
      </c>
      <c r="H375" s="17" t="inlineStr"/>
      <c r="I375" s="17" t="inlineStr"/>
      <c r="J375" s="17" t="inlineStr">
        <is>
          <t>Y</t>
        </is>
      </c>
      <c r="K375" s="17" t="inlineStr"/>
      <c r="L375" s="22" t="inlineStr">
        <is>
          <t>미확인</t>
        </is>
      </c>
      <c r="M375" s="22" t="inlineStr">
        <is>
          <t>미확인</t>
        </is>
      </c>
      <c r="N375" s="22" t="inlineStr">
        <is>
          <t>미확인</t>
        </is>
      </c>
      <c r="O375" s="22" t="inlineStr">
        <is>
          <t>미확인</t>
        </is>
      </c>
      <c r="P375" s="17" t="inlineStr">
        <is>
          <t>QMS</t>
        </is>
      </c>
      <c r="Q375" s="22" t="inlineStr">
        <is>
          <t>미확인</t>
        </is>
      </c>
      <c r="R375" s="22" t="inlineStr">
        <is>
          <t>미확인</t>
        </is>
      </c>
      <c r="S375" s="17" t="inlineStr">
        <is>
          <t>Tier D</t>
        </is>
      </c>
      <c r="T375" s="17" t="n">
        <v>7</v>
      </c>
      <c r="U375" s="17" t="inlineStr">
        <is>
          <t>C366</t>
        </is>
      </c>
      <c r="V375" s="17" t="inlineStr">
        <is>
          <t>메딕스제약</t>
        </is>
      </c>
      <c r="W375" s="17" t="inlineStr"/>
      <c r="X375" s="17" t="inlineStr"/>
      <c r="Y375" s="23" t="inlineStr"/>
      <c r="Z375" s="17" t="inlineStr">
        <is>
          <t>변광민</t>
        </is>
      </c>
      <c r="AA375" s="17" t="inlineStr"/>
      <c r="AB375" s="17" t="inlineStr">
        <is>
          <t>미확인</t>
        </is>
      </c>
      <c r="AC375" s="17" t="inlineStr">
        <is>
          <t>미확인</t>
        </is>
      </c>
      <c r="AD375" s="17" t="inlineStr">
        <is>
          <t>Y</t>
        </is>
      </c>
      <c r="AE375" s="17" t="inlineStr">
        <is>
          <t>P444</t>
        </is>
      </c>
      <c r="AF375" s="17" t="inlineStr">
        <is>
          <t>전북특별자치도 완주군 봉동읍 완주산단6로 170</t>
        </is>
      </c>
      <c r="AG375" s="17" t="inlineStr">
        <is>
          <t>완제의약품</t>
        </is>
      </c>
      <c r="AH375" s="17" t="inlineStr">
        <is>
          <t>비무균-일반제제-내용고형제(정제, 캡슐제)</t>
        </is>
      </c>
      <c r="AI375" s="17" t="n">
        <v>1</v>
      </c>
      <c r="AJ375" s="24" t="n">
        <v>46405</v>
      </c>
      <c r="AK375" s="17" t="inlineStr"/>
      <c r="AL375" s="17" t="inlineStr">
        <is>
          <t>Y</t>
        </is>
      </c>
      <c r="AM375" s="17" t="inlineStr">
        <is>
          <t>기본 GMP 문서관리 대상</t>
        </is>
      </c>
      <c r="AN375" s="17" t="inlineStr">
        <is>
          <t>미확인</t>
        </is>
      </c>
      <c r="AO375" s="17" t="inlineStr">
        <is>
          <t>미확인</t>
        </is>
      </c>
      <c r="AP375" s="17" t="inlineStr">
        <is>
          <t>미확인</t>
        </is>
      </c>
      <c r="AQ375" s="17" t="inlineStr">
        <is>
          <t>담당자 파악 후 접촉</t>
        </is>
      </c>
      <c r="AR375" s="17" t="inlineStr">
        <is>
          <t>2026-07-05</t>
        </is>
      </c>
      <c r="AS375" s="17" t="inlineStr">
        <is>
          <t>C(부분확인)</t>
        </is>
      </c>
      <c r="AT375" s="17" t="n">
        <v>90</v>
      </c>
      <c r="AU375" s="17" t="inlineStr"/>
      <c r="AV375" s="17" t="inlineStr"/>
    </row>
    <row r="376">
      <c r="A376" s="28" t="inlineStr">
        <is>
          <t>Tier D</t>
        </is>
      </c>
      <c r="B376" s="17" t="n">
        <v>8</v>
      </c>
      <c r="C376" s="17" t="inlineStr">
        <is>
          <t>미래바이오제약(주)</t>
        </is>
      </c>
      <c r="D376" s="17" t="inlineStr">
        <is>
          <t>안성</t>
        </is>
      </c>
      <c r="E376" s="17" t="inlineStr">
        <is>
          <t>경기도</t>
        </is>
      </c>
      <c r="F376" s="17" t="inlineStr">
        <is>
          <t>안성시</t>
        </is>
      </c>
      <c r="G376" s="17" t="n">
        <v>1</v>
      </c>
      <c r="H376" s="17" t="inlineStr"/>
      <c r="I376" s="17" t="inlineStr"/>
      <c r="J376" s="17" t="inlineStr">
        <is>
          <t>Y</t>
        </is>
      </c>
      <c r="K376" s="17" t="inlineStr"/>
      <c r="L376" s="22" t="inlineStr">
        <is>
          <t>미확인</t>
        </is>
      </c>
      <c r="M376" s="22" t="inlineStr">
        <is>
          <t>미확인</t>
        </is>
      </c>
      <c r="N376" s="22" t="inlineStr">
        <is>
          <t>미확인</t>
        </is>
      </c>
      <c r="O376" s="22" t="inlineStr">
        <is>
          <t>미확인</t>
        </is>
      </c>
      <c r="P376" s="17" t="inlineStr">
        <is>
          <t>QMS</t>
        </is>
      </c>
      <c r="Q376" s="22" t="inlineStr">
        <is>
          <t>미확인</t>
        </is>
      </c>
      <c r="R376" s="22" t="inlineStr">
        <is>
          <t>미확인</t>
        </is>
      </c>
      <c r="S376" s="17" t="inlineStr">
        <is>
          <t>Tier D</t>
        </is>
      </c>
      <c r="T376" s="17" t="n">
        <v>7</v>
      </c>
      <c r="U376" s="17" t="inlineStr">
        <is>
          <t>C326</t>
        </is>
      </c>
      <c r="V376" s="17" t="inlineStr">
        <is>
          <t>미래바이오제약</t>
        </is>
      </c>
      <c r="W376" s="17" t="inlineStr"/>
      <c r="X376" s="17" t="inlineStr"/>
      <c r="Y376" s="23" t="inlineStr"/>
      <c r="Z376" s="17" t="inlineStr">
        <is>
          <t>김한석</t>
        </is>
      </c>
      <c r="AA376" s="17" t="inlineStr"/>
      <c r="AB376" s="17" t="inlineStr">
        <is>
          <t>031-672-0221</t>
        </is>
      </c>
      <c r="AC376" s="17" t="inlineStr">
        <is>
          <t>미확인</t>
        </is>
      </c>
      <c r="AD376" s="17" t="inlineStr">
        <is>
          <t>Y</t>
        </is>
      </c>
      <c r="AE376" s="17" t="inlineStr">
        <is>
          <t>P394</t>
        </is>
      </c>
      <c r="AF376" s="17" t="inlineStr">
        <is>
          <t>경기도 안성시 공단2로 104</t>
        </is>
      </c>
      <c r="AG376" s="17" t="inlineStr">
        <is>
          <t>완제의약품</t>
        </is>
      </c>
      <c r="AH376" s="17" t="inlineStr">
        <is>
          <t>비무균-일반제제-내용고형제(정제, 캡슐제)</t>
        </is>
      </c>
      <c r="AI376" s="17" t="n">
        <v>1</v>
      </c>
      <c r="AJ376" s="24" t="n">
        <v>46501</v>
      </c>
      <c r="AK376" s="17" t="inlineStr"/>
      <c r="AL376" s="17" t="inlineStr">
        <is>
          <t>Y</t>
        </is>
      </c>
      <c r="AM376" s="17" t="inlineStr">
        <is>
          <t>기본 GMP 문서관리 대상</t>
        </is>
      </c>
      <c r="AN376" s="17" t="inlineStr">
        <is>
          <t>미확인</t>
        </is>
      </c>
      <c r="AO376" s="17" t="inlineStr">
        <is>
          <t>미확인</t>
        </is>
      </c>
      <c r="AP376" s="17" t="inlineStr">
        <is>
          <t>미확인</t>
        </is>
      </c>
      <c r="AQ376" s="17" t="inlineStr">
        <is>
          <t>담당자 파악 후 접촉</t>
        </is>
      </c>
      <c r="AR376" s="17" t="inlineStr">
        <is>
          <t>2026-07-05</t>
        </is>
      </c>
      <c r="AS376" s="17" t="inlineStr">
        <is>
          <t>C(부분확인)</t>
        </is>
      </c>
      <c r="AT376" s="17" t="n">
        <v>90</v>
      </c>
      <c r="AU376" s="17" t="inlineStr"/>
      <c r="AV376" s="17" t="inlineStr"/>
    </row>
    <row r="377">
      <c r="A377" s="28" t="inlineStr">
        <is>
          <t>Tier D</t>
        </is>
      </c>
      <c r="B377" s="17" t="n">
        <v>8</v>
      </c>
      <c r="C377" s="17" t="inlineStr">
        <is>
          <t>삼정바이오솔루션(주)</t>
        </is>
      </c>
      <c r="D377" s="17" t="inlineStr">
        <is>
          <t>공장</t>
        </is>
      </c>
      <c r="E377" s="17" t="inlineStr">
        <is>
          <t>경기도</t>
        </is>
      </c>
      <c r="F377" s="17" t="inlineStr">
        <is>
          <t>화성시</t>
        </is>
      </c>
      <c r="G377" s="17" t="n">
        <v>1</v>
      </c>
      <c r="H377" s="17" t="inlineStr"/>
      <c r="I377" s="17" t="inlineStr"/>
      <c r="J377" s="17" t="inlineStr">
        <is>
          <t>Y</t>
        </is>
      </c>
      <c r="K377" s="17" t="inlineStr"/>
      <c r="L377" s="22" t="inlineStr">
        <is>
          <t>미확인</t>
        </is>
      </c>
      <c r="M377" s="22" t="inlineStr">
        <is>
          <t>미확인</t>
        </is>
      </c>
      <c r="N377" s="22" t="inlineStr">
        <is>
          <t>미확인</t>
        </is>
      </c>
      <c r="O377" s="22" t="inlineStr">
        <is>
          <t>미확인</t>
        </is>
      </c>
      <c r="P377" s="17" t="inlineStr">
        <is>
          <t>QMS</t>
        </is>
      </c>
      <c r="Q377" s="22" t="inlineStr">
        <is>
          <t>미확인</t>
        </is>
      </c>
      <c r="R377" s="22" t="inlineStr">
        <is>
          <t>미확인</t>
        </is>
      </c>
      <c r="S377" s="17" t="inlineStr">
        <is>
          <t>Tier D</t>
        </is>
      </c>
      <c r="T377" s="17" t="n">
        <v>7</v>
      </c>
      <c r="U377" s="17" t="inlineStr">
        <is>
          <t>C363</t>
        </is>
      </c>
      <c r="V377" s="17" t="inlineStr">
        <is>
          <t>삼정바이오솔루션</t>
        </is>
      </c>
      <c r="W377" s="17" t="inlineStr"/>
      <c r="X377" s="17" t="inlineStr"/>
      <c r="Y377" s="23" t="inlineStr"/>
      <c r="Z377" s="17" t="inlineStr">
        <is>
          <t>심승일</t>
        </is>
      </c>
      <c r="AA377" s="17" t="inlineStr"/>
      <c r="AB377" s="17" t="inlineStr">
        <is>
          <t>031-8059-3244</t>
        </is>
      </c>
      <c r="AC377" s="17" t="inlineStr">
        <is>
          <t>미확인</t>
        </is>
      </c>
      <c r="AD377" s="17" t="inlineStr">
        <is>
          <t>Y</t>
        </is>
      </c>
      <c r="AE377" s="17" t="inlineStr">
        <is>
          <t>P440</t>
        </is>
      </c>
      <c r="AF377" s="17" t="inlineStr">
        <is>
          <t>경기도 화성시 양감면 개월안길 110-26</t>
        </is>
      </c>
      <c r="AG377" s="17" t="inlineStr">
        <is>
          <t>완제의약품</t>
        </is>
      </c>
      <c r="AH377" s="17" t="inlineStr">
        <is>
          <t>비무균-일반제제(의료용 고압가스)-가스제(의료용 고압가스)</t>
        </is>
      </c>
      <c r="AI377" s="17" t="n">
        <v>1</v>
      </c>
      <c r="AJ377" s="24" t="n">
        <v>46417</v>
      </c>
      <c r="AK377" s="17" t="inlineStr"/>
      <c r="AL377" s="17" t="inlineStr">
        <is>
          <t>Y</t>
        </is>
      </c>
      <c r="AM377" s="17" t="inlineStr">
        <is>
          <t>기본 GMP 문서관리 대상</t>
        </is>
      </c>
      <c r="AN377" s="17" t="inlineStr">
        <is>
          <t>미확인</t>
        </is>
      </c>
      <c r="AO377" s="17" t="inlineStr">
        <is>
          <t>미확인</t>
        </is>
      </c>
      <c r="AP377" s="17" t="inlineStr">
        <is>
          <t>미확인</t>
        </is>
      </c>
      <c r="AQ377" s="17" t="inlineStr">
        <is>
          <t>담당자 파악 후 접촉</t>
        </is>
      </c>
      <c r="AR377" s="17" t="inlineStr">
        <is>
          <t>2026-07-05</t>
        </is>
      </c>
      <c r="AS377" s="17" t="inlineStr">
        <is>
          <t>C(부분확인)</t>
        </is>
      </c>
      <c r="AT377" s="17" t="n">
        <v>90</v>
      </c>
      <c r="AU377" s="17" t="inlineStr"/>
      <c r="AV377" s="17" t="inlineStr"/>
    </row>
    <row r="378">
      <c r="A378" s="28" t="inlineStr">
        <is>
          <t>Tier D</t>
        </is>
      </c>
      <c r="B378" s="17" t="n">
        <v>8</v>
      </c>
      <c r="C378" s="17" t="inlineStr">
        <is>
          <t>성원애드콕제약(주)</t>
        </is>
      </c>
      <c r="D378" s="17" t="inlineStr">
        <is>
          <t>공장</t>
        </is>
      </c>
      <c r="E378" s="17" t="inlineStr">
        <is>
          <t>경기도</t>
        </is>
      </c>
      <c r="F378" s="17" t="inlineStr">
        <is>
          <t>김포시</t>
        </is>
      </c>
      <c r="G378" s="17" t="n">
        <v>1</v>
      </c>
      <c r="H378" s="17" t="inlineStr"/>
      <c r="I378" s="17" t="inlineStr"/>
      <c r="J378" s="17" t="inlineStr">
        <is>
          <t>Y</t>
        </is>
      </c>
      <c r="K378" s="17" t="inlineStr"/>
      <c r="L378" s="22" t="inlineStr">
        <is>
          <t>미확인</t>
        </is>
      </c>
      <c r="M378" s="22" t="inlineStr">
        <is>
          <t>미확인</t>
        </is>
      </c>
      <c r="N378" s="22" t="inlineStr">
        <is>
          <t>미확인</t>
        </is>
      </c>
      <c r="O378" s="22" t="inlineStr">
        <is>
          <t>미확인</t>
        </is>
      </c>
      <c r="P378" s="17" t="inlineStr">
        <is>
          <t>QMS</t>
        </is>
      </c>
      <c r="Q378" s="22" t="inlineStr">
        <is>
          <t>미확인</t>
        </is>
      </c>
      <c r="R378" s="22" t="inlineStr">
        <is>
          <t>미확인</t>
        </is>
      </c>
      <c r="S378" s="17" t="inlineStr">
        <is>
          <t>Tier D</t>
        </is>
      </c>
      <c r="T378" s="17" t="n">
        <v>7</v>
      </c>
      <c r="U378" s="17" t="inlineStr">
        <is>
          <t>C361</t>
        </is>
      </c>
      <c r="V378" s="17" t="inlineStr">
        <is>
          <t>성원애드콕제약</t>
        </is>
      </c>
      <c r="W378" s="17" t="inlineStr"/>
      <c r="X378" s="17" t="inlineStr"/>
      <c r="Y378" s="23" t="inlineStr"/>
      <c r="Z378" s="17" t="inlineStr">
        <is>
          <t>박형미</t>
        </is>
      </c>
      <c r="AA378" s="17" t="inlineStr"/>
      <c r="AB378" s="17" t="inlineStr">
        <is>
          <t>031-982-2982</t>
        </is>
      </c>
      <c r="AC378" s="17" t="inlineStr">
        <is>
          <t>미확인</t>
        </is>
      </c>
      <c r="AD378" s="17" t="inlineStr">
        <is>
          <t>Y</t>
        </is>
      </c>
      <c r="AE378" s="17" t="inlineStr">
        <is>
          <t>P437</t>
        </is>
      </c>
      <c r="AF378" s="17" t="inlineStr">
        <is>
          <t>경기도 김포시 양촌읍 김포대로1644번길 54</t>
        </is>
      </c>
      <c r="AG378" s="17" t="inlineStr">
        <is>
          <t>완제의약품</t>
        </is>
      </c>
      <c r="AH378" s="17" t="inlineStr">
        <is>
          <t>비무균-일반제제-내용고형제(정제, 캡슐제)</t>
        </is>
      </c>
      <c r="AI378" s="17" t="n">
        <v>1</v>
      </c>
      <c r="AJ378" s="24" t="n">
        <v>46424</v>
      </c>
      <c r="AK378" s="17" t="inlineStr"/>
      <c r="AL378" s="17" t="inlineStr">
        <is>
          <t>Y</t>
        </is>
      </c>
      <c r="AM378" s="17" t="inlineStr">
        <is>
          <t>기본 GMP 문서관리 대상</t>
        </is>
      </c>
      <c r="AN378" s="17" t="inlineStr">
        <is>
          <t>미확인</t>
        </is>
      </c>
      <c r="AO378" s="17" t="inlineStr">
        <is>
          <t>미확인</t>
        </is>
      </c>
      <c r="AP378" s="17" t="inlineStr">
        <is>
          <t>미확인</t>
        </is>
      </c>
      <c r="AQ378" s="17" t="inlineStr">
        <is>
          <t>담당자 파악 후 접촉</t>
        </is>
      </c>
      <c r="AR378" s="17" t="inlineStr">
        <is>
          <t>2026-07-05</t>
        </is>
      </c>
      <c r="AS378" s="17" t="inlineStr">
        <is>
          <t>C(부분확인)</t>
        </is>
      </c>
      <c r="AT378" s="17" t="n">
        <v>90</v>
      </c>
      <c r="AU378" s="17" t="inlineStr"/>
      <c r="AV378" s="17" t="inlineStr"/>
    </row>
    <row r="379">
      <c r="A379" s="28" t="inlineStr">
        <is>
          <t>Tier D</t>
        </is>
      </c>
      <c r="B379" s="17" t="n">
        <v>8</v>
      </c>
      <c r="C379" s="17" t="inlineStr">
        <is>
          <t>에스케이에어플러스 주식회사</t>
        </is>
      </c>
      <c r="D379" s="17" t="inlineStr">
        <is>
          <t>2공장</t>
        </is>
      </c>
      <c r="E379" s="17" t="inlineStr">
        <is>
          <t>울산광역시</t>
        </is>
      </c>
      <c r="F379" s="17" t="inlineStr">
        <is>
          <t>남구</t>
        </is>
      </c>
      <c r="G379" s="17" t="n">
        <v>1</v>
      </c>
      <c r="H379" s="17" t="inlineStr"/>
      <c r="I379" s="17" t="inlineStr"/>
      <c r="J379" s="17" t="inlineStr">
        <is>
          <t>Y</t>
        </is>
      </c>
      <c r="K379" s="17" t="inlineStr"/>
      <c r="L379" s="22" t="inlineStr">
        <is>
          <t>미확인</t>
        </is>
      </c>
      <c r="M379" s="22" t="inlineStr">
        <is>
          <t>미확인</t>
        </is>
      </c>
      <c r="N379" s="22" t="inlineStr">
        <is>
          <t>미확인</t>
        </is>
      </c>
      <c r="O379" s="22" t="inlineStr">
        <is>
          <t>미확인</t>
        </is>
      </c>
      <c r="P379" s="17" t="inlineStr">
        <is>
          <t>QMS</t>
        </is>
      </c>
      <c r="Q379" s="22" t="inlineStr">
        <is>
          <t>미확인</t>
        </is>
      </c>
      <c r="R379" s="22" t="inlineStr">
        <is>
          <t>미확인</t>
        </is>
      </c>
      <c r="S379" s="17" t="inlineStr">
        <is>
          <t>Tier D</t>
        </is>
      </c>
      <c r="T379" s="17" t="n">
        <v>7</v>
      </c>
      <c r="U379" s="17" t="inlineStr">
        <is>
          <t>C349</t>
        </is>
      </c>
      <c r="V379" s="17" t="inlineStr">
        <is>
          <t>에스케이에어플러스</t>
        </is>
      </c>
      <c r="W379" s="17" t="inlineStr"/>
      <c r="X379" s="17" t="inlineStr"/>
      <c r="Y379" s="23" t="inlineStr"/>
      <c r="Z379" s="17" t="inlineStr">
        <is>
          <t>오종진</t>
        </is>
      </c>
      <c r="AA379" s="17" t="inlineStr"/>
      <c r="AB379" s="17" t="inlineStr">
        <is>
          <t>052-256-1641</t>
        </is>
      </c>
      <c r="AC379" s="17" t="inlineStr">
        <is>
          <t>미확인</t>
        </is>
      </c>
      <c r="AD379" s="17" t="inlineStr">
        <is>
          <t>Y</t>
        </is>
      </c>
      <c r="AE379" s="17" t="inlineStr">
        <is>
          <t>P422</t>
        </is>
      </c>
      <c r="AF379" s="17" t="inlineStr">
        <is>
          <t>울산광역시 남구 처용로 72</t>
        </is>
      </c>
      <c r="AG379" s="17" t="inlineStr">
        <is>
          <t>완제의약품</t>
        </is>
      </c>
      <c r="AH379" s="17" t="inlineStr">
        <is>
          <t>비무균-일반제제(의료용 고압가스)-가스제(의료용 고압가스)</t>
        </is>
      </c>
      <c r="AI379" s="17" t="n">
        <v>1</v>
      </c>
      <c r="AJ379" s="24" t="n">
        <v>46452</v>
      </c>
      <c r="AK379" s="17" t="inlineStr"/>
      <c r="AL379" s="17" t="inlineStr">
        <is>
          <t>Y</t>
        </is>
      </c>
      <c r="AM379" s="17" t="inlineStr">
        <is>
          <t>기본 GMP 문서관리 대상</t>
        </is>
      </c>
      <c r="AN379" s="17" t="inlineStr">
        <is>
          <t>미확인</t>
        </is>
      </c>
      <c r="AO379" s="17" t="inlineStr">
        <is>
          <t>미확인</t>
        </is>
      </c>
      <c r="AP379" s="17" t="inlineStr">
        <is>
          <t>미확인</t>
        </is>
      </c>
      <c r="AQ379" s="17" t="inlineStr">
        <is>
          <t>담당자 파악 후 접촉</t>
        </is>
      </c>
      <c r="AR379" s="17" t="inlineStr">
        <is>
          <t>2026-07-05</t>
        </is>
      </c>
      <c r="AS379" s="17" t="inlineStr">
        <is>
          <t>C(부분확인)</t>
        </is>
      </c>
      <c r="AT379" s="17" t="n">
        <v>90</v>
      </c>
      <c r="AU379" s="17" t="inlineStr"/>
      <c r="AV379" s="17" t="inlineStr"/>
    </row>
    <row r="380">
      <c r="A380" s="28" t="inlineStr">
        <is>
          <t>Tier D</t>
        </is>
      </c>
      <c r="B380" s="17" t="n">
        <v>8</v>
      </c>
      <c r="C380" s="17" t="inlineStr">
        <is>
          <t>에어젠</t>
        </is>
      </c>
      <c r="D380" s="17" t="inlineStr">
        <is>
          <t>제1공장</t>
        </is>
      </c>
      <c r="E380" s="17" t="inlineStr">
        <is>
          <t>대구광역시</t>
        </is>
      </c>
      <c r="F380" s="17" t="inlineStr">
        <is>
          <t>북구</t>
        </is>
      </c>
      <c r="G380" s="17" t="n">
        <v>1</v>
      </c>
      <c r="H380" s="17" t="inlineStr"/>
      <c r="I380" s="17" t="inlineStr"/>
      <c r="J380" s="17" t="inlineStr">
        <is>
          <t>Y</t>
        </is>
      </c>
      <c r="K380" s="17" t="inlineStr"/>
      <c r="L380" s="22" t="inlineStr">
        <is>
          <t>미확인</t>
        </is>
      </c>
      <c r="M380" s="22" t="inlineStr">
        <is>
          <t>미확인</t>
        </is>
      </c>
      <c r="N380" s="22" t="inlineStr">
        <is>
          <t>미확인</t>
        </is>
      </c>
      <c r="O380" s="22" t="inlineStr">
        <is>
          <t>미확인</t>
        </is>
      </c>
      <c r="P380" s="17" t="inlineStr">
        <is>
          <t>QMS</t>
        </is>
      </c>
      <c r="Q380" s="22" t="inlineStr">
        <is>
          <t>미확인</t>
        </is>
      </c>
      <c r="R380" s="22" t="inlineStr">
        <is>
          <t>미확인</t>
        </is>
      </c>
      <c r="S380" s="17" t="inlineStr">
        <is>
          <t>Tier D</t>
        </is>
      </c>
      <c r="T380" s="17" t="n">
        <v>7</v>
      </c>
      <c r="U380" s="17" t="inlineStr">
        <is>
          <t>C322</t>
        </is>
      </c>
      <c r="V380" s="17" t="inlineStr">
        <is>
          <t>에어젠</t>
        </is>
      </c>
      <c r="W380" s="17" t="inlineStr"/>
      <c r="X380" s="17" t="inlineStr"/>
      <c r="Y380" s="23" t="inlineStr"/>
      <c r="Z380" s="17" t="inlineStr">
        <is>
          <t>김명섭</t>
        </is>
      </c>
      <c r="AA380" s="17" t="inlineStr"/>
      <c r="AB380" s="17" t="inlineStr">
        <is>
          <t>053-424-1312</t>
        </is>
      </c>
      <c r="AC380" s="17" t="inlineStr">
        <is>
          <t>미확인</t>
        </is>
      </c>
      <c r="AD380" s="17" t="inlineStr">
        <is>
          <t>Y</t>
        </is>
      </c>
      <c r="AE380" s="17" t="inlineStr">
        <is>
          <t>P390</t>
        </is>
      </c>
      <c r="AF380" s="17" t="inlineStr">
        <is>
          <t>대구광역시 북구 검단북로2길 18</t>
        </is>
      </c>
      <c r="AG380" s="17" t="inlineStr">
        <is>
          <t>완제의약품</t>
        </is>
      </c>
      <c r="AH380" s="17" t="inlineStr">
        <is>
          <t>비무균-일반제제(의료용 고압가스)-가스제(의료용 고압가스)</t>
        </is>
      </c>
      <c r="AI380" s="17" t="n">
        <v>1</v>
      </c>
      <c r="AJ380" s="24" t="n">
        <v>46514</v>
      </c>
      <c r="AK380" s="17" t="inlineStr"/>
      <c r="AL380" s="17" t="inlineStr">
        <is>
          <t>Y</t>
        </is>
      </c>
      <c r="AM380" s="17" t="inlineStr">
        <is>
          <t>기본 GMP 문서관리 대상</t>
        </is>
      </c>
      <c r="AN380" s="17" t="inlineStr">
        <is>
          <t>미확인</t>
        </is>
      </c>
      <c r="AO380" s="17" t="inlineStr">
        <is>
          <t>미확인</t>
        </is>
      </c>
      <c r="AP380" s="17" t="inlineStr">
        <is>
          <t>미확인</t>
        </is>
      </c>
      <c r="AQ380" s="17" t="inlineStr">
        <is>
          <t>담당자 파악 후 접촉</t>
        </is>
      </c>
      <c r="AR380" s="17" t="inlineStr">
        <is>
          <t>2026-07-05</t>
        </is>
      </c>
      <c r="AS380" s="17" t="inlineStr">
        <is>
          <t>C(부분확인)</t>
        </is>
      </c>
      <c r="AT380" s="17" t="n">
        <v>90</v>
      </c>
      <c r="AU380" s="17" t="inlineStr"/>
      <c r="AV380" s="17" t="inlineStr"/>
    </row>
    <row r="381">
      <c r="A381" s="28" t="inlineStr">
        <is>
          <t>Tier D</t>
        </is>
      </c>
      <c r="B381" s="17" t="n">
        <v>8</v>
      </c>
      <c r="C381" s="17" t="inlineStr">
        <is>
          <t>오스틴제약(주)</t>
        </is>
      </c>
      <c r="D381" s="17" t="inlineStr">
        <is>
          <t>안산</t>
        </is>
      </c>
      <c r="E381" s="17" t="inlineStr">
        <is>
          <t>경기도</t>
        </is>
      </c>
      <c r="F381" s="17" t="inlineStr">
        <is>
          <t>안산시</t>
        </is>
      </c>
      <c r="G381" s="17" t="n">
        <v>1</v>
      </c>
      <c r="H381" s="17" t="inlineStr"/>
      <c r="I381" s="17" t="inlineStr"/>
      <c r="J381" s="17" t="inlineStr">
        <is>
          <t>Y</t>
        </is>
      </c>
      <c r="K381" s="17" t="inlineStr"/>
      <c r="L381" s="22" t="inlineStr">
        <is>
          <t>미확인</t>
        </is>
      </c>
      <c r="M381" s="22" t="inlineStr">
        <is>
          <t>미확인</t>
        </is>
      </c>
      <c r="N381" s="22" t="inlineStr">
        <is>
          <t>미확인</t>
        </is>
      </c>
      <c r="O381" s="22" t="inlineStr">
        <is>
          <t>미확인</t>
        </is>
      </c>
      <c r="P381" s="17" t="inlineStr">
        <is>
          <t>QMS</t>
        </is>
      </c>
      <c r="Q381" s="22" t="inlineStr">
        <is>
          <t>미확인</t>
        </is>
      </c>
      <c r="R381" s="22" t="inlineStr">
        <is>
          <t>미확인</t>
        </is>
      </c>
      <c r="S381" s="17" t="inlineStr">
        <is>
          <t>Tier D</t>
        </is>
      </c>
      <c r="T381" s="17" t="n">
        <v>7</v>
      </c>
      <c r="U381" s="17" t="inlineStr">
        <is>
          <t>C340</t>
        </is>
      </c>
      <c r="V381" s="17" t="inlineStr">
        <is>
          <t>오스틴제약</t>
        </is>
      </c>
      <c r="W381" s="17" t="inlineStr"/>
      <c r="X381" s="17" t="inlineStr"/>
      <c r="Y381" s="23" t="inlineStr"/>
      <c r="Z381" s="17" t="inlineStr">
        <is>
          <t>이승근</t>
        </is>
      </c>
      <c r="AA381" s="17" t="inlineStr"/>
      <c r="AB381" s="17" t="inlineStr">
        <is>
          <t>031-494-9681</t>
        </is>
      </c>
      <c r="AC381" s="17" t="inlineStr">
        <is>
          <t>미확인</t>
        </is>
      </c>
      <c r="AD381" s="17" t="inlineStr">
        <is>
          <t>Y</t>
        </is>
      </c>
      <c r="AE381" s="17" t="inlineStr">
        <is>
          <t>P410</t>
        </is>
      </c>
      <c r="AF381" s="17" t="inlineStr">
        <is>
          <t>경기도 안산시 단원구 성곡로146번길 20</t>
        </is>
      </c>
      <c r="AG381" s="17" t="inlineStr">
        <is>
          <t>완제의약품</t>
        </is>
      </c>
      <c r="AH381" s="17" t="inlineStr">
        <is>
          <t>비무균-일반제제-내용고형제(정제, 캡슐제, 과립제), 비무균-일반제제-연고제(연고제, 크림제, 겔제)</t>
        </is>
      </c>
      <c r="AI381" s="17" t="n">
        <v>1</v>
      </c>
      <c r="AJ381" s="24" t="n">
        <v>46473</v>
      </c>
      <c r="AK381" s="17" t="inlineStr"/>
      <c r="AL381" s="17" t="inlineStr">
        <is>
          <t>Y</t>
        </is>
      </c>
      <c r="AM381" s="17" t="inlineStr">
        <is>
          <t>기본 GMP 문서관리 대상</t>
        </is>
      </c>
      <c r="AN381" s="17" t="inlineStr">
        <is>
          <t>미확인</t>
        </is>
      </c>
      <c r="AO381" s="17" t="inlineStr">
        <is>
          <t>미확인</t>
        </is>
      </c>
      <c r="AP381" s="17" t="inlineStr">
        <is>
          <t>미확인</t>
        </is>
      </c>
      <c r="AQ381" s="17" t="inlineStr">
        <is>
          <t>담당자 파악 후 접촉</t>
        </is>
      </c>
      <c r="AR381" s="17" t="inlineStr">
        <is>
          <t>2026-07-05</t>
        </is>
      </c>
      <c r="AS381" s="17" t="inlineStr">
        <is>
          <t>C(부분확인)</t>
        </is>
      </c>
      <c r="AT381" s="17" t="n">
        <v>90</v>
      </c>
      <c r="AU381" s="17" t="inlineStr"/>
      <c r="AV381" s="17" t="inlineStr"/>
    </row>
    <row r="382">
      <c r="A382" s="28" t="inlineStr">
        <is>
          <t>Tier D</t>
        </is>
      </c>
      <c r="B382" s="17" t="n">
        <v>8</v>
      </c>
      <c r="C382" s="17" t="inlineStr">
        <is>
          <t>유니온산업가스(주)</t>
        </is>
      </c>
      <c r="D382" s="17" t="inlineStr">
        <is>
          <t>미확인</t>
        </is>
      </c>
      <c r="E382" s="17" t="inlineStr">
        <is>
          <t>경기도</t>
        </is>
      </c>
      <c r="F382" s="17" t="inlineStr">
        <is>
          <t>화성시</t>
        </is>
      </c>
      <c r="G382" s="17" t="n">
        <v>1</v>
      </c>
      <c r="H382" s="17" t="inlineStr"/>
      <c r="I382" s="17" t="inlineStr"/>
      <c r="J382" s="17" t="inlineStr">
        <is>
          <t>Y</t>
        </is>
      </c>
      <c r="K382" s="17" t="inlineStr"/>
      <c r="L382" s="22" t="inlineStr">
        <is>
          <t>미확인</t>
        </is>
      </c>
      <c r="M382" s="22" t="inlineStr">
        <is>
          <t>미확인</t>
        </is>
      </c>
      <c r="N382" s="22" t="inlineStr">
        <is>
          <t>미확인</t>
        </is>
      </c>
      <c r="O382" s="22" t="inlineStr">
        <is>
          <t>미확인</t>
        </is>
      </c>
      <c r="P382" s="17" t="inlineStr">
        <is>
          <t>QMS</t>
        </is>
      </c>
      <c r="Q382" s="22" t="inlineStr">
        <is>
          <t>미확인</t>
        </is>
      </c>
      <c r="R382" s="22" t="inlineStr">
        <is>
          <t>미확인</t>
        </is>
      </c>
      <c r="S382" s="17" t="inlineStr">
        <is>
          <t>Tier D</t>
        </is>
      </c>
      <c r="T382" s="17" t="n">
        <v>7</v>
      </c>
      <c r="U382" s="17" t="inlineStr">
        <is>
          <t>C359</t>
        </is>
      </c>
      <c r="V382" s="17" t="inlineStr">
        <is>
          <t>유니온산업가스</t>
        </is>
      </c>
      <c r="W382" s="17" t="inlineStr"/>
      <c r="X382" s="17" t="inlineStr"/>
      <c r="Y382" s="23" t="inlineStr"/>
      <c r="Z382" s="17" t="inlineStr">
        <is>
          <t>하무용</t>
        </is>
      </c>
      <c r="AA382" s="17" t="inlineStr"/>
      <c r="AB382" s="17" t="inlineStr">
        <is>
          <t>미확인</t>
        </is>
      </c>
      <c r="AC382" s="17" t="inlineStr">
        <is>
          <t>미확인</t>
        </is>
      </c>
      <c r="AD382" s="17" t="inlineStr">
        <is>
          <t>Y</t>
        </is>
      </c>
      <c r="AE382" s="17" t="inlineStr">
        <is>
          <t>P435</t>
        </is>
      </c>
      <c r="AF382" s="17" t="inlineStr">
        <is>
          <t>경기도 화성시 정남면 시청로 1732-69</t>
        </is>
      </c>
      <c r="AG382" s="17" t="inlineStr">
        <is>
          <t>완제의약품</t>
        </is>
      </c>
      <c r="AH382" s="17" t="inlineStr">
        <is>
          <t>비무균-일반제제(의료용 고압가스)-가스제(의료용 고압가스)</t>
        </is>
      </c>
      <c r="AI382" s="17" t="n">
        <v>1</v>
      </c>
      <c r="AJ382" s="24" t="n">
        <v>46424</v>
      </c>
      <c r="AK382" s="17" t="inlineStr"/>
      <c r="AL382" s="17" t="inlineStr">
        <is>
          <t>Y</t>
        </is>
      </c>
      <c r="AM382" s="17" t="inlineStr">
        <is>
          <t>기본 GMP 문서관리 대상</t>
        </is>
      </c>
      <c r="AN382" s="17" t="inlineStr">
        <is>
          <t>미확인</t>
        </is>
      </c>
      <c r="AO382" s="17" t="inlineStr">
        <is>
          <t>미확인</t>
        </is>
      </c>
      <c r="AP382" s="17" t="inlineStr">
        <is>
          <t>미확인</t>
        </is>
      </c>
      <c r="AQ382" s="17" t="inlineStr">
        <is>
          <t>담당자 파악 후 접촉</t>
        </is>
      </c>
      <c r="AR382" s="17" t="inlineStr">
        <is>
          <t>2026-07-05</t>
        </is>
      </c>
      <c r="AS382" s="17" t="inlineStr">
        <is>
          <t>C(부분확인)</t>
        </is>
      </c>
      <c r="AT382" s="17" t="n">
        <v>0</v>
      </c>
      <c r="AU382" s="17" t="inlineStr">
        <is>
          <t>Y</t>
        </is>
      </c>
      <c r="AV382" s="17" t="inlineStr"/>
    </row>
    <row r="383">
      <c r="A383" s="28" t="inlineStr">
        <is>
          <t>Tier D</t>
        </is>
      </c>
      <c r="B383" s="17" t="n">
        <v>8</v>
      </c>
      <c r="C383" s="17" t="inlineStr">
        <is>
          <t>이화산업가스주식회사</t>
        </is>
      </c>
      <c r="D383" s="17" t="inlineStr">
        <is>
          <t>제1공장</t>
        </is>
      </c>
      <c r="E383" s="17" t="inlineStr">
        <is>
          <t>인천광역시</t>
        </is>
      </c>
      <c r="F383" s="17" t="inlineStr">
        <is>
          <t>부평구</t>
        </is>
      </c>
      <c r="G383" s="17" t="n">
        <v>1</v>
      </c>
      <c r="H383" s="17" t="inlineStr"/>
      <c r="I383" s="17" t="inlineStr"/>
      <c r="J383" s="17" t="inlineStr">
        <is>
          <t>Y</t>
        </is>
      </c>
      <c r="K383" s="17" t="inlineStr"/>
      <c r="L383" s="22" t="inlineStr">
        <is>
          <t>미확인</t>
        </is>
      </c>
      <c r="M383" s="22" t="inlineStr">
        <is>
          <t>미확인</t>
        </is>
      </c>
      <c r="N383" s="22" t="inlineStr">
        <is>
          <t>미확인</t>
        </is>
      </c>
      <c r="O383" s="22" t="inlineStr">
        <is>
          <t>미확인</t>
        </is>
      </c>
      <c r="P383" s="17" t="inlineStr">
        <is>
          <t>QMS</t>
        </is>
      </c>
      <c r="Q383" s="22" t="inlineStr">
        <is>
          <t>미확인</t>
        </is>
      </c>
      <c r="R383" s="22" t="inlineStr">
        <is>
          <t>미확인</t>
        </is>
      </c>
      <c r="S383" s="17" t="inlineStr">
        <is>
          <t>Tier D</t>
        </is>
      </c>
      <c r="T383" s="17" t="n">
        <v>7</v>
      </c>
      <c r="U383" s="17" t="inlineStr">
        <is>
          <t>C323</t>
        </is>
      </c>
      <c r="V383" s="17" t="inlineStr">
        <is>
          <t>이화산업가스</t>
        </is>
      </c>
      <c r="W383" s="17" t="inlineStr"/>
      <c r="X383" s="17" t="inlineStr"/>
      <c r="Y383" s="23" t="inlineStr"/>
      <c r="Z383" s="17" t="inlineStr">
        <is>
          <t>박상형</t>
        </is>
      </c>
      <c r="AA383" s="17" t="inlineStr"/>
      <c r="AB383" s="17" t="inlineStr">
        <is>
          <t>032-578-2345</t>
        </is>
      </c>
      <c r="AC383" s="17" t="inlineStr">
        <is>
          <t>미확인</t>
        </is>
      </c>
      <c r="AD383" s="17" t="inlineStr">
        <is>
          <t>Y</t>
        </is>
      </c>
      <c r="AE383" s="17" t="inlineStr">
        <is>
          <t>P391</t>
        </is>
      </c>
      <c r="AF383" s="17" t="inlineStr">
        <is>
          <t>인천광역시 부평구 백범로578번길 32 (십정동)</t>
        </is>
      </c>
      <c r="AG383" s="17" t="inlineStr">
        <is>
          <t>완제의약품</t>
        </is>
      </c>
      <c r="AH383" s="17" t="inlineStr">
        <is>
          <t>비무균-일반제제(의료용 고압가스)-가스제(의료용 고압가스)</t>
        </is>
      </c>
      <c r="AI383" s="17" t="n">
        <v>1</v>
      </c>
      <c r="AJ383" s="24" t="n">
        <v>46502</v>
      </c>
      <c r="AK383" s="17" t="inlineStr"/>
      <c r="AL383" s="17" t="inlineStr">
        <is>
          <t>Y</t>
        </is>
      </c>
      <c r="AM383" s="17" t="inlineStr">
        <is>
          <t>기본 GMP 문서관리 대상</t>
        </is>
      </c>
      <c r="AN383" s="17" t="inlineStr">
        <is>
          <t>미확인</t>
        </is>
      </c>
      <c r="AO383" s="17" t="inlineStr">
        <is>
          <t>미확인</t>
        </is>
      </c>
      <c r="AP383" s="17" t="inlineStr">
        <is>
          <t>미확인</t>
        </is>
      </c>
      <c r="AQ383" s="17" t="inlineStr">
        <is>
          <t>담당자 파악 후 접촉</t>
        </is>
      </c>
      <c r="AR383" s="17" t="inlineStr">
        <is>
          <t>2026-07-05</t>
        </is>
      </c>
      <c r="AS383" s="17" t="inlineStr">
        <is>
          <t>C(부분확인)</t>
        </is>
      </c>
      <c r="AT383" s="17" t="n">
        <v>90</v>
      </c>
      <c r="AU383" s="17" t="inlineStr"/>
      <c r="AV383" s="17" t="inlineStr"/>
    </row>
    <row r="384">
      <c r="A384" s="28" t="inlineStr">
        <is>
          <t>Tier D</t>
        </is>
      </c>
      <c r="B384" s="17" t="n">
        <v>8</v>
      </c>
      <c r="C384" s="17" t="inlineStr">
        <is>
          <t>일양바이오팜(주)</t>
        </is>
      </c>
      <c r="D384" s="17" t="inlineStr">
        <is>
          <t>의약품</t>
        </is>
      </c>
      <c r="E384" s="17" t="inlineStr">
        <is>
          <t>충청북도</t>
        </is>
      </c>
      <c r="F384" s="17" t="inlineStr">
        <is>
          <t>제천시</t>
        </is>
      </c>
      <c r="G384" s="17" t="n">
        <v>1</v>
      </c>
      <c r="H384" s="17" t="inlineStr"/>
      <c r="I384" s="17" t="inlineStr"/>
      <c r="J384" s="17" t="inlineStr">
        <is>
          <t>Y</t>
        </is>
      </c>
      <c r="K384" s="17" t="inlineStr"/>
      <c r="L384" s="22" t="inlineStr">
        <is>
          <t>미확인</t>
        </is>
      </c>
      <c r="M384" s="22" t="inlineStr">
        <is>
          <t>미확인</t>
        </is>
      </c>
      <c r="N384" s="22" t="inlineStr">
        <is>
          <t>미확인</t>
        </is>
      </c>
      <c r="O384" s="22" t="inlineStr">
        <is>
          <t>미확인</t>
        </is>
      </c>
      <c r="P384" s="17" t="inlineStr">
        <is>
          <t>QMS</t>
        </is>
      </c>
      <c r="Q384" s="22" t="inlineStr">
        <is>
          <t>미확인</t>
        </is>
      </c>
      <c r="R384" s="22" t="inlineStr">
        <is>
          <t>미확인</t>
        </is>
      </c>
      <c r="S384" s="17" t="inlineStr">
        <is>
          <t>Tier D</t>
        </is>
      </c>
      <c r="T384" s="17" t="n">
        <v>7</v>
      </c>
      <c r="U384" s="17" t="inlineStr">
        <is>
          <t>C324</t>
        </is>
      </c>
      <c r="V384" s="17" t="inlineStr">
        <is>
          <t>일양바이오팜</t>
        </is>
      </c>
      <c r="W384" s="17" t="inlineStr"/>
      <c r="X384" s="17" t="inlineStr"/>
      <c r="Y384" s="23" t="inlineStr"/>
      <c r="Z384" s="17" t="inlineStr">
        <is>
          <t>정희석</t>
        </is>
      </c>
      <c r="AA384" s="17" t="inlineStr"/>
      <c r="AB384" s="17" t="inlineStr">
        <is>
          <t>02-570-3972</t>
        </is>
      </c>
      <c r="AC384" s="17" t="inlineStr">
        <is>
          <t>미확인</t>
        </is>
      </c>
      <c r="AD384" s="17" t="inlineStr">
        <is>
          <t>Y</t>
        </is>
      </c>
      <c r="AE384" s="17" t="inlineStr">
        <is>
          <t>P392</t>
        </is>
      </c>
      <c r="AF384" s="17" t="inlineStr">
        <is>
          <t>충청북도 제천시 바이오밸리3로 8</t>
        </is>
      </c>
      <c r="AG384" s="17" t="inlineStr">
        <is>
          <t>완제의약품</t>
        </is>
      </c>
      <c r="AH384" s="17" t="inlineStr">
        <is>
          <t>비무균-일반제제-내용고형제(정제, 캡슐제)</t>
        </is>
      </c>
      <c r="AI384" s="17" t="n">
        <v>1</v>
      </c>
      <c r="AJ384" s="24" t="n">
        <v>46501</v>
      </c>
      <c r="AK384" s="17" t="inlineStr"/>
      <c r="AL384" s="17" t="inlineStr">
        <is>
          <t>Y</t>
        </is>
      </c>
      <c r="AM384" s="17" t="inlineStr">
        <is>
          <t>기본 GMP 문서관리 대상</t>
        </is>
      </c>
      <c r="AN384" s="17" t="inlineStr">
        <is>
          <t>미확인</t>
        </is>
      </c>
      <c r="AO384" s="17" t="inlineStr">
        <is>
          <t>미확인</t>
        </is>
      </c>
      <c r="AP384" s="17" t="inlineStr">
        <is>
          <t>미확인</t>
        </is>
      </c>
      <c r="AQ384" s="17" t="inlineStr">
        <is>
          <t>담당자 파악 후 접촉</t>
        </is>
      </c>
      <c r="AR384" s="17" t="inlineStr">
        <is>
          <t>2026-07-05</t>
        </is>
      </c>
      <c r="AS384" s="17" t="inlineStr">
        <is>
          <t>C(부분확인)</t>
        </is>
      </c>
      <c r="AT384" s="17" t="n">
        <v>90</v>
      </c>
      <c r="AU384" s="17" t="inlineStr"/>
      <c r="AV384" s="17" t="inlineStr"/>
    </row>
    <row r="385">
      <c r="A385" s="28" t="inlineStr">
        <is>
          <t>Tier D</t>
        </is>
      </c>
      <c r="B385" s="17" t="n">
        <v>8</v>
      </c>
      <c r="C385" s="17" t="inlineStr">
        <is>
          <t>주식회사 밸리</t>
        </is>
      </c>
      <c r="D385" s="17" t="inlineStr">
        <is>
          <t>보관소</t>
        </is>
      </c>
      <c r="E385" s="17" t="inlineStr">
        <is>
          <t>대구광역시</t>
        </is>
      </c>
      <c r="F385" s="17" t="inlineStr">
        <is>
          <t>수성구</t>
        </is>
      </c>
      <c r="G385" s="17" t="n">
        <v>1</v>
      </c>
      <c r="H385" s="17" t="inlineStr"/>
      <c r="I385" s="17" t="inlineStr"/>
      <c r="J385" s="17" t="inlineStr">
        <is>
          <t>Y</t>
        </is>
      </c>
      <c r="K385" s="17" t="inlineStr"/>
      <c r="L385" s="22" t="inlineStr">
        <is>
          <t>미확인</t>
        </is>
      </c>
      <c r="M385" s="22" t="inlineStr">
        <is>
          <t>미확인</t>
        </is>
      </c>
      <c r="N385" s="22" t="inlineStr">
        <is>
          <t>미확인</t>
        </is>
      </c>
      <c r="O385" s="22" t="inlineStr">
        <is>
          <t>미확인</t>
        </is>
      </c>
      <c r="P385" s="17" t="inlineStr">
        <is>
          <t>QMS</t>
        </is>
      </c>
      <c r="Q385" s="22" t="inlineStr">
        <is>
          <t>미확인</t>
        </is>
      </c>
      <c r="R385" s="22" t="inlineStr">
        <is>
          <t>미확인</t>
        </is>
      </c>
      <c r="S385" s="17" t="inlineStr">
        <is>
          <t>Tier D</t>
        </is>
      </c>
      <c r="T385" s="17" t="n">
        <v>7</v>
      </c>
      <c r="U385" s="17" t="inlineStr">
        <is>
          <t>C331</t>
        </is>
      </c>
      <c r="V385" s="17" t="inlineStr">
        <is>
          <t>밸리</t>
        </is>
      </c>
      <c r="W385" s="17" t="inlineStr"/>
      <c r="X385" s="17" t="inlineStr"/>
      <c r="Y385" s="23" t="inlineStr"/>
      <c r="Z385" s="17" t="inlineStr">
        <is>
          <t>황동영</t>
        </is>
      </c>
      <c r="AA385" s="17" t="inlineStr"/>
      <c r="AB385" s="17" t="inlineStr">
        <is>
          <t>1566-2723</t>
        </is>
      </c>
      <c r="AC385" s="17" t="inlineStr">
        <is>
          <t>미확인</t>
        </is>
      </c>
      <c r="AD385" s="17" t="inlineStr">
        <is>
          <t>Y</t>
        </is>
      </c>
      <c r="AE385" s="17" t="inlineStr">
        <is>
          <t>P399</t>
        </is>
      </c>
      <c r="AF385" s="17" t="inlineStr">
        <is>
          <t>대구광역시 수성구 파동로32길 16</t>
        </is>
      </c>
      <c r="AG385" s="17" t="inlineStr">
        <is>
          <t>완제의약품</t>
        </is>
      </c>
      <c r="AH385" s="17" t="inlineStr">
        <is>
          <t>비무균-일반제제-외용액제(외용액제)</t>
        </is>
      </c>
      <c r="AI385" s="17" t="n">
        <v>1</v>
      </c>
      <c r="AJ385" s="24" t="n">
        <v>46493</v>
      </c>
      <c r="AK385" s="17" t="inlineStr"/>
      <c r="AL385" s="17" t="inlineStr">
        <is>
          <t>Y</t>
        </is>
      </c>
      <c r="AM385" s="17" t="inlineStr">
        <is>
          <t>기본 GMP 문서관리 대상</t>
        </is>
      </c>
      <c r="AN385" s="17" t="inlineStr">
        <is>
          <t>미확인</t>
        </is>
      </c>
      <c r="AO385" s="17" t="inlineStr">
        <is>
          <t>미확인</t>
        </is>
      </c>
      <c r="AP385" s="17" t="inlineStr">
        <is>
          <t>미확인</t>
        </is>
      </c>
      <c r="AQ385" s="17" t="inlineStr">
        <is>
          <t>담당자 파악 후 접촉</t>
        </is>
      </c>
      <c r="AR385" s="17" t="inlineStr">
        <is>
          <t>2026-07-05</t>
        </is>
      </c>
      <c r="AS385" s="17" t="inlineStr">
        <is>
          <t>C(부분확인)</t>
        </is>
      </c>
      <c r="AT385" s="17" t="n">
        <v>90</v>
      </c>
      <c r="AU385" s="17" t="inlineStr"/>
      <c r="AV385" s="17" t="inlineStr"/>
    </row>
    <row r="386">
      <c r="A386" s="28" t="inlineStr">
        <is>
          <t>Tier D</t>
        </is>
      </c>
      <c r="B386" s="17" t="n">
        <v>8</v>
      </c>
      <c r="C386" s="17" t="inlineStr">
        <is>
          <t>주식회사 코리아에어텍</t>
        </is>
      </c>
      <c r="D386" s="17" t="inlineStr">
        <is>
          <t>코리아에어텍온산공장</t>
        </is>
      </c>
      <c r="E386" s="17" t="inlineStr">
        <is>
          <t>울산광역시</t>
        </is>
      </c>
      <c r="F386" s="17" t="inlineStr">
        <is>
          <t>울주군</t>
        </is>
      </c>
      <c r="G386" s="17" t="n">
        <v>1</v>
      </c>
      <c r="H386" s="17" t="inlineStr"/>
      <c r="I386" s="17" t="inlineStr"/>
      <c r="J386" s="17" t="inlineStr">
        <is>
          <t>Y</t>
        </is>
      </c>
      <c r="K386" s="17" t="inlineStr"/>
      <c r="L386" s="22" t="inlineStr">
        <is>
          <t>미확인</t>
        </is>
      </c>
      <c r="M386" s="22" t="inlineStr">
        <is>
          <t>미확인</t>
        </is>
      </c>
      <c r="N386" s="22" t="inlineStr">
        <is>
          <t>미확인</t>
        </is>
      </c>
      <c r="O386" s="22" t="inlineStr">
        <is>
          <t>미확인</t>
        </is>
      </c>
      <c r="P386" s="17" t="inlineStr">
        <is>
          <t>QMS</t>
        </is>
      </c>
      <c r="Q386" s="22" t="inlineStr">
        <is>
          <t>미확인</t>
        </is>
      </c>
      <c r="R386" s="22" t="inlineStr">
        <is>
          <t>미확인</t>
        </is>
      </c>
      <c r="S386" s="17" t="inlineStr">
        <is>
          <t>Tier D</t>
        </is>
      </c>
      <c r="T386" s="17" t="n">
        <v>7</v>
      </c>
      <c r="U386" s="17" t="inlineStr">
        <is>
          <t>C356</t>
        </is>
      </c>
      <c r="V386" s="17" t="inlineStr">
        <is>
          <t>코리아에어텍</t>
        </is>
      </c>
      <c r="W386" s="17" t="inlineStr"/>
      <c r="X386" s="17" t="inlineStr"/>
      <c r="Y386" s="23" t="inlineStr"/>
      <c r="Z386" s="17" t="inlineStr">
        <is>
          <t>채상수</t>
        </is>
      </c>
      <c r="AA386" s="17" t="inlineStr"/>
      <c r="AB386" s="17" t="inlineStr">
        <is>
          <t>052-278-6782</t>
        </is>
      </c>
      <c r="AC386" s="17" t="inlineStr">
        <is>
          <t>미확인</t>
        </is>
      </c>
      <c r="AD386" s="17" t="inlineStr">
        <is>
          <t>Y</t>
        </is>
      </c>
      <c r="AE386" s="17" t="inlineStr">
        <is>
          <t>P431</t>
        </is>
      </c>
      <c r="AF386" s="17" t="inlineStr">
        <is>
          <t>울산광역시 울주군 온산읍 온산로 134</t>
        </is>
      </c>
      <c r="AG386" s="17" t="inlineStr">
        <is>
          <t>완제의약품</t>
        </is>
      </c>
      <c r="AH386" s="17" t="inlineStr">
        <is>
          <t>비무균-일반제제(의료용 고압가스)-가스제(의료용 고압가스)</t>
        </is>
      </c>
      <c r="AI386" s="17" t="n">
        <v>1</v>
      </c>
      <c r="AJ386" s="24" t="n">
        <v>46425</v>
      </c>
      <c r="AK386" s="17" t="inlineStr"/>
      <c r="AL386" s="17" t="inlineStr">
        <is>
          <t>Y</t>
        </is>
      </c>
      <c r="AM386" s="17" t="inlineStr">
        <is>
          <t>기본 GMP 문서관리 대상</t>
        </is>
      </c>
      <c r="AN386" s="17" t="inlineStr">
        <is>
          <t>미확인</t>
        </is>
      </c>
      <c r="AO386" s="17" t="inlineStr">
        <is>
          <t>미확인</t>
        </is>
      </c>
      <c r="AP386" s="17" t="inlineStr">
        <is>
          <t>미확인</t>
        </is>
      </c>
      <c r="AQ386" s="17" t="inlineStr">
        <is>
          <t>담당자 파악 후 접촉</t>
        </is>
      </c>
      <c r="AR386" s="17" t="inlineStr">
        <is>
          <t>2026-07-05</t>
        </is>
      </c>
      <c r="AS386" s="17" t="inlineStr">
        <is>
          <t>C(부분확인)</t>
        </is>
      </c>
      <c r="AT386" s="17" t="n">
        <v>90</v>
      </c>
      <c r="AU386" s="17" t="inlineStr"/>
      <c r="AV386" s="17" t="inlineStr"/>
    </row>
    <row r="387">
      <c r="A387" s="28" t="inlineStr">
        <is>
          <t>Tier D</t>
        </is>
      </c>
      <c r="B387" s="17" t="n">
        <v>8</v>
      </c>
      <c r="C387" s="17" t="inlineStr">
        <is>
          <t>주식회사군포가스</t>
        </is>
      </c>
      <c r="D387" s="17" t="inlineStr">
        <is>
          <t>공장</t>
        </is>
      </c>
      <c r="E387" s="17" t="inlineStr">
        <is>
          <t>경기도</t>
        </is>
      </c>
      <c r="F387" s="17" t="inlineStr">
        <is>
          <t>군포시</t>
        </is>
      </c>
      <c r="G387" s="17" t="n">
        <v>1</v>
      </c>
      <c r="H387" s="17" t="inlineStr"/>
      <c r="I387" s="17" t="inlineStr"/>
      <c r="J387" s="17" t="inlineStr">
        <is>
          <t>Y</t>
        </is>
      </c>
      <c r="K387" s="17" t="inlineStr"/>
      <c r="L387" s="22" t="inlineStr">
        <is>
          <t>미확인</t>
        </is>
      </c>
      <c r="M387" s="22" t="inlineStr">
        <is>
          <t>미확인</t>
        </is>
      </c>
      <c r="N387" s="22" t="inlineStr">
        <is>
          <t>미확인</t>
        </is>
      </c>
      <c r="O387" s="22" t="inlineStr">
        <is>
          <t>미확인</t>
        </is>
      </c>
      <c r="P387" s="17" t="inlineStr">
        <is>
          <t>QMS</t>
        </is>
      </c>
      <c r="Q387" s="22" t="inlineStr">
        <is>
          <t>미확인</t>
        </is>
      </c>
      <c r="R387" s="22" t="inlineStr">
        <is>
          <t>미확인</t>
        </is>
      </c>
      <c r="S387" s="17" t="inlineStr">
        <is>
          <t>Tier D</t>
        </is>
      </c>
      <c r="T387" s="17" t="n">
        <v>7</v>
      </c>
      <c r="U387" s="17" t="inlineStr">
        <is>
          <t>C297</t>
        </is>
      </c>
      <c r="V387" s="17" t="inlineStr">
        <is>
          <t>군포가스</t>
        </is>
      </c>
      <c r="W387" s="17" t="inlineStr"/>
      <c r="X387" s="17" t="inlineStr"/>
      <c r="Y387" s="23" t="inlineStr"/>
      <c r="Z387" s="17" t="inlineStr">
        <is>
          <t>손승국, 전유경</t>
        </is>
      </c>
      <c r="AA387" s="17" t="inlineStr"/>
      <c r="AB387" s="17" t="inlineStr">
        <is>
          <t>031-454-4001</t>
        </is>
      </c>
      <c r="AC387" s="17" t="inlineStr">
        <is>
          <t>미확인</t>
        </is>
      </c>
      <c r="AD387" s="17" t="inlineStr">
        <is>
          <t>Y</t>
        </is>
      </c>
      <c r="AE387" s="17" t="inlineStr">
        <is>
          <t>P358</t>
        </is>
      </c>
      <c r="AF387" s="17" t="inlineStr">
        <is>
          <t>경기도 군포시 산본로86번길 41 (당정동)</t>
        </is>
      </c>
      <c r="AG387" s="17" t="inlineStr">
        <is>
          <t>완제의약품</t>
        </is>
      </c>
      <c r="AH387" s="17" t="inlineStr">
        <is>
          <t>비무균-일반제제(의료용 고압가스)-가스제(의료용 고압가스)</t>
        </is>
      </c>
      <c r="AI387" s="17" t="n">
        <v>1</v>
      </c>
      <c r="AJ387" s="24" t="n">
        <v>46572</v>
      </c>
      <c r="AK387" s="17" t="inlineStr"/>
      <c r="AL387" s="17" t="inlineStr">
        <is>
          <t>Y</t>
        </is>
      </c>
      <c r="AM387" s="17" t="inlineStr">
        <is>
          <t>기본 GMP 문서관리 대상</t>
        </is>
      </c>
      <c r="AN387" s="17" t="inlineStr">
        <is>
          <t>미확인</t>
        </is>
      </c>
      <c r="AO387" s="17" t="inlineStr">
        <is>
          <t>미확인</t>
        </is>
      </c>
      <c r="AP387" s="17" t="inlineStr">
        <is>
          <t>미확인</t>
        </is>
      </c>
      <c r="AQ387" s="17" t="inlineStr">
        <is>
          <t>담당자 파악 후 접촉</t>
        </is>
      </c>
      <c r="AR387" s="17" t="inlineStr">
        <is>
          <t>2026-07-05</t>
        </is>
      </c>
      <c r="AS387" s="17" t="inlineStr">
        <is>
          <t>C(부분확인)</t>
        </is>
      </c>
      <c r="AT387" s="17" t="n">
        <v>90</v>
      </c>
      <c r="AU387" s="17" t="inlineStr"/>
      <c r="AV387" s="17" t="inlineStr"/>
    </row>
    <row r="388">
      <c r="A388" s="28" t="inlineStr">
        <is>
          <t>Tier D</t>
        </is>
      </c>
      <c r="B388" s="17" t="n">
        <v>8</v>
      </c>
      <c r="C388" s="17" t="inlineStr">
        <is>
          <t>지엘파마(주)</t>
        </is>
      </c>
      <c r="D388" s="17" t="inlineStr">
        <is>
          <t>안양</t>
        </is>
      </c>
      <c r="E388" s="17" t="inlineStr">
        <is>
          <t>경기도</t>
        </is>
      </c>
      <c r="F388" s="17" t="inlineStr">
        <is>
          <t>안양시</t>
        </is>
      </c>
      <c r="G388" s="17" t="n">
        <v>1</v>
      </c>
      <c r="H388" s="17" t="inlineStr"/>
      <c r="I388" s="17" t="inlineStr"/>
      <c r="J388" s="17" t="inlineStr">
        <is>
          <t>Y</t>
        </is>
      </c>
      <c r="K388" s="17" t="inlineStr"/>
      <c r="L388" s="22" t="inlineStr">
        <is>
          <t>미확인</t>
        </is>
      </c>
      <c r="M388" s="22" t="inlineStr">
        <is>
          <t>미확인</t>
        </is>
      </c>
      <c r="N388" s="22" t="inlineStr">
        <is>
          <t>미확인</t>
        </is>
      </c>
      <c r="O388" s="22" t="inlineStr">
        <is>
          <t>미확인</t>
        </is>
      </c>
      <c r="P388" s="17" t="inlineStr">
        <is>
          <t>QMS</t>
        </is>
      </c>
      <c r="Q388" s="22" t="inlineStr">
        <is>
          <t>미확인</t>
        </is>
      </c>
      <c r="R388" s="22" t="inlineStr">
        <is>
          <t>미확인</t>
        </is>
      </c>
      <c r="S388" s="17" t="inlineStr">
        <is>
          <t>Tier D</t>
        </is>
      </c>
      <c r="T388" s="17" t="n">
        <v>7</v>
      </c>
      <c r="U388" s="17" t="inlineStr">
        <is>
          <t>C352</t>
        </is>
      </c>
      <c r="V388" s="17" t="inlineStr">
        <is>
          <t>지엘파마</t>
        </is>
      </c>
      <c r="W388" s="17" t="inlineStr"/>
      <c r="X388" s="17" t="inlineStr"/>
      <c r="Y388" s="23" t="inlineStr"/>
      <c r="Z388" s="17" t="inlineStr">
        <is>
          <t>진성필</t>
        </is>
      </c>
      <c r="AA388" s="17" t="inlineStr"/>
      <c r="AB388" s="17" t="inlineStr">
        <is>
          <t>031-4433-9212</t>
        </is>
      </c>
      <c r="AC388" s="17" t="inlineStr">
        <is>
          <t>미확인</t>
        </is>
      </c>
      <c r="AD388" s="17" t="inlineStr">
        <is>
          <t>Y</t>
        </is>
      </c>
      <c r="AE388" s="17" t="inlineStr">
        <is>
          <t>P425</t>
        </is>
      </c>
      <c r="AF388" s="17" t="inlineStr">
        <is>
          <t>경기도 안양시 만안구 시민대로 35</t>
        </is>
      </c>
      <c r="AG388" s="17" t="inlineStr">
        <is>
          <t>완제의약품</t>
        </is>
      </c>
      <c r="AH388" s="17" t="inlineStr">
        <is>
          <t>비무균-일반제제-내용고형제(정제, 캡슐제, 과립제), 비무균-성호르몬제-내용고형제(정제)</t>
        </is>
      </c>
      <c r="AI388" s="17" t="n">
        <v>1</v>
      </c>
      <c r="AJ388" s="24" t="n">
        <v>46445</v>
      </c>
      <c r="AK388" s="17" t="inlineStr"/>
      <c r="AL388" s="17" t="inlineStr">
        <is>
          <t>Y</t>
        </is>
      </c>
      <c r="AM388" s="17" t="inlineStr">
        <is>
          <t>기본 GMP 문서관리 대상</t>
        </is>
      </c>
      <c r="AN388" s="17" t="inlineStr">
        <is>
          <t>미확인</t>
        </is>
      </c>
      <c r="AO388" s="17" t="inlineStr">
        <is>
          <t>미확인</t>
        </is>
      </c>
      <c r="AP388" s="17" t="inlineStr">
        <is>
          <t>미확인</t>
        </is>
      </c>
      <c r="AQ388" s="17" t="inlineStr">
        <is>
          <t>담당자 파악 후 접촉</t>
        </is>
      </c>
      <c r="AR388" s="17" t="inlineStr">
        <is>
          <t>2026-07-05</t>
        </is>
      </c>
      <c r="AS388" s="17" t="inlineStr">
        <is>
          <t>C(부분확인)</t>
        </is>
      </c>
      <c r="AT388" s="17" t="n">
        <v>90</v>
      </c>
      <c r="AU388" s="17" t="inlineStr"/>
      <c r="AV388" s="17" t="inlineStr"/>
    </row>
    <row r="389">
      <c r="A389" s="28" t="inlineStr">
        <is>
          <t>Tier D</t>
        </is>
      </c>
      <c r="B389" s="17" t="n">
        <v>8</v>
      </c>
      <c r="C389" s="17" t="inlineStr">
        <is>
          <t>코오롱제약(주)</t>
        </is>
      </c>
      <c r="D389" s="17" t="inlineStr">
        <is>
          <t>대전</t>
        </is>
      </c>
      <c r="E389" s="17" t="inlineStr">
        <is>
          <t>대전광역시</t>
        </is>
      </c>
      <c r="F389" s="17" t="inlineStr">
        <is>
          <t>대덕구</t>
        </is>
      </c>
      <c r="G389" s="17" t="n">
        <v>1</v>
      </c>
      <c r="H389" s="17" t="inlineStr"/>
      <c r="I389" s="17" t="inlineStr"/>
      <c r="J389" s="17" t="inlineStr">
        <is>
          <t>Y</t>
        </is>
      </c>
      <c r="K389" s="17" t="inlineStr"/>
      <c r="L389" s="22" t="inlineStr">
        <is>
          <t>미확인</t>
        </is>
      </c>
      <c r="M389" s="22" t="inlineStr">
        <is>
          <t>미확인</t>
        </is>
      </c>
      <c r="N389" s="22" t="inlineStr">
        <is>
          <t>미확인</t>
        </is>
      </c>
      <c r="O389" s="22" t="inlineStr">
        <is>
          <t>미확인</t>
        </is>
      </c>
      <c r="P389" s="17" t="inlineStr">
        <is>
          <t>QMS</t>
        </is>
      </c>
      <c r="Q389" s="22" t="inlineStr">
        <is>
          <t>미확인</t>
        </is>
      </c>
      <c r="R389" s="22" t="inlineStr">
        <is>
          <t>미확인</t>
        </is>
      </c>
      <c r="S389" s="17" t="inlineStr">
        <is>
          <t>Tier D</t>
        </is>
      </c>
      <c r="T389" s="17" t="n">
        <v>7</v>
      </c>
      <c r="U389" s="17" t="inlineStr">
        <is>
          <t>C351</t>
        </is>
      </c>
      <c r="V389" s="17" t="inlineStr">
        <is>
          <t>코오롱제약</t>
        </is>
      </c>
      <c r="W389" s="17" t="inlineStr"/>
      <c r="X389" s="17" t="inlineStr"/>
      <c r="Y389" s="23" t="inlineStr"/>
      <c r="Z389" s="17" t="inlineStr">
        <is>
          <t>전승호</t>
        </is>
      </c>
      <c r="AA389" s="17" t="inlineStr"/>
      <c r="AB389" s="17" t="inlineStr">
        <is>
          <t>042-930-5710</t>
        </is>
      </c>
      <c r="AC389" s="17" t="inlineStr">
        <is>
          <t>미확인</t>
        </is>
      </c>
      <c r="AD389" s="17" t="inlineStr">
        <is>
          <t>Y</t>
        </is>
      </c>
      <c r="AE389" s="17" t="inlineStr">
        <is>
          <t>P424</t>
        </is>
      </c>
      <c r="AF389" s="17" t="inlineStr">
        <is>
          <t>대전광역시 대덕구 문평서로18번길 45</t>
        </is>
      </c>
      <c r="AG389" s="17" t="inlineStr">
        <is>
          <t>완제의약품</t>
        </is>
      </c>
      <c r="AH389" s="17" t="inlineStr">
        <is>
          <t>비무균-일반제제-내용고형제(정제, 캡슐제, 과립제, 시럽제(고형)), 비무균-일반제제-내용액제(시럽제(액상), 현탁제)</t>
        </is>
      </c>
      <c r="AI389" s="17" t="n">
        <v>1</v>
      </c>
      <c r="AJ389" s="24" t="n">
        <v>46446</v>
      </c>
      <c r="AK389" s="17" t="inlineStr"/>
      <c r="AL389" s="17" t="inlineStr">
        <is>
          <t>Y</t>
        </is>
      </c>
      <c r="AM389" s="17" t="inlineStr">
        <is>
          <t>기본 GMP 문서관리 대상</t>
        </is>
      </c>
      <c r="AN389" s="17" t="inlineStr">
        <is>
          <t>미확인</t>
        </is>
      </c>
      <c r="AO389" s="17" t="inlineStr">
        <is>
          <t>미확인</t>
        </is>
      </c>
      <c r="AP389" s="17" t="inlineStr">
        <is>
          <t>미확인</t>
        </is>
      </c>
      <c r="AQ389" s="17" t="inlineStr">
        <is>
          <t>담당자 파악 후 접촉</t>
        </is>
      </c>
      <c r="AR389" s="17" t="inlineStr">
        <is>
          <t>2026-07-05</t>
        </is>
      </c>
      <c r="AS389" s="17" t="inlineStr">
        <is>
          <t>C(부분확인)</t>
        </is>
      </c>
      <c r="AT389" s="17" t="n">
        <v>90</v>
      </c>
      <c r="AU389" s="17" t="inlineStr"/>
      <c r="AV389" s="17" t="inlineStr"/>
    </row>
    <row r="390">
      <c r="A390" s="28" t="inlineStr">
        <is>
          <t>Tier D</t>
        </is>
      </c>
      <c r="B390" s="17" t="n">
        <v>8</v>
      </c>
      <c r="C390" s="17" t="inlineStr">
        <is>
          <t>큐앤큐팜(주)</t>
        </is>
      </c>
      <c r="D390" s="17" t="inlineStr">
        <is>
          <t>세종</t>
        </is>
      </c>
      <c r="E390" s="17" t="inlineStr">
        <is>
          <t>세종특별자치시</t>
        </is>
      </c>
      <c r="F390" s="17" t="inlineStr">
        <is>
          <t>세종특별자치시</t>
        </is>
      </c>
      <c r="G390" s="17" t="n">
        <v>1</v>
      </c>
      <c r="H390" s="17" t="inlineStr"/>
      <c r="I390" s="17" t="inlineStr"/>
      <c r="J390" s="17" t="inlineStr">
        <is>
          <t>Y</t>
        </is>
      </c>
      <c r="K390" s="17" t="inlineStr"/>
      <c r="L390" s="22" t="inlineStr">
        <is>
          <t>미확인</t>
        </is>
      </c>
      <c r="M390" s="22" t="inlineStr">
        <is>
          <t>미확인</t>
        </is>
      </c>
      <c r="N390" s="22" t="inlineStr">
        <is>
          <t>미확인</t>
        </is>
      </c>
      <c r="O390" s="22" t="inlineStr">
        <is>
          <t>미확인</t>
        </is>
      </c>
      <c r="P390" s="17" t="inlineStr">
        <is>
          <t>QMS</t>
        </is>
      </c>
      <c r="Q390" s="22" t="inlineStr">
        <is>
          <t>미확인</t>
        </is>
      </c>
      <c r="R390" s="22" t="inlineStr">
        <is>
          <t>미확인</t>
        </is>
      </c>
      <c r="S390" s="17" t="inlineStr">
        <is>
          <t>Tier D</t>
        </is>
      </c>
      <c r="T390" s="17" t="n">
        <v>7</v>
      </c>
      <c r="U390" s="17" t="inlineStr">
        <is>
          <t>C320</t>
        </is>
      </c>
      <c r="V390" s="17" t="inlineStr">
        <is>
          <t>큐앤큐팜</t>
        </is>
      </c>
      <c r="W390" s="17" t="inlineStr"/>
      <c r="X390" s="17" t="inlineStr"/>
      <c r="Y390" s="23" t="inlineStr"/>
      <c r="Z390" s="17" t="inlineStr">
        <is>
          <t>정운진</t>
        </is>
      </c>
      <c r="AA390" s="17" t="inlineStr"/>
      <c r="AB390" s="17" t="inlineStr">
        <is>
          <t>044-867-6400</t>
        </is>
      </c>
      <c r="AC390" s="17" t="inlineStr">
        <is>
          <t>미확인</t>
        </is>
      </c>
      <c r="AD390" s="17" t="inlineStr">
        <is>
          <t>Y</t>
        </is>
      </c>
      <c r="AE390" s="17" t="inlineStr">
        <is>
          <t>P388</t>
        </is>
      </c>
      <c r="AF390" s="17" t="inlineStr">
        <is>
          <t>세종특별자치시 전의면 양지편길 19-11</t>
        </is>
      </c>
      <c r="AG390" s="17" t="inlineStr">
        <is>
          <t>완제의약품</t>
        </is>
      </c>
      <c r="AH390" s="17" t="inlineStr">
        <is>
          <t>비무균-일반제제-외용액제(외용액제), 비무균-일반제제-첩부제(첩부제)</t>
        </is>
      </c>
      <c r="AI390" s="17" t="n">
        <v>1</v>
      </c>
      <c r="AJ390" s="24" t="n">
        <v>46515</v>
      </c>
      <c r="AK390" s="17" t="inlineStr"/>
      <c r="AL390" s="17" t="inlineStr">
        <is>
          <t>Y</t>
        </is>
      </c>
      <c r="AM390" s="17" t="inlineStr">
        <is>
          <t>기본 GMP 문서관리 대상</t>
        </is>
      </c>
      <c r="AN390" s="17" t="inlineStr">
        <is>
          <t>미확인</t>
        </is>
      </c>
      <c r="AO390" s="17" t="inlineStr">
        <is>
          <t>미확인</t>
        </is>
      </c>
      <c r="AP390" s="17" t="inlineStr">
        <is>
          <t>미확인</t>
        </is>
      </c>
      <c r="AQ390" s="17" t="inlineStr">
        <is>
          <t>담당자 파악 후 접촉</t>
        </is>
      </c>
      <c r="AR390" s="17" t="inlineStr">
        <is>
          <t>2026-07-05</t>
        </is>
      </c>
      <c r="AS390" s="17" t="inlineStr">
        <is>
          <t>C(부분확인)</t>
        </is>
      </c>
      <c r="AT390" s="17" t="n">
        <v>90</v>
      </c>
      <c r="AU390" s="17" t="inlineStr"/>
      <c r="AV390" s="17" t="inlineStr"/>
    </row>
    <row r="391">
      <c r="A391" s="28" t="inlineStr">
        <is>
          <t>Tier D</t>
        </is>
      </c>
      <c r="B391" s="17" t="n">
        <v>8</v>
      </c>
      <c r="C391" s="17" t="inlineStr">
        <is>
          <t>태광산업가스(주)</t>
        </is>
      </c>
      <c r="D391" s="17" t="inlineStr">
        <is>
          <t>미확인</t>
        </is>
      </c>
      <c r="E391" s="17" t="inlineStr">
        <is>
          <t>경기도</t>
        </is>
      </c>
      <c r="F391" s="17" t="inlineStr">
        <is>
          <t>이천시</t>
        </is>
      </c>
      <c r="G391" s="17" t="n">
        <v>1</v>
      </c>
      <c r="H391" s="17" t="inlineStr"/>
      <c r="I391" s="17" t="inlineStr"/>
      <c r="J391" s="17" t="inlineStr">
        <is>
          <t>Y</t>
        </is>
      </c>
      <c r="K391" s="17" t="inlineStr"/>
      <c r="L391" s="22" t="inlineStr">
        <is>
          <t>미확인</t>
        </is>
      </c>
      <c r="M391" s="22" t="inlineStr">
        <is>
          <t>미확인</t>
        </is>
      </c>
      <c r="N391" s="22" t="inlineStr">
        <is>
          <t>미확인</t>
        </is>
      </c>
      <c r="O391" s="22" t="inlineStr">
        <is>
          <t>미확인</t>
        </is>
      </c>
      <c r="P391" s="17" t="inlineStr">
        <is>
          <t>QMS</t>
        </is>
      </c>
      <c r="Q391" s="22" t="inlineStr">
        <is>
          <t>미확인</t>
        </is>
      </c>
      <c r="R391" s="22" t="inlineStr">
        <is>
          <t>미확인</t>
        </is>
      </c>
      <c r="S391" s="17" t="inlineStr">
        <is>
          <t>Tier D</t>
        </is>
      </c>
      <c r="T391" s="17" t="n">
        <v>7</v>
      </c>
      <c r="U391" s="17" t="inlineStr">
        <is>
          <t>C368</t>
        </is>
      </c>
      <c r="V391" s="17" t="inlineStr">
        <is>
          <t>태광산업가스</t>
        </is>
      </c>
      <c r="W391" s="17" t="inlineStr"/>
      <c r="X391" s="17" t="inlineStr"/>
      <c r="Y391" s="23" t="inlineStr"/>
      <c r="Z391" s="17" t="inlineStr">
        <is>
          <t>박계임</t>
        </is>
      </c>
      <c r="AA391" s="17" t="inlineStr"/>
      <c r="AB391" s="17" t="inlineStr">
        <is>
          <t>미확인</t>
        </is>
      </c>
      <c r="AC391" s="17" t="inlineStr">
        <is>
          <t>미확인</t>
        </is>
      </c>
      <c r="AD391" s="17" t="inlineStr">
        <is>
          <t>Y</t>
        </is>
      </c>
      <c r="AE391" s="17" t="inlineStr">
        <is>
          <t>P448</t>
        </is>
      </c>
      <c r="AF391" s="17" t="inlineStr">
        <is>
          <t>경기도 이천시 진상미로 2315</t>
        </is>
      </c>
      <c r="AG391" s="17" t="inlineStr">
        <is>
          <t>완제의약품</t>
        </is>
      </c>
      <c r="AH391" s="17" t="inlineStr">
        <is>
          <t>비무균-일반제제(의료용 고압가스)-가스제(의료용 고압가스)</t>
        </is>
      </c>
      <c r="AI391" s="17" t="n">
        <v>1</v>
      </c>
      <c r="AJ391" s="24" t="n">
        <v>46402</v>
      </c>
      <c r="AK391" s="17" t="inlineStr"/>
      <c r="AL391" s="17" t="inlineStr">
        <is>
          <t>Y</t>
        </is>
      </c>
      <c r="AM391" s="17" t="inlineStr">
        <is>
          <t>기본 GMP 문서관리 대상</t>
        </is>
      </c>
      <c r="AN391" s="17" t="inlineStr">
        <is>
          <t>미확인</t>
        </is>
      </c>
      <c r="AO391" s="17" t="inlineStr">
        <is>
          <t>미확인</t>
        </is>
      </c>
      <c r="AP391" s="17" t="inlineStr">
        <is>
          <t>미확인</t>
        </is>
      </c>
      <c r="AQ391" s="17" t="inlineStr">
        <is>
          <t>담당자 파악 후 접촉</t>
        </is>
      </c>
      <c r="AR391" s="17" t="inlineStr">
        <is>
          <t>2026-07-05</t>
        </is>
      </c>
      <c r="AS391" s="17" t="inlineStr">
        <is>
          <t>C(부분확인)</t>
        </is>
      </c>
      <c r="AT391" s="17" t="n">
        <v>0</v>
      </c>
      <c r="AU391" s="17" t="inlineStr">
        <is>
          <t>Y</t>
        </is>
      </c>
      <c r="AV391" s="17" t="inlineStr"/>
    </row>
    <row r="392">
      <c r="A392" s="28" t="inlineStr">
        <is>
          <t>Tier D</t>
        </is>
      </c>
      <c r="B392" s="17" t="n">
        <v>8</v>
      </c>
      <c r="C392" s="17" t="inlineStr">
        <is>
          <t>하이플생명과학(주)</t>
        </is>
      </c>
      <c r="D392" s="17" t="inlineStr">
        <is>
          <t>시흥</t>
        </is>
      </c>
      <c r="E392" s="17" t="inlineStr">
        <is>
          <t>경기도</t>
        </is>
      </c>
      <c r="F392" s="17" t="inlineStr">
        <is>
          <t>시흥시</t>
        </is>
      </c>
      <c r="G392" s="17" t="n">
        <v>1</v>
      </c>
      <c r="H392" s="17" t="inlineStr"/>
      <c r="I392" s="17" t="inlineStr"/>
      <c r="J392" s="17" t="inlineStr">
        <is>
          <t>Y</t>
        </is>
      </c>
      <c r="K392" s="17" t="inlineStr"/>
      <c r="L392" s="22" t="inlineStr">
        <is>
          <t>미확인</t>
        </is>
      </c>
      <c r="M392" s="22" t="inlineStr">
        <is>
          <t>미확인</t>
        </is>
      </c>
      <c r="N392" s="22" t="inlineStr">
        <is>
          <t>미확인</t>
        </is>
      </c>
      <c r="O392" s="22" t="inlineStr">
        <is>
          <t>미확인</t>
        </is>
      </c>
      <c r="P392" s="17" t="inlineStr">
        <is>
          <t>QMS</t>
        </is>
      </c>
      <c r="Q392" s="22" t="inlineStr">
        <is>
          <t>미확인</t>
        </is>
      </c>
      <c r="R392" s="22" t="inlineStr">
        <is>
          <t>미확인</t>
        </is>
      </c>
      <c r="S392" s="17" t="inlineStr">
        <is>
          <t>Tier D</t>
        </is>
      </c>
      <c r="T392" s="17" t="n">
        <v>7</v>
      </c>
      <c r="U392" s="17" t="inlineStr">
        <is>
          <t>C317</t>
        </is>
      </c>
      <c r="V392" s="17" t="inlineStr">
        <is>
          <t>하이플생명과학</t>
        </is>
      </c>
      <c r="W392" s="17" t="inlineStr"/>
      <c r="X392" s="17" t="inlineStr"/>
      <c r="Y392" s="23" t="inlineStr"/>
      <c r="Z392" s="17" t="inlineStr">
        <is>
          <t>조재민</t>
        </is>
      </c>
      <c r="AA392" s="17" t="inlineStr"/>
      <c r="AB392" s="17" t="inlineStr">
        <is>
          <t>031-319-1990</t>
        </is>
      </c>
      <c r="AC392" s="17" t="inlineStr">
        <is>
          <t>미확인</t>
        </is>
      </c>
      <c r="AD392" s="17" t="inlineStr">
        <is>
          <t>Y</t>
        </is>
      </c>
      <c r="AE392" s="17" t="inlineStr">
        <is>
          <t>P384</t>
        </is>
      </c>
      <c r="AF392" s="17" t="inlineStr">
        <is>
          <t>경기도 시흥시 경제로 59 , 603호(정왕동, 1라)</t>
        </is>
      </c>
      <c r="AG392" s="17" t="inlineStr">
        <is>
          <t>완제의약품</t>
        </is>
      </c>
      <c r="AH392" s="17" t="inlineStr">
        <is>
          <t>비무균-일반제제-내용고형제(정제, 산제, 과립제), 비무균-일반제제-내용액제(경구용액제, 현탁제, 가글제(액상)), 비무균-일반제제-외용액제(외용액제, 펌프스프레이제, 관장제(액상,반고형))</t>
        </is>
      </c>
      <c r="AI392" s="17" t="n">
        <v>1</v>
      </c>
      <c r="AJ392" s="24" t="n">
        <v>46530</v>
      </c>
      <c r="AK392" s="17" t="inlineStr"/>
      <c r="AL392" s="17" t="inlineStr">
        <is>
          <t>Y</t>
        </is>
      </c>
      <c r="AM392" s="17" t="inlineStr">
        <is>
          <t>기본 GMP 문서관리 대상</t>
        </is>
      </c>
      <c r="AN392" s="17" t="inlineStr">
        <is>
          <t>미확인</t>
        </is>
      </c>
      <c r="AO392" s="17" t="inlineStr">
        <is>
          <t>미확인</t>
        </is>
      </c>
      <c r="AP392" s="17" t="inlineStr">
        <is>
          <t>미확인</t>
        </is>
      </c>
      <c r="AQ392" s="17" t="inlineStr">
        <is>
          <t>담당자 파악 후 접촉</t>
        </is>
      </c>
      <c r="AR392" s="17" t="inlineStr">
        <is>
          <t>2026-07-05</t>
        </is>
      </c>
      <c r="AS392" s="17" t="inlineStr">
        <is>
          <t>C(부분확인)</t>
        </is>
      </c>
      <c r="AT392" s="17" t="n">
        <v>90</v>
      </c>
      <c r="AU392" s="17" t="inlineStr"/>
      <c r="AV392" s="17" t="inlineStr"/>
    </row>
    <row r="393">
      <c r="A393" s="28" t="inlineStr">
        <is>
          <t>Tier D</t>
        </is>
      </c>
      <c r="B393" s="17" t="n">
        <v>5</v>
      </c>
      <c r="C393" s="17" t="inlineStr">
        <is>
          <t>(주)건영특수가스</t>
        </is>
      </c>
      <c r="D393" s="17" t="inlineStr">
        <is>
          <t>광주</t>
        </is>
      </c>
      <c r="E393" s="17" t="inlineStr">
        <is>
          <t>광주광역시</t>
        </is>
      </c>
      <c r="F393" s="17" t="inlineStr">
        <is>
          <t>광산구</t>
        </is>
      </c>
      <c r="G393" s="17" t="n">
        <v>1</v>
      </c>
      <c r="H393" s="17" t="inlineStr"/>
      <c r="I393" s="17" t="inlineStr"/>
      <c r="J393" s="17" t="inlineStr">
        <is>
          <t>Y</t>
        </is>
      </c>
      <c r="K393" s="17" t="inlineStr"/>
      <c r="L393" s="22" t="inlineStr">
        <is>
          <t>미확인</t>
        </is>
      </c>
      <c r="M393" s="22" t="inlineStr">
        <is>
          <t>미확인</t>
        </is>
      </c>
      <c r="N393" s="22" t="inlineStr">
        <is>
          <t>미확인</t>
        </is>
      </c>
      <c r="O393" s="22" t="inlineStr">
        <is>
          <t>미확인</t>
        </is>
      </c>
      <c r="P393" s="17" t="inlineStr">
        <is>
          <t>EDMS</t>
        </is>
      </c>
      <c r="Q393" s="22" t="inlineStr">
        <is>
          <t>미확인</t>
        </is>
      </c>
      <c r="R393" s="22" t="inlineStr">
        <is>
          <t>미확인</t>
        </is>
      </c>
      <c r="S393" s="17" t="inlineStr">
        <is>
          <t>Tier D</t>
        </is>
      </c>
      <c r="T393" s="17" t="n">
        <v>4</v>
      </c>
      <c r="U393" s="17" t="inlineStr">
        <is>
          <t>C268</t>
        </is>
      </c>
      <c r="V393" s="17" t="inlineStr">
        <is>
          <t>건영특수가스</t>
        </is>
      </c>
      <c r="W393" s="17" t="inlineStr"/>
      <c r="X393" s="17" t="inlineStr"/>
      <c r="Y393" s="23" t="inlineStr"/>
      <c r="Z393" s="17" t="inlineStr">
        <is>
          <t>나승욱</t>
        </is>
      </c>
      <c r="AA393" s="17" t="inlineStr"/>
      <c r="AB393" s="17" t="inlineStr">
        <is>
          <t>062-954-0050</t>
        </is>
      </c>
      <c r="AC393" s="17" t="inlineStr">
        <is>
          <t>미확인</t>
        </is>
      </c>
      <c r="AD393" s="17" t="inlineStr">
        <is>
          <t>Y</t>
        </is>
      </c>
      <c r="AE393" s="17" t="inlineStr">
        <is>
          <t>P317</t>
        </is>
      </c>
      <c r="AF393" s="17" t="inlineStr">
        <is>
          <t>광주광역시 광산구 고봉로230번길 24</t>
        </is>
      </c>
      <c r="AG393" s="17" t="inlineStr">
        <is>
          <t>완제의약품</t>
        </is>
      </c>
      <c r="AH393" s="17" t="inlineStr">
        <is>
          <t>비무균-일반제제(의료용 고압가스)-가스제(의료용 고압가스)</t>
        </is>
      </c>
      <c r="AI393" s="17" t="n">
        <v>1</v>
      </c>
      <c r="AJ393" s="24" t="n">
        <v>46733</v>
      </c>
      <c r="AK393" s="17" t="inlineStr"/>
      <c r="AL393" s="17" t="inlineStr"/>
      <c r="AM393" s="17" t="inlineStr">
        <is>
          <t>기본 문서관리 수요</t>
        </is>
      </c>
      <c r="AN393" s="17" t="inlineStr">
        <is>
          <t>미확인</t>
        </is>
      </c>
      <c r="AO393" s="17" t="inlineStr">
        <is>
          <t>미확인</t>
        </is>
      </c>
      <c r="AP393" s="17" t="inlineStr">
        <is>
          <t>미확인</t>
        </is>
      </c>
      <c r="AQ393" s="17" t="inlineStr">
        <is>
          <t>담당자 파악 후 접촉</t>
        </is>
      </c>
      <c r="AR393" s="17" t="inlineStr">
        <is>
          <t>2026-07-05</t>
        </is>
      </c>
      <c r="AS393" s="17" t="inlineStr">
        <is>
          <t>C(부분확인)</t>
        </is>
      </c>
      <c r="AT393" s="17" t="n">
        <v>90</v>
      </c>
      <c r="AU393" s="17" t="inlineStr"/>
      <c r="AV393" s="17" t="inlineStr"/>
    </row>
    <row r="394">
      <c r="A394" s="28" t="inlineStr">
        <is>
          <t>Tier D</t>
        </is>
      </c>
      <c r="B394" s="17" t="n">
        <v>5</v>
      </c>
      <c r="C394" s="17" t="inlineStr">
        <is>
          <t>(주)그린제약</t>
        </is>
      </c>
      <c r="D394" s="17" t="inlineStr">
        <is>
          <t>제2공장(금왕공장)</t>
        </is>
      </c>
      <c r="E394" s="17" t="inlineStr">
        <is>
          <t>충청북도</t>
        </is>
      </c>
      <c r="F394" s="17" t="inlineStr">
        <is>
          <t>음성군</t>
        </is>
      </c>
      <c r="G394" s="17" t="n">
        <v>1</v>
      </c>
      <c r="H394" s="17" t="inlineStr"/>
      <c r="I394" s="17" t="inlineStr"/>
      <c r="J394" s="17" t="inlineStr">
        <is>
          <t>Y</t>
        </is>
      </c>
      <c r="K394" s="17" t="inlineStr"/>
      <c r="L394" s="22" t="inlineStr">
        <is>
          <t>미확인</t>
        </is>
      </c>
      <c r="M394" s="22" t="inlineStr">
        <is>
          <t>미확인</t>
        </is>
      </c>
      <c r="N394" s="22" t="inlineStr">
        <is>
          <t>미확인</t>
        </is>
      </c>
      <c r="O394" s="22" t="inlineStr">
        <is>
          <t>미확인</t>
        </is>
      </c>
      <c r="P394" s="17" t="inlineStr">
        <is>
          <t>EDMS</t>
        </is>
      </c>
      <c r="Q394" s="22" t="inlineStr">
        <is>
          <t>미확인</t>
        </is>
      </c>
      <c r="R394" s="22" t="inlineStr">
        <is>
          <t>미확인</t>
        </is>
      </c>
      <c r="S394" s="17" t="inlineStr">
        <is>
          <t>Tier D</t>
        </is>
      </c>
      <c r="T394" s="17" t="n">
        <v>4</v>
      </c>
      <c r="U394" s="17" t="inlineStr">
        <is>
          <t>C056</t>
        </is>
      </c>
      <c r="V394" s="17" t="inlineStr">
        <is>
          <t>그린제약</t>
        </is>
      </c>
      <c r="W394" s="17" t="inlineStr"/>
      <c r="X394" s="17" t="inlineStr"/>
      <c r="Y394" s="23" t="inlineStr"/>
      <c r="Z394" s="17" t="inlineStr">
        <is>
          <t>홍준표</t>
        </is>
      </c>
      <c r="AA394" s="17" t="inlineStr"/>
      <c r="AB394" s="17" t="inlineStr">
        <is>
          <t>043-534-1144</t>
        </is>
      </c>
      <c r="AC394" s="17" t="inlineStr">
        <is>
          <t>미확인</t>
        </is>
      </c>
      <c r="AD394" s="17" t="inlineStr">
        <is>
          <t>Y</t>
        </is>
      </c>
      <c r="AE394" s="17" t="inlineStr">
        <is>
          <t>P058</t>
        </is>
      </c>
      <c r="AF394" s="17" t="inlineStr">
        <is>
          <t>충청북도 음성군 금왕읍 금왕테크노2길 42</t>
        </is>
      </c>
      <c r="AG394" s="17" t="inlineStr">
        <is>
          <t>완제의약품</t>
        </is>
      </c>
      <c r="AH394" s="17" t="inlineStr">
        <is>
          <t>비무균-일반제제-내용액제(구강용스프레이제), 비무균-일반제제-외용액제(외용액제, 관장제(액상,반고형), 가글제(액상), 점비액제)</t>
        </is>
      </c>
      <c r="AI394" s="17" t="n">
        <v>1</v>
      </c>
      <c r="AJ394" s="24" t="n">
        <v>47197</v>
      </c>
      <c r="AK394" s="17" t="inlineStr"/>
      <c r="AL394" s="17" t="inlineStr"/>
      <c r="AM394" s="17" t="inlineStr">
        <is>
          <t>기본 문서관리 수요</t>
        </is>
      </c>
      <c r="AN394" s="17" t="inlineStr">
        <is>
          <t>미확인</t>
        </is>
      </c>
      <c r="AO394" s="17" t="inlineStr">
        <is>
          <t>미확인</t>
        </is>
      </c>
      <c r="AP394" s="17" t="inlineStr">
        <is>
          <t>미확인</t>
        </is>
      </c>
      <c r="AQ394" s="17" t="inlineStr">
        <is>
          <t>담당자 파악 후 접촉</t>
        </is>
      </c>
      <c r="AR394" s="17" t="inlineStr">
        <is>
          <t>2026-07-05</t>
        </is>
      </c>
      <c r="AS394" s="17" t="inlineStr">
        <is>
          <t>C(부분확인)</t>
        </is>
      </c>
      <c r="AT394" s="17" t="n">
        <v>90</v>
      </c>
      <c r="AU394" s="17" t="inlineStr"/>
      <c r="AV394" s="17" t="inlineStr"/>
    </row>
    <row r="395">
      <c r="A395" s="28" t="inlineStr">
        <is>
          <t>Tier D</t>
        </is>
      </c>
      <c r="B395" s="17" t="n">
        <v>5</v>
      </c>
      <c r="C395" s="17" t="inlineStr">
        <is>
          <t>(주)넥스팜코리아</t>
        </is>
      </c>
      <c r="D395" s="17" t="inlineStr">
        <is>
          <t>청원</t>
        </is>
      </c>
      <c r="E395" s="17" t="inlineStr">
        <is>
          <t>충청북도</t>
        </is>
      </c>
      <c r="F395" s="17" t="inlineStr">
        <is>
          <t>청주시</t>
        </is>
      </c>
      <c r="G395" s="17" t="n">
        <v>1</v>
      </c>
      <c r="H395" s="17" t="inlineStr"/>
      <c r="I395" s="17" t="inlineStr"/>
      <c r="J395" s="17" t="inlineStr">
        <is>
          <t>Y</t>
        </is>
      </c>
      <c r="K395" s="17" t="inlineStr"/>
      <c r="L395" s="22" t="inlineStr">
        <is>
          <t>미확인</t>
        </is>
      </c>
      <c r="M395" s="22" t="inlineStr">
        <is>
          <t>미확인</t>
        </is>
      </c>
      <c r="N395" s="22" t="inlineStr">
        <is>
          <t>미확인</t>
        </is>
      </c>
      <c r="O395" s="22" t="inlineStr">
        <is>
          <t>미확인</t>
        </is>
      </c>
      <c r="P395" s="17" t="inlineStr">
        <is>
          <t>EDMS</t>
        </is>
      </c>
      <c r="Q395" s="22" t="inlineStr">
        <is>
          <t>미확인</t>
        </is>
      </c>
      <c r="R395" s="22" t="inlineStr">
        <is>
          <t>미확인</t>
        </is>
      </c>
      <c r="S395" s="17" t="inlineStr">
        <is>
          <t>Tier D</t>
        </is>
      </c>
      <c r="T395" s="17" t="n">
        <v>4</v>
      </c>
      <c r="U395" s="17" t="inlineStr">
        <is>
          <t>C285</t>
        </is>
      </c>
      <c r="V395" s="17" t="inlineStr">
        <is>
          <t>넥스팜코리아</t>
        </is>
      </c>
      <c r="W395" s="17" t="inlineStr"/>
      <c r="X395" s="17" t="inlineStr"/>
      <c r="Y395" s="23" t="inlineStr"/>
      <c r="Z395" s="17" t="inlineStr">
        <is>
          <t>김동필</t>
        </is>
      </c>
      <c r="AA395" s="17" t="inlineStr"/>
      <c r="AB395" s="17" t="inlineStr">
        <is>
          <t>070-4346-1209</t>
        </is>
      </c>
      <c r="AC395" s="17" t="inlineStr">
        <is>
          <t>미확인</t>
        </is>
      </c>
      <c r="AD395" s="17" t="inlineStr">
        <is>
          <t>Y</t>
        </is>
      </c>
      <c r="AE395" s="17" t="inlineStr">
        <is>
          <t>P342</t>
        </is>
      </c>
      <c r="AF395" s="17" t="inlineStr">
        <is>
          <t>충청북도 청주시 흥덕구 오송읍 오송생명4로 168-41</t>
        </is>
      </c>
      <c r="AG395" s="17" t="inlineStr">
        <is>
          <t>완제의약품</t>
        </is>
      </c>
      <c r="AH395" s="17" t="inlineStr">
        <is>
          <t>비무균-일반제제-내용고형제(정제, 캡슐제, 산제, 과립제), 비무균-일반제제-내용액제(경구용액제, 시럽제(액상))</t>
        </is>
      </c>
      <c r="AI395" s="17" t="n">
        <v>1</v>
      </c>
      <c r="AJ395" s="24" t="n">
        <v>46627</v>
      </c>
      <c r="AK395" s="17" t="inlineStr"/>
      <c r="AL395" s="17" t="inlineStr"/>
      <c r="AM395" s="17" t="inlineStr">
        <is>
          <t>기본 문서관리 수요</t>
        </is>
      </c>
      <c r="AN395" s="17" t="inlineStr">
        <is>
          <t>미확인</t>
        </is>
      </c>
      <c r="AO395" s="17" t="inlineStr">
        <is>
          <t>미확인</t>
        </is>
      </c>
      <c r="AP395" s="17" t="inlineStr">
        <is>
          <t>미확인</t>
        </is>
      </c>
      <c r="AQ395" s="17" t="inlineStr">
        <is>
          <t>담당자 파악 후 접촉</t>
        </is>
      </c>
      <c r="AR395" s="17" t="inlineStr">
        <is>
          <t>2026-07-05</t>
        </is>
      </c>
      <c r="AS395" s="17" t="inlineStr">
        <is>
          <t>C(부분확인)</t>
        </is>
      </c>
      <c r="AT395" s="17" t="n">
        <v>90</v>
      </c>
      <c r="AU395" s="17" t="inlineStr"/>
      <c r="AV395" s="17" t="inlineStr"/>
    </row>
    <row r="396">
      <c r="A396" s="28" t="inlineStr">
        <is>
          <t>Tier D</t>
        </is>
      </c>
      <c r="B396" s="17" t="n">
        <v>5</v>
      </c>
      <c r="C396" s="17" t="inlineStr">
        <is>
          <t>(주)다림바이오텍</t>
        </is>
      </c>
      <c r="D396" s="17" t="inlineStr">
        <is>
          <t>공장2</t>
        </is>
      </c>
      <c r="E396" s="17" t="inlineStr">
        <is>
          <t>강원특별자치도</t>
        </is>
      </c>
      <c r="F396" s="17" t="inlineStr">
        <is>
          <t>원주시</t>
        </is>
      </c>
      <c r="G396" s="17" t="n">
        <v>1</v>
      </c>
      <c r="H396" s="17" t="inlineStr"/>
      <c r="I396" s="17" t="inlineStr"/>
      <c r="J396" s="17" t="inlineStr">
        <is>
          <t>Y</t>
        </is>
      </c>
      <c r="K396" s="17" t="inlineStr"/>
      <c r="L396" s="22" t="inlineStr">
        <is>
          <t>미확인</t>
        </is>
      </c>
      <c r="M396" s="22" t="inlineStr">
        <is>
          <t>미확인</t>
        </is>
      </c>
      <c r="N396" s="22" t="inlineStr">
        <is>
          <t>미확인</t>
        </is>
      </c>
      <c r="O396" s="22" t="inlineStr">
        <is>
          <t>미확인</t>
        </is>
      </c>
      <c r="P396" s="17" t="inlineStr">
        <is>
          <t>EDMS</t>
        </is>
      </c>
      <c r="Q396" s="22" t="inlineStr">
        <is>
          <t>미확인</t>
        </is>
      </c>
      <c r="R396" s="22" t="inlineStr">
        <is>
          <t>미확인</t>
        </is>
      </c>
      <c r="S396" s="17" t="inlineStr">
        <is>
          <t>Tier D</t>
        </is>
      </c>
      <c r="T396" s="17" t="n">
        <v>4</v>
      </c>
      <c r="U396" s="17" t="inlineStr">
        <is>
          <t>C094</t>
        </is>
      </c>
      <c r="V396" s="17" t="inlineStr">
        <is>
          <t>다림바이오텍</t>
        </is>
      </c>
      <c r="W396" s="17" t="inlineStr"/>
      <c r="X396" s="17" t="inlineStr"/>
      <c r="Y396" s="23" t="inlineStr"/>
      <c r="Z396" s="17" t="inlineStr">
        <is>
          <t>정종섭</t>
        </is>
      </c>
      <c r="AA396" s="17" t="inlineStr"/>
      <c r="AB396" s="17" t="inlineStr">
        <is>
          <t>미확인</t>
        </is>
      </c>
      <c r="AC396" s="17" t="inlineStr">
        <is>
          <t>미확인</t>
        </is>
      </c>
      <c r="AD396" s="17" t="inlineStr">
        <is>
          <t>Y</t>
        </is>
      </c>
      <c r="AE396" s="17" t="inlineStr">
        <is>
          <t>P097</t>
        </is>
      </c>
      <c r="AF396" s="17" t="inlineStr">
        <is>
          <t>강원특별자치도 원주시 지정면 신평로 33 A동1~3층, B동1층, S동</t>
        </is>
      </c>
      <c r="AG396" s="17" t="inlineStr">
        <is>
          <t>완제의약품</t>
        </is>
      </c>
      <c r="AH396" s="17" t="inlineStr">
        <is>
          <t>비무균-성호르몬제-내용고형제(정제), 비무균-일반제제-내용고형제(정제, 캡슐제), 비무균-성호르몬제-연고제(크림제)</t>
        </is>
      </c>
      <c r="AI396" s="17" t="n">
        <v>1</v>
      </c>
      <c r="AJ396" s="24" t="n">
        <v>47095</v>
      </c>
      <c r="AK396" s="17" t="inlineStr"/>
      <c r="AL396" s="17" t="inlineStr"/>
      <c r="AM396" s="17" t="inlineStr">
        <is>
          <t>기본 문서관리 수요</t>
        </is>
      </c>
      <c r="AN396" s="17" t="inlineStr">
        <is>
          <t>미확인</t>
        </is>
      </c>
      <c r="AO396" s="17" t="inlineStr">
        <is>
          <t>미확인</t>
        </is>
      </c>
      <c r="AP396" s="17" t="inlineStr">
        <is>
          <t>미확인</t>
        </is>
      </c>
      <c r="AQ396" s="17" t="inlineStr">
        <is>
          <t>담당자 파악 후 접촉</t>
        </is>
      </c>
      <c r="AR396" s="17" t="inlineStr">
        <is>
          <t>2026-07-05</t>
        </is>
      </c>
      <c r="AS396" s="17" t="inlineStr">
        <is>
          <t>C(부분확인)</t>
        </is>
      </c>
      <c r="AT396" s="17" t="n">
        <v>90</v>
      </c>
      <c r="AU396" s="17" t="inlineStr"/>
      <c r="AV396" s="17" t="inlineStr"/>
    </row>
    <row r="397">
      <c r="A397" s="28" t="inlineStr">
        <is>
          <t>Tier D</t>
        </is>
      </c>
      <c r="B397" s="17" t="n">
        <v>5</v>
      </c>
      <c r="C397" s="17" t="inlineStr">
        <is>
          <t>(주)대동가스텍</t>
        </is>
      </c>
      <c r="D397" s="17" t="inlineStr">
        <is>
          <t>경산</t>
        </is>
      </c>
      <c r="E397" s="17" t="inlineStr">
        <is>
          <t>경상북도</t>
        </is>
      </c>
      <c r="F397" s="17" t="inlineStr">
        <is>
          <t>경산시</t>
        </is>
      </c>
      <c r="G397" s="17" t="n">
        <v>1</v>
      </c>
      <c r="H397" s="17" t="inlineStr"/>
      <c r="I397" s="17" t="inlineStr"/>
      <c r="J397" s="17" t="inlineStr">
        <is>
          <t>Y</t>
        </is>
      </c>
      <c r="K397" s="17" t="inlineStr"/>
      <c r="L397" s="22" t="inlineStr">
        <is>
          <t>미확인</t>
        </is>
      </c>
      <c r="M397" s="22" t="inlineStr">
        <is>
          <t>미확인</t>
        </is>
      </c>
      <c r="N397" s="22" t="inlineStr">
        <is>
          <t>미확인</t>
        </is>
      </c>
      <c r="O397" s="22" t="inlineStr">
        <is>
          <t>미확인</t>
        </is>
      </c>
      <c r="P397" s="17" t="inlineStr">
        <is>
          <t>EDMS</t>
        </is>
      </c>
      <c r="Q397" s="22" t="inlineStr">
        <is>
          <t>미확인</t>
        </is>
      </c>
      <c r="R397" s="22" t="inlineStr">
        <is>
          <t>미확인</t>
        </is>
      </c>
      <c r="S397" s="17" t="inlineStr">
        <is>
          <t>Tier D</t>
        </is>
      </c>
      <c r="T397" s="17" t="n">
        <v>4</v>
      </c>
      <c r="U397" s="17" t="inlineStr">
        <is>
          <t>C201</t>
        </is>
      </c>
      <c r="V397" s="17" t="inlineStr">
        <is>
          <t>대동가스텍</t>
        </is>
      </c>
      <c r="W397" s="17" t="inlineStr"/>
      <c r="X397" s="17" t="inlineStr"/>
      <c r="Y397" s="23" t="inlineStr"/>
      <c r="Z397" s="17" t="inlineStr">
        <is>
          <t>김재춘</t>
        </is>
      </c>
      <c r="AA397" s="17" t="inlineStr"/>
      <c r="AB397" s="17" t="inlineStr">
        <is>
          <t>053-856-5142</t>
        </is>
      </c>
      <c r="AC397" s="17" t="inlineStr">
        <is>
          <t>미확인</t>
        </is>
      </c>
      <c r="AD397" s="17" t="inlineStr">
        <is>
          <t>Y</t>
        </is>
      </c>
      <c r="AE397" s="17" t="inlineStr">
        <is>
          <t>P217</t>
        </is>
      </c>
      <c r="AF397" s="17" t="inlineStr">
        <is>
          <t>경상북도 경산시 진량읍 공단4로 96</t>
        </is>
      </c>
      <c r="AG397" s="17" t="inlineStr">
        <is>
          <t>완제의약품</t>
        </is>
      </c>
      <c r="AH397" s="17" t="inlineStr">
        <is>
          <t>비무균-일반제제(의료용 고압가스)-가스제(의료용 고압가스)</t>
        </is>
      </c>
      <c r="AI397" s="17" t="n">
        <v>1</v>
      </c>
      <c r="AJ397" s="24" t="n">
        <v>46891</v>
      </c>
      <c r="AK397" s="17" t="inlineStr"/>
      <c r="AL397" s="17" t="inlineStr"/>
      <c r="AM397" s="17" t="inlineStr">
        <is>
          <t>기본 문서관리 수요</t>
        </is>
      </c>
      <c r="AN397" s="17" t="inlineStr">
        <is>
          <t>미확인</t>
        </is>
      </c>
      <c r="AO397" s="17" t="inlineStr">
        <is>
          <t>미확인</t>
        </is>
      </c>
      <c r="AP397" s="17" t="inlineStr">
        <is>
          <t>미확인</t>
        </is>
      </c>
      <c r="AQ397" s="17" t="inlineStr">
        <is>
          <t>담당자 파악 후 접촉</t>
        </is>
      </c>
      <c r="AR397" s="17" t="inlineStr">
        <is>
          <t>2026-07-05</t>
        </is>
      </c>
      <c r="AS397" s="17" t="inlineStr">
        <is>
          <t>C(부분확인)</t>
        </is>
      </c>
      <c r="AT397" s="17" t="n">
        <v>90</v>
      </c>
      <c r="AU397" s="17" t="inlineStr"/>
      <c r="AV397" s="17" t="inlineStr"/>
    </row>
    <row r="398">
      <c r="A398" s="28" t="inlineStr">
        <is>
          <t>Tier D</t>
        </is>
      </c>
      <c r="B398" s="17" t="n">
        <v>5</v>
      </c>
      <c r="C398" s="17" t="inlineStr">
        <is>
          <t>(주)대유코아</t>
        </is>
      </c>
      <c r="D398" s="17" t="inlineStr">
        <is>
          <t>칠서공장</t>
        </is>
      </c>
      <c r="E398" s="17" t="inlineStr">
        <is>
          <t>경상남도</t>
        </is>
      </c>
      <c r="F398" s="17" t="inlineStr">
        <is>
          <t>함안군</t>
        </is>
      </c>
      <c r="G398" s="17" t="n">
        <v>1</v>
      </c>
      <c r="H398" s="17" t="inlineStr"/>
      <c r="I398" s="17" t="inlineStr"/>
      <c r="J398" s="17" t="inlineStr">
        <is>
          <t>Y</t>
        </is>
      </c>
      <c r="K398" s="17" t="inlineStr"/>
      <c r="L398" s="22" t="inlineStr">
        <is>
          <t>미확인</t>
        </is>
      </c>
      <c r="M398" s="22" t="inlineStr">
        <is>
          <t>미확인</t>
        </is>
      </c>
      <c r="N398" s="22" t="inlineStr">
        <is>
          <t>미확인</t>
        </is>
      </c>
      <c r="O398" s="22" t="inlineStr">
        <is>
          <t>미확인</t>
        </is>
      </c>
      <c r="P398" s="17" t="inlineStr">
        <is>
          <t>EDMS</t>
        </is>
      </c>
      <c r="Q398" s="22" t="inlineStr">
        <is>
          <t>미확인</t>
        </is>
      </c>
      <c r="R398" s="22" t="inlineStr">
        <is>
          <t>미확인</t>
        </is>
      </c>
      <c r="S398" s="17" t="inlineStr">
        <is>
          <t>Tier D</t>
        </is>
      </c>
      <c r="T398" s="17" t="n">
        <v>4</v>
      </c>
      <c r="U398" s="17" t="inlineStr">
        <is>
          <t>C091</t>
        </is>
      </c>
      <c r="V398" s="17" t="inlineStr">
        <is>
          <t>대유코아</t>
        </is>
      </c>
      <c r="W398" s="17" t="inlineStr"/>
      <c r="X398" s="17" t="inlineStr"/>
      <c r="Y398" s="23" t="inlineStr"/>
      <c r="Z398" s="17" t="inlineStr">
        <is>
          <t>이태희</t>
        </is>
      </c>
      <c r="AA398" s="17" t="inlineStr"/>
      <c r="AB398" s="17" t="inlineStr">
        <is>
          <t>055-800-7403</t>
        </is>
      </c>
      <c r="AC398" s="17" t="inlineStr">
        <is>
          <t>미확인</t>
        </is>
      </c>
      <c r="AD398" s="17" t="inlineStr">
        <is>
          <t>Y</t>
        </is>
      </c>
      <c r="AE398" s="17" t="inlineStr">
        <is>
          <t>P094</t>
        </is>
      </c>
      <c r="AF398" s="17" t="inlineStr">
        <is>
          <t>경상남도 함안군 칠서면 공단동길 98</t>
        </is>
      </c>
      <c r="AG398" s="17" t="inlineStr">
        <is>
          <t>완제의약품</t>
        </is>
      </c>
      <c r="AH398" s="17" t="inlineStr">
        <is>
          <t>비무균-일반제제-가스제(의료용 고압가스)</t>
        </is>
      </c>
      <c r="AI398" s="17" t="n">
        <v>1</v>
      </c>
      <c r="AJ398" s="24" t="n">
        <v>47106</v>
      </c>
      <c r="AK398" s="17" t="inlineStr"/>
      <c r="AL398" s="17" t="inlineStr"/>
      <c r="AM398" s="17" t="inlineStr">
        <is>
          <t>기본 문서관리 수요</t>
        </is>
      </c>
      <c r="AN398" s="17" t="inlineStr">
        <is>
          <t>미확인</t>
        </is>
      </c>
      <c r="AO398" s="17" t="inlineStr">
        <is>
          <t>미확인</t>
        </is>
      </c>
      <c r="AP398" s="17" t="inlineStr">
        <is>
          <t>미확인</t>
        </is>
      </c>
      <c r="AQ398" s="17" t="inlineStr">
        <is>
          <t>담당자 파악 후 접촉</t>
        </is>
      </c>
      <c r="AR398" s="17" t="inlineStr">
        <is>
          <t>2026-07-05</t>
        </is>
      </c>
      <c r="AS398" s="17" t="inlineStr">
        <is>
          <t>C(부분확인)</t>
        </is>
      </c>
      <c r="AT398" s="17" t="n">
        <v>90</v>
      </c>
      <c r="AU398" s="17" t="inlineStr"/>
      <c r="AV398" s="17" t="inlineStr"/>
    </row>
    <row r="399">
      <c r="A399" s="28" t="inlineStr">
        <is>
          <t>Tier D</t>
        </is>
      </c>
      <c r="B399" s="17" t="n">
        <v>5</v>
      </c>
      <c r="C399" s="17" t="inlineStr">
        <is>
          <t>(주)대일가스</t>
        </is>
      </c>
      <c r="D399" s="17" t="inlineStr">
        <is>
          <t>강원</t>
        </is>
      </c>
      <c r="E399" s="17" t="inlineStr">
        <is>
          <t>강원특별자치도</t>
        </is>
      </c>
      <c r="F399" s="17" t="inlineStr">
        <is>
          <t>강릉시</t>
        </is>
      </c>
      <c r="G399" s="17" t="n">
        <v>1</v>
      </c>
      <c r="H399" s="17" t="inlineStr"/>
      <c r="I399" s="17" t="inlineStr"/>
      <c r="J399" s="17" t="inlineStr">
        <is>
          <t>Y</t>
        </is>
      </c>
      <c r="K399" s="17" t="inlineStr"/>
      <c r="L399" s="22" t="inlineStr">
        <is>
          <t>미확인</t>
        </is>
      </c>
      <c r="M399" s="22" t="inlineStr">
        <is>
          <t>미확인</t>
        </is>
      </c>
      <c r="N399" s="22" t="inlineStr">
        <is>
          <t>미확인</t>
        </is>
      </c>
      <c r="O399" s="22" t="inlineStr">
        <is>
          <t>미확인</t>
        </is>
      </c>
      <c r="P399" s="17" t="inlineStr">
        <is>
          <t>EDMS</t>
        </is>
      </c>
      <c r="Q399" s="22" t="inlineStr">
        <is>
          <t>미확인</t>
        </is>
      </c>
      <c r="R399" s="22" t="inlineStr">
        <is>
          <t>미확인</t>
        </is>
      </c>
      <c r="S399" s="17" t="inlineStr">
        <is>
          <t>Tier D</t>
        </is>
      </c>
      <c r="T399" s="17" t="n">
        <v>4</v>
      </c>
      <c r="U399" s="17" t="inlineStr">
        <is>
          <t>C012</t>
        </is>
      </c>
      <c r="V399" s="17" t="inlineStr">
        <is>
          <t>대일가스</t>
        </is>
      </c>
      <c r="W399" s="17" t="inlineStr"/>
      <c r="X399" s="17" t="inlineStr"/>
      <c r="Y399" s="23" t="inlineStr"/>
      <c r="Z399" s="17" t="inlineStr">
        <is>
          <t>최봉순</t>
        </is>
      </c>
      <c r="AA399" s="17" t="inlineStr"/>
      <c r="AB399" s="17" t="inlineStr">
        <is>
          <t>033-645-7162</t>
        </is>
      </c>
      <c r="AC399" s="17" t="inlineStr">
        <is>
          <t>미확인</t>
        </is>
      </c>
      <c r="AD399" s="17" t="inlineStr">
        <is>
          <t>Y</t>
        </is>
      </c>
      <c r="AE399" s="17" t="inlineStr">
        <is>
          <t>P012</t>
        </is>
      </c>
      <c r="AF399" s="17" t="inlineStr">
        <is>
          <t>강원특별자치도 강릉시 강동면 아래장작골길 68</t>
        </is>
      </c>
      <c r="AG399" s="17" t="inlineStr">
        <is>
          <t>완제의약품</t>
        </is>
      </c>
      <c r="AH399" s="17" t="inlineStr">
        <is>
          <t>비무균-일반제제-가스제(의료용 고압가스)</t>
        </is>
      </c>
      <c r="AI399" s="17" t="n">
        <v>1</v>
      </c>
      <c r="AJ399" s="24" t="n">
        <v>47302</v>
      </c>
      <c r="AK399" s="17" t="inlineStr"/>
      <c r="AL399" s="17" t="inlineStr"/>
      <c r="AM399" s="17" t="inlineStr">
        <is>
          <t>기본 문서관리 수요</t>
        </is>
      </c>
      <c r="AN399" s="17" t="inlineStr">
        <is>
          <t>미확인</t>
        </is>
      </c>
      <c r="AO399" s="17" t="inlineStr">
        <is>
          <t>미확인</t>
        </is>
      </c>
      <c r="AP399" s="17" t="inlineStr">
        <is>
          <t>미확인</t>
        </is>
      </c>
      <c r="AQ399" s="17" t="inlineStr">
        <is>
          <t>담당자 파악 후 접촉</t>
        </is>
      </c>
      <c r="AR399" s="17" t="inlineStr">
        <is>
          <t>2026-07-05</t>
        </is>
      </c>
      <c r="AS399" s="17" t="inlineStr">
        <is>
          <t>C(부분확인)</t>
        </is>
      </c>
      <c r="AT399" s="17" t="n">
        <v>90</v>
      </c>
      <c r="AU399" s="17" t="inlineStr"/>
      <c r="AV399" s="17" t="inlineStr"/>
    </row>
    <row r="400">
      <c r="A400" s="28" t="inlineStr">
        <is>
          <t>Tier D</t>
        </is>
      </c>
      <c r="B400" s="17" t="n">
        <v>5</v>
      </c>
      <c r="C400" s="17" t="inlineStr">
        <is>
          <t>(주)대창가스</t>
        </is>
      </c>
      <c r="D400" s="17" t="inlineStr">
        <is>
          <t>진주</t>
        </is>
      </c>
      <c r="E400" s="17" t="inlineStr">
        <is>
          <t>경상남도</t>
        </is>
      </c>
      <c r="F400" s="17" t="inlineStr">
        <is>
          <t>진주시</t>
        </is>
      </c>
      <c r="G400" s="17" t="n">
        <v>1</v>
      </c>
      <c r="H400" s="17" t="inlineStr"/>
      <c r="I400" s="17" t="inlineStr"/>
      <c r="J400" s="17" t="inlineStr">
        <is>
          <t>Y</t>
        </is>
      </c>
      <c r="K400" s="17" t="inlineStr"/>
      <c r="L400" s="22" t="inlineStr">
        <is>
          <t>미확인</t>
        </is>
      </c>
      <c r="M400" s="22" t="inlineStr">
        <is>
          <t>미확인</t>
        </is>
      </c>
      <c r="N400" s="22" t="inlineStr">
        <is>
          <t>미확인</t>
        </is>
      </c>
      <c r="O400" s="22" t="inlineStr">
        <is>
          <t>미확인</t>
        </is>
      </c>
      <c r="P400" s="17" t="inlineStr">
        <is>
          <t>EDMS</t>
        </is>
      </c>
      <c r="Q400" s="22" t="inlineStr">
        <is>
          <t>미확인</t>
        </is>
      </c>
      <c r="R400" s="22" t="inlineStr">
        <is>
          <t>미확인</t>
        </is>
      </c>
      <c r="S400" s="17" t="inlineStr">
        <is>
          <t>Tier D</t>
        </is>
      </c>
      <c r="T400" s="17" t="n">
        <v>4</v>
      </c>
      <c r="U400" s="17" t="inlineStr">
        <is>
          <t>C167</t>
        </is>
      </c>
      <c r="V400" s="17" t="inlineStr">
        <is>
          <t>대창가스</t>
        </is>
      </c>
      <c r="W400" s="17" t="inlineStr"/>
      <c r="X400" s="17" t="inlineStr"/>
      <c r="Y400" s="23" t="inlineStr"/>
      <c r="Z400" s="17" t="inlineStr">
        <is>
          <t>이절부</t>
        </is>
      </c>
      <c r="AA400" s="17" t="inlineStr"/>
      <c r="AB400" s="17" t="inlineStr">
        <is>
          <t>055-752-3330</t>
        </is>
      </c>
      <c r="AC400" s="17" t="inlineStr">
        <is>
          <t>미확인</t>
        </is>
      </c>
      <c r="AD400" s="17" t="inlineStr">
        <is>
          <t>Y</t>
        </is>
      </c>
      <c r="AE400" s="17" t="inlineStr">
        <is>
          <t>P180</t>
        </is>
      </c>
      <c r="AF400" s="17" t="inlineStr">
        <is>
          <t>경상남도 진주시 돗골로 61</t>
        </is>
      </c>
      <c r="AG400" s="17" t="inlineStr">
        <is>
          <t>완제의약품</t>
        </is>
      </c>
      <c r="AH400" s="17" t="inlineStr">
        <is>
          <t>비무균-일반제제(의료용 고압가스)-가스제(의료용 고압가스)</t>
        </is>
      </c>
      <c r="AI400" s="17" t="n">
        <v>1</v>
      </c>
      <c r="AJ400" s="24" t="n">
        <v>46945</v>
      </c>
      <c r="AK400" s="17" t="inlineStr"/>
      <c r="AL400" s="17" t="inlineStr"/>
      <c r="AM400" s="17" t="inlineStr">
        <is>
          <t>기본 문서관리 수요</t>
        </is>
      </c>
      <c r="AN400" s="17" t="inlineStr">
        <is>
          <t>미확인</t>
        </is>
      </c>
      <c r="AO400" s="17" t="inlineStr">
        <is>
          <t>미확인</t>
        </is>
      </c>
      <c r="AP400" s="17" t="inlineStr">
        <is>
          <t>미확인</t>
        </is>
      </c>
      <c r="AQ400" s="17" t="inlineStr">
        <is>
          <t>담당자 파악 후 접촉</t>
        </is>
      </c>
      <c r="AR400" s="17" t="inlineStr">
        <is>
          <t>2026-07-05</t>
        </is>
      </c>
      <c r="AS400" s="17" t="inlineStr">
        <is>
          <t>C(부분확인)</t>
        </is>
      </c>
      <c r="AT400" s="17" t="n">
        <v>90</v>
      </c>
      <c r="AU400" s="17" t="inlineStr"/>
      <c r="AV400" s="17" t="inlineStr"/>
    </row>
    <row r="401">
      <c r="A401" s="28" t="inlineStr">
        <is>
          <t>Tier D</t>
        </is>
      </c>
      <c r="B401" s="17" t="n">
        <v>5</v>
      </c>
      <c r="C401" s="17" t="inlineStr">
        <is>
          <t>(주)대한특수가스</t>
        </is>
      </c>
      <c r="D401" s="17" t="inlineStr">
        <is>
          <t>1공장</t>
        </is>
      </c>
      <c r="E401" s="17" t="inlineStr">
        <is>
          <t>경기도</t>
        </is>
      </c>
      <c r="F401" s="17" t="inlineStr">
        <is>
          <t>김포시</t>
        </is>
      </c>
      <c r="G401" s="17" t="n">
        <v>1</v>
      </c>
      <c r="H401" s="17" t="inlineStr"/>
      <c r="I401" s="17" t="inlineStr"/>
      <c r="J401" s="17" t="inlineStr">
        <is>
          <t>Y</t>
        </is>
      </c>
      <c r="K401" s="17" t="inlineStr"/>
      <c r="L401" s="22" t="inlineStr">
        <is>
          <t>미확인</t>
        </is>
      </c>
      <c r="M401" s="22" t="inlineStr">
        <is>
          <t>미확인</t>
        </is>
      </c>
      <c r="N401" s="22" t="inlineStr">
        <is>
          <t>미확인</t>
        </is>
      </c>
      <c r="O401" s="22" t="inlineStr">
        <is>
          <t>미확인</t>
        </is>
      </c>
      <c r="P401" s="17" t="inlineStr">
        <is>
          <t>EDMS</t>
        </is>
      </c>
      <c r="Q401" s="22" t="inlineStr">
        <is>
          <t>미확인</t>
        </is>
      </c>
      <c r="R401" s="22" t="inlineStr">
        <is>
          <t>미확인</t>
        </is>
      </c>
      <c r="S401" s="17" t="inlineStr">
        <is>
          <t>Tier D</t>
        </is>
      </c>
      <c r="T401" s="17" t="n">
        <v>4</v>
      </c>
      <c r="U401" s="17" t="inlineStr">
        <is>
          <t>C128</t>
        </is>
      </c>
      <c r="V401" s="17" t="inlineStr">
        <is>
          <t>대한특수가스</t>
        </is>
      </c>
      <c r="W401" s="17" t="inlineStr"/>
      <c r="X401" s="17" t="inlineStr"/>
      <c r="Y401" s="23" t="inlineStr"/>
      <c r="Z401" s="17" t="inlineStr">
        <is>
          <t>김호성</t>
        </is>
      </c>
      <c r="AA401" s="17" t="inlineStr"/>
      <c r="AB401" s="17" t="inlineStr">
        <is>
          <t>02-3663-2825</t>
        </is>
      </c>
      <c r="AC401" s="17" t="inlineStr">
        <is>
          <t>미확인</t>
        </is>
      </c>
      <c r="AD401" s="17" t="inlineStr">
        <is>
          <t>Y</t>
        </is>
      </c>
      <c r="AE401" s="17" t="inlineStr">
        <is>
          <t>P134</t>
        </is>
      </c>
      <c r="AF401" s="17" t="inlineStr">
        <is>
          <t>경기도 김포시 하성면 하성로 710</t>
        </is>
      </c>
      <c r="AG401" s="17" t="inlineStr">
        <is>
          <t>완제의약품</t>
        </is>
      </c>
      <c r="AH401" s="17" t="inlineStr">
        <is>
          <t>비무균-일반제제(의료용 고압가스)-가스제(의료용 고압가스)</t>
        </is>
      </c>
      <c r="AI401" s="17" t="n">
        <v>1</v>
      </c>
      <c r="AJ401" s="24" t="n">
        <v>47017</v>
      </c>
      <c r="AK401" s="17" t="inlineStr"/>
      <c r="AL401" s="17" t="inlineStr"/>
      <c r="AM401" s="17" t="inlineStr">
        <is>
          <t>기본 문서관리 수요</t>
        </is>
      </c>
      <c r="AN401" s="17" t="inlineStr">
        <is>
          <t>미확인</t>
        </is>
      </c>
      <c r="AO401" s="17" t="inlineStr">
        <is>
          <t>미확인</t>
        </is>
      </c>
      <c r="AP401" s="17" t="inlineStr">
        <is>
          <t>미확인</t>
        </is>
      </c>
      <c r="AQ401" s="17" t="inlineStr">
        <is>
          <t>담당자 파악 후 접촉</t>
        </is>
      </c>
      <c r="AR401" s="17" t="inlineStr">
        <is>
          <t>2026-07-05</t>
        </is>
      </c>
      <c r="AS401" s="17" t="inlineStr">
        <is>
          <t>C(부분확인)</t>
        </is>
      </c>
      <c r="AT401" s="17" t="n">
        <v>90</v>
      </c>
      <c r="AU401" s="17" t="inlineStr"/>
      <c r="AV401" s="17" t="inlineStr"/>
    </row>
    <row r="402">
      <c r="A402" s="28" t="inlineStr">
        <is>
          <t>Tier D</t>
        </is>
      </c>
      <c r="B402" s="17" t="n">
        <v>5</v>
      </c>
      <c r="C402" s="17" t="inlineStr">
        <is>
          <t>(주)메디카코리아</t>
        </is>
      </c>
      <c r="D402" s="17" t="inlineStr">
        <is>
          <t>보관소</t>
        </is>
      </c>
      <c r="E402" s="17" t="inlineStr">
        <is>
          <t>경기도</t>
        </is>
      </c>
      <c r="F402" s="17" t="inlineStr">
        <is>
          <t>화성시</t>
        </is>
      </c>
      <c r="G402" s="17" t="n">
        <v>1</v>
      </c>
      <c r="H402" s="17" t="inlineStr"/>
      <c r="I402" s="17" t="inlineStr"/>
      <c r="J402" s="17" t="inlineStr">
        <is>
          <t>Y</t>
        </is>
      </c>
      <c r="K402" s="17" t="inlineStr"/>
      <c r="L402" s="22" t="inlineStr">
        <is>
          <t>미확인</t>
        </is>
      </c>
      <c r="M402" s="22" t="inlineStr">
        <is>
          <t>미확인</t>
        </is>
      </c>
      <c r="N402" s="22" t="inlineStr">
        <is>
          <t>미확인</t>
        </is>
      </c>
      <c r="O402" s="22" t="inlineStr">
        <is>
          <t>미확인</t>
        </is>
      </c>
      <c r="P402" s="17" t="inlineStr">
        <is>
          <t>EDMS</t>
        </is>
      </c>
      <c r="Q402" s="22" t="inlineStr">
        <is>
          <t>미확인</t>
        </is>
      </c>
      <c r="R402" s="22" t="inlineStr">
        <is>
          <t>미확인</t>
        </is>
      </c>
      <c r="S402" s="17" t="inlineStr">
        <is>
          <t>Tier D</t>
        </is>
      </c>
      <c r="T402" s="17" t="n">
        <v>4</v>
      </c>
      <c r="U402" s="17" t="inlineStr">
        <is>
          <t>C248</t>
        </is>
      </c>
      <c r="V402" s="17" t="inlineStr">
        <is>
          <t>메디카코리아</t>
        </is>
      </c>
      <c r="W402" s="17" t="inlineStr"/>
      <c r="X402" s="17" t="inlineStr"/>
      <c r="Y402" s="23" t="inlineStr"/>
      <c r="Z402" s="17" t="inlineStr">
        <is>
          <t>김현식</t>
        </is>
      </c>
      <c r="AA402" s="17" t="inlineStr"/>
      <c r="AB402" s="17" t="inlineStr">
        <is>
          <t>미확인</t>
        </is>
      </c>
      <c r="AC402" s="17" t="inlineStr">
        <is>
          <t>미확인</t>
        </is>
      </c>
      <c r="AD402" s="17" t="inlineStr">
        <is>
          <t>Y</t>
        </is>
      </c>
      <c r="AE402" s="17" t="inlineStr">
        <is>
          <t>P287</t>
        </is>
      </c>
      <c r="AF402" s="17" t="inlineStr">
        <is>
          <t>경기도 화성시 만세구 향남읍 제약공단4길 96</t>
        </is>
      </c>
      <c r="AG402" s="17" t="inlineStr">
        <is>
          <t>완제의약품</t>
        </is>
      </c>
      <c r="AH402" s="17" t="inlineStr">
        <is>
          <t>비무균-일반제제-내용고형제(정제, 캡슐제)</t>
        </is>
      </c>
      <c r="AI402" s="17" t="n">
        <v>1</v>
      </c>
      <c r="AJ402" s="24" t="n">
        <v>46807</v>
      </c>
      <c r="AK402" s="17" t="inlineStr"/>
      <c r="AL402" s="17" t="inlineStr"/>
      <c r="AM402" s="17" t="inlineStr">
        <is>
          <t>기본 문서관리 수요</t>
        </is>
      </c>
      <c r="AN402" s="17" t="inlineStr">
        <is>
          <t>미확인</t>
        </is>
      </c>
      <c r="AO402" s="17" t="inlineStr">
        <is>
          <t>미확인</t>
        </is>
      </c>
      <c r="AP402" s="17" t="inlineStr">
        <is>
          <t>미확인</t>
        </is>
      </c>
      <c r="AQ402" s="17" t="inlineStr">
        <is>
          <t>담당자 파악 후 접촉</t>
        </is>
      </c>
      <c r="AR402" s="17" t="inlineStr">
        <is>
          <t>2026-07-05</t>
        </is>
      </c>
      <c r="AS402" s="17" t="inlineStr">
        <is>
          <t>C(부분확인)</t>
        </is>
      </c>
      <c r="AT402" s="17" t="n">
        <v>90</v>
      </c>
      <c r="AU402" s="17" t="inlineStr"/>
      <c r="AV402" s="17" t="inlineStr"/>
    </row>
    <row r="403">
      <c r="A403" s="28" t="inlineStr">
        <is>
          <t>Tier D</t>
        </is>
      </c>
      <c r="B403" s="17" t="n">
        <v>5</v>
      </c>
      <c r="C403" s="17" t="inlineStr">
        <is>
          <t>(주)밀성산업가스</t>
        </is>
      </c>
      <c r="D403" s="17" t="inlineStr">
        <is>
          <t>(주)밀성산업가스</t>
        </is>
      </c>
      <c r="E403" s="17" t="inlineStr">
        <is>
          <t>경기도</t>
        </is>
      </c>
      <c r="F403" s="17" t="inlineStr">
        <is>
          <t>화성시</t>
        </is>
      </c>
      <c r="G403" s="17" t="n">
        <v>1</v>
      </c>
      <c r="H403" s="17" t="inlineStr"/>
      <c r="I403" s="17" t="inlineStr"/>
      <c r="J403" s="17" t="inlineStr">
        <is>
          <t>Y</t>
        </is>
      </c>
      <c r="K403" s="17" t="inlineStr"/>
      <c r="L403" s="22" t="inlineStr">
        <is>
          <t>미확인</t>
        </is>
      </c>
      <c r="M403" s="22" t="inlineStr">
        <is>
          <t>미확인</t>
        </is>
      </c>
      <c r="N403" s="22" t="inlineStr">
        <is>
          <t>미확인</t>
        </is>
      </c>
      <c r="O403" s="22" t="inlineStr">
        <is>
          <t>미확인</t>
        </is>
      </c>
      <c r="P403" s="17" t="inlineStr">
        <is>
          <t>EDMS</t>
        </is>
      </c>
      <c r="Q403" s="22" t="inlineStr">
        <is>
          <t>미확인</t>
        </is>
      </c>
      <c r="R403" s="22" t="inlineStr">
        <is>
          <t>미확인</t>
        </is>
      </c>
      <c r="S403" s="17" t="inlineStr">
        <is>
          <t>Tier D</t>
        </is>
      </c>
      <c r="T403" s="17" t="n">
        <v>4</v>
      </c>
      <c r="U403" s="17" t="inlineStr">
        <is>
          <t>C193</t>
        </is>
      </c>
      <c r="V403" s="17" t="inlineStr">
        <is>
          <t>밀성산업가스</t>
        </is>
      </c>
      <c r="W403" s="17" t="inlineStr"/>
      <c r="X403" s="17" t="inlineStr"/>
      <c r="Y403" s="23" t="inlineStr"/>
      <c r="Z403" s="17" t="inlineStr">
        <is>
          <t>김의중</t>
        </is>
      </c>
      <c r="AA403" s="17" t="inlineStr"/>
      <c r="AB403" s="17" t="inlineStr">
        <is>
          <t>031-8059-5950</t>
        </is>
      </c>
      <c r="AC403" s="17" t="inlineStr">
        <is>
          <t>미확인</t>
        </is>
      </c>
      <c r="AD403" s="17" t="inlineStr">
        <is>
          <t>Y</t>
        </is>
      </c>
      <c r="AE403" s="17" t="inlineStr">
        <is>
          <t>P208</t>
        </is>
      </c>
      <c r="AF403" s="17" t="inlineStr">
        <is>
          <t>경기도 화성시 팔탄면 포승향남로 2960-115</t>
        </is>
      </c>
      <c r="AG403" s="17" t="inlineStr">
        <is>
          <t>완제의약품</t>
        </is>
      </c>
      <c r="AH403" s="17" t="inlineStr">
        <is>
          <t>비무균-일반제제(의료용 고압가스)-가스제(의료용 고압가스)</t>
        </is>
      </c>
      <c r="AI403" s="17" t="n">
        <v>1</v>
      </c>
      <c r="AJ403" s="24" t="n">
        <v>46903</v>
      </c>
      <c r="AK403" s="17" t="inlineStr"/>
      <c r="AL403" s="17" t="inlineStr"/>
      <c r="AM403" s="17" t="inlineStr">
        <is>
          <t>기본 문서관리 수요</t>
        </is>
      </c>
      <c r="AN403" s="17" t="inlineStr">
        <is>
          <t>미확인</t>
        </is>
      </c>
      <c r="AO403" s="17" t="inlineStr">
        <is>
          <t>미확인</t>
        </is>
      </c>
      <c r="AP403" s="17" t="inlineStr">
        <is>
          <t>미확인</t>
        </is>
      </c>
      <c r="AQ403" s="17" t="inlineStr">
        <is>
          <t>담당자 파악 후 접촉</t>
        </is>
      </c>
      <c r="AR403" s="17" t="inlineStr">
        <is>
          <t>2026-07-05</t>
        </is>
      </c>
      <c r="AS403" s="17" t="inlineStr">
        <is>
          <t>C(부분확인)</t>
        </is>
      </c>
      <c r="AT403" s="17" t="n">
        <v>90</v>
      </c>
      <c r="AU403" s="17" t="inlineStr"/>
      <c r="AV403" s="17" t="inlineStr"/>
    </row>
    <row r="404">
      <c r="A404" s="28" t="inlineStr">
        <is>
          <t>Tier D</t>
        </is>
      </c>
      <c r="B404" s="17" t="n">
        <v>5</v>
      </c>
      <c r="C404" s="17" t="inlineStr">
        <is>
          <t>(주)삼흥에너지</t>
        </is>
      </c>
      <c r="D404" s="17" t="inlineStr">
        <is>
          <t>1공장</t>
        </is>
      </c>
      <c r="E404" s="17" t="inlineStr">
        <is>
          <t>경상남도</t>
        </is>
      </c>
      <c r="F404" s="17" t="inlineStr">
        <is>
          <t>김해시</t>
        </is>
      </c>
      <c r="G404" s="17" t="n">
        <v>1</v>
      </c>
      <c r="H404" s="17" t="inlineStr"/>
      <c r="I404" s="17" t="inlineStr"/>
      <c r="J404" s="17" t="inlineStr">
        <is>
          <t>Y</t>
        </is>
      </c>
      <c r="K404" s="17" t="inlineStr"/>
      <c r="L404" s="22" t="inlineStr">
        <is>
          <t>미확인</t>
        </is>
      </c>
      <c r="M404" s="22" t="inlineStr">
        <is>
          <t>미확인</t>
        </is>
      </c>
      <c r="N404" s="22" t="inlineStr">
        <is>
          <t>미확인</t>
        </is>
      </c>
      <c r="O404" s="22" t="inlineStr">
        <is>
          <t>미확인</t>
        </is>
      </c>
      <c r="P404" s="17" t="inlineStr">
        <is>
          <t>EDMS</t>
        </is>
      </c>
      <c r="Q404" s="22" t="inlineStr">
        <is>
          <t>미확인</t>
        </is>
      </c>
      <c r="R404" s="22" t="inlineStr">
        <is>
          <t>미확인</t>
        </is>
      </c>
      <c r="S404" s="17" t="inlineStr">
        <is>
          <t>Tier D</t>
        </is>
      </c>
      <c r="T404" s="17" t="n">
        <v>4</v>
      </c>
      <c r="U404" s="17" t="inlineStr">
        <is>
          <t>C159</t>
        </is>
      </c>
      <c r="V404" s="17" t="inlineStr">
        <is>
          <t>삼흥에너지</t>
        </is>
      </c>
      <c r="W404" s="17" t="inlineStr"/>
      <c r="X404" s="17" t="inlineStr"/>
      <c r="Y404" s="23" t="inlineStr"/>
      <c r="Z404" s="17" t="inlineStr">
        <is>
          <t>노천섭</t>
        </is>
      </c>
      <c r="AA404" s="17" t="inlineStr"/>
      <c r="AB404" s="17" t="inlineStr">
        <is>
          <t>055-338-7618</t>
        </is>
      </c>
      <c r="AC404" s="17" t="inlineStr">
        <is>
          <t>미확인</t>
        </is>
      </c>
      <c r="AD404" s="17" t="inlineStr">
        <is>
          <t>Y</t>
        </is>
      </c>
      <c r="AE404" s="17" t="inlineStr">
        <is>
          <t>P171</t>
        </is>
      </c>
      <c r="AF404" s="17" t="inlineStr">
        <is>
          <t>경상남도 김해시 장유면 장유로55번길 40</t>
        </is>
      </c>
      <c r="AG404" s="17" t="inlineStr">
        <is>
          <t>완제의약품</t>
        </is>
      </c>
      <c r="AH404" s="17" t="inlineStr">
        <is>
          <t>비무균-일반제제(의료용 고압가스)-가스제(의료용 고압가스)</t>
        </is>
      </c>
      <c r="AI404" s="17" t="n">
        <v>1</v>
      </c>
      <c r="AJ404" s="24" t="n">
        <v>46952</v>
      </c>
      <c r="AK404" s="17" t="inlineStr"/>
      <c r="AL404" s="17" t="inlineStr"/>
      <c r="AM404" s="17" t="inlineStr">
        <is>
          <t>기본 문서관리 수요</t>
        </is>
      </c>
      <c r="AN404" s="17" t="inlineStr">
        <is>
          <t>미확인</t>
        </is>
      </c>
      <c r="AO404" s="17" t="inlineStr">
        <is>
          <t>미확인</t>
        </is>
      </c>
      <c r="AP404" s="17" t="inlineStr">
        <is>
          <t>미확인</t>
        </is>
      </c>
      <c r="AQ404" s="17" t="inlineStr">
        <is>
          <t>담당자 파악 후 접촉</t>
        </is>
      </c>
      <c r="AR404" s="17" t="inlineStr">
        <is>
          <t>2026-07-05</t>
        </is>
      </c>
      <c r="AS404" s="17" t="inlineStr">
        <is>
          <t>C(부분확인)</t>
        </is>
      </c>
      <c r="AT404" s="17" t="n">
        <v>90</v>
      </c>
      <c r="AU404" s="17" t="inlineStr"/>
      <c r="AV404" s="17" t="inlineStr"/>
    </row>
    <row r="405">
      <c r="A405" s="28" t="inlineStr">
        <is>
          <t>Tier D</t>
        </is>
      </c>
      <c r="B405" s="17" t="n">
        <v>5</v>
      </c>
      <c r="C405" s="17" t="inlineStr">
        <is>
          <t>(주)셀릭스</t>
        </is>
      </c>
      <c r="D405" s="17" t="inlineStr">
        <is>
          <t>익산</t>
        </is>
      </c>
      <c r="E405" s="17" t="inlineStr">
        <is>
          <t>전북특별자치도</t>
        </is>
      </c>
      <c r="F405" s="17" t="inlineStr">
        <is>
          <t>익산시</t>
        </is>
      </c>
      <c r="G405" s="17" t="n">
        <v>1</v>
      </c>
      <c r="H405" s="17" t="inlineStr"/>
      <c r="I405" s="17" t="inlineStr"/>
      <c r="J405" s="17" t="inlineStr">
        <is>
          <t>Y</t>
        </is>
      </c>
      <c r="K405" s="17" t="inlineStr"/>
      <c r="L405" s="22" t="inlineStr">
        <is>
          <t>미확인</t>
        </is>
      </c>
      <c r="M405" s="22" t="inlineStr">
        <is>
          <t>미확인</t>
        </is>
      </c>
      <c r="N405" s="22" t="inlineStr">
        <is>
          <t>미확인</t>
        </is>
      </c>
      <c r="O405" s="22" t="inlineStr">
        <is>
          <t>미확인</t>
        </is>
      </c>
      <c r="P405" s="17" t="inlineStr">
        <is>
          <t>EDMS</t>
        </is>
      </c>
      <c r="Q405" s="22" t="inlineStr">
        <is>
          <t>미확인</t>
        </is>
      </c>
      <c r="R405" s="22" t="inlineStr">
        <is>
          <t>미확인</t>
        </is>
      </c>
      <c r="S405" s="17" t="inlineStr">
        <is>
          <t>Tier D</t>
        </is>
      </c>
      <c r="T405" s="17" t="n">
        <v>4</v>
      </c>
      <c r="U405" s="17" t="inlineStr">
        <is>
          <t>C028</t>
        </is>
      </c>
      <c r="V405" s="17" t="inlineStr">
        <is>
          <t>셀릭스</t>
        </is>
      </c>
      <c r="W405" s="17" t="inlineStr"/>
      <c r="X405" s="17" t="inlineStr"/>
      <c r="Y405" s="23" t="inlineStr"/>
      <c r="Z405" s="17" t="inlineStr">
        <is>
          <t>정문기</t>
        </is>
      </c>
      <c r="AA405" s="17" t="inlineStr"/>
      <c r="AB405" s="17" t="inlineStr">
        <is>
          <t>8767777</t>
        </is>
      </c>
      <c r="AC405" s="17" t="inlineStr">
        <is>
          <t>미확인</t>
        </is>
      </c>
      <c r="AD405" s="17" t="inlineStr">
        <is>
          <t>Y</t>
        </is>
      </c>
      <c r="AE405" s="17" t="inlineStr">
        <is>
          <t>P028</t>
        </is>
      </c>
      <c r="AF405" s="17" t="inlineStr">
        <is>
          <t>전북특별자치도 익산시 석암로9길 117</t>
        </is>
      </c>
      <c r="AG405" s="17" t="inlineStr">
        <is>
          <t>완제의약품</t>
        </is>
      </c>
      <c r="AH405" s="17" t="inlineStr">
        <is>
          <t>비무균-일반제제-내용고형제(정제, 캡슐제)</t>
        </is>
      </c>
      <c r="AI405" s="17" t="n">
        <v>1</v>
      </c>
      <c r="AJ405" s="24" t="n">
        <v>47262</v>
      </c>
      <c r="AK405" s="17" t="inlineStr"/>
      <c r="AL405" s="17" t="inlineStr"/>
      <c r="AM405" s="17" t="inlineStr">
        <is>
          <t>기본 문서관리 수요</t>
        </is>
      </c>
      <c r="AN405" s="17" t="inlineStr">
        <is>
          <t>미확인</t>
        </is>
      </c>
      <c r="AO405" s="17" t="inlineStr">
        <is>
          <t>미확인</t>
        </is>
      </c>
      <c r="AP405" s="17" t="inlineStr">
        <is>
          <t>미확인</t>
        </is>
      </c>
      <c r="AQ405" s="17" t="inlineStr">
        <is>
          <t>담당자 파악 후 접촉</t>
        </is>
      </c>
      <c r="AR405" s="17" t="inlineStr">
        <is>
          <t>2026-07-05</t>
        </is>
      </c>
      <c r="AS405" s="17" t="inlineStr">
        <is>
          <t>C(부분확인)</t>
        </is>
      </c>
      <c r="AT405" s="17" t="n">
        <v>90</v>
      </c>
      <c r="AU405" s="17" t="inlineStr"/>
      <c r="AV405" s="17" t="inlineStr"/>
    </row>
    <row r="406">
      <c r="A406" s="28" t="inlineStr">
        <is>
          <t>Tier D</t>
        </is>
      </c>
      <c r="B406" s="17" t="n">
        <v>5</v>
      </c>
      <c r="C406" s="17" t="inlineStr">
        <is>
          <t>(주)시어스제약</t>
        </is>
      </c>
      <c r="D406" s="17" t="inlineStr">
        <is>
          <t>2공장</t>
        </is>
      </c>
      <c r="E406" s="17" t="inlineStr">
        <is>
          <t>경기도</t>
        </is>
      </c>
      <c r="F406" s="17" t="inlineStr">
        <is>
          <t>화성시</t>
        </is>
      </c>
      <c r="G406" s="17" t="n">
        <v>1</v>
      </c>
      <c r="H406" s="17" t="inlineStr"/>
      <c r="I406" s="17" t="inlineStr"/>
      <c r="J406" s="17" t="inlineStr">
        <is>
          <t>Y</t>
        </is>
      </c>
      <c r="K406" s="17" t="inlineStr"/>
      <c r="L406" s="22" t="inlineStr">
        <is>
          <t>미확인</t>
        </is>
      </c>
      <c r="M406" s="22" t="inlineStr">
        <is>
          <t>미확인</t>
        </is>
      </c>
      <c r="N406" s="22" t="inlineStr">
        <is>
          <t>미확인</t>
        </is>
      </c>
      <c r="O406" s="22" t="inlineStr">
        <is>
          <t>미확인</t>
        </is>
      </c>
      <c r="P406" s="17" t="inlineStr">
        <is>
          <t>EDMS</t>
        </is>
      </c>
      <c r="Q406" s="22" t="inlineStr">
        <is>
          <t>미확인</t>
        </is>
      </c>
      <c r="R406" s="22" t="inlineStr">
        <is>
          <t>미확인</t>
        </is>
      </c>
      <c r="S406" s="17" t="inlineStr">
        <is>
          <t>Tier D</t>
        </is>
      </c>
      <c r="T406" s="17" t="n">
        <v>4</v>
      </c>
      <c r="U406" s="17" t="inlineStr">
        <is>
          <t>C061</t>
        </is>
      </c>
      <c r="V406" s="17" t="inlineStr">
        <is>
          <t>시어스제약</t>
        </is>
      </c>
      <c r="W406" s="17" t="inlineStr"/>
      <c r="X406" s="17" t="inlineStr"/>
      <c r="Y406" s="23" t="inlineStr"/>
      <c r="Z406" s="17" t="inlineStr">
        <is>
          <t>김분래</t>
        </is>
      </c>
      <c r="AA406" s="17" t="inlineStr"/>
      <c r="AB406" s="17" t="inlineStr">
        <is>
          <t>070-4105-8155</t>
        </is>
      </c>
      <c r="AC406" s="17" t="inlineStr">
        <is>
          <t>미확인</t>
        </is>
      </c>
      <c r="AD406" s="17" t="inlineStr">
        <is>
          <t>Y</t>
        </is>
      </c>
      <c r="AE406" s="17" t="inlineStr">
        <is>
          <t>P063</t>
        </is>
      </c>
      <c r="AF406" s="17" t="inlineStr">
        <is>
          <t>경기도 화성시 만세구 향남읍 발안공단로 32</t>
        </is>
      </c>
      <c r="AG406" s="17" t="inlineStr">
        <is>
          <t>완제의약품</t>
        </is>
      </c>
      <c r="AH406" s="17" t="inlineStr">
        <is>
          <t>비무균-일반제제-내용고형제(정제), 비무균-일반제제-연고제(크림제, 겔제)</t>
        </is>
      </c>
      <c r="AI406" s="17" t="n">
        <v>1</v>
      </c>
      <c r="AJ406" s="24" t="n">
        <v>47184</v>
      </c>
      <c r="AK406" s="17" t="inlineStr"/>
      <c r="AL406" s="17" t="inlineStr"/>
      <c r="AM406" s="17" t="inlineStr">
        <is>
          <t>기본 문서관리 수요</t>
        </is>
      </c>
      <c r="AN406" s="17" t="inlineStr">
        <is>
          <t>미확인</t>
        </is>
      </c>
      <c r="AO406" s="17" t="inlineStr">
        <is>
          <t>미확인</t>
        </is>
      </c>
      <c r="AP406" s="17" t="inlineStr">
        <is>
          <t>미확인</t>
        </is>
      </c>
      <c r="AQ406" s="17" t="inlineStr">
        <is>
          <t>담당자 파악 후 접촉</t>
        </is>
      </c>
      <c r="AR406" s="17" t="inlineStr">
        <is>
          <t>2026-07-05</t>
        </is>
      </c>
      <c r="AS406" s="17" t="inlineStr">
        <is>
          <t>C(부분확인)</t>
        </is>
      </c>
      <c r="AT406" s="17" t="n">
        <v>90</v>
      </c>
      <c r="AU406" s="17" t="inlineStr"/>
      <c r="AV406" s="17" t="inlineStr"/>
    </row>
    <row r="407">
      <c r="A407" s="28" t="inlineStr">
        <is>
          <t>Tier D</t>
        </is>
      </c>
      <c r="B407" s="17" t="n">
        <v>5</v>
      </c>
      <c r="C407" s="17" t="inlineStr">
        <is>
          <t>(주)아리제약</t>
        </is>
      </c>
      <c r="D407" s="17" t="inlineStr">
        <is>
          <t>제1공장</t>
        </is>
      </c>
      <c r="E407" s="17" t="inlineStr">
        <is>
          <t>충청북도</t>
        </is>
      </c>
      <c r="F407" s="17" t="inlineStr">
        <is>
          <t>청주시</t>
        </is>
      </c>
      <c r="G407" s="17" t="n">
        <v>1</v>
      </c>
      <c r="H407" s="17" t="inlineStr"/>
      <c r="I407" s="17" t="inlineStr"/>
      <c r="J407" s="17" t="inlineStr">
        <is>
          <t>Y</t>
        </is>
      </c>
      <c r="K407" s="17" t="inlineStr"/>
      <c r="L407" s="22" t="inlineStr">
        <is>
          <t>미확인</t>
        </is>
      </c>
      <c r="M407" s="22" t="inlineStr">
        <is>
          <t>미확인</t>
        </is>
      </c>
      <c r="N407" s="22" t="inlineStr">
        <is>
          <t>미확인</t>
        </is>
      </c>
      <c r="O407" s="22" t="inlineStr">
        <is>
          <t>미확인</t>
        </is>
      </c>
      <c r="P407" s="17" t="inlineStr">
        <is>
          <t>EDMS</t>
        </is>
      </c>
      <c r="Q407" s="22" t="inlineStr">
        <is>
          <t>미확인</t>
        </is>
      </c>
      <c r="R407" s="22" t="inlineStr">
        <is>
          <t>미확인</t>
        </is>
      </c>
      <c r="S407" s="17" t="inlineStr">
        <is>
          <t>Tier D</t>
        </is>
      </c>
      <c r="T407" s="17" t="n">
        <v>4</v>
      </c>
      <c r="U407" s="17" t="inlineStr">
        <is>
          <t>C237</t>
        </is>
      </c>
      <c r="V407" s="17" t="inlineStr">
        <is>
          <t>아리제약</t>
        </is>
      </c>
      <c r="W407" s="17" t="inlineStr"/>
      <c r="X407" s="17" t="inlineStr"/>
      <c r="Y407" s="23" t="inlineStr"/>
      <c r="Z407" s="17" t="inlineStr">
        <is>
          <t>김상영</t>
        </is>
      </c>
      <c r="AA407" s="17" t="inlineStr"/>
      <c r="AB407" s="17" t="inlineStr">
        <is>
          <t>미확인</t>
        </is>
      </c>
      <c r="AC407" s="17" t="inlineStr">
        <is>
          <t>미확인</t>
        </is>
      </c>
      <c r="AD407" s="17" t="inlineStr">
        <is>
          <t>Y</t>
        </is>
      </c>
      <c r="AE407" s="17" t="inlineStr">
        <is>
          <t>P269</t>
        </is>
      </c>
      <c r="AF407" s="17" t="inlineStr">
        <is>
          <t>충청북도 청주시 청원구 오창읍 양청3길 3 충북테크노파크 생명기업관 B02호, B15호, B17-1호, B17-2호, 103호, 203호, 204호, 205호, 206호, 215호, 216호, 217호, 313호,314호, 315호</t>
        </is>
      </c>
      <c r="AG407" s="17" t="inlineStr">
        <is>
          <t>완제의약품</t>
        </is>
      </c>
      <c r="AH407" s="17" t="inlineStr">
        <is>
          <t>비무균-일반제제-내용고형제(정제, 캡슐제)</t>
        </is>
      </c>
      <c r="AI407" s="17" t="n">
        <v>1</v>
      </c>
      <c r="AJ407" s="24" t="n">
        <v>46836</v>
      </c>
      <c r="AK407" s="17" t="inlineStr"/>
      <c r="AL407" s="17" t="inlineStr"/>
      <c r="AM407" s="17" t="inlineStr">
        <is>
          <t>기본 문서관리 수요</t>
        </is>
      </c>
      <c r="AN407" s="17" t="inlineStr">
        <is>
          <t>미확인</t>
        </is>
      </c>
      <c r="AO407" s="17" t="inlineStr">
        <is>
          <t>미확인</t>
        </is>
      </c>
      <c r="AP407" s="17" t="inlineStr">
        <is>
          <t>미확인</t>
        </is>
      </c>
      <c r="AQ407" s="17" t="inlineStr">
        <is>
          <t>담당자 파악 후 접촉</t>
        </is>
      </c>
      <c r="AR407" s="17" t="inlineStr">
        <is>
          <t>2026-07-05</t>
        </is>
      </c>
      <c r="AS407" s="17" t="inlineStr">
        <is>
          <t>C(부분확인)</t>
        </is>
      </c>
      <c r="AT407" s="17" t="n">
        <v>90</v>
      </c>
      <c r="AU407" s="17" t="inlineStr"/>
      <c r="AV407" s="17" t="inlineStr"/>
    </row>
    <row r="408">
      <c r="A408" s="28" t="inlineStr">
        <is>
          <t>Tier D</t>
        </is>
      </c>
      <c r="B408" s="17" t="n">
        <v>5</v>
      </c>
      <c r="C408" s="17" t="inlineStr">
        <is>
          <t>(주)아이월드제약</t>
        </is>
      </c>
      <c r="D408" s="17" t="inlineStr">
        <is>
          <t>(주)아이월드제약</t>
        </is>
      </c>
      <c r="E408" s="17" t="inlineStr">
        <is>
          <t>인천광역시</t>
        </is>
      </c>
      <c r="F408" s="17" t="inlineStr">
        <is>
          <t>남동구</t>
        </is>
      </c>
      <c r="G408" s="17" t="n">
        <v>1</v>
      </c>
      <c r="H408" s="17" t="inlineStr"/>
      <c r="I408" s="17" t="inlineStr"/>
      <c r="J408" s="17" t="inlineStr">
        <is>
          <t>Y</t>
        </is>
      </c>
      <c r="K408" s="17" t="inlineStr"/>
      <c r="L408" s="22" t="inlineStr">
        <is>
          <t>미확인</t>
        </is>
      </c>
      <c r="M408" s="22" t="inlineStr">
        <is>
          <t>미확인</t>
        </is>
      </c>
      <c r="N408" s="22" t="inlineStr">
        <is>
          <t>미확인</t>
        </is>
      </c>
      <c r="O408" s="22" t="inlineStr">
        <is>
          <t>미확인</t>
        </is>
      </c>
      <c r="P408" s="17" t="inlineStr">
        <is>
          <t>EDMS</t>
        </is>
      </c>
      <c r="Q408" s="22" t="inlineStr">
        <is>
          <t>미확인</t>
        </is>
      </c>
      <c r="R408" s="22" t="inlineStr">
        <is>
          <t>미확인</t>
        </is>
      </c>
      <c r="S408" s="17" t="inlineStr">
        <is>
          <t>Tier D</t>
        </is>
      </c>
      <c r="T408" s="17" t="n">
        <v>4</v>
      </c>
      <c r="U408" s="17" t="inlineStr">
        <is>
          <t>C029</t>
        </is>
      </c>
      <c r="V408" s="17" t="inlineStr">
        <is>
          <t>아이월드제약</t>
        </is>
      </c>
      <c r="W408" s="17" t="inlineStr"/>
      <c r="X408" s="17" t="inlineStr"/>
      <c r="Y408" s="23" t="inlineStr"/>
      <c r="Z408" s="17" t="inlineStr">
        <is>
          <t>전광석</t>
        </is>
      </c>
      <c r="AA408" s="17" t="inlineStr"/>
      <c r="AB408" s="17" t="inlineStr">
        <is>
          <t>032-815-2751</t>
        </is>
      </c>
      <c r="AC408" s="17" t="inlineStr">
        <is>
          <t>미확인</t>
        </is>
      </c>
      <c r="AD408" s="17" t="inlineStr">
        <is>
          <t>Y</t>
        </is>
      </c>
      <c r="AE408" s="17" t="inlineStr">
        <is>
          <t>P029</t>
        </is>
      </c>
      <c r="AF408" s="17" t="inlineStr">
        <is>
          <t>인천광역시 남동구 함박뫼로 316 17B-2L</t>
        </is>
      </c>
      <c r="AG408" s="17" t="inlineStr">
        <is>
          <t>완제의약품</t>
        </is>
      </c>
      <c r="AH408" s="17" t="inlineStr">
        <is>
          <t>비무균-일반제제-내용고형제(정제, 캡슐제, 산제, 과립제, 환제)</t>
        </is>
      </c>
      <c r="AI408" s="17" t="n">
        <v>1</v>
      </c>
      <c r="AJ408" s="24" t="n">
        <v>47256</v>
      </c>
      <c r="AK408" s="17" t="inlineStr"/>
      <c r="AL408" s="17" t="inlineStr"/>
      <c r="AM408" s="17" t="inlineStr">
        <is>
          <t>기본 문서관리 수요</t>
        </is>
      </c>
      <c r="AN408" s="17" t="inlineStr">
        <is>
          <t>미확인</t>
        </is>
      </c>
      <c r="AO408" s="17" t="inlineStr">
        <is>
          <t>미확인</t>
        </is>
      </c>
      <c r="AP408" s="17" t="inlineStr">
        <is>
          <t>미확인</t>
        </is>
      </c>
      <c r="AQ408" s="17" t="inlineStr">
        <is>
          <t>담당자 파악 후 접촉</t>
        </is>
      </c>
      <c r="AR408" s="17" t="inlineStr">
        <is>
          <t>2026-07-05</t>
        </is>
      </c>
      <c r="AS408" s="17" t="inlineStr">
        <is>
          <t>C(부분확인)</t>
        </is>
      </c>
      <c r="AT408" s="17" t="n">
        <v>90</v>
      </c>
      <c r="AU408" s="17" t="inlineStr"/>
      <c r="AV408" s="17" t="inlineStr"/>
    </row>
    <row r="409">
      <c r="A409" s="28" t="inlineStr">
        <is>
          <t>Tier D</t>
        </is>
      </c>
      <c r="B409" s="17" t="n">
        <v>5</v>
      </c>
      <c r="C409" s="17" t="inlineStr">
        <is>
          <t>(주)에니웨이</t>
        </is>
      </c>
      <c r="D409" s="17" t="inlineStr">
        <is>
          <t>(주)에니웨이</t>
        </is>
      </c>
      <c r="E409" s="17" t="inlineStr">
        <is>
          <t>경상남도</t>
        </is>
      </c>
      <c r="F409" s="17" t="inlineStr">
        <is>
          <t>함안군</t>
        </is>
      </c>
      <c r="G409" s="17" t="n">
        <v>1</v>
      </c>
      <c r="H409" s="17" t="inlineStr"/>
      <c r="I409" s="17" t="inlineStr"/>
      <c r="J409" s="17" t="inlineStr">
        <is>
          <t>Y</t>
        </is>
      </c>
      <c r="K409" s="17" t="inlineStr"/>
      <c r="L409" s="22" t="inlineStr">
        <is>
          <t>미확인</t>
        </is>
      </c>
      <c r="M409" s="22" t="inlineStr">
        <is>
          <t>미확인</t>
        </is>
      </c>
      <c r="N409" s="22" t="inlineStr">
        <is>
          <t>미확인</t>
        </is>
      </c>
      <c r="O409" s="22" t="inlineStr">
        <is>
          <t>미확인</t>
        </is>
      </c>
      <c r="P409" s="17" t="inlineStr">
        <is>
          <t>EDMS</t>
        </is>
      </c>
      <c r="Q409" s="22" t="inlineStr">
        <is>
          <t>미확인</t>
        </is>
      </c>
      <c r="R409" s="22" t="inlineStr">
        <is>
          <t>미확인</t>
        </is>
      </c>
      <c r="S409" s="17" t="inlineStr">
        <is>
          <t>Tier D</t>
        </is>
      </c>
      <c r="T409" s="17" t="n">
        <v>4</v>
      </c>
      <c r="U409" s="17" t="inlineStr">
        <is>
          <t>C274</t>
        </is>
      </c>
      <c r="V409" s="17" t="inlineStr">
        <is>
          <t>에니웨이</t>
        </is>
      </c>
      <c r="W409" s="17" t="inlineStr"/>
      <c r="X409" s="17" t="inlineStr"/>
      <c r="Y409" s="23" t="inlineStr"/>
      <c r="Z409" s="17" t="inlineStr">
        <is>
          <t>박정철</t>
        </is>
      </c>
      <c r="AA409" s="17" t="inlineStr"/>
      <c r="AB409" s="17" t="inlineStr">
        <is>
          <t>055-587-4121</t>
        </is>
      </c>
      <c r="AC409" s="17" t="inlineStr">
        <is>
          <t>미확인</t>
        </is>
      </c>
      <c r="AD409" s="17" t="inlineStr">
        <is>
          <t>Y</t>
        </is>
      </c>
      <c r="AE409" s="17" t="inlineStr">
        <is>
          <t>P329</t>
        </is>
      </c>
      <c r="AF409" s="17" t="inlineStr">
        <is>
          <t>경상남도 함안군 칠북면 영동1길 5</t>
        </is>
      </c>
      <c r="AG409" s="17" t="inlineStr">
        <is>
          <t>완제의약품</t>
        </is>
      </c>
      <c r="AH409" s="17" t="inlineStr">
        <is>
          <t>비무균-일반제제(의료용 고압가스)-가스제(의료용 고압가스)</t>
        </is>
      </c>
      <c r="AI409" s="17" t="n">
        <v>1</v>
      </c>
      <c r="AJ409" s="24" t="n">
        <v>46681</v>
      </c>
      <c r="AK409" s="17" t="inlineStr"/>
      <c r="AL409" s="17" t="inlineStr"/>
      <c r="AM409" s="17" t="inlineStr">
        <is>
          <t>기본 문서관리 수요</t>
        </is>
      </c>
      <c r="AN409" s="17" t="inlineStr">
        <is>
          <t>미확인</t>
        </is>
      </c>
      <c r="AO409" s="17" t="inlineStr">
        <is>
          <t>미확인</t>
        </is>
      </c>
      <c r="AP409" s="17" t="inlineStr">
        <is>
          <t>미확인</t>
        </is>
      </c>
      <c r="AQ409" s="17" t="inlineStr">
        <is>
          <t>담당자 파악 후 접촉</t>
        </is>
      </c>
      <c r="AR409" s="17" t="inlineStr">
        <is>
          <t>2026-07-05</t>
        </is>
      </c>
      <c r="AS409" s="17" t="inlineStr">
        <is>
          <t>C(부분확인)</t>
        </is>
      </c>
      <c r="AT409" s="17" t="n">
        <v>90</v>
      </c>
      <c r="AU409" s="17" t="inlineStr"/>
      <c r="AV409" s="17" t="inlineStr"/>
    </row>
    <row r="410">
      <c r="A410" s="28" t="inlineStr">
        <is>
          <t>Tier D</t>
        </is>
      </c>
      <c r="B410" s="17" t="n">
        <v>5</v>
      </c>
      <c r="C410" s="17" t="inlineStr">
        <is>
          <t>(주)에이치피앤씨</t>
        </is>
      </c>
      <c r="D410" s="17" t="inlineStr">
        <is>
          <t>1공장</t>
        </is>
      </c>
      <c r="E410" s="17" t="inlineStr">
        <is>
          <t>충청북도</t>
        </is>
      </c>
      <c r="F410" s="17" t="inlineStr">
        <is>
          <t>청주시</t>
        </is>
      </c>
      <c r="G410" s="17" t="n">
        <v>1</v>
      </c>
      <c r="H410" s="17" t="inlineStr"/>
      <c r="I410" s="17" t="inlineStr"/>
      <c r="J410" s="17" t="inlineStr">
        <is>
          <t>Y</t>
        </is>
      </c>
      <c r="K410" s="17" t="inlineStr"/>
      <c r="L410" s="22" t="inlineStr">
        <is>
          <t>미확인</t>
        </is>
      </c>
      <c r="M410" s="22" t="inlineStr">
        <is>
          <t>미확인</t>
        </is>
      </c>
      <c r="N410" s="22" t="inlineStr">
        <is>
          <t>미확인</t>
        </is>
      </c>
      <c r="O410" s="22" t="inlineStr">
        <is>
          <t>미확인</t>
        </is>
      </c>
      <c r="P410" s="17" t="inlineStr">
        <is>
          <t>EDMS</t>
        </is>
      </c>
      <c r="Q410" s="22" t="inlineStr">
        <is>
          <t>미확인</t>
        </is>
      </c>
      <c r="R410" s="22" t="inlineStr">
        <is>
          <t>미확인</t>
        </is>
      </c>
      <c r="S410" s="17" t="inlineStr">
        <is>
          <t>Tier D</t>
        </is>
      </c>
      <c r="T410" s="17" t="n">
        <v>4</v>
      </c>
      <c r="U410" s="17" t="inlineStr">
        <is>
          <t>C101</t>
        </is>
      </c>
      <c r="V410" s="17" t="inlineStr">
        <is>
          <t>에이치피앤씨</t>
        </is>
      </c>
      <c r="W410" s="17" t="inlineStr"/>
      <c r="X410" s="17" t="inlineStr"/>
      <c r="Y410" s="23" t="inlineStr"/>
      <c r="Z410" s="17" t="inlineStr">
        <is>
          <t>김홍숙</t>
        </is>
      </c>
      <c r="AA410" s="17" t="inlineStr"/>
      <c r="AB410" s="17" t="inlineStr">
        <is>
          <t>043-236-0026</t>
        </is>
      </c>
      <c r="AC410" s="17" t="inlineStr">
        <is>
          <t>미확인</t>
        </is>
      </c>
      <c r="AD410" s="17" t="inlineStr">
        <is>
          <t>Y</t>
        </is>
      </c>
      <c r="AE410" s="17" t="inlineStr">
        <is>
          <t>P105</t>
        </is>
      </c>
      <c r="AF410" s="17" t="inlineStr">
        <is>
          <t>충청북도 청주시 흥덕구 오송읍 오송생명6로 22</t>
        </is>
      </c>
      <c r="AG410" s="17" t="inlineStr">
        <is>
          <t>완제의약품</t>
        </is>
      </c>
      <c r="AH410" s="17" t="inlineStr">
        <is>
          <t>비무균-일반제제-외용액제(외용액제)</t>
        </is>
      </c>
      <c r="AI410" s="17" t="n">
        <v>1</v>
      </c>
      <c r="AJ410" s="24" t="n">
        <v>47072</v>
      </c>
      <c r="AK410" s="17" t="inlineStr"/>
      <c r="AL410" s="17" t="inlineStr"/>
      <c r="AM410" s="17" t="inlineStr">
        <is>
          <t>기본 문서관리 수요</t>
        </is>
      </c>
      <c r="AN410" s="17" t="inlineStr">
        <is>
          <t>미확인</t>
        </is>
      </c>
      <c r="AO410" s="17" t="inlineStr">
        <is>
          <t>미확인</t>
        </is>
      </c>
      <c r="AP410" s="17" t="inlineStr">
        <is>
          <t>미확인</t>
        </is>
      </c>
      <c r="AQ410" s="17" t="inlineStr">
        <is>
          <t>담당자 파악 후 접촉</t>
        </is>
      </c>
      <c r="AR410" s="17" t="inlineStr">
        <is>
          <t>2026-07-05</t>
        </is>
      </c>
      <c r="AS410" s="17" t="inlineStr">
        <is>
          <t>C(부분확인)</t>
        </is>
      </c>
      <c r="AT410" s="17" t="n">
        <v>90</v>
      </c>
      <c r="AU410" s="17" t="inlineStr"/>
      <c r="AV410" s="17" t="inlineStr"/>
    </row>
    <row r="411">
      <c r="A411" s="28" t="inlineStr">
        <is>
          <t>Tier D</t>
        </is>
      </c>
      <c r="B411" s="17" t="n">
        <v>5</v>
      </c>
      <c r="C411" s="17" t="inlineStr">
        <is>
          <t>(주)엠에스가스</t>
        </is>
      </c>
      <c r="D411" s="17" t="inlineStr">
        <is>
          <t>광주</t>
        </is>
      </c>
      <c r="E411" s="17" t="inlineStr">
        <is>
          <t>경기도</t>
        </is>
      </c>
      <c r="F411" s="17" t="inlineStr">
        <is>
          <t>광주시</t>
        </is>
      </c>
      <c r="G411" s="17" t="n">
        <v>1</v>
      </c>
      <c r="H411" s="17" t="inlineStr"/>
      <c r="I411" s="17" t="inlineStr"/>
      <c r="J411" s="17" t="inlineStr">
        <is>
          <t>Y</t>
        </is>
      </c>
      <c r="K411" s="17" t="inlineStr"/>
      <c r="L411" s="22" t="inlineStr">
        <is>
          <t>미확인</t>
        </is>
      </c>
      <c r="M411" s="22" t="inlineStr">
        <is>
          <t>미확인</t>
        </is>
      </c>
      <c r="N411" s="22" t="inlineStr">
        <is>
          <t>미확인</t>
        </is>
      </c>
      <c r="O411" s="22" t="inlineStr">
        <is>
          <t>미확인</t>
        </is>
      </c>
      <c r="P411" s="17" t="inlineStr">
        <is>
          <t>EDMS</t>
        </is>
      </c>
      <c r="Q411" s="22" t="inlineStr">
        <is>
          <t>미확인</t>
        </is>
      </c>
      <c r="R411" s="22" t="inlineStr">
        <is>
          <t>미확인</t>
        </is>
      </c>
      <c r="S411" s="17" t="inlineStr">
        <is>
          <t>Tier D</t>
        </is>
      </c>
      <c r="T411" s="17" t="n">
        <v>4</v>
      </c>
      <c r="U411" s="17" t="inlineStr">
        <is>
          <t>C082</t>
        </is>
      </c>
      <c r="V411" s="17" t="inlineStr">
        <is>
          <t>엠에스가스</t>
        </is>
      </c>
      <c r="W411" s="17" t="inlineStr"/>
      <c r="X411" s="17" t="inlineStr"/>
      <c r="Y411" s="23" t="inlineStr"/>
      <c r="Z411" s="17" t="inlineStr">
        <is>
          <t>전청민</t>
        </is>
      </c>
      <c r="AA411" s="17" t="inlineStr"/>
      <c r="AB411" s="17" t="inlineStr">
        <is>
          <t>미확인</t>
        </is>
      </c>
      <c r="AC411" s="17" t="inlineStr">
        <is>
          <t>미확인</t>
        </is>
      </c>
      <c r="AD411" s="17" t="inlineStr">
        <is>
          <t>Y</t>
        </is>
      </c>
      <c r="AE411" s="17" t="inlineStr">
        <is>
          <t>P084</t>
        </is>
      </c>
      <c r="AF411" s="17" t="inlineStr">
        <is>
          <t>경기도 광주시 초월읍 무들로8번길 51-4</t>
        </is>
      </c>
      <c r="AG411" s="17" t="inlineStr">
        <is>
          <t>완제의약품</t>
        </is>
      </c>
      <c r="AH411" s="17" t="inlineStr">
        <is>
          <t>비무균-일반제제(의료용 고압가스)-가스제(의료용 고압가스)</t>
        </is>
      </c>
      <c r="AI411" s="17" t="n">
        <v>1</v>
      </c>
      <c r="AJ411" s="24" t="n">
        <v>47149</v>
      </c>
      <c r="AK411" s="17" t="inlineStr"/>
      <c r="AL411" s="17" t="inlineStr"/>
      <c r="AM411" s="17" t="inlineStr">
        <is>
          <t>기본 문서관리 수요</t>
        </is>
      </c>
      <c r="AN411" s="17" t="inlineStr">
        <is>
          <t>미확인</t>
        </is>
      </c>
      <c r="AO411" s="17" t="inlineStr">
        <is>
          <t>미확인</t>
        </is>
      </c>
      <c r="AP411" s="17" t="inlineStr">
        <is>
          <t>미확인</t>
        </is>
      </c>
      <c r="AQ411" s="17" t="inlineStr">
        <is>
          <t>담당자 파악 후 접촉</t>
        </is>
      </c>
      <c r="AR411" s="17" t="inlineStr">
        <is>
          <t>2026-07-05</t>
        </is>
      </c>
      <c r="AS411" s="17" t="inlineStr">
        <is>
          <t>C(부분확인)</t>
        </is>
      </c>
      <c r="AT411" s="17" t="n">
        <v>90</v>
      </c>
      <c r="AU411" s="17" t="inlineStr"/>
      <c r="AV411" s="17" t="inlineStr"/>
    </row>
    <row r="412">
      <c r="A412" s="28" t="inlineStr">
        <is>
          <t>Tier D</t>
        </is>
      </c>
      <c r="B412" s="17" t="n">
        <v>5</v>
      </c>
      <c r="C412" s="17" t="inlineStr">
        <is>
          <t>(주)유앤생명과학</t>
        </is>
      </c>
      <c r="D412" s="17" t="inlineStr">
        <is>
          <t>제1공장</t>
        </is>
      </c>
      <c r="E412" s="17" t="inlineStr">
        <is>
          <t>경기도</t>
        </is>
      </c>
      <c r="F412" s="17" t="inlineStr">
        <is>
          <t>안산시</t>
        </is>
      </c>
      <c r="G412" s="17" t="n">
        <v>1</v>
      </c>
      <c r="H412" s="17" t="inlineStr"/>
      <c r="I412" s="17" t="inlineStr"/>
      <c r="J412" s="17" t="inlineStr">
        <is>
          <t>Y</t>
        </is>
      </c>
      <c r="K412" s="17" t="inlineStr"/>
      <c r="L412" s="22" t="inlineStr">
        <is>
          <t>미확인</t>
        </is>
      </c>
      <c r="M412" s="22" t="inlineStr">
        <is>
          <t>미확인</t>
        </is>
      </c>
      <c r="N412" s="22" t="inlineStr">
        <is>
          <t>미확인</t>
        </is>
      </c>
      <c r="O412" s="22" t="inlineStr">
        <is>
          <t>미확인</t>
        </is>
      </c>
      <c r="P412" s="17" t="inlineStr">
        <is>
          <t>EDMS</t>
        </is>
      </c>
      <c r="Q412" s="22" t="inlineStr">
        <is>
          <t>미확인</t>
        </is>
      </c>
      <c r="R412" s="22" t="inlineStr">
        <is>
          <t>미확인</t>
        </is>
      </c>
      <c r="S412" s="17" t="inlineStr">
        <is>
          <t>Tier D</t>
        </is>
      </c>
      <c r="T412" s="17" t="n">
        <v>4</v>
      </c>
      <c r="U412" s="17" t="inlineStr">
        <is>
          <t>C184</t>
        </is>
      </c>
      <c r="V412" s="17" t="inlineStr">
        <is>
          <t>유앤생명과학</t>
        </is>
      </c>
      <c r="W412" s="17" t="inlineStr"/>
      <c r="X412" s="17" t="inlineStr"/>
      <c r="Y412" s="23" t="inlineStr"/>
      <c r="Z412" s="17" t="inlineStr">
        <is>
          <t>김상한</t>
        </is>
      </c>
      <c r="AA412" s="17" t="inlineStr"/>
      <c r="AB412" s="17" t="inlineStr">
        <is>
          <t>02-6952-8838</t>
        </is>
      </c>
      <c r="AC412" s="17" t="inlineStr">
        <is>
          <t>미확인</t>
        </is>
      </c>
      <c r="AD412" s="17" t="inlineStr">
        <is>
          <t>Y</t>
        </is>
      </c>
      <c r="AE412" s="17" t="inlineStr">
        <is>
          <t>P198</t>
        </is>
      </c>
      <c r="AF412" s="17" t="inlineStr">
        <is>
          <t>경기도 안산시 단원구 별망로 627</t>
        </is>
      </c>
      <c r="AG412" s="17" t="inlineStr">
        <is>
          <t>완제의약품</t>
        </is>
      </c>
      <c r="AH412" s="17" t="inlineStr">
        <is>
          <t>비무균-일반제제-내용고형제(정제, 캡슐제)</t>
        </is>
      </c>
      <c r="AI412" s="17" t="n">
        <v>1</v>
      </c>
      <c r="AJ412" s="24" t="n">
        <v>46920</v>
      </c>
      <c r="AK412" s="17" t="inlineStr"/>
      <c r="AL412" s="17" t="inlineStr"/>
      <c r="AM412" s="17" t="inlineStr">
        <is>
          <t>기본 문서관리 수요</t>
        </is>
      </c>
      <c r="AN412" s="17" t="inlineStr">
        <is>
          <t>미확인</t>
        </is>
      </c>
      <c r="AO412" s="17" t="inlineStr">
        <is>
          <t>미확인</t>
        </is>
      </c>
      <c r="AP412" s="17" t="inlineStr">
        <is>
          <t>미확인</t>
        </is>
      </c>
      <c r="AQ412" s="17" t="inlineStr">
        <is>
          <t>담당자 파악 후 접촉</t>
        </is>
      </c>
      <c r="AR412" s="17" t="inlineStr">
        <is>
          <t>2026-07-05</t>
        </is>
      </c>
      <c r="AS412" s="17" t="inlineStr">
        <is>
          <t>C(부분확인)</t>
        </is>
      </c>
      <c r="AT412" s="17" t="n">
        <v>90</v>
      </c>
      <c r="AU412" s="17" t="inlineStr"/>
      <c r="AV412" s="17" t="inlineStr"/>
    </row>
    <row r="413">
      <c r="A413" s="28" t="inlineStr">
        <is>
          <t>Tier D</t>
        </is>
      </c>
      <c r="B413" s="17" t="n">
        <v>5</v>
      </c>
      <c r="C413" s="17" t="inlineStr">
        <is>
          <t>(주)일화</t>
        </is>
      </c>
      <c r="D413" s="17" t="inlineStr">
        <is>
          <t>춘천</t>
        </is>
      </c>
      <c r="E413" s="17" t="inlineStr">
        <is>
          <t>강원특별자치도</t>
        </is>
      </c>
      <c r="F413" s="17" t="inlineStr">
        <is>
          <t>춘천시</t>
        </is>
      </c>
      <c r="G413" s="17" t="n">
        <v>1</v>
      </c>
      <c r="H413" s="17" t="inlineStr"/>
      <c r="I413" s="17" t="inlineStr"/>
      <c r="J413" s="17" t="inlineStr">
        <is>
          <t>Y</t>
        </is>
      </c>
      <c r="K413" s="17" t="inlineStr"/>
      <c r="L413" s="22" t="inlineStr">
        <is>
          <t>미확인</t>
        </is>
      </c>
      <c r="M413" s="22" t="inlineStr">
        <is>
          <t>미확인</t>
        </is>
      </c>
      <c r="N413" s="22" t="inlineStr">
        <is>
          <t>미확인</t>
        </is>
      </c>
      <c r="O413" s="22" t="inlineStr">
        <is>
          <t>미확인</t>
        </is>
      </c>
      <c r="P413" s="17" t="inlineStr">
        <is>
          <t>EDMS</t>
        </is>
      </c>
      <c r="Q413" s="22" t="inlineStr">
        <is>
          <t>미확인</t>
        </is>
      </c>
      <c r="R413" s="22" t="inlineStr">
        <is>
          <t>미확인</t>
        </is>
      </c>
      <c r="S413" s="17" t="inlineStr">
        <is>
          <t>Tier D</t>
        </is>
      </c>
      <c r="T413" s="17" t="n">
        <v>4</v>
      </c>
      <c r="U413" s="17" t="inlineStr">
        <is>
          <t>C155</t>
        </is>
      </c>
      <c r="V413" s="17" t="inlineStr">
        <is>
          <t>일화</t>
        </is>
      </c>
      <c r="W413" s="17" t="inlineStr"/>
      <c r="X413" s="17" t="inlineStr"/>
      <c r="Y413" s="23" t="inlineStr"/>
      <c r="Z413" s="17" t="inlineStr">
        <is>
          <t>권형중</t>
        </is>
      </c>
      <c r="AA413" s="17" t="inlineStr"/>
      <c r="AB413" s="17" t="inlineStr">
        <is>
          <t>031-550-0477</t>
        </is>
      </c>
      <c r="AC413" s="17" t="inlineStr">
        <is>
          <t>미확인</t>
        </is>
      </c>
      <c r="AD413" s="17" t="inlineStr">
        <is>
          <t>Y</t>
        </is>
      </c>
      <c r="AE413" s="17" t="inlineStr">
        <is>
          <t>P166</t>
        </is>
      </c>
      <c r="AF413" s="17" t="inlineStr">
        <is>
          <t>강원특별자치도 춘천시 동내면 거두단지2길 55</t>
        </is>
      </c>
      <c r="AG413" s="17" t="inlineStr">
        <is>
          <t>완제의약품</t>
        </is>
      </c>
      <c r="AH413" s="17" t="inlineStr">
        <is>
          <t>비무균-일반제제-내용고형제(정제, 캡슐제), 비무균-일반제제-내용액제(경구용액제)</t>
        </is>
      </c>
      <c r="AI413" s="17" t="n">
        <v>1</v>
      </c>
      <c r="AJ413" s="24" t="n">
        <v>46955</v>
      </c>
      <c r="AK413" s="17" t="inlineStr"/>
      <c r="AL413" s="17" t="inlineStr"/>
      <c r="AM413" s="17" t="inlineStr">
        <is>
          <t>기본 문서관리 수요</t>
        </is>
      </c>
      <c r="AN413" s="17" t="inlineStr">
        <is>
          <t>미확인</t>
        </is>
      </c>
      <c r="AO413" s="17" t="inlineStr">
        <is>
          <t>미확인</t>
        </is>
      </c>
      <c r="AP413" s="17" t="inlineStr">
        <is>
          <t>미확인</t>
        </is>
      </c>
      <c r="AQ413" s="17" t="inlineStr">
        <is>
          <t>담당자 파악 후 접촉</t>
        </is>
      </c>
      <c r="AR413" s="17" t="inlineStr">
        <is>
          <t>2026-07-05</t>
        </is>
      </c>
      <c r="AS413" s="17" t="inlineStr">
        <is>
          <t>C(부분확인)</t>
        </is>
      </c>
      <c r="AT413" s="17" t="n">
        <v>90</v>
      </c>
      <c r="AU413" s="17" t="inlineStr"/>
      <c r="AV413" s="17" t="inlineStr"/>
    </row>
    <row r="414">
      <c r="A414" s="28" t="inlineStr">
        <is>
          <t>Tier D</t>
        </is>
      </c>
      <c r="B414" s="17" t="n">
        <v>5</v>
      </c>
      <c r="C414" s="17" t="inlineStr">
        <is>
          <t>(주)제뉴파마</t>
        </is>
      </c>
      <c r="D414" s="17" t="inlineStr">
        <is>
          <t>제천</t>
        </is>
      </c>
      <c r="E414" s="17" t="inlineStr">
        <is>
          <t>충청북도</t>
        </is>
      </c>
      <c r="F414" s="17" t="inlineStr">
        <is>
          <t>제천시</t>
        </is>
      </c>
      <c r="G414" s="17" t="n">
        <v>1</v>
      </c>
      <c r="H414" s="17" t="inlineStr"/>
      <c r="I414" s="17" t="inlineStr"/>
      <c r="J414" s="17" t="inlineStr">
        <is>
          <t>Y</t>
        </is>
      </c>
      <c r="K414" s="17" t="inlineStr"/>
      <c r="L414" s="22" t="inlineStr">
        <is>
          <t>미확인</t>
        </is>
      </c>
      <c r="M414" s="22" t="inlineStr">
        <is>
          <t>미확인</t>
        </is>
      </c>
      <c r="N414" s="22" t="inlineStr">
        <is>
          <t>미확인</t>
        </is>
      </c>
      <c r="O414" s="22" t="inlineStr">
        <is>
          <t>미확인</t>
        </is>
      </c>
      <c r="P414" s="17" t="inlineStr">
        <is>
          <t>EDMS</t>
        </is>
      </c>
      <c r="Q414" s="22" t="inlineStr">
        <is>
          <t>미확인</t>
        </is>
      </c>
      <c r="R414" s="22" t="inlineStr">
        <is>
          <t>미확인</t>
        </is>
      </c>
      <c r="S414" s="17" t="inlineStr">
        <is>
          <t>Tier D</t>
        </is>
      </c>
      <c r="T414" s="17" t="n">
        <v>4</v>
      </c>
      <c r="U414" s="17" t="inlineStr">
        <is>
          <t>C177</t>
        </is>
      </c>
      <c r="V414" s="17" t="inlineStr">
        <is>
          <t>제뉴파마</t>
        </is>
      </c>
      <c r="W414" s="17" t="inlineStr"/>
      <c r="X414" s="17" t="inlineStr"/>
      <c r="Y414" s="23" t="inlineStr"/>
      <c r="Z414" s="17" t="inlineStr">
        <is>
          <t>전광현</t>
        </is>
      </c>
      <c r="AA414" s="17" t="inlineStr"/>
      <c r="AB414" s="17" t="inlineStr">
        <is>
          <t>080-640-0088</t>
        </is>
      </c>
      <c r="AC414" s="17" t="inlineStr">
        <is>
          <t>미확인</t>
        </is>
      </c>
      <c r="AD414" s="17" t="inlineStr">
        <is>
          <t>Y</t>
        </is>
      </c>
      <c r="AE414" s="17" t="inlineStr">
        <is>
          <t>P190</t>
        </is>
      </c>
      <c r="AF414" s="17" t="inlineStr">
        <is>
          <t>충청북도 제천시 바이오밸리2로 93</t>
        </is>
      </c>
      <c r="AG414" s="17" t="inlineStr">
        <is>
          <t>완제의약품</t>
        </is>
      </c>
      <c r="AH414" s="17" t="inlineStr">
        <is>
          <t>비무균-일반제제-내용고형제(정제, 질정, 캡슐제, 시럽제(고형)), 비무균-일반제제-연고제(연고제, 크림제, 겔제)</t>
        </is>
      </c>
      <c r="AI414" s="17" t="n">
        <v>1</v>
      </c>
      <c r="AJ414" s="24" t="n">
        <v>46931</v>
      </c>
      <c r="AK414" s="17" t="inlineStr"/>
      <c r="AL414" s="17" t="inlineStr"/>
      <c r="AM414" s="17" t="inlineStr">
        <is>
          <t>기본 문서관리 수요</t>
        </is>
      </c>
      <c r="AN414" s="17" t="inlineStr">
        <is>
          <t>미확인</t>
        </is>
      </c>
      <c r="AO414" s="17" t="inlineStr">
        <is>
          <t>미확인</t>
        </is>
      </c>
      <c r="AP414" s="17" t="inlineStr">
        <is>
          <t>미확인</t>
        </is>
      </c>
      <c r="AQ414" s="17" t="inlineStr">
        <is>
          <t>담당자 파악 후 접촉</t>
        </is>
      </c>
      <c r="AR414" s="17" t="inlineStr">
        <is>
          <t>2026-07-05</t>
        </is>
      </c>
      <c r="AS414" s="17" t="inlineStr">
        <is>
          <t>C(부분확인)</t>
        </is>
      </c>
      <c r="AT414" s="17" t="n">
        <v>90</v>
      </c>
      <c r="AU414" s="17" t="inlineStr"/>
      <c r="AV414" s="17" t="inlineStr"/>
    </row>
    <row r="415">
      <c r="A415" s="28" t="inlineStr">
        <is>
          <t>Tier D</t>
        </is>
      </c>
      <c r="B415" s="17" t="n">
        <v>5</v>
      </c>
      <c r="C415" s="17" t="inlineStr">
        <is>
          <t>(주)제이에스산업가스</t>
        </is>
      </c>
      <c r="D415" s="17" t="inlineStr">
        <is>
          <t>(주)제이에스산업가스</t>
        </is>
      </c>
      <c r="E415" s="17" t="inlineStr">
        <is>
          <t>경상남도</t>
        </is>
      </c>
      <c r="F415" s="17" t="inlineStr">
        <is>
          <t>김해시</t>
        </is>
      </c>
      <c r="G415" s="17" t="n">
        <v>1</v>
      </c>
      <c r="H415" s="17" t="inlineStr"/>
      <c r="I415" s="17" t="inlineStr"/>
      <c r="J415" s="17" t="inlineStr">
        <is>
          <t>Y</t>
        </is>
      </c>
      <c r="K415" s="17" t="inlineStr"/>
      <c r="L415" s="22" t="inlineStr">
        <is>
          <t>미확인</t>
        </is>
      </c>
      <c r="M415" s="22" t="inlineStr">
        <is>
          <t>미확인</t>
        </is>
      </c>
      <c r="N415" s="22" t="inlineStr">
        <is>
          <t>미확인</t>
        </is>
      </c>
      <c r="O415" s="22" t="inlineStr">
        <is>
          <t>미확인</t>
        </is>
      </c>
      <c r="P415" s="17" t="inlineStr">
        <is>
          <t>EDMS</t>
        </is>
      </c>
      <c r="Q415" s="22" t="inlineStr">
        <is>
          <t>미확인</t>
        </is>
      </c>
      <c r="R415" s="22" t="inlineStr">
        <is>
          <t>미확인</t>
        </is>
      </c>
      <c r="S415" s="17" t="inlineStr">
        <is>
          <t>Tier D</t>
        </is>
      </c>
      <c r="T415" s="17" t="n">
        <v>4</v>
      </c>
      <c r="U415" s="17" t="inlineStr">
        <is>
          <t>C112</t>
        </is>
      </c>
      <c r="V415" s="17" t="inlineStr">
        <is>
          <t>제이에스산업가스</t>
        </is>
      </c>
      <c r="W415" s="17" t="inlineStr"/>
      <c r="X415" s="17" t="inlineStr"/>
      <c r="Y415" s="23" t="inlineStr"/>
      <c r="Z415" s="17" t="inlineStr">
        <is>
          <t>노지형</t>
        </is>
      </c>
      <c r="AA415" s="17" t="inlineStr"/>
      <c r="AB415" s="17" t="inlineStr">
        <is>
          <t>055-338-0577</t>
        </is>
      </c>
      <c r="AC415" s="17" t="inlineStr">
        <is>
          <t>미확인</t>
        </is>
      </c>
      <c r="AD415" s="17" t="inlineStr">
        <is>
          <t>Y</t>
        </is>
      </c>
      <c r="AE415" s="17" t="inlineStr">
        <is>
          <t>P117</t>
        </is>
      </c>
      <c r="AF415" s="17" t="inlineStr">
        <is>
          <t>경상남도 김해시 한림면 한림로515번길 105-14</t>
        </is>
      </c>
      <c r="AG415" s="17" t="inlineStr">
        <is>
          <t>완제의약품</t>
        </is>
      </c>
      <c r="AH415" s="17" t="inlineStr">
        <is>
          <t>비무균-일반제제-가스제(의료용 고압가스)</t>
        </is>
      </c>
      <c r="AI415" s="17" t="n">
        <v>1</v>
      </c>
      <c r="AJ415" s="24" t="n">
        <v>47047</v>
      </c>
      <c r="AK415" s="17" t="inlineStr"/>
      <c r="AL415" s="17" t="inlineStr"/>
      <c r="AM415" s="17" t="inlineStr">
        <is>
          <t>기본 문서관리 수요</t>
        </is>
      </c>
      <c r="AN415" s="17" t="inlineStr">
        <is>
          <t>미확인</t>
        </is>
      </c>
      <c r="AO415" s="17" t="inlineStr">
        <is>
          <t>미확인</t>
        </is>
      </c>
      <c r="AP415" s="17" t="inlineStr">
        <is>
          <t>미확인</t>
        </is>
      </c>
      <c r="AQ415" s="17" t="inlineStr">
        <is>
          <t>담당자 파악 후 접촉</t>
        </is>
      </c>
      <c r="AR415" s="17" t="inlineStr">
        <is>
          <t>2026-07-05</t>
        </is>
      </c>
      <c r="AS415" s="17" t="inlineStr">
        <is>
          <t>C(부분확인)</t>
        </is>
      </c>
      <c r="AT415" s="17" t="n">
        <v>90</v>
      </c>
      <c r="AU415" s="17" t="inlineStr"/>
      <c r="AV415" s="17" t="inlineStr"/>
    </row>
    <row r="416">
      <c r="A416" s="28" t="inlineStr">
        <is>
          <t>Tier D</t>
        </is>
      </c>
      <c r="B416" s="17" t="n">
        <v>5</v>
      </c>
      <c r="C416" s="17" t="inlineStr">
        <is>
          <t>(주)제일가스</t>
        </is>
      </c>
      <c r="D416" s="17" t="inlineStr">
        <is>
          <t>인천</t>
        </is>
      </c>
      <c r="E416" s="17" t="inlineStr">
        <is>
          <t>인천광역시</t>
        </is>
      </c>
      <c r="F416" s="17" t="inlineStr">
        <is>
          <t>서구</t>
        </is>
      </c>
      <c r="G416" s="17" t="n">
        <v>1</v>
      </c>
      <c r="H416" s="17" t="inlineStr"/>
      <c r="I416" s="17" t="inlineStr"/>
      <c r="J416" s="17" t="inlineStr">
        <is>
          <t>Y</t>
        </is>
      </c>
      <c r="K416" s="17" t="inlineStr"/>
      <c r="L416" s="22" t="inlineStr">
        <is>
          <t>미확인</t>
        </is>
      </c>
      <c r="M416" s="22" t="inlineStr">
        <is>
          <t>미확인</t>
        </is>
      </c>
      <c r="N416" s="22" t="inlineStr">
        <is>
          <t>미확인</t>
        </is>
      </c>
      <c r="O416" s="22" t="inlineStr">
        <is>
          <t>미확인</t>
        </is>
      </c>
      <c r="P416" s="17" t="inlineStr">
        <is>
          <t>EDMS</t>
        </is>
      </c>
      <c r="Q416" s="22" t="inlineStr">
        <is>
          <t>미확인</t>
        </is>
      </c>
      <c r="R416" s="22" t="inlineStr">
        <is>
          <t>미확인</t>
        </is>
      </c>
      <c r="S416" s="17" t="inlineStr">
        <is>
          <t>Tier D</t>
        </is>
      </c>
      <c r="T416" s="17" t="n">
        <v>4</v>
      </c>
      <c r="U416" s="17" t="inlineStr">
        <is>
          <t>C239</t>
        </is>
      </c>
      <c r="V416" s="17" t="inlineStr">
        <is>
          <t>제일가스</t>
        </is>
      </c>
      <c r="W416" s="17" t="inlineStr"/>
      <c r="X416" s="17" t="inlineStr"/>
      <c r="Y416" s="23" t="inlineStr"/>
      <c r="Z416" s="17" t="inlineStr">
        <is>
          <t>박삼원</t>
        </is>
      </c>
      <c r="AA416" s="17" t="inlineStr"/>
      <c r="AB416" s="17" t="inlineStr">
        <is>
          <t>032-567-6050</t>
        </is>
      </c>
      <c r="AC416" s="17" t="inlineStr">
        <is>
          <t>미확인</t>
        </is>
      </c>
      <c r="AD416" s="17" t="inlineStr">
        <is>
          <t>Y</t>
        </is>
      </c>
      <c r="AE416" s="17" t="inlineStr">
        <is>
          <t>P272</t>
        </is>
      </c>
      <c r="AF416" s="17" t="inlineStr">
        <is>
          <t>인천광역시 서구 두루물로8번길 46</t>
        </is>
      </c>
      <c r="AG416" s="17" t="inlineStr">
        <is>
          <t>완제의약품</t>
        </is>
      </c>
      <c r="AH416" s="17" t="inlineStr">
        <is>
          <t>비무균-일반제제(의료용 고압가스)-가스제(의료용 고압가스)</t>
        </is>
      </c>
      <c r="AI416" s="17" t="n">
        <v>1</v>
      </c>
      <c r="AJ416" s="24" t="n">
        <v>46832</v>
      </c>
      <c r="AK416" s="17" t="inlineStr"/>
      <c r="AL416" s="17" t="inlineStr"/>
      <c r="AM416" s="17" t="inlineStr">
        <is>
          <t>기본 문서관리 수요</t>
        </is>
      </c>
      <c r="AN416" s="17" t="inlineStr">
        <is>
          <t>미확인</t>
        </is>
      </c>
      <c r="AO416" s="17" t="inlineStr">
        <is>
          <t>미확인</t>
        </is>
      </c>
      <c r="AP416" s="17" t="inlineStr">
        <is>
          <t>미확인</t>
        </is>
      </c>
      <c r="AQ416" s="17" t="inlineStr">
        <is>
          <t>담당자 파악 후 접촉</t>
        </is>
      </c>
      <c r="AR416" s="17" t="inlineStr">
        <is>
          <t>2026-07-05</t>
        </is>
      </c>
      <c r="AS416" s="17" t="inlineStr">
        <is>
          <t>C(부분확인)</t>
        </is>
      </c>
      <c r="AT416" s="17" t="n">
        <v>90</v>
      </c>
      <c r="AU416" s="17" t="inlineStr"/>
      <c r="AV416" s="17" t="inlineStr"/>
    </row>
    <row r="417">
      <c r="A417" s="28" t="inlineStr">
        <is>
          <t>Tier D</t>
        </is>
      </c>
      <c r="B417" s="17" t="n">
        <v>5</v>
      </c>
      <c r="C417" s="17" t="inlineStr">
        <is>
          <t>(주)제일가스산업</t>
        </is>
      </c>
      <c r="D417" s="17" t="inlineStr">
        <is>
          <t>1공장</t>
        </is>
      </c>
      <c r="E417" s="17" t="inlineStr">
        <is>
          <t>세종특별자치시</t>
        </is>
      </c>
      <c r="F417" s="17" t="inlineStr">
        <is>
          <t>세종특별자치시</t>
        </is>
      </c>
      <c r="G417" s="17" t="n">
        <v>1</v>
      </c>
      <c r="H417" s="17" t="inlineStr"/>
      <c r="I417" s="17" t="inlineStr"/>
      <c r="J417" s="17" t="inlineStr">
        <is>
          <t>Y</t>
        </is>
      </c>
      <c r="K417" s="17" t="inlineStr"/>
      <c r="L417" s="22" t="inlineStr">
        <is>
          <t>미확인</t>
        </is>
      </c>
      <c r="M417" s="22" t="inlineStr">
        <is>
          <t>미확인</t>
        </is>
      </c>
      <c r="N417" s="22" t="inlineStr">
        <is>
          <t>미확인</t>
        </is>
      </c>
      <c r="O417" s="22" t="inlineStr">
        <is>
          <t>미확인</t>
        </is>
      </c>
      <c r="P417" s="17" t="inlineStr">
        <is>
          <t>EDMS</t>
        </is>
      </c>
      <c r="Q417" s="22" t="inlineStr">
        <is>
          <t>미확인</t>
        </is>
      </c>
      <c r="R417" s="22" t="inlineStr">
        <is>
          <t>미확인</t>
        </is>
      </c>
      <c r="S417" s="17" t="inlineStr">
        <is>
          <t>Tier D</t>
        </is>
      </c>
      <c r="T417" s="17" t="n">
        <v>4</v>
      </c>
      <c r="U417" s="17" t="inlineStr">
        <is>
          <t>C263</t>
        </is>
      </c>
      <c r="V417" s="17" t="inlineStr">
        <is>
          <t>제일가스산업</t>
        </is>
      </c>
      <c r="W417" s="17" t="inlineStr"/>
      <c r="X417" s="17" t="inlineStr"/>
      <c r="Y417" s="23" t="inlineStr"/>
      <c r="Z417" s="17" t="inlineStr">
        <is>
          <t>황옥화</t>
        </is>
      </c>
      <c r="AA417" s="17" t="inlineStr"/>
      <c r="AB417" s="17" t="inlineStr">
        <is>
          <t>044-268-4001</t>
        </is>
      </c>
      <c r="AC417" s="17" t="inlineStr">
        <is>
          <t>미확인</t>
        </is>
      </c>
      <c r="AD417" s="17" t="inlineStr">
        <is>
          <t>Y</t>
        </is>
      </c>
      <c r="AE417" s="17" t="inlineStr">
        <is>
          <t>P309</t>
        </is>
      </c>
      <c r="AF417" s="17" t="inlineStr">
        <is>
          <t>세종특별자치시 부강면 부강금호로 97</t>
        </is>
      </c>
      <c r="AG417" s="17" t="inlineStr">
        <is>
          <t>완제의약품</t>
        </is>
      </c>
      <c r="AH417" s="17" t="inlineStr">
        <is>
          <t>비무균-일반제제(의료용 고압가스)-가스제(의료용 고압가스)</t>
        </is>
      </c>
      <c r="AI417" s="17" t="n">
        <v>1</v>
      </c>
      <c r="AJ417" s="24" t="n">
        <v>46777</v>
      </c>
      <c r="AK417" s="17" t="inlineStr"/>
      <c r="AL417" s="17" t="inlineStr"/>
      <c r="AM417" s="17" t="inlineStr">
        <is>
          <t>기본 문서관리 수요</t>
        </is>
      </c>
      <c r="AN417" s="17" t="inlineStr">
        <is>
          <t>미확인</t>
        </is>
      </c>
      <c r="AO417" s="17" t="inlineStr">
        <is>
          <t>미확인</t>
        </is>
      </c>
      <c r="AP417" s="17" t="inlineStr">
        <is>
          <t>미확인</t>
        </is>
      </c>
      <c r="AQ417" s="17" t="inlineStr">
        <is>
          <t>담당자 파악 후 접촉</t>
        </is>
      </c>
      <c r="AR417" s="17" t="inlineStr">
        <is>
          <t>2026-07-05</t>
        </is>
      </c>
      <c r="AS417" s="17" t="inlineStr">
        <is>
          <t>C(부분확인)</t>
        </is>
      </c>
      <c r="AT417" s="17" t="n">
        <v>90</v>
      </c>
      <c r="AU417" s="17" t="inlineStr"/>
      <c r="AV417" s="17" t="inlineStr"/>
    </row>
    <row r="418">
      <c r="A418" s="28" t="inlineStr">
        <is>
          <t>Tier D</t>
        </is>
      </c>
      <c r="B418" s="17" t="n">
        <v>5</v>
      </c>
      <c r="C418" s="17" t="inlineStr">
        <is>
          <t>(주)창신</t>
        </is>
      </c>
      <c r="D418" s="17" t="inlineStr">
        <is>
          <t>함안</t>
        </is>
      </c>
      <c r="E418" s="17" t="inlineStr">
        <is>
          <t>경상남도</t>
        </is>
      </c>
      <c r="F418" s="17" t="inlineStr">
        <is>
          <t>함안군</t>
        </is>
      </c>
      <c r="G418" s="17" t="n">
        <v>1</v>
      </c>
      <c r="H418" s="17" t="inlineStr"/>
      <c r="I418" s="17" t="inlineStr"/>
      <c r="J418" s="17" t="inlineStr">
        <is>
          <t>Y</t>
        </is>
      </c>
      <c r="K418" s="17" t="inlineStr"/>
      <c r="L418" s="22" t="inlineStr">
        <is>
          <t>미확인</t>
        </is>
      </c>
      <c r="M418" s="22" t="inlineStr">
        <is>
          <t>미확인</t>
        </is>
      </c>
      <c r="N418" s="22" t="inlineStr">
        <is>
          <t>미확인</t>
        </is>
      </c>
      <c r="O418" s="22" t="inlineStr">
        <is>
          <t>미확인</t>
        </is>
      </c>
      <c r="P418" s="17" t="inlineStr">
        <is>
          <t>EDMS</t>
        </is>
      </c>
      <c r="Q418" s="22" t="inlineStr">
        <is>
          <t>미확인</t>
        </is>
      </c>
      <c r="R418" s="22" t="inlineStr">
        <is>
          <t>미확인</t>
        </is>
      </c>
      <c r="S418" s="17" t="inlineStr">
        <is>
          <t>Tier D</t>
        </is>
      </c>
      <c r="T418" s="17" t="n">
        <v>4</v>
      </c>
      <c r="U418" s="17" t="inlineStr">
        <is>
          <t>C256</t>
        </is>
      </c>
      <c r="V418" s="17" t="inlineStr">
        <is>
          <t>창신</t>
        </is>
      </c>
      <c r="W418" s="17" t="inlineStr"/>
      <c r="X418" s="17" t="inlineStr"/>
      <c r="Y418" s="23" t="inlineStr"/>
      <c r="Z418" s="17" t="inlineStr">
        <is>
          <t>배성학</t>
        </is>
      </c>
      <c r="AA418" s="17" t="inlineStr"/>
      <c r="AB418" s="17" t="inlineStr">
        <is>
          <t>055-232-2000</t>
        </is>
      </c>
      <c r="AC418" s="17" t="inlineStr">
        <is>
          <t>미확인</t>
        </is>
      </c>
      <c r="AD418" s="17" t="inlineStr">
        <is>
          <t>Y</t>
        </is>
      </c>
      <c r="AE418" s="17" t="inlineStr">
        <is>
          <t>P299</t>
        </is>
      </c>
      <c r="AF418" s="17" t="inlineStr">
        <is>
          <t>경상남도 함안군 산인면 신산로 159-15</t>
        </is>
      </c>
      <c r="AG418" s="17" t="inlineStr">
        <is>
          <t>완제의약품</t>
        </is>
      </c>
      <c r="AH418" s="17" t="inlineStr">
        <is>
          <t>비무균-일반제제-가스제(의료용 고압가스)</t>
        </is>
      </c>
      <c r="AI418" s="17" t="n">
        <v>1</v>
      </c>
      <c r="AJ418" s="24" t="n">
        <v>46795</v>
      </c>
      <c r="AK418" s="17" t="inlineStr"/>
      <c r="AL418" s="17" t="inlineStr"/>
      <c r="AM418" s="17" t="inlineStr">
        <is>
          <t>기본 문서관리 수요</t>
        </is>
      </c>
      <c r="AN418" s="17" t="inlineStr">
        <is>
          <t>미확인</t>
        </is>
      </c>
      <c r="AO418" s="17" t="inlineStr">
        <is>
          <t>미확인</t>
        </is>
      </c>
      <c r="AP418" s="17" t="inlineStr">
        <is>
          <t>미확인</t>
        </is>
      </c>
      <c r="AQ418" s="17" t="inlineStr">
        <is>
          <t>담당자 파악 후 접촉</t>
        </is>
      </c>
      <c r="AR418" s="17" t="inlineStr">
        <is>
          <t>2026-07-05</t>
        </is>
      </c>
      <c r="AS418" s="17" t="inlineStr">
        <is>
          <t>C(부분확인)</t>
        </is>
      </c>
      <c r="AT418" s="17" t="n">
        <v>90</v>
      </c>
      <c r="AU418" s="17" t="inlineStr"/>
      <c r="AV418" s="17" t="inlineStr"/>
    </row>
    <row r="419">
      <c r="A419" s="28" t="inlineStr">
        <is>
          <t>Tier D</t>
        </is>
      </c>
      <c r="B419" s="17" t="n">
        <v>5</v>
      </c>
      <c r="C419" s="17" t="inlineStr">
        <is>
          <t>(주)천일가스</t>
        </is>
      </c>
      <c r="D419" s="17" t="inlineStr">
        <is>
          <t>(주)천일가스</t>
        </is>
      </c>
      <c r="E419" s="17" t="inlineStr">
        <is>
          <t>경상북도</t>
        </is>
      </c>
      <c r="F419" s="17" t="inlineStr">
        <is>
          <t>포항시</t>
        </is>
      </c>
      <c r="G419" s="17" t="n">
        <v>1</v>
      </c>
      <c r="H419" s="17" t="inlineStr"/>
      <c r="I419" s="17" t="inlineStr"/>
      <c r="J419" s="17" t="inlineStr">
        <is>
          <t>Y</t>
        </is>
      </c>
      <c r="K419" s="17" t="inlineStr"/>
      <c r="L419" s="22" t="inlineStr">
        <is>
          <t>미확인</t>
        </is>
      </c>
      <c r="M419" s="22" t="inlineStr">
        <is>
          <t>미확인</t>
        </is>
      </c>
      <c r="N419" s="22" t="inlineStr">
        <is>
          <t>미확인</t>
        </is>
      </c>
      <c r="O419" s="22" t="inlineStr">
        <is>
          <t>미확인</t>
        </is>
      </c>
      <c r="P419" s="17" t="inlineStr">
        <is>
          <t>EDMS</t>
        </is>
      </c>
      <c r="Q419" s="22" t="inlineStr">
        <is>
          <t>미확인</t>
        </is>
      </c>
      <c r="R419" s="22" t="inlineStr">
        <is>
          <t>미확인</t>
        </is>
      </c>
      <c r="S419" s="17" t="inlineStr">
        <is>
          <t>Tier D</t>
        </is>
      </c>
      <c r="T419" s="17" t="n">
        <v>4</v>
      </c>
      <c r="U419" s="17" t="inlineStr">
        <is>
          <t>C211</t>
        </is>
      </c>
      <c r="V419" s="17" t="inlineStr">
        <is>
          <t>천일가스</t>
        </is>
      </c>
      <c r="W419" s="17" t="inlineStr"/>
      <c r="X419" s="17" t="inlineStr"/>
      <c r="Y419" s="23" t="inlineStr"/>
      <c r="Z419" s="17" t="inlineStr">
        <is>
          <t>이석철</t>
        </is>
      </c>
      <c r="AA419" s="17" t="inlineStr"/>
      <c r="AB419" s="17" t="inlineStr">
        <is>
          <t>054-277-1001</t>
        </is>
      </c>
      <c r="AC419" s="17" t="inlineStr">
        <is>
          <t>미확인</t>
        </is>
      </c>
      <c r="AD419" s="17" t="inlineStr">
        <is>
          <t>Y</t>
        </is>
      </c>
      <c r="AE419" s="17" t="inlineStr">
        <is>
          <t>P229</t>
        </is>
      </c>
      <c r="AF419" s="17" t="inlineStr">
        <is>
          <t>경상북도 포항시 남구 호동로 33</t>
        </is>
      </c>
      <c r="AG419" s="17" t="inlineStr">
        <is>
          <t>완제의약품</t>
        </is>
      </c>
      <c r="AH419" s="17" t="inlineStr">
        <is>
          <t>비무균-일반제제(의료용 고압가스)-가스제(의료용 고압가스)</t>
        </is>
      </c>
      <c r="AI419" s="17" t="n">
        <v>1</v>
      </c>
      <c r="AJ419" s="24" t="n">
        <v>46876</v>
      </c>
      <c r="AK419" s="17" t="inlineStr"/>
      <c r="AL419" s="17" t="inlineStr"/>
      <c r="AM419" s="17" t="inlineStr">
        <is>
          <t>기본 문서관리 수요</t>
        </is>
      </c>
      <c r="AN419" s="17" t="inlineStr">
        <is>
          <t>미확인</t>
        </is>
      </c>
      <c r="AO419" s="17" t="inlineStr">
        <is>
          <t>미확인</t>
        </is>
      </c>
      <c r="AP419" s="17" t="inlineStr">
        <is>
          <t>미확인</t>
        </is>
      </c>
      <c r="AQ419" s="17" t="inlineStr">
        <is>
          <t>담당자 파악 후 접촉</t>
        </is>
      </c>
      <c r="AR419" s="17" t="inlineStr">
        <is>
          <t>2026-07-05</t>
        </is>
      </c>
      <c r="AS419" s="17" t="inlineStr">
        <is>
          <t>C(부분확인)</t>
        </is>
      </c>
      <c r="AT419" s="17" t="n">
        <v>90</v>
      </c>
      <c r="AU419" s="17" t="inlineStr"/>
      <c r="AV419" s="17" t="inlineStr"/>
    </row>
    <row r="420">
      <c r="A420" s="28" t="inlineStr">
        <is>
          <t>Tier D</t>
        </is>
      </c>
      <c r="B420" s="17" t="n">
        <v>5</v>
      </c>
      <c r="C420" s="17" t="inlineStr">
        <is>
          <t>(주)킴스제약</t>
        </is>
      </c>
      <c r="D420" s="17" t="inlineStr">
        <is>
          <t>1공장</t>
        </is>
      </c>
      <c r="E420" s="17" t="inlineStr">
        <is>
          <t>충청북도</t>
        </is>
      </c>
      <c r="F420" s="17" t="inlineStr">
        <is>
          <t>청주시</t>
        </is>
      </c>
      <c r="G420" s="17" t="n">
        <v>1</v>
      </c>
      <c r="H420" s="17" t="inlineStr"/>
      <c r="I420" s="17" t="inlineStr"/>
      <c r="J420" s="17" t="inlineStr">
        <is>
          <t>Y</t>
        </is>
      </c>
      <c r="K420" s="17" t="inlineStr"/>
      <c r="L420" s="22" t="inlineStr">
        <is>
          <t>미확인</t>
        </is>
      </c>
      <c r="M420" s="22" t="inlineStr">
        <is>
          <t>미확인</t>
        </is>
      </c>
      <c r="N420" s="22" t="inlineStr">
        <is>
          <t>미확인</t>
        </is>
      </c>
      <c r="O420" s="22" t="inlineStr">
        <is>
          <t>미확인</t>
        </is>
      </c>
      <c r="P420" s="17" t="inlineStr">
        <is>
          <t>EDMS</t>
        </is>
      </c>
      <c r="Q420" s="22" t="inlineStr">
        <is>
          <t>미확인</t>
        </is>
      </c>
      <c r="R420" s="22" t="inlineStr">
        <is>
          <t>미확인</t>
        </is>
      </c>
      <c r="S420" s="17" t="inlineStr">
        <is>
          <t>Tier D</t>
        </is>
      </c>
      <c r="T420" s="17" t="n">
        <v>4</v>
      </c>
      <c r="U420" s="17" t="inlineStr">
        <is>
          <t>C265</t>
        </is>
      </c>
      <c r="V420" s="17" t="inlineStr">
        <is>
          <t>킴스제약</t>
        </is>
      </c>
      <c r="W420" s="17" t="inlineStr"/>
      <c r="X420" s="17" t="inlineStr"/>
      <c r="Y420" s="23" t="inlineStr"/>
      <c r="Z420" s="17" t="inlineStr">
        <is>
          <t>김승현</t>
        </is>
      </c>
      <c r="AA420" s="17" t="inlineStr"/>
      <c r="AB420" s="17" t="inlineStr">
        <is>
          <t>043-714-3509</t>
        </is>
      </c>
      <c r="AC420" s="17" t="inlineStr">
        <is>
          <t>미확인</t>
        </is>
      </c>
      <c r="AD420" s="17" t="inlineStr">
        <is>
          <t>Y</t>
        </is>
      </c>
      <c r="AE420" s="17" t="inlineStr">
        <is>
          <t>P312</t>
        </is>
      </c>
      <c r="AF420" s="17" t="inlineStr">
        <is>
          <t>충청북도 청주시 흥덕구 오송읍 오송생명14로 106</t>
        </is>
      </c>
      <c r="AG420" s="17" t="inlineStr">
        <is>
          <t>완제의약품</t>
        </is>
      </c>
      <c r="AH420" s="17" t="inlineStr">
        <is>
          <t>비무균-일반제제-내용고형제(정제, 캡슐제)</t>
        </is>
      </c>
      <c r="AI420" s="17" t="n">
        <v>1</v>
      </c>
      <c r="AJ420" s="24" t="n">
        <v>46764</v>
      </c>
      <c r="AK420" s="17" t="inlineStr"/>
      <c r="AL420" s="17" t="inlineStr"/>
      <c r="AM420" s="17" t="inlineStr">
        <is>
          <t>기본 문서관리 수요</t>
        </is>
      </c>
      <c r="AN420" s="17" t="inlineStr">
        <is>
          <t>미확인</t>
        </is>
      </c>
      <c r="AO420" s="17" t="inlineStr">
        <is>
          <t>미확인</t>
        </is>
      </c>
      <c r="AP420" s="17" t="inlineStr">
        <is>
          <t>미확인</t>
        </is>
      </c>
      <c r="AQ420" s="17" t="inlineStr">
        <is>
          <t>담당자 파악 후 접촉</t>
        </is>
      </c>
      <c r="AR420" s="17" t="inlineStr">
        <is>
          <t>2026-07-05</t>
        </is>
      </c>
      <c r="AS420" s="17" t="inlineStr">
        <is>
          <t>C(부분확인)</t>
        </is>
      </c>
      <c r="AT420" s="17" t="n">
        <v>90</v>
      </c>
      <c r="AU420" s="17" t="inlineStr"/>
      <c r="AV420" s="17" t="inlineStr"/>
    </row>
    <row r="421">
      <c r="A421" s="28" t="inlineStr">
        <is>
          <t>Tier D</t>
        </is>
      </c>
      <c r="B421" s="17" t="n">
        <v>5</v>
      </c>
      <c r="C421" s="17" t="inlineStr">
        <is>
          <t>(주)킵스바이오파마</t>
        </is>
      </c>
      <c r="D421" s="17" t="inlineStr">
        <is>
          <t>서천</t>
        </is>
      </c>
      <c r="E421" s="17" t="inlineStr">
        <is>
          <t>충청남도</t>
        </is>
      </c>
      <c r="F421" s="17" t="inlineStr">
        <is>
          <t>서천군</t>
        </is>
      </c>
      <c r="G421" s="17" t="n">
        <v>1</v>
      </c>
      <c r="H421" s="17" t="inlineStr"/>
      <c r="I421" s="17" t="inlineStr"/>
      <c r="J421" s="17" t="inlineStr">
        <is>
          <t>Y</t>
        </is>
      </c>
      <c r="K421" s="17" t="inlineStr"/>
      <c r="L421" s="22" t="inlineStr">
        <is>
          <t>미확인</t>
        </is>
      </c>
      <c r="M421" s="22" t="inlineStr">
        <is>
          <t>미확인</t>
        </is>
      </c>
      <c r="N421" s="22" t="inlineStr">
        <is>
          <t>미확인</t>
        </is>
      </c>
      <c r="O421" s="22" t="inlineStr">
        <is>
          <t>미확인</t>
        </is>
      </c>
      <c r="P421" s="17" t="inlineStr">
        <is>
          <t>EDMS</t>
        </is>
      </c>
      <c r="Q421" s="22" t="inlineStr">
        <is>
          <t>미확인</t>
        </is>
      </c>
      <c r="R421" s="22" t="inlineStr">
        <is>
          <t>미확인</t>
        </is>
      </c>
      <c r="S421" s="17" t="inlineStr">
        <is>
          <t>Tier D</t>
        </is>
      </c>
      <c r="T421" s="17" t="n">
        <v>4</v>
      </c>
      <c r="U421" s="17" t="inlineStr">
        <is>
          <t>C121</t>
        </is>
      </c>
      <c r="V421" s="17" t="inlineStr">
        <is>
          <t>킵스바이오파마</t>
        </is>
      </c>
      <c r="W421" s="17" t="inlineStr"/>
      <c r="X421" s="17" t="inlineStr"/>
      <c r="Y421" s="23" t="inlineStr"/>
      <c r="Z421" s="17" t="inlineStr">
        <is>
          <t>김하용</t>
        </is>
      </c>
      <c r="AA421" s="17" t="inlineStr"/>
      <c r="AB421" s="17" t="inlineStr">
        <is>
          <t>041-953-9800</t>
        </is>
      </c>
      <c r="AC421" s="17" t="inlineStr">
        <is>
          <t>미확인</t>
        </is>
      </c>
      <c r="AD421" s="17" t="inlineStr">
        <is>
          <t>Y</t>
        </is>
      </c>
      <c r="AE421" s="17" t="inlineStr">
        <is>
          <t>P127</t>
        </is>
      </c>
      <c r="AF421" s="17" t="inlineStr">
        <is>
          <t>충청남도 서천군 종천면 종천공단길32번길 26</t>
        </is>
      </c>
      <c r="AG421" s="17" t="inlineStr">
        <is>
          <t>완제의약품</t>
        </is>
      </c>
      <c r="AH421" s="17" t="inlineStr">
        <is>
          <t>비무균-일반제제-내용고형제(정제, 캡슐제)</t>
        </is>
      </c>
      <c r="AI421" s="17" t="n">
        <v>1</v>
      </c>
      <c r="AJ421" s="24" t="n">
        <v>47031</v>
      </c>
      <c r="AK421" s="17" t="inlineStr"/>
      <c r="AL421" s="17" t="inlineStr"/>
      <c r="AM421" s="17" t="inlineStr">
        <is>
          <t>기본 문서관리 수요</t>
        </is>
      </c>
      <c r="AN421" s="17" t="inlineStr">
        <is>
          <t>미확인</t>
        </is>
      </c>
      <c r="AO421" s="17" t="inlineStr">
        <is>
          <t>미확인</t>
        </is>
      </c>
      <c r="AP421" s="17" t="inlineStr">
        <is>
          <t>미확인</t>
        </is>
      </c>
      <c r="AQ421" s="17" t="inlineStr">
        <is>
          <t>담당자 파악 후 접촉</t>
        </is>
      </c>
      <c r="AR421" s="17" t="inlineStr">
        <is>
          <t>2026-07-05</t>
        </is>
      </c>
      <c r="AS421" s="17" t="inlineStr">
        <is>
          <t>C(부분확인)</t>
        </is>
      </c>
      <c r="AT421" s="17" t="n">
        <v>90</v>
      </c>
      <c r="AU421" s="17" t="inlineStr"/>
      <c r="AV421" s="17" t="inlineStr"/>
    </row>
    <row r="422">
      <c r="A422" s="28" t="inlineStr">
        <is>
          <t>Tier D</t>
        </is>
      </c>
      <c r="B422" s="17" t="n">
        <v>5</v>
      </c>
      <c r="C422" s="17" t="inlineStr">
        <is>
          <t>(주)텔콘알에프제약</t>
        </is>
      </c>
      <c r="D422" s="17" t="inlineStr">
        <is>
          <t>제1공장</t>
        </is>
      </c>
      <c r="E422" s="17" t="inlineStr">
        <is>
          <t>충청북도</t>
        </is>
      </c>
      <c r="F422" s="17" t="inlineStr">
        <is>
          <t>충주시</t>
        </is>
      </c>
      <c r="G422" s="17" t="n">
        <v>1</v>
      </c>
      <c r="H422" s="17" t="inlineStr"/>
      <c r="I422" s="17" t="inlineStr"/>
      <c r="J422" s="17" t="inlineStr">
        <is>
          <t>Y</t>
        </is>
      </c>
      <c r="K422" s="17" t="inlineStr"/>
      <c r="L422" s="22" t="inlineStr">
        <is>
          <t>미확인</t>
        </is>
      </c>
      <c r="M422" s="22" t="inlineStr">
        <is>
          <t>미확인</t>
        </is>
      </c>
      <c r="N422" s="22" t="inlineStr">
        <is>
          <t>미확인</t>
        </is>
      </c>
      <c r="O422" s="22" t="inlineStr">
        <is>
          <t>미확인</t>
        </is>
      </c>
      <c r="P422" s="17" t="inlineStr">
        <is>
          <t>EDMS</t>
        </is>
      </c>
      <c r="Q422" s="22" t="inlineStr">
        <is>
          <t>미확인</t>
        </is>
      </c>
      <c r="R422" s="22" t="inlineStr">
        <is>
          <t>미확인</t>
        </is>
      </c>
      <c r="S422" s="17" t="inlineStr">
        <is>
          <t>Tier D</t>
        </is>
      </c>
      <c r="T422" s="17" t="n">
        <v>4</v>
      </c>
      <c r="U422" s="17" t="inlineStr">
        <is>
          <t>C073</t>
        </is>
      </c>
      <c r="V422" s="17" t="inlineStr">
        <is>
          <t>텔콘알에프제약</t>
        </is>
      </c>
      <c r="W422" s="17" t="inlineStr"/>
      <c r="X422" s="17" t="inlineStr"/>
      <c r="Y422" s="23" t="inlineStr"/>
      <c r="Z422" s="17" t="inlineStr">
        <is>
          <t>김지훈</t>
        </is>
      </c>
      <c r="AA422" s="17" t="inlineStr"/>
      <c r="AB422" s="17" t="inlineStr">
        <is>
          <t>043-849-0200</t>
        </is>
      </c>
      <c r="AC422" s="17" t="inlineStr">
        <is>
          <t>미확인</t>
        </is>
      </c>
      <c r="AD422" s="17" t="inlineStr">
        <is>
          <t>Y</t>
        </is>
      </c>
      <c r="AE422" s="17" t="inlineStr">
        <is>
          <t>P075</t>
        </is>
      </c>
      <c r="AF422" s="17" t="inlineStr">
        <is>
          <t>충청북도 충주시 대소원면 첨단산업1로 120</t>
        </is>
      </c>
      <c r="AG422" s="17" t="inlineStr">
        <is>
          <t>완제의약품</t>
        </is>
      </c>
      <c r="AH422" s="17" t="inlineStr">
        <is>
          <t>비무균-일반제제-내용액제(경구용액제, 현탁제)</t>
        </is>
      </c>
      <c r="AI422" s="17" t="n">
        <v>1</v>
      </c>
      <c r="AJ422" s="24" t="n">
        <v>47165</v>
      </c>
      <c r="AK422" s="17" t="inlineStr"/>
      <c r="AL422" s="17" t="inlineStr"/>
      <c r="AM422" s="17" t="inlineStr">
        <is>
          <t>기본 문서관리 수요</t>
        </is>
      </c>
      <c r="AN422" s="17" t="inlineStr">
        <is>
          <t>미확인</t>
        </is>
      </c>
      <c r="AO422" s="17" t="inlineStr">
        <is>
          <t>미확인</t>
        </is>
      </c>
      <c r="AP422" s="17" t="inlineStr">
        <is>
          <t>미확인</t>
        </is>
      </c>
      <c r="AQ422" s="17" t="inlineStr">
        <is>
          <t>담당자 파악 후 접촉</t>
        </is>
      </c>
      <c r="AR422" s="17" t="inlineStr">
        <is>
          <t>2026-07-05</t>
        </is>
      </c>
      <c r="AS422" s="17" t="inlineStr">
        <is>
          <t>C(부분확인)</t>
        </is>
      </c>
      <c r="AT422" s="17" t="n">
        <v>90</v>
      </c>
      <c r="AU422" s="17" t="inlineStr"/>
      <c r="AV422" s="17" t="inlineStr"/>
    </row>
    <row r="423">
      <c r="A423" s="28" t="inlineStr">
        <is>
          <t>Tier D</t>
        </is>
      </c>
      <c r="B423" s="17" t="n">
        <v>5</v>
      </c>
      <c r="C423" s="17" t="inlineStr">
        <is>
          <t>(주)파마킹</t>
        </is>
      </c>
      <c r="D423" s="17" t="inlineStr">
        <is>
          <t>음성</t>
        </is>
      </c>
      <c r="E423" s="17" t="inlineStr">
        <is>
          <t>충청북도</t>
        </is>
      </c>
      <c r="F423" s="17" t="inlineStr">
        <is>
          <t>음성군</t>
        </is>
      </c>
      <c r="G423" s="17" t="n">
        <v>1</v>
      </c>
      <c r="H423" s="17" t="inlineStr"/>
      <c r="I423" s="17" t="inlineStr"/>
      <c r="J423" s="17" t="inlineStr">
        <is>
          <t>Y</t>
        </is>
      </c>
      <c r="K423" s="17" t="inlineStr"/>
      <c r="L423" s="22" t="inlineStr">
        <is>
          <t>미확인</t>
        </is>
      </c>
      <c r="M423" s="22" t="inlineStr">
        <is>
          <t>미확인</t>
        </is>
      </c>
      <c r="N423" s="22" t="inlineStr">
        <is>
          <t>미확인</t>
        </is>
      </c>
      <c r="O423" s="22" t="inlineStr">
        <is>
          <t>미확인</t>
        </is>
      </c>
      <c r="P423" s="17" t="inlineStr">
        <is>
          <t>EDMS</t>
        </is>
      </c>
      <c r="Q423" s="22" t="inlineStr">
        <is>
          <t>미확인</t>
        </is>
      </c>
      <c r="R423" s="22" t="inlineStr">
        <is>
          <t>미확인</t>
        </is>
      </c>
      <c r="S423" s="17" t="inlineStr">
        <is>
          <t>Tier D</t>
        </is>
      </c>
      <c r="T423" s="17" t="n">
        <v>4</v>
      </c>
      <c r="U423" s="17" t="inlineStr">
        <is>
          <t>C116</t>
        </is>
      </c>
      <c r="V423" s="17" t="inlineStr">
        <is>
          <t>파마킹</t>
        </is>
      </c>
      <c r="W423" s="17" t="inlineStr"/>
      <c r="X423" s="17" t="inlineStr"/>
      <c r="Y423" s="23" t="inlineStr"/>
      <c r="Z423" s="17" t="inlineStr">
        <is>
          <t>김완배</t>
        </is>
      </c>
      <c r="AA423" s="17" t="inlineStr"/>
      <c r="AB423" s="17" t="inlineStr">
        <is>
          <t>043-882-3501</t>
        </is>
      </c>
      <c r="AC423" s="17" t="inlineStr">
        <is>
          <t>미확인</t>
        </is>
      </c>
      <c r="AD423" s="17" t="inlineStr">
        <is>
          <t>Y</t>
        </is>
      </c>
      <c r="AE423" s="17" t="inlineStr">
        <is>
          <t>P122</t>
        </is>
      </c>
      <c r="AF423" s="17" t="inlineStr">
        <is>
          <t>충청북도 음성군 감곡면 행군이길 87-17</t>
        </is>
      </c>
      <c r="AG423" s="17" t="inlineStr">
        <is>
          <t>완제의약품</t>
        </is>
      </c>
      <c r="AH423" s="17" t="inlineStr">
        <is>
          <t>비무균-일반제제-내용고형제(정제, 캡슐제)</t>
        </is>
      </c>
      <c r="AI423" s="17" t="n">
        <v>1</v>
      </c>
      <c r="AJ423" s="24" t="n">
        <v>47039</v>
      </c>
      <c r="AK423" s="17" t="inlineStr"/>
      <c r="AL423" s="17" t="inlineStr"/>
      <c r="AM423" s="17" t="inlineStr">
        <is>
          <t>기본 문서관리 수요</t>
        </is>
      </c>
      <c r="AN423" s="17" t="inlineStr">
        <is>
          <t>미확인</t>
        </is>
      </c>
      <c r="AO423" s="17" t="inlineStr">
        <is>
          <t>미확인</t>
        </is>
      </c>
      <c r="AP423" s="17" t="inlineStr">
        <is>
          <t>미확인</t>
        </is>
      </c>
      <c r="AQ423" s="17" t="inlineStr">
        <is>
          <t>담당자 파악 후 접촉</t>
        </is>
      </c>
      <c r="AR423" s="17" t="inlineStr">
        <is>
          <t>2026-07-05</t>
        </is>
      </c>
      <c r="AS423" s="17" t="inlineStr">
        <is>
          <t>C(부분확인)</t>
        </is>
      </c>
      <c r="AT423" s="17" t="n">
        <v>90</v>
      </c>
      <c r="AU423" s="17" t="inlineStr"/>
      <c r="AV423" s="17" t="inlineStr"/>
    </row>
    <row r="424">
      <c r="A424" s="28" t="inlineStr">
        <is>
          <t>Tier D</t>
        </is>
      </c>
      <c r="B424" s="17" t="n">
        <v>5</v>
      </c>
      <c r="C424" s="17" t="inlineStr">
        <is>
          <t>(주)팩슨</t>
        </is>
      </c>
      <c r="D424" s="17" t="inlineStr">
        <is>
          <t>대구</t>
        </is>
      </c>
      <c r="E424" s="17" t="inlineStr">
        <is>
          <t>대구광역시</t>
        </is>
      </c>
      <c r="F424" s="17" t="inlineStr">
        <is>
          <t>달서구</t>
        </is>
      </c>
      <c r="G424" s="17" t="n">
        <v>1</v>
      </c>
      <c r="H424" s="17" t="inlineStr"/>
      <c r="I424" s="17" t="inlineStr"/>
      <c r="J424" s="17" t="inlineStr">
        <is>
          <t>Y</t>
        </is>
      </c>
      <c r="K424" s="17" t="inlineStr"/>
      <c r="L424" s="22" t="inlineStr">
        <is>
          <t>미확인</t>
        </is>
      </c>
      <c r="M424" s="22" t="inlineStr">
        <is>
          <t>미확인</t>
        </is>
      </c>
      <c r="N424" s="22" t="inlineStr">
        <is>
          <t>미확인</t>
        </is>
      </c>
      <c r="O424" s="22" t="inlineStr">
        <is>
          <t>미확인</t>
        </is>
      </c>
      <c r="P424" s="17" t="inlineStr">
        <is>
          <t>EDMS</t>
        </is>
      </c>
      <c r="Q424" s="22" t="inlineStr">
        <is>
          <t>미확인</t>
        </is>
      </c>
      <c r="R424" s="22" t="inlineStr">
        <is>
          <t>미확인</t>
        </is>
      </c>
      <c r="S424" s="17" t="inlineStr">
        <is>
          <t>Tier D</t>
        </is>
      </c>
      <c r="T424" s="17" t="n">
        <v>4</v>
      </c>
      <c r="U424" s="17" t="inlineStr">
        <is>
          <t>C146</t>
        </is>
      </c>
      <c r="V424" s="17" t="inlineStr">
        <is>
          <t>팩슨</t>
        </is>
      </c>
      <c r="W424" s="17" t="inlineStr"/>
      <c r="X424" s="17" t="inlineStr"/>
      <c r="Y424" s="23" t="inlineStr"/>
      <c r="Z424" s="17" t="inlineStr">
        <is>
          <t>정상윤</t>
        </is>
      </c>
      <c r="AA424" s="17" t="inlineStr"/>
      <c r="AB424" s="17" t="inlineStr">
        <is>
          <t>053-581-5425</t>
        </is>
      </c>
      <c r="AC424" s="17" t="inlineStr">
        <is>
          <t>미확인</t>
        </is>
      </c>
      <c r="AD424" s="17" t="inlineStr">
        <is>
          <t>Y</t>
        </is>
      </c>
      <c r="AE424" s="17" t="inlineStr">
        <is>
          <t>P156</t>
        </is>
      </c>
      <c r="AF424" s="17" t="inlineStr">
        <is>
          <t>대구광역시 달서구 달서대로58길 53</t>
        </is>
      </c>
      <c r="AG424" s="17" t="inlineStr">
        <is>
          <t>완제의약품</t>
        </is>
      </c>
      <c r="AH424" s="17" t="inlineStr">
        <is>
          <t>비무균-일반제제(의료용 고압가스)-가스제(의료용 고압가스)</t>
        </is>
      </c>
      <c r="AI424" s="17" t="n">
        <v>1</v>
      </c>
      <c r="AJ424" s="24" t="n">
        <v>46975</v>
      </c>
      <c r="AK424" s="17" t="inlineStr"/>
      <c r="AL424" s="17" t="inlineStr"/>
      <c r="AM424" s="17" t="inlineStr">
        <is>
          <t>기본 문서관리 수요</t>
        </is>
      </c>
      <c r="AN424" s="17" t="inlineStr">
        <is>
          <t>미확인</t>
        </is>
      </c>
      <c r="AO424" s="17" t="inlineStr">
        <is>
          <t>미확인</t>
        </is>
      </c>
      <c r="AP424" s="17" t="inlineStr">
        <is>
          <t>미확인</t>
        </is>
      </c>
      <c r="AQ424" s="17" t="inlineStr">
        <is>
          <t>담당자 파악 후 접촉</t>
        </is>
      </c>
      <c r="AR424" s="17" t="inlineStr">
        <is>
          <t>2026-07-05</t>
        </is>
      </c>
      <c r="AS424" s="17" t="inlineStr">
        <is>
          <t>C(부분확인)</t>
        </is>
      </c>
      <c r="AT424" s="17" t="n">
        <v>90</v>
      </c>
      <c r="AU424" s="17" t="inlineStr"/>
      <c r="AV424" s="17" t="inlineStr"/>
    </row>
    <row r="425">
      <c r="A425" s="28" t="inlineStr">
        <is>
          <t>Tier D</t>
        </is>
      </c>
      <c r="B425" s="17" t="n">
        <v>5</v>
      </c>
      <c r="C425" s="17" t="inlineStr">
        <is>
          <t>(주)퍼슨</t>
        </is>
      </c>
      <c r="D425" s="17" t="inlineStr">
        <is>
          <t>천안</t>
        </is>
      </c>
      <c r="E425" s="17" t="inlineStr">
        <is>
          <t>충청남도</t>
        </is>
      </c>
      <c r="F425" s="17" t="inlineStr">
        <is>
          <t>천안시</t>
        </is>
      </c>
      <c r="G425" s="17" t="n">
        <v>1</v>
      </c>
      <c r="H425" s="17" t="inlineStr"/>
      <c r="I425" s="17" t="inlineStr"/>
      <c r="J425" s="17" t="inlineStr">
        <is>
          <t>Y</t>
        </is>
      </c>
      <c r="K425" s="17" t="inlineStr"/>
      <c r="L425" s="22" t="inlineStr">
        <is>
          <t>미확인</t>
        </is>
      </c>
      <c r="M425" s="22" t="inlineStr">
        <is>
          <t>미확인</t>
        </is>
      </c>
      <c r="N425" s="22" t="inlineStr">
        <is>
          <t>미확인</t>
        </is>
      </c>
      <c r="O425" s="22" t="inlineStr">
        <is>
          <t>미확인</t>
        </is>
      </c>
      <c r="P425" s="17" t="inlineStr">
        <is>
          <t>EDMS</t>
        </is>
      </c>
      <c r="Q425" s="22" t="inlineStr">
        <is>
          <t>미확인</t>
        </is>
      </c>
      <c r="R425" s="22" t="inlineStr">
        <is>
          <t>미확인</t>
        </is>
      </c>
      <c r="S425" s="17" t="inlineStr">
        <is>
          <t>Tier D</t>
        </is>
      </c>
      <c r="T425" s="17" t="n">
        <v>4</v>
      </c>
      <c r="U425" s="17" t="inlineStr">
        <is>
          <t>C018</t>
        </is>
      </c>
      <c r="V425" s="17" t="inlineStr">
        <is>
          <t>퍼슨</t>
        </is>
      </c>
      <c r="W425" s="17" t="inlineStr"/>
      <c r="X425" s="17" t="inlineStr"/>
      <c r="Y425" s="23" t="inlineStr"/>
      <c r="Z425" s="17" t="inlineStr">
        <is>
          <t>김동진</t>
        </is>
      </c>
      <c r="AA425" s="17" t="inlineStr"/>
      <c r="AB425" s="17" t="inlineStr">
        <is>
          <t>070-4850-7650</t>
        </is>
      </c>
      <c r="AC425" s="17" t="inlineStr">
        <is>
          <t>미확인</t>
        </is>
      </c>
      <c r="AD425" s="17" t="inlineStr">
        <is>
          <t>Y</t>
        </is>
      </c>
      <c r="AE425" s="17" t="inlineStr">
        <is>
          <t>P018</t>
        </is>
      </c>
      <c r="AF425" s="17" t="inlineStr">
        <is>
          <t>충청남도 천안시 서북구 백석공단1로 47</t>
        </is>
      </c>
      <c r="AG425" s="17" t="inlineStr">
        <is>
          <t>완제의약품</t>
        </is>
      </c>
      <c r="AH425" s="17" t="inlineStr">
        <is>
          <t>비무균-일반제제-내용액제(시럽제(액상), 현탁제), 비무균-일반제제-외용액제(외용액제, 리니멘트제(액상,반고형), 관장제(액상,반고형)), 비무균-일반제제-연고제(연고제, 크림제, 겔제)</t>
        </is>
      </c>
      <c r="AI425" s="17" t="n">
        <v>1</v>
      </c>
      <c r="AJ425" s="24" t="n">
        <v>47284</v>
      </c>
      <c r="AK425" s="17" t="inlineStr"/>
      <c r="AL425" s="17" t="inlineStr"/>
      <c r="AM425" s="17" t="inlineStr">
        <is>
          <t>기본 문서관리 수요</t>
        </is>
      </c>
      <c r="AN425" s="17" t="inlineStr">
        <is>
          <t>미확인</t>
        </is>
      </c>
      <c r="AO425" s="17" t="inlineStr">
        <is>
          <t>미확인</t>
        </is>
      </c>
      <c r="AP425" s="17" t="inlineStr">
        <is>
          <t>미확인</t>
        </is>
      </c>
      <c r="AQ425" s="17" t="inlineStr">
        <is>
          <t>담당자 파악 후 접촉</t>
        </is>
      </c>
      <c r="AR425" s="17" t="inlineStr">
        <is>
          <t>2026-07-05</t>
        </is>
      </c>
      <c r="AS425" s="17" t="inlineStr">
        <is>
          <t>C(부분확인)</t>
        </is>
      </c>
      <c r="AT425" s="17" t="n">
        <v>90</v>
      </c>
      <c r="AU425" s="17" t="inlineStr"/>
      <c r="AV425" s="17" t="inlineStr"/>
    </row>
    <row r="426">
      <c r="A426" s="28" t="inlineStr">
        <is>
          <t>Tier D</t>
        </is>
      </c>
      <c r="B426" s="17" t="n">
        <v>5</v>
      </c>
      <c r="C426" s="17" t="inlineStr">
        <is>
          <t>(주)평화산소공업</t>
        </is>
      </c>
      <c r="D426" s="17" t="inlineStr">
        <is>
          <t>(주)평화산소공업</t>
        </is>
      </c>
      <c r="E426" s="17" t="inlineStr">
        <is>
          <t>부산광역시</t>
        </is>
      </c>
      <c r="F426" s="17" t="inlineStr">
        <is>
          <t>사상구</t>
        </is>
      </c>
      <c r="G426" s="17" t="n">
        <v>1</v>
      </c>
      <c r="H426" s="17" t="inlineStr"/>
      <c r="I426" s="17" t="inlineStr"/>
      <c r="J426" s="17" t="inlineStr">
        <is>
          <t>Y</t>
        </is>
      </c>
      <c r="K426" s="17" t="inlineStr"/>
      <c r="L426" s="22" t="inlineStr">
        <is>
          <t>미확인</t>
        </is>
      </c>
      <c r="M426" s="22" t="inlineStr">
        <is>
          <t>미확인</t>
        </is>
      </c>
      <c r="N426" s="22" t="inlineStr">
        <is>
          <t>미확인</t>
        </is>
      </c>
      <c r="O426" s="22" t="inlineStr">
        <is>
          <t>미확인</t>
        </is>
      </c>
      <c r="P426" s="17" t="inlineStr">
        <is>
          <t>EDMS</t>
        </is>
      </c>
      <c r="Q426" s="22" t="inlineStr">
        <is>
          <t>미확인</t>
        </is>
      </c>
      <c r="R426" s="22" t="inlineStr">
        <is>
          <t>미확인</t>
        </is>
      </c>
      <c r="S426" s="17" t="inlineStr">
        <is>
          <t>Tier D</t>
        </is>
      </c>
      <c r="T426" s="17" t="n">
        <v>4</v>
      </c>
      <c r="U426" s="17" t="inlineStr">
        <is>
          <t>C269</t>
        </is>
      </c>
      <c r="V426" s="17" t="inlineStr">
        <is>
          <t>평화산소공업</t>
        </is>
      </c>
      <c r="W426" s="17" t="inlineStr"/>
      <c r="X426" s="17" t="inlineStr"/>
      <c r="Y426" s="23" t="inlineStr"/>
      <c r="Z426" s="17" t="inlineStr">
        <is>
          <t>김진태</t>
        </is>
      </c>
      <c r="AA426" s="17" t="inlineStr"/>
      <c r="AB426" s="17" t="inlineStr">
        <is>
          <t>051-313-4631</t>
        </is>
      </c>
      <c r="AC426" s="17" t="inlineStr">
        <is>
          <t>미확인</t>
        </is>
      </c>
      <c r="AD426" s="17" t="inlineStr">
        <is>
          <t>Y</t>
        </is>
      </c>
      <c r="AE426" s="17" t="inlineStr">
        <is>
          <t>P318</t>
        </is>
      </c>
      <c r="AF426" s="17" t="inlineStr">
        <is>
          <t>부산광역시 사상구 대동로269번길 41 1층(감전동)</t>
        </is>
      </c>
      <c r="AG426" s="17" t="inlineStr">
        <is>
          <t>완제의약품</t>
        </is>
      </c>
      <c r="AH426" s="17" t="inlineStr">
        <is>
          <t>비무균-일반제제-가스제(의료용 고압가스)</t>
        </is>
      </c>
      <c r="AI426" s="17" t="n">
        <v>1</v>
      </c>
      <c r="AJ426" s="24" t="n">
        <v>46719</v>
      </c>
      <c r="AK426" s="17" t="inlineStr"/>
      <c r="AL426" s="17" t="inlineStr"/>
      <c r="AM426" s="17" t="inlineStr">
        <is>
          <t>기본 문서관리 수요</t>
        </is>
      </c>
      <c r="AN426" s="17" t="inlineStr">
        <is>
          <t>미확인</t>
        </is>
      </c>
      <c r="AO426" s="17" t="inlineStr">
        <is>
          <t>미확인</t>
        </is>
      </c>
      <c r="AP426" s="17" t="inlineStr">
        <is>
          <t>미확인</t>
        </is>
      </c>
      <c r="AQ426" s="17" t="inlineStr">
        <is>
          <t>담당자 파악 후 접촉</t>
        </is>
      </c>
      <c r="AR426" s="17" t="inlineStr">
        <is>
          <t>2026-07-05</t>
        </is>
      </c>
      <c r="AS426" s="17" t="inlineStr">
        <is>
          <t>C(부분확인)</t>
        </is>
      </c>
      <c r="AT426" s="17" t="n">
        <v>90</v>
      </c>
      <c r="AU426" s="17" t="inlineStr"/>
      <c r="AV426" s="17" t="inlineStr"/>
    </row>
    <row r="427">
      <c r="A427" s="28" t="inlineStr">
        <is>
          <t>Tier D</t>
        </is>
      </c>
      <c r="B427" s="17" t="n">
        <v>5</v>
      </c>
      <c r="C427" s="17" t="inlineStr">
        <is>
          <t>(주)하원제약</t>
        </is>
      </c>
      <c r="D427" s="17" t="inlineStr">
        <is>
          <t>평택공장</t>
        </is>
      </c>
      <c r="E427" s="17" t="inlineStr">
        <is>
          <t>경기도</t>
        </is>
      </c>
      <c r="F427" s="17" t="inlineStr">
        <is>
          <t>평택시</t>
        </is>
      </c>
      <c r="G427" s="17" t="n">
        <v>1</v>
      </c>
      <c r="H427" s="17" t="inlineStr"/>
      <c r="I427" s="17" t="inlineStr"/>
      <c r="J427" s="17" t="inlineStr">
        <is>
          <t>Y</t>
        </is>
      </c>
      <c r="K427" s="17" t="inlineStr"/>
      <c r="L427" s="22" t="inlineStr">
        <is>
          <t>미확인</t>
        </is>
      </c>
      <c r="M427" s="22" t="inlineStr">
        <is>
          <t>미확인</t>
        </is>
      </c>
      <c r="N427" s="22" t="inlineStr">
        <is>
          <t>미확인</t>
        </is>
      </c>
      <c r="O427" s="22" t="inlineStr">
        <is>
          <t>미확인</t>
        </is>
      </c>
      <c r="P427" s="17" t="inlineStr">
        <is>
          <t>EDMS</t>
        </is>
      </c>
      <c r="Q427" s="22" t="inlineStr">
        <is>
          <t>미확인</t>
        </is>
      </c>
      <c r="R427" s="22" t="inlineStr">
        <is>
          <t>미확인</t>
        </is>
      </c>
      <c r="S427" s="17" t="inlineStr">
        <is>
          <t>Tier D</t>
        </is>
      </c>
      <c r="T427" s="17" t="n">
        <v>4</v>
      </c>
      <c r="U427" s="17" t="inlineStr">
        <is>
          <t>C132</t>
        </is>
      </c>
      <c r="V427" s="17" t="inlineStr">
        <is>
          <t>하원제약</t>
        </is>
      </c>
      <c r="W427" s="17" t="inlineStr"/>
      <c r="X427" s="17" t="inlineStr"/>
      <c r="Y427" s="23" t="inlineStr"/>
      <c r="Z427" s="17" t="inlineStr">
        <is>
          <t>구대호</t>
        </is>
      </c>
      <c r="AA427" s="17" t="inlineStr"/>
      <c r="AB427" s="17" t="inlineStr">
        <is>
          <t>031-667-6272</t>
        </is>
      </c>
      <c r="AC427" s="17" t="inlineStr">
        <is>
          <t>미확인</t>
        </is>
      </c>
      <c r="AD427" s="17" t="inlineStr">
        <is>
          <t>Y</t>
        </is>
      </c>
      <c r="AE427" s="17" t="inlineStr">
        <is>
          <t>P138</t>
        </is>
      </c>
      <c r="AF427" s="17" t="inlineStr">
        <is>
          <t>경기도 평택시 진위면 가곡길 42</t>
        </is>
      </c>
      <c r="AG427" s="17" t="inlineStr">
        <is>
          <t>완제의약품</t>
        </is>
      </c>
      <c r="AH427" s="17" t="inlineStr">
        <is>
          <t>비무균-일반제제-내용고형제(정제, 캡슐제)</t>
        </is>
      </c>
      <c r="AI427" s="17" t="n">
        <v>1</v>
      </c>
      <c r="AJ427" s="24" t="n">
        <v>47002</v>
      </c>
      <c r="AK427" s="17" t="inlineStr"/>
      <c r="AL427" s="17" t="inlineStr"/>
      <c r="AM427" s="17" t="inlineStr">
        <is>
          <t>기본 문서관리 수요</t>
        </is>
      </c>
      <c r="AN427" s="17" t="inlineStr">
        <is>
          <t>미확인</t>
        </is>
      </c>
      <c r="AO427" s="17" t="inlineStr">
        <is>
          <t>미확인</t>
        </is>
      </c>
      <c r="AP427" s="17" t="inlineStr">
        <is>
          <t>미확인</t>
        </is>
      </c>
      <c r="AQ427" s="17" t="inlineStr">
        <is>
          <t>담당자 파악 후 접촉</t>
        </is>
      </c>
      <c r="AR427" s="17" t="inlineStr">
        <is>
          <t>2026-07-05</t>
        </is>
      </c>
      <c r="AS427" s="17" t="inlineStr">
        <is>
          <t>C(부분확인)</t>
        </is>
      </c>
      <c r="AT427" s="17" t="n">
        <v>90</v>
      </c>
      <c r="AU427" s="17" t="inlineStr"/>
      <c r="AV427" s="17" t="inlineStr"/>
    </row>
    <row r="428">
      <c r="A428" s="28" t="inlineStr">
        <is>
          <t>Tier D</t>
        </is>
      </c>
      <c r="B428" s="17" t="n">
        <v>5</v>
      </c>
      <c r="C428" s="17" t="inlineStr">
        <is>
          <t>(주)한국파비스제약</t>
        </is>
      </c>
      <c r="D428" s="17" t="inlineStr">
        <is>
          <t>안산</t>
        </is>
      </c>
      <c r="E428" s="17" t="inlineStr">
        <is>
          <t>경기도</t>
        </is>
      </c>
      <c r="F428" s="17" t="inlineStr">
        <is>
          <t>안산시</t>
        </is>
      </c>
      <c r="G428" s="17" t="n">
        <v>1</v>
      </c>
      <c r="H428" s="17" t="inlineStr"/>
      <c r="I428" s="17" t="inlineStr"/>
      <c r="J428" s="17" t="inlineStr">
        <is>
          <t>Y</t>
        </is>
      </c>
      <c r="K428" s="17" t="inlineStr"/>
      <c r="L428" s="22" t="inlineStr">
        <is>
          <t>미확인</t>
        </is>
      </c>
      <c r="M428" s="22" t="inlineStr">
        <is>
          <t>미확인</t>
        </is>
      </c>
      <c r="N428" s="22" t="inlineStr">
        <is>
          <t>미확인</t>
        </is>
      </c>
      <c r="O428" s="22" t="inlineStr">
        <is>
          <t>미확인</t>
        </is>
      </c>
      <c r="P428" s="17" t="inlineStr">
        <is>
          <t>EDMS</t>
        </is>
      </c>
      <c r="Q428" s="22" t="inlineStr">
        <is>
          <t>미확인</t>
        </is>
      </c>
      <c r="R428" s="22" t="inlineStr">
        <is>
          <t>미확인</t>
        </is>
      </c>
      <c r="S428" s="17" t="inlineStr">
        <is>
          <t>Tier D</t>
        </is>
      </c>
      <c r="T428" s="17" t="n">
        <v>4</v>
      </c>
      <c r="U428" s="17" t="inlineStr">
        <is>
          <t>C238</t>
        </is>
      </c>
      <c r="V428" s="17" t="inlineStr">
        <is>
          <t>한국파비스제약</t>
        </is>
      </c>
      <c r="W428" s="17" t="inlineStr"/>
      <c r="X428" s="17" t="inlineStr"/>
      <c r="Y428" s="23" t="inlineStr"/>
      <c r="Z428" s="17" t="inlineStr">
        <is>
          <t>최용은</t>
        </is>
      </c>
      <c r="AA428" s="17" t="inlineStr"/>
      <c r="AB428" s="17" t="inlineStr">
        <is>
          <t>미확인</t>
        </is>
      </c>
      <c r="AC428" s="17" t="inlineStr">
        <is>
          <t>미확인</t>
        </is>
      </c>
      <c r="AD428" s="17" t="inlineStr">
        <is>
          <t>Y</t>
        </is>
      </c>
      <c r="AE428" s="17" t="inlineStr">
        <is>
          <t>P270</t>
        </is>
      </c>
      <c r="AF428" s="17" t="inlineStr">
        <is>
          <t>경기도 안산시 단원구 산단로83번길 127</t>
        </is>
      </c>
      <c r="AG428" s="17" t="inlineStr">
        <is>
          <t>완제의약품</t>
        </is>
      </c>
      <c r="AH428" s="17" t="inlineStr">
        <is>
          <t>비무균-일반제제-내용고형제(정제, 캡슐제, 산제)</t>
        </is>
      </c>
      <c r="AI428" s="17" t="n">
        <v>1</v>
      </c>
      <c r="AJ428" s="24" t="n">
        <v>46836</v>
      </c>
      <c r="AK428" s="17" t="inlineStr"/>
      <c r="AL428" s="17" t="inlineStr"/>
      <c r="AM428" s="17" t="inlineStr">
        <is>
          <t>기본 문서관리 수요</t>
        </is>
      </c>
      <c r="AN428" s="17" t="inlineStr">
        <is>
          <t>미확인</t>
        </is>
      </c>
      <c r="AO428" s="17" t="inlineStr">
        <is>
          <t>미확인</t>
        </is>
      </c>
      <c r="AP428" s="17" t="inlineStr">
        <is>
          <t>미확인</t>
        </is>
      </c>
      <c r="AQ428" s="17" t="inlineStr">
        <is>
          <t>담당자 파악 후 접촉</t>
        </is>
      </c>
      <c r="AR428" s="17" t="inlineStr">
        <is>
          <t>2026-07-05</t>
        </is>
      </c>
      <c r="AS428" s="17" t="inlineStr">
        <is>
          <t>C(부분확인)</t>
        </is>
      </c>
      <c r="AT428" s="17" t="n">
        <v>90</v>
      </c>
      <c r="AU428" s="17" t="inlineStr"/>
      <c r="AV428" s="17" t="inlineStr"/>
    </row>
    <row r="429">
      <c r="A429" s="28" t="inlineStr">
        <is>
          <t>Tier D</t>
        </is>
      </c>
      <c r="B429" s="17" t="n">
        <v>5</v>
      </c>
      <c r="C429" s="17" t="inlineStr">
        <is>
          <t>(주)한국호넥스</t>
        </is>
      </c>
      <c r="D429" s="17" t="inlineStr">
        <is>
          <t>(주)한국호넥스</t>
        </is>
      </c>
      <c r="E429" s="17" t="inlineStr">
        <is>
          <t>충청북도</t>
        </is>
      </c>
      <c r="F429" s="17" t="inlineStr">
        <is>
          <t>충주시</t>
        </is>
      </c>
      <c r="G429" s="17" t="n">
        <v>1</v>
      </c>
      <c r="H429" s="17" t="inlineStr"/>
      <c r="I429" s="17" t="inlineStr"/>
      <c r="J429" s="17" t="inlineStr">
        <is>
          <t>Y</t>
        </is>
      </c>
      <c r="K429" s="17" t="inlineStr"/>
      <c r="L429" s="22" t="inlineStr">
        <is>
          <t>미확인</t>
        </is>
      </c>
      <c r="M429" s="22" t="inlineStr">
        <is>
          <t>미확인</t>
        </is>
      </c>
      <c r="N429" s="22" t="inlineStr">
        <is>
          <t>미확인</t>
        </is>
      </c>
      <c r="O429" s="22" t="inlineStr">
        <is>
          <t>미확인</t>
        </is>
      </c>
      <c r="P429" s="17" t="inlineStr">
        <is>
          <t>EDMS</t>
        </is>
      </c>
      <c r="Q429" s="22" t="inlineStr">
        <is>
          <t>미확인</t>
        </is>
      </c>
      <c r="R429" s="22" t="inlineStr">
        <is>
          <t>미확인</t>
        </is>
      </c>
      <c r="S429" s="17" t="inlineStr">
        <is>
          <t>Tier D</t>
        </is>
      </c>
      <c r="T429" s="17" t="n">
        <v>4</v>
      </c>
      <c r="U429" s="17" t="inlineStr">
        <is>
          <t>C111</t>
        </is>
      </c>
      <c r="V429" s="17" t="inlineStr">
        <is>
          <t>한국호넥스</t>
        </is>
      </c>
      <c r="W429" s="17" t="inlineStr"/>
      <c r="X429" s="17" t="inlineStr"/>
      <c r="Y429" s="23" t="inlineStr"/>
      <c r="Z429" s="17" t="inlineStr">
        <is>
          <t>유성재, 유원선</t>
        </is>
      </c>
      <c r="AA429" s="17" t="inlineStr"/>
      <c r="AB429" s="17" t="inlineStr">
        <is>
          <t>043-846-4907</t>
        </is>
      </c>
      <c r="AC429" s="17" t="inlineStr">
        <is>
          <t>미확인</t>
        </is>
      </c>
      <c r="AD429" s="17" t="inlineStr">
        <is>
          <t>Y</t>
        </is>
      </c>
      <c r="AE429" s="17" t="inlineStr">
        <is>
          <t>P116</t>
        </is>
      </c>
      <c r="AF429" s="17" t="inlineStr">
        <is>
          <t>충청북도 충주시 대소원면 메가폴리스3로 43</t>
        </is>
      </c>
      <c r="AG429" s="17" t="inlineStr">
        <is>
          <t>완제의약품</t>
        </is>
      </c>
      <c r="AH429" s="17" t="inlineStr">
        <is>
          <t>비무균-일반제제-외용액제(외용액제)</t>
        </is>
      </c>
      <c r="AI429" s="17" t="n">
        <v>1</v>
      </c>
      <c r="AJ429" s="24" t="n">
        <v>47049</v>
      </c>
      <c r="AK429" s="17" t="inlineStr"/>
      <c r="AL429" s="17" t="inlineStr"/>
      <c r="AM429" s="17" t="inlineStr">
        <is>
          <t>기본 문서관리 수요</t>
        </is>
      </c>
      <c r="AN429" s="17" t="inlineStr">
        <is>
          <t>미확인</t>
        </is>
      </c>
      <c r="AO429" s="17" t="inlineStr">
        <is>
          <t>미확인</t>
        </is>
      </c>
      <c r="AP429" s="17" t="inlineStr">
        <is>
          <t>미확인</t>
        </is>
      </c>
      <c r="AQ429" s="17" t="inlineStr">
        <is>
          <t>담당자 파악 후 접촉</t>
        </is>
      </c>
      <c r="AR429" s="17" t="inlineStr">
        <is>
          <t>2026-07-05</t>
        </is>
      </c>
      <c r="AS429" s="17" t="inlineStr">
        <is>
          <t>C(부분확인)</t>
        </is>
      </c>
      <c r="AT429" s="17" t="n">
        <v>90</v>
      </c>
      <c r="AU429" s="17" t="inlineStr"/>
      <c r="AV429" s="17" t="inlineStr"/>
    </row>
    <row r="430">
      <c r="A430" s="28" t="inlineStr">
        <is>
          <t>Tier D</t>
        </is>
      </c>
      <c r="B430" s="17" t="n">
        <v>5</v>
      </c>
      <c r="C430" s="17" t="inlineStr">
        <is>
          <t>(주)화이트생명과학</t>
        </is>
      </c>
      <c r="D430" s="17" t="inlineStr">
        <is>
          <t>제1공장</t>
        </is>
      </c>
      <c r="E430" s="17" t="inlineStr">
        <is>
          <t>경기도</t>
        </is>
      </c>
      <c r="F430" s="17" t="inlineStr">
        <is>
          <t>화성시</t>
        </is>
      </c>
      <c r="G430" s="17" t="n">
        <v>1</v>
      </c>
      <c r="H430" s="17" t="inlineStr"/>
      <c r="I430" s="17" t="inlineStr"/>
      <c r="J430" s="17" t="inlineStr">
        <is>
          <t>Y</t>
        </is>
      </c>
      <c r="K430" s="17" t="inlineStr"/>
      <c r="L430" s="22" t="inlineStr">
        <is>
          <t>미확인</t>
        </is>
      </c>
      <c r="M430" s="22" t="inlineStr">
        <is>
          <t>미확인</t>
        </is>
      </c>
      <c r="N430" s="22" t="inlineStr">
        <is>
          <t>미확인</t>
        </is>
      </c>
      <c r="O430" s="22" t="inlineStr">
        <is>
          <t>미확인</t>
        </is>
      </c>
      <c r="P430" s="17" t="inlineStr">
        <is>
          <t>EDMS</t>
        </is>
      </c>
      <c r="Q430" s="22" t="inlineStr">
        <is>
          <t>미확인</t>
        </is>
      </c>
      <c r="R430" s="22" t="inlineStr">
        <is>
          <t>미확인</t>
        </is>
      </c>
      <c r="S430" s="17" t="inlineStr">
        <is>
          <t>Tier D</t>
        </is>
      </c>
      <c r="T430" s="17" t="n">
        <v>4</v>
      </c>
      <c r="U430" s="17" t="inlineStr">
        <is>
          <t>C078</t>
        </is>
      </c>
      <c r="V430" s="17" t="inlineStr">
        <is>
          <t>화이트생명과학</t>
        </is>
      </c>
      <c r="W430" s="17" t="inlineStr"/>
      <c r="X430" s="17" t="inlineStr"/>
      <c r="Y430" s="23" t="inlineStr"/>
      <c r="Z430" s="17" t="inlineStr">
        <is>
          <t>양원철</t>
        </is>
      </c>
      <c r="AA430" s="17" t="inlineStr"/>
      <c r="AB430" s="17" t="inlineStr">
        <is>
          <t>미확인</t>
        </is>
      </c>
      <c r="AC430" s="17" t="inlineStr">
        <is>
          <t>미확인</t>
        </is>
      </c>
      <c r="AD430" s="17" t="inlineStr">
        <is>
          <t>Y</t>
        </is>
      </c>
      <c r="AE430" s="17" t="inlineStr">
        <is>
          <t>P080</t>
        </is>
      </c>
      <c r="AF430" s="17" t="inlineStr">
        <is>
          <t>경기도 화성시 만세구 향남읍 제약공단4길 89</t>
        </is>
      </c>
      <c r="AG430" s="17" t="inlineStr">
        <is>
          <t>완제의약품</t>
        </is>
      </c>
      <c r="AH430" s="17" t="inlineStr">
        <is>
          <t>비무균-일반제제-내용고형제(정제, 캡슐제)</t>
        </is>
      </c>
      <c r="AI430" s="17" t="n">
        <v>1</v>
      </c>
      <c r="AJ430" s="24" t="n">
        <v>47158</v>
      </c>
      <c r="AK430" s="17" t="inlineStr"/>
      <c r="AL430" s="17" t="inlineStr"/>
      <c r="AM430" s="17" t="inlineStr">
        <is>
          <t>기본 문서관리 수요</t>
        </is>
      </c>
      <c r="AN430" s="17" t="inlineStr">
        <is>
          <t>미확인</t>
        </is>
      </c>
      <c r="AO430" s="17" t="inlineStr">
        <is>
          <t>미확인</t>
        </is>
      </c>
      <c r="AP430" s="17" t="inlineStr">
        <is>
          <t>미확인</t>
        </is>
      </c>
      <c r="AQ430" s="17" t="inlineStr">
        <is>
          <t>담당자 파악 후 접촉</t>
        </is>
      </c>
      <c r="AR430" s="17" t="inlineStr">
        <is>
          <t>2026-07-05</t>
        </is>
      </c>
      <c r="AS430" s="17" t="inlineStr">
        <is>
          <t>C(부분확인)</t>
        </is>
      </c>
      <c r="AT430" s="17" t="n">
        <v>90</v>
      </c>
      <c r="AU430" s="17" t="inlineStr"/>
      <c r="AV430" s="17" t="inlineStr"/>
    </row>
    <row r="431">
      <c r="A431" s="28" t="inlineStr">
        <is>
          <t>Tier D</t>
        </is>
      </c>
      <c r="B431" s="17" t="n">
        <v>5</v>
      </c>
      <c r="C431" s="17" t="inlineStr">
        <is>
          <t>(주)휴비스트제약</t>
        </is>
      </c>
      <c r="D431" s="17" t="inlineStr">
        <is>
          <t>대덕</t>
        </is>
      </c>
      <c r="E431" s="17" t="inlineStr">
        <is>
          <t>대전광역시</t>
        </is>
      </c>
      <c r="F431" s="17" t="inlineStr">
        <is>
          <t>대덕구</t>
        </is>
      </c>
      <c r="G431" s="17" t="n">
        <v>1</v>
      </c>
      <c r="H431" s="17" t="inlineStr"/>
      <c r="I431" s="17" t="inlineStr"/>
      <c r="J431" s="17" t="inlineStr">
        <is>
          <t>Y</t>
        </is>
      </c>
      <c r="K431" s="17" t="inlineStr"/>
      <c r="L431" s="22" t="inlineStr">
        <is>
          <t>미확인</t>
        </is>
      </c>
      <c r="M431" s="22" t="inlineStr">
        <is>
          <t>미확인</t>
        </is>
      </c>
      <c r="N431" s="22" t="inlineStr">
        <is>
          <t>미확인</t>
        </is>
      </c>
      <c r="O431" s="22" t="inlineStr">
        <is>
          <t>미확인</t>
        </is>
      </c>
      <c r="P431" s="17" t="inlineStr">
        <is>
          <t>EDMS</t>
        </is>
      </c>
      <c r="Q431" s="22" t="inlineStr">
        <is>
          <t>미확인</t>
        </is>
      </c>
      <c r="R431" s="22" t="inlineStr">
        <is>
          <t>미확인</t>
        </is>
      </c>
      <c r="S431" s="17" t="inlineStr">
        <is>
          <t>Tier D</t>
        </is>
      </c>
      <c r="T431" s="17" t="n">
        <v>4</v>
      </c>
      <c r="U431" s="17" t="inlineStr">
        <is>
          <t>C048</t>
        </is>
      </c>
      <c r="V431" s="17" t="inlineStr">
        <is>
          <t>휴비스트제약</t>
        </is>
      </c>
      <c r="W431" s="17" t="inlineStr"/>
      <c r="X431" s="17" t="inlineStr"/>
      <c r="Y431" s="23" t="inlineStr"/>
      <c r="Z431" s="17" t="inlineStr">
        <is>
          <t>박광남</t>
        </is>
      </c>
      <c r="AA431" s="17" t="inlineStr"/>
      <c r="AB431" s="17" t="inlineStr">
        <is>
          <t>042-933-7901</t>
        </is>
      </c>
      <c r="AC431" s="17" t="inlineStr">
        <is>
          <t>미확인</t>
        </is>
      </c>
      <c r="AD431" s="17" t="inlineStr">
        <is>
          <t>Y</t>
        </is>
      </c>
      <c r="AE431" s="17" t="inlineStr">
        <is>
          <t>P049</t>
        </is>
      </c>
      <c r="AF431" s="17" t="inlineStr">
        <is>
          <t>대전광역시 대덕구 신일서로104번길 46</t>
        </is>
      </c>
      <c r="AG431" s="17" t="inlineStr">
        <is>
          <t>완제의약품</t>
        </is>
      </c>
      <c r="AH431" s="17" t="inlineStr">
        <is>
          <t>비무균-일반제제-내용고형제(정제, 캡슐제)</t>
        </is>
      </c>
      <c r="AI431" s="17" t="n">
        <v>1</v>
      </c>
      <c r="AJ431" s="24" t="n">
        <v>47214</v>
      </c>
      <c r="AK431" s="17" t="inlineStr"/>
      <c r="AL431" s="17" t="inlineStr"/>
      <c r="AM431" s="17" t="inlineStr">
        <is>
          <t>기본 문서관리 수요</t>
        </is>
      </c>
      <c r="AN431" s="17" t="inlineStr">
        <is>
          <t>미확인</t>
        </is>
      </c>
      <c r="AO431" s="17" t="inlineStr">
        <is>
          <t>미확인</t>
        </is>
      </c>
      <c r="AP431" s="17" t="inlineStr">
        <is>
          <t>미확인</t>
        </is>
      </c>
      <c r="AQ431" s="17" t="inlineStr">
        <is>
          <t>담당자 파악 후 접촉</t>
        </is>
      </c>
      <c r="AR431" s="17" t="inlineStr">
        <is>
          <t>2026-07-05</t>
        </is>
      </c>
      <c r="AS431" s="17" t="inlineStr">
        <is>
          <t>C(부분확인)</t>
        </is>
      </c>
      <c r="AT431" s="17" t="n">
        <v>90</v>
      </c>
      <c r="AU431" s="17" t="inlineStr"/>
      <c r="AV431" s="17" t="inlineStr"/>
    </row>
    <row r="432">
      <c r="A432" s="28" t="inlineStr">
        <is>
          <t>Tier D</t>
        </is>
      </c>
      <c r="B432" s="17" t="n">
        <v>5</v>
      </c>
      <c r="C432" s="17" t="inlineStr">
        <is>
          <t>(주)휴온스메디텍</t>
        </is>
      </c>
      <c r="D432" s="17" t="inlineStr">
        <is>
          <t>부산</t>
        </is>
      </c>
      <c r="E432" s="17" t="inlineStr">
        <is>
          <t>부산광역시</t>
        </is>
      </c>
      <c r="F432" s="17" t="inlineStr">
        <is>
          <t>강서구</t>
        </is>
      </c>
      <c r="G432" s="17" t="n">
        <v>1</v>
      </c>
      <c r="H432" s="17" t="inlineStr"/>
      <c r="I432" s="17" t="inlineStr"/>
      <c r="J432" s="17" t="inlineStr">
        <is>
          <t>Y</t>
        </is>
      </c>
      <c r="K432" s="17" t="inlineStr"/>
      <c r="L432" s="22" t="inlineStr">
        <is>
          <t>미확인</t>
        </is>
      </c>
      <c r="M432" s="22" t="inlineStr">
        <is>
          <t>미확인</t>
        </is>
      </c>
      <c r="N432" s="22" t="inlineStr">
        <is>
          <t>미확인</t>
        </is>
      </c>
      <c r="O432" s="22" t="inlineStr">
        <is>
          <t>미확인</t>
        </is>
      </c>
      <c r="P432" s="17" t="inlineStr">
        <is>
          <t>EDMS</t>
        </is>
      </c>
      <c r="Q432" s="22" t="inlineStr">
        <is>
          <t>미확인</t>
        </is>
      </c>
      <c r="R432" s="22" t="inlineStr">
        <is>
          <t>미확인</t>
        </is>
      </c>
      <c r="S432" s="17" t="inlineStr">
        <is>
          <t>Tier D</t>
        </is>
      </c>
      <c r="T432" s="17" t="n">
        <v>4</v>
      </c>
      <c r="U432" s="17" t="inlineStr">
        <is>
          <t>C143</t>
        </is>
      </c>
      <c r="V432" s="17" t="inlineStr">
        <is>
          <t>휴온스메디텍</t>
        </is>
      </c>
      <c r="W432" s="17" t="inlineStr"/>
      <c r="X432" s="17" t="inlineStr"/>
      <c r="Y432" s="23" t="inlineStr"/>
      <c r="Z432" s="17" t="inlineStr">
        <is>
          <t>하창우</t>
        </is>
      </c>
      <c r="AA432" s="17" t="inlineStr"/>
      <c r="AB432" s="17" t="inlineStr">
        <is>
          <t>05183110300519790922</t>
        </is>
      </c>
      <c r="AC432" s="17" t="inlineStr">
        <is>
          <t>미확인</t>
        </is>
      </c>
      <c r="AD432" s="17" t="inlineStr">
        <is>
          <t>Y</t>
        </is>
      </c>
      <c r="AE432" s="17" t="inlineStr">
        <is>
          <t>P152</t>
        </is>
      </c>
      <c r="AF432" s="17" t="inlineStr">
        <is>
          <t>부산광역시 강서구 녹산산단165로 22</t>
        </is>
      </c>
      <c r="AG432" s="17" t="inlineStr">
        <is>
          <t>완제의약품</t>
        </is>
      </c>
      <c r="AH432" s="17" t="inlineStr">
        <is>
          <t>비무균-일반제제-외용액제(외용액제)</t>
        </is>
      </c>
      <c r="AI432" s="17" t="n">
        <v>1</v>
      </c>
      <c r="AJ432" s="24" t="n">
        <v>46983</v>
      </c>
      <c r="AK432" s="17" t="inlineStr"/>
      <c r="AL432" s="17" t="inlineStr"/>
      <c r="AM432" s="17" t="inlineStr">
        <is>
          <t>기본 문서관리 수요</t>
        </is>
      </c>
      <c r="AN432" s="17" t="inlineStr">
        <is>
          <t>미확인</t>
        </is>
      </c>
      <c r="AO432" s="17" t="inlineStr">
        <is>
          <t>미확인</t>
        </is>
      </c>
      <c r="AP432" s="17" t="inlineStr">
        <is>
          <t>미확인</t>
        </is>
      </c>
      <c r="AQ432" s="17" t="inlineStr">
        <is>
          <t>담당자 파악 후 접촉</t>
        </is>
      </c>
      <c r="AR432" s="17" t="inlineStr">
        <is>
          <t>2026-07-05</t>
        </is>
      </c>
      <c r="AS432" s="17" t="inlineStr">
        <is>
          <t>C(부분확인)</t>
        </is>
      </c>
      <c r="AT432" s="17" t="n">
        <v>90</v>
      </c>
      <c r="AU432" s="17" t="inlineStr"/>
      <c r="AV432" s="17" t="inlineStr"/>
    </row>
    <row r="433">
      <c r="A433" s="28" t="inlineStr">
        <is>
          <t>Tier D</t>
        </is>
      </c>
      <c r="B433" s="17" t="n">
        <v>5</v>
      </c>
      <c r="C433" s="17" t="inlineStr">
        <is>
          <t>가스켐테크놀로지(주)</t>
        </is>
      </c>
      <c r="D433" s="17" t="inlineStr">
        <is>
          <t>진천</t>
        </is>
      </c>
      <c r="E433" s="17" t="inlineStr">
        <is>
          <t>충청북도</t>
        </is>
      </c>
      <c r="F433" s="17" t="inlineStr">
        <is>
          <t>진천군</t>
        </is>
      </c>
      <c r="G433" s="17" t="n">
        <v>1</v>
      </c>
      <c r="H433" s="17" t="inlineStr"/>
      <c r="I433" s="17" t="inlineStr"/>
      <c r="J433" s="17" t="inlineStr">
        <is>
          <t>Y</t>
        </is>
      </c>
      <c r="K433" s="17" t="inlineStr"/>
      <c r="L433" s="22" t="inlineStr">
        <is>
          <t>미확인</t>
        </is>
      </c>
      <c r="M433" s="22" t="inlineStr">
        <is>
          <t>미확인</t>
        </is>
      </c>
      <c r="N433" s="22" t="inlineStr">
        <is>
          <t>미확인</t>
        </is>
      </c>
      <c r="O433" s="22" t="inlineStr">
        <is>
          <t>미확인</t>
        </is>
      </c>
      <c r="P433" s="17" t="inlineStr">
        <is>
          <t>EDMS</t>
        </is>
      </c>
      <c r="Q433" s="22" t="inlineStr">
        <is>
          <t>미확인</t>
        </is>
      </c>
      <c r="R433" s="22" t="inlineStr">
        <is>
          <t>미확인</t>
        </is>
      </c>
      <c r="S433" s="17" t="inlineStr">
        <is>
          <t>Tier D</t>
        </is>
      </c>
      <c r="T433" s="17" t="n">
        <v>4</v>
      </c>
      <c r="U433" s="17" t="inlineStr">
        <is>
          <t>C119</t>
        </is>
      </c>
      <c r="V433" s="17" t="inlineStr">
        <is>
          <t>가스켐테크놀로지</t>
        </is>
      </c>
      <c r="W433" s="17" t="inlineStr"/>
      <c r="X433" s="17" t="inlineStr"/>
      <c r="Y433" s="23" t="inlineStr"/>
      <c r="Z433" s="17" t="inlineStr">
        <is>
          <t>조창현</t>
        </is>
      </c>
      <c r="AA433" s="17" t="inlineStr"/>
      <c r="AB433" s="17" t="inlineStr">
        <is>
          <t>미확인</t>
        </is>
      </c>
      <c r="AC433" s="17" t="inlineStr">
        <is>
          <t>미확인</t>
        </is>
      </c>
      <c r="AD433" s="17" t="inlineStr">
        <is>
          <t>Y</t>
        </is>
      </c>
      <c r="AE433" s="17" t="inlineStr">
        <is>
          <t>P125</t>
        </is>
      </c>
      <c r="AF433" s="17" t="inlineStr">
        <is>
          <t>충청북도 진천군 덕산면 신척산단5로 74</t>
        </is>
      </c>
      <c r="AG433" s="17" t="inlineStr">
        <is>
          <t>완제의약품</t>
        </is>
      </c>
      <c r="AH433" s="17" t="inlineStr">
        <is>
          <t>비무균-일반제제(의료용 고압가스)-가스제(의료용 고압가스)</t>
        </is>
      </c>
      <c r="AI433" s="17" t="n">
        <v>1</v>
      </c>
      <c r="AJ433" s="24" t="n">
        <v>47037</v>
      </c>
      <c r="AK433" s="17" t="inlineStr"/>
      <c r="AL433" s="17" t="inlineStr"/>
      <c r="AM433" s="17" t="inlineStr">
        <is>
          <t>기본 문서관리 수요</t>
        </is>
      </c>
      <c r="AN433" s="17" t="inlineStr">
        <is>
          <t>미확인</t>
        </is>
      </c>
      <c r="AO433" s="17" t="inlineStr">
        <is>
          <t>미확인</t>
        </is>
      </c>
      <c r="AP433" s="17" t="inlineStr">
        <is>
          <t>미확인</t>
        </is>
      </c>
      <c r="AQ433" s="17" t="inlineStr">
        <is>
          <t>담당자 파악 후 접촉</t>
        </is>
      </c>
      <c r="AR433" s="17" t="inlineStr">
        <is>
          <t>2026-07-05</t>
        </is>
      </c>
      <c r="AS433" s="17" t="inlineStr">
        <is>
          <t>C(부분확인)</t>
        </is>
      </c>
      <c r="AT433" s="17" t="n">
        <v>90</v>
      </c>
      <c r="AU433" s="17" t="inlineStr"/>
      <c r="AV433" s="17" t="inlineStr"/>
    </row>
    <row r="434">
      <c r="A434" s="28" t="inlineStr">
        <is>
          <t>Tier D</t>
        </is>
      </c>
      <c r="B434" s="17" t="n">
        <v>5</v>
      </c>
      <c r="C434" s="17" t="inlineStr">
        <is>
          <t>건일바이오팜주식회사</t>
        </is>
      </c>
      <c r="D434" s="17" t="inlineStr">
        <is>
          <t>1공장</t>
        </is>
      </c>
      <c r="E434" s="17" t="inlineStr">
        <is>
          <t>충청남도</t>
        </is>
      </c>
      <c r="F434" s="17" t="inlineStr">
        <is>
          <t>천안시</t>
        </is>
      </c>
      <c r="G434" s="17" t="n">
        <v>1</v>
      </c>
      <c r="H434" s="17" t="inlineStr"/>
      <c r="I434" s="17" t="inlineStr"/>
      <c r="J434" s="17" t="inlineStr">
        <is>
          <t>Y</t>
        </is>
      </c>
      <c r="K434" s="17" t="inlineStr"/>
      <c r="L434" s="22" t="inlineStr">
        <is>
          <t>미확인</t>
        </is>
      </c>
      <c r="M434" s="22" t="inlineStr">
        <is>
          <t>미확인</t>
        </is>
      </c>
      <c r="N434" s="22" t="inlineStr">
        <is>
          <t>미확인</t>
        </is>
      </c>
      <c r="O434" s="22" t="inlineStr">
        <is>
          <t>미확인</t>
        </is>
      </c>
      <c r="P434" s="17" t="inlineStr">
        <is>
          <t>EDMS</t>
        </is>
      </c>
      <c r="Q434" s="22" t="inlineStr">
        <is>
          <t>미확인</t>
        </is>
      </c>
      <c r="R434" s="22" t="inlineStr">
        <is>
          <t>미확인</t>
        </is>
      </c>
      <c r="S434" s="17" t="inlineStr">
        <is>
          <t>Tier D</t>
        </is>
      </c>
      <c r="T434" s="17" t="n">
        <v>4</v>
      </c>
      <c r="U434" s="17" t="inlineStr">
        <is>
          <t>C271</t>
        </is>
      </c>
      <c r="V434" s="17" t="inlineStr">
        <is>
          <t>건일바이오팜</t>
        </is>
      </c>
      <c r="W434" s="17" t="inlineStr"/>
      <c r="X434" s="17" t="inlineStr"/>
      <c r="Y434" s="23" t="inlineStr"/>
      <c r="Z434" s="17" t="inlineStr">
        <is>
          <t>정병찬</t>
        </is>
      </c>
      <c r="AA434" s="17" t="inlineStr"/>
      <c r="AB434" s="17" t="inlineStr">
        <is>
          <t>041-415-2550</t>
        </is>
      </c>
      <c r="AC434" s="17" t="inlineStr">
        <is>
          <t>미확인</t>
        </is>
      </c>
      <c r="AD434" s="17" t="inlineStr">
        <is>
          <t>Y</t>
        </is>
      </c>
      <c r="AE434" s="17" t="inlineStr">
        <is>
          <t>P322</t>
        </is>
      </c>
      <c r="AF434" s="17" t="inlineStr">
        <is>
          <t>충청남도 천안시 서북구 직산읍 거리막길 33 제일동</t>
        </is>
      </c>
      <c r="AG434" s="17" t="inlineStr">
        <is>
          <t>완제의약품</t>
        </is>
      </c>
      <c r="AH434" s="17" t="inlineStr">
        <is>
          <t>비무균-일반제제-그 밖의 액제(흡입제(액상))</t>
        </is>
      </c>
      <c r="AI434" s="17" t="n">
        <v>1</v>
      </c>
      <c r="AJ434" s="24" t="n">
        <v>46697</v>
      </c>
      <c r="AK434" s="17" t="inlineStr"/>
      <c r="AL434" s="17" t="inlineStr"/>
      <c r="AM434" s="17" t="inlineStr">
        <is>
          <t>기본 문서관리 수요</t>
        </is>
      </c>
      <c r="AN434" s="17" t="inlineStr">
        <is>
          <t>미확인</t>
        </is>
      </c>
      <c r="AO434" s="17" t="inlineStr">
        <is>
          <t>미확인</t>
        </is>
      </c>
      <c r="AP434" s="17" t="inlineStr">
        <is>
          <t>미확인</t>
        </is>
      </c>
      <c r="AQ434" s="17" t="inlineStr">
        <is>
          <t>담당자 파악 후 접촉</t>
        </is>
      </c>
      <c r="AR434" s="17" t="inlineStr">
        <is>
          <t>2026-07-05</t>
        </is>
      </c>
      <c r="AS434" s="17" t="inlineStr">
        <is>
          <t>C(부분확인)</t>
        </is>
      </c>
      <c r="AT434" s="17" t="n">
        <v>90</v>
      </c>
      <c r="AU434" s="17" t="inlineStr"/>
      <c r="AV434" s="17" t="inlineStr"/>
    </row>
    <row r="435">
      <c r="A435" s="28" t="inlineStr">
        <is>
          <t>Tier D</t>
        </is>
      </c>
      <c r="B435" s="17" t="n">
        <v>5</v>
      </c>
      <c r="C435" s="17" t="inlineStr">
        <is>
          <t>경남산소</t>
        </is>
      </c>
      <c r="D435" s="17" t="inlineStr">
        <is>
          <t>창원</t>
        </is>
      </c>
      <c r="E435" s="17" t="inlineStr">
        <is>
          <t>경상남도</t>
        </is>
      </c>
      <c r="F435" s="17" t="inlineStr">
        <is>
          <t>창원시</t>
        </is>
      </c>
      <c r="G435" s="17" t="n">
        <v>1</v>
      </c>
      <c r="H435" s="17" t="inlineStr"/>
      <c r="I435" s="17" t="inlineStr"/>
      <c r="J435" s="17" t="inlineStr">
        <is>
          <t>Y</t>
        </is>
      </c>
      <c r="K435" s="17" t="inlineStr"/>
      <c r="L435" s="22" t="inlineStr">
        <is>
          <t>미확인</t>
        </is>
      </c>
      <c r="M435" s="22" t="inlineStr">
        <is>
          <t>미확인</t>
        </is>
      </c>
      <c r="N435" s="22" t="inlineStr">
        <is>
          <t>미확인</t>
        </is>
      </c>
      <c r="O435" s="22" t="inlineStr">
        <is>
          <t>미확인</t>
        </is>
      </c>
      <c r="P435" s="17" t="inlineStr">
        <is>
          <t>EDMS</t>
        </is>
      </c>
      <c r="Q435" s="22" t="inlineStr">
        <is>
          <t>미확인</t>
        </is>
      </c>
      <c r="R435" s="22" t="inlineStr">
        <is>
          <t>미확인</t>
        </is>
      </c>
      <c r="S435" s="17" t="inlineStr">
        <is>
          <t>Tier D</t>
        </is>
      </c>
      <c r="T435" s="17" t="n">
        <v>4</v>
      </c>
      <c r="U435" s="17" t="inlineStr">
        <is>
          <t>C207</t>
        </is>
      </c>
      <c r="V435" s="17" t="inlineStr">
        <is>
          <t>경남산소</t>
        </is>
      </c>
      <c r="W435" s="17" t="inlineStr"/>
      <c r="X435" s="17" t="inlineStr"/>
      <c r="Y435" s="23" t="inlineStr"/>
      <c r="Z435" s="17" t="inlineStr">
        <is>
          <t>이상철</t>
        </is>
      </c>
      <c r="AA435" s="17" t="inlineStr"/>
      <c r="AB435" s="17" t="inlineStr">
        <is>
          <t>055-2956-0202</t>
        </is>
      </c>
      <c r="AC435" s="17" t="inlineStr">
        <is>
          <t>미확인</t>
        </is>
      </c>
      <c r="AD435" s="17" t="inlineStr">
        <is>
          <t>Y</t>
        </is>
      </c>
      <c r="AE435" s="17" t="inlineStr">
        <is>
          <t>P224</t>
        </is>
      </c>
      <c r="AF435" s="17" t="inlineStr">
        <is>
          <t>경상남도 창원시 의창구 팔용로371번길 13 차룡1단지 (팔용동)</t>
        </is>
      </c>
      <c r="AG435" s="17" t="inlineStr">
        <is>
          <t>완제의약품</t>
        </is>
      </c>
      <c r="AH435" s="17" t="inlineStr">
        <is>
          <t>비무균-일반제제(의료용 고압가스)-가스제(의료용 고압가스)</t>
        </is>
      </c>
      <c r="AI435" s="17" t="n">
        <v>1</v>
      </c>
      <c r="AJ435" s="24" t="n">
        <v>46884</v>
      </c>
      <c r="AK435" s="17" t="inlineStr"/>
      <c r="AL435" s="17" t="inlineStr"/>
      <c r="AM435" s="17" t="inlineStr">
        <is>
          <t>기본 문서관리 수요</t>
        </is>
      </c>
      <c r="AN435" s="17" t="inlineStr">
        <is>
          <t>미확인</t>
        </is>
      </c>
      <c r="AO435" s="17" t="inlineStr">
        <is>
          <t>미확인</t>
        </is>
      </c>
      <c r="AP435" s="17" t="inlineStr">
        <is>
          <t>미확인</t>
        </is>
      </c>
      <c r="AQ435" s="17" t="inlineStr">
        <is>
          <t>담당자 파악 후 접촉</t>
        </is>
      </c>
      <c r="AR435" s="17" t="inlineStr">
        <is>
          <t>2026-07-05</t>
        </is>
      </c>
      <c r="AS435" s="17" t="inlineStr">
        <is>
          <t>C(부분확인)</t>
        </is>
      </c>
      <c r="AT435" s="17" t="n">
        <v>90</v>
      </c>
      <c r="AU435" s="17" t="inlineStr"/>
      <c r="AV435" s="17" t="inlineStr"/>
    </row>
    <row r="436">
      <c r="A436" s="28" t="inlineStr">
        <is>
          <t>Tier D</t>
        </is>
      </c>
      <c r="B436" s="17" t="n">
        <v>5</v>
      </c>
      <c r="C436" s="17" t="inlineStr">
        <is>
          <t>경원산소(주)</t>
        </is>
      </c>
      <c r="D436" s="17" t="inlineStr">
        <is>
          <t>제1공장</t>
        </is>
      </c>
      <c r="E436" s="17" t="inlineStr">
        <is>
          <t>강원특별자치도</t>
        </is>
      </c>
      <c r="F436" s="17" t="inlineStr">
        <is>
          <t>원주시</t>
        </is>
      </c>
      <c r="G436" s="17" t="n">
        <v>1</v>
      </c>
      <c r="H436" s="17" t="inlineStr"/>
      <c r="I436" s="17" t="inlineStr"/>
      <c r="J436" s="17" t="inlineStr">
        <is>
          <t>Y</t>
        </is>
      </c>
      <c r="K436" s="17" t="inlineStr"/>
      <c r="L436" s="22" t="inlineStr">
        <is>
          <t>미확인</t>
        </is>
      </c>
      <c r="M436" s="22" t="inlineStr">
        <is>
          <t>미확인</t>
        </is>
      </c>
      <c r="N436" s="22" t="inlineStr">
        <is>
          <t>미확인</t>
        </is>
      </c>
      <c r="O436" s="22" t="inlineStr">
        <is>
          <t>미확인</t>
        </is>
      </c>
      <c r="P436" s="17" t="inlineStr">
        <is>
          <t>EDMS</t>
        </is>
      </c>
      <c r="Q436" s="22" t="inlineStr">
        <is>
          <t>미확인</t>
        </is>
      </c>
      <c r="R436" s="22" t="inlineStr">
        <is>
          <t>미확인</t>
        </is>
      </c>
      <c r="S436" s="17" t="inlineStr">
        <is>
          <t>Tier D</t>
        </is>
      </c>
      <c r="T436" s="17" t="n">
        <v>4</v>
      </c>
      <c r="U436" s="17" t="inlineStr">
        <is>
          <t>C064</t>
        </is>
      </c>
      <c r="V436" s="17" t="inlineStr">
        <is>
          <t>경원산소</t>
        </is>
      </c>
      <c r="W436" s="17" t="inlineStr"/>
      <c r="X436" s="17" t="inlineStr"/>
      <c r="Y436" s="23" t="inlineStr"/>
      <c r="Z436" s="17" t="inlineStr">
        <is>
          <t>임정규</t>
        </is>
      </c>
      <c r="AA436" s="17" t="inlineStr"/>
      <c r="AB436" s="17" t="inlineStr">
        <is>
          <t>033-731-0202</t>
        </is>
      </c>
      <c r="AC436" s="17" t="inlineStr">
        <is>
          <t>미확인</t>
        </is>
      </c>
      <c r="AD436" s="17" t="inlineStr">
        <is>
          <t>Y</t>
        </is>
      </c>
      <c r="AE436" s="17" t="inlineStr">
        <is>
          <t>P066</t>
        </is>
      </c>
      <c r="AF436" s="17" t="inlineStr">
        <is>
          <t>강원특별자치도 원주시 우산공단길 149</t>
        </is>
      </c>
      <c r="AG436" s="17" t="inlineStr">
        <is>
          <t>완제의약품</t>
        </is>
      </c>
      <c r="AH436" s="17" t="inlineStr">
        <is>
          <t>비무균-일반제제(의료용 고압가스)-가스제(의료용 고압가스)</t>
        </is>
      </c>
      <c r="AI436" s="17" t="n">
        <v>1</v>
      </c>
      <c r="AJ436" s="24" t="n">
        <v>47172</v>
      </c>
      <c r="AK436" s="17" t="inlineStr"/>
      <c r="AL436" s="17" t="inlineStr"/>
      <c r="AM436" s="17" t="inlineStr">
        <is>
          <t>기본 문서관리 수요</t>
        </is>
      </c>
      <c r="AN436" s="17" t="inlineStr">
        <is>
          <t>미확인</t>
        </is>
      </c>
      <c r="AO436" s="17" t="inlineStr">
        <is>
          <t>미확인</t>
        </is>
      </c>
      <c r="AP436" s="17" t="inlineStr">
        <is>
          <t>미확인</t>
        </is>
      </c>
      <c r="AQ436" s="17" t="inlineStr">
        <is>
          <t>담당자 파악 후 접촉</t>
        </is>
      </c>
      <c r="AR436" s="17" t="inlineStr">
        <is>
          <t>2026-07-05</t>
        </is>
      </c>
      <c r="AS436" s="17" t="inlineStr">
        <is>
          <t>C(부분확인)</t>
        </is>
      </c>
      <c r="AT436" s="17" t="n">
        <v>90</v>
      </c>
      <c r="AU436" s="17" t="inlineStr"/>
      <c r="AV436" s="17" t="inlineStr"/>
    </row>
    <row r="437">
      <c r="A437" s="28" t="inlineStr">
        <is>
          <t>Tier D</t>
        </is>
      </c>
      <c r="B437" s="17" t="n">
        <v>5</v>
      </c>
      <c r="C437" s="17" t="inlineStr">
        <is>
          <t>국제산업가스(주)</t>
        </is>
      </c>
      <c r="D437" s="17" t="inlineStr">
        <is>
          <t>안양</t>
        </is>
      </c>
      <c r="E437" s="17" t="inlineStr">
        <is>
          <t>경기도</t>
        </is>
      </c>
      <c r="F437" s="17" t="inlineStr">
        <is>
          <t>안양시</t>
        </is>
      </c>
      <c r="G437" s="17" t="n">
        <v>1</v>
      </c>
      <c r="H437" s="17" t="inlineStr"/>
      <c r="I437" s="17" t="inlineStr"/>
      <c r="J437" s="17" t="inlineStr">
        <is>
          <t>Y</t>
        </is>
      </c>
      <c r="K437" s="17" t="inlineStr"/>
      <c r="L437" s="22" t="inlineStr">
        <is>
          <t>미확인</t>
        </is>
      </c>
      <c r="M437" s="22" t="inlineStr">
        <is>
          <t>미확인</t>
        </is>
      </c>
      <c r="N437" s="22" t="inlineStr">
        <is>
          <t>미확인</t>
        </is>
      </c>
      <c r="O437" s="22" t="inlineStr">
        <is>
          <t>미확인</t>
        </is>
      </c>
      <c r="P437" s="17" t="inlineStr">
        <is>
          <t>EDMS</t>
        </is>
      </c>
      <c r="Q437" s="22" t="inlineStr">
        <is>
          <t>미확인</t>
        </is>
      </c>
      <c r="R437" s="22" t="inlineStr">
        <is>
          <t>미확인</t>
        </is>
      </c>
      <c r="S437" s="17" t="inlineStr">
        <is>
          <t>Tier D</t>
        </is>
      </c>
      <c r="T437" s="17" t="n">
        <v>4</v>
      </c>
      <c r="U437" s="17" t="inlineStr">
        <is>
          <t>C218</t>
        </is>
      </c>
      <c r="V437" s="17" t="inlineStr">
        <is>
          <t>국제산업가스</t>
        </is>
      </c>
      <c r="W437" s="17" t="inlineStr"/>
      <c r="X437" s="17" t="inlineStr"/>
      <c r="Y437" s="23" t="inlineStr"/>
      <c r="Z437" s="17" t="inlineStr">
        <is>
          <t>안성태</t>
        </is>
      </c>
      <c r="AA437" s="17" t="inlineStr"/>
      <c r="AB437" s="17" t="inlineStr">
        <is>
          <t>031-452-1533</t>
        </is>
      </c>
      <c r="AC437" s="17" t="inlineStr">
        <is>
          <t>미확인</t>
        </is>
      </c>
      <c r="AD437" s="17" t="inlineStr">
        <is>
          <t>Y</t>
        </is>
      </c>
      <c r="AE437" s="17" t="inlineStr">
        <is>
          <t>P241</t>
        </is>
      </c>
      <c r="AF437" s="17" t="inlineStr">
        <is>
          <t>경기도 안양시 동안구 시민대로 95</t>
        </is>
      </c>
      <c r="AG437" s="17" t="inlineStr">
        <is>
          <t>완제의약품</t>
        </is>
      </c>
      <c r="AH437" s="17" t="inlineStr">
        <is>
          <t>비무균-일반제제(의료용 고압가스)-가스제(의료용 고압가스)</t>
        </is>
      </c>
      <c r="AI437" s="17" t="n">
        <v>1</v>
      </c>
      <c r="AJ437" s="24" t="n">
        <v>46870</v>
      </c>
      <c r="AK437" s="17" t="inlineStr"/>
      <c r="AL437" s="17" t="inlineStr"/>
      <c r="AM437" s="17" t="inlineStr">
        <is>
          <t>기본 문서관리 수요</t>
        </is>
      </c>
      <c r="AN437" s="17" t="inlineStr">
        <is>
          <t>미확인</t>
        </is>
      </c>
      <c r="AO437" s="17" t="inlineStr">
        <is>
          <t>미확인</t>
        </is>
      </c>
      <c r="AP437" s="17" t="inlineStr">
        <is>
          <t>미확인</t>
        </is>
      </c>
      <c r="AQ437" s="17" t="inlineStr">
        <is>
          <t>담당자 파악 후 접촉</t>
        </is>
      </c>
      <c r="AR437" s="17" t="inlineStr">
        <is>
          <t>2026-07-05</t>
        </is>
      </c>
      <c r="AS437" s="17" t="inlineStr">
        <is>
          <t>C(부분확인)</t>
        </is>
      </c>
      <c r="AT437" s="17" t="n">
        <v>90</v>
      </c>
      <c r="AU437" s="17" t="inlineStr"/>
      <c r="AV437" s="17" t="inlineStr"/>
    </row>
    <row r="438">
      <c r="A438" s="28" t="inlineStr">
        <is>
          <t>Tier D</t>
        </is>
      </c>
      <c r="B438" s="17" t="n">
        <v>5</v>
      </c>
      <c r="C438" s="17" t="inlineStr">
        <is>
          <t>금오가스(주)</t>
        </is>
      </c>
      <c r="D438" s="17" t="inlineStr">
        <is>
          <t>공장</t>
        </is>
      </c>
      <c r="E438" s="17" t="inlineStr">
        <is>
          <t>경기도</t>
        </is>
      </c>
      <c r="F438" s="17" t="inlineStr">
        <is>
          <t>파주시</t>
        </is>
      </c>
      <c r="G438" s="17" t="n">
        <v>1</v>
      </c>
      <c r="H438" s="17" t="inlineStr"/>
      <c r="I438" s="17" t="inlineStr"/>
      <c r="J438" s="17" t="inlineStr">
        <is>
          <t>Y</t>
        </is>
      </c>
      <c r="K438" s="17" t="inlineStr"/>
      <c r="L438" s="22" t="inlineStr">
        <is>
          <t>미확인</t>
        </is>
      </c>
      <c r="M438" s="22" t="inlineStr">
        <is>
          <t>미확인</t>
        </is>
      </c>
      <c r="N438" s="22" t="inlineStr">
        <is>
          <t>미확인</t>
        </is>
      </c>
      <c r="O438" s="22" t="inlineStr">
        <is>
          <t>미확인</t>
        </is>
      </c>
      <c r="P438" s="17" t="inlineStr">
        <is>
          <t>EDMS</t>
        </is>
      </c>
      <c r="Q438" s="22" t="inlineStr">
        <is>
          <t>미확인</t>
        </is>
      </c>
      <c r="R438" s="22" t="inlineStr">
        <is>
          <t>미확인</t>
        </is>
      </c>
      <c r="S438" s="17" t="inlineStr">
        <is>
          <t>Tier D</t>
        </is>
      </c>
      <c r="T438" s="17" t="n">
        <v>4</v>
      </c>
      <c r="U438" s="17" t="inlineStr">
        <is>
          <t>C016</t>
        </is>
      </c>
      <c r="V438" s="17" t="inlineStr">
        <is>
          <t>금오가스</t>
        </is>
      </c>
      <c r="W438" s="17" t="inlineStr"/>
      <c r="X438" s="17" t="inlineStr"/>
      <c r="Y438" s="23" t="inlineStr"/>
      <c r="Z438" s="17" t="inlineStr">
        <is>
          <t>권혁구</t>
        </is>
      </c>
      <c r="AA438" s="17" t="inlineStr"/>
      <c r="AB438" s="17" t="inlineStr">
        <is>
          <t>031-941-9353</t>
        </is>
      </c>
      <c r="AC438" s="17" t="inlineStr">
        <is>
          <t>미확인</t>
        </is>
      </c>
      <c r="AD438" s="17" t="inlineStr">
        <is>
          <t>Y</t>
        </is>
      </c>
      <c r="AE438" s="17" t="inlineStr">
        <is>
          <t>P016</t>
        </is>
      </c>
      <c r="AF438" s="17" t="inlineStr">
        <is>
          <t>경기도 파주시 조리읍 명봉산로 155</t>
        </is>
      </c>
      <c r="AG438" s="17" t="inlineStr">
        <is>
          <t>완제의약품</t>
        </is>
      </c>
      <c r="AH438" s="17" t="inlineStr">
        <is>
          <t>비무균-일반제제-가스제(의료용 고압가스)</t>
        </is>
      </c>
      <c r="AI438" s="17" t="n">
        <v>1</v>
      </c>
      <c r="AJ438" s="24" t="n">
        <v>47291</v>
      </c>
      <c r="AK438" s="17" t="inlineStr"/>
      <c r="AL438" s="17" t="inlineStr"/>
      <c r="AM438" s="17" t="inlineStr">
        <is>
          <t>기본 문서관리 수요</t>
        </is>
      </c>
      <c r="AN438" s="17" t="inlineStr">
        <is>
          <t>미확인</t>
        </is>
      </c>
      <c r="AO438" s="17" t="inlineStr">
        <is>
          <t>미확인</t>
        </is>
      </c>
      <c r="AP438" s="17" t="inlineStr">
        <is>
          <t>미확인</t>
        </is>
      </c>
      <c r="AQ438" s="17" t="inlineStr">
        <is>
          <t>담당자 파악 후 접촉</t>
        </is>
      </c>
      <c r="AR438" s="17" t="inlineStr">
        <is>
          <t>2026-07-05</t>
        </is>
      </c>
      <c r="AS438" s="17" t="inlineStr">
        <is>
          <t>C(부분확인)</t>
        </is>
      </c>
      <c r="AT438" s="17" t="n">
        <v>90</v>
      </c>
      <c r="AU438" s="17" t="inlineStr"/>
      <c r="AV438" s="17" t="inlineStr"/>
    </row>
    <row r="439">
      <c r="A439" s="28" t="inlineStr">
        <is>
          <t>Tier D</t>
        </is>
      </c>
      <c r="B439" s="17" t="n">
        <v>5</v>
      </c>
      <c r="C439" s="17" t="inlineStr">
        <is>
          <t>나주신일가스주식회사</t>
        </is>
      </c>
      <c r="D439" s="17" t="inlineStr">
        <is>
          <t>나주</t>
        </is>
      </c>
      <c r="E439" s="17" t="inlineStr">
        <is>
          <t>전라남도</t>
        </is>
      </c>
      <c r="F439" s="17" t="inlineStr">
        <is>
          <t>나주시</t>
        </is>
      </c>
      <c r="G439" s="17" t="n">
        <v>1</v>
      </c>
      <c r="H439" s="17" t="inlineStr"/>
      <c r="I439" s="17" t="inlineStr"/>
      <c r="J439" s="17" t="inlineStr">
        <is>
          <t>Y</t>
        </is>
      </c>
      <c r="K439" s="17" t="inlineStr"/>
      <c r="L439" s="22" t="inlineStr">
        <is>
          <t>미확인</t>
        </is>
      </c>
      <c r="M439" s="22" t="inlineStr">
        <is>
          <t>미확인</t>
        </is>
      </c>
      <c r="N439" s="22" t="inlineStr">
        <is>
          <t>미확인</t>
        </is>
      </c>
      <c r="O439" s="22" t="inlineStr">
        <is>
          <t>미확인</t>
        </is>
      </c>
      <c r="P439" s="17" t="inlineStr">
        <is>
          <t>EDMS</t>
        </is>
      </c>
      <c r="Q439" s="22" t="inlineStr">
        <is>
          <t>미확인</t>
        </is>
      </c>
      <c r="R439" s="22" t="inlineStr">
        <is>
          <t>미확인</t>
        </is>
      </c>
      <c r="S439" s="17" t="inlineStr">
        <is>
          <t>Tier D</t>
        </is>
      </c>
      <c r="T439" s="17" t="n">
        <v>4</v>
      </c>
      <c r="U439" s="17" t="inlineStr">
        <is>
          <t>C055</t>
        </is>
      </c>
      <c r="V439" s="17" t="inlineStr">
        <is>
          <t>나주신일가스</t>
        </is>
      </c>
      <c r="W439" s="17" t="inlineStr"/>
      <c r="X439" s="17" t="inlineStr"/>
      <c r="Y439" s="23" t="inlineStr"/>
      <c r="Z439" s="17" t="inlineStr">
        <is>
          <t>유근택</t>
        </is>
      </c>
      <c r="AA439" s="17" t="inlineStr"/>
      <c r="AB439" s="17" t="inlineStr">
        <is>
          <t>061-335-9955</t>
        </is>
      </c>
      <c r="AC439" s="17" t="inlineStr">
        <is>
          <t>미확인</t>
        </is>
      </c>
      <c r="AD439" s="17" t="inlineStr">
        <is>
          <t>Y</t>
        </is>
      </c>
      <c r="AE439" s="17" t="inlineStr">
        <is>
          <t>P057</t>
        </is>
      </c>
      <c r="AF439" s="17" t="inlineStr">
        <is>
          <t>전라남도 나주시 동수농공단지길 124</t>
        </is>
      </c>
      <c r="AG439" s="17" t="inlineStr">
        <is>
          <t>완제의약품</t>
        </is>
      </c>
      <c r="AH439" s="17" t="inlineStr">
        <is>
          <t>비무균-일반제제(의료용 고압가스)-가스제(의료용 고압가스)</t>
        </is>
      </c>
      <c r="AI439" s="17" t="n">
        <v>1</v>
      </c>
      <c r="AJ439" s="24" t="n">
        <v>47197</v>
      </c>
      <c r="AK439" s="17" t="inlineStr"/>
      <c r="AL439" s="17" t="inlineStr"/>
      <c r="AM439" s="17" t="inlineStr">
        <is>
          <t>기본 문서관리 수요</t>
        </is>
      </c>
      <c r="AN439" s="17" t="inlineStr">
        <is>
          <t>미확인</t>
        </is>
      </c>
      <c r="AO439" s="17" t="inlineStr">
        <is>
          <t>미확인</t>
        </is>
      </c>
      <c r="AP439" s="17" t="inlineStr">
        <is>
          <t>미확인</t>
        </is>
      </c>
      <c r="AQ439" s="17" t="inlineStr">
        <is>
          <t>담당자 파악 후 접촉</t>
        </is>
      </c>
      <c r="AR439" s="17" t="inlineStr">
        <is>
          <t>2026-07-05</t>
        </is>
      </c>
      <c r="AS439" s="17" t="inlineStr">
        <is>
          <t>C(부분확인)</t>
        </is>
      </c>
      <c r="AT439" s="17" t="n">
        <v>90</v>
      </c>
      <c r="AU439" s="17" t="inlineStr"/>
      <c r="AV439" s="17" t="inlineStr"/>
    </row>
    <row r="440">
      <c r="A440" s="28" t="inlineStr">
        <is>
          <t>Tier D</t>
        </is>
      </c>
      <c r="B440" s="17" t="n">
        <v>5</v>
      </c>
      <c r="C440" s="17" t="inlineStr">
        <is>
          <t>단일가스켐(주)</t>
        </is>
      </c>
      <c r="D440" s="17" t="inlineStr">
        <is>
          <t>오창</t>
        </is>
      </c>
      <c r="E440" s="17" t="inlineStr">
        <is>
          <t>충청북도</t>
        </is>
      </c>
      <c r="F440" s="17" t="inlineStr">
        <is>
          <t>청주시</t>
        </is>
      </c>
      <c r="G440" s="17" t="n">
        <v>1</v>
      </c>
      <c r="H440" s="17" t="inlineStr"/>
      <c r="I440" s="17" t="inlineStr"/>
      <c r="J440" s="17" t="inlineStr">
        <is>
          <t>Y</t>
        </is>
      </c>
      <c r="K440" s="17" t="inlineStr"/>
      <c r="L440" s="22" t="inlineStr">
        <is>
          <t>미확인</t>
        </is>
      </c>
      <c r="M440" s="22" t="inlineStr">
        <is>
          <t>미확인</t>
        </is>
      </c>
      <c r="N440" s="22" t="inlineStr">
        <is>
          <t>미확인</t>
        </is>
      </c>
      <c r="O440" s="22" t="inlineStr">
        <is>
          <t>미확인</t>
        </is>
      </c>
      <c r="P440" s="17" t="inlineStr">
        <is>
          <t>EDMS</t>
        </is>
      </c>
      <c r="Q440" s="22" t="inlineStr">
        <is>
          <t>미확인</t>
        </is>
      </c>
      <c r="R440" s="22" t="inlineStr">
        <is>
          <t>미확인</t>
        </is>
      </c>
      <c r="S440" s="17" t="inlineStr">
        <is>
          <t>Tier D</t>
        </is>
      </c>
      <c r="T440" s="17" t="n">
        <v>4</v>
      </c>
      <c r="U440" s="17" t="inlineStr">
        <is>
          <t>C276</t>
        </is>
      </c>
      <c r="V440" s="17" t="inlineStr">
        <is>
          <t>단일가스켐</t>
        </is>
      </c>
      <c r="W440" s="17" t="inlineStr"/>
      <c r="X440" s="17" t="inlineStr"/>
      <c r="Y440" s="23" t="inlineStr"/>
      <c r="Z440" s="17" t="inlineStr">
        <is>
          <t>장세훈</t>
        </is>
      </c>
      <c r="AA440" s="17" t="inlineStr"/>
      <c r="AB440" s="17" t="inlineStr">
        <is>
          <t>043-241-0070</t>
        </is>
      </c>
      <c r="AC440" s="17" t="inlineStr">
        <is>
          <t>미확인</t>
        </is>
      </c>
      <c r="AD440" s="17" t="inlineStr">
        <is>
          <t>Y</t>
        </is>
      </c>
      <c r="AE440" s="17" t="inlineStr">
        <is>
          <t>P331</t>
        </is>
      </c>
      <c r="AF440" s="17" t="inlineStr">
        <is>
          <t>충청북도 청주시 청원구 오창읍 과학산업2로 587-6</t>
        </is>
      </c>
      <c r="AG440" s="17" t="inlineStr">
        <is>
          <t>완제의약품</t>
        </is>
      </c>
      <c r="AH440" s="17" t="inlineStr">
        <is>
          <t>비무균-일반제제(의료용 고압가스)-가스제(의료용 고압가스)</t>
        </is>
      </c>
      <c r="AI440" s="17" t="n">
        <v>1</v>
      </c>
      <c r="AJ440" s="24" t="n">
        <v>46671</v>
      </c>
      <c r="AK440" s="17" t="inlineStr"/>
      <c r="AL440" s="17" t="inlineStr"/>
      <c r="AM440" s="17" t="inlineStr">
        <is>
          <t>기본 문서관리 수요</t>
        </is>
      </c>
      <c r="AN440" s="17" t="inlineStr">
        <is>
          <t>미확인</t>
        </is>
      </c>
      <c r="AO440" s="17" t="inlineStr">
        <is>
          <t>미확인</t>
        </is>
      </c>
      <c r="AP440" s="17" t="inlineStr">
        <is>
          <t>미확인</t>
        </is>
      </c>
      <c r="AQ440" s="17" t="inlineStr">
        <is>
          <t>담당자 파악 후 접촉</t>
        </is>
      </c>
      <c r="AR440" s="17" t="inlineStr">
        <is>
          <t>2026-07-05</t>
        </is>
      </c>
      <c r="AS440" s="17" t="inlineStr">
        <is>
          <t>C(부분확인)</t>
        </is>
      </c>
      <c r="AT440" s="17" t="n">
        <v>90</v>
      </c>
      <c r="AU440" s="17" t="inlineStr"/>
      <c r="AV440" s="17" t="inlineStr"/>
    </row>
    <row r="441">
      <c r="A441" s="28" t="inlineStr">
        <is>
          <t>Tier D</t>
        </is>
      </c>
      <c r="B441" s="17" t="n">
        <v>5</v>
      </c>
      <c r="C441" s="17" t="inlineStr">
        <is>
          <t>대성의료종합가스(주)</t>
        </is>
      </c>
      <c r="D441" s="17" t="inlineStr">
        <is>
          <t>제2공장</t>
        </is>
      </c>
      <c r="E441" s="17" t="inlineStr">
        <is>
          <t>경기도</t>
        </is>
      </c>
      <c r="F441" s="17" t="inlineStr">
        <is>
          <t>가평군</t>
        </is>
      </c>
      <c r="G441" s="17" t="n">
        <v>1</v>
      </c>
      <c r="H441" s="17" t="inlineStr"/>
      <c r="I441" s="17" t="inlineStr"/>
      <c r="J441" s="17" t="inlineStr">
        <is>
          <t>Y</t>
        </is>
      </c>
      <c r="K441" s="17" t="inlineStr"/>
      <c r="L441" s="22" t="inlineStr">
        <is>
          <t>미확인</t>
        </is>
      </c>
      <c r="M441" s="22" t="inlineStr">
        <is>
          <t>미확인</t>
        </is>
      </c>
      <c r="N441" s="22" t="inlineStr">
        <is>
          <t>미확인</t>
        </is>
      </c>
      <c r="O441" s="22" t="inlineStr">
        <is>
          <t>미확인</t>
        </is>
      </c>
      <c r="P441" s="17" t="inlineStr">
        <is>
          <t>EDMS</t>
        </is>
      </c>
      <c r="Q441" s="22" t="inlineStr">
        <is>
          <t>미확인</t>
        </is>
      </c>
      <c r="R441" s="22" t="inlineStr">
        <is>
          <t>미확인</t>
        </is>
      </c>
      <c r="S441" s="17" t="inlineStr">
        <is>
          <t>Tier D</t>
        </is>
      </c>
      <c r="T441" s="17" t="n">
        <v>4</v>
      </c>
      <c r="U441" s="17" t="inlineStr">
        <is>
          <t>C007</t>
        </is>
      </c>
      <c r="V441" s="17" t="inlineStr">
        <is>
          <t>대성의료종합가스</t>
        </is>
      </c>
      <c r="W441" s="17" t="inlineStr"/>
      <c r="X441" s="17" t="inlineStr"/>
      <c r="Y441" s="23" t="inlineStr"/>
      <c r="Z441" s="17" t="inlineStr">
        <is>
          <t>이근우</t>
        </is>
      </c>
      <c r="AA441" s="17" t="inlineStr"/>
      <c r="AB441" s="17" t="inlineStr">
        <is>
          <t>031-585-7871</t>
        </is>
      </c>
      <c r="AC441" s="17" t="inlineStr">
        <is>
          <t>미확인</t>
        </is>
      </c>
      <c r="AD441" s="17" t="inlineStr">
        <is>
          <t>Y</t>
        </is>
      </c>
      <c r="AE441" s="17" t="inlineStr">
        <is>
          <t>P007</t>
        </is>
      </c>
      <c r="AF441" s="17" t="inlineStr">
        <is>
          <t>경기도 가평군 조종면 비득재길 158</t>
        </is>
      </c>
      <c r="AG441" s="17" t="inlineStr">
        <is>
          <t>완제의약품</t>
        </is>
      </c>
      <c r="AH441" s="17" t="inlineStr">
        <is>
          <t>비무균-일반제제-가스제(의료용 고압가스)</t>
        </is>
      </c>
      <c r="AI441" s="17" t="n">
        <v>1</v>
      </c>
      <c r="AJ441" s="24" t="n">
        <v>47315</v>
      </c>
      <c r="AK441" s="17" t="inlineStr"/>
      <c r="AL441" s="17" t="inlineStr"/>
      <c r="AM441" s="17" t="inlineStr">
        <is>
          <t>기본 문서관리 수요</t>
        </is>
      </c>
      <c r="AN441" s="17" t="inlineStr">
        <is>
          <t>미확인</t>
        </is>
      </c>
      <c r="AO441" s="17" t="inlineStr">
        <is>
          <t>미확인</t>
        </is>
      </c>
      <c r="AP441" s="17" t="inlineStr">
        <is>
          <t>미확인</t>
        </is>
      </c>
      <c r="AQ441" s="17" t="inlineStr">
        <is>
          <t>담당자 파악 후 접촉</t>
        </is>
      </c>
      <c r="AR441" s="17" t="inlineStr">
        <is>
          <t>2026-07-05</t>
        </is>
      </c>
      <c r="AS441" s="17" t="inlineStr">
        <is>
          <t>C(부분확인)</t>
        </is>
      </c>
      <c r="AT441" s="17" t="n">
        <v>90</v>
      </c>
      <c r="AU441" s="17" t="inlineStr"/>
      <c r="AV441" s="17" t="inlineStr"/>
    </row>
    <row r="442">
      <c r="A442" s="28" t="inlineStr">
        <is>
          <t>Tier D</t>
        </is>
      </c>
      <c r="B442" s="17" t="n">
        <v>5</v>
      </c>
      <c r="C442" s="17" t="inlineStr">
        <is>
          <t>대우제약(주)</t>
        </is>
      </c>
      <c r="D442" s="17" t="inlineStr">
        <is>
          <t>부산</t>
        </is>
      </c>
      <c r="E442" s="17" t="inlineStr">
        <is>
          <t>부산광역시</t>
        </is>
      </c>
      <c r="F442" s="17" t="inlineStr">
        <is>
          <t>사하구</t>
        </is>
      </c>
      <c r="G442" s="17" t="n">
        <v>1</v>
      </c>
      <c r="H442" s="17" t="inlineStr"/>
      <c r="I442" s="17" t="inlineStr"/>
      <c r="J442" s="17" t="inlineStr">
        <is>
          <t>Y</t>
        </is>
      </c>
      <c r="K442" s="17" t="inlineStr"/>
      <c r="L442" s="22" t="inlineStr">
        <is>
          <t>미확인</t>
        </is>
      </c>
      <c r="M442" s="22" t="inlineStr">
        <is>
          <t>미확인</t>
        </is>
      </c>
      <c r="N442" s="22" t="inlineStr">
        <is>
          <t>미확인</t>
        </is>
      </c>
      <c r="O442" s="22" t="inlineStr">
        <is>
          <t>미확인</t>
        </is>
      </c>
      <c r="P442" s="17" t="inlineStr">
        <is>
          <t>EDMS</t>
        </is>
      </c>
      <c r="Q442" s="22" t="inlineStr">
        <is>
          <t>미확인</t>
        </is>
      </c>
      <c r="R442" s="22" t="inlineStr">
        <is>
          <t>미확인</t>
        </is>
      </c>
      <c r="S442" s="17" t="inlineStr">
        <is>
          <t>Tier D</t>
        </is>
      </c>
      <c r="T442" s="17" t="n">
        <v>4</v>
      </c>
      <c r="U442" s="17" t="inlineStr">
        <is>
          <t>C044</t>
        </is>
      </c>
      <c r="V442" s="17" t="inlineStr">
        <is>
          <t>대우제약</t>
        </is>
      </c>
      <c r="W442" s="17" t="inlineStr"/>
      <c r="X442" s="17" t="inlineStr"/>
      <c r="Y442" s="23" t="inlineStr"/>
      <c r="Z442" s="17" t="inlineStr">
        <is>
          <t>지용훈</t>
        </is>
      </c>
      <c r="AA442" s="17" t="inlineStr"/>
      <c r="AB442" s="17" t="inlineStr">
        <is>
          <t>051-2043-8314</t>
        </is>
      </c>
      <c r="AC442" s="17" t="inlineStr">
        <is>
          <t>미확인</t>
        </is>
      </c>
      <c r="AD442" s="17" t="inlineStr">
        <is>
          <t>Y</t>
        </is>
      </c>
      <c r="AE442" s="17" t="inlineStr">
        <is>
          <t>P044</t>
        </is>
      </c>
      <c r="AF442" s="17" t="inlineStr">
        <is>
          <t>부산광역시 사하구 다대로 153</t>
        </is>
      </c>
      <c r="AG442" s="17" t="inlineStr">
        <is>
          <t>완제의약품</t>
        </is>
      </c>
      <c r="AH442" s="17" t="inlineStr">
        <is>
          <t>비무균-일반제제-내용고형제(정제, 캡슐제), 무균-일반제제-점안제(점안제)</t>
        </is>
      </c>
      <c r="AI442" s="17" t="n">
        <v>1</v>
      </c>
      <c r="AJ442" s="24" t="n">
        <v>47224</v>
      </c>
      <c r="AK442" s="17" t="inlineStr"/>
      <c r="AL442" s="17" t="inlineStr"/>
      <c r="AM442" s="17" t="inlineStr">
        <is>
          <t>기본 문서관리 수요</t>
        </is>
      </c>
      <c r="AN442" s="17" t="inlineStr">
        <is>
          <t>미확인</t>
        </is>
      </c>
      <c r="AO442" s="17" t="inlineStr">
        <is>
          <t>미확인</t>
        </is>
      </c>
      <c r="AP442" s="17" t="inlineStr">
        <is>
          <t>미확인</t>
        </is>
      </c>
      <c r="AQ442" s="17" t="inlineStr">
        <is>
          <t>담당자 파악 후 접촉</t>
        </is>
      </c>
      <c r="AR442" s="17" t="inlineStr">
        <is>
          <t>2026-07-05</t>
        </is>
      </c>
      <c r="AS442" s="17" t="inlineStr">
        <is>
          <t>C(부분확인)</t>
        </is>
      </c>
      <c r="AT442" s="17" t="n">
        <v>90</v>
      </c>
      <c r="AU442" s="17" t="inlineStr"/>
      <c r="AV442" s="17" t="inlineStr"/>
    </row>
    <row r="443">
      <c r="A443" s="28" t="inlineStr">
        <is>
          <t>Tier D</t>
        </is>
      </c>
      <c r="B443" s="17" t="n">
        <v>5</v>
      </c>
      <c r="C443" s="17" t="inlineStr">
        <is>
          <t>대창가스공업사</t>
        </is>
      </c>
      <c r="D443" s="17" t="inlineStr">
        <is>
          <t>광주</t>
        </is>
      </c>
      <c r="E443" s="17" t="inlineStr">
        <is>
          <t>광주광역시</t>
        </is>
      </c>
      <c r="F443" s="17" t="inlineStr">
        <is>
          <t>남구</t>
        </is>
      </c>
      <c r="G443" s="17" t="n">
        <v>1</v>
      </c>
      <c r="H443" s="17" t="inlineStr"/>
      <c r="I443" s="17" t="inlineStr"/>
      <c r="J443" s="17" t="inlineStr">
        <is>
          <t>Y</t>
        </is>
      </c>
      <c r="K443" s="17" t="inlineStr"/>
      <c r="L443" s="22" t="inlineStr">
        <is>
          <t>미확인</t>
        </is>
      </c>
      <c r="M443" s="22" t="inlineStr">
        <is>
          <t>미확인</t>
        </is>
      </c>
      <c r="N443" s="22" t="inlineStr">
        <is>
          <t>미확인</t>
        </is>
      </c>
      <c r="O443" s="22" t="inlineStr">
        <is>
          <t>미확인</t>
        </is>
      </c>
      <c r="P443" s="17" t="inlineStr">
        <is>
          <t>EDMS</t>
        </is>
      </c>
      <c r="Q443" s="22" t="inlineStr">
        <is>
          <t>미확인</t>
        </is>
      </c>
      <c r="R443" s="22" t="inlineStr">
        <is>
          <t>미확인</t>
        </is>
      </c>
      <c r="S443" s="17" t="inlineStr">
        <is>
          <t>Tier D</t>
        </is>
      </c>
      <c r="T443" s="17" t="n">
        <v>4</v>
      </c>
      <c r="U443" s="17" t="inlineStr">
        <is>
          <t>C232</t>
        </is>
      </c>
      <c r="V443" s="17" t="inlineStr">
        <is>
          <t>대창가스공업사</t>
        </is>
      </c>
      <c r="W443" s="17" t="inlineStr"/>
      <c r="X443" s="17" t="inlineStr"/>
      <c r="Y443" s="23" t="inlineStr"/>
      <c r="Z443" s="17" t="inlineStr">
        <is>
          <t>이광용</t>
        </is>
      </c>
      <c r="AA443" s="17" t="inlineStr"/>
      <c r="AB443" s="17" t="inlineStr">
        <is>
          <t>062-674-3331</t>
        </is>
      </c>
      <c r="AC443" s="17" t="inlineStr">
        <is>
          <t>미확인</t>
        </is>
      </c>
      <c r="AD443" s="17" t="inlineStr">
        <is>
          <t>Y</t>
        </is>
      </c>
      <c r="AE443" s="17" t="inlineStr">
        <is>
          <t>P258</t>
        </is>
      </c>
      <c r="AF443" s="17" t="inlineStr">
        <is>
          <t>광주광역시 남구 서문대로473번길 12</t>
        </is>
      </c>
      <c r="AG443" s="17" t="inlineStr">
        <is>
          <t>완제의약품</t>
        </is>
      </c>
      <c r="AH443" s="17" t="inlineStr">
        <is>
          <t>비무균-일반제제(의료용 고압가스)-가스제(의료용 고압가스)</t>
        </is>
      </c>
      <c r="AI443" s="17" t="n">
        <v>1</v>
      </c>
      <c r="AJ443" s="24" t="n">
        <v>46849</v>
      </c>
      <c r="AK443" s="17" t="inlineStr"/>
      <c r="AL443" s="17" t="inlineStr"/>
      <c r="AM443" s="17" t="inlineStr">
        <is>
          <t>기본 문서관리 수요</t>
        </is>
      </c>
      <c r="AN443" s="17" t="inlineStr">
        <is>
          <t>미확인</t>
        </is>
      </c>
      <c r="AO443" s="17" t="inlineStr">
        <is>
          <t>미확인</t>
        </is>
      </c>
      <c r="AP443" s="17" t="inlineStr">
        <is>
          <t>미확인</t>
        </is>
      </c>
      <c r="AQ443" s="17" t="inlineStr">
        <is>
          <t>담당자 파악 후 접촉</t>
        </is>
      </c>
      <c r="AR443" s="17" t="inlineStr">
        <is>
          <t>2026-07-05</t>
        </is>
      </c>
      <c r="AS443" s="17" t="inlineStr">
        <is>
          <t>C(부분확인)</t>
        </is>
      </c>
      <c r="AT443" s="17" t="n">
        <v>90</v>
      </c>
      <c r="AU443" s="17" t="inlineStr"/>
      <c r="AV443" s="17" t="inlineStr"/>
    </row>
    <row r="444">
      <c r="A444" s="28" t="inlineStr">
        <is>
          <t>Tier D</t>
        </is>
      </c>
      <c r="B444" s="17" t="n">
        <v>5</v>
      </c>
      <c r="C444" s="17" t="inlineStr">
        <is>
          <t>대한의산(주)</t>
        </is>
      </c>
      <c r="D444" s="17" t="inlineStr">
        <is>
          <t>공장</t>
        </is>
      </c>
      <c r="E444" s="17" t="inlineStr">
        <is>
          <t>경기도</t>
        </is>
      </c>
      <c r="F444" s="17" t="inlineStr">
        <is>
          <t>이천시</t>
        </is>
      </c>
      <c r="G444" s="17" t="n">
        <v>1</v>
      </c>
      <c r="H444" s="17" t="inlineStr"/>
      <c r="I444" s="17" t="inlineStr"/>
      <c r="J444" s="17" t="inlineStr">
        <is>
          <t>Y</t>
        </is>
      </c>
      <c r="K444" s="17" t="inlineStr"/>
      <c r="L444" s="22" t="inlineStr">
        <is>
          <t>미확인</t>
        </is>
      </c>
      <c r="M444" s="22" t="inlineStr">
        <is>
          <t>미확인</t>
        </is>
      </c>
      <c r="N444" s="22" t="inlineStr">
        <is>
          <t>미확인</t>
        </is>
      </c>
      <c r="O444" s="22" t="inlineStr">
        <is>
          <t>미확인</t>
        </is>
      </c>
      <c r="P444" s="17" t="inlineStr">
        <is>
          <t>EDMS</t>
        </is>
      </c>
      <c r="Q444" s="22" t="inlineStr">
        <is>
          <t>미확인</t>
        </is>
      </c>
      <c r="R444" s="22" t="inlineStr">
        <is>
          <t>미확인</t>
        </is>
      </c>
      <c r="S444" s="17" t="inlineStr">
        <is>
          <t>Tier D</t>
        </is>
      </c>
      <c r="T444" s="17" t="n">
        <v>4</v>
      </c>
      <c r="U444" s="17" t="inlineStr">
        <is>
          <t>C152</t>
        </is>
      </c>
      <c r="V444" s="17" t="inlineStr">
        <is>
          <t>대한의산</t>
        </is>
      </c>
      <c r="W444" s="17" t="inlineStr"/>
      <c r="X444" s="17" t="inlineStr"/>
      <c r="Y444" s="23" t="inlineStr"/>
      <c r="Z444" s="17" t="inlineStr">
        <is>
          <t>김성주</t>
        </is>
      </c>
      <c r="AA444" s="17" t="inlineStr"/>
      <c r="AB444" s="17" t="inlineStr">
        <is>
          <t>031-635-2345</t>
        </is>
      </c>
      <c r="AC444" s="17" t="inlineStr">
        <is>
          <t>미확인</t>
        </is>
      </c>
      <c r="AD444" s="17" t="inlineStr">
        <is>
          <t>Y</t>
        </is>
      </c>
      <c r="AE444" s="17" t="inlineStr">
        <is>
          <t>P162</t>
        </is>
      </c>
      <c r="AF444" s="17" t="inlineStr">
        <is>
          <t>경기도 이천시 모가면 사실로 670</t>
        </is>
      </c>
      <c r="AG444" s="17" t="inlineStr">
        <is>
          <t>완제의약품</t>
        </is>
      </c>
      <c r="AH444" s="17" t="inlineStr">
        <is>
          <t>비무균-일반제제(의료용 고압가스)-가스제(의료용 고압가스)</t>
        </is>
      </c>
      <c r="AI444" s="17" t="n">
        <v>1</v>
      </c>
      <c r="AJ444" s="24" t="n">
        <v>46960</v>
      </c>
      <c r="AK444" s="17" t="inlineStr"/>
      <c r="AL444" s="17" t="inlineStr"/>
      <c r="AM444" s="17" t="inlineStr">
        <is>
          <t>기본 문서관리 수요</t>
        </is>
      </c>
      <c r="AN444" s="17" t="inlineStr">
        <is>
          <t>미확인</t>
        </is>
      </c>
      <c r="AO444" s="17" t="inlineStr">
        <is>
          <t>미확인</t>
        </is>
      </c>
      <c r="AP444" s="17" t="inlineStr">
        <is>
          <t>미확인</t>
        </is>
      </c>
      <c r="AQ444" s="17" t="inlineStr">
        <is>
          <t>담당자 파악 후 접촉</t>
        </is>
      </c>
      <c r="AR444" s="17" t="inlineStr">
        <is>
          <t>2026-07-05</t>
        </is>
      </c>
      <c r="AS444" s="17" t="inlineStr">
        <is>
          <t>C(부분확인)</t>
        </is>
      </c>
      <c r="AT444" s="17" t="n">
        <v>90</v>
      </c>
      <c r="AU444" s="17" t="inlineStr"/>
      <c r="AV444" s="17" t="inlineStr"/>
    </row>
    <row r="445">
      <c r="A445" s="28" t="inlineStr">
        <is>
          <t>Tier D</t>
        </is>
      </c>
      <c r="B445" s="17" t="n">
        <v>5</v>
      </c>
      <c r="C445" s="17" t="inlineStr">
        <is>
          <t>대흥산업가스주식회사</t>
        </is>
      </c>
      <c r="D445" s="17" t="inlineStr">
        <is>
          <t>군산</t>
        </is>
      </c>
      <c r="E445" s="17" t="inlineStr">
        <is>
          <t>전북특별자치도</t>
        </is>
      </c>
      <c r="F445" s="17" t="inlineStr">
        <is>
          <t>군산시</t>
        </is>
      </c>
      <c r="G445" s="17" t="n">
        <v>1</v>
      </c>
      <c r="H445" s="17" t="inlineStr"/>
      <c r="I445" s="17" t="inlineStr"/>
      <c r="J445" s="17" t="inlineStr">
        <is>
          <t>Y</t>
        </is>
      </c>
      <c r="K445" s="17" t="inlineStr"/>
      <c r="L445" s="22" t="inlineStr">
        <is>
          <t>미확인</t>
        </is>
      </c>
      <c r="M445" s="22" t="inlineStr">
        <is>
          <t>미확인</t>
        </is>
      </c>
      <c r="N445" s="22" t="inlineStr">
        <is>
          <t>미확인</t>
        </is>
      </c>
      <c r="O445" s="22" t="inlineStr">
        <is>
          <t>미확인</t>
        </is>
      </c>
      <c r="P445" s="17" t="inlineStr">
        <is>
          <t>EDMS</t>
        </is>
      </c>
      <c r="Q445" s="22" t="inlineStr">
        <is>
          <t>미확인</t>
        </is>
      </c>
      <c r="R445" s="22" t="inlineStr">
        <is>
          <t>미확인</t>
        </is>
      </c>
      <c r="S445" s="17" t="inlineStr">
        <is>
          <t>Tier D</t>
        </is>
      </c>
      <c r="T445" s="17" t="n">
        <v>4</v>
      </c>
      <c r="U445" s="17" t="inlineStr">
        <is>
          <t>C258</t>
        </is>
      </c>
      <c r="V445" s="17" t="inlineStr">
        <is>
          <t>대흥산업가스</t>
        </is>
      </c>
      <c r="W445" s="17" t="inlineStr"/>
      <c r="X445" s="17" t="inlineStr"/>
      <c r="Y445" s="23" t="inlineStr"/>
      <c r="Z445" s="17" t="inlineStr">
        <is>
          <t>김성주</t>
        </is>
      </c>
      <c r="AA445" s="17" t="inlineStr"/>
      <c r="AB445" s="17" t="inlineStr">
        <is>
          <t>063-468-2626</t>
        </is>
      </c>
      <c r="AC445" s="17" t="inlineStr">
        <is>
          <t>미확인</t>
        </is>
      </c>
      <c r="AD445" s="17" t="inlineStr">
        <is>
          <t>Y</t>
        </is>
      </c>
      <c r="AE445" s="17" t="inlineStr">
        <is>
          <t>P301</t>
        </is>
      </c>
      <c r="AF445" s="17" t="inlineStr">
        <is>
          <t>전북특별자치도 군산시 공항로 161</t>
        </is>
      </c>
      <c r="AG445" s="17" t="inlineStr">
        <is>
          <t>완제의약품</t>
        </is>
      </c>
      <c r="AH445" s="17" t="inlineStr">
        <is>
          <t>비무균-일반제제(의료용 고압가스)-가스제(의료용 고압가스)</t>
        </is>
      </c>
      <c r="AI445" s="17" t="n">
        <v>1</v>
      </c>
      <c r="AJ445" s="24" t="n">
        <v>46792</v>
      </c>
      <c r="AK445" s="17" t="inlineStr"/>
      <c r="AL445" s="17" t="inlineStr"/>
      <c r="AM445" s="17" t="inlineStr">
        <is>
          <t>기본 문서관리 수요</t>
        </is>
      </c>
      <c r="AN445" s="17" t="inlineStr">
        <is>
          <t>미확인</t>
        </is>
      </c>
      <c r="AO445" s="17" t="inlineStr">
        <is>
          <t>미확인</t>
        </is>
      </c>
      <c r="AP445" s="17" t="inlineStr">
        <is>
          <t>미확인</t>
        </is>
      </c>
      <c r="AQ445" s="17" t="inlineStr">
        <is>
          <t>담당자 파악 후 접촉</t>
        </is>
      </c>
      <c r="AR445" s="17" t="inlineStr">
        <is>
          <t>2026-07-05</t>
        </is>
      </c>
      <c r="AS445" s="17" t="inlineStr">
        <is>
          <t>C(부분확인)</t>
        </is>
      </c>
      <c r="AT445" s="17" t="n">
        <v>90</v>
      </c>
      <c r="AU445" s="17" t="inlineStr"/>
      <c r="AV445" s="17" t="inlineStr"/>
    </row>
    <row r="446">
      <c r="A446" s="28" t="inlineStr">
        <is>
          <t>Tier D</t>
        </is>
      </c>
      <c r="B446" s="17" t="n">
        <v>5</v>
      </c>
      <c r="C446" s="17" t="inlineStr">
        <is>
          <t>동방산업가스</t>
        </is>
      </c>
      <c r="D446" s="17" t="inlineStr">
        <is>
          <t>동방산업가스</t>
        </is>
      </c>
      <c r="E446" s="17" t="inlineStr">
        <is>
          <t>경상북도</t>
        </is>
      </c>
      <c r="F446" s="17" t="inlineStr">
        <is>
          <t>안동시</t>
        </is>
      </c>
      <c r="G446" s="17" t="n">
        <v>1</v>
      </c>
      <c r="H446" s="17" t="inlineStr"/>
      <c r="I446" s="17" t="inlineStr"/>
      <c r="J446" s="17" t="inlineStr">
        <is>
          <t>Y</t>
        </is>
      </c>
      <c r="K446" s="17" t="inlineStr"/>
      <c r="L446" s="22" t="inlineStr">
        <is>
          <t>미확인</t>
        </is>
      </c>
      <c r="M446" s="22" t="inlineStr">
        <is>
          <t>미확인</t>
        </is>
      </c>
      <c r="N446" s="22" t="inlineStr">
        <is>
          <t>미확인</t>
        </is>
      </c>
      <c r="O446" s="22" t="inlineStr">
        <is>
          <t>미확인</t>
        </is>
      </c>
      <c r="P446" s="17" t="inlineStr">
        <is>
          <t>EDMS</t>
        </is>
      </c>
      <c r="Q446" s="22" t="inlineStr">
        <is>
          <t>미확인</t>
        </is>
      </c>
      <c r="R446" s="22" t="inlineStr">
        <is>
          <t>미확인</t>
        </is>
      </c>
      <c r="S446" s="17" t="inlineStr">
        <is>
          <t>Tier D</t>
        </is>
      </c>
      <c r="T446" s="17" t="n">
        <v>4</v>
      </c>
      <c r="U446" s="17" t="inlineStr">
        <is>
          <t>C013</t>
        </is>
      </c>
      <c r="V446" s="17" t="inlineStr">
        <is>
          <t>동방산업가스</t>
        </is>
      </c>
      <c r="W446" s="17" t="inlineStr"/>
      <c r="X446" s="17" t="inlineStr"/>
      <c r="Y446" s="23" t="inlineStr"/>
      <c r="Z446" s="17" t="inlineStr">
        <is>
          <t>김태건</t>
        </is>
      </c>
      <c r="AA446" s="17" t="inlineStr"/>
      <c r="AB446" s="17" t="inlineStr">
        <is>
          <t>054-858-7593</t>
        </is>
      </c>
      <c r="AC446" s="17" t="inlineStr">
        <is>
          <t>미확인</t>
        </is>
      </c>
      <c r="AD446" s="17" t="inlineStr">
        <is>
          <t>Y</t>
        </is>
      </c>
      <c r="AE446" s="17" t="inlineStr">
        <is>
          <t>P013</t>
        </is>
      </c>
      <c r="AF446" s="17" t="inlineStr">
        <is>
          <t>경상북도 안동시 풍산읍 절뒤길 34 동방산업가스</t>
        </is>
      </c>
      <c r="AG446" s="17" t="inlineStr">
        <is>
          <t>완제의약품</t>
        </is>
      </c>
      <c r="AH446" s="17" t="inlineStr">
        <is>
          <t>비무균-일반제제(의료용 고압가스)-가스제(의료용 고압가스)</t>
        </is>
      </c>
      <c r="AI446" s="17" t="n">
        <v>1</v>
      </c>
      <c r="AJ446" s="24" t="n">
        <v>47302</v>
      </c>
      <c r="AK446" s="17" t="inlineStr"/>
      <c r="AL446" s="17" t="inlineStr"/>
      <c r="AM446" s="17" t="inlineStr">
        <is>
          <t>기본 문서관리 수요</t>
        </is>
      </c>
      <c r="AN446" s="17" t="inlineStr">
        <is>
          <t>미확인</t>
        </is>
      </c>
      <c r="AO446" s="17" t="inlineStr">
        <is>
          <t>미확인</t>
        </is>
      </c>
      <c r="AP446" s="17" t="inlineStr">
        <is>
          <t>미확인</t>
        </is>
      </c>
      <c r="AQ446" s="17" t="inlineStr">
        <is>
          <t>담당자 파악 후 접촉</t>
        </is>
      </c>
      <c r="AR446" s="17" t="inlineStr">
        <is>
          <t>2026-07-05</t>
        </is>
      </c>
      <c r="AS446" s="17" t="inlineStr">
        <is>
          <t>C(부분확인)</t>
        </is>
      </c>
      <c r="AT446" s="17" t="n">
        <v>90</v>
      </c>
      <c r="AU446" s="17" t="inlineStr"/>
      <c r="AV446" s="17" t="inlineStr"/>
    </row>
    <row r="447">
      <c r="A447" s="28" t="inlineStr">
        <is>
          <t>Tier D</t>
        </is>
      </c>
      <c r="B447" s="17" t="n">
        <v>5</v>
      </c>
      <c r="C447" s="17" t="inlineStr">
        <is>
          <t>동양산업가스(주)</t>
        </is>
      </c>
      <c r="D447" s="17" t="inlineStr">
        <is>
          <t>광주</t>
        </is>
      </c>
      <c r="E447" s="17" t="inlineStr">
        <is>
          <t>경기도</t>
        </is>
      </c>
      <c r="F447" s="17" t="inlineStr">
        <is>
          <t>광주시</t>
        </is>
      </c>
      <c r="G447" s="17" t="n">
        <v>1</v>
      </c>
      <c r="H447" s="17" t="inlineStr"/>
      <c r="I447" s="17" t="inlineStr"/>
      <c r="J447" s="17" t="inlineStr">
        <is>
          <t>Y</t>
        </is>
      </c>
      <c r="K447" s="17" t="inlineStr"/>
      <c r="L447" s="22" t="inlineStr">
        <is>
          <t>미확인</t>
        </is>
      </c>
      <c r="M447" s="22" t="inlineStr">
        <is>
          <t>미확인</t>
        </is>
      </c>
      <c r="N447" s="22" t="inlineStr">
        <is>
          <t>미확인</t>
        </is>
      </c>
      <c r="O447" s="22" t="inlineStr">
        <is>
          <t>미확인</t>
        </is>
      </c>
      <c r="P447" s="17" t="inlineStr">
        <is>
          <t>EDMS</t>
        </is>
      </c>
      <c r="Q447" s="22" t="inlineStr">
        <is>
          <t>미확인</t>
        </is>
      </c>
      <c r="R447" s="22" t="inlineStr">
        <is>
          <t>미확인</t>
        </is>
      </c>
      <c r="S447" s="17" t="inlineStr">
        <is>
          <t>Tier D</t>
        </is>
      </c>
      <c r="T447" s="17" t="n">
        <v>4</v>
      </c>
      <c r="U447" s="17" t="inlineStr">
        <is>
          <t>C227</t>
        </is>
      </c>
      <c r="V447" s="17" t="inlineStr">
        <is>
          <t>동양산업가스</t>
        </is>
      </c>
      <c r="W447" s="17" t="inlineStr"/>
      <c r="X447" s="17" t="inlineStr"/>
      <c r="Y447" s="23" t="inlineStr"/>
      <c r="Z447" s="17" t="inlineStr">
        <is>
          <t>최지호</t>
        </is>
      </c>
      <c r="AA447" s="17" t="inlineStr"/>
      <c r="AB447" s="17" t="inlineStr">
        <is>
          <t>미확인</t>
        </is>
      </c>
      <c r="AC447" s="17" t="inlineStr">
        <is>
          <t>미확인</t>
        </is>
      </c>
      <c r="AD447" s="17" t="inlineStr">
        <is>
          <t>Y</t>
        </is>
      </c>
      <c r="AE447" s="17" t="inlineStr">
        <is>
          <t>P251</t>
        </is>
      </c>
      <c r="AF447" s="17" t="inlineStr">
        <is>
          <t>경기도 광주시 곤지암읍 경충대로 820</t>
        </is>
      </c>
      <c r="AG447" s="17" t="inlineStr">
        <is>
          <t>완제의약품</t>
        </is>
      </c>
      <c r="AH447" s="17" t="inlineStr">
        <is>
          <t>비무균-일반제제(의료용 고압가스)-가스제(의료용 고압가스)</t>
        </is>
      </c>
      <c r="AI447" s="17" t="n">
        <v>1</v>
      </c>
      <c r="AJ447" s="24" t="n">
        <v>46854</v>
      </c>
      <c r="AK447" s="17" t="inlineStr"/>
      <c r="AL447" s="17" t="inlineStr"/>
      <c r="AM447" s="17" t="inlineStr">
        <is>
          <t>기본 문서관리 수요</t>
        </is>
      </c>
      <c r="AN447" s="17" t="inlineStr">
        <is>
          <t>미확인</t>
        </is>
      </c>
      <c r="AO447" s="17" t="inlineStr">
        <is>
          <t>미확인</t>
        </is>
      </c>
      <c r="AP447" s="17" t="inlineStr">
        <is>
          <t>미확인</t>
        </is>
      </c>
      <c r="AQ447" s="17" t="inlineStr">
        <is>
          <t>담당자 파악 후 접촉</t>
        </is>
      </c>
      <c r="AR447" s="17" t="inlineStr">
        <is>
          <t>2026-07-05</t>
        </is>
      </c>
      <c r="AS447" s="17" t="inlineStr">
        <is>
          <t>C(부분확인)</t>
        </is>
      </c>
      <c r="AT447" s="17" t="n">
        <v>90</v>
      </c>
      <c r="AU447" s="17" t="inlineStr"/>
      <c r="AV447" s="17" t="inlineStr"/>
    </row>
    <row r="448">
      <c r="A448" s="28" t="inlineStr">
        <is>
          <t>Tier D</t>
        </is>
      </c>
      <c r="B448" s="17" t="n">
        <v>5</v>
      </c>
      <c r="C448" s="17" t="inlineStr">
        <is>
          <t>맥널티제약(주)</t>
        </is>
      </c>
      <c r="D448" s="17" t="inlineStr">
        <is>
          <t>천안</t>
        </is>
      </c>
      <c r="E448" s="17" t="inlineStr">
        <is>
          <t>충청남도</t>
        </is>
      </c>
      <c r="F448" s="17" t="inlineStr">
        <is>
          <t>천안시</t>
        </is>
      </c>
      <c r="G448" s="17" t="n">
        <v>1</v>
      </c>
      <c r="H448" s="17" t="inlineStr"/>
      <c r="I448" s="17" t="inlineStr"/>
      <c r="J448" s="17" t="inlineStr">
        <is>
          <t>Y</t>
        </is>
      </c>
      <c r="K448" s="17" t="inlineStr"/>
      <c r="L448" s="22" t="inlineStr">
        <is>
          <t>미확인</t>
        </is>
      </c>
      <c r="M448" s="22" t="inlineStr">
        <is>
          <t>미확인</t>
        </is>
      </c>
      <c r="N448" s="22" t="inlineStr">
        <is>
          <t>미확인</t>
        </is>
      </c>
      <c r="O448" s="22" t="inlineStr">
        <is>
          <t>미확인</t>
        </is>
      </c>
      <c r="P448" s="17" t="inlineStr">
        <is>
          <t>EDMS</t>
        </is>
      </c>
      <c r="Q448" s="22" t="inlineStr">
        <is>
          <t>미확인</t>
        </is>
      </c>
      <c r="R448" s="22" t="inlineStr">
        <is>
          <t>미확인</t>
        </is>
      </c>
      <c r="S448" s="17" t="inlineStr">
        <is>
          <t>Tier D</t>
        </is>
      </c>
      <c r="T448" s="17" t="n">
        <v>4</v>
      </c>
      <c r="U448" s="17" t="inlineStr">
        <is>
          <t>C127</t>
        </is>
      </c>
      <c r="V448" s="17" t="inlineStr">
        <is>
          <t>맥널티제약</t>
        </is>
      </c>
      <c r="W448" s="17" t="inlineStr"/>
      <c r="X448" s="17" t="inlineStr"/>
      <c r="Y448" s="23" t="inlineStr"/>
      <c r="Z448" s="17" t="inlineStr">
        <is>
          <t>이은정</t>
        </is>
      </c>
      <c r="AA448" s="17" t="inlineStr"/>
      <c r="AB448" s="17" t="inlineStr">
        <is>
          <t>031-378-1460</t>
        </is>
      </c>
      <c r="AC448" s="17" t="inlineStr">
        <is>
          <t>미확인</t>
        </is>
      </c>
      <c r="AD448" s="17" t="inlineStr">
        <is>
          <t>Y</t>
        </is>
      </c>
      <c r="AE448" s="17" t="inlineStr">
        <is>
          <t>P133</t>
        </is>
      </c>
      <c r="AF448" s="17" t="inlineStr">
        <is>
          <t>충청남도 천안시 서북구 성환읍 율금3길 46</t>
        </is>
      </c>
      <c r="AG448" s="17" t="inlineStr">
        <is>
          <t>완제의약품</t>
        </is>
      </c>
      <c r="AH448" s="17" t="inlineStr">
        <is>
          <t>비무균-일반제제-내용고형제(정제, 캡슐제), 비무균-일반제제-내용액제(경구용액제, 시럽제(액상))</t>
        </is>
      </c>
      <c r="AI448" s="17" t="n">
        <v>1</v>
      </c>
      <c r="AJ448" s="24" t="n">
        <v>47018</v>
      </c>
      <c r="AK448" s="17" t="inlineStr"/>
      <c r="AL448" s="17" t="inlineStr"/>
      <c r="AM448" s="17" t="inlineStr">
        <is>
          <t>기본 문서관리 수요</t>
        </is>
      </c>
      <c r="AN448" s="17" t="inlineStr">
        <is>
          <t>미확인</t>
        </is>
      </c>
      <c r="AO448" s="17" t="inlineStr">
        <is>
          <t>미확인</t>
        </is>
      </c>
      <c r="AP448" s="17" t="inlineStr">
        <is>
          <t>미확인</t>
        </is>
      </c>
      <c r="AQ448" s="17" t="inlineStr">
        <is>
          <t>담당자 파악 후 접촉</t>
        </is>
      </c>
      <c r="AR448" s="17" t="inlineStr">
        <is>
          <t>2026-07-05</t>
        </is>
      </c>
      <c r="AS448" s="17" t="inlineStr">
        <is>
          <t>C(부분확인)</t>
        </is>
      </c>
      <c r="AT448" s="17" t="n">
        <v>90</v>
      </c>
      <c r="AU448" s="17" t="inlineStr"/>
      <c r="AV448" s="17" t="inlineStr"/>
    </row>
    <row r="449">
      <c r="A449" s="28" t="inlineStr">
        <is>
          <t>Tier D</t>
        </is>
      </c>
      <c r="B449" s="17" t="n">
        <v>5</v>
      </c>
      <c r="C449" s="17" t="inlineStr">
        <is>
          <t>복지종합가스(주)</t>
        </is>
      </c>
      <c r="D449" s="17" t="inlineStr">
        <is>
          <t>양주시</t>
        </is>
      </c>
      <c r="E449" s="17" t="inlineStr">
        <is>
          <t>경기도</t>
        </is>
      </c>
      <c r="F449" s="17" t="inlineStr">
        <is>
          <t>양주시</t>
        </is>
      </c>
      <c r="G449" s="17" t="n">
        <v>1</v>
      </c>
      <c r="H449" s="17" t="inlineStr"/>
      <c r="I449" s="17" t="inlineStr"/>
      <c r="J449" s="17" t="inlineStr">
        <is>
          <t>Y</t>
        </is>
      </c>
      <c r="K449" s="17" t="inlineStr"/>
      <c r="L449" s="22" t="inlineStr">
        <is>
          <t>미확인</t>
        </is>
      </c>
      <c r="M449" s="22" t="inlineStr">
        <is>
          <t>미확인</t>
        </is>
      </c>
      <c r="N449" s="22" t="inlineStr">
        <is>
          <t>미확인</t>
        </is>
      </c>
      <c r="O449" s="22" t="inlineStr">
        <is>
          <t>미확인</t>
        </is>
      </c>
      <c r="P449" s="17" t="inlineStr">
        <is>
          <t>EDMS</t>
        </is>
      </c>
      <c r="Q449" s="22" t="inlineStr">
        <is>
          <t>미확인</t>
        </is>
      </c>
      <c r="R449" s="22" t="inlineStr">
        <is>
          <t>미확인</t>
        </is>
      </c>
      <c r="S449" s="17" t="inlineStr">
        <is>
          <t>Tier D</t>
        </is>
      </c>
      <c r="T449" s="17" t="n">
        <v>4</v>
      </c>
      <c r="U449" s="17" t="inlineStr">
        <is>
          <t>C102</t>
        </is>
      </c>
      <c r="V449" s="17" t="inlineStr">
        <is>
          <t>복지종합가스</t>
        </is>
      </c>
      <c r="W449" s="17" t="inlineStr"/>
      <c r="X449" s="17" t="inlineStr"/>
      <c r="Y449" s="23" t="inlineStr"/>
      <c r="Z449" s="17" t="inlineStr">
        <is>
          <t>김동환</t>
        </is>
      </c>
      <c r="AA449" s="17" t="inlineStr"/>
      <c r="AB449" s="17" t="inlineStr">
        <is>
          <t>031-858-7373</t>
        </is>
      </c>
      <c r="AC449" s="17" t="inlineStr">
        <is>
          <t>미확인</t>
        </is>
      </c>
      <c r="AD449" s="17" t="inlineStr">
        <is>
          <t>Y</t>
        </is>
      </c>
      <c r="AE449" s="17" t="inlineStr">
        <is>
          <t>P106</t>
        </is>
      </c>
      <c r="AF449" s="17" t="inlineStr">
        <is>
          <t>경기도 양주시 칠봉산로131번길 34-26</t>
        </is>
      </c>
      <c r="AG449" s="17" t="inlineStr">
        <is>
          <t>완제의약품</t>
        </is>
      </c>
      <c r="AH449" s="17" t="inlineStr">
        <is>
          <t>비무균-일반제제(의료용 고압가스)-가스제(의료용 고압가스)</t>
        </is>
      </c>
      <c r="AI449" s="17" t="n">
        <v>1</v>
      </c>
      <c r="AJ449" s="24" t="n">
        <v>47072</v>
      </c>
      <c r="AK449" s="17" t="inlineStr"/>
      <c r="AL449" s="17" t="inlineStr"/>
      <c r="AM449" s="17" t="inlineStr">
        <is>
          <t>기본 문서관리 수요</t>
        </is>
      </c>
      <c r="AN449" s="17" t="inlineStr">
        <is>
          <t>미확인</t>
        </is>
      </c>
      <c r="AO449" s="17" t="inlineStr">
        <is>
          <t>미확인</t>
        </is>
      </c>
      <c r="AP449" s="17" t="inlineStr">
        <is>
          <t>미확인</t>
        </is>
      </c>
      <c r="AQ449" s="17" t="inlineStr">
        <is>
          <t>담당자 파악 후 접촉</t>
        </is>
      </c>
      <c r="AR449" s="17" t="inlineStr">
        <is>
          <t>2026-07-05</t>
        </is>
      </c>
      <c r="AS449" s="17" t="inlineStr">
        <is>
          <t>C(부분확인)</t>
        </is>
      </c>
      <c r="AT449" s="17" t="n">
        <v>90</v>
      </c>
      <c r="AU449" s="17" t="inlineStr"/>
      <c r="AV449" s="17" t="inlineStr"/>
    </row>
    <row r="450">
      <c r="A450" s="28" t="inlineStr">
        <is>
          <t>Tier D</t>
        </is>
      </c>
      <c r="B450" s="17" t="n">
        <v>5</v>
      </c>
      <c r="C450" s="17" t="inlineStr">
        <is>
          <t>삼덕가스공업(주)</t>
        </is>
      </c>
      <c r="D450" s="17" t="inlineStr">
        <is>
          <t>김포</t>
        </is>
      </c>
      <c r="E450" s="17" t="inlineStr">
        <is>
          <t>경기도</t>
        </is>
      </c>
      <c r="F450" s="17" t="inlineStr">
        <is>
          <t>김포시</t>
        </is>
      </c>
      <c r="G450" s="17" t="n">
        <v>1</v>
      </c>
      <c r="H450" s="17" t="inlineStr"/>
      <c r="I450" s="17" t="inlineStr"/>
      <c r="J450" s="17" t="inlineStr">
        <is>
          <t>Y</t>
        </is>
      </c>
      <c r="K450" s="17" t="inlineStr"/>
      <c r="L450" s="22" t="inlineStr">
        <is>
          <t>미확인</t>
        </is>
      </c>
      <c r="M450" s="22" t="inlineStr">
        <is>
          <t>미확인</t>
        </is>
      </c>
      <c r="N450" s="22" t="inlineStr">
        <is>
          <t>미확인</t>
        </is>
      </c>
      <c r="O450" s="22" t="inlineStr">
        <is>
          <t>미확인</t>
        </is>
      </c>
      <c r="P450" s="17" t="inlineStr">
        <is>
          <t>EDMS</t>
        </is>
      </c>
      <c r="Q450" s="22" t="inlineStr">
        <is>
          <t>미확인</t>
        </is>
      </c>
      <c r="R450" s="22" t="inlineStr">
        <is>
          <t>미확인</t>
        </is>
      </c>
      <c r="S450" s="17" t="inlineStr">
        <is>
          <t>Tier D</t>
        </is>
      </c>
      <c r="T450" s="17" t="n">
        <v>4</v>
      </c>
      <c r="U450" s="17" t="inlineStr">
        <is>
          <t>C156</t>
        </is>
      </c>
      <c r="V450" s="17" t="inlineStr">
        <is>
          <t>삼덕가스공업</t>
        </is>
      </c>
      <c r="W450" s="17" t="inlineStr"/>
      <c r="X450" s="17" t="inlineStr"/>
      <c r="Y450" s="23" t="inlineStr"/>
      <c r="Z450" s="17" t="inlineStr">
        <is>
          <t>김기도</t>
        </is>
      </c>
      <c r="AA450" s="17" t="inlineStr"/>
      <c r="AB450" s="17" t="inlineStr">
        <is>
          <t>031-983-5584</t>
        </is>
      </c>
      <c r="AC450" s="17" t="inlineStr">
        <is>
          <t>미확인</t>
        </is>
      </c>
      <c r="AD450" s="17" t="inlineStr">
        <is>
          <t>Y</t>
        </is>
      </c>
      <c r="AE450" s="17" t="inlineStr">
        <is>
          <t>P167</t>
        </is>
      </c>
      <c r="AF450" s="17" t="inlineStr">
        <is>
          <t>경기도 김포시 조리미로 14-1</t>
        </is>
      </c>
      <c r="AG450" s="17" t="inlineStr">
        <is>
          <t>완제의약품</t>
        </is>
      </c>
      <c r="AH450" s="17" t="inlineStr">
        <is>
          <t>비무균-일반제제(의료용 고압가스)-가스제(의료용 고압가스)</t>
        </is>
      </c>
      <c r="AI450" s="17" t="n">
        <v>1</v>
      </c>
      <c r="AJ450" s="24" t="n">
        <v>46954</v>
      </c>
      <c r="AK450" s="17" t="inlineStr"/>
      <c r="AL450" s="17" t="inlineStr"/>
      <c r="AM450" s="17" t="inlineStr">
        <is>
          <t>기본 문서관리 수요</t>
        </is>
      </c>
      <c r="AN450" s="17" t="inlineStr">
        <is>
          <t>미확인</t>
        </is>
      </c>
      <c r="AO450" s="17" t="inlineStr">
        <is>
          <t>미확인</t>
        </is>
      </c>
      <c r="AP450" s="17" t="inlineStr">
        <is>
          <t>미확인</t>
        </is>
      </c>
      <c r="AQ450" s="17" t="inlineStr">
        <is>
          <t>담당자 파악 후 접촉</t>
        </is>
      </c>
      <c r="AR450" s="17" t="inlineStr">
        <is>
          <t>2026-07-05</t>
        </is>
      </c>
      <c r="AS450" s="17" t="inlineStr">
        <is>
          <t>C(부분확인)</t>
        </is>
      </c>
      <c r="AT450" s="17" t="n">
        <v>90</v>
      </c>
      <c r="AU450" s="17" t="inlineStr"/>
      <c r="AV450" s="17" t="inlineStr"/>
    </row>
    <row r="451">
      <c r="A451" s="28" t="inlineStr">
        <is>
          <t>Tier D</t>
        </is>
      </c>
      <c r="B451" s="17" t="n">
        <v>5</v>
      </c>
      <c r="C451" s="17" t="inlineStr">
        <is>
          <t>삼성산소(주)</t>
        </is>
      </c>
      <c r="D451" s="17" t="inlineStr">
        <is>
          <t>청원</t>
        </is>
      </c>
      <c r="E451" s="17" t="inlineStr">
        <is>
          <t>충청북도</t>
        </is>
      </c>
      <c r="F451" s="17" t="inlineStr">
        <is>
          <t>청주시</t>
        </is>
      </c>
      <c r="G451" s="17" t="n">
        <v>1</v>
      </c>
      <c r="H451" s="17" t="inlineStr"/>
      <c r="I451" s="17" t="inlineStr"/>
      <c r="J451" s="17" t="inlineStr">
        <is>
          <t>Y</t>
        </is>
      </c>
      <c r="K451" s="17" t="inlineStr"/>
      <c r="L451" s="22" t="inlineStr">
        <is>
          <t>미확인</t>
        </is>
      </c>
      <c r="M451" s="22" t="inlineStr">
        <is>
          <t>미확인</t>
        </is>
      </c>
      <c r="N451" s="22" t="inlineStr">
        <is>
          <t>미확인</t>
        </is>
      </c>
      <c r="O451" s="22" t="inlineStr">
        <is>
          <t>미확인</t>
        </is>
      </c>
      <c r="P451" s="17" t="inlineStr">
        <is>
          <t>EDMS</t>
        </is>
      </c>
      <c r="Q451" s="22" t="inlineStr">
        <is>
          <t>미확인</t>
        </is>
      </c>
      <c r="R451" s="22" t="inlineStr">
        <is>
          <t>미확인</t>
        </is>
      </c>
      <c r="S451" s="17" t="inlineStr">
        <is>
          <t>Tier D</t>
        </is>
      </c>
      <c r="T451" s="17" t="n">
        <v>4</v>
      </c>
      <c r="U451" s="17" t="inlineStr">
        <is>
          <t>C025</t>
        </is>
      </c>
      <c r="V451" s="17" t="inlineStr">
        <is>
          <t>삼성산소</t>
        </is>
      </c>
      <c r="W451" s="17" t="inlineStr"/>
      <c r="X451" s="17" t="inlineStr"/>
      <c r="Y451" s="23" t="inlineStr"/>
      <c r="Z451" s="17" t="inlineStr">
        <is>
          <t>전대수</t>
        </is>
      </c>
      <c r="AA451" s="17" t="inlineStr"/>
      <c r="AB451" s="17" t="inlineStr">
        <is>
          <t>043-232-6237</t>
        </is>
      </c>
      <c r="AC451" s="17" t="inlineStr">
        <is>
          <t>미확인</t>
        </is>
      </c>
      <c r="AD451" s="17" t="inlineStr">
        <is>
          <t>Y</t>
        </is>
      </c>
      <c r="AE451" s="17" t="inlineStr">
        <is>
          <t>P025</t>
        </is>
      </c>
      <c r="AF451" s="17" t="inlineStr">
        <is>
          <t>충청북도 청주시 흥덕구 강내면 상월곡길 10</t>
        </is>
      </c>
      <c r="AG451" s="17" t="inlineStr">
        <is>
          <t>완제의약품</t>
        </is>
      </c>
      <c r="AH451" s="17" t="inlineStr">
        <is>
          <t>비무균-일반제제(의료용 고압가스)-가스제(의료용 고압가스)</t>
        </is>
      </c>
      <c r="AI451" s="17" t="n">
        <v>1</v>
      </c>
      <c r="AJ451" s="24" t="n">
        <v>47270</v>
      </c>
      <c r="AK451" s="17" t="inlineStr"/>
      <c r="AL451" s="17" t="inlineStr"/>
      <c r="AM451" s="17" t="inlineStr">
        <is>
          <t>기본 문서관리 수요</t>
        </is>
      </c>
      <c r="AN451" s="17" t="inlineStr">
        <is>
          <t>미확인</t>
        </is>
      </c>
      <c r="AO451" s="17" t="inlineStr">
        <is>
          <t>미확인</t>
        </is>
      </c>
      <c r="AP451" s="17" t="inlineStr">
        <is>
          <t>미확인</t>
        </is>
      </c>
      <c r="AQ451" s="17" t="inlineStr">
        <is>
          <t>담당자 파악 후 접촉</t>
        </is>
      </c>
      <c r="AR451" s="17" t="inlineStr">
        <is>
          <t>2026-07-05</t>
        </is>
      </c>
      <c r="AS451" s="17" t="inlineStr">
        <is>
          <t>C(부분확인)</t>
        </is>
      </c>
      <c r="AT451" s="17" t="n">
        <v>90</v>
      </c>
      <c r="AU451" s="17" t="inlineStr"/>
      <c r="AV451" s="17" t="inlineStr"/>
    </row>
    <row r="452">
      <c r="A452" s="28" t="inlineStr">
        <is>
          <t>Tier D</t>
        </is>
      </c>
      <c r="B452" s="17" t="n">
        <v>5</v>
      </c>
      <c r="C452" s="17" t="inlineStr">
        <is>
          <t>삼양산업(주)</t>
        </is>
      </c>
      <c r="D452" s="17" t="inlineStr">
        <is>
          <t>제1공장</t>
        </is>
      </c>
      <c r="E452" s="17" t="inlineStr">
        <is>
          <t>경상북도</t>
        </is>
      </c>
      <c r="F452" s="17" t="inlineStr">
        <is>
          <t>포항시</t>
        </is>
      </c>
      <c r="G452" s="17" t="n">
        <v>1</v>
      </c>
      <c r="H452" s="17" t="inlineStr"/>
      <c r="I452" s="17" t="inlineStr"/>
      <c r="J452" s="17" t="inlineStr">
        <is>
          <t>Y</t>
        </is>
      </c>
      <c r="K452" s="17" t="inlineStr"/>
      <c r="L452" s="22" t="inlineStr">
        <is>
          <t>미확인</t>
        </is>
      </c>
      <c r="M452" s="22" t="inlineStr">
        <is>
          <t>미확인</t>
        </is>
      </c>
      <c r="N452" s="22" t="inlineStr">
        <is>
          <t>미확인</t>
        </is>
      </c>
      <c r="O452" s="22" t="inlineStr">
        <is>
          <t>미확인</t>
        </is>
      </c>
      <c r="P452" s="17" t="inlineStr">
        <is>
          <t>EDMS</t>
        </is>
      </c>
      <c r="Q452" s="22" t="inlineStr">
        <is>
          <t>미확인</t>
        </is>
      </c>
      <c r="R452" s="22" t="inlineStr">
        <is>
          <t>미확인</t>
        </is>
      </c>
      <c r="S452" s="17" t="inlineStr">
        <is>
          <t>Tier D</t>
        </is>
      </c>
      <c r="T452" s="17" t="n">
        <v>4</v>
      </c>
      <c r="U452" s="17" t="inlineStr">
        <is>
          <t>C229</t>
        </is>
      </c>
      <c r="V452" s="17" t="inlineStr">
        <is>
          <t>삼양산업</t>
        </is>
      </c>
      <c r="W452" s="17" t="inlineStr"/>
      <c r="X452" s="17" t="inlineStr"/>
      <c r="Y452" s="23" t="inlineStr"/>
      <c r="Z452" s="17" t="inlineStr">
        <is>
          <t>홍지유</t>
        </is>
      </c>
      <c r="AA452" s="17" t="inlineStr"/>
      <c r="AB452" s="17" t="inlineStr">
        <is>
          <t>054-262-0033</t>
        </is>
      </c>
      <c r="AC452" s="17" t="inlineStr">
        <is>
          <t>미확인</t>
        </is>
      </c>
      <c r="AD452" s="17" t="inlineStr">
        <is>
          <t>Y</t>
        </is>
      </c>
      <c r="AE452" s="17" t="inlineStr">
        <is>
          <t>P253</t>
        </is>
      </c>
      <c r="AF452" s="17" t="inlineStr">
        <is>
          <t>경상북도 포항시 북구 흥해읍 동해대로 1887</t>
        </is>
      </c>
      <c r="AG452" s="17" t="inlineStr">
        <is>
          <t>완제의약품</t>
        </is>
      </c>
      <c r="AH452" s="17" t="inlineStr">
        <is>
          <t>비무균-일반제제(의료용 고압가스)-가스제(의료용 고압가스)</t>
        </is>
      </c>
      <c r="AI452" s="17" t="n">
        <v>1</v>
      </c>
      <c r="AJ452" s="24" t="n">
        <v>46853</v>
      </c>
      <c r="AK452" s="17" t="inlineStr"/>
      <c r="AL452" s="17" t="inlineStr"/>
      <c r="AM452" s="17" t="inlineStr">
        <is>
          <t>기본 문서관리 수요</t>
        </is>
      </c>
      <c r="AN452" s="17" t="inlineStr">
        <is>
          <t>미확인</t>
        </is>
      </c>
      <c r="AO452" s="17" t="inlineStr">
        <is>
          <t>미확인</t>
        </is>
      </c>
      <c r="AP452" s="17" t="inlineStr">
        <is>
          <t>미확인</t>
        </is>
      </c>
      <c r="AQ452" s="17" t="inlineStr">
        <is>
          <t>담당자 파악 후 접촉</t>
        </is>
      </c>
      <c r="AR452" s="17" t="inlineStr">
        <is>
          <t>2026-07-05</t>
        </is>
      </c>
      <c r="AS452" s="17" t="inlineStr">
        <is>
          <t>C(부분확인)</t>
        </is>
      </c>
      <c r="AT452" s="17" t="n">
        <v>90</v>
      </c>
      <c r="AU452" s="17" t="inlineStr"/>
      <c r="AV452" s="17" t="inlineStr"/>
    </row>
    <row r="453">
      <c r="A453" s="28" t="inlineStr">
        <is>
          <t>Tier D</t>
        </is>
      </c>
      <c r="B453" s="17" t="n">
        <v>5</v>
      </c>
      <c r="C453" s="17" t="inlineStr">
        <is>
          <t>새한가스공업</t>
        </is>
      </c>
      <c r="D453" s="17" t="inlineStr">
        <is>
          <t>제주</t>
        </is>
      </c>
      <c r="E453" s="17" t="inlineStr">
        <is>
          <t>제주특별자치도</t>
        </is>
      </c>
      <c r="F453" s="17" t="inlineStr">
        <is>
          <t>제주시</t>
        </is>
      </c>
      <c r="G453" s="17" t="n">
        <v>1</v>
      </c>
      <c r="H453" s="17" t="inlineStr"/>
      <c r="I453" s="17" t="inlineStr"/>
      <c r="J453" s="17" t="inlineStr">
        <is>
          <t>Y</t>
        </is>
      </c>
      <c r="K453" s="17" t="inlineStr"/>
      <c r="L453" s="22" t="inlineStr">
        <is>
          <t>미확인</t>
        </is>
      </c>
      <c r="M453" s="22" t="inlineStr">
        <is>
          <t>미확인</t>
        </is>
      </c>
      <c r="N453" s="22" t="inlineStr">
        <is>
          <t>미확인</t>
        </is>
      </c>
      <c r="O453" s="22" t="inlineStr">
        <is>
          <t>미확인</t>
        </is>
      </c>
      <c r="P453" s="17" t="inlineStr">
        <is>
          <t>EDMS</t>
        </is>
      </c>
      <c r="Q453" s="22" t="inlineStr">
        <is>
          <t>미확인</t>
        </is>
      </c>
      <c r="R453" s="22" t="inlineStr">
        <is>
          <t>미확인</t>
        </is>
      </c>
      <c r="S453" s="17" t="inlineStr">
        <is>
          <t>Tier D</t>
        </is>
      </c>
      <c r="T453" s="17" t="n">
        <v>4</v>
      </c>
      <c r="U453" s="17" t="inlineStr">
        <is>
          <t>C200</t>
        </is>
      </c>
      <c r="V453" s="17" t="inlineStr">
        <is>
          <t>새한가스공업</t>
        </is>
      </c>
      <c r="W453" s="17" t="inlineStr"/>
      <c r="X453" s="17" t="inlineStr"/>
      <c r="Y453" s="23" t="inlineStr"/>
      <c r="Z453" s="17" t="inlineStr">
        <is>
          <t>이성학</t>
        </is>
      </c>
      <c r="AA453" s="17" t="inlineStr"/>
      <c r="AB453" s="17" t="inlineStr">
        <is>
          <t>064-755-2827</t>
        </is>
      </c>
      <c r="AC453" s="17" t="inlineStr">
        <is>
          <t>미확인</t>
        </is>
      </c>
      <c r="AD453" s="17" t="inlineStr">
        <is>
          <t>Y</t>
        </is>
      </c>
      <c r="AE453" s="17" t="inlineStr">
        <is>
          <t>P216</t>
        </is>
      </c>
      <c r="AF453" s="17" t="inlineStr">
        <is>
          <t>제주특별자치도 제주시 선반로 40</t>
        </is>
      </c>
      <c r="AG453" s="17" t="inlineStr">
        <is>
          <t>완제의약품</t>
        </is>
      </c>
      <c r="AH453" s="17" t="inlineStr">
        <is>
          <t>비무균-일반제제(의료용 고압가스)-가스제(의료용 고압가스)</t>
        </is>
      </c>
      <c r="AI453" s="17" t="n">
        <v>1</v>
      </c>
      <c r="AJ453" s="24" t="n">
        <v>46891</v>
      </c>
      <c r="AK453" s="17" t="inlineStr"/>
      <c r="AL453" s="17" t="inlineStr"/>
      <c r="AM453" s="17" t="inlineStr">
        <is>
          <t>기본 문서관리 수요</t>
        </is>
      </c>
      <c r="AN453" s="17" t="inlineStr">
        <is>
          <t>미확인</t>
        </is>
      </c>
      <c r="AO453" s="17" t="inlineStr">
        <is>
          <t>미확인</t>
        </is>
      </c>
      <c r="AP453" s="17" t="inlineStr">
        <is>
          <t>미확인</t>
        </is>
      </c>
      <c r="AQ453" s="17" t="inlineStr">
        <is>
          <t>담당자 파악 후 접촉</t>
        </is>
      </c>
      <c r="AR453" s="17" t="inlineStr">
        <is>
          <t>2026-07-05</t>
        </is>
      </c>
      <c r="AS453" s="17" t="inlineStr">
        <is>
          <t>C(부분확인)</t>
        </is>
      </c>
      <c r="AT453" s="17" t="n">
        <v>90</v>
      </c>
      <c r="AU453" s="17" t="inlineStr"/>
      <c r="AV453" s="17" t="inlineStr"/>
    </row>
    <row r="454">
      <c r="A454" s="28" t="inlineStr">
        <is>
          <t>Tier D</t>
        </is>
      </c>
      <c r="B454" s="17" t="n">
        <v>5</v>
      </c>
      <c r="C454" s="17" t="inlineStr">
        <is>
          <t>석전의료공업(주)</t>
        </is>
      </c>
      <c r="D454" s="17" t="inlineStr">
        <is>
          <t>오산</t>
        </is>
      </c>
      <c r="E454" s="17" t="inlineStr">
        <is>
          <t>경기도</t>
        </is>
      </c>
      <c r="F454" s="17" t="inlineStr">
        <is>
          <t>오산시</t>
        </is>
      </c>
      <c r="G454" s="17" t="n">
        <v>1</v>
      </c>
      <c r="H454" s="17" t="inlineStr"/>
      <c r="I454" s="17" t="inlineStr"/>
      <c r="J454" s="17" t="inlineStr">
        <is>
          <t>Y</t>
        </is>
      </c>
      <c r="K454" s="17" t="inlineStr"/>
      <c r="L454" s="22" t="inlineStr">
        <is>
          <t>미확인</t>
        </is>
      </c>
      <c r="M454" s="22" t="inlineStr">
        <is>
          <t>미확인</t>
        </is>
      </c>
      <c r="N454" s="22" t="inlineStr">
        <is>
          <t>미확인</t>
        </is>
      </c>
      <c r="O454" s="22" t="inlineStr">
        <is>
          <t>미확인</t>
        </is>
      </c>
      <c r="P454" s="17" t="inlineStr">
        <is>
          <t>EDMS</t>
        </is>
      </c>
      <c r="Q454" s="22" t="inlineStr">
        <is>
          <t>미확인</t>
        </is>
      </c>
      <c r="R454" s="22" t="inlineStr">
        <is>
          <t>미확인</t>
        </is>
      </c>
      <c r="S454" s="17" t="inlineStr">
        <is>
          <t>Tier D</t>
        </is>
      </c>
      <c r="T454" s="17" t="n">
        <v>4</v>
      </c>
      <c r="U454" s="17" t="inlineStr">
        <is>
          <t>C020</t>
        </is>
      </c>
      <c r="V454" s="17" t="inlineStr">
        <is>
          <t>석전의료공업</t>
        </is>
      </c>
      <c r="W454" s="17" t="inlineStr"/>
      <c r="X454" s="17" t="inlineStr"/>
      <c r="Y454" s="23" t="inlineStr"/>
      <c r="Z454" s="17" t="inlineStr">
        <is>
          <t>이상계</t>
        </is>
      </c>
      <c r="AA454" s="17" t="inlineStr"/>
      <c r="AB454" s="17" t="inlineStr">
        <is>
          <t>02-2271-0271</t>
        </is>
      </c>
      <c r="AC454" s="17" t="inlineStr">
        <is>
          <t>미확인</t>
        </is>
      </c>
      <c r="AD454" s="17" t="inlineStr">
        <is>
          <t>Y</t>
        </is>
      </c>
      <c r="AE454" s="17" t="inlineStr">
        <is>
          <t>P020</t>
        </is>
      </c>
      <c r="AF454" s="17" t="inlineStr">
        <is>
          <t>경기도 오산시 황새로149번길 16</t>
        </is>
      </c>
      <c r="AG454" s="17" t="inlineStr">
        <is>
          <t>완제의약품</t>
        </is>
      </c>
      <c r="AH454" s="17" t="inlineStr">
        <is>
          <t>비무균-일반제제-가스제(의료용 고압가스)</t>
        </is>
      </c>
      <c r="AI454" s="17" t="n">
        <v>1</v>
      </c>
      <c r="AJ454" s="24" t="n">
        <v>47282</v>
      </c>
      <c r="AK454" s="17" t="inlineStr"/>
      <c r="AL454" s="17" t="inlineStr"/>
      <c r="AM454" s="17" t="inlineStr">
        <is>
          <t>기본 문서관리 수요</t>
        </is>
      </c>
      <c r="AN454" s="17" t="inlineStr">
        <is>
          <t>미확인</t>
        </is>
      </c>
      <c r="AO454" s="17" t="inlineStr">
        <is>
          <t>미확인</t>
        </is>
      </c>
      <c r="AP454" s="17" t="inlineStr">
        <is>
          <t>미확인</t>
        </is>
      </c>
      <c r="AQ454" s="17" t="inlineStr">
        <is>
          <t>담당자 파악 후 접촉</t>
        </is>
      </c>
      <c r="AR454" s="17" t="inlineStr">
        <is>
          <t>2026-07-05</t>
        </is>
      </c>
      <c r="AS454" s="17" t="inlineStr">
        <is>
          <t>C(부분확인)</t>
        </is>
      </c>
      <c r="AT454" s="17" t="n">
        <v>90</v>
      </c>
      <c r="AU454" s="17" t="inlineStr"/>
      <c r="AV454" s="17" t="inlineStr"/>
    </row>
    <row r="455">
      <c r="A455" s="28" t="inlineStr">
        <is>
          <t>Tier D</t>
        </is>
      </c>
      <c r="B455" s="17" t="n">
        <v>5</v>
      </c>
      <c r="C455" s="17" t="inlineStr">
        <is>
          <t>선도산업(주)</t>
        </is>
      </c>
      <c r="D455" s="17" t="inlineStr">
        <is>
          <t>진천공장</t>
        </is>
      </c>
      <c r="E455" s="17" t="inlineStr">
        <is>
          <t>충청북도</t>
        </is>
      </c>
      <c r="F455" s="17" t="inlineStr">
        <is>
          <t>진천군</t>
        </is>
      </c>
      <c r="G455" s="17" t="n">
        <v>1</v>
      </c>
      <c r="H455" s="17" t="inlineStr"/>
      <c r="I455" s="17" t="inlineStr"/>
      <c r="J455" s="17" t="inlineStr">
        <is>
          <t>Y</t>
        </is>
      </c>
      <c r="K455" s="17" t="inlineStr"/>
      <c r="L455" s="22" t="inlineStr">
        <is>
          <t>미확인</t>
        </is>
      </c>
      <c r="M455" s="22" t="inlineStr">
        <is>
          <t>미확인</t>
        </is>
      </c>
      <c r="N455" s="22" t="inlineStr">
        <is>
          <t>미확인</t>
        </is>
      </c>
      <c r="O455" s="22" t="inlineStr">
        <is>
          <t>미확인</t>
        </is>
      </c>
      <c r="P455" s="17" t="inlineStr">
        <is>
          <t>EDMS</t>
        </is>
      </c>
      <c r="Q455" s="22" t="inlineStr">
        <is>
          <t>미확인</t>
        </is>
      </c>
      <c r="R455" s="22" t="inlineStr">
        <is>
          <t>미확인</t>
        </is>
      </c>
      <c r="S455" s="17" t="inlineStr">
        <is>
          <t>Tier D</t>
        </is>
      </c>
      <c r="T455" s="17" t="n">
        <v>4</v>
      </c>
      <c r="U455" s="17" t="inlineStr">
        <is>
          <t>C039</t>
        </is>
      </c>
      <c r="V455" s="17" t="inlineStr">
        <is>
          <t>선도산업</t>
        </is>
      </c>
      <c r="W455" s="17" t="inlineStr"/>
      <c r="X455" s="17" t="inlineStr"/>
      <c r="Y455" s="23" t="inlineStr"/>
      <c r="Z455" s="17" t="inlineStr">
        <is>
          <t>이성철</t>
        </is>
      </c>
      <c r="AA455" s="17" t="inlineStr"/>
      <c r="AB455" s="17" t="inlineStr">
        <is>
          <t>미확인</t>
        </is>
      </c>
      <c r="AC455" s="17" t="inlineStr">
        <is>
          <t>미확인</t>
        </is>
      </c>
      <c r="AD455" s="17" t="inlineStr">
        <is>
          <t>Y</t>
        </is>
      </c>
      <c r="AE455" s="17" t="inlineStr">
        <is>
          <t>P039</t>
        </is>
      </c>
      <c r="AF455" s="17" t="inlineStr">
        <is>
          <t>충청북도 진천군 이월면 산수산단2로 241</t>
        </is>
      </c>
      <c r="AG455" s="17" t="inlineStr">
        <is>
          <t>완제의약품</t>
        </is>
      </c>
      <c r="AH455" s="17" t="inlineStr">
        <is>
          <t>비무균-일반제제(의료용 고압가스)-가스제(의료용 고압가스)</t>
        </is>
      </c>
      <c r="AI455" s="17" t="n">
        <v>1</v>
      </c>
      <c r="AJ455" s="24" t="n">
        <v>47241</v>
      </c>
      <c r="AK455" s="17" t="inlineStr"/>
      <c r="AL455" s="17" t="inlineStr"/>
      <c r="AM455" s="17" t="inlineStr">
        <is>
          <t>기본 문서관리 수요</t>
        </is>
      </c>
      <c r="AN455" s="17" t="inlineStr">
        <is>
          <t>미확인</t>
        </is>
      </c>
      <c r="AO455" s="17" t="inlineStr">
        <is>
          <t>미확인</t>
        </is>
      </c>
      <c r="AP455" s="17" t="inlineStr">
        <is>
          <t>미확인</t>
        </is>
      </c>
      <c r="AQ455" s="17" t="inlineStr">
        <is>
          <t>담당자 파악 후 접촉</t>
        </is>
      </c>
      <c r="AR455" s="17" t="inlineStr">
        <is>
          <t>2026-07-05</t>
        </is>
      </c>
      <c r="AS455" s="17" t="inlineStr">
        <is>
          <t>C(부분확인)</t>
        </is>
      </c>
      <c r="AT455" s="17" t="n">
        <v>90</v>
      </c>
      <c r="AU455" s="17" t="inlineStr"/>
      <c r="AV455" s="17" t="inlineStr"/>
    </row>
    <row r="456">
      <c r="A456" s="28" t="inlineStr">
        <is>
          <t>Tier D</t>
        </is>
      </c>
      <c r="B456" s="17" t="n">
        <v>5</v>
      </c>
      <c r="C456" s="17" t="inlineStr">
        <is>
          <t>선도화학주식회사</t>
        </is>
      </c>
      <c r="D456" s="17" t="inlineStr">
        <is>
          <t>선도화학주식회사</t>
        </is>
      </c>
      <c r="E456" s="17" t="inlineStr">
        <is>
          <t>충청남도</t>
        </is>
      </c>
      <c r="F456" s="17" t="inlineStr">
        <is>
          <t>서산시</t>
        </is>
      </c>
      <c r="G456" s="17" t="n">
        <v>1</v>
      </c>
      <c r="H456" s="17" t="inlineStr"/>
      <c r="I456" s="17" t="inlineStr"/>
      <c r="J456" s="17" t="inlineStr">
        <is>
          <t>Y</t>
        </is>
      </c>
      <c r="K456" s="17" t="inlineStr"/>
      <c r="L456" s="22" t="inlineStr">
        <is>
          <t>미확인</t>
        </is>
      </c>
      <c r="M456" s="22" t="inlineStr">
        <is>
          <t>미확인</t>
        </is>
      </c>
      <c r="N456" s="22" t="inlineStr">
        <is>
          <t>미확인</t>
        </is>
      </c>
      <c r="O456" s="22" t="inlineStr">
        <is>
          <t>미확인</t>
        </is>
      </c>
      <c r="P456" s="17" t="inlineStr">
        <is>
          <t>EDMS</t>
        </is>
      </c>
      <c r="Q456" s="22" t="inlineStr">
        <is>
          <t>미확인</t>
        </is>
      </c>
      <c r="R456" s="22" t="inlineStr">
        <is>
          <t>미확인</t>
        </is>
      </c>
      <c r="S456" s="17" t="inlineStr">
        <is>
          <t>Tier D</t>
        </is>
      </c>
      <c r="T456" s="17" t="n">
        <v>4</v>
      </c>
      <c r="U456" s="17" t="inlineStr">
        <is>
          <t>C220</t>
        </is>
      </c>
      <c r="V456" s="17" t="inlineStr">
        <is>
          <t>선도화학</t>
        </is>
      </c>
      <c r="W456" s="17" t="inlineStr"/>
      <c r="X456" s="17" t="inlineStr"/>
      <c r="Y456" s="23" t="inlineStr"/>
      <c r="Z456" s="17" t="inlineStr">
        <is>
          <t>윤여환</t>
        </is>
      </c>
      <c r="AA456" s="17" t="inlineStr"/>
      <c r="AB456" s="17" t="inlineStr">
        <is>
          <t>041-663-6465</t>
        </is>
      </c>
      <c r="AC456" s="17" t="inlineStr">
        <is>
          <t>미확인</t>
        </is>
      </c>
      <c r="AD456" s="17" t="inlineStr">
        <is>
          <t>Y</t>
        </is>
      </c>
      <c r="AE456" s="17" t="inlineStr">
        <is>
          <t>P243</t>
        </is>
      </c>
      <c r="AF456" s="17" t="inlineStr">
        <is>
          <t>충청남도 서산시 대산읍 죽엽로 363 3동, K동, 7동 101 호</t>
        </is>
      </c>
      <c r="AG456" s="17" t="inlineStr">
        <is>
          <t>완제의약품</t>
        </is>
      </c>
      <c r="AH456" s="17" t="inlineStr">
        <is>
          <t>비무균-일반제제(의료용 고압가스)-가스제(의료용 고압가스)</t>
        </is>
      </c>
      <c r="AI456" s="17" t="n">
        <v>1</v>
      </c>
      <c r="AJ456" s="24" t="n">
        <v>46867</v>
      </c>
      <c r="AK456" s="17" t="inlineStr"/>
      <c r="AL456" s="17" t="inlineStr"/>
      <c r="AM456" s="17" t="inlineStr">
        <is>
          <t>기본 문서관리 수요</t>
        </is>
      </c>
      <c r="AN456" s="17" t="inlineStr">
        <is>
          <t>미확인</t>
        </is>
      </c>
      <c r="AO456" s="17" t="inlineStr">
        <is>
          <t>미확인</t>
        </is>
      </c>
      <c r="AP456" s="17" t="inlineStr">
        <is>
          <t>미확인</t>
        </is>
      </c>
      <c r="AQ456" s="17" t="inlineStr">
        <is>
          <t>담당자 파악 후 접촉</t>
        </is>
      </c>
      <c r="AR456" s="17" t="inlineStr">
        <is>
          <t>2026-07-05</t>
        </is>
      </c>
      <c r="AS456" s="17" t="inlineStr">
        <is>
          <t>C(부분확인)</t>
        </is>
      </c>
      <c r="AT456" s="17" t="n">
        <v>90</v>
      </c>
      <c r="AU456" s="17" t="inlineStr"/>
      <c r="AV456" s="17" t="inlineStr"/>
    </row>
    <row r="457">
      <c r="A457" s="28" t="inlineStr">
        <is>
          <t>Tier D</t>
        </is>
      </c>
      <c r="B457" s="17" t="n">
        <v>5</v>
      </c>
      <c r="C457" s="17" t="inlineStr">
        <is>
          <t>신양메디슨(주)</t>
        </is>
      </c>
      <c r="D457" s="17" t="inlineStr">
        <is>
          <t>안성</t>
        </is>
      </c>
      <c r="E457" s="17" t="inlineStr">
        <is>
          <t>경기도</t>
        </is>
      </c>
      <c r="F457" s="17" t="inlineStr">
        <is>
          <t>안성시</t>
        </is>
      </c>
      <c r="G457" s="17" t="n">
        <v>1</v>
      </c>
      <c r="H457" s="17" t="inlineStr"/>
      <c r="I457" s="17" t="inlineStr"/>
      <c r="J457" s="17" t="inlineStr">
        <is>
          <t>Y</t>
        </is>
      </c>
      <c r="K457" s="17" t="inlineStr"/>
      <c r="L457" s="22" t="inlineStr">
        <is>
          <t>미확인</t>
        </is>
      </c>
      <c r="M457" s="22" t="inlineStr">
        <is>
          <t>미확인</t>
        </is>
      </c>
      <c r="N457" s="22" t="inlineStr">
        <is>
          <t>미확인</t>
        </is>
      </c>
      <c r="O457" s="22" t="inlineStr">
        <is>
          <t>미확인</t>
        </is>
      </c>
      <c r="P457" s="17" t="inlineStr">
        <is>
          <t>EDMS</t>
        </is>
      </c>
      <c r="Q457" s="22" t="inlineStr">
        <is>
          <t>미확인</t>
        </is>
      </c>
      <c r="R457" s="22" t="inlineStr">
        <is>
          <t>미확인</t>
        </is>
      </c>
      <c r="S457" s="17" t="inlineStr">
        <is>
          <t>Tier D</t>
        </is>
      </c>
      <c r="T457" s="17" t="n">
        <v>4</v>
      </c>
      <c r="U457" s="17" t="inlineStr">
        <is>
          <t>C125</t>
        </is>
      </c>
      <c r="V457" s="17" t="inlineStr">
        <is>
          <t>신양메디슨</t>
        </is>
      </c>
      <c r="W457" s="17" t="inlineStr"/>
      <c r="X457" s="17" t="inlineStr"/>
      <c r="Y457" s="23" t="inlineStr"/>
      <c r="Z457" s="17" t="inlineStr">
        <is>
          <t>김종민</t>
        </is>
      </c>
      <c r="AA457" s="17" t="inlineStr"/>
      <c r="AB457" s="17" t="inlineStr">
        <is>
          <t>031-336-1101</t>
        </is>
      </c>
      <c r="AC457" s="17" t="inlineStr">
        <is>
          <t>미확인</t>
        </is>
      </c>
      <c r="AD457" s="17" t="inlineStr">
        <is>
          <t>Y</t>
        </is>
      </c>
      <c r="AE457" s="17" t="inlineStr">
        <is>
          <t>P131</t>
        </is>
      </c>
      <c r="AF457" s="17" t="inlineStr">
        <is>
          <t>경기도 안성시 양성면 양성로 409-14</t>
        </is>
      </c>
      <c r="AG457" s="17" t="inlineStr">
        <is>
          <t>완제의약품</t>
        </is>
      </c>
      <c r="AH457" s="17" t="inlineStr">
        <is>
          <t>비무균-일반제제(의료용 고압가스)-가스제(의료용 고압가스)</t>
        </is>
      </c>
      <c r="AI457" s="17" t="n">
        <v>1</v>
      </c>
      <c r="AJ457" s="24" t="n">
        <v>47024</v>
      </c>
      <c r="AK457" s="17" t="inlineStr"/>
      <c r="AL457" s="17" t="inlineStr"/>
      <c r="AM457" s="17" t="inlineStr">
        <is>
          <t>기본 문서관리 수요</t>
        </is>
      </c>
      <c r="AN457" s="17" t="inlineStr">
        <is>
          <t>미확인</t>
        </is>
      </c>
      <c r="AO457" s="17" t="inlineStr">
        <is>
          <t>미확인</t>
        </is>
      </c>
      <c r="AP457" s="17" t="inlineStr">
        <is>
          <t>미확인</t>
        </is>
      </c>
      <c r="AQ457" s="17" t="inlineStr">
        <is>
          <t>담당자 파악 후 접촉</t>
        </is>
      </c>
      <c r="AR457" s="17" t="inlineStr">
        <is>
          <t>2026-07-05</t>
        </is>
      </c>
      <c r="AS457" s="17" t="inlineStr">
        <is>
          <t>C(부분확인)</t>
        </is>
      </c>
      <c r="AT457" s="17" t="n">
        <v>90</v>
      </c>
      <c r="AU457" s="17" t="inlineStr"/>
      <c r="AV457" s="17" t="inlineStr"/>
    </row>
    <row r="458">
      <c r="A458" s="28" t="inlineStr">
        <is>
          <t>Tier D</t>
        </is>
      </c>
      <c r="B458" s="17" t="n">
        <v>5</v>
      </c>
      <c r="C458" s="17" t="inlineStr">
        <is>
          <t>신일가스(주)</t>
        </is>
      </c>
      <c r="D458" s="17" t="inlineStr">
        <is>
          <t>광주</t>
        </is>
      </c>
      <c r="E458" s="17" t="inlineStr">
        <is>
          <t>광주광역시</t>
        </is>
      </c>
      <c r="F458" s="17" t="inlineStr">
        <is>
          <t>광산구</t>
        </is>
      </c>
      <c r="G458" s="17" t="n">
        <v>1</v>
      </c>
      <c r="H458" s="17" t="inlineStr"/>
      <c r="I458" s="17" t="inlineStr"/>
      <c r="J458" s="17" t="inlineStr">
        <is>
          <t>Y</t>
        </is>
      </c>
      <c r="K458" s="17" t="inlineStr"/>
      <c r="L458" s="22" t="inlineStr">
        <is>
          <t>미확인</t>
        </is>
      </c>
      <c r="M458" s="22" t="inlineStr">
        <is>
          <t>미확인</t>
        </is>
      </c>
      <c r="N458" s="22" t="inlineStr">
        <is>
          <t>미확인</t>
        </is>
      </c>
      <c r="O458" s="22" t="inlineStr">
        <is>
          <t>미확인</t>
        </is>
      </c>
      <c r="P458" s="17" t="inlineStr">
        <is>
          <t>EDMS</t>
        </is>
      </c>
      <c r="Q458" s="22" t="inlineStr">
        <is>
          <t>미확인</t>
        </is>
      </c>
      <c r="R458" s="22" t="inlineStr">
        <is>
          <t>미확인</t>
        </is>
      </c>
      <c r="S458" s="17" t="inlineStr">
        <is>
          <t>Tier D</t>
        </is>
      </c>
      <c r="T458" s="17" t="n">
        <v>4</v>
      </c>
      <c r="U458" s="17" t="inlineStr">
        <is>
          <t>C264</t>
        </is>
      </c>
      <c r="V458" s="17" t="inlineStr">
        <is>
          <t>신일가스</t>
        </is>
      </c>
      <c r="W458" s="17" t="inlineStr"/>
      <c r="X458" s="17" t="inlineStr"/>
      <c r="Y458" s="23" t="inlineStr"/>
      <c r="Z458" s="17" t="inlineStr">
        <is>
          <t>유봉래</t>
        </is>
      </c>
      <c r="AA458" s="17" t="inlineStr"/>
      <c r="AB458" s="17" t="inlineStr">
        <is>
          <t>062-951-0011</t>
        </is>
      </c>
      <c r="AC458" s="17" t="inlineStr">
        <is>
          <t>미확인</t>
        </is>
      </c>
      <c r="AD458" s="17" t="inlineStr">
        <is>
          <t>Y</t>
        </is>
      </c>
      <c r="AE458" s="17" t="inlineStr">
        <is>
          <t>P310</t>
        </is>
      </c>
      <c r="AF458" s="17" t="inlineStr">
        <is>
          <t>광주광역시 광산구 하남산단5번로 122</t>
        </is>
      </c>
      <c r="AG458" s="17" t="inlineStr">
        <is>
          <t>완제의약품</t>
        </is>
      </c>
      <c r="AH458" s="17" t="inlineStr">
        <is>
          <t>비무균-일반제제(의료용 고압가스)-가스제(의료용 고압가스)</t>
        </is>
      </c>
      <c r="AI458" s="17" t="n">
        <v>1</v>
      </c>
      <c r="AJ458" s="24" t="n">
        <v>46770</v>
      </c>
      <c r="AK458" s="17" t="inlineStr"/>
      <c r="AL458" s="17" t="inlineStr"/>
      <c r="AM458" s="17" t="inlineStr">
        <is>
          <t>기본 문서관리 수요</t>
        </is>
      </c>
      <c r="AN458" s="17" t="inlineStr">
        <is>
          <t>미확인</t>
        </is>
      </c>
      <c r="AO458" s="17" t="inlineStr">
        <is>
          <t>미확인</t>
        </is>
      </c>
      <c r="AP458" s="17" t="inlineStr">
        <is>
          <t>미확인</t>
        </is>
      </c>
      <c r="AQ458" s="17" t="inlineStr">
        <is>
          <t>담당자 파악 후 접촉</t>
        </is>
      </c>
      <c r="AR458" s="17" t="inlineStr">
        <is>
          <t>2026-07-05</t>
        </is>
      </c>
      <c r="AS458" s="17" t="inlineStr">
        <is>
          <t>C(부분확인)</t>
        </is>
      </c>
      <c r="AT458" s="17" t="n">
        <v>90</v>
      </c>
      <c r="AU458" s="17" t="inlineStr"/>
      <c r="AV458" s="17" t="inlineStr"/>
    </row>
    <row r="459">
      <c r="A459" s="28" t="inlineStr">
        <is>
          <t>Tier D</t>
        </is>
      </c>
      <c r="B459" s="17" t="n">
        <v>5</v>
      </c>
      <c r="C459" s="17" t="inlineStr">
        <is>
          <t>신일가스(주)-영암</t>
        </is>
      </c>
      <c r="D459" s="17" t="inlineStr">
        <is>
          <t>영암</t>
        </is>
      </c>
      <c r="E459" s="17" t="inlineStr">
        <is>
          <t>전라남도</t>
        </is>
      </c>
      <c r="F459" s="17" t="inlineStr">
        <is>
          <t>영암군</t>
        </is>
      </c>
      <c r="G459" s="17" t="n">
        <v>1</v>
      </c>
      <c r="H459" s="17" t="inlineStr"/>
      <c r="I459" s="17" t="inlineStr"/>
      <c r="J459" s="17" t="inlineStr">
        <is>
          <t>Y</t>
        </is>
      </c>
      <c r="K459" s="17" t="inlineStr"/>
      <c r="L459" s="22" t="inlineStr">
        <is>
          <t>미확인</t>
        </is>
      </c>
      <c r="M459" s="22" t="inlineStr">
        <is>
          <t>미확인</t>
        </is>
      </c>
      <c r="N459" s="22" t="inlineStr">
        <is>
          <t>미확인</t>
        </is>
      </c>
      <c r="O459" s="22" t="inlineStr">
        <is>
          <t>미확인</t>
        </is>
      </c>
      <c r="P459" s="17" t="inlineStr">
        <is>
          <t>EDMS</t>
        </is>
      </c>
      <c r="Q459" s="22" t="inlineStr">
        <is>
          <t>미확인</t>
        </is>
      </c>
      <c r="R459" s="22" t="inlineStr">
        <is>
          <t>미확인</t>
        </is>
      </c>
      <c r="S459" s="17" t="inlineStr">
        <is>
          <t>Tier D</t>
        </is>
      </c>
      <c r="T459" s="17" t="n">
        <v>4</v>
      </c>
      <c r="U459" s="17" t="inlineStr">
        <is>
          <t>C228</t>
        </is>
      </c>
      <c r="V459" s="17" t="inlineStr">
        <is>
          <t>신일가스-영암</t>
        </is>
      </c>
      <c r="W459" s="17" t="inlineStr"/>
      <c r="X459" s="17" t="inlineStr"/>
      <c r="Y459" s="23" t="inlineStr"/>
      <c r="Z459" s="17" t="inlineStr">
        <is>
          <t>유봉래</t>
        </is>
      </c>
      <c r="AA459" s="17" t="inlineStr"/>
      <c r="AB459" s="17" t="inlineStr">
        <is>
          <t>061-462-8981</t>
        </is>
      </c>
      <c r="AC459" s="17" t="inlineStr">
        <is>
          <t>미확인</t>
        </is>
      </c>
      <c r="AD459" s="17" t="inlineStr">
        <is>
          <t>Y</t>
        </is>
      </c>
      <c r="AE459" s="17" t="inlineStr">
        <is>
          <t>P252</t>
        </is>
      </c>
      <c r="AF459" s="17" t="inlineStr">
        <is>
          <t>전라남도 영암군 삼호읍 대아로 24</t>
        </is>
      </c>
      <c r="AG459" s="17" t="inlineStr">
        <is>
          <t>완제의약품</t>
        </is>
      </c>
      <c r="AH459" s="17" t="inlineStr">
        <is>
          <t>비무균-일반제제(의료용 고압가스)-가스제(의료용 고압가스)</t>
        </is>
      </c>
      <c r="AI459" s="17" t="n">
        <v>1</v>
      </c>
      <c r="AJ459" s="24" t="n">
        <v>46854</v>
      </c>
      <c r="AK459" s="17" t="inlineStr"/>
      <c r="AL459" s="17" t="inlineStr"/>
      <c r="AM459" s="17" t="inlineStr">
        <is>
          <t>기본 문서관리 수요</t>
        </is>
      </c>
      <c r="AN459" s="17" t="inlineStr">
        <is>
          <t>미확인</t>
        </is>
      </c>
      <c r="AO459" s="17" t="inlineStr">
        <is>
          <t>미확인</t>
        </is>
      </c>
      <c r="AP459" s="17" t="inlineStr">
        <is>
          <t>미확인</t>
        </is>
      </c>
      <c r="AQ459" s="17" t="inlineStr">
        <is>
          <t>담당자 파악 후 접촉</t>
        </is>
      </c>
      <c r="AR459" s="17" t="inlineStr">
        <is>
          <t>2026-07-05</t>
        </is>
      </c>
      <c r="AS459" s="17" t="inlineStr">
        <is>
          <t>C(부분확인)</t>
        </is>
      </c>
      <c r="AT459" s="17" t="n">
        <v>90</v>
      </c>
      <c r="AU459" s="17" t="inlineStr"/>
      <c r="AV459" s="17" t="inlineStr"/>
    </row>
    <row r="460">
      <c r="A460" s="28" t="inlineStr">
        <is>
          <t>Tier D</t>
        </is>
      </c>
      <c r="B460" s="17" t="n">
        <v>5</v>
      </c>
      <c r="C460" s="17" t="inlineStr">
        <is>
          <t>신진가스텍(주)</t>
        </is>
      </c>
      <c r="D460" s="17" t="inlineStr">
        <is>
          <t>[구미]</t>
        </is>
      </c>
      <c r="E460" s="17" t="inlineStr">
        <is>
          <t>경상북도</t>
        </is>
      </c>
      <c r="F460" s="17" t="inlineStr">
        <is>
          <t>구미시</t>
        </is>
      </c>
      <c r="G460" s="17" t="n">
        <v>1</v>
      </c>
      <c r="H460" s="17" t="inlineStr"/>
      <c r="I460" s="17" t="inlineStr"/>
      <c r="J460" s="17" t="inlineStr">
        <is>
          <t>Y</t>
        </is>
      </c>
      <c r="K460" s="17" t="inlineStr"/>
      <c r="L460" s="22" t="inlineStr">
        <is>
          <t>미확인</t>
        </is>
      </c>
      <c r="M460" s="22" t="inlineStr">
        <is>
          <t>미확인</t>
        </is>
      </c>
      <c r="N460" s="22" t="inlineStr">
        <is>
          <t>미확인</t>
        </is>
      </c>
      <c r="O460" s="22" t="inlineStr">
        <is>
          <t>미확인</t>
        </is>
      </c>
      <c r="P460" s="17" t="inlineStr">
        <is>
          <t>EDMS</t>
        </is>
      </c>
      <c r="Q460" s="22" t="inlineStr">
        <is>
          <t>미확인</t>
        </is>
      </c>
      <c r="R460" s="22" t="inlineStr">
        <is>
          <t>미확인</t>
        </is>
      </c>
      <c r="S460" s="17" t="inlineStr">
        <is>
          <t>Tier D</t>
        </is>
      </c>
      <c r="T460" s="17" t="n">
        <v>4</v>
      </c>
      <c r="U460" s="17" t="inlineStr">
        <is>
          <t>C208</t>
        </is>
      </c>
      <c r="V460" s="17" t="inlineStr">
        <is>
          <t>신진가스텍</t>
        </is>
      </c>
      <c r="W460" s="17" t="inlineStr"/>
      <c r="X460" s="17" t="inlineStr"/>
      <c r="Y460" s="23" t="inlineStr"/>
      <c r="Z460" s="17" t="inlineStr">
        <is>
          <t>김성우</t>
        </is>
      </c>
      <c r="AA460" s="17" t="inlineStr"/>
      <c r="AB460" s="17" t="inlineStr">
        <is>
          <t>054-463-8600</t>
        </is>
      </c>
      <c r="AC460" s="17" t="inlineStr">
        <is>
          <t>미확인</t>
        </is>
      </c>
      <c r="AD460" s="17" t="inlineStr">
        <is>
          <t>Y</t>
        </is>
      </c>
      <c r="AE460" s="17" t="inlineStr">
        <is>
          <t>P225</t>
        </is>
      </c>
      <c r="AF460" s="17" t="inlineStr">
        <is>
          <t>경상북도 구미시 장천면 송신로 473</t>
        </is>
      </c>
      <c r="AG460" s="17" t="inlineStr">
        <is>
          <t>완제의약품</t>
        </is>
      </c>
      <c r="AH460" s="17" t="inlineStr">
        <is>
          <t>비무균-일반제제(의료용 고압가스)-가스제(의료용 고압가스)</t>
        </is>
      </c>
      <c r="AI460" s="17" t="n">
        <v>1</v>
      </c>
      <c r="AJ460" s="24" t="n">
        <v>46884</v>
      </c>
      <c r="AK460" s="17" t="inlineStr"/>
      <c r="AL460" s="17" t="inlineStr"/>
      <c r="AM460" s="17" t="inlineStr">
        <is>
          <t>기본 문서관리 수요</t>
        </is>
      </c>
      <c r="AN460" s="17" t="inlineStr">
        <is>
          <t>미확인</t>
        </is>
      </c>
      <c r="AO460" s="17" t="inlineStr">
        <is>
          <t>미확인</t>
        </is>
      </c>
      <c r="AP460" s="17" t="inlineStr">
        <is>
          <t>미확인</t>
        </is>
      </c>
      <c r="AQ460" s="17" t="inlineStr">
        <is>
          <t>담당자 파악 후 접촉</t>
        </is>
      </c>
      <c r="AR460" s="17" t="inlineStr">
        <is>
          <t>2026-07-05</t>
        </is>
      </c>
      <c r="AS460" s="17" t="inlineStr">
        <is>
          <t>C(부분확인)</t>
        </is>
      </c>
      <c r="AT460" s="17" t="n">
        <v>90</v>
      </c>
      <c r="AU460" s="17" t="inlineStr"/>
      <c r="AV460" s="17" t="inlineStr"/>
    </row>
    <row r="461">
      <c r="A461" s="28" t="inlineStr">
        <is>
          <t>Tier D</t>
        </is>
      </c>
      <c r="B461" s="17" t="n">
        <v>5</v>
      </c>
      <c r="C461" s="17" t="inlineStr">
        <is>
          <t>신화제약(주)</t>
        </is>
      </c>
      <c r="D461" s="17" t="inlineStr">
        <is>
          <t>대구</t>
        </is>
      </c>
      <c r="E461" s="17" t="inlineStr">
        <is>
          <t>대구광역시</t>
        </is>
      </c>
      <c r="F461" s="17" t="inlineStr">
        <is>
          <t>달서구</t>
        </is>
      </c>
      <c r="G461" s="17" t="n">
        <v>1</v>
      </c>
      <c r="H461" s="17" t="inlineStr"/>
      <c r="I461" s="17" t="inlineStr"/>
      <c r="J461" s="17" t="inlineStr">
        <is>
          <t>Y</t>
        </is>
      </c>
      <c r="K461" s="17" t="inlineStr"/>
      <c r="L461" s="22" t="inlineStr">
        <is>
          <t>미확인</t>
        </is>
      </c>
      <c r="M461" s="22" t="inlineStr">
        <is>
          <t>미확인</t>
        </is>
      </c>
      <c r="N461" s="22" t="inlineStr">
        <is>
          <t>미확인</t>
        </is>
      </c>
      <c r="O461" s="22" t="inlineStr">
        <is>
          <t>미확인</t>
        </is>
      </c>
      <c r="P461" s="17" t="inlineStr">
        <is>
          <t>EDMS</t>
        </is>
      </c>
      <c r="Q461" s="22" t="inlineStr">
        <is>
          <t>미확인</t>
        </is>
      </c>
      <c r="R461" s="22" t="inlineStr">
        <is>
          <t>미확인</t>
        </is>
      </c>
      <c r="S461" s="17" t="inlineStr">
        <is>
          <t>Tier D</t>
        </is>
      </c>
      <c r="T461" s="17" t="n">
        <v>4</v>
      </c>
      <c r="U461" s="17" t="inlineStr">
        <is>
          <t>C224</t>
        </is>
      </c>
      <c r="V461" s="17" t="inlineStr">
        <is>
          <t>신화제약</t>
        </is>
      </c>
      <c r="W461" s="17" t="inlineStr"/>
      <c r="X461" s="17" t="inlineStr"/>
      <c r="Y461" s="23" t="inlineStr"/>
      <c r="Z461" s="17" t="inlineStr">
        <is>
          <t>이두래</t>
        </is>
      </c>
      <c r="AA461" s="17" t="inlineStr"/>
      <c r="AB461" s="17" t="inlineStr">
        <is>
          <t>053-581-7668</t>
        </is>
      </c>
      <c r="AC461" s="17" t="inlineStr">
        <is>
          <t>미확인</t>
        </is>
      </c>
      <c r="AD461" s="17" t="inlineStr">
        <is>
          <t>Y</t>
        </is>
      </c>
      <c r="AE461" s="17" t="inlineStr">
        <is>
          <t>P248</t>
        </is>
      </c>
      <c r="AF461" s="17" t="inlineStr">
        <is>
          <t>대구광역시 달서구 성서동로 105</t>
        </is>
      </c>
      <c r="AG461" s="17" t="inlineStr">
        <is>
          <t>완제의약품</t>
        </is>
      </c>
      <c r="AH461" s="17" t="inlineStr">
        <is>
          <t>비무균-일반제제-내용고형제(정제, 과립제, 환제)</t>
        </is>
      </c>
      <c r="AI461" s="17" t="n">
        <v>1</v>
      </c>
      <c r="AJ461" s="24" t="n">
        <v>46857</v>
      </c>
      <c r="AK461" s="17" t="inlineStr"/>
      <c r="AL461" s="17" t="inlineStr"/>
      <c r="AM461" s="17" t="inlineStr">
        <is>
          <t>기본 문서관리 수요</t>
        </is>
      </c>
      <c r="AN461" s="17" t="inlineStr">
        <is>
          <t>미확인</t>
        </is>
      </c>
      <c r="AO461" s="17" t="inlineStr">
        <is>
          <t>미확인</t>
        </is>
      </c>
      <c r="AP461" s="17" t="inlineStr">
        <is>
          <t>미확인</t>
        </is>
      </c>
      <c r="AQ461" s="17" t="inlineStr">
        <is>
          <t>담당자 파악 후 접촉</t>
        </is>
      </c>
      <c r="AR461" s="17" t="inlineStr">
        <is>
          <t>2026-07-05</t>
        </is>
      </c>
      <c r="AS461" s="17" t="inlineStr">
        <is>
          <t>C(부분확인)</t>
        </is>
      </c>
      <c r="AT461" s="17" t="n">
        <v>90</v>
      </c>
      <c r="AU461" s="17" t="inlineStr"/>
      <c r="AV461" s="17" t="inlineStr"/>
    </row>
    <row r="462">
      <c r="A462" s="28" t="inlineStr">
        <is>
          <t>Tier D</t>
        </is>
      </c>
      <c r="B462" s="17" t="n">
        <v>5</v>
      </c>
      <c r="C462" s="17" t="inlineStr">
        <is>
          <t>씨에이치디제약주식회사</t>
        </is>
      </c>
      <c r="D462" s="17" t="inlineStr">
        <is>
          <t>부천</t>
        </is>
      </c>
      <c r="E462" s="17" t="inlineStr">
        <is>
          <t>경기도</t>
        </is>
      </c>
      <c r="F462" s="17" t="inlineStr">
        <is>
          <t>부천시</t>
        </is>
      </c>
      <c r="G462" s="17" t="n">
        <v>1</v>
      </c>
      <c r="H462" s="17" t="inlineStr"/>
      <c r="I462" s="17" t="inlineStr"/>
      <c r="J462" s="17" t="inlineStr">
        <is>
          <t>Y</t>
        </is>
      </c>
      <c r="K462" s="17" t="inlineStr"/>
      <c r="L462" s="22" t="inlineStr">
        <is>
          <t>미확인</t>
        </is>
      </c>
      <c r="M462" s="22" t="inlineStr">
        <is>
          <t>미확인</t>
        </is>
      </c>
      <c r="N462" s="22" t="inlineStr">
        <is>
          <t>미확인</t>
        </is>
      </c>
      <c r="O462" s="22" t="inlineStr">
        <is>
          <t>미확인</t>
        </is>
      </c>
      <c r="P462" s="17" t="inlineStr">
        <is>
          <t>EDMS</t>
        </is>
      </c>
      <c r="Q462" s="22" t="inlineStr">
        <is>
          <t>미확인</t>
        </is>
      </c>
      <c r="R462" s="22" t="inlineStr">
        <is>
          <t>미확인</t>
        </is>
      </c>
      <c r="S462" s="17" t="inlineStr">
        <is>
          <t>Tier D</t>
        </is>
      </c>
      <c r="T462" s="17" t="n">
        <v>4</v>
      </c>
      <c r="U462" s="17" t="inlineStr">
        <is>
          <t>C176</t>
        </is>
      </c>
      <c r="V462" s="17" t="inlineStr">
        <is>
          <t>씨에이치디제약</t>
        </is>
      </c>
      <c r="W462" s="17" t="inlineStr"/>
      <c r="X462" s="17" t="inlineStr"/>
      <c r="Y462" s="23" t="inlineStr"/>
      <c r="Z462" s="17" t="inlineStr">
        <is>
          <t>김창준</t>
        </is>
      </c>
      <c r="AA462" s="17" t="inlineStr"/>
      <c r="AB462" s="17" t="inlineStr">
        <is>
          <t>032-675-5561</t>
        </is>
      </c>
      <c r="AC462" s="17" t="inlineStr">
        <is>
          <t>미확인</t>
        </is>
      </c>
      <c r="AD462" s="17" t="inlineStr">
        <is>
          <t>Y</t>
        </is>
      </c>
      <c r="AE462" s="17" t="inlineStr">
        <is>
          <t>P189</t>
        </is>
      </c>
      <c r="AF462" s="17" t="inlineStr">
        <is>
          <t>경기도 부천시 원미구 정주로14번길 65</t>
        </is>
      </c>
      <c r="AG462" s="17" t="inlineStr">
        <is>
          <t>완제의약품</t>
        </is>
      </c>
      <c r="AH462" s="17" t="inlineStr">
        <is>
          <t>비무균-일반제제-내용고형제(산제)</t>
        </is>
      </c>
      <c r="AI462" s="17" t="n">
        <v>1</v>
      </c>
      <c r="AJ462" s="24" t="n">
        <v>46932</v>
      </c>
      <c r="AK462" s="17" t="inlineStr"/>
      <c r="AL462" s="17" t="inlineStr"/>
      <c r="AM462" s="17" t="inlineStr">
        <is>
          <t>기본 문서관리 수요</t>
        </is>
      </c>
      <c r="AN462" s="17" t="inlineStr">
        <is>
          <t>미확인</t>
        </is>
      </c>
      <c r="AO462" s="17" t="inlineStr">
        <is>
          <t>미확인</t>
        </is>
      </c>
      <c r="AP462" s="17" t="inlineStr">
        <is>
          <t>미확인</t>
        </is>
      </c>
      <c r="AQ462" s="17" t="inlineStr">
        <is>
          <t>담당자 파악 후 접촉</t>
        </is>
      </c>
      <c r="AR462" s="17" t="inlineStr">
        <is>
          <t>2026-07-05</t>
        </is>
      </c>
      <c r="AS462" s="17" t="inlineStr">
        <is>
          <t>C(부분확인)</t>
        </is>
      </c>
      <c r="AT462" s="17" t="n">
        <v>90</v>
      </c>
      <c r="AU462" s="17" t="inlineStr"/>
      <c r="AV462" s="17" t="inlineStr"/>
    </row>
    <row r="463">
      <c r="A463" s="28" t="inlineStr">
        <is>
          <t>Tier D</t>
        </is>
      </c>
      <c r="B463" s="17" t="n">
        <v>5</v>
      </c>
      <c r="C463" s="17" t="inlineStr">
        <is>
          <t>아주산소(주)</t>
        </is>
      </c>
      <c r="D463" s="17" t="inlineStr">
        <is>
          <t>광주</t>
        </is>
      </c>
      <c r="E463" s="17" t="inlineStr">
        <is>
          <t>광주광역시</t>
        </is>
      </c>
      <c r="F463" s="17" t="inlineStr">
        <is>
          <t>남구</t>
        </is>
      </c>
      <c r="G463" s="17" t="n">
        <v>1</v>
      </c>
      <c r="H463" s="17" t="inlineStr"/>
      <c r="I463" s="17" t="inlineStr"/>
      <c r="J463" s="17" t="inlineStr">
        <is>
          <t>Y</t>
        </is>
      </c>
      <c r="K463" s="17" t="inlineStr"/>
      <c r="L463" s="22" t="inlineStr">
        <is>
          <t>미확인</t>
        </is>
      </c>
      <c r="M463" s="22" t="inlineStr">
        <is>
          <t>미확인</t>
        </is>
      </c>
      <c r="N463" s="22" t="inlineStr">
        <is>
          <t>미확인</t>
        </is>
      </c>
      <c r="O463" s="22" t="inlineStr">
        <is>
          <t>미확인</t>
        </is>
      </c>
      <c r="P463" s="17" t="inlineStr">
        <is>
          <t>EDMS</t>
        </is>
      </c>
      <c r="Q463" s="22" t="inlineStr">
        <is>
          <t>미확인</t>
        </is>
      </c>
      <c r="R463" s="22" t="inlineStr">
        <is>
          <t>미확인</t>
        </is>
      </c>
      <c r="S463" s="17" t="inlineStr">
        <is>
          <t>Tier D</t>
        </is>
      </c>
      <c r="T463" s="17" t="n">
        <v>4</v>
      </c>
      <c r="U463" s="17" t="inlineStr">
        <is>
          <t>C219</t>
        </is>
      </c>
      <c r="V463" s="17" t="inlineStr">
        <is>
          <t>아주산소</t>
        </is>
      </c>
      <c r="W463" s="17" t="inlineStr"/>
      <c r="X463" s="17" t="inlineStr"/>
      <c r="Y463" s="23" t="inlineStr"/>
      <c r="Z463" s="17" t="inlineStr">
        <is>
          <t>박선욱</t>
        </is>
      </c>
      <c r="AA463" s="17" t="inlineStr"/>
      <c r="AB463" s="17" t="inlineStr">
        <is>
          <t>062-674-2684</t>
        </is>
      </c>
      <c r="AC463" s="17" t="inlineStr">
        <is>
          <t>미확인</t>
        </is>
      </c>
      <c r="AD463" s="17" t="inlineStr">
        <is>
          <t>Y</t>
        </is>
      </c>
      <c r="AE463" s="17" t="inlineStr">
        <is>
          <t>P242</t>
        </is>
      </c>
      <c r="AF463" s="17" t="inlineStr">
        <is>
          <t>광주광역시 남구 송암로58번길 46</t>
        </is>
      </c>
      <c r="AG463" s="17" t="inlineStr">
        <is>
          <t>완제의약품</t>
        </is>
      </c>
      <c r="AH463" s="17" t="inlineStr">
        <is>
          <t>비무균-일반제제(의료용 고압가스)-가스제(의료용 고압가스)</t>
        </is>
      </c>
      <c r="AI463" s="17" t="n">
        <v>1</v>
      </c>
      <c r="AJ463" s="24" t="n">
        <v>46868</v>
      </c>
      <c r="AK463" s="17" t="inlineStr"/>
      <c r="AL463" s="17" t="inlineStr"/>
      <c r="AM463" s="17" t="inlineStr">
        <is>
          <t>기본 문서관리 수요</t>
        </is>
      </c>
      <c r="AN463" s="17" t="inlineStr">
        <is>
          <t>미확인</t>
        </is>
      </c>
      <c r="AO463" s="17" t="inlineStr">
        <is>
          <t>미확인</t>
        </is>
      </c>
      <c r="AP463" s="17" t="inlineStr">
        <is>
          <t>미확인</t>
        </is>
      </c>
      <c r="AQ463" s="17" t="inlineStr">
        <is>
          <t>담당자 파악 후 접촉</t>
        </is>
      </c>
      <c r="AR463" s="17" t="inlineStr">
        <is>
          <t>2026-07-05</t>
        </is>
      </c>
      <c r="AS463" s="17" t="inlineStr">
        <is>
          <t>C(부분확인)</t>
        </is>
      </c>
      <c r="AT463" s="17" t="n">
        <v>90</v>
      </c>
      <c r="AU463" s="17" t="inlineStr"/>
      <c r="AV463" s="17" t="inlineStr"/>
    </row>
    <row r="464">
      <c r="A464" s="28" t="inlineStr">
        <is>
          <t>Tier D</t>
        </is>
      </c>
      <c r="B464" s="17" t="n">
        <v>5</v>
      </c>
      <c r="C464" s="17" t="inlineStr">
        <is>
          <t>안국뉴팜(주)</t>
        </is>
      </c>
      <c r="D464" s="17" t="inlineStr">
        <is>
          <t>적합완제품 보관소</t>
        </is>
      </c>
      <c r="E464" s="17" t="inlineStr">
        <is>
          <t>경기도</t>
        </is>
      </c>
      <c r="F464" s="17" t="inlineStr">
        <is>
          <t>김포시</t>
        </is>
      </c>
      <c r="G464" s="17" t="n">
        <v>1</v>
      </c>
      <c r="H464" s="17" t="inlineStr"/>
      <c r="I464" s="17" t="inlineStr"/>
      <c r="J464" s="17" t="inlineStr">
        <is>
          <t>Y</t>
        </is>
      </c>
      <c r="K464" s="17" t="inlineStr"/>
      <c r="L464" s="22" t="inlineStr">
        <is>
          <t>미확인</t>
        </is>
      </c>
      <c r="M464" s="22" t="inlineStr">
        <is>
          <t>미확인</t>
        </is>
      </c>
      <c r="N464" s="22" t="inlineStr">
        <is>
          <t>미확인</t>
        </is>
      </c>
      <c r="O464" s="22" t="inlineStr">
        <is>
          <t>미확인</t>
        </is>
      </c>
      <c r="P464" s="17" t="inlineStr">
        <is>
          <t>EDMS</t>
        </is>
      </c>
      <c r="Q464" s="22" t="inlineStr">
        <is>
          <t>미확인</t>
        </is>
      </c>
      <c r="R464" s="22" t="inlineStr">
        <is>
          <t>미확인</t>
        </is>
      </c>
      <c r="S464" s="17" t="inlineStr">
        <is>
          <t>Tier D</t>
        </is>
      </c>
      <c r="T464" s="17" t="n">
        <v>4</v>
      </c>
      <c r="U464" s="17" t="inlineStr">
        <is>
          <t>C203</t>
        </is>
      </c>
      <c r="V464" s="17" t="inlineStr">
        <is>
          <t>안국뉴팜</t>
        </is>
      </c>
      <c r="W464" s="17" t="inlineStr"/>
      <c r="X464" s="17" t="inlineStr"/>
      <c r="Y464" s="23" t="inlineStr"/>
      <c r="Z464" s="17" t="inlineStr">
        <is>
          <t>김도경</t>
        </is>
      </c>
      <c r="AA464" s="17" t="inlineStr"/>
      <c r="AB464" s="17" t="inlineStr">
        <is>
          <t>미확인</t>
        </is>
      </c>
      <c r="AC464" s="17" t="inlineStr">
        <is>
          <t>미확인</t>
        </is>
      </c>
      <c r="AD464" s="17" t="inlineStr">
        <is>
          <t>Y</t>
        </is>
      </c>
      <c r="AE464" s="17" t="inlineStr">
        <is>
          <t>P219</t>
        </is>
      </c>
      <c r="AF464" s="17" t="inlineStr">
        <is>
          <t>경기도 김포시 통진읍 가현로 182-4</t>
        </is>
      </c>
      <c r="AG464" s="17" t="inlineStr">
        <is>
          <t>완제의약품</t>
        </is>
      </c>
      <c r="AH464" s="17" t="inlineStr">
        <is>
          <t>비무균-일반제제-내용고형제(산제)</t>
        </is>
      </c>
      <c r="AI464" s="17" t="n">
        <v>1</v>
      </c>
      <c r="AJ464" s="24" t="n">
        <v>46890</v>
      </c>
      <c r="AK464" s="17" t="inlineStr"/>
      <c r="AL464" s="17" t="inlineStr"/>
      <c r="AM464" s="17" t="inlineStr">
        <is>
          <t>기본 문서관리 수요</t>
        </is>
      </c>
      <c r="AN464" s="17" t="inlineStr">
        <is>
          <t>미확인</t>
        </is>
      </c>
      <c r="AO464" s="17" t="inlineStr">
        <is>
          <t>미확인</t>
        </is>
      </c>
      <c r="AP464" s="17" t="inlineStr">
        <is>
          <t>미확인</t>
        </is>
      </c>
      <c r="AQ464" s="17" t="inlineStr">
        <is>
          <t>담당자 파악 후 접촉</t>
        </is>
      </c>
      <c r="AR464" s="17" t="inlineStr">
        <is>
          <t>2026-07-05</t>
        </is>
      </c>
      <c r="AS464" s="17" t="inlineStr">
        <is>
          <t>C(부분확인)</t>
        </is>
      </c>
      <c r="AT464" s="17" t="n">
        <v>90</v>
      </c>
      <c r="AU464" s="17" t="inlineStr"/>
      <c r="AV464" s="17" t="inlineStr"/>
    </row>
    <row r="465">
      <c r="A465" s="28" t="inlineStr">
        <is>
          <t>Tier D</t>
        </is>
      </c>
      <c r="B465" s="17" t="n">
        <v>5</v>
      </c>
      <c r="C465" s="17" t="inlineStr">
        <is>
          <t>알파제약(주)</t>
        </is>
      </c>
      <c r="D465" s="17" t="inlineStr">
        <is>
          <t>1공장</t>
        </is>
      </c>
      <c r="E465" s="17" t="inlineStr">
        <is>
          <t>경상북도</t>
        </is>
      </c>
      <c r="F465" s="17" t="inlineStr">
        <is>
          <t>문경시</t>
        </is>
      </c>
      <c r="G465" s="17" t="n">
        <v>1</v>
      </c>
      <c r="H465" s="17" t="inlineStr"/>
      <c r="I465" s="17" t="inlineStr"/>
      <c r="J465" s="17" t="inlineStr">
        <is>
          <t>Y</t>
        </is>
      </c>
      <c r="K465" s="17" t="inlineStr"/>
      <c r="L465" s="22" t="inlineStr">
        <is>
          <t>미확인</t>
        </is>
      </c>
      <c r="M465" s="22" t="inlineStr">
        <is>
          <t>미확인</t>
        </is>
      </c>
      <c r="N465" s="22" t="inlineStr">
        <is>
          <t>미확인</t>
        </is>
      </c>
      <c r="O465" s="22" t="inlineStr">
        <is>
          <t>미확인</t>
        </is>
      </c>
      <c r="P465" s="17" t="inlineStr">
        <is>
          <t>EDMS</t>
        </is>
      </c>
      <c r="Q465" s="22" t="inlineStr">
        <is>
          <t>미확인</t>
        </is>
      </c>
      <c r="R465" s="22" t="inlineStr">
        <is>
          <t>미확인</t>
        </is>
      </c>
      <c r="S465" s="17" t="inlineStr">
        <is>
          <t>Tier D</t>
        </is>
      </c>
      <c r="T465" s="17" t="n">
        <v>4</v>
      </c>
      <c r="U465" s="17" t="inlineStr">
        <is>
          <t>C287</t>
        </is>
      </c>
      <c r="V465" s="17" t="inlineStr">
        <is>
          <t>알파제약</t>
        </is>
      </c>
      <c r="W465" s="17" t="inlineStr"/>
      <c r="X465" s="17" t="inlineStr"/>
      <c r="Y465" s="23" t="inlineStr"/>
      <c r="Z465" s="17" t="inlineStr">
        <is>
          <t>서지나</t>
        </is>
      </c>
      <c r="AA465" s="17" t="inlineStr"/>
      <c r="AB465" s="17" t="inlineStr">
        <is>
          <t>054-552-5381</t>
        </is>
      </c>
      <c r="AC465" s="17" t="inlineStr">
        <is>
          <t>미확인</t>
        </is>
      </c>
      <c r="AD465" s="17" t="inlineStr">
        <is>
          <t>Y</t>
        </is>
      </c>
      <c r="AE465" s="17" t="inlineStr">
        <is>
          <t>P344</t>
        </is>
      </c>
      <c r="AF465" s="17" t="inlineStr">
        <is>
          <t>경상북도 문경시 산양면 산양공단2길 20</t>
        </is>
      </c>
      <c r="AG465" s="17" t="inlineStr">
        <is>
          <t>완제의약품</t>
        </is>
      </c>
      <c r="AH465" s="17" t="inlineStr">
        <is>
          <t>비무균-일반제제-내용고형제(정제, 캡슐제, 트로키제), 비무균-일반제제-연고제(연고제, 크림제)</t>
        </is>
      </c>
      <c r="AI465" s="17" t="n">
        <v>1</v>
      </c>
      <c r="AJ465" s="24" t="n">
        <v>46612</v>
      </c>
      <c r="AK465" s="17" t="inlineStr"/>
      <c r="AL465" s="17" t="inlineStr"/>
      <c r="AM465" s="17" t="inlineStr">
        <is>
          <t>기본 문서관리 수요</t>
        </is>
      </c>
      <c r="AN465" s="17" t="inlineStr">
        <is>
          <t>미확인</t>
        </is>
      </c>
      <c r="AO465" s="17" t="inlineStr">
        <is>
          <t>미확인</t>
        </is>
      </c>
      <c r="AP465" s="17" t="inlineStr">
        <is>
          <t>미확인</t>
        </is>
      </c>
      <c r="AQ465" s="17" t="inlineStr">
        <is>
          <t>담당자 파악 후 접촉</t>
        </is>
      </c>
      <c r="AR465" s="17" t="inlineStr">
        <is>
          <t>2026-07-05</t>
        </is>
      </c>
      <c r="AS465" s="17" t="inlineStr">
        <is>
          <t>C(부분확인)</t>
        </is>
      </c>
      <c r="AT465" s="17" t="n">
        <v>90</v>
      </c>
      <c r="AU465" s="17" t="inlineStr"/>
      <c r="AV465" s="17" t="inlineStr"/>
    </row>
    <row r="466">
      <c r="A466" s="28" t="inlineStr">
        <is>
          <t>Tier D</t>
        </is>
      </c>
      <c r="B466" s="17" t="n">
        <v>5</v>
      </c>
      <c r="C466" s="17" t="inlineStr">
        <is>
          <t>에리슨제약(주)</t>
        </is>
      </c>
      <c r="D466" s="17" t="inlineStr">
        <is>
          <t>제1공장</t>
        </is>
      </c>
      <c r="E466" s="17" t="inlineStr">
        <is>
          <t>경기도</t>
        </is>
      </c>
      <c r="F466" s="17" t="inlineStr">
        <is>
          <t>화성시</t>
        </is>
      </c>
      <c r="G466" s="17" t="n">
        <v>1</v>
      </c>
      <c r="H466" s="17" t="inlineStr"/>
      <c r="I466" s="17" t="inlineStr"/>
      <c r="J466" s="17" t="inlineStr">
        <is>
          <t>Y</t>
        </is>
      </c>
      <c r="K466" s="17" t="inlineStr"/>
      <c r="L466" s="22" t="inlineStr">
        <is>
          <t>미확인</t>
        </is>
      </c>
      <c r="M466" s="22" t="inlineStr">
        <is>
          <t>미확인</t>
        </is>
      </c>
      <c r="N466" s="22" t="inlineStr">
        <is>
          <t>미확인</t>
        </is>
      </c>
      <c r="O466" s="22" t="inlineStr">
        <is>
          <t>미확인</t>
        </is>
      </c>
      <c r="P466" s="17" t="inlineStr">
        <is>
          <t>EDMS</t>
        </is>
      </c>
      <c r="Q466" s="22" t="inlineStr">
        <is>
          <t>미확인</t>
        </is>
      </c>
      <c r="R466" s="22" t="inlineStr">
        <is>
          <t>미확인</t>
        </is>
      </c>
      <c r="S466" s="17" t="inlineStr">
        <is>
          <t>Tier D</t>
        </is>
      </c>
      <c r="T466" s="17" t="n">
        <v>4</v>
      </c>
      <c r="U466" s="17" t="inlineStr">
        <is>
          <t>C079</t>
        </is>
      </c>
      <c r="V466" s="17" t="inlineStr">
        <is>
          <t>에리슨제약</t>
        </is>
      </c>
      <c r="W466" s="17" t="inlineStr"/>
      <c r="X466" s="17" t="inlineStr"/>
      <c r="Y466" s="23" t="inlineStr"/>
      <c r="Z466" s="17" t="inlineStr">
        <is>
          <t>지윤찬</t>
        </is>
      </c>
      <c r="AA466" s="17" t="inlineStr"/>
      <c r="AB466" s="17" t="inlineStr">
        <is>
          <t>미확인</t>
        </is>
      </c>
      <c r="AC466" s="17" t="inlineStr">
        <is>
          <t>미확인</t>
        </is>
      </c>
      <c r="AD466" s="17" t="inlineStr">
        <is>
          <t>Y</t>
        </is>
      </c>
      <c r="AE466" s="17" t="inlineStr">
        <is>
          <t>P081</t>
        </is>
      </c>
      <c r="AF466" s="17" t="inlineStr">
        <is>
          <t>경기도 화성시 만세구 향남읍 제약공단3길 95</t>
        </is>
      </c>
      <c r="AG466" s="17" t="inlineStr">
        <is>
          <t>완제의약품</t>
        </is>
      </c>
      <c r="AH466" s="17" t="inlineStr">
        <is>
          <t>비무균-일반제제-내용고형제(정제, 캡슐제)</t>
        </is>
      </c>
      <c r="AI466" s="17" t="n">
        <v>1</v>
      </c>
      <c r="AJ466" s="24" t="n">
        <v>47158</v>
      </c>
      <c r="AK466" s="17" t="inlineStr"/>
      <c r="AL466" s="17" t="inlineStr"/>
      <c r="AM466" s="17" t="inlineStr">
        <is>
          <t>기본 문서관리 수요</t>
        </is>
      </c>
      <c r="AN466" s="17" t="inlineStr">
        <is>
          <t>미확인</t>
        </is>
      </c>
      <c r="AO466" s="17" t="inlineStr">
        <is>
          <t>미확인</t>
        </is>
      </c>
      <c r="AP466" s="17" t="inlineStr">
        <is>
          <t>미확인</t>
        </is>
      </c>
      <c r="AQ466" s="17" t="inlineStr">
        <is>
          <t>담당자 파악 후 접촉</t>
        </is>
      </c>
      <c r="AR466" s="17" t="inlineStr">
        <is>
          <t>2026-07-05</t>
        </is>
      </c>
      <c r="AS466" s="17" t="inlineStr">
        <is>
          <t>C(부분확인)</t>
        </is>
      </c>
      <c r="AT466" s="17" t="n">
        <v>90</v>
      </c>
      <c r="AU466" s="17" t="inlineStr"/>
      <c r="AV466" s="17" t="inlineStr"/>
    </row>
    <row r="467">
      <c r="A467" s="28" t="inlineStr">
        <is>
          <t>Tier D</t>
        </is>
      </c>
      <c r="B467" s="17" t="n">
        <v>5</v>
      </c>
      <c r="C467" s="17" t="inlineStr">
        <is>
          <t>에어코리아(주)</t>
        </is>
      </c>
      <c r="D467" s="17" t="inlineStr">
        <is>
          <t>에어코리아(주)</t>
        </is>
      </c>
      <c r="E467" s="17" t="inlineStr">
        <is>
          <t>경기도</t>
        </is>
      </c>
      <c r="F467" s="17" t="inlineStr">
        <is>
          <t>여주시</t>
        </is>
      </c>
      <c r="G467" s="17" t="n">
        <v>1</v>
      </c>
      <c r="H467" s="17" t="inlineStr"/>
      <c r="I467" s="17" t="inlineStr"/>
      <c r="J467" s="17" t="inlineStr">
        <is>
          <t>Y</t>
        </is>
      </c>
      <c r="K467" s="17" t="inlineStr"/>
      <c r="L467" s="22" t="inlineStr">
        <is>
          <t>미확인</t>
        </is>
      </c>
      <c r="M467" s="22" t="inlineStr">
        <is>
          <t>미확인</t>
        </is>
      </c>
      <c r="N467" s="22" t="inlineStr">
        <is>
          <t>미확인</t>
        </is>
      </c>
      <c r="O467" s="22" t="inlineStr">
        <is>
          <t>미확인</t>
        </is>
      </c>
      <c r="P467" s="17" t="inlineStr">
        <is>
          <t>EDMS</t>
        </is>
      </c>
      <c r="Q467" s="22" t="inlineStr">
        <is>
          <t>미확인</t>
        </is>
      </c>
      <c r="R467" s="22" t="inlineStr">
        <is>
          <t>미확인</t>
        </is>
      </c>
      <c r="S467" s="17" t="inlineStr">
        <is>
          <t>Tier D</t>
        </is>
      </c>
      <c r="T467" s="17" t="n">
        <v>4</v>
      </c>
      <c r="U467" s="17" t="inlineStr">
        <is>
          <t>C014</t>
        </is>
      </c>
      <c r="V467" s="17" t="inlineStr">
        <is>
          <t>에어코리아</t>
        </is>
      </c>
      <c r="W467" s="17" t="inlineStr"/>
      <c r="X467" s="17" t="inlineStr"/>
      <c r="Y467" s="23" t="inlineStr"/>
      <c r="Z467" s="17" t="inlineStr">
        <is>
          <t>김광섭</t>
        </is>
      </c>
      <c r="AA467" s="17" t="inlineStr"/>
      <c r="AB467" s="17" t="inlineStr">
        <is>
          <t>미확인</t>
        </is>
      </c>
      <c r="AC467" s="17" t="inlineStr">
        <is>
          <t>미확인</t>
        </is>
      </c>
      <c r="AD467" s="17" t="inlineStr">
        <is>
          <t>Y</t>
        </is>
      </c>
      <c r="AE467" s="17" t="inlineStr">
        <is>
          <t>P014</t>
        </is>
      </c>
      <c r="AF467" s="17" t="inlineStr">
        <is>
          <t>경기도 여주시 주내로 799-16 799-8(1층)(시험실)</t>
        </is>
      </c>
      <c r="AG467" s="17" t="inlineStr">
        <is>
          <t>완제의약품</t>
        </is>
      </c>
      <c r="AH467" s="17" t="inlineStr">
        <is>
          <t>비무균-일반제제(의료용 고압가스)-가스제(의료용 고압가스)</t>
        </is>
      </c>
      <c r="AI467" s="17" t="n">
        <v>1</v>
      </c>
      <c r="AJ467" s="24" t="n">
        <v>47296</v>
      </c>
      <c r="AK467" s="17" t="inlineStr"/>
      <c r="AL467" s="17" t="inlineStr"/>
      <c r="AM467" s="17" t="inlineStr">
        <is>
          <t>기본 문서관리 수요</t>
        </is>
      </c>
      <c r="AN467" s="17" t="inlineStr">
        <is>
          <t>미확인</t>
        </is>
      </c>
      <c r="AO467" s="17" t="inlineStr">
        <is>
          <t>미확인</t>
        </is>
      </c>
      <c r="AP467" s="17" t="inlineStr">
        <is>
          <t>미확인</t>
        </is>
      </c>
      <c r="AQ467" s="17" t="inlineStr">
        <is>
          <t>담당자 파악 후 접촉</t>
        </is>
      </c>
      <c r="AR467" s="17" t="inlineStr">
        <is>
          <t>2026-07-05</t>
        </is>
      </c>
      <c r="AS467" s="17" t="inlineStr">
        <is>
          <t>C(부분확인)</t>
        </is>
      </c>
      <c r="AT467" s="17" t="n">
        <v>90</v>
      </c>
      <c r="AU467" s="17" t="inlineStr"/>
      <c r="AV467" s="17" t="inlineStr"/>
    </row>
    <row r="468">
      <c r="A468" s="28" t="inlineStr">
        <is>
          <t>Tier D</t>
        </is>
      </c>
      <c r="B468" s="17" t="n">
        <v>5</v>
      </c>
      <c r="C468" s="17" t="inlineStr">
        <is>
          <t>에이치엘비제약(주)</t>
        </is>
      </c>
      <c r="D468" s="17" t="inlineStr">
        <is>
          <t>제1공장</t>
        </is>
      </c>
      <c r="E468" s="17" t="inlineStr">
        <is>
          <t>경기도</t>
        </is>
      </c>
      <c r="F468" s="17" t="inlineStr">
        <is>
          <t>남양주시</t>
        </is>
      </c>
      <c r="G468" s="17" t="n">
        <v>1</v>
      </c>
      <c r="H468" s="17" t="inlineStr"/>
      <c r="I468" s="17" t="inlineStr"/>
      <c r="J468" s="17" t="inlineStr">
        <is>
          <t>Y</t>
        </is>
      </c>
      <c r="K468" s="17" t="inlineStr"/>
      <c r="L468" s="22" t="inlineStr">
        <is>
          <t>미확인</t>
        </is>
      </c>
      <c r="M468" s="22" t="inlineStr">
        <is>
          <t>미확인</t>
        </is>
      </c>
      <c r="N468" s="22" t="inlineStr">
        <is>
          <t>미확인</t>
        </is>
      </c>
      <c r="O468" s="22" t="inlineStr">
        <is>
          <t>미확인</t>
        </is>
      </c>
      <c r="P468" s="17" t="inlineStr">
        <is>
          <t>EDMS</t>
        </is>
      </c>
      <c r="Q468" s="22" t="inlineStr">
        <is>
          <t>미확인</t>
        </is>
      </c>
      <c r="R468" s="22" t="inlineStr">
        <is>
          <t>미확인</t>
        </is>
      </c>
      <c r="S468" s="17" t="inlineStr">
        <is>
          <t>Tier D</t>
        </is>
      </c>
      <c r="T468" s="17" t="n">
        <v>4</v>
      </c>
      <c r="U468" s="17" t="inlineStr">
        <is>
          <t>C093</t>
        </is>
      </c>
      <c r="V468" s="17" t="inlineStr">
        <is>
          <t>에이치엘비제약</t>
        </is>
      </c>
      <c r="W468" s="17" t="inlineStr"/>
      <c r="X468" s="17" t="inlineStr"/>
      <c r="Y468" s="23" t="inlineStr"/>
      <c r="Z468" s="17" t="inlineStr">
        <is>
          <t>박재형</t>
        </is>
      </c>
      <c r="AA468" s="17" t="inlineStr"/>
      <c r="AB468" s="17" t="inlineStr">
        <is>
          <t>031-557-0001</t>
        </is>
      </c>
      <c r="AC468" s="17" t="inlineStr">
        <is>
          <t>미확인</t>
        </is>
      </c>
      <c r="AD468" s="17" t="inlineStr">
        <is>
          <t>Y</t>
        </is>
      </c>
      <c r="AE468" s="17" t="inlineStr">
        <is>
          <t>P096</t>
        </is>
      </c>
      <c r="AF468" s="17" t="inlineStr">
        <is>
          <t>경기도 남양주시 경강로 27</t>
        </is>
      </c>
      <c r="AG468" s="17" t="inlineStr">
        <is>
          <t>완제의약품</t>
        </is>
      </c>
      <c r="AH468" s="17" t="inlineStr">
        <is>
          <t>비무균-일반제제-내용고형제(정제, 질정, 캡슐제, 구강붕해정), 비무균-일반제제-연고제(좌제, 질용좌제)</t>
        </is>
      </c>
      <c r="AI468" s="17" t="n">
        <v>1</v>
      </c>
      <c r="AJ468" s="24" t="n">
        <v>47100</v>
      </c>
      <c r="AK468" s="17" t="inlineStr"/>
      <c r="AL468" s="17" t="inlineStr"/>
      <c r="AM468" s="17" t="inlineStr">
        <is>
          <t>기본 문서관리 수요</t>
        </is>
      </c>
      <c r="AN468" s="17" t="inlineStr">
        <is>
          <t>미확인</t>
        </is>
      </c>
      <c r="AO468" s="17" t="inlineStr">
        <is>
          <t>미확인</t>
        </is>
      </c>
      <c r="AP468" s="17" t="inlineStr">
        <is>
          <t>미확인</t>
        </is>
      </c>
      <c r="AQ468" s="17" t="inlineStr">
        <is>
          <t>담당자 파악 후 접촉</t>
        </is>
      </c>
      <c r="AR468" s="17" t="inlineStr">
        <is>
          <t>2026-07-05</t>
        </is>
      </c>
      <c r="AS468" s="17" t="inlineStr">
        <is>
          <t>C(부분확인)</t>
        </is>
      </c>
      <c r="AT468" s="17" t="n">
        <v>90</v>
      </c>
      <c r="AU468" s="17" t="inlineStr"/>
      <c r="AV468" s="17" t="inlineStr"/>
    </row>
    <row r="469">
      <c r="A469" s="28" t="inlineStr">
        <is>
          <t>Tier D</t>
        </is>
      </c>
      <c r="B469" s="17" t="n">
        <v>5</v>
      </c>
      <c r="C469" s="17" t="inlineStr">
        <is>
          <t>영일제약(주)</t>
        </is>
      </c>
      <c r="D469" s="17" t="inlineStr">
        <is>
          <t>진천</t>
        </is>
      </c>
      <c r="E469" s="17" t="inlineStr">
        <is>
          <t>충청북도</t>
        </is>
      </c>
      <c r="F469" s="17" t="inlineStr">
        <is>
          <t>진천군</t>
        </is>
      </c>
      <c r="G469" s="17" t="n">
        <v>1</v>
      </c>
      <c r="H469" s="17" t="inlineStr"/>
      <c r="I469" s="17" t="inlineStr"/>
      <c r="J469" s="17" t="inlineStr">
        <is>
          <t>Y</t>
        </is>
      </c>
      <c r="K469" s="17" t="inlineStr"/>
      <c r="L469" s="22" t="inlineStr">
        <is>
          <t>미확인</t>
        </is>
      </c>
      <c r="M469" s="22" t="inlineStr">
        <is>
          <t>미확인</t>
        </is>
      </c>
      <c r="N469" s="22" t="inlineStr">
        <is>
          <t>미확인</t>
        </is>
      </c>
      <c r="O469" s="22" t="inlineStr">
        <is>
          <t>미확인</t>
        </is>
      </c>
      <c r="P469" s="17" t="inlineStr">
        <is>
          <t>EDMS</t>
        </is>
      </c>
      <c r="Q469" s="22" t="inlineStr">
        <is>
          <t>미확인</t>
        </is>
      </c>
      <c r="R469" s="22" t="inlineStr">
        <is>
          <t>미확인</t>
        </is>
      </c>
      <c r="S469" s="17" t="inlineStr">
        <is>
          <t>Tier D</t>
        </is>
      </c>
      <c r="T469" s="17" t="n">
        <v>4</v>
      </c>
      <c r="U469" s="17" t="inlineStr">
        <is>
          <t>C052</t>
        </is>
      </c>
      <c r="V469" s="17" t="inlineStr">
        <is>
          <t>영일제약</t>
        </is>
      </c>
      <c r="W469" s="17" t="inlineStr"/>
      <c r="X469" s="17" t="inlineStr"/>
      <c r="Y469" s="23" t="inlineStr"/>
      <c r="Z469" s="17" t="inlineStr">
        <is>
          <t>김종우</t>
        </is>
      </c>
      <c r="AA469" s="17" t="inlineStr"/>
      <c r="AB469" s="17" t="inlineStr">
        <is>
          <t>02-522-0150</t>
        </is>
      </c>
      <c r="AC469" s="17" t="inlineStr">
        <is>
          <t>미확인</t>
        </is>
      </c>
      <c r="AD469" s="17" t="inlineStr">
        <is>
          <t>Y</t>
        </is>
      </c>
      <c r="AE469" s="17" t="inlineStr">
        <is>
          <t>P053</t>
        </is>
      </c>
      <c r="AF469" s="17" t="inlineStr">
        <is>
          <t>충청북도 진천군 진천읍 문화12길 6-1</t>
        </is>
      </c>
      <c r="AG469" s="17" t="inlineStr">
        <is>
          <t>완제의약품</t>
        </is>
      </c>
      <c r="AH469" s="17" t="inlineStr">
        <is>
          <t>비무균-일반제제-내용고형제(정제, 캡슐제)</t>
        </is>
      </c>
      <c r="AI469" s="17" t="n">
        <v>1</v>
      </c>
      <c r="AJ469" s="24" t="n">
        <v>47212</v>
      </c>
      <c r="AK469" s="17" t="inlineStr"/>
      <c r="AL469" s="17" t="inlineStr"/>
      <c r="AM469" s="17" t="inlineStr">
        <is>
          <t>기본 문서관리 수요</t>
        </is>
      </c>
      <c r="AN469" s="17" t="inlineStr">
        <is>
          <t>미확인</t>
        </is>
      </c>
      <c r="AO469" s="17" t="inlineStr">
        <is>
          <t>미확인</t>
        </is>
      </c>
      <c r="AP469" s="17" t="inlineStr">
        <is>
          <t>미확인</t>
        </is>
      </c>
      <c r="AQ469" s="17" t="inlineStr">
        <is>
          <t>담당자 파악 후 접촉</t>
        </is>
      </c>
      <c r="AR469" s="17" t="inlineStr">
        <is>
          <t>2026-07-05</t>
        </is>
      </c>
      <c r="AS469" s="17" t="inlineStr">
        <is>
          <t>C(부분확인)</t>
        </is>
      </c>
      <c r="AT469" s="17" t="n">
        <v>90</v>
      </c>
      <c r="AU469" s="17" t="inlineStr"/>
      <c r="AV469" s="17" t="inlineStr"/>
    </row>
    <row r="470">
      <c r="A470" s="28" t="inlineStr">
        <is>
          <t>Tier D</t>
        </is>
      </c>
      <c r="B470" s="17" t="n">
        <v>5</v>
      </c>
      <c r="C470" s="17" t="inlineStr">
        <is>
          <t>영풍제약(주)</t>
        </is>
      </c>
      <c r="D470" s="17" t="inlineStr">
        <is>
          <t>인천</t>
        </is>
      </c>
      <c r="E470" s="17" t="inlineStr">
        <is>
          <t>인천광역시</t>
        </is>
      </c>
      <c r="F470" s="17" t="inlineStr">
        <is>
          <t>남동구</t>
        </is>
      </c>
      <c r="G470" s="17" t="n">
        <v>1</v>
      </c>
      <c r="H470" s="17" t="inlineStr"/>
      <c r="I470" s="17" t="inlineStr"/>
      <c r="J470" s="17" t="inlineStr">
        <is>
          <t>Y</t>
        </is>
      </c>
      <c r="K470" s="17" t="inlineStr"/>
      <c r="L470" s="22" t="inlineStr">
        <is>
          <t>미확인</t>
        </is>
      </c>
      <c r="M470" s="22" t="inlineStr">
        <is>
          <t>미확인</t>
        </is>
      </c>
      <c r="N470" s="22" t="inlineStr">
        <is>
          <t>미확인</t>
        </is>
      </c>
      <c r="O470" s="22" t="inlineStr">
        <is>
          <t>미확인</t>
        </is>
      </c>
      <c r="P470" s="17" t="inlineStr">
        <is>
          <t>EDMS</t>
        </is>
      </c>
      <c r="Q470" s="22" t="inlineStr">
        <is>
          <t>미확인</t>
        </is>
      </c>
      <c r="R470" s="22" t="inlineStr">
        <is>
          <t>미확인</t>
        </is>
      </c>
      <c r="S470" s="17" t="inlineStr">
        <is>
          <t>Tier D</t>
        </is>
      </c>
      <c r="T470" s="17" t="n">
        <v>4</v>
      </c>
      <c r="U470" s="17" t="inlineStr">
        <is>
          <t>C241</t>
        </is>
      </c>
      <c r="V470" s="17" t="inlineStr">
        <is>
          <t>영풍제약</t>
        </is>
      </c>
      <c r="W470" s="17" t="inlineStr"/>
      <c r="X470" s="17" t="inlineStr"/>
      <c r="Y470" s="23" t="inlineStr"/>
      <c r="Z470" s="17" t="inlineStr">
        <is>
          <t>김재훈</t>
        </is>
      </c>
      <c r="AA470" s="17" t="inlineStr"/>
      <c r="AB470" s="17" t="inlineStr">
        <is>
          <t>032-812-8356</t>
        </is>
      </c>
      <c r="AC470" s="17" t="inlineStr">
        <is>
          <t>미확인</t>
        </is>
      </c>
      <c r="AD470" s="17" t="inlineStr">
        <is>
          <t>Y</t>
        </is>
      </c>
      <c r="AE470" s="17" t="inlineStr">
        <is>
          <t>P275</t>
        </is>
      </c>
      <c r="AF470" s="17" t="inlineStr">
        <is>
          <t>인천광역시 남동구 함박뫼로 333</t>
        </is>
      </c>
      <c r="AG470" s="17" t="inlineStr">
        <is>
          <t>완제의약품</t>
        </is>
      </c>
      <c r="AH470" s="17" t="inlineStr">
        <is>
          <t>비무균-일반제제-내용고형제(정제, 질정, 캡슐제)</t>
        </is>
      </c>
      <c r="AI470" s="17" t="n">
        <v>1</v>
      </c>
      <c r="AJ470" s="24" t="n">
        <v>46827</v>
      </c>
      <c r="AK470" s="17" t="inlineStr"/>
      <c r="AL470" s="17" t="inlineStr"/>
      <c r="AM470" s="17" t="inlineStr">
        <is>
          <t>기본 문서관리 수요</t>
        </is>
      </c>
      <c r="AN470" s="17" t="inlineStr">
        <is>
          <t>미확인</t>
        </is>
      </c>
      <c r="AO470" s="17" t="inlineStr">
        <is>
          <t>미확인</t>
        </is>
      </c>
      <c r="AP470" s="17" t="inlineStr">
        <is>
          <t>미확인</t>
        </is>
      </c>
      <c r="AQ470" s="17" t="inlineStr">
        <is>
          <t>담당자 파악 후 접촉</t>
        </is>
      </c>
      <c r="AR470" s="17" t="inlineStr">
        <is>
          <t>2026-07-05</t>
        </is>
      </c>
      <c r="AS470" s="17" t="inlineStr">
        <is>
          <t>C(부분확인)</t>
        </is>
      </c>
      <c r="AT470" s="17" t="n">
        <v>90</v>
      </c>
      <c r="AU470" s="17" t="inlineStr"/>
      <c r="AV470" s="17" t="inlineStr"/>
    </row>
    <row r="471">
      <c r="A471" s="28" t="inlineStr">
        <is>
          <t>Tier D</t>
        </is>
      </c>
      <c r="B471" s="17" t="n">
        <v>5</v>
      </c>
      <c r="C471" s="17" t="inlineStr">
        <is>
          <t>이화산소(주)</t>
        </is>
      </c>
      <c r="D471" s="17" t="inlineStr">
        <is>
          <t>인천</t>
        </is>
      </c>
      <c r="E471" s="17" t="inlineStr">
        <is>
          <t>인천광역시</t>
        </is>
      </c>
      <c r="F471" s="17" t="inlineStr">
        <is>
          <t>서구</t>
        </is>
      </c>
      <c r="G471" s="17" t="n">
        <v>1</v>
      </c>
      <c r="H471" s="17" t="inlineStr"/>
      <c r="I471" s="17" t="inlineStr"/>
      <c r="J471" s="17" t="inlineStr">
        <is>
          <t>Y</t>
        </is>
      </c>
      <c r="K471" s="17" t="inlineStr"/>
      <c r="L471" s="22" t="inlineStr">
        <is>
          <t>미확인</t>
        </is>
      </c>
      <c r="M471" s="22" t="inlineStr">
        <is>
          <t>미확인</t>
        </is>
      </c>
      <c r="N471" s="22" t="inlineStr">
        <is>
          <t>미확인</t>
        </is>
      </c>
      <c r="O471" s="22" t="inlineStr">
        <is>
          <t>미확인</t>
        </is>
      </c>
      <c r="P471" s="17" t="inlineStr">
        <is>
          <t>EDMS</t>
        </is>
      </c>
      <c r="Q471" s="22" t="inlineStr">
        <is>
          <t>미확인</t>
        </is>
      </c>
      <c r="R471" s="22" t="inlineStr">
        <is>
          <t>미확인</t>
        </is>
      </c>
      <c r="S471" s="17" t="inlineStr">
        <is>
          <t>Tier D</t>
        </is>
      </c>
      <c r="T471" s="17" t="n">
        <v>4</v>
      </c>
      <c r="U471" s="17" t="inlineStr">
        <is>
          <t>C173</t>
        </is>
      </c>
      <c r="V471" s="17" t="inlineStr">
        <is>
          <t>이화산소</t>
        </is>
      </c>
      <c r="W471" s="17" t="inlineStr"/>
      <c r="X471" s="17" t="inlineStr"/>
      <c r="Y471" s="23" t="inlineStr"/>
      <c r="Z471" s="17" t="inlineStr">
        <is>
          <t>박상진</t>
        </is>
      </c>
      <c r="AA471" s="17" t="inlineStr"/>
      <c r="AB471" s="17" t="inlineStr">
        <is>
          <t>032-575-4747</t>
        </is>
      </c>
      <c r="AC471" s="17" t="inlineStr">
        <is>
          <t>미확인</t>
        </is>
      </c>
      <c r="AD471" s="17" t="inlineStr">
        <is>
          <t>Y</t>
        </is>
      </c>
      <c r="AE471" s="17" t="inlineStr">
        <is>
          <t>P186</t>
        </is>
      </c>
      <c r="AF471" s="17" t="inlineStr">
        <is>
          <t>인천광역시 서구 가정로58번길 32</t>
        </is>
      </c>
      <c r="AG471" s="17" t="inlineStr">
        <is>
          <t>완제의약품</t>
        </is>
      </c>
      <c r="AH471" s="17" t="inlineStr">
        <is>
          <t>비무균-일반제제(의료용 고압가스)-가스제(의료용 고압가스)</t>
        </is>
      </c>
      <c r="AI471" s="17" t="n">
        <v>1</v>
      </c>
      <c r="AJ471" s="24" t="n">
        <v>46938</v>
      </c>
      <c r="AK471" s="17" t="inlineStr"/>
      <c r="AL471" s="17" t="inlineStr"/>
      <c r="AM471" s="17" t="inlineStr">
        <is>
          <t>기본 문서관리 수요</t>
        </is>
      </c>
      <c r="AN471" s="17" t="inlineStr">
        <is>
          <t>미확인</t>
        </is>
      </c>
      <c r="AO471" s="17" t="inlineStr">
        <is>
          <t>미확인</t>
        </is>
      </c>
      <c r="AP471" s="17" t="inlineStr">
        <is>
          <t>미확인</t>
        </is>
      </c>
      <c r="AQ471" s="17" t="inlineStr">
        <is>
          <t>담당자 파악 후 접촉</t>
        </is>
      </c>
      <c r="AR471" s="17" t="inlineStr">
        <is>
          <t>2026-07-05</t>
        </is>
      </c>
      <c r="AS471" s="17" t="inlineStr">
        <is>
          <t>C(부분확인)</t>
        </is>
      </c>
      <c r="AT471" s="17" t="n">
        <v>90</v>
      </c>
      <c r="AU471" s="17" t="inlineStr"/>
      <c r="AV471" s="17" t="inlineStr"/>
    </row>
    <row r="472">
      <c r="A472" s="28" t="inlineStr">
        <is>
          <t>Tier D</t>
        </is>
      </c>
      <c r="B472" s="17" t="n">
        <v>5</v>
      </c>
      <c r="C472" s="17" t="inlineStr">
        <is>
          <t>익수제약(주)</t>
        </is>
      </c>
      <c r="D472" s="17" t="inlineStr">
        <is>
          <t>광주</t>
        </is>
      </c>
      <c r="E472" s="17" t="inlineStr">
        <is>
          <t>경기도</t>
        </is>
      </c>
      <c r="F472" s="17" t="inlineStr">
        <is>
          <t>광주시</t>
        </is>
      </c>
      <c r="G472" s="17" t="n">
        <v>1</v>
      </c>
      <c r="H472" s="17" t="inlineStr"/>
      <c r="I472" s="17" t="inlineStr"/>
      <c r="J472" s="17" t="inlineStr">
        <is>
          <t>Y</t>
        </is>
      </c>
      <c r="K472" s="17" t="inlineStr"/>
      <c r="L472" s="22" t="inlineStr">
        <is>
          <t>미확인</t>
        </is>
      </c>
      <c r="M472" s="22" t="inlineStr">
        <is>
          <t>미확인</t>
        </is>
      </c>
      <c r="N472" s="22" t="inlineStr">
        <is>
          <t>미확인</t>
        </is>
      </c>
      <c r="O472" s="22" t="inlineStr">
        <is>
          <t>미확인</t>
        </is>
      </c>
      <c r="P472" s="17" t="inlineStr">
        <is>
          <t>EDMS</t>
        </is>
      </c>
      <c r="Q472" s="22" t="inlineStr">
        <is>
          <t>미확인</t>
        </is>
      </c>
      <c r="R472" s="22" t="inlineStr">
        <is>
          <t>미확인</t>
        </is>
      </c>
      <c r="S472" s="17" t="inlineStr">
        <is>
          <t>Tier D</t>
        </is>
      </c>
      <c r="T472" s="17" t="n">
        <v>4</v>
      </c>
      <c r="U472" s="17" t="inlineStr">
        <is>
          <t>C243</t>
        </is>
      </c>
      <c r="V472" s="17" t="inlineStr">
        <is>
          <t>익수제약</t>
        </is>
      </c>
      <c r="W472" s="17" t="inlineStr"/>
      <c r="X472" s="17" t="inlineStr"/>
      <c r="Y472" s="23" t="inlineStr"/>
      <c r="Z472" s="17" t="inlineStr">
        <is>
          <t>정용진</t>
        </is>
      </c>
      <c r="AA472" s="17" t="inlineStr"/>
      <c r="AB472" s="17" t="inlineStr">
        <is>
          <t>미확인</t>
        </is>
      </c>
      <c r="AC472" s="17" t="inlineStr">
        <is>
          <t>미확인</t>
        </is>
      </c>
      <c r="AD472" s="17" t="inlineStr">
        <is>
          <t>Y</t>
        </is>
      </c>
      <c r="AE472" s="17" t="inlineStr">
        <is>
          <t>P281</t>
        </is>
      </c>
      <c r="AF472" s="17" t="inlineStr">
        <is>
          <t>경기도 광주시 곤지암읍 독고개길86번길 38 , 42 일부(보관소)</t>
        </is>
      </c>
      <c r="AG472" s="17" t="inlineStr">
        <is>
          <t>완제의약품</t>
        </is>
      </c>
      <c r="AH472" s="17" t="inlineStr">
        <is>
          <t>비무균-일반제제-내용고형제(과립제, 환제), 비무균-일반제제-내용액제(경구용액제, 시럽제(액상), 현탁제)</t>
        </is>
      </c>
      <c r="AI472" s="17" t="n">
        <v>1</v>
      </c>
      <c r="AJ472" s="24" t="n">
        <v>46816</v>
      </c>
      <c r="AK472" s="17" t="inlineStr"/>
      <c r="AL472" s="17" t="inlineStr"/>
      <c r="AM472" s="17" t="inlineStr">
        <is>
          <t>기본 문서관리 수요</t>
        </is>
      </c>
      <c r="AN472" s="17" t="inlineStr">
        <is>
          <t>미확인</t>
        </is>
      </c>
      <c r="AO472" s="17" t="inlineStr">
        <is>
          <t>미확인</t>
        </is>
      </c>
      <c r="AP472" s="17" t="inlineStr">
        <is>
          <t>미확인</t>
        </is>
      </c>
      <c r="AQ472" s="17" t="inlineStr">
        <is>
          <t>담당자 파악 후 접촉</t>
        </is>
      </c>
      <c r="AR472" s="17" t="inlineStr">
        <is>
          <t>2026-07-05</t>
        </is>
      </c>
      <c r="AS472" s="17" t="inlineStr">
        <is>
          <t>C(부분확인)</t>
        </is>
      </c>
      <c r="AT472" s="17" t="n">
        <v>90</v>
      </c>
      <c r="AU472" s="17" t="inlineStr"/>
      <c r="AV472" s="17" t="inlineStr"/>
    </row>
    <row r="473">
      <c r="A473" s="28" t="inlineStr">
        <is>
          <t>Tier D</t>
        </is>
      </c>
      <c r="B473" s="17" t="n">
        <v>5</v>
      </c>
      <c r="C473" s="17" t="inlineStr">
        <is>
          <t>정우신약(주)</t>
        </is>
      </c>
      <c r="D473" s="17" t="inlineStr">
        <is>
          <t>아산</t>
        </is>
      </c>
      <c r="E473" s="17" t="inlineStr">
        <is>
          <t>충청남도</t>
        </is>
      </c>
      <c r="F473" s="17" t="inlineStr">
        <is>
          <t>아산시</t>
        </is>
      </c>
      <c r="G473" s="17" t="n">
        <v>1</v>
      </c>
      <c r="H473" s="17" t="inlineStr"/>
      <c r="I473" s="17" t="inlineStr"/>
      <c r="J473" s="17" t="inlineStr">
        <is>
          <t>Y</t>
        </is>
      </c>
      <c r="K473" s="17" t="inlineStr"/>
      <c r="L473" s="22" t="inlineStr">
        <is>
          <t>미확인</t>
        </is>
      </c>
      <c r="M473" s="22" t="inlineStr">
        <is>
          <t>미확인</t>
        </is>
      </c>
      <c r="N473" s="22" t="inlineStr">
        <is>
          <t>미확인</t>
        </is>
      </c>
      <c r="O473" s="22" t="inlineStr">
        <is>
          <t>미확인</t>
        </is>
      </c>
      <c r="P473" s="17" t="inlineStr">
        <is>
          <t>EDMS</t>
        </is>
      </c>
      <c r="Q473" s="22" t="inlineStr">
        <is>
          <t>미확인</t>
        </is>
      </c>
      <c r="R473" s="22" t="inlineStr">
        <is>
          <t>미확인</t>
        </is>
      </c>
      <c r="S473" s="17" t="inlineStr">
        <is>
          <t>Tier D</t>
        </is>
      </c>
      <c r="T473" s="17" t="n">
        <v>4</v>
      </c>
      <c r="U473" s="17" t="inlineStr">
        <is>
          <t>C017</t>
        </is>
      </c>
      <c r="V473" s="17" t="inlineStr">
        <is>
          <t>정우신약</t>
        </is>
      </c>
      <c r="W473" s="17" t="inlineStr"/>
      <c r="X473" s="17" t="inlineStr"/>
      <c r="Y473" s="23" t="inlineStr"/>
      <c r="Z473" s="17" t="inlineStr">
        <is>
          <t>정순백</t>
        </is>
      </c>
      <c r="AA473" s="17" t="inlineStr"/>
      <c r="AB473" s="17" t="inlineStr">
        <is>
          <t>041-533-6191</t>
        </is>
      </c>
      <c r="AC473" s="17" t="inlineStr">
        <is>
          <t>미확인</t>
        </is>
      </c>
      <c r="AD473" s="17" t="inlineStr">
        <is>
          <t>Y</t>
        </is>
      </c>
      <c r="AE473" s="17" t="inlineStr">
        <is>
          <t>P017</t>
        </is>
      </c>
      <c r="AF473" s="17" t="inlineStr">
        <is>
          <t>충청남도 아산시 신창면 서부남로790번길 60</t>
        </is>
      </c>
      <c r="AG473" s="17" t="inlineStr">
        <is>
          <t>완제의약품</t>
        </is>
      </c>
      <c r="AH473" s="17" t="inlineStr">
        <is>
          <t>비무균-일반제제-내용고형제(정제, 캡슐제, 산제, 과립제), 비무균-일반제제-내용액제(경구용액제, 엑스제(액상))</t>
        </is>
      </c>
      <c r="AI473" s="17" t="n">
        <v>1</v>
      </c>
      <c r="AJ473" s="24" t="n">
        <v>47289</v>
      </c>
      <c r="AK473" s="17" t="inlineStr"/>
      <c r="AL473" s="17" t="inlineStr"/>
      <c r="AM473" s="17" t="inlineStr">
        <is>
          <t>기본 문서관리 수요</t>
        </is>
      </c>
      <c r="AN473" s="17" t="inlineStr">
        <is>
          <t>미확인</t>
        </is>
      </c>
      <c r="AO473" s="17" t="inlineStr">
        <is>
          <t>미확인</t>
        </is>
      </c>
      <c r="AP473" s="17" t="inlineStr">
        <is>
          <t>미확인</t>
        </is>
      </c>
      <c r="AQ473" s="17" t="inlineStr">
        <is>
          <t>담당자 파악 후 접촉</t>
        </is>
      </c>
      <c r="AR473" s="17" t="inlineStr">
        <is>
          <t>2026-07-05</t>
        </is>
      </c>
      <c r="AS473" s="17" t="inlineStr">
        <is>
          <t>C(부분확인)</t>
        </is>
      </c>
      <c r="AT473" s="17" t="n">
        <v>90</v>
      </c>
      <c r="AU473" s="17" t="inlineStr"/>
      <c r="AV473" s="17" t="inlineStr"/>
    </row>
    <row r="474">
      <c r="A474" s="28" t="inlineStr">
        <is>
          <t>Tier D</t>
        </is>
      </c>
      <c r="B474" s="17" t="n">
        <v>5</v>
      </c>
      <c r="C474" s="17" t="inlineStr">
        <is>
          <t>제이더블유신약(주)</t>
        </is>
      </c>
      <c r="D474" s="17" t="inlineStr">
        <is>
          <t>평택</t>
        </is>
      </c>
      <c r="E474" s="17" t="inlineStr">
        <is>
          <t>경기도</t>
        </is>
      </c>
      <c r="F474" s="17" t="inlineStr">
        <is>
          <t>평택시</t>
        </is>
      </c>
      <c r="G474" s="17" t="n">
        <v>1</v>
      </c>
      <c r="H474" s="17" t="inlineStr"/>
      <c r="I474" s="17" t="inlineStr"/>
      <c r="J474" s="17" t="inlineStr">
        <is>
          <t>Y</t>
        </is>
      </c>
      <c r="K474" s="17" t="inlineStr"/>
      <c r="L474" s="22" t="inlineStr">
        <is>
          <t>미확인</t>
        </is>
      </c>
      <c r="M474" s="22" t="inlineStr">
        <is>
          <t>미확인</t>
        </is>
      </c>
      <c r="N474" s="22" t="inlineStr">
        <is>
          <t>미확인</t>
        </is>
      </c>
      <c r="O474" s="22" t="inlineStr">
        <is>
          <t>미확인</t>
        </is>
      </c>
      <c r="P474" s="17" t="inlineStr">
        <is>
          <t>EDMS</t>
        </is>
      </c>
      <c r="Q474" s="22" t="inlineStr">
        <is>
          <t>미확인</t>
        </is>
      </c>
      <c r="R474" s="22" t="inlineStr">
        <is>
          <t>미확인</t>
        </is>
      </c>
      <c r="S474" s="17" t="inlineStr">
        <is>
          <t>Tier D</t>
        </is>
      </c>
      <c r="T474" s="17" t="n">
        <v>4</v>
      </c>
      <c r="U474" s="17" t="inlineStr">
        <is>
          <t>C097</t>
        </is>
      </c>
      <c r="V474" s="17" t="inlineStr">
        <is>
          <t>제이더블유신약</t>
        </is>
      </c>
      <c r="W474" s="17" t="inlineStr"/>
      <c r="X474" s="17" t="inlineStr"/>
      <c r="Y474" s="23" t="inlineStr"/>
      <c r="Z474" s="17" t="inlineStr">
        <is>
          <t>김용관</t>
        </is>
      </c>
      <c r="AA474" s="17" t="inlineStr"/>
      <c r="AB474" s="17" t="inlineStr">
        <is>
          <t>031-668-0561</t>
        </is>
      </c>
      <c r="AC474" s="17" t="inlineStr">
        <is>
          <t>미확인</t>
        </is>
      </c>
      <c r="AD474" s="17" t="inlineStr">
        <is>
          <t>Y</t>
        </is>
      </c>
      <c r="AE474" s="17" t="inlineStr">
        <is>
          <t>P100</t>
        </is>
      </c>
      <c r="AF474" s="17" t="inlineStr">
        <is>
          <t>경기도 평택시 산단로 88-24</t>
        </is>
      </c>
      <c r="AG474" s="17" t="inlineStr">
        <is>
          <t>완제의약품</t>
        </is>
      </c>
      <c r="AH474" s="17" t="inlineStr">
        <is>
          <t>비무균-일반제제-내용고형제(정제, 캡슐제), 비무균-일반제제-외용액제(외용액제, 로션제, 점비액제), 비무균-일반제제-연고제(연고제, 크림제, 겔제)</t>
        </is>
      </c>
      <c r="AI474" s="17" t="n">
        <v>1</v>
      </c>
      <c r="AJ474" s="24" t="n">
        <v>47081</v>
      </c>
      <c r="AK474" s="17" t="inlineStr"/>
      <c r="AL474" s="17" t="inlineStr"/>
      <c r="AM474" s="17" t="inlineStr">
        <is>
          <t>기본 문서관리 수요</t>
        </is>
      </c>
      <c r="AN474" s="17" t="inlineStr">
        <is>
          <t>미확인</t>
        </is>
      </c>
      <c r="AO474" s="17" t="inlineStr">
        <is>
          <t>미확인</t>
        </is>
      </c>
      <c r="AP474" s="17" t="inlineStr">
        <is>
          <t>미확인</t>
        </is>
      </c>
      <c r="AQ474" s="17" t="inlineStr">
        <is>
          <t>담당자 파악 후 접촉</t>
        </is>
      </c>
      <c r="AR474" s="17" t="inlineStr">
        <is>
          <t>2026-07-05</t>
        </is>
      </c>
      <c r="AS474" s="17" t="inlineStr">
        <is>
          <t>C(부분확인)</t>
        </is>
      </c>
      <c r="AT474" s="17" t="n">
        <v>90</v>
      </c>
      <c r="AU474" s="17" t="inlineStr"/>
      <c r="AV474" s="17" t="inlineStr"/>
    </row>
    <row r="475">
      <c r="A475" s="28" t="inlineStr">
        <is>
          <t>Tier D</t>
        </is>
      </c>
      <c r="B475" s="17" t="n">
        <v>5</v>
      </c>
      <c r="C475" s="17" t="inlineStr">
        <is>
          <t>제일헬스사이언스(주)</t>
        </is>
      </c>
      <c r="D475" s="17" t="inlineStr">
        <is>
          <t>제일헬스사이언스(주)</t>
        </is>
      </c>
      <c r="E475" s="17" t="inlineStr">
        <is>
          <t>경기도</t>
        </is>
      </c>
      <c r="F475" s="17" t="inlineStr">
        <is>
          <t>용인시</t>
        </is>
      </c>
      <c r="G475" s="17" t="n">
        <v>1</v>
      </c>
      <c r="H475" s="17" t="inlineStr"/>
      <c r="I475" s="17" t="inlineStr"/>
      <c r="J475" s="17" t="inlineStr">
        <is>
          <t>Y</t>
        </is>
      </c>
      <c r="K475" s="17" t="inlineStr"/>
      <c r="L475" s="22" t="inlineStr">
        <is>
          <t>미확인</t>
        </is>
      </c>
      <c r="M475" s="22" t="inlineStr">
        <is>
          <t>미확인</t>
        </is>
      </c>
      <c r="N475" s="22" t="inlineStr">
        <is>
          <t>미확인</t>
        </is>
      </c>
      <c r="O475" s="22" t="inlineStr">
        <is>
          <t>미확인</t>
        </is>
      </c>
      <c r="P475" s="17" t="inlineStr">
        <is>
          <t>EDMS</t>
        </is>
      </c>
      <c r="Q475" s="22" t="inlineStr">
        <is>
          <t>미확인</t>
        </is>
      </c>
      <c r="R475" s="22" t="inlineStr">
        <is>
          <t>미확인</t>
        </is>
      </c>
      <c r="S475" s="17" t="inlineStr">
        <is>
          <t>Tier D</t>
        </is>
      </c>
      <c r="T475" s="17" t="n">
        <v>4</v>
      </c>
      <c r="U475" s="17" t="inlineStr">
        <is>
          <t>C122</t>
        </is>
      </c>
      <c r="V475" s="17" t="inlineStr">
        <is>
          <t>제일헬스사이언스</t>
        </is>
      </c>
      <c r="W475" s="17" t="inlineStr"/>
      <c r="X475" s="17" t="inlineStr"/>
      <c r="Y475" s="23" t="inlineStr"/>
      <c r="Z475" s="17" t="inlineStr">
        <is>
          <t>한상철</t>
        </is>
      </c>
      <c r="AA475" s="17" t="inlineStr"/>
      <c r="AB475" s="17" t="inlineStr">
        <is>
          <t>02-549-7451</t>
        </is>
      </c>
      <c r="AC475" s="17" t="inlineStr">
        <is>
          <t>미확인</t>
        </is>
      </c>
      <c r="AD475" s="17" t="inlineStr">
        <is>
          <t>Y</t>
        </is>
      </c>
      <c r="AE475" s="17" t="inlineStr">
        <is>
          <t>P128</t>
        </is>
      </c>
      <c r="AF475" s="17" t="inlineStr">
        <is>
          <t>경기도 용인시 처인구 백암면 청강가창로 7 B동</t>
        </is>
      </c>
      <c r="AG475" s="17" t="inlineStr">
        <is>
          <t>완제의약품</t>
        </is>
      </c>
      <c r="AH475" s="17" t="inlineStr">
        <is>
          <t>비무균-일반제제-첩부제(첩부제, 카타플라스마제)</t>
        </is>
      </c>
      <c r="AI475" s="17" t="n">
        <v>1</v>
      </c>
      <c r="AJ475" s="24" t="n">
        <v>47031</v>
      </c>
      <c r="AK475" s="17" t="inlineStr"/>
      <c r="AL475" s="17" t="inlineStr"/>
      <c r="AM475" s="17" t="inlineStr">
        <is>
          <t>기본 문서관리 수요</t>
        </is>
      </c>
      <c r="AN475" s="17" t="inlineStr">
        <is>
          <t>미확인</t>
        </is>
      </c>
      <c r="AO475" s="17" t="inlineStr">
        <is>
          <t>미확인</t>
        </is>
      </c>
      <c r="AP475" s="17" t="inlineStr">
        <is>
          <t>미확인</t>
        </is>
      </c>
      <c r="AQ475" s="17" t="inlineStr">
        <is>
          <t>담당자 파악 후 접촉</t>
        </is>
      </c>
      <c r="AR475" s="17" t="inlineStr">
        <is>
          <t>2026-07-05</t>
        </is>
      </c>
      <c r="AS475" s="17" t="inlineStr">
        <is>
          <t>C(부분확인)</t>
        </is>
      </c>
      <c r="AT475" s="17" t="n">
        <v>90</v>
      </c>
      <c r="AU475" s="17" t="inlineStr"/>
      <c r="AV475" s="17" t="inlineStr"/>
    </row>
    <row r="476">
      <c r="A476" s="28" t="inlineStr">
        <is>
          <t>Tier D</t>
        </is>
      </c>
      <c r="B476" s="17" t="n">
        <v>5</v>
      </c>
      <c r="C476" s="17" t="inlineStr">
        <is>
          <t>제주종합가스(주)</t>
        </is>
      </c>
      <c r="D476" s="17" t="inlineStr">
        <is>
          <t>제주시</t>
        </is>
      </c>
      <c r="E476" s="17" t="inlineStr">
        <is>
          <t>제주특별자치도</t>
        </is>
      </c>
      <c r="F476" s="17" t="inlineStr">
        <is>
          <t>제주시</t>
        </is>
      </c>
      <c r="G476" s="17" t="n">
        <v>1</v>
      </c>
      <c r="H476" s="17" t="inlineStr"/>
      <c r="I476" s="17" t="inlineStr"/>
      <c r="J476" s="17" t="inlineStr">
        <is>
          <t>Y</t>
        </is>
      </c>
      <c r="K476" s="17" t="inlineStr"/>
      <c r="L476" s="22" t="inlineStr">
        <is>
          <t>미확인</t>
        </is>
      </c>
      <c r="M476" s="22" t="inlineStr">
        <is>
          <t>미확인</t>
        </is>
      </c>
      <c r="N476" s="22" t="inlineStr">
        <is>
          <t>미확인</t>
        </is>
      </c>
      <c r="O476" s="22" t="inlineStr">
        <is>
          <t>미확인</t>
        </is>
      </c>
      <c r="P476" s="17" t="inlineStr">
        <is>
          <t>EDMS</t>
        </is>
      </c>
      <c r="Q476" s="22" t="inlineStr">
        <is>
          <t>미확인</t>
        </is>
      </c>
      <c r="R476" s="22" t="inlineStr">
        <is>
          <t>미확인</t>
        </is>
      </c>
      <c r="S476" s="17" t="inlineStr">
        <is>
          <t>Tier D</t>
        </is>
      </c>
      <c r="T476" s="17" t="n">
        <v>4</v>
      </c>
      <c r="U476" s="17" t="inlineStr">
        <is>
          <t>C204</t>
        </is>
      </c>
      <c r="V476" s="17" t="inlineStr">
        <is>
          <t>제주종합가스</t>
        </is>
      </c>
      <c r="W476" s="17" t="inlineStr"/>
      <c r="X476" s="17" t="inlineStr"/>
      <c r="Y476" s="23" t="inlineStr"/>
      <c r="Z476" s="17" t="inlineStr">
        <is>
          <t>박준걸</t>
        </is>
      </c>
      <c r="AA476" s="17" t="inlineStr"/>
      <c r="AB476" s="17" t="inlineStr">
        <is>
          <t>미확인</t>
        </is>
      </c>
      <c r="AC476" s="17" t="inlineStr">
        <is>
          <t>미확인</t>
        </is>
      </c>
      <c r="AD476" s="17" t="inlineStr">
        <is>
          <t>Y</t>
        </is>
      </c>
      <c r="AE476" s="17" t="inlineStr">
        <is>
          <t>P220</t>
        </is>
      </c>
      <c r="AF476" s="17" t="inlineStr">
        <is>
          <t>제주특별자치도 제주시 선반남1길 76</t>
        </is>
      </c>
      <c r="AG476" s="17" t="inlineStr">
        <is>
          <t>완제의약품</t>
        </is>
      </c>
      <c r="AH476" s="17" t="inlineStr">
        <is>
          <t>비무균-일반제제(의료용 고압가스)-가스제(의료용 고압가스)</t>
        </is>
      </c>
      <c r="AI476" s="17" t="n">
        <v>1</v>
      </c>
      <c r="AJ476" s="24" t="n">
        <v>46889</v>
      </c>
      <c r="AK476" s="17" t="inlineStr"/>
      <c r="AL476" s="17" t="inlineStr"/>
      <c r="AM476" s="17" t="inlineStr">
        <is>
          <t>기본 문서관리 수요</t>
        </is>
      </c>
      <c r="AN476" s="17" t="inlineStr">
        <is>
          <t>미확인</t>
        </is>
      </c>
      <c r="AO476" s="17" t="inlineStr">
        <is>
          <t>미확인</t>
        </is>
      </c>
      <c r="AP476" s="17" t="inlineStr">
        <is>
          <t>미확인</t>
        </is>
      </c>
      <c r="AQ476" s="17" t="inlineStr">
        <is>
          <t>담당자 파악 후 접촉</t>
        </is>
      </c>
      <c r="AR476" s="17" t="inlineStr">
        <is>
          <t>2026-07-05</t>
        </is>
      </c>
      <c r="AS476" s="17" t="inlineStr">
        <is>
          <t>C(부분확인)</t>
        </is>
      </c>
      <c r="AT476" s="17" t="n">
        <v>90</v>
      </c>
      <c r="AU476" s="17" t="inlineStr"/>
      <c r="AV476" s="17" t="inlineStr"/>
    </row>
    <row r="477">
      <c r="A477" s="28" t="inlineStr">
        <is>
          <t>Tier D</t>
        </is>
      </c>
      <c r="B477" s="17" t="n">
        <v>5</v>
      </c>
      <c r="C477" s="17" t="inlineStr">
        <is>
          <t>주식회사 세종가스산업</t>
        </is>
      </c>
      <c r="D477" s="17" t="inlineStr">
        <is>
          <t>주식회사 세종가스산업</t>
        </is>
      </c>
      <c r="E477" s="17" t="inlineStr">
        <is>
          <t>경상남도</t>
        </is>
      </c>
      <c r="F477" s="17" t="inlineStr">
        <is>
          <t>사천시</t>
        </is>
      </c>
      <c r="G477" s="17" t="n">
        <v>1</v>
      </c>
      <c r="H477" s="17" t="inlineStr"/>
      <c r="I477" s="17" t="inlineStr"/>
      <c r="J477" s="17" t="inlineStr">
        <is>
          <t>Y</t>
        </is>
      </c>
      <c r="K477" s="17" t="inlineStr"/>
      <c r="L477" s="22" t="inlineStr">
        <is>
          <t>미확인</t>
        </is>
      </c>
      <c r="M477" s="22" t="inlineStr">
        <is>
          <t>미확인</t>
        </is>
      </c>
      <c r="N477" s="22" t="inlineStr">
        <is>
          <t>미확인</t>
        </is>
      </c>
      <c r="O477" s="22" t="inlineStr">
        <is>
          <t>미확인</t>
        </is>
      </c>
      <c r="P477" s="17" t="inlineStr">
        <is>
          <t>EDMS</t>
        </is>
      </c>
      <c r="Q477" s="22" t="inlineStr">
        <is>
          <t>미확인</t>
        </is>
      </c>
      <c r="R477" s="22" t="inlineStr">
        <is>
          <t>미확인</t>
        </is>
      </c>
      <c r="S477" s="17" t="inlineStr">
        <is>
          <t>Tier D</t>
        </is>
      </c>
      <c r="T477" s="17" t="n">
        <v>4</v>
      </c>
      <c r="U477" s="17" t="inlineStr">
        <is>
          <t>C270</t>
        </is>
      </c>
      <c r="V477" s="17" t="inlineStr">
        <is>
          <t>세종가스산업</t>
        </is>
      </c>
      <c r="W477" s="17" t="inlineStr"/>
      <c r="X477" s="17" t="inlineStr"/>
      <c r="Y477" s="23" t="inlineStr"/>
      <c r="Z477" s="17" t="inlineStr">
        <is>
          <t>양필자</t>
        </is>
      </c>
      <c r="AA477" s="17" t="inlineStr"/>
      <c r="AB477" s="17" t="inlineStr">
        <is>
          <t>05579500010102011</t>
        </is>
      </c>
      <c r="AC477" s="17" t="inlineStr">
        <is>
          <t>미확인</t>
        </is>
      </c>
      <c r="AD477" s="17" t="inlineStr">
        <is>
          <t>Y</t>
        </is>
      </c>
      <c r="AE477" s="17" t="inlineStr">
        <is>
          <t>P319</t>
        </is>
      </c>
      <c r="AF477" s="17" t="inlineStr">
        <is>
          <t>경상남도 사천시 축동면 서삼로 1000</t>
        </is>
      </c>
      <c r="AG477" s="17" t="inlineStr">
        <is>
          <t>완제의약품</t>
        </is>
      </c>
      <c r="AH477" s="17" t="inlineStr">
        <is>
          <t>비무균-일반제제-가스제(의료용 고압가스)</t>
        </is>
      </c>
      <c r="AI477" s="17" t="n">
        <v>1</v>
      </c>
      <c r="AJ477" s="24" t="n">
        <v>46715</v>
      </c>
      <c r="AK477" s="17" t="inlineStr"/>
      <c r="AL477" s="17" t="inlineStr"/>
      <c r="AM477" s="17" t="inlineStr">
        <is>
          <t>기본 문서관리 수요</t>
        </is>
      </c>
      <c r="AN477" s="17" t="inlineStr">
        <is>
          <t>미확인</t>
        </is>
      </c>
      <c r="AO477" s="17" t="inlineStr">
        <is>
          <t>미확인</t>
        </is>
      </c>
      <c r="AP477" s="17" t="inlineStr">
        <is>
          <t>미확인</t>
        </is>
      </c>
      <c r="AQ477" s="17" t="inlineStr">
        <is>
          <t>담당자 파악 후 접촉</t>
        </is>
      </c>
      <c r="AR477" s="17" t="inlineStr">
        <is>
          <t>2026-07-05</t>
        </is>
      </c>
      <c r="AS477" s="17" t="inlineStr">
        <is>
          <t>C(부분확인)</t>
        </is>
      </c>
      <c r="AT477" s="17" t="n">
        <v>90</v>
      </c>
      <c r="AU477" s="17" t="inlineStr"/>
      <c r="AV477" s="17" t="inlineStr"/>
    </row>
    <row r="478">
      <c r="A478" s="28" t="inlineStr">
        <is>
          <t>Tier D</t>
        </is>
      </c>
      <c r="B478" s="17" t="n">
        <v>5</v>
      </c>
      <c r="C478" s="17" t="inlineStr">
        <is>
          <t>주식회사 제이비케이랩</t>
        </is>
      </c>
      <c r="D478" s="17" t="inlineStr">
        <is>
          <t>미확인</t>
        </is>
      </c>
      <c r="E478" s="17" t="inlineStr">
        <is>
          <t>전라남도</t>
        </is>
      </c>
      <c r="F478" s="17" t="inlineStr">
        <is>
          <t>화순군</t>
        </is>
      </c>
      <c r="G478" s="17" t="n">
        <v>1</v>
      </c>
      <c r="H478" s="17" t="inlineStr"/>
      <c r="I478" s="17" t="inlineStr"/>
      <c r="J478" s="17" t="inlineStr">
        <is>
          <t>Y</t>
        </is>
      </c>
      <c r="K478" s="17" t="inlineStr"/>
      <c r="L478" s="22" t="inlineStr">
        <is>
          <t>미확인</t>
        </is>
      </c>
      <c r="M478" s="22" t="inlineStr">
        <is>
          <t>미확인</t>
        </is>
      </c>
      <c r="N478" s="22" t="inlineStr">
        <is>
          <t>미확인</t>
        </is>
      </c>
      <c r="O478" s="22" t="inlineStr">
        <is>
          <t>미확인</t>
        </is>
      </c>
      <c r="P478" s="17" t="inlineStr">
        <is>
          <t>EDMS</t>
        </is>
      </c>
      <c r="Q478" s="22" t="inlineStr">
        <is>
          <t>미확인</t>
        </is>
      </c>
      <c r="R478" s="22" t="inlineStr">
        <is>
          <t>미확인</t>
        </is>
      </c>
      <c r="S478" s="17" t="inlineStr">
        <is>
          <t>Tier D</t>
        </is>
      </c>
      <c r="T478" s="17" t="n">
        <v>4</v>
      </c>
      <c r="U478" s="17" t="inlineStr">
        <is>
          <t>C011</t>
        </is>
      </c>
      <c r="V478" s="17" t="inlineStr">
        <is>
          <t>제이비케이랩</t>
        </is>
      </c>
      <c r="W478" s="17" t="inlineStr"/>
      <c r="X478" s="17" t="inlineStr"/>
      <c r="Y478" s="23" t="inlineStr"/>
      <c r="Z478" s="17" t="inlineStr">
        <is>
          <t>장봉근</t>
        </is>
      </c>
      <c r="AA478" s="17" t="inlineStr"/>
      <c r="AB478" s="17" t="inlineStr">
        <is>
          <t>미확인</t>
        </is>
      </c>
      <c r="AC478" s="17" t="inlineStr">
        <is>
          <t>미확인</t>
        </is>
      </c>
      <c r="AD478" s="17" t="inlineStr">
        <is>
          <t>Y</t>
        </is>
      </c>
      <c r="AE478" s="17" t="inlineStr">
        <is>
          <t>P011</t>
        </is>
      </c>
      <c r="AF478" s="17" t="inlineStr">
        <is>
          <t>전라남도 화순군 동면 동농공길 17 (동면농공단지)</t>
        </is>
      </c>
      <c r="AG478" s="17" t="inlineStr">
        <is>
          <t>완제의약품</t>
        </is>
      </c>
      <c r="AH478" s="17" t="inlineStr">
        <is>
          <t>비무균-일반제제-내용고형제(정제, 캡슐제, 과립제)</t>
        </is>
      </c>
      <c r="AI478" s="17" t="n">
        <v>1</v>
      </c>
      <c r="AJ478" s="24" t="n">
        <v>47303</v>
      </c>
      <c r="AK478" s="17" t="inlineStr"/>
      <c r="AL478" s="17" t="inlineStr"/>
      <c r="AM478" s="17" t="inlineStr">
        <is>
          <t>기본 문서관리 수요</t>
        </is>
      </c>
      <c r="AN478" s="17" t="inlineStr">
        <is>
          <t>미확인</t>
        </is>
      </c>
      <c r="AO478" s="17" t="inlineStr">
        <is>
          <t>미확인</t>
        </is>
      </c>
      <c r="AP478" s="17" t="inlineStr">
        <is>
          <t>미확인</t>
        </is>
      </c>
      <c r="AQ478" s="17" t="inlineStr">
        <is>
          <t>담당자 파악 후 접촉</t>
        </is>
      </c>
      <c r="AR478" s="17" t="inlineStr">
        <is>
          <t>2026-07-05</t>
        </is>
      </c>
      <c r="AS478" s="17" t="inlineStr">
        <is>
          <t>C(부분확인)</t>
        </is>
      </c>
      <c r="AT478" s="17" t="n">
        <v>0</v>
      </c>
      <c r="AU478" s="17" t="inlineStr">
        <is>
          <t>Y</t>
        </is>
      </c>
      <c r="AV478" s="17" t="inlineStr"/>
    </row>
    <row r="479">
      <c r="A479" s="28" t="inlineStr">
        <is>
          <t>Tier D</t>
        </is>
      </c>
      <c r="B479" s="17" t="n">
        <v>5</v>
      </c>
      <c r="C479" s="17" t="inlineStr">
        <is>
          <t>주식회사 케이에스테크</t>
        </is>
      </c>
      <c r="D479" s="17" t="inlineStr">
        <is>
          <t>공장</t>
        </is>
      </c>
      <c r="E479" s="17" t="inlineStr">
        <is>
          <t>경기도</t>
        </is>
      </c>
      <c r="F479" s="17" t="inlineStr">
        <is>
          <t>안성시</t>
        </is>
      </c>
      <c r="G479" s="17" t="n">
        <v>1</v>
      </c>
      <c r="H479" s="17" t="inlineStr"/>
      <c r="I479" s="17" t="inlineStr"/>
      <c r="J479" s="17" t="inlineStr">
        <is>
          <t>Y</t>
        </is>
      </c>
      <c r="K479" s="17" t="inlineStr"/>
      <c r="L479" s="22" t="inlineStr">
        <is>
          <t>미확인</t>
        </is>
      </c>
      <c r="M479" s="22" t="inlineStr">
        <is>
          <t>미확인</t>
        </is>
      </c>
      <c r="N479" s="22" t="inlineStr">
        <is>
          <t>미확인</t>
        </is>
      </c>
      <c r="O479" s="22" t="inlineStr">
        <is>
          <t>미확인</t>
        </is>
      </c>
      <c r="P479" s="17" t="inlineStr">
        <is>
          <t>EDMS</t>
        </is>
      </c>
      <c r="Q479" s="22" t="inlineStr">
        <is>
          <t>미확인</t>
        </is>
      </c>
      <c r="R479" s="22" t="inlineStr">
        <is>
          <t>미확인</t>
        </is>
      </c>
      <c r="S479" s="17" t="inlineStr">
        <is>
          <t>Tier D</t>
        </is>
      </c>
      <c r="T479" s="17" t="n">
        <v>4</v>
      </c>
      <c r="U479" s="17" t="inlineStr">
        <is>
          <t>C240</t>
        </is>
      </c>
      <c r="V479" s="17" t="inlineStr">
        <is>
          <t>케이에스테크</t>
        </is>
      </c>
      <c r="W479" s="17" t="inlineStr"/>
      <c r="X479" s="17" t="inlineStr"/>
      <c r="Y479" s="23" t="inlineStr"/>
      <c r="Z479" s="17" t="inlineStr">
        <is>
          <t>강도춘</t>
        </is>
      </c>
      <c r="AA479" s="17" t="inlineStr"/>
      <c r="AB479" s="17" t="inlineStr">
        <is>
          <t>031-658-7440</t>
        </is>
      </c>
      <c r="AC479" s="17" t="inlineStr">
        <is>
          <t>미확인</t>
        </is>
      </c>
      <c r="AD479" s="17" t="inlineStr">
        <is>
          <t>Y</t>
        </is>
      </c>
      <c r="AE479" s="17" t="inlineStr">
        <is>
          <t>P273</t>
        </is>
      </c>
      <c r="AF479" s="17" t="inlineStr">
        <is>
          <t>경기도 안성시 원곡면 원당로 160</t>
        </is>
      </c>
      <c r="AG479" s="17" t="inlineStr">
        <is>
          <t>완제의약품</t>
        </is>
      </c>
      <c r="AH479" s="17" t="inlineStr">
        <is>
          <t>비무균-일반제제(의료용 고압가스)-가스제(의료용 고압가스)</t>
        </is>
      </c>
      <c r="AI479" s="17" t="n">
        <v>1</v>
      </c>
      <c r="AJ479" s="24" t="n">
        <v>46832</v>
      </c>
      <c r="AK479" s="17" t="inlineStr"/>
      <c r="AL479" s="17" t="inlineStr"/>
      <c r="AM479" s="17" t="inlineStr">
        <is>
          <t>기본 문서관리 수요</t>
        </is>
      </c>
      <c r="AN479" s="17" t="inlineStr">
        <is>
          <t>미확인</t>
        </is>
      </c>
      <c r="AO479" s="17" t="inlineStr">
        <is>
          <t>미확인</t>
        </is>
      </c>
      <c r="AP479" s="17" t="inlineStr">
        <is>
          <t>미확인</t>
        </is>
      </c>
      <c r="AQ479" s="17" t="inlineStr">
        <is>
          <t>담당자 파악 후 접촉</t>
        </is>
      </c>
      <c r="AR479" s="17" t="inlineStr">
        <is>
          <t>2026-07-05</t>
        </is>
      </c>
      <c r="AS479" s="17" t="inlineStr">
        <is>
          <t>C(부분확인)</t>
        </is>
      </c>
      <c r="AT479" s="17" t="n">
        <v>90</v>
      </c>
      <c r="AU479" s="17" t="inlineStr"/>
      <c r="AV479" s="17" t="inlineStr"/>
    </row>
    <row r="480">
      <c r="A480" s="28" t="inlineStr">
        <is>
          <t>Tier D</t>
        </is>
      </c>
      <c r="B480" s="17" t="n">
        <v>5</v>
      </c>
      <c r="C480" s="17" t="inlineStr">
        <is>
          <t>주식회사더유제약</t>
        </is>
      </c>
      <c r="D480" s="17" t="inlineStr">
        <is>
          <t>(주)더유제약</t>
        </is>
      </c>
      <c r="E480" s="17" t="inlineStr">
        <is>
          <t>경기도</t>
        </is>
      </c>
      <c r="F480" s="17" t="inlineStr">
        <is>
          <t>남양주시</t>
        </is>
      </c>
      <c r="G480" s="17" t="n">
        <v>1</v>
      </c>
      <c r="H480" s="17" t="inlineStr"/>
      <c r="I480" s="17" t="inlineStr"/>
      <c r="J480" s="17" t="inlineStr">
        <is>
          <t>Y</t>
        </is>
      </c>
      <c r="K480" s="17" t="inlineStr"/>
      <c r="L480" s="22" t="inlineStr">
        <is>
          <t>미확인</t>
        </is>
      </c>
      <c r="M480" s="22" t="inlineStr">
        <is>
          <t>미확인</t>
        </is>
      </c>
      <c r="N480" s="22" t="inlineStr">
        <is>
          <t>미확인</t>
        </is>
      </c>
      <c r="O480" s="22" t="inlineStr">
        <is>
          <t>미확인</t>
        </is>
      </c>
      <c r="P480" s="17" t="inlineStr">
        <is>
          <t>EDMS</t>
        </is>
      </c>
      <c r="Q480" s="22" t="inlineStr">
        <is>
          <t>미확인</t>
        </is>
      </c>
      <c r="R480" s="22" t="inlineStr">
        <is>
          <t>미확인</t>
        </is>
      </c>
      <c r="S480" s="17" t="inlineStr">
        <is>
          <t>Tier D</t>
        </is>
      </c>
      <c r="T480" s="17" t="n">
        <v>4</v>
      </c>
      <c r="U480" s="17" t="inlineStr">
        <is>
          <t>C259</t>
        </is>
      </c>
      <c r="V480" s="17" t="inlineStr">
        <is>
          <t>더유제약</t>
        </is>
      </c>
      <c r="W480" s="17" t="inlineStr"/>
      <c r="X480" s="17" t="inlineStr"/>
      <c r="Y480" s="23" t="inlineStr"/>
      <c r="Z480" s="17" t="inlineStr">
        <is>
          <t>김민구</t>
        </is>
      </c>
      <c r="AA480" s="17" t="inlineStr"/>
      <c r="AB480" s="17" t="inlineStr">
        <is>
          <t>미확인</t>
        </is>
      </c>
      <c r="AC480" s="17" t="inlineStr">
        <is>
          <t>미확인</t>
        </is>
      </c>
      <c r="AD480" s="17" t="inlineStr">
        <is>
          <t>Y</t>
        </is>
      </c>
      <c r="AE480" s="17" t="inlineStr">
        <is>
          <t>P302</t>
        </is>
      </c>
      <c r="AF480" s="17" t="inlineStr">
        <is>
          <t>경기도 남양주시 진접읍 경복대로바람골길 42-151 , 1~4층</t>
        </is>
      </c>
      <c r="AG480" s="17" t="inlineStr">
        <is>
          <t>완제의약품</t>
        </is>
      </c>
      <c r="AH480" s="17" t="inlineStr">
        <is>
          <t>비무균-일반제제-내용고형제(정제, 캡슐제), 비무균-일반제제-외용액제(외용액제, 로션제), 비무균-일반제제-연고제(연고제, 크림제, 겔제)</t>
        </is>
      </c>
      <c r="AI480" s="17" t="n">
        <v>1</v>
      </c>
      <c r="AJ480" s="24" t="n">
        <v>46792</v>
      </c>
      <c r="AK480" s="17" t="inlineStr"/>
      <c r="AL480" s="17" t="inlineStr"/>
      <c r="AM480" s="17" t="inlineStr">
        <is>
          <t>기본 문서관리 수요</t>
        </is>
      </c>
      <c r="AN480" s="17" t="inlineStr">
        <is>
          <t>미확인</t>
        </is>
      </c>
      <c r="AO480" s="17" t="inlineStr">
        <is>
          <t>미확인</t>
        </is>
      </c>
      <c r="AP480" s="17" t="inlineStr">
        <is>
          <t>미확인</t>
        </is>
      </c>
      <c r="AQ480" s="17" t="inlineStr">
        <is>
          <t>담당자 파악 후 접촉</t>
        </is>
      </c>
      <c r="AR480" s="17" t="inlineStr">
        <is>
          <t>2026-07-05</t>
        </is>
      </c>
      <c r="AS480" s="17" t="inlineStr">
        <is>
          <t>C(부분확인)</t>
        </is>
      </c>
      <c r="AT480" s="17" t="n">
        <v>90</v>
      </c>
      <c r="AU480" s="17" t="inlineStr"/>
      <c r="AV480" s="17" t="inlineStr"/>
    </row>
    <row r="481">
      <c r="A481" s="28" t="inlineStr">
        <is>
          <t>Tier D</t>
        </is>
      </c>
      <c r="B481" s="17" t="n">
        <v>5</v>
      </c>
      <c r="C481" s="17" t="inlineStr">
        <is>
          <t>주식회사에어가스코리아</t>
        </is>
      </c>
      <c r="D481" s="17" t="inlineStr">
        <is>
          <t>제1공장</t>
        </is>
      </c>
      <c r="E481" s="17" t="inlineStr">
        <is>
          <t>인천광역시</t>
        </is>
      </c>
      <c r="F481" s="17" t="inlineStr">
        <is>
          <t>서구</t>
        </is>
      </c>
      <c r="G481" s="17" t="n">
        <v>1</v>
      </c>
      <c r="H481" s="17" t="inlineStr"/>
      <c r="I481" s="17" t="inlineStr"/>
      <c r="J481" s="17" t="inlineStr">
        <is>
          <t>Y</t>
        </is>
      </c>
      <c r="K481" s="17" t="inlineStr"/>
      <c r="L481" s="22" t="inlineStr">
        <is>
          <t>미확인</t>
        </is>
      </c>
      <c r="M481" s="22" t="inlineStr">
        <is>
          <t>미확인</t>
        </is>
      </c>
      <c r="N481" s="22" t="inlineStr">
        <is>
          <t>미확인</t>
        </is>
      </c>
      <c r="O481" s="22" t="inlineStr">
        <is>
          <t>미확인</t>
        </is>
      </c>
      <c r="P481" s="17" t="inlineStr">
        <is>
          <t>EDMS</t>
        </is>
      </c>
      <c r="Q481" s="22" t="inlineStr">
        <is>
          <t>미확인</t>
        </is>
      </c>
      <c r="R481" s="22" t="inlineStr">
        <is>
          <t>미확인</t>
        </is>
      </c>
      <c r="S481" s="17" t="inlineStr">
        <is>
          <t>Tier D</t>
        </is>
      </c>
      <c r="T481" s="17" t="n">
        <v>4</v>
      </c>
      <c r="U481" s="17" t="inlineStr">
        <is>
          <t>C178</t>
        </is>
      </c>
      <c r="V481" s="17" t="inlineStr">
        <is>
          <t>에어가스코리아</t>
        </is>
      </c>
      <c r="W481" s="17" t="inlineStr"/>
      <c r="X481" s="17" t="inlineStr"/>
      <c r="Y481" s="23" t="inlineStr"/>
      <c r="Z481" s="17" t="inlineStr">
        <is>
          <t>박열</t>
        </is>
      </c>
      <c r="AA481" s="17" t="inlineStr"/>
      <c r="AB481" s="17" t="inlineStr">
        <is>
          <t>032-573-4001</t>
        </is>
      </c>
      <c r="AC481" s="17" t="inlineStr">
        <is>
          <t>미확인</t>
        </is>
      </c>
      <c r="AD481" s="17" t="inlineStr">
        <is>
          <t>Y</t>
        </is>
      </c>
      <c r="AE481" s="17" t="inlineStr">
        <is>
          <t>P191</t>
        </is>
      </c>
      <c r="AF481" s="17" t="inlineStr">
        <is>
          <t>인천광역시 서구 가정로37번길 25</t>
        </is>
      </c>
      <c r="AG481" s="17" t="inlineStr">
        <is>
          <t>완제의약품</t>
        </is>
      </c>
      <c r="AH481" s="17" t="inlineStr">
        <is>
          <t>비무균-일반제제-가스제(의료용 고압가스)</t>
        </is>
      </c>
      <c r="AI481" s="17" t="n">
        <v>1</v>
      </c>
      <c r="AJ481" s="24" t="n">
        <v>46930</v>
      </c>
      <c r="AK481" s="17" t="inlineStr"/>
      <c r="AL481" s="17" t="inlineStr"/>
      <c r="AM481" s="17" t="inlineStr">
        <is>
          <t>기본 문서관리 수요</t>
        </is>
      </c>
      <c r="AN481" s="17" t="inlineStr">
        <is>
          <t>미확인</t>
        </is>
      </c>
      <c r="AO481" s="17" t="inlineStr">
        <is>
          <t>미확인</t>
        </is>
      </c>
      <c r="AP481" s="17" t="inlineStr">
        <is>
          <t>미확인</t>
        </is>
      </c>
      <c r="AQ481" s="17" t="inlineStr">
        <is>
          <t>담당자 파악 후 접촉</t>
        </is>
      </c>
      <c r="AR481" s="17" t="inlineStr">
        <is>
          <t>2026-07-05</t>
        </is>
      </c>
      <c r="AS481" s="17" t="inlineStr">
        <is>
          <t>C(부분확인)</t>
        </is>
      </c>
      <c r="AT481" s="17" t="n">
        <v>90</v>
      </c>
      <c r="AU481" s="17" t="inlineStr"/>
      <c r="AV481" s="17" t="inlineStr"/>
    </row>
    <row r="482">
      <c r="A482" s="28" t="inlineStr">
        <is>
          <t>Tier D</t>
        </is>
      </c>
      <c r="B482" s="17" t="n">
        <v>5</v>
      </c>
      <c r="C482" s="17" t="inlineStr">
        <is>
          <t>주식회사제이투가스</t>
        </is>
      </c>
      <c r="D482" s="17" t="inlineStr">
        <is>
          <t>주식회사제이투가스</t>
        </is>
      </c>
      <c r="E482" s="17" t="inlineStr">
        <is>
          <t>경기도</t>
        </is>
      </c>
      <c r="F482" s="17" t="inlineStr">
        <is>
          <t>김포시</t>
        </is>
      </c>
      <c r="G482" s="17" t="n">
        <v>1</v>
      </c>
      <c r="H482" s="17" t="inlineStr"/>
      <c r="I482" s="17" t="inlineStr"/>
      <c r="J482" s="17" t="inlineStr">
        <is>
          <t>Y</t>
        </is>
      </c>
      <c r="K482" s="17" t="inlineStr"/>
      <c r="L482" s="22" t="inlineStr">
        <is>
          <t>미확인</t>
        </is>
      </c>
      <c r="M482" s="22" t="inlineStr">
        <is>
          <t>미확인</t>
        </is>
      </c>
      <c r="N482" s="22" t="inlineStr">
        <is>
          <t>미확인</t>
        </is>
      </c>
      <c r="O482" s="22" t="inlineStr">
        <is>
          <t>미확인</t>
        </is>
      </c>
      <c r="P482" s="17" t="inlineStr">
        <is>
          <t>EDMS</t>
        </is>
      </c>
      <c r="Q482" s="22" t="inlineStr">
        <is>
          <t>미확인</t>
        </is>
      </c>
      <c r="R482" s="22" t="inlineStr">
        <is>
          <t>미확인</t>
        </is>
      </c>
      <c r="S482" s="17" t="inlineStr">
        <is>
          <t>Tier D</t>
        </is>
      </c>
      <c r="T482" s="17" t="n">
        <v>4</v>
      </c>
      <c r="U482" s="17" t="inlineStr">
        <is>
          <t>C047</t>
        </is>
      </c>
      <c r="V482" s="17" t="inlineStr">
        <is>
          <t>제이투가스</t>
        </is>
      </c>
      <c r="W482" s="17" t="inlineStr"/>
      <c r="X482" s="17" t="inlineStr"/>
      <c r="Y482" s="23" t="inlineStr"/>
      <c r="Z482" s="17" t="inlineStr">
        <is>
          <t>정은화</t>
        </is>
      </c>
      <c r="AA482" s="17" t="inlineStr"/>
      <c r="AB482" s="17" t="inlineStr">
        <is>
          <t>031-981-9942</t>
        </is>
      </c>
      <c r="AC482" s="17" t="inlineStr">
        <is>
          <t>미확인</t>
        </is>
      </c>
      <c r="AD482" s="17" t="inlineStr">
        <is>
          <t>Y</t>
        </is>
      </c>
      <c r="AE482" s="17" t="inlineStr">
        <is>
          <t>P048</t>
        </is>
      </c>
      <c r="AF482" s="17" t="inlineStr">
        <is>
          <t>경기도 김포시 통진읍 애기봉로681번길 81</t>
        </is>
      </c>
      <c r="AG482" s="17" t="inlineStr">
        <is>
          <t>완제의약품</t>
        </is>
      </c>
      <c r="AH482" s="17" t="inlineStr">
        <is>
          <t>비무균-일반제제(의료용 고압가스)-가스제(의료용 고압가스)</t>
        </is>
      </c>
      <c r="AI482" s="17" t="n">
        <v>1</v>
      </c>
      <c r="AJ482" s="24" t="n">
        <v>47217</v>
      </c>
      <c r="AK482" s="17" t="inlineStr"/>
      <c r="AL482" s="17" t="inlineStr"/>
      <c r="AM482" s="17" t="inlineStr">
        <is>
          <t>기본 문서관리 수요</t>
        </is>
      </c>
      <c r="AN482" s="17" t="inlineStr">
        <is>
          <t>미확인</t>
        </is>
      </c>
      <c r="AO482" s="17" t="inlineStr">
        <is>
          <t>미확인</t>
        </is>
      </c>
      <c r="AP482" s="17" t="inlineStr">
        <is>
          <t>미확인</t>
        </is>
      </c>
      <c r="AQ482" s="17" t="inlineStr">
        <is>
          <t>담당자 파악 후 접촉</t>
        </is>
      </c>
      <c r="AR482" s="17" t="inlineStr">
        <is>
          <t>2026-07-05</t>
        </is>
      </c>
      <c r="AS482" s="17" t="inlineStr">
        <is>
          <t>C(부분확인)</t>
        </is>
      </c>
      <c r="AT482" s="17" t="n">
        <v>90</v>
      </c>
      <c r="AU482" s="17" t="inlineStr"/>
      <c r="AV482" s="17" t="inlineStr"/>
    </row>
    <row r="483">
      <c r="A483" s="28" t="inlineStr">
        <is>
          <t>Tier D</t>
        </is>
      </c>
      <c r="B483" s="17" t="n">
        <v>5</v>
      </c>
      <c r="C483" s="17" t="inlineStr">
        <is>
          <t>주식회사케이에스제약</t>
        </is>
      </c>
      <c r="D483" s="17" t="inlineStr">
        <is>
          <t>주식회사케이에스제약</t>
        </is>
      </c>
      <c r="E483" s="17" t="inlineStr">
        <is>
          <t>전라남도</t>
        </is>
      </c>
      <c r="F483" s="17" t="inlineStr">
        <is>
          <t>화순군</t>
        </is>
      </c>
      <c r="G483" s="17" t="n">
        <v>1</v>
      </c>
      <c r="H483" s="17" t="inlineStr"/>
      <c r="I483" s="17" t="inlineStr"/>
      <c r="J483" s="17" t="inlineStr">
        <is>
          <t>Y</t>
        </is>
      </c>
      <c r="K483" s="17" t="inlineStr"/>
      <c r="L483" s="22" t="inlineStr">
        <is>
          <t>미확인</t>
        </is>
      </c>
      <c r="M483" s="22" t="inlineStr">
        <is>
          <t>미확인</t>
        </is>
      </c>
      <c r="N483" s="22" t="inlineStr">
        <is>
          <t>미확인</t>
        </is>
      </c>
      <c r="O483" s="22" t="inlineStr">
        <is>
          <t>미확인</t>
        </is>
      </c>
      <c r="P483" s="17" t="inlineStr">
        <is>
          <t>EDMS</t>
        </is>
      </c>
      <c r="Q483" s="22" t="inlineStr">
        <is>
          <t>미확인</t>
        </is>
      </c>
      <c r="R483" s="22" t="inlineStr">
        <is>
          <t>미확인</t>
        </is>
      </c>
      <c r="S483" s="17" t="inlineStr">
        <is>
          <t>Tier D</t>
        </is>
      </c>
      <c r="T483" s="17" t="n">
        <v>4</v>
      </c>
      <c r="U483" s="17" t="inlineStr">
        <is>
          <t>C118</t>
        </is>
      </c>
      <c r="V483" s="17" t="inlineStr">
        <is>
          <t>케이에스제약</t>
        </is>
      </c>
      <c r="W483" s="17" t="inlineStr"/>
      <c r="X483" s="17" t="inlineStr"/>
      <c r="Y483" s="23" t="inlineStr"/>
      <c r="Z483" s="17" t="inlineStr">
        <is>
          <t>박기송</t>
        </is>
      </c>
      <c r="AA483" s="17" t="inlineStr"/>
      <c r="AB483" s="17" t="inlineStr">
        <is>
          <t>미확인</t>
        </is>
      </c>
      <c r="AC483" s="17" t="inlineStr">
        <is>
          <t>미확인</t>
        </is>
      </c>
      <c r="AD483" s="17" t="inlineStr">
        <is>
          <t>Y</t>
        </is>
      </c>
      <c r="AE483" s="17" t="inlineStr">
        <is>
          <t>P124</t>
        </is>
      </c>
      <c r="AF483" s="17" t="inlineStr">
        <is>
          <t>전라남도 화순군 화순읍 산단길 126</t>
        </is>
      </c>
      <c r="AG483" s="17" t="inlineStr">
        <is>
          <t>완제의약품</t>
        </is>
      </c>
      <c r="AH483" s="17" t="inlineStr">
        <is>
          <t>비무균-일반제제-내용고형제(정제)</t>
        </is>
      </c>
      <c r="AI483" s="17" t="n">
        <v>1</v>
      </c>
      <c r="AJ483" s="24" t="n">
        <v>47039</v>
      </c>
      <c r="AK483" s="17" t="inlineStr"/>
      <c r="AL483" s="17" t="inlineStr"/>
      <c r="AM483" s="17" t="inlineStr">
        <is>
          <t>기본 문서관리 수요</t>
        </is>
      </c>
      <c r="AN483" s="17" t="inlineStr">
        <is>
          <t>미확인</t>
        </is>
      </c>
      <c r="AO483" s="17" t="inlineStr">
        <is>
          <t>미확인</t>
        </is>
      </c>
      <c r="AP483" s="17" t="inlineStr">
        <is>
          <t>미확인</t>
        </is>
      </c>
      <c r="AQ483" s="17" t="inlineStr">
        <is>
          <t>담당자 파악 후 접촉</t>
        </is>
      </c>
      <c r="AR483" s="17" t="inlineStr">
        <is>
          <t>2026-07-05</t>
        </is>
      </c>
      <c r="AS483" s="17" t="inlineStr">
        <is>
          <t>C(부분확인)</t>
        </is>
      </c>
      <c r="AT483" s="17" t="n">
        <v>90</v>
      </c>
      <c r="AU483" s="17" t="inlineStr"/>
      <c r="AV483" s="17" t="inlineStr"/>
    </row>
    <row r="484">
      <c r="A484" s="28" t="inlineStr">
        <is>
          <t>Tier D</t>
        </is>
      </c>
      <c r="B484" s="17" t="n">
        <v>5</v>
      </c>
      <c r="C484" s="17" t="inlineStr">
        <is>
          <t>주식회사큐엘파마</t>
        </is>
      </c>
      <c r="D484" s="17" t="inlineStr">
        <is>
          <t>주식회사큐엘파마</t>
        </is>
      </c>
      <c r="E484" s="17" t="inlineStr">
        <is>
          <t>충청북도</t>
        </is>
      </c>
      <c r="F484" s="17" t="inlineStr">
        <is>
          <t>충주시</t>
        </is>
      </c>
      <c r="G484" s="17" t="n">
        <v>1</v>
      </c>
      <c r="H484" s="17" t="inlineStr"/>
      <c r="I484" s="17" t="inlineStr"/>
      <c r="J484" s="17" t="inlineStr">
        <is>
          <t>Y</t>
        </is>
      </c>
      <c r="K484" s="17" t="inlineStr"/>
      <c r="L484" s="22" t="inlineStr">
        <is>
          <t>미확인</t>
        </is>
      </c>
      <c r="M484" s="22" t="inlineStr">
        <is>
          <t>미확인</t>
        </is>
      </c>
      <c r="N484" s="22" t="inlineStr">
        <is>
          <t>미확인</t>
        </is>
      </c>
      <c r="O484" s="22" t="inlineStr">
        <is>
          <t>미확인</t>
        </is>
      </c>
      <c r="P484" s="17" t="inlineStr">
        <is>
          <t>EDMS</t>
        </is>
      </c>
      <c r="Q484" s="22" t="inlineStr">
        <is>
          <t>미확인</t>
        </is>
      </c>
      <c r="R484" s="22" t="inlineStr">
        <is>
          <t>미확인</t>
        </is>
      </c>
      <c r="S484" s="17" t="inlineStr">
        <is>
          <t>Tier D</t>
        </is>
      </c>
      <c r="T484" s="17" t="n">
        <v>4</v>
      </c>
      <c r="U484" s="17" t="inlineStr">
        <is>
          <t>C245</t>
        </is>
      </c>
      <c r="V484" s="17" t="inlineStr">
        <is>
          <t>큐엘파마</t>
        </is>
      </c>
      <c r="W484" s="17" t="inlineStr"/>
      <c r="X484" s="17" t="inlineStr"/>
      <c r="Y484" s="23" t="inlineStr"/>
      <c r="Z484" s="17" t="inlineStr">
        <is>
          <t>이승하</t>
        </is>
      </c>
      <c r="AA484" s="17" t="inlineStr"/>
      <c r="AB484" s="17" t="inlineStr">
        <is>
          <t>070-8858-7353</t>
        </is>
      </c>
      <c r="AC484" s="17" t="inlineStr">
        <is>
          <t>미확인</t>
        </is>
      </c>
      <c r="AD484" s="17" t="inlineStr">
        <is>
          <t>Y</t>
        </is>
      </c>
      <c r="AE484" s="17" t="inlineStr">
        <is>
          <t>P283</t>
        </is>
      </c>
      <c r="AF484" s="17" t="inlineStr">
        <is>
          <t>충청북도 충주시 충주산단7로 53</t>
        </is>
      </c>
      <c r="AG484" s="17" t="inlineStr">
        <is>
          <t>완제의약품</t>
        </is>
      </c>
      <c r="AH484" s="17" t="inlineStr">
        <is>
          <t>비무균-일반제제-내용고형제(정제)</t>
        </is>
      </c>
      <c r="AI484" s="17" t="n">
        <v>1</v>
      </c>
      <c r="AJ484" s="24" t="n">
        <v>46815</v>
      </c>
      <c r="AK484" s="17" t="inlineStr"/>
      <c r="AL484" s="17" t="inlineStr"/>
      <c r="AM484" s="17" t="inlineStr">
        <is>
          <t>기본 문서관리 수요</t>
        </is>
      </c>
      <c r="AN484" s="17" t="inlineStr">
        <is>
          <t>미확인</t>
        </is>
      </c>
      <c r="AO484" s="17" t="inlineStr">
        <is>
          <t>미확인</t>
        </is>
      </c>
      <c r="AP484" s="17" t="inlineStr">
        <is>
          <t>미확인</t>
        </is>
      </c>
      <c r="AQ484" s="17" t="inlineStr">
        <is>
          <t>담당자 파악 후 접촉</t>
        </is>
      </c>
      <c r="AR484" s="17" t="inlineStr">
        <is>
          <t>2026-07-05</t>
        </is>
      </c>
      <c r="AS484" s="17" t="inlineStr">
        <is>
          <t>C(부분확인)</t>
        </is>
      </c>
      <c r="AT484" s="17" t="n">
        <v>90</v>
      </c>
      <c r="AU484" s="17" t="inlineStr"/>
      <c r="AV484" s="17" t="inlineStr"/>
    </row>
    <row r="485">
      <c r="A485" s="28" t="inlineStr">
        <is>
          <t>Tier D</t>
        </is>
      </c>
      <c r="B485" s="17" t="n">
        <v>5</v>
      </c>
      <c r="C485" s="17" t="inlineStr">
        <is>
          <t>중부산업가스(주)</t>
        </is>
      </c>
      <c r="D485" s="17" t="inlineStr">
        <is>
          <t>청원</t>
        </is>
      </c>
      <c r="E485" s="17" t="inlineStr">
        <is>
          <t>세종특별자치시</t>
        </is>
      </c>
      <c r="F485" s="17" t="inlineStr">
        <is>
          <t>세종특별자치시</t>
        </is>
      </c>
      <c r="G485" s="17" t="n">
        <v>1</v>
      </c>
      <c r="H485" s="17" t="inlineStr"/>
      <c r="I485" s="17" t="inlineStr"/>
      <c r="J485" s="17" t="inlineStr">
        <is>
          <t>Y</t>
        </is>
      </c>
      <c r="K485" s="17" t="inlineStr"/>
      <c r="L485" s="22" t="inlineStr">
        <is>
          <t>미확인</t>
        </is>
      </c>
      <c r="M485" s="22" t="inlineStr">
        <is>
          <t>미확인</t>
        </is>
      </c>
      <c r="N485" s="22" t="inlineStr">
        <is>
          <t>미확인</t>
        </is>
      </c>
      <c r="O485" s="22" t="inlineStr">
        <is>
          <t>미확인</t>
        </is>
      </c>
      <c r="P485" s="17" t="inlineStr">
        <is>
          <t>EDMS</t>
        </is>
      </c>
      <c r="Q485" s="22" t="inlineStr">
        <is>
          <t>미확인</t>
        </is>
      </c>
      <c r="R485" s="22" t="inlineStr">
        <is>
          <t>미확인</t>
        </is>
      </c>
      <c r="S485" s="17" t="inlineStr">
        <is>
          <t>Tier D</t>
        </is>
      </c>
      <c r="T485" s="17" t="n">
        <v>4</v>
      </c>
      <c r="U485" s="17" t="inlineStr">
        <is>
          <t>C168</t>
        </is>
      </c>
      <c r="V485" s="17" t="inlineStr">
        <is>
          <t>중부산업가스</t>
        </is>
      </c>
      <c r="W485" s="17" t="inlineStr"/>
      <c r="X485" s="17" t="inlineStr"/>
      <c r="Y485" s="23" t="inlineStr"/>
      <c r="Z485" s="17" t="inlineStr">
        <is>
          <t>김장수</t>
        </is>
      </c>
      <c r="AA485" s="17" t="inlineStr"/>
      <c r="AB485" s="17" t="inlineStr">
        <is>
          <t>044-2752-3878</t>
        </is>
      </c>
      <c r="AC485" s="17" t="inlineStr">
        <is>
          <t>미확인</t>
        </is>
      </c>
      <c r="AD485" s="17" t="inlineStr">
        <is>
          <t>Y</t>
        </is>
      </c>
      <c r="AE485" s="17" t="inlineStr">
        <is>
          <t>P181</t>
        </is>
      </c>
      <c r="AF485" s="17" t="inlineStr">
        <is>
          <t>세종특별자치시 부강면 시목부강로 622</t>
        </is>
      </c>
      <c r="AG485" s="17" t="inlineStr">
        <is>
          <t>완제의약품</t>
        </is>
      </c>
      <c r="AH485" s="17" t="inlineStr">
        <is>
          <t>비무균-일반제제(의료용 고압가스)-가스제(의료용 고압가스)</t>
        </is>
      </c>
      <c r="AI485" s="17" t="n">
        <v>1</v>
      </c>
      <c r="AJ485" s="24" t="n">
        <v>46944</v>
      </c>
      <c r="AK485" s="17" t="inlineStr"/>
      <c r="AL485" s="17" t="inlineStr"/>
      <c r="AM485" s="17" t="inlineStr">
        <is>
          <t>기본 문서관리 수요</t>
        </is>
      </c>
      <c r="AN485" s="17" t="inlineStr">
        <is>
          <t>미확인</t>
        </is>
      </c>
      <c r="AO485" s="17" t="inlineStr">
        <is>
          <t>미확인</t>
        </is>
      </c>
      <c r="AP485" s="17" t="inlineStr">
        <is>
          <t>미확인</t>
        </is>
      </c>
      <c r="AQ485" s="17" t="inlineStr">
        <is>
          <t>담당자 파악 후 접촉</t>
        </is>
      </c>
      <c r="AR485" s="17" t="inlineStr">
        <is>
          <t>2026-07-05</t>
        </is>
      </c>
      <c r="AS485" s="17" t="inlineStr">
        <is>
          <t>C(부분확인)</t>
        </is>
      </c>
      <c r="AT485" s="17" t="n">
        <v>90</v>
      </c>
      <c r="AU485" s="17" t="inlineStr"/>
      <c r="AV485" s="17" t="inlineStr"/>
    </row>
    <row r="486">
      <c r="A486" s="28" t="inlineStr">
        <is>
          <t>Tier D</t>
        </is>
      </c>
      <c r="B486" s="17" t="n">
        <v>5</v>
      </c>
      <c r="C486" s="17" t="inlineStr">
        <is>
          <t>중앙산업가스(주)</t>
        </is>
      </c>
      <c r="D486" s="17" t="inlineStr">
        <is>
          <t>대덕</t>
        </is>
      </c>
      <c r="E486" s="17" t="inlineStr">
        <is>
          <t>대전광역시</t>
        </is>
      </c>
      <c r="F486" s="17" t="inlineStr">
        <is>
          <t>대덕구</t>
        </is>
      </c>
      <c r="G486" s="17" t="n">
        <v>1</v>
      </c>
      <c r="H486" s="17" t="inlineStr"/>
      <c r="I486" s="17" t="inlineStr"/>
      <c r="J486" s="17" t="inlineStr">
        <is>
          <t>Y</t>
        </is>
      </c>
      <c r="K486" s="17" t="inlineStr"/>
      <c r="L486" s="22" t="inlineStr">
        <is>
          <t>미확인</t>
        </is>
      </c>
      <c r="M486" s="22" t="inlineStr">
        <is>
          <t>미확인</t>
        </is>
      </c>
      <c r="N486" s="22" t="inlineStr">
        <is>
          <t>미확인</t>
        </is>
      </c>
      <c r="O486" s="22" t="inlineStr">
        <is>
          <t>미확인</t>
        </is>
      </c>
      <c r="P486" s="17" t="inlineStr">
        <is>
          <t>EDMS</t>
        </is>
      </c>
      <c r="Q486" s="22" t="inlineStr">
        <is>
          <t>미확인</t>
        </is>
      </c>
      <c r="R486" s="22" t="inlineStr">
        <is>
          <t>미확인</t>
        </is>
      </c>
      <c r="S486" s="17" t="inlineStr">
        <is>
          <t>Tier D</t>
        </is>
      </c>
      <c r="T486" s="17" t="n">
        <v>4</v>
      </c>
      <c r="U486" s="17" t="inlineStr">
        <is>
          <t>C262</t>
        </is>
      </c>
      <c r="V486" s="17" t="inlineStr">
        <is>
          <t>중앙산업가스</t>
        </is>
      </c>
      <c r="W486" s="17" t="inlineStr"/>
      <c r="X486" s="17" t="inlineStr"/>
      <c r="Y486" s="23" t="inlineStr"/>
      <c r="Z486" s="17" t="inlineStr">
        <is>
          <t>이종재</t>
        </is>
      </c>
      <c r="AA486" s="17" t="inlineStr"/>
      <c r="AB486" s="17" t="inlineStr">
        <is>
          <t>042-623-2201</t>
        </is>
      </c>
      <c r="AC486" s="17" t="inlineStr">
        <is>
          <t>미확인</t>
        </is>
      </c>
      <c r="AD486" s="17" t="inlineStr">
        <is>
          <t>Y</t>
        </is>
      </c>
      <c r="AE486" s="17" t="inlineStr">
        <is>
          <t>P307</t>
        </is>
      </c>
      <c r="AF486" s="17" t="inlineStr">
        <is>
          <t>대전광역시 대덕구 대전로 1331</t>
        </is>
      </c>
      <c r="AG486" s="17" t="inlineStr">
        <is>
          <t>완제의약품</t>
        </is>
      </c>
      <c r="AH486" s="17" t="inlineStr">
        <is>
          <t>비무균-일반제제-가스제(의료용 고압가스)</t>
        </is>
      </c>
      <c r="AI486" s="17" t="n">
        <v>1</v>
      </c>
      <c r="AJ486" s="24" t="n">
        <v>46778</v>
      </c>
      <c r="AK486" s="17" t="inlineStr"/>
      <c r="AL486" s="17" t="inlineStr"/>
      <c r="AM486" s="17" t="inlineStr">
        <is>
          <t>기본 문서관리 수요</t>
        </is>
      </c>
      <c r="AN486" s="17" t="inlineStr">
        <is>
          <t>미확인</t>
        </is>
      </c>
      <c r="AO486" s="17" t="inlineStr">
        <is>
          <t>미확인</t>
        </is>
      </c>
      <c r="AP486" s="17" t="inlineStr">
        <is>
          <t>미확인</t>
        </is>
      </c>
      <c r="AQ486" s="17" t="inlineStr">
        <is>
          <t>담당자 파악 후 접촉</t>
        </is>
      </c>
      <c r="AR486" s="17" t="inlineStr">
        <is>
          <t>2026-07-05</t>
        </is>
      </c>
      <c r="AS486" s="17" t="inlineStr">
        <is>
          <t>C(부분확인)</t>
        </is>
      </c>
      <c r="AT486" s="17" t="n">
        <v>90</v>
      </c>
      <c r="AU486" s="17" t="inlineStr"/>
      <c r="AV486" s="17" t="inlineStr"/>
    </row>
    <row r="487">
      <c r="A487" s="28" t="inlineStr">
        <is>
          <t>Tier D</t>
        </is>
      </c>
      <c r="B487" s="17" t="n">
        <v>5</v>
      </c>
      <c r="C487" s="17" t="inlineStr">
        <is>
          <t>천우신약(주)</t>
        </is>
      </c>
      <c r="D487" s="17" t="inlineStr">
        <is>
          <t>2공장</t>
        </is>
      </c>
      <c r="E487" s="17" t="inlineStr">
        <is>
          <t>충청북도</t>
        </is>
      </c>
      <c r="F487" s="17" t="inlineStr">
        <is>
          <t>음성군</t>
        </is>
      </c>
      <c r="G487" s="17" t="n">
        <v>1</v>
      </c>
      <c r="H487" s="17" t="inlineStr"/>
      <c r="I487" s="17" t="inlineStr"/>
      <c r="J487" s="17" t="inlineStr">
        <is>
          <t>Y</t>
        </is>
      </c>
      <c r="K487" s="17" t="inlineStr"/>
      <c r="L487" s="22" t="inlineStr">
        <is>
          <t>미확인</t>
        </is>
      </c>
      <c r="M487" s="22" t="inlineStr">
        <is>
          <t>미확인</t>
        </is>
      </c>
      <c r="N487" s="22" t="inlineStr">
        <is>
          <t>미확인</t>
        </is>
      </c>
      <c r="O487" s="22" t="inlineStr">
        <is>
          <t>미확인</t>
        </is>
      </c>
      <c r="P487" s="17" t="inlineStr">
        <is>
          <t>EDMS</t>
        </is>
      </c>
      <c r="Q487" s="22" t="inlineStr">
        <is>
          <t>미확인</t>
        </is>
      </c>
      <c r="R487" s="22" t="inlineStr">
        <is>
          <t>미확인</t>
        </is>
      </c>
      <c r="S487" s="17" t="inlineStr">
        <is>
          <t>Tier D</t>
        </is>
      </c>
      <c r="T487" s="17" t="n">
        <v>4</v>
      </c>
      <c r="U487" s="17" t="inlineStr">
        <is>
          <t>C205</t>
        </is>
      </c>
      <c r="V487" s="17" t="inlineStr">
        <is>
          <t>천우신약</t>
        </is>
      </c>
      <c r="W487" s="17" t="inlineStr"/>
      <c r="X487" s="17" t="inlineStr"/>
      <c r="Y487" s="23" t="inlineStr"/>
      <c r="Z487" s="17" t="inlineStr">
        <is>
          <t>유성준</t>
        </is>
      </c>
      <c r="AA487" s="17" t="inlineStr"/>
      <c r="AB487" s="17" t="inlineStr">
        <is>
          <t>070-4618-5862</t>
        </is>
      </c>
      <c r="AC487" s="17" t="inlineStr">
        <is>
          <t>미확인</t>
        </is>
      </c>
      <c r="AD487" s="17" t="inlineStr">
        <is>
          <t>Y</t>
        </is>
      </c>
      <c r="AE487" s="17" t="inlineStr">
        <is>
          <t>P222</t>
        </is>
      </c>
      <c r="AF487" s="17" t="inlineStr">
        <is>
          <t>충청북도 음성군 삼성면 청용로365번길 2-1</t>
        </is>
      </c>
      <c r="AG487" s="17" t="inlineStr">
        <is>
          <t>완제의약품</t>
        </is>
      </c>
      <c r="AH487" s="17" t="inlineStr">
        <is>
          <t>비무균-일반제제-첩부제(첩부제)</t>
        </is>
      </c>
      <c r="AI487" s="17" t="n">
        <v>1</v>
      </c>
      <c r="AJ487" s="24" t="n">
        <v>46885</v>
      </c>
      <c r="AK487" s="17" t="inlineStr"/>
      <c r="AL487" s="17" t="inlineStr"/>
      <c r="AM487" s="17" t="inlineStr">
        <is>
          <t>기본 문서관리 수요</t>
        </is>
      </c>
      <c r="AN487" s="17" t="inlineStr">
        <is>
          <t>미확인</t>
        </is>
      </c>
      <c r="AO487" s="17" t="inlineStr">
        <is>
          <t>미확인</t>
        </is>
      </c>
      <c r="AP487" s="17" t="inlineStr">
        <is>
          <t>미확인</t>
        </is>
      </c>
      <c r="AQ487" s="17" t="inlineStr">
        <is>
          <t>담당자 파악 후 접촉</t>
        </is>
      </c>
      <c r="AR487" s="17" t="inlineStr">
        <is>
          <t>2026-07-05</t>
        </is>
      </c>
      <c r="AS487" s="17" t="inlineStr">
        <is>
          <t>C(부분확인)</t>
        </is>
      </c>
      <c r="AT487" s="17" t="n">
        <v>90</v>
      </c>
      <c r="AU487" s="17" t="inlineStr"/>
      <c r="AV487" s="17" t="inlineStr"/>
    </row>
    <row r="488">
      <c r="A488" s="28" t="inlineStr">
        <is>
          <t>Tier D</t>
        </is>
      </c>
      <c r="B488" s="17" t="n">
        <v>5</v>
      </c>
      <c r="C488" s="17" t="inlineStr">
        <is>
          <t>초당약품공업(주)</t>
        </is>
      </c>
      <c r="D488" s="17" t="inlineStr">
        <is>
          <t>안산</t>
        </is>
      </c>
      <c r="E488" s="17" t="inlineStr">
        <is>
          <t>경기도</t>
        </is>
      </c>
      <c r="F488" s="17" t="inlineStr">
        <is>
          <t>안산시</t>
        </is>
      </c>
      <c r="G488" s="17" t="n">
        <v>1</v>
      </c>
      <c r="H488" s="17" t="inlineStr"/>
      <c r="I488" s="17" t="inlineStr"/>
      <c r="J488" s="17" t="inlineStr">
        <is>
          <t>Y</t>
        </is>
      </c>
      <c r="K488" s="17" t="inlineStr"/>
      <c r="L488" s="22" t="inlineStr">
        <is>
          <t>미확인</t>
        </is>
      </c>
      <c r="M488" s="22" t="inlineStr">
        <is>
          <t>미확인</t>
        </is>
      </c>
      <c r="N488" s="22" t="inlineStr">
        <is>
          <t>미확인</t>
        </is>
      </c>
      <c r="O488" s="22" t="inlineStr">
        <is>
          <t>미확인</t>
        </is>
      </c>
      <c r="P488" s="17" t="inlineStr">
        <is>
          <t>EDMS</t>
        </is>
      </c>
      <c r="Q488" s="22" t="inlineStr">
        <is>
          <t>미확인</t>
        </is>
      </c>
      <c r="R488" s="22" t="inlineStr">
        <is>
          <t>미확인</t>
        </is>
      </c>
      <c r="S488" s="17" t="inlineStr">
        <is>
          <t>Tier D</t>
        </is>
      </c>
      <c r="T488" s="17" t="n">
        <v>4</v>
      </c>
      <c r="U488" s="17" t="inlineStr">
        <is>
          <t>C154</t>
        </is>
      </c>
      <c r="V488" s="17" t="inlineStr">
        <is>
          <t>초당약품공업</t>
        </is>
      </c>
      <c r="W488" s="17" t="inlineStr"/>
      <c r="X488" s="17" t="inlineStr"/>
      <c r="Y488" s="23" t="inlineStr"/>
      <c r="Z488" s="17" t="inlineStr">
        <is>
          <t>김우석</t>
        </is>
      </c>
      <c r="AA488" s="17" t="inlineStr"/>
      <c r="AB488" s="17" t="inlineStr">
        <is>
          <t>02-869-0181</t>
        </is>
      </c>
      <c r="AC488" s="17" t="inlineStr">
        <is>
          <t>미확인</t>
        </is>
      </c>
      <c r="AD488" s="17" t="inlineStr">
        <is>
          <t>Y</t>
        </is>
      </c>
      <c r="AE488" s="17" t="inlineStr">
        <is>
          <t>P165</t>
        </is>
      </c>
      <c r="AF488" s="17" t="inlineStr">
        <is>
          <t>경기도 안산시 단원구 별망로 381</t>
        </is>
      </c>
      <c r="AG488" s="17" t="inlineStr">
        <is>
          <t>완제의약품</t>
        </is>
      </c>
      <c r="AH488" s="17" t="inlineStr">
        <is>
          <t>비무균-일반제제-내용고형제(정제, 캡슐제)</t>
        </is>
      </c>
      <c r="AI488" s="17" t="n">
        <v>1</v>
      </c>
      <c r="AJ488" s="24" t="n">
        <v>46956</v>
      </c>
      <c r="AK488" s="17" t="inlineStr"/>
      <c r="AL488" s="17" t="inlineStr"/>
      <c r="AM488" s="17" t="inlineStr">
        <is>
          <t>기본 문서관리 수요</t>
        </is>
      </c>
      <c r="AN488" s="17" t="inlineStr">
        <is>
          <t>미확인</t>
        </is>
      </c>
      <c r="AO488" s="17" t="inlineStr">
        <is>
          <t>미확인</t>
        </is>
      </c>
      <c r="AP488" s="17" t="inlineStr">
        <is>
          <t>미확인</t>
        </is>
      </c>
      <c r="AQ488" s="17" t="inlineStr">
        <is>
          <t>담당자 파악 후 접촉</t>
        </is>
      </c>
      <c r="AR488" s="17" t="inlineStr">
        <is>
          <t>2026-07-05</t>
        </is>
      </c>
      <c r="AS488" s="17" t="inlineStr">
        <is>
          <t>C(부분확인)</t>
        </is>
      </c>
      <c r="AT488" s="17" t="n">
        <v>90</v>
      </c>
      <c r="AU488" s="17" t="inlineStr"/>
      <c r="AV488" s="17" t="inlineStr"/>
    </row>
    <row r="489">
      <c r="A489" s="28" t="inlineStr">
        <is>
          <t>Tier D</t>
        </is>
      </c>
      <c r="B489" s="17" t="n">
        <v>5</v>
      </c>
      <c r="C489" s="17" t="inlineStr">
        <is>
          <t>춘천종합가스</t>
        </is>
      </c>
      <c r="D489" s="17" t="inlineStr">
        <is>
          <t>춘천종합가스</t>
        </is>
      </c>
      <c r="E489" s="17" t="inlineStr">
        <is>
          <t>강원특별자치도</t>
        </is>
      </c>
      <c r="F489" s="17" t="inlineStr">
        <is>
          <t>춘천시</t>
        </is>
      </c>
      <c r="G489" s="17" t="n">
        <v>1</v>
      </c>
      <c r="H489" s="17" t="inlineStr"/>
      <c r="I489" s="17" t="inlineStr"/>
      <c r="J489" s="17" t="inlineStr">
        <is>
          <t>Y</t>
        </is>
      </c>
      <c r="K489" s="17" t="inlineStr"/>
      <c r="L489" s="22" t="inlineStr">
        <is>
          <t>미확인</t>
        </is>
      </c>
      <c r="M489" s="22" t="inlineStr">
        <is>
          <t>미확인</t>
        </is>
      </c>
      <c r="N489" s="22" t="inlineStr">
        <is>
          <t>미확인</t>
        </is>
      </c>
      <c r="O489" s="22" t="inlineStr">
        <is>
          <t>미확인</t>
        </is>
      </c>
      <c r="P489" s="17" t="inlineStr">
        <is>
          <t>EDMS</t>
        </is>
      </c>
      <c r="Q489" s="22" t="inlineStr">
        <is>
          <t>미확인</t>
        </is>
      </c>
      <c r="R489" s="22" t="inlineStr">
        <is>
          <t>미확인</t>
        </is>
      </c>
      <c r="S489" s="17" t="inlineStr">
        <is>
          <t>Tier D</t>
        </is>
      </c>
      <c r="T489" s="17" t="n">
        <v>4</v>
      </c>
      <c r="U489" s="17" t="inlineStr">
        <is>
          <t>C065</t>
        </is>
      </c>
      <c r="V489" s="17" t="inlineStr">
        <is>
          <t>춘천종합가스</t>
        </is>
      </c>
      <c r="W489" s="17" t="inlineStr"/>
      <c r="X489" s="17" t="inlineStr"/>
      <c r="Y489" s="23" t="inlineStr"/>
      <c r="Z489" s="17" t="inlineStr">
        <is>
          <t>한천석</t>
        </is>
      </c>
      <c r="AA489" s="17" t="inlineStr"/>
      <c r="AB489" s="17" t="inlineStr">
        <is>
          <t>033-262-3849</t>
        </is>
      </c>
      <c r="AC489" s="17" t="inlineStr">
        <is>
          <t>미확인</t>
        </is>
      </c>
      <c r="AD489" s="17" t="inlineStr">
        <is>
          <t>Y</t>
        </is>
      </c>
      <c r="AE489" s="17" t="inlineStr">
        <is>
          <t>P067</t>
        </is>
      </c>
      <c r="AF489" s="17" t="inlineStr">
        <is>
          <t>강원특별자치도 춘천시 동산면 영서로 1266</t>
        </is>
      </c>
      <c r="AG489" s="17" t="inlineStr">
        <is>
          <t>완제의약품</t>
        </is>
      </c>
      <c r="AH489" s="17" t="inlineStr">
        <is>
          <t>비무균-일반제제(의료용 고압가스)-가스제(의료용 고압가스)</t>
        </is>
      </c>
      <c r="AI489" s="17" t="n">
        <v>1</v>
      </c>
      <c r="AJ489" s="24" t="n">
        <v>47172</v>
      </c>
      <c r="AK489" s="17" t="inlineStr"/>
      <c r="AL489" s="17" t="inlineStr"/>
      <c r="AM489" s="17" t="inlineStr">
        <is>
          <t>기본 문서관리 수요</t>
        </is>
      </c>
      <c r="AN489" s="17" t="inlineStr">
        <is>
          <t>미확인</t>
        </is>
      </c>
      <c r="AO489" s="17" t="inlineStr">
        <is>
          <t>미확인</t>
        </is>
      </c>
      <c r="AP489" s="17" t="inlineStr">
        <is>
          <t>미확인</t>
        </is>
      </c>
      <c r="AQ489" s="17" t="inlineStr">
        <is>
          <t>담당자 파악 후 접촉</t>
        </is>
      </c>
      <c r="AR489" s="17" t="inlineStr">
        <is>
          <t>2026-07-05</t>
        </is>
      </c>
      <c r="AS489" s="17" t="inlineStr">
        <is>
          <t>C(부분확인)</t>
        </is>
      </c>
      <c r="AT489" s="17" t="n">
        <v>90</v>
      </c>
      <c r="AU489" s="17" t="inlineStr"/>
      <c r="AV489" s="17" t="inlineStr"/>
    </row>
    <row r="490">
      <c r="A490" s="28" t="inlineStr">
        <is>
          <t>Tier D</t>
        </is>
      </c>
      <c r="B490" s="17" t="n">
        <v>5</v>
      </c>
      <c r="C490" s="17" t="inlineStr">
        <is>
          <t>케이엠에스제약(주)</t>
        </is>
      </c>
      <c r="D490" s="17" t="inlineStr">
        <is>
          <t>수원</t>
        </is>
      </c>
      <c r="E490" s="17" t="inlineStr">
        <is>
          <t>경기도</t>
        </is>
      </c>
      <c r="F490" s="17" t="inlineStr">
        <is>
          <t>수원시</t>
        </is>
      </c>
      <c r="G490" s="17" t="n">
        <v>1</v>
      </c>
      <c r="H490" s="17" t="inlineStr"/>
      <c r="I490" s="17" t="inlineStr"/>
      <c r="J490" s="17" t="inlineStr">
        <is>
          <t>Y</t>
        </is>
      </c>
      <c r="K490" s="17" t="inlineStr"/>
      <c r="L490" s="22" t="inlineStr">
        <is>
          <t>미확인</t>
        </is>
      </c>
      <c r="M490" s="22" t="inlineStr">
        <is>
          <t>미확인</t>
        </is>
      </c>
      <c r="N490" s="22" t="inlineStr">
        <is>
          <t>미확인</t>
        </is>
      </c>
      <c r="O490" s="22" t="inlineStr">
        <is>
          <t>미확인</t>
        </is>
      </c>
      <c r="P490" s="17" t="inlineStr">
        <is>
          <t>EDMS</t>
        </is>
      </c>
      <c r="Q490" s="22" t="inlineStr">
        <is>
          <t>미확인</t>
        </is>
      </c>
      <c r="R490" s="22" t="inlineStr">
        <is>
          <t>미확인</t>
        </is>
      </c>
      <c r="S490" s="17" t="inlineStr">
        <is>
          <t>Tier D</t>
        </is>
      </c>
      <c r="T490" s="17" t="n">
        <v>4</v>
      </c>
      <c r="U490" s="17" t="inlineStr">
        <is>
          <t>C295</t>
        </is>
      </c>
      <c r="V490" s="17" t="inlineStr">
        <is>
          <t>케이엠에스제약</t>
        </is>
      </c>
      <c r="W490" s="17" t="inlineStr"/>
      <c r="X490" s="17" t="inlineStr"/>
      <c r="Y490" s="23" t="inlineStr"/>
      <c r="Z490" s="17" t="inlineStr">
        <is>
          <t>이승우</t>
        </is>
      </c>
      <c r="AA490" s="17" t="inlineStr"/>
      <c r="AB490" s="17" t="inlineStr">
        <is>
          <t>031-215-5456</t>
        </is>
      </c>
      <c r="AC490" s="17" t="inlineStr">
        <is>
          <t>미확인</t>
        </is>
      </c>
      <c r="AD490" s="17" t="inlineStr">
        <is>
          <t>Y</t>
        </is>
      </c>
      <c r="AE490" s="17" t="inlineStr">
        <is>
          <t>P355</t>
        </is>
      </c>
      <c r="AF490" s="17" t="inlineStr">
        <is>
          <t>경기도 수원시 영통구 신원로 236</t>
        </is>
      </c>
      <c r="AG490" s="17" t="inlineStr">
        <is>
          <t>완제의약품</t>
        </is>
      </c>
      <c r="AH490" s="17" t="inlineStr">
        <is>
          <t>비무균-일반제제-내용고형제(정제)</t>
        </is>
      </c>
      <c r="AI490" s="17" t="n">
        <v>1</v>
      </c>
      <c r="AJ490" s="24" t="n">
        <v>46585</v>
      </c>
      <c r="AK490" s="17" t="inlineStr"/>
      <c r="AL490" s="17" t="inlineStr"/>
      <c r="AM490" s="17" t="inlineStr">
        <is>
          <t>기본 문서관리 수요</t>
        </is>
      </c>
      <c r="AN490" s="17" t="inlineStr">
        <is>
          <t>미확인</t>
        </is>
      </c>
      <c r="AO490" s="17" t="inlineStr">
        <is>
          <t>미확인</t>
        </is>
      </c>
      <c r="AP490" s="17" t="inlineStr">
        <is>
          <t>미확인</t>
        </is>
      </c>
      <c r="AQ490" s="17" t="inlineStr">
        <is>
          <t>담당자 파악 후 접촉</t>
        </is>
      </c>
      <c r="AR490" s="17" t="inlineStr">
        <is>
          <t>2026-07-05</t>
        </is>
      </c>
      <c r="AS490" s="17" t="inlineStr">
        <is>
          <t>C(부분확인)</t>
        </is>
      </c>
      <c r="AT490" s="17" t="n">
        <v>90</v>
      </c>
      <c r="AU490" s="17" t="inlineStr"/>
      <c r="AV490" s="17" t="inlineStr"/>
    </row>
    <row r="491">
      <c r="A491" s="28" t="inlineStr">
        <is>
          <t>Tier D</t>
        </is>
      </c>
      <c r="B491" s="17" t="n">
        <v>5</v>
      </c>
      <c r="C491" s="17" t="inlineStr">
        <is>
          <t>태경에코(주)</t>
        </is>
      </c>
      <c r="D491" s="17" t="inlineStr">
        <is>
          <t>미확인</t>
        </is>
      </c>
      <c r="E491" s="17" t="inlineStr">
        <is>
          <t>경기도</t>
        </is>
      </c>
      <c r="F491" s="17" t="inlineStr">
        <is>
          <t>안산시</t>
        </is>
      </c>
      <c r="G491" s="17" t="n">
        <v>1</v>
      </c>
      <c r="H491" s="17" t="inlineStr"/>
      <c r="I491" s="17" t="inlineStr"/>
      <c r="J491" s="17" t="inlineStr">
        <is>
          <t>Y</t>
        </is>
      </c>
      <c r="K491" s="17" t="inlineStr"/>
      <c r="L491" s="22" t="inlineStr">
        <is>
          <t>미확인</t>
        </is>
      </c>
      <c r="M491" s="22" t="inlineStr">
        <is>
          <t>미확인</t>
        </is>
      </c>
      <c r="N491" s="22" t="inlineStr">
        <is>
          <t>미확인</t>
        </is>
      </c>
      <c r="O491" s="22" t="inlineStr">
        <is>
          <t>미확인</t>
        </is>
      </c>
      <c r="P491" s="17" t="inlineStr">
        <is>
          <t>EDMS</t>
        </is>
      </c>
      <c r="Q491" s="22" t="inlineStr">
        <is>
          <t>미확인</t>
        </is>
      </c>
      <c r="R491" s="22" t="inlineStr">
        <is>
          <t>미확인</t>
        </is>
      </c>
      <c r="S491" s="17" t="inlineStr">
        <is>
          <t>Tier D</t>
        </is>
      </c>
      <c r="T491" s="17" t="n">
        <v>4</v>
      </c>
      <c r="U491" s="17" t="inlineStr">
        <is>
          <t>C147</t>
        </is>
      </c>
      <c r="V491" s="17" t="inlineStr">
        <is>
          <t>태경에코</t>
        </is>
      </c>
      <c r="W491" s="17" t="inlineStr"/>
      <c r="X491" s="17" t="inlineStr"/>
      <c r="Y491" s="23" t="inlineStr"/>
      <c r="Z491" s="17" t="inlineStr">
        <is>
          <t>김민정</t>
        </is>
      </c>
      <c r="AA491" s="17" t="inlineStr"/>
      <c r="AB491" s="17" t="inlineStr">
        <is>
          <t>미확인</t>
        </is>
      </c>
      <c r="AC491" s="17" t="inlineStr">
        <is>
          <t>미확인</t>
        </is>
      </c>
      <c r="AD491" s="17" t="inlineStr">
        <is>
          <t>Y</t>
        </is>
      </c>
      <c r="AE491" s="17" t="inlineStr">
        <is>
          <t>P157</t>
        </is>
      </c>
      <c r="AF491" s="17" t="inlineStr">
        <is>
          <t>경기도 안산시 단원구 동산로27번길 86-6</t>
        </is>
      </c>
      <c r="AG491" s="17" t="inlineStr">
        <is>
          <t>완제의약품</t>
        </is>
      </c>
      <c r="AH491" s="17" t="inlineStr">
        <is>
          <t>비무균-일반제제(의료용 고압가스)-가스제(의료용 고압가스)</t>
        </is>
      </c>
      <c r="AI491" s="17" t="n">
        <v>1</v>
      </c>
      <c r="AJ491" s="24" t="n">
        <v>46975</v>
      </c>
      <c r="AK491" s="17" t="inlineStr"/>
      <c r="AL491" s="17" t="inlineStr"/>
      <c r="AM491" s="17" t="inlineStr">
        <is>
          <t>기본 문서관리 수요</t>
        </is>
      </c>
      <c r="AN491" s="17" t="inlineStr">
        <is>
          <t>미확인</t>
        </is>
      </c>
      <c r="AO491" s="17" t="inlineStr">
        <is>
          <t>미확인</t>
        </is>
      </c>
      <c r="AP491" s="17" t="inlineStr">
        <is>
          <t>미확인</t>
        </is>
      </c>
      <c r="AQ491" s="17" t="inlineStr">
        <is>
          <t>담당자 파악 후 접촉</t>
        </is>
      </c>
      <c r="AR491" s="17" t="inlineStr">
        <is>
          <t>2026-07-05</t>
        </is>
      </c>
      <c r="AS491" s="17" t="inlineStr">
        <is>
          <t>C(부분확인)</t>
        </is>
      </c>
      <c r="AT491" s="17" t="n">
        <v>0</v>
      </c>
      <c r="AU491" s="17" t="inlineStr">
        <is>
          <t>Y</t>
        </is>
      </c>
      <c r="AV491" s="17" t="inlineStr"/>
    </row>
    <row r="492">
      <c r="A492" s="28" t="inlineStr">
        <is>
          <t>Tier D</t>
        </is>
      </c>
      <c r="B492" s="17" t="n">
        <v>5</v>
      </c>
      <c r="C492" s="17" t="inlineStr">
        <is>
          <t>태을산업가스(주)</t>
        </is>
      </c>
      <c r="D492" s="17" t="inlineStr">
        <is>
          <t>미확인</t>
        </is>
      </c>
      <c r="E492" s="17" t="inlineStr">
        <is>
          <t>충청남도</t>
        </is>
      </c>
      <c r="F492" s="17" t="inlineStr">
        <is>
          <t>아산시</t>
        </is>
      </c>
      <c r="G492" s="17" t="n">
        <v>1</v>
      </c>
      <c r="H492" s="17" t="inlineStr"/>
      <c r="I492" s="17" t="inlineStr"/>
      <c r="J492" s="17" t="inlineStr">
        <is>
          <t>Y</t>
        </is>
      </c>
      <c r="K492" s="17" t="inlineStr"/>
      <c r="L492" s="22" t="inlineStr">
        <is>
          <t>미확인</t>
        </is>
      </c>
      <c r="M492" s="22" t="inlineStr">
        <is>
          <t>미확인</t>
        </is>
      </c>
      <c r="N492" s="22" t="inlineStr">
        <is>
          <t>미확인</t>
        </is>
      </c>
      <c r="O492" s="22" t="inlineStr">
        <is>
          <t>미확인</t>
        </is>
      </c>
      <c r="P492" s="17" t="inlineStr">
        <is>
          <t>EDMS</t>
        </is>
      </c>
      <c r="Q492" s="22" t="inlineStr">
        <is>
          <t>미확인</t>
        </is>
      </c>
      <c r="R492" s="22" t="inlineStr">
        <is>
          <t>미확인</t>
        </is>
      </c>
      <c r="S492" s="17" t="inlineStr">
        <is>
          <t>Tier D</t>
        </is>
      </c>
      <c r="T492" s="17" t="n">
        <v>4</v>
      </c>
      <c r="U492" s="17" t="inlineStr">
        <is>
          <t>C166</t>
        </is>
      </c>
      <c r="V492" s="17" t="inlineStr">
        <is>
          <t>태을산업가스</t>
        </is>
      </c>
      <c r="W492" s="17" t="inlineStr"/>
      <c r="X492" s="17" t="inlineStr"/>
      <c r="Y492" s="23" t="inlineStr"/>
      <c r="Z492" s="17" t="inlineStr">
        <is>
          <t>황국성</t>
        </is>
      </c>
      <c r="AA492" s="17" t="inlineStr"/>
      <c r="AB492" s="17" t="inlineStr">
        <is>
          <t>미확인</t>
        </is>
      </c>
      <c r="AC492" s="17" t="inlineStr">
        <is>
          <t>미확인</t>
        </is>
      </c>
      <c r="AD492" s="17" t="inlineStr">
        <is>
          <t>Y</t>
        </is>
      </c>
      <c r="AE492" s="17" t="inlineStr">
        <is>
          <t>P179</t>
        </is>
      </c>
      <c r="AF492" s="17" t="inlineStr">
        <is>
          <t>충청남도 아산시 영인면 영인산로 494</t>
        </is>
      </c>
      <c r="AG492" s="17" t="inlineStr">
        <is>
          <t>완제의약품</t>
        </is>
      </c>
      <c r="AH492" s="17" t="inlineStr">
        <is>
          <t>비무균-일반제제(의료용 고압가스)-가스제(의료용 고압가스)</t>
        </is>
      </c>
      <c r="AI492" s="17" t="n">
        <v>1</v>
      </c>
      <c r="AJ492" s="24" t="n">
        <v>46946</v>
      </c>
      <c r="AK492" s="17" t="inlineStr"/>
      <c r="AL492" s="17" t="inlineStr"/>
      <c r="AM492" s="17" t="inlineStr">
        <is>
          <t>기본 문서관리 수요</t>
        </is>
      </c>
      <c r="AN492" s="17" t="inlineStr">
        <is>
          <t>미확인</t>
        </is>
      </c>
      <c r="AO492" s="17" t="inlineStr">
        <is>
          <t>미확인</t>
        </is>
      </c>
      <c r="AP492" s="17" t="inlineStr">
        <is>
          <t>미확인</t>
        </is>
      </c>
      <c r="AQ492" s="17" t="inlineStr">
        <is>
          <t>담당자 파악 후 접촉</t>
        </is>
      </c>
      <c r="AR492" s="17" t="inlineStr">
        <is>
          <t>2026-07-05</t>
        </is>
      </c>
      <c r="AS492" s="17" t="inlineStr">
        <is>
          <t>C(부분확인)</t>
        </is>
      </c>
      <c r="AT492" s="17" t="n">
        <v>0</v>
      </c>
      <c r="AU492" s="17" t="inlineStr">
        <is>
          <t>Y</t>
        </is>
      </c>
      <c r="AV492" s="17" t="inlineStr"/>
    </row>
    <row r="493">
      <c r="A493" s="28" t="inlineStr">
        <is>
          <t>Tier D</t>
        </is>
      </c>
      <c r="B493" s="17" t="n">
        <v>5</v>
      </c>
      <c r="C493" s="17" t="inlineStr">
        <is>
          <t>풍림무약(주)</t>
        </is>
      </c>
      <c r="D493" s="17" t="inlineStr">
        <is>
          <t>화성</t>
        </is>
      </c>
      <c r="E493" s="17" t="inlineStr">
        <is>
          <t>경기도</t>
        </is>
      </c>
      <c r="F493" s="17" t="inlineStr">
        <is>
          <t>화성시</t>
        </is>
      </c>
      <c r="G493" s="17" t="n">
        <v>1</v>
      </c>
      <c r="H493" s="17" t="inlineStr"/>
      <c r="I493" s="17" t="inlineStr"/>
      <c r="J493" s="17" t="inlineStr">
        <is>
          <t>Y</t>
        </is>
      </c>
      <c r="K493" s="17" t="inlineStr"/>
      <c r="L493" s="22" t="inlineStr">
        <is>
          <t>미확인</t>
        </is>
      </c>
      <c r="M493" s="22" t="inlineStr">
        <is>
          <t>미확인</t>
        </is>
      </c>
      <c r="N493" s="22" t="inlineStr">
        <is>
          <t>미확인</t>
        </is>
      </c>
      <c r="O493" s="22" t="inlineStr">
        <is>
          <t>미확인</t>
        </is>
      </c>
      <c r="P493" s="17" t="inlineStr">
        <is>
          <t>EDMS</t>
        </is>
      </c>
      <c r="Q493" s="22" t="inlineStr">
        <is>
          <t>미확인</t>
        </is>
      </c>
      <c r="R493" s="22" t="inlineStr">
        <is>
          <t>미확인</t>
        </is>
      </c>
      <c r="S493" s="17" t="inlineStr">
        <is>
          <t>Tier D</t>
        </is>
      </c>
      <c r="T493" s="17" t="n">
        <v>4</v>
      </c>
      <c r="U493" s="17" t="inlineStr">
        <is>
          <t>C100</t>
        </is>
      </c>
      <c r="V493" s="17" t="inlineStr">
        <is>
          <t>풍림무약</t>
        </is>
      </c>
      <c r="W493" s="17" t="inlineStr"/>
      <c r="X493" s="17" t="inlineStr"/>
      <c r="Y493" s="23" t="inlineStr"/>
      <c r="Z493" s="17" t="inlineStr">
        <is>
          <t>이정석</t>
        </is>
      </c>
      <c r="AA493" s="17" t="inlineStr"/>
      <c r="AB493" s="17" t="inlineStr">
        <is>
          <t>미확인</t>
        </is>
      </c>
      <c r="AC493" s="17" t="inlineStr">
        <is>
          <t>미확인</t>
        </is>
      </c>
      <c r="AD493" s="17" t="inlineStr">
        <is>
          <t>Y</t>
        </is>
      </c>
      <c r="AE493" s="17" t="inlineStr">
        <is>
          <t>P103</t>
        </is>
      </c>
      <c r="AF493" s="17" t="inlineStr">
        <is>
          <t>경기도 화성시 만세구 향남읍 제약공단3길 120</t>
        </is>
      </c>
      <c r="AG493" s="17" t="inlineStr">
        <is>
          <t>완제의약품</t>
        </is>
      </c>
      <c r="AH493" s="17" t="inlineStr">
        <is>
          <t>비무균-일반제제-내용고형제(정제, 캡슐제)</t>
        </is>
      </c>
      <c r="AI493" s="17" t="n">
        <v>1</v>
      </c>
      <c r="AJ493" s="24" t="n">
        <v>47074</v>
      </c>
      <c r="AK493" s="17" t="inlineStr"/>
      <c r="AL493" s="17" t="inlineStr"/>
      <c r="AM493" s="17" t="inlineStr">
        <is>
          <t>기본 문서관리 수요</t>
        </is>
      </c>
      <c r="AN493" s="17" t="inlineStr">
        <is>
          <t>미확인</t>
        </is>
      </c>
      <c r="AO493" s="17" t="inlineStr">
        <is>
          <t>미확인</t>
        </is>
      </c>
      <c r="AP493" s="17" t="inlineStr">
        <is>
          <t>미확인</t>
        </is>
      </c>
      <c r="AQ493" s="17" t="inlineStr">
        <is>
          <t>담당자 파악 후 접촉</t>
        </is>
      </c>
      <c r="AR493" s="17" t="inlineStr">
        <is>
          <t>2026-07-05</t>
        </is>
      </c>
      <c r="AS493" s="17" t="inlineStr">
        <is>
          <t>C(부분확인)</t>
        </is>
      </c>
      <c r="AT493" s="17" t="n">
        <v>90</v>
      </c>
      <c r="AU493" s="17" t="inlineStr"/>
      <c r="AV493" s="17" t="inlineStr"/>
    </row>
    <row r="494">
      <c r="A494" s="28" t="inlineStr">
        <is>
          <t>Tier D</t>
        </is>
      </c>
      <c r="B494" s="17" t="n">
        <v>5</v>
      </c>
      <c r="C494" s="17" t="inlineStr">
        <is>
          <t>피케이씨 주식회사</t>
        </is>
      </c>
      <c r="D494" s="17" t="inlineStr">
        <is>
          <t>음성공장</t>
        </is>
      </c>
      <c r="E494" s="17" t="inlineStr">
        <is>
          <t>충청북도</t>
        </is>
      </c>
      <c r="F494" s="17" t="inlineStr">
        <is>
          <t>음성군</t>
        </is>
      </c>
      <c r="G494" s="17" t="n">
        <v>1</v>
      </c>
      <c r="H494" s="17" t="inlineStr"/>
      <c r="I494" s="17" t="inlineStr"/>
      <c r="J494" s="17" t="inlineStr">
        <is>
          <t>Y</t>
        </is>
      </c>
      <c r="K494" s="17" t="inlineStr"/>
      <c r="L494" s="22" t="inlineStr">
        <is>
          <t>미확인</t>
        </is>
      </c>
      <c r="M494" s="22" t="inlineStr">
        <is>
          <t>미확인</t>
        </is>
      </c>
      <c r="N494" s="22" t="inlineStr">
        <is>
          <t>미확인</t>
        </is>
      </c>
      <c r="O494" s="22" t="inlineStr">
        <is>
          <t>미확인</t>
        </is>
      </c>
      <c r="P494" s="17" t="inlineStr">
        <is>
          <t>EDMS</t>
        </is>
      </c>
      <c r="Q494" s="22" t="inlineStr">
        <is>
          <t>미확인</t>
        </is>
      </c>
      <c r="R494" s="22" t="inlineStr">
        <is>
          <t>미확인</t>
        </is>
      </c>
      <c r="S494" s="17" t="inlineStr">
        <is>
          <t>Tier D</t>
        </is>
      </c>
      <c r="T494" s="17" t="n">
        <v>4</v>
      </c>
      <c r="U494" s="17" t="inlineStr">
        <is>
          <t>C234</t>
        </is>
      </c>
      <c r="V494" s="17" t="inlineStr">
        <is>
          <t>피케이씨</t>
        </is>
      </c>
      <c r="W494" s="17" t="inlineStr"/>
      <c r="X494" s="17" t="inlineStr"/>
      <c r="Y494" s="23" t="inlineStr"/>
      <c r="Z494" s="17" t="inlineStr">
        <is>
          <t>윤해구</t>
        </is>
      </c>
      <c r="AA494" s="17" t="inlineStr"/>
      <c r="AB494" s="17" t="inlineStr">
        <is>
          <t>미확인</t>
        </is>
      </c>
      <c r="AC494" s="17" t="inlineStr">
        <is>
          <t>미확인</t>
        </is>
      </c>
      <c r="AD494" s="17" t="inlineStr">
        <is>
          <t>Y</t>
        </is>
      </c>
      <c r="AE494" s="17" t="inlineStr">
        <is>
          <t>P260</t>
        </is>
      </c>
      <c r="AF494" s="17" t="inlineStr">
        <is>
          <t>충청북도 음성군 생극면 생극산단1길 17 바동, 사동, 아동, 자동</t>
        </is>
      </c>
      <c r="AG494" s="17" t="inlineStr">
        <is>
          <t>완제의약품</t>
        </is>
      </c>
      <c r="AH494" s="17" t="inlineStr">
        <is>
          <t>비무균-일반제제(의료용 고압가스)-가스제(의료용 고압가스)</t>
        </is>
      </c>
      <c r="AI494" s="17" t="n">
        <v>1</v>
      </c>
      <c r="AJ494" s="24" t="n">
        <v>46848</v>
      </c>
      <c r="AK494" s="17" t="inlineStr"/>
      <c r="AL494" s="17" t="inlineStr"/>
      <c r="AM494" s="17" t="inlineStr">
        <is>
          <t>기본 문서관리 수요</t>
        </is>
      </c>
      <c r="AN494" s="17" t="inlineStr">
        <is>
          <t>미확인</t>
        </is>
      </c>
      <c r="AO494" s="17" t="inlineStr">
        <is>
          <t>미확인</t>
        </is>
      </c>
      <c r="AP494" s="17" t="inlineStr">
        <is>
          <t>미확인</t>
        </is>
      </c>
      <c r="AQ494" s="17" t="inlineStr">
        <is>
          <t>담당자 파악 후 접촉</t>
        </is>
      </c>
      <c r="AR494" s="17" t="inlineStr">
        <is>
          <t>2026-07-05</t>
        </is>
      </c>
      <c r="AS494" s="17" t="inlineStr">
        <is>
          <t>C(부분확인)</t>
        </is>
      </c>
      <c r="AT494" s="17" t="n">
        <v>90</v>
      </c>
      <c r="AU494" s="17" t="inlineStr"/>
      <c r="AV494" s="17" t="inlineStr"/>
    </row>
    <row r="495">
      <c r="A495" s="28" t="inlineStr">
        <is>
          <t>Tier D</t>
        </is>
      </c>
      <c r="B495" s="17" t="n">
        <v>5</v>
      </c>
      <c r="C495" s="17" t="inlineStr">
        <is>
          <t>한국넬슨제약(주)</t>
        </is>
      </c>
      <c r="D495" s="17" t="inlineStr">
        <is>
          <t>음성</t>
        </is>
      </c>
      <c r="E495" s="17" t="inlineStr">
        <is>
          <t>충청북도</t>
        </is>
      </c>
      <c r="F495" s="17" t="inlineStr">
        <is>
          <t>음성군</t>
        </is>
      </c>
      <c r="G495" s="17" t="n">
        <v>1</v>
      </c>
      <c r="H495" s="17" t="inlineStr"/>
      <c r="I495" s="17" t="inlineStr"/>
      <c r="J495" s="17" t="inlineStr">
        <is>
          <t>Y</t>
        </is>
      </c>
      <c r="K495" s="17" t="inlineStr"/>
      <c r="L495" s="22" t="inlineStr">
        <is>
          <t>미확인</t>
        </is>
      </c>
      <c r="M495" s="22" t="inlineStr">
        <is>
          <t>미확인</t>
        </is>
      </c>
      <c r="N495" s="22" t="inlineStr">
        <is>
          <t>미확인</t>
        </is>
      </c>
      <c r="O495" s="22" t="inlineStr">
        <is>
          <t>미확인</t>
        </is>
      </c>
      <c r="P495" s="17" t="inlineStr">
        <is>
          <t>EDMS</t>
        </is>
      </c>
      <c r="Q495" s="22" t="inlineStr">
        <is>
          <t>미확인</t>
        </is>
      </c>
      <c r="R495" s="22" t="inlineStr">
        <is>
          <t>미확인</t>
        </is>
      </c>
      <c r="S495" s="17" t="inlineStr">
        <is>
          <t>Tier D</t>
        </is>
      </c>
      <c r="T495" s="17" t="n">
        <v>4</v>
      </c>
      <c r="U495" s="17" t="inlineStr">
        <is>
          <t>C140</t>
        </is>
      </c>
      <c r="V495" s="17" t="inlineStr">
        <is>
          <t>한국넬슨제약</t>
        </is>
      </c>
      <c r="W495" s="17" t="inlineStr"/>
      <c r="X495" s="17" t="inlineStr"/>
      <c r="Y495" s="23" t="inlineStr"/>
      <c r="Z495" s="17" t="inlineStr">
        <is>
          <t>김지동</t>
        </is>
      </c>
      <c r="AA495" s="17" t="inlineStr"/>
      <c r="AB495" s="17" t="inlineStr">
        <is>
          <t>043-877-4722</t>
        </is>
      </c>
      <c r="AC495" s="17" t="inlineStr">
        <is>
          <t>미확인</t>
        </is>
      </c>
      <c r="AD495" s="17" t="inlineStr">
        <is>
          <t>Y</t>
        </is>
      </c>
      <c r="AE495" s="17" t="inlineStr">
        <is>
          <t>P148</t>
        </is>
      </c>
      <c r="AF495" s="17" t="inlineStr">
        <is>
          <t>충청북도 음성군 금왕읍 금일로 271-8</t>
        </is>
      </c>
      <c r="AG495" s="17" t="inlineStr">
        <is>
          <t>완제의약품</t>
        </is>
      </c>
      <c r="AH495" s="17" t="inlineStr">
        <is>
          <t>비무균-일반제제-내용고형제(정제, 캡슐제), 비무균-일반제제-연고제(크림제, 겔제)</t>
        </is>
      </c>
      <c r="AI495" s="17" t="n">
        <v>1</v>
      </c>
      <c r="AJ495" s="24" t="n">
        <v>46983</v>
      </c>
      <c r="AK495" s="17" t="inlineStr"/>
      <c r="AL495" s="17" t="inlineStr"/>
      <c r="AM495" s="17" t="inlineStr">
        <is>
          <t>기본 문서관리 수요</t>
        </is>
      </c>
      <c r="AN495" s="17" t="inlineStr">
        <is>
          <t>미확인</t>
        </is>
      </c>
      <c r="AO495" s="17" t="inlineStr">
        <is>
          <t>미확인</t>
        </is>
      </c>
      <c r="AP495" s="17" t="inlineStr">
        <is>
          <t>미확인</t>
        </is>
      </c>
      <c r="AQ495" s="17" t="inlineStr">
        <is>
          <t>담당자 파악 후 접촉</t>
        </is>
      </c>
      <c r="AR495" s="17" t="inlineStr">
        <is>
          <t>2026-07-05</t>
        </is>
      </c>
      <c r="AS495" s="17" t="inlineStr">
        <is>
          <t>C(부분확인)</t>
        </is>
      </c>
      <c r="AT495" s="17" t="n">
        <v>90</v>
      </c>
      <c r="AU495" s="17" t="inlineStr"/>
      <c r="AV495" s="17" t="inlineStr"/>
    </row>
    <row r="496">
      <c r="A496" s="28" t="inlineStr">
        <is>
          <t>Tier D</t>
        </is>
      </c>
      <c r="B496" s="17" t="n">
        <v>5</v>
      </c>
      <c r="C496" s="17" t="inlineStr">
        <is>
          <t>한국수소(주)</t>
        </is>
      </c>
      <c r="D496" s="17" t="inlineStr">
        <is>
          <t>미확인</t>
        </is>
      </c>
      <c r="E496" s="17" t="inlineStr">
        <is>
          <t>경기도</t>
        </is>
      </c>
      <c r="F496" s="17" t="inlineStr">
        <is>
          <t>부천시</t>
        </is>
      </c>
      <c r="G496" s="17" t="n">
        <v>1</v>
      </c>
      <c r="H496" s="17" t="inlineStr"/>
      <c r="I496" s="17" t="inlineStr"/>
      <c r="J496" s="17" t="inlineStr">
        <is>
          <t>Y</t>
        </is>
      </c>
      <c r="K496" s="17" t="inlineStr"/>
      <c r="L496" s="22" t="inlineStr">
        <is>
          <t>미확인</t>
        </is>
      </c>
      <c r="M496" s="22" t="inlineStr">
        <is>
          <t>미확인</t>
        </is>
      </c>
      <c r="N496" s="22" t="inlineStr">
        <is>
          <t>미확인</t>
        </is>
      </c>
      <c r="O496" s="22" t="inlineStr">
        <is>
          <t>미확인</t>
        </is>
      </c>
      <c r="P496" s="17" t="inlineStr">
        <is>
          <t>EDMS</t>
        </is>
      </c>
      <c r="Q496" s="22" t="inlineStr">
        <is>
          <t>미확인</t>
        </is>
      </c>
      <c r="R496" s="22" t="inlineStr">
        <is>
          <t>미확인</t>
        </is>
      </c>
      <c r="S496" s="17" t="inlineStr">
        <is>
          <t>Tier D</t>
        </is>
      </c>
      <c r="T496" s="17" t="n">
        <v>4</v>
      </c>
      <c r="U496" s="17" t="inlineStr">
        <is>
          <t>C212</t>
        </is>
      </c>
      <c r="V496" s="17" t="inlineStr">
        <is>
          <t>한국수소</t>
        </is>
      </c>
      <c r="W496" s="17" t="inlineStr"/>
      <c r="X496" s="17" t="inlineStr"/>
      <c r="Y496" s="23" t="inlineStr"/>
      <c r="Z496" s="17" t="inlineStr">
        <is>
          <t>이종근</t>
        </is>
      </c>
      <c r="AA496" s="17" t="inlineStr"/>
      <c r="AB496" s="17" t="inlineStr">
        <is>
          <t>032-673-6223</t>
        </is>
      </c>
      <c r="AC496" s="17" t="inlineStr">
        <is>
          <t>미확인</t>
        </is>
      </c>
      <c r="AD496" s="17" t="inlineStr">
        <is>
          <t>Y</t>
        </is>
      </c>
      <c r="AE496" s="17" t="inlineStr">
        <is>
          <t>P230</t>
        </is>
      </c>
      <c r="AF496" s="17" t="inlineStr">
        <is>
          <t>경기도 부천시 오정구 석천로398번길 39</t>
        </is>
      </c>
      <c r="AG496" s="17" t="inlineStr">
        <is>
          <t>완제의약품</t>
        </is>
      </c>
      <c r="AH496" s="17" t="inlineStr">
        <is>
          <t>비무균-일반제제(의료용 고압가스)-가스제(의료용 고압가스)</t>
        </is>
      </c>
      <c r="AI496" s="17" t="n">
        <v>1</v>
      </c>
      <c r="AJ496" s="24" t="n">
        <v>46876</v>
      </c>
      <c r="AK496" s="17" t="inlineStr"/>
      <c r="AL496" s="17" t="inlineStr"/>
      <c r="AM496" s="17" t="inlineStr">
        <is>
          <t>기본 문서관리 수요</t>
        </is>
      </c>
      <c r="AN496" s="17" t="inlineStr">
        <is>
          <t>미확인</t>
        </is>
      </c>
      <c r="AO496" s="17" t="inlineStr">
        <is>
          <t>미확인</t>
        </is>
      </c>
      <c r="AP496" s="17" t="inlineStr">
        <is>
          <t>미확인</t>
        </is>
      </c>
      <c r="AQ496" s="17" t="inlineStr">
        <is>
          <t>담당자 파악 후 접촉</t>
        </is>
      </c>
      <c r="AR496" s="17" t="inlineStr">
        <is>
          <t>2026-07-05</t>
        </is>
      </c>
      <c r="AS496" s="17" t="inlineStr">
        <is>
          <t>C(부분확인)</t>
        </is>
      </c>
      <c r="AT496" s="17" t="n">
        <v>90</v>
      </c>
      <c r="AU496" s="17" t="inlineStr"/>
      <c r="AV496" s="17" t="inlineStr"/>
    </row>
    <row r="497">
      <c r="A497" s="28" t="inlineStr">
        <is>
          <t>Tier D</t>
        </is>
      </c>
      <c r="B497" s="17" t="n">
        <v>5</v>
      </c>
      <c r="C497" s="17" t="inlineStr">
        <is>
          <t>한국신텍스제약(주)</t>
        </is>
      </c>
      <c r="D497" s="17" t="inlineStr">
        <is>
          <t>제 1공장</t>
        </is>
      </c>
      <c r="E497" s="17" t="inlineStr">
        <is>
          <t>전북특별자치도</t>
        </is>
      </c>
      <c r="F497" s="17" t="inlineStr">
        <is>
          <t>익산시</t>
        </is>
      </c>
      <c r="G497" s="17" t="n">
        <v>1</v>
      </c>
      <c r="H497" s="17" t="inlineStr"/>
      <c r="I497" s="17" t="inlineStr"/>
      <c r="J497" s="17" t="inlineStr">
        <is>
          <t>Y</t>
        </is>
      </c>
      <c r="K497" s="17" t="inlineStr"/>
      <c r="L497" s="22" t="inlineStr">
        <is>
          <t>미확인</t>
        </is>
      </c>
      <c r="M497" s="22" t="inlineStr">
        <is>
          <t>미확인</t>
        </is>
      </c>
      <c r="N497" s="22" t="inlineStr">
        <is>
          <t>미확인</t>
        </is>
      </c>
      <c r="O497" s="22" t="inlineStr">
        <is>
          <t>미확인</t>
        </is>
      </c>
      <c r="P497" s="17" t="inlineStr">
        <is>
          <t>EDMS</t>
        </is>
      </c>
      <c r="Q497" s="22" t="inlineStr">
        <is>
          <t>미확인</t>
        </is>
      </c>
      <c r="R497" s="22" t="inlineStr">
        <is>
          <t>미확인</t>
        </is>
      </c>
      <c r="S497" s="17" t="inlineStr">
        <is>
          <t>Tier D</t>
        </is>
      </c>
      <c r="T497" s="17" t="n">
        <v>4</v>
      </c>
      <c r="U497" s="17" t="inlineStr">
        <is>
          <t>C195</t>
        </is>
      </c>
      <c r="V497" s="17" t="inlineStr">
        <is>
          <t>한국신텍스제약</t>
        </is>
      </c>
      <c r="W497" s="17" t="inlineStr"/>
      <c r="X497" s="17" t="inlineStr"/>
      <c r="Y497" s="23" t="inlineStr"/>
      <c r="Z497" s="17" t="inlineStr">
        <is>
          <t>박병철</t>
        </is>
      </c>
      <c r="AA497" s="17" t="inlineStr"/>
      <c r="AB497" s="17" t="inlineStr">
        <is>
          <t>063-853-8110</t>
        </is>
      </c>
      <c r="AC497" s="17" t="inlineStr">
        <is>
          <t>미확인</t>
        </is>
      </c>
      <c r="AD497" s="17" t="inlineStr">
        <is>
          <t>Y</t>
        </is>
      </c>
      <c r="AE497" s="17" t="inlineStr">
        <is>
          <t>P210</t>
        </is>
      </c>
      <c r="AF497" s="17" t="inlineStr">
        <is>
          <t>전북특별자치도 익산시 삼기면 산단오룡길 106</t>
        </is>
      </c>
      <c r="AG497" s="17" t="inlineStr">
        <is>
          <t>완제의약품</t>
        </is>
      </c>
      <c r="AH497" s="17" t="inlineStr">
        <is>
          <t>비무균-일반제제-내용액제(경구용액제)</t>
        </is>
      </c>
      <c r="AI497" s="17" t="n">
        <v>1</v>
      </c>
      <c r="AJ497" s="24" t="n">
        <v>46899</v>
      </c>
      <c r="AK497" s="17" t="inlineStr"/>
      <c r="AL497" s="17" t="inlineStr"/>
      <c r="AM497" s="17" t="inlineStr">
        <is>
          <t>기본 문서관리 수요</t>
        </is>
      </c>
      <c r="AN497" s="17" t="inlineStr">
        <is>
          <t>미확인</t>
        </is>
      </c>
      <c r="AO497" s="17" t="inlineStr">
        <is>
          <t>미확인</t>
        </is>
      </c>
      <c r="AP497" s="17" t="inlineStr">
        <is>
          <t>미확인</t>
        </is>
      </c>
      <c r="AQ497" s="17" t="inlineStr">
        <is>
          <t>담당자 파악 후 접촉</t>
        </is>
      </c>
      <c r="AR497" s="17" t="inlineStr">
        <is>
          <t>2026-07-05</t>
        </is>
      </c>
      <c r="AS497" s="17" t="inlineStr">
        <is>
          <t>C(부분확인)</t>
        </is>
      </c>
      <c r="AT497" s="17" t="n">
        <v>90</v>
      </c>
      <c r="AU497" s="17" t="inlineStr"/>
      <c r="AV497" s="17" t="inlineStr"/>
    </row>
    <row r="498">
      <c r="A498" s="28" t="inlineStr">
        <is>
          <t>Tier D</t>
        </is>
      </c>
      <c r="B498" s="17" t="n">
        <v>5</v>
      </c>
      <c r="C498" s="17" t="inlineStr">
        <is>
          <t>한국에스이엠(주)</t>
        </is>
      </c>
      <c r="D498" s="17" t="inlineStr">
        <is>
          <t>2공장</t>
        </is>
      </c>
      <c r="E498" s="17" t="inlineStr">
        <is>
          <t>경상남도</t>
        </is>
      </c>
      <c r="F498" s="17" t="inlineStr">
        <is>
          <t>양산시</t>
        </is>
      </c>
      <c r="G498" s="17" t="n">
        <v>1</v>
      </c>
      <c r="H498" s="17" t="inlineStr"/>
      <c r="I498" s="17" t="inlineStr"/>
      <c r="J498" s="17" t="inlineStr">
        <is>
          <t>Y</t>
        </is>
      </c>
      <c r="K498" s="17" t="inlineStr"/>
      <c r="L498" s="22" t="inlineStr">
        <is>
          <t>미확인</t>
        </is>
      </c>
      <c r="M498" s="22" t="inlineStr">
        <is>
          <t>미확인</t>
        </is>
      </c>
      <c r="N498" s="22" t="inlineStr">
        <is>
          <t>미확인</t>
        </is>
      </c>
      <c r="O498" s="22" t="inlineStr">
        <is>
          <t>미확인</t>
        </is>
      </c>
      <c r="P498" s="17" t="inlineStr">
        <is>
          <t>EDMS</t>
        </is>
      </c>
      <c r="Q498" s="22" t="inlineStr">
        <is>
          <t>미확인</t>
        </is>
      </c>
      <c r="R498" s="22" t="inlineStr">
        <is>
          <t>미확인</t>
        </is>
      </c>
      <c r="S498" s="17" t="inlineStr">
        <is>
          <t>Tier D</t>
        </is>
      </c>
      <c r="T498" s="17" t="n">
        <v>4</v>
      </c>
      <c r="U498" s="17" t="inlineStr">
        <is>
          <t>C292</t>
        </is>
      </c>
      <c r="V498" s="17" t="inlineStr">
        <is>
          <t>한국에스이엠</t>
        </is>
      </c>
      <c r="W498" s="17" t="inlineStr"/>
      <c r="X498" s="17" t="inlineStr"/>
      <c r="Y498" s="23" t="inlineStr"/>
      <c r="Z498" s="17" t="inlineStr">
        <is>
          <t>강신찬</t>
        </is>
      </c>
      <c r="AA498" s="17" t="inlineStr"/>
      <c r="AB498" s="17" t="inlineStr">
        <is>
          <t>055-375-1214</t>
        </is>
      </c>
      <c r="AC498" s="17" t="inlineStr">
        <is>
          <t>미확인</t>
        </is>
      </c>
      <c r="AD498" s="17" t="inlineStr">
        <is>
          <t>Y</t>
        </is>
      </c>
      <c r="AE498" s="17" t="inlineStr">
        <is>
          <t>P351</t>
        </is>
      </c>
      <c r="AF498" s="17" t="inlineStr">
        <is>
          <t>경상남도 양산시 상북면 소토2길 29-33</t>
        </is>
      </c>
      <c r="AG498" s="17" t="inlineStr">
        <is>
          <t>완제의약품</t>
        </is>
      </c>
      <c r="AH498" s="17" t="inlineStr">
        <is>
          <t>비무균-일반제제(의료용 고압가스)-가스제(의료용 고압가스)</t>
        </is>
      </c>
      <c r="AI498" s="17" t="n">
        <v>1</v>
      </c>
      <c r="AJ498" s="24" t="n">
        <v>46592</v>
      </c>
      <c r="AK498" s="17" t="inlineStr"/>
      <c r="AL498" s="17" t="inlineStr"/>
      <c r="AM498" s="17" t="inlineStr">
        <is>
          <t>기본 문서관리 수요</t>
        </is>
      </c>
      <c r="AN498" s="17" t="inlineStr">
        <is>
          <t>미확인</t>
        </is>
      </c>
      <c r="AO498" s="17" t="inlineStr">
        <is>
          <t>미확인</t>
        </is>
      </c>
      <c r="AP498" s="17" t="inlineStr">
        <is>
          <t>미확인</t>
        </is>
      </c>
      <c r="AQ498" s="17" t="inlineStr">
        <is>
          <t>담당자 파악 후 접촉</t>
        </is>
      </c>
      <c r="AR498" s="17" t="inlineStr">
        <is>
          <t>2026-07-05</t>
        </is>
      </c>
      <c r="AS498" s="17" t="inlineStr">
        <is>
          <t>C(부분확인)</t>
        </is>
      </c>
      <c r="AT498" s="17" t="n">
        <v>90</v>
      </c>
      <c r="AU498" s="17" t="inlineStr"/>
      <c r="AV498" s="17" t="inlineStr"/>
    </row>
    <row r="499">
      <c r="A499" s="28" t="inlineStr">
        <is>
          <t>Tier D</t>
        </is>
      </c>
      <c r="B499" s="17" t="n">
        <v>5</v>
      </c>
      <c r="C499" s="17" t="inlineStr">
        <is>
          <t>한국탄산화학(주)</t>
        </is>
      </c>
      <c r="D499" s="17" t="inlineStr">
        <is>
          <t>한국탄산화학(주)</t>
        </is>
      </c>
      <c r="E499" s="17" t="inlineStr">
        <is>
          <t>경기도</t>
        </is>
      </c>
      <c r="F499" s="17" t="inlineStr">
        <is>
          <t>시흥시</t>
        </is>
      </c>
      <c r="G499" s="17" t="n">
        <v>1</v>
      </c>
      <c r="H499" s="17" t="inlineStr"/>
      <c r="I499" s="17" t="inlineStr"/>
      <c r="J499" s="17" t="inlineStr">
        <is>
          <t>Y</t>
        </is>
      </c>
      <c r="K499" s="17" t="inlineStr"/>
      <c r="L499" s="22" t="inlineStr">
        <is>
          <t>미확인</t>
        </is>
      </c>
      <c r="M499" s="22" t="inlineStr">
        <is>
          <t>미확인</t>
        </is>
      </c>
      <c r="N499" s="22" t="inlineStr">
        <is>
          <t>미확인</t>
        </is>
      </c>
      <c r="O499" s="22" t="inlineStr">
        <is>
          <t>미확인</t>
        </is>
      </c>
      <c r="P499" s="17" t="inlineStr">
        <is>
          <t>EDMS</t>
        </is>
      </c>
      <c r="Q499" s="22" t="inlineStr">
        <is>
          <t>미확인</t>
        </is>
      </c>
      <c r="R499" s="22" t="inlineStr">
        <is>
          <t>미확인</t>
        </is>
      </c>
      <c r="S499" s="17" t="inlineStr">
        <is>
          <t>Tier D</t>
        </is>
      </c>
      <c r="T499" s="17" t="n">
        <v>4</v>
      </c>
      <c r="U499" s="17" t="inlineStr">
        <is>
          <t>C088</t>
        </is>
      </c>
      <c r="V499" s="17" t="inlineStr">
        <is>
          <t>한국탄산화학</t>
        </is>
      </c>
      <c r="W499" s="17" t="inlineStr"/>
      <c r="X499" s="17" t="inlineStr"/>
      <c r="Y499" s="23" t="inlineStr"/>
      <c r="Z499" s="17" t="inlineStr">
        <is>
          <t>유연채</t>
        </is>
      </c>
      <c r="AA499" s="17" t="inlineStr"/>
      <c r="AB499" s="17" t="inlineStr">
        <is>
          <t>031-498-9231</t>
        </is>
      </c>
      <c r="AC499" s="17" t="inlineStr">
        <is>
          <t>미확인</t>
        </is>
      </c>
      <c r="AD499" s="17" t="inlineStr">
        <is>
          <t>Y</t>
        </is>
      </c>
      <c r="AE499" s="17" t="inlineStr">
        <is>
          <t>P090</t>
        </is>
      </c>
      <c r="AF499" s="17" t="inlineStr">
        <is>
          <t>경기도 시흥시 서해안로 140</t>
        </is>
      </c>
      <c r="AG499" s="17" t="inlineStr">
        <is>
          <t>완제의약품</t>
        </is>
      </c>
      <c r="AH499" s="17" t="inlineStr">
        <is>
          <t>비무균-일반제제(의료용 고압가스)-가스제(의료용 고압가스)</t>
        </is>
      </c>
      <c r="AI499" s="17" t="n">
        <v>1</v>
      </c>
      <c r="AJ499" s="24" t="n">
        <v>47120</v>
      </c>
      <c r="AK499" s="17" t="inlineStr"/>
      <c r="AL499" s="17" t="inlineStr"/>
      <c r="AM499" s="17" t="inlineStr">
        <is>
          <t>기본 문서관리 수요</t>
        </is>
      </c>
      <c r="AN499" s="17" t="inlineStr">
        <is>
          <t>미확인</t>
        </is>
      </c>
      <c r="AO499" s="17" t="inlineStr">
        <is>
          <t>미확인</t>
        </is>
      </c>
      <c r="AP499" s="17" t="inlineStr">
        <is>
          <t>미확인</t>
        </is>
      </c>
      <c r="AQ499" s="17" t="inlineStr">
        <is>
          <t>담당자 파악 후 접촉</t>
        </is>
      </c>
      <c r="AR499" s="17" t="inlineStr">
        <is>
          <t>2026-07-05</t>
        </is>
      </c>
      <c r="AS499" s="17" t="inlineStr">
        <is>
          <t>C(부분확인)</t>
        </is>
      </c>
      <c r="AT499" s="17" t="n">
        <v>90</v>
      </c>
      <c r="AU499" s="17" t="inlineStr"/>
      <c r="AV499" s="17" t="inlineStr"/>
    </row>
    <row r="500">
      <c r="A500" s="28" t="inlineStr">
        <is>
          <t>Tier D</t>
        </is>
      </c>
      <c r="B500" s="17" t="n">
        <v>5</v>
      </c>
      <c r="C500" s="17" t="inlineStr">
        <is>
          <t>한국한의약진흥원</t>
        </is>
      </c>
      <c r="D500" s="17" t="inlineStr">
        <is>
          <t>한약제제생산센터</t>
        </is>
      </c>
      <c r="E500" s="17" t="inlineStr">
        <is>
          <t>대구광역시</t>
        </is>
      </c>
      <c r="F500" s="17" t="inlineStr">
        <is>
          <t>동구</t>
        </is>
      </c>
      <c r="G500" s="17" t="n">
        <v>1</v>
      </c>
      <c r="H500" s="17" t="inlineStr"/>
      <c r="I500" s="17" t="inlineStr"/>
      <c r="J500" s="17" t="inlineStr">
        <is>
          <t>Y</t>
        </is>
      </c>
      <c r="K500" s="17" t="inlineStr"/>
      <c r="L500" s="22" t="inlineStr">
        <is>
          <t>미확인</t>
        </is>
      </c>
      <c r="M500" s="22" t="inlineStr">
        <is>
          <t>미확인</t>
        </is>
      </c>
      <c r="N500" s="22" t="inlineStr">
        <is>
          <t>미확인</t>
        </is>
      </c>
      <c r="O500" s="22" t="inlineStr">
        <is>
          <t>미확인</t>
        </is>
      </c>
      <c r="P500" s="17" t="inlineStr">
        <is>
          <t>EDMS</t>
        </is>
      </c>
      <c r="Q500" s="22" t="inlineStr">
        <is>
          <t>미확인</t>
        </is>
      </c>
      <c r="R500" s="22" t="inlineStr">
        <is>
          <t>미확인</t>
        </is>
      </c>
      <c r="S500" s="17" t="inlineStr">
        <is>
          <t>Tier D</t>
        </is>
      </c>
      <c r="T500" s="17" t="n">
        <v>4</v>
      </c>
      <c r="U500" s="17" t="inlineStr">
        <is>
          <t>C169</t>
        </is>
      </c>
      <c r="V500" s="17" t="inlineStr">
        <is>
          <t>한국한의약진흥원</t>
        </is>
      </c>
      <c r="W500" s="17" t="inlineStr"/>
      <c r="X500" s="17" t="inlineStr"/>
      <c r="Y500" s="23" t="inlineStr"/>
      <c r="Z500" s="17" t="inlineStr">
        <is>
          <t>고호연</t>
        </is>
      </c>
      <c r="AA500" s="17" t="inlineStr"/>
      <c r="AB500" s="17" t="inlineStr">
        <is>
          <t>053-810-0374</t>
        </is>
      </c>
      <c r="AC500" s="17" t="inlineStr">
        <is>
          <t>미확인</t>
        </is>
      </c>
      <c r="AD500" s="17" t="inlineStr">
        <is>
          <t>Y</t>
        </is>
      </c>
      <c r="AE500" s="17" t="inlineStr">
        <is>
          <t>P182</t>
        </is>
      </c>
      <c r="AF500" s="17" t="inlineStr">
        <is>
          <t>대구광역시 동구 혁신대로78길 3 한약제제생산센터</t>
        </is>
      </c>
      <c r="AG500" s="17" t="inlineStr">
        <is>
          <t>완제의약품</t>
        </is>
      </c>
      <c r="AH500" s="17" t="inlineStr">
        <is>
          <t>비무균-일반제제-내용고형제(정제, 캡슐제), 비무균-일반제제-내용액제(엑스제(액상))</t>
        </is>
      </c>
      <c r="AI500" s="17" t="n">
        <v>1</v>
      </c>
      <c r="AJ500" s="24" t="n">
        <v>46944</v>
      </c>
      <c r="AK500" s="17" t="inlineStr"/>
      <c r="AL500" s="17" t="inlineStr"/>
      <c r="AM500" s="17" t="inlineStr">
        <is>
          <t>기본 문서관리 수요</t>
        </is>
      </c>
      <c r="AN500" s="17" t="inlineStr">
        <is>
          <t>미확인</t>
        </is>
      </c>
      <c r="AO500" s="17" t="inlineStr">
        <is>
          <t>미확인</t>
        </is>
      </c>
      <c r="AP500" s="17" t="inlineStr">
        <is>
          <t>미확인</t>
        </is>
      </c>
      <c r="AQ500" s="17" t="inlineStr">
        <is>
          <t>담당자 파악 후 접촉</t>
        </is>
      </c>
      <c r="AR500" s="17" t="inlineStr">
        <is>
          <t>2026-07-05</t>
        </is>
      </c>
      <c r="AS500" s="17" t="inlineStr">
        <is>
          <t>C(부분확인)</t>
        </is>
      </c>
      <c r="AT500" s="17" t="n">
        <v>90</v>
      </c>
      <c r="AU500" s="17" t="inlineStr"/>
      <c r="AV500" s="17" t="inlineStr"/>
    </row>
    <row r="501">
      <c r="A501" s="28" t="inlineStr">
        <is>
          <t>Tier D</t>
        </is>
      </c>
      <c r="B501" s="17" t="n">
        <v>5</v>
      </c>
      <c r="C501" s="17" t="inlineStr">
        <is>
          <t>한국휴텍스제약(주)</t>
        </is>
      </c>
      <c r="D501" s="17" t="inlineStr">
        <is>
          <t>화성(제2공장)</t>
        </is>
      </c>
      <c r="E501" s="17" t="inlineStr">
        <is>
          <t>경기도</t>
        </is>
      </c>
      <c r="F501" s="17" t="inlineStr">
        <is>
          <t>화성시</t>
        </is>
      </c>
      <c r="G501" s="17" t="n">
        <v>1</v>
      </c>
      <c r="H501" s="17" t="inlineStr"/>
      <c r="I501" s="17" t="inlineStr"/>
      <c r="J501" s="17" t="inlineStr">
        <is>
          <t>Y</t>
        </is>
      </c>
      <c r="K501" s="17" t="inlineStr"/>
      <c r="L501" s="22" t="inlineStr">
        <is>
          <t>미확인</t>
        </is>
      </c>
      <c r="M501" s="22" t="inlineStr">
        <is>
          <t>미확인</t>
        </is>
      </c>
      <c r="N501" s="22" t="inlineStr">
        <is>
          <t>미확인</t>
        </is>
      </c>
      <c r="O501" s="22" t="inlineStr">
        <is>
          <t>미확인</t>
        </is>
      </c>
      <c r="P501" s="17" t="inlineStr">
        <is>
          <t>EDMS</t>
        </is>
      </c>
      <c r="Q501" s="22" t="inlineStr">
        <is>
          <t>미확인</t>
        </is>
      </c>
      <c r="R501" s="22" t="inlineStr">
        <is>
          <t>미확인</t>
        </is>
      </c>
      <c r="S501" s="17" t="inlineStr">
        <is>
          <t>Tier D</t>
        </is>
      </c>
      <c r="T501" s="17" t="n">
        <v>4</v>
      </c>
      <c r="U501" s="17" t="inlineStr">
        <is>
          <t>C244</t>
        </is>
      </c>
      <c r="V501" s="17" t="inlineStr">
        <is>
          <t>한국휴텍스제약</t>
        </is>
      </c>
      <c r="W501" s="17" t="inlineStr"/>
      <c r="X501" s="17" t="inlineStr"/>
      <c r="Y501" s="23" t="inlineStr"/>
      <c r="Z501" s="17" t="inlineStr">
        <is>
          <t>이상일</t>
        </is>
      </c>
      <c r="AA501" s="17" t="inlineStr"/>
      <c r="AB501" s="17" t="inlineStr">
        <is>
          <t>031-377-7901</t>
        </is>
      </c>
      <c r="AC501" s="17" t="inlineStr">
        <is>
          <t>미확인</t>
        </is>
      </c>
      <c r="AD501" s="17" t="inlineStr">
        <is>
          <t>Y</t>
        </is>
      </c>
      <c r="AE501" s="17" t="inlineStr">
        <is>
          <t>P282</t>
        </is>
      </c>
      <c r="AF501" s="17" t="inlineStr">
        <is>
          <t>경기도 화성시 만세구 향남읍 제약공단3길 99</t>
        </is>
      </c>
      <c r="AG501" s="17" t="inlineStr">
        <is>
          <t>완제의약품</t>
        </is>
      </c>
      <c r="AH501" s="17" t="inlineStr">
        <is>
          <t>비무균-일반제제-내용고형제(정제, 캡슐제), 비무균-일반제제-그 밖의 고형제(혈액투석제(고형))</t>
        </is>
      </c>
      <c r="AI501" s="17" t="n">
        <v>1</v>
      </c>
      <c r="AJ501" s="24" t="n">
        <v>46815</v>
      </c>
      <c r="AK501" s="17" t="inlineStr"/>
      <c r="AL501" s="17" t="inlineStr"/>
      <c r="AM501" s="17" t="inlineStr">
        <is>
          <t>기본 문서관리 수요</t>
        </is>
      </c>
      <c r="AN501" s="17" t="inlineStr">
        <is>
          <t>미확인</t>
        </is>
      </c>
      <c r="AO501" s="17" t="inlineStr">
        <is>
          <t>미확인</t>
        </is>
      </c>
      <c r="AP501" s="17" t="inlineStr">
        <is>
          <t>미확인</t>
        </is>
      </c>
      <c r="AQ501" s="17" t="inlineStr">
        <is>
          <t>담당자 파악 후 접촉</t>
        </is>
      </c>
      <c r="AR501" s="17" t="inlineStr">
        <is>
          <t>2026-07-05</t>
        </is>
      </c>
      <c r="AS501" s="17" t="inlineStr">
        <is>
          <t>C(부분확인)</t>
        </is>
      </c>
      <c r="AT501" s="17" t="n">
        <v>90</v>
      </c>
      <c r="AU501" s="17" t="inlineStr"/>
      <c r="AV501" s="17" t="inlineStr"/>
    </row>
    <row r="502">
      <c r="A502" s="28" t="inlineStr">
        <is>
          <t>Tier D</t>
        </is>
      </c>
      <c r="B502" s="17" t="n">
        <v>5</v>
      </c>
      <c r="C502" s="17" t="inlineStr">
        <is>
          <t>한솔신약(주)</t>
        </is>
      </c>
      <c r="D502" s="17" t="inlineStr">
        <is>
          <t>음성</t>
        </is>
      </c>
      <c r="E502" s="17" t="inlineStr">
        <is>
          <t>충청북도</t>
        </is>
      </c>
      <c r="F502" s="17" t="inlineStr">
        <is>
          <t>음성군</t>
        </is>
      </c>
      <c r="G502" s="17" t="n">
        <v>1</v>
      </c>
      <c r="H502" s="17" t="inlineStr"/>
      <c r="I502" s="17" t="inlineStr"/>
      <c r="J502" s="17" t="inlineStr">
        <is>
          <t>Y</t>
        </is>
      </c>
      <c r="K502" s="17" t="inlineStr"/>
      <c r="L502" s="22" t="inlineStr">
        <is>
          <t>미확인</t>
        </is>
      </c>
      <c r="M502" s="22" t="inlineStr">
        <is>
          <t>미확인</t>
        </is>
      </c>
      <c r="N502" s="22" t="inlineStr">
        <is>
          <t>미확인</t>
        </is>
      </c>
      <c r="O502" s="22" t="inlineStr">
        <is>
          <t>미확인</t>
        </is>
      </c>
      <c r="P502" s="17" t="inlineStr">
        <is>
          <t>EDMS</t>
        </is>
      </c>
      <c r="Q502" s="22" t="inlineStr">
        <is>
          <t>미확인</t>
        </is>
      </c>
      <c r="R502" s="22" t="inlineStr">
        <is>
          <t>미확인</t>
        </is>
      </c>
      <c r="S502" s="17" t="inlineStr">
        <is>
          <t>Tier D</t>
        </is>
      </c>
      <c r="T502" s="17" t="n">
        <v>4</v>
      </c>
      <c r="U502" s="17" t="inlineStr">
        <is>
          <t>C074</t>
        </is>
      </c>
      <c r="V502" s="17" t="inlineStr">
        <is>
          <t>한솔신약</t>
        </is>
      </c>
      <c r="W502" s="17" t="inlineStr"/>
      <c r="X502" s="17" t="inlineStr"/>
      <c r="Y502" s="23" t="inlineStr"/>
      <c r="Z502" s="17" t="inlineStr">
        <is>
          <t>조정호</t>
        </is>
      </c>
      <c r="AA502" s="17" t="inlineStr"/>
      <c r="AB502" s="17" t="inlineStr">
        <is>
          <t>043-881-6333</t>
        </is>
      </c>
      <c r="AC502" s="17" t="inlineStr">
        <is>
          <t>미확인</t>
        </is>
      </c>
      <c r="AD502" s="17" t="inlineStr">
        <is>
          <t>Y</t>
        </is>
      </c>
      <c r="AE502" s="17" t="inlineStr">
        <is>
          <t>P076</t>
        </is>
      </c>
      <c r="AF502" s="17" t="inlineStr">
        <is>
          <t>충청북도 음성군 금왕읍 청평길 2-11</t>
        </is>
      </c>
      <c r="AG502" s="17" t="inlineStr">
        <is>
          <t>완제의약품</t>
        </is>
      </c>
      <c r="AH502" s="17" t="inlineStr">
        <is>
          <t>비무균-일반제제-내용고형제(정제, 산제, 과립제, 환제)</t>
        </is>
      </c>
      <c r="AI502" s="17" t="n">
        <v>1</v>
      </c>
      <c r="AJ502" s="24" t="n">
        <v>47163</v>
      </c>
      <c r="AK502" s="17" t="inlineStr"/>
      <c r="AL502" s="17" t="inlineStr"/>
      <c r="AM502" s="17" t="inlineStr">
        <is>
          <t>기본 문서관리 수요</t>
        </is>
      </c>
      <c r="AN502" s="17" t="inlineStr">
        <is>
          <t>미확인</t>
        </is>
      </c>
      <c r="AO502" s="17" t="inlineStr">
        <is>
          <t>미확인</t>
        </is>
      </c>
      <c r="AP502" s="17" t="inlineStr">
        <is>
          <t>미확인</t>
        </is>
      </c>
      <c r="AQ502" s="17" t="inlineStr">
        <is>
          <t>담당자 파악 후 접촉</t>
        </is>
      </c>
      <c r="AR502" s="17" t="inlineStr">
        <is>
          <t>2026-07-05</t>
        </is>
      </c>
      <c r="AS502" s="17" t="inlineStr">
        <is>
          <t>C(부분확인)</t>
        </is>
      </c>
      <c r="AT502" s="17" t="n">
        <v>90</v>
      </c>
      <c r="AU502" s="17" t="inlineStr"/>
      <c r="AV502" s="17" t="inlineStr"/>
    </row>
    <row r="503">
      <c r="A503" s="28" t="inlineStr">
        <is>
          <t>Tier D</t>
        </is>
      </c>
      <c r="B503" s="17" t="n">
        <v>5</v>
      </c>
      <c r="C503" s="17" t="inlineStr">
        <is>
          <t>한영기업(주)</t>
        </is>
      </c>
      <c r="D503" s="17" t="inlineStr">
        <is>
          <t>한영기업(주)</t>
        </is>
      </c>
      <c r="E503" s="17" t="inlineStr">
        <is>
          <t>부산광역시</t>
        </is>
      </c>
      <c r="F503" s="17" t="inlineStr">
        <is>
          <t>영도구</t>
        </is>
      </c>
      <c r="G503" s="17" t="n">
        <v>1</v>
      </c>
      <c r="H503" s="17" t="inlineStr"/>
      <c r="I503" s="17" t="inlineStr"/>
      <c r="J503" s="17" t="inlineStr">
        <is>
          <t>Y</t>
        </is>
      </c>
      <c r="K503" s="17" t="inlineStr"/>
      <c r="L503" s="22" t="inlineStr">
        <is>
          <t>미확인</t>
        </is>
      </c>
      <c r="M503" s="22" t="inlineStr">
        <is>
          <t>미확인</t>
        </is>
      </c>
      <c r="N503" s="22" t="inlineStr">
        <is>
          <t>미확인</t>
        </is>
      </c>
      <c r="O503" s="22" t="inlineStr">
        <is>
          <t>미확인</t>
        </is>
      </c>
      <c r="P503" s="17" t="inlineStr">
        <is>
          <t>EDMS</t>
        </is>
      </c>
      <c r="Q503" s="22" t="inlineStr">
        <is>
          <t>미확인</t>
        </is>
      </c>
      <c r="R503" s="22" t="inlineStr">
        <is>
          <t>미확인</t>
        </is>
      </c>
      <c r="S503" s="17" t="inlineStr">
        <is>
          <t>Tier D</t>
        </is>
      </c>
      <c r="T503" s="17" t="n">
        <v>4</v>
      </c>
      <c r="U503" s="17" t="inlineStr">
        <is>
          <t>C149</t>
        </is>
      </c>
      <c r="V503" s="17" t="inlineStr">
        <is>
          <t>한영기업</t>
        </is>
      </c>
      <c r="W503" s="17" t="inlineStr"/>
      <c r="X503" s="17" t="inlineStr"/>
      <c r="Y503" s="23" t="inlineStr"/>
      <c r="Z503" s="17" t="inlineStr">
        <is>
          <t>김영훈</t>
        </is>
      </c>
      <c r="AA503" s="17" t="inlineStr"/>
      <c r="AB503" s="17" t="inlineStr">
        <is>
          <t>051-403-4787</t>
        </is>
      </c>
      <c r="AC503" s="17" t="inlineStr">
        <is>
          <t>미확인</t>
        </is>
      </c>
      <c r="AD503" s="17" t="inlineStr">
        <is>
          <t>Y</t>
        </is>
      </c>
      <c r="AE503" s="17" t="inlineStr">
        <is>
          <t>P159</t>
        </is>
      </c>
      <c r="AF503" s="17" t="inlineStr">
        <is>
          <t>부산광역시 영도구 해양로 206</t>
        </is>
      </c>
      <c r="AG503" s="17" t="inlineStr">
        <is>
          <t>완제의약품</t>
        </is>
      </c>
      <c r="AH503" s="17" t="inlineStr">
        <is>
          <t>비무균-일반제제(의료용 고압가스)-가스제(의료용 고압가스)</t>
        </is>
      </c>
      <c r="AI503" s="17" t="n">
        <v>1</v>
      </c>
      <c r="AJ503" s="24" t="n">
        <v>46963</v>
      </c>
      <c r="AK503" s="17" t="inlineStr"/>
      <c r="AL503" s="17" t="inlineStr"/>
      <c r="AM503" s="17" t="inlineStr">
        <is>
          <t>기본 문서관리 수요</t>
        </is>
      </c>
      <c r="AN503" s="17" t="inlineStr">
        <is>
          <t>미확인</t>
        </is>
      </c>
      <c r="AO503" s="17" t="inlineStr">
        <is>
          <t>미확인</t>
        </is>
      </c>
      <c r="AP503" s="17" t="inlineStr">
        <is>
          <t>미확인</t>
        </is>
      </c>
      <c r="AQ503" s="17" t="inlineStr">
        <is>
          <t>담당자 파악 후 접촉</t>
        </is>
      </c>
      <c r="AR503" s="17" t="inlineStr">
        <is>
          <t>2026-07-05</t>
        </is>
      </c>
      <c r="AS503" s="17" t="inlineStr">
        <is>
          <t>C(부분확인)</t>
        </is>
      </c>
      <c r="AT503" s="17" t="n">
        <v>90</v>
      </c>
      <c r="AU503" s="17" t="inlineStr"/>
      <c r="AV503" s="17" t="inlineStr"/>
    </row>
    <row r="504">
      <c r="A504" s="28" t="inlineStr">
        <is>
          <t>Tier D</t>
        </is>
      </c>
      <c r="B504" s="17" t="n">
        <v>5</v>
      </c>
      <c r="C504" s="17" t="inlineStr">
        <is>
          <t>한화제약(주)</t>
        </is>
      </c>
      <c r="D504" s="17" t="inlineStr">
        <is>
          <t>춘천</t>
        </is>
      </c>
      <c r="E504" s="17" t="inlineStr">
        <is>
          <t>강원특별자치도</t>
        </is>
      </c>
      <c r="F504" s="17" t="inlineStr">
        <is>
          <t>춘천시</t>
        </is>
      </c>
      <c r="G504" s="17" t="n">
        <v>1</v>
      </c>
      <c r="H504" s="17" t="inlineStr"/>
      <c r="I504" s="17" t="inlineStr"/>
      <c r="J504" s="17" t="inlineStr">
        <is>
          <t>Y</t>
        </is>
      </c>
      <c r="K504" s="17" t="inlineStr"/>
      <c r="L504" s="22" t="inlineStr">
        <is>
          <t>미확인</t>
        </is>
      </c>
      <c r="M504" s="22" t="inlineStr">
        <is>
          <t>미확인</t>
        </is>
      </c>
      <c r="N504" s="22" t="inlineStr">
        <is>
          <t>미확인</t>
        </is>
      </c>
      <c r="O504" s="22" t="inlineStr">
        <is>
          <t>미확인</t>
        </is>
      </c>
      <c r="P504" s="17" t="inlineStr">
        <is>
          <t>EDMS</t>
        </is>
      </c>
      <c r="Q504" s="22" t="inlineStr">
        <is>
          <t>미확인</t>
        </is>
      </c>
      <c r="R504" s="22" t="inlineStr">
        <is>
          <t>미확인</t>
        </is>
      </c>
      <c r="S504" s="17" t="inlineStr">
        <is>
          <t>Tier D</t>
        </is>
      </c>
      <c r="T504" s="17" t="n">
        <v>4</v>
      </c>
      <c r="U504" s="17" t="inlineStr">
        <is>
          <t>C187</t>
        </is>
      </c>
      <c r="V504" s="17" t="inlineStr">
        <is>
          <t>한화제약</t>
        </is>
      </c>
      <c r="W504" s="17" t="inlineStr"/>
      <c r="X504" s="17" t="inlineStr"/>
      <c r="Y504" s="23" t="inlineStr"/>
      <c r="Z504" s="17" t="inlineStr">
        <is>
          <t>김경락</t>
        </is>
      </c>
      <c r="AA504" s="17" t="inlineStr"/>
      <c r="AB504" s="17" t="inlineStr">
        <is>
          <t>미확인</t>
        </is>
      </c>
      <c r="AC504" s="17" t="inlineStr">
        <is>
          <t>미확인</t>
        </is>
      </c>
      <c r="AD504" s="17" t="inlineStr">
        <is>
          <t>Y</t>
        </is>
      </c>
      <c r="AE504" s="17" t="inlineStr">
        <is>
          <t>P201</t>
        </is>
      </c>
      <c r="AF504" s="17" t="inlineStr">
        <is>
          <t>강원특별자치도 춘천시 남면 약암길 109</t>
        </is>
      </c>
      <c r="AG504" s="17" t="inlineStr">
        <is>
          <t>완제의약품</t>
        </is>
      </c>
      <c r="AH504" s="17" t="inlineStr">
        <is>
          <t>비무균-일반제제-내용고형제(정제, 캡슐제, 산제, 과립제)</t>
        </is>
      </c>
      <c r="AI504" s="17" t="n">
        <v>1</v>
      </c>
      <c r="AJ504" s="24" t="n">
        <v>46918</v>
      </c>
      <c r="AK504" s="17" t="inlineStr"/>
      <c r="AL504" s="17" t="inlineStr"/>
      <c r="AM504" s="17" t="inlineStr">
        <is>
          <t>기본 문서관리 수요</t>
        </is>
      </c>
      <c r="AN504" s="17" t="inlineStr">
        <is>
          <t>미확인</t>
        </is>
      </c>
      <c r="AO504" s="17" t="inlineStr">
        <is>
          <t>미확인</t>
        </is>
      </c>
      <c r="AP504" s="17" t="inlineStr">
        <is>
          <t>미확인</t>
        </is>
      </c>
      <c r="AQ504" s="17" t="inlineStr">
        <is>
          <t>담당자 파악 후 접촉</t>
        </is>
      </c>
      <c r="AR504" s="17" t="inlineStr">
        <is>
          <t>2026-07-05</t>
        </is>
      </c>
      <c r="AS504" s="17" t="inlineStr">
        <is>
          <t>C(부분확인)</t>
        </is>
      </c>
      <c r="AT504" s="17" t="n">
        <v>90</v>
      </c>
      <c r="AU504" s="17" t="inlineStr"/>
      <c r="AV504" s="17" t="inlineStr"/>
    </row>
    <row r="505">
      <c r="A505" s="28" t="inlineStr">
        <is>
          <t>Tier D</t>
        </is>
      </c>
      <c r="B505" s="17" t="n">
        <v>5</v>
      </c>
      <c r="C505" s="17" t="inlineStr">
        <is>
          <t>호남고압가스</t>
        </is>
      </c>
      <c r="D505" s="17" t="inlineStr">
        <is>
          <t>광주</t>
        </is>
      </c>
      <c r="E505" s="17" t="inlineStr">
        <is>
          <t>광주광역시</t>
        </is>
      </c>
      <c r="F505" s="17" t="inlineStr">
        <is>
          <t>광산구</t>
        </is>
      </c>
      <c r="G505" s="17" t="n">
        <v>1</v>
      </c>
      <c r="H505" s="17" t="inlineStr"/>
      <c r="I505" s="17" t="inlineStr"/>
      <c r="J505" s="17" t="inlineStr">
        <is>
          <t>Y</t>
        </is>
      </c>
      <c r="K505" s="17" t="inlineStr"/>
      <c r="L505" s="22" t="inlineStr">
        <is>
          <t>미확인</t>
        </is>
      </c>
      <c r="M505" s="22" t="inlineStr">
        <is>
          <t>미확인</t>
        </is>
      </c>
      <c r="N505" s="22" t="inlineStr">
        <is>
          <t>미확인</t>
        </is>
      </c>
      <c r="O505" s="22" t="inlineStr">
        <is>
          <t>미확인</t>
        </is>
      </c>
      <c r="P505" s="17" t="inlineStr">
        <is>
          <t>EDMS</t>
        </is>
      </c>
      <c r="Q505" s="22" t="inlineStr">
        <is>
          <t>미확인</t>
        </is>
      </c>
      <c r="R505" s="22" t="inlineStr">
        <is>
          <t>미확인</t>
        </is>
      </c>
      <c r="S505" s="17" t="inlineStr">
        <is>
          <t>Tier D</t>
        </is>
      </c>
      <c r="T505" s="17" t="n">
        <v>4</v>
      </c>
      <c r="U505" s="17" t="inlineStr">
        <is>
          <t>C255</t>
        </is>
      </c>
      <c r="V505" s="17" t="inlineStr">
        <is>
          <t>호남고압가스</t>
        </is>
      </c>
      <c r="W505" s="17" t="inlineStr"/>
      <c r="X505" s="17" t="inlineStr"/>
      <c r="Y505" s="23" t="inlineStr"/>
      <c r="Z505" s="17" t="inlineStr">
        <is>
          <t>이은희</t>
        </is>
      </c>
      <c r="AA505" s="17" t="inlineStr"/>
      <c r="AB505" s="17" t="inlineStr">
        <is>
          <t>062-951-4147</t>
        </is>
      </c>
      <c r="AC505" s="17" t="inlineStr">
        <is>
          <t>미확인</t>
        </is>
      </c>
      <c r="AD505" s="17" t="inlineStr">
        <is>
          <t>Y</t>
        </is>
      </c>
      <c r="AE505" s="17" t="inlineStr">
        <is>
          <t>P297</t>
        </is>
      </c>
      <c r="AF505" s="17" t="inlineStr">
        <is>
          <t>광주광역시 광산구 하남산단5번로 101</t>
        </is>
      </c>
      <c r="AG505" s="17" t="inlineStr">
        <is>
          <t>완제의약품</t>
        </is>
      </c>
      <c r="AH505" s="17" t="inlineStr">
        <is>
          <t>비무균-일반제제(의료용 고압가스)-가스제(의료용 고압가스)</t>
        </is>
      </c>
      <c r="AI505" s="17" t="n">
        <v>1</v>
      </c>
      <c r="AJ505" s="24" t="n">
        <v>46797</v>
      </c>
      <c r="AK505" s="17" t="inlineStr"/>
      <c r="AL505" s="17" t="inlineStr"/>
      <c r="AM505" s="17" t="inlineStr">
        <is>
          <t>기본 문서관리 수요</t>
        </is>
      </c>
      <c r="AN505" s="17" t="inlineStr">
        <is>
          <t>미확인</t>
        </is>
      </c>
      <c r="AO505" s="17" t="inlineStr">
        <is>
          <t>미확인</t>
        </is>
      </c>
      <c r="AP505" s="17" t="inlineStr">
        <is>
          <t>미확인</t>
        </is>
      </c>
      <c r="AQ505" s="17" t="inlineStr">
        <is>
          <t>담당자 파악 후 접촉</t>
        </is>
      </c>
      <c r="AR505" s="17" t="inlineStr">
        <is>
          <t>2026-07-05</t>
        </is>
      </c>
      <c r="AS505" s="17" t="inlineStr">
        <is>
          <t>C(부분확인)</t>
        </is>
      </c>
      <c r="AT505" s="17" t="n">
        <v>90</v>
      </c>
      <c r="AU505" s="17" t="inlineStr"/>
      <c r="AV505" s="17" t="inlineStr"/>
    </row>
  </sheetData>
  <autoFilter ref="A1:AV5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9" customWidth="1" min="4" max="4"/>
    <col width="9" customWidth="1" min="5" max="5"/>
    <col width="8" customWidth="1" min="6" max="6"/>
    <col width="9" customWidth="1" min="7" max="7"/>
    <col width="12" customWidth="1" min="8" max="8"/>
    <col width="9" customWidth="1" min="9" max="9"/>
    <col width="8" customWidth="1" min="10" max="10"/>
    <col width="6" customWidth="1" min="11" max="11"/>
    <col width="6" customWidth="1" min="12" max="12"/>
    <col width="6" customWidth="1" min="13" max="13"/>
    <col width="7" customWidth="1" min="14" max="14"/>
    <col width="13" customWidth="1" min="15" max="15"/>
    <col width="13" customWidth="1" min="16" max="16"/>
    <col width="24" customWidth="1" min="17" max="17"/>
    <col width="12" customWidth="1" min="18" max="18"/>
    <col width="12" customWidth="1" min="19" max="19"/>
    <col width="11" customWidth="1" min="20" max="20"/>
  </cols>
  <sheetData>
    <row r="1">
      <c r="A1" s="19" t="inlineStr">
        <is>
          <t>순위</t>
        </is>
      </c>
      <c r="B1" s="19" t="inlineStr">
        <is>
          <t>대표 업체명</t>
        </is>
      </c>
      <c r="C1" s="19" t="inlineStr">
        <is>
          <t>회사키</t>
        </is>
      </c>
      <c r="D1" s="19" t="inlineStr">
        <is>
          <t>잠정Tier</t>
        </is>
      </c>
      <c r="E1" s="19" t="inlineStr">
        <is>
          <t>잠정점수</t>
        </is>
      </c>
      <c r="F1" s="19" t="inlineStr">
        <is>
          <t>상장여부</t>
        </is>
      </c>
      <c r="G1" s="19" t="inlineStr">
        <is>
          <t>종목코드</t>
        </is>
      </c>
      <c r="H1" s="19" t="inlineStr">
        <is>
          <t>최근매출(억원)</t>
        </is>
      </c>
      <c r="I1" s="19" t="inlineStr">
        <is>
          <t>물리 제조소 수</t>
        </is>
      </c>
      <c r="J1" s="19" t="inlineStr">
        <is>
          <t>판정서 건수</t>
        </is>
      </c>
      <c r="K1" s="19" t="inlineStr">
        <is>
          <t>완제</t>
        </is>
      </c>
      <c r="L1" s="19" t="inlineStr">
        <is>
          <t>원료</t>
        </is>
      </c>
      <c r="M1" s="19" t="inlineStr">
        <is>
          <t>무균</t>
        </is>
      </c>
      <c r="N1" s="19" t="inlineStr">
        <is>
          <t>바이오</t>
        </is>
      </c>
      <c r="O1" s="19" t="inlineStr">
        <is>
          <t>시도(대표)</t>
        </is>
      </c>
      <c r="P1" s="19" t="inlineStr">
        <is>
          <t>대표전화</t>
        </is>
      </c>
      <c r="Q1" s="19" t="inlineStr">
        <is>
          <t>홈페이지</t>
        </is>
      </c>
      <c r="R1" s="19" t="inlineStr">
        <is>
          <t>추천솔루션</t>
        </is>
      </c>
      <c r="S1" s="19" t="inlineStr">
        <is>
          <t>최단 유효기간</t>
        </is>
      </c>
      <c r="T1" s="19" t="inlineStr">
        <is>
          <t>갱신 임박(6개월)</t>
        </is>
      </c>
    </row>
    <row r="2">
      <c r="A2" s="17" t="n">
        <v>1</v>
      </c>
      <c r="B2" s="17" t="inlineStr">
        <is>
          <t>(주)녹십자</t>
        </is>
      </c>
      <c r="C2" s="17" t="inlineStr">
        <is>
          <t>녹십자</t>
        </is>
      </c>
      <c r="D2" s="18" t="inlineStr">
        <is>
          <t>Tier A</t>
        </is>
      </c>
      <c r="E2" s="17" t="n">
        <v>50</v>
      </c>
      <c r="F2" s="17" t="inlineStr">
        <is>
          <t>Y</t>
        </is>
      </c>
      <c r="G2" s="23" t="inlineStr">
        <is>
          <t>006280</t>
        </is>
      </c>
      <c r="H2" s="22" t="inlineStr">
        <is>
          <t>미확인</t>
        </is>
      </c>
      <c r="I2" s="17" t="n">
        <v>3</v>
      </c>
      <c r="J2" s="17" t="n">
        <v>5</v>
      </c>
      <c r="K2" s="17" t="inlineStr">
        <is>
          <t>Y</t>
        </is>
      </c>
      <c r="L2" s="17" t="inlineStr">
        <is>
          <t>Y</t>
        </is>
      </c>
      <c r="M2" s="17" t="inlineStr">
        <is>
          <t>Y</t>
        </is>
      </c>
      <c r="N2" s="17" t="inlineStr">
        <is>
          <t>Y</t>
        </is>
      </c>
      <c r="O2" s="17" t="inlineStr">
        <is>
          <t>충청북도</t>
        </is>
      </c>
      <c r="P2" s="17" t="inlineStr">
        <is>
          <t>031-260-9300</t>
        </is>
      </c>
      <c r="Q2" s="17" t="inlineStr">
        <is>
          <t>http://www.gcbiopharma.com</t>
        </is>
      </c>
      <c r="R2" s="17" t="inlineStr">
        <is>
          <t>통합형</t>
        </is>
      </c>
      <c r="S2" s="24" t="n">
        <v>46356</v>
      </c>
      <c r="T2" s="17" t="inlineStr">
        <is>
          <t>Y</t>
        </is>
      </c>
    </row>
    <row r="3">
      <c r="A3" s="17" t="n">
        <v>2</v>
      </c>
      <c r="B3" s="17" t="inlineStr">
        <is>
          <t>(주)메디톡스</t>
        </is>
      </c>
      <c r="C3" s="17" t="inlineStr">
        <is>
          <t>메디톡스</t>
        </is>
      </c>
      <c r="D3" s="18" t="inlineStr">
        <is>
          <t>Tier A</t>
        </is>
      </c>
      <c r="E3" s="17" t="n">
        <v>47</v>
      </c>
      <c r="F3" s="17" t="inlineStr">
        <is>
          <t>Y</t>
        </is>
      </c>
      <c r="G3" s="23" t="inlineStr">
        <is>
          <t>086900</t>
        </is>
      </c>
      <c r="H3" s="22" t="inlineStr">
        <is>
          <t>미확인</t>
        </is>
      </c>
      <c r="I3" s="17" t="n">
        <v>3</v>
      </c>
      <c r="J3" s="17" t="n">
        <v>4</v>
      </c>
      <c r="K3" s="17" t="inlineStr">
        <is>
          <t>Y</t>
        </is>
      </c>
      <c r="L3" s="17" t="inlineStr">
        <is>
          <t>Y</t>
        </is>
      </c>
      <c r="M3" s="17" t="inlineStr">
        <is>
          <t>Y</t>
        </is>
      </c>
      <c r="N3" s="17" t="inlineStr">
        <is>
          <t>Y</t>
        </is>
      </c>
      <c r="O3" s="17" t="inlineStr">
        <is>
          <t>충청북도</t>
        </is>
      </c>
      <c r="P3" s="17" t="inlineStr">
        <is>
          <t>041-544-1558</t>
        </is>
      </c>
      <c r="Q3" s="17" t="inlineStr">
        <is>
          <t>http://www.medytox.com</t>
        </is>
      </c>
      <c r="R3" s="17" t="inlineStr">
        <is>
          <t>통합형</t>
        </is>
      </c>
      <c r="S3" s="24" t="n">
        <v>46572</v>
      </c>
      <c r="T3" s="17" t="inlineStr"/>
    </row>
    <row r="4">
      <c r="A4" s="17" t="n">
        <v>3</v>
      </c>
      <c r="B4" s="17" t="inlineStr">
        <is>
          <t>동아에스티(주)</t>
        </is>
      </c>
      <c r="C4" s="17" t="inlineStr">
        <is>
          <t>동아에스티</t>
        </is>
      </c>
      <c r="D4" s="18" t="inlineStr">
        <is>
          <t>Tier A</t>
        </is>
      </c>
      <c r="E4" s="17" t="n">
        <v>47</v>
      </c>
      <c r="F4" s="17" t="inlineStr">
        <is>
          <t>Y</t>
        </is>
      </c>
      <c r="G4" s="23" t="inlineStr">
        <is>
          <t>170900</t>
        </is>
      </c>
      <c r="H4" s="22" t="inlineStr">
        <is>
          <t>미확인</t>
        </is>
      </c>
      <c r="I4" s="17" t="n">
        <v>3</v>
      </c>
      <c r="J4" s="17" t="n">
        <v>4</v>
      </c>
      <c r="K4" s="17" t="inlineStr">
        <is>
          <t>Y</t>
        </is>
      </c>
      <c r="L4" s="17" t="inlineStr">
        <is>
          <t>Y</t>
        </is>
      </c>
      <c r="M4" s="17" t="inlineStr">
        <is>
          <t>Y</t>
        </is>
      </c>
      <c r="N4" s="17" t="inlineStr">
        <is>
          <t>Y</t>
        </is>
      </c>
      <c r="O4" s="17" t="inlineStr">
        <is>
          <t>대구광역시</t>
        </is>
      </c>
      <c r="P4" s="17" t="inlineStr">
        <is>
          <t>02-920-8208</t>
        </is>
      </c>
      <c r="Q4" s="17" t="inlineStr">
        <is>
          <t>http://www.donga.co.kr</t>
        </is>
      </c>
      <c r="R4" s="17" t="inlineStr">
        <is>
          <t>통합형</t>
        </is>
      </c>
      <c r="S4" s="24" t="n">
        <v>46481</v>
      </c>
      <c r="T4" s="17" t="inlineStr"/>
    </row>
    <row r="5">
      <c r="A5" s="17" t="n">
        <v>4</v>
      </c>
      <c r="B5" s="17" t="inlineStr">
        <is>
          <t>(주)종근당바이오</t>
        </is>
      </c>
      <c r="C5" s="17" t="inlineStr">
        <is>
          <t>종근당바이오</t>
        </is>
      </c>
      <c r="D5" s="18" t="inlineStr">
        <is>
          <t>Tier A</t>
        </is>
      </c>
      <c r="E5" s="17" t="n">
        <v>45</v>
      </c>
      <c r="F5" s="17" t="inlineStr">
        <is>
          <t>Y</t>
        </is>
      </c>
      <c r="G5" s="23" t="inlineStr">
        <is>
          <t>063160</t>
        </is>
      </c>
      <c r="H5" s="22" t="inlineStr">
        <is>
          <t>미확인</t>
        </is>
      </c>
      <c r="I5" s="17" t="n">
        <v>3</v>
      </c>
      <c r="J5" s="17" t="n">
        <v>5</v>
      </c>
      <c r="K5" s="17" t="inlineStr">
        <is>
          <t>Y</t>
        </is>
      </c>
      <c r="L5" s="17" t="inlineStr">
        <is>
          <t>Y</t>
        </is>
      </c>
      <c r="M5" s="17" t="inlineStr">
        <is>
          <t>Y</t>
        </is>
      </c>
      <c r="N5" s="17" t="inlineStr">
        <is>
          <t>Y</t>
        </is>
      </c>
      <c r="O5" s="17" t="inlineStr">
        <is>
          <t>경기도</t>
        </is>
      </c>
      <c r="P5" s="17" t="inlineStr">
        <is>
          <t>031-489-1121</t>
        </is>
      </c>
      <c r="Q5" s="17" t="inlineStr">
        <is>
          <t>http://www.ckdbio.com</t>
        </is>
      </c>
      <c r="R5" s="17" t="inlineStr">
        <is>
          <t>통합형</t>
        </is>
      </c>
      <c r="S5" s="24" t="n">
        <v>46634</v>
      </c>
      <c r="T5" s="17" t="inlineStr"/>
    </row>
    <row r="6">
      <c r="A6" s="17" t="n">
        <v>5</v>
      </c>
      <c r="B6" s="17" t="inlineStr">
        <is>
          <t>(주)대웅제약</t>
        </is>
      </c>
      <c r="C6" s="17" t="inlineStr">
        <is>
          <t>대웅제약</t>
        </is>
      </c>
      <c r="D6" s="18" t="inlineStr">
        <is>
          <t>Tier A</t>
        </is>
      </c>
      <c r="E6" s="17" t="n">
        <v>44</v>
      </c>
      <c r="F6" s="17" t="inlineStr">
        <is>
          <t>Y</t>
        </is>
      </c>
      <c r="G6" s="23" t="inlineStr">
        <is>
          <t>069620</t>
        </is>
      </c>
      <c r="H6" s="22" t="inlineStr">
        <is>
          <t>미확인</t>
        </is>
      </c>
      <c r="I6" s="17" t="n">
        <v>2</v>
      </c>
      <c r="J6" s="17" t="n">
        <v>3</v>
      </c>
      <c r="K6" s="17" t="inlineStr">
        <is>
          <t>Y</t>
        </is>
      </c>
      <c r="L6" s="17" t="inlineStr">
        <is>
          <t>Y</t>
        </is>
      </c>
      <c r="M6" s="17" t="inlineStr">
        <is>
          <t>Y</t>
        </is>
      </c>
      <c r="N6" s="17" t="inlineStr">
        <is>
          <t>Y</t>
        </is>
      </c>
      <c r="O6" s="17" t="inlineStr">
        <is>
          <t>경기도</t>
        </is>
      </c>
      <c r="P6" s="17" t="inlineStr">
        <is>
          <t>02-550-8721</t>
        </is>
      </c>
      <c r="Q6" s="17" t="inlineStr">
        <is>
          <t>http://www.daewoong.co.kr</t>
        </is>
      </c>
      <c r="R6" s="17" t="inlineStr">
        <is>
          <t>통합형</t>
        </is>
      </c>
      <c r="S6" s="24" t="n">
        <v>46258</v>
      </c>
      <c r="T6" s="17" t="inlineStr">
        <is>
          <t>Y</t>
        </is>
      </c>
    </row>
    <row r="7">
      <c r="A7" s="17" t="n">
        <v>6</v>
      </c>
      <c r="B7" s="17" t="inlineStr">
        <is>
          <t>신풍제약(주)</t>
        </is>
      </c>
      <c r="C7" s="17" t="inlineStr">
        <is>
          <t>신풍제약</t>
        </is>
      </c>
      <c r="D7" s="18" t="inlineStr">
        <is>
          <t>Tier A</t>
        </is>
      </c>
      <c r="E7" s="17" t="n">
        <v>43</v>
      </c>
      <c r="F7" s="17" t="inlineStr">
        <is>
          <t>Y</t>
        </is>
      </c>
      <c r="G7" s="23" t="inlineStr">
        <is>
          <t>019170</t>
        </is>
      </c>
      <c r="H7" s="22" t="inlineStr">
        <is>
          <t>미확인</t>
        </is>
      </c>
      <c r="I7" s="17" t="n">
        <v>3</v>
      </c>
      <c r="J7" s="17" t="n">
        <v>5</v>
      </c>
      <c r="K7" s="17" t="inlineStr">
        <is>
          <t>Y</t>
        </is>
      </c>
      <c r="L7" s="17" t="inlineStr">
        <is>
          <t>Y</t>
        </is>
      </c>
      <c r="M7" s="17" t="inlineStr">
        <is>
          <t>Y</t>
        </is>
      </c>
      <c r="N7" s="17" t="inlineStr"/>
      <c r="O7" s="17" t="inlineStr">
        <is>
          <t>경기도</t>
        </is>
      </c>
      <c r="P7" s="17" t="inlineStr">
        <is>
          <t>031-491-6191</t>
        </is>
      </c>
      <c r="Q7" s="17" t="inlineStr">
        <is>
          <t>http://www.shinpoong.co.kr</t>
        </is>
      </c>
      <c r="R7" s="17" t="inlineStr">
        <is>
          <t>통합형</t>
        </is>
      </c>
      <c r="S7" s="24" t="n">
        <v>46349</v>
      </c>
      <c r="T7" s="17" t="inlineStr">
        <is>
          <t>Y</t>
        </is>
      </c>
    </row>
    <row r="8">
      <c r="A8" s="17" t="n">
        <v>7</v>
      </c>
      <c r="B8" s="17" t="inlineStr">
        <is>
          <t>(주)듀켐바이오</t>
        </is>
      </c>
      <c r="C8" s="17" t="inlineStr">
        <is>
          <t>듀켐바이오</t>
        </is>
      </c>
      <c r="D8" s="18" t="inlineStr">
        <is>
          <t>Tier A</t>
        </is>
      </c>
      <c r="E8" s="17" t="n">
        <v>41</v>
      </c>
      <c r="F8" s="17" t="inlineStr">
        <is>
          <t>Y</t>
        </is>
      </c>
      <c r="G8" s="23" t="inlineStr">
        <is>
          <t>176750</t>
        </is>
      </c>
      <c r="H8" s="22" t="inlineStr">
        <is>
          <t>미확인</t>
        </is>
      </c>
      <c r="I8" s="17" t="n">
        <v>5</v>
      </c>
      <c r="J8" s="17" t="n">
        <v>5</v>
      </c>
      <c r="K8" s="17" t="inlineStr">
        <is>
          <t>Y</t>
        </is>
      </c>
      <c r="L8" s="17" t="inlineStr"/>
      <c r="M8" s="17" t="inlineStr">
        <is>
          <t>Y</t>
        </is>
      </c>
      <c r="N8" s="17" t="inlineStr"/>
      <c r="O8" s="17" t="inlineStr">
        <is>
          <t>서울특별시</t>
        </is>
      </c>
      <c r="P8" s="17" t="inlineStr">
        <is>
          <t>051-254-3126</t>
        </is>
      </c>
      <c r="Q8" s="17" t="inlineStr">
        <is>
          <t>http://www.duchembio.com</t>
        </is>
      </c>
      <c r="R8" s="17" t="inlineStr">
        <is>
          <t>통합형</t>
        </is>
      </c>
      <c r="S8" s="24" t="n">
        <v>46283</v>
      </c>
      <c r="T8" s="17" t="inlineStr">
        <is>
          <t>Y</t>
        </is>
      </c>
    </row>
    <row r="9">
      <c r="A9" s="17" t="n">
        <v>8</v>
      </c>
      <c r="B9" s="17" t="inlineStr">
        <is>
          <t>(주)엘지화학</t>
        </is>
      </c>
      <c r="C9" s="17" t="inlineStr">
        <is>
          <t>엘지화학</t>
        </is>
      </c>
      <c r="D9" s="18" t="inlineStr">
        <is>
          <t>Tier A</t>
        </is>
      </c>
      <c r="E9" s="17" t="n">
        <v>40</v>
      </c>
      <c r="F9" s="17" t="inlineStr"/>
      <c r="G9" s="23" t="inlineStr"/>
      <c r="H9" s="22" t="inlineStr">
        <is>
          <t>미확인</t>
        </is>
      </c>
      <c r="I9" s="17" t="n">
        <v>3</v>
      </c>
      <c r="J9" s="17" t="n">
        <v>5</v>
      </c>
      <c r="K9" s="17" t="inlineStr">
        <is>
          <t>Y</t>
        </is>
      </c>
      <c r="L9" s="17" t="inlineStr">
        <is>
          <t>Y</t>
        </is>
      </c>
      <c r="M9" s="17" t="inlineStr">
        <is>
          <t>Y</t>
        </is>
      </c>
      <c r="N9" s="17" t="inlineStr">
        <is>
          <t>Y</t>
        </is>
      </c>
      <c r="O9" s="17" t="inlineStr">
        <is>
          <t>충청북도</t>
        </is>
      </c>
      <c r="P9" s="17" t="inlineStr">
        <is>
          <t>02-3773-3131</t>
        </is>
      </c>
      <c r="Q9" s="17" t="inlineStr"/>
      <c r="R9" s="17" t="inlineStr">
        <is>
          <t>통합형</t>
        </is>
      </c>
      <c r="S9" s="24" t="n">
        <v>46530</v>
      </c>
      <c r="T9" s="17" t="inlineStr"/>
    </row>
    <row r="10">
      <c r="A10" s="17" t="n">
        <v>9</v>
      </c>
      <c r="B10" s="17" t="inlineStr">
        <is>
          <t>(주)셀트리온</t>
        </is>
      </c>
      <c r="C10" s="17" t="inlineStr">
        <is>
          <t>셀트리온</t>
        </is>
      </c>
      <c r="D10" s="18" t="inlineStr">
        <is>
          <t>Tier A</t>
        </is>
      </c>
      <c r="E10" s="17" t="n">
        <v>39</v>
      </c>
      <c r="F10" s="17" t="inlineStr">
        <is>
          <t>Y</t>
        </is>
      </c>
      <c r="G10" s="23" t="inlineStr">
        <is>
          <t>068270</t>
        </is>
      </c>
      <c r="H10" s="22" t="inlineStr">
        <is>
          <t>미확인</t>
        </is>
      </c>
      <c r="I10" s="17" t="n">
        <v>2</v>
      </c>
      <c r="J10" s="17" t="n">
        <v>3</v>
      </c>
      <c r="K10" s="17" t="inlineStr">
        <is>
          <t>Y</t>
        </is>
      </c>
      <c r="L10" s="17" t="inlineStr">
        <is>
          <t>Y</t>
        </is>
      </c>
      <c r="M10" s="17" t="inlineStr">
        <is>
          <t>Y</t>
        </is>
      </c>
      <c r="N10" s="17" t="inlineStr">
        <is>
          <t>Y</t>
        </is>
      </c>
      <c r="O10" s="17" t="inlineStr">
        <is>
          <t>인천광역시</t>
        </is>
      </c>
      <c r="P10" s="17" t="inlineStr">
        <is>
          <t>미확인</t>
        </is>
      </c>
      <c r="Q10" s="17" t="inlineStr">
        <is>
          <t>http://www.celltrion.com</t>
        </is>
      </c>
      <c r="R10" s="17" t="inlineStr">
        <is>
          <t>통합형</t>
        </is>
      </c>
      <c r="S10" s="24" t="n">
        <v>46800</v>
      </c>
      <c r="T10" s="17" t="inlineStr"/>
    </row>
    <row r="11">
      <c r="A11" s="17" t="n">
        <v>10</v>
      </c>
      <c r="B11" s="17" t="inlineStr">
        <is>
          <t>에이치케이이노엔(주)</t>
        </is>
      </c>
      <c r="C11" s="17" t="inlineStr">
        <is>
          <t>에이치케이이노엔</t>
        </is>
      </c>
      <c r="D11" s="18" t="inlineStr">
        <is>
          <t>Tier A</t>
        </is>
      </c>
      <c r="E11" s="17" t="n">
        <v>37</v>
      </c>
      <c r="F11" s="17" t="inlineStr"/>
      <c r="G11" s="23" t="inlineStr"/>
      <c r="H11" s="22" t="inlineStr">
        <is>
          <t>미확인</t>
        </is>
      </c>
      <c r="I11" s="17" t="n">
        <v>3</v>
      </c>
      <c r="J11" s="17" t="n">
        <v>5</v>
      </c>
      <c r="K11" s="17" t="inlineStr">
        <is>
          <t>Y</t>
        </is>
      </c>
      <c r="L11" s="17" t="inlineStr">
        <is>
          <t>Y</t>
        </is>
      </c>
      <c r="M11" s="17" t="inlineStr">
        <is>
          <t>Y</t>
        </is>
      </c>
      <c r="N11" s="17" t="inlineStr">
        <is>
          <t>Y</t>
        </is>
      </c>
      <c r="O11" s="17" t="inlineStr">
        <is>
          <t>충청북도</t>
        </is>
      </c>
      <c r="P11" s="17" t="inlineStr">
        <is>
          <t>031-639-4270</t>
        </is>
      </c>
      <c r="Q11" s="17" t="inlineStr"/>
      <c r="R11" s="17" t="inlineStr">
        <is>
          <t>통합형</t>
        </is>
      </c>
      <c r="S11" s="24" t="n">
        <v>46822</v>
      </c>
      <c r="T11" s="17" t="inlineStr"/>
    </row>
    <row r="12">
      <c r="A12" s="17" t="n">
        <v>11</v>
      </c>
      <c r="B12" s="17" t="inlineStr">
        <is>
          <t>(주)파마리서치바이오</t>
        </is>
      </c>
      <c r="C12" s="17" t="inlineStr">
        <is>
          <t>파마리서치바이오</t>
        </is>
      </c>
      <c r="D12" s="18" t="inlineStr">
        <is>
          <t>Tier A</t>
        </is>
      </c>
      <c r="E12" s="17" t="n">
        <v>37</v>
      </c>
      <c r="F12" s="17" t="inlineStr">
        <is>
          <t>Y</t>
        </is>
      </c>
      <c r="G12" s="23" t="inlineStr">
        <is>
          <t>217950</t>
        </is>
      </c>
      <c r="H12" s="22" t="inlineStr">
        <is>
          <t>미확인</t>
        </is>
      </c>
      <c r="I12" s="17" t="n">
        <v>1</v>
      </c>
      <c r="J12" s="17" t="n">
        <v>2</v>
      </c>
      <c r="K12" s="17" t="inlineStr">
        <is>
          <t>Y</t>
        </is>
      </c>
      <c r="L12" s="17" t="inlineStr">
        <is>
          <t>Y</t>
        </is>
      </c>
      <c r="M12" s="17" t="inlineStr">
        <is>
          <t>Y</t>
        </is>
      </c>
      <c r="N12" s="17" t="inlineStr">
        <is>
          <t>Y</t>
        </is>
      </c>
      <c r="O12" s="17" t="inlineStr">
        <is>
          <t>강원특별자치도</t>
        </is>
      </c>
      <c r="P12" s="17" t="inlineStr">
        <is>
          <t>미확인</t>
        </is>
      </c>
      <c r="Q12" s="17" t="inlineStr">
        <is>
          <t>http://www.pr-bio.co.kr</t>
        </is>
      </c>
      <c r="R12" s="17" t="inlineStr">
        <is>
          <t>QMS+LIMS</t>
        </is>
      </c>
      <c r="S12" s="24" t="n">
        <v>46558</v>
      </c>
      <c r="T12" s="17" t="inlineStr"/>
    </row>
    <row r="13">
      <c r="A13" s="17" t="n">
        <v>12</v>
      </c>
      <c r="B13" s="17" t="inlineStr">
        <is>
          <t>휴젤주식회사</t>
        </is>
      </c>
      <c r="C13" s="17" t="inlineStr">
        <is>
          <t>휴젤</t>
        </is>
      </c>
      <c r="D13" s="18" t="inlineStr">
        <is>
          <t>Tier A</t>
        </is>
      </c>
      <c r="E13" s="17" t="n">
        <v>37</v>
      </c>
      <c r="F13" s="17" t="inlineStr">
        <is>
          <t>Y</t>
        </is>
      </c>
      <c r="G13" s="23" t="inlineStr">
        <is>
          <t>145020</t>
        </is>
      </c>
      <c r="H13" s="22" t="inlineStr">
        <is>
          <t>미확인</t>
        </is>
      </c>
      <c r="I13" s="17" t="n">
        <v>1</v>
      </c>
      <c r="J13" s="17" t="n">
        <v>2</v>
      </c>
      <c r="K13" s="17" t="inlineStr">
        <is>
          <t>Y</t>
        </is>
      </c>
      <c r="L13" s="17" t="inlineStr">
        <is>
          <t>Y</t>
        </is>
      </c>
      <c r="M13" s="17" t="inlineStr">
        <is>
          <t>Y</t>
        </is>
      </c>
      <c r="N13" s="17" t="inlineStr">
        <is>
          <t>Y</t>
        </is>
      </c>
      <c r="O13" s="17" t="inlineStr">
        <is>
          <t>강원특별자치도</t>
        </is>
      </c>
      <c r="P13" s="17" t="inlineStr">
        <is>
          <t>033-255-3882</t>
        </is>
      </c>
      <c r="Q13" s="17" t="inlineStr">
        <is>
          <t>http://www.hugel.co.kr</t>
        </is>
      </c>
      <c r="R13" s="17" t="inlineStr">
        <is>
          <t>QMS+LIMS</t>
        </is>
      </c>
      <c r="S13" s="24" t="n">
        <v>46494</v>
      </c>
      <c r="T13" s="17" t="inlineStr"/>
    </row>
    <row r="14">
      <c r="A14" s="17" t="n">
        <v>13</v>
      </c>
      <c r="B14" s="17" t="inlineStr">
        <is>
          <t>(주)퓨쳐켐</t>
        </is>
      </c>
      <c r="C14" s="17" t="inlineStr">
        <is>
          <t>퓨쳐켐</t>
        </is>
      </c>
      <c r="D14" s="18" t="inlineStr">
        <is>
          <t>Tier A</t>
        </is>
      </c>
      <c r="E14" s="17" t="n">
        <v>36</v>
      </c>
      <c r="F14" s="17" t="inlineStr">
        <is>
          <t>Y</t>
        </is>
      </c>
      <c r="G14" s="23" t="inlineStr">
        <is>
          <t>220100</t>
        </is>
      </c>
      <c r="H14" s="22" t="inlineStr">
        <is>
          <t>미확인</t>
        </is>
      </c>
      <c r="I14" s="17" t="n">
        <v>3</v>
      </c>
      <c r="J14" s="17" t="n">
        <v>3</v>
      </c>
      <c r="K14" s="17" t="inlineStr">
        <is>
          <t>Y</t>
        </is>
      </c>
      <c r="L14" s="17" t="inlineStr">
        <is>
          <t>Y</t>
        </is>
      </c>
      <c r="M14" s="17" t="inlineStr">
        <is>
          <t>Y</t>
        </is>
      </c>
      <c r="N14" s="17" t="inlineStr"/>
      <c r="O14" s="17" t="inlineStr">
        <is>
          <t>서울특별시</t>
        </is>
      </c>
      <c r="P14" s="17" t="inlineStr">
        <is>
          <t>02-2038-2311</t>
        </is>
      </c>
      <c r="Q14" s="17" t="inlineStr"/>
      <c r="R14" s="17" t="inlineStr">
        <is>
          <t>통합형</t>
        </is>
      </c>
      <c r="S14" s="24" t="n">
        <v>47074</v>
      </c>
      <c r="T14" s="17" t="inlineStr"/>
    </row>
    <row r="15">
      <c r="A15" s="17" t="n">
        <v>14</v>
      </c>
      <c r="B15" s="17" t="inlineStr">
        <is>
          <t>영진약품(주)</t>
        </is>
      </c>
      <c r="C15" s="17" t="inlineStr">
        <is>
          <t>영진약품</t>
        </is>
      </c>
      <c r="D15" s="18" t="inlineStr">
        <is>
          <t>Tier A</t>
        </is>
      </c>
      <c r="E15" s="17" t="n">
        <v>36</v>
      </c>
      <c r="F15" s="17" t="inlineStr">
        <is>
          <t>Y</t>
        </is>
      </c>
      <c r="G15" s="23" t="inlineStr">
        <is>
          <t>003520</t>
        </is>
      </c>
      <c r="H15" s="22" t="inlineStr">
        <is>
          <t>미확인</t>
        </is>
      </c>
      <c r="I15" s="17" t="n">
        <v>2</v>
      </c>
      <c r="J15" s="17" t="n">
        <v>2</v>
      </c>
      <c r="K15" s="17" t="inlineStr">
        <is>
          <t>Y</t>
        </is>
      </c>
      <c r="L15" s="17" t="inlineStr">
        <is>
          <t>Y</t>
        </is>
      </c>
      <c r="M15" s="17" t="inlineStr">
        <is>
          <t>Y</t>
        </is>
      </c>
      <c r="N15" s="17" t="inlineStr"/>
      <c r="O15" s="17" t="inlineStr">
        <is>
          <t>경기도</t>
        </is>
      </c>
      <c r="P15" s="17" t="inlineStr">
        <is>
          <t>미확인</t>
        </is>
      </c>
      <c r="Q15" s="17" t="inlineStr">
        <is>
          <t>http://www.yungjin.co.kr</t>
        </is>
      </c>
      <c r="R15" s="17" t="inlineStr">
        <is>
          <t>통합형</t>
        </is>
      </c>
      <c r="S15" s="24" t="n">
        <v>46327</v>
      </c>
      <c r="T15" s="17" t="inlineStr">
        <is>
          <t>Y</t>
        </is>
      </c>
    </row>
    <row r="16">
      <c r="A16" s="17" t="n">
        <v>15</v>
      </c>
      <c r="B16" s="17" t="inlineStr">
        <is>
          <t>일동제약(주)</t>
        </is>
      </c>
      <c r="C16" s="17" t="inlineStr">
        <is>
          <t>일동제약</t>
        </is>
      </c>
      <c r="D16" s="18" t="inlineStr">
        <is>
          <t>Tier A</t>
        </is>
      </c>
      <c r="E16" s="17" t="n">
        <v>36</v>
      </c>
      <c r="F16" s="17" t="inlineStr">
        <is>
          <t>Y</t>
        </is>
      </c>
      <c r="G16" s="23" t="inlineStr">
        <is>
          <t>249420</t>
        </is>
      </c>
      <c r="H16" s="22" t="inlineStr">
        <is>
          <t>미확인</t>
        </is>
      </c>
      <c r="I16" s="17" t="n">
        <v>2</v>
      </c>
      <c r="J16" s="17" t="n">
        <v>2</v>
      </c>
      <c r="K16" s="17" t="inlineStr">
        <is>
          <t>Y</t>
        </is>
      </c>
      <c r="L16" s="17" t="inlineStr">
        <is>
          <t>Y</t>
        </is>
      </c>
      <c r="M16" s="17" t="inlineStr">
        <is>
          <t>Y</t>
        </is>
      </c>
      <c r="N16" s="17" t="inlineStr"/>
      <c r="O16" s="17" t="inlineStr">
        <is>
          <t>충청북도</t>
        </is>
      </c>
      <c r="P16" s="17" t="inlineStr">
        <is>
          <t>02-526-3388</t>
        </is>
      </c>
      <c r="Q16" s="17" t="inlineStr">
        <is>
          <t>http://www.ildong.com</t>
        </is>
      </c>
      <c r="R16" s="17" t="inlineStr">
        <is>
          <t>통합형</t>
        </is>
      </c>
      <c r="S16" s="24" t="n">
        <v>46286</v>
      </c>
      <c r="T16" s="17" t="inlineStr">
        <is>
          <t>Y</t>
        </is>
      </c>
    </row>
    <row r="17">
      <c r="A17" s="17" t="n">
        <v>16</v>
      </c>
      <c r="B17" s="17" t="inlineStr">
        <is>
          <t>(주)바이넥스</t>
        </is>
      </c>
      <c r="C17" s="17" t="inlineStr">
        <is>
          <t>바이넥스</t>
        </is>
      </c>
      <c r="D17" s="18" t="inlineStr">
        <is>
          <t>Tier A</t>
        </is>
      </c>
      <c r="E17" s="17" t="n">
        <v>35</v>
      </c>
      <c r="F17" s="17" t="inlineStr">
        <is>
          <t>Y</t>
        </is>
      </c>
      <c r="G17" s="23" t="inlineStr">
        <is>
          <t>053030</t>
        </is>
      </c>
      <c r="H17" s="22" t="inlineStr">
        <is>
          <t>미확인</t>
        </is>
      </c>
      <c r="I17" s="17" t="n">
        <v>2</v>
      </c>
      <c r="J17" s="17" t="n">
        <v>3</v>
      </c>
      <c r="K17" s="17" t="inlineStr">
        <is>
          <t>Y</t>
        </is>
      </c>
      <c r="L17" s="17" t="inlineStr">
        <is>
          <t>Y</t>
        </is>
      </c>
      <c r="M17" s="17" t="inlineStr">
        <is>
          <t>Y</t>
        </is>
      </c>
      <c r="N17" s="17" t="inlineStr"/>
      <c r="O17" s="17" t="inlineStr">
        <is>
          <t>부산광역시</t>
        </is>
      </c>
      <c r="P17" s="17" t="inlineStr">
        <is>
          <t>032-850-3013</t>
        </is>
      </c>
      <c r="Q17" s="17" t="inlineStr">
        <is>
          <t>http://www.bi-nex.co.kr</t>
        </is>
      </c>
      <c r="R17" s="17" t="inlineStr">
        <is>
          <t>통합형</t>
        </is>
      </c>
      <c r="S17" s="24" t="n">
        <v>46572</v>
      </c>
      <c r="T17" s="17" t="inlineStr"/>
    </row>
    <row r="18">
      <c r="A18" s="17" t="n">
        <v>17</v>
      </c>
      <c r="B18" s="17" t="inlineStr">
        <is>
          <t>(주)종근당</t>
        </is>
      </c>
      <c r="C18" s="17" t="inlineStr">
        <is>
          <t>종근당</t>
        </is>
      </c>
      <c r="D18" s="18" t="inlineStr">
        <is>
          <t>Tier A</t>
        </is>
      </c>
      <c r="E18" s="17" t="n">
        <v>35</v>
      </c>
      <c r="F18" s="17" t="inlineStr">
        <is>
          <t>Y</t>
        </is>
      </c>
      <c r="G18" s="23" t="inlineStr">
        <is>
          <t>185750</t>
        </is>
      </c>
      <c r="H18" s="22" t="inlineStr">
        <is>
          <t>미확인</t>
        </is>
      </c>
      <c r="I18" s="17" t="n">
        <v>2</v>
      </c>
      <c r="J18" s="17" t="n">
        <v>3</v>
      </c>
      <c r="K18" s="17" t="inlineStr">
        <is>
          <t>Y</t>
        </is>
      </c>
      <c r="L18" s="17" t="inlineStr">
        <is>
          <t>Y</t>
        </is>
      </c>
      <c r="M18" s="17" t="inlineStr">
        <is>
          <t>Y</t>
        </is>
      </c>
      <c r="N18" s="17" t="inlineStr"/>
      <c r="O18" s="17" t="inlineStr">
        <is>
          <t>충청남도</t>
        </is>
      </c>
      <c r="P18" s="17" t="inlineStr">
        <is>
          <t>02-2194-0429</t>
        </is>
      </c>
      <c r="Q18" s="17" t="inlineStr">
        <is>
          <t>http://www.ckdpharm.com</t>
        </is>
      </c>
      <c r="R18" s="17" t="inlineStr">
        <is>
          <t>통합형</t>
        </is>
      </c>
      <c r="S18" s="24" t="n">
        <v>46474</v>
      </c>
      <c r="T18" s="17" t="inlineStr"/>
    </row>
    <row r="19">
      <c r="A19" s="17" t="n">
        <v>18</v>
      </c>
      <c r="B19" s="17" t="inlineStr">
        <is>
          <t>삼진제약(주)</t>
        </is>
      </c>
      <c r="C19" s="17" t="inlineStr">
        <is>
          <t>삼진제약</t>
        </is>
      </c>
      <c r="D19" s="18" t="inlineStr">
        <is>
          <t>Tier A</t>
        </is>
      </c>
      <c r="E19" s="17" t="n">
        <v>35</v>
      </c>
      <c r="F19" s="17" t="inlineStr">
        <is>
          <t>Y</t>
        </is>
      </c>
      <c r="G19" s="23" t="inlineStr">
        <is>
          <t>005500</t>
        </is>
      </c>
      <c r="H19" s="22" t="inlineStr">
        <is>
          <t>미확인</t>
        </is>
      </c>
      <c r="I19" s="17" t="n">
        <v>2</v>
      </c>
      <c r="J19" s="17" t="n">
        <v>3</v>
      </c>
      <c r="K19" s="17" t="inlineStr">
        <is>
          <t>Y</t>
        </is>
      </c>
      <c r="L19" s="17" t="inlineStr">
        <is>
          <t>Y</t>
        </is>
      </c>
      <c r="M19" s="17" t="inlineStr">
        <is>
          <t>Y</t>
        </is>
      </c>
      <c r="N19" s="17" t="inlineStr"/>
      <c r="O19" s="17" t="inlineStr">
        <is>
          <t>충청북도</t>
        </is>
      </c>
      <c r="P19" s="17" t="inlineStr">
        <is>
          <t>031-3531-7126</t>
        </is>
      </c>
      <c r="Q19" s="17" t="inlineStr">
        <is>
          <t>http://www.samjinpharm.co.kr</t>
        </is>
      </c>
      <c r="R19" s="17" t="inlineStr">
        <is>
          <t>통합형</t>
        </is>
      </c>
      <c r="S19" s="24" t="n">
        <v>46540</v>
      </c>
      <c r="T19" s="17" t="inlineStr"/>
    </row>
    <row r="20">
      <c r="A20" s="17" t="n">
        <v>19</v>
      </c>
      <c r="B20" s="17" t="inlineStr">
        <is>
          <t>(주)한국비엠아이</t>
        </is>
      </c>
      <c r="C20" s="17" t="inlineStr">
        <is>
          <t>한국비엠아이</t>
        </is>
      </c>
      <c r="D20" s="18" t="inlineStr">
        <is>
          <t>Tier A</t>
        </is>
      </c>
      <c r="E20" s="17" t="n">
        <v>34</v>
      </c>
      <c r="F20" s="17" t="inlineStr"/>
      <c r="G20" s="23" t="inlineStr"/>
      <c r="H20" s="22" t="inlineStr">
        <is>
          <t>미확인</t>
        </is>
      </c>
      <c r="I20" s="17" t="n">
        <v>2</v>
      </c>
      <c r="J20" s="17" t="n">
        <v>3</v>
      </c>
      <c r="K20" s="17" t="inlineStr">
        <is>
          <t>Y</t>
        </is>
      </c>
      <c r="L20" s="17" t="inlineStr">
        <is>
          <t>Y</t>
        </is>
      </c>
      <c r="M20" s="17" t="inlineStr">
        <is>
          <t>Y</t>
        </is>
      </c>
      <c r="N20" s="17" t="inlineStr">
        <is>
          <t>Y</t>
        </is>
      </c>
      <c r="O20" s="17" t="inlineStr">
        <is>
          <t>제주특별자치도</t>
        </is>
      </c>
      <c r="P20" s="17" t="inlineStr">
        <is>
          <t>미확인</t>
        </is>
      </c>
      <c r="Q20" s="17" t="inlineStr"/>
      <c r="R20" s="17" t="inlineStr">
        <is>
          <t>통합형</t>
        </is>
      </c>
      <c r="S20" s="24" t="n">
        <v>46424</v>
      </c>
      <c r="T20" s="17" t="inlineStr"/>
    </row>
    <row r="21">
      <c r="A21" s="17" t="n">
        <v>20</v>
      </c>
      <c r="B21" s="17" t="inlineStr">
        <is>
          <t>(주)제테마</t>
        </is>
      </c>
      <c r="C21" s="17" t="inlineStr">
        <is>
          <t>제테마</t>
        </is>
      </c>
      <c r="D21" s="18" t="inlineStr">
        <is>
          <t>Tier A</t>
        </is>
      </c>
      <c r="E21" s="17" t="n">
        <v>34</v>
      </c>
      <c r="F21" s="17" t="inlineStr">
        <is>
          <t>Y</t>
        </is>
      </c>
      <c r="G21" s="23" t="inlineStr">
        <is>
          <t>216080</t>
        </is>
      </c>
      <c r="H21" s="22" t="inlineStr">
        <is>
          <t>미확인</t>
        </is>
      </c>
      <c r="I21" s="17" t="n">
        <v>1</v>
      </c>
      <c r="J21" s="17" t="n">
        <v>2</v>
      </c>
      <c r="K21" s="17" t="inlineStr">
        <is>
          <t>Y</t>
        </is>
      </c>
      <c r="L21" s="17" t="inlineStr">
        <is>
          <t>Y</t>
        </is>
      </c>
      <c r="M21" s="17" t="inlineStr">
        <is>
          <t>Y</t>
        </is>
      </c>
      <c r="N21" s="17" t="inlineStr">
        <is>
          <t>Y</t>
        </is>
      </c>
      <c r="O21" s="17" t="inlineStr">
        <is>
          <t>강원특별자치도</t>
        </is>
      </c>
      <c r="P21" s="17" t="inlineStr">
        <is>
          <t>미확인</t>
        </is>
      </c>
      <c r="Q21" s="17" t="inlineStr">
        <is>
          <t>http://www.jetema.com</t>
        </is>
      </c>
      <c r="R21" s="17" t="inlineStr">
        <is>
          <t>QMS+LIMS</t>
        </is>
      </c>
      <c r="S21" s="24" t="n">
        <v>47186</v>
      </c>
      <c r="T21" s="17" t="inlineStr"/>
    </row>
    <row r="22">
      <c r="A22" s="17" t="n">
        <v>21</v>
      </c>
      <c r="B22" s="17" t="inlineStr">
        <is>
          <t>(주)한국비엔씨</t>
        </is>
      </c>
      <c r="C22" s="17" t="inlineStr">
        <is>
          <t>한국비엔씨</t>
        </is>
      </c>
      <c r="D22" s="18" t="inlineStr">
        <is>
          <t>Tier A</t>
        </is>
      </c>
      <c r="E22" s="17" t="n">
        <v>34</v>
      </c>
      <c r="F22" s="17" t="inlineStr">
        <is>
          <t>Y</t>
        </is>
      </c>
      <c r="G22" s="23" t="inlineStr">
        <is>
          <t>256840</t>
        </is>
      </c>
      <c r="H22" s="22" t="inlineStr">
        <is>
          <t>미확인</t>
        </is>
      </c>
      <c r="I22" s="17" t="n">
        <v>1</v>
      </c>
      <c r="J22" s="17" t="n">
        <v>2</v>
      </c>
      <c r="K22" s="17" t="inlineStr">
        <is>
          <t>Y</t>
        </is>
      </c>
      <c r="L22" s="17" t="inlineStr">
        <is>
          <t>Y</t>
        </is>
      </c>
      <c r="M22" s="17" t="inlineStr">
        <is>
          <t>Y</t>
        </is>
      </c>
      <c r="N22" s="17" t="inlineStr">
        <is>
          <t>Y</t>
        </is>
      </c>
      <c r="O22" s="17" t="inlineStr">
        <is>
          <t>세종특별자치시</t>
        </is>
      </c>
      <c r="P22" s="17" t="inlineStr">
        <is>
          <t>044-715-5101</t>
        </is>
      </c>
      <c r="Q22" s="17" t="inlineStr">
        <is>
          <t>http://www.bnckorea.co.kr</t>
        </is>
      </c>
      <c r="R22" s="17" t="inlineStr">
        <is>
          <t>QMS+LIMS</t>
        </is>
      </c>
      <c r="S22" s="24" t="n">
        <v>46882</v>
      </c>
      <c r="T22" s="17" t="inlineStr"/>
    </row>
    <row r="23">
      <c r="A23" s="17" t="n">
        <v>22</v>
      </c>
      <c r="B23" s="17" t="inlineStr">
        <is>
          <t>(주)보령</t>
        </is>
      </c>
      <c r="C23" s="17" t="inlineStr">
        <is>
          <t>보령</t>
        </is>
      </c>
      <c r="D23" s="18" t="inlineStr">
        <is>
          <t>Tier A</t>
        </is>
      </c>
      <c r="E23" s="17" t="n">
        <v>33</v>
      </c>
      <c r="F23" s="17" t="inlineStr">
        <is>
          <t>Y</t>
        </is>
      </c>
      <c r="G23" s="23" t="inlineStr">
        <is>
          <t>003850</t>
        </is>
      </c>
      <c r="H23" s="22" t="inlineStr">
        <is>
          <t>미확인</t>
        </is>
      </c>
      <c r="I23" s="17" t="n">
        <v>2</v>
      </c>
      <c r="J23" s="17" t="n">
        <v>4</v>
      </c>
      <c r="K23" s="17" t="inlineStr">
        <is>
          <t>Y</t>
        </is>
      </c>
      <c r="L23" s="17" t="inlineStr">
        <is>
          <t>Y</t>
        </is>
      </c>
      <c r="M23" s="17" t="inlineStr">
        <is>
          <t>Y</t>
        </is>
      </c>
      <c r="N23" s="17" t="inlineStr"/>
      <c r="O23" s="17" t="inlineStr">
        <is>
          <t>경기도</t>
        </is>
      </c>
      <c r="P23" s="17" t="inlineStr">
        <is>
          <t>02-708-8016</t>
        </is>
      </c>
      <c r="Q23" s="17" t="inlineStr">
        <is>
          <t>http://www.boryung.co.kr</t>
        </is>
      </c>
      <c r="R23" s="17" t="inlineStr">
        <is>
          <t>통합형</t>
        </is>
      </c>
      <c r="S23" s="24" t="n">
        <v>46960</v>
      </c>
      <c r="T23" s="17" t="inlineStr"/>
    </row>
    <row r="24">
      <c r="A24" s="17" t="n">
        <v>23</v>
      </c>
      <c r="B24" s="17" t="inlineStr">
        <is>
          <t>동국제약(주)</t>
        </is>
      </c>
      <c r="C24" s="17" t="inlineStr">
        <is>
          <t>동국제약</t>
        </is>
      </c>
      <c r="D24" s="18" t="inlineStr">
        <is>
          <t>Tier A</t>
        </is>
      </c>
      <c r="E24" s="17" t="n">
        <v>33</v>
      </c>
      <c r="F24" s="17" t="inlineStr">
        <is>
          <t>Y</t>
        </is>
      </c>
      <c r="G24" s="23" t="inlineStr">
        <is>
          <t>086450</t>
        </is>
      </c>
      <c r="H24" s="22" t="inlineStr">
        <is>
          <t>미확인</t>
        </is>
      </c>
      <c r="I24" s="17" t="n">
        <v>2</v>
      </c>
      <c r="J24" s="17" t="n">
        <v>4</v>
      </c>
      <c r="K24" s="17" t="inlineStr">
        <is>
          <t>Y</t>
        </is>
      </c>
      <c r="L24" s="17" t="inlineStr">
        <is>
          <t>Y</t>
        </is>
      </c>
      <c r="M24" s="17" t="inlineStr">
        <is>
          <t>Y</t>
        </is>
      </c>
      <c r="N24" s="17" t="inlineStr"/>
      <c r="O24" s="17" t="inlineStr">
        <is>
          <t>충청북도</t>
        </is>
      </c>
      <c r="P24" s="17" t="inlineStr">
        <is>
          <t>02-2191-9856</t>
        </is>
      </c>
      <c r="Q24" s="17" t="inlineStr">
        <is>
          <t>http://www.dkpharm.co.kr</t>
        </is>
      </c>
      <c r="R24" s="17" t="inlineStr">
        <is>
          <t>통합형</t>
        </is>
      </c>
      <c r="S24" s="24" t="n">
        <v>46806</v>
      </c>
      <c r="T24" s="17" t="inlineStr"/>
    </row>
    <row r="25">
      <c r="A25" s="17" t="n">
        <v>24</v>
      </c>
      <c r="B25" s="17" t="inlineStr">
        <is>
          <t>에이치디엑스(주)</t>
        </is>
      </c>
      <c r="C25" s="17" t="inlineStr">
        <is>
          <t>에이치디엑스</t>
        </is>
      </c>
      <c r="D25" s="18" t="inlineStr">
        <is>
          <t>Tier A</t>
        </is>
      </c>
      <c r="E25" s="17" t="n">
        <v>32</v>
      </c>
      <c r="F25" s="17" t="inlineStr"/>
      <c r="G25" s="23" t="inlineStr"/>
      <c r="H25" s="22" t="inlineStr">
        <is>
          <t>미확인</t>
        </is>
      </c>
      <c r="I25" s="17" t="n">
        <v>4</v>
      </c>
      <c r="J25" s="17" t="n">
        <v>4</v>
      </c>
      <c r="K25" s="17" t="inlineStr">
        <is>
          <t>Y</t>
        </is>
      </c>
      <c r="L25" s="17" t="inlineStr"/>
      <c r="M25" s="17" t="inlineStr">
        <is>
          <t>Y</t>
        </is>
      </c>
      <c r="N25" s="17" t="inlineStr"/>
      <c r="O25" s="17" t="inlineStr">
        <is>
          <t>경기도</t>
        </is>
      </c>
      <c r="P25" s="17" t="inlineStr">
        <is>
          <t>061-722-8440</t>
        </is>
      </c>
      <c r="Q25" s="17" t="inlineStr"/>
      <c r="R25" s="17" t="inlineStr">
        <is>
          <t>통합형</t>
        </is>
      </c>
      <c r="S25" s="24" t="n">
        <v>46242</v>
      </c>
      <c r="T25" s="17" t="inlineStr">
        <is>
          <t>Y</t>
        </is>
      </c>
    </row>
    <row r="26">
      <c r="A26" s="17" t="n">
        <v>25</v>
      </c>
      <c r="B26" s="17" t="inlineStr">
        <is>
          <t>(주)유바이오로직스</t>
        </is>
      </c>
      <c r="C26" s="17" t="inlineStr">
        <is>
          <t>유바이오로직스</t>
        </is>
      </c>
      <c r="D26" s="18" t="inlineStr">
        <is>
          <t>Tier A</t>
        </is>
      </c>
      <c r="E26" s="17" t="n">
        <v>32</v>
      </c>
      <c r="F26" s="17" t="inlineStr">
        <is>
          <t>Y</t>
        </is>
      </c>
      <c r="G26" s="23" t="inlineStr">
        <is>
          <t>206650</t>
        </is>
      </c>
      <c r="H26" s="22" t="inlineStr">
        <is>
          <t>미확인</t>
        </is>
      </c>
      <c r="I26" s="17" t="n">
        <v>2</v>
      </c>
      <c r="J26" s="17" t="n">
        <v>4</v>
      </c>
      <c r="K26" s="17" t="inlineStr">
        <is>
          <t>Y</t>
        </is>
      </c>
      <c r="L26" s="17" t="inlineStr">
        <is>
          <t>Y</t>
        </is>
      </c>
      <c r="M26" s="17" t="inlineStr"/>
      <c r="N26" s="17" t="inlineStr">
        <is>
          <t>Y</t>
        </is>
      </c>
      <c r="O26" s="17" t="inlineStr">
        <is>
          <t>강원특별자치도</t>
        </is>
      </c>
      <c r="P26" s="17" t="inlineStr">
        <is>
          <t>070-4235-1105</t>
        </is>
      </c>
      <c r="Q26" s="17" t="inlineStr">
        <is>
          <t>http://www.eubiologics.com</t>
        </is>
      </c>
      <c r="R26" s="17" t="inlineStr">
        <is>
          <t>통합형</t>
        </is>
      </c>
      <c r="S26" s="24" t="n">
        <v>46733</v>
      </c>
      <c r="T26" s="17" t="inlineStr"/>
    </row>
    <row r="27">
      <c r="A27" s="17" t="n">
        <v>26</v>
      </c>
      <c r="B27" s="17" t="inlineStr">
        <is>
          <t>경동제약(주)</t>
        </is>
      </c>
      <c r="C27" s="17" t="inlineStr">
        <is>
          <t>경동제약</t>
        </is>
      </c>
      <c r="D27" s="18" t="inlineStr">
        <is>
          <t>Tier A</t>
        </is>
      </c>
      <c r="E27" s="17" t="n">
        <v>32</v>
      </c>
      <c r="F27" s="17" t="inlineStr">
        <is>
          <t>Y</t>
        </is>
      </c>
      <c r="G27" s="23" t="inlineStr">
        <is>
          <t>011040</t>
        </is>
      </c>
      <c r="H27" s="22" t="inlineStr">
        <is>
          <t>미확인</t>
        </is>
      </c>
      <c r="I27" s="17" t="n">
        <v>2</v>
      </c>
      <c r="J27" s="17" t="n">
        <v>3</v>
      </c>
      <c r="K27" s="17" t="inlineStr">
        <is>
          <t>Y</t>
        </is>
      </c>
      <c r="L27" s="17" t="inlineStr">
        <is>
          <t>Y</t>
        </is>
      </c>
      <c r="M27" s="17" t="inlineStr">
        <is>
          <t>Y</t>
        </is>
      </c>
      <c r="N27" s="17" t="inlineStr"/>
      <c r="O27" s="17" t="inlineStr">
        <is>
          <t>경기도</t>
        </is>
      </c>
      <c r="P27" s="17" t="inlineStr">
        <is>
          <t>02-576-6123</t>
        </is>
      </c>
      <c r="Q27" s="17" t="inlineStr">
        <is>
          <t>http://www.kdpharma.co.kr</t>
        </is>
      </c>
      <c r="R27" s="17" t="inlineStr">
        <is>
          <t>통합형</t>
        </is>
      </c>
      <c r="S27" s="24" t="n">
        <v>46790</v>
      </c>
      <c r="T27" s="17" t="inlineStr"/>
    </row>
    <row r="28">
      <c r="A28" s="17" t="n">
        <v>27</v>
      </c>
      <c r="B28" s="17" t="inlineStr">
        <is>
          <t>이연제약(주)</t>
        </is>
      </c>
      <c r="C28" s="17" t="inlineStr">
        <is>
          <t>이연제약</t>
        </is>
      </c>
      <c r="D28" s="18" t="inlineStr">
        <is>
          <t>Tier A</t>
        </is>
      </c>
      <c r="E28" s="17" t="n">
        <v>32</v>
      </c>
      <c r="F28" s="17" t="inlineStr">
        <is>
          <t>Y</t>
        </is>
      </c>
      <c r="G28" s="23" t="inlineStr">
        <is>
          <t>102460</t>
        </is>
      </c>
      <c r="H28" s="22" t="inlineStr">
        <is>
          <t>미확인</t>
        </is>
      </c>
      <c r="I28" s="17" t="n">
        <v>2</v>
      </c>
      <c r="J28" s="17" t="n">
        <v>3</v>
      </c>
      <c r="K28" s="17" t="inlineStr">
        <is>
          <t>Y</t>
        </is>
      </c>
      <c r="L28" s="17" t="inlineStr">
        <is>
          <t>Y</t>
        </is>
      </c>
      <c r="M28" s="17" t="inlineStr">
        <is>
          <t>Y</t>
        </is>
      </c>
      <c r="N28" s="17" t="inlineStr"/>
      <c r="O28" s="17" t="inlineStr">
        <is>
          <t>충청북도</t>
        </is>
      </c>
      <c r="P28" s="17" t="inlineStr">
        <is>
          <t>043-840-6300</t>
        </is>
      </c>
      <c r="Q28" s="17" t="inlineStr">
        <is>
          <t>http://reyonpharm.co.kr</t>
        </is>
      </c>
      <c r="R28" s="17" t="inlineStr">
        <is>
          <t>통합형</t>
        </is>
      </c>
      <c r="S28" s="24" t="n">
        <v>46990</v>
      </c>
      <c r="T28" s="17" t="inlineStr"/>
    </row>
    <row r="29">
      <c r="A29" s="17" t="n">
        <v>28</v>
      </c>
      <c r="B29" s="17" t="inlineStr">
        <is>
          <t>하나제약(주)</t>
        </is>
      </c>
      <c r="C29" s="17" t="inlineStr">
        <is>
          <t>하나제약</t>
        </is>
      </c>
      <c r="D29" s="18" t="inlineStr">
        <is>
          <t>Tier A</t>
        </is>
      </c>
      <c r="E29" s="17" t="n">
        <v>32</v>
      </c>
      <c r="F29" s="17" t="inlineStr">
        <is>
          <t>Y</t>
        </is>
      </c>
      <c r="G29" s="23" t="inlineStr">
        <is>
          <t>293480</t>
        </is>
      </c>
      <c r="H29" s="22" t="inlineStr">
        <is>
          <t>미확인</t>
        </is>
      </c>
      <c r="I29" s="17" t="n">
        <v>2</v>
      </c>
      <c r="J29" s="17" t="n">
        <v>3</v>
      </c>
      <c r="K29" s="17" t="inlineStr">
        <is>
          <t>Y</t>
        </is>
      </c>
      <c r="L29" s="17" t="inlineStr">
        <is>
          <t>Y</t>
        </is>
      </c>
      <c r="M29" s="17" t="inlineStr">
        <is>
          <t>Y</t>
        </is>
      </c>
      <c r="N29" s="17" t="inlineStr"/>
      <c r="O29" s="17" t="inlineStr">
        <is>
          <t>경기도</t>
        </is>
      </c>
      <c r="P29" s="17" t="inlineStr">
        <is>
          <t>031-366-5511</t>
        </is>
      </c>
      <c r="Q29" s="17" t="inlineStr">
        <is>
          <t>http://www.hanaph.co.kr</t>
        </is>
      </c>
      <c r="R29" s="17" t="inlineStr">
        <is>
          <t>통합형</t>
        </is>
      </c>
      <c r="S29" s="24" t="n">
        <v>46842</v>
      </c>
      <c r="T29" s="17" t="inlineStr"/>
    </row>
    <row r="30">
      <c r="A30" s="17" t="n">
        <v>29</v>
      </c>
      <c r="B30" s="17" t="inlineStr">
        <is>
          <t>한미약품(주)</t>
        </is>
      </c>
      <c r="C30" s="17" t="inlineStr">
        <is>
          <t>한미약품</t>
        </is>
      </c>
      <c r="D30" s="18" t="inlineStr">
        <is>
          <t>Tier A</t>
        </is>
      </c>
      <c r="E30" s="17" t="n">
        <v>32</v>
      </c>
      <c r="F30" s="17" t="inlineStr">
        <is>
          <t>Y</t>
        </is>
      </c>
      <c r="G30" s="23" t="inlineStr">
        <is>
          <t>128940</t>
        </is>
      </c>
      <c r="H30" s="22" t="inlineStr">
        <is>
          <t>미확인</t>
        </is>
      </c>
      <c r="I30" s="17" t="n">
        <v>2</v>
      </c>
      <c r="J30" s="17" t="n">
        <v>3</v>
      </c>
      <c r="K30" s="17" t="inlineStr">
        <is>
          <t>Y</t>
        </is>
      </c>
      <c r="L30" s="17" t="inlineStr">
        <is>
          <t>Y</t>
        </is>
      </c>
      <c r="M30" s="17" t="inlineStr">
        <is>
          <t>Y</t>
        </is>
      </c>
      <c r="N30" s="17" t="inlineStr"/>
      <c r="O30" s="17" t="inlineStr">
        <is>
          <t>경기도</t>
        </is>
      </c>
      <c r="P30" s="17" t="inlineStr">
        <is>
          <t>02-410-9114</t>
        </is>
      </c>
      <c r="Q30" s="17" t="inlineStr"/>
      <c r="R30" s="17" t="inlineStr">
        <is>
          <t>통합형</t>
        </is>
      </c>
      <c r="S30" s="24" t="n">
        <v>46885</v>
      </c>
      <c r="T30" s="17" t="inlineStr"/>
    </row>
    <row r="31">
      <c r="A31" s="17" t="n">
        <v>30</v>
      </c>
      <c r="B31" s="17" t="inlineStr">
        <is>
          <t>(주)삼양바이오팜</t>
        </is>
      </c>
      <c r="C31" s="17" t="inlineStr">
        <is>
          <t>삼양바이오팜</t>
        </is>
      </c>
      <c r="D31" s="18" t="inlineStr">
        <is>
          <t>Tier A</t>
        </is>
      </c>
      <c r="E31" s="17" t="n">
        <v>32</v>
      </c>
      <c r="F31" s="17" t="inlineStr">
        <is>
          <t>Y</t>
        </is>
      </c>
      <c r="G31" s="23" t="inlineStr">
        <is>
          <t>0120G0</t>
        </is>
      </c>
      <c r="H31" s="22" t="inlineStr">
        <is>
          <t>미확인</t>
        </is>
      </c>
      <c r="I31" s="17" t="n">
        <v>1</v>
      </c>
      <c r="J31" s="17" t="n">
        <v>2</v>
      </c>
      <c r="K31" s="17" t="inlineStr">
        <is>
          <t>Y</t>
        </is>
      </c>
      <c r="L31" s="17" t="inlineStr">
        <is>
          <t>Y</t>
        </is>
      </c>
      <c r="M31" s="17" t="inlineStr">
        <is>
          <t>Y</t>
        </is>
      </c>
      <c r="N31" s="17" t="inlineStr"/>
      <c r="O31" s="17" t="inlineStr">
        <is>
          <t>대전광역시</t>
        </is>
      </c>
      <c r="P31" s="17" t="inlineStr">
        <is>
          <t>042-930-3127</t>
        </is>
      </c>
      <c r="Q31" s="17" t="inlineStr">
        <is>
          <t>http://www.samyangbiopharm.com</t>
        </is>
      </c>
      <c r="R31" s="17" t="inlineStr">
        <is>
          <t>QMS+LIMS</t>
        </is>
      </c>
      <c r="S31" s="24" t="n">
        <v>46334</v>
      </c>
      <c r="T31" s="17" t="inlineStr">
        <is>
          <t>Y</t>
        </is>
      </c>
    </row>
    <row r="32">
      <c r="A32" s="17" t="n">
        <v>31</v>
      </c>
      <c r="B32" s="17" t="inlineStr">
        <is>
          <t>동국생명과학(주)</t>
        </is>
      </c>
      <c r="C32" s="17" t="inlineStr">
        <is>
          <t>동국생명과학</t>
        </is>
      </c>
      <c r="D32" s="18" t="inlineStr">
        <is>
          <t>Tier A</t>
        </is>
      </c>
      <c r="E32" s="17" t="n">
        <v>32</v>
      </c>
      <c r="F32" s="17" t="inlineStr">
        <is>
          <t>Y</t>
        </is>
      </c>
      <c r="G32" s="23" t="inlineStr">
        <is>
          <t>303810</t>
        </is>
      </c>
      <c r="H32" s="22" t="inlineStr">
        <is>
          <t>미확인</t>
        </is>
      </c>
      <c r="I32" s="17" t="n">
        <v>1</v>
      </c>
      <c r="J32" s="17" t="n">
        <v>2</v>
      </c>
      <c r="K32" s="17" t="inlineStr">
        <is>
          <t>Y</t>
        </is>
      </c>
      <c r="L32" s="17" t="inlineStr">
        <is>
          <t>Y</t>
        </is>
      </c>
      <c r="M32" s="17" t="inlineStr">
        <is>
          <t>Y</t>
        </is>
      </c>
      <c r="N32" s="17" t="inlineStr"/>
      <c r="O32" s="17" t="inlineStr">
        <is>
          <t>경기도</t>
        </is>
      </c>
      <c r="P32" s="17" t="inlineStr">
        <is>
          <t>미확인</t>
        </is>
      </c>
      <c r="Q32" s="17" t="inlineStr">
        <is>
          <t>http://dkls.co.kr</t>
        </is>
      </c>
      <c r="R32" s="17" t="inlineStr">
        <is>
          <t>QMS+LIMS</t>
        </is>
      </c>
      <c r="S32" s="24" t="n">
        <v>46272</v>
      </c>
      <c r="T32" s="17" t="inlineStr">
        <is>
          <t>Y</t>
        </is>
      </c>
    </row>
    <row r="33">
      <c r="A33" s="17" t="n">
        <v>32</v>
      </c>
      <c r="B33" s="17" t="inlineStr">
        <is>
          <t>(주)하이텍팜</t>
        </is>
      </c>
      <c r="C33" s="17" t="inlineStr">
        <is>
          <t>하이텍팜</t>
        </is>
      </c>
      <c r="D33" s="18" t="inlineStr">
        <is>
          <t>Tier A</t>
        </is>
      </c>
      <c r="E33" s="17" t="n">
        <v>31</v>
      </c>
      <c r="F33" s="17" t="inlineStr">
        <is>
          <t>Y</t>
        </is>
      </c>
      <c r="G33" s="23" t="inlineStr">
        <is>
          <t>106190</t>
        </is>
      </c>
      <c r="H33" s="22" t="inlineStr">
        <is>
          <t>미확인</t>
        </is>
      </c>
      <c r="I33" s="17" t="n">
        <v>2</v>
      </c>
      <c r="J33" s="17" t="n">
        <v>2</v>
      </c>
      <c r="K33" s="17" t="inlineStr"/>
      <c r="L33" s="17" t="inlineStr">
        <is>
          <t>Y</t>
        </is>
      </c>
      <c r="M33" s="17" t="inlineStr">
        <is>
          <t>Y</t>
        </is>
      </c>
      <c r="N33" s="17" t="inlineStr"/>
      <c r="O33" s="17" t="inlineStr">
        <is>
          <t>충청북도</t>
        </is>
      </c>
      <c r="P33" s="17" t="inlineStr">
        <is>
          <t>043-883-0012</t>
        </is>
      </c>
      <c r="Q33" s="17" t="inlineStr">
        <is>
          <t>http://www.htpharm.com</t>
        </is>
      </c>
      <c r="R33" s="17" t="inlineStr">
        <is>
          <t>통합형</t>
        </is>
      </c>
      <c r="S33" s="24" t="n">
        <v>46634</v>
      </c>
      <c r="T33" s="17" t="inlineStr"/>
    </row>
    <row r="34">
      <c r="A34" s="17" t="n">
        <v>33</v>
      </c>
      <c r="B34" s="17" t="inlineStr">
        <is>
          <t>(주)휴온스</t>
        </is>
      </c>
      <c r="C34" s="17" t="inlineStr">
        <is>
          <t>휴온스</t>
        </is>
      </c>
      <c r="D34" s="18" t="inlineStr">
        <is>
          <t>Tier A</t>
        </is>
      </c>
      <c r="E34" s="17" t="n">
        <v>31</v>
      </c>
      <c r="F34" s="17" t="inlineStr">
        <is>
          <t>Y</t>
        </is>
      </c>
      <c r="G34" s="23" t="inlineStr">
        <is>
          <t>243070</t>
        </is>
      </c>
      <c r="H34" s="22" t="inlineStr">
        <is>
          <t>미확인</t>
        </is>
      </c>
      <c r="I34" s="17" t="n">
        <v>2</v>
      </c>
      <c r="J34" s="17" t="n">
        <v>2</v>
      </c>
      <c r="K34" s="17" t="inlineStr">
        <is>
          <t>Y</t>
        </is>
      </c>
      <c r="L34" s="17" t="inlineStr"/>
      <c r="M34" s="17" t="inlineStr">
        <is>
          <t>Y</t>
        </is>
      </c>
      <c r="N34" s="17" t="inlineStr"/>
      <c r="O34" s="17" t="inlineStr">
        <is>
          <t>충청북도</t>
        </is>
      </c>
      <c r="P34" s="17" t="inlineStr">
        <is>
          <t>미확인</t>
        </is>
      </c>
      <c r="Q34" s="17" t="inlineStr">
        <is>
          <t>http://www.huons.com</t>
        </is>
      </c>
      <c r="R34" s="17" t="inlineStr">
        <is>
          <t>통합형</t>
        </is>
      </c>
      <c r="S34" s="24" t="n">
        <v>46275</v>
      </c>
      <c r="T34" s="17" t="inlineStr">
        <is>
          <t>Y</t>
        </is>
      </c>
    </row>
    <row r="35">
      <c r="A35" s="17" t="n">
        <v>34</v>
      </c>
      <c r="B35" s="17" t="inlineStr">
        <is>
          <t>대원제약(주)</t>
        </is>
      </c>
      <c r="C35" s="17" t="inlineStr">
        <is>
          <t>대원제약</t>
        </is>
      </c>
      <c r="D35" s="18" t="inlineStr">
        <is>
          <t>Tier A</t>
        </is>
      </c>
      <c r="E35" s="17" t="n">
        <v>31</v>
      </c>
      <c r="F35" s="17" t="inlineStr">
        <is>
          <t>Y</t>
        </is>
      </c>
      <c r="G35" s="23" t="inlineStr">
        <is>
          <t>003220</t>
        </is>
      </c>
      <c r="H35" s="22" t="inlineStr">
        <is>
          <t>미확인</t>
        </is>
      </c>
      <c r="I35" s="17" t="n">
        <v>2</v>
      </c>
      <c r="J35" s="17" t="n">
        <v>2</v>
      </c>
      <c r="K35" s="17" t="inlineStr">
        <is>
          <t>Y</t>
        </is>
      </c>
      <c r="L35" s="17" t="inlineStr"/>
      <c r="M35" s="17" t="inlineStr">
        <is>
          <t>Y</t>
        </is>
      </c>
      <c r="N35" s="17" t="inlineStr"/>
      <c r="O35" s="17" t="inlineStr">
        <is>
          <t>충청북도</t>
        </is>
      </c>
      <c r="P35" s="17" t="inlineStr">
        <is>
          <t>02-2204-6965</t>
        </is>
      </c>
      <c r="Q35" s="17" t="inlineStr">
        <is>
          <t>http://www.daewonpharm.com</t>
        </is>
      </c>
      <c r="R35" s="17" t="inlineStr">
        <is>
          <t>통합형</t>
        </is>
      </c>
      <c r="S35" s="24" t="n">
        <v>46307</v>
      </c>
      <c r="T35" s="17" t="inlineStr">
        <is>
          <t>Y</t>
        </is>
      </c>
    </row>
    <row r="36">
      <c r="A36" s="17" t="n">
        <v>35</v>
      </c>
      <c r="B36" s="17" t="inlineStr">
        <is>
          <t>명인제약(주)</t>
        </is>
      </c>
      <c r="C36" s="17" t="inlineStr">
        <is>
          <t>명인제약</t>
        </is>
      </c>
      <c r="D36" s="18" t="inlineStr">
        <is>
          <t>Tier A</t>
        </is>
      </c>
      <c r="E36" s="17" t="n">
        <v>31</v>
      </c>
      <c r="F36" s="17" t="inlineStr">
        <is>
          <t>Y</t>
        </is>
      </c>
      <c r="G36" s="23" t="inlineStr">
        <is>
          <t>317450</t>
        </is>
      </c>
      <c r="H36" s="22" t="inlineStr">
        <is>
          <t>미확인</t>
        </is>
      </c>
      <c r="I36" s="17" t="n">
        <v>2</v>
      </c>
      <c r="J36" s="17" t="n">
        <v>2</v>
      </c>
      <c r="K36" s="17" t="inlineStr">
        <is>
          <t>Y</t>
        </is>
      </c>
      <c r="L36" s="17" t="inlineStr">
        <is>
          <t>Y</t>
        </is>
      </c>
      <c r="M36" s="17" t="inlineStr">
        <is>
          <t>Y</t>
        </is>
      </c>
      <c r="N36" s="17" t="inlineStr"/>
      <c r="O36" s="17" t="inlineStr">
        <is>
          <t>경기도</t>
        </is>
      </c>
      <c r="P36" s="17" t="inlineStr">
        <is>
          <t>02-587-9060</t>
        </is>
      </c>
      <c r="Q36" s="17" t="inlineStr">
        <is>
          <t>http://www.myunginph.co.kr</t>
        </is>
      </c>
      <c r="R36" s="17" t="inlineStr">
        <is>
          <t>통합형</t>
        </is>
      </c>
      <c r="S36" s="24" t="n">
        <v>46836</v>
      </c>
      <c r="T36" s="17" t="inlineStr"/>
    </row>
    <row r="37">
      <c r="A37" s="17" t="n">
        <v>36</v>
      </c>
      <c r="B37" s="17" t="inlineStr">
        <is>
          <t>일양약품(주)</t>
        </is>
      </c>
      <c r="C37" s="17" t="inlineStr">
        <is>
          <t>일양약품</t>
        </is>
      </c>
      <c r="D37" s="18" t="inlineStr">
        <is>
          <t>Tier A</t>
        </is>
      </c>
      <c r="E37" s="17" t="n">
        <v>31</v>
      </c>
      <c r="F37" s="17" t="inlineStr">
        <is>
          <t>Y</t>
        </is>
      </c>
      <c r="G37" s="23" t="inlineStr">
        <is>
          <t>007570</t>
        </is>
      </c>
      <c r="H37" s="22" t="inlineStr">
        <is>
          <t>미확인</t>
        </is>
      </c>
      <c r="I37" s="17" t="n">
        <v>2</v>
      </c>
      <c r="J37" s="17" t="n">
        <v>3</v>
      </c>
      <c r="K37" s="17" t="inlineStr">
        <is>
          <t>Y</t>
        </is>
      </c>
      <c r="L37" s="17" t="inlineStr">
        <is>
          <t>Y</t>
        </is>
      </c>
      <c r="M37" s="17" t="inlineStr"/>
      <c r="N37" s="17" t="inlineStr">
        <is>
          <t>Y</t>
        </is>
      </c>
      <c r="O37" s="17" t="inlineStr">
        <is>
          <t>경기도</t>
        </is>
      </c>
      <c r="P37" s="17" t="inlineStr">
        <is>
          <t>031-281-7851</t>
        </is>
      </c>
      <c r="Q37" s="17" t="inlineStr">
        <is>
          <t>http://www.ilyang.co.kr</t>
        </is>
      </c>
      <c r="R37" s="17" t="inlineStr">
        <is>
          <t>통합형</t>
        </is>
      </c>
      <c r="S37" s="24" t="n">
        <v>46683</v>
      </c>
      <c r="T37" s="17" t="inlineStr"/>
    </row>
    <row r="38">
      <c r="A38" s="17" t="n">
        <v>37</v>
      </c>
      <c r="B38" s="17" t="inlineStr">
        <is>
          <t>(주)휴온스바이오파마</t>
        </is>
      </c>
      <c r="C38" s="17" t="inlineStr">
        <is>
          <t>휴온스바이오파마</t>
        </is>
      </c>
      <c r="D38" s="18" t="inlineStr">
        <is>
          <t>Tier A</t>
        </is>
      </c>
      <c r="E38" s="17" t="n">
        <v>31</v>
      </c>
      <c r="F38" s="17" t="inlineStr"/>
      <c r="G38" s="23" t="inlineStr"/>
      <c r="H38" s="22" t="inlineStr">
        <is>
          <t>미확인</t>
        </is>
      </c>
      <c r="I38" s="17" t="n">
        <v>1</v>
      </c>
      <c r="J38" s="17" t="n">
        <v>2</v>
      </c>
      <c r="K38" s="17" t="inlineStr">
        <is>
          <t>Y</t>
        </is>
      </c>
      <c r="L38" s="17" t="inlineStr">
        <is>
          <t>Y</t>
        </is>
      </c>
      <c r="M38" s="17" t="inlineStr">
        <is>
          <t>Y</t>
        </is>
      </c>
      <c r="N38" s="17" t="inlineStr">
        <is>
          <t>Y</t>
        </is>
      </c>
      <c r="O38" s="17" t="inlineStr">
        <is>
          <t>충청북도</t>
        </is>
      </c>
      <c r="P38" s="17" t="inlineStr">
        <is>
          <t>070-7492-3131</t>
        </is>
      </c>
      <c r="Q38" s="17" t="inlineStr"/>
      <c r="R38" s="17" t="inlineStr">
        <is>
          <t>QMS+LIMS</t>
        </is>
      </c>
      <c r="S38" s="24" t="n">
        <v>46362</v>
      </c>
      <c r="T38" s="17" t="inlineStr">
        <is>
          <t>Y</t>
        </is>
      </c>
    </row>
    <row r="39">
      <c r="A39" s="17" t="n">
        <v>38</v>
      </c>
      <c r="B39" s="17" t="inlineStr">
        <is>
          <t>에스케이플라즈마(주)</t>
        </is>
      </c>
      <c r="C39" s="17" t="inlineStr">
        <is>
          <t>에스케이플라즈마</t>
        </is>
      </c>
      <c r="D39" s="18" t="inlineStr">
        <is>
          <t>Tier A</t>
        </is>
      </c>
      <c r="E39" s="17" t="n">
        <v>31</v>
      </c>
      <c r="F39" s="17" t="inlineStr"/>
      <c r="G39" s="23" t="inlineStr"/>
      <c r="H39" s="22" t="inlineStr">
        <is>
          <t>미확인</t>
        </is>
      </c>
      <c r="I39" s="17" t="n">
        <v>1</v>
      </c>
      <c r="J39" s="17" t="n">
        <v>2</v>
      </c>
      <c r="K39" s="17" t="inlineStr">
        <is>
          <t>Y</t>
        </is>
      </c>
      <c r="L39" s="17" t="inlineStr">
        <is>
          <t>Y</t>
        </is>
      </c>
      <c r="M39" s="17" t="inlineStr">
        <is>
          <t>Y</t>
        </is>
      </c>
      <c r="N39" s="17" t="inlineStr">
        <is>
          <t>Y</t>
        </is>
      </c>
      <c r="O39" s="17" t="inlineStr">
        <is>
          <t>경상북도</t>
        </is>
      </c>
      <c r="P39" s="17" t="inlineStr">
        <is>
          <t>미확인</t>
        </is>
      </c>
      <c r="Q39" s="17" t="inlineStr"/>
      <c r="R39" s="17" t="inlineStr">
        <is>
          <t>QMS+LIMS</t>
        </is>
      </c>
      <c r="S39" s="24" t="n">
        <v>46349</v>
      </c>
      <c r="T39" s="17" t="inlineStr">
        <is>
          <t>Y</t>
        </is>
      </c>
    </row>
    <row r="40">
      <c r="A40" s="17" t="n">
        <v>39</v>
      </c>
      <c r="B40" s="17" t="inlineStr">
        <is>
          <t>테고사이언스(주)</t>
        </is>
      </c>
      <c r="C40" s="17" t="inlineStr">
        <is>
          <t>테고사이언스</t>
        </is>
      </c>
      <c r="D40" s="18" t="inlineStr">
        <is>
          <t>Tier A</t>
        </is>
      </c>
      <c r="E40" s="17" t="n">
        <v>31</v>
      </c>
      <c r="F40" s="17" t="inlineStr">
        <is>
          <t>Y</t>
        </is>
      </c>
      <c r="G40" s="23" t="inlineStr">
        <is>
          <t>191420</t>
        </is>
      </c>
      <c r="H40" s="22" t="inlineStr">
        <is>
          <t>미확인</t>
        </is>
      </c>
      <c r="I40" s="17" t="n">
        <v>1</v>
      </c>
      <c r="J40" s="17" t="n">
        <v>1</v>
      </c>
      <c r="K40" s="17" t="inlineStr">
        <is>
          <t>Y</t>
        </is>
      </c>
      <c r="L40" s="17" t="inlineStr"/>
      <c r="M40" s="17" t="inlineStr">
        <is>
          <t>Y</t>
        </is>
      </c>
      <c r="N40" s="17" t="inlineStr">
        <is>
          <t>Y</t>
        </is>
      </c>
      <c r="O40" s="17" t="inlineStr">
        <is>
          <t>서울특별시</t>
        </is>
      </c>
      <c r="P40" s="17" t="inlineStr">
        <is>
          <t>02-818-2927</t>
        </is>
      </c>
      <c r="Q40" s="17" t="inlineStr">
        <is>
          <t>http://www.tegoscience.com</t>
        </is>
      </c>
      <c r="R40" s="17" t="inlineStr">
        <is>
          <t>QMS+LIMS</t>
        </is>
      </c>
      <c r="S40" s="24" t="n">
        <v>46452</v>
      </c>
      <c r="T40" s="17" t="inlineStr"/>
    </row>
    <row r="41">
      <c r="A41" s="17" t="n">
        <v>40</v>
      </c>
      <c r="B41" s="17" t="inlineStr">
        <is>
          <t>(주)팬젠</t>
        </is>
      </c>
      <c r="C41" s="17" t="inlineStr">
        <is>
          <t>팬젠</t>
        </is>
      </c>
      <c r="D41" s="18" t="inlineStr">
        <is>
          <t>Tier A</t>
        </is>
      </c>
      <c r="E41" s="17" t="n">
        <v>30</v>
      </c>
      <c r="F41" s="17" t="inlineStr">
        <is>
          <t>Y</t>
        </is>
      </c>
      <c r="G41" s="23" t="inlineStr">
        <is>
          <t>222110</t>
        </is>
      </c>
      <c r="H41" s="22" t="inlineStr">
        <is>
          <t>미확인</t>
        </is>
      </c>
      <c r="I41" s="17" t="n">
        <v>1</v>
      </c>
      <c r="J41" s="17" t="n">
        <v>1</v>
      </c>
      <c r="K41" s="17" t="inlineStr"/>
      <c r="L41" s="17" t="inlineStr">
        <is>
          <t>Y</t>
        </is>
      </c>
      <c r="M41" s="17" t="inlineStr"/>
      <c r="N41" s="17" t="inlineStr">
        <is>
          <t>Y</t>
        </is>
      </c>
      <c r="O41" s="17" t="inlineStr">
        <is>
          <t>경기도</t>
        </is>
      </c>
      <c r="P41" s="17" t="inlineStr">
        <is>
          <t>031-733-9165</t>
        </is>
      </c>
      <c r="Q41" s="17" t="inlineStr">
        <is>
          <t>http://www.pangen.com</t>
        </is>
      </c>
      <c r="R41" s="17" t="inlineStr">
        <is>
          <t>QMS+LIMS</t>
        </is>
      </c>
      <c r="S41" s="24" t="n">
        <v>46320</v>
      </c>
      <c r="T41" s="17" t="inlineStr">
        <is>
          <t>Y</t>
        </is>
      </c>
    </row>
    <row r="42">
      <c r="A42" s="17" t="n">
        <v>41</v>
      </c>
      <c r="B42" s="17" t="inlineStr">
        <is>
          <t>한국코러스(주)</t>
        </is>
      </c>
      <c r="C42" s="17" t="inlineStr">
        <is>
          <t>한국코러스</t>
        </is>
      </c>
      <c r="D42" s="26" t="inlineStr">
        <is>
          <t>Tier B</t>
        </is>
      </c>
      <c r="E42" s="17" t="n">
        <v>29</v>
      </c>
      <c r="F42" s="17" t="inlineStr"/>
      <c r="G42" s="23" t="inlineStr"/>
      <c r="H42" s="22" t="inlineStr">
        <is>
          <t>미확인</t>
        </is>
      </c>
      <c r="I42" s="17" t="n">
        <v>3</v>
      </c>
      <c r="J42" s="17" t="n">
        <v>4</v>
      </c>
      <c r="K42" s="17" t="inlineStr">
        <is>
          <t>Y</t>
        </is>
      </c>
      <c r="L42" s="17" t="inlineStr">
        <is>
          <t>Y</t>
        </is>
      </c>
      <c r="M42" s="17" t="inlineStr">
        <is>
          <t>Y</t>
        </is>
      </c>
      <c r="N42" s="17" t="inlineStr"/>
      <c r="O42" s="17" t="inlineStr">
        <is>
          <t>강원특별자치도</t>
        </is>
      </c>
      <c r="P42" s="17" t="inlineStr">
        <is>
          <t>043-644-8457</t>
        </is>
      </c>
      <c r="Q42" s="17" t="inlineStr"/>
      <c r="R42" s="17" t="inlineStr">
        <is>
          <t>통합형</t>
        </is>
      </c>
      <c r="S42" s="24" t="n">
        <v>46778</v>
      </c>
      <c r="T42" s="17" t="inlineStr"/>
    </row>
    <row r="43">
      <c r="A43" s="17" t="n">
        <v>42</v>
      </c>
      <c r="B43" s="17" t="inlineStr">
        <is>
          <t>화일약품(주)</t>
        </is>
      </c>
      <c r="C43" s="17" t="inlineStr">
        <is>
          <t>화일약품</t>
        </is>
      </c>
      <c r="D43" s="26" t="inlineStr">
        <is>
          <t>Tier B</t>
        </is>
      </c>
      <c r="E43" s="17" t="n">
        <v>28</v>
      </c>
      <c r="F43" s="17" t="inlineStr">
        <is>
          <t>Y</t>
        </is>
      </c>
      <c r="G43" s="23" t="inlineStr">
        <is>
          <t>061250</t>
        </is>
      </c>
      <c r="H43" s="22" t="inlineStr">
        <is>
          <t>미확인</t>
        </is>
      </c>
      <c r="I43" s="17" t="n">
        <v>2</v>
      </c>
      <c r="J43" s="17" t="n">
        <v>2</v>
      </c>
      <c r="K43" s="17" t="inlineStr">
        <is>
          <t>Y</t>
        </is>
      </c>
      <c r="L43" s="17" t="inlineStr">
        <is>
          <t>Y</t>
        </is>
      </c>
      <c r="M43" s="17" t="inlineStr"/>
      <c r="N43" s="17" t="inlineStr"/>
      <c r="O43" s="17" t="inlineStr">
        <is>
          <t>경기도</t>
        </is>
      </c>
      <c r="P43" s="17" t="inlineStr">
        <is>
          <t>031-491-4042</t>
        </is>
      </c>
      <c r="Q43" s="17" t="inlineStr">
        <is>
          <t>http://www.hwail.com</t>
        </is>
      </c>
      <c r="R43" s="17" t="inlineStr">
        <is>
          <t>통합형</t>
        </is>
      </c>
      <c r="S43" s="24" t="n">
        <v>46328</v>
      </c>
      <c r="T43" s="17" t="inlineStr">
        <is>
          <t>Y</t>
        </is>
      </c>
    </row>
    <row r="44">
      <c r="A44" s="17" t="n">
        <v>43</v>
      </c>
      <c r="B44" s="17" t="inlineStr">
        <is>
          <t>(주)바이오솔루션</t>
        </is>
      </c>
      <c r="C44" s="17" t="inlineStr">
        <is>
          <t>바이오솔루션</t>
        </is>
      </c>
      <c r="D44" s="26" t="inlineStr">
        <is>
          <t>Tier B</t>
        </is>
      </c>
      <c r="E44" s="17" t="n">
        <v>28</v>
      </c>
      <c r="F44" s="17" t="inlineStr">
        <is>
          <t>Y</t>
        </is>
      </c>
      <c r="G44" s="23" t="inlineStr">
        <is>
          <t>086820</t>
        </is>
      </c>
      <c r="H44" s="22" t="inlineStr">
        <is>
          <t>미확인</t>
        </is>
      </c>
      <c r="I44" s="17" t="n">
        <v>1</v>
      </c>
      <c r="J44" s="17" t="n">
        <v>1</v>
      </c>
      <c r="K44" s="17" t="inlineStr">
        <is>
          <t>Y</t>
        </is>
      </c>
      <c r="L44" s="17" t="inlineStr"/>
      <c r="M44" s="17" t="inlineStr">
        <is>
          <t>Y</t>
        </is>
      </c>
      <c r="N44" s="17" t="inlineStr">
        <is>
          <t>Y</t>
        </is>
      </c>
      <c r="O44" s="17" t="inlineStr">
        <is>
          <t>서울특별시</t>
        </is>
      </c>
      <c r="P44" s="17" t="inlineStr">
        <is>
          <t>미확인</t>
        </is>
      </c>
      <c r="Q44" s="17" t="inlineStr">
        <is>
          <t>http://www.biosolutions.co.kr/</t>
        </is>
      </c>
      <c r="R44" s="17" t="inlineStr">
        <is>
          <t>QMS+LIMS</t>
        </is>
      </c>
      <c r="S44" s="24" t="n">
        <v>46689</v>
      </c>
      <c r="T44" s="17" t="inlineStr"/>
    </row>
    <row r="45">
      <c r="A45" s="17" t="n">
        <v>44</v>
      </c>
      <c r="B45" s="17" t="inlineStr">
        <is>
          <t>(주)안트로젠</t>
        </is>
      </c>
      <c r="C45" s="17" t="inlineStr">
        <is>
          <t>안트로젠</t>
        </is>
      </c>
      <c r="D45" s="26" t="inlineStr">
        <is>
          <t>Tier B</t>
        </is>
      </c>
      <c r="E45" s="17" t="n">
        <v>28</v>
      </c>
      <c r="F45" s="17" t="inlineStr">
        <is>
          <t>Y</t>
        </is>
      </c>
      <c r="G45" s="23" t="inlineStr">
        <is>
          <t>065660</t>
        </is>
      </c>
      <c r="H45" s="22" t="inlineStr">
        <is>
          <t>미확인</t>
        </is>
      </c>
      <c r="I45" s="17" t="n">
        <v>1</v>
      </c>
      <c r="J45" s="17" t="n">
        <v>1</v>
      </c>
      <c r="K45" s="17" t="inlineStr">
        <is>
          <t>Y</t>
        </is>
      </c>
      <c r="L45" s="17" t="inlineStr"/>
      <c r="M45" s="17" t="inlineStr">
        <is>
          <t>Y</t>
        </is>
      </c>
      <c r="N45" s="17" t="inlineStr">
        <is>
          <t>Y</t>
        </is>
      </c>
      <c r="O45" s="17" t="inlineStr">
        <is>
          <t>서울특별시</t>
        </is>
      </c>
      <c r="P45" s="17" t="inlineStr">
        <is>
          <t>미확인</t>
        </is>
      </c>
      <c r="Q45" s="17" t="inlineStr">
        <is>
          <t>http://www.anterogen.com</t>
        </is>
      </c>
      <c r="R45" s="17" t="inlineStr">
        <is>
          <t>QMS+LIMS</t>
        </is>
      </c>
      <c r="S45" s="24" t="n">
        <v>46682</v>
      </c>
      <c r="T45" s="17" t="inlineStr"/>
    </row>
    <row r="46">
      <c r="A46" s="17" t="n">
        <v>45</v>
      </c>
      <c r="B46" s="17" t="inlineStr">
        <is>
          <t>(주)이수앱지스</t>
        </is>
      </c>
      <c r="C46" s="17" t="inlineStr">
        <is>
          <t>이수앱지스</t>
        </is>
      </c>
      <c r="D46" s="26" t="inlineStr">
        <is>
          <t>Tier B</t>
        </is>
      </c>
      <c r="E46" s="17" t="n">
        <v>28</v>
      </c>
      <c r="F46" s="17" t="inlineStr">
        <is>
          <t>Y</t>
        </is>
      </c>
      <c r="G46" s="23" t="inlineStr">
        <is>
          <t>086890</t>
        </is>
      </c>
      <c r="H46" s="22" t="inlineStr">
        <is>
          <t>미확인</t>
        </is>
      </c>
      <c r="I46" s="17" t="n">
        <v>1</v>
      </c>
      <c r="J46" s="17" t="n">
        <v>1</v>
      </c>
      <c r="K46" s="17" t="inlineStr"/>
      <c r="L46" s="17" t="inlineStr">
        <is>
          <t>Y</t>
        </is>
      </c>
      <c r="M46" s="17" t="inlineStr"/>
      <c r="N46" s="17" t="inlineStr">
        <is>
          <t>Y</t>
        </is>
      </c>
      <c r="O46" s="17" t="inlineStr">
        <is>
          <t>경기도</t>
        </is>
      </c>
      <c r="P46" s="17" t="inlineStr">
        <is>
          <t>미확인</t>
        </is>
      </c>
      <c r="Q46" s="17" t="inlineStr">
        <is>
          <t>http://www.abxis.com</t>
        </is>
      </c>
      <c r="R46" s="17" t="inlineStr">
        <is>
          <t>QMS+LIMS</t>
        </is>
      </c>
      <c r="S46" s="24" t="n">
        <v>46494</v>
      </c>
      <c r="T46" s="17" t="inlineStr"/>
    </row>
    <row r="47">
      <c r="A47" s="17" t="n">
        <v>46</v>
      </c>
      <c r="B47" s="17" t="inlineStr">
        <is>
          <t>메디포스트(주)</t>
        </is>
      </c>
      <c r="C47" s="17" t="inlineStr">
        <is>
          <t>메디포스트</t>
        </is>
      </c>
      <c r="D47" s="26" t="inlineStr">
        <is>
          <t>Tier B</t>
        </is>
      </c>
      <c r="E47" s="17" t="n">
        <v>28</v>
      </c>
      <c r="F47" s="17" t="inlineStr">
        <is>
          <t>Y</t>
        </is>
      </c>
      <c r="G47" s="23" t="inlineStr">
        <is>
          <t>078160</t>
        </is>
      </c>
      <c r="H47" s="22" t="inlineStr">
        <is>
          <t>미확인</t>
        </is>
      </c>
      <c r="I47" s="17" t="n">
        <v>1</v>
      </c>
      <c r="J47" s="17" t="n">
        <v>1</v>
      </c>
      <c r="K47" s="17" t="inlineStr">
        <is>
          <t>Y</t>
        </is>
      </c>
      <c r="L47" s="17" t="inlineStr"/>
      <c r="M47" s="17" t="inlineStr">
        <is>
          <t>Y</t>
        </is>
      </c>
      <c r="N47" s="17" t="inlineStr">
        <is>
          <t>Y</t>
        </is>
      </c>
      <c r="O47" s="17" t="inlineStr">
        <is>
          <t>서울특별시</t>
        </is>
      </c>
      <c r="P47" s="17" t="inlineStr">
        <is>
          <t>미확인</t>
        </is>
      </c>
      <c r="Q47" s="17" t="inlineStr">
        <is>
          <t>http://www.medi-post.co.kr</t>
        </is>
      </c>
      <c r="R47" s="17" t="inlineStr">
        <is>
          <t>QMS+LIMS</t>
        </is>
      </c>
      <c r="S47" s="24" t="n">
        <v>47193</v>
      </c>
      <c r="T47" s="17" t="inlineStr"/>
    </row>
    <row r="48">
      <c r="A48" s="17" t="n">
        <v>47</v>
      </c>
      <c r="B48" s="17" t="inlineStr">
        <is>
          <t>주식회사 큐로셀</t>
        </is>
      </c>
      <c r="C48" s="17" t="inlineStr">
        <is>
          <t>큐로셀</t>
        </is>
      </c>
      <c r="D48" s="26" t="inlineStr">
        <is>
          <t>Tier B</t>
        </is>
      </c>
      <c r="E48" s="17" t="n">
        <v>28</v>
      </c>
      <c r="F48" s="17" t="inlineStr">
        <is>
          <t>Y</t>
        </is>
      </c>
      <c r="G48" s="23" t="inlineStr">
        <is>
          <t>372320</t>
        </is>
      </c>
      <c r="H48" s="22" t="inlineStr">
        <is>
          <t>미확인</t>
        </is>
      </c>
      <c r="I48" s="17" t="n">
        <v>1</v>
      </c>
      <c r="J48" s="17" t="n">
        <v>1</v>
      </c>
      <c r="K48" s="17" t="inlineStr">
        <is>
          <t>Y</t>
        </is>
      </c>
      <c r="L48" s="17" t="inlineStr"/>
      <c r="M48" s="17" t="inlineStr">
        <is>
          <t>Y</t>
        </is>
      </c>
      <c r="N48" s="17" t="inlineStr">
        <is>
          <t>Y</t>
        </is>
      </c>
      <c r="O48" s="17" t="inlineStr">
        <is>
          <t>대전광역시</t>
        </is>
      </c>
      <c r="P48" s="17" t="inlineStr">
        <is>
          <t>미확인</t>
        </is>
      </c>
      <c r="Q48" s="17" t="inlineStr">
        <is>
          <t>http://curocellbtx.com</t>
        </is>
      </c>
      <c r="R48" s="17" t="inlineStr">
        <is>
          <t>QMS+LIMS</t>
        </is>
      </c>
      <c r="S48" s="24" t="n">
        <v>47243</v>
      </c>
      <c r="T48" s="17" t="inlineStr"/>
    </row>
    <row r="49">
      <c r="A49" s="17" t="n">
        <v>48</v>
      </c>
      <c r="B49" s="17" t="inlineStr">
        <is>
          <t>주식회사지씨셀</t>
        </is>
      </c>
      <c r="C49" s="17" t="inlineStr">
        <is>
          <t>지씨셀</t>
        </is>
      </c>
      <c r="D49" s="26" t="inlineStr">
        <is>
          <t>Tier B</t>
        </is>
      </c>
      <c r="E49" s="17" t="n">
        <v>28</v>
      </c>
      <c r="F49" s="17" t="inlineStr">
        <is>
          <t>Y</t>
        </is>
      </c>
      <c r="G49" s="23" t="inlineStr">
        <is>
          <t>144510</t>
        </is>
      </c>
      <c r="H49" s="22" t="inlineStr">
        <is>
          <t>미확인</t>
        </is>
      </c>
      <c r="I49" s="17" t="n">
        <v>1</v>
      </c>
      <c r="J49" s="17" t="n">
        <v>1</v>
      </c>
      <c r="K49" s="17" t="inlineStr">
        <is>
          <t>Y</t>
        </is>
      </c>
      <c r="L49" s="17" t="inlineStr"/>
      <c r="M49" s="17" t="inlineStr">
        <is>
          <t>Y</t>
        </is>
      </c>
      <c r="N49" s="17" t="inlineStr">
        <is>
          <t>Y</t>
        </is>
      </c>
      <c r="O49" s="17" t="inlineStr">
        <is>
          <t>경기도</t>
        </is>
      </c>
      <c r="P49" s="17" t="inlineStr">
        <is>
          <t>미확인</t>
        </is>
      </c>
      <c r="Q49" s="17" t="inlineStr">
        <is>
          <t>http://www.gclabcell.com</t>
        </is>
      </c>
      <c r="R49" s="17" t="inlineStr">
        <is>
          <t>QMS+LIMS</t>
        </is>
      </c>
      <c r="S49" s="24" t="n">
        <v>46634</v>
      </c>
      <c r="T49" s="17" t="inlineStr"/>
    </row>
    <row r="50">
      <c r="A50" s="17" t="n">
        <v>49</v>
      </c>
      <c r="B50" s="17" t="inlineStr">
        <is>
          <t>파미셀주식회사</t>
        </is>
      </c>
      <c r="C50" s="17" t="inlineStr">
        <is>
          <t>파미셀</t>
        </is>
      </c>
      <c r="D50" s="26" t="inlineStr">
        <is>
          <t>Tier B</t>
        </is>
      </c>
      <c r="E50" s="17" t="n">
        <v>28</v>
      </c>
      <c r="F50" s="17" t="inlineStr">
        <is>
          <t>Y</t>
        </is>
      </c>
      <c r="G50" s="23" t="inlineStr">
        <is>
          <t>005690</t>
        </is>
      </c>
      <c r="H50" s="22" t="inlineStr">
        <is>
          <t>미확인</t>
        </is>
      </c>
      <c r="I50" s="17" t="n">
        <v>1</v>
      </c>
      <c r="J50" s="17" t="n">
        <v>1</v>
      </c>
      <c r="K50" s="17" t="inlineStr">
        <is>
          <t>Y</t>
        </is>
      </c>
      <c r="L50" s="17" t="inlineStr"/>
      <c r="M50" s="17" t="inlineStr">
        <is>
          <t>Y</t>
        </is>
      </c>
      <c r="N50" s="17" t="inlineStr">
        <is>
          <t>Y</t>
        </is>
      </c>
      <c r="O50" s="17" t="inlineStr">
        <is>
          <t>경기도</t>
        </is>
      </c>
      <c r="P50" s="17" t="inlineStr">
        <is>
          <t>미확인</t>
        </is>
      </c>
      <c r="Q50" s="17" t="inlineStr">
        <is>
          <t>http://www.pharmicell.com</t>
        </is>
      </c>
      <c r="R50" s="17" t="inlineStr">
        <is>
          <t>QMS+LIMS</t>
        </is>
      </c>
      <c r="S50" s="24" t="n">
        <v>46793</v>
      </c>
      <c r="T50" s="17" t="inlineStr"/>
    </row>
    <row r="51">
      <c r="A51" s="17" t="n">
        <v>50</v>
      </c>
      <c r="B51" s="17" t="inlineStr">
        <is>
          <t>유니메드제약(주)</t>
        </is>
      </c>
      <c r="C51" s="17" t="inlineStr">
        <is>
          <t>유니메드제약</t>
        </is>
      </c>
      <c r="D51" s="26" t="inlineStr">
        <is>
          <t>Tier B</t>
        </is>
      </c>
      <c r="E51" s="17" t="n">
        <v>27</v>
      </c>
      <c r="F51" s="17" t="inlineStr"/>
      <c r="G51" s="23" t="inlineStr"/>
      <c r="H51" s="22" t="inlineStr">
        <is>
          <t>미확인</t>
        </is>
      </c>
      <c r="I51" s="17" t="n">
        <v>2</v>
      </c>
      <c r="J51" s="17" t="n">
        <v>3</v>
      </c>
      <c r="K51" s="17" t="inlineStr">
        <is>
          <t>Y</t>
        </is>
      </c>
      <c r="L51" s="17" t="inlineStr">
        <is>
          <t>Y</t>
        </is>
      </c>
      <c r="M51" s="17" t="inlineStr">
        <is>
          <t>Y</t>
        </is>
      </c>
      <c r="N51" s="17" t="inlineStr"/>
      <c r="O51" s="17" t="inlineStr">
        <is>
          <t>충청남도</t>
        </is>
      </c>
      <c r="P51" s="17" t="inlineStr">
        <is>
          <t>02-424-2777</t>
        </is>
      </c>
      <c r="Q51" s="17" t="inlineStr"/>
      <c r="R51" s="17" t="inlineStr">
        <is>
          <t>통합형</t>
        </is>
      </c>
      <c r="S51" s="24" t="n">
        <v>46458</v>
      </c>
      <c r="T51" s="17" t="inlineStr"/>
    </row>
    <row r="52">
      <c r="A52" s="17" t="n">
        <v>51</v>
      </c>
      <c r="B52" s="17" t="inlineStr">
        <is>
          <t>(주)경보제약</t>
        </is>
      </c>
      <c r="C52" s="17" t="inlineStr">
        <is>
          <t>경보제약</t>
        </is>
      </c>
      <c r="D52" s="26" t="inlineStr">
        <is>
          <t>Tier B</t>
        </is>
      </c>
      <c r="E52" s="17" t="n">
        <v>27</v>
      </c>
      <c r="F52" s="17" t="inlineStr">
        <is>
          <t>Y</t>
        </is>
      </c>
      <c r="G52" s="23" t="inlineStr">
        <is>
          <t>214390</t>
        </is>
      </c>
      <c r="H52" s="22" t="inlineStr">
        <is>
          <t>미확인</t>
        </is>
      </c>
      <c r="I52" s="17" t="n">
        <v>1</v>
      </c>
      <c r="J52" s="17" t="n">
        <v>2</v>
      </c>
      <c r="K52" s="17" t="inlineStr">
        <is>
          <t>Y</t>
        </is>
      </c>
      <c r="L52" s="17" t="inlineStr">
        <is>
          <t>Y</t>
        </is>
      </c>
      <c r="M52" s="17" t="inlineStr">
        <is>
          <t>Y</t>
        </is>
      </c>
      <c r="N52" s="17" t="inlineStr"/>
      <c r="O52" s="17" t="inlineStr">
        <is>
          <t>충청남도</t>
        </is>
      </c>
      <c r="P52" s="17" t="inlineStr">
        <is>
          <t>041-545-0456</t>
        </is>
      </c>
      <c r="Q52" s="17" t="inlineStr">
        <is>
          <t>http://www.kbpharma.co.kr</t>
        </is>
      </c>
      <c r="R52" s="17" t="inlineStr">
        <is>
          <t>QMS+LIMS</t>
        </is>
      </c>
      <c r="S52" s="24" t="n">
        <v>47149</v>
      </c>
      <c r="T52" s="17" t="inlineStr"/>
    </row>
    <row r="53">
      <c r="A53" s="17" t="n">
        <v>52</v>
      </c>
      <c r="B53" s="17" t="inlineStr">
        <is>
          <t>(주)녹십자웰빙</t>
        </is>
      </c>
      <c r="C53" s="17" t="inlineStr">
        <is>
          <t>녹십자웰빙</t>
        </is>
      </c>
      <c r="D53" s="26" t="inlineStr">
        <is>
          <t>Tier B</t>
        </is>
      </c>
      <c r="E53" s="17" t="n">
        <v>27</v>
      </c>
      <c r="F53" s="17" t="inlineStr">
        <is>
          <t>Y</t>
        </is>
      </c>
      <c r="G53" s="23" t="inlineStr">
        <is>
          <t>234690</t>
        </is>
      </c>
      <c r="H53" s="22" t="inlineStr">
        <is>
          <t>미확인</t>
        </is>
      </c>
      <c r="I53" s="17" t="n">
        <v>1</v>
      </c>
      <c r="J53" s="17" t="n">
        <v>2</v>
      </c>
      <c r="K53" s="17" t="inlineStr">
        <is>
          <t>Y</t>
        </is>
      </c>
      <c r="L53" s="17" t="inlineStr">
        <is>
          <t>Y</t>
        </is>
      </c>
      <c r="M53" s="17" t="inlineStr">
        <is>
          <t>Y</t>
        </is>
      </c>
      <c r="N53" s="17" t="inlineStr"/>
      <c r="O53" s="17" t="inlineStr">
        <is>
          <t>충청북도</t>
        </is>
      </c>
      <c r="P53" s="17" t="inlineStr">
        <is>
          <t>070-4470-2319</t>
        </is>
      </c>
      <c r="Q53" s="17" t="inlineStr">
        <is>
          <t>http://www.greencrosswb.com</t>
        </is>
      </c>
      <c r="R53" s="17" t="inlineStr">
        <is>
          <t>QMS+LIMS</t>
        </is>
      </c>
      <c r="S53" s="24" t="n">
        <v>47113</v>
      </c>
      <c r="T53" s="17" t="inlineStr"/>
    </row>
    <row r="54">
      <c r="A54" s="17" t="n">
        <v>53</v>
      </c>
      <c r="B54" s="17" t="inlineStr">
        <is>
          <t>(주)휴메딕스</t>
        </is>
      </c>
      <c r="C54" s="17" t="inlineStr">
        <is>
          <t>휴메딕스</t>
        </is>
      </c>
      <c r="D54" s="26" t="inlineStr">
        <is>
          <t>Tier B</t>
        </is>
      </c>
      <c r="E54" s="17" t="n">
        <v>27</v>
      </c>
      <c r="F54" s="17" t="inlineStr">
        <is>
          <t>Y</t>
        </is>
      </c>
      <c r="G54" s="23" t="inlineStr">
        <is>
          <t>200670</t>
        </is>
      </c>
      <c r="H54" s="22" t="inlineStr">
        <is>
          <t>미확인</t>
        </is>
      </c>
      <c r="I54" s="17" t="n">
        <v>1</v>
      </c>
      <c r="J54" s="17" t="n">
        <v>2</v>
      </c>
      <c r="K54" s="17" t="inlineStr">
        <is>
          <t>Y</t>
        </is>
      </c>
      <c r="L54" s="17" t="inlineStr">
        <is>
          <t>Y</t>
        </is>
      </c>
      <c r="M54" s="17" t="inlineStr">
        <is>
          <t>Y</t>
        </is>
      </c>
      <c r="N54" s="17" t="inlineStr"/>
      <c r="O54" s="17" t="inlineStr">
        <is>
          <t>충청북도</t>
        </is>
      </c>
      <c r="P54" s="17" t="inlineStr">
        <is>
          <t>043-648-6450</t>
        </is>
      </c>
      <c r="Q54" s="17" t="inlineStr">
        <is>
          <t>http://www.humedix.com</t>
        </is>
      </c>
      <c r="R54" s="17" t="inlineStr">
        <is>
          <t>QMS+LIMS</t>
        </is>
      </c>
      <c r="S54" s="24" t="n">
        <v>46948</v>
      </c>
      <c r="T54" s="17" t="inlineStr"/>
    </row>
    <row r="55">
      <c r="A55" s="17" t="n">
        <v>54</v>
      </c>
      <c r="B55" s="17" t="inlineStr">
        <is>
          <t>제일약품(주)</t>
        </is>
      </c>
      <c r="C55" s="17" t="inlineStr">
        <is>
          <t>제일약품</t>
        </is>
      </c>
      <c r="D55" s="26" t="inlineStr">
        <is>
          <t>Tier B</t>
        </is>
      </c>
      <c r="E55" s="17" t="n">
        <v>27</v>
      </c>
      <c r="F55" s="17" t="inlineStr">
        <is>
          <t>Y</t>
        </is>
      </c>
      <c r="G55" s="23" t="inlineStr">
        <is>
          <t>271980</t>
        </is>
      </c>
      <c r="H55" s="22" t="inlineStr">
        <is>
          <t>미확인</t>
        </is>
      </c>
      <c r="I55" s="17" t="n">
        <v>1</v>
      </c>
      <c r="J55" s="17" t="n">
        <v>2</v>
      </c>
      <c r="K55" s="17" t="inlineStr">
        <is>
          <t>Y</t>
        </is>
      </c>
      <c r="L55" s="17" t="inlineStr">
        <is>
          <t>Y</t>
        </is>
      </c>
      <c r="M55" s="17" t="inlineStr">
        <is>
          <t>Y</t>
        </is>
      </c>
      <c r="N55" s="17" t="inlineStr"/>
      <c r="O55" s="17" t="inlineStr">
        <is>
          <t>경기도</t>
        </is>
      </c>
      <c r="P55" s="17" t="inlineStr">
        <is>
          <t>미확인</t>
        </is>
      </c>
      <c r="Q55" s="17" t="inlineStr">
        <is>
          <t>http://www.jeilpharm.co.kr</t>
        </is>
      </c>
      <c r="R55" s="17" t="inlineStr">
        <is>
          <t>QMS+LIMS</t>
        </is>
      </c>
      <c r="S55" s="24" t="n">
        <v>47053</v>
      </c>
      <c r="T55" s="17" t="inlineStr"/>
    </row>
    <row r="56">
      <c r="A56" s="17" t="n">
        <v>55</v>
      </c>
      <c r="B56" s="17" t="inlineStr">
        <is>
          <t>(주)유한양행</t>
        </is>
      </c>
      <c r="C56" s="17" t="inlineStr">
        <is>
          <t>유한양행</t>
        </is>
      </c>
      <c r="D56" s="26" t="inlineStr">
        <is>
          <t>Tier B</t>
        </is>
      </c>
      <c r="E56" s="17" t="n">
        <v>26</v>
      </c>
      <c r="F56" s="17" t="inlineStr">
        <is>
          <t>Y</t>
        </is>
      </c>
      <c r="G56" s="23" t="inlineStr">
        <is>
          <t>000100</t>
        </is>
      </c>
      <c r="H56" s="22" t="inlineStr">
        <is>
          <t>미확인</t>
        </is>
      </c>
      <c r="I56" s="17" t="n">
        <v>2</v>
      </c>
      <c r="J56" s="17" t="n">
        <v>2</v>
      </c>
      <c r="K56" s="17" t="inlineStr">
        <is>
          <t>Y</t>
        </is>
      </c>
      <c r="L56" s="17" t="inlineStr"/>
      <c r="M56" s="17" t="inlineStr">
        <is>
          <t>Y</t>
        </is>
      </c>
      <c r="N56" s="17" t="inlineStr"/>
      <c r="O56" s="17" t="inlineStr">
        <is>
          <t>충청북도</t>
        </is>
      </c>
      <c r="P56" s="17" t="inlineStr">
        <is>
          <t>미확인</t>
        </is>
      </c>
      <c r="Q56" s="17" t="inlineStr">
        <is>
          <t>http://www.yuhan.co.kr</t>
        </is>
      </c>
      <c r="R56" s="17" t="inlineStr">
        <is>
          <t>통합형</t>
        </is>
      </c>
      <c r="S56" s="24" t="n">
        <v>47046</v>
      </c>
      <c r="T56" s="17" t="inlineStr"/>
    </row>
    <row r="57">
      <c r="A57" s="17" t="n">
        <v>56</v>
      </c>
      <c r="B57" s="17" t="inlineStr">
        <is>
          <t>경남제약(주)</t>
        </is>
      </c>
      <c r="C57" s="17" t="inlineStr">
        <is>
          <t>경남제약</t>
        </is>
      </c>
      <c r="D57" s="26" t="inlineStr">
        <is>
          <t>Tier B</t>
        </is>
      </c>
      <c r="E57" s="17" t="n">
        <v>26</v>
      </c>
      <c r="F57" s="17" t="inlineStr">
        <is>
          <t>Y</t>
        </is>
      </c>
      <c r="G57" s="23" t="inlineStr">
        <is>
          <t>053950</t>
        </is>
      </c>
      <c r="H57" s="22" t="inlineStr">
        <is>
          <t>미확인</t>
        </is>
      </c>
      <c r="I57" s="17" t="n">
        <v>2</v>
      </c>
      <c r="J57" s="17" t="n">
        <v>2</v>
      </c>
      <c r="K57" s="17" t="inlineStr">
        <is>
          <t>Y</t>
        </is>
      </c>
      <c r="L57" s="17" t="inlineStr">
        <is>
          <t>Y</t>
        </is>
      </c>
      <c r="M57" s="17" t="inlineStr"/>
      <c r="N57" s="17" t="inlineStr"/>
      <c r="O57" s="17" t="inlineStr">
        <is>
          <t>경상남도</t>
        </is>
      </c>
      <c r="P57" s="17" t="inlineStr">
        <is>
          <t>055-5728-7002</t>
        </is>
      </c>
      <c r="Q57" s="17" t="inlineStr">
        <is>
          <t>http://www.kyungnampharm.com</t>
        </is>
      </c>
      <c r="R57" s="17" t="inlineStr">
        <is>
          <t>통합형</t>
        </is>
      </c>
      <c r="S57" s="24" t="n">
        <v>46557</v>
      </c>
      <c r="T57" s="17" t="inlineStr"/>
    </row>
    <row r="58">
      <c r="A58" s="17" t="n">
        <v>57</v>
      </c>
      <c r="B58" s="17" t="inlineStr">
        <is>
          <t>에스티팜주식회사</t>
        </is>
      </c>
      <c r="C58" s="17" t="inlineStr">
        <is>
          <t>에스티팜</t>
        </is>
      </c>
      <c r="D58" s="26" t="inlineStr">
        <is>
          <t>Tier B</t>
        </is>
      </c>
      <c r="E58" s="17" t="n">
        <v>26</v>
      </c>
      <c r="F58" s="17" t="inlineStr">
        <is>
          <t>Y</t>
        </is>
      </c>
      <c r="G58" s="23" t="inlineStr">
        <is>
          <t>237690</t>
        </is>
      </c>
      <c r="H58" s="22" t="inlineStr">
        <is>
          <t>미확인</t>
        </is>
      </c>
      <c r="I58" s="17" t="n">
        <v>2</v>
      </c>
      <c r="J58" s="17" t="n">
        <v>2</v>
      </c>
      <c r="K58" s="17" t="inlineStr"/>
      <c r="L58" s="17" t="inlineStr">
        <is>
          <t>Y</t>
        </is>
      </c>
      <c r="M58" s="17" t="inlineStr"/>
      <c r="N58" s="17" t="inlineStr"/>
      <c r="O58" s="17" t="inlineStr">
        <is>
          <t>경기도</t>
        </is>
      </c>
      <c r="P58" s="17" t="inlineStr">
        <is>
          <t>미확인</t>
        </is>
      </c>
      <c r="Q58" s="17" t="inlineStr">
        <is>
          <t>http://www.stpharm.co.kr</t>
        </is>
      </c>
      <c r="R58" s="17" t="inlineStr">
        <is>
          <t>통합형</t>
        </is>
      </c>
      <c r="S58" s="24" t="n">
        <v>46466</v>
      </c>
      <c r="T58" s="17" t="inlineStr"/>
    </row>
    <row r="59">
      <c r="A59" s="17" t="n">
        <v>58</v>
      </c>
      <c r="B59" s="17" t="inlineStr">
        <is>
          <t>제이더블유중외제약(주)</t>
        </is>
      </c>
      <c r="C59" s="17" t="inlineStr">
        <is>
          <t>제이더블유중외제약</t>
        </is>
      </c>
      <c r="D59" s="26" t="inlineStr">
        <is>
          <t>Tier B</t>
        </is>
      </c>
      <c r="E59" s="17" t="n">
        <v>26</v>
      </c>
      <c r="F59" s="17" t="inlineStr"/>
      <c r="G59" s="23" t="inlineStr"/>
      <c r="H59" s="22" t="inlineStr">
        <is>
          <t>미확인</t>
        </is>
      </c>
      <c r="I59" s="17" t="n">
        <v>2</v>
      </c>
      <c r="J59" s="17" t="n">
        <v>2</v>
      </c>
      <c r="K59" s="17" t="inlineStr">
        <is>
          <t>Y</t>
        </is>
      </c>
      <c r="L59" s="17" t="inlineStr">
        <is>
          <t>Y</t>
        </is>
      </c>
      <c r="M59" s="17" t="inlineStr">
        <is>
          <t>Y</t>
        </is>
      </c>
      <c r="N59" s="17" t="inlineStr"/>
      <c r="O59" s="17" t="inlineStr">
        <is>
          <t>경기도</t>
        </is>
      </c>
      <c r="P59" s="17" t="inlineStr">
        <is>
          <t>02-840-6986</t>
        </is>
      </c>
      <c r="Q59" s="17" t="inlineStr"/>
      <c r="R59" s="17" t="inlineStr">
        <is>
          <t>통합형</t>
        </is>
      </c>
      <c r="S59" s="24" t="n">
        <v>46419</v>
      </c>
      <c r="T59" s="17" t="inlineStr"/>
    </row>
    <row r="60">
      <c r="A60" s="17" t="n">
        <v>59</v>
      </c>
      <c r="B60" s="17" t="inlineStr">
        <is>
          <t>보란파마</t>
        </is>
      </c>
      <c r="C60" s="17" t="inlineStr">
        <is>
          <t>보란파마</t>
        </is>
      </c>
      <c r="D60" s="26" t="inlineStr">
        <is>
          <t>Tier B</t>
        </is>
      </c>
      <c r="E60" s="17" t="n">
        <v>26</v>
      </c>
      <c r="F60" s="17" t="inlineStr"/>
      <c r="G60" s="23" t="inlineStr"/>
      <c r="H60" s="22" t="inlineStr">
        <is>
          <t>미확인</t>
        </is>
      </c>
      <c r="I60" s="17" t="n">
        <v>1</v>
      </c>
      <c r="J60" s="17" t="n">
        <v>2</v>
      </c>
      <c r="K60" s="17" t="inlineStr">
        <is>
          <t>Y</t>
        </is>
      </c>
      <c r="L60" s="17" t="inlineStr"/>
      <c r="M60" s="17" t="inlineStr">
        <is>
          <t>Y</t>
        </is>
      </c>
      <c r="N60" s="17" t="inlineStr">
        <is>
          <t>Y</t>
        </is>
      </c>
      <c r="O60" s="17" t="inlineStr">
        <is>
          <t>경기도</t>
        </is>
      </c>
      <c r="P60" s="17" t="inlineStr">
        <is>
          <t>070-5100-4350</t>
        </is>
      </c>
      <c r="Q60" s="17" t="inlineStr"/>
      <c r="R60" s="17" t="inlineStr">
        <is>
          <t>QMS+LIMS</t>
        </is>
      </c>
      <c r="S60" s="24" t="n">
        <v>46229</v>
      </c>
      <c r="T60" s="17" t="inlineStr">
        <is>
          <t>Y</t>
        </is>
      </c>
    </row>
    <row r="61">
      <c r="A61" s="17" t="n">
        <v>60</v>
      </c>
      <c r="B61" s="17" t="inlineStr">
        <is>
          <t>에스케이바이오사이언스(주)</t>
        </is>
      </c>
      <c r="C61" s="17" t="inlineStr">
        <is>
          <t>에스케이바이오사이언스</t>
        </is>
      </c>
      <c r="D61" s="26" t="inlineStr">
        <is>
          <t>Tier B</t>
        </is>
      </c>
      <c r="E61" s="17" t="n">
        <v>26</v>
      </c>
      <c r="F61" s="17" t="inlineStr"/>
      <c r="G61" s="23" t="inlineStr"/>
      <c r="H61" s="22" t="inlineStr">
        <is>
          <t>미확인</t>
        </is>
      </c>
      <c r="I61" s="17" t="n">
        <v>1</v>
      </c>
      <c r="J61" s="17" t="n">
        <v>2</v>
      </c>
      <c r="K61" s="17" t="inlineStr">
        <is>
          <t>Y</t>
        </is>
      </c>
      <c r="L61" s="17" t="inlineStr">
        <is>
          <t>Y</t>
        </is>
      </c>
      <c r="M61" s="17" t="inlineStr">
        <is>
          <t>Y</t>
        </is>
      </c>
      <c r="N61" s="17" t="inlineStr">
        <is>
          <t>Y</t>
        </is>
      </c>
      <c r="O61" s="17" t="inlineStr">
        <is>
          <t>경상북도</t>
        </is>
      </c>
      <c r="P61" s="17" t="inlineStr">
        <is>
          <t>미확인</t>
        </is>
      </c>
      <c r="Q61" s="17" t="inlineStr"/>
      <c r="R61" s="17" t="inlineStr">
        <is>
          <t>QMS+LIMS</t>
        </is>
      </c>
      <c r="S61" s="24" t="n">
        <v>47039</v>
      </c>
      <c r="T61" s="17" t="inlineStr"/>
    </row>
    <row r="62">
      <c r="A62" s="17" t="n">
        <v>61</v>
      </c>
      <c r="B62" s="17" t="inlineStr">
        <is>
          <t>제네톡스(주)</t>
        </is>
      </c>
      <c r="C62" s="17" t="inlineStr">
        <is>
          <t>제네톡스</t>
        </is>
      </c>
      <c r="D62" s="26" t="inlineStr">
        <is>
          <t>Tier B</t>
        </is>
      </c>
      <c r="E62" s="17" t="n">
        <v>26</v>
      </c>
      <c r="F62" s="17" t="inlineStr"/>
      <c r="G62" s="23" t="inlineStr"/>
      <c r="H62" s="22" t="inlineStr">
        <is>
          <t>미확인</t>
        </is>
      </c>
      <c r="I62" s="17" t="n">
        <v>1</v>
      </c>
      <c r="J62" s="17" t="n">
        <v>2</v>
      </c>
      <c r="K62" s="17" t="inlineStr">
        <is>
          <t>Y</t>
        </is>
      </c>
      <c r="L62" s="17" t="inlineStr">
        <is>
          <t>Y</t>
        </is>
      </c>
      <c r="M62" s="17" t="inlineStr">
        <is>
          <t>Y</t>
        </is>
      </c>
      <c r="N62" s="17" t="inlineStr">
        <is>
          <t>Y</t>
        </is>
      </c>
      <c r="O62" s="17" t="inlineStr">
        <is>
          <t>강원특별자치도</t>
        </is>
      </c>
      <c r="P62" s="17" t="inlineStr">
        <is>
          <t>03334437003220</t>
        </is>
      </c>
      <c r="Q62" s="17" t="inlineStr"/>
      <c r="R62" s="17" t="inlineStr">
        <is>
          <t>QMS+LIMS</t>
        </is>
      </c>
      <c r="S62" s="24" t="n">
        <v>47052</v>
      </c>
      <c r="T62" s="17" t="inlineStr"/>
    </row>
    <row r="63">
      <c r="A63" s="17" t="n">
        <v>62</v>
      </c>
      <c r="B63" s="17" t="inlineStr">
        <is>
          <t>(주)유영제약</t>
        </is>
      </c>
      <c r="C63" s="17" t="inlineStr">
        <is>
          <t>유영제약</t>
        </is>
      </c>
      <c r="D63" s="26" t="inlineStr">
        <is>
          <t>Tier B</t>
        </is>
      </c>
      <c r="E63" s="17" t="n">
        <v>24</v>
      </c>
      <c r="F63" s="17" t="inlineStr"/>
      <c r="G63" s="23" t="inlineStr"/>
      <c r="H63" s="22" t="inlineStr">
        <is>
          <t>미확인</t>
        </is>
      </c>
      <c r="I63" s="17" t="n">
        <v>1</v>
      </c>
      <c r="J63" s="17" t="n">
        <v>2</v>
      </c>
      <c r="K63" s="17" t="inlineStr">
        <is>
          <t>Y</t>
        </is>
      </c>
      <c r="L63" s="17" t="inlineStr">
        <is>
          <t>Y</t>
        </is>
      </c>
      <c r="M63" s="17" t="inlineStr">
        <is>
          <t>Y</t>
        </is>
      </c>
      <c r="N63" s="17" t="inlineStr"/>
      <c r="O63" s="17" t="inlineStr">
        <is>
          <t>충청북도</t>
        </is>
      </c>
      <c r="P63" s="17" t="inlineStr">
        <is>
          <t>043-535-2976</t>
        </is>
      </c>
      <c r="Q63" s="17" t="inlineStr"/>
      <c r="R63" s="17" t="inlineStr">
        <is>
          <t>QMS+LIMS</t>
        </is>
      </c>
      <c r="S63" s="24" t="n">
        <v>46327</v>
      </c>
      <c r="T63" s="17" t="inlineStr">
        <is>
          <t>Y</t>
        </is>
      </c>
    </row>
    <row r="64">
      <c r="A64" s="17" t="n">
        <v>63</v>
      </c>
      <c r="B64" s="17" t="inlineStr">
        <is>
          <t>명문제약(주)</t>
        </is>
      </c>
      <c r="C64" s="17" t="inlineStr">
        <is>
          <t>명문제약</t>
        </is>
      </c>
      <c r="D64" s="26" t="inlineStr">
        <is>
          <t>Tier B</t>
        </is>
      </c>
      <c r="E64" s="17" t="n">
        <v>24</v>
      </c>
      <c r="F64" s="17" t="inlineStr">
        <is>
          <t>Y</t>
        </is>
      </c>
      <c r="G64" s="23" t="inlineStr">
        <is>
          <t>017180</t>
        </is>
      </c>
      <c r="H64" s="22" t="inlineStr">
        <is>
          <t>미확인</t>
        </is>
      </c>
      <c r="I64" s="17" t="n">
        <v>1</v>
      </c>
      <c r="J64" s="17" t="n">
        <v>1</v>
      </c>
      <c r="K64" s="17" t="inlineStr">
        <is>
          <t>Y</t>
        </is>
      </c>
      <c r="L64" s="17" t="inlineStr"/>
      <c r="M64" s="17" t="inlineStr">
        <is>
          <t>Y</t>
        </is>
      </c>
      <c r="N64" s="17" t="inlineStr"/>
      <c r="O64" s="17" t="inlineStr">
        <is>
          <t>경기도</t>
        </is>
      </c>
      <c r="P64" s="17" t="inlineStr">
        <is>
          <t>미확인</t>
        </is>
      </c>
      <c r="Q64" s="17" t="inlineStr">
        <is>
          <t>http://www.mmpharm.co.kr</t>
        </is>
      </c>
      <c r="R64" s="17" t="inlineStr">
        <is>
          <t>QMS+LIMS</t>
        </is>
      </c>
      <c r="S64" s="24" t="n">
        <v>46537</v>
      </c>
      <c r="T64" s="17" t="inlineStr"/>
    </row>
    <row r="65">
      <c r="A65" s="17" t="n">
        <v>64</v>
      </c>
      <c r="B65" s="17" t="inlineStr">
        <is>
          <t>부광약품(주)</t>
        </is>
      </c>
      <c r="C65" s="17" t="inlineStr">
        <is>
          <t>부광약품</t>
        </is>
      </c>
      <c r="D65" s="26" t="inlineStr">
        <is>
          <t>Tier B</t>
        </is>
      </c>
      <c r="E65" s="17" t="n">
        <v>24</v>
      </c>
      <c r="F65" s="17" t="inlineStr">
        <is>
          <t>Y</t>
        </is>
      </c>
      <c r="G65" s="23" t="inlineStr">
        <is>
          <t>003000</t>
        </is>
      </c>
      <c r="H65" s="22" t="inlineStr">
        <is>
          <t>미확인</t>
        </is>
      </c>
      <c r="I65" s="17" t="n">
        <v>1</v>
      </c>
      <c r="J65" s="17" t="n">
        <v>1</v>
      </c>
      <c r="K65" s="17" t="inlineStr">
        <is>
          <t>Y</t>
        </is>
      </c>
      <c r="L65" s="17" t="inlineStr"/>
      <c r="M65" s="17" t="inlineStr">
        <is>
          <t>Y</t>
        </is>
      </c>
      <c r="N65" s="17" t="inlineStr"/>
      <c r="O65" s="17" t="inlineStr">
        <is>
          <t>경기도</t>
        </is>
      </c>
      <c r="P65" s="17" t="inlineStr">
        <is>
          <t>031-492-0908</t>
        </is>
      </c>
      <c r="Q65" s="17" t="inlineStr">
        <is>
          <t>http://www.bukwang.co.kr</t>
        </is>
      </c>
      <c r="R65" s="17" t="inlineStr">
        <is>
          <t>QMS+LIMS</t>
        </is>
      </c>
      <c r="S65" s="24" t="n">
        <v>46412</v>
      </c>
      <c r="T65" s="17" t="inlineStr"/>
    </row>
    <row r="66">
      <c r="A66" s="17" t="n">
        <v>65</v>
      </c>
      <c r="B66" s="17" t="inlineStr">
        <is>
          <t>(주)셀트리온제약</t>
        </is>
      </c>
      <c r="C66" s="17" t="inlineStr">
        <is>
          <t>셀트리온제약</t>
        </is>
      </c>
      <c r="D66" s="26" t="inlineStr">
        <is>
          <t>Tier B</t>
        </is>
      </c>
      <c r="E66" s="17" t="n">
        <v>23</v>
      </c>
      <c r="F66" s="17" t="inlineStr">
        <is>
          <t>Y</t>
        </is>
      </c>
      <c r="G66" s="23" t="inlineStr">
        <is>
          <t>068760</t>
        </is>
      </c>
      <c r="H66" s="22" t="inlineStr">
        <is>
          <t>미확인</t>
        </is>
      </c>
      <c r="I66" s="17" t="n">
        <v>2</v>
      </c>
      <c r="J66" s="17" t="n">
        <v>2</v>
      </c>
      <c r="K66" s="17" t="inlineStr">
        <is>
          <t>Y</t>
        </is>
      </c>
      <c r="L66" s="17" t="inlineStr"/>
      <c r="M66" s="17" t="inlineStr"/>
      <c r="N66" s="17" t="inlineStr"/>
      <c r="O66" s="17" t="inlineStr">
        <is>
          <t>충청북도</t>
        </is>
      </c>
      <c r="P66" s="17" t="inlineStr">
        <is>
          <t>4083611</t>
        </is>
      </c>
      <c r="Q66" s="17" t="inlineStr">
        <is>
          <t>http://www.celltrionph.com</t>
        </is>
      </c>
      <c r="R66" s="17" t="inlineStr">
        <is>
          <t>EDMS+QMS+LMS</t>
        </is>
      </c>
      <c r="S66" s="24" t="n">
        <v>46355</v>
      </c>
      <c r="T66" s="17" t="inlineStr">
        <is>
          <t>Y</t>
        </is>
      </c>
    </row>
    <row r="67">
      <c r="A67" s="17" t="n">
        <v>66</v>
      </c>
      <c r="B67" s="17" t="inlineStr">
        <is>
          <t>(주)퓨쳐켐헬스케어</t>
        </is>
      </c>
      <c r="C67" s="17" t="inlineStr">
        <is>
          <t>퓨쳐켐헬스케어</t>
        </is>
      </c>
      <c r="D67" s="26" t="inlineStr">
        <is>
          <t>Tier B</t>
        </is>
      </c>
      <c r="E67" s="17" t="n">
        <v>23</v>
      </c>
      <c r="F67" s="17" t="inlineStr"/>
      <c r="G67" s="23" t="inlineStr"/>
      <c r="H67" s="22" t="inlineStr">
        <is>
          <t>미확인</t>
        </is>
      </c>
      <c r="I67" s="17" t="n">
        <v>2</v>
      </c>
      <c r="J67" s="17" t="n">
        <v>2</v>
      </c>
      <c r="K67" s="17" t="inlineStr">
        <is>
          <t>Y</t>
        </is>
      </c>
      <c r="L67" s="17" t="inlineStr"/>
      <c r="M67" s="17" t="inlineStr">
        <is>
          <t>Y</t>
        </is>
      </c>
      <c r="N67" s="17" t="inlineStr"/>
      <c r="O67" s="17" t="inlineStr">
        <is>
          <t>부산광역시</t>
        </is>
      </c>
      <c r="P67" s="17" t="inlineStr">
        <is>
          <t>051-253-1175</t>
        </is>
      </c>
      <c r="Q67" s="17" t="inlineStr"/>
      <c r="R67" s="17" t="inlineStr">
        <is>
          <t>통합형</t>
        </is>
      </c>
      <c r="S67" s="24" t="n">
        <v>46221</v>
      </c>
      <c r="T67" s="17" t="inlineStr">
        <is>
          <t>Y</t>
        </is>
      </c>
    </row>
    <row r="68">
      <c r="A68" s="17" t="n">
        <v>67</v>
      </c>
      <c r="B68" s="17" t="inlineStr">
        <is>
          <t>(주)한국백신</t>
        </is>
      </c>
      <c r="C68" s="17" t="inlineStr">
        <is>
          <t>한국백신</t>
        </is>
      </c>
      <c r="D68" s="26" t="inlineStr">
        <is>
          <t>Tier B</t>
        </is>
      </c>
      <c r="E68" s="17" t="n">
        <v>23</v>
      </c>
      <c r="F68" s="17" t="inlineStr"/>
      <c r="G68" s="23" t="inlineStr"/>
      <c r="H68" s="22" t="inlineStr">
        <is>
          <t>미확인</t>
        </is>
      </c>
      <c r="I68" s="17" t="n">
        <v>1</v>
      </c>
      <c r="J68" s="17" t="n">
        <v>1</v>
      </c>
      <c r="K68" s="17" t="inlineStr">
        <is>
          <t>Y</t>
        </is>
      </c>
      <c r="L68" s="17" t="inlineStr"/>
      <c r="M68" s="17" t="inlineStr">
        <is>
          <t>Y</t>
        </is>
      </c>
      <c r="N68" s="17" t="inlineStr">
        <is>
          <t>Y</t>
        </is>
      </c>
      <c r="O68" s="17" t="inlineStr">
        <is>
          <t>경기도</t>
        </is>
      </c>
      <c r="P68" s="17" t="inlineStr">
        <is>
          <t>031-495-6397</t>
        </is>
      </c>
      <c r="Q68" s="17" t="inlineStr"/>
      <c r="R68" s="17" t="inlineStr">
        <is>
          <t>QMS+LIMS</t>
        </is>
      </c>
      <c r="S68" s="24" t="n">
        <v>46412</v>
      </c>
      <c r="T68" s="17" t="inlineStr"/>
    </row>
    <row r="69">
      <c r="A69" s="17" t="n">
        <v>68</v>
      </c>
      <c r="B69" s="17" t="inlineStr">
        <is>
          <t>엠에프씨주식회사</t>
        </is>
      </c>
      <c r="C69" s="17" t="inlineStr">
        <is>
          <t>엠에프씨</t>
        </is>
      </c>
      <c r="D69" s="26" t="inlineStr">
        <is>
          <t>Tier B</t>
        </is>
      </c>
      <c r="E69" s="17" t="n">
        <v>23</v>
      </c>
      <c r="F69" s="17" t="inlineStr">
        <is>
          <t>Y</t>
        </is>
      </c>
      <c r="G69" s="23" t="inlineStr">
        <is>
          <t>432980</t>
        </is>
      </c>
      <c r="H69" s="22" t="inlineStr">
        <is>
          <t>미확인</t>
        </is>
      </c>
      <c r="I69" s="17" t="n">
        <v>1</v>
      </c>
      <c r="J69" s="17" t="n">
        <v>1</v>
      </c>
      <c r="K69" s="17" t="inlineStr"/>
      <c r="L69" s="17" t="inlineStr">
        <is>
          <t>Y</t>
        </is>
      </c>
      <c r="M69" s="17" t="inlineStr"/>
      <c r="N69" s="17" t="inlineStr"/>
      <c r="O69" s="17" t="inlineStr">
        <is>
          <t>경기도</t>
        </is>
      </c>
      <c r="P69" s="17" t="inlineStr">
        <is>
          <t>미확인</t>
        </is>
      </c>
      <c r="Q69" s="17" t="inlineStr">
        <is>
          <t>http://www.mfcglobal.co.kr</t>
        </is>
      </c>
      <c r="R69" s="17" t="inlineStr">
        <is>
          <t>QMS+LIMS</t>
        </is>
      </c>
      <c r="S69" s="24" t="n">
        <v>46251</v>
      </c>
      <c r="T69" s="17" t="inlineStr">
        <is>
          <t>Y</t>
        </is>
      </c>
    </row>
    <row r="70">
      <c r="A70" s="17" t="n">
        <v>69</v>
      </c>
      <c r="B70" s="17" t="inlineStr">
        <is>
          <t>(주)나이벡</t>
        </is>
      </c>
      <c r="C70" s="17" t="inlineStr">
        <is>
          <t>나이벡</t>
        </is>
      </c>
      <c r="D70" s="26" t="inlineStr">
        <is>
          <t>Tier B</t>
        </is>
      </c>
      <c r="E70" s="17" t="n">
        <v>22</v>
      </c>
      <c r="F70" s="17" t="inlineStr">
        <is>
          <t>Y</t>
        </is>
      </c>
      <c r="G70" s="23" t="inlineStr">
        <is>
          <t>138610</t>
        </is>
      </c>
      <c r="H70" s="22" t="inlineStr">
        <is>
          <t>미확인</t>
        </is>
      </c>
      <c r="I70" s="17" t="n">
        <v>1</v>
      </c>
      <c r="J70" s="17" t="n">
        <v>2</v>
      </c>
      <c r="K70" s="17" t="inlineStr">
        <is>
          <t>Y</t>
        </is>
      </c>
      <c r="L70" s="17" t="inlineStr">
        <is>
          <t>Y</t>
        </is>
      </c>
      <c r="M70" s="17" t="inlineStr"/>
      <c r="N70" s="17" t="inlineStr"/>
      <c r="O70" s="17" t="inlineStr">
        <is>
          <t>충청북도</t>
        </is>
      </c>
      <c r="P70" s="17" t="inlineStr">
        <is>
          <t>070-5006-8811</t>
        </is>
      </c>
      <c r="Q70" s="17" t="inlineStr"/>
      <c r="R70" s="17" t="inlineStr">
        <is>
          <t>QMS+LIMS</t>
        </is>
      </c>
      <c r="S70" s="24" t="n">
        <v>46529</v>
      </c>
      <c r="T70" s="17" t="inlineStr"/>
    </row>
    <row r="71">
      <c r="A71" s="17" t="n">
        <v>70</v>
      </c>
      <c r="B71" s="17" t="inlineStr">
        <is>
          <t>㈜비알팜</t>
        </is>
      </c>
      <c r="C71" s="17" t="inlineStr">
        <is>
          <t>비알팜</t>
        </is>
      </c>
      <c r="D71" s="26" t="inlineStr">
        <is>
          <t>Tier B</t>
        </is>
      </c>
      <c r="E71" s="17" t="n">
        <v>22</v>
      </c>
      <c r="F71" s="17" t="inlineStr"/>
      <c r="G71" s="23" t="inlineStr"/>
      <c r="H71" s="22" t="inlineStr">
        <is>
          <t>미확인</t>
        </is>
      </c>
      <c r="I71" s="17" t="n">
        <v>1</v>
      </c>
      <c r="J71" s="17" t="n">
        <v>2</v>
      </c>
      <c r="K71" s="17" t="inlineStr">
        <is>
          <t>Y</t>
        </is>
      </c>
      <c r="L71" s="17" t="inlineStr">
        <is>
          <t>Y</t>
        </is>
      </c>
      <c r="M71" s="17" t="inlineStr">
        <is>
          <t>Y</t>
        </is>
      </c>
      <c r="N71" s="17" t="inlineStr"/>
      <c r="O71" s="17" t="inlineStr">
        <is>
          <t>강원특별자치도</t>
        </is>
      </c>
      <c r="P71" s="17" t="inlineStr">
        <is>
          <t>미확인</t>
        </is>
      </c>
      <c r="Q71" s="17" t="inlineStr"/>
      <c r="R71" s="17" t="inlineStr">
        <is>
          <t>QMS+LIMS</t>
        </is>
      </c>
      <c r="S71" s="24" t="n">
        <v>46467</v>
      </c>
      <c r="T71" s="17" t="inlineStr"/>
    </row>
    <row r="72">
      <c r="A72" s="17" t="n">
        <v>71</v>
      </c>
      <c r="B72" s="17" t="inlineStr">
        <is>
          <t>(주)다산제약</t>
        </is>
      </c>
      <c r="C72" s="17" t="inlineStr">
        <is>
          <t>다산제약</t>
        </is>
      </c>
      <c r="D72" s="26" t="inlineStr">
        <is>
          <t>Tier B</t>
        </is>
      </c>
      <c r="E72" s="17" t="n">
        <v>21</v>
      </c>
      <c r="F72" s="17" t="inlineStr"/>
      <c r="G72" s="23" t="inlineStr"/>
      <c r="H72" s="22" t="inlineStr">
        <is>
          <t>미확인</t>
        </is>
      </c>
      <c r="I72" s="17" t="n">
        <v>2</v>
      </c>
      <c r="J72" s="17" t="n">
        <v>3</v>
      </c>
      <c r="K72" s="17" t="inlineStr">
        <is>
          <t>Y</t>
        </is>
      </c>
      <c r="L72" s="17" t="inlineStr">
        <is>
          <t>Y</t>
        </is>
      </c>
      <c r="M72" s="17" t="inlineStr"/>
      <c r="N72" s="17" t="inlineStr"/>
      <c r="O72" s="17" t="inlineStr">
        <is>
          <t>충청남도</t>
        </is>
      </c>
      <c r="P72" s="17" t="inlineStr">
        <is>
          <t>041-543-5311</t>
        </is>
      </c>
      <c r="Q72" s="17" t="inlineStr"/>
      <c r="R72" s="17" t="inlineStr">
        <is>
          <t>통합형</t>
        </is>
      </c>
      <c r="S72" s="24" t="n">
        <v>46328</v>
      </c>
      <c r="T72" s="17" t="inlineStr">
        <is>
          <t>Y</t>
        </is>
      </c>
    </row>
    <row r="73">
      <c r="A73" s="17" t="n">
        <v>72</v>
      </c>
      <c r="B73" s="17" t="inlineStr">
        <is>
          <t>서울대학교병원</t>
        </is>
      </c>
      <c r="C73" s="17" t="inlineStr">
        <is>
          <t>서울대학교병원</t>
        </is>
      </c>
      <c r="D73" s="26" t="inlineStr">
        <is>
          <t>Tier B</t>
        </is>
      </c>
      <c r="E73" s="17" t="n">
        <v>21</v>
      </c>
      <c r="F73" s="17" t="inlineStr"/>
      <c r="G73" s="23" t="inlineStr"/>
      <c r="H73" s="22" t="inlineStr">
        <is>
          <t>미확인</t>
        </is>
      </c>
      <c r="I73" s="17" t="n">
        <v>2</v>
      </c>
      <c r="J73" s="17" t="n">
        <v>2</v>
      </c>
      <c r="K73" s="17" t="inlineStr">
        <is>
          <t>Y</t>
        </is>
      </c>
      <c r="L73" s="17" t="inlineStr"/>
      <c r="M73" s="17" t="inlineStr">
        <is>
          <t>Y</t>
        </is>
      </c>
      <c r="N73" s="17" t="inlineStr"/>
      <c r="O73" s="17" t="inlineStr">
        <is>
          <t>서울특별시</t>
        </is>
      </c>
      <c r="P73" s="17" t="inlineStr">
        <is>
          <t>031-6282-0127</t>
        </is>
      </c>
      <c r="Q73" s="17" t="inlineStr"/>
      <c r="R73" s="17" t="inlineStr">
        <is>
          <t>통합형</t>
        </is>
      </c>
      <c r="S73" s="24" t="n">
        <v>46516</v>
      </c>
      <c r="T73" s="17" t="inlineStr"/>
    </row>
    <row r="74">
      <c r="A74" s="17" t="n">
        <v>73</v>
      </c>
      <c r="B74" s="17" t="inlineStr">
        <is>
          <t>한국유나이티드제약(주)</t>
        </is>
      </c>
      <c r="C74" s="17" t="inlineStr">
        <is>
          <t>한국유나이티드제약</t>
        </is>
      </c>
      <c r="D74" s="26" t="inlineStr">
        <is>
          <t>Tier B</t>
        </is>
      </c>
      <c r="E74" s="17" t="n">
        <v>21</v>
      </c>
      <c r="F74" s="17" t="inlineStr"/>
      <c r="G74" s="23" t="inlineStr"/>
      <c r="H74" s="22" t="inlineStr">
        <is>
          <t>미확인</t>
        </is>
      </c>
      <c r="I74" s="17" t="n">
        <v>2</v>
      </c>
      <c r="J74" s="17" t="n">
        <v>2</v>
      </c>
      <c r="K74" s="17" t="inlineStr">
        <is>
          <t>Y</t>
        </is>
      </c>
      <c r="L74" s="17" t="inlineStr"/>
      <c r="M74" s="17" t="inlineStr">
        <is>
          <t>Y</t>
        </is>
      </c>
      <c r="N74" s="17" t="inlineStr"/>
      <c r="O74" s="17" t="inlineStr">
        <is>
          <t>세종특별자치시</t>
        </is>
      </c>
      <c r="P74" s="17" t="inlineStr">
        <is>
          <t>041-862-6856</t>
        </is>
      </c>
      <c r="Q74" s="17" t="inlineStr"/>
      <c r="R74" s="17" t="inlineStr">
        <is>
          <t>통합형</t>
        </is>
      </c>
      <c r="S74" s="24" t="n">
        <v>46404</v>
      </c>
      <c r="T74" s="17" t="inlineStr"/>
    </row>
    <row r="75">
      <c r="A75" s="17" t="n">
        <v>74</v>
      </c>
      <c r="B75" s="17" t="inlineStr">
        <is>
          <t>(주)비씨월드제약</t>
        </is>
      </c>
      <c r="C75" s="17" t="inlineStr">
        <is>
          <t>비씨월드제약</t>
        </is>
      </c>
      <c r="D75" s="26" t="inlineStr">
        <is>
          <t>Tier B</t>
        </is>
      </c>
      <c r="E75" s="17" t="n">
        <v>21</v>
      </c>
      <c r="F75" s="17" t="inlineStr">
        <is>
          <t>Y</t>
        </is>
      </c>
      <c r="G75" s="23" t="inlineStr">
        <is>
          <t>200780</t>
        </is>
      </c>
      <c r="H75" s="22" t="inlineStr">
        <is>
          <t>미확인</t>
        </is>
      </c>
      <c r="I75" s="17" t="n">
        <v>1</v>
      </c>
      <c r="J75" s="17" t="n">
        <v>1</v>
      </c>
      <c r="K75" s="17" t="inlineStr">
        <is>
          <t>Y</t>
        </is>
      </c>
      <c r="L75" s="17" t="inlineStr"/>
      <c r="M75" s="17" t="inlineStr">
        <is>
          <t>Y</t>
        </is>
      </c>
      <c r="N75" s="17" t="inlineStr"/>
      <c r="O75" s="17" t="inlineStr">
        <is>
          <t>경기도</t>
        </is>
      </c>
      <c r="P75" s="17" t="inlineStr">
        <is>
          <t>031-881-6146</t>
        </is>
      </c>
      <c r="Q75" s="17" t="inlineStr">
        <is>
          <t>http://www.bcwp.co.kr</t>
        </is>
      </c>
      <c r="R75" s="17" t="inlineStr">
        <is>
          <t>QMS+LIMS</t>
        </is>
      </c>
      <c r="S75" s="24" t="n">
        <v>46857</v>
      </c>
      <c r="T75" s="17" t="inlineStr"/>
    </row>
    <row r="76">
      <c r="A76" s="17" t="n">
        <v>75</v>
      </c>
      <c r="B76" s="17" t="inlineStr">
        <is>
          <t>(주)셀비온</t>
        </is>
      </c>
      <c r="C76" s="17" t="inlineStr">
        <is>
          <t>셀비온</t>
        </is>
      </c>
      <c r="D76" s="26" t="inlineStr">
        <is>
          <t>Tier B</t>
        </is>
      </c>
      <c r="E76" s="17" t="n">
        <v>21</v>
      </c>
      <c r="F76" s="17" t="inlineStr">
        <is>
          <t>Y</t>
        </is>
      </c>
      <c r="G76" s="23" t="inlineStr">
        <is>
          <t>308430</t>
        </is>
      </c>
      <c r="H76" s="22" t="inlineStr">
        <is>
          <t>미확인</t>
        </is>
      </c>
      <c r="I76" s="17" t="n">
        <v>1</v>
      </c>
      <c r="J76" s="17" t="n">
        <v>1</v>
      </c>
      <c r="K76" s="17" t="inlineStr">
        <is>
          <t>Y</t>
        </is>
      </c>
      <c r="L76" s="17" t="inlineStr"/>
      <c r="M76" s="17" t="inlineStr">
        <is>
          <t>Y</t>
        </is>
      </c>
      <c r="N76" s="17" t="inlineStr"/>
      <c r="O76" s="17" t="inlineStr">
        <is>
          <t>서울특별시</t>
        </is>
      </c>
      <c r="P76" s="17" t="inlineStr">
        <is>
          <t>미확인</t>
        </is>
      </c>
      <c r="Q76" s="17" t="inlineStr">
        <is>
          <t>http://cellbion.co.kr</t>
        </is>
      </c>
      <c r="R76" s="17" t="inlineStr">
        <is>
          <t>QMS+LIMS</t>
        </is>
      </c>
      <c r="S76" s="24" t="n">
        <v>47284</v>
      </c>
      <c r="T76" s="17" t="inlineStr"/>
    </row>
    <row r="77">
      <c r="A77" s="17" t="n">
        <v>76</v>
      </c>
      <c r="B77" s="17" t="inlineStr">
        <is>
          <t>(주)엔지켐생명과학</t>
        </is>
      </c>
      <c r="C77" s="17" t="inlineStr">
        <is>
          <t>엔지켐생명과학</t>
        </is>
      </c>
      <c r="D77" s="26" t="inlineStr">
        <is>
          <t>Tier B</t>
        </is>
      </c>
      <c r="E77" s="17" t="n">
        <v>21</v>
      </c>
      <c r="F77" s="17" t="inlineStr">
        <is>
          <t>Y</t>
        </is>
      </c>
      <c r="G77" s="23" t="inlineStr">
        <is>
          <t>183490</t>
        </is>
      </c>
      <c r="H77" s="22" t="inlineStr">
        <is>
          <t>미확인</t>
        </is>
      </c>
      <c r="I77" s="17" t="n">
        <v>1</v>
      </c>
      <c r="J77" s="17" t="n">
        <v>1</v>
      </c>
      <c r="K77" s="17" t="inlineStr"/>
      <c r="L77" s="17" t="inlineStr">
        <is>
          <t>Y</t>
        </is>
      </c>
      <c r="M77" s="17" t="inlineStr"/>
      <c r="N77" s="17" t="inlineStr"/>
      <c r="O77" s="17" t="inlineStr">
        <is>
          <t>충청북도</t>
        </is>
      </c>
      <c r="P77" s="17" t="inlineStr">
        <is>
          <t>043-652-2846</t>
        </is>
      </c>
      <c r="Q77" s="17" t="inlineStr">
        <is>
          <t>http://www.enzychem.co.kr</t>
        </is>
      </c>
      <c r="R77" s="17" t="inlineStr">
        <is>
          <t>QMS+LIMS</t>
        </is>
      </c>
      <c r="S77" s="24" t="n">
        <v>46425</v>
      </c>
      <c r="T77" s="17" t="inlineStr"/>
    </row>
    <row r="78">
      <c r="A78" s="17" t="n">
        <v>77</v>
      </c>
      <c r="B78" s="17" t="inlineStr">
        <is>
          <t>(주)옵투스제약</t>
        </is>
      </c>
      <c r="C78" s="17" t="inlineStr">
        <is>
          <t>옵투스제약</t>
        </is>
      </c>
      <c r="D78" s="26" t="inlineStr">
        <is>
          <t>Tier B</t>
        </is>
      </c>
      <c r="E78" s="17" t="n">
        <v>21</v>
      </c>
      <c r="F78" s="17" t="inlineStr">
        <is>
          <t>Y</t>
        </is>
      </c>
      <c r="G78" s="23" t="inlineStr">
        <is>
          <t>131030</t>
        </is>
      </c>
      <c r="H78" s="22" t="inlineStr">
        <is>
          <t>미확인</t>
        </is>
      </c>
      <c r="I78" s="17" t="n">
        <v>1</v>
      </c>
      <c r="J78" s="17" t="n">
        <v>1</v>
      </c>
      <c r="K78" s="17" t="inlineStr">
        <is>
          <t>Y</t>
        </is>
      </c>
      <c r="L78" s="17" t="inlineStr"/>
      <c r="M78" s="17" t="inlineStr">
        <is>
          <t>Y</t>
        </is>
      </c>
      <c r="N78" s="17" t="inlineStr"/>
      <c r="O78" s="17" t="inlineStr">
        <is>
          <t>충청북도</t>
        </is>
      </c>
      <c r="P78" s="17" t="inlineStr">
        <is>
          <t>043-830-0500</t>
        </is>
      </c>
      <c r="Q78" s="17" t="inlineStr">
        <is>
          <t>http://www.optuspharm.com</t>
        </is>
      </c>
      <c r="R78" s="17" t="inlineStr">
        <is>
          <t>QMS+LIMS</t>
        </is>
      </c>
      <c r="S78" s="24" t="n">
        <v>46997</v>
      </c>
      <c r="T78" s="17" t="inlineStr"/>
    </row>
    <row r="79">
      <c r="A79" s="17" t="n">
        <v>78</v>
      </c>
      <c r="B79" s="17" t="inlineStr">
        <is>
          <t>(주)펩트론</t>
        </is>
      </c>
      <c r="C79" s="17" t="inlineStr">
        <is>
          <t>펩트론</t>
        </is>
      </c>
      <c r="D79" s="26" t="inlineStr">
        <is>
          <t>Tier B</t>
        </is>
      </c>
      <c r="E79" s="17" t="n">
        <v>21</v>
      </c>
      <c r="F79" s="17" t="inlineStr">
        <is>
          <t>Y</t>
        </is>
      </c>
      <c r="G79" s="23" t="inlineStr">
        <is>
          <t>087010</t>
        </is>
      </c>
      <c r="H79" s="22" t="inlineStr">
        <is>
          <t>미확인</t>
        </is>
      </c>
      <c r="I79" s="17" t="n">
        <v>1</v>
      </c>
      <c r="J79" s="17" t="n">
        <v>1</v>
      </c>
      <c r="K79" s="17" t="inlineStr">
        <is>
          <t>Y</t>
        </is>
      </c>
      <c r="L79" s="17" t="inlineStr"/>
      <c r="M79" s="17" t="inlineStr">
        <is>
          <t>Y</t>
        </is>
      </c>
      <c r="N79" s="17" t="inlineStr"/>
      <c r="O79" s="17" t="inlineStr">
        <is>
          <t>충청북도</t>
        </is>
      </c>
      <c r="P79" s="17" t="inlineStr">
        <is>
          <t>미확인</t>
        </is>
      </c>
      <c r="Q79" s="17" t="inlineStr">
        <is>
          <t>http://www.peptron.co.kr</t>
        </is>
      </c>
      <c r="R79" s="17" t="inlineStr">
        <is>
          <t>QMS+LIMS</t>
        </is>
      </c>
      <c r="S79" s="24" t="n">
        <v>46958</v>
      </c>
      <c r="T79" s="17" t="inlineStr"/>
    </row>
    <row r="80">
      <c r="A80" s="17" t="n">
        <v>79</v>
      </c>
      <c r="B80" s="17" t="inlineStr">
        <is>
          <t>국제약품(주)</t>
        </is>
      </c>
      <c r="C80" s="17" t="inlineStr">
        <is>
          <t>국제약품</t>
        </is>
      </c>
      <c r="D80" s="26" t="inlineStr">
        <is>
          <t>Tier B</t>
        </is>
      </c>
      <c r="E80" s="17" t="n">
        <v>21</v>
      </c>
      <c r="F80" s="17" t="inlineStr">
        <is>
          <t>Y</t>
        </is>
      </c>
      <c r="G80" s="23" t="inlineStr">
        <is>
          <t>002720</t>
        </is>
      </c>
      <c r="H80" s="22" t="inlineStr">
        <is>
          <t>미확인</t>
        </is>
      </c>
      <c r="I80" s="17" t="n">
        <v>1</v>
      </c>
      <c r="J80" s="17" t="n">
        <v>1</v>
      </c>
      <c r="K80" s="17" t="inlineStr">
        <is>
          <t>Y</t>
        </is>
      </c>
      <c r="L80" s="17" t="inlineStr"/>
      <c r="M80" s="17" t="inlineStr">
        <is>
          <t>Y</t>
        </is>
      </c>
      <c r="N80" s="17" t="inlineStr"/>
      <c r="O80" s="17" t="inlineStr">
        <is>
          <t>경기도</t>
        </is>
      </c>
      <c r="P80" s="17" t="inlineStr">
        <is>
          <t>031-4919-4114</t>
        </is>
      </c>
      <c r="Q80" s="17" t="inlineStr">
        <is>
          <t>http://www.kukjepharm.co.kr</t>
        </is>
      </c>
      <c r="R80" s="17" t="inlineStr">
        <is>
          <t>QMS+LIMS</t>
        </is>
      </c>
      <c r="S80" s="24" t="n">
        <v>46913</v>
      </c>
      <c r="T80" s="17" t="inlineStr"/>
    </row>
    <row r="81">
      <c r="A81" s="17" t="n">
        <v>80</v>
      </c>
      <c r="B81" s="17" t="inlineStr">
        <is>
          <t>그린생명과학(주)</t>
        </is>
      </c>
      <c r="C81" s="17" t="inlineStr">
        <is>
          <t>그린생명과학</t>
        </is>
      </c>
      <c r="D81" s="26" t="inlineStr">
        <is>
          <t>Tier B</t>
        </is>
      </c>
      <c r="E81" s="17" t="n">
        <v>21</v>
      </c>
      <c r="F81" s="17" t="inlineStr">
        <is>
          <t>Y</t>
        </is>
      </c>
      <c r="G81" s="23" t="inlineStr">
        <is>
          <t>114450</t>
        </is>
      </c>
      <c r="H81" s="22" t="inlineStr">
        <is>
          <t>미확인</t>
        </is>
      </c>
      <c r="I81" s="17" t="n">
        <v>1</v>
      </c>
      <c r="J81" s="17" t="n">
        <v>1</v>
      </c>
      <c r="K81" s="17" t="inlineStr"/>
      <c r="L81" s="17" t="inlineStr">
        <is>
          <t>Y</t>
        </is>
      </c>
      <c r="M81" s="17" t="inlineStr"/>
      <c r="N81" s="17" t="inlineStr"/>
      <c r="O81" s="17" t="inlineStr">
        <is>
          <t>전라남도</t>
        </is>
      </c>
      <c r="P81" s="17" t="inlineStr">
        <is>
          <t>061-688-4840</t>
        </is>
      </c>
      <c r="Q81" s="17" t="inlineStr">
        <is>
          <t>http://www.kpxls.com/</t>
        </is>
      </c>
      <c r="R81" s="17" t="inlineStr">
        <is>
          <t>QMS+LIMS</t>
        </is>
      </c>
      <c r="S81" s="24" t="n">
        <v>46570</v>
      </c>
      <c r="T81" s="17" t="inlineStr"/>
    </row>
    <row r="82">
      <c r="A82" s="17" t="n">
        <v>81</v>
      </c>
      <c r="B82" s="17" t="inlineStr">
        <is>
          <t>대봉엘에스(주)</t>
        </is>
      </c>
      <c r="C82" s="17" t="inlineStr">
        <is>
          <t>대봉엘에스</t>
        </is>
      </c>
      <c r="D82" s="26" t="inlineStr">
        <is>
          <t>Tier B</t>
        </is>
      </c>
      <c r="E82" s="17" t="n">
        <v>21</v>
      </c>
      <c r="F82" s="17" t="inlineStr">
        <is>
          <t>Y</t>
        </is>
      </c>
      <c r="G82" s="23" t="inlineStr">
        <is>
          <t>078140</t>
        </is>
      </c>
      <c r="H82" s="22" t="inlineStr">
        <is>
          <t>미확인</t>
        </is>
      </c>
      <c r="I82" s="17" t="n">
        <v>1</v>
      </c>
      <c r="J82" s="17" t="n">
        <v>1</v>
      </c>
      <c r="K82" s="17" t="inlineStr"/>
      <c r="L82" s="17" t="inlineStr">
        <is>
          <t>Y</t>
        </is>
      </c>
      <c r="M82" s="17" t="inlineStr"/>
      <c r="N82" s="17" t="inlineStr"/>
      <c r="O82" s="17" t="inlineStr">
        <is>
          <t>인천광역시</t>
        </is>
      </c>
      <c r="P82" s="17" t="inlineStr">
        <is>
          <t>032-817-8805</t>
        </is>
      </c>
      <c r="Q82" s="17" t="inlineStr">
        <is>
          <t>http://www.daebongls.co.kr</t>
        </is>
      </c>
      <c r="R82" s="17" t="inlineStr">
        <is>
          <t>QMS+LIMS</t>
        </is>
      </c>
      <c r="S82" s="24" t="n">
        <v>46453</v>
      </c>
      <c r="T82" s="17" t="inlineStr"/>
    </row>
    <row r="83">
      <c r="A83" s="17" t="n">
        <v>82</v>
      </c>
      <c r="B83" s="17" t="inlineStr">
        <is>
          <t>대정화금(주)</t>
        </is>
      </c>
      <c r="C83" s="17" t="inlineStr">
        <is>
          <t>대정화금</t>
        </is>
      </c>
      <c r="D83" s="26" t="inlineStr">
        <is>
          <t>Tier B</t>
        </is>
      </c>
      <c r="E83" s="17" t="n">
        <v>21</v>
      </c>
      <c r="F83" s="17" t="inlineStr">
        <is>
          <t>Y</t>
        </is>
      </c>
      <c r="G83" s="23" t="inlineStr">
        <is>
          <t>120240</t>
        </is>
      </c>
      <c r="H83" s="22" t="inlineStr">
        <is>
          <t>미확인</t>
        </is>
      </c>
      <c r="I83" s="17" t="n">
        <v>1</v>
      </c>
      <c r="J83" s="17" t="n">
        <v>1</v>
      </c>
      <c r="K83" s="17" t="inlineStr"/>
      <c r="L83" s="17" t="inlineStr">
        <is>
          <t>Y</t>
        </is>
      </c>
      <c r="M83" s="17" t="inlineStr"/>
      <c r="N83" s="17" t="inlineStr"/>
      <c r="O83" s="17" t="inlineStr">
        <is>
          <t>경기도</t>
        </is>
      </c>
      <c r="P83" s="17" t="inlineStr">
        <is>
          <t>031-488-8821</t>
        </is>
      </c>
      <c r="Q83" s="17" t="inlineStr">
        <is>
          <t>http://www.daejung.kr</t>
        </is>
      </c>
      <c r="R83" s="17" t="inlineStr">
        <is>
          <t>QMS+LIMS</t>
        </is>
      </c>
      <c r="S83" s="24" t="n">
        <v>46479</v>
      </c>
      <c r="T83" s="17" t="inlineStr"/>
    </row>
    <row r="84">
      <c r="A84" s="17" t="n">
        <v>83</v>
      </c>
      <c r="B84" s="17" t="inlineStr">
        <is>
          <t>대한뉴팜(주)</t>
        </is>
      </c>
      <c r="C84" s="17" t="inlineStr">
        <is>
          <t>대한뉴팜</t>
        </is>
      </c>
      <c r="D84" s="26" t="inlineStr">
        <is>
          <t>Tier B</t>
        </is>
      </c>
      <c r="E84" s="17" t="n">
        <v>21</v>
      </c>
      <c r="F84" s="17" t="inlineStr">
        <is>
          <t>Y</t>
        </is>
      </c>
      <c r="G84" s="23" t="inlineStr">
        <is>
          <t>054670</t>
        </is>
      </c>
      <c r="H84" s="22" t="inlineStr">
        <is>
          <t>미확인</t>
        </is>
      </c>
      <c r="I84" s="17" t="n">
        <v>1</v>
      </c>
      <c r="J84" s="17" t="n">
        <v>1</v>
      </c>
      <c r="K84" s="17" t="inlineStr">
        <is>
          <t>Y</t>
        </is>
      </c>
      <c r="L84" s="17" t="inlineStr"/>
      <c r="M84" s="17" t="inlineStr">
        <is>
          <t>Y</t>
        </is>
      </c>
      <c r="N84" s="17" t="inlineStr"/>
      <c r="O84" s="17" t="inlineStr">
        <is>
          <t>경기도</t>
        </is>
      </c>
      <c r="P84" s="17" t="inlineStr">
        <is>
          <t>미확인</t>
        </is>
      </c>
      <c r="Q84" s="17" t="inlineStr">
        <is>
          <t>http://www.dhnp.co.kr</t>
        </is>
      </c>
      <c r="R84" s="17" t="inlineStr">
        <is>
          <t>QMS+LIMS</t>
        </is>
      </c>
      <c r="S84" s="24" t="n">
        <v>47087</v>
      </c>
      <c r="T84" s="17" t="inlineStr"/>
    </row>
    <row r="85">
      <c r="A85" s="17" t="n">
        <v>84</v>
      </c>
      <c r="B85" s="17" t="inlineStr">
        <is>
          <t>삼성제약(주)</t>
        </is>
      </c>
      <c r="C85" s="17" t="inlineStr">
        <is>
          <t>삼성제약</t>
        </is>
      </c>
      <c r="D85" s="26" t="inlineStr">
        <is>
          <t>Tier B</t>
        </is>
      </c>
      <c r="E85" s="17" t="n">
        <v>21</v>
      </c>
      <c r="F85" s="17" t="inlineStr">
        <is>
          <t>Y</t>
        </is>
      </c>
      <c r="G85" s="23" t="inlineStr">
        <is>
          <t>001360</t>
        </is>
      </c>
      <c r="H85" s="22" t="inlineStr">
        <is>
          <t>미확인</t>
        </is>
      </c>
      <c r="I85" s="17" t="n">
        <v>1</v>
      </c>
      <c r="J85" s="17" t="n">
        <v>1</v>
      </c>
      <c r="K85" s="17" t="inlineStr">
        <is>
          <t>Y</t>
        </is>
      </c>
      <c r="L85" s="17" t="inlineStr"/>
      <c r="M85" s="17" t="inlineStr">
        <is>
          <t>Y</t>
        </is>
      </c>
      <c r="N85" s="17" t="inlineStr"/>
      <c r="O85" s="17" t="inlineStr">
        <is>
          <t>경기도</t>
        </is>
      </c>
      <c r="P85" s="17" t="inlineStr">
        <is>
          <t>미확인</t>
        </is>
      </c>
      <c r="Q85" s="17" t="inlineStr">
        <is>
          <t>http://www.sspharm.co.kr</t>
        </is>
      </c>
      <c r="R85" s="17" t="inlineStr">
        <is>
          <t>QMS+LIMS</t>
        </is>
      </c>
      <c r="S85" s="24" t="n">
        <v>47221</v>
      </c>
      <c r="T85" s="17" t="inlineStr"/>
    </row>
    <row r="86">
      <c r="A86" s="17" t="n">
        <v>85</v>
      </c>
      <c r="B86" s="17" t="inlineStr">
        <is>
          <t>우진비앤지(주)</t>
        </is>
      </c>
      <c r="C86" s="17" t="inlineStr">
        <is>
          <t>우진비앤지</t>
        </is>
      </c>
      <c r="D86" s="26" t="inlineStr">
        <is>
          <t>Tier B</t>
        </is>
      </c>
      <c r="E86" s="17" t="n">
        <v>21</v>
      </c>
      <c r="F86" s="17" t="inlineStr">
        <is>
          <t>Y</t>
        </is>
      </c>
      <c r="G86" s="23" t="inlineStr">
        <is>
          <t>018620</t>
        </is>
      </c>
      <c r="H86" s="22" t="inlineStr">
        <is>
          <t>미확인</t>
        </is>
      </c>
      <c r="I86" s="17" t="n">
        <v>1</v>
      </c>
      <c r="J86" s="17" t="n">
        <v>1</v>
      </c>
      <c r="K86" s="17" t="inlineStr"/>
      <c r="L86" s="17" t="inlineStr">
        <is>
          <t>Y</t>
        </is>
      </c>
      <c r="M86" s="17" t="inlineStr"/>
      <c r="N86" s="17" t="inlineStr"/>
      <c r="O86" s="17" t="inlineStr">
        <is>
          <t>경기도</t>
        </is>
      </c>
      <c r="P86" s="17" t="inlineStr">
        <is>
          <t>031-352-0185</t>
        </is>
      </c>
      <c r="Q86" s="17" t="inlineStr">
        <is>
          <t>http://www.woogenebng.com</t>
        </is>
      </c>
      <c r="R86" s="17" t="inlineStr">
        <is>
          <t>QMS+LIMS</t>
        </is>
      </c>
      <c r="S86" s="24" t="n">
        <v>46445</v>
      </c>
      <c r="T86" s="17" t="inlineStr"/>
    </row>
    <row r="87">
      <c r="A87" s="17" t="n">
        <v>86</v>
      </c>
      <c r="B87" s="17" t="inlineStr">
        <is>
          <t>일성아이에스(주)</t>
        </is>
      </c>
      <c r="C87" s="17" t="inlineStr">
        <is>
          <t>일성아이에스</t>
        </is>
      </c>
      <c r="D87" s="26" t="inlineStr">
        <is>
          <t>Tier B</t>
        </is>
      </c>
      <c r="E87" s="17" t="n">
        <v>21</v>
      </c>
      <c r="F87" s="17" t="inlineStr">
        <is>
          <t>Y</t>
        </is>
      </c>
      <c r="G87" s="23" t="inlineStr">
        <is>
          <t>003120</t>
        </is>
      </c>
      <c r="H87" s="22" t="inlineStr">
        <is>
          <t>미확인</t>
        </is>
      </c>
      <c r="I87" s="17" t="n">
        <v>1</v>
      </c>
      <c r="J87" s="17" t="n">
        <v>1</v>
      </c>
      <c r="K87" s="17" t="inlineStr">
        <is>
          <t>Y</t>
        </is>
      </c>
      <c r="L87" s="17" t="inlineStr"/>
      <c r="M87" s="17" t="inlineStr">
        <is>
          <t>Y</t>
        </is>
      </c>
      <c r="N87" s="17" t="inlineStr"/>
      <c r="O87" s="17" t="inlineStr">
        <is>
          <t>경기도</t>
        </is>
      </c>
      <c r="P87" s="17" t="inlineStr">
        <is>
          <t>031-490-3400</t>
        </is>
      </c>
      <c r="Q87" s="17" t="inlineStr">
        <is>
          <t>http://www.ilsungis.com</t>
        </is>
      </c>
      <c r="R87" s="17" t="inlineStr">
        <is>
          <t>QMS+LIMS</t>
        </is>
      </c>
      <c r="S87" s="24" t="n">
        <v>46934</v>
      </c>
      <c r="T87" s="17" t="inlineStr"/>
    </row>
    <row r="88">
      <c r="A88" s="17" t="n">
        <v>87</v>
      </c>
      <c r="B88" s="17" t="inlineStr">
        <is>
          <t>주식회사큐라티스</t>
        </is>
      </c>
      <c r="C88" s="17" t="inlineStr">
        <is>
          <t>큐라티스</t>
        </is>
      </c>
      <c r="D88" s="26" t="inlineStr">
        <is>
          <t>Tier B</t>
        </is>
      </c>
      <c r="E88" s="17" t="n">
        <v>21</v>
      </c>
      <c r="F88" s="17" t="inlineStr">
        <is>
          <t>Y</t>
        </is>
      </c>
      <c r="G88" s="23" t="inlineStr">
        <is>
          <t>348080</t>
        </is>
      </c>
      <c r="H88" s="22" t="inlineStr">
        <is>
          <t>미확인</t>
        </is>
      </c>
      <c r="I88" s="17" t="n">
        <v>1</v>
      </c>
      <c r="J88" s="17" t="n">
        <v>1</v>
      </c>
      <c r="K88" s="17" t="inlineStr">
        <is>
          <t>Y</t>
        </is>
      </c>
      <c r="L88" s="17" t="inlineStr"/>
      <c r="M88" s="17" t="inlineStr">
        <is>
          <t>Y</t>
        </is>
      </c>
      <c r="N88" s="17" t="inlineStr"/>
      <c r="O88" s="17" t="inlineStr">
        <is>
          <t>충청북도</t>
        </is>
      </c>
      <c r="P88" s="17" t="inlineStr">
        <is>
          <t>043-904-7002</t>
        </is>
      </c>
      <c r="Q88" s="17" t="inlineStr">
        <is>
          <t>http://quratis.com</t>
        </is>
      </c>
      <c r="R88" s="17" t="inlineStr">
        <is>
          <t>QMS+LIMS</t>
        </is>
      </c>
      <c r="S88" s="24" t="n">
        <v>46676</v>
      </c>
      <c r="T88" s="17" t="inlineStr"/>
    </row>
    <row r="89">
      <c r="A89" s="17" t="n">
        <v>88</v>
      </c>
      <c r="B89" s="17" t="inlineStr">
        <is>
          <t>코오롱생명과학(주)</t>
        </is>
      </c>
      <c r="C89" s="17" t="inlineStr">
        <is>
          <t>코오롱생명과학</t>
        </is>
      </c>
      <c r="D89" s="26" t="inlineStr">
        <is>
          <t>Tier B</t>
        </is>
      </c>
      <c r="E89" s="17" t="n">
        <v>21</v>
      </c>
      <c r="F89" s="17" t="inlineStr">
        <is>
          <t>Y</t>
        </is>
      </c>
      <c r="G89" s="23" t="inlineStr">
        <is>
          <t>102940</t>
        </is>
      </c>
      <c r="H89" s="22" t="inlineStr">
        <is>
          <t>미확인</t>
        </is>
      </c>
      <c r="I89" s="17" t="n">
        <v>1</v>
      </c>
      <c r="J89" s="17" t="n">
        <v>1</v>
      </c>
      <c r="K89" s="17" t="inlineStr"/>
      <c r="L89" s="17" t="inlineStr">
        <is>
          <t>Y</t>
        </is>
      </c>
      <c r="M89" s="17" t="inlineStr"/>
      <c r="N89" s="17" t="inlineStr"/>
      <c r="O89" s="17" t="inlineStr">
        <is>
          <t>충청북도</t>
        </is>
      </c>
      <c r="P89" s="17" t="inlineStr">
        <is>
          <t>043-880-3336</t>
        </is>
      </c>
      <c r="Q89" s="17" t="inlineStr"/>
      <c r="R89" s="17" t="inlineStr">
        <is>
          <t>QMS+LIMS</t>
        </is>
      </c>
      <c r="S89" s="24" t="n">
        <v>46572</v>
      </c>
      <c r="T89" s="17" t="inlineStr"/>
    </row>
    <row r="90">
      <c r="A90" s="17" t="n">
        <v>89</v>
      </c>
      <c r="B90" s="17" t="inlineStr">
        <is>
          <t>한국유니온제약(주)</t>
        </is>
      </c>
      <c r="C90" s="17" t="inlineStr">
        <is>
          <t>한국유니온제약</t>
        </is>
      </c>
      <c r="D90" s="26" t="inlineStr">
        <is>
          <t>Tier B</t>
        </is>
      </c>
      <c r="E90" s="17" t="n">
        <v>21</v>
      </c>
      <c r="F90" s="17" t="inlineStr">
        <is>
          <t>Y</t>
        </is>
      </c>
      <c r="G90" s="23" t="inlineStr">
        <is>
          <t>080720</t>
        </is>
      </c>
      <c r="H90" s="22" t="inlineStr">
        <is>
          <t>미확인</t>
        </is>
      </c>
      <c r="I90" s="17" t="n">
        <v>1</v>
      </c>
      <c r="J90" s="17" t="n">
        <v>1</v>
      </c>
      <c r="K90" s="17" t="inlineStr">
        <is>
          <t>Y</t>
        </is>
      </c>
      <c r="L90" s="17" t="inlineStr"/>
      <c r="M90" s="17" t="inlineStr">
        <is>
          <t>Y</t>
        </is>
      </c>
      <c r="N90" s="17" t="inlineStr"/>
      <c r="O90" s="17" t="inlineStr">
        <is>
          <t>강원특별자치도</t>
        </is>
      </c>
      <c r="P90" s="17" t="inlineStr">
        <is>
          <t>미확인</t>
        </is>
      </c>
      <c r="Q90" s="17" t="inlineStr">
        <is>
          <t>http://www.ukp.co.kr/</t>
        </is>
      </c>
      <c r="R90" s="17" t="inlineStr">
        <is>
          <t>QMS+LIMS</t>
        </is>
      </c>
      <c r="S90" s="24" t="n">
        <v>47079</v>
      </c>
      <c r="T90" s="17" t="inlineStr"/>
    </row>
    <row r="91">
      <c r="A91" s="17" t="n">
        <v>90</v>
      </c>
      <c r="B91" s="17" t="inlineStr">
        <is>
          <t>한올바이오파마(주)</t>
        </is>
      </c>
      <c r="C91" s="17" t="inlineStr">
        <is>
          <t>한올바이오파마</t>
        </is>
      </c>
      <c r="D91" s="26" t="inlineStr">
        <is>
          <t>Tier B</t>
        </is>
      </c>
      <c r="E91" s="17" t="n">
        <v>21</v>
      </c>
      <c r="F91" s="17" t="inlineStr">
        <is>
          <t>Y</t>
        </is>
      </c>
      <c r="G91" s="23" t="inlineStr">
        <is>
          <t>009420</t>
        </is>
      </c>
      <c r="H91" s="22" t="inlineStr">
        <is>
          <t>미확인</t>
        </is>
      </c>
      <c r="I91" s="17" t="n">
        <v>1</v>
      </c>
      <c r="J91" s="17" t="n">
        <v>1</v>
      </c>
      <c r="K91" s="17" t="inlineStr">
        <is>
          <t>Y</t>
        </is>
      </c>
      <c r="L91" s="17" t="inlineStr"/>
      <c r="M91" s="17" t="inlineStr">
        <is>
          <t>Y</t>
        </is>
      </c>
      <c r="N91" s="17" t="inlineStr"/>
      <c r="O91" s="17" t="inlineStr">
        <is>
          <t>대전광역시</t>
        </is>
      </c>
      <c r="P91" s="17" t="inlineStr">
        <is>
          <t>042-454-6105</t>
        </is>
      </c>
      <c r="Q91" s="17" t="inlineStr">
        <is>
          <t>http://www.hanall.co.kr</t>
        </is>
      </c>
      <c r="R91" s="17" t="inlineStr">
        <is>
          <t>QMS+LIMS</t>
        </is>
      </c>
      <c r="S91" s="24" t="n">
        <v>47003</v>
      </c>
      <c r="T91" s="17" t="inlineStr"/>
    </row>
    <row r="92">
      <c r="A92" s="17" t="n">
        <v>91</v>
      </c>
      <c r="B92" s="17" t="inlineStr">
        <is>
          <t>디아이지에어가스(주)</t>
        </is>
      </c>
      <c r="C92" s="17" t="inlineStr">
        <is>
          <t>디아이지에어가스</t>
        </is>
      </c>
      <c r="D92" s="26" t="inlineStr">
        <is>
          <t>Tier B</t>
        </is>
      </c>
      <c r="E92" s="17" t="n">
        <v>20</v>
      </c>
      <c r="F92" s="17" t="inlineStr"/>
      <c r="G92" s="23" t="inlineStr"/>
      <c r="H92" s="22" t="inlineStr">
        <is>
          <t>미확인</t>
        </is>
      </c>
      <c r="I92" s="17" t="n">
        <v>5</v>
      </c>
      <c r="J92" s="17" t="n">
        <v>5</v>
      </c>
      <c r="K92" s="17" t="inlineStr">
        <is>
          <t>Y</t>
        </is>
      </c>
      <c r="L92" s="17" t="inlineStr"/>
      <c r="M92" s="17" t="inlineStr"/>
      <c r="N92" s="17" t="inlineStr"/>
      <c r="O92" s="17" t="inlineStr">
        <is>
          <t>경기도</t>
        </is>
      </c>
      <c r="P92" s="17" t="inlineStr">
        <is>
          <t>031-491-2648</t>
        </is>
      </c>
      <c r="Q92" s="17" t="inlineStr"/>
      <c r="R92" s="17" t="inlineStr">
        <is>
          <t>통합형</t>
        </is>
      </c>
      <c r="S92" s="24" t="n">
        <v>46813</v>
      </c>
      <c r="T92" s="17" t="inlineStr"/>
    </row>
    <row r="93">
      <c r="A93" s="17" t="n">
        <v>92</v>
      </c>
      <c r="B93" s="17" t="inlineStr">
        <is>
          <t>(주)피에스지</t>
        </is>
      </c>
      <c r="C93" s="17" t="inlineStr">
        <is>
          <t>피에스지</t>
        </is>
      </c>
      <c r="D93" s="26" t="inlineStr">
        <is>
          <t>Tier B</t>
        </is>
      </c>
      <c r="E93" s="17" t="n">
        <v>20</v>
      </c>
      <c r="F93" s="17" t="inlineStr"/>
      <c r="G93" s="23" t="inlineStr"/>
      <c r="H93" s="22" t="inlineStr">
        <is>
          <t>미확인</t>
        </is>
      </c>
      <c r="I93" s="17" t="n">
        <v>3</v>
      </c>
      <c r="J93" s="17" t="n">
        <v>3</v>
      </c>
      <c r="K93" s="17" t="inlineStr">
        <is>
          <t>Y</t>
        </is>
      </c>
      <c r="L93" s="17" t="inlineStr"/>
      <c r="M93" s="17" t="inlineStr"/>
      <c r="N93" s="17" t="inlineStr"/>
      <c r="O93" s="17" t="inlineStr">
        <is>
          <t>경상남도</t>
        </is>
      </c>
      <c r="P93" s="17" t="inlineStr">
        <is>
          <t>미확인</t>
        </is>
      </c>
      <c r="Q93" s="17" t="inlineStr"/>
      <c r="R93" s="17" t="inlineStr">
        <is>
          <t>통합형</t>
        </is>
      </c>
      <c r="S93" s="24" t="n">
        <v>46339</v>
      </c>
      <c r="T93" s="17" t="inlineStr">
        <is>
          <t>Y</t>
        </is>
      </c>
    </row>
    <row r="94">
      <c r="A94" s="17" t="n">
        <v>93</v>
      </c>
      <c r="B94" s="17" t="inlineStr">
        <is>
          <t>대웅바이오(주)</t>
        </is>
      </c>
      <c r="C94" s="17" t="inlineStr">
        <is>
          <t>대웅바이오</t>
        </is>
      </c>
      <c r="D94" s="26" t="inlineStr">
        <is>
          <t>Tier B</t>
        </is>
      </c>
      <c r="E94" s="17" t="n">
        <v>20</v>
      </c>
      <c r="F94" s="17" t="inlineStr"/>
      <c r="G94" s="23" t="inlineStr"/>
      <c r="H94" s="22" t="inlineStr">
        <is>
          <t>미확인</t>
        </is>
      </c>
      <c r="I94" s="17" t="n">
        <v>3</v>
      </c>
      <c r="J94" s="17" t="n">
        <v>3</v>
      </c>
      <c r="K94" s="17" t="inlineStr">
        <is>
          <t>Y</t>
        </is>
      </c>
      <c r="L94" s="17" t="inlineStr">
        <is>
          <t>Y</t>
        </is>
      </c>
      <c r="M94" s="17" t="inlineStr"/>
      <c r="N94" s="17" t="inlineStr"/>
      <c r="O94" s="17" t="inlineStr">
        <is>
          <t>경기도</t>
        </is>
      </c>
      <c r="P94" s="17" t="inlineStr">
        <is>
          <t>031-3535-2713</t>
        </is>
      </c>
      <c r="Q94" s="17" t="inlineStr"/>
      <c r="R94" s="17" t="inlineStr">
        <is>
          <t>통합형</t>
        </is>
      </c>
      <c r="S94" s="24" t="n">
        <v>46850</v>
      </c>
      <c r="T94" s="17" t="inlineStr"/>
    </row>
    <row r="95">
      <c r="A95" s="17" t="n">
        <v>94</v>
      </c>
      <c r="B95" s="17" t="inlineStr">
        <is>
          <t>(주)이니바이오</t>
        </is>
      </c>
      <c r="C95" s="17" t="inlineStr">
        <is>
          <t>이니바이오</t>
        </is>
      </c>
      <c r="D95" s="26" t="inlineStr">
        <is>
          <t>Tier B</t>
        </is>
      </c>
      <c r="E95" s="17" t="n">
        <v>20</v>
      </c>
      <c r="F95" s="17" t="inlineStr"/>
      <c r="G95" s="23" t="inlineStr"/>
      <c r="H95" s="22" t="inlineStr">
        <is>
          <t>미확인</t>
        </is>
      </c>
      <c r="I95" s="17" t="n">
        <v>1</v>
      </c>
      <c r="J95" s="17" t="n">
        <v>1</v>
      </c>
      <c r="K95" s="17" t="inlineStr">
        <is>
          <t>Y</t>
        </is>
      </c>
      <c r="L95" s="17" t="inlineStr"/>
      <c r="M95" s="17" t="inlineStr">
        <is>
          <t>Y</t>
        </is>
      </c>
      <c r="N95" s="17" t="inlineStr">
        <is>
          <t>Y</t>
        </is>
      </c>
      <c r="O95" s="17" t="inlineStr">
        <is>
          <t>경기도</t>
        </is>
      </c>
      <c r="P95" s="17" t="inlineStr">
        <is>
          <t>미확인</t>
        </is>
      </c>
      <c r="Q95" s="17" t="inlineStr"/>
      <c r="R95" s="17" t="inlineStr">
        <is>
          <t>QMS+LIMS</t>
        </is>
      </c>
      <c r="S95" s="24" t="n">
        <v>47277</v>
      </c>
      <c r="T95" s="17" t="inlineStr"/>
    </row>
    <row r="96">
      <c r="A96" s="17" t="n">
        <v>95</v>
      </c>
      <c r="B96" s="17" t="inlineStr">
        <is>
          <t>(주)프로톡스</t>
        </is>
      </c>
      <c r="C96" s="17" t="inlineStr">
        <is>
          <t>프로톡스</t>
        </is>
      </c>
      <c r="D96" s="26" t="inlineStr">
        <is>
          <t>Tier B</t>
        </is>
      </c>
      <c r="E96" s="17" t="n">
        <v>20</v>
      </c>
      <c r="F96" s="17" t="inlineStr"/>
      <c r="G96" s="23" t="inlineStr"/>
      <c r="H96" s="22" t="inlineStr">
        <is>
          <t>미확인</t>
        </is>
      </c>
      <c r="I96" s="17" t="n">
        <v>1</v>
      </c>
      <c r="J96" s="17" t="n">
        <v>1</v>
      </c>
      <c r="K96" s="17" t="inlineStr">
        <is>
          <t>Y</t>
        </is>
      </c>
      <c r="L96" s="17" t="inlineStr"/>
      <c r="M96" s="17" t="inlineStr">
        <is>
          <t>Y</t>
        </is>
      </c>
      <c r="N96" s="17" t="inlineStr">
        <is>
          <t>Y</t>
        </is>
      </c>
      <c r="O96" s="17" t="inlineStr">
        <is>
          <t>경기도</t>
        </is>
      </c>
      <c r="P96" s="17" t="inlineStr">
        <is>
          <t>미확인</t>
        </is>
      </c>
      <c r="Q96" s="17" t="inlineStr"/>
      <c r="R96" s="17" t="inlineStr">
        <is>
          <t>QMS+LIMS</t>
        </is>
      </c>
      <c r="S96" s="24" t="n">
        <v>47255</v>
      </c>
      <c r="T96" s="17" t="inlineStr"/>
    </row>
    <row r="97">
      <c r="A97" s="17" t="n">
        <v>96</v>
      </c>
      <c r="B97" s="17" t="inlineStr">
        <is>
          <t>경방신약(주)</t>
        </is>
      </c>
      <c r="C97" s="17" t="inlineStr">
        <is>
          <t>경방신약</t>
        </is>
      </c>
      <c r="D97" s="26" t="inlineStr">
        <is>
          <t>Tier B</t>
        </is>
      </c>
      <c r="E97" s="17" t="n">
        <v>19</v>
      </c>
      <c r="F97" s="17" t="inlineStr"/>
      <c r="G97" s="23" t="inlineStr"/>
      <c r="H97" s="22" t="inlineStr">
        <is>
          <t>미확인</t>
        </is>
      </c>
      <c r="I97" s="17" t="n">
        <v>2</v>
      </c>
      <c r="J97" s="17" t="n">
        <v>3</v>
      </c>
      <c r="K97" s="17" t="inlineStr">
        <is>
          <t>Y</t>
        </is>
      </c>
      <c r="L97" s="17" t="inlineStr">
        <is>
          <t>Y</t>
        </is>
      </c>
      <c r="M97" s="17" t="inlineStr"/>
      <c r="N97" s="17" t="inlineStr"/>
      <c r="O97" s="17" t="inlineStr">
        <is>
          <t>충청남도</t>
        </is>
      </c>
      <c r="P97" s="17" t="inlineStr">
        <is>
          <t>0328224322032222890515997199</t>
        </is>
      </c>
      <c r="Q97" s="17" t="inlineStr"/>
      <c r="R97" s="17" t="inlineStr">
        <is>
          <t>통합형</t>
        </is>
      </c>
      <c r="S97" s="24" t="n">
        <v>46404</v>
      </c>
      <c r="T97" s="17" t="inlineStr"/>
    </row>
    <row r="98">
      <c r="A98" s="17" t="n">
        <v>97</v>
      </c>
      <c r="B98" s="17" t="inlineStr">
        <is>
          <t>동방에프티엘(주)</t>
        </is>
      </c>
      <c r="C98" s="17" t="inlineStr">
        <is>
          <t>동방에프티엘</t>
        </is>
      </c>
      <c r="D98" s="26" t="inlineStr">
        <is>
          <t>Tier B</t>
        </is>
      </c>
      <c r="E98" s="17" t="n">
        <v>19</v>
      </c>
      <c r="F98" s="17" t="inlineStr"/>
      <c r="G98" s="23" t="inlineStr"/>
      <c r="H98" s="22" t="inlineStr">
        <is>
          <t>미확인</t>
        </is>
      </c>
      <c r="I98" s="17" t="n">
        <v>2</v>
      </c>
      <c r="J98" s="17" t="n">
        <v>3</v>
      </c>
      <c r="K98" s="17" t="inlineStr">
        <is>
          <t>Y</t>
        </is>
      </c>
      <c r="L98" s="17" t="inlineStr">
        <is>
          <t>Y</t>
        </is>
      </c>
      <c r="M98" s="17" t="inlineStr"/>
      <c r="N98" s="17" t="inlineStr"/>
      <c r="O98" s="17" t="inlineStr">
        <is>
          <t>경기도</t>
        </is>
      </c>
      <c r="P98" s="17" t="inlineStr">
        <is>
          <t>02-741-7517</t>
        </is>
      </c>
      <c r="Q98" s="17" t="inlineStr"/>
      <c r="R98" s="17" t="inlineStr">
        <is>
          <t>통합형</t>
        </is>
      </c>
      <c r="S98" s="24" t="n">
        <v>46564</v>
      </c>
      <c r="T98" s="17" t="inlineStr"/>
    </row>
    <row r="99">
      <c r="A99" s="17" t="n">
        <v>98</v>
      </c>
      <c r="B99" s="17" t="inlineStr">
        <is>
          <t>(주)유케이케미팜</t>
        </is>
      </c>
      <c r="C99" s="17" t="inlineStr">
        <is>
          <t>유케이케미팜</t>
        </is>
      </c>
      <c r="D99" s="26" t="inlineStr">
        <is>
          <t>Tier B</t>
        </is>
      </c>
      <c r="E99" s="17" t="n">
        <v>19</v>
      </c>
      <c r="F99" s="17" t="inlineStr"/>
      <c r="G99" s="23" t="inlineStr"/>
      <c r="H99" s="22" t="inlineStr">
        <is>
          <t>미확인</t>
        </is>
      </c>
      <c r="I99" s="17" t="n">
        <v>1</v>
      </c>
      <c r="J99" s="17" t="n">
        <v>2</v>
      </c>
      <c r="K99" s="17" t="inlineStr">
        <is>
          <t>Y</t>
        </is>
      </c>
      <c r="L99" s="17" t="inlineStr">
        <is>
          <t>Y</t>
        </is>
      </c>
      <c r="M99" s="17" t="inlineStr">
        <is>
          <t>Y</t>
        </is>
      </c>
      <c r="N99" s="17" t="inlineStr"/>
      <c r="O99" s="17" t="inlineStr">
        <is>
          <t>경기도</t>
        </is>
      </c>
      <c r="P99" s="17" t="inlineStr">
        <is>
          <t>미확인</t>
        </is>
      </c>
      <c r="Q99" s="17" t="inlineStr"/>
      <c r="R99" s="17" t="inlineStr">
        <is>
          <t>QMS+LIMS</t>
        </is>
      </c>
      <c r="S99" s="24" t="n">
        <v>47291</v>
      </c>
      <c r="T99" s="17" t="inlineStr"/>
    </row>
    <row r="100">
      <c r="A100" s="17" t="n">
        <v>99</v>
      </c>
      <c r="B100" s="17" t="inlineStr">
        <is>
          <t>(주)파마리서치</t>
        </is>
      </c>
      <c r="C100" s="17" t="inlineStr">
        <is>
          <t>파마리서치</t>
        </is>
      </c>
      <c r="D100" s="26" t="inlineStr">
        <is>
          <t>Tier B</t>
        </is>
      </c>
      <c r="E100" s="17" t="n">
        <v>19</v>
      </c>
      <c r="F100" s="17" t="inlineStr">
        <is>
          <t>Y</t>
        </is>
      </c>
      <c r="G100" s="23" t="inlineStr">
        <is>
          <t>214450</t>
        </is>
      </c>
      <c r="H100" s="22" t="inlineStr">
        <is>
          <t>미확인</t>
        </is>
      </c>
      <c r="I100" s="17" t="n">
        <v>1</v>
      </c>
      <c r="J100" s="17" t="n">
        <v>2</v>
      </c>
      <c r="K100" s="17" t="inlineStr">
        <is>
          <t>Y</t>
        </is>
      </c>
      <c r="L100" s="17" t="inlineStr">
        <is>
          <t>Y</t>
        </is>
      </c>
      <c r="M100" s="17" t="inlineStr"/>
      <c r="N100" s="17" t="inlineStr"/>
      <c r="O100" s="17" t="inlineStr">
        <is>
          <t>강원특별자치도</t>
        </is>
      </c>
      <c r="P100" s="17" t="inlineStr">
        <is>
          <t>미확인</t>
        </is>
      </c>
      <c r="Q100" s="17" t="inlineStr">
        <is>
          <t>http://pharmaresearch.com/</t>
        </is>
      </c>
      <c r="R100" s="17" t="inlineStr">
        <is>
          <t>LIMS</t>
        </is>
      </c>
      <c r="S100" s="24" t="n">
        <v>47081</v>
      </c>
      <c r="T100" s="17" t="inlineStr"/>
    </row>
    <row r="101">
      <c r="A101" s="17" t="n">
        <v>100</v>
      </c>
      <c r="B101" s="17" t="inlineStr">
        <is>
          <t>대구경북첨단의료산업진흥재단</t>
        </is>
      </c>
      <c r="C101" s="17" t="inlineStr">
        <is>
          <t>대구경북첨단의료산업진흥재단</t>
        </is>
      </c>
      <c r="D101" s="26" t="inlineStr">
        <is>
          <t>Tier B</t>
        </is>
      </c>
      <c r="E101" s="17" t="n">
        <v>19</v>
      </c>
      <c r="F101" s="17" t="inlineStr"/>
      <c r="G101" s="23" t="inlineStr"/>
      <c r="H101" s="22" t="inlineStr">
        <is>
          <t>미확인</t>
        </is>
      </c>
      <c r="I101" s="17" t="n">
        <v>1</v>
      </c>
      <c r="J101" s="17" t="n">
        <v>2</v>
      </c>
      <c r="K101" s="17" t="inlineStr">
        <is>
          <t>Y</t>
        </is>
      </c>
      <c r="L101" s="17" t="inlineStr">
        <is>
          <t>Y</t>
        </is>
      </c>
      <c r="M101" s="17" t="inlineStr">
        <is>
          <t>Y</t>
        </is>
      </c>
      <c r="N101" s="17" t="inlineStr"/>
      <c r="O101" s="17" t="inlineStr">
        <is>
          <t>대구광역시</t>
        </is>
      </c>
      <c r="P101" s="17" t="inlineStr">
        <is>
          <t>053-790-5822</t>
        </is>
      </c>
      <c r="Q101" s="17" t="inlineStr"/>
      <c r="R101" s="17" t="inlineStr">
        <is>
          <t>QMS+LIMS</t>
        </is>
      </c>
      <c r="S101" s="24" t="n">
        <v>46807</v>
      </c>
      <c r="T101" s="17" t="inlineStr"/>
    </row>
    <row r="102">
      <c r="A102" s="17" t="n">
        <v>101</v>
      </c>
      <c r="B102" s="17" t="inlineStr">
        <is>
          <t>동화약품(주)</t>
        </is>
      </c>
      <c r="C102" s="17" t="inlineStr">
        <is>
          <t>동화약품</t>
        </is>
      </c>
      <c r="D102" s="26" t="inlineStr">
        <is>
          <t>Tier B</t>
        </is>
      </c>
      <c r="E102" s="17" t="n">
        <v>19</v>
      </c>
      <c r="F102" s="17" t="inlineStr">
        <is>
          <t>Y</t>
        </is>
      </c>
      <c r="G102" s="23" t="inlineStr">
        <is>
          <t>000020</t>
        </is>
      </c>
      <c r="H102" s="22" t="inlineStr">
        <is>
          <t>미확인</t>
        </is>
      </c>
      <c r="I102" s="17" t="n">
        <v>1</v>
      </c>
      <c r="J102" s="17" t="n">
        <v>2</v>
      </c>
      <c r="K102" s="17" t="inlineStr">
        <is>
          <t>Y</t>
        </is>
      </c>
      <c r="L102" s="17" t="inlineStr">
        <is>
          <t>Y</t>
        </is>
      </c>
      <c r="M102" s="17" t="inlineStr"/>
      <c r="N102" s="17" t="inlineStr"/>
      <c r="O102" s="17" t="inlineStr">
        <is>
          <t>충청북도</t>
        </is>
      </c>
      <c r="P102" s="17" t="inlineStr">
        <is>
          <t>080-023-1897</t>
        </is>
      </c>
      <c r="Q102" s="17" t="inlineStr">
        <is>
          <t>http://www.dong-wha.co.kr</t>
        </is>
      </c>
      <c r="R102" s="17" t="inlineStr">
        <is>
          <t>LIMS</t>
        </is>
      </c>
      <c r="S102" s="24" t="n">
        <v>46918</v>
      </c>
      <c r="T102" s="17" t="inlineStr"/>
    </row>
    <row r="103">
      <c r="A103" s="17" t="n">
        <v>102</v>
      </c>
      <c r="B103" s="17" t="inlineStr">
        <is>
          <t>에스피씨(주)</t>
        </is>
      </c>
      <c r="C103" s="17" t="inlineStr">
        <is>
          <t>에스피씨</t>
        </is>
      </c>
      <c r="D103" s="26" t="inlineStr">
        <is>
          <t>Tier B</t>
        </is>
      </c>
      <c r="E103" s="17" t="n">
        <v>19</v>
      </c>
      <c r="F103" s="17" t="inlineStr"/>
      <c r="G103" s="23" t="inlineStr"/>
      <c r="H103" s="22" t="inlineStr">
        <is>
          <t>미확인</t>
        </is>
      </c>
      <c r="I103" s="17" t="n">
        <v>1</v>
      </c>
      <c r="J103" s="17" t="n">
        <v>2</v>
      </c>
      <c r="K103" s="17" t="inlineStr">
        <is>
          <t>Y</t>
        </is>
      </c>
      <c r="L103" s="17" t="inlineStr">
        <is>
          <t>Y</t>
        </is>
      </c>
      <c r="M103" s="17" t="inlineStr">
        <is>
          <t>Y</t>
        </is>
      </c>
      <c r="N103" s="17" t="inlineStr"/>
      <c r="O103" s="17" t="inlineStr">
        <is>
          <t>경기도</t>
        </is>
      </c>
      <c r="P103" s="17" t="inlineStr">
        <is>
          <t>031-682-4675</t>
        </is>
      </c>
      <c r="Q103" s="17" t="inlineStr"/>
      <c r="R103" s="17" t="inlineStr">
        <is>
          <t>QMS+LIMS</t>
        </is>
      </c>
      <c r="S103" s="24" t="n">
        <v>47319</v>
      </c>
      <c r="T103" s="17" t="inlineStr"/>
    </row>
    <row r="104">
      <c r="A104" s="17" t="n">
        <v>103</v>
      </c>
      <c r="B104" s="17" t="inlineStr">
        <is>
          <t>한국원자력연구원</t>
        </is>
      </c>
      <c r="C104" s="17" t="inlineStr">
        <is>
          <t>한국원자력연구원</t>
        </is>
      </c>
      <c r="D104" s="26" t="inlineStr">
        <is>
          <t>Tier B</t>
        </is>
      </c>
      <c r="E104" s="17" t="n">
        <v>19</v>
      </c>
      <c r="F104" s="17" t="inlineStr"/>
      <c r="G104" s="23" t="inlineStr"/>
      <c r="H104" s="22" t="inlineStr">
        <is>
          <t>미확인</t>
        </is>
      </c>
      <c r="I104" s="17" t="n">
        <v>1</v>
      </c>
      <c r="J104" s="17" t="n">
        <v>2</v>
      </c>
      <c r="K104" s="17" t="inlineStr">
        <is>
          <t>Y</t>
        </is>
      </c>
      <c r="L104" s="17" t="inlineStr">
        <is>
          <t>Y</t>
        </is>
      </c>
      <c r="M104" s="17" t="inlineStr">
        <is>
          <t>Y</t>
        </is>
      </c>
      <c r="N104" s="17" t="inlineStr"/>
      <c r="O104" s="17" t="inlineStr">
        <is>
          <t>대전광역시</t>
        </is>
      </c>
      <c r="P104" s="17" t="inlineStr">
        <is>
          <t>042-868-2000</t>
        </is>
      </c>
      <c r="Q104" s="17" t="inlineStr"/>
      <c r="R104" s="17" t="inlineStr">
        <is>
          <t>QMS+LIMS</t>
        </is>
      </c>
      <c r="S104" s="24" t="n">
        <v>47332</v>
      </c>
      <c r="T104" s="17" t="inlineStr"/>
    </row>
    <row r="105">
      <c r="A105" s="17" t="n">
        <v>104</v>
      </c>
      <c r="B105" s="17" t="inlineStr">
        <is>
          <t>(주)알피바이오</t>
        </is>
      </c>
      <c r="C105" s="17" t="inlineStr">
        <is>
          <t>알피바이오</t>
        </is>
      </c>
      <c r="D105" s="26" t="inlineStr">
        <is>
          <t>Tier B</t>
        </is>
      </c>
      <c r="E105" s="17" t="n">
        <v>18</v>
      </c>
      <c r="F105" s="17" t="inlineStr">
        <is>
          <t>Y</t>
        </is>
      </c>
      <c r="G105" s="23" t="inlineStr">
        <is>
          <t>314140</t>
        </is>
      </c>
      <c r="H105" s="22" t="inlineStr">
        <is>
          <t>미확인</t>
        </is>
      </c>
      <c r="I105" s="17" t="n">
        <v>2</v>
      </c>
      <c r="J105" s="17" t="n">
        <v>2</v>
      </c>
      <c r="K105" s="17" t="inlineStr">
        <is>
          <t>Y</t>
        </is>
      </c>
      <c r="L105" s="17" t="inlineStr"/>
      <c r="M105" s="17" t="inlineStr"/>
      <c r="N105" s="17" t="inlineStr"/>
      <c r="O105" s="17" t="inlineStr">
        <is>
          <t>경기도</t>
        </is>
      </c>
      <c r="P105" s="17" t="inlineStr">
        <is>
          <t>미확인</t>
        </is>
      </c>
      <c r="Q105" s="17" t="inlineStr">
        <is>
          <t>http://rpskorea.com</t>
        </is>
      </c>
      <c r="R105" s="17" t="inlineStr">
        <is>
          <t>EDMS+QMS+LMS</t>
        </is>
      </c>
      <c r="S105" s="24" t="n">
        <v>46990</v>
      </c>
      <c r="T105" s="17" t="inlineStr"/>
    </row>
    <row r="106">
      <c r="A106" s="17" t="n">
        <v>105</v>
      </c>
      <c r="B106" s="17" t="inlineStr">
        <is>
          <t>(주)와이에스생명과학</t>
        </is>
      </c>
      <c r="C106" s="17" t="inlineStr">
        <is>
          <t>와이에스생명과학</t>
        </is>
      </c>
      <c r="D106" s="26" t="inlineStr">
        <is>
          <t>Tier B</t>
        </is>
      </c>
      <c r="E106" s="17" t="n">
        <v>18</v>
      </c>
      <c r="F106" s="17" t="inlineStr"/>
      <c r="G106" s="23" t="inlineStr"/>
      <c r="H106" s="22" t="inlineStr">
        <is>
          <t>미확인</t>
        </is>
      </c>
      <c r="I106" s="17" t="n">
        <v>2</v>
      </c>
      <c r="J106" s="17" t="n">
        <v>2</v>
      </c>
      <c r="K106" s="17" t="inlineStr">
        <is>
          <t>Y</t>
        </is>
      </c>
      <c r="L106" s="17" t="inlineStr">
        <is>
          <t>Y</t>
        </is>
      </c>
      <c r="M106" s="17" t="inlineStr"/>
      <c r="N106" s="17" t="inlineStr"/>
      <c r="O106" s="17" t="inlineStr">
        <is>
          <t>경기도</t>
        </is>
      </c>
      <c r="P106" s="17" t="inlineStr">
        <is>
          <t>070-4754-7383</t>
        </is>
      </c>
      <c r="Q106" s="17" t="inlineStr"/>
      <c r="R106" s="17" t="inlineStr">
        <is>
          <t>통합형</t>
        </is>
      </c>
      <c r="S106" s="24" t="n">
        <v>46433</v>
      </c>
      <c r="T106" s="17" t="inlineStr"/>
    </row>
    <row r="107">
      <c r="A107" s="17" t="n">
        <v>106</v>
      </c>
      <c r="B107" s="17" t="inlineStr">
        <is>
          <t>(주)와이즈메디</t>
        </is>
      </c>
      <c r="C107" s="17" t="inlineStr">
        <is>
          <t>와이즈메디</t>
        </is>
      </c>
      <c r="D107" s="26" t="inlineStr">
        <is>
          <t>Tier B</t>
        </is>
      </c>
      <c r="E107" s="17" t="n">
        <v>18</v>
      </c>
      <c r="F107" s="17" t="inlineStr"/>
      <c r="G107" s="23" t="inlineStr"/>
      <c r="H107" s="22" t="inlineStr">
        <is>
          <t>미확인</t>
        </is>
      </c>
      <c r="I107" s="17" t="n">
        <v>2</v>
      </c>
      <c r="J107" s="17" t="n">
        <v>2</v>
      </c>
      <c r="K107" s="17" t="inlineStr">
        <is>
          <t>Y</t>
        </is>
      </c>
      <c r="L107" s="17" t="inlineStr"/>
      <c r="M107" s="17" t="inlineStr">
        <is>
          <t>Y</t>
        </is>
      </c>
      <c r="N107" s="17" t="inlineStr"/>
      <c r="O107" s="17" t="inlineStr">
        <is>
          <t>충청북도</t>
        </is>
      </c>
      <c r="P107" s="17" t="inlineStr">
        <is>
          <t>미확인</t>
        </is>
      </c>
      <c r="Q107" s="17" t="inlineStr"/>
      <c r="R107" s="17" t="inlineStr">
        <is>
          <t>통합형</t>
        </is>
      </c>
      <c r="S107" s="24" t="n">
        <v>46641</v>
      </c>
      <c r="T107" s="17" t="inlineStr"/>
    </row>
    <row r="108">
      <c r="A108" s="17" t="n">
        <v>107</v>
      </c>
      <c r="B108" s="17" t="inlineStr">
        <is>
          <t>오스템파마주식회사</t>
        </is>
      </c>
      <c r="C108" s="17" t="inlineStr">
        <is>
          <t>오스템파마</t>
        </is>
      </c>
      <c r="D108" s="26" t="inlineStr">
        <is>
          <t>Tier B</t>
        </is>
      </c>
      <c r="E108" s="17" t="n">
        <v>18</v>
      </c>
      <c r="F108" s="17" t="inlineStr"/>
      <c r="G108" s="23" t="inlineStr"/>
      <c r="H108" s="22" t="inlineStr">
        <is>
          <t>미확인</t>
        </is>
      </c>
      <c r="I108" s="17" t="n">
        <v>2</v>
      </c>
      <c r="J108" s="17" t="n">
        <v>2</v>
      </c>
      <c r="K108" s="17" t="inlineStr">
        <is>
          <t>Y</t>
        </is>
      </c>
      <c r="L108" s="17" t="inlineStr"/>
      <c r="M108" s="17" t="inlineStr">
        <is>
          <t>Y</t>
        </is>
      </c>
      <c r="N108" s="17" t="inlineStr"/>
      <c r="O108" s="17" t="inlineStr">
        <is>
          <t>충청북도</t>
        </is>
      </c>
      <c r="P108" s="17" t="inlineStr">
        <is>
          <t>070-4394-1482</t>
        </is>
      </c>
      <c r="Q108" s="17" t="inlineStr"/>
      <c r="R108" s="17" t="inlineStr">
        <is>
          <t>통합형</t>
        </is>
      </c>
      <c r="S108" s="24" t="n">
        <v>46586</v>
      </c>
      <c r="T108" s="17" t="inlineStr"/>
    </row>
    <row r="109">
      <c r="A109" s="17" t="n">
        <v>108</v>
      </c>
      <c r="B109" s="17" t="inlineStr">
        <is>
          <t>환인제약(주)</t>
        </is>
      </c>
      <c r="C109" s="17" t="inlineStr">
        <is>
          <t>환인제약</t>
        </is>
      </c>
      <c r="D109" s="26" t="inlineStr">
        <is>
          <t>Tier B</t>
        </is>
      </c>
      <c r="E109" s="17" t="n">
        <v>18</v>
      </c>
      <c r="F109" s="17" t="inlineStr">
        <is>
          <t>Y</t>
        </is>
      </c>
      <c r="G109" s="23" t="inlineStr">
        <is>
          <t>016580</t>
        </is>
      </c>
      <c r="H109" s="22" t="inlineStr">
        <is>
          <t>미확인</t>
        </is>
      </c>
      <c r="I109" s="17" t="n">
        <v>2</v>
      </c>
      <c r="J109" s="17" t="n">
        <v>2</v>
      </c>
      <c r="K109" s="17" t="inlineStr">
        <is>
          <t>Y</t>
        </is>
      </c>
      <c r="L109" s="17" t="inlineStr"/>
      <c r="M109" s="17" t="inlineStr"/>
      <c r="N109" s="17" t="inlineStr"/>
      <c r="O109" s="17" t="inlineStr">
        <is>
          <t>경기도</t>
        </is>
      </c>
      <c r="P109" s="17" t="inlineStr">
        <is>
          <t>031-849-4310</t>
        </is>
      </c>
      <c r="Q109" s="17" t="inlineStr">
        <is>
          <t>http://www.whanin.co.kr</t>
        </is>
      </c>
      <c r="R109" s="17" t="inlineStr">
        <is>
          <t>EDMS+QMS+LMS</t>
        </is>
      </c>
      <c r="S109" s="24" t="n">
        <v>47065</v>
      </c>
      <c r="T109" s="17" t="inlineStr"/>
    </row>
    <row r="110">
      <c r="A110" s="17" t="n">
        <v>109</v>
      </c>
      <c r="B110" s="17" t="inlineStr">
        <is>
          <t>(주)국전</t>
        </is>
      </c>
      <c r="C110" s="17" t="inlineStr">
        <is>
          <t>국전</t>
        </is>
      </c>
      <c r="D110" s="26" t="inlineStr">
        <is>
          <t>Tier B</t>
        </is>
      </c>
      <c r="E110" s="17" t="n">
        <v>18</v>
      </c>
      <c r="F110" s="17" t="inlineStr">
        <is>
          <t>Y</t>
        </is>
      </c>
      <c r="G110" s="23" t="inlineStr">
        <is>
          <t>307750</t>
        </is>
      </c>
      <c r="H110" s="22" t="inlineStr">
        <is>
          <t>미확인</t>
        </is>
      </c>
      <c r="I110" s="17" t="n">
        <v>1</v>
      </c>
      <c r="J110" s="17" t="n">
        <v>1</v>
      </c>
      <c r="K110" s="17" t="inlineStr"/>
      <c r="L110" s="17" t="inlineStr">
        <is>
          <t>Y</t>
        </is>
      </c>
      <c r="M110" s="17" t="inlineStr"/>
      <c r="N110" s="17" t="inlineStr"/>
      <c r="O110" s="17" t="inlineStr">
        <is>
          <t>경기도</t>
        </is>
      </c>
      <c r="P110" s="17" t="inlineStr">
        <is>
          <t>031-352-8179</t>
        </is>
      </c>
      <c r="Q110" s="17" t="inlineStr"/>
      <c r="R110" s="17" t="inlineStr">
        <is>
          <t>LIMS</t>
        </is>
      </c>
      <c r="S110" s="24" t="n">
        <v>46586</v>
      </c>
      <c r="T110" s="17" t="inlineStr"/>
    </row>
    <row r="111">
      <c r="A111" s="17" t="n">
        <v>110</v>
      </c>
      <c r="B111" s="17" t="inlineStr">
        <is>
          <t>(주)루텍</t>
        </is>
      </c>
      <c r="C111" s="17" t="inlineStr">
        <is>
          <t>루텍</t>
        </is>
      </c>
      <c r="D111" s="26" t="inlineStr">
        <is>
          <t>Tier B</t>
        </is>
      </c>
      <c r="E111" s="17" t="n">
        <v>18</v>
      </c>
      <c r="F111" s="17" t="inlineStr"/>
      <c r="G111" s="23" t="inlineStr"/>
      <c r="H111" s="22" t="inlineStr">
        <is>
          <t>미확인</t>
        </is>
      </c>
      <c r="I111" s="17" t="n">
        <v>1</v>
      </c>
      <c r="J111" s="17" t="n">
        <v>1</v>
      </c>
      <c r="K111" s="17" t="inlineStr"/>
      <c r="L111" s="17" t="inlineStr">
        <is>
          <t>Y</t>
        </is>
      </c>
      <c r="M111" s="17" t="inlineStr">
        <is>
          <t>Y</t>
        </is>
      </c>
      <c r="N111" s="17" t="inlineStr"/>
      <c r="O111" s="17" t="inlineStr">
        <is>
          <t>충청북도</t>
        </is>
      </c>
      <c r="P111" s="17" t="inlineStr">
        <is>
          <t>043-264-7038</t>
        </is>
      </c>
      <c r="Q111" s="17" t="inlineStr"/>
      <c r="R111" s="17" t="inlineStr">
        <is>
          <t>QMS+LIMS</t>
        </is>
      </c>
      <c r="S111" s="24" t="n">
        <v>46934</v>
      </c>
      <c r="T111" s="17" t="inlineStr"/>
    </row>
    <row r="112">
      <c r="A112" s="17" t="n">
        <v>111</v>
      </c>
      <c r="B112" s="17" t="inlineStr">
        <is>
          <t>(주)보락</t>
        </is>
      </c>
      <c r="C112" s="17" t="inlineStr">
        <is>
          <t>보락</t>
        </is>
      </c>
      <c r="D112" s="26" t="inlineStr">
        <is>
          <t>Tier B</t>
        </is>
      </c>
      <c r="E112" s="17" t="n">
        <v>18</v>
      </c>
      <c r="F112" s="17" t="inlineStr">
        <is>
          <t>Y</t>
        </is>
      </c>
      <c r="G112" s="23" t="inlineStr">
        <is>
          <t>002760</t>
        </is>
      </c>
      <c r="H112" s="22" t="inlineStr">
        <is>
          <t>미확인</t>
        </is>
      </c>
      <c r="I112" s="17" t="n">
        <v>1</v>
      </c>
      <c r="J112" s="17" t="n">
        <v>1</v>
      </c>
      <c r="K112" s="17" t="inlineStr"/>
      <c r="L112" s="17" t="inlineStr">
        <is>
          <t>Y</t>
        </is>
      </c>
      <c r="M112" s="17" t="inlineStr"/>
      <c r="N112" s="17" t="inlineStr"/>
      <c r="O112" s="17" t="inlineStr">
        <is>
          <t>경기도</t>
        </is>
      </c>
      <c r="P112" s="17" t="inlineStr">
        <is>
          <t>미확인</t>
        </is>
      </c>
      <c r="Q112" s="17" t="inlineStr">
        <is>
          <t>http://www.bolak.co.kr</t>
        </is>
      </c>
      <c r="R112" s="17" t="inlineStr">
        <is>
          <t>LIMS</t>
        </is>
      </c>
      <c r="S112" s="24" t="n">
        <v>47193</v>
      </c>
      <c r="T112" s="17" t="inlineStr"/>
    </row>
    <row r="113">
      <c r="A113" s="17" t="n">
        <v>112</v>
      </c>
      <c r="B113" s="17" t="inlineStr">
        <is>
          <t>(주)비보존제약</t>
        </is>
      </c>
      <c r="C113" s="17" t="inlineStr">
        <is>
          <t>비보존제약</t>
        </is>
      </c>
      <c r="D113" s="26" t="inlineStr">
        <is>
          <t>Tier B</t>
        </is>
      </c>
      <c r="E113" s="17" t="n">
        <v>18</v>
      </c>
      <c r="F113" s="17" t="inlineStr">
        <is>
          <t>Y</t>
        </is>
      </c>
      <c r="G113" s="23" t="inlineStr">
        <is>
          <t>082800</t>
        </is>
      </c>
      <c r="H113" s="22" t="inlineStr">
        <is>
          <t>미확인</t>
        </is>
      </c>
      <c r="I113" s="17" t="n">
        <v>1</v>
      </c>
      <c r="J113" s="17" t="n">
        <v>1</v>
      </c>
      <c r="K113" s="17" t="inlineStr">
        <is>
          <t>Y</t>
        </is>
      </c>
      <c r="L113" s="17" t="inlineStr"/>
      <c r="M113" s="17" t="inlineStr"/>
      <c r="N113" s="17" t="inlineStr"/>
      <c r="O113" s="17" t="inlineStr">
        <is>
          <t>경기도</t>
        </is>
      </c>
      <c r="P113" s="17" t="inlineStr">
        <is>
          <t>031-3536-5513</t>
        </is>
      </c>
      <c r="Q113" s="17" t="inlineStr">
        <is>
          <t>http://www.vivozonpharm.com</t>
        </is>
      </c>
      <c r="R113" s="17" t="inlineStr">
        <is>
          <t>QMS</t>
        </is>
      </c>
      <c r="S113" s="24" t="n">
        <v>46349</v>
      </c>
      <c r="T113" s="17" t="inlineStr">
        <is>
          <t>Y</t>
        </is>
      </c>
    </row>
    <row r="114">
      <c r="A114" s="17" t="n">
        <v>113</v>
      </c>
      <c r="B114" s="17" t="inlineStr">
        <is>
          <t>(주)서울제약</t>
        </is>
      </c>
      <c r="C114" s="17" t="inlineStr">
        <is>
          <t>서울제약</t>
        </is>
      </c>
      <c r="D114" s="26" t="inlineStr">
        <is>
          <t>Tier B</t>
        </is>
      </c>
      <c r="E114" s="17" t="n">
        <v>18</v>
      </c>
      <c r="F114" s="17" t="inlineStr">
        <is>
          <t>Y</t>
        </is>
      </c>
      <c r="G114" s="23" t="inlineStr">
        <is>
          <t>018680</t>
        </is>
      </c>
      <c r="H114" s="22" t="inlineStr">
        <is>
          <t>미확인</t>
        </is>
      </c>
      <c r="I114" s="17" t="n">
        <v>1</v>
      </c>
      <c r="J114" s="17" t="n">
        <v>1</v>
      </c>
      <c r="K114" s="17" t="inlineStr">
        <is>
          <t>Y</t>
        </is>
      </c>
      <c r="L114" s="17" t="inlineStr"/>
      <c r="M114" s="17" t="inlineStr"/>
      <c r="N114" s="17" t="inlineStr"/>
      <c r="O114" s="17" t="inlineStr">
        <is>
          <t>충청북도</t>
        </is>
      </c>
      <c r="P114" s="17" t="inlineStr">
        <is>
          <t>02-3470-2382</t>
        </is>
      </c>
      <c r="Q114" s="17" t="inlineStr">
        <is>
          <t>http://www.seoulpharma.com</t>
        </is>
      </c>
      <c r="R114" s="17" t="inlineStr">
        <is>
          <t>QMS</t>
        </is>
      </c>
      <c r="S114" s="24" t="n">
        <v>46340</v>
      </c>
      <c r="T114" s="17" t="inlineStr">
        <is>
          <t>Y</t>
        </is>
      </c>
    </row>
    <row r="115">
      <c r="A115" s="17" t="n">
        <v>114</v>
      </c>
      <c r="B115" s="17" t="inlineStr">
        <is>
          <t>(주)아이티켐</t>
        </is>
      </c>
      <c r="C115" s="17" t="inlineStr">
        <is>
          <t>아이티켐</t>
        </is>
      </c>
      <c r="D115" s="26" t="inlineStr">
        <is>
          <t>Tier B</t>
        </is>
      </c>
      <c r="E115" s="17" t="n">
        <v>18</v>
      </c>
      <c r="F115" s="17" t="inlineStr">
        <is>
          <t>Y</t>
        </is>
      </c>
      <c r="G115" s="23" t="inlineStr">
        <is>
          <t>309710</t>
        </is>
      </c>
      <c r="H115" s="22" t="inlineStr">
        <is>
          <t>미확인</t>
        </is>
      </c>
      <c r="I115" s="17" t="n">
        <v>1</v>
      </c>
      <c r="J115" s="17" t="n">
        <v>1</v>
      </c>
      <c r="K115" s="17" t="inlineStr"/>
      <c r="L115" s="17" t="inlineStr">
        <is>
          <t>Y</t>
        </is>
      </c>
      <c r="M115" s="17" t="inlineStr"/>
      <c r="N115" s="17" t="inlineStr"/>
      <c r="O115" s="17" t="inlineStr">
        <is>
          <t>충청북도</t>
        </is>
      </c>
      <c r="P115" s="17" t="inlineStr">
        <is>
          <t>043217702807075461932</t>
        </is>
      </c>
      <c r="Q115" s="17" t="inlineStr">
        <is>
          <t>http://itchem.co.kr/home/main.php</t>
        </is>
      </c>
      <c r="R115" s="17" t="inlineStr">
        <is>
          <t>LIMS</t>
        </is>
      </c>
      <c r="S115" s="24" t="n">
        <v>46856</v>
      </c>
      <c r="T115" s="17" t="inlineStr"/>
    </row>
    <row r="116">
      <c r="A116" s="17" t="n">
        <v>115</v>
      </c>
      <c r="B116" s="17" t="inlineStr">
        <is>
          <t>(주)켐트로스</t>
        </is>
      </c>
      <c r="C116" s="17" t="inlineStr">
        <is>
          <t>켐트로스</t>
        </is>
      </c>
      <c r="D116" s="26" t="inlineStr">
        <is>
          <t>Tier B</t>
        </is>
      </c>
      <c r="E116" s="17" t="n">
        <v>18</v>
      </c>
      <c r="F116" s="17" t="inlineStr">
        <is>
          <t>Y</t>
        </is>
      </c>
      <c r="G116" s="23" t="inlineStr">
        <is>
          <t>220260</t>
        </is>
      </c>
      <c r="H116" s="22" t="inlineStr">
        <is>
          <t>미확인</t>
        </is>
      </c>
      <c r="I116" s="17" t="n">
        <v>1</v>
      </c>
      <c r="J116" s="17" t="n">
        <v>1</v>
      </c>
      <c r="K116" s="17" t="inlineStr"/>
      <c r="L116" s="17" t="inlineStr">
        <is>
          <t>Y</t>
        </is>
      </c>
      <c r="M116" s="17" t="inlineStr"/>
      <c r="N116" s="17" t="inlineStr"/>
      <c r="O116" s="17" t="inlineStr">
        <is>
          <t>경기도</t>
        </is>
      </c>
      <c r="P116" s="17" t="inlineStr">
        <is>
          <t>031-4910-6534</t>
        </is>
      </c>
      <c r="Q116" s="17" t="inlineStr">
        <is>
          <t>http://chemtros.com</t>
        </is>
      </c>
      <c r="R116" s="17" t="inlineStr">
        <is>
          <t>LIMS</t>
        </is>
      </c>
      <c r="S116" s="24" t="n">
        <v>46919</v>
      </c>
      <c r="T116" s="17" t="inlineStr"/>
    </row>
    <row r="117">
      <c r="A117" s="17" t="n">
        <v>116</v>
      </c>
      <c r="B117" s="17" t="inlineStr">
        <is>
          <t>(주)태준제약</t>
        </is>
      </c>
      <c r="C117" s="17" t="inlineStr">
        <is>
          <t>태준제약</t>
        </is>
      </c>
      <c r="D117" s="26" t="inlineStr">
        <is>
          <t>Tier B</t>
        </is>
      </c>
      <c r="E117" s="17" t="n">
        <v>18</v>
      </c>
      <c r="F117" s="17" t="inlineStr"/>
      <c r="G117" s="23" t="inlineStr"/>
      <c r="H117" s="22" t="inlineStr">
        <is>
          <t>미확인</t>
        </is>
      </c>
      <c r="I117" s="17" t="n">
        <v>1</v>
      </c>
      <c r="J117" s="17" t="n">
        <v>1</v>
      </c>
      <c r="K117" s="17" t="inlineStr">
        <is>
          <t>Y</t>
        </is>
      </c>
      <c r="L117" s="17" t="inlineStr"/>
      <c r="M117" s="17" t="inlineStr">
        <is>
          <t>Y</t>
        </is>
      </c>
      <c r="N117" s="17" t="inlineStr"/>
      <c r="O117" s="17" t="inlineStr">
        <is>
          <t>경기도</t>
        </is>
      </c>
      <c r="P117" s="17" t="inlineStr">
        <is>
          <t>미확인</t>
        </is>
      </c>
      <c r="Q117" s="17" t="inlineStr"/>
      <c r="R117" s="17" t="inlineStr">
        <is>
          <t>QMS+LIMS</t>
        </is>
      </c>
      <c r="S117" s="24" t="n">
        <v>46279</v>
      </c>
      <c r="T117" s="17" t="inlineStr">
        <is>
          <t>Y</t>
        </is>
      </c>
    </row>
    <row r="118">
      <c r="A118" s="17" t="n">
        <v>117</v>
      </c>
      <c r="B118" s="17" t="inlineStr">
        <is>
          <t>(주)펜믹스</t>
        </is>
      </c>
      <c r="C118" s="17" t="inlineStr">
        <is>
          <t>펜믹스</t>
        </is>
      </c>
      <c r="D118" s="26" t="inlineStr">
        <is>
          <t>Tier B</t>
        </is>
      </c>
      <c r="E118" s="17" t="n">
        <v>18</v>
      </c>
      <c r="F118" s="17" t="inlineStr"/>
      <c r="G118" s="23" t="inlineStr"/>
      <c r="H118" s="22" t="inlineStr">
        <is>
          <t>미확인</t>
        </is>
      </c>
      <c r="I118" s="17" t="n">
        <v>1</v>
      </c>
      <c r="J118" s="17" t="n">
        <v>1</v>
      </c>
      <c r="K118" s="17" t="inlineStr">
        <is>
          <t>Y</t>
        </is>
      </c>
      <c r="L118" s="17" t="inlineStr"/>
      <c r="M118" s="17" t="inlineStr">
        <is>
          <t>Y</t>
        </is>
      </c>
      <c r="N118" s="17" t="inlineStr"/>
      <c r="O118" s="17" t="inlineStr">
        <is>
          <t>충청남도</t>
        </is>
      </c>
      <c r="P118" s="17" t="inlineStr">
        <is>
          <t>041-580-5890</t>
        </is>
      </c>
      <c r="Q118" s="17" t="inlineStr"/>
      <c r="R118" s="17" t="inlineStr">
        <is>
          <t>QMS+LIMS</t>
        </is>
      </c>
      <c r="S118" s="24" t="n">
        <v>46369</v>
      </c>
      <c r="T118" s="17" t="inlineStr">
        <is>
          <t>Y</t>
        </is>
      </c>
    </row>
    <row r="119">
      <c r="A119" s="17" t="n">
        <v>118</v>
      </c>
      <c r="B119" s="17" t="inlineStr">
        <is>
          <t>대상(주)</t>
        </is>
      </c>
      <c r="C119" s="17" t="inlineStr">
        <is>
          <t>대상</t>
        </is>
      </c>
      <c r="D119" s="26" t="inlineStr">
        <is>
          <t>Tier B</t>
        </is>
      </c>
      <c r="E119" s="17" t="n">
        <v>18</v>
      </c>
      <c r="F119" s="17" t="inlineStr">
        <is>
          <t>Y</t>
        </is>
      </c>
      <c r="G119" s="23" t="inlineStr">
        <is>
          <t>001680</t>
        </is>
      </c>
      <c r="H119" s="22" t="inlineStr">
        <is>
          <t>미확인</t>
        </is>
      </c>
      <c r="I119" s="17" t="n">
        <v>1</v>
      </c>
      <c r="J119" s="17" t="n">
        <v>1</v>
      </c>
      <c r="K119" s="17" t="inlineStr"/>
      <c r="L119" s="17" t="inlineStr">
        <is>
          <t>Y</t>
        </is>
      </c>
      <c r="M119" s="17" t="inlineStr"/>
      <c r="N119" s="17" t="inlineStr"/>
      <c r="O119" s="17" t="inlineStr">
        <is>
          <t>전북특별자치도</t>
        </is>
      </c>
      <c r="P119" s="17" t="inlineStr">
        <is>
          <t>미확인</t>
        </is>
      </c>
      <c r="Q119" s="17" t="inlineStr">
        <is>
          <t>http://www.daesang.co.kr</t>
        </is>
      </c>
      <c r="R119" s="17" t="inlineStr">
        <is>
          <t>LIMS</t>
        </is>
      </c>
      <c r="S119" s="24" t="n">
        <v>46952</v>
      </c>
      <c r="T119" s="17" t="inlineStr"/>
    </row>
    <row r="120">
      <c r="A120" s="17" t="n">
        <v>119</v>
      </c>
      <c r="B120" s="17" t="inlineStr">
        <is>
          <t>대화제약(주)</t>
        </is>
      </c>
      <c r="C120" s="17" t="inlineStr">
        <is>
          <t>대화제약</t>
        </is>
      </c>
      <c r="D120" s="26" t="inlineStr">
        <is>
          <t>Tier B</t>
        </is>
      </c>
      <c r="E120" s="17" t="n">
        <v>18</v>
      </c>
      <c r="F120" s="17" t="inlineStr">
        <is>
          <t>Y</t>
        </is>
      </c>
      <c r="G120" s="23" t="inlineStr">
        <is>
          <t>067080</t>
        </is>
      </c>
      <c r="H120" s="22" t="inlineStr">
        <is>
          <t>미확인</t>
        </is>
      </c>
      <c r="I120" s="17" t="n">
        <v>1</v>
      </c>
      <c r="J120" s="17" t="n">
        <v>1</v>
      </c>
      <c r="K120" s="17" t="inlineStr">
        <is>
          <t>Y</t>
        </is>
      </c>
      <c r="L120" s="17" t="inlineStr"/>
      <c r="M120" s="17" t="inlineStr"/>
      <c r="N120" s="17" t="inlineStr"/>
      <c r="O120" s="17" t="inlineStr">
        <is>
          <t>강원특별자치도</t>
        </is>
      </c>
      <c r="P120" s="17" t="inlineStr">
        <is>
          <t>033-342-5140</t>
        </is>
      </c>
      <c r="Q120" s="17" t="inlineStr">
        <is>
          <t>http://www.dhpharm.co.kr</t>
        </is>
      </c>
      <c r="R120" s="17" t="inlineStr">
        <is>
          <t>QMS</t>
        </is>
      </c>
      <c r="S120" s="24" t="n">
        <v>46342</v>
      </c>
      <c r="T120" s="17" t="inlineStr">
        <is>
          <t>Y</t>
        </is>
      </c>
    </row>
    <row r="121">
      <c r="A121" s="17" t="n">
        <v>120</v>
      </c>
      <c r="B121" s="17" t="inlineStr">
        <is>
          <t>삼천당제약(주)</t>
        </is>
      </c>
      <c r="C121" s="17" t="inlineStr">
        <is>
          <t>삼천당제약</t>
        </is>
      </c>
      <c r="D121" s="26" t="inlineStr">
        <is>
          <t>Tier B</t>
        </is>
      </c>
      <c r="E121" s="17" t="n">
        <v>18</v>
      </c>
      <c r="F121" s="17" t="inlineStr">
        <is>
          <t>Y</t>
        </is>
      </c>
      <c r="G121" s="23" t="inlineStr">
        <is>
          <t>000250</t>
        </is>
      </c>
      <c r="H121" s="22" t="inlineStr">
        <is>
          <t>미확인</t>
        </is>
      </c>
      <c r="I121" s="17" t="n">
        <v>1</v>
      </c>
      <c r="J121" s="17" t="n">
        <v>1</v>
      </c>
      <c r="K121" s="17" t="inlineStr">
        <is>
          <t>Y</t>
        </is>
      </c>
      <c r="L121" s="17" t="inlineStr"/>
      <c r="M121" s="17" t="inlineStr"/>
      <c r="N121" s="17" t="inlineStr"/>
      <c r="O121" s="17" t="inlineStr">
        <is>
          <t>경기도</t>
        </is>
      </c>
      <c r="P121" s="17" t="inlineStr">
        <is>
          <t>031-350-7300</t>
        </is>
      </c>
      <c r="Q121" s="17" t="inlineStr">
        <is>
          <t>http://www.scd.co.kr</t>
        </is>
      </c>
      <c r="R121" s="17" t="inlineStr">
        <is>
          <t>QMS</t>
        </is>
      </c>
      <c r="S121" s="24" t="n">
        <v>46244</v>
      </c>
      <c r="T121" s="17" t="inlineStr">
        <is>
          <t>Y</t>
        </is>
      </c>
    </row>
    <row r="122">
      <c r="A122" s="17" t="n">
        <v>121</v>
      </c>
      <c r="B122" s="17" t="inlineStr">
        <is>
          <t>안국약품(주)</t>
        </is>
      </c>
      <c r="C122" s="17" t="inlineStr">
        <is>
          <t>안국약품</t>
        </is>
      </c>
      <c r="D122" s="26" t="inlineStr">
        <is>
          <t>Tier B</t>
        </is>
      </c>
      <c r="E122" s="17" t="n">
        <v>18</v>
      </c>
      <c r="F122" s="17" t="inlineStr">
        <is>
          <t>Y</t>
        </is>
      </c>
      <c r="G122" s="23" t="inlineStr">
        <is>
          <t>001540</t>
        </is>
      </c>
      <c r="H122" s="22" t="inlineStr">
        <is>
          <t>미확인</t>
        </is>
      </c>
      <c r="I122" s="17" t="n">
        <v>1</v>
      </c>
      <c r="J122" s="17" t="n">
        <v>1</v>
      </c>
      <c r="K122" s="17" t="inlineStr">
        <is>
          <t>Y</t>
        </is>
      </c>
      <c r="L122" s="17" t="inlineStr"/>
      <c r="M122" s="17" t="inlineStr"/>
      <c r="N122" s="17" t="inlineStr"/>
      <c r="O122" s="17" t="inlineStr">
        <is>
          <t>경기도</t>
        </is>
      </c>
      <c r="P122" s="17" t="inlineStr">
        <is>
          <t>02-3289-4292</t>
        </is>
      </c>
      <c r="Q122" s="17" t="inlineStr">
        <is>
          <t>http://www.ahn-gook.com</t>
        </is>
      </c>
      <c r="R122" s="17" t="inlineStr">
        <is>
          <t>QMS</t>
        </is>
      </c>
      <c r="S122" s="24" t="n">
        <v>46272</v>
      </c>
      <c r="T122" s="17" t="inlineStr">
        <is>
          <t>Y</t>
        </is>
      </c>
    </row>
    <row r="123">
      <c r="A123" s="17" t="n">
        <v>122</v>
      </c>
      <c r="B123" s="17" t="inlineStr">
        <is>
          <t>의료법인한라의료재단</t>
        </is>
      </c>
      <c r="C123" s="17" t="inlineStr">
        <is>
          <t>의료법인한라의료재단</t>
        </is>
      </c>
      <c r="D123" s="26" t="inlineStr">
        <is>
          <t>Tier B</t>
        </is>
      </c>
      <c r="E123" s="17" t="n">
        <v>18</v>
      </c>
      <c r="F123" s="17" t="inlineStr"/>
      <c r="G123" s="23" t="inlineStr"/>
      <c r="H123" s="22" t="inlineStr">
        <is>
          <t>미확인</t>
        </is>
      </c>
      <c r="I123" s="17" t="n">
        <v>1</v>
      </c>
      <c r="J123" s="17" t="n">
        <v>1</v>
      </c>
      <c r="K123" s="17" t="inlineStr">
        <is>
          <t>Y</t>
        </is>
      </c>
      <c r="L123" s="17" t="inlineStr"/>
      <c r="M123" s="17" t="inlineStr">
        <is>
          <t>Y</t>
        </is>
      </c>
      <c r="N123" s="17" t="inlineStr"/>
      <c r="O123" s="17" t="inlineStr">
        <is>
          <t>제주특별자치도</t>
        </is>
      </c>
      <c r="P123" s="17" t="inlineStr">
        <is>
          <t>미확인</t>
        </is>
      </c>
      <c r="Q123" s="17" t="inlineStr"/>
      <c r="R123" s="17" t="inlineStr">
        <is>
          <t>QMS+LIMS</t>
        </is>
      </c>
      <c r="S123" s="24" t="n">
        <v>46276</v>
      </c>
      <c r="T123" s="17" t="inlineStr">
        <is>
          <t>Y</t>
        </is>
      </c>
    </row>
    <row r="124">
      <c r="A124" s="17" t="n">
        <v>123</v>
      </c>
      <c r="B124" s="17" t="inlineStr">
        <is>
          <t>주식회사현대바이오랜드</t>
        </is>
      </c>
      <c r="C124" s="17" t="inlineStr">
        <is>
          <t>현대바이오랜드</t>
        </is>
      </c>
      <c r="D124" s="26" t="inlineStr">
        <is>
          <t>Tier B</t>
        </is>
      </c>
      <c r="E124" s="17" t="n">
        <v>18</v>
      </c>
      <c r="F124" s="17" t="inlineStr">
        <is>
          <t>Y</t>
        </is>
      </c>
      <c r="G124" s="23" t="inlineStr">
        <is>
          <t>052260</t>
        </is>
      </c>
      <c r="H124" s="22" t="inlineStr">
        <is>
          <t>미확인</t>
        </is>
      </c>
      <c r="I124" s="17" t="n">
        <v>1</v>
      </c>
      <c r="J124" s="17" t="n">
        <v>1</v>
      </c>
      <c r="K124" s="17" t="inlineStr"/>
      <c r="L124" s="17" t="inlineStr">
        <is>
          <t>Y</t>
        </is>
      </c>
      <c r="M124" s="17" t="inlineStr"/>
      <c r="N124" s="17" t="inlineStr"/>
      <c r="O124" s="17" t="inlineStr">
        <is>
          <t>충청북도</t>
        </is>
      </c>
      <c r="P124" s="17" t="inlineStr">
        <is>
          <t>043-249-6720</t>
        </is>
      </c>
      <c r="Q124" s="17" t="inlineStr">
        <is>
          <t>http://www.hyundaibioland.co.kr</t>
        </is>
      </c>
      <c r="R124" s="17" t="inlineStr">
        <is>
          <t>LIMS</t>
        </is>
      </c>
      <c r="S124" s="24" t="n">
        <v>46976</v>
      </c>
      <c r="T124" s="17" t="inlineStr"/>
    </row>
    <row r="125">
      <c r="A125" s="17" t="n">
        <v>124</v>
      </c>
      <c r="B125" s="17" t="inlineStr">
        <is>
          <t>한국원자력의학원</t>
        </is>
      </c>
      <c r="C125" s="17" t="inlineStr">
        <is>
          <t>한국원자력의학원</t>
        </is>
      </c>
      <c r="D125" s="26" t="inlineStr">
        <is>
          <t>Tier B</t>
        </is>
      </c>
      <c r="E125" s="17" t="n">
        <v>18</v>
      </c>
      <c r="F125" s="17" t="inlineStr"/>
      <c r="G125" s="23" t="inlineStr"/>
      <c r="H125" s="22" t="inlineStr">
        <is>
          <t>미확인</t>
        </is>
      </c>
      <c r="I125" s="17" t="n">
        <v>1</v>
      </c>
      <c r="J125" s="17" t="n">
        <v>1</v>
      </c>
      <c r="K125" s="17" t="inlineStr">
        <is>
          <t>Y</t>
        </is>
      </c>
      <c r="L125" s="17" t="inlineStr"/>
      <c r="M125" s="17" t="inlineStr">
        <is>
          <t>Y</t>
        </is>
      </c>
      <c r="N125" s="17" t="inlineStr"/>
      <c r="O125" s="17" t="inlineStr">
        <is>
          <t>서울특별시</t>
        </is>
      </c>
      <c r="P125" s="17" t="inlineStr">
        <is>
          <t>02-970-2114</t>
        </is>
      </c>
      <c r="Q125" s="17" t="inlineStr"/>
      <c r="R125" s="17" t="inlineStr">
        <is>
          <t>QMS+LIMS</t>
        </is>
      </c>
      <c r="S125" s="24" t="n">
        <v>46235</v>
      </c>
      <c r="T125" s="17" t="inlineStr">
        <is>
          <t>Y</t>
        </is>
      </c>
    </row>
    <row r="126">
      <c r="A126" s="17" t="n">
        <v>125</v>
      </c>
      <c r="B126" s="17" t="inlineStr">
        <is>
          <t>한미정밀화학(주)</t>
        </is>
      </c>
      <c r="C126" s="17" t="inlineStr">
        <is>
          <t>한미정밀화학</t>
        </is>
      </c>
      <c r="D126" s="26" t="inlineStr">
        <is>
          <t>Tier B</t>
        </is>
      </c>
      <c r="E126" s="17" t="n">
        <v>18</v>
      </c>
      <c r="F126" s="17" t="inlineStr"/>
      <c r="G126" s="23" t="inlineStr"/>
      <c r="H126" s="22" t="inlineStr">
        <is>
          <t>미확인</t>
        </is>
      </c>
      <c r="I126" s="17" t="n">
        <v>1</v>
      </c>
      <c r="J126" s="17" t="n">
        <v>1</v>
      </c>
      <c r="K126" s="17" t="inlineStr"/>
      <c r="L126" s="17" t="inlineStr">
        <is>
          <t>Y</t>
        </is>
      </c>
      <c r="M126" s="17" t="inlineStr">
        <is>
          <t>Y</t>
        </is>
      </c>
      <c r="N126" s="17" t="inlineStr"/>
      <c r="O126" s="17" t="inlineStr">
        <is>
          <t>경기도</t>
        </is>
      </c>
      <c r="P126" s="17" t="inlineStr">
        <is>
          <t>미확인</t>
        </is>
      </c>
      <c r="Q126" s="17" t="inlineStr"/>
      <c r="R126" s="17" t="inlineStr">
        <is>
          <t>QMS+LIMS</t>
        </is>
      </c>
      <c r="S126" s="24" t="n">
        <v>46628</v>
      </c>
      <c r="T126" s="17" t="inlineStr"/>
    </row>
    <row r="127">
      <c r="A127" s="17" t="n">
        <v>126</v>
      </c>
      <c r="B127" s="17" t="inlineStr">
        <is>
          <t>대한적십자사혈장분획센터</t>
        </is>
      </c>
      <c r="C127" s="17" t="inlineStr">
        <is>
          <t>대한적십자사혈장분획센터</t>
        </is>
      </c>
      <c r="D127" s="27" t="inlineStr">
        <is>
          <t>Tier C</t>
        </is>
      </c>
      <c r="E127" s="17" t="n">
        <v>17</v>
      </c>
      <c r="F127" s="17" t="inlineStr"/>
      <c r="G127" s="23" t="inlineStr"/>
      <c r="H127" s="22" t="inlineStr">
        <is>
          <t>미확인</t>
        </is>
      </c>
      <c r="I127" s="17" t="n">
        <v>1</v>
      </c>
      <c r="J127" s="17" t="n">
        <v>1</v>
      </c>
      <c r="K127" s="17" t="inlineStr"/>
      <c r="L127" s="17" t="inlineStr">
        <is>
          <t>Y</t>
        </is>
      </c>
      <c r="M127" s="17" t="inlineStr"/>
      <c r="N127" s="17" t="inlineStr">
        <is>
          <t>Y</t>
        </is>
      </c>
      <c r="O127" s="17" t="inlineStr">
        <is>
          <t>충청북도</t>
        </is>
      </c>
      <c r="P127" s="17" t="inlineStr">
        <is>
          <t>04387912341365</t>
        </is>
      </c>
      <c r="Q127" s="17" t="inlineStr"/>
      <c r="R127" s="17" t="inlineStr">
        <is>
          <t>QMS+LIMS</t>
        </is>
      </c>
      <c r="S127" s="24" t="n">
        <v>46883</v>
      </c>
      <c r="T127" s="17" t="inlineStr"/>
    </row>
    <row r="128">
      <c r="A128" s="17" t="n">
        <v>127</v>
      </c>
      <c r="B128" s="17" t="inlineStr">
        <is>
          <t>(주)삼영유니텍</t>
        </is>
      </c>
      <c r="C128" s="17" t="inlineStr">
        <is>
          <t>삼영유니텍</t>
        </is>
      </c>
      <c r="D128" s="27" t="inlineStr">
        <is>
          <t>Tier C</t>
        </is>
      </c>
      <c r="E128" s="17" t="n">
        <v>16</v>
      </c>
      <c r="F128" s="17" t="inlineStr"/>
      <c r="G128" s="23" t="inlineStr"/>
      <c r="H128" s="22" t="inlineStr">
        <is>
          <t>미확인</t>
        </is>
      </c>
      <c r="I128" s="17" t="n">
        <v>1</v>
      </c>
      <c r="J128" s="17" t="n">
        <v>1</v>
      </c>
      <c r="K128" s="17" t="inlineStr">
        <is>
          <t>Y</t>
        </is>
      </c>
      <c r="L128" s="17" t="inlineStr"/>
      <c r="M128" s="17" t="inlineStr">
        <is>
          <t>Y</t>
        </is>
      </c>
      <c r="N128" s="17" t="inlineStr"/>
      <c r="O128" s="17" t="inlineStr">
        <is>
          <t>대전광역시</t>
        </is>
      </c>
      <c r="P128" s="17" t="inlineStr">
        <is>
          <t>042-863-8982</t>
        </is>
      </c>
      <c r="Q128" s="17" t="inlineStr"/>
      <c r="R128" s="17" t="inlineStr">
        <is>
          <t>QMS+LIMS</t>
        </is>
      </c>
      <c r="S128" s="24" t="n">
        <v>46558</v>
      </c>
      <c r="T128" s="17" t="inlineStr"/>
    </row>
    <row r="129">
      <c r="A129" s="17" t="n">
        <v>128</v>
      </c>
      <c r="B129" s="17" t="inlineStr">
        <is>
          <t>(주)씨티씨바이오</t>
        </is>
      </c>
      <c r="C129" s="17" t="inlineStr">
        <is>
          <t>씨티씨바이오</t>
        </is>
      </c>
      <c r="D129" s="27" t="inlineStr">
        <is>
          <t>Tier C</t>
        </is>
      </c>
      <c r="E129" s="17" t="n">
        <v>16</v>
      </c>
      <c r="F129" s="17" t="inlineStr">
        <is>
          <t>Y</t>
        </is>
      </c>
      <c r="G129" s="23" t="inlineStr">
        <is>
          <t>060590</t>
        </is>
      </c>
      <c r="H129" s="22" t="inlineStr">
        <is>
          <t>미확인</t>
        </is>
      </c>
      <c r="I129" s="17" t="n">
        <v>1</v>
      </c>
      <c r="J129" s="17" t="n">
        <v>1</v>
      </c>
      <c r="K129" s="17" t="inlineStr">
        <is>
          <t>Y</t>
        </is>
      </c>
      <c r="L129" s="17" t="inlineStr"/>
      <c r="M129" s="17" t="inlineStr"/>
      <c r="N129" s="17" t="inlineStr"/>
      <c r="O129" s="17" t="inlineStr">
        <is>
          <t>경기도</t>
        </is>
      </c>
      <c r="P129" s="17" t="inlineStr">
        <is>
          <t>미확인</t>
        </is>
      </c>
      <c r="Q129" s="17" t="inlineStr">
        <is>
          <t>http://www.ctcbio.com</t>
        </is>
      </c>
      <c r="R129" s="17" t="inlineStr">
        <is>
          <t>QMS</t>
        </is>
      </c>
      <c r="S129" s="24" t="n">
        <v>46424</v>
      </c>
      <c r="T129" s="17" t="inlineStr"/>
    </row>
    <row r="130">
      <c r="A130" s="17" t="n">
        <v>129</v>
      </c>
      <c r="B130" s="17" t="inlineStr">
        <is>
          <t>(주)이든파마</t>
        </is>
      </c>
      <c r="C130" s="17" t="inlineStr">
        <is>
          <t>이든파마</t>
        </is>
      </c>
      <c r="D130" s="27" t="inlineStr">
        <is>
          <t>Tier C</t>
        </is>
      </c>
      <c r="E130" s="17" t="n">
        <v>16</v>
      </c>
      <c r="F130" s="17" t="inlineStr"/>
      <c r="G130" s="23" t="inlineStr"/>
      <c r="H130" s="22" t="inlineStr">
        <is>
          <t>미확인</t>
        </is>
      </c>
      <c r="I130" s="17" t="n">
        <v>1</v>
      </c>
      <c r="J130" s="17" t="n">
        <v>2</v>
      </c>
      <c r="K130" s="17" t="inlineStr">
        <is>
          <t>Y</t>
        </is>
      </c>
      <c r="L130" s="17" t="inlineStr">
        <is>
          <t>Y</t>
        </is>
      </c>
      <c r="M130" s="17" t="inlineStr"/>
      <c r="N130" s="17" t="inlineStr"/>
      <c r="O130" s="17" t="inlineStr">
        <is>
          <t>충청북도</t>
        </is>
      </c>
      <c r="P130" s="17" t="inlineStr">
        <is>
          <t>043-534-9100</t>
        </is>
      </c>
      <c r="Q130" s="17" t="inlineStr"/>
      <c r="R130" s="17" t="inlineStr">
        <is>
          <t>QMS+LIMS</t>
        </is>
      </c>
      <c r="S130" s="24" t="n">
        <v>46258</v>
      </c>
      <c r="T130" s="17" t="inlineStr">
        <is>
          <t>Y</t>
        </is>
      </c>
    </row>
    <row r="131">
      <c r="A131" s="17" t="n">
        <v>130</v>
      </c>
      <c r="B131" s="17" t="inlineStr">
        <is>
          <t>(주)제일제약</t>
        </is>
      </c>
      <c r="C131" s="17" t="inlineStr">
        <is>
          <t>제일제약</t>
        </is>
      </c>
      <c r="D131" s="27" t="inlineStr">
        <is>
          <t>Tier C</t>
        </is>
      </c>
      <c r="E131" s="17" t="n">
        <v>16</v>
      </c>
      <c r="F131" s="17" t="inlineStr"/>
      <c r="G131" s="23" t="inlineStr"/>
      <c r="H131" s="22" t="inlineStr">
        <is>
          <t>미확인</t>
        </is>
      </c>
      <c r="I131" s="17" t="n">
        <v>1</v>
      </c>
      <c r="J131" s="17" t="n">
        <v>1</v>
      </c>
      <c r="K131" s="17" t="inlineStr">
        <is>
          <t>Y</t>
        </is>
      </c>
      <c r="L131" s="17" t="inlineStr"/>
      <c r="M131" s="17" t="inlineStr">
        <is>
          <t>Y</t>
        </is>
      </c>
      <c r="N131" s="17" t="inlineStr"/>
      <c r="O131" s="17" t="inlineStr">
        <is>
          <t>대구광역시</t>
        </is>
      </c>
      <c r="P131" s="17" t="inlineStr">
        <is>
          <t>053-5836-2268</t>
        </is>
      </c>
      <c r="Q131" s="17" t="inlineStr"/>
      <c r="R131" s="17" t="inlineStr">
        <is>
          <t>QMS+LIMS</t>
        </is>
      </c>
      <c r="S131" s="24" t="n">
        <v>46433</v>
      </c>
      <c r="T131" s="17" t="inlineStr"/>
    </row>
    <row r="132">
      <c r="A132" s="17" t="n">
        <v>131</v>
      </c>
      <c r="B132" s="17" t="inlineStr">
        <is>
          <t>고려제약(주)</t>
        </is>
      </c>
      <c r="C132" s="17" t="inlineStr">
        <is>
          <t>고려제약</t>
        </is>
      </c>
      <c r="D132" s="27" t="inlineStr">
        <is>
          <t>Tier C</t>
        </is>
      </c>
      <c r="E132" s="17" t="n">
        <v>16</v>
      </c>
      <c r="F132" s="17" t="inlineStr">
        <is>
          <t>Y</t>
        </is>
      </c>
      <c r="G132" s="23" t="inlineStr">
        <is>
          <t>014570</t>
        </is>
      </c>
      <c r="H132" s="22" t="inlineStr">
        <is>
          <t>미확인</t>
        </is>
      </c>
      <c r="I132" s="17" t="n">
        <v>1</v>
      </c>
      <c r="J132" s="17" t="n">
        <v>1</v>
      </c>
      <c r="K132" s="17" t="inlineStr">
        <is>
          <t>Y</t>
        </is>
      </c>
      <c r="L132" s="17" t="inlineStr"/>
      <c r="M132" s="17" t="inlineStr"/>
      <c r="N132" s="17" t="inlineStr"/>
      <c r="O132" s="17" t="inlineStr">
        <is>
          <t>경기도</t>
        </is>
      </c>
      <c r="P132" s="17" t="inlineStr">
        <is>
          <t>031-634-7100</t>
        </is>
      </c>
      <c r="Q132" s="17" t="inlineStr">
        <is>
          <t>http://www.nicepharma.com</t>
        </is>
      </c>
      <c r="R132" s="17" t="inlineStr">
        <is>
          <t>QMS</t>
        </is>
      </c>
      <c r="S132" s="24" t="n">
        <v>46460</v>
      </c>
      <c r="T132" s="17" t="inlineStr"/>
    </row>
    <row r="133">
      <c r="A133" s="17" t="n">
        <v>132</v>
      </c>
      <c r="B133" s="17" t="inlineStr">
        <is>
          <t>광동제약(주)</t>
        </is>
      </c>
      <c r="C133" s="17" t="inlineStr">
        <is>
          <t>광동제약</t>
        </is>
      </c>
      <c r="D133" s="27" t="inlineStr">
        <is>
          <t>Tier C</t>
        </is>
      </c>
      <c r="E133" s="17" t="n">
        <v>16</v>
      </c>
      <c r="F133" s="17" t="inlineStr">
        <is>
          <t>Y</t>
        </is>
      </c>
      <c r="G133" s="23" t="inlineStr">
        <is>
          <t>009290</t>
        </is>
      </c>
      <c r="H133" s="22" t="inlineStr">
        <is>
          <t>미확인</t>
        </is>
      </c>
      <c r="I133" s="17" t="n">
        <v>1</v>
      </c>
      <c r="J133" s="17" t="n">
        <v>1</v>
      </c>
      <c r="K133" s="17" t="inlineStr">
        <is>
          <t>Y</t>
        </is>
      </c>
      <c r="L133" s="17" t="inlineStr"/>
      <c r="M133" s="17" t="inlineStr"/>
      <c r="N133" s="17" t="inlineStr"/>
      <c r="O133" s="17" t="inlineStr">
        <is>
          <t>경기도</t>
        </is>
      </c>
      <c r="P133" s="17" t="inlineStr">
        <is>
          <t>031-612-1111</t>
        </is>
      </c>
      <c r="Q133" s="17" t="inlineStr">
        <is>
          <t>http://www.ekdp.com</t>
        </is>
      </c>
      <c r="R133" s="17" t="inlineStr">
        <is>
          <t>QMS</t>
        </is>
      </c>
      <c r="S133" s="24" t="n">
        <v>46474</v>
      </c>
      <c r="T133" s="17" t="inlineStr"/>
    </row>
    <row r="134">
      <c r="A134" s="17" t="n">
        <v>133</v>
      </c>
      <c r="B134" s="17" t="inlineStr">
        <is>
          <t>국립암센터</t>
        </is>
      </c>
      <c r="C134" s="17" t="inlineStr">
        <is>
          <t>국립암센터</t>
        </is>
      </c>
      <c r="D134" s="27" t="inlineStr">
        <is>
          <t>Tier C</t>
        </is>
      </c>
      <c r="E134" s="17" t="n">
        <v>16</v>
      </c>
      <c r="F134" s="17" t="inlineStr"/>
      <c r="G134" s="23" t="inlineStr"/>
      <c r="H134" s="22" t="inlineStr">
        <is>
          <t>미확인</t>
        </is>
      </c>
      <c r="I134" s="17" t="n">
        <v>1</v>
      </c>
      <c r="J134" s="17" t="n">
        <v>1</v>
      </c>
      <c r="K134" s="17" t="inlineStr">
        <is>
          <t>Y</t>
        </is>
      </c>
      <c r="L134" s="17" t="inlineStr"/>
      <c r="M134" s="17" t="inlineStr">
        <is>
          <t>Y</t>
        </is>
      </c>
      <c r="N134" s="17" t="inlineStr"/>
      <c r="O134" s="17" t="inlineStr">
        <is>
          <t>경기도</t>
        </is>
      </c>
      <c r="P134" s="17" t="inlineStr">
        <is>
          <t>031-920-0114</t>
        </is>
      </c>
      <c r="Q134" s="17" t="inlineStr"/>
      <c r="R134" s="17" t="inlineStr">
        <is>
          <t>QMS+LIMS</t>
        </is>
      </c>
      <c r="S134" s="24" t="n">
        <v>46398</v>
      </c>
      <c r="T134" s="17" t="inlineStr"/>
    </row>
    <row r="135">
      <c r="A135" s="17" t="n">
        <v>134</v>
      </c>
      <c r="B135" s="17" t="inlineStr">
        <is>
          <t>신일제약(주)</t>
        </is>
      </c>
      <c r="C135" s="17" t="inlineStr">
        <is>
          <t>신일제약</t>
        </is>
      </c>
      <c r="D135" s="27" t="inlineStr">
        <is>
          <t>Tier C</t>
        </is>
      </c>
      <c r="E135" s="17" t="n">
        <v>16</v>
      </c>
      <c r="F135" s="17" t="inlineStr">
        <is>
          <t>Y</t>
        </is>
      </c>
      <c r="G135" s="23" t="inlineStr">
        <is>
          <t>012790</t>
        </is>
      </c>
      <c r="H135" s="22" t="inlineStr">
        <is>
          <t>미확인</t>
        </is>
      </c>
      <c r="I135" s="17" t="n">
        <v>1</v>
      </c>
      <c r="J135" s="17" t="n">
        <v>1</v>
      </c>
      <c r="K135" s="17" t="inlineStr">
        <is>
          <t>Y</t>
        </is>
      </c>
      <c r="L135" s="17" t="inlineStr"/>
      <c r="M135" s="17" t="inlineStr"/>
      <c r="N135" s="17" t="inlineStr"/>
      <c r="O135" s="17" t="inlineStr">
        <is>
          <t>충청북도</t>
        </is>
      </c>
      <c r="P135" s="17" t="inlineStr">
        <is>
          <t>043-855-3944</t>
        </is>
      </c>
      <c r="Q135" s="17" t="inlineStr">
        <is>
          <t>http://www.sinilpharm.com</t>
        </is>
      </c>
      <c r="R135" s="17" t="inlineStr">
        <is>
          <t>QMS</t>
        </is>
      </c>
      <c r="S135" s="24" t="n">
        <v>46467</v>
      </c>
      <c r="T135" s="17" t="inlineStr"/>
    </row>
    <row r="136">
      <c r="A136" s="17" t="n">
        <v>135</v>
      </c>
      <c r="B136" s="17" t="inlineStr">
        <is>
          <t>씨엠에스제약(주)</t>
        </is>
      </c>
      <c r="C136" s="17" t="inlineStr">
        <is>
          <t>씨엠에스제약</t>
        </is>
      </c>
      <c r="D136" s="27" t="inlineStr">
        <is>
          <t>Tier C</t>
        </is>
      </c>
      <c r="E136" s="17" t="n">
        <v>16</v>
      </c>
      <c r="F136" s="17" t="inlineStr"/>
      <c r="G136" s="23" t="inlineStr"/>
      <c r="H136" s="22" t="inlineStr">
        <is>
          <t>미확인</t>
        </is>
      </c>
      <c r="I136" s="17" t="n">
        <v>1</v>
      </c>
      <c r="J136" s="17" t="n">
        <v>1</v>
      </c>
      <c r="K136" s="17" t="inlineStr">
        <is>
          <t>Y</t>
        </is>
      </c>
      <c r="L136" s="17" t="inlineStr"/>
      <c r="M136" s="17" t="inlineStr">
        <is>
          <t>Y</t>
        </is>
      </c>
      <c r="N136" s="17" t="inlineStr"/>
      <c r="O136" s="17" t="inlineStr">
        <is>
          <t>충청북도</t>
        </is>
      </c>
      <c r="P136" s="17" t="inlineStr">
        <is>
          <t>043-238-5000</t>
        </is>
      </c>
      <c r="Q136" s="17" t="inlineStr"/>
      <c r="R136" s="17" t="inlineStr">
        <is>
          <t>QMS+LIMS</t>
        </is>
      </c>
      <c r="S136" s="24" t="n">
        <v>46565</v>
      </c>
      <c r="T136" s="17" t="inlineStr"/>
    </row>
    <row r="137">
      <c r="A137" s="17" t="n">
        <v>136</v>
      </c>
      <c r="B137" s="17" t="inlineStr">
        <is>
          <t>알리코제약(주)</t>
        </is>
      </c>
      <c r="C137" s="17" t="inlineStr">
        <is>
          <t>알리코제약</t>
        </is>
      </c>
      <c r="D137" s="27" t="inlineStr">
        <is>
          <t>Tier C</t>
        </is>
      </c>
      <c r="E137" s="17" t="n">
        <v>16</v>
      </c>
      <c r="F137" s="17" t="inlineStr">
        <is>
          <t>Y</t>
        </is>
      </c>
      <c r="G137" s="23" t="inlineStr">
        <is>
          <t>260660</t>
        </is>
      </c>
      <c r="H137" s="22" t="inlineStr">
        <is>
          <t>미확인</t>
        </is>
      </c>
      <c r="I137" s="17" t="n">
        <v>1</v>
      </c>
      <c r="J137" s="17" t="n">
        <v>1</v>
      </c>
      <c r="K137" s="17" t="inlineStr">
        <is>
          <t>Y</t>
        </is>
      </c>
      <c r="L137" s="17" t="inlineStr"/>
      <c r="M137" s="17" t="inlineStr"/>
      <c r="N137" s="17" t="inlineStr"/>
      <c r="O137" s="17" t="inlineStr">
        <is>
          <t>충청북도</t>
        </is>
      </c>
      <c r="P137" s="17" t="inlineStr">
        <is>
          <t>043-535-8877</t>
        </is>
      </c>
      <c r="Q137" s="17" t="inlineStr">
        <is>
          <t>http://www.arlico.co.kr</t>
        </is>
      </c>
      <c r="R137" s="17" t="inlineStr">
        <is>
          <t>QMS</t>
        </is>
      </c>
      <c r="S137" s="24" t="n">
        <v>46424</v>
      </c>
      <c r="T137" s="17" t="inlineStr"/>
    </row>
    <row r="138">
      <c r="A138" s="17" t="n">
        <v>137</v>
      </c>
      <c r="B138" s="17" t="inlineStr">
        <is>
          <t>연세의료원</t>
        </is>
      </c>
      <c r="C138" s="17" t="inlineStr">
        <is>
          <t>연세의료원</t>
        </is>
      </c>
      <c r="D138" s="27" t="inlineStr">
        <is>
          <t>Tier C</t>
        </is>
      </c>
      <c r="E138" s="17" t="n">
        <v>16</v>
      </c>
      <c r="F138" s="17" t="inlineStr"/>
      <c r="G138" s="23" t="inlineStr"/>
      <c r="H138" s="22" t="inlineStr">
        <is>
          <t>미확인</t>
        </is>
      </c>
      <c r="I138" s="17" t="n">
        <v>1</v>
      </c>
      <c r="J138" s="17" t="n">
        <v>1</v>
      </c>
      <c r="K138" s="17" t="inlineStr">
        <is>
          <t>Y</t>
        </is>
      </c>
      <c r="L138" s="17" t="inlineStr"/>
      <c r="M138" s="17" t="inlineStr">
        <is>
          <t>Y</t>
        </is>
      </c>
      <c r="N138" s="17" t="inlineStr"/>
      <c r="O138" s="17" t="inlineStr">
        <is>
          <t>서울특별시</t>
        </is>
      </c>
      <c r="P138" s="17" t="inlineStr">
        <is>
          <t>미확인</t>
        </is>
      </c>
      <c r="Q138" s="17" t="inlineStr"/>
      <c r="R138" s="17" t="inlineStr">
        <is>
          <t>QMS+LIMS</t>
        </is>
      </c>
      <c r="S138" s="24" t="n">
        <v>46480</v>
      </c>
      <c r="T138" s="17" t="inlineStr"/>
    </row>
    <row r="139">
      <c r="A139" s="17" t="n">
        <v>138</v>
      </c>
      <c r="B139" s="17" t="inlineStr">
        <is>
          <t>태경케미컬(주)</t>
        </is>
      </c>
      <c r="C139" s="17" t="inlineStr">
        <is>
          <t>태경케미컬</t>
        </is>
      </c>
      <c r="D139" s="27" t="inlineStr">
        <is>
          <t>Tier C</t>
        </is>
      </c>
      <c r="E139" s="17" t="n">
        <v>16</v>
      </c>
      <c r="F139" s="17" t="inlineStr">
        <is>
          <t>Y</t>
        </is>
      </c>
      <c r="G139" s="23" t="inlineStr">
        <is>
          <t>006890</t>
        </is>
      </c>
      <c r="H139" s="22" t="inlineStr">
        <is>
          <t>미확인</t>
        </is>
      </c>
      <c r="I139" s="17" t="n">
        <v>1</v>
      </c>
      <c r="J139" s="17" t="n">
        <v>1</v>
      </c>
      <c r="K139" s="17" t="inlineStr">
        <is>
          <t>Y</t>
        </is>
      </c>
      <c r="L139" s="17" t="inlineStr"/>
      <c r="M139" s="17" t="inlineStr"/>
      <c r="N139" s="17" t="inlineStr"/>
      <c r="O139" s="17" t="inlineStr">
        <is>
          <t>충청남도</t>
        </is>
      </c>
      <c r="P139" s="17" t="inlineStr">
        <is>
          <t>041-681-3191</t>
        </is>
      </c>
      <c r="Q139" s="17" t="inlineStr">
        <is>
          <t>http://www.taekyungchem.co.kr</t>
        </is>
      </c>
      <c r="R139" s="17" t="inlineStr">
        <is>
          <t>QMS</t>
        </is>
      </c>
      <c r="S139" s="24" t="n">
        <v>46458</v>
      </c>
      <c r="T139" s="17" t="inlineStr"/>
    </row>
    <row r="140">
      <c r="A140" s="17" t="n">
        <v>139</v>
      </c>
      <c r="B140" s="17" t="inlineStr">
        <is>
          <t>단일시스켐(주)</t>
        </is>
      </c>
      <c r="C140" s="17" t="inlineStr">
        <is>
          <t>단일시스켐</t>
        </is>
      </c>
      <c r="D140" s="27" t="inlineStr">
        <is>
          <t>Tier C</t>
        </is>
      </c>
      <c r="E140" s="17" t="n">
        <v>15</v>
      </c>
      <c r="F140" s="17" t="inlineStr"/>
      <c r="G140" s="23" t="inlineStr"/>
      <c r="H140" s="22" t="inlineStr">
        <is>
          <t>미확인</t>
        </is>
      </c>
      <c r="I140" s="17" t="n">
        <v>3</v>
      </c>
      <c r="J140" s="17" t="n">
        <v>3</v>
      </c>
      <c r="K140" s="17" t="inlineStr">
        <is>
          <t>Y</t>
        </is>
      </c>
      <c r="L140" s="17" t="inlineStr"/>
      <c r="M140" s="17" t="inlineStr"/>
      <c r="N140" s="17" t="inlineStr"/>
      <c r="O140" s="17" t="inlineStr">
        <is>
          <t>경기도</t>
        </is>
      </c>
      <c r="P140" s="17" t="inlineStr">
        <is>
          <t>031-981-5544</t>
        </is>
      </c>
      <c r="Q140" s="17" t="inlineStr"/>
      <c r="R140" s="17" t="inlineStr">
        <is>
          <t>통합형</t>
        </is>
      </c>
      <c r="S140" s="24" t="n">
        <v>46871</v>
      </c>
      <c r="T140" s="17" t="inlineStr"/>
    </row>
    <row r="141">
      <c r="A141" s="17" t="n">
        <v>140</v>
      </c>
      <c r="B141" s="17" t="inlineStr">
        <is>
          <t>대덕가스(주)</t>
        </is>
      </c>
      <c r="C141" s="17" t="inlineStr">
        <is>
          <t>대덕가스</t>
        </is>
      </c>
      <c r="D141" s="27" t="inlineStr">
        <is>
          <t>Tier C</t>
        </is>
      </c>
      <c r="E141" s="17" t="n">
        <v>15</v>
      </c>
      <c r="F141" s="17" t="inlineStr"/>
      <c r="G141" s="23" t="inlineStr"/>
      <c r="H141" s="22" t="inlineStr">
        <is>
          <t>미확인</t>
        </is>
      </c>
      <c r="I141" s="17" t="n">
        <v>3</v>
      </c>
      <c r="J141" s="17" t="n">
        <v>3</v>
      </c>
      <c r="K141" s="17" t="inlineStr">
        <is>
          <t>Y</t>
        </is>
      </c>
      <c r="L141" s="17" t="inlineStr"/>
      <c r="M141" s="17" t="inlineStr"/>
      <c r="N141" s="17" t="inlineStr"/>
      <c r="O141" s="17" t="inlineStr">
        <is>
          <t>충청남도</t>
        </is>
      </c>
      <c r="P141" s="17" t="inlineStr">
        <is>
          <t>미확인</t>
        </is>
      </c>
      <c r="Q141" s="17" t="inlineStr"/>
      <c r="R141" s="17" t="inlineStr">
        <is>
          <t>통합형</t>
        </is>
      </c>
      <c r="S141" s="24" t="n">
        <v>46596</v>
      </c>
      <c r="T141" s="17" t="inlineStr"/>
    </row>
    <row r="142">
      <c r="A142" s="17" t="n">
        <v>141</v>
      </c>
      <c r="B142" s="17" t="inlineStr">
        <is>
          <t>동아제약(주)</t>
        </is>
      </c>
      <c r="C142" s="17" t="inlineStr">
        <is>
          <t>동아제약</t>
        </is>
      </c>
      <c r="D142" s="27" t="inlineStr">
        <is>
          <t>Tier C</t>
        </is>
      </c>
      <c r="E142" s="17" t="n">
        <v>15</v>
      </c>
      <c r="F142" s="17" t="inlineStr"/>
      <c r="G142" s="23" t="inlineStr"/>
      <c r="H142" s="22" t="inlineStr">
        <is>
          <t>미확인</t>
        </is>
      </c>
      <c r="I142" s="17" t="n">
        <v>3</v>
      </c>
      <c r="J142" s="17" t="n">
        <v>3</v>
      </c>
      <c r="K142" s="17" t="inlineStr">
        <is>
          <t>Y</t>
        </is>
      </c>
      <c r="L142" s="17" t="inlineStr"/>
      <c r="M142" s="17" t="inlineStr"/>
      <c r="N142" s="17" t="inlineStr"/>
      <c r="O142" s="17" t="inlineStr">
        <is>
          <t>충청남도</t>
        </is>
      </c>
      <c r="P142" s="17" t="inlineStr">
        <is>
          <t>미확인</t>
        </is>
      </c>
      <c r="Q142" s="17" t="inlineStr"/>
      <c r="R142" s="17" t="inlineStr">
        <is>
          <t>통합형</t>
        </is>
      </c>
      <c r="S142" s="24" t="n">
        <v>46690</v>
      </c>
      <c r="T142" s="17" t="inlineStr"/>
    </row>
    <row r="143">
      <c r="A143" s="17" t="n">
        <v>142</v>
      </c>
      <c r="B143" s="17" t="inlineStr">
        <is>
          <t>린데코리아주식회사</t>
        </is>
      </c>
      <c r="C143" s="17" t="inlineStr">
        <is>
          <t>린데코리아</t>
        </is>
      </c>
      <c r="D143" s="27" t="inlineStr">
        <is>
          <t>Tier C</t>
        </is>
      </c>
      <c r="E143" s="17" t="n">
        <v>15</v>
      </c>
      <c r="F143" s="17" t="inlineStr"/>
      <c r="G143" s="23" t="inlineStr"/>
      <c r="H143" s="22" t="inlineStr">
        <is>
          <t>미확인</t>
        </is>
      </c>
      <c r="I143" s="17" t="n">
        <v>3</v>
      </c>
      <c r="J143" s="17" t="n">
        <v>3</v>
      </c>
      <c r="K143" s="17" t="inlineStr">
        <is>
          <t>Y</t>
        </is>
      </c>
      <c r="L143" s="17" t="inlineStr"/>
      <c r="M143" s="17" t="inlineStr"/>
      <c r="N143" s="17" t="inlineStr"/>
      <c r="O143" s="17" t="inlineStr">
        <is>
          <t>경기도</t>
        </is>
      </c>
      <c r="P143" s="17" t="inlineStr">
        <is>
          <t>041-537-7300</t>
        </is>
      </c>
      <c r="Q143" s="17" t="inlineStr"/>
      <c r="R143" s="17" t="inlineStr">
        <is>
          <t>통합형</t>
        </is>
      </c>
      <c r="S143" s="24" t="n">
        <v>46685</v>
      </c>
      <c r="T143" s="17" t="inlineStr"/>
    </row>
    <row r="144">
      <c r="A144" s="17" t="n">
        <v>143</v>
      </c>
      <c r="B144" s="17" t="inlineStr">
        <is>
          <t>한국특수가스(주)</t>
        </is>
      </c>
      <c r="C144" s="17" t="inlineStr">
        <is>
          <t>한국특수가스</t>
        </is>
      </c>
      <c r="D144" s="27" t="inlineStr">
        <is>
          <t>Tier C</t>
        </is>
      </c>
      <c r="E144" s="17" t="n">
        <v>15</v>
      </c>
      <c r="F144" s="17" t="inlineStr"/>
      <c r="G144" s="23" t="inlineStr"/>
      <c r="H144" s="22" t="inlineStr">
        <is>
          <t>미확인</t>
        </is>
      </c>
      <c r="I144" s="17" t="n">
        <v>3</v>
      </c>
      <c r="J144" s="17" t="n">
        <v>3</v>
      </c>
      <c r="K144" s="17" t="inlineStr">
        <is>
          <t>Y</t>
        </is>
      </c>
      <c r="L144" s="17" t="inlineStr"/>
      <c r="M144" s="17" t="inlineStr"/>
      <c r="N144" s="17" t="inlineStr"/>
      <c r="O144" s="17" t="inlineStr">
        <is>
          <t>전북특별자치도</t>
        </is>
      </c>
      <c r="P144" s="17" t="inlineStr">
        <is>
          <t>0105185</t>
        </is>
      </c>
      <c r="Q144" s="17" t="inlineStr"/>
      <c r="R144" s="17" t="inlineStr">
        <is>
          <t>통합형</t>
        </is>
      </c>
      <c r="S144" s="24" t="n">
        <v>46826</v>
      </c>
      <c r="T144" s="17" t="inlineStr"/>
    </row>
    <row r="145">
      <c r="A145" s="17" t="n">
        <v>144</v>
      </c>
      <c r="B145" s="17" t="inlineStr">
        <is>
          <t>(주)돌나라한농제약</t>
        </is>
      </c>
      <c r="C145" s="17" t="inlineStr">
        <is>
          <t>돌나라한농제약</t>
        </is>
      </c>
      <c r="D145" s="27" t="inlineStr">
        <is>
          <t>Tier C</t>
        </is>
      </c>
      <c r="E145" s="17" t="n">
        <v>15</v>
      </c>
      <c r="F145" s="17" t="inlineStr"/>
      <c r="G145" s="23" t="inlineStr"/>
      <c r="H145" s="22" t="inlineStr">
        <is>
          <t>미확인</t>
        </is>
      </c>
      <c r="I145" s="17" t="n">
        <v>2</v>
      </c>
      <c r="J145" s="17" t="n">
        <v>2</v>
      </c>
      <c r="K145" s="17" t="inlineStr">
        <is>
          <t>Y</t>
        </is>
      </c>
      <c r="L145" s="17" t="inlineStr">
        <is>
          <t>Y</t>
        </is>
      </c>
      <c r="M145" s="17" t="inlineStr"/>
      <c r="N145" s="17" t="inlineStr"/>
      <c r="O145" s="17" t="inlineStr">
        <is>
          <t>경상북도</t>
        </is>
      </c>
      <c r="P145" s="17" t="inlineStr">
        <is>
          <t>미확인</t>
        </is>
      </c>
      <c r="Q145" s="17" t="inlineStr"/>
      <c r="R145" s="17" t="inlineStr">
        <is>
          <t>통합형</t>
        </is>
      </c>
      <c r="S145" s="24" t="n">
        <v>46763</v>
      </c>
      <c r="T145" s="17" t="inlineStr"/>
    </row>
    <row r="146">
      <c r="A146" s="17" t="n">
        <v>145</v>
      </c>
      <c r="B146" s="17" t="inlineStr">
        <is>
          <t>에이치엘비펩(주)</t>
        </is>
      </c>
      <c r="C146" s="17" t="inlineStr">
        <is>
          <t>에이치엘비펩</t>
        </is>
      </c>
      <c r="D146" s="27" t="inlineStr">
        <is>
          <t>Tier C</t>
        </is>
      </c>
      <c r="E146" s="17" t="n">
        <v>15</v>
      </c>
      <c r="F146" s="17" t="inlineStr"/>
      <c r="G146" s="23" t="inlineStr"/>
      <c r="H146" s="22" t="inlineStr">
        <is>
          <t>미확인</t>
        </is>
      </c>
      <c r="I146" s="17" t="n">
        <v>2</v>
      </c>
      <c r="J146" s="17" t="n">
        <v>2</v>
      </c>
      <c r="K146" s="17" t="inlineStr"/>
      <c r="L146" s="17" t="inlineStr">
        <is>
          <t>Y</t>
        </is>
      </c>
      <c r="M146" s="17" t="inlineStr"/>
      <c r="N146" s="17" t="inlineStr"/>
      <c r="O146" s="17" t="inlineStr">
        <is>
          <t>전라남도</t>
        </is>
      </c>
      <c r="P146" s="17" t="inlineStr">
        <is>
          <t>070-4331-5130</t>
        </is>
      </c>
      <c r="Q146" s="17" t="inlineStr"/>
      <c r="R146" s="17" t="inlineStr">
        <is>
          <t>통합형</t>
        </is>
      </c>
      <c r="S146" s="24" t="n">
        <v>46842</v>
      </c>
      <c r="T146" s="17" t="inlineStr"/>
    </row>
    <row r="147">
      <c r="A147" s="17" t="n">
        <v>146</v>
      </c>
      <c r="B147" s="17" t="inlineStr">
        <is>
          <t>이니스트에스티(주)</t>
        </is>
      </c>
      <c r="C147" s="17" t="inlineStr">
        <is>
          <t>이니스트에스티</t>
        </is>
      </c>
      <c r="D147" s="27" t="inlineStr">
        <is>
          <t>Tier C</t>
        </is>
      </c>
      <c r="E147" s="17" t="n">
        <v>15</v>
      </c>
      <c r="F147" s="17" t="inlineStr"/>
      <c r="G147" s="23" t="inlineStr"/>
      <c r="H147" s="22" t="inlineStr">
        <is>
          <t>미확인</t>
        </is>
      </c>
      <c r="I147" s="17" t="n">
        <v>2</v>
      </c>
      <c r="J147" s="17" t="n">
        <v>2</v>
      </c>
      <c r="K147" s="17" t="inlineStr"/>
      <c r="L147" s="17" t="inlineStr">
        <is>
          <t>Y</t>
        </is>
      </c>
      <c r="M147" s="17" t="inlineStr"/>
      <c r="N147" s="17" t="inlineStr"/>
      <c r="O147" s="17" t="inlineStr">
        <is>
          <t>충청북도</t>
        </is>
      </c>
      <c r="P147" s="17" t="inlineStr">
        <is>
          <t>031-669-9515</t>
        </is>
      </c>
      <c r="Q147" s="17" t="inlineStr"/>
      <c r="R147" s="17" t="inlineStr">
        <is>
          <t>통합형</t>
        </is>
      </c>
      <c r="S147" s="24" t="n">
        <v>46578</v>
      </c>
      <c r="T147" s="17" t="inlineStr"/>
    </row>
    <row r="148">
      <c r="A148" s="17" t="n">
        <v>147</v>
      </c>
      <c r="B148" s="17" t="inlineStr">
        <is>
          <t>주식회사 유한화학</t>
        </is>
      </c>
      <c r="C148" s="17" t="inlineStr">
        <is>
          <t>유한화학</t>
        </is>
      </c>
      <c r="D148" s="27" t="inlineStr">
        <is>
          <t>Tier C</t>
        </is>
      </c>
      <c r="E148" s="17" t="n">
        <v>15</v>
      </c>
      <c r="F148" s="17" t="inlineStr"/>
      <c r="G148" s="23" t="inlineStr"/>
      <c r="H148" s="22" t="inlineStr">
        <is>
          <t>미확인</t>
        </is>
      </c>
      <c r="I148" s="17" t="n">
        <v>2</v>
      </c>
      <c r="J148" s="17" t="n">
        <v>2</v>
      </c>
      <c r="K148" s="17" t="inlineStr"/>
      <c r="L148" s="17" t="inlineStr">
        <is>
          <t>Y</t>
        </is>
      </c>
      <c r="M148" s="17" t="inlineStr"/>
      <c r="N148" s="17" t="inlineStr"/>
      <c r="O148" s="17" t="inlineStr">
        <is>
          <t>경기도</t>
        </is>
      </c>
      <c r="P148" s="17" t="inlineStr">
        <is>
          <t>031-499-4111</t>
        </is>
      </c>
      <c r="Q148" s="17" t="inlineStr"/>
      <c r="R148" s="17" t="inlineStr">
        <is>
          <t>통합형</t>
        </is>
      </c>
      <c r="S148" s="24" t="n">
        <v>46849</v>
      </c>
      <c r="T148" s="17" t="inlineStr"/>
    </row>
    <row r="149">
      <c r="A149" s="17" t="n">
        <v>148</v>
      </c>
      <c r="B149" s="17" t="inlineStr">
        <is>
          <t>한국프라임제약(주)</t>
        </is>
      </c>
      <c r="C149" s="17" t="inlineStr">
        <is>
          <t>한국프라임제약</t>
        </is>
      </c>
      <c r="D149" s="27" t="inlineStr">
        <is>
          <t>Tier C</t>
        </is>
      </c>
      <c r="E149" s="17" t="n">
        <v>15</v>
      </c>
      <c r="F149" s="17" t="inlineStr"/>
      <c r="G149" s="23" t="inlineStr"/>
      <c r="H149" s="22" t="inlineStr">
        <is>
          <t>미확인</t>
        </is>
      </c>
      <c r="I149" s="17" t="n">
        <v>2</v>
      </c>
      <c r="J149" s="17" t="n">
        <v>2</v>
      </c>
      <c r="K149" s="17" t="inlineStr">
        <is>
          <t>Y</t>
        </is>
      </c>
      <c r="L149" s="17" t="inlineStr">
        <is>
          <t>Y</t>
        </is>
      </c>
      <c r="M149" s="17" t="inlineStr"/>
      <c r="N149" s="17" t="inlineStr"/>
      <c r="O149" s="17" t="inlineStr">
        <is>
          <t>전북특별자치도</t>
        </is>
      </c>
      <c r="P149" s="17" t="inlineStr">
        <is>
          <t>미확인</t>
        </is>
      </c>
      <c r="Q149" s="17" t="inlineStr"/>
      <c r="R149" s="17" t="inlineStr">
        <is>
          <t>통합형</t>
        </is>
      </c>
      <c r="S149" s="24" t="n">
        <v>46847</v>
      </c>
      <c r="T149" s="17" t="inlineStr"/>
    </row>
    <row r="150">
      <c r="A150" s="17" t="n">
        <v>149</v>
      </c>
      <c r="B150" s="17" t="inlineStr">
        <is>
          <t>한성산업(주)</t>
        </is>
      </c>
      <c r="C150" s="17" t="inlineStr">
        <is>
          <t>한성산업</t>
        </is>
      </c>
      <c r="D150" s="27" t="inlineStr">
        <is>
          <t>Tier C</t>
        </is>
      </c>
      <c r="E150" s="17" t="n">
        <v>15</v>
      </c>
      <c r="F150" s="17" t="inlineStr"/>
      <c r="G150" s="23" t="inlineStr"/>
      <c r="H150" s="22" t="inlineStr">
        <is>
          <t>미확인</t>
        </is>
      </c>
      <c r="I150" s="17" t="n">
        <v>2</v>
      </c>
      <c r="J150" s="17" t="n">
        <v>2</v>
      </c>
      <c r="K150" s="17" t="inlineStr">
        <is>
          <t>Y</t>
        </is>
      </c>
      <c r="L150" s="17" t="inlineStr"/>
      <c r="M150" s="17" t="inlineStr"/>
      <c r="N150" s="17" t="inlineStr"/>
      <c r="O150" s="17" t="inlineStr">
        <is>
          <t>경상북도</t>
        </is>
      </c>
      <c r="P150" s="17" t="inlineStr">
        <is>
          <t>054-776-0001</t>
        </is>
      </c>
      <c r="Q150" s="17" t="inlineStr"/>
      <c r="R150" s="17" t="inlineStr">
        <is>
          <t>EDMS+QMS+LMS</t>
        </is>
      </c>
      <c r="S150" s="24" t="n">
        <v>46327</v>
      </c>
      <c r="T150" s="17" t="inlineStr">
        <is>
          <t>Y</t>
        </is>
      </c>
    </row>
    <row r="151">
      <c r="A151" s="17" t="n">
        <v>150</v>
      </c>
      <c r="B151" s="17" t="inlineStr">
        <is>
          <t>(주)에이치에스바이오</t>
        </is>
      </c>
      <c r="C151" s="17" t="inlineStr">
        <is>
          <t>에이치에스바이오</t>
        </is>
      </c>
      <c r="D151" s="27" t="inlineStr">
        <is>
          <t>Tier C</t>
        </is>
      </c>
      <c r="E151" s="17" t="n">
        <v>15</v>
      </c>
      <c r="F151" s="17" t="inlineStr"/>
      <c r="G151" s="23" t="inlineStr"/>
      <c r="H151" s="22" t="inlineStr">
        <is>
          <t>미확인</t>
        </is>
      </c>
      <c r="I151" s="17" t="n">
        <v>1</v>
      </c>
      <c r="J151" s="17" t="n">
        <v>1</v>
      </c>
      <c r="K151" s="17" t="inlineStr"/>
      <c r="L151" s="17" t="inlineStr">
        <is>
          <t>Y</t>
        </is>
      </c>
      <c r="M151" s="17" t="inlineStr"/>
      <c r="N151" s="17" t="inlineStr"/>
      <c r="O151" s="17" t="inlineStr">
        <is>
          <t>충청북도</t>
        </is>
      </c>
      <c r="P151" s="17" t="inlineStr">
        <is>
          <t>043-536-5780</t>
        </is>
      </c>
      <c r="Q151" s="17" t="inlineStr"/>
      <c r="R151" s="17" t="inlineStr">
        <is>
          <t>QMS+LIMS</t>
        </is>
      </c>
      <c r="S151" s="24" t="n">
        <v>46244</v>
      </c>
      <c r="T151" s="17" t="inlineStr">
        <is>
          <t>Y</t>
        </is>
      </c>
    </row>
    <row r="152">
      <c r="A152" s="17" t="n">
        <v>151</v>
      </c>
      <c r="B152" s="17" t="inlineStr">
        <is>
          <t>(주)유일팜테크</t>
        </is>
      </c>
      <c r="C152" s="17" t="inlineStr">
        <is>
          <t>유일팜테크</t>
        </is>
      </c>
      <c r="D152" s="27" t="inlineStr">
        <is>
          <t>Tier C</t>
        </is>
      </c>
      <c r="E152" s="17" t="n">
        <v>15</v>
      </c>
      <c r="F152" s="17" t="inlineStr"/>
      <c r="G152" s="23" t="inlineStr"/>
      <c r="H152" s="22" t="inlineStr">
        <is>
          <t>미확인</t>
        </is>
      </c>
      <c r="I152" s="17" t="n">
        <v>1</v>
      </c>
      <c r="J152" s="17" t="n">
        <v>1</v>
      </c>
      <c r="K152" s="17" t="inlineStr"/>
      <c r="L152" s="17" t="inlineStr">
        <is>
          <t>Y</t>
        </is>
      </c>
      <c r="M152" s="17" t="inlineStr"/>
      <c r="N152" s="17" t="inlineStr"/>
      <c r="O152" s="17" t="inlineStr">
        <is>
          <t>충청북도</t>
        </is>
      </c>
      <c r="P152" s="17" t="inlineStr">
        <is>
          <t>043-537-2162</t>
        </is>
      </c>
      <c r="Q152" s="17" t="inlineStr"/>
      <c r="R152" s="17" t="inlineStr">
        <is>
          <t>QMS+LIMS</t>
        </is>
      </c>
      <c r="S152" s="24" t="n">
        <v>46300</v>
      </c>
      <c r="T152" s="17" t="inlineStr">
        <is>
          <t>Y</t>
        </is>
      </c>
    </row>
    <row r="153">
      <c r="A153" s="17" t="n">
        <v>152</v>
      </c>
      <c r="B153" s="17" t="inlineStr">
        <is>
          <t>애경바이오팜 주식회사</t>
        </is>
      </c>
      <c r="C153" s="17" t="inlineStr">
        <is>
          <t>애경바이오팜</t>
        </is>
      </c>
      <c r="D153" s="27" t="inlineStr">
        <is>
          <t>Tier C</t>
        </is>
      </c>
      <c r="E153" s="17" t="n">
        <v>15</v>
      </c>
      <c r="F153" s="17" t="inlineStr"/>
      <c r="G153" s="23" t="inlineStr"/>
      <c r="H153" s="22" t="inlineStr">
        <is>
          <t>미확인</t>
        </is>
      </c>
      <c r="I153" s="17" t="n">
        <v>1</v>
      </c>
      <c r="J153" s="17" t="n">
        <v>1</v>
      </c>
      <c r="K153" s="17" t="inlineStr"/>
      <c r="L153" s="17" t="inlineStr">
        <is>
          <t>Y</t>
        </is>
      </c>
      <c r="M153" s="17" t="inlineStr"/>
      <c r="N153" s="17" t="inlineStr"/>
      <c r="O153" s="17" t="inlineStr">
        <is>
          <t>울산광역시</t>
        </is>
      </c>
      <c r="P153" s="17" t="inlineStr">
        <is>
          <t>052-259-4500</t>
        </is>
      </c>
      <c r="Q153" s="17" t="inlineStr"/>
      <c r="R153" s="17" t="inlineStr">
        <is>
          <t>QMS+LIMS</t>
        </is>
      </c>
      <c r="S153" s="24" t="n">
        <v>46300</v>
      </c>
      <c r="T153" s="17" t="inlineStr">
        <is>
          <t>Y</t>
        </is>
      </c>
    </row>
    <row r="154">
      <c r="A154" s="17" t="n">
        <v>153</v>
      </c>
      <c r="B154" s="17" t="inlineStr">
        <is>
          <t>에이치엘지노믹스(주)</t>
        </is>
      </c>
      <c r="C154" s="17" t="inlineStr">
        <is>
          <t>에이치엘지노믹스</t>
        </is>
      </c>
      <c r="D154" s="27" t="inlineStr">
        <is>
          <t>Tier C</t>
        </is>
      </c>
      <c r="E154" s="17" t="n">
        <v>15</v>
      </c>
      <c r="F154" s="17" t="inlineStr"/>
      <c r="G154" s="23" t="inlineStr"/>
      <c r="H154" s="22" t="inlineStr">
        <is>
          <t>미확인</t>
        </is>
      </c>
      <c r="I154" s="17" t="n">
        <v>1</v>
      </c>
      <c r="J154" s="17" t="n">
        <v>1</v>
      </c>
      <c r="K154" s="17" t="inlineStr"/>
      <c r="L154" s="17" t="inlineStr">
        <is>
          <t>Y</t>
        </is>
      </c>
      <c r="M154" s="17" t="inlineStr"/>
      <c r="N154" s="17" t="inlineStr"/>
      <c r="O154" s="17" t="inlineStr">
        <is>
          <t>경기도</t>
        </is>
      </c>
      <c r="P154" s="17" t="inlineStr">
        <is>
          <t>031-335-2080</t>
        </is>
      </c>
      <c r="Q154" s="17" t="inlineStr"/>
      <c r="R154" s="17" t="inlineStr">
        <is>
          <t>QMS+LIMS</t>
        </is>
      </c>
      <c r="S154" s="24" t="n">
        <v>46333</v>
      </c>
      <c r="T154" s="17" t="inlineStr">
        <is>
          <t>Y</t>
        </is>
      </c>
    </row>
    <row r="155">
      <c r="A155" s="17" t="n">
        <v>154</v>
      </c>
      <c r="B155" s="17" t="inlineStr">
        <is>
          <t>크로다코리아주식회사</t>
        </is>
      </c>
      <c r="C155" s="17" t="inlineStr">
        <is>
          <t>크로다코리아</t>
        </is>
      </c>
      <c r="D155" s="27" t="inlineStr">
        <is>
          <t>Tier C</t>
        </is>
      </c>
      <c r="E155" s="17" t="n">
        <v>15</v>
      </c>
      <c r="F155" s="17" t="inlineStr"/>
      <c r="G155" s="23" t="inlineStr"/>
      <c r="H155" s="22" t="inlineStr">
        <is>
          <t>미확인</t>
        </is>
      </c>
      <c r="I155" s="17" t="n">
        <v>1</v>
      </c>
      <c r="J155" s="17" t="n">
        <v>1</v>
      </c>
      <c r="K155" s="17" t="inlineStr"/>
      <c r="L155" s="17" t="inlineStr">
        <is>
          <t>Y</t>
        </is>
      </c>
      <c r="M155" s="17" t="inlineStr"/>
      <c r="N155" s="17" t="inlineStr"/>
      <c r="O155" s="17" t="inlineStr">
        <is>
          <t>전북특별자치도</t>
        </is>
      </c>
      <c r="P155" s="17" t="inlineStr">
        <is>
          <t>063-830-8911</t>
        </is>
      </c>
      <c r="Q155" s="17" t="inlineStr"/>
      <c r="R155" s="17" t="inlineStr">
        <is>
          <t>QMS+LIMS</t>
        </is>
      </c>
      <c r="S155" s="24" t="n">
        <v>46256</v>
      </c>
      <c r="T155" s="17" t="inlineStr">
        <is>
          <t>Y</t>
        </is>
      </c>
    </row>
    <row r="156">
      <c r="A156" s="17" t="n">
        <v>155</v>
      </c>
      <c r="B156" s="17" t="inlineStr">
        <is>
          <t>구미제약(주)</t>
        </is>
      </c>
      <c r="C156" s="17" t="inlineStr">
        <is>
          <t>구미제약</t>
        </is>
      </c>
      <c r="D156" s="27" t="inlineStr">
        <is>
          <t>Tier C</t>
        </is>
      </c>
      <c r="E156" s="17" t="n">
        <v>14</v>
      </c>
      <c r="F156" s="17" t="inlineStr"/>
      <c r="G156" s="23" t="inlineStr"/>
      <c r="H156" s="22" t="inlineStr">
        <is>
          <t>미확인</t>
        </is>
      </c>
      <c r="I156" s="17" t="n">
        <v>1</v>
      </c>
      <c r="J156" s="17" t="n">
        <v>2</v>
      </c>
      <c r="K156" s="17" t="inlineStr">
        <is>
          <t>Y</t>
        </is>
      </c>
      <c r="L156" s="17" t="inlineStr">
        <is>
          <t>Y</t>
        </is>
      </c>
      <c r="M156" s="17" t="inlineStr"/>
      <c r="N156" s="17" t="inlineStr"/>
      <c r="O156" s="17" t="inlineStr">
        <is>
          <t>경기도</t>
        </is>
      </c>
      <c r="P156" s="17" t="inlineStr">
        <is>
          <t>031-989-8226</t>
        </is>
      </c>
      <c r="Q156" s="17" t="inlineStr"/>
      <c r="R156" s="17" t="inlineStr">
        <is>
          <t>QMS+LIMS</t>
        </is>
      </c>
      <c r="S156" s="24" t="n">
        <v>46557</v>
      </c>
      <c r="T156" s="17" t="inlineStr"/>
    </row>
    <row r="157">
      <c r="A157" s="17" t="n">
        <v>156</v>
      </c>
      <c r="B157" s="17" t="inlineStr">
        <is>
          <t>명문바이오(주)</t>
        </is>
      </c>
      <c r="C157" s="17" t="inlineStr">
        <is>
          <t>명문바이오</t>
        </is>
      </c>
      <c r="D157" s="27" t="inlineStr">
        <is>
          <t>Tier C</t>
        </is>
      </c>
      <c r="E157" s="17" t="n">
        <v>14</v>
      </c>
      <c r="F157" s="17" t="inlineStr"/>
      <c r="G157" s="23" t="inlineStr"/>
      <c r="H157" s="22" t="inlineStr">
        <is>
          <t>미확인</t>
        </is>
      </c>
      <c r="I157" s="17" t="n">
        <v>1</v>
      </c>
      <c r="J157" s="17" t="n">
        <v>2</v>
      </c>
      <c r="K157" s="17" t="inlineStr">
        <is>
          <t>Y</t>
        </is>
      </c>
      <c r="L157" s="17" t="inlineStr">
        <is>
          <t>Y</t>
        </is>
      </c>
      <c r="M157" s="17" t="inlineStr"/>
      <c r="N157" s="17" t="inlineStr"/>
      <c r="O157" s="17" t="inlineStr">
        <is>
          <t>경기도</t>
        </is>
      </c>
      <c r="P157" s="17" t="inlineStr">
        <is>
          <t>미확인</t>
        </is>
      </c>
      <c r="Q157" s="17" t="inlineStr"/>
      <c r="R157" s="17" t="inlineStr">
        <is>
          <t>QMS+LIMS</t>
        </is>
      </c>
      <c r="S157" s="24" t="n">
        <v>46513</v>
      </c>
      <c r="T157" s="17" t="inlineStr"/>
    </row>
    <row r="158">
      <c r="A158" s="17" t="n">
        <v>157</v>
      </c>
      <c r="B158" s="17" t="inlineStr">
        <is>
          <t>에스에스팜(주)</t>
        </is>
      </c>
      <c r="C158" s="17" t="inlineStr">
        <is>
          <t>에스에스팜</t>
        </is>
      </c>
      <c r="D158" s="27" t="inlineStr">
        <is>
          <t>Tier C</t>
        </is>
      </c>
      <c r="E158" s="17" t="n">
        <v>14</v>
      </c>
      <c r="F158" s="17" t="inlineStr"/>
      <c r="G158" s="23" t="inlineStr"/>
      <c r="H158" s="22" t="inlineStr">
        <is>
          <t>미확인</t>
        </is>
      </c>
      <c r="I158" s="17" t="n">
        <v>1</v>
      </c>
      <c r="J158" s="17" t="n">
        <v>2</v>
      </c>
      <c r="K158" s="17" t="inlineStr">
        <is>
          <t>Y</t>
        </is>
      </c>
      <c r="L158" s="17" t="inlineStr">
        <is>
          <t>Y</t>
        </is>
      </c>
      <c r="M158" s="17" t="inlineStr"/>
      <c r="N158" s="17" t="inlineStr"/>
      <c r="O158" s="17" t="inlineStr">
        <is>
          <t>경기도</t>
        </is>
      </c>
      <c r="P158" s="17" t="inlineStr">
        <is>
          <t>031-491-6311</t>
        </is>
      </c>
      <c r="Q158" s="17" t="inlineStr"/>
      <c r="R158" s="17" t="inlineStr">
        <is>
          <t>QMS+LIMS</t>
        </is>
      </c>
      <c r="S158" s="24" t="n">
        <v>46529</v>
      </c>
      <c r="T158" s="17" t="inlineStr"/>
    </row>
    <row r="159">
      <c r="A159" s="17" t="n">
        <v>158</v>
      </c>
      <c r="B159" s="17" t="inlineStr">
        <is>
          <t>주식회사 제론셀베인</t>
        </is>
      </c>
      <c r="C159" s="17" t="inlineStr">
        <is>
          <t>제론셀베인</t>
        </is>
      </c>
      <c r="D159" s="27" t="inlineStr">
        <is>
          <t>Tier C</t>
        </is>
      </c>
      <c r="E159" s="17" t="n">
        <v>14</v>
      </c>
      <c r="F159" s="17" t="inlineStr"/>
      <c r="G159" s="23" t="inlineStr"/>
      <c r="H159" s="22" t="inlineStr">
        <is>
          <t>미확인</t>
        </is>
      </c>
      <c r="I159" s="17" t="n">
        <v>1</v>
      </c>
      <c r="J159" s="17" t="n">
        <v>2</v>
      </c>
      <c r="K159" s="17" t="inlineStr">
        <is>
          <t>Y</t>
        </is>
      </c>
      <c r="L159" s="17" t="inlineStr">
        <is>
          <t>Y</t>
        </is>
      </c>
      <c r="M159" s="17" t="inlineStr"/>
      <c r="N159" s="17" t="inlineStr"/>
      <c r="O159" s="17" t="inlineStr">
        <is>
          <t>충청남도</t>
        </is>
      </c>
      <c r="P159" s="17" t="inlineStr">
        <is>
          <t>041-533-9889</t>
        </is>
      </c>
      <c r="Q159" s="17" t="inlineStr"/>
      <c r="R159" s="17" t="inlineStr">
        <is>
          <t>QMS+LIMS</t>
        </is>
      </c>
      <c r="S159" s="24" t="n">
        <v>46542</v>
      </c>
      <c r="T159" s="17" t="inlineStr"/>
    </row>
    <row r="160">
      <c r="A160" s="17" t="n">
        <v>159</v>
      </c>
      <c r="B160" s="17" t="inlineStr">
        <is>
          <t>(주)한창메딕</t>
        </is>
      </c>
      <c r="C160" s="17" t="inlineStr">
        <is>
          <t>한창메딕</t>
        </is>
      </c>
      <c r="D160" s="27" t="inlineStr">
        <is>
          <t>Tier C</t>
        </is>
      </c>
      <c r="E160" s="17" t="n">
        <v>13</v>
      </c>
      <c r="F160" s="17" t="inlineStr"/>
      <c r="G160" s="23" t="inlineStr"/>
      <c r="H160" s="22" t="inlineStr">
        <is>
          <t>미확인</t>
        </is>
      </c>
      <c r="I160" s="17" t="n">
        <v>2</v>
      </c>
      <c r="J160" s="17" t="n">
        <v>2</v>
      </c>
      <c r="K160" s="17" t="inlineStr">
        <is>
          <t>Y</t>
        </is>
      </c>
      <c r="L160" s="17" t="inlineStr"/>
      <c r="M160" s="17" t="inlineStr"/>
      <c r="N160" s="17" t="inlineStr"/>
      <c r="O160" s="17" t="inlineStr">
        <is>
          <t>충청남도</t>
        </is>
      </c>
      <c r="P160" s="17" t="inlineStr">
        <is>
          <t>041-547-8805</t>
        </is>
      </c>
      <c r="Q160" s="17" t="inlineStr"/>
      <c r="R160" s="17" t="inlineStr">
        <is>
          <t>EDMS+QMS+LMS</t>
        </is>
      </c>
      <c r="S160" s="24" t="n">
        <v>46550</v>
      </c>
      <c r="T160" s="17" t="inlineStr"/>
    </row>
    <row r="161">
      <c r="A161" s="17" t="n">
        <v>160</v>
      </c>
      <c r="B161" s="17" t="inlineStr">
        <is>
          <t>코스맥스파마(주)</t>
        </is>
      </c>
      <c r="C161" s="17" t="inlineStr">
        <is>
          <t>코스맥스파마</t>
        </is>
      </c>
      <c r="D161" s="27" t="inlineStr">
        <is>
          <t>Tier C</t>
        </is>
      </c>
      <c r="E161" s="17" t="n">
        <v>13</v>
      </c>
      <c r="F161" s="17" t="inlineStr"/>
      <c r="G161" s="23" t="inlineStr"/>
      <c r="H161" s="22" t="inlineStr">
        <is>
          <t>미확인</t>
        </is>
      </c>
      <c r="I161" s="17" t="n">
        <v>2</v>
      </c>
      <c r="J161" s="17" t="n">
        <v>2</v>
      </c>
      <c r="K161" s="17" t="inlineStr">
        <is>
          <t>Y</t>
        </is>
      </c>
      <c r="L161" s="17" t="inlineStr"/>
      <c r="M161" s="17" t="inlineStr"/>
      <c r="N161" s="17" t="inlineStr"/>
      <c r="O161" s="17" t="inlineStr">
        <is>
          <t>충청북도</t>
        </is>
      </c>
      <c r="P161" s="17" t="inlineStr">
        <is>
          <t>043-238-8477</t>
        </is>
      </c>
      <c r="Q161" s="17" t="inlineStr"/>
      <c r="R161" s="17" t="inlineStr">
        <is>
          <t>EDMS+QMS+LMS</t>
        </is>
      </c>
      <c r="S161" s="24" t="n">
        <v>46452</v>
      </c>
      <c r="T161" s="17" t="inlineStr"/>
    </row>
    <row r="162">
      <c r="A162" s="17" t="n">
        <v>161</v>
      </c>
      <c r="B162" s="17" t="inlineStr">
        <is>
          <t>(재)전남바이오진흥원 그린바이오본부 천연센터</t>
        </is>
      </c>
      <c r="C162" s="17" t="inlineStr">
        <is>
          <t>(재)전남바이오진흥원그린바이오본부천연센터</t>
        </is>
      </c>
      <c r="D162" s="27" t="inlineStr">
        <is>
          <t>Tier C</t>
        </is>
      </c>
      <c r="E162" s="17" t="n">
        <v>13</v>
      </c>
      <c r="F162" s="17" t="inlineStr"/>
      <c r="G162" s="23" t="inlineStr"/>
      <c r="H162" s="22" t="inlineStr">
        <is>
          <t>미확인</t>
        </is>
      </c>
      <c r="I162" s="17" t="n">
        <v>1</v>
      </c>
      <c r="J162" s="17" t="n">
        <v>1</v>
      </c>
      <c r="K162" s="17" t="inlineStr"/>
      <c r="L162" s="17" t="inlineStr">
        <is>
          <t>Y</t>
        </is>
      </c>
      <c r="M162" s="17" t="inlineStr"/>
      <c r="N162" s="17" t="inlineStr"/>
      <c r="O162" s="17" t="inlineStr">
        <is>
          <t>전라남도</t>
        </is>
      </c>
      <c r="P162" s="17" t="inlineStr">
        <is>
          <t>061-375-6805</t>
        </is>
      </c>
      <c r="Q162" s="17" t="inlineStr"/>
      <c r="R162" s="17" t="inlineStr">
        <is>
          <t>QMS+LIMS</t>
        </is>
      </c>
      <c r="S162" s="24" t="n">
        <v>46418</v>
      </c>
      <c r="T162" s="17" t="inlineStr"/>
    </row>
    <row r="163">
      <c r="A163" s="17" t="n">
        <v>162</v>
      </c>
      <c r="B163" s="17" t="inlineStr">
        <is>
          <t>(주)녹십자엠에스</t>
        </is>
      </c>
      <c r="C163" s="17" t="inlineStr">
        <is>
          <t>녹십자엠에스</t>
        </is>
      </c>
      <c r="D163" s="27" t="inlineStr">
        <is>
          <t>Tier C</t>
        </is>
      </c>
      <c r="E163" s="17" t="n">
        <v>13</v>
      </c>
      <c r="F163" s="17" t="inlineStr">
        <is>
          <t>Y</t>
        </is>
      </c>
      <c r="G163" s="23" t="inlineStr">
        <is>
          <t>142280</t>
        </is>
      </c>
      <c r="H163" s="22" t="inlineStr">
        <is>
          <t>미확인</t>
        </is>
      </c>
      <c r="I163" s="17" t="n">
        <v>1</v>
      </c>
      <c r="J163" s="17" t="n">
        <v>1</v>
      </c>
      <c r="K163" s="17" t="inlineStr">
        <is>
          <t>Y</t>
        </is>
      </c>
      <c r="L163" s="17" t="inlineStr"/>
      <c r="M163" s="17" t="inlineStr"/>
      <c r="N163" s="17" t="inlineStr"/>
      <c r="O163" s="17" t="inlineStr">
        <is>
          <t>충청북도</t>
        </is>
      </c>
      <c r="P163" s="17" t="inlineStr">
        <is>
          <t>031-260-9553</t>
        </is>
      </c>
      <c r="Q163" s="17" t="inlineStr">
        <is>
          <t>http://www.greencrossms.com</t>
        </is>
      </c>
      <c r="R163" s="17" t="inlineStr">
        <is>
          <t>EDMS</t>
        </is>
      </c>
      <c r="S163" s="24" t="n">
        <v>47172</v>
      </c>
      <c r="T163" s="17" t="inlineStr"/>
    </row>
    <row r="164">
      <c r="A164" s="17" t="n">
        <v>163</v>
      </c>
      <c r="B164" s="17" t="inlineStr">
        <is>
          <t>(주)동구바이오제약</t>
        </is>
      </c>
      <c r="C164" s="17" t="inlineStr">
        <is>
          <t>동구바이오제약</t>
        </is>
      </c>
      <c r="D164" s="27" t="inlineStr">
        <is>
          <t>Tier C</t>
        </is>
      </c>
      <c r="E164" s="17" t="n">
        <v>13</v>
      </c>
      <c r="F164" s="17" t="inlineStr">
        <is>
          <t>Y</t>
        </is>
      </c>
      <c r="G164" s="23" t="inlineStr">
        <is>
          <t>006620</t>
        </is>
      </c>
      <c r="H164" s="22" t="inlineStr">
        <is>
          <t>미확인</t>
        </is>
      </c>
      <c r="I164" s="17" t="n">
        <v>1</v>
      </c>
      <c r="J164" s="17" t="n">
        <v>1</v>
      </c>
      <c r="K164" s="17" t="inlineStr">
        <is>
          <t>Y</t>
        </is>
      </c>
      <c r="L164" s="17" t="inlineStr"/>
      <c r="M164" s="17" t="inlineStr"/>
      <c r="N164" s="17" t="inlineStr"/>
      <c r="O164" s="17" t="inlineStr">
        <is>
          <t>경기도</t>
        </is>
      </c>
      <c r="P164" s="17" t="inlineStr">
        <is>
          <t>031-3535-4115</t>
        </is>
      </c>
      <c r="Q164" s="17" t="inlineStr">
        <is>
          <t>http://www.dongkoo.com</t>
        </is>
      </c>
      <c r="R164" s="17" t="inlineStr">
        <is>
          <t>EDMS</t>
        </is>
      </c>
      <c r="S164" s="24" t="n">
        <v>46892</v>
      </c>
      <c r="T164" s="17" t="inlineStr"/>
    </row>
    <row r="165">
      <c r="A165" s="17" t="n">
        <v>164</v>
      </c>
      <c r="B165" s="17" t="inlineStr">
        <is>
          <t>(주)동인화학</t>
        </is>
      </c>
      <c r="C165" s="17" t="inlineStr">
        <is>
          <t>동인화학</t>
        </is>
      </c>
      <c r="D165" s="27" t="inlineStr">
        <is>
          <t>Tier C</t>
        </is>
      </c>
      <c r="E165" s="17" t="n">
        <v>13</v>
      </c>
      <c r="F165" s="17" t="inlineStr"/>
      <c r="G165" s="23" t="inlineStr"/>
      <c r="H165" s="22" t="inlineStr">
        <is>
          <t>미확인</t>
        </is>
      </c>
      <c r="I165" s="17" t="n">
        <v>1</v>
      </c>
      <c r="J165" s="17" t="n">
        <v>1</v>
      </c>
      <c r="K165" s="17" t="inlineStr"/>
      <c r="L165" s="17" t="inlineStr">
        <is>
          <t>Y</t>
        </is>
      </c>
      <c r="M165" s="17" t="inlineStr"/>
      <c r="N165" s="17" t="inlineStr"/>
      <c r="O165" s="17" t="inlineStr">
        <is>
          <t>경기도</t>
        </is>
      </c>
      <c r="P165" s="17" t="inlineStr">
        <is>
          <t>031-665-0972</t>
        </is>
      </c>
      <c r="Q165" s="17" t="inlineStr"/>
      <c r="R165" s="17" t="inlineStr">
        <is>
          <t>QMS+LIMS</t>
        </is>
      </c>
      <c r="S165" s="24" t="n">
        <v>46542</v>
      </c>
      <c r="T165" s="17" t="inlineStr"/>
    </row>
    <row r="166">
      <c r="A166" s="17" t="n">
        <v>165</v>
      </c>
      <c r="B166" s="17" t="inlineStr">
        <is>
          <t>(주)라이트팜텍</t>
        </is>
      </c>
      <c r="C166" s="17" t="inlineStr">
        <is>
          <t>라이트팜텍</t>
        </is>
      </c>
      <c r="D166" s="27" t="inlineStr">
        <is>
          <t>Tier C</t>
        </is>
      </c>
      <c r="E166" s="17" t="n">
        <v>13</v>
      </c>
      <c r="F166" s="17" t="inlineStr"/>
      <c r="G166" s="23" t="inlineStr"/>
      <c r="H166" s="22" t="inlineStr">
        <is>
          <t>미확인</t>
        </is>
      </c>
      <c r="I166" s="17" t="n">
        <v>1</v>
      </c>
      <c r="J166" s="17" t="n">
        <v>1</v>
      </c>
      <c r="K166" s="17" t="inlineStr">
        <is>
          <t>Y</t>
        </is>
      </c>
      <c r="L166" s="17" t="inlineStr"/>
      <c r="M166" s="17" t="inlineStr">
        <is>
          <t>Y</t>
        </is>
      </c>
      <c r="N166" s="17" t="inlineStr"/>
      <c r="O166" s="17" t="inlineStr">
        <is>
          <t>경기도</t>
        </is>
      </c>
      <c r="P166" s="17" t="inlineStr">
        <is>
          <t>02-801-8570</t>
        </is>
      </c>
      <c r="Q166" s="17" t="inlineStr"/>
      <c r="R166" s="17" t="inlineStr">
        <is>
          <t>QMS+LIMS</t>
        </is>
      </c>
      <c r="S166" s="24" t="n">
        <v>46631</v>
      </c>
      <c r="T166" s="17" t="inlineStr"/>
    </row>
    <row r="167">
      <c r="A167" s="17" t="n">
        <v>166</v>
      </c>
      <c r="B167" s="17" t="inlineStr">
        <is>
          <t>(주)리독스바이오</t>
        </is>
      </c>
      <c r="C167" s="17" t="inlineStr">
        <is>
          <t>리독스바이오</t>
        </is>
      </c>
      <c r="D167" s="27" t="inlineStr">
        <is>
          <t>Tier C</t>
        </is>
      </c>
      <c r="E167" s="17" t="n">
        <v>13</v>
      </c>
      <c r="F167" s="17" t="inlineStr"/>
      <c r="G167" s="23" t="inlineStr"/>
      <c r="H167" s="22" t="inlineStr">
        <is>
          <t>미확인</t>
        </is>
      </c>
      <c r="I167" s="17" t="n">
        <v>1</v>
      </c>
      <c r="J167" s="17" t="n">
        <v>1</v>
      </c>
      <c r="K167" s="17" t="inlineStr"/>
      <c r="L167" s="17" t="inlineStr">
        <is>
          <t>Y</t>
        </is>
      </c>
      <c r="M167" s="17" t="inlineStr"/>
      <c r="N167" s="17" t="inlineStr"/>
      <c r="O167" s="17" t="inlineStr">
        <is>
          <t>경기도</t>
        </is>
      </c>
      <c r="P167" s="17" t="inlineStr">
        <is>
          <t>미확인</t>
        </is>
      </c>
      <c r="Q167" s="17" t="inlineStr"/>
      <c r="R167" s="17" t="inlineStr">
        <is>
          <t>QMS+LIMS</t>
        </is>
      </c>
      <c r="S167" s="24" t="n">
        <v>46465</v>
      </c>
      <c r="T167" s="17" t="inlineStr"/>
    </row>
    <row r="168">
      <c r="A168" s="17" t="n">
        <v>167</v>
      </c>
      <c r="B168" s="17" t="inlineStr">
        <is>
          <t>(주)바스칸바이오제약</t>
        </is>
      </c>
      <c r="C168" s="17" t="inlineStr">
        <is>
          <t>바스칸바이오제약</t>
        </is>
      </c>
      <c r="D168" s="27" t="inlineStr">
        <is>
          <t>Tier C</t>
        </is>
      </c>
      <c r="E168" s="17" t="n">
        <v>13</v>
      </c>
      <c r="F168" s="17" t="inlineStr">
        <is>
          <t>Y</t>
        </is>
      </c>
      <c r="G168" s="23" t="inlineStr">
        <is>
          <t>354390</t>
        </is>
      </c>
      <c r="H168" s="22" t="inlineStr">
        <is>
          <t>미확인</t>
        </is>
      </c>
      <c r="I168" s="17" t="n">
        <v>1</v>
      </c>
      <c r="J168" s="17" t="n">
        <v>1</v>
      </c>
      <c r="K168" s="17" t="inlineStr">
        <is>
          <t>Y</t>
        </is>
      </c>
      <c r="L168" s="17" t="inlineStr"/>
      <c r="M168" s="17" t="inlineStr"/>
      <c r="N168" s="17" t="inlineStr"/>
      <c r="O168" s="17" t="inlineStr">
        <is>
          <t>경기도</t>
        </is>
      </c>
      <c r="P168" s="17" t="inlineStr">
        <is>
          <t>미확인</t>
        </is>
      </c>
      <c r="Q168" s="17" t="inlineStr">
        <is>
          <t>http://www.baskhanbio.com</t>
        </is>
      </c>
      <c r="R168" s="17" t="inlineStr">
        <is>
          <t>EDMS</t>
        </is>
      </c>
      <c r="S168" s="24" t="n">
        <v>46997</v>
      </c>
      <c r="T168" s="17" t="inlineStr"/>
    </row>
    <row r="169">
      <c r="A169" s="17" t="n">
        <v>168</v>
      </c>
      <c r="B169" s="17" t="inlineStr">
        <is>
          <t>(주)보령바이오파마</t>
        </is>
      </c>
      <c r="C169" s="17" t="inlineStr">
        <is>
          <t>보령바이오파마</t>
        </is>
      </c>
      <c r="D169" s="27" t="inlineStr">
        <is>
          <t>Tier C</t>
        </is>
      </c>
      <c r="E169" s="17" t="n">
        <v>13</v>
      </c>
      <c r="F169" s="17" t="inlineStr"/>
      <c r="G169" s="23" t="inlineStr"/>
      <c r="H169" s="22" t="inlineStr">
        <is>
          <t>미확인</t>
        </is>
      </c>
      <c r="I169" s="17" t="n">
        <v>1</v>
      </c>
      <c r="J169" s="17" t="n">
        <v>1</v>
      </c>
      <c r="K169" s="17" t="inlineStr">
        <is>
          <t>Y</t>
        </is>
      </c>
      <c r="L169" s="17" t="inlineStr"/>
      <c r="M169" s="17" t="inlineStr">
        <is>
          <t>Y</t>
        </is>
      </c>
      <c r="N169" s="17" t="inlineStr"/>
      <c r="O169" s="17" t="inlineStr">
        <is>
          <t>충청북도</t>
        </is>
      </c>
      <c r="P169" s="17" t="inlineStr">
        <is>
          <t>02-740-4204</t>
        </is>
      </c>
      <c r="Q169" s="17" t="inlineStr"/>
      <c r="R169" s="17" t="inlineStr">
        <is>
          <t>QMS+LIMS</t>
        </is>
      </c>
      <c r="S169" s="24" t="n">
        <v>46642</v>
      </c>
      <c r="T169" s="17" t="inlineStr"/>
    </row>
    <row r="170">
      <c r="A170" s="17" t="n">
        <v>169</v>
      </c>
      <c r="B170" s="17" t="inlineStr">
        <is>
          <t>(주)비씨월드헬스케어</t>
        </is>
      </c>
      <c r="C170" s="17" t="inlineStr">
        <is>
          <t>비씨월드헬스케어</t>
        </is>
      </c>
      <c r="D170" s="27" t="inlineStr">
        <is>
          <t>Tier C</t>
        </is>
      </c>
      <c r="E170" s="17" t="n">
        <v>13</v>
      </c>
      <c r="F170" s="17" t="inlineStr"/>
      <c r="G170" s="23" t="inlineStr"/>
      <c r="H170" s="22" t="inlineStr">
        <is>
          <t>미확인</t>
        </is>
      </c>
      <c r="I170" s="17" t="n">
        <v>1</v>
      </c>
      <c r="J170" s="17" t="n">
        <v>1</v>
      </c>
      <c r="K170" s="17" t="inlineStr">
        <is>
          <t>Y</t>
        </is>
      </c>
      <c r="L170" s="17" t="inlineStr"/>
      <c r="M170" s="17" t="inlineStr">
        <is>
          <t>Y</t>
        </is>
      </c>
      <c r="N170" s="17" t="inlineStr"/>
      <c r="O170" s="17" t="inlineStr">
        <is>
          <t>강원특별자치도</t>
        </is>
      </c>
      <c r="P170" s="17" t="inlineStr">
        <is>
          <t>033-813-0991</t>
        </is>
      </c>
      <c r="Q170" s="17" t="inlineStr"/>
      <c r="R170" s="17" t="inlineStr">
        <is>
          <t>QMS+LIMS</t>
        </is>
      </c>
      <c r="S170" s="24" t="n">
        <v>47053</v>
      </c>
      <c r="T170" s="17" t="inlineStr"/>
    </row>
    <row r="171">
      <c r="A171" s="17" t="n">
        <v>170</v>
      </c>
      <c r="B171" s="17" t="inlineStr">
        <is>
          <t>(주)비앤씨코리아</t>
        </is>
      </c>
      <c r="C171" s="17" t="inlineStr">
        <is>
          <t>비앤씨코리아</t>
        </is>
      </c>
      <c r="D171" s="27" t="inlineStr">
        <is>
          <t>Tier C</t>
        </is>
      </c>
      <c r="E171" s="17" t="n">
        <v>13</v>
      </c>
      <c r="F171" s="17" t="inlineStr"/>
      <c r="G171" s="23" t="inlineStr"/>
      <c r="H171" s="22" t="inlineStr">
        <is>
          <t>미확인</t>
        </is>
      </c>
      <c r="I171" s="17" t="n">
        <v>1</v>
      </c>
      <c r="J171" s="17" t="n">
        <v>1</v>
      </c>
      <c r="K171" s="17" t="inlineStr">
        <is>
          <t>Y</t>
        </is>
      </c>
      <c r="L171" s="17" t="inlineStr"/>
      <c r="M171" s="17" t="inlineStr">
        <is>
          <t>Y</t>
        </is>
      </c>
      <c r="N171" s="17" t="inlineStr"/>
      <c r="O171" s="17" t="inlineStr">
        <is>
          <t>충청북도</t>
        </is>
      </c>
      <c r="P171" s="17" t="inlineStr">
        <is>
          <t>1599-0341</t>
        </is>
      </c>
      <c r="Q171" s="17" t="inlineStr"/>
      <c r="R171" s="17" t="inlineStr">
        <is>
          <t>QMS+LIMS</t>
        </is>
      </c>
      <c r="S171" s="24" t="n">
        <v>47272</v>
      </c>
      <c r="T171" s="17" t="inlineStr"/>
    </row>
    <row r="172">
      <c r="A172" s="17" t="n">
        <v>171</v>
      </c>
      <c r="B172" s="17" t="inlineStr">
        <is>
          <t>(주)삼오제약</t>
        </is>
      </c>
      <c r="C172" s="17" t="inlineStr">
        <is>
          <t>삼오제약</t>
        </is>
      </c>
      <c r="D172" s="27" t="inlineStr">
        <is>
          <t>Tier C</t>
        </is>
      </c>
      <c r="E172" s="17" t="n">
        <v>13</v>
      </c>
      <c r="F172" s="17" t="inlineStr"/>
      <c r="G172" s="23" t="inlineStr"/>
      <c r="H172" s="22" t="inlineStr">
        <is>
          <t>미확인</t>
        </is>
      </c>
      <c r="I172" s="17" t="n">
        <v>1</v>
      </c>
      <c r="J172" s="17" t="n">
        <v>1</v>
      </c>
      <c r="K172" s="17" t="inlineStr"/>
      <c r="L172" s="17" t="inlineStr">
        <is>
          <t>Y</t>
        </is>
      </c>
      <c r="M172" s="17" t="inlineStr"/>
      <c r="N172" s="17" t="inlineStr"/>
      <c r="O172" s="17" t="inlineStr">
        <is>
          <t>경기도</t>
        </is>
      </c>
      <c r="P172" s="17" t="inlineStr">
        <is>
          <t>031-498-0355</t>
        </is>
      </c>
      <c r="Q172" s="17" t="inlineStr"/>
      <c r="R172" s="17" t="inlineStr">
        <is>
          <t>QMS+LIMS</t>
        </is>
      </c>
      <c r="S172" s="24" t="n">
        <v>46551</v>
      </c>
      <c r="T172" s="17" t="inlineStr"/>
    </row>
    <row r="173">
      <c r="A173" s="17" t="n">
        <v>172</v>
      </c>
      <c r="B173" s="17" t="inlineStr">
        <is>
          <t>(주)서흥</t>
        </is>
      </c>
      <c r="C173" s="17" t="inlineStr">
        <is>
          <t>서흥</t>
        </is>
      </c>
      <c r="D173" s="27" t="inlineStr">
        <is>
          <t>Tier C</t>
        </is>
      </c>
      <c r="E173" s="17" t="n">
        <v>13</v>
      </c>
      <c r="F173" s="17" t="inlineStr">
        <is>
          <t>Y</t>
        </is>
      </c>
      <c r="G173" s="23" t="inlineStr">
        <is>
          <t>008490</t>
        </is>
      </c>
      <c r="H173" s="22" t="inlineStr">
        <is>
          <t>미확인</t>
        </is>
      </c>
      <c r="I173" s="17" t="n">
        <v>1</v>
      </c>
      <c r="J173" s="17" t="n">
        <v>1</v>
      </c>
      <c r="K173" s="17" t="inlineStr">
        <is>
          <t>Y</t>
        </is>
      </c>
      <c r="L173" s="17" t="inlineStr"/>
      <c r="M173" s="17" t="inlineStr"/>
      <c r="N173" s="17" t="inlineStr"/>
      <c r="O173" s="17" t="inlineStr">
        <is>
          <t>충청북도</t>
        </is>
      </c>
      <c r="P173" s="17" t="inlineStr">
        <is>
          <t>043-249-4252</t>
        </is>
      </c>
      <c r="Q173" s="17" t="inlineStr">
        <is>
          <t>http://www.suheung.com</t>
        </is>
      </c>
      <c r="R173" s="17" t="inlineStr">
        <is>
          <t>EDMS</t>
        </is>
      </c>
      <c r="S173" s="24" t="n">
        <v>47170</v>
      </c>
      <c r="T173" s="17" t="inlineStr"/>
    </row>
    <row r="174">
      <c r="A174" s="17" t="n">
        <v>173</v>
      </c>
      <c r="B174" s="17" t="inlineStr">
        <is>
          <t>(주)에이프로젠바이오로직스</t>
        </is>
      </c>
      <c r="C174" s="17" t="inlineStr">
        <is>
          <t>에이프로젠바이오로직스</t>
        </is>
      </c>
      <c r="D174" s="27" t="inlineStr">
        <is>
          <t>Tier C</t>
        </is>
      </c>
      <c r="E174" s="17" t="n">
        <v>13</v>
      </c>
      <c r="F174" s="17" t="inlineStr">
        <is>
          <t>Y</t>
        </is>
      </c>
      <c r="G174" s="23" t="inlineStr">
        <is>
          <t>003060</t>
        </is>
      </c>
      <c r="H174" s="22" t="inlineStr">
        <is>
          <t>미확인</t>
        </is>
      </c>
      <c r="I174" s="17" t="n">
        <v>1</v>
      </c>
      <c r="J174" s="17" t="n">
        <v>1</v>
      </c>
      <c r="K174" s="17" t="inlineStr">
        <is>
          <t>Y</t>
        </is>
      </c>
      <c r="L174" s="17" t="inlineStr"/>
      <c r="M174" s="17" t="inlineStr"/>
      <c r="N174" s="17" t="inlineStr"/>
      <c r="O174" s="17" t="inlineStr">
        <is>
          <t>경기도</t>
        </is>
      </c>
      <c r="P174" s="17" t="inlineStr">
        <is>
          <t>미확인</t>
        </is>
      </c>
      <c r="Q174" s="17" t="inlineStr">
        <is>
          <t>http://www.aprogen-pharm.com</t>
        </is>
      </c>
      <c r="R174" s="17" t="inlineStr">
        <is>
          <t>EDMS</t>
        </is>
      </c>
      <c r="S174" s="24" t="n">
        <v>46885</v>
      </c>
      <c r="T174" s="17" t="inlineStr"/>
    </row>
    <row r="175">
      <c r="A175" s="17" t="n">
        <v>174</v>
      </c>
      <c r="B175" s="17" t="inlineStr">
        <is>
          <t>(주)엔바이로코리아</t>
        </is>
      </c>
      <c r="C175" s="17" t="inlineStr">
        <is>
          <t>엔바이로코리아</t>
        </is>
      </c>
      <c r="D175" s="27" t="inlineStr">
        <is>
          <t>Tier C</t>
        </is>
      </c>
      <c r="E175" s="17" t="n">
        <v>13</v>
      </c>
      <c r="F175" s="17" t="inlineStr"/>
      <c r="G175" s="23" t="inlineStr"/>
      <c r="H175" s="22" t="inlineStr">
        <is>
          <t>미확인</t>
        </is>
      </c>
      <c r="I175" s="17" t="n">
        <v>1</v>
      </c>
      <c r="J175" s="17" t="n">
        <v>1</v>
      </c>
      <c r="K175" s="17" t="inlineStr">
        <is>
          <t>Y</t>
        </is>
      </c>
      <c r="L175" s="17" t="inlineStr"/>
      <c r="M175" s="17" t="inlineStr">
        <is>
          <t>Y</t>
        </is>
      </c>
      <c r="N175" s="17" t="inlineStr"/>
      <c r="O175" s="17" t="inlineStr">
        <is>
          <t>대전광역시</t>
        </is>
      </c>
      <c r="P175" s="17" t="inlineStr">
        <is>
          <t>042-864-2341</t>
        </is>
      </c>
      <c r="Q175" s="17" t="inlineStr"/>
      <c r="R175" s="17" t="inlineStr">
        <is>
          <t>QMS+LIMS</t>
        </is>
      </c>
      <c r="S175" s="24" t="n">
        <v>47325</v>
      </c>
      <c r="T175" s="17" t="inlineStr"/>
    </row>
    <row r="176">
      <c r="A176" s="17" t="n">
        <v>175</v>
      </c>
      <c r="B176" s="17" t="inlineStr">
        <is>
          <t>(주)엘앤씨바이오</t>
        </is>
      </c>
      <c r="C176" s="17" t="inlineStr">
        <is>
          <t>엘앤씨바이오</t>
        </is>
      </c>
      <c r="D176" s="27" t="inlineStr">
        <is>
          <t>Tier C</t>
        </is>
      </c>
      <c r="E176" s="17" t="n">
        <v>13</v>
      </c>
      <c r="F176" s="17" t="inlineStr">
        <is>
          <t>Y</t>
        </is>
      </c>
      <c r="G176" s="23" t="inlineStr">
        <is>
          <t>290650</t>
        </is>
      </c>
      <c r="H176" s="22" t="inlineStr">
        <is>
          <t>미확인</t>
        </is>
      </c>
      <c r="I176" s="17" t="n">
        <v>1</v>
      </c>
      <c r="J176" s="17" t="n">
        <v>1</v>
      </c>
      <c r="K176" s="17" t="inlineStr">
        <is>
          <t>Y</t>
        </is>
      </c>
      <c r="L176" s="17" t="inlineStr"/>
      <c r="M176" s="17" t="inlineStr"/>
      <c r="N176" s="17" t="inlineStr"/>
      <c r="O176" s="17" t="inlineStr">
        <is>
          <t>경기도</t>
        </is>
      </c>
      <c r="P176" s="17" t="inlineStr">
        <is>
          <t>070-7720-0540</t>
        </is>
      </c>
      <c r="Q176" s="17" t="inlineStr">
        <is>
          <t>http://www.lncbio.co.kr</t>
        </is>
      </c>
      <c r="R176" s="17" t="inlineStr">
        <is>
          <t>EDMS</t>
        </is>
      </c>
      <c r="S176" s="24" t="n">
        <v>47233</v>
      </c>
      <c r="T176" s="17" t="inlineStr"/>
    </row>
    <row r="177">
      <c r="A177" s="17" t="n">
        <v>176</v>
      </c>
      <c r="B177" s="17" t="inlineStr">
        <is>
          <t>(주)오스코리아제약</t>
        </is>
      </c>
      <c r="C177" s="17" t="inlineStr">
        <is>
          <t>오스코리아제약</t>
        </is>
      </c>
      <c r="D177" s="27" t="inlineStr">
        <is>
          <t>Tier C</t>
        </is>
      </c>
      <c r="E177" s="17" t="n">
        <v>13</v>
      </c>
      <c r="F177" s="17" t="inlineStr"/>
      <c r="G177" s="23" t="inlineStr"/>
      <c r="H177" s="22" t="inlineStr">
        <is>
          <t>미확인</t>
        </is>
      </c>
      <c r="I177" s="17" t="n">
        <v>1</v>
      </c>
      <c r="J177" s="17" t="n">
        <v>1</v>
      </c>
      <c r="K177" s="17" t="inlineStr">
        <is>
          <t>Y</t>
        </is>
      </c>
      <c r="L177" s="17" t="inlineStr"/>
      <c r="M177" s="17" t="inlineStr">
        <is>
          <t>Y</t>
        </is>
      </c>
      <c r="N177" s="17" t="inlineStr"/>
      <c r="O177" s="17" t="inlineStr">
        <is>
          <t>강원특별자치도</t>
        </is>
      </c>
      <c r="P177" s="17" t="inlineStr">
        <is>
          <t>033-731-2801</t>
        </is>
      </c>
      <c r="Q177" s="17" t="inlineStr"/>
      <c r="R177" s="17" t="inlineStr">
        <is>
          <t>QMS+LIMS</t>
        </is>
      </c>
      <c r="S177" s="24" t="n">
        <v>46976</v>
      </c>
      <c r="T177" s="17" t="inlineStr"/>
    </row>
    <row r="178">
      <c r="A178" s="17" t="n">
        <v>177</v>
      </c>
      <c r="B178" s="17" t="inlineStr">
        <is>
          <t>(주)유유제약</t>
        </is>
      </c>
      <c r="C178" s="17" t="inlineStr">
        <is>
          <t>유유제약</t>
        </is>
      </c>
      <c r="D178" s="27" t="inlineStr">
        <is>
          <t>Tier C</t>
        </is>
      </c>
      <c r="E178" s="17" t="n">
        <v>13</v>
      </c>
      <c r="F178" s="17" t="inlineStr">
        <is>
          <t>Y</t>
        </is>
      </c>
      <c r="G178" s="23" t="inlineStr">
        <is>
          <t>000220</t>
        </is>
      </c>
      <c r="H178" s="22" t="inlineStr">
        <is>
          <t>미확인</t>
        </is>
      </c>
      <c r="I178" s="17" t="n">
        <v>1</v>
      </c>
      <c r="J178" s="17" t="n">
        <v>1</v>
      </c>
      <c r="K178" s="17" t="inlineStr">
        <is>
          <t>Y</t>
        </is>
      </c>
      <c r="L178" s="17" t="inlineStr"/>
      <c r="M178" s="17" t="inlineStr"/>
      <c r="N178" s="17" t="inlineStr"/>
      <c r="O178" s="17" t="inlineStr">
        <is>
          <t>충청북도</t>
        </is>
      </c>
      <c r="P178" s="17" t="inlineStr">
        <is>
          <t>02-2253-6600</t>
        </is>
      </c>
      <c r="Q178" s="17" t="inlineStr">
        <is>
          <t>http://www.yuyu.co.kr</t>
        </is>
      </c>
      <c r="R178" s="17" t="inlineStr">
        <is>
          <t>EDMS</t>
        </is>
      </c>
      <c r="S178" s="24" t="n">
        <v>46579</v>
      </c>
      <c r="T178" s="17" t="inlineStr"/>
    </row>
    <row r="179">
      <c r="A179" s="17" t="n">
        <v>178</v>
      </c>
      <c r="B179" s="17" t="inlineStr">
        <is>
          <t>(주)중헌제약</t>
        </is>
      </c>
      <c r="C179" s="17" t="inlineStr">
        <is>
          <t>중헌제약</t>
        </is>
      </c>
      <c r="D179" s="27" t="inlineStr">
        <is>
          <t>Tier C</t>
        </is>
      </c>
      <c r="E179" s="17" t="n">
        <v>13</v>
      </c>
      <c r="F179" s="17" t="inlineStr"/>
      <c r="G179" s="23" t="inlineStr"/>
      <c r="H179" s="22" t="inlineStr">
        <is>
          <t>미확인</t>
        </is>
      </c>
      <c r="I179" s="17" t="n">
        <v>1</v>
      </c>
      <c r="J179" s="17" t="n">
        <v>1</v>
      </c>
      <c r="K179" s="17" t="inlineStr">
        <is>
          <t>Y</t>
        </is>
      </c>
      <c r="L179" s="17" t="inlineStr"/>
      <c r="M179" s="17" t="inlineStr">
        <is>
          <t>Y</t>
        </is>
      </c>
      <c r="N179" s="17" t="inlineStr"/>
      <c r="O179" s="17" t="inlineStr">
        <is>
          <t>충청북도</t>
        </is>
      </c>
      <c r="P179" s="17" t="inlineStr">
        <is>
          <t>04371120000269293605</t>
        </is>
      </c>
      <c r="Q179" s="17" t="inlineStr"/>
      <c r="R179" s="17" t="inlineStr">
        <is>
          <t>QMS+LIMS</t>
        </is>
      </c>
      <c r="S179" s="24" t="n">
        <v>46800</v>
      </c>
      <c r="T179" s="17" t="inlineStr"/>
    </row>
    <row r="180">
      <c r="A180" s="17" t="n">
        <v>179</v>
      </c>
      <c r="B180" s="17" t="inlineStr">
        <is>
          <t>(주)카이바이오텍</t>
        </is>
      </c>
      <c r="C180" s="17" t="inlineStr">
        <is>
          <t>카이바이오텍</t>
        </is>
      </c>
      <c r="D180" s="27" t="inlineStr">
        <is>
          <t>Tier C</t>
        </is>
      </c>
      <c r="E180" s="17" t="n">
        <v>13</v>
      </c>
      <c r="F180" s="17" t="inlineStr"/>
      <c r="G180" s="23" t="inlineStr"/>
      <c r="H180" s="22" t="inlineStr">
        <is>
          <t>미확인</t>
        </is>
      </c>
      <c r="I180" s="17" t="n">
        <v>1</v>
      </c>
      <c r="J180" s="17" t="n">
        <v>1</v>
      </c>
      <c r="K180" s="17" t="inlineStr">
        <is>
          <t>Y</t>
        </is>
      </c>
      <c r="L180" s="17" t="inlineStr"/>
      <c r="M180" s="17" t="inlineStr">
        <is>
          <t>Y</t>
        </is>
      </c>
      <c r="N180" s="17" t="inlineStr"/>
      <c r="O180" s="17" t="inlineStr">
        <is>
          <t>전북특별자치도</t>
        </is>
      </c>
      <c r="P180" s="17" t="inlineStr">
        <is>
          <t>미확인</t>
        </is>
      </c>
      <c r="Q180" s="17" t="inlineStr"/>
      <c r="R180" s="17" t="inlineStr">
        <is>
          <t>QMS+LIMS</t>
        </is>
      </c>
      <c r="S180" s="24" t="n">
        <v>47268</v>
      </c>
      <c r="T180" s="17" t="inlineStr"/>
    </row>
    <row r="181">
      <c r="A181" s="17" t="n">
        <v>180</v>
      </c>
      <c r="B181" s="17" t="inlineStr">
        <is>
          <t>(주)코미팜</t>
        </is>
      </c>
      <c r="C181" s="17" t="inlineStr">
        <is>
          <t>코미팜</t>
        </is>
      </c>
      <c r="D181" s="27" t="inlineStr">
        <is>
          <t>Tier C</t>
        </is>
      </c>
      <c r="E181" s="17" t="n">
        <v>13</v>
      </c>
      <c r="F181" s="17" t="inlineStr">
        <is>
          <t>Y</t>
        </is>
      </c>
      <c r="G181" s="23" t="inlineStr">
        <is>
          <t>041960</t>
        </is>
      </c>
      <c r="H181" s="22" t="inlineStr">
        <is>
          <t>미확인</t>
        </is>
      </c>
      <c r="I181" s="17" t="n">
        <v>1</v>
      </c>
      <c r="J181" s="17" t="n">
        <v>1</v>
      </c>
      <c r="K181" s="17" t="inlineStr">
        <is>
          <t>Y</t>
        </is>
      </c>
      <c r="L181" s="17" t="inlineStr"/>
      <c r="M181" s="17" t="inlineStr"/>
      <c r="N181" s="17" t="inlineStr"/>
      <c r="O181" s="17" t="inlineStr">
        <is>
          <t>충청북도</t>
        </is>
      </c>
      <c r="P181" s="17" t="inlineStr">
        <is>
          <t>043-238-8800</t>
        </is>
      </c>
      <c r="Q181" s="17" t="inlineStr">
        <is>
          <t>http://www.komipharm.com</t>
        </is>
      </c>
      <c r="R181" s="17" t="inlineStr">
        <is>
          <t>EDMS</t>
        </is>
      </c>
      <c r="S181" s="24" t="n">
        <v>46741</v>
      </c>
      <c r="T181" s="17" t="inlineStr"/>
    </row>
    <row r="182">
      <c r="A182" s="17" t="n">
        <v>181</v>
      </c>
      <c r="B182" s="17" t="inlineStr">
        <is>
          <t>(주)테라젠이텍스</t>
        </is>
      </c>
      <c r="C182" s="17" t="inlineStr">
        <is>
          <t>테라젠이텍스</t>
        </is>
      </c>
      <c r="D182" s="27" t="inlineStr">
        <is>
          <t>Tier C</t>
        </is>
      </c>
      <c r="E182" s="17" t="n">
        <v>13</v>
      </c>
      <c r="F182" s="17" t="inlineStr">
        <is>
          <t>Y</t>
        </is>
      </c>
      <c r="G182" s="23" t="inlineStr">
        <is>
          <t>066700</t>
        </is>
      </c>
      <c r="H182" s="22" t="inlineStr">
        <is>
          <t>미확인</t>
        </is>
      </c>
      <c r="I182" s="17" t="n">
        <v>1</v>
      </c>
      <c r="J182" s="17" t="n">
        <v>1</v>
      </c>
      <c r="K182" s="17" t="inlineStr">
        <is>
          <t>Y</t>
        </is>
      </c>
      <c r="L182" s="17" t="inlineStr"/>
      <c r="M182" s="17" t="inlineStr"/>
      <c r="N182" s="17" t="inlineStr"/>
      <c r="O182" s="17" t="inlineStr">
        <is>
          <t>경기도</t>
        </is>
      </c>
      <c r="P182" s="17" t="inlineStr">
        <is>
          <t>031-495-3399</t>
        </is>
      </c>
      <c r="Q182" s="17" t="inlineStr">
        <is>
          <t>http://www.thera-gen.com</t>
        </is>
      </c>
      <c r="R182" s="17" t="inlineStr">
        <is>
          <t>EDMS</t>
        </is>
      </c>
      <c r="S182" s="24" t="n">
        <v>46990</v>
      </c>
      <c r="T182" s="17" t="inlineStr"/>
    </row>
    <row r="183">
      <c r="A183" s="17" t="n">
        <v>182</v>
      </c>
      <c r="B183" s="17" t="inlineStr">
        <is>
          <t>(주)티디에스팜</t>
        </is>
      </c>
      <c r="C183" s="17" t="inlineStr">
        <is>
          <t>티디에스팜</t>
        </is>
      </c>
      <c r="D183" s="27" t="inlineStr">
        <is>
          <t>Tier C</t>
        </is>
      </c>
      <c r="E183" s="17" t="n">
        <v>13</v>
      </c>
      <c r="F183" s="17" t="inlineStr">
        <is>
          <t>Y</t>
        </is>
      </c>
      <c r="G183" s="23" t="inlineStr">
        <is>
          <t>464280</t>
        </is>
      </c>
      <c r="H183" s="22" t="inlineStr">
        <is>
          <t>미확인</t>
        </is>
      </c>
      <c r="I183" s="17" t="n">
        <v>1</v>
      </c>
      <c r="J183" s="17" t="n">
        <v>1</v>
      </c>
      <c r="K183" s="17" t="inlineStr">
        <is>
          <t>Y</t>
        </is>
      </c>
      <c r="L183" s="17" t="inlineStr"/>
      <c r="M183" s="17" t="inlineStr"/>
      <c r="N183" s="17" t="inlineStr"/>
      <c r="O183" s="17" t="inlineStr">
        <is>
          <t>충청북도</t>
        </is>
      </c>
      <c r="P183" s="17" t="inlineStr">
        <is>
          <t>031-8018-7340</t>
        </is>
      </c>
      <c r="Q183" s="17" t="inlineStr">
        <is>
          <t>http://www.tdspharm.com</t>
        </is>
      </c>
      <c r="R183" s="17" t="inlineStr">
        <is>
          <t>EDMS</t>
        </is>
      </c>
      <c r="S183" s="24" t="n">
        <v>47221</v>
      </c>
      <c r="T183" s="17" t="inlineStr"/>
    </row>
    <row r="184">
      <c r="A184" s="17" t="n">
        <v>183</v>
      </c>
      <c r="B184" s="17" t="inlineStr">
        <is>
          <t>(주)파마코스텍</t>
        </is>
      </c>
      <c r="C184" s="17" t="inlineStr">
        <is>
          <t>파마코스텍</t>
        </is>
      </c>
      <c r="D184" s="27" t="inlineStr">
        <is>
          <t>Tier C</t>
        </is>
      </c>
      <c r="E184" s="17" t="n">
        <v>13</v>
      </c>
      <c r="F184" s="17" t="inlineStr"/>
      <c r="G184" s="23" t="inlineStr"/>
      <c r="H184" s="22" t="inlineStr">
        <is>
          <t>미확인</t>
        </is>
      </c>
      <c r="I184" s="17" t="n">
        <v>1</v>
      </c>
      <c r="J184" s="17" t="n">
        <v>1</v>
      </c>
      <c r="K184" s="17" t="inlineStr"/>
      <c r="L184" s="17" t="inlineStr">
        <is>
          <t>Y</t>
        </is>
      </c>
      <c r="M184" s="17" t="inlineStr"/>
      <c r="N184" s="17" t="inlineStr"/>
      <c r="O184" s="17" t="inlineStr">
        <is>
          <t>경기도</t>
        </is>
      </c>
      <c r="P184" s="17" t="inlineStr">
        <is>
          <t>031-359-9969</t>
        </is>
      </c>
      <c r="Q184" s="17" t="inlineStr"/>
      <c r="R184" s="17" t="inlineStr">
        <is>
          <t>QMS+LIMS</t>
        </is>
      </c>
      <c r="S184" s="24" t="n">
        <v>46479</v>
      </c>
      <c r="T184" s="17" t="inlineStr"/>
    </row>
    <row r="185">
      <c r="A185" s="17" t="n">
        <v>184</v>
      </c>
      <c r="B185" s="17" t="inlineStr">
        <is>
          <t>(주)팜젠사이언스</t>
        </is>
      </c>
      <c r="C185" s="17" t="inlineStr">
        <is>
          <t>팜젠사이언스</t>
        </is>
      </c>
      <c r="D185" s="27" t="inlineStr">
        <is>
          <t>Tier C</t>
        </is>
      </c>
      <c r="E185" s="17" t="n">
        <v>13</v>
      </c>
      <c r="F185" s="17" t="inlineStr">
        <is>
          <t>Y</t>
        </is>
      </c>
      <c r="G185" s="23" t="inlineStr">
        <is>
          <t>004720</t>
        </is>
      </c>
      <c r="H185" s="22" t="inlineStr">
        <is>
          <t>미확인</t>
        </is>
      </c>
      <c r="I185" s="17" t="n">
        <v>1</v>
      </c>
      <c r="J185" s="17" t="n">
        <v>1</v>
      </c>
      <c r="K185" s="17" t="inlineStr">
        <is>
          <t>Y</t>
        </is>
      </c>
      <c r="L185" s="17" t="inlineStr"/>
      <c r="M185" s="17" t="inlineStr"/>
      <c r="N185" s="17" t="inlineStr"/>
      <c r="O185" s="17" t="inlineStr">
        <is>
          <t>경기도</t>
        </is>
      </c>
      <c r="P185" s="17" t="inlineStr">
        <is>
          <t>02-2194-3590</t>
        </is>
      </c>
      <c r="Q185" s="17" t="inlineStr">
        <is>
          <t>http://www.pharmgenscience.com</t>
        </is>
      </c>
      <c r="R185" s="17" t="inlineStr">
        <is>
          <t>EDMS</t>
        </is>
      </c>
      <c r="S185" s="24" t="n">
        <v>46864</v>
      </c>
      <c r="T185" s="17" t="inlineStr"/>
    </row>
    <row r="186">
      <c r="A186" s="17" t="n">
        <v>185</v>
      </c>
      <c r="B186" s="17" t="inlineStr">
        <is>
          <t>(주)하원정밀화학</t>
        </is>
      </c>
      <c r="C186" s="17" t="inlineStr">
        <is>
          <t>하원정밀화학</t>
        </is>
      </c>
      <c r="D186" s="27" t="inlineStr">
        <is>
          <t>Tier C</t>
        </is>
      </c>
      <c r="E186" s="17" t="n">
        <v>13</v>
      </c>
      <c r="F186" s="17" t="inlineStr"/>
      <c r="G186" s="23" t="inlineStr"/>
      <c r="H186" s="22" t="inlineStr">
        <is>
          <t>미확인</t>
        </is>
      </c>
      <c r="I186" s="17" t="n">
        <v>1</v>
      </c>
      <c r="J186" s="17" t="n">
        <v>1</v>
      </c>
      <c r="K186" s="17" t="inlineStr"/>
      <c r="L186" s="17" t="inlineStr">
        <is>
          <t>Y</t>
        </is>
      </c>
      <c r="M186" s="17" t="inlineStr"/>
      <c r="N186" s="17" t="inlineStr"/>
      <c r="O186" s="17" t="inlineStr">
        <is>
          <t>세종특별자치시</t>
        </is>
      </c>
      <c r="P186" s="17" t="inlineStr">
        <is>
          <t>044-862-2681</t>
        </is>
      </c>
      <c r="Q186" s="17" t="inlineStr"/>
      <c r="R186" s="17" t="inlineStr">
        <is>
          <t>QMS+LIMS</t>
        </is>
      </c>
      <c r="S186" s="24" t="n">
        <v>46494</v>
      </c>
      <c r="T186" s="17" t="inlineStr"/>
    </row>
    <row r="187">
      <c r="A187" s="17" t="n">
        <v>186</v>
      </c>
      <c r="B187" s="17" t="inlineStr">
        <is>
          <t>(주)한국파마</t>
        </is>
      </c>
      <c r="C187" s="17" t="inlineStr">
        <is>
          <t>한국파마</t>
        </is>
      </c>
      <c r="D187" s="27" t="inlineStr">
        <is>
          <t>Tier C</t>
        </is>
      </c>
      <c r="E187" s="17" t="n">
        <v>13</v>
      </c>
      <c r="F187" s="17" t="inlineStr">
        <is>
          <t>Y</t>
        </is>
      </c>
      <c r="G187" s="23" t="inlineStr">
        <is>
          <t>032300</t>
        </is>
      </c>
      <c r="H187" s="22" t="inlineStr">
        <is>
          <t>미확인</t>
        </is>
      </c>
      <c r="I187" s="17" t="n">
        <v>1</v>
      </c>
      <c r="J187" s="17" t="n">
        <v>1</v>
      </c>
      <c r="K187" s="17" t="inlineStr">
        <is>
          <t>Y</t>
        </is>
      </c>
      <c r="L187" s="17" t="inlineStr"/>
      <c r="M187" s="17" t="inlineStr"/>
      <c r="N187" s="17" t="inlineStr"/>
      <c r="O187" s="17" t="inlineStr">
        <is>
          <t>경기도</t>
        </is>
      </c>
      <c r="P187" s="17" t="inlineStr">
        <is>
          <t>02-558-1277</t>
        </is>
      </c>
      <c r="Q187" s="17" t="inlineStr">
        <is>
          <t>http://koreapharma.co.kr</t>
        </is>
      </c>
      <c r="R187" s="17" t="inlineStr">
        <is>
          <t>EDMS</t>
        </is>
      </c>
      <c r="S187" s="24" t="n">
        <v>46920</v>
      </c>
      <c r="T187" s="17" t="inlineStr"/>
    </row>
    <row r="188">
      <c r="A188" s="17" t="n">
        <v>187</v>
      </c>
      <c r="B188" s="17" t="inlineStr">
        <is>
          <t>(주)한국팜비오</t>
        </is>
      </c>
      <c r="C188" s="17" t="inlineStr">
        <is>
          <t>한국팜비오</t>
        </is>
      </c>
      <c r="D188" s="27" t="inlineStr">
        <is>
          <t>Tier C</t>
        </is>
      </c>
      <c r="E188" s="17" t="n">
        <v>13</v>
      </c>
      <c r="F188" s="17" t="inlineStr"/>
      <c r="G188" s="23" t="inlineStr"/>
      <c r="H188" s="22" t="inlineStr">
        <is>
          <t>미확인</t>
        </is>
      </c>
      <c r="I188" s="17" t="n">
        <v>1</v>
      </c>
      <c r="J188" s="17" t="n">
        <v>1</v>
      </c>
      <c r="K188" s="17" t="inlineStr">
        <is>
          <t>Y</t>
        </is>
      </c>
      <c r="L188" s="17" t="inlineStr"/>
      <c r="M188" s="17" t="inlineStr">
        <is>
          <t>Y</t>
        </is>
      </c>
      <c r="N188" s="17" t="inlineStr"/>
      <c r="O188" s="17" t="inlineStr">
        <is>
          <t>충청북도</t>
        </is>
      </c>
      <c r="P188" s="17" t="inlineStr">
        <is>
          <t>02-587-2551</t>
        </is>
      </c>
      <c r="Q188" s="17" t="inlineStr"/>
      <c r="R188" s="17" t="inlineStr">
        <is>
          <t>QMS+LIMS</t>
        </is>
      </c>
      <c r="S188" s="24" t="n">
        <v>46898</v>
      </c>
      <c r="T188" s="17" t="inlineStr"/>
    </row>
    <row r="189">
      <c r="A189" s="17" t="n">
        <v>188</v>
      </c>
      <c r="B189" s="17" t="inlineStr">
        <is>
          <t>(주)한독</t>
        </is>
      </c>
      <c r="C189" s="17" t="inlineStr">
        <is>
          <t>한독</t>
        </is>
      </c>
      <c r="D189" s="27" t="inlineStr">
        <is>
          <t>Tier C</t>
        </is>
      </c>
      <c r="E189" s="17" t="n">
        <v>13</v>
      </c>
      <c r="F189" s="17" t="inlineStr">
        <is>
          <t>Y</t>
        </is>
      </c>
      <c r="G189" s="23" t="inlineStr">
        <is>
          <t>002390</t>
        </is>
      </c>
      <c r="H189" s="22" t="inlineStr">
        <is>
          <t>미확인</t>
        </is>
      </c>
      <c r="I189" s="17" t="n">
        <v>1</v>
      </c>
      <c r="J189" s="17" t="n">
        <v>1</v>
      </c>
      <c r="K189" s="17" t="inlineStr">
        <is>
          <t>Y</t>
        </is>
      </c>
      <c r="L189" s="17" t="inlineStr"/>
      <c r="M189" s="17" t="inlineStr"/>
      <c r="N189" s="17" t="inlineStr"/>
      <c r="O189" s="17" t="inlineStr">
        <is>
          <t>충청북도</t>
        </is>
      </c>
      <c r="P189" s="17" t="inlineStr">
        <is>
          <t>02-537-5331</t>
        </is>
      </c>
      <c r="Q189" s="17" t="inlineStr">
        <is>
          <t>http://www.handok.co.kr</t>
        </is>
      </c>
      <c r="R189" s="17" t="inlineStr">
        <is>
          <t>EDMS</t>
        </is>
      </c>
      <c r="S189" s="24" t="n">
        <v>47025</v>
      </c>
      <c r="T189" s="17" t="inlineStr"/>
    </row>
    <row r="190">
      <c r="A190" s="17" t="n">
        <v>189</v>
      </c>
      <c r="B190" s="17" t="inlineStr">
        <is>
          <t>(주)한서켐</t>
        </is>
      </c>
      <c r="C190" s="17" t="inlineStr">
        <is>
          <t>한서켐</t>
        </is>
      </c>
      <c r="D190" s="27" t="inlineStr">
        <is>
          <t>Tier C</t>
        </is>
      </c>
      <c r="E190" s="17" t="n">
        <v>13</v>
      </c>
      <c r="F190" s="17" t="inlineStr"/>
      <c r="G190" s="23" t="inlineStr"/>
      <c r="H190" s="22" t="inlineStr">
        <is>
          <t>미확인</t>
        </is>
      </c>
      <c r="I190" s="17" t="n">
        <v>1</v>
      </c>
      <c r="J190" s="17" t="n">
        <v>1</v>
      </c>
      <c r="K190" s="17" t="inlineStr"/>
      <c r="L190" s="17" t="inlineStr">
        <is>
          <t>Y</t>
        </is>
      </c>
      <c r="M190" s="17" t="inlineStr"/>
      <c r="N190" s="17" t="inlineStr"/>
      <c r="O190" s="17" t="inlineStr">
        <is>
          <t>경기도</t>
        </is>
      </c>
      <c r="P190" s="17" t="inlineStr">
        <is>
          <t>031-682-8655</t>
        </is>
      </c>
      <c r="Q190" s="17" t="inlineStr"/>
      <c r="R190" s="17" t="inlineStr">
        <is>
          <t>QMS+LIMS</t>
        </is>
      </c>
      <c r="S190" s="24" t="n">
        <v>46557</v>
      </c>
      <c r="T190" s="17" t="inlineStr"/>
    </row>
    <row r="191">
      <c r="A191" s="17" t="n">
        <v>190</v>
      </c>
      <c r="B191" s="17" t="inlineStr">
        <is>
          <t>대신무약(주)</t>
        </is>
      </c>
      <c r="C191" s="17" t="inlineStr">
        <is>
          <t>대신무약</t>
        </is>
      </c>
      <c r="D191" s="27" t="inlineStr">
        <is>
          <t>Tier C</t>
        </is>
      </c>
      <c r="E191" s="17" t="n">
        <v>13</v>
      </c>
      <c r="F191" s="17" t="inlineStr"/>
      <c r="G191" s="23" t="inlineStr"/>
      <c r="H191" s="22" t="inlineStr">
        <is>
          <t>미확인</t>
        </is>
      </c>
      <c r="I191" s="17" t="n">
        <v>1</v>
      </c>
      <c r="J191" s="17" t="n">
        <v>1</v>
      </c>
      <c r="K191" s="17" t="inlineStr"/>
      <c r="L191" s="17" t="inlineStr">
        <is>
          <t>Y</t>
        </is>
      </c>
      <c r="M191" s="17" t="inlineStr"/>
      <c r="N191" s="17" t="inlineStr"/>
      <c r="O191" s="17" t="inlineStr">
        <is>
          <t>서울특별시</t>
        </is>
      </c>
      <c r="P191" s="17" t="inlineStr">
        <is>
          <t>5725841</t>
        </is>
      </c>
      <c r="Q191" s="17" t="inlineStr"/>
      <c r="R191" s="17" t="inlineStr">
        <is>
          <t>QMS+LIMS</t>
        </is>
      </c>
      <c r="S191" s="24" t="n">
        <v>46514</v>
      </c>
      <c r="T191" s="17" t="inlineStr"/>
    </row>
    <row r="192">
      <c r="A192" s="17" t="n">
        <v>191</v>
      </c>
      <c r="B192" s="17" t="inlineStr">
        <is>
          <t>대한약품공업(주)</t>
        </is>
      </c>
      <c r="C192" s="17" t="inlineStr">
        <is>
          <t>대한약품공업</t>
        </is>
      </c>
      <c r="D192" s="27" t="inlineStr">
        <is>
          <t>Tier C</t>
        </is>
      </c>
      <c r="E192" s="17" t="n">
        <v>13</v>
      </c>
      <c r="F192" s="17" t="inlineStr"/>
      <c r="G192" s="23" t="inlineStr"/>
      <c r="H192" s="22" t="inlineStr">
        <is>
          <t>미확인</t>
        </is>
      </c>
      <c r="I192" s="17" t="n">
        <v>1</v>
      </c>
      <c r="J192" s="17" t="n">
        <v>1</v>
      </c>
      <c r="K192" s="17" t="inlineStr">
        <is>
          <t>Y</t>
        </is>
      </c>
      <c r="L192" s="17" t="inlineStr"/>
      <c r="M192" s="17" t="inlineStr">
        <is>
          <t>Y</t>
        </is>
      </c>
      <c r="N192" s="17" t="inlineStr"/>
      <c r="O192" s="17" t="inlineStr">
        <is>
          <t>경기도</t>
        </is>
      </c>
      <c r="P192" s="17" t="inlineStr">
        <is>
          <t>미확인</t>
        </is>
      </c>
      <c r="Q192" s="17" t="inlineStr"/>
      <c r="R192" s="17" t="inlineStr">
        <is>
          <t>QMS+LIMS</t>
        </is>
      </c>
      <c r="S192" s="24" t="n">
        <v>47228</v>
      </c>
      <c r="T192" s="17" t="inlineStr"/>
    </row>
    <row r="193">
      <c r="A193" s="17" t="n">
        <v>192</v>
      </c>
      <c r="B193" s="17" t="inlineStr">
        <is>
          <t>덕산약품공업(주)</t>
        </is>
      </c>
      <c r="C193" s="17" t="inlineStr">
        <is>
          <t>덕산약품공업</t>
        </is>
      </c>
      <c r="D193" s="27" t="inlineStr">
        <is>
          <t>Tier C</t>
        </is>
      </c>
      <c r="E193" s="17" t="n">
        <v>13</v>
      </c>
      <c r="F193" s="17" t="inlineStr"/>
      <c r="G193" s="23" t="inlineStr"/>
      <c r="H193" s="22" t="inlineStr">
        <is>
          <t>미확인</t>
        </is>
      </c>
      <c r="I193" s="17" t="n">
        <v>1</v>
      </c>
      <c r="J193" s="17" t="n">
        <v>1</v>
      </c>
      <c r="K193" s="17" t="inlineStr"/>
      <c r="L193" s="17" t="inlineStr">
        <is>
          <t>Y</t>
        </is>
      </c>
      <c r="M193" s="17" t="inlineStr"/>
      <c r="N193" s="17" t="inlineStr"/>
      <c r="O193" s="17" t="inlineStr">
        <is>
          <t>경기도</t>
        </is>
      </c>
      <c r="P193" s="17" t="inlineStr">
        <is>
          <t>031-495-4055</t>
        </is>
      </c>
      <c r="Q193" s="17" t="inlineStr"/>
      <c r="R193" s="17" t="inlineStr">
        <is>
          <t>QMS+LIMS</t>
        </is>
      </c>
      <c r="S193" s="24" t="n">
        <v>46516</v>
      </c>
      <c r="T193" s="17" t="inlineStr"/>
    </row>
    <row r="194">
      <c r="A194" s="17" t="n">
        <v>193</v>
      </c>
      <c r="B194" s="17" t="inlineStr">
        <is>
          <t>동광제약(주)</t>
        </is>
      </c>
      <c r="C194" s="17" t="inlineStr">
        <is>
          <t>동광제약</t>
        </is>
      </c>
      <c r="D194" s="27" t="inlineStr">
        <is>
          <t>Tier C</t>
        </is>
      </c>
      <c r="E194" s="17" t="n">
        <v>13</v>
      </c>
      <c r="F194" s="17" t="inlineStr"/>
      <c r="G194" s="23" t="inlineStr"/>
      <c r="H194" s="22" t="inlineStr">
        <is>
          <t>미확인</t>
        </is>
      </c>
      <c r="I194" s="17" t="n">
        <v>1</v>
      </c>
      <c r="J194" s="17" t="n">
        <v>1</v>
      </c>
      <c r="K194" s="17" t="inlineStr">
        <is>
          <t>Y</t>
        </is>
      </c>
      <c r="L194" s="17" t="inlineStr"/>
      <c r="M194" s="17" t="inlineStr">
        <is>
          <t>Y</t>
        </is>
      </c>
      <c r="N194" s="17" t="inlineStr"/>
      <c r="O194" s="17" t="inlineStr">
        <is>
          <t>경기도</t>
        </is>
      </c>
      <c r="P194" s="17" t="inlineStr">
        <is>
          <t>02-776-7641</t>
        </is>
      </c>
      <c r="Q194" s="17" t="inlineStr"/>
      <c r="R194" s="17" t="inlineStr">
        <is>
          <t>QMS+LIMS</t>
        </is>
      </c>
      <c r="S194" s="24" t="n">
        <v>46642</v>
      </c>
      <c r="T194" s="17" t="inlineStr"/>
    </row>
    <row r="195">
      <c r="A195" s="17" t="n">
        <v>194</v>
      </c>
      <c r="B195" s="17" t="inlineStr">
        <is>
          <t>동성제약(주)</t>
        </is>
      </c>
      <c r="C195" s="17" t="inlineStr">
        <is>
          <t>동성제약</t>
        </is>
      </c>
      <c r="D195" s="27" t="inlineStr">
        <is>
          <t>Tier C</t>
        </is>
      </c>
      <c r="E195" s="17" t="n">
        <v>13</v>
      </c>
      <c r="F195" s="17" t="inlineStr">
        <is>
          <t>Y</t>
        </is>
      </c>
      <c r="G195" s="23" t="inlineStr">
        <is>
          <t>002210</t>
        </is>
      </c>
      <c r="H195" s="22" t="inlineStr">
        <is>
          <t>미확인</t>
        </is>
      </c>
      <c r="I195" s="17" t="n">
        <v>1</v>
      </c>
      <c r="J195" s="17" t="n">
        <v>1</v>
      </c>
      <c r="K195" s="17" t="inlineStr">
        <is>
          <t>Y</t>
        </is>
      </c>
      <c r="L195" s="17" t="inlineStr"/>
      <c r="M195" s="17" t="inlineStr"/>
      <c r="N195" s="17" t="inlineStr"/>
      <c r="O195" s="17" t="inlineStr">
        <is>
          <t>충청남도</t>
        </is>
      </c>
      <c r="P195" s="17" t="inlineStr">
        <is>
          <t>041-420-5430</t>
        </is>
      </c>
      <c r="Q195" s="17" t="inlineStr">
        <is>
          <t>http://dongsung-pharm.co.kr</t>
        </is>
      </c>
      <c r="R195" s="17" t="inlineStr">
        <is>
          <t>EDMS</t>
        </is>
      </c>
      <c r="S195" s="24" t="n">
        <v>47228</v>
      </c>
      <c r="T195" s="17" t="inlineStr"/>
    </row>
    <row r="196">
      <c r="A196" s="17" t="n">
        <v>195</v>
      </c>
      <c r="B196" s="17" t="inlineStr">
        <is>
          <t>삼성서울병원</t>
        </is>
      </c>
      <c r="C196" s="17" t="inlineStr">
        <is>
          <t>삼성서울병원</t>
        </is>
      </c>
      <c r="D196" s="27" t="inlineStr">
        <is>
          <t>Tier C</t>
        </is>
      </c>
      <c r="E196" s="17" t="n">
        <v>13</v>
      </c>
      <c r="F196" s="17" t="inlineStr"/>
      <c r="G196" s="23" t="inlineStr"/>
      <c r="H196" s="22" t="inlineStr">
        <is>
          <t>미확인</t>
        </is>
      </c>
      <c r="I196" s="17" t="n">
        <v>1</v>
      </c>
      <c r="J196" s="17" t="n">
        <v>1</v>
      </c>
      <c r="K196" s="17" t="inlineStr">
        <is>
          <t>Y</t>
        </is>
      </c>
      <c r="L196" s="17" t="inlineStr"/>
      <c r="M196" s="17" t="inlineStr">
        <is>
          <t>Y</t>
        </is>
      </c>
      <c r="N196" s="17" t="inlineStr"/>
      <c r="O196" s="17" t="inlineStr">
        <is>
          <t>서울특별시</t>
        </is>
      </c>
      <c r="P196" s="17" t="inlineStr">
        <is>
          <t>미확인</t>
        </is>
      </c>
      <c r="Q196" s="17" t="inlineStr"/>
      <c r="R196" s="17" t="inlineStr">
        <is>
          <t>QMS+LIMS</t>
        </is>
      </c>
      <c r="S196" s="24" t="n">
        <v>47249</v>
      </c>
      <c r="T196" s="17" t="inlineStr"/>
    </row>
    <row r="197">
      <c r="A197" s="17" t="n">
        <v>196</v>
      </c>
      <c r="B197" s="17" t="inlineStr">
        <is>
          <t>삼아제약(주)</t>
        </is>
      </c>
      <c r="C197" s="17" t="inlineStr">
        <is>
          <t>삼아제약</t>
        </is>
      </c>
      <c r="D197" s="27" t="inlineStr">
        <is>
          <t>Tier C</t>
        </is>
      </c>
      <c r="E197" s="17" t="n">
        <v>13</v>
      </c>
      <c r="F197" s="17" t="inlineStr">
        <is>
          <t>Y</t>
        </is>
      </c>
      <c r="G197" s="23" t="inlineStr">
        <is>
          <t>009300</t>
        </is>
      </c>
      <c r="H197" s="22" t="inlineStr">
        <is>
          <t>미확인</t>
        </is>
      </c>
      <c r="I197" s="17" t="n">
        <v>1</v>
      </c>
      <c r="J197" s="17" t="n">
        <v>1</v>
      </c>
      <c r="K197" s="17" t="inlineStr">
        <is>
          <t>Y</t>
        </is>
      </c>
      <c r="L197" s="17" t="inlineStr"/>
      <c r="M197" s="17" t="inlineStr"/>
      <c r="N197" s="17" t="inlineStr"/>
      <c r="O197" s="17" t="inlineStr">
        <is>
          <t>강원특별자치도</t>
        </is>
      </c>
      <c r="P197" s="17" t="inlineStr">
        <is>
          <t>2056-7200</t>
        </is>
      </c>
      <c r="Q197" s="17" t="inlineStr">
        <is>
          <t>http://www.samapharm.co.kr</t>
        </is>
      </c>
      <c r="R197" s="17" t="inlineStr">
        <is>
          <t>EDMS</t>
        </is>
      </c>
      <c r="S197" s="24" t="n">
        <v>46836</v>
      </c>
      <c r="T197" s="17" t="inlineStr"/>
    </row>
    <row r="198">
      <c r="A198" s="17" t="n">
        <v>197</v>
      </c>
      <c r="B198" s="17" t="inlineStr">
        <is>
          <t>삼양화학공업(주)</t>
        </is>
      </c>
      <c r="C198" s="17" t="inlineStr">
        <is>
          <t>삼양화학공업</t>
        </is>
      </c>
      <c r="D198" s="27" t="inlineStr">
        <is>
          <t>Tier C</t>
        </is>
      </c>
      <c r="E198" s="17" t="n">
        <v>13</v>
      </c>
      <c r="F198" s="17" t="inlineStr"/>
      <c r="G198" s="23" t="inlineStr"/>
      <c r="H198" s="22" t="inlineStr">
        <is>
          <t>미확인</t>
        </is>
      </c>
      <c r="I198" s="17" t="n">
        <v>1</v>
      </c>
      <c r="J198" s="17" t="n">
        <v>1</v>
      </c>
      <c r="K198" s="17" t="inlineStr">
        <is>
          <t>Y</t>
        </is>
      </c>
      <c r="L198" s="17" t="inlineStr"/>
      <c r="M198" s="17" t="inlineStr">
        <is>
          <t>Y</t>
        </is>
      </c>
      <c r="N198" s="17" t="inlineStr"/>
      <c r="O198" s="17" t="inlineStr">
        <is>
          <t>경상남도</t>
        </is>
      </c>
      <c r="P198" s="17" t="inlineStr">
        <is>
          <t>미확인</t>
        </is>
      </c>
      <c r="Q198" s="17" t="inlineStr"/>
      <c r="R198" s="17" t="inlineStr">
        <is>
          <t>QMS+LIMS</t>
        </is>
      </c>
      <c r="S198" s="24" t="n">
        <v>47039</v>
      </c>
      <c r="T198" s="17" t="inlineStr"/>
    </row>
    <row r="199">
      <c r="A199" s="17" t="n">
        <v>198</v>
      </c>
      <c r="B199" s="17" t="inlineStr">
        <is>
          <t>삼익제약(주)</t>
        </is>
      </c>
      <c r="C199" s="17" t="inlineStr">
        <is>
          <t>삼익제약</t>
        </is>
      </c>
      <c r="D199" s="27" t="inlineStr">
        <is>
          <t>Tier C</t>
        </is>
      </c>
      <c r="E199" s="17" t="n">
        <v>13</v>
      </c>
      <c r="F199" s="17" t="inlineStr">
        <is>
          <t>Y</t>
        </is>
      </c>
      <c r="G199" s="23" t="inlineStr">
        <is>
          <t>014950</t>
        </is>
      </c>
      <c r="H199" s="22" t="inlineStr">
        <is>
          <t>미확인</t>
        </is>
      </c>
      <c r="I199" s="17" t="n">
        <v>1</v>
      </c>
      <c r="J199" s="17" t="n">
        <v>1</v>
      </c>
      <c r="K199" s="17" t="inlineStr">
        <is>
          <t>Y</t>
        </is>
      </c>
      <c r="L199" s="17" t="inlineStr"/>
      <c r="M199" s="17" t="inlineStr"/>
      <c r="N199" s="17" t="inlineStr"/>
      <c r="O199" s="17" t="inlineStr">
        <is>
          <t>인천광역시</t>
        </is>
      </c>
      <c r="P199" s="17" t="inlineStr">
        <is>
          <t>032-519-6061</t>
        </is>
      </c>
      <c r="Q199" s="17" t="inlineStr">
        <is>
          <t>http://www.samik.co.kr</t>
        </is>
      </c>
      <c r="R199" s="17" t="inlineStr">
        <is>
          <t>EDMS</t>
        </is>
      </c>
      <c r="S199" s="24" t="n">
        <v>46842</v>
      </c>
      <c r="T199" s="17" t="inlineStr"/>
    </row>
    <row r="200">
      <c r="A200" s="17" t="n">
        <v>199</v>
      </c>
      <c r="B200" s="17" t="inlineStr">
        <is>
          <t>삼일제약(주)</t>
        </is>
      </c>
      <c r="C200" s="17" t="inlineStr">
        <is>
          <t>삼일제약</t>
        </is>
      </c>
      <c r="D200" s="27" t="inlineStr">
        <is>
          <t>Tier C</t>
        </is>
      </c>
      <c r="E200" s="17" t="n">
        <v>13</v>
      </c>
      <c r="F200" s="17" t="inlineStr">
        <is>
          <t>Y</t>
        </is>
      </c>
      <c r="G200" s="23" t="inlineStr">
        <is>
          <t>000520</t>
        </is>
      </c>
      <c r="H200" s="22" t="inlineStr">
        <is>
          <t>미확인</t>
        </is>
      </c>
      <c r="I200" s="17" t="n">
        <v>1</v>
      </c>
      <c r="J200" s="17" t="n">
        <v>1</v>
      </c>
      <c r="K200" s="17" t="inlineStr">
        <is>
          <t>Y</t>
        </is>
      </c>
      <c r="L200" s="17" t="inlineStr"/>
      <c r="M200" s="17" t="inlineStr"/>
      <c r="N200" s="17" t="inlineStr"/>
      <c r="O200" s="17" t="inlineStr">
        <is>
          <t>경기도</t>
        </is>
      </c>
      <c r="P200" s="17" t="inlineStr">
        <is>
          <t>031-492-4066</t>
        </is>
      </c>
      <c r="Q200" s="17" t="inlineStr">
        <is>
          <t>http://www.samil-pharm.com</t>
        </is>
      </c>
      <c r="R200" s="17" t="inlineStr">
        <is>
          <t>EDMS</t>
        </is>
      </c>
      <c r="S200" s="24" t="n">
        <v>46850</v>
      </c>
      <c r="T200" s="17" t="inlineStr"/>
    </row>
    <row r="201">
      <c r="A201" s="17" t="n">
        <v>200</v>
      </c>
      <c r="B201" s="17" t="inlineStr">
        <is>
          <t>신신제약(주)</t>
        </is>
      </c>
      <c r="C201" s="17" t="inlineStr">
        <is>
          <t>신신제약</t>
        </is>
      </c>
      <c r="D201" s="27" t="inlineStr">
        <is>
          <t>Tier C</t>
        </is>
      </c>
      <c r="E201" s="17" t="n">
        <v>13</v>
      </c>
      <c r="F201" s="17" t="inlineStr">
        <is>
          <t>Y</t>
        </is>
      </c>
      <c r="G201" s="23" t="inlineStr">
        <is>
          <t>002800</t>
        </is>
      </c>
      <c r="H201" s="22" t="inlineStr">
        <is>
          <t>미확인</t>
        </is>
      </c>
      <c r="I201" s="17" t="n">
        <v>1</v>
      </c>
      <c r="J201" s="17" t="n">
        <v>1</v>
      </c>
      <c r="K201" s="17" t="inlineStr">
        <is>
          <t>Y</t>
        </is>
      </c>
      <c r="L201" s="17" t="inlineStr"/>
      <c r="M201" s="17" t="inlineStr"/>
      <c r="N201" s="17" t="inlineStr"/>
      <c r="O201" s="17" t="inlineStr">
        <is>
          <t>세종특별자치시</t>
        </is>
      </c>
      <c r="P201" s="17" t="inlineStr">
        <is>
          <t>031-776-1150</t>
        </is>
      </c>
      <c r="Q201" s="17" t="inlineStr">
        <is>
          <t>http://www.sinsin.com</t>
        </is>
      </c>
      <c r="R201" s="17" t="inlineStr">
        <is>
          <t>EDMS</t>
        </is>
      </c>
      <c r="S201" s="24" t="n">
        <v>47053</v>
      </c>
      <c r="T201" s="17" t="inlineStr"/>
    </row>
    <row r="202">
      <c r="A202" s="17" t="n">
        <v>201</v>
      </c>
      <c r="B202" s="17" t="inlineStr">
        <is>
          <t>아이큐어(주)</t>
        </is>
      </c>
      <c r="C202" s="17" t="inlineStr">
        <is>
          <t>아이큐어</t>
        </is>
      </c>
      <c r="D202" s="27" t="inlineStr">
        <is>
          <t>Tier C</t>
        </is>
      </c>
      <c r="E202" s="17" t="n">
        <v>13</v>
      </c>
      <c r="F202" s="17" t="inlineStr">
        <is>
          <t>Y</t>
        </is>
      </c>
      <c r="G202" s="23" t="inlineStr">
        <is>
          <t>175250</t>
        </is>
      </c>
      <c r="H202" s="22" t="inlineStr">
        <is>
          <t>미확인</t>
        </is>
      </c>
      <c r="I202" s="17" t="n">
        <v>1</v>
      </c>
      <c r="J202" s="17" t="n">
        <v>1</v>
      </c>
      <c r="K202" s="17" t="inlineStr">
        <is>
          <t>Y</t>
        </is>
      </c>
      <c r="L202" s="17" t="inlineStr"/>
      <c r="M202" s="17" t="inlineStr"/>
      <c r="N202" s="17" t="inlineStr"/>
      <c r="O202" s="17" t="inlineStr">
        <is>
          <t>전북특별자치도</t>
        </is>
      </c>
      <c r="P202" s="17" t="inlineStr">
        <is>
          <t>미확인</t>
        </is>
      </c>
      <c r="Q202" s="17" t="inlineStr">
        <is>
          <t>http://icure.co.kr</t>
        </is>
      </c>
      <c r="R202" s="17" t="inlineStr">
        <is>
          <t>EDMS</t>
        </is>
      </c>
      <c r="S202" s="24" t="n">
        <v>46827</v>
      </c>
      <c r="T202" s="17" t="inlineStr"/>
    </row>
    <row r="203">
      <c r="A203" s="17" t="n">
        <v>202</v>
      </c>
      <c r="B203" s="17" t="inlineStr">
        <is>
          <t>아주약품(주)</t>
        </is>
      </c>
      <c r="C203" s="17" t="inlineStr">
        <is>
          <t>아주약품</t>
        </is>
      </c>
      <c r="D203" s="27" t="inlineStr">
        <is>
          <t>Tier C</t>
        </is>
      </c>
      <c r="E203" s="17" t="n">
        <v>13</v>
      </c>
      <c r="F203" s="17" t="inlineStr"/>
      <c r="G203" s="23" t="inlineStr"/>
      <c r="H203" s="22" t="inlineStr">
        <is>
          <t>미확인</t>
        </is>
      </c>
      <c r="I203" s="17" t="n">
        <v>1</v>
      </c>
      <c r="J203" s="17" t="n">
        <v>1</v>
      </c>
      <c r="K203" s="17" t="inlineStr">
        <is>
          <t>Y</t>
        </is>
      </c>
      <c r="L203" s="17" t="inlineStr"/>
      <c r="M203" s="17" t="inlineStr">
        <is>
          <t>Y</t>
        </is>
      </c>
      <c r="N203" s="17" t="inlineStr"/>
      <c r="O203" s="17" t="inlineStr">
        <is>
          <t>경기도</t>
        </is>
      </c>
      <c r="P203" s="17" t="inlineStr">
        <is>
          <t>2630-0700</t>
        </is>
      </c>
      <c r="Q203" s="17" t="inlineStr"/>
      <c r="R203" s="17" t="inlineStr">
        <is>
          <t>QMS+LIMS</t>
        </is>
      </c>
      <c r="S203" s="24" t="n">
        <v>47172</v>
      </c>
      <c r="T203" s="17" t="inlineStr"/>
    </row>
    <row r="204">
      <c r="A204" s="17" t="n">
        <v>203</v>
      </c>
      <c r="B204" s="17" t="inlineStr">
        <is>
          <t>위더스제약(주)</t>
        </is>
      </c>
      <c r="C204" s="17" t="inlineStr">
        <is>
          <t>위더스제약</t>
        </is>
      </c>
      <c r="D204" s="27" t="inlineStr">
        <is>
          <t>Tier C</t>
        </is>
      </c>
      <c r="E204" s="17" t="n">
        <v>13</v>
      </c>
      <c r="F204" s="17" t="inlineStr">
        <is>
          <t>Y</t>
        </is>
      </c>
      <c r="G204" s="23" t="inlineStr">
        <is>
          <t>330350</t>
        </is>
      </c>
      <c r="H204" s="22" t="inlineStr">
        <is>
          <t>미확인</t>
        </is>
      </c>
      <c r="I204" s="17" t="n">
        <v>1</v>
      </c>
      <c r="J204" s="17" t="n">
        <v>1</v>
      </c>
      <c r="K204" s="17" t="inlineStr">
        <is>
          <t>Y</t>
        </is>
      </c>
      <c r="L204" s="17" t="inlineStr"/>
      <c r="M204" s="17" t="inlineStr"/>
      <c r="N204" s="17" t="inlineStr"/>
      <c r="O204" s="17" t="inlineStr">
        <is>
          <t>경기도</t>
        </is>
      </c>
      <c r="P204" s="17" t="inlineStr">
        <is>
          <t>미확인</t>
        </is>
      </c>
      <c r="Q204" s="17" t="inlineStr">
        <is>
          <t>http://withuspharm.com</t>
        </is>
      </c>
      <c r="R204" s="17" t="inlineStr">
        <is>
          <t>EDMS</t>
        </is>
      </c>
      <c r="S204" s="24" t="n">
        <v>46807</v>
      </c>
      <c r="T204" s="17" t="inlineStr"/>
    </row>
    <row r="205">
      <c r="A205" s="17" t="n">
        <v>204</v>
      </c>
      <c r="B205" s="17" t="inlineStr">
        <is>
          <t>재단법인아산사회복지재단서울아산병원</t>
        </is>
      </c>
      <c r="C205" s="17" t="inlineStr">
        <is>
          <t>재단법인아산사회복지재단서울아산병원</t>
        </is>
      </c>
      <c r="D205" s="27" t="inlineStr">
        <is>
          <t>Tier C</t>
        </is>
      </c>
      <c r="E205" s="17" t="n">
        <v>13</v>
      </c>
      <c r="F205" s="17" t="inlineStr"/>
      <c r="G205" s="23" t="inlineStr"/>
      <c r="H205" s="22" t="inlineStr">
        <is>
          <t>미확인</t>
        </is>
      </c>
      <c r="I205" s="17" t="n">
        <v>1</v>
      </c>
      <c r="J205" s="17" t="n">
        <v>1</v>
      </c>
      <c r="K205" s="17" t="inlineStr">
        <is>
          <t>Y</t>
        </is>
      </c>
      <c r="L205" s="17" t="inlineStr"/>
      <c r="M205" s="17" t="inlineStr">
        <is>
          <t>Y</t>
        </is>
      </c>
      <c r="N205" s="17" t="inlineStr"/>
      <c r="O205" s="17" t="inlineStr">
        <is>
          <t>서울특별시</t>
        </is>
      </c>
      <c r="P205" s="17" t="inlineStr">
        <is>
          <t>미확인</t>
        </is>
      </c>
      <c r="Q205" s="17" t="inlineStr"/>
      <c r="R205" s="17" t="inlineStr">
        <is>
          <t>QMS+LIMS</t>
        </is>
      </c>
      <c r="S205" s="24" t="n">
        <v>47172</v>
      </c>
      <c r="T205" s="17" t="inlineStr"/>
    </row>
    <row r="206">
      <c r="A206" s="17" t="n">
        <v>205</v>
      </c>
      <c r="B206" s="17" t="inlineStr">
        <is>
          <t>전남대학교병원</t>
        </is>
      </c>
      <c r="C206" s="17" t="inlineStr">
        <is>
          <t>전남대학교병원</t>
        </is>
      </c>
      <c r="D206" s="27" t="inlineStr">
        <is>
          <t>Tier C</t>
        </is>
      </c>
      <c r="E206" s="17" t="n">
        <v>13</v>
      </c>
      <c r="F206" s="17" t="inlineStr"/>
      <c r="G206" s="23" t="inlineStr"/>
      <c r="H206" s="22" t="inlineStr">
        <is>
          <t>미확인</t>
        </is>
      </c>
      <c r="I206" s="17" t="n">
        <v>1</v>
      </c>
      <c r="J206" s="17" t="n">
        <v>1</v>
      </c>
      <c r="K206" s="17" t="inlineStr">
        <is>
          <t>Y</t>
        </is>
      </c>
      <c r="L206" s="17" t="inlineStr"/>
      <c r="M206" s="17" t="inlineStr">
        <is>
          <t>Y</t>
        </is>
      </c>
      <c r="N206" s="17" t="inlineStr"/>
      <c r="O206" s="17" t="inlineStr">
        <is>
          <t>광주광역시</t>
        </is>
      </c>
      <c r="P206" s="17" t="inlineStr">
        <is>
          <t>062-220-6877</t>
        </is>
      </c>
      <c r="Q206" s="17" t="inlineStr"/>
      <c r="R206" s="17" t="inlineStr">
        <is>
          <t>QMS+LIMS</t>
        </is>
      </c>
      <c r="S206" s="24" t="n">
        <v>46983</v>
      </c>
      <c r="T206" s="17" t="inlineStr"/>
    </row>
    <row r="207">
      <c r="A207" s="17" t="n">
        <v>206</v>
      </c>
      <c r="B207" s="17" t="inlineStr">
        <is>
          <t>제이더블유생명과학(주)</t>
        </is>
      </c>
      <c r="C207" s="17" t="inlineStr">
        <is>
          <t>제이더블유생명과학</t>
        </is>
      </c>
      <c r="D207" s="27" t="inlineStr">
        <is>
          <t>Tier C</t>
        </is>
      </c>
      <c r="E207" s="17" t="n">
        <v>13</v>
      </c>
      <c r="F207" s="17" t="inlineStr"/>
      <c r="G207" s="23" t="inlineStr"/>
      <c r="H207" s="22" t="inlineStr">
        <is>
          <t>미확인</t>
        </is>
      </c>
      <c r="I207" s="17" t="n">
        <v>1</v>
      </c>
      <c r="J207" s="17" t="n">
        <v>1</v>
      </c>
      <c r="K207" s="17" t="inlineStr">
        <is>
          <t>Y</t>
        </is>
      </c>
      <c r="L207" s="17" t="inlineStr"/>
      <c r="M207" s="17" t="inlineStr">
        <is>
          <t>Y</t>
        </is>
      </c>
      <c r="N207" s="17" t="inlineStr"/>
      <c r="O207" s="17" t="inlineStr">
        <is>
          <t>충청남도</t>
        </is>
      </c>
      <c r="P207" s="17" t="inlineStr">
        <is>
          <t>02-840-6828</t>
        </is>
      </c>
      <c r="Q207" s="17" t="inlineStr"/>
      <c r="R207" s="17" t="inlineStr">
        <is>
          <t>QMS+LIMS</t>
        </is>
      </c>
      <c r="S207" s="24" t="n">
        <v>46941</v>
      </c>
      <c r="T207" s="17" t="inlineStr"/>
    </row>
    <row r="208">
      <c r="A208" s="17" t="n">
        <v>207</v>
      </c>
      <c r="B208" s="17" t="inlineStr">
        <is>
          <t>제주대학교병원</t>
        </is>
      </c>
      <c r="C208" s="17" t="inlineStr">
        <is>
          <t>제주대학교병원</t>
        </is>
      </c>
      <c r="D208" s="27" t="inlineStr">
        <is>
          <t>Tier C</t>
        </is>
      </c>
      <c r="E208" s="17" t="n">
        <v>13</v>
      </c>
      <c r="F208" s="17" t="inlineStr"/>
      <c r="G208" s="23" t="inlineStr"/>
      <c r="H208" s="22" t="inlineStr">
        <is>
          <t>미확인</t>
        </is>
      </c>
      <c r="I208" s="17" t="n">
        <v>1</v>
      </c>
      <c r="J208" s="17" t="n">
        <v>1</v>
      </c>
      <c r="K208" s="17" t="inlineStr">
        <is>
          <t>Y</t>
        </is>
      </c>
      <c r="L208" s="17" t="inlineStr"/>
      <c r="M208" s="17" t="inlineStr">
        <is>
          <t>Y</t>
        </is>
      </c>
      <c r="N208" s="17" t="inlineStr"/>
      <c r="O208" s="17" t="inlineStr">
        <is>
          <t>제주특별자치도</t>
        </is>
      </c>
      <c r="P208" s="17" t="inlineStr">
        <is>
          <t>064-717-1301</t>
        </is>
      </c>
      <c r="Q208" s="17" t="inlineStr"/>
      <c r="R208" s="17" t="inlineStr">
        <is>
          <t>QMS+LIMS</t>
        </is>
      </c>
      <c r="S208" s="24" t="n">
        <v>47254</v>
      </c>
      <c r="T208" s="17" t="inlineStr"/>
    </row>
    <row r="209">
      <c r="A209" s="17" t="n">
        <v>208</v>
      </c>
      <c r="B209" s="17" t="inlineStr">
        <is>
          <t>조아제약(주)</t>
        </is>
      </c>
      <c r="C209" s="17" t="inlineStr">
        <is>
          <t>조아제약</t>
        </is>
      </c>
      <c r="D209" s="27" t="inlineStr">
        <is>
          <t>Tier C</t>
        </is>
      </c>
      <c r="E209" s="17" t="n">
        <v>13</v>
      </c>
      <c r="F209" s="17" t="inlineStr">
        <is>
          <t>Y</t>
        </is>
      </c>
      <c r="G209" s="23" t="inlineStr">
        <is>
          <t>034940</t>
        </is>
      </c>
      <c r="H209" s="22" t="inlineStr">
        <is>
          <t>미확인</t>
        </is>
      </c>
      <c r="I209" s="17" t="n">
        <v>1</v>
      </c>
      <c r="J209" s="17" t="n">
        <v>1</v>
      </c>
      <c r="K209" s="17" t="inlineStr">
        <is>
          <t>Y</t>
        </is>
      </c>
      <c r="L209" s="17" t="inlineStr"/>
      <c r="M209" s="17" t="inlineStr"/>
      <c r="N209" s="17" t="inlineStr"/>
      <c r="O209" s="17" t="inlineStr">
        <is>
          <t>경상남도</t>
        </is>
      </c>
      <c r="P209" s="17" t="inlineStr">
        <is>
          <t>055-580-5302</t>
        </is>
      </c>
      <c r="Q209" s="17" t="inlineStr">
        <is>
          <t>http://www.choa.co.kr</t>
        </is>
      </c>
      <c r="R209" s="17" t="inlineStr">
        <is>
          <t>EDMS</t>
        </is>
      </c>
      <c r="S209" s="24" t="n">
        <v>46947</v>
      </c>
      <c r="T209" s="17" t="inlineStr"/>
    </row>
    <row r="210">
      <c r="A210" s="17" t="n">
        <v>209</v>
      </c>
      <c r="B210" s="17" t="inlineStr">
        <is>
          <t>주식회사넥스제너</t>
        </is>
      </c>
      <c r="C210" s="17" t="inlineStr">
        <is>
          <t>넥스제너</t>
        </is>
      </c>
      <c r="D210" s="27" t="inlineStr">
        <is>
          <t>Tier C</t>
        </is>
      </c>
      <c r="E210" s="17" t="n">
        <v>13</v>
      </c>
      <c r="F210" s="17" t="inlineStr"/>
      <c r="G210" s="23" t="inlineStr"/>
      <c r="H210" s="22" t="inlineStr">
        <is>
          <t>미확인</t>
        </is>
      </c>
      <c r="I210" s="17" t="n">
        <v>1</v>
      </c>
      <c r="J210" s="17" t="n">
        <v>1</v>
      </c>
      <c r="K210" s="17" t="inlineStr"/>
      <c r="L210" s="17" t="inlineStr">
        <is>
          <t>Y</t>
        </is>
      </c>
      <c r="M210" s="17" t="inlineStr"/>
      <c r="N210" s="17" t="inlineStr"/>
      <c r="O210" s="17" t="inlineStr">
        <is>
          <t>경기도</t>
        </is>
      </c>
      <c r="P210" s="17" t="inlineStr">
        <is>
          <t>031-376-1676</t>
        </is>
      </c>
      <c r="Q210" s="17" t="inlineStr"/>
      <c r="R210" s="17" t="inlineStr">
        <is>
          <t>QMS+LIMS</t>
        </is>
      </c>
      <c r="S210" s="24" t="n">
        <v>46485</v>
      </c>
      <c r="T210" s="17" t="inlineStr"/>
    </row>
    <row r="211">
      <c r="A211" s="17" t="n">
        <v>210</v>
      </c>
      <c r="B211" s="17" t="inlineStr">
        <is>
          <t>주식회사뉴큐어엠</t>
        </is>
      </c>
      <c r="C211" s="17" t="inlineStr">
        <is>
          <t>뉴큐어엠</t>
        </is>
      </c>
      <c r="D211" s="27" t="inlineStr">
        <is>
          <t>Tier C</t>
        </is>
      </c>
      <c r="E211" s="17" t="n">
        <v>13</v>
      </c>
      <c r="F211" s="17" t="inlineStr"/>
      <c r="G211" s="23" t="inlineStr"/>
      <c r="H211" s="22" t="inlineStr">
        <is>
          <t>미확인</t>
        </is>
      </c>
      <c r="I211" s="17" t="n">
        <v>1</v>
      </c>
      <c r="J211" s="17" t="n">
        <v>1</v>
      </c>
      <c r="K211" s="17" t="inlineStr">
        <is>
          <t>Y</t>
        </is>
      </c>
      <c r="L211" s="17" t="inlineStr"/>
      <c r="M211" s="17" t="inlineStr">
        <is>
          <t>Y</t>
        </is>
      </c>
      <c r="N211" s="17" t="inlineStr"/>
      <c r="O211" s="17" t="inlineStr">
        <is>
          <t>인천광역시</t>
        </is>
      </c>
      <c r="P211" s="17" t="inlineStr">
        <is>
          <t>032-460-9032</t>
        </is>
      </c>
      <c r="Q211" s="17" t="inlineStr"/>
      <c r="R211" s="17" t="inlineStr">
        <is>
          <t>QMS+LIMS</t>
        </is>
      </c>
      <c r="S211" s="24" t="n">
        <v>46586</v>
      </c>
      <c r="T211" s="17" t="inlineStr"/>
    </row>
    <row r="212">
      <c r="A212" s="17" t="n">
        <v>211</v>
      </c>
      <c r="B212" s="17" t="inlineStr">
        <is>
          <t>주식회사제노스</t>
        </is>
      </c>
      <c r="C212" s="17" t="inlineStr">
        <is>
          <t>제노스</t>
        </is>
      </c>
      <c r="D212" s="27" t="inlineStr">
        <is>
          <t>Tier C</t>
        </is>
      </c>
      <c r="E212" s="17" t="n">
        <v>13</v>
      </c>
      <c r="F212" s="17" t="inlineStr"/>
      <c r="G212" s="23" t="inlineStr"/>
      <c r="H212" s="22" t="inlineStr">
        <is>
          <t>미확인</t>
        </is>
      </c>
      <c r="I212" s="17" t="n">
        <v>1</v>
      </c>
      <c r="J212" s="17" t="n">
        <v>1</v>
      </c>
      <c r="K212" s="17" t="inlineStr">
        <is>
          <t>Y</t>
        </is>
      </c>
      <c r="L212" s="17" t="inlineStr"/>
      <c r="M212" s="17" t="inlineStr">
        <is>
          <t>Y</t>
        </is>
      </c>
      <c r="N212" s="17" t="inlineStr"/>
      <c r="O212" s="17" t="inlineStr">
        <is>
          <t>경기도</t>
        </is>
      </c>
      <c r="P212" s="17" t="inlineStr">
        <is>
          <t>031-888-5100</t>
        </is>
      </c>
      <c r="Q212" s="17" t="inlineStr"/>
      <c r="R212" s="17" t="inlineStr">
        <is>
          <t>QMS+LIMS</t>
        </is>
      </c>
      <c r="S212" s="24" t="n">
        <v>47276</v>
      </c>
      <c r="T212" s="17" t="inlineStr"/>
    </row>
    <row r="213">
      <c r="A213" s="17" t="n">
        <v>212</v>
      </c>
      <c r="B213" s="17" t="inlineStr">
        <is>
          <t>주식회사제뉴원사이언스</t>
        </is>
      </c>
      <c r="C213" s="17" t="inlineStr">
        <is>
          <t>제뉴원사이언스</t>
        </is>
      </c>
      <c r="D213" s="27" t="inlineStr">
        <is>
          <t>Tier C</t>
        </is>
      </c>
      <c r="E213" s="17" t="n">
        <v>13</v>
      </c>
      <c r="F213" s="17" t="inlineStr"/>
      <c r="G213" s="23" t="inlineStr"/>
      <c r="H213" s="22" t="inlineStr">
        <is>
          <t>미확인</t>
        </is>
      </c>
      <c r="I213" s="17" t="n">
        <v>1</v>
      </c>
      <c r="J213" s="17" t="n">
        <v>1</v>
      </c>
      <c r="K213" s="17" t="inlineStr">
        <is>
          <t>Y</t>
        </is>
      </c>
      <c r="L213" s="17" t="inlineStr"/>
      <c r="M213" s="17" t="inlineStr">
        <is>
          <t>Y</t>
        </is>
      </c>
      <c r="N213" s="17" t="inlineStr"/>
      <c r="O213" s="17" t="inlineStr">
        <is>
          <t>세종특별자치시</t>
        </is>
      </c>
      <c r="P213" s="17" t="inlineStr">
        <is>
          <t>080-601-0080</t>
        </is>
      </c>
      <c r="Q213" s="17" t="inlineStr"/>
      <c r="R213" s="17" t="inlineStr">
        <is>
          <t>QMS+LIMS</t>
        </is>
      </c>
      <c r="S213" s="24" t="n">
        <v>46969</v>
      </c>
      <c r="T213" s="17" t="inlineStr"/>
    </row>
    <row r="214">
      <c r="A214" s="17" t="n">
        <v>213</v>
      </c>
      <c r="B214" s="17" t="inlineStr">
        <is>
          <t>진양제약(주)</t>
        </is>
      </c>
      <c r="C214" s="17" t="inlineStr">
        <is>
          <t>진양제약</t>
        </is>
      </c>
      <c r="D214" s="27" t="inlineStr">
        <is>
          <t>Tier C</t>
        </is>
      </c>
      <c r="E214" s="17" t="n">
        <v>13</v>
      </c>
      <c r="F214" s="17" t="inlineStr">
        <is>
          <t>Y</t>
        </is>
      </c>
      <c r="G214" s="23" t="inlineStr">
        <is>
          <t>007370</t>
        </is>
      </c>
      <c r="H214" s="22" t="inlineStr">
        <is>
          <t>미확인</t>
        </is>
      </c>
      <c r="I214" s="17" t="n">
        <v>1</v>
      </c>
      <c r="J214" s="17" t="n">
        <v>1</v>
      </c>
      <c r="K214" s="17" t="inlineStr">
        <is>
          <t>Y</t>
        </is>
      </c>
      <c r="L214" s="17" t="inlineStr"/>
      <c r="M214" s="17" t="inlineStr"/>
      <c r="N214" s="17" t="inlineStr"/>
      <c r="O214" s="17" t="inlineStr">
        <is>
          <t>강원특별자치도</t>
        </is>
      </c>
      <c r="P214" s="17" t="inlineStr">
        <is>
          <t>미확인</t>
        </is>
      </c>
      <c r="Q214" s="17" t="inlineStr">
        <is>
          <t>http://www.jinyangpharm.co.kr</t>
        </is>
      </c>
      <c r="R214" s="17" t="inlineStr">
        <is>
          <t>EDMS</t>
        </is>
      </c>
      <c r="S214" s="24" t="n">
        <v>46912</v>
      </c>
      <c r="T214" s="17" t="inlineStr"/>
    </row>
    <row r="215">
      <c r="A215" s="17" t="n">
        <v>214</v>
      </c>
      <c r="B215" s="17" t="inlineStr">
        <is>
          <t>타나베파마코리아주식회사</t>
        </is>
      </c>
      <c r="C215" s="17" t="inlineStr">
        <is>
          <t>타나베파마코리아</t>
        </is>
      </c>
      <c r="D215" s="27" t="inlineStr">
        <is>
          <t>Tier C</t>
        </is>
      </c>
      <c r="E215" s="17" t="n">
        <v>13</v>
      </c>
      <c r="F215" s="17" t="inlineStr"/>
      <c r="G215" s="23" t="inlineStr"/>
      <c r="H215" s="22" t="inlineStr">
        <is>
          <t>미확인</t>
        </is>
      </c>
      <c r="I215" s="17" t="n">
        <v>1</v>
      </c>
      <c r="J215" s="17" t="n">
        <v>1</v>
      </c>
      <c r="K215" s="17" t="inlineStr">
        <is>
          <t>Y</t>
        </is>
      </c>
      <c r="L215" s="17" t="inlineStr"/>
      <c r="M215" s="17" t="inlineStr">
        <is>
          <t>Y</t>
        </is>
      </c>
      <c r="N215" s="17" t="inlineStr"/>
      <c r="O215" s="17" t="inlineStr">
        <is>
          <t>경기도</t>
        </is>
      </c>
      <c r="P215" s="17" t="inlineStr">
        <is>
          <t>02-347-5104</t>
        </is>
      </c>
      <c r="Q215" s="17" t="inlineStr"/>
      <c r="R215" s="17" t="inlineStr">
        <is>
          <t>QMS+LIMS</t>
        </is>
      </c>
      <c r="S215" s="24" t="n">
        <v>47149</v>
      </c>
      <c r="T215" s="17" t="inlineStr"/>
    </row>
    <row r="216">
      <c r="A216" s="17" t="n">
        <v>215</v>
      </c>
      <c r="B216" s="17" t="inlineStr">
        <is>
          <t>한림제약(주)</t>
        </is>
      </c>
      <c r="C216" s="17" t="inlineStr">
        <is>
          <t>한림제약</t>
        </is>
      </c>
      <c r="D216" s="27" t="inlineStr">
        <is>
          <t>Tier C</t>
        </is>
      </c>
      <c r="E216" s="17" t="n">
        <v>13</v>
      </c>
      <c r="F216" s="17" t="inlineStr"/>
      <c r="G216" s="23" t="inlineStr"/>
      <c r="H216" s="22" t="inlineStr">
        <is>
          <t>미확인</t>
        </is>
      </c>
      <c r="I216" s="17" t="n">
        <v>1</v>
      </c>
      <c r="J216" s="17" t="n">
        <v>1</v>
      </c>
      <c r="K216" s="17" t="inlineStr">
        <is>
          <t>Y</t>
        </is>
      </c>
      <c r="L216" s="17" t="inlineStr"/>
      <c r="M216" s="17" t="inlineStr">
        <is>
          <t>Y</t>
        </is>
      </c>
      <c r="N216" s="17" t="inlineStr"/>
      <c r="O216" s="17" t="inlineStr">
        <is>
          <t>경기도</t>
        </is>
      </c>
      <c r="P216" s="17" t="inlineStr">
        <is>
          <t>02-3489-6000</t>
        </is>
      </c>
      <c r="Q216" s="17" t="inlineStr"/>
      <c r="R216" s="17" t="inlineStr">
        <is>
          <t>QMS+LIMS</t>
        </is>
      </c>
      <c r="S216" s="24" t="n">
        <v>46927</v>
      </c>
      <c r="T216" s="17" t="inlineStr"/>
    </row>
    <row r="217">
      <c r="A217" s="17" t="n">
        <v>216</v>
      </c>
      <c r="B217" s="17" t="inlineStr">
        <is>
          <t>현대약품(주)</t>
        </is>
      </c>
      <c r="C217" s="17" t="inlineStr">
        <is>
          <t>현대약품</t>
        </is>
      </c>
      <c r="D217" s="27" t="inlineStr">
        <is>
          <t>Tier C</t>
        </is>
      </c>
      <c r="E217" s="17" t="n">
        <v>13</v>
      </c>
      <c r="F217" s="17" t="inlineStr">
        <is>
          <t>Y</t>
        </is>
      </c>
      <c r="G217" s="23" t="inlineStr">
        <is>
          <t>004310</t>
        </is>
      </c>
      <c r="H217" s="22" t="inlineStr">
        <is>
          <t>미확인</t>
        </is>
      </c>
      <c r="I217" s="17" t="n">
        <v>1</v>
      </c>
      <c r="J217" s="17" t="n">
        <v>1</v>
      </c>
      <c r="K217" s="17" t="inlineStr">
        <is>
          <t>Y</t>
        </is>
      </c>
      <c r="L217" s="17" t="inlineStr"/>
      <c r="M217" s="17" t="inlineStr"/>
      <c r="N217" s="17" t="inlineStr"/>
      <c r="O217" s="17" t="inlineStr">
        <is>
          <t>충청남도</t>
        </is>
      </c>
      <c r="P217" s="17" t="inlineStr">
        <is>
          <t>041-570-5114</t>
        </is>
      </c>
      <c r="Q217" s="17" t="inlineStr">
        <is>
          <t>http://www.hyundaipharm.co.kr</t>
        </is>
      </c>
      <c r="R217" s="17" t="inlineStr">
        <is>
          <t>EDMS</t>
        </is>
      </c>
      <c r="S217" s="24" t="n">
        <v>47060</v>
      </c>
      <c r="T217" s="17" t="inlineStr"/>
    </row>
    <row r="218">
      <c r="A218" s="17" t="n">
        <v>217</v>
      </c>
      <c r="B218" s="17" t="inlineStr">
        <is>
          <t>화순전남대학병원</t>
        </is>
      </c>
      <c r="C218" s="17" t="inlineStr">
        <is>
          <t>화순전남대학병원</t>
        </is>
      </c>
      <c r="D218" s="27" t="inlineStr">
        <is>
          <t>Tier C</t>
        </is>
      </c>
      <c r="E218" s="17" t="n">
        <v>13</v>
      </c>
      <c r="F218" s="17" t="inlineStr"/>
      <c r="G218" s="23" t="inlineStr"/>
      <c r="H218" s="22" t="inlineStr">
        <is>
          <t>미확인</t>
        </is>
      </c>
      <c r="I218" s="17" t="n">
        <v>1</v>
      </c>
      <c r="J218" s="17" t="n">
        <v>1</v>
      </c>
      <c r="K218" s="17" t="inlineStr">
        <is>
          <t>Y</t>
        </is>
      </c>
      <c r="L218" s="17" t="inlineStr"/>
      <c r="M218" s="17" t="inlineStr">
        <is>
          <t>Y</t>
        </is>
      </c>
      <c r="N218" s="17" t="inlineStr"/>
      <c r="O218" s="17" t="inlineStr">
        <is>
          <t>전라남도</t>
        </is>
      </c>
      <c r="P218" s="17" t="inlineStr">
        <is>
          <t>061-379-7262</t>
        </is>
      </c>
      <c r="Q218" s="17" t="inlineStr"/>
      <c r="R218" s="17" t="inlineStr">
        <is>
          <t>QMS+LIMS</t>
        </is>
      </c>
      <c r="S218" s="24" t="n">
        <v>47247</v>
      </c>
      <c r="T218" s="17" t="inlineStr"/>
    </row>
    <row r="219">
      <c r="A219" s="17" t="n">
        <v>218</v>
      </c>
      <c r="B219" s="17" t="inlineStr">
        <is>
          <t>(주)한국피엠지제약</t>
        </is>
      </c>
      <c r="C219" s="17" t="inlineStr">
        <is>
          <t>한국피엠지제약</t>
        </is>
      </c>
      <c r="D219" s="27" t="inlineStr">
        <is>
          <t>Tier C</t>
        </is>
      </c>
      <c r="E219" s="17" t="n">
        <v>11</v>
      </c>
      <c r="F219" s="17" t="inlineStr"/>
      <c r="G219" s="23" t="inlineStr"/>
      <c r="H219" s="22" t="inlineStr">
        <is>
          <t>미확인</t>
        </is>
      </c>
      <c r="I219" s="17" t="n">
        <v>1</v>
      </c>
      <c r="J219" s="17" t="n">
        <v>2</v>
      </c>
      <c r="K219" s="17" t="inlineStr">
        <is>
          <t>Y</t>
        </is>
      </c>
      <c r="L219" s="17" t="inlineStr">
        <is>
          <t>Y</t>
        </is>
      </c>
      <c r="M219" s="17" t="inlineStr"/>
      <c r="N219" s="17" t="inlineStr"/>
      <c r="O219" s="17" t="inlineStr">
        <is>
          <t>경기도</t>
        </is>
      </c>
      <c r="P219" s="17" t="inlineStr">
        <is>
          <t>031-439-5470</t>
        </is>
      </c>
      <c r="Q219" s="17" t="inlineStr"/>
      <c r="R219" s="17" t="inlineStr">
        <is>
          <t>LIMS</t>
        </is>
      </c>
      <c r="S219" s="24" t="n">
        <v>47156</v>
      </c>
      <c r="T219" s="17" t="inlineStr"/>
    </row>
    <row r="220">
      <c r="A220" s="17" t="n">
        <v>219</v>
      </c>
      <c r="B220" s="17" t="inlineStr">
        <is>
          <t>(주)한풍제약</t>
        </is>
      </c>
      <c r="C220" s="17" t="inlineStr">
        <is>
          <t>한풍제약</t>
        </is>
      </c>
      <c r="D220" s="27" t="inlineStr">
        <is>
          <t>Tier C</t>
        </is>
      </c>
      <c r="E220" s="17" t="n">
        <v>11</v>
      </c>
      <c r="F220" s="17" t="inlineStr"/>
      <c r="G220" s="23" t="inlineStr"/>
      <c r="H220" s="22" t="inlineStr">
        <is>
          <t>미확인</t>
        </is>
      </c>
      <c r="I220" s="17" t="n">
        <v>1</v>
      </c>
      <c r="J220" s="17" t="n">
        <v>2</v>
      </c>
      <c r="K220" s="17" t="inlineStr">
        <is>
          <t>Y</t>
        </is>
      </c>
      <c r="L220" s="17" t="inlineStr">
        <is>
          <t>Y</t>
        </is>
      </c>
      <c r="M220" s="17" t="inlineStr"/>
      <c r="N220" s="17" t="inlineStr"/>
      <c r="O220" s="17" t="inlineStr">
        <is>
          <t>전북특별자치도</t>
        </is>
      </c>
      <c r="P220" s="17" t="inlineStr">
        <is>
          <t>미확인</t>
        </is>
      </c>
      <c r="Q220" s="17" t="inlineStr"/>
      <c r="R220" s="17" t="inlineStr">
        <is>
          <t>LIMS</t>
        </is>
      </c>
      <c r="S220" s="24" t="n">
        <v>46798</v>
      </c>
      <c r="T220" s="17" t="inlineStr"/>
    </row>
    <row r="221">
      <c r="A221" s="17" t="n">
        <v>220</v>
      </c>
      <c r="B221" s="17" t="inlineStr">
        <is>
          <t>에스케이케미칼(주)</t>
        </is>
      </c>
      <c r="C221" s="17" t="inlineStr">
        <is>
          <t>에스케이케미칼</t>
        </is>
      </c>
      <c r="D221" s="27" t="inlineStr">
        <is>
          <t>Tier C</t>
        </is>
      </c>
      <c r="E221" s="17" t="n">
        <v>11</v>
      </c>
      <c r="F221" s="17" t="inlineStr"/>
      <c r="G221" s="23" t="inlineStr"/>
      <c r="H221" s="22" t="inlineStr">
        <is>
          <t>미확인</t>
        </is>
      </c>
      <c r="I221" s="17" t="n">
        <v>1</v>
      </c>
      <c r="J221" s="17" t="n">
        <v>2</v>
      </c>
      <c r="K221" s="17" t="inlineStr">
        <is>
          <t>Y</t>
        </is>
      </c>
      <c r="L221" s="17" t="inlineStr">
        <is>
          <t>Y</t>
        </is>
      </c>
      <c r="M221" s="17" t="inlineStr"/>
      <c r="N221" s="17" t="inlineStr"/>
      <c r="O221" s="17" t="inlineStr">
        <is>
          <t>충청북도</t>
        </is>
      </c>
      <c r="P221" s="17" t="inlineStr">
        <is>
          <t>미확인</t>
        </is>
      </c>
      <c r="Q221" s="17" t="inlineStr"/>
      <c r="R221" s="17" t="inlineStr">
        <is>
          <t>LIMS</t>
        </is>
      </c>
      <c r="S221" s="24" t="n">
        <v>46891</v>
      </c>
      <c r="T221" s="17" t="inlineStr"/>
    </row>
    <row r="222">
      <c r="A222" s="17" t="n">
        <v>221</v>
      </c>
      <c r="B222" s="17" t="inlineStr">
        <is>
          <t>한국바이오켐제약(주)</t>
        </is>
      </c>
      <c r="C222" s="17" t="inlineStr">
        <is>
          <t>한국바이오켐제약</t>
        </is>
      </c>
      <c r="D222" s="27" t="inlineStr">
        <is>
          <t>Tier C</t>
        </is>
      </c>
      <c r="E222" s="17" t="n">
        <v>11</v>
      </c>
      <c r="F222" s="17" t="inlineStr"/>
      <c r="G222" s="23" t="inlineStr"/>
      <c r="H222" s="22" t="inlineStr">
        <is>
          <t>미확인</t>
        </is>
      </c>
      <c r="I222" s="17" t="n">
        <v>1</v>
      </c>
      <c r="J222" s="17" t="n">
        <v>2</v>
      </c>
      <c r="K222" s="17" t="inlineStr">
        <is>
          <t>Y</t>
        </is>
      </c>
      <c r="L222" s="17" t="inlineStr">
        <is>
          <t>Y</t>
        </is>
      </c>
      <c r="M222" s="17" t="inlineStr"/>
      <c r="N222" s="17" t="inlineStr"/>
      <c r="O222" s="17" t="inlineStr">
        <is>
          <t>세종특별자치시</t>
        </is>
      </c>
      <c r="P222" s="17" t="inlineStr">
        <is>
          <t>044-865-5030</t>
        </is>
      </c>
      <c r="Q222" s="17" t="inlineStr"/>
      <c r="R222" s="17" t="inlineStr">
        <is>
          <t>LIMS</t>
        </is>
      </c>
      <c r="S222" s="24" t="n">
        <v>46606</v>
      </c>
      <c r="T222" s="17" t="inlineStr"/>
    </row>
    <row r="223">
      <c r="A223" s="17" t="n">
        <v>222</v>
      </c>
      <c r="B223" s="17" t="inlineStr">
        <is>
          <t>한국오츠카제약(주)</t>
        </is>
      </c>
      <c r="C223" s="17" t="inlineStr">
        <is>
          <t>한국오츠카제약</t>
        </is>
      </c>
      <c r="D223" s="27" t="inlineStr">
        <is>
          <t>Tier C</t>
        </is>
      </c>
      <c r="E223" s="17" t="n">
        <v>11</v>
      </c>
      <c r="F223" s="17" t="inlineStr"/>
      <c r="G223" s="23" t="inlineStr"/>
      <c r="H223" s="22" t="inlineStr">
        <is>
          <t>미확인</t>
        </is>
      </c>
      <c r="I223" s="17" t="n">
        <v>1</v>
      </c>
      <c r="J223" s="17" t="n">
        <v>2</v>
      </c>
      <c r="K223" s="17" t="inlineStr">
        <is>
          <t>Y</t>
        </is>
      </c>
      <c r="L223" s="17" t="inlineStr">
        <is>
          <t>Y</t>
        </is>
      </c>
      <c r="M223" s="17" t="inlineStr"/>
      <c r="N223" s="17" t="inlineStr"/>
      <c r="O223" s="17" t="inlineStr">
        <is>
          <t>경기도</t>
        </is>
      </c>
      <c r="P223" s="17" t="inlineStr">
        <is>
          <t>02-3465-3929</t>
        </is>
      </c>
      <c r="Q223" s="17" t="inlineStr"/>
      <c r="R223" s="17" t="inlineStr">
        <is>
          <t>LIMS</t>
        </is>
      </c>
      <c r="S223" s="24" t="n">
        <v>46990</v>
      </c>
      <c r="T223" s="17" t="inlineStr"/>
    </row>
    <row r="224">
      <c r="A224" s="17" t="n">
        <v>223</v>
      </c>
      <c r="B224" s="17" t="inlineStr">
        <is>
          <t>(주)마더스제약</t>
        </is>
      </c>
      <c r="C224" s="17" t="inlineStr">
        <is>
          <t>마더스제약</t>
        </is>
      </c>
      <c r="D224" s="27" t="inlineStr">
        <is>
          <t>Tier C</t>
        </is>
      </c>
      <c r="E224" s="17" t="n">
        <v>10</v>
      </c>
      <c r="F224" s="17" t="inlineStr"/>
      <c r="G224" s="23" t="inlineStr"/>
      <c r="H224" s="22" t="inlineStr">
        <is>
          <t>미확인</t>
        </is>
      </c>
      <c r="I224" s="17" t="n">
        <v>2</v>
      </c>
      <c r="J224" s="17" t="n">
        <v>2</v>
      </c>
      <c r="K224" s="17" t="inlineStr">
        <is>
          <t>Y</t>
        </is>
      </c>
      <c r="L224" s="17" t="inlineStr"/>
      <c r="M224" s="17" t="inlineStr"/>
      <c r="N224" s="17" t="inlineStr"/>
      <c r="O224" s="17" t="inlineStr">
        <is>
          <t>경상북도</t>
        </is>
      </c>
      <c r="P224" s="17" t="inlineStr">
        <is>
          <t>미확인</t>
        </is>
      </c>
      <c r="Q224" s="17" t="inlineStr"/>
      <c r="R224" s="17" t="inlineStr">
        <is>
          <t>EDMS+QMS+LMS</t>
        </is>
      </c>
      <c r="S224" s="24" t="n">
        <v>46871</v>
      </c>
      <c r="T224" s="17" t="inlineStr"/>
    </row>
    <row r="225">
      <c r="A225" s="17" t="n">
        <v>224</v>
      </c>
      <c r="B225" s="17" t="inlineStr">
        <is>
          <t>(주)에어퍼스트</t>
        </is>
      </c>
      <c r="C225" s="17" t="inlineStr">
        <is>
          <t>에어퍼스트</t>
        </is>
      </c>
      <c r="D225" s="27" t="inlineStr">
        <is>
          <t>Tier C</t>
        </is>
      </c>
      <c r="E225" s="17" t="n">
        <v>10</v>
      </c>
      <c r="F225" s="17" t="inlineStr"/>
      <c r="G225" s="23" t="inlineStr"/>
      <c r="H225" s="22" t="inlineStr">
        <is>
          <t>미확인</t>
        </is>
      </c>
      <c r="I225" s="17" t="n">
        <v>2</v>
      </c>
      <c r="J225" s="17" t="n">
        <v>2</v>
      </c>
      <c r="K225" s="17" t="inlineStr">
        <is>
          <t>Y</t>
        </is>
      </c>
      <c r="L225" s="17" t="inlineStr"/>
      <c r="M225" s="17" t="inlineStr"/>
      <c r="N225" s="17" t="inlineStr"/>
      <c r="O225" s="17" t="inlineStr">
        <is>
          <t>경기도</t>
        </is>
      </c>
      <c r="P225" s="17" t="inlineStr">
        <is>
          <t>02-780-9331</t>
        </is>
      </c>
      <c r="Q225" s="17" t="inlineStr"/>
      <c r="R225" s="17" t="inlineStr">
        <is>
          <t>EDMS+QMS+LMS</t>
        </is>
      </c>
      <c r="S225" s="24" t="n">
        <v>46708</v>
      </c>
      <c r="T225" s="17" t="inlineStr"/>
    </row>
    <row r="226">
      <c r="A226" s="17" t="n">
        <v>225</v>
      </c>
      <c r="B226" s="17" t="inlineStr">
        <is>
          <t>알보젠코리아(주)</t>
        </is>
      </c>
      <c r="C226" s="17" t="inlineStr">
        <is>
          <t>알보젠코리아</t>
        </is>
      </c>
      <c r="D226" s="27" t="inlineStr">
        <is>
          <t>Tier C</t>
        </is>
      </c>
      <c r="E226" s="17" t="n">
        <v>10</v>
      </c>
      <c r="F226" s="17" t="inlineStr"/>
      <c r="G226" s="23" t="inlineStr"/>
      <c r="H226" s="22" t="inlineStr">
        <is>
          <t>미확인</t>
        </is>
      </c>
      <c r="I226" s="17" t="n">
        <v>2</v>
      </c>
      <c r="J226" s="17" t="n">
        <v>2</v>
      </c>
      <c r="K226" s="17" t="inlineStr">
        <is>
          <t>Y</t>
        </is>
      </c>
      <c r="L226" s="17" t="inlineStr"/>
      <c r="M226" s="17" t="inlineStr"/>
      <c r="N226" s="17" t="inlineStr"/>
      <c r="O226" s="17" t="inlineStr">
        <is>
          <t>충청남도</t>
        </is>
      </c>
      <c r="P226" s="17" t="inlineStr">
        <is>
          <t>041-840-5300</t>
        </is>
      </c>
      <c r="Q226" s="17" t="inlineStr"/>
      <c r="R226" s="17" t="inlineStr">
        <is>
          <t>EDMS+QMS+LMS</t>
        </is>
      </c>
      <c r="S226" s="24" t="n">
        <v>46779</v>
      </c>
      <c r="T226" s="17" t="inlineStr"/>
    </row>
    <row r="227">
      <c r="A227" s="17" t="n">
        <v>226</v>
      </c>
      <c r="B227" s="17" t="inlineStr">
        <is>
          <t>에어프로덕츠코리아(주)</t>
        </is>
      </c>
      <c r="C227" s="17" t="inlineStr">
        <is>
          <t>에어프로덕츠코리아</t>
        </is>
      </c>
      <c r="D227" s="27" t="inlineStr">
        <is>
          <t>Tier C</t>
        </is>
      </c>
      <c r="E227" s="17" t="n">
        <v>10</v>
      </c>
      <c r="F227" s="17" t="inlineStr"/>
      <c r="G227" s="23" t="inlineStr"/>
      <c r="H227" s="22" t="inlineStr">
        <is>
          <t>미확인</t>
        </is>
      </c>
      <c r="I227" s="17" t="n">
        <v>2</v>
      </c>
      <c r="J227" s="17" t="n">
        <v>2</v>
      </c>
      <c r="K227" s="17" t="inlineStr">
        <is>
          <t>Y</t>
        </is>
      </c>
      <c r="L227" s="17" t="inlineStr"/>
      <c r="M227" s="17" t="inlineStr"/>
      <c r="N227" s="17" t="inlineStr"/>
      <c r="O227" s="17" t="inlineStr">
        <is>
          <t>울산광역시</t>
        </is>
      </c>
      <c r="P227" s="17" t="inlineStr">
        <is>
          <t>052-259-4098</t>
        </is>
      </c>
      <c r="Q227" s="17" t="inlineStr"/>
      <c r="R227" s="17" t="inlineStr">
        <is>
          <t>EDMS+QMS+LMS</t>
        </is>
      </c>
      <c r="S227" s="24" t="n">
        <v>46768</v>
      </c>
      <c r="T227" s="17" t="inlineStr"/>
    </row>
    <row r="228">
      <c r="A228" s="17" t="n">
        <v>227</v>
      </c>
      <c r="B228" s="17" t="inlineStr">
        <is>
          <t>원광제약(주)</t>
        </is>
      </c>
      <c r="C228" s="17" t="inlineStr">
        <is>
          <t>원광제약</t>
        </is>
      </c>
      <c r="D228" s="27" t="inlineStr">
        <is>
          <t>Tier C</t>
        </is>
      </c>
      <c r="E228" s="17" t="n">
        <v>10</v>
      </c>
      <c r="F228" s="17" t="inlineStr"/>
      <c r="G228" s="23" t="inlineStr"/>
      <c r="H228" s="22" t="inlineStr">
        <is>
          <t>미확인</t>
        </is>
      </c>
      <c r="I228" s="17" t="n">
        <v>2</v>
      </c>
      <c r="J228" s="17" t="n">
        <v>2</v>
      </c>
      <c r="K228" s="17" t="inlineStr">
        <is>
          <t>Y</t>
        </is>
      </c>
      <c r="L228" s="17" t="inlineStr"/>
      <c r="M228" s="17" t="inlineStr"/>
      <c r="N228" s="17" t="inlineStr"/>
      <c r="O228" s="17" t="inlineStr">
        <is>
          <t>전북특별자치도</t>
        </is>
      </c>
      <c r="P228" s="17" t="inlineStr">
        <is>
          <t>063-832-3114</t>
        </is>
      </c>
      <c r="Q228" s="17" t="inlineStr"/>
      <c r="R228" s="17" t="inlineStr">
        <is>
          <t>EDMS+QMS+LMS</t>
        </is>
      </c>
      <c r="S228" s="24" t="n">
        <v>46947</v>
      </c>
      <c r="T228" s="17" t="inlineStr"/>
    </row>
    <row r="229">
      <c r="A229" s="17" t="n">
        <v>228</v>
      </c>
      <c r="B229" s="17" t="inlineStr">
        <is>
          <t>태극제약(주)</t>
        </is>
      </c>
      <c r="C229" s="17" t="inlineStr">
        <is>
          <t>태극제약</t>
        </is>
      </c>
      <c r="D229" s="27" t="inlineStr">
        <is>
          <t>Tier C</t>
        </is>
      </c>
      <c r="E229" s="17" t="n">
        <v>10</v>
      </c>
      <c r="F229" s="17" t="inlineStr"/>
      <c r="G229" s="23" t="inlineStr"/>
      <c r="H229" s="22" t="inlineStr">
        <is>
          <t>미확인</t>
        </is>
      </c>
      <c r="I229" s="17" t="n">
        <v>2</v>
      </c>
      <c r="J229" s="17" t="n">
        <v>2</v>
      </c>
      <c r="K229" s="17" t="inlineStr">
        <is>
          <t>Y</t>
        </is>
      </c>
      <c r="L229" s="17" t="inlineStr"/>
      <c r="M229" s="17" t="inlineStr"/>
      <c r="N229" s="17" t="inlineStr"/>
      <c r="O229" s="17" t="inlineStr">
        <is>
          <t>경기도</t>
        </is>
      </c>
      <c r="P229" s="17" t="inlineStr">
        <is>
          <t>02-3474-7761</t>
        </is>
      </c>
      <c r="Q229" s="17" t="inlineStr"/>
      <c r="R229" s="17" t="inlineStr">
        <is>
          <t>EDMS+QMS+LMS</t>
        </is>
      </c>
      <c r="S229" s="24" t="n">
        <v>46593</v>
      </c>
      <c r="T229" s="17" t="inlineStr"/>
    </row>
    <row r="230">
      <c r="A230" s="17" t="n">
        <v>229</v>
      </c>
      <c r="B230" s="17" t="inlineStr">
        <is>
          <t>(유한)동아가스산업</t>
        </is>
      </c>
      <c r="C230" s="17" t="inlineStr">
        <is>
          <t>(유한)동아가스산업</t>
        </is>
      </c>
      <c r="D230" s="27" t="inlineStr">
        <is>
          <t>Tier C</t>
        </is>
      </c>
      <c r="E230" s="17" t="n">
        <v>10</v>
      </c>
      <c r="F230" s="17" t="inlineStr"/>
      <c r="G230" s="23" t="inlineStr"/>
      <c r="H230" s="22" t="inlineStr">
        <is>
          <t>미확인</t>
        </is>
      </c>
      <c r="I230" s="17" t="n">
        <v>1</v>
      </c>
      <c r="J230" s="17" t="n">
        <v>1</v>
      </c>
      <c r="K230" s="17" t="inlineStr">
        <is>
          <t>Y</t>
        </is>
      </c>
      <c r="L230" s="17" t="inlineStr"/>
      <c r="M230" s="17" t="inlineStr"/>
      <c r="N230" s="17" t="inlineStr"/>
      <c r="O230" s="17" t="inlineStr">
        <is>
          <t>경상남도</t>
        </is>
      </c>
      <c r="P230" s="17" t="inlineStr">
        <is>
          <t>055-834-3688</t>
        </is>
      </c>
      <c r="Q230" s="17" t="inlineStr"/>
      <c r="R230" s="17" t="inlineStr">
        <is>
          <t>QMS</t>
        </is>
      </c>
      <c r="S230" s="24" t="n">
        <v>46251</v>
      </c>
      <c r="T230" s="17" t="inlineStr">
        <is>
          <t>Y</t>
        </is>
      </c>
    </row>
    <row r="231">
      <c r="A231" s="17" t="n">
        <v>230</v>
      </c>
      <c r="B231" s="17" t="inlineStr">
        <is>
          <t>(주)대평</t>
        </is>
      </c>
      <c r="C231" s="17" t="inlineStr">
        <is>
          <t>대평</t>
        </is>
      </c>
      <c r="D231" s="27" t="inlineStr">
        <is>
          <t>Tier C</t>
        </is>
      </c>
      <c r="E231" s="17" t="n">
        <v>10</v>
      </c>
      <c r="F231" s="17" t="inlineStr"/>
      <c r="G231" s="23" t="inlineStr"/>
      <c r="H231" s="22" t="inlineStr">
        <is>
          <t>미확인</t>
        </is>
      </c>
      <c r="I231" s="17" t="n">
        <v>1</v>
      </c>
      <c r="J231" s="17" t="n">
        <v>1</v>
      </c>
      <c r="K231" s="17" t="inlineStr"/>
      <c r="L231" s="17" t="inlineStr">
        <is>
          <t>Y</t>
        </is>
      </c>
      <c r="M231" s="17" t="inlineStr"/>
      <c r="N231" s="17" t="inlineStr"/>
      <c r="O231" s="17" t="inlineStr">
        <is>
          <t>경상북도</t>
        </is>
      </c>
      <c r="P231" s="17" t="inlineStr">
        <is>
          <t>054-541-9005</t>
        </is>
      </c>
      <c r="Q231" s="17" t="inlineStr"/>
      <c r="R231" s="17" t="inlineStr">
        <is>
          <t>LIMS</t>
        </is>
      </c>
      <c r="S231" s="24" t="n">
        <v>46918</v>
      </c>
      <c r="T231" s="17" t="inlineStr"/>
    </row>
    <row r="232">
      <c r="A232" s="17" t="n">
        <v>231</v>
      </c>
      <c r="B232" s="17" t="inlineStr">
        <is>
          <t>(주)성일바이오엑스</t>
        </is>
      </c>
      <c r="C232" s="17" t="inlineStr">
        <is>
          <t>성일바이오엑스</t>
        </is>
      </c>
      <c r="D232" s="27" t="inlineStr">
        <is>
          <t>Tier C</t>
        </is>
      </c>
      <c r="E232" s="17" t="n">
        <v>10</v>
      </c>
      <c r="F232" s="17" t="inlineStr"/>
      <c r="G232" s="23" t="inlineStr"/>
      <c r="H232" s="22" t="inlineStr">
        <is>
          <t>미확인</t>
        </is>
      </c>
      <c r="I232" s="17" t="n">
        <v>1</v>
      </c>
      <c r="J232" s="17" t="n">
        <v>1</v>
      </c>
      <c r="K232" s="17" t="inlineStr"/>
      <c r="L232" s="17" t="inlineStr">
        <is>
          <t>Y</t>
        </is>
      </c>
      <c r="M232" s="17" t="inlineStr"/>
      <c r="N232" s="17" t="inlineStr"/>
      <c r="O232" s="17" t="inlineStr">
        <is>
          <t>경기도</t>
        </is>
      </c>
      <c r="P232" s="17" t="inlineStr">
        <is>
          <t>031-355-4371</t>
        </is>
      </c>
      <c r="Q232" s="17" t="inlineStr"/>
      <c r="R232" s="17" t="inlineStr">
        <is>
          <t>LIMS</t>
        </is>
      </c>
      <c r="S232" s="24" t="n">
        <v>47213</v>
      </c>
      <c r="T232" s="17" t="inlineStr"/>
    </row>
    <row r="233">
      <c r="A233" s="17" t="n">
        <v>232</v>
      </c>
      <c r="B233" s="17" t="inlineStr">
        <is>
          <t>(주)신라충전소</t>
        </is>
      </c>
      <c r="C233" s="17" t="inlineStr">
        <is>
          <t>신라충전소</t>
        </is>
      </c>
      <c r="D233" s="27" t="inlineStr">
        <is>
          <t>Tier C</t>
        </is>
      </c>
      <c r="E233" s="17" t="n">
        <v>10</v>
      </c>
      <c r="F233" s="17" t="inlineStr"/>
      <c r="G233" s="23" t="inlineStr"/>
      <c r="H233" s="22" t="inlineStr">
        <is>
          <t>미확인</t>
        </is>
      </c>
      <c r="I233" s="17" t="n">
        <v>1</v>
      </c>
      <c r="J233" s="17" t="n">
        <v>1</v>
      </c>
      <c r="K233" s="17" t="inlineStr">
        <is>
          <t>Y</t>
        </is>
      </c>
      <c r="L233" s="17" t="inlineStr"/>
      <c r="M233" s="17" t="inlineStr"/>
      <c r="N233" s="17" t="inlineStr"/>
      <c r="O233" s="17" t="inlineStr">
        <is>
          <t>경상북도</t>
        </is>
      </c>
      <c r="P233" s="17" t="inlineStr">
        <is>
          <t>054-453-0405</t>
        </is>
      </c>
      <c r="Q233" s="17" t="inlineStr"/>
      <c r="R233" s="17" t="inlineStr">
        <is>
          <t>QMS</t>
        </is>
      </c>
      <c r="S233" s="24" t="n">
        <v>46370</v>
      </c>
      <c r="T233" s="17" t="inlineStr">
        <is>
          <t>Y</t>
        </is>
      </c>
    </row>
    <row r="234">
      <c r="A234" s="17" t="n">
        <v>233</v>
      </c>
      <c r="B234" s="17" t="inlineStr">
        <is>
          <t>(주)애거슨바이오</t>
        </is>
      </c>
      <c r="C234" s="17" t="inlineStr">
        <is>
          <t>애거슨바이오</t>
        </is>
      </c>
      <c r="D234" s="27" t="inlineStr">
        <is>
          <t>Tier C</t>
        </is>
      </c>
      <c r="E234" s="17" t="n">
        <v>10</v>
      </c>
      <c r="F234" s="17" t="inlineStr"/>
      <c r="G234" s="23" t="inlineStr"/>
      <c r="H234" s="22" t="inlineStr">
        <is>
          <t>미확인</t>
        </is>
      </c>
      <c r="I234" s="17" t="n">
        <v>1</v>
      </c>
      <c r="J234" s="17" t="n">
        <v>1</v>
      </c>
      <c r="K234" s="17" t="inlineStr"/>
      <c r="L234" s="17" t="inlineStr">
        <is>
          <t>Y</t>
        </is>
      </c>
      <c r="M234" s="17" t="inlineStr"/>
      <c r="N234" s="17" t="inlineStr"/>
      <c r="O234" s="17" t="inlineStr">
        <is>
          <t>충청북도</t>
        </is>
      </c>
      <c r="P234" s="17" t="inlineStr">
        <is>
          <t>043-882-8774</t>
        </is>
      </c>
      <c r="Q234" s="17" t="inlineStr"/>
      <c r="R234" s="17" t="inlineStr">
        <is>
          <t>LIMS</t>
        </is>
      </c>
      <c r="S234" s="24" t="n">
        <v>47324</v>
      </c>
      <c r="T234" s="17" t="inlineStr"/>
    </row>
    <row r="235">
      <c r="A235" s="17" t="n">
        <v>234</v>
      </c>
      <c r="B235" s="17" t="inlineStr">
        <is>
          <t>(주)우진가스텍</t>
        </is>
      </c>
      <c r="C235" s="17" t="inlineStr">
        <is>
          <t>우진가스텍</t>
        </is>
      </c>
      <c r="D235" s="27" t="inlineStr">
        <is>
          <t>Tier C</t>
        </is>
      </c>
      <c r="E235" s="17" t="n">
        <v>10</v>
      </c>
      <c r="F235" s="17" t="inlineStr"/>
      <c r="G235" s="23" t="inlineStr"/>
      <c r="H235" s="22" t="inlineStr">
        <is>
          <t>미확인</t>
        </is>
      </c>
      <c r="I235" s="17" t="n">
        <v>1</v>
      </c>
      <c r="J235" s="17" t="n">
        <v>1</v>
      </c>
      <c r="K235" s="17" t="inlineStr">
        <is>
          <t>Y</t>
        </is>
      </c>
      <c r="L235" s="17" t="inlineStr"/>
      <c r="M235" s="17" t="inlineStr"/>
      <c r="N235" s="17" t="inlineStr"/>
      <c r="O235" s="17" t="inlineStr">
        <is>
          <t>경상남도</t>
        </is>
      </c>
      <c r="P235" s="17" t="inlineStr">
        <is>
          <t>055-3361-2612</t>
        </is>
      </c>
      <c r="Q235" s="17" t="inlineStr"/>
      <c r="R235" s="17" t="inlineStr">
        <is>
          <t>QMS</t>
        </is>
      </c>
      <c r="S235" s="24" t="n">
        <v>46277</v>
      </c>
      <c r="T235" s="17" t="inlineStr">
        <is>
          <t>Y</t>
        </is>
      </c>
    </row>
    <row r="236">
      <c r="A236" s="17" t="n">
        <v>235</v>
      </c>
      <c r="B236" s="17" t="inlineStr">
        <is>
          <t>(주)원풍약품상사</t>
        </is>
      </c>
      <c r="C236" s="17" t="inlineStr">
        <is>
          <t>원풍약품상사</t>
        </is>
      </c>
      <c r="D236" s="27" t="inlineStr">
        <is>
          <t>Tier C</t>
        </is>
      </c>
      <c r="E236" s="17" t="n">
        <v>10</v>
      </c>
      <c r="F236" s="17" t="inlineStr"/>
      <c r="G236" s="23" t="inlineStr"/>
      <c r="H236" s="22" t="inlineStr">
        <is>
          <t>미확인</t>
        </is>
      </c>
      <c r="I236" s="17" t="n">
        <v>1</v>
      </c>
      <c r="J236" s="17" t="n">
        <v>1</v>
      </c>
      <c r="K236" s="17" t="inlineStr"/>
      <c r="L236" s="17" t="inlineStr">
        <is>
          <t>Y</t>
        </is>
      </c>
      <c r="M236" s="17" t="inlineStr"/>
      <c r="N236" s="17" t="inlineStr"/>
      <c r="O236" s="17" t="inlineStr">
        <is>
          <t>경기도</t>
        </is>
      </c>
      <c r="P236" s="17" t="inlineStr">
        <is>
          <t>3768-1009</t>
        </is>
      </c>
      <c r="Q236" s="17" t="inlineStr"/>
      <c r="R236" s="17" t="inlineStr">
        <is>
          <t>LIMS</t>
        </is>
      </c>
      <c r="S236" s="24" t="n">
        <v>46612</v>
      </c>
      <c r="T236" s="17" t="inlineStr"/>
    </row>
    <row r="237">
      <c r="A237" s="17" t="n">
        <v>236</v>
      </c>
      <c r="B237" s="17" t="inlineStr">
        <is>
          <t>(주)켐포트</t>
        </is>
      </c>
      <c r="C237" s="17" t="inlineStr">
        <is>
          <t>켐포트</t>
        </is>
      </c>
      <c r="D237" s="27" t="inlineStr">
        <is>
          <t>Tier C</t>
        </is>
      </c>
      <c r="E237" s="17" t="n">
        <v>10</v>
      </c>
      <c r="F237" s="17" t="inlineStr"/>
      <c r="G237" s="23" t="inlineStr"/>
      <c r="H237" s="22" t="inlineStr">
        <is>
          <t>미확인</t>
        </is>
      </c>
      <c r="I237" s="17" t="n">
        <v>1</v>
      </c>
      <c r="J237" s="17" t="n">
        <v>1</v>
      </c>
      <c r="K237" s="17" t="inlineStr"/>
      <c r="L237" s="17" t="inlineStr">
        <is>
          <t>Y</t>
        </is>
      </c>
      <c r="M237" s="17" t="inlineStr"/>
      <c r="N237" s="17" t="inlineStr"/>
      <c r="O237" s="17" t="inlineStr">
        <is>
          <t>전라남도</t>
        </is>
      </c>
      <c r="P237" s="17" t="inlineStr">
        <is>
          <t>미확인</t>
        </is>
      </c>
      <c r="Q237" s="17" t="inlineStr"/>
      <c r="R237" s="17" t="inlineStr">
        <is>
          <t>LIMS</t>
        </is>
      </c>
      <c r="S237" s="24" t="n">
        <v>46990</v>
      </c>
      <c r="T237" s="17" t="inlineStr"/>
    </row>
    <row r="238">
      <c r="A238" s="17" t="n">
        <v>237</v>
      </c>
      <c r="B238" s="17" t="inlineStr">
        <is>
          <t>(주)코아팜바이오</t>
        </is>
      </c>
      <c r="C238" s="17" t="inlineStr">
        <is>
          <t>코아팜바이오</t>
        </is>
      </c>
      <c r="D238" s="27" t="inlineStr">
        <is>
          <t>Tier C</t>
        </is>
      </c>
      <c r="E238" s="17" t="n">
        <v>10</v>
      </c>
      <c r="F238" s="17" t="inlineStr"/>
      <c r="G238" s="23" t="inlineStr"/>
      <c r="H238" s="22" t="inlineStr">
        <is>
          <t>미확인</t>
        </is>
      </c>
      <c r="I238" s="17" t="n">
        <v>1</v>
      </c>
      <c r="J238" s="17" t="n">
        <v>1</v>
      </c>
      <c r="K238" s="17" t="inlineStr">
        <is>
          <t>Y</t>
        </is>
      </c>
      <c r="L238" s="17" t="inlineStr"/>
      <c r="M238" s="17" t="inlineStr"/>
      <c r="N238" s="17" t="inlineStr"/>
      <c r="O238" s="17" t="inlineStr">
        <is>
          <t>충청북도</t>
        </is>
      </c>
      <c r="P238" s="17" t="inlineStr">
        <is>
          <t>02-927-8220</t>
        </is>
      </c>
      <c r="Q238" s="17" t="inlineStr"/>
      <c r="R238" s="17" t="inlineStr">
        <is>
          <t>QMS</t>
        </is>
      </c>
      <c r="S238" s="24" t="n">
        <v>46369</v>
      </c>
      <c r="T238" s="17" t="inlineStr">
        <is>
          <t>Y</t>
        </is>
      </c>
    </row>
    <row r="239">
      <c r="A239" s="17" t="n">
        <v>238</v>
      </c>
      <c r="B239" s="17" t="inlineStr">
        <is>
          <t>(주)평화산소</t>
        </is>
      </c>
      <c r="C239" s="17" t="inlineStr">
        <is>
          <t>평화산소</t>
        </is>
      </c>
      <c r="D239" s="27" t="inlineStr">
        <is>
          <t>Tier C</t>
        </is>
      </c>
      <c r="E239" s="17" t="n">
        <v>10</v>
      </c>
      <c r="F239" s="17" t="inlineStr"/>
      <c r="G239" s="23" t="inlineStr"/>
      <c r="H239" s="22" t="inlineStr">
        <is>
          <t>미확인</t>
        </is>
      </c>
      <c r="I239" s="17" t="n">
        <v>1</v>
      </c>
      <c r="J239" s="17" t="n">
        <v>1</v>
      </c>
      <c r="K239" s="17" t="inlineStr">
        <is>
          <t>Y</t>
        </is>
      </c>
      <c r="L239" s="17" t="inlineStr"/>
      <c r="M239" s="17" t="inlineStr"/>
      <c r="N239" s="17" t="inlineStr"/>
      <c r="O239" s="17" t="inlineStr">
        <is>
          <t>경상남도</t>
        </is>
      </c>
      <c r="P239" s="17" t="inlineStr">
        <is>
          <t>055-255-9211</t>
        </is>
      </c>
      <c r="Q239" s="17" t="inlineStr"/>
      <c r="R239" s="17" t="inlineStr">
        <is>
          <t>QMS</t>
        </is>
      </c>
      <c r="S239" s="24" t="n">
        <v>46290</v>
      </c>
      <c r="T239" s="17" t="inlineStr">
        <is>
          <t>Y</t>
        </is>
      </c>
    </row>
    <row r="240">
      <c r="A240" s="17" t="n">
        <v>239</v>
      </c>
      <c r="B240" s="17" t="inlineStr">
        <is>
          <t>(주)폴라리스에이아이파마</t>
        </is>
      </c>
      <c r="C240" s="17" t="inlineStr">
        <is>
          <t>폴라리스에이아이파마</t>
        </is>
      </c>
      <c r="D240" s="27" t="inlineStr">
        <is>
          <t>Tier C</t>
        </is>
      </c>
      <c r="E240" s="17" t="n">
        <v>10</v>
      </c>
      <c r="F240" s="17" t="inlineStr"/>
      <c r="G240" s="23" t="inlineStr"/>
      <c r="H240" s="22" t="inlineStr">
        <is>
          <t>미확인</t>
        </is>
      </c>
      <c r="I240" s="17" t="n">
        <v>1</v>
      </c>
      <c r="J240" s="17" t="n">
        <v>1</v>
      </c>
      <c r="K240" s="17" t="inlineStr"/>
      <c r="L240" s="17" t="inlineStr">
        <is>
          <t>Y</t>
        </is>
      </c>
      <c r="M240" s="17" t="inlineStr"/>
      <c r="N240" s="17" t="inlineStr"/>
      <c r="O240" s="17" t="inlineStr">
        <is>
          <t>경기도</t>
        </is>
      </c>
      <c r="P240" s="17" t="inlineStr">
        <is>
          <t>031-831-4800</t>
        </is>
      </c>
      <c r="Q240" s="17" t="inlineStr"/>
      <c r="R240" s="17" t="inlineStr">
        <is>
          <t>LIMS</t>
        </is>
      </c>
      <c r="S240" s="24" t="n">
        <v>46815</v>
      </c>
      <c r="T240" s="17" t="inlineStr"/>
    </row>
    <row r="241">
      <c r="A241" s="17" t="n">
        <v>240</v>
      </c>
      <c r="B241" s="17" t="inlineStr">
        <is>
          <t>(주)프로라젠</t>
        </is>
      </c>
      <c r="C241" s="17" t="inlineStr">
        <is>
          <t>프로라젠</t>
        </is>
      </c>
      <c r="D241" s="27" t="inlineStr">
        <is>
          <t>Tier C</t>
        </is>
      </c>
      <c r="E241" s="17" t="n">
        <v>10</v>
      </c>
      <c r="F241" s="17" t="inlineStr"/>
      <c r="G241" s="23" t="inlineStr"/>
      <c r="H241" s="22" t="inlineStr">
        <is>
          <t>미확인</t>
        </is>
      </c>
      <c r="I241" s="17" t="n">
        <v>1</v>
      </c>
      <c r="J241" s="17" t="n">
        <v>1</v>
      </c>
      <c r="K241" s="17" t="inlineStr"/>
      <c r="L241" s="17" t="inlineStr">
        <is>
          <t>Y</t>
        </is>
      </c>
      <c r="M241" s="17" t="inlineStr"/>
      <c r="N241" s="17" t="inlineStr"/>
      <c r="O241" s="17" t="inlineStr">
        <is>
          <t>서울특별시</t>
        </is>
      </c>
      <c r="P241" s="17" t="inlineStr">
        <is>
          <t>070-7770-6330</t>
        </is>
      </c>
      <c r="Q241" s="17" t="inlineStr"/>
      <c r="R241" s="17" t="inlineStr">
        <is>
          <t>LIMS</t>
        </is>
      </c>
      <c r="S241" s="24" t="n">
        <v>46983</v>
      </c>
      <c r="T241" s="17" t="inlineStr"/>
    </row>
    <row r="242">
      <c r="A242" s="17" t="n">
        <v>241</v>
      </c>
      <c r="B242" s="17" t="inlineStr">
        <is>
          <t>(주)한국신약</t>
        </is>
      </c>
      <c r="C242" s="17" t="inlineStr">
        <is>
          <t>한국신약</t>
        </is>
      </c>
      <c r="D242" s="27" t="inlineStr">
        <is>
          <t>Tier C</t>
        </is>
      </c>
      <c r="E242" s="17" t="n">
        <v>10</v>
      </c>
      <c r="F242" s="17" t="inlineStr"/>
      <c r="G242" s="23" t="inlineStr"/>
      <c r="H242" s="22" t="inlineStr">
        <is>
          <t>미확인</t>
        </is>
      </c>
      <c r="I242" s="17" t="n">
        <v>1</v>
      </c>
      <c r="J242" s="17" t="n">
        <v>1</v>
      </c>
      <c r="K242" s="17" t="inlineStr">
        <is>
          <t>Y</t>
        </is>
      </c>
      <c r="L242" s="17" t="inlineStr"/>
      <c r="M242" s="17" t="inlineStr"/>
      <c r="N242" s="17" t="inlineStr"/>
      <c r="O242" s="17" t="inlineStr">
        <is>
          <t>충청남도</t>
        </is>
      </c>
      <c r="P242" s="17" t="inlineStr">
        <is>
          <t>041-740-8830</t>
        </is>
      </c>
      <c r="Q242" s="17" t="inlineStr"/>
      <c r="R242" s="17" t="inlineStr">
        <is>
          <t>QMS</t>
        </is>
      </c>
      <c r="S242" s="24" t="n">
        <v>46286</v>
      </c>
      <c r="T242" s="17" t="inlineStr">
        <is>
          <t>Y</t>
        </is>
      </c>
    </row>
    <row r="243">
      <c r="A243" s="17" t="n">
        <v>242</v>
      </c>
      <c r="B243" s="17" t="inlineStr">
        <is>
          <t>(주)화승가스테크</t>
        </is>
      </c>
      <c r="C243" s="17" t="inlineStr">
        <is>
          <t>화승가스테크</t>
        </is>
      </c>
      <c r="D243" s="27" t="inlineStr">
        <is>
          <t>Tier C</t>
        </is>
      </c>
      <c r="E243" s="17" t="n">
        <v>10</v>
      </c>
      <c r="F243" s="17" t="inlineStr"/>
      <c r="G243" s="23" t="inlineStr"/>
      <c r="H243" s="22" t="inlineStr">
        <is>
          <t>미확인</t>
        </is>
      </c>
      <c r="I243" s="17" t="n">
        <v>1</v>
      </c>
      <c r="J243" s="17" t="n">
        <v>1</v>
      </c>
      <c r="K243" s="17" t="inlineStr">
        <is>
          <t>Y</t>
        </is>
      </c>
      <c r="L243" s="17" t="inlineStr"/>
      <c r="M243" s="17" t="inlineStr"/>
      <c r="N243" s="17" t="inlineStr"/>
      <c r="O243" s="17" t="inlineStr">
        <is>
          <t>부산광역시</t>
        </is>
      </c>
      <c r="P243" s="17" t="inlineStr">
        <is>
          <t>051-264-2080</t>
        </is>
      </c>
      <c r="Q243" s="17" t="inlineStr"/>
      <c r="R243" s="17" t="inlineStr">
        <is>
          <t>QMS</t>
        </is>
      </c>
      <c r="S243" s="24" t="n">
        <v>46264</v>
      </c>
      <c r="T243" s="17" t="inlineStr">
        <is>
          <t>Y</t>
        </is>
      </c>
    </row>
    <row r="244">
      <c r="A244" s="17" t="n">
        <v>243</v>
      </c>
      <c r="B244" s="17" t="inlineStr">
        <is>
          <t>경북산업가스충전소</t>
        </is>
      </c>
      <c r="C244" s="17" t="inlineStr">
        <is>
          <t>경북산업가스충전소</t>
        </is>
      </c>
      <c r="D244" s="27" t="inlineStr">
        <is>
          <t>Tier C</t>
        </is>
      </c>
      <c r="E244" s="17" t="n">
        <v>10</v>
      </c>
      <c r="F244" s="17" t="inlineStr"/>
      <c r="G244" s="23" t="inlineStr"/>
      <c r="H244" s="22" t="inlineStr">
        <is>
          <t>미확인</t>
        </is>
      </c>
      <c r="I244" s="17" t="n">
        <v>1</v>
      </c>
      <c r="J244" s="17" t="n">
        <v>1</v>
      </c>
      <c r="K244" s="17" t="inlineStr">
        <is>
          <t>Y</t>
        </is>
      </c>
      <c r="L244" s="17" t="inlineStr"/>
      <c r="M244" s="17" t="inlineStr"/>
      <c r="N244" s="17" t="inlineStr"/>
      <c r="O244" s="17" t="inlineStr">
        <is>
          <t>경상북도</t>
        </is>
      </c>
      <c r="P244" s="17" t="inlineStr">
        <is>
          <t>054-443-0331</t>
        </is>
      </c>
      <c r="Q244" s="17" t="inlineStr"/>
      <c r="R244" s="17" t="inlineStr">
        <is>
          <t>QMS</t>
        </is>
      </c>
      <c r="S244" s="24" t="n">
        <v>46320</v>
      </c>
      <c r="T244" s="17" t="inlineStr">
        <is>
          <t>Y</t>
        </is>
      </c>
    </row>
    <row r="245">
      <c r="A245" s="17" t="n">
        <v>244</v>
      </c>
      <c r="B245" s="17" t="inlineStr">
        <is>
          <t>대성가스텍(주)</t>
        </is>
      </c>
      <c r="C245" s="17" t="inlineStr">
        <is>
          <t>대성가스텍</t>
        </is>
      </c>
      <c r="D245" s="27" t="inlineStr">
        <is>
          <t>Tier C</t>
        </is>
      </c>
      <c r="E245" s="17" t="n">
        <v>10</v>
      </c>
      <c r="F245" s="17" t="inlineStr"/>
      <c r="G245" s="23" t="inlineStr"/>
      <c r="H245" s="22" t="inlineStr">
        <is>
          <t>미확인</t>
        </is>
      </c>
      <c r="I245" s="17" t="n">
        <v>1</v>
      </c>
      <c r="J245" s="17" t="n">
        <v>1</v>
      </c>
      <c r="K245" s="17" t="inlineStr">
        <is>
          <t>Y</t>
        </is>
      </c>
      <c r="L245" s="17" t="inlineStr"/>
      <c r="M245" s="17" t="inlineStr"/>
      <c r="N245" s="17" t="inlineStr"/>
      <c r="O245" s="17" t="inlineStr">
        <is>
          <t>경기도</t>
        </is>
      </c>
      <c r="P245" s="17" t="inlineStr">
        <is>
          <t>미확인</t>
        </is>
      </c>
      <c r="Q245" s="17" t="inlineStr"/>
      <c r="R245" s="17" t="inlineStr">
        <is>
          <t>QMS</t>
        </is>
      </c>
      <c r="S245" s="24" t="n">
        <v>46311</v>
      </c>
      <c r="T245" s="17" t="inlineStr">
        <is>
          <t>Y</t>
        </is>
      </c>
    </row>
    <row r="246">
      <c r="A246" s="17" t="n">
        <v>245</v>
      </c>
      <c r="B246" s="17" t="inlineStr">
        <is>
          <t>라이프슈티컬</t>
        </is>
      </c>
      <c r="C246" s="17" t="inlineStr">
        <is>
          <t>라이프슈티컬</t>
        </is>
      </c>
      <c r="D246" s="27" t="inlineStr">
        <is>
          <t>Tier C</t>
        </is>
      </c>
      <c r="E246" s="17" t="n">
        <v>10</v>
      </c>
      <c r="F246" s="17" t="inlineStr"/>
      <c r="G246" s="23" t="inlineStr"/>
      <c r="H246" s="22" t="inlineStr">
        <is>
          <t>미확인</t>
        </is>
      </c>
      <c r="I246" s="17" t="n">
        <v>1</v>
      </c>
      <c r="J246" s="17" t="n">
        <v>1</v>
      </c>
      <c r="K246" s="17" t="inlineStr"/>
      <c r="L246" s="17" t="inlineStr">
        <is>
          <t>Y</t>
        </is>
      </c>
      <c r="M246" s="17" t="inlineStr"/>
      <c r="N246" s="17" t="inlineStr"/>
      <c r="O246" s="17" t="inlineStr">
        <is>
          <t>충청북도</t>
        </is>
      </c>
      <c r="P246" s="17" t="inlineStr">
        <is>
          <t>043-652-8404</t>
        </is>
      </c>
      <c r="Q246" s="17" t="inlineStr"/>
      <c r="R246" s="17" t="inlineStr">
        <is>
          <t>LIMS</t>
        </is>
      </c>
      <c r="S246" s="24" t="n">
        <v>47255</v>
      </c>
      <c r="T246" s="17" t="inlineStr"/>
    </row>
    <row r="247">
      <c r="A247" s="17" t="n">
        <v>246</v>
      </c>
      <c r="B247" s="17" t="inlineStr">
        <is>
          <t>삼남제약(주)</t>
        </is>
      </c>
      <c r="C247" s="17" t="inlineStr">
        <is>
          <t>삼남제약</t>
        </is>
      </c>
      <c r="D247" s="27" t="inlineStr">
        <is>
          <t>Tier C</t>
        </is>
      </c>
      <c r="E247" s="17" t="n">
        <v>10</v>
      </c>
      <c r="F247" s="17" t="inlineStr"/>
      <c r="G247" s="23" t="inlineStr"/>
      <c r="H247" s="22" t="inlineStr">
        <is>
          <t>미확인</t>
        </is>
      </c>
      <c r="I247" s="17" t="n">
        <v>1</v>
      </c>
      <c r="J247" s="17" t="n">
        <v>1</v>
      </c>
      <c r="K247" s="17" t="inlineStr">
        <is>
          <t>Y</t>
        </is>
      </c>
      <c r="L247" s="17" t="inlineStr"/>
      <c r="M247" s="17" t="inlineStr"/>
      <c r="N247" s="17" t="inlineStr"/>
      <c r="O247" s="17" t="inlineStr">
        <is>
          <t>충청남도</t>
        </is>
      </c>
      <c r="P247" s="17" t="inlineStr">
        <is>
          <t>041-754-3771</t>
        </is>
      </c>
      <c r="Q247" s="17" t="inlineStr"/>
      <c r="R247" s="17" t="inlineStr">
        <is>
          <t>QMS</t>
        </is>
      </c>
      <c r="S247" s="24" t="n">
        <v>46307</v>
      </c>
      <c r="T247" s="17" t="inlineStr">
        <is>
          <t>Y</t>
        </is>
      </c>
    </row>
    <row r="248">
      <c r="A248" s="17" t="n">
        <v>247</v>
      </c>
      <c r="B248" s="17" t="inlineStr">
        <is>
          <t>삼전순약공업(주)</t>
        </is>
      </c>
      <c r="C248" s="17" t="inlineStr">
        <is>
          <t>삼전순약공업</t>
        </is>
      </c>
      <c r="D248" s="27" t="inlineStr">
        <is>
          <t>Tier C</t>
        </is>
      </c>
      <c r="E248" s="17" t="n">
        <v>10</v>
      </c>
      <c r="F248" s="17" t="inlineStr"/>
      <c r="G248" s="23" t="inlineStr"/>
      <c r="H248" s="22" t="inlineStr">
        <is>
          <t>미확인</t>
        </is>
      </c>
      <c r="I248" s="17" t="n">
        <v>1</v>
      </c>
      <c r="J248" s="17" t="n">
        <v>1</v>
      </c>
      <c r="K248" s="17" t="inlineStr"/>
      <c r="L248" s="17" t="inlineStr">
        <is>
          <t>Y</t>
        </is>
      </c>
      <c r="M248" s="17" t="inlineStr"/>
      <c r="N248" s="17" t="inlineStr"/>
      <c r="O248" s="17" t="inlineStr">
        <is>
          <t>경기도</t>
        </is>
      </c>
      <c r="P248" s="17" t="inlineStr">
        <is>
          <t>031-6680-7004</t>
        </is>
      </c>
      <c r="Q248" s="17" t="inlineStr"/>
      <c r="R248" s="17" t="inlineStr">
        <is>
          <t>LIMS</t>
        </is>
      </c>
      <c r="S248" s="24" t="n">
        <v>46870</v>
      </c>
      <c r="T248" s="17" t="inlineStr"/>
    </row>
    <row r="249">
      <c r="A249" s="17" t="n">
        <v>248</v>
      </c>
      <c r="B249" s="17" t="inlineStr">
        <is>
          <t>서진산업가스(주)</t>
        </is>
      </c>
      <c r="C249" s="17" t="inlineStr">
        <is>
          <t>서진산업가스</t>
        </is>
      </c>
      <c r="D249" s="27" t="inlineStr">
        <is>
          <t>Tier C</t>
        </is>
      </c>
      <c r="E249" s="17" t="n">
        <v>10</v>
      </c>
      <c r="F249" s="17" t="inlineStr"/>
      <c r="G249" s="23" t="inlineStr"/>
      <c r="H249" s="22" t="inlineStr">
        <is>
          <t>미확인</t>
        </is>
      </c>
      <c r="I249" s="17" t="n">
        <v>1</v>
      </c>
      <c r="J249" s="17" t="n">
        <v>1</v>
      </c>
      <c r="K249" s="17" t="inlineStr">
        <is>
          <t>Y</t>
        </is>
      </c>
      <c r="L249" s="17" t="inlineStr"/>
      <c r="M249" s="17" t="inlineStr"/>
      <c r="N249" s="17" t="inlineStr"/>
      <c r="O249" s="17" t="inlineStr">
        <is>
          <t>충청남도</t>
        </is>
      </c>
      <c r="P249" s="17" t="inlineStr">
        <is>
          <t>041-353-3400</t>
        </is>
      </c>
      <c r="Q249" s="17" t="inlineStr"/>
      <c r="R249" s="17" t="inlineStr">
        <is>
          <t>QMS</t>
        </is>
      </c>
      <c r="S249" s="24" t="n">
        <v>46290</v>
      </c>
      <c r="T249" s="17" t="inlineStr">
        <is>
          <t>Y</t>
        </is>
      </c>
    </row>
    <row r="250">
      <c r="A250" s="17" t="n">
        <v>249</v>
      </c>
      <c r="B250" s="17" t="inlineStr">
        <is>
          <t>성우화학(주)</t>
        </is>
      </c>
      <c r="C250" s="17" t="inlineStr">
        <is>
          <t>성우화학</t>
        </is>
      </c>
      <c r="D250" s="27" t="inlineStr">
        <is>
          <t>Tier C</t>
        </is>
      </c>
      <c r="E250" s="17" t="n">
        <v>10</v>
      </c>
      <c r="F250" s="17" t="inlineStr"/>
      <c r="G250" s="23" t="inlineStr"/>
      <c r="H250" s="22" t="inlineStr">
        <is>
          <t>미확인</t>
        </is>
      </c>
      <c r="I250" s="17" t="n">
        <v>1</v>
      </c>
      <c r="J250" s="17" t="n">
        <v>1</v>
      </c>
      <c r="K250" s="17" t="inlineStr"/>
      <c r="L250" s="17" t="inlineStr">
        <is>
          <t>Y</t>
        </is>
      </c>
      <c r="M250" s="17" t="inlineStr"/>
      <c r="N250" s="17" t="inlineStr"/>
      <c r="O250" s="17" t="inlineStr">
        <is>
          <t>경기도</t>
        </is>
      </c>
      <c r="P250" s="17" t="inlineStr">
        <is>
          <t>031-353-7251</t>
        </is>
      </c>
      <c r="Q250" s="17" t="inlineStr"/>
      <c r="R250" s="17" t="inlineStr">
        <is>
          <t>LIMS</t>
        </is>
      </c>
      <c r="S250" s="24" t="n">
        <v>46797</v>
      </c>
      <c r="T250" s="17" t="inlineStr"/>
    </row>
    <row r="251">
      <c r="A251" s="17" t="n">
        <v>250</v>
      </c>
      <c r="B251" s="17" t="inlineStr">
        <is>
          <t>성이바이오제약주식회사</t>
        </is>
      </c>
      <c r="C251" s="17" t="inlineStr">
        <is>
          <t>성이바이오제약</t>
        </is>
      </c>
      <c r="D251" s="27" t="inlineStr">
        <is>
          <t>Tier C</t>
        </is>
      </c>
      <c r="E251" s="17" t="n">
        <v>10</v>
      </c>
      <c r="F251" s="17" t="inlineStr"/>
      <c r="G251" s="23" t="inlineStr"/>
      <c r="H251" s="22" t="inlineStr">
        <is>
          <t>미확인</t>
        </is>
      </c>
      <c r="I251" s="17" t="n">
        <v>1</v>
      </c>
      <c r="J251" s="17" t="n">
        <v>1</v>
      </c>
      <c r="K251" s="17" t="inlineStr">
        <is>
          <t>Y</t>
        </is>
      </c>
      <c r="L251" s="17" t="inlineStr"/>
      <c r="M251" s="17" t="inlineStr"/>
      <c r="N251" s="17" t="inlineStr"/>
      <c r="O251" s="17" t="inlineStr">
        <is>
          <t>강원특별자치도</t>
        </is>
      </c>
      <c r="P251" s="17" t="inlineStr">
        <is>
          <t>033-734-3360</t>
        </is>
      </c>
      <c r="Q251" s="17" t="inlineStr"/>
      <c r="R251" s="17" t="inlineStr">
        <is>
          <t>QMS</t>
        </is>
      </c>
      <c r="S251" s="24" t="n">
        <v>46341</v>
      </c>
      <c r="T251" s="17" t="inlineStr">
        <is>
          <t>Y</t>
        </is>
      </c>
    </row>
    <row r="252">
      <c r="A252" s="17" t="n">
        <v>251</v>
      </c>
      <c r="B252" s="17" t="inlineStr">
        <is>
          <t>시믹씨엠오코리아주식회사</t>
        </is>
      </c>
      <c r="C252" s="17" t="inlineStr">
        <is>
          <t>시믹씨엠오코리아</t>
        </is>
      </c>
      <c r="D252" s="27" t="inlineStr">
        <is>
          <t>Tier C</t>
        </is>
      </c>
      <c r="E252" s="17" t="n">
        <v>10</v>
      </c>
      <c r="F252" s="17" t="inlineStr"/>
      <c r="G252" s="23" t="inlineStr"/>
      <c r="H252" s="22" t="inlineStr">
        <is>
          <t>미확인</t>
        </is>
      </c>
      <c r="I252" s="17" t="n">
        <v>1</v>
      </c>
      <c r="J252" s="17" t="n">
        <v>1</v>
      </c>
      <c r="K252" s="17" t="inlineStr">
        <is>
          <t>Y</t>
        </is>
      </c>
      <c r="L252" s="17" t="inlineStr"/>
      <c r="M252" s="17" t="inlineStr"/>
      <c r="N252" s="17" t="inlineStr"/>
      <c r="O252" s="17" t="inlineStr">
        <is>
          <t>경기도</t>
        </is>
      </c>
      <c r="P252" s="17" t="inlineStr">
        <is>
          <t>미확인</t>
        </is>
      </c>
      <c r="Q252" s="17" t="inlineStr"/>
      <c r="R252" s="17" t="inlineStr">
        <is>
          <t>QMS</t>
        </is>
      </c>
      <c r="S252" s="24" t="n">
        <v>46313</v>
      </c>
      <c r="T252" s="17" t="inlineStr">
        <is>
          <t>Y</t>
        </is>
      </c>
    </row>
    <row r="253">
      <c r="A253" s="17" t="n">
        <v>252</v>
      </c>
      <c r="B253" s="17" t="inlineStr">
        <is>
          <t>신원산업(주)</t>
        </is>
      </c>
      <c r="C253" s="17" t="inlineStr">
        <is>
          <t>신원산업</t>
        </is>
      </c>
      <c r="D253" s="27" t="inlineStr">
        <is>
          <t>Tier C</t>
        </is>
      </c>
      <c r="E253" s="17" t="n">
        <v>10</v>
      </c>
      <c r="F253" s="17" t="inlineStr"/>
      <c r="G253" s="23" t="inlineStr"/>
      <c r="H253" s="22" t="inlineStr">
        <is>
          <t>미확인</t>
        </is>
      </c>
      <c r="I253" s="17" t="n">
        <v>1</v>
      </c>
      <c r="J253" s="17" t="n">
        <v>1</v>
      </c>
      <c r="K253" s="17" t="inlineStr"/>
      <c r="L253" s="17" t="inlineStr">
        <is>
          <t>Y</t>
        </is>
      </c>
      <c r="M253" s="17" t="inlineStr"/>
      <c r="N253" s="17" t="inlineStr"/>
      <c r="O253" s="17" t="inlineStr">
        <is>
          <t>충청북도</t>
        </is>
      </c>
      <c r="P253" s="17" t="inlineStr">
        <is>
          <t>미확인</t>
        </is>
      </c>
      <c r="Q253" s="17" t="inlineStr"/>
      <c r="R253" s="17" t="inlineStr">
        <is>
          <t>LIMS</t>
        </is>
      </c>
      <c r="S253" s="24" t="n">
        <v>46953</v>
      </c>
      <c r="T253" s="17" t="inlineStr"/>
    </row>
    <row r="254">
      <c r="A254" s="17" t="n">
        <v>253</v>
      </c>
      <c r="B254" s="17" t="inlineStr">
        <is>
          <t>아이엠씨디코리아주식회사</t>
        </is>
      </c>
      <c r="C254" s="17" t="inlineStr">
        <is>
          <t>아이엠씨디코리아</t>
        </is>
      </c>
      <c r="D254" s="27" t="inlineStr">
        <is>
          <t>Tier C</t>
        </is>
      </c>
      <c r="E254" s="17" t="n">
        <v>10</v>
      </c>
      <c r="F254" s="17" t="inlineStr"/>
      <c r="G254" s="23" t="inlineStr"/>
      <c r="H254" s="22" t="inlineStr">
        <is>
          <t>미확인</t>
        </is>
      </c>
      <c r="I254" s="17" t="n">
        <v>1</v>
      </c>
      <c r="J254" s="17" t="n">
        <v>1</v>
      </c>
      <c r="K254" s="17" t="inlineStr"/>
      <c r="L254" s="17" t="inlineStr">
        <is>
          <t>Y</t>
        </is>
      </c>
      <c r="M254" s="17" t="inlineStr"/>
      <c r="N254" s="17" t="inlineStr"/>
      <c r="O254" s="17" t="inlineStr">
        <is>
          <t>경기도</t>
        </is>
      </c>
      <c r="P254" s="17" t="inlineStr">
        <is>
          <t>02-573-1858</t>
        </is>
      </c>
      <c r="Q254" s="17" t="inlineStr"/>
      <c r="R254" s="17" t="inlineStr">
        <is>
          <t>LIMS</t>
        </is>
      </c>
      <c r="S254" s="24" t="n">
        <v>46593</v>
      </c>
      <c r="T254" s="17" t="inlineStr"/>
    </row>
    <row r="255">
      <c r="A255" s="17" t="n">
        <v>254</v>
      </c>
      <c r="B255" s="17" t="inlineStr">
        <is>
          <t>에스케이바이오텍(주)</t>
        </is>
      </c>
      <c r="C255" s="17" t="inlineStr">
        <is>
          <t>에스케이바이오텍</t>
        </is>
      </c>
      <c r="D255" s="27" t="inlineStr">
        <is>
          <t>Tier C</t>
        </is>
      </c>
      <c r="E255" s="17" t="n">
        <v>10</v>
      </c>
      <c r="F255" s="17" t="inlineStr"/>
      <c r="G255" s="23" t="inlineStr"/>
      <c r="H255" s="22" t="inlineStr">
        <is>
          <t>미확인</t>
        </is>
      </c>
      <c r="I255" s="17" t="n">
        <v>1</v>
      </c>
      <c r="J255" s="17" t="n">
        <v>1</v>
      </c>
      <c r="K255" s="17" t="inlineStr"/>
      <c r="L255" s="17" t="inlineStr">
        <is>
          <t>Y</t>
        </is>
      </c>
      <c r="M255" s="17" t="inlineStr"/>
      <c r="N255" s="17" t="inlineStr"/>
      <c r="O255" s="17" t="inlineStr">
        <is>
          <t>세종특별자치시</t>
        </is>
      </c>
      <c r="P255" s="17" t="inlineStr">
        <is>
          <t>044-850-0806</t>
        </is>
      </c>
      <c r="Q255" s="17" t="inlineStr"/>
      <c r="R255" s="17" t="inlineStr">
        <is>
          <t>LIMS</t>
        </is>
      </c>
      <c r="S255" s="24" t="n">
        <v>47014</v>
      </c>
      <c r="T255" s="17" t="inlineStr"/>
    </row>
    <row r="256">
      <c r="A256" s="17" t="n">
        <v>255</v>
      </c>
      <c r="B256" s="17" t="inlineStr">
        <is>
          <t>엔비케이제약(주)</t>
        </is>
      </c>
      <c r="C256" s="17" t="inlineStr">
        <is>
          <t>엔비케이제약</t>
        </is>
      </c>
      <c r="D256" s="27" t="inlineStr">
        <is>
          <t>Tier C</t>
        </is>
      </c>
      <c r="E256" s="17" t="n">
        <v>10</v>
      </c>
      <c r="F256" s="17" t="inlineStr"/>
      <c r="G256" s="23" t="inlineStr"/>
      <c r="H256" s="22" t="inlineStr">
        <is>
          <t>미확인</t>
        </is>
      </c>
      <c r="I256" s="17" t="n">
        <v>1</v>
      </c>
      <c r="J256" s="17" t="n">
        <v>1</v>
      </c>
      <c r="K256" s="17" t="inlineStr">
        <is>
          <t>Y</t>
        </is>
      </c>
      <c r="L256" s="17" t="inlineStr"/>
      <c r="M256" s="17" t="inlineStr"/>
      <c r="N256" s="17" t="inlineStr"/>
      <c r="O256" s="17" t="inlineStr">
        <is>
          <t>충청남도</t>
        </is>
      </c>
      <c r="P256" s="17" t="inlineStr">
        <is>
          <t>041-578-7490</t>
        </is>
      </c>
      <c r="Q256" s="17" t="inlineStr"/>
      <c r="R256" s="17" t="inlineStr">
        <is>
          <t>QMS</t>
        </is>
      </c>
      <c r="S256" s="24" t="n">
        <v>46265</v>
      </c>
      <c r="T256" s="17" t="inlineStr">
        <is>
          <t>Y</t>
        </is>
      </c>
    </row>
    <row r="257">
      <c r="A257" s="17" t="n">
        <v>256</v>
      </c>
      <c r="B257" s="17" t="inlineStr">
        <is>
          <t>엠에스종합가스(주)</t>
        </is>
      </c>
      <c r="C257" s="17" t="inlineStr">
        <is>
          <t>엠에스종합가스</t>
        </is>
      </c>
      <c r="D257" s="27" t="inlineStr">
        <is>
          <t>Tier C</t>
        </is>
      </c>
      <c r="E257" s="17" t="n">
        <v>10</v>
      </c>
      <c r="F257" s="17" t="inlineStr"/>
      <c r="G257" s="23" t="inlineStr"/>
      <c r="H257" s="22" t="inlineStr">
        <is>
          <t>미확인</t>
        </is>
      </c>
      <c r="I257" s="17" t="n">
        <v>1</v>
      </c>
      <c r="J257" s="17" t="n">
        <v>1</v>
      </c>
      <c r="K257" s="17" t="inlineStr">
        <is>
          <t>Y</t>
        </is>
      </c>
      <c r="L257" s="17" t="inlineStr"/>
      <c r="M257" s="17" t="inlineStr"/>
      <c r="N257" s="17" t="inlineStr"/>
      <c r="O257" s="17" t="inlineStr">
        <is>
          <t>경상남도</t>
        </is>
      </c>
      <c r="P257" s="17" t="inlineStr">
        <is>
          <t>055-366-5522</t>
        </is>
      </c>
      <c r="Q257" s="17" t="inlineStr"/>
      <c r="R257" s="17" t="inlineStr">
        <is>
          <t>QMS</t>
        </is>
      </c>
      <c r="S257" s="24" t="n">
        <v>46244</v>
      </c>
      <c r="T257" s="17" t="inlineStr">
        <is>
          <t>Y</t>
        </is>
      </c>
    </row>
    <row r="258">
      <c r="A258" s="17" t="n">
        <v>257</v>
      </c>
      <c r="B258" s="17" t="inlineStr">
        <is>
          <t>제이투에이치바이오텍(주)</t>
        </is>
      </c>
      <c r="C258" s="17" t="inlineStr">
        <is>
          <t>제이투에이치바이오텍</t>
        </is>
      </c>
      <c r="D258" s="27" t="inlineStr">
        <is>
          <t>Tier C</t>
        </is>
      </c>
      <c r="E258" s="17" t="n">
        <v>10</v>
      </c>
      <c r="F258" s="17" t="inlineStr"/>
      <c r="G258" s="23" t="inlineStr"/>
      <c r="H258" s="22" t="inlineStr">
        <is>
          <t>미확인</t>
        </is>
      </c>
      <c r="I258" s="17" t="n">
        <v>1</v>
      </c>
      <c r="J258" s="17" t="n">
        <v>1</v>
      </c>
      <c r="K258" s="17" t="inlineStr"/>
      <c r="L258" s="17" t="inlineStr">
        <is>
          <t>Y</t>
        </is>
      </c>
      <c r="M258" s="17" t="inlineStr"/>
      <c r="N258" s="17" t="inlineStr"/>
      <c r="O258" s="17" t="inlineStr">
        <is>
          <t>경기도</t>
        </is>
      </c>
      <c r="P258" s="17" t="inlineStr">
        <is>
          <t>미확인</t>
        </is>
      </c>
      <c r="Q258" s="17" t="inlineStr"/>
      <c r="R258" s="17" t="inlineStr">
        <is>
          <t>LIMS</t>
        </is>
      </c>
      <c r="S258" s="24" t="n">
        <v>46876</v>
      </c>
      <c r="T258" s="17" t="inlineStr"/>
    </row>
    <row r="259">
      <c r="A259" s="17" t="n">
        <v>258</v>
      </c>
      <c r="B259" s="17" t="inlineStr">
        <is>
          <t>주식회사 노바엠헬스케어</t>
        </is>
      </c>
      <c r="C259" s="17" t="inlineStr">
        <is>
          <t>노바엠헬스케어</t>
        </is>
      </c>
      <c r="D259" s="27" t="inlineStr">
        <is>
          <t>Tier C</t>
        </is>
      </c>
      <c r="E259" s="17" t="n">
        <v>10</v>
      </c>
      <c r="F259" s="17" t="inlineStr"/>
      <c r="G259" s="23" t="inlineStr"/>
      <c r="H259" s="22" t="inlineStr">
        <is>
          <t>미확인</t>
        </is>
      </c>
      <c r="I259" s="17" t="n">
        <v>1</v>
      </c>
      <c r="J259" s="17" t="n">
        <v>1</v>
      </c>
      <c r="K259" s="17" t="inlineStr">
        <is>
          <t>Y</t>
        </is>
      </c>
      <c r="L259" s="17" t="inlineStr"/>
      <c r="M259" s="17" t="inlineStr"/>
      <c r="N259" s="17" t="inlineStr"/>
      <c r="O259" s="17" t="inlineStr">
        <is>
          <t>경상북도</t>
        </is>
      </c>
      <c r="P259" s="17" t="inlineStr">
        <is>
          <t>053-217-0033</t>
        </is>
      </c>
      <c r="Q259" s="17" t="inlineStr"/>
      <c r="R259" s="17" t="inlineStr">
        <is>
          <t>QMS</t>
        </is>
      </c>
      <c r="S259" s="24" t="n">
        <v>46376</v>
      </c>
      <c r="T259" s="17" t="inlineStr">
        <is>
          <t>Y</t>
        </is>
      </c>
    </row>
    <row r="260">
      <c r="A260" s="17" t="n">
        <v>259</v>
      </c>
      <c r="B260" s="17" t="inlineStr">
        <is>
          <t>주식회사삼현제약</t>
        </is>
      </c>
      <c r="C260" s="17" t="inlineStr">
        <is>
          <t>삼현제약</t>
        </is>
      </c>
      <c r="D260" s="27" t="inlineStr">
        <is>
          <t>Tier C</t>
        </is>
      </c>
      <c r="E260" s="17" t="n">
        <v>10</v>
      </c>
      <c r="F260" s="17" t="inlineStr"/>
      <c r="G260" s="23" t="inlineStr"/>
      <c r="H260" s="22" t="inlineStr">
        <is>
          <t>미확인</t>
        </is>
      </c>
      <c r="I260" s="17" t="n">
        <v>1</v>
      </c>
      <c r="J260" s="17" t="n">
        <v>1</v>
      </c>
      <c r="K260" s="17" t="inlineStr">
        <is>
          <t>Y</t>
        </is>
      </c>
      <c r="L260" s="17" t="inlineStr"/>
      <c r="M260" s="17" t="inlineStr"/>
      <c r="N260" s="17" t="inlineStr"/>
      <c r="O260" s="17" t="inlineStr">
        <is>
          <t>인천광역시</t>
        </is>
      </c>
      <c r="P260" s="17" t="inlineStr">
        <is>
          <t>미확인</t>
        </is>
      </c>
      <c r="Q260" s="17" t="inlineStr"/>
      <c r="R260" s="17" t="inlineStr">
        <is>
          <t>QMS</t>
        </is>
      </c>
      <c r="S260" s="24" t="n">
        <v>46346</v>
      </c>
      <c r="T260" s="17" t="inlineStr">
        <is>
          <t>Y</t>
        </is>
      </c>
    </row>
    <row r="261">
      <c r="A261" s="17" t="n">
        <v>260</v>
      </c>
      <c r="B261" s="17" t="inlineStr">
        <is>
          <t>주식회사위지피제약</t>
        </is>
      </c>
      <c r="C261" s="17" t="inlineStr">
        <is>
          <t>위지피제약</t>
        </is>
      </c>
      <c r="D261" s="27" t="inlineStr">
        <is>
          <t>Tier C</t>
        </is>
      </c>
      <c r="E261" s="17" t="n">
        <v>10</v>
      </c>
      <c r="F261" s="17" t="inlineStr"/>
      <c r="G261" s="23" t="inlineStr"/>
      <c r="H261" s="22" t="inlineStr">
        <is>
          <t>미확인</t>
        </is>
      </c>
      <c r="I261" s="17" t="n">
        <v>1</v>
      </c>
      <c r="J261" s="17" t="n">
        <v>1</v>
      </c>
      <c r="K261" s="17" t="inlineStr">
        <is>
          <t>Y</t>
        </is>
      </c>
      <c r="L261" s="17" t="inlineStr"/>
      <c r="M261" s="17" t="inlineStr"/>
      <c r="N261" s="17" t="inlineStr"/>
      <c r="O261" s="17" t="inlineStr">
        <is>
          <t>경기도</t>
        </is>
      </c>
      <c r="P261" s="17" t="inlineStr">
        <is>
          <t>미확인</t>
        </is>
      </c>
      <c r="Q261" s="17" t="inlineStr"/>
      <c r="R261" s="17" t="inlineStr">
        <is>
          <t>QMS</t>
        </is>
      </c>
      <c r="S261" s="24" t="n">
        <v>46334</v>
      </c>
      <c r="T261" s="17" t="inlineStr">
        <is>
          <t>Y</t>
        </is>
      </c>
    </row>
    <row r="262">
      <c r="A262" s="17" t="n">
        <v>261</v>
      </c>
      <c r="B262" s="17" t="inlineStr">
        <is>
          <t>주식회사진바이오팜</t>
        </is>
      </c>
      <c r="C262" s="17" t="inlineStr">
        <is>
          <t>진바이오팜</t>
        </is>
      </c>
      <c r="D262" s="27" t="inlineStr">
        <is>
          <t>Tier C</t>
        </is>
      </c>
      <c r="E262" s="17" t="n">
        <v>10</v>
      </c>
      <c r="F262" s="17" t="inlineStr"/>
      <c r="G262" s="23" t="inlineStr"/>
      <c r="H262" s="22" t="inlineStr">
        <is>
          <t>미확인</t>
        </is>
      </c>
      <c r="I262" s="17" t="n">
        <v>1</v>
      </c>
      <c r="J262" s="17" t="n">
        <v>1</v>
      </c>
      <c r="K262" s="17" t="inlineStr"/>
      <c r="L262" s="17" t="inlineStr">
        <is>
          <t>Y</t>
        </is>
      </c>
      <c r="M262" s="17" t="inlineStr"/>
      <c r="N262" s="17" t="inlineStr"/>
      <c r="O262" s="17" t="inlineStr">
        <is>
          <t>경기도</t>
        </is>
      </c>
      <c r="P262" s="17" t="inlineStr">
        <is>
          <t>031-686-7736</t>
        </is>
      </c>
      <c r="Q262" s="17" t="inlineStr"/>
      <c r="R262" s="17" t="inlineStr">
        <is>
          <t>LIMS</t>
        </is>
      </c>
      <c r="S262" s="24" t="n">
        <v>46635</v>
      </c>
      <c r="T262" s="17" t="inlineStr"/>
    </row>
    <row r="263">
      <c r="A263" s="17" t="n">
        <v>262</v>
      </c>
      <c r="B263" s="17" t="inlineStr">
        <is>
          <t>지에이치(주)</t>
        </is>
      </c>
      <c r="C263" s="17" t="inlineStr">
        <is>
          <t>지에이치</t>
        </is>
      </c>
      <c r="D263" s="27" t="inlineStr">
        <is>
          <t>Tier C</t>
        </is>
      </c>
      <c r="E263" s="17" t="n">
        <v>10</v>
      </c>
      <c r="F263" s="17" t="inlineStr"/>
      <c r="G263" s="23" t="inlineStr"/>
      <c r="H263" s="22" t="inlineStr">
        <is>
          <t>미확인</t>
        </is>
      </c>
      <c r="I263" s="17" t="n">
        <v>1</v>
      </c>
      <c r="J263" s="17" t="n">
        <v>1</v>
      </c>
      <c r="K263" s="17" t="inlineStr"/>
      <c r="L263" s="17" t="inlineStr">
        <is>
          <t>Y</t>
        </is>
      </c>
      <c r="M263" s="17" t="inlineStr"/>
      <c r="N263" s="17" t="inlineStr"/>
      <c r="O263" s="17" t="inlineStr">
        <is>
          <t>충청남도</t>
        </is>
      </c>
      <c r="P263" s="17" t="inlineStr">
        <is>
          <t>02-587-9123</t>
        </is>
      </c>
      <c r="Q263" s="17" t="inlineStr"/>
      <c r="R263" s="17" t="inlineStr">
        <is>
          <t>LIMS</t>
        </is>
      </c>
      <c r="S263" s="24" t="n">
        <v>47310</v>
      </c>
      <c r="T263" s="17" t="inlineStr"/>
    </row>
    <row r="264">
      <c r="A264" s="17" t="n">
        <v>263</v>
      </c>
      <c r="B264" s="17" t="inlineStr">
        <is>
          <t>한국바스프(주)</t>
        </is>
      </c>
      <c r="C264" s="17" t="inlineStr">
        <is>
          <t>한국바스프</t>
        </is>
      </c>
      <c r="D264" s="27" t="inlineStr">
        <is>
          <t>Tier C</t>
        </is>
      </c>
      <c r="E264" s="17" t="n">
        <v>10</v>
      </c>
      <c r="F264" s="17" t="inlineStr"/>
      <c r="G264" s="23" t="inlineStr"/>
      <c r="H264" s="22" t="inlineStr">
        <is>
          <t>미확인</t>
        </is>
      </c>
      <c r="I264" s="17" t="n">
        <v>1</v>
      </c>
      <c r="J264" s="17" t="n">
        <v>1</v>
      </c>
      <c r="K264" s="17" t="inlineStr"/>
      <c r="L264" s="17" t="inlineStr">
        <is>
          <t>Y</t>
        </is>
      </c>
      <c r="M264" s="17" t="inlineStr"/>
      <c r="N264" s="17" t="inlineStr"/>
      <c r="O264" s="17" t="inlineStr">
        <is>
          <t>전북특별자치도</t>
        </is>
      </c>
      <c r="P264" s="17" t="inlineStr">
        <is>
          <t>063-469-2500</t>
        </is>
      </c>
      <c r="Q264" s="17" t="inlineStr"/>
      <c r="R264" s="17" t="inlineStr">
        <is>
          <t>LIMS</t>
        </is>
      </c>
      <c r="S264" s="24" t="n">
        <v>46791</v>
      </c>
      <c r="T264" s="17" t="inlineStr"/>
    </row>
    <row r="265">
      <c r="A265" s="17" t="n">
        <v>264</v>
      </c>
      <c r="B265" s="17" t="inlineStr">
        <is>
          <t>한성신약주식회사</t>
        </is>
      </c>
      <c r="C265" s="17" t="inlineStr">
        <is>
          <t>한성신약</t>
        </is>
      </c>
      <c r="D265" s="27" t="inlineStr">
        <is>
          <t>Tier C</t>
        </is>
      </c>
      <c r="E265" s="17" t="n">
        <v>10</v>
      </c>
      <c r="F265" s="17" t="inlineStr"/>
      <c r="G265" s="23" t="inlineStr"/>
      <c r="H265" s="22" t="inlineStr">
        <is>
          <t>미확인</t>
        </is>
      </c>
      <c r="I265" s="17" t="n">
        <v>1</v>
      </c>
      <c r="J265" s="17" t="n">
        <v>1</v>
      </c>
      <c r="K265" s="17" t="inlineStr"/>
      <c r="L265" s="17" t="inlineStr">
        <is>
          <t>Y</t>
        </is>
      </c>
      <c r="M265" s="17" t="inlineStr"/>
      <c r="N265" s="17" t="inlineStr"/>
      <c r="O265" s="17" t="inlineStr">
        <is>
          <t>충청북도</t>
        </is>
      </c>
      <c r="P265" s="17" t="inlineStr">
        <is>
          <t>031-988-0353</t>
        </is>
      </c>
      <c r="Q265" s="17" t="inlineStr"/>
      <c r="R265" s="17" t="inlineStr">
        <is>
          <t>LIMS</t>
        </is>
      </c>
      <c r="S265" s="24" t="n">
        <v>46654</v>
      </c>
      <c r="T265" s="17" t="inlineStr"/>
    </row>
    <row r="266">
      <c r="A266" s="17" t="n">
        <v>265</v>
      </c>
      <c r="B266" s="17" t="inlineStr">
        <is>
          <t>(주)나노팜</t>
        </is>
      </c>
      <c r="C266" s="17" t="inlineStr">
        <is>
          <t>나노팜</t>
        </is>
      </c>
      <c r="D266" s="28" t="inlineStr">
        <is>
          <t>Tier D</t>
        </is>
      </c>
      <c r="E266" s="17" t="n">
        <v>8</v>
      </c>
      <c r="F266" s="17" t="inlineStr"/>
      <c r="G266" s="23" t="inlineStr"/>
      <c r="H266" s="22" t="inlineStr">
        <is>
          <t>미확인</t>
        </is>
      </c>
      <c r="I266" s="17" t="n">
        <v>1</v>
      </c>
      <c r="J266" s="17" t="n">
        <v>1</v>
      </c>
      <c r="K266" s="17" t="inlineStr">
        <is>
          <t>Y</t>
        </is>
      </c>
      <c r="L266" s="17" t="inlineStr"/>
      <c r="M266" s="17" t="inlineStr"/>
      <c r="N266" s="17" t="inlineStr"/>
      <c r="O266" s="17" t="inlineStr">
        <is>
          <t>충청북도</t>
        </is>
      </c>
      <c r="P266" s="17" t="inlineStr">
        <is>
          <t>043-5337-7804</t>
        </is>
      </c>
      <c r="Q266" s="17" t="inlineStr"/>
      <c r="R266" s="17" t="inlineStr">
        <is>
          <t>QMS</t>
        </is>
      </c>
      <c r="S266" s="24" t="n">
        <v>46536</v>
      </c>
      <c r="T266" s="17" t="inlineStr"/>
    </row>
    <row r="267">
      <c r="A267" s="17" t="n">
        <v>266</v>
      </c>
      <c r="B267" s="17" t="inlineStr">
        <is>
          <t>(주)덕양가스</t>
        </is>
      </c>
      <c r="C267" s="17" t="inlineStr">
        <is>
          <t>덕양가스</t>
        </is>
      </c>
      <c r="D267" s="28" t="inlineStr">
        <is>
          <t>Tier D</t>
        </is>
      </c>
      <c r="E267" s="17" t="n">
        <v>8</v>
      </c>
      <c r="F267" s="17" t="inlineStr"/>
      <c r="G267" s="23" t="inlineStr"/>
      <c r="H267" s="22" t="inlineStr">
        <is>
          <t>미확인</t>
        </is>
      </c>
      <c r="I267" s="17" t="n">
        <v>1</v>
      </c>
      <c r="J267" s="17" t="n">
        <v>1</v>
      </c>
      <c r="K267" s="17" t="inlineStr">
        <is>
          <t>Y</t>
        </is>
      </c>
      <c r="L267" s="17" t="inlineStr"/>
      <c r="M267" s="17" t="inlineStr"/>
      <c r="N267" s="17" t="inlineStr"/>
      <c r="O267" s="17" t="inlineStr">
        <is>
          <t>울산광역시</t>
        </is>
      </c>
      <c r="P267" s="17" t="inlineStr">
        <is>
          <t>052-282-8100</t>
        </is>
      </c>
      <c r="Q267" s="17" t="inlineStr"/>
      <c r="R267" s="17" t="inlineStr">
        <is>
          <t>QMS</t>
        </is>
      </c>
      <c r="S267" s="24" t="n">
        <v>46535</v>
      </c>
      <c r="T267" s="17" t="inlineStr"/>
    </row>
    <row r="268">
      <c r="A268" s="17" t="n">
        <v>267</v>
      </c>
      <c r="B268" s="17" t="inlineStr">
        <is>
          <t>(주)새한제약</t>
        </is>
      </c>
      <c r="C268" s="17" t="inlineStr">
        <is>
          <t>새한제약</t>
        </is>
      </c>
      <c r="D268" s="28" t="inlineStr">
        <is>
          <t>Tier D</t>
        </is>
      </c>
      <c r="E268" s="17" t="n">
        <v>8</v>
      </c>
      <c r="F268" s="17" t="inlineStr"/>
      <c r="G268" s="23" t="inlineStr"/>
      <c r="H268" s="22" t="inlineStr">
        <is>
          <t>미확인</t>
        </is>
      </c>
      <c r="I268" s="17" t="n">
        <v>1</v>
      </c>
      <c r="J268" s="17" t="n">
        <v>1</v>
      </c>
      <c r="K268" s="17" t="inlineStr">
        <is>
          <t>Y</t>
        </is>
      </c>
      <c r="L268" s="17" t="inlineStr"/>
      <c r="M268" s="17" t="inlineStr"/>
      <c r="N268" s="17" t="inlineStr"/>
      <c r="O268" s="17" t="inlineStr">
        <is>
          <t>경기도</t>
        </is>
      </c>
      <c r="P268" s="17" t="inlineStr">
        <is>
          <t>031-673-3132</t>
        </is>
      </c>
      <c r="Q268" s="17" t="inlineStr"/>
      <c r="R268" s="17" t="inlineStr">
        <is>
          <t>QMS</t>
        </is>
      </c>
      <c r="S268" s="24" t="n">
        <v>46572</v>
      </c>
      <c r="T268" s="17" t="inlineStr"/>
    </row>
    <row r="269">
      <c r="A269" s="17" t="n">
        <v>268</v>
      </c>
      <c r="B269" s="17" t="inlineStr">
        <is>
          <t>(주)세종산업가스</t>
        </is>
      </c>
      <c r="C269" s="17" t="inlineStr">
        <is>
          <t>세종산업가스</t>
        </is>
      </c>
      <c r="D269" s="28" t="inlineStr">
        <is>
          <t>Tier D</t>
        </is>
      </c>
      <c r="E269" s="17" t="n">
        <v>8</v>
      </c>
      <c r="F269" s="17" t="inlineStr"/>
      <c r="G269" s="23" t="inlineStr"/>
      <c r="H269" s="22" t="inlineStr">
        <is>
          <t>미확인</t>
        </is>
      </c>
      <c r="I269" s="17" t="n">
        <v>1</v>
      </c>
      <c r="J269" s="17" t="n">
        <v>1</v>
      </c>
      <c r="K269" s="17" t="inlineStr">
        <is>
          <t>Y</t>
        </is>
      </c>
      <c r="L269" s="17" t="inlineStr"/>
      <c r="M269" s="17" t="inlineStr"/>
      <c r="N269" s="17" t="inlineStr"/>
      <c r="O269" s="17" t="inlineStr">
        <is>
          <t>세종특별자치시</t>
        </is>
      </c>
      <c r="P269" s="17" t="inlineStr">
        <is>
          <t>044-865-9505</t>
        </is>
      </c>
      <c r="Q269" s="17" t="inlineStr"/>
      <c r="R269" s="17" t="inlineStr">
        <is>
          <t>QMS</t>
        </is>
      </c>
      <c r="S269" s="24" t="n">
        <v>46473</v>
      </c>
      <c r="T269" s="17" t="inlineStr"/>
    </row>
    <row r="270">
      <c r="A270" s="17" t="n">
        <v>269</v>
      </c>
      <c r="B270" s="17" t="inlineStr">
        <is>
          <t>(주)씨엘팜</t>
        </is>
      </c>
      <c r="C270" s="17" t="inlineStr">
        <is>
          <t>씨엘팜</t>
        </is>
      </c>
      <c r="D270" s="28" t="inlineStr">
        <is>
          <t>Tier D</t>
        </is>
      </c>
      <c r="E270" s="17" t="n">
        <v>8</v>
      </c>
      <c r="F270" s="17" t="inlineStr"/>
      <c r="G270" s="23" t="inlineStr"/>
      <c r="H270" s="22" t="inlineStr">
        <is>
          <t>미확인</t>
        </is>
      </c>
      <c r="I270" s="17" t="n">
        <v>1</v>
      </c>
      <c r="J270" s="17" t="n">
        <v>1</v>
      </c>
      <c r="K270" s="17" t="inlineStr">
        <is>
          <t>Y</t>
        </is>
      </c>
      <c r="L270" s="17" t="inlineStr"/>
      <c r="M270" s="17" t="inlineStr"/>
      <c r="N270" s="17" t="inlineStr"/>
      <c r="O270" s="17" t="inlineStr">
        <is>
          <t>충청남도</t>
        </is>
      </c>
      <c r="P270" s="17" t="inlineStr">
        <is>
          <t>041-546-1661</t>
        </is>
      </c>
      <c r="Q270" s="17" t="inlineStr"/>
      <c r="R270" s="17" t="inlineStr">
        <is>
          <t>QMS</t>
        </is>
      </c>
      <c r="S270" s="24" t="n">
        <v>46501</v>
      </c>
      <c r="T270" s="17" t="inlineStr"/>
    </row>
    <row r="271">
      <c r="A271" s="17" t="n">
        <v>270</v>
      </c>
      <c r="B271" s="17" t="inlineStr">
        <is>
          <t>(주)씨엠지제약</t>
        </is>
      </c>
      <c r="C271" s="17" t="inlineStr">
        <is>
          <t>씨엠지제약</t>
        </is>
      </c>
      <c r="D271" s="28" t="inlineStr">
        <is>
          <t>Tier D</t>
        </is>
      </c>
      <c r="E271" s="17" t="n">
        <v>8</v>
      </c>
      <c r="F271" s="17" t="inlineStr"/>
      <c r="G271" s="23" t="inlineStr"/>
      <c r="H271" s="22" t="inlineStr">
        <is>
          <t>미확인</t>
        </is>
      </c>
      <c r="I271" s="17" t="n">
        <v>1</v>
      </c>
      <c r="J271" s="17" t="n">
        <v>1</v>
      </c>
      <c r="K271" s="17" t="inlineStr">
        <is>
          <t>Y</t>
        </is>
      </c>
      <c r="L271" s="17" t="inlineStr"/>
      <c r="M271" s="17" t="inlineStr"/>
      <c r="N271" s="17" t="inlineStr"/>
      <c r="O271" s="17" t="inlineStr">
        <is>
          <t>경기도</t>
        </is>
      </c>
      <c r="P271" s="17" t="inlineStr">
        <is>
          <t>미확인</t>
        </is>
      </c>
      <c r="Q271" s="17" t="inlineStr"/>
      <c r="R271" s="17" t="inlineStr">
        <is>
          <t>QMS</t>
        </is>
      </c>
      <c r="S271" s="24" t="n">
        <v>46439</v>
      </c>
      <c r="T271" s="17" t="inlineStr"/>
    </row>
    <row r="272">
      <c r="A272" s="17" t="n">
        <v>271</v>
      </c>
      <c r="B272" s="17" t="inlineStr">
        <is>
          <t>(주)유니온가스</t>
        </is>
      </c>
      <c r="C272" s="17" t="inlineStr">
        <is>
          <t>유니온가스</t>
        </is>
      </c>
      <c r="D272" s="28" t="inlineStr">
        <is>
          <t>Tier D</t>
        </is>
      </c>
      <c r="E272" s="17" t="n">
        <v>8</v>
      </c>
      <c r="F272" s="17" t="inlineStr"/>
      <c r="G272" s="23" t="inlineStr"/>
      <c r="H272" s="22" t="inlineStr">
        <is>
          <t>미확인</t>
        </is>
      </c>
      <c r="I272" s="17" t="n">
        <v>1</v>
      </c>
      <c r="J272" s="17" t="n">
        <v>1</v>
      </c>
      <c r="K272" s="17" t="inlineStr">
        <is>
          <t>Y</t>
        </is>
      </c>
      <c r="L272" s="17" t="inlineStr"/>
      <c r="M272" s="17" t="inlineStr"/>
      <c r="N272" s="17" t="inlineStr"/>
      <c r="O272" s="17" t="inlineStr">
        <is>
          <t>경기도</t>
        </is>
      </c>
      <c r="P272" s="17" t="inlineStr">
        <is>
          <t>미확인</t>
        </is>
      </c>
      <c r="Q272" s="17" t="inlineStr"/>
      <c r="R272" s="17" t="inlineStr">
        <is>
          <t>QMS</t>
        </is>
      </c>
      <c r="S272" s="24" t="n">
        <v>46533</v>
      </c>
      <c r="T272" s="17" t="inlineStr"/>
    </row>
    <row r="273">
      <c r="A273" s="17" t="n">
        <v>272</v>
      </c>
      <c r="B273" s="17" t="inlineStr">
        <is>
          <t>(주)인트로바이오파마</t>
        </is>
      </c>
      <c r="C273" s="17" t="inlineStr">
        <is>
          <t>인트로바이오파마</t>
        </is>
      </c>
      <c r="D273" s="28" t="inlineStr">
        <is>
          <t>Tier D</t>
        </is>
      </c>
      <c r="E273" s="17" t="n">
        <v>8</v>
      </c>
      <c r="F273" s="17" t="inlineStr"/>
      <c r="G273" s="23" t="inlineStr"/>
      <c r="H273" s="22" t="inlineStr">
        <is>
          <t>미확인</t>
        </is>
      </c>
      <c r="I273" s="17" t="n">
        <v>1</v>
      </c>
      <c r="J273" s="17" t="n">
        <v>1</v>
      </c>
      <c r="K273" s="17" t="inlineStr">
        <is>
          <t>Y</t>
        </is>
      </c>
      <c r="L273" s="17" t="inlineStr"/>
      <c r="M273" s="17" t="inlineStr"/>
      <c r="N273" s="17" t="inlineStr"/>
      <c r="O273" s="17" t="inlineStr">
        <is>
          <t>경기도</t>
        </is>
      </c>
      <c r="P273" s="17" t="inlineStr">
        <is>
          <t>미확인</t>
        </is>
      </c>
      <c r="Q273" s="17" t="inlineStr"/>
      <c r="R273" s="17" t="inlineStr">
        <is>
          <t>QMS</t>
        </is>
      </c>
      <c r="S273" s="24" t="n">
        <v>46516</v>
      </c>
      <c r="T273" s="17" t="inlineStr"/>
    </row>
    <row r="274">
      <c r="A274" s="17" t="n">
        <v>273</v>
      </c>
      <c r="B274" s="17" t="inlineStr">
        <is>
          <t>(주)휴온스생명과학</t>
        </is>
      </c>
      <c r="C274" s="17" t="inlineStr">
        <is>
          <t>휴온스생명과학</t>
        </is>
      </c>
      <c r="D274" s="28" t="inlineStr">
        <is>
          <t>Tier D</t>
        </is>
      </c>
      <c r="E274" s="17" t="n">
        <v>8</v>
      </c>
      <c r="F274" s="17" t="inlineStr"/>
      <c r="G274" s="23" t="inlineStr"/>
      <c r="H274" s="22" t="inlineStr">
        <is>
          <t>미확인</t>
        </is>
      </c>
      <c r="I274" s="17" t="n">
        <v>1</v>
      </c>
      <c r="J274" s="17" t="n">
        <v>1</v>
      </c>
      <c r="K274" s="17" t="inlineStr">
        <is>
          <t>Y</t>
        </is>
      </c>
      <c r="L274" s="17" t="inlineStr"/>
      <c r="M274" s="17" t="inlineStr"/>
      <c r="N274" s="17" t="inlineStr"/>
      <c r="O274" s="17" t="inlineStr">
        <is>
          <t>충청북도</t>
        </is>
      </c>
      <c r="P274" s="17" t="inlineStr">
        <is>
          <t>070-4659-3131</t>
        </is>
      </c>
      <c r="Q274" s="17" t="inlineStr"/>
      <c r="R274" s="17" t="inlineStr">
        <is>
          <t>QMS</t>
        </is>
      </c>
      <c r="S274" s="24" t="n">
        <v>46480</v>
      </c>
      <c r="T274" s="17" t="inlineStr"/>
    </row>
    <row r="275">
      <c r="A275" s="17" t="n">
        <v>274</v>
      </c>
      <c r="B275" s="17" t="inlineStr">
        <is>
          <t>건일제약(주)</t>
        </is>
      </c>
      <c r="C275" s="17" t="inlineStr">
        <is>
          <t>건일제약</t>
        </is>
      </c>
      <c r="D275" s="28" t="inlineStr">
        <is>
          <t>Tier D</t>
        </is>
      </c>
      <c r="E275" s="17" t="n">
        <v>8</v>
      </c>
      <c r="F275" s="17" t="inlineStr"/>
      <c r="G275" s="23" t="inlineStr"/>
      <c r="H275" s="22" t="inlineStr">
        <is>
          <t>미확인</t>
        </is>
      </c>
      <c r="I275" s="17" t="n">
        <v>1</v>
      </c>
      <c r="J275" s="17" t="n">
        <v>1</v>
      </c>
      <c r="K275" s="17" t="inlineStr">
        <is>
          <t>Y</t>
        </is>
      </c>
      <c r="L275" s="17" t="inlineStr"/>
      <c r="M275" s="17" t="inlineStr"/>
      <c r="N275" s="17" t="inlineStr"/>
      <c r="O275" s="17" t="inlineStr">
        <is>
          <t>충청남도</t>
        </is>
      </c>
      <c r="P275" s="17" t="inlineStr">
        <is>
          <t>02-2175-9751</t>
        </is>
      </c>
      <c r="Q275" s="17" t="inlineStr"/>
      <c r="R275" s="17" t="inlineStr">
        <is>
          <t>QMS</t>
        </is>
      </c>
      <c r="S275" s="24" t="n">
        <v>46564</v>
      </c>
      <c r="T275" s="17" t="inlineStr"/>
    </row>
    <row r="276">
      <c r="A276" s="17" t="n">
        <v>275</v>
      </c>
      <c r="B276" s="17" t="inlineStr">
        <is>
          <t>경진제약(주)</t>
        </is>
      </c>
      <c r="C276" s="17" t="inlineStr">
        <is>
          <t>경진제약</t>
        </is>
      </c>
      <c r="D276" s="28" t="inlineStr">
        <is>
          <t>Tier D</t>
        </is>
      </c>
      <c r="E276" s="17" t="n">
        <v>8</v>
      </c>
      <c r="F276" s="17" t="inlineStr"/>
      <c r="G276" s="23" t="inlineStr"/>
      <c r="H276" s="22" t="inlineStr">
        <is>
          <t>미확인</t>
        </is>
      </c>
      <c r="I276" s="17" t="n">
        <v>1</v>
      </c>
      <c r="J276" s="17" t="n">
        <v>1</v>
      </c>
      <c r="K276" s="17" t="inlineStr">
        <is>
          <t>Y</t>
        </is>
      </c>
      <c r="L276" s="17" t="inlineStr"/>
      <c r="M276" s="17" t="inlineStr"/>
      <c r="N276" s="17" t="inlineStr"/>
      <c r="O276" s="17" t="inlineStr">
        <is>
          <t>경기도</t>
        </is>
      </c>
      <c r="P276" s="17" t="inlineStr">
        <is>
          <t>02-2612-0714</t>
        </is>
      </c>
      <c r="Q276" s="17" t="inlineStr"/>
      <c r="R276" s="17" t="inlineStr">
        <is>
          <t>QMS</t>
        </is>
      </c>
      <c r="S276" s="24" t="n">
        <v>46460</v>
      </c>
      <c r="T276" s="17" t="inlineStr"/>
    </row>
    <row r="277">
      <c r="A277" s="17" t="n">
        <v>276</v>
      </c>
      <c r="B277" s="17" t="inlineStr">
        <is>
          <t>구주제약(주)</t>
        </is>
      </c>
      <c r="C277" s="17" t="inlineStr">
        <is>
          <t>구주제약</t>
        </is>
      </c>
      <c r="D277" s="28" t="inlineStr">
        <is>
          <t>Tier D</t>
        </is>
      </c>
      <c r="E277" s="17" t="n">
        <v>8</v>
      </c>
      <c r="F277" s="17" t="inlineStr"/>
      <c r="G277" s="23" t="inlineStr"/>
      <c r="H277" s="22" t="inlineStr">
        <is>
          <t>미확인</t>
        </is>
      </c>
      <c r="I277" s="17" t="n">
        <v>1</v>
      </c>
      <c r="J277" s="17" t="n">
        <v>1</v>
      </c>
      <c r="K277" s="17" t="inlineStr">
        <is>
          <t>Y</t>
        </is>
      </c>
      <c r="L277" s="17" t="inlineStr"/>
      <c r="M277" s="17" t="inlineStr"/>
      <c r="N277" s="17" t="inlineStr"/>
      <c r="O277" s="17" t="inlineStr">
        <is>
          <t>경기도</t>
        </is>
      </c>
      <c r="P277" s="17" t="inlineStr">
        <is>
          <t>6721096</t>
        </is>
      </c>
      <c r="Q277" s="17" t="inlineStr"/>
      <c r="R277" s="17" t="inlineStr">
        <is>
          <t>QMS</t>
        </is>
      </c>
      <c r="S277" s="24" t="n">
        <v>46564</v>
      </c>
      <c r="T277" s="17" t="inlineStr"/>
    </row>
    <row r="278">
      <c r="A278" s="17" t="n">
        <v>277</v>
      </c>
      <c r="B278" s="17" t="inlineStr">
        <is>
          <t>단일에이피(주)</t>
        </is>
      </c>
      <c r="C278" s="17" t="inlineStr">
        <is>
          <t>단일에이피</t>
        </is>
      </c>
      <c r="D278" s="28" t="inlineStr">
        <is>
          <t>Tier D</t>
        </is>
      </c>
      <c r="E278" s="17" t="n">
        <v>8</v>
      </c>
      <c r="F278" s="17" t="inlineStr"/>
      <c r="G278" s="23" t="inlineStr"/>
      <c r="H278" s="22" t="inlineStr">
        <is>
          <t>미확인</t>
        </is>
      </c>
      <c r="I278" s="17" t="n">
        <v>1</v>
      </c>
      <c r="J278" s="17" t="n">
        <v>1</v>
      </c>
      <c r="K278" s="17" t="inlineStr">
        <is>
          <t>Y</t>
        </is>
      </c>
      <c r="L278" s="17" t="inlineStr"/>
      <c r="M278" s="17" t="inlineStr"/>
      <c r="N278" s="17" t="inlineStr"/>
      <c r="O278" s="17" t="inlineStr">
        <is>
          <t>경기도</t>
        </is>
      </c>
      <c r="P278" s="17" t="inlineStr">
        <is>
          <t>031-563-3379</t>
        </is>
      </c>
      <c r="Q278" s="17" t="inlineStr"/>
      <c r="R278" s="17" t="inlineStr">
        <is>
          <t>QMS</t>
        </is>
      </c>
      <c r="S278" s="24" t="n">
        <v>46542</v>
      </c>
      <c r="T278" s="17" t="inlineStr"/>
    </row>
    <row r="279">
      <c r="A279" s="17" t="n">
        <v>278</v>
      </c>
      <c r="B279" s="17" t="inlineStr">
        <is>
          <t>대원바이오텍주식회사</t>
        </is>
      </c>
      <c r="C279" s="17" t="inlineStr">
        <is>
          <t>대원바이오텍</t>
        </is>
      </c>
      <c r="D279" s="28" t="inlineStr">
        <is>
          <t>Tier D</t>
        </is>
      </c>
      <c r="E279" s="17" t="n">
        <v>8</v>
      </c>
      <c r="F279" s="17" t="inlineStr"/>
      <c r="G279" s="23" t="inlineStr"/>
      <c r="H279" s="22" t="inlineStr">
        <is>
          <t>미확인</t>
        </is>
      </c>
      <c r="I279" s="17" t="n">
        <v>1</v>
      </c>
      <c r="J279" s="17" t="n">
        <v>1</v>
      </c>
      <c r="K279" s="17" t="inlineStr">
        <is>
          <t>Y</t>
        </is>
      </c>
      <c r="L279" s="17" t="inlineStr"/>
      <c r="M279" s="17" t="inlineStr"/>
      <c r="N279" s="17" t="inlineStr"/>
      <c r="O279" s="17" t="inlineStr">
        <is>
          <t>서울특별시</t>
        </is>
      </c>
      <c r="P279" s="17" t="inlineStr">
        <is>
          <t>070-4327-0447</t>
        </is>
      </c>
      <c r="Q279" s="17" t="inlineStr"/>
      <c r="R279" s="17" t="inlineStr">
        <is>
          <t>QMS</t>
        </is>
      </c>
      <c r="S279" s="24" t="n">
        <v>46493</v>
      </c>
      <c r="T279" s="17" t="inlineStr"/>
    </row>
    <row r="280">
      <c r="A280" s="17" t="n">
        <v>279</v>
      </c>
      <c r="B280" s="17" t="inlineStr">
        <is>
          <t>메딕스제약(주)</t>
        </is>
      </c>
      <c r="C280" s="17" t="inlineStr">
        <is>
          <t>메딕스제약</t>
        </is>
      </c>
      <c r="D280" s="28" t="inlineStr">
        <is>
          <t>Tier D</t>
        </is>
      </c>
      <c r="E280" s="17" t="n">
        <v>8</v>
      </c>
      <c r="F280" s="17" t="inlineStr"/>
      <c r="G280" s="23" t="inlineStr"/>
      <c r="H280" s="22" t="inlineStr">
        <is>
          <t>미확인</t>
        </is>
      </c>
      <c r="I280" s="17" t="n">
        <v>1</v>
      </c>
      <c r="J280" s="17" t="n">
        <v>1</v>
      </c>
      <c r="K280" s="17" t="inlineStr">
        <is>
          <t>Y</t>
        </is>
      </c>
      <c r="L280" s="17" t="inlineStr"/>
      <c r="M280" s="17" t="inlineStr"/>
      <c r="N280" s="17" t="inlineStr"/>
      <c r="O280" s="17" t="inlineStr">
        <is>
          <t>전북특별자치도</t>
        </is>
      </c>
      <c r="P280" s="17" t="inlineStr">
        <is>
          <t>미확인</t>
        </is>
      </c>
      <c r="Q280" s="17" t="inlineStr"/>
      <c r="R280" s="17" t="inlineStr">
        <is>
          <t>QMS</t>
        </is>
      </c>
      <c r="S280" s="24" t="n">
        <v>46405</v>
      </c>
      <c r="T280" s="17" t="inlineStr"/>
    </row>
    <row r="281">
      <c r="A281" s="17" t="n">
        <v>280</v>
      </c>
      <c r="B281" s="17" t="inlineStr">
        <is>
          <t>미래바이오제약(주)</t>
        </is>
      </c>
      <c r="C281" s="17" t="inlineStr">
        <is>
          <t>미래바이오제약</t>
        </is>
      </c>
      <c r="D281" s="28" t="inlineStr">
        <is>
          <t>Tier D</t>
        </is>
      </c>
      <c r="E281" s="17" t="n">
        <v>8</v>
      </c>
      <c r="F281" s="17" t="inlineStr"/>
      <c r="G281" s="23" t="inlineStr"/>
      <c r="H281" s="22" t="inlineStr">
        <is>
          <t>미확인</t>
        </is>
      </c>
      <c r="I281" s="17" t="n">
        <v>1</v>
      </c>
      <c r="J281" s="17" t="n">
        <v>1</v>
      </c>
      <c r="K281" s="17" t="inlineStr">
        <is>
          <t>Y</t>
        </is>
      </c>
      <c r="L281" s="17" t="inlineStr"/>
      <c r="M281" s="17" t="inlineStr"/>
      <c r="N281" s="17" t="inlineStr"/>
      <c r="O281" s="17" t="inlineStr">
        <is>
          <t>경기도</t>
        </is>
      </c>
      <c r="P281" s="17" t="inlineStr">
        <is>
          <t>031-672-0221</t>
        </is>
      </c>
      <c r="Q281" s="17" t="inlineStr"/>
      <c r="R281" s="17" t="inlineStr">
        <is>
          <t>QMS</t>
        </is>
      </c>
      <c r="S281" s="24" t="n">
        <v>46501</v>
      </c>
      <c r="T281" s="17" t="inlineStr"/>
    </row>
    <row r="282">
      <c r="A282" s="17" t="n">
        <v>281</v>
      </c>
      <c r="B282" s="17" t="inlineStr">
        <is>
          <t>삼정바이오솔루션(주)</t>
        </is>
      </c>
      <c r="C282" s="17" t="inlineStr">
        <is>
          <t>삼정바이오솔루션</t>
        </is>
      </c>
      <c r="D282" s="28" t="inlineStr">
        <is>
          <t>Tier D</t>
        </is>
      </c>
      <c r="E282" s="17" t="n">
        <v>8</v>
      </c>
      <c r="F282" s="17" t="inlineStr"/>
      <c r="G282" s="23" t="inlineStr"/>
      <c r="H282" s="22" t="inlineStr">
        <is>
          <t>미확인</t>
        </is>
      </c>
      <c r="I282" s="17" t="n">
        <v>1</v>
      </c>
      <c r="J282" s="17" t="n">
        <v>1</v>
      </c>
      <c r="K282" s="17" t="inlineStr">
        <is>
          <t>Y</t>
        </is>
      </c>
      <c r="L282" s="17" t="inlineStr"/>
      <c r="M282" s="17" t="inlineStr"/>
      <c r="N282" s="17" t="inlineStr"/>
      <c r="O282" s="17" t="inlineStr">
        <is>
          <t>경기도</t>
        </is>
      </c>
      <c r="P282" s="17" t="inlineStr">
        <is>
          <t>031-8059-3244</t>
        </is>
      </c>
      <c r="Q282" s="17" t="inlineStr"/>
      <c r="R282" s="17" t="inlineStr">
        <is>
          <t>QMS</t>
        </is>
      </c>
      <c r="S282" s="24" t="n">
        <v>46417</v>
      </c>
      <c r="T282" s="17" t="inlineStr"/>
    </row>
    <row r="283">
      <c r="A283" s="17" t="n">
        <v>282</v>
      </c>
      <c r="B283" s="17" t="inlineStr">
        <is>
          <t>성원애드콕제약(주)</t>
        </is>
      </c>
      <c r="C283" s="17" t="inlineStr">
        <is>
          <t>성원애드콕제약</t>
        </is>
      </c>
      <c r="D283" s="28" t="inlineStr">
        <is>
          <t>Tier D</t>
        </is>
      </c>
      <c r="E283" s="17" t="n">
        <v>8</v>
      </c>
      <c r="F283" s="17" t="inlineStr"/>
      <c r="G283" s="23" t="inlineStr"/>
      <c r="H283" s="22" t="inlineStr">
        <is>
          <t>미확인</t>
        </is>
      </c>
      <c r="I283" s="17" t="n">
        <v>1</v>
      </c>
      <c r="J283" s="17" t="n">
        <v>1</v>
      </c>
      <c r="K283" s="17" t="inlineStr">
        <is>
          <t>Y</t>
        </is>
      </c>
      <c r="L283" s="17" t="inlineStr"/>
      <c r="M283" s="17" t="inlineStr"/>
      <c r="N283" s="17" t="inlineStr"/>
      <c r="O283" s="17" t="inlineStr">
        <is>
          <t>경기도</t>
        </is>
      </c>
      <c r="P283" s="17" t="inlineStr">
        <is>
          <t>031-982-2982</t>
        </is>
      </c>
      <c r="Q283" s="17" t="inlineStr"/>
      <c r="R283" s="17" t="inlineStr">
        <is>
          <t>QMS</t>
        </is>
      </c>
      <c r="S283" s="24" t="n">
        <v>46424</v>
      </c>
      <c r="T283" s="17" t="inlineStr"/>
    </row>
    <row r="284">
      <c r="A284" s="17" t="n">
        <v>283</v>
      </c>
      <c r="B284" s="17" t="inlineStr">
        <is>
          <t>에스케이에어플러스 주식회사</t>
        </is>
      </c>
      <c r="C284" s="17" t="inlineStr">
        <is>
          <t>에스케이에어플러스</t>
        </is>
      </c>
      <c r="D284" s="28" t="inlineStr">
        <is>
          <t>Tier D</t>
        </is>
      </c>
      <c r="E284" s="17" t="n">
        <v>8</v>
      </c>
      <c r="F284" s="17" t="inlineStr"/>
      <c r="G284" s="23" t="inlineStr"/>
      <c r="H284" s="22" t="inlineStr">
        <is>
          <t>미확인</t>
        </is>
      </c>
      <c r="I284" s="17" t="n">
        <v>1</v>
      </c>
      <c r="J284" s="17" t="n">
        <v>1</v>
      </c>
      <c r="K284" s="17" t="inlineStr">
        <is>
          <t>Y</t>
        </is>
      </c>
      <c r="L284" s="17" t="inlineStr"/>
      <c r="M284" s="17" t="inlineStr"/>
      <c r="N284" s="17" t="inlineStr"/>
      <c r="O284" s="17" t="inlineStr">
        <is>
          <t>울산광역시</t>
        </is>
      </c>
      <c r="P284" s="17" t="inlineStr">
        <is>
          <t>052-256-1641</t>
        </is>
      </c>
      <c r="Q284" s="17" t="inlineStr"/>
      <c r="R284" s="17" t="inlineStr">
        <is>
          <t>QMS</t>
        </is>
      </c>
      <c r="S284" s="24" t="n">
        <v>46452</v>
      </c>
      <c r="T284" s="17" t="inlineStr"/>
    </row>
    <row r="285">
      <c r="A285" s="17" t="n">
        <v>284</v>
      </c>
      <c r="B285" s="17" t="inlineStr">
        <is>
          <t>에어젠</t>
        </is>
      </c>
      <c r="C285" s="17" t="inlineStr">
        <is>
          <t>에어젠</t>
        </is>
      </c>
      <c r="D285" s="28" t="inlineStr">
        <is>
          <t>Tier D</t>
        </is>
      </c>
      <c r="E285" s="17" t="n">
        <v>8</v>
      </c>
      <c r="F285" s="17" t="inlineStr"/>
      <c r="G285" s="23" t="inlineStr"/>
      <c r="H285" s="22" t="inlineStr">
        <is>
          <t>미확인</t>
        </is>
      </c>
      <c r="I285" s="17" t="n">
        <v>1</v>
      </c>
      <c r="J285" s="17" t="n">
        <v>1</v>
      </c>
      <c r="K285" s="17" t="inlineStr">
        <is>
          <t>Y</t>
        </is>
      </c>
      <c r="L285" s="17" t="inlineStr"/>
      <c r="M285" s="17" t="inlineStr"/>
      <c r="N285" s="17" t="inlineStr"/>
      <c r="O285" s="17" t="inlineStr">
        <is>
          <t>대구광역시</t>
        </is>
      </c>
      <c r="P285" s="17" t="inlineStr">
        <is>
          <t>053-424-1312</t>
        </is>
      </c>
      <c r="Q285" s="17" t="inlineStr"/>
      <c r="R285" s="17" t="inlineStr">
        <is>
          <t>QMS</t>
        </is>
      </c>
      <c r="S285" s="24" t="n">
        <v>46514</v>
      </c>
      <c r="T285" s="17" t="inlineStr"/>
    </row>
    <row r="286">
      <c r="A286" s="17" t="n">
        <v>285</v>
      </c>
      <c r="B286" s="17" t="inlineStr">
        <is>
          <t>오스틴제약(주)</t>
        </is>
      </c>
      <c r="C286" s="17" t="inlineStr">
        <is>
          <t>오스틴제약</t>
        </is>
      </c>
      <c r="D286" s="28" t="inlineStr">
        <is>
          <t>Tier D</t>
        </is>
      </c>
      <c r="E286" s="17" t="n">
        <v>8</v>
      </c>
      <c r="F286" s="17" t="inlineStr"/>
      <c r="G286" s="23" t="inlineStr"/>
      <c r="H286" s="22" t="inlineStr">
        <is>
          <t>미확인</t>
        </is>
      </c>
      <c r="I286" s="17" t="n">
        <v>1</v>
      </c>
      <c r="J286" s="17" t="n">
        <v>1</v>
      </c>
      <c r="K286" s="17" t="inlineStr">
        <is>
          <t>Y</t>
        </is>
      </c>
      <c r="L286" s="17" t="inlineStr"/>
      <c r="M286" s="17" t="inlineStr"/>
      <c r="N286" s="17" t="inlineStr"/>
      <c r="O286" s="17" t="inlineStr">
        <is>
          <t>경기도</t>
        </is>
      </c>
      <c r="P286" s="17" t="inlineStr">
        <is>
          <t>031-494-9681</t>
        </is>
      </c>
      <c r="Q286" s="17" t="inlineStr"/>
      <c r="R286" s="17" t="inlineStr">
        <is>
          <t>QMS</t>
        </is>
      </c>
      <c r="S286" s="24" t="n">
        <v>46473</v>
      </c>
      <c r="T286" s="17" t="inlineStr"/>
    </row>
    <row r="287">
      <c r="A287" s="17" t="n">
        <v>286</v>
      </c>
      <c r="B287" s="17" t="inlineStr">
        <is>
          <t>유니온산업가스(주)</t>
        </is>
      </c>
      <c r="C287" s="17" t="inlineStr">
        <is>
          <t>유니온산업가스</t>
        </is>
      </c>
      <c r="D287" s="28" t="inlineStr">
        <is>
          <t>Tier D</t>
        </is>
      </c>
      <c r="E287" s="17" t="n">
        <v>8</v>
      </c>
      <c r="F287" s="17" t="inlineStr"/>
      <c r="G287" s="23" t="inlineStr"/>
      <c r="H287" s="22" t="inlineStr">
        <is>
          <t>미확인</t>
        </is>
      </c>
      <c r="I287" s="17" t="n">
        <v>1</v>
      </c>
      <c r="J287" s="17" t="n">
        <v>1</v>
      </c>
      <c r="K287" s="17" t="inlineStr">
        <is>
          <t>Y</t>
        </is>
      </c>
      <c r="L287" s="17" t="inlineStr"/>
      <c r="M287" s="17" t="inlineStr"/>
      <c r="N287" s="17" t="inlineStr"/>
      <c r="O287" s="17" t="inlineStr">
        <is>
          <t>경기도</t>
        </is>
      </c>
      <c r="P287" s="17" t="inlineStr">
        <is>
          <t>미확인</t>
        </is>
      </c>
      <c r="Q287" s="17" t="inlineStr"/>
      <c r="R287" s="17" t="inlineStr">
        <is>
          <t>QMS</t>
        </is>
      </c>
      <c r="S287" s="24" t="n">
        <v>46424</v>
      </c>
      <c r="T287" s="17" t="inlineStr"/>
    </row>
    <row r="288">
      <c r="A288" s="17" t="n">
        <v>287</v>
      </c>
      <c r="B288" s="17" t="inlineStr">
        <is>
          <t>이화산업가스주식회사</t>
        </is>
      </c>
      <c r="C288" s="17" t="inlineStr">
        <is>
          <t>이화산업가스</t>
        </is>
      </c>
      <c r="D288" s="28" t="inlineStr">
        <is>
          <t>Tier D</t>
        </is>
      </c>
      <c r="E288" s="17" t="n">
        <v>8</v>
      </c>
      <c r="F288" s="17" t="inlineStr"/>
      <c r="G288" s="23" t="inlineStr"/>
      <c r="H288" s="22" t="inlineStr">
        <is>
          <t>미확인</t>
        </is>
      </c>
      <c r="I288" s="17" t="n">
        <v>1</v>
      </c>
      <c r="J288" s="17" t="n">
        <v>1</v>
      </c>
      <c r="K288" s="17" t="inlineStr">
        <is>
          <t>Y</t>
        </is>
      </c>
      <c r="L288" s="17" t="inlineStr"/>
      <c r="M288" s="17" t="inlineStr"/>
      <c r="N288" s="17" t="inlineStr"/>
      <c r="O288" s="17" t="inlineStr">
        <is>
          <t>인천광역시</t>
        </is>
      </c>
      <c r="P288" s="17" t="inlineStr">
        <is>
          <t>032-578-2345</t>
        </is>
      </c>
      <c r="Q288" s="17" t="inlineStr"/>
      <c r="R288" s="17" t="inlineStr">
        <is>
          <t>QMS</t>
        </is>
      </c>
      <c r="S288" s="24" t="n">
        <v>46502</v>
      </c>
      <c r="T288" s="17" t="inlineStr"/>
    </row>
    <row r="289">
      <c r="A289" s="17" t="n">
        <v>288</v>
      </c>
      <c r="B289" s="17" t="inlineStr">
        <is>
          <t>일양바이오팜(주)</t>
        </is>
      </c>
      <c r="C289" s="17" t="inlineStr">
        <is>
          <t>일양바이오팜</t>
        </is>
      </c>
      <c r="D289" s="28" t="inlineStr">
        <is>
          <t>Tier D</t>
        </is>
      </c>
      <c r="E289" s="17" t="n">
        <v>8</v>
      </c>
      <c r="F289" s="17" t="inlineStr"/>
      <c r="G289" s="23" t="inlineStr"/>
      <c r="H289" s="22" t="inlineStr">
        <is>
          <t>미확인</t>
        </is>
      </c>
      <c r="I289" s="17" t="n">
        <v>1</v>
      </c>
      <c r="J289" s="17" t="n">
        <v>1</v>
      </c>
      <c r="K289" s="17" t="inlineStr">
        <is>
          <t>Y</t>
        </is>
      </c>
      <c r="L289" s="17" t="inlineStr"/>
      <c r="M289" s="17" t="inlineStr"/>
      <c r="N289" s="17" t="inlineStr"/>
      <c r="O289" s="17" t="inlineStr">
        <is>
          <t>충청북도</t>
        </is>
      </c>
      <c r="P289" s="17" t="inlineStr">
        <is>
          <t>02-570-3972</t>
        </is>
      </c>
      <c r="Q289" s="17" t="inlineStr"/>
      <c r="R289" s="17" t="inlineStr">
        <is>
          <t>QMS</t>
        </is>
      </c>
      <c r="S289" s="24" t="n">
        <v>46501</v>
      </c>
      <c r="T289" s="17" t="inlineStr"/>
    </row>
    <row r="290">
      <c r="A290" s="17" t="n">
        <v>289</v>
      </c>
      <c r="B290" s="17" t="inlineStr">
        <is>
          <t>주식회사 밸리</t>
        </is>
      </c>
      <c r="C290" s="17" t="inlineStr">
        <is>
          <t>밸리</t>
        </is>
      </c>
      <c r="D290" s="28" t="inlineStr">
        <is>
          <t>Tier D</t>
        </is>
      </c>
      <c r="E290" s="17" t="n">
        <v>8</v>
      </c>
      <c r="F290" s="17" t="inlineStr"/>
      <c r="G290" s="23" t="inlineStr"/>
      <c r="H290" s="22" t="inlineStr">
        <is>
          <t>미확인</t>
        </is>
      </c>
      <c r="I290" s="17" t="n">
        <v>1</v>
      </c>
      <c r="J290" s="17" t="n">
        <v>1</v>
      </c>
      <c r="K290" s="17" t="inlineStr">
        <is>
          <t>Y</t>
        </is>
      </c>
      <c r="L290" s="17" t="inlineStr"/>
      <c r="M290" s="17" t="inlineStr"/>
      <c r="N290" s="17" t="inlineStr"/>
      <c r="O290" s="17" t="inlineStr">
        <is>
          <t>대구광역시</t>
        </is>
      </c>
      <c r="P290" s="17" t="inlineStr">
        <is>
          <t>1566-2723</t>
        </is>
      </c>
      <c r="Q290" s="17" t="inlineStr"/>
      <c r="R290" s="17" t="inlineStr">
        <is>
          <t>QMS</t>
        </is>
      </c>
      <c r="S290" s="24" t="n">
        <v>46493</v>
      </c>
      <c r="T290" s="17" t="inlineStr"/>
    </row>
    <row r="291">
      <c r="A291" s="17" t="n">
        <v>290</v>
      </c>
      <c r="B291" s="17" t="inlineStr">
        <is>
          <t>주식회사 코리아에어텍</t>
        </is>
      </c>
      <c r="C291" s="17" t="inlineStr">
        <is>
          <t>코리아에어텍</t>
        </is>
      </c>
      <c r="D291" s="28" t="inlineStr">
        <is>
          <t>Tier D</t>
        </is>
      </c>
      <c r="E291" s="17" t="n">
        <v>8</v>
      </c>
      <c r="F291" s="17" t="inlineStr"/>
      <c r="G291" s="23" t="inlineStr"/>
      <c r="H291" s="22" t="inlineStr">
        <is>
          <t>미확인</t>
        </is>
      </c>
      <c r="I291" s="17" t="n">
        <v>1</v>
      </c>
      <c r="J291" s="17" t="n">
        <v>1</v>
      </c>
      <c r="K291" s="17" t="inlineStr">
        <is>
          <t>Y</t>
        </is>
      </c>
      <c r="L291" s="17" t="inlineStr"/>
      <c r="M291" s="17" t="inlineStr"/>
      <c r="N291" s="17" t="inlineStr"/>
      <c r="O291" s="17" t="inlineStr">
        <is>
          <t>울산광역시</t>
        </is>
      </c>
      <c r="P291" s="17" t="inlineStr">
        <is>
          <t>052-278-6782</t>
        </is>
      </c>
      <c r="Q291" s="17" t="inlineStr"/>
      <c r="R291" s="17" t="inlineStr">
        <is>
          <t>QMS</t>
        </is>
      </c>
      <c r="S291" s="24" t="n">
        <v>46425</v>
      </c>
      <c r="T291" s="17" t="inlineStr"/>
    </row>
    <row r="292">
      <c r="A292" s="17" t="n">
        <v>291</v>
      </c>
      <c r="B292" s="17" t="inlineStr">
        <is>
          <t>주식회사군포가스</t>
        </is>
      </c>
      <c r="C292" s="17" t="inlineStr">
        <is>
          <t>군포가스</t>
        </is>
      </c>
      <c r="D292" s="28" t="inlineStr">
        <is>
          <t>Tier D</t>
        </is>
      </c>
      <c r="E292" s="17" t="n">
        <v>8</v>
      </c>
      <c r="F292" s="17" t="inlineStr"/>
      <c r="G292" s="23" t="inlineStr"/>
      <c r="H292" s="22" t="inlineStr">
        <is>
          <t>미확인</t>
        </is>
      </c>
      <c r="I292" s="17" t="n">
        <v>1</v>
      </c>
      <c r="J292" s="17" t="n">
        <v>1</v>
      </c>
      <c r="K292" s="17" t="inlineStr">
        <is>
          <t>Y</t>
        </is>
      </c>
      <c r="L292" s="17" t="inlineStr"/>
      <c r="M292" s="17" t="inlineStr"/>
      <c r="N292" s="17" t="inlineStr"/>
      <c r="O292" s="17" t="inlineStr">
        <is>
          <t>경기도</t>
        </is>
      </c>
      <c r="P292" s="17" t="inlineStr">
        <is>
          <t>031-454-4001</t>
        </is>
      </c>
      <c r="Q292" s="17" t="inlineStr"/>
      <c r="R292" s="17" t="inlineStr">
        <is>
          <t>QMS</t>
        </is>
      </c>
      <c r="S292" s="24" t="n">
        <v>46572</v>
      </c>
      <c r="T292" s="17" t="inlineStr"/>
    </row>
    <row r="293">
      <c r="A293" s="17" t="n">
        <v>292</v>
      </c>
      <c r="B293" s="17" t="inlineStr">
        <is>
          <t>지엘파마(주)</t>
        </is>
      </c>
      <c r="C293" s="17" t="inlineStr">
        <is>
          <t>지엘파마</t>
        </is>
      </c>
      <c r="D293" s="28" t="inlineStr">
        <is>
          <t>Tier D</t>
        </is>
      </c>
      <c r="E293" s="17" t="n">
        <v>8</v>
      </c>
      <c r="F293" s="17" t="inlineStr"/>
      <c r="G293" s="23" t="inlineStr"/>
      <c r="H293" s="22" t="inlineStr">
        <is>
          <t>미확인</t>
        </is>
      </c>
      <c r="I293" s="17" t="n">
        <v>1</v>
      </c>
      <c r="J293" s="17" t="n">
        <v>1</v>
      </c>
      <c r="K293" s="17" t="inlineStr">
        <is>
          <t>Y</t>
        </is>
      </c>
      <c r="L293" s="17" t="inlineStr"/>
      <c r="M293" s="17" t="inlineStr"/>
      <c r="N293" s="17" t="inlineStr"/>
      <c r="O293" s="17" t="inlineStr">
        <is>
          <t>경기도</t>
        </is>
      </c>
      <c r="P293" s="17" t="inlineStr">
        <is>
          <t>031-4433-9212</t>
        </is>
      </c>
      <c r="Q293" s="17" t="inlineStr"/>
      <c r="R293" s="17" t="inlineStr">
        <is>
          <t>QMS</t>
        </is>
      </c>
      <c r="S293" s="24" t="n">
        <v>46445</v>
      </c>
      <c r="T293" s="17" t="inlineStr"/>
    </row>
    <row r="294">
      <c r="A294" s="17" t="n">
        <v>293</v>
      </c>
      <c r="B294" s="17" t="inlineStr">
        <is>
          <t>코오롱제약(주)</t>
        </is>
      </c>
      <c r="C294" s="17" t="inlineStr">
        <is>
          <t>코오롱제약</t>
        </is>
      </c>
      <c r="D294" s="28" t="inlineStr">
        <is>
          <t>Tier D</t>
        </is>
      </c>
      <c r="E294" s="17" t="n">
        <v>8</v>
      </c>
      <c r="F294" s="17" t="inlineStr"/>
      <c r="G294" s="23" t="inlineStr"/>
      <c r="H294" s="22" t="inlineStr">
        <is>
          <t>미확인</t>
        </is>
      </c>
      <c r="I294" s="17" t="n">
        <v>1</v>
      </c>
      <c r="J294" s="17" t="n">
        <v>1</v>
      </c>
      <c r="K294" s="17" t="inlineStr">
        <is>
          <t>Y</t>
        </is>
      </c>
      <c r="L294" s="17" t="inlineStr"/>
      <c r="M294" s="17" t="inlineStr"/>
      <c r="N294" s="17" t="inlineStr"/>
      <c r="O294" s="17" t="inlineStr">
        <is>
          <t>대전광역시</t>
        </is>
      </c>
      <c r="P294" s="17" t="inlineStr">
        <is>
          <t>042-930-5710</t>
        </is>
      </c>
      <c r="Q294" s="17" t="inlineStr"/>
      <c r="R294" s="17" t="inlineStr">
        <is>
          <t>QMS</t>
        </is>
      </c>
      <c r="S294" s="24" t="n">
        <v>46446</v>
      </c>
      <c r="T294" s="17" t="inlineStr"/>
    </row>
    <row r="295">
      <c r="A295" s="17" t="n">
        <v>294</v>
      </c>
      <c r="B295" s="17" t="inlineStr">
        <is>
          <t>큐앤큐팜(주)</t>
        </is>
      </c>
      <c r="C295" s="17" t="inlineStr">
        <is>
          <t>큐앤큐팜</t>
        </is>
      </c>
      <c r="D295" s="28" t="inlineStr">
        <is>
          <t>Tier D</t>
        </is>
      </c>
      <c r="E295" s="17" t="n">
        <v>8</v>
      </c>
      <c r="F295" s="17" t="inlineStr"/>
      <c r="G295" s="23" t="inlineStr"/>
      <c r="H295" s="22" t="inlineStr">
        <is>
          <t>미확인</t>
        </is>
      </c>
      <c r="I295" s="17" t="n">
        <v>1</v>
      </c>
      <c r="J295" s="17" t="n">
        <v>1</v>
      </c>
      <c r="K295" s="17" t="inlineStr">
        <is>
          <t>Y</t>
        </is>
      </c>
      <c r="L295" s="17" t="inlineStr"/>
      <c r="M295" s="17" t="inlineStr"/>
      <c r="N295" s="17" t="inlineStr"/>
      <c r="O295" s="17" t="inlineStr">
        <is>
          <t>세종특별자치시</t>
        </is>
      </c>
      <c r="P295" s="17" t="inlineStr">
        <is>
          <t>044-867-6400</t>
        </is>
      </c>
      <c r="Q295" s="17" t="inlineStr"/>
      <c r="R295" s="17" t="inlineStr">
        <is>
          <t>QMS</t>
        </is>
      </c>
      <c r="S295" s="24" t="n">
        <v>46515</v>
      </c>
      <c r="T295" s="17" t="inlineStr"/>
    </row>
    <row r="296">
      <c r="A296" s="17" t="n">
        <v>295</v>
      </c>
      <c r="B296" s="17" t="inlineStr">
        <is>
          <t>태광산업가스(주)</t>
        </is>
      </c>
      <c r="C296" s="17" t="inlineStr">
        <is>
          <t>태광산업가스</t>
        </is>
      </c>
      <c r="D296" s="28" t="inlineStr">
        <is>
          <t>Tier D</t>
        </is>
      </c>
      <c r="E296" s="17" t="n">
        <v>8</v>
      </c>
      <c r="F296" s="17" t="inlineStr"/>
      <c r="G296" s="23" t="inlineStr"/>
      <c r="H296" s="22" t="inlineStr">
        <is>
          <t>미확인</t>
        </is>
      </c>
      <c r="I296" s="17" t="n">
        <v>1</v>
      </c>
      <c r="J296" s="17" t="n">
        <v>1</v>
      </c>
      <c r="K296" s="17" t="inlineStr">
        <is>
          <t>Y</t>
        </is>
      </c>
      <c r="L296" s="17" t="inlineStr"/>
      <c r="M296" s="17" t="inlineStr"/>
      <c r="N296" s="17" t="inlineStr"/>
      <c r="O296" s="17" t="inlineStr">
        <is>
          <t>경기도</t>
        </is>
      </c>
      <c r="P296" s="17" t="inlineStr">
        <is>
          <t>미확인</t>
        </is>
      </c>
      <c r="Q296" s="17" t="inlineStr"/>
      <c r="R296" s="17" t="inlineStr">
        <is>
          <t>QMS</t>
        </is>
      </c>
      <c r="S296" s="24" t="n">
        <v>46402</v>
      </c>
      <c r="T296" s="17" t="inlineStr"/>
    </row>
    <row r="297">
      <c r="A297" s="17" t="n">
        <v>296</v>
      </c>
      <c r="B297" s="17" t="inlineStr">
        <is>
          <t>하이플생명과학(주)</t>
        </is>
      </c>
      <c r="C297" s="17" t="inlineStr">
        <is>
          <t>하이플생명과학</t>
        </is>
      </c>
      <c r="D297" s="28" t="inlineStr">
        <is>
          <t>Tier D</t>
        </is>
      </c>
      <c r="E297" s="17" t="n">
        <v>8</v>
      </c>
      <c r="F297" s="17" t="inlineStr"/>
      <c r="G297" s="23" t="inlineStr"/>
      <c r="H297" s="22" t="inlineStr">
        <is>
          <t>미확인</t>
        </is>
      </c>
      <c r="I297" s="17" t="n">
        <v>1</v>
      </c>
      <c r="J297" s="17" t="n">
        <v>1</v>
      </c>
      <c r="K297" s="17" t="inlineStr">
        <is>
          <t>Y</t>
        </is>
      </c>
      <c r="L297" s="17" t="inlineStr"/>
      <c r="M297" s="17" t="inlineStr"/>
      <c r="N297" s="17" t="inlineStr"/>
      <c r="O297" s="17" t="inlineStr">
        <is>
          <t>경기도</t>
        </is>
      </c>
      <c r="P297" s="17" t="inlineStr">
        <is>
          <t>031-319-1990</t>
        </is>
      </c>
      <c r="Q297" s="17" t="inlineStr"/>
      <c r="R297" s="17" t="inlineStr">
        <is>
          <t>QMS</t>
        </is>
      </c>
      <c r="S297" s="24" t="n">
        <v>46530</v>
      </c>
      <c r="T297" s="17" t="inlineStr"/>
    </row>
    <row r="298">
      <c r="A298" s="17" t="n">
        <v>297</v>
      </c>
      <c r="B298" s="17" t="inlineStr">
        <is>
          <t>(주)건영특수가스</t>
        </is>
      </c>
      <c r="C298" s="17" t="inlineStr">
        <is>
          <t>건영특수가스</t>
        </is>
      </c>
      <c r="D298" s="28" t="inlineStr">
        <is>
          <t>Tier D</t>
        </is>
      </c>
      <c r="E298" s="17" t="n">
        <v>5</v>
      </c>
      <c r="F298" s="17" t="inlineStr"/>
      <c r="G298" s="23" t="inlineStr"/>
      <c r="H298" s="22" t="inlineStr">
        <is>
          <t>미확인</t>
        </is>
      </c>
      <c r="I298" s="17" t="n">
        <v>1</v>
      </c>
      <c r="J298" s="17" t="n">
        <v>1</v>
      </c>
      <c r="K298" s="17" t="inlineStr">
        <is>
          <t>Y</t>
        </is>
      </c>
      <c r="L298" s="17" t="inlineStr"/>
      <c r="M298" s="17" t="inlineStr"/>
      <c r="N298" s="17" t="inlineStr"/>
      <c r="O298" s="17" t="inlineStr">
        <is>
          <t>광주광역시</t>
        </is>
      </c>
      <c r="P298" s="17" t="inlineStr">
        <is>
          <t>062-954-0050</t>
        </is>
      </c>
      <c r="Q298" s="17" t="inlineStr"/>
      <c r="R298" s="17" t="inlineStr">
        <is>
          <t>EDMS</t>
        </is>
      </c>
      <c r="S298" s="24" t="n">
        <v>46733</v>
      </c>
      <c r="T298" s="17" t="inlineStr"/>
    </row>
    <row r="299">
      <c r="A299" s="17" t="n">
        <v>298</v>
      </c>
      <c r="B299" s="17" t="inlineStr">
        <is>
          <t>(주)그린제약</t>
        </is>
      </c>
      <c r="C299" s="17" t="inlineStr">
        <is>
          <t>그린제약</t>
        </is>
      </c>
      <c r="D299" s="28" t="inlineStr">
        <is>
          <t>Tier D</t>
        </is>
      </c>
      <c r="E299" s="17" t="n">
        <v>5</v>
      </c>
      <c r="F299" s="17" t="inlineStr"/>
      <c r="G299" s="23" t="inlineStr"/>
      <c r="H299" s="22" t="inlineStr">
        <is>
          <t>미확인</t>
        </is>
      </c>
      <c r="I299" s="17" t="n">
        <v>1</v>
      </c>
      <c r="J299" s="17" t="n">
        <v>1</v>
      </c>
      <c r="K299" s="17" t="inlineStr">
        <is>
          <t>Y</t>
        </is>
      </c>
      <c r="L299" s="17" t="inlineStr"/>
      <c r="M299" s="17" t="inlineStr"/>
      <c r="N299" s="17" t="inlineStr"/>
      <c r="O299" s="17" t="inlineStr">
        <is>
          <t>충청북도</t>
        </is>
      </c>
      <c r="P299" s="17" t="inlineStr">
        <is>
          <t>043-534-1144</t>
        </is>
      </c>
      <c r="Q299" s="17" t="inlineStr"/>
      <c r="R299" s="17" t="inlineStr">
        <is>
          <t>EDMS</t>
        </is>
      </c>
      <c r="S299" s="24" t="n">
        <v>47197</v>
      </c>
      <c r="T299" s="17" t="inlineStr"/>
    </row>
    <row r="300">
      <c r="A300" s="17" t="n">
        <v>299</v>
      </c>
      <c r="B300" s="17" t="inlineStr">
        <is>
          <t>(주)넥스팜코리아</t>
        </is>
      </c>
      <c r="C300" s="17" t="inlineStr">
        <is>
          <t>넥스팜코리아</t>
        </is>
      </c>
      <c r="D300" s="28" t="inlineStr">
        <is>
          <t>Tier D</t>
        </is>
      </c>
      <c r="E300" s="17" t="n">
        <v>5</v>
      </c>
      <c r="F300" s="17" t="inlineStr"/>
      <c r="G300" s="23" t="inlineStr"/>
      <c r="H300" s="22" t="inlineStr">
        <is>
          <t>미확인</t>
        </is>
      </c>
      <c r="I300" s="17" t="n">
        <v>1</v>
      </c>
      <c r="J300" s="17" t="n">
        <v>1</v>
      </c>
      <c r="K300" s="17" t="inlineStr">
        <is>
          <t>Y</t>
        </is>
      </c>
      <c r="L300" s="17" t="inlineStr"/>
      <c r="M300" s="17" t="inlineStr"/>
      <c r="N300" s="17" t="inlineStr"/>
      <c r="O300" s="17" t="inlineStr">
        <is>
          <t>충청북도</t>
        </is>
      </c>
      <c r="P300" s="17" t="inlineStr">
        <is>
          <t>070-4346-1209</t>
        </is>
      </c>
      <c r="Q300" s="17" t="inlineStr"/>
      <c r="R300" s="17" t="inlineStr">
        <is>
          <t>EDMS</t>
        </is>
      </c>
      <c r="S300" s="24" t="n">
        <v>46627</v>
      </c>
      <c r="T300" s="17" t="inlineStr"/>
    </row>
    <row r="301">
      <c r="A301" s="17" t="n">
        <v>300</v>
      </c>
      <c r="B301" s="17" t="inlineStr">
        <is>
          <t>(주)다림바이오텍</t>
        </is>
      </c>
      <c r="C301" s="17" t="inlineStr">
        <is>
          <t>다림바이오텍</t>
        </is>
      </c>
      <c r="D301" s="28" t="inlineStr">
        <is>
          <t>Tier D</t>
        </is>
      </c>
      <c r="E301" s="17" t="n">
        <v>5</v>
      </c>
      <c r="F301" s="17" t="inlineStr"/>
      <c r="G301" s="23" t="inlineStr"/>
      <c r="H301" s="22" t="inlineStr">
        <is>
          <t>미확인</t>
        </is>
      </c>
      <c r="I301" s="17" t="n">
        <v>1</v>
      </c>
      <c r="J301" s="17" t="n">
        <v>1</v>
      </c>
      <c r="K301" s="17" t="inlineStr">
        <is>
          <t>Y</t>
        </is>
      </c>
      <c r="L301" s="17" t="inlineStr"/>
      <c r="M301" s="17" t="inlineStr"/>
      <c r="N301" s="17" t="inlineStr"/>
      <c r="O301" s="17" t="inlineStr">
        <is>
          <t>강원특별자치도</t>
        </is>
      </c>
      <c r="P301" s="17" t="inlineStr">
        <is>
          <t>미확인</t>
        </is>
      </c>
      <c r="Q301" s="17" t="inlineStr"/>
      <c r="R301" s="17" t="inlineStr">
        <is>
          <t>EDMS</t>
        </is>
      </c>
      <c r="S301" s="24" t="n">
        <v>47095</v>
      </c>
      <c r="T301" s="17" t="inlineStr"/>
    </row>
    <row r="302">
      <c r="A302" s="17" t="n">
        <v>301</v>
      </c>
      <c r="B302" s="17" t="inlineStr">
        <is>
          <t>(주)대동가스텍</t>
        </is>
      </c>
      <c r="C302" s="17" t="inlineStr">
        <is>
          <t>대동가스텍</t>
        </is>
      </c>
      <c r="D302" s="28" t="inlineStr">
        <is>
          <t>Tier D</t>
        </is>
      </c>
      <c r="E302" s="17" t="n">
        <v>5</v>
      </c>
      <c r="F302" s="17" t="inlineStr"/>
      <c r="G302" s="23" t="inlineStr"/>
      <c r="H302" s="22" t="inlineStr">
        <is>
          <t>미확인</t>
        </is>
      </c>
      <c r="I302" s="17" t="n">
        <v>1</v>
      </c>
      <c r="J302" s="17" t="n">
        <v>1</v>
      </c>
      <c r="K302" s="17" t="inlineStr">
        <is>
          <t>Y</t>
        </is>
      </c>
      <c r="L302" s="17" t="inlineStr"/>
      <c r="M302" s="17" t="inlineStr"/>
      <c r="N302" s="17" t="inlineStr"/>
      <c r="O302" s="17" t="inlineStr">
        <is>
          <t>경상북도</t>
        </is>
      </c>
      <c r="P302" s="17" t="inlineStr">
        <is>
          <t>053-856-5142</t>
        </is>
      </c>
      <c r="Q302" s="17" t="inlineStr"/>
      <c r="R302" s="17" t="inlineStr">
        <is>
          <t>EDMS</t>
        </is>
      </c>
      <c r="S302" s="24" t="n">
        <v>46891</v>
      </c>
      <c r="T302" s="17" t="inlineStr"/>
    </row>
    <row r="303">
      <c r="A303" s="17" t="n">
        <v>302</v>
      </c>
      <c r="B303" s="17" t="inlineStr">
        <is>
          <t>(주)대유코아</t>
        </is>
      </c>
      <c r="C303" s="17" t="inlineStr">
        <is>
          <t>대유코아</t>
        </is>
      </c>
      <c r="D303" s="28" t="inlineStr">
        <is>
          <t>Tier D</t>
        </is>
      </c>
      <c r="E303" s="17" t="n">
        <v>5</v>
      </c>
      <c r="F303" s="17" t="inlineStr"/>
      <c r="G303" s="23" t="inlineStr"/>
      <c r="H303" s="22" t="inlineStr">
        <is>
          <t>미확인</t>
        </is>
      </c>
      <c r="I303" s="17" t="n">
        <v>1</v>
      </c>
      <c r="J303" s="17" t="n">
        <v>1</v>
      </c>
      <c r="K303" s="17" t="inlineStr">
        <is>
          <t>Y</t>
        </is>
      </c>
      <c r="L303" s="17" t="inlineStr"/>
      <c r="M303" s="17" t="inlineStr"/>
      <c r="N303" s="17" t="inlineStr"/>
      <c r="O303" s="17" t="inlineStr">
        <is>
          <t>경상남도</t>
        </is>
      </c>
      <c r="P303" s="17" t="inlineStr">
        <is>
          <t>055-800-7403</t>
        </is>
      </c>
      <c r="Q303" s="17" t="inlineStr"/>
      <c r="R303" s="17" t="inlineStr">
        <is>
          <t>EDMS</t>
        </is>
      </c>
      <c r="S303" s="24" t="n">
        <v>47106</v>
      </c>
      <c r="T303" s="17" t="inlineStr"/>
    </row>
    <row r="304">
      <c r="A304" s="17" t="n">
        <v>303</v>
      </c>
      <c r="B304" s="17" t="inlineStr">
        <is>
          <t>(주)대일가스</t>
        </is>
      </c>
      <c r="C304" s="17" t="inlineStr">
        <is>
          <t>대일가스</t>
        </is>
      </c>
      <c r="D304" s="28" t="inlineStr">
        <is>
          <t>Tier D</t>
        </is>
      </c>
      <c r="E304" s="17" t="n">
        <v>5</v>
      </c>
      <c r="F304" s="17" t="inlineStr"/>
      <c r="G304" s="23" t="inlineStr"/>
      <c r="H304" s="22" t="inlineStr">
        <is>
          <t>미확인</t>
        </is>
      </c>
      <c r="I304" s="17" t="n">
        <v>1</v>
      </c>
      <c r="J304" s="17" t="n">
        <v>1</v>
      </c>
      <c r="K304" s="17" t="inlineStr">
        <is>
          <t>Y</t>
        </is>
      </c>
      <c r="L304" s="17" t="inlineStr"/>
      <c r="M304" s="17" t="inlineStr"/>
      <c r="N304" s="17" t="inlineStr"/>
      <c r="O304" s="17" t="inlineStr">
        <is>
          <t>강원특별자치도</t>
        </is>
      </c>
      <c r="P304" s="17" t="inlineStr">
        <is>
          <t>033-645-7162</t>
        </is>
      </c>
      <c r="Q304" s="17" t="inlineStr"/>
      <c r="R304" s="17" t="inlineStr">
        <is>
          <t>EDMS</t>
        </is>
      </c>
      <c r="S304" s="24" t="n">
        <v>47302</v>
      </c>
      <c r="T304" s="17" t="inlineStr"/>
    </row>
    <row r="305">
      <c r="A305" s="17" t="n">
        <v>304</v>
      </c>
      <c r="B305" s="17" t="inlineStr">
        <is>
          <t>(주)대창가스</t>
        </is>
      </c>
      <c r="C305" s="17" t="inlineStr">
        <is>
          <t>대창가스</t>
        </is>
      </c>
      <c r="D305" s="28" t="inlineStr">
        <is>
          <t>Tier D</t>
        </is>
      </c>
      <c r="E305" s="17" t="n">
        <v>5</v>
      </c>
      <c r="F305" s="17" t="inlineStr"/>
      <c r="G305" s="23" t="inlineStr"/>
      <c r="H305" s="22" t="inlineStr">
        <is>
          <t>미확인</t>
        </is>
      </c>
      <c r="I305" s="17" t="n">
        <v>1</v>
      </c>
      <c r="J305" s="17" t="n">
        <v>1</v>
      </c>
      <c r="K305" s="17" t="inlineStr">
        <is>
          <t>Y</t>
        </is>
      </c>
      <c r="L305" s="17" t="inlineStr"/>
      <c r="M305" s="17" t="inlineStr"/>
      <c r="N305" s="17" t="inlineStr"/>
      <c r="O305" s="17" t="inlineStr">
        <is>
          <t>경상남도</t>
        </is>
      </c>
      <c r="P305" s="17" t="inlineStr">
        <is>
          <t>055-752-3330</t>
        </is>
      </c>
      <c r="Q305" s="17" t="inlineStr"/>
      <c r="R305" s="17" t="inlineStr">
        <is>
          <t>EDMS</t>
        </is>
      </c>
      <c r="S305" s="24" t="n">
        <v>46945</v>
      </c>
      <c r="T305" s="17" t="inlineStr"/>
    </row>
    <row r="306">
      <c r="A306" s="17" t="n">
        <v>305</v>
      </c>
      <c r="B306" s="17" t="inlineStr">
        <is>
          <t>(주)대한특수가스</t>
        </is>
      </c>
      <c r="C306" s="17" t="inlineStr">
        <is>
          <t>대한특수가스</t>
        </is>
      </c>
      <c r="D306" s="28" t="inlineStr">
        <is>
          <t>Tier D</t>
        </is>
      </c>
      <c r="E306" s="17" t="n">
        <v>5</v>
      </c>
      <c r="F306" s="17" t="inlineStr"/>
      <c r="G306" s="23" t="inlineStr"/>
      <c r="H306" s="22" t="inlineStr">
        <is>
          <t>미확인</t>
        </is>
      </c>
      <c r="I306" s="17" t="n">
        <v>1</v>
      </c>
      <c r="J306" s="17" t="n">
        <v>1</v>
      </c>
      <c r="K306" s="17" t="inlineStr">
        <is>
          <t>Y</t>
        </is>
      </c>
      <c r="L306" s="17" t="inlineStr"/>
      <c r="M306" s="17" t="inlineStr"/>
      <c r="N306" s="17" t="inlineStr"/>
      <c r="O306" s="17" t="inlineStr">
        <is>
          <t>경기도</t>
        </is>
      </c>
      <c r="P306" s="17" t="inlineStr">
        <is>
          <t>02-3663-2825</t>
        </is>
      </c>
      <c r="Q306" s="17" t="inlineStr"/>
      <c r="R306" s="17" t="inlineStr">
        <is>
          <t>EDMS</t>
        </is>
      </c>
      <c r="S306" s="24" t="n">
        <v>47017</v>
      </c>
      <c r="T306" s="17" t="inlineStr"/>
    </row>
    <row r="307">
      <c r="A307" s="17" t="n">
        <v>306</v>
      </c>
      <c r="B307" s="17" t="inlineStr">
        <is>
          <t>(주)메디카코리아</t>
        </is>
      </c>
      <c r="C307" s="17" t="inlineStr">
        <is>
          <t>메디카코리아</t>
        </is>
      </c>
      <c r="D307" s="28" t="inlineStr">
        <is>
          <t>Tier D</t>
        </is>
      </c>
      <c r="E307" s="17" t="n">
        <v>5</v>
      </c>
      <c r="F307" s="17" t="inlineStr"/>
      <c r="G307" s="23" t="inlineStr"/>
      <c r="H307" s="22" t="inlineStr">
        <is>
          <t>미확인</t>
        </is>
      </c>
      <c r="I307" s="17" t="n">
        <v>1</v>
      </c>
      <c r="J307" s="17" t="n">
        <v>1</v>
      </c>
      <c r="K307" s="17" t="inlineStr">
        <is>
          <t>Y</t>
        </is>
      </c>
      <c r="L307" s="17" t="inlineStr"/>
      <c r="M307" s="17" t="inlineStr"/>
      <c r="N307" s="17" t="inlineStr"/>
      <c r="O307" s="17" t="inlineStr">
        <is>
          <t>경기도</t>
        </is>
      </c>
      <c r="P307" s="17" t="inlineStr">
        <is>
          <t>미확인</t>
        </is>
      </c>
      <c r="Q307" s="17" t="inlineStr"/>
      <c r="R307" s="17" t="inlineStr">
        <is>
          <t>EDMS</t>
        </is>
      </c>
      <c r="S307" s="24" t="n">
        <v>46807</v>
      </c>
      <c r="T307" s="17" t="inlineStr"/>
    </row>
    <row r="308">
      <c r="A308" s="17" t="n">
        <v>307</v>
      </c>
      <c r="B308" s="17" t="inlineStr">
        <is>
          <t>(주)밀성산업가스</t>
        </is>
      </c>
      <c r="C308" s="17" t="inlineStr">
        <is>
          <t>밀성산업가스</t>
        </is>
      </c>
      <c r="D308" s="28" t="inlineStr">
        <is>
          <t>Tier D</t>
        </is>
      </c>
      <c r="E308" s="17" t="n">
        <v>5</v>
      </c>
      <c r="F308" s="17" t="inlineStr"/>
      <c r="G308" s="23" t="inlineStr"/>
      <c r="H308" s="22" t="inlineStr">
        <is>
          <t>미확인</t>
        </is>
      </c>
      <c r="I308" s="17" t="n">
        <v>1</v>
      </c>
      <c r="J308" s="17" t="n">
        <v>1</v>
      </c>
      <c r="K308" s="17" t="inlineStr">
        <is>
          <t>Y</t>
        </is>
      </c>
      <c r="L308" s="17" t="inlineStr"/>
      <c r="M308" s="17" t="inlineStr"/>
      <c r="N308" s="17" t="inlineStr"/>
      <c r="O308" s="17" t="inlineStr">
        <is>
          <t>경기도</t>
        </is>
      </c>
      <c r="P308" s="17" t="inlineStr">
        <is>
          <t>031-8059-5950</t>
        </is>
      </c>
      <c r="Q308" s="17" t="inlineStr"/>
      <c r="R308" s="17" t="inlineStr">
        <is>
          <t>EDMS</t>
        </is>
      </c>
      <c r="S308" s="24" t="n">
        <v>46903</v>
      </c>
      <c r="T308" s="17" t="inlineStr"/>
    </row>
    <row r="309">
      <c r="A309" s="17" t="n">
        <v>308</v>
      </c>
      <c r="B309" s="17" t="inlineStr">
        <is>
          <t>(주)삼흥에너지</t>
        </is>
      </c>
      <c r="C309" s="17" t="inlineStr">
        <is>
          <t>삼흥에너지</t>
        </is>
      </c>
      <c r="D309" s="28" t="inlineStr">
        <is>
          <t>Tier D</t>
        </is>
      </c>
      <c r="E309" s="17" t="n">
        <v>5</v>
      </c>
      <c r="F309" s="17" t="inlineStr"/>
      <c r="G309" s="23" t="inlineStr"/>
      <c r="H309" s="22" t="inlineStr">
        <is>
          <t>미확인</t>
        </is>
      </c>
      <c r="I309" s="17" t="n">
        <v>1</v>
      </c>
      <c r="J309" s="17" t="n">
        <v>1</v>
      </c>
      <c r="K309" s="17" t="inlineStr">
        <is>
          <t>Y</t>
        </is>
      </c>
      <c r="L309" s="17" t="inlineStr"/>
      <c r="M309" s="17" t="inlineStr"/>
      <c r="N309" s="17" t="inlineStr"/>
      <c r="O309" s="17" t="inlineStr">
        <is>
          <t>경상남도</t>
        </is>
      </c>
      <c r="P309" s="17" t="inlineStr">
        <is>
          <t>055-338-7618</t>
        </is>
      </c>
      <c r="Q309" s="17" t="inlineStr"/>
      <c r="R309" s="17" t="inlineStr">
        <is>
          <t>EDMS</t>
        </is>
      </c>
      <c r="S309" s="24" t="n">
        <v>46952</v>
      </c>
      <c r="T309" s="17" t="inlineStr"/>
    </row>
    <row r="310">
      <c r="A310" s="17" t="n">
        <v>309</v>
      </c>
      <c r="B310" s="17" t="inlineStr">
        <is>
          <t>(주)셀릭스</t>
        </is>
      </c>
      <c r="C310" s="17" t="inlineStr">
        <is>
          <t>셀릭스</t>
        </is>
      </c>
      <c r="D310" s="28" t="inlineStr">
        <is>
          <t>Tier D</t>
        </is>
      </c>
      <c r="E310" s="17" t="n">
        <v>5</v>
      </c>
      <c r="F310" s="17" t="inlineStr"/>
      <c r="G310" s="23" t="inlineStr"/>
      <c r="H310" s="22" t="inlineStr">
        <is>
          <t>미확인</t>
        </is>
      </c>
      <c r="I310" s="17" t="n">
        <v>1</v>
      </c>
      <c r="J310" s="17" t="n">
        <v>1</v>
      </c>
      <c r="K310" s="17" t="inlineStr">
        <is>
          <t>Y</t>
        </is>
      </c>
      <c r="L310" s="17" t="inlineStr"/>
      <c r="M310" s="17" t="inlineStr"/>
      <c r="N310" s="17" t="inlineStr"/>
      <c r="O310" s="17" t="inlineStr">
        <is>
          <t>전북특별자치도</t>
        </is>
      </c>
      <c r="P310" s="17" t="inlineStr">
        <is>
          <t>8767777</t>
        </is>
      </c>
      <c r="Q310" s="17" t="inlineStr"/>
      <c r="R310" s="17" t="inlineStr">
        <is>
          <t>EDMS</t>
        </is>
      </c>
      <c r="S310" s="24" t="n">
        <v>47262</v>
      </c>
      <c r="T310" s="17" t="inlineStr"/>
    </row>
    <row r="311">
      <c r="A311" s="17" t="n">
        <v>310</v>
      </c>
      <c r="B311" s="17" t="inlineStr">
        <is>
          <t>(주)시어스제약</t>
        </is>
      </c>
      <c r="C311" s="17" t="inlineStr">
        <is>
          <t>시어스제약</t>
        </is>
      </c>
      <c r="D311" s="28" t="inlineStr">
        <is>
          <t>Tier D</t>
        </is>
      </c>
      <c r="E311" s="17" t="n">
        <v>5</v>
      </c>
      <c r="F311" s="17" t="inlineStr"/>
      <c r="G311" s="23" t="inlineStr"/>
      <c r="H311" s="22" t="inlineStr">
        <is>
          <t>미확인</t>
        </is>
      </c>
      <c r="I311" s="17" t="n">
        <v>1</v>
      </c>
      <c r="J311" s="17" t="n">
        <v>1</v>
      </c>
      <c r="K311" s="17" t="inlineStr">
        <is>
          <t>Y</t>
        </is>
      </c>
      <c r="L311" s="17" t="inlineStr"/>
      <c r="M311" s="17" t="inlineStr"/>
      <c r="N311" s="17" t="inlineStr"/>
      <c r="O311" s="17" t="inlineStr">
        <is>
          <t>경기도</t>
        </is>
      </c>
      <c r="P311" s="17" t="inlineStr">
        <is>
          <t>070-4105-8155</t>
        </is>
      </c>
      <c r="Q311" s="17" t="inlineStr"/>
      <c r="R311" s="17" t="inlineStr">
        <is>
          <t>EDMS</t>
        </is>
      </c>
      <c r="S311" s="24" t="n">
        <v>47184</v>
      </c>
      <c r="T311" s="17" t="inlineStr"/>
    </row>
    <row r="312">
      <c r="A312" s="17" t="n">
        <v>311</v>
      </c>
      <c r="B312" s="17" t="inlineStr">
        <is>
          <t>(주)아리제약</t>
        </is>
      </c>
      <c r="C312" s="17" t="inlineStr">
        <is>
          <t>아리제약</t>
        </is>
      </c>
      <c r="D312" s="28" t="inlineStr">
        <is>
          <t>Tier D</t>
        </is>
      </c>
      <c r="E312" s="17" t="n">
        <v>5</v>
      </c>
      <c r="F312" s="17" t="inlineStr"/>
      <c r="G312" s="23" t="inlineStr"/>
      <c r="H312" s="22" t="inlineStr">
        <is>
          <t>미확인</t>
        </is>
      </c>
      <c r="I312" s="17" t="n">
        <v>1</v>
      </c>
      <c r="J312" s="17" t="n">
        <v>1</v>
      </c>
      <c r="K312" s="17" t="inlineStr">
        <is>
          <t>Y</t>
        </is>
      </c>
      <c r="L312" s="17" t="inlineStr"/>
      <c r="M312" s="17" t="inlineStr"/>
      <c r="N312" s="17" t="inlineStr"/>
      <c r="O312" s="17" t="inlineStr">
        <is>
          <t>충청북도</t>
        </is>
      </c>
      <c r="P312" s="17" t="inlineStr">
        <is>
          <t>미확인</t>
        </is>
      </c>
      <c r="Q312" s="17" t="inlineStr"/>
      <c r="R312" s="17" t="inlineStr">
        <is>
          <t>EDMS</t>
        </is>
      </c>
      <c r="S312" s="24" t="n">
        <v>46836</v>
      </c>
      <c r="T312" s="17" t="inlineStr"/>
    </row>
    <row r="313">
      <c r="A313" s="17" t="n">
        <v>312</v>
      </c>
      <c r="B313" s="17" t="inlineStr">
        <is>
          <t>(주)아이월드제약</t>
        </is>
      </c>
      <c r="C313" s="17" t="inlineStr">
        <is>
          <t>아이월드제약</t>
        </is>
      </c>
      <c r="D313" s="28" t="inlineStr">
        <is>
          <t>Tier D</t>
        </is>
      </c>
      <c r="E313" s="17" t="n">
        <v>5</v>
      </c>
      <c r="F313" s="17" t="inlineStr"/>
      <c r="G313" s="23" t="inlineStr"/>
      <c r="H313" s="22" t="inlineStr">
        <is>
          <t>미확인</t>
        </is>
      </c>
      <c r="I313" s="17" t="n">
        <v>1</v>
      </c>
      <c r="J313" s="17" t="n">
        <v>1</v>
      </c>
      <c r="K313" s="17" t="inlineStr">
        <is>
          <t>Y</t>
        </is>
      </c>
      <c r="L313" s="17" t="inlineStr"/>
      <c r="M313" s="17" t="inlineStr"/>
      <c r="N313" s="17" t="inlineStr"/>
      <c r="O313" s="17" t="inlineStr">
        <is>
          <t>인천광역시</t>
        </is>
      </c>
      <c r="P313" s="17" t="inlineStr">
        <is>
          <t>032-815-2751</t>
        </is>
      </c>
      <c r="Q313" s="17" t="inlineStr"/>
      <c r="R313" s="17" t="inlineStr">
        <is>
          <t>EDMS</t>
        </is>
      </c>
      <c r="S313" s="24" t="n">
        <v>47256</v>
      </c>
      <c r="T313" s="17" t="inlineStr"/>
    </row>
    <row r="314">
      <c r="A314" s="17" t="n">
        <v>313</v>
      </c>
      <c r="B314" s="17" t="inlineStr">
        <is>
          <t>(주)에니웨이</t>
        </is>
      </c>
      <c r="C314" s="17" t="inlineStr">
        <is>
          <t>에니웨이</t>
        </is>
      </c>
      <c r="D314" s="28" t="inlineStr">
        <is>
          <t>Tier D</t>
        </is>
      </c>
      <c r="E314" s="17" t="n">
        <v>5</v>
      </c>
      <c r="F314" s="17" t="inlineStr"/>
      <c r="G314" s="23" t="inlineStr"/>
      <c r="H314" s="22" t="inlineStr">
        <is>
          <t>미확인</t>
        </is>
      </c>
      <c r="I314" s="17" t="n">
        <v>1</v>
      </c>
      <c r="J314" s="17" t="n">
        <v>1</v>
      </c>
      <c r="K314" s="17" t="inlineStr">
        <is>
          <t>Y</t>
        </is>
      </c>
      <c r="L314" s="17" t="inlineStr"/>
      <c r="M314" s="17" t="inlineStr"/>
      <c r="N314" s="17" t="inlineStr"/>
      <c r="O314" s="17" t="inlineStr">
        <is>
          <t>경상남도</t>
        </is>
      </c>
      <c r="P314" s="17" t="inlineStr">
        <is>
          <t>055-587-4121</t>
        </is>
      </c>
      <c r="Q314" s="17" t="inlineStr"/>
      <c r="R314" s="17" t="inlineStr">
        <is>
          <t>EDMS</t>
        </is>
      </c>
      <c r="S314" s="24" t="n">
        <v>46681</v>
      </c>
      <c r="T314" s="17" t="inlineStr"/>
    </row>
    <row r="315">
      <c r="A315" s="17" t="n">
        <v>314</v>
      </c>
      <c r="B315" s="17" t="inlineStr">
        <is>
          <t>(주)에이치피앤씨</t>
        </is>
      </c>
      <c r="C315" s="17" t="inlineStr">
        <is>
          <t>에이치피앤씨</t>
        </is>
      </c>
      <c r="D315" s="28" t="inlineStr">
        <is>
          <t>Tier D</t>
        </is>
      </c>
      <c r="E315" s="17" t="n">
        <v>5</v>
      </c>
      <c r="F315" s="17" t="inlineStr"/>
      <c r="G315" s="23" t="inlineStr"/>
      <c r="H315" s="22" t="inlineStr">
        <is>
          <t>미확인</t>
        </is>
      </c>
      <c r="I315" s="17" t="n">
        <v>1</v>
      </c>
      <c r="J315" s="17" t="n">
        <v>1</v>
      </c>
      <c r="K315" s="17" t="inlineStr">
        <is>
          <t>Y</t>
        </is>
      </c>
      <c r="L315" s="17" t="inlineStr"/>
      <c r="M315" s="17" t="inlineStr"/>
      <c r="N315" s="17" t="inlineStr"/>
      <c r="O315" s="17" t="inlineStr">
        <is>
          <t>충청북도</t>
        </is>
      </c>
      <c r="P315" s="17" t="inlineStr">
        <is>
          <t>043-236-0026</t>
        </is>
      </c>
      <c r="Q315" s="17" t="inlineStr"/>
      <c r="R315" s="17" t="inlineStr">
        <is>
          <t>EDMS</t>
        </is>
      </c>
      <c r="S315" s="24" t="n">
        <v>47072</v>
      </c>
      <c r="T315" s="17" t="inlineStr"/>
    </row>
    <row r="316">
      <c r="A316" s="17" t="n">
        <v>315</v>
      </c>
      <c r="B316" s="17" t="inlineStr">
        <is>
          <t>(주)엠에스가스</t>
        </is>
      </c>
      <c r="C316" s="17" t="inlineStr">
        <is>
          <t>엠에스가스</t>
        </is>
      </c>
      <c r="D316" s="28" t="inlineStr">
        <is>
          <t>Tier D</t>
        </is>
      </c>
      <c r="E316" s="17" t="n">
        <v>5</v>
      </c>
      <c r="F316" s="17" t="inlineStr"/>
      <c r="G316" s="23" t="inlineStr"/>
      <c r="H316" s="22" t="inlineStr">
        <is>
          <t>미확인</t>
        </is>
      </c>
      <c r="I316" s="17" t="n">
        <v>1</v>
      </c>
      <c r="J316" s="17" t="n">
        <v>1</v>
      </c>
      <c r="K316" s="17" t="inlineStr">
        <is>
          <t>Y</t>
        </is>
      </c>
      <c r="L316" s="17" t="inlineStr"/>
      <c r="M316" s="17" t="inlineStr"/>
      <c r="N316" s="17" t="inlineStr"/>
      <c r="O316" s="17" t="inlineStr">
        <is>
          <t>경기도</t>
        </is>
      </c>
      <c r="P316" s="17" t="inlineStr">
        <is>
          <t>미확인</t>
        </is>
      </c>
      <c r="Q316" s="17" t="inlineStr"/>
      <c r="R316" s="17" t="inlineStr">
        <is>
          <t>EDMS</t>
        </is>
      </c>
      <c r="S316" s="24" t="n">
        <v>47149</v>
      </c>
      <c r="T316" s="17" t="inlineStr"/>
    </row>
    <row r="317">
      <c r="A317" s="17" t="n">
        <v>316</v>
      </c>
      <c r="B317" s="17" t="inlineStr">
        <is>
          <t>(주)유앤생명과학</t>
        </is>
      </c>
      <c r="C317" s="17" t="inlineStr">
        <is>
          <t>유앤생명과학</t>
        </is>
      </c>
      <c r="D317" s="28" t="inlineStr">
        <is>
          <t>Tier D</t>
        </is>
      </c>
      <c r="E317" s="17" t="n">
        <v>5</v>
      </c>
      <c r="F317" s="17" t="inlineStr"/>
      <c r="G317" s="23" t="inlineStr"/>
      <c r="H317" s="22" t="inlineStr">
        <is>
          <t>미확인</t>
        </is>
      </c>
      <c r="I317" s="17" t="n">
        <v>1</v>
      </c>
      <c r="J317" s="17" t="n">
        <v>1</v>
      </c>
      <c r="K317" s="17" t="inlineStr">
        <is>
          <t>Y</t>
        </is>
      </c>
      <c r="L317" s="17" t="inlineStr"/>
      <c r="M317" s="17" t="inlineStr"/>
      <c r="N317" s="17" t="inlineStr"/>
      <c r="O317" s="17" t="inlineStr">
        <is>
          <t>경기도</t>
        </is>
      </c>
      <c r="P317" s="17" t="inlineStr">
        <is>
          <t>02-6952-8838</t>
        </is>
      </c>
      <c r="Q317" s="17" t="inlineStr"/>
      <c r="R317" s="17" t="inlineStr">
        <is>
          <t>EDMS</t>
        </is>
      </c>
      <c r="S317" s="24" t="n">
        <v>46920</v>
      </c>
      <c r="T317" s="17" t="inlineStr"/>
    </row>
    <row r="318">
      <c r="A318" s="17" t="n">
        <v>317</v>
      </c>
      <c r="B318" s="17" t="inlineStr">
        <is>
          <t>(주)일화</t>
        </is>
      </c>
      <c r="C318" s="17" t="inlineStr">
        <is>
          <t>일화</t>
        </is>
      </c>
      <c r="D318" s="28" t="inlineStr">
        <is>
          <t>Tier D</t>
        </is>
      </c>
      <c r="E318" s="17" t="n">
        <v>5</v>
      </c>
      <c r="F318" s="17" t="inlineStr"/>
      <c r="G318" s="23" t="inlineStr"/>
      <c r="H318" s="22" t="inlineStr">
        <is>
          <t>미확인</t>
        </is>
      </c>
      <c r="I318" s="17" t="n">
        <v>1</v>
      </c>
      <c r="J318" s="17" t="n">
        <v>1</v>
      </c>
      <c r="K318" s="17" t="inlineStr">
        <is>
          <t>Y</t>
        </is>
      </c>
      <c r="L318" s="17" t="inlineStr"/>
      <c r="M318" s="17" t="inlineStr"/>
      <c r="N318" s="17" t="inlineStr"/>
      <c r="O318" s="17" t="inlineStr">
        <is>
          <t>강원특별자치도</t>
        </is>
      </c>
      <c r="P318" s="17" t="inlineStr">
        <is>
          <t>031-550-0477</t>
        </is>
      </c>
      <c r="Q318" s="17" t="inlineStr"/>
      <c r="R318" s="17" t="inlineStr">
        <is>
          <t>EDMS</t>
        </is>
      </c>
      <c r="S318" s="24" t="n">
        <v>46955</v>
      </c>
      <c r="T318" s="17" t="inlineStr"/>
    </row>
    <row r="319">
      <c r="A319" s="17" t="n">
        <v>318</v>
      </c>
      <c r="B319" s="17" t="inlineStr">
        <is>
          <t>(주)제뉴파마</t>
        </is>
      </c>
      <c r="C319" s="17" t="inlineStr">
        <is>
          <t>제뉴파마</t>
        </is>
      </c>
      <c r="D319" s="28" t="inlineStr">
        <is>
          <t>Tier D</t>
        </is>
      </c>
      <c r="E319" s="17" t="n">
        <v>5</v>
      </c>
      <c r="F319" s="17" t="inlineStr"/>
      <c r="G319" s="23" t="inlineStr"/>
      <c r="H319" s="22" t="inlineStr">
        <is>
          <t>미확인</t>
        </is>
      </c>
      <c r="I319" s="17" t="n">
        <v>1</v>
      </c>
      <c r="J319" s="17" t="n">
        <v>1</v>
      </c>
      <c r="K319" s="17" t="inlineStr">
        <is>
          <t>Y</t>
        </is>
      </c>
      <c r="L319" s="17" t="inlineStr"/>
      <c r="M319" s="17" t="inlineStr"/>
      <c r="N319" s="17" t="inlineStr"/>
      <c r="O319" s="17" t="inlineStr">
        <is>
          <t>충청북도</t>
        </is>
      </c>
      <c r="P319" s="17" t="inlineStr">
        <is>
          <t>080-640-0088</t>
        </is>
      </c>
      <c r="Q319" s="17" t="inlineStr"/>
      <c r="R319" s="17" t="inlineStr">
        <is>
          <t>EDMS</t>
        </is>
      </c>
      <c r="S319" s="24" t="n">
        <v>46931</v>
      </c>
      <c r="T319" s="17" t="inlineStr"/>
    </row>
    <row r="320">
      <c r="A320" s="17" t="n">
        <v>319</v>
      </c>
      <c r="B320" s="17" t="inlineStr">
        <is>
          <t>(주)제이에스산업가스</t>
        </is>
      </c>
      <c r="C320" s="17" t="inlineStr">
        <is>
          <t>제이에스산업가스</t>
        </is>
      </c>
      <c r="D320" s="28" t="inlineStr">
        <is>
          <t>Tier D</t>
        </is>
      </c>
      <c r="E320" s="17" t="n">
        <v>5</v>
      </c>
      <c r="F320" s="17" t="inlineStr"/>
      <c r="G320" s="23" t="inlineStr"/>
      <c r="H320" s="22" t="inlineStr">
        <is>
          <t>미확인</t>
        </is>
      </c>
      <c r="I320" s="17" t="n">
        <v>1</v>
      </c>
      <c r="J320" s="17" t="n">
        <v>1</v>
      </c>
      <c r="K320" s="17" t="inlineStr">
        <is>
          <t>Y</t>
        </is>
      </c>
      <c r="L320" s="17" t="inlineStr"/>
      <c r="M320" s="17" t="inlineStr"/>
      <c r="N320" s="17" t="inlineStr"/>
      <c r="O320" s="17" t="inlineStr">
        <is>
          <t>경상남도</t>
        </is>
      </c>
      <c r="P320" s="17" t="inlineStr">
        <is>
          <t>055-338-0577</t>
        </is>
      </c>
      <c r="Q320" s="17" t="inlineStr"/>
      <c r="R320" s="17" t="inlineStr">
        <is>
          <t>EDMS</t>
        </is>
      </c>
      <c r="S320" s="24" t="n">
        <v>47047</v>
      </c>
      <c r="T320" s="17" t="inlineStr"/>
    </row>
    <row r="321">
      <c r="A321" s="17" t="n">
        <v>320</v>
      </c>
      <c r="B321" s="17" t="inlineStr">
        <is>
          <t>(주)제일가스</t>
        </is>
      </c>
      <c r="C321" s="17" t="inlineStr">
        <is>
          <t>제일가스</t>
        </is>
      </c>
      <c r="D321" s="28" t="inlineStr">
        <is>
          <t>Tier D</t>
        </is>
      </c>
      <c r="E321" s="17" t="n">
        <v>5</v>
      </c>
      <c r="F321" s="17" t="inlineStr"/>
      <c r="G321" s="23" t="inlineStr"/>
      <c r="H321" s="22" t="inlineStr">
        <is>
          <t>미확인</t>
        </is>
      </c>
      <c r="I321" s="17" t="n">
        <v>1</v>
      </c>
      <c r="J321" s="17" t="n">
        <v>1</v>
      </c>
      <c r="K321" s="17" t="inlineStr">
        <is>
          <t>Y</t>
        </is>
      </c>
      <c r="L321" s="17" t="inlineStr"/>
      <c r="M321" s="17" t="inlineStr"/>
      <c r="N321" s="17" t="inlineStr"/>
      <c r="O321" s="17" t="inlineStr">
        <is>
          <t>인천광역시</t>
        </is>
      </c>
      <c r="P321" s="17" t="inlineStr">
        <is>
          <t>032-567-6050</t>
        </is>
      </c>
      <c r="Q321" s="17" t="inlineStr"/>
      <c r="R321" s="17" t="inlineStr">
        <is>
          <t>EDMS</t>
        </is>
      </c>
      <c r="S321" s="24" t="n">
        <v>46832</v>
      </c>
      <c r="T321" s="17" t="inlineStr"/>
    </row>
    <row r="322">
      <c r="A322" s="17" t="n">
        <v>321</v>
      </c>
      <c r="B322" s="17" t="inlineStr">
        <is>
          <t>(주)제일가스산업</t>
        </is>
      </c>
      <c r="C322" s="17" t="inlineStr">
        <is>
          <t>제일가스산업</t>
        </is>
      </c>
      <c r="D322" s="28" t="inlineStr">
        <is>
          <t>Tier D</t>
        </is>
      </c>
      <c r="E322" s="17" t="n">
        <v>5</v>
      </c>
      <c r="F322" s="17" t="inlineStr"/>
      <c r="G322" s="23" t="inlineStr"/>
      <c r="H322" s="22" t="inlineStr">
        <is>
          <t>미확인</t>
        </is>
      </c>
      <c r="I322" s="17" t="n">
        <v>1</v>
      </c>
      <c r="J322" s="17" t="n">
        <v>1</v>
      </c>
      <c r="K322" s="17" t="inlineStr">
        <is>
          <t>Y</t>
        </is>
      </c>
      <c r="L322" s="17" t="inlineStr"/>
      <c r="M322" s="17" t="inlineStr"/>
      <c r="N322" s="17" t="inlineStr"/>
      <c r="O322" s="17" t="inlineStr">
        <is>
          <t>세종특별자치시</t>
        </is>
      </c>
      <c r="P322" s="17" t="inlineStr">
        <is>
          <t>044-268-4001</t>
        </is>
      </c>
      <c r="Q322" s="17" t="inlineStr"/>
      <c r="R322" s="17" t="inlineStr">
        <is>
          <t>EDMS</t>
        </is>
      </c>
      <c r="S322" s="24" t="n">
        <v>46777</v>
      </c>
      <c r="T322" s="17" t="inlineStr"/>
    </row>
    <row r="323">
      <c r="A323" s="17" t="n">
        <v>322</v>
      </c>
      <c r="B323" s="17" t="inlineStr">
        <is>
          <t>(주)창신</t>
        </is>
      </c>
      <c r="C323" s="17" t="inlineStr">
        <is>
          <t>창신</t>
        </is>
      </c>
      <c r="D323" s="28" t="inlineStr">
        <is>
          <t>Tier D</t>
        </is>
      </c>
      <c r="E323" s="17" t="n">
        <v>5</v>
      </c>
      <c r="F323" s="17" t="inlineStr"/>
      <c r="G323" s="23" t="inlineStr"/>
      <c r="H323" s="22" t="inlineStr">
        <is>
          <t>미확인</t>
        </is>
      </c>
      <c r="I323" s="17" t="n">
        <v>1</v>
      </c>
      <c r="J323" s="17" t="n">
        <v>1</v>
      </c>
      <c r="K323" s="17" t="inlineStr">
        <is>
          <t>Y</t>
        </is>
      </c>
      <c r="L323" s="17" t="inlineStr"/>
      <c r="M323" s="17" t="inlineStr"/>
      <c r="N323" s="17" t="inlineStr"/>
      <c r="O323" s="17" t="inlineStr">
        <is>
          <t>경상남도</t>
        </is>
      </c>
      <c r="P323" s="17" t="inlineStr">
        <is>
          <t>055-232-2000</t>
        </is>
      </c>
      <c r="Q323" s="17" t="inlineStr"/>
      <c r="R323" s="17" t="inlineStr">
        <is>
          <t>EDMS</t>
        </is>
      </c>
      <c r="S323" s="24" t="n">
        <v>46795</v>
      </c>
      <c r="T323" s="17" t="inlineStr"/>
    </row>
    <row r="324">
      <c r="A324" s="17" t="n">
        <v>323</v>
      </c>
      <c r="B324" s="17" t="inlineStr">
        <is>
          <t>(주)천일가스</t>
        </is>
      </c>
      <c r="C324" s="17" t="inlineStr">
        <is>
          <t>천일가스</t>
        </is>
      </c>
      <c r="D324" s="28" t="inlineStr">
        <is>
          <t>Tier D</t>
        </is>
      </c>
      <c r="E324" s="17" t="n">
        <v>5</v>
      </c>
      <c r="F324" s="17" t="inlineStr"/>
      <c r="G324" s="23" t="inlineStr"/>
      <c r="H324" s="22" t="inlineStr">
        <is>
          <t>미확인</t>
        </is>
      </c>
      <c r="I324" s="17" t="n">
        <v>1</v>
      </c>
      <c r="J324" s="17" t="n">
        <v>1</v>
      </c>
      <c r="K324" s="17" t="inlineStr">
        <is>
          <t>Y</t>
        </is>
      </c>
      <c r="L324" s="17" t="inlineStr"/>
      <c r="M324" s="17" t="inlineStr"/>
      <c r="N324" s="17" t="inlineStr"/>
      <c r="O324" s="17" t="inlineStr">
        <is>
          <t>경상북도</t>
        </is>
      </c>
      <c r="P324" s="17" t="inlineStr">
        <is>
          <t>054-277-1001</t>
        </is>
      </c>
      <c r="Q324" s="17" t="inlineStr"/>
      <c r="R324" s="17" t="inlineStr">
        <is>
          <t>EDMS</t>
        </is>
      </c>
      <c r="S324" s="24" t="n">
        <v>46876</v>
      </c>
      <c r="T324" s="17" t="inlineStr"/>
    </row>
    <row r="325">
      <c r="A325" s="17" t="n">
        <v>324</v>
      </c>
      <c r="B325" s="17" t="inlineStr">
        <is>
          <t>(주)킴스제약</t>
        </is>
      </c>
      <c r="C325" s="17" t="inlineStr">
        <is>
          <t>킴스제약</t>
        </is>
      </c>
      <c r="D325" s="28" t="inlineStr">
        <is>
          <t>Tier D</t>
        </is>
      </c>
      <c r="E325" s="17" t="n">
        <v>5</v>
      </c>
      <c r="F325" s="17" t="inlineStr"/>
      <c r="G325" s="23" t="inlineStr"/>
      <c r="H325" s="22" t="inlineStr">
        <is>
          <t>미확인</t>
        </is>
      </c>
      <c r="I325" s="17" t="n">
        <v>1</v>
      </c>
      <c r="J325" s="17" t="n">
        <v>1</v>
      </c>
      <c r="K325" s="17" t="inlineStr">
        <is>
          <t>Y</t>
        </is>
      </c>
      <c r="L325" s="17" t="inlineStr"/>
      <c r="M325" s="17" t="inlineStr"/>
      <c r="N325" s="17" t="inlineStr"/>
      <c r="O325" s="17" t="inlineStr">
        <is>
          <t>충청북도</t>
        </is>
      </c>
      <c r="P325" s="17" t="inlineStr">
        <is>
          <t>043-714-3509</t>
        </is>
      </c>
      <c r="Q325" s="17" t="inlineStr"/>
      <c r="R325" s="17" t="inlineStr">
        <is>
          <t>EDMS</t>
        </is>
      </c>
      <c r="S325" s="24" t="n">
        <v>46764</v>
      </c>
      <c r="T325" s="17" t="inlineStr"/>
    </row>
    <row r="326">
      <c r="A326" s="17" t="n">
        <v>325</v>
      </c>
      <c r="B326" s="17" t="inlineStr">
        <is>
          <t>(주)킵스바이오파마</t>
        </is>
      </c>
      <c r="C326" s="17" t="inlineStr">
        <is>
          <t>킵스바이오파마</t>
        </is>
      </c>
      <c r="D326" s="28" t="inlineStr">
        <is>
          <t>Tier D</t>
        </is>
      </c>
      <c r="E326" s="17" t="n">
        <v>5</v>
      </c>
      <c r="F326" s="17" t="inlineStr"/>
      <c r="G326" s="23" t="inlineStr"/>
      <c r="H326" s="22" t="inlineStr">
        <is>
          <t>미확인</t>
        </is>
      </c>
      <c r="I326" s="17" t="n">
        <v>1</v>
      </c>
      <c r="J326" s="17" t="n">
        <v>1</v>
      </c>
      <c r="K326" s="17" t="inlineStr">
        <is>
          <t>Y</t>
        </is>
      </c>
      <c r="L326" s="17" t="inlineStr"/>
      <c r="M326" s="17" t="inlineStr"/>
      <c r="N326" s="17" t="inlineStr"/>
      <c r="O326" s="17" t="inlineStr">
        <is>
          <t>충청남도</t>
        </is>
      </c>
      <c r="P326" s="17" t="inlineStr">
        <is>
          <t>041-953-9800</t>
        </is>
      </c>
      <c r="Q326" s="17" t="inlineStr"/>
      <c r="R326" s="17" t="inlineStr">
        <is>
          <t>EDMS</t>
        </is>
      </c>
      <c r="S326" s="24" t="n">
        <v>47031</v>
      </c>
      <c r="T326" s="17" t="inlineStr"/>
    </row>
    <row r="327">
      <c r="A327" s="17" t="n">
        <v>326</v>
      </c>
      <c r="B327" s="17" t="inlineStr">
        <is>
          <t>(주)텔콘알에프제약</t>
        </is>
      </c>
      <c r="C327" s="17" t="inlineStr">
        <is>
          <t>텔콘알에프제약</t>
        </is>
      </c>
      <c r="D327" s="28" t="inlineStr">
        <is>
          <t>Tier D</t>
        </is>
      </c>
      <c r="E327" s="17" t="n">
        <v>5</v>
      </c>
      <c r="F327" s="17" t="inlineStr"/>
      <c r="G327" s="23" t="inlineStr"/>
      <c r="H327" s="22" t="inlineStr">
        <is>
          <t>미확인</t>
        </is>
      </c>
      <c r="I327" s="17" t="n">
        <v>1</v>
      </c>
      <c r="J327" s="17" t="n">
        <v>1</v>
      </c>
      <c r="K327" s="17" t="inlineStr">
        <is>
          <t>Y</t>
        </is>
      </c>
      <c r="L327" s="17" t="inlineStr"/>
      <c r="M327" s="17" t="inlineStr"/>
      <c r="N327" s="17" t="inlineStr"/>
      <c r="O327" s="17" t="inlineStr">
        <is>
          <t>충청북도</t>
        </is>
      </c>
      <c r="P327" s="17" t="inlineStr">
        <is>
          <t>043-849-0200</t>
        </is>
      </c>
      <c r="Q327" s="17" t="inlineStr"/>
      <c r="R327" s="17" t="inlineStr">
        <is>
          <t>EDMS</t>
        </is>
      </c>
      <c r="S327" s="24" t="n">
        <v>47165</v>
      </c>
      <c r="T327" s="17" t="inlineStr"/>
    </row>
    <row r="328">
      <c r="A328" s="17" t="n">
        <v>327</v>
      </c>
      <c r="B328" s="17" t="inlineStr">
        <is>
          <t>(주)파마킹</t>
        </is>
      </c>
      <c r="C328" s="17" t="inlineStr">
        <is>
          <t>파마킹</t>
        </is>
      </c>
      <c r="D328" s="28" t="inlineStr">
        <is>
          <t>Tier D</t>
        </is>
      </c>
      <c r="E328" s="17" t="n">
        <v>5</v>
      </c>
      <c r="F328" s="17" t="inlineStr"/>
      <c r="G328" s="23" t="inlineStr"/>
      <c r="H328" s="22" t="inlineStr">
        <is>
          <t>미확인</t>
        </is>
      </c>
      <c r="I328" s="17" t="n">
        <v>1</v>
      </c>
      <c r="J328" s="17" t="n">
        <v>1</v>
      </c>
      <c r="K328" s="17" t="inlineStr">
        <is>
          <t>Y</t>
        </is>
      </c>
      <c r="L328" s="17" t="inlineStr"/>
      <c r="M328" s="17" t="inlineStr"/>
      <c r="N328" s="17" t="inlineStr"/>
      <c r="O328" s="17" t="inlineStr">
        <is>
          <t>충청북도</t>
        </is>
      </c>
      <c r="P328" s="17" t="inlineStr">
        <is>
          <t>043-882-3501</t>
        </is>
      </c>
      <c r="Q328" s="17" t="inlineStr"/>
      <c r="R328" s="17" t="inlineStr">
        <is>
          <t>EDMS</t>
        </is>
      </c>
      <c r="S328" s="24" t="n">
        <v>47039</v>
      </c>
      <c r="T328" s="17" t="inlineStr"/>
    </row>
    <row r="329">
      <c r="A329" s="17" t="n">
        <v>328</v>
      </c>
      <c r="B329" s="17" t="inlineStr">
        <is>
          <t>(주)팩슨</t>
        </is>
      </c>
      <c r="C329" s="17" t="inlineStr">
        <is>
          <t>팩슨</t>
        </is>
      </c>
      <c r="D329" s="28" t="inlineStr">
        <is>
          <t>Tier D</t>
        </is>
      </c>
      <c r="E329" s="17" t="n">
        <v>5</v>
      </c>
      <c r="F329" s="17" t="inlineStr"/>
      <c r="G329" s="23" t="inlineStr"/>
      <c r="H329" s="22" t="inlineStr">
        <is>
          <t>미확인</t>
        </is>
      </c>
      <c r="I329" s="17" t="n">
        <v>1</v>
      </c>
      <c r="J329" s="17" t="n">
        <v>1</v>
      </c>
      <c r="K329" s="17" t="inlineStr">
        <is>
          <t>Y</t>
        </is>
      </c>
      <c r="L329" s="17" t="inlineStr"/>
      <c r="M329" s="17" t="inlineStr"/>
      <c r="N329" s="17" t="inlineStr"/>
      <c r="O329" s="17" t="inlineStr">
        <is>
          <t>대구광역시</t>
        </is>
      </c>
      <c r="P329" s="17" t="inlineStr">
        <is>
          <t>053-581-5425</t>
        </is>
      </c>
      <c r="Q329" s="17" t="inlineStr"/>
      <c r="R329" s="17" t="inlineStr">
        <is>
          <t>EDMS</t>
        </is>
      </c>
      <c r="S329" s="24" t="n">
        <v>46975</v>
      </c>
      <c r="T329" s="17" t="inlineStr"/>
    </row>
    <row r="330">
      <c r="A330" s="17" t="n">
        <v>329</v>
      </c>
      <c r="B330" s="17" t="inlineStr">
        <is>
          <t>(주)퍼슨</t>
        </is>
      </c>
      <c r="C330" s="17" t="inlineStr">
        <is>
          <t>퍼슨</t>
        </is>
      </c>
      <c r="D330" s="28" t="inlineStr">
        <is>
          <t>Tier D</t>
        </is>
      </c>
      <c r="E330" s="17" t="n">
        <v>5</v>
      </c>
      <c r="F330" s="17" t="inlineStr"/>
      <c r="G330" s="23" t="inlineStr"/>
      <c r="H330" s="22" t="inlineStr">
        <is>
          <t>미확인</t>
        </is>
      </c>
      <c r="I330" s="17" t="n">
        <v>1</v>
      </c>
      <c r="J330" s="17" t="n">
        <v>1</v>
      </c>
      <c r="K330" s="17" t="inlineStr">
        <is>
          <t>Y</t>
        </is>
      </c>
      <c r="L330" s="17" t="inlineStr"/>
      <c r="M330" s="17" t="inlineStr"/>
      <c r="N330" s="17" t="inlineStr"/>
      <c r="O330" s="17" t="inlineStr">
        <is>
          <t>충청남도</t>
        </is>
      </c>
      <c r="P330" s="17" t="inlineStr">
        <is>
          <t>070-4850-7650</t>
        </is>
      </c>
      <c r="Q330" s="17" t="inlineStr"/>
      <c r="R330" s="17" t="inlineStr">
        <is>
          <t>EDMS</t>
        </is>
      </c>
      <c r="S330" s="24" t="n">
        <v>47284</v>
      </c>
      <c r="T330" s="17" t="inlineStr"/>
    </row>
    <row r="331">
      <c r="A331" s="17" t="n">
        <v>330</v>
      </c>
      <c r="B331" s="17" t="inlineStr">
        <is>
          <t>(주)평화산소공업</t>
        </is>
      </c>
      <c r="C331" s="17" t="inlineStr">
        <is>
          <t>평화산소공업</t>
        </is>
      </c>
      <c r="D331" s="28" t="inlineStr">
        <is>
          <t>Tier D</t>
        </is>
      </c>
      <c r="E331" s="17" t="n">
        <v>5</v>
      </c>
      <c r="F331" s="17" t="inlineStr"/>
      <c r="G331" s="23" t="inlineStr"/>
      <c r="H331" s="22" t="inlineStr">
        <is>
          <t>미확인</t>
        </is>
      </c>
      <c r="I331" s="17" t="n">
        <v>1</v>
      </c>
      <c r="J331" s="17" t="n">
        <v>1</v>
      </c>
      <c r="K331" s="17" t="inlineStr">
        <is>
          <t>Y</t>
        </is>
      </c>
      <c r="L331" s="17" t="inlineStr"/>
      <c r="M331" s="17" t="inlineStr"/>
      <c r="N331" s="17" t="inlineStr"/>
      <c r="O331" s="17" t="inlineStr">
        <is>
          <t>부산광역시</t>
        </is>
      </c>
      <c r="P331" s="17" t="inlineStr">
        <is>
          <t>051-313-4631</t>
        </is>
      </c>
      <c r="Q331" s="17" t="inlineStr"/>
      <c r="R331" s="17" t="inlineStr">
        <is>
          <t>EDMS</t>
        </is>
      </c>
      <c r="S331" s="24" t="n">
        <v>46719</v>
      </c>
      <c r="T331" s="17" t="inlineStr"/>
    </row>
    <row r="332">
      <c r="A332" s="17" t="n">
        <v>331</v>
      </c>
      <c r="B332" s="17" t="inlineStr">
        <is>
          <t>(주)하원제약</t>
        </is>
      </c>
      <c r="C332" s="17" t="inlineStr">
        <is>
          <t>하원제약</t>
        </is>
      </c>
      <c r="D332" s="28" t="inlineStr">
        <is>
          <t>Tier D</t>
        </is>
      </c>
      <c r="E332" s="17" t="n">
        <v>5</v>
      </c>
      <c r="F332" s="17" t="inlineStr"/>
      <c r="G332" s="23" t="inlineStr"/>
      <c r="H332" s="22" t="inlineStr">
        <is>
          <t>미확인</t>
        </is>
      </c>
      <c r="I332" s="17" t="n">
        <v>1</v>
      </c>
      <c r="J332" s="17" t="n">
        <v>1</v>
      </c>
      <c r="K332" s="17" t="inlineStr">
        <is>
          <t>Y</t>
        </is>
      </c>
      <c r="L332" s="17" t="inlineStr"/>
      <c r="M332" s="17" t="inlineStr"/>
      <c r="N332" s="17" t="inlineStr"/>
      <c r="O332" s="17" t="inlineStr">
        <is>
          <t>경기도</t>
        </is>
      </c>
      <c r="P332" s="17" t="inlineStr">
        <is>
          <t>031-667-6272</t>
        </is>
      </c>
      <c r="Q332" s="17" t="inlineStr"/>
      <c r="R332" s="17" t="inlineStr">
        <is>
          <t>EDMS</t>
        </is>
      </c>
      <c r="S332" s="24" t="n">
        <v>47002</v>
      </c>
      <c r="T332" s="17" t="inlineStr"/>
    </row>
    <row r="333">
      <c r="A333" s="17" t="n">
        <v>332</v>
      </c>
      <c r="B333" s="17" t="inlineStr">
        <is>
          <t>(주)한국파비스제약</t>
        </is>
      </c>
      <c r="C333" s="17" t="inlineStr">
        <is>
          <t>한국파비스제약</t>
        </is>
      </c>
      <c r="D333" s="28" t="inlineStr">
        <is>
          <t>Tier D</t>
        </is>
      </c>
      <c r="E333" s="17" t="n">
        <v>5</v>
      </c>
      <c r="F333" s="17" t="inlineStr"/>
      <c r="G333" s="23" t="inlineStr"/>
      <c r="H333" s="22" t="inlineStr">
        <is>
          <t>미확인</t>
        </is>
      </c>
      <c r="I333" s="17" t="n">
        <v>1</v>
      </c>
      <c r="J333" s="17" t="n">
        <v>1</v>
      </c>
      <c r="K333" s="17" t="inlineStr">
        <is>
          <t>Y</t>
        </is>
      </c>
      <c r="L333" s="17" t="inlineStr"/>
      <c r="M333" s="17" t="inlineStr"/>
      <c r="N333" s="17" t="inlineStr"/>
      <c r="O333" s="17" t="inlineStr">
        <is>
          <t>경기도</t>
        </is>
      </c>
      <c r="P333" s="17" t="inlineStr">
        <is>
          <t>미확인</t>
        </is>
      </c>
      <c r="Q333" s="17" t="inlineStr"/>
      <c r="R333" s="17" t="inlineStr">
        <is>
          <t>EDMS</t>
        </is>
      </c>
      <c r="S333" s="24" t="n">
        <v>46836</v>
      </c>
      <c r="T333" s="17" t="inlineStr"/>
    </row>
    <row r="334">
      <c r="A334" s="17" t="n">
        <v>333</v>
      </c>
      <c r="B334" s="17" t="inlineStr">
        <is>
          <t>(주)한국호넥스</t>
        </is>
      </c>
      <c r="C334" s="17" t="inlineStr">
        <is>
          <t>한국호넥스</t>
        </is>
      </c>
      <c r="D334" s="28" t="inlineStr">
        <is>
          <t>Tier D</t>
        </is>
      </c>
      <c r="E334" s="17" t="n">
        <v>5</v>
      </c>
      <c r="F334" s="17" t="inlineStr"/>
      <c r="G334" s="23" t="inlineStr"/>
      <c r="H334" s="22" t="inlineStr">
        <is>
          <t>미확인</t>
        </is>
      </c>
      <c r="I334" s="17" t="n">
        <v>1</v>
      </c>
      <c r="J334" s="17" t="n">
        <v>1</v>
      </c>
      <c r="K334" s="17" t="inlineStr">
        <is>
          <t>Y</t>
        </is>
      </c>
      <c r="L334" s="17" t="inlineStr"/>
      <c r="M334" s="17" t="inlineStr"/>
      <c r="N334" s="17" t="inlineStr"/>
      <c r="O334" s="17" t="inlineStr">
        <is>
          <t>충청북도</t>
        </is>
      </c>
      <c r="P334" s="17" t="inlineStr">
        <is>
          <t>043-846-4907</t>
        </is>
      </c>
      <c r="Q334" s="17" t="inlineStr"/>
      <c r="R334" s="17" t="inlineStr">
        <is>
          <t>EDMS</t>
        </is>
      </c>
      <c r="S334" s="24" t="n">
        <v>47049</v>
      </c>
      <c r="T334" s="17" t="inlineStr"/>
    </row>
    <row r="335">
      <c r="A335" s="17" t="n">
        <v>334</v>
      </c>
      <c r="B335" s="17" t="inlineStr">
        <is>
          <t>(주)화이트생명과학</t>
        </is>
      </c>
      <c r="C335" s="17" t="inlineStr">
        <is>
          <t>화이트생명과학</t>
        </is>
      </c>
      <c r="D335" s="28" t="inlineStr">
        <is>
          <t>Tier D</t>
        </is>
      </c>
      <c r="E335" s="17" t="n">
        <v>5</v>
      </c>
      <c r="F335" s="17" t="inlineStr"/>
      <c r="G335" s="23" t="inlineStr"/>
      <c r="H335" s="22" t="inlineStr">
        <is>
          <t>미확인</t>
        </is>
      </c>
      <c r="I335" s="17" t="n">
        <v>1</v>
      </c>
      <c r="J335" s="17" t="n">
        <v>1</v>
      </c>
      <c r="K335" s="17" t="inlineStr">
        <is>
          <t>Y</t>
        </is>
      </c>
      <c r="L335" s="17" t="inlineStr"/>
      <c r="M335" s="17" t="inlineStr"/>
      <c r="N335" s="17" t="inlineStr"/>
      <c r="O335" s="17" t="inlineStr">
        <is>
          <t>경기도</t>
        </is>
      </c>
      <c r="P335" s="17" t="inlineStr">
        <is>
          <t>미확인</t>
        </is>
      </c>
      <c r="Q335" s="17" t="inlineStr"/>
      <c r="R335" s="17" t="inlineStr">
        <is>
          <t>EDMS</t>
        </is>
      </c>
      <c r="S335" s="24" t="n">
        <v>47158</v>
      </c>
      <c r="T335" s="17" t="inlineStr"/>
    </row>
    <row r="336">
      <c r="A336" s="17" t="n">
        <v>335</v>
      </c>
      <c r="B336" s="17" t="inlineStr">
        <is>
          <t>(주)휴비스트제약</t>
        </is>
      </c>
      <c r="C336" s="17" t="inlineStr">
        <is>
          <t>휴비스트제약</t>
        </is>
      </c>
      <c r="D336" s="28" t="inlineStr">
        <is>
          <t>Tier D</t>
        </is>
      </c>
      <c r="E336" s="17" t="n">
        <v>5</v>
      </c>
      <c r="F336" s="17" t="inlineStr"/>
      <c r="G336" s="23" t="inlineStr"/>
      <c r="H336" s="22" t="inlineStr">
        <is>
          <t>미확인</t>
        </is>
      </c>
      <c r="I336" s="17" t="n">
        <v>1</v>
      </c>
      <c r="J336" s="17" t="n">
        <v>1</v>
      </c>
      <c r="K336" s="17" t="inlineStr">
        <is>
          <t>Y</t>
        </is>
      </c>
      <c r="L336" s="17" t="inlineStr"/>
      <c r="M336" s="17" t="inlineStr"/>
      <c r="N336" s="17" t="inlineStr"/>
      <c r="O336" s="17" t="inlineStr">
        <is>
          <t>대전광역시</t>
        </is>
      </c>
      <c r="P336" s="17" t="inlineStr">
        <is>
          <t>042-933-7901</t>
        </is>
      </c>
      <c r="Q336" s="17" t="inlineStr"/>
      <c r="R336" s="17" t="inlineStr">
        <is>
          <t>EDMS</t>
        </is>
      </c>
      <c r="S336" s="24" t="n">
        <v>47214</v>
      </c>
      <c r="T336" s="17" t="inlineStr"/>
    </row>
    <row r="337">
      <c r="A337" s="17" t="n">
        <v>336</v>
      </c>
      <c r="B337" s="17" t="inlineStr">
        <is>
          <t>(주)휴온스메디텍</t>
        </is>
      </c>
      <c r="C337" s="17" t="inlineStr">
        <is>
          <t>휴온스메디텍</t>
        </is>
      </c>
      <c r="D337" s="28" t="inlineStr">
        <is>
          <t>Tier D</t>
        </is>
      </c>
      <c r="E337" s="17" t="n">
        <v>5</v>
      </c>
      <c r="F337" s="17" t="inlineStr"/>
      <c r="G337" s="23" t="inlineStr"/>
      <c r="H337" s="22" t="inlineStr">
        <is>
          <t>미확인</t>
        </is>
      </c>
      <c r="I337" s="17" t="n">
        <v>1</v>
      </c>
      <c r="J337" s="17" t="n">
        <v>1</v>
      </c>
      <c r="K337" s="17" t="inlineStr">
        <is>
          <t>Y</t>
        </is>
      </c>
      <c r="L337" s="17" t="inlineStr"/>
      <c r="M337" s="17" t="inlineStr"/>
      <c r="N337" s="17" t="inlineStr"/>
      <c r="O337" s="17" t="inlineStr">
        <is>
          <t>부산광역시</t>
        </is>
      </c>
      <c r="P337" s="17" t="inlineStr">
        <is>
          <t>05183110300519790922</t>
        </is>
      </c>
      <c r="Q337" s="17" t="inlineStr"/>
      <c r="R337" s="17" t="inlineStr">
        <is>
          <t>EDMS</t>
        </is>
      </c>
      <c r="S337" s="24" t="n">
        <v>46983</v>
      </c>
      <c r="T337" s="17" t="inlineStr"/>
    </row>
    <row r="338">
      <c r="A338" s="17" t="n">
        <v>337</v>
      </c>
      <c r="B338" s="17" t="inlineStr">
        <is>
          <t>가스켐테크놀로지(주)</t>
        </is>
      </c>
      <c r="C338" s="17" t="inlineStr">
        <is>
          <t>가스켐테크놀로지</t>
        </is>
      </c>
      <c r="D338" s="28" t="inlineStr">
        <is>
          <t>Tier D</t>
        </is>
      </c>
      <c r="E338" s="17" t="n">
        <v>5</v>
      </c>
      <c r="F338" s="17" t="inlineStr"/>
      <c r="G338" s="23" t="inlineStr"/>
      <c r="H338" s="22" t="inlineStr">
        <is>
          <t>미확인</t>
        </is>
      </c>
      <c r="I338" s="17" t="n">
        <v>1</v>
      </c>
      <c r="J338" s="17" t="n">
        <v>1</v>
      </c>
      <c r="K338" s="17" t="inlineStr">
        <is>
          <t>Y</t>
        </is>
      </c>
      <c r="L338" s="17" t="inlineStr"/>
      <c r="M338" s="17" t="inlineStr"/>
      <c r="N338" s="17" t="inlineStr"/>
      <c r="O338" s="17" t="inlineStr">
        <is>
          <t>충청북도</t>
        </is>
      </c>
      <c r="P338" s="17" t="inlineStr">
        <is>
          <t>미확인</t>
        </is>
      </c>
      <c r="Q338" s="17" t="inlineStr"/>
      <c r="R338" s="17" t="inlineStr">
        <is>
          <t>EDMS</t>
        </is>
      </c>
      <c r="S338" s="24" t="n">
        <v>47037</v>
      </c>
      <c r="T338" s="17" t="inlineStr"/>
    </row>
    <row r="339">
      <c r="A339" s="17" t="n">
        <v>338</v>
      </c>
      <c r="B339" s="17" t="inlineStr">
        <is>
          <t>건일바이오팜주식회사</t>
        </is>
      </c>
      <c r="C339" s="17" t="inlineStr">
        <is>
          <t>건일바이오팜</t>
        </is>
      </c>
      <c r="D339" s="28" t="inlineStr">
        <is>
          <t>Tier D</t>
        </is>
      </c>
      <c r="E339" s="17" t="n">
        <v>5</v>
      </c>
      <c r="F339" s="17" t="inlineStr"/>
      <c r="G339" s="23" t="inlineStr"/>
      <c r="H339" s="22" t="inlineStr">
        <is>
          <t>미확인</t>
        </is>
      </c>
      <c r="I339" s="17" t="n">
        <v>1</v>
      </c>
      <c r="J339" s="17" t="n">
        <v>1</v>
      </c>
      <c r="K339" s="17" t="inlineStr">
        <is>
          <t>Y</t>
        </is>
      </c>
      <c r="L339" s="17" t="inlineStr"/>
      <c r="M339" s="17" t="inlineStr"/>
      <c r="N339" s="17" t="inlineStr"/>
      <c r="O339" s="17" t="inlineStr">
        <is>
          <t>충청남도</t>
        </is>
      </c>
      <c r="P339" s="17" t="inlineStr">
        <is>
          <t>041-415-2550</t>
        </is>
      </c>
      <c r="Q339" s="17" t="inlineStr"/>
      <c r="R339" s="17" t="inlineStr">
        <is>
          <t>EDMS</t>
        </is>
      </c>
      <c r="S339" s="24" t="n">
        <v>46697</v>
      </c>
      <c r="T339" s="17" t="inlineStr"/>
    </row>
    <row r="340">
      <c r="A340" s="17" t="n">
        <v>339</v>
      </c>
      <c r="B340" s="17" t="inlineStr">
        <is>
          <t>경남산소</t>
        </is>
      </c>
      <c r="C340" s="17" t="inlineStr">
        <is>
          <t>경남산소</t>
        </is>
      </c>
      <c r="D340" s="28" t="inlineStr">
        <is>
          <t>Tier D</t>
        </is>
      </c>
      <c r="E340" s="17" t="n">
        <v>5</v>
      </c>
      <c r="F340" s="17" t="inlineStr"/>
      <c r="G340" s="23" t="inlineStr"/>
      <c r="H340" s="22" t="inlineStr">
        <is>
          <t>미확인</t>
        </is>
      </c>
      <c r="I340" s="17" t="n">
        <v>1</v>
      </c>
      <c r="J340" s="17" t="n">
        <v>1</v>
      </c>
      <c r="K340" s="17" t="inlineStr">
        <is>
          <t>Y</t>
        </is>
      </c>
      <c r="L340" s="17" t="inlineStr"/>
      <c r="M340" s="17" t="inlineStr"/>
      <c r="N340" s="17" t="inlineStr"/>
      <c r="O340" s="17" t="inlineStr">
        <is>
          <t>경상남도</t>
        </is>
      </c>
      <c r="P340" s="17" t="inlineStr">
        <is>
          <t>055-2956-0202</t>
        </is>
      </c>
      <c r="Q340" s="17" t="inlineStr"/>
      <c r="R340" s="17" t="inlineStr">
        <is>
          <t>EDMS</t>
        </is>
      </c>
      <c r="S340" s="24" t="n">
        <v>46884</v>
      </c>
      <c r="T340" s="17" t="inlineStr"/>
    </row>
    <row r="341">
      <c r="A341" s="17" t="n">
        <v>340</v>
      </c>
      <c r="B341" s="17" t="inlineStr">
        <is>
          <t>경원산소(주)</t>
        </is>
      </c>
      <c r="C341" s="17" t="inlineStr">
        <is>
          <t>경원산소</t>
        </is>
      </c>
      <c r="D341" s="28" t="inlineStr">
        <is>
          <t>Tier D</t>
        </is>
      </c>
      <c r="E341" s="17" t="n">
        <v>5</v>
      </c>
      <c r="F341" s="17" t="inlineStr"/>
      <c r="G341" s="23" t="inlineStr"/>
      <c r="H341" s="22" t="inlineStr">
        <is>
          <t>미확인</t>
        </is>
      </c>
      <c r="I341" s="17" t="n">
        <v>1</v>
      </c>
      <c r="J341" s="17" t="n">
        <v>1</v>
      </c>
      <c r="K341" s="17" t="inlineStr">
        <is>
          <t>Y</t>
        </is>
      </c>
      <c r="L341" s="17" t="inlineStr"/>
      <c r="M341" s="17" t="inlineStr"/>
      <c r="N341" s="17" t="inlineStr"/>
      <c r="O341" s="17" t="inlineStr">
        <is>
          <t>강원특별자치도</t>
        </is>
      </c>
      <c r="P341" s="17" t="inlineStr">
        <is>
          <t>033-731-0202</t>
        </is>
      </c>
      <c r="Q341" s="17" t="inlineStr"/>
      <c r="R341" s="17" t="inlineStr">
        <is>
          <t>EDMS</t>
        </is>
      </c>
      <c r="S341" s="24" t="n">
        <v>47172</v>
      </c>
      <c r="T341" s="17" t="inlineStr"/>
    </row>
    <row r="342">
      <c r="A342" s="17" t="n">
        <v>341</v>
      </c>
      <c r="B342" s="17" t="inlineStr">
        <is>
          <t>국제산업가스(주)</t>
        </is>
      </c>
      <c r="C342" s="17" t="inlineStr">
        <is>
          <t>국제산업가스</t>
        </is>
      </c>
      <c r="D342" s="28" t="inlineStr">
        <is>
          <t>Tier D</t>
        </is>
      </c>
      <c r="E342" s="17" t="n">
        <v>5</v>
      </c>
      <c r="F342" s="17" t="inlineStr"/>
      <c r="G342" s="23" t="inlineStr"/>
      <c r="H342" s="22" t="inlineStr">
        <is>
          <t>미확인</t>
        </is>
      </c>
      <c r="I342" s="17" t="n">
        <v>1</v>
      </c>
      <c r="J342" s="17" t="n">
        <v>1</v>
      </c>
      <c r="K342" s="17" t="inlineStr">
        <is>
          <t>Y</t>
        </is>
      </c>
      <c r="L342" s="17" t="inlineStr"/>
      <c r="M342" s="17" t="inlineStr"/>
      <c r="N342" s="17" t="inlineStr"/>
      <c r="O342" s="17" t="inlineStr">
        <is>
          <t>경기도</t>
        </is>
      </c>
      <c r="P342" s="17" t="inlineStr">
        <is>
          <t>031-452-1533</t>
        </is>
      </c>
      <c r="Q342" s="17" t="inlineStr"/>
      <c r="R342" s="17" t="inlineStr">
        <is>
          <t>EDMS</t>
        </is>
      </c>
      <c r="S342" s="24" t="n">
        <v>46870</v>
      </c>
      <c r="T342" s="17" t="inlineStr"/>
    </row>
    <row r="343">
      <c r="A343" s="17" t="n">
        <v>342</v>
      </c>
      <c r="B343" s="17" t="inlineStr">
        <is>
          <t>금오가스(주)</t>
        </is>
      </c>
      <c r="C343" s="17" t="inlineStr">
        <is>
          <t>금오가스</t>
        </is>
      </c>
      <c r="D343" s="28" t="inlineStr">
        <is>
          <t>Tier D</t>
        </is>
      </c>
      <c r="E343" s="17" t="n">
        <v>5</v>
      </c>
      <c r="F343" s="17" t="inlineStr"/>
      <c r="G343" s="23" t="inlineStr"/>
      <c r="H343" s="22" t="inlineStr">
        <is>
          <t>미확인</t>
        </is>
      </c>
      <c r="I343" s="17" t="n">
        <v>1</v>
      </c>
      <c r="J343" s="17" t="n">
        <v>1</v>
      </c>
      <c r="K343" s="17" t="inlineStr">
        <is>
          <t>Y</t>
        </is>
      </c>
      <c r="L343" s="17" t="inlineStr"/>
      <c r="M343" s="17" t="inlineStr"/>
      <c r="N343" s="17" t="inlineStr"/>
      <c r="O343" s="17" t="inlineStr">
        <is>
          <t>경기도</t>
        </is>
      </c>
      <c r="P343" s="17" t="inlineStr">
        <is>
          <t>031-941-9353</t>
        </is>
      </c>
      <c r="Q343" s="17" t="inlineStr"/>
      <c r="R343" s="17" t="inlineStr">
        <is>
          <t>EDMS</t>
        </is>
      </c>
      <c r="S343" s="24" t="n">
        <v>47291</v>
      </c>
      <c r="T343" s="17" t="inlineStr"/>
    </row>
    <row r="344">
      <c r="A344" s="17" t="n">
        <v>343</v>
      </c>
      <c r="B344" s="17" t="inlineStr">
        <is>
          <t>나주신일가스주식회사</t>
        </is>
      </c>
      <c r="C344" s="17" t="inlineStr">
        <is>
          <t>나주신일가스</t>
        </is>
      </c>
      <c r="D344" s="28" t="inlineStr">
        <is>
          <t>Tier D</t>
        </is>
      </c>
      <c r="E344" s="17" t="n">
        <v>5</v>
      </c>
      <c r="F344" s="17" t="inlineStr"/>
      <c r="G344" s="23" t="inlineStr"/>
      <c r="H344" s="22" t="inlineStr">
        <is>
          <t>미확인</t>
        </is>
      </c>
      <c r="I344" s="17" t="n">
        <v>1</v>
      </c>
      <c r="J344" s="17" t="n">
        <v>1</v>
      </c>
      <c r="K344" s="17" t="inlineStr">
        <is>
          <t>Y</t>
        </is>
      </c>
      <c r="L344" s="17" t="inlineStr"/>
      <c r="M344" s="17" t="inlineStr"/>
      <c r="N344" s="17" t="inlineStr"/>
      <c r="O344" s="17" t="inlineStr">
        <is>
          <t>전라남도</t>
        </is>
      </c>
      <c r="P344" s="17" t="inlineStr">
        <is>
          <t>061-335-9955</t>
        </is>
      </c>
      <c r="Q344" s="17" t="inlineStr"/>
      <c r="R344" s="17" t="inlineStr">
        <is>
          <t>EDMS</t>
        </is>
      </c>
      <c r="S344" s="24" t="n">
        <v>47197</v>
      </c>
      <c r="T344" s="17" t="inlineStr"/>
    </row>
    <row r="345">
      <c r="A345" s="17" t="n">
        <v>344</v>
      </c>
      <c r="B345" s="17" t="inlineStr">
        <is>
          <t>단일가스켐(주)</t>
        </is>
      </c>
      <c r="C345" s="17" t="inlineStr">
        <is>
          <t>단일가스켐</t>
        </is>
      </c>
      <c r="D345" s="28" t="inlineStr">
        <is>
          <t>Tier D</t>
        </is>
      </c>
      <c r="E345" s="17" t="n">
        <v>5</v>
      </c>
      <c r="F345" s="17" t="inlineStr"/>
      <c r="G345" s="23" t="inlineStr"/>
      <c r="H345" s="22" t="inlineStr">
        <is>
          <t>미확인</t>
        </is>
      </c>
      <c r="I345" s="17" t="n">
        <v>1</v>
      </c>
      <c r="J345" s="17" t="n">
        <v>1</v>
      </c>
      <c r="K345" s="17" t="inlineStr">
        <is>
          <t>Y</t>
        </is>
      </c>
      <c r="L345" s="17" t="inlineStr"/>
      <c r="M345" s="17" t="inlineStr"/>
      <c r="N345" s="17" t="inlineStr"/>
      <c r="O345" s="17" t="inlineStr">
        <is>
          <t>충청북도</t>
        </is>
      </c>
      <c r="P345" s="17" t="inlineStr">
        <is>
          <t>043-241-0070</t>
        </is>
      </c>
      <c r="Q345" s="17" t="inlineStr"/>
      <c r="R345" s="17" t="inlineStr">
        <is>
          <t>EDMS</t>
        </is>
      </c>
      <c r="S345" s="24" t="n">
        <v>46671</v>
      </c>
      <c r="T345" s="17" t="inlineStr"/>
    </row>
    <row r="346">
      <c r="A346" s="17" t="n">
        <v>345</v>
      </c>
      <c r="B346" s="17" t="inlineStr">
        <is>
          <t>대성의료종합가스(주)</t>
        </is>
      </c>
      <c r="C346" s="17" t="inlineStr">
        <is>
          <t>대성의료종합가스</t>
        </is>
      </c>
      <c r="D346" s="28" t="inlineStr">
        <is>
          <t>Tier D</t>
        </is>
      </c>
      <c r="E346" s="17" t="n">
        <v>5</v>
      </c>
      <c r="F346" s="17" t="inlineStr"/>
      <c r="G346" s="23" t="inlineStr"/>
      <c r="H346" s="22" t="inlineStr">
        <is>
          <t>미확인</t>
        </is>
      </c>
      <c r="I346" s="17" t="n">
        <v>1</v>
      </c>
      <c r="J346" s="17" t="n">
        <v>1</v>
      </c>
      <c r="K346" s="17" t="inlineStr">
        <is>
          <t>Y</t>
        </is>
      </c>
      <c r="L346" s="17" t="inlineStr"/>
      <c r="M346" s="17" t="inlineStr"/>
      <c r="N346" s="17" t="inlineStr"/>
      <c r="O346" s="17" t="inlineStr">
        <is>
          <t>경기도</t>
        </is>
      </c>
      <c r="P346" s="17" t="inlineStr">
        <is>
          <t>031-585-7871</t>
        </is>
      </c>
      <c r="Q346" s="17" t="inlineStr"/>
      <c r="R346" s="17" t="inlineStr">
        <is>
          <t>EDMS</t>
        </is>
      </c>
      <c r="S346" s="24" t="n">
        <v>47315</v>
      </c>
      <c r="T346" s="17" t="inlineStr"/>
    </row>
    <row r="347">
      <c r="A347" s="17" t="n">
        <v>346</v>
      </c>
      <c r="B347" s="17" t="inlineStr">
        <is>
          <t>대우제약(주)</t>
        </is>
      </c>
      <c r="C347" s="17" t="inlineStr">
        <is>
          <t>대우제약</t>
        </is>
      </c>
      <c r="D347" s="28" t="inlineStr">
        <is>
          <t>Tier D</t>
        </is>
      </c>
      <c r="E347" s="17" t="n">
        <v>5</v>
      </c>
      <c r="F347" s="17" t="inlineStr"/>
      <c r="G347" s="23" t="inlineStr"/>
      <c r="H347" s="22" t="inlineStr">
        <is>
          <t>미확인</t>
        </is>
      </c>
      <c r="I347" s="17" t="n">
        <v>1</v>
      </c>
      <c r="J347" s="17" t="n">
        <v>1</v>
      </c>
      <c r="K347" s="17" t="inlineStr">
        <is>
          <t>Y</t>
        </is>
      </c>
      <c r="L347" s="17" t="inlineStr"/>
      <c r="M347" s="17" t="inlineStr"/>
      <c r="N347" s="17" t="inlineStr"/>
      <c r="O347" s="17" t="inlineStr">
        <is>
          <t>부산광역시</t>
        </is>
      </c>
      <c r="P347" s="17" t="inlineStr">
        <is>
          <t>051-2043-8314</t>
        </is>
      </c>
      <c r="Q347" s="17" t="inlineStr"/>
      <c r="R347" s="17" t="inlineStr">
        <is>
          <t>EDMS</t>
        </is>
      </c>
      <c r="S347" s="24" t="n">
        <v>47224</v>
      </c>
      <c r="T347" s="17" t="inlineStr"/>
    </row>
    <row r="348">
      <c r="A348" s="17" t="n">
        <v>347</v>
      </c>
      <c r="B348" s="17" t="inlineStr">
        <is>
          <t>대창가스공업사</t>
        </is>
      </c>
      <c r="C348" s="17" t="inlineStr">
        <is>
          <t>대창가스공업사</t>
        </is>
      </c>
      <c r="D348" s="28" t="inlineStr">
        <is>
          <t>Tier D</t>
        </is>
      </c>
      <c r="E348" s="17" t="n">
        <v>5</v>
      </c>
      <c r="F348" s="17" t="inlineStr"/>
      <c r="G348" s="23" t="inlineStr"/>
      <c r="H348" s="22" t="inlineStr">
        <is>
          <t>미확인</t>
        </is>
      </c>
      <c r="I348" s="17" t="n">
        <v>1</v>
      </c>
      <c r="J348" s="17" t="n">
        <v>1</v>
      </c>
      <c r="K348" s="17" t="inlineStr">
        <is>
          <t>Y</t>
        </is>
      </c>
      <c r="L348" s="17" t="inlineStr"/>
      <c r="M348" s="17" t="inlineStr"/>
      <c r="N348" s="17" t="inlineStr"/>
      <c r="O348" s="17" t="inlineStr">
        <is>
          <t>광주광역시</t>
        </is>
      </c>
      <c r="P348" s="17" t="inlineStr">
        <is>
          <t>062-674-3331</t>
        </is>
      </c>
      <c r="Q348" s="17" t="inlineStr"/>
      <c r="R348" s="17" t="inlineStr">
        <is>
          <t>EDMS</t>
        </is>
      </c>
      <c r="S348" s="24" t="n">
        <v>46849</v>
      </c>
      <c r="T348" s="17" t="inlineStr"/>
    </row>
    <row r="349">
      <c r="A349" s="17" t="n">
        <v>348</v>
      </c>
      <c r="B349" s="17" t="inlineStr">
        <is>
          <t>대한의산(주)</t>
        </is>
      </c>
      <c r="C349" s="17" t="inlineStr">
        <is>
          <t>대한의산</t>
        </is>
      </c>
      <c r="D349" s="28" t="inlineStr">
        <is>
          <t>Tier D</t>
        </is>
      </c>
      <c r="E349" s="17" t="n">
        <v>5</v>
      </c>
      <c r="F349" s="17" t="inlineStr"/>
      <c r="G349" s="23" t="inlineStr"/>
      <c r="H349" s="22" t="inlineStr">
        <is>
          <t>미확인</t>
        </is>
      </c>
      <c r="I349" s="17" t="n">
        <v>1</v>
      </c>
      <c r="J349" s="17" t="n">
        <v>1</v>
      </c>
      <c r="K349" s="17" t="inlineStr">
        <is>
          <t>Y</t>
        </is>
      </c>
      <c r="L349" s="17" t="inlineStr"/>
      <c r="M349" s="17" t="inlineStr"/>
      <c r="N349" s="17" t="inlineStr"/>
      <c r="O349" s="17" t="inlineStr">
        <is>
          <t>경기도</t>
        </is>
      </c>
      <c r="P349" s="17" t="inlineStr">
        <is>
          <t>031-635-2345</t>
        </is>
      </c>
      <c r="Q349" s="17" t="inlineStr"/>
      <c r="R349" s="17" t="inlineStr">
        <is>
          <t>EDMS</t>
        </is>
      </c>
      <c r="S349" s="24" t="n">
        <v>46960</v>
      </c>
      <c r="T349" s="17" t="inlineStr"/>
    </row>
    <row r="350">
      <c r="A350" s="17" t="n">
        <v>349</v>
      </c>
      <c r="B350" s="17" t="inlineStr">
        <is>
          <t>대흥산업가스주식회사</t>
        </is>
      </c>
      <c r="C350" s="17" t="inlineStr">
        <is>
          <t>대흥산업가스</t>
        </is>
      </c>
      <c r="D350" s="28" t="inlineStr">
        <is>
          <t>Tier D</t>
        </is>
      </c>
      <c r="E350" s="17" t="n">
        <v>5</v>
      </c>
      <c r="F350" s="17" t="inlineStr"/>
      <c r="G350" s="23" t="inlineStr"/>
      <c r="H350" s="22" t="inlineStr">
        <is>
          <t>미확인</t>
        </is>
      </c>
      <c r="I350" s="17" t="n">
        <v>1</v>
      </c>
      <c r="J350" s="17" t="n">
        <v>1</v>
      </c>
      <c r="K350" s="17" t="inlineStr">
        <is>
          <t>Y</t>
        </is>
      </c>
      <c r="L350" s="17" t="inlineStr"/>
      <c r="M350" s="17" t="inlineStr"/>
      <c r="N350" s="17" t="inlineStr"/>
      <c r="O350" s="17" t="inlineStr">
        <is>
          <t>전북특별자치도</t>
        </is>
      </c>
      <c r="P350" s="17" t="inlineStr">
        <is>
          <t>063-468-2626</t>
        </is>
      </c>
      <c r="Q350" s="17" t="inlineStr"/>
      <c r="R350" s="17" t="inlineStr">
        <is>
          <t>EDMS</t>
        </is>
      </c>
      <c r="S350" s="24" t="n">
        <v>46792</v>
      </c>
      <c r="T350" s="17" t="inlineStr"/>
    </row>
    <row r="351">
      <c r="A351" s="17" t="n">
        <v>350</v>
      </c>
      <c r="B351" s="17" t="inlineStr">
        <is>
          <t>동방산업가스</t>
        </is>
      </c>
      <c r="C351" s="17" t="inlineStr">
        <is>
          <t>동방산업가스</t>
        </is>
      </c>
      <c r="D351" s="28" t="inlineStr">
        <is>
          <t>Tier D</t>
        </is>
      </c>
      <c r="E351" s="17" t="n">
        <v>5</v>
      </c>
      <c r="F351" s="17" t="inlineStr"/>
      <c r="G351" s="23" t="inlineStr"/>
      <c r="H351" s="22" t="inlineStr">
        <is>
          <t>미확인</t>
        </is>
      </c>
      <c r="I351" s="17" t="n">
        <v>1</v>
      </c>
      <c r="J351" s="17" t="n">
        <v>1</v>
      </c>
      <c r="K351" s="17" t="inlineStr">
        <is>
          <t>Y</t>
        </is>
      </c>
      <c r="L351" s="17" t="inlineStr"/>
      <c r="M351" s="17" t="inlineStr"/>
      <c r="N351" s="17" t="inlineStr"/>
      <c r="O351" s="17" t="inlineStr">
        <is>
          <t>경상북도</t>
        </is>
      </c>
      <c r="P351" s="17" t="inlineStr">
        <is>
          <t>054-858-7593</t>
        </is>
      </c>
      <c r="Q351" s="17" t="inlineStr"/>
      <c r="R351" s="17" t="inlineStr">
        <is>
          <t>EDMS</t>
        </is>
      </c>
      <c r="S351" s="24" t="n">
        <v>47302</v>
      </c>
      <c r="T351" s="17" t="inlineStr"/>
    </row>
    <row r="352">
      <c r="A352" s="17" t="n">
        <v>351</v>
      </c>
      <c r="B352" s="17" t="inlineStr">
        <is>
          <t>동양산업가스(주)</t>
        </is>
      </c>
      <c r="C352" s="17" t="inlineStr">
        <is>
          <t>동양산업가스</t>
        </is>
      </c>
      <c r="D352" s="28" t="inlineStr">
        <is>
          <t>Tier D</t>
        </is>
      </c>
      <c r="E352" s="17" t="n">
        <v>5</v>
      </c>
      <c r="F352" s="17" t="inlineStr"/>
      <c r="G352" s="23" t="inlineStr"/>
      <c r="H352" s="22" t="inlineStr">
        <is>
          <t>미확인</t>
        </is>
      </c>
      <c r="I352" s="17" t="n">
        <v>1</v>
      </c>
      <c r="J352" s="17" t="n">
        <v>1</v>
      </c>
      <c r="K352" s="17" t="inlineStr">
        <is>
          <t>Y</t>
        </is>
      </c>
      <c r="L352" s="17" t="inlineStr"/>
      <c r="M352" s="17" t="inlineStr"/>
      <c r="N352" s="17" t="inlineStr"/>
      <c r="O352" s="17" t="inlineStr">
        <is>
          <t>경기도</t>
        </is>
      </c>
      <c r="P352" s="17" t="inlineStr">
        <is>
          <t>미확인</t>
        </is>
      </c>
      <c r="Q352" s="17" t="inlineStr"/>
      <c r="R352" s="17" t="inlineStr">
        <is>
          <t>EDMS</t>
        </is>
      </c>
      <c r="S352" s="24" t="n">
        <v>46854</v>
      </c>
      <c r="T352" s="17" t="inlineStr"/>
    </row>
    <row r="353">
      <c r="A353" s="17" t="n">
        <v>352</v>
      </c>
      <c r="B353" s="17" t="inlineStr">
        <is>
          <t>맥널티제약(주)</t>
        </is>
      </c>
      <c r="C353" s="17" t="inlineStr">
        <is>
          <t>맥널티제약</t>
        </is>
      </c>
      <c r="D353" s="28" t="inlineStr">
        <is>
          <t>Tier D</t>
        </is>
      </c>
      <c r="E353" s="17" t="n">
        <v>5</v>
      </c>
      <c r="F353" s="17" t="inlineStr"/>
      <c r="G353" s="23" t="inlineStr"/>
      <c r="H353" s="22" t="inlineStr">
        <is>
          <t>미확인</t>
        </is>
      </c>
      <c r="I353" s="17" t="n">
        <v>1</v>
      </c>
      <c r="J353" s="17" t="n">
        <v>1</v>
      </c>
      <c r="K353" s="17" t="inlineStr">
        <is>
          <t>Y</t>
        </is>
      </c>
      <c r="L353" s="17" t="inlineStr"/>
      <c r="M353" s="17" t="inlineStr"/>
      <c r="N353" s="17" t="inlineStr"/>
      <c r="O353" s="17" t="inlineStr">
        <is>
          <t>충청남도</t>
        </is>
      </c>
      <c r="P353" s="17" t="inlineStr">
        <is>
          <t>031-378-1460</t>
        </is>
      </c>
      <c r="Q353" s="17" t="inlineStr"/>
      <c r="R353" s="17" t="inlineStr">
        <is>
          <t>EDMS</t>
        </is>
      </c>
      <c r="S353" s="24" t="n">
        <v>47018</v>
      </c>
      <c r="T353" s="17" t="inlineStr"/>
    </row>
    <row r="354">
      <c r="A354" s="17" t="n">
        <v>353</v>
      </c>
      <c r="B354" s="17" t="inlineStr">
        <is>
          <t>복지종합가스(주)</t>
        </is>
      </c>
      <c r="C354" s="17" t="inlineStr">
        <is>
          <t>복지종합가스</t>
        </is>
      </c>
      <c r="D354" s="28" t="inlineStr">
        <is>
          <t>Tier D</t>
        </is>
      </c>
      <c r="E354" s="17" t="n">
        <v>5</v>
      </c>
      <c r="F354" s="17" t="inlineStr"/>
      <c r="G354" s="23" t="inlineStr"/>
      <c r="H354" s="22" t="inlineStr">
        <is>
          <t>미확인</t>
        </is>
      </c>
      <c r="I354" s="17" t="n">
        <v>1</v>
      </c>
      <c r="J354" s="17" t="n">
        <v>1</v>
      </c>
      <c r="K354" s="17" t="inlineStr">
        <is>
          <t>Y</t>
        </is>
      </c>
      <c r="L354" s="17" t="inlineStr"/>
      <c r="M354" s="17" t="inlineStr"/>
      <c r="N354" s="17" t="inlineStr"/>
      <c r="O354" s="17" t="inlineStr">
        <is>
          <t>경기도</t>
        </is>
      </c>
      <c r="P354" s="17" t="inlineStr">
        <is>
          <t>031-858-7373</t>
        </is>
      </c>
      <c r="Q354" s="17" t="inlineStr"/>
      <c r="R354" s="17" t="inlineStr">
        <is>
          <t>EDMS</t>
        </is>
      </c>
      <c r="S354" s="24" t="n">
        <v>47072</v>
      </c>
      <c r="T354" s="17" t="inlineStr"/>
    </row>
    <row r="355">
      <c r="A355" s="17" t="n">
        <v>354</v>
      </c>
      <c r="B355" s="17" t="inlineStr">
        <is>
          <t>삼덕가스공업(주)</t>
        </is>
      </c>
      <c r="C355" s="17" t="inlineStr">
        <is>
          <t>삼덕가스공업</t>
        </is>
      </c>
      <c r="D355" s="28" t="inlineStr">
        <is>
          <t>Tier D</t>
        </is>
      </c>
      <c r="E355" s="17" t="n">
        <v>5</v>
      </c>
      <c r="F355" s="17" t="inlineStr"/>
      <c r="G355" s="23" t="inlineStr"/>
      <c r="H355" s="22" t="inlineStr">
        <is>
          <t>미확인</t>
        </is>
      </c>
      <c r="I355" s="17" t="n">
        <v>1</v>
      </c>
      <c r="J355" s="17" t="n">
        <v>1</v>
      </c>
      <c r="K355" s="17" t="inlineStr">
        <is>
          <t>Y</t>
        </is>
      </c>
      <c r="L355" s="17" t="inlineStr"/>
      <c r="M355" s="17" t="inlineStr"/>
      <c r="N355" s="17" t="inlineStr"/>
      <c r="O355" s="17" t="inlineStr">
        <is>
          <t>경기도</t>
        </is>
      </c>
      <c r="P355" s="17" t="inlineStr">
        <is>
          <t>031-983-5584</t>
        </is>
      </c>
      <c r="Q355" s="17" t="inlineStr"/>
      <c r="R355" s="17" t="inlineStr">
        <is>
          <t>EDMS</t>
        </is>
      </c>
      <c r="S355" s="24" t="n">
        <v>46954</v>
      </c>
      <c r="T355" s="17" t="inlineStr"/>
    </row>
    <row r="356">
      <c r="A356" s="17" t="n">
        <v>355</v>
      </c>
      <c r="B356" s="17" t="inlineStr">
        <is>
          <t>삼성산소(주)</t>
        </is>
      </c>
      <c r="C356" s="17" t="inlineStr">
        <is>
          <t>삼성산소</t>
        </is>
      </c>
      <c r="D356" s="28" t="inlineStr">
        <is>
          <t>Tier D</t>
        </is>
      </c>
      <c r="E356" s="17" t="n">
        <v>5</v>
      </c>
      <c r="F356" s="17" t="inlineStr"/>
      <c r="G356" s="23" t="inlineStr"/>
      <c r="H356" s="22" t="inlineStr">
        <is>
          <t>미확인</t>
        </is>
      </c>
      <c r="I356" s="17" t="n">
        <v>1</v>
      </c>
      <c r="J356" s="17" t="n">
        <v>1</v>
      </c>
      <c r="K356" s="17" t="inlineStr">
        <is>
          <t>Y</t>
        </is>
      </c>
      <c r="L356" s="17" t="inlineStr"/>
      <c r="M356" s="17" t="inlineStr"/>
      <c r="N356" s="17" t="inlineStr"/>
      <c r="O356" s="17" t="inlineStr">
        <is>
          <t>충청북도</t>
        </is>
      </c>
      <c r="P356" s="17" t="inlineStr">
        <is>
          <t>043-232-6237</t>
        </is>
      </c>
      <c r="Q356" s="17" t="inlineStr"/>
      <c r="R356" s="17" t="inlineStr">
        <is>
          <t>EDMS</t>
        </is>
      </c>
      <c r="S356" s="24" t="n">
        <v>47270</v>
      </c>
      <c r="T356" s="17" t="inlineStr"/>
    </row>
    <row r="357">
      <c r="A357" s="17" t="n">
        <v>356</v>
      </c>
      <c r="B357" s="17" t="inlineStr">
        <is>
          <t>삼양산업(주)</t>
        </is>
      </c>
      <c r="C357" s="17" t="inlineStr">
        <is>
          <t>삼양산업</t>
        </is>
      </c>
      <c r="D357" s="28" t="inlineStr">
        <is>
          <t>Tier D</t>
        </is>
      </c>
      <c r="E357" s="17" t="n">
        <v>5</v>
      </c>
      <c r="F357" s="17" t="inlineStr"/>
      <c r="G357" s="23" t="inlineStr"/>
      <c r="H357" s="22" t="inlineStr">
        <is>
          <t>미확인</t>
        </is>
      </c>
      <c r="I357" s="17" t="n">
        <v>1</v>
      </c>
      <c r="J357" s="17" t="n">
        <v>1</v>
      </c>
      <c r="K357" s="17" t="inlineStr">
        <is>
          <t>Y</t>
        </is>
      </c>
      <c r="L357" s="17" t="inlineStr"/>
      <c r="M357" s="17" t="inlineStr"/>
      <c r="N357" s="17" t="inlineStr"/>
      <c r="O357" s="17" t="inlineStr">
        <is>
          <t>경상북도</t>
        </is>
      </c>
      <c r="P357" s="17" t="inlineStr">
        <is>
          <t>054-262-0033</t>
        </is>
      </c>
      <c r="Q357" s="17" t="inlineStr"/>
      <c r="R357" s="17" t="inlineStr">
        <is>
          <t>EDMS</t>
        </is>
      </c>
      <c r="S357" s="24" t="n">
        <v>46853</v>
      </c>
      <c r="T357" s="17" t="inlineStr"/>
    </row>
    <row r="358">
      <c r="A358" s="17" t="n">
        <v>357</v>
      </c>
      <c r="B358" s="17" t="inlineStr">
        <is>
          <t>새한가스공업</t>
        </is>
      </c>
      <c r="C358" s="17" t="inlineStr">
        <is>
          <t>새한가스공업</t>
        </is>
      </c>
      <c r="D358" s="28" t="inlineStr">
        <is>
          <t>Tier D</t>
        </is>
      </c>
      <c r="E358" s="17" t="n">
        <v>5</v>
      </c>
      <c r="F358" s="17" t="inlineStr"/>
      <c r="G358" s="23" t="inlineStr"/>
      <c r="H358" s="22" t="inlineStr">
        <is>
          <t>미확인</t>
        </is>
      </c>
      <c r="I358" s="17" t="n">
        <v>1</v>
      </c>
      <c r="J358" s="17" t="n">
        <v>1</v>
      </c>
      <c r="K358" s="17" t="inlineStr">
        <is>
          <t>Y</t>
        </is>
      </c>
      <c r="L358" s="17" t="inlineStr"/>
      <c r="M358" s="17" t="inlineStr"/>
      <c r="N358" s="17" t="inlineStr"/>
      <c r="O358" s="17" t="inlineStr">
        <is>
          <t>제주특별자치도</t>
        </is>
      </c>
      <c r="P358" s="17" t="inlineStr">
        <is>
          <t>064-755-2827</t>
        </is>
      </c>
      <c r="Q358" s="17" t="inlineStr"/>
      <c r="R358" s="17" t="inlineStr">
        <is>
          <t>EDMS</t>
        </is>
      </c>
      <c r="S358" s="24" t="n">
        <v>46891</v>
      </c>
      <c r="T358" s="17" t="inlineStr"/>
    </row>
    <row r="359">
      <c r="A359" s="17" t="n">
        <v>358</v>
      </c>
      <c r="B359" s="17" t="inlineStr">
        <is>
          <t>석전의료공업(주)</t>
        </is>
      </c>
      <c r="C359" s="17" t="inlineStr">
        <is>
          <t>석전의료공업</t>
        </is>
      </c>
      <c r="D359" s="28" t="inlineStr">
        <is>
          <t>Tier D</t>
        </is>
      </c>
      <c r="E359" s="17" t="n">
        <v>5</v>
      </c>
      <c r="F359" s="17" t="inlineStr"/>
      <c r="G359" s="23" t="inlineStr"/>
      <c r="H359" s="22" t="inlineStr">
        <is>
          <t>미확인</t>
        </is>
      </c>
      <c r="I359" s="17" t="n">
        <v>1</v>
      </c>
      <c r="J359" s="17" t="n">
        <v>1</v>
      </c>
      <c r="K359" s="17" t="inlineStr">
        <is>
          <t>Y</t>
        </is>
      </c>
      <c r="L359" s="17" t="inlineStr"/>
      <c r="M359" s="17" t="inlineStr"/>
      <c r="N359" s="17" t="inlineStr"/>
      <c r="O359" s="17" t="inlineStr">
        <is>
          <t>경기도</t>
        </is>
      </c>
      <c r="P359" s="17" t="inlineStr">
        <is>
          <t>02-2271-0271</t>
        </is>
      </c>
      <c r="Q359" s="17" t="inlineStr"/>
      <c r="R359" s="17" t="inlineStr">
        <is>
          <t>EDMS</t>
        </is>
      </c>
      <c r="S359" s="24" t="n">
        <v>47282</v>
      </c>
      <c r="T359" s="17" t="inlineStr"/>
    </row>
    <row r="360">
      <c r="A360" s="17" t="n">
        <v>359</v>
      </c>
      <c r="B360" s="17" t="inlineStr">
        <is>
          <t>선도산업(주)</t>
        </is>
      </c>
      <c r="C360" s="17" t="inlineStr">
        <is>
          <t>선도산업</t>
        </is>
      </c>
      <c r="D360" s="28" t="inlineStr">
        <is>
          <t>Tier D</t>
        </is>
      </c>
      <c r="E360" s="17" t="n">
        <v>5</v>
      </c>
      <c r="F360" s="17" t="inlineStr"/>
      <c r="G360" s="23" t="inlineStr"/>
      <c r="H360" s="22" t="inlineStr">
        <is>
          <t>미확인</t>
        </is>
      </c>
      <c r="I360" s="17" t="n">
        <v>1</v>
      </c>
      <c r="J360" s="17" t="n">
        <v>1</v>
      </c>
      <c r="K360" s="17" t="inlineStr">
        <is>
          <t>Y</t>
        </is>
      </c>
      <c r="L360" s="17" t="inlineStr"/>
      <c r="M360" s="17" t="inlineStr"/>
      <c r="N360" s="17" t="inlineStr"/>
      <c r="O360" s="17" t="inlineStr">
        <is>
          <t>충청북도</t>
        </is>
      </c>
      <c r="P360" s="17" t="inlineStr">
        <is>
          <t>미확인</t>
        </is>
      </c>
      <c r="Q360" s="17" t="inlineStr"/>
      <c r="R360" s="17" t="inlineStr">
        <is>
          <t>EDMS</t>
        </is>
      </c>
      <c r="S360" s="24" t="n">
        <v>47241</v>
      </c>
      <c r="T360" s="17" t="inlineStr"/>
    </row>
    <row r="361">
      <c r="A361" s="17" t="n">
        <v>360</v>
      </c>
      <c r="B361" s="17" t="inlineStr">
        <is>
          <t>선도화학주식회사</t>
        </is>
      </c>
      <c r="C361" s="17" t="inlineStr">
        <is>
          <t>선도화학</t>
        </is>
      </c>
      <c r="D361" s="28" t="inlineStr">
        <is>
          <t>Tier D</t>
        </is>
      </c>
      <c r="E361" s="17" t="n">
        <v>5</v>
      </c>
      <c r="F361" s="17" t="inlineStr"/>
      <c r="G361" s="23" t="inlineStr"/>
      <c r="H361" s="22" t="inlineStr">
        <is>
          <t>미확인</t>
        </is>
      </c>
      <c r="I361" s="17" t="n">
        <v>1</v>
      </c>
      <c r="J361" s="17" t="n">
        <v>1</v>
      </c>
      <c r="K361" s="17" t="inlineStr">
        <is>
          <t>Y</t>
        </is>
      </c>
      <c r="L361" s="17" t="inlineStr"/>
      <c r="M361" s="17" t="inlineStr"/>
      <c r="N361" s="17" t="inlineStr"/>
      <c r="O361" s="17" t="inlineStr">
        <is>
          <t>충청남도</t>
        </is>
      </c>
      <c r="P361" s="17" t="inlineStr">
        <is>
          <t>041-663-6465</t>
        </is>
      </c>
      <c r="Q361" s="17" t="inlineStr"/>
      <c r="R361" s="17" t="inlineStr">
        <is>
          <t>EDMS</t>
        </is>
      </c>
      <c r="S361" s="24" t="n">
        <v>46867</v>
      </c>
      <c r="T361" s="17" t="inlineStr"/>
    </row>
    <row r="362">
      <c r="A362" s="17" t="n">
        <v>361</v>
      </c>
      <c r="B362" s="17" t="inlineStr">
        <is>
          <t>신양메디슨(주)</t>
        </is>
      </c>
      <c r="C362" s="17" t="inlineStr">
        <is>
          <t>신양메디슨</t>
        </is>
      </c>
      <c r="D362" s="28" t="inlineStr">
        <is>
          <t>Tier D</t>
        </is>
      </c>
      <c r="E362" s="17" t="n">
        <v>5</v>
      </c>
      <c r="F362" s="17" t="inlineStr"/>
      <c r="G362" s="23" t="inlineStr"/>
      <c r="H362" s="22" t="inlineStr">
        <is>
          <t>미확인</t>
        </is>
      </c>
      <c r="I362" s="17" t="n">
        <v>1</v>
      </c>
      <c r="J362" s="17" t="n">
        <v>1</v>
      </c>
      <c r="K362" s="17" t="inlineStr">
        <is>
          <t>Y</t>
        </is>
      </c>
      <c r="L362" s="17" t="inlineStr"/>
      <c r="M362" s="17" t="inlineStr"/>
      <c r="N362" s="17" t="inlineStr"/>
      <c r="O362" s="17" t="inlineStr">
        <is>
          <t>경기도</t>
        </is>
      </c>
      <c r="P362" s="17" t="inlineStr">
        <is>
          <t>031-336-1101</t>
        </is>
      </c>
      <c r="Q362" s="17" t="inlineStr"/>
      <c r="R362" s="17" t="inlineStr">
        <is>
          <t>EDMS</t>
        </is>
      </c>
      <c r="S362" s="24" t="n">
        <v>47024</v>
      </c>
      <c r="T362" s="17" t="inlineStr"/>
    </row>
    <row r="363">
      <c r="A363" s="17" t="n">
        <v>362</v>
      </c>
      <c r="B363" s="17" t="inlineStr">
        <is>
          <t>신일가스(주)</t>
        </is>
      </c>
      <c r="C363" s="17" t="inlineStr">
        <is>
          <t>신일가스</t>
        </is>
      </c>
      <c r="D363" s="28" t="inlineStr">
        <is>
          <t>Tier D</t>
        </is>
      </c>
      <c r="E363" s="17" t="n">
        <v>5</v>
      </c>
      <c r="F363" s="17" t="inlineStr"/>
      <c r="G363" s="23" t="inlineStr"/>
      <c r="H363" s="22" t="inlineStr">
        <is>
          <t>미확인</t>
        </is>
      </c>
      <c r="I363" s="17" t="n">
        <v>1</v>
      </c>
      <c r="J363" s="17" t="n">
        <v>1</v>
      </c>
      <c r="K363" s="17" t="inlineStr">
        <is>
          <t>Y</t>
        </is>
      </c>
      <c r="L363" s="17" t="inlineStr"/>
      <c r="M363" s="17" t="inlineStr"/>
      <c r="N363" s="17" t="inlineStr"/>
      <c r="O363" s="17" t="inlineStr">
        <is>
          <t>광주광역시</t>
        </is>
      </c>
      <c r="P363" s="17" t="inlineStr">
        <is>
          <t>062-951-0011</t>
        </is>
      </c>
      <c r="Q363" s="17" t="inlineStr"/>
      <c r="R363" s="17" t="inlineStr">
        <is>
          <t>EDMS</t>
        </is>
      </c>
      <c r="S363" s="24" t="n">
        <v>46770</v>
      </c>
      <c r="T363" s="17" t="inlineStr"/>
    </row>
    <row r="364">
      <c r="A364" s="17" t="n">
        <v>363</v>
      </c>
      <c r="B364" s="17" t="inlineStr">
        <is>
          <t>신일가스(주)-영암</t>
        </is>
      </c>
      <c r="C364" s="17" t="inlineStr">
        <is>
          <t>신일가스-영암</t>
        </is>
      </c>
      <c r="D364" s="28" t="inlineStr">
        <is>
          <t>Tier D</t>
        </is>
      </c>
      <c r="E364" s="17" t="n">
        <v>5</v>
      </c>
      <c r="F364" s="17" t="inlineStr"/>
      <c r="G364" s="23" t="inlineStr"/>
      <c r="H364" s="22" t="inlineStr">
        <is>
          <t>미확인</t>
        </is>
      </c>
      <c r="I364" s="17" t="n">
        <v>1</v>
      </c>
      <c r="J364" s="17" t="n">
        <v>1</v>
      </c>
      <c r="K364" s="17" t="inlineStr">
        <is>
          <t>Y</t>
        </is>
      </c>
      <c r="L364" s="17" t="inlineStr"/>
      <c r="M364" s="17" t="inlineStr"/>
      <c r="N364" s="17" t="inlineStr"/>
      <c r="O364" s="17" t="inlineStr">
        <is>
          <t>전라남도</t>
        </is>
      </c>
      <c r="P364" s="17" t="inlineStr">
        <is>
          <t>061-462-8981</t>
        </is>
      </c>
      <c r="Q364" s="17" t="inlineStr"/>
      <c r="R364" s="17" t="inlineStr">
        <is>
          <t>EDMS</t>
        </is>
      </c>
      <c r="S364" s="24" t="n">
        <v>46854</v>
      </c>
      <c r="T364" s="17" t="inlineStr"/>
    </row>
    <row r="365">
      <c r="A365" s="17" t="n">
        <v>364</v>
      </c>
      <c r="B365" s="17" t="inlineStr">
        <is>
          <t>신진가스텍(주)</t>
        </is>
      </c>
      <c r="C365" s="17" t="inlineStr">
        <is>
          <t>신진가스텍</t>
        </is>
      </c>
      <c r="D365" s="28" t="inlineStr">
        <is>
          <t>Tier D</t>
        </is>
      </c>
      <c r="E365" s="17" t="n">
        <v>5</v>
      </c>
      <c r="F365" s="17" t="inlineStr"/>
      <c r="G365" s="23" t="inlineStr"/>
      <c r="H365" s="22" t="inlineStr">
        <is>
          <t>미확인</t>
        </is>
      </c>
      <c r="I365" s="17" t="n">
        <v>1</v>
      </c>
      <c r="J365" s="17" t="n">
        <v>1</v>
      </c>
      <c r="K365" s="17" t="inlineStr">
        <is>
          <t>Y</t>
        </is>
      </c>
      <c r="L365" s="17" t="inlineStr"/>
      <c r="M365" s="17" t="inlineStr"/>
      <c r="N365" s="17" t="inlineStr"/>
      <c r="O365" s="17" t="inlineStr">
        <is>
          <t>경상북도</t>
        </is>
      </c>
      <c r="P365" s="17" t="inlineStr">
        <is>
          <t>054-463-8600</t>
        </is>
      </c>
      <c r="Q365" s="17" t="inlineStr"/>
      <c r="R365" s="17" t="inlineStr">
        <is>
          <t>EDMS</t>
        </is>
      </c>
      <c r="S365" s="24" t="n">
        <v>46884</v>
      </c>
      <c r="T365" s="17" t="inlineStr"/>
    </row>
    <row r="366">
      <c r="A366" s="17" t="n">
        <v>365</v>
      </c>
      <c r="B366" s="17" t="inlineStr">
        <is>
          <t>신화제약(주)</t>
        </is>
      </c>
      <c r="C366" s="17" t="inlineStr">
        <is>
          <t>신화제약</t>
        </is>
      </c>
      <c r="D366" s="28" t="inlineStr">
        <is>
          <t>Tier D</t>
        </is>
      </c>
      <c r="E366" s="17" t="n">
        <v>5</v>
      </c>
      <c r="F366" s="17" t="inlineStr"/>
      <c r="G366" s="23" t="inlineStr"/>
      <c r="H366" s="22" t="inlineStr">
        <is>
          <t>미확인</t>
        </is>
      </c>
      <c r="I366" s="17" t="n">
        <v>1</v>
      </c>
      <c r="J366" s="17" t="n">
        <v>1</v>
      </c>
      <c r="K366" s="17" t="inlineStr">
        <is>
          <t>Y</t>
        </is>
      </c>
      <c r="L366" s="17" t="inlineStr"/>
      <c r="M366" s="17" t="inlineStr"/>
      <c r="N366" s="17" t="inlineStr"/>
      <c r="O366" s="17" t="inlineStr">
        <is>
          <t>대구광역시</t>
        </is>
      </c>
      <c r="P366" s="17" t="inlineStr">
        <is>
          <t>053-581-7668</t>
        </is>
      </c>
      <c r="Q366" s="17" t="inlineStr"/>
      <c r="R366" s="17" t="inlineStr">
        <is>
          <t>EDMS</t>
        </is>
      </c>
      <c r="S366" s="24" t="n">
        <v>46857</v>
      </c>
      <c r="T366" s="17" t="inlineStr"/>
    </row>
    <row r="367">
      <c r="A367" s="17" t="n">
        <v>366</v>
      </c>
      <c r="B367" s="17" t="inlineStr">
        <is>
          <t>씨에이치디제약주식회사</t>
        </is>
      </c>
      <c r="C367" s="17" t="inlineStr">
        <is>
          <t>씨에이치디제약</t>
        </is>
      </c>
      <c r="D367" s="28" t="inlineStr">
        <is>
          <t>Tier D</t>
        </is>
      </c>
      <c r="E367" s="17" t="n">
        <v>5</v>
      </c>
      <c r="F367" s="17" t="inlineStr"/>
      <c r="G367" s="23" t="inlineStr"/>
      <c r="H367" s="22" t="inlineStr">
        <is>
          <t>미확인</t>
        </is>
      </c>
      <c r="I367" s="17" t="n">
        <v>1</v>
      </c>
      <c r="J367" s="17" t="n">
        <v>1</v>
      </c>
      <c r="K367" s="17" t="inlineStr">
        <is>
          <t>Y</t>
        </is>
      </c>
      <c r="L367" s="17" t="inlineStr"/>
      <c r="M367" s="17" t="inlineStr"/>
      <c r="N367" s="17" t="inlineStr"/>
      <c r="O367" s="17" t="inlineStr">
        <is>
          <t>경기도</t>
        </is>
      </c>
      <c r="P367" s="17" t="inlineStr">
        <is>
          <t>032-675-5561</t>
        </is>
      </c>
      <c r="Q367" s="17" t="inlineStr"/>
      <c r="R367" s="17" t="inlineStr">
        <is>
          <t>EDMS</t>
        </is>
      </c>
      <c r="S367" s="24" t="n">
        <v>46932</v>
      </c>
      <c r="T367" s="17" t="inlineStr"/>
    </row>
    <row r="368">
      <c r="A368" s="17" t="n">
        <v>367</v>
      </c>
      <c r="B368" s="17" t="inlineStr">
        <is>
          <t>아주산소(주)</t>
        </is>
      </c>
      <c r="C368" s="17" t="inlineStr">
        <is>
          <t>아주산소</t>
        </is>
      </c>
      <c r="D368" s="28" t="inlineStr">
        <is>
          <t>Tier D</t>
        </is>
      </c>
      <c r="E368" s="17" t="n">
        <v>5</v>
      </c>
      <c r="F368" s="17" t="inlineStr"/>
      <c r="G368" s="23" t="inlineStr"/>
      <c r="H368" s="22" t="inlineStr">
        <is>
          <t>미확인</t>
        </is>
      </c>
      <c r="I368" s="17" t="n">
        <v>1</v>
      </c>
      <c r="J368" s="17" t="n">
        <v>1</v>
      </c>
      <c r="K368" s="17" t="inlineStr">
        <is>
          <t>Y</t>
        </is>
      </c>
      <c r="L368" s="17" t="inlineStr"/>
      <c r="M368" s="17" t="inlineStr"/>
      <c r="N368" s="17" t="inlineStr"/>
      <c r="O368" s="17" t="inlineStr">
        <is>
          <t>광주광역시</t>
        </is>
      </c>
      <c r="P368" s="17" t="inlineStr">
        <is>
          <t>062-674-2684</t>
        </is>
      </c>
      <c r="Q368" s="17" t="inlineStr"/>
      <c r="R368" s="17" t="inlineStr">
        <is>
          <t>EDMS</t>
        </is>
      </c>
      <c r="S368" s="24" t="n">
        <v>46868</v>
      </c>
      <c r="T368" s="17" t="inlineStr"/>
    </row>
    <row r="369">
      <c r="A369" s="17" t="n">
        <v>368</v>
      </c>
      <c r="B369" s="17" t="inlineStr">
        <is>
          <t>안국뉴팜(주)</t>
        </is>
      </c>
      <c r="C369" s="17" t="inlineStr">
        <is>
          <t>안국뉴팜</t>
        </is>
      </c>
      <c r="D369" s="28" t="inlineStr">
        <is>
          <t>Tier D</t>
        </is>
      </c>
      <c r="E369" s="17" t="n">
        <v>5</v>
      </c>
      <c r="F369" s="17" t="inlineStr"/>
      <c r="G369" s="23" t="inlineStr"/>
      <c r="H369" s="22" t="inlineStr">
        <is>
          <t>미확인</t>
        </is>
      </c>
      <c r="I369" s="17" t="n">
        <v>1</v>
      </c>
      <c r="J369" s="17" t="n">
        <v>1</v>
      </c>
      <c r="K369" s="17" t="inlineStr">
        <is>
          <t>Y</t>
        </is>
      </c>
      <c r="L369" s="17" t="inlineStr"/>
      <c r="M369" s="17" t="inlineStr"/>
      <c r="N369" s="17" t="inlineStr"/>
      <c r="O369" s="17" t="inlineStr">
        <is>
          <t>경기도</t>
        </is>
      </c>
      <c r="P369" s="17" t="inlineStr">
        <is>
          <t>미확인</t>
        </is>
      </c>
      <c r="Q369" s="17" t="inlineStr"/>
      <c r="R369" s="17" t="inlineStr">
        <is>
          <t>EDMS</t>
        </is>
      </c>
      <c r="S369" s="24" t="n">
        <v>46890</v>
      </c>
      <c r="T369" s="17" t="inlineStr"/>
    </row>
    <row r="370">
      <c r="A370" s="17" t="n">
        <v>369</v>
      </c>
      <c r="B370" s="17" t="inlineStr">
        <is>
          <t>알파제약(주)</t>
        </is>
      </c>
      <c r="C370" s="17" t="inlineStr">
        <is>
          <t>알파제약</t>
        </is>
      </c>
      <c r="D370" s="28" t="inlineStr">
        <is>
          <t>Tier D</t>
        </is>
      </c>
      <c r="E370" s="17" t="n">
        <v>5</v>
      </c>
      <c r="F370" s="17" t="inlineStr"/>
      <c r="G370" s="23" t="inlineStr"/>
      <c r="H370" s="22" t="inlineStr">
        <is>
          <t>미확인</t>
        </is>
      </c>
      <c r="I370" s="17" t="n">
        <v>1</v>
      </c>
      <c r="J370" s="17" t="n">
        <v>1</v>
      </c>
      <c r="K370" s="17" t="inlineStr">
        <is>
          <t>Y</t>
        </is>
      </c>
      <c r="L370" s="17" t="inlineStr"/>
      <c r="M370" s="17" t="inlineStr"/>
      <c r="N370" s="17" t="inlineStr"/>
      <c r="O370" s="17" t="inlineStr">
        <is>
          <t>경상북도</t>
        </is>
      </c>
      <c r="P370" s="17" t="inlineStr">
        <is>
          <t>054-552-5381</t>
        </is>
      </c>
      <c r="Q370" s="17" t="inlineStr"/>
      <c r="R370" s="17" t="inlineStr">
        <is>
          <t>EDMS</t>
        </is>
      </c>
      <c r="S370" s="24" t="n">
        <v>46612</v>
      </c>
      <c r="T370" s="17" t="inlineStr"/>
    </row>
    <row r="371">
      <c r="A371" s="17" t="n">
        <v>370</v>
      </c>
      <c r="B371" s="17" t="inlineStr">
        <is>
          <t>에리슨제약(주)</t>
        </is>
      </c>
      <c r="C371" s="17" t="inlineStr">
        <is>
          <t>에리슨제약</t>
        </is>
      </c>
      <c r="D371" s="28" t="inlineStr">
        <is>
          <t>Tier D</t>
        </is>
      </c>
      <c r="E371" s="17" t="n">
        <v>5</v>
      </c>
      <c r="F371" s="17" t="inlineStr"/>
      <c r="G371" s="23" t="inlineStr"/>
      <c r="H371" s="22" t="inlineStr">
        <is>
          <t>미확인</t>
        </is>
      </c>
      <c r="I371" s="17" t="n">
        <v>1</v>
      </c>
      <c r="J371" s="17" t="n">
        <v>1</v>
      </c>
      <c r="K371" s="17" t="inlineStr">
        <is>
          <t>Y</t>
        </is>
      </c>
      <c r="L371" s="17" t="inlineStr"/>
      <c r="M371" s="17" t="inlineStr"/>
      <c r="N371" s="17" t="inlineStr"/>
      <c r="O371" s="17" t="inlineStr">
        <is>
          <t>경기도</t>
        </is>
      </c>
      <c r="P371" s="17" t="inlineStr">
        <is>
          <t>미확인</t>
        </is>
      </c>
      <c r="Q371" s="17" t="inlineStr"/>
      <c r="R371" s="17" t="inlineStr">
        <is>
          <t>EDMS</t>
        </is>
      </c>
      <c r="S371" s="24" t="n">
        <v>47158</v>
      </c>
      <c r="T371" s="17" t="inlineStr"/>
    </row>
    <row r="372">
      <c r="A372" s="17" t="n">
        <v>371</v>
      </c>
      <c r="B372" s="17" t="inlineStr">
        <is>
          <t>에어코리아(주)</t>
        </is>
      </c>
      <c r="C372" s="17" t="inlineStr">
        <is>
          <t>에어코리아</t>
        </is>
      </c>
      <c r="D372" s="28" t="inlineStr">
        <is>
          <t>Tier D</t>
        </is>
      </c>
      <c r="E372" s="17" t="n">
        <v>5</v>
      </c>
      <c r="F372" s="17" t="inlineStr"/>
      <c r="G372" s="23" t="inlineStr"/>
      <c r="H372" s="22" t="inlineStr">
        <is>
          <t>미확인</t>
        </is>
      </c>
      <c r="I372" s="17" t="n">
        <v>1</v>
      </c>
      <c r="J372" s="17" t="n">
        <v>1</v>
      </c>
      <c r="K372" s="17" t="inlineStr">
        <is>
          <t>Y</t>
        </is>
      </c>
      <c r="L372" s="17" t="inlineStr"/>
      <c r="M372" s="17" t="inlineStr"/>
      <c r="N372" s="17" t="inlineStr"/>
      <c r="O372" s="17" t="inlineStr">
        <is>
          <t>경기도</t>
        </is>
      </c>
      <c r="P372" s="17" t="inlineStr">
        <is>
          <t>미확인</t>
        </is>
      </c>
      <c r="Q372" s="17" t="inlineStr"/>
      <c r="R372" s="17" t="inlineStr">
        <is>
          <t>EDMS</t>
        </is>
      </c>
      <c r="S372" s="24" t="n">
        <v>47296</v>
      </c>
      <c r="T372" s="17" t="inlineStr"/>
    </row>
    <row r="373">
      <c r="A373" s="17" t="n">
        <v>372</v>
      </c>
      <c r="B373" s="17" t="inlineStr">
        <is>
          <t>에이치엘비제약(주)</t>
        </is>
      </c>
      <c r="C373" s="17" t="inlineStr">
        <is>
          <t>에이치엘비제약</t>
        </is>
      </c>
      <c r="D373" s="28" t="inlineStr">
        <is>
          <t>Tier D</t>
        </is>
      </c>
      <c r="E373" s="17" t="n">
        <v>5</v>
      </c>
      <c r="F373" s="17" t="inlineStr"/>
      <c r="G373" s="23" t="inlineStr"/>
      <c r="H373" s="22" t="inlineStr">
        <is>
          <t>미확인</t>
        </is>
      </c>
      <c r="I373" s="17" t="n">
        <v>1</v>
      </c>
      <c r="J373" s="17" t="n">
        <v>1</v>
      </c>
      <c r="K373" s="17" t="inlineStr">
        <is>
          <t>Y</t>
        </is>
      </c>
      <c r="L373" s="17" t="inlineStr"/>
      <c r="M373" s="17" t="inlineStr"/>
      <c r="N373" s="17" t="inlineStr"/>
      <c r="O373" s="17" t="inlineStr">
        <is>
          <t>경기도</t>
        </is>
      </c>
      <c r="P373" s="17" t="inlineStr">
        <is>
          <t>031-557-0001</t>
        </is>
      </c>
      <c r="Q373" s="17" t="inlineStr"/>
      <c r="R373" s="17" t="inlineStr">
        <is>
          <t>EDMS</t>
        </is>
      </c>
      <c r="S373" s="24" t="n">
        <v>47100</v>
      </c>
      <c r="T373" s="17" t="inlineStr"/>
    </row>
    <row r="374">
      <c r="A374" s="17" t="n">
        <v>373</v>
      </c>
      <c r="B374" s="17" t="inlineStr">
        <is>
          <t>영일제약(주)</t>
        </is>
      </c>
      <c r="C374" s="17" t="inlineStr">
        <is>
          <t>영일제약</t>
        </is>
      </c>
      <c r="D374" s="28" t="inlineStr">
        <is>
          <t>Tier D</t>
        </is>
      </c>
      <c r="E374" s="17" t="n">
        <v>5</v>
      </c>
      <c r="F374" s="17" t="inlineStr"/>
      <c r="G374" s="23" t="inlineStr"/>
      <c r="H374" s="22" t="inlineStr">
        <is>
          <t>미확인</t>
        </is>
      </c>
      <c r="I374" s="17" t="n">
        <v>1</v>
      </c>
      <c r="J374" s="17" t="n">
        <v>1</v>
      </c>
      <c r="K374" s="17" t="inlineStr">
        <is>
          <t>Y</t>
        </is>
      </c>
      <c r="L374" s="17" t="inlineStr"/>
      <c r="M374" s="17" t="inlineStr"/>
      <c r="N374" s="17" t="inlineStr"/>
      <c r="O374" s="17" t="inlineStr">
        <is>
          <t>충청북도</t>
        </is>
      </c>
      <c r="P374" s="17" t="inlineStr">
        <is>
          <t>02-522-0150</t>
        </is>
      </c>
      <c r="Q374" s="17" t="inlineStr"/>
      <c r="R374" s="17" t="inlineStr">
        <is>
          <t>EDMS</t>
        </is>
      </c>
      <c r="S374" s="24" t="n">
        <v>47212</v>
      </c>
      <c r="T374" s="17" t="inlineStr"/>
    </row>
    <row r="375">
      <c r="A375" s="17" t="n">
        <v>374</v>
      </c>
      <c r="B375" s="17" t="inlineStr">
        <is>
          <t>영풍제약(주)</t>
        </is>
      </c>
      <c r="C375" s="17" t="inlineStr">
        <is>
          <t>영풍제약</t>
        </is>
      </c>
      <c r="D375" s="28" t="inlineStr">
        <is>
          <t>Tier D</t>
        </is>
      </c>
      <c r="E375" s="17" t="n">
        <v>5</v>
      </c>
      <c r="F375" s="17" t="inlineStr"/>
      <c r="G375" s="23" t="inlineStr"/>
      <c r="H375" s="22" t="inlineStr">
        <is>
          <t>미확인</t>
        </is>
      </c>
      <c r="I375" s="17" t="n">
        <v>1</v>
      </c>
      <c r="J375" s="17" t="n">
        <v>1</v>
      </c>
      <c r="K375" s="17" t="inlineStr">
        <is>
          <t>Y</t>
        </is>
      </c>
      <c r="L375" s="17" t="inlineStr"/>
      <c r="M375" s="17" t="inlineStr"/>
      <c r="N375" s="17" t="inlineStr"/>
      <c r="O375" s="17" t="inlineStr">
        <is>
          <t>인천광역시</t>
        </is>
      </c>
      <c r="P375" s="17" t="inlineStr">
        <is>
          <t>032-812-8356</t>
        </is>
      </c>
      <c r="Q375" s="17" t="inlineStr"/>
      <c r="R375" s="17" t="inlineStr">
        <is>
          <t>EDMS</t>
        </is>
      </c>
      <c r="S375" s="24" t="n">
        <v>46827</v>
      </c>
      <c r="T375" s="17" t="inlineStr"/>
    </row>
    <row r="376">
      <c r="A376" s="17" t="n">
        <v>375</v>
      </c>
      <c r="B376" s="17" t="inlineStr">
        <is>
          <t>이화산소(주)</t>
        </is>
      </c>
      <c r="C376" s="17" t="inlineStr">
        <is>
          <t>이화산소</t>
        </is>
      </c>
      <c r="D376" s="28" t="inlineStr">
        <is>
          <t>Tier D</t>
        </is>
      </c>
      <c r="E376" s="17" t="n">
        <v>5</v>
      </c>
      <c r="F376" s="17" t="inlineStr"/>
      <c r="G376" s="23" t="inlineStr"/>
      <c r="H376" s="22" t="inlineStr">
        <is>
          <t>미확인</t>
        </is>
      </c>
      <c r="I376" s="17" t="n">
        <v>1</v>
      </c>
      <c r="J376" s="17" t="n">
        <v>1</v>
      </c>
      <c r="K376" s="17" t="inlineStr">
        <is>
          <t>Y</t>
        </is>
      </c>
      <c r="L376" s="17" t="inlineStr"/>
      <c r="M376" s="17" t="inlineStr"/>
      <c r="N376" s="17" t="inlineStr"/>
      <c r="O376" s="17" t="inlineStr">
        <is>
          <t>인천광역시</t>
        </is>
      </c>
      <c r="P376" s="17" t="inlineStr">
        <is>
          <t>032-575-4747</t>
        </is>
      </c>
      <c r="Q376" s="17" t="inlineStr"/>
      <c r="R376" s="17" t="inlineStr">
        <is>
          <t>EDMS</t>
        </is>
      </c>
      <c r="S376" s="24" t="n">
        <v>46938</v>
      </c>
      <c r="T376" s="17" t="inlineStr"/>
    </row>
    <row r="377">
      <c r="A377" s="17" t="n">
        <v>376</v>
      </c>
      <c r="B377" s="17" t="inlineStr">
        <is>
          <t>익수제약(주)</t>
        </is>
      </c>
      <c r="C377" s="17" t="inlineStr">
        <is>
          <t>익수제약</t>
        </is>
      </c>
      <c r="D377" s="28" t="inlineStr">
        <is>
          <t>Tier D</t>
        </is>
      </c>
      <c r="E377" s="17" t="n">
        <v>5</v>
      </c>
      <c r="F377" s="17" t="inlineStr"/>
      <c r="G377" s="23" t="inlineStr"/>
      <c r="H377" s="22" t="inlineStr">
        <is>
          <t>미확인</t>
        </is>
      </c>
      <c r="I377" s="17" t="n">
        <v>1</v>
      </c>
      <c r="J377" s="17" t="n">
        <v>1</v>
      </c>
      <c r="K377" s="17" t="inlineStr">
        <is>
          <t>Y</t>
        </is>
      </c>
      <c r="L377" s="17" t="inlineStr"/>
      <c r="M377" s="17" t="inlineStr"/>
      <c r="N377" s="17" t="inlineStr"/>
      <c r="O377" s="17" t="inlineStr">
        <is>
          <t>경기도</t>
        </is>
      </c>
      <c r="P377" s="17" t="inlineStr">
        <is>
          <t>미확인</t>
        </is>
      </c>
      <c r="Q377" s="17" t="inlineStr"/>
      <c r="R377" s="17" t="inlineStr">
        <is>
          <t>EDMS</t>
        </is>
      </c>
      <c r="S377" s="24" t="n">
        <v>46816</v>
      </c>
      <c r="T377" s="17" t="inlineStr"/>
    </row>
    <row r="378">
      <c r="A378" s="17" t="n">
        <v>377</v>
      </c>
      <c r="B378" s="17" t="inlineStr">
        <is>
          <t>정우신약(주)</t>
        </is>
      </c>
      <c r="C378" s="17" t="inlineStr">
        <is>
          <t>정우신약</t>
        </is>
      </c>
      <c r="D378" s="28" t="inlineStr">
        <is>
          <t>Tier D</t>
        </is>
      </c>
      <c r="E378" s="17" t="n">
        <v>5</v>
      </c>
      <c r="F378" s="17" t="inlineStr"/>
      <c r="G378" s="23" t="inlineStr"/>
      <c r="H378" s="22" t="inlineStr">
        <is>
          <t>미확인</t>
        </is>
      </c>
      <c r="I378" s="17" t="n">
        <v>1</v>
      </c>
      <c r="J378" s="17" t="n">
        <v>1</v>
      </c>
      <c r="K378" s="17" t="inlineStr">
        <is>
          <t>Y</t>
        </is>
      </c>
      <c r="L378" s="17" t="inlineStr"/>
      <c r="M378" s="17" t="inlineStr"/>
      <c r="N378" s="17" t="inlineStr"/>
      <c r="O378" s="17" t="inlineStr">
        <is>
          <t>충청남도</t>
        </is>
      </c>
      <c r="P378" s="17" t="inlineStr">
        <is>
          <t>041-533-6191</t>
        </is>
      </c>
      <c r="Q378" s="17" t="inlineStr"/>
      <c r="R378" s="17" t="inlineStr">
        <is>
          <t>EDMS</t>
        </is>
      </c>
      <c r="S378" s="24" t="n">
        <v>47289</v>
      </c>
      <c r="T378" s="17" t="inlineStr"/>
    </row>
    <row r="379">
      <c r="A379" s="17" t="n">
        <v>378</v>
      </c>
      <c r="B379" s="17" t="inlineStr">
        <is>
          <t>제이더블유신약(주)</t>
        </is>
      </c>
      <c r="C379" s="17" t="inlineStr">
        <is>
          <t>제이더블유신약</t>
        </is>
      </c>
      <c r="D379" s="28" t="inlineStr">
        <is>
          <t>Tier D</t>
        </is>
      </c>
      <c r="E379" s="17" t="n">
        <v>5</v>
      </c>
      <c r="F379" s="17" t="inlineStr"/>
      <c r="G379" s="23" t="inlineStr"/>
      <c r="H379" s="22" t="inlineStr">
        <is>
          <t>미확인</t>
        </is>
      </c>
      <c r="I379" s="17" t="n">
        <v>1</v>
      </c>
      <c r="J379" s="17" t="n">
        <v>1</v>
      </c>
      <c r="K379" s="17" t="inlineStr">
        <is>
          <t>Y</t>
        </is>
      </c>
      <c r="L379" s="17" t="inlineStr"/>
      <c r="M379" s="17" t="inlineStr"/>
      <c r="N379" s="17" t="inlineStr"/>
      <c r="O379" s="17" t="inlineStr">
        <is>
          <t>경기도</t>
        </is>
      </c>
      <c r="P379" s="17" t="inlineStr">
        <is>
          <t>031-668-0561</t>
        </is>
      </c>
      <c r="Q379" s="17" t="inlineStr"/>
      <c r="R379" s="17" t="inlineStr">
        <is>
          <t>EDMS</t>
        </is>
      </c>
      <c r="S379" s="24" t="n">
        <v>47081</v>
      </c>
      <c r="T379" s="17" t="inlineStr"/>
    </row>
    <row r="380">
      <c r="A380" s="17" t="n">
        <v>379</v>
      </c>
      <c r="B380" s="17" t="inlineStr">
        <is>
          <t>제일헬스사이언스(주)</t>
        </is>
      </c>
      <c r="C380" s="17" t="inlineStr">
        <is>
          <t>제일헬스사이언스</t>
        </is>
      </c>
      <c r="D380" s="28" t="inlineStr">
        <is>
          <t>Tier D</t>
        </is>
      </c>
      <c r="E380" s="17" t="n">
        <v>5</v>
      </c>
      <c r="F380" s="17" t="inlineStr"/>
      <c r="G380" s="23" t="inlineStr"/>
      <c r="H380" s="22" t="inlineStr">
        <is>
          <t>미확인</t>
        </is>
      </c>
      <c r="I380" s="17" t="n">
        <v>1</v>
      </c>
      <c r="J380" s="17" t="n">
        <v>1</v>
      </c>
      <c r="K380" s="17" t="inlineStr">
        <is>
          <t>Y</t>
        </is>
      </c>
      <c r="L380" s="17" t="inlineStr"/>
      <c r="M380" s="17" t="inlineStr"/>
      <c r="N380" s="17" t="inlineStr"/>
      <c r="O380" s="17" t="inlineStr">
        <is>
          <t>경기도</t>
        </is>
      </c>
      <c r="P380" s="17" t="inlineStr">
        <is>
          <t>02-549-7451</t>
        </is>
      </c>
      <c r="Q380" s="17" t="inlineStr"/>
      <c r="R380" s="17" t="inlineStr">
        <is>
          <t>EDMS</t>
        </is>
      </c>
      <c r="S380" s="24" t="n">
        <v>47031</v>
      </c>
      <c r="T380" s="17" t="inlineStr"/>
    </row>
    <row r="381">
      <c r="A381" s="17" t="n">
        <v>380</v>
      </c>
      <c r="B381" s="17" t="inlineStr">
        <is>
          <t>제주종합가스(주)</t>
        </is>
      </c>
      <c r="C381" s="17" t="inlineStr">
        <is>
          <t>제주종합가스</t>
        </is>
      </c>
      <c r="D381" s="28" t="inlineStr">
        <is>
          <t>Tier D</t>
        </is>
      </c>
      <c r="E381" s="17" t="n">
        <v>5</v>
      </c>
      <c r="F381" s="17" t="inlineStr"/>
      <c r="G381" s="23" t="inlineStr"/>
      <c r="H381" s="22" t="inlineStr">
        <is>
          <t>미확인</t>
        </is>
      </c>
      <c r="I381" s="17" t="n">
        <v>1</v>
      </c>
      <c r="J381" s="17" t="n">
        <v>1</v>
      </c>
      <c r="K381" s="17" t="inlineStr">
        <is>
          <t>Y</t>
        </is>
      </c>
      <c r="L381" s="17" t="inlineStr"/>
      <c r="M381" s="17" t="inlineStr"/>
      <c r="N381" s="17" t="inlineStr"/>
      <c r="O381" s="17" t="inlineStr">
        <is>
          <t>제주특별자치도</t>
        </is>
      </c>
      <c r="P381" s="17" t="inlineStr">
        <is>
          <t>미확인</t>
        </is>
      </c>
      <c r="Q381" s="17" t="inlineStr"/>
      <c r="R381" s="17" t="inlineStr">
        <is>
          <t>EDMS</t>
        </is>
      </c>
      <c r="S381" s="24" t="n">
        <v>46889</v>
      </c>
      <c r="T381" s="17" t="inlineStr"/>
    </row>
    <row r="382">
      <c r="A382" s="17" t="n">
        <v>381</v>
      </c>
      <c r="B382" s="17" t="inlineStr">
        <is>
          <t>주식회사 세종가스산업</t>
        </is>
      </c>
      <c r="C382" s="17" t="inlineStr">
        <is>
          <t>세종가스산업</t>
        </is>
      </c>
      <c r="D382" s="28" t="inlineStr">
        <is>
          <t>Tier D</t>
        </is>
      </c>
      <c r="E382" s="17" t="n">
        <v>5</v>
      </c>
      <c r="F382" s="17" t="inlineStr"/>
      <c r="G382" s="23" t="inlineStr"/>
      <c r="H382" s="22" t="inlineStr">
        <is>
          <t>미확인</t>
        </is>
      </c>
      <c r="I382" s="17" t="n">
        <v>1</v>
      </c>
      <c r="J382" s="17" t="n">
        <v>1</v>
      </c>
      <c r="K382" s="17" t="inlineStr">
        <is>
          <t>Y</t>
        </is>
      </c>
      <c r="L382" s="17" t="inlineStr"/>
      <c r="M382" s="17" t="inlineStr"/>
      <c r="N382" s="17" t="inlineStr"/>
      <c r="O382" s="17" t="inlineStr">
        <is>
          <t>경상남도</t>
        </is>
      </c>
      <c r="P382" s="17" t="inlineStr">
        <is>
          <t>05579500010102011</t>
        </is>
      </c>
      <c r="Q382" s="17" t="inlineStr"/>
      <c r="R382" s="17" t="inlineStr">
        <is>
          <t>EDMS</t>
        </is>
      </c>
      <c r="S382" s="24" t="n">
        <v>46715</v>
      </c>
      <c r="T382" s="17" t="inlineStr"/>
    </row>
    <row r="383">
      <c r="A383" s="17" t="n">
        <v>382</v>
      </c>
      <c r="B383" s="17" t="inlineStr">
        <is>
          <t>주식회사 제이비케이랩</t>
        </is>
      </c>
      <c r="C383" s="17" t="inlineStr">
        <is>
          <t>제이비케이랩</t>
        </is>
      </c>
      <c r="D383" s="28" t="inlineStr">
        <is>
          <t>Tier D</t>
        </is>
      </c>
      <c r="E383" s="17" t="n">
        <v>5</v>
      </c>
      <c r="F383" s="17" t="inlineStr"/>
      <c r="G383" s="23" t="inlineStr"/>
      <c r="H383" s="22" t="inlineStr">
        <is>
          <t>미확인</t>
        </is>
      </c>
      <c r="I383" s="17" t="n">
        <v>1</v>
      </c>
      <c r="J383" s="17" t="n">
        <v>1</v>
      </c>
      <c r="K383" s="17" t="inlineStr">
        <is>
          <t>Y</t>
        </is>
      </c>
      <c r="L383" s="17" t="inlineStr"/>
      <c r="M383" s="17" t="inlineStr"/>
      <c r="N383" s="17" t="inlineStr"/>
      <c r="O383" s="17" t="inlineStr">
        <is>
          <t>전라남도</t>
        </is>
      </c>
      <c r="P383" s="17" t="inlineStr">
        <is>
          <t>미확인</t>
        </is>
      </c>
      <c r="Q383" s="17" t="inlineStr"/>
      <c r="R383" s="17" t="inlineStr">
        <is>
          <t>EDMS</t>
        </is>
      </c>
      <c r="S383" s="24" t="n">
        <v>47303</v>
      </c>
      <c r="T383" s="17" t="inlineStr"/>
    </row>
    <row r="384">
      <c r="A384" s="17" t="n">
        <v>383</v>
      </c>
      <c r="B384" s="17" t="inlineStr">
        <is>
          <t>주식회사 케이에스테크</t>
        </is>
      </c>
      <c r="C384" s="17" t="inlineStr">
        <is>
          <t>케이에스테크</t>
        </is>
      </c>
      <c r="D384" s="28" t="inlineStr">
        <is>
          <t>Tier D</t>
        </is>
      </c>
      <c r="E384" s="17" t="n">
        <v>5</v>
      </c>
      <c r="F384" s="17" t="inlineStr"/>
      <c r="G384" s="23" t="inlineStr"/>
      <c r="H384" s="22" t="inlineStr">
        <is>
          <t>미확인</t>
        </is>
      </c>
      <c r="I384" s="17" t="n">
        <v>1</v>
      </c>
      <c r="J384" s="17" t="n">
        <v>1</v>
      </c>
      <c r="K384" s="17" t="inlineStr">
        <is>
          <t>Y</t>
        </is>
      </c>
      <c r="L384" s="17" t="inlineStr"/>
      <c r="M384" s="17" t="inlineStr"/>
      <c r="N384" s="17" t="inlineStr"/>
      <c r="O384" s="17" t="inlineStr">
        <is>
          <t>경기도</t>
        </is>
      </c>
      <c r="P384" s="17" t="inlineStr">
        <is>
          <t>031-658-7440</t>
        </is>
      </c>
      <c r="Q384" s="17" t="inlineStr"/>
      <c r="R384" s="17" t="inlineStr">
        <is>
          <t>EDMS</t>
        </is>
      </c>
      <c r="S384" s="24" t="n">
        <v>46832</v>
      </c>
      <c r="T384" s="17" t="inlineStr"/>
    </row>
    <row r="385">
      <c r="A385" s="17" t="n">
        <v>384</v>
      </c>
      <c r="B385" s="17" t="inlineStr">
        <is>
          <t>주식회사더유제약</t>
        </is>
      </c>
      <c r="C385" s="17" t="inlineStr">
        <is>
          <t>더유제약</t>
        </is>
      </c>
      <c r="D385" s="28" t="inlineStr">
        <is>
          <t>Tier D</t>
        </is>
      </c>
      <c r="E385" s="17" t="n">
        <v>5</v>
      </c>
      <c r="F385" s="17" t="inlineStr"/>
      <c r="G385" s="23" t="inlineStr"/>
      <c r="H385" s="22" t="inlineStr">
        <is>
          <t>미확인</t>
        </is>
      </c>
      <c r="I385" s="17" t="n">
        <v>1</v>
      </c>
      <c r="J385" s="17" t="n">
        <v>1</v>
      </c>
      <c r="K385" s="17" t="inlineStr">
        <is>
          <t>Y</t>
        </is>
      </c>
      <c r="L385" s="17" t="inlineStr"/>
      <c r="M385" s="17" t="inlineStr"/>
      <c r="N385" s="17" t="inlineStr"/>
      <c r="O385" s="17" t="inlineStr">
        <is>
          <t>경기도</t>
        </is>
      </c>
      <c r="P385" s="17" t="inlineStr">
        <is>
          <t>미확인</t>
        </is>
      </c>
      <c r="Q385" s="17" t="inlineStr"/>
      <c r="R385" s="17" t="inlineStr">
        <is>
          <t>EDMS</t>
        </is>
      </c>
      <c r="S385" s="24" t="n">
        <v>46792</v>
      </c>
      <c r="T385" s="17" t="inlineStr"/>
    </row>
    <row r="386">
      <c r="A386" s="17" t="n">
        <v>385</v>
      </c>
      <c r="B386" s="17" t="inlineStr">
        <is>
          <t>주식회사에어가스코리아</t>
        </is>
      </c>
      <c r="C386" s="17" t="inlineStr">
        <is>
          <t>에어가스코리아</t>
        </is>
      </c>
      <c r="D386" s="28" t="inlineStr">
        <is>
          <t>Tier D</t>
        </is>
      </c>
      <c r="E386" s="17" t="n">
        <v>5</v>
      </c>
      <c r="F386" s="17" t="inlineStr"/>
      <c r="G386" s="23" t="inlineStr"/>
      <c r="H386" s="22" t="inlineStr">
        <is>
          <t>미확인</t>
        </is>
      </c>
      <c r="I386" s="17" t="n">
        <v>1</v>
      </c>
      <c r="J386" s="17" t="n">
        <v>1</v>
      </c>
      <c r="K386" s="17" t="inlineStr">
        <is>
          <t>Y</t>
        </is>
      </c>
      <c r="L386" s="17" t="inlineStr"/>
      <c r="M386" s="17" t="inlineStr"/>
      <c r="N386" s="17" t="inlineStr"/>
      <c r="O386" s="17" t="inlineStr">
        <is>
          <t>인천광역시</t>
        </is>
      </c>
      <c r="P386" s="17" t="inlineStr">
        <is>
          <t>032-573-4001</t>
        </is>
      </c>
      <c r="Q386" s="17" t="inlineStr"/>
      <c r="R386" s="17" t="inlineStr">
        <is>
          <t>EDMS</t>
        </is>
      </c>
      <c r="S386" s="24" t="n">
        <v>46930</v>
      </c>
      <c r="T386" s="17" t="inlineStr"/>
    </row>
    <row r="387">
      <c r="A387" s="17" t="n">
        <v>386</v>
      </c>
      <c r="B387" s="17" t="inlineStr">
        <is>
          <t>주식회사제이투가스</t>
        </is>
      </c>
      <c r="C387" s="17" t="inlineStr">
        <is>
          <t>제이투가스</t>
        </is>
      </c>
      <c r="D387" s="28" t="inlineStr">
        <is>
          <t>Tier D</t>
        </is>
      </c>
      <c r="E387" s="17" t="n">
        <v>5</v>
      </c>
      <c r="F387" s="17" t="inlineStr"/>
      <c r="G387" s="23" t="inlineStr"/>
      <c r="H387" s="22" t="inlineStr">
        <is>
          <t>미확인</t>
        </is>
      </c>
      <c r="I387" s="17" t="n">
        <v>1</v>
      </c>
      <c r="J387" s="17" t="n">
        <v>1</v>
      </c>
      <c r="K387" s="17" t="inlineStr">
        <is>
          <t>Y</t>
        </is>
      </c>
      <c r="L387" s="17" t="inlineStr"/>
      <c r="M387" s="17" t="inlineStr"/>
      <c r="N387" s="17" t="inlineStr"/>
      <c r="O387" s="17" t="inlineStr">
        <is>
          <t>경기도</t>
        </is>
      </c>
      <c r="P387" s="17" t="inlineStr">
        <is>
          <t>031-981-9942</t>
        </is>
      </c>
      <c r="Q387" s="17" t="inlineStr"/>
      <c r="R387" s="17" t="inlineStr">
        <is>
          <t>EDMS</t>
        </is>
      </c>
      <c r="S387" s="24" t="n">
        <v>47217</v>
      </c>
      <c r="T387" s="17" t="inlineStr"/>
    </row>
    <row r="388">
      <c r="A388" s="17" t="n">
        <v>387</v>
      </c>
      <c r="B388" s="17" t="inlineStr">
        <is>
          <t>주식회사케이에스제약</t>
        </is>
      </c>
      <c r="C388" s="17" t="inlineStr">
        <is>
          <t>케이에스제약</t>
        </is>
      </c>
      <c r="D388" s="28" t="inlineStr">
        <is>
          <t>Tier D</t>
        </is>
      </c>
      <c r="E388" s="17" t="n">
        <v>5</v>
      </c>
      <c r="F388" s="17" t="inlineStr"/>
      <c r="G388" s="23" t="inlineStr"/>
      <c r="H388" s="22" t="inlineStr">
        <is>
          <t>미확인</t>
        </is>
      </c>
      <c r="I388" s="17" t="n">
        <v>1</v>
      </c>
      <c r="J388" s="17" t="n">
        <v>1</v>
      </c>
      <c r="K388" s="17" t="inlineStr">
        <is>
          <t>Y</t>
        </is>
      </c>
      <c r="L388" s="17" t="inlineStr"/>
      <c r="M388" s="17" t="inlineStr"/>
      <c r="N388" s="17" t="inlineStr"/>
      <c r="O388" s="17" t="inlineStr">
        <is>
          <t>전라남도</t>
        </is>
      </c>
      <c r="P388" s="17" t="inlineStr">
        <is>
          <t>미확인</t>
        </is>
      </c>
      <c r="Q388" s="17" t="inlineStr"/>
      <c r="R388" s="17" t="inlineStr">
        <is>
          <t>EDMS</t>
        </is>
      </c>
      <c r="S388" s="24" t="n">
        <v>47039</v>
      </c>
      <c r="T388" s="17" t="inlineStr"/>
    </row>
    <row r="389">
      <c r="A389" s="17" t="n">
        <v>388</v>
      </c>
      <c r="B389" s="17" t="inlineStr">
        <is>
          <t>주식회사큐엘파마</t>
        </is>
      </c>
      <c r="C389" s="17" t="inlineStr">
        <is>
          <t>큐엘파마</t>
        </is>
      </c>
      <c r="D389" s="28" t="inlineStr">
        <is>
          <t>Tier D</t>
        </is>
      </c>
      <c r="E389" s="17" t="n">
        <v>5</v>
      </c>
      <c r="F389" s="17" t="inlineStr"/>
      <c r="G389" s="23" t="inlineStr"/>
      <c r="H389" s="22" t="inlineStr">
        <is>
          <t>미확인</t>
        </is>
      </c>
      <c r="I389" s="17" t="n">
        <v>1</v>
      </c>
      <c r="J389" s="17" t="n">
        <v>1</v>
      </c>
      <c r="K389" s="17" t="inlineStr">
        <is>
          <t>Y</t>
        </is>
      </c>
      <c r="L389" s="17" t="inlineStr"/>
      <c r="M389" s="17" t="inlineStr"/>
      <c r="N389" s="17" t="inlineStr"/>
      <c r="O389" s="17" t="inlineStr">
        <is>
          <t>충청북도</t>
        </is>
      </c>
      <c r="P389" s="17" t="inlineStr">
        <is>
          <t>070-8858-7353</t>
        </is>
      </c>
      <c r="Q389" s="17" t="inlineStr"/>
      <c r="R389" s="17" t="inlineStr">
        <is>
          <t>EDMS</t>
        </is>
      </c>
      <c r="S389" s="24" t="n">
        <v>46815</v>
      </c>
      <c r="T389" s="17" t="inlineStr"/>
    </row>
    <row r="390">
      <c r="A390" s="17" t="n">
        <v>389</v>
      </c>
      <c r="B390" s="17" t="inlineStr">
        <is>
          <t>중부산업가스(주)</t>
        </is>
      </c>
      <c r="C390" s="17" t="inlineStr">
        <is>
          <t>중부산업가스</t>
        </is>
      </c>
      <c r="D390" s="28" t="inlineStr">
        <is>
          <t>Tier D</t>
        </is>
      </c>
      <c r="E390" s="17" t="n">
        <v>5</v>
      </c>
      <c r="F390" s="17" t="inlineStr"/>
      <c r="G390" s="23" t="inlineStr"/>
      <c r="H390" s="22" t="inlineStr">
        <is>
          <t>미확인</t>
        </is>
      </c>
      <c r="I390" s="17" t="n">
        <v>1</v>
      </c>
      <c r="J390" s="17" t="n">
        <v>1</v>
      </c>
      <c r="K390" s="17" t="inlineStr">
        <is>
          <t>Y</t>
        </is>
      </c>
      <c r="L390" s="17" t="inlineStr"/>
      <c r="M390" s="17" t="inlineStr"/>
      <c r="N390" s="17" t="inlineStr"/>
      <c r="O390" s="17" t="inlineStr">
        <is>
          <t>세종특별자치시</t>
        </is>
      </c>
      <c r="P390" s="17" t="inlineStr">
        <is>
          <t>044-2752-3878</t>
        </is>
      </c>
      <c r="Q390" s="17" t="inlineStr"/>
      <c r="R390" s="17" t="inlineStr">
        <is>
          <t>EDMS</t>
        </is>
      </c>
      <c r="S390" s="24" t="n">
        <v>46944</v>
      </c>
      <c r="T390" s="17" t="inlineStr"/>
    </row>
    <row r="391">
      <c r="A391" s="17" t="n">
        <v>390</v>
      </c>
      <c r="B391" s="17" t="inlineStr">
        <is>
          <t>중앙산업가스(주)</t>
        </is>
      </c>
      <c r="C391" s="17" t="inlineStr">
        <is>
          <t>중앙산업가스</t>
        </is>
      </c>
      <c r="D391" s="28" t="inlineStr">
        <is>
          <t>Tier D</t>
        </is>
      </c>
      <c r="E391" s="17" t="n">
        <v>5</v>
      </c>
      <c r="F391" s="17" t="inlineStr"/>
      <c r="G391" s="23" t="inlineStr"/>
      <c r="H391" s="22" t="inlineStr">
        <is>
          <t>미확인</t>
        </is>
      </c>
      <c r="I391" s="17" t="n">
        <v>1</v>
      </c>
      <c r="J391" s="17" t="n">
        <v>1</v>
      </c>
      <c r="K391" s="17" t="inlineStr">
        <is>
          <t>Y</t>
        </is>
      </c>
      <c r="L391" s="17" t="inlineStr"/>
      <c r="M391" s="17" t="inlineStr"/>
      <c r="N391" s="17" t="inlineStr"/>
      <c r="O391" s="17" t="inlineStr">
        <is>
          <t>대전광역시</t>
        </is>
      </c>
      <c r="P391" s="17" t="inlineStr">
        <is>
          <t>042-623-2201</t>
        </is>
      </c>
      <c r="Q391" s="17" t="inlineStr"/>
      <c r="R391" s="17" t="inlineStr">
        <is>
          <t>EDMS</t>
        </is>
      </c>
      <c r="S391" s="24" t="n">
        <v>46778</v>
      </c>
      <c r="T391" s="17" t="inlineStr"/>
    </row>
    <row r="392">
      <c r="A392" s="17" t="n">
        <v>391</v>
      </c>
      <c r="B392" s="17" t="inlineStr">
        <is>
          <t>천우신약(주)</t>
        </is>
      </c>
      <c r="C392" s="17" t="inlineStr">
        <is>
          <t>천우신약</t>
        </is>
      </c>
      <c r="D392" s="28" t="inlineStr">
        <is>
          <t>Tier D</t>
        </is>
      </c>
      <c r="E392" s="17" t="n">
        <v>5</v>
      </c>
      <c r="F392" s="17" t="inlineStr"/>
      <c r="G392" s="23" t="inlineStr"/>
      <c r="H392" s="22" t="inlineStr">
        <is>
          <t>미확인</t>
        </is>
      </c>
      <c r="I392" s="17" t="n">
        <v>1</v>
      </c>
      <c r="J392" s="17" t="n">
        <v>1</v>
      </c>
      <c r="K392" s="17" t="inlineStr">
        <is>
          <t>Y</t>
        </is>
      </c>
      <c r="L392" s="17" t="inlineStr"/>
      <c r="M392" s="17" t="inlineStr"/>
      <c r="N392" s="17" t="inlineStr"/>
      <c r="O392" s="17" t="inlineStr">
        <is>
          <t>충청북도</t>
        </is>
      </c>
      <c r="P392" s="17" t="inlineStr">
        <is>
          <t>070-4618-5862</t>
        </is>
      </c>
      <c r="Q392" s="17" t="inlineStr"/>
      <c r="R392" s="17" t="inlineStr">
        <is>
          <t>EDMS</t>
        </is>
      </c>
      <c r="S392" s="24" t="n">
        <v>46885</v>
      </c>
      <c r="T392" s="17" t="inlineStr"/>
    </row>
    <row r="393">
      <c r="A393" s="17" t="n">
        <v>392</v>
      </c>
      <c r="B393" s="17" t="inlineStr">
        <is>
          <t>초당약품공업(주)</t>
        </is>
      </c>
      <c r="C393" s="17" t="inlineStr">
        <is>
          <t>초당약품공업</t>
        </is>
      </c>
      <c r="D393" s="28" t="inlineStr">
        <is>
          <t>Tier D</t>
        </is>
      </c>
      <c r="E393" s="17" t="n">
        <v>5</v>
      </c>
      <c r="F393" s="17" t="inlineStr"/>
      <c r="G393" s="23" t="inlineStr"/>
      <c r="H393" s="22" t="inlineStr">
        <is>
          <t>미확인</t>
        </is>
      </c>
      <c r="I393" s="17" t="n">
        <v>1</v>
      </c>
      <c r="J393" s="17" t="n">
        <v>1</v>
      </c>
      <c r="K393" s="17" t="inlineStr">
        <is>
          <t>Y</t>
        </is>
      </c>
      <c r="L393" s="17" t="inlineStr"/>
      <c r="M393" s="17" t="inlineStr"/>
      <c r="N393" s="17" t="inlineStr"/>
      <c r="O393" s="17" t="inlineStr">
        <is>
          <t>경기도</t>
        </is>
      </c>
      <c r="P393" s="17" t="inlineStr">
        <is>
          <t>02-869-0181</t>
        </is>
      </c>
      <c r="Q393" s="17" t="inlineStr"/>
      <c r="R393" s="17" t="inlineStr">
        <is>
          <t>EDMS</t>
        </is>
      </c>
      <c r="S393" s="24" t="n">
        <v>46956</v>
      </c>
      <c r="T393" s="17" t="inlineStr"/>
    </row>
    <row r="394">
      <c r="A394" s="17" t="n">
        <v>393</v>
      </c>
      <c r="B394" s="17" t="inlineStr">
        <is>
          <t>춘천종합가스</t>
        </is>
      </c>
      <c r="C394" s="17" t="inlineStr">
        <is>
          <t>춘천종합가스</t>
        </is>
      </c>
      <c r="D394" s="28" t="inlineStr">
        <is>
          <t>Tier D</t>
        </is>
      </c>
      <c r="E394" s="17" t="n">
        <v>5</v>
      </c>
      <c r="F394" s="17" t="inlineStr"/>
      <c r="G394" s="23" t="inlineStr"/>
      <c r="H394" s="22" t="inlineStr">
        <is>
          <t>미확인</t>
        </is>
      </c>
      <c r="I394" s="17" t="n">
        <v>1</v>
      </c>
      <c r="J394" s="17" t="n">
        <v>1</v>
      </c>
      <c r="K394" s="17" t="inlineStr">
        <is>
          <t>Y</t>
        </is>
      </c>
      <c r="L394" s="17" t="inlineStr"/>
      <c r="M394" s="17" t="inlineStr"/>
      <c r="N394" s="17" t="inlineStr"/>
      <c r="O394" s="17" t="inlineStr">
        <is>
          <t>강원특별자치도</t>
        </is>
      </c>
      <c r="P394" s="17" t="inlineStr">
        <is>
          <t>033-262-3849</t>
        </is>
      </c>
      <c r="Q394" s="17" t="inlineStr"/>
      <c r="R394" s="17" t="inlineStr">
        <is>
          <t>EDMS</t>
        </is>
      </c>
      <c r="S394" s="24" t="n">
        <v>47172</v>
      </c>
      <c r="T394" s="17" t="inlineStr"/>
    </row>
    <row r="395">
      <c r="A395" s="17" t="n">
        <v>394</v>
      </c>
      <c r="B395" s="17" t="inlineStr">
        <is>
          <t>케이엠에스제약(주)</t>
        </is>
      </c>
      <c r="C395" s="17" t="inlineStr">
        <is>
          <t>케이엠에스제약</t>
        </is>
      </c>
      <c r="D395" s="28" t="inlineStr">
        <is>
          <t>Tier D</t>
        </is>
      </c>
      <c r="E395" s="17" t="n">
        <v>5</v>
      </c>
      <c r="F395" s="17" t="inlineStr"/>
      <c r="G395" s="23" t="inlineStr"/>
      <c r="H395" s="22" t="inlineStr">
        <is>
          <t>미확인</t>
        </is>
      </c>
      <c r="I395" s="17" t="n">
        <v>1</v>
      </c>
      <c r="J395" s="17" t="n">
        <v>1</v>
      </c>
      <c r="K395" s="17" t="inlineStr">
        <is>
          <t>Y</t>
        </is>
      </c>
      <c r="L395" s="17" t="inlineStr"/>
      <c r="M395" s="17" t="inlineStr"/>
      <c r="N395" s="17" t="inlineStr"/>
      <c r="O395" s="17" t="inlineStr">
        <is>
          <t>경기도</t>
        </is>
      </c>
      <c r="P395" s="17" t="inlineStr">
        <is>
          <t>031-215-5456</t>
        </is>
      </c>
      <c r="Q395" s="17" t="inlineStr"/>
      <c r="R395" s="17" t="inlineStr">
        <is>
          <t>EDMS</t>
        </is>
      </c>
      <c r="S395" s="24" t="n">
        <v>46585</v>
      </c>
      <c r="T395" s="17" t="inlineStr"/>
    </row>
    <row r="396">
      <c r="A396" s="17" t="n">
        <v>395</v>
      </c>
      <c r="B396" s="17" t="inlineStr">
        <is>
          <t>태경에코(주)</t>
        </is>
      </c>
      <c r="C396" s="17" t="inlineStr">
        <is>
          <t>태경에코</t>
        </is>
      </c>
      <c r="D396" s="28" t="inlineStr">
        <is>
          <t>Tier D</t>
        </is>
      </c>
      <c r="E396" s="17" t="n">
        <v>5</v>
      </c>
      <c r="F396" s="17" t="inlineStr"/>
      <c r="G396" s="23" t="inlineStr"/>
      <c r="H396" s="22" t="inlineStr">
        <is>
          <t>미확인</t>
        </is>
      </c>
      <c r="I396" s="17" t="n">
        <v>1</v>
      </c>
      <c r="J396" s="17" t="n">
        <v>1</v>
      </c>
      <c r="K396" s="17" t="inlineStr">
        <is>
          <t>Y</t>
        </is>
      </c>
      <c r="L396" s="17" t="inlineStr"/>
      <c r="M396" s="17" t="inlineStr"/>
      <c r="N396" s="17" t="inlineStr"/>
      <c r="O396" s="17" t="inlineStr">
        <is>
          <t>경기도</t>
        </is>
      </c>
      <c r="P396" s="17" t="inlineStr">
        <is>
          <t>미확인</t>
        </is>
      </c>
      <c r="Q396" s="17" t="inlineStr"/>
      <c r="R396" s="17" t="inlineStr">
        <is>
          <t>EDMS</t>
        </is>
      </c>
      <c r="S396" s="24" t="n">
        <v>46975</v>
      </c>
      <c r="T396" s="17" t="inlineStr"/>
    </row>
    <row r="397">
      <c r="A397" s="17" t="n">
        <v>396</v>
      </c>
      <c r="B397" s="17" t="inlineStr">
        <is>
          <t>태을산업가스(주)</t>
        </is>
      </c>
      <c r="C397" s="17" t="inlineStr">
        <is>
          <t>태을산업가스</t>
        </is>
      </c>
      <c r="D397" s="28" t="inlineStr">
        <is>
          <t>Tier D</t>
        </is>
      </c>
      <c r="E397" s="17" t="n">
        <v>5</v>
      </c>
      <c r="F397" s="17" t="inlineStr"/>
      <c r="G397" s="23" t="inlineStr"/>
      <c r="H397" s="22" t="inlineStr">
        <is>
          <t>미확인</t>
        </is>
      </c>
      <c r="I397" s="17" t="n">
        <v>1</v>
      </c>
      <c r="J397" s="17" t="n">
        <v>1</v>
      </c>
      <c r="K397" s="17" t="inlineStr">
        <is>
          <t>Y</t>
        </is>
      </c>
      <c r="L397" s="17" t="inlineStr"/>
      <c r="M397" s="17" t="inlineStr"/>
      <c r="N397" s="17" t="inlineStr"/>
      <c r="O397" s="17" t="inlineStr">
        <is>
          <t>충청남도</t>
        </is>
      </c>
      <c r="P397" s="17" t="inlineStr">
        <is>
          <t>미확인</t>
        </is>
      </c>
      <c r="Q397" s="17" t="inlineStr"/>
      <c r="R397" s="17" t="inlineStr">
        <is>
          <t>EDMS</t>
        </is>
      </c>
      <c r="S397" s="24" t="n">
        <v>46946</v>
      </c>
      <c r="T397" s="17" t="inlineStr"/>
    </row>
    <row r="398">
      <c r="A398" s="17" t="n">
        <v>397</v>
      </c>
      <c r="B398" s="17" t="inlineStr">
        <is>
          <t>풍림무약(주)</t>
        </is>
      </c>
      <c r="C398" s="17" t="inlineStr">
        <is>
          <t>풍림무약</t>
        </is>
      </c>
      <c r="D398" s="28" t="inlineStr">
        <is>
          <t>Tier D</t>
        </is>
      </c>
      <c r="E398" s="17" t="n">
        <v>5</v>
      </c>
      <c r="F398" s="17" t="inlineStr"/>
      <c r="G398" s="23" t="inlineStr"/>
      <c r="H398" s="22" t="inlineStr">
        <is>
          <t>미확인</t>
        </is>
      </c>
      <c r="I398" s="17" t="n">
        <v>1</v>
      </c>
      <c r="J398" s="17" t="n">
        <v>1</v>
      </c>
      <c r="K398" s="17" t="inlineStr">
        <is>
          <t>Y</t>
        </is>
      </c>
      <c r="L398" s="17" t="inlineStr"/>
      <c r="M398" s="17" t="inlineStr"/>
      <c r="N398" s="17" t="inlineStr"/>
      <c r="O398" s="17" t="inlineStr">
        <is>
          <t>경기도</t>
        </is>
      </c>
      <c r="P398" s="17" t="inlineStr">
        <is>
          <t>미확인</t>
        </is>
      </c>
      <c r="Q398" s="17" t="inlineStr"/>
      <c r="R398" s="17" t="inlineStr">
        <is>
          <t>EDMS</t>
        </is>
      </c>
      <c r="S398" s="24" t="n">
        <v>47074</v>
      </c>
      <c r="T398" s="17" t="inlineStr"/>
    </row>
    <row r="399">
      <c r="A399" s="17" t="n">
        <v>398</v>
      </c>
      <c r="B399" s="17" t="inlineStr">
        <is>
          <t>피케이씨 주식회사</t>
        </is>
      </c>
      <c r="C399" s="17" t="inlineStr">
        <is>
          <t>피케이씨</t>
        </is>
      </c>
      <c r="D399" s="28" t="inlineStr">
        <is>
          <t>Tier D</t>
        </is>
      </c>
      <c r="E399" s="17" t="n">
        <v>5</v>
      </c>
      <c r="F399" s="17" t="inlineStr"/>
      <c r="G399" s="23" t="inlineStr"/>
      <c r="H399" s="22" t="inlineStr">
        <is>
          <t>미확인</t>
        </is>
      </c>
      <c r="I399" s="17" t="n">
        <v>1</v>
      </c>
      <c r="J399" s="17" t="n">
        <v>1</v>
      </c>
      <c r="K399" s="17" t="inlineStr">
        <is>
          <t>Y</t>
        </is>
      </c>
      <c r="L399" s="17" t="inlineStr"/>
      <c r="M399" s="17" t="inlineStr"/>
      <c r="N399" s="17" t="inlineStr"/>
      <c r="O399" s="17" t="inlineStr">
        <is>
          <t>충청북도</t>
        </is>
      </c>
      <c r="P399" s="17" t="inlineStr">
        <is>
          <t>미확인</t>
        </is>
      </c>
      <c r="Q399" s="17" t="inlineStr"/>
      <c r="R399" s="17" t="inlineStr">
        <is>
          <t>EDMS</t>
        </is>
      </c>
      <c r="S399" s="24" t="n">
        <v>46848</v>
      </c>
      <c r="T399" s="17" t="inlineStr"/>
    </row>
    <row r="400">
      <c r="A400" s="17" t="n">
        <v>399</v>
      </c>
      <c r="B400" s="17" t="inlineStr">
        <is>
          <t>한국넬슨제약(주)</t>
        </is>
      </c>
      <c r="C400" s="17" t="inlineStr">
        <is>
          <t>한국넬슨제약</t>
        </is>
      </c>
      <c r="D400" s="28" t="inlineStr">
        <is>
          <t>Tier D</t>
        </is>
      </c>
      <c r="E400" s="17" t="n">
        <v>5</v>
      </c>
      <c r="F400" s="17" t="inlineStr"/>
      <c r="G400" s="23" t="inlineStr"/>
      <c r="H400" s="22" t="inlineStr">
        <is>
          <t>미확인</t>
        </is>
      </c>
      <c r="I400" s="17" t="n">
        <v>1</v>
      </c>
      <c r="J400" s="17" t="n">
        <v>1</v>
      </c>
      <c r="K400" s="17" t="inlineStr">
        <is>
          <t>Y</t>
        </is>
      </c>
      <c r="L400" s="17" t="inlineStr"/>
      <c r="M400" s="17" t="inlineStr"/>
      <c r="N400" s="17" t="inlineStr"/>
      <c r="O400" s="17" t="inlineStr">
        <is>
          <t>충청북도</t>
        </is>
      </c>
      <c r="P400" s="17" t="inlineStr">
        <is>
          <t>043-877-4722</t>
        </is>
      </c>
      <c r="Q400" s="17" t="inlineStr"/>
      <c r="R400" s="17" t="inlineStr">
        <is>
          <t>EDMS</t>
        </is>
      </c>
      <c r="S400" s="24" t="n">
        <v>46983</v>
      </c>
      <c r="T400" s="17" t="inlineStr"/>
    </row>
    <row r="401">
      <c r="A401" s="17" t="n">
        <v>400</v>
      </c>
      <c r="B401" s="17" t="inlineStr">
        <is>
          <t>한국수소(주)</t>
        </is>
      </c>
      <c r="C401" s="17" t="inlineStr">
        <is>
          <t>한국수소</t>
        </is>
      </c>
      <c r="D401" s="28" t="inlineStr">
        <is>
          <t>Tier D</t>
        </is>
      </c>
      <c r="E401" s="17" t="n">
        <v>5</v>
      </c>
      <c r="F401" s="17" t="inlineStr"/>
      <c r="G401" s="23" t="inlineStr"/>
      <c r="H401" s="22" t="inlineStr">
        <is>
          <t>미확인</t>
        </is>
      </c>
      <c r="I401" s="17" t="n">
        <v>1</v>
      </c>
      <c r="J401" s="17" t="n">
        <v>1</v>
      </c>
      <c r="K401" s="17" t="inlineStr">
        <is>
          <t>Y</t>
        </is>
      </c>
      <c r="L401" s="17" t="inlineStr"/>
      <c r="M401" s="17" t="inlineStr"/>
      <c r="N401" s="17" t="inlineStr"/>
      <c r="O401" s="17" t="inlineStr">
        <is>
          <t>경기도</t>
        </is>
      </c>
      <c r="P401" s="17" t="inlineStr">
        <is>
          <t>032-673-6223</t>
        </is>
      </c>
      <c r="Q401" s="17" t="inlineStr"/>
      <c r="R401" s="17" t="inlineStr">
        <is>
          <t>EDMS</t>
        </is>
      </c>
      <c r="S401" s="24" t="n">
        <v>46876</v>
      </c>
      <c r="T401" s="17" t="inlineStr"/>
    </row>
    <row r="402">
      <c r="A402" s="17" t="n">
        <v>401</v>
      </c>
      <c r="B402" s="17" t="inlineStr">
        <is>
          <t>한국신텍스제약(주)</t>
        </is>
      </c>
      <c r="C402" s="17" t="inlineStr">
        <is>
          <t>한국신텍스제약</t>
        </is>
      </c>
      <c r="D402" s="28" t="inlineStr">
        <is>
          <t>Tier D</t>
        </is>
      </c>
      <c r="E402" s="17" t="n">
        <v>5</v>
      </c>
      <c r="F402" s="17" t="inlineStr"/>
      <c r="G402" s="23" t="inlineStr"/>
      <c r="H402" s="22" t="inlineStr">
        <is>
          <t>미확인</t>
        </is>
      </c>
      <c r="I402" s="17" t="n">
        <v>1</v>
      </c>
      <c r="J402" s="17" t="n">
        <v>1</v>
      </c>
      <c r="K402" s="17" t="inlineStr">
        <is>
          <t>Y</t>
        </is>
      </c>
      <c r="L402" s="17" t="inlineStr"/>
      <c r="M402" s="17" t="inlineStr"/>
      <c r="N402" s="17" t="inlineStr"/>
      <c r="O402" s="17" t="inlineStr">
        <is>
          <t>전북특별자치도</t>
        </is>
      </c>
      <c r="P402" s="17" t="inlineStr">
        <is>
          <t>063-853-8110</t>
        </is>
      </c>
      <c r="Q402" s="17" t="inlineStr"/>
      <c r="R402" s="17" t="inlineStr">
        <is>
          <t>EDMS</t>
        </is>
      </c>
      <c r="S402" s="24" t="n">
        <v>46899</v>
      </c>
      <c r="T402" s="17" t="inlineStr"/>
    </row>
    <row r="403">
      <c r="A403" s="17" t="n">
        <v>402</v>
      </c>
      <c r="B403" s="17" t="inlineStr">
        <is>
          <t>한국에스이엠(주)</t>
        </is>
      </c>
      <c r="C403" s="17" t="inlineStr">
        <is>
          <t>한국에스이엠</t>
        </is>
      </c>
      <c r="D403" s="28" t="inlineStr">
        <is>
          <t>Tier D</t>
        </is>
      </c>
      <c r="E403" s="17" t="n">
        <v>5</v>
      </c>
      <c r="F403" s="17" t="inlineStr"/>
      <c r="G403" s="23" t="inlineStr"/>
      <c r="H403" s="22" t="inlineStr">
        <is>
          <t>미확인</t>
        </is>
      </c>
      <c r="I403" s="17" t="n">
        <v>1</v>
      </c>
      <c r="J403" s="17" t="n">
        <v>1</v>
      </c>
      <c r="K403" s="17" t="inlineStr">
        <is>
          <t>Y</t>
        </is>
      </c>
      <c r="L403" s="17" t="inlineStr"/>
      <c r="M403" s="17" t="inlineStr"/>
      <c r="N403" s="17" t="inlineStr"/>
      <c r="O403" s="17" t="inlineStr">
        <is>
          <t>경상남도</t>
        </is>
      </c>
      <c r="P403" s="17" t="inlineStr">
        <is>
          <t>055-375-1214</t>
        </is>
      </c>
      <c r="Q403" s="17" t="inlineStr"/>
      <c r="R403" s="17" t="inlineStr">
        <is>
          <t>EDMS</t>
        </is>
      </c>
      <c r="S403" s="24" t="n">
        <v>46592</v>
      </c>
      <c r="T403" s="17" t="inlineStr"/>
    </row>
    <row r="404">
      <c r="A404" s="17" t="n">
        <v>403</v>
      </c>
      <c r="B404" s="17" t="inlineStr">
        <is>
          <t>한국탄산화학(주)</t>
        </is>
      </c>
      <c r="C404" s="17" t="inlineStr">
        <is>
          <t>한국탄산화학</t>
        </is>
      </c>
      <c r="D404" s="28" t="inlineStr">
        <is>
          <t>Tier D</t>
        </is>
      </c>
      <c r="E404" s="17" t="n">
        <v>5</v>
      </c>
      <c r="F404" s="17" t="inlineStr"/>
      <c r="G404" s="23" t="inlineStr"/>
      <c r="H404" s="22" t="inlineStr">
        <is>
          <t>미확인</t>
        </is>
      </c>
      <c r="I404" s="17" t="n">
        <v>1</v>
      </c>
      <c r="J404" s="17" t="n">
        <v>1</v>
      </c>
      <c r="K404" s="17" t="inlineStr">
        <is>
          <t>Y</t>
        </is>
      </c>
      <c r="L404" s="17" t="inlineStr"/>
      <c r="M404" s="17" t="inlineStr"/>
      <c r="N404" s="17" t="inlineStr"/>
      <c r="O404" s="17" t="inlineStr">
        <is>
          <t>경기도</t>
        </is>
      </c>
      <c r="P404" s="17" t="inlineStr">
        <is>
          <t>031-498-9231</t>
        </is>
      </c>
      <c r="Q404" s="17" t="inlineStr"/>
      <c r="R404" s="17" t="inlineStr">
        <is>
          <t>EDMS</t>
        </is>
      </c>
      <c r="S404" s="24" t="n">
        <v>47120</v>
      </c>
      <c r="T404" s="17" t="inlineStr"/>
    </row>
    <row r="405">
      <c r="A405" s="17" t="n">
        <v>404</v>
      </c>
      <c r="B405" s="17" t="inlineStr">
        <is>
          <t>한국한의약진흥원</t>
        </is>
      </c>
      <c r="C405" s="17" t="inlineStr">
        <is>
          <t>한국한의약진흥원</t>
        </is>
      </c>
      <c r="D405" s="28" t="inlineStr">
        <is>
          <t>Tier D</t>
        </is>
      </c>
      <c r="E405" s="17" t="n">
        <v>5</v>
      </c>
      <c r="F405" s="17" t="inlineStr"/>
      <c r="G405" s="23" t="inlineStr"/>
      <c r="H405" s="22" t="inlineStr">
        <is>
          <t>미확인</t>
        </is>
      </c>
      <c r="I405" s="17" t="n">
        <v>1</v>
      </c>
      <c r="J405" s="17" t="n">
        <v>1</v>
      </c>
      <c r="K405" s="17" t="inlineStr">
        <is>
          <t>Y</t>
        </is>
      </c>
      <c r="L405" s="17" t="inlineStr"/>
      <c r="M405" s="17" t="inlineStr"/>
      <c r="N405" s="17" t="inlineStr"/>
      <c r="O405" s="17" t="inlineStr">
        <is>
          <t>대구광역시</t>
        </is>
      </c>
      <c r="P405" s="17" t="inlineStr">
        <is>
          <t>053-810-0374</t>
        </is>
      </c>
      <c r="Q405" s="17" t="inlineStr"/>
      <c r="R405" s="17" t="inlineStr">
        <is>
          <t>EDMS</t>
        </is>
      </c>
      <c r="S405" s="24" t="n">
        <v>46944</v>
      </c>
      <c r="T405" s="17" t="inlineStr"/>
    </row>
    <row r="406">
      <c r="A406" s="17" t="n">
        <v>405</v>
      </c>
      <c r="B406" s="17" t="inlineStr">
        <is>
          <t>한국휴텍스제약(주)</t>
        </is>
      </c>
      <c r="C406" s="17" t="inlineStr">
        <is>
          <t>한국휴텍스제약</t>
        </is>
      </c>
      <c r="D406" s="28" t="inlineStr">
        <is>
          <t>Tier D</t>
        </is>
      </c>
      <c r="E406" s="17" t="n">
        <v>5</v>
      </c>
      <c r="F406" s="17" t="inlineStr"/>
      <c r="G406" s="23" t="inlineStr"/>
      <c r="H406" s="22" t="inlineStr">
        <is>
          <t>미확인</t>
        </is>
      </c>
      <c r="I406" s="17" t="n">
        <v>1</v>
      </c>
      <c r="J406" s="17" t="n">
        <v>1</v>
      </c>
      <c r="K406" s="17" t="inlineStr">
        <is>
          <t>Y</t>
        </is>
      </c>
      <c r="L406" s="17" t="inlineStr"/>
      <c r="M406" s="17" t="inlineStr"/>
      <c r="N406" s="17" t="inlineStr"/>
      <c r="O406" s="17" t="inlineStr">
        <is>
          <t>경기도</t>
        </is>
      </c>
      <c r="P406" s="17" t="inlineStr">
        <is>
          <t>031-377-7901</t>
        </is>
      </c>
      <c r="Q406" s="17" t="inlineStr"/>
      <c r="R406" s="17" t="inlineStr">
        <is>
          <t>EDMS</t>
        </is>
      </c>
      <c r="S406" s="24" t="n">
        <v>46815</v>
      </c>
      <c r="T406" s="17" t="inlineStr"/>
    </row>
    <row r="407">
      <c r="A407" s="17" t="n">
        <v>406</v>
      </c>
      <c r="B407" s="17" t="inlineStr">
        <is>
          <t>한솔신약(주)</t>
        </is>
      </c>
      <c r="C407" s="17" t="inlineStr">
        <is>
          <t>한솔신약</t>
        </is>
      </c>
      <c r="D407" s="28" t="inlineStr">
        <is>
          <t>Tier D</t>
        </is>
      </c>
      <c r="E407" s="17" t="n">
        <v>5</v>
      </c>
      <c r="F407" s="17" t="inlineStr"/>
      <c r="G407" s="23" t="inlineStr"/>
      <c r="H407" s="22" t="inlineStr">
        <is>
          <t>미확인</t>
        </is>
      </c>
      <c r="I407" s="17" t="n">
        <v>1</v>
      </c>
      <c r="J407" s="17" t="n">
        <v>1</v>
      </c>
      <c r="K407" s="17" t="inlineStr">
        <is>
          <t>Y</t>
        </is>
      </c>
      <c r="L407" s="17" t="inlineStr"/>
      <c r="M407" s="17" t="inlineStr"/>
      <c r="N407" s="17" t="inlineStr"/>
      <c r="O407" s="17" t="inlineStr">
        <is>
          <t>충청북도</t>
        </is>
      </c>
      <c r="P407" s="17" t="inlineStr">
        <is>
          <t>043-881-6333</t>
        </is>
      </c>
      <c r="Q407" s="17" t="inlineStr"/>
      <c r="R407" s="17" t="inlineStr">
        <is>
          <t>EDMS</t>
        </is>
      </c>
      <c r="S407" s="24" t="n">
        <v>47163</v>
      </c>
      <c r="T407" s="17" t="inlineStr"/>
    </row>
    <row r="408">
      <c r="A408" s="17" t="n">
        <v>407</v>
      </c>
      <c r="B408" s="17" t="inlineStr">
        <is>
          <t>한영기업(주)</t>
        </is>
      </c>
      <c r="C408" s="17" t="inlineStr">
        <is>
          <t>한영기업</t>
        </is>
      </c>
      <c r="D408" s="28" t="inlineStr">
        <is>
          <t>Tier D</t>
        </is>
      </c>
      <c r="E408" s="17" t="n">
        <v>5</v>
      </c>
      <c r="F408" s="17" t="inlineStr"/>
      <c r="G408" s="23" t="inlineStr"/>
      <c r="H408" s="22" t="inlineStr">
        <is>
          <t>미확인</t>
        </is>
      </c>
      <c r="I408" s="17" t="n">
        <v>1</v>
      </c>
      <c r="J408" s="17" t="n">
        <v>1</v>
      </c>
      <c r="K408" s="17" t="inlineStr">
        <is>
          <t>Y</t>
        </is>
      </c>
      <c r="L408" s="17" t="inlineStr"/>
      <c r="M408" s="17" t="inlineStr"/>
      <c r="N408" s="17" t="inlineStr"/>
      <c r="O408" s="17" t="inlineStr">
        <is>
          <t>부산광역시</t>
        </is>
      </c>
      <c r="P408" s="17" t="inlineStr">
        <is>
          <t>051-403-4787</t>
        </is>
      </c>
      <c r="Q408" s="17" t="inlineStr"/>
      <c r="R408" s="17" t="inlineStr">
        <is>
          <t>EDMS</t>
        </is>
      </c>
      <c r="S408" s="24" t="n">
        <v>46963</v>
      </c>
      <c r="T408" s="17" t="inlineStr"/>
    </row>
    <row r="409">
      <c r="A409" s="17" t="n">
        <v>408</v>
      </c>
      <c r="B409" s="17" t="inlineStr">
        <is>
          <t>한화제약(주)</t>
        </is>
      </c>
      <c r="C409" s="17" t="inlineStr">
        <is>
          <t>한화제약</t>
        </is>
      </c>
      <c r="D409" s="28" t="inlineStr">
        <is>
          <t>Tier D</t>
        </is>
      </c>
      <c r="E409" s="17" t="n">
        <v>5</v>
      </c>
      <c r="F409" s="17" t="inlineStr"/>
      <c r="G409" s="23" t="inlineStr"/>
      <c r="H409" s="22" t="inlineStr">
        <is>
          <t>미확인</t>
        </is>
      </c>
      <c r="I409" s="17" t="n">
        <v>1</v>
      </c>
      <c r="J409" s="17" t="n">
        <v>1</v>
      </c>
      <c r="K409" s="17" t="inlineStr">
        <is>
          <t>Y</t>
        </is>
      </c>
      <c r="L409" s="17" t="inlineStr"/>
      <c r="M409" s="17" t="inlineStr"/>
      <c r="N409" s="17" t="inlineStr"/>
      <c r="O409" s="17" t="inlineStr">
        <is>
          <t>강원특별자치도</t>
        </is>
      </c>
      <c r="P409" s="17" t="inlineStr">
        <is>
          <t>미확인</t>
        </is>
      </c>
      <c r="Q409" s="17" t="inlineStr"/>
      <c r="R409" s="17" t="inlineStr">
        <is>
          <t>EDMS</t>
        </is>
      </c>
      <c r="S409" s="24" t="n">
        <v>46918</v>
      </c>
      <c r="T409" s="17" t="inlineStr"/>
    </row>
    <row r="410">
      <c r="A410" s="17" t="n">
        <v>409</v>
      </c>
      <c r="B410" s="17" t="inlineStr">
        <is>
          <t>호남고압가스</t>
        </is>
      </c>
      <c r="C410" s="17" t="inlineStr">
        <is>
          <t>호남고압가스</t>
        </is>
      </c>
      <c r="D410" s="28" t="inlineStr">
        <is>
          <t>Tier D</t>
        </is>
      </c>
      <c r="E410" s="17" t="n">
        <v>5</v>
      </c>
      <c r="F410" s="17" t="inlineStr"/>
      <c r="G410" s="23" t="inlineStr"/>
      <c r="H410" s="22" t="inlineStr">
        <is>
          <t>미확인</t>
        </is>
      </c>
      <c r="I410" s="17" t="n">
        <v>1</v>
      </c>
      <c r="J410" s="17" t="n">
        <v>1</v>
      </c>
      <c r="K410" s="17" t="inlineStr">
        <is>
          <t>Y</t>
        </is>
      </c>
      <c r="L410" s="17" t="inlineStr"/>
      <c r="M410" s="17" t="inlineStr"/>
      <c r="N410" s="17" t="inlineStr"/>
      <c r="O410" s="17" t="inlineStr">
        <is>
          <t>광주광역시</t>
        </is>
      </c>
      <c r="P410" s="17" t="inlineStr">
        <is>
          <t>062-951-4147</t>
        </is>
      </c>
      <c r="Q410" s="17" t="inlineStr"/>
      <c r="R410" s="17" t="inlineStr">
        <is>
          <t>EDMS</t>
        </is>
      </c>
      <c r="S410" s="24" t="n">
        <v>46797</v>
      </c>
      <c r="T410" s="17" t="inlineStr"/>
    </row>
  </sheetData>
  <autoFilter ref="A1:T4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0" customWidth="1" min="5" max="5"/>
    <col width="14" customWidth="1" min="6" max="6"/>
  </cols>
  <sheetData>
    <row r="1">
      <c r="A1" s="3" t="inlineStr">
        <is>
          <t>[광역지역별 물리 제조소 현황]</t>
        </is>
      </c>
    </row>
    <row r="2">
      <c r="A2" s="19" t="inlineStr">
        <is>
          <t>순위</t>
        </is>
      </c>
      <c r="B2" s="19" t="inlineStr">
        <is>
          <t>시도</t>
        </is>
      </c>
      <c r="C2" s="19" t="inlineStr">
        <is>
          <t>물리 제조소 수</t>
        </is>
      </c>
      <c r="D2" s="19" t="inlineStr">
        <is>
          <t>회사 수</t>
        </is>
      </c>
      <c r="E2" s="19" t="inlineStr">
        <is>
          <t>전체 대비 비율</t>
        </is>
      </c>
    </row>
    <row r="3">
      <c r="A3" s="17" t="n">
        <v>1</v>
      </c>
      <c r="B3" s="17" t="inlineStr">
        <is>
          <t>경기도</t>
        </is>
      </c>
      <c r="C3" s="17" t="n">
        <v>175</v>
      </c>
      <c r="D3" s="17" t="n">
        <v>159</v>
      </c>
      <c r="E3" s="29">
        <f>C3/504</f>
        <v/>
      </c>
    </row>
    <row r="4">
      <c r="A4" s="17" t="n">
        <v>2</v>
      </c>
      <c r="B4" s="17" t="inlineStr">
        <is>
          <t>충청북도</t>
        </is>
      </c>
      <c r="C4" s="17" t="n">
        <v>100</v>
      </c>
      <c r="D4" s="17" t="n">
        <v>86</v>
      </c>
      <c r="E4" s="29">
        <f>C4/504</f>
        <v/>
      </c>
    </row>
    <row r="5">
      <c r="A5" s="17" t="n">
        <v>3</v>
      </c>
      <c r="B5" s="17" t="inlineStr">
        <is>
          <t>충청남도</t>
        </is>
      </c>
      <c r="C5" s="17" t="n">
        <v>42</v>
      </c>
      <c r="D5" s="17" t="n">
        <v>37</v>
      </c>
      <c r="E5" s="29">
        <f>C5/504</f>
        <v/>
      </c>
    </row>
    <row r="6">
      <c r="A6" s="17" t="n">
        <v>4</v>
      </c>
      <c r="B6" s="17" t="inlineStr">
        <is>
          <t>강원특별자치도</t>
        </is>
      </c>
      <c r="C6" s="17" t="n">
        <v>22</v>
      </c>
      <c r="D6" s="17" t="n">
        <v>21</v>
      </c>
      <c r="E6" s="29">
        <f>C6/504</f>
        <v/>
      </c>
    </row>
    <row r="7">
      <c r="A7" s="17" t="n">
        <v>5</v>
      </c>
      <c r="B7" s="17" t="inlineStr">
        <is>
          <t>서울특별시</t>
        </is>
      </c>
      <c r="C7" s="17" t="n">
        <v>20</v>
      </c>
      <c r="D7" s="17" t="n">
        <v>18</v>
      </c>
      <c r="E7" s="29">
        <f>C7/504</f>
        <v/>
      </c>
    </row>
    <row r="8">
      <c r="A8" s="17" t="n">
        <v>6</v>
      </c>
      <c r="B8" s="17" t="inlineStr">
        <is>
          <t>전북특별자치도</t>
        </is>
      </c>
      <c r="C8" s="17" t="n">
        <v>19</v>
      </c>
      <c r="D8" s="17" t="n">
        <v>16</v>
      </c>
      <c r="E8" s="29">
        <f>C8/504</f>
        <v/>
      </c>
    </row>
    <row r="9">
      <c r="A9" s="17" t="n">
        <v>7</v>
      </c>
      <c r="B9" s="17" t="inlineStr">
        <is>
          <t>경상남도</t>
        </is>
      </c>
      <c r="C9" s="17" t="n">
        <v>18</v>
      </c>
      <c r="D9" s="17" t="n">
        <v>18</v>
      </c>
      <c r="E9" s="29">
        <f>C9/504</f>
        <v/>
      </c>
    </row>
    <row r="10">
      <c r="A10" s="17" t="n">
        <v>8</v>
      </c>
      <c r="B10" s="17" t="inlineStr">
        <is>
          <t>경상북도</t>
        </is>
      </c>
      <c r="C10" s="17" t="n">
        <v>17</v>
      </c>
      <c r="D10" s="17" t="n">
        <v>16</v>
      </c>
      <c r="E10" s="29">
        <f>C10/504</f>
        <v/>
      </c>
    </row>
    <row r="11">
      <c r="A11" s="17" t="n">
        <v>9</v>
      </c>
      <c r="B11" s="17" t="inlineStr">
        <is>
          <t>인천광역시</t>
        </is>
      </c>
      <c r="C11" s="17" t="n">
        <v>16</v>
      </c>
      <c r="D11" s="17" t="n">
        <v>15</v>
      </c>
      <c r="E11" s="29">
        <f>C11/504</f>
        <v/>
      </c>
    </row>
    <row r="12">
      <c r="A12" s="17" t="n">
        <v>10</v>
      </c>
      <c r="B12" s="17" t="inlineStr">
        <is>
          <t>전라남도</t>
        </is>
      </c>
      <c r="C12" s="17" t="n">
        <v>13</v>
      </c>
      <c r="D12" s="17" t="n">
        <v>13</v>
      </c>
      <c r="E12" s="29">
        <f>C12/504</f>
        <v/>
      </c>
    </row>
    <row r="13">
      <c r="A13" s="17" t="n">
        <v>11</v>
      </c>
      <c r="B13" s="17" t="inlineStr">
        <is>
          <t>세종특별자치시</t>
        </is>
      </c>
      <c r="C13" s="17" t="n">
        <v>12</v>
      </c>
      <c r="D13" s="17" t="n">
        <v>11</v>
      </c>
      <c r="E13" s="29">
        <f>C13/504</f>
        <v/>
      </c>
    </row>
    <row r="14">
      <c r="A14" s="17" t="n">
        <v>12</v>
      </c>
      <c r="B14" s="17" t="inlineStr">
        <is>
          <t>대전광역시</t>
        </is>
      </c>
      <c r="C14" s="17" t="n">
        <v>11</v>
      </c>
      <c r="D14" s="17" t="n">
        <v>11</v>
      </c>
      <c r="E14" s="29">
        <f>C14/504</f>
        <v/>
      </c>
    </row>
    <row r="15">
      <c r="A15" s="17" t="n">
        <v>13</v>
      </c>
      <c r="B15" s="17" t="inlineStr">
        <is>
          <t>부산광역시</t>
        </is>
      </c>
      <c r="C15" s="17" t="n">
        <v>11</v>
      </c>
      <c r="D15" s="17" t="n">
        <v>11</v>
      </c>
      <c r="E15" s="29">
        <f>C15/504</f>
        <v/>
      </c>
    </row>
    <row r="16">
      <c r="A16" s="17" t="n">
        <v>14</v>
      </c>
      <c r="B16" s="17" t="inlineStr">
        <is>
          <t>대구광역시</t>
        </is>
      </c>
      <c r="C16" s="17" t="n">
        <v>9</v>
      </c>
      <c r="D16" s="17" t="n">
        <v>9</v>
      </c>
      <c r="E16" s="29">
        <f>C16/504</f>
        <v/>
      </c>
    </row>
    <row r="17">
      <c r="A17" s="17" t="n">
        <v>15</v>
      </c>
      <c r="B17" s="17" t="inlineStr">
        <is>
          <t>광주광역시</t>
        </is>
      </c>
      <c r="C17" s="17" t="n">
        <v>7</v>
      </c>
      <c r="D17" s="17" t="n">
        <v>7</v>
      </c>
      <c r="E17" s="29">
        <f>C17/504</f>
        <v/>
      </c>
    </row>
    <row r="18">
      <c r="A18" s="17" t="n">
        <v>16</v>
      </c>
      <c r="B18" s="17" t="inlineStr">
        <is>
          <t>울산광역시</t>
        </is>
      </c>
      <c r="C18" s="17" t="n">
        <v>7</v>
      </c>
      <c r="D18" s="17" t="n">
        <v>7</v>
      </c>
      <c r="E18" s="29">
        <f>C18/504</f>
        <v/>
      </c>
    </row>
    <row r="19">
      <c r="A19" s="17" t="n">
        <v>17</v>
      </c>
      <c r="B19" s="17" t="inlineStr">
        <is>
          <t>제주특별자치도</t>
        </is>
      </c>
      <c r="C19" s="17" t="n">
        <v>5</v>
      </c>
      <c r="D19" s="17" t="n">
        <v>5</v>
      </c>
      <c r="E19" s="29">
        <f>C19/504</f>
        <v/>
      </c>
    </row>
    <row r="21">
      <c r="A21" s="3" t="inlineStr">
        <is>
          <t>[시·군·구별 물리 제조소 현황]</t>
        </is>
      </c>
    </row>
    <row r="22">
      <c r="A22" s="19" t="inlineStr">
        <is>
          <t>순위</t>
        </is>
      </c>
      <c r="B22" s="19" t="inlineStr">
        <is>
          <t>시도</t>
        </is>
      </c>
      <c r="C22" s="19" t="inlineStr">
        <is>
          <t>시군구</t>
        </is>
      </c>
      <c r="D22" s="19" t="inlineStr">
        <is>
          <t>물리 제조소 수</t>
        </is>
      </c>
      <c r="E22" s="19" t="inlineStr">
        <is>
          <t>회사 수</t>
        </is>
      </c>
      <c r="F22" s="19" t="inlineStr">
        <is>
          <t>전체 대비 비율</t>
        </is>
      </c>
    </row>
    <row r="23">
      <c r="A23" s="17" t="n">
        <v>1</v>
      </c>
      <c r="B23" s="17" t="inlineStr">
        <is>
          <t>경기도</t>
        </is>
      </c>
      <c r="C23" s="17" t="inlineStr">
        <is>
          <t>화성시</t>
        </is>
      </c>
      <c r="D23" s="17" t="n">
        <v>61</v>
      </c>
      <c r="E23" s="17" t="n">
        <v>55</v>
      </c>
      <c r="F23" s="29">
        <f>D23/504</f>
        <v/>
      </c>
    </row>
    <row r="24">
      <c r="A24" s="17" t="n">
        <v>2</v>
      </c>
      <c r="B24" s="17" t="inlineStr">
        <is>
          <t>충청북도</t>
        </is>
      </c>
      <c r="C24" s="17" t="inlineStr">
        <is>
          <t>청주시</t>
        </is>
      </c>
      <c r="D24" s="17" t="n">
        <v>41</v>
      </c>
      <c r="E24" s="17" t="n">
        <v>38</v>
      </c>
      <c r="F24" s="29">
        <f>D24/504</f>
        <v/>
      </c>
    </row>
    <row r="25">
      <c r="A25" s="17" t="n">
        <v>3</v>
      </c>
      <c r="B25" s="17" t="inlineStr">
        <is>
          <t>경기도</t>
        </is>
      </c>
      <c r="C25" s="17" t="inlineStr">
        <is>
          <t>안산시</t>
        </is>
      </c>
      <c r="D25" s="17" t="n">
        <v>26</v>
      </c>
      <c r="E25" s="17" t="n">
        <v>25</v>
      </c>
      <c r="F25" s="29">
        <f>D25/504</f>
        <v/>
      </c>
    </row>
    <row r="26">
      <c r="A26" s="17" t="n">
        <v>4</v>
      </c>
      <c r="B26" s="17" t="inlineStr">
        <is>
          <t>충청북도</t>
        </is>
      </c>
      <c r="C26" s="17" t="inlineStr">
        <is>
          <t>음성군</t>
        </is>
      </c>
      <c r="D26" s="17" t="n">
        <v>19</v>
      </c>
      <c r="E26" s="17" t="n">
        <v>19</v>
      </c>
      <c r="F26" s="29">
        <f>D26/504</f>
        <v/>
      </c>
    </row>
    <row r="27">
      <c r="A27" s="17" t="n">
        <v>5</v>
      </c>
      <c r="B27" s="17" t="inlineStr">
        <is>
          <t>충청북도</t>
        </is>
      </c>
      <c r="C27" s="17" t="inlineStr">
        <is>
          <t>진천군</t>
        </is>
      </c>
      <c r="D27" s="17" t="n">
        <v>19</v>
      </c>
      <c r="E27" s="17" t="n">
        <v>17</v>
      </c>
      <c r="F27" s="29">
        <f>D27/504</f>
        <v/>
      </c>
    </row>
    <row r="28">
      <c r="A28" s="17" t="n">
        <v>6</v>
      </c>
      <c r="B28" s="17" t="inlineStr">
        <is>
          <t>경기도</t>
        </is>
      </c>
      <c r="C28" s="17" t="inlineStr">
        <is>
          <t>평택시</t>
        </is>
      </c>
      <c r="D28" s="17" t="n">
        <v>14</v>
      </c>
      <c r="E28" s="17" t="n">
        <v>14</v>
      </c>
      <c r="F28" s="29">
        <f>D28/504</f>
        <v/>
      </c>
    </row>
    <row r="29">
      <c r="A29" s="17" t="n">
        <v>7</v>
      </c>
      <c r="B29" s="17" t="inlineStr">
        <is>
          <t>충청남도</t>
        </is>
      </c>
      <c r="C29" s="17" t="inlineStr">
        <is>
          <t>아산시</t>
        </is>
      </c>
      <c r="D29" s="17" t="n">
        <v>13</v>
      </c>
      <c r="E29" s="17" t="n">
        <v>12</v>
      </c>
      <c r="F29" s="29">
        <f>D29/504</f>
        <v/>
      </c>
    </row>
    <row r="30">
      <c r="A30" s="17" t="n">
        <v>8</v>
      </c>
      <c r="B30" s="17" t="inlineStr">
        <is>
          <t>충청남도</t>
        </is>
      </c>
      <c r="C30" s="17" t="inlineStr">
        <is>
          <t>천안시</t>
        </is>
      </c>
      <c r="D30" s="17" t="n">
        <v>13</v>
      </c>
      <c r="E30" s="17" t="n">
        <v>12</v>
      </c>
      <c r="F30" s="29">
        <f>D30/504</f>
        <v/>
      </c>
    </row>
    <row r="31">
      <c r="A31" s="17" t="n">
        <v>9</v>
      </c>
      <c r="B31" s="17" t="inlineStr">
        <is>
          <t>세종특별자치시</t>
        </is>
      </c>
      <c r="C31" s="17" t="inlineStr">
        <is>
          <t>세종특별자치시</t>
        </is>
      </c>
      <c r="D31" s="17" t="n">
        <v>12</v>
      </c>
      <c r="E31" s="17" t="n">
        <v>11</v>
      </c>
      <c r="F31" s="29">
        <f>D31/504</f>
        <v/>
      </c>
    </row>
    <row r="32">
      <c r="A32" s="17" t="n">
        <v>10</v>
      </c>
      <c r="B32" s="17" t="inlineStr">
        <is>
          <t>충청북도</t>
        </is>
      </c>
      <c r="C32" s="17" t="inlineStr">
        <is>
          <t>제천시</t>
        </is>
      </c>
      <c r="D32" s="17" t="n">
        <v>12</v>
      </c>
      <c r="E32" s="17" t="n">
        <v>11</v>
      </c>
      <c r="F32" s="29">
        <f>D32/504</f>
        <v/>
      </c>
    </row>
    <row r="33">
      <c r="A33" s="17" t="n">
        <v>11</v>
      </c>
      <c r="B33" s="17" t="inlineStr">
        <is>
          <t>경기도</t>
        </is>
      </c>
      <c r="C33" s="17" t="inlineStr">
        <is>
          <t>안성시</t>
        </is>
      </c>
      <c r="D33" s="17" t="n">
        <v>11</v>
      </c>
      <c r="E33" s="17" t="n">
        <v>11</v>
      </c>
      <c r="F33" s="29">
        <f>D33/504</f>
        <v/>
      </c>
    </row>
    <row r="34">
      <c r="A34" s="17" t="n">
        <v>12</v>
      </c>
      <c r="B34" s="17" t="inlineStr">
        <is>
          <t>경기도</t>
        </is>
      </c>
      <c r="C34" s="17" t="inlineStr">
        <is>
          <t>용인시</t>
        </is>
      </c>
      <c r="D34" s="17" t="n">
        <v>11</v>
      </c>
      <c r="E34" s="17" t="n">
        <v>11</v>
      </c>
      <c r="F34" s="29">
        <f>D34/504</f>
        <v/>
      </c>
    </row>
    <row r="35">
      <c r="A35" s="17" t="n">
        <v>13</v>
      </c>
      <c r="B35" s="17" t="inlineStr">
        <is>
          <t>강원특별자치도</t>
        </is>
      </c>
      <c r="C35" s="17" t="inlineStr">
        <is>
          <t>원주시</t>
        </is>
      </c>
      <c r="D35" s="17" t="n">
        <v>10</v>
      </c>
      <c r="E35" s="17" t="n">
        <v>10</v>
      </c>
      <c r="F35" s="29">
        <f>D35/504</f>
        <v/>
      </c>
    </row>
    <row r="36">
      <c r="A36" s="17" t="n">
        <v>14</v>
      </c>
      <c r="B36" s="17" t="inlineStr">
        <is>
          <t>경기도</t>
        </is>
      </c>
      <c r="C36" s="17" t="inlineStr">
        <is>
          <t>시흥시</t>
        </is>
      </c>
      <c r="D36" s="17" t="n">
        <v>10</v>
      </c>
      <c r="E36" s="17" t="n">
        <v>10</v>
      </c>
      <c r="F36" s="29">
        <f>D36/504</f>
        <v/>
      </c>
    </row>
    <row r="37">
      <c r="A37" s="17" t="n">
        <v>15</v>
      </c>
      <c r="B37" s="17" t="inlineStr">
        <is>
          <t>충청북도</t>
        </is>
      </c>
      <c r="C37" s="17" t="inlineStr">
        <is>
          <t>충주시</t>
        </is>
      </c>
      <c r="D37" s="17" t="n">
        <v>9</v>
      </c>
      <c r="E37" s="17" t="n">
        <v>9</v>
      </c>
      <c r="F37" s="29">
        <f>D37/504</f>
        <v/>
      </c>
    </row>
    <row r="38">
      <c r="A38" s="17" t="n">
        <v>16</v>
      </c>
      <c r="B38" s="17" t="inlineStr">
        <is>
          <t>전북특별자치도</t>
        </is>
      </c>
      <c r="C38" s="17" t="inlineStr">
        <is>
          <t>익산시</t>
        </is>
      </c>
      <c r="D38" s="17" t="n">
        <v>8</v>
      </c>
      <c r="E38" s="17" t="n">
        <v>7</v>
      </c>
      <c r="F38" s="29">
        <f>D38/504</f>
        <v/>
      </c>
    </row>
    <row r="39">
      <c r="A39" s="17" t="n">
        <v>17</v>
      </c>
      <c r="B39" s="17" t="inlineStr">
        <is>
          <t>경기도</t>
        </is>
      </c>
      <c r="C39" s="17" t="inlineStr">
        <is>
          <t>김포시</t>
        </is>
      </c>
      <c r="D39" s="17" t="n">
        <v>7</v>
      </c>
      <c r="E39" s="17" t="n">
        <v>7</v>
      </c>
      <c r="F39" s="29">
        <f>D39/504</f>
        <v/>
      </c>
    </row>
    <row r="40">
      <c r="A40" s="17" t="n">
        <v>18</v>
      </c>
      <c r="B40" s="17" t="inlineStr">
        <is>
          <t>경기도</t>
        </is>
      </c>
      <c r="C40" s="17" t="inlineStr">
        <is>
          <t>이천시</t>
        </is>
      </c>
      <c r="D40" s="17" t="n">
        <v>7</v>
      </c>
      <c r="E40" s="17" t="n">
        <v>7</v>
      </c>
      <c r="F40" s="29">
        <f>D40/504</f>
        <v/>
      </c>
    </row>
    <row r="41">
      <c r="A41" s="17" t="n">
        <v>19</v>
      </c>
      <c r="B41" s="17" t="inlineStr">
        <is>
          <t>강원특별자치도</t>
        </is>
      </c>
      <c r="C41" s="17" t="inlineStr">
        <is>
          <t>춘천시</t>
        </is>
      </c>
      <c r="D41" s="17" t="n">
        <v>7</v>
      </c>
      <c r="E41" s="17" t="n">
        <v>6</v>
      </c>
      <c r="F41" s="29">
        <f>D41/504</f>
        <v/>
      </c>
    </row>
    <row r="42">
      <c r="A42" s="17" t="n">
        <v>20</v>
      </c>
      <c r="B42" s="17" t="inlineStr">
        <is>
          <t>대전광역시</t>
        </is>
      </c>
      <c r="C42" s="17" t="inlineStr">
        <is>
          <t>대덕구</t>
        </is>
      </c>
      <c r="D42" s="17" t="n">
        <v>6</v>
      </c>
      <c r="E42" s="17" t="n">
        <v>6</v>
      </c>
      <c r="F42" s="29">
        <f>D42/504</f>
        <v/>
      </c>
    </row>
    <row r="43">
      <c r="A43" s="17" t="n">
        <v>21</v>
      </c>
      <c r="B43" s="17" t="inlineStr">
        <is>
          <t>인천광역시</t>
        </is>
      </c>
      <c r="C43" s="17" t="inlineStr">
        <is>
          <t>남동구</t>
        </is>
      </c>
      <c r="D43" s="17" t="n">
        <v>6</v>
      </c>
      <c r="E43" s="17" t="n">
        <v>6</v>
      </c>
      <c r="F43" s="29">
        <f>D43/504</f>
        <v/>
      </c>
    </row>
    <row r="44">
      <c r="A44" s="17" t="n">
        <v>22</v>
      </c>
      <c r="B44" s="17" t="inlineStr">
        <is>
          <t>전북특별자치도</t>
        </is>
      </c>
      <c r="C44" s="17" t="inlineStr">
        <is>
          <t>완주군</t>
        </is>
      </c>
      <c r="D44" s="17" t="n">
        <v>6</v>
      </c>
      <c r="E44" s="17" t="n">
        <v>5</v>
      </c>
      <c r="F44" s="29">
        <f>D44/504</f>
        <v/>
      </c>
    </row>
    <row r="45">
      <c r="A45" s="17" t="n">
        <v>23</v>
      </c>
      <c r="B45" s="17" t="inlineStr">
        <is>
          <t>전라남도</t>
        </is>
      </c>
      <c r="C45" s="17" t="inlineStr">
        <is>
          <t>화순군</t>
        </is>
      </c>
      <c r="D45" s="17" t="n">
        <v>5</v>
      </c>
      <c r="E45" s="17" t="n">
        <v>5</v>
      </c>
      <c r="F45" s="29">
        <f>D45/504</f>
        <v/>
      </c>
    </row>
    <row r="46">
      <c r="A46" s="17" t="n">
        <v>24</v>
      </c>
      <c r="B46" s="17" t="inlineStr">
        <is>
          <t>제주특별자치도</t>
        </is>
      </c>
      <c r="C46" s="17" t="inlineStr">
        <is>
          <t>제주시</t>
        </is>
      </c>
      <c r="D46" s="17" t="n">
        <v>5</v>
      </c>
      <c r="E46" s="17" t="n">
        <v>5</v>
      </c>
      <c r="F46" s="29">
        <f>D46/504</f>
        <v/>
      </c>
    </row>
    <row r="47">
      <c r="A47" s="17" t="n">
        <v>25</v>
      </c>
      <c r="B47" s="17" t="inlineStr">
        <is>
          <t>경기도</t>
        </is>
      </c>
      <c r="C47" s="17" t="inlineStr">
        <is>
          <t>부천시</t>
        </is>
      </c>
      <c r="D47" s="17" t="n">
        <v>4</v>
      </c>
      <c r="E47" s="17" t="n">
        <v>4</v>
      </c>
      <c r="F47" s="29">
        <f>D47/504</f>
        <v/>
      </c>
    </row>
    <row r="48">
      <c r="A48" s="17" t="n">
        <v>26</v>
      </c>
      <c r="B48" s="17" t="inlineStr">
        <is>
          <t>경기도</t>
        </is>
      </c>
      <c r="C48" s="17" t="inlineStr">
        <is>
          <t>수원시</t>
        </is>
      </c>
      <c r="D48" s="17" t="n">
        <v>4</v>
      </c>
      <c r="E48" s="17" t="n">
        <v>4</v>
      </c>
      <c r="F48" s="29">
        <f>D48/504</f>
        <v/>
      </c>
    </row>
    <row r="49">
      <c r="A49" s="17" t="n">
        <v>27</v>
      </c>
      <c r="B49" s="17" t="inlineStr">
        <is>
          <t>경상남도</t>
        </is>
      </c>
      <c r="C49" s="17" t="inlineStr">
        <is>
          <t>김해시</t>
        </is>
      </c>
      <c r="D49" s="17" t="n">
        <v>4</v>
      </c>
      <c r="E49" s="17" t="n">
        <v>4</v>
      </c>
      <c r="F49" s="29">
        <f>D49/504</f>
        <v/>
      </c>
    </row>
    <row r="50">
      <c r="A50" s="17" t="n">
        <v>28</v>
      </c>
      <c r="B50" s="17" t="inlineStr">
        <is>
          <t>경상남도</t>
        </is>
      </c>
      <c r="C50" s="17" t="inlineStr">
        <is>
          <t>함안군</t>
        </is>
      </c>
      <c r="D50" s="17" t="n">
        <v>4</v>
      </c>
      <c r="E50" s="17" t="n">
        <v>4</v>
      </c>
      <c r="F50" s="29">
        <f>D50/504</f>
        <v/>
      </c>
    </row>
    <row r="51">
      <c r="A51" s="17" t="n">
        <v>29</v>
      </c>
      <c r="B51" s="17" t="inlineStr">
        <is>
          <t>광주광역시</t>
        </is>
      </c>
      <c r="C51" s="17" t="inlineStr">
        <is>
          <t>광산구</t>
        </is>
      </c>
      <c r="D51" s="17" t="n">
        <v>4</v>
      </c>
      <c r="E51" s="17" t="n">
        <v>4</v>
      </c>
      <c r="F51" s="29">
        <f>D51/504</f>
        <v/>
      </c>
    </row>
    <row r="52">
      <c r="A52" s="17" t="n">
        <v>30</v>
      </c>
      <c r="B52" s="17" t="inlineStr">
        <is>
          <t>대전광역시</t>
        </is>
      </c>
      <c r="C52" s="17" t="inlineStr">
        <is>
          <t>유성구</t>
        </is>
      </c>
      <c r="D52" s="17" t="n">
        <v>4</v>
      </c>
      <c r="E52" s="17" t="n">
        <v>4</v>
      </c>
      <c r="F52" s="29">
        <f>D52/504</f>
        <v/>
      </c>
    </row>
    <row r="53">
      <c r="A53" s="17" t="n">
        <v>31</v>
      </c>
      <c r="B53" s="17" t="inlineStr">
        <is>
          <t>충청남도</t>
        </is>
      </c>
      <c r="C53" s="17" t="inlineStr">
        <is>
          <t>당진시</t>
        </is>
      </c>
      <c r="D53" s="17" t="n">
        <v>4</v>
      </c>
      <c r="E53" s="17" t="n">
        <v>4</v>
      </c>
      <c r="F53" s="29">
        <f>D53/504</f>
        <v/>
      </c>
    </row>
    <row r="54">
      <c r="A54" s="17" t="n">
        <v>32</v>
      </c>
      <c r="B54" s="17" t="inlineStr">
        <is>
          <t>인천광역시</t>
        </is>
      </c>
      <c r="C54" s="17" t="inlineStr">
        <is>
          <t>연수구</t>
        </is>
      </c>
      <c r="D54" s="17" t="n">
        <v>4</v>
      </c>
      <c r="E54" s="17" t="n">
        <v>3</v>
      </c>
      <c r="F54" s="29">
        <f>D54/504</f>
        <v/>
      </c>
    </row>
    <row r="55">
      <c r="A55" s="17" t="n">
        <v>33</v>
      </c>
      <c r="B55" s="17" t="inlineStr">
        <is>
          <t>강원특별자치도</t>
        </is>
      </c>
      <c r="C55" s="17" t="inlineStr">
        <is>
          <t>강릉시</t>
        </is>
      </c>
      <c r="D55" s="17" t="n">
        <v>3</v>
      </c>
      <c r="E55" s="17" t="n">
        <v>3</v>
      </c>
      <c r="F55" s="29">
        <f>D55/504</f>
        <v/>
      </c>
    </row>
    <row r="56">
      <c r="A56" s="17" t="n">
        <v>34</v>
      </c>
      <c r="B56" s="17" t="inlineStr">
        <is>
          <t>경기도</t>
        </is>
      </c>
      <c r="C56" s="17" t="inlineStr">
        <is>
          <t>광주시</t>
        </is>
      </c>
      <c r="D56" s="17" t="n">
        <v>3</v>
      </c>
      <c r="E56" s="17" t="n">
        <v>3</v>
      </c>
      <c r="F56" s="29">
        <f>D56/504</f>
        <v/>
      </c>
    </row>
    <row r="57">
      <c r="A57" s="17" t="n">
        <v>35</v>
      </c>
      <c r="B57" s="17" t="inlineStr">
        <is>
          <t>경기도</t>
        </is>
      </c>
      <c r="C57" s="17" t="inlineStr">
        <is>
          <t>안양시</t>
        </is>
      </c>
      <c r="D57" s="17" t="n">
        <v>3</v>
      </c>
      <c r="E57" s="17" t="n">
        <v>3</v>
      </c>
      <c r="F57" s="29">
        <f>D57/504</f>
        <v/>
      </c>
    </row>
    <row r="58">
      <c r="A58" s="17" t="n">
        <v>36</v>
      </c>
      <c r="B58" s="17" t="inlineStr">
        <is>
          <t>경상남도</t>
        </is>
      </c>
      <c r="C58" s="17" t="inlineStr">
        <is>
          <t>양산시</t>
        </is>
      </c>
      <c r="D58" s="17" t="n">
        <v>3</v>
      </c>
      <c r="E58" s="17" t="n">
        <v>3</v>
      </c>
      <c r="F58" s="29">
        <f>D58/504</f>
        <v/>
      </c>
    </row>
    <row r="59">
      <c r="A59" s="17" t="n">
        <v>37</v>
      </c>
      <c r="B59" s="17" t="inlineStr">
        <is>
          <t>경상남도</t>
        </is>
      </c>
      <c r="C59" s="17" t="inlineStr">
        <is>
          <t>창원시</t>
        </is>
      </c>
      <c r="D59" s="17" t="n">
        <v>3</v>
      </c>
      <c r="E59" s="17" t="n">
        <v>3</v>
      </c>
      <c r="F59" s="29">
        <f>D59/504</f>
        <v/>
      </c>
    </row>
    <row r="60">
      <c r="A60" s="17" t="n">
        <v>38</v>
      </c>
      <c r="B60" s="17" t="inlineStr">
        <is>
          <t>경상북도</t>
        </is>
      </c>
      <c r="C60" s="17" t="inlineStr">
        <is>
          <t>경산시</t>
        </is>
      </c>
      <c r="D60" s="17" t="n">
        <v>3</v>
      </c>
      <c r="E60" s="17" t="n">
        <v>3</v>
      </c>
      <c r="F60" s="29">
        <f>D60/504</f>
        <v/>
      </c>
    </row>
    <row r="61">
      <c r="A61" s="17" t="n">
        <v>39</v>
      </c>
      <c r="B61" s="17" t="inlineStr">
        <is>
          <t>경상북도</t>
        </is>
      </c>
      <c r="C61" s="17" t="inlineStr">
        <is>
          <t>구미시</t>
        </is>
      </c>
      <c r="D61" s="17" t="n">
        <v>3</v>
      </c>
      <c r="E61" s="17" t="n">
        <v>3</v>
      </c>
      <c r="F61" s="29">
        <f>D61/504</f>
        <v/>
      </c>
    </row>
    <row r="62">
      <c r="A62" s="17" t="n">
        <v>40</v>
      </c>
      <c r="B62" s="17" t="inlineStr">
        <is>
          <t>경상북도</t>
        </is>
      </c>
      <c r="C62" s="17" t="inlineStr">
        <is>
          <t>안동시</t>
        </is>
      </c>
      <c r="D62" s="17" t="n">
        <v>3</v>
      </c>
      <c r="E62" s="17" t="n">
        <v>3</v>
      </c>
      <c r="F62" s="29">
        <f>D62/504</f>
        <v/>
      </c>
    </row>
    <row r="63">
      <c r="A63" s="17" t="n">
        <v>41</v>
      </c>
      <c r="B63" s="17" t="inlineStr">
        <is>
          <t>경상북도</t>
        </is>
      </c>
      <c r="C63" s="17" t="inlineStr">
        <is>
          <t>포항시</t>
        </is>
      </c>
      <c r="D63" s="17" t="n">
        <v>3</v>
      </c>
      <c r="E63" s="17" t="n">
        <v>3</v>
      </c>
      <c r="F63" s="29">
        <f>D63/504</f>
        <v/>
      </c>
    </row>
    <row r="64">
      <c r="A64" s="17" t="n">
        <v>42</v>
      </c>
      <c r="B64" s="17" t="inlineStr">
        <is>
          <t>대구광역시</t>
        </is>
      </c>
      <c r="C64" s="17" t="inlineStr">
        <is>
          <t>달서구</t>
        </is>
      </c>
      <c r="D64" s="17" t="n">
        <v>3</v>
      </c>
      <c r="E64" s="17" t="n">
        <v>3</v>
      </c>
      <c r="F64" s="29">
        <f>D64/504</f>
        <v/>
      </c>
    </row>
    <row r="65">
      <c r="A65" s="17" t="n">
        <v>43</v>
      </c>
      <c r="B65" s="17" t="inlineStr">
        <is>
          <t>부산광역시</t>
        </is>
      </c>
      <c r="C65" s="17" t="inlineStr">
        <is>
          <t>사하구</t>
        </is>
      </c>
      <c r="D65" s="17" t="n">
        <v>3</v>
      </c>
      <c r="E65" s="17" t="n">
        <v>3</v>
      </c>
      <c r="F65" s="29">
        <f>D65/504</f>
        <v/>
      </c>
    </row>
    <row r="66">
      <c r="A66" s="17" t="n">
        <v>44</v>
      </c>
      <c r="B66" s="17" t="inlineStr">
        <is>
          <t>서울특별시</t>
        </is>
      </c>
      <c r="C66" s="17" t="inlineStr">
        <is>
          <t>금천구</t>
        </is>
      </c>
      <c r="D66" s="17" t="n">
        <v>3</v>
      </c>
      <c r="E66" s="17" t="n">
        <v>3</v>
      </c>
      <c r="F66" s="29">
        <f>D66/504</f>
        <v/>
      </c>
    </row>
    <row r="67">
      <c r="A67" s="17" t="n">
        <v>45</v>
      </c>
      <c r="B67" s="17" t="inlineStr">
        <is>
          <t>서울특별시</t>
        </is>
      </c>
      <c r="C67" s="17" t="inlineStr">
        <is>
          <t>서대문구</t>
        </is>
      </c>
      <c r="D67" s="17" t="n">
        <v>3</v>
      </c>
      <c r="E67" s="17" t="n">
        <v>3</v>
      </c>
      <c r="F67" s="29">
        <f>D67/504</f>
        <v/>
      </c>
    </row>
    <row r="68">
      <c r="A68" s="17" t="n">
        <v>46</v>
      </c>
      <c r="B68" s="17" t="inlineStr">
        <is>
          <t>서울특별시</t>
        </is>
      </c>
      <c r="C68" s="17" t="inlineStr">
        <is>
          <t>종로구</t>
        </is>
      </c>
      <c r="D68" s="17" t="n">
        <v>3</v>
      </c>
      <c r="E68" s="17" t="n">
        <v>3</v>
      </c>
      <c r="F68" s="29">
        <f>D68/504</f>
        <v/>
      </c>
    </row>
    <row r="69">
      <c r="A69" s="17" t="n">
        <v>47</v>
      </c>
      <c r="B69" s="17" t="inlineStr">
        <is>
          <t>울산광역시</t>
        </is>
      </c>
      <c r="C69" s="17" t="inlineStr">
        <is>
          <t>남구</t>
        </is>
      </c>
      <c r="D69" s="17" t="n">
        <v>3</v>
      </c>
      <c r="E69" s="17" t="n">
        <v>3</v>
      </c>
      <c r="F69" s="29">
        <f>D69/504</f>
        <v/>
      </c>
    </row>
    <row r="70">
      <c r="A70" s="17" t="n">
        <v>48</v>
      </c>
      <c r="B70" s="17" t="inlineStr">
        <is>
          <t>울산광역시</t>
        </is>
      </c>
      <c r="C70" s="17" t="inlineStr">
        <is>
          <t>울주군</t>
        </is>
      </c>
      <c r="D70" s="17" t="n">
        <v>3</v>
      </c>
      <c r="E70" s="17" t="n">
        <v>3</v>
      </c>
      <c r="F70" s="29">
        <f>D70/504</f>
        <v/>
      </c>
    </row>
    <row r="71">
      <c r="A71" s="17" t="n">
        <v>49</v>
      </c>
      <c r="B71" s="17" t="inlineStr">
        <is>
          <t>인천광역시</t>
        </is>
      </c>
      <c r="C71" s="17" t="inlineStr">
        <is>
          <t>서구</t>
        </is>
      </c>
      <c r="D71" s="17" t="n">
        <v>3</v>
      </c>
      <c r="E71" s="17" t="n">
        <v>3</v>
      </c>
      <c r="F71" s="29">
        <f>D71/504</f>
        <v/>
      </c>
    </row>
    <row r="72">
      <c r="A72" s="17" t="n">
        <v>50</v>
      </c>
      <c r="B72" s="17" t="inlineStr">
        <is>
          <t>전북특별자치도</t>
        </is>
      </c>
      <c r="C72" s="17" t="inlineStr">
        <is>
          <t>군산시</t>
        </is>
      </c>
      <c r="D72" s="17" t="n">
        <v>3</v>
      </c>
      <c r="E72" s="17" t="n">
        <v>3</v>
      </c>
      <c r="F72" s="29">
        <f>D72/504</f>
        <v/>
      </c>
    </row>
    <row r="73">
      <c r="A73" s="17" t="n">
        <v>51</v>
      </c>
      <c r="B73" s="17" t="inlineStr">
        <is>
          <t>충청남도</t>
        </is>
      </c>
      <c r="C73" s="17" t="inlineStr">
        <is>
          <t>서산시</t>
        </is>
      </c>
      <c r="D73" s="17" t="n">
        <v>3</v>
      </c>
      <c r="E73" s="17" t="n">
        <v>3</v>
      </c>
      <c r="F73" s="29">
        <f>D73/504</f>
        <v/>
      </c>
    </row>
    <row r="74">
      <c r="A74" s="17" t="n">
        <v>52</v>
      </c>
      <c r="B74" s="17" t="inlineStr">
        <is>
          <t>충청남도</t>
        </is>
      </c>
      <c r="C74" s="17" t="inlineStr">
        <is>
          <t>예산군</t>
        </is>
      </c>
      <c r="D74" s="17" t="n">
        <v>3</v>
      </c>
      <c r="E74" s="17" t="n">
        <v>3</v>
      </c>
      <c r="F74" s="29">
        <f>D74/504</f>
        <v/>
      </c>
    </row>
    <row r="75">
      <c r="A75" s="17" t="n">
        <v>53</v>
      </c>
      <c r="B75" s="17" t="inlineStr">
        <is>
          <t>경상북도</t>
        </is>
      </c>
      <c r="C75" s="17" t="inlineStr">
        <is>
          <t>상주시</t>
        </is>
      </c>
      <c r="D75" s="17" t="n">
        <v>3</v>
      </c>
      <c r="E75" s="17" t="n">
        <v>2</v>
      </c>
      <c r="F75" s="29">
        <f>D75/504</f>
        <v/>
      </c>
    </row>
    <row r="76">
      <c r="A76" s="17" t="n">
        <v>54</v>
      </c>
      <c r="B76" s="17" t="inlineStr">
        <is>
          <t>강원특별자치도</t>
        </is>
      </c>
      <c r="C76" s="17" t="inlineStr">
        <is>
          <t>횡성군</t>
        </is>
      </c>
      <c r="D76" s="17" t="n">
        <v>2</v>
      </c>
      <c r="E76" s="17" t="n">
        <v>2</v>
      </c>
      <c r="F76" s="29">
        <f>D76/504</f>
        <v/>
      </c>
    </row>
    <row r="77">
      <c r="A77" s="17" t="n">
        <v>55</v>
      </c>
      <c r="B77" s="17" t="inlineStr">
        <is>
          <t>경기도</t>
        </is>
      </c>
      <c r="C77" s="17" t="inlineStr">
        <is>
          <t>남양주시</t>
        </is>
      </c>
      <c r="D77" s="17" t="n">
        <v>2</v>
      </c>
      <c r="E77" s="17" t="n">
        <v>2</v>
      </c>
      <c r="F77" s="29">
        <f>D77/504</f>
        <v/>
      </c>
    </row>
    <row r="78">
      <c r="A78" s="17" t="n">
        <v>56</v>
      </c>
      <c r="B78" s="17" t="inlineStr">
        <is>
          <t>경기도</t>
        </is>
      </c>
      <c r="C78" s="17" t="inlineStr">
        <is>
          <t>성남시</t>
        </is>
      </c>
      <c r="D78" s="17" t="n">
        <v>2</v>
      </c>
      <c r="E78" s="17" t="n">
        <v>2</v>
      </c>
      <c r="F78" s="29">
        <f>D78/504</f>
        <v/>
      </c>
    </row>
    <row r="79">
      <c r="A79" s="17" t="n">
        <v>57</v>
      </c>
      <c r="B79" s="17" t="inlineStr">
        <is>
          <t>경기도</t>
        </is>
      </c>
      <c r="C79" s="17" t="inlineStr">
        <is>
          <t>여주시</t>
        </is>
      </c>
      <c r="D79" s="17" t="n">
        <v>2</v>
      </c>
      <c r="E79" s="17" t="n">
        <v>2</v>
      </c>
      <c r="F79" s="29">
        <f>D79/504</f>
        <v/>
      </c>
    </row>
    <row r="80">
      <c r="A80" s="17" t="n">
        <v>58</v>
      </c>
      <c r="B80" s="17" t="inlineStr">
        <is>
          <t>경기도</t>
        </is>
      </c>
      <c r="C80" s="17" t="inlineStr">
        <is>
          <t>파주시</t>
        </is>
      </c>
      <c r="D80" s="17" t="n">
        <v>2</v>
      </c>
      <c r="E80" s="17" t="n">
        <v>2</v>
      </c>
      <c r="F80" s="29">
        <f>D80/504</f>
        <v/>
      </c>
    </row>
    <row r="81">
      <c r="A81" s="17" t="n">
        <v>59</v>
      </c>
      <c r="B81" s="17" t="inlineStr">
        <is>
          <t>경상남도</t>
        </is>
      </c>
      <c r="C81" s="17" t="inlineStr">
        <is>
          <t>사천시</t>
        </is>
      </c>
      <c r="D81" s="17" t="n">
        <v>2</v>
      </c>
      <c r="E81" s="17" t="n">
        <v>2</v>
      </c>
      <c r="F81" s="29">
        <f>D81/504</f>
        <v/>
      </c>
    </row>
    <row r="82">
      <c r="A82" s="17" t="n">
        <v>60</v>
      </c>
      <c r="B82" s="17" t="inlineStr">
        <is>
          <t>광주광역시</t>
        </is>
      </c>
      <c r="C82" s="17" t="inlineStr">
        <is>
          <t>남구</t>
        </is>
      </c>
      <c r="D82" s="17" t="n">
        <v>2</v>
      </c>
      <c r="E82" s="17" t="n">
        <v>2</v>
      </c>
      <c r="F82" s="29">
        <f>D82/504</f>
        <v/>
      </c>
    </row>
    <row r="83">
      <c r="A83" s="17" t="n">
        <v>61</v>
      </c>
      <c r="B83" s="17" t="inlineStr">
        <is>
          <t>대구광역시</t>
        </is>
      </c>
      <c r="C83" s="17" t="inlineStr">
        <is>
          <t>동구</t>
        </is>
      </c>
      <c r="D83" s="17" t="n">
        <v>2</v>
      </c>
      <c r="E83" s="17" t="n">
        <v>2</v>
      </c>
      <c r="F83" s="29">
        <f>D83/504</f>
        <v/>
      </c>
    </row>
    <row r="84">
      <c r="A84" s="17" t="n">
        <v>62</v>
      </c>
      <c r="B84" s="17" t="inlineStr">
        <is>
          <t>대구광역시</t>
        </is>
      </c>
      <c r="C84" s="17" t="inlineStr">
        <is>
          <t>북구</t>
        </is>
      </c>
      <c r="D84" s="17" t="n">
        <v>2</v>
      </c>
      <c r="E84" s="17" t="n">
        <v>2</v>
      </c>
      <c r="F84" s="29">
        <f>D84/504</f>
        <v/>
      </c>
    </row>
    <row r="85">
      <c r="A85" s="17" t="n">
        <v>63</v>
      </c>
      <c r="B85" s="17" t="inlineStr">
        <is>
          <t>부산광역시</t>
        </is>
      </c>
      <c r="C85" s="17" t="inlineStr">
        <is>
          <t>사상구</t>
        </is>
      </c>
      <c r="D85" s="17" t="n">
        <v>2</v>
      </c>
      <c r="E85" s="17" t="n">
        <v>2</v>
      </c>
      <c r="F85" s="29">
        <f>D85/504</f>
        <v/>
      </c>
    </row>
    <row r="86">
      <c r="A86" s="17" t="n">
        <v>64</v>
      </c>
      <c r="B86" s="17" t="inlineStr">
        <is>
          <t>부산광역시</t>
        </is>
      </c>
      <c r="C86" s="17" t="inlineStr">
        <is>
          <t>서구</t>
        </is>
      </c>
      <c r="D86" s="17" t="n">
        <v>2</v>
      </c>
      <c r="E86" s="17" t="n">
        <v>2</v>
      </c>
      <c r="F86" s="29">
        <f>D86/504</f>
        <v/>
      </c>
    </row>
    <row r="87">
      <c r="A87" s="17" t="n">
        <v>65</v>
      </c>
      <c r="B87" s="17" t="inlineStr">
        <is>
          <t>부산광역시</t>
        </is>
      </c>
      <c r="C87" s="17" t="inlineStr">
        <is>
          <t>영도구</t>
        </is>
      </c>
      <c r="D87" s="17" t="n">
        <v>2</v>
      </c>
      <c r="E87" s="17" t="n">
        <v>2</v>
      </c>
      <c r="F87" s="29">
        <f>D87/504</f>
        <v/>
      </c>
    </row>
    <row r="88">
      <c r="A88" s="17" t="n">
        <v>66</v>
      </c>
      <c r="B88" s="17" t="inlineStr">
        <is>
          <t>서울특별시</t>
        </is>
      </c>
      <c r="C88" s="17" t="inlineStr">
        <is>
          <t>강남구</t>
        </is>
      </c>
      <c r="D88" s="17" t="n">
        <v>2</v>
      </c>
      <c r="E88" s="17" t="n">
        <v>2</v>
      </c>
      <c r="F88" s="29">
        <f>D88/504</f>
        <v/>
      </c>
    </row>
    <row r="89">
      <c r="A89" s="17" t="n">
        <v>67</v>
      </c>
      <c r="B89" s="17" t="inlineStr">
        <is>
          <t>서울특별시</t>
        </is>
      </c>
      <c r="C89" s="17" t="inlineStr">
        <is>
          <t>강서구</t>
        </is>
      </c>
      <c r="D89" s="17" t="n">
        <v>2</v>
      </c>
      <c r="E89" s="17" t="n">
        <v>2</v>
      </c>
      <c r="F89" s="29">
        <f>D89/504</f>
        <v/>
      </c>
    </row>
    <row r="90">
      <c r="A90" s="17" t="n">
        <v>68</v>
      </c>
      <c r="B90" s="17" t="inlineStr">
        <is>
          <t>서울특별시</t>
        </is>
      </c>
      <c r="C90" s="17" t="inlineStr">
        <is>
          <t>노원구</t>
        </is>
      </c>
      <c r="D90" s="17" t="n">
        <v>2</v>
      </c>
      <c r="E90" s="17" t="n">
        <v>2</v>
      </c>
      <c r="F90" s="29">
        <f>D90/504</f>
        <v/>
      </c>
    </row>
    <row r="91">
      <c r="A91" s="17" t="n">
        <v>69</v>
      </c>
      <c r="B91" s="17" t="inlineStr">
        <is>
          <t>서울특별시</t>
        </is>
      </c>
      <c r="C91" s="17" t="inlineStr">
        <is>
          <t>서초구</t>
        </is>
      </c>
      <c r="D91" s="17" t="n">
        <v>2</v>
      </c>
      <c r="E91" s="17" t="n">
        <v>2</v>
      </c>
      <c r="F91" s="29">
        <f>D91/504</f>
        <v/>
      </c>
    </row>
    <row r="92">
      <c r="A92" s="17" t="n">
        <v>70</v>
      </c>
      <c r="B92" s="17" t="inlineStr">
        <is>
          <t>인천광역시</t>
        </is>
      </c>
      <c r="C92" s="17" t="inlineStr">
        <is>
          <t>부평구</t>
        </is>
      </c>
      <c r="D92" s="17" t="n">
        <v>2</v>
      </c>
      <c r="E92" s="17" t="n">
        <v>2</v>
      </c>
      <c r="F92" s="29">
        <f>D92/504</f>
        <v/>
      </c>
    </row>
    <row r="93">
      <c r="A93" s="17" t="n">
        <v>71</v>
      </c>
      <c r="B93" s="17" t="inlineStr">
        <is>
          <t>전라남도</t>
        </is>
      </c>
      <c r="C93" s="17" t="inlineStr">
        <is>
          <t>나주시</t>
        </is>
      </c>
      <c r="D93" s="17" t="n">
        <v>2</v>
      </c>
      <c r="E93" s="17" t="n">
        <v>2</v>
      </c>
      <c r="F93" s="29">
        <f>D93/504</f>
        <v/>
      </c>
    </row>
    <row r="94">
      <c r="A94" s="17" t="n">
        <v>72</v>
      </c>
      <c r="B94" s="17" t="inlineStr">
        <is>
          <t>전라남도</t>
        </is>
      </c>
      <c r="C94" s="17" t="inlineStr">
        <is>
          <t>여수시</t>
        </is>
      </c>
      <c r="D94" s="17" t="n">
        <v>2</v>
      </c>
      <c r="E94" s="17" t="n">
        <v>2</v>
      </c>
      <c r="F94" s="29">
        <f>D94/504</f>
        <v/>
      </c>
    </row>
    <row r="95">
      <c r="A95" s="17" t="n">
        <v>73</v>
      </c>
      <c r="B95" s="17" t="inlineStr">
        <is>
          <t>전북특별자치도</t>
        </is>
      </c>
      <c r="C95" s="17" t="inlineStr">
        <is>
          <t>전주시</t>
        </is>
      </c>
      <c r="D95" s="17" t="n">
        <v>2</v>
      </c>
      <c r="E95" s="17" t="n">
        <v>2</v>
      </c>
      <c r="F95" s="29">
        <f>D95/504</f>
        <v/>
      </c>
    </row>
    <row r="96">
      <c r="A96" s="17" t="n">
        <v>74</v>
      </c>
      <c r="B96" s="17" t="inlineStr">
        <is>
          <t>충청남도</t>
        </is>
      </c>
      <c r="C96" s="17" t="inlineStr">
        <is>
          <t>금산군</t>
        </is>
      </c>
      <c r="D96" s="17" t="n">
        <v>2</v>
      </c>
      <c r="E96" s="17" t="n">
        <v>2</v>
      </c>
      <c r="F96" s="29">
        <f>D96/504</f>
        <v/>
      </c>
    </row>
    <row r="97">
      <c r="A97" s="17" t="n">
        <v>75</v>
      </c>
      <c r="B97" s="17" t="inlineStr">
        <is>
          <t>경기도</t>
        </is>
      </c>
      <c r="C97" s="17" t="inlineStr">
        <is>
          <t>가평군</t>
        </is>
      </c>
      <c r="D97" s="17" t="n">
        <v>1</v>
      </c>
      <c r="E97" s="17" t="n">
        <v>1</v>
      </c>
      <c r="F97" s="29">
        <f>D97/504</f>
        <v/>
      </c>
    </row>
    <row r="98">
      <c r="A98" s="17" t="n">
        <v>76</v>
      </c>
      <c r="B98" s="17" t="inlineStr">
        <is>
          <t>경기도</t>
        </is>
      </c>
      <c r="C98" s="17" t="inlineStr">
        <is>
          <t>고양시</t>
        </is>
      </c>
      <c r="D98" s="17" t="n">
        <v>1</v>
      </c>
      <c r="E98" s="17" t="n">
        <v>1</v>
      </c>
      <c r="F98" s="29">
        <f>D98/504</f>
        <v/>
      </c>
    </row>
    <row r="99">
      <c r="A99" s="17" t="n">
        <v>77</v>
      </c>
      <c r="B99" s="17" t="inlineStr">
        <is>
          <t>경기도</t>
        </is>
      </c>
      <c r="C99" s="17" t="inlineStr">
        <is>
          <t>구리시</t>
        </is>
      </c>
      <c r="D99" s="17" t="n">
        <v>1</v>
      </c>
      <c r="E99" s="17" t="n">
        <v>1</v>
      </c>
      <c r="F99" s="29">
        <f>D99/504</f>
        <v/>
      </c>
    </row>
    <row r="100">
      <c r="A100" s="17" t="n">
        <v>78</v>
      </c>
      <c r="B100" s="17" t="inlineStr">
        <is>
          <t>경기도</t>
        </is>
      </c>
      <c r="C100" s="17" t="inlineStr">
        <is>
          <t>군포시</t>
        </is>
      </c>
      <c r="D100" s="17" t="n">
        <v>1</v>
      </c>
      <c r="E100" s="17" t="n">
        <v>1</v>
      </c>
      <c r="F100" s="29">
        <f>D100/504</f>
        <v/>
      </c>
    </row>
    <row r="101">
      <c r="A101" s="17" t="n">
        <v>79</v>
      </c>
      <c r="B101" s="17" t="inlineStr">
        <is>
          <t>경기도</t>
        </is>
      </c>
      <c r="C101" s="17" t="inlineStr">
        <is>
          <t>양주시</t>
        </is>
      </c>
      <c r="D101" s="17" t="n">
        <v>1</v>
      </c>
      <c r="E101" s="17" t="n">
        <v>1</v>
      </c>
      <c r="F101" s="29">
        <f>D101/504</f>
        <v/>
      </c>
    </row>
    <row r="102">
      <c r="A102" s="17" t="n">
        <v>80</v>
      </c>
      <c r="B102" s="17" t="inlineStr">
        <is>
          <t>경기도</t>
        </is>
      </c>
      <c r="C102" s="17" t="inlineStr">
        <is>
          <t>오산시</t>
        </is>
      </c>
      <c r="D102" s="17" t="n">
        <v>1</v>
      </c>
      <c r="E102" s="17" t="n">
        <v>1</v>
      </c>
      <c r="F102" s="29">
        <f>D102/504</f>
        <v/>
      </c>
    </row>
    <row r="103">
      <c r="A103" s="17" t="n">
        <v>81</v>
      </c>
      <c r="B103" s="17" t="inlineStr">
        <is>
          <t>경상남도</t>
        </is>
      </c>
      <c r="C103" s="17" t="inlineStr">
        <is>
          <t>의령군</t>
        </is>
      </c>
      <c r="D103" s="17" t="n">
        <v>1</v>
      </c>
      <c r="E103" s="17" t="n">
        <v>1</v>
      </c>
      <c r="F103" s="29">
        <f>D103/504</f>
        <v/>
      </c>
    </row>
    <row r="104">
      <c r="A104" s="17" t="n">
        <v>82</v>
      </c>
      <c r="B104" s="17" t="inlineStr">
        <is>
          <t>경상남도</t>
        </is>
      </c>
      <c r="C104" s="17" t="inlineStr">
        <is>
          <t>진주시</t>
        </is>
      </c>
      <c r="D104" s="17" t="n">
        <v>1</v>
      </c>
      <c r="E104" s="17" t="n">
        <v>1</v>
      </c>
      <c r="F104" s="29">
        <f>D104/504</f>
        <v/>
      </c>
    </row>
    <row r="105">
      <c r="A105" s="17" t="n">
        <v>83</v>
      </c>
      <c r="B105" s="17" t="inlineStr">
        <is>
          <t>경상북도</t>
        </is>
      </c>
      <c r="C105" s="17" t="inlineStr">
        <is>
          <t>경주시</t>
        </is>
      </c>
      <c r="D105" s="17" t="n">
        <v>1</v>
      </c>
      <c r="E105" s="17" t="n">
        <v>1</v>
      </c>
      <c r="F105" s="29">
        <f>D105/504</f>
        <v/>
      </c>
    </row>
    <row r="106">
      <c r="A106" s="17" t="n">
        <v>84</v>
      </c>
      <c r="B106" s="17" t="inlineStr">
        <is>
          <t>경상북도</t>
        </is>
      </c>
      <c r="C106" s="17" t="inlineStr">
        <is>
          <t>문경시</t>
        </is>
      </c>
      <c r="D106" s="17" t="n">
        <v>1</v>
      </c>
      <c r="E106" s="17" t="n">
        <v>1</v>
      </c>
      <c r="F106" s="29">
        <f>D106/504</f>
        <v/>
      </c>
    </row>
    <row r="107">
      <c r="A107" s="17" t="n">
        <v>85</v>
      </c>
      <c r="B107" s="17" t="inlineStr">
        <is>
          <t>광주광역시</t>
        </is>
      </c>
      <c r="C107" s="17" t="inlineStr">
        <is>
          <t>동구</t>
        </is>
      </c>
      <c r="D107" s="17" t="n">
        <v>1</v>
      </c>
      <c r="E107" s="17" t="n">
        <v>1</v>
      </c>
      <c r="F107" s="29">
        <f>D107/504</f>
        <v/>
      </c>
    </row>
    <row r="108">
      <c r="A108" s="17" t="n">
        <v>86</v>
      </c>
      <c r="B108" s="17" t="inlineStr">
        <is>
          <t>대구광역시</t>
        </is>
      </c>
      <c r="C108" s="17" t="inlineStr">
        <is>
          <t>달성군</t>
        </is>
      </c>
      <c r="D108" s="17" t="n">
        <v>1</v>
      </c>
      <c r="E108" s="17" t="n">
        <v>1</v>
      </c>
      <c r="F108" s="29">
        <f>D108/504</f>
        <v/>
      </c>
    </row>
    <row r="109">
      <c r="A109" s="17" t="n">
        <v>87</v>
      </c>
      <c r="B109" s="17" t="inlineStr">
        <is>
          <t>대구광역시</t>
        </is>
      </c>
      <c r="C109" s="17" t="inlineStr">
        <is>
          <t>수성구</t>
        </is>
      </c>
      <c r="D109" s="17" t="n">
        <v>1</v>
      </c>
      <c r="E109" s="17" t="n">
        <v>1</v>
      </c>
      <c r="F109" s="29">
        <f>D109/504</f>
        <v/>
      </c>
    </row>
    <row r="110">
      <c r="A110" s="17" t="n">
        <v>88</v>
      </c>
      <c r="B110" s="17" t="inlineStr">
        <is>
          <t>대전광역시</t>
        </is>
      </c>
      <c r="C110" s="17" t="inlineStr">
        <is>
          <t>서구</t>
        </is>
      </c>
      <c r="D110" s="17" t="n">
        <v>1</v>
      </c>
      <c r="E110" s="17" t="n">
        <v>1</v>
      </c>
      <c r="F110" s="29">
        <f>D110/504</f>
        <v/>
      </c>
    </row>
    <row r="111">
      <c r="A111" s="17" t="n">
        <v>89</v>
      </c>
      <c r="B111" s="17" t="inlineStr">
        <is>
          <t>부산광역시</t>
        </is>
      </c>
      <c r="C111" s="17" t="inlineStr">
        <is>
          <t>강서구</t>
        </is>
      </c>
      <c r="D111" s="17" t="n">
        <v>1</v>
      </c>
      <c r="E111" s="17" t="n">
        <v>1</v>
      </c>
      <c r="F111" s="29">
        <f>D111/504</f>
        <v/>
      </c>
    </row>
    <row r="112">
      <c r="A112" s="17" t="n">
        <v>90</v>
      </c>
      <c r="B112" s="17" t="inlineStr">
        <is>
          <t>부산광역시</t>
        </is>
      </c>
      <c r="C112" s="17" t="inlineStr">
        <is>
          <t>기장군</t>
        </is>
      </c>
      <c r="D112" s="17" t="n">
        <v>1</v>
      </c>
      <c r="E112" s="17" t="n">
        <v>1</v>
      </c>
      <c r="F112" s="29">
        <f>D112/504</f>
        <v/>
      </c>
    </row>
    <row r="113">
      <c r="A113" s="17" t="n">
        <v>91</v>
      </c>
      <c r="B113" s="17" t="inlineStr">
        <is>
          <t>서울특별시</t>
        </is>
      </c>
      <c r="C113" s="17" t="inlineStr">
        <is>
          <t>구로구</t>
        </is>
      </c>
      <c r="D113" s="17" t="n">
        <v>1</v>
      </c>
      <c r="E113" s="17" t="n">
        <v>1</v>
      </c>
      <c r="F113" s="29">
        <f>D113/504</f>
        <v/>
      </c>
    </row>
    <row r="114">
      <c r="A114" s="17" t="n">
        <v>92</v>
      </c>
      <c r="B114" s="17" t="inlineStr">
        <is>
          <t>서울특별시</t>
        </is>
      </c>
      <c r="C114" s="17" t="inlineStr">
        <is>
          <t>성동구</t>
        </is>
      </c>
      <c r="D114" s="17" t="n">
        <v>1</v>
      </c>
      <c r="E114" s="17" t="n">
        <v>1</v>
      </c>
      <c r="F114" s="29">
        <f>D114/504</f>
        <v/>
      </c>
    </row>
    <row r="115">
      <c r="A115" s="17" t="n">
        <v>93</v>
      </c>
      <c r="B115" s="17" t="inlineStr">
        <is>
          <t>서울특별시</t>
        </is>
      </c>
      <c r="C115" s="17" t="inlineStr">
        <is>
          <t>송파구</t>
        </is>
      </c>
      <c r="D115" s="17" t="n">
        <v>1</v>
      </c>
      <c r="E115" s="17" t="n">
        <v>1</v>
      </c>
      <c r="F115" s="29">
        <f>D115/504</f>
        <v/>
      </c>
    </row>
    <row r="116">
      <c r="A116" s="17" t="n">
        <v>94</v>
      </c>
      <c r="B116" s="17" t="inlineStr">
        <is>
          <t>울산광역시</t>
        </is>
      </c>
      <c r="C116" s="17" t="inlineStr">
        <is>
          <t>북구</t>
        </is>
      </c>
      <c r="D116" s="17" t="n">
        <v>1</v>
      </c>
      <c r="E116" s="17" t="n">
        <v>1</v>
      </c>
      <c r="F116" s="29">
        <f>D116/504</f>
        <v/>
      </c>
    </row>
    <row r="117">
      <c r="A117" s="17" t="n">
        <v>95</v>
      </c>
      <c r="B117" s="17" t="inlineStr">
        <is>
          <t>인천광역시</t>
        </is>
      </c>
      <c r="C117" s="17" t="inlineStr">
        <is>
          <t>강화군</t>
        </is>
      </c>
      <c r="D117" s="17" t="n">
        <v>1</v>
      </c>
      <c r="E117" s="17" t="n">
        <v>1</v>
      </c>
      <c r="F117" s="29">
        <f>D117/504</f>
        <v/>
      </c>
    </row>
    <row r="118">
      <c r="A118" s="17" t="n">
        <v>96</v>
      </c>
      <c r="B118" s="17" t="inlineStr">
        <is>
          <t>전라남도</t>
        </is>
      </c>
      <c r="C118" s="17" t="inlineStr">
        <is>
          <t>보성군</t>
        </is>
      </c>
      <c r="D118" s="17" t="n">
        <v>1</v>
      </c>
      <c r="E118" s="17" t="n">
        <v>1</v>
      </c>
      <c r="F118" s="29">
        <f>D118/504</f>
        <v/>
      </c>
    </row>
    <row r="119">
      <c r="A119" s="17" t="n">
        <v>97</v>
      </c>
      <c r="B119" s="17" t="inlineStr">
        <is>
          <t>전라남도</t>
        </is>
      </c>
      <c r="C119" s="17" t="inlineStr">
        <is>
          <t>순천시</t>
        </is>
      </c>
      <c r="D119" s="17" t="n">
        <v>1</v>
      </c>
      <c r="E119" s="17" t="n">
        <v>1</v>
      </c>
      <c r="F119" s="29">
        <f>D119/504</f>
        <v/>
      </c>
    </row>
    <row r="120">
      <c r="A120" s="17" t="n">
        <v>98</v>
      </c>
      <c r="B120" s="17" t="inlineStr">
        <is>
          <t>전라남도</t>
        </is>
      </c>
      <c r="C120" s="17" t="inlineStr">
        <is>
          <t>영암군</t>
        </is>
      </c>
      <c r="D120" s="17" t="n">
        <v>1</v>
      </c>
      <c r="E120" s="17" t="n">
        <v>1</v>
      </c>
      <c r="F120" s="29">
        <f>D120/504</f>
        <v/>
      </c>
    </row>
    <row r="121">
      <c r="A121" s="17" t="n">
        <v>99</v>
      </c>
      <c r="B121" s="17" t="inlineStr">
        <is>
          <t>전라남도</t>
        </is>
      </c>
      <c r="C121" s="17" t="inlineStr">
        <is>
          <t>장성군</t>
        </is>
      </c>
      <c r="D121" s="17" t="n">
        <v>1</v>
      </c>
      <c r="E121" s="17" t="n">
        <v>1</v>
      </c>
      <c r="F121" s="29">
        <f>D121/504</f>
        <v/>
      </c>
    </row>
    <row r="122">
      <c r="A122" s="17" t="n">
        <v>100</v>
      </c>
      <c r="B122" s="17" t="inlineStr">
        <is>
          <t>충청남도</t>
        </is>
      </c>
      <c r="C122" s="17" t="inlineStr">
        <is>
          <t>공주시</t>
        </is>
      </c>
      <c r="D122" s="17" t="n">
        <v>1</v>
      </c>
      <c r="E122" s="17" t="n">
        <v>1</v>
      </c>
      <c r="F122" s="29">
        <f>D122/504</f>
        <v/>
      </c>
    </row>
    <row r="123">
      <c r="A123" s="17" t="n">
        <v>101</v>
      </c>
      <c r="B123" s="17" t="inlineStr">
        <is>
          <t>충청남도</t>
        </is>
      </c>
      <c r="C123" s="17" t="inlineStr">
        <is>
          <t>논산시</t>
        </is>
      </c>
      <c r="D123" s="17" t="n">
        <v>1</v>
      </c>
      <c r="E123" s="17" t="n">
        <v>1</v>
      </c>
      <c r="F123" s="29">
        <f>D123/504</f>
        <v/>
      </c>
    </row>
    <row r="124">
      <c r="A124" s="17" t="n">
        <v>102</v>
      </c>
      <c r="B124" s="17" t="inlineStr">
        <is>
          <t>충청남도</t>
        </is>
      </c>
      <c r="C124" s="17" t="inlineStr">
        <is>
          <t>부여군</t>
        </is>
      </c>
      <c r="D124" s="17" t="n">
        <v>1</v>
      </c>
      <c r="E124" s="17" t="n">
        <v>1</v>
      </c>
      <c r="F124" s="29">
        <f>D124/504</f>
        <v/>
      </c>
    </row>
    <row r="125">
      <c r="A125" s="17" t="n">
        <v>103</v>
      </c>
      <c r="B125" s="17" t="inlineStr">
        <is>
          <t>충청남도</t>
        </is>
      </c>
      <c r="C125" s="17" t="inlineStr">
        <is>
          <t>서천군</t>
        </is>
      </c>
      <c r="D125" s="17" t="n">
        <v>1</v>
      </c>
      <c r="E125" s="17" t="n">
        <v>1</v>
      </c>
      <c r="F125" s="29">
        <f>D125/504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7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20" customWidth="1" min="4" max="4"/>
    <col width="30" customWidth="1" min="5" max="5"/>
    <col width="30" customWidth="1" min="6" max="6"/>
    <col width="32" customWidth="1" min="7" max="7"/>
    <col width="14" customWidth="1" min="8" max="8"/>
    <col width="11" customWidth="1" min="9" max="9"/>
    <col width="7" customWidth="1" min="10" max="10"/>
    <col width="11" customWidth="1" min="11" max="11"/>
    <col width="38" customWidth="1" min="12" max="12"/>
    <col width="11" customWidth="1" min="13" max="13"/>
    <col width="7" customWidth="1" min="14" max="14"/>
    <col width="7" customWidth="1" min="15" max="15"/>
    <col width="13" customWidth="1" min="16" max="16"/>
    <col width="10" customWidth="1" min="17" max="17"/>
    <col width="12" customWidth="1" min="18" max="18"/>
    <col width="9" customWidth="1" min="19" max="19"/>
    <col width="8" customWidth="1" min="20" max="20"/>
    <col width="8" customWidth="1" min="21" max="21"/>
    <col width="11" customWidth="1" min="22" max="22"/>
    <col width="9" customWidth="1" min="23" max="23"/>
    <col width="9" customWidth="1" min="24" max="24"/>
    <col width="12" customWidth="1" min="25" max="25"/>
    <col width="9" customWidth="1" min="26" max="26"/>
    <col width="9" customWidth="1" min="27" max="27"/>
  </cols>
  <sheetData>
    <row r="1">
      <c r="A1" s="19" t="inlineStr">
        <is>
          <t>SITE_ID</t>
        </is>
      </c>
      <c r="B1" s="19" t="inlineStr">
        <is>
          <t>PHYS_ID</t>
        </is>
      </c>
      <c r="C1" s="19" t="inlineStr">
        <is>
          <t>회사키(정규화)</t>
        </is>
      </c>
      <c r="D1" s="19" t="inlineStr">
        <is>
          <t>업체명</t>
        </is>
      </c>
      <c r="E1" s="19" t="inlineStr">
        <is>
          <t>공장소재지_원본</t>
        </is>
      </c>
      <c r="F1" s="19" t="inlineStr">
        <is>
          <t>공장소재지_보강</t>
        </is>
      </c>
      <c r="G1" s="19" t="inlineStr">
        <is>
          <t>공장소재지_최종</t>
        </is>
      </c>
      <c r="H1" s="19" t="inlineStr">
        <is>
          <t>공장명</t>
        </is>
      </c>
      <c r="I1" s="19" t="inlineStr">
        <is>
          <t>업체허가번호</t>
        </is>
      </c>
      <c r="J1" s="19" t="inlineStr">
        <is>
          <t>공장일련번호</t>
        </is>
      </c>
      <c r="K1" s="19" t="inlineStr">
        <is>
          <t>완제원료구분</t>
        </is>
      </c>
      <c r="L1" s="19" t="inlineStr">
        <is>
          <t>제형군·제조방법</t>
        </is>
      </c>
      <c r="M1" s="19" t="inlineStr">
        <is>
          <t>유효기간</t>
        </is>
      </c>
      <c r="N1" s="19" t="inlineStr">
        <is>
          <t>무균성제형</t>
        </is>
      </c>
      <c r="O1" s="19" t="inlineStr">
        <is>
          <t>생물학적제형</t>
        </is>
      </c>
      <c r="P1" s="19" t="inlineStr">
        <is>
          <t>시도</t>
        </is>
      </c>
      <c r="Q1" s="19" t="inlineStr">
        <is>
          <t>시군구</t>
        </is>
      </c>
      <c r="R1" s="19" t="inlineStr">
        <is>
          <t>주소출처</t>
        </is>
      </c>
      <c r="S1" s="19" t="inlineStr">
        <is>
          <t>주소매칭신뢰도</t>
        </is>
      </c>
      <c r="T1" s="19" t="inlineStr">
        <is>
          <t>물리제조소_첫행</t>
        </is>
      </c>
      <c r="U1" s="19" t="inlineStr">
        <is>
          <t>적합판정서건수</t>
        </is>
      </c>
      <c r="V1" s="19" t="inlineStr">
        <is>
          <t>최단유효기간</t>
        </is>
      </c>
      <c r="W1" s="19" t="inlineStr">
        <is>
          <t>갱신임박_6개월</t>
        </is>
      </c>
      <c r="X1" s="19" t="inlineStr">
        <is>
          <t>갱신임박_12개월</t>
        </is>
      </c>
      <c r="Y1" s="19" t="inlineStr">
        <is>
          <t>매칭방법</t>
        </is>
      </c>
      <c r="Z1" s="19" t="inlineStr">
        <is>
          <t>매칭신뢰도</t>
        </is>
      </c>
      <c r="AA1" s="19" t="inlineStr">
        <is>
          <t>매칭검토필요</t>
        </is>
      </c>
    </row>
    <row r="2">
      <c r="A2" s="30" t="inlineStr">
        <is>
          <t>S001</t>
        </is>
      </c>
      <c r="B2" s="17" t="inlineStr">
        <is>
          <t>P001</t>
        </is>
      </c>
      <c r="C2" s="17" t="inlineStr">
        <is>
          <t>이연제약</t>
        </is>
      </c>
      <c r="D2" s="17" t="inlineStr">
        <is>
          <t>이연제약(주)</t>
        </is>
      </c>
      <c r="E2" s="17" t="inlineStr">
        <is>
          <t>충청북도 충주시 대소원면 기업도시1로 64</t>
        </is>
      </c>
      <c r="F2" s="17" t="inlineStr">
        <is>
          <t>충청북도 충주시 대소원면 기업도시1로 64</t>
        </is>
      </c>
      <c r="G2" s="17" t="inlineStr">
        <is>
          <t>충청북도 충주시 대소원면 기업도시1로 64</t>
        </is>
      </c>
      <c r="H2" s="17" t="inlineStr">
        <is>
          <t>충주</t>
        </is>
      </c>
      <c r="I2" s="23" t="inlineStr">
        <is>
          <t>1298</t>
        </is>
      </c>
      <c r="J2" s="17" t="inlineStr">
        <is>
          <t>2</t>
        </is>
      </c>
      <c r="K2" s="17" t="inlineStr">
        <is>
          <t>완제의약품</t>
        </is>
      </c>
      <c r="L2" s="17" t="inlineStr">
        <is>
          <t>무균-일반제제-주사제(주사제, 동결건조주사제)</t>
        </is>
      </c>
      <c r="M2" s="24" t="n">
        <v>47357</v>
      </c>
      <c r="N2" s="17" t="inlineStr">
        <is>
          <t>Y</t>
        </is>
      </c>
      <c r="O2" s="17" t="inlineStr"/>
      <c r="P2" s="17" t="inlineStr">
        <is>
          <t>충청북도</t>
        </is>
      </c>
      <c r="Q2" s="17" t="inlineStr">
        <is>
          <t>충주시</t>
        </is>
      </c>
      <c r="R2" s="17" t="inlineStr">
        <is>
          <t>GMP공장소재지</t>
        </is>
      </c>
      <c r="S2" s="17" t="n">
        <v>90</v>
      </c>
      <c r="T2" s="17" t="inlineStr">
        <is>
          <t>Y</t>
        </is>
      </c>
      <c r="U2" s="17" t="n">
        <v>1</v>
      </c>
      <c r="V2" s="24" t="n">
        <v>47357</v>
      </c>
      <c r="W2" s="17" t="inlineStr"/>
      <c r="X2" s="17" t="inlineStr"/>
      <c r="Y2" s="17" t="inlineStr">
        <is>
          <t>회사키+주소</t>
        </is>
      </c>
      <c r="Z2" s="17" t="n">
        <v>90</v>
      </c>
      <c r="AA2" s="17" t="inlineStr"/>
    </row>
    <row r="3">
      <c r="A3" s="30" t="inlineStr">
        <is>
          <t>S002</t>
        </is>
      </c>
      <c r="B3" s="17" t="inlineStr">
        <is>
          <t>P002</t>
        </is>
      </c>
      <c r="C3" s="17" t="inlineStr">
        <is>
          <t>한국원자력연구원</t>
        </is>
      </c>
      <c r="D3" s="17" t="inlineStr">
        <is>
          <t>한국원자력연구원</t>
        </is>
      </c>
      <c r="E3" s="17" t="inlineStr">
        <is>
          <t>대전광역시 유성구 대덕대로989번길 111</t>
        </is>
      </c>
      <c r="F3" s="17" t="inlineStr">
        <is>
          <t>대전광역시 유성구 대덕대로989번길 111</t>
        </is>
      </c>
      <c r="G3" s="17" t="inlineStr">
        <is>
          <t>대전광역시 유성구 대덕대로989번길 111</t>
        </is>
      </c>
      <c r="H3" s="17" t="inlineStr">
        <is>
          <t>대전</t>
        </is>
      </c>
      <c r="I3" s="23" t="inlineStr">
        <is>
          <t>2000</t>
        </is>
      </c>
      <c r="J3" s="17" t="inlineStr">
        <is>
          <t>1</t>
        </is>
      </c>
      <c r="K3" s="17" t="inlineStr">
        <is>
          <t>완제의약품</t>
        </is>
      </c>
      <c r="L3" s="17" t="inlineStr">
        <is>
          <t>무균-일반제제(방사성의약품)-주사제(주사제)</t>
        </is>
      </c>
      <c r="M3" s="24" t="n">
        <v>47332</v>
      </c>
      <c r="N3" s="17" t="inlineStr">
        <is>
          <t>Y</t>
        </is>
      </c>
      <c r="O3" s="17" t="inlineStr"/>
      <c r="P3" s="17" t="inlineStr">
        <is>
          <t>대전광역시</t>
        </is>
      </c>
      <c r="Q3" s="17" t="inlineStr">
        <is>
          <t>유성구</t>
        </is>
      </c>
      <c r="R3" s="17" t="inlineStr">
        <is>
          <t>GMP공장소재지</t>
        </is>
      </c>
      <c r="S3" s="17" t="n">
        <v>90</v>
      </c>
      <c r="T3" s="17" t="inlineStr">
        <is>
          <t>Y</t>
        </is>
      </c>
      <c r="U3" s="17" t="n">
        <v>2</v>
      </c>
      <c r="V3" s="24" t="n">
        <v>47332</v>
      </c>
      <c r="W3" s="17" t="inlineStr"/>
      <c r="X3" s="17" t="inlineStr"/>
      <c r="Y3" s="17" t="inlineStr">
        <is>
          <t>회사키+주소</t>
        </is>
      </c>
      <c r="Z3" s="17" t="n">
        <v>90</v>
      </c>
      <c r="AA3" s="17" t="inlineStr"/>
    </row>
    <row r="4">
      <c r="A4" s="30" t="inlineStr">
        <is>
          <t>S003</t>
        </is>
      </c>
      <c r="B4" s="17" t="inlineStr">
        <is>
          <t>P002</t>
        </is>
      </c>
      <c r="C4" s="17" t="inlineStr">
        <is>
          <t>한국원자력연구원</t>
        </is>
      </c>
      <c r="D4" s="17" t="inlineStr">
        <is>
          <t>한국원자력연구원</t>
        </is>
      </c>
      <c r="E4" s="17" t="inlineStr">
        <is>
          <t>대전광역시 유성구 대덕대로989번길 111</t>
        </is>
      </c>
      <c r="F4" s="17" t="inlineStr">
        <is>
          <t>대전광역시 유성구 대덕대로989번길 111</t>
        </is>
      </c>
      <c r="G4" s="17" t="inlineStr">
        <is>
          <t>대전광역시 유성구 대덕대로989번길 111</t>
        </is>
      </c>
      <c r="H4" s="17" t="inlineStr">
        <is>
          <t>대전</t>
        </is>
      </c>
      <c r="I4" s="23" t="inlineStr">
        <is>
          <t>2000</t>
        </is>
      </c>
      <c r="J4" s="17" t="inlineStr">
        <is>
          <t>1</t>
        </is>
      </c>
      <c r="K4" s="17" t="inlineStr">
        <is>
          <t>원료의약품</t>
        </is>
      </c>
      <c r="L4" s="17" t="inlineStr">
        <is>
          <t>비무균-일반제제(방사성의약품)-합성</t>
        </is>
      </c>
      <c r="M4" s="24" t="n">
        <v>47332</v>
      </c>
      <c r="N4" s="17" t="inlineStr"/>
      <c r="O4" s="17" t="inlineStr"/>
      <c r="P4" s="17" t="inlineStr">
        <is>
          <t>대전광역시</t>
        </is>
      </c>
      <c r="Q4" s="17" t="inlineStr">
        <is>
          <t>유성구</t>
        </is>
      </c>
      <c r="R4" s="17" t="inlineStr">
        <is>
          <t>GMP공장소재지</t>
        </is>
      </c>
      <c r="S4" s="17" t="n">
        <v>90</v>
      </c>
      <c r="T4" s="17" t="inlineStr">
        <is>
          <t>N</t>
        </is>
      </c>
      <c r="U4" s="17" t="n">
        <v>2</v>
      </c>
      <c r="V4" s="24" t="n">
        <v>47332</v>
      </c>
      <c r="W4" s="17" t="inlineStr"/>
      <c r="X4" s="17" t="inlineStr"/>
      <c r="Y4" s="17" t="inlineStr">
        <is>
          <t>회사키+주소</t>
        </is>
      </c>
      <c r="Z4" s="17" t="n">
        <v>90</v>
      </c>
      <c r="AA4" s="17" t="inlineStr"/>
    </row>
    <row r="5">
      <c r="A5" s="30" t="inlineStr">
        <is>
          <t>S004</t>
        </is>
      </c>
      <c r="B5" s="17" t="inlineStr">
        <is>
          <t>P003</t>
        </is>
      </c>
      <c r="C5" s="17" t="inlineStr">
        <is>
          <t>엔바이로코리아</t>
        </is>
      </c>
      <c r="D5" s="17" t="inlineStr">
        <is>
          <t>(주)엔바이로코리아</t>
        </is>
      </c>
      <c r="E5" s="17" t="inlineStr">
        <is>
          <t>대전광역시 유성구 테크노2로 167-10 (용산동 528)</t>
        </is>
      </c>
      <c r="F5" s="17" t="inlineStr">
        <is>
          <t>대전광역시 유성구 테크노2로 167-10 (용산동 528)</t>
        </is>
      </c>
      <c r="G5" s="17" t="inlineStr">
        <is>
          <t>대전광역시 유성구 테크노2로 167-10 (용산동 528)</t>
        </is>
      </c>
      <c r="H5" s="17" t="inlineStr">
        <is>
          <t>제1공장</t>
        </is>
      </c>
      <c r="I5" s="23" t="inlineStr">
        <is>
          <t>2620</t>
        </is>
      </c>
      <c r="J5" s="17" t="inlineStr">
        <is>
          <t>1</t>
        </is>
      </c>
      <c r="K5" s="17" t="inlineStr">
        <is>
          <t>완제의약품</t>
        </is>
      </c>
      <c r="L5" s="17" t="inlineStr">
        <is>
          <t>무균-일반제제(방사성의약품)-주사제(주사제)</t>
        </is>
      </c>
      <c r="M5" s="24" t="n">
        <v>47325</v>
      </c>
      <c r="N5" s="17" t="inlineStr">
        <is>
          <t>Y</t>
        </is>
      </c>
      <c r="O5" s="17" t="inlineStr"/>
      <c r="P5" s="17" t="inlineStr">
        <is>
          <t>대전광역시</t>
        </is>
      </c>
      <c r="Q5" s="17" t="inlineStr">
        <is>
          <t>유성구</t>
        </is>
      </c>
      <c r="R5" s="17" t="inlineStr">
        <is>
          <t>GMP공장소재지</t>
        </is>
      </c>
      <c r="S5" s="17" t="n">
        <v>90</v>
      </c>
      <c r="T5" s="17" t="inlineStr">
        <is>
          <t>Y</t>
        </is>
      </c>
      <c r="U5" s="17" t="n">
        <v>1</v>
      </c>
      <c r="V5" s="24" t="n">
        <v>47325</v>
      </c>
      <c r="W5" s="17" t="inlineStr"/>
      <c r="X5" s="17" t="inlineStr"/>
      <c r="Y5" s="17" t="inlineStr">
        <is>
          <t>회사키+주소</t>
        </is>
      </c>
      <c r="Z5" s="17" t="n">
        <v>90</v>
      </c>
      <c r="AA5" s="17" t="inlineStr"/>
    </row>
    <row r="6">
      <c r="A6" s="30" t="inlineStr">
        <is>
          <t>S005</t>
        </is>
      </c>
      <c r="B6" s="17" t="inlineStr">
        <is>
          <t>P004</t>
        </is>
      </c>
      <c r="C6" s="17" t="inlineStr">
        <is>
          <t>보란파마</t>
        </is>
      </c>
      <c r="D6" s="17" t="inlineStr">
        <is>
          <t>보란파마</t>
        </is>
      </c>
      <c r="E6" s="17" t="inlineStr">
        <is>
          <t>경기도 평택시 청북읍 고렴산단로 121</t>
        </is>
      </c>
      <c r="F6" s="17" t="inlineStr">
        <is>
          <t>경기도 평택시 청북읍 고렴산단로 121</t>
        </is>
      </c>
      <c r="G6" s="17" t="inlineStr">
        <is>
          <t>경기도 평택시 청북읍 고렴산단로 121</t>
        </is>
      </c>
      <c r="H6" s="17" t="inlineStr">
        <is>
          <t>제1공장</t>
        </is>
      </c>
      <c r="I6" s="23" t="inlineStr">
        <is>
          <t>377</t>
        </is>
      </c>
      <c r="J6" s="17" t="inlineStr">
        <is>
          <t>1</t>
        </is>
      </c>
      <c r="K6" s="17" t="inlineStr">
        <is>
          <t>완제의약품</t>
        </is>
      </c>
      <c r="L6" s="17" t="inlineStr">
        <is>
          <t>무균-일반제제-주사제(주사제), 생물-항독소-주사제(동결건조주사제)</t>
        </is>
      </c>
      <c r="M6" s="24" t="n">
        <v>47325</v>
      </c>
      <c r="N6" s="17" t="inlineStr">
        <is>
          <t>Y</t>
        </is>
      </c>
      <c r="O6" s="17" t="inlineStr"/>
      <c r="P6" s="17" t="inlineStr">
        <is>
          <t>경기도</t>
        </is>
      </c>
      <c r="Q6" s="17" t="inlineStr">
        <is>
          <t>평택시</t>
        </is>
      </c>
      <c r="R6" s="17" t="inlineStr">
        <is>
          <t>GMP공장소재지</t>
        </is>
      </c>
      <c r="S6" s="17" t="n">
        <v>90</v>
      </c>
      <c r="T6" s="17" t="inlineStr">
        <is>
          <t>Y</t>
        </is>
      </c>
      <c r="U6" s="17" t="n">
        <v>2</v>
      </c>
      <c r="V6" s="24" t="n">
        <v>46229</v>
      </c>
      <c r="W6" s="17" t="inlineStr">
        <is>
          <t>Y</t>
        </is>
      </c>
      <c r="X6" s="17" t="inlineStr">
        <is>
          <t>Y</t>
        </is>
      </c>
      <c r="Y6" s="17" t="inlineStr">
        <is>
          <t>회사키+주소</t>
        </is>
      </c>
      <c r="Z6" s="17" t="n">
        <v>90</v>
      </c>
      <c r="AA6" s="17" t="inlineStr"/>
    </row>
    <row r="7">
      <c r="A7" s="30" t="inlineStr">
        <is>
          <t>S006</t>
        </is>
      </c>
      <c r="B7" s="17" t="inlineStr">
        <is>
          <t>P005</t>
        </is>
      </c>
      <c r="C7" s="17" t="inlineStr">
        <is>
          <t>애거슨바이오</t>
        </is>
      </c>
      <c r="D7" s="17" t="inlineStr">
        <is>
          <t>(주)애거슨바이오</t>
        </is>
      </c>
      <c r="E7" s="17" t="inlineStr">
        <is>
          <t>충청북도 음성군 금왕읍 금왕테크노5길 7</t>
        </is>
      </c>
      <c r="F7" s="17" t="inlineStr">
        <is>
          <t>충청북도 음성군 금왕읍 금왕테크노5길 7</t>
        </is>
      </c>
      <c r="G7" s="17" t="inlineStr">
        <is>
          <t>충청북도 음성군 금왕읍 금왕테크노5길 7</t>
        </is>
      </c>
      <c r="H7" s="17" t="inlineStr">
        <is>
          <t>(주)애거슨바이오</t>
        </is>
      </c>
      <c r="I7" s="23" t="inlineStr">
        <is>
          <t>6160</t>
        </is>
      </c>
      <c r="J7" s="17" t="inlineStr">
        <is>
          <t>1</t>
        </is>
      </c>
      <c r="K7" s="17" t="inlineStr">
        <is>
          <t>원료의약품</t>
        </is>
      </c>
      <c r="L7" s="17" t="inlineStr">
        <is>
          <t>비무균-일반제제-합성</t>
        </is>
      </c>
      <c r="M7" s="24" t="n">
        <v>47324</v>
      </c>
      <c r="N7" s="17" t="inlineStr"/>
      <c r="O7" s="17" t="inlineStr"/>
      <c r="P7" s="17" t="inlineStr">
        <is>
          <t>충청북도</t>
        </is>
      </c>
      <c r="Q7" s="17" t="inlineStr">
        <is>
          <t>음성군</t>
        </is>
      </c>
      <c r="R7" s="17" t="inlineStr">
        <is>
          <t>GMP공장소재지</t>
        </is>
      </c>
      <c r="S7" s="17" t="n">
        <v>90</v>
      </c>
      <c r="T7" s="17" t="inlineStr">
        <is>
          <t>Y</t>
        </is>
      </c>
      <c r="U7" s="17" t="n">
        <v>1</v>
      </c>
      <c r="V7" s="24" t="n">
        <v>47324</v>
      </c>
      <c r="W7" s="17" t="inlineStr"/>
      <c r="X7" s="17" t="inlineStr"/>
      <c r="Y7" s="17" t="inlineStr">
        <is>
          <t>회사키+주소</t>
        </is>
      </c>
      <c r="Z7" s="17" t="n">
        <v>90</v>
      </c>
      <c r="AA7" s="17" t="inlineStr"/>
    </row>
    <row r="8">
      <c r="A8" s="30" t="inlineStr">
        <is>
          <t>S007</t>
        </is>
      </c>
      <c r="B8" s="17" t="inlineStr">
        <is>
          <t>P006</t>
        </is>
      </c>
      <c r="C8" s="17" t="inlineStr">
        <is>
          <t>에스피씨</t>
        </is>
      </c>
      <c r="D8" s="17" t="inlineStr">
        <is>
          <t>에스피씨(주)</t>
        </is>
      </c>
      <c r="E8" s="17" t="inlineStr">
        <is>
          <t>경기도 평택시 포승읍 평택항만길 386</t>
        </is>
      </c>
      <c r="F8" s="17" t="inlineStr">
        <is>
          <t>경기도 평택시 포승읍 평택항만길 386</t>
        </is>
      </c>
      <c r="G8" s="17" t="inlineStr">
        <is>
          <t>경기도 평택시 포승읍 평택항만길 386</t>
        </is>
      </c>
      <c r="H8" s="17" t="inlineStr">
        <is>
          <t>평택시</t>
        </is>
      </c>
      <c r="I8" s="23" t="inlineStr">
        <is>
          <t>2551</t>
        </is>
      </c>
      <c r="J8" s="17" t="inlineStr">
        <is>
          <t>1</t>
        </is>
      </c>
      <c r="K8" s="17" t="inlineStr">
        <is>
          <t>완제의약품</t>
        </is>
      </c>
      <c r="L8" s="17" t="inlineStr">
        <is>
          <t>비무균-일반제제-내용고형제(산제)</t>
        </is>
      </c>
      <c r="M8" s="24" t="n">
        <v>47319</v>
      </c>
      <c r="N8" s="17" t="inlineStr"/>
      <c r="O8" s="17" t="inlineStr"/>
      <c r="P8" s="17" t="inlineStr">
        <is>
          <t>경기도</t>
        </is>
      </c>
      <c r="Q8" s="17" t="inlineStr">
        <is>
          <t>평택시</t>
        </is>
      </c>
      <c r="R8" s="17" t="inlineStr">
        <is>
          <t>GMP공장소재지</t>
        </is>
      </c>
      <c r="S8" s="17" t="n">
        <v>90</v>
      </c>
      <c r="T8" s="17" t="inlineStr">
        <is>
          <t>Y</t>
        </is>
      </c>
      <c r="U8" s="17" t="n">
        <v>2</v>
      </c>
      <c r="V8" s="24" t="n">
        <v>47319</v>
      </c>
      <c r="W8" s="17" t="inlineStr"/>
      <c r="X8" s="17" t="inlineStr"/>
      <c r="Y8" s="17" t="inlineStr">
        <is>
          <t>회사키+주소</t>
        </is>
      </c>
      <c r="Z8" s="17" t="n">
        <v>90</v>
      </c>
      <c r="AA8" s="17" t="inlineStr"/>
    </row>
    <row r="9">
      <c r="A9" s="30" t="inlineStr">
        <is>
          <t>S008</t>
        </is>
      </c>
      <c r="B9" s="17" t="inlineStr">
        <is>
          <t>P006</t>
        </is>
      </c>
      <c r="C9" s="17" t="inlineStr">
        <is>
          <t>에스피씨</t>
        </is>
      </c>
      <c r="D9" s="17" t="inlineStr">
        <is>
          <t>에스피씨(주)</t>
        </is>
      </c>
      <c r="E9" s="17" t="inlineStr">
        <is>
          <t>경기도 평택시 포승읍 평택항만길 386</t>
        </is>
      </c>
      <c r="F9" s="17" t="inlineStr">
        <is>
          <t>경기도 평택시 포승읍 평택항만길 386</t>
        </is>
      </c>
      <c r="G9" s="17" t="inlineStr">
        <is>
          <t>경기도 평택시 포승읍 평택항만길 386</t>
        </is>
      </c>
      <c r="H9" s="17" t="inlineStr">
        <is>
          <t>평택시</t>
        </is>
      </c>
      <c r="I9" s="23" t="inlineStr">
        <is>
          <t>2551</t>
        </is>
      </c>
      <c r="J9" s="17" t="inlineStr">
        <is>
          <t>1</t>
        </is>
      </c>
      <c r="K9" s="17" t="inlineStr">
        <is>
          <t>원료의약품</t>
        </is>
      </c>
      <c r="L9" s="17" t="inlineStr">
        <is>
          <t>무균-세팔로스포린제제-합성, 비무균-일반제제-합성, 비무균-일반제제-정제(합성에 한함), 무균-세팔로스포린제제-혼합</t>
        </is>
      </c>
      <c r="M9" s="24" t="n">
        <v>47319</v>
      </c>
      <c r="N9" s="17" t="inlineStr">
        <is>
          <t>Y</t>
        </is>
      </c>
      <c r="O9" s="17" t="inlineStr"/>
      <c r="P9" s="17" t="inlineStr">
        <is>
          <t>경기도</t>
        </is>
      </c>
      <c r="Q9" s="17" t="inlineStr">
        <is>
          <t>평택시</t>
        </is>
      </c>
      <c r="R9" s="17" t="inlineStr">
        <is>
          <t>GMP공장소재지</t>
        </is>
      </c>
      <c r="S9" s="17" t="n">
        <v>90</v>
      </c>
      <c r="T9" s="17" t="inlineStr">
        <is>
          <t>N</t>
        </is>
      </c>
      <c r="U9" s="17" t="n">
        <v>2</v>
      </c>
      <c r="V9" s="24" t="n">
        <v>47319</v>
      </c>
      <c r="W9" s="17" t="inlineStr"/>
      <c r="X9" s="17" t="inlineStr"/>
      <c r="Y9" s="17" t="inlineStr">
        <is>
          <t>회사키+주소</t>
        </is>
      </c>
      <c r="Z9" s="17" t="n">
        <v>90</v>
      </c>
      <c r="AA9" s="17" t="inlineStr"/>
    </row>
    <row r="10">
      <c r="A10" s="30" t="inlineStr">
        <is>
          <t>S009</t>
        </is>
      </c>
      <c r="B10" s="17" t="inlineStr">
        <is>
          <t>P007</t>
        </is>
      </c>
      <c r="C10" s="17" t="inlineStr">
        <is>
          <t>대성의료종합가스</t>
        </is>
      </c>
      <c r="D10" s="17" t="inlineStr">
        <is>
          <t>대성의료종합가스(주)</t>
        </is>
      </c>
      <c r="E10" s="17" t="inlineStr">
        <is>
          <t>경기도 가평군 조종면 비득재길 158</t>
        </is>
      </c>
      <c r="F10" s="17" t="inlineStr">
        <is>
          <t>경기도 가평군 조종면 비득재길 158</t>
        </is>
      </c>
      <c r="G10" s="17" t="inlineStr">
        <is>
          <t>경기도 가평군 조종면 비득재길 158</t>
        </is>
      </c>
      <c r="H10" s="17" t="inlineStr">
        <is>
          <t>제2공장</t>
        </is>
      </c>
      <c r="I10" s="23" t="inlineStr">
        <is>
          <t>346</t>
        </is>
      </c>
      <c r="J10" s="17" t="inlineStr">
        <is>
          <t>2</t>
        </is>
      </c>
      <c r="K10" s="17" t="inlineStr">
        <is>
          <t>완제의약품</t>
        </is>
      </c>
      <c r="L10" s="17" t="inlineStr">
        <is>
          <t>비무균-일반제제-가스제(의료용 고압가스)</t>
        </is>
      </c>
      <c r="M10" s="24" t="n">
        <v>47315</v>
      </c>
      <c r="N10" s="17" t="inlineStr"/>
      <c r="O10" s="17" t="inlineStr"/>
      <c r="P10" s="17" t="inlineStr">
        <is>
          <t>경기도</t>
        </is>
      </c>
      <c r="Q10" s="17" t="inlineStr">
        <is>
          <t>가평군</t>
        </is>
      </c>
      <c r="R10" s="17" t="inlineStr">
        <is>
          <t>GMP공장소재지</t>
        </is>
      </c>
      <c r="S10" s="17" t="n">
        <v>90</v>
      </c>
      <c r="T10" s="17" t="inlineStr">
        <is>
          <t>Y</t>
        </is>
      </c>
      <c r="U10" s="17" t="n">
        <v>1</v>
      </c>
      <c r="V10" s="24" t="n">
        <v>47315</v>
      </c>
      <c r="W10" s="17" t="inlineStr"/>
      <c r="X10" s="17" t="inlineStr"/>
      <c r="Y10" s="17" t="inlineStr">
        <is>
          <t>회사키+주소</t>
        </is>
      </c>
      <c r="Z10" s="17" t="n">
        <v>90</v>
      </c>
      <c r="AA10" s="17" t="inlineStr"/>
    </row>
    <row r="11">
      <c r="A11" s="30" t="inlineStr">
        <is>
          <t>S010</t>
        </is>
      </c>
      <c r="B11" s="17" t="inlineStr">
        <is>
          <t>P008</t>
        </is>
      </c>
      <c r="C11" s="17" t="inlineStr">
        <is>
          <t>에스에스팜</t>
        </is>
      </c>
      <c r="D11" s="17" t="inlineStr">
        <is>
          <t>에스에스팜(주)</t>
        </is>
      </c>
      <c r="E11" s="17" t="inlineStr">
        <is>
          <t>경기도 안산시 단원구 범지기로141번길 10</t>
        </is>
      </c>
      <c r="F11" s="17" t="inlineStr">
        <is>
          <t>경기도 안산시 단원구 범지기로141번길 10</t>
        </is>
      </c>
      <c r="G11" s="17" t="inlineStr">
        <is>
          <t>경기도 안산시 단원구 범지기로141번길 10</t>
        </is>
      </c>
      <c r="H11" s="17" t="inlineStr">
        <is>
          <t>안산</t>
        </is>
      </c>
      <c r="I11" s="23" t="inlineStr">
        <is>
          <t>1651</t>
        </is>
      </c>
      <c r="J11" s="17" t="inlineStr">
        <is>
          <t>1</t>
        </is>
      </c>
      <c r="K11" s="17" t="inlineStr">
        <is>
          <t>완제의약품</t>
        </is>
      </c>
      <c r="L11" s="17" t="inlineStr">
        <is>
          <t>비무균-일반제제-내용고형제(산제)</t>
        </is>
      </c>
      <c r="M11" s="24" t="n">
        <v>47312</v>
      </c>
      <c r="N11" s="17" t="inlineStr"/>
      <c r="O11" s="17" t="inlineStr"/>
      <c r="P11" s="17" t="inlineStr">
        <is>
          <t>경기도</t>
        </is>
      </c>
      <c r="Q11" s="17" t="inlineStr">
        <is>
          <t>안산시</t>
        </is>
      </c>
      <c r="R11" s="17" t="inlineStr">
        <is>
          <t>GMP공장소재지</t>
        </is>
      </c>
      <c r="S11" s="17" t="n">
        <v>90</v>
      </c>
      <c r="T11" s="17" t="inlineStr">
        <is>
          <t>Y</t>
        </is>
      </c>
      <c r="U11" s="17" t="n">
        <v>2</v>
      </c>
      <c r="V11" s="24" t="n">
        <v>46529</v>
      </c>
      <c r="W11" s="17" t="inlineStr"/>
      <c r="X11" s="17" t="inlineStr">
        <is>
          <t>Y</t>
        </is>
      </c>
      <c r="Y11" s="17" t="inlineStr">
        <is>
          <t>회사키+주소</t>
        </is>
      </c>
      <c r="Z11" s="17" t="n">
        <v>90</v>
      </c>
      <c r="AA11" s="17" t="inlineStr"/>
    </row>
    <row r="12">
      <c r="A12" s="30" t="inlineStr">
        <is>
          <t>S011</t>
        </is>
      </c>
      <c r="B12" s="17" t="inlineStr">
        <is>
          <t>P009</t>
        </is>
      </c>
      <c r="C12" s="17" t="inlineStr">
        <is>
          <t>지에이치</t>
        </is>
      </c>
      <c r="D12" s="17" t="inlineStr">
        <is>
          <t>지에이치(주)</t>
        </is>
      </c>
      <c r="E12" s="17" t="inlineStr">
        <is>
          <t>충청남도 예산군 응봉면 응봉로 50-33</t>
        </is>
      </c>
      <c r="F12" s="17" t="inlineStr">
        <is>
          <t>충청남도 예산군 응봉면 응봉로 50-33</t>
        </is>
      </c>
      <c r="G12" s="17" t="inlineStr">
        <is>
          <t>충청남도 예산군 응봉면 응봉로 50-33</t>
        </is>
      </c>
      <c r="H12" s="17" t="inlineStr">
        <is>
          <t>응봉공장</t>
        </is>
      </c>
      <c r="I12" s="23" t="inlineStr">
        <is>
          <t>2636</t>
        </is>
      </c>
      <c r="J12" s="17" t="inlineStr">
        <is>
          <t>1</t>
        </is>
      </c>
      <c r="K12" s="17" t="inlineStr">
        <is>
          <t>원료의약품</t>
        </is>
      </c>
      <c r="L12" s="17" t="inlineStr">
        <is>
          <t>비무균-일반제제-추출</t>
        </is>
      </c>
      <c r="M12" s="24" t="n">
        <v>47310</v>
      </c>
      <c r="N12" s="17" t="inlineStr"/>
      <c r="O12" s="17" t="inlineStr"/>
      <c r="P12" s="17" t="inlineStr">
        <is>
          <t>충청남도</t>
        </is>
      </c>
      <c r="Q12" s="17" t="inlineStr">
        <is>
          <t>예산군</t>
        </is>
      </c>
      <c r="R12" s="17" t="inlineStr">
        <is>
          <t>GMP공장소재지</t>
        </is>
      </c>
      <c r="S12" s="17" t="n">
        <v>90</v>
      </c>
      <c r="T12" s="17" t="inlineStr">
        <is>
          <t>Y</t>
        </is>
      </c>
      <c r="U12" s="17" t="n">
        <v>1</v>
      </c>
      <c r="V12" s="24" t="n">
        <v>47310</v>
      </c>
      <c r="W12" s="17" t="inlineStr"/>
      <c r="X12" s="17" t="inlineStr"/>
      <c r="Y12" s="17" t="inlineStr">
        <is>
          <t>회사키+주소</t>
        </is>
      </c>
      <c r="Z12" s="17" t="n">
        <v>90</v>
      </c>
      <c r="AA12" s="17" t="inlineStr"/>
    </row>
    <row r="13">
      <c r="A13" s="30" t="inlineStr">
        <is>
          <t>S012</t>
        </is>
      </c>
      <c r="B13" s="17" t="inlineStr">
        <is>
          <t>P010</t>
        </is>
      </c>
      <c r="C13" s="17" t="inlineStr">
        <is>
          <t>경방신약</t>
        </is>
      </c>
      <c r="D13" s="17" t="inlineStr">
        <is>
          <t>경방신약(주)</t>
        </is>
      </c>
      <c r="E13" s="17" t="inlineStr">
        <is>
          <t>충청남도 금산군 부리면 인삼약초공단로 27</t>
        </is>
      </c>
      <c r="F13" s="17" t="inlineStr">
        <is>
          <t>충청남도 금산군 부리면 인삼약초공단로 27</t>
        </is>
      </c>
      <c r="G13" s="17" t="inlineStr">
        <is>
          <t>충청남도 금산군 부리면 인삼약초공단로 27</t>
        </is>
      </c>
      <c r="H13" s="17" t="inlineStr">
        <is>
          <t>2공장</t>
        </is>
      </c>
      <c r="I13" s="23" t="inlineStr">
        <is>
          <t>2101</t>
        </is>
      </c>
      <c r="J13" s="17" t="inlineStr">
        <is>
          <t>4</t>
        </is>
      </c>
      <c r="K13" s="17" t="inlineStr">
        <is>
          <t>원료의약품</t>
        </is>
      </c>
      <c r="L13" s="17" t="inlineStr">
        <is>
          <t>비무균-일반제제-추출</t>
        </is>
      </c>
      <c r="M13" s="24" t="n">
        <v>47304</v>
      </c>
      <c r="N13" s="17" t="inlineStr"/>
      <c r="O13" s="17" t="inlineStr"/>
      <c r="P13" s="17" t="inlineStr">
        <is>
          <t>충청남도</t>
        </is>
      </c>
      <c r="Q13" s="17" t="inlineStr">
        <is>
          <t>금산군</t>
        </is>
      </c>
      <c r="R13" s="17" t="inlineStr">
        <is>
          <t>GMP공장소재지</t>
        </is>
      </c>
      <c r="S13" s="17" t="n">
        <v>90</v>
      </c>
      <c r="T13" s="17" t="inlineStr">
        <is>
          <t>Y</t>
        </is>
      </c>
      <c r="U13" s="17" t="n">
        <v>2</v>
      </c>
      <c r="V13" s="24" t="n">
        <v>47304</v>
      </c>
      <c r="W13" s="17" t="inlineStr"/>
      <c r="X13" s="17" t="inlineStr"/>
      <c r="Y13" s="17" t="inlineStr">
        <is>
          <t>회사키+주소</t>
        </is>
      </c>
      <c r="Z13" s="17" t="n">
        <v>90</v>
      </c>
      <c r="AA13" s="17" t="inlineStr"/>
    </row>
    <row r="14">
      <c r="A14" s="30" t="inlineStr">
        <is>
          <t>S013</t>
        </is>
      </c>
      <c r="B14" s="17" t="inlineStr">
        <is>
          <t>P010</t>
        </is>
      </c>
      <c r="C14" s="17" t="inlineStr">
        <is>
          <t>경방신약</t>
        </is>
      </c>
      <c r="D14" s="17" t="inlineStr">
        <is>
          <t>경방신약(주)</t>
        </is>
      </c>
      <c r="E14" s="17" t="inlineStr">
        <is>
          <t>충청남도 금산군 부리면 인삼약초공단로 27</t>
        </is>
      </c>
      <c r="F14" s="17" t="inlineStr">
        <is>
          <t>충청남도 금산군 부리면 인삼약초공단로 27</t>
        </is>
      </c>
      <c r="G14" s="17" t="inlineStr">
        <is>
          <t>충청남도 금산군 부리면 인삼약초공단로 27</t>
        </is>
      </c>
      <c r="H14" s="17" t="inlineStr">
        <is>
          <t>2공장</t>
        </is>
      </c>
      <c r="I14" s="23" t="inlineStr">
        <is>
          <t>2101</t>
        </is>
      </c>
      <c r="J14" s="17" t="inlineStr">
        <is>
          <t>4</t>
        </is>
      </c>
      <c r="K14" s="17" t="inlineStr">
        <is>
          <t>완제의약품</t>
        </is>
      </c>
      <c r="L14" s="17" t="inlineStr">
        <is>
          <t>비무균-일반제제-내용고형제(산제), 비무균-일반제제-내용액제(경구용액제, 시럽제(액상), 엑스제(액상))</t>
        </is>
      </c>
      <c r="M14" s="24" t="n">
        <v>47304</v>
      </c>
      <c r="N14" s="17" t="inlineStr"/>
      <c r="O14" s="17" t="inlineStr"/>
      <c r="P14" s="17" t="inlineStr">
        <is>
          <t>충청남도</t>
        </is>
      </c>
      <c r="Q14" s="17" t="inlineStr">
        <is>
          <t>금산군</t>
        </is>
      </c>
      <c r="R14" s="17" t="inlineStr">
        <is>
          <t>GMP공장소재지</t>
        </is>
      </c>
      <c r="S14" s="17" t="n">
        <v>90</v>
      </c>
      <c r="T14" s="17" t="inlineStr">
        <is>
          <t>N</t>
        </is>
      </c>
      <c r="U14" s="17" t="n">
        <v>2</v>
      </c>
      <c r="V14" s="24" t="n">
        <v>47304</v>
      </c>
      <c r="W14" s="17" t="inlineStr"/>
      <c r="X14" s="17" t="inlineStr"/>
      <c r="Y14" s="17" t="inlineStr">
        <is>
          <t>회사키+주소</t>
        </is>
      </c>
      <c r="Z14" s="17" t="n">
        <v>90</v>
      </c>
      <c r="AA14" s="17" t="inlineStr"/>
    </row>
    <row r="15">
      <c r="A15" s="30" t="inlineStr">
        <is>
          <t>S014</t>
        </is>
      </c>
      <c r="B15" s="17" t="inlineStr">
        <is>
          <t>P011</t>
        </is>
      </c>
      <c r="C15" s="17" t="inlineStr">
        <is>
          <t>제이비케이랩</t>
        </is>
      </c>
      <c r="D15" s="17" t="inlineStr">
        <is>
          <t>주식회사 제이비케이랩</t>
        </is>
      </c>
      <c r="E15" s="17" t="inlineStr">
        <is>
          <t>전라남도 화순군 동면 동농공길 17 (동면농공단지)</t>
        </is>
      </c>
      <c r="F15" s="17" t="inlineStr"/>
      <c r="G15" s="17" t="inlineStr">
        <is>
          <t>전라남도 화순군 동면 동농공길 17 (동면농공단지)</t>
        </is>
      </c>
      <c r="H15" s="17" t="inlineStr">
        <is>
          <t>미확인</t>
        </is>
      </c>
      <c r="I15" s="23" t="inlineStr">
        <is>
          <t>1920</t>
        </is>
      </c>
      <c r="J15" s="17" t="inlineStr"/>
      <c r="K15" s="17" t="inlineStr">
        <is>
          <t>완제의약품</t>
        </is>
      </c>
      <c r="L15" s="17" t="inlineStr">
        <is>
          <t>비무균-일반제제-내용고형제(정제, 캡슐제, 과립제)</t>
        </is>
      </c>
      <c r="M15" s="24" t="n">
        <v>47303</v>
      </c>
      <c r="N15" s="17" t="inlineStr"/>
      <c r="O15" s="17" t="inlineStr"/>
      <c r="P15" s="17" t="inlineStr">
        <is>
          <t>전라남도</t>
        </is>
      </c>
      <c r="Q15" s="17" t="inlineStr">
        <is>
          <t>화순군</t>
        </is>
      </c>
      <c r="R15" s="17" t="inlineStr">
        <is>
          <t>GMP공장소재지</t>
        </is>
      </c>
      <c r="S15" s="17" t="n">
        <v>0</v>
      </c>
      <c r="T15" s="17" t="inlineStr">
        <is>
          <t>Y</t>
        </is>
      </c>
      <c r="U15" s="17" t="n">
        <v>1</v>
      </c>
      <c r="V15" s="24" t="n">
        <v>47303</v>
      </c>
      <c r="W15" s="17" t="inlineStr"/>
      <c r="X15" s="17" t="inlineStr"/>
      <c r="Y15" s="17" t="inlineStr">
        <is>
          <t>무매칭</t>
        </is>
      </c>
      <c r="Z15" s="17" t="n">
        <v>0</v>
      </c>
      <c r="AA15" s="17" t="inlineStr">
        <is>
          <t>Y</t>
        </is>
      </c>
    </row>
    <row r="16">
      <c r="A16" s="30" t="inlineStr">
        <is>
          <t>S015</t>
        </is>
      </c>
      <c r="B16" s="17" t="inlineStr">
        <is>
          <t>P012</t>
        </is>
      </c>
      <c r="C16" s="17" t="inlineStr">
        <is>
          <t>대일가스</t>
        </is>
      </c>
      <c r="D16" s="17" t="inlineStr">
        <is>
          <t>(주)대일가스</t>
        </is>
      </c>
      <c r="E16" s="17" t="inlineStr">
        <is>
          <t>강원특별자치도 강릉시 강동면 아래장작골길 68</t>
        </is>
      </c>
      <c r="F16" s="17" t="inlineStr">
        <is>
          <t>강원특별자치도 강릉시 강동면 아래장작골길 68</t>
        </is>
      </c>
      <c r="G16" s="17" t="inlineStr">
        <is>
          <t>강원특별자치도 강릉시 강동면 아래장작골길 68</t>
        </is>
      </c>
      <c r="H16" s="17" t="inlineStr">
        <is>
          <t>강원</t>
        </is>
      </c>
      <c r="I16" s="23" t="inlineStr">
        <is>
          <t>2170</t>
        </is>
      </c>
      <c r="J16" s="17" t="inlineStr">
        <is>
          <t>1</t>
        </is>
      </c>
      <c r="K16" s="17" t="inlineStr">
        <is>
          <t>완제의약품</t>
        </is>
      </c>
      <c r="L16" s="17" t="inlineStr">
        <is>
          <t>비무균-일반제제-가스제(의료용 고압가스)</t>
        </is>
      </c>
      <c r="M16" s="24" t="n">
        <v>47302</v>
      </c>
      <c r="N16" s="17" t="inlineStr"/>
      <c r="O16" s="17" t="inlineStr"/>
      <c r="P16" s="17" t="inlineStr">
        <is>
          <t>강원특별자치도</t>
        </is>
      </c>
      <c r="Q16" s="17" t="inlineStr">
        <is>
          <t>강릉시</t>
        </is>
      </c>
      <c r="R16" s="17" t="inlineStr">
        <is>
          <t>GMP공장소재지</t>
        </is>
      </c>
      <c r="S16" s="17" t="n">
        <v>90</v>
      </c>
      <c r="T16" s="17" t="inlineStr">
        <is>
          <t>Y</t>
        </is>
      </c>
      <c r="U16" s="17" t="n">
        <v>1</v>
      </c>
      <c r="V16" s="24" t="n">
        <v>47302</v>
      </c>
      <c r="W16" s="17" t="inlineStr"/>
      <c r="X16" s="17" t="inlineStr"/>
      <c r="Y16" s="17" t="inlineStr">
        <is>
          <t>회사키+주소</t>
        </is>
      </c>
      <c r="Z16" s="17" t="n">
        <v>90</v>
      </c>
      <c r="AA16" s="17" t="inlineStr"/>
    </row>
    <row r="17">
      <c r="A17" s="30" t="inlineStr">
        <is>
          <t>S016</t>
        </is>
      </c>
      <c r="B17" s="17" t="inlineStr">
        <is>
          <t>P013</t>
        </is>
      </c>
      <c r="C17" s="17" t="inlineStr">
        <is>
          <t>동방산업가스</t>
        </is>
      </c>
      <c r="D17" s="17" t="inlineStr">
        <is>
          <t>동방산업가스</t>
        </is>
      </c>
      <c r="E17" s="17" t="inlineStr">
        <is>
          <t>경상북도 안동시 풍산읍 절뒤길 34 동방산업가스</t>
        </is>
      </c>
      <c r="F17" s="17" t="inlineStr">
        <is>
          <t>경상북도 안동시 풍산읍 절뒤길 34 동방산업가스</t>
        </is>
      </c>
      <c r="G17" s="17" t="inlineStr">
        <is>
          <t>경상북도 안동시 풍산읍 절뒤길 34 동방산업가스</t>
        </is>
      </c>
      <c r="H17" s="17" t="inlineStr">
        <is>
          <t>동방산업가스</t>
        </is>
      </c>
      <c r="I17" s="23" t="inlineStr">
        <is>
          <t>91</t>
        </is>
      </c>
      <c r="J17" s="17" t="inlineStr">
        <is>
          <t>1</t>
        </is>
      </c>
      <c r="K17" s="17" t="inlineStr">
        <is>
          <t>완제의약품</t>
        </is>
      </c>
      <c r="L17" s="17" t="inlineStr">
        <is>
          <t>비무균-일반제제(의료용 고압가스)-가스제(의료용 고압가스)</t>
        </is>
      </c>
      <c r="M17" s="24" t="n">
        <v>47302</v>
      </c>
      <c r="N17" s="17" t="inlineStr"/>
      <c r="O17" s="17" t="inlineStr"/>
      <c r="P17" s="17" t="inlineStr">
        <is>
          <t>경상북도</t>
        </is>
      </c>
      <c r="Q17" s="17" t="inlineStr">
        <is>
          <t>안동시</t>
        </is>
      </c>
      <c r="R17" s="17" t="inlineStr">
        <is>
          <t>GMP공장소재지</t>
        </is>
      </c>
      <c r="S17" s="17" t="n">
        <v>90</v>
      </c>
      <c r="T17" s="17" t="inlineStr">
        <is>
          <t>Y</t>
        </is>
      </c>
      <c r="U17" s="17" t="n">
        <v>1</v>
      </c>
      <c r="V17" s="24" t="n">
        <v>47302</v>
      </c>
      <c r="W17" s="17" t="inlineStr"/>
      <c r="X17" s="17" t="inlineStr"/>
      <c r="Y17" s="17" t="inlineStr">
        <is>
          <t>회사키+주소</t>
        </is>
      </c>
      <c r="Z17" s="17" t="n">
        <v>90</v>
      </c>
      <c r="AA17" s="17" t="inlineStr"/>
    </row>
    <row r="18">
      <c r="A18" s="30" t="inlineStr">
        <is>
          <t>S017</t>
        </is>
      </c>
      <c r="B18" s="17" t="inlineStr">
        <is>
          <t>P014</t>
        </is>
      </c>
      <c r="C18" s="17" t="inlineStr">
        <is>
          <t>에어코리아</t>
        </is>
      </c>
      <c r="D18" s="17" t="inlineStr">
        <is>
          <t>에어코리아(주)</t>
        </is>
      </c>
      <c r="E18" s="17" t="inlineStr">
        <is>
          <t>경기도 여주시 주내로 799-16 799-8(1층)(시험실)</t>
        </is>
      </c>
      <c r="F18" s="17" t="inlineStr">
        <is>
          <t>경기도 여주시 주내로 799-16 799-8(1층)(시험실)</t>
        </is>
      </c>
      <c r="G18" s="17" t="inlineStr">
        <is>
          <t>경기도 여주시 주내로 799-16 799-8(1층)(시험실)</t>
        </is>
      </c>
      <c r="H18" s="17" t="inlineStr">
        <is>
          <t>에어코리아(주)</t>
        </is>
      </c>
      <c r="I18" s="23" t="inlineStr">
        <is>
          <t>340</t>
        </is>
      </c>
      <c r="J18" s="17" t="inlineStr">
        <is>
          <t>1</t>
        </is>
      </c>
      <c r="K18" s="17" t="inlineStr">
        <is>
          <t>완제의약품</t>
        </is>
      </c>
      <c r="L18" s="17" t="inlineStr">
        <is>
          <t>비무균-일반제제(의료용 고압가스)-가스제(의료용 고압가스)</t>
        </is>
      </c>
      <c r="M18" s="24" t="n">
        <v>47296</v>
      </c>
      <c r="N18" s="17" t="inlineStr"/>
      <c r="O18" s="17" t="inlineStr"/>
      <c r="P18" s="17" t="inlineStr">
        <is>
          <t>경기도</t>
        </is>
      </c>
      <c r="Q18" s="17" t="inlineStr">
        <is>
          <t>여주시</t>
        </is>
      </c>
      <c r="R18" s="17" t="inlineStr">
        <is>
          <t>GMP공장소재지</t>
        </is>
      </c>
      <c r="S18" s="17" t="n">
        <v>90</v>
      </c>
      <c r="T18" s="17" t="inlineStr">
        <is>
          <t>Y</t>
        </is>
      </c>
      <c r="U18" s="17" t="n">
        <v>1</v>
      </c>
      <c r="V18" s="24" t="n">
        <v>47296</v>
      </c>
      <c r="W18" s="17" t="inlineStr"/>
      <c r="X18" s="17" t="inlineStr"/>
      <c r="Y18" s="17" t="inlineStr">
        <is>
          <t>회사키+주소</t>
        </is>
      </c>
      <c r="Z18" s="17" t="n">
        <v>90</v>
      </c>
      <c r="AA18" s="17" t="inlineStr"/>
    </row>
    <row r="19">
      <c r="A19" s="30" t="inlineStr">
        <is>
          <t>S018</t>
        </is>
      </c>
      <c r="B19" s="17" t="inlineStr">
        <is>
          <t>P015</t>
        </is>
      </c>
      <c r="C19" s="17" t="inlineStr">
        <is>
          <t>유케이케미팜</t>
        </is>
      </c>
      <c r="D19" s="17" t="inlineStr">
        <is>
          <t>(주)유케이케미팜</t>
        </is>
      </c>
      <c r="E19" s="17" t="inlineStr">
        <is>
          <t>경기도 안산시 단원구 목내로122번길 11</t>
        </is>
      </c>
      <c r="F19" s="17" t="inlineStr">
        <is>
          <t>경기도 안산시 단원구 목내로122번길 11</t>
        </is>
      </c>
      <c r="G19" s="17" t="inlineStr">
        <is>
          <t>경기도 안산시 단원구 목내로122번길 11</t>
        </is>
      </c>
      <c r="H19" s="17" t="inlineStr">
        <is>
          <t>안산</t>
        </is>
      </c>
      <c r="I19" s="23" t="inlineStr">
        <is>
          <t>2364</t>
        </is>
      </c>
      <c r="J19" s="17" t="inlineStr">
        <is>
          <t>1</t>
        </is>
      </c>
      <c r="K19" s="17" t="inlineStr">
        <is>
          <t>원료의약품</t>
        </is>
      </c>
      <c r="L19" s="17" t="inlineStr">
        <is>
          <t>비무균-일반제제-합성</t>
        </is>
      </c>
      <c r="M19" s="24" t="n">
        <v>47291</v>
      </c>
      <c r="N19" s="17" t="inlineStr"/>
      <c r="O19" s="17" t="inlineStr"/>
      <c r="P19" s="17" t="inlineStr">
        <is>
          <t>경기도</t>
        </is>
      </c>
      <c r="Q19" s="17" t="inlineStr">
        <is>
          <t>안산시</t>
        </is>
      </c>
      <c r="R19" s="17" t="inlineStr">
        <is>
          <t>GMP공장소재지</t>
        </is>
      </c>
      <c r="S19" s="17" t="n">
        <v>90</v>
      </c>
      <c r="T19" s="17" t="inlineStr">
        <is>
          <t>Y</t>
        </is>
      </c>
      <c r="U19" s="17" t="n">
        <v>2</v>
      </c>
      <c r="V19" s="24" t="n">
        <v>47291</v>
      </c>
      <c r="W19" s="17" t="inlineStr"/>
      <c r="X19" s="17" t="inlineStr"/>
      <c r="Y19" s="17" t="inlineStr">
        <is>
          <t>회사키+주소</t>
        </is>
      </c>
      <c r="Z19" s="17" t="n">
        <v>90</v>
      </c>
      <c r="AA19" s="17" t="inlineStr"/>
    </row>
    <row r="20">
      <c r="A20" s="30" t="inlineStr">
        <is>
          <t>S019</t>
        </is>
      </c>
      <c r="B20" s="17" t="inlineStr">
        <is>
          <t>P015</t>
        </is>
      </c>
      <c r="C20" s="17" t="inlineStr">
        <is>
          <t>유케이케미팜</t>
        </is>
      </c>
      <c r="D20" s="17" t="inlineStr">
        <is>
          <t>(주)유케이케미팜</t>
        </is>
      </c>
      <c r="E20" s="17" t="inlineStr">
        <is>
          <t>경기도 안산시 단원구 목내로122번길 11</t>
        </is>
      </c>
      <c r="F20" s="17" t="inlineStr">
        <is>
          <t>경기도 안산시 단원구 목내로122번길 11</t>
        </is>
      </c>
      <c r="G20" s="17" t="inlineStr">
        <is>
          <t>경기도 안산시 단원구 목내로122번길 11</t>
        </is>
      </c>
      <c r="H20" s="17" t="inlineStr">
        <is>
          <t>안산</t>
        </is>
      </c>
      <c r="I20" s="23" t="inlineStr">
        <is>
          <t>2364</t>
        </is>
      </c>
      <c r="J20" s="17" t="inlineStr">
        <is>
          <t>1</t>
        </is>
      </c>
      <c r="K20" s="17" t="inlineStr">
        <is>
          <t>완제의약품</t>
        </is>
      </c>
      <c r="L20" s="17" t="inlineStr">
        <is>
          <t>무균-세팔로스포린제제-주사제(분말주사제), 무균-일반제제-주사제(주사제)</t>
        </is>
      </c>
      <c r="M20" s="24" t="n">
        <v>47291</v>
      </c>
      <c r="N20" s="17" t="inlineStr">
        <is>
          <t>Y</t>
        </is>
      </c>
      <c r="O20" s="17" t="inlineStr"/>
      <c r="P20" s="17" t="inlineStr">
        <is>
          <t>경기도</t>
        </is>
      </c>
      <c r="Q20" s="17" t="inlineStr">
        <is>
          <t>안산시</t>
        </is>
      </c>
      <c r="R20" s="17" t="inlineStr">
        <is>
          <t>GMP공장소재지</t>
        </is>
      </c>
      <c r="S20" s="17" t="n">
        <v>90</v>
      </c>
      <c r="T20" s="17" t="inlineStr">
        <is>
          <t>N</t>
        </is>
      </c>
      <c r="U20" s="17" t="n">
        <v>2</v>
      </c>
      <c r="V20" s="24" t="n">
        <v>47291</v>
      </c>
      <c r="W20" s="17" t="inlineStr"/>
      <c r="X20" s="17" t="inlineStr"/>
      <c r="Y20" s="17" t="inlineStr">
        <is>
          <t>회사키+주소</t>
        </is>
      </c>
      <c r="Z20" s="17" t="n">
        <v>90</v>
      </c>
      <c r="AA20" s="17" t="inlineStr"/>
    </row>
    <row r="21">
      <c r="A21" s="30" t="inlineStr">
        <is>
          <t>S020</t>
        </is>
      </c>
      <c r="B21" s="17" t="inlineStr">
        <is>
          <t>P016</t>
        </is>
      </c>
      <c r="C21" s="17" t="inlineStr">
        <is>
          <t>금오가스</t>
        </is>
      </c>
      <c r="D21" s="17" t="inlineStr">
        <is>
          <t>금오가스(주)</t>
        </is>
      </c>
      <c r="E21" s="17" t="inlineStr">
        <is>
          <t>경기도 파주시 조리읍 명봉산로 155</t>
        </is>
      </c>
      <c r="F21" s="17" t="inlineStr">
        <is>
          <t>경기도 파주시 조리읍 명봉산로 155</t>
        </is>
      </c>
      <c r="G21" s="17" t="inlineStr">
        <is>
          <t>경기도 파주시 조리읍 명봉산로 155</t>
        </is>
      </c>
      <c r="H21" s="17" t="inlineStr">
        <is>
          <t>공장</t>
        </is>
      </c>
      <c r="I21" s="23" t="inlineStr">
        <is>
          <t>2145</t>
        </is>
      </c>
      <c r="J21" s="17" t="inlineStr">
        <is>
          <t>1</t>
        </is>
      </c>
      <c r="K21" s="17" t="inlineStr">
        <is>
          <t>완제의약품</t>
        </is>
      </c>
      <c r="L21" s="17" t="inlineStr">
        <is>
          <t>비무균-일반제제-가스제(의료용 고압가스)</t>
        </is>
      </c>
      <c r="M21" s="24" t="n">
        <v>47291</v>
      </c>
      <c r="N21" s="17" t="inlineStr"/>
      <c r="O21" s="17" t="inlineStr"/>
      <c r="P21" s="17" t="inlineStr">
        <is>
          <t>경기도</t>
        </is>
      </c>
      <c r="Q21" s="17" t="inlineStr">
        <is>
          <t>파주시</t>
        </is>
      </c>
      <c r="R21" s="17" t="inlineStr">
        <is>
          <t>GMP공장소재지</t>
        </is>
      </c>
      <c r="S21" s="17" t="n">
        <v>90</v>
      </c>
      <c r="T21" s="17" t="inlineStr">
        <is>
          <t>Y</t>
        </is>
      </c>
      <c r="U21" s="17" t="n">
        <v>1</v>
      </c>
      <c r="V21" s="24" t="n">
        <v>47291</v>
      </c>
      <c r="W21" s="17" t="inlineStr"/>
      <c r="X21" s="17" t="inlineStr"/>
      <c r="Y21" s="17" t="inlineStr">
        <is>
          <t>회사키+주소</t>
        </is>
      </c>
      <c r="Z21" s="17" t="n">
        <v>90</v>
      </c>
      <c r="AA21" s="17" t="inlineStr"/>
    </row>
    <row r="22">
      <c r="A22" s="30" t="inlineStr">
        <is>
          <t>S021</t>
        </is>
      </c>
      <c r="B22" s="17" t="inlineStr">
        <is>
          <t>P017</t>
        </is>
      </c>
      <c r="C22" s="17" t="inlineStr">
        <is>
          <t>정우신약</t>
        </is>
      </c>
      <c r="D22" s="17" t="inlineStr">
        <is>
          <t>정우신약(주)</t>
        </is>
      </c>
      <c r="E22" s="17" t="inlineStr">
        <is>
          <t>충청남도 아산시 신창면 서부남로790번길 60</t>
        </is>
      </c>
      <c r="F22" s="17" t="inlineStr">
        <is>
          <t>충청남도 아산시 신창면 서부남로790번길 60</t>
        </is>
      </c>
      <c r="G22" s="17" t="inlineStr">
        <is>
          <t>충청남도 아산시 신창면 서부남로790번길 60</t>
        </is>
      </c>
      <c r="H22" s="17" t="inlineStr">
        <is>
          <t>아산</t>
        </is>
      </c>
      <c r="I22" s="23" t="inlineStr">
        <is>
          <t>1311</t>
        </is>
      </c>
      <c r="J22" s="17" t="inlineStr">
        <is>
          <t>1</t>
        </is>
      </c>
      <c r="K22" s="17" t="inlineStr">
        <is>
          <t>완제의약품</t>
        </is>
      </c>
      <c r="L22" s="17" t="inlineStr">
        <is>
          <t>비무균-일반제제-내용고형제(정제, 캡슐제, 산제, 과립제), 비무균-일반제제-내용액제(경구용액제, 엑스제(액상))</t>
        </is>
      </c>
      <c r="M22" s="24" t="n">
        <v>47289</v>
      </c>
      <c r="N22" s="17" t="inlineStr"/>
      <c r="O22" s="17" t="inlineStr"/>
      <c r="P22" s="17" t="inlineStr">
        <is>
          <t>충청남도</t>
        </is>
      </c>
      <c r="Q22" s="17" t="inlineStr">
        <is>
          <t>아산시</t>
        </is>
      </c>
      <c r="R22" s="17" t="inlineStr">
        <is>
          <t>GMP공장소재지</t>
        </is>
      </c>
      <c r="S22" s="17" t="n">
        <v>90</v>
      </c>
      <c r="T22" s="17" t="inlineStr">
        <is>
          <t>Y</t>
        </is>
      </c>
      <c r="U22" s="17" t="n">
        <v>1</v>
      </c>
      <c r="V22" s="24" t="n">
        <v>47289</v>
      </c>
      <c r="W22" s="17" t="inlineStr"/>
      <c r="X22" s="17" t="inlineStr"/>
      <c r="Y22" s="17" t="inlineStr">
        <is>
          <t>회사키+주소</t>
        </is>
      </c>
      <c r="Z22" s="17" t="n">
        <v>90</v>
      </c>
      <c r="AA22" s="17" t="inlineStr"/>
    </row>
    <row r="23">
      <c r="A23" s="30" t="inlineStr">
        <is>
          <t>S022</t>
        </is>
      </c>
      <c r="B23" s="17" t="inlineStr">
        <is>
          <t>P018</t>
        </is>
      </c>
      <c r="C23" s="17" t="inlineStr">
        <is>
          <t>퍼슨</t>
        </is>
      </c>
      <c r="D23" s="17" t="inlineStr">
        <is>
          <t>(주)퍼슨</t>
        </is>
      </c>
      <c r="E23" s="17" t="inlineStr">
        <is>
          <t>충청남도 천안시 서북구 백석공단1로 47</t>
        </is>
      </c>
      <c r="F23" s="17" t="inlineStr">
        <is>
          <t>충청남도 천안시 서북구 백석공단1로 47</t>
        </is>
      </c>
      <c r="G23" s="17" t="inlineStr">
        <is>
          <t>충청남도 천안시 서북구 백석공단1로 47</t>
        </is>
      </c>
      <c r="H23" s="17" t="inlineStr">
        <is>
          <t>천안</t>
        </is>
      </c>
      <c r="I23" s="23" t="inlineStr">
        <is>
          <t>1338</t>
        </is>
      </c>
      <c r="J23" s="17" t="inlineStr">
        <is>
          <t>2</t>
        </is>
      </c>
      <c r="K23" s="17" t="inlineStr">
        <is>
          <t>완제의약품</t>
        </is>
      </c>
      <c r="L23" s="17" t="inlineStr">
        <is>
          <t>비무균-일반제제-내용액제(시럽제(액상), 현탁제), 비무균-일반제제-외용액제(외용액제, 리니멘트제(액상,반고형), 관장제(액상,반고형)), 비무균-일반제제-연고제(연고제, 크림제, 겔제)</t>
        </is>
      </c>
      <c r="M23" s="24" t="n">
        <v>47284</v>
      </c>
      <c r="N23" s="17" t="inlineStr"/>
      <c r="O23" s="17" t="inlineStr"/>
      <c r="P23" s="17" t="inlineStr">
        <is>
          <t>충청남도</t>
        </is>
      </c>
      <c r="Q23" s="17" t="inlineStr">
        <is>
          <t>천안시</t>
        </is>
      </c>
      <c r="R23" s="17" t="inlineStr">
        <is>
          <t>GMP공장소재지</t>
        </is>
      </c>
      <c r="S23" s="17" t="n">
        <v>90</v>
      </c>
      <c r="T23" s="17" t="inlineStr">
        <is>
          <t>Y</t>
        </is>
      </c>
      <c r="U23" s="17" t="n">
        <v>1</v>
      </c>
      <c r="V23" s="24" t="n">
        <v>47284</v>
      </c>
      <c r="W23" s="17" t="inlineStr"/>
      <c r="X23" s="17" t="inlineStr"/>
      <c r="Y23" s="17" t="inlineStr">
        <is>
          <t>회사키+주소</t>
        </is>
      </c>
      <c r="Z23" s="17" t="n">
        <v>90</v>
      </c>
      <c r="AA23" s="17" t="inlineStr"/>
    </row>
    <row r="24">
      <c r="A24" s="30" t="inlineStr">
        <is>
          <t>S023</t>
        </is>
      </c>
      <c r="B24" s="17" t="inlineStr">
        <is>
          <t>P019</t>
        </is>
      </c>
      <c r="C24" s="17" t="inlineStr">
        <is>
          <t>셀비온</t>
        </is>
      </c>
      <c r="D24" s="17" t="inlineStr">
        <is>
          <t>(주)셀비온</t>
        </is>
      </c>
      <c r="E24" s="17" t="inlineStr">
        <is>
          <t>서울특별시 종로구 대학로 101 서울대학교병원 암연구소 6층 일부</t>
        </is>
      </c>
      <c r="F24" s="17" t="inlineStr">
        <is>
          <t>서울특별시 종로구 대학로 101 서울대학교병원 암연구소 6층 일부</t>
        </is>
      </c>
      <c r="G24" s="17" t="inlineStr">
        <is>
          <t>서울특별시 종로구 대학로 101 서울대학교병원 암연구소 6층 일부</t>
        </is>
      </c>
      <c r="H24" s="17" t="inlineStr">
        <is>
          <t>제조소</t>
        </is>
      </c>
      <c r="I24" s="23" t="inlineStr">
        <is>
          <t>363</t>
        </is>
      </c>
      <c r="J24" s="17" t="inlineStr">
        <is>
          <t>1</t>
        </is>
      </c>
      <c r="K24" s="17" t="inlineStr">
        <is>
          <t>완제의약품</t>
        </is>
      </c>
      <c r="L24" s="17" t="inlineStr">
        <is>
          <t>무균-일반제제-주사제(주사제, 동결건조주사제)</t>
        </is>
      </c>
      <c r="M24" s="24" t="n">
        <v>47284</v>
      </c>
      <c r="N24" s="17" t="inlineStr">
        <is>
          <t>Y</t>
        </is>
      </c>
      <c r="O24" s="17" t="inlineStr"/>
      <c r="P24" s="17" t="inlineStr">
        <is>
          <t>서울특별시</t>
        </is>
      </c>
      <c r="Q24" s="17" t="inlineStr">
        <is>
          <t>종로구</t>
        </is>
      </c>
      <c r="R24" s="17" t="inlineStr">
        <is>
          <t>GMP공장소재지</t>
        </is>
      </c>
      <c r="S24" s="17" t="n">
        <v>90</v>
      </c>
      <c r="T24" s="17" t="inlineStr">
        <is>
          <t>Y</t>
        </is>
      </c>
      <c r="U24" s="17" t="n">
        <v>1</v>
      </c>
      <c r="V24" s="24" t="n">
        <v>47284</v>
      </c>
      <c r="W24" s="17" t="inlineStr"/>
      <c r="X24" s="17" t="inlineStr"/>
      <c r="Y24" s="17" t="inlineStr">
        <is>
          <t>회사키+주소</t>
        </is>
      </c>
      <c r="Z24" s="17" t="n">
        <v>90</v>
      </c>
      <c r="AA24" s="17" t="inlineStr"/>
    </row>
    <row r="25">
      <c r="A25" s="30" t="inlineStr">
        <is>
          <t>S024</t>
        </is>
      </c>
      <c r="B25" s="17" t="inlineStr">
        <is>
          <t>P020</t>
        </is>
      </c>
      <c r="C25" s="17" t="inlineStr">
        <is>
          <t>석전의료공업</t>
        </is>
      </c>
      <c r="D25" s="17" t="inlineStr">
        <is>
          <t>석전의료공업(주)</t>
        </is>
      </c>
      <c r="E25" s="17" t="inlineStr">
        <is>
          <t>경기도 오산시 황새로149번길 16</t>
        </is>
      </c>
      <c r="F25" s="17" t="inlineStr">
        <is>
          <t>경기도 오산시 황새로149번길 16</t>
        </is>
      </c>
      <c r="G25" s="17" t="inlineStr">
        <is>
          <t>경기도 오산시 황새로149번길 16</t>
        </is>
      </c>
      <c r="H25" s="17" t="inlineStr">
        <is>
          <t>오산</t>
        </is>
      </c>
      <c r="I25" s="23" t="inlineStr">
        <is>
          <t>2176</t>
        </is>
      </c>
      <c r="J25" s="17" t="inlineStr">
        <is>
          <t>1</t>
        </is>
      </c>
      <c r="K25" s="17" t="inlineStr">
        <is>
          <t>완제의약품</t>
        </is>
      </c>
      <c r="L25" s="17" t="inlineStr">
        <is>
          <t>비무균-일반제제-가스제(의료용 고압가스)</t>
        </is>
      </c>
      <c r="M25" s="24" t="n">
        <v>47282</v>
      </c>
      <c r="N25" s="17" t="inlineStr"/>
      <c r="O25" s="17" t="inlineStr"/>
      <c r="P25" s="17" t="inlineStr">
        <is>
          <t>경기도</t>
        </is>
      </c>
      <c r="Q25" s="17" t="inlineStr">
        <is>
          <t>오산시</t>
        </is>
      </c>
      <c r="R25" s="17" t="inlineStr">
        <is>
          <t>GMP공장소재지</t>
        </is>
      </c>
      <c r="S25" s="17" t="n">
        <v>90</v>
      </c>
      <c r="T25" s="17" t="inlineStr">
        <is>
          <t>Y</t>
        </is>
      </c>
      <c r="U25" s="17" t="n">
        <v>1</v>
      </c>
      <c r="V25" s="24" t="n">
        <v>47282</v>
      </c>
      <c r="W25" s="17" t="inlineStr"/>
      <c r="X25" s="17" t="inlineStr"/>
      <c r="Y25" s="17" t="inlineStr">
        <is>
          <t>회사키+주소</t>
        </is>
      </c>
      <c r="Z25" s="17" t="n">
        <v>90</v>
      </c>
      <c r="AA25" s="17" t="inlineStr"/>
    </row>
    <row r="26">
      <c r="A26" s="30" t="inlineStr">
        <is>
          <t>S025</t>
        </is>
      </c>
      <c r="B26" s="17" t="inlineStr">
        <is>
          <t>P021</t>
        </is>
      </c>
      <c r="C26" s="17" t="inlineStr">
        <is>
          <t>에이치디엑스</t>
        </is>
      </c>
      <c r="D26" s="17" t="inlineStr">
        <is>
          <t>에이치디엑스(주)</t>
        </is>
      </c>
      <c r="E26" s="17" t="inlineStr">
        <is>
          <t>경기도 안양시 동안구 관평로170번길 22</t>
        </is>
      </c>
      <c r="F26" s="17" t="inlineStr">
        <is>
          <t>경기도 안양시 동안구 관평로170번길 22</t>
        </is>
      </c>
      <c r="G26" s="17" t="inlineStr">
        <is>
          <t>경기도 안양시 동안구 관평로170번길 22</t>
        </is>
      </c>
      <c r="H26" s="17" t="inlineStr">
        <is>
          <t>경기 안양</t>
        </is>
      </c>
      <c r="I26" s="23" t="inlineStr">
        <is>
          <t>2407</t>
        </is>
      </c>
      <c r="J26" s="17" t="inlineStr">
        <is>
          <t>3</t>
        </is>
      </c>
      <c r="K26" s="17" t="inlineStr">
        <is>
          <t>완제의약품</t>
        </is>
      </c>
      <c r="L26" s="17" t="inlineStr">
        <is>
          <t>무균-일반제제(방사성의약품)-주사제(주사제)</t>
        </is>
      </c>
      <c r="M26" s="24" t="n">
        <v>47277</v>
      </c>
      <c r="N26" s="17" t="inlineStr">
        <is>
          <t>Y</t>
        </is>
      </c>
      <c r="O26" s="17" t="inlineStr"/>
      <c r="P26" s="17" t="inlineStr">
        <is>
          <t>경기도</t>
        </is>
      </c>
      <c r="Q26" s="17" t="inlineStr">
        <is>
          <t>안양시</t>
        </is>
      </c>
      <c r="R26" s="17" t="inlineStr">
        <is>
          <t>GMP공장소재지</t>
        </is>
      </c>
      <c r="S26" s="17" t="n">
        <v>90</v>
      </c>
      <c r="T26" s="17" t="inlineStr">
        <is>
          <t>Y</t>
        </is>
      </c>
      <c r="U26" s="17" t="n">
        <v>1</v>
      </c>
      <c r="V26" s="24" t="n">
        <v>47277</v>
      </c>
      <c r="W26" s="17" t="inlineStr"/>
      <c r="X26" s="17" t="inlineStr"/>
      <c r="Y26" s="17" t="inlineStr">
        <is>
          <t>회사키+주소</t>
        </is>
      </c>
      <c r="Z26" s="17" t="n">
        <v>90</v>
      </c>
      <c r="AA26" s="17" t="inlineStr"/>
    </row>
    <row r="27">
      <c r="A27" s="30" t="inlineStr">
        <is>
          <t>S026</t>
        </is>
      </c>
      <c r="B27" s="17" t="inlineStr">
        <is>
          <t>P022</t>
        </is>
      </c>
      <c r="C27" s="17" t="inlineStr">
        <is>
          <t>이니바이오</t>
        </is>
      </c>
      <c r="D27" s="17" t="inlineStr">
        <is>
          <t>(주)이니바이오</t>
        </is>
      </c>
      <c r="E27" s="17" t="inlineStr">
        <is>
          <t>경기도 부천시 오정구 송내대로 506 (삼정동)</t>
        </is>
      </c>
      <c r="F27" s="17" t="inlineStr">
        <is>
          <t>경기도 부천시 오정구 송내대로 506 (삼정동)</t>
        </is>
      </c>
      <c r="G27" s="17" t="inlineStr">
        <is>
          <t>경기도 부천시 오정구 송내대로 506 (삼정동)</t>
        </is>
      </c>
      <c r="H27" s="17" t="inlineStr">
        <is>
          <t>제1공장</t>
        </is>
      </c>
      <c r="I27" s="23" t="inlineStr">
        <is>
          <t>374</t>
        </is>
      </c>
      <c r="J27" s="17" t="inlineStr">
        <is>
          <t>1</t>
        </is>
      </c>
      <c r="K27" s="17" t="inlineStr">
        <is>
          <t>완제의약품</t>
        </is>
      </c>
      <c r="L27" s="17" t="inlineStr">
        <is>
          <t>생물-독소-주사제(주사제)</t>
        </is>
      </c>
      <c r="M27" s="24" t="n">
        <v>47277</v>
      </c>
      <c r="N27" s="17" t="inlineStr">
        <is>
          <t>Y</t>
        </is>
      </c>
      <c r="O27" s="17" t="inlineStr">
        <is>
          <t>Y</t>
        </is>
      </c>
      <c r="P27" s="17" t="inlineStr">
        <is>
          <t>경기도</t>
        </is>
      </c>
      <c r="Q27" s="17" t="inlineStr">
        <is>
          <t>부천시</t>
        </is>
      </c>
      <c r="R27" s="17" t="inlineStr">
        <is>
          <t>GMP공장소재지</t>
        </is>
      </c>
      <c r="S27" s="17" t="n">
        <v>90</v>
      </c>
      <c r="T27" s="17" t="inlineStr">
        <is>
          <t>Y</t>
        </is>
      </c>
      <c r="U27" s="17" t="n">
        <v>1</v>
      </c>
      <c r="V27" s="24" t="n">
        <v>47277</v>
      </c>
      <c r="W27" s="17" t="inlineStr"/>
      <c r="X27" s="17" t="inlineStr"/>
      <c r="Y27" s="17" t="inlineStr">
        <is>
          <t>회사키+주소</t>
        </is>
      </c>
      <c r="Z27" s="17" t="n">
        <v>90</v>
      </c>
      <c r="AA27" s="17" t="inlineStr"/>
    </row>
    <row r="28">
      <c r="A28" s="30" t="inlineStr">
        <is>
          <t>S027</t>
        </is>
      </c>
      <c r="B28" s="17" t="inlineStr">
        <is>
          <t>P023</t>
        </is>
      </c>
      <c r="C28" s="17" t="inlineStr">
        <is>
          <t>제노스</t>
        </is>
      </c>
      <c r="D28" s="17" t="inlineStr">
        <is>
          <t>주식회사제노스</t>
        </is>
      </c>
      <c r="E28" s="17" t="inlineStr">
        <is>
          <t>경기도 수원시 영통구 창룡대로256번길 76 덴티움지식산업센터 지하 1층 일부</t>
        </is>
      </c>
      <c r="F28" s="17" t="inlineStr">
        <is>
          <t>경기도 수원시 영통구 창룡대로256번길 76 덴티움지식산업센터 지하 1층 일부</t>
        </is>
      </c>
      <c r="G28" s="17" t="inlineStr">
        <is>
          <t>경기도 수원시 영통구 창룡대로256번길 76 덴티움지식산업센터 지하 1층 일부</t>
        </is>
      </c>
      <c r="H28" s="17" t="inlineStr">
        <is>
          <t>제노스 의약품 제조소</t>
        </is>
      </c>
      <c r="I28" s="23" t="inlineStr">
        <is>
          <t>6173</t>
        </is>
      </c>
      <c r="J28" s="17" t="inlineStr">
        <is>
          <t>1</t>
        </is>
      </c>
      <c r="K28" s="17" t="inlineStr">
        <is>
          <t>완제의약품</t>
        </is>
      </c>
      <c r="L28" s="17" t="inlineStr">
        <is>
          <t>무균-일반제제-주사제(주사제)</t>
        </is>
      </c>
      <c r="M28" s="24" t="n">
        <v>47276</v>
      </c>
      <c r="N28" s="17" t="inlineStr">
        <is>
          <t>Y</t>
        </is>
      </c>
      <c r="O28" s="17" t="inlineStr"/>
      <c r="P28" s="17" t="inlineStr">
        <is>
          <t>경기도</t>
        </is>
      </c>
      <c r="Q28" s="17" t="inlineStr">
        <is>
          <t>수원시</t>
        </is>
      </c>
      <c r="R28" s="17" t="inlineStr">
        <is>
          <t>GMP공장소재지</t>
        </is>
      </c>
      <c r="S28" s="17" t="n">
        <v>90</v>
      </c>
      <c r="T28" s="17" t="inlineStr">
        <is>
          <t>Y</t>
        </is>
      </c>
      <c r="U28" s="17" t="n">
        <v>1</v>
      </c>
      <c r="V28" s="24" t="n">
        <v>47276</v>
      </c>
      <c r="W28" s="17" t="inlineStr"/>
      <c r="X28" s="17" t="inlineStr"/>
      <c r="Y28" s="17" t="inlineStr">
        <is>
          <t>회사키+주소</t>
        </is>
      </c>
      <c r="Z28" s="17" t="n">
        <v>90</v>
      </c>
      <c r="AA28" s="17" t="inlineStr"/>
    </row>
    <row r="29">
      <c r="A29" s="30" t="inlineStr">
        <is>
          <t>S028</t>
        </is>
      </c>
      <c r="B29" s="17" t="inlineStr">
        <is>
          <t>P024</t>
        </is>
      </c>
      <c r="C29" s="17" t="inlineStr">
        <is>
          <t>비앤씨코리아</t>
        </is>
      </c>
      <c r="D29" s="17" t="inlineStr">
        <is>
          <t>(주)비앤씨코리아</t>
        </is>
      </c>
      <c r="E29" s="17" t="inlineStr">
        <is>
          <t>충청북도 제천시 제2바이오밸리로7가길 24</t>
        </is>
      </c>
      <c r="F29" s="17" t="inlineStr">
        <is>
          <t>충청북도 제천시 제2바이오밸리로7가길 24</t>
        </is>
      </c>
      <c r="G29" s="17" t="inlineStr">
        <is>
          <t>충청북도 제천시 제2바이오밸리로7가길 24</t>
        </is>
      </c>
      <c r="H29" s="17" t="inlineStr">
        <is>
          <t>(주)비앤씨코리아</t>
        </is>
      </c>
      <c r="I29" s="23" t="inlineStr">
        <is>
          <t>6180</t>
        </is>
      </c>
      <c r="J29" s="17" t="inlineStr">
        <is>
          <t>1</t>
        </is>
      </c>
      <c r="K29" s="17" t="inlineStr">
        <is>
          <t>완제의약품</t>
        </is>
      </c>
      <c r="L29" s="17" t="inlineStr">
        <is>
          <t>무균-일반제제-점안제(점안제)</t>
        </is>
      </c>
      <c r="M29" s="24" t="n">
        <v>47272</v>
      </c>
      <c r="N29" s="17" t="inlineStr">
        <is>
          <t>Y</t>
        </is>
      </c>
      <c r="O29" s="17" t="inlineStr"/>
      <c r="P29" s="17" t="inlineStr">
        <is>
          <t>충청북도</t>
        </is>
      </c>
      <c r="Q29" s="17" t="inlineStr">
        <is>
          <t>제천시</t>
        </is>
      </c>
      <c r="R29" s="17" t="inlineStr">
        <is>
          <t>GMP공장소재지</t>
        </is>
      </c>
      <c r="S29" s="17" t="n">
        <v>90</v>
      </c>
      <c r="T29" s="17" t="inlineStr">
        <is>
          <t>Y</t>
        </is>
      </c>
      <c r="U29" s="17" t="n">
        <v>1</v>
      </c>
      <c r="V29" s="24" t="n">
        <v>47272</v>
      </c>
      <c r="W29" s="17" t="inlineStr"/>
      <c r="X29" s="17" t="inlineStr"/>
      <c r="Y29" s="17" t="inlineStr">
        <is>
          <t>회사키+주소</t>
        </is>
      </c>
      <c r="Z29" s="17" t="n">
        <v>90</v>
      </c>
      <c r="AA29" s="17" t="inlineStr"/>
    </row>
    <row r="30">
      <c r="A30" s="30" t="inlineStr">
        <is>
          <t>S029</t>
        </is>
      </c>
      <c r="B30" s="17" t="inlineStr">
        <is>
          <t>P025</t>
        </is>
      </c>
      <c r="C30" s="17" t="inlineStr">
        <is>
          <t>삼성산소</t>
        </is>
      </c>
      <c r="D30" s="17" t="inlineStr">
        <is>
          <t>삼성산소(주)</t>
        </is>
      </c>
      <c r="E30" s="17" t="inlineStr">
        <is>
          <t>충청북도 청주시 흥덕구 강내면 상월곡길 10</t>
        </is>
      </c>
      <c r="F30" s="17" t="inlineStr">
        <is>
          <t>충청북도 청주시 흥덕구 강내면 상월곡길 10</t>
        </is>
      </c>
      <c r="G30" s="17" t="inlineStr">
        <is>
          <t>충청북도 청주시 흥덕구 강내면 상월곡길 10</t>
        </is>
      </c>
      <c r="H30" s="17" t="inlineStr">
        <is>
          <t>청원</t>
        </is>
      </c>
      <c r="I30" s="23" t="inlineStr">
        <is>
          <t>2005</t>
        </is>
      </c>
      <c r="J30" s="17" t="inlineStr">
        <is>
          <t>1</t>
        </is>
      </c>
      <c r="K30" s="17" t="inlineStr">
        <is>
          <t>완제의약품</t>
        </is>
      </c>
      <c r="L30" s="17" t="inlineStr">
        <is>
          <t>비무균-일반제제(의료용 고압가스)-가스제(의료용 고압가스)</t>
        </is>
      </c>
      <c r="M30" s="24" t="n">
        <v>47270</v>
      </c>
      <c r="N30" s="17" t="inlineStr"/>
      <c r="O30" s="17" t="inlineStr"/>
      <c r="P30" s="17" t="inlineStr">
        <is>
          <t>충청북도</t>
        </is>
      </c>
      <c r="Q30" s="17" t="inlineStr">
        <is>
          <t>청주시</t>
        </is>
      </c>
      <c r="R30" s="17" t="inlineStr">
        <is>
          <t>GMP공장소재지</t>
        </is>
      </c>
      <c r="S30" s="17" t="n">
        <v>90</v>
      </c>
      <c r="T30" s="17" t="inlineStr">
        <is>
          <t>Y</t>
        </is>
      </c>
      <c r="U30" s="17" t="n">
        <v>1</v>
      </c>
      <c r="V30" s="24" t="n">
        <v>47270</v>
      </c>
      <c r="W30" s="17" t="inlineStr"/>
      <c r="X30" s="17" t="inlineStr"/>
      <c r="Y30" s="17" t="inlineStr">
        <is>
          <t>회사키+주소</t>
        </is>
      </c>
      <c r="Z30" s="17" t="n">
        <v>90</v>
      </c>
      <c r="AA30" s="17" t="inlineStr"/>
    </row>
    <row r="31">
      <c r="A31" s="30" t="inlineStr">
        <is>
          <t>S030</t>
        </is>
      </c>
      <c r="B31" s="17" t="inlineStr">
        <is>
          <t>P026</t>
        </is>
      </c>
      <c r="C31" s="17" t="inlineStr">
        <is>
          <t>유니메드제약</t>
        </is>
      </c>
      <c r="D31" s="17" t="inlineStr">
        <is>
          <t>유니메드제약(주)</t>
        </is>
      </c>
      <c r="E31" s="17" t="inlineStr">
        <is>
          <t>충청남도 아산시 실옥로 110-27</t>
        </is>
      </c>
      <c r="F31" s="17" t="inlineStr">
        <is>
          <t>충청남도 아산시 실옥로 110-27</t>
        </is>
      </c>
      <c r="G31" s="17" t="inlineStr">
        <is>
          <t>충청남도 아산시 실옥로 110-27</t>
        </is>
      </c>
      <c r="H31" s="17" t="inlineStr">
        <is>
          <t>아산공장</t>
        </is>
      </c>
      <c r="I31" s="23" t="inlineStr">
        <is>
          <t>1729</t>
        </is>
      </c>
      <c r="J31" s="17" t="inlineStr">
        <is>
          <t>1</t>
        </is>
      </c>
      <c r="K31" s="17" t="inlineStr">
        <is>
          <t>완제의약품</t>
        </is>
      </c>
      <c r="L31" s="17" t="inlineStr">
        <is>
          <t>비무균-일반제제-내용고형제(정제, 캡슐제), 무균-일반제제-주사제(주사제), 무균-일반제제-점안제(점안제), 비무균-일반제제-첩부제(첩부제)</t>
        </is>
      </c>
      <c r="M31" s="24" t="n">
        <v>47270</v>
      </c>
      <c r="N31" s="17" t="inlineStr">
        <is>
          <t>Y</t>
        </is>
      </c>
      <c r="O31" s="17" t="inlineStr"/>
      <c r="P31" s="17" t="inlineStr">
        <is>
          <t>충청남도</t>
        </is>
      </c>
      <c r="Q31" s="17" t="inlineStr">
        <is>
          <t>아산시</t>
        </is>
      </c>
      <c r="R31" s="17" t="inlineStr">
        <is>
          <t>GMP공장소재지</t>
        </is>
      </c>
      <c r="S31" s="17" t="n">
        <v>90</v>
      </c>
      <c r="T31" s="17" t="inlineStr">
        <is>
          <t>Y</t>
        </is>
      </c>
      <c r="U31" s="17" t="n">
        <v>2</v>
      </c>
      <c r="V31" s="24" t="n">
        <v>47270</v>
      </c>
      <c r="W31" s="17" t="inlineStr"/>
      <c r="X31" s="17" t="inlineStr"/>
      <c r="Y31" s="17" t="inlineStr">
        <is>
          <t>회사키+주소</t>
        </is>
      </c>
      <c r="Z31" s="17" t="n">
        <v>90</v>
      </c>
      <c r="AA31" s="17" t="inlineStr"/>
    </row>
    <row r="32">
      <c r="A32" s="30" t="inlineStr">
        <is>
          <t>S031</t>
        </is>
      </c>
      <c r="B32" s="17" t="inlineStr">
        <is>
          <t>P026</t>
        </is>
      </c>
      <c r="C32" s="17" t="inlineStr">
        <is>
          <t>유니메드제약</t>
        </is>
      </c>
      <c r="D32" s="17" t="inlineStr">
        <is>
          <t>유니메드제약(주)</t>
        </is>
      </c>
      <c r="E32" s="17" t="inlineStr">
        <is>
          <t>충청남도 아산시 실옥로 110-27</t>
        </is>
      </c>
      <c r="F32" s="17" t="inlineStr">
        <is>
          <t>충청남도 아산시 실옥로 110-27</t>
        </is>
      </c>
      <c r="G32" s="17" t="inlineStr">
        <is>
          <t>충청남도 아산시 실옥로 110-27</t>
        </is>
      </c>
      <c r="H32" s="17" t="inlineStr">
        <is>
          <t>아산공장</t>
        </is>
      </c>
      <c r="I32" s="23" t="inlineStr">
        <is>
          <t>1729</t>
        </is>
      </c>
      <c r="J32" s="17" t="inlineStr">
        <is>
          <t>1</t>
        </is>
      </c>
      <c r="K32" s="17" t="inlineStr">
        <is>
          <t>원료의약품</t>
        </is>
      </c>
      <c r="L32" s="17" t="inlineStr">
        <is>
          <t>비무균-일반제제-추출</t>
        </is>
      </c>
      <c r="M32" s="24" t="n">
        <v>47270</v>
      </c>
      <c r="N32" s="17" t="inlineStr"/>
      <c r="O32" s="17" t="inlineStr"/>
      <c r="P32" s="17" t="inlineStr">
        <is>
          <t>충청남도</t>
        </is>
      </c>
      <c r="Q32" s="17" t="inlineStr">
        <is>
          <t>아산시</t>
        </is>
      </c>
      <c r="R32" s="17" t="inlineStr">
        <is>
          <t>GMP공장소재지</t>
        </is>
      </c>
      <c r="S32" s="17" t="n">
        <v>90</v>
      </c>
      <c r="T32" s="17" t="inlineStr">
        <is>
          <t>N</t>
        </is>
      </c>
      <c r="U32" s="17" t="n">
        <v>2</v>
      </c>
      <c r="V32" s="24" t="n">
        <v>47270</v>
      </c>
      <c r="W32" s="17" t="inlineStr"/>
      <c r="X32" s="17" t="inlineStr"/>
      <c r="Y32" s="17" t="inlineStr">
        <is>
          <t>회사키+주소</t>
        </is>
      </c>
      <c r="Z32" s="17" t="n">
        <v>90</v>
      </c>
      <c r="AA32" s="17" t="inlineStr"/>
    </row>
    <row r="33">
      <c r="A33" s="30" t="inlineStr">
        <is>
          <t>S032</t>
        </is>
      </c>
      <c r="B33" s="17" t="inlineStr">
        <is>
          <t>P027</t>
        </is>
      </c>
      <c r="C33" s="17" t="inlineStr">
        <is>
          <t>카이바이오텍</t>
        </is>
      </c>
      <c r="D33" s="17" t="inlineStr">
        <is>
          <t>(주)카이바이오텍</t>
        </is>
      </c>
      <c r="E33" s="17" t="inlineStr">
        <is>
          <t>전북특별자치도 전주시 덕진구 백제대로 567</t>
        </is>
      </c>
      <c r="F33" s="17" t="inlineStr">
        <is>
          <t>전북특별자치도 전주시 덕진구 백제대로 567</t>
        </is>
      </c>
      <c r="G33" s="17" t="inlineStr">
        <is>
          <t>전북특별자치도 전주시 덕진구 백제대로 567</t>
        </is>
      </c>
      <c r="H33" s="17" t="inlineStr">
        <is>
          <t>(주)카이바이오텍-전북대병원점</t>
        </is>
      </c>
      <c r="I33" s="23" t="inlineStr">
        <is>
          <t>567</t>
        </is>
      </c>
      <c r="J33" s="17" t="inlineStr">
        <is>
          <t>1</t>
        </is>
      </c>
      <c r="K33" s="17" t="inlineStr">
        <is>
          <t>완제의약품</t>
        </is>
      </c>
      <c r="L33" s="17" t="inlineStr">
        <is>
          <t>무균-일반제제(방사성의약품)-주사제(주사제)</t>
        </is>
      </c>
      <c r="M33" s="24" t="n">
        <v>47268</v>
      </c>
      <c r="N33" s="17" t="inlineStr">
        <is>
          <t>Y</t>
        </is>
      </c>
      <c r="O33" s="17" t="inlineStr"/>
      <c r="P33" s="17" t="inlineStr">
        <is>
          <t>전북특별자치도</t>
        </is>
      </c>
      <c r="Q33" s="17" t="inlineStr">
        <is>
          <t>전주시</t>
        </is>
      </c>
      <c r="R33" s="17" t="inlineStr">
        <is>
          <t>GMP공장소재지</t>
        </is>
      </c>
      <c r="S33" s="17" t="n">
        <v>90</v>
      </c>
      <c r="T33" s="17" t="inlineStr">
        <is>
          <t>Y</t>
        </is>
      </c>
      <c r="U33" s="17" t="n">
        <v>1</v>
      </c>
      <c r="V33" s="24" t="n">
        <v>47268</v>
      </c>
      <c r="W33" s="17" t="inlineStr"/>
      <c r="X33" s="17" t="inlineStr"/>
      <c r="Y33" s="17" t="inlineStr">
        <is>
          <t>회사키+주소</t>
        </is>
      </c>
      <c r="Z33" s="17" t="n">
        <v>90</v>
      </c>
      <c r="AA33" s="17" t="inlineStr"/>
    </row>
    <row r="34">
      <c r="A34" s="30" t="inlineStr">
        <is>
          <t>S033</t>
        </is>
      </c>
      <c r="B34" s="17" t="inlineStr">
        <is>
          <t>P028</t>
        </is>
      </c>
      <c r="C34" s="17" t="inlineStr">
        <is>
          <t>셀릭스</t>
        </is>
      </c>
      <c r="D34" s="17" t="inlineStr">
        <is>
          <t>(주)셀릭스</t>
        </is>
      </c>
      <c r="E34" s="17" t="inlineStr">
        <is>
          <t>전북특별자치도 익산시 석암로9길 117</t>
        </is>
      </c>
      <c r="F34" s="17" t="inlineStr">
        <is>
          <t>전북특별자치도 익산시 석암로9길 117</t>
        </is>
      </c>
      <c r="G34" s="17" t="inlineStr">
        <is>
          <t>전북특별자치도 익산시 석암로9길 117</t>
        </is>
      </c>
      <c r="H34" s="17" t="inlineStr">
        <is>
          <t>익산</t>
        </is>
      </c>
      <c r="I34" s="23" t="inlineStr">
        <is>
          <t>1365</t>
        </is>
      </c>
      <c r="J34" s="17" t="inlineStr">
        <is>
          <t>1</t>
        </is>
      </c>
      <c r="K34" s="17" t="inlineStr">
        <is>
          <t>완제의약품</t>
        </is>
      </c>
      <c r="L34" s="17" t="inlineStr">
        <is>
          <t>비무균-일반제제-내용고형제(정제, 캡슐제)</t>
        </is>
      </c>
      <c r="M34" s="24" t="n">
        <v>47262</v>
      </c>
      <c r="N34" s="17" t="inlineStr"/>
      <c r="O34" s="17" t="inlineStr"/>
      <c r="P34" s="17" t="inlineStr">
        <is>
          <t>전북특별자치도</t>
        </is>
      </c>
      <c r="Q34" s="17" t="inlineStr">
        <is>
          <t>익산시</t>
        </is>
      </c>
      <c r="R34" s="17" t="inlineStr">
        <is>
          <t>GMP공장소재지</t>
        </is>
      </c>
      <c r="S34" s="17" t="n">
        <v>90</v>
      </c>
      <c r="T34" s="17" t="inlineStr">
        <is>
          <t>Y</t>
        </is>
      </c>
      <c r="U34" s="17" t="n">
        <v>1</v>
      </c>
      <c r="V34" s="24" t="n">
        <v>47262</v>
      </c>
      <c r="W34" s="17" t="inlineStr"/>
      <c r="X34" s="17" t="inlineStr"/>
      <c r="Y34" s="17" t="inlineStr">
        <is>
          <t>회사키+주소</t>
        </is>
      </c>
      <c r="Z34" s="17" t="n">
        <v>90</v>
      </c>
      <c r="AA34" s="17" t="inlineStr"/>
    </row>
    <row r="35">
      <c r="A35" s="30" t="inlineStr">
        <is>
          <t>S034</t>
        </is>
      </c>
      <c r="B35" s="17" t="inlineStr">
        <is>
          <t>P029</t>
        </is>
      </c>
      <c r="C35" s="17" t="inlineStr">
        <is>
          <t>아이월드제약</t>
        </is>
      </c>
      <c r="D35" s="17" t="inlineStr">
        <is>
          <t>(주)아이월드제약</t>
        </is>
      </c>
      <c r="E35" s="17" t="inlineStr">
        <is>
          <t>인천광역시 남동구 함박뫼로 316 17B-2L</t>
        </is>
      </c>
      <c r="F35" s="17" t="inlineStr">
        <is>
          <t>인천광역시 남동구 함박뫼로 316 17B-2L</t>
        </is>
      </c>
      <c r="G35" s="17" t="inlineStr">
        <is>
          <t>인천광역시 남동구 함박뫼로 316 17B-2L</t>
        </is>
      </c>
      <c r="H35" s="17" t="inlineStr">
        <is>
          <t>(주)아이월드제약</t>
        </is>
      </c>
      <c r="I35" s="23" t="inlineStr">
        <is>
          <t>2599</t>
        </is>
      </c>
      <c r="J35" s="17" t="inlineStr">
        <is>
          <t>1</t>
        </is>
      </c>
      <c r="K35" s="17" t="inlineStr">
        <is>
          <t>완제의약품</t>
        </is>
      </c>
      <c r="L35" s="17" t="inlineStr">
        <is>
          <t>비무균-일반제제-내용고형제(정제, 캡슐제, 산제, 과립제, 환제)</t>
        </is>
      </c>
      <c r="M35" s="24" t="n">
        <v>47256</v>
      </c>
      <c r="N35" s="17" t="inlineStr"/>
      <c r="O35" s="17" t="inlineStr"/>
      <c r="P35" s="17" t="inlineStr">
        <is>
          <t>인천광역시</t>
        </is>
      </c>
      <c r="Q35" s="17" t="inlineStr">
        <is>
          <t>남동구</t>
        </is>
      </c>
      <c r="R35" s="17" t="inlineStr">
        <is>
          <t>GMP공장소재지</t>
        </is>
      </c>
      <c r="S35" s="17" t="n">
        <v>90</v>
      </c>
      <c r="T35" s="17" t="inlineStr">
        <is>
          <t>Y</t>
        </is>
      </c>
      <c r="U35" s="17" t="n">
        <v>1</v>
      </c>
      <c r="V35" s="24" t="n">
        <v>47256</v>
      </c>
      <c r="W35" s="17" t="inlineStr"/>
      <c r="X35" s="17" t="inlineStr"/>
      <c r="Y35" s="17" t="inlineStr">
        <is>
          <t>회사키+주소</t>
        </is>
      </c>
      <c r="Z35" s="17" t="n">
        <v>90</v>
      </c>
      <c r="AA35" s="17" t="inlineStr"/>
    </row>
    <row r="36">
      <c r="A36" s="30" t="inlineStr">
        <is>
          <t>S035</t>
        </is>
      </c>
      <c r="B36" s="17" t="inlineStr">
        <is>
          <t>P030</t>
        </is>
      </c>
      <c r="C36" s="17" t="inlineStr">
        <is>
          <t>프로톡스</t>
        </is>
      </c>
      <c r="D36" s="17" t="inlineStr">
        <is>
          <t>(주)프로톡스</t>
        </is>
      </c>
      <c r="E36" s="17" t="inlineStr">
        <is>
          <t>경기도 화성시 향남읍 제약공단4길 94</t>
        </is>
      </c>
      <c r="F36" s="17" t="inlineStr">
        <is>
          <t>경기도 화성시 향남읍 제약공단4길 94</t>
        </is>
      </c>
      <c r="G36" s="17" t="inlineStr">
        <is>
          <t>경기도 화성시 향남읍 제약공단4길 94</t>
        </is>
      </c>
      <c r="H36" s="17" t="inlineStr">
        <is>
          <t>제1공장</t>
        </is>
      </c>
      <c r="I36" s="23" t="inlineStr">
        <is>
          <t>378</t>
        </is>
      </c>
      <c r="J36" s="17" t="inlineStr">
        <is>
          <t>1</t>
        </is>
      </c>
      <c r="K36" s="17" t="inlineStr">
        <is>
          <t>완제의약품</t>
        </is>
      </c>
      <c r="L36" s="17" t="inlineStr">
        <is>
          <t>생물-독소-주사제(동결건조주사제)</t>
        </is>
      </c>
      <c r="M36" s="24" t="n">
        <v>47255</v>
      </c>
      <c r="N36" s="17" t="inlineStr">
        <is>
          <t>Y</t>
        </is>
      </c>
      <c r="O36" s="17" t="inlineStr">
        <is>
          <t>Y</t>
        </is>
      </c>
      <c r="P36" s="17" t="inlineStr">
        <is>
          <t>경기도</t>
        </is>
      </c>
      <c r="Q36" s="17" t="inlineStr">
        <is>
          <t>화성시</t>
        </is>
      </c>
      <c r="R36" s="17" t="inlineStr">
        <is>
          <t>GMP공장소재지</t>
        </is>
      </c>
      <c r="S36" s="17" t="n">
        <v>90</v>
      </c>
      <c r="T36" s="17" t="inlineStr">
        <is>
          <t>Y</t>
        </is>
      </c>
      <c r="U36" s="17" t="n">
        <v>1</v>
      </c>
      <c r="V36" s="24" t="n">
        <v>47255</v>
      </c>
      <c r="W36" s="17" t="inlineStr"/>
      <c r="X36" s="17" t="inlineStr"/>
      <c r="Y36" s="17" t="inlineStr">
        <is>
          <t>회사키+주소</t>
        </is>
      </c>
      <c r="Z36" s="17" t="n">
        <v>90</v>
      </c>
      <c r="AA36" s="17" t="inlineStr"/>
    </row>
    <row r="37">
      <c r="A37" s="30" t="inlineStr">
        <is>
          <t>S036</t>
        </is>
      </c>
      <c r="B37" s="17" t="inlineStr">
        <is>
          <t>P031</t>
        </is>
      </c>
      <c r="C37" s="17" t="inlineStr">
        <is>
          <t>라이프슈티컬</t>
        </is>
      </c>
      <c r="D37" s="17" t="inlineStr">
        <is>
          <t>라이프슈티컬</t>
        </is>
      </c>
      <c r="E37" s="17" t="inlineStr">
        <is>
          <t>충청북도 제천시 바이오밸리2로 100</t>
        </is>
      </c>
      <c r="F37" s="17" t="inlineStr">
        <is>
          <t>충청북도 제천시 바이오밸리2로 100</t>
        </is>
      </c>
      <c r="G37" s="17" t="inlineStr">
        <is>
          <t>충청북도 제천시 바이오밸리2로 100</t>
        </is>
      </c>
      <c r="H37" s="17" t="inlineStr">
        <is>
          <t>제천</t>
        </is>
      </c>
      <c r="I37" s="23" t="inlineStr">
        <is>
          <t>256</t>
        </is>
      </c>
      <c r="J37" s="17" t="inlineStr">
        <is>
          <t>1</t>
        </is>
      </c>
      <c r="K37" s="17" t="inlineStr">
        <is>
          <t>원료의약품</t>
        </is>
      </c>
      <c r="L37" s="17" t="inlineStr">
        <is>
          <t>비무균-일반제제-발효, 무균-일반제제-정제(발효에 한함)</t>
        </is>
      </c>
      <c r="M37" s="24" t="n">
        <v>47255</v>
      </c>
      <c r="N37" s="17" t="inlineStr"/>
      <c r="O37" s="17" t="inlineStr"/>
      <c r="P37" s="17" t="inlineStr">
        <is>
          <t>충청북도</t>
        </is>
      </c>
      <c r="Q37" s="17" t="inlineStr">
        <is>
          <t>제천시</t>
        </is>
      </c>
      <c r="R37" s="17" t="inlineStr">
        <is>
          <t>GMP공장소재지</t>
        </is>
      </c>
      <c r="S37" s="17" t="n">
        <v>90</v>
      </c>
      <c r="T37" s="17" t="inlineStr">
        <is>
          <t>Y</t>
        </is>
      </c>
      <c r="U37" s="17" t="n">
        <v>1</v>
      </c>
      <c r="V37" s="24" t="n">
        <v>47255</v>
      </c>
      <c r="W37" s="17" t="inlineStr"/>
      <c r="X37" s="17" t="inlineStr"/>
      <c r="Y37" s="17" t="inlineStr">
        <is>
          <t>회사키+주소</t>
        </is>
      </c>
      <c r="Z37" s="17" t="n">
        <v>90</v>
      </c>
      <c r="AA37" s="17" t="inlineStr"/>
    </row>
    <row r="38">
      <c r="A38" s="30" t="inlineStr">
        <is>
          <t>S037</t>
        </is>
      </c>
      <c r="B38" s="17" t="inlineStr">
        <is>
          <t>P032</t>
        </is>
      </c>
      <c r="C38" s="17" t="inlineStr">
        <is>
          <t>제주대학교병원</t>
        </is>
      </c>
      <c r="D38" s="17" t="inlineStr">
        <is>
          <t>제주대학교병원</t>
        </is>
      </c>
      <c r="E38" s="17" t="inlineStr">
        <is>
          <t>제주특별자치도 제주시 아란13길 15</t>
        </is>
      </c>
      <c r="F38" s="17" t="inlineStr">
        <is>
          <t>제주특별자치도 제주시 아란13길 15</t>
        </is>
      </c>
      <c r="G38" s="17" t="inlineStr">
        <is>
          <t>제주특별자치도 제주시 아란13길 15</t>
        </is>
      </c>
      <c r="H38" s="17" t="inlineStr">
        <is>
          <t>제주대학교병원</t>
        </is>
      </c>
      <c r="I38" s="23" t="inlineStr">
        <is>
          <t>304</t>
        </is>
      </c>
      <c r="J38" s="17" t="inlineStr">
        <is>
          <t>1</t>
        </is>
      </c>
      <c r="K38" s="17" t="inlineStr">
        <is>
          <t>완제의약품</t>
        </is>
      </c>
      <c r="L38" s="17" t="inlineStr">
        <is>
          <t>무균-일반제제(방사성의약품)-주사제(주사제)</t>
        </is>
      </c>
      <c r="M38" s="24" t="n">
        <v>47254</v>
      </c>
      <c r="N38" s="17" t="inlineStr">
        <is>
          <t>Y</t>
        </is>
      </c>
      <c r="O38" s="17" t="inlineStr"/>
      <c r="P38" s="17" t="inlineStr">
        <is>
          <t>제주특별자치도</t>
        </is>
      </c>
      <c r="Q38" s="17" t="inlineStr">
        <is>
          <t>제주시</t>
        </is>
      </c>
      <c r="R38" s="17" t="inlineStr">
        <is>
          <t>GMP공장소재지</t>
        </is>
      </c>
      <c r="S38" s="17" t="n">
        <v>90</v>
      </c>
      <c r="T38" s="17" t="inlineStr">
        <is>
          <t>Y</t>
        </is>
      </c>
      <c r="U38" s="17" t="n">
        <v>1</v>
      </c>
      <c r="V38" s="24" t="n">
        <v>47254</v>
      </c>
      <c r="W38" s="17" t="inlineStr"/>
      <c r="X38" s="17" t="inlineStr"/>
      <c r="Y38" s="17" t="inlineStr">
        <is>
          <t>회사키+주소</t>
        </is>
      </c>
      <c r="Z38" s="17" t="n">
        <v>90</v>
      </c>
      <c r="AA38" s="17" t="inlineStr"/>
    </row>
    <row r="39">
      <c r="A39" s="30" t="inlineStr">
        <is>
          <t>S038</t>
        </is>
      </c>
      <c r="B39" s="17" t="inlineStr">
        <is>
          <t>P033</t>
        </is>
      </c>
      <c r="C39" s="17" t="inlineStr">
        <is>
          <t>삼성서울병원</t>
        </is>
      </c>
      <c r="D39" s="17" t="inlineStr">
        <is>
          <t>삼성서울병원</t>
        </is>
      </c>
      <c r="E39" s="17" t="inlineStr">
        <is>
          <t>서울특별시 강남구 일원로 81 양성자센터 지하 2층 방사성의약품제조소</t>
        </is>
      </c>
      <c r="F39" s="17" t="inlineStr">
        <is>
          <t>서울특별시 강남구 일원로 81 양성자센터 지하 2층 방사성의약품제조소</t>
        </is>
      </c>
      <c r="G39" s="17" t="inlineStr">
        <is>
          <t>서울특별시 강남구 일원로 81 양성자센터 지하 2층 방사성의약품제조소</t>
        </is>
      </c>
      <c r="H39" s="17" t="inlineStr">
        <is>
          <t>양성자센터 지하 2층 방사성의약품제조소</t>
        </is>
      </c>
      <c r="I39" s="23" t="inlineStr">
        <is>
          <t>2221</t>
        </is>
      </c>
      <c r="J39" s="17" t="inlineStr">
        <is>
          <t>1</t>
        </is>
      </c>
      <c r="K39" s="17" t="inlineStr">
        <is>
          <t>완제의약품</t>
        </is>
      </c>
      <c r="L39" s="17" t="inlineStr">
        <is>
          <t>무균-일반제제(방사성의약품)-주사제(주사제)</t>
        </is>
      </c>
      <c r="M39" s="24" t="n">
        <v>47249</v>
      </c>
      <c r="N39" s="17" t="inlineStr">
        <is>
          <t>Y</t>
        </is>
      </c>
      <c r="O39" s="17" t="inlineStr"/>
      <c r="P39" s="17" t="inlineStr">
        <is>
          <t>서울특별시</t>
        </is>
      </c>
      <c r="Q39" s="17" t="inlineStr">
        <is>
          <t>강남구</t>
        </is>
      </c>
      <c r="R39" s="17" t="inlineStr">
        <is>
          <t>GMP공장소재지</t>
        </is>
      </c>
      <c r="S39" s="17" t="n">
        <v>90</v>
      </c>
      <c r="T39" s="17" t="inlineStr">
        <is>
          <t>Y</t>
        </is>
      </c>
      <c r="U39" s="17" t="n">
        <v>1</v>
      </c>
      <c r="V39" s="24" t="n">
        <v>47249</v>
      </c>
      <c r="W39" s="17" t="inlineStr"/>
      <c r="X39" s="17" t="inlineStr"/>
      <c r="Y39" s="17" t="inlineStr">
        <is>
          <t>회사키+주소</t>
        </is>
      </c>
      <c r="Z39" s="17" t="n">
        <v>90</v>
      </c>
      <c r="AA39" s="17" t="inlineStr"/>
    </row>
    <row r="40">
      <c r="A40" s="30" t="inlineStr">
        <is>
          <t>S039</t>
        </is>
      </c>
      <c r="B40" s="17" t="inlineStr">
        <is>
          <t>P034</t>
        </is>
      </c>
      <c r="C40" s="17" t="inlineStr">
        <is>
          <t>동아제약</t>
        </is>
      </c>
      <c r="D40" s="17" t="inlineStr">
        <is>
          <t>동아제약(주)</t>
        </is>
      </c>
      <c r="E40" s="17" t="inlineStr">
        <is>
          <t>충청남도 당진시 합덕읍 인더스파크로 22</t>
        </is>
      </c>
      <c r="F40" s="17" t="inlineStr">
        <is>
          <t>충청남도 당진시 합덕읍 인더스파크로 22</t>
        </is>
      </c>
      <c r="G40" s="17" t="inlineStr">
        <is>
          <t>충청남도 당진시 합덕읍 인더스파크로 22</t>
        </is>
      </c>
      <c r="H40" s="17" t="inlineStr">
        <is>
          <t>당진</t>
        </is>
      </c>
      <c r="I40" s="23" t="inlineStr">
        <is>
          <t>2606</t>
        </is>
      </c>
      <c r="J40" s="17" t="inlineStr">
        <is>
          <t>6</t>
        </is>
      </c>
      <c r="K40" s="17" t="inlineStr">
        <is>
          <t>완제의약품</t>
        </is>
      </c>
      <c r="L40" s="17" t="inlineStr">
        <is>
          <t>비무균-일반제제-내용액제(경구용액제)</t>
        </is>
      </c>
      <c r="M40" s="24" t="n">
        <v>47249</v>
      </c>
      <c r="N40" s="17" t="inlineStr"/>
      <c r="O40" s="17" t="inlineStr"/>
      <c r="P40" s="17" t="inlineStr">
        <is>
          <t>충청남도</t>
        </is>
      </c>
      <c r="Q40" s="17" t="inlineStr">
        <is>
          <t>당진시</t>
        </is>
      </c>
      <c r="R40" s="17" t="inlineStr">
        <is>
          <t>GMP공장소재지</t>
        </is>
      </c>
      <c r="S40" s="17" t="n">
        <v>90</v>
      </c>
      <c r="T40" s="17" t="inlineStr">
        <is>
          <t>Y</t>
        </is>
      </c>
      <c r="U40" s="17" t="n">
        <v>1</v>
      </c>
      <c r="V40" s="24" t="n">
        <v>47249</v>
      </c>
      <c r="W40" s="17" t="inlineStr"/>
      <c r="X40" s="17" t="inlineStr"/>
      <c r="Y40" s="17" t="inlineStr">
        <is>
          <t>회사키+주소</t>
        </is>
      </c>
      <c r="Z40" s="17" t="n">
        <v>90</v>
      </c>
      <c r="AA40" s="17" t="inlineStr"/>
    </row>
    <row r="41">
      <c r="A41" s="30" t="inlineStr">
        <is>
          <t>S040</t>
        </is>
      </c>
      <c r="B41" s="17" t="inlineStr">
        <is>
          <t>P035</t>
        </is>
      </c>
      <c r="C41" s="17" t="inlineStr">
        <is>
          <t>화순전남대학병원</t>
        </is>
      </c>
      <c r="D41" s="17" t="inlineStr">
        <is>
          <t>화순전남대학병원</t>
        </is>
      </c>
      <c r="E41" s="17" t="inlineStr">
        <is>
          <t>전라남도 화순군 화순읍 서양로 322 화순전남대학교병원</t>
        </is>
      </c>
      <c r="F41" s="17" t="inlineStr">
        <is>
          <t>전라남도 화순군 화순읍 서양로 322 화순전남대학교병원</t>
        </is>
      </c>
      <c r="G41" s="17" t="inlineStr">
        <is>
          <t>전라남도 화순군 화순읍 서양로 322 화순전남대학교병원</t>
        </is>
      </c>
      <c r="H41" s="17" t="inlineStr">
        <is>
          <t>화순군</t>
        </is>
      </c>
      <c r="I41" s="23" t="inlineStr">
        <is>
          <t>2444</t>
        </is>
      </c>
      <c r="J41" s="17" t="inlineStr">
        <is>
          <t>1</t>
        </is>
      </c>
      <c r="K41" s="17" t="inlineStr">
        <is>
          <t>완제의약품</t>
        </is>
      </c>
      <c r="L41" s="17" t="inlineStr">
        <is>
          <t>무균-일반제제(방사성의약품)-주사제(주사제)</t>
        </is>
      </c>
      <c r="M41" s="24" t="n">
        <v>47247</v>
      </c>
      <c r="N41" s="17" t="inlineStr">
        <is>
          <t>Y</t>
        </is>
      </c>
      <c r="O41" s="17" t="inlineStr"/>
      <c r="P41" s="17" t="inlineStr">
        <is>
          <t>전라남도</t>
        </is>
      </c>
      <c r="Q41" s="17" t="inlineStr">
        <is>
          <t>화순군</t>
        </is>
      </c>
      <c r="R41" s="17" t="inlineStr">
        <is>
          <t>GMP공장소재지</t>
        </is>
      </c>
      <c r="S41" s="17" t="n">
        <v>90</v>
      </c>
      <c r="T41" s="17" t="inlineStr">
        <is>
          <t>Y</t>
        </is>
      </c>
      <c r="U41" s="17" t="n">
        <v>1</v>
      </c>
      <c r="V41" s="24" t="n">
        <v>47247</v>
      </c>
      <c r="W41" s="17" t="inlineStr"/>
      <c r="X41" s="17" t="inlineStr"/>
      <c r="Y41" s="17" t="inlineStr">
        <is>
          <t>회사키+주소</t>
        </is>
      </c>
      <c r="Z41" s="17" t="n">
        <v>90</v>
      </c>
      <c r="AA41" s="17" t="inlineStr"/>
    </row>
    <row r="42">
      <c r="A42" s="30" t="inlineStr">
        <is>
          <t>S041</t>
        </is>
      </c>
      <c r="B42" s="17" t="inlineStr">
        <is>
          <t>P036</t>
        </is>
      </c>
      <c r="C42" s="17" t="inlineStr">
        <is>
          <t>한국특수가스</t>
        </is>
      </c>
      <c r="D42" s="17" t="inlineStr">
        <is>
          <t>한국특수가스(주)</t>
        </is>
      </c>
      <c r="E42" s="17" t="inlineStr">
        <is>
          <t>광주광역시 광산구 평동로803번길 93</t>
        </is>
      </c>
      <c r="F42" s="17" t="inlineStr">
        <is>
          <t>광주광역시 광산구 평동로803번길 93</t>
        </is>
      </c>
      <c r="G42" s="17" t="inlineStr">
        <is>
          <t>광주광역시 광산구 평동로803번길 93</t>
        </is>
      </c>
      <c r="H42" s="17" t="inlineStr">
        <is>
          <t>한국특수가스(주)광주사업장</t>
        </is>
      </c>
      <c r="I42" s="23" t="inlineStr">
        <is>
          <t>1909</t>
        </is>
      </c>
      <c r="J42" s="17" t="inlineStr">
        <is>
          <t>2</t>
        </is>
      </c>
      <c r="K42" s="17" t="inlineStr">
        <is>
          <t>완제의약품</t>
        </is>
      </c>
      <c r="L42" s="17" t="inlineStr">
        <is>
          <t>비무균-일반제제(의료용 고압가스)-가스제(의료용 고압가스)</t>
        </is>
      </c>
      <c r="M42" s="24" t="n">
        <v>47246</v>
      </c>
      <c r="N42" s="17" t="inlineStr"/>
      <c r="O42" s="17" t="inlineStr"/>
      <c r="P42" s="17" t="inlineStr">
        <is>
          <t>광주광역시</t>
        </is>
      </c>
      <c r="Q42" s="17" t="inlineStr">
        <is>
          <t>광산구</t>
        </is>
      </c>
      <c r="R42" s="17" t="inlineStr">
        <is>
          <t>GMP공장소재지</t>
        </is>
      </c>
      <c r="S42" s="17" t="n">
        <v>90</v>
      </c>
      <c r="T42" s="17" t="inlineStr">
        <is>
          <t>Y</t>
        </is>
      </c>
      <c r="U42" s="17" t="n">
        <v>1</v>
      </c>
      <c r="V42" s="24" t="n">
        <v>47246</v>
      </c>
      <c r="W42" s="17" t="inlineStr"/>
      <c r="X42" s="17" t="inlineStr"/>
      <c r="Y42" s="17" t="inlineStr">
        <is>
          <t>회사키+주소</t>
        </is>
      </c>
      <c r="Z42" s="17" t="n">
        <v>90</v>
      </c>
      <c r="AA42" s="17" t="inlineStr"/>
    </row>
    <row r="43">
      <c r="A43" s="30" t="inlineStr">
        <is>
          <t>S042</t>
        </is>
      </c>
      <c r="B43" s="17" t="inlineStr">
        <is>
          <t>P037</t>
        </is>
      </c>
      <c r="C43" s="17" t="inlineStr">
        <is>
          <t>큐로셀</t>
        </is>
      </c>
      <c r="D43" s="17" t="inlineStr">
        <is>
          <t>주식회사 큐로셀</t>
        </is>
      </c>
      <c r="E43" s="17" t="inlineStr">
        <is>
          <t>대전광역시 유성구 국제과학16로 11</t>
        </is>
      </c>
      <c r="F43" s="17" t="inlineStr"/>
      <c r="G43" s="17" t="inlineStr">
        <is>
          <t>대전광역시 유성구 국제과학16로 11</t>
        </is>
      </c>
      <c r="H43" s="17" t="inlineStr">
        <is>
          <t>미확인</t>
        </is>
      </c>
      <c r="I43" s="23" t="inlineStr">
        <is>
          <t>미확인</t>
        </is>
      </c>
      <c r="J43" s="17" t="inlineStr"/>
      <c r="K43" s="17" t="inlineStr">
        <is>
          <t>완제의약품</t>
        </is>
      </c>
      <c r="L43" s="17" t="inlineStr">
        <is>
          <t>생물-유전자치료제-주사제(첨단바이오의약품)(주사제)</t>
        </is>
      </c>
      <c r="M43" s="24" t="n">
        <v>47243</v>
      </c>
      <c r="N43" s="17" t="inlineStr">
        <is>
          <t>Y</t>
        </is>
      </c>
      <c r="O43" s="17" t="inlineStr">
        <is>
          <t>Y</t>
        </is>
      </c>
      <c r="P43" s="17" t="inlineStr">
        <is>
          <t>대전광역시</t>
        </is>
      </c>
      <c r="Q43" s="17" t="inlineStr">
        <is>
          <t>유성구</t>
        </is>
      </c>
      <c r="R43" s="17" t="inlineStr">
        <is>
          <t>GMP공장소재지</t>
        </is>
      </c>
      <c r="S43" s="17" t="n">
        <v>0</v>
      </c>
      <c r="T43" s="17" t="inlineStr">
        <is>
          <t>Y</t>
        </is>
      </c>
      <c r="U43" s="17" t="n">
        <v>1</v>
      </c>
      <c r="V43" s="24" t="n">
        <v>47243</v>
      </c>
      <c r="W43" s="17" t="inlineStr"/>
      <c r="X43" s="17" t="inlineStr"/>
      <c r="Y43" s="17" t="inlineStr">
        <is>
          <t>무매칭</t>
        </is>
      </c>
      <c r="Z43" s="17" t="n">
        <v>0</v>
      </c>
      <c r="AA43" s="17" t="inlineStr">
        <is>
          <t>Y</t>
        </is>
      </c>
    </row>
    <row r="44">
      <c r="A44" s="30" t="inlineStr">
        <is>
          <t>S043</t>
        </is>
      </c>
      <c r="B44" s="17" t="inlineStr">
        <is>
          <t>P038</t>
        </is>
      </c>
      <c r="C44" s="17" t="inlineStr">
        <is>
          <t>한국코러스</t>
        </is>
      </c>
      <c r="D44" s="17" t="inlineStr">
        <is>
          <t>한국코러스(주)</t>
        </is>
      </c>
      <c r="E44" s="17" t="inlineStr">
        <is>
          <t>강원특별자치도 춘천시 동내면 거두단지 1길11</t>
        </is>
      </c>
      <c r="F44" s="17" t="inlineStr">
        <is>
          <t>강원특별자치도 춘천시 동내면 거두단지 1길11</t>
        </is>
      </c>
      <c r="G44" s="17" t="inlineStr">
        <is>
          <t>강원특별자치도 춘천시 동내면 거두단지 1길11</t>
        </is>
      </c>
      <c r="H44" s="17" t="inlineStr">
        <is>
          <t>춘천</t>
        </is>
      </c>
      <c r="I44" s="23" t="inlineStr">
        <is>
          <t>1728</t>
        </is>
      </c>
      <c r="J44" s="17" t="inlineStr">
        <is>
          <t>3</t>
        </is>
      </c>
      <c r="K44" s="17" t="inlineStr">
        <is>
          <t>원료의약품</t>
        </is>
      </c>
      <c r="L44" s="17" t="inlineStr">
        <is>
          <t>비무균-일반제제-정제(추출에 한함)</t>
        </is>
      </c>
      <c r="M44" s="24" t="n">
        <v>47241</v>
      </c>
      <c r="N44" s="17" t="inlineStr"/>
      <c r="O44" s="17" t="inlineStr"/>
      <c r="P44" s="17" t="inlineStr">
        <is>
          <t>강원특별자치도</t>
        </is>
      </c>
      <c r="Q44" s="17" t="inlineStr">
        <is>
          <t>춘천시</t>
        </is>
      </c>
      <c r="R44" s="17" t="inlineStr">
        <is>
          <t>GMP공장소재지</t>
        </is>
      </c>
      <c r="S44" s="17" t="n">
        <v>90</v>
      </c>
      <c r="T44" s="17" t="inlineStr">
        <is>
          <t>Y</t>
        </is>
      </c>
      <c r="U44" s="17" t="n">
        <v>2</v>
      </c>
      <c r="V44" s="24" t="n">
        <v>46947</v>
      </c>
      <c r="W44" s="17" t="inlineStr"/>
      <c r="X44" s="17" t="inlineStr"/>
      <c r="Y44" s="17" t="inlineStr">
        <is>
          <t>회사키+주소</t>
        </is>
      </c>
      <c r="Z44" s="17" t="n">
        <v>90</v>
      </c>
      <c r="AA44" s="17" t="inlineStr"/>
    </row>
    <row r="45">
      <c r="A45" s="30" t="inlineStr">
        <is>
          <t>S044</t>
        </is>
      </c>
      <c r="B45" s="17" t="inlineStr">
        <is>
          <t>P039</t>
        </is>
      </c>
      <c r="C45" s="17" t="inlineStr">
        <is>
          <t>선도산업</t>
        </is>
      </c>
      <c r="D45" s="17" t="inlineStr">
        <is>
          <t>선도산업(주)</t>
        </is>
      </c>
      <c r="E45" s="17" t="inlineStr">
        <is>
          <t>충청북도 진천군 이월면 산수산단2로 241</t>
        </is>
      </c>
      <c r="F45" s="17" t="inlineStr">
        <is>
          <t>충청북도 진천군 이월면 산수산단2로 241</t>
        </is>
      </c>
      <c r="G45" s="17" t="inlineStr">
        <is>
          <t>충청북도 진천군 이월면 산수산단2로 241</t>
        </is>
      </c>
      <c r="H45" s="17" t="inlineStr">
        <is>
          <t>진천공장</t>
        </is>
      </c>
      <c r="I45" s="23" t="inlineStr">
        <is>
          <t>2188</t>
        </is>
      </c>
      <c r="J45" s="17" t="inlineStr">
        <is>
          <t>3</t>
        </is>
      </c>
      <c r="K45" s="17" t="inlineStr">
        <is>
          <t>완제의약품</t>
        </is>
      </c>
      <c r="L45" s="17" t="inlineStr">
        <is>
          <t>비무균-일반제제(의료용 고압가스)-가스제(의료용 고압가스)</t>
        </is>
      </c>
      <c r="M45" s="24" t="n">
        <v>47241</v>
      </c>
      <c r="N45" s="17" t="inlineStr"/>
      <c r="O45" s="17" t="inlineStr"/>
      <c r="P45" s="17" t="inlineStr">
        <is>
          <t>충청북도</t>
        </is>
      </c>
      <c r="Q45" s="17" t="inlineStr">
        <is>
          <t>진천군</t>
        </is>
      </c>
      <c r="R45" s="17" t="inlineStr">
        <is>
          <t>GMP공장소재지</t>
        </is>
      </c>
      <c r="S45" s="17" t="n">
        <v>90</v>
      </c>
      <c r="T45" s="17" t="inlineStr">
        <is>
          <t>Y</t>
        </is>
      </c>
      <c r="U45" s="17" t="n">
        <v>1</v>
      </c>
      <c r="V45" s="24" t="n">
        <v>47241</v>
      </c>
      <c r="W45" s="17" t="inlineStr"/>
      <c r="X45" s="17" t="inlineStr"/>
      <c r="Y45" s="17" t="inlineStr">
        <is>
          <t>회사키+주소</t>
        </is>
      </c>
      <c r="Z45" s="17" t="n">
        <v>90</v>
      </c>
      <c r="AA45" s="17" t="inlineStr"/>
    </row>
    <row r="46">
      <c r="A46" s="30" t="inlineStr">
        <is>
          <t>S045</t>
        </is>
      </c>
      <c r="B46" s="17" t="inlineStr">
        <is>
          <t>P040</t>
        </is>
      </c>
      <c r="C46" s="17" t="inlineStr">
        <is>
          <t>엘앤씨바이오</t>
        </is>
      </c>
      <c r="D46" s="17" t="inlineStr">
        <is>
          <t>(주)엘앤씨바이오</t>
        </is>
      </c>
      <c r="E46" s="17" t="inlineStr">
        <is>
          <t>경기도 안성시 공단2로 104 가동 1층</t>
        </is>
      </c>
      <c r="F46" s="17" t="inlineStr">
        <is>
          <t>경기도 안성시 공단2로 104 가동 1층</t>
        </is>
      </c>
      <c r="G46" s="17" t="inlineStr">
        <is>
          <t>경기도 안성시 공단2로 104 가동 1층</t>
        </is>
      </c>
      <c r="H46" s="17" t="inlineStr">
        <is>
          <t>(주)엘앤씨바이오</t>
        </is>
      </c>
      <c r="I46" s="23" t="inlineStr">
        <is>
          <t>381</t>
        </is>
      </c>
      <c r="J46" s="17" t="inlineStr">
        <is>
          <t>1</t>
        </is>
      </c>
      <c r="K46" s="17" t="inlineStr">
        <is>
          <t>완제의약품</t>
        </is>
      </c>
      <c r="L46" s="17" t="inlineStr">
        <is>
          <t>비무균-일반제제-내용고형제(정제, 캡슐제)</t>
        </is>
      </c>
      <c r="M46" s="24" t="n">
        <v>47233</v>
      </c>
      <c r="N46" s="17" t="inlineStr"/>
      <c r="O46" s="17" t="inlineStr"/>
      <c r="P46" s="17" t="inlineStr">
        <is>
          <t>경기도</t>
        </is>
      </c>
      <c r="Q46" s="17" t="inlineStr">
        <is>
          <t>안성시</t>
        </is>
      </c>
      <c r="R46" s="17" t="inlineStr">
        <is>
          <t>GMP공장소재지</t>
        </is>
      </c>
      <c r="S46" s="17" t="n">
        <v>90</v>
      </c>
      <c r="T46" s="17" t="inlineStr">
        <is>
          <t>Y</t>
        </is>
      </c>
      <c r="U46" s="17" t="n">
        <v>1</v>
      </c>
      <c r="V46" s="24" t="n">
        <v>47233</v>
      </c>
      <c r="W46" s="17" t="inlineStr"/>
      <c r="X46" s="17" t="inlineStr"/>
      <c r="Y46" s="17" t="inlineStr">
        <is>
          <t>회사키+주소</t>
        </is>
      </c>
      <c r="Z46" s="17" t="n">
        <v>90</v>
      </c>
      <c r="AA46" s="17" t="inlineStr"/>
    </row>
    <row r="47">
      <c r="A47" s="30" t="inlineStr">
        <is>
          <t>S046</t>
        </is>
      </c>
      <c r="B47" s="17" t="inlineStr">
        <is>
          <t>P041</t>
        </is>
      </c>
      <c r="C47" s="17" t="inlineStr">
        <is>
          <t>퓨쳐켐</t>
        </is>
      </c>
      <c r="D47" s="17" t="inlineStr">
        <is>
          <t>(주)퓨쳐켐</t>
        </is>
      </c>
      <c r="E47" s="17" t="inlineStr">
        <is>
          <t>서울특별시 강서구 공항대로 260 이화의대부속서울병원 지하1층(방사성의약품)</t>
        </is>
      </c>
      <c r="F47" s="17" t="inlineStr">
        <is>
          <t>서울특별시 강서구 공항대로 260 이화의대부속서울병원 지하1층(방사성의약품)</t>
        </is>
      </c>
      <c r="G47" s="17" t="inlineStr">
        <is>
          <t>서울특별시 강서구 공항대로 260 이화의대부속서울병원 지하1층(방사성의약품)</t>
        </is>
      </c>
      <c r="H47" s="17" t="inlineStr">
        <is>
          <t>제3공장</t>
        </is>
      </c>
      <c r="I47" s="23" t="inlineStr">
        <is>
          <t>6151</t>
        </is>
      </c>
      <c r="J47" s="17" t="inlineStr">
        <is>
          <t>3</t>
        </is>
      </c>
      <c r="K47" s="17" t="inlineStr">
        <is>
          <t>완제의약품</t>
        </is>
      </c>
      <c r="L47" s="17" t="inlineStr">
        <is>
          <t>무균-일반제제(방사성의약품)-주사제(주사제)</t>
        </is>
      </c>
      <c r="M47" s="24" t="n">
        <v>47228</v>
      </c>
      <c r="N47" s="17" t="inlineStr">
        <is>
          <t>Y</t>
        </is>
      </c>
      <c r="O47" s="17" t="inlineStr"/>
      <c r="P47" s="17" t="inlineStr">
        <is>
          <t>서울특별시</t>
        </is>
      </c>
      <c r="Q47" s="17" t="inlineStr">
        <is>
          <t>강서구</t>
        </is>
      </c>
      <c r="R47" s="17" t="inlineStr">
        <is>
          <t>GMP공장소재지</t>
        </is>
      </c>
      <c r="S47" s="17" t="n">
        <v>90</v>
      </c>
      <c r="T47" s="17" t="inlineStr">
        <is>
          <t>Y</t>
        </is>
      </c>
      <c r="U47" s="17" t="n">
        <v>1</v>
      </c>
      <c r="V47" s="24" t="n">
        <v>47228</v>
      </c>
      <c r="W47" s="17" t="inlineStr"/>
      <c r="X47" s="17" t="inlineStr"/>
      <c r="Y47" s="17" t="inlineStr">
        <is>
          <t>회사키+주소</t>
        </is>
      </c>
      <c r="Z47" s="17" t="n">
        <v>90</v>
      </c>
      <c r="AA47" s="17" t="inlineStr"/>
    </row>
    <row r="48">
      <c r="A48" s="30" t="inlineStr">
        <is>
          <t>S047</t>
        </is>
      </c>
      <c r="B48" s="17" t="inlineStr">
        <is>
          <t>P042</t>
        </is>
      </c>
      <c r="C48" s="17" t="inlineStr">
        <is>
          <t>동성제약</t>
        </is>
      </c>
      <c r="D48" s="17" t="inlineStr">
        <is>
          <t>동성제약(주)</t>
        </is>
      </c>
      <c r="E48" s="17" t="inlineStr">
        <is>
          <t>충청남도 아산시 둔포면 관대안길 45</t>
        </is>
      </c>
      <c r="F48" s="17" t="inlineStr">
        <is>
          <t>충청남도 아산시 둔포면 관대안길 45</t>
        </is>
      </c>
      <c r="G48" s="17" t="inlineStr">
        <is>
          <t>충청남도 아산시 둔포면 관대안길 45</t>
        </is>
      </c>
      <c r="H48" s="17" t="inlineStr">
        <is>
          <t>아산</t>
        </is>
      </c>
      <c r="I48" s="23" t="inlineStr">
        <is>
          <t>1693</t>
        </is>
      </c>
      <c r="J48" s="17" t="inlineStr">
        <is>
          <t>1</t>
        </is>
      </c>
      <c r="K48" s="17" t="inlineStr">
        <is>
          <t>완제의약품</t>
        </is>
      </c>
      <c r="L48" s="17" t="inlineStr">
        <is>
          <t>비무균-일반제제-내용고형제(정제, 캡슐제, 환제), 비무균-성호르몬제-내용액제(경구용액제), 비무균-일반제제-외용액제(외용액제, 로션제), 비무균-일반제제-연고제(연고제, 크림제, 겔제)</t>
        </is>
      </c>
      <c r="M48" s="24" t="n">
        <v>47228</v>
      </c>
      <c r="N48" s="17" t="inlineStr"/>
      <c r="O48" s="17" t="inlineStr"/>
      <c r="P48" s="17" t="inlineStr">
        <is>
          <t>충청남도</t>
        </is>
      </c>
      <c r="Q48" s="17" t="inlineStr">
        <is>
          <t>아산시</t>
        </is>
      </c>
      <c r="R48" s="17" t="inlineStr">
        <is>
          <t>GMP공장소재지</t>
        </is>
      </c>
      <c r="S48" s="17" t="n">
        <v>90</v>
      </c>
      <c r="T48" s="17" t="inlineStr">
        <is>
          <t>Y</t>
        </is>
      </c>
      <c r="U48" s="17" t="n">
        <v>1</v>
      </c>
      <c r="V48" s="24" t="n">
        <v>47228</v>
      </c>
      <c r="W48" s="17" t="inlineStr"/>
      <c r="X48" s="17" t="inlineStr"/>
      <c r="Y48" s="17" t="inlineStr">
        <is>
          <t>회사키+주소</t>
        </is>
      </c>
      <c r="Z48" s="17" t="n">
        <v>90</v>
      </c>
      <c r="AA48" s="17" t="inlineStr"/>
    </row>
    <row r="49">
      <c r="A49" s="30" t="inlineStr">
        <is>
          <t>S048</t>
        </is>
      </c>
      <c r="B49" s="17" t="inlineStr">
        <is>
          <t>P043</t>
        </is>
      </c>
      <c r="C49" s="17" t="inlineStr">
        <is>
          <t>대한약품공업</t>
        </is>
      </c>
      <c r="D49" s="17" t="inlineStr">
        <is>
          <t>대한약품공업(주)</t>
        </is>
      </c>
      <c r="E49" s="17" t="inlineStr">
        <is>
          <t>경기도 안산시 단원구 산단로 77</t>
        </is>
      </c>
      <c r="F49" s="17" t="inlineStr">
        <is>
          <t>경기도 안산시 단원구 산단로67번길 30</t>
        </is>
      </c>
      <c r="G49" s="17" t="inlineStr">
        <is>
          <t>경기도 안산시 단원구 산단로 77</t>
        </is>
      </c>
      <c r="H49" s="17" t="inlineStr">
        <is>
          <t>보관소</t>
        </is>
      </c>
      <c r="I49" s="23" t="inlineStr">
        <is>
          <t>1303</t>
        </is>
      </c>
      <c r="J49" s="17" t="inlineStr">
        <is>
          <t>3</t>
        </is>
      </c>
      <c r="K49" s="17" t="inlineStr">
        <is>
          <t>완제의약품</t>
        </is>
      </c>
      <c r="L49" s="17" t="inlineStr">
        <is>
          <t>무균-일반제제-주사제(주사제, 수액제, 관류제), 비무균-일반제제-내용액제(경구용액제, 흡입액제), 비무균-일반제제-외용액제(외용액제, 혈액투석제(액상))</t>
        </is>
      </c>
      <c r="M49" s="24" t="n">
        <v>47228</v>
      </c>
      <c r="N49" s="17" t="inlineStr">
        <is>
          <t>Y</t>
        </is>
      </c>
      <c r="O49" s="17" t="inlineStr"/>
      <c r="P49" s="17" t="inlineStr">
        <is>
          <t>경기도</t>
        </is>
      </c>
      <c r="Q49" s="17" t="inlineStr">
        <is>
          <t>안산시</t>
        </is>
      </c>
      <c r="R49" s="17" t="inlineStr">
        <is>
          <t>GMP공장소재지</t>
        </is>
      </c>
      <c r="S49" s="17" t="n">
        <v>90</v>
      </c>
      <c r="T49" s="17" t="inlineStr">
        <is>
          <t>Y</t>
        </is>
      </c>
      <c r="U49" s="17" t="n">
        <v>1</v>
      </c>
      <c r="V49" s="24" t="n">
        <v>47228</v>
      </c>
      <c r="W49" s="17" t="inlineStr"/>
      <c r="X49" s="17" t="inlineStr"/>
      <c r="Y49" s="17" t="inlineStr">
        <is>
          <t>회사키+주소</t>
        </is>
      </c>
      <c r="Z49" s="17" t="n">
        <v>90</v>
      </c>
      <c r="AA49" s="17" t="inlineStr"/>
    </row>
    <row r="50">
      <c r="A50" s="30" t="inlineStr">
        <is>
          <t>S049</t>
        </is>
      </c>
      <c r="B50" s="17" t="inlineStr">
        <is>
          <t>P044</t>
        </is>
      </c>
      <c r="C50" s="17" t="inlineStr">
        <is>
          <t>대우제약</t>
        </is>
      </c>
      <c r="D50" s="17" t="inlineStr">
        <is>
          <t>대우제약(주)</t>
        </is>
      </c>
      <c r="E50" s="17" t="inlineStr">
        <is>
          <t>부산광역시 사하구 다대로 153</t>
        </is>
      </c>
      <c r="F50" s="17" t="inlineStr">
        <is>
          <t>부산광역시 사하구 다대로 153</t>
        </is>
      </c>
      <c r="G50" s="17" t="inlineStr">
        <is>
          <t>부산광역시 사하구 다대로 153</t>
        </is>
      </c>
      <c r="H50" s="17" t="inlineStr">
        <is>
          <t>부산</t>
        </is>
      </c>
      <c r="I50" s="23" t="inlineStr">
        <is>
          <t>1526</t>
        </is>
      </c>
      <c r="J50" s="17" t="inlineStr">
        <is>
          <t>1</t>
        </is>
      </c>
      <c r="K50" s="17" t="inlineStr">
        <is>
          <t>완제의약품</t>
        </is>
      </c>
      <c r="L50" s="17" t="inlineStr">
        <is>
          <t>비무균-일반제제-내용고형제(정제, 캡슐제), 무균-일반제제-점안제(점안제)</t>
        </is>
      </c>
      <c r="M50" s="24" t="n">
        <v>47224</v>
      </c>
      <c r="N50" s="17" t="inlineStr"/>
      <c r="O50" s="17" t="inlineStr"/>
      <c r="P50" s="17" t="inlineStr">
        <is>
          <t>부산광역시</t>
        </is>
      </c>
      <c r="Q50" s="17" t="inlineStr">
        <is>
          <t>사하구</t>
        </is>
      </c>
      <c r="R50" s="17" t="inlineStr">
        <is>
          <t>GMP공장소재지</t>
        </is>
      </c>
      <c r="S50" s="17" t="n">
        <v>90</v>
      </c>
      <c r="T50" s="17" t="inlineStr">
        <is>
          <t>Y</t>
        </is>
      </c>
      <c r="U50" s="17" t="n">
        <v>1</v>
      </c>
      <c r="V50" s="24" t="n">
        <v>47224</v>
      </c>
      <c r="W50" s="17" t="inlineStr"/>
      <c r="X50" s="17" t="inlineStr"/>
      <c r="Y50" s="17" t="inlineStr">
        <is>
          <t>회사키+주소</t>
        </is>
      </c>
      <c r="Z50" s="17" t="n">
        <v>90</v>
      </c>
      <c r="AA50" s="17" t="inlineStr"/>
    </row>
    <row r="51">
      <c r="A51" s="30" t="inlineStr">
        <is>
          <t>S050</t>
        </is>
      </c>
      <c r="B51" s="17" t="inlineStr">
        <is>
          <t>P045</t>
        </is>
      </c>
      <c r="C51" s="17" t="inlineStr">
        <is>
          <t>삼성제약</t>
        </is>
      </c>
      <c r="D51" s="17" t="inlineStr">
        <is>
          <t>삼성제약(주)</t>
        </is>
      </c>
      <c r="E51" s="17" t="inlineStr">
        <is>
          <t>경기도 화성시 향남읍 제약공단4길 10</t>
        </is>
      </c>
      <c r="F51" s="17" t="inlineStr">
        <is>
          <t>경기도 화성시 향남읍 제약공단2길 35</t>
        </is>
      </c>
      <c r="G51" s="17" t="inlineStr">
        <is>
          <t>경기도 화성시 향남읍 제약공단4길 10</t>
        </is>
      </c>
      <c r="H51" s="17" t="inlineStr">
        <is>
          <t>제1공장</t>
        </is>
      </c>
      <c r="I51" s="23" t="inlineStr">
        <is>
          <t>1294</t>
        </is>
      </c>
      <c r="J51" s="17" t="inlineStr">
        <is>
          <t>1</t>
        </is>
      </c>
      <c r="K51" s="17" t="inlineStr">
        <is>
          <t>완제의약품</t>
        </is>
      </c>
      <c r="L51" s="17" t="inlineStr">
        <is>
          <t>무균-일반제제-주사제(동결건조주사제)</t>
        </is>
      </c>
      <c r="M51" s="24" t="n">
        <v>47221</v>
      </c>
      <c r="N51" s="17" t="inlineStr">
        <is>
          <t>Y</t>
        </is>
      </c>
      <c r="O51" s="17" t="inlineStr"/>
      <c r="P51" s="17" t="inlineStr">
        <is>
          <t>경기도</t>
        </is>
      </c>
      <c r="Q51" s="17" t="inlineStr">
        <is>
          <t>화성시</t>
        </is>
      </c>
      <c r="R51" s="17" t="inlineStr">
        <is>
          <t>GMP공장소재지</t>
        </is>
      </c>
      <c r="S51" s="17" t="n">
        <v>90</v>
      </c>
      <c r="T51" s="17" t="inlineStr">
        <is>
          <t>Y</t>
        </is>
      </c>
      <c r="U51" s="17" t="n">
        <v>1</v>
      </c>
      <c r="V51" s="24" t="n">
        <v>47221</v>
      </c>
      <c r="W51" s="17" t="inlineStr"/>
      <c r="X51" s="17" t="inlineStr"/>
      <c r="Y51" s="17" t="inlineStr">
        <is>
          <t>회사키+주소</t>
        </is>
      </c>
      <c r="Z51" s="17" t="n">
        <v>90</v>
      </c>
      <c r="AA51" s="17" t="inlineStr"/>
    </row>
    <row r="52">
      <c r="A52" s="30" t="inlineStr">
        <is>
          <t>S051</t>
        </is>
      </c>
      <c r="B52" s="17" t="inlineStr">
        <is>
          <t>P046</t>
        </is>
      </c>
      <c r="C52" s="17" t="inlineStr">
        <is>
          <t>티디에스팜</t>
        </is>
      </c>
      <c r="D52" s="17" t="inlineStr">
        <is>
          <t>(주)티디에스팜</t>
        </is>
      </c>
      <c r="E52" s="17" t="inlineStr">
        <is>
          <t>충청북도 청주시 흥덕구 오송읍 오송생명4로 168-49</t>
        </is>
      </c>
      <c r="F52" s="17" t="inlineStr">
        <is>
          <t>충청북도 청주시 흥덕구 오송읍 오송생명4로 168-49</t>
        </is>
      </c>
      <c r="G52" s="17" t="inlineStr">
        <is>
          <t>충청북도 청주시 흥덕구 오송읍 오송생명4로 168-49</t>
        </is>
      </c>
      <c r="H52" s="17" t="inlineStr">
        <is>
          <t>오송</t>
        </is>
      </c>
      <c r="I52" s="23" t="inlineStr">
        <is>
          <t>1449</t>
        </is>
      </c>
      <c r="J52" s="17" t="inlineStr">
        <is>
          <t>2</t>
        </is>
      </c>
      <c r="K52" s="17" t="inlineStr">
        <is>
          <t>완제의약품</t>
        </is>
      </c>
      <c r="L52" s="17" t="inlineStr">
        <is>
          <t>비무균-일반제제-첩부제(첩부제, 카타플라스마제), --()</t>
        </is>
      </c>
      <c r="M52" s="24" t="n">
        <v>47221</v>
      </c>
      <c r="N52" s="17" t="inlineStr"/>
      <c r="O52" s="17" t="inlineStr"/>
      <c r="P52" s="17" t="inlineStr">
        <is>
          <t>충청북도</t>
        </is>
      </c>
      <c r="Q52" s="17" t="inlineStr">
        <is>
          <t>청주시</t>
        </is>
      </c>
      <c r="R52" s="17" t="inlineStr">
        <is>
          <t>GMP공장소재지</t>
        </is>
      </c>
      <c r="S52" s="17" t="n">
        <v>90</v>
      </c>
      <c r="T52" s="17" t="inlineStr">
        <is>
          <t>Y</t>
        </is>
      </c>
      <c r="U52" s="17" t="n">
        <v>1</v>
      </c>
      <c r="V52" s="24" t="n">
        <v>47221</v>
      </c>
      <c r="W52" s="17" t="inlineStr"/>
      <c r="X52" s="17" t="inlineStr"/>
      <c r="Y52" s="17" t="inlineStr">
        <is>
          <t>회사키+주소</t>
        </is>
      </c>
      <c r="Z52" s="17" t="n">
        <v>90</v>
      </c>
      <c r="AA52" s="17" t="inlineStr"/>
    </row>
    <row r="53">
      <c r="A53" s="30" t="inlineStr">
        <is>
          <t>S052</t>
        </is>
      </c>
      <c r="B53" s="17" t="inlineStr">
        <is>
          <t>P047</t>
        </is>
      </c>
      <c r="C53" s="17" t="inlineStr">
        <is>
          <t>에이치디엑스</t>
        </is>
      </c>
      <c r="D53" s="17" t="inlineStr">
        <is>
          <t>에이치디엑스(주)</t>
        </is>
      </c>
      <c r="E53" s="17" t="inlineStr">
        <is>
          <t>전라남도 순천시 순광로 221 성가롤로병원 내 (조례동)</t>
        </is>
      </c>
      <c r="F53" s="17" t="inlineStr">
        <is>
          <t>전라남도 순천시 순광로 221 성가롤로병원 내 (조례동)</t>
        </is>
      </c>
      <c r="G53" s="17" t="inlineStr">
        <is>
          <t>전라남도 순천시 순광로 221 성가롤로병원 내 (조례동)</t>
        </is>
      </c>
      <c r="H53" s="17" t="inlineStr">
        <is>
          <t>전남순천</t>
        </is>
      </c>
      <c r="I53" s="23" t="inlineStr">
        <is>
          <t>2407</t>
        </is>
      </c>
      <c r="J53" s="17" t="inlineStr">
        <is>
          <t>6</t>
        </is>
      </c>
      <c r="K53" s="17" t="inlineStr">
        <is>
          <t>완제의약품</t>
        </is>
      </c>
      <c r="L53" s="17" t="inlineStr">
        <is>
          <t>무균-일반제제(방사성의약품)-주사제(주사제)</t>
        </is>
      </c>
      <c r="M53" s="24" t="n">
        <v>47219</v>
      </c>
      <c r="N53" s="17" t="inlineStr">
        <is>
          <t>Y</t>
        </is>
      </c>
      <c r="O53" s="17" t="inlineStr"/>
      <c r="P53" s="17" t="inlineStr">
        <is>
          <t>전라남도</t>
        </is>
      </c>
      <c r="Q53" s="17" t="inlineStr">
        <is>
          <t>순천시</t>
        </is>
      </c>
      <c r="R53" s="17" t="inlineStr">
        <is>
          <t>GMP공장소재지</t>
        </is>
      </c>
      <c r="S53" s="17" t="n">
        <v>90</v>
      </c>
      <c r="T53" s="17" t="inlineStr">
        <is>
          <t>Y</t>
        </is>
      </c>
      <c r="U53" s="17" t="n">
        <v>1</v>
      </c>
      <c r="V53" s="24" t="n">
        <v>47219</v>
      </c>
      <c r="W53" s="17" t="inlineStr"/>
      <c r="X53" s="17" t="inlineStr"/>
      <c r="Y53" s="17" t="inlineStr">
        <is>
          <t>회사키+주소</t>
        </is>
      </c>
      <c r="Z53" s="17" t="n">
        <v>90</v>
      </c>
      <c r="AA53" s="17" t="inlineStr"/>
    </row>
    <row r="54">
      <c r="A54" s="30" t="inlineStr">
        <is>
          <t>S053</t>
        </is>
      </c>
      <c r="B54" s="17" t="inlineStr">
        <is>
          <t>P048</t>
        </is>
      </c>
      <c r="C54" s="17" t="inlineStr">
        <is>
          <t>제이투가스</t>
        </is>
      </c>
      <c r="D54" s="17" t="inlineStr">
        <is>
          <t>주식회사제이투가스</t>
        </is>
      </c>
      <c r="E54" s="17" t="inlineStr">
        <is>
          <t>경기도 김포시 통진읍 애기봉로681번길 81</t>
        </is>
      </c>
      <c r="F54" s="17" t="inlineStr">
        <is>
          <t>경기도 김포시 통진읍 애기봉로681번길 81</t>
        </is>
      </c>
      <c r="G54" s="17" t="inlineStr">
        <is>
          <t>경기도 김포시 통진읍 애기봉로681번길 81</t>
        </is>
      </c>
      <c r="H54" s="17" t="inlineStr">
        <is>
          <t>주식회사제이투가스</t>
        </is>
      </c>
      <c r="I54" s="23" t="inlineStr">
        <is>
          <t>6176</t>
        </is>
      </c>
      <c r="J54" s="17" t="inlineStr">
        <is>
          <t>1</t>
        </is>
      </c>
      <c r="K54" s="17" t="inlineStr">
        <is>
          <t>완제의약품</t>
        </is>
      </c>
      <c r="L54" s="17" t="inlineStr">
        <is>
          <t>비무균-일반제제(의료용 고압가스)-가스제(의료용 고압가스)</t>
        </is>
      </c>
      <c r="M54" s="24" t="n">
        <v>47217</v>
      </c>
      <c r="N54" s="17" t="inlineStr"/>
      <c r="O54" s="17" t="inlineStr"/>
      <c r="P54" s="17" t="inlineStr">
        <is>
          <t>경기도</t>
        </is>
      </c>
      <c r="Q54" s="17" t="inlineStr">
        <is>
          <t>김포시</t>
        </is>
      </c>
      <c r="R54" s="17" t="inlineStr">
        <is>
          <t>GMP공장소재지</t>
        </is>
      </c>
      <c r="S54" s="17" t="n">
        <v>90</v>
      </c>
      <c r="T54" s="17" t="inlineStr">
        <is>
          <t>Y</t>
        </is>
      </c>
      <c r="U54" s="17" t="n">
        <v>1</v>
      </c>
      <c r="V54" s="24" t="n">
        <v>47217</v>
      </c>
      <c r="W54" s="17" t="inlineStr"/>
      <c r="X54" s="17" t="inlineStr"/>
      <c r="Y54" s="17" t="inlineStr">
        <is>
          <t>회사키+주소</t>
        </is>
      </c>
      <c r="Z54" s="17" t="n">
        <v>90</v>
      </c>
      <c r="AA54" s="17" t="inlineStr"/>
    </row>
    <row r="55">
      <c r="A55" s="30" t="inlineStr">
        <is>
          <t>S054</t>
        </is>
      </c>
      <c r="B55" s="17" t="inlineStr">
        <is>
          <t>P049</t>
        </is>
      </c>
      <c r="C55" s="17" t="inlineStr">
        <is>
          <t>휴비스트제약</t>
        </is>
      </c>
      <c r="D55" s="17" t="inlineStr">
        <is>
          <t>(주)휴비스트제약</t>
        </is>
      </c>
      <c r="E55" s="17" t="inlineStr">
        <is>
          <t>대전광역시 대덕구 신일서로104번길 46</t>
        </is>
      </c>
      <c r="F55" s="17" t="inlineStr">
        <is>
          <t>대전광역시 대덕구 신일서로104번길 46</t>
        </is>
      </c>
      <c r="G55" s="17" t="inlineStr">
        <is>
          <t>대전광역시 대덕구 신일서로104번길 46</t>
        </is>
      </c>
      <c r="H55" s="17" t="inlineStr">
        <is>
          <t>대덕</t>
        </is>
      </c>
      <c r="I55" s="23" t="inlineStr">
        <is>
          <t>2503</t>
        </is>
      </c>
      <c r="J55" s="17" t="inlineStr">
        <is>
          <t>1</t>
        </is>
      </c>
      <c r="K55" s="17" t="inlineStr">
        <is>
          <t>완제의약품</t>
        </is>
      </c>
      <c r="L55" s="17" t="inlineStr">
        <is>
          <t>비무균-일반제제-내용고형제(정제, 캡슐제)</t>
        </is>
      </c>
      <c r="M55" s="24" t="n">
        <v>47214</v>
      </c>
      <c r="N55" s="17" t="inlineStr"/>
      <c r="O55" s="17" t="inlineStr"/>
      <c r="P55" s="17" t="inlineStr">
        <is>
          <t>대전광역시</t>
        </is>
      </c>
      <c r="Q55" s="17" t="inlineStr">
        <is>
          <t>대덕구</t>
        </is>
      </c>
      <c r="R55" s="17" t="inlineStr">
        <is>
          <t>GMP공장소재지</t>
        </is>
      </c>
      <c r="S55" s="17" t="n">
        <v>90</v>
      </c>
      <c r="T55" s="17" t="inlineStr">
        <is>
          <t>Y</t>
        </is>
      </c>
      <c r="U55" s="17" t="n">
        <v>1</v>
      </c>
      <c r="V55" s="24" t="n">
        <v>47214</v>
      </c>
      <c r="W55" s="17" t="inlineStr"/>
      <c r="X55" s="17" t="inlineStr"/>
      <c r="Y55" s="17" t="inlineStr">
        <is>
          <t>회사키+주소</t>
        </is>
      </c>
      <c r="Z55" s="17" t="n">
        <v>90</v>
      </c>
      <c r="AA55" s="17" t="inlineStr"/>
    </row>
    <row r="56">
      <c r="A56" s="30" t="inlineStr">
        <is>
          <t>S055</t>
        </is>
      </c>
      <c r="B56" s="17" t="inlineStr">
        <is>
          <t>P050</t>
        </is>
      </c>
      <c r="C56" s="17" t="inlineStr">
        <is>
          <t>동아에스티</t>
        </is>
      </c>
      <c r="D56" s="17" t="inlineStr">
        <is>
          <t>동아에스티(주)</t>
        </is>
      </c>
      <c r="E56" s="17" t="inlineStr">
        <is>
          <t>인천광역시 연수구 지식기반로 45 주2,6,7,8동</t>
        </is>
      </c>
      <c r="F56" s="17" t="inlineStr">
        <is>
          <t>인천광역시 연수구 지식기반로 45 주2,6,7,8동</t>
        </is>
      </c>
      <c r="G56" s="17" t="inlineStr">
        <is>
          <t>인천광역시 연수구 지식기반로 45 주2,6,7,8동</t>
        </is>
      </c>
      <c r="H56" s="17" t="inlineStr">
        <is>
          <t>송도</t>
        </is>
      </c>
      <c r="I56" s="23" t="inlineStr">
        <is>
          <t>1290</t>
        </is>
      </c>
      <c r="J56" s="17" t="inlineStr">
        <is>
          <t>5</t>
        </is>
      </c>
      <c r="K56" s="17" t="inlineStr">
        <is>
          <t>완제의약품</t>
        </is>
      </c>
      <c r="L56" s="17" t="inlineStr">
        <is>
          <t>비무균-일반제제-내용고형제(정제)</t>
        </is>
      </c>
      <c r="M56" s="24" t="n">
        <v>47214</v>
      </c>
      <c r="N56" s="17" t="inlineStr"/>
      <c r="O56" s="17" t="inlineStr"/>
      <c r="P56" s="17" t="inlineStr">
        <is>
          <t>인천광역시</t>
        </is>
      </c>
      <c r="Q56" s="17" t="inlineStr">
        <is>
          <t>연수구</t>
        </is>
      </c>
      <c r="R56" s="17" t="inlineStr">
        <is>
          <t>GMP공장소재지</t>
        </is>
      </c>
      <c r="S56" s="17" t="n">
        <v>90</v>
      </c>
      <c r="T56" s="17" t="inlineStr">
        <is>
          <t>Y</t>
        </is>
      </c>
      <c r="U56" s="17" t="n">
        <v>1</v>
      </c>
      <c r="V56" s="24" t="n">
        <v>47214</v>
      </c>
      <c r="W56" s="17" t="inlineStr"/>
      <c r="X56" s="17" t="inlineStr"/>
      <c r="Y56" s="17" t="inlineStr">
        <is>
          <t>회사키+주소</t>
        </is>
      </c>
      <c r="Z56" s="17" t="n">
        <v>90</v>
      </c>
      <c r="AA56" s="17" t="inlineStr"/>
    </row>
    <row r="57">
      <c r="A57" s="30" t="inlineStr">
        <is>
          <t>S056</t>
        </is>
      </c>
      <c r="B57" s="17" t="inlineStr">
        <is>
          <t>P051</t>
        </is>
      </c>
      <c r="C57" s="17" t="inlineStr">
        <is>
          <t>유바이오로직스</t>
        </is>
      </c>
      <c r="D57" s="17" t="inlineStr">
        <is>
          <t>(주)유바이오로직스</t>
        </is>
      </c>
      <c r="E57" s="17" t="inlineStr">
        <is>
          <t>강원특별자치도 춘천시 소양강로 56 4동 1층, 2-4~2-6, 3-1~3-4, 4-6호, 1층 외곽냉장실 3~8, 지하일부</t>
        </is>
      </c>
      <c r="F57" s="17" t="inlineStr">
        <is>
          <t>강원특별자치도 춘천시 소양강로 56 4동 4층 냉장실9</t>
        </is>
      </c>
      <c r="G57" s="17" t="inlineStr">
        <is>
          <t>강원특별자치도 춘천시 소양강로 56 4동 1층, 2-4~2-6, 3-1~3-4, 4-6호, 1층 외곽냉장실 3~8, 지하일부</t>
        </is>
      </c>
      <c r="H57" s="17" t="inlineStr">
        <is>
          <t>[보관소2]</t>
        </is>
      </c>
      <c r="I57" s="23" t="inlineStr">
        <is>
          <t>322</t>
        </is>
      </c>
      <c r="J57" s="17" t="inlineStr">
        <is>
          <t>5</t>
        </is>
      </c>
      <c r="K57" s="17" t="inlineStr">
        <is>
          <t>완제의약품</t>
        </is>
      </c>
      <c r="L57" s="17" t="inlineStr">
        <is>
          <t>생물-백신-내용액제(경구용액제)</t>
        </is>
      </c>
      <c r="M57" s="24" t="n">
        <v>47214</v>
      </c>
      <c r="N57" s="17" t="inlineStr"/>
      <c r="O57" s="17" t="inlineStr">
        <is>
          <t>Y</t>
        </is>
      </c>
      <c r="P57" s="17" t="inlineStr">
        <is>
          <t>강원특별자치도</t>
        </is>
      </c>
      <c r="Q57" s="17" t="inlineStr">
        <is>
          <t>춘천시</t>
        </is>
      </c>
      <c r="R57" s="17" t="inlineStr">
        <is>
          <t>GMP공장소재지</t>
        </is>
      </c>
      <c r="S57" s="17" t="n">
        <v>90</v>
      </c>
      <c r="T57" s="17" t="inlineStr">
        <is>
          <t>Y</t>
        </is>
      </c>
      <c r="U57" s="17" t="n">
        <v>2</v>
      </c>
      <c r="V57" s="24" t="n">
        <v>47214</v>
      </c>
      <c r="W57" s="17" t="inlineStr"/>
      <c r="X57" s="17" t="inlineStr"/>
      <c r="Y57" s="17" t="inlineStr">
        <is>
          <t>회사키+주소</t>
        </is>
      </c>
      <c r="Z57" s="17" t="n">
        <v>90</v>
      </c>
      <c r="AA57" s="17" t="inlineStr"/>
    </row>
    <row r="58">
      <c r="A58" s="30" t="inlineStr">
        <is>
          <t>S057</t>
        </is>
      </c>
      <c r="B58" s="17" t="inlineStr">
        <is>
          <t>P051</t>
        </is>
      </c>
      <c r="C58" s="17" t="inlineStr">
        <is>
          <t>유바이오로직스</t>
        </is>
      </c>
      <c r="D58" s="17" t="inlineStr">
        <is>
          <t>(주)유바이오로직스</t>
        </is>
      </c>
      <c r="E58" s="17" t="inlineStr">
        <is>
          <t>강원특별자치도 춘천시 소양강로 56 4동 1층, 2-4~2-6, 3-1~3-4, 4-6호, 1층 외곽냉장실 3~8, 지하일부</t>
        </is>
      </c>
      <c r="F58" s="17" t="inlineStr">
        <is>
          <t>강원특별자치도 춘천시 소양강로 56 4동 4층 냉장실9</t>
        </is>
      </c>
      <c r="G58" s="17" t="inlineStr">
        <is>
          <t>강원특별자치도 춘천시 소양강로 56 4동 1층, 2-4~2-6, 3-1~3-4, 4-6호, 1층 외곽냉장실 3~8, 지하일부</t>
        </is>
      </c>
      <c r="H58" s="17" t="inlineStr">
        <is>
          <t>[보관소2]</t>
        </is>
      </c>
      <c r="I58" s="23" t="inlineStr">
        <is>
          <t>322</t>
        </is>
      </c>
      <c r="J58" s="17" t="inlineStr">
        <is>
          <t>5</t>
        </is>
      </c>
      <c r="K58" s="17" t="inlineStr">
        <is>
          <t>원료의약품</t>
        </is>
      </c>
      <c r="L58" s="17" t="inlineStr">
        <is>
          <t>생물-백신-(배양, 정제, 바이러스불활화, 원액 제조)</t>
        </is>
      </c>
      <c r="M58" s="24" t="n">
        <v>47214</v>
      </c>
      <c r="N58" s="17" t="inlineStr"/>
      <c r="O58" s="17" t="inlineStr">
        <is>
          <t>Y</t>
        </is>
      </c>
      <c r="P58" s="17" t="inlineStr">
        <is>
          <t>강원특별자치도</t>
        </is>
      </c>
      <c r="Q58" s="17" t="inlineStr">
        <is>
          <t>춘천시</t>
        </is>
      </c>
      <c r="R58" s="17" t="inlineStr">
        <is>
          <t>GMP공장소재지</t>
        </is>
      </c>
      <c r="S58" s="17" t="n">
        <v>90</v>
      </c>
      <c r="T58" s="17" t="inlineStr">
        <is>
          <t>N</t>
        </is>
      </c>
      <c r="U58" s="17" t="n">
        <v>2</v>
      </c>
      <c r="V58" s="24" t="n">
        <v>47214</v>
      </c>
      <c r="W58" s="17" t="inlineStr"/>
      <c r="X58" s="17" t="inlineStr"/>
      <c r="Y58" s="17" t="inlineStr">
        <is>
          <t>회사키+주소</t>
        </is>
      </c>
      <c r="Z58" s="17" t="n">
        <v>90</v>
      </c>
      <c r="AA58" s="17" t="inlineStr"/>
    </row>
    <row r="59">
      <c r="A59" s="30" t="inlineStr">
        <is>
          <t>S058</t>
        </is>
      </c>
      <c r="B59" s="17" t="inlineStr">
        <is>
          <t>P052</t>
        </is>
      </c>
      <c r="C59" s="17" t="inlineStr">
        <is>
          <t>성일바이오엑스</t>
        </is>
      </c>
      <c r="D59" s="17" t="inlineStr">
        <is>
          <t>(주)성일바이오엑스</t>
        </is>
      </c>
      <c r="E59" s="17" t="inlineStr">
        <is>
          <t>경기도 화성시 만세구 마도면 마도로 775</t>
        </is>
      </c>
      <c r="F59" s="17" t="inlineStr">
        <is>
          <t>경기도 화성시 만세구 마도면 마도로 775</t>
        </is>
      </c>
      <c r="G59" s="17" t="inlineStr">
        <is>
          <t>경기도 화성시 만세구 마도면 마도로 775</t>
        </is>
      </c>
      <c r="H59" s="17" t="inlineStr">
        <is>
          <t>화성공장</t>
        </is>
      </c>
      <c r="I59" s="23" t="inlineStr">
        <is>
          <t>2264</t>
        </is>
      </c>
      <c r="J59" s="17" t="inlineStr">
        <is>
          <t>1</t>
        </is>
      </c>
      <c r="K59" s="17" t="inlineStr">
        <is>
          <t>원료의약품</t>
        </is>
      </c>
      <c r="L59" s="17" t="inlineStr">
        <is>
          <t>비무균-일반제제-추출, 비무균-일반제제-분쇄</t>
        </is>
      </c>
      <c r="M59" s="24" t="n">
        <v>47213</v>
      </c>
      <c r="N59" s="17" t="inlineStr"/>
      <c r="O59" s="17" t="inlineStr"/>
      <c r="P59" s="17" t="inlineStr">
        <is>
          <t>경기도</t>
        </is>
      </c>
      <c r="Q59" s="17" t="inlineStr">
        <is>
          <t>화성시</t>
        </is>
      </c>
      <c r="R59" s="17" t="inlineStr">
        <is>
          <t>GMP공장소재지</t>
        </is>
      </c>
      <c r="S59" s="17" t="n">
        <v>90</v>
      </c>
      <c r="T59" s="17" t="inlineStr">
        <is>
          <t>Y</t>
        </is>
      </c>
      <c r="U59" s="17" t="n">
        <v>1</v>
      </c>
      <c r="V59" s="24" t="n">
        <v>47213</v>
      </c>
      <c r="W59" s="17" t="inlineStr"/>
      <c r="X59" s="17" t="inlineStr"/>
      <c r="Y59" s="17" t="inlineStr">
        <is>
          <t>회사키+주소</t>
        </is>
      </c>
      <c r="Z59" s="17" t="n">
        <v>90</v>
      </c>
      <c r="AA59" s="17" t="inlineStr"/>
    </row>
    <row r="60">
      <c r="A60" s="30" t="inlineStr">
        <is>
          <t>S059</t>
        </is>
      </c>
      <c r="B60" s="17" t="inlineStr">
        <is>
          <t>P053</t>
        </is>
      </c>
      <c r="C60" s="17" t="inlineStr">
        <is>
          <t>영일제약</t>
        </is>
      </c>
      <c r="D60" s="17" t="inlineStr">
        <is>
          <t>영일제약(주)</t>
        </is>
      </c>
      <c r="E60" s="17" t="inlineStr">
        <is>
          <t>충청북도 진천군 진천읍 문화12길 6-1</t>
        </is>
      </c>
      <c r="F60" s="17" t="inlineStr">
        <is>
          <t>충청북도 진천군 진천읍 문화12길 6-1</t>
        </is>
      </c>
      <c r="G60" s="17" t="inlineStr">
        <is>
          <t>충청북도 진천군 진천읍 문화12길 6-1</t>
        </is>
      </c>
      <c r="H60" s="17" t="inlineStr">
        <is>
          <t>진천</t>
        </is>
      </c>
      <c r="I60" s="23" t="inlineStr">
        <is>
          <t>1523</t>
        </is>
      </c>
      <c r="J60" s="17" t="inlineStr">
        <is>
          <t>1</t>
        </is>
      </c>
      <c r="K60" s="17" t="inlineStr">
        <is>
          <t>완제의약품</t>
        </is>
      </c>
      <c r="L60" s="17" t="inlineStr">
        <is>
          <t>비무균-일반제제-내용고형제(정제, 캡슐제)</t>
        </is>
      </c>
      <c r="M60" s="24" t="n">
        <v>47212</v>
      </c>
      <c r="N60" s="17" t="inlineStr"/>
      <c r="O60" s="17" t="inlineStr"/>
      <c r="P60" s="17" t="inlineStr">
        <is>
          <t>충청북도</t>
        </is>
      </c>
      <c r="Q60" s="17" t="inlineStr">
        <is>
          <t>진천군</t>
        </is>
      </c>
      <c r="R60" s="17" t="inlineStr">
        <is>
          <t>GMP공장소재지</t>
        </is>
      </c>
      <c r="S60" s="17" t="n">
        <v>90</v>
      </c>
      <c r="T60" s="17" t="inlineStr">
        <is>
          <t>Y</t>
        </is>
      </c>
      <c r="U60" s="17" t="n">
        <v>1</v>
      </c>
      <c r="V60" s="24" t="n">
        <v>47212</v>
      </c>
      <c r="W60" s="17" t="inlineStr"/>
      <c r="X60" s="17" t="inlineStr"/>
      <c r="Y60" s="17" t="inlineStr">
        <is>
          <t>회사키+주소</t>
        </is>
      </c>
      <c r="Z60" s="17" t="n">
        <v>90</v>
      </c>
      <c r="AA60" s="17" t="inlineStr"/>
    </row>
    <row r="61">
      <c r="A61" s="30" t="inlineStr">
        <is>
          <t>S060</t>
        </is>
      </c>
      <c r="B61" s="17" t="inlineStr">
        <is>
          <t>P054</t>
        </is>
      </c>
      <c r="C61" s="17" t="inlineStr">
        <is>
          <t>퓨쳐켐</t>
        </is>
      </c>
      <c r="D61" s="17" t="inlineStr">
        <is>
          <t>(주)퓨쳐켐</t>
        </is>
      </c>
      <c r="E61" s="17" t="inlineStr">
        <is>
          <t>부산광역시 기장군 장안읍 의과학2로 27-6 부산기장센터</t>
        </is>
      </c>
      <c r="F61" s="17" t="inlineStr">
        <is>
          <t>부산광역시 기장군 장안읍 의과학2로 27-6 부산기장센터</t>
        </is>
      </c>
      <c r="G61" s="17" t="inlineStr">
        <is>
          <t>부산광역시 기장군 장안읍 의과학2로 27-6 부산기장센터</t>
        </is>
      </c>
      <c r="H61" s="17" t="inlineStr">
        <is>
          <t>제4공장</t>
        </is>
      </c>
      <c r="I61" s="23" t="inlineStr">
        <is>
          <t>6151</t>
        </is>
      </c>
      <c r="J61" s="17" t="inlineStr">
        <is>
          <t>4</t>
        </is>
      </c>
      <c r="K61" s="17" t="inlineStr">
        <is>
          <t>완제의약품</t>
        </is>
      </c>
      <c r="L61" s="17" t="inlineStr">
        <is>
          <t>무균-일반제제(방사성의약품)-주사제(주사제)</t>
        </is>
      </c>
      <c r="M61" s="24" t="n">
        <v>47210</v>
      </c>
      <c r="N61" s="17" t="inlineStr">
        <is>
          <t>Y</t>
        </is>
      </c>
      <c r="O61" s="17" t="inlineStr"/>
      <c r="P61" s="17" t="inlineStr">
        <is>
          <t>부산광역시</t>
        </is>
      </c>
      <c r="Q61" s="17" t="inlineStr">
        <is>
          <t>기장군</t>
        </is>
      </c>
      <c r="R61" s="17" t="inlineStr">
        <is>
          <t>GMP공장소재지</t>
        </is>
      </c>
      <c r="S61" s="17" t="n">
        <v>90</v>
      </c>
      <c r="T61" s="17" t="inlineStr">
        <is>
          <t>Y</t>
        </is>
      </c>
      <c r="U61" s="17" t="n">
        <v>1</v>
      </c>
      <c r="V61" s="24" t="n">
        <v>47210</v>
      </c>
      <c r="W61" s="17" t="inlineStr"/>
      <c r="X61" s="17" t="inlineStr"/>
      <c r="Y61" s="17" t="inlineStr">
        <is>
          <t>회사키+주소</t>
        </is>
      </c>
      <c r="Z61" s="17" t="n">
        <v>90</v>
      </c>
      <c r="AA61" s="17" t="inlineStr"/>
    </row>
    <row r="62">
      <c r="A62" s="30" t="inlineStr">
        <is>
          <t>S061</t>
        </is>
      </c>
      <c r="B62" s="17" t="inlineStr">
        <is>
          <t>P055</t>
        </is>
      </c>
      <c r="C62" s="17" t="inlineStr">
        <is>
          <t>퓨쳐켐헬스케어</t>
        </is>
      </c>
      <c r="D62" s="17" t="inlineStr">
        <is>
          <t>(주)퓨쳐켐헬스케어</t>
        </is>
      </c>
      <c r="E62" s="17" t="inlineStr">
        <is>
          <t>부산광역시 서구 감천로 262 고신대학교복음병원 2동 지하2층 사이크로트론실(암남동)</t>
        </is>
      </c>
      <c r="F62" s="17" t="inlineStr">
        <is>
          <t>부산광역시 서구 감천로 262 고신대학교복음병원 2동 지하2층 사이크로트론실(암남동)</t>
        </is>
      </c>
      <c r="G62" s="17" t="inlineStr">
        <is>
          <t>부산광역시 서구 감천로 262 고신대학교복음병원 2동 지하2층 사이크로트론실(암남동)</t>
        </is>
      </c>
      <c r="H62" s="17" t="inlineStr">
        <is>
          <t>부산</t>
        </is>
      </c>
      <c r="I62" s="23" t="inlineStr">
        <is>
          <t>2421</t>
        </is>
      </c>
      <c r="J62" s="17" t="inlineStr">
        <is>
          <t>2</t>
        </is>
      </c>
      <c r="K62" s="17" t="inlineStr">
        <is>
          <t>완제의약품</t>
        </is>
      </c>
      <c r="L62" s="17" t="inlineStr">
        <is>
          <t>무균-일반제제(방사성의약품)-주사제(주사제)</t>
        </is>
      </c>
      <c r="M62" s="24" t="n">
        <v>47204</v>
      </c>
      <c r="N62" s="17" t="inlineStr">
        <is>
          <t>Y</t>
        </is>
      </c>
      <c r="O62" s="17" t="inlineStr"/>
      <c r="P62" s="17" t="inlineStr">
        <is>
          <t>부산광역시</t>
        </is>
      </c>
      <c r="Q62" s="17" t="inlineStr">
        <is>
          <t>서구</t>
        </is>
      </c>
      <c r="R62" s="17" t="inlineStr">
        <is>
          <t>GMP공장소재지</t>
        </is>
      </c>
      <c r="S62" s="17" t="n">
        <v>90</v>
      </c>
      <c r="T62" s="17" t="inlineStr">
        <is>
          <t>Y</t>
        </is>
      </c>
      <c r="U62" s="17" t="n">
        <v>1</v>
      </c>
      <c r="V62" s="24" t="n">
        <v>47204</v>
      </c>
      <c r="W62" s="17" t="inlineStr"/>
      <c r="X62" s="17" t="inlineStr"/>
      <c r="Y62" s="17" t="inlineStr">
        <is>
          <t>회사키+주소</t>
        </is>
      </c>
      <c r="Z62" s="17" t="n">
        <v>90</v>
      </c>
      <c r="AA62" s="17" t="inlineStr"/>
    </row>
    <row r="63">
      <c r="A63" s="30" t="inlineStr">
        <is>
          <t>S062</t>
        </is>
      </c>
      <c r="B63" s="17" t="inlineStr">
        <is>
          <t>P056</t>
        </is>
      </c>
      <c r="C63" s="17" t="inlineStr">
        <is>
          <t>에스티팜</t>
        </is>
      </c>
      <c r="D63" s="17" t="inlineStr">
        <is>
          <t>에스티팜주식회사</t>
        </is>
      </c>
      <c r="E63" s="17" t="inlineStr">
        <is>
          <t>경기도 시흥시 협력로 231</t>
        </is>
      </c>
      <c r="F63" s="17" t="inlineStr">
        <is>
          <t>경기도 시흥시 협력로 231</t>
        </is>
      </c>
      <c r="G63" s="17" t="inlineStr">
        <is>
          <t>경기도 시흥시 협력로 231</t>
        </is>
      </c>
      <c r="H63" s="17" t="inlineStr">
        <is>
          <t>시흥</t>
        </is>
      </c>
      <c r="I63" s="23" t="inlineStr">
        <is>
          <t>1301</t>
        </is>
      </c>
      <c r="J63" s="17" t="inlineStr">
        <is>
          <t>2</t>
        </is>
      </c>
      <c r="K63" s="17" t="inlineStr">
        <is>
          <t>원료의약품</t>
        </is>
      </c>
      <c r="L63" s="17" t="inlineStr">
        <is>
          <t>비무균-일반제제-합성</t>
        </is>
      </c>
      <c r="M63" s="24" t="n">
        <v>47199</v>
      </c>
      <c r="N63" s="17" t="inlineStr"/>
      <c r="O63" s="17" t="inlineStr"/>
      <c r="P63" s="17" t="inlineStr">
        <is>
          <t>경기도</t>
        </is>
      </c>
      <c r="Q63" s="17" t="inlineStr">
        <is>
          <t>시흥시</t>
        </is>
      </c>
      <c r="R63" s="17" t="inlineStr">
        <is>
          <t>GMP공장소재지</t>
        </is>
      </c>
      <c r="S63" s="17" t="n">
        <v>90</v>
      </c>
      <c r="T63" s="17" t="inlineStr">
        <is>
          <t>Y</t>
        </is>
      </c>
      <c r="U63" s="17" t="n">
        <v>1</v>
      </c>
      <c r="V63" s="24" t="n">
        <v>47199</v>
      </c>
      <c r="W63" s="17" t="inlineStr"/>
      <c r="X63" s="17" t="inlineStr"/>
      <c r="Y63" s="17" t="inlineStr">
        <is>
          <t>회사키+주소</t>
        </is>
      </c>
      <c r="Z63" s="17" t="n">
        <v>90</v>
      </c>
      <c r="AA63" s="17" t="inlineStr"/>
    </row>
    <row r="64">
      <c r="A64" s="30" t="inlineStr">
        <is>
          <t>S063</t>
        </is>
      </c>
      <c r="B64" s="17" t="inlineStr">
        <is>
          <t>P057</t>
        </is>
      </c>
      <c r="C64" s="17" t="inlineStr">
        <is>
          <t>나주신일가스</t>
        </is>
      </c>
      <c r="D64" s="17" t="inlineStr">
        <is>
          <t>나주신일가스주식회사</t>
        </is>
      </c>
      <c r="E64" s="17" t="inlineStr">
        <is>
          <t>전라남도 나주시 동수농공단지길 124</t>
        </is>
      </c>
      <c r="F64" s="17" t="inlineStr">
        <is>
          <t>전라남도 나주시 동수농공단지길 124</t>
        </is>
      </c>
      <c r="G64" s="17" t="inlineStr">
        <is>
          <t>전라남도 나주시 동수농공단지길 124</t>
        </is>
      </c>
      <c r="H64" s="17" t="inlineStr">
        <is>
          <t>나주</t>
        </is>
      </c>
      <c r="I64" s="23" t="inlineStr">
        <is>
          <t>1767</t>
        </is>
      </c>
      <c r="J64" s="17" t="inlineStr">
        <is>
          <t>1</t>
        </is>
      </c>
      <c r="K64" s="17" t="inlineStr">
        <is>
          <t>완제의약품</t>
        </is>
      </c>
      <c r="L64" s="17" t="inlineStr">
        <is>
          <t>비무균-일반제제(의료용 고압가스)-가스제(의료용 고압가스)</t>
        </is>
      </c>
      <c r="M64" s="24" t="n">
        <v>47197</v>
      </c>
      <c r="N64" s="17" t="inlineStr"/>
      <c r="O64" s="17" t="inlineStr"/>
      <c r="P64" s="17" t="inlineStr">
        <is>
          <t>전라남도</t>
        </is>
      </c>
      <c r="Q64" s="17" t="inlineStr">
        <is>
          <t>나주시</t>
        </is>
      </c>
      <c r="R64" s="17" t="inlineStr">
        <is>
          <t>GMP공장소재지</t>
        </is>
      </c>
      <c r="S64" s="17" t="n">
        <v>90</v>
      </c>
      <c r="T64" s="17" t="inlineStr">
        <is>
          <t>Y</t>
        </is>
      </c>
      <c r="U64" s="17" t="n">
        <v>1</v>
      </c>
      <c r="V64" s="24" t="n">
        <v>47197</v>
      </c>
      <c r="W64" s="17" t="inlineStr"/>
      <c r="X64" s="17" t="inlineStr"/>
      <c r="Y64" s="17" t="inlineStr">
        <is>
          <t>회사키+주소</t>
        </is>
      </c>
      <c r="Z64" s="17" t="n">
        <v>90</v>
      </c>
      <c r="AA64" s="17" t="inlineStr"/>
    </row>
    <row r="65">
      <c r="A65" s="30" t="inlineStr">
        <is>
          <t>S064</t>
        </is>
      </c>
      <c r="B65" s="17" t="inlineStr">
        <is>
          <t>P058</t>
        </is>
      </c>
      <c r="C65" s="17" t="inlineStr">
        <is>
          <t>그린제약</t>
        </is>
      </c>
      <c r="D65" s="17" t="inlineStr">
        <is>
          <t>(주)그린제약</t>
        </is>
      </c>
      <c r="E65" s="17" t="inlineStr">
        <is>
          <t>충청북도 음성군 금왕읍 금왕테크노2길 42</t>
        </is>
      </c>
      <c r="F65" s="17" t="inlineStr">
        <is>
          <t>충청북도 음성군 금왕읍 금왕테크노2길 42</t>
        </is>
      </c>
      <c r="G65" s="17" t="inlineStr">
        <is>
          <t>충청북도 음성군 금왕읍 금왕테크노2길 42</t>
        </is>
      </c>
      <c r="H65" s="17" t="inlineStr">
        <is>
          <t>제2공장(금왕공장)</t>
        </is>
      </c>
      <c r="I65" s="23" t="inlineStr">
        <is>
          <t>1851</t>
        </is>
      </c>
      <c r="J65" s="17" t="inlineStr">
        <is>
          <t>2</t>
        </is>
      </c>
      <c r="K65" s="17" t="inlineStr">
        <is>
          <t>완제의약품</t>
        </is>
      </c>
      <c r="L65" s="17" t="inlineStr">
        <is>
          <t>비무균-일반제제-내용액제(구강용스프레이제), 비무균-일반제제-외용액제(외용액제, 관장제(액상,반고형), 가글제(액상), 점비액제)</t>
        </is>
      </c>
      <c r="M65" s="24" t="n">
        <v>47197</v>
      </c>
      <c r="N65" s="17" t="inlineStr"/>
      <c r="O65" s="17" t="inlineStr"/>
      <c r="P65" s="17" t="inlineStr">
        <is>
          <t>충청북도</t>
        </is>
      </c>
      <c r="Q65" s="17" t="inlineStr">
        <is>
          <t>음성군</t>
        </is>
      </c>
      <c r="R65" s="17" t="inlineStr">
        <is>
          <t>GMP공장소재지</t>
        </is>
      </c>
      <c r="S65" s="17" t="n">
        <v>90</v>
      </c>
      <c r="T65" s="17" t="inlineStr">
        <is>
          <t>Y</t>
        </is>
      </c>
      <c r="U65" s="17" t="n">
        <v>1</v>
      </c>
      <c r="V65" s="24" t="n">
        <v>47197</v>
      </c>
      <c r="W65" s="17" t="inlineStr"/>
      <c r="X65" s="17" t="inlineStr"/>
      <c r="Y65" s="17" t="inlineStr">
        <is>
          <t>회사키+주소</t>
        </is>
      </c>
      <c r="Z65" s="17" t="n">
        <v>90</v>
      </c>
      <c r="AA65" s="17" t="inlineStr"/>
    </row>
    <row r="66">
      <c r="A66" s="30" t="inlineStr">
        <is>
          <t>S065</t>
        </is>
      </c>
      <c r="B66" s="17" t="inlineStr">
        <is>
          <t>P059</t>
        </is>
      </c>
      <c r="C66" s="17" t="inlineStr">
        <is>
          <t>보락</t>
        </is>
      </c>
      <c r="D66" s="17" t="inlineStr">
        <is>
          <t>(주)보락</t>
        </is>
      </c>
      <c r="E66" s="17" t="inlineStr">
        <is>
          <t>경기도 화성시 만세구 양감면 초록로 720-37</t>
        </is>
      </c>
      <c r="F66" s="17" t="inlineStr">
        <is>
          <t>경기도 화성시 만세구 양감면 초록로 720-38</t>
        </is>
      </c>
      <c r="G66" s="17" t="inlineStr">
        <is>
          <t>경기도 화성시 만세구 양감면 초록로 720-37</t>
        </is>
      </c>
      <c r="H66" s="17" t="inlineStr">
        <is>
          <t>보관소</t>
        </is>
      </c>
      <c r="I66" s="23" t="inlineStr">
        <is>
          <t>1422</t>
        </is>
      </c>
      <c r="J66" s="17" t="inlineStr">
        <is>
          <t>2</t>
        </is>
      </c>
      <c r="K66" s="17" t="inlineStr">
        <is>
          <t>원료의약품</t>
        </is>
      </c>
      <c r="L66" s="17" t="inlineStr">
        <is>
          <t>비무균-세포독성항암제제-합성, 비무균-일반제제-합성, 비무균-일반제제-추출, 비무균-세포독성항암제제-정제(합성에 한함), 비무균-일반제제-(정제(합성에 한함), 정제(추출에 한함)), 비무균-일반제제-소분</t>
        </is>
      </c>
      <c r="M66" s="24" t="n">
        <v>47193</v>
      </c>
      <c r="N66" s="17" t="inlineStr"/>
      <c r="O66" s="17" t="inlineStr"/>
      <c r="P66" s="17" t="inlineStr">
        <is>
          <t>경기도</t>
        </is>
      </c>
      <c r="Q66" s="17" t="inlineStr">
        <is>
          <t>화성시</t>
        </is>
      </c>
      <c r="R66" s="17" t="inlineStr">
        <is>
          <t>GMP공장소재지</t>
        </is>
      </c>
      <c r="S66" s="17" t="n">
        <v>90</v>
      </c>
      <c r="T66" s="17" t="inlineStr">
        <is>
          <t>Y</t>
        </is>
      </c>
      <c r="U66" s="17" t="n">
        <v>1</v>
      </c>
      <c r="V66" s="24" t="n">
        <v>47193</v>
      </c>
      <c r="W66" s="17" t="inlineStr"/>
      <c r="X66" s="17" t="inlineStr"/>
      <c r="Y66" s="17" t="inlineStr">
        <is>
          <t>회사키+주소</t>
        </is>
      </c>
      <c r="Z66" s="17" t="n">
        <v>90</v>
      </c>
      <c r="AA66" s="17" t="inlineStr"/>
    </row>
    <row r="67">
      <c r="A67" s="30" t="inlineStr">
        <is>
          <t>S066</t>
        </is>
      </c>
      <c r="B67" s="17" t="inlineStr">
        <is>
          <t>P060</t>
        </is>
      </c>
      <c r="C67" s="17" t="inlineStr">
        <is>
          <t>메디포스트</t>
        </is>
      </c>
      <c r="D67" s="17" t="inlineStr">
        <is>
          <t>메디포스트(주)</t>
        </is>
      </c>
      <c r="E67" s="17" t="inlineStr">
        <is>
          <t>서울특별시 구로구 디지털로 306 9층 901~907호, 911호, 5층 501호(일부),B1층 B101호, B106호, B111호, B121~123호, B128호, B129호(구로동, 대륭포스트타워 2차)</t>
        </is>
      </c>
      <c r="F67" s="17" t="inlineStr"/>
      <c r="G67" s="17" t="inlineStr">
        <is>
          <t>서울특별시 구로구 디지털로 306 9층 901~907호, 911호, 5층 501호(일부),B1층 B101호, B106호, B111호, B121~123호, B128호, B129호(구로동, 대륭포스트타워 2차)</t>
        </is>
      </c>
      <c r="H67" s="17" t="inlineStr">
        <is>
          <t>미확인</t>
        </is>
      </c>
      <c r="I67" s="23" t="inlineStr">
        <is>
          <t>미확인</t>
        </is>
      </c>
      <c r="J67" s="17" t="inlineStr"/>
      <c r="K67" s="17" t="inlineStr">
        <is>
          <t>완제의약품</t>
        </is>
      </c>
      <c r="L67" s="17" t="inlineStr">
        <is>
          <t>생물-세포치료제-주사제(첨단바이오의약품)(주사제)</t>
        </is>
      </c>
      <c r="M67" s="24" t="n">
        <v>47193</v>
      </c>
      <c r="N67" s="17" t="inlineStr">
        <is>
          <t>Y</t>
        </is>
      </c>
      <c r="O67" s="17" t="inlineStr">
        <is>
          <t>Y</t>
        </is>
      </c>
      <c r="P67" s="17" t="inlineStr">
        <is>
          <t>서울특별시</t>
        </is>
      </c>
      <c r="Q67" s="17" t="inlineStr">
        <is>
          <t>구로구</t>
        </is>
      </c>
      <c r="R67" s="17" t="inlineStr">
        <is>
          <t>GMP공장소재지</t>
        </is>
      </c>
      <c r="S67" s="17" t="n">
        <v>0</v>
      </c>
      <c r="T67" s="17" t="inlineStr">
        <is>
          <t>Y</t>
        </is>
      </c>
      <c r="U67" s="17" t="n">
        <v>1</v>
      </c>
      <c r="V67" s="24" t="n">
        <v>47193</v>
      </c>
      <c r="W67" s="17" t="inlineStr"/>
      <c r="X67" s="17" t="inlineStr"/>
      <c r="Y67" s="17" t="inlineStr">
        <is>
          <t>무매칭</t>
        </is>
      </c>
      <c r="Z67" s="17" t="n">
        <v>0</v>
      </c>
      <c r="AA67" s="17" t="inlineStr">
        <is>
          <t>Y</t>
        </is>
      </c>
    </row>
    <row r="68">
      <c r="A68" s="30" t="inlineStr">
        <is>
          <t>S067</t>
        </is>
      </c>
      <c r="B68" s="17" t="inlineStr">
        <is>
          <t>P061</t>
        </is>
      </c>
      <c r="C68" s="17" t="inlineStr">
        <is>
          <t>한국프라임제약</t>
        </is>
      </c>
      <c r="D68" s="17" t="inlineStr">
        <is>
          <t>한국프라임제약(주)</t>
        </is>
      </c>
      <c r="E68" s="17" t="inlineStr">
        <is>
          <t>전북특별자치도 완주군 봉동읍 완주산단9로 100</t>
        </is>
      </c>
      <c r="F68" s="17" t="inlineStr"/>
      <c r="G68" s="17" t="inlineStr">
        <is>
          <t>전북특별자치도 완주군 봉동읍 완주산단9로 100</t>
        </is>
      </c>
      <c r="H68" s="17" t="inlineStr">
        <is>
          <t>미확인</t>
        </is>
      </c>
      <c r="I68" s="23" t="inlineStr">
        <is>
          <t>1881</t>
        </is>
      </c>
      <c r="J68" s="17" t="inlineStr"/>
      <c r="K68" s="17" t="inlineStr">
        <is>
          <t>완제의약품</t>
        </is>
      </c>
      <c r="L68" s="17" t="inlineStr">
        <is>
          <t>비무균-일반제제-내용고형제(정제, 캡슐제)</t>
        </is>
      </c>
      <c r="M68" s="24" t="n">
        <v>47191</v>
      </c>
      <c r="N68" s="17" t="inlineStr"/>
      <c r="O68" s="17" t="inlineStr"/>
      <c r="P68" s="17" t="inlineStr">
        <is>
          <t>전북특별자치도</t>
        </is>
      </c>
      <c r="Q68" s="17" t="inlineStr">
        <is>
          <t>완주군</t>
        </is>
      </c>
      <c r="R68" s="17" t="inlineStr">
        <is>
          <t>GMP공장소재지</t>
        </is>
      </c>
      <c r="S68" s="17" t="n">
        <v>0</v>
      </c>
      <c r="T68" s="17" t="inlineStr">
        <is>
          <t>Y</t>
        </is>
      </c>
      <c r="U68" s="17" t="n">
        <v>1</v>
      </c>
      <c r="V68" s="24" t="n">
        <v>47191</v>
      </c>
      <c r="W68" s="17" t="inlineStr"/>
      <c r="X68" s="17" t="inlineStr"/>
      <c r="Y68" s="17" t="inlineStr">
        <is>
          <t>무매칭</t>
        </is>
      </c>
      <c r="Z68" s="17" t="n">
        <v>0</v>
      </c>
      <c r="AA68" s="17" t="inlineStr">
        <is>
          <t>Y</t>
        </is>
      </c>
    </row>
    <row r="69">
      <c r="A69" s="30" t="inlineStr">
        <is>
          <t>S068</t>
        </is>
      </c>
      <c r="B69" s="17" t="inlineStr">
        <is>
          <t>P062</t>
        </is>
      </c>
      <c r="C69" s="17" t="inlineStr">
        <is>
          <t>제테마</t>
        </is>
      </c>
      <c r="D69" s="17" t="inlineStr">
        <is>
          <t>(주)제테마</t>
        </is>
      </c>
      <c r="E69" s="17" t="inlineStr">
        <is>
          <t>강원특별자치도 원주시 지정면 조엄로 321</t>
        </is>
      </c>
      <c r="F69" s="17" t="inlineStr">
        <is>
          <t>강원특별자치도 원주시 지정면 조엄로 321</t>
        </is>
      </c>
      <c r="G69" s="17" t="inlineStr">
        <is>
          <t>강원특별자치도 원주시 지정면 조엄로 321</t>
        </is>
      </c>
      <c r="H69" s="17" t="inlineStr">
        <is>
          <t>(주)제테마원주공장</t>
        </is>
      </c>
      <c r="I69" s="23" t="inlineStr">
        <is>
          <t>380</t>
        </is>
      </c>
      <c r="J69" s="17" t="inlineStr">
        <is>
          <t>1</t>
        </is>
      </c>
      <c r="K69" s="17" t="inlineStr">
        <is>
          <t>원료의약품</t>
        </is>
      </c>
      <c r="L69" s="17" t="inlineStr">
        <is>
          <t>생물-독소-(배양, 정제, 원액 제조)</t>
        </is>
      </c>
      <c r="M69" s="24" t="n">
        <v>47186</v>
      </c>
      <c r="N69" s="17" t="inlineStr"/>
      <c r="O69" s="17" t="inlineStr">
        <is>
          <t>Y</t>
        </is>
      </c>
      <c r="P69" s="17" t="inlineStr">
        <is>
          <t>강원특별자치도</t>
        </is>
      </c>
      <c r="Q69" s="17" t="inlineStr">
        <is>
          <t>원주시</t>
        </is>
      </c>
      <c r="R69" s="17" t="inlineStr">
        <is>
          <t>GMP공장소재지</t>
        </is>
      </c>
      <c r="S69" s="17" t="n">
        <v>90</v>
      </c>
      <c r="T69" s="17" t="inlineStr">
        <is>
          <t>Y</t>
        </is>
      </c>
      <c r="U69" s="17" t="n">
        <v>2</v>
      </c>
      <c r="V69" s="24" t="n">
        <v>47186</v>
      </c>
      <c r="W69" s="17" t="inlineStr"/>
      <c r="X69" s="17" t="inlineStr"/>
      <c r="Y69" s="17" t="inlineStr">
        <is>
          <t>회사키+주소</t>
        </is>
      </c>
      <c r="Z69" s="17" t="n">
        <v>90</v>
      </c>
      <c r="AA69" s="17" t="inlineStr"/>
    </row>
    <row r="70">
      <c r="A70" s="30" t="inlineStr">
        <is>
          <t>S069</t>
        </is>
      </c>
      <c r="B70" s="17" t="inlineStr">
        <is>
          <t>P062</t>
        </is>
      </c>
      <c r="C70" s="17" t="inlineStr">
        <is>
          <t>제테마</t>
        </is>
      </c>
      <c r="D70" s="17" t="inlineStr">
        <is>
          <t>(주)제테마</t>
        </is>
      </c>
      <c r="E70" s="17" t="inlineStr">
        <is>
          <t>강원특별자치도 원주시 지정면 조엄로 321</t>
        </is>
      </c>
      <c r="F70" s="17" t="inlineStr">
        <is>
          <t>강원특별자치도 원주시 지정면 조엄로 321</t>
        </is>
      </c>
      <c r="G70" s="17" t="inlineStr">
        <is>
          <t>강원특별자치도 원주시 지정면 조엄로 321</t>
        </is>
      </c>
      <c r="H70" s="17" t="inlineStr">
        <is>
          <t>(주)제테마원주공장</t>
        </is>
      </c>
      <c r="I70" s="23" t="inlineStr">
        <is>
          <t>380</t>
        </is>
      </c>
      <c r="J70" s="17" t="inlineStr">
        <is>
          <t>1</t>
        </is>
      </c>
      <c r="K70" s="17" t="inlineStr">
        <is>
          <t>완제의약품</t>
        </is>
      </c>
      <c r="L70" s="17" t="inlineStr">
        <is>
          <t>생물-독소-주사제(동결건조주사제)</t>
        </is>
      </c>
      <c r="M70" s="24" t="n">
        <v>47186</v>
      </c>
      <c r="N70" s="17" t="inlineStr">
        <is>
          <t>Y</t>
        </is>
      </c>
      <c r="O70" s="17" t="inlineStr">
        <is>
          <t>Y</t>
        </is>
      </c>
      <c r="P70" s="17" t="inlineStr">
        <is>
          <t>강원특별자치도</t>
        </is>
      </c>
      <c r="Q70" s="17" t="inlineStr">
        <is>
          <t>원주시</t>
        </is>
      </c>
      <c r="R70" s="17" t="inlineStr">
        <is>
          <t>GMP공장소재지</t>
        </is>
      </c>
      <c r="S70" s="17" t="n">
        <v>90</v>
      </c>
      <c r="T70" s="17" t="inlineStr">
        <is>
          <t>N</t>
        </is>
      </c>
      <c r="U70" s="17" t="n">
        <v>2</v>
      </c>
      <c r="V70" s="24" t="n">
        <v>47186</v>
      </c>
      <c r="W70" s="17" t="inlineStr"/>
      <c r="X70" s="17" t="inlineStr"/>
      <c r="Y70" s="17" t="inlineStr">
        <is>
          <t>회사키+주소</t>
        </is>
      </c>
      <c r="Z70" s="17" t="n">
        <v>90</v>
      </c>
      <c r="AA70" s="17" t="inlineStr"/>
    </row>
    <row r="71">
      <c r="A71" s="30" t="inlineStr">
        <is>
          <t>S070</t>
        </is>
      </c>
      <c r="B71" s="17" t="inlineStr">
        <is>
          <t>P063</t>
        </is>
      </c>
      <c r="C71" s="17" t="inlineStr">
        <is>
          <t>시어스제약</t>
        </is>
      </c>
      <c r="D71" s="17" t="inlineStr">
        <is>
          <t>(주)시어스제약</t>
        </is>
      </c>
      <c r="E71" s="17" t="inlineStr">
        <is>
          <t>경기도 화성시 만세구 향남읍 발안공단로 32</t>
        </is>
      </c>
      <c r="F71" s="17" t="inlineStr">
        <is>
          <t>경기도 화성시 만세구 향남읍 발안공단로 32</t>
        </is>
      </c>
      <c r="G71" s="17" t="inlineStr">
        <is>
          <t>경기도 화성시 만세구 향남읍 발안공단로 32</t>
        </is>
      </c>
      <c r="H71" s="17" t="inlineStr">
        <is>
          <t>2공장</t>
        </is>
      </c>
      <c r="I71" s="23" t="inlineStr">
        <is>
          <t>2624</t>
        </is>
      </c>
      <c r="J71" s="17" t="inlineStr">
        <is>
          <t>2</t>
        </is>
      </c>
      <c r="K71" s="17" t="inlineStr">
        <is>
          <t>완제의약품</t>
        </is>
      </c>
      <c r="L71" s="17" t="inlineStr">
        <is>
          <t>비무균-일반제제-내용고형제(정제), 비무균-일반제제-연고제(크림제, 겔제)</t>
        </is>
      </c>
      <c r="M71" s="24" t="n">
        <v>47184</v>
      </c>
      <c r="N71" s="17" t="inlineStr"/>
      <c r="O71" s="17" t="inlineStr"/>
      <c r="P71" s="17" t="inlineStr">
        <is>
          <t>경기도</t>
        </is>
      </c>
      <c r="Q71" s="17" t="inlineStr">
        <is>
          <t>화성시</t>
        </is>
      </c>
      <c r="R71" s="17" t="inlineStr">
        <is>
          <t>GMP공장소재지</t>
        </is>
      </c>
      <c r="S71" s="17" t="n">
        <v>90</v>
      </c>
      <c r="T71" s="17" t="inlineStr">
        <is>
          <t>Y</t>
        </is>
      </c>
      <c r="U71" s="17" t="n">
        <v>1</v>
      </c>
      <c r="V71" s="24" t="n">
        <v>47184</v>
      </c>
      <c r="W71" s="17" t="inlineStr"/>
      <c r="X71" s="17" t="inlineStr"/>
      <c r="Y71" s="17" t="inlineStr">
        <is>
          <t>회사키+주소</t>
        </is>
      </c>
      <c r="Z71" s="17" t="n">
        <v>90</v>
      </c>
      <c r="AA71" s="17" t="inlineStr"/>
    </row>
    <row r="72">
      <c r="A72" s="30" t="inlineStr">
        <is>
          <t>S071</t>
        </is>
      </c>
      <c r="B72" s="17" t="inlineStr">
        <is>
          <t>P064</t>
        </is>
      </c>
      <c r="C72" s="17" t="inlineStr">
        <is>
          <t>동국생명과학</t>
        </is>
      </c>
      <c r="D72" s="17" t="inlineStr">
        <is>
          <t>동국생명과학(주)</t>
        </is>
      </c>
      <c r="E72" s="17" t="inlineStr">
        <is>
          <t>경기도 안성시 미양면 제2공단1길 92</t>
        </is>
      </c>
      <c r="F72" s="17" t="inlineStr">
        <is>
          <t>경기도 안성시 미양면 제2공단1길 92</t>
        </is>
      </c>
      <c r="G72" s="17" t="inlineStr">
        <is>
          <t>경기도 안성시 미양면 제2공단1길 92</t>
        </is>
      </c>
      <c r="H72" s="17" t="inlineStr">
        <is>
          <t>안성</t>
        </is>
      </c>
      <c r="I72" s="23" t="inlineStr">
        <is>
          <t>0754</t>
        </is>
      </c>
      <c r="J72" s="17" t="inlineStr">
        <is>
          <t>3</t>
        </is>
      </c>
      <c r="K72" s="17" t="inlineStr">
        <is>
          <t>원료의약품</t>
        </is>
      </c>
      <c r="L72" s="17" t="inlineStr">
        <is>
          <t>비무균-일반제제-합성</t>
        </is>
      </c>
      <c r="M72" s="24" t="n">
        <v>47178</v>
      </c>
      <c r="N72" s="17" t="inlineStr"/>
      <c r="O72" s="17" t="inlineStr"/>
      <c r="P72" s="17" t="inlineStr">
        <is>
          <t>경기도</t>
        </is>
      </c>
      <c r="Q72" s="17" t="inlineStr">
        <is>
          <t>안성시</t>
        </is>
      </c>
      <c r="R72" s="17" t="inlineStr">
        <is>
          <t>GMP공장소재지</t>
        </is>
      </c>
      <c r="S72" s="17" t="n">
        <v>90</v>
      </c>
      <c r="T72" s="17" t="inlineStr">
        <is>
          <t>Y</t>
        </is>
      </c>
      <c r="U72" s="17" t="n">
        <v>2</v>
      </c>
      <c r="V72" s="24" t="n">
        <v>46272</v>
      </c>
      <c r="W72" s="17" t="inlineStr">
        <is>
          <t>Y</t>
        </is>
      </c>
      <c r="X72" s="17" t="inlineStr">
        <is>
          <t>Y</t>
        </is>
      </c>
      <c r="Y72" s="17" t="inlineStr">
        <is>
          <t>회사키+주소</t>
        </is>
      </c>
      <c r="Z72" s="17" t="n">
        <v>90</v>
      </c>
      <c r="AA72" s="17" t="inlineStr"/>
    </row>
    <row r="73">
      <c r="A73" s="30" t="inlineStr">
        <is>
          <t>S072</t>
        </is>
      </c>
      <c r="B73" s="17" t="inlineStr">
        <is>
          <t>P065</t>
        </is>
      </c>
      <c r="C73" s="17" t="inlineStr">
        <is>
          <t>단일시스켐</t>
        </is>
      </c>
      <c r="D73" s="17" t="inlineStr">
        <is>
          <t>단일시스켐(주)</t>
        </is>
      </c>
      <c r="E73" s="17" t="inlineStr">
        <is>
          <t>경기도 김포시 양촌읍 황금로24번길 76</t>
        </is>
      </c>
      <c r="F73" s="17" t="inlineStr">
        <is>
          <t>경기도 김포시 양촌읍 황금로24번길 76</t>
        </is>
      </c>
      <c r="G73" s="17" t="inlineStr">
        <is>
          <t>경기도 김포시 양촌읍 황금로24번길 76</t>
        </is>
      </c>
      <c r="H73" s="17" t="inlineStr">
        <is>
          <t>김포 분공장</t>
        </is>
      </c>
      <c r="I73" s="23" t="inlineStr">
        <is>
          <t>1686</t>
        </is>
      </c>
      <c r="J73" s="17" t="inlineStr">
        <is>
          <t>2</t>
        </is>
      </c>
      <c r="K73" s="17" t="inlineStr">
        <is>
          <t>완제의약품</t>
        </is>
      </c>
      <c r="L73" s="17" t="inlineStr">
        <is>
          <t>비무균-일반제제(의료용 고압가스)-가스제(의료용 고압가스)</t>
        </is>
      </c>
      <c r="M73" s="24" t="n">
        <v>47176</v>
      </c>
      <c r="N73" s="17" t="inlineStr"/>
      <c r="O73" s="17" t="inlineStr"/>
      <c r="P73" s="17" t="inlineStr">
        <is>
          <t>경기도</t>
        </is>
      </c>
      <c r="Q73" s="17" t="inlineStr">
        <is>
          <t>김포시</t>
        </is>
      </c>
      <c r="R73" s="17" t="inlineStr">
        <is>
          <t>GMP공장소재지</t>
        </is>
      </c>
      <c r="S73" s="17" t="n">
        <v>90</v>
      </c>
      <c r="T73" s="17" t="inlineStr">
        <is>
          <t>Y</t>
        </is>
      </c>
      <c r="U73" s="17" t="n">
        <v>1</v>
      </c>
      <c r="V73" s="24" t="n">
        <v>47176</v>
      </c>
      <c r="W73" s="17" t="inlineStr"/>
      <c r="X73" s="17" t="inlineStr"/>
      <c r="Y73" s="17" t="inlineStr">
        <is>
          <t>회사키+주소</t>
        </is>
      </c>
      <c r="Z73" s="17" t="n">
        <v>90</v>
      </c>
      <c r="AA73" s="17" t="inlineStr"/>
    </row>
    <row r="74">
      <c r="A74" s="30" t="inlineStr">
        <is>
          <t>S073</t>
        </is>
      </c>
      <c r="B74" s="17" t="inlineStr">
        <is>
          <t>P066</t>
        </is>
      </c>
      <c r="C74" s="17" t="inlineStr">
        <is>
          <t>경원산소</t>
        </is>
      </c>
      <c r="D74" s="17" t="inlineStr">
        <is>
          <t>경원산소(주)</t>
        </is>
      </c>
      <c r="E74" s="17" t="inlineStr">
        <is>
          <t>강원특별자치도 원주시 우산공단길 149</t>
        </is>
      </c>
      <c r="F74" s="17" t="inlineStr">
        <is>
          <t>강원특별자치도 원주시 우산공단길 149</t>
        </is>
      </c>
      <c r="G74" s="17" t="inlineStr">
        <is>
          <t>강원특별자치도 원주시 우산공단길 149</t>
        </is>
      </c>
      <c r="H74" s="17" t="inlineStr">
        <is>
          <t>제1공장</t>
        </is>
      </c>
      <c r="I74" s="23" t="inlineStr">
        <is>
          <t>323</t>
        </is>
      </c>
      <c r="J74" s="17" t="inlineStr">
        <is>
          <t>1</t>
        </is>
      </c>
      <c r="K74" s="17" t="inlineStr">
        <is>
          <t>완제의약품</t>
        </is>
      </c>
      <c r="L74" s="17" t="inlineStr">
        <is>
          <t>비무균-일반제제(의료용 고압가스)-가스제(의료용 고압가스)</t>
        </is>
      </c>
      <c r="M74" s="24" t="n">
        <v>47172</v>
      </c>
      <c r="N74" s="17" t="inlineStr"/>
      <c r="O74" s="17" t="inlineStr"/>
      <c r="P74" s="17" t="inlineStr">
        <is>
          <t>강원특별자치도</t>
        </is>
      </c>
      <c r="Q74" s="17" t="inlineStr">
        <is>
          <t>원주시</t>
        </is>
      </c>
      <c r="R74" s="17" t="inlineStr">
        <is>
          <t>GMP공장소재지</t>
        </is>
      </c>
      <c r="S74" s="17" t="n">
        <v>90</v>
      </c>
      <c r="T74" s="17" t="inlineStr">
        <is>
          <t>Y</t>
        </is>
      </c>
      <c r="U74" s="17" t="n">
        <v>1</v>
      </c>
      <c r="V74" s="24" t="n">
        <v>47172</v>
      </c>
      <c r="W74" s="17" t="inlineStr"/>
      <c r="X74" s="17" t="inlineStr"/>
      <c r="Y74" s="17" t="inlineStr">
        <is>
          <t>회사키+주소</t>
        </is>
      </c>
      <c r="Z74" s="17" t="n">
        <v>90</v>
      </c>
      <c r="AA74" s="17" t="inlineStr"/>
    </row>
    <row r="75">
      <c r="A75" s="30" t="inlineStr">
        <is>
          <t>S074</t>
        </is>
      </c>
      <c r="B75" s="17" t="inlineStr">
        <is>
          <t>P067</t>
        </is>
      </c>
      <c r="C75" s="17" t="inlineStr">
        <is>
          <t>춘천종합가스</t>
        </is>
      </c>
      <c r="D75" s="17" t="inlineStr">
        <is>
          <t>춘천종합가스</t>
        </is>
      </c>
      <c r="E75" s="17" t="inlineStr">
        <is>
          <t>강원특별자치도 춘천시 동산면 영서로 1266</t>
        </is>
      </c>
      <c r="F75" s="17" t="inlineStr">
        <is>
          <t>강원특별자치도 춘천시 동산면 영서로 1266</t>
        </is>
      </c>
      <c r="G75" s="17" t="inlineStr">
        <is>
          <t>강원특별자치도 춘천시 동산면 영서로 1266</t>
        </is>
      </c>
      <c r="H75" s="17" t="inlineStr">
        <is>
          <t>춘천종합가스</t>
        </is>
      </c>
      <c r="I75" s="23" t="inlineStr">
        <is>
          <t>2083</t>
        </is>
      </c>
      <c r="J75" s="17" t="inlineStr">
        <is>
          <t>1</t>
        </is>
      </c>
      <c r="K75" s="17" t="inlineStr">
        <is>
          <t>완제의약품</t>
        </is>
      </c>
      <c r="L75" s="17" t="inlineStr">
        <is>
          <t>비무균-일반제제(의료용 고압가스)-가스제(의료용 고압가스)</t>
        </is>
      </c>
      <c r="M75" s="24" t="n">
        <v>47172</v>
      </c>
      <c r="N75" s="17" t="inlineStr"/>
      <c r="O75" s="17" t="inlineStr"/>
      <c r="P75" s="17" t="inlineStr">
        <is>
          <t>강원특별자치도</t>
        </is>
      </c>
      <c r="Q75" s="17" t="inlineStr">
        <is>
          <t>춘천시</t>
        </is>
      </c>
      <c r="R75" s="17" t="inlineStr">
        <is>
          <t>GMP공장소재지</t>
        </is>
      </c>
      <c r="S75" s="17" t="n">
        <v>90</v>
      </c>
      <c r="T75" s="17" t="inlineStr">
        <is>
          <t>Y</t>
        </is>
      </c>
      <c r="U75" s="17" t="n">
        <v>1</v>
      </c>
      <c r="V75" s="24" t="n">
        <v>47172</v>
      </c>
      <c r="W75" s="17" t="inlineStr"/>
      <c r="X75" s="17" t="inlineStr"/>
      <c r="Y75" s="17" t="inlineStr">
        <is>
          <t>회사키+주소</t>
        </is>
      </c>
      <c r="Z75" s="17" t="n">
        <v>90</v>
      </c>
      <c r="AA75" s="17" t="inlineStr"/>
    </row>
    <row r="76">
      <c r="A76" s="30" t="inlineStr">
        <is>
          <t>S075</t>
        </is>
      </c>
      <c r="B76" s="17" t="inlineStr">
        <is>
          <t>P068</t>
        </is>
      </c>
      <c r="C76" s="17" t="inlineStr">
        <is>
          <t>녹십자엠에스</t>
        </is>
      </c>
      <c r="D76" s="17" t="inlineStr">
        <is>
          <t>(주)녹십자엠에스</t>
        </is>
      </c>
      <c r="E76" s="17" t="inlineStr">
        <is>
          <t>충청북도 음성군 맹동면 태정로 148</t>
        </is>
      </c>
      <c r="F76" s="17" t="inlineStr">
        <is>
          <t>충청북도 음성군 맹동면 태정로 148</t>
        </is>
      </c>
      <c r="G76" s="17" t="inlineStr">
        <is>
          <t>충청북도 음성군 맹동면 태정로 148</t>
        </is>
      </c>
      <c r="H76" s="17" t="inlineStr">
        <is>
          <t>8공장</t>
        </is>
      </c>
      <c r="I76" s="23" t="inlineStr">
        <is>
          <t>2453</t>
        </is>
      </c>
      <c r="J76" s="17" t="inlineStr">
        <is>
          <t>9</t>
        </is>
      </c>
      <c r="K76" s="17" t="inlineStr">
        <is>
          <t>완제의약품</t>
        </is>
      </c>
      <c r="L76" s="17" t="inlineStr">
        <is>
          <t>비무균-일반제제-외용액제(혈액투석제(액상)), 비무균-일반제제-그 밖의 고형제(혈액투석제(고형))</t>
        </is>
      </c>
      <c r="M76" s="24" t="n">
        <v>47172</v>
      </c>
      <c r="N76" s="17" t="inlineStr"/>
      <c r="O76" s="17" t="inlineStr"/>
      <c r="P76" s="17" t="inlineStr">
        <is>
          <t>충청북도</t>
        </is>
      </c>
      <c r="Q76" s="17" t="inlineStr">
        <is>
          <t>음성군</t>
        </is>
      </c>
      <c r="R76" s="17" t="inlineStr">
        <is>
          <t>GMP공장소재지</t>
        </is>
      </c>
      <c r="S76" s="17" t="n">
        <v>90</v>
      </c>
      <c r="T76" s="17" t="inlineStr">
        <is>
          <t>Y</t>
        </is>
      </c>
      <c r="U76" s="17" t="n">
        <v>1</v>
      </c>
      <c r="V76" s="24" t="n">
        <v>47172</v>
      </c>
      <c r="W76" s="17" t="inlineStr"/>
      <c r="X76" s="17" t="inlineStr"/>
      <c r="Y76" s="17" t="inlineStr">
        <is>
          <t>회사키+주소</t>
        </is>
      </c>
      <c r="Z76" s="17" t="n">
        <v>90</v>
      </c>
      <c r="AA76" s="17" t="inlineStr"/>
    </row>
    <row r="77">
      <c r="A77" s="30" t="inlineStr">
        <is>
          <t>S076</t>
        </is>
      </c>
      <c r="B77" s="17" t="inlineStr">
        <is>
          <t>P069</t>
        </is>
      </c>
      <c r="C77" s="17" t="inlineStr">
        <is>
          <t>재단법인아산사회복지재단서울아산병원</t>
        </is>
      </c>
      <c r="D77" s="17" t="inlineStr">
        <is>
          <t>재단법인아산사회복지재단서울아산병원</t>
        </is>
      </c>
      <c r="E77" s="17" t="inlineStr">
        <is>
          <t>서울특별시 송파구 올림픽로43길 88</t>
        </is>
      </c>
      <c r="F77" s="17" t="inlineStr">
        <is>
          <t>서울특별시 송파구 올림픽로43길 88</t>
        </is>
      </c>
      <c r="G77" s="17" t="inlineStr">
        <is>
          <t>서울특별시 송파구 올림픽로43길 88</t>
        </is>
      </c>
      <c r="H77" s="17" t="inlineStr">
        <is>
          <t>.</t>
        </is>
      </c>
      <c r="I77" s="23" t="inlineStr">
        <is>
          <t>2276</t>
        </is>
      </c>
      <c r="J77" s="17" t="inlineStr">
        <is>
          <t>1</t>
        </is>
      </c>
      <c r="K77" s="17" t="inlineStr">
        <is>
          <t>완제의약품</t>
        </is>
      </c>
      <c r="L77" s="17" t="inlineStr">
        <is>
          <t>무균-일반제제(방사성의약품)-주사제(주사제)</t>
        </is>
      </c>
      <c r="M77" s="24" t="n">
        <v>47172</v>
      </c>
      <c r="N77" s="17" t="inlineStr">
        <is>
          <t>Y</t>
        </is>
      </c>
      <c r="O77" s="17" t="inlineStr"/>
      <c r="P77" s="17" t="inlineStr">
        <is>
          <t>서울특별시</t>
        </is>
      </c>
      <c r="Q77" s="17" t="inlineStr">
        <is>
          <t>송파구</t>
        </is>
      </c>
      <c r="R77" s="17" t="inlineStr">
        <is>
          <t>GMP공장소재지</t>
        </is>
      </c>
      <c r="S77" s="17" t="n">
        <v>90</v>
      </c>
      <c r="T77" s="17" t="inlineStr">
        <is>
          <t>Y</t>
        </is>
      </c>
      <c r="U77" s="17" t="n">
        <v>1</v>
      </c>
      <c r="V77" s="24" t="n">
        <v>47172</v>
      </c>
      <c r="W77" s="17" t="inlineStr"/>
      <c r="X77" s="17" t="inlineStr"/>
      <c r="Y77" s="17" t="inlineStr">
        <is>
          <t>회사키+주소</t>
        </is>
      </c>
      <c r="Z77" s="17" t="n">
        <v>90</v>
      </c>
      <c r="AA77" s="17" t="inlineStr"/>
    </row>
    <row r="78">
      <c r="A78" s="30" t="inlineStr">
        <is>
          <t>S077</t>
        </is>
      </c>
      <c r="B78" s="17" t="inlineStr">
        <is>
          <t>P070</t>
        </is>
      </c>
      <c r="C78" s="17" t="inlineStr">
        <is>
          <t>아주약품</t>
        </is>
      </c>
      <c r="D78" s="17" t="inlineStr">
        <is>
          <t>아주약품(주)</t>
        </is>
      </c>
      <c r="E78" s="17" t="inlineStr">
        <is>
          <t>경기도 평택시 산단로121번길 23</t>
        </is>
      </c>
      <c r="F78" s="17" t="inlineStr">
        <is>
          <t>경기도 평택시 산단로121번길 23</t>
        </is>
      </c>
      <c r="G78" s="17" t="inlineStr">
        <is>
          <t>경기도 평택시 산단로121번길 23</t>
        </is>
      </c>
      <c r="H78" s="17" t="inlineStr">
        <is>
          <t>평택</t>
        </is>
      </c>
      <c r="I78" s="23" t="inlineStr">
        <is>
          <t>1323</t>
        </is>
      </c>
      <c r="J78" s="17" t="inlineStr">
        <is>
          <t>1</t>
        </is>
      </c>
      <c r="K78" s="17" t="inlineStr">
        <is>
          <t>완제의약품</t>
        </is>
      </c>
      <c r="L78" s="17" t="inlineStr">
        <is>
          <t>비무균-일반제제-내용고형제(정제, 캡슐제, 과립제), 무균-일반제제-주사제(주사제)</t>
        </is>
      </c>
      <c r="M78" s="24" t="n">
        <v>47172</v>
      </c>
      <c r="N78" s="17" t="inlineStr">
        <is>
          <t>Y</t>
        </is>
      </c>
      <c r="O78" s="17" t="inlineStr"/>
      <c r="P78" s="17" t="inlineStr">
        <is>
          <t>경기도</t>
        </is>
      </c>
      <c r="Q78" s="17" t="inlineStr">
        <is>
          <t>평택시</t>
        </is>
      </c>
      <c r="R78" s="17" t="inlineStr">
        <is>
          <t>GMP공장소재지</t>
        </is>
      </c>
      <c r="S78" s="17" t="n">
        <v>90</v>
      </c>
      <c r="T78" s="17" t="inlineStr">
        <is>
          <t>Y</t>
        </is>
      </c>
      <c r="U78" s="17" t="n">
        <v>1</v>
      </c>
      <c r="V78" s="24" t="n">
        <v>47172</v>
      </c>
      <c r="W78" s="17" t="inlineStr"/>
      <c r="X78" s="17" t="inlineStr"/>
      <c r="Y78" s="17" t="inlineStr">
        <is>
          <t>회사키+주소</t>
        </is>
      </c>
      <c r="Z78" s="17" t="n">
        <v>90</v>
      </c>
      <c r="AA78" s="17" t="inlineStr"/>
    </row>
    <row r="79">
      <c r="A79" s="30" t="inlineStr">
        <is>
          <t>S078</t>
        </is>
      </c>
      <c r="B79" s="17" t="inlineStr">
        <is>
          <t>P071</t>
        </is>
      </c>
      <c r="C79" s="17" t="inlineStr">
        <is>
          <t>환인제약</t>
        </is>
      </c>
      <c r="D79" s="17" t="inlineStr">
        <is>
          <t>환인제약(주)</t>
        </is>
      </c>
      <c r="E79" s="17" t="inlineStr">
        <is>
          <t>경기도 화성시 만세구 향남읍 제약공단2길 45</t>
        </is>
      </c>
      <c r="F79" s="17" t="inlineStr">
        <is>
          <t>경기도 화성시 만세구 향남읍 제약공단2길 45</t>
        </is>
      </c>
      <c r="G79" s="17" t="inlineStr">
        <is>
          <t>경기도 화성시 만세구 향남읍 제약공단2길 45</t>
        </is>
      </c>
      <c r="H79" s="17" t="inlineStr">
        <is>
          <t>향남</t>
        </is>
      </c>
      <c r="I79" s="23" t="inlineStr">
        <is>
          <t>1351</t>
        </is>
      </c>
      <c r="J79" s="17" t="inlineStr">
        <is>
          <t>2</t>
        </is>
      </c>
      <c r="K79" s="17" t="inlineStr">
        <is>
          <t>완제의약품</t>
        </is>
      </c>
      <c r="L79" s="17" t="inlineStr">
        <is>
          <t>비무균-일반제제-내용고형제(정제, 캡슐제)</t>
        </is>
      </c>
      <c r="M79" s="24" t="n">
        <v>47172</v>
      </c>
      <c r="N79" s="17" t="inlineStr"/>
      <c r="O79" s="17" t="inlineStr"/>
      <c r="P79" s="17" t="inlineStr">
        <is>
          <t>경기도</t>
        </is>
      </c>
      <c r="Q79" s="17" t="inlineStr">
        <is>
          <t>화성시</t>
        </is>
      </c>
      <c r="R79" s="17" t="inlineStr">
        <is>
          <t>GMP공장소재지</t>
        </is>
      </c>
      <c r="S79" s="17" t="n">
        <v>90</v>
      </c>
      <c r="T79" s="17" t="inlineStr">
        <is>
          <t>Y</t>
        </is>
      </c>
      <c r="U79" s="17" t="n">
        <v>1</v>
      </c>
      <c r="V79" s="24" t="n">
        <v>47172</v>
      </c>
      <c r="W79" s="17" t="inlineStr"/>
      <c r="X79" s="17" t="inlineStr"/>
      <c r="Y79" s="17" t="inlineStr">
        <is>
          <t>회사키+주소</t>
        </is>
      </c>
      <c r="Z79" s="17" t="n">
        <v>90</v>
      </c>
      <c r="AA79" s="17" t="inlineStr"/>
    </row>
    <row r="80">
      <c r="A80" s="30" t="inlineStr">
        <is>
          <t>S079</t>
        </is>
      </c>
      <c r="B80" s="17" t="inlineStr">
        <is>
          <t>P072</t>
        </is>
      </c>
      <c r="C80" s="17" t="inlineStr">
        <is>
          <t>에어프로덕츠코리아</t>
        </is>
      </c>
      <c r="D80" s="17" t="inlineStr">
        <is>
          <t>에어프로덕츠코리아(주)</t>
        </is>
      </c>
      <c r="E80" s="17" t="inlineStr">
        <is>
          <t>울산광역시 울주군 온산읍 석당길 15</t>
        </is>
      </c>
      <c r="F80" s="17" t="inlineStr">
        <is>
          <t>울산광역시 울주군 온산읍 석당길 15</t>
        </is>
      </c>
      <c r="G80" s="17" t="inlineStr">
        <is>
          <t>울산광역시 울주군 온산읍 석당길 15</t>
        </is>
      </c>
      <c r="H80" s="17" t="inlineStr">
        <is>
          <t>온산</t>
        </is>
      </c>
      <c r="I80" s="23" t="inlineStr">
        <is>
          <t>2065</t>
        </is>
      </c>
      <c r="J80" s="17" t="inlineStr">
        <is>
          <t>7</t>
        </is>
      </c>
      <c r="K80" s="17" t="inlineStr">
        <is>
          <t>완제의약품</t>
        </is>
      </c>
      <c r="L80" s="17" t="inlineStr">
        <is>
          <t>비무균-일반제제-가스제(의료용 고압가스)</t>
        </is>
      </c>
      <c r="M80" s="24" t="n">
        <v>47170</v>
      </c>
      <c r="N80" s="17" t="inlineStr"/>
      <c r="O80" s="17" t="inlineStr"/>
      <c r="P80" s="17" t="inlineStr">
        <is>
          <t>울산광역시</t>
        </is>
      </c>
      <c r="Q80" s="17" t="inlineStr">
        <is>
          <t>울주군</t>
        </is>
      </c>
      <c r="R80" s="17" t="inlineStr">
        <is>
          <t>GMP공장소재지</t>
        </is>
      </c>
      <c r="S80" s="17" t="n">
        <v>90</v>
      </c>
      <c r="T80" s="17" t="inlineStr">
        <is>
          <t>Y</t>
        </is>
      </c>
      <c r="U80" s="17" t="n">
        <v>1</v>
      </c>
      <c r="V80" s="24" t="n">
        <v>47170</v>
      </c>
      <c r="W80" s="17" t="inlineStr"/>
      <c r="X80" s="17" t="inlineStr"/>
      <c r="Y80" s="17" t="inlineStr">
        <is>
          <t>회사키+주소</t>
        </is>
      </c>
      <c r="Z80" s="17" t="n">
        <v>90</v>
      </c>
      <c r="AA80" s="17" t="inlineStr"/>
    </row>
    <row r="81">
      <c r="A81" s="30" t="inlineStr">
        <is>
          <t>S080</t>
        </is>
      </c>
      <c r="B81" s="17" t="inlineStr">
        <is>
          <t>P073</t>
        </is>
      </c>
      <c r="C81" s="17" t="inlineStr">
        <is>
          <t>서흥</t>
        </is>
      </c>
      <c r="D81" s="17" t="inlineStr">
        <is>
          <t>(주)서흥</t>
        </is>
      </c>
      <c r="E81" s="17" t="inlineStr">
        <is>
          <t>충청북도 청주시 흥덕구 오송읍 오송생명로 61</t>
        </is>
      </c>
      <c r="F81" s="17" t="inlineStr">
        <is>
          <t>충청북도 청주시 흥덕구 오송읍 오송생명로 61</t>
        </is>
      </c>
      <c r="G81" s="17" t="inlineStr">
        <is>
          <t>충청북도 청주시 흥덕구 오송읍 오송생명로 61</t>
        </is>
      </c>
      <c r="H81" s="17" t="inlineStr">
        <is>
          <t>오송</t>
        </is>
      </c>
      <c r="I81" s="23" t="inlineStr">
        <is>
          <t>1518</t>
        </is>
      </c>
      <c r="J81" s="17" t="inlineStr">
        <is>
          <t>2</t>
        </is>
      </c>
      <c r="K81" s="17" t="inlineStr">
        <is>
          <t>완제의약품</t>
        </is>
      </c>
      <c r="L81" s="17" t="inlineStr">
        <is>
          <t>비무균-일반제제-내용고형제(정제, 캡슐제), --()</t>
        </is>
      </c>
      <c r="M81" s="24" t="n">
        <v>47170</v>
      </c>
      <c r="N81" s="17" t="inlineStr"/>
      <c r="O81" s="17" t="inlineStr"/>
      <c r="P81" s="17" t="inlineStr">
        <is>
          <t>충청북도</t>
        </is>
      </c>
      <c r="Q81" s="17" t="inlineStr">
        <is>
          <t>청주시</t>
        </is>
      </c>
      <c r="R81" s="17" t="inlineStr">
        <is>
          <t>GMP공장소재지</t>
        </is>
      </c>
      <c r="S81" s="17" t="n">
        <v>90</v>
      </c>
      <c r="T81" s="17" t="inlineStr">
        <is>
          <t>Y</t>
        </is>
      </c>
      <c r="U81" s="17" t="n">
        <v>1</v>
      </c>
      <c r="V81" s="24" t="n">
        <v>47170</v>
      </c>
      <c r="W81" s="17" t="inlineStr"/>
      <c r="X81" s="17" t="inlineStr"/>
      <c r="Y81" s="17" t="inlineStr">
        <is>
          <t>회사키+주소</t>
        </is>
      </c>
      <c r="Z81" s="17" t="n">
        <v>90</v>
      </c>
      <c r="AA81" s="17" t="inlineStr"/>
    </row>
    <row r="82">
      <c r="A82" s="30" t="inlineStr">
        <is>
          <t>S081</t>
        </is>
      </c>
      <c r="B82" s="17" t="inlineStr">
        <is>
          <t>P074</t>
        </is>
      </c>
      <c r="C82" s="17" t="inlineStr">
        <is>
          <t>디아이지에어가스</t>
        </is>
      </c>
      <c r="D82" s="17" t="inlineStr">
        <is>
          <t>디아이지에어가스(주)</t>
        </is>
      </c>
      <c r="E82" s="17" t="inlineStr">
        <is>
          <t>경기도 파주시 월롱면 엘씨디로 284</t>
        </is>
      </c>
      <c r="F82" s="17" t="inlineStr">
        <is>
          <t>경기도 파주시 월롱면 엘씨디로 284</t>
        </is>
      </c>
      <c r="G82" s="17" t="inlineStr">
        <is>
          <t>경기도 파주시 월롱면 엘씨디로 284</t>
        </is>
      </c>
      <c r="H82" s="17" t="inlineStr">
        <is>
          <t>파주</t>
        </is>
      </c>
      <c r="I82" s="23" t="inlineStr">
        <is>
          <t>1603</t>
        </is>
      </c>
      <c r="J82" s="17" t="inlineStr">
        <is>
          <t>10</t>
        </is>
      </c>
      <c r="K82" s="17" t="inlineStr">
        <is>
          <t>완제의약품</t>
        </is>
      </c>
      <c r="L82" s="17" t="inlineStr">
        <is>
          <t>비무균-일반제제(의료용 고압가스)-가스제(의료용 고압가스)</t>
        </is>
      </c>
      <c r="M82" s="24" t="n">
        <v>47170</v>
      </c>
      <c r="N82" s="17" t="inlineStr"/>
      <c r="O82" s="17" t="inlineStr"/>
      <c r="P82" s="17" t="inlineStr">
        <is>
          <t>경기도</t>
        </is>
      </c>
      <c r="Q82" s="17" t="inlineStr">
        <is>
          <t>파주시</t>
        </is>
      </c>
      <c r="R82" s="17" t="inlineStr">
        <is>
          <t>GMP공장소재지</t>
        </is>
      </c>
      <c r="S82" s="17" t="n">
        <v>90</v>
      </c>
      <c r="T82" s="17" t="inlineStr">
        <is>
          <t>Y</t>
        </is>
      </c>
      <c r="U82" s="17" t="n">
        <v>1</v>
      </c>
      <c r="V82" s="24" t="n">
        <v>47170</v>
      </c>
      <c r="W82" s="17" t="inlineStr"/>
      <c r="X82" s="17" t="inlineStr"/>
      <c r="Y82" s="17" t="inlineStr">
        <is>
          <t>회사키+주소</t>
        </is>
      </c>
      <c r="Z82" s="17" t="n">
        <v>90</v>
      </c>
      <c r="AA82" s="17" t="inlineStr"/>
    </row>
    <row r="83">
      <c r="A83" s="30" t="inlineStr">
        <is>
          <t>S082</t>
        </is>
      </c>
      <c r="B83" s="17" t="inlineStr">
        <is>
          <t>P075</t>
        </is>
      </c>
      <c r="C83" s="17" t="inlineStr">
        <is>
          <t>텔콘알에프제약</t>
        </is>
      </c>
      <c r="D83" s="17" t="inlineStr">
        <is>
          <t>(주)텔콘알에프제약</t>
        </is>
      </c>
      <c r="E83" s="17" t="inlineStr">
        <is>
          <t>충청북도 충주시 대소원면 첨단산업1로 120</t>
        </is>
      </c>
      <c r="F83" s="17" t="inlineStr">
        <is>
          <t>충청북도 충주시 대소원면 첨단산업1로 120</t>
        </is>
      </c>
      <c r="G83" s="17" t="inlineStr">
        <is>
          <t>충청북도 충주시 대소원면 첨단산업1로 120</t>
        </is>
      </c>
      <c r="H83" s="17" t="inlineStr">
        <is>
          <t>제1공장</t>
        </is>
      </c>
      <c r="I83" s="23" t="inlineStr">
        <is>
          <t>2603</t>
        </is>
      </c>
      <c r="J83" s="17" t="inlineStr">
        <is>
          <t>1</t>
        </is>
      </c>
      <c r="K83" s="17" t="inlineStr">
        <is>
          <t>완제의약품</t>
        </is>
      </c>
      <c r="L83" s="17" t="inlineStr">
        <is>
          <t>비무균-일반제제-내용액제(경구용액제, 현탁제)</t>
        </is>
      </c>
      <c r="M83" s="24" t="n">
        <v>47165</v>
      </c>
      <c r="N83" s="17" t="inlineStr"/>
      <c r="O83" s="17" t="inlineStr"/>
      <c r="P83" s="17" t="inlineStr">
        <is>
          <t>충청북도</t>
        </is>
      </c>
      <c r="Q83" s="17" t="inlineStr">
        <is>
          <t>충주시</t>
        </is>
      </c>
      <c r="R83" s="17" t="inlineStr">
        <is>
          <t>GMP공장소재지</t>
        </is>
      </c>
      <c r="S83" s="17" t="n">
        <v>90</v>
      </c>
      <c r="T83" s="17" t="inlineStr">
        <is>
          <t>Y</t>
        </is>
      </c>
      <c r="U83" s="17" t="n">
        <v>1</v>
      </c>
      <c r="V83" s="24" t="n">
        <v>47165</v>
      </c>
      <c r="W83" s="17" t="inlineStr"/>
      <c r="X83" s="17" t="inlineStr"/>
      <c r="Y83" s="17" t="inlineStr">
        <is>
          <t>회사키+주소</t>
        </is>
      </c>
      <c r="Z83" s="17" t="n">
        <v>90</v>
      </c>
      <c r="AA83" s="17" t="inlineStr"/>
    </row>
    <row r="84">
      <c r="A84" s="30" t="inlineStr">
        <is>
          <t>S083</t>
        </is>
      </c>
      <c r="B84" s="17" t="inlineStr">
        <is>
          <t>P076</t>
        </is>
      </c>
      <c r="C84" s="17" t="inlineStr">
        <is>
          <t>한솔신약</t>
        </is>
      </c>
      <c r="D84" s="17" t="inlineStr">
        <is>
          <t>한솔신약(주)</t>
        </is>
      </c>
      <c r="E84" s="17" t="inlineStr">
        <is>
          <t>충청북도 음성군 금왕읍 청평길 2-11</t>
        </is>
      </c>
      <c r="F84" s="17" t="inlineStr">
        <is>
          <t>충청북도 음성군 금왕읍 청평길 2-11</t>
        </is>
      </c>
      <c r="G84" s="17" t="inlineStr">
        <is>
          <t>충청북도 음성군 금왕읍 청평길 2-11</t>
        </is>
      </c>
      <c r="H84" s="17" t="inlineStr">
        <is>
          <t>음성</t>
        </is>
      </c>
      <c r="I84" s="23" t="inlineStr">
        <is>
          <t>1703</t>
        </is>
      </c>
      <c r="J84" s="17" t="inlineStr">
        <is>
          <t>1</t>
        </is>
      </c>
      <c r="K84" s="17" t="inlineStr">
        <is>
          <t>완제의약품</t>
        </is>
      </c>
      <c r="L84" s="17" t="inlineStr">
        <is>
          <t>비무균-일반제제-내용고형제(정제, 산제, 과립제, 환제)</t>
        </is>
      </c>
      <c r="M84" s="24" t="n">
        <v>47163</v>
      </c>
      <c r="N84" s="17" t="inlineStr"/>
      <c r="O84" s="17" t="inlineStr"/>
      <c r="P84" s="17" t="inlineStr">
        <is>
          <t>충청북도</t>
        </is>
      </c>
      <c r="Q84" s="17" t="inlineStr">
        <is>
          <t>음성군</t>
        </is>
      </c>
      <c r="R84" s="17" t="inlineStr">
        <is>
          <t>GMP공장소재지</t>
        </is>
      </c>
      <c r="S84" s="17" t="n">
        <v>90</v>
      </c>
      <c r="T84" s="17" t="inlineStr">
        <is>
          <t>Y</t>
        </is>
      </c>
      <c r="U84" s="17" t="n">
        <v>1</v>
      </c>
      <c r="V84" s="24" t="n">
        <v>47163</v>
      </c>
      <c r="W84" s="17" t="inlineStr"/>
      <c r="X84" s="17" t="inlineStr"/>
      <c r="Y84" s="17" t="inlineStr">
        <is>
          <t>회사키+주소</t>
        </is>
      </c>
      <c r="Z84" s="17" t="n">
        <v>90</v>
      </c>
      <c r="AA84" s="17" t="inlineStr"/>
    </row>
    <row r="85">
      <c r="A85" s="30" t="inlineStr">
        <is>
          <t>S084</t>
        </is>
      </c>
      <c r="B85" s="17" t="inlineStr">
        <is>
          <t>P077</t>
        </is>
      </c>
      <c r="C85" s="17" t="inlineStr">
        <is>
          <t>유한양행</t>
        </is>
      </c>
      <c r="D85" s="17" t="inlineStr">
        <is>
          <t>(주)유한양행</t>
        </is>
      </c>
      <c r="E85" s="17" t="inlineStr">
        <is>
          <t>충청북도 청주시 청원구 오창읍 연구단지로 238</t>
        </is>
      </c>
      <c r="F85" s="17" t="inlineStr">
        <is>
          <t>충청북도 청주시 청원구 오창읍 연구단지로 238</t>
        </is>
      </c>
      <c r="G85" s="17" t="inlineStr">
        <is>
          <t>충청북도 청주시 청원구 오창읍 연구단지로 238</t>
        </is>
      </c>
      <c r="H85" s="17" t="inlineStr">
        <is>
          <t>미확인</t>
        </is>
      </c>
      <c r="I85" s="23" t="inlineStr">
        <is>
          <t>1329</t>
        </is>
      </c>
      <c r="J85" s="17" t="inlineStr">
        <is>
          <t>2</t>
        </is>
      </c>
      <c r="K85" s="17" t="inlineStr">
        <is>
          <t>완제의약품</t>
        </is>
      </c>
      <c r="L85" s="17" t="inlineStr">
        <is>
          <t>비무균-일반제제-내용고형제(정제)</t>
        </is>
      </c>
      <c r="M85" s="24" t="n">
        <v>47161</v>
      </c>
      <c r="N85" s="17" t="inlineStr"/>
      <c r="O85" s="17" t="inlineStr"/>
      <c r="P85" s="17" t="inlineStr">
        <is>
          <t>충청북도</t>
        </is>
      </c>
      <c r="Q85" s="17" t="inlineStr">
        <is>
          <t>청주시</t>
        </is>
      </c>
      <c r="R85" s="17" t="inlineStr">
        <is>
          <t>GMP공장소재지</t>
        </is>
      </c>
      <c r="S85" s="17" t="n">
        <v>90</v>
      </c>
      <c r="T85" s="17" t="inlineStr">
        <is>
          <t>Y</t>
        </is>
      </c>
      <c r="U85" s="17" t="n">
        <v>1</v>
      </c>
      <c r="V85" s="24" t="n">
        <v>47161</v>
      </c>
      <c r="W85" s="17" t="inlineStr"/>
      <c r="X85" s="17" t="inlineStr"/>
      <c r="Y85" s="17" t="inlineStr">
        <is>
          <t>회사키+주소</t>
        </is>
      </c>
      <c r="Z85" s="17" t="n">
        <v>90</v>
      </c>
      <c r="AA85" s="17" t="inlineStr"/>
    </row>
    <row r="86">
      <c r="A86" s="30" t="inlineStr">
        <is>
          <t>S085</t>
        </is>
      </c>
      <c r="B86" s="17" t="inlineStr">
        <is>
          <t>P078</t>
        </is>
      </c>
      <c r="C86" s="17" t="inlineStr">
        <is>
          <t>종근당바이오</t>
        </is>
      </c>
      <c r="D86" s="17" t="inlineStr">
        <is>
          <t>(주)종근당바이오</t>
        </is>
      </c>
      <c r="E86" s="17" t="inlineStr">
        <is>
          <t>경기도 안산시 단원구 신원로 292 .</t>
        </is>
      </c>
      <c r="F86" s="17" t="inlineStr">
        <is>
          <t>경기도 안산시 단원구 신원로 292 .</t>
        </is>
      </c>
      <c r="G86" s="17" t="inlineStr">
        <is>
          <t>경기도 안산시 단원구 신원로 292 .</t>
        </is>
      </c>
      <c r="H86" s="17" t="inlineStr">
        <is>
          <t>안산</t>
        </is>
      </c>
      <c r="I86" s="23" t="inlineStr">
        <is>
          <t>2253</t>
        </is>
      </c>
      <c r="J86" s="17" t="inlineStr">
        <is>
          <t>1</t>
        </is>
      </c>
      <c r="K86" s="17" t="inlineStr">
        <is>
          <t>완제의약품</t>
        </is>
      </c>
      <c r="L86" s="17" t="inlineStr">
        <is>
          <t>비무균-일반제제-내용고형제(캡슐제)</t>
        </is>
      </c>
      <c r="M86" s="24" t="n">
        <v>47161</v>
      </c>
      <c r="N86" s="17" t="inlineStr"/>
      <c r="O86" s="17" t="inlineStr"/>
      <c r="P86" s="17" t="inlineStr">
        <is>
          <t>경기도</t>
        </is>
      </c>
      <c r="Q86" s="17" t="inlineStr">
        <is>
          <t>안산시</t>
        </is>
      </c>
      <c r="R86" s="17" t="inlineStr">
        <is>
          <t>GMP공장소재지</t>
        </is>
      </c>
      <c r="S86" s="17" t="n">
        <v>90</v>
      </c>
      <c r="T86" s="17" t="inlineStr">
        <is>
          <t>Y</t>
        </is>
      </c>
      <c r="U86" s="17" t="n">
        <v>2</v>
      </c>
      <c r="V86" s="24" t="n">
        <v>46634</v>
      </c>
      <c r="W86" s="17" t="inlineStr"/>
      <c r="X86" s="17" t="inlineStr"/>
      <c r="Y86" s="17" t="inlineStr">
        <is>
          <t>회사키+주소</t>
        </is>
      </c>
      <c r="Z86" s="17" t="n">
        <v>90</v>
      </c>
      <c r="AA86" s="17" t="inlineStr"/>
    </row>
    <row r="87">
      <c r="A87" s="30" t="inlineStr">
        <is>
          <t>S086</t>
        </is>
      </c>
      <c r="B87" s="17" t="inlineStr">
        <is>
          <t>P079</t>
        </is>
      </c>
      <c r="C87" s="17" t="inlineStr">
        <is>
          <t>와이즈메디</t>
        </is>
      </c>
      <c r="D87" s="17" t="inlineStr">
        <is>
          <t>(주)와이즈메디</t>
        </is>
      </c>
      <c r="E87" s="17" t="inlineStr">
        <is>
          <t>충청북도 진천군 광혜원면 용소길 90</t>
        </is>
      </c>
      <c r="F87" s="17" t="inlineStr">
        <is>
          <t>충청북도 진천군 광혜원면 용소길 90</t>
        </is>
      </c>
      <c r="G87" s="17" t="inlineStr">
        <is>
          <t>충청북도 진천군 광혜원면 용소길 90</t>
        </is>
      </c>
      <c r="H87" s="17" t="inlineStr">
        <is>
          <t>진천</t>
        </is>
      </c>
      <c r="I87" s="23" t="inlineStr">
        <is>
          <t>2464</t>
        </is>
      </c>
      <c r="J87" s="17" t="inlineStr">
        <is>
          <t>2</t>
        </is>
      </c>
      <c r="K87" s="17" t="inlineStr">
        <is>
          <t>완제의약품</t>
        </is>
      </c>
      <c r="L87" s="17" t="inlineStr">
        <is>
          <t>무균-일반제제-주사제(수액제)</t>
        </is>
      </c>
      <c r="M87" s="24" t="n">
        <v>47160</v>
      </c>
      <c r="N87" s="17" t="inlineStr">
        <is>
          <t>Y</t>
        </is>
      </c>
      <c r="O87" s="17" t="inlineStr"/>
      <c r="P87" s="17" t="inlineStr">
        <is>
          <t>충청북도</t>
        </is>
      </c>
      <c r="Q87" s="17" t="inlineStr">
        <is>
          <t>진천군</t>
        </is>
      </c>
      <c r="R87" s="17" t="inlineStr">
        <is>
          <t>GMP공장소재지</t>
        </is>
      </c>
      <c r="S87" s="17" t="n">
        <v>90</v>
      </c>
      <c r="T87" s="17" t="inlineStr">
        <is>
          <t>Y</t>
        </is>
      </c>
      <c r="U87" s="17" t="n">
        <v>1</v>
      </c>
      <c r="V87" s="24" t="n">
        <v>47160</v>
      </c>
      <c r="W87" s="17" t="inlineStr"/>
      <c r="X87" s="17" t="inlineStr"/>
      <c r="Y87" s="17" t="inlineStr">
        <is>
          <t>회사키+주소</t>
        </is>
      </c>
      <c r="Z87" s="17" t="n">
        <v>90</v>
      </c>
      <c r="AA87" s="17" t="inlineStr"/>
    </row>
    <row r="88">
      <c r="A88" s="30" t="inlineStr">
        <is>
          <t>S087</t>
        </is>
      </c>
      <c r="B88" s="17" t="inlineStr">
        <is>
          <t>P080</t>
        </is>
      </c>
      <c r="C88" s="17" t="inlineStr">
        <is>
          <t>화이트생명과학</t>
        </is>
      </c>
      <c r="D88" s="17" t="inlineStr">
        <is>
          <t>(주)화이트생명과학</t>
        </is>
      </c>
      <c r="E88" s="17" t="inlineStr">
        <is>
          <t>경기도 화성시 만세구 향남읍 제약공단4길 89</t>
        </is>
      </c>
      <c r="F88" s="17" t="inlineStr">
        <is>
          <t>경기도 화성시 만세구 향남읍 제약공단4길 89</t>
        </is>
      </c>
      <c r="G88" s="17" t="inlineStr">
        <is>
          <t>경기도 화성시 만세구 향남읍 제약공단4길 89</t>
        </is>
      </c>
      <c r="H88" s="17" t="inlineStr">
        <is>
          <t>제1공장</t>
        </is>
      </c>
      <c r="I88" s="23" t="inlineStr">
        <is>
          <t>344</t>
        </is>
      </c>
      <c r="J88" s="17" t="inlineStr">
        <is>
          <t>1</t>
        </is>
      </c>
      <c r="K88" s="17" t="inlineStr">
        <is>
          <t>완제의약품</t>
        </is>
      </c>
      <c r="L88" s="17" t="inlineStr">
        <is>
          <t>비무균-일반제제-내용고형제(정제, 캡슐제)</t>
        </is>
      </c>
      <c r="M88" s="24" t="n">
        <v>47158</v>
      </c>
      <c r="N88" s="17" t="inlineStr"/>
      <c r="O88" s="17" t="inlineStr"/>
      <c r="P88" s="17" t="inlineStr">
        <is>
          <t>경기도</t>
        </is>
      </c>
      <c r="Q88" s="17" t="inlineStr">
        <is>
          <t>화성시</t>
        </is>
      </c>
      <c r="R88" s="17" t="inlineStr">
        <is>
          <t>GMP공장소재지</t>
        </is>
      </c>
      <c r="S88" s="17" t="n">
        <v>90</v>
      </c>
      <c r="T88" s="17" t="inlineStr">
        <is>
          <t>Y</t>
        </is>
      </c>
      <c r="U88" s="17" t="n">
        <v>1</v>
      </c>
      <c r="V88" s="24" t="n">
        <v>47158</v>
      </c>
      <c r="W88" s="17" t="inlineStr"/>
      <c r="X88" s="17" t="inlineStr"/>
      <c r="Y88" s="17" t="inlineStr">
        <is>
          <t>회사키+주소</t>
        </is>
      </c>
      <c r="Z88" s="17" t="n">
        <v>90</v>
      </c>
      <c r="AA88" s="17" t="inlineStr"/>
    </row>
    <row r="89">
      <c r="A89" s="30" t="inlineStr">
        <is>
          <t>S088</t>
        </is>
      </c>
      <c r="B89" s="17" t="inlineStr">
        <is>
          <t>P081</t>
        </is>
      </c>
      <c r="C89" s="17" t="inlineStr">
        <is>
          <t>에리슨제약</t>
        </is>
      </c>
      <c r="D89" s="17" t="inlineStr">
        <is>
          <t>에리슨제약(주)</t>
        </is>
      </c>
      <c r="E89" s="17" t="inlineStr">
        <is>
          <t>경기도 화성시 만세구 향남읍 제약공단3길 95</t>
        </is>
      </c>
      <c r="F89" s="17" t="inlineStr">
        <is>
          <t>경기도 화성시 만세구 향남읍 제약공단3길 95</t>
        </is>
      </c>
      <c r="G89" s="17" t="inlineStr">
        <is>
          <t>경기도 화성시 만세구 향남읍 제약공단3길 95</t>
        </is>
      </c>
      <c r="H89" s="17" t="inlineStr">
        <is>
          <t>제1공장</t>
        </is>
      </c>
      <c r="I89" s="23" t="inlineStr">
        <is>
          <t>331</t>
        </is>
      </c>
      <c r="J89" s="17" t="inlineStr">
        <is>
          <t>1</t>
        </is>
      </c>
      <c r="K89" s="17" t="inlineStr">
        <is>
          <t>완제의약품</t>
        </is>
      </c>
      <c r="L89" s="17" t="inlineStr">
        <is>
          <t>비무균-일반제제-내용고형제(정제, 캡슐제)</t>
        </is>
      </c>
      <c r="M89" s="24" t="n">
        <v>47158</v>
      </c>
      <c r="N89" s="17" t="inlineStr"/>
      <c r="O89" s="17" t="inlineStr"/>
      <c r="P89" s="17" t="inlineStr">
        <is>
          <t>경기도</t>
        </is>
      </c>
      <c r="Q89" s="17" t="inlineStr">
        <is>
          <t>화성시</t>
        </is>
      </c>
      <c r="R89" s="17" t="inlineStr">
        <is>
          <t>GMP공장소재지</t>
        </is>
      </c>
      <c r="S89" s="17" t="n">
        <v>90</v>
      </c>
      <c r="T89" s="17" t="inlineStr">
        <is>
          <t>Y</t>
        </is>
      </c>
      <c r="U89" s="17" t="n">
        <v>1</v>
      </c>
      <c r="V89" s="24" t="n">
        <v>47158</v>
      </c>
      <c r="W89" s="17" t="inlineStr"/>
      <c r="X89" s="17" t="inlineStr"/>
      <c r="Y89" s="17" t="inlineStr">
        <is>
          <t>회사키+주소</t>
        </is>
      </c>
      <c r="Z89" s="17" t="n">
        <v>90</v>
      </c>
      <c r="AA89" s="17" t="inlineStr"/>
    </row>
    <row r="90">
      <c r="A90" s="30" t="inlineStr">
        <is>
          <t>S089</t>
        </is>
      </c>
      <c r="B90" s="17" t="inlineStr">
        <is>
          <t>P082</t>
        </is>
      </c>
      <c r="C90" s="17" t="inlineStr">
        <is>
          <t>서울대학교병원</t>
        </is>
      </c>
      <c r="D90" s="17" t="inlineStr">
        <is>
          <t>서울대학교병원</t>
        </is>
      </c>
      <c r="E90" s="17" t="inlineStr">
        <is>
          <t>서울특별시 종로구 대학로 101 서울대학교 암병원 종양핵의학검사실 사이클로트론실 (연건동)</t>
        </is>
      </c>
      <c r="F90" s="17" t="inlineStr">
        <is>
          <t>서울특별시 종로구 대학로 101 서울대학교 암병원 종양핵의학검사실 사이클로트론실 (연건동)</t>
        </is>
      </c>
      <c r="G90" s="17" t="inlineStr">
        <is>
          <t>서울특별시 종로구 대학로 101 서울대학교 암병원 종양핵의학검사실 사이클로트론실 (연건동)</t>
        </is>
      </c>
      <c r="H90" s="17" t="inlineStr">
        <is>
          <t>종로</t>
        </is>
      </c>
      <c r="I90" s="23" t="inlineStr">
        <is>
          <t>2222</t>
        </is>
      </c>
      <c r="J90" s="17" t="inlineStr">
        <is>
          <t>1</t>
        </is>
      </c>
      <c r="K90" s="17" t="inlineStr">
        <is>
          <t>완제의약품</t>
        </is>
      </c>
      <c r="L90" s="17" t="inlineStr">
        <is>
          <t>무균-일반제제(방사성의약품)-주사제(주사제)</t>
        </is>
      </c>
      <c r="M90" s="24" t="n">
        <v>47158</v>
      </c>
      <c r="N90" s="17" t="inlineStr">
        <is>
          <t>Y</t>
        </is>
      </c>
      <c r="O90" s="17" t="inlineStr"/>
      <c r="P90" s="17" t="inlineStr">
        <is>
          <t>서울특별시</t>
        </is>
      </c>
      <c r="Q90" s="17" t="inlineStr">
        <is>
          <t>종로구</t>
        </is>
      </c>
      <c r="R90" s="17" t="inlineStr">
        <is>
          <t>GMP공장소재지</t>
        </is>
      </c>
      <c r="S90" s="17" t="n">
        <v>90</v>
      </c>
      <c r="T90" s="17" t="inlineStr">
        <is>
          <t>Y</t>
        </is>
      </c>
      <c r="U90" s="17" t="n">
        <v>1</v>
      </c>
      <c r="V90" s="24" t="n">
        <v>47158</v>
      </c>
      <c r="W90" s="17" t="inlineStr"/>
      <c r="X90" s="17" t="inlineStr"/>
      <c r="Y90" s="17" t="inlineStr">
        <is>
          <t>회사키+주소</t>
        </is>
      </c>
      <c r="Z90" s="17" t="n">
        <v>90</v>
      </c>
      <c r="AA90" s="17" t="inlineStr"/>
    </row>
    <row r="91">
      <c r="A91" s="30" t="inlineStr">
        <is>
          <t>S090</t>
        </is>
      </c>
      <c r="B91" s="17" t="inlineStr">
        <is>
          <t>P083</t>
        </is>
      </c>
      <c r="C91" s="17" t="inlineStr">
        <is>
          <t>한국피엠지제약</t>
        </is>
      </c>
      <c r="D91" s="17" t="inlineStr">
        <is>
          <t>(주)한국피엠지제약</t>
        </is>
      </c>
      <c r="E91" s="17" t="inlineStr">
        <is>
          <t>경기도 시흥시 경제로 59</t>
        </is>
      </c>
      <c r="F91" s="17" t="inlineStr">
        <is>
          <t>경기도 시흥시 경제로 59</t>
        </is>
      </c>
      <c r="G91" s="17" t="inlineStr">
        <is>
          <t>경기도 시흥시 경제로 59</t>
        </is>
      </c>
      <c r="H91" s="17" t="inlineStr">
        <is>
          <t>시흥</t>
        </is>
      </c>
      <c r="I91" s="23" t="inlineStr">
        <is>
          <t>313</t>
        </is>
      </c>
      <c r="J91" s="17" t="inlineStr">
        <is>
          <t>1</t>
        </is>
      </c>
      <c r="K91" s="17" t="inlineStr">
        <is>
          <t>완제의약품</t>
        </is>
      </c>
      <c r="L91" s="17" t="inlineStr">
        <is>
          <t>비무균-일반제제-내용고형제(정제, 캡슐제)</t>
        </is>
      </c>
      <c r="M91" s="24" t="n">
        <v>47156</v>
      </c>
      <c r="N91" s="17" t="inlineStr"/>
      <c r="O91" s="17" t="inlineStr"/>
      <c r="P91" s="17" t="inlineStr">
        <is>
          <t>경기도</t>
        </is>
      </c>
      <c r="Q91" s="17" t="inlineStr">
        <is>
          <t>시흥시</t>
        </is>
      </c>
      <c r="R91" s="17" t="inlineStr">
        <is>
          <t>GMP공장소재지</t>
        </is>
      </c>
      <c r="S91" s="17" t="n">
        <v>90</v>
      </c>
      <c r="T91" s="17" t="inlineStr">
        <is>
          <t>Y</t>
        </is>
      </c>
      <c r="U91" s="17" t="n">
        <v>2</v>
      </c>
      <c r="V91" s="24" t="n">
        <v>47156</v>
      </c>
      <c r="W91" s="17" t="inlineStr"/>
      <c r="X91" s="17" t="inlineStr"/>
      <c r="Y91" s="17" t="inlineStr">
        <is>
          <t>회사키+주소</t>
        </is>
      </c>
      <c r="Z91" s="17" t="n">
        <v>90</v>
      </c>
      <c r="AA91" s="17" t="inlineStr"/>
    </row>
    <row r="92">
      <c r="A92" s="30" t="inlineStr">
        <is>
          <t>S091</t>
        </is>
      </c>
      <c r="B92" s="17" t="inlineStr">
        <is>
          <t>P083</t>
        </is>
      </c>
      <c r="C92" s="17" t="inlineStr">
        <is>
          <t>한국피엠지제약</t>
        </is>
      </c>
      <c r="D92" s="17" t="inlineStr">
        <is>
          <t>(주)한국피엠지제약</t>
        </is>
      </c>
      <c r="E92" s="17" t="inlineStr">
        <is>
          <t>경기도 시흥시 경제로 59</t>
        </is>
      </c>
      <c r="F92" s="17" t="inlineStr">
        <is>
          <t>경기도 시흥시 경제로 59</t>
        </is>
      </c>
      <c r="G92" s="17" t="inlineStr">
        <is>
          <t>경기도 시흥시 경제로 59</t>
        </is>
      </c>
      <c r="H92" s="17" t="inlineStr">
        <is>
          <t>시흥</t>
        </is>
      </c>
      <c r="I92" s="23" t="inlineStr">
        <is>
          <t>313</t>
        </is>
      </c>
      <c r="J92" s="17" t="inlineStr">
        <is>
          <t>1</t>
        </is>
      </c>
      <c r="K92" s="17" t="inlineStr">
        <is>
          <t>원료의약품</t>
        </is>
      </c>
      <c r="L92" s="17" t="inlineStr">
        <is>
          <t>비무균-일반제제-소분</t>
        </is>
      </c>
      <c r="M92" s="24" t="n">
        <v>47156</v>
      </c>
      <c r="N92" s="17" t="inlineStr"/>
      <c r="O92" s="17" t="inlineStr"/>
      <c r="P92" s="17" t="inlineStr">
        <is>
          <t>경기도</t>
        </is>
      </c>
      <c r="Q92" s="17" t="inlineStr">
        <is>
          <t>시흥시</t>
        </is>
      </c>
      <c r="R92" s="17" t="inlineStr">
        <is>
          <t>GMP공장소재지</t>
        </is>
      </c>
      <c r="S92" s="17" t="n">
        <v>90</v>
      </c>
      <c r="T92" s="17" t="inlineStr">
        <is>
          <t>N</t>
        </is>
      </c>
      <c r="U92" s="17" t="n">
        <v>2</v>
      </c>
      <c r="V92" s="24" t="n">
        <v>47156</v>
      </c>
      <c r="W92" s="17" t="inlineStr"/>
      <c r="X92" s="17" t="inlineStr"/>
      <c r="Y92" s="17" t="inlineStr">
        <is>
          <t>회사키+주소</t>
        </is>
      </c>
      <c r="Z92" s="17" t="n">
        <v>90</v>
      </c>
      <c r="AA92" s="17" t="inlineStr"/>
    </row>
    <row r="93">
      <c r="A93" s="30" t="inlineStr">
        <is>
          <t>S092</t>
        </is>
      </c>
      <c r="B93" s="17" t="inlineStr">
        <is>
          <t>P084</t>
        </is>
      </c>
      <c r="C93" s="17" t="inlineStr">
        <is>
          <t>엠에스가스</t>
        </is>
      </c>
      <c r="D93" s="17" t="inlineStr">
        <is>
          <t>(주)엠에스가스</t>
        </is>
      </c>
      <c r="E93" s="17" t="inlineStr">
        <is>
          <t>경기도 광주시 초월읍 무들로8번길 51-4</t>
        </is>
      </c>
      <c r="F93" s="17" t="inlineStr">
        <is>
          <t>경기도 광주시 초월읍 무들로8번길 51-4</t>
        </is>
      </c>
      <c r="G93" s="17" t="inlineStr">
        <is>
          <t>경기도 광주시 초월읍 무들로8번길 51-4</t>
        </is>
      </c>
      <c r="H93" s="17" t="inlineStr">
        <is>
          <t>광주</t>
        </is>
      </c>
      <c r="I93" s="23" t="inlineStr">
        <is>
          <t>2119</t>
        </is>
      </c>
      <c r="J93" s="17" t="inlineStr">
        <is>
          <t>4</t>
        </is>
      </c>
      <c r="K93" s="17" t="inlineStr">
        <is>
          <t>완제의약품</t>
        </is>
      </c>
      <c r="L93" s="17" t="inlineStr">
        <is>
          <t>비무균-일반제제(의료용 고압가스)-가스제(의료용 고압가스)</t>
        </is>
      </c>
      <c r="M93" s="24" t="n">
        <v>47149</v>
      </c>
      <c r="N93" s="17" t="inlineStr"/>
      <c r="O93" s="17" t="inlineStr"/>
      <c r="P93" s="17" t="inlineStr">
        <is>
          <t>경기도</t>
        </is>
      </c>
      <c r="Q93" s="17" t="inlineStr">
        <is>
          <t>광주시</t>
        </is>
      </c>
      <c r="R93" s="17" t="inlineStr">
        <is>
          <t>GMP공장소재지</t>
        </is>
      </c>
      <c r="S93" s="17" t="n">
        <v>90</v>
      </c>
      <c r="T93" s="17" t="inlineStr">
        <is>
          <t>Y</t>
        </is>
      </c>
      <c r="U93" s="17" t="n">
        <v>1</v>
      </c>
      <c r="V93" s="24" t="n">
        <v>47149</v>
      </c>
      <c r="W93" s="17" t="inlineStr"/>
      <c r="X93" s="17" t="inlineStr"/>
      <c r="Y93" s="17" t="inlineStr">
        <is>
          <t>회사키+주소</t>
        </is>
      </c>
      <c r="Z93" s="17" t="n">
        <v>90</v>
      </c>
      <c r="AA93" s="17" t="inlineStr"/>
    </row>
    <row r="94">
      <c r="A94" s="30" t="inlineStr">
        <is>
          <t>S093</t>
        </is>
      </c>
      <c r="B94" s="17" t="inlineStr">
        <is>
          <t>P085</t>
        </is>
      </c>
      <c r="C94" s="17" t="inlineStr">
        <is>
          <t>경보제약</t>
        </is>
      </c>
      <c r="D94" s="17" t="inlineStr">
        <is>
          <t>(주)경보제약</t>
        </is>
      </c>
      <c r="E94" s="17" t="inlineStr">
        <is>
          <t>충청남도 아산시 실옥로 174</t>
        </is>
      </c>
      <c r="F94" s="17" t="inlineStr">
        <is>
          <t>충청남도 아산시 실옥로 174</t>
        </is>
      </c>
      <c r="G94" s="17" t="inlineStr">
        <is>
          <t>충청남도 아산시 실옥로 174</t>
        </is>
      </c>
      <c r="H94" s="17" t="inlineStr">
        <is>
          <t>아산</t>
        </is>
      </c>
      <c r="I94" s="23" t="inlineStr">
        <is>
          <t>1673</t>
        </is>
      </c>
      <c r="J94" s="17" t="inlineStr">
        <is>
          <t>1</t>
        </is>
      </c>
      <c r="K94" s="17" t="inlineStr">
        <is>
          <t>원료의약품</t>
        </is>
      </c>
      <c r="L94" s="17" t="inlineStr">
        <is>
          <t>무균-세팔로스포린제제-합성, 비무균-세팔로스포린제제-합성, 비무균-세포독성항암제제-합성, 비무균-일반제제-합성</t>
        </is>
      </c>
      <c r="M94" s="24" t="n">
        <v>47149</v>
      </c>
      <c r="N94" s="17" t="inlineStr">
        <is>
          <t>Y</t>
        </is>
      </c>
      <c r="O94" s="17" t="inlineStr"/>
      <c r="P94" s="17" t="inlineStr">
        <is>
          <t>충청남도</t>
        </is>
      </c>
      <c r="Q94" s="17" t="inlineStr">
        <is>
          <t>아산시</t>
        </is>
      </c>
      <c r="R94" s="17" t="inlineStr">
        <is>
          <t>GMP공장소재지</t>
        </is>
      </c>
      <c r="S94" s="17" t="n">
        <v>90</v>
      </c>
      <c r="T94" s="17" t="inlineStr">
        <is>
          <t>Y</t>
        </is>
      </c>
      <c r="U94" s="17" t="n">
        <v>2</v>
      </c>
      <c r="V94" s="24" t="n">
        <v>47149</v>
      </c>
      <c r="W94" s="17" t="inlineStr"/>
      <c r="X94" s="17" t="inlineStr"/>
      <c r="Y94" s="17" t="inlineStr">
        <is>
          <t>회사키+주소</t>
        </is>
      </c>
      <c r="Z94" s="17" t="n">
        <v>90</v>
      </c>
      <c r="AA94" s="17" t="inlineStr"/>
    </row>
    <row r="95">
      <c r="A95" s="30" t="inlineStr">
        <is>
          <t>S094</t>
        </is>
      </c>
      <c r="B95" s="17" t="inlineStr">
        <is>
          <t>P085</t>
        </is>
      </c>
      <c r="C95" s="17" t="inlineStr">
        <is>
          <t>경보제약</t>
        </is>
      </c>
      <c r="D95" s="17" t="inlineStr">
        <is>
          <t>(주)경보제약</t>
        </is>
      </c>
      <c r="E95" s="17" t="inlineStr">
        <is>
          <t>충청남도 아산시 실옥로 174</t>
        </is>
      </c>
      <c r="F95" s="17" t="inlineStr">
        <is>
          <t>충청남도 아산시 실옥로 174</t>
        </is>
      </c>
      <c r="G95" s="17" t="inlineStr">
        <is>
          <t>충청남도 아산시 실옥로 174</t>
        </is>
      </c>
      <c r="H95" s="17" t="inlineStr">
        <is>
          <t>아산</t>
        </is>
      </c>
      <c r="I95" s="23" t="inlineStr">
        <is>
          <t>1673</t>
        </is>
      </c>
      <c r="J95" s="17" t="inlineStr">
        <is>
          <t>1</t>
        </is>
      </c>
      <c r="K95" s="17" t="inlineStr">
        <is>
          <t>완제의약품</t>
        </is>
      </c>
      <c r="L95" s="17" t="inlineStr">
        <is>
          <t>비무균-세팔로스포린제제-내용고형제(정제, 캡슐제, 시럽제(고형)), 무균-세팔로스포린제제-주사제(분말주사제)</t>
        </is>
      </c>
      <c r="M95" s="24" t="n">
        <v>47149</v>
      </c>
      <c r="N95" s="17" t="inlineStr">
        <is>
          <t>Y</t>
        </is>
      </c>
      <c r="O95" s="17" t="inlineStr"/>
      <c r="P95" s="17" t="inlineStr">
        <is>
          <t>충청남도</t>
        </is>
      </c>
      <c r="Q95" s="17" t="inlineStr">
        <is>
          <t>아산시</t>
        </is>
      </c>
      <c r="R95" s="17" t="inlineStr">
        <is>
          <t>GMP공장소재지</t>
        </is>
      </c>
      <c r="S95" s="17" t="n">
        <v>90</v>
      </c>
      <c r="T95" s="17" t="inlineStr">
        <is>
          <t>N</t>
        </is>
      </c>
      <c r="U95" s="17" t="n">
        <v>2</v>
      </c>
      <c r="V95" s="24" t="n">
        <v>47149</v>
      </c>
      <c r="W95" s="17" t="inlineStr"/>
      <c r="X95" s="17" t="inlineStr"/>
      <c r="Y95" s="17" t="inlineStr">
        <is>
          <t>회사키+주소</t>
        </is>
      </c>
      <c r="Z95" s="17" t="n">
        <v>90</v>
      </c>
      <c r="AA95" s="17" t="inlineStr"/>
    </row>
    <row r="96">
      <c r="A96" s="30" t="inlineStr">
        <is>
          <t>S095</t>
        </is>
      </c>
      <c r="B96" s="17" t="inlineStr">
        <is>
          <t>P086</t>
        </is>
      </c>
      <c r="C96" s="17" t="inlineStr">
        <is>
          <t>타나베파마코리아</t>
        </is>
      </c>
      <c r="D96" s="17" t="inlineStr">
        <is>
          <t>타나베파마코리아주식회사</t>
        </is>
      </c>
      <c r="E96" s="17" t="inlineStr">
        <is>
          <t>경기도 화성시 만세구 향남읍 제약공단2길 80</t>
        </is>
      </c>
      <c r="F96" s="17" t="inlineStr">
        <is>
          <t>경기도 화성시 만세구 향남읍 제약공단2길 80</t>
        </is>
      </c>
      <c r="G96" s="17" t="inlineStr">
        <is>
          <t>경기도 화성시 만세구 향남읍 제약공단2길 80</t>
        </is>
      </c>
      <c r="H96" s="17" t="inlineStr">
        <is>
          <t>화성</t>
        </is>
      </c>
      <c r="I96" s="23" t="inlineStr">
        <is>
          <t>1453</t>
        </is>
      </c>
      <c r="J96" s="17" t="inlineStr">
        <is>
          <t>1</t>
        </is>
      </c>
      <c r="K96" s="17" t="inlineStr">
        <is>
          <t>완제의약품</t>
        </is>
      </c>
      <c r="L96" s="17" t="inlineStr">
        <is>
          <t>무균-일반제제-주사제(주사제)</t>
        </is>
      </c>
      <c r="M96" s="24" t="n">
        <v>47149</v>
      </c>
      <c r="N96" s="17" t="inlineStr">
        <is>
          <t>Y</t>
        </is>
      </c>
      <c r="O96" s="17" t="inlineStr"/>
      <c r="P96" s="17" t="inlineStr">
        <is>
          <t>경기도</t>
        </is>
      </c>
      <c r="Q96" s="17" t="inlineStr">
        <is>
          <t>화성시</t>
        </is>
      </c>
      <c r="R96" s="17" t="inlineStr">
        <is>
          <t>GMP공장소재지</t>
        </is>
      </c>
      <c r="S96" s="17" t="n">
        <v>90</v>
      </c>
      <c r="T96" s="17" t="inlineStr">
        <is>
          <t>Y</t>
        </is>
      </c>
      <c r="U96" s="17" t="n">
        <v>1</v>
      </c>
      <c r="V96" s="24" t="n">
        <v>47149</v>
      </c>
      <c r="W96" s="17" t="inlineStr"/>
      <c r="X96" s="17" t="inlineStr"/>
      <c r="Y96" s="17" t="inlineStr">
        <is>
          <t>회사키+주소</t>
        </is>
      </c>
      <c r="Z96" s="17" t="n">
        <v>90</v>
      </c>
      <c r="AA96" s="17" t="inlineStr"/>
    </row>
    <row r="97">
      <c r="A97" s="30" t="inlineStr">
        <is>
          <t>S096</t>
        </is>
      </c>
      <c r="B97" s="17" t="inlineStr">
        <is>
          <t>P087</t>
        </is>
      </c>
      <c r="C97" s="17" t="inlineStr">
        <is>
          <t>대덕가스</t>
        </is>
      </c>
      <c r="D97" s="17" t="inlineStr">
        <is>
          <t>대덕가스(주)</t>
        </is>
      </c>
      <c r="E97" s="17" t="inlineStr">
        <is>
          <t>충청남도 서산시 고북면 고북1로 343-12</t>
        </is>
      </c>
      <c r="F97" s="17" t="inlineStr"/>
      <c r="G97" s="17" t="inlineStr">
        <is>
          <t>충청남도 서산시 고북면 고북1로 343-12</t>
        </is>
      </c>
      <c r="H97" s="17" t="inlineStr">
        <is>
          <t>미확인</t>
        </is>
      </c>
      <c r="I97" s="23" t="inlineStr">
        <is>
          <t>1995</t>
        </is>
      </c>
      <c r="J97" s="17" t="inlineStr"/>
      <c r="K97" s="17" t="inlineStr">
        <is>
          <t>완제의약품</t>
        </is>
      </c>
      <c r="L97" s="17" t="inlineStr">
        <is>
          <t>비무균-일반제제(의료용 고압가스)-가스제(의료용 고압가스)</t>
        </is>
      </c>
      <c r="M97" s="24" t="n">
        <v>47137</v>
      </c>
      <c r="N97" s="17" t="inlineStr"/>
      <c r="O97" s="17" t="inlineStr"/>
      <c r="P97" s="17" t="inlineStr">
        <is>
          <t>충청남도</t>
        </is>
      </c>
      <c r="Q97" s="17" t="inlineStr">
        <is>
          <t>서산시</t>
        </is>
      </c>
      <c r="R97" s="17" t="inlineStr">
        <is>
          <t>GMP공장소재지</t>
        </is>
      </c>
      <c r="S97" s="17" t="n">
        <v>0</v>
      </c>
      <c r="T97" s="17" t="inlineStr">
        <is>
          <t>Y</t>
        </is>
      </c>
      <c r="U97" s="17" t="n">
        <v>1</v>
      </c>
      <c r="V97" s="24" t="n">
        <v>47137</v>
      </c>
      <c r="W97" s="17" t="inlineStr"/>
      <c r="X97" s="17" t="inlineStr"/>
      <c r="Y97" s="17" t="inlineStr">
        <is>
          <t>무매칭</t>
        </is>
      </c>
      <c r="Z97" s="17" t="n">
        <v>0</v>
      </c>
      <c r="AA97" s="17" t="inlineStr">
        <is>
          <t>Y</t>
        </is>
      </c>
    </row>
    <row r="98">
      <c r="A98" s="30" t="inlineStr">
        <is>
          <t>S097</t>
        </is>
      </c>
      <c r="B98" s="17" t="inlineStr">
        <is>
          <t>P088</t>
        </is>
      </c>
      <c r="C98" s="17" t="inlineStr">
        <is>
          <t>에이치케이이노엔</t>
        </is>
      </c>
      <c r="D98" s="17" t="inlineStr">
        <is>
          <t>에이치케이이노엔(주)</t>
        </is>
      </c>
      <c r="E98" s="17" t="inlineStr">
        <is>
          <t>경기도 이천시 마장면 덕평로 811</t>
        </is>
      </c>
      <c r="F98" s="17" t="inlineStr">
        <is>
          <t>경기도 이천시 마장면 덕평로 811</t>
        </is>
      </c>
      <c r="G98" s="17" t="inlineStr">
        <is>
          <t>경기도 이천시 마장면 덕평로 811</t>
        </is>
      </c>
      <c r="H98" s="17" t="inlineStr">
        <is>
          <t>이천</t>
        </is>
      </c>
      <c r="I98" s="23" t="inlineStr">
        <is>
          <t>1452</t>
        </is>
      </c>
      <c r="J98" s="17" t="inlineStr">
        <is>
          <t>2</t>
        </is>
      </c>
      <c r="K98" s="17" t="inlineStr">
        <is>
          <t>완제의약품</t>
        </is>
      </c>
      <c r="L98" s="17" t="inlineStr">
        <is>
          <t>생물-백신-주사제(동결건조주사제), 생물-유전자재조합의약품-주사제(주사제)</t>
        </is>
      </c>
      <c r="M98" s="24" t="n">
        <v>47136</v>
      </c>
      <c r="N98" s="17" t="inlineStr">
        <is>
          <t>Y</t>
        </is>
      </c>
      <c r="O98" s="17" t="inlineStr">
        <is>
          <t>Y</t>
        </is>
      </c>
      <c r="P98" s="17" t="inlineStr">
        <is>
          <t>경기도</t>
        </is>
      </c>
      <c r="Q98" s="17" t="inlineStr">
        <is>
          <t>이천시</t>
        </is>
      </c>
      <c r="R98" s="17" t="inlineStr">
        <is>
          <t>GMP공장소재지</t>
        </is>
      </c>
      <c r="S98" s="17" t="n">
        <v>90</v>
      </c>
      <c r="T98" s="17" t="inlineStr">
        <is>
          <t>Y</t>
        </is>
      </c>
      <c r="U98" s="17" t="n">
        <v>2</v>
      </c>
      <c r="V98" s="24" t="n">
        <v>47136</v>
      </c>
      <c r="W98" s="17" t="inlineStr"/>
      <c r="X98" s="17" t="inlineStr"/>
      <c r="Y98" s="17" t="inlineStr">
        <is>
          <t>회사키+주소</t>
        </is>
      </c>
      <c r="Z98" s="17" t="n">
        <v>90</v>
      </c>
      <c r="AA98" s="17" t="inlineStr"/>
    </row>
    <row r="99">
      <c r="A99" s="30" t="inlineStr">
        <is>
          <t>S098</t>
        </is>
      </c>
      <c r="B99" s="17" t="inlineStr">
        <is>
          <t>P088</t>
        </is>
      </c>
      <c r="C99" s="17" t="inlineStr">
        <is>
          <t>에이치케이이노엔</t>
        </is>
      </c>
      <c r="D99" s="17" t="inlineStr">
        <is>
          <t>에이치케이이노엔(주)</t>
        </is>
      </c>
      <c r="E99" s="17" t="inlineStr">
        <is>
          <t>경기도 이천시 마장면 덕평로 811</t>
        </is>
      </c>
      <c r="F99" s="17" t="inlineStr">
        <is>
          <t>경기도 이천시 마장면 덕평로 811</t>
        </is>
      </c>
      <c r="G99" s="17" t="inlineStr">
        <is>
          <t>경기도 이천시 마장면 덕평로 811</t>
        </is>
      </c>
      <c r="H99" s="17" t="inlineStr">
        <is>
          <t>이천</t>
        </is>
      </c>
      <c r="I99" s="23" t="inlineStr">
        <is>
          <t>1452</t>
        </is>
      </c>
      <c r="J99" s="17" t="inlineStr">
        <is>
          <t>2</t>
        </is>
      </c>
      <c r="K99" s="17" t="inlineStr">
        <is>
          <t>원료의약품</t>
        </is>
      </c>
      <c r="L99" s="17" t="inlineStr">
        <is>
          <t>생물-백신-(배양, 정제, 바이러스불활화, 원액 제조), 생물-유전자재조합의약품-(배양, 정제, 바이러스불활화, 원액 제조)</t>
        </is>
      </c>
      <c r="M99" s="24" t="n">
        <v>47136</v>
      </c>
      <c r="N99" s="17" t="inlineStr"/>
      <c r="O99" s="17" t="inlineStr">
        <is>
          <t>Y</t>
        </is>
      </c>
      <c r="P99" s="17" t="inlineStr">
        <is>
          <t>경기도</t>
        </is>
      </c>
      <c r="Q99" s="17" t="inlineStr">
        <is>
          <t>이천시</t>
        </is>
      </c>
      <c r="R99" s="17" t="inlineStr">
        <is>
          <t>GMP공장소재지</t>
        </is>
      </c>
      <c r="S99" s="17" t="n">
        <v>90</v>
      </c>
      <c r="T99" s="17" t="inlineStr">
        <is>
          <t>N</t>
        </is>
      </c>
      <c r="U99" s="17" t="n">
        <v>2</v>
      </c>
      <c r="V99" s="24" t="n">
        <v>47136</v>
      </c>
      <c r="W99" s="17" t="inlineStr"/>
      <c r="X99" s="17" t="inlineStr"/>
      <c r="Y99" s="17" t="inlineStr">
        <is>
          <t>회사키+주소</t>
        </is>
      </c>
      <c r="Z99" s="17" t="n">
        <v>90</v>
      </c>
      <c r="AA99" s="17" t="inlineStr"/>
    </row>
    <row r="100">
      <c r="A100" s="30" t="inlineStr">
        <is>
          <t>S099</t>
        </is>
      </c>
      <c r="B100" s="17" t="inlineStr">
        <is>
          <t>P089</t>
        </is>
      </c>
      <c r="C100" s="17" t="inlineStr">
        <is>
          <t>유한화학</t>
        </is>
      </c>
      <c r="D100" s="17" t="inlineStr">
        <is>
          <t>주식회사 유한화학</t>
        </is>
      </c>
      <c r="E100" s="17" t="inlineStr">
        <is>
          <t>경기도 안산시 단원구 지원로 45 시화공단 5바 402호 (성곡동)</t>
        </is>
      </c>
      <c r="F100" s="17" t="inlineStr">
        <is>
          <t>경기도 안산시 단원구 지원로 45, 시화공업단지 5바 402호 (성곡동)</t>
        </is>
      </c>
      <c r="G100" s="17" t="inlineStr">
        <is>
          <t>경기도 안산시 단원구 지원로 45 시화공단 5바 402호 (성곡동)</t>
        </is>
      </c>
      <c r="H100" s="17" t="inlineStr">
        <is>
          <t>소분</t>
        </is>
      </c>
      <c r="I100" s="23" t="inlineStr">
        <is>
          <t>1791</t>
        </is>
      </c>
      <c r="J100" s="17" t="inlineStr">
        <is>
          <t>2</t>
        </is>
      </c>
      <c r="K100" s="17" t="inlineStr">
        <is>
          <t>원료의약품</t>
        </is>
      </c>
      <c r="L100" s="17" t="inlineStr">
        <is>
          <t>비무균-일반제제-합성</t>
        </is>
      </c>
      <c r="M100" s="24" t="n">
        <v>47135</v>
      </c>
      <c r="N100" s="17" t="inlineStr"/>
      <c r="O100" s="17" t="inlineStr"/>
      <c r="P100" s="17" t="inlineStr">
        <is>
          <t>경기도</t>
        </is>
      </c>
      <c r="Q100" s="17" t="inlineStr">
        <is>
          <t>안산시</t>
        </is>
      </c>
      <c r="R100" s="17" t="inlineStr">
        <is>
          <t>GMP공장소재지</t>
        </is>
      </c>
      <c r="S100" s="17" t="n">
        <v>90</v>
      </c>
      <c r="T100" s="17" t="inlineStr">
        <is>
          <t>Y</t>
        </is>
      </c>
      <c r="U100" s="17" t="n">
        <v>1</v>
      </c>
      <c r="V100" s="24" t="n">
        <v>47135</v>
      </c>
      <c r="W100" s="17" t="inlineStr"/>
      <c r="X100" s="17" t="inlineStr"/>
      <c r="Y100" s="17" t="inlineStr">
        <is>
          <t>회사키+주소</t>
        </is>
      </c>
      <c r="Z100" s="17" t="n">
        <v>90</v>
      </c>
      <c r="AA100" s="17" t="inlineStr"/>
    </row>
    <row r="101">
      <c r="A101" s="30" t="inlineStr">
        <is>
          <t>S100</t>
        </is>
      </c>
      <c r="B101" s="17" t="inlineStr">
        <is>
          <t>P090</t>
        </is>
      </c>
      <c r="C101" s="17" t="inlineStr">
        <is>
          <t>한국탄산화학</t>
        </is>
      </c>
      <c r="D101" s="17" t="inlineStr">
        <is>
          <t>한국탄산화학(주)</t>
        </is>
      </c>
      <c r="E101" s="17" t="inlineStr">
        <is>
          <t>경기도 시흥시 서해안로 140</t>
        </is>
      </c>
      <c r="F101" s="17" t="inlineStr">
        <is>
          <t>경기도 시흥시 서해안로 140</t>
        </is>
      </c>
      <c r="G101" s="17" t="inlineStr">
        <is>
          <t>경기도 시흥시 서해안로 140</t>
        </is>
      </c>
      <c r="H101" s="17" t="inlineStr">
        <is>
          <t>한국탄산화학(주)</t>
        </is>
      </c>
      <c r="I101" s="23" t="inlineStr">
        <is>
          <t>6171</t>
        </is>
      </c>
      <c r="J101" s="17" t="inlineStr">
        <is>
          <t>1</t>
        </is>
      </c>
      <c r="K101" s="17" t="inlineStr">
        <is>
          <t>완제의약품</t>
        </is>
      </c>
      <c r="L101" s="17" t="inlineStr">
        <is>
          <t>비무균-일반제제(의료용 고압가스)-가스제(의료용 고압가스)</t>
        </is>
      </c>
      <c r="M101" s="24" t="n">
        <v>47120</v>
      </c>
      <c r="N101" s="17" t="inlineStr"/>
      <c r="O101" s="17" t="inlineStr"/>
      <c r="P101" s="17" t="inlineStr">
        <is>
          <t>경기도</t>
        </is>
      </c>
      <c r="Q101" s="17" t="inlineStr">
        <is>
          <t>시흥시</t>
        </is>
      </c>
      <c r="R101" s="17" t="inlineStr">
        <is>
          <t>GMP공장소재지</t>
        </is>
      </c>
      <c r="S101" s="17" t="n">
        <v>90</v>
      </c>
      <c r="T101" s="17" t="inlineStr">
        <is>
          <t>Y</t>
        </is>
      </c>
      <c r="U101" s="17" t="n">
        <v>1</v>
      </c>
      <c r="V101" s="24" t="n">
        <v>47120</v>
      </c>
      <c r="W101" s="17" t="inlineStr"/>
      <c r="X101" s="17" t="inlineStr"/>
      <c r="Y101" s="17" t="inlineStr">
        <is>
          <t>회사키+주소</t>
        </is>
      </c>
      <c r="Z101" s="17" t="n">
        <v>90</v>
      </c>
      <c r="AA101" s="17" t="inlineStr"/>
    </row>
    <row r="102">
      <c r="A102" s="30" t="inlineStr">
        <is>
          <t>S101</t>
        </is>
      </c>
      <c r="B102" s="17" t="inlineStr">
        <is>
          <t>P091</t>
        </is>
      </c>
      <c r="C102" s="17" t="inlineStr">
        <is>
          <t>녹십자웰빙</t>
        </is>
      </c>
      <c r="D102" s="17" t="inlineStr">
        <is>
          <t>(주)녹십자웰빙</t>
        </is>
      </c>
      <c r="E102" s="17" t="inlineStr">
        <is>
          <t>충청북도 음성군 맹동면 두레로 173</t>
        </is>
      </c>
      <c r="F102" s="17" t="inlineStr">
        <is>
          <t>충청북도 음성군 맹동면 두레로 173</t>
        </is>
      </c>
      <c r="G102" s="17" t="inlineStr">
        <is>
          <t>충청북도 음성군 맹동면 두레로 173</t>
        </is>
      </c>
      <c r="H102" s="17" t="inlineStr">
        <is>
          <t>제2공장 음성혁신공장</t>
        </is>
      </c>
      <c r="I102" s="23" t="inlineStr">
        <is>
          <t>2451</t>
        </is>
      </c>
      <c r="J102" s="17" t="inlineStr">
        <is>
          <t>2</t>
        </is>
      </c>
      <c r="K102" s="17" t="inlineStr">
        <is>
          <t>원료의약품</t>
        </is>
      </c>
      <c r="L102" s="17" t="inlineStr">
        <is>
          <t>비무균-일반제제-추출</t>
        </is>
      </c>
      <c r="M102" s="24" t="n">
        <v>47113</v>
      </c>
      <c r="N102" s="17" t="inlineStr"/>
      <c r="O102" s="17" t="inlineStr"/>
      <c r="P102" s="17" t="inlineStr">
        <is>
          <t>충청북도</t>
        </is>
      </c>
      <c r="Q102" s="17" t="inlineStr">
        <is>
          <t>음성군</t>
        </is>
      </c>
      <c r="R102" s="17" t="inlineStr">
        <is>
          <t>GMP공장소재지</t>
        </is>
      </c>
      <c r="S102" s="17" t="n">
        <v>90</v>
      </c>
      <c r="T102" s="17" t="inlineStr">
        <is>
          <t>Y</t>
        </is>
      </c>
      <c r="U102" s="17" t="n">
        <v>2</v>
      </c>
      <c r="V102" s="24" t="n">
        <v>47113</v>
      </c>
      <c r="W102" s="17" t="inlineStr"/>
      <c r="X102" s="17" t="inlineStr"/>
      <c r="Y102" s="17" t="inlineStr">
        <is>
          <t>회사키+주소</t>
        </is>
      </c>
      <c r="Z102" s="17" t="n">
        <v>90</v>
      </c>
      <c r="AA102" s="17" t="inlineStr"/>
    </row>
    <row r="103">
      <c r="A103" s="30" t="inlineStr">
        <is>
          <t>S102</t>
        </is>
      </c>
      <c r="B103" s="17" t="inlineStr">
        <is>
          <t>P091</t>
        </is>
      </c>
      <c r="C103" s="17" t="inlineStr">
        <is>
          <t>녹십자웰빙</t>
        </is>
      </c>
      <c r="D103" s="17" t="inlineStr">
        <is>
          <t>(주)녹십자웰빙</t>
        </is>
      </c>
      <c r="E103" s="17" t="inlineStr">
        <is>
          <t>충청북도 음성군 맹동면 두레로 173</t>
        </is>
      </c>
      <c r="F103" s="17" t="inlineStr">
        <is>
          <t>충청북도 음성군 맹동면 두레로 173</t>
        </is>
      </c>
      <c r="G103" s="17" t="inlineStr">
        <is>
          <t>충청북도 음성군 맹동면 두레로 173</t>
        </is>
      </c>
      <c r="H103" s="17" t="inlineStr">
        <is>
          <t>제2공장 음성혁신공장</t>
        </is>
      </c>
      <c r="I103" s="23" t="inlineStr">
        <is>
          <t>2451</t>
        </is>
      </c>
      <c r="J103" s="17" t="inlineStr">
        <is>
          <t>2</t>
        </is>
      </c>
      <c r="K103" s="17" t="inlineStr">
        <is>
          <t>완제의약품</t>
        </is>
      </c>
      <c r="L103" s="17" t="inlineStr">
        <is>
          <t>무균-일반제제-주사제(주사제)</t>
        </is>
      </c>
      <c r="M103" s="24" t="n">
        <v>47113</v>
      </c>
      <c r="N103" s="17" t="inlineStr">
        <is>
          <t>Y</t>
        </is>
      </c>
      <c r="O103" s="17" t="inlineStr"/>
      <c r="P103" s="17" t="inlineStr">
        <is>
          <t>충청북도</t>
        </is>
      </c>
      <c r="Q103" s="17" t="inlineStr">
        <is>
          <t>음성군</t>
        </is>
      </c>
      <c r="R103" s="17" t="inlineStr">
        <is>
          <t>GMP공장소재지</t>
        </is>
      </c>
      <c r="S103" s="17" t="n">
        <v>90</v>
      </c>
      <c r="T103" s="17" t="inlineStr">
        <is>
          <t>N</t>
        </is>
      </c>
      <c r="U103" s="17" t="n">
        <v>2</v>
      </c>
      <c r="V103" s="24" t="n">
        <v>47113</v>
      </c>
      <c r="W103" s="17" t="inlineStr"/>
      <c r="X103" s="17" t="inlineStr"/>
      <c r="Y103" s="17" t="inlineStr">
        <is>
          <t>회사키+주소</t>
        </is>
      </c>
      <c r="Z103" s="17" t="n">
        <v>90</v>
      </c>
      <c r="AA103" s="17" t="inlineStr"/>
    </row>
    <row r="104">
      <c r="A104" s="30" t="inlineStr">
        <is>
          <t>S103</t>
        </is>
      </c>
      <c r="B104" s="17" t="inlineStr">
        <is>
          <t>P092</t>
        </is>
      </c>
      <c r="C104" s="17" t="inlineStr">
        <is>
          <t>대웅바이오</t>
        </is>
      </c>
      <c r="D104" s="17" t="inlineStr">
        <is>
          <t>대웅바이오(주)</t>
        </is>
      </c>
      <c r="E104" s="17" t="inlineStr">
        <is>
          <t>경기도 화성시 만세구 향남읍 제약공단4길 57</t>
        </is>
      </c>
      <c r="F104" s="17" t="inlineStr">
        <is>
          <t>경기도 화성시 만세구 향남읍 제약공단4길 57</t>
        </is>
      </c>
      <c r="G104" s="17" t="inlineStr">
        <is>
          <t>경기도 화성시 만세구 향남읍 제약공단4길 57</t>
        </is>
      </c>
      <c r="H104" s="17" t="inlineStr">
        <is>
          <t>미확인</t>
        </is>
      </c>
      <c r="I104" s="23" t="inlineStr">
        <is>
          <t>1632</t>
        </is>
      </c>
      <c r="J104" s="17" t="inlineStr">
        <is>
          <t>7</t>
        </is>
      </c>
      <c r="K104" s="17" t="inlineStr">
        <is>
          <t>완제의약품</t>
        </is>
      </c>
      <c r="L104" s="17" t="inlineStr">
        <is>
          <t>비무균-세팔로스포린제제-내용고형제(캡슐제)</t>
        </is>
      </c>
      <c r="M104" s="24" t="n">
        <v>47110</v>
      </c>
      <c r="N104" s="17" t="inlineStr"/>
      <c r="O104" s="17" t="inlineStr"/>
      <c r="P104" s="17" t="inlineStr">
        <is>
          <t>경기도</t>
        </is>
      </c>
      <c r="Q104" s="17" t="inlineStr">
        <is>
          <t>화성시</t>
        </is>
      </c>
      <c r="R104" s="17" t="inlineStr">
        <is>
          <t>GMP공장소재지</t>
        </is>
      </c>
      <c r="S104" s="17" t="n">
        <v>90</v>
      </c>
      <c r="T104" s="17" t="inlineStr">
        <is>
          <t>Y</t>
        </is>
      </c>
      <c r="U104" s="17" t="n">
        <v>1</v>
      </c>
      <c r="V104" s="24" t="n">
        <v>47110</v>
      </c>
      <c r="W104" s="17" t="inlineStr"/>
      <c r="X104" s="17" t="inlineStr"/>
      <c r="Y104" s="17" t="inlineStr">
        <is>
          <t>회사키+주소</t>
        </is>
      </c>
      <c r="Z104" s="17" t="n">
        <v>90</v>
      </c>
      <c r="AA104" s="17" t="inlineStr"/>
    </row>
    <row r="105">
      <c r="A105" s="30" t="inlineStr">
        <is>
          <t>S104</t>
        </is>
      </c>
      <c r="B105" s="17" t="inlineStr">
        <is>
          <t>P093</t>
        </is>
      </c>
      <c r="C105" s="17" t="inlineStr">
        <is>
          <t>에이치디엑스</t>
        </is>
      </c>
      <c r="D105" s="17" t="inlineStr">
        <is>
          <t>에이치디엑스(주)</t>
        </is>
      </c>
      <c r="E105" s="17" t="inlineStr">
        <is>
          <t>서울특별시 종로구 대학로 103 지하2층(연건동, 서울대학교 의과대학 의과학관 싸이클로트론실)</t>
        </is>
      </c>
      <c r="F105" s="17" t="inlineStr">
        <is>
          <t>서울특별시 종로구 대학로 103 지하2층(연건동, 서울대학교 의과대학 의과학관 싸이클로트론실)</t>
        </is>
      </c>
      <c r="G105" s="17" t="inlineStr">
        <is>
          <t>서울특별시 종로구 대학로 103 지하2층(연건동, 서울대학교 의과대학 의과학관 싸이클로트론실)</t>
        </is>
      </c>
      <c r="H105" s="17" t="inlineStr">
        <is>
          <t>서울(종로구 대학로)</t>
        </is>
      </c>
      <c r="I105" s="23" t="inlineStr">
        <is>
          <t>2407</t>
        </is>
      </c>
      <c r="J105" s="17" t="inlineStr">
        <is>
          <t>5</t>
        </is>
      </c>
      <c r="K105" s="17" t="inlineStr">
        <is>
          <t>완제의약품</t>
        </is>
      </c>
      <c r="L105" s="17" t="inlineStr">
        <is>
          <t>무균-일반제제(방사성의약품)-주사제(주사제)</t>
        </is>
      </c>
      <c r="M105" s="24" t="n">
        <v>47109</v>
      </c>
      <c r="N105" s="17" t="inlineStr">
        <is>
          <t>Y</t>
        </is>
      </c>
      <c r="O105" s="17" t="inlineStr"/>
      <c r="P105" s="17" t="inlineStr">
        <is>
          <t>서울특별시</t>
        </is>
      </c>
      <c r="Q105" s="17" t="inlineStr">
        <is>
          <t>종로구</t>
        </is>
      </c>
      <c r="R105" s="17" t="inlineStr">
        <is>
          <t>GMP공장소재지</t>
        </is>
      </c>
      <c r="S105" s="17" t="n">
        <v>90</v>
      </c>
      <c r="T105" s="17" t="inlineStr">
        <is>
          <t>Y</t>
        </is>
      </c>
      <c r="U105" s="17" t="n">
        <v>1</v>
      </c>
      <c r="V105" s="24" t="n">
        <v>47109</v>
      </c>
      <c r="W105" s="17" t="inlineStr"/>
      <c r="X105" s="17" t="inlineStr"/>
      <c r="Y105" s="17" t="inlineStr">
        <is>
          <t>회사키+주소</t>
        </is>
      </c>
      <c r="Z105" s="17" t="n">
        <v>90</v>
      </c>
      <c r="AA105" s="17" t="inlineStr"/>
    </row>
    <row r="106">
      <c r="A106" s="30" t="inlineStr">
        <is>
          <t>S105</t>
        </is>
      </c>
      <c r="B106" s="17" t="inlineStr">
        <is>
          <t>P094</t>
        </is>
      </c>
      <c r="C106" s="17" t="inlineStr">
        <is>
          <t>대유코아</t>
        </is>
      </c>
      <c r="D106" s="17" t="inlineStr">
        <is>
          <t>(주)대유코아</t>
        </is>
      </c>
      <c r="E106" s="17" t="inlineStr">
        <is>
          <t>경상남도 함안군 칠서면 공단동길 98</t>
        </is>
      </c>
      <c r="F106" s="17" t="inlineStr">
        <is>
          <t>경상남도 함안군 칠서면 공단동길 98</t>
        </is>
      </c>
      <c r="G106" s="17" t="inlineStr">
        <is>
          <t>경상남도 함안군 칠서면 공단동길 98</t>
        </is>
      </c>
      <c r="H106" s="17" t="inlineStr">
        <is>
          <t>칠서공장</t>
        </is>
      </c>
      <c r="I106" s="23" t="inlineStr">
        <is>
          <t>1762</t>
        </is>
      </c>
      <c r="J106" s="17" t="inlineStr">
        <is>
          <t>2</t>
        </is>
      </c>
      <c r="K106" s="17" t="inlineStr">
        <is>
          <t>완제의약품</t>
        </is>
      </c>
      <c r="L106" s="17" t="inlineStr">
        <is>
          <t>비무균-일반제제-가스제(의료용 고압가스)</t>
        </is>
      </c>
      <c r="M106" s="24" t="n">
        <v>47106</v>
      </c>
      <c r="N106" s="17" t="inlineStr"/>
      <c r="O106" s="17" t="inlineStr"/>
      <c r="P106" s="17" t="inlineStr">
        <is>
          <t>경상남도</t>
        </is>
      </c>
      <c r="Q106" s="17" t="inlineStr">
        <is>
          <t>함안군</t>
        </is>
      </c>
      <c r="R106" s="17" t="inlineStr">
        <is>
          <t>GMP공장소재지</t>
        </is>
      </c>
      <c r="S106" s="17" t="n">
        <v>90</v>
      </c>
      <c r="T106" s="17" t="inlineStr">
        <is>
          <t>Y</t>
        </is>
      </c>
      <c r="U106" s="17" t="n">
        <v>1</v>
      </c>
      <c r="V106" s="24" t="n">
        <v>47106</v>
      </c>
      <c r="W106" s="17" t="inlineStr"/>
      <c r="X106" s="17" t="inlineStr"/>
      <c r="Y106" s="17" t="inlineStr">
        <is>
          <t>회사키+주소</t>
        </is>
      </c>
      <c r="Z106" s="17" t="n">
        <v>90</v>
      </c>
      <c r="AA106" s="17" t="inlineStr"/>
    </row>
    <row r="107">
      <c r="A107" s="30" t="inlineStr">
        <is>
          <t>S106</t>
        </is>
      </c>
      <c r="B107" s="17" t="inlineStr">
        <is>
          <t>P095</t>
        </is>
      </c>
      <c r="C107" s="17" t="inlineStr">
        <is>
          <t>동방에프티엘</t>
        </is>
      </c>
      <c r="D107" s="17" t="inlineStr">
        <is>
          <t>동방에프티엘(주)</t>
        </is>
      </c>
      <c r="E107" s="17" t="inlineStr">
        <is>
          <t>경기도 화성시 만세구 향남읍 제약공단4길 74</t>
        </is>
      </c>
      <c r="F107" s="17" t="inlineStr">
        <is>
          <t>경기도 화성시 만세구 향남읍 제약공단4길 74</t>
        </is>
      </c>
      <c r="G107" s="17" t="inlineStr">
        <is>
          <t>경기도 화성시 만세구 향남읍 제약공단4길 74</t>
        </is>
      </c>
      <c r="H107" s="17" t="inlineStr">
        <is>
          <t>3공장</t>
        </is>
      </c>
      <c r="I107" s="23" t="inlineStr">
        <is>
          <t>1731</t>
        </is>
      </c>
      <c r="J107" s="17" t="inlineStr">
        <is>
          <t>3</t>
        </is>
      </c>
      <c r="K107" s="17" t="inlineStr">
        <is>
          <t>원료의약품</t>
        </is>
      </c>
      <c r="L107" s="17" t="inlineStr">
        <is>
          <t>비무균-일반제제-합성</t>
        </is>
      </c>
      <c r="M107" s="24" t="n">
        <v>47101</v>
      </c>
      <c r="N107" s="17" t="inlineStr"/>
      <c r="O107" s="17" t="inlineStr"/>
      <c r="P107" s="17" t="inlineStr">
        <is>
          <t>경기도</t>
        </is>
      </c>
      <c r="Q107" s="17" t="inlineStr">
        <is>
          <t>화성시</t>
        </is>
      </c>
      <c r="R107" s="17" t="inlineStr">
        <is>
          <t>GMP공장소재지</t>
        </is>
      </c>
      <c r="S107" s="17" t="n">
        <v>90</v>
      </c>
      <c r="T107" s="17" t="inlineStr">
        <is>
          <t>Y</t>
        </is>
      </c>
      <c r="U107" s="17" t="n">
        <v>1</v>
      </c>
      <c r="V107" s="24" t="n">
        <v>47101</v>
      </c>
      <c r="W107" s="17" t="inlineStr"/>
      <c r="X107" s="17" t="inlineStr"/>
      <c r="Y107" s="17" t="inlineStr">
        <is>
          <t>회사키+주소</t>
        </is>
      </c>
      <c r="Z107" s="17" t="n">
        <v>90</v>
      </c>
      <c r="AA107" s="17" t="inlineStr"/>
    </row>
    <row r="108">
      <c r="A108" s="30" t="inlineStr">
        <is>
          <t>S107</t>
        </is>
      </c>
      <c r="B108" s="17" t="inlineStr">
        <is>
          <t>P096</t>
        </is>
      </c>
      <c r="C108" s="17" t="inlineStr">
        <is>
          <t>에이치엘비제약</t>
        </is>
      </c>
      <c r="D108" s="17" t="inlineStr">
        <is>
          <t>에이치엘비제약(주)</t>
        </is>
      </c>
      <c r="E108" s="17" t="inlineStr">
        <is>
          <t>경기도 남양주시 경강로 27</t>
        </is>
      </c>
      <c r="F108" s="17" t="inlineStr">
        <is>
          <t>경기도 남양주시 경강로 27</t>
        </is>
      </c>
      <c r="G108" s="17" t="inlineStr">
        <is>
          <t>경기도 남양주시 경강로 27</t>
        </is>
      </c>
      <c r="H108" s="17" t="inlineStr">
        <is>
          <t>제1공장</t>
        </is>
      </c>
      <c r="I108" s="23" t="inlineStr">
        <is>
          <t>1549</t>
        </is>
      </c>
      <c r="J108" s="17" t="inlineStr">
        <is>
          <t>1</t>
        </is>
      </c>
      <c r="K108" s="17" t="inlineStr">
        <is>
          <t>완제의약품</t>
        </is>
      </c>
      <c r="L108" s="17" t="inlineStr">
        <is>
          <t>비무균-일반제제-내용고형제(정제, 질정, 캡슐제, 구강붕해정), 비무균-일반제제-연고제(좌제, 질용좌제)</t>
        </is>
      </c>
      <c r="M108" s="24" t="n">
        <v>47100</v>
      </c>
      <c r="N108" s="17" t="inlineStr"/>
      <c r="O108" s="17" t="inlineStr"/>
      <c r="P108" s="17" t="inlineStr">
        <is>
          <t>경기도</t>
        </is>
      </c>
      <c r="Q108" s="17" t="inlineStr">
        <is>
          <t>남양주시</t>
        </is>
      </c>
      <c r="R108" s="17" t="inlineStr">
        <is>
          <t>GMP공장소재지</t>
        </is>
      </c>
      <c r="S108" s="17" t="n">
        <v>90</v>
      </c>
      <c r="T108" s="17" t="inlineStr">
        <is>
          <t>Y</t>
        </is>
      </c>
      <c r="U108" s="17" t="n">
        <v>1</v>
      </c>
      <c r="V108" s="24" t="n">
        <v>47100</v>
      </c>
      <c r="W108" s="17" t="inlineStr"/>
      <c r="X108" s="17" t="inlineStr"/>
      <c r="Y108" s="17" t="inlineStr">
        <is>
          <t>회사키+주소</t>
        </is>
      </c>
      <c r="Z108" s="17" t="n">
        <v>90</v>
      </c>
      <c r="AA108" s="17" t="inlineStr"/>
    </row>
    <row r="109">
      <c r="A109" s="30" t="inlineStr">
        <is>
          <t>S108</t>
        </is>
      </c>
      <c r="B109" s="17" t="inlineStr">
        <is>
          <t>P097</t>
        </is>
      </c>
      <c r="C109" s="17" t="inlineStr">
        <is>
          <t>다림바이오텍</t>
        </is>
      </c>
      <c r="D109" s="17" t="inlineStr">
        <is>
          <t>(주)다림바이오텍</t>
        </is>
      </c>
      <c r="E109" s="17" t="inlineStr">
        <is>
          <t>강원특별자치도 원주시 지정면 신평로 33 A동1~3층, B동1층, S동</t>
        </is>
      </c>
      <c r="F109" s="17" t="inlineStr">
        <is>
          <t>강원특별자치도 원주시 지정면 신평로 33 A동1~3층, B동1층, S동</t>
        </is>
      </c>
      <c r="G109" s="17" t="inlineStr">
        <is>
          <t>강원특별자치도 원주시 지정면 신평로 33 A동1~3층, B동1층, S동</t>
        </is>
      </c>
      <c r="H109" s="17" t="inlineStr">
        <is>
          <t>공장2</t>
        </is>
      </c>
      <c r="I109" s="23" t="inlineStr">
        <is>
          <t>1308</t>
        </is>
      </c>
      <c r="J109" s="17" t="inlineStr">
        <is>
          <t>5</t>
        </is>
      </c>
      <c r="K109" s="17" t="inlineStr">
        <is>
          <t>완제의약품</t>
        </is>
      </c>
      <c r="L109" s="17" t="inlineStr">
        <is>
          <t>비무균-성호르몬제-내용고형제(정제), 비무균-일반제제-내용고형제(정제, 캡슐제), 비무균-성호르몬제-연고제(크림제)</t>
        </is>
      </c>
      <c r="M109" s="24" t="n">
        <v>47095</v>
      </c>
      <c r="N109" s="17" t="inlineStr"/>
      <c r="O109" s="17" t="inlineStr"/>
      <c r="P109" s="17" t="inlineStr">
        <is>
          <t>강원특별자치도</t>
        </is>
      </c>
      <c r="Q109" s="17" t="inlineStr">
        <is>
          <t>원주시</t>
        </is>
      </c>
      <c r="R109" s="17" t="inlineStr">
        <is>
          <t>GMP공장소재지</t>
        </is>
      </c>
      <c r="S109" s="17" t="n">
        <v>90</v>
      </c>
      <c r="T109" s="17" t="inlineStr">
        <is>
          <t>Y</t>
        </is>
      </c>
      <c r="U109" s="17" t="n">
        <v>1</v>
      </c>
      <c r="V109" s="24" t="n">
        <v>47095</v>
      </c>
      <c r="W109" s="17" t="inlineStr"/>
      <c r="X109" s="17" t="inlineStr"/>
      <c r="Y109" s="17" t="inlineStr">
        <is>
          <t>회사키+주소</t>
        </is>
      </c>
      <c r="Z109" s="17" t="n">
        <v>90</v>
      </c>
      <c r="AA109" s="17" t="inlineStr"/>
    </row>
    <row r="110">
      <c r="A110" s="30" t="inlineStr">
        <is>
          <t>S109</t>
        </is>
      </c>
      <c r="B110" s="17" t="inlineStr">
        <is>
          <t>P098</t>
        </is>
      </c>
      <c r="C110" s="17" t="inlineStr">
        <is>
          <t>대한뉴팜</t>
        </is>
      </c>
      <c r="D110" s="17" t="inlineStr">
        <is>
          <t>대한뉴팜(주)</t>
        </is>
      </c>
      <c r="E110" s="17" t="inlineStr">
        <is>
          <t>경기도 화성시 만세구 향남읍 제약공단1길 66</t>
        </is>
      </c>
      <c r="F110" s="17" t="inlineStr">
        <is>
          <t>경기도 화성시 만세구 향남읍 발안공단로 283 1동, 2동(일부)</t>
        </is>
      </c>
      <c r="G110" s="17" t="inlineStr">
        <is>
          <t>경기도 화성시 만세구 향남읍 제약공단1길 66</t>
        </is>
      </c>
      <c r="H110" s="17" t="inlineStr">
        <is>
          <t>화성(보관소)</t>
        </is>
      </c>
      <c r="I110" s="23" t="inlineStr">
        <is>
          <t>1854</t>
        </is>
      </c>
      <c r="J110" s="17" t="inlineStr">
        <is>
          <t>2</t>
        </is>
      </c>
      <c r="K110" s="17" t="inlineStr">
        <is>
          <t>완제의약품</t>
        </is>
      </c>
      <c r="L110" s="17" t="inlineStr">
        <is>
          <t>비무균-일반제제-내용고형제(정제, 캡슐제), 무균-일반제제-주사제(주사제, 동결건조주사제)</t>
        </is>
      </c>
      <c r="M110" s="24" t="n">
        <v>47087</v>
      </c>
      <c r="N110" s="17" t="inlineStr">
        <is>
          <t>Y</t>
        </is>
      </c>
      <c r="O110" s="17" t="inlineStr"/>
      <c r="P110" s="17" t="inlineStr">
        <is>
          <t>경기도</t>
        </is>
      </c>
      <c r="Q110" s="17" t="inlineStr">
        <is>
          <t>화성시</t>
        </is>
      </c>
      <c r="R110" s="17" t="inlineStr">
        <is>
          <t>GMP공장소재지</t>
        </is>
      </c>
      <c r="S110" s="17" t="n">
        <v>90</v>
      </c>
      <c r="T110" s="17" t="inlineStr">
        <is>
          <t>Y</t>
        </is>
      </c>
      <c r="U110" s="17" t="n">
        <v>1</v>
      </c>
      <c r="V110" s="24" t="n">
        <v>47087</v>
      </c>
      <c r="W110" s="17" t="inlineStr"/>
      <c r="X110" s="17" t="inlineStr"/>
      <c r="Y110" s="17" t="inlineStr">
        <is>
          <t>회사키+주소</t>
        </is>
      </c>
      <c r="Z110" s="17" t="n">
        <v>90</v>
      </c>
      <c r="AA110" s="17" t="inlineStr"/>
    </row>
    <row r="111">
      <c r="A111" s="30" t="inlineStr">
        <is>
          <t>S110</t>
        </is>
      </c>
      <c r="B111" s="17" t="inlineStr">
        <is>
          <t>P099</t>
        </is>
      </c>
      <c r="C111" s="17" t="inlineStr">
        <is>
          <t>알피바이오</t>
        </is>
      </c>
      <c r="D111" s="17" t="inlineStr">
        <is>
          <t>(주)알피바이오</t>
        </is>
      </c>
      <c r="E111" s="17" t="inlineStr">
        <is>
          <t>경기도 화성시 만세구 마도면 청원산단5길 60 (1층,2층일부,3층일부)</t>
        </is>
      </c>
      <c r="F111" s="17" t="inlineStr">
        <is>
          <t>경기도 화성시 만세구 마도면 청원산단5길 60 (1층,2층일부,3층일부)</t>
        </is>
      </c>
      <c r="G111" s="17" t="inlineStr">
        <is>
          <t>경기도 화성시 만세구 마도면 청원산단5길 60 (1층,2층일부,3층일부)</t>
        </is>
      </c>
      <c r="H111" s="17" t="inlineStr">
        <is>
          <t>화성(마도)</t>
        </is>
      </c>
      <c r="I111" s="23" t="inlineStr">
        <is>
          <t>1648</t>
        </is>
      </c>
      <c r="J111" s="17" t="inlineStr">
        <is>
          <t>4</t>
        </is>
      </c>
      <c r="K111" s="17" t="inlineStr">
        <is>
          <t>완제의약품</t>
        </is>
      </c>
      <c r="L111" s="17" t="inlineStr">
        <is>
          <t>비무균-일반제제-내용고형제(캡슐제)</t>
        </is>
      </c>
      <c r="M111" s="24" t="n">
        <v>47087</v>
      </c>
      <c r="N111" s="17" t="inlineStr"/>
      <c r="O111" s="17" t="inlineStr"/>
      <c r="P111" s="17" t="inlineStr">
        <is>
          <t>경기도</t>
        </is>
      </c>
      <c r="Q111" s="17" t="inlineStr">
        <is>
          <t>화성시</t>
        </is>
      </c>
      <c r="R111" s="17" t="inlineStr">
        <is>
          <t>GMP공장소재지</t>
        </is>
      </c>
      <c r="S111" s="17" t="n">
        <v>90</v>
      </c>
      <c r="T111" s="17" t="inlineStr">
        <is>
          <t>Y</t>
        </is>
      </c>
      <c r="U111" s="17" t="n">
        <v>1</v>
      </c>
      <c r="V111" s="24" t="n">
        <v>47087</v>
      </c>
      <c r="W111" s="17" t="inlineStr"/>
      <c r="X111" s="17" t="inlineStr"/>
      <c r="Y111" s="17" t="inlineStr">
        <is>
          <t>회사키+주소</t>
        </is>
      </c>
      <c r="Z111" s="17" t="n">
        <v>90</v>
      </c>
      <c r="AA111" s="17" t="inlineStr"/>
    </row>
    <row r="112">
      <c r="A112" s="30" t="inlineStr">
        <is>
          <t>S111</t>
        </is>
      </c>
      <c r="B112" s="17" t="inlineStr">
        <is>
          <t>P100</t>
        </is>
      </c>
      <c r="C112" s="17" t="inlineStr">
        <is>
          <t>제이더블유신약</t>
        </is>
      </c>
      <c r="D112" s="17" t="inlineStr">
        <is>
          <t>제이더블유신약(주)</t>
        </is>
      </c>
      <c r="E112" s="17" t="inlineStr">
        <is>
          <t>경기도 평택시 산단로 88-24</t>
        </is>
      </c>
      <c r="F112" s="17" t="inlineStr">
        <is>
          <t>경기도 평택시 산단로 88-24</t>
        </is>
      </c>
      <c r="G112" s="17" t="inlineStr">
        <is>
          <t>경기도 평택시 산단로 88-24</t>
        </is>
      </c>
      <c r="H112" s="17" t="inlineStr">
        <is>
          <t>평택</t>
        </is>
      </c>
      <c r="I112" s="23" t="inlineStr">
        <is>
          <t>1325</t>
        </is>
      </c>
      <c r="J112" s="17" t="inlineStr">
        <is>
          <t>1</t>
        </is>
      </c>
      <c r="K112" s="17" t="inlineStr">
        <is>
          <t>완제의약품</t>
        </is>
      </c>
      <c r="L112" s="17" t="inlineStr">
        <is>
          <t>비무균-일반제제-내용고형제(정제, 캡슐제), 비무균-일반제제-외용액제(외용액제, 로션제, 점비액제), 비무균-일반제제-연고제(연고제, 크림제, 겔제)</t>
        </is>
      </c>
      <c r="M112" s="24" t="n">
        <v>47081</v>
      </c>
      <c r="N112" s="17" t="inlineStr"/>
      <c r="O112" s="17" t="inlineStr"/>
      <c r="P112" s="17" t="inlineStr">
        <is>
          <t>경기도</t>
        </is>
      </c>
      <c r="Q112" s="17" t="inlineStr">
        <is>
          <t>평택시</t>
        </is>
      </c>
      <c r="R112" s="17" t="inlineStr">
        <is>
          <t>GMP공장소재지</t>
        </is>
      </c>
      <c r="S112" s="17" t="n">
        <v>90</v>
      </c>
      <c r="T112" s="17" t="inlineStr">
        <is>
          <t>Y</t>
        </is>
      </c>
      <c r="U112" s="17" t="n">
        <v>1</v>
      </c>
      <c r="V112" s="24" t="n">
        <v>47081</v>
      </c>
      <c r="W112" s="17" t="inlineStr"/>
      <c r="X112" s="17" t="inlineStr"/>
      <c r="Y112" s="17" t="inlineStr">
        <is>
          <t>회사키+주소</t>
        </is>
      </c>
      <c r="Z112" s="17" t="n">
        <v>90</v>
      </c>
      <c r="AA112" s="17" t="inlineStr"/>
    </row>
    <row r="113">
      <c r="A113" s="30" t="inlineStr">
        <is>
          <t>S112</t>
        </is>
      </c>
      <c r="B113" s="17" t="inlineStr">
        <is>
          <t>P101</t>
        </is>
      </c>
      <c r="C113" s="17" t="inlineStr">
        <is>
          <t>파마리서치</t>
        </is>
      </c>
      <c r="D113" s="17" t="inlineStr">
        <is>
          <t>(주)파마리서치</t>
        </is>
      </c>
      <c r="E113" s="17" t="inlineStr">
        <is>
          <t>강원특별자치도 강릉시 과학단지로 77-19 (대전동)</t>
        </is>
      </c>
      <c r="F113" s="17" t="inlineStr">
        <is>
          <t>강원특별자치도 강릉시 과학단지로 77-22 (대전동), 1층 일부(보관소)</t>
        </is>
      </c>
      <c r="G113" s="17" t="inlineStr">
        <is>
          <t>강원특별자치도 강릉시 과학단지로 77-19 (대전동)</t>
        </is>
      </c>
      <c r="H113" s="17" t="inlineStr">
        <is>
          <t>(보관소2)</t>
        </is>
      </c>
      <c r="I113" s="23" t="inlineStr">
        <is>
          <t>335</t>
        </is>
      </c>
      <c r="J113" s="17" t="inlineStr">
        <is>
          <t>3</t>
        </is>
      </c>
      <c r="K113" s="17" t="inlineStr">
        <is>
          <t>완제의약품</t>
        </is>
      </c>
      <c r="L113" s="17" t="inlineStr">
        <is>
          <t>비무균-일반제제-외용액제(외용액제)</t>
        </is>
      </c>
      <c r="M113" s="24" t="n">
        <v>47081</v>
      </c>
      <c r="N113" s="17" t="inlineStr"/>
      <c r="O113" s="17" t="inlineStr"/>
      <c r="P113" s="17" t="inlineStr">
        <is>
          <t>강원특별자치도</t>
        </is>
      </c>
      <c r="Q113" s="17" t="inlineStr">
        <is>
          <t>강릉시</t>
        </is>
      </c>
      <c r="R113" s="17" t="inlineStr">
        <is>
          <t>GMP공장소재지</t>
        </is>
      </c>
      <c r="S113" s="17" t="n">
        <v>90</v>
      </c>
      <c r="T113" s="17" t="inlineStr">
        <is>
          <t>Y</t>
        </is>
      </c>
      <c r="U113" s="17" t="n">
        <v>2</v>
      </c>
      <c r="V113" s="24" t="n">
        <v>47081</v>
      </c>
      <c r="W113" s="17" t="inlineStr"/>
      <c r="X113" s="17" t="inlineStr"/>
      <c r="Y113" s="17" t="inlineStr">
        <is>
          <t>회사키+주소</t>
        </is>
      </c>
      <c r="Z113" s="17" t="n">
        <v>90</v>
      </c>
      <c r="AA113" s="17" t="inlineStr"/>
    </row>
    <row r="114">
      <c r="A114" s="30" t="inlineStr">
        <is>
          <t>S113</t>
        </is>
      </c>
      <c r="B114" s="17" t="inlineStr">
        <is>
          <t>P101</t>
        </is>
      </c>
      <c r="C114" s="17" t="inlineStr">
        <is>
          <t>파마리서치</t>
        </is>
      </c>
      <c r="D114" s="17" t="inlineStr">
        <is>
          <t>(주)파마리서치</t>
        </is>
      </c>
      <c r="E114" s="17" t="inlineStr">
        <is>
          <t>강원특별자치도 강릉시 과학단지로 77-19 (대전동)</t>
        </is>
      </c>
      <c r="F114" s="17" t="inlineStr">
        <is>
          <t>강원특별자치도 강릉시 과학단지로 77-22 (대전동), 1층 일부(보관소)</t>
        </is>
      </c>
      <c r="G114" s="17" t="inlineStr">
        <is>
          <t>강원특별자치도 강릉시 과학단지로 77-19 (대전동)</t>
        </is>
      </c>
      <c r="H114" s="17" t="inlineStr">
        <is>
          <t>(보관소2)</t>
        </is>
      </c>
      <c r="I114" s="23" t="inlineStr">
        <is>
          <t>335</t>
        </is>
      </c>
      <c r="J114" s="17" t="inlineStr">
        <is>
          <t>3</t>
        </is>
      </c>
      <c r="K114" s="17" t="inlineStr">
        <is>
          <t>원료의약품</t>
        </is>
      </c>
      <c r="L114" s="17" t="inlineStr">
        <is>
          <t>비무균-일반제제-추출</t>
        </is>
      </c>
      <c r="M114" s="24" t="n">
        <v>47081</v>
      </c>
      <c r="N114" s="17" t="inlineStr"/>
      <c r="O114" s="17" t="inlineStr"/>
      <c r="P114" s="17" t="inlineStr">
        <is>
          <t>강원특별자치도</t>
        </is>
      </c>
      <c r="Q114" s="17" t="inlineStr">
        <is>
          <t>강릉시</t>
        </is>
      </c>
      <c r="R114" s="17" t="inlineStr">
        <is>
          <t>GMP공장소재지</t>
        </is>
      </c>
      <c r="S114" s="17" t="n">
        <v>90</v>
      </c>
      <c r="T114" s="17" t="inlineStr">
        <is>
          <t>N</t>
        </is>
      </c>
      <c r="U114" s="17" t="n">
        <v>2</v>
      </c>
      <c r="V114" s="24" t="n">
        <v>47081</v>
      </c>
      <c r="W114" s="17" t="inlineStr"/>
      <c r="X114" s="17" t="inlineStr"/>
      <c r="Y114" s="17" t="inlineStr">
        <is>
          <t>회사키+주소</t>
        </is>
      </c>
      <c r="Z114" s="17" t="n">
        <v>90</v>
      </c>
      <c r="AA114" s="17" t="inlineStr"/>
    </row>
    <row r="115">
      <c r="A115" s="30" t="inlineStr">
        <is>
          <t>S114</t>
        </is>
      </c>
      <c r="B115" s="17" t="inlineStr">
        <is>
          <t>P102</t>
        </is>
      </c>
      <c r="C115" s="17" t="inlineStr">
        <is>
          <t>한국유니온제약</t>
        </is>
      </c>
      <c r="D115" s="17" t="inlineStr">
        <is>
          <t>한국유니온제약(주)</t>
        </is>
      </c>
      <c r="E115" s="17" t="inlineStr">
        <is>
          <t>강원특별자치도 원주시 문막읍 문막공단길 247 A동 1층, 2층, C동, D동(시험동) 2층, 3층, E동(완제보관소)</t>
        </is>
      </c>
      <c r="F115" s="17" t="inlineStr">
        <is>
          <t>강원특별자치도 원주시 문막읍 문막공단길 247 A동 1층, 2층, C동, D동(시험동) 2층, 3층, E동(완제보관소)</t>
        </is>
      </c>
      <c r="G115" s="17" t="inlineStr">
        <is>
          <t>강원특별자치도 원주시 문막읍 문막공단길 247 A동 1층, 2층, C동, D동(시험동) 2층, 3층, E동(완제보관소)</t>
        </is>
      </c>
      <c r="H115" s="17" t="inlineStr">
        <is>
          <t>제2공장</t>
        </is>
      </c>
      <c r="I115" s="23" t="inlineStr">
        <is>
          <t>1326</t>
        </is>
      </c>
      <c r="J115" s="17" t="inlineStr">
        <is>
          <t>2</t>
        </is>
      </c>
      <c r="K115" s="17" t="inlineStr">
        <is>
          <t>완제의약품</t>
        </is>
      </c>
      <c r="L115" s="17" t="inlineStr">
        <is>
          <t>비무균-일반제제-내용고형제(정제, 캡슐제), 무균-세팔로스포린제제-주사제(분말주사제), 무균-일반제제-주사제(주사제)</t>
        </is>
      </c>
      <c r="M115" s="24" t="n">
        <v>47079</v>
      </c>
      <c r="N115" s="17" t="inlineStr">
        <is>
          <t>Y</t>
        </is>
      </c>
      <c r="O115" s="17" t="inlineStr"/>
      <c r="P115" s="17" t="inlineStr">
        <is>
          <t>강원특별자치도</t>
        </is>
      </c>
      <c r="Q115" s="17" t="inlineStr">
        <is>
          <t>원주시</t>
        </is>
      </c>
      <c r="R115" s="17" t="inlineStr">
        <is>
          <t>GMP공장소재지</t>
        </is>
      </c>
      <c r="S115" s="17" t="n">
        <v>90</v>
      </c>
      <c r="T115" s="17" t="inlineStr">
        <is>
          <t>Y</t>
        </is>
      </c>
      <c r="U115" s="17" t="n">
        <v>1</v>
      </c>
      <c r="V115" s="24" t="n">
        <v>47079</v>
      </c>
      <c r="W115" s="17" t="inlineStr"/>
      <c r="X115" s="17" t="inlineStr"/>
      <c r="Y115" s="17" t="inlineStr">
        <is>
          <t>회사키+주소</t>
        </is>
      </c>
      <c r="Z115" s="17" t="n">
        <v>90</v>
      </c>
      <c r="AA115" s="17" t="inlineStr"/>
    </row>
    <row r="116">
      <c r="A116" s="30" t="inlineStr">
        <is>
          <t>S115</t>
        </is>
      </c>
      <c r="B116" s="17" t="inlineStr">
        <is>
          <t>P103</t>
        </is>
      </c>
      <c r="C116" s="17" t="inlineStr">
        <is>
          <t>풍림무약</t>
        </is>
      </c>
      <c r="D116" s="17" t="inlineStr">
        <is>
          <t>풍림무약(주)</t>
        </is>
      </c>
      <c r="E116" s="17" t="inlineStr">
        <is>
          <t>경기도 화성시 만세구 향남읍 제약공단3길 120</t>
        </is>
      </c>
      <c r="F116" s="17" t="inlineStr">
        <is>
          <t>경기도 화성시 만세구 향남읍 제약공단3길 120</t>
        </is>
      </c>
      <c r="G116" s="17" t="inlineStr">
        <is>
          <t>경기도 화성시 만세구 향남읍 제약공단3길 120</t>
        </is>
      </c>
      <c r="H116" s="17" t="inlineStr">
        <is>
          <t>화성</t>
        </is>
      </c>
      <c r="I116" s="23" t="inlineStr">
        <is>
          <t>1480</t>
        </is>
      </c>
      <c r="J116" s="17" t="inlineStr">
        <is>
          <t>1</t>
        </is>
      </c>
      <c r="K116" s="17" t="inlineStr">
        <is>
          <t>완제의약품</t>
        </is>
      </c>
      <c r="L116" s="17" t="inlineStr">
        <is>
          <t>비무균-일반제제-내용고형제(정제, 캡슐제)</t>
        </is>
      </c>
      <c r="M116" s="24" t="n">
        <v>47074</v>
      </c>
      <c r="N116" s="17" t="inlineStr"/>
      <c r="O116" s="17" t="inlineStr"/>
      <c r="P116" s="17" t="inlineStr">
        <is>
          <t>경기도</t>
        </is>
      </c>
      <c r="Q116" s="17" t="inlineStr">
        <is>
          <t>화성시</t>
        </is>
      </c>
      <c r="R116" s="17" t="inlineStr">
        <is>
          <t>GMP공장소재지</t>
        </is>
      </c>
      <c r="S116" s="17" t="n">
        <v>90</v>
      </c>
      <c r="T116" s="17" t="inlineStr">
        <is>
          <t>Y</t>
        </is>
      </c>
      <c r="U116" s="17" t="n">
        <v>1</v>
      </c>
      <c r="V116" s="24" t="n">
        <v>47074</v>
      </c>
      <c r="W116" s="17" t="inlineStr"/>
      <c r="X116" s="17" t="inlineStr"/>
      <c r="Y116" s="17" t="inlineStr">
        <is>
          <t>회사키+주소</t>
        </is>
      </c>
      <c r="Z116" s="17" t="n">
        <v>90</v>
      </c>
      <c r="AA116" s="17" t="inlineStr"/>
    </row>
    <row r="117">
      <c r="A117" s="30" t="inlineStr">
        <is>
          <t>S116</t>
        </is>
      </c>
      <c r="B117" s="17" t="inlineStr">
        <is>
          <t>P104</t>
        </is>
      </c>
      <c r="C117" s="17" t="inlineStr">
        <is>
          <t>퓨쳐켐</t>
        </is>
      </c>
      <c r="D117" s="17" t="inlineStr">
        <is>
          <t>(주)퓨쳐켐</t>
        </is>
      </c>
      <c r="E117" s="17" t="inlineStr">
        <is>
          <t>서울특별시 성동구 성수일로10길 26 하우스디 세종타워 14층 1403호 ~ 1405호(원료의약품)</t>
        </is>
      </c>
      <c r="F117" s="17" t="inlineStr">
        <is>
          <t>서울특별시 성동구 성수일로10길 26 하우스디 세종타워 14층 1403호 ~ 1405호(원료의약품)</t>
        </is>
      </c>
      <c r="G117" s="17" t="inlineStr">
        <is>
          <t>서울특별시 성동구 성수일로10길 26 하우스디 세종타워 14층 1403호 ~ 1405호(원료의약품)</t>
        </is>
      </c>
      <c r="H117" s="17" t="inlineStr">
        <is>
          <t>제2공장</t>
        </is>
      </c>
      <c r="I117" s="23" t="inlineStr">
        <is>
          <t>6151</t>
        </is>
      </c>
      <c r="J117" s="17" t="inlineStr">
        <is>
          <t>2</t>
        </is>
      </c>
      <c r="K117" s="17" t="inlineStr">
        <is>
          <t>원료의약품</t>
        </is>
      </c>
      <c r="L117" s="17" t="inlineStr">
        <is>
          <t>비무균-일반제제-합성</t>
        </is>
      </c>
      <c r="M117" s="24" t="n">
        <v>47074</v>
      </c>
      <c r="N117" s="17" t="inlineStr"/>
      <c r="O117" s="17" t="inlineStr"/>
      <c r="P117" s="17" t="inlineStr">
        <is>
          <t>서울특별시</t>
        </is>
      </c>
      <c r="Q117" s="17" t="inlineStr">
        <is>
          <t>성동구</t>
        </is>
      </c>
      <c r="R117" s="17" t="inlineStr">
        <is>
          <t>GMP공장소재지</t>
        </is>
      </c>
      <c r="S117" s="17" t="n">
        <v>90</v>
      </c>
      <c r="T117" s="17" t="inlineStr">
        <is>
          <t>Y</t>
        </is>
      </c>
      <c r="U117" s="17" t="n">
        <v>1</v>
      </c>
      <c r="V117" s="24" t="n">
        <v>47074</v>
      </c>
      <c r="W117" s="17" t="inlineStr"/>
      <c r="X117" s="17" t="inlineStr"/>
      <c r="Y117" s="17" t="inlineStr">
        <is>
          <t>회사키+주소</t>
        </is>
      </c>
      <c r="Z117" s="17" t="n">
        <v>90</v>
      </c>
      <c r="AA117" s="17" t="inlineStr"/>
    </row>
    <row r="118">
      <c r="A118" s="30" t="inlineStr">
        <is>
          <t>S117</t>
        </is>
      </c>
      <c r="B118" s="17" t="inlineStr">
        <is>
          <t>P105</t>
        </is>
      </c>
      <c r="C118" s="17" t="inlineStr">
        <is>
          <t>에이치피앤씨</t>
        </is>
      </c>
      <c r="D118" s="17" t="inlineStr">
        <is>
          <t>(주)에이치피앤씨</t>
        </is>
      </c>
      <c r="E118" s="17" t="inlineStr">
        <is>
          <t>충청북도 청주시 흥덕구 오송읍 오송생명6로 22</t>
        </is>
      </c>
      <c r="F118" s="17" t="inlineStr">
        <is>
          <t>충청북도 청주시 흥덕구 오송읍 오송생명6로 22</t>
        </is>
      </c>
      <c r="G118" s="17" t="inlineStr">
        <is>
          <t>충청북도 청주시 흥덕구 오송읍 오송생명6로 22</t>
        </is>
      </c>
      <c r="H118" s="17" t="inlineStr">
        <is>
          <t>1공장</t>
        </is>
      </c>
      <c r="I118" s="23" t="inlineStr">
        <is>
          <t>6170</t>
        </is>
      </c>
      <c r="J118" s="17" t="inlineStr">
        <is>
          <t>1</t>
        </is>
      </c>
      <c r="K118" s="17" t="inlineStr">
        <is>
          <t>완제의약품</t>
        </is>
      </c>
      <c r="L118" s="17" t="inlineStr">
        <is>
          <t>비무균-일반제제-외용액제(외용액제)</t>
        </is>
      </c>
      <c r="M118" s="24" t="n">
        <v>47072</v>
      </c>
      <c r="N118" s="17" t="inlineStr"/>
      <c r="O118" s="17" t="inlineStr"/>
      <c r="P118" s="17" t="inlineStr">
        <is>
          <t>충청북도</t>
        </is>
      </c>
      <c r="Q118" s="17" t="inlineStr">
        <is>
          <t>청주시</t>
        </is>
      </c>
      <c r="R118" s="17" t="inlineStr">
        <is>
          <t>GMP공장소재지</t>
        </is>
      </c>
      <c r="S118" s="17" t="n">
        <v>90</v>
      </c>
      <c r="T118" s="17" t="inlineStr">
        <is>
          <t>Y</t>
        </is>
      </c>
      <c r="U118" s="17" t="n">
        <v>1</v>
      </c>
      <c r="V118" s="24" t="n">
        <v>47072</v>
      </c>
      <c r="W118" s="17" t="inlineStr"/>
      <c r="X118" s="17" t="inlineStr"/>
      <c r="Y118" s="17" t="inlineStr">
        <is>
          <t>회사키+주소</t>
        </is>
      </c>
      <c r="Z118" s="17" t="n">
        <v>90</v>
      </c>
      <c r="AA118" s="17" t="inlineStr"/>
    </row>
    <row r="119">
      <c r="A119" s="30" t="inlineStr">
        <is>
          <t>S118</t>
        </is>
      </c>
      <c r="B119" s="17" t="inlineStr">
        <is>
          <t>P106</t>
        </is>
      </c>
      <c r="C119" s="17" t="inlineStr">
        <is>
          <t>복지종합가스</t>
        </is>
      </c>
      <c r="D119" s="17" t="inlineStr">
        <is>
          <t>복지종합가스(주)</t>
        </is>
      </c>
      <c r="E119" s="17" t="inlineStr">
        <is>
          <t>경기도 양주시 칠봉산로131번길 34-26</t>
        </is>
      </c>
      <c r="F119" s="17" t="inlineStr">
        <is>
          <t>경기도 양주시 칠봉산로131번길 34-26</t>
        </is>
      </c>
      <c r="G119" s="17" t="inlineStr">
        <is>
          <t>경기도 양주시 칠봉산로131번길 34-26</t>
        </is>
      </c>
      <c r="H119" s="17" t="inlineStr">
        <is>
          <t>양주시</t>
        </is>
      </c>
      <c r="I119" s="23" t="inlineStr">
        <is>
          <t>2516</t>
        </is>
      </c>
      <c r="J119" s="17" t="inlineStr">
        <is>
          <t>1</t>
        </is>
      </c>
      <c r="K119" s="17" t="inlineStr">
        <is>
          <t>완제의약품</t>
        </is>
      </c>
      <c r="L119" s="17" t="inlineStr">
        <is>
          <t>비무균-일반제제(의료용 고압가스)-가스제(의료용 고압가스)</t>
        </is>
      </c>
      <c r="M119" s="24" t="n">
        <v>47072</v>
      </c>
      <c r="N119" s="17" t="inlineStr"/>
      <c r="O119" s="17" t="inlineStr"/>
      <c r="P119" s="17" t="inlineStr">
        <is>
          <t>경기도</t>
        </is>
      </c>
      <c r="Q119" s="17" t="inlineStr">
        <is>
          <t>양주시</t>
        </is>
      </c>
      <c r="R119" s="17" t="inlineStr">
        <is>
          <t>GMP공장소재지</t>
        </is>
      </c>
      <c r="S119" s="17" t="n">
        <v>90</v>
      </c>
      <c r="T119" s="17" t="inlineStr">
        <is>
          <t>Y</t>
        </is>
      </c>
      <c r="U119" s="17" t="n">
        <v>1</v>
      </c>
      <c r="V119" s="24" t="n">
        <v>47072</v>
      </c>
      <c r="W119" s="17" t="inlineStr"/>
      <c r="X119" s="17" t="inlineStr"/>
      <c r="Y119" s="17" t="inlineStr">
        <is>
          <t>회사키+주소</t>
        </is>
      </c>
      <c r="Z119" s="17" t="n">
        <v>90</v>
      </c>
      <c r="AA119" s="17" t="inlineStr"/>
    </row>
    <row r="120">
      <c r="A120" s="30" t="inlineStr">
        <is>
          <t>S119</t>
        </is>
      </c>
      <c r="B120" s="17" t="inlineStr">
        <is>
          <t>P107</t>
        </is>
      </c>
      <c r="C120" s="17" t="inlineStr">
        <is>
          <t>대원제약</t>
        </is>
      </c>
      <c r="D120" s="17" t="inlineStr">
        <is>
          <t>대원제약(주)</t>
        </is>
      </c>
      <c r="E120" s="17" t="inlineStr">
        <is>
          <t>충청북도 진천군 광혜원면 용소2길 44</t>
        </is>
      </c>
      <c r="F120" s="17" t="inlineStr">
        <is>
          <t>충청북도 진천군 광혜원면 용소2길 44</t>
        </is>
      </c>
      <c r="G120" s="17" t="inlineStr">
        <is>
          <t>충청북도 진천군 광혜원면 용소2길 44</t>
        </is>
      </c>
      <c r="H120" s="17" t="inlineStr">
        <is>
          <t>2공장 진천공장</t>
        </is>
      </c>
      <c r="I120" s="23" t="inlineStr">
        <is>
          <t>1373</t>
        </is>
      </c>
      <c r="J120" s="17" t="inlineStr">
        <is>
          <t>2</t>
        </is>
      </c>
      <c r="K120" s="17" t="inlineStr">
        <is>
          <t>완제의약품</t>
        </is>
      </c>
      <c r="L120" s="17" t="inlineStr">
        <is>
          <t>비무균-일반제제-내용액제(시럽제(액상), 현탁제)</t>
        </is>
      </c>
      <c r="M120" s="24" t="n">
        <v>47071</v>
      </c>
      <c r="N120" s="17" t="inlineStr"/>
      <c r="O120" s="17" t="inlineStr"/>
      <c r="P120" s="17" t="inlineStr">
        <is>
          <t>충청북도</t>
        </is>
      </c>
      <c r="Q120" s="17" t="inlineStr">
        <is>
          <t>진천군</t>
        </is>
      </c>
      <c r="R120" s="17" t="inlineStr">
        <is>
          <t>GMP공장소재지</t>
        </is>
      </c>
      <c r="S120" s="17" t="n">
        <v>90</v>
      </c>
      <c r="T120" s="17" t="inlineStr">
        <is>
          <t>Y</t>
        </is>
      </c>
      <c r="U120" s="17" t="n">
        <v>1</v>
      </c>
      <c r="V120" s="24" t="n">
        <v>47071</v>
      </c>
      <c r="W120" s="17" t="inlineStr"/>
      <c r="X120" s="17" t="inlineStr"/>
      <c r="Y120" s="17" t="inlineStr">
        <is>
          <t>회사키+주소</t>
        </is>
      </c>
      <c r="Z120" s="17" t="n">
        <v>90</v>
      </c>
      <c r="AA120" s="17" t="inlineStr"/>
    </row>
    <row r="121">
      <c r="A121" s="30" t="inlineStr">
        <is>
          <t>S120</t>
        </is>
      </c>
      <c r="B121" s="17" t="inlineStr">
        <is>
          <t>P108</t>
        </is>
      </c>
      <c r="C121" s="17" t="inlineStr">
        <is>
          <t>대웅제약</t>
        </is>
      </c>
      <c r="D121" s="17" t="inlineStr">
        <is>
          <t>(주)대웅제약</t>
        </is>
      </c>
      <c r="E121" s="17" t="inlineStr">
        <is>
          <t>충청북도 청주시 흥덕구 오송읍 오송생명2로 1</t>
        </is>
      </c>
      <c r="F121" s="17" t="inlineStr">
        <is>
          <t>충청북도 청주시 흥덕구 오송읍 오송생명2로 1</t>
        </is>
      </c>
      <c r="G121" s="17" t="inlineStr">
        <is>
          <t>충청북도 청주시 흥덕구 오송읍 오송생명2로 1</t>
        </is>
      </c>
      <c r="H121" s="17" t="inlineStr">
        <is>
          <t>오송공장</t>
        </is>
      </c>
      <c r="I121" s="23" t="inlineStr">
        <is>
          <t>1289</t>
        </is>
      </c>
      <c r="J121" s="17" t="inlineStr">
        <is>
          <t>4</t>
        </is>
      </c>
      <c r="K121" s="17" t="inlineStr">
        <is>
          <t>완제의약품</t>
        </is>
      </c>
      <c r="L121" s="17" t="inlineStr">
        <is>
          <t>비무균-일반제제-내용고형제(정제), 무균-일반제제-주사제(주사제, 동결건조주사제)</t>
        </is>
      </c>
      <c r="M121" s="24" t="n">
        <v>47066</v>
      </c>
      <c r="N121" s="17" t="inlineStr">
        <is>
          <t>Y</t>
        </is>
      </c>
      <c r="O121" s="17" t="inlineStr"/>
      <c r="P121" s="17" t="inlineStr">
        <is>
          <t>충청북도</t>
        </is>
      </c>
      <c r="Q121" s="17" t="inlineStr">
        <is>
          <t>청주시</t>
        </is>
      </c>
      <c r="R121" s="17" t="inlineStr">
        <is>
          <t>GMP공장소재지</t>
        </is>
      </c>
      <c r="S121" s="17" t="n">
        <v>90</v>
      </c>
      <c r="T121" s="17" t="inlineStr">
        <is>
          <t>Y</t>
        </is>
      </c>
      <c r="U121" s="17" t="n">
        <v>1</v>
      </c>
      <c r="V121" s="24" t="n">
        <v>47066</v>
      </c>
      <c r="W121" s="17" t="inlineStr"/>
      <c r="X121" s="17" t="inlineStr"/>
      <c r="Y121" s="17" t="inlineStr">
        <is>
          <t>회사키+주소</t>
        </is>
      </c>
      <c r="Z121" s="17" t="n">
        <v>90</v>
      </c>
      <c r="AA121" s="17" t="inlineStr"/>
    </row>
    <row r="122">
      <c r="A122" s="30" t="inlineStr">
        <is>
          <t>S121</t>
        </is>
      </c>
      <c r="B122" s="17" t="inlineStr">
        <is>
          <t>P109</t>
        </is>
      </c>
      <c r="C122" s="17" t="inlineStr">
        <is>
          <t>환인제약</t>
        </is>
      </c>
      <c r="D122" s="17" t="inlineStr">
        <is>
          <t>환인제약(주)</t>
        </is>
      </c>
      <c r="E122" s="17" t="inlineStr">
        <is>
          <t>경기도 안성시 공단로 50</t>
        </is>
      </c>
      <c r="F122" s="17" t="inlineStr">
        <is>
          <t>경기도 안성시 공단로 50</t>
        </is>
      </c>
      <c r="G122" s="17" t="inlineStr">
        <is>
          <t>경기도 안성시 공단로 50</t>
        </is>
      </c>
      <c r="H122" s="17" t="inlineStr">
        <is>
          <t>안성</t>
        </is>
      </c>
      <c r="I122" s="23" t="inlineStr">
        <is>
          <t>1351</t>
        </is>
      </c>
      <c r="J122" s="17" t="inlineStr">
        <is>
          <t>1</t>
        </is>
      </c>
      <c r="K122" s="17" t="inlineStr">
        <is>
          <t>완제의약품</t>
        </is>
      </c>
      <c r="L122" s="17" t="inlineStr">
        <is>
          <t>비무균-일반제제-내용고형제(정제, 캡슐제)</t>
        </is>
      </c>
      <c r="M122" s="24" t="n">
        <v>47065</v>
      </c>
      <c r="N122" s="17" t="inlineStr"/>
      <c r="O122" s="17" t="inlineStr"/>
      <c r="P122" s="17" t="inlineStr">
        <is>
          <t>경기도</t>
        </is>
      </c>
      <c r="Q122" s="17" t="inlineStr">
        <is>
          <t>안성시</t>
        </is>
      </c>
      <c r="R122" s="17" t="inlineStr">
        <is>
          <t>GMP공장소재지</t>
        </is>
      </c>
      <c r="S122" s="17" t="n">
        <v>90</v>
      </c>
      <c r="T122" s="17" t="inlineStr">
        <is>
          <t>Y</t>
        </is>
      </c>
      <c r="U122" s="17" t="n">
        <v>1</v>
      </c>
      <c r="V122" s="24" t="n">
        <v>47065</v>
      </c>
      <c r="W122" s="17" t="inlineStr"/>
      <c r="X122" s="17" t="inlineStr"/>
      <c r="Y122" s="17" t="inlineStr">
        <is>
          <t>회사키+주소</t>
        </is>
      </c>
      <c r="Z122" s="17" t="n">
        <v>90</v>
      </c>
      <c r="AA122" s="17" t="inlineStr"/>
    </row>
    <row r="123">
      <c r="A123" s="30" t="inlineStr">
        <is>
          <t>S122</t>
        </is>
      </c>
      <c r="B123" s="17" t="inlineStr">
        <is>
          <t>P110</t>
        </is>
      </c>
      <c r="C123" s="17" t="inlineStr">
        <is>
          <t>코스맥스파마</t>
        </is>
      </c>
      <c r="D123" s="17" t="inlineStr">
        <is>
          <t>코스맥스파마(주)</t>
        </is>
      </c>
      <c r="E123" s="17" t="inlineStr">
        <is>
          <t>충청북도 청주시 흥덕구 오송읍 오송생명4로 168-23</t>
        </is>
      </c>
      <c r="F123" s="17" t="inlineStr">
        <is>
          <t>충청북도 청주시 흥덕구 오송읍 오송생명4로 168-23</t>
        </is>
      </c>
      <c r="G123" s="17" t="inlineStr">
        <is>
          <t>충청북도 청주시 흥덕구 오송읍 오송생명4로 168-23</t>
        </is>
      </c>
      <c r="H123" s="17" t="inlineStr">
        <is>
          <t>1공장</t>
        </is>
      </c>
      <c r="I123" s="23" t="inlineStr">
        <is>
          <t>2638</t>
        </is>
      </c>
      <c r="J123" s="17" t="inlineStr">
        <is>
          <t>1</t>
        </is>
      </c>
      <c r="K123" s="17" t="inlineStr">
        <is>
          <t>완제의약품</t>
        </is>
      </c>
      <c r="L123" s="17" t="inlineStr">
        <is>
          <t>비무균-일반제제-내용고형제(정제, 캡슐제)</t>
        </is>
      </c>
      <c r="M123" s="24" t="n">
        <v>47060</v>
      </c>
      <c r="N123" s="17" t="inlineStr"/>
      <c r="O123" s="17" t="inlineStr"/>
      <c r="P123" s="17" t="inlineStr">
        <is>
          <t>충청북도</t>
        </is>
      </c>
      <c r="Q123" s="17" t="inlineStr">
        <is>
          <t>청주시</t>
        </is>
      </c>
      <c r="R123" s="17" t="inlineStr">
        <is>
          <t>GMP공장소재지</t>
        </is>
      </c>
      <c r="S123" s="17" t="n">
        <v>90</v>
      </c>
      <c r="T123" s="17" t="inlineStr">
        <is>
          <t>Y</t>
        </is>
      </c>
      <c r="U123" s="17" t="n">
        <v>1</v>
      </c>
      <c r="V123" s="24" t="n">
        <v>47060</v>
      </c>
      <c r="W123" s="17" t="inlineStr"/>
      <c r="X123" s="17" t="inlineStr"/>
      <c r="Y123" s="17" t="inlineStr">
        <is>
          <t>회사키+주소</t>
        </is>
      </c>
      <c r="Z123" s="17" t="n">
        <v>90</v>
      </c>
      <c r="AA123" s="17" t="inlineStr"/>
    </row>
    <row r="124">
      <c r="A124" s="30" t="inlineStr">
        <is>
          <t>S123</t>
        </is>
      </c>
      <c r="B124" s="17" t="inlineStr">
        <is>
          <t>P111</t>
        </is>
      </c>
      <c r="C124" s="17" t="inlineStr">
        <is>
          <t>현대약품</t>
        </is>
      </c>
      <c r="D124" s="17" t="inlineStr">
        <is>
          <t>현대약품(주)</t>
        </is>
      </c>
      <c r="E124" s="17" t="inlineStr">
        <is>
          <t>충청남도 천안시 동남구 풍세면 잔다리길 55</t>
        </is>
      </c>
      <c r="F124" s="17" t="inlineStr">
        <is>
          <t>충청남도 천안시 동남구 풍세면 잔다리길 55</t>
        </is>
      </c>
      <c r="G124" s="17" t="inlineStr">
        <is>
          <t>충청남도 천안시 동남구 풍세면 잔다리길 55</t>
        </is>
      </c>
      <c r="H124" s="17" t="inlineStr">
        <is>
          <t>천안</t>
        </is>
      </c>
      <c r="I124" s="23" t="inlineStr">
        <is>
          <t>1478</t>
        </is>
      </c>
      <c r="J124" s="17" t="inlineStr">
        <is>
          <t>1</t>
        </is>
      </c>
      <c r="K124" s="17" t="inlineStr">
        <is>
          <t>완제의약품</t>
        </is>
      </c>
      <c r="L124" s="17" t="inlineStr">
        <is>
          <t>비무균-일반제제-내용고형제(정제, 캡슐제, 산제), 비무균-일반제제-외용액제(외용액제, 펌프스프레이제)</t>
        </is>
      </c>
      <c r="M124" s="24" t="n">
        <v>47060</v>
      </c>
      <c r="N124" s="17" t="inlineStr"/>
      <c r="O124" s="17" t="inlineStr"/>
      <c r="P124" s="17" t="inlineStr">
        <is>
          <t>충청남도</t>
        </is>
      </c>
      <c r="Q124" s="17" t="inlineStr">
        <is>
          <t>천안시</t>
        </is>
      </c>
      <c r="R124" s="17" t="inlineStr">
        <is>
          <t>GMP공장소재지</t>
        </is>
      </c>
      <c r="S124" s="17" t="n">
        <v>90</v>
      </c>
      <c r="T124" s="17" t="inlineStr">
        <is>
          <t>Y</t>
        </is>
      </c>
      <c r="U124" s="17" t="n">
        <v>1</v>
      </c>
      <c r="V124" s="24" t="n">
        <v>47060</v>
      </c>
      <c r="W124" s="17" t="inlineStr"/>
      <c r="X124" s="17" t="inlineStr"/>
      <c r="Y124" s="17" t="inlineStr">
        <is>
          <t>회사키+주소</t>
        </is>
      </c>
      <c r="Z124" s="17" t="n">
        <v>90</v>
      </c>
      <c r="AA124" s="17" t="inlineStr"/>
    </row>
    <row r="125">
      <c r="A125" s="30" t="inlineStr">
        <is>
          <t>S124</t>
        </is>
      </c>
      <c r="B125" s="17" t="inlineStr">
        <is>
          <t>P112</t>
        </is>
      </c>
      <c r="C125" s="17" t="inlineStr">
        <is>
          <t>비씨월드헬스케어</t>
        </is>
      </c>
      <c r="D125" s="17" t="inlineStr">
        <is>
          <t>(주)비씨월드헬스케어</t>
        </is>
      </c>
      <c r="E125" s="17" t="inlineStr">
        <is>
          <t>강원특별자치도 원주시 지정면 신평로 77 1층~3층</t>
        </is>
      </c>
      <c r="F125" s="17" t="inlineStr">
        <is>
          <t>강원특별자치도 원주시 지정면 신평로 77 1층~3층</t>
        </is>
      </c>
      <c r="G125" s="17" t="inlineStr">
        <is>
          <t>강원특별자치도 원주시 지정면 신평로 77 1층~3층</t>
        </is>
      </c>
      <c r="H125" s="17" t="inlineStr">
        <is>
          <t>공장</t>
        </is>
      </c>
      <c r="I125" s="23" t="inlineStr">
        <is>
          <t>382</t>
        </is>
      </c>
      <c r="J125" s="17" t="inlineStr">
        <is>
          <t>1</t>
        </is>
      </c>
      <c r="K125" s="17" t="inlineStr">
        <is>
          <t>완제의약품</t>
        </is>
      </c>
      <c r="L125" s="17" t="inlineStr">
        <is>
          <t>무균-카바페넴제제-주사제(분말주사제)</t>
        </is>
      </c>
      <c r="M125" s="24" t="n">
        <v>47053</v>
      </c>
      <c r="N125" s="17" t="inlineStr">
        <is>
          <t>Y</t>
        </is>
      </c>
      <c r="O125" s="17" t="inlineStr"/>
      <c r="P125" s="17" t="inlineStr">
        <is>
          <t>강원특별자치도</t>
        </is>
      </c>
      <c r="Q125" s="17" t="inlineStr">
        <is>
          <t>원주시</t>
        </is>
      </c>
      <c r="R125" s="17" t="inlineStr">
        <is>
          <t>GMP공장소재지</t>
        </is>
      </c>
      <c r="S125" s="17" t="n">
        <v>90</v>
      </c>
      <c r="T125" s="17" t="inlineStr">
        <is>
          <t>Y</t>
        </is>
      </c>
      <c r="U125" s="17" t="n">
        <v>1</v>
      </c>
      <c r="V125" s="24" t="n">
        <v>47053</v>
      </c>
      <c r="W125" s="17" t="inlineStr"/>
      <c r="X125" s="17" t="inlineStr"/>
      <c r="Y125" s="17" t="inlineStr">
        <is>
          <t>회사키+주소</t>
        </is>
      </c>
      <c r="Z125" s="17" t="n">
        <v>90</v>
      </c>
      <c r="AA125" s="17" t="inlineStr"/>
    </row>
    <row r="126">
      <c r="A126" s="30" t="inlineStr">
        <is>
          <t>S125</t>
        </is>
      </c>
      <c r="B126" s="17" t="inlineStr">
        <is>
          <t>P113</t>
        </is>
      </c>
      <c r="C126" s="17" t="inlineStr">
        <is>
          <t>제일약품</t>
        </is>
      </c>
      <c r="D126" s="17" t="inlineStr">
        <is>
          <t>제일약품(주)</t>
        </is>
      </c>
      <c r="E126" s="17" t="inlineStr">
        <is>
          <t>경기도 용인시 처인구 백암면 청강가창로 7 (B동 외)</t>
        </is>
      </c>
      <c r="F126" s="17" t="inlineStr">
        <is>
          <t>경기도 용인시 처인구 백암면 청강가창로 7 (B동 외)</t>
        </is>
      </c>
      <c r="G126" s="17" t="inlineStr">
        <is>
          <t>경기도 용인시 처인구 백암면 청강가창로 7 (B동 외)</t>
        </is>
      </c>
      <c r="H126" s="17" t="inlineStr">
        <is>
          <t>용인</t>
        </is>
      </c>
      <c r="I126" s="23" t="inlineStr">
        <is>
          <t>1668</t>
        </is>
      </c>
      <c r="J126" s="17" t="inlineStr">
        <is>
          <t>1</t>
        </is>
      </c>
      <c r="K126" s="17" t="inlineStr">
        <is>
          <t>원료의약품</t>
        </is>
      </c>
      <c r="L126" s="17" t="inlineStr">
        <is>
          <t>비무균-세팔로스포린제제-합성, 비무균-일반제제-합성</t>
        </is>
      </c>
      <c r="M126" s="24" t="n">
        <v>47053</v>
      </c>
      <c r="N126" s="17" t="inlineStr"/>
      <c r="O126" s="17" t="inlineStr"/>
      <c r="P126" s="17" t="inlineStr">
        <is>
          <t>경기도</t>
        </is>
      </c>
      <c r="Q126" s="17" t="inlineStr">
        <is>
          <t>용인시</t>
        </is>
      </c>
      <c r="R126" s="17" t="inlineStr">
        <is>
          <t>GMP공장소재지</t>
        </is>
      </c>
      <c r="S126" s="17" t="n">
        <v>90</v>
      </c>
      <c r="T126" s="17" t="inlineStr">
        <is>
          <t>Y</t>
        </is>
      </c>
      <c r="U126" s="17" t="n">
        <v>2</v>
      </c>
      <c r="V126" s="24" t="n">
        <v>47053</v>
      </c>
      <c r="W126" s="17" t="inlineStr"/>
      <c r="X126" s="17" t="inlineStr"/>
      <c r="Y126" s="17" t="inlineStr">
        <is>
          <t>회사키+주소</t>
        </is>
      </c>
      <c r="Z126" s="17" t="n">
        <v>90</v>
      </c>
      <c r="AA126" s="17" t="inlineStr"/>
    </row>
    <row r="127">
      <c r="A127" s="30" t="inlineStr">
        <is>
          <t>S126</t>
        </is>
      </c>
      <c r="B127" s="17" t="inlineStr">
        <is>
          <t>P114</t>
        </is>
      </c>
      <c r="C127" s="17" t="inlineStr">
        <is>
          <t>신신제약</t>
        </is>
      </c>
      <c r="D127" s="17" t="inlineStr">
        <is>
          <t>신신제약(주)</t>
        </is>
      </c>
      <c r="E127" s="17" t="inlineStr">
        <is>
          <t>세종특별자치시 소정면 소정산단동로 9</t>
        </is>
      </c>
      <c r="F127" s="17" t="inlineStr">
        <is>
          <t>세종특별자치시 소정면 소정산단동로 9</t>
        </is>
      </c>
      <c r="G127" s="17" t="inlineStr">
        <is>
          <t>세종특별자치시 소정면 소정산단동로 9</t>
        </is>
      </c>
      <c r="H127" s="17" t="inlineStr">
        <is>
          <t>세종</t>
        </is>
      </c>
      <c r="I127" s="23" t="inlineStr">
        <is>
          <t>1332</t>
        </is>
      </c>
      <c r="J127" s="17" t="inlineStr">
        <is>
          <t>2</t>
        </is>
      </c>
      <c r="K127" s="17" t="inlineStr">
        <is>
          <t>완제의약품</t>
        </is>
      </c>
      <c r="L127" s="17" t="inlineStr">
        <is>
          <t>비무균-일반제제-외용액제(외용액제, 로션제, 외용에어로솔제), 비무균-일반제제-연고제(크림제, 겔제), 비무균-일반제제-첩부제(첩부제, 카타플라스마제)</t>
        </is>
      </c>
      <c r="M127" s="24" t="n">
        <v>47053</v>
      </c>
      <c r="N127" s="17" t="inlineStr"/>
      <c r="O127" s="17" t="inlineStr"/>
      <c r="P127" s="17" t="inlineStr">
        <is>
          <t>세종특별자치시</t>
        </is>
      </c>
      <c r="Q127" s="17" t="inlineStr">
        <is>
          <t>세종특별자치시</t>
        </is>
      </c>
      <c r="R127" s="17" t="inlineStr">
        <is>
          <t>GMP공장소재지</t>
        </is>
      </c>
      <c r="S127" s="17" t="n">
        <v>90</v>
      </c>
      <c r="T127" s="17" t="inlineStr">
        <is>
          <t>Y</t>
        </is>
      </c>
      <c r="U127" s="17" t="n">
        <v>1</v>
      </c>
      <c r="V127" s="24" t="n">
        <v>47053</v>
      </c>
      <c r="W127" s="17" t="inlineStr"/>
      <c r="X127" s="17" t="inlineStr"/>
      <c r="Y127" s="17" t="inlineStr">
        <is>
          <t>회사키+주소</t>
        </is>
      </c>
      <c r="Z127" s="17" t="n">
        <v>90</v>
      </c>
      <c r="AA127" s="17" t="inlineStr"/>
    </row>
    <row r="128">
      <c r="A128" s="30" t="inlineStr">
        <is>
          <t>S127</t>
        </is>
      </c>
      <c r="B128" s="17" t="inlineStr">
        <is>
          <t>P113</t>
        </is>
      </c>
      <c r="C128" s="17" t="inlineStr">
        <is>
          <t>제일약품</t>
        </is>
      </c>
      <c r="D128" s="17" t="inlineStr">
        <is>
          <t>제일약품(주)</t>
        </is>
      </c>
      <c r="E128" s="17" t="inlineStr">
        <is>
          <t>경기도 용인시 처인구 백암면 청강가창로 7 (B동 외)</t>
        </is>
      </c>
      <c r="F128" s="17" t="inlineStr">
        <is>
          <t>경기도 용인시 처인구 백암면 청강가창로 7 (B동 외)</t>
        </is>
      </c>
      <c r="G128" s="17" t="inlineStr">
        <is>
          <t>경기도 용인시 처인구 백암면 청강가창로 7 (B동 외)</t>
        </is>
      </c>
      <c r="H128" s="17" t="inlineStr">
        <is>
          <t>용인</t>
        </is>
      </c>
      <c r="I128" s="23" t="inlineStr">
        <is>
          <t>1668</t>
        </is>
      </c>
      <c r="J128" s="17" t="inlineStr">
        <is>
          <t>1</t>
        </is>
      </c>
      <c r="K128" s="17" t="inlineStr">
        <is>
          <t>완제의약품</t>
        </is>
      </c>
      <c r="L128" s="17" t="inlineStr">
        <is>
          <t>비무균-세포독성항암제제-내용고형제(정제, 캡슐제), 비무균-일반제제-내용고형제(정제, 캡슐제), 무균-일반제제-주사제(주사제)</t>
        </is>
      </c>
      <c r="M128" s="24" t="n">
        <v>47053</v>
      </c>
      <c r="N128" s="17" t="inlineStr">
        <is>
          <t>Y</t>
        </is>
      </c>
      <c r="O128" s="17" t="inlineStr"/>
      <c r="P128" s="17" t="inlineStr">
        <is>
          <t>경기도</t>
        </is>
      </c>
      <c r="Q128" s="17" t="inlineStr">
        <is>
          <t>용인시</t>
        </is>
      </c>
      <c r="R128" s="17" t="inlineStr">
        <is>
          <t>GMP공장소재지</t>
        </is>
      </c>
      <c r="S128" s="17" t="n">
        <v>90</v>
      </c>
      <c r="T128" s="17" t="inlineStr">
        <is>
          <t>N</t>
        </is>
      </c>
      <c r="U128" s="17" t="n">
        <v>2</v>
      </c>
      <c r="V128" s="24" t="n">
        <v>47053</v>
      </c>
      <c r="W128" s="17" t="inlineStr"/>
      <c r="X128" s="17" t="inlineStr"/>
      <c r="Y128" s="17" t="inlineStr">
        <is>
          <t>회사키+주소</t>
        </is>
      </c>
      <c r="Z128" s="17" t="n">
        <v>90</v>
      </c>
      <c r="AA128" s="17" t="inlineStr"/>
    </row>
    <row r="129">
      <c r="A129" s="30" t="inlineStr">
        <is>
          <t>S128</t>
        </is>
      </c>
      <c r="B129" s="17" t="inlineStr">
        <is>
          <t>P115</t>
        </is>
      </c>
      <c r="C129" s="17" t="inlineStr">
        <is>
          <t>제네톡스</t>
        </is>
      </c>
      <c r="D129" s="17" t="inlineStr">
        <is>
          <t>제네톡스(주)</t>
        </is>
      </c>
      <c r="E129" s="17" t="inlineStr">
        <is>
          <t>강원특별자치도 횡성군 우천면 우천산업단지로 38-53 1층, 2층 일부</t>
        </is>
      </c>
      <c r="F129" s="17" t="inlineStr">
        <is>
          <t>강원특별자치도 횡성군 우천면 우천산업단지로 38-53 1층, 2층 일부</t>
        </is>
      </c>
      <c r="G129" s="17" t="inlineStr">
        <is>
          <t>강원특별자치도 횡성군 우천면 우천산업단지로 38-53 1층, 2층 일부</t>
        </is>
      </c>
      <c r="H129" s="17" t="inlineStr">
        <is>
          <t>제1공장</t>
        </is>
      </c>
      <c r="I129" s="23" t="inlineStr">
        <is>
          <t>394</t>
        </is>
      </c>
      <c r="J129" s="17" t="inlineStr">
        <is>
          <t>1</t>
        </is>
      </c>
      <c r="K129" s="17" t="inlineStr">
        <is>
          <t>원료의약품</t>
        </is>
      </c>
      <c r="L129" s="17" t="inlineStr">
        <is>
          <t>생물-독소-(배양, 정제, 원액 제조)</t>
        </is>
      </c>
      <c r="M129" s="24" t="n">
        <v>47052</v>
      </c>
      <c r="N129" s="17" t="inlineStr"/>
      <c r="O129" s="17" t="inlineStr">
        <is>
          <t>Y</t>
        </is>
      </c>
      <c r="P129" s="17" t="inlineStr">
        <is>
          <t>강원특별자치도</t>
        </is>
      </c>
      <c r="Q129" s="17" t="inlineStr">
        <is>
          <t>횡성군</t>
        </is>
      </c>
      <c r="R129" s="17" t="inlineStr">
        <is>
          <t>GMP공장소재지</t>
        </is>
      </c>
      <c r="S129" s="17" t="n">
        <v>90</v>
      </c>
      <c r="T129" s="17" t="inlineStr">
        <is>
          <t>Y</t>
        </is>
      </c>
      <c r="U129" s="17" t="n">
        <v>2</v>
      </c>
      <c r="V129" s="24" t="n">
        <v>47052</v>
      </c>
      <c r="W129" s="17" t="inlineStr"/>
      <c r="X129" s="17" t="inlineStr"/>
      <c r="Y129" s="17" t="inlineStr">
        <is>
          <t>회사키+주소</t>
        </is>
      </c>
      <c r="Z129" s="17" t="n">
        <v>90</v>
      </c>
      <c r="AA129" s="17" t="inlineStr"/>
    </row>
    <row r="130">
      <c r="A130" s="30" t="inlineStr">
        <is>
          <t>S129</t>
        </is>
      </c>
      <c r="B130" s="17" t="inlineStr">
        <is>
          <t>P115</t>
        </is>
      </c>
      <c r="C130" s="17" t="inlineStr">
        <is>
          <t>제네톡스</t>
        </is>
      </c>
      <c r="D130" s="17" t="inlineStr">
        <is>
          <t>제네톡스(주)</t>
        </is>
      </c>
      <c r="E130" s="17" t="inlineStr">
        <is>
          <t>강원특별자치도 횡성군 우천면 우천산업단지로 38-53 1층, 2층 일부</t>
        </is>
      </c>
      <c r="F130" s="17" t="inlineStr">
        <is>
          <t>강원특별자치도 횡성군 우천면 우천산업단지로 38-53 1층, 2층 일부</t>
        </is>
      </c>
      <c r="G130" s="17" t="inlineStr">
        <is>
          <t>강원특별자치도 횡성군 우천면 우천산업단지로 38-53 1층, 2층 일부</t>
        </is>
      </c>
      <c r="H130" s="17" t="inlineStr">
        <is>
          <t>제1공장</t>
        </is>
      </c>
      <c r="I130" s="23" t="inlineStr">
        <is>
          <t>394</t>
        </is>
      </c>
      <c r="J130" s="17" t="inlineStr">
        <is>
          <t>1</t>
        </is>
      </c>
      <c r="K130" s="17" t="inlineStr">
        <is>
          <t>완제의약품</t>
        </is>
      </c>
      <c r="L130" s="17" t="inlineStr">
        <is>
          <t>생물-독소-주사제(동결건조주사제)</t>
        </is>
      </c>
      <c r="M130" s="24" t="n">
        <v>47052</v>
      </c>
      <c r="N130" s="17" t="inlineStr">
        <is>
          <t>Y</t>
        </is>
      </c>
      <c r="O130" s="17" t="inlineStr">
        <is>
          <t>Y</t>
        </is>
      </c>
      <c r="P130" s="17" t="inlineStr">
        <is>
          <t>강원특별자치도</t>
        </is>
      </c>
      <c r="Q130" s="17" t="inlineStr">
        <is>
          <t>횡성군</t>
        </is>
      </c>
      <c r="R130" s="17" t="inlineStr">
        <is>
          <t>GMP공장소재지</t>
        </is>
      </c>
      <c r="S130" s="17" t="n">
        <v>90</v>
      </c>
      <c r="T130" s="17" t="inlineStr">
        <is>
          <t>N</t>
        </is>
      </c>
      <c r="U130" s="17" t="n">
        <v>2</v>
      </c>
      <c r="V130" s="24" t="n">
        <v>47052</v>
      </c>
      <c r="W130" s="17" t="inlineStr"/>
      <c r="X130" s="17" t="inlineStr"/>
      <c r="Y130" s="17" t="inlineStr">
        <is>
          <t>회사키+주소</t>
        </is>
      </c>
      <c r="Z130" s="17" t="n">
        <v>90</v>
      </c>
      <c r="AA130" s="17" t="inlineStr"/>
    </row>
    <row r="131">
      <c r="A131" s="30" t="inlineStr">
        <is>
          <t>S130</t>
        </is>
      </c>
      <c r="B131" s="17" t="inlineStr">
        <is>
          <t>P116</t>
        </is>
      </c>
      <c r="C131" s="17" t="inlineStr">
        <is>
          <t>한국호넥스</t>
        </is>
      </c>
      <c r="D131" s="17" t="inlineStr">
        <is>
          <t>(주)한국호넥스</t>
        </is>
      </c>
      <c r="E131" s="17" t="inlineStr">
        <is>
          <t>충청북도 충주시 대소원면 메가폴리스3로 43</t>
        </is>
      </c>
      <c r="F131" s="17" t="inlineStr">
        <is>
          <t>충청북도 충주시 대소원면 메가폴리스3로 43</t>
        </is>
      </c>
      <c r="G131" s="17" t="inlineStr">
        <is>
          <t>충청북도 충주시 대소원면 메가폴리스3로 43</t>
        </is>
      </c>
      <c r="H131" s="17" t="inlineStr">
        <is>
          <t>(주)한국호넥스</t>
        </is>
      </c>
      <c r="I131" s="23" t="inlineStr">
        <is>
          <t>2651</t>
        </is>
      </c>
      <c r="J131" s="17" t="inlineStr">
        <is>
          <t>1</t>
        </is>
      </c>
      <c r="K131" s="17" t="inlineStr">
        <is>
          <t>완제의약품</t>
        </is>
      </c>
      <c r="L131" s="17" t="inlineStr">
        <is>
          <t>비무균-일반제제-외용액제(외용액제)</t>
        </is>
      </c>
      <c r="M131" s="24" t="n">
        <v>47049</v>
      </c>
      <c r="N131" s="17" t="inlineStr"/>
      <c r="O131" s="17" t="inlineStr"/>
      <c r="P131" s="17" t="inlineStr">
        <is>
          <t>충청북도</t>
        </is>
      </c>
      <c r="Q131" s="17" t="inlineStr">
        <is>
          <t>충주시</t>
        </is>
      </c>
      <c r="R131" s="17" t="inlineStr">
        <is>
          <t>GMP공장소재지</t>
        </is>
      </c>
      <c r="S131" s="17" t="n">
        <v>90</v>
      </c>
      <c r="T131" s="17" t="inlineStr">
        <is>
          <t>Y</t>
        </is>
      </c>
      <c r="U131" s="17" t="n">
        <v>1</v>
      </c>
      <c r="V131" s="24" t="n">
        <v>47049</v>
      </c>
      <c r="W131" s="17" t="inlineStr"/>
      <c r="X131" s="17" t="inlineStr"/>
      <c r="Y131" s="17" t="inlineStr">
        <is>
          <t>회사키+주소</t>
        </is>
      </c>
      <c r="Z131" s="17" t="n">
        <v>90</v>
      </c>
      <c r="AA131" s="17" t="inlineStr"/>
    </row>
    <row r="132">
      <c r="A132" s="30" t="inlineStr">
        <is>
          <t>S131</t>
        </is>
      </c>
      <c r="B132" s="17" t="inlineStr">
        <is>
          <t>P117</t>
        </is>
      </c>
      <c r="C132" s="17" t="inlineStr">
        <is>
          <t>제이에스산업가스</t>
        </is>
      </c>
      <c r="D132" s="17" t="inlineStr">
        <is>
          <t>(주)제이에스산업가스</t>
        </is>
      </c>
      <c r="E132" s="17" t="inlineStr">
        <is>
          <t>경상남도 김해시 한림면 한림로515번길 105-14</t>
        </is>
      </c>
      <c r="F132" s="17" t="inlineStr">
        <is>
          <t>경상남도 김해시 한림면 한림로515번길 105-14</t>
        </is>
      </c>
      <c r="G132" s="17" t="inlineStr">
        <is>
          <t>경상남도 김해시 한림면 한림로515번길 105-14</t>
        </is>
      </c>
      <c r="H132" s="17" t="inlineStr">
        <is>
          <t>(주)제이에스산업가스</t>
        </is>
      </c>
      <c r="I132" s="23" t="inlineStr">
        <is>
          <t>6189</t>
        </is>
      </c>
      <c r="J132" s="17" t="inlineStr">
        <is>
          <t>1</t>
        </is>
      </c>
      <c r="K132" s="17" t="inlineStr">
        <is>
          <t>완제의약품</t>
        </is>
      </c>
      <c r="L132" s="17" t="inlineStr">
        <is>
          <t>비무균-일반제제-가스제(의료용 고압가스)</t>
        </is>
      </c>
      <c r="M132" s="24" t="n">
        <v>47047</v>
      </c>
      <c r="N132" s="17" t="inlineStr"/>
      <c r="O132" s="17" t="inlineStr"/>
      <c r="P132" s="17" t="inlineStr">
        <is>
          <t>경상남도</t>
        </is>
      </c>
      <c r="Q132" s="17" t="inlineStr">
        <is>
          <t>김해시</t>
        </is>
      </c>
      <c r="R132" s="17" t="inlineStr">
        <is>
          <t>GMP공장소재지</t>
        </is>
      </c>
      <c r="S132" s="17" t="n">
        <v>90</v>
      </c>
      <c r="T132" s="17" t="inlineStr">
        <is>
          <t>Y</t>
        </is>
      </c>
      <c r="U132" s="17" t="n">
        <v>1</v>
      </c>
      <c r="V132" s="24" t="n">
        <v>47047</v>
      </c>
      <c r="W132" s="17" t="inlineStr"/>
      <c r="X132" s="17" t="inlineStr"/>
      <c r="Y132" s="17" t="inlineStr">
        <is>
          <t>회사키+주소</t>
        </is>
      </c>
      <c r="Z132" s="17" t="n">
        <v>90</v>
      </c>
      <c r="AA132" s="17" t="inlineStr"/>
    </row>
    <row r="133">
      <c r="A133" s="30" t="inlineStr">
        <is>
          <t>S132</t>
        </is>
      </c>
      <c r="B133" s="17" t="inlineStr">
        <is>
          <t>P118</t>
        </is>
      </c>
      <c r="C133" s="17" t="inlineStr">
        <is>
          <t>비알팜</t>
        </is>
      </c>
      <c r="D133" s="17" t="inlineStr">
        <is>
          <t>㈜비알팜</t>
        </is>
      </c>
      <c r="E133" s="17" t="inlineStr">
        <is>
          <t>강원특별자치도 원주시 지정면 신평로 13 1층 일부(보관소), 2층</t>
        </is>
      </c>
      <c r="F133" s="17" t="inlineStr">
        <is>
          <t>강원특별자치도 원주시 지정면 신평로 13 1층 일부(보관소), 2층</t>
        </is>
      </c>
      <c r="G133" s="17" t="inlineStr">
        <is>
          <t>강원특별자치도 원주시 지정면 신평로 13 1층 일부(보관소), 2층</t>
        </is>
      </c>
      <c r="H133" s="17" t="inlineStr">
        <is>
          <t>(주)비알팜</t>
        </is>
      </c>
      <c r="I133" s="23" t="inlineStr">
        <is>
          <t>354</t>
        </is>
      </c>
      <c r="J133" s="17" t="inlineStr">
        <is>
          <t>1</t>
        </is>
      </c>
      <c r="K133" s="17" t="inlineStr">
        <is>
          <t>완제의약품</t>
        </is>
      </c>
      <c r="L133" s="17" t="inlineStr">
        <is>
          <t>무균-일반제제-주사제(주사제)</t>
        </is>
      </c>
      <c r="M133" s="24" t="n">
        <v>47046</v>
      </c>
      <c r="N133" s="17" t="inlineStr">
        <is>
          <t>Y</t>
        </is>
      </c>
      <c r="O133" s="17" t="inlineStr"/>
      <c r="P133" s="17" t="inlineStr">
        <is>
          <t>강원특별자치도</t>
        </is>
      </c>
      <c r="Q133" s="17" t="inlineStr">
        <is>
          <t>원주시</t>
        </is>
      </c>
      <c r="R133" s="17" t="inlineStr">
        <is>
          <t>GMP공장소재지</t>
        </is>
      </c>
      <c r="S133" s="17" t="n">
        <v>90</v>
      </c>
      <c r="T133" s="17" t="inlineStr">
        <is>
          <t>Y</t>
        </is>
      </c>
      <c r="U133" s="17" t="n">
        <v>2</v>
      </c>
      <c r="V133" s="24" t="n">
        <v>46467</v>
      </c>
      <c r="W133" s="17" t="inlineStr"/>
      <c r="X133" s="17" t="inlineStr">
        <is>
          <t>Y</t>
        </is>
      </c>
      <c r="Y133" s="17" t="inlineStr">
        <is>
          <t>회사키+주소</t>
        </is>
      </c>
      <c r="Z133" s="17" t="n">
        <v>90</v>
      </c>
      <c r="AA133" s="17" t="inlineStr"/>
    </row>
    <row r="134">
      <c r="A134" s="30" t="inlineStr">
        <is>
          <t>S133</t>
        </is>
      </c>
      <c r="B134" s="17" t="inlineStr">
        <is>
          <t>P119</t>
        </is>
      </c>
      <c r="C134" s="17" t="inlineStr">
        <is>
          <t>유한양행</t>
        </is>
      </c>
      <c r="D134" s="17" t="inlineStr">
        <is>
          <t>(주)유한양행</t>
        </is>
      </c>
      <c r="E134" s="17" t="inlineStr">
        <is>
          <t>충청북도 청주시 청원구 오창읍 연구단지로 219</t>
        </is>
      </c>
      <c r="F134" s="17" t="inlineStr">
        <is>
          <t>충청북도 청주시 청원구 오창읍 연구단지로 238</t>
        </is>
      </c>
      <c r="G134" s="17" t="inlineStr">
        <is>
          <t>충청북도 청주시 청원구 오창읍 연구단지로 219</t>
        </is>
      </c>
      <c r="H134" s="17" t="inlineStr">
        <is>
          <t>미확인</t>
        </is>
      </c>
      <c r="I134" s="23" t="inlineStr">
        <is>
          <t>1329</t>
        </is>
      </c>
      <c r="J134" s="17" t="inlineStr">
        <is>
          <t>2</t>
        </is>
      </c>
      <c r="K134" s="17" t="inlineStr">
        <is>
          <t>완제의약품</t>
        </is>
      </c>
      <c r="L134" s="17" t="inlineStr">
        <is>
          <t>비무균-세팔로스포린제제-내용고형제(정제, 캡슐제, 산제, 시럽제(고형)), 비무균-일반제제-내용고형제(정제, 캡슐제, 산제, 시럽제(고형), 츄어블정(저작정)), 비무균-페니실린제제-내용고형제(정제, 캡슐제, 시럽제(고형)), 무균-일반제제-주사제(주사제), 무균-카바페넴제제-주사제(분말주사제), 비무균-일반제제-내용액제(경구용액제, 시럽제(액상), 현탁제, 점비액제), 비무균-일반제제-외용액제(로션제), 비무균-일반제제-연고제(연고제, 크림제)</t>
        </is>
      </c>
      <c r="M134" s="24" t="n">
        <v>47046</v>
      </c>
      <c r="N134" s="17" t="inlineStr">
        <is>
          <t>Y</t>
        </is>
      </c>
      <c r="O134" s="17" t="inlineStr"/>
      <c r="P134" s="17" t="inlineStr">
        <is>
          <t>충청북도</t>
        </is>
      </c>
      <c r="Q134" s="17" t="inlineStr">
        <is>
          <t>청주시</t>
        </is>
      </c>
      <c r="R134" s="17" t="inlineStr">
        <is>
          <t>GMP공장소재지</t>
        </is>
      </c>
      <c r="S134" s="17" t="n">
        <v>90</v>
      </c>
      <c r="T134" s="17" t="inlineStr">
        <is>
          <t>Y</t>
        </is>
      </c>
      <c r="U134" s="17" t="n">
        <v>1</v>
      </c>
      <c r="V134" s="24" t="n">
        <v>47046</v>
      </c>
      <c r="W134" s="17" t="inlineStr"/>
      <c r="X134" s="17" t="inlineStr"/>
      <c r="Y134" s="17" t="inlineStr">
        <is>
          <t>회사키+주소</t>
        </is>
      </c>
      <c r="Z134" s="17" t="n">
        <v>90</v>
      </c>
      <c r="AA134" s="17" t="inlineStr"/>
    </row>
    <row r="135">
      <c r="A135" s="30" t="inlineStr">
        <is>
          <t>S134</t>
        </is>
      </c>
      <c r="B135" s="17" t="inlineStr">
        <is>
          <t>P120</t>
        </is>
      </c>
      <c r="C135" s="17" t="inlineStr">
        <is>
          <t>삼양화학공업</t>
        </is>
      </c>
      <c r="D135" s="17" t="inlineStr">
        <is>
          <t>삼양화학공업(주)</t>
        </is>
      </c>
      <c r="E135" s="17" t="inlineStr">
        <is>
          <t>경상남도 양산시 회현1길 125</t>
        </is>
      </c>
      <c r="F135" s="17" t="inlineStr"/>
      <c r="G135" s="17" t="inlineStr">
        <is>
          <t>경상남도 양산시 회현1길 125</t>
        </is>
      </c>
      <c r="H135" s="17" t="inlineStr">
        <is>
          <t>미확인</t>
        </is>
      </c>
      <c r="I135" s="23" t="inlineStr">
        <is>
          <t>1596</t>
        </is>
      </c>
      <c r="J135" s="17" t="inlineStr"/>
      <c r="K135" s="17" t="inlineStr">
        <is>
          <t>완제의약품</t>
        </is>
      </c>
      <c r="L135" s="17" t="inlineStr">
        <is>
          <t>무균-일반제제-주사제(주사제)</t>
        </is>
      </c>
      <c r="M135" s="24" t="n">
        <v>47039</v>
      </c>
      <c r="N135" s="17" t="inlineStr">
        <is>
          <t>Y</t>
        </is>
      </c>
      <c r="O135" s="17" t="inlineStr"/>
      <c r="P135" s="17" t="inlineStr">
        <is>
          <t>경상남도</t>
        </is>
      </c>
      <c r="Q135" s="17" t="inlineStr">
        <is>
          <t>양산시</t>
        </is>
      </c>
      <c r="R135" s="17" t="inlineStr">
        <is>
          <t>GMP공장소재지</t>
        </is>
      </c>
      <c r="S135" s="17" t="n">
        <v>0</v>
      </c>
      <c r="T135" s="17" t="inlineStr">
        <is>
          <t>Y</t>
        </is>
      </c>
      <c r="U135" s="17" t="n">
        <v>1</v>
      </c>
      <c r="V135" s="24" t="n">
        <v>47039</v>
      </c>
      <c r="W135" s="17" t="inlineStr"/>
      <c r="X135" s="17" t="inlineStr"/>
      <c r="Y135" s="17" t="inlineStr">
        <is>
          <t>무매칭</t>
        </is>
      </c>
      <c r="Z135" s="17" t="n">
        <v>0</v>
      </c>
      <c r="AA135" s="17" t="inlineStr">
        <is>
          <t>Y</t>
        </is>
      </c>
    </row>
    <row r="136">
      <c r="A136" s="30" t="inlineStr">
        <is>
          <t>S135</t>
        </is>
      </c>
      <c r="B136" s="17" t="inlineStr">
        <is>
          <t>P121</t>
        </is>
      </c>
      <c r="C136" s="17" t="inlineStr">
        <is>
          <t>에스케이바이오사이언스</t>
        </is>
      </c>
      <c r="D136" s="17" t="inlineStr">
        <is>
          <t>에스케이바이오사이언스(주)</t>
        </is>
      </c>
      <c r="E136" s="17" t="inlineStr">
        <is>
          <t>경상북도 안동시 풍산읍 산업단지길 150</t>
        </is>
      </c>
      <c r="F136" s="17" t="inlineStr">
        <is>
          <t>경상북도 안동시 풍산읍 산업단지길 150</t>
        </is>
      </c>
      <c r="G136" s="17" t="inlineStr">
        <is>
          <t>경상북도 안동시 풍산읍 산업단지길 150</t>
        </is>
      </c>
      <c r="H136" s="17" t="inlineStr">
        <is>
          <t>L HOUSE</t>
        </is>
      </c>
      <c r="I136" s="23" t="inlineStr">
        <is>
          <t>97</t>
        </is>
      </c>
      <c r="J136" s="17" t="inlineStr">
        <is>
          <t>1</t>
        </is>
      </c>
      <c r="K136" s="17" t="inlineStr">
        <is>
          <t>원료의약품</t>
        </is>
      </c>
      <c r="L136" s="17" t="inlineStr">
        <is>
          <t>생물-백신-(배양, 정제, 바이러스불활화, 원액 제조)</t>
        </is>
      </c>
      <c r="M136" s="24" t="n">
        <v>47039</v>
      </c>
      <c r="N136" s="17" t="inlineStr"/>
      <c r="O136" s="17" t="inlineStr">
        <is>
          <t>Y</t>
        </is>
      </c>
      <c r="P136" s="17" t="inlineStr">
        <is>
          <t>경상북도</t>
        </is>
      </c>
      <c r="Q136" s="17" t="inlineStr">
        <is>
          <t>안동시</t>
        </is>
      </c>
      <c r="R136" s="17" t="inlineStr">
        <is>
          <t>GMP공장소재지</t>
        </is>
      </c>
      <c r="S136" s="17" t="n">
        <v>90</v>
      </c>
      <c r="T136" s="17" t="inlineStr">
        <is>
          <t>Y</t>
        </is>
      </c>
      <c r="U136" s="17" t="n">
        <v>2</v>
      </c>
      <c r="V136" s="24" t="n">
        <v>47039</v>
      </c>
      <c r="W136" s="17" t="inlineStr"/>
      <c r="X136" s="17" t="inlineStr"/>
      <c r="Y136" s="17" t="inlineStr">
        <is>
          <t>회사키+주소</t>
        </is>
      </c>
      <c r="Z136" s="17" t="n">
        <v>90</v>
      </c>
      <c r="AA136" s="17" t="inlineStr"/>
    </row>
    <row r="137">
      <c r="A137" s="30" t="inlineStr">
        <is>
          <t>S136</t>
        </is>
      </c>
      <c r="B137" s="17" t="inlineStr">
        <is>
          <t>P122</t>
        </is>
      </c>
      <c r="C137" s="17" t="inlineStr">
        <is>
          <t>파마킹</t>
        </is>
      </c>
      <c r="D137" s="17" t="inlineStr">
        <is>
          <t>(주)파마킹</t>
        </is>
      </c>
      <c r="E137" s="17" t="inlineStr">
        <is>
          <t>충청북도 음성군 감곡면 행군이길 87-17</t>
        </is>
      </c>
      <c r="F137" s="17" t="inlineStr">
        <is>
          <t>충청북도 음성군 감곡면 행군이길 87-17</t>
        </is>
      </c>
      <c r="G137" s="17" t="inlineStr">
        <is>
          <t>충청북도 음성군 감곡면 행군이길 87-17</t>
        </is>
      </c>
      <c r="H137" s="17" t="inlineStr">
        <is>
          <t>음성</t>
        </is>
      </c>
      <c r="I137" s="23" t="inlineStr">
        <is>
          <t>1344</t>
        </is>
      </c>
      <c r="J137" s="17" t="inlineStr">
        <is>
          <t>1</t>
        </is>
      </c>
      <c r="K137" s="17" t="inlineStr">
        <is>
          <t>완제의약품</t>
        </is>
      </c>
      <c r="L137" s="17" t="inlineStr">
        <is>
          <t>비무균-일반제제-내용고형제(정제, 캡슐제)</t>
        </is>
      </c>
      <c r="M137" s="24" t="n">
        <v>47039</v>
      </c>
      <c r="N137" s="17" t="inlineStr"/>
      <c r="O137" s="17" t="inlineStr"/>
      <c r="P137" s="17" t="inlineStr">
        <is>
          <t>충청북도</t>
        </is>
      </c>
      <c r="Q137" s="17" t="inlineStr">
        <is>
          <t>음성군</t>
        </is>
      </c>
      <c r="R137" s="17" t="inlineStr">
        <is>
          <t>GMP공장소재지</t>
        </is>
      </c>
      <c r="S137" s="17" t="n">
        <v>90</v>
      </c>
      <c r="T137" s="17" t="inlineStr">
        <is>
          <t>Y</t>
        </is>
      </c>
      <c r="U137" s="17" t="n">
        <v>1</v>
      </c>
      <c r="V137" s="24" t="n">
        <v>47039</v>
      </c>
      <c r="W137" s="17" t="inlineStr"/>
      <c r="X137" s="17" t="inlineStr"/>
      <c r="Y137" s="17" t="inlineStr">
        <is>
          <t>회사키+주소</t>
        </is>
      </c>
      <c r="Z137" s="17" t="n">
        <v>90</v>
      </c>
      <c r="AA137" s="17" t="inlineStr"/>
    </row>
    <row r="138">
      <c r="A138" s="30" t="inlineStr">
        <is>
          <t>S137</t>
        </is>
      </c>
      <c r="B138" s="17" t="inlineStr">
        <is>
          <t>P123</t>
        </is>
      </c>
      <c r="C138" s="17" t="inlineStr">
        <is>
          <t>원광제약</t>
        </is>
      </c>
      <c r="D138" s="17" t="inlineStr">
        <is>
          <t>원광제약(주)</t>
        </is>
      </c>
      <c r="E138" s="17" t="inlineStr">
        <is>
          <t>전북특별자치도 익산시 삼기면 미륵사지로 795-20</t>
        </is>
      </c>
      <c r="F138" s="17" t="inlineStr">
        <is>
          <t>전북특별자치도 익산시 삼기면 미륵사지로 795-20</t>
        </is>
      </c>
      <c r="G138" s="17" t="inlineStr">
        <is>
          <t>전북특별자치도 익산시 삼기면 미륵사지로 795-20</t>
        </is>
      </c>
      <c r="H138" s="17" t="inlineStr">
        <is>
          <t>1공장(삼기)</t>
        </is>
      </c>
      <c r="I138" s="23" t="inlineStr">
        <is>
          <t>1450</t>
        </is>
      </c>
      <c r="J138" s="17" t="inlineStr">
        <is>
          <t>2</t>
        </is>
      </c>
      <c r="K138" s="17" t="inlineStr">
        <is>
          <t>완제의약품</t>
        </is>
      </c>
      <c r="L138" s="17" t="inlineStr">
        <is>
          <t>비무균-일반제제-내용고형제(환제), 비무균-일반제제-내용액제(경구용액제, 현탁제, 엑스제(액상))</t>
        </is>
      </c>
      <c r="M138" s="24" t="n">
        <v>47039</v>
      </c>
      <c r="N138" s="17" t="inlineStr"/>
      <c r="O138" s="17" t="inlineStr"/>
      <c r="P138" s="17" t="inlineStr">
        <is>
          <t>전북특별자치도</t>
        </is>
      </c>
      <c r="Q138" s="17" t="inlineStr">
        <is>
          <t>익산시</t>
        </is>
      </c>
      <c r="R138" s="17" t="inlineStr">
        <is>
          <t>GMP공장소재지</t>
        </is>
      </c>
      <c r="S138" s="17" t="n">
        <v>90</v>
      </c>
      <c r="T138" s="17" t="inlineStr">
        <is>
          <t>Y</t>
        </is>
      </c>
      <c r="U138" s="17" t="n">
        <v>1</v>
      </c>
      <c r="V138" s="24" t="n">
        <v>47039</v>
      </c>
      <c r="W138" s="17" t="inlineStr"/>
      <c r="X138" s="17" t="inlineStr"/>
      <c r="Y138" s="17" t="inlineStr">
        <is>
          <t>회사키+주소</t>
        </is>
      </c>
      <c r="Z138" s="17" t="n">
        <v>90</v>
      </c>
      <c r="AA138" s="17" t="inlineStr"/>
    </row>
    <row r="139">
      <c r="A139" s="30" t="inlineStr">
        <is>
          <t>S138</t>
        </is>
      </c>
      <c r="B139" s="17" t="inlineStr">
        <is>
          <t>P124</t>
        </is>
      </c>
      <c r="C139" s="17" t="inlineStr">
        <is>
          <t>케이에스제약</t>
        </is>
      </c>
      <c r="D139" s="17" t="inlineStr">
        <is>
          <t>주식회사케이에스제약</t>
        </is>
      </c>
      <c r="E139" s="17" t="inlineStr">
        <is>
          <t>전라남도 화순군 화순읍 산단길 126</t>
        </is>
      </c>
      <c r="F139" s="17" t="inlineStr">
        <is>
          <t>전라남도 화순군 화순읍 산단길 126</t>
        </is>
      </c>
      <c r="G139" s="17" t="inlineStr">
        <is>
          <t>전라남도 화순군 화순읍 산단길 126</t>
        </is>
      </c>
      <c r="H139" s="17" t="inlineStr">
        <is>
          <t>주식회사케이에스제약</t>
        </is>
      </c>
      <c r="I139" s="23" t="inlineStr">
        <is>
          <t>382</t>
        </is>
      </c>
      <c r="J139" s="17" t="inlineStr">
        <is>
          <t>1</t>
        </is>
      </c>
      <c r="K139" s="17" t="inlineStr">
        <is>
          <t>완제의약품</t>
        </is>
      </c>
      <c r="L139" s="17" t="inlineStr">
        <is>
          <t>비무균-일반제제-내용고형제(정제)</t>
        </is>
      </c>
      <c r="M139" s="24" t="n">
        <v>47039</v>
      </c>
      <c r="N139" s="17" t="inlineStr"/>
      <c r="O139" s="17" t="inlineStr"/>
      <c r="P139" s="17" t="inlineStr">
        <is>
          <t>전라남도</t>
        </is>
      </c>
      <c r="Q139" s="17" t="inlineStr">
        <is>
          <t>화순군</t>
        </is>
      </c>
      <c r="R139" s="17" t="inlineStr">
        <is>
          <t>GMP공장소재지</t>
        </is>
      </c>
      <c r="S139" s="17" t="n">
        <v>90</v>
      </c>
      <c r="T139" s="17" t="inlineStr">
        <is>
          <t>Y</t>
        </is>
      </c>
      <c r="U139" s="17" t="n">
        <v>1</v>
      </c>
      <c r="V139" s="24" t="n">
        <v>47039</v>
      </c>
      <c r="W139" s="17" t="inlineStr"/>
      <c r="X139" s="17" t="inlineStr"/>
      <c r="Y139" s="17" t="inlineStr">
        <is>
          <t>회사키+주소</t>
        </is>
      </c>
      <c r="Z139" s="17" t="n">
        <v>90</v>
      </c>
      <c r="AA139" s="17" t="inlineStr"/>
    </row>
    <row r="140">
      <c r="A140" s="30" t="inlineStr">
        <is>
          <t>S139</t>
        </is>
      </c>
      <c r="B140" s="17" t="inlineStr">
        <is>
          <t>P121</t>
        </is>
      </c>
      <c r="C140" s="17" t="inlineStr">
        <is>
          <t>에스케이바이오사이언스</t>
        </is>
      </c>
      <c r="D140" s="17" t="inlineStr">
        <is>
          <t>에스케이바이오사이언스(주)</t>
        </is>
      </c>
      <c r="E140" s="17" t="inlineStr">
        <is>
          <t>경상북도 안동시 풍산읍 산업단지길 150</t>
        </is>
      </c>
      <c r="F140" s="17" t="inlineStr">
        <is>
          <t>경상북도 안동시 풍산읍 산업단지길 150</t>
        </is>
      </c>
      <c r="G140" s="17" t="inlineStr">
        <is>
          <t>경상북도 안동시 풍산읍 산업단지길 150</t>
        </is>
      </c>
      <c r="H140" s="17" t="inlineStr">
        <is>
          <t>L HOUSE</t>
        </is>
      </c>
      <c r="I140" s="23" t="inlineStr">
        <is>
          <t>97</t>
        </is>
      </c>
      <c r="J140" s="17" t="inlineStr">
        <is>
          <t>1</t>
        </is>
      </c>
      <c r="K140" s="17" t="inlineStr">
        <is>
          <t>완제의약품</t>
        </is>
      </c>
      <c r="L140" s="17" t="inlineStr">
        <is>
          <t>생물-백신-주사제(주사제)</t>
        </is>
      </c>
      <c r="M140" s="24" t="n">
        <v>47039</v>
      </c>
      <c r="N140" s="17" t="inlineStr">
        <is>
          <t>Y</t>
        </is>
      </c>
      <c r="O140" s="17" t="inlineStr">
        <is>
          <t>Y</t>
        </is>
      </c>
      <c r="P140" s="17" t="inlineStr">
        <is>
          <t>경상북도</t>
        </is>
      </c>
      <c r="Q140" s="17" t="inlineStr">
        <is>
          <t>안동시</t>
        </is>
      </c>
      <c r="R140" s="17" t="inlineStr">
        <is>
          <t>GMP공장소재지</t>
        </is>
      </c>
      <c r="S140" s="17" t="n">
        <v>90</v>
      </c>
      <c r="T140" s="17" t="inlineStr">
        <is>
          <t>N</t>
        </is>
      </c>
      <c r="U140" s="17" t="n">
        <v>2</v>
      </c>
      <c r="V140" s="24" t="n">
        <v>47039</v>
      </c>
      <c r="W140" s="17" t="inlineStr"/>
      <c r="X140" s="17" t="inlineStr"/>
      <c r="Y140" s="17" t="inlineStr">
        <is>
          <t>회사키+주소</t>
        </is>
      </c>
      <c r="Z140" s="17" t="n">
        <v>90</v>
      </c>
      <c r="AA140" s="17" t="inlineStr"/>
    </row>
    <row r="141">
      <c r="A141" s="30" t="inlineStr">
        <is>
          <t>S140</t>
        </is>
      </c>
      <c r="B141" s="17" t="inlineStr">
        <is>
          <t>P125</t>
        </is>
      </c>
      <c r="C141" s="17" t="inlineStr">
        <is>
          <t>가스켐테크놀로지</t>
        </is>
      </c>
      <c r="D141" s="17" t="inlineStr">
        <is>
          <t>가스켐테크놀로지(주)</t>
        </is>
      </c>
      <c r="E141" s="17" t="inlineStr">
        <is>
          <t>충청북도 진천군 덕산면 신척산단5로 74</t>
        </is>
      </c>
      <c r="F141" s="17" t="inlineStr">
        <is>
          <t>충청북도 진천군 덕산면 신척산단5로 74</t>
        </is>
      </c>
      <c r="G141" s="17" t="inlineStr">
        <is>
          <t>충청북도 진천군 덕산면 신척산단5로 74</t>
        </is>
      </c>
      <c r="H141" s="17" t="inlineStr">
        <is>
          <t>진천</t>
        </is>
      </c>
      <c r="I141" s="23" t="inlineStr">
        <is>
          <t>2103</t>
        </is>
      </c>
      <c r="J141" s="17" t="inlineStr">
        <is>
          <t>2</t>
        </is>
      </c>
      <c r="K141" s="17" t="inlineStr">
        <is>
          <t>완제의약품</t>
        </is>
      </c>
      <c r="L141" s="17" t="inlineStr">
        <is>
          <t>비무균-일반제제(의료용 고압가스)-가스제(의료용 고압가스)</t>
        </is>
      </c>
      <c r="M141" s="24" t="n">
        <v>47037</v>
      </c>
      <c r="N141" s="17" t="inlineStr"/>
      <c r="O141" s="17" t="inlineStr"/>
      <c r="P141" s="17" t="inlineStr">
        <is>
          <t>충청북도</t>
        </is>
      </c>
      <c r="Q141" s="17" t="inlineStr">
        <is>
          <t>진천군</t>
        </is>
      </c>
      <c r="R141" s="17" t="inlineStr">
        <is>
          <t>GMP공장소재지</t>
        </is>
      </c>
      <c r="S141" s="17" t="n">
        <v>90</v>
      </c>
      <c r="T141" s="17" t="inlineStr">
        <is>
          <t>Y</t>
        </is>
      </c>
      <c r="U141" s="17" t="n">
        <v>1</v>
      </c>
      <c r="V141" s="24" t="n">
        <v>47037</v>
      </c>
      <c r="W141" s="17" t="inlineStr"/>
      <c r="X141" s="17" t="inlineStr"/>
      <c r="Y141" s="17" t="inlineStr">
        <is>
          <t>회사키+주소</t>
        </is>
      </c>
      <c r="Z141" s="17" t="n">
        <v>90</v>
      </c>
      <c r="AA141" s="17" t="inlineStr"/>
    </row>
    <row r="142">
      <c r="A142" s="30" t="inlineStr">
        <is>
          <t>S141</t>
        </is>
      </c>
      <c r="B142" s="17" t="inlineStr">
        <is>
          <t>P126</t>
        </is>
      </c>
      <c r="C142" s="17" t="inlineStr">
        <is>
          <t>다산제약</t>
        </is>
      </c>
      <c r="D142" s="17" t="inlineStr">
        <is>
          <t>(주)다산제약</t>
        </is>
      </c>
      <c r="E142" s="17" t="inlineStr">
        <is>
          <t>충청남도 아산시 도고면 덕암산로 381</t>
        </is>
      </c>
      <c r="F142" s="17" t="inlineStr">
        <is>
          <t>충청남도 아산시 도고면 덕암산로 381</t>
        </is>
      </c>
      <c r="G142" s="17" t="inlineStr">
        <is>
          <t>충청남도 아산시 도고면 덕암산로 381</t>
        </is>
      </c>
      <c r="H142" s="17" t="inlineStr">
        <is>
          <t>제2공장</t>
        </is>
      </c>
      <c r="I142" s="23" t="inlineStr">
        <is>
          <t>2243</t>
        </is>
      </c>
      <c r="J142" s="17" t="inlineStr">
        <is>
          <t>2</t>
        </is>
      </c>
      <c r="K142" s="17" t="inlineStr">
        <is>
          <t>완제의약품</t>
        </is>
      </c>
      <c r="L142" s="17" t="inlineStr">
        <is>
          <t>비무균-일반제제-내용고형제(정제, 캡슐제)</t>
        </is>
      </c>
      <c r="M142" s="24" t="n">
        <v>47032</v>
      </c>
      <c r="N142" s="17" t="inlineStr"/>
      <c r="O142" s="17" t="inlineStr"/>
      <c r="P142" s="17" t="inlineStr">
        <is>
          <t>충청남도</t>
        </is>
      </c>
      <c r="Q142" s="17" t="inlineStr">
        <is>
          <t>아산시</t>
        </is>
      </c>
      <c r="R142" s="17" t="inlineStr">
        <is>
          <t>GMP공장소재지</t>
        </is>
      </c>
      <c r="S142" s="17" t="n">
        <v>90</v>
      </c>
      <c r="T142" s="17" t="inlineStr">
        <is>
          <t>Y</t>
        </is>
      </c>
      <c r="U142" s="17" t="n">
        <v>1</v>
      </c>
      <c r="V142" s="24" t="n">
        <v>47032</v>
      </c>
      <c r="W142" s="17" t="inlineStr"/>
      <c r="X142" s="17" t="inlineStr"/>
      <c r="Y142" s="17" t="inlineStr">
        <is>
          <t>회사키+주소</t>
        </is>
      </c>
      <c r="Z142" s="17" t="n">
        <v>90</v>
      </c>
      <c r="AA142" s="17" t="inlineStr"/>
    </row>
    <row r="143">
      <c r="A143" s="30" t="inlineStr">
        <is>
          <t>S142</t>
        </is>
      </c>
      <c r="B143" s="17" t="inlineStr">
        <is>
          <t>P127</t>
        </is>
      </c>
      <c r="C143" s="17" t="inlineStr">
        <is>
          <t>킵스바이오파마</t>
        </is>
      </c>
      <c r="D143" s="17" t="inlineStr">
        <is>
          <t>(주)킵스바이오파마</t>
        </is>
      </c>
      <c r="E143" s="17" t="inlineStr">
        <is>
          <t>충청남도 서천군 종천면 종천공단길32번길 26</t>
        </is>
      </c>
      <c r="F143" s="17" t="inlineStr">
        <is>
          <t>충청남도 서천군 종천면 종천공단길32번길 26</t>
        </is>
      </c>
      <c r="G143" s="17" t="inlineStr">
        <is>
          <t>충청남도 서천군 종천면 종천공단길32번길 26</t>
        </is>
      </c>
      <c r="H143" s="17" t="inlineStr">
        <is>
          <t>서천</t>
        </is>
      </c>
      <c r="I143" s="23" t="inlineStr">
        <is>
          <t>2335</t>
        </is>
      </c>
      <c r="J143" s="17" t="inlineStr">
        <is>
          <t>1</t>
        </is>
      </c>
      <c r="K143" s="17" t="inlineStr">
        <is>
          <t>완제의약품</t>
        </is>
      </c>
      <c r="L143" s="17" t="inlineStr">
        <is>
          <t>비무균-일반제제-내용고형제(정제, 캡슐제)</t>
        </is>
      </c>
      <c r="M143" s="24" t="n">
        <v>47031</v>
      </c>
      <c r="N143" s="17" t="inlineStr"/>
      <c r="O143" s="17" t="inlineStr"/>
      <c r="P143" s="17" t="inlineStr">
        <is>
          <t>충청남도</t>
        </is>
      </c>
      <c r="Q143" s="17" t="inlineStr">
        <is>
          <t>서천군</t>
        </is>
      </c>
      <c r="R143" s="17" t="inlineStr">
        <is>
          <t>GMP공장소재지</t>
        </is>
      </c>
      <c r="S143" s="17" t="n">
        <v>90</v>
      </c>
      <c r="T143" s="17" t="inlineStr">
        <is>
          <t>Y</t>
        </is>
      </c>
      <c r="U143" s="17" t="n">
        <v>1</v>
      </c>
      <c r="V143" s="24" t="n">
        <v>47031</v>
      </c>
      <c r="W143" s="17" t="inlineStr"/>
      <c r="X143" s="17" t="inlineStr"/>
      <c r="Y143" s="17" t="inlineStr">
        <is>
          <t>회사키+주소</t>
        </is>
      </c>
      <c r="Z143" s="17" t="n">
        <v>90</v>
      </c>
      <c r="AA143" s="17" t="inlineStr"/>
    </row>
    <row r="144">
      <c r="A144" s="30" t="inlineStr">
        <is>
          <t>S143</t>
        </is>
      </c>
      <c r="B144" s="17" t="inlineStr">
        <is>
          <t>P128</t>
        </is>
      </c>
      <c r="C144" s="17" t="inlineStr">
        <is>
          <t>제일헬스사이언스</t>
        </is>
      </c>
      <c r="D144" s="17" t="inlineStr">
        <is>
          <t>제일헬스사이언스(주)</t>
        </is>
      </c>
      <c r="E144" s="17" t="inlineStr">
        <is>
          <t>경기도 용인시 처인구 백암면 청강가창로 7 B동</t>
        </is>
      </c>
      <c r="F144" s="17" t="inlineStr">
        <is>
          <t>경기도 용인시 처인구 백암면 청강가창로 7 B동</t>
        </is>
      </c>
      <c r="G144" s="17" t="inlineStr">
        <is>
          <t>경기도 용인시 처인구 백암면 청강가창로 7 B동</t>
        </is>
      </c>
      <c r="H144" s="17" t="inlineStr">
        <is>
          <t>제일헬스사이언스(주)</t>
        </is>
      </c>
      <c r="I144" s="23" t="inlineStr">
        <is>
          <t>361</t>
        </is>
      </c>
      <c r="J144" s="17" t="inlineStr">
        <is>
          <t>1</t>
        </is>
      </c>
      <c r="K144" s="17" t="inlineStr">
        <is>
          <t>완제의약품</t>
        </is>
      </c>
      <c r="L144" s="17" t="inlineStr">
        <is>
          <t>비무균-일반제제-첩부제(첩부제, 카타플라스마제)</t>
        </is>
      </c>
      <c r="M144" s="24" t="n">
        <v>47031</v>
      </c>
      <c r="N144" s="17" t="inlineStr"/>
      <c r="O144" s="17" t="inlineStr"/>
      <c r="P144" s="17" t="inlineStr">
        <is>
          <t>경기도</t>
        </is>
      </c>
      <c r="Q144" s="17" t="inlineStr">
        <is>
          <t>용인시</t>
        </is>
      </c>
      <c r="R144" s="17" t="inlineStr">
        <is>
          <t>GMP공장소재지</t>
        </is>
      </c>
      <c r="S144" s="17" t="n">
        <v>90</v>
      </c>
      <c r="T144" s="17" t="inlineStr">
        <is>
          <t>Y</t>
        </is>
      </c>
      <c r="U144" s="17" t="n">
        <v>1</v>
      </c>
      <c r="V144" s="24" t="n">
        <v>47031</v>
      </c>
      <c r="W144" s="17" t="inlineStr"/>
      <c r="X144" s="17" t="inlineStr"/>
      <c r="Y144" s="17" t="inlineStr">
        <is>
          <t>회사키+주소</t>
        </is>
      </c>
      <c r="Z144" s="17" t="n">
        <v>90</v>
      </c>
      <c r="AA144" s="17" t="inlineStr"/>
    </row>
    <row r="145">
      <c r="A145" s="30" t="inlineStr">
        <is>
          <t>S144</t>
        </is>
      </c>
      <c r="B145" s="17" t="inlineStr">
        <is>
          <t>P129</t>
        </is>
      </c>
      <c r="C145" s="17" t="inlineStr">
        <is>
          <t>일양약품</t>
        </is>
      </c>
      <c r="D145" s="17" t="inlineStr">
        <is>
          <t>일양약품(주)</t>
        </is>
      </c>
      <c r="E145" s="17" t="inlineStr">
        <is>
          <t>경기도 용인시 기흥구 하갈로 110</t>
        </is>
      </c>
      <c r="F145" s="17" t="inlineStr">
        <is>
          <t>경기도 용인시 기흥구 하갈로 110</t>
        </is>
      </c>
      <c r="G145" s="17" t="inlineStr">
        <is>
          <t>경기도 용인시 기흥구 하갈로 110</t>
        </is>
      </c>
      <c r="H145" s="17" t="inlineStr">
        <is>
          <t>용인</t>
        </is>
      </c>
      <c r="I145" s="23" t="inlineStr">
        <is>
          <t>1336</t>
        </is>
      </c>
      <c r="J145" s="17" t="inlineStr">
        <is>
          <t>1</t>
        </is>
      </c>
      <c r="K145" s="17" t="inlineStr">
        <is>
          <t>원료의약품</t>
        </is>
      </c>
      <c r="L145" s="17" t="inlineStr">
        <is>
          <t>비무균-일반제제-합성</t>
        </is>
      </c>
      <c r="M145" s="24" t="n">
        <v>47025</v>
      </c>
      <c r="N145" s="17" t="inlineStr"/>
      <c r="O145" s="17" t="inlineStr"/>
      <c r="P145" s="17" t="inlineStr">
        <is>
          <t>경기도</t>
        </is>
      </c>
      <c r="Q145" s="17" t="inlineStr">
        <is>
          <t>용인시</t>
        </is>
      </c>
      <c r="R145" s="17" t="inlineStr">
        <is>
          <t>GMP공장소재지</t>
        </is>
      </c>
      <c r="S145" s="17" t="n">
        <v>90</v>
      </c>
      <c r="T145" s="17" t="inlineStr">
        <is>
          <t>Y</t>
        </is>
      </c>
      <c r="U145" s="17" t="n">
        <v>2</v>
      </c>
      <c r="V145" s="24" t="n">
        <v>47025</v>
      </c>
      <c r="W145" s="17" t="inlineStr"/>
      <c r="X145" s="17" t="inlineStr"/>
      <c r="Y145" s="17" t="inlineStr">
        <is>
          <t>회사키+주소</t>
        </is>
      </c>
      <c r="Z145" s="17" t="n">
        <v>90</v>
      </c>
      <c r="AA145" s="17" t="inlineStr"/>
    </row>
    <row r="146">
      <c r="A146" s="30" t="inlineStr">
        <is>
          <t>S145</t>
        </is>
      </c>
      <c r="B146" s="17" t="inlineStr">
        <is>
          <t>P130</t>
        </is>
      </c>
      <c r="C146" s="17" t="inlineStr">
        <is>
          <t>한독</t>
        </is>
      </c>
      <c r="D146" s="17" t="inlineStr">
        <is>
          <t>(주)한독</t>
        </is>
      </c>
      <c r="E146" s="17" t="inlineStr">
        <is>
          <t>충청북도 음성군 대소읍 대풍산단로 78</t>
        </is>
      </c>
      <c r="F146" s="17" t="inlineStr">
        <is>
          <t>충청북도 음성군 대소읍 대풍산단로 78</t>
        </is>
      </c>
      <c r="G146" s="17" t="inlineStr">
        <is>
          <t>충청북도 음성군 대소읍 대풍산단로 78</t>
        </is>
      </c>
      <c r="H146" s="17" t="inlineStr">
        <is>
          <t>음성</t>
        </is>
      </c>
      <c r="I146" s="23" t="inlineStr">
        <is>
          <t>1374</t>
        </is>
      </c>
      <c r="J146" s="17" t="inlineStr">
        <is>
          <t>1</t>
        </is>
      </c>
      <c r="K146" s="17" t="inlineStr">
        <is>
          <t>완제의약품</t>
        </is>
      </c>
      <c r="L146" s="17" t="inlineStr">
        <is>
          <t>비무균-일반제제-내용고형제(정제, 캡슐제, 구강붕해정, 츄어블정(저작정)), 비무균-일반제제-외용액제(외용액제, 로션제), 비무균-일반제제-연고제(연고제, 크림제, 겔제), 비무균-일반제제-첩부제(첩부제)</t>
        </is>
      </c>
      <c r="M146" s="24" t="n">
        <v>47025</v>
      </c>
      <c r="N146" s="17" t="inlineStr"/>
      <c r="O146" s="17" t="inlineStr"/>
      <c r="P146" s="17" t="inlineStr">
        <is>
          <t>충청북도</t>
        </is>
      </c>
      <c r="Q146" s="17" t="inlineStr">
        <is>
          <t>음성군</t>
        </is>
      </c>
      <c r="R146" s="17" t="inlineStr">
        <is>
          <t>GMP공장소재지</t>
        </is>
      </c>
      <c r="S146" s="17" t="n">
        <v>90</v>
      </c>
      <c r="T146" s="17" t="inlineStr">
        <is>
          <t>Y</t>
        </is>
      </c>
      <c r="U146" s="17" t="n">
        <v>1</v>
      </c>
      <c r="V146" s="24" t="n">
        <v>47025</v>
      </c>
      <c r="W146" s="17" t="inlineStr"/>
      <c r="X146" s="17" t="inlineStr"/>
      <c r="Y146" s="17" t="inlineStr">
        <is>
          <t>회사키+주소</t>
        </is>
      </c>
      <c r="Z146" s="17" t="n">
        <v>90</v>
      </c>
      <c r="AA146" s="17" t="inlineStr"/>
    </row>
    <row r="147">
      <c r="A147" s="30" t="inlineStr">
        <is>
          <t>S146</t>
        </is>
      </c>
      <c r="B147" s="17" t="inlineStr">
        <is>
          <t>P129</t>
        </is>
      </c>
      <c r="C147" s="17" t="inlineStr">
        <is>
          <t>일양약품</t>
        </is>
      </c>
      <c r="D147" s="17" t="inlineStr">
        <is>
          <t>일양약품(주)</t>
        </is>
      </c>
      <c r="E147" s="17" t="inlineStr">
        <is>
          <t>경기도 용인시 기흥구 하갈로 110</t>
        </is>
      </c>
      <c r="F147" s="17" t="inlineStr">
        <is>
          <t>경기도 용인시 기흥구 하갈로 110</t>
        </is>
      </c>
      <c r="G147" s="17" t="inlineStr">
        <is>
          <t>경기도 용인시 기흥구 하갈로 110</t>
        </is>
      </c>
      <c r="H147" s="17" t="inlineStr">
        <is>
          <t>용인</t>
        </is>
      </c>
      <c r="I147" s="23" t="inlineStr">
        <is>
          <t>1336</t>
        </is>
      </c>
      <c r="J147" s="17" t="inlineStr">
        <is>
          <t>1</t>
        </is>
      </c>
      <c r="K147" s="17" t="inlineStr">
        <is>
          <t>완제의약품</t>
        </is>
      </c>
      <c r="L147" s="17" t="inlineStr">
        <is>
          <t>비무균-일반제제-내용고형제(정제, 질정, 캡슐제, 산제, 츄어블정(저작정)), 비무균-일반제제-내용액제(경구용액제, 시럽제(액상), 현탁제)</t>
        </is>
      </c>
      <c r="M147" s="24" t="n">
        <v>47025</v>
      </c>
      <c r="N147" s="17" t="inlineStr"/>
      <c r="O147" s="17" t="inlineStr"/>
      <c r="P147" s="17" t="inlineStr">
        <is>
          <t>경기도</t>
        </is>
      </c>
      <c r="Q147" s="17" t="inlineStr">
        <is>
          <t>용인시</t>
        </is>
      </c>
      <c r="R147" s="17" t="inlineStr">
        <is>
          <t>GMP공장소재지</t>
        </is>
      </c>
      <c r="S147" s="17" t="n">
        <v>90</v>
      </c>
      <c r="T147" s="17" t="inlineStr">
        <is>
          <t>N</t>
        </is>
      </c>
      <c r="U147" s="17" t="n">
        <v>2</v>
      </c>
      <c r="V147" s="24" t="n">
        <v>47025</v>
      </c>
      <c r="W147" s="17" t="inlineStr"/>
      <c r="X147" s="17" t="inlineStr"/>
      <c r="Y147" s="17" t="inlineStr">
        <is>
          <t>회사키+주소</t>
        </is>
      </c>
      <c r="Z147" s="17" t="n">
        <v>90</v>
      </c>
      <c r="AA147" s="17" t="inlineStr"/>
    </row>
    <row r="148">
      <c r="A148" s="30" t="inlineStr">
        <is>
          <t>S147</t>
        </is>
      </c>
      <c r="B148" s="17" t="inlineStr">
        <is>
          <t>P131</t>
        </is>
      </c>
      <c r="C148" s="17" t="inlineStr">
        <is>
          <t>신양메디슨</t>
        </is>
      </c>
      <c r="D148" s="17" t="inlineStr">
        <is>
          <t>신양메디슨(주)</t>
        </is>
      </c>
      <c r="E148" s="17" t="inlineStr">
        <is>
          <t>경기도 안성시 양성면 양성로 409-14</t>
        </is>
      </c>
      <c r="F148" s="17" t="inlineStr">
        <is>
          <t>경기도 안성시 양성면 양성로 409-14</t>
        </is>
      </c>
      <c r="G148" s="17" t="inlineStr">
        <is>
          <t>경기도 안성시 양성면 양성로 409-14</t>
        </is>
      </c>
      <c r="H148" s="17" t="inlineStr">
        <is>
          <t>안성</t>
        </is>
      </c>
      <c r="I148" s="23" t="inlineStr">
        <is>
          <t>1837</t>
        </is>
      </c>
      <c r="J148" s="17" t="inlineStr">
        <is>
          <t>1</t>
        </is>
      </c>
      <c r="K148" s="17" t="inlineStr">
        <is>
          <t>완제의약품</t>
        </is>
      </c>
      <c r="L148" s="17" t="inlineStr">
        <is>
          <t>비무균-일반제제(의료용 고압가스)-가스제(의료용 고압가스)</t>
        </is>
      </c>
      <c r="M148" s="24" t="n">
        <v>47024</v>
      </c>
      <c r="N148" s="17" t="inlineStr"/>
      <c r="O148" s="17" t="inlineStr"/>
      <c r="P148" s="17" t="inlineStr">
        <is>
          <t>경기도</t>
        </is>
      </c>
      <c r="Q148" s="17" t="inlineStr">
        <is>
          <t>안성시</t>
        </is>
      </c>
      <c r="R148" s="17" t="inlineStr">
        <is>
          <t>GMP공장소재지</t>
        </is>
      </c>
      <c r="S148" s="17" t="n">
        <v>90</v>
      </c>
      <c r="T148" s="17" t="inlineStr">
        <is>
          <t>Y</t>
        </is>
      </c>
      <c r="U148" s="17" t="n">
        <v>1</v>
      </c>
      <c r="V148" s="24" t="n">
        <v>47024</v>
      </c>
      <c r="W148" s="17" t="inlineStr"/>
      <c r="X148" s="17" t="inlineStr"/>
      <c r="Y148" s="17" t="inlineStr">
        <is>
          <t>회사키+주소</t>
        </is>
      </c>
      <c r="Z148" s="17" t="n">
        <v>90</v>
      </c>
      <c r="AA148" s="17" t="inlineStr"/>
    </row>
    <row r="149">
      <c r="A149" s="30" t="inlineStr">
        <is>
          <t>S148</t>
        </is>
      </c>
      <c r="B149" s="17" t="inlineStr">
        <is>
          <t>P132</t>
        </is>
      </c>
      <c r="C149" s="17" t="inlineStr">
        <is>
          <t>하나제약</t>
        </is>
      </c>
      <c r="D149" s="17" t="inlineStr">
        <is>
          <t>하나제약(주)</t>
        </is>
      </c>
      <c r="E149" s="17" t="inlineStr">
        <is>
          <t>경기도 화성시 만세구 향남읍 제약단지로 13-39</t>
        </is>
      </c>
      <c r="F149" s="17" t="inlineStr">
        <is>
          <t>경기도 화성시 만세구 향남읍 제약단지로 13-39</t>
        </is>
      </c>
      <c r="G149" s="17" t="inlineStr">
        <is>
          <t>경기도 화성시 만세구 향남읍 제약단지로 13-39</t>
        </is>
      </c>
      <c r="H149" s="17" t="inlineStr">
        <is>
          <t>화성하길공장</t>
        </is>
      </c>
      <c r="I149" s="23" t="inlineStr">
        <is>
          <t>1371</t>
        </is>
      </c>
      <c r="J149" s="17" t="inlineStr">
        <is>
          <t>2</t>
        </is>
      </c>
      <c r="K149" s="17" t="inlineStr">
        <is>
          <t>완제의약품</t>
        </is>
      </c>
      <c r="L149" s="17" t="inlineStr">
        <is>
          <t>비무균-일반제제-내용고형제(정제, 캡슐제), 무균-일반제제-주사제(주사제, 동결건조주사제)</t>
        </is>
      </c>
      <c r="M149" s="24" t="n">
        <v>47024</v>
      </c>
      <c r="N149" s="17" t="inlineStr">
        <is>
          <t>Y</t>
        </is>
      </c>
      <c r="O149" s="17" t="inlineStr"/>
      <c r="P149" s="17" t="inlineStr">
        <is>
          <t>경기도</t>
        </is>
      </c>
      <c r="Q149" s="17" t="inlineStr">
        <is>
          <t>화성시</t>
        </is>
      </c>
      <c r="R149" s="17" t="inlineStr">
        <is>
          <t>GMP공장소재지</t>
        </is>
      </c>
      <c r="S149" s="17" t="n">
        <v>90</v>
      </c>
      <c r="T149" s="17" t="inlineStr">
        <is>
          <t>Y</t>
        </is>
      </c>
      <c r="U149" s="17" t="n">
        <v>1</v>
      </c>
      <c r="V149" s="24" t="n">
        <v>47024</v>
      </c>
      <c r="W149" s="17" t="inlineStr"/>
      <c r="X149" s="17" t="inlineStr"/>
      <c r="Y149" s="17" t="inlineStr">
        <is>
          <t>회사키+주소</t>
        </is>
      </c>
      <c r="Z149" s="17" t="n">
        <v>90</v>
      </c>
      <c r="AA149" s="17" t="inlineStr"/>
    </row>
    <row r="150">
      <c r="A150" s="30" t="inlineStr">
        <is>
          <t>S149</t>
        </is>
      </c>
      <c r="B150" s="17" t="inlineStr">
        <is>
          <t>P133</t>
        </is>
      </c>
      <c r="C150" s="17" t="inlineStr">
        <is>
          <t>맥널티제약</t>
        </is>
      </c>
      <c r="D150" s="17" t="inlineStr">
        <is>
          <t>맥널티제약(주)</t>
        </is>
      </c>
      <c r="E150" s="17" t="inlineStr">
        <is>
          <t>충청남도 천안시 서북구 성환읍 율금3길 46</t>
        </is>
      </c>
      <c r="F150" s="17" t="inlineStr">
        <is>
          <t>충청남도 천안시 서북구 성환읍 율금3길 46</t>
        </is>
      </c>
      <c r="G150" s="17" t="inlineStr">
        <is>
          <t>충청남도 천안시 서북구 성환읍 율금3길 46</t>
        </is>
      </c>
      <c r="H150" s="17" t="inlineStr">
        <is>
          <t>천안</t>
        </is>
      </c>
      <c r="I150" s="23" t="inlineStr">
        <is>
          <t>1524</t>
        </is>
      </c>
      <c r="J150" s="17" t="inlineStr">
        <is>
          <t>2</t>
        </is>
      </c>
      <c r="K150" s="17" t="inlineStr">
        <is>
          <t>완제의약품</t>
        </is>
      </c>
      <c r="L150" s="17" t="inlineStr">
        <is>
          <t>비무균-일반제제-내용고형제(정제, 캡슐제), 비무균-일반제제-내용액제(경구용액제, 시럽제(액상))</t>
        </is>
      </c>
      <c r="M150" s="24" t="n">
        <v>47018</v>
      </c>
      <c r="N150" s="17" t="inlineStr"/>
      <c r="O150" s="17" t="inlineStr"/>
      <c r="P150" s="17" t="inlineStr">
        <is>
          <t>충청남도</t>
        </is>
      </c>
      <c r="Q150" s="17" t="inlineStr">
        <is>
          <t>천안시</t>
        </is>
      </c>
      <c r="R150" s="17" t="inlineStr">
        <is>
          <t>GMP공장소재지</t>
        </is>
      </c>
      <c r="S150" s="17" t="n">
        <v>90</v>
      </c>
      <c r="T150" s="17" t="inlineStr">
        <is>
          <t>Y</t>
        </is>
      </c>
      <c r="U150" s="17" t="n">
        <v>1</v>
      </c>
      <c r="V150" s="24" t="n">
        <v>47018</v>
      </c>
      <c r="W150" s="17" t="inlineStr"/>
      <c r="X150" s="17" t="inlineStr"/>
      <c r="Y150" s="17" t="inlineStr">
        <is>
          <t>회사키+주소</t>
        </is>
      </c>
      <c r="Z150" s="17" t="n">
        <v>90</v>
      </c>
      <c r="AA150" s="17" t="inlineStr"/>
    </row>
    <row r="151">
      <c r="A151" s="30" t="inlineStr">
        <is>
          <t>S150</t>
        </is>
      </c>
      <c r="B151" s="17" t="inlineStr">
        <is>
          <t>P134</t>
        </is>
      </c>
      <c r="C151" s="17" t="inlineStr">
        <is>
          <t>대한특수가스</t>
        </is>
      </c>
      <c r="D151" s="17" t="inlineStr">
        <is>
          <t>(주)대한특수가스</t>
        </is>
      </c>
      <c r="E151" s="17" t="inlineStr">
        <is>
          <t>경기도 김포시 하성면 하성로 710</t>
        </is>
      </c>
      <c r="F151" s="17" t="inlineStr">
        <is>
          <t>경기도 김포시 하성면 하성로 710</t>
        </is>
      </c>
      <c r="G151" s="17" t="inlineStr">
        <is>
          <t>경기도 김포시 하성면 하성로 710</t>
        </is>
      </c>
      <c r="H151" s="17" t="inlineStr">
        <is>
          <t>1공장</t>
        </is>
      </c>
      <c r="I151" s="23" t="inlineStr">
        <is>
          <t>337</t>
        </is>
      </c>
      <c r="J151" s="17" t="inlineStr">
        <is>
          <t>1</t>
        </is>
      </c>
      <c r="K151" s="17" t="inlineStr">
        <is>
          <t>완제의약품</t>
        </is>
      </c>
      <c r="L151" s="17" t="inlineStr">
        <is>
          <t>비무균-일반제제(의료용 고압가스)-가스제(의료용 고압가스)</t>
        </is>
      </c>
      <c r="M151" s="24" t="n">
        <v>47017</v>
      </c>
      <c r="N151" s="17" t="inlineStr"/>
      <c r="O151" s="17" t="inlineStr"/>
      <c r="P151" s="17" t="inlineStr">
        <is>
          <t>경기도</t>
        </is>
      </c>
      <c r="Q151" s="17" t="inlineStr">
        <is>
          <t>김포시</t>
        </is>
      </c>
      <c r="R151" s="17" t="inlineStr">
        <is>
          <t>GMP공장소재지</t>
        </is>
      </c>
      <c r="S151" s="17" t="n">
        <v>90</v>
      </c>
      <c r="T151" s="17" t="inlineStr">
        <is>
          <t>Y</t>
        </is>
      </c>
      <c r="U151" s="17" t="n">
        <v>1</v>
      </c>
      <c r="V151" s="24" t="n">
        <v>47017</v>
      </c>
      <c r="W151" s="17" t="inlineStr"/>
      <c r="X151" s="17" t="inlineStr"/>
      <c r="Y151" s="17" t="inlineStr">
        <is>
          <t>회사키+주소</t>
        </is>
      </c>
      <c r="Z151" s="17" t="n">
        <v>90</v>
      </c>
      <c r="AA151" s="17" t="inlineStr"/>
    </row>
    <row r="152">
      <c r="A152" s="30" t="inlineStr">
        <is>
          <t>S151</t>
        </is>
      </c>
      <c r="B152" s="17" t="inlineStr">
        <is>
          <t>P135</t>
        </is>
      </c>
      <c r="C152" s="17" t="inlineStr">
        <is>
          <t>에스케이바이오텍</t>
        </is>
      </c>
      <c r="D152" s="17" t="inlineStr">
        <is>
          <t>에스케이바이오텍(주)</t>
        </is>
      </c>
      <c r="E152" s="17" t="inlineStr">
        <is>
          <t>세종특별자치시 연동면 명학산단로 80</t>
        </is>
      </c>
      <c r="F152" s="17" t="inlineStr">
        <is>
          <t>세종특별자치시 연동면 명학산단로 80</t>
        </is>
      </c>
      <c r="G152" s="17" t="inlineStr">
        <is>
          <t>세종특별자치시 연동면 명학산단로 80</t>
        </is>
      </c>
      <c r="H152" s="17" t="inlineStr">
        <is>
          <t>세종공장</t>
        </is>
      </c>
      <c r="I152" s="23" t="inlineStr">
        <is>
          <t>940</t>
        </is>
      </c>
      <c r="J152" s="17" t="inlineStr">
        <is>
          <t>2</t>
        </is>
      </c>
      <c r="K152" s="17" t="inlineStr">
        <is>
          <t>원료의약품</t>
        </is>
      </c>
      <c r="L152" s="17" t="inlineStr">
        <is>
          <t>비무균-일반제제-합성</t>
        </is>
      </c>
      <c r="M152" s="24" t="n">
        <v>47014</v>
      </c>
      <c r="N152" s="17" t="inlineStr"/>
      <c r="O152" s="17" t="inlineStr"/>
      <c r="P152" s="17" t="inlineStr">
        <is>
          <t>세종특별자치시</t>
        </is>
      </c>
      <c r="Q152" s="17" t="inlineStr">
        <is>
          <t>세종특별자치시</t>
        </is>
      </c>
      <c r="R152" s="17" t="inlineStr">
        <is>
          <t>GMP공장소재지</t>
        </is>
      </c>
      <c r="S152" s="17" t="n">
        <v>90</v>
      </c>
      <c r="T152" s="17" t="inlineStr">
        <is>
          <t>Y</t>
        </is>
      </c>
      <c r="U152" s="17" t="n">
        <v>1</v>
      </c>
      <c r="V152" s="24" t="n">
        <v>47014</v>
      </c>
      <c r="W152" s="17" t="inlineStr"/>
      <c r="X152" s="17" t="inlineStr"/>
      <c r="Y152" s="17" t="inlineStr">
        <is>
          <t>회사키+주소</t>
        </is>
      </c>
      <c r="Z152" s="17" t="n">
        <v>90</v>
      </c>
      <c r="AA152" s="17" t="inlineStr"/>
    </row>
    <row r="153">
      <c r="A153" s="30" t="inlineStr">
        <is>
          <t>S152</t>
        </is>
      </c>
      <c r="B153" s="17" t="inlineStr">
        <is>
          <t>P136</t>
        </is>
      </c>
      <c r="C153" s="17" t="inlineStr">
        <is>
          <t>메디톡스</t>
        </is>
      </c>
      <c r="D153" s="17" t="inlineStr">
        <is>
          <t>(주)메디톡스</t>
        </is>
      </c>
      <c r="E153" s="17" t="inlineStr">
        <is>
          <t>충청북도 청주시 흥덕구 오송읍 오송생명4로 102</t>
        </is>
      </c>
      <c r="F153" s="17" t="inlineStr">
        <is>
          <t>충청북도 청주시 흥덕구 오송읍 오송생명4로 102</t>
        </is>
      </c>
      <c r="G153" s="17" t="inlineStr">
        <is>
          <t>충청북도 청주시 흥덕구 오송읍 오송생명4로 102</t>
        </is>
      </c>
      <c r="H153" s="17" t="inlineStr">
        <is>
          <t>오송 3공장</t>
        </is>
      </c>
      <c r="I153" s="23" t="inlineStr">
        <is>
          <t>2454</t>
        </is>
      </c>
      <c r="J153" s="17" t="inlineStr">
        <is>
          <t>3</t>
        </is>
      </c>
      <c r="K153" s="17" t="inlineStr">
        <is>
          <t>완제의약품</t>
        </is>
      </c>
      <c r="L153" s="17" t="inlineStr">
        <is>
          <t>생물-독소-주사제(동결건조주사제)</t>
        </is>
      </c>
      <c r="M153" s="24" t="n">
        <v>47011</v>
      </c>
      <c r="N153" s="17" t="inlineStr">
        <is>
          <t>Y</t>
        </is>
      </c>
      <c r="O153" s="17" t="inlineStr">
        <is>
          <t>Y</t>
        </is>
      </c>
      <c r="P153" s="17" t="inlineStr">
        <is>
          <t>충청북도</t>
        </is>
      </c>
      <c r="Q153" s="17" t="inlineStr">
        <is>
          <t>청주시</t>
        </is>
      </c>
      <c r="R153" s="17" t="inlineStr">
        <is>
          <t>GMP공장소재지</t>
        </is>
      </c>
      <c r="S153" s="17" t="n">
        <v>90</v>
      </c>
      <c r="T153" s="17" t="inlineStr">
        <is>
          <t>Y</t>
        </is>
      </c>
      <c r="U153" s="17" t="n">
        <v>1</v>
      </c>
      <c r="V153" s="24" t="n">
        <v>47011</v>
      </c>
      <c r="W153" s="17" t="inlineStr"/>
      <c r="X153" s="17" t="inlineStr"/>
      <c r="Y153" s="17" t="inlineStr">
        <is>
          <t>회사키+주소</t>
        </is>
      </c>
      <c r="Z153" s="17" t="n">
        <v>90</v>
      </c>
      <c r="AA153" s="17" t="inlineStr"/>
    </row>
    <row r="154">
      <c r="A154" s="30" t="inlineStr">
        <is>
          <t>S153</t>
        </is>
      </c>
      <c r="B154" s="17" t="inlineStr">
        <is>
          <t>P137</t>
        </is>
      </c>
      <c r="C154" s="17" t="inlineStr">
        <is>
          <t>한올바이오파마</t>
        </is>
      </c>
      <c r="D154" s="17" t="inlineStr">
        <is>
          <t>한올바이오파마(주)</t>
        </is>
      </c>
      <c r="E154" s="17" t="inlineStr">
        <is>
          <t>대전광역시 대덕구 상서당1길 43</t>
        </is>
      </c>
      <c r="F154" s="17" t="inlineStr">
        <is>
          <t>대전광역시 대덕구 상서당1길 43</t>
        </is>
      </c>
      <c r="G154" s="17" t="inlineStr">
        <is>
          <t>대전광역시 대덕구 상서당1길 43</t>
        </is>
      </c>
      <c r="H154" s="17" t="inlineStr">
        <is>
          <t>대전</t>
        </is>
      </c>
      <c r="I154" s="23" t="inlineStr">
        <is>
          <t>1297</t>
        </is>
      </c>
      <c r="J154" s="17" t="inlineStr">
        <is>
          <t>1</t>
        </is>
      </c>
      <c r="K154" s="17" t="inlineStr">
        <is>
          <t>완제의약품</t>
        </is>
      </c>
      <c r="L154" s="17" t="inlineStr">
        <is>
          <t>비무균-일반제제-내용고형제(정제, 캡슐제), 무균-일반제제-주사제(주사제, 수액제), 비무균-일반제제-연고제(연고제, 크림제, 겔제)</t>
        </is>
      </c>
      <c r="M154" s="24" t="n">
        <v>47003</v>
      </c>
      <c r="N154" s="17" t="inlineStr">
        <is>
          <t>Y</t>
        </is>
      </c>
      <c r="O154" s="17" t="inlineStr"/>
      <c r="P154" s="17" t="inlineStr">
        <is>
          <t>대전광역시</t>
        </is>
      </c>
      <c r="Q154" s="17" t="inlineStr">
        <is>
          <t>대덕구</t>
        </is>
      </c>
      <c r="R154" s="17" t="inlineStr">
        <is>
          <t>GMP공장소재지</t>
        </is>
      </c>
      <c r="S154" s="17" t="n">
        <v>90</v>
      </c>
      <c r="T154" s="17" t="inlineStr">
        <is>
          <t>Y</t>
        </is>
      </c>
      <c r="U154" s="17" t="n">
        <v>1</v>
      </c>
      <c r="V154" s="24" t="n">
        <v>47003</v>
      </c>
      <c r="W154" s="17" t="inlineStr"/>
      <c r="X154" s="17" t="inlineStr"/>
      <c r="Y154" s="17" t="inlineStr">
        <is>
          <t>회사키+주소</t>
        </is>
      </c>
      <c r="Z154" s="17" t="n">
        <v>90</v>
      </c>
      <c r="AA154" s="17" t="inlineStr"/>
    </row>
    <row r="155">
      <c r="A155" s="30" t="inlineStr">
        <is>
          <t>S154</t>
        </is>
      </c>
      <c r="B155" s="17" t="inlineStr">
        <is>
          <t>P138</t>
        </is>
      </c>
      <c r="C155" s="17" t="inlineStr">
        <is>
          <t>하원제약</t>
        </is>
      </c>
      <c r="D155" s="17" t="inlineStr">
        <is>
          <t>(주)하원제약</t>
        </is>
      </c>
      <c r="E155" s="17" t="inlineStr">
        <is>
          <t>경기도 평택시 진위면 가곡길 42</t>
        </is>
      </c>
      <c r="F155" s="17" t="inlineStr">
        <is>
          <t>경기도 평택시 진위면 가곡길 42</t>
        </is>
      </c>
      <c r="G155" s="17" t="inlineStr">
        <is>
          <t>경기도 평택시 진위면 가곡길 42</t>
        </is>
      </c>
      <c r="H155" s="17" t="inlineStr">
        <is>
          <t>평택공장</t>
        </is>
      </c>
      <c r="I155" s="23" t="inlineStr">
        <is>
          <t>1447</t>
        </is>
      </c>
      <c r="J155" s="17" t="inlineStr">
        <is>
          <t>1</t>
        </is>
      </c>
      <c r="K155" s="17" t="inlineStr">
        <is>
          <t>완제의약품</t>
        </is>
      </c>
      <c r="L155" s="17" t="inlineStr">
        <is>
          <t>비무균-일반제제-내용고형제(정제, 캡슐제)</t>
        </is>
      </c>
      <c r="M155" s="24" t="n">
        <v>47002</v>
      </c>
      <c r="N155" s="17" t="inlineStr"/>
      <c r="O155" s="17" t="inlineStr"/>
      <c r="P155" s="17" t="inlineStr">
        <is>
          <t>경기도</t>
        </is>
      </c>
      <c r="Q155" s="17" t="inlineStr">
        <is>
          <t>평택시</t>
        </is>
      </c>
      <c r="R155" s="17" t="inlineStr">
        <is>
          <t>GMP공장소재지</t>
        </is>
      </c>
      <c r="S155" s="17" t="n">
        <v>90</v>
      </c>
      <c r="T155" s="17" t="inlineStr">
        <is>
          <t>Y</t>
        </is>
      </c>
      <c r="U155" s="17" t="n">
        <v>1</v>
      </c>
      <c r="V155" s="24" t="n">
        <v>47002</v>
      </c>
      <c r="W155" s="17" t="inlineStr"/>
      <c r="X155" s="17" t="inlineStr"/>
      <c r="Y155" s="17" t="inlineStr">
        <is>
          <t>회사키+주소</t>
        </is>
      </c>
      <c r="Z155" s="17" t="n">
        <v>90</v>
      </c>
      <c r="AA155" s="17" t="inlineStr"/>
    </row>
    <row r="156">
      <c r="A156" s="30" t="inlineStr">
        <is>
          <t>S155</t>
        </is>
      </c>
      <c r="B156" s="17" t="inlineStr">
        <is>
          <t>P139</t>
        </is>
      </c>
      <c r="C156" s="17" t="inlineStr">
        <is>
          <t>옵투스제약</t>
        </is>
      </c>
      <c r="D156" s="17" t="inlineStr">
        <is>
          <t>(주)옵투스제약</t>
        </is>
      </c>
      <c r="E156" s="17" t="inlineStr">
        <is>
          <t>충청북도 청주시 흥덕구 오송읍 오송생명6로 50</t>
        </is>
      </c>
      <c r="F156" s="17" t="inlineStr">
        <is>
          <t>충청북도 청주시 흥덕구 오송읍 오송생명10로 195</t>
        </is>
      </c>
      <c r="G156" s="17" t="inlineStr">
        <is>
          <t>충청북도 청주시 흥덕구 오송읍 오송생명6로 50</t>
        </is>
      </c>
      <c r="H156" s="17" t="inlineStr">
        <is>
          <t>2공장</t>
        </is>
      </c>
      <c r="I156" s="23" t="inlineStr">
        <is>
          <t>918</t>
        </is>
      </c>
      <c r="J156" s="17" t="inlineStr">
        <is>
          <t>3</t>
        </is>
      </c>
      <c r="K156" s="17" t="inlineStr">
        <is>
          <t>완제의약품</t>
        </is>
      </c>
      <c r="L156" s="17" t="inlineStr">
        <is>
          <t>무균-일반제제-점안제(점안제)</t>
        </is>
      </c>
      <c r="M156" s="24" t="n">
        <v>46997</v>
      </c>
      <c r="N156" s="17" t="inlineStr">
        <is>
          <t>Y</t>
        </is>
      </c>
      <c r="O156" s="17" t="inlineStr"/>
      <c r="P156" s="17" t="inlineStr">
        <is>
          <t>충청북도</t>
        </is>
      </c>
      <c r="Q156" s="17" t="inlineStr">
        <is>
          <t>청주시</t>
        </is>
      </c>
      <c r="R156" s="17" t="inlineStr">
        <is>
          <t>GMP공장소재지</t>
        </is>
      </c>
      <c r="S156" s="17" t="n">
        <v>90</v>
      </c>
      <c r="T156" s="17" t="inlineStr">
        <is>
          <t>Y</t>
        </is>
      </c>
      <c r="U156" s="17" t="n">
        <v>1</v>
      </c>
      <c r="V156" s="24" t="n">
        <v>46997</v>
      </c>
      <c r="W156" s="17" t="inlineStr"/>
      <c r="X156" s="17" t="inlineStr"/>
      <c r="Y156" s="17" t="inlineStr">
        <is>
          <t>회사키+주소</t>
        </is>
      </c>
      <c r="Z156" s="17" t="n">
        <v>90</v>
      </c>
      <c r="AA156" s="17" t="inlineStr"/>
    </row>
    <row r="157">
      <c r="A157" s="30" t="inlineStr">
        <is>
          <t>S156</t>
        </is>
      </c>
      <c r="B157" s="17" t="inlineStr">
        <is>
          <t>P140</t>
        </is>
      </c>
      <c r="C157" s="17" t="inlineStr">
        <is>
          <t>한국비엠아이</t>
        </is>
      </c>
      <c r="D157" s="17" t="inlineStr">
        <is>
          <t>(주)한국비엠아이</t>
        </is>
      </c>
      <c r="E157" s="17" t="inlineStr">
        <is>
          <t>제주특별자치도 제주시 첨단로7길 11</t>
        </is>
      </c>
      <c r="F157" s="17" t="inlineStr"/>
      <c r="G157" s="17" t="inlineStr">
        <is>
          <t>제주특별자치도 제주시 첨단로7길 11</t>
        </is>
      </c>
      <c r="H157" s="17" t="inlineStr">
        <is>
          <t>미확인</t>
        </is>
      </c>
      <c r="I157" s="23" t="inlineStr">
        <is>
          <t>1395</t>
        </is>
      </c>
      <c r="J157" s="17" t="inlineStr"/>
      <c r="K157" s="17" t="inlineStr">
        <is>
          <t>완제의약품</t>
        </is>
      </c>
      <c r="L157" s="17" t="inlineStr">
        <is>
          <t>비무균-일반제제-내용고형제(정제, 캡슐제), 무균-일반제제-주사제(주사제, 동결건조주사제, 관류제), 생물-독소-주사제(동결건조주사제), 생물-유전자재조합의약품-주사제(주사제), 비무균-일반제제-내용액제(경구용액제)</t>
        </is>
      </c>
      <c r="M157" s="24" t="n">
        <v>46997</v>
      </c>
      <c r="N157" s="17" t="inlineStr">
        <is>
          <t>Y</t>
        </is>
      </c>
      <c r="O157" s="17" t="inlineStr"/>
      <c r="P157" s="17" t="inlineStr">
        <is>
          <t>제주특별자치도</t>
        </is>
      </c>
      <c r="Q157" s="17" t="inlineStr">
        <is>
          <t>제주시</t>
        </is>
      </c>
      <c r="R157" s="17" t="inlineStr">
        <is>
          <t>GMP공장소재지</t>
        </is>
      </c>
      <c r="S157" s="17" t="n">
        <v>0</v>
      </c>
      <c r="T157" s="17" t="inlineStr">
        <is>
          <t>Y</t>
        </is>
      </c>
      <c r="U157" s="17" t="n">
        <v>2</v>
      </c>
      <c r="V157" s="24" t="n">
        <v>46997</v>
      </c>
      <c r="W157" s="17" t="inlineStr"/>
      <c r="X157" s="17" t="inlineStr"/>
      <c r="Y157" s="17" t="inlineStr">
        <is>
          <t>무매칭</t>
        </is>
      </c>
      <c r="Z157" s="17" t="n">
        <v>0</v>
      </c>
      <c r="AA157" s="17" t="inlineStr">
        <is>
          <t>Y</t>
        </is>
      </c>
    </row>
    <row r="158">
      <c r="A158" s="30" t="inlineStr">
        <is>
          <t>S157</t>
        </is>
      </c>
      <c r="B158" s="17" t="inlineStr">
        <is>
          <t>P140</t>
        </is>
      </c>
      <c r="C158" s="17" t="inlineStr">
        <is>
          <t>한국비엠아이</t>
        </is>
      </c>
      <c r="D158" s="17" t="inlineStr">
        <is>
          <t>(주)한국비엠아이</t>
        </is>
      </c>
      <c r="E158" s="17" t="inlineStr">
        <is>
          <t>제주특별자치도 제주시 첨단로7길 11</t>
        </is>
      </c>
      <c r="F158" s="17" t="inlineStr"/>
      <c r="G158" s="17" t="inlineStr">
        <is>
          <t>제주특별자치도 제주시 첨단로7길 11</t>
        </is>
      </c>
      <c r="H158" s="17" t="inlineStr">
        <is>
          <t>미확인</t>
        </is>
      </c>
      <c r="I158" s="23" t="inlineStr">
        <is>
          <t>1395</t>
        </is>
      </c>
      <c r="J158" s="17" t="inlineStr"/>
      <c r="K158" s="17" t="inlineStr">
        <is>
          <t>원료의약품</t>
        </is>
      </c>
      <c r="L158" s="17" t="inlineStr">
        <is>
          <t>무균-일반제제-합성, 비무균-일반제제-추출, 생물-독소-(배양, 정제, 원액 제조)</t>
        </is>
      </c>
      <c r="M158" s="24" t="n">
        <v>46997</v>
      </c>
      <c r="N158" s="17" t="inlineStr">
        <is>
          <t>Y</t>
        </is>
      </c>
      <c r="O158" s="17" t="inlineStr"/>
      <c r="P158" s="17" t="inlineStr">
        <is>
          <t>제주특별자치도</t>
        </is>
      </c>
      <c r="Q158" s="17" t="inlineStr">
        <is>
          <t>제주시</t>
        </is>
      </c>
      <c r="R158" s="17" t="inlineStr">
        <is>
          <t>GMP공장소재지</t>
        </is>
      </c>
      <c r="S158" s="17" t="n">
        <v>0</v>
      </c>
      <c r="T158" s="17" t="inlineStr">
        <is>
          <t>N</t>
        </is>
      </c>
      <c r="U158" s="17" t="n">
        <v>2</v>
      </c>
      <c r="V158" s="24" t="n">
        <v>46997</v>
      </c>
      <c r="W158" s="17" t="inlineStr"/>
      <c r="X158" s="17" t="inlineStr"/>
      <c r="Y158" s="17" t="inlineStr">
        <is>
          <t>무매칭</t>
        </is>
      </c>
      <c r="Z158" s="17" t="n">
        <v>0</v>
      </c>
      <c r="AA158" s="17" t="inlineStr">
        <is>
          <t>Y</t>
        </is>
      </c>
    </row>
    <row r="159">
      <c r="A159" s="30" t="inlineStr">
        <is>
          <t>S158</t>
        </is>
      </c>
      <c r="B159" s="17" t="inlineStr">
        <is>
          <t>P141</t>
        </is>
      </c>
      <c r="C159" s="17" t="inlineStr">
        <is>
          <t>바스칸바이오제약</t>
        </is>
      </c>
      <c r="D159" s="17" t="inlineStr">
        <is>
          <t>(주)바스칸바이오제약</t>
        </is>
      </c>
      <c r="E159" s="17" t="inlineStr">
        <is>
          <t>경기도 안성시 원곡면 원당로 354</t>
        </is>
      </c>
      <c r="F159" s="17" t="inlineStr"/>
      <c r="G159" s="17" t="inlineStr">
        <is>
          <t>경기도 안성시 원곡면 원당로 354</t>
        </is>
      </c>
      <c r="H159" s="17" t="inlineStr">
        <is>
          <t>미확인</t>
        </is>
      </c>
      <c r="I159" s="23" t="inlineStr">
        <is>
          <t>1412</t>
        </is>
      </c>
      <c r="J159" s="17" t="inlineStr"/>
      <c r="K159" s="17" t="inlineStr">
        <is>
          <t>완제의약품</t>
        </is>
      </c>
      <c r="L159" s="17" t="inlineStr">
        <is>
          <t>비무균-일반제제-내용고형제(정제, 캡슐제)</t>
        </is>
      </c>
      <c r="M159" s="24" t="n">
        <v>46997</v>
      </c>
      <c r="N159" s="17" t="inlineStr"/>
      <c r="O159" s="17" t="inlineStr"/>
      <c r="P159" s="17" t="inlineStr">
        <is>
          <t>경기도</t>
        </is>
      </c>
      <c r="Q159" s="17" t="inlineStr">
        <is>
          <t>안성시</t>
        </is>
      </c>
      <c r="R159" s="17" t="inlineStr">
        <is>
          <t>GMP공장소재지</t>
        </is>
      </c>
      <c r="S159" s="17" t="n">
        <v>0</v>
      </c>
      <c r="T159" s="17" t="inlineStr">
        <is>
          <t>Y</t>
        </is>
      </c>
      <c r="U159" s="17" t="n">
        <v>1</v>
      </c>
      <c r="V159" s="24" t="n">
        <v>46997</v>
      </c>
      <c r="W159" s="17" t="inlineStr"/>
      <c r="X159" s="17" t="inlineStr"/>
      <c r="Y159" s="17" t="inlineStr">
        <is>
          <t>무매칭</t>
        </is>
      </c>
      <c r="Z159" s="17" t="n">
        <v>0</v>
      </c>
      <c r="AA159" s="17" t="inlineStr">
        <is>
          <t>Y</t>
        </is>
      </c>
    </row>
    <row r="160">
      <c r="A160" s="30" t="inlineStr">
        <is>
          <t>S159</t>
        </is>
      </c>
      <c r="B160" s="17" t="inlineStr">
        <is>
          <t>P142</t>
        </is>
      </c>
      <c r="C160" s="17" t="inlineStr">
        <is>
          <t>듀켐바이오</t>
        </is>
      </c>
      <c r="D160" s="17" t="inlineStr">
        <is>
          <t>(주)듀켐바이오</t>
        </is>
      </c>
      <c r="E160" s="17" t="inlineStr">
        <is>
          <t>부산광역시 서구 대신공원로 26 동아대학교 병원 센터동 지하1층 Cyclotron센터</t>
        </is>
      </c>
      <c r="F160" s="17" t="inlineStr">
        <is>
          <t>부산광역시 서구 대신공원로 26 동아대학교 병원 센터동 지하1층 Cyclotron센터</t>
        </is>
      </c>
      <c r="G160" s="17" t="inlineStr">
        <is>
          <t>부산광역시 서구 대신공원로 26 동아대학교 병원 센터동 지하1층 Cyclotron센터</t>
        </is>
      </c>
      <c r="H160" s="17" t="inlineStr">
        <is>
          <t>10공장(부산)</t>
        </is>
      </c>
      <c r="I160" s="23" t="inlineStr">
        <is>
          <t>2437</t>
        </is>
      </c>
      <c r="J160" s="17" t="inlineStr">
        <is>
          <t>10</t>
        </is>
      </c>
      <c r="K160" s="17" t="inlineStr">
        <is>
          <t>완제의약품</t>
        </is>
      </c>
      <c r="L160" s="17" t="inlineStr">
        <is>
          <t>무균-일반제제(방사성의약품)-주사제(주사제)</t>
        </is>
      </c>
      <c r="M160" s="24" t="n">
        <v>46990</v>
      </c>
      <c r="N160" s="17" t="inlineStr">
        <is>
          <t>Y</t>
        </is>
      </c>
      <c r="O160" s="17" t="inlineStr"/>
      <c r="P160" s="17" t="inlineStr">
        <is>
          <t>부산광역시</t>
        </is>
      </c>
      <c r="Q160" s="17" t="inlineStr">
        <is>
          <t>서구</t>
        </is>
      </c>
      <c r="R160" s="17" t="inlineStr">
        <is>
          <t>GMP공장소재지</t>
        </is>
      </c>
      <c r="S160" s="17" t="n">
        <v>90</v>
      </c>
      <c r="T160" s="17" t="inlineStr">
        <is>
          <t>Y</t>
        </is>
      </c>
      <c r="U160" s="17" t="n">
        <v>1</v>
      </c>
      <c r="V160" s="24" t="n">
        <v>46990</v>
      </c>
      <c r="W160" s="17" t="inlineStr"/>
      <c r="X160" s="17" t="inlineStr"/>
      <c r="Y160" s="17" t="inlineStr">
        <is>
          <t>회사키+주소</t>
        </is>
      </c>
      <c r="Z160" s="17" t="n">
        <v>90</v>
      </c>
      <c r="AA160" s="17" t="inlineStr"/>
    </row>
    <row r="161">
      <c r="A161" s="30" t="inlineStr">
        <is>
          <t>S160</t>
        </is>
      </c>
      <c r="B161" s="17" t="inlineStr">
        <is>
          <t>P143</t>
        </is>
      </c>
      <c r="C161" s="17" t="inlineStr">
        <is>
          <t>켐포트</t>
        </is>
      </c>
      <c r="D161" s="17" t="inlineStr">
        <is>
          <t>(주)켐포트</t>
        </is>
      </c>
      <c r="E161" s="17" t="inlineStr">
        <is>
          <t>전라남도 나주시 동수농공단지길 30-51 실험실: 전라남도 목포시 고하대로719번길 52 연구동 2층 (주)켐포트 실험실(목포지점)</t>
        </is>
      </c>
      <c r="F161" s="17" t="inlineStr">
        <is>
          <t>전라남도 나주시 동수농공단지길 30-51 실험실: 전라남도 목포시 고하대로719번길 52 연구동 2층 (주)켐포트 실험실(목포지점)</t>
        </is>
      </c>
      <c r="G161" s="17" t="inlineStr">
        <is>
          <t>전라남도 나주시 동수농공단지길 30-51 실험실: 전라남도 목포시 고하대로719번길 52 연구동 2층 (주)켐포트 실험실(목포지점)</t>
        </is>
      </c>
      <c r="H161" s="17" t="inlineStr">
        <is>
          <t>제1공장</t>
        </is>
      </c>
      <c r="I161" s="23" t="inlineStr">
        <is>
          <t>3</t>
        </is>
      </c>
      <c r="J161" s="17" t="inlineStr">
        <is>
          <t>1</t>
        </is>
      </c>
      <c r="K161" s="17" t="inlineStr">
        <is>
          <t>원료의약품</t>
        </is>
      </c>
      <c r="L161" s="17" t="inlineStr">
        <is>
          <t>비무균-일반제제-추출</t>
        </is>
      </c>
      <c r="M161" s="24" t="n">
        <v>46990</v>
      </c>
      <c r="N161" s="17" t="inlineStr"/>
      <c r="O161" s="17" t="inlineStr"/>
      <c r="P161" s="17" t="inlineStr">
        <is>
          <t>전라남도</t>
        </is>
      </c>
      <c r="Q161" s="17" t="inlineStr">
        <is>
          <t>나주시</t>
        </is>
      </c>
      <c r="R161" s="17" t="inlineStr">
        <is>
          <t>GMP공장소재지</t>
        </is>
      </c>
      <c r="S161" s="17" t="n">
        <v>90</v>
      </c>
      <c r="T161" s="17" t="inlineStr">
        <is>
          <t>Y</t>
        </is>
      </c>
      <c r="U161" s="17" t="n">
        <v>1</v>
      </c>
      <c r="V161" s="24" t="n">
        <v>46990</v>
      </c>
      <c r="W161" s="17" t="inlineStr"/>
      <c r="X161" s="17" t="inlineStr"/>
      <c r="Y161" s="17" t="inlineStr">
        <is>
          <t>회사키+주소</t>
        </is>
      </c>
      <c r="Z161" s="17" t="n">
        <v>90</v>
      </c>
      <c r="AA161" s="17" t="inlineStr"/>
    </row>
    <row r="162">
      <c r="A162" s="30" t="inlineStr">
        <is>
          <t>S161</t>
        </is>
      </c>
      <c r="B162" s="17" t="inlineStr">
        <is>
          <t>P144</t>
        </is>
      </c>
      <c r="C162" s="17" t="inlineStr">
        <is>
          <t>한국오츠카제약</t>
        </is>
      </c>
      <c r="D162" s="17" t="inlineStr">
        <is>
          <t>한국오츠카제약(주)</t>
        </is>
      </c>
      <c r="E162" s="17" t="inlineStr">
        <is>
          <t>경기도 화성시 만세구 향남읍 제약공단3길 27</t>
        </is>
      </c>
      <c r="F162" s="17" t="inlineStr">
        <is>
          <t>경기도 화성시 만세구 향남읍 제약공단3길 27</t>
        </is>
      </c>
      <c r="G162" s="17" t="inlineStr">
        <is>
          <t>경기도 화성시 만세구 향남읍 제약공단3길 27</t>
        </is>
      </c>
      <c r="H162" s="17" t="inlineStr">
        <is>
          <t>화성</t>
        </is>
      </c>
      <c r="I162" s="23" t="inlineStr">
        <is>
          <t>1633</t>
        </is>
      </c>
      <c r="J162" s="17" t="inlineStr">
        <is>
          <t>1</t>
        </is>
      </c>
      <c r="K162" s="17" t="inlineStr">
        <is>
          <t>원료의약품</t>
        </is>
      </c>
      <c r="L162" s="17" t="inlineStr">
        <is>
          <t>비무균-일반제제-합성</t>
        </is>
      </c>
      <c r="M162" s="24" t="n">
        <v>46990</v>
      </c>
      <c r="N162" s="17" t="inlineStr"/>
      <c r="O162" s="17" t="inlineStr"/>
      <c r="P162" s="17" t="inlineStr">
        <is>
          <t>경기도</t>
        </is>
      </c>
      <c r="Q162" s="17" t="inlineStr">
        <is>
          <t>화성시</t>
        </is>
      </c>
      <c r="R162" s="17" t="inlineStr">
        <is>
          <t>GMP공장소재지</t>
        </is>
      </c>
      <c r="S162" s="17" t="n">
        <v>90</v>
      </c>
      <c r="T162" s="17" t="inlineStr">
        <is>
          <t>Y</t>
        </is>
      </c>
      <c r="U162" s="17" t="n">
        <v>2</v>
      </c>
      <c r="V162" s="24" t="n">
        <v>46990</v>
      </c>
      <c r="W162" s="17" t="inlineStr"/>
      <c r="X162" s="17" t="inlineStr"/>
      <c r="Y162" s="17" t="inlineStr">
        <is>
          <t>회사키+주소</t>
        </is>
      </c>
      <c r="Z162" s="17" t="n">
        <v>90</v>
      </c>
      <c r="AA162" s="17" t="inlineStr"/>
    </row>
    <row r="163">
      <c r="A163" s="30" t="inlineStr">
        <is>
          <t>S162</t>
        </is>
      </c>
      <c r="B163" s="17" t="inlineStr">
        <is>
          <t>P144</t>
        </is>
      </c>
      <c r="C163" s="17" t="inlineStr">
        <is>
          <t>한국오츠카제약</t>
        </is>
      </c>
      <c r="D163" s="17" t="inlineStr">
        <is>
          <t>한국오츠카제약(주)</t>
        </is>
      </c>
      <c r="E163" s="17" t="inlineStr">
        <is>
          <t>경기도 화성시 만세구 향남읍 제약공단3길 27</t>
        </is>
      </c>
      <c r="F163" s="17" t="inlineStr">
        <is>
          <t>경기도 화성시 만세구 향남읍 제약공단3길 27</t>
        </is>
      </c>
      <c r="G163" s="17" t="inlineStr">
        <is>
          <t>경기도 화성시 만세구 향남읍 제약공단3길 27</t>
        </is>
      </c>
      <c r="H163" s="17" t="inlineStr">
        <is>
          <t>화성</t>
        </is>
      </c>
      <c r="I163" s="23" t="inlineStr">
        <is>
          <t>1633</t>
        </is>
      </c>
      <c r="J163" s="17" t="inlineStr">
        <is>
          <t>1</t>
        </is>
      </c>
      <c r="K163" s="17" t="inlineStr">
        <is>
          <t>완제의약품</t>
        </is>
      </c>
      <c r="L163" s="17" t="inlineStr">
        <is>
          <t>비무균-일반제제-내용고형제(정제, 캡슐제), 비무균-일반제제-내용액제(경구용액제)</t>
        </is>
      </c>
      <c r="M163" s="24" t="n">
        <v>46990</v>
      </c>
      <c r="N163" s="17" t="inlineStr"/>
      <c r="O163" s="17" t="inlineStr"/>
      <c r="P163" s="17" t="inlineStr">
        <is>
          <t>경기도</t>
        </is>
      </c>
      <c r="Q163" s="17" t="inlineStr">
        <is>
          <t>화성시</t>
        </is>
      </c>
      <c r="R163" s="17" t="inlineStr">
        <is>
          <t>GMP공장소재지</t>
        </is>
      </c>
      <c r="S163" s="17" t="n">
        <v>90</v>
      </c>
      <c r="T163" s="17" t="inlineStr">
        <is>
          <t>N</t>
        </is>
      </c>
      <c r="U163" s="17" t="n">
        <v>2</v>
      </c>
      <c r="V163" s="24" t="n">
        <v>46990</v>
      </c>
      <c r="W163" s="17" t="inlineStr"/>
      <c r="X163" s="17" t="inlineStr"/>
      <c r="Y163" s="17" t="inlineStr">
        <is>
          <t>회사키+주소</t>
        </is>
      </c>
      <c r="Z163" s="17" t="n">
        <v>90</v>
      </c>
      <c r="AA163" s="17" t="inlineStr"/>
    </row>
    <row r="164">
      <c r="A164" s="30" t="inlineStr">
        <is>
          <t>S163</t>
        </is>
      </c>
      <c r="B164" s="17" t="inlineStr">
        <is>
          <t>P145</t>
        </is>
      </c>
      <c r="C164" s="17" t="inlineStr">
        <is>
          <t>알피바이오</t>
        </is>
      </c>
      <c r="D164" s="17" t="inlineStr">
        <is>
          <t>(주)알피바이오</t>
        </is>
      </c>
      <c r="E164" s="17" t="inlineStr">
        <is>
          <t>경기도 화성시 만세구 향남읍 제약공단4길 35-7</t>
        </is>
      </c>
      <c r="F164" s="17" t="inlineStr">
        <is>
          <t>경기도 화성시 만세구 향남읍 발안공단로4길 5 (보관소2)</t>
        </is>
      </c>
      <c r="G164" s="17" t="inlineStr">
        <is>
          <t>경기도 화성시 만세구 향남읍 제약공단4길 35-7</t>
        </is>
      </c>
      <c r="H164" s="17" t="inlineStr">
        <is>
          <t>화성(보관소2)</t>
        </is>
      </c>
      <c r="I164" s="23" t="inlineStr">
        <is>
          <t>1648</t>
        </is>
      </c>
      <c r="J164" s="17" t="inlineStr">
        <is>
          <t>3</t>
        </is>
      </c>
      <c r="K164" s="17" t="inlineStr">
        <is>
          <t>완제의약품</t>
        </is>
      </c>
      <c r="L164" s="17" t="inlineStr">
        <is>
          <t>비무균-일반제제-내용고형제(캡슐제, 경구용젤리제(반고형))</t>
        </is>
      </c>
      <c r="M164" s="24" t="n">
        <v>46990</v>
      </c>
      <c r="N164" s="17" t="inlineStr"/>
      <c r="O164" s="17" t="inlineStr"/>
      <c r="P164" s="17" t="inlineStr">
        <is>
          <t>경기도</t>
        </is>
      </c>
      <c r="Q164" s="17" t="inlineStr">
        <is>
          <t>화성시</t>
        </is>
      </c>
      <c r="R164" s="17" t="inlineStr">
        <is>
          <t>GMP공장소재지</t>
        </is>
      </c>
      <c r="S164" s="17" t="n">
        <v>90</v>
      </c>
      <c r="T164" s="17" t="inlineStr">
        <is>
          <t>Y</t>
        </is>
      </c>
      <c r="U164" s="17" t="n">
        <v>1</v>
      </c>
      <c r="V164" s="24" t="n">
        <v>46990</v>
      </c>
      <c r="W164" s="17" t="inlineStr"/>
      <c r="X164" s="17" t="inlineStr"/>
      <c r="Y164" s="17" t="inlineStr">
        <is>
          <t>회사키+주소</t>
        </is>
      </c>
      <c r="Z164" s="17" t="n">
        <v>90</v>
      </c>
      <c r="AA164" s="17" t="inlineStr"/>
    </row>
    <row r="165">
      <c r="A165" s="30" t="inlineStr">
        <is>
          <t>S164</t>
        </is>
      </c>
      <c r="B165" s="17" t="inlineStr">
        <is>
          <t>P146</t>
        </is>
      </c>
      <c r="C165" s="17" t="inlineStr">
        <is>
          <t>테라젠이텍스</t>
        </is>
      </c>
      <c r="D165" s="17" t="inlineStr">
        <is>
          <t>(주)테라젠이텍스</t>
        </is>
      </c>
      <c r="E165" s="17" t="inlineStr">
        <is>
          <t>경기도 안산시 단원구 산단로68번길 58</t>
        </is>
      </c>
      <c r="F165" s="17" t="inlineStr">
        <is>
          <t>경기도 안산시 단원구 산단로68번길 58</t>
        </is>
      </c>
      <c r="G165" s="17" t="inlineStr">
        <is>
          <t>경기도 안산시 단원구 산단로68번길 58</t>
        </is>
      </c>
      <c r="H165" s="17" t="inlineStr">
        <is>
          <t>안산</t>
        </is>
      </c>
      <c r="I165" s="23" t="inlineStr">
        <is>
          <t>1654</t>
        </is>
      </c>
      <c r="J165" s="17" t="inlineStr">
        <is>
          <t>1</t>
        </is>
      </c>
      <c r="K165" s="17" t="inlineStr">
        <is>
          <t>완제의약품</t>
        </is>
      </c>
      <c r="L165" s="17" t="inlineStr">
        <is>
          <t>비무균-일반제제-내용고형제(정제, 캡슐제, 트로키제), 비무균-일반제제-내용액제(시럽제(액상))</t>
        </is>
      </c>
      <c r="M165" s="24" t="n">
        <v>46990</v>
      </c>
      <c r="N165" s="17" t="inlineStr"/>
      <c r="O165" s="17" t="inlineStr"/>
      <c r="P165" s="17" t="inlineStr">
        <is>
          <t>경기도</t>
        </is>
      </c>
      <c r="Q165" s="17" t="inlineStr">
        <is>
          <t>안산시</t>
        </is>
      </c>
      <c r="R165" s="17" t="inlineStr">
        <is>
          <t>GMP공장소재지</t>
        </is>
      </c>
      <c r="S165" s="17" t="n">
        <v>90</v>
      </c>
      <c r="T165" s="17" t="inlineStr">
        <is>
          <t>Y</t>
        </is>
      </c>
      <c r="U165" s="17" t="n">
        <v>1</v>
      </c>
      <c r="V165" s="24" t="n">
        <v>46990</v>
      </c>
      <c r="W165" s="17" t="inlineStr"/>
      <c r="X165" s="17" t="inlineStr"/>
      <c r="Y165" s="17" t="inlineStr">
        <is>
          <t>회사키+주소</t>
        </is>
      </c>
      <c r="Z165" s="17" t="n">
        <v>90</v>
      </c>
      <c r="AA165" s="17" t="inlineStr"/>
    </row>
    <row r="166">
      <c r="A166" s="30" t="inlineStr">
        <is>
          <t>S165</t>
        </is>
      </c>
      <c r="B166" s="17" t="inlineStr">
        <is>
          <t>P147</t>
        </is>
      </c>
      <c r="C166" s="17" t="inlineStr">
        <is>
          <t>이연제약</t>
        </is>
      </c>
      <c r="D166" s="17" t="inlineStr">
        <is>
          <t>이연제약(주)</t>
        </is>
      </c>
      <c r="E166" s="17" t="inlineStr">
        <is>
          <t>충청북도 진천군 덕산읍 한삼로 69-10</t>
        </is>
      </c>
      <c r="F166" s="17" t="inlineStr">
        <is>
          <t>충청북도 진천군 덕산읍 한삼로 69-10</t>
        </is>
      </c>
      <c r="G166" s="17" t="inlineStr">
        <is>
          <t>충청북도 진천군 덕산읍 한삼로 69-10</t>
        </is>
      </c>
      <c r="H166" s="17" t="inlineStr">
        <is>
          <t>진천</t>
        </is>
      </c>
      <c r="I166" s="23" t="inlineStr">
        <is>
          <t>1298</t>
        </is>
      </c>
      <c r="J166" s="17" t="inlineStr">
        <is>
          <t>1</t>
        </is>
      </c>
      <c r="K166" s="17" t="inlineStr">
        <is>
          <t>원료의약품</t>
        </is>
      </c>
      <c r="L166" s="17" t="inlineStr">
        <is>
          <t>비무균-일반제제-합성, 비무균-일반제제-발효</t>
        </is>
      </c>
      <c r="M166" s="24" t="n">
        <v>46990</v>
      </c>
      <c r="N166" s="17" t="inlineStr"/>
      <c r="O166" s="17" t="inlineStr"/>
      <c r="P166" s="17" t="inlineStr">
        <is>
          <t>충청북도</t>
        </is>
      </c>
      <c r="Q166" s="17" t="inlineStr">
        <is>
          <t>진천군</t>
        </is>
      </c>
      <c r="R166" s="17" t="inlineStr">
        <is>
          <t>GMP공장소재지</t>
        </is>
      </c>
      <c r="S166" s="17" t="n">
        <v>90</v>
      </c>
      <c r="T166" s="17" t="inlineStr">
        <is>
          <t>Y</t>
        </is>
      </c>
      <c r="U166" s="17" t="n">
        <v>2</v>
      </c>
      <c r="V166" s="24" t="n">
        <v>46990</v>
      </c>
      <c r="W166" s="17" t="inlineStr"/>
      <c r="X166" s="17" t="inlineStr"/>
      <c r="Y166" s="17" t="inlineStr">
        <is>
          <t>회사키+주소</t>
        </is>
      </c>
      <c r="Z166" s="17" t="n">
        <v>90</v>
      </c>
      <c r="AA166" s="17" t="inlineStr"/>
    </row>
    <row r="167">
      <c r="A167" s="30" t="inlineStr">
        <is>
          <t>S166</t>
        </is>
      </c>
      <c r="B167" s="17" t="inlineStr">
        <is>
          <t>P147</t>
        </is>
      </c>
      <c r="C167" s="17" t="inlineStr">
        <is>
          <t>이연제약</t>
        </is>
      </c>
      <c r="D167" s="17" t="inlineStr">
        <is>
          <t>이연제약(주)</t>
        </is>
      </c>
      <c r="E167" s="17" t="inlineStr">
        <is>
          <t>충청북도 진천군 덕산읍 한삼로 69-10</t>
        </is>
      </c>
      <c r="F167" s="17" t="inlineStr">
        <is>
          <t>충청북도 진천군 덕산읍 한삼로 69-10</t>
        </is>
      </c>
      <c r="G167" s="17" t="inlineStr">
        <is>
          <t>충청북도 진천군 덕산읍 한삼로 69-10</t>
        </is>
      </c>
      <c r="H167" s="17" t="inlineStr">
        <is>
          <t>진천</t>
        </is>
      </c>
      <c r="I167" s="23" t="inlineStr">
        <is>
          <t>1298</t>
        </is>
      </c>
      <c r="J167" s="17" t="inlineStr">
        <is>
          <t>1</t>
        </is>
      </c>
      <c r="K167" s="17" t="inlineStr">
        <is>
          <t>완제의약품</t>
        </is>
      </c>
      <c r="L167" s="17" t="inlineStr">
        <is>
          <t>비무균-일반제제-내용고형제(정제, 캡슐제), 무균-일반제제-주사제(주사제, 동결건조주사제), 무균-일반제제-그 밖의 고형제(외용산제)</t>
        </is>
      </c>
      <c r="M167" s="24" t="n">
        <v>46990</v>
      </c>
      <c r="N167" s="17" t="inlineStr">
        <is>
          <t>Y</t>
        </is>
      </c>
      <c r="O167" s="17" t="inlineStr"/>
      <c r="P167" s="17" t="inlineStr">
        <is>
          <t>충청북도</t>
        </is>
      </c>
      <c r="Q167" s="17" t="inlineStr">
        <is>
          <t>진천군</t>
        </is>
      </c>
      <c r="R167" s="17" t="inlineStr">
        <is>
          <t>GMP공장소재지</t>
        </is>
      </c>
      <c r="S167" s="17" t="n">
        <v>90</v>
      </c>
      <c r="T167" s="17" t="inlineStr">
        <is>
          <t>N</t>
        </is>
      </c>
      <c r="U167" s="17" t="n">
        <v>2</v>
      </c>
      <c r="V167" s="24" t="n">
        <v>46990</v>
      </c>
      <c r="W167" s="17" t="inlineStr"/>
      <c r="X167" s="17" t="inlineStr"/>
      <c r="Y167" s="17" t="inlineStr">
        <is>
          <t>회사키+주소</t>
        </is>
      </c>
      <c r="Z167" s="17" t="n">
        <v>90</v>
      </c>
      <c r="AA167" s="17" t="inlineStr"/>
    </row>
    <row r="168">
      <c r="A168" s="30" t="inlineStr">
        <is>
          <t>S167</t>
        </is>
      </c>
      <c r="B168" s="17" t="inlineStr">
        <is>
          <t>P148</t>
        </is>
      </c>
      <c r="C168" s="17" t="inlineStr">
        <is>
          <t>한국넬슨제약</t>
        </is>
      </c>
      <c r="D168" s="17" t="inlineStr">
        <is>
          <t>한국넬슨제약(주)</t>
        </is>
      </c>
      <c r="E168" s="17" t="inlineStr">
        <is>
          <t>충청북도 음성군 금왕읍 금일로 271-8</t>
        </is>
      </c>
      <c r="F168" s="17" t="inlineStr">
        <is>
          <t>충청북도 음성군 금왕읍 금일로 271-8</t>
        </is>
      </c>
      <c r="G168" s="17" t="inlineStr">
        <is>
          <t>충청북도 음성군 금왕읍 금일로 271-8</t>
        </is>
      </c>
      <c r="H168" s="17" t="inlineStr">
        <is>
          <t>음성</t>
        </is>
      </c>
      <c r="I168" s="23" t="inlineStr">
        <is>
          <t>1975</t>
        </is>
      </c>
      <c r="J168" s="17" t="inlineStr">
        <is>
          <t>1</t>
        </is>
      </c>
      <c r="K168" s="17" t="inlineStr">
        <is>
          <t>완제의약품</t>
        </is>
      </c>
      <c r="L168" s="17" t="inlineStr">
        <is>
          <t>비무균-일반제제-내용고형제(정제, 캡슐제), 비무균-일반제제-연고제(크림제, 겔제)</t>
        </is>
      </c>
      <c r="M168" s="24" t="n">
        <v>46983</v>
      </c>
      <c r="N168" s="17" t="inlineStr"/>
      <c r="O168" s="17" t="inlineStr"/>
      <c r="P168" s="17" t="inlineStr">
        <is>
          <t>충청북도</t>
        </is>
      </c>
      <c r="Q168" s="17" t="inlineStr">
        <is>
          <t>음성군</t>
        </is>
      </c>
      <c r="R168" s="17" t="inlineStr">
        <is>
          <t>GMP공장소재지</t>
        </is>
      </c>
      <c r="S168" s="17" t="n">
        <v>90</v>
      </c>
      <c r="T168" s="17" t="inlineStr">
        <is>
          <t>Y</t>
        </is>
      </c>
      <c r="U168" s="17" t="n">
        <v>1</v>
      </c>
      <c r="V168" s="24" t="n">
        <v>46983</v>
      </c>
      <c r="W168" s="17" t="inlineStr"/>
      <c r="X168" s="17" t="inlineStr"/>
      <c r="Y168" s="17" t="inlineStr">
        <is>
          <t>회사키+주소</t>
        </is>
      </c>
      <c r="Z168" s="17" t="n">
        <v>90</v>
      </c>
      <c r="AA168" s="17" t="inlineStr"/>
    </row>
    <row r="169">
      <c r="A169" s="30" t="inlineStr">
        <is>
          <t>S168</t>
        </is>
      </c>
      <c r="B169" s="17" t="inlineStr">
        <is>
          <t>P149</t>
        </is>
      </c>
      <c r="C169" s="17" t="inlineStr">
        <is>
          <t>전남대학교병원</t>
        </is>
      </c>
      <c r="D169" s="17" t="inlineStr">
        <is>
          <t>전남대학교병원</t>
        </is>
      </c>
      <c r="E169" s="17" t="inlineStr">
        <is>
          <t>광주광역시 동구 제봉로 42 전남대학교병원 6동 어린이병원, 지하 1층 분자영상신약개발센터</t>
        </is>
      </c>
      <c r="F169" s="17" t="inlineStr">
        <is>
          <t>광주광역시 동구 제봉로 42 전남대학교병원 6동 어린이병원, 지하 1층 분자영상신약개발센터</t>
        </is>
      </c>
      <c r="G169" s="17" t="inlineStr">
        <is>
          <t>광주광역시 동구 제봉로 42 전남대학교병원 6동 어린이병원, 지하 1층 분자영상신약개발센터</t>
        </is>
      </c>
      <c r="H169" s="17" t="inlineStr">
        <is>
          <t>전남대학교병원 분자영상신약개발센터</t>
        </is>
      </c>
      <c r="I169" s="23" t="inlineStr">
        <is>
          <t>2655</t>
        </is>
      </c>
      <c r="J169" s="17" t="inlineStr">
        <is>
          <t>1</t>
        </is>
      </c>
      <c r="K169" s="17" t="inlineStr">
        <is>
          <t>완제의약품</t>
        </is>
      </c>
      <c r="L169" s="17" t="inlineStr">
        <is>
          <t>무균-일반제제(방사성의약품)-주사제(주사제)</t>
        </is>
      </c>
      <c r="M169" s="24" t="n">
        <v>46983</v>
      </c>
      <c r="N169" s="17" t="inlineStr">
        <is>
          <t>Y</t>
        </is>
      </c>
      <c r="O169" s="17" t="inlineStr"/>
      <c r="P169" s="17" t="inlineStr">
        <is>
          <t>광주광역시</t>
        </is>
      </c>
      <c r="Q169" s="17" t="inlineStr">
        <is>
          <t>동구</t>
        </is>
      </c>
      <c r="R169" s="17" t="inlineStr">
        <is>
          <t>GMP공장소재지</t>
        </is>
      </c>
      <c r="S169" s="17" t="n">
        <v>90</v>
      </c>
      <c r="T169" s="17" t="inlineStr">
        <is>
          <t>Y</t>
        </is>
      </c>
      <c r="U169" s="17" t="n">
        <v>1</v>
      </c>
      <c r="V169" s="24" t="n">
        <v>46983</v>
      </c>
      <c r="W169" s="17" t="inlineStr"/>
      <c r="X169" s="17" t="inlineStr"/>
      <c r="Y169" s="17" t="inlineStr">
        <is>
          <t>회사키+주소</t>
        </is>
      </c>
      <c r="Z169" s="17" t="n">
        <v>90</v>
      </c>
      <c r="AA169" s="17" t="inlineStr"/>
    </row>
    <row r="170">
      <c r="A170" s="30" t="inlineStr">
        <is>
          <t>S169</t>
        </is>
      </c>
      <c r="B170" s="17" t="inlineStr">
        <is>
          <t>P150</t>
        </is>
      </c>
      <c r="C170" s="17" t="inlineStr">
        <is>
          <t>프로라젠</t>
        </is>
      </c>
      <c r="D170" s="17" t="inlineStr">
        <is>
          <t>(주)프로라젠</t>
        </is>
      </c>
      <c r="E170" s="17" t="inlineStr">
        <is>
          <t>서울특별시 서대문구 연세로 50-1 연세대학교 의과대학 연세의생명연구원 임상의학연구센터 206,207,211~216-1호</t>
        </is>
      </c>
      <c r="F170" s="17" t="inlineStr">
        <is>
          <t>서울특별시 서대문구 연세로 50-1 연세대학교 의과대학 연세의생명연구원 임상의학연구센터 206,207,211~216-1호</t>
        </is>
      </c>
      <c r="G170" s="17" t="inlineStr">
        <is>
          <t>서울특별시 서대문구 연세로 50-1 연세대학교 의과대학 연세의생명연구원 임상의학연구센터 206,207,211~216-1호</t>
        </is>
      </c>
      <c r="H170" s="17" t="inlineStr">
        <is>
          <t>(주)프로라젠신촌공장</t>
        </is>
      </c>
      <c r="I170" s="23" t="inlineStr">
        <is>
          <t>378</t>
        </is>
      </c>
      <c r="J170" s="17" t="inlineStr">
        <is>
          <t>1</t>
        </is>
      </c>
      <c r="K170" s="17" t="inlineStr">
        <is>
          <t>원료의약품</t>
        </is>
      </c>
      <c r="L170" s="17" t="inlineStr">
        <is>
          <t>비무균-일반제제-추출</t>
        </is>
      </c>
      <c r="M170" s="24" t="n">
        <v>46983</v>
      </c>
      <c r="N170" s="17" t="inlineStr"/>
      <c r="O170" s="17" t="inlineStr"/>
      <c r="P170" s="17" t="inlineStr">
        <is>
          <t>서울특별시</t>
        </is>
      </c>
      <c r="Q170" s="17" t="inlineStr">
        <is>
          <t>서대문구</t>
        </is>
      </c>
      <c r="R170" s="17" t="inlineStr">
        <is>
          <t>GMP공장소재지</t>
        </is>
      </c>
      <c r="S170" s="17" t="n">
        <v>90</v>
      </c>
      <c r="T170" s="17" t="inlineStr">
        <is>
          <t>Y</t>
        </is>
      </c>
      <c r="U170" s="17" t="n">
        <v>1</v>
      </c>
      <c r="V170" s="24" t="n">
        <v>46983</v>
      </c>
      <c r="W170" s="17" t="inlineStr"/>
      <c r="X170" s="17" t="inlineStr"/>
      <c r="Y170" s="17" t="inlineStr">
        <is>
          <t>회사키+주소</t>
        </is>
      </c>
      <c r="Z170" s="17" t="n">
        <v>90</v>
      </c>
      <c r="AA170" s="17" t="inlineStr"/>
    </row>
    <row r="171">
      <c r="A171" s="30" t="inlineStr">
        <is>
          <t>S170</t>
        </is>
      </c>
      <c r="B171" s="17" t="inlineStr">
        <is>
          <t>P151</t>
        </is>
      </c>
      <c r="C171" s="17" t="inlineStr">
        <is>
          <t>디아이지에어가스</t>
        </is>
      </c>
      <c r="D171" s="17" t="inlineStr">
        <is>
          <t>디아이지에어가스(주)</t>
        </is>
      </c>
      <c r="E171" s="17" t="inlineStr">
        <is>
          <t>경기도 안산시 단원구 산단로 128</t>
        </is>
      </c>
      <c r="F171" s="17" t="inlineStr">
        <is>
          <t>경기도 안산시 단원구 산단로 128</t>
        </is>
      </c>
      <c r="G171" s="17" t="inlineStr">
        <is>
          <t>경기도 안산시 단원구 산단로 128</t>
        </is>
      </c>
      <c r="H171" s="17" t="inlineStr">
        <is>
          <t>반월공장</t>
        </is>
      </c>
      <c r="I171" s="23" t="inlineStr">
        <is>
          <t>1603</t>
        </is>
      </c>
      <c r="J171" s="17" t="inlineStr">
        <is>
          <t>1</t>
        </is>
      </c>
      <c r="K171" s="17" t="inlineStr">
        <is>
          <t>완제의약품</t>
        </is>
      </c>
      <c r="L171" s="17" t="inlineStr">
        <is>
          <t>비무균-일반제제(의료용 고압가스)-가스제(의료용 고압가스)</t>
        </is>
      </c>
      <c r="M171" s="24" t="n">
        <v>46983</v>
      </c>
      <c r="N171" s="17" t="inlineStr"/>
      <c r="O171" s="17" t="inlineStr"/>
      <c r="P171" s="17" t="inlineStr">
        <is>
          <t>경기도</t>
        </is>
      </c>
      <c r="Q171" s="17" t="inlineStr">
        <is>
          <t>안산시</t>
        </is>
      </c>
      <c r="R171" s="17" t="inlineStr">
        <is>
          <t>GMP공장소재지</t>
        </is>
      </c>
      <c r="S171" s="17" t="n">
        <v>90</v>
      </c>
      <c r="T171" s="17" t="inlineStr">
        <is>
          <t>Y</t>
        </is>
      </c>
      <c r="U171" s="17" t="n">
        <v>1</v>
      </c>
      <c r="V171" s="24" t="n">
        <v>46983</v>
      </c>
      <c r="W171" s="17" t="inlineStr"/>
      <c r="X171" s="17" t="inlineStr"/>
      <c r="Y171" s="17" t="inlineStr">
        <is>
          <t>회사키+주소</t>
        </is>
      </c>
      <c r="Z171" s="17" t="n">
        <v>90</v>
      </c>
      <c r="AA171" s="17" t="inlineStr"/>
    </row>
    <row r="172">
      <c r="A172" s="30" t="inlineStr">
        <is>
          <t>S171</t>
        </is>
      </c>
      <c r="B172" s="17" t="inlineStr">
        <is>
          <t>P152</t>
        </is>
      </c>
      <c r="C172" s="17" t="inlineStr">
        <is>
          <t>휴온스메디텍</t>
        </is>
      </c>
      <c r="D172" s="17" t="inlineStr">
        <is>
          <t>(주)휴온스메디텍</t>
        </is>
      </c>
      <c r="E172" s="17" t="inlineStr">
        <is>
          <t>부산광역시 강서구 녹산산단165로 22</t>
        </is>
      </c>
      <c r="F172" s="17" t="inlineStr">
        <is>
          <t>부산광역시 강서구 녹산산단165로 22</t>
        </is>
      </c>
      <c r="G172" s="17" t="inlineStr">
        <is>
          <t>부산광역시 강서구 녹산산단165로 22</t>
        </is>
      </c>
      <c r="H172" s="17" t="inlineStr">
        <is>
          <t>부산</t>
        </is>
      </c>
      <c r="I172" s="23" t="inlineStr">
        <is>
          <t>2286</t>
        </is>
      </c>
      <c r="J172" s="17" t="inlineStr">
        <is>
          <t>1</t>
        </is>
      </c>
      <c r="K172" s="17" t="inlineStr">
        <is>
          <t>완제의약품</t>
        </is>
      </c>
      <c r="L172" s="17" t="inlineStr">
        <is>
          <t>비무균-일반제제-외용액제(외용액제)</t>
        </is>
      </c>
      <c r="M172" s="24" t="n">
        <v>46983</v>
      </c>
      <c r="N172" s="17" t="inlineStr"/>
      <c r="O172" s="17" t="inlineStr"/>
      <c r="P172" s="17" t="inlineStr">
        <is>
          <t>부산광역시</t>
        </is>
      </c>
      <c r="Q172" s="17" t="inlineStr">
        <is>
          <t>강서구</t>
        </is>
      </c>
      <c r="R172" s="17" t="inlineStr">
        <is>
          <t>GMP공장소재지</t>
        </is>
      </c>
      <c r="S172" s="17" t="n">
        <v>90</v>
      </c>
      <c r="T172" s="17" t="inlineStr">
        <is>
          <t>Y</t>
        </is>
      </c>
      <c r="U172" s="17" t="n">
        <v>1</v>
      </c>
      <c r="V172" s="24" t="n">
        <v>46983</v>
      </c>
      <c r="W172" s="17" t="inlineStr"/>
      <c r="X172" s="17" t="inlineStr"/>
      <c r="Y172" s="17" t="inlineStr">
        <is>
          <t>회사키+주소</t>
        </is>
      </c>
      <c r="Z172" s="17" t="n">
        <v>90</v>
      </c>
      <c r="AA172" s="17" t="inlineStr"/>
    </row>
    <row r="173">
      <c r="A173" s="30" t="inlineStr">
        <is>
          <t>S172</t>
        </is>
      </c>
      <c r="B173" s="17" t="inlineStr">
        <is>
          <t>P153</t>
        </is>
      </c>
      <c r="C173" s="17" t="inlineStr">
        <is>
          <t>메디톡스</t>
        </is>
      </c>
      <c r="D173" s="17" t="inlineStr">
        <is>
          <t>(주)메디톡스</t>
        </is>
      </c>
      <c r="E173" s="17" t="inlineStr">
        <is>
          <t>충청북도 청주시 청원구 오창읍 각리1길 78</t>
        </is>
      </c>
      <c r="F173" s="17" t="inlineStr">
        <is>
          <t>충청북도 청주시 청원구 오창읍 각리1길 78</t>
        </is>
      </c>
      <c r="G173" s="17" t="inlineStr">
        <is>
          <t>충청북도 청주시 청원구 오창읍 각리1길 78</t>
        </is>
      </c>
      <c r="H173" s="17" t="inlineStr">
        <is>
          <t>오창</t>
        </is>
      </c>
      <c r="I173" s="23" t="inlineStr">
        <is>
          <t>2454</t>
        </is>
      </c>
      <c r="J173" s="17" t="inlineStr">
        <is>
          <t>1</t>
        </is>
      </c>
      <c r="K173" s="17" t="inlineStr">
        <is>
          <t>완제의약품</t>
        </is>
      </c>
      <c r="L173" s="17" t="inlineStr">
        <is>
          <t>생물-독소-주사제(주사제, 동결건조주사제)</t>
        </is>
      </c>
      <c r="M173" s="24" t="n">
        <v>46983</v>
      </c>
      <c r="N173" s="17" t="inlineStr">
        <is>
          <t>Y</t>
        </is>
      </c>
      <c r="O173" s="17" t="inlineStr">
        <is>
          <t>Y</t>
        </is>
      </c>
      <c r="P173" s="17" t="inlineStr">
        <is>
          <t>충청북도</t>
        </is>
      </c>
      <c r="Q173" s="17" t="inlineStr">
        <is>
          <t>청주시</t>
        </is>
      </c>
      <c r="R173" s="17" t="inlineStr">
        <is>
          <t>GMP공장소재지</t>
        </is>
      </c>
      <c r="S173" s="17" t="n">
        <v>90</v>
      </c>
      <c r="T173" s="17" t="inlineStr">
        <is>
          <t>Y</t>
        </is>
      </c>
      <c r="U173" s="17" t="n">
        <v>2</v>
      </c>
      <c r="V173" s="24" t="n">
        <v>46983</v>
      </c>
      <c r="W173" s="17" t="inlineStr"/>
      <c r="X173" s="17" t="inlineStr"/>
      <c r="Y173" s="17" t="inlineStr">
        <is>
          <t>회사키+주소</t>
        </is>
      </c>
      <c r="Z173" s="17" t="n">
        <v>90</v>
      </c>
      <c r="AA173" s="17" t="inlineStr"/>
    </row>
    <row r="174">
      <c r="A174" s="30" t="inlineStr">
        <is>
          <t>S173</t>
        </is>
      </c>
      <c r="B174" s="17" t="inlineStr">
        <is>
          <t>P153</t>
        </is>
      </c>
      <c r="C174" s="17" t="inlineStr">
        <is>
          <t>메디톡스</t>
        </is>
      </c>
      <c r="D174" s="17" t="inlineStr">
        <is>
          <t>(주)메디톡스</t>
        </is>
      </c>
      <c r="E174" s="17" t="inlineStr">
        <is>
          <t>충청북도 청주시 청원구 오창읍 각리1길 78</t>
        </is>
      </c>
      <c r="F174" s="17" t="inlineStr">
        <is>
          <t>충청북도 청주시 청원구 오창읍 각리1길 78</t>
        </is>
      </c>
      <c r="G174" s="17" t="inlineStr">
        <is>
          <t>충청북도 청주시 청원구 오창읍 각리1길 78</t>
        </is>
      </c>
      <c r="H174" s="17" t="inlineStr">
        <is>
          <t>오창</t>
        </is>
      </c>
      <c r="I174" s="23" t="inlineStr">
        <is>
          <t>2454</t>
        </is>
      </c>
      <c r="J174" s="17" t="inlineStr">
        <is>
          <t>1</t>
        </is>
      </c>
      <c r="K174" s="17" t="inlineStr">
        <is>
          <t>원료의약품</t>
        </is>
      </c>
      <c r="L174" s="17" t="inlineStr">
        <is>
          <t>생물-독소-(배양, 정제, 원액 제조)</t>
        </is>
      </c>
      <c r="M174" s="24" t="n">
        <v>46983</v>
      </c>
      <c r="N174" s="17" t="inlineStr"/>
      <c r="O174" s="17" t="inlineStr">
        <is>
          <t>Y</t>
        </is>
      </c>
      <c r="P174" s="17" t="inlineStr">
        <is>
          <t>충청북도</t>
        </is>
      </c>
      <c r="Q174" s="17" t="inlineStr">
        <is>
          <t>청주시</t>
        </is>
      </c>
      <c r="R174" s="17" t="inlineStr">
        <is>
          <t>GMP공장소재지</t>
        </is>
      </c>
      <c r="S174" s="17" t="n">
        <v>90</v>
      </c>
      <c r="T174" s="17" t="inlineStr">
        <is>
          <t>N</t>
        </is>
      </c>
      <c r="U174" s="17" t="n">
        <v>2</v>
      </c>
      <c r="V174" s="24" t="n">
        <v>46983</v>
      </c>
      <c r="W174" s="17" t="inlineStr"/>
      <c r="X174" s="17" t="inlineStr"/>
      <c r="Y174" s="17" t="inlineStr">
        <is>
          <t>회사키+주소</t>
        </is>
      </c>
      <c r="Z174" s="17" t="n">
        <v>90</v>
      </c>
      <c r="AA174" s="17" t="inlineStr"/>
    </row>
    <row r="175">
      <c r="A175" s="30" t="inlineStr">
        <is>
          <t>S174</t>
        </is>
      </c>
      <c r="B175" s="17" t="inlineStr">
        <is>
          <t>P154</t>
        </is>
      </c>
      <c r="C175" s="17" t="inlineStr">
        <is>
          <t>오스코리아제약</t>
        </is>
      </c>
      <c r="D175" s="17" t="inlineStr">
        <is>
          <t>(주)오스코리아제약</t>
        </is>
      </c>
      <c r="E175" s="17" t="inlineStr">
        <is>
          <t>강원특별자치도 원주시 문막읍 문막공단길 252</t>
        </is>
      </c>
      <c r="F175" s="17" t="inlineStr">
        <is>
          <t>강원특별자치도 원주시 문막읍 문막공단길 252</t>
        </is>
      </c>
      <c r="G175" s="17" t="inlineStr">
        <is>
          <t>강원특별자치도 원주시 문막읍 문막공단길 252</t>
        </is>
      </c>
      <c r="H175" s="17" t="inlineStr">
        <is>
          <t>(주)오스코리아제약</t>
        </is>
      </c>
      <c r="I175" s="23" t="inlineStr">
        <is>
          <t>339</t>
        </is>
      </c>
      <c r="J175" s="17" t="inlineStr">
        <is>
          <t>1</t>
        </is>
      </c>
      <c r="K175" s="17" t="inlineStr">
        <is>
          <t>완제의약품</t>
        </is>
      </c>
      <c r="L175" s="17" t="inlineStr">
        <is>
          <t>무균-일반제제-주사제(주사제), 비무균-일반제제-외용액제(외용액제)</t>
        </is>
      </c>
      <c r="M175" s="24" t="n">
        <v>46976</v>
      </c>
      <c r="N175" s="17" t="inlineStr">
        <is>
          <t>Y</t>
        </is>
      </c>
      <c r="O175" s="17" t="inlineStr"/>
      <c r="P175" s="17" t="inlineStr">
        <is>
          <t>강원특별자치도</t>
        </is>
      </c>
      <c r="Q175" s="17" t="inlineStr">
        <is>
          <t>원주시</t>
        </is>
      </c>
      <c r="R175" s="17" t="inlineStr">
        <is>
          <t>GMP공장소재지</t>
        </is>
      </c>
      <c r="S175" s="17" t="n">
        <v>90</v>
      </c>
      <c r="T175" s="17" t="inlineStr">
        <is>
          <t>Y</t>
        </is>
      </c>
      <c r="U175" s="17" t="n">
        <v>1</v>
      </c>
      <c r="V175" s="24" t="n">
        <v>46976</v>
      </c>
      <c r="W175" s="17" t="inlineStr"/>
      <c r="X175" s="17" t="inlineStr"/>
      <c r="Y175" s="17" t="inlineStr">
        <is>
          <t>회사키+주소</t>
        </is>
      </c>
      <c r="Z175" s="17" t="n">
        <v>90</v>
      </c>
      <c r="AA175" s="17" t="inlineStr"/>
    </row>
    <row r="176">
      <c r="A176" s="30" t="inlineStr">
        <is>
          <t>S175</t>
        </is>
      </c>
      <c r="B176" s="17" t="inlineStr">
        <is>
          <t>P155</t>
        </is>
      </c>
      <c r="C176" s="17" t="inlineStr">
        <is>
          <t>현대바이오랜드</t>
        </is>
      </c>
      <c r="D176" s="17" t="inlineStr">
        <is>
          <t>주식회사현대바이오랜드</t>
        </is>
      </c>
      <c r="E176" s="17" t="inlineStr">
        <is>
          <t>충청북도 청주시 흥덕구 오송읍 오송생명2로 22</t>
        </is>
      </c>
      <c r="F176" s="17" t="inlineStr">
        <is>
          <t>충청북도 청주시 흥덕구 오송읍 오송생명2로 22</t>
        </is>
      </c>
      <c r="G176" s="17" t="inlineStr">
        <is>
          <t>충청북도 청주시 흥덕구 오송읍 오송생명2로 22</t>
        </is>
      </c>
      <c r="H176" s="17" t="inlineStr">
        <is>
          <t>오송공장</t>
        </is>
      </c>
      <c r="I176" s="23" t="inlineStr">
        <is>
          <t>2180</t>
        </is>
      </c>
      <c r="J176" s="17" t="inlineStr">
        <is>
          <t>3</t>
        </is>
      </c>
      <c r="K176" s="17" t="inlineStr">
        <is>
          <t>원료의약품</t>
        </is>
      </c>
      <c r="L176" s="17" t="inlineStr">
        <is>
          <t>비무균-일반제제-추출</t>
        </is>
      </c>
      <c r="M176" s="24" t="n">
        <v>46976</v>
      </c>
      <c r="N176" s="17" t="inlineStr"/>
      <c r="O176" s="17" t="inlineStr"/>
      <c r="P176" s="17" t="inlineStr">
        <is>
          <t>충청북도</t>
        </is>
      </c>
      <c r="Q176" s="17" t="inlineStr">
        <is>
          <t>청주시</t>
        </is>
      </c>
      <c r="R176" s="17" t="inlineStr">
        <is>
          <t>GMP공장소재지</t>
        </is>
      </c>
      <c r="S176" s="17" t="n">
        <v>90</v>
      </c>
      <c r="T176" s="17" t="inlineStr">
        <is>
          <t>Y</t>
        </is>
      </c>
      <c r="U176" s="17" t="n">
        <v>1</v>
      </c>
      <c r="V176" s="24" t="n">
        <v>46976</v>
      </c>
      <c r="W176" s="17" t="inlineStr"/>
      <c r="X176" s="17" t="inlineStr"/>
      <c r="Y176" s="17" t="inlineStr">
        <is>
          <t>회사키+주소</t>
        </is>
      </c>
      <c r="Z176" s="17" t="n">
        <v>90</v>
      </c>
      <c r="AA176" s="17" t="inlineStr"/>
    </row>
    <row r="177">
      <c r="A177" s="30" t="inlineStr">
        <is>
          <t>S176</t>
        </is>
      </c>
      <c r="B177" s="17" t="inlineStr">
        <is>
          <t>P156</t>
        </is>
      </c>
      <c r="C177" s="17" t="inlineStr">
        <is>
          <t>팩슨</t>
        </is>
      </c>
      <c r="D177" s="17" t="inlineStr">
        <is>
          <t>(주)팩슨</t>
        </is>
      </c>
      <c r="E177" s="17" t="inlineStr">
        <is>
          <t>대구광역시 달서구 달서대로58길 53</t>
        </is>
      </c>
      <c r="F177" s="17" t="inlineStr">
        <is>
          <t>대구광역시 달서구 달서대로58길 53</t>
        </is>
      </c>
      <c r="G177" s="17" t="inlineStr">
        <is>
          <t>대구광역시 달서구 달서대로58길 53</t>
        </is>
      </c>
      <c r="H177" s="17" t="inlineStr">
        <is>
          <t>대구</t>
        </is>
      </c>
      <c r="I177" s="23" t="inlineStr">
        <is>
          <t>1845</t>
        </is>
      </c>
      <c r="J177" s="17" t="inlineStr">
        <is>
          <t>1</t>
        </is>
      </c>
      <c r="K177" s="17" t="inlineStr">
        <is>
          <t>완제의약품</t>
        </is>
      </c>
      <c r="L177" s="17" t="inlineStr">
        <is>
          <t>비무균-일반제제(의료용 고압가스)-가스제(의료용 고압가스)</t>
        </is>
      </c>
      <c r="M177" s="24" t="n">
        <v>46975</v>
      </c>
      <c r="N177" s="17" t="inlineStr"/>
      <c r="O177" s="17" t="inlineStr"/>
      <c r="P177" s="17" t="inlineStr">
        <is>
          <t>대구광역시</t>
        </is>
      </c>
      <c r="Q177" s="17" t="inlineStr">
        <is>
          <t>달서구</t>
        </is>
      </c>
      <c r="R177" s="17" t="inlineStr">
        <is>
          <t>GMP공장소재지</t>
        </is>
      </c>
      <c r="S177" s="17" t="n">
        <v>90</v>
      </c>
      <c r="T177" s="17" t="inlineStr">
        <is>
          <t>Y</t>
        </is>
      </c>
      <c r="U177" s="17" t="n">
        <v>1</v>
      </c>
      <c r="V177" s="24" t="n">
        <v>46975</v>
      </c>
      <c r="W177" s="17" t="inlineStr"/>
      <c r="X177" s="17" t="inlineStr"/>
      <c r="Y177" s="17" t="inlineStr">
        <is>
          <t>회사키+주소</t>
        </is>
      </c>
      <c r="Z177" s="17" t="n">
        <v>90</v>
      </c>
      <c r="AA177" s="17" t="inlineStr"/>
    </row>
    <row r="178">
      <c r="A178" s="30" t="inlineStr">
        <is>
          <t>S177</t>
        </is>
      </c>
      <c r="B178" s="17" t="inlineStr">
        <is>
          <t>P157</t>
        </is>
      </c>
      <c r="C178" s="17" t="inlineStr">
        <is>
          <t>태경에코</t>
        </is>
      </c>
      <c r="D178" s="17" t="inlineStr">
        <is>
          <t>태경에코(주)</t>
        </is>
      </c>
      <c r="E178" s="17" t="inlineStr">
        <is>
          <t>경기도 안산시 단원구 동산로27번길 86-6</t>
        </is>
      </c>
      <c r="F178" s="17" t="inlineStr"/>
      <c r="G178" s="17" t="inlineStr">
        <is>
          <t>경기도 안산시 단원구 동산로27번길 86-6</t>
        </is>
      </c>
      <c r="H178" s="17" t="inlineStr">
        <is>
          <t>미확인</t>
        </is>
      </c>
      <c r="I178" s="23" t="inlineStr">
        <is>
          <t>2092</t>
        </is>
      </c>
      <c r="J178" s="17" t="inlineStr"/>
      <c r="K178" s="17" t="inlineStr">
        <is>
          <t>완제의약품</t>
        </is>
      </c>
      <c r="L178" s="17" t="inlineStr">
        <is>
          <t>비무균-일반제제(의료용 고압가스)-가스제(의료용 고압가스)</t>
        </is>
      </c>
      <c r="M178" s="24" t="n">
        <v>46975</v>
      </c>
      <c r="N178" s="17" t="inlineStr"/>
      <c r="O178" s="17" t="inlineStr"/>
      <c r="P178" s="17" t="inlineStr">
        <is>
          <t>경기도</t>
        </is>
      </c>
      <c r="Q178" s="17" t="inlineStr">
        <is>
          <t>안산시</t>
        </is>
      </c>
      <c r="R178" s="17" t="inlineStr">
        <is>
          <t>GMP공장소재지</t>
        </is>
      </c>
      <c r="S178" s="17" t="n">
        <v>0</v>
      </c>
      <c r="T178" s="17" t="inlineStr">
        <is>
          <t>Y</t>
        </is>
      </c>
      <c r="U178" s="17" t="n">
        <v>1</v>
      </c>
      <c r="V178" s="24" t="n">
        <v>46975</v>
      </c>
      <c r="W178" s="17" t="inlineStr"/>
      <c r="X178" s="17" t="inlineStr"/>
      <c r="Y178" s="17" t="inlineStr">
        <is>
          <t>무매칭</t>
        </is>
      </c>
      <c r="Z178" s="17" t="n">
        <v>0</v>
      </c>
      <c r="AA178" s="17" t="inlineStr">
        <is>
          <t>Y</t>
        </is>
      </c>
    </row>
    <row r="179">
      <c r="A179" s="30" t="inlineStr">
        <is>
          <t>S178</t>
        </is>
      </c>
      <c r="B179" s="17" t="inlineStr">
        <is>
          <t>P158</t>
        </is>
      </c>
      <c r="C179" s="17" t="inlineStr">
        <is>
          <t>제뉴원사이언스</t>
        </is>
      </c>
      <c r="D179" s="17" t="inlineStr">
        <is>
          <t>주식회사제뉴원사이언스</t>
        </is>
      </c>
      <c r="E179" s="17" t="inlineStr">
        <is>
          <t>세종특별자치시 전의면 산단길 245</t>
        </is>
      </c>
      <c r="F179" s="17" t="inlineStr">
        <is>
          <t>세종특별자치시 전의면 산단길 245</t>
        </is>
      </c>
      <c r="G179" s="17" t="inlineStr">
        <is>
          <t>세종특별자치시 전의면 산단길 245</t>
        </is>
      </c>
      <c r="H179" s="17" t="inlineStr">
        <is>
          <t>세종</t>
        </is>
      </c>
      <c r="I179" s="23" t="inlineStr">
        <is>
          <t>2296</t>
        </is>
      </c>
      <c r="J179" s="17" t="inlineStr">
        <is>
          <t>1</t>
        </is>
      </c>
      <c r="K179" s="17" t="inlineStr">
        <is>
          <t>완제의약품</t>
        </is>
      </c>
      <c r="L179" s="17" t="inlineStr">
        <is>
          <t>비무균-일반제제-내용고형제(정제, 캡슐제, 산제), 무균-일반제제-주사제(수액제, 동결건조주사제), 비무균-일반제제-내용액제(경구용액제, 시럽제(액상), 현탁제), 비무균-일반제제-외용액제(외용액제, 로션제, 펌프스프레이제), 비무균-일반제제-연고제(연고제, 크림제, 겔제)</t>
        </is>
      </c>
      <c r="M179" s="24" t="n">
        <v>46969</v>
      </c>
      <c r="N179" s="17" t="inlineStr">
        <is>
          <t>Y</t>
        </is>
      </c>
      <c r="O179" s="17" t="inlineStr"/>
      <c r="P179" s="17" t="inlineStr">
        <is>
          <t>세종특별자치시</t>
        </is>
      </c>
      <c r="Q179" s="17" t="inlineStr">
        <is>
          <t>세종특별자치시</t>
        </is>
      </c>
      <c r="R179" s="17" t="inlineStr">
        <is>
          <t>GMP공장소재지</t>
        </is>
      </c>
      <c r="S179" s="17" t="n">
        <v>90</v>
      </c>
      <c r="T179" s="17" t="inlineStr">
        <is>
          <t>Y</t>
        </is>
      </c>
      <c r="U179" s="17" t="n">
        <v>1</v>
      </c>
      <c r="V179" s="24" t="n">
        <v>46969</v>
      </c>
      <c r="W179" s="17" t="inlineStr"/>
      <c r="X179" s="17" t="inlineStr"/>
      <c r="Y179" s="17" t="inlineStr">
        <is>
          <t>회사키+주소</t>
        </is>
      </c>
      <c r="Z179" s="17" t="n">
        <v>90</v>
      </c>
      <c r="AA179" s="17" t="inlineStr"/>
    </row>
    <row r="180">
      <c r="A180" s="30" t="inlineStr">
        <is>
          <t>S179</t>
        </is>
      </c>
      <c r="B180" s="17" t="inlineStr">
        <is>
          <t>P159</t>
        </is>
      </c>
      <c r="C180" s="17" t="inlineStr">
        <is>
          <t>한영기업</t>
        </is>
      </c>
      <c r="D180" s="17" t="inlineStr">
        <is>
          <t>한영기업(주)</t>
        </is>
      </c>
      <c r="E180" s="17" t="inlineStr">
        <is>
          <t>부산광역시 영도구 해양로 206</t>
        </is>
      </c>
      <c r="F180" s="17" t="inlineStr">
        <is>
          <t>부산광역시 영도구 해양로 206</t>
        </is>
      </c>
      <c r="G180" s="17" t="inlineStr">
        <is>
          <t>부산광역시 영도구 해양로 206</t>
        </is>
      </c>
      <c r="H180" s="17" t="inlineStr">
        <is>
          <t>한영기업(주)</t>
        </is>
      </c>
      <c r="I180" s="23" t="inlineStr">
        <is>
          <t>6158</t>
        </is>
      </c>
      <c r="J180" s="17" t="inlineStr">
        <is>
          <t>1</t>
        </is>
      </c>
      <c r="K180" s="17" t="inlineStr">
        <is>
          <t>완제의약품</t>
        </is>
      </c>
      <c r="L180" s="17" t="inlineStr">
        <is>
          <t>비무균-일반제제(의료용 고압가스)-가스제(의료용 고압가스)</t>
        </is>
      </c>
      <c r="M180" s="24" t="n">
        <v>46963</v>
      </c>
      <c r="N180" s="17" t="inlineStr"/>
      <c r="O180" s="17" t="inlineStr"/>
      <c r="P180" s="17" t="inlineStr">
        <is>
          <t>부산광역시</t>
        </is>
      </c>
      <c r="Q180" s="17" t="inlineStr">
        <is>
          <t>영도구</t>
        </is>
      </c>
      <c r="R180" s="17" t="inlineStr">
        <is>
          <t>GMP공장소재지</t>
        </is>
      </c>
      <c r="S180" s="17" t="n">
        <v>90</v>
      </c>
      <c r="T180" s="17" t="inlineStr">
        <is>
          <t>Y</t>
        </is>
      </c>
      <c r="U180" s="17" t="n">
        <v>1</v>
      </c>
      <c r="V180" s="24" t="n">
        <v>46963</v>
      </c>
      <c r="W180" s="17" t="inlineStr"/>
      <c r="X180" s="17" t="inlineStr"/>
      <c r="Y180" s="17" t="inlineStr">
        <is>
          <t>회사키+주소</t>
        </is>
      </c>
      <c r="Z180" s="17" t="n">
        <v>90</v>
      </c>
      <c r="AA180" s="17" t="inlineStr"/>
    </row>
    <row r="181">
      <c r="A181" s="30" t="inlineStr">
        <is>
          <t>S180</t>
        </is>
      </c>
      <c r="B181" s="17" t="inlineStr">
        <is>
          <t>P160</t>
        </is>
      </c>
      <c r="C181" s="17" t="inlineStr">
        <is>
          <t>보령</t>
        </is>
      </c>
      <c r="D181" s="17" t="inlineStr">
        <is>
          <t>(주)보령</t>
        </is>
      </c>
      <c r="E181" s="17" t="inlineStr">
        <is>
          <t>경기도 안산시 단원구 능안로 107 ,109</t>
        </is>
      </c>
      <c r="F181" s="17" t="inlineStr">
        <is>
          <t>경기도 안산시 단원구 능안로 107 ,109</t>
        </is>
      </c>
      <c r="G181" s="17" t="inlineStr">
        <is>
          <t>경기도 안산시 단원구 능안로 107 ,109</t>
        </is>
      </c>
      <c r="H181" s="17" t="inlineStr">
        <is>
          <t>안산</t>
        </is>
      </c>
      <c r="I181" s="23" t="inlineStr">
        <is>
          <t>1689</t>
        </is>
      </c>
      <c r="J181" s="17" t="inlineStr">
        <is>
          <t>1</t>
        </is>
      </c>
      <c r="K181" s="17" t="inlineStr">
        <is>
          <t>완제의약품</t>
        </is>
      </c>
      <c r="L181" s="17" t="inlineStr">
        <is>
          <t>비무균-세팔로스포린제제-내용고형제(정제, 캡슐제, 산제, 시럽제(고형)), 비무균-일반제제-내용고형제(정제, 캡슐제, 산제, 과립제), 비무균-페니실린제제-내용고형제(정제, 캡슐제, 시럽제(고형)), 무균-세팔로스포린제제-주사제(분말주사제), 무균-세포독성항암제제-주사제(주사제, 동결건조주사제), 무균-일반제제-주사제(주사제, 복막투석제), 비무균-성호르몬제-내용액제(현탁제), 비무균-일반제제-내용액제(현탁제), 비무균-일반제제-그 밖의 액제(흡입제(액상))</t>
        </is>
      </c>
      <c r="M181" s="24" t="n">
        <v>46962</v>
      </c>
      <c r="N181" s="17" t="inlineStr">
        <is>
          <t>Y</t>
        </is>
      </c>
      <c r="O181" s="17" t="inlineStr"/>
      <c r="P181" s="17" t="inlineStr">
        <is>
          <t>경기도</t>
        </is>
      </c>
      <c r="Q181" s="17" t="inlineStr">
        <is>
          <t>안산시</t>
        </is>
      </c>
      <c r="R181" s="17" t="inlineStr">
        <is>
          <t>GMP공장소재지</t>
        </is>
      </c>
      <c r="S181" s="17" t="n">
        <v>90</v>
      </c>
      <c r="T181" s="17" t="inlineStr">
        <is>
          <t>Y</t>
        </is>
      </c>
      <c r="U181" s="17" t="n">
        <v>2</v>
      </c>
      <c r="V181" s="24" t="n">
        <v>46962</v>
      </c>
      <c r="W181" s="17" t="inlineStr"/>
      <c r="X181" s="17" t="inlineStr"/>
      <c r="Y181" s="17" t="inlineStr">
        <is>
          <t>회사키+주소</t>
        </is>
      </c>
      <c r="Z181" s="17" t="n">
        <v>90</v>
      </c>
      <c r="AA181" s="17" t="inlineStr"/>
    </row>
    <row r="182">
      <c r="A182" s="30" t="inlineStr">
        <is>
          <t>S181</t>
        </is>
      </c>
      <c r="B182" s="17" t="inlineStr">
        <is>
          <t>P160</t>
        </is>
      </c>
      <c r="C182" s="17" t="inlineStr">
        <is>
          <t>보령</t>
        </is>
      </c>
      <c r="D182" s="17" t="inlineStr">
        <is>
          <t>(주)보령</t>
        </is>
      </c>
      <c r="E182" s="17" t="inlineStr">
        <is>
          <t>경기도 안산시 단원구 능안로 107 ,109</t>
        </is>
      </c>
      <c r="F182" s="17" t="inlineStr">
        <is>
          <t>경기도 안산시 단원구 능안로 107 ,109</t>
        </is>
      </c>
      <c r="G182" s="17" t="inlineStr">
        <is>
          <t>경기도 안산시 단원구 능안로 107 ,109</t>
        </is>
      </c>
      <c r="H182" s="17" t="inlineStr">
        <is>
          <t>안산</t>
        </is>
      </c>
      <c r="I182" s="23" t="inlineStr">
        <is>
          <t>1689</t>
        </is>
      </c>
      <c r="J182" s="17" t="inlineStr">
        <is>
          <t>1</t>
        </is>
      </c>
      <c r="K182" s="17" t="inlineStr">
        <is>
          <t>원료의약품</t>
        </is>
      </c>
      <c r="L182" s="17" t="inlineStr">
        <is>
          <t>비무균-일반제제-합성</t>
        </is>
      </c>
      <c r="M182" s="24" t="n">
        <v>46962</v>
      </c>
      <c r="N182" s="17" t="inlineStr"/>
      <c r="O182" s="17" t="inlineStr"/>
      <c r="P182" s="17" t="inlineStr">
        <is>
          <t>경기도</t>
        </is>
      </c>
      <c r="Q182" s="17" t="inlineStr">
        <is>
          <t>안산시</t>
        </is>
      </c>
      <c r="R182" s="17" t="inlineStr">
        <is>
          <t>GMP공장소재지</t>
        </is>
      </c>
      <c r="S182" s="17" t="n">
        <v>90</v>
      </c>
      <c r="T182" s="17" t="inlineStr">
        <is>
          <t>N</t>
        </is>
      </c>
      <c r="U182" s="17" t="n">
        <v>2</v>
      </c>
      <c r="V182" s="24" t="n">
        <v>46962</v>
      </c>
      <c r="W182" s="17" t="inlineStr"/>
      <c r="X182" s="17" t="inlineStr"/>
      <c r="Y182" s="17" t="inlineStr">
        <is>
          <t>회사키+주소</t>
        </is>
      </c>
      <c r="Z182" s="17" t="n">
        <v>90</v>
      </c>
      <c r="AA182" s="17" t="inlineStr"/>
    </row>
    <row r="183">
      <c r="A183" s="30" t="inlineStr">
        <is>
          <t>S182</t>
        </is>
      </c>
      <c r="B183" s="17" t="inlineStr">
        <is>
          <t>P161</t>
        </is>
      </c>
      <c r="C183" s="17" t="inlineStr">
        <is>
          <t>에이치엘비펩</t>
        </is>
      </c>
      <c r="D183" s="17" t="inlineStr">
        <is>
          <t>에이치엘비펩(주)</t>
        </is>
      </c>
      <c r="E183" s="17" t="inlineStr">
        <is>
          <t>전라남도 장성군 남면 나노산단로 123 전라남도 나노바이오센터 내 시험생산2동 (3층건물)</t>
        </is>
      </c>
      <c r="F183" s="17" t="inlineStr">
        <is>
          <t>전라남도 장성군 남면 나노산단로 123 전라남도 나노바이오센터 내 시험생산2동 (3층건물)</t>
        </is>
      </c>
      <c r="G183" s="17" t="inlineStr">
        <is>
          <t>전라남도 장성군 남면 나노산단로 123 전라남도 나노바이오센터 내 시험생산2동 (3층건물)</t>
        </is>
      </c>
      <c r="H183" s="17" t="inlineStr">
        <is>
          <t>에이치엘비펩(주)-장성</t>
        </is>
      </c>
      <c r="I183" s="23" t="inlineStr">
        <is>
          <t>301</t>
        </is>
      </c>
      <c r="J183" s="17" t="inlineStr">
        <is>
          <t>1</t>
        </is>
      </c>
      <c r="K183" s="17" t="inlineStr">
        <is>
          <t>원료의약품</t>
        </is>
      </c>
      <c r="L183" s="17" t="inlineStr">
        <is>
          <t>비무균-일반제제-합성</t>
        </is>
      </c>
      <c r="M183" s="24" t="n">
        <v>46961</v>
      </c>
      <c r="N183" s="17" t="inlineStr"/>
      <c r="O183" s="17" t="inlineStr"/>
      <c r="P183" s="17" t="inlineStr">
        <is>
          <t>전라남도</t>
        </is>
      </c>
      <c r="Q183" s="17" t="inlineStr">
        <is>
          <t>장성군</t>
        </is>
      </c>
      <c r="R183" s="17" t="inlineStr">
        <is>
          <t>GMP공장소재지</t>
        </is>
      </c>
      <c r="S183" s="17" t="n">
        <v>90</v>
      </c>
      <c r="T183" s="17" t="inlineStr">
        <is>
          <t>Y</t>
        </is>
      </c>
      <c r="U183" s="17" t="n">
        <v>1</v>
      </c>
      <c r="V183" s="24" t="n">
        <v>46961</v>
      </c>
      <c r="W183" s="17" t="inlineStr"/>
      <c r="X183" s="17" t="inlineStr"/>
      <c r="Y183" s="17" t="inlineStr">
        <is>
          <t>회사키+주소</t>
        </is>
      </c>
      <c r="Z183" s="17" t="n">
        <v>90</v>
      </c>
      <c r="AA183" s="17" t="inlineStr"/>
    </row>
    <row r="184">
      <c r="A184" s="30" t="inlineStr">
        <is>
          <t>S183</t>
        </is>
      </c>
      <c r="B184" s="17" t="inlineStr">
        <is>
          <t>P162</t>
        </is>
      </c>
      <c r="C184" s="17" t="inlineStr">
        <is>
          <t>대한의산</t>
        </is>
      </c>
      <c r="D184" s="17" t="inlineStr">
        <is>
          <t>대한의산(주)</t>
        </is>
      </c>
      <c r="E184" s="17" t="inlineStr">
        <is>
          <t>경기도 이천시 모가면 사실로 670</t>
        </is>
      </c>
      <c r="F184" s="17" t="inlineStr">
        <is>
          <t>경기도 이천시 모가면 사실로 670</t>
        </is>
      </c>
      <c r="G184" s="17" t="inlineStr">
        <is>
          <t>경기도 이천시 모가면 사실로 670</t>
        </is>
      </c>
      <c r="H184" s="17" t="inlineStr">
        <is>
          <t>공장</t>
        </is>
      </c>
      <c r="I184" s="23" t="inlineStr">
        <is>
          <t>364</t>
        </is>
      </c>
      <c r="J184" s="17" t="inlineStr">
        <is>
          <t>1</t>
        </is>
      </c>
      <c r="K184" s="17" t="inlineStr">
        <is>
          <t>완제의약품</t>
        </is>
      </c>
      <c r="L184" s="17" t="inlineStr">
        <is>
          <t>비무균-일반제제(의료용 고압가스)-가스제(의료용 고압가스)</t>
        </is>
      </c>
      <c r="M184" s="24" t="n">
        <v>46960</v>
      </c>
      <c r="N184" s="17" t="inlineStr"/>
      <c r="O184" s="17" t="inlineStr"/>
      <c r="P184" s="17" t="inlineStr">
        <is>
          <t>경기도</t>
        </is>
      </c>
      <c r="Q184" s="17" t="inlineStr">
        <is>
          <t>이천시</t>
        </is>
      </c>
      <c r="R184" s="17" t="inlineStr">
        <is>
          <t>GMP공장소재지</t>
        </is>
      </c>
      <c r="S184" s="17" t="n">
        <v>90</v>
      </c>
      <c r="T184" s="17" t="inlineStr">
        <is>
          <t>Y</t>
        </is>
      </c>
      <c r="U184" s="17" t="n">
        <v>1</v>
      </c>
      <c r="V184" s="24" t="n">
        <v>46960</v>
      </c>
      <c r="W184" s="17" t="inlineStr"/>
      <c r="X184" s="17" t="inlineStr"/>
      <c r="Y184" s="17" t="inlineStr">
        <is>
          <t>회사키+주소</t>
        </is>
      </c>
      <c r="Z184" s="17" t="n">
        <v>90</v>
      </c>
      <c r="AA184" s="17" t="inlineStr"/>
    </row>
    <row r="185">
      <c r="A185" s="30" t="inlineStr">
        <is>
          <t>S184</t>
        </is>
      </c>
      <c r="B185" s="17" t="inlineStr">
        <is>
          <t>P163</t>
        </is>
      </c>
      <c r="C185" s="17" t="inlineStr">
        <is>
          <t>보령</t>
        </is>
      </c>
      <c r="D185" s="17" t="inlineStr">
        <is>
          <t>(주)보령</t>
        </is>
      </c>
      <c r="E185" s="17" t="inlineStr">
        <is>
          <t>충청남도 예산군 응봉면 충서로 254</t>
        </is>
      </c>
      <c r="F185" s="17" t="inlineStr">
        <is>
          <t>충청남도 예산군 응봉면 충서로 254</t>
        </is>
      </c>
      <c r="G185" s="17" t="inlineStr">
        <is>
          <t>충청남도 예산군 응봉면 충서로 254</t>
        </is>
      </c>
      <c r="H185" s="17" t="inlineStr">
        <is>
          <t>예산</t>
        </is>
      </c>
      <c r="I185" s="23" t="inlineStr">
        <is>
          <t>1689</t>
        </is>
      </c>
      <c r="J185" s="17" t="inlineStr">
        <is>
          <t>3</t>
        </is>
      </c>
      <c r="K185" s="17" t="inlineStr">
        <is>
          <t>완제의약품</t>
        </is>
      </c>
      <c r="L185" s="17" t="inlineStr">
        <is>
          <t>비무균-일반제제-내용고형제(정제, 캡슐제, 구강붕해정, 츄어블정(저작정)), 무균-세포독성항암제제-주사제(주사제, 동결건조주사제)</t>
        </is>
      </c>
      <c r="M185" s="24" t="n">
        <v>46960</v>
      </c>
      <c r="N185" s="17" t="inlineStr">
        <is>
          <t>Y</t>
        </is>
      </c>
      <c r="O185" s="17" t="inlineStr"/>
      <c r="P185" s="17" t="inlineStr">
        <is>
          <t>충청남도</t>
        </is>
      </c>
      <c r="Q185" s="17" t="inlineStr">
        <is>
          <t>예산군</t>
        </is>
      </c>
      <c r="R185" s="17" t="inlineStr">
        <is>
          <t>GMP공장소재지</t>
        </is>
      </c>
      <c r="S185" s="17" t="n">
        <v>90</v>
      </c>
      <c r="T185" s="17" t="inlineStr">
        <is>
          <t>Y</t>
        </is>
      </c>
      <c r="U185" s="17" t="n">
        <v>2</v>
      </c>
      <c r="V185" s="24" t="n">
        <v>46960</v>
      </c>
      <c r="W185" s="17" t="inlineStr"/>
      <c r="X185" s="17" t="inlineStr"/>
      <c r="Y185" s="17" t="inlineStr">
        <is>
          <t>회사키+주소</t>
        </is>
      </c>
      <c r="Z185" s="17" t="n">
        <v>90</v>
      </c>
      <c r="AA185" s="17" t="inlineStr"/>
    </row>
    <row r="186">
      <c r="A186" s="30" t="inlineStr">
        <is>
          <t>S185</t>
        </is>
      </c>
      <c r="B186" s="17" t="inlineStr">
        <is>
          <t>P163</t>
        </is>
      </c>
      <c r="C186" s="17" t="inlineStr">
        <is>
          <t>보령</t>
        </is>
      </c>
      <c r="D186" s="17" t="inlineStr">
        <is>
          <t>(주)보령</t>
        </is>
      </c>
      <c r="E186" s="17" t="inlineStr">
        <is>
          <t>충청남도 예산군 응봉면 충서로 254</t>
        </is>
      </c>
      <c r="F186" s="17" t="inlineStr">
        <is>
          <t>충청남도 예산군 응봉면 충서로 254</t>
        </is>
      </c>
      <c r="G186" s="17" t="inlineStr">
        <is>
          <t>충청남도 예산군 응봉면 충서로 254</t>
        </is>
      </c>
      <c r="H186" s="17" t="inlineStr">
        <is>
          <t>예산</t>
        </is>
      </c>
      <c r="I186" s="23" t="inlineStr">
        <is>
          <t>1689</t>
        </is>
      </c>
      <c r="J186" s="17" t="inlineStr">
        <is>
          <t>3</t>
        </is>
      </c>
      <c r="K186" s="17" t="inlineStr">
        <is>
          <t>원료의약품</t>
        </is>
      </c>
      <c r="L186" s="17" t="inlineStr">
        <is>
          <t>비무균-일반제제-과립</t>
        </is>
      </c>
      <c r="M186" s="24" t="n">
        <v>46960</v>
      </c>
      <c r="N186" s="17" t="inlineStr"/>
      <c r="O186" s="17" t="inlineStr"/>
      <c r="P186" s="17" t="inlineStr">
        <is>
          <t>충청남도</t>
        </is>
      </c>
      <c r="Q186" s="17" t="inlineStr">
        <is>
          <t>예산군</t>
        </is>
      </c>
      <c r="R186" s="17" t="inlineStr">
        <is>
          <t>GMP공장소재지</t>
        </is>
      </c>
      <c r="S186" s="17" t="n">
        <v>90</v>
      </c>
      <c r="T186" s="17" t="inlineStr">
        <is>
          <t>N</t>
        </is>
      </c>
      <c r="U186" s="17" t="n">
        <v>2</v>
      </c>
      <c r="V186" s="24" t="n">
        <v>46960</v>
      </c>
      <c r="W186" s="17" t="inlineStr"/>
      <c r="X186" s="17" t="inlineStr"/>
      <c r="Y186" s="17" t="inlineStr">
        <is>
          <t>회사키+주소</t>
        </is>
      </c>
      <c r="Z186" s="17" t="n">
        <v>90</v>
      </c>
      <c r="AA186" s="17" t="inlineStr"/>
    </row>
    <row r="187">
      <c r="A187" s="30" t="inlineStr">
        <is>
          <t>S186</t>
        </is>
      </c>
      <c r="B187" s="17" t="inlineStr">
        <is>
          <t>P164</t>
        </is>
      </c>
      <c r="C187" s="17" t="inlineStr">
        <is>
          <t>펩트론</t>
        </is>
      </c>
      <c r="D187" s="17" t="inlineStr">
        <is>
          <t>(주)펩트론</t>
        </is>
      </c>
      <c r="E187" s="17" t="inlineStr">
        <is>
          <t>충청북도 청주시 흥덕구 오송읍 의료단지길 135</t>
        </is>
      </c>
      <c r="F187" s="17" t="inlineStr">
        <is>
          <t>충청북도 청주시 흥덕구 오송읍 의료단지길 135</t>
        </is>
      </c>
      <c r="G187" s="17" t="inlineStr">
        <is>
          <t>충청북도 청주시 흥덕구 오송읍 의료단지길 135</t>
        </is>
      </c>
      <c r="H187" s="17" t="inlineStr">
        <is>
          <t>㈜펩트론 오송바이오파크</t>
        </is>
      </c>
      <c r="I187" s="23" t="inlineStr">
        <is>
          <t>6183</t>
        </is>
      </c>
      <c r="J187" s="17" t="inlineStr">
        <is>
          <t>1</t>
        </is>
      </c>
      <c r="K187" s="17" t="inlineStr">
        <is>
          <t>완제의약품</t>
        </is>
      </c>
      <c r="L187" s="17" t="inlineStr">
        <is>
          <t>무균-일반제제-주사제(동결건조주사제)</t>
        </is>
      </c>
      <c r="M187" s="24" t="n">
        <v>46958</v>
      </c>
      <c r="N187" s="17" t="inlineStr">
        <is>
          <t>Y</t>
        </is>
      </c>
      <c r="O187" s="17" t="inlineStr"/>
      <c r="P187" s="17" t="inlineStr">
        <is>
          <t>충청북도</t>
        </is>
      </c>
      <c r="Q187" s="17" t="inlineStr">
        <is>
          <t>청주시</t>
        </is>
      </c>
      <c r="R187" s="17" t="inlineStr">
        <is>
          <t>GMP공장소재지</t>
        </is>
      </c>
      <c r="S187" s="17" t="n">
        <v>90</v>
      </c>
      <c r="T187" s="17" t="inlineStr">
        <is>
          <t>Y</t>
        </is>
      </c>
      <c r="U187" s="17" t="n">
        <v>1</v>
      </c>
      <c r="V187" s="24" t="n">
        <v>46958</v>
      </c>
      <c r="W187" s="17" t="inlineStr"/>
      <c r="X187" s="17" t="inlineStr"/>
      <c r="Y187" s="17" t="inlineStr">
        <is>
          <t>회사키+주소</t>
        </is>
      </c>
      <c r="Z187" s="17" t="n">
        <v>90</v>
      </c>
      <c r="AA187" s="17" t="inlineStr"/>
    </row>
    <row r="188">
      <c r="A188" s="30" t="inlineStr">
        <is>
          <t>S187</t>
        </is>
      </c>
      <c r="B188" s="17" t="inlineStr">
        <is>
          <t>P165</t>
        </is>
      </c>
      <c r="C188" s="17" t="inlineStr">
        <is>
          <t>초당약품공업</t>
        </is>
      </c>
      <c r="D188" s="17" t="inlineStr">
        <is>
          <t>초당약품공업(주)</t>
        </is>
      </c>
      <c r="E188" s="17" t="inlineStr">
        <is>
          <t>경기도 안산시 단원구 별망로 381</t>
        </is>
      </c>
      <c r="F188" s="17" t="inlineStr">
        <is>
          <t>경기도 안산시 단원구 별망로 381</t>
        </is>
      </c>
      <c r="G188" s="17" t="inlineStr">
        <is>
          <t>경기도 안산시 단원구 별망로 381</t>
        </is>
      </c>
      <c r="H188" s="17" t="inlineStr">
        <is>
          <t>안산</t>
        </is>
      </c>
      <c r="I188" s="23" t="inlineStr">
        <is>
          <t>1486</t>
        </is>
      </c>
      <c r="J188" s="17" t="inlineStr">
        <is>
          <t>1</t>
        </is>
      </c>
      <c r="K188" s="17" t="inlineStr">
        <is>
          <t>완제의약품</t>
        </is>
      </c>
      <c r="L188" s="17" t="inlineStr">
        <is>
          <t>비무균-일반제제-내용고형제(정제, 캡슐제)</t>
        </is>
      </c>
      <c r="M188" s="24" t="n">
        <v>46956</v>
      </c>
      <c r="N188" s="17" t="inlineStr"/>
      <c r="O188" s="17" t="inlineStr"/>
      <c r="P188" s="17" t="inlineStr">
        <is>
          <t>경기도</t>
        </is>
      </c>
      <c r="Q188" s="17" t="inlineStr">
        <is>
          <t>안산시</t>
        </is>
      </c>
      <c r="R188" s="17" t="inlineStr">
        <is>
          <t>GMP공장소재지</t>
        </is>
      </c>
      <c r="S188" s="17" t="n">
        <v>90</v>
      </c>
      <c r="T188" s="17" t="inlineStr">
        <is>
          <t>Y</t>
        </is>
      </c>
      <c r="U188" s="17" t="n">
        <v>1</v>
      </c>
      <c r="V188" s="24" t="n">
        <v>46956</v>
      </c>
      <c r="W188" s="17" t="inlineStr"/>
      <c r="X188" s="17" t="inlineStr"/>
      <c r="Y188" s="17" t="inlineStr">
        <is>
          <t>회사키+주소</t>
        </is>
      </c>
      <c r="Z188" s="17" t="n">
        <v>90</v>
      </c>
      <c r="AA188" s="17" t="inlineStr"/>
    </row>
    <row r="189">
      <c r="A189" s="30" t="inlineStr">
        <is>
          <t>S188</t>
        </is>
      </c>
      <c r="B189" s="17" t="inlineStr">
        <is>
          <t>P166</t>
        </is>
      </c>
      <c r="C189" s="17" t="inlineStr">
        <is>
          <t>일화</t>
        </is>
      </c>
      <c r="D189" s="17" t="inlineStr">
        <is>
          <t>(주)일화</t>
        </is>
      </c>
      <c r="E189" s="17" t="inlineStr">
        <is>
          <t>강원특별자치도 춘천시 동내면 거두단지2길 55</t>
        </is>
      </c>
      <c r="F189" s="17" t="inlineStr">
        <is>
          <t>강원특별자치도 춘천시 동내면 거두단지2길 55</t>
        </is>
      </c>
      <c r="G189" s="17" t="inlineStr">
        <is>
          <t>강원특별자치도 춘천시 동내면 거두단지2길 55</t>
        </is>
      </c>
      <c r="H189" s="17" t="inlineStr">
        <is>
          <t>춘천</t>
        </is>
      </c>
      <c r="I189" s="23" t="inlineStr">
        <is>
          <t>1396</t>
        </is>
      </c>
      <c r="J189" s="17" t="inlineStr">
        <is>
          <t>3</t>
        </is>
      </c>
      <c r="K189" s="17" t="inlineStr">
        <is>
          <t>완제의약품</t>
        </is>
      </c>
      <c r="L189" s="17" t="inlineStr">
        <is>
          <t>비무균-일반제제-내용고형제(정제, 캡슐제), 비무균-일반제제-내용액제(경구용액제)</t>
        </is>
      </c>
      <c r="M189" s="24" t="n">
        <v>46955</v>
      </c>
      <c r="N189" s="17" t="inlineStr"/>
      <c r="O189" s="17" t="inlineStr"/>
      <c r="P189" s="17" t="inlineStr">
        <is>
          <t>강원특별자치도</t>
        </is>
      </c>
      <c r="Q189" s="17" t="inlineStr">
        <is>
          <t>춘천시</t>
        </is>
      </c>
      <c r="R189" s="17" t="inlineStr">
        <is>
          <t>GMP공장소재지</t>
        </is>
      </c>
      <c r="S189" s="17" t="n">
        <v>90</v>
      </c>
      <c r="T189" s="17" t="inlineStr">
        <is>
          <t>Y</t>
        </is>
      </c>
      <c r="U189" s="17" t="n">
        <v>1</v>
      </c>
      <c r="V189" s="24" t="n">
        <v>46955</v>
      </c>
      <c r="W189" s="17" t="inlineStr"/>
      <c r="X189" s="17" t="inlineStr"/>
      <c r="Y189" s="17" t="inlineStr">
        <is>
          <t>회사키+주소</t>
        </is>
      </c>
      <c r="Z189" s="17" t="n">
        <v>90</v>
      </c>
      <c r="AA189" s="17" t="inlineStr"/>
    </row>
    <row r="190">
      <c r="A190" s="30" t="inlineStr">
        <is>
          <t>S189</t>
        </is>
      </c>
      <c r="B190" s="17" t="inlineStr">
        <is>
          <t>P167</t>
        </is>
      </c>
      <c r="C190" s="17" t="inlineStr">
        <is>
          <t>삼덕가스공업</t>
        </is>
      </c>
      <c r="D190" s="17" t="inlineStr">
        <is>
          <t>삼덕가스공업(주)</t>
        </is>
      </c>
      <c r="E190" s="17" t="inlineStr">
        <is>
          <t>경기도 김포시 조리미로 14-1</t>
        </is>
      </c>
      <c r="F190" s="17" t="inlineStr">
        <is>
          <t>경기도 김포시 조리미로 14-1</t>
        </is>
      </c>
      <c r="G190" s="17" t="inlineStr">
        <is>
          <t>경기도 김포시 조리미로 14-1</t>
        </is>
      </c>
      <c r="H190" s="17" t="inlineStr">
        <is>
          <t>김포</t>
        </is>
      </c>
      <c r="I190" s="23" t="inlineStr">
        <is>
          <t>1988</t>
        </is>
      </c>
      <c r="J190" s="17" t="inlineStr">
        <is>
          <t>1</t>
        </is>
      </c>
      <c r="K190" s="17" t="inlineStr">
        <is>
          <t>완제의약품</t>
        </is>
      </c>
      <c r="L190" s="17" t="inlineStr">
        <is>
          <t>비무균-일반제제(의료용 고압가스)-가스제(의료용 고압가스)</t>
        </is>
      </c>
      <c r="M190" s="24" t="n">
        <v>46954</v>
      </c>
      <c r="N190" s="17" t="inlineStr"/>
      <c r="O190" s="17" t="inlineStr"/>
      <c r="P190" s="17" t="inlineStr">
        <is>
          <t>경기도</t>
        </is>
      </c>
      <c r="Q190" s="17" t="inlineStr">
        <is>
          <t>김포시</t>
        </is>
      </c>
      <c r="R190" s="17" t="inlineStr">
        <is>
          <t>GMP공장소재지</t>
        </is>
      </c>
      <c r="S190" s="17" t="n">
        <v>90</v>
      </c>
      <c r="T190" s="17" t="inlineStr">
        <is>
          <t>Y</t>
        </is>
      </c>
      <c r="U190" s="17" t="n">
        <v>1</v>
      </c>
      <c r="V190" s="24" t="n">
        <v>46954</v>
      </c>
      <c r="W190" s="17" t="inlineStr"/>
      <c r="X190" s="17" t="inlineStr"/>
      <c r="Y190" s="17" t="inlineStr">
        <is>
          <t>회사키+주소</t>
        </is>
      </c>
      <c r="Z190" s="17" t="n">
        <v>90</v>
      </c>
      <c r="AA190" s="17" t="inlineStr"/>
    </row>
    <row r="191">
      <c r="A191" s="30" t="inlineStr">
        <is>
          <t>S190</t>
        </is>
      </c>
      <c r="B191" s="17" t="inlineStr">
        <is>
          <t>P168</t>
        </is>
      </c>
      <c r="C191" s="17" t="inlineStr">
        <is>
          <t>신원산업</t>
        </is>
      </c>
      <c r="D191" s="17" t="inlineStr">
        <is>
          <t>신원산업(주)</t>
        </is>
      </c>
      <c r="E191" s="17" t="inlineStr">
        <is>
          <t>충청북도 음성군 삼성면 덕호로 189</t>
        </is>
      </c>
      <c r="F191" s="17" t="inlineStr"/>
      <c r="G191" s="17" t="inlineStr">
        <is>
          <t>충청북도 음성군 삼성면 덕호로 189</t>
        </is>
      </c>
      <c r="H191" s="17" t="inlineStr">
        <is>
          <t>미확인</t>
        </is>
      </c>
      <c r="I191" s="23" t="inlineStr">
        <is>
          <t>0002</t>
        </is>
      </c>
      <c r="J191" s="17" t="inlineStr"/>
      <c r="K191" s="17" t="inlineStr">
        <is>
          <t>원료의약품</t>
        </is>
      </c>
      <c r="L191" s="17" t="inlineStr">
        <is>
          <t>비무균-일반제제-합성</t>
        </is>
      </c>
      <c r="M191" s="24" t="n">
        <v>46953</v>
      </c>
      <c r="N191" s="17" t="inlineStr"/>
      <c r="O191" s="17" t="inlineStr"/>
      <c r="P191" s="17" t="inlineStr">
        <is>
          <t>충청북도</t>
        </is>
      </c>
      <c r="Q191" s="17" t="inlineStr">
        <is>
          <t>음성군</t>
        </is>
      </c>
      <c r="R191" s="17" t="inlineStr">
        <is>
          <t>GMP공장소재지</t>
        </is>
      </c>
      <c r="S191" s="17" t="n">
        <v>0</v>
      </c>
      <c r="T191" s="17" t="inlineStr">
        <is>
          <t>Y</t>
        </is>
      </c>
      <c r="U191" s="17" t="n">
        <v>1</v>
      </c>
      <c r="V191" s="24" t="n">
        <v>46953</v>
      </c>
      <c r="W191" s="17" t="inlineStr"/>
      <c r="X191" s="17" t="inlineStr"/>
      <c r="Y191" s="17" t="inlineStr">
        <is>
          <t>무매칭</t>
        </is>
      </c>
      <c r="Z191" s="17" t="n">
        <v>0</v>
      </c>
      <c r="AA191" s="17" t="inlineStr">
        <is>
          <t>Y</t>
        </is>
      </c>
    </row>
    <row r="192">
      <c r="A192" s="30" t="inlineStr">
        <is>
          <t>S191</t>
        </is>
      </c>
      <c r="B192" s="17" t="inlineStr">
        <is>
          <t>P169</t>
        </is>
      </c>
      <c r="C192" s="17" t="inlineStr">
        <is>
          <t>단일시스켐</t>
        </is>
      </c>
      <c r="D192" s="17" t="inlineStr">
        <is>
          <t>단일시스켐(주)</t>
        </is>
      </c>
      <c r="E192" s="17" t="inlineStr">
        <is>
          <t>경기도 화성시 정남면 만년로98번길 24</t>
        </is>
      </c>
      <c r="F192" s="17" t="inlineStr">
        <is>
          <t>경기도 화성시 정남면 만년로98번길 24</t>
        </is>
      </c>
      <c r="G192" s="17" t="inlineStr">
        <is>
          <t>경기도 화성시 정남면 만년로98번길 24</t>
        </is>
      </c>
      <c r="H192" s="17" t="inlineStr">
        <is>
          <t>화성공장</t>
        </is>
      </c>
      <c r="I192" s="23" t="inlineStr">
        <is>
          <t>1686</t>
        </is>
      </c>
      <c r="J192" s="17" t="inlineStr">
        <is>
          <t>4</t>
        </is>
      </c>
      <c r="K192" s="17" t="inlineStr">
        <is>
          <t>완제의약품</t>
        </is>
      </c>
      <c r="L192" s="17" t="inlineStr">
        <is>
          <t>비무균-일반제제(의료용 고압가스)-가스제(의료용 고압가스)</t>
        </is>
      </c>
      <c r="M192" s="24" t="n">
        <v>46953</v>
      </c>
      <c r="N192" s="17" t="inlineStr"/>
      <c r="O192" s="17" t="inlineStr"/>
      <c r="P192" s="17" t="inlineStr">
        <is>
          <t>경기도</t>
        </is>
      </c>
      <c r="Q192" s="17" t="inlineStr">
        <is>
          <t>화성시</t>
        </is>
      </c>
      <c r="R192" s="17" t="inlineStr">
        <is>
          <t>GMP공장소재지</t>
        </is>
      </c>
      <c r="S192" s="17" t="n">
        <v>90</v>
      </c>
      <c r="T192" s="17" t="inlineStr">
        <is>
          <t>Y</t>
        </is>
      </c>
      <c r="U192" s="17" t="n">
        <v>1</v>
      </c>
      <c r="V192" s="24" t="n">
        <v>46953</v>
      </c>
      <c r="W192" s="17" t="inlineStr"/>
      <c r="X192" s="17" t="inlineStr"/>
      <c r="Y192" s="17" t="inlineStr">
        <is>
          <t>회사키+주소</t>
        </is>
      </c>
      <c r="Z192" s="17" t="n">
        <v>90</v>
      </c>
      <c r="AA192" s="17" t="inlineStr"/>
    </row>
    <row r="193">
      <c r="A193" s="30" t="inlineStr">
        <is>
          <t>S192</t>
        </is>
      </c>
      <c r="B193" s="17" t="inlineStr">
        <is>
          <t>P170</t>
        </is>
      </c>
      <c r="C193" s="17" t="inlineStr">
        <is>
          <t>한국비엔씨</t>
        </is>
      </c>
      <c r="D193" s="17" t="inlineStr">
        <is>
          <t>(주)한국비엔씨</t>
        </is>
      </c>
      <c r="E193" s="17" t="inlineStr">
        <is>
          <t>세종특별자치시 소정면 소정산단북로 7</t>
        </is>
      </c>
      <c r="F193" s="17" t="inlineStr">
        <is>
          <t>세종특별자치시 소정면 소정산단북로 7</t>
        </is>
      </c>
      <c r="G193" s="17" t="inlineStr">
        <is>
          <t>세종특별자치시 소정면 소정산단북로 7</t>
        </is>
      </c>
      <c r="H193" s="17" t="inlineStr">
        <is>
          <t>2공장 세종공장</t>
        </is>
      </c>
      <c r="I193" s="23" t="inlineStr">
        <is>
          <t>98</t>
        </is>
      </c>
      <c r="J193" s="17" t="inlineStr">
        <is>
          <t>2</t>
        </is>
      </c>
      <c r="K193" s="17" t="inlineStr">
        <is>
          <t>원료의약품</t>
        </is>
      </c>
      <c r="L193" s="17" t="inlineStr">
        <is>
          <t>생물-독소-(배양, 정제, 원액 제조)</t>
        </is>
      </c>
      <c r="M193" s="24" t="n">
        <v>46952</v>
      </c>
      <c r="N193" s="17" t="inlineStr"/>
      <c r="O193" s="17" t="inlineStr">
        <is>
          <t>Y</t>
        </is>
      </c>
      <c r="P193" s="17" t="inlineStr">
        <is>
          <t>세종특별자치시</t>
        </is>
      </c>
      <c r="Q193" s="17" t="inlineStr">
        <is>
          <t>세종특별자치시</t>
        </is>
      </c>
      <c r="R193" s="17" t="inlineStr">
        <is>
          <t>GMP공장소재지</t>
        </is>
      </c>
      <c r="S193" s="17" t="n">
        <v>90</v>
      </c>
      <c r="T193" s="17" t="inlineStr">
        <is>
          <t>Y</t>
        </is>
      </c>
      <c r="U193" s="17" t="n">
        <v>2</v>
      </c>
      <c r="V193" s="24" t="n">
        <v>46882</v>
      </c>
      <c r="W193" s="17" t="inlineStr"/>
      <c r="X193" s="17" t="inlineStr"/>
      <c r="Y193" s="17" t="inlineStr">
        <is>
          <t>회사키+주소</t>
        </is>
      </c>
      <c r="Z193" s="17" t="n">
        <v>90</v>
      </c>
      <c r="AA193" s="17" t="inlineStr"/>
    </row>
    <row r="194">
      <c r="A194" s="30" t="inlineStr">
        <is>
          <t>S193</t>
        </is>
      </c>
      <c r="B194" s="17" t="inlineStr">
        <is>
          <t>P171</t>
        </is>
      </c>
      <c r="C194" s="17" t="inlineStr">
        <is>
          <t>삼흥에너지</t>
        </is>
      </c>
      <c r="D194" s="17" t="inlineStr">
        <is>
          <t>(주)삼흥에너지</t>
        </is>
      </c>
      <c r="E194" s="17" t="inlineStr">
        <is>
          <t>경상남도 김해시 장유면 장유로55번길 40</t>
        </is>
      </c>
      <c r="F194" s="17" t="inlineStr">
        <is>
          <t>경상남도 김해시 장유면 장유로55번길 40</t>
        </is>
      </c>
      <c r="G194" s="17" t="inlineStr">
        <is>
          <t>경상남도 김해시 장유면 장유로55번길 40</t>
        </is>
      </c>
      <c r="H194" s="17" t="inlineStr">
        <is>
          <t>1공장</t>
        </is>
      </c>
      <c r="I194" s="23" t="inlineStr">
        <is>
          <t>2614</t>
        </is>
      </c>
      <c r="J194" s="17" t="inlineStr">
        <is>
          <t>1</t>
        </is>
      </c>
      <c r="K194" s="17" t="inlineStr">
        <is>
          <t>완제의약품</t>
        </is>
      </c>
      <c r="L194" s="17" t="inlineStr">
        <is>
          <t>비무균-일반제제(의료용 고압가스)-가스제(의료용 고압가스)</t>
        </is>
      </c>
      <c r="M194" s="24" t="n">
        <v>46952</v>
      </c>
      <c r="N194" s="17" t="inlineStr"/>
      <c r="O194" s="17" t="inlineStr"/>
      <c r="P194" s="17" t="inlineStr">
        <is>
          <t>경상남도</t>
        </is>
      </c>
      <c r="Q194" s="17" t="inlineStr">
        <is>
          <t>김해시</t>
        </is>
      </c>
      <c r="R194" s="17" t="inlineStr">
        <is>
          <t>GMP공장소재지</t>
        </is>
      </c>
      <c r="S194" s="17" t="n">
        <v>90</v>
      </c>
      <c r="T194" s="17" t="inlineStr">
        <is>
          <t>Y</t>
        </is>
      </c>
      <c r="U194" s="17" t="n">
        <v>1</v>
      </c>
      <c r="V194" s="24" t="n">
        <v>46952</v>
      </c>
      <c r="W194" s="17" t="inlineStr"/>
      <c r="X194" s="17" t="inlineStr"/>
      <c r="Y194" s="17" t="inlineStr">
        <is>
          <t>회사키+주소</t>
        </is>
      </c>
      <c r="Z194" s="17" t="n">
        <v>90</v>
      </c>
      <c r="AA194" s="17" t="inlineStr"/>
    </row>
    <row r="195">
      <c r="A195" s="30" t="inlineStr">
        <is>
          <t>S194</t>
        </is>
      </c>
      <c r="B195" s="17" t="inlineStr">
        <is>
          <t>P172</t>
        </is>
      </c>
      <c r="C195" s="17" t="inlineStr">
        <is>
          <t>대상</t>
        </is>
      </c>
      <c r="D195" s="17" t="inlineStr">
        <is>
          <t>대상(주)</t>
        </is>
      </c>
      <c r="E195" s="17" t="inlineStr">
        <is>
          <t>전북특별자치도 군산시 외항1길 208 GMP동, 사무동 3층(시험실)</t>
        </is>
      </c>
      <c r="F195" s="17" t="inlineStr"/>
      <c r="G195" s="17" t="inlineStr">
        <is>
          <t>전북특별자치도 군산시 외항1길 208 GMP동, 사무동 3층(시험실)</t>
        </is>
      </c>
      <c r="H195" s="17" t="inlineStr">
        <is>
          <t>미확인</t>
        </is>
      </c>
      <c r="I195" s="23" t="inlineStr">
        <is>
          <t>1556</t>
        </is>
      </c>
      <c r="J195" s="17" t="inlineStr"/>
      <c r="K195" s="17" t="inlineStr">
        <is>
          <t>원료의약품</t>
        </is>
      </c>
      <c r="L195" s="17" t="inlineStr">
        <is>
          <t>비무균-일반제제-정제(발효에 한함)</t>
        </is>
      </c>
      <c r="M195" s="24" t="n">
        <v>46952</v>
      </c>
      <c r="N195" s="17" t="inlineStr"/>
      <c r="O195" s="17" t="inlineStr"/>
      <c r="P195" s="17" t="inlineStr">
        <is>
          <t>전북특별자치도</t>
        </is>
      </c>
      <c r="Q195" s="17" t="inlineStr">
        <is>
          <t>군산시</t>
        </is>
      </c>
      <c r="R195" s="17" t="inlineStr">
        <is>
          <t>GMP공장소재지</t>
        </is>
      </c>
      <c r="S195" s="17" t="n">
        <v>0</v>
      </c>
      <c r="T195" s="17" t="inlineStr">
        <is>
          <t>Y</t>
        </is>
      </c>
      <c r="U195" s="17" t="n">
        <v>1</v>
      </c>
      <c r="V195" s="24" t="n">
        <v>46952</v>
      </c>
      <c r="W195" s="17" t="inlineStr"/>
      <c r="X195" s="17" t="inlineStr"/>
      <c r="Y195" s="17" t="inlineStr">
        <is>
          <t>무매칭</t>
        </is>
      </c>
      <c r="Z195" s="17" t="n">
        <v>0</v>
      </c>
      <c r="AA195" s="17" t="inlineStr">
        <is>
          <t>Y</t>
        </is>
      </c>
    </row>
    <row r="196">
      <c r="A196" s="30" t="inlineStr">
        <is>
          <t>S195</t>
        </is>
      </c>
      <c r="B196" s="17" t="inlineStr">
        <is>
          <t>P173</t>
        </is>
      </c>
      <c r="C196" s="17" t="inlineStr">
        <is>
          <t>한미약품</t>
        </is>
      </c>
      <c r="D196" s="17" t="inlineStr">
        <is>
          <t>한미약품(주)</t>
        </is>
      </c>
      <c r="E196" s="17" t="inlineStr">
        <is>
          <t>경기도 화성시 만세구 팔탄면 무하로 214</t>
        </is>
      </c>
      <c r="F196" s="17" t="inlineStr">
        <is>
          <t>경기도 화성시 만세구 팔탄면 무하로 214</t>
        </is>
      </c>
      <c r="G196" s="17" t="inlineStr">
        <is>
          <t>경기도 화성시 만세구 팔탄면 무하로 214</t>
        </is>
      </c>
      <c r="H196" s="17" t="inlineStr">
        <is>
          <t>화성</t>
        </is>
      </c>
      <c r="I196" s="23" t="inlineStr">
        <is>
          <t>1337</t>
        </is>
      </c>
      <c r="J196" s="17" t="inlineStr">
        <is>
          <t>1</t>
        </is>
      </c>
      <c r="K196" s="17" t="inlineStr">
        <is>
          <t>완제의약품</t>
        </is>
      </c>
      <c r="L196" s="17" t="inlineStr">
        <is>
          <t>비무균-일반제제-내용고형제(정제, 캡슐제, 산제, 흡입제(고형), 구강붕해정, 츄어블정(저작정)), 무균-일반제제-점안제(점안제)</t>
        </is>
      </c>
      <c r="M196" s="24" t="n">
        <v>46948</v>
      </c>
      <c r="N196" s="17" t="inlineStr"/>
      <c r="O196" s="17" t="inlineStr"/>
      <c r="P196" s="17" t="inlineStr">
        <is>
          <t>경기도</t>
        </is>
      </c>
      <c r="Q196" s="17" t="inlineStr">
        <is>
          <t>화성시</t>
        </is>
      </c>
      <c r="R196" s="17" t="inlineStr">
        <is>
          <t>GMP공장소재지</t>
        </is>
      </c>
      <c r="S196" s="17" t="n">
        <v>90</v>
      </c>
      <c r="T196" s="17" t="inlineStr">
        <is>
          <t>Y</t>
        </is>
      </c>
      <c r="U196" s="17" t="n">
        <v>1</v>
      </c>
      <c r="V196" s="24" t="n">
        <v>46948</v>
      </c>
      <c r="W196" s="17" t="inlineStr"/>
      <c r="X196" s="17" t="inlineStr"/>
      <c r="Y196" s="17" t="inlineStr">
        <is>
          <t>회사키+주소</t>
        </is>
      </c>
      <c r="Z196" s="17" t="n">
        <v>90</v>
      </c>
      <c r="AA196" s="17" t="inlineStr"/>
    </row>
    <row r="197">
      <c r="A197" s="30" t="inlineStr">
        <is>
          <t>S196</t>
        </is>
      </c>
      <c r="B197" s="17" t="inlineStr">
        <is>
          <t>P174</t>
        </is>
      </c>
      <c r="C197" s="17" t="inlineStr">
        <is>
          <t>휴메딕스</t>
        </is>
      </c>
      <c r="D197" s="17" t="inlineStr">
        <is>
          <t>(주)휴메딕스</t>
        </is>
      </c>
      <c r="E197" s="17" t="inlineStr">
        <is>
          <t>충청북도 제천시 바이오밸리2로 17</t>
        </is>
      </c>
      <c r="F197" s="17" t="inlineStr">
        <is>
          <t>충청북도 제천시 바이오밸리2로 17</t>
        </is>
      </c>
      <c r="G197" s="17" t="inlineStr">
        <is>
          <t>충청북도 제천시 바이오밸리2로 17</t>
        </is>
      </c>
      <c r="H197" s="17" t="inlineStr">
        <is>
          <t>제천</t>
        </is>
      </c>
      <c r="I197" s="23" t="inlineStr">
        <is>
          <t>899</t>
        </is>
      </c>
      <c r="J197" s="17" t="inlineStr">
        <is>
          <t>1</t>
        </is>
      </c>
      <c r="K197" s="17" t="inlineStr">
        <is>
          <t>원료의약품</t>
        </is>
      </c>
      <c r="L197" s="17" t="inlineStr">
        <is>
          <t>무균-일반제제-합성, 비무균-일반제제-추출</t>
        </is>
      </c>
      <c r="M197" s="24" t="n">
        <v>46948</v>
      </c>
      <c r="N197" s="17" t="inlineStr">
        <is>
          <t>Y</t>
        </is>
      </c>
      <c r="O197" s="17" t="inlineStr"/>
      <c r="P197" s="17" t="inlineStr">
        <is>
          <t>충청북도</t>
        </is>
      </c>
      <c r="Q197" s="17" t="inlineStr">
        <is>
          <t>제천시</t>
        </is>
      </c>
      <c r="R197" s="17" t="inlineStr">
        <is>
          <t>GMP공장소재지</t>
        </is>
      </c>
      <c r="S197" s="17" t="n">
        <v>90</v>
      </c>
      <c r="T197" s="17" t="inlineStr">
        <is>
          <t>Y</t>
        </is>
      </c>
      <c r="U197" s="17" t="n">
        <v>2</v>
      </c>
      <c r="V197" s="24" t="n">
        <v>46948</v>
      </c>
      <c r="W197" s="17" t="inlineStr"/>
      <c r="X197" s="17" t="inlineStr"/>
      <c r="Y197" s="17" t="inlineStr">
        <is>
          <t>회사키+주소</t>
        </is>
      </c>
      <c r="Z197" s="17" t="n">
        <v>90</v>
      </c>
      <c r="AA197" s="17" t="inlineStr"/>
    </row>
    <row r="198">
      <c r="A198" s="30" t="inlineStr">
        <is>
          <t>S197</t>
        </is>
      </c>
      <c r="B198" s="17" t="inlineStr">
        <is>
          <t>P174</t>
        </is>
      </c>
      <c r="C198" s="17" t="inlineStr">
        <is>
          <t>휴메딕스</t>
        </is>
      </c>
      <c r="D198" s="17" t="inlineStr">
        <is>
          <t>(주)휴메딕스</t>
        </is>
      </c>
      <c r="E198" s="17" t="inlineStr">
        <is>
          <t>충청북도 제천시 바이오밸리2로 17</t>
        </is>
      </c>
      <c r="F198" s="17" t="inlineStr">
        <is>
          <t>충청북도 제천시 바이오밸리2로 17</t>
        </is>
      </c>
      <c r="G198" s="17" t="inlineStr">
        <is>
          <t>충청북도 제천시 바이오밸리2로 17</t>
        </is>
      </c>
      <c r="H198" s="17" t="inlineStr">
        <is>
          <t>제천</t>
        </is>
      </c>
      <c r="I198" s="23" t="inlineStr">
        <is>
          <t>899</t>
        </is>
      </c>
      <c r="J198" s="17" t="inlineStr">
        <is>
          <t>1</t>
        </is>
      </c>
      <c r="K198" s="17" t="inlineStr">
        <is>
          <t>완제의약품</t>
        </is>
      </c>
      <c r="L198" s="17" t="inlineStr">
        <is>
          <t>무균-일반제제-주사제(주사제, 동결건조주사제), 무균-일반제제-점안제(점안제)</t>
        </is>
      </c>
      <c r="M198" s="24" t="n">
        <v>46948</v>
      </c>
      <c r="N198" s="17" t="inlineStr">
        <is>
          <t>Y</t>
        </is>
      </c>
      <c r="O198" s="17" t="inlineStr"/>
      <c r="P198" s="17" t="inlineStr">
        <is>
          <t>충청북도</t>
        </is>
      </c>
      <c r="Q198" s="17" t="inlineStr">
        <is>
          <t>제천시</t>
        </is>
      </c>
      <c r="R198" s="17" t="inlineStr">
        <is>
          <t>GMP공장소재지</t>
        </is>
      </c>
      <c r="S198" s="17" t="n">
        <v>90</v>
      </c>
      <c r="T198" s="17" t="inlineStr">
        <is>
          <t>N</t>
        </is>
      </c>
      <c r="U198" s="17" t="n">
        <v>2</v>
      </c>
      <c r="V198" s="24" t="n">
        <v>46948</v>
      </c>
      <c r="W198" s="17" t="inlineStr"/>
      <c r="X198" s="17" t="inlineStr"/>
      <c r="Y198" s="17" t="inlineStr">
        <is>
          <t>회사키+주소</t>
        </is>
      </c>
      <c r="Z198" s="17" t="n">
        <v>90</v>
      </c>
      <c r="AA198" s="17" t="inlineStr"/>
    </row>
    <row r="199">
      <c r="A199" s="30" t="inlineStr">
        <is>
          <t>S198</t>
        </is>
      </c>
      <c r="B199" s="17" t="inlineStr">
        <is>
          <t>P038</t>
        </is>
      </c>
      <c r="C199" s="17" t="inlineStr">
        <is>
          <t>한국코러스</t>
        </is>
      </c>
      <c r="D199" s="17" t="inlineStr">
        <is>
          <t>한국코러스(주)</t>
        </is>
      </c>
      <c r="E199" s="17" t="inlineStr">
        <is>
          <t>강원특별자치도 춘천시 동내면 거두단지 1길11</t>
        </is>
      </c>
      <c r="F199" s="17" t="inlineStr">
        <is>
          <t>강원특별자치도 춘천시 동내면 거두단지 1길11</t>
        </is>
      </c>
      <c r="G199" s="17" t="inlineStr">
        <is>
          <t>강원특별자치도 춘천시 동내면 거두단지 1길11</t>
        </is>
      </c>
      <c r="H199" s="17" t="inlineStr">
        <is>
          <t>춘천</t>
        </is>
      </c>
      <c r="I199" s="23" t="inlineStr">
        <is>
          <t>1728</t>
        </is>
      </c>
      <c r="J199" s="17" t="inlineStr">
        <is>
          <t>3</t>
        </is>
      </c>
      <c r="K199" s="17" t="inlineStr">
        <is>
          <t>완제의약품</t>
        </is>
      </c>
      <c r="L199" s="17" t="inlineStr">
        <is>
          <t>무균-일반제제-주사제(주사제, 동결건조주사제), 생물-유전자재조합의약품-주사제(주사제)</t>
        </is>
      </c>
      <c r="M199" s="24" t="n">
        <v>46947</v>
      </c>
      <c r="N199" s="17" t="inlineStr">
        <is>
          <t>Y</t>
        </is>
      </c>
      <c r="O199" s="17" t="inlineStr"/>
      <c r="P199" s="17" t="inlineStr">
        <is>
          <t>강원특별자치도</t>
        </is>
      </c>
      <c r="Q199" s="17" t="inlineStr">
        <is>
          <t>춘천시</t>
        </is>
      </c>
      <c r="R199" s="17" t="inlineStr">
        <is>
          <t>GMP공장소재지</t>
        </is>
      </c>
      <c r="S199" s="17" t="n">
        <v>90</v>
      </c>
      <c r="T199" s="17" t="inlineStr">
        <is>
          <t>N</t>
        </is>
      </c>
      <c r="U199" s="17" t="n">
        <v>2</v>
      </c>
      <c r="V199" s="24" t="n">
        <v>46947</v>
      </c>
      <c r="W199" s="17" t="inlineStr"/>
      <c r="X199" s="17" t="inlineStr"/>
      <c r="Y199" s="17" t="inlineStr">
        <is>
          <t>회사키+주소</t>
        </is>
      </c>
      <c r="Z199" s="17" t="n">
        <v>90</v>
      </c>
      <c r="AA199" s="17" t="inlineStr"/>
    </row>
    <row r="200">
      <c r="A200" s="30" t="inlineStr">
        <is>
          <t>S199</t>
        </is>
      </c>
      <c r="B200" s="17" t="inlineStr">
        <is>
          <t>P175</t>
        </is>
      </c>
      <c r="C200" s="17" t="inlineStr">
        <is>
          <t>경동제약</t>
        </is>
      </c>
      <c r="D200" s="17" t="inlineStr">
        <is>
          <t>경동제약(주)</t>
        </is>
      </c>
      <c r="E200" s="17" t="inlineStr">
        <is>
          <t>경기도 화성시 만세구 향남읍 발안공단로2길 15</t>
        </is>
      </c>
      <c r="F200" s="17" t="inlineStr">
        <is>
          <t>경기도 화성시 만세구 향남읍 발안공단로2길 15</t>
        </is>
      </c>
      <c r="G200" s="17" t="inlineStr">
        <is>
          <t>경기도 화성시 만세구 향남읍 발안공단로2길 15</t>
        </is>
      </c>
      <c r="H200" s="17" t="inlineStr">
        <is>
          <t>향남(원료)</t>
        </is>
      </c>
      <c r="I200" s="23" t="inlineStr">
        <is>
          <t>1574</t>
        </is>
      </c>
      <c r="J200" s="17" t="inlineStr">
        <is>
          <t>2</t>
        </is>
      </c>
      <c r="K200" s="17" t="inlineStr">
        <is>
          <t>원료의약품</t>
        </is>
      </c>
      <c r="L200" s="17" t="inlineStr">
        <is>
          <t>비무균-일반제제-합성</t>
        </is>
      </c>
      <c r="M200" s="24" t="n">
        <v>46947</v>
      </c>
      <c r="N200" s="17" t="inlineStr"/>
      <c r="O200" s="17" t="inlineStr"/>
      <c r="P200" s="17" t="inlineStr">
        <is>
          <t>경기도</t>
        </is>
      </c>
      <c r="Q200" s="17" t="inlineStr">
        <is>
          <t>화성시</t>
        </is>
      </c>
      <c r="R200" s="17" t="inlineStr">
        <is>
          <t>GMP공장소재지</t>
        </is>
      </c>
      <c r="S200" s="17" t="n">
        <v>90</v>
      </c>
      <c r="T200" s="17" t="inlineStr">
        <is>
          <t>Y</t>
        </is>
      </c>
      <c r="U200" s="17" t="n">
        <v>1</v>
      </c>
      <c r="V200" s="24" t="n">
        <v>46947</v>
      </c>
      <c r="W200" s="17" t="inlineStr"/>
      <c r="X200" s="17" t="inlineStr"/>
      <c r="Y200" s="17" t="inlineStr">
        <is>
          <t>회사키+주소</t>
        </is>
      </c>
      <c r="Z200" s="17" t="n">
        <v>90</v>
      </c>
      <c r="AA200" s="17" t="inlineStr"/>
    </row>
    <row r="201">
      <c r="A201" s="30" t="inlineStr">
        <is>
          <t>S200</t>
        </is>
      </c>
      <c r="B201" s="17" t="inlineStr">
        <is>
          <t>P176</t>
        </is>
      </c>
      <c r="C201" s="17" t="inlineStr">
        <is>
          <t>원광제약</t>
        </is>
      </c>
      <c r="D201" s="17" t="inlineStr">
        <is>
          <t>원광제약(주)</t>
        </is>
      </c>
      <c r="E201" s="17" t="inlineStr">
        <is>
          <t>전북특별자치도 익산시 춘포면 석암로11길 165</t>
        </is>
      </c>
      <c r="F201" s="17" t="inlineStr">
        <is>
          <t>전북특별자치도 익산시 춘포면 석암로11길 165</t>
        </is>
      </c>
      <c r="G201" s="17" t="inlineStr">
        <is>
          <t>전북특별자치도 익산시 춘포면 석암로11길 165</t>
        </is>
      </c>
      <c r="H201" s="17" t="inlineStr">
        <is>
          <t>2공장(춘포)</t>
        </is>
      </c>
      <c r="I201" s="23" t="inlineStr">
        <is>
          <t>1450</t>
        </is>
      </c>
      <c r="J201" s="17" t="inlineStr">
        <is>
          <t>1</t>
        </is>
      </c>
      <c r="K201" s="17" t="inlineStr">
        <is>
          <t>완제의약품</t>
        </is>
      </c>
      <c r="L201" s="17" t="inlineStr">
        <is>
          <t>비무균-성호르몬제-내용액제(현탁제), 비무균-일반제제-그 밖의 고형제(혈액투석제(고형))</t>
        </is>
      </c>
      <c r="M201" s="24" t="n">
        <v>46947</v>
      </c>
      <c r="N201" s="17" t="inlineStr"/>
      <c r="O201" s="17" t="inlineStr"/>
      <c r="P201" s="17" t="inlineStr">
        <is>
          <t>전북특별자치도</t>
        </is>
      </c>
      <c r="Q201" s="17" t="inlineStr">
        <is>
          <t>익산시</t>
        </is>
      </c>
      <c r="R201" s="17" t="inlineStr">
        <is>
          <t>GMP공장소재지</t>
        </is>
      </c>
      <c r="S201" s="17" t="n">
        <v>90</v>
      </c>
      <c r="T201" s="17" t="inlineStr">
        <is>
          <t>Y</t>
        </is>
      </c>
      <c r="U201" s="17" t="n">
        <v>1</v>
      </c>
      <c r="V201" s="24" t="n">
        <v>46947</v>
      </c>
      <c r="W201" s="17" t="inlineStr"/>
      <c r="X201" s="17" t="inlineStr"/>
      <c r="Y201" s="17" t="inlineStr">
        <is>
          <t>회사키+주소</t>
        </is>
      </c>
      <c r="Z201" s="17" t="n">
        <v>90</v>
      </c>
      <c r="AA201" s="17" t="inlineStr"/>
    </row>
    <row r="202">
      <c r="A202" s="30" t="inlineStr">
        <is>
          <t>S201</t>
        </is>
      </c>
      <c r="B202" s="17" t="inlineStr">
        <is>
          <t>P177</t>
        </is>
      </c>
      <c r="C202" s="17" t="inlineStr">
        <is>
          <t>조아제약</t>
        </is>
      </c>
      <c r="D202" s="17" t="inlineStr">
        <is>
          <t>조아제약(주)</t>
        </is>
      </c>
      <c r="E202" s="17" t="inlineStr">
        <is>
          <t>경상남도 함안군 함안면 광정로 318</t>
        </is>
      </c>
      <c r="F202" s="17" t="inlineStr">
        <is>
          <t>경상남도 함안군 함안면 광정로 318</t>
        </is>
      </c>
      <c r="G202" s="17" t="inlineStr">
        <is>
          <t>경상남도 함안군 함안면 광정로 318</t>
        </is>
      </c>
      <c r="H202" s="17" t="inlineStr">
        <is>
          <t>함안</t>
        </is>
      </c>
      <c r="I202" s="23" t="inlineStr">
        <is>
          <t>1442</t>
        </is>
      </c>
      <c r="J202" s="17" t="inlineStr">
        <is>
          <t>1</t>
        </is>
      </c>
      <c r="K202" s="17" t="inlineStr">
        <is>
          <t>완제의약품</t>
        </is>
      </c>
      <c r="L202" s="17" t="inlineStr">
        <is>
          <t>비무균-일반제제-내용고형제(정제, 캡슐제), 비무균-일반제제-내용액제(경구용액제, 시럽제(액상))</t>
        </is>
      </c>
      <c r="M202" s="24" t="n">
        <v>46947</v>
      </c>
      <c r="N202" s="17" t="inlineStr"/>
      <c r="O202" s="17" t="inlineStr"/>
      <c r="P202" s="17" t="inlineStr">
        <is>
          <t>경상남도</t>
        </is>
      </c>
      <c r="Q202" s="17" t="inlineStr">
        <is>
          <t>함안군</t>
        </is>
      </c>
      <c r="R202" s="17" t="inlineStr">
        <is>
          <t>GMP공장소재지</t>
        </is>
      </c>
      <c r="S202" s="17" t="n">
        <v>90</v>
      </c>
      <c r="T202" s="17" t="inlineStr">
        <is>
          <t>Y</t>
        </is>
      </c>
      <c r="U202" s="17" t="n">
        <v>1</v>
      </c>
      <c r="V202" s="24" t="n">
        <v>46947</v>
      </c>
      <c r="W202" s="17" t="inlineStr"/>
      <c r="X202" s="17" t="inlineStr"/>
      <c r="Y202" s="17" t="inlineStr">
        <is>
          <t>회사키+주소</t>
        </is>
      </c>
      <c r="Z202" s="17" t="n">
        <v>90</v>
      </c>
      <c r="AA202" s="17" t="inlineStr"/>
    </row>
    <row r="203">
      <c r="A203" s="30" t="inlineStr">
        <is>
          <t>S202</t>
        </is>
      </c>
      <c r="B203" s="17" t="inlineStr">
        <is>
          <t>P178</t>
        </is>
      </c>
      <c r="C203" s="17" t="inlineStr">
        <is>
          <t>이니스트에스티</t>
        </is>
      </c>
      <c r="D203" s="17" t="inlineStr">
        <is>
          <t>이니스트에스티(주)</t>
        </is>
      </c>
      <c r="E203" s="17" t="inlineStr">
        <is>
          <t>충청북도 청주시 흥덕구 오송읍 오송생명6로 54</t>
        </is>
      </c>
      <c r="F203" s="17" t="inlineStr">
        <is>
          <t>충청북도 청주시 흥덕구 오송읍 오송생명6로 54</t>
        </is>
      </c>
      <c r="G203" s="17" t="inlineStr">
        <is>
          <t>충청북도 청주시 흥덕구 오송읍 오송생명6로 54</t>
        </is>
      </c>
      <c r="H203" s="17" t="inlineStr">
        <is>
          <t>오송</t>
        </is>
      </c>
      <c r="I203" s="23" t="inlineStr">
        <is>
          <t>2220</t>
        </is>
      </c>
      <c r="J203" s="17" t="inlineStr">
        <is>
          <t>2</t>
        </is>
      </c>
      <c r="K203" s="17" t="inlineStr">
        <is>
          <t>원료의약품</t>
        </is>
      </c>
      <c r="L203" s="17" t="inlineStr">
        <is>
          <t>비무균-일반제제-합성</t>
        </is>
      </c>
      <c r="M203" s="24" t="n">
        <v>46946</v>
      </c>
      <c r="N203" s="17" t="inlineStr"/>
      <c r="O203" s="17" t="inlineStr"/>
      <c r="P203" s="17" t="inlineStr">
        <is>
          <t>충청북도</t>
        </is>
      </c>
      <c r="Q203" s="17" t="inlineStr">
        <is>
          <t>청주시</t>
        </is>
      </c>
      <c r="R203" s="17" t="inlineStr">
        <is>
          <t>GMP공장소재지</t>
        </is>
      </c>
      <c r="S203" s="17" t="n">
        <v>90</v>
      </c>
      <c r="T203" s="17" t="inlineStr">
        <is>
          <t>Y</t>
        </is>
      </c>
      <c r="U203" s="17" t="n">
        <v>1</v>
      </c>
      <c r="V203" s="24" t="n">
        <v>46946</v>
      </c>
      <c r="W203" s="17" t="inlineStr"/>
      <c r="X203" s="17" t="inlineStr"/>
      <c r="Y203" s="17" t="inlineStr">
        <is>
          <t>회사키+주소</t>
        </is>
      </c>
      <c r="Z203" s="17" t="n">
        <v>90</v>
      </c>
      <c r="AA203" s="17" t="inlineStr"/>
    </row>
    <row r="204">
      <c r="A204" s="30" t="inlineStr">
        <is>
          <t>S203</t>
        </is>
      </c>
      <c r="B204" s="17" t="inlineStr">
        <is>
          <t>P179</t>
        </is>
      </c>
      <c r="C204" s="17" t="inlineStr">
        <is>
          <t>태을산업가스</t>
        </is>
      </c>
      <c r="D204" s="17" t="inlineStr">
        <is>
          <t>태을산업가스(주)</t>
        </is>
      </c>
      <c r="E204" s="17" t="inlineStr">
        <is>
          <t>충청남도 아산시 영인면 영인산로 494</t>
        </is>
      </c>
      <c r="F204" s="17" t="inlineStr"/>
      <c r="G204" s="17" t="inlineStr">
        <is>
          <t>충청남도 아산시 영인면 영인산로 494</t>
        </is>
      </c>
      <c r="H204" s="17" t="inlineStr">
        <is>
          <t>미확인</t>
        </is>
      </c>
      <c r="I204" s="23" t="inlineStr">
        <is>
          <t>2118</t>
        </is>
      </c>
      <c r="J204" s="17" t="inlineStr"/>
      <c r="K204" s="17" t="inlineStr">
        <is>
          <t>완제의약품</t>
        </is>
      </c>
      <c r="L204" s="17" t="inlineStr">
        <is>
          <t>비무균-일반제제(의료용 고압가스)-가스제(의료용 고압가스)</t>
        </is>
      </c>
      <c r="M204" s="24" t="n">
        <v>46946</v>
      </c>
      <c r="N204" s="17" t="inlineStr"/>
      <c r="O204" s="17" t="inlineStr"/>
      <c r="P204" s="17" t="inlineStr">
        <is>
          <t>충청남도</t>
        </is>
      </c>
      <c r="Q204" s="17" t="inlineStr">
        <is>
          <t>아산시</t>
        </is>
      </c>
      <c r="R204" s="17" t="inlineStr">
        <is>
          <t>GMP공장소재지</t>
        </is>
      </c>
      <c r="S204" s="17" t="n">
        <v>0</v>
      </c>
      <c r="T204" s="17" t="inlineStr">
        <is>
          <t>Y</t>
        </is>
      </c>
      <c r="U204" s="17" t="n">
        <v>1</v>
      </c>
      <c r="V204" s="24" t="n">
        <v>46946</v>
      </c>
      <c r="W204" s="17" t="inlineStr"/>
      <c r="X204" s="17" t="inlineStr"/>
      <c r="Y204" s="17" t="inlineStr">
        <is>
          <t>무매칭</t>
        </is>
      </c>
      <c r="Z204" s="17" t="n">
        <v>0</v>
      </c>
      <c r="AA204" s="17" t="inlineStr">
        <is>
          <t>Y</t>
        </is>
      </c>
    </row>
    <row r="205">
      <c r="A205" s="30" t="inlineStr">
        <is>
          <t>S204</t>
        </is>
      </c>
      <c r="B205" s="17" t="inlineStr">
        <is>
          <t>P180</t>
        </is>
      </c>
      <c r="C205" s="17" t="inlineStr">
        <is>
          <t>대창가스</t>
        </is>
      </c>
      <c r="D205" s="17" t="inlineStr">
        <is>
          <t>(주)대창가스</t>
        </is>
      </c>
      <c r="E205" s="17" t="inlineStr">
        <is>
          <t>경상남도 진주시 돗골로 61</t>
        </is>
      </c>
      <c r="F205" s="17" t="inlineStr">
        <is>
          <t>경상남도 진주시 돗골로 61</t>
        </is>
      </c>
      <c r="G205" s="17" t="inlineStr">
        <is>
          <t>경상남도 진주시 돗골로 61</t>
        </is>
      </c>
      <c r="H205" s="17" t="inlineStr">
        <is>
          <t>진주</t>
        </is>
      </c>
      <c r="I205" s="23" t="inlineStr">
        <is>
          <t>1765</t>
        </is>
      </c>
      <c r="J205" s="17" t="inlineStr">
        <is>
          <t>1</t>
        </is>
      </c>
      <c r="K205" s="17" t="inlineStr">
        <is>
          <t>완제의약품</t>
        </is>
      </c>
      <c r="L205" s="17" t="inlineStr">
        <is>
          <t>비무균-일반제제(의료용 고압가스)-가스제(의료용 고압가스)</t>
        </is>
      </c>
      <c r="M205" s="24" t="n">
        <v>46945</v>
      </c>
      <c r="N205" s="17" t="inlineStr"/>
      <c r="O205" s="17" t="inlineStr"/>
      <c r="P205" s="17" t="inlineStr">
        <is>
          <t>경상남도</t>
        </is>
      </c>
      <c r="Q205" s="17" t="inlineStr">
        <is>
          <t>진주시</t>
        </is>
      </c>
      <c r="R205" s="17" t="inlineStr">
        <is>
          <t>GMP공장소재지</t>
        </is>
      </c>
      <c r="S205" s="17" t="n">
        <v>90</v>
      </c>
      <c r="T205" s="17" t="inlineStr">
        <is>
          <t>Y</t>
        </is>
      </c>
      <c r="U205" s="17" t="n">
        <v>1</v>
      </c>
      <c r="V205" s="24" t="n">
        <v>46945</v>
      </c>
      <c r="W205" s="17" t="inlineStr"/>
      <c r="X205" s="17" t="inlineStr"/>
      <c r="Y205" s="17" t="inlineStr">
        <is>
          <t>회사키+주소</t>
        </is>
      </c>
      <c r="Z205" s="17" t="n">
        <v>90</v>
      </c>
      <c r="AA205" s="17" t="inlineStr"/>
    </row>
    <row r="206">
      <c r="A206" s="30" t="inlineStr">
        <is>
          <t>S205</t>
        </is>
      </c>
      <c r="B206" s="17" t="inlineStr">
        <is>
          <t>P181</t>
        </is>
      </c>
      <c r="C206" s="17" t="inlineStr">
        <is>
          <t>중부산업가스</t>
        </is>
      </c>
      <c r="D206" s="17" t="inlineStr">
        <is>
          <t>중부산업가스(주)</t>
        </is>
      </c>
      <c r="E206" s="17" t="inlineStr">
        <is>
          <t>세종특별자치시 부강면 시목부강로 622</t>
        </is>
      </c>
      <c r="F206" s="17" t="inlineStr">
        <is>
          <t>세종특별자치시 부강면 시목부강로 622</t>
        </is>
      </c>
      <c r="G206" s="17" t="inlineStr">
        <is>
          <t>세종특별자치시 부강면 시목부강로 622</t>
        </is>
      </c>
      <c r="H206" s="17" t="inlineStr">
        <is>
          <t>청원</t>
        </is>
      </c>
      <c r="I206" s="23" t="inlineStr">
        <is>
          <t>2030</t>
        </is>
      </c>
      <c r="J206" s="17" t="inlineStr">
        <is>
          <t>1</t>
        </is>
      </c>
      <c r="K206" s="17" t="inlineStr">
        <is>
          <t>완제의약품</t>
        </is>
      </c>
      <c r="L206" s="17" t="inlineStr">
        <is>
          <t>비무균-일반제제(의료용 고압가스)-가스제(의료용 고압가스)</t>
        </is>
      </c>
      <c r="M206" s="24" t="n">
        <v>46944</v>
      </c>
      <c r="N206" s="17" t="inlineStr"/>
      <c r="O206" s="17" t="inlineStr"/>
      <c r="P206" s="17" t="inlineStr">
        <is>
          <t>세종특별자치시</t>
        </is>
      </c>
      <c r="Q206" s="17" t="inlineStr">
        <is>
          <t>세종특별자치시</t>
        </is>
      </c>
      <c r="R206" s="17" t="inlineStr">
        <is>
          <t>GMP공장소재지</t>
        </is>
      </c>
      <c r="S206" s="17" t="n">
        <v>90</v>
      </c>
      <c r="T206" s="17" t="inlineStr">
        <is>
          <t>Y</t>
        </is>
      </c>
      <c r="U206" s="17" t="n">
        <v>1</v>
      </c>
      <c r="V206" s="24" t="n">
        <v>46944</v>
      </c>
      <c r="W206" s="17" t="inlineStr"/>
      <c r="X206" s="17" t="inlineStr"/>
      <c r="Y206" s="17" t="inlineStr">
        <is>
          <t>회사키+주소</t>
        </is>
      </c>
      <c r="Z206" s="17" t="n">
        <v>90</v>
      </c>
      <c r="AA206" s="17" t="inlineStr"/>
    </row>
    <row r="207">
      <c r="A207" s="30" t="inlineStr">
        <is>
          <t>S206</t>
        </is>
      </c>
      <c r="B207" s="17" t="inlineStr">
        <is>
          <t>P182</t>
        </is>
      </c>
      <c r="C207" s="17" t="inlineStr">
        <is>
          <t>한국한의약진흥원</t>
        </is>
      </c>
      <c r="D207" s="17" t="inlineStr">
        <is>
          <t>한국한의약진흥원</t>
        </is>
      </c>
      <c r="E207" s="17" t="inlineStr">
        <is>
          <t>대구광역시 동구 혁신대로78길 3 한약제제생산센터</t>
        </is>
      </c>
      <c r="F207" s="17" t="inlineStr">
        <is>
          <t>대구광역시 동구 혁신대로78길 3 한약제제생산센터</t>
        </is>
      </c>
      <c r="G207" s="17" t="inlineStr">
        <is>
          <t>대구광역시 동구 혁신대로78길 3 한약제제생산센터</t>
        </is>
      </c>
      <c r="H207" s="17" t="inlineStr">
        <is>
          <t>한약제제생산센터</t>
        </is>
      </c>
      <c r="I207" s="23" t="inlineStr">
        <is>
          <t>101</t>
        </is>
      </c>
      <c r="J207" s="17" t="inlineStr">
        <is>
          <t>1</t>
        </is>
      </c>
      <c r="K207" s="17" t="inlineStr">
        <is>
          <t>완제의약품</t>
        </is>
      </c>
      <c r="L207" s="17" t="inlineStr">
        <is>
          <t>비무균-일반제제-내용고형제(정제, 캡슐제), 비무균-일반제제-내용액제(엑스제(액상))</t>
        </is>
      </c>
      <c r="M207" s="24" t="n">
        <v>46944</v>
      </c>
      <c r="N207" s="17" t="inlineStr"/>
      <c r="O207" s="17" t="inlineStr"/>
      <c r="P207" s="17" t="inlineStr">
        <is>
          <t>대구광역시</t>
        </is>
      </c>
      <c r="Q207" s="17" t="inlineStr">
        <is>
          <t>동구</t>
        </is>
      </c>
      <c r="R207" s="17" t="inlineStr">
        <is>
          <t>GMP공장소재지</t>
        </is>
      </c>
      <c r="S207" s="17" t="n">
        <v>90</v>
      </c>
      <c r="T207" s="17" t="inlineStr">
        <is>
          <t>Y</t>
        </is>
      </c>
      <c r="U207" s="17" t="n">
        <v>1</v>
      </c>
      <c r="V207" s="24" t="n">
        <v>46944</v>
      </c>
      <c r="W207" s="17" t="inlineStr"/>
      <c r="X207" s="17" t="inlineStr"/>
      <c r="Y207" s="17" t="inlineStr">
        <is>
          <t>회사키+주소</t>
        </is>
      </c>
      <c r="Z207" s="17" t="n">
        <v>90</v>
      </c>
      <c r="AA207" s="17" t="inlineStr"/>
    </row>
    <row r="208">
      <c r="A208" s="30" t="inlineStr">
        <is>
          <t>S207</t>
        </is>
      </c>
      <c r="B208" s="17" t="inlineStr">
        <is>
          <t>P183</t>
        </is>
      </c>
      <c r="C208" s="17" t="inlineStr">
        <is>
          <t>제이더블유생명과학</t>
        </is>
      </c>
      <c r="D208" s="17" t="inlineStr">
        <is>
          <t>제이더블유생명과학(주)</t>
        </is>
      </c>
      <c r="E208" s="17" t="inlineStr">
        <is>
          <t>충청남도 당진시 송악읍 한진1길 28</t>
        </is>
      </c>
      <c r="F208" s="17" t="inlineStr">
        <is>
          <t>충청남도 당진시 송악읍 한진1길 28 사무동2층</t>
        </is>
      </c>
      <c r="G208" s="17" t="inlineStr">
        <is>
          <t>충청남도 당진시 송악읍 한진1길 28</t>
        </is>
      </c>
      <c r="H208" s="17" t="inlineStr">
        <is>
          <t>시험실</t>
        </is>
      </c>
      <c r="I208" s="23" t="inlineStr">
        <is>
          <t>2548</t>
        </is>
      </c>
      <c r="J208" s="17" t="inlineStr">
        <is>
          <t>2</t>
        </is>
      </c>
      <c r="K208" s="17" t="inlineStr">
        <is>
          <t>완제의약품</t>
        </is>
      </c>
      <c r="L208" s="17" t="inlineStr">
        <is>
          <t>무균-일반제제-주사제(수액제, 관류제), 비무균-일반제제-외용액제(투석제(액상))</t>
        </is>
      </c>
      <c r="M208" s="24" t="n">
        <v>46941</v>
      </c>
      <c r="N208" s="17" t="inlineStr">
        <is>
          <t>Y</t>
        </is>
      </c>
      <c r="O208" s="17" t="inlineStr"/>
      <c r="P208" s="17" t="inlineStr">
        <is>
          <t>충청남도</t>
        </is>
      </c>
      <c r="Q208" s="17" t="inlineStr">
        <is>
          <t>당진시</t>
        </is>
      </c>
      <c r="R208" s="17" t="inlineStr">
        <is>
          <t>GMP공장소재지</t>
        </is>
      </c>
      <c r="S208" s="17" t="n">
        <v>90</v>
      </c>
      <c r="T208" s="17" t="inlineStr">
        <is>
          <t>Y</t>
        </is>
      </c>
      <c r="U208" s="17" t="n">
        <v>1</v>
      </c>
      <c r="V208" s="24" t="n">
        <v>46941</v>
      </c>
      <c r="W208" s="17" t="inlineStr"/>
      <c r="X208" s="17" t="inlineStr"/>
      <c r="Y208" s="17" t="inlineStr">
        <is>
          <t>회사키+주소</t>
        </is>
      </c>
      <c r="Z208" s="17" t="n">
        <v>90</v>
      </c>
      <c r="AA208" s="17" t="inlineStr"/>
    </row>
    <row r="209">
      <c r="A209" s="30" t="inlineStr">
        <is>
          <t>S208</t>
        </is>
      </c>
      <c r="B209" s="17" t="inlineStr">
        <is>
          <t>P184</t>
        </is>
      </c>
      <c r="C209" s="17" t="inlineStr">
        <is>
          <t>일동제약</t>
        </is>
      </c>
      <c r="D209" s="17" t="inlineStr">
        <is>
          <t>일동제약(주)</t>
        </is>
      </c>
      <c r="E209" s="17" t="inlineStr">
        <is>
          <t>충청북도 청주시 흥덕구 공단로98번길 53</t>
        </is>
      </c>
      <c r="F209" s="17" t="inlineStr">
        <is>
          <t>충청북도 청주시 흥덕구 공단로98번길 53</t>
        </is>
      </c>
      <c r="G209" s="17" t="inlineStr">
        <is>
          <t>충청북도 청주시 흥덕구 공단로98번길 53</t>
        </is>
      </c>
      <c r="H209" s="17" t="inlineStr">
        <is>
          <t>청주</t>
        </is>
      </c>
      <c r="I209" s="23" t="inlineStr">
        <is>
          <t>1293</t>
        </is>
      </c>
      <c r="J209" s="17" t="inlineStr">
        <is>
          <t>2</t>
        </is>
      </c>
      <c r="K209" s="17" t="inlineStr">
        <is>
          <t>원료의약품</t>
        </is>
      </c>
      <c r="L209" s="17" t="inlineStr">
        <is>
          <t>비무균-일반제제-합성</t>
        </is>
      </c>
      <c r="M209" s="24" t="n">
        <v>46940</v>
      </c>
      <c r="N209" s="17" t="inlineStr"/>
      <c r="O209" s="17" t="inlineStr"/>
      <c r="P209" s="17" t="inlineStr">
        <is>
          <t>충청북도</t>
        </is>
      </c>
      <c r="Q209" s="17" t="inlineStr">
        <is>
          <t>청주시</t>
        </is>
      </c>
      <c r="R209" s="17" t="inlineStr">
        <is>
          <t>GMP공장소재지</t>
        </is>
      </c>
      <c r="S209" s="17" t="n">
        <v>90</v>
      </c>
      <c r="T209" s="17" t="inlineStr">
        <is>
          <t>Y</t>
        </is>
      </c>
      <c r="U209" s="17" t="n">
        <v>1</v>
      </c>
      <c r="V209" s="24" t="n">
        <v>46940</v>
      </c>
      <c r="W209" s="17" t="inlineStr"/>
      <c r="X209" s="17" t="inlineStr"/>
      <c r="Y209" s="17" t="inlineStr">
        <is>
          <t>회사키+주소</t>
        </is>
      </c>
      <c r="Z209" s="17" t="n">
        <v>90</v>
      </c>
      <c r="AA209" s="17" t="inlineStr"/>
    </row>
    <row r="210">
      <c r="A210" s="30" t="inlineStr">
        <is>
          <t>S209</t>
        </is>
      </c>
      <c r="B210" s="17" t="inlineStr">
        <is>
          <t>P185</t>
        </is>
      </c>
      <c r="C210" s="17" t="inlineStr">
        <is>
          <t>린데코리아</t>
        </is>
      </c>
      <c r="D210" s="17" t="inlineStr">
        <is>
          <t>린데코리아주식회사</t>
        </is>
      </c>
      <c r="E210" s="17" t="inlineStr">
        <is>
          <t>경기도 용인시 기흥구 삼성2로96번길 20</t>
        </is>
      </c>
      <c r="F210" s="17" t="inlineStr">
        <is>
          <t>경기도 용인시 기흥구 삼성2로96번길 20</t>
        </is>
      </c>
      <c r="G210" s="17" t="inlineStr">
        <is>
          <t>경기도 용인시 기흥구 삼성2로96번길 20</t>
        </is>
      </c>
      <c r="H210" s="17" t="inlineStr">
        <is>
          <t>용인</t>
        </is>
      </c>
      <c r="I210" s="23" t="inlineStr">
        <is>
          <t>1615</t>
        </is>
      </c>
      <c r="J210" s="17" t="inlineStr">
        <is>
          <t>6</t>
        </is>
      </c>
      <c r="K210" s="17" t="inlineStr">
        <is>
          <t>완제의약품</t>
        </is>
      </c>
      <c r="L210" s="17" t="inlineStr">
        <is>
          <t>비무균-일반제제(의료용 고압가스)-가스제(의료용 고압가스)</t>
        </is>
      </c>
      <c r="M210" s="24" t="n">
        <v>46939</v>
      </c>
      <c r="N210" s="17" t="inlineStr"/>
      <c r="O210" s="17" t="inlineStr"/>
      <c r="P210" s="17" t="inlineStr">
        <is>
          <t>경기도</t>
        </is>
      </c>
      <c r="Q210" s="17" t="inlineStr">
        <is>
          <t>용인시</t>
        </is>
      </c>
      <c r="R210" s="17" t="inlineStr">
        <is>
          <t>GMP공장소재지</t>
        </is>
      </c>
      <c r="S210" s="17" t="n">
        <v>90</v>
      </c>
      <c r="T210" s="17" t="inlineStr">
        <is>
          <t>Y</t>
        </is>
      </c>
      <c r="U210" s="17" t="n">
        <v>1</v>
      </c>
      <c r="V210" s="24" t="n">
        <v>46939</v>
      </c>
      <c r="W210" s="17" t="inlineStr"/>
      <c r="X210" s="17" t="inlineStr"/>
      <c r="Y210" s="17" t="inlineStr">
        <is>
          <t>회사키+주소</t>
        </is>
      </c>
      <c r="Z210" s="17" t="n">
        <v>90</v>
      </c>
      <c r="AA210" s="17" t="inlineStr"/>
    </row>
    <row r="211">
      <c r="A211" s="30" t="inlineStr">
        <is>
          <t>S210</t>
        </is>
      </c>
      <c r="B211" s="17" t="inlineStr">
        <is>
          <t>P186</t>
        </is>
      </c>
      <c r="C211" s="17" t="inlineStr">
        <is>
          <t>이화산소</t>
        </is>
      </c>
      <c r="D211" s="17" t="inlineStr">
        <is>
          <t>이화산소(주)</t>
        </is>
      </c>
      <c r="E211" s="17" t="inlineStr">
        <is>
          <t>인천광역시 서구 가정로58번길 32</t>
        </is>
      </c>
      <c r="F211" s="17" t="inlineStr">
        <is>
          <t>인천광역시 서구 가정로58번길 32</t>
        </is>
      </c>
      <c r="G211" s="17" t="inlineStr">
        <is>
          <t>인천광역시 서구 가정로58번길 32</t>
        </is>
      </c>
      <c r="H211" s="17" t="inlineStr">
        <is>
          <t>인천</t>
        </is>
      </c>
      <c r="I211" s="23" t="inlineStr">
        <is>
          <t>2132</t>
        </is>
      </c>
      <c r="J211" s="17" t="inlineStr">
        <is>
          <t>1</t>
        </is>
      </c>
      <c r="K211" s="17" t="inlineStr">
        <is>
          <t>완제의약품</t>
        </is>
      </c>
      <c r="L211" s="17" t="inlineStr">
        <is>
          <t>비무균-일반제제(의료용 고압가스)-가스제(의료용 고압가스)</t>
        </is>
      </c>
      <c r="M211" s="24" t="n">
        <v>46938</v>
      </c>
      <c r="N211" s="17" t="inlineStr"/>
      <c r="O211" s="17" t="inlineStr"/>
      <c r="P211" s="17" t="inlineStr">
        <is>
          <t>인천광역시</t>
        </is>
      </c>
      <c r="Q211" s="17" t="inlineStr">
        <is>
          <t>서구</t>
        </is>
      </c>
      <c r="R211" s="17" t="inlineStr">
        <is>
          <t>GMP공장소재지</t>
        </is>
      </c>
      <c r="S211" s="17" t="n">
        <v>90</v>
      </c>
      <c r="T211" s="17" t="inlineStr">
        <is>
          <t>Y</t>
        </is>
      </c>
      <c r="U211" s="17" t="n">
        <v>1</v>
      </c>
      <c r="V211" s="24" t="n">
        <v>46938</v>
      </c>
      <c r="W211" s="17" t="inlineStr"/>
      <c r="X211" s="17" t="inlineStr"/>
      <c r="Y211" s="17" t="inlineStr">
        <is>
          <t>회사키+주소</t>
        </is>
      </c>
      <c r="Z211" s="17" t="n">
        <v>90</v>
      </c>
      <c r="AA211" s="17" t="inlineStr"/>
    </row>
    <row r="212">
      <c r="A212" s="30" t="inlineStr">
        <is>
          <t>S211</t>
        </is>
      </c>
      <c r="B212" s="17" t="inlineStr">
        <is>
          <t>P187</t>
        </is>
      </c>
      <c r="C212" s="17" t="inlineStr">
        <is>
          <t>루텍</t>
        </is>
      </c>
      <c r="D212" s="17" t="inlineStr">
        <is>
          <t>(주)루텍</t>
        </is>
      </c>
      <c r="E212" s="17" t="inlineStr">
        <is>
          <t>충청북도 청주시 흥덕구 공단로98번길 53-1</t>
        </is>
      </c>
      <c r="F212" s="17" t="inlineStr">
        <is>
          <t>충청북도 청주시 흥덕구 공단로98번길 53-1</t>
        </is>
      </c>
      <c r="G212" s="17" t="inlineStr">
        <is>
          <t>충청북도 청주시 흥덕구 공단로98번길 53-1</t>
        </is>
      </c>
      <c r="H212" s="17" t="inlineStr">
        <is>
          <t>미확인</t>
        </is>
      </c>
      <c r="I212" s="23" t="inlineStr">
        <is>
          <t>2634</t>
        </is>
      </c>
      <c r="J212" s="17" t="inlineStr">
        <is>
          <t>1</t>
        </is>
      </c>
      <c r="K212" s="17" t="inlineStr">
        <is>
          <t>원료의약품</t>
        </is>
      </c>
      <c r="L212" s="17" t="inlineStr">
        <is>
          <t>무균-일반제제-발효</t>
        </is>
      </c>
      <c r="M212" s="24" t="n">
        <v>46934</v>
      </c>
      <c r="N212" s="17" t="inlineStr">
        <is>
          <t>Y</t>
        </is>
      </c>
      <c r="O212" s="17" t="inlineStr"/>
      <c r="P212" s="17" t="inlineStr">
        <is>
          <t>충청북도</t>
        </is>
      </c>
      <c r="Q212" s="17" t="inlineStr">
        <is>
          <t>청주시</t>
        </is>
      </c>
      <c r="R212" s="17" t="inlineStr">
        <is>
          <t>GMP공장소재지</t>
        </is>
      </c>
      <c r="S212" s="17" t="n">
        <v>90</v>
      </c>
      <c r="T212" s="17" t="inlineStr">
        <is>
          <t>Y</t>
        </is>
      </c>
      <c r="U212" s="17" t="n">
        <v>1</v>
      </c>
      <c r="V212" s="24" t="n">
        <v>46934</v>
      </c>
      <c r="W212" s="17" t="inlineStr"/>
      <c r="X212" s="17" t="inlineStr"/>
      <c r="Y212" s="17" t="inlineStr">
        <is>
          <t>회사키+주소</t>
        </is>
      </c>
      <c r="Z212" s="17" t="n">
        <v>90</v>
      </c>
      <c r="AA212" s="17" t="inlineStr"/>
    </row>
    <row r="213">
      <c r="A213" s="30" t="inlineStr">
        <is>
          <t>S212</t>
        </is>
      </c>
      <c r="B213" s="17" t="inlineStr">
        <is>
          <t>P188</t>
        </is>
      </c>
      <c r="C213" s="17" t="inlineStr">
        <is>
          <t>일성아이에스</t>
        </is>
      </c>
      <c r="D213" s="17" t="inlineStr">
        <is>
          <t>일성아이에스(주)</t>
        </is>
      </c>
      <c r="E213" s="17" t="inlineStr">
        <is>
          <t>경기도 안산시 단원구 산단로 349 (B동제외,D동일부제외)</t>
        </is>
      </c>
      <c r="F213" s="17" t="inlineStr">
        <is>
          <t>경기도 안산시 단원구 산단로 349 (B동제외,D동일부제외)</t>
        </is>
      </c>
      <c r="G213" s="17" t="inlineStr">
        <is>
          <t>경기도 안산시 단원구 산단로 349 (B동제외,D동일부제외)</t>
        </is>
      </c>
      <c r="H213" s="17" t="inlineStr">
        <is>
          <t>안산</t>
        </is>
      </c>
      <c r="I213" s="23" t="inlineStr">
        <is>
          <t>1508</t>
        </is>
      </c>
      <c r="J213" s="17" t="inlineStr">
        <is>
          <t>1</t>
        </is>
      </c>
      <c r="K213" s="17" t="inlineStr">
        <is>
          <t>완제의약품</t>
        </is>
      </c>
      <c r="L213" s="17" t="inlineStr">
        <is>
          <t>비무균-일반제제-내용고형제(정제, 캡슐제), 비무균-페니실린제제-내용고형제(정제, 시럽제(고형)), 무균-일반제제-주사제(주사제, 수액제), 비무균-일반제제-내용액제(흡입제(액상))</t>
        </is>
      </c>
      <c r="M213" s="24" t="n">
        <v>46934</v>
      </c>
      <c r="N213" s="17" t="inlineStr">
        <is>
          <t>Y</t>
        </is>
      </c>
      <c r="O213" s="17" t="inlineStr"/>
      <c r="P213" s="17" t="inlineStr">
        <is>
          <t>경기도</t>
        </is>
      </c>
      <c r="Q213" s="17" t="inlineStr">
        <is>
          <t>안산시</t>
        </is>
      </c>
      <c r="R213" s="17" t="inlineStr">
        <is>
          <t>GMP공장소재지</t>
        </is>
      </c>
      <c r="S213" s="17" t="n">
        <v>90</v>
      </c>
      <c r="T213" s="17" t="inlineStr">
        <is>
          <t>Y</t>
        </is>
      </c>
      <c r="U213" s="17" t="n">
        <v>1</v>
      </c>
      <c r="V213" s="24" t="n">
        <v>46934</v>
      </c>
      <c r="W213" s="17" t="inlineStr"/>
      <c r="X213" s="17" t="inlineStr"/>
      <c r="Y213" s="17" t="inlineStr">
        <is>
          <t>회사키+주소</t>
        </is>
      </c>
      <c r="Z213" s="17" t="n">
        <v>90</v>
      </c>
      <c r="AA213" s="17" t="inlineStr"/>
    </row>
    <row r="214">
      <c r="A214" s="30" t="inlineStr">
        <is>
          <t>S213</t>
        </is>
      </c>
      <c r="B214" s="17" t="inlineStr">
        <is>
          <t>P189</t>
        </is>
      </c>
      <c r="C214" s="17" t="inlineStr">
        <is>
          <t>씨에이치디제약</t>
        </is>
      </c>
      <c r="D214" s="17" t="inlineStr">
        <is>
          <t>씨에이치디제약주식회사</t>
        </is>
      </c>
      <c r="E214" s="17" t="inlineStr">
        <is>
          <t>경기도 부천시 원미구 정주로14번길 65</t>
        </is>
      </c>
      <c r="F214" s="17" t="inlineStr">
        <is>
          <t>경기도 부천시 원미구 정주로14번길 65</t>
        </is>
      </c>
      <c r="G214" s="17" t="inlineStr">
        <is>
          <t>경기도 부천시 원미구 정주로14번길 65</t>
        </is>
      </c>
      <c r="H214" s="17" t="inlineStr">
        <is>
          <t>부천</t>
        </is>
      </c>
      <c r="I214" s="23" t="inlineStr">
        <is>
          <t>1339</t>
        </is>
      </c>
      <c r="J214" s="17" t="inlineStr">
        <is>
          <t>1</t>
        </is>
      </c>
      <c r="K214" s="17" t="inlineStr">
        <is>
          <t>완제의약품</t>
        </is>
      </c>
      <c r="L214" s="17" t="inlineStr">
        <is>
          <t>비무균-일반제제-내용고형제(산제)</t>
        </is>
      </c>
      <c r="M214" s="24" t="n">
        <v>46932</v>
      </c>
      <c r="N214" s="17" t="inlineStr"/>
      <c r="O214" s="17" t="inlineStr"/>
      <c r="P214" s="17" t="inlineStr">
        <is>
          <t>경기도</t>
        </is>
      </c>
      <c r="Q214" s="17" t="inlineStr">
        <is>
          <t>부천시</t>
        </is>
      </c>
      <c r="R214" s="17" t="inlineStr">
        <is>
          <t>GMP공장소재지</t>
        </is>
      </c>
      <c r="S214" s="17" t="n">
        <v>90</v>
      </c>
      <c r="T214" s="17" t="inlineStr">
        <is>
          <t>Y</t>
        </is>
      </c>
      <c r="U214" s="17" t="n">
        <v>1</v>
      </c>
      <c r="V214" s="24" t="n">
        <v>46932</v>
      </c>
      <c r="W214" s="17" t="inlineStr"/>
      <c r="X214" s="17" t="inlineStr"/>
      <c r="Y214" s="17" t="inlineStr">
        <is>
          <t>회사키+주소</t>
        </is>
      </c>
      <c r="Z214" s="17" t="n">
        <v>90</v>
      </c>
      <c r="AA214" s="17" t="inlineStr"/>
    </row>
    <row r="215">
      <c r="A215" s="30" t="inlineStr">
        <is>
          <t>S214</t>
        </is>
      </c>
      <c r="B215" s="17" t="inlineStr">
        <is>
          <t>P190</t>
        </is>
      </c>
      <c r="C215" s="17" t="inlineStr">
        <is>
          <t>제뉴파마</t>
        </is>
      </c>
      <c r="D215" s="17" t="inlineStr">
        <is>
          <t>(주)제뉴파마</t>
        </is>
      </c>
      <c r="E215" s="17" t="inlineStr">
        <is>
          <t>충청북도 제천시 바이오밸리2로 93</t>
        </is>
      </c>
      <c r="F215" s="17" t="inlineStr">
        <is>
          <t>충청북도 제천시 바이오밸리2로 93</t>
        </is>
      </c>
      <c r="G215" s="17" t="inlineStr">
        <is>
          <t>충청북도 제천시 바이오밸리2로 93</t>
        </is>
      </c>
      <c r="H215" s="17" t="inlineStr">
        <is>
          <t>제천</t>
        </is>
      </c>
      <c r="I215" s="23" t="inlineStr">
        <is>
          <t>1295</t>
        </is>
      </c>
      <c r="J215" s="17" t="inlineStr">
        <is>
          <t>2</t>
        </is>
      </c>
      <c r="K215" s="17" t="inlineStr">
        <is>
          <t>완제의약품</t>
        </is>
      </c>
      <c r="L215" s="17" t="inlineStr">
        <is>
          <t>비무균-일반제제-내용고형제(정제, 질정, 캡슐제, 시럽제(고형)), 비무균-일반제제-연고제(연고제, 크림제, 겔제)</t>
        </is>
      </c>
      <c r="M215" s="24" t="n">
        <v>46931</v>
      </c>
      <c r="N215" s="17" t="inlineStr"/>
      <c r="O215" s="17" t="inlineStr"/>
      <c r="P215" s="17" t="inlineStr">
        <is>
          <t>충청북도</t>
        </is>
      </c>
      <c r="Q215" s="17" t="inlineStr">
        <is>
          <t>제천시</t>
        </is>
      </c>
      <c r="R215" s="17" t="inlineStr">
        <is>
          <t>GMP공장소재지</t>
        </is>
      </c>
      <c r="S215" s="17" t="n">
        <v>90</v>
      </c>
      <c r="T215" s="17" t="inlineStr">
        <is>
          <t>Y</t>
        </is>
      </c>
      <c r="U215" s="17" t="n">
        <v>1</v>
      </c>
      <c r="V215" s="24" t="n">
        <v>46931</v>
      </c>
      <c r="W215" s="17" t="inlineStr"/>
      <c r="X215" s="17" t="inlineStr"/>
      <c r="Y215" s="17" t="inlineStr">
        <is>
          <t>회사키+주소</t>
        </is>
      </c>
      <c r="Z215" s="17" t="n">
        <v>90</v>
      </c>
      <c r="AA215" s="17" t="inlineStr"/>
    </row>
    <row r="216">
      <c r="A216" s="30" t="inlineStr">
        <is>
          <t>S215</t>
        </is>
      </c>
      <c r="B216" s="17" t="inlineStr">
        <is>
          <t>P191</t>
        </is>
      </c>
      <c r="C216" s="17" t="inlineStr">
        <is>
          <t>에어가스코리아</t>
        </is>
      </c>
      <c r="D216" s="17" t="inlineStr">
        <is>
          <t>주식회사에어가스코리아</t>
        </is>
      </c>
      <c r="E216" s="17" t="inlineStr">
        <is>
          <t>인천광역시 서구 가정로37번길 25</t>
        </is>
      </c>
      <c r="F216" s="17" t="inlineStr">
        <is>
          <t>인천광역시 서구 가정로37번길 25</t>
        </is>
      </c>
      <c r="G216" s="17" t="inlineStr">
        <is>
          <t>인천광역시 서구 가정로37번길 25</t>
        </is>
      </c>
      <c r="H216" s="17" t="inlineStr">
        <is>
          <t>제1공장</t>
        </is>
      </c>
      <c r="I216" s="23" t="inlineStr">
        <is>
          <t>2310</t>
        </is>
      </c>
      <c r="J216" s="17" t="inlineStr">
        <is>
          <t>1</t>
        </is>
      </c>
      <c r="K216" s="17" t="inlineStr">
        <is>
          <t>완제의약품</t>
        </is>
      </c>
      <c r="L216" s="17" t="inlineStr">
        <is>
          <t>비무균-일반제제-가스제(의료용 고압가스)</t>
        </is>
      </c>
      <c r="M216" s="24" t="n">
        <v>46930</v>
      </c>
      <c r="N216" s="17" t="inlineStr"/>
      <c r="O216" s="17" t="inlineStr"/>
      <c r="P216" s="17" t="inlineStr">
        <is>
          <t>인천광역시</t>
        </is>
      </c>
      <c r="Q216" s="17" t="inlineStr">
        <is>
          <t>서구</t>
        </is>
      </c>
      <c r="R216" s="17" t="inlineStr">
        <is>
          <t>GMP공장소재지</t>
        </is>
      </c>
      <c r="S216" s="17" t="n">
        <v>90</v>
      </c>
      <c r="T216" s="17" t="inlineStr">
        <is>
          <t>Y</t>
        </is>
      </c>
      <c r="U216" s="17" t="n">
        <v>1</v>
      </c>
      <c r="V216" s="24" t="n">
        <v>46930</v>
      </c>
      <c r="W216" s="17" t="inlineStr"/>
      <c r="X216" s="17" t="inlineStr"/>
      <c r="Y216" s="17" t="inlineStr">
        <is>
          <t>회사키+주소</t>
        </is>
      </c>
      <c r="Z216" s="17" t="n">
        <v>90</v>
      </c>
      <c r="AA216" s="17" t="inlineStr"/>
    </row>
    <row r="217">
      <c r="A217" s="30" t="inlineStr">
        <is>
          <t>S216</t>
        </is>
      </c>
      <c r="B217" s="17" t="inlineStr">
        <is>
          <t>P192</t>
        </is>
      </c>
      <c r="C217" s="17" t="inlineStr">
        <is>
          <t>오스템파마</t>
        </is>
      </c>
      <c r="D217" s="17" t="inlineStr">
        <is>
          <t>오스템파마주식회사</t>
        </is>
      </c>
      <c r="E217" s="17" t="inlineStr">
        <is>
          <t>충청북도 청주시 흥덕구 오송읍 오송생명1로 265</t>
        </is>
      </c>
      <c r="F217" s="17" t="inlineStr">
        <is>
          <t>충청북도 청주시 흥덕구 오송읍 오송생명1로 265</t>
        </is>
      </c>
      <c r="G217" s="17" t="inlineStr">
        <is>
          <t>충청북도 청주시 흥덕구 오송읍 오송생명1로 265</t>
        </is>
      </c>
      <c r="H217" s="17" t="inlineStr">
        <is>
          <t>2공장</t>
        </is>
      </c>
      <c r="I217" s="23" t="inlineStr">
        <is>
          <t>357</t>
        </is>
      </c>
      <c r="J217" s="17" t="inlineStr">
        <is>
          <t>2</t>
        </is>
      </c>
      <c r="K217" s="17" t="inlineStr">
        <is>
          <t>완제의약품</t>
        </is>
      </c>
      <c r="L217" s="17" t="inlineStr">
        <is>
          <t>비무균-일반제제-내용고형제(정제), 무균-일반제제-주사제(주사제)</t>
        </is>
      </c>
      <c r="M217" s="24" t="n">
        <v>46927</v>
      </c>
      <c r="N217" s="17" t="inlineStr">
        <is>
          <t>Y</t>
        </is>
      </c>
      <c r="O217" s="17" t="inlineStr"/>
      <c r="P217" s="17" t="inlineStr">
        <is>
          <t>충청북도</t>
        </is>
      </c>
      <c r="Q217" s="17" t="inlineStr">
        <is>
          <t>청주시</t>
        </is>
      </c>
      <c r="R217" s="17" t="inlineStr">
        <is>
          <t>GMP공장소재지</t>
        </is>
      </c>
      <c r="S217" s="17" t="n">
        <v>90</v>
      </c>
      <c r="T217" s="17" t="inlineStr">
        <is>
          <t>Y</t>
        </is>
      </c>
      <c r="U217" s="17" t="n">
        <v>1</v>
      </c>
      <c r="V217" s="24" t="n">
        <v>46927</v>
      </c>
      <c r="W217" s="17" t="inlineStr"/>
      <c r="X217" s="17" t="inlineStr"/>
      <c r="Y217" s="17" t="inlineStr">
        <is>
          <t>회사키+주소</t>
        </is>
      </c>
      <c r="Z217" s="17" t="n">
        <v>90</v>
      </c>
      <c r="AA217" s="17" t="inlineStr"/>
    </row>
    <row r="218">
      <c r="A218" s="30" t="inlineStr">
        <is>
          <t>S217</t>
        </is>
      </c>
      <c r="B218" s="17" t="inlineStr">
        <is>
          <t>P193</t>
        </is>
      </c>
      <c r="C218" s="17" t="inlineStr">
        <is>
          <t>동국제약</t>
        </is>
      </c>
      <c r="D218" s="17" t="inlineStr">
        <is>
          <t>동국제약(주)</t>
        </is>
      </c>
      <c r="E218" s="17" t="inlineStr">
        <is>
          <t>충청북도 진천군 광혜원면 진광로 1103</t>
        </is>
      </c>
      <c r="F218" s="17" t="inlineStr">
        <is>
          <t>충청북도 진천군 광혜원면 진광로 1103</t>
        </is>
      </c>
      <c r="G218" s="17" t="inlineStr">
        <is>
          <t>충청북도 진천군 광혜원면 진광로 1103</t>
        </is>
      </c>
      <c r="H218" s="17" t="inlineStr">
        <is>
          <t>진광로</t>
        </is>
      </c>
      <c r="I218" s="23" t="inlineStr">
        <is>
          <t>1416</t>
        </is>
      </c>
      <c r="J218" s="17" t="inlineStr">
        <is>
          <t>1</t>
        </is>
      </c>
      <c r="K218" s="17" t="inlineStr">
        <is>
          <t>완제의약품</t>
        </is>
      </c>
      <c r="L218" s="17" t="inlineStr">
        <is>
          <t>무균-일반제제-주사제(주사제)</t>
        </is>
      </c>
      <c r="M218" s="24" t="n">
        <v>46927</v>
      </c>
      <c r="N218" s="17" t="inlineStr">
        <is>
          <t>Y</t>
        </is>
      </c>
      <c r="O218" s="17" t="inlineStr"/>
      <c r="P218" s="17" t="inlineStr">
        <is>
          <t>충청북도</t>
        </is>
      </c>
      <c r="Q218" s="17" t="inlineStr">
        <is>
          <t>진천군</t>
        </is>
      </c>
      <c r="R218" s="17" t="inlineStr">
        <is>
          <t>GMP공장소재지</t>
        </is>
      </c>
      <c r="S218" s="17" t="n">
        <v>90</v>
      </c>
      <c r="T218" s="17" t="inlineStr">
        <is>
          <t>Y</t>
        </is>
      </c>
      <c r="U218" s="17" t="n">
        <v>2</v>
      </c>
      <c r="V218" s="24" t="n">
        <v>46927</v>
      </c>
      <c r="W218" s="17" t="inlineStr"/>
      <c r="X218" s="17" t="inlineStr"/>
      <c r="Y218" s="17" t="inlineStr">
        <is>
          <t>회사키+주소</t>
        </is>
      </c>
      <c r="Z218" s="17" t="n">
        <v>90</v>
      </c>
      <c r="AA218" s="17" t="inlineStr"/>
    </row>
    <row r="219">
      <c r="A219" s="30" t="inlineStr">
        <is>
          <t>S218</t>
        </is>
      </c>
      <c r="B219" s="17" t="inlineStr">
        <is>
          <t>P193</t>
        </is>
      </c>
      <c r="C219" s="17" t="inlineStr">
        <is>
          <t>동국제약</t>
        </is>
      </c>
      <c r="D219" s="17" t="inlineStr">
        <is>
          <t>동국제약(주)</t>
        </is>
      </c>
      <c r="E219" s="17" t="inlineStr">
        <is>
          <t>충청북도 진천군 광혜원면 진광로 1103</t>
        </is>
      </c>
      <c r="F219" s="17" t="inlineStr">
        <is>
          <t>충청북도 진천군 광혜원면 진광로 1103</t>
        </is>
      </c>
      <c r="G219" s="17" t="inlineStr">
        <is>
          <t>충청북도 진천군 광혜원면 진광로 1103</t>
        </is>
      </c>
      <c r="H219" s="17" t="inlineStr">
        <is>
          <t>진광로</t>
        </is>
      </c>
      <c r="I219" s="23" t="inlineStr">
        <is>
          <t>1416</t>
        </is>
      </c>
      <c r="J219" s="17" t="inlineStr">
        <is>
          <t>1</t>
        </is>
      </c>
      <c r="K219" s="17" t="inlineStr">
        <is>
          <t>원료의약품</t>
        </is>
      </c>
      <c r="L219" s="17" t="inlineStr">
        <is>
          <t>비무균-일반제제-합성, 무균-일반제제-발효, 비무균-일반제제-발효, 비무균-일반제제-추출</t>
        </is>
      </c>
      <c r="M219" s="24" t="n">
        <v>46927</v>
      </c>
      <c r="N219" s="17" t="inlineStr"/>
      <c r="O219" s="17" t="inlineStr"/>
      <c r="P219" s="17" t="inlineStr">
        <is>
          <t>충청북도</t>
        </is>
      </c>
      <c r="Q219" s="17" t="inlineStr">
        <is>
          <t>진천군</t>
        </is>
      </c>
      <c r="R219" s="17" t="inlineStr">
        <is>
          <t>GMP공장소재지</t>
        </is>
      </c>
      <c r="S219" s="17" t="n">
        <v>90</v>
      </c>
      <c r="T219" s="17" t="inlineStr">
        <is>
          <t>N</t>
        </is>
      </c>
      <c r="U219" s="17" t="n">
        <v>2</v>
      </c>
      <c r="V219" s="24" t="n">
        <v>46927</v>
      </c>
      <c r="W219" s="17" t="inlineStr"/>
      <c r="X219" s="17" t="inlineStr"/>
      <c r="Y219" s="17" t="inlineStr">
        <is>
          <t>회사키+주소</t>
        </is>
      </c>
      <c r="Z219" s="17" t="n">
        <v>90</v>
      </c>
      <c r="AA219" s="17" t="inlineStr"/>
    </row>
    <row r="220">
      <c r="A220" s="30" t="inlineStr">
        <is>
          <t>S219</t>
        </is>
      </c>
      <c r="B220" s="17" t="inlineStr">
        <is>
          <t>P194</t>
        </is>
      </c>
      <c r="C220" s="17" t="inlineStr">
        <is>
          <t>나이벡</t>
        </is>
      </c>
      <c r="D220" s="17" t="inlineStr">
        <is>
          <t>(주)나이벡</t>
        </is>
      </c>
      <c r="E220" s="17" t="inlineStr">
        <is>
          <t>충청북도 진천군 이월면 밤디길 116</t>
        </is>
      </c>
      <c r="F220" s="17" t="inlineStr">
        <is>
          <t>충청북도 진천군 이월면 밤디길 116</t>
        </is>
      </c>
      <c r="G220" s="17" t="inlineStr">
        <is>
          <t>충청북도 진천군 이월면 밤디길 116</t>
        </is>
      </c>
      <c r="H220" s="17" t="inlineStr">
        <is>
          <t>(주)나이벡</t>
        </is>
      </c>
      <c r="I220" s="23" t="inlineStr">
        <is>
          <t>2618</t>
        </is>
      </c>
      <c r="J220" s="17" t="inlineStr">
        <is>
          <t>1</t>
        </is>
      </c>
      <c r="K220" s="17" t="inlineStr">
        <is>
          <t>원료의약품</t>
        </is>
      </c>
      <c r="L220" s="17" t="inlineStr">
        <is>
          <t>비무균-일반제제-합성</t>
        </is>
      </c>
      <c r="M220" s="24" t="n">
        <v>46927</v>
      </c>
      <c r="N220" s="17" t="inlineStr"/>
      <c r="O220" s="17" t="inlineStr"/>
      <c r="P220" s="17" t="inlineStr">
        <is>
          <t>충청북도</t>
        </is>
      </c>
      <c r="Q220" s="17" t="inlineStr">
        <is>
          <t>진천군</t>
        </is>
      </c>
      <c r="R220" s="17" t="inlineStr">
        <is>
          <t>GMP공장소재지</t>
        </is>
      </c>
      <c r="S220" s="17" t="n">
        <v>90</v>
      </c>
      <c r="T220" s="17" t="inlineStr">
        <is>
          <t>Y</t>
        </is>
      </c>
      <c r="U220" s="17" t="n">
        <v>2</v>
      </c>
      <c r="V220" s="24" t="n">
        <v>46529</v>
      </c>
      <c r="W220" s="17" t="inlineStr"/>
      <c r="X220" s="17" t="inlineStr">
        <is>
          <t>Y</t>
        </is>
      </c>
      <c r="Y220" s="17" t="inlineStr">
        <is>
          <t>회사키+주소</t>
        </is>
      </c>
      <c r="Z220" s="17" t="n">
        <v>90</v>
      </c>
      <c r="AA220" s="17" t="inlineStr"/>
    </row>
    <row r="221">
      <c r="A221" s="30" t="inlineStr">
        <is>
          <t>S220</t>
        </is>
      </c>
      <c r="B221" s="17" t="inlineStr">
        <is>
          <t>P195</t>
        </is>
      </c>
      <c r="C221" s="17" t="inlineStr">
        <is>
          <t>한림제약</t>
        </is>
      </c>
      <c r="D221" s="17" t="inlineStr">
        <is>
          <t>한림제약(주)</t>
        </is>
      </c>
      <c r="E221" s="17" t="inlineStr">
        <is>
          <t>경기도 용인시 처인구 영문로 2-27</t>
        </is>
      </c>
      <c r="F221" s="17" t="inlineStr">
        <is>
          <t>경기도 용인시 처인구 영문로 2-27</t>
        </is>
      </c>
      <c r="G221" s="17" t="inlineStr">
        <is>
          <t>경기도 용인시 처인구 영문로 2-27</t>
        </is>
      </c>
      <c r="H221" s="17" t="inlineStr">
        <is>
          <t>용인</t>
        </is>
      </c>
      <c r="I221" s="23" t="inlineStr">
        <is>
          <t>1496</t>
        </is>
      </c>
      <c r="J221" s="17" t="inlineStr">
        <is>
          <t>1</t>
        </is>
      </c>
      <c r="K221" s="17" t="inlineStr">
        <is>
          <t>완제의약품</t>
        </is>
      </c>
      <c r="L221" s="17" t="inlineStr">
        <is>
          <t>비무균-일반제제-내용고형제(정제, 캡슐제), 무균-일반제제-주사제(주사제, 동결건조주사제), 무균-일반제제-점안제(점안제), 비무균-일반제제-내용액제(경구용액제, 엘릭서제, 점비액제), 무균-일반제제-연고제(안연고제)</t>
        </is>
      </c>
      <c r="M221" s="24" t="n">
        <v>46927</v>
      </c>
      <c r="N221" s="17" t="inlineStr">
        <is>
          <t>Y</t>
        </is>
      </c>
      <c r="O221" s="17" t="inlineStr"/>
      <c r="P221" s="17" t="inlineStr">
        <is>
          <t>경기도</t>
        </is>
      </c>
      <c r="Q221" s="17" t="inlineStr">
        <is>
          <t>용인시</t>
        </is>
      </c>
      <c r="R221" s="17" t="inlineStr">
        <is>
          <t>GMP공장소재지</t>
        </is>
      </c>
      <c r="S221" s="17" t="n">
        <v>90</v>
      </c>
      <c r="T221" s="17" t="inlineStr">
        <is>
          <t>Y</t>
        </is>
      </c>
      <c r="U221" s="17" t="n">
        <v>1</v>
      </c>
      <c r="V221" s="24" t="n">
        <v>46927</v>
      </c>
      <c r="W221" s="17" t="inlineStr"/>
      <c r="X221" s="17" t="inlineStr"/>
      <c r="Y221" s="17" t="inlineStr">
        <is>
          <t>회사키+주소</t>
        </is>
      </c>
      <c r="Z221" s="17" t="n">
        <v>90</v>
      </c>
      <c r="AA221" s="17" t="inlineStr"/>
    </row>
    <row r="222">
      <c r="A222" s="30" t="inlineStr">
        <is>
          <t>S221</t>
        </is>
      </c>
      <c r="B222" s="17" t="inlineStr">
        <is>
          <t>P196</t>
        </is>
      </c>
      <c r="C222" s="17" t="inlineStr">
        <is>
          <t>한국코러스</t>
        </is>
      </c>
      <c r="D222" s="17" t="inlineStr">
        <is>
          <t>한국코러스(주)</t>
        </is>
      </c>
      <c r="E222" s="17" t="inlineStr">
        <is>
          <t>충청북도 음성군 대소면 대풍산단로 78 (주)한독약품 내 세팔로스포린동 2층 건물</t>
        </is>
      </c>
      <c r="F222" s="17" t="inlineStr">
        <is>
          <t>충청북도 음성군 대소면 대풍산단로 78 (주)한독약품 내 세팔로스포린동 2층 건물</t>
        </is>
      </c>
      <c r="G222" s="17" t="inlineStr">
        <is>
          <t>충청북도 음성군 대소면 대풍산단로 78 (주)한독약품 내 세팔로스포린동 2층 건물</t>
        </is>
      </c>
      <c r="H222" s="17" t="inlineStr">
        <is>
          <t>음성</t>
        </is>
      </c>
      <c r="I222" s="23" t="inlineStr">
        <is>
          <t>1728</t>
        </is>
      </c>
      <c r="J222" s="17" t="inlineStr">
        <is>
          <t>2</t>
        </is>
      </c>
      <c r="K222" s="17" t="inlineStr">
        <is>
          <t>완제의약품</t>
        </is>
      </c>
      <c r="L222" s="17" t="inlineStr">
        <is>
          <t>무균-세팔로스포린제제-주사제(분말주사제)</t>
        </is>
      </c>
      <c r="M222" s="24" t="n">
        <v>46926</v>
      </c>
      <c r="N222" s="17" t="inlineStr">
        <is>
          <t>Y</t>
        </is>
      </c>
      <c r="O222" s="17" t="inlineStr"/>
      <c r="P222" s="17" t="inlineStr">
        <is>
          <t>충청북도</t>
        </is>
      </c>
      <c r="Q222" s="17" t="inlineStr">
        <is>
          <t>음성군</t>
        </is>
      </c>
      <c r="R222" s="17" t="inlineStr">
        <is>
          <t>GMP공장소재지</t>
        </is>
      </c>
      <c r="S222" s="17" t="n">
        <v>90</v>
      </c>
      <c r="T222" s="17" t="inlineStr">
        <is>
          <t>Y</t>
        </is>
      </c>
      <c r="U222" s="17" t="n">
        <v>1</v>
      </c>
      <c r="V222" s="24" t="n">
        <v>46926</v>
      </c>
      <c r="W222" s="17" t="inlineStr"/>
      <c r="X222" s="17" t="inlineStr"/>
      <c r="Y222" s="17" t="inlineStr">
        <is>
          <t>회사키+주소</t>
        </is>
      </c>
      <c r="Z222" s="17" t="n">
        <v>90</v>
      </c>
      <c r="AA222" s="17" t="inlineStr"/>
    </row>
    <row r="223">
      <c r="A223" s="30" t="inlineStr">
        <is>
          <t>S222</t>
        </is>
      </c>
      <c r="B223" s="17" t="inlineStr">
        <is>
          <t>P197</t>
        </is>
      </c>
      <c r="C223" s="17" t="inlineStr">
        <is>
          <t>엘지화학</t>
        </is>
      </c>
      <c r="D223" s="17" t="inlineStr">
        <is>
          <t>(주)엘지화학</t>
        </is>
      </c>
      <c r="E223" s="17" t="inlineStr">
        <is>
          <t>충청북도 청주시 흥덕구 오송읍 오송생명1로 151</t>
        </is>
      </c>
      <c r="F223" s="17" t="inlineStr">
        <is>
          <t>충청북도 청주시 흥덕구 오송읍 오송생명1로 151</t>
        </is>
      </c>
      <c r="G223" s="17" t="inlineStr">
        <is>
          <t>충청북도 청주시 흥덕구 오송읍 오송생명1로 151</t>
        </is>
      </c>
      <c r="H223" s="17" t="inlineStr">
        <is>
          <t>오송공장</t>
        </is>
      </c>
      <c r="I223" s="23" t="inlineStr">
        <is>
          <t>1543</t>
        </is>
      </c>
      <c r="J223" s="17" t="inlineStr">
        <is>
          <t>5</t>
        </is>
      </c>
      <c r="K223" s="17" t="inlineStr">
        <is>
          <t>완제의약품</t>
        </is>
      </c>
      <c r="L223" s="17" t="inlineStr">
        <is>
          <t>비무균-일반제제-내용고형제(정제, 캡슐제), 무균-일반제제-주사제(주사제, 동결건조주사제), 생물-백신-주사제(주사제, 동결건조주사제), 생물-유전자재조합의약품-주사제(주사제, 동결건조주사제)</t>
        </is>
      </c>
      <c r="M223" s="24" t="n">
        <v>46920</v>
      </c>
      <c r="N223" s="17" t="inlineStr">
        <is>
          <t>Y</t>
        </is>
      </c>
      <c r="O223" s="17" t="inlineStr"/>
      <c r="P223" s="17" t="inlineStr">
        <is>
          <t>충청북도</t>
        </is>
      </c>
      <c r="Q223" s="17" t="inlineStr">
        <is>
          <t>청주시</t>
        </is>
      </c>
      <c r="R223" s="17" t="inlineStr">
        <is>
          <t>GMP공장소재지</t>
        </is>
      </c>
      <c r="S223" s="17" t="n">
        <v>90</v>
      </c>
      <c r="T223" s="17" t="inlineStr">
        <is>
          <t>Y</t>
        </is>
      </c>
      <c r="U223" s="17" t="n">
        <v>2</v>
      </c>
      <c r="V223" s="24" t="n">
        <v>46920</v>
      </c>
      <c r="W223" s="17" t="inlineStr"/>
      <c r="X223" s="17" t="inlineStr"/>
      <c r="Y223" s="17" t="inlineStr">
        <is>
          <t>회사키+주소</t>
        </is>
      </c>
      <c r="Z223" s="17" t="n">
        <v>90</v>
      </c>
      <c r="AA223" s="17" t="inlineStr"/>
    </row>
    <row r="224">
      <c r="A224" s="30" t="inlineStr">
        <is>
          <t>S223</t>
        </is>
      </c>
      <c r="B224" s="17" t="inlineStr">
        <is>
          <t>P198</t>
        </is>
      </c>
      <c r="C224" s="17" t="inlineStr">
        <is>
          <t>유앤생명과학</t>
        </is>
      </c>
      <c r="D224" s="17" t="inlineStr">
        <is>
          <t>(주)유앤생명과학</t>
        </is>
      </c>
      <c r="E224" s="17" t="inlineStr">
        <is>
          <t>경기도 안산시 단원구 별망로 627</t>
        </is>
      </c>
      <c r="F224" s="17" t="inlineStr">
        <is>
          <t>경기도 안산시 단원구 별망로 627</t>
        </is>
      </c>
      <c r="G224" s="17" t="inlineStr">
        <is>
          <t>경기도 안산시 단원구 별망로 627</t>
        </is>
      </c>
      <c r="H224" s="17" t="inlineStr">
        <is>
          <t>제1공장</t>
        </is>
      </c>
      <c r="I224" s="23" t="inlineStr">
        <is>
          <t>379</t>
        </is>
      </c>
      <c r="J224" s="17" t="inlineStr">
        <is>
          <t>1</t>
        </is>
      </c>
      <c r="K224" s="17" t="inlineStr">
        <is>
          <t>완제의약품</t>
        </is>
      </c>
      <c r="L224" s="17" t="inlineStr">
        <is>
          <t>비무균-일반제제-내용고형제(정제, 캡슐제)</t>
        </is>
      </c>
      <c r="M224" s="24" t="n">
        <v>46920</v>
      </c>
      <c r="N224" s="17" t="inlineStr"/>
      <c r="O224" s="17" t="inlineStr"/>
      <c r="P224" s="17" t="inlineStr">
        <is>
          <t>경기도</t>
        </is>
      </c>
      <c r="Q224" s="17" t="inlineStr">
        <is>
          <t>안산시</t>
        </is>
      </c>
      <c r="R224" s="17" t="inlineStr">
        <is>
          <t>GMP공장소재지</t>
        </is>
      </c>
      <c r="S224" s="17" t="n">
        <v>90</v>
      </c>
      <c r="T224" s="17" t="inlineStr">
        <is>
          <t>Y</t>
        </is>
      </c>
      <c r="U224" s="17" t="n">
        <v>1</v>
      </c>
      <c r="V224" s="24" t="n">
        <v>46920</v>
      </c>
      <c r="W224" s="17" t="inlineStr"/>
      <c r="X224" s="17" t="inlineStr"/>
      <c r="Y224" s="17" t="inlineStr">
        <is>
          <t>회사키+주소</t>
        </is>
      </c>
      <c r="Z224" s="17" t="n">
        <v>90</v>
      </c>
      <c r="AA224" s="17" t="inlineStr"/>
    </row>
    <row r="225">
      <c r="A225" s="30" t="inlineStr">
        <is>
          <t>S224</t>
        </is>
      </c>
      <c r="B225" s="17" t="inlineStr">
        <is>
          <t>P199</t>
        </is>
      </c>
      <c r="C225" s="17" t="inlineStr">
        <is>
          <t>한국파마</t>
        </is>
      </c>
      <c r="D225" s="17" t="inlineStr">
        <is>
          <t>(주)한국파마</t>
        </is>
      </c>
      <c r="E225" s="17" t="inlineStr">
        <is>
          <t>경기도 화성시 만세구 향남읍 제약공단3길 87</t>
        </is>
      </c>
      <c r="F225" s="17" t="inlineStr">
        <is>
          <t>경기도 화성시 만세구 향남읍 제약공단3길 87</t>
        </is>
      </c>
      <c r="G225" s="17" t="inlineStr">
        <is>
          <t>경기도 화성시 만세구 향남읍 제약공단3길 87</t>
        </is>
      </c>
      <c r="H225" s="17" t="inlineStr">
        <is>
          <t>화성-제1공장</t>
        </is>
      </c>
      <c r="I225" s="23" t="inlineStr">
        <is>
          <t>1401</t>
        </is>
      </c>
      <c r="J225" s="17" t="inlineStr">
        <is>
          <t>1</t>
        </is>
      </c>
      <c r="K225" s="17" t="inlineStr">
        <is>
          <t>완제의약품</t>
        </is>
      </c>
      <c r="L225" s="17" t="inlineStr">
        <is>
          <t>비무균-일반제제-내용고형제(정제, 캡슐제, 산제), 비무균-일반제제-내용액제(경구용액제), 비무균-일반제제-외용액제(외용액제, 로션제), 비무균-일반제제-연고제(연고제, 크림제)</t>
        </is>
      </c>
      <c r="M225" s="24" t="n">
        <v>46920</v>
      </c>
      <c r="N225" s="17" t="inlineStr"/>
      <c r="O225" s="17" t="inlineStr"/>
      <c r="P225" s="17" t="inlineStr">
        <is>
          <t>경기도</t>
        </is>
      </c>
      <c r="Q225" s="17" t="inlineStr">
        <is>
          <t>화성시</t>
        </is>
      </c>
      <c r="R225" s="17" t="inlineStr">
        <is>
          <t>GMP공장소재지</t>
        </is>
      </c>
      <c r="S225" s="17" t="n">
        <v>90</v>
      </c>
      <c r="T225" s="17" t="inlineStr">
        <is>
          <t>Y</t>
        </is>
      </c>
      <c r="U225" s="17" t="n">
        <v>1</v>
      </c>
      <c r="V225" s="24" t="n">
        <v>46920</v>
      </c>
      <c r="W225" s="17" t="inlineStr"/>
      <c r="X225" s="17" t="inlineStr"/>
      <c r="Y225" s="17" t="inlineStr">
        <is>
          <t>회사키+주소</t>
        </is>
      </c>
      <c r="Z225" s="17" t="n">
        <v>90</v>
      </c>
      <c r="AA225" s="17" t="inlineStr"/>
    </row>
    <row r="226">
      <c r="A226" s="30" t="inlineStr">
        <is>
          <t>S225</t>
        </is>
      </c>
      <c r="B226" s="17" t="inlineStr">
        <is>
          <t>P197</t>
        </is>
      </c>
      <c r="C226" s="17" t="inlineStr">
        <is>
          <t>엘지화학</t>
        </is>
      </c>
      <c r="D226" s="17" t="inlineStr">
        <is>
          <t>(주)엘지화학</t>
        </is>
      </c>
      <c r="E226" s="17" t="inlineStr">
        <is>
          <t>충청북도 청주시 흥덕구 오송읍 오송생명1로 151</t>
        </is>
      </c>
      <c r="F226" s="17" t="inlineStr">
        <is>
          <t>충청북도 청주시 흥덕구 오송읍 오송생명1로 151</t>
        </is>
      </c>
      <c r="G226" s="17" t="inlineStr">
        <is>
          <t>충청북도 청주시 흥덕구 오송읍 오송생명1로 151</t>
        </is>
      </c>
      <c r="H226" s="17" t="inlineStr">
        <is>
          <t>오송공장</t>
        </is>
      </c>
      <c r="I226" s="23" t="inlineStr">
        <is>
          <t>1543</t>
        </is>
      </c>
      <c r="J226" s="17" t="inlineStr">
        <is>
          <t>5</t>
        </is>
      </c>
      <c r="K226" s="17" t="inlineStr">
        <is>
          <t>원료의약품</t>
        </is>
      </c>
      <c r="L226" s="17" t="inlineStr">
        <is>
          <t>생물-백신-(배양, 정제, 바이러스불활화, 원액 제조), 생물-백신-원액 제조, 생물-유전자재조합의약품-(배양, 정제, 원액 제조)</t>
        </is>
      </c>
      <c r="M226" s="24" t="n">
        <v>46920</v>
      </c>
      <c r="N226" s="17" t="inlineStr"/>
      <c r="O226" s="17" t="inlineStr">
        <is>
          <t>Y</t>
        </is>
      </c>
      <c r="P226" s="17" t="inlineStr">
        <is>
          <t>충청북도</t>
        </is>
      </c>
      <c r="Q226" s="17" t="inlineStr">
        <is>
          <t>청주시</t>
        </is>
      </c>
      <c r="R226" s="17" t="inlineStr">
        <is>
          <t>GMP공장소재지</t>
        </is>
      </c>
      <c r="S226" s="17" t="n">
        <v>90</v>
      </c>
      <c r="T226" s="17" t="inlineStr">
        <is>
          <t>N</t>
        </is>
      </c>
      <c r="U226" s="17" t="n">
        <v>2</v>
      </c>
      <c r="V226" s="24" t="n">
        <v>46920</v>
      </c>
      <c r="W226" s="17" t="inlineStr"/>
      <c r="X226" s="17" t="inlineStr"/>
      <c r="Y226" s="17" t="inlineStr">
        <is>
          <t>회사키+주소</t>
        </is>
      </c>
      <c r="Z226" s="17" t="n">
        <v>90</v>
      </c>
      <c r="AA226" s="17" t="inlineStr"/>
    </row>
    <row r="227">
      <c r="A227" s="30" t="inlineStr">
        <is>
          <t>S226</t>
        </is>
      </c>
      <c r="B227" s="17" t="inlineStr">
        <is>
          <t>P200</t>
        </is>
      </c>
      <c r="C227" s="17" t="inlineStr">
        <is>
          <t>켐트로스</t>
        </is>
      </c>
      <c r="D227" s="17" t="inlineStr">
        <is>
          <t>(주)켐트로스</t>
        </is>
      </c>
      <c r="E227" s="17" t="inlineStr">
        <is>
          <t>경기도 안산시 단원구 능안로 7 반월공단B14-17</t>
        </is>
      </c>
      <c r="F227" s="17" t="inlineStr">
        <is>
          <t>경기도 안산시 단원구 능안로 7 반월공단B14-17</t>
        </is>
      </c>
      <c r="G227" s="17" t="inlineStr">
        <is>
          <t>경기도 안산시 단원구 능안로 7 반월공단B14-17</t>
        </is>
      </c>
      <c r="H227" s="17" t="inlineStr">
        <is>
          <t>안산</t>
        </is>
      </c>
      <c r="I227" s="23" t="inlineStr">
        <is>
          <t>1670</t>
        </is>
      </c>
      <c r="J227" s="17" t="inlineStr">
        <is>
          <t>1</t>
        </is>
      </c>
      <c r="K227" s="17" t="inlineStr">
        <is>
          <t>원료의약품</t>
        </is>
      </c>
      <c r="L227" s="17" t="inlineStr">
        <is>
          <t>비무균-일반제제-합성, 비무균-일반제제-소분</t>
        </is>
      </c>
      <c r="M227" s="24" t="n">
        <v>46919</v>
      </c>
      <c r="N227" s="17" t="inlineStr"/>
      <c r="O227" s="17" t="inlineStr"/>
      <c r="P227" s="17" t="inlineStr">
        <is>
          <t>경기도</t>
        </is>
      </c>
      <c r="Q227" s="17" t="inlineStr">
        <is>
          <t>안산시</t>
        </is>
      </c>
      <c r="R227" s="17" t="inlineStr">
        <is>
          <t>GMP공장소재지</t>
        </is>
      </c>
      <c r="S227" s="17" t="n">
        <v>90</v>
      </c>
      <c r="T227" s="17" t="inlineStr">
        <is>
          <t>Y</t>
        </is>
      </c>
      <c r="U227" s="17" t="n">
        <v>1</v>
      </c>
      <c r="V227" s="24" t="n">
        <v>46919</v>
      </c>
      <c r="W227" s="17" t="inlineStr"/>
      <c r="X227" s="17" t="inlineStr"/>
      <c r="Y227" s="17" t="inlineStr">
        <is>
          <t>회사키+주소</t>
        </is>
      </c>
      <c r="Z227" s="17" t="n">
        <v>90</v>
      </c>
      <c r="AA227" s="17" t="inlineStr"/>
    </row>
    <row r="228">
      <c r="A228" s="30" t="inlineStr">
        <is>
          <t>S227</t>
        </is>
      </c>
      <c r="B228" s="17" t="inlineStr">
        <is>
          <t>P201</t>
        </is>
      </c>
      <c r="C228" s="17" t="inlineStr">
        <is>
          <t>한화제약</t>
        </is>
      </c>
      <c r="D228" s="17" t="inlineStr">
        <is>
          <t>한화제약(주)</t>
        </is>
      </c>
      <c r="E228" s="17" t="inlineStr">
        <is>
          <t>강원특별자치도 춘천시 남면 약암길 109</t>
        </is>
      </c>
      <c r="F228" s="17" t="inlineStr">
        <is>
          <t>강원특별자치도 춘천시 남면 약암길 109</t>
        </is>
      </c>
      <c r="G228" s="17" t="inlineStr">
        <is>
          <t>강원특별자치도 춘천시 남면 약암길 109</t>
        </is>
      </c>
      <c r="H228" s="17" t="inlineStr">
        <is>
          <t>춘천</t>
        </is>
      </c>
      <c r="I228" s="23" t="inlineStr">
        <is>
          <t>1514</t>
        </is>
      </c>
      <c r="J228" s="17" t="inlineStr">
        <is>
          <t>2</t>
        </is>
      </c>
      <c r="K228" s="17" t="inlineStr">
        <is>
          <t>완제의약품</t>
        </is>
      </c>
      <c r="L228" s="17" t="inlineStr">
        <is>
          <t>비무균-일반제제-내용고형제(정제, 캡슐제, 산제, 과립제)</t>
        </is>
      </c>
      <c r="M228" s="24" t="n">
        <v>46918</v>
      </c>
      <c r="N228" s="17" t="inlineStr"/>
      <c r="O228" s="17" t="inlineStr"/>
      <c r="P228" s="17" t="inlineStr">
        <is>
          <t>강원특별자치도</t>
        </is>
      </c>
      <c r="Q228" s="17" t="inlineStr">
        <is>
          <t>춘천시</t>
        </is>
      </c>
      <c r="R228" s="17" t="inlineStr">
        <is>
          <t>GMP공장소재지</t>
        </is>
      </c>
      <c r="S228" s="17" t="n">
        <v>90</v>
      </c>
      <c r="T228" s="17" t="inlineStr">
        <is>
          <t>Y</t>
        </is>
      </c>
      <c r="U228" s="17" t="n">
        <v>1</v>
      </c>
      <c r="V228" s="24" t="n">
        <v>46918</v>
      </c>
      <c r="W228" s="17" t="inlineStr"/>
      <c r="X228" s="17" t="inlineStr"/>
      <c r="Y228" s="17" t="inlineStr">
        <is>
          <t>회사키+주소</t>
        </is>
      </c>
      <c r="Z228" s="17" t="n">
        <v>90</v>
      </c>
      <c r="AA228" s="17" t="inlineStr"/>
    </row>
    <row r="229">
      <c r="A229" s="30" t="inlineStr">
        <is>
          <t>S228</t>
        </is>
      </c>
      <c r="B229" s="17" t="inlineStr">
        <is>
          <t>P202</t>
        </is>
      </c>
      <c r="C229" s="17" t="inlineStr">
        <is>
          <t>동화약품</t>
        </is>
      </c>
      <c r="D229" s="17" t="inlineStr">
        <is>
          <t>동화약품(주)</t>
        </is>
      </c>
      <c r="E229" s="17" t="inlineStr">
        <is>
          <t>충청북도 충주시 충주산단1로 167</t>
        </is>
      </c>
      <c r="F229" s="17" t="inlineStr">
        <is>
          <t>충청북도 충주시 충주산단1로 167</t>
        </is>
      </c>
      <c r="G229" s="17" t="inlineStr">
        <is>
          <t>충청북도 충주시 충주산단1로 167</t>
        </is>
      </c>
      <c r="H229" s="17" t="inlineStr">
        <is>
          <t>충주</t>
        </is>
      </c>
      <c r="I229" s="23" t="inlineStr">
        <is>
          <t>1331</t>
        </is>
      </c>
      <c r="J229" s="17" t="inlineStr">
        <is>
          <t>2</t>
        </is>
      </c>
      <c r="K229" s="17" t="inlineStr">
        <is>
          <t>원료의약품</t>
        </is>
      </c>
      <c r="L229" s="17" t="inlineStr">
        <is>
          <t>비무균-일반제제-합성</t>
        </is>
      </c>
      <c r="M229" s="24" t="n">
        <v>46918</v>
      </c>
      <c r="N229" s="17" t="inlineStr"/>
      <c r="O229" s="17" t="inlineStr"/>
      <c r="P229" s="17" t="inlineStr">
        <is>
          <t>충청북도</t>
        </is>
      </c>
      <c r="Q229" s="17" t="inlineStr">
        <is>
          <t>충주시</t>
        </is>
      </c>
      <c r="R229" s="17" t="inlineStr">
        <is>
          <t>GMP공장소재지</t>
        </is>
      </c>
      <c r="S229" s="17" t="n">
        <v>90</v>
      </c>
      <c r="T229" s="17" t="inlineStr">
        <is>
          <t>Y</t>
        </is>
      </c>
      <c r="U229" s="17" t="n">
        <v>2</v>
      </c>
      <c r="V229" s="24" t="n">
        <v>46918</v>
      </c>
      <c r="W229" s="17" t="inlineStr"/>
      <c r="X229" s="17" t="inlineStr"/>
      <c r="Y229" s="17" t="inlineStr">
        <is>
          <t>회사키+주소</t>
        </is>
      </c>
      <c r="Z229" s="17" t="n">
        <v>90</v>
      </c>
      <c r="AA229" s="17" t="inlineStr"/>
    </row>
    <row r="230">
      <c r="A230" s="30" t="inlineStr">
        <is>
          <t>S229</t>
        </is>
      </c>
      <c r="B230" s="17" t="inlineStr">
        <is>
          <t>P202</t>
        </is>
      </c>
      <c r="C230" s="17" t="inlineStr">
        <is>
          <t>동화약품</t>
        </is>
      </c>
      <c r="D230" s="17" t="inlineStr">
        <is>
          <t>동화약품(주)</t>
        </is>
      </c>
      <c r="E230" s="17" t="inlineStr">
        <is>
          <t>충청북도 충주시 충주산단1로 167</t>
        </is>
      </c>
      <c r="F230" s="17" t="inlineStr">
        <is>
          <t>충청북도 충주시 충주산단1로 167</t>
        </is>
      </c>
      <c r="G230" s="17" t="inlineStr">
        <is>
          <t>충청북도 충주시 충주산단1로 167</t>
        </is>
      </c>
      <c r="H230" s="17" t="inlineStr">
        <is>
          <t>충주</t>
        </is>
      </c>
      <c r="I230" s="23" t="inlineStr">
        <is>
          <t>1331</t>
        </is>
      </c>
      <c r="J230" s="17" t="inlineStr">
        <is>
          <t>2</t>
        </is>
      </c>
      <c r="K230" s="17" t="inlineStr">
        <is>
          <t>완제의약품</t>
        </is>
      </c>
      <c r="L230" s="17" t="inlineStr">
        <is>
          <t>비무균-일반제제-내용고형제(정제, 캡슐제, 트로키제, 시럽제(고형)), 비무균-일반제제-내용액제(경구용액제, 시럽제(액상)), 비무균-일반제제-연고제(연고제, 크림제, 페이스트제, 겔제)</t>
        </is>
      </c>
      <c r="M230" s="24" t="n">
        <v>46918</v>
      </c>
      <c r="N230" s="17" t="inlineStr"/>
      <c r="O230" s="17" t="inlineStr"/>
      <c r="P230" s="17" t="inlineStr">
        <is>
          <t>충청북도</t>
        </is>
      </c>
      <c r="Q230" s="17" t="inlineStr">
        <is>
          <t>충주시</t>
        </is>
      </c>
      <c r="R230" s="17" t="inlineStr">
        <is>
          <t>GMP공장소재지</t>
        </is>
      </c>
      <c r="S230" s="17" t="n">
        <v>90</v>
      </c>
      <c r="T230" s="17" t="inlineStr">
        <is>
          <t>N</t>
        </is>
      </c>
      <c r="U230" s="17" t="n">
        <v>2</v>
      </c>
      <c r="V230" s="24" t="n">
        <v>46918</v>
      </c>
      <c r="W230" s="17" t="inlineStr"/>
      <c r="X230" s="17" t="inlineStr"/>
      <c r="Y230" s="17" t="inlineStr">
        <is>
          <t>회사키+주소</t>
        </is>
      </c>
      <c r="Z230" s="17" t="n">
        <v>90</v>
      </c>
      <c r="AA230" s="17" t="inlineStr"/>
    </row>
    <row r="231">
      <c r="A231" s="30" t="inlineStr">
        <is>
          <t>S230</t>
        </is>
      </c>
      <c r="B231" s="17" t="inlineStr">
        <is>
          <t>P203</t>
        </is>
      </c>
      <c r="C231" s="17" t="inlineStr">
        <is>
          <t>대평</t>
        </is>
      </c>
      <c r="D231" s="17" t="inlineStr">
        <is>
          <t>(주)대평</t>
        </is>
      </c>
      <c r="E231" s="17" t="inlineStr">
        <is>
          <t>경상북도 상주시 함창읍 영동길 19-8</t>
        </is>
      </c>
      <c r="F231" s="17" t="inlineStr">
        <is>
          <t>경상북도 상주시 함창읍 영동길 19-8</t>
        </is>
      </c>
      <c r="G231" s="17" t="inlineStr">
        <is>
          <t>경상북도 상주시 함창읍 영동길 19-8</t>
        </is>
      </c>
      <c r="H231" s="17" t="inlineStr">
        <is>
          <t>상주</t>
        </is>
      </c>
      <c r="I231" s="23" t="inlineStr">
        <is>
          <t>2361</t>
        </is>
      </c>
      <c r="J231" s="17" t="inlineStr">
        <is>
          <t>1</t>
        </is>
      </c>
      <c r="K231" s="17" t="inlineStr">
        <is>
          <t>원료의약품</t>
        </is>
      </c>
      <c r="L231" s="17" t="inlineStr">
        <is>
          <t>비무균-일반제제-추출</t>
        </is>
      </c>
      <c r="M231" s="24" t="n">
        <v>46918</v>
      </c>
      <c r="N231" s="17" t="inlineStr"/>
      <c r="O231" s="17" t="inlineStr"/>
      <c r="P231" s="17" t="inlineStr">
        <is>
          <t>경상북도</t>
        </is>
      </c>
      <c r="Q231" s="17" t="inlineStr">
        <is>
          <t>상주시</t>
        </is>
      </c>
      <c r="R231" s="17" t="inlineStr">
        <is>
          <t>GMP공장소재지</t>
        </is>
      </c>
      <c r="S231" s="17" t="n">
        <v>90</v>
      </c>
      <c r="T231" s="17" t="inlineStr">
        <is>
          <t>Y</t>
        </is>
      </c>
      <c r="U231" s="17" t="n">
        <v>1</v>
      </c>
      <c r="V231" s="24" t="n">
        <v>46918</v>
      </c>
      <c r="W231" s="17" t="inlineStr"/>
      <c r="X231" s="17" t="inlineStr"/>
      <c r="Y231" s="17" t="inlineStr">
        <is>
          <t>회사키+주소</t>
        </is>
      </c>
      <c r="Z231" s="17" t="n">
        <v>90</v>
      </c>
      <c r="AA231" s="17" t="inlineStr"/>
    </row>
    <row r="232">
      <c r="A232" s="30" t="inlineStr">
        <is>
          <t>S231</t>
        </is>
      </c>
      <c r="B232" s="17" t="inlineStr">
        <is>
          <t>P204</t>
        </is>
      </c>
      <c r="C232" s="17" t="inlineStr">
        <is>
          <t>하이텍팜</t>
        </is>
      </c>
      <c r="D232" s="17" t="inlineStr">
        <is>
          <t>(주)하이텍팜</t>
        </is>
      </c>
      <c r="E232" s="17" t="inlineStr">
        <is>
          <t>충청북도 음성군 대소읍 신내로 280</t>
        </is>
      </c>
      <c r="F232" s="17" t="inlineStr">
        <is>
          <t>충청북도 음성군 대소읍 신내로 280</t>
        </is>
      </c>
      <c r="G232" s="17" t="inlineStr">
        <is>
          <t>충청북도 음성군 대소읍 신내로 280</t>
        </is>
      </c>
      <c r="H232" s="17" t="inlineStr">
        <is>
          <t>음성</t>
        </is>
      </c>
      <c r="I232" s="23" t="inlineStr">
        <is>
          <t>2016</t>
        </is>
      </c>
      <c r="J232" s="17" t="inlineStr">
        <is>
          <t>1</t>
        </is>
      </c>
      <c r="K232" s="17" t="inlineStr">
        <is>
          <t>원료의약품</t>
        </is>
      </c>
      <c r="L232" s="17" t="inlineStr">
        <is>
          <t>비무균-카바페넴제제-합성</t>
        </is>
      </c>
      <c r="M232" s="24" t="n">
        <v>46913</v>
      </c>
      <c r="N232" s="17" t="inlineStr"/>
      <c r="O232" s="17" t="inlineStr"/>
      <c r="P232" s="17" t="inlineStr">
        <is>
          <t>충청북도</t>
        </is>
      </c>
      <c r="Q232" s="17" t="inlineStr">
        <is>
          <t>음성군</t>
        </is>
      </c>
      <c r="R232" s="17" t="inlineStr">
        <is>
          <t>GMP공장소재지</t>
        </is>
      </c>
      <c r="S232" s="17" t="n">
        <v>90</v>
      </c>
      <c r="T232" s="17" t="inlineStr">
        <is>
          <t>Y</t>
        </is>
      </c>
      <c r="U232" s="17" t="n">
        <v>1</v>
      </c>
      <c r="V232" s="24" t="n">
        <v>46913</v>
      </c>
      <c r="W232" s="17" t="inlineStr"/>
      <c r="X232" s="17" t="inlineStr"/>
      <c r="Y232" s="17" t="inlineStr">
        <is>
          <t>회사키+주소</t>
        </is>
      </c>
      <c r="Z232" s="17" t="n">
        <v>90</v>
      </c>
      <c r="AA232" s="17" t="inlineStr"/>
    </row>
    <row r="233">
      <c r="A233" s="30" t="inlineStr">
        <is>
          <t>S232</t>
        </is>
      </c>
      <c r="B233" s="17" t="inlineStr">
        <is>
          <t>P205</t>
        </is>
      </c>
      <c r="C233" s="17" t="inlineStr">
        <is>
          <t>국제약품</t>
        </is>
      </c>
      <c r="D233" s="17" t="inlineStr">
        <is>
          <t>국제약품(주)</t>
        </is>
      </c>
      <c r="E233" s="17" t="inlineStr">
        <is>
          <t>경기도 안산시 단원구 산성로 47</t>
        </is>
      </c>
      <c r="F233" s="17" t="inlineStr">
        <is>
          <t>경기도 안산시 단원구 산성로 47</t>
        </is>
      </c>
      <c r="G233" s="17" t="inlineStr">
        <is>
          <t>경기도 안산시 단원구 산성로 47</t>
        </is>
      </c>
      <c r="H233" s="17" t="inlineStr">
        <is>
          <t>안산</t>
        </is>
      </c>
      <c r="I233" s="23" t="inlineStr">
        <is>
          <t>1419</t>
        </is>
      </c>
      <c r="J233" s="17" t="inlineStr">
        <is>
          <t>1</t>
        </is>
      </c>
      <c r="K233" s="17" t="inlineStr">
        <is>
          <t>완제의약품</t>
        </is>
      </c>
      <c r="L233" s="17" t="inlineStr">
        <is>
          <t>비무균-세팔로스포린제제-내용고형제(정제, 캡슐제, 시럽제(고형)), 비무균-일반제제-내용고형제(정제, 캡슐제), 무균-세팔로스포린제제-주사제(분말주사제, 동결건조주사제), 무균-일반제제-점안제(점안제)</t>
        </is>
      </c>
      <c r="M233" s="24" t="n">
        <v>46913</v>
      </c>
      <c r="N233" s="17" t="inlineStr">
        <is>
          <t>Y</t>
        </is>
      </c>
      <c r="O233" s="17" t="inlineStr"/>
      <c r="P233" s="17" t="inlineStr">
        <is>
          <t>경기도</t>
        </is>
      </c>
      <c r="Q233" s="17" t="inlineStr">
        <is>
          <t>안산시</t>
        </is>
      </c>
      <c r="R233" s="17" t="inlineStr">
        <is>
          <t>GMP공장소재지</t>
        </is>
      </c>
      <c r="S233" s="17" t="n">
        <v>90</v>
      </c>
      <c r="T233" s="17" t="inlineStr">
        <is>
          <t>Y</t>
        </is>
      </c>
      <c r="U233" s="17" t="n">
        <v>1</v>
      </c>
      <c r="V233" s="24" t="n">
        <v>46913</v>
      </c>
      <c r="W233" s="17" t="inlineStr"/>
      <c r="X233" s="17" t="inlineStr"/>
      <c r="Y233" s="17" t="inlineStr">
        <is>
          <t>회사키+주소</t>
        </is>
      </c>
      <c r="Z233" s="17" t="n">
        <v>90</v>
      </c>
      <c r="AA233" s="17" t="inlineStr"/>
    </row>
    <row r="234">
      <c r="A234" s="30" t="inlineStr">
        <is>
          <t>S233</t>
        </is>
      </c>
      <c r="B234" s="17" t="inlineStr">
        <is>
          <t>P206</t>
        </is>
      </c>
      <c r="C234" s="17" t="inlineStr">
        <is>
          <t>디아이지에어가스</t>
        </is>
      </c>
      <c r="D234" s="17" t="inlineStr">
        <is>
          <t>디아이지에어가스(주)</t>
        </is>
      </c>
      <c r="E234" s="17" t="inlineStr">
        <is>
          <t>대전광역시 대덕구 신일동로 45</t>
        </is>
      </c>
      <c r="F234" s="17" t="inlineStr">
        <is>
          <t>대전광역시 대덕구 신일동로 45</t>
        </is>
      </c>
      <c r="G234" s="17" t="inlineStr">
        <is>
          <t>대전광역시 대덕구 신일동로 45</t>
        </is>
      </c>
      <c r="H234" s="17" t="inlineStr">
        <is>
          <t>대전</t>
        </is>
      </c>
      <c r="I234" s="23" t="inlineStr">
        <is>
          <t>1603</t>
        </is>
      </c>
      <c r="J234" s="17" t="inlineStr">
        <is>
          <t>12</t>
        </is>
      </c>
      <c r="K234" s="17" t="inlineStr">
        <is>
          <t>완제의약품</t>
        </is>
      </c>
      <c r="L234" s="17" t="inlineStr">
        <is>
          <t>비무균-일반제제(의료용 고압가스)-가스제(의료용 고압가스)</t>
        </is>
      </c>
      <c r="M234" s="24" t="n">
        <v>46912</v>
      </c>
      <c r="N234" s="17" t="inlineStr"/>
      <c r="O234" s="17" t="inlineStr"/>
      <c r="P234" s="17" t="inlineStr">
        <is>
          <t>대전광역시</t>
        </is>
      </c>
      <c r="Q234" s="17" t="inlineStr">
        <is>
          <t>대덕구</t>
        </is>
      </c>
      <c r="R234" s="17" t="inlineStr">
        <is>
          <t>GMP공장소재지</t>
        </is>
      </c>
      <c r="S234" s="17" t="n">
        <v>90</v>
      </c>
      <c r="T234" s="17" t="inlineStr">
        <is>
          <t>Y</t>
        </is>
      </c>
      <c r="U234" s="17" t="n">
        <v>1</v>
      </c>
      <c r="V234" s="24" t="n">
        <v>46912</v>
      </c>
      <c r="W234" s="17" t="inlineStr"/>
      <c r="X234" s="17" t="inlineStr"/>
      <c r="Y234" s="17" t="inlineStr">
        <is>
          <t>회사키+주소</t>
        </is>
      </c>
      <c r="Z234" s="17" t="n">
        <v>90</v>
      </c>
      <c r="AA234" s="17" t="inlineStr"/>
    </row>
    <row r="235">
      <c r="A235" s="30" t="inlineStr">
        <is>
          <t>S234</t>
        </is>
      </c>
      <c r="B235" s="17" t="inlineStr">
        <is>
          <t>P207</t>
        </is>
      </c>
      <c r="C235" s="17" t="inlineStr">
        <is>
          <t>진양제약</t>
        </is>
      </c>
      <c r="D235" s="17" t="inlineStr">
        <is>
          <t>진양제약(주)</t>
        </is>
      </c>
      <c r="E235" s="17" t="inlineStr">
        <is>
          <t>강원특별자치도 원주시 지정면 신평로 34</t>
        </is>
      </c>
      <c r="F235" s="17" t="inlineStr">
        <is>
          <t>강원특별자치도 원주시 지정면 신평로 34</t>
        </is>
      </c>
      <c r="G235" s="17" t="inlineStr">
        <is>
          <t>강원특별자치도 원주시 지정면 신평로 34</t>
        </is>
      </c>
      <c r="H235" s="17" t="inlineStr">
        <is>
          <t>강원도</t>
        </is>
      </c>
      <c r="I235" s="23" t="inlineStr">
        <is>
          <t>1507</t>
        </is>
      </c>
      <c r="J235" s="17" t="inlineStr">
        <is>
          <t>2</t>
        </is>
      </c>
      <c r="K235" s="17" t="inlineStr">
        <is>
          <t>완제의약품</t>
        </is>
      </c>
      <c r="L235" s="17" t="inlineStr">
        <is>
          <t>비무균-일반제제-내용고형제(정제, 캡슐제, 시럽제(고형))</t>
        </is>
      </c>
      <c r="M235" s="24" t="n">
        <v>46912</v>
      </c>
      <c r="N235" s="17" t="inlineStr"/>
      <c r="O235" s="17" t="inlineStr"/>
      <c r="P235" s="17" t="inlineStr">
        <is>
          <t>강원특별자치도</t>
        </is>
      </c>
      <c r="Q235" s="17" t="inlineStr">
        <is>
          <t>원주시</t>
        </is>
      </c>
      <c r="R235" s="17" t="inlineStr">
        <is>
          <t>GMP공장소재지</t>
        </is>
      </c>
      <c r="S235" s="17" t="n">
        <v>90</v>
      </c>
      <c r="T235" s="17" t="inlineStr">
        <is>
          <t>Y</t>
        </is>
      </c>
      <c r="U235" s="17" t="n">
        <v>1</v>
      </c>
      <c r="V235" s="24" t="n">
        <v>46912</v>
      </c>
      <c r="W235" s="17" t="inlineStr"/>
      <c r="X235" s="17" t="inlineStr"/>
      <c r="Y235" s="17" t="inlineStr">
        <is>
          <t>회사키+주소</t>
        </is>
      </c>
      <c r="Z235" s="17" t="n">
        <v>90</v>
      </c>
      <c r="AA235" s="17" t="inlineStr"/>
    </row>
    <row r="236">
      <c r="A236" s="30" t="inlineStr">
        <is>
          <t>S235</t>
        </is>
      </c>
      <c r="B236" s="17" t="inlineStr">
        <is>
          <t>P208</t>
        </is>
      </c>
      <c r="C236" s="17" t="inlineStr">
        <is>
          <t>밀성산업가스</t>
        </is>
      </c>
      <c r="D236" s="17" t="inlineStr">
        <is>
          <t>(주)밀성산업가스</t>
        </is>
      </c>
      <c r="E236" s="17" t="inlineStr">
        <is>
          <t>경기도 화성시 팔탄면 포승향남로 2960-115</t>
        </is>
      </c>
      <c r="F236" s="17" t="inlineStr">
        <is>
          <t>경기도 화성시 팔탄면 포승향남로 2960-115</t>
        </is>
      </c>
      <c r="G236" s="17" t="inlineStr">
        <is>
          <t>경기도 화성시 팔탄면 포승향남로 2960-115</t>
        </is>
      </c>
      <c r="H236" s="17" t="inlineStr">
        <is>
          <t>(주)밀성산업가스</t>
        </is>
      </c>
      <c r="I236" s="23" t="inlineStr">
        <is>
          <t>347</t>
        </is>
      </c>
      <c r="J236" s="17" t="inlineStr">
        <is>
          <t>1</t>
        </is>
      </c>
      <c r="K236" s="17" t="inlineStr">
        <is>
          <t>완제의약품</t>
        </is>
      </c>
      <c r="L236" s="17" t="inlineStr">
        <is>
          <t>비무균-일반제제(의료용 고압가스)-가스제(의료용 고압가스)</t>
        </is>
      </c>
      <c r="M236" s="24" t="n">
        <v>46903</v>
      </c>
      <c r="N236" s="17" t="inlineStr"/>
      <c r="O236" s="17" t="inlineStr"/>
      <c r="P236" s="17" t="inlineStr">
        <is>
          <t>경기도</t>
        </is>
      </c>
      <c r="Q236" s="17" t="inlineStr">
        <is>
          <t>화성시</t>
        </is>
      </c>
      <c r="R236" s="17" t="inlineStr">
        <is>
          <t>GMP공장소재지</t>
        </is>
      </c>
      <c r="S236" s="17" t="n">
        <v>90</v>
      </c>
      <c r="T236" s="17" t="inlineStr">
        <is>
          <t>Y</t>
        </is>
      </c>
      <c r="U236" s="17" t="n">
        <v>1</v>
      </c>
      <c r="V236" s="24" t="n">
        <v>46903</v>
      </c>
      <c r="W236" s="17" t="inlineStr"/>
      <c r="X236" s="17" t="inlineStr"/>
      <c r="Y236" s="17" t="inlineStr">
        <is>
          <t>회사키+주소</t>
        </is>
      </c>
      <c r="Z236" s="17" t="n">
        <v>90</v>
      </c>
      <c r="AA236" s="17" t="inlineStr"/>
    </row>
    <row r="237">
      <c r="A237" s="30" t="inlineStr">
        <is>
          <t>S236</t>
        </is>
      </c>
      <c r="B237" s="17" t="inlineStr">
        <is>
          <t>P209</t>
        </is>
      </c>
      <c r="C237" s="17" t="inlineStr">
        <is>
          <t>신풍제약</t>
        </is>
      </c>
      <c r="D237" s="17" t="inlineStr">
        <is>
          <t>신풍제약(주)</t>
        </is>
      </c>
      <c r="E237" s="17" t="inlineStr">
        <is>
          <t>경기도 안산시 단원구 원시로 7</t>
        </is>
      </c>
      <c r="F237" s="17" t="inlineStr">
        <is>
          <t>경기도 안산시 단원구 원시로 7</t>
        </is>
      </c>
      <c r="G237" s="17" t="inlineStr">
        <is>
          <t>경기도 안산시 단원구 원시로 7</t>
        </is>
      </c>
      <c r="H237" s="17" t="inlineStr">
        <is>
          <t>안산1</t>
        </is>
      </c>
      <c r="I237" s="23" t="inlineStr">
        <is>
          <t>1414</t>
        </is>
      </c>
      <c r="J237" s="17" t="inlineStr">
        <is>
          <t>1</t>
        </is>
      </c>
      <c r="K237" s="17" t="inlineStr">
        <is>
          <t>완제의약품</t>
        </is>
      </c>
      <c r="L237" s="17" t="inlineStr">
        <is>
          <t>비무균-일반제제-내용고형제(정제, 캡슐제), 무균-일반제제-주사제(주사제, 분말주사제, 수액제), 비무균-일반제제-연고제(연고제, 크림제, 겔제)</t>
        </is>
      </c>
      <c r="M237" s="24" t="n">
        <v>46899</v>
      </c>
      <c r="N237" s="17" t="inlineStr">
        <is>
          <t>Y</t>
        </is>
      </c>
      <c r="O237" s="17" t="inlineStr"/>
      <c r="P237" s="17" t="inlineStr">
        <is>
          <t>경기도</t>
        </is>
      </c>
      <c r="Q237" s="17" t="inlineStr">
        <is>
          <t>안산시</t>
        </is>
      </c>
      <c r="R237" s="17" t="inlineStr">
        <is>
          <t>GMP공장소재지</t>
        </is>
      </c>
      <c r="S237" s="17" t="n">
        <v>90</v>
      </c>
      <c r="T237" s="17" t="inlineStr">
        <is>
          <t>Y</t>
        </is>
      </c>
      <c r="U237" s="17" t="n">
        <v>2</v>
      </c>
      <c r="V237" s="24" t="n">
        <v>46899</v>
      </c>
      <c r="W237" s="17" t="inlineStr"/>
      <c r="X237" s="17" t="inlineStr"/>
      <c r="Y237" s="17" t="inlineStr">
        <is>
          <t>회사키+주소</t>
        </is>
      </c>
      <c r="Z237" s="17" t="n">
        <v>90</v>
      </c>
      <c r="AA237" s="17" t="inlineStr"/>
    </row>
    <row r="238">
      <c r="A238" s="30" t="inlineStr">
        <is>
          <t>S237</t>
        </is>
      </c>
      <c r="B238" s="17" t="inlineStr">
        <is>
          <t>P210</t>
        </is>
      </c>
      <c r="C238" s="17" t="inlineStr">
        <is>
          <t>한국신텍스제약</t>
        </is>
      </c>
      <c r="D238" s="17" t="inlineStr">
        <is>
          <t>한국신텍스제약(주)</t>
        </is>
      </c>
      <c r="E238" s="17" t="inlineStr">
        <is>
          <t>전북특별자치도 익산시 삼기면 산단오룡길 106</t>
        </is>
      </c>
      <c r="F238" s="17" t="inlineStr">
        <is>
          <t>전북특별자치도 익산시 삼기면 산단오룡길 106</t>
        </is>
      </c>
      <c r="G238" s="17" t="inlineStr">
        <is>
          <t>전북특별자치도 익산시 삼기면 산단오룡길 106</t>
        </is>
      </c>
      <c r="H238" s="17" t="inlineStr">
        <is>
          <t>제 1공장</t>
        </is>
      </c>
      <c r="I238" s="23" t="inlineStr">
        <is>
          <t>1334</t>
        </is>
      </c>
      <c r="J238" s="17" t="inlineStr">
        <is>
          <t>2</t>
        </is>
      </c>
      <c r="K238" s="17" t="inlineStr">
        <is>
          <t>완제의약품</t>
        </is>
      </c>
      <c r="L238" s="17" t="inlineStr">
        <is>
          <t>비무균-일반제제-내용액제(경구용액제)</t>
        </is>
      </c>
      <c r="M238" s="24" t="n">
        <v>46899</v>
      </c>
      <c r="N238" s="17" t="inlineStr"/>
      <c r="O238" s="17" t="inlineStr"/>
      <c r="P238" s="17" t="inlineStr">
        <is>
          <t>전북특별자치도</t>
        </is>
      </c>
      <c r="Q238" s="17" t="inlineStr">
        <is>
          <t>익산시</t>
        </is>
      </c>
      <c r="R238" s="17" t="inlineStr">
        <is>
          <t>GMP공장소재지</t>
        </is>
      </c>
      <c r="S238" s="17" t="n">
        <v>90</v>
      </c>
      <c r="T238" s="17" t="inlineStr">
        <is>
          <t>Y</t>
        </is>
      </c>
      <c r="U238" s="17" t="n">
        <v>1</v>
      </c>
      <c r="V238" s="24" t="n">
        <v>46899</v>
      </c>
      <c r="W238" s="17" t="inlineStr"/>
      <c r="X238" s="17" t="inlineStr"/>
      <c r="Y238" s="17" t="inlineStr">
        <is>
          <t>회사키+주소</t>
        </is>
      </c>
      <c r="Z238" s="17" t="n">
        <v>90</v>
      </c>
      <c r="AA238" s="17" t="inlineStr"/>
    </row>
    <row r="239">
      <c r="A239" s="30" t="inlineStr">
        <is>
          <t>S238</t>
        </is>
      </c>
      <c r="B239" s="17" t="inlineStr">
        <is>
          <t>P209</t>
        </is>
      </c>
      <c r="C239" s="17" t="inlineStr">
        <is>
          <t>신풍제약</t>
        </is>
      </c>
      <c r="D239" s="17" t="inlineStr">
        <is>
          <t>신풍제약(주)</t>
        </is>
      </c>
      <c r="E239" s="17" t="inlineStr">
        <is>
          <t>경기도 안산시 단원구 원시로 7</t>
        </is>
      </c>
      <c r="F239" s="17" t="inlineStr">
        <is>
          <t>경기도 안산시 단원구 원시로 7</t>
        </is>
      </c>
      <c r="G239" s="17" t="inlineStr">
        <is>
          <t>경기도 안산시 단원구 원시로 7</t>
        </is>
      </c>
      <c r="H239" s="17" t="inlineStr">
        <is>
          <t>안산1</t>
        </is>
      </c>
      <c r="I239" s="23" t="inlineStr">
        <is>
          <t>1414</t>
        </is>
      </c>
      <c r="J239" s="17" t="inlineStr">
        <is>
          <t>1</t>
        </is>
      </c>
      <c r="K239" s="17" t="inlineStr">
        <is>
          <t>원료의약품</t>
        </is>
      </c>
      <c r="L239" s="17" t="inlineStr">
        <is>
          <t>무균-세팔로스포린제제-합성, 무균-일반제제-합성, 비무균-일반제제-합성</t>
        </is>
      </c>
      <c r="M239" s="24" t="n">
        <v>46899</v>
      </c>
      <c r="N239" s="17" t="inlineStr">
        <is>
          <t>Y</t>
        </is>
      </c>
      <c r="O239" s="17" t="inlineStr"/>
      <c r="P239" s="17" t="inlineStr">
        <is>
          <t>경기도</t>
        </is>
      </c>
      <c r="Q239" s="17" t="inlineStr">
        <is>
          <t>안산시</t>
        </is>
      </c>
      <c r="R239" s="17" t="inlineStr">
        <is>
          <t>GMP공장소재지</t>
        </is>
      </c>
      <c r="S239" s="17" t="n">
        <v>90</v>
      </c>
      <c r="T239" s="17" t="inlineStr">
        <is>
          <t>N</t>
        </is>
      </c>
      <c r="U239" s="17" t="n">
        <v>2</v>
      </c>
      <c r="V239" s="24" t="n">
        <v>46899</v>
      </c>
      <c r="W239" s="17" t="inlineStr"/>
      <c r="X239" s="17" t="inlineStr"/>
      <c r="Y239" s="17" t="inlineStr">
        <is>
          <t>회사키+주소</t>
        </is>
      </c>
      <c r="Z239" s="17" t="n">
        <v>90</v>
      </c>
      <c r="AA239" s="17" t="inlineStr"/>
    </row>
    <row r="240">
      <c r="A240" s="30" t="inlineStr">
        <is>
          <t>S239</t>
        </is>
      </c>
      <c r="B240" s="17" t="inlineStr">
        <is>
          <t>P211</t>
        </is>
      </c>
      <c r="C240" s="17" t="inlineStr">
        <is>
          <t>마더스제약</t>
        </is>
      </c>
      <c r="D240" s="17" t="inlineStr">
        <is>
          <t>(주)마더스제약</t>
        </is>
      </c>
      <c r="E240" s="17" t="inlineStr">
        <is>
          <t>경상북도 경산시 진량읍 공단6로24길 18</t>
        </is>
      </c>
      <c r="F240" s="17" t="inlineStr">
        <is>
          <t>경상북도 경산시 진량읍 공단9로 70</t>
        </is>
      </c>
      <c r="G240" s="17" t="inlineStr">
        <is>
          <t>경상북도 경산시 진량읍 공단6로24길 18</t>
        </is>
      </c>
      <c r="H240" s="17" t="inlineStr">
        <is>
          <t>보관소</t>
        </is>
      </c>
      <c r="I240" s="23" t="inlineStr">
        <is>
          <t>1313</t>
        </is>
      </c>
      <c r="J240" s="17" t="inlineStr">
        <is>
          <t>2</t>
        </is>
      </c>
      <c r="K240" s="17" t="inlineStr">
        <is>
          <t>완제의약품</t>
        </is>
      </c>
      <c r="L240" s="17" t="inlineStr">
        <is>
          <t>비무균-일반제제-내용고형제(정제, 캡슐제)</t>
        </is>
      </c>
      <c r="M240" s="24" t="n">
        <v>46899</v>
      </c>
      <c r="N240" s="17" t="inlineStr"/>
      <c r="O240" s="17" t="inlineStr"/>
      <c r="P240" s="17" t="inlineStr">
        <is>
          <t>경상북도</t>
        </is>
      </c>
      <c r="Q240" s="17" t="inlineStr">
        <is>
          <t>경산시</t>
        </is>
      </c>
      <c r="R240" s="17" t="inlineStr">
        <is>
          <t>GMP공장소재지</t>
        </is>
      </c>
      <c r="S240" s="17" t="n">
        <v>90</v>
      </c>
      <c r="T240" s="17" t="inlineStr">
        <is>
          <t>Y</t>
        </is>
      </c>
      <c r="U240" s="17" t="n">
        <v>1</v>
      </c>
      <c r="V240" s="24" t="n">
        <v>46899</v>
      </c>
      <c r="W240" s="17" t="inlineStr"/>
      <c r="X240" s="17" t="inlineStr"/>
      <c r="Y240" s="17" t="inlineStr">
        <is>
          <t>회사키+주소</t>
        </is>
      </c>
      <c r="Z240" s="17" t="n">
        <v>90</v>
      </c>
      <c r="AA240" s="17" t="inlineStr"/>
    </row>
    <row r="241">
      <c r="A241" s="30" t="inlineStr">
        <is>
          <t>S240</t>
        </is>
      </c>
      <c r="B241" s="17" t="inlineStr">
        <is>
          <t>P212</t>
        </is>
      </c>
      <c r="C241" s="17" t="inlineStr">
        <is>
          <t>한국팜비오</t>
        </is>
      </c>
      <c r="D241" s="17" t="inlineStr">
        <is>
          <t>(주)한국팜비오</t>
        </is>
      </c>
      <c r="E241" s="17" t="inlineStr">
        <is>
          <t>충청북도 충주시 대소원면 첨단산업9로 36</t>
        </is>
      </c>
      <c r="F241" s="17" t="inlineStr">
        <is>
          <t>충청북도 충주시 대소원면 첨단산업9로 36</t>
        </is>
      </c>
      <c r="G241" s="17" t="inlineStr">
        <is>
          <t>충청북도 충주시 대소원면 첨단산업9로 36</t>
        </is>
      </c>
      <c r="H241" s="17" t="inlineStr">
        <is>
          <t>제2공장</t>
        </is>
      </c>
      <c r="I241" s="23" t="inlineStr">
        <is>
          <t>2504</t>
        </is>
      </c>
      <c r="J241" s="17" t="inlineStr">
        <is>
          <t>2</t>
        </is>
      </c>
      <c r="K241" s="17" t="inlineStr">
        <is>
          <t>완제의약품</t>
        </is>
      </c>
      <c r="L241" s="17" t="inlineStr">
        <is>
          <t>비무균-일반제제-내용고형제(정제, 캡슐제, 산제), 무균-일반제제-주사제(주사제, 수액제), 비무균-일반제제-내용액제(경구용액제)</t>
        </is>
      </c>
      <c r="M241" s="24" t="n">
        <v>46898</v>
      </c>
      <c r="N241" s="17" t="inlineStr">
        <is>
          <t>Y</t>
        </is>
      </c>
      <c r="O241" s="17" t="inlineStr"/>
      <c r="P241" s="17" t="inlineStr">
        <is>
          <t>충청북도</t>
        </is>
      </c>
      <c r="Q241" s="17" t="inlineStr">
        <is>
          <t>충주시</t>
        </is>
      </c>
      <c r="R241" s="17" t="inlineStr">
        <is>
          <t>GMP공장소재지</t>
        </is>
      </c>
      <c r="S241" s="17" t="n">
        <v>90</v>
      </c>
      <c r="T241" s="17" t="inlineStr">
        <is>
          <t>Y</t>
        </is>
      </c>
      <c r="U241" s="17" t="n">
        <v>1</v>
      </c>
      <c r="V241" s="24" t="n">
        <v>46898</v>
      </c>
      <c r="W241" s="17" t="inlineStr"/>
      <c r="X241" s="17" t="inlineStr"/>
      <c r="Y241" s="17" t="inlineStr">
        <is>
          <t>회사키+주소</t>
        </is>
      </c>
      <c r="Z241" s="17" t="n">
        <v>90</v>
      </c>
      <c r="AA241" s="17" t="inlineStr"/>
    </row>
    <row r="242">
      <c r="A242" s="30" t="inlineStr">
        <is>
          <t>S241</t>
        </is>
      </c>
      <c r="B242" s="17" t="inlineStr">
        <is>
          <t>P213</t>
        </is>
      </c>
      <c r="C242" s="17" t="inlineStr">
        <is>
          <t>종근당바이오</t>
        </is>
      </c>
      <c r="D242" s="17" t="inlineStr">
        <is>
          <t>(주)종근당바이오</t>
        </is>
      </c>
      <c r="E242" s="17" t="inlineStr">
        <is>
          <t>충청남도 예산군 삽교읍 산단3길 226 101호, 2-1동, 3-1동, 4동</t>
        </is>
      </c>
      <c r="F242" s="17" t="inlineStr">
        <is>
          <t>충청남도 예산군 삽교읍 산단3길 226 101호, 2-1동, 3-1동, 4동</t>
        </is>
      </c>
      <c r="G242" s="17" t="inlineStr">
        <is>
          <t>충청남도 예산군 삽교읍 산단3길 226 101호, 2-1동, 3-1동, 4동</t>
        </is>
      </c>
      <c r="H242" s="17" t="inlineStr">
        <is>
          <t>예산</t>
        </is>
      </c>
      <c r="I242" s="23" t="inlineStr">
        <is>
          <t>2253</t>
        </is>
      </c>
      <c r="J242" s="17" t="inlineStr">
        <is>
          <t>2</t>
        </is>
      </c>
      <c r="K242" s="17" t="inlineStr">
        <is>
          <t>원료의약품</t>
        </is>
      </c>
      <c r="L242" s="17" t="inlineStr">
        <is>
          <t>비무균-일반제제-합성</t>
        </is>
      </c>
      <c r="M242" s="24" t="n">
        <v>46897</v>
      </c>
      <c r="N242" s="17" t="inlineStr"/>
      <c r="O242" s="17" t="inlineStr"/>
      <c r="P242" s="17" t="inlineStr">
        <is>
          <t>충청남도</t>
        </is>
      </c>
      <c r="Q242" s="17" t="inlineStr">
        <is>
          <t>예산군</t>
        </is>
      </c>
      <c r="R242" s="17" t="inlineStr">
        <is>
          <t>GMP공장소재지</t>
        </is>
      </c>
      <c r="S242" s="17" t="n">
        <v>90</v>
      </c>
      <c r="T242" s="17" t="inlineStr">
        <is>
          <t>Y</t>
        </is>
      </c>
      <c r="U242" s="17" t="n">
        <v>1</v>
      </c>
      <c r="V242" s="24" t="n">
        <v>46897</v>
      </c>
      <c r="W242" s="17" t="inlineStr"/>
      <c r="X242" s="17" t="inlineStr"/>
      <c r="Y242" s="17" t="inlineStr">
        <is>
          <t>회사키+주소</t>
        </is>
      </c>
      <c r="Z242" s="17" t="n">
        <v>90</v>
      </c>
      <c r="AA242" s="17" t="inlineStr"/>
    </row>
    <row r="243">
      <c r="A243" s="30" t="inlineStr">
        <is>
          <t>S242</t>
        </is>
      </c>
      <c r="B243" s="17" t="inlineStr">
        <is>
          <t>P214</t>
        </is>
      </c>
      <c r="C243" s="17" t="inlineStr">
        <is>
          <t>동구바이오제약</t>
        </is>
      </c>
      <c r="D243" s="17" t="inlineStr">
        <is>
          <t>(주)동구바이오제약</t>
        </is>
      </c>
      <c r="E243" s="17" t="inlineStr">
        <is>
          <t>경기도 화성시 만세구 향남읍 제약공단2길 18 (상신리 901-3)</t>
        </is>
      </c>
      <c r="F243" s="17" t="inlineStr">
        <is>
          <t>경기도 화성시 만세구 향남읍 제약공단2길 18 (상신리 901-3)</t>
        </is>
      </c>
      <c r="G243" s="17" t="inlineStr">
        <is>
          <t>경기도 화성시 만세구 향남읍 제약공단2길 18 (상신리 901-3)</t>
        </is>
      </c>
      <c r="H243" s="17" t="inlineStr">
        <is>
          <t>화성</t>
        </is>
      </c>
      <c r="I243" s="23" t="inlineStr">
        <is>
          <t>1305</t>
        </is>
      </c>
      <c r="J243" s="17" t="inlineStr">
        <is>
          <t>1</t>
        </is>
      </c>
      <c r="K243" s="17" t="inlineStr">
        <is>
          <t>완제의약품</t>
        </is>
      </c>
      <c r="L243" s="17" t="inlineStr">
        <is>
          <t>비무균-일반제제-내용고형제(정제, 캡슐제), 비무균-일반제제-외용액제(외용액제, 로션제), 비무균-일반제제-연고제(연고제, 크림제)</t>
        </is>
      </c>
      <c r="M243" s="24" t="n">
        <v>46892</v>
      </c>
      <c r="N243" s="17" t="inlineStr"/>
      <c r="O243" s="17" t="inlineStr"/>
      <c r="P243" s="17" t="inlineStr">
        <is>
          <t>경기도</t>
        </is>
      </c>
      <c r="Q243" s="17" t="inlineStr">
        <is>
          <t>화성시</t>
        </is>
      </c>
      <c r="R243" s="17" t="inlineStr">
        <is>
          <t>GMP공장소재지</t>
        </is>
      </c>
      <c r="S243" s="17" t="n">
        <v>90</v>
      </c>
      <c r="T243" s="17" t="inlineStr">
        <is>
          <t>Y</t>
        </is>
      </c>
      <c r="U243" s="17" t="n">
        <v>1</v>
      </c>
      <c r="V243" s="24" t="n">
        <v>46892</v>
      </c>
      <c r="W243" s="17" t="inlineStr"/>
      <c r="X243" s="17" t="inlineStr"/>
      <c r="Y243" s="17" t="inlineStr">
        <is>
          <t>회사키+주소</t>
        </is>
      </c>
      <c r="Z243" s="17" t="n">
        <v>90</v>
      </c>
      <c r="AA243" s="17" t="inlineStr"/>
    </row>
    <row r="244">
      <c r="A244" s="30" t="inlineStr">
        <is>
          <t>S243</t>
        </is>
      </c>
      <c r="B244" s="17" t="inlineStr">
        <is>
          <t>P215</t>
        </is>
      </c>
      <c r="C244" s="17" t="inlineStr">
        <is>
          <t>에스케이케미칼</t>
        </is>
      </c>
      <c r="D244" s="17" t="inlineStr">
        <is>
          <t>에스케이케미칼(주)</t>
        </is>
      </c>
      <c r="E244" s="17" t="inlineStr">
        <is>
          <t>충청북도 청주시 흥덕구 산단로 149</t>
        </is>
      </c>
      <c r="F244" s="17" t="inlineStr">
        <is>
          <t>충청북도 청주시 흥덕구 산단로 149</t>
        </is>
      </c>
      <c r="G244" s="17" t="inlineStr">
        <is>
          <t>충청북도 청주시 흥덕구 산단로 149</t>
        </is>
      </c>
      <c r="H244" s="17" t="inlineStr">
        <is>
          <t>청주</t>
        </is>
      </c>
      <c r="I244" s="23" t="inlineStr">
        <is>
          <t>1346</t>
        </is>
      </c>
      <c r="J244" s="17" t="inlineStr">
        <is>
          <t>4</t>
        </is>
      </c>
      <c r="K244" s="17" t="inlineStr">
        <is>
          <t>원료의약품</t>
        </is>
      </c>
      <c r="L244" s="17" t="inlineStr">
        <is>
          <t>비무균-일반제제-추출</t>
        </is>
      </c>
      <c r="M244" s="24" t="n">
        <v>46891</v>
      </c>
      <c r="N244" s="17" t="inlineStr"/>
      <c r="O244" s="17" t="inlineStr"/>
      <c r="P244" s="17" t="inlineStr">
        <is>
          <t>충청북도</t>
        </is>
      </c>
      <c r="Q244" s="17" t="inlineStr">
        <is>
          <t>청주시</t>
        </is>
      </c>
      <c r="R244" s="17" t="inlineStr">
        <is>
          <t>GMP공장소재지</t>
        </is>
      </c>
      <c r="S244" s="17" t="n">
        <v>90</v>
      </c>
      <c r="T244" s="17" t="inlineStr">
        <is>
          <t>Y</t>
        </is>
      </c>
      <c r="U244" s="17" t="n">
        <v>2</v>
      </c>
      <c r="V244" s="24" t="n">
        <v>46891</v>
      </c>
      <c r="W244" s="17" t="inlineStr"/>
      <c r="X244" s="17" t="inlineStr"/>
      <c r="Y244" s="17" t="inlineStr">
        <is>
          <t>회사키+주소</t>
        </is>
      </c>
      <c r="Z244" s="17" t="n">
        <v>90</v>
      </c>
      <c r="AA244" s="17" t="inlineStr"/>
    </row>
    <row r="245">
      <c r="A245" s="30" t="inlineStr">
        <is>
          <t>S244</t>
        </is>
      </c>
      <c r="B245" s="17" t="inlineStr">
        <is>
          <t>P215</t>
        </is>
      </c>
      <c r="C245" s="17" t="inlineStr">
        <is>
          <t>에스케이케미칼</t>
        </is>
      </c>
      <c r="D245" s="17" t="inlineStr">
        <is>
          <t>에스케이케미칼(주)</t>
        </is>
      </c>
      <c r="E245" s="17" t="inlineStr">
        <is>
          <t>충청북도 청주시 흥덕구 산단로 149</t>
        </is>
      </c>
      <c r="F245" s="17" t="inlineStr">
        <is>
          <t>충청북도 청주시 흥덕구 산단로 149</t>
        </is>
      </c>
      <c r="G245" s="17" t="inlineStr">
        <is>
          <t>충청북도 청주시 흥덕구 산단로 149</t>
        </is>
      </c>
      <c r="H245" s="17" t="inlineStr">
        <is>
          <t>청주</t>
        </is>
      </c>
      <c r="I245" s="23" t="inlineStr">
        <is>
          <t>1346</t>
        </is>
      </c>
      <c r="J245" s="17" t="inlineStr">
        <is>
          <t>4</t>
        </is>
      </c>
      <c r="K245" s="17" t="inlineStr">
        <is>
          <t>완제의약품</t>
        </is>
      </c>
      <c r="L245" s="17" t="inlineStr">
        <is>
          <t>비무균-일반제제-내용고형제(정제, 캡슐제), 비무균-일반제제-첩부제(경피흡수제)</t>
        </is>
      </c>
      <c r="M245" s="24" t="n">
        <v>46891</v>
      </c>
      <c r="N245" s="17" t="inlineStr"/>
      <c r="O245" s="17" t="inlineStr"/>
      <c r="P245" s="17" t="inlineStr">
        <is>
          <t>충청북도</t>
        </is>
      </c>
      <c r="Q245" s="17" t="inlineStr">
        <is>
          <t>청주시</t>
        </is>
      </c>
      <c r="R245" s="17" t="inlineStr">
        <is>
          <t>GMP공장소재지</t>
        </is>
      </c>
      <c r="S245" s="17" t="n">
        <v>90</v>
      </c>
      <c r="T245" s="17" t="inlineStr">
        <is>
          <t>N</t>
        </is>
      </c>
      <c r="U245" s="17" t="n">
        <v>2</v>
      </c>
      <c r="V245" s="24" t="n">
        <v>46891</v>
      </c>
      <c r="W245" s="17" t="inlineStr"/>
      <c r="X245" s="17" t="inlineStr"/>
      <c r="Y245" s="17" t="inlineStr">
        <is>
          <t>회사키+주소</t>
        </is>
      </c>
      <c r="Z245" s="17" t="n">
        <v>90</v>
      </c>
      <c r="AA245" s="17" t="inlineStr"/>
    </row>
    <row r="246">
      <c r="A246" s="30" t="inlineStr">
        <is>
          <t>S245</t>
        </is>
      </c>
      <c r="B246" s="17" t="inlineStr">
        <is>
          <t>P216</t>
        </is>
      </c>
      <c r="C246" s="17" t="inlineStr">
        <is>
          <t>새한가스공업</t>
        </is>
      </c>
      <c r="D246" s="17" t="inlineStr">
        <is>
          <t>새한가스공업</t>
        </is>
      </c>
      <c r="E246" s="17" t="inlineStr">
        <is>
          <t>제주특별자치도 제주시 선반로 40</t>
        </is>
      </c>
      <c r="F246" s="17" t="inlineStr">
        <is>
          <t>제주특별자치도 제주시 선반로 40</t>
        </is>
      </c>
      <c r="G246" s="17" t="inlineStr">
        <is>
          <t>제주특별자치도 제주시 선반로 40</t>
        </is>
      </c>
      <c r="H246" s="17" t="inlineStr">
        <is>
          <t>제주</t>
        </is>
      </c>
      <c r="I246" s="23" t="inlineStr">
        <is>
          <t>2463</t>
        </is>
      </c>
      <c r="J246" s="17" t="inlineStr">
        <is>
          <t>1</t>
        </is>
      </c>
      <c r="K246" s="17" t="inlineStr">
        <is>
          <t>완제의약품</t>
        </is>
      </c>
      <c r="L246" s="17" t="inlineStr">
        <is>
          <t>비무균-일반제제(의료용 고압가스)-가스제(의료용 고압가스)</t>
        </is>
      </c>
      <c r="M246" s="24" t="n">
        <v>46891</v>
      </c>
      <c r="N246" s="17" t="inlineStr"/>
      <c r="O246" s="17" t="inlineStr"/>
      <c r="P246" s="17" t="inlineStr">
        <is>
          <t>제주특별자치도</t>
        </is>
      </c>
      <c r="Q246" s="17" t="inlineStr">
        <is>
          <t>제주시</t>
        </is>
      </c>
      <c r="R246" s="17" t="inlineStr">
        <is>
          <t>GMP공장소재지</t>
        </is>
      </c>
      <c r="S246" s="17" t="n">
        <v>90</v>
      </c>
      <c r="T246" s="17" t="inlineStr">
        <is>
          <t>Y</t>
        </is>
      </c>
      <c r="U246" s="17" t="n">
        <v>1</v>
      </c>
      <c r="V246" s="24" t="n">
        <v>46891</v>
      </c>
      <c r="W246" s="17" t="inlineStr"/>
      <c r="X246" s="17" t="inlineStr"/>
      <c r="Y246" s="17" t="inlineStr">
        <is>
          <t>회사키+주소</t>
        </is>
      </c>
      <c r="Z246" s="17" t="n">
        <v>90</v>
      </c>
      <c r="AA246" s="17" t="inlineStr"/>
    </row>
    <row r="247">
      <c r="A247" s="30" t="inlineStr">
        <is>
          <t>S246</t>
        </is>
      </c>
      <c r="B247" s="17" t="inlineStr">
        <is>
          <t>P217</t>
        </is>
      </c>
      <c r="C247" s="17" t="inlineStr">
        <is>
          <t>대동가스텍</t>
        </is>
      </c>
      <c r="D247" s="17" t="inlineStr">
        <is>
          <t>(주)대동가스텍</t>
        </is>
      </c>
      <c r="E247" s="17" t="inlineStr">
        <is>
          <t>경상북도 경산시 진량읍 공단4로 96</t>
        </is>
      </c>
      <c r="F247" s="17" t="inlineStr">
        <is>
          <t>경상북도 경산시 진량읍 공단4로 96</t>
        </is>
      </c>
      <c r="G247" s="17" t="inlineStr">
        <is>
          <t>경상북도 경산시 진량읍 공단4로 96</t>
        </is>
      </c>
      <c r="H247" s="17" t="inlineStr">
        <is>
          <t>경산</t>
        </is>
      </c>
      <c r="I247" s="23" t="inlineStr">
        <is>
          <t>2147</t>
        </is>
      </c>
      <c r="J247" s="17" t="inlineStr">
        <is>
          <t>1</t>
        </is>
      </c>
      <c r="K247" s="17" t="inlineStr">
        <is>
          <t>완제의약품</t>
        </is>
      </c>
      <c r="L247" s="17" t="inlineStr">
        <is>
          <t>비무균-일반제제(의료용 고압가스)-가스제(의료용 고압가스)</t>
        </is>
      </c>
      <c r="M247" s="24" t="n">
        <v>46891</v>
      </c>
      <c r="N247" s="17" t="inlineStr"/>
      <c r="O247" s="17" t="inlineStr"/>
      <c r="P247" s="17" t="inlineStr">
        <is>
          <t>경상북도</t>
        </is>
      </c>
      <c r="Q247" s="17" t="inlineStr">
        <is>
          <t>경산시</t>
        </is>
      </c>
      <c r="R247" s="17" t="inlineStr">
        <is>
          <t>GMP공장소재지</t>
        </is>
      </c>
      <c r="S247" s="17" t="n">
        <v>90</v>
      </c>
      <c r="T247" s="17" t="inlineStr">
        <is>
          <t>Y</t>
        </is>
      </c>
      <c r="U247" s="17" t="n">
        <v>1</v>
      </c>
      <c r="V247" s="24" t="n">
        <v>46891</v>
      </c>
      <c r="W247" s="17" t="inlineStr"/>
      <c r="X247" s="17" t="inlineStr"/>
      <c r="Y247" s="17" t="inlineStr">
        <is>
          <t>회사키+주소</t>
        </is>
      </c>
      <c r="Z247" s="17" t="n">
        <v>90</v>
      </c>
      <c r="AA247" s="17" t="inlineStr"/>
    </row>
    <row r="248">
      <c r="A248" s="30" t="inlineStr">
        <is>
          <t>S247</t>
        </is>
      </c>
      <c r="B248" s="17" t="inlineStr">
        <is>
          <t>P218</t>
        </is>
      </c>
      <c r="C248" s="17" t="inlineStr">
        <is>
          <t>에어퍼스트</t>
        </is>
      </c>
      <c r="D248" s="17" t="inlineStr">
        <is>
          <t>(주)에어퍼스트</t>
        </is>
      </c>
      <c r="E248" s="17" t="inlineStr">
        <is>
          <t>경기도 용인시 기흥구 농서로 60</t>
        </is>
      </c>
      <c r="F248" s="17" t="inlineStr">
        <is>
          <t>경기도 용인시 기흥구 농서로 60</t>
        </is>
      </c>
      <c r="G248" s="17" t="inlineStr">
        <is>
          <t>경기도 용인시 기흥구 농서로 60</t>
        </is>
      </c>
      <c r="H248" s="17" t="inlineStr">
        <is>
          <t>기흥공장(제2공장)</t>
        </is>
      </c>
      <c r="I248" s="23" t="inlineStr">
        <is>
          <t>65</t>
        </is>
      </c>
      <c r="J248" s="17" t="inlineStr">
        <is>
          <t>2</t>
        </is>
      </c>
      <c r="K248" s="17" t="inlineStr">
        <is>
          <t>완제의약품</t>
        </is>
      </c>
      <c r="L248" s="17" t="inlineStr">
        <is>
          <t>비무균-일반제제(의료용 고압가스)-가스제(의료용 고압가스)</t>
        </is>
      </c>
      <c r="M248" s="24" t="n">
        <v>46890</v>
      </c>
      <c r="N248" s="17" t="inlineStr"/>
      <c r="O248" s="17" t="inlineStr"/>
      <c r="P248" s="17" t="inlineStr">
        <is>
          <t>경기도</t>
        </is>
      </c>
      <c r="Q248" s="17" t="inlineStr">
        <is>
          <t>용인시</t>
        </is>
      </c>
      <c r="R248" s="17" t="inlineStr">
        <is>
          <t>GMP공장소재지</t>
        </is>
      </c>
      <c r="S248" s="17" t="n">
        <v>90</v>
      </c>
      <c r="T248" s="17" t="inlineStr">
        <is>
          <t>Y</t>
        </is>
      </c>
      <c r="U248" s="17" t="n">
        <v>1</v>
      </c>
      <c r="V248" s="24" t="n">
        <v>46890</v>
      </c>
      <c r="W248" s="17" t="inlineStr"/>
      <c r="X248" s="17" t="inlineStr"/>
      <c r="Y248" s="17" t="inlineStr">
        <is>
          <t>회사키+주소</t>
        </is>
      </c>
      <c r="Z248" s="17" t="n">
        <v>90</v>
      </c>
      <c r="AA248" s="17" t="inlineStr"/>
    </row>
    <row r="249">
      <c r="A249" s="30" t="inlineStr">
        <is>
          <t>S248</t>
        </is>
      </c>
      <c r="B249" s="17" t="inlineStr">
        <is>
          <t>P219</t>
        </is>
      </c>
      <c r="C249" s="17" t="inlineStr">
        <is>
          <t>안국뉴팜</t>
        </is>
      </c>
      <c r="D249" s="17" t="inlineStr">
        <is>
          <t>안국뉴팜(주)</t>
        </is>
      </c>
      <c r="E249" s="17" t="inlineStr">
        <is>
          <t>경기도 김포시 통진읍 가현로 182-4</t>
        </is>
      </c>
      <c r="F249" s="17" t="inlineStr">
        <is>
          <t>경기도 김포시 통진읍 가현로85번길 166</t>
        </is>
      </c>
      <c r="G249" s="17" t="inlineStr">
        <is>
          <t>경기도 김포시 통진읍 가현로 182-4</t>
        </is>
      </c>
      <c r="H249" s="17" t="inlineStr">
        <is>
          <t>적합완제품 보관소</t>
        </is>
      </c>
      <c r="I249" s="23" t="inlineStr">
        <is>
          <t>360</t>
        </is>
      </c>
      <c r="J249" s="17" t="inlineStr">
        <is>
          <t>2</t>
        </is>
      </c>
      <c r="K249" s="17" t="inlineStr">
        <is>
          <t>완제의약품</t>
        </is>
      </c>
      <c r="L249" s="17" t="inlineStr">
        <is>
          <t>비무균-일반제제-내용고형제(산제)</t>
        </is>
      </c>
      <c r="M249" s="24" t="n">
        <v>46890</v>
      </c>
      <c r="N249" s="17" t="inlineStr"/>
      <c r="O249" s="17" t="inlineStr"/>
      <c r="P249" s="17" t="inlineStr">
        <is>
          <t>경기도</t>
        </is>
      </c>
      <c r="Q249" s="17" t="inlineStr">
        <is>
          <t>김포시</t>
        </is>
      </c>
      <c r="R249" s="17" t="inlineStr">
        <is>
          <t>GMP공장소재지</t>
        </is>
      </c>
      <c r="S249" s="17" t="n">
        <v>90</v>
      </c>
      <c r="T249" s="17" t="inlineStr">
        <is>
          <t>Y</t>
        </is>
      </c>
      <c r="U249" s="17" t="n">
        <v>1</v>
      </c>
      <c r="V249" s="24" t="n">
        <v>46890</v>
      </c>
      <c r="W249" s="17" t="inlineStr"/>
      <c r="X249" s="17" t="inlineStr"/>
      <c r="Y249" s="17" t="inlineStr">
        <is>
          <t>회사키+주소</t>
        </is>
      </c>
      <c r="Z249" s="17" t="n">
        <v>90</v>
      </c>
      <c r="AA249" s="17" t="inlineStr"/>
    </row>
    <row r="250">
      <c r="A250" s="30" t="inlineStr">
        <is>
          <t>S249</t>
        </is>
      </c>
      <c r="B250" s="17" t="inlineStr">
        <is>
          <t>P220</t>
        </is>
      </c>
      <c r="C250" s="17" t="inlineStr">
        <is>
          <t>제주종합가스</t>
        </is>
      </c>
      <c r="D250" s="17" t="inlineStr">
        <is>
          <t>제주종합가스(주)</t>
        </is>
      </c>
      <c r="E250" s="17" t="inlineStr">
        <is>
          <t>제주특별자치도 제주시 선반남1길 76</t>
        </is>
      </c>
      <c r="F250" s="17" t="inlineStr">
        <is>
          <t>제주특별자치도 제주시 선반남1길 76</t>
        </is>
      </c>
      <c r="G250" s="17" t="inlineStr">
        <is>
          <t>제주특별자치도 제주시 선반남1길 76</t>
        </is>
      </c>
      <c r="H250" s="17" t="inlineStr">
        <is>
          <t>제주시</t>
        </is>
      </c>
      <c r="I250" s="23" t="inlineStr">
        <is>
          <t>2459</t>
        </is>
      </c>
      <c r="J250" s="17" t="inlineStr">
        <is>
          <t>1</t>
        </is>
      </c>
      <c r="K250" s="17" t="inlineStr">
        <is>
          <t>완제의약품</t>
        </is>
      </c>
      <c r="L250" s="17" t="inlineStr">
        <is>
          <t>비무균-일반제제(의료용 고압가스)-가스제(의료용 고압가스)</t>
        </is>
      </c>
      <c r="M250" s="24" t="n">
        <v>46889</v>
      </c>
      <c r="N250" s="17" t="inlineStr"/>
      <c r="O250" s="17" t="inlineStr"/>
      <c r="P250" s="17" t="inlineStr">
        <is>
          <t>제주특별자치도</t>
        </is>
      </c>
      <c r="Q250" s="17" t="inlineStr">
        <is>
          <t>제주시</t>
        </is>
      </c>
      <c r="R250" s="17" t="inlineStr">
        <is>
          <t>GMP공장소재지</t>
        </is>
      </c>
      <c r="S250" s="17" t="n">
        <v>90</v>
      </c>
      <c r="T250" s="17" t="inlineStr">
        <is>
          <t>Y</t>
        </is>
      </c>
      <c r="U250" s="17" t="n">
        <v>1</v>
      </c>
      <c r="V250" s="24" t="n">
        <v>46889</v>
      </c>
      <c r="W250" s="17" t="inlineStr"/>
      <c r="X250" s="17" t="inlineStr"/>
      <c r="Y250" s="17" t="inlineStr">
        <is>
          <t>회사키+주소</t>
        </is>
      </c>
      <c r="Z250" s="17" t="n">
        <v>90</v>
      </c>
      <c r="AA250" s="17" t="inlineStr"/>
    </row>
    <row r="251">
      <c r="A251" s="30" t="inlineStr">
        <is>
          <t>S250</t>
        </is>
      </c>
      <c r="B251" s="17" t="inlineStr">
        <is>
          <t>P221</t>
        </is>
      </c>
      <c r="C251" s="17" t="inlineStr">
        <is>
          <t>한미약품</t>
        </is>
      </c>
      <c r="D251" s="17" t="inlineStr">
        <is>
          <t>한미약품(주)</t>
        </is>
      </c>
      <c r="E251" s="17" t="inlineStr">
        <is>
          <t>경기도 평택시 팽성읍 추팔산단로 114</t>
        </is>
      </c>
      <c r="F251" s="17" t="inlineStr">
        <is>
          <t>경기도 평택시 팽성읍 추팔산단로 114</t>
        </is>
      </c>
      <c r="G251" s="17" t="inlineStr">
        <is>
          <t>경기도 평택시 팽성읍 추팔산단로 114</t>
        </is>
      </c>
      <c r="H251" s="17" t="inlineStr">
        <is>
          <t>평택</t>
        </is>
      </c>
      <c r="I251" s="23" t="inlineStr">
        <is>
          <t>1337</t>
        </is>
      </c>
      <c r="J251" s="17" t="inlineStr">
        <is>
          <t>2</t>
        </is>
      </c>
      <c r="K251" s="17" t="inlineStr">
        <is>
          <t>완제의약품</t>
        </is>
      </c>
      <c r="L251" s="17" t="inlineStr">
        <is>
          <t>비무균-일반제제-내용고형제(정제, 츄어블정(저작정)), 무균-일반제제-주사제(주사제), 생물-유전자재조합의약품-주사제(주사제)</t>
        </is>
      </c>
      <c r="M251" s="24" t="n">
        <v>46885</v>
      </c>
      <c r="N251" s="17" t="inlineStr">
        <is>
          <t>Y</t>
        </is>
      </c>
      <c r="O251" s="17" t="inlineStr"/>
      <c r="P251" s="17" t="inlineStr">
        <is>
          <t>경기도</t>
        </is>
      </c>
      <c r="Q251" s="17" t="inlineStr">
        <is>
          <t>평택시</t>
        </is>
      </c>
      <c r="R251" s="17" t="inlineStr">
        <is>
          <t>GMP공장소재지</t>
        </is>
      </c>
      <c r="S251" s="17" t="n">
        <v>90</v>
      </c>
      <c r="T251" s="17" t="inlineStr">
        <is>
          <t>Y</t>
        </is>
      </c>
      <c r="U251" s="17" t="n">
        <v>2</v>
      </c>
      <c r="V251" s="24" t="n">
        <v>46885</v>
      </c>
      <c r="W251" s="17" t="inlineStr"/>
      <c r="X251" s="17" t="inlineStr"/>
      <c r="Y251" s="17" t="inlineStr">
        <is>
          <t>회사키+주소</t>
        </is>
      </c>
      <c r="Z251" s="17" t="n">
        <v>90</v>
      </c>
      <c r="AA251" s="17" t="inlineStr"/>
    </row>
    <row r="252">
      <c r="A252" s="30" t="inlineStr">
        <is>
          <t>S251</t>
        </is>
      </c>
      <c r="B252" s="17" t="inlineStr">
        <is>
          <t>P222</t>
        </is>
      </c>
      <c r="C252" s="17" t="inlineStr">
        <is>
          <t>천우신약</t>
        </is>
      </c>
      <c r="D252" s="17" t="inlineStr">
        <is>
          <t>천우신약(주)</t>
        </is>
      </c>
      <c r="E252" s="17" t="inlineStr">
        <is>
          <t>충청북도 음성군 삼성면 청용로365번길 2-1</t>
        </is>
      </c>
      <c r="F252" s="17" t="inlineStr">
        <is>
          <t>충청북도 음성군 삼성면 청용로365번길 2-1</t>
        </is>
      </c>
      <c r="G252" s="17" t="inlineStr">
        <is>
          <t>충청북도 음성군 삼성면 청용로365번길 2-1</t>
        </is>
      </c>
      <c r="H252" s="17" t="inlineStr">
        <is>
          <t>2공장</t>
        </is>
      </c>
      <c r="I252" s="23" t="inlineStr">
        <is>
          <t>1547</t>
        </is>
      </c>
      <c r="J252" s="17" t="inlineStr">
        <is>
          <t>2</t>
        </is>
      </c>
      <c r="K252" s="17" t="inlineStr">
        <is>
          <t>완제의약품</t>
        </is>
      </c>
      <c r="L252" s="17" t="inlineStr">
        <is>
          <t>비무균-일반제제-첩부제(첩부제)</t>
        </is>
      </c>
      <c r="M252" s="24" t="n">
        <v>46885</v>
      </c>
      <c r="N252" s="17" t="inlineStr"/>
      <c r="O252" s="17" t="inlineStr"/>
      <c r="P252" s="17" t="inlineStr">
        <is>
          <t>충청북도</t>
        </is>
      </c>
      <c r="Q252" s="17" t="inlineStr">
        <is>
          <t>음성군</t>
        </is>
      </c>
      <c r="R252" s="17" t="inlineStr">
        <is>
          <t>GMP공장소재지</t>
        </is>
      </c>
      <c r="S252" s="17" t="n">
        <v>90</v>
      </c>
      <c r="T252" s="17" t="inlineStr">
        <is>
          <t>Y</t>
        </is>
      </c>
      <c r="U252" s="17" t="n">
        <v>1</v>
      </c>
      <c r="V252" s="24" t="n">
        <v>46885</v>
      </c>
      <c r="W252" s="17" t="inlineStr"/>
      <c r="X252" s="17" t="inlineStr"/>
      <c r="Y252" s="17" t="inlineStr">
        <is>
          <t>회사키+주소</t>
        </is>
      </c>
      <c r="Z252" s="17" t="n">
        <v>90</v>
      </c>
      <c r="AA252" s="17" t="inlineStr"/>
    </row>
    <row r="253">
      <c r="A253" s="30" t="inlineStr">
        <is>
          <t>S252</t>
        </is>
      </c>
      <c r="B253" s="17" t="inlineStr">
        <is>
          <t>P221</t>
        </is>
      </c>
      <c r="C253" s="17" t="inlineStr">
        <is>
          <t>한미약품</t>
        </is>
      </c>
      <c r="D253" s="17" t="inlineStr">
        <is>
          <t>한미약품(주)</t>
        </is>
      </c>
      <c r="E253" s="17" t="inlineStr">
        <is>
          <t>경기도 평택시 팽성읍 추팔산단로 114</t>
        </is>
      </c>
      <c r="F253" s="17" t="inlineStr">
        <is>
          <t>경기도 평택시 팽성읍 추팔산단로 114</t>
        </is>
      </c>
      <c r="G253" s="17" t="inlineStr">
        <is>
          <t>경기도 평택시 팽성읍 추팔산단로 114</t>
        </is>
      </c>
      <c r="H253" s="17" t="inlineStr">
        <is>
          <t>평택</t>
        </is>
      </c>
      <c r="I253" s="23" t="inlineStr">
        <is>
          <t>1337</t>
        </is>
      </c>
      <c r="J253" s="17" t="inlineStr">
        <is>
          <t>2</t>
        </is>
      </c>
      <c r="K253" s="17" t="inlineStr">
        <is>
          <t>원료의약품</t>
        </is>
      </c>
      <c r="L253" s="17" t="inlineStr">
        <is>
          <t>무균-일반제제-발효</t>
        </is>
      </c>
      <c r="M253" s="24" t="n">
        <v>46885</v>
      </c>
      <c r="N253" s="17" t="inlineStr">
        <is>
          <t>Y</t>
        </is>
      </c>
      <c r="O253" s="17" t="inlineStr"/>
      <c r="P253" s="17" t="inlineStr">
        <is>
          <t>경기도</t>
        </is>
      </c>
      <c r="Q253" s="17" t="inlineStr">
        <is>
          <t>평택시</t>
        </is>
      </c>
      <c r="R253" s="17" t="inlineStr">
        <is>
          <t>GMP공장소재지</t>
        </is>
      </c>
      <c r="S253" s="17" t="n">
        <v>90</v>
      </c>
      <c r="T253" s="17" t="inlineStr">
        <is>
          <t>N</t>
        </is>
      </c>
      <c r="U253" s="17" t="n">
        <v>2</v>
      </c>
      <c r="V253" s="24" t="n">
        <v>46885</v>
      </c>
      <c r="W253" s="17" t="inlineStr"/>
      <c r="X253" s="17" t="inlineStr"/>
      <c r="Y253" s="17" t="inlineStr">
        <is>
          <t>회사키+주소</t>
        </is>
      </c>
      <c r="Z253" s="17" t="n">
        <v>90</v>
      </c>
      <c r="AA253" s="17" t="inlineStr"/>
    </row>
    <row r="254">
      <c r="A254" s="30" t="inlineStr">
        <is>
          <t>S253</t>
        </is>
      </c>
      <c r="B254" s="17" t="inlineStr">
        <is>
          <t>P223</t>
        </is>
      </c>
      <c r="C254" s="17" t="inlineStr">
        <is>
          <t>에이프로젠바이오로직스</t>
        </is>
      </c>
      <c r="D254" s="17" t="inlineStr">
        <is>
          <t>(주)에이프로젠바이오로직스</t>
        </is>
      </c>
      <c r="E254" s="17" t="inlineStr">
        <is>
          <t>경기도 화성시 만세구 양감면 두머리길 16</t>
        </is>
      </c>
      <c r="F254" s="17" t="inlineStr">
        <is>
          <t>경기도 화성시 만세구 양감면 두머리길 16</t>
        </is>
      </c>
      <c r="G254" s="17" t="inlineStr">
        <is>
          <t>경기도 화성시 만세구 양감면 두머리길 16</t>
        </is>
      </c>
      <c r="H254" s="17" t="inlineStr">
        <is>
          <t>화성</t>
        </is>
      </c>
      <c r="I254" s="23" t="inlineStr">
        <is>
          <t>1386</t>
        </is>
      </c>
      <c r="J254" s="17" t="inlineStr">
        <is>
          <t>2</t>
        </is>
      </c>
      <c r="K254" s="17" t="inlineStr">
        <is>
          <t>완제의약품</t>
        </is>
      </c>
      <c r="L254" s="17" t="inlineStr">
        <is>
          <t>비무균-일반제제-내용고형제(정제, 캡슐제), 비무균-일반제제-연고제(연고제, 크림제)</t>
        </is>
      </c>
      <c r="M254" s="24" t="n">
        <v>46885</v>
      </c>
      <c r="N254" s="17" t="inlineStr"/>
      <c r="O254" s="17" t="inlineStr"/>
      <c r="P254" s="17" t="inlineStr">
        <is>
          <t>경기도</t>
        </is>
      </c>
      <c r="Q254" s="17" t="inlineStr">
        <is>
          <t>화성시</t>
        </is>
      </c>
      <c r="R254" s="17" t="inlineStr">
        <is>
          <t>GMP공장소재지</t>
        </is>
      </c>
      <c r="S254" s="17" t="n">
        <v>90</v>
      </c>
      <c r="T254" s="17" t="inlineStr">
        <is>
          <t>Y</t>
        </is>
      </c>
      <c r="U254" s="17" t="n">
        <v>1</v>
      </c>
      <c r="V254" s="24" t="n">
        <v>46885</v>
      </c>
      <c r="W254" s="17" t="inlineStr"/>
      <c r="X254" s="17" t="inlineStr"/>
      <c r="Y254" s="17" t="inlineStr">
        <is>
          <t>회사키+주소</t>
        </is>
      </c>
      <c r="Z254" s="17" t="n">
        <v>90</v>
      </c>
      <c r="AA254" s="17" t="inlineStr"/>
    </row>
    <row r="255">
      <c r="A255" s="30" t="inlineStr">
        <is>
          <t>S254</t>
        </is>
      </c>
      <c r="B255" s="17" t="inlineStr">
        <is>
          <t>P224</t>
        </is>
      </c>
      <c r="C255" s="17" t="inlineStr">
        <is>
          <t>경남산소</t>
        </is>
      </c>
      <c r="D255" s="17" t="inlineStr">
        <is>
          <t>경남산소</t>
        </is>
      </c>
      <c r="E255" s="17" t="inlineStr">
        <is>
          <t>경상남도 창원시 의창구 팔용로371번길 13 차룡1단지 (팔용동)</t>
        </is>
      </c>
      <c r="F255" s="17" t="inlineStr">
        <is>
          <t>경상남도 창원시 의창구 팔용로371번길 13 차룡1단지 (팔용동)</t>
        </is>
      </c>
      <c r="G255" s="17" t="inlineStr">
        <is>
          <t>경상남도 창원시 의창구 팔용로371번길 13 차룡1단지 (팔용동)</t>
        </is>
      </c>
      <c r="H255" s="17" t="inlineStr">
        <is>
          <t>창원</t>
        </is>
      </c>
      <c r="I255" s="23" t="inlineStr">
        <is>
          <t>1663</t>
        </is>
      </c>
      <c r="J255" s="17" t="inlineStr">
        <is>
          <t>1</t>
        </is>
      </c>
      <c r="K255" s="17" t="inlineStr">
        <is>
          <t>완제의약품</t>
        </is>
      </c>
      <c r="L255" s="17" t="inlineStr">
        <is>
          <t>비무균-일반제제(의료용 고압가스)-가스제(의료용 고압가스)</t>
        </is>
      </c>
      <c r="M255" s="24" t="n">
        <v>46884</v>
      </c>
      <c r="N255" s="17" t="inlineStr"/>
      <c r="O255" s="17" t="inlineStr"/>
      <c r="P255" s="17" t="inlineStr">
        <is>
          <t>경상남도</t>
        </is>
      </c>
      <c r="Q255" s="17" t="inlineStr">
        <is>
          <t>창원시</t>
        </is>
      </c>
      <c r="R255" s="17" t="inlineStr">
        <is>
          <t>GMP공장소재지</t>
        </is>
      </c>
      <c r="S255" s="17" t="n">
        <v>90</v>
      </c>
      <c r="T255" s="17" t="inlineStr">
        <is>
          <t>Y</t>
        </is>
      </c>
      <c r="U255" s="17" t="n">
        <v>1</v>
      </c>
      <c r="V255" s="24" t="n">
        <v>46884</v>
      </c>
      <c r="W255" s="17" t="inlineStr"/>
      <c r="X255" s="17" t="inlineStr"/>
      <c r="Y255" s="17" t="inlineStr">
        <is>
          <t>회사키+주소</t>
        </is>
      </c>
      <c r="Z255" s="17" t="n">
        <v>90</v>
      </c>
      <c r="AA255" s="17" t="inlineStr"/>
    </row>
    <row r="256">
      <c r="A256" s="30" t="inlineStr">
        <is>
          <t>S255</t>
        </is>
      </c>
      <c r="B256" s="17" t="inlineStr">
        <is>
          <t>P225</t>
        </is>
      </c>
      <c r="C256" s="17" t="inlineStr">
        <is>
          <t>신진가스텍</t>
        </is>
      </c>
      <c r="D256" s="17" t="inlineStr">
        <is>
          <t>신진가스텍(주)</t>
        </is>
      </c>
      <c r="E256" s="17" t="inlineStr">
        <is>
          <t>경상북도 구미시 장천면 송신로 473</t>
        </is>
      </c>
      <c r="F256" s="17" t="inlineStr">
        <is>
          <t>경상북도 구미시 장천면 송신로 473</t>
        </is>
      </c>
      <c r="G256" s="17" t="inlineStr">
        <is>
          <t>경상북도 구미시 장천면 송신로 473</t>
        </is>
      </c>
      <c r="H256" s="17" t="inlineStr">
        <is>
          <t>[구미]</t>
        </is>
      </c>
      <c r="I256" s="23" t="inlineStr">
        <is>
          <t>75</t>
        </is>
      </c>
      <c r="J256" s="17" t="inlineStr">
        <is>
          <t>1</t>
        </is>
      </c>
      <c r="K256" s="17" t="inlineStr">
        <is>
          <t>완제의약품</t>
        </is>
      </c>
      <c r="L256" s="17" t="inlineStr">
        <is>
          <t>비무균-일반제제(의료용 고압가스)-가스제(의료용 고압가스)</t>
        </is>
      </c>
      <c r="M256" s="24" t="n">
        <v>46884</v>
      </c>
      <c r="N256" s="17" t="inlineStr"/>
      <c r="O256" s="17" t="inlineStr"/>
      <c r="P256" s="17" t="inlineStr">
        <is>
          <t>경상북도</t>
        </is>
      </c>
      <c r="Q256" s="17" t="inlineStr">
        <is>
          <t>구미시</t>
        </is>
      </c>
      <c r="R256" s="17" t="inlineStr">
        <is>
          <t>GMP공장소재지</t>
        </is>
      </c>
      <c r="S256" s="17" t="n">
        <v>90</v>
      </c>
      <c r="T256" s="17" t="inlineStr">
        <is>
          <t>Y</t>
        </is>
      </c>
      <c r="U256" s="17" t="n">
        <v>1</v>
      </c>
      <c r="V256" s="24" t="n">
        <v>46884</v>
      </c>
      <c r="W256" s="17" t="inlineStr"/>
      <c r="X256" s="17" t="inlineStr"/>
      <c r="Y256" s="17" t="inlineStr">
        <is>
          <t>회사키+주소</t>
        </is>
      </c>
      <c r="Z256" s="17" t="n">
        <v>90</v>
      </c>
      <c r="AA256" s="17" t="inlineStr"/>
    </row>
    <row r="257">
      <c r="A257" s="30" t="inlineStr">
        <is>
          <t>S256</t>
        </is>
      </c>
      <c r="B257" s="17" t="inlineStr">
        <is>
          <t>P226</t>
        </is>
      </c>
      <c r="C257" s="17" t="inlineStr">
        <is>
          <t>듀켐바이오</t>
        </is>
      </c>
      <c r="D257" s="17" t="inlineStr">
        <is>
          <t>(주)듀켐바이오</t>
        </is>
      </c>
      <c r="E257" s="17" t="inlineStr">
        <is>
          <t>서울특별시 서대문구 연세로 50-1 (신촌동, 연세의료원 암전문병원 지하5층)</t>
        </is>
      </c>
      <c r="F257" s="17" t="inlineStr">
        <is>
          <t>서울특별시 서대문구 연세로 50-1 (신촌동, 연세의료원 암전문병원 지하5층)</t>
        </is>
      </c>
      <c r="G257" s="17" t="inlineStr">
        <is>
          <t>서울특별시 서대문구 연세로 50-1 (신촌동, 연세의료원 암전문병원 지하5층)</t>
        </is>
      </c>
      <c r="H257" s="17" t="inlineStr">
        <is>
          <t>6공장(서울)</t>
        </is>
      </c>
      <c r="I257" s="23" t="inlineStr">
        <is>
          <t>2437</t>
        </is>
      </c>
      <c r="J257" s="17" t="inlineStr">
        <is>
          <t>6</t>
        </is>
      </c>
      <c r="K257" s="17" t="inlineStr">
        <is>
          <t>완제의약품</t>
        </is>
      </c>
      <c r="L257" s="17" t="inlineStr">
        <is>
          <t>무균-일반제제(방사성의약품)-주사제(주사제)</t>
        </is>
      </c>
      <c r="M257" s="24" t="n">
        <v>46883</v>
      </c>
      <c r="N257" s="17" t="inlineStr">
        <is>
          <t>Y</t>
        </is>
      </c>
      <c r="O257" s="17" t="inlineStr"/>
      <c r="P257" s="17" t="inlineStr">
        <is>
          <t>서울특별시</t>
        </is>
      </c>
      <c r="Q257" s="17" t="inlineStr">
        <is>
          <t>서대문구</t>
        </is>
      </c>
      <c r="R257" s="17" t="inlineStr">
        <is>
          <t>GMP공장소재지</t>
        </is>
      </c>
      <c r="S257" s="17" t="n">
        <v>90</v>
      </c>
      <c r="T257" s="17" t="inlineStr">
        <is>
          <t>Y</t>
        </is>
      </c>
      <c r="U257" s="17" t="n">
        <v>1</v>
      </c>
      <c r="V257" s="24" t="n">
        <v>46883</v>
      </c>
      <c r="W257" s="17" t="inlineStr"/>
      <c r="X257" s="17" t="inlineStr"/>
      <c r="Y257" s="17" t="inlineStr">
        <is>
          <t>회사키+주소</t>
        </is>
      </c>
      <c r="Z257" s="17" t="n">
        <v>90</v>
      </c>
      <c r="AA257" s="17" t="inlineStr"/>
    </row>
    <row r="258">
      <c r="A258" s="30" t="inlineStr">
        <is>
          <t>S257</t>
        </is>
      </c>
      <c r="B258" s="17" t="inlineStr">
        <is>
          <t>P227</t>
        </is>
      </c>
      <c r="C258" s="17" t="inlineStr">
        <is>
          <t>대한적십자사혈장분획센터</t>
        </is>
      </c>
      <c r="D258" s="17" t="inlineStr">
        <is>
          <t>대한적십자사혈장분획센터</t>
        </is>
      </c>
      <c r="E258" s="17" t="inlineStr">
        <is>
          <t>충청북도 음성군 감곡면 대학길232번길 16</t>
        </is>
      </c>
      <c r="F258" s="17" t="inlineStr">
        <is>
          <t>충청북도 음성군 감곡면 대학길232번길 16</t>
        </is>
      </c>
      <c r="G258" s="17" t="inlineStr">
        <is>
          <t>충청북도 음성군 감곡면 대학길232번길 16</t>
        </is>
      </c>
      <c r="H258" s="17" t="inlineStr">
        <is>
          <t>음성</t>
        </is>
      </c>
      <c r="I258" s="23" t="inlineStr">
        <is>
          <t>1755</t>
        </is>
      </c>
      <c r="J258" s="17" t="inlineStr">
        <is>
          <t>1</t>
        </is>
      </c>
      <c r="K258" s="17" t="inlineStr">
        <is>
          <t>원료의약품</t>
        </is>
      </c>
      <c r="L258" s="17" t="inlineStr">
        <is>
          <t>생물-혈장분획제제-정제</t>
        </is>
      </c>
      <c r="M258" s="24" t="n">
        <v>46883</v>
      </c>
      <c r="N258" s="17" t="inlineStr"/>
      <c r="O258" s="17" t="inlineStr">
        <is>
          <t>Y</t>
        </is>
      </c>
      <c r="P258" s="17" t="inlineStr">
        <is>
          <t>충청북도</t>
        </is>
      </c>
      <c r="Q258" s="17" t="inlineStr">
        <is>
          <t>음성군</t>
        </is>
      </c>
      <c r="R258" s="17" t="inlineStr">
        <is>
          <t>GMP공장소재지</t>
        </is>
      </c>
      <c r="S258" s="17" t="n">
        <v>90</v>
      </c>
      <c r="T258" s="17" t="inlineStr">
        <is>
          <t>Y</t>
        </is>
      </c>
      <c r="U258" s="17" t="n">
        <v>1</v>
      </c>
      <c r="V258" s="24" t="n">
        <v>46883</v>
      </c>
      <c r="W258" s="17" t="inlineStr"/>
      <c r="X258" s="17" t="inlineStr"/>
      <c r="Y258" s="17" t="inlineStr">
        <is>
          <t>회사키+주소</t>
        </is>
      </c>
      <c r="Z258" s="17" t="n">
        <v>90</v>
      </c>
      <c r="AA258" s="17" t="inlineStr"/>
    </row>
    <row r="259">
      <c r="A259" s="30" t="inlineStr">
        <is>
          <t>S258</t>
        </is>
      </c>
      <c r="B259" s="17" t="inlineStr">
        <is>
          <t>P170</t>
        </is>
      </c>
      <c r="C259" s="17" t="inlineStr">
        <is>
          <t>한국비엔씨</t>
        </is>
      </c>
      <c r="D259" s="17" t="inlineStr">
        <is>
          <t>(주)한국비엔씨</t>
        </is>
      </c>
      <c r="E259" s="17" t="inlineStr">
        <is>
          <t>세종특별자치시 소정면 소정산단북로 7</t>
        </is>
      </c>
      <c r="F259" s="17" t="inlineStr">
        <is>
          <t>세종특별자치시 소정면 소정산단북로 7</t>
        </is>
      </c>
      <c r="G259" s="17" t="inlineStr">
        <is>
          <t>세종특별자치시 소정면 소정산단북로 7</t>
        </is>
      </c>
      <c r="H259" s="17" t="inlineStr">
        <is>
          <t>2공장 세종공장</t>
        </is>
      </c>
      <c r="I259" s="23" t="inlineStr">
        <is>
          <t>98</t>
        </is>
      </c>
      <c r="J259" s="17" t="inlineStr">
        <is>
          <t>2</t>
        </is>
      </c>
      <c r="K259" s="17" t="inlineStr">
        <is>
          <t>완제의약품</t>
        </is>
      </c>
      <c r="L259" s="17" t="inlineStr">
        <is>
          <t>비무균-일반제제-내용고형제(정제, 캡슐제), 생물-독소-주사제(주사제)</t>
        </is>
      </c>
      <c r="M259" s="24" t="n">
        <v>46882</v>
      </c>
      <c r="N259" s="17" t="inlineStr">
        <is>
          <t>Y</t>
        </is>
      </c>
      <c r="O259" s="17" t="inlineStr"/>
      <c r="P259" s="17" t="inlineStr">
        <is>
          <t>세종특별자치시</t>
        </is>
      </c>
      <c r="Q259" s="17" t="inlineStr">
        <is>
          <t>세종특별자치시</t>
        </is>
      </c>
      <c r="R259" s="17" t="inlineStr">
        <is>
          <t>GMP공장소재지</t>
        </is>
      </c>
      <c r="S259" s="17" t="n">
        <v>90</v>
      </c>
      <c r="T259" s="17" t="inlineStr">
        <is>
          <t>N</t>
        </is>
      </c>
      <c r="U259" s="17" t="n">
        <v>2</v>
      </c>
      <c r="V259" s="24" t="n">
        <v>46882</v>
      </c>
      <c r="W259" s="17" t="inlineStr"/>
      <c r="X259" s="17" t="inlineStr"/>
      <c r="Y259" s="17" t="inlineStr">
        <is>
          <t>회사키+주소</t>
        </is>
      </c>
      <c r="Z259" s="17" t="n">
        <v>90</v>
      </c>
      <c r="AA259" s="17" t="inlineStr"/>
    </row>
    <row r="260">
      <c r="A260" s="30" t="inlineStr">
        <is>
          <t>S259</t>
        </is>
      </c>
      <c r="B260" s="17" t="inlineStr">
        <is>
          <t>P228</t>
        </is>
      </c>
      <c r="C260" s="17" t="inlineStr">
        <is>
          <t>제이더블유중외제약</t>
        </is>
      </c>
      <c r="D260" s="17" t="inlineStr">
        <is>
          <t>제이더블유중외제약(주)</t>
        </is>
      </c>
      <c r="E260" s="17" t="inlineStr">
        <is>
          <t>경기도 시흥시 경제로 56 시화공단 1마 301 (정왕동)</t>
        </is>
      </c>
      <c r="F260" s="17" t="inlineStr">
        <is>
          <t>경기도 시흥시 경제로 56 시화공단 1마 301 (정왕동)</t>
        </is>
      </c>
      <c r="G260" s="17" t="inlineStr">
        <is>
          <t>경기도 시흥시 경제로 56 시화공단 1마 301 (정왕동)</t>
        </is>
      </c>
      <c r="H260" s="17" t="inlineStr">
        <is>
          <t>시흥</t>
        </is>
      </c>
      <c r="I260" s="23" t="inlineStr">
        <is>
          <t>1302</t>
        </is>
      </c>
      <c r="J260" s="17" t="inlineStr">
        <is>
          <t>3</t>
        </is>
      </c>
      <c r="K260" s="17" t="inlineStr">
        <is>
          <t>원료의약품</t>
        </is>
      </c>
      <c r="L260" s="17" t="inlineStr">
        <is>
          <t>무균-카바페넴제제-합성, 비무균-일반제제-합성, 비무균-카바페넴제제-합성, 무균-카바페넴제제-혼합</t>
        </is>
      </c>
      <c r="M260" s="24" t="n">
        <v>46876</v>
      </c>
      <c r="N260" s="17" t="inlineStr">
        <is>
          <t>Y</t>
        </is>
      </c>
      <c r="O260" s="17" t="inlineStr"/>
      <c r="P260" s="17" t="inlineStr">
        <is>
          <t>경기도</t>
        </is>
      </c>
      <c r="Q260" s="17" t="inlineStr">
        <is>
          <t>시흥시</t>
        </is>
      </c>
      <c r="R260" s="17" t="inlineStr">
        <is>
          <t>GMP공장소재지</t>
        </is>
      </c>
      <c r="S260" s="17" t="n">
        <v>90</v>
      </c>
      <c r="T260" s="17" t="inlineStr">
        <is>
          <t>Y</t>
        </is>
      </c>
      <c r="U260" s="17" t="n">
        <v>1</v>
      </c>
      <c r="V260" s="24" t="n">
        <v>46876</v>
      </c>
      <c r="W260" s="17" t="inlineStr"/>
      <c r="X260" s="17" t="inlineStr"/>
      <c r="Y260" s="17" t="inlineStr">
        <is>
          <t>회사키+주소</t>
        </is>
      </c>
      <c r="Z260" s="17" t="n">
        <v>90</v>
      </c>
      <c r="AA260" s="17" t="inlineStr"/>
    </row>
    <row r="261">
      <c r="A261" s="30" t="inlineStr">
        <is>
          <t>S260</t>
        </is>
      </c>
      <c r="B261" s="17" t="inlineStr">
        <is>
          <t>P229</t>
        </is>
      </c>
      <c r="C261" s="17" t="inlineStr">
        <is>
          <t>천일가스</t>
        </is>
      </c>
      <c r="D261" s="17" t="inlineStr">
        <is>
          <t>(주)천일가스</t>
        </is>
      </c>
      <c r="E261" s="17" t="inlineStr">
        <is>
          <t>경상북도 포항시 남구 호동로 33</t>
        </is>
      </c>
      <c r="F261" s="17" t="inlineStr">
        <is>
          <t>경상북도 포항시 남구 호동로 33</t>
        </is>
      </c>
      <c r="G261" s="17" t="inlineStr">
        <is>
          <t>경상북도 포항시 남구 호동로 33</t>
        </is>
      </c>
      <c r="H261" s="17" t="inlineStr">
        <is>
          <t>(주)천일가스</t>
        </is>
      </c>
      <c r="I261" s="23" t="inlineStr">
        <is>
          <t>100</t>
        </is>
      </c>
      <c r="J261" s="17" t="inlineStr">
        <is>
          <t>1</t>
        </is>
      </c>
      <c r="K261" s="17" t="inlineStr">
        <is>
          <t>완제의약품</t>
        </is>
      </c>
      <c r="L261" s="17" t="inlineStr">
        <is>
          <t>비무균-일반제제(의료용 고압가스)-가스제(의료용 고압가스)</t>
        </is>
      </c>
      <c r="M261" s="24" t="n">
        <v>46876</v>
      </c>
      <c r="N261" s="17" t="inlineStr"/>
      <c r="O261" s="17" t="inlineStr"/>
      <c r="P261" s="17" t="inlineStr">
        <is>
          <t>경상북도</t>
        </is>
      </c>
      <c r="Q261" s="17" t="inlineStr">
        <is>
          <t>포항시</t>
        </is>
      </c>
      <c r="R261" s="17" t="inlineStr">
        <is>
          <t>GMP공장소재지</t>
        </is>
      </c>
      <c r="S261" s="17" t="n">
        <v>90</v>
      </c>
      <c r="T261" s="17" t="inlineStr">
        <is>
          <t>Y</t>
        </is>
      </c>
      <c r="U261" s="17" t="n">
        <v>1</v>
      </c>
      <c r="V261" s="24" t="n">
        <v>46876</v>
      </c>
      <c r="W261" s="17" t="inlineStr"/>
      <c r="X261" s="17" t="inlineStr"/>
      <c r="Y261" s="17" t="inlineStr">
        <is>
          <t>회사키+주소</t>
        </is>
      </c>
      <c r="Z261" s="17" t="n">
        <v>90</v>
      </c>
      <c r="AA261" s="17" t="inlineStr"/>
    </row>
    <row r="262">
      <c r="A262" s="30" t="inlineStr">
        <is>
          <t>S261</t>
        </is>
      </c>
      <c r="B262" s="17" t="inlineStr">
        <is>
          <t>P230</t>
        </is>
      </c>
      <c r="C262" s="17" t="inlineStr">
        <is>
          <t>한국수소</t>
        </is>
      </c>
      <c r="D262" s="17" t="inlineStr">
        <is>
          <t>한국수소(주)</t>
        </is>
      </c>
      <c r="E262" s="17" t="inlineStr">
        <is>
          <t>경기도 부천시 오정구 석천로398번길 39</t>
        </is>
      </c>
      <c r="F262" s="17" t="inlineStr">
        <is>
          <t>경기도 부천시 오정구 석천로398번길 39</t>
        </is>
      </c>
      <c r="G262" s="17" t="inlineStr">
        <is>
          <t>경기도 부천시 오정구 석천로398번길 39</t>
        </is>
      </c>
      <c r="H262" s="17" t="inlineStr">
        <is>
          <t>미확인</t>
        </is>
      </c>
      <c r="I262" s="23" t="inlineStr">
        <is>
          <t>2422</t>
        </is>
      </c>
      <c r="J262" s="17" t="inlineStr">
        <is>
          <t>1</t>
        </is>
      </c>
      <c r="K262" s="17" t="inlineStr">
        <is>
          <t>완제의약품</t>
        </is>
      </c>
      <c r="L262" s="17" t="inlineStr">
        <is>
          <t>비무균-일반제제(의료용 고압가스)-가스제(의료용 고압가스)</t>
        </is>
      </c>
      <c r="M262" s="24" t="n">
        <v>46876</v>
      </c>
      <c r="N262" s="17" t="inlineStr"/>
      <c r="O262" s="17" t="inlineStr"/>
      <c r="P262" s="17" t="inlineStr">
        <is>
          <t>경기도</t>
        </is>
      </c>
      <c r="Q262" s="17" t="inlineStr">
        <is>
          <t>부천시</t>
        </is>
      </c>
      <c r="R262" s="17" t="inlineStr">
        <is>
          <t>GMP공장소재지</t>
        </is>
      </c>
      <c r="S262" s="17" t="n">
        <v>90</v>
      </c>
      <c r="T262" s="17" t="inlineStr">
        <is>
          <t>Y</t>
        </is>
      </c>
      <c r="U262" s="17" t="n">
        <v>1</v>
      </c>
      <c r="V262" s="24" t="n">
        <v>46876</v>
      </c>
      <c r="W262" s="17" t="inlineStr"/>
      <c r="X262" s="17" t="inlineStr"/>
      <c r="Y262" s="17" t="inlineStr">
        <is>
          <t>회사키+주소</t>
        </is>
      </c>
      <c r="Z262" s="17" t="n">
        <v>90</v>
      </c>
      <c r="AA262" s="17" t="inlineStr"/>
    </row>
    <row r="263">
      <c r="A263" s="30" t="inlineStr">
        <is>
          <t>S262</t>
        </is>
      </c>
      <c r="B263" s="17" t="inlineStr">
        <is>
          <t>P231</t>
        </is>
      </c>
      <c r="C263" s="17" t="inlineStr">
        <is>
          <t>명인제약</t>
        </is>
      </c>
      <c r="D263" s="17" t="inlineStr">
        <is>
          <t>명인제약(주)</t>
        </is>
      </c>
      <c r="E263" s="17" t="inlineStr">
        <is>
          <t>경기도 화성시 만세구 향남읍 발안공단로 17</t>
        </is>
      </c>
      <c r="F263" s="17" t="inlineStr">
        <is>
          <t>경기도 화성시 만세구 향남읍 발안공단로 17</t>
        </is>
      </c>
      <c r="G263" s="17" t="inlineStr">
        <is>
          <t>경기도 화성시 만세구 향남읍 발안공단로 17</t>
        </is>
      </c>
      <c r="H263" s="17" t="inlineStr">
        <is>
          <t>제2공장</t>
        </is>
      </c>
      <c r="I263" s="23" t="inlineStr">
        <is>
          <t>1504</t>
        </is>
      </c>
      <c r="J263" s="17" t="inlineStr">
        <is>
          <t>2</t>
        </is>
      </c>
      <c r="K263" s="17" t="inlineStr">
        <is>
          <t>원료의약품</t>
        </is>
      </c>
      <c r="L263" s="17" t="inlineStr">
        <is>
          <t>비무균-일반제제-합성</t>
        </is>
      </c>
      <c r="M263" s="24" t="n">
        <v>46876</v>
      </c>
      <c r="N263" s="17" t="inlineStr"/>
      <c r="O263" s="17" t="inlineStr"/>
      <c r="P263" s="17" t="inlineStr">
        <is>
          <t>경기도</t>
        </is>
      </c>
      <c r="Q263" s="17" t="inlineStr">
        <is>
          <t>화성시</t>
        </is>
      </c>
      <c r="R263" s="17" t="inlineStr">
        <is>
          <t>GMP공장소재지</t>
        </is>
      </c>
      <c r="S263" s="17" t="n">
        <v>90</v>
      </c>
      <c r="T263" s="17" t="inlineStr">
        <is>
          <t>Y</t>
        </is>
      </c>
      <c r="U263" s="17" t="n">
        <v>1</v>
      </c>
      <c r="V263" s="24" t="n">
        <v>46876</v>
      </c>
      <c r="W263" s="17" t="inlineStr"/>
      <c r="X263" s="17" t="inlineStr"/>
      <c r="Y263" s="17" t="inlineStr">
        <is>
          <t>회사키+주소</t>
        </is>
      </c>
      <c r="Z263" s="17" t="n">
        <v>90</v>
      </c>
      <c r="AA263" s="17" t="inlineStr"/>
    </row>
    <row r="264">
      <c r="A264" s="30" t="inlineStr">
        <is>
          <t>S263</t>
        </is>
      </c>
      <c r="B264" s="17" t="inlineStr">
        <is>
          <t>P232</t>
        </is>
      </c>
      <c r="C264" s="17" t="inlineStr">
        <is>
          <t>에이치케이이노엔</t>
        </is>
      </c>
      <c r="D264" s="17" t="inlineStr">
        <is>
          <t>에이치케이이노엔(주)</t>
        </is>
      </c>
      <c r="E264" s="17" t="inlineStr">
        <is>
          <t>충청북도 음성군 대소읍 대소산단로 20</t>
        </is>
      </c>
      <c r="F264" s="17" t="inlineStr">
        <is>
          <t>충청북도 음성군 대소읍 대소산단로 20</t>
        </is>
      </c>
      <c r="G264" s="17" t="inlineStr">
        <is>
          <t>충청북도 음성군 대소읍 대소산단로 20</t>
        </is>
      </c>
      <c r="H264" s="17" t="inlineStr">
        <is>
          <t>음성</t>
        </is>
      </c>
      <c r="I264" s="23" t="inlineStr">
        <is>
          <t>1452</t>
        </is>
      </c>
      <c r="J264" s="17" t="inlineStr">
        <is>
          <t>1</t>
        </is>
      </c>
      <c r="K264" s="17" t="inlineStr">
        <is>
          <t>완제의약품</t>
        </is>
      </c>
      <c r="L264" s="17" t="inlineStr">
        <is>
          <t>비무균-세팔로스포린제제-내용고형제(정제, 시럽제(고형)), 무균-일반제제-주사제(수액제)</t>
        </is>
      </c>
      <c r="M264" s="24" t="n">
        <v>46876</v>
      </c>
      <c r="N264" s="17" t="inlineStr">
        <is>
          <t>Y</t>
        </is>
      </c>
      <c r="O264" s="17" t="inlineStr"/>
      <c r="P264" s="17" t="inlineStr">
        <is>
          <t>충청북도</t>
        </is>
      </c>
      <c r="Q264" s="17" t="inlineStr">
        <is>
          <t>음성군</t>
        </is>
      </c>
      <c r="R264" s="17" t="inlineStr">
        <is>
          <t>GMP공장소재지</t>
        </is>
      </c>
      <c r="S264" s="17" t="n">
        <v>90</v>
      </c>
      <c r="T264" s="17" t="inlineStr">
        <is>
          <t>Y</t>
        </is>
      </c>
      <c r="U264" s="17" t="n">
        <v>2</v>
      </c>
      <c r="V264" s="24" t="n">
        <v>46876</v>
      </c>
      <c r="W264" s="17" t="inlineStr"/>
      <c r="X264" s="17" t="inlineStr"/>
      <c r="Y264" s="17" t="inlineStr">
        <is>
          <t>회사키+주소</t>
        </is>
      </c>
      <c r="Z264" s="17" t="n">
        <v>90</v>
      </c>
      <c r="AA264" s="17" t="inlineStr"/>
    </row>
    <row r="265">
      <c r="A265" s="30" t="inlineStr">
        <is>
          <t>S264</t>
        </is>
      </c>
      <c r="B265" s="17" t="inlineStr">
        <is>
          <t>P232</t>
        </is>
      </c>
      <c r="C265" s="17" t="inlineStr">
        <is>
          <t>에이치케이이노엔</t>
        </is>
      </c>
      <c r="D265" s="17" t="inlineStr">
        <is>
          <t>에이치케이이노엔(주)</t>
        </is>
      </c>
      <c r="E265" s="17" t="inlineStr">
        <is>
          <t>충청북도 음성군 대소읍 대소산단로 20</t>
        </is>
      </c>
      <c r="F265" s="17" t="inlineStr">
        <is>
          <t>충청북도 음성군 대소읍 대소산단로 20</t>
        </is>
      </c>
      <c r="G265" s="17" t="inlineStr">
        <is>
          <t>충청북도 음성군 대소읍 대소산단로 20</t>
        </is>
      </c>
      <c r="H265" s="17" t="inlineStr">
        <is>
          <t>음성</t>
        </is>
      </c>
      <c r="I265" s="23" t="inlineStr">
        <is>
          <t>1452</t>
        </is>
      </c>
      <c r="J265" s="17" t="inlineStr">
        <is>
          <t>1</t>
        </is>
      </c>
      <c r="K265" s="17" t="inlineStr">
        <is>
          <t>원료의약품</t>
        </is>
      </c>
      <c r="L265" s="17" t="inlineStr">
        <is>
          <t>무균-세팔로스포린제제-합성, 비무균-일반제제-합성</t>
        </is>
      </c>
      <c r="M265" s="24" t="n">
        <v>46876</v>
      </c>
      <c r="N265" s="17" t="inlineStr">
        <is>
          <t>Y</t>
        </is>
      </c>
      <c r="O265" s="17" t="inlineStr"/>
      <c r="P265" s="17" t="inlineStr">
        <is>
          <t>충청북도</t>
        </is>
      </c>
      <c r="Q265" s="17" t="inlineStr">
        <is>
          <t>음성군</t>
        </is>
      </c>
      <c r="R265" s="17" t="inlineStr">
        <is>
          <t>GMP공장소재지</t>
        </is>
      </c>
      <c r="S265" s="17" t="n">
        <v>90</v>
      </c>
      <c r="T265" s="17" t="inlineStr">
        <is>
          <t>N</t>
        </is>
      </c>
      <c r="U265" s="17" t="n">
        <v>2</v>
      </c>
      <c r="V265" s="24" t="n">
        <v>46876</v>
      </c>
      <c r="W265" s="17" t="inlineStr"/>
      <c r="X265" s="17" t="inlineStr"/>
      <c r="Y265" s="17" t="inlineStr">
        <is>
          <t>회사키+주소</t>
        </is>
      </c>
      <c r="Z265" s="17" t="n">
        <v>90</v>
      </c>
      <c r="AA265" s="17" t="inlineStr"/>
    </row>
    <row r="266">
      <c r="A266" s="30" t="inlineStr">
        <is>
          <t>S265</t>
        </is>
      </c>
      <c r="B266" s="17" t="inlineStr">
        <is>
          <t>P233</t>
        </is>
      </c>
      <c r="C266" s="17" t="inlineStr">
        <is>
          <t>제이투에이치바이오텍</t>
        </is>
      </c>
      <c r="D266" s="17" t="inlineStr">
        <is>
          <t>제이투에이치바이오텍(주)</t>
        </is>
      </c>
      <c r="E266" s="17" t="inlineStr">
        <is>
          <t>경기도 안산시 단원구 산단로 349 B동,D동일부</t>
        </is>
      </c>
      <c r="F266" s="17" t="inlineStr">
        <is>
          <t>경기도 안산시 단원구 산단로 349 B동,D동일부</t>
        </is>
      </c>
      <c r="G266" s="17" t="inlineStr">
        <is>
          <t>경기도 안산시 단원구 산단로 349 B동,D동일부</t>
        </is>
      </c>
      <c r="H266" s="17" t="inlineStr">
        <is>
          <t>1공장</t>
        </is>
      </c>
      <c r="I266" s="23" t="inlineStr">
        <is>
          <t>6169</t>
        </is>
      </c>
      <c r="J266" s="17" t="inlineStr">
        <is>
          <t>1</t>
        </is>
      </c>
      <c r="K266" s="17" t="inlineStr">
        <is>
          <t>원료의약품</t>
        </is>
      </c>
      <c r="L266" s="17" t="inlineStr">
        <is>
          <t>비무균-일반제제-합성</t>
        </is>
      </c>
      <c r="M266" s="24" t="n">
        <v>46876</v>
      </c>
      <c r="N266" s="17" t="inlineStr"/>
      <c r="O266" s="17" t="inlineStr"/>
      <c r="P266" s="17" t="inlineStr">
        <is>
          <t>경기도</t>
        </is>
      </c>
      <c r="Q266" s="17" t="inlineStr">
        <is>
          <t>안산시</t>
        </is>
      </c>
      <c r="R266" s="17" t="inlineStr">
        <is>
          <t>GMP공장소재지</t>
        </is>
      </c>
      <c r="S266" s="17" t="n">
        <v>90</v>
      </c>
      <c r="T266" s="17" t="inlineStr">
        <is>
          <t>Y</t>
        </is>
      </c>
      <c r="U266" s="17" t="n">
        <v>1</v>
      </c>
      <c r="V266" s="24" t="n">
        <v>46876</v>
      </c>
      <c r="W266" s="17" t="inlineStr"/>
      <c r="X266" s="17" t="inlineStr"/>
      <c r="Y266" s="17" t="inlineStr">
        <is>
          <t>회사키+주소</t>
        </is>
      </c>
      <c r="Z266" s="17" t="n">
        <v>90</v>
      </c>
      <c r="AA266" s="17" t="inlineStr"/>
    </row>
    <row r="267">
      <c r="A267" s="30" t="inlineStr">
        <is>
          <t>S266</t>
        </is>
      </c>
      <c r="B267" s="17" t="inlineStr">
        <is>
          <t>P234</t>
        </is>
      </c>
      <c r="C267" s="17" t="inlineStr">
        <is>
          <t>동아에스티</t>
        </is>
      </c>
      <c r="D267" s="17" t="inlineStr">
        <is>
          <t>동아에스티(주)</t>
        </is>
      </c>
      <c r="E267" s="17" t="inlineStr">
        <is>
          <t>충청남도 천안시 서북구 백석공단1로 200-23 (2B, 3, 4B층)</t>
        </is>
      </c>
      <c r="F267" s="17" t="inlineStr">
        <is>
          <t>충청남도 천안시 서북구 백석공단1로 200-23 (11동 2층)</t>
        </is>
      </c>
      <c r="G267" s="17" t="inlineStr">
        <is>
          <t>충청남도 천안시 서북구 백석공단1로 200-23 (2B, 3, 4B층)</t>
        </is>
      </c>
      <c r="H267" s="17" t="inlineStr">
        <is>
          <t>시험실</t>
        </is>
      </c>
      <c r="I267" s="23" t="inlineStr">
        <is>
          <t>1290</t>
        </is>
      </c>
      <c r="J267" s="17" t="inlineStr">
        <is>
          <t>6</t>
        </is>
      </c>
      <c r="K267" s="17" t="inlineStr">
        <is>
          <t>완제의약품</t>
        </is>
      </c>
      <c r="L267" s="17" t="inlineStr">
        <is>
          <t>비무균-일반제제-내용고형제(정제, 캡슐제), 무균-일반제제-주사제(주사제, 동결건조주사제), 무균-세포독성항암제제-주사제(주사제, 동결건조주사제)</t>
        </is>
      </c>
      <c r="M267" s="24" t="n">
        <v>46875</v>
      </c>
      <c r="N267" s="17" t="inlineStr">
        <is>
          <t>Y</t>
        </is>
      </c>
      <c r="O267" s="17" t="inlineStr"/>
      <c r="P267" s="17" t="inlineStr">
        <is>
          <t>충청남도</t>
        </is>
      </c>
      <c r="Q267" s="17" t="inlineStr">
        <is>
          <t>천안시</t>
        </is>
      </c>
      <c r="R267" s="17" t="inlineStr">
        <is>
          <t>GMP공장소재지</t>
        </is>
      </c>
      <c r="S267" s="17" t="n">
        <v>90</v>
      </c>
      <c r="T267" s="17" t="inlineStr">
        <is>
          <t>Y</t>
        </is>
      </c>
      <c r="U267" s="17" t="n">
        <v>1</v>
      </c>
      <c r="V267" s="24" t="n">
        <v>46875</v>
      </c>
      <c r="W267" s="17" t="inlineStr"/>
      <c r="X267" s="17" t="inlineStr"/>
      <c r="Y267" s="17" t="inlineStr">
        <is>
          <t>회사키+주소</t>
        </is>
      </c>
      <c r="Z267" s="17" t="n">
        <v>90</v>
      </c>
      <c r="AA267" s="17" t="inlineStr"/>
    </row>
    <row r="268">
      <c r="A268" s="30" t="inlineStr">
        <is>
          <t>S267</t>
        </is>
      </c>
      <c r="B268" s="17" t="inlineStr">
        <is>
          <t>P235</t>
        </is>
      </c>
      <c r="C268" s="17" t="inlineStr">
        <is>
          <t>대덕가스</t>
        </is>
      </c>
      <c r="D268" s="17" t="inlineStr">
        <is>
          <t>대덕가스(주)</t>
        </is>
      </c>
      <c r="E268" s="17" t="inlineStr">
        <is>
          <t>충청남도 천안시 서북구 직산읍 직산로 186</t>
        </is>
      </c>
      <c r="F268" s="17" t="inlineStr"/>
      <c r="G268" s="17" t="inlineStr">
        <is>
          <t>충청남도 천안시 서북구 직산읍 직산로 186</t>
        </is>
      </c>
      <c r="H268" s="17" t="inlineStr">
        <is>
          <t>미확인</t>
        </is>
      </c>
      <c r="I268" s="23" t="inlineStr">
        <is>
          <t>1995</t>
        </is>
      </c>
      <c r="J268" s="17" t="inlineStr"/>
      <c r="K268" s="17" t="inlineStr">
        <is>
          <t>완제의약품</t>
        </is>
      </c>
      <c r="L268" s="17" t="inlineStr">
        <is>
          <t>비무균-일반제제(의료용 고압가스)-가스제(의료용 고압가스)</t>
        </is>
      </c>
      <c r="M268" s="24" t="n">
        <v>46875</v>
      </c>
      <c r="N268" s="17" t="inlineStr"/>
      <c r="O268" s="17" t="inlineStr"/>
      <c r="P268" s="17" t="inlineStr">
        <is>
          <t>충청남도</t>
        </is>
      </c>
      <c r="Q268" s="17" t="inlineStr">
        <is>
          <t>천안시</t>
        </is>
      </c>
      <c r="R268" s="17" t="inlineStr">
        <is>
          <t>GMP공장소재지</t>
        </is>
      </c>
      <c r="S268" s="17" t="n">
        <v>0</v>
      </c>
      <c r="T268" s="17" t="inlineStr">
        <is>
          <t>Y</t>
        </is>
      </c>
      <c r="U268" s="17" t="n">
        <v>1</v>
      </c>
      <c r="V268" s="24" t="n">
        <v>46875</v>
      </c>
      <c r="W268" s="17" t="inlineStr"/>
      <c r="X268" s="17" t="inlineStr"/>
      <c r="Y268" s="17" t="inlineStr">
        <is>
          <t>무매칭</t>
        </is>
      </c>
      <c r="Z268" s="17" t="n">
        <v>0</v>
      </c>
      <c r="AA268" s="17" t="inlineStr">
        <is>
          <t>Y</t>
        </is>
      </c>
    </row>
    <row r="269">
      <c r="A269" s="30" t="inlineStr">
        <is>
          <t>S268</t>
        </is>
      </c>
      <c r="B269" s="17" t="inlineStr">
        <is>
          <t>P236</t>
        </is>
      </c>
      <c r="C269" s="17" t="inlineStr">
        <is>
          <t>삼진제약</t>
        </is>
      </c>
      <c r="D269" s="17" t="inlineStr">
        <is>
          <t>삼진제약(주)</t>
        </is>
      </c>
      <c r="E269" s="17" t="inlineStr">
        <is>
          <t>경기도 화성시 만세구 향남읍 제약공단1길 52</t>
        </is>
      </c>
      <c r="F269" s="17" t="inlineStr">
        <is>
          <t>경기도 화성시 만세구 향남읍 제약공단1길 52</t>
        </is>
      </c>
      <c r="G269" s="17" t="inlineStr">
        <is>
          <t>경기도 화성시 만세구 향남읍 제약공단1길 52</t>
        </is>
      </c>
      <c r="H269" s="17" t="inlineStr">
        <is>
          <t>화성</t>
        </is>
      </c>
      <c r="I269" s="23" t="inlineStr">
        <is>
          <t>1324</t>
        </is>
      </c>
      <c r="J269" s="17" t="inlineStr">
        <is>
          <t>1</t>
        </is>
      </c>
      <c r="K269" s="17" t="inlineStr">
        <is>
          <t>완제의약품</t>
        </is>
      </c>
      <c r="L269" s="17" t="inlineStr">
        <is>
          <t>비무균-일반제제-내용고형제(정제, 캡슐제)</t>
        </is>
      </c>
      <c r="M269" s="24" t="n">
        <v>46871</v>
      </c>
      <c r="N269" s="17" t="inlineStr"/>
      <c r="O269" s="17" t="inlineStr"/>
      <c r="P269" s="17" t="inlineStr">
        <is>
          <t>경기도</t>
        </is>
      </c>
      <c r="Q269" s="17" t="inlineStr">
        <is>
          <t>화성시</t>
        </is>
      </c>
      <c r="R269" s="17" t="inlineStr">
        <is>
          <t>GMP공장소재지</t>
        </is>
      </c>
      <c r="S269" s="17" t="n">
        <v>90</v>
      </c>
      <c r="T269" s="17" t="inlineStr">
        <is>
          <t>Y</t>
        </is>
      </c>
      <c r="U269" s="17" t="n">
        <v>1</v>
      </c>
      <c r="V269" s="24" t="n">
        <v>46871</v>
      </c>
      <c r="W269" s="17" t="inlineStr"/>
      <c r="X269" s="17" t="inlineStr"/>
      <c r="Y269" s="17" t="inlineStr">
        <is>
          <t>회사키+주소</t>
        </is>
      </c>
      <c r="Z269" s="17" t="n">
        <v>90</v>
      </c>
      <c r="AA269" s="17" t="inlineStr"/>
    </row>
    <row r="270">
      <c r="A270" s="30" t="inlineStr">
        <is>
          <t>S269</t>
        </is>
      </c>
      <c r="B270" s="17" t="inlineStr">
        <is>
          <t>P237</t>
        </is>
      </c>
      <c r="C270" s="17" t="inlineStr">
        <is>
          <t>마더스제약</t>
        </is>
      </c>
      <c r="D270" s="17" t="inlineStr">
        <is>
          <t>(주)마더스제약</t>
        </is>
      </c>
      <c r="E270" s="17" t="inlineStr">
        <is>
          <t>전북특별자치도 익산시 삼기면 산단오룡길 38 마더스제약 제2공장</t>
        </is>
      </c>
      <c r="F270" s="17" t="inlineStr">
        <is>
          <t>전북특별자치도 익산시 삼기면 산단오룡길 38 마더스제약 제2공장</t>
        </is>
      </c>
      <c r="G270" s="17" t="inlineStr">
        <is>
          <t>전북특별자치도 익산시 삼기면 산단오룡길 38 마더스제약 제2공장</t>
        </is>
      </c>
      <c r="H270" s="17" t="inlineStr">
        <is>
          <t>(주)마더스제약 제2공장</t>
        </is>
      </c>
      <c r="I270" s="23" t="inlineStr">
        <is>
          <t>1313</t>
        </is>
      </c>
      <c r="J270" s="17" t="inlineStr">
        <is>
          <t>3</t>
        </is>
      </c>
      <c r="K270" s="17" t="inlineStr">
        <is>
          <t>완제의약품</t>
        </is>
      </c>
      <c r="L270" s="17" t="inlineStr">
        <is>
          <t>비무균-일반제제-내용고형제(정제, 캡슐제)</t>
        </is>
      </c>
      <c r="M270" s="24" t="n">
        <v>46871</v>
      </c>
      <c r="N270" s="17" t="inlineStr"/>
      <c r="O270" s="17" t="inlineStr"/>
      <c r="P270" s="17" t="inlineStr">
        <is>
          <t>전북특별자치도</t>
        </is>
      </c>
      <c r="Q270" s="17" t="inlineStr">
        <is>
          <t>익산시</t>
        </is>
      </c>
      <c r="R270" s="17" t="inlineStr">
        <is>
          <t>GMP공장소재지</t>
        </is>
      </c>
      <c r="S270" s="17" t="n">
        <v>90</v>
      </c>
      <c r="T270" s="17" t="inlineStr">
        <is>
          <t>Y</t>
        </is>
      </c>
      <c r="U270" s="17" t="n">
        <v>1</v>
      </c>
      <c r="V270" s="24" t="n">
        <v>46871</v>
      </c>
      <c r="W270" s="17" t="inlineStr"/>
      <c r="X270" s="17" t="inlineStr"/>
      <c r="Y270" s="17" t="inlineStr">
        <is>
          <t>회사키+주소</t>
        </is>
      </c>
      <c r="Z270" s="17" t="n">
        <v>90</v>
      </c>
      <c r="AA270" s="17" t="inlineStr"/>
    </row>
    <row r="271">
      <c r="A271" s="30" t="inlineStr">
        <is>
          <t>S270</t>
        </is>
      </c>
      <c r="B271" s="17" t="inlineStr">
        <is>
          <t>P238</t>
        </is>
      </c>
      <c r="C271" s="17" t="inlineStr">
        <is>
          <t>단일시스켐</t>
        </is>
      </c>
      <c r="D271" s="17" t="inlineStr">
        <is>
          <t>단일시스켐(주)</t>
        </is>
      </c>
      <c r="E271" s="17" t="inlineStr">
        <is>
          <t>충청북도 음성군 음성읍 한불로69번길 12-7</t>
        </is>
      </c>
      <c r="F271" s="17" t="inlineStr">
        <is>
          <t>충청북도 음성군 음성읍 한불로69번길 12-7</t>
        </is>
      </c>
      <c r="G271" s="17" t="inlineStr">
        <is>
          <t>충청북도 음성군 음성읍 한불로69번길 12-7</t>
        </is>
      </c>
      <c r="H271" s="17" t="inlineStr">
        <is>
          <t>음성</t>
        </is>
      </c>
      <c r="I271" s="23" t="inlineStr">
        <is>
          <t>1686</t>
        </is>
      </c>
      <c r="J271" s="17" t="inlineStr">
        <is>
          <t>1</t>
        </is>
      </c>
      <c r="K271" s="17" t="inlineStr">
        <is>
          <t>완제의약품</t>
        </is>
      </c>
      <c r="L271" s="17" t="inlineStr">
        <is>
          <t>비무균-일반제제-가스제(의료용 고압가스)</t>
        </is>
      </c>
      <c r="M271" s="24" t="n">
        <v>46871</v>
      </c>
      <c r="N271" s="17" t="inlineStr"/>
      <c r="O271" s="17" t="inlineStr"/>
      <c r="P271" s="17" t="inlineStr">
        <is>
          <t>충청북도</t>
        </is>
      </c>
      <c r="Q271" s="17" t="inlineStr">
        <is>
          <t>음성군</t>
        </is>
      </c>
      <c r="R271" s="17" t="inlineStr">
        <is>
          <t>GMP공장소재지</t>
        </is>
      </c>
      <c r="S271" s="17" t="n">
        <v>90</v>
      </c>
      <c r="T271" s="17" t="inlineStr">
        <is>
          <t>Y</t>
        </is>
      </c>
      <c r="U271" s="17" t="n">
        <v>1</v>
      </c>
      <c r="V271" s="24" t="n">
        <v>46871</v>
      </c>
      <c r="W271" s="17" t="inlineStr"/>
      <c r="X271" s="17" t="inlineStr"/>
      <c r="Y271" s="17" t="inlineStr">
        <is>
          <t>회사키+주소</t>
        </is>
      </c>
      <c r="Z271" s="17" t="n">
        <v>90</v>
      </c>
      <c r="AA271" s="17" t="inlineStr"/>
    </row>
    <row r="272">
      <c r="A272" s="30" t="inlineStr">
        <is>
          <t>S271</t>
        </is>
      </c>
      <c r="B272" s="17" t="inlineStr">
        <is>
          <t>P239</t>
        </is>
      </c>
      <c r="C272" s="17" t="inlineStr">
        <is>
          <t>바이넥스</t>
        </is>
      </c>
      <c r="D272" s="17" t="inlineStr">
        <is>
          <t>(주)바이넥스</t>
        </is>
      </c>
      <c r="E272" s="17" t="inlineStr">
        <is>
          <t>인천광역시 연수구 갯벌로 3</t>
        </is>
      </c>
      <c r="F272" s="17" t="inlineStr">
        <is>
          <t>인천광역시 연수구 갯벌로 3</t>
        </is>
      </c>
      <c r="G272" s="17" t="inlineStr">
        <is>
          <t>인천광역시 연수구 갯벌로 3</t>
        </is>
      </c>
      <c r="H272" s="17" t="inlineStr">
        <is>
          <t>인천</t>
        </is>
      </c>
      <c r="I272" s="23" t="inlineStr">
        <is>
          <t>1358</t>
        </is>
      </c>
      <c r="J272" s="17" t="inlineStr">
        <is>
          <t>2</t>
        </is>
      </c>
      <c r="K272" s="17" t="inlineStr">
        <is>
          <t>완제의약품</t>
        </is>
      </c>
      <c r="L272" s="17" t="inlineStr">
        <is>
          <t>무균-일반제제-주사제(주사제)</t>
        </is>
      </c>
      <c r="M272" s="24" t="n">
        <v>46870</v>
      </c>
      <c r="N272" s="17" t="inlineStr">
        <is>
          <t>Y</t>
        </is>
      </c>
      <c r="O272" s="17" t="inlineStr"/>
      <c r="P272" s="17" t="inlineStr">
        <is>
          <t>인천광역시</t>
        </is>
      </c>
      <c r="Q272" s="17" t="inlineStr">
        <is>
          <t>연수구</t>
        </is>
      </c>
      <c r="R272" s="17" t="inlineStr">
        <is>
          <t>GMP공장소재지</t>
        </is>
      </c>
      <c r="S272" s="17" t="n">
        <v>90</v>
      </c>
      <c r="T272" s="17" t="inlineStr">
        <is>
          <t>Y</t>
        </is>
      </c>
      <c r="U272" s="17" t="n">
        <v>1</v>
      </c>
      <c r="V272" s="24" t="n">
        <v>46870</v>
      </c>
      <c r="W272" s="17" t="inlineStr"/>
      <c r="X272" s="17" t="inlineStr"/>
      <c r="Y272" s="17" t="inlineStr">
        <is>
          <t>회사키+주소</t>
        </is>
      </c>
      <c r="Z272" s="17" t="n">
        <v>90</v>
      </c>
      <c r="AA272" s="17" t="inlineStr"/>
    </row>
    <row r="273">
      <c r="A273" s="30" t="inlineStr">
        <is>
          <t>S272</t>
        </is>
      </c>
      <c r="B273" s="17" t="inlineStr">
        <is>
          <t>P240</t>
        </is>
      </c>
      <c r="C273" s="17" t="inlineStr">
        <is>
          <t>삼전순약공업</t>
        </is>
      </c>
      <c r="D273" s="17" t="inlineStr">
        <is>
          <t>삼전순약공업(주)</t>
        </is>
      </c>
      <c r="E273" s="17" t="inlineStr">
        <is>
          <t>경기도 평택시 산단로16번길 117</t>
        </is>
      </c>
      <c r="F273" s="17" t="inlineStr">
        <is>
          <t>경기도 평택시 산단로16번길 117</t>
        </is>
      </c>
      <c r="G273" s="17" t="inlineStr">
        <is>
          <t>경기도 평택시 산단로16번길 117</t>
        </is>
      </c>
      <c r="H273" s="17" t="inlineStr">
        <is>
          <t>평택</t>
        </is>
      </c>
      <c r="I273" s="23" t="inlineStr">
        <is>
          <t>1941</t>
        </is>
      </c>
      <c r="J273" s="17" t="inlineStr">
        <is>
          <t>1</t>
        </is>
      </c>
      <c r="K273" s="17" t="inlineStr">
        <is>
          <t>원료의약품</t>
        </is>
      </c>
      <c r="L273" s="17" t="inlineStr">
        <is>
          <t>비무균-일반제제-합성</t>
        </is>
      </c>
      <c r="M273" s="24" t="n">
        <v>46870</v>
      </c>
      <c r="N273" s="17" t="inlineStr"/>
      <c r="O273" s="17" t="inlineStr"/>
      <c r="P273" s="17" t="inlineStr">
        <is>
          <t>경기도</t>
        </is>
      </c>
      <c r="Q273" s="17" t="inlineStr">
        <is>
          <t>평택시</t>
        </is>
      </c>
      <c r="R273" s="17" t="inlineStr">
        <is>
          <t>GMP공장소재지</t>
        </is>
      </c>
      <c r="S273" s="17" t="n">
        <v>90</v>
      </c>
      <c r="T273" s="17" t="inlineStr">
        <is>
          <t>Y</t>
        </is>
      </c>
      <c r="U273" s="17" t="n">
        <v>1</v>
      </c>
      <c r="V273" s="24" t="n">
        <v>46870</v>
      </c>
      <c r="W273" s="17" t="inlineStr"/>
      <c r="X273" s="17" t="inlineStr"/>
      <c r="Y273" s="17" t="inlineStr">
        <is>
          <t>회사키+주소</t>
        </is>
      </c>
      <c r="Z273" s="17" t="n">
        <v>90</v>
      </c>
      <c r="AA273" s="17" t="inlineStr"/>
    </row>
    <row r="274">
      <c r="A274" s="30" t="inlineStr">
        <is>
          <t>S273</t>
        </is>
      </c>
      <c r="B274" s="17" t="inlineStr">
        <is>
          <t>P241</t>
        </is>
      </c>
      <c r="C274" s="17" t="inlineStr">
        <is>
          <t>국제산업가스</t>
        </is>
      </c>
      <c r="D274" s="17" t="inlineStr">
        <is>
          <t>국제산업가스(주)</t>
        </is>
      </c>
      <c r="E274" s="17" t="inlineStr">
        <is>
          <t>경기도 안양시 동안구 시민대로 95</t>
        </is>
      </c>
      <c r="F274" s="17" t="inlineStr">
        <is>
          <t>경기도 안양시 동안구 시민대로 95</t>
        </is>
      </c>
      <c r="G274" s="17" t="inlineStr">
        <is>
          <t>경기도 안양시 동안구 시민대로 95</t>
        </is>
      </c>
      <c r="H274" s="17" t="inlineStr">
        <is>
          <t>안양</t>
        </is>
      </c>
      <c r="I274" s="23" t="inlineStr">
        <is>
          <t>1660</t>
        </is>
      </c>
      <c r="J274" s="17" t="inlineStr">
        <is>
          <t>1</t>
        </is>
      </c>
      <c r="K274" s="17" t="inlineStr">
        <is>
          <t>완제의약품</t>
        </is>
      </c>
      <c r="L274" s="17" t="inlineStr">
        <is>
          <t>비무균-일반제제(의료용 고압가스)-가스제(의료용 고압가스)</t>
        </is>
      </c>
      <c r="M274" s="24" t="n">
        <v>46870</v>
      </c>
      <c r="N274" s="17" t="inlineStr"/>
      <c r="O274" s="17" t="inlineStr"/>
      <c r="P274" s="17" t="inlineStr">
        <is>
          <t>경기도</t>
        </is>
      </c>
      <c r="Q274" s="17" t="inlineStr">
        <is>
          <t>안양시</t>
        </is>
      </c>
      <c r="R274" s="17" t="inlineStr">
        <is>
          <t>GMP공장소재지</t>
        </is>
      </c>
      <c r="S274" s="17" t="n">
        <v>90</v>
      </c>
      <c r="T274" s="17" t="inlineStr">
        <is>
          <t>Y</t>
        </is>
      </c>
      <c r="U274" s="17" t="n">
        <v>1</v>
      </c>
      <c r="V274" s="24" t="n">
        <v>46870</v>
      </c>
      <c r="W274" s="17" t="inlineStr"/>
      <c r="X274" s="17" t="inlineStr"/>
      <c r="Y274" s="17" t="inlineStr">
        <is>
          <t>회사키+주소</t>
        </is>
      </c>
      <c r="Z274" s="17" t="n">
        <v>90</v>
      </c>
      <c r="AA274" s="17" t="inlineStr"/>
    </row>
    <row r="275">
      <c r="A275" s="30" t="inlineStr">
        <is>
          <t>S274</t>
        </is>
      </c>
      <c r="B275" s="17" t="inlineStr">
        <is>
          <t>P242</t>
        </is>
      </c>
      <c r="C275" s="17" t="inlineStr">
        <is>
          <t>아주산소</t>
        </is>
      </c>
      <c r="D275" s="17" t="inlineStr">
        <is>
          <t>아주산소(주)</t>
        </is>
      </c>
      <c r="E275" s="17" t="inlineStr">
        <is>
          <t>광주광역시 남구 송암로58번길 46</t>
        </is>
      </c>
      <c r="F275" s="17" t="inlineStr">
        <is>
          <t>광주광역시 남구 송암로58번길 46</t>
        </is>
      </c>
      <c r="G275" s="17" t="inlineStr">
        <is>
          <t>광주광역시 남구 송암로58번길 46</t>
        </is>
      </c>
      <c r="H275" s="17" t="inlineStr">
        <is>
          <t>광주</t>
        </is>
      </c>
      <c r="I275" s="23" t="inlineStr">
        <is>
          <t>1625</t>
        </is>
      </c>
      <c r="J275" s="17" t="inlineStr">
        <is>
          <t>1</t>
        </is>
      </c>
      <c r="K275" s="17" t="inlineStr">
        <is>
          <t>완제의약품</t>
        </is>
      </c>
      <c r="L275" s="17" t="inlineStr">
        <is>
          <t>비무균-일반제제(의료용 고압가스)-가스제(의료용 고압가스)</t>
        </is>
      </c>
      <c r="M275" s="24" t="n">
        <v>46868</v>
      </c>
      <c r="N275" s="17" t="inlineStr"/>
      <c r="O275" s="17" t="inlineStr"/>
      <c r="P275" s="17" t="inlineStr">
        <is>
          <t>광주광역시</t>
        </is>
      </c>
      <c r="Q275" s="17" t="inlineStr">
        <is>
          <t>남구</t>
        </is>
      </c>
      <c r="R275" s="17" t="inlineStr">
        <is>
          <t>GMP공장소재지</t>
        </is>
      </c>
      <c r="S275" s="17" t="n">
        <v>90</v>
      </c>
      <c r="T275" s="17" t="inlineStr">
        <is>
          <t>Y</t>
        </is>
      </c>
      <c r="U275" s="17" t="n">
        <v>1</v>
      </c>
      <c r="V275" s="24" t="n">
        <v>46868</v>
      </c>
      <c r="W275" s="17" t="inlineStr"/>
      <c r="X275" s="17" t="inlineStr"/>
      <c r="Y275" s="17" t="inlineStr">
        <is>
          <t>회사키+주소</t>
        </is>
      </c>
      <c r="Z275" s="17" t="n">
        <v>90</v>
      </c>
      <c r="AA275" s="17" t="inlineStr"/>
    </row>
    <row r="276">
      <c r="A276" s="30" t="inlineStr">
        <is>
          <t>S275</t>
        </is>
      </c>
      <c r="B276" s="17" t="inlineStr">
        <is>
          <t>P243</t>
        </is>
      </c>
      <c r="C276" s="17" t="inlineStr">
        <is>
          <t>선도화학</t>
        </is>
      </c>
      <c r="D276" s="17" t="inlineStr">
        <is>
          <t>선도화학주식회사</t>
        </is>
      </c>
      <c r="E276" s="17" t="inlineStr">
        <is>
          <t>충청남도 서산시 대산읍 죽엽로 363 3동, K동, 7동 101 호</t>
        </is>
      </c>
      <c r="F276" s="17" t="inlineStr">
        <is>
          <t>충청남도 서산시 대산읍 죽엽로 363 3동, K동, 7동 101 호</t>
        </is>
      </c>
      <c r="G276" s="17" t="inlineStr">
        <is>
          <t>충청남도 서산시 대산읍 죽엽로 363 3동, K동, 7동 101 호</t>
        </is>
      </c>
      <c r="H276" s="17" t="inlineStr">
        <is>
          <t>선도화학주식회사</t>
        </is>
      </c>
      <c r="I276" s="23" t="inlineStr">
        <is>
          <t>2641</t>
        </is>
      </c>
      <c r="J276" s="17" t="inlineStr">
        <is>
          <t>1</t>
        </is>
      </c>
      <c r="K276" s="17" t="inlineStr">
        <is>
          <t>완제의약품</t>
        </is>
      </c>
      <c r="L276" s="17" t="inlineStr">
        <is>
          <t>비무균-일반제제(의료용 고압가스)-가스제(의료용 고압가스)</t>
        </is>
      </c>
      <c r="M276" s="24" t="n">
        <v>46867</v>
      </c>
      <c r="N276" s="17" t="inlineStr"/>
      <c r="O276" s="17" t="inlineStr"/>
      <c r="P276" s="17" t="inlineStr">
        <is>
          <t>충청남도</t>
        </is>
      </c>
      <c r="Q276" s="17" t="inlineStr">
        <is>
          <t>서산시</t>
        </is>
      </c>
      <c r="R276" s="17" t="inlineStr">
        <is>
          <t>GMP공장소재지</t>
        </is>
      </c>
      <c r="S276" s="17" t="n">
        <v>90</v>
      </c>
      <c r="T276" s="17" t="inlineStr">
        <is>
          <t>Y</t>
        </is>
      </c>
      <c r="U276" s="17" t="n">
        <v>1</v>
      </c>
      <c r="V276" s="24" t="n">
        <v>46867</v>
      </c>
      <c r="W276" s="17" t="inlineStr"/>
      <c r="X276" s="17" t="inlineStr"/>
      <c r="Y276" s="17" t="inlineStr">
        <is>
          <t>회사키+주소</t>
        </is>
      </c>
      <c r="Z276" s="17" t="n">
        <v>90</v>
      </c>
      <c r="AA276" s="17" t="inlineStr"/>
    </row>
    <row r="277">
      <c r="A277" s="30" t="inlineStr">
        <is>
          <t>S276</t>
        </is>
      </c>
      <c r="B277" s="17" t="inlineStr">
        <is>
          <t>P244</t>
        </is>
      </c>
      <c r="C277" s="17" t="inlineStr">
        <is>
          <t>영진약품</t>
        </is>
      </c>
      <c r="D277" s="17" t="inlineStr">
        <is>
          <t>영진약품(주)</t>
        </is>
      </c>
      <c r="E277" s="17" t="inlineStr">
        <is>
          <t>경기도 화성시 만세구 남양읍 무하로 66</t>
        </is>
      </c>
      <c r="F277" s="17" t="inlineStr"/>
      <c r="G277" s="17" t="inlineStr">
        <is>
          <t>경기도 화성시 만세구 남양읍 무하로 66</t>
        </is>
      </c>
      <c r="H277" s="17" t="inlineStr">
        <is>
          <t>미확인</t>
        </is>
      </c>
      <c r="I277" s="23" t="inlineStr">
        <is>
          <t>1421</t>
        </is>
      </c>
      <c r="J277" s="17" t="inlineStr"/>
      <c r="K277" s="17" t="inlineStr">
        <is>
          <t>완제의약품</t>
        </is>
      </c>
      <c r="L277" s="17" t="inlineStr">
        <is>
          <t>비무균-세팔로스포린제제-내용고형제(정제, 캡슐제, 산제, 시럽제(고형)), 비무균-일반제제-내용고형제(정제, 캡슐제), 무균-세팔로스포린제제-주사제(분말주사제), 비무균-일반제제-내용액제(시럽제(액상), 현탁제)</t>
        </is>
      </c>
      <c r="M277" s="24" t="n">
        <v>46864</v>
      </c>
      <c r="N277" s="17" t="inlineStr">
        <is>
          <t>Y</t>
        </is>
      </c>
      <c r="O277" s="17" t="inlineStr"/>
      <c r="P277" s="17" t="inlineStr">
        <is>
          <t>경기도</t>
        </is>
      </c>
      <c r="Q277" s="17" t="inlineStr">
        <is>
          <t>화성시</t>
        </is>
      </c>
      <c r="R277" s="17" t="inlineStr">
        <is>
          <t>GMP공장소재지</t>
        </is>
      </c>
      <c r="S277" s="17" t="n">
        <v>0</v>
      </c>
      <c r="T277" s="17" t="inlineStr">
        <is>
          <t>Y</t>
        </is>
      </c>
      <c r="U277" s="17" t="n">
        <v>1</v>
      </c>
      <c r="V277" s="24" t="n">
        <v>46864</v>
      </c>
      <c r="W277" s="17" t="inlineStr"/>
      <c r="X277" s="17" t="inlineStr"/>
      <c r="Y277" s="17" t="inlineStr">
        <is>
          <t>무매칭</t>
        </is>
      </c>
      <c r="Z277" s="17" t="n">
        <v>0</v>
      </c>
      <c r="AA277" s="17" t="inlineStr">
        <is>
          <t>Y</t>
        </is>
      </c>
    </row>
    <row r="278">
      <c r="A278" s="30" t="inlineStr">
        <is>
          <t>S277</t>
        </is>
      </c>
      <c r="B278" s="17" t="inlineStr">
        <is>
          <t>P245</t>
        </is>
      </c>
      <c r="C278" s="17" t="inlineStr">
        <is>
          <t>팜젠사이언스</t>
        </is>
      </c>
      <c r="D278" s="17" t="inlineStr">
        <is>
          <t>(주)팜젠사이언스</t>
        </is>
      </c>
      <c r="E278" s="17" t="inlineStr">
        <is>
          <t>경기도 화성시 만세구 향남읍 제약공단2길 50</t>
        </is>
      </c>
      <c r="F278" s="17" t="inlineStr">
        <is>
          <t>경기도 화성시 만세구 향남읍 제약공단2길 50</t>
        </is>
      </c>
      <c r="G278" s="17" t="inlineStr">
        <is>
          <t>경기도 화성시 만세구 향남읍 제약공단2길 50</t>
        </is>
      </c>
      <c r="H278" s="17" t="inlineStr">
        <is>
          <t>화성</t>
        </is>
      </c>
      <c r="I278" s="23" t="inlineStr">
        <is>
          <t>1487</t>
        </is>
      </c>
      <c r="J278" s="17" t="inlineStr">
        <is>
          <t>1</t>
        </is>
      </c>
      <c r="K278" s="17" t="inlineStr">
        <is>
          <t>완제의약품</t>
        </is>
      </c>
      <c r="L278" s="17" t="inlineStr">
        <is>
          <t>비무균-일반제제-내용고형제(정제, 캡슐제, 과립제, 시럽제(고형)), 비무균-일반제제-내용액제(경구용액제, 시럽제(액상), 현탁제), 비무균-일반제제-그 밖의 고형제(혈액투석제(고형))</t>
        </is>
      </c>
      <c r="M278" s="24" t="n">
        <v>46864</v>
      </c>
      <c r="N278" s="17" t="inlineStr"/>
      <c r="O278" s="17" t="inlineStr"/>
      <c r="P278" s="17" t="inlineStr">
        <is>
          <t>경기도</t>
        </is>
      </c>
      <c r="Q278" s="17" t="inlineStr">
        <is>
          <t>화성시</t>
        </is>
      </c>
      <c r="R278" s="17" t="inlineStr">
        <is>
          <t>GMP공장소재지</t>
        </is>
      </c>
      <c r="S278" s="17" t="n">
        <v>90</v>
      </c>
      <c r="T278" s="17" t="inlineStr">
        <is>
          <t>Y</t>
        </is>
      </c>
      <c r="U278" s="17" t="n">
        <v>1</v>
      </c>
      <c r="V278" s="24" t="n">
        <v>46864</v>
      </c>
      <c r="W278" s="17" t="inlineStr"/>
      <c r="X278" s="17" t="inlineStr"/>
      <c r="Y278" s="17" t="inlineStr">
        <is>
          <t>회사키+주소</t>
        </is>
      </c>
      <c r="Z278" s="17" t="n">
        <v>90</v>
      </c>
      <c r="AA278" s="17" t="inlineStr"/>
    </row>
    <row r="279">
      <c r="A279" s="30" t="inlineStr">
        <is>
          <t>S278</t>
        </is>
      </c>
      <c r="B279" s="17" t="inlineStr">
        <is>
          <t>P246</t>
        </is>
      </c>
      <c r="C279" s="17" t="inlineStr">
        <is>
          <t>알보젠코리아</t>
        </is>
      </c>
      <c r="D279" s="17" t="inlineStr">
        <is>
          <t>알보젠코리아(주)</t>
        </is>
      </c>
      <c r="E279" s="17" t="inlineStr">
        <is>
          <t>충청남도 공주시 정안면 정안농공단지길 55-8</t>
        </is>
      </c>
      <c r="F279" s="17" t="inlineStr">
        <is>
          <t>충청남도 공주시 정안면 정안농공단지길 55-8</t>
        </is>
      </c>
      <c r="G279" s="17" t="inlineStr">
        <is>
          <t>충청남도 공주시 정안면 정안농공단지길 55-8</t>
        </is>
      </c>
      <c r="H279" s="17" t="inlineStr">
        <is>
          <t>공주</t>
        </is>
      </c>
      <c r="I279" s="23" t="inlineStr">
        <is>
          <t>1367</t>
        </is>
      </c>
      <c r="J279" s="17" t="inlineStr">
        <is>
          <t>1</t>
        </is>
      </c>
      <c r="K279" s="17" t="inlineStr">
        <is>
          <t>완제의약품</t>
        </is>
      </c>
      <c r="L279" s="17" t="inlineStr">
        <is>
          <t>비무균-일반제제-내용고형제(정제, 질정, 캡슐제, 산제, 과립제)</t>
        </is>
      </c>
      <c r="M279" s="24" t="n">
        <v>46863</v>
      </c>
      <c r="N279" s="17" t="inlineStr"/>
      <c r="O279" s="17" t="inlineStr"/>
      <c r="P279" s="17" t="inlineStr">
        <is>
          <t>충청남도</t>
        </is>
      </c>
      <c r="Q279" s="17" t="inlineStr">
        <is>
          <t>공주시</t>
        </is>
      </c>
      <c r="R279" s="17" t="inlineStr">
        <is>
          <t>GMP공장소재지</t>
        </is>
      </c>
      <c r="S279" s="17" t="n">
        <v>90</v>
      </c>
      <c r="T279" s="17" t="inlineStr">
        <is>
          <t>Y</t>
        </is>
      </c>
      <c r="U279" s="17" t="n">
        <v>1</v>
      </c>
      <c r="V279" s="24" t="n">
        <v>46863</v>
      </c>
      <c r="W279" s="17" t="inlineStr"/>
      <c r="X279" s="17" t="inlineStr"/>
      <c r="Y279" s="17" t="inlineStr">
        <is>
          <t>회사키+주소</t>
        </is>
      </c>
      <c r="Z279" s="17" t="n">
        <v>90</v>
      </c>
      <c r="AA279" s="17" t="inlineStr"/>
    </row>
    <row r="280">
      <c r="A280" s="30" t="inlineStr">
        <is>
          <t>S279</t>
        </is>
      </c>
      <c r="B280" s="17" t="inlineStr">
        <is>
          <t>P247</t>
        </is>
      </c>
      <c r="C280" s="17" t="inlineStr">
        <is>
          <t>대웅바이오</t>
        </is>
      </c>
      <c r="D280" s="17" t="inlineStr">
        <is>
          <t>대웅바이오(주)</t>
        </is>
      </c>
      <c r="E280" s="17" t="inlineStr">
        <is>
          <t>경기도 안성시 공단1로 69</t>
        </is>
      </c>
      <c r="F280" s="17" t="inlineStr">
        <is>
          <t>경기도 안성시 공단1로 69</t>
        </is>
      </c>
      <c r="G280" s="17" t="inlineStr">
        <is>
          <t>경기도 안성시 공단1로 69</t>
        </is>
      </c>
      <c r="H280" s="17" t="inlineStr">
        <is>
          <t>안성</t>
        </is>
      </c>
      <c r="I280" s="23" t="inlineStr">
        <is>
          <t>1632</t>
        </is>
      </c>
      <c r="J280" s="17" t="inlineStr">
        <is>
          <t>3</t>
        </is>
      </c>
      <c r="K280" s="17" t="inlineStr">
        <is>
          <t>완제의약품</t>
        </is>
      </c>
      <c r="L280" s="17" t="inlineStr">
        <is>
          <t>비무균-일반제제-내용고형제(정제, 캡슐제)</t>
        </is>
      </c>
      <c r="M280" s="24" t="n">
        <v>46862</v>
      </c>
      <c r="N280" s="17" t="inlineStr"/>
      <c r="O280" s="17" t="inlineStr"/>
      <c r="P280" s="17" t="inlineStr">
        <is>
          <t>경기도</t>
        </is>
      </c>
      <c r="Q280" s="17" t="inlineStr">
        <is>
          <t>안성시</t>
        </is>
      </c>
      <c r="R280" s="17" t="inlineStr">
        <is>
          <t>GMP공장소재지</t>
        </is>
      </c>
      <c r="S280" s="17" t="n">
        <v>90</v>
      </c>
      <c r="T280" s="17" t="inlineStr">
        <is>
          <t>Y</t>
        </is>
      </c>
      <c r="U280" s="17" t="n">
        <v>1</v>
      </c>
      <c r="V280" s="24" t="n">
        <v>46862</v>
      </c>
      <c r="W280" s="17" t="inlineStr"/>
      <c r="X280" s="17" t="inlineStr"/>
      <c r="Y280" s="17" t="inlineStr">
        <is>
          <t>회사키+주소</t>
        </is>
      </c>
      <c r="Z280" s="17" t="n">
        <v>90</v>
      </c>
      <c r="AA280" s="17" t="inlineStr"/>
    </row>
    <row r="281">
      <c r="A281" s="30" t="inlineStr">
        <is>
          <t>S280</t>
        </is>
      </c>
      <c r="B281" s="17" t="inlineStr">
        <is>
          <t>P248</t>
        </is>
      </c>
      <c r="C281" s="17" t="inlineStr">
        <is>
          <t>신화제약</t>
        </is>
      </c>
      <c r="D281" s="17" t="inlineStr">
        <is>
          <t>신화제약(주)</t>
        </is>
      </c>
      <c r="E281" s="17" t="inlineStr">
        <is>
          <t>대구광역시 달서구 성서동로 105</t>
        </is>
      </c>
      <c r="F281" s="17" t="inlineStr">
        <is>
          <t>대구광역시 달서구 성서동로 105</t>
        </is>
      </c>
      <c r="G281" s="17" t="inlineStr">
        <is>
          <t>대구광역시 달서구 성서동로 105</t>
        </is>
      </c>
      <c r="H281" s="17" t="inlineStr">
        <is>
          <t>대구</t>
        </is>
      </c>
      <c r="I281" s="23" t="inlineStr">
        <is>
          <t>1528</t>
        </is>
      </c>
      <c r="J281" s="17" t="inlineStr">
        <is>
          <t>1</t>
        </is>
      </c>
      <c r="K281" s="17" t="inlineStr">
        <is>
          <t>완제의약품</t>
        </is>
      </c>
      <c r="L281" s="17" t="inlineStr">
        <is>
          <t>비무균-일반제제-내용고형제(정제, 과립제, 환제)</t>
        </is>
      </c>
      <c r="M281" s="24" t="n">
        <v>46857</v>
      </c>
      <c r="N281" s="17" t="inlineStr"/>
      <c r="O281" s="17" t="inlineStr"/>
      <c r="P281" s="17" t="inlineStr">
        <is>
          <t>대구광역시</t>
        </is>
      </c>
      <c r="Q281" s="17" t="inlineStr">
        <is>
          <t>달서구</t>
        </is>
      </c>
      <c r="R281" s="17" t="inlineStr">
        <is>
          <t>GMP공장소재지</t>
        </is>
      </c>
      <c r="S281" s="17" t="n">
        <v>90</v>
      </c>
      <c r="T281" s="17" t="inlineStr">
        <is>
          <t>Y</t>
        </is>
      </c>
      <c r="U281" s="17" t="n">
        <v>1</v>
      </c>
      <c r="V281" s="24" t="n">
        <v>46857</v>
      </c>
      <c r="W281" s="17" t="inlineStr"/>
      <c r="X281" s="17" t="inlineStr"/>
      <c r="Y281" s="17" t="inlineStr">
        <is>
          <t>회사키+주소</t>
        </is>
      </c>
      <c r="Z281" s="17" t="n">
        <v>90</v>
      </c>
      <c r="AA281" s="17" t="inlineStr"/>
    </row>
    <row r="282">
      <c r="A282" s="30" t="inlineStr">
        <is>
          <t>S281</t>
        </is>
      </c>
      <c r="B282" s="17" t="inlineStr">
        <is>
          <t>P249</t>
        </is>
      </c>
      <c r="C282" s="17" t="inlineStr">
        <is>
          <t>비씨월드제약</t>
        </is>
      </c>
      <c r="D282" s="17" t="inlineStr">
        <is>
          <t>(주)비씨월드제약</t>
        </is>
      </c>
      <c r="E282" s="17" t="inlineStr">
        <is>
          <t>경기도 여주시 가남읍 여주남로 872-23</t>
        </is>
      </c>
      <c r="F282" s="17" t="inlineStr">
        <is>
          <t>경기도 여주시 가남읍 여주남로 872-23</t>
        </is>
      </c>
      <c r="G282" s="17" t="inlineStr">
        <is>
          <t>경기도 여주시 가남읍 여주남로 872-23</t>
        </is>
      </c>
      <c r="H282" s="17" t="inlineStr">
        <is>
          <t>여주</t>
        </is>
      </c>
      <c r="I282" s="23" t="inlineStr">
        <is>
          <t>1357</t>
        </is>
      </c>
      <c r="J282" s="17" t="inlineStr">
        <is>
          <t>1</t>
        </is>
      </c>
      <c r="K282" s="17" t="inlineStr">
        <is>
          <t>완제의약품</t>
        </is>
      </c>
      <c r="L282" s="17" t="inlineStr">
        <is>
          <t>비무균-일반제제-내용고형제(정제, 캡슐제), 무균-일반제제-주사제(주사제, 동결건조주사제)</t>
        </is>
      </c>
      <c r="M282" s="24" t="n">
        <v>46857</v>
      </c>
      <c r="N282" s="17" t="inlineStr">
        <is>
          <t>Y</t>
        </is>
      </c>
      <c r="O282" s="17" t="inlineStr"/>
      <c r="P282" s="17" t="inlineStr">
        <is>
          <t>경기도</t>
        </is>
      </c>
      <c r="Q282" s="17" t="inlineStr">
        <is>
          <t>여주시</t>
        </is>
      </c>
      <c r="R282" s="17" t="inlineStr">
        <is>
          <t>GMP공장소재지</t>
        </is>
      </c>
      <c r="S282" s="17" t="n">
        <v>90</v>
      </c>
      <c r="T282" s="17" t="inlineStr">
        <is>
          <t>Y</t>
        </is>
      </c>
      <c r="U282" s="17" t="n">
        <v>1</v>
      </c>
      <c r="V282" s="24" t="n">
        <v>46857</v>
      </c>
      <c r="W282" s="17" t="inlineStr"/>
      <c r="X282" s="17" t="inlineStr"/>
      <c r="Y282" s="17" t="inlineStr">
        <is>
          <t>회사키+주소</t>
        </is>
      </c>
      <c r="Z282" s="17" t="n">
        <v>90</v>
      </c>
      <c r="AA282" s="17" t="inlineStr"/>
    </row>
    <row r="283">
      <c r="A283" s="30" t="inlineStr">
        <is>
          <t>S282</t>
        </is>
      </c>
      <c r="B283" s="17" t="inlineStr">
        <is>
          <t>P250</t>
        </is>
      </c>
      <c r="C283" s="17" t="inlineStr">
        <is>
          <t>아이티켐</t>
        </is>
      </c>
      <c r="D283" s="17" t="inlineStr">
        <is>
          <t>(주)아이티켐</t>
        </is>
      </c>
      <c r="E283" s="17" t="inlineStr">
        <is>
          <t>충청북도 청주시 청원구 오창읍 양청송대길 231</t>
        </is>
      </c>
      <c r="F283" s="17" t="inlineStr">
        <is>
          <t>충청북도 청주시 청원구 오창읍 양청송대길 231</t>
        </is>
      </c>
      <c r="G283" s="17" t="inlineStr">
        <is>
          <t>충청북도 청주시 청원구 오창읍 양청송대길 231</t>
        </is>
      </c>
      <c r="H283" s="17" t="inlineStr">
        <is>
          <t>1공장</t>
        </is>
      </c>
      <c r="I283" s="23" t="inlineStr">
        <is>
          <t>2632</t>
        </is>
      </c>
      <c r="J283" s="17" t="inlineStr">
        <is>
          <t>1</t>
        </is>
      </c>
      <c r="K283" s="17" t="inlineStr">
        <is>
          <t>원료의약품</t>
        </is>
      </c>
      <c r="L283" s="17" t="inlineStr">
        <is>
          <t>비무균-일반제제-합성</t>
        </is>
      </c>
      <c r="M283" s="24" t="n">
        <v>46856</v>
      </c>
      <c r="N283" s="17" t="inlineStr"/>
      <c r="O283" s="17" t="inlineStr"/>
      <c r="P283" s="17" t="inlineStr">
        <is>
          <t>충청북도</t>
        </is>
      </c>
      <c r="Q283" s="17" t="inlineStr">
        <is>
          <t>청주시</t>
        </is>
      </c>
      <c r="R283" s="17" t="inlineStr">
        <is>
          <t>GMP공장소재지</t>
        </is>
      </c>
      <c r="S283" s="17" t="n">
        <v>90</v>
      </c>
      <c r="T283" s="17" t="inlineStr">
        <is>
          <t>Y</t>
        </is>
      </c>
      <c r="U283" s="17" t="n">
        <v>1</v>
      </c>
      <c r="V283" s="24" t="n">
        <v>46856</v>
      </c>
      <c r="W283" s="17" t="inlineStr"/>
      <c r="X283" s="17" t="inlineStr"/>
      <c r="Y283" s="17" t="inlineStr">
        <is>
          <t>회사키+주소</t>
        </is>
      </c>
      <c r="Z283" s="17" t="n">
        <v>90</v>
      </c>
      <c r="AA283" s="17" t="inlineStr"/>
    </row>
    <row r="284">
      <c r="A284" s="30" t="inlineStr">
        <is>
          <t>S283</t>
        </is>
      </c>
      <c r="B284" s="17" t="inlineStr">
        <is>
          <t>P251</t>
        </is>
      </c>
      <c r="C284" s="17" t="inlineStr">
        <is>
          <t>동양산업가스</t>
        </is>
      </c>
      <c r="D284" s="17" t="inlineStr">
        <is>
          <t>동양산업가스(주)</t>
        </is>
      </c>
      <c r="E284" s="17" t="inlineStr">
        <is>
          <t>경기도 광주시 곤지암읍 경충대로 820</t>
        </is>
      </c>
      <c r="F284" s="17" t="inlineStr">
        <is>
          <t>경기도 광주시 곤지암읍 경충대로 820</t>
        </is>
      </c>
      <c r="G284" s="17" t="inlineStr">
        <is>
          <t>경기도 광주시 곤지암읍 경충대로 820</t>
        </is>
      </c>
      <c r="H284" s="17" t="inlineStr">
        <is>
          <t>광주</t>
        </is>
      </c>
      <c r="I284" s="23" t="inlineStr">
        <is>
          <t>2171</t>
        </is>
      </c>
      <c r="J284" s="17" t="inlineStr">
        <is>
          <t>1</t>
        </is>
      </c>
      <c r="K284" s="17" t="inlineStr">
        <is>
          <t>완제의약품</t>
        </is>
      </c>
      <c r="L284" s="17" t="inlineStr">
        <is>
          <t>비무균-일반제제(의료용 고압가스)-가스제(의료용 고압가스)</t>
        </is>
      </c>
      <c r="M284" s="24" t="n">
        <v>46854</v>
      </c>
      <c r="N284" s="17" t="inlineStr"/>
      <c r="O284" s="17" t="inlineStr"/>
      <c r="P284" s="17" t="inlineStr">
        <is>
          <t>경기도</t>
        </is>
      </c>
      <c r="Q284" s="17" t="inlineStr">
        <is>
          <t>광주시</t>
        </is>
      </c>
      <c r="R284" s="17" t="inlineStr">
        <is>
          <t>GMP공장소재지</t>
        </is>
      </c>
      <c r="S284" s="17" t="n">
        <v>90</v>
      </c>
      <c r="T284" s="17" t="inlineStr">
        <is>
          <t>Y</t>
        </is>
      </c>
      <c r="U284" s="17" t="n">
        <v>1</v>
      </c>
      <c r="V284" s="24" t="n">
        <v>46854</v>
      </c>
      <c r="W284" s="17" t="inlineStr"/>
      <c r="X284" s="17" t="inlineStr"/>
      <c r="Y284" s="17" t="inlineStr">
        <is>
          <t>회사키+주소</t>
        </is>
      </c>
      <c r="Z284" s="17" t="n">
        <v>90</v>
      </c>
      <c r="AA284" s="17" t="inlineStr"/>
    </row>
    <row r="285">
      <c r="A285" s="30" t="inlineStr">
        <is>
          <t>S284</t>
        </is>
      </c>
      <c r="B285" s="17" t="inlineStr">
        <is>
          <t>P252</t>
        </is>
      </c>
      <c r="C285" s="17" t="inlineStr">
        <is>
          <t>신일가스-영암</t>
        </is>
      </c>
      <c r="D285" s="17" t="inlineStr">
        <is>
          <t>신일가스(주)-영암</t>
        </is>
      </c>
      <c r="E285" s="17" t="inlineStr">
        <is>
          <t>전라남도 영암군 삼호읍 대아로 24</t>
        </is>
      </c>
      <c r="F285" s="17" t="inlineStr">
        <is>
          <t>전라남도 영암군 삼호읍 대아로 24</t>
        </is>
      </c>
      <c r="G285" s="17" t="inlineStr">
        <is>
          <t>전라남도 영암군 삼호읍 대아로 24</t>
        </is>
      </c>
      <c r="H285" s="17" t="inlineStr">
        <is>
          <t>영암</t>
        </is>
      </c>
      <c r="I285" s="23" t="inlineStr">
        <is>
          <t>1960</t>
        </is>
      </c>
      <c r="J285" s="17" t="inlineStr">
        <is>
          <t>1</t>
        </is>
      </c>
      <c r="K285" s="17" t="inlineStr">
        <is>
          <t>완제의약품</t>
        </is>
      </c>
      <c r="L285" s="17" t="inlineStr">
        <is>
          <t>비무균-일반제제(의료용 고압가스)-가스제(의료용 고압가스)</t>
        </is>
      </c>
      <c r="M285" s="24" t="n">
        <v>46854</v>
      </c>
      <c r="N285" s="17" t="inlineStr"/>
      <c r="O285" s="17" t="inlineStr"/>
      <c r="P285" s="17" t="inlineStr">
        <is>
          <t>전라남도</t>
        </is>
      </c>
      <c r="Q285" s="17" t="inlineStr">
        <is>
          <t>영암군</t>
        </is>
      </c>
      <c r="R285" s="17" t="inlineStr">
        <is>
          <t>GMP공장소재지</t>
        </is>
      </c>
      <c r="S285" s="17" t="n">
        <v>90</v>
      </c>
      <c r="T285" s="17" t="inlineStr">
        <is>
          <t>Y</t>
        </is>
      </c>
      <c r="U285" s="17" t="n">
        <v>1</v>
      </c>
      <c r="V285" s="24" t="n">
        <v>46854</v>
      </c>
      <c r="W285" s="17" t="inlineStr"/>
      <c r="X285" s="17" t="inlineStr"/>
      <c r="Y285" s="17" t="inlineStr">
        <is>
          <t>회사키+주소</t>
        </is>
      </c>
      <c r="Z285" s="17" t="n">
        <v>90</v>
      </c>
      <c r="AA285" s="17" t="inlineStr"/>
    </row>
    <row r="286">
      <c r="A286" s="30" t="inlineStr">
        <is>
          <t>S285</t>
        </is>
      </c>
      <c r="B286" s="17" t="inlineStr">
        <is>
          <t>P253</t>
        </is>
      </c>
      <c r="C286" s="17" t="inlineStr">
        <is>
          <t>삼양산업</t>
        </is>
      </c>
      <c r="D286" s="17" t="inlineStr">
        <is>
          <t>삼양산업(주)</t>
        </is>
      </c>
      <c r="E286" s="17" t="inlineStr">
        <is>
          <t>경상북도 포항시 북구 흥해읍 동해대로 1887</t>
        </is>
      </c>
      <c r="F286" s="17" t="inlineStr">
        <is>
          <t>경상북도 포항시 북구 흥해읍 동해대로 1887</t>
        </is>
      </c>
      <c r="G286" s="17" t="inlineStr">
        <is>
          <t>경상북도 포항시 북구 흥해읍 동해대로 1887</t>
        </is>
      </c>
      <c r="H286" s="17" t="inlineStr">
        <is>
          <t>제1공장</t>
        </is>
      </c>
      <c r="I286" s="23" t="inlineStr">
        <is>
          <t>2225</t>
        </is>
      </c>
      <c r="J286" s="17" t="inlineStr">
        <is>
          <t>1</t>
        </is>
      </c>
      <c r="K286" s="17" t="inlineStr">
        <is>
          <t>완제의약품</t>
        </is>
      </c>
      <c r="L286" s="17" t="inlineStr">
        <is>
          <t>비무균-일반제제(의료용 고압가스)-가스제(의료용 고압가스)</t>
        </is>
      </c>
      <c r="M286" s="24" t="n">
        <v>46853</v>
      </c>
      <c r="N286" s="17" t="inlineStr"/>
      <c r="O286" s="17" t="inlineStr"/>
      <c r="P286" s="17" t="inlineStr">
        <is>
          <t>경상북도</t>
        </is>
      </c>
      <c r="Q286" s="17" t="inlineStr">
        <is>
          <t>포항시</t>
        </is>
      </c>
      <c r="R286" s="17" t="inlineStr">
        <is>
          <t>GMP공장소재지</t>
        </is>
      </c>
      <c r="S286" s="17" t="n">
        <v>90</v>
      </c>
      <c r="T286" s="17" t="inlineStr">
        <is>
          <t>Y</t>
        </is>
      </c>
      <c r="U286" s="17" t="n">
        <v>1</v>
      </c>
      <c r="V286" s="24" t="n">
        <v>46853</v>
      </c>
      <c r="W286" s="17" t="inlineStr"/>
      <c r="X286" s="17" t="inlineStr"/>
      <c r="Y286" s="17" t="inlineStr">
        <is>
          <t>회사키+주소</t>
        </is>
      </c>
      <c r="Z286" s="17" t="n">
        <v>90</v>
      </c>
      <c r="AA286" s="17" t="inlineStr"/>
    </row>
    <row r="287">
      <c r="A287" s="30" t="inlineStr">
        <is>
          <t>S286</t>
        </is>
      </c>
      <c r="B287" s="17" t="inlineStr">
        <is>
          <t>P254</t>
        </is>
      </c>
      <c r="C287" s="17" t="inlineStr">
        <is>
          <t>경남제약</t>
        </is>
      </c>
      <c r="D287" s="17" t="inlineStr">
        <is>
          <t>경남제약(주)</t>
        </is>
      </c>
      <c r="E287" s="17" t="inlineStr">
        <is>
          <t>경상남도 의령군 의령읍 구룡로4남길 79</t>
        </is>
      </c>
      <c r="F287" s="17" t="inlineStr">
        <is>
          <t>경상남도 의령군 의령읍 구룡로4남길 79</t>
        </is>
      </c>
      <c r="G287" s="17" t="inlineStr">
        <is>
          <t>경상남도 의령군 의령읍 구룡로4남길 79</t>
        </is>
      </c>
      <c r="H287" s="17" t="inlineStr">
        <is>
          <t>의령</t>
        </is>
      </c>
      <c r="I287" s="23" t="inlineStr">
        <is>
          <t>1341</t>
        </is>
      </c>
      <c r="J287" s="17" t="inlineStr">
        <is>
          <t>2</t>
        </is>
      </c>
      <c r="K287" s="17" t="inlineStr">
        <is>
          <t>원료의약품</t>
        </is>
      </c>
      <c r="L287" s="17" t="inlineStr">
        <is>
          <t>비무균-일반제제-추출</t>
        </is>
      </c>
      <c r="M287" s="24" t="n">
        <v>46850</v>
      </c>
      <c r="N287" s="17" t="inlineStr"/>
      <c r="O287" s="17" t="inlineStr"/>
      <c r="P287" s="17" t="inlineStr">
        <is>
          <t>경상남도</t>
        </is>
      </c>
      <c r="Q287" s="17" t="inlineStr">
        <is>
          <t>의령군</t>
        </is>
      </c>
      <c r="R287" s="17" t="inlineStr">
        <is>
          <t>GMP공장소재지</t>
        </is>
      </c>
      <c r="S287" s="17" t="n">
        <v>90</v>
      </c>
      <c r="T287" s="17" t="inlineStr">
        <is>
          <t>Y</t>
        </is>
      </c>
      <c r="U287" s="17" t="n">
        <v>1</v>
      </c>
      <c r="V287" s="24" t="n">
        <v>46850</v>
      </c>
      <c r="W287" s="17" t="inlineStr"/>
      <c r="X287" s="17" t="inlineStr"/>
      <c r="Y287" s="17" t="inlineStr">
        <is>
          <t>회사키+주소</t>
        </is>
      </c>
      <c r="Z287" s="17" t="n">
        <v>90</v>
      </c>
      <c r="AA287" s="17" t="inlineStr"/>
    </row>
    <row r="288">
      <c r="A288" s="30" t="inlineStr">
        <is>
          <t>S287</t>
        </is>
      </c>
      <c r="B288" s="17" t="inlineStr">
        <is>
          <t>P255</t>
        </is>
      </c>
      <c r="C288" s="17" t="inlineStr">
        <is>
          <t>삼일제약</t>
        </is>
      </c>
      <c r="D288" s="17" t="inlineStr">
        <is>
          <t>삼일제약(주)</t>
        </is>
      </c>
      <c r="E288" s="17" t="inlineStr">
        <is>
          <t>경기도 안산시 단원구 산단로 216 (원시동)</t>
        </is>
      </c>
      <c r="F288" s="17" t="inlineStr">
        <is>
          <t>경기도 안산시 단원구 산단로 216 (원시동)</t>
        </is>
      </c>
      <c r="G288" s="17" t="inlineStr">
        <is>
          <t>경기도 안산시 단원구 산단로 216 (원시동)</t>
        </is>
      </c>
      <c r="H288" s="17" t="inlineStr">
        <is>
          <t>안산</t>
        </is>
      </c>
      <c r="I288" s="23" t="inlineStr">
        <is>
          <t>1314</t>
        </is>
      </c>
      <c r="J288" s="17" t="inlineStr">
        <is>
          <t>1</t>
        </is>
      </c>
      <c r="K288" s="17" t="inlineStr">
        <is>
          <t>완제의약품</t>
        </is>
      </c>
      <c r="L288" s="17" t="inlineStr">
        <is>
          <t>비무균-일반제제-내용고형제(정제, 과립제, 시럽제(고형), 츄어블정(저작정)), 무균-일반제제-점안제(점안제), 비무균-일반제제-내용액제(경구용액제, 시럽제(액상), 현탁제), 비무균-일반제제-외용액제(외용액제), 무균-일반제제-연고제(안연고제), 비무균-일반제제-연고제(연고제, 겔제)</t>
        </is>
      </c>
      <c r="M288" s="24" t="n">
        <v>46850</v>
      </c>
      <c r="N288" s="17" t="inlineStr"/>
      <c r="O288" s="17" t="inlineStr"/>
      <c r="P288" s="17" t="inlineStr">
        <is>
          <t>경기도</t>
        </is>
      </c>
      <c r="Q288" s="17" t="inlineStr">
        <is>
          <t>안산시</t>
        </is>
      </c>
      <c r="R288" s="17" t="inlineStr">
        <is>
          <t>GMP공장소재지</t>
        </is>
      </c>
      <c r="S288" s="17" t="n">
        <v>90</v>
      </c>
      <c r="T288" s="17" t="inlineStr">
        <is>
          <t>Y</t>
        </is>
      </c>
      <c r="U288" s="17" t="n">
        <v>1</v>
      </c>
      <c r="V288" s="24" t="n">
        <v>46850</v>
      </c>
      <c r="W288" s="17" t="inlineStr"/>
      <c r="X288" s="17" t="inlineStr"/>
      <c r="Y288" s="17" t="inlineStr">
        <is>
          <t>회사키+주소</t>
        </is>
      </c>
      <c r="Z288" s="17" t="n">
        <v>90</v>
      </c>
      <c r="AA288" s="17" t="inlineStr"/>
    </row>
    <row r="289">
      <c r="A289" s="30" t="inlineStr">
        <is>
          <t>S288</t>
        </is>
      </c>
      <c r="B289" s="17" t="inlineStr">
        <is>
          <t>P256</t>
        </is>
      </c>
      <c r="C289" s="17" t="inlineStr">
        <is>
          <t>대웅바이오</t>
        </is>
      </c>
      <c r="D289" s="17" t="inlineStr">
        <is>
          <t>대웅바이오(주)</t>
        </is>
      </c>
      <c r="E289" s="17" t="inlineStr">
        <is>
          <t>경기도 화성시 만세구 향남읍 제약단지로 29</t>
        </is>
      </c>
      <c r="F289" s="17" t="inlineStr">
        <is>
          <t>경기도 화성시 만세구 향남읍 제약공단4길 57</t>
        </is>
      </c>
      <c r="G289" s="17" t="inlineStr">
        <is>
          <t>경기도 화성시 만세구 향남읍 제약단지로 29</t>
        </is>
      </c>
      <c r="H289" s="17" t="inlineStr">
        <is>
          <t>미확인</t>
        </is>
      </c>
      <c r="I289" s="23" t="inlineStr">
        <is>
          <t>1632</t>
        </is>
      </c>
      <c r="J289" s="17" t="inlineStr">
        <is>
          <t>7</t>
        </is>
      </c>
      <c r="K289" s="17" t="inlineStr">
        <is>
          <t>원료의약품</t>
        </is>
      </c>
      <c r="L289" s="17" t="inlineStr">
        <is>
          <t>비무균-일반제제-합성</t>
        </is>
      </c>
      <c r="M289" s="24" t="n">
        <v>46850</v>
      </c>
      <c r="N289" s="17" t="inlineStr"/>
      <c r="O289" s="17" t="inlineStr"/>
      <c r="P289" s="17" t="inlineStr">
        <is>
          <t>경기도</t>
        </is>
      </c>
      <c r="Q289" s="17" t="inlineStr">
        <is>
          <t>화성시</t>
        </is>
      </c>
      <c r="R289" s="17" t="inlineStr">
        <is>
          <t>GMP공장소재지</t>
        </is>
      </c>
      <c r="S289" s="17" t="n">
        <v>90</v>
      </c>
      <c r="T289" s="17" t="inlineStr">
        <is>
          <t>Y</t>
        </is>
      </c>
      <c r="U289" s="17" t="n">
        <v>1</v>
      </c>
      <c r="V289" s="24" t="n">
        <v>46850</v>
      </c>
      <c r="W289" s="17" t="inlineStr"/>
      <c r="X289" s="17" t="inlineStr"/>
      <c r="Y289" s="17" t="inlineStr">
        <is>
          <t>회사키+주소</t>
        </is>
      </c>
      <c r="Z289" s="17" t="n">
        <v>90</v>
      </c>
      <c r="AA289" s="17" t="inlineStr"/>
    </row>
    <row r="290">
      <c r="A290" s="30" t="inlineStr">
        <is>
          <t>S289</t>
        </is>
      </c>
      <c r="B290" s="17" t="inlineStr">
        <is>
          <t>P257</t>
        </is>
      </c>
      <c r="C290" s="17" t="inlineStr">
        <is>
          <t>유한화학</t>
        </is>
      </c>
      <c r="D290" s="17" t="inlineStr">
        <is>
          <t>주식회사 유한화학</t>
        </is>
      </c>
      <c r="E290" s="17" t="inlineStr">
        <is>
          <t>경기도 화성시 만세구 마도면 청원산단8길 162</t>
        </is>
      </c>
      <c r="F290" s="17" t="inlineStr">
        <is>
          <t>경기도 화성시 만세구 마도면 청원산단8길 162</t>
        </is>
      </c>
      <c r="G290" s="17" t="inlineStr">
        <is>
          <t>경기도 화성시 만세구 마도면 청원산단8길 162</t>
        </is>
      </c>
      <c r="H290" s="17" t="inlineStr">
        <is>
          <t>화성</t>
        </is>
      </c>
      <c r="I290" s="23" t="inlineStr">
        <is>
          <t>1791</t>
        </is>
      </c>
      <c r="J290" s="17" t="inlineStr">
        <is>
          <t>4</t>
        </is>
      </c>
      <c r="K290" s="17" t="inlineStr">
        <is>
          <t>원료의약품</t>
        </is>
      </c>
      <c r="L290" s="17" t="inlineStr">
        <is>
          <t>비무균-일반제제-합성</t>
        </is>
      </c>
      <c r="M290" s="24" t="n">
        <v>46849</v>
      </c>
      <c r="N290" s="17" t="inlineStr"/>
      <c r="O290" s="17" t="inlineStr"/>
      <c r="P290" s="17" t="inlineStr">
        <is>
          <t>경기도</t>
        </is>
      </c>
      <c r="Q290" s="17" t="inlineStr">
        <is>
          <t>화성시</t>
        </is>
      </c>
      <c r="R290" s="17" t="inlineStr">
        <is>
          <t>GMP공장소재지</t>
        </is>
      </c>
      <c r="S290" s="17" t="n">
        <v>90</v>
      </c>
      <c r="T290" s="17" t="inlineStr">
        <is>
          <t>Y</t>
        </is>
      </c>
      <c r="U290" s="17" t="n">
        <v>1</v>
      </c>
      <c r="V290" s="24" t="n">
        <v>46849</v>
      </c>
      <c r="W290" s="17" t="inlineStr"/>
      <c r="X290" s="17" t="inlineStr"/>
      <c r="Y290" s="17" t="inlineStr">
        <is>
          <t>회사키+주소</t>
        </is>
      </c>
      <c r="Z290" s="17" t="n">
        <v>90</v>
      </c>
      <c r="AA290" s="17" t="inlineStr"/>
    </row>
    <row r="291">
      <c r="A291" s="30" t="inlineStr">
        <is>
          <t>S290</t>
        </is>
      </c>
      <c r="B291" s="17" t="inlineStr">
        <is>
          <t>P258</t>
        </is>
      </c>
      <c r="C291" s="17" t="inlineStr">
        <is>
          <t>대창가스공업사</t>
        </is>
      </c>
      <c r="D291" s="17" t="inlineStr">
        <is>
          <t>대창가스공업사</t>
        </is>
      </c>
      <c r="E291" s="17" t="inlineStr">
        <is>
          <t>광주광역시 남구 서문대로473번길 12</t>
        </is>
      </c>
      <c r="F291" s="17" t="inlineStr">
        <is>
          <t>광주광역시 남구 서문대로473번길 12</t>
        </is>
      </c>
      <c r="G291" s="17" t="inlineStr">
        <is>
          <t>광주광역시 남구 서문대로473번길 12</t>
        </is>
      </c>
      <c r="H291" s="17" t="inlineStr">
        <is>
          <t>광주</t>
        </is>
      </c>
      <c r="I291" s="23" t="inlineStr">
        <is>
          <t>1770</t>
        </is>
      </c>
      <c r="J291" s="17" t="inlineStr">
        <is>
          <t>1</t>
        </is>
      </c>
      <c r="K291" s="17" t="inlineStr">
        <is>
          <t>완제의약품</t>
        </is>
      </c>
      <c r="L291" s="17" t="inlineStr">
        <is>
          <t>비무균-일반제제(의료용 고압가스)-가스제(의료용 고압가스)</t>
        </is>
      </c>
      <c r="M291" s="24" t="n">
        <v>46849</v>
      </c>
      <c r="N291" s="17" t="inlineStr"/>
      <c r="O291" s="17" t="inlineStr"/>
      <c r="P291" s="17" t="inlineStr">
        <is>
          <t>광주광역시</t>
        </is>
      </c>
      <c r="Q291" s="17" t="inlineStr">
        <is>
          <t>남구</t>
        </is>
      </c>
      <c r="R291" s="17" t="inlineStr">
        <is>
          <t>GMP공장소재지</t>
        </is>
      </c>
      <c r="S291" s="17" t="n">
        <v>90</v>
      </c>
      <c r="T291" s="17" t="inlineStr">
        <is>
          <t>Y</t>
        </is>
      </c>
      <c r="U291" s="17" t="n">
        <v>1</v>
      </c>
      <c r="V291" s="24" t="n">
        <v>46849</v>
      </c>
      <c r="W291" s="17" t="inlineStr"/>
      <c r="X291" s="17" t="inlineStr"/>
      <c r="Y291" s="17" t="inlineStr">
        <is>
          <t>회사키+주소</t>
        </is>
      </c>
      <c r="Z291" s="17" t="n">
        <v>90</v>
      </c>
      <c r="AA291" s="17" t="inlineStr"/>
    </row>
    <row r="292">
      <c r="A292" s="30" t="inlineStr">
        <is>
          <t>S291</t>
        </is>
      </c>
      <c r="B292" s="17" t="inlineStr">
        <is>
          <t>P259</t>
        </is>
      </c>
      <c r="C292" s="17" t="inlineStr">
        <is>
          <t>한성산업</t>
        </is>
      </c>
      <c r="D292" s="17" t="inlineStr">
        <is>
          <t>한성산업(주)</t>
        </is>
      </c>
      <c r="E292" s="17" t="inlineStr">
        <is>
          <t>경상북도 경주시 광중길 18</t>
        </is>
      </c>
      <c r="F292" s="17" t="inlineStr">
        <is>
          <t>경상북도 경주시 광중길 18</t>
        </is>
      </c>
      <c r="G292" s="17" t="inlineStr">
        <is>
          <t>경상북도 경주시 광중길 18</t>
        </is>
      </c>
      <c r="H292" s="17" t="inlineStr">
        <is>
          <t>경주</t>
        </is>
      </c>
      <c r="I292" s="23" t="inlineStr">
        <is>
          <t>2179</t>
        </is>
      </c>
      <c r="J292" s="17" t="inlineStr">
        <is>
          <t>1</t>
        </is>
      </c>
      <c r="K292" s="17" t="inlineStr">
        <is>
          <t>완제의약품</t>
        </is>
      </c>
      <c r="L292" s="17" t="inlineStr">
        <is>
          <t>비무균-일반제제(의료용 고압가스)-가스제(의료용 고압가스)</t>
        </is>
      </c>
      <c r="M292" s="24" t="n">
        <v>46849</v>
      </c>
      <c r="N292" s="17" t="inlineStr"/>
      <c r="O292" s="17" t="inlineStr"/>
      <c r="P292" s="17" t="inlineStr">
        <is>
          <t>경상북도</t>
        </is>
      </c>
      <c r="Q292" s="17" t="inlineStr">
        <is>
          <t>경주시</t>
        </is>
      </c>
      <c r="R292" s="17" t="inlineStr">
        <is>
          <t>GMP공장소재지</t>
        </is>
      </c>
      <c r="S292" s="17" t="n">
        <v>90</v>
      </c>
      <c r="T292" s="17" t="inlineStr">
        <is>
          <t>Y</t>
        </is>
      </c>
      <c r="U292" s="17" t="n">
        <v>1</v>
      </c>
      <c r="V292" s="24" t="n">
        <v>46849</v>
      </c>
      <c r="W292" s="17" t="inlineStr"/>
      <c r="X292" s="17" t="inlineStr"/>
      <c r="Y292" s="17" t="inlineStr">
        <is>
          <t>회사키+주소</t>
        </is>
      </c>
      <c r="Z292" s="17" t="n">
        <v>90</v>
      </c>
      <c r="AA292" s="17" t="inlineStr"/>
    </row>
    <row r="293">
      <c r="A293" s="30" t="inlineStr">
        <is>
          <t>S292</t>
        </is>
      </c>
      <c r="B293" s="17" t="inlineStr">
        <is>
          <t>P260</t>
        </is>
      </c>
      <c r="C293" s="17" t="inlineStr">
        <is>
          <t>피케이씨</t>
        </is>
      </c>
      <c r="D293" s="17" t="inlineStr">
        <is>
          <t>피케이씨 주식회사</t>
        </is>
      </c>
      <c r="E293" s="17" t="inlineStr">
        <is>
          <t>충청북도 음성군 생극면 생극산단1길 17 바동, 사동, 아동, 자동</t>
        </is>
      </c>
      <c r="F293" s="17" t="inlineStr">
        <is>
          <t>충청북도 음성군 생극면 생극산단1길 17 바동, 사동, 아동, 자동</t>
        </is>
      </c>
      <c r="G293" s="17" t="inlineStr">
        <is>
          <t>충청북도 음성군 생극면 생극산단1길 17 바동, 사동, 아동, 자동</t>
        </is>
      </c>
      <c r="H293" s="17" t="inlineStr">
        <is>
          <t>음성공장</t>
        </is>
      </c>
      <c r="I293" s="23" t="inlineStr">
        <is>
          <t>1855</t>
        </is>
      </c>
      <c r="J293" s="17" t="inlineStr">
        <is>
          <t>2</t>
        </is>
      </c>
      <c r="K293" s="17" t="inlineStr">
        <is>
          <t>완제의약품</t>
        </is>
      </c>
      <c r="L293" s="17" t="inlineStr">
        <is>
          <t>비무균-일반제제(의료용 고압가스)-가스제(의료용 고압가스)</t>
        </is>
      </c>
      <c r="M293" s="24" t="n">
        <v>46848</v>
      </c>
      <c r="N293" s="17" t="inlineStr"/>
      <c r="O293" s="17" t="inlineStr"/>
      <c r="P293" s="17" t="inlineStr">
        <is>
          <t>충청북도</t>
        </is>
      </c>
      <c r="Q293" s="17" t="inlineStr">
        <is>
          <t>음성군</t>
        </is>
      </c>
      <c r="R293" s="17" t="inlineStr">
        <is>
          <t>GMP공장소재지</t>
        </is>
      </c>
      <c r="S293" s="17" t="n">
        <v>90</v>
      </c>
      <c r="T293" s="17" t="inlineStr">
        <is>
          <t>Y</t>
        </is>
      </c>
      <c r="U293" s="17" t="n">
        <v>1</v>
      </c>
      <c r="V293" s="24" t="n">
        <v>46848</v>
      </c>
      <c r="W293" s="17" t="inlineStr"/>
      <c r="X293" s="17" t="inlineStr"/>
      <c r="Y293" s="17" t="inlineStr">
        <is>
          <t>회사키+주소</t>
        </is>
      </c>
      <c r="Z293" s="17" t="n">
        <v>90</v>
      </c>
      <c r="AA293" s="17" t="inlineStr"/>
    </row>
    <row r="294">
      <c r="A294" s="30" t="inlineStr">
        <is>
          <t>S293</t>
        </is>
      </c>
      <c r="B294" s="17" t="inlineStr">
        <is>
          <t>P261</t>
        </is>
      </c>
      <c r="C294" s="17" t="inlineStr">
        <is>
          <t>듀켐바이오</t>
        </is>
      </c>
      <c r="D294" s="17" t="inlineStr">
        <is>
          <t>(주)듀켐바이오</t>
        </is>
      </c>
      <c r="E294" s="17" t="inlineStr">
        <is>
          <t>대구광역시 북구 호국로 807</t>
        </is>
      </c>
      <c r="F294" s="17" t="inlineStr">
        <is>
          <t>대구광역시 북구 호국로 807</t>
        </is>
      </c>
      <c r="G294" s="17" t="inlineStr">
        <is>
          <t>대구광역시 북구 호국로 807</t>
        </is>
      </c>
      <c r="H294" s="17" t="inlineStr">
        <is>
          <t>5공장(대구)</t>
        </is>
      </c>
      <c r="I294" s="23" t="inlineStr">
        <is>
          <t>2437</t>
        </is>
      </c>
      <c r="J294" s="17" t="inlineStr">
        <is>
          <t>5</t>
        </is>
      </c>
      <c r="K294" s="17" t="inlineStr">
        <is>
          <t>완제의약품</t>
        </is>
      </c>
      <c r="L294" s="17" t="inlineStr">
        <is>
          <t>무균-일반제제(방사성의약품)-주사제(주사제)</t>
        </is>
      </c>
      <c r="M294" s="24" t="n">
        <v>46848</v>
      </c>
      <c r="N294" s="17" t="inlineStr">
        <is>
          <t>Y</t>
        </is>
      </c>
      <c r="O294" s="17" t="inlineStr"/>
      <c r="P294" s="17" t="inlineStr">
        <is>
          <t>대구광역시</t>
        </is>
      </c>
      <c r="Q294" s="17" t="inlineStr">
        <is>
          <t>북구</t>
        </is>
      </c>
      <c r="R294" s="17" t="inlineStr">
        <is>
          <t>GMP공장소재지</t>
        </is>
      </c>
      <c r="S294" s="17" t="n">
        <v>90</v>
      </c>
      <c r="T294" s="17" t="inlineStr">
        <is>
          <t>Y</t>
        </is>
      </c>
      <c r="U294" s="17" t="n">
        <v>1</v>
      </c>
      <c r="V294" s="24" t="n">
        <v>46848</v>
      </c>
      <c r="W294" s="17" t="inlineStr"/>
      <c r="X294" s="17" t="inlineStr"/>
      <c r="Y294" s="17" t="inlineStr">
        <is>
          <t>회사키+주소</t>
        </is>
      </c>
      <c r="Z294" s="17" t="n">
        <v>90</v>
      </c>
      <c r="AA294" s="17" t="inlineStr"/>
    </row>
    <row r="295">
      <c r="A295" s="30" t="inlineStr">
        <is>
          <t>S294</t>
        </is>
      </c>
      <c r="B295" s="17" t="inlineStr">
        <is>
          <t>P262</t>
        </is>
      </c>
      <c r="C295" s="17" t="inlineStr">
        <is>
          <t>한국프라임제약</t>
        </is>
      </c>
      <c r="D295" s="17" t="inlineStr">
        <is>
          <t>한국프라임제약(주)</t>
        </is>
      </c>
      <c r="E295" s="17" t="inlineStr">
        <is>
          <t>전북특별자치도 완주군 봉동읍 완주산단6로 209</t>
        </is>
      </c>
      <c r="F295" s="17" t="inlineStr"/>
      <c r="G295" s="17" t="inlineStr">
        <is>
          <t>전북특별자치도 완주군 봉동읍 완주산단6로 209</t>
        </is>
      </c>
      <c r="H295" s="17" t="inlineStr">
        <is>
          <t>미확인</t>
        </is>
      </c>
      <c r="I295" s="23" t="inlineStr">
        <is>
          <t>1881</t>
        </is>
      </c>
      <c r="J295" s="17" t="inlineStr"/>
      <c r="K295" s="17" t="inlineStr">
        <is>
          <t>원료의약품</t>
        </is>
      </c>
      <c r="L295" s="17" t="inlineStr">
        <is>
          <t>비무균-일반제제-정제(합성에 한함)</t>
        </is>
      </c>
      <c r="M295" s="24" t="n">
        <v>46847</v>
      </c>
      <c r="N295" s="17" t="inlineStr"/>
      <c r="O295" s="17" t="inlineStr"/>
      <c r="P295" s="17" t="inlineStr">
        <is>
          <t>전북특별자치도</t>
        </is>
      </c>
      <c r="Q295" s="17" t="inlineStr">
        <is>
          <t>완주군</t>
        </is>
      </c>
      <c r="R295" s="17" t="inlineStr">
        <is>
          <t>GMP공장소재지</t>
        </is>
      </c>
      <c r="S295" s="17" t="n">
        <v>0</v>
      </c>
      <c r="T295" s="17" t="inlineStr">
        <is>
          <t>Y</t>
        </is>
      </c>
      <c r="U295" s="17" t="n">
        <v>1</v>
      </c>
      <c r="V295" s="24" t="n">
        <v>46847</v>
      </c>
      <c r="W295" s="17" t="inlineStr"/>
      <c r="X295" s="17" t="inlineStr"/>
      <c r="Y295" s="17" t="inlineStr">
        <is>
          <t>무매칭</t>
        </is>
      </c>
      <c r="Z295" s="17" t="n">
        <v>0</v>
      </c>
      <c r="AA295" s="17" t="inlineStr">
        <is>
          <t>Y</t>
        </is>
      </c>
    </row>
    <row r="296">
      <c r="A296" s="30" t="inlineStr">
        <is>
          <t>S295</t>
        </is>
      </c>
      <c r="B296" s="17" t="inlineStr">
        <is>
          <t>P263</t>
        </is>
      </c>
      <c r="C296" s="17" t="inlineStr">
        <is>
          <t>삼진제약</t>
        </is>
      </c>
      <c r="D296" s="17" t="inlineStr">
        <is>
          <t>삼진제약(주)</t>
        </is>
      </c>
      <c r="E296" s="17" t="inlineStr">
        <is>
          <t>충청북도 청주시 흥덕구 오송읍 오송생명6로 156</t>
        </is>
      </c>
      <c r="F296" s="17" t="inlineStr">
        <is>
          <t>충청북도 청주시 흥덕구 오송읍 오송생명6로 156</t>
        </is>
      </c>
      <c r="G296" s="17" t="inlineStr">
        <is>
          <t>충청북도 청주시 흥덕구 오송읍 오송생명6로 156</t>
        </is>
      </c>
      <c r="H296" s="17" t="inlineStr">
        <is>
          <t>오송</t>
        </is>
      </c>
      <c r="I296" s="23" t="inlineStr">
        <is>
          <t>1324</t>
        </is>
      </c>
      <c r="J296" s="17" t="inlineStr">
        <is>
          <t>2</t>
        </is>
      </c>
      <c r="K296" s="17" t="inlineStr">
        <is>
          <t>원료의약품</t>
        </is>
      </c>
      <c r="L296" s="17" t="inlineStr">
        <is>
          <t>비무균-일반제제-합성</t>
        </is>
      </c>
      <c r="M296" s="24" t="n">
        <v>46843</v>
      </c>
      <c r="N296" s="17" t="inlineStr"/>
      <c r="O296" s="17" t="inlineStr"/>
      <c r="P296" s="17" t="inlineStr">
        <is>
          <t>충청북도</t>
        </is>
      </c>
      <c r="Q296" s="17" t="inlineStr">
        <is>
          <t>청주시</t>
        </is>
      </c>
      <c r="R296" s="17" t="inlineStr">
        <is>
          <t>GMP공장소재지</t>
        </is>
      </c>
      <c r="S296" s="17" t="n">
        <v>90</v>
      </c>
      <c r="T296" s="17" t="inlineStr">
        <is>
          <t>Y</t>
        </is>
      </c>
      <c r="U296" s="17" t="n">
        <v>2</v>
      </c>
      <c r="V296" s="24" t="n">
        <v>46540</v>
      </c>
      <c r="W296" s="17" t="inlineStr"/>
      <c r="X296" s="17" t="inlineStr">
        <is>
          <t>Y</t>
        </is>
      </c>
      <c r="Y296" s="17" t="inlineStr">
        <is>
          <t>회사키+주소</t>
        </is>
      </c>
      <c r="Z296" s="17" t="n">
        <v>90</v>
      </c>
      <c r="AA296" s="17" t="inlineStr"/>
    </row>
    <row r="297">
      <c r="A297" s="30" t="inlineStr">
        <is>
          <t>S296</t>
        </is>
      </c>
      <c r="B297" s="17" t="inlineStr">
        <is>
          <t>P264</t>
        </is>
      </c>
      <c r="C297" s="17" t="inlineStr">
        <is>
          <t>에이치엘비펩</t>
        </is>
      </c>
      <c r="D297" s="17" t="inlineStr">
        <is>
          <t>에이치엘비펩(주)</t>
        </is>
      </c>
      <c r="E297" s="17" t="inlineStr">
        <is>
          <t>충청북도 청주시 흥덕구 오송읍 정중연제로 773</t>
        </is>
      </c>
      <c r="F297" s="17" t="inlineStr">
        <is>
          <t>충청북도 청주시 흥덕구 오송읍 정중연제로 773</t>
        </is>
      </c>
      <c r="G297" s="17" t="inlineStr">
        <is>
          <t>충청북도 청주시 흥덕구 오송읍 정중연제로 773</t>
        </is>
      </c>
      <c r="H297" s="17" t="inlineStr">
        <is>
          <t>에이치엘비펩(주)-오송</t>
        </is>
      </c>
      <c r="I297" s="23" t="inlineStr">
        <is>
          <t>301</t>
        </is>
      </c>
      <c r="J297" s="17" t="inlineStr">
        <is>
          <t>2</t>
        </is>
      </c>
      <c r="K297" s="17" t="inlineStr">
        <is>
          <t>원료의약품</t>
        </is>
      </c>
      <c r="L297" s="17" t="inlineStr">
        <is>
          <t>비무균-일반제제-합성</t>
        </is>
      </c>
      <c r="M297" s="24" t="n">
        <v>46842</v>
      </c>
      <c r="N297" s="17" t="inlineStr"/>
      <c r="O297" s="17" t="inlineStr"/>
      <c r="P297" s="17" t="inlineStr">
        <is>
          <t>충청북도</t>
        </is>
      </c>
      <c r="Q297" s="17" t="inlineStr">
        <is>
          <t>청주시</t>
        </is>
      </c>
      <c r="R297" s="17" t="inlineStr">
        <is>
          <t>GMP공장소재지</t>
        </is>
      </c>
      <c r="S297" s="17" t="n">
        <v>90</v>
      </c>
      <c r="T297" s="17" t="inlineStr">
        <is>
          <t>Y</t>
        </is>
      </c>
      <c r="U297" s="17" t="n">
        <v>1</v>
      </c>
      <c r="V297" s="24" t="n">
        <v>46842</v>
      </c>
      <c r="W297" s="17" t="inlineStr"/>
      <c r="X297" s="17" t="inlineStr"/>
      <c r="Y297" s="17" t="inlineStr">
        <is>
          <t>회사키+주소</t>
        </is>
      </c>
      <c r="Z297" s="17" t="n">
        <v>90</v>
      </c>
      <c r="AA297" s="17" t="inlineStr"/>
    </row>
    <row r="298">
      <c r="A298" s="30" t="inlineStr">
        <is>
          <t>S297</t>
        </is>
      </c>
      <c r="B298" s="17" t="inlineStr">
        <is>
          <t>P265</t>
        </is>
      </c>
      <c r="C298" s="17" t="inlineStr">
        <is>
          <t>하나제약</t>
        </is>
      </c>
      <c r="D298" s="17" t="inlineStr">
        <is>
          <t>하나제약(주)</t>
        </is>
      </c>
      <c r="E298" s="17" t="inlineStr">
        <is>
          <t>경기도 화성시 만세구 향남읍 제약공단3길 133</t>
        </is>
      </c>
      <c r="F298" s="17" t="inlineStr">
        <is>
          <t>경기도 화성시 만세구 향남읍 제약단지로 13-39</t>
        </is>
      </c>
      <c r="G298" s="17" t="inlineStr">
        <is>
          <t>경기도 화성시 만세구 향남읍 제약공단3길 133</t>
        </is>
      </c>
      <c r="H298" s="17" t="inlineStr">
        <is>
          <t>화성하길공장</t>
        </is>
      </c>
      <c r="I298" s="23" t="inlineStr">
        <is>
          <t>1371</t>
        </is>
      </c>
      <c r="J298" s="17" t="inlineStr">
        <is>
          <t>2</t>
        </is>
      </c>
      <c r="K298" s="17" t="inlineStr">
        <is>
          <t>완제의약품</t>
        </is>
      </c>
      <c r="L298" s="17" t="inlineStr">
        <is>
          <t>비무균-일반제제-내용액제(흡입액제)</t>
        </is>
      </c>
      <c r="M298" s="24" t="n">
        <v>46842</v>
      </c>
      <c r="N298" s="17" t="inlineStr"/>
      <c r="O298" s="17" t="inlineStr"/>
      <c r="P298" s="17" t="inlineStr">
        <is>
          <t>경기도</t>
        </is>
      </c>
      <c r="Q298" s="17" t="inlineStr">
        <is>
          <t>화성시</t>
        </is>
      </c>
      <c r="R298" s="17" t="inlineStr">
        <is>
          <t>GMP공장소재지</t>
        </is>
      </c>
      <c r="S298" s="17" t="n">
        <v>90</v>
      </c>
      <c r="T298" s="17" t="inlineStr">
        <is>
          <t>Y</t>
        </is>
      </c>
      <c r="U298" s="17" t="n">
        <v>2</v>
      </c>
      <c r="V298" s="24" t="n">
        <v>46842</v>
      </c>
      <c r="W298" s="17" t="inlineStr"/>
      <c r="X298" s="17" t="inlineStr"/>
      <c r="Y298" s="17" t="inlineStr">
        <is>
          <t>회사키+주소</t>
        </is>
      </c>
      <c r="Z298" s="17" t="n">
        <v>90</v>
      </c>
      <c r="AA298" s="17" t="inlineStr"/>
    </row>
    <row r="299">
      <c r="A299" s="30" t="inlineStr">
        <is>
          <t>S298</t>
        </is>
      </c>
      <c r="B299" s="17" t="inlineStr">
        <is>
          <t>P266</t>
        </is>
      </c>
      <c r="C299" s="17" t="inlineStr">
        <is>
          <t>삼익제약</t>
        </is>
      </c>
      <c r="D299" s="17" t="inlineStr">
        <is>
          <t>삼익제약(주)</t>
        </is>
      </c>
      <c r="E299" s="17" t="inlineStr">
        <is>
          <t>인천광역시 부평구 청안로 13</t>
        </is>
      </c>
      <c r="F299" s="17" t="inlineStr">
        <is>
          <t>인천광역시 부평구 청안로 13</t>
        </is>
      </c>
      <c r="G299" s="17" t="inlineStr">
        <is>
          <t>인천광역시 부평구 청안로 13</t>
        </is>
      </c>
      <c r="H299" s="17" t="inlineStr">
        <is>
          <t>인천</t>
        </is>
      </c>
      <c r="I299" s="23" t="inlineStr">
        <is>
          <t>1493</t>
        </is>
      </c>
      <c r="J299" s="17" t="inlineStr">
        <is>
          <t>1</t>
        </is>
      </c>
      <c r="K299" s="17" t="inlineStr">
        <is>
          <t>완제의약품</t>
        </is>
      </c>
      <c r="L299" s="17" t="inlineStr">
        <is>
          <t>비무균-일반제제-내용고형제(정제, 캡슐제, 과립제), 비무균-일반제제-내용액제(시럽제(액상), 엑스제(액상))</t>
        </is>
      </c>
      <c r="M299" s="24" t="n">
        <v>46842</v>
      </c>
      <c r="N299" s="17" t="inlineStr"/>
      <c r="O299" s="17" t="inlineStr"/>
      <c r="P299" s="17" t="inlineStr">
        <is>
          <t>인천광역시</t>
        </is>
      </c>
      <c r="Q299" s="17" t="inlineStr">
        <is>
          <t>부평구</t>
        </is>
      </c>
      <c r="R299" s="17" t="inlineStr">
        <is>
          <t>GMP공장소재지</t>
        </is>
      </c>
      <c r="S299" s="17" t="n">
        <v>90</v>
      </c>
      <c r="T299" s="17" t="inlineStr">
        <is>
          <t>Y</t>
        </is>
      </c>
      <c r="U299" s="17" t="n">
        <v>1</v>
      </c>
      <c r="V299" s="24" t="n">
        <v>46842</v>
      </c>
      <c r="W299" s="17" t="inlineStr"/>
      <c r="X299" s="17" t="inlineStr"/>
      <c r="Y299" s="17" t="inlineStr">
        <is>
          <t>회사키+주소</t>
        </is>
      </c>
      <c r="Z299" s="17" t="n">
        <v>90</v>
      </c>
      <c r="AA299" s="17" t="inlineStr"/>
    </row>
    <row r="300">
      <c r="A300" s="30" t="inlineStr">
        <is>
          <t>S299</t>
        </is>
      </c>
      <c r="B300" s="17" t="inlineStr">
        <is>
          <t>P265</t>
        </is>
      </c>
      <c r="C300" s="17" t="inlineStr">
        <is>
          <t>하나제약</t>
        </is>
      </c>
      <c r="D300" s="17" t="inlineStr">
        <is>
          <t>하나제약(주)</t>
        </is>
      </c>
      <c r="E300" s="17" t="inlineStr">
        <is>
          <t>경기도 화성시 만세구 향남읍 제약공단3길 133</t>
        </is>
      </c>
      <c r="F300" s="17" t="inlineStr">
        <is>
          <t>경기도 화성시 만세구 향남읍 제약단지로 13-39</t>
        </is>
      </c>
      <c r="G300" s="17" t="inlineStr">
        <is>
          <t>경기도 화성시 만세구 향남읍 제약공단3길 133</t>
        </is>
      </c>
      <c r="H300" s="17" t="inlineStr">
        <is>
          <t>화성하길공장</t>
        </is>
      </c>
      <c r="I300" s="23" t="inlineStr">
        <is>
          <t>1371</t>
        </is>
      </c>
      <c r="J300" s="17" t="inlineStr">
        <is>
          <t>2</t>
        </is>
      </c>
      <c r="K300" s="17" t="inlineStr">
        <is>
          <t>원료의약품</t>
        </is>
      </c>
      <c r="L300" s="17" t="inlineStr">
        <is>
          <t>비무균-일반제제-합성</t>
        </is>
      </c>
      <c r="M300" s="24" t="n">
        <v>46842</v>
      </c>
      <c r="N300" s="17" t="inlineStr"/>
      <c r="O300" s="17" t="inlineStr"/>
      <c r="P300" s="17" t="inlineStr">
        <is>
          <t>경기도</t>
        </is>
      </c>
      <c r="Q300" s="17" t="inlineStr">
        <is>
          <t>화성시</t>
        </is>
      </c>
      <c r="R300" s="17" t="inlineStr">
        <is>
          <t>GMP공장소재지</t>
        </is>
      </c>
      <c r="S300" s="17" t="n">
        <v>90</v>
      </c>
      <c r="T300" s="17" t="inlineStr">
        <is>
          <t>N</t>
        </is>
      </c>
      <c r="U300" s="17" t="n">
        <v>2</v>
      </c>
      <c r="V300" s="24" t="n">
        <v>46842</v>
      </c>
      <c r="W300" s="17" t="inlineStr"/>
      <c r="X300" s="17" t="inlineStr"/>
      <c r="Y300" s="17" t="inlineStr">
        <is>
          <t>회사키+주소</t>
        </is>
      </c>
      <c r="Z300" s="17" t="n">
        <v>90</v>
      </c>
      <c r="AA300" s="17" t="inlineStr"/>
    </row>
    <row r="301">
      <c r="A301" s="30" t="inlineStr">
        <is>
          <t>S300</t>
        </is>
      </c>
      <c r="B301" s="17" t="inlineStr">
        <is>
          <t>P267</t>
        </is>
      </c>
      <c r="C301" s="17" t="inlineStr">
        <is>
          <t>삼아제약</t>
        </is>
      </c>
      <c r="D301" s="17" t="inlineStr">
        <is>
          <t>삼아제약(주)</t>
        </is>
      </c>
      <c r="E301" s="17" t="inlineStr">
        <is>
          <t>강원특별자치도 원주시 문막읍 동화공단로 49</t>
        </is>
      </c>
      <c r="F301" s="17" t="inlineStr">
        <is>
          <t>강원특별자치도 원주시 문막읍 동화공단로 49</t>
        </is>
      </c>
      <c r="G301" s="17" t="inlineStr">
        <is>
          <t>강원특별자치도 원주시 문막읍 동화공단로 49</t>
        </is>
      </c>
      <c r="H301" s="17" t="inlineStr">
        <is>
          <t>문막</t>
        </is>
      </c>
      <c r="I301" s="23" t="inlineStr">
        <is>
          <t>1393</t>
        </is>
      </c>
      <c r="J301" s="17" t="inlineStr">
        <is>
          <t>2</t>
        </is>
      </c>
      <c r="K301" s="17" t="inlineStr">
        <is>
          <t>완제의약품</t>
        </is>
      </c>
      <c r="L301" s="17" t="inlineStr">
        <is>
          <t>비무균-일반제제-내용고형제(정제, 시럽제(고형)), 비무균-일반제제-내용액제(경구용액제, 시럽제(액상), 현탁제)</t>
        </is>
      </c>
      <c r="M301" s="24" t="n">
        <v>46836</v>
      </c>
      <c r="N301" s="17" t="inlineStr"/>
      <c r="O301" s="17" t="inlineStr"/>
      <c r="P301" s="17" t="inlineStr">
        <is>
          <t>강원특별자치도</t>
        </is>
      </c>
      <c r="Q301" s="17" t="inlineStr">
        <is>
          <t>원주시</t>
        </is>
      </c>
      <c r="R301" s="17" t="inlineStr">
        <is>
          <t>GMP공장소재지</t>
        </is>
      </c>
      <c r="S301" s="17" t="n">
        <v>90</v>
      </c>
      <c r="T301" s="17" t="inlineStr">
        <is>
          <t>Y</t>
        </is>
      </c>
      <c r="U301" s="17" t="n">
        <v>1</v>
      </c>
      <c r="V301" s="24" t="n">
        <v>46836</v>
      </c>
      <c r="W301" s="17" t="inlineStr"/>
      <c r="X301" s="17" t="inlineStr"/>
      <c r="Y301" s="17" t="inlineStr">
        <is>
          <t>회사키+주소</t>
        </is>
      </c>
      <c r="Z301" s="17" t="n">
        <v>90</v>
      </c>
      <c r="AA301" s="17" t="inlineStr"/>
    </row>
    <row r="302">
      <c r="A302" s="30" t="inlineStr">
        <is>
          <t>S301</t>
        </is>
      </c>
      <c r="B302" s="17" t="inlineStr">
        <is>
          <t>P268</t>
        </is>
      </c>
      <c r="C302" s="17" t="inlineStr">
        <is>
          <t>동아제약</t>
        </is>
      </c>
      <c r="D302" s="17" t="inlineStr">
        <is>
          <t>동아제약(주)</t>
        </is>
      </c>
      <c r="E302" s="17" t="inlineStr">
        <is>
          <t>경기도 이천시 경충대로2946번길 61</t>
        </is>
      </c>
      <c r="F302" s="17" t="inlineStr">
        <is>
          <t>경기도 이천시 경충대로2946번길 61</t>
        </is>
      </c>
      <c r="G302" s="17" t="inlineStr">
        <is>
          <t>경기도 이천시 경충대로2946번길 61</t>
        </is>
      </c>
      <c r="H302" s="17" t="inlineStr">
        <is>
          <t>이천</t>
        </is>
      </c>
      <c r="I302" s="23" t="inlineStr">
        <is>
          <t>2606</t>
        </is>
      </c>
      <c r="J302" s="17" t="inlineStr">
        <is>
          <t>4</t>
        </is>
      </c>
      <c r="K302" s="17" t="inlineStr">
        <is>
          <t>완제의약품</t>
        </is>
      </c>
      <c r="L302" s="17" t="inlineStr">
        <is>
          <t>비무균-일반제제-내용액제(시럽제(액상)), 비무균-일반제제-연고제(겔제)</t>
        </is>
      </c>
      <c r="M302" s="24" t="n">
        <v>46836</v>
      </c>
      <c r="N302" s="17" t="inlineStr"/>
      <c r="O302" s="17" t="inlineStr"/>
      <c r="P302" s="17" t="inlineStr">
        <is>
          <t>경기도</t>
        </is>
      </c>
      <c r="Q302" s="17" t="inlineStr">
        <is>
          <t>이천시</t>
        </is>
      </c>
      <c r="R302" s="17" t="inlineStr">
        <is>
          <t>GMP공장소재지</t>
        </is>
      </c>
      <c r="S302" s="17" t="n">
        <v>90</v>
      </c>
      <c r="T302" s="17" t="inlineStr">
        <is>
          <t>Y</t>
        </is>
      </c>
      <c r="U302" s="17" t="n">
        <v>1</v>
      </c>
      <c r="V302" s="24" t="n">
        <v>46836</v>
      </c>
      <c r="W302" s="17" t="inlineStr"/>
      <c r="X302" s="17" t="inlineStr"/>
      <c r="Y302" s="17" t="inlineStr">
        <is>
          <t>회사키+주소</t>
        </is>
      </c>
      <c r="Z302" s="17" t="n">
        <v>90</v>
      </c>
      <c r="AA302" s="17" t="inlineStr"/>
    </row>
    <row r="303">
      <c r="A303" s="30" t="inlineStr">
        <is>
          <t>S302</t>
        </is>
      </c>
      <c r="B303" s="17" t="inlineStr">
        <is>
          <t>P269</t>
        </is>
      </c>
      <c r="C303" s="17" t="inlineStr">
        <is>
          <t>아리제약</t>
        </is>
      </c>
      <c r="D303" s="17" t="inlineStr">
        <is>
          <t>(주)아리제약</t>
        </is>
      </c>
      <c r="E303" s="17" t="inlineStr">
        <is>
          <t>충청북도 청주시 청원구 오창읍 양청3길 3 충북테크노파크 생명기업관 B02호, B15호, B17-1호, B17-2호, 103호, 203호, 204호, 205호, 206호, 215호, 216호, 217호, 313호,314호, 315호</t>
        </is>
      </c>
      <c r="F303" s="17" t="inlineStr">
        <is>
          <t>충청북도 청주시 청원구 오창읍 양청3길 3 충북테크노파크 생명기업관 B02호, B15호, B17-1호, B17-2호, 103호, 203호, 204호, 205호, 206호, 215호, 216호, 217호, 313호,314호, 315호</t>
        </is>
      </c>
      <c r="G303" s="17" t="inlineStr">
        <is>
          <t>충청북도 청주시 청원구 오창읍 양청3길 3 충북테크노파크 생명기업관 B02호, B15호, B17-1호, B17-2호, 103호, 203호, 204호, 205호, 206호, 215호, 216호, 217호, 313호,314호, 315호</t>
        </is>
      </c>
      <c r="H303" s="17" t="inlineStr">
        <is>
          <t>제1공장</t>
        </is>
      </c>
      <c r="I303" s="23" t="inlineStr">
        <is>
          <t>2642</t>
        </is>
      </c>
      <c r="J303" s="17" t="inlineStr">
        <is>
          <t>1</t>
        </is>
      </c>
      <c r="K303" s="17" t="inlineStr">
        <is>
          <t>완제의약품</t>
        </is>
      </c>
      <c r="L303" s="17" t="inlineStr">
        <is>
          <t>비무균-일반제제-내용고형제(정제, 캡슐제)</t>
        </is>
      </c>
      <c r="M303" s="24" t="n">
        <v>46836</v>
      </c>
      <c r="N303" s="17" t="inlineStr"/>
      <c r="O303" s="17" t="inlineStr"/>
      <c r="P303" s="17" t="inlineStr">
        <is>
          <t>충청북도</t>
        </is>
      </c>
      <c r="Q303" s="17" t="inlineStr">
        <is>
          <t>청주시</t>
        </is>
      </c>
      <c r="R303" s="17" t="inlineStr">
        <is>
          <t>GMP공장소재지</t>
        </is>
      </c>
      <c r="S303" s="17" t="n">
        <v>90</v>
      </c>
      <c r="T303" s="17" t="inlineStr">
        <is>
          <t>Y</t>
        </is>
      </c>
      <c r="U303" s="17" t="n">
        <v>1</v>
      </c>
      <c r="V303" s="24" t="n">
        <v>46836</v>
      </c>
      <c r="W303" s="17" t="inlineStr"/>
      <c r="X303" s="17" t="inlineStr"/>
      <c r="Y303" s="17" t="inlineStr">
        <is>
          <t>회사키+주소</t>
        </is>
      </c>
      <c r="Z303" s="17" t="n">
        <v>90</v>
      </c>
      <c r="AA303" s="17" t="inlineStr"/>
    </row>
    <row r="304">
      <c r="A304" s="30" t="inlineStr">
        <is>
          <t>S303</t>
        </is>
      </c>
      <c r="B304" s="17" t="inlineStr">
        <is>
          <t>P270</t>
        </is>
      </c>
      <c r="C304" s="17" t="inlineStr">
        <is>
          <t>한국파비스제약</t>
        </is>
      </c>
      <c r="D304" s="17" t="inlineStr">
        <is>
          <t>(주)한국파비스제약</t>
        </is>
      </c>
      <c r="E304" s="17" t="inlineStr">
        <is>
          <t>경기도 안산시 단원구 산단로83번길 127</t>
        </is>
      </c>
      <c r="F304" s="17" t="inlineStr">
        <is>
          <t>경기도 안산시 단원구 산단로83번길 127</t>
        </is>
      </c>
      <c r="G304" s="17" t="inlineStr">
        <is>
          <t>경기도 안산시 단원구 산단로83번길 127</t>
        </is>
      </c>
      <c r="H304" s="17" t="inlineStr">
        <is>
          <t>안산</t>
        </is>
      </c>
      <c r="I304" s="23" t="inlineStr">
        <is>
          <t>1388</t>
        </is>
      </c>
      <c r="J304" s="17" t="inlineStr">
        <is>
          <t>1</t>
        </is>
      </c>
      <c r="K304" s="17" t="inlineStr">
        <is>
          <t>완제의약품</t>
        </is>
      </c>
      <c r="L304" s="17" t="inlineStr">
        <is>
          <t>비무균-일반제제-내용고형제(정제, 캡슐제, 산제)</t>
        </is>
      </c>
      <c r="M304" s="24" t="n">
        <v>46836</v>
      </c>
      <c r="N304" s="17" t="inlineStr"/>
      <c r="O304" s="17" t="inlineStr"/>
      <c r="P304" s="17" t="inlineStr">
        <is>
          <t>경기도</t>
        </is>
      </c>
      <c r="Q304" s="17" t="inlineStr">
        <is>
          <t>안산시</t>
        </is>
      </c>
      <c r="R304" s="17" t="inlineStr">
        <is>
          <t>GMP공장소재지</t>
        </is>
      </c>
      <c r="S304" s="17" t="n">
        <v>90</v>
      </c>
      <c r="T304" s="17" t="inlineStr">
        <is>
          <t>Y</t>
        </is>
      </c>
      <c r="U304" s="17" t="n">
        <v>1</v>
      </c>
      <c r="V304" s="24" t="n">
        <v>46836</v>
      </c>
      <c r="W304" s="17" t="inlineStr"/>
      <c r="X304" s="17" t="inlineStr"/>
      <c r="Y304" s="17" t="inlineStr">
        <is>
          <t>회사키+주소</t>
        </is>
      </c>
      <c r="Z304" s="17" t="n">
        <v>90</v>
      </c>
      <c r="AA304" s="17" t="inlineStr"/>
    </row>
    <row r="305">
      <c r="A305" s="30" t="inlineStr">
        <is>
          <t>S304</t>
        </is>
      </c>
      <c r="B305" s="17" t="inlineStr">
        <is>
          <t>P271</t>
        </is>
      </c>
      <c r="C305" s="17" t="inlineStr">
        <is>
          <t>명인제약</t>
        </is>
      </c>
      <c r="D305" s="17" t="inlineStr">
        <is>
          <t>명인제약(주)</t>
        </is>
      </c>
      <c r="E305" s="17" t="inlineStr">
        <is>
          <t>경기도 화성시 만세구 팔탄면 노하길 361-12</t>
        </is>
      </c>
      <c r="F305" s="17" t="inlineStr">
        <is>
          <t>경기도 화성시 만세구 팔탄면 노하길 361-12</t>
        </is>
      </c>
      <c r="G305" s="17" t="inlineStr">
        <is>
          <t>경기도 화성시 만세구 팔탄면 노하길 361-12</t>
        </is>
      </c>
      <c r="H305" s="17" t="inlineStr">
        <is>
          <t>제1공장</t>
        </is>
      </c>
      <c r="I305" s="23" t="inlineStr">
        <is>
          <t>1504</t>
        </is>
      </c>
      <c r="J305" s="17" t="inlineStr">
        <is>
          <t>1</t>
        </is>
      </c>
      <c r="K305" s="17" t="inlineStr">
        <is>
          <t>완제의약품</t>
        </is>
      </c>
      <c r="L305" s="17" t="inlineStr">
        <is>
          <t>비무균-일반제제-내용고형제(정제, 캡슐제, 구강붕해정), 무균-일반제제-주사제(주사제, 동결건조주사제)</t>
        </is>
      </c>
      <c r="M305" s="24" t="n">
        <v>46836</v>
      </c>
      <c r="N305" s="17" t="inlineStr">
        <is>
          <t>Y</t>
        </is>
      </c>
      <c r="O305" s="17" t="inlineStr"/>
      <c r="P305" s="17" t="inlineStr">
        <is>
          <t>경기도</t>
        </is>
      </c>
      <c r="Q305" s="17" t="inlineStr">
        <is>
          <t>화성시</t>
        </is>
      </c>
      <c r="R305" s="17" t="inlineStr">
        <is>
          <t>GMP공장소재지</t>
        </is>
      </c>
      <c r="S305" s="17" t="n">
        <v>90</v>
      </c>
      <c r="T305" s="17" t="inlineStr">
        <is>
          <t>Y</t>
        </is>
      </c>
      <c r="U305" s="17" t="n">
        <v>1</v>
      </c>
      <c r="V305" s="24" t="n">
        <v>46836</v>
      </c>
      <c r="W305" s="17" t="inlineStr"/>
      <c r="X305" s="17" t="inlineStr"/>
      <c r="Y305" s="17" t="inlineStr">
        <is>
          <t>회사키+주소</t>
        </is>
      </c>
      <c r="Z305" s="17" t="n">
        <v>90</v>
      </c>
      <c r="AA305" s="17" t="inlineStr"/>
    </row>
    <row r="306">
      <c r="A306" s="30" t="inlineStr">
        <is>
          <t>S305</t>
        </is>
      </c>
      <c r="B306" s="17" t="inlineStr">
        <is>
          <t>P272</t>
        </is>
      </c>
      <c r="C306" s="17" t="inlineStr">
        <is>
          <t>제일가스</t>
        </is>
      </c>
      <c r="D306" s="17" t="inlineStr">
        <is>
          <t>(주)제일가스</t>
        </is>
      </c>
      <c r="E306" s="17" t="inlineStr">
        <is>
          <t>인천광역시 서구 두루물로8번길 46</t>
        </is>
      </c>
      <c r="F306" s="17" t="inlineStr">
        <is>
          <t>인천광역시 서구 두루물로8번길 46</t>
        </is>
      </c>
      <c r="G306" s="17" t="inlineStr">
        <is>
          <t>인천광역시 서구 두루물로8번길 46</t>
        </is>
      </c>
      <c r="H306" s="17" t="inlineStr">
        <is>
          <t>인천</t>
        </is>
      </c>
      <c r="I306" s="23" t="inlineStr">
        <is>
          <t>2174</t>
        </is>
      </c>
      <c r="J306" s="17" t="inlineStr">
        <is>
          <t>1</t>
        </is>
      </c>
      <c r="K306" s="17" t="inlineStr">
        <is>
          <t>완제의약품</t>
        </is>
      </c>
      <c r="L306" s="17" t="inlineStr">
        <is>
          <t>비무균-일반제제(의료용 고압가스)-가스제(의료용 고압가스)</t>
        </is>
      </c>
      <c r="M306" s="24" t="n">
        <v>46832</v>
      </c>
      <c r="N306" s="17" t="inlineStr"/>
      <c r="O306" s="17" t="inlineStr"/>
      <c r="P306" s="17" t="inlineStr">
        <is>
          <t>인천광역시</t>
        </is>
      </c>
      <c r="Q306" s="17" t="inlineStr">
        <is>
          <t>서구</t>
        </is>
      </c>
      <c r="R306" s="17" t="inlineStr">
        <is>
          <t>GMP공장소재지</t>
        </is>
      </c>
      <c r="S306" s="17" t="n">
        <v>90</v>
      </c>
      <c r="T306" s="17" t="inlineStr">
        <is>
          <t>Y</t>
        </is>
      </c>
      <c r="U306" s="17" t="n">
        <v>1</v>
      </c>
      <c r="V306" s="24" t="n">
        <v>46832</v>
      </c>
      <c r="W306" s="17" t="inlineStr"/>
      <c r="X306" s="17" t="inlineStr"/>
      <c r="Y306" s="17" t="inlineStr">
        <is>
          <t>회사키+주소</t>
        </is>
      </c>
      <c r="Z306" s="17" t="n">
        <v>90</v>
      </c>
      <c r="AA306" s="17" t="inlineStr"/>
    </row>
    <row r="307">
      <c r="A307" s="30" t="inlineStr">
        <is>
          <t>S306</t>
        </is>
      </c>
      <c r="B307" s="17" t="inlineStr">
        <is>
          <t>P273</t>
        </is>
      </c>
      <c r="C307" s="17" t="inlineStr">
        <is>
          <t>케이에스테크</t>
        </is>
      </c>
      <c r="D307" s="17" t="inlineStr">
        <is>
          <t>주식회사 케이에스테크</t>
        </is>
      </c>
      <c r="E307" s="17" t="inlineStr">
        <is>
          <t>경기도 안성시 원곡면 원당로 160</t>
        </is>
      </c>
      <c r="F307" s="17" t="inlineStr">
        <is>
          <t>경기도 안성시 원곡면 원당로 160</t>
        </is>
      </c>
      <c r="G307" s="17" t="inlineStr">
        <is>
          <t>경기도 안성시 원곡면 원당로 160</t>
        </is>
      </c>
      <c r="H307" s="17" t="inlineStr">
        <is>
          <t>공장</t>
        </is>
      </c>
      <c r="I307" s="23" t="inlineStr">
        <is>
          <t>2427</t>
        </is>
      </c>
      <c r="J307" s="17" t="inlineStr">
        <is>
          <t>1</t>
        </is>
      </c>
      <c r="K307" s="17" t="inlineStr">
        <is>
          <t>완제의약품</t>
        </is>
      </c>
      <c r="L307" s="17" t="inlineStr">
        <is>
          <t>비무균-일반제제(의료용 고압가스)-가스제(의료용 고압가스)</t>
        </is>
      </c>
      <c r="M307" s="24" t="n">
        <v>46832</v>
      </c>
      <c r="N307" s="17" t="inlineStr"/>
      <c r="O307" s="17" t="inlineStr"/>
      <c r="P307" s="17" t="inlineStr">
        <is>
          <t>경기도</t>
        </is>
      </c>
      <c r="Q307" s="17" t="inlineStr">
        <is>
          <t>안성시</t>
        </is>
      </c>
      <c r="R307" s="17" t="inlineStr">
        <is>
          <t>GMP공장소재지</t>
        </is>
      </c>
      <c r="S307" s="17" t="n">
        <v>90</v>
      </c>
      <c r="T307" s="17" t="inlineStr">
        <is>
          <t>Y</t>
        </is>
      </c>
      <c r="U307" s="17" t="n">
        <v>1</v>
      </c>
      <c r="V307" s="24" t="n">
        <v>46832</v>
      </c>
      <c r="W307" s="17" t="inlineStr"/>
      <c r="X307" s="17" t="inlineStr"/>
      <c r="Y307" s="17" t="inlineStr">
        <is>
          <t>회사키+주소</t>
        </is>
      </c>
      <c r="Z307" s="17" t="n">
        <v>90</v>
      </c>
      <c r="AA307" s="17" t="inlineStr"/>
    </row>
    <row r="308">
      <c r="A308" s="30" t="inlineStr">
        <is>
          <t>S307</t>
        </is>
      </c>
      <c r="B308" s="17" t="inlineStr">
        <is>
          <t>P274</t>
        </is>
      </c>
      <c r="C308" s="17" t="inlineStr">
        <is>
          <t>한국특수가스</t>
        </is>
      </c>
      <c r="D308" s="17" t="inlineStr">
        <is>
          <t>한국특수가스(주)</t>
        </is>
      </c>
      <c r="E308" s="17" t="inlineStr">
        <is>
          <t>전북특별자치도 익산시 서동로32길 11</t>
        </is>
      </c>
      <c r="F308" s="17" t="inlineStr">
        <is>
          <t>전북특별자치도 익산시 서동로32길 11</t>
        </is>
      </c>
      <c r="G308" s="17" t="inlineStr">
        <is>
          <t>전북특별자치도 익산시 서동로32길 11</t>
        </is>
      </c>
      <c r="H308" s="17" t="inlineStr">
        <is>
          <t>한국특수가스(주)</t>
        </is>
      </c>
      <c r="I308" s="23" t="inlineStr">
        <is>
          <t>1909</t>
        </is>
      </c>
      <c r="J308" s="17" t="inlineStr">
        <is>
          <t>1</t>
        </is>
      </c>
      <c r="K308" s="17" t="inlineStr">
        <is>
          <t>완제의약품</t>
        </is>
      </c>
      <c r="L308" s="17" t="inlineStr">
        <is>
          <t>비무균-일반제제(의료용 고압가스)-가스제(의료용 고압가스)</t>
        </is>
      </c>
      <c r="M308" s="24" t="n">
        <v>46828</v>
      </c>
      <c r="N308" s="17" t="inlineStr"/>
      <c r="O308" s="17" t="inlineStr"/>
      <c r="P308" s="17" t="inlineStr">
        <is>
          <t>전북특별자치도</t>
        </is>
      </c>
      <c r="Q308" s="17" t="inlineStr">
        <is>
          <t>익산시</t>
        </is>
      </c>
      <c r="R308" s="17" t="inlineStr">
        <is>
          <t>GMP공장소재지</t>
        </is>
      </c>
      <c r="S308" s="17" t="n">
        <v>90</v>
      </c>
      <c r="T308" s="17" t="inlineStr">
        <is>
          <t>Y</t>
        </is>
      </c>
      <c r="U308" s="17" t="n">
        <v>1</v>
      </c>
      <c r="V308" s="24" t="n">
        <v>46828</v>
      </c>
      <c r="W308" s="17" t="inlineStr"/>
      <c r="X308" s="17" t="inlineStr"/>
      <c r="Y308" s="17" t="inlineStr">
        <is>
          <t>회사키+주소</t>
        </is>
      </c>
      <c r="Z308" s="17" t="n">
        <v>90</v>
      </c>
      <c r="AA308" s="17" t="inlineStr"/>
    </row>
    <row r="309">
      <c r="A309" s="30" t="inlineStr">
        <is>
          <t>S308</t>
        </is>
      </c>
      <c r="B309" s="17" t="inlineStr">
        <is>
          <t>P275</t>
        </is>
      </c>
      <c r="C309" s="17" t="inlineStr">
        <is>
          <t>영풍제약</t>
        </is>
      </c>
      <c r="D309" s="17" t="inlineStr">
        <is>
          <t>영풍제약(주)</t>
        </is>
      </c>
      <c r="E309" s="17" t="inlineStr">
        <is>
          <t>인천광역시 남동구 함박뫼로 333</t>
        </is>
      </c>
      <c r="F309" s="17" t="inlineStr">
        <is>
          <t>인천광역시 남동구 함박뫼로 333</t>
        </is>
      </c>
      <c r="G309" s="17" t="inlineStr">
        <is>
          <t>인천광역시 남동구 함박뫼로 333</t>
        </is>
      </c>
      <c r="H309" s="17" t="inlineStr">
        <is>
          <t>인천</t>
        </is>
      </c>
      <c r="I309" s="23" t="inlineStr">
        <is>
          <t>1437</t>
        </is>
      </c>
      <c r="J309" s="17" t="inlineStr">
        <is>
          <t>1</t>
        </is>
      </c>
      <c r="K309" s="17" t="inlineStr">
        <is>
          <t>완제의약품</t>
        </is>
      </c>
      <c r="L309" s="17" t="inlineStr">
        <is>
          <t>비무균-일반제제-내용고형제(정제, 질정, 캡슐제)</t>
        </is>
      </c>
      <c r="M309" s="24" t="n">
        <v>46827</v>
      </c>
      <c r="N309" s="17" t="inlineStr"/>
      <c r="O309" s="17" t="inlineStr"/>
      <c r="P309" s="17" t="inlineStr">
        <is>
          <t>인천광역시</t>
        </is>
      </c>
      <c r="Q309" s="17" t="inlineStr">
        <is>
          <t>남동구</t>
        </is>
      </c>
      <c r="R309" s="17" t="inlineStr">
        <is>
          <t>GMP공장소재지</t>
        </is>
      </c>
      <c r="S309" s="17" t="n">
        <v>90</v>
      </c>
      <c r="T309" s="17" t="inlineStr">
        <is>
          <t>Y</t>
        </is>
      </c>
      <c r="U309" s="17" t="n">
        <v>1</v>
      </c>
      <c r="V309" s="24" t="n">
        <v>46827</v>
      </c>
      <c r="W309" s="17" t="inlineStr"/>
      <c r="X309" s="17" t="inlineStr"/>
      <c r="Y309" s="17" t="inlineStr">
        <is>
          <t>회사키+주소</t>
        </is>
      </c>
      <c r="Z309" s="17" t="n">
        <v>90</v>
      </c>
      <c r="AA309" s="17" t="inlineStr"/>
    </row>
    <row r="310">
      <c r="A310" s="30" t="inlineStr">
        <is>
          <t>S309</t>
        </is>
      </c>
      <c r="B310" s="17" t="inlineStr">
        <is>
          <t>P276</t>
        </is>
      </c>
      <c r="C310" s="17" t="inlineStr">
        <is>
          <t>아이큐어</t>
        </is>
      </c>
      <c r="D310" s="17" t="inlineStr">
        <is>
          <t>아이큐어(주)</t>
        </is>
      </c>
      <c r="E310" s="17" t="inlineStr">
        <is>
          <t>전북특별자치도 완주군 봉동읍 완주산단5로 248</t>
        </is>
      </c>
      <c r="F310" s="17" t="inlineStr">
        <is>
          <t>전북특별자치도 완주군 봉동읍 완주산단5로 248</t>
        </is>
      </c>
      <c r="G310" s="17" t="inlineStr">
        <is>
          <t>전북특별자치도 완주군 봉동읍 완주산단5로 248</t>
        </is>
      </c>
      <c r="H310" s="17" t="inlineStr">
        <is>
          <t>완주</t>
        </is>
      </c>
      <c r="I310" s="23" t="inlineStr">
        <is>
          <t>2553</t>
        </is>
      </c>
      <c r="J310" s="17" t="inlineStr">
        <is>
          <t>2</t>
        </is>
      </c>
      <c r="K310" s="17" t="inlineStr">
        <is>
          <t>완제의약품</t>
        </is>
      </c>
      <c r="L310" s="17" t="inlineStr">
        <is>
          <t>비무균-일반제제-내용고형제(정제, 캡슐제), 비무균-일반제제-첩부제(첩부제, 카타플라스마제, 경피흡수제)</t>
        </is>
      </c>
      <c r="M310" s="24" t="n">
        <v>46827</v>
      </c>
      <c r="N310" s="17" t="inlineStr"/>
      <c r="O310" s="17" t="inlineStr"/>
      <c r="P310" s="17" t="inlineStr">
        <is>
          <t>전북특별자치도</t>
        </is>
      </c>
      <c r="Q310" s="17" t="inlineStr">
        <is>
          <t>완주군</t>
        </is>
      </c>
      <c r="R310" s="17" t="inlineStr">
        <is>
          <t>GMP공장소재지</t>
        </is>
      </c>
      <c r="S310" s="17" t="n">
        <v>90</v>
      </c>
      <c r="T310" s="17" t="inlineStr">
        <is>
          <t>Y</t>
        </is>
      </c>
      <c r="U310" s="17" t="n">
        <v>1</v>
      </c>
      <c r="V310" s="24" t="n">
        <v>46827</v>
      </c>
      <c r="W310" s="17" t="inlineStr"/>
      <c r="X310" s="17" t="inlineStr"/>
      <c r="Y310" s="17" t="inlineStr">
        <is>
          <t>회사키+주소</t>
        </is>
      </c>
      <c r="Z310" s="17" t="n">
        <v>90</v>
      </c>
      <c r="AA310" s="17" t="inlineStr"/>
    </row>
    <row r="311">
      <c r="A311" s="30" t="inlineStr">
        <is>
          <t>S310</t>
        </is>
      </c>
      <c r="B311" s="17" t="inlineStr">
        <is>
          <t>P277</t>
        </is>
      </c>
      <c r="C311" s="17" t="inlineStr">
        <is>
          <t>한국특수가스</t>
        </is>
      </c>
      <c r="D311" s="17" t="inlineStr">
        <is>
          <t>한국특수가스(주)</t>
        </is>
      </c>
      <c r="E311" s="17" t="inlineStr">
        <is>
          <t>전북특별자치도 전주시 덕진구 추천로 177-8</t>
        </is>
      </c>
      <c r="F311" s="17" t="inlineStr">
        <is>
          <t>전북특별자치도 전주시 덕진구 추천로 177-8</t>
        </is>
      </c>
      <c r="G311" s="17" t="inlineStr">
        <is>
          <t>전북특별자치도 전주시 덕진구 추천로 177-8</t>
        </is>
      </c>
      <c r="H311" s="17" t="inlineStr">
        <is>
          <t>한국특수가스(주) 전주사업장</t>
        </is>
      </c>
      <c r="I311" s="23" t="inlineStr">
        <is>
          <t>1909</t>
        </is>
      </c>
      <c r="J311" s="17" t="inlineStr">
        <is>
          <t>3</t>
        </is>
      </c>
      <c r="K311" s="17" t="inlineStr">
        <is>
          <t>완제의약품</t>
        </is>
      </c>
      <c r="L311" s="17" t="inlineStr">
        <is>
          <t>비무균-일반제제(의료용 고압가스)-가스제(의료용 고압가스)</t>
        </is>
      </c>
      <c r="M311" s="24" t="n">
        <v>46826</v>
      </c>
      <c r="N311" s="17" t="inlineStr"/>
      <c r="O311" s="17" t="inlineStr"/>
      <c r="P311" s="17" t="inlineStr">
        <is>
          <t>전북특별자치도</t>
        </is>
      </c>
      <c r="Q311" s="17" t="inlineStr">
        <is>
          <t>전주시</t>
        </is>
      </c>
      <c r="R311" s="17" t="inlineStr">
        <is>
          <t>GMP공장소재지</t>
        </is>
      </c>
      <c r="S311" s="17" t="n">
        <v>90</v>
      </c>
      <c r="T311" s="17" t="inlineStr">
        <is>
          <t>Y</t>
        </is>
      </c>
      <c r="U311" s="17" t="n">
        <v>1</v>
      </c>
      <c r="V311" s="24" t="n">
        <v>46826</v>
      </c>
      <c r="W311" s="17" t="inlineStr"/>
      <c r="X311" s="17" t="inlineStr"/>
      <c r="Y311" s="17" t="inlineStr">
        <is>
          <t>회사키+주소</t>
        </is>
      </c>
      <c r="Z311" s="17" t="n">
        <v>90</v>
      </c>
      <c r="AA311" s="17" t="inlineStr"/>
    </row>
    <row r="312">
      <c r="A312" s="30" t="inlineStr">
        <is>
          <t>S311</t>
        </is>
      </c>
      <c r="B312" s="17" t="inlineStr">
        <is>
          <t>P278</t>
        </is>
      </c>
      <c r="C312" s="17" t="inlineStr">
        <is>
          <t>유바이오로직스</t>
        </is>
      </c>
      <c r="D312" s="17" t="inlineStr">
        <is>
          <t>(주)유바이오로직스</t>
        </is>
      </c>
      <c r="E312" s="17" t="inlineStr">
        <is>
          <t>강원특별자치도 춘천시 동산면 원무동길 125 생산동 지하1층일부,1층~4층, 관리동 2층,4층</t>
        </is>
      </c>
      <c r="F312" s="17" t="inlineStr">
        <is>
          <t>강원특별자치도 춘천시 동산면 원무동길 125 생산동 지하1층일부,1층~4층, 관리동 2층,4층</t>
        </is>
      </c>
      <c r="G312" s="17" t="inlineStr">
        <is>
          <t>강원특별자치도 춘천시 동산면 원무동길 125 생산동 지하1층일부,1층~4층, 관리동 2층,4층</t>
        </is>
      </c>
      <c r="H312" s="17" t="inlineStr">
        <is>
          <t>[제2공장]</t>
        </is>
      </c>
      <c r="I312" s="23" t="inlineStr">
        <is>
          <t>322</t>
        </is>
      </c>
      <c r="J312" s="17" t="inlineStr">
        <is>
          <t>2</t>
        </is>
      </c>
      <c r="K312" s="17" t="inlineStr">
        <is>
          <t>원료의약품</t>
        </is>
      </c>
      <c r="L312" s="17" t="inlineStr">
        <is>
          <t>생물-백신-(배양, 정제, 바이러스불활화, 원액 제조)</t>
        </is>
      </c>
      <c r="M312" s="24" t="n">
        <v>46825</v>
      </c>
      <c r="N312" s="17" t="inlineStr"/>
      <c r="O312" s="17" t="inlineStr">
        <is>
          <t>Y</t>
        </is>
      </c>
      <c r="P312" s="17" t="inlineStr">
        <is>
          <t>강원특별자치도</t>
        </is>
      </c>
      <c r="Q312" s="17" t="inlineStr">
        <is>
          <t>춘천시</t>
        </is>
      </c>
      <c r="R312" s="17" t="inlineStr">
        <is>
          <t>GMP공장소재지</t>
        </is>
      </c>
      <c r="S312" s="17" t="n">
        <v>90</v>
      </c>
      <c r="T312" s="17" t="inlineStr">
        <is>
          <t>Y</t>
        </is>
      </c>
      <c r="U312" s="17" t="n">
        <v>2</v>
      </c>
      <c r="V312" s="24" t="n">
        <v>46733</v>
      </c>
      <c r="W312" s="17" t="inlineStr"/>
      <c r="X312" s="17" t="inlineStr"/>
      <c r="Y312" s="17" t="inlineStr">
        <is>
          <t>회사키+주소</t>
        </is>
      </c>
      <c r="Z312" s="17" t="n">
        <v>90</v>
      </c>
      <c r="AA312" s="17" t="inlineStr"/>
    </row>
    <row r="313">
      <c r="A313" s="30" t="inlineStr">
        <is>
          <t>S312</t>
        </is>
      </c>
      <c r="B313" s="17" t="inlineStr">
        <is>
          <t>P279</t>
        </is>
      </c>
      <c r="C313" s="17" t="inlineStr">
        <is>
          <t>에이치케이이노엔</t>
        </is>
      </c>
      <c r="D313" s="17" t="inlineStr">
        <is>
          <t>에이치케이이노엔(주)</t>
        </is>
      </c>
      <c r="E313" s="17" t="inlineStr">
        <is>
          <t>충청북도 청주시 흥덕구 오송읍 오송생명2로 239</t>
        </is>
      </c>
      <c r="F313" s="17" t="inlineStr">
        <is>
          <t>충청북도 청주시 흥덕구 오송읍 오송생명2로 239</t>
        </is>
      </c>
      <c r="G313" s="17" t="inlineStr">
        <is>
          <t>충청북도 청주시 흥덕구 오송읍 오송생명2로 239</t>
        </is>
      </c>
      <c r="H313" s="17" t="inlineStr">
        <is>
          <t>오송</t>
        </is>
      </c>
      <c r="I313" s="23" t="inlineStr">
        <is>
          <t>1452</t>
        </is>
      </c>
      <c r="J313" s="17" t="inlineStr">
        <is>
          <t>5</t>
        </is>
      </c>
      <c r="K313" s="17" t="inlineStr">
        <is>
          <t>완제의약품</t>
        </is>
      </c>
      <c r="L313" s="17" t="inlineStr">
        <is>
          <t>비무균-일반제제-내용고형제(정제, 캡슐제, 산제), 무균-세포독성항암제제-주사제(주사제), 무균-일반제제-주사제(수액제)</t>
        </is>
      </c>
      <c r="M313" s="24" t="n">
        <v>46822</v>
      </c>
      <c r="N313" s="17" t="inlineStr">
        <is>
          <t>Y</t>
        </is>
      </c>
      <c r="O313" s="17" t="inlineStr"/>
      <c r="P313" s="17" t="inlineStr">
        <is>
          <t>충청북도</t>
        </is>
      </c>
      <c r="Q313" s="17" t="inlineStr">
        <is>
          <t>청주시</t>
        </is>
      </c>
      <c r="R313" s="17" t="inlineStr">
        <is>
          <t>GMP공장소재지</t>
        </is>
      </c>
      <c r="S313" s="17" t="n">
        <v>90</v>
      </c>
      <c r="T313" s="17" t="inlineStr">
        <is>
          <t>Y</t>
        </is>
      </c>
      <c r="U313" s="17" t="n">
        <v>1</v>
      </c>
      <c r="V313" s="24" t="n">
        <v>46822</v>
      </c>
      <c r="W313" s="17" t="inlineStr"/>
      <c r="X313" s="17" t="inlineStr"/>
      <c r="Y313" s="17" t="inlineStr">
        <is>
          <t>회사키+주소</t>
        </is>
      </c>
      <c r="Z313" s="17" t="n">
        <v>90</v>
      </c>
      <c r="AA313" s="17" t="inlineStr"/>
    </row>
    <row r="314">
      <c r="A314" s="30" t="inlineStr">
        <is>
          <t>S313</t>
        </is>
      </c>
      <c r="B314" s="17" t="inlineStr">
        <is>
          <t>P280</t>
        </is>
      </c>
      <c r="C314" s="17" t="inlineStr">
        <is>
          <t>디아이지에어가스</t>
        </is>
      </c>
      <c r="D314" s="17" t="inlineStr">
        <is>
          <t>디아이지에어가스(주)</t>
        </is>
      </c>
      <c r="E314" s="17" t="inlineStr">
        <is>
          <t>전라남도 여수시 여수산단로 317</t>
        </is>
      </c>
      <c r="F314" s="17" t="inlineStr">
        <is>
          <t>전라남도 여수시 여수산단로 317</t>
        </is>
      </c>
      <c r="G314" s="17" t="inlineStr">
        <is>
          <t>전라남도 여수시 여수산단로 317</t>
        </is>
      </c>
      <c r="H314" s="17" t="inlineStr">
        <is>
          <t>여천</t>
        </is>
      </c>
      <c r="I314" s="23" t="inlineStr">
        <is>
          <t>1603</t>
        </is>
      </c>
      <c r="J314" s="17" t="inlineStr">
        <is>
          <t>8</t>
        </is>
      </c>
      <c r="K314" s="17" t="inlineStr">
        <is>
          <t>완제의약품</t>
        </is>
      </c>
      <c r="L314" s="17" t="inlineStr">
        <is>
          <t>비무균-일반제제(의료용 고압가스)-가스제(의료용 고압가스)</t>
        </is>
      </c>
      <c r="M314" s="24" t="n">
        <v>46821</v>
      </c>
      <c r="N314" s="17" t="inlineStr"/>
      <c r="O314" s="17" t="inlineStr"/>
      <c r="P314" s="17" t="inlineStr">
        <is>
          <t>전라남도</t>
        </is>
      </c>
      <c r="Q314" s="17" t="inlineStr">
        <is>
          <t>여수시</t>
        </is>
      </c>
      <c r="R314" s="17" t="inlineStr">
        <is>
          <t>GMP공장소재지</t>
        </is>
      </c>
      <c r="S314" s="17" t="n">
        <v>90</v>
      </c>
      <c r="T314" s="17" t="inlineStr">
        <is>
          <t>Y</t>
        </is>
      </c>
      <c r="U314" s="17" t="n">
        <v>1</v>
      </c>
      <c r="V314" s="24" t="n">
        <v>46821</v>
      </c>
      <c r="W314" s="17" t="inlineStr"/>
      <c r="X314" s="17" t="inlineStr"/>
      <c r="Y314" s="17" t="inlineStr">
        <is>
          <t>회사키+주소</t>
        </is>
      </c>
      <c r="Z314" s="17" t="n">
        <v>90</v>
      </c>
      <c r="AA314" s="17" t="inlineStr"/>
    </row>
    <row r="315">
      <c r="A315" s="30" t="inlineStr">
        <is>
          <t>S314</t>
        </is>
      </c>
      <c r="B315" s="17" t="inlineStr">
        <is>
          <t>P281</t>
        </is>
      </c>
      <c r="C315" s="17" t="inlineStr">
        <is>
          <t>익수제약</t>
        </is>
      </c>
      <c r="D315" s="17" t="inlineStr">
        <is>
          <t>익수제약(주)</t>
        </is>
      </c>
      <c r="E315" s="17" t="inlineStr">
        <is>
          <t>경기도 광주시 곤지암읍 독고개길86번길 38 , 42 일부(보관소)</t>
        </is>
      </c>
      <c r="F315" s="17" t="inlineStr">
        <is>
          <t>경기도 광주시 곤지암읍 독고개길86번길 38 , 42 일부(보관소)</t>
        </is>
      </c>
      <c r="G315" s="17" t="inlineStr">
        <is>
          <t>경기도 광주시 곤지암읍 독고개길86번길 38 , 42 일부(보관소)</t>
        </is>
      </c>
      <c r="H315" s="17" t="inlineStr">
        <is>
          <t>광주</t>
        </is>
      </c>
      <c r="I315" s="23" t="inlineStr">
        <is>
          <t>1510</t>
        </is>
      </c>
      <c r="J315" s="17" t="inlineStr">
        <is>
          <t>1</t>
        </is>
      </c>
      <c r="K315" s="17" t="inlineStr">
        <is>
          <t>완제의약품</t>
        </is>
      </c>
      <c r="L315" s="17" t="inlineStr">
        <is>
          <t>비무균-일반제제-내용고형제(과립제, 환제), 비무균-일반제제-내용액제(경구용액제, 시럽제(액상), 현탁제)</t>
        </is>
      </c>
      <c r="M315" s="24" t="n">
        <v>46816</v>
      </c>
      <c r="N315" s="17" t="inlineStr"/>
      <c r="O315" s="17" t="inlineStr"/>
      <c r="P315" s="17" t="inlineStr">
        <is>
          <t>경기도</t>
        </is>
      </c>
      <c r="Q315" s="17" t="inlineStr">
        <is>
          <t>광주시</t>
        </is>
      </c>
      <c r="R315" s="17" t="inlineStr">
        <is>
          <t>GMP공장소재지</t>
        </is>
      </c>
      <c r="S315" s="17" t="n">
        <v>90</v>
      </c>
      <c r="T315" s="17" t="inlineStr">
        <is>
          <t>Y</t>
        </is>
      </c>
      <c r="U315" s="17" t="n">
        <v>1</v>
      </c>
      <c r="V315" s="24" t="n">
        <v>46816</v>
      </c>
      <c r="W315" s="17" t="inlineStr"/>
      <c r="X315" s="17" t="inlineStr"/>
      <c r="Y315" s="17" t="inlineStr">
        <is>
          <t>회사키+주소</t>
        </is>
      </c>
      <c r="Z315" s="17" t="n">
        <v>90</v>
      </c>
      <c r="AA315" s="17" t="inlineStr"/>
    </row>
    <row r="316">
      <c r="A316" s="30" t="inlineStr">
        <is>
          <t>S315</t>
        </is>
      </c>
      <c r="B316" s="17" t="inlineStr">
        <is>
          <t>P282</t>
        </is>
      </c>
      <c r="C316" s="17" t="inlineStr">
        <is>
          <t>한국휴텍스제약</t>
        </is>
      </c>
      <c r="D316" s="17" t="inlineStr">
        <is>
          <t>한국휴텍스제약(주)</t>
        </is>
      </c>
      <c r="E316" s="17" t="inlineStr">
        <is>
          <t>경기도 화성시 만세구 향남읍 제약공단3길 99</t>
        </is>
      </c>
      <c r="F316" s="17" t="inlineStr">
        <is>
          <t>경기도 화성시 만세구 향남읍 제약공단3길 99</t>
        </is>
      </c>
      <c r="G316" s="17" t="inlineStr">
        <is>
          <t>경기도 화성시 만세구 향남읍 제약공단3길 99</t>
        </is>
      </c>
      <c r="H316" s="17" t="inlineStr">
        <is>
          <t>화성(제2공장)</t>
        </is>
      </c>
      <c r="I316" s="23" t="inlineStr">
        <is>
          <t>1666</t>
        </is>
      </c>
      <c r="J316" s="17" t="inlineStr">
        <is>
          <t>2</t>
        </is>
      </c>
      <c r="K316" s="17" t="inlineStr">
        <is>
          <t>완제의약품</t>
        </is>
      </c>
      <c r="L316" s="17" t="inlineStr">
        <is>
          <t>비무균-일반제제-내용고형제(정제, 캡슐제), 비무균-일반제제-그 밖의 고형제(혈액투석제(고형))</t>
        </is>
      </c>
      <c r="M316" s="24" t="n">
        <v>46815</v>
      </c>
      <c r="N316" s="17" t="inlineStr"/>
      <c r="O316" s="17" t="inlineStr"/>
      <c r="P316" s="17" t="inlineStr">
        <is>
          <t>경기도</t>
        </is>
      </c>
      <c r="Q316" s="17" t="inlineStr">
        <is>
          <t>화성시</t>
        </is>
      </c>
      <c r="R316" s="17" t="inlineStr">
        <is>
          <t>GMP공장소재지</t>
        </is>
      </c>
      <c r="S316" s="17" t="n">
        <v>90</v>
      </c>
      <c r="T316" s="17" t="inlineStr">
        <is>
          <t>Y</t>
        </is>
      </c>
      <c r="U316" s="17" t="n">
        <v>1</v>
      </c>
      <c r="V316" s="24" t="n">
        <v>46815</v>
      </c>
      <c r="W316" s="17" t="inlineStr"/>
      <c r="X316" s="17" t="inlineStr"/>
      <c r="Y316" s="17" t="inlineStr">
        <is>
          <t>회사키+주소</t>
        </is>
      </c>
      <c r="Z316" s="17" t="n">
        <v>90</v>
      </c>
      <c r="AA316" s="17" t="inlineStr"/>
    </row>
    <row r="317">
      <c r="A317" s="30" t="inlineStr">
        <is>
          <t>S316</t>
        </is>
      </c>
      <c r="B317" s="17" t="inlineStr">
        <is>
          <t>P283</t>
        </is>
      </c>
      <c r="C317" s="17" t="inlineStr">
        <is>
          <t>큐엘파마</t>
        </is>
      </c>
      <c r="D317" s="17" t="inlineStr">
        <is>
          <t>주식회사큐엘파마</t>
        </is>
      </c>
      <c r="E317" s="17" t="inlineStr">
        <is>
          <t>충청북도 충주시 충주산단7로 53</t>
        </is>
      </c>
      <c r="F317" s="17" t="inlineStr">
        <is>
          <t>충청북도 충주시 충주산단7로 53</t>
        </is>
      </c>
      <c r="G317" s="17" t="inlineStr">
        <is>
          <t>충청북도 충주시 충주산단7로 53</t>
        </is>
      </c>
      <c r="H317" s="17" t="inlineStr">
        <is>
          <t>주식회사큐엘파마</t>
        </is>
      </c>
      <c r="I317" s="23" t="inlineStr">
        <is>
          <t>2649</t>
        </is>
      </c>
      <c r="J317" s="17" t="inlineStr">
        <is>
          <t>1</t>
        </is>
      </c>
      <c r="K317" s="17" t="inlineStr">
        <is>
          <t>완제의약품</t>
        </is>
      </c>
      <c r="L317" s="17" t="inlineStr">
        <is>
          <t>비무균-일반제제-내용고형제(정제)</t>
        </is>
      </c>
      <c r="M317" s="24" t="n">
        <v>46815</v>
      </c>
      <c r="N317" s="17" t="inlineStr"/>
      <c r="O317" s="17" t="inlineStr"/>
      <c r="P317" s="17" t="inlineStr">
        <is>
          <t>충청북도</t>
        </is>
      </c>
      <c r="Q317" s="17" t="inlineStr">
        <is>
          <t>충주시</t>
        </is>
      </c>
      <c r="R317" s="17" t="inlineStr">
        <is>
          <t>GMP공장소재지</t>
        </is>
      </c>
      <c r="S317" s="17" t="n">
        <v>90</v>
      </c>
      <c r="T317" s="17" t="inlineStr">
        <is>
          <t>Y</t>
        </is>
      </c>
      <c r="U317" s="17" t="n">
        <v>1</v>
      </c>
      <c r="V317" s="24" t="n">
        <v>46815</v>
      </c>
      <c r="W317" s="17" t="inlineStr"/>
      <c r="X317" s="17" t="inlineStr"/>
      <c r="Y317" s="17" t="inlineStr">
        <is>
          <t>회사키+주소</t>
        </is>
      </c>
      <c r="Z317" s="17" t="n">
        <v>90</v>
      </c>
      <c r="AA317" s="17" t="inlineStr"/>
    </row>
    <row r="318">
      <c r="A318" s="30" t="inlineStr">
        <is>
          <t>S317</t>
        </is>
      </c>
      <c r="B318" s="17" t="inlineStr">
        <is>
          <t>P284</t>
        </is>
      </c>
      <c r="C318" s="17" t="inlineStr">
        <is>
          <t>폴라리스에이아이파마</t>
        </is>
      </c>
      <c r="D318" s="17" t="inlineStr">
        <is>
          <t>(주)폴라리스에이아이파마</t>
        </is>
      </c>
      <c r="E318" s="17" t="inlineStr">
        <is>
          <t>경기도 화성시 만세구 향남읍 발안공단로 25</t>
        </is>
      </c>
      <c r="F318" s="17" t="inlineStr">
        <is>
          <t>경기도 화성시 만세구 향남읍 발안공단로 25</t>
        </is>
      </c>
      <c r="G318" s="17" t="inlineStr">
        <is>
          <t>경기도 화성시 만세구 향남읍 발안공단로 25</t>
        </is>
      </c>
      <c r="H318" s="17" t="inlineStr">
        <is>
          <t>화성</t>
        </is>
      </c>
      <c r="I318" s="23" t="inlineStr">
        <is>
          <t>1962</t>
        </is>
      </c>
      <c r="J318" s="17" t="inlineStr">
        <is>
          <t>2</t>
        </is>
      </c>
      <c r="K318" s="17" t="inlineStr">
        <is>
          <t>원료의약품</t>
        </is>
      </c>
      <c r="L318" s="17" t="inlineStr">
        <is>
          <t>비무균-일반제제-합성</t>
        </is>
      </c>
      <c r="M318" s="24" t="n">
        <v>46815</v>
      </c>
      <c r="N318" s="17" t="inlineStr"/>
      <c r="O318" s="17" t="inlineStr"/>
      <c r="P318" s="17" t="inlineStr">
        <is>
          <t>경기도</t>
        </is>
      </c>
      <c r="Q318" s="17" t="inlineStr">
        <is>
          <t>화성시</t>
        </is>
      </c>
      <c r="R318" s="17" t="inlineStr">
        <is>
          <t>GMP공장소재지</t>
        </is>
      </c>
      <c r="S318" s="17" t="n">
        <v>90</v>
      </c>
      <c r="T318" s="17" t="inlineStr">
        <is>
          <t>Y</t>
        </is>
      </c>
      <c r="U318" s="17" t="n">
        <v>1</v>
      </c>
      <c r="V318" s="24" t="n">
        <v>46815</v>
      </c>
      <c r="W318" s="17" t="inlineStr"/>
      <c r="X318" s="17" t="inlineStr"/>
      <c r="Y318" s="17" t="inlineStr">
        <is>
          <t>회사키+주소</t>
        </is>
      </c>
      <c r="Z318" s="17" t="n">
        <v>90</v>
      </c>
      <c r="AA318" s="17" t="inlineStr"/>
    </row>
    <row r="319">
      <c r="A319" s="30" t="inlineStr">
        <is>
          <t>S318</t>
        </is>
      </c>
      <c r="B319" s="17" t="inlineStr">
        <is>
          <t>P285</t>
        </is>
      </c>
      <c r="C319" s="17" t="inlineStr">
        <is>
          <t>디아이지에어가스</t>
        </is>
      </c>
      <c r="D319" s="17" t="inlineStr">
        <is>
          <t>디아이지에어가스(주)</t>
        </is>
      </c>
      <c r="E319" s="17" t="inlineStr">
        <is>
          <t>울산광역시 남구 처용로487번길 18-64</t>
        </is>
      </c>
      <c r="F319" s="17" t="inlineStr">
        <is>
          <t>울산광역시 남구 처용로487번길 18-64</t>
        </is>
      </c>
      <c r="G319" s="17" t="inlineStr">
        <is>
          <t>울산광역시 남구 처용로487번길 18-64</t>
        </is>
      </c>
      <c r="H319" s="17" t="inlineStr">
        <is>
          <t>울산</t>
        </is>
      </c>
      <c r="I319" s="23" t="inlineStr">
        <is>
          <t>1603</t>
        </is>
      </c>
      <c r="J319" s="17" t="inlineStr">
        <is>
          <t>14</t>
        </is>
      </c>
      <c r="K319" s="17" t="inlineStr">
        <is>
          <t>완제의약품</t>
        </is>
      </c>
      <c r="L319" s="17" t="inlineStr">
        <is>
          <t>비무균-일반제제-가스제(의료용 고압가스)</t>
        </is>
      </c>
      <c r="M319" s="24" t="n">
        <v>46813</v>
      </c>
      <c r="N319" s="17" t="inlineStr"/>
      <c r="O319" s="17" t="inlineStr"/>
      <c r="P319" s="17" t="inlineStr">
        <is>
          <t>울산광역시</t>
        </is>
      </c>
      <c r="Q319" s="17" t="inlineStr">
        <is>
          <t>남구</t>
        </is>
      </c>
      <c r="R319" s="17" t="inlineStr">
        <is>
          <t>GMP공장소재지</t>
        </is>
      </c>
      <c r="S319" s="17" t="n">
        <v>90</v>
      </c>
      <c r="T319" s="17" t="inlineStr">
        <is>
          <t>Y</t>
        </is>
      </c>
      <c r="U319" s="17" t="n">
        <v>1</v>
      </c>
      <c r="V319" s="24" t="n">
        <v>46813</v>
      </c>
      <c r="W319" s="17" t="inlineStr"/>
      <c r="X319" s="17" t="inlineStr"/>
      <c r="Y319" s="17" t="inlineStr">
        <is>
          <t>회사키+주소</t>
        </is>
      </c>
      <c r="Z319" s="17" t="n">
        <v>90</v>
      </c>
      <c r="AA319" s="17" t="inlineStr"/>
    </row>
    <row r="320">
      <c r="A320" s="30" t="inlineStr">
        <is>
          <t>S319</t>
        </is>
      </c>
      <c r="B320" s="17" t="inlineStr">
        <is>
          <t>P286</t>
        </is>
      </c>
      <c r="C320" s="17" t="inlineStr">
        <is>
          <t>피에스지</t>
        </is>
      </c>
      <c r="D320" s="17" t="inlineStr">
        <is>
          <t>(주)피에스지</t>
        </is>
      </c>
      <c r="E320" s="17" t="inlineStr">
        <is>
          <t>경상남도 김해시 주촌면 서부로1637번길 364</t>
        </is>
      </c>
      <c r="F320" s="17" t="inlineStr"/>
      <c r="G320" s="17" t="inlineStr">
        <is>
          <t>경상남도 김해시 주촌면 서부로1637번길 364</t>
        </is>
      </c>
      <c r="H320" s="17" t="inlineStr">
        <is>
          <t>미확인</t>
        </is>
      </c>
      <c r="I320" s="23" t="inlineStr">
        <is>
          <t>1585</t>
        </is>
      </c>
      <c r="J320" s="17" t="inlineStr"/>
      <c r="K320" s="17" t="inlineStr">
        <is>
          <t>완제의약품</t>
        </is>
      </c>
      <c r="L320" s="17" t="inlineStr">
        <is>
          <t>--(의료용 고압가스)</t>
        </is>
      </c>
      <c r="M320" s="24" t="n">
        <v>46810</v>
      </c>
      <c r="N320" s="17" t="inlineStr"/>
      <c r="O320" s="17" t="inlineStr"/>
      <c r="P320" s="17" t="inlineStr">
        <is>
          <t>경상남도</t>
        </is>
      </c>
      <c r="Q320" s="17" t="inlineStr">
        <is>
          <t>김해시</t>
        </is>
      </c>
      <c r="R320" s="17" t="inlineStr">
        <is>
          <t>GMP공장소재지</t>
        </is>
      </c>
      <c r="S320" s="17" t="n">
        <v>0</v>
      </c>
      <c r="T320" s="17" t="inlineStr">
        <is>
          <t>Y</t>
        </is>
      </c>
      <c r="U320" s="17" t="n">
        <v>1</v>
      </c>
      <c r="V320" s="24" t="n">
        <v>46810</v>
      </c>
      <c r="W320" s="17" t="inlineStr"/>
      <c r="X320" s="17" t="inlineStr"/>
      <c r="Y320" s="17" t="inlineStr">
        <is>
          <t>무매칭</t>
        </is>
      </c>
      <c r="Z320" s="17" t="n">
        <v>0</v>
      </c>
      <c r="AA320" s="17" t="inlineStr">
        <is>
          <t>Y</t>
        </is>
      </c>
    </row>
    <row r="321">
      <c r="A321" s="30" t="inlineStr">
        <is>
          <t>S320</t>
        </is>
      </c>
      <c r="B321" s="17" t="inlineStr">
        <is>
          <t>P287</t>
        </is>
      </c>
      <c r="C321" s="17" t="inlineStr">
        <is>
          <t>메디카코리아</t>
        </is>
      </c>
      <c r="D321" s="17" t="inlineStr">
        <is>
          <t>(주)메디카코리아</t>
        </is>
      </c>
      <c r="E321" s="17" t="inlineStr">
        <is>
          <t>경기도 화성시 만세구 향남읍 제약공단4길 96</t>
        </is>
      </c>
      <c r="F321" s="17" t="inlineStr">
        <is>
          <t>경기도 화성시 만세구 향남읍 발안공단로3길 22 제1동, 제2동</t>
        </is>
      </c>
      <c r="G321" s="17" t="inlineStr">
        <is>
          <t>경기도 화성시 만세구 향남읍 제약공단4길 96</t>
        </is>
      </c>
      <c r="H321" s="17" t="inlineStr">
        <is>
          <t>보관소</t>
        </is>
      </c>
      <c r="I321" s="23" t="inlineStr">
        <is>
          <t>1317</t>
        </is>
      </c>
      <c r="J321" s="17" t="inlineStr">
        <is>
          <t>2</t>
        </is>
      </c>
      <c r="K321" s="17" t="inlineStr">
        <is>
          <t>완제의약품</t>
        </is>
      </c>
      <c r="L321" s="17" t="inlineStr">
        <is>
          <t>비무균-일반제제-내용고형제(정제, 캡슐제)</t>
        </is>
      </c>
      <c r="M321" s="24" t="n">
        <v>46807</v>
      </c>
      <c r="N321" s="17" t="inlineStr"/>
      <c r="O321" s="17" t="inlineStr"/>
      <c r="P321" s="17" t="inlineStr">
        <is>
          <t>경기도</t>
        </is>
      </c>
      <c r="Q321" s="17" t="inlineStr">
        <is>
          <t>화성시</t>
        </is>
      </c>
      <c r="R321" s="17" t="inlineStr">
        <is>
          <t>GMP공장소재지</t>
        </is>
      </c>
      <c r="S321" s="17" t="n">
        <v>90</v>
      </c>
      <c r="T321" s="17" t="inlineStr">
        <is>
          <t>Y</t>
        </is>
      </c>
      <c r="U321" s="17" t="n">
        <v>1</v>
      </c>
      <c r="V321" s="24" t="n">
        <v>46807</v>
      </c>
      <c r="W321" s="17" t="inlineStr"/>
      <c r="X321" s="17" t="inlineStr"/>
      <c r="Y321" s="17" t="inlineStr">
        <is>
          <t>회사키+주소</t>
        </is>
      </c>
      <c r="Z321" s="17" t="n">
        <v>90</v>
      </c>
      <c r="AA321" s="17" t="inlineStr"/>
    </row>
    <row r="322">
      <c r="A322" s="30" t="inlineStr">
        <is>
          <t>S321</t>
        </is>
      </c>
      <c r="B322" s="17" t="inlineStr">
        <is>
          <t>P288</t>
        </is>
      </c>
      <c r="C322" s="17" t="inlineStr">
        <is>
          <t>위더스제약</t>
        </is>
      </c>
      <c r="D322" s="17" t="inlineStr">
        <is>
          <t>위더스제약(주)</t>
        </is>
      </c>
      <c r="E322" s="17" t="inlineStr">
        <is>
          <t>경기도 안성시 미양면 제2공단2길 103</t>
        </is>
      </c>
      <c r="F322" s="17" t="inlineStr">
        <is>
          <t>경기도 안성시 미양면 제2공단2길 104</t>
        </is>
      </c>
      <c r="G322" s="17" t="inlineStr">
        <is>
          <t>경기도 안성시 미양면 제2공단2길 103</t>
        </is>
      </c>
      <c r="H322" s="17" t="inlineStr">
        <is>
          <t>1공장(안성) 보관소</t>
        </is>
      </c>
      <c r="I322" s="23" t="inlineStr">
        <is>
          <t>1397</t>
        </is>
      </c>
      <c r="J322" s="17" t="inlineStr">
        <is>
          <t>2</t>
        </is>
      </c>
      <c r="K322" s="17" t="inlineStr">
        <is>
          <t>완제의약품</t>
        </is>
      </c>
      <c r="L322" s="17" t="inlineStr">
        <is>
          <t>비무균-세팔로스포린제제-내용고형제(정제, 캡슐제), 비무균-일반제제-내용고형제(정제, 캡슐제)</t>
        </is>
      </c>
      <c r="M322" s="24" t="n">
        <v>46807</v>
      </c>
      <c r="N322" s="17" t="inlineStr"/>
      <c r="O322" s="17" t="inlineStr"/>
      <c r="P322" s="17" t="inlineStr">
        <is>
          <t>경기도</t>
        </is>
      </c>
      <c r="Q322" s="17" t="inlineStr">
        <is>
          <t>안성시</t>
        </is>
      </c>
      <c r="R322" s="17" t="inlineStr">
        <is>
          <t>GMP공장소재지</t>
        </is>
      </c>
      <c r="S322" s="17" t="n">
        <v>90</v>
      </c>
      <c r="T322" s="17" t="inlineStr">
        <is>
          <t>Y</t>
        </is>
      </c>
      <c r="U322" s="17" t="n">
        <v>1</v>
      </c>
      <c r="V322" s="24" t="n">
        <v>46807</v>
      </c>
      <c r="W322" s="17" t="inlineStr"/>
      <c r="X322" s="17" t="inlineStr"/>
      <c r="Y322" s="17" t="inlineStr">
        <is>
          <t>회사키+주소</t>
        </is>
      </c>
      <c r="Z322" s="17" t="n">
        <v>90</v>
      </c>
      <c r="AA322" s="17" t="inlineStr"/>
    </row>
    <row r="323">
      <c r="A323" s="30" t="inlineStr">
        <is>
          <t>S322</t>
        </is>
      </c>
      <c r="B323" s="17" t="inlineStr">
        <is>
          <t>P289</t>
        </is>
      </c>
      <c r="C323" s="17" t="inlineStr">
        <is>
          <t>대구경북첨단의료산업진흥재단</t>
        </is>
      </c>
      <c r="D323" s="17" t="inlineStr">
        <is>
          <t>대구경북첨단의료산업진흥재단</t>
        </is>
      </c>
      <c r="E323" s="17" t="inlineStr">
        <is>
          <t>대구광역시 동구 첨복로 80</t>
        </is>
      </c>
      <c r="F323" s="17" t="inlineStr">
        <is>
          <t>대구광역시 동구 첨복로 80</t>
        </is>
      </c>
      <c r="G323" s="17" t="inlineStr">
        <is>
          <t>대구광역시 동구 첨복로 80</t>
        </is>
      </c>
      <c r="H323" s="17" t="inlineStr">
        <is>
          <t>제1공장</t>
        </is>
      </c>
      <c r="I323" s="23" t="inlineStr">
        <is>
          <t>81</t>
        </is>
      </c>
      <c r="J323" s="17" t="inlineStr">
        <is>
          <t>1</t>
        </is>
      </c>
      <c r="K323" s="17" t="inlineStr">
        <is>
          <t>원료의약품</t>
        </is>
      </c>
      <c r="L323" s="17" t="inlineStr">
        <is>
          <t>비무균-일반제제-합성</t>
        </is>
      </c>
      <c r="M323" s="24" t="n">
        <v>46807</v>
      </c>
      <c r="N323" s="17" t="inlineStr"/>
      <c r="O323" s="17" t="inlineStr"/>
      <c r="P323" s="17" t="inlineStr">
        <is>
          <t>대구광역시</t>
        </is>
      </c>
      <c r="Q323" s="17" t="inlineStr">
        <is>
          <t>동구</t>
        </is>
      </c>
      <c r="R323" s="17" t="inlineStr">
        <is>
          <t>GMP공장소재지</t>
        </is>
      </c>
      <c r="S323" s="17" t="n">
        <v>90</v>
      </c>
      <c r="T323" s="17" t="inlineStr">
        <is>
          <t>Y</t>
        </is>
      </c>
      <c r="U323" s="17" t="n">
        <v>2</v>
      </c>
      <c r="V323" s="24" t="n">
        <v>46807</v>
      </c>
      <c r="W323" s="17" t="inlineStr"/>
      <c r="X323" s="17" t="inlineStr"/>
      <c r="Y323" s="17" t="inlineStr">
        <is>
          <t>회사키+주소</t>
        </is>
      </c>
      <c r="Z323" s="17" t="n">
        <v>90</v>
      </c>
      <c r="AA323" s="17" t="inlineStr"/>
    </row>
    <row r="324">
      <c r="A324" s="30" t="inlineStr">
        <is>
          <t>S323</t>
        </is>
      </c>
      <c r="B324" s="17" t="inlineStr">
        <is>
          <t>P289</t>
        </is>
      </c>
      <c r="C324" s="17" t="inlineStr">
        <is>
          <t>대구경북첨단의료산업진흥재단</t>
        </is>
      </c>
      <c r="D324" s="17" t="inlineStr">
        <is>
          <t>대구경북첨단의료산업진흥재단</t>
        </is>
      </c>
      <c r="E324" s="17" t="inlineStr">
        <is>
          <t>대구광역시 동구 첨복로 80</t>
        </is>
      </c>
      <c r="F324" s="17" t="inlineStr">
        <is>
          <t>대구광역시 동구 첨복로 80</t>
        </is>
      </c>
      <c r="G324" s="17" t="inlineStr">
        <is>
          <t>대구광역시 동구 첨복로 80</t>
        </is>
      </c>
      <c r="H324" s="17" t="inlineStr">
        <is>
          <t>제1공장</t>
        </is>
      </c>
      <c r="I324" s="23" t="inlineStr">
        <is>
          <t>81</t>
        </is>
      </c>
      <c r="J324" s="17" t="inlineStr">
        <is>
          <t>1</t>
        </is>
      </c>
      <c r="K324" s="17" t="inlineStr">
        <is>
          <t>완제의약품</t>
        </is>
      </c>
      <c r="L324" s="17" t="inlineStr">
        <is>
          <t>비무균-일반제제-내용고형제(정제), 무균-세포독성항암제제-주사제(주사제)</t>
        </is>
      </c>
      <c r="M324" s="24" t="n">
        <v>46807</v>
      </c>
      <c r="N324" s="17" t="inlineStr">
        <is>
          <t>Y</t>
        </is>
      </c>
      <c r="O324" s="17" t="inlineStr"/>
      <c r="P324" s="17" t="inlineStr">
        <is>
          <t>대구광역시</t>
        </is>
      </c>
      <c r="Q324" s="17" t="inlineStr">
        <is>
          <t>동구</t>
        </is>
      </c>
      <c r="R324" s="17" t="inlineStr">
        <is>
          <t>GMP공장소재지</t>
        </is>
      </c>
      <c r="S324" s="17" t="n">
        <v>90</v>
      </c>
      <c r="T324" s="17" t="inlineStr">
        <is>
          <t>N</t>
        </is>
      </c>
      <c r="U324" s="17" t="n">
        <v>2</v>
      </c>
      <c r="V324" s="24" t="n">
        <v>46807</v>
      </c>
      <c r="W324" s="17" t="inlineStr"/>
      <c r="X324" s="17" t="inlineStr"/>
      <c r="Y324" s="17" t="inlineStr">
        <is>
          <t>회사키+주소</t>
        </is>
      </c>
      <c r="Z324" s="17" t="n">
        <v>90</v>
      </c>
      <c r="AA324" s="17" t="inlineStr"/>
    </row>
    <row r="325">
      <c r="A325" s="30" t="inlineStr">
        <is>
          <t>S324</t>
        </is>
      </c>
      <c r="B325" s="17" t="inlineStr">
        <is>
          <t>P290</t>
        </is>
      </c>
      <c r="C325" s="17" t="inlineStr">
        <is>
          <t>바이넥스</t>
        </is>
      </c>
      <c r="D325" s="17" t="inlineStr">
        <is>
          <t>(주)바이넥스</t>
        </is>
      </c>
      <c r="E325" s="17" t="inlineStr">
        <is>
          <t>부산광역시 사하구 다대로 368-3</t>
        </is>
      </c>
      <c r="F325" s="17" t="inlineStr">
        <is>
          <t>부산광역시 사하구 다대로 368-3</t>
        </is>
      </c>
      <c r="G325" s="17" t="inlineStr">
        <is>
          <t>부산광역시 사하구 다대로 368-3</t>
        </is>
      </c>
      <c r="H325" s="17" t="inlineStr">
        <is>
          <t>부산</t>
        </is>
      </c>
      <c r="I325" s="23" t="inlineStr">
        <is>
          <t>1358</t>
        </is>
      </c>
      <c r="J325" s="17" t="inlineStr">
        <is>
          <t>1</t>
        </is>
      </c>
      <c r="K325" s="17" t="inlineStr">
        <is>
          <t>원료의약품</t>
        </is>
      </c>
      <c r="L325" s="17" t="inlineStr">
        <is>
          <t>비무균-일반제제-발효</t>
        </is>
      </c>
      <c r="M325" s="24" t="n">
        <v>46807</v>
      </c>
      <c r="N325" s="17" t="inlineStr"/>
      <c r="O325" s="17" t="inlineStr"/>
      <c r="P325" s="17" t="inlineStr">
        <is>
          <t>부산광역시</t>
        </is>
      </c>
      <c r="Q325" s="17" t="inlineStr">
        <is>
          <t>사하구</t>
        </is>
      </c>
      <c r="R325" s="17" t="inlineStr">
        <is>
          <t>GMP공장소재지</t>
        </is>
      </c>
      <c r="S325" s="17" t="n">
        <v>90</v>
      </c>
      <c r="T325" s="17" t="inlineStr">
        <is>
          <t>Y</t>
        </is>
      </c>
      <c r="U325" s="17" t="n">
        <v>2</v>
      </c>
      <c r="V325" s="24" t="n">
        <v>46572</v>
      </c>
      <c r="W325" s="17" t="inlineStr"/>
      <c r="X325" s="17" t="inlineStr">
        <is>
          <t>Y</t>
        </is>
      </c>
      <c r="Y325" s="17" t="inlineStr">
        <is>
          <t>회사키+주소</t>
        </is>
      </c>
      <c r="Z325" s="17" t="n">
        <v>90</v>
      </c>
      <c r="AA325" s="17" t="inlineStr"/>
    </row>
    <row r="326">
      <c r="A326" s="30" t="inlineStr">
        <is>
          <t>S325</t>
        </is>
      </c>
      <c r="B326" s="17" t="inlineStr">
        <is>
          <t>P291</t>
        </is>
      </c>
      <c r="C326" s="17" t="inlineStr">
        <is>
          <t>동국제약</t>
        </is>
      </c>
      <c r="D326" s="17" t="inlineStr">
        <is>
          <t>동국제약(주)</t>
        </is>
      </c>
      <c r="E326" s="17" t="inlineStr">
        <is>
          <t>충청북도 진천군 광혜원면 용소2길 33-19</t>
        </is>
      </c>
      <c r="F326" s="17" t="inlineStr">
        <is>
          <t>충청북도 진천군 광혜원면 용소2길 33-19</t>
        </is>
      </c>
      <c r="G326" s="17" t="inlineStr">
        <is>
          <t>충청북도 진천군 광혜원면 용소2길 33-19</t>
        </is>
      </c>
      <c r="H326" s="17" t="inlineStr">
        <is>
          <t>용소2길</t>
        </is>
      </c>
      <c r="I326" s="23" t="inlineStr">
        <is>
          <t>1416</t>
        </is>
      </c>
      <c r="J326" s="17" t="inlineStr">
        <is>
          <t>2</t>
        </is>
      </c>
      <c r="K326" s="17" t="inlineStr">
        <is>
          <t>완제의약품</t>
        </is>
      </c>
      <c r="L326" s="17" t="inlineStr">
        <is>
          <t>비무균-일반제제-내용고형제(정제, 캡슐제), 무균-일반제제-주사제(주사제, 동결건조주사제), 비무균-일반제제-연고제(연고제, 크림제, 겔제), 비무균-일반제제-그 밖의 고형제(외용산제)</t>
        </is>
      </c>
      <c r="M326" s="24" t="n">
        <v>46806</v>
      </c>
      <c r="N326" s="17" t="inlineStr">
        <is>
          <t>Y</t>
        </is>
      </c>
      <c r="O326" s="17" t="inlineStr"/>
      <c r="P326" s="17" t="inlineStr">
        <is>
          <t>충청북도</t>
        </is>
      </c>
      <c r="Q326" s="17" t="inlineStr">
        <is>
          <t>진천군</t>
        </is>
      </c>
      <c r="R326" s="17" t="inlineStr">
        <is>
          <t>GMP공장소재지</t>
        </is>
      </c>
      <c r="S326" s="17" t="n">
        <v>90</v>
      </c>
      <c r="T326" s="17" t="inlineStr">
        <is>
          <t>Y</t>
        </is>
      </c>
      <c r="U326" s="17" t="n">
        <v>2</v>
      </c>
      <c r="V326" s="24" t="n">
        <v>46806</v>
      </c>
      <c r="W326" s="17" t="inlineStr"/>
      <c r="X326" s="17" t="inlineStr"/>
      <c r="Y326" s="17" t="inlineStr">
        <is>
          <t>회사키+주소</t>
        </is>
      </c>
      <c r="Z326" s="17" t="n">
        <v>90</v>
      </c>
      <c r="AA326" s="17" t="inlineStr"/>
    </row>
    <row r="327">
      <c r="A327" s="30" t="inlineStr">
        <is>
          <t>S326</t>
        </is>
      </c>
      <c r="B327" s="17" t="inlineStr">
        <is>
          <t>P291</t>
        </is>
      </c>
      <c r="C327" s="17" t="inlineStr">
        <is>
          <t>동국제약</t>
        </is>
      </c>
      <c r="D327" s="17" t="inlineStr">
        <is>
          <t>동국제약(주)</t>
        </is>
      </c>
      <c r="E327" s="17" t="inlineStr">
        <is>
          <t>충청북도 진천군 광혜원면 용소2길 33-19</t>
        </is>
      </c>
      <c r="F327" s="17" t="inlineStr">
        <is>
          <t>충청북도 진천군 광혜원면 용소2길 33-19</t>
        </is>
      </c>
      <c r="G327" s="17" t="inlineStr">
        <is>
          <t>충청북도 진천군 광혜원면 용소2길 33-19</t>
        </is>
      </c>
      <c r="H327" s="17" t="inlineStr">
        <is>
          <t>용소2길</t>
        </is>
      </c>
      <c r="I327" s="23" t="inlineStr">
        <is>
          <t>1416</t>
        </is>
      </c>
      <c r="J327" s="17" t="inlineStr">
        <is>
          <t>2</t>
        </is>
      </c>
      <c r="K327" s="17" t="inlineStr">
        <is>
          <t>원료의약품</t>
        </is>
      </c>
      <c r="L327" s="17" t="inlineStr">
        <is>
          <t>무균-일반제제-합성</t>
        </is>
      </c>
      <c r="M327" s="24" t="n">
        <v>46806</v>
      </c>
      <c r="N327" s="17" t="inlineStr">
        <is>
          <t>Y</t>
        </is>
      </c>
      <c r="O327" s="17" t="inlineStr"/>
      <c r="P327" s="17" t="inlineStr">
        <is>
          <t>충청북도</t>
        </is>
      </c>
      <c r="Q327" s="17" t="inlineStr">
        <is>
          <t>진천군</t>
        </is>
      </c>
      <c r="R327" s="17" t="inlineStr">
        <is>
          <t>GMP공장소재지</t>
        </is>
      </c>
      <c r="S327" s="17" t="n">
        <v>90</v>
      </c>
      <c r="T327" s="17" t="inlineStr">
        <is>
          <t>N</t>
        </is>
      </c>
      <c r="U327" s="17" t="n">
        <v>2</v>
      </c>
      <c r="V327" s="24" t="n">
        <v>46806</v>
      </c>
      <c r="W327" s="17" t="inlineStr"/>
      <c r="X327" s="17" t="inlineStr"/>
      <c r="Y327" s="17" t="inlineStr">
        <is>
          <t>회사키+주소</t>
        </is>
      </c>
      <c r="Z327" s="17" t="n">
        <v>90</v>
      </c>
      <c r="AA327" s="17" t="inlineStr"/>
    </row>
    <row r="328">
      <c r="A328" s="30" t="inlineStr">
        <is>
          <t>S327</t>
        </is>
      </c>
      <c r="B328" s="17" t="inlineStr">
        <is>
          <t>P292</t>
        </is>
      </c>
      <c r="C328" s="17" t="inlineStr">
        <is>
          <t>셀트리온</t>
        </is>
      </c>
      <c r="D328" s="17" t="inlineStr">
        <is>
          <t>(주)셀트리온</t>
        </is>
      </c>
      <c r="E328" s="17" t="inlineStr">
        <is>
          <t>인천광역시 연수구 아카데미로 23</t>
        </is>
      </c>
      <c r="F328" s="17" t="inlineStr">
        <is>
          <t>인천광역시 연수구 아카데미로 23</t>
        </is>
      </c>
      <c r="G328" s="17" t="inlineStr">
        <is>
          <t>인천광역시 연수구 아카데미로 23</t>
        </is>
      </c>
      <c r="H328" s="17" t="inlineStr">
        <is>
          <t>제1공장</t>
        </is>
      </c>
      <c r="I328" s="23" t="inlineStr">
        <is>
          <t>2569</t>
        </is>
      </c>
      <c r="J328" s="17" t="inlineStr">
        <is>
          <t>1</t>
        </is>
      </c>
      <c r="K328" s="17" t="inlineStr">
        <is>
          <t>원료의약품</t>
        </is>
      </c>
      <c r="L328" s="17" t="inlineStr">
        <is>
          <t>생물-유전자재조합의약품-(배양, 정제, 바이러스불활화, 원액 제조)</t>
        </is>
      </c>
      <c r="M328" s="24" t="n">
        <v>46800</v>
      </c>
      <c r="N328" s="17" t="inlineStr"/>
      <c r="O328" s="17" t="inlineStr">
        <is>
          <t>Y</t>
        </is>
      </c>
      <c r="P328" s="17" t="inlineStr">
        <is>
          <t>인천광역시</t>
        </is>
      </c>
      <c r="Q328" s="17" t="inlineStr">
        <is>
          <t>연수구</t>
        </is>
      </c>
      <c r="R328" s="17" t="inlineStr">
        <is>
          <t>GMP공장소재지</t>
        </is>
      </c>
      <c r="S328" s="17" t="n">
        <v>90</v>
      </c>
      <c r="T328" s="17" t="inlineStr">
        <is>
          <t>Y</t>
        </is>
      </c>
      <c r="U328" s="17" t="n">
        <v>1</v>
      </c>
      <c r="V328" s="24" t="n">
        <v>46800</v>
      </c>
      <c r="W328" s="17" t="inlineStr"/>
      <c r="X328" s="17" t="inlineStr"/>
      <c r="Y328" s="17" t="inlineStr">
        <is>
          <t>회사키+주소</t>
        </is>
      </c>
      <c r="Z328" s="17" t="n">
        <v>90</v>
      </c>
      <c r="AA328" s="17" t="inlineStr"/>
    </row>
    <row r="329">
      <c r="A329" s="30" t="inlineStr">
        <is>
          <t>S328</t>
        </is>
      </c>
      <c r="B329" s="17" t="inlineStr">
        <is>
          <t>P293</t>
        </is>
      </c>
      <c r="C329" s="17" t="inlineStr">
        <is>
          <t>셀트리온</t>
        </is>
      </c>
      <c r="D329" s="17" t="inlineStr">
        <is>
          <t>(주)셀트리온</t>
        </is>
      </c>
      <c r="E329" s="17" t="inlineStr">
        <is>
          <t>인천광역시 연수구 아카데미로51번길 20</t>
        </is>
      </c>
      <c r="F329" s="17" t="inlineStr">
        <is>
          <t>인천광역시 연수구 아카데미로 23</t>
        </is>
      </c>
      <c r="G329" s="17" t="inlineStr">
        <is>
          <t>인천광역시 연수구 아카데미로51번길 20</t>
        </is>
      </c>
      <c r="H329" s="17" t="inlineStr">
        <is>
          <t>제1공장</t>
        </is>
      </c>
      <c r="I329" s="23" t="inlineStr">
        <is>
          <t>2569</t>
        </is>
      </c>
      <c r="J329" s="17" t="inlineStr">
        <is>
          <t>1</t>
        </is>
      </c>
      <c r="K329" s="17" t="inlineStr">
        <is>
          <t>완제의약품</t>
        </is>
      </c>
      <c r="L329" s="17" t="inlineStr">
        <is>
          <t>생물-유전자재조합의약품-주사제(주사제)</t>
        </is>
      </c>
      <c r="M329" s="24" t="n">
        <v>46800</v>
      </c>
      <c r="N329" s="17" t="inlineStr">
        <is>
          <t>Y</t>
        </is>
      </c>
      <c r="O329" s="17" t="inlineStr">
        <is>
          <t>Y</t>
        </is>
      </c>
      <c r="P329" s="17" t="inlineStr">
        <is>
          <t>인천광역시</t>
        </is>
      </c>
      <c r="Q329" s="17" t="inlineStr">
        <is>
          <t>연수구</t>
        </is>
      </c>
      <c r="R329" s="17" t="inlineStr">
        <is>
          <t>GMP공장소재지</t>
        </is>
      </c>
      <c r="S329" s="17" t="n">
        <v>90</v>
      </c>
      <c r="T329" s="17" t="inlineStr">
        <is>
          <t>Y</t>
        </is>
      </c>
      <c r="U329" s="17" t="n">
        <v>2</v>
      </c>
      <c r="V329" s="24" t="n">
        <v>46800</v>
      </c>
      <c r="W329" s="17" t="inlineStr"/>
      <c r="X329" s="17" t="inlineStr"/>
      <c r="Y329" s="17" t="inlineStr">
        <is>
          <t>회사키+주소</t>
        </is>
      </c>
      <c r="Z329" s="17" t="n">
        <v>90</v>
      </c>
      <c r="AA329" s="17" t="inlineStr"/>
    </row>
    <row r="330">
      <c r="A330" s="30" t="inlineStr">
        <is>
          <t>S329</t>
        </is>
      </c>
      <c r="B330" s="17" t="inlineStr">
        <is>
          <t>P293</t>
        </is>
      </c>
      <c r="C330" s="17" t="inlineStr">
        <is>
          <t>셀트리온</t>
        </is>
      </c>
      <c r="D330" s="17" t="inlineStr">
        <is>
          <t>(주)셀트리온</t>
        </is>
      </c>
      <c r="E330" s="17" t="inlineStr">
        <is>
          <t>인천광역시 연수구 아카데미로51번길 20</t>
        </is>
      </c>
      <c r="F330" s="17" t="inlineStr">
        <is>
          <t>인천광역시 연수구 아카데미로 23</t>
        </is>
      </c>
      <c r="G330" s="17" t="inlineStr">
        <is>
          <t>인천광역시 연수구 아카데미로51번길 20</t>
        </is>
      </c>
      <c r="H330" s="17" t="inlineStr">
        <is>
          <t>제1공장</t>
        </is>
      </c>
      <c r="I330" s="23" t="inlineStr">
        <is>
          <t>2569</t>
        </is>
      </c>
      <c r="J330" s="17" t="inlineStr">
        <is>
          <t>1</t>
        </is>
      </c>
      <c r="K330" s="17" t="inlineStr">
        <is>
          <t>원료의약품</t>
        </is>
      </c>
      <c r="L330" s="17" t="inlineStr">
        <is>
          <t>생물-유전자재조합의약품-(배양, 정제, 바이러스불활화, 원액 제조)</t>
        </is>
      </c>
      <c r="M330" s="24" t="n">
        <v>46800</v>
      </c>
      <c r="N330" s="17" t="inlineStr"/>
      <c r="O330" s="17" t="inlineStr">
        <is>
          <t>Y</t>
        </is>
      </c>
      <c r="P330" s="17" t="inlineStr">
        <is>
          <t>인천광역시</t>
        </is>
      </c>
      <c r="Q330" s="17" t="inlineStr">
        <is>
          <t>연수구</t>
        </is>
      </c>
      <c r="R330" s="17" t="inlineStr">
        <is>
          <t>GMP공장소재지</t>
        </is>
      </c>
      <c r="S330" s="17" t="n">
        <v>90</v>
      </c>
      <c r="T330" s="17" t="inlineStr">
        <is>
          <t>N</t>
        </is>
      </c>
      <c r="U330" s="17" t="n">
        <v>2</v>
      </c>
      <c r="V330" s="24" t="n">
        <v>46800</v>
      </c>
      <c r="W330" s="17" t="inlineStr"/>
      <c r="X330" s="17" t="inlineStr"/>
      <c r="Y330" s="17" t="inlineStr">
        <is>
          <t>회사키+주소</t>
        </is>
      </c>
      <c r="Z330" s="17" t="n">
        <v>90</v>
      </c>
      <c r="AA330" s="17" t="inlineStr"/>
    </row>
    <row r="331">
      <c r="A331" s="30" t="inlineStr">
        <is>
          <t>S330</t>
        </is>
      </c>
      <c r="B331" s="17" t="inlineStr">
        <is>
          <t>P294</t>
        </is>
      </c>
      <c r="C331" s="17" t="inlineStr">
        <is>
          <t>중헌제약</t>
        </is>
      </c>
      <c r="D331" s="17" t="inlineStr">
        <is>
          <t>(주)중헌제약</t>
        </is>
      </c>
      <c r="E331" s="17" t="inlineStr">
        <is>
          <t>충청북도 청주시 흥덕구 옥산면 옥산산단로 28 공장동</t>
        </is>
      </c>
      <c r="F331" s="17" t="inlineStr">
        <is>
          <t>충청북도 청주시 흥덕구 옥산면 옥산산단로 28 공장동</t>
        </is>
      </c>
      <c r="G331" s="17" t="inlineStr">
        <is>
          <t>충청북도 청주시 흥덕구 옥산면 옥산산단로 28 공장동</t>
        </is>
      </c>
      <c r="H331" s="17" t="inlineStr">
        <is>
          <t>옥산공장</t>
        </is>
      </c>
      <c r="I331" s="23" t="inlineStr">
        <is>
          <t>2631</t>
        </is>
      </c>
      <c r="J331" s="17" t="inlineStr">
        <is>
          <t>1</t>
        </is>
      </c>
      <c r="K331" s="17" t="inlineStr">
        <is>
          <t>완제의약품</t>
        </is>
      </c>
      <c r="L331" s="17" t="inlineStr">
        <is>
          <t>비무균-일반제제-내용고형제(정제, 캡슐제), 무균-일반제제-주사제(주사제)</t>
        </is>
      </c>
      <c r="M331" s="24" t="n">
        <v>46800</v>
      </c>
      <c r="N331" s="17" t="inlineStr">
        <is>
          <t>Y</t>
        </is>
      </c>
      <c r="O331" s="17" t="inlineStr"/>
      <c r="P331" s="17" t="inlineStr">
        <is>
          <t>충청북도</t>
        </is>
      </c>
      <c r="Q331" s="17" t="inlineStr">
        <is>
          <t>청주시</t>
        </is>
      </c>
      <c r="R331" s="17" t="inlineStr">
        <is>
          <t>GMP공장소재지</t>
        </is>
      </c>
      <c r="S331" s="17" t="n">
        <v>90</v>
      </c>
      <c r="T331" s="17" t="inlineStr">
        <is>
          <t>Y</t>
        </is>
      </c>
      <c r="U331" s="17" t="n">
        <v>1</v>
      </c>
      <c r="V331" s="24" t="n">
        <v>46800</v>
      </c>
      <c r="W331" s="17" t="inlineStr"/>
      <c r="X331" s="17" t="inlineStr"/>
      <c r="Y331" s="17" t="inlineStr">
        <is>
          <t>회사키+주소</t>
        </is>
      </c>
      <c r="Z331" s="17" t="n">
        <v>90</v>
      </c>
      <c r="AA331" s="17" t="inlineStr"/>
    </row>
    <row r="332">
      <c r="A332" s="30" t="inlineStr">
        <is>
          <t>S331</t>
        </is>
      </c>
      <c r="B332" s="17" t="inlineStr">
        <is>
          <t>P295</t>
        </is>
      </c>
      <c r="C332" s="17" t="inlineStr">
        <is>
          <t>한풍제약</t>
        </is>
      </c>
      <c r="D332" s="17" t="inlineStr">
        <is>
          <t>(주)한풍제약</t>
        </is>
      </c>
      <c r="E332" s="17" t="inlineStr">
        <is>
          <t>전북특별자치도 완주군 봉동읍 완주산단6로 301 , 봉동로 705</t>
        </is>
      </c>
      <c r="F332" s="17" t="inlineStr">
        <is>
          <t>전북특별자치도 완주군 봉동읍 완주산단6로 301 , 봉동로 705</t>
        </is>
      </c>
      <c r="G332" s="17" t="inlineStr">
        <is>
          <t>전북특별자치도 완주군 봉동읍 완주산단6로 301 , 봉동로 705</t>
        </is>
      </c>
      <c r="H332" s="17" t="inlineStr">
        <is>
          <t>미확인</t>
        </is>
      </c>
      <c r="I332" s="23" t="inlineStr">
        <is>
          <t>1417</t>
        </is>
      </c>
      <c r="J332" s="17" t="inlineStr">
        <is>
          <t>2</t>
        </is>
      </c>
      <c r="K332" s="17" t="inlineStr">
        <is>
          <t>원료의약품</t>
        </is>
      </c>
      <c r="L332" s="17" t="inlineStr">
        <is>
          <t>비무균-일반제제-추출</t>
        </is>
      </c>
      <c r="M332" s="24" t="n">
        <v>46798</v>
      </c>
      <c r="N332" s="17" t="inlineStr"/>
      <c r="O332" s="17" t="inlineStr"/>
      <c r="P332" s="17" t="inlineStr">
        <is>
          <t>전북특별자치도</t>
        </is>
      </c>
      <c r="Q332" s="17" t="inlineStr">
        <is>
          <t>완주군</t>
        </is>
      </c>
      <c r="R332" s="17" t="inlineStr">
        <is>
          <t>GMP공장소재지</t>
        </is>
      </c>
      <c r="S332" s="17" t="n">
        <v>90</v>
      </c>
      <c r="T332" s="17" t="inlineStr">
        <is>
          <t>Y</t>
        </is>
      </c>
      <c r="U332" s="17" t="n">
        <v>2</v>
      </c>
      <c r="V332" s="24" t="n">
        <v>46798</v>
      </c>
      <c r="W332" s="17" t="inlineStr"/>
      <c r="X332" s="17" t="inlineStr"/>
      <c r="Y332" s="17" t="inlineStr">
        <is>
          <t>회사키+주소</t>
        </is>
      </c>
      <c r="Z332" s="17" t="n">
        <v>90</v>
      </c>
      <c r="AA332" s="17" t="inlineStr"/>
    </row>
    <row r="333">
      <c r="A333" s="30" t="inlineStr">
        <is>
          <t>S332</t>
        </is>
      </c>
      <c r="B333" s="17" t="inlineStr">
        <is>
          <t>P295</t>
        </is>
      </c>
      <c r="C333" s="17" t="inlineStr">
        <is>
          <t>한풍제약</t>
        </is>
      </c>
      <c r="D333" s="17" t="inlineStr">
        <is>
          <t>(주)한풍제약</t>
        </is>
      </c>
      <c r="E333" s="17" t="inlineStr">
        <is>
          <t>전북특별자치도 완주군 봉동읍 완주산단6로 301 , 봉동로 705</t>
        </is>
      </c>
      <c r="F333" s="17" t="inlineStr">
        <is>
          <t>전북특별자치도 완주군 봉동읍 완주산단6로 301 , 봉동로 705</t>
        </is>
      </c>
      <c r="G333" s="17" t="inlineStr">
        <is>
          <t>전북특별자치도 완주군 봉동읍 완주산단6로 301 , 봉동로 705</t>
        </is>
      </c>
      <c r="H333" s="17" t="inlineStr">
        <is>
          <t>미확인</t>
        </is>
      </c>
      <c r="I333" s="23" t="inlineStr">
        <is>
          <t>1417</t>
        </is>
      </c>
      <c r="J333" s="17" t="inlineStr">
        <is>
          <t>2</t>
        </is>
      </c>
      <c r="K333" s="17" t="inlineStr">
        <is>
          <t>완제의약품</t>
        </is>
      </c>
      <c r="L333" s="17" t="inlineStr">
        <is>
          <t>비무균-일반제제-내용고형제(정제, 캡슐제, 산제, 과립제, 환제, 츄어블정(저작정)), 비무균-일반제제-내용액제(경구용액제, 시럽제(액상), 엑스제(액상)), 비무균-일반제제-연고제(연고제)</t>
        </is>
      </c>
      <c r="M333" s="24" t="n">
        <v>46798</v>
      </c>
      <c r="N333" s="17" t="inlineStr"/>
      <c r="O333" s="17" t="inlineStr"/>
      <c r="P333" s="17" t="inlineStr">
        <is>
          <t>전북특별자치도</t>
        </is>
      </c>
      <c r="Q333" s="17" t="inlineStr">
        <is>
          <t>완주군</t>
        </is>
      </c>
      <c r="R333" s="17" t="inlineStr">
        <is>
          <t>GMP공장소재지</t>
        </is>
      </c>
      <c r="S333" s="17" t="n">
        <v>90</v>
      </c>
      <c r="T333" s="17" t="inlineStr">
        <is>
          <t>N</t>
        </is>
      </c>
      <c r="U333" s="17" t="n">
        <v>2</v>
      </c>
      <c r="V333" s="24" t="n">
        <v>46798</v>
      </c>
      <c r="W333" s="17" t="inlineStr"/>
      <c r="X333" s="17" t="inlineStr"/>
      <c r="Y333" s="17" t="inlineStr">
        <is>
          <t>회사키+주소</t>
        </is>
      </c>
      <c r="Z333" s="17" t="n">
        <v>90</v>
      </c>
      <c r="AA333" s="17" t="inlineStr"/>
    </row>
    <row r="334">
      <c r="A334" s="30" t="inlineStr">
        <is>
          <t>S333</t>
        </is>
      </c>
      <c r="B334" s="17" t="inlineStr">
        <is>
          <t>P296</t>
        </is>
      </c>
      <c r="C334" s="17" t="inlineStr">
        <is>
          <t>성우화학</t>
        </is>
      </c>
      <c r="D334" s="17" t="inlineStr">
        <is>
          <t>성우화학(주)</t>
        </is>
      </c>
      <c r="E334" s="17" t="inlineStr">
        <is>
          <t>경기도 화성시 향남읍 발안공단로1길 32</t>
        </is>
      </c>
      <c r="F334" s="17" t="inlineStr">
        <is>
          <t>경기도 화성시 향남읍 발안공단로1길 32</t>
        </is>
      </c>
      <c r="G334" s="17" t="inlineStr">
        <is>
          <t>경기도 화성시 향남읍 발안공단로1길 32</t>
        </is>
      </c>
      <c r="H334" s="17" t="inlineStr">
        <is>
          <t>화성</t>
        </is>
      </c>
      <c r="I334" s="23" t="inlineStr">
        <is>
          <t>2035</t>
        </is>
      </c>
      <c r="J334" s="17" t="inlineStr">
        <is>
          <t>1</t>
        </is>
      </c>
      <c r="K334" s="17" t="inlineStr">
        <is>
          <t>원료의약품</t>
        </is>
      </c>
      <c r="L334" s="17" t="inlineStr">
        <is>
          <t>비무균-일반제제-합성, 비무균-일반제제-추출, 비무균-일반제제-혼합</t>
        </is>
      </c>
      <c r="M334" s="24" t="n">
        <v>46797</v>
      </c>
      <c r="N334" s="17" t="inlineStr"/>
      <c r="O334" s="17" t="inlineStr"/>
      <c r="P334" s="17" t="inlineStr">
        <is>
          <t>경기도</t>
        </is>
      </c>
      <c r="Q334" s="17" t="inlineStr">
        <is>
          <t>화성시</t>
        </is>
      </c>
      <c r="R334" s="17" t="inlineStr">
        <is>
          <t>GMP공장소재지</t>
        </is>
      </c>
      <c r="S334" s="17" t="n">
        <v>90</v>
      </c>
      <c r="T334" s="17" t="inlineStr">
        <is>
          <t>Y</t>
        </is>
      </c>
      <c r="U334" s="17" t="n">
        <v>1</v>
      </c>
      <c r="V334" s="24" t="n">
        <v>46797</v>
      </c>
      <c r="W334" s="17" t="inlineStr"/>
      <c r="X334" s="17" t="inlineStr"/>
      <c r="Y334" s="17" t="inlineStr">
        <is>
          <t>회사키+주소</t>
        </is>
      </c>
      <c r="Z334" s="17" t="n">
        <v>90</v>
      </c>
      <c r="AA334" s="17" t="inlineStr"/>
    </row>
    <row r="335">
      <c r="A335" s="30" t="inlineStr">
        <is>
          <t>S334</t>
        </is>
      </c>
      <c r="B335" s="17" t="inlineStr">
        <is>
          <t>P297</t>
        </is>
      </c>
      <c r="C335" s="17" t="inlineStr">
        <is>
          <t>호남고압가스</t>
        </is>
      </c>
      <c r="D335" s="17" t="inlineStr">
        <is>
          <t>호남고압가스</t>
        </is>
      </c>
      <c r="E335" s="17" t="inlineStr">
        <is>
          <t>광주광역시 광산구 하남산단5번로 101</t>
        </is>
      </c>
      <c r="F335" s="17" t="inlineStr">
        <is>
          <t>광주광역시 광산구 하남산단5번로 101</t>
        </is>
      </c>
      <c r="G335" s="17" t="inlineStr">
        <is>
          <t>광주광역시 광산구 하남산단5번로 101</t>
        </is>
      </c>
      <c r="H335" s="17" t="inlineStr">
        <is>
          <t>광주</t>
        </is>
      </c>
      <c r="I335" s="23" t="inlineStr">
        <is>
          <t>1617</t>
        </is>
      </c>
      <c r="J335" s="17" t="inlineStr">
        <is>
          <t>1</t>
        </is>
      </c>
      <c r="K335" s="17" t="inlineStr">
        <is>
          <t>완제의약품</t>
        </is>
      </c>
      <c r="L335" s="17" t="inlineStr">
        <is>
          <t>비무균-일반제제(의료용 고압가스)-가스제(의료용 고압가스)</t>
        </is>
      </c>
      <c r="M335" s="24" t="n">
        <v>46797</v>
      </c>
      <c r="N335" s="17" t="inlineStr"/>
      <c r="O335" s="17" t="inlineStr"/>
      <c r="P335" s="17" t="inlineStr">
        <is>
          <t>광주광역시</t>
        </is>
      </c>
      <c r="Q335" s="17" t="inlineStr">
        <is>
          <t>광산구</t>
        </is>
      </c>
      <c r="R335" s="17" t="inlineStr">
        <is>
          <t>GMP공장소재지</t>
        </is>
      </c>
      <c r="S335" s="17" t="n">
        <v>90</v>
      </c>
      <c r="T335" s="17" t="inlineStr">
        <is>
          <t>Y</t>
        </is>
      </c>
      <c r="U335" s="17" t="n">
        <v>1</v>
      </c>
      <c r="V335" s="24" t="n">
        <v>46797</v>
      </c>
      <c r="W335" s="17" t="inlineStr"/>
      <c r="X335" s="17" t="inlineStr"/>
      <c r="Y335" s="17" t="inlineStr">
        <is>
          <t>회사키+주소</t>
        </is>
      </c>
      <c r="Z335" s="17" t="n">
        <v>90</v>
      </c>
      <c r="AA335" s="17" t="inlineStr"/>
    </row>
    <row r="336">
      <c r="A336" s="30" t="inlineStr">
        <is>
          <t>S335</t>
        </is>
      </c>
      <c r="B336" s="17" t="inlineStr">
        <is>
          <t>P298</t>
        </is>
      </c>
      <c r="C336" s="17" t="inlineStr">
        <is>
          <t>종근당바이오</t>
        </is>
      </c>
      <c r="D336" s="17" t="inlineStr">
        <is>
          <t>(주)종근당바이오</t>
        </is>
      </c>
      <c r="E336" s="17" t="inlineStr">
        <is>
          <t>충청북도 청주시 흥덕구 오송읍 오송생명4로 22</t>
        </is>
      </c>
      <c r="F336" s="17" t="inlineStr">
        <is>
          <t>충청북도 청주시 흥덕구 오송읍 오송생명4로 22</t>
        </is>
      </c>
      <c r="G336" s="17" t="inlineStr">
        <is>
          <t>충청북도 청주시 흥덕구 오송읍 오송생명4로 22</t>
        </is>
      </c>
      <c r="H336" s="17" t="inlineStr">
        <is>
          <t>오송</t>
        </is>
      </c>
      <c r="I336" s="23" t="inlineStr">
        <is>
          <t>2253</t>
        </is>
      </c>
      <c r="J336" s="17" t="inlineStr">
        <is>
          <t>3</t>
        </is>
      </c>
      <c r="K336" s="17" t="inlineStr">
        <is>
          <t>원료의약품</t>
        </is>
      </c>
      <c r="L336" s="17" t="inlineStr">
        <is>
          <t>생물-독소-(배양, 정제, 원액 제조)</t>
        </is>
      </c>
      <c r="M336" s="24" t="n">
        <v>46796</v>
      </c>
      <c r="N336" s="17" t="inlineStr"/>
      <c r="O336" s="17" t="inlineStr">
        <is>
          <t>Y</t>
        </is>
      </c>
      <c r="P336" s="17" t="inlineStr">
        <is>
          <t>충청북도</t>
        </is>
      </c>
      <c r="Q336" s="17" t="inlineStr">
        <is>
          <t>청주시</t>
        </is>
      </c>
      <c r="R336" s="17" t="inlineStr">
        <is>
          <t>GMP공장소재지</t>
        </is>
      </c>
      <c r="S336" s="17" t="n">
        <v>90</v>
      </c>
      <c r="T336" s="17" t="inlineStr">
        <is>
          <t>Y</t>
        </is>
      </c>
      <c r="U336" s="17" t="n">
        <v>2</v>
      </c>
      <c r="V336" s="24" t="n">
        <v>46796</v>
      </c>
      <c r="W336" s="17" t="inlineStr"/>
      <c r="X336" s="17" t="inlineStr"/>
      <c r="Y336" s="17" t="inlineStr">
        <is>
          <t>회사키+주소</t>
        </is>
      </c>
      <c r="Z336" s="17" t="n">
        <v>90</v>
      </c>
      <c r="AA336" s="17" t="inlineStr"/>
    </row>
    <row r="337">
      <c r="A337" s="30" t="inlineStr">
        <is>
          <t>S336</t>
        </is>
      </c>
      <c r="B337" s="17" t="inlineStr">
        <is>
          <t>P298</t>
        </is>
      </c>
      <c r="C337" s="17" t="inlineStr">
        <is>
          <t>종근당바이오</t>
        </is>
      </c>
      <c r="D337" s="17" t="inlineStr">
        <is>
          <t>(주)종근당바이오</t>
        </is>
      </c>
      <c r="E337" s="17" t="inlineStr">
        <is>
          <t>충청북도 청주시 흥덕구 오송읍 오송생명4로 22</t>
        </is>
      </c>
      <c r="F337" s="17" t="inlineStr">
        <is>
          <t>충청북도 청주시 흥덕구 오송읍 오송생명4로 22</t>
        </is>
      </c>
      <c r="G337" s="17" t="inlineStr">
        <is>
          <t>충청북도 청주시 흥덕구 오송읍 오송생명4로 22</t>
        </is>
      </c>
      <c r="H337" s="17" t="inlineStr">
        <is>
          <t>오송</t>
        </is>
      </c>
      <c r="I337" s="23" t="inlineStr">
        <is>
          <t>2253</t>
        </is>
      </c>
      <c r="J337" s="17" t="inlineStr">
        <is>
          <t>3</t>
        </is>
      </c>
      <c r="K337" s="17" t="inlineStr">
        <is>
          <t>완제의약품</t>
        </is>
      </c>
      <c r="L337" s="17" t="inlineStr">
        <is>
          <t>생물-독소-주사제(주사제)</t>
        </is>
      </c>
      <c r="M337" s="24" t="n">
        <v>46796</v>
      </c>
      <c r="N337" s="17" t="inlineStr">
        <is>
          <t>Y</t>
        </is>
      </c>
      <c r="O337" s="17" t="inlineStr">
        <is>
          <t>Y</t>
        </is>
      </c>
      <c r="P337" s="17" t="inlineStr">
        <is>
          <t>충청북도</t>
        </is>
      </c>
      <c r="Q337" s="17" t="inlineStr">
        <is>
          <t>청주시</t>
        </is>
      </c>
      <c r="R337" s="17" t="inlineStr">
        <is>
          <t>GMP공장소재지</t>
        </is>
      </c>
      <c r="S337" s="17" t="n">
        <v>90</v>
      </c>
      <c r="T337" s="17" t="inlineStr">
        <is>
          <t>N</t>
        </is>
      </c>
      <c r="U337" s="17" t="n">
        <v>2</v>
      </c>
      <c r="V337" s="24" t="n">
        <v>46796</v>
      </c>
      <c r="W337" s="17" t="inlineStr"/>
      <c r="X337" s="17" t="inlineStr"/>
      <c r="Y337" s="17" t="inlineStr">
        <is>
          <t>회사키+주소</t>
        </is>
      </c>
      <c r="Z337" s="17" t="n">
        <v>90</v>
      </c>
      <c r="AA337" s="17" t="inlineStr"/>
    </row>
    <row r="338">
      <c r="A338" s="30" t="inlineStr">
        <is>
          <t>S337</t>
        </is>
      </c>
      <c r="B338" s="17" t="inlineStr">
        <is>
          <t>P299</t>
        </is>
      </c>
      <c r="C338" s="17" t="inlineStr">
        <is>
          <t>창신</t>
        </is>
      </c>
      <c r="D338" s="17" t="inlineStr">
        <is>
          <t>(주)창신</t>
        </is>
      </c>
      <c r="E338" s="17" t="inlineStr">
        <is>
          <t>경상남도 함안군 산인면 신산로 159-15</t>
        </is>
      </c>
      <c r="F338" s="17" t="inlineStr">
        <is>
          <t>경상남도 함안군 산인면 신산로 159-15</t>
        </is>
      </c>
      <c r="G338" s="17" t="inlineStr">
        <is>
          <t>경상남도 함안군 산인면 신산로 159-15</t>
        </is>
      </c>
      <c r="H338" s="17" t="inlineStr">
        <is>
          <t>함안</t>
        </is>
      </c>
      <c r="I338" s="23" t="inlineStr">
        <is>
          <t>2246</t>
        </is>
      </c>
      <c r="J338" s="17" t="inlineStr">
        <is>
          <t>2</t>
        </is>
      </c>
      <c r="K338" s="17" t="inlineStr">
        <is>
          <t>완제의약품</t>
        </is>
      </c>
      <c r="L338" s="17" t="inlineStr">
        <is>
          <t>비무균-일반제제-가스제(의료용 고압가스)</t>
        </is>
      </c>
      <c r="M338" s="24" t="n">
        <v>46795</v>
      </c>
      <c r="N338" s="17" t="inlineStr"/>
      <c r="O338" s="17" t="inlineStr"/>
      <c r="P338" s="17" t="inlineStr">
        <is>
          <t>경상남도</t>
        </is>
      </c>
      <c r="Q338" s="17" t="inlineStr">
        <is>
          <t>함안군</t>
        </is>
      </c>
      <c r="R338" s="17" t="inlineStr">
        <is>
          <t>GMP공장소재지</t>
        </is>
      </c>
      <c r="S338" s="17" t="n">
        <v>90</v>
      </c>
      <c r="T338" s="17" t="inlineStr">
        <is>
          <t>Y</t>
        </is>
      </c>
      <c r="U338" s="17" t="n">
        <v>1</v>
      </c>
      <c r="V338" s="24" t="n">
        <v>46795</v>
      </c>
      <c r="W338" s="17" t="inlineStr"/>
      <c r="X338" s="17" t="inlineStr"/>
      <c r="Y338" s="17" t="inlineStr">
        <is>
          <t>회사키+주소</t>
        </is>
      </c>
      <c r="Z338" s="17" t="n">
        <v>90</v>
      </c>
      <c r="AA338" s="17" t="inlineStr"/>
    </row>
    <row r="339">
      <c r="A339" s="30" t="inlineStr">
        <is>
          <t>S338</t>
        </is>
      </c>
      <c r="B339" s="17" t="inlineStr">
        <is>
          <t>P300</t>
        </is>
      </c>
      <c r="C339" s="17" t="inlineStr">
        <is>
          <t>파미셀</t>
        </is>
      </c>
      <c r="D339" s="17" t="inlineStr">
        <is>
          <t>파미셀주식회사</t>
        </is>
      </c>
      <c r="E339" s="17" t="inlineStr">
        <is>
          <t>경기도 성남시 중원구 둔촌대로 484 시콕스타워 901 902 911 920 921 922 923 515 516 517 518 519 520 521 522 523(상대원동)</t>
        </is>
      </c>
      <c r="F339" s="17" t="inlineStr"/>
      <c r="G339" s="17" t="inlineStr">
        <is>
          <t>경기도 성남시 중원구 둔촌대로 484 시콕스타워 901 902 911 920 921 922 923 515 516 517 518 519 520 521 522 523(상대원동)</t>
        </is>
      </c>
      <c r="H339" s="17" t="inlineStr">
        <is>
          <t>미확인</t>
        </is>
      </c>
      <c r="I339" s="23" t="inlineStr">
        <is>
          <t>미확인</t>
        </is>
      </c>
      <c r="J339" s="17" t="inlineStr"/>
      <c r="K339" s="17" t="inlineStr">
        <is>
          <t>완제의약품</t>
        </is>
      </c>
      <c r="L339" s="17" t="inlineStr">
        <is>
          <t>생물-세포치료제-주사제(첨단바이오의약품)(주사제)</t>
        </is>
      </c>
      <c r="M339" s="24" t="n">
        <v>46793</v>
      </c>
      <c r="N339" s="17" t="inlineStr">
        <is>
          <t>Y</t>
        </is>
      </c>
      <c r="O339" s="17" t="inlineStr">
        <is>
          <t>Y</t>
        </is>
      </c>
      <c r="P339" s="17" t="inlineStr">
        <is>
          <t>경기도</t>
        </is>
      </c>
      <c r="Q339" s="17" t="inlineStr">
        <is>
          <t>성남시</t>
        </is>
      </c>
      <c r="R339" s="17" t="inlineStr">
        <is>
          <t>GMP공장소재지</t>
        </is>
      </c>
      <c r="S339" s="17" t="n">
        <v>0</v>
      </c>
      <c r="T339" s="17" t="inlineStr">
        <is>
          <t>Y</t>
        </is>
      </c>
      <c r="U339" s="17" t="n">
        <v>1</v>
      </c>
      <c r="V339" s="24" t="n">
        <v>46793</v>
      </c>
      <c r="W339" s="17" t="inlineStr"/>
      <c r="X339" s="17" t="inlineStr"/>
      <c r="Y339" s="17" t="inlineStr">
        <is>
          <t>무매칭</t>
        </is>
      </c>
      <c r="Z339" s="17" t="n">
        <v>0</v>
      </c>
      <c r="AA339" s="17" t="inlineStr">
        <is>
          <t>Y</t>
        </is>
      </c>
    </row>
    <row r="340">
      <c r="A340" s="30" t="inlineStr">
        <is>
          <t>S339</t>
        </is>
      </c>
      <c r="B340" s="17" t="inlineStr">
        <is>
          <t>P301</t>
        </is>
      </c>
      <c r="C340" s="17" t="inlineStr">
        <is>
          <t>대흥산업가스</t>
        </is>
      </c>
      <c r="D340" s="17" t="inlineStr">
        <is>
          <t>대흥산업가스주식회사</t>
        </is>
      </c>
      <c r="E340" s="17" t="inlineStr">
        <is>
          <t>전북특별자치도 군산시 공항로 161</t>
        </is>
      </c>
      <c r="F340" s="17" t="inlineStr">
        <is>
          <t>전북특별자치도 군산시 공항로 161</t>
        </is>
      </c>
      <c r="G340" s="17" t="inlineStr">
        <is>
          <t>전북특별자치도 군산시 공항로 161</t>
        </is>
      </c>
      <c r="H340" s="17" t="inlineStr">
        <is>
          <t>군산</t>
        </is>
      </c>
      <c r="I340" s="23" t="inlineStr">
        <is>
          <t>2368</t>
        </is>
      </c>
      <c r="J340" s="17" t="inlineStr">
        <is>
          <t>1</t>
        </is>
      </c>
      <c r="K340" s="17" t="inlineStr">
        <is>
          <t>완제의약품</t>
        </is>
      </c>
      <c r="L340" s="17" t="inlineStr">
        <is>
          <t>비무균-일반제제(의료용 고압가스)-가스제(의료용 고압가스)</t>
        </is>
      </c>
      <c r="M340" s="24" t="n">
        <v>46792</v>
      </c>
      <c r="N340" s="17" t="inlineStr"/>
      <c r="O340" s="17" t="inlineStr"/>
      <c r="P340" s="17" t="inlineStr">
        <is>
          <t>전북특별자치도</t>
        </is>
      </c>
      <c r="Q340" s="17" t="inlineStr">
        <is>
          <t>군산시</t>
        </is>
      </c>
      <c r="R340" s="17" t="inlineStr">
        <is>
          <t>GMP공장소재지</t>
        </is>
      </c>
      <c r="S340" s="17" t="n">
        <v>90</v>
      </c>
      <c r="T340" s="17" t="inlineStr">
        <is>
          <t>Y</t>
        </is>
      </c>
      <c r="U340" s="17" t="n">
        <v>1</v>
      </c>
      <c r="V340" s="24" t="n">
        <v>46792</v>
      </c>
      <c r="W340" s="17" t="inlineStr"/>
      <c r="X340" s="17" t="inlineStr"/>
      <c r="Y340" s="17" t="inlineStr">
        <is>
          <t>회사키+주소</t>
        </is>
      </c>
      <c r="Z340" s="17" t="n">
        <v>90</v>
      </c>
      <c r="AA340" s="17" t="inlineStr"/>
    </row>
    <row r="341">
      <c r="A341" s="30" t="inlineStr">
        <is>
          <t>S340</t>
        </is>
      </c>
      <c r="B341" s="17" t="inlineStr">
        <is>
          <t>P302</t>
        </is>
      </c>
      <c r="C341" s="17" t="inlineStr">
        <is>
          <t>더유제약</t>
        </is>
      </c>
      <c r="D341" s="17" t="inlineStr">
        <is>
          <t>주식회사더유제약</t>
        </is>
      </c>
      <c r="E341" s="17" t="inlineStr">
        <is>
          <t>경기도 남양주시 진접읍 경복대로바람골길 42-151 , 1~4층</t>
        </is>
      </c>
      <c r="F341" s="17" t="inlineStr">
        <is>
          <t>경기도 남양주시 진접읍 경복대로바람골길 42-151 , 1~4층</t>
        </is>
      </c>
      <c r="G341" s="17" t="inlineStr">
        <is>
          <t>경기도 남양주시 진접읍 경복대로바람골길 42-151 , 1~4층</t>
        </is>
      </c>
      <c r="H341" s="17" t="inlineStr">
        <is>
          <t>(주)더유제약</t>
        </is>
      </c>
      <c r="I341" s="23" t="inlineStr">
        <is>
          <t>373</t>
        </is>
      </c>
      <c r="J341" s="17" t="inlineStr">
        <is>
          <t>1</t>
        </is>
      </c>
      <c r="K341" s="17" t="inlineStr">
        <is>
          <t>완제의약품</t>
        </is>
      </c>
      <c r="L341" s="17" t="inlineStr">
        <is>
          <t>비무균-일반제제-내용고형제(정제, 캡슐제), 비무균-일반제제-외용액제(외용액제, 로션제), 비무균-일반제제-연고제(연고제, 크림제, 겔제)</t>
        </is>
      </c>
      <c r="M341" s="24" t="n">
        <v>46792</v>
      </c>
      <c r="N341" s="17" t="inlineStr"/>
      <c r="O341" s="17" t="inlineStr"/>
      <c r="P341" s="17" t="inlineStr">
        <is>
          <t>경기도</t>
        </is>
      </c>
      <c r="Q341" s="17" t="inlineStr">
        <is>
          <t>남양주시</t>
        </is>
      </c>
      <c r="R341" s="17" t="inlineStr">
        <is>
          <t>GMP공장소재지</t>
        </is>
      </c>
      <c r="S341" s="17" t="n">
        <v>90</v>
      </c>
      <c r="T341" s="17" t="inlineStr">
        <is>
          <t>Y</t>
        </is>
      </c>
      <c r="U341" s="17" t="n">
        <v>1</v>
      </c>
      <c r="V341" s="24" t="n">
        <v>46792</v>
      </c>
      <c r="W341" s="17" t="inlineStr"/>
      <c r="X341" s="17" t="inlineStr"/>
      <c r="Y341" s="17" t="inlineStr">
        <is>
          <t>회사키+주소</t>
        </is>
      </c>
      <c r="Z341" s="17" t="n">
        <v>90</v>
      </c>
      <c r="AA341" s="17" t="inlineStr"/>
    </row>
    <row r="342">
      <c r="A342" s="30" t="inlineStr">
        <is>
          <t>S341</t>
        </is>
      </c>
      <c r="B342" s="17" t="inlineStr">
        <is>
          <t>P303</t>
        </is>
      </c>
      <c r="C342" s="17" t="inlineStr">
        <is>
          <t>한국바스프</t>
        </is>
      </c>
      <c r="D342" s="17" t="inlineStr">
        <is>
          <t>한국바스프(주)</t>
        </is>
      </c>
      <c r="E342" s="17" t="inlineStr">
        <is>
          <t>전북특별자치도 군산시 외항4길 57(소룡동)</t>
        </is>
      </c>
      <c r="F342" s="17" t="inlineStr">
        <is>
          <t>전북특별자치도 군산시 외항4길 57(소룡동)</t>
        </is>
      </c>
      <c r="G342" s="17" t="inlineStr">
        <is>
          <t>전북특별자치도 군산시 외항4길 57(소룡동)</t>
        </is>
      </c>
      <c r="H342" s="17" t="inlineStr">
        <is>
          <t>한국바스프(주)-군산</t>
        </is>
      </c>
      <c r="I342" s="23" t="inlineStr">
        <is>
          <t>303</t>
        </is>
      </c>
      <c r="J342" s="17" t="inlineStr">
        <is>
          <t>1</t>
        </is>
      </c>
      <c r="K342" s="17" t="inlineStr">
        <is>
          <t>원료의약품</t>
        </is>
      </c>
      <c r="L342" s="17" t="inlineStr">
        <is>
          <t>비무균-일반제제-발효</t>
        </is>
      </c>
      <c r="M342" s="24" t="n">
        <v>46791</v>
      </c>
      <c r="N342" s="17" t="inlineStr"/>
      <c r="O342" s="17" t="inlineStr"/>
      <c r="P342" s="17" t="inlineStr">
        <is>
          <t>전북특별자치도</t>
        </is>
      </c>
      <c r="Q342" s="17" t="inlineStr">
        <is>
          <t>군산시</t>
        </is>
      </c>
      <c r="R342" s="17" t="inlineStr">
        <is>
          <t>GMP공장소재지</t>
        </is>
      </c>
      <c r="S342" s="17" t="n">
        <v>90</v>
      </c>
      <c r="T342" s="17" t="inlineStr">
        <is>
          <t>Y</t>
        </is>
      </c>
      <c r="U342" s="17" t="n">
        <v>1</v>
      </c>
      <c r="V342" s="24" t="n">
        <v>46791</v>
      </c>
      <c r="W342" s="17" t="inlineStr"/>
      <c r="X342" s="17" t="inlineStr"/>
      <c r="Y342" s="17" t="inlineStr">
        <is>
          <t>회사키+주소</t>
        </is>
      </c>
      <c r="Z342" s="17" t="n">
        <v>90</v>
      </c>
      <c r="AA342" s="17" t="inlineStr"/>
    </row>
    <row r="343">
      <c r="A343" s="30" t="inlineStr">
        <is>
          <t>S342</t>
        </is>
      </c>
      <c r="B343" s="17" t="inlineStr">
        <is>
          <t>P304</t>
        </is>
      </c>
      <c r="C343" s="17" t="inlineStr">
        <is>
          <t>경동제약</t>
        </is>
      </c>
      <c r="D343" s="17" t="inlineStr">
        <is>
          <t>경동제약(주)</t>
        </is>
      </c>
      <c r="E343" s="17" t="inlineStr">
        <is>
          <t>경기도 화성시 만세구 양감면 제약단지로 224-3</t>
        </is>
      </c>
      <c r="F343" s="17" t="inlineStr">
        <is>
          <t>경기도 화성시 만세구 양감면 제약단지로 224-3</t>
        </is>
      </c>
      <c r="G343" s="17" t="inlineStr">
        <is>
          <t>경기도 화성시 만세구 양감면 제약단지로 224-3</t>
        </is>
      </c>
      <c r="H343" s="17" t="inlineStr">
        <is>
          <t>화성</t>
        </is>
      </c>
      <c r="I343" s="23" t="inlineStr">
        <is>
          <t>1574</t>
        </is>
      </c>
      <c r="J343" s="17" t="inlineStr">
        <is>
          <t>1</t>
        </is>
      </c>
      <c r="K343" s="17" t="inlineStr">
        <is>
          <t>완제의약품</t>
        </is>
      </c>
      <c r="L343" s="17" t="inlineStr">
        <is>
          <t>비무균-세팔로스포린제제-내용고형제(정제, 캡슐제), 비무균-일반제제-내용고형제(정제, 캡슐제), 무균-세팔로스포린제제-주사제(분말주사제), 무균-일반제제-주사제(주사제, 동결건조주사제)</t>
        </is>
      </c>
      <c r="M343" s="24" t="n">
        <v>46790</v>
      </c>
      <c r="N343" s="17" t="inlineStr">
        <is>
          <t>Y</t>
        </is>
      </c>
      <c r="O343" s="17" t="inlineStr"/>
      <c r="P343" s="17" t="inlineStr">
        <is>
          <t>경기도</t>
        </is>
      </c>
      <c r="Q343" s="17" t="inlineStr">
        <is>
          <t>화성시</t>
        </is>
      </c>
      <c r="R343" s="17" t="inlineStr">
        <is>
          <t>GMP공장소재지</t>
        </is>
      </c>
      <c r="S343" s="17" t="n">
        <v>90</v>
      </c>
      <c r="T343" s="17" t="inlineStr">
        <is>
          <t>Y</t>
        </is>
      </c>
      <c r="U343" s="17" t="n">
        <v>2</v>
      </c>
      <c r="V343" s="24" t="n">
        <v>46790</v>
      </c>
      <c r="W343" s="17" t="inlineStr"/>
      <c r="X343" s="17" t="inlineStr"/>
      <c r="Y343" s="17" t="inlineStr">
        <is>
          <t>회사키+주소</t>
        </is>
      </c>
      <c r="Z343" s="17" t="n">
        <v>90</v>
      </c>
      <c r="AA343" s="17" t="inlineStr"/>
    </row>
    <row r="344">
      <c r="A344" s="30" t="inlineStr">
        <is>
          <t>S343</t>
        </is>
      </c>
      <c r="B344" s="17" t="inlineStr">
        <is>
          <t>P304</t>
        </is>
      </c>
      <c r="C344" s="17" t="inlineStr">
        <is>
          <t>경동제약</t>
        </is>
      </c>
      <c r="D344" s="17" t="inlineStr">
        <is>
          <t>경동제약(주)</t>
        </is>
      </c>
      <c r="E344" s="17" t="inlineStr">
        <is>
          <t>경기도 화성시 만세구 양감면 제약단지로 224-3</t>
        </is>
      </c>
      <c r="F344" s="17" t="inlineStr">
        <is>
          <t>경기도 화성시 만세구 양감면 제약단지로 224-3</t>
        </is>
      </c>
      <c r="G344" s="17" t="inlineStr">
        <is>
          <t>경기도 화성시 만세구 양감면 제약단지로 224-3</t>
        </is>
      </c>
      <c r="H344" s="17" t="inlineStr">
        <is>
          <t>화성</t>
        </is>
      </c>
      <c r="I344" s="23" t="inlineStr">
        <is>
          <t>1574</t>
        </is>
      </c>
      <c r="J344" s="17" t="inlineStr">
        <is>
          <t>1</t>
        </is>
      </c>
      <c r="K344" s="17" t="inlineStr">
        <is>
          <t>원료의약품</t>
        </is>
      </c>
      <c r="L344" s="17" t="inlineStr">
        <is>
          <t>무균-세팔로스포린제제-합성, 무균-일반제제-정제(합성에 한함)</t>
        </is>
      </c>
      <c r="M344" s="24" t="n">
        <v>46790</v>
      </c>
      <c r="N344" s="17" t="inlineStr">
        <is>
          <t>Y</t>
        </is>
      </c>
      <c r="O344" s="17" t="inlineStr"/>
      <c r="P344" s="17" t="inlineStr">
        <is>
          <t>경기도</t>
        </is>
      </c>
      <c r="Q344" s="17" t="inlineStr">
        <is>
          <t>화성시</t>
        </is>
      </c>
      <c r="R344" s="17" t="inlineStr">
        <is>
          <t>GMP공장소재지</t>
        </is>
      </c>
      <c r="S344" s="17" t="n">
        <v>90</v>
      </c>
      <c r="T344" s="17" t="inlineStr">
        <is>
          <t>N</t>
        </is>
      </c>
      <c r="U344" s="17" t="n">
        <v>2</v>
      </c>
      <c r="V344" s="24" t="n">
        <v>46790</v>
      </c>
      <c r="W344" s="17" t="inlineStr"/>
      <c r="X344" s="17" t="inlineStr"/>
      <c r="Y344" s="17" t="inlineStr">
        <is>
          <t>회사키+주소</t>
        </is>
      </c>
      <c r="Z344" s="17" t="n">
        <v>90</v>
      </c>
      <c r="AA344" s="17" t="inlineStr"/>
    </row>
    <row r="345">
      <c r="A345" s="30" t="inlineStr">
        <is>
          <t>S344</t>
        </is>
      </c>
      <c r="B345" s="17" t="inlineStr">
        <is>
          <t>P305</t>
        </is>
      </c>
      <c r="C345" s="17" t="inlineStr">
        <is>
          <t>알보젠코리아</t>
        </is>
      </c>
      <c r="D345" s="17" t="inlineStr">
        <is>
          <t>알보젠코리아(주)</t>
        </is>
      </c>
      <c r="E345" s="17" t="inlineStr">
        <is>
          <t>경기도 화성시 만세구 향남읍 제약공단2길 36</t>
        </is>
      </c>
      <c r="F345" s="17" t="inlineStr">
        <is>
          <t>경기도 화성시 만세구 향남읍 제약공단2길 36</t>
        </is>
      </c>
      <c r="G345" s="17" t="inlineStr">
        <is>
          <t>경기도 화성시 만세구 향남읍 제약공단2길 36</t>
        </is>
      </c>
      <c r="H345" s="17" t="inlineStr">
        <is>
          <t>화성</t>
        </is>
      </c>
      <c r="I345" s="23" t="inlineStr">
        <is>
          <t>1367</t>
        </is>
      </c>
      <c r="J345" s="17" t="inlineStr">
        <is>
          <t>2</t>
        </is>
      </c>
      <c r="K345" s="17" t="inlineStr">
        <is>
          <t>완제의약품</t>
        </is>
      </c>
      <c r="L345" s="17" t="inlineStr">
        <is>
          <t>비무균-일반제제-내용고형제(정제, 질정, 캡슐제, 시럽제(고형))</t>
        </is>
      </c>
      <c r="M345" s="24" t="n">
        <v>46779</v>
      </c>
      <c r="N345" s="17" t="inlineStr"/>
      <c r="O345" s="17" t="inlineStr"/>
      <c r="P345" s="17" t="inlineStr">
        <is>
          <t>경기도</t>
        </is>
      </c>
      <c r="Q345" s="17" t="inlineStr">
        <is>
          <t>화성시</t>
        </is>
      </c>
      <c r="R345" s="17" t="inlineStr">
        <is>
          <t>GMP공장소재지</t>
        </is>
      </c>
      <c r="S345" s="17" t="n">
        <v>90</v>
      </c>
      <c r="T345" s="17" t="inlineStr">
        <is>
          <t>Y</t>
        </is>
      </c>
      <c r="U345" s="17" t="n">
        <v>1</v>
      </c>
      <c r="V345" s="24" t="n">
        <v>46779</v>
      </c>
      <c r="W345" s="17" t="inlineStr"/>
      <c r="X345" s="17" t="inlineStr"/>
      <c r="Y345" s="17" t="inlineStr">
        <is>
          <t>회사키+주소</t>
        </is>
      </c>
      <c r="Z345" s="17" t="n">
        <v>90</v>
      </c>
      <c r="AA345" s="17" t="inlineStr"/>
    </row>
    <row r="346">
      <c r="A346" s="30" t="inlineStr">
        <is>
          <t>S345</t>
        </is>
      </c>
      <c r="B346" s="17" t="inlineStr">
        <is>
          <t>P306</t>
        </is>
      </c>
      <c r="C346" s="17" t="inlineStr">
        <is>
          <t>태극제약</t>
        </is>
      </c>
      <c r="D346" s="17" t="inlineStr">
        <is>
          <t>태극제약(주)</t>
        </is>
      </c>
      <c r="E346" s="17" t="inlineStr">
        <is>
          <t>경기도 화성시 만세구 향남읍 제약공단3길 123</t>
        </is>
      </c>
      <c r="F346" s="17" t="inlineStr">
        <is>
          <t>경기도 화성시 만세구 향남읍 제약공단3길 123</t>
        </is>
      </c>
      <c r="G346" s="17" t="inlineStr">
        <is>
          <t>경기도 화성시 만세구 향남읍 제약공단3길 123</t>
        </is>
      </c>
      <c r="H346" s="17" t="inlineStr">
        <is>
          <t>화성</t>
        </is>
      </c>
      <c r="I346" s="23" t="inlineStr">
        <is>
          <t>1370</t>
        </is>
      </c>
      <c r="J346" s="17" t="inlineStr">
        <is>
          <t>1</t>
        </is>
      </c>
      <c r="K346" s="17" t="inlineStr">
        <is>
          <t>완제의약품</t>
        </is>
      </c>
      <c r="L346" s="17" t="inlineStr">
        <is>
          <t>비무균-일반제제-내용고형제(정제, 캡슐제), 비무균-일반제제-내용액제(경구용액제, 시럽제(액상), 현탁제, 구강용스프레이제), 비무균-일반제제-외용액제(외용액제)</t>
        </is>
      </c>
      <c r="M346" s="24" t="n">
        <v>46778</v>
      </c>
      <c r="N346" s="17" t="inlineStr"/>
      <c r="O346" s="17" t="inlineStr"/>
      <c r="P346" s="17" t="inlineStr">
        <is>
          <t>경기도</t>
        </is>
      </c>
      <c r="Q346" s="17" t="inlineStr">
        <is>
          <t>화성시</t>
        </is>
      </c>
      <c r="R346" s="17" t="inlineStr">
        <is>
          <t>GMP공장소재지</t>
        </is>
      </c>
      <c r="S346" s="17" t="n">
        <v>90</v>
      </c>
      <c r="T346" s="17" t="inlineStr">
        <is>
          <t>Y</t>
        </is>
      </c>
      <c r="U346" s="17" t="n">
        <v>1</v>
      </c>
      <c r="V346" s="24" t="n">
        <v>46778</v>
      </c>
      <c r="W346" s="17" t="inlineStr"/>
      <c r="X346" s="17" t="inlineStr"/>
      <c r="Y346" s="17" t="inlineStr">
        <is>
          <t>회사키+주소</t>
        </is>
      </c>
      <c r="Z346" s="17" t="n">
        <v>90</v>
      </c>
      <c r="AA346" s="17" t="inlineStr"/>
    </row>
    <row r="347">
      <c r="A347" s="30" t="inlineStr">
        <is>
          <t>S346</t>
        </is>
      </c>
      <c r="B347" s="17" t="inlineStr">
        <is>
          <t>P307</t>
        </is>
      </c>
      <c r="C347" s="17" t="inlineStr">
        <is>
          <t>중앙산업가스</t>
        </is>
      </c>
      <c r="D347" s="17" t="inlineStr">
        <is>
          <t>중앙산업가스(주)</t>
        </is>
      </c>
      <c r="E347" s="17" t="inlineStr">
        <is>
          <t>대전광역시 대덕구 대전로 1331</t>
        </is>
      </c>
      <c r="F347" s="17" t="inlineStr">
        <is>
          <t>대전광역시 대덕구 대전로 1331</t>
        </is>
      </c>
      <c r="G347" s="17" t="inlineStr">
        <is>
          <t>대전광역시 대덕구 대전로 1331</t>
        </is>
      </c>
      <c r="H347" s="17" t="inlineStr">
        <is>
          <t>대덕</t>
        </is>
      </c>
      <c r="I347" s="23" t="inlineStr">
        <is>
          <t>1610</t>
        </is>
      </c>
      <c r="J347" s="17" t="inlineStr">
        <is>
          <t>1</t>
        </is>
      </c>
      <c r="K347" s="17" t="inlineStr">
        <is>
          <t>완제의약품</t>
        </is>
      </c>
      <c r="L347" s="17" t="inlineStr">
        <is>
          <t>비무균-일반제제-가스제(의료용 고압가스)</t>
        </is>
      </c>
      <c r="M347" s="24" t="n">
        <v>46778</v>
      </c>
      <c r="N347" s="17" t="inlineStr"/>
      <c r="O347" s="17" t="inlineStr"/>
      <c r="P347" s="17" t="inlineStr">
        <is>
          <t>대전광역시</t>
        </is>
      </c>
      <c r="Q347" s="17" t="inlineStr">
        <is>
          <t>대덕구</t>
        </is>
      </c>
      <c r="R347" s="17" t="inlineStr">
        <is>
          <t>GMP공장소재지</t>
        </is>
      </c>
      <c r="S347" s="17" t="n">
        <v>90</v>
      </c>
      <c r="T347" s="17" t="inlineStr">
        <is>
          <t>Y</t>
        </is>
      </c>
      <c r="U347" s="17" t="n">
        <v>1</v>
      </c>
      <c r="V347" s="24" t="n">
        <v>46778</v>
      </c>
      <c r="W347" s="17" t="inlineStr"/>
      <c r="X347" s="17" t="inlineStr"/>
      <c r="Y347" s="17" t="inlineStr">
        <is>
          <t>회사키+주소</t>
        </is>
      </c>
      <c r="Z347" s="17" t="n">
        <v>90</v>
      </c>
      <c r="AA347" s="17" t="inlineStr"/>
    </row>
    <row r="348">
      <c r="A348" s="30" t="inlineStr">
        <is>
          <t>S347</t>
        </is>
      </c>
      <c r="B348" s="17" t="inlineStr">
        <is>
          <t>P308</t>
        </is>
      </c>
      <c r="C348" s="17" t="inlineStr">
        <is>
          <t>한국코러스</t>
        </is>
      </c>
      <c r="D348" s="17" t="inlineStr">
        <is>
          <t>한국코러스(주)</t>
        </is>
      </c>
      <c r="E348" s="17" t="inlineStr">
        <is>
          <t>충청북도 제천시 강저로 30</t>
        </is>
      </c>
      <c r="F348" s="17" t="inlineStr">
        <is>
          <t>충청북도 제천시 강저로 30</t>
        </is>
      </c>
      <c r="G348" s="17" t="inlineStr">
        <is>
          <t>충청북도 제천시 강저로 30</t>
        </is>
      </c>
      <c r="H348" s="17" t="inlineStr">
        <is>
          <t>제천</t>
        </is>
      </c>
      <c r="I348" s="23" t="inlineStr">
        <is>
          <t>1728</t>
        </is>
      </c>
      <c r="J348" s="17" t="inlineStr">
        <is>
          <t>1</t>
        </is>
      </c>
      <c r="K348" s="17" t="inlineStr">
        <is>
          <t>완제의약품</t>
        </is>
      </c>
      <c r="L348" s="17" t="inlineStr">
        <is>
          <t>비무균-세팔로스포린제제-내용고형제(캡슐제), 비무균-일반제제-내용고형제(정제, 캡슐제)</t>
        </is>
      </c>
      <c r="M348" s="24" t="n">
        <v>46778</v>
      </c>
      <c r="N348" s="17" t="inlineStr"/>
      <c r="O348" s="17" t="inlineStr"/>
      <c r="P348" s="17" t="inlineStr">
        <is>
          <t>충청북도</t>
        </is>
      </c>
      <c r="Q348" s="17" t="inlineStr">
        <is>
          <t>제천시</t>
        </is>
      </c>
      <c r="R348" s="17" t="inlineStr">
        <is>
          <t>GMP공장소재지</t>
        </is>
      </c>
      <c r="S348" s="17" t="n">
        <v>90</v>
      </c>
      <c r="T348" s="17" t="inlineStr">
        <is>
          <t>Y</t>
        </is>
      </c>
      <c r="U348" s="17" t="n">
        <v>1</v>
      </c>
      <c r="V348" s="24" t="n">
        <v>46778</v>
      </c>
      <c r="W348" s="17" t="inlineStr"/>
      <c r="X348" s="17" t="inlineStr"/>
      <c r="Y348" s="17" t="inlineStr">
        <is>
          <t>회사키+주소</t>
        </is>
      </c>
      <c r="Z348" s="17" t="n">
        <v>90</v>
      </c>
      <c r="AA348" s="17" t="inlineStr"/>
    </row>
    <row r="349">
      <c r="A349" s="30" t="inlineStr">
        <is>
          <t>S348</t>
        </is>
      </c>
      <c r="B349" s="17" t="inlineStr">
        <is>
          <t>P309</t>
        </is>
      </c>
      <c r="C349" s="17" t="inlineStr">
        <is>
          <t>제일가스산업</t>
        </is>
      </c>
      <c r="D349" s="17" t="inlineStr">
        <is>
          <t>(주)제일가스산업</t>
        </is>
      </c>
      <c r="E349" s="17" t="inlineStr">
        <is>
          <t>세종특별자치시 부강면 부강금호로 97</t>
        </is>
      </c>
      <c r="F349" s="17" t="inlineStr">
        <is>
          <t>세종특별자치시 부강면 부강금호로 97</t>
        </is>
      </c>
      <c r="G349" s="17" t="inlineStr">
        <is>
          <t>세종특별자치시 부강면 부강금호로 97</t>
        </is>
      </c>
      <c r="H349" s="17" t="inlineStr">
        <is>
          <t>1공장</t>
        </is>
      </c>
      <c r="I349" s="23" t="inlineStr">
        <is>
          <t>944</t>
        </is>
      </c>
      <c r="J349" s="17" t="inlineStr">
        <is>
          <t>1</t>
        </is>
      </c>
      <c r="K349" s="17" t="inlineStr">
        <is>
          <t>완제의약품</t>
        </is>
      </c>
      <c r="L349" s="17" t="inlineStr">
        <is>
          <t>비무균-일반제제(의료용 고압가스)-가스제(의료용 고압가스)</t>
        </is>
      </c>
      <c r="M349" s="24" t="n">
        <v>46777</v>
      </c>
      <c r="N349" s="17" t="inlineStr"/>
      <c r="O349" s="17" t="inlineStr"/>
      <c r="P349" s="17" t="inlineStr">
        <is>
          <t>세종특별자치시</t>
        </is>
      </c>
      <c r="Q349" s="17" t="inlineStr">
        <is>
          <t>세종특별자치시</t>
        </is>
      </c>
      <c r="R349" s="17" t="inlineStr">
        <is>
          <t>GMP공장소재지</t>
        </is>
      </c>
      <c r="S349" s="17" t="n">
        <v>90</v>
      </c>
      <c r="T349" s="17" t="inlineStr">
        <is>
          <t>Y</t>
        </is>
      </c>
      <c r="U349" s="17" t="n">
        <v>1</v>
      </c>
      <c r="V349" s="24" t="n">
        <v>46777</v>
      </c>
      <c r="W349" s="17" t="inlineStr"/>
      <c r="X349" s="17" t="inlineStr"/>
      <c r="Y349" s="17" t="inlineStr">
        <is>
          <t>회사키+주소</t>
        </is>
      </c>
      <c r="Z349" s="17" t="n">
        <v>90</v>
      </c>
      <c r="AA349" s="17" t="inlineStr"/>
    </row>
    <row r="350">
      <c r="A350" s="30" t="inlineStr">
        <is>
          <t>S349</t>
        </is>
      </c>
      <c r="B350" s="17" t="inlineStr">
        <is>
          <t>P310</t>
        </is>
      </c>
      <c r="C350" s="17" t="inlineStr">
        <is>
          <t>신일가스</t>
        </is>
      </c>
      <c r="D350" s="17" t="inlineStr">
        <is>
          <t>신일가스(주)</t>
        </is>
      </c>
      <c r="E350" s="17" t="inlineStr">
        <is>
          <t>광주광역시 광산구 하남산단5번로 122</t>
        </is>
      </c>
      <c r="F350" s="17" t="inlineStr">
        <is>
          <t>광주광역시 광산구 하남산단5번로 122</t>
        </is>
      </c>
      <c r="G350" s="17" t="inlineStr">
        <is>
          <t>광주광역시 광산구 하남산단5번로 122</t>
        </is>
      </c>
      <c r="H350" s="17" t="inlineStr">
        <is>
          <t>광주</t>
        </is>
      </c>
      <c r="I350" s="23" t="inlineStr">
        <is>
          <t>1697</t>
        </is>
      </c>
      <c r="J350" s="17" t="inlineStr">
        <is>
          <t>1</t>
        </is>
      </c>
      <c r="K350" s="17" t="inlineStr">
        <is>
          <t>완제의약품</t>
        </is>
      </c>
      <c r="L350" s="17" t="inlineStr">
        <is>
          <t>비무균-일반제제(의료용 고압가스)-가스제(의료용 고압가스)</t>
        </is>
      </c>
      <c r="M350" s="24" t="n">
        <v>46770</v>
      </c>
      <c r="N350" s="17" t="inlineStr"/>
      <c r="O350" s="17" t="inlineStr"/>
      <c r="P350" s="17" t="inlineStr">
        <is>
          <t>광주광역시</t>
        </is>
      </c>
      <c r="Q350" s="17" t="inlineStr">
        <is>
          <t>광산구</t>
        </is>
      </c>
      <c r="R350" s="17" t="inlineStr">
        <is>
          <t>GMP공장소재지</t>
        </is>
      </c>
      <c r="S350" s="17" t="n">
        <v>90</v>
      </c>
      <c r="T350" s="17" t="inlineStr">
        <is>
          <t>Y</t>
        </is>
      </c>
      <c r="U350" s="17" t="n">
        <v>1</v>
      </c>
      <c r="V350" s="24" t="n">
        <v>46770</v>
      </c>
      <c r="W350" s="17" t="inlineStr"/>
      <c r="X350" s="17" t="inlineStr"/>
      <c r="Y350" s="17" t="inlineStr">
        <is>
          <t>회사키+주소</t>
        </is>
      </c>
      <c r="Z350" s="17" t="n">
        <v>90</v>
      </c>
      <c r="AA350" s="17" t="inlineStr"/>
    </row>
    <row r="351">
      <c r="A351" s="30" t="inlineStr">
        <is>
          <t>S350</t>
        </is>
      </c>
      <c r="B351" s="17" t="inlineStr">
        <is>
          <t>P311</t>
        </is>
      </c>
      <c r="C351" s="17" t="inlineStr">
        <is>
          <t>에어프로덕츠코리아</t>
        </is>
      </c>
      <c r="D351" s="17" t="inlineStr">
        <is>
          <t>에어프로덕츠코리아(주)</t>
        </is>
      </c>
      <c r="E351" s="17" t="inlineStr">
        <is>
          <t>충청남도 아산시 탕정면 탕정로 380-33</t>
        </is>
      </c>
      <c r="F351" s="17" t="inlineStr">
        <is>
          <t>충청남도 아산시 탕정면 탕정로 380-33</t>
        </is>
      </c>
      <c r="G351" s="17" t="inlineStr">
        <is>
          <t>충청남도 아산시 탕정면 탕정로 380-33</t>
        </is>
      </c>
      <c r="H351" s="17" t="inlineStr">
        <is>
          <t>아산(탕정)</t>
        </is>
      </c>
      <c r="I351" s="23" t="inlineStr">
        <is>
          <t>2065</t>
        </is>
      </c>
      <c r="J351" s="17" t="inlineStr">
        <is>
          <t>5</t>
        </is>
      </c>
      <c r="K351" s="17" t="inlineStr">
        <is>
          <t>완제의약품</t>
        </is>
      </c>
      <c r="L351" s="17" t="inlineStr">
        <is>
          <t>비무균-일반제제-가스제(의료용 고압가스)</t>
        </is>
      </c>
      <c r="M351" s="24" t="n">
        <v>46768</v>
      </c>
      <c r="N351" s="17" t="inlineStr"/>
      <c r="O351" s="17" t="inlineStr"/>
      <c r="P351" s="17" t="inlineStr">
        <is>
          <t>충청남도</t>
        </is>
      </c>
      <c r="Q351" s="17" t="inlineStr">
        <is>
          <t>아산시</t>
        </is>
      </c>
      <c r="R351" s="17" t="inlineStr">
        <is>
          <t>GMP공장소재지</t>
        </is>
      </c>
      <c r="S351" s="17" t="n">
        <v>90</v>
      </c>
      <c r="T351" s="17" t="inlineStr">
        <is>
          <t>Y</t>
        </is>
      </c>
      <c r="U351" s="17" t="n">
        <v>1</v>
      </c>
      <c r="V351" s="24" t="n">
        <v>46768</v>
      </c>
      <c r="W351" s="17" t="inlineStr"/>
      <c r="X351" s="17" t="inlineStr"/>
      <c r="Y351" s="17" t="inlineStr">
        <is>
          <t>회사키+주소</t>
        </is>
      </c>
      <c r="Z351" s="17" t="n">
        <v>90</v>
      </c>
      <c r="AA351" s="17" t="inlineStr"/>
    </row>
    <row r="352">
      <c r="A352" s="30" t="inlineStr">
        <is>
          <t>S351</t>
        </is>
      </c>
      <c r="B352" s="17" t="inlineStr">
        <is>
          <t>P312</t>
        </is>
      </c>
      <c r="C352" s="17" t="inlineStr">
        <is>
          <t>킴스제약</t>
        </is>
      </c>
      <c r="D352" s="17" t="inlineStr">
        <is>
          <t>(주)킴스제약</t>
        </is>
      </c>
      <c r="E352" s="17" t="inlineStr">
        <is>
          <t>충청북도 청주시 흥덕구 오송읍 오송생명14로 106</t>
        </is>
      </c>
      <c r="F352" s="17" t="inlineStr">
        <is>
          <t>충청북도 청주시 흥덕구 오송읍 오송생명14로 106</t>
        </is>
      </c>
      <c r="G352" s="17" t="inlineStr">
        <is>
          <t>충청북도 청주시 흥덕구 오송읍 오송생명14로 106</t>
        </is>
      </c>
      <c r="H352" s="17" t="inlineStr">
        <is>
          <t>1공장</t>
        </is>
      </c>
      <c r="I352" s="23" t="inlineStr">
        <is>
          <t>2691</t>
        </is>
      </c>
      <c r="J352" s="17" t="inlineStr">
        <is>
          <t>1</t>
        </is>
      </c>
      <c r="K352" s="17" t="inlineStr">
        <is>
          <t>완제의약품</t>
        </is>
      </c>
      <c r="L352" s="17" t="inlineStr">
        <is>
          <t>비무균-일반제제-내용고형제(정제, 캡슐제)</t>
        </is>
      </c>
      <c r="M352" s="24" t="n">
        <v>46764</v>
      </c>
      <c r="N352" s="17" t="inlineStr"/>
      <c r="O352" s="17" t="inlineStr"/>
      <c r="P352" s="17" t="inlineStr">
        <is>
          <t>충청북도</t>
        </is>
      </c>
      <c r="Q352" s="17" t="inlineStr">
        <is>
          <t>청주시</t>
        </is>
      </c>
      <c r="R352" s="17" t="inlineStr">
        <is>
          <t>GMP공장소재지</t>
        </is>
      </c>
      <c r="S352" s="17" t="n">
        <v>90</v>
      </c>
      <c r="T352" s="17" t="inlineStr">
        <is>
          <t>Y</t>
        </is>
      </c>
      <c r="U352" s="17" t="n">
        <v>1</v>
      </c>
      <c r="V352" s="24" t="n">
        <v>46764</v>
      </c>
      <c r="W352" s="17" t="inlineStr"/>
      <c r="X352" s="17" t="inlineStr"/>
      <c r="Y352" s="17" t="inlineStr">
        <is>
          <t>회사키+주소</t>
        </is>
      </c>
      <c r="Z352" s="17" t="n">
        <v>90</v>
      </c>
      <c r="AA352" s="17" t="inlineStr"/>
    </row>
    <row r="353">
      <c r="A353" s="30" t="inlineStr">
        <is>
          <t>S352</t>
        </is>
      </c>
      <c r="B353" s="17" t="inlineStr">
        <is>
          <t>P313</t>
        </is>
      </c>
      <c r="C353" s="17" t="inlineStr">
        <is>
          <t>돌나라한농제약</t>
        </is>
      </c>
      <c r="D353" s="17" t="inlineStr">
        <is>
          <t>(주)돌나라한농제약</t>
        </is>
      </c>
      <c r="E353" s="17" t="inlineStr">
        <is>
          <t>경상북도 상주시 외서면 낙원동길 147</t>
        </is>
      </c>
      <c r="F353" s="17" t="inlineStr"/>
      <c r="G353" s="17" t="inlineStr">
        <is>
          <t>경상북도 상주시 외서면 낙원동길 147</t>
        </is>
      </c>
      <c r="H353" s="17" t="inlineStr">
        <is>
          <t>미확인</t>
        </is>
      </c>
      <c r="I353" s="23" t="inlineStr">
        <is>
          <t>2270</t>
        </is>
      </c>
      <c r="J353" s="17" t="inlineStr"/>
      <c r="K353" s="17" t="inlineStr">
        <is>
          <t>완제의약품</t>
        </is>
      </c>
      <c r="L353" s="17" t="inlineStr">
        <is>
          <t>비무균-일반제제-내용고형제(산제, 과립제)</t>
        </is>
      </c>
      <c r="M353" s="24" t="n">
        <v>46763</v>
      </c>
      <c r="N353" s="17" t="inlineStr"/>
      <c r="O353" s="17" t="inlineStr"/>
      <c r="P353" s="17" t="inlineStr">
        <is>
          <t>경상북도</t>
        </is>
      </c>
      <c r="Q353" s="17" t="inlineStr">
        <is>
          <t>상주시</t>
        </is>
      </c>
      <c r="R353" s="17" t="inlineStr">
        <is>
          <t>GMP공장소재지</t>
        </is>
      </c>
      <c r="S353" s="17" t="n">
        <v>0</v>
      </c>
      <c r="T353" s="17" t="inlineStr">
        <is>
          <t>Y</t>
        </is>
      </c>
      <c r="U353" s="17" t="n">
        <v>1</v>
      </c>
      <c r="V353" s="24" t="n">
        <v>46763</v>
      </c>
      <c r="W353" s="17" t="inlineStr"/>
      <c r="X353" s="17" t="inlineStr"/>
      <c r="Y353" s="17" t="inlineStr">
        <is>
          <t>무매칭</t>
        </is>
      </c>
      <c r="Z353" s="17" t="n">
        <v>0</v>
      </c>
      <c r="AA353" s="17" t="inlineStr">
        <is>
          <t>Y</t>
        </is>
      </c>
    </row>
    <row r="354">
      <c r="A354" s="30" t="inlineStr">
        <is>
          <t>S353</t>
        </is>
      </c>
      <c r="B354" s="17" t="inlineStr">
        <is>
          <t>P314</t>
        </is>
      </c>
      <c r="C354" s="17" t="inlineStr">
        <is>
          <t>돌나라한농제약</t>
        </is>
      </c>
      <c r="D354" s="17" t="inlineStr">
        <is>
          <t>(주)돌나라한농제약</t>
        </is>
      </c>
      <c r="E354" s="17" t="inlineStr">
        <is>
          <t>경상북도 상주시 외서면 하나동2길 19-14</t>
        </is>
      </c>
      <c r="F354" s="17" t="inlineStr"/>
      <c r="G354" s="17" t="inlineStr">
        <is>
          <t>경상북도 상주시 외서면 하나동2길 19-14</t>
        </is>
      </c>
      <c r="H354" s="17" t="inlineStr">
        <is>
          <t>미확인</t>
        </is>
      </c>
      <c r="I354" s="23" t="inlineStr">
        <is>
          <t>2270</t>
        </is>
      </c>
      <c r="J354" s="17" t="inlineStr"/>
      <c r="K354" s="17" t="inlineStr">
        <is>
          <t>원료의약품</t>
        </is>
      </c>
      <c r="L354" s="17" t="inlineStr">
        <is>
          <t>비무균-일반제제-(분쇄, 탄화)</t>
        </is>
      </c>
      <c r="M354" s="24" t="n">
        <v>46763</v>
      </c>
      <c r="N354" s="17" t="inlineStr"/>
      <c r="O354" s="17" t="inlineStr"/>
      <c r="P354" s="17" t="inlineStr">
        <is>
          <t>경상북도</t>
        </is>
      </c>
      <c r="Q354" s="17" t="inlineStr">
        <is>
          <t>상주시</t>
        </is>
      </c>
      <c r="R354" s="17" t="inlineStr">
        <is>
          <t>GMP공장소재지</t>
        </is>
      </c>
      <c r="S354" s="17" t="n">
        <v>0</v>
      </c>
      <c r="T354" s="17" t="inlineStr">
        <is>
          <t>Y</t>
        </is>
      </c>
      <c r="U354" s="17" t="n">
        <v>1</v>
      </c>
      <c r="V354" s="24" t="n">
        <v>46763</v>
      </c>
      <c r="W354" s="17" t="inlineStr"/>
      <c r="X354" s="17" t="inlineStr"/>
      <c r="Y354" s="17" t="inlineStr">
        <is>
          <t>무매칭</t>
        </is>
      </c>
      <c r="Z354" s="17" t="n">
        <v>0</v>
      </c>
      <c r="AA354" s="17" t="inlineStr">
        <is>
          <t>Y</t>
        </is>
      </c>
    </row>
    <row r="355">
      <c r="A355" s="30" t="inlineStr">
        <is>
          <t>S354</t>
        </is>
      </c>
      <c r="B355" s="17" t="inlineStr">
        <is>
          <t>P315</t>
        </is>
      </c>
      <c r="C355" s="17" t="inlineStr">
        <is>
          <t>피에스지</t>
        </is>
      </c>
      <c r="D355" s="17" t="inlineStr">
        <is>
          <t>(주)피에스지</t>
        </is>
      </c>
      <c r="E355" s="17" t="inlineStr">
        <is>
          <t>전라남도 보성군 벌교읍 녹색로 5695-13</t>
        </is>
      </c>
      <c r="F355" s="17" t="inlineStr"/>
      <c r="G355" s="17" t="inlineStr">
        <is>
          <t>전라남도 보성군 벌교읍 녹색로 5695-13</t>
        </is>
      </c>
      <c r="H355" s="17" t="inlineStr">
        <is>
          <t>미확인</t>
        </is>
      </c>
      <c r="I355" s="23" t="inlineStr">
        <is>
          <t>1585</t>
        </is>
      </c>
      <c r="J355" s="17" t="inlineStr"/>
      <c r="K355" s="17" t="inlineStr">
        <is>
          <t>완제의약품</t>
        </is>
      </c>
      <c r="L355" s="17" t="inlineStr">
        <is>
          <t>비무균-일반제제(의료용 고압가스)-가스제(의료용 고압가스)</t>
        </is>
      </c>
      <c r="M355" s="24" t="n">
        <v>46743</v>
      </c>
      <c r="N355" s="17" t="inlineStr"/>
      <c r="O355" s="17" t="inlineStr"/>
      <c r="P355" s="17" t="inlineStr">
        <is>
          <t>전라남도</t>
        </is>
      </c>
      <c r="Q355" s="17" t="inlineStr">
        <is>
          <t>보성군</t>
        </is>
      </c>
      <c r="R355" s="17" t="inlineStr">
        <is>
          <t>GMP공장소재지</t>
        </is>
      </c>
      <c r="S355" s="17" t="n">
        <v>0</v>
      </c>
      <c r="T355" s="17" t="inlineStr">
        <is>
          <t>Y</t>
        </is>
      </c>
      <c r="U355" s="17" t="n">
        <v>1</v>
      </c>
      <c r="V355" s="24" t="n">
        <v>46743</v>
      </c>
      <c r="W355" s="17" t="inlineStr"/>
      <c r="X355" s="17" t="inlineStr"/>
      <c r="Y355" s="17" t="inlineStr">
        <is>
          <t>무매칭</t>
        </is>
      </c>
      <c r="Z355" s="17" t="n">
        <v>0</v>
      </c>
      <c r="AA355" s="17" t="inlineStr">
        <is>
          <t>Y</t>
        </is>
      </c>
    </row>
    <row r="356">
      <c r="A356" s="30" t="inlineStr">
        <is>
          <t>S355</t>
        </is>
      </c>
      <c r="B356" s="17" t="inlineStr">
        <is>
          <t>P316</t>
        </is>
      </c>
      <c r="C356" s="17" t="inlineStr">
        <is>
          <t>코미팜</t>
        </is>
      </c>
      <c r="D356" s="17" t="inlineStr">
        <is>
          <t>(주)코미팜</t>
        </is>
      </c>
      <c r="E356" s="17" t="inlineStr">
        <is>
          <t>충청북도 청주시 흥덕구 오송읍 오송가락로 291</t>
        </is>
      </c>
      <c r="F356" s="17" t="inlineStr">
        <is>
          <t>충청북도 청주시 흥덕구 오송읍 오송가락로 291</t>
        </is>
      </c>
      <c r="G356" s="17" t="inlineStr">
        <is>
          <t>충청북도 청주시 흥덕구 오송읍 오송가락로 291</t>
        </is>
      </c>
      <c r="H356" s="17" t="inlineStr">
        <is>
          <t>1공장</t>
        </is>
      </c>
      <c r="I356" s="23" t="inlineStr">
        <is>
          <t>2627</t>
        </is>
      </c>
      <c r="J356" s="17" t="inlineStr">
        <is>
          <t>1</t>
        </is>
      </c>
      <c r="K356" s="17" t="inlineStr">
        <is>
          <t>완제의약품</t>
        </is>
      </c>
      <c r="L356" s="17" t="inlineStr">
        <is>
          <t>비무균-일반제제-내용고형제(정제)</t>
        </is>
      </c>
      <c r="M356" s="24" t="n">
        <v>46741</v>
      </c>
      <c r="N356" s="17" t="inlineStr"/>
      <c r="O356" s="17" t="inlineStr"/>
      <c r="P356" s="17" t="inlineStr">
        <is>
          <t>충청북도</t>
        </is>
      </c>
      <c r="Q356" s="17" t="inlineStr">
        <is>
          <t>청주시</t>
        </is>
      </c>
      <c r="R356" s="17" t="inlineStr">
        <is>
          <t>GMP공장소재지</t>
        </is>
      </c>
      <c r="S356" s="17" t="n">
        <v>90</v>
      </c>
      <c r="T356" s="17" t="inlineStr">
        <is>
          <t>Y</t>
        </is>
      </c>
      <c r="U356" s="17" t="n">
        <v>1</v>
      </c>
      <c r="V356" s="24" t="n">
        <v>46741</v>
      </c>
      <c r="W356" s="17" t="inlineStr"/>
      <c r="X356" s="17" t="inlineStr"/>
      <c r="Y356" s="17" t="inlineStr">
        <is>
          <t>회사키+주소</t>
        </is>
      </c>
      <c r="Z356" s="17" t="n">
        <v>90</v>
      </c>
      <c r="AA356" s="17" t="inlineStr"/>
    </row>
    <row r="357">
      <c r="A357" s="30" t="inlineStr">
        <is>
          <t>S356</t>
        </is>
      </c>
      <c r="B357" s="17" t="inlineStr">
        <is>
          <t>P317</t>
        </is>
      </c>
      <c r="C357" s="17" t="inlineStr">
        <is>
          <t>건영특수가스</t>
        </is>
      </c>
      <c r="D357" s="17" t="inlineStr">
        <is>
          <t>(주)건영특수가스</t>
        </is>
      </c>
      <c r="E357" s="17" t="inlineStr">
        <is>
          <t>광주광역시 광산구 고봉로230번길 24</t>
        </is>
      </c>
      <c r="F357" s="17" t="inlineStr">
        <is>
          <t>광주광역시 광산구 고봉로230번길 24</t>
        </is>
      </c>
      <c r="G357" s="17" t="inlineStr">
        <is>
          <t>광주광역시 광산구 고봉로230번길 24</t>
        </is>
      </c>
      <c r="H357" s="17" t="inlineStr">
        <is>
          <t>광주</t>
        </is>
      </c>
      <c r="I357" s="23" t="inlineStr">
        <is>
          <t>2224</t>
        </is>
      </c>
      <c r="J357" s="17" t="inlineStr">
        <is>
          <t>1</t>
        </is>
      </c>
      <c r="K357" s="17" t="inlineStr">
        <is>
          <t>완제의약품</t>
        </is>
      </c>
      <c r="L357" s="17" t="inlineStr">
        <is>
          <t>비무균-일반제제(의료용 고압가스)-가스제(의료용 고압가스)</t>
        </is>
      </c>
      <c r="M357" s="24" t="n">
        <v>46733</v>
      </c>
      <c r="N357" s="17" t="inlineStr"/>
      <c r="O357" s="17" t="inlineStr"/>
      <c r="P357" s="17" t="inlineStr">
        <is>
          <t>광주광역시</t>
        </is>
      </c>
      <c r="Q357" s="17" t="inlineStr">
        <is>
          <t>광산구</t>
        </is>
      </c>
      <c r="R357" s="17" t="inlineStr">
        <is>
          <t>GMP공장소재지</t>
        </is>
      </c>
      <c r="S357" s="17" t="n">
        <v>90</v>
      </c>
      <c r="T357" s="17" t="inlineStr">
        <is>
          <t>Y</t>
        </is>
      </c>
      <c r="U357" s="17" t="n">
        <v>1</v>
      </c>
      <c r="V357" s="24" t="n">
        <v>46733</v>
      </c>
      <c r="W357" s="17" t="inlineStr"/>
      <c r="X357" s="17" t="inlineStr"/>
      <c r="Y357" s="17" t="inlineStr">
        <is>
          <t>회사키+주소</t>
        </is>
      </c>
      <c r="Z357" s="17" t="n">
        <v>90</v>
      </c>
      <c r="AA357" s="17" t="inlineStr"/>
    </row>
    <row r="358">
      <c r="A358" s="30" t="inlineStr">
        <is>
          <t>S357</t>
        </is>
      </c>
      <c r="B358" s="17" t="inlineStr">
        <is>
          <t>P278</t>
        </is>
      </c>
      <c r="C358" s="17" t="inlineStr">
        <is>
          <t>유바이오로직스</t>
        </is>
      </c>
      <c r="D358" s="17" t="inlineStr">
        <is>
          <t>(주)유바이오로직스</t>
        </is>
      </c>
      <c r="E358" s="17" t="inlineStr">
        <is>
          <t>강원특별자치도 춘천시 동산면 원무동길 125 생산동 지하1층일부,1층~4층, 관리동 2층,4층</t>
        </is>
      </c>
      <c r="F358" s="17" t="inlineStr">
        <is>
          <t>강원특별자치도 춘천시 동산면 원무동길 125 생산동 지하1층일부,1층~4층, 관리동 2층,4층</t>
        </is>
      </c>
      <c r="G358" s="17" t="inlineStr">
        <is>
          <t>강원특별자치도 춘천시 동산면 원무동길 125 생산동 지하1층일부,1층~4층, 관리동 2층,4층</t>
        </is>
      </c>
      <c r="H358" s="17" t="inlineStr">
        <is>
          <t>[제2공장]</t>
        </is>
      </c>
      <c r="I358" s="23" t="inlineStr">
        <is>
          <t>322</t>
        </is>
      </c>
      <c r="J358" s="17" t="inlineStr">
        <is>
          <t>2</t>
        </is>
      </c>
      <c r="K358" s="17" t="inlineStr">
        <is>
          <t>완제의약품</t>
        </is>
      </c>
      <c r="L358" s="17" t="inlineStr">
        <is>
          <t>생물-백신-내용액제(경구용액제)</t>
        </is>
      </c>
      <c r="M358" s="24" t="n">
        <v>46733</v>
      </c>
      <c r="N358" s="17" t="inlineStr"/>
      <c r="O358" s="17" t="inlineStr">
        <is>
          <t>Y</t>
        </is>
      </c>
      <c r="P358" s="17" t="inlineStr">
        <is>
          <t>강원특별자치도</t>
        </is>
      </c>
      <c r="Q358" s="17" t="inlineStr">
        <is>
          <t>춘천시</t>
        </is>
      </c>
      <c r="R358" s="17" t="inlineStr">
        <is>
          <t>GMP공장소재지</t>
        </is>
      </c>
      <c r="S358" s="17" t="n">
        <v>90</v>
      </c>
      <c r="T358" s="17" t="inlineStr">
        <is>
          <t>N</t>
        </is>
      </c>
      <c r="U358" s="17" t="n">
        <v>2</v>
      </c>
      <c r="V358" s="24" t="n">
        <v>46733</v>
      </c>
      <c r="W358" s="17" t="inlineStr"/>
      <c r="X358" s="17" t="inlineStr"/>
      <c r="Y358" s="17" t="inlineStr">
        <is>
          <t>회사키+주소</t>
        </is>
      </c>
      <c r="Z358" s="17" t="n">
        <v>90</v>
      </c>
      <c r="AA358" s="17" t="inlineStr"/>
    </row>
    <row r="359">
      <c r="A359" s="30" t="inlineStr">
        <is>
          <t>S358</t>
        </is>
      </c>
      <c r="B359" s="17" t="inlineStr">
        <is>
          <t>P318</t>
        </is>
      </c>
      <c r="C359" s="17" t="inlineStr">
        <is>
          <t>평화산소공업</t>
        </is>
      </c>
      <c r="D359" s="17" t="inlineStr">
        <is>
          <t>(주)평화산소공업</t>
        </is>
      </c>
      <c r="E359" s="17" t="inlineStr">
        <is>
          <t>부산광역시 사상구 대동로269번길 41 1층(감전동)</t>
        </is>
      </c>
      <c r="F359" s="17" t="inlineStr">
        <is>
          <t>부산광역시 사상구 대동로269번길 41 1층(감전동)</t>
        </is>
      </c>
      <c r="G359" s="17" t="inlineStr">
        <is>
          <t>부산광역시 사상구 대동로269번길 41 1층(감전동)</t>
        </is>
      </c>
      <c r="H359" s="17" t="inlineStr">
        <is>
          <t>(주)평화산소공업</t>
        </is>
      </c>
      <c r="I359" s="23" t="inlineStr">
        <is>
          <t>6172</t>
        </is>
      </c>
      <c r="J359" s="17" t="inlineStr">
        <is>
          <t>1</t>
        </is>
      </c>
      <c r="K359" s="17" t="inlineStr">
        <is>
          <t>완제의약품</t>
        </is>
      </c>
      <c r="L359" s="17" t="inlineStr">
        <is>
          <t>비무균-일반제제-가스제(의료용 고압가스)</t>
        </is>
      </c>
      <c r="M359" s="24" t="n">
        <v>46719</v>
      </c>
      <c r="N359" s="17" t="inlineStr"/>
      <c r="O359" s="17" t="inlineStr"/>
      <c r="P359" s="17" t="inlineStr">
        <is>
          <t>부산광역시</t>
        </is>
      </c>
      <c r="Q359" s="17" t="inlineStr">
        <is>
          <t>사상구</t>
        </is>
      </c>
      <c r="R359" s="17" t="inlineStr">
        <is>
          <t>GMP공장소재지</t>
        </is>
      </c>
      <c r="S359" s="17" t="n">
        <v>90</v>
      </c>
      <c r="T359" s="17" t="inlineStr">
        <is>
          <t>Y</t>
        </is>
      </c>
      <c r="U359" s="17" t="n">
        <v>1</v>
      </c>
      <c r="V359" s="24" t="n">
        <v>46719</v>
      </c>
      <c r="W359" s="17" t="inlineStr"/>
      <c r="X359" s="17" t="inlineStr"/>
      <c r="Y359" s="17" t="inlineStr">
        <is>
          <t>회사키+주소</t>
        </is>
      </c>
      <c r="Z359" s="17" t="n">
        <v>90</v>
      </c>
      <c r="AA359" s="17" t="inlineStr"/>
    </row>
    <row r="360">
      <c r="A360" s="30" t="inlineStr">
        <is>
          <t>S359</t>
        </is>
      </c>
      <c r="B360" s="17" t="inlineStr">
        <is>
          <t>P319</t>
        </is>
      </c>
      <c r="C360" s="17" t="inlineStr">
        <is>
          <t>세종가스산업</t>
        </is>
      </c>
      <c r="D360" s="17" t="inlineStr">
        <is>
          <t>주식회사 세종가스산업</t>
        </is>
      </c>
      <c r="E360" s="17" t="inlineStr">
        <is>
          <t>경상남도 사천시 축동면 서삼로 1000</t>
        </is>
      </c>
      <c r="F360" s="17" t="inlineStr">
        <is>
          <t>경상남도 사천시 축동면 서삼로 1000</t>
        </is>
      </c>
      <c r="G360" s="17" t="inlineStr">
        <is>
          <t>경상남도 사천시 축동면 서삼로 1000</t>
        </is>
      </c>
      <c r="H360" s="17" t="inlineStr">
        <is>
          <t>주식회사 세종가스산업</t>
        </is>
      </c>
      <c r="I360" s="23" t="inlineStr">
        <is>
          <t>6159</t>
        </is>
      </c>
      <c r="J360" s="17" t="inlineStr">
        <is>
          <t>1</t>
        </is>
      </c>
      <c r="K360" s="17" t="inlineStr">
        <is>
          <t>완제의약품</t>
        </is>
      </c>
      <c r="L360" s="17" t="inlineStr">
        <is>
          <t>비무균-일반제제-가스제(의료용 고압가스)</t>
        </is>
      </c>
      <c r="M360" s="24" t="n">
        <v>46715</v>
      </c>
      <c r="N360" s="17" t="inlineStr"/>
      <c r="O360" s="17" t="inlineStr"/>
      <c r="P360" s="17" t="inlineStr">
        <is>
          <t>경상남도</t>
        </is>
      </c>
      <c r="Q360" s="17" t="inlineStr">
        <is>
          <t>사천시</t>
        </is>
      </c>
      <c r="R360" s="17" t="inlineStr">
        <is>
          <t>GMP공장소재지</t>
        </is>
      </c>
      <c r="S360" s="17" t="n">
        <v>90</v>
      </c>
      <c r="T360" s="17" t="inlineStr">
        <is>
          <t>Y</t>
        </is>
      </c>
      <c r="U360" s="17" t="n">
        <v>1</v>
      </c>
      <c r="V360" s="24" t="n">
        <v>46715</v>
      </c>
      <c r="W360" s="17" t="inlineStr"/>
      <c r="X360" s="17" t="inlineStr"/>
      <c r="Y360" s="17" t="inlineStr">
        <is>
          <t>회사키+주소</t>
        </is>
      </c>
      <c r="Z360" s="17" t="n">
        <v>90</v>
      </c>
      <c r="AA360" s="17" t="inlineStr"/>
    </row>
    <row r="361">
      <c r="A361" s="30" t="inlineStr">
        <is>
          <t>S360</t>
        </is>
      </c>
      <c r="B361" s="17" t="inlineStr">
        <is>
          <t>P320</t>
        </is>
      </c>
      <c r="C361" s="17" t="inlineStr">
        <is>
          <t>에어퍼스트</t>
        </is>
      </c>
      <c r="D361" s="17" t="inlineStr">
        <is>
          <t>(주)에어퍼스트</t>
        </is>
      </c>
      <c r="E361" s="17" t="inlineStr">
        <is>
          <t>경상북도 포항시 남구 대송로101번길 35</t>
        </is>
      </c>
      <c r="F361" s="17" t="inlineStr">
        <is>
          <t>경상북도 포항시 남구 대송로101번길 35</t>
        </is>
      </c>
      <c r="G361" s="17" t="inlineStr">
        <is>
          <t>경상북도 포항시 남구 대송로101번길 35</t>
        </is>
      </c>
      <c r="H361" s="17" t="inlineStr">
        <is>
          <t>포항</t>
        </is>
      </c>
      <c r="I361" s="23" t="inlineStr">
        <is>
          <t>65</t>
        </is>
      </c>
      <c r="J361" s="17" t="inlineStr">
        <is>
          <t>1</t>
        </is>
      </c>
      <c r="K361" s="17" t="inlineStr">
        <is>
          <t>완제의약품</t>
        </is>
      </c>
      <c r="L361" s="17" t="inlineStr">
        <is>
          <t>비무균-일반제제(의료용 고압가스)-가스제(의료용 고압가스)</t>
        </is>
      </c>
      <c r="M361" s="24" t="n">
        <v>46708</v>
      </c>
      <c r="N361" s="17" t="inlineStr"/>
      <c r="O361" s="17" t="inlineStr"/>
      <c r="P361" s="17" t="inlineStr">
        <is>
          <t>경상북도</t>
        </is>
      </c>
      <c r="Q361" s="17" t="inlineStr">
        <is>
          <t>포항시</t>
        </is>
      </c>
      <c r="R361" s="17" t="inlineStr">
        <is>
          <t>GMP공장소재지</t>
        </is>
      </c>
      <c r="S361" s="17" t="n">
        <v>90</v>
      </c>
      <c r="T361" s="17" t="inlineStr">
        <is>
          <t>Y</t>
        </is>
      </c>
      <c r="U361" s="17" t="n">
        <v>1</v>
      </c>
      <c r="V361" s="24" t="n">
        <v>46708</v>
      </c>
      <c r="W361" s="17" t="inlineStr"/>
      <c r="X361" s="17" t="inlineStr"/>
      <c r="Y361" s="17" t="inlineStr">
        <is>
          <t>회사키+주소</t>
        </is>
      </c>
      <c r="Z361" s="17" t="n">
        <v>90</v>
      </c>
      <c r="AA361" s="17" t="inlineStr"/>
    </row>
    <row r="362">
      <c r="A362" s="30" t="inlineStr">
        <is>
          <t>S361</t>
        </is>
      </c>
      <c r="B362" s="17" t="inlineStr">
        <is>
          <t>P321</t>
        </is>
      </c>
      <c r="C362" s="17" t="inlineStr">
        <is>
          <t>린데코리아</t>
        </is>
      </c>
      <c r="D362" s="17" t="inlineStr">
        <is>
          <t>린데코리아주식회사</t>
        </is>
      </c>
      <c r="E362" s="17" t="inlineStr">
        <is>
          <t>충청남도 아산시 탕정면 탕정로 380-43</t>
        </is>
      </c>
      <c r="F362" s="17" t="inlineStr">
        <is>
          <t>충청남도 아산시 탕정면 탕정로 380-43</t>
        </is>
      </c>
      <c r="G362" s="17" t="inlineStr">
        <is>
          <t>충청남도 아산시 탕정면 탕정로 380-43</t>
        </is>
      </c>
      <c r="H362" s="17" t="inlineStr">
        <is>
          <t>탕정</t>
        </is>
      </c>
      <c r="I362" s="23" t="inlineStr">
        <is>
          <t>1615</t>
        </is>
      </c>
      <c r="J362" s="17" t="inlineStr">
        <is>
          <t>5</t>
        </is>
      </c>
      <c r="K362" s="17" t="inlineStr">
        <is>
          <t>완제의약품</t>
        </is>
      </c>
      <c r="L362" s="17" t="inlineStr">
        <is>
          <t>비무균-일반제제(의료용 고압가스)-가스제(의료용 고압가스)</t>
        </is>
      </c>
      <c r="M362" s="24" t="n">
        <v>46698</v>
      </c>
      <c r="N362" s="17" t="inlineStr"/>
      <c r="O362" s="17" t="inlineStr"/>
      <c r="P362" s="17" t="inlineStr">
        <is>
          <t>충청남도</t>
        </is>
      </c>
      <c r="Q362" s="17" t="inlineStr">
        <is>
          <t>아산시</t>
        </is>
      </c>
      <c r="R362" s="17" t="inlineStr">
        <is>
          <t>GMP공장소재지</t>
        </is>
      </c>
      <c r="S362" s="17" t="n">
        <v>90</v>
      </c>
      <c r="T362" s="17" t="inlineStr">
        <is>
          <t>Y</t>
        </is>
      </c>
      <c r="U362" s="17" t="n">
        <v>1</v>
      </c>
      <c r="V362" s="24" t="n">
        <v>46698</v>
      </c>
      <c r="W362" s="17" t="inlineStr"/>
      <c r="X362" s="17" t="inlineStr"/>
      <c r="Y362" s="17" t="inlineStr">
        <is>
          <t>회사키+주소</t>
        </is>
      </c>
      <c r="Z362" s="17" t="n">
        <v>90</v>
      </c>
      <c r="AA362" s="17" t="inlineStr"/>
    </row>
    <row r="363">
      <c r="A363" s="30" t="inlineStr">
        <is>
          <t>S362</t>
        </is>
      </c>
      <c r="B363" s="17" t="inlineStr">
        <is>
          <t>P322</t>
        </is>
      </c>
      <c r="C363" s="17" t="inlineStr">
        <is>
          <t>건일바이오팜</t>
        </is>
      </c>
      <c r="D363" s="17" t="inlineStr">
        <is>
          <t>건일바이오팜주식회사</t>
        </is>
      </c>
      <c r="E363" s="17" t="inlineStr">
        <is>
          <t>충청남도 천안시 서북구 직산읍 거리막길 33 제일동</t>
        </is>
      </c>
      <c r="F363" s="17" t="inlineStr">
        <is>
          <t>충청남도 천안시 서북구 직산읍 거리막길 33 제일동</t>
        </is>
      </c>
      <c r="G363" s="17" t="inlineStr">
        <is>
          <t>충청남도 천안시 서북구 직산읍 거리막길 33 제일동</t>
        </is>
      </c>
      <c r="H363" s="17" t="inlineStr">
        <is>
          <t>1공장</t>
        </is>
      </c>
      <c r="I363" s="23" t="inlineStr">
        <is>
          <t>6163</t>
        </is>
      </c>
      <c r="J363" s="17" t="inlineStr">
        <is>
          <t>1</t>
        </is>
      </c>
      <c r="K363" s="17" t="inlineStr">
        <is>
          <t>완제의약품</t>
        </is>
      </c>
      <c r="L363" s="17" t="inlineStr">
        <is>
          <t>비무균-일반제제-그 밖의 액제(흡입제(액상))</t>
        </is>
      </c>
      <c r="M363" s="24" t="n">
        <v>46697</v>
      </c>
      <c r="N363" s="17" t="inlineStr"/>
      <c r="O363" s="17" t="inlineStr"/>
      <c r="P363" s="17" t="inlineStr">
        <is>
          <t>충청남도</t>
        </is>
      </c>
      <c r="Q363" s="17" t="inlineStr">
        <is>
          <t>천안시</t>
        </is>
      </c>
      <c r="R363" s="17" t="inlineStr">
        <is>
          <t>GMP공장소재지</t>
        </is>
      </c>
      <c r="S363" s="17" t="n">
        <v>90</v>
      </c>
      <c r="T363" s="17" t="inlineStr">
        <is>
          <t>Y</t>
        </is>
      </c>
      <c r="U363" s="17" t="n">
        <v>1</v>
      </c>
      <c r="V363" s="24" t="n">
        <v>46697</v>
      </c>
      <c r="W363" s="17" t="inlineStr"/>
      <c r="X363" s="17" t="inlineStr"/>
      <c r="Y363" s="17" t="inlineStr">
        <is>
          <t>회사키+주소</t>
        </is>
      </c>
      <c r="Z363" s="17" t="n">
        <v>90</v>
      </c>
      <c r="AA363" s="17" t="inlineStr"/>
    </row>
    <row r="364">
      <c r="A364" s="30" t="inlineStr">
        <is>
          <t>S363</t>
        </is>
      </c>
      <c r="B364" s="17" t="inlineStr">
        <is>
          <t>P323</t>
        </is>
      </c>
      <c r="C364" s="17" t="inlineStr">
        <is>
          <t>엘지화학</t>
        </is>
      </c>
      <c r="D364" s="17" t="inlineStr">
        <is>
          <t>(주)엘지화학</t>
        </is>
      </c>
      <c r="E364" s="17" t="inlineStr">
        <is>
          <t>울산광역시 울주군 온산읍 이진로 19</t>
        </is>
      </c>
      <c r="F364" s="17" t="inlineStr">
        <is>
          <t>울산광역시 울주군 온산읍 이진로 19</t>
        </is>
      </c>
      <c r="G364" s="17" t="inlineStr">
        <is>
          <t>울산광역시 울주군 온산읍 이진로 19</t>
        </is>
      </c>
      <c r="H364" s="17" t="inlineStr">
        <is>
          <t>울산공장</t>
        </is>
      </c>
      <c r="I364" s="23" t="inlineStr">
        <is>
          <t>1543</t>
        </is>
      </c>
      <c r="J364" s="17" t="inlineStr">
        <is>
          <t>4</t>
        </is>
      </c>
      <c r="K364" s="17" t="inlineStr">
        <is>
          <t>원료의약품</t>
        </is>
      </c>
      <c r="L364" s="17" t="inlineStr">
        <is>
          <t>비무균-일반제제-합성</t>
        </is>
      </c>
      <c r="M364" s="24" t="n">
        <v>46696</v>
      </c>
      <c r="N364" s="17" t="inlineStr"/>
      <c r="O364" s="17" t="inlineStr"/>
      <c r="P364" s="17" t="inlineStr">
        <is>
          <t>울산광역시</t>
        </is>
      </c>
      <c r="Q364" s="17" t="inlineStr">
        <is>
          <t>울주군</t>
        </is>
      </c>
      <c r="R364" s="17" t="inlineStr">
        <is>
          <t>GMP공장소재지</t>
        </is>
      </c>
      <c r="S364" s="17" t="n">
        <v>90</v>
      </c>
      <c r="T364" s="17" t="inlineStr">
        <is>
          <t>Y</t>
        </is>
      </c>
      <c r="U364" s="17" t="n">
        <v>1</v>
      </c>
      <c r="V364" s="24" t="n">
        <v>46696</v>
      </c>
      <c r="W364" s="17" t="inlineStr"/>
      <c r="X364" s="17" t="inlineStr"/>
      <c r="Y364" s="17" t="inlineStr">
        <is>
          <t>회사키+주소</t>
        </is>
      </c>
      <c r="Z364" s="17" t="n">
        <v>90</v>
      </c>
      <c r="AA364" s="17" t="inlineStr"/>
    </row>
    <row r="365">
      <c r="A365" s="30" t="inlineStr">
        <is>
          <t>S364</t>
        </is>
      </c>
      <c r="B365" s="17" t="inlineStr">
        <is>
          <t>P324</t>
        </is>
      </c>
      <c r="C365" s="17" t="inlineStr">
        <is>
          <t>동아제약</t>
        </is>
      </c>
      <c r="D365" s="17" t="inlineStr">
        <is>
          <t>동아제약(주)</t>
        </is>
      </c>
      <c r="E365" s="17" t="inlineStr">
        <is>
          <t>충청남도 천안시 서북구 백석공단1로 200-23 (1, 2A, 4A층)</t>
        </is>
      </c>
      <c r="F365" s="17" t="inlineStr">
        <is>
          <t>충청남도 천안시 서북구 백석공단1로 200-23 (12동 일부)</t>
        </is>
      </c>
      <c r="G365" s="17" t="inlineStr">
        <is>
          <t>충청남도 천안시 서북구 백석공단1로 200-23 (1, 2A, 4A층)</t>
        </is>
      </c>
      <c r="H365" s="17" t="inlineStr">
        <is>
          <t>시험실</t>
        </is>
      </c>
      <c r="I365" s="23" t="inlineStr">
        <is>
          <t>2606</t>
        </is>
      </c>
      <c r="J365" s="17" t="inlineStr">
        <is>
          <t>7</t>
        </is>
      </c>
      <c r="K365" s="17" t="inlineStr">
        <is>
          <t>완제의약품</t>
        </is>
      </c>
      <c r="L365" s="17" t="inlineStr">
        <is>
          <t>비무균-일반제제-내용액제(경구용액제, 시럽제(액상))</t>
        </is>
      </c>
      <c r="M365" s="24" t="n">
        <v>46690</v>
      </c>
      <c r="N365" s="17" t="inlineStr"/>
      <c r="O365" s="17" t="inlineStr"/>
      <c r="P365" s="17" t="inlineStr">
        <is>
          <t>충청남도</t>
        </is>
      </c>
      <c r="Q365" s="17" t="inlineStr">
        <is>
          <t>천안시</t>
        </is>
      </c>
      <c r="R365" s="17" t="inlineStr">
        <is>
          <t>GMP공장소재지</t>
        </is>
      </c>
      <c r="S365" s="17" t="n">
        <v>90</v>
      </c>
      <c r="T365" s="17" t="inlineStr">
        <is>
          <t>Y</t>
        </is>
      </c>
      <c r="U365" s="17" t="n">
        <v>1</v>
      </c>
      <c r="V365" s="24" t="n">
        <v>46690</v>
      </c>
      <c r="W365" s="17" t="inlineStr"/>
      <c r="X365" s="17" t="inlineStr"/>
      <c r="Y365" s="17" t="inlineStr">
        <is>
          <t>회사키+주소</t>
        </is>
      </c>
      <c r="Z365" s="17" t="n">
        <v>90</v>
      </c>
      <c r="AA365" s="17" t="inlineStr"/>
    </row>
    <row r="366">
      <c r="A366" s="30" t="inlineStr">
        <is>
          <t>S365</t>
        </is>
      </c>
      <c r="B366" s="17" t="inlineStr">
        <is>
          <t>P325</t>
        </is>
      </c>
      <c r="C366" s="17" t="inlineStr">
        <is>
          <t>바이오솔루션</t>
        </is>
      </c>
      <c r="D366" s="17" t="inlineStr">
        <is>
          <t>(주)바이오솔루션</t>
        </is>
      </c>
      <c r="E366" s="17" t="inlineStr">
        <is>
          <t>서울특별시 노원구 공릉로 232 서울테크노파크 1층 101호, 102호, 5층 501~504호, 513호, (원료보관소)506호, (자재보관소)514호</t>
        </is>
      </c>
      <c r="F366" s="17" t="inlineStr"/>
      <c r="G366" s="17" t="inlineStr">
        <is>
          <t>서울특별시 노원구 공릉로 232 서울테크노파크 1층 101호, 102호, 5층 501~504호, 513호, (원료보관소)506호, (자재보관소)514호</t>
        </is>
      </c>
      <c r="H366" s="17" t="inlineStr">
        <is>
          <t>미확인</t>
        </is>
      </c>
      <c r="I366" s="23" t="inlineStr">
        <is>
          <t>미확인</t>
        </is>
      </c>
      <c r="J366" s="17" t="inlineStr"/>
      <c r="K366" s="17" t="inlineStr">
        <is>
          <t>완제의약품</t>
        </is>
      </c>
      <c r="L366" s="17" t="inlineStr">
        <is>
          <t>생물-세포치료제-주사제(첨단바이오의약품)(주사제)</t>
        </is>
      </c>
      <c r="M366" s="24" t="n">
        <v>46689</v>
      </c>
      <c r="N366" s="17" t="inlineStr">
        <is>
          <t>Y</t>
        </is>
      </c>
      <c r="O366" s="17" t="inlineStr">
        <is>
          <t>Y</t>
        </is>
      </c>
      <c r="P366" s="17" t="inlineStr">
        <is>
          <t>서울특별시</t>
        </is>
      </c>
      <c r="Q366" s="17" t="inlineStr">
        <is>
          <t>노원구</t>
        </is>
      </c>
      <c r="R366" s="17" t="inlineStr">
        <is>
          <t>GMP공장소재지</t>
        </is>
      </c>
      <c r="S366" s="17" t="n">
        <v>0</v>
      </c>
      <c r="T366" s="17" t="inlineStr">
        <is>
          <t>Y</t>
        </is>
      </c>
      <c r="U366" s="17" t="n">
        <v>1</v>
      </c>
      <c r="V366" s="24" t="n">
        <v>46689</v>
      </c>
      <c r="W366" s="17" t="inlineStr"/>
      <c r="X366" s="17" t="inlineStr"/>
      <c r="Y366" s="17" t="inlineStr">
        <is>
          <t>무매칭</t>
        </is>
      </c>
      <c r="Z366" s="17" t="n">
        <v>0</v>
      </c>
      <c r="AA366" s="17" t="inlineStr">
        <is>
          <t>Y</t>
        </is>
      </c>
    </row>
    <row r="367">
      <c r="A367" s="30" t="inlineStr">
        <is>
          <t>S366</t>
        </is>
      </c>
      <c r="B367" s="17" t="inlineStr">
        <is>
          <t>P326</t>
        </is>
      </c>
      <c r="C367" s="17" t="inlineStr">
        <is>
          <t>린데코리아</t>
        </is>
      </c>
      <c r="D367" s="17" t="inlineStr">
        <is>
          <t>린데코리아주식회사</t>
        </is>
      </c>
      <c r="E367" s="17" t="inlineStr">
        <is>
          <t>경상남도 창원시 성산구 삼동로 100-31</t>
        </is>
      </c>
      <c r="F367" s="17" t="inlineStr">
        <is>
          <t>경상남도 창원시 성산구 삼동로 100-31</t>
        </is>
      </c>
      <c r="G367" s="17" t="inlineStr">
        <is>
          <t>경상남도 창원시 성산구 삼동로 100-31</t>
        </is>
      </c>
      <c r="H367" s="17" t="inlineStr">
        <is>
          <t>창원</t>
        </is>
      </c>
      <c r="I367" s="23" t="inlineStr">
        <is>
          <t>1615</t>
        </is>
      </c>
      <c r="J367" s="17" t="inlineStr">
        <is>
          <t>2</t>
        </is>
      </c>
      <c r="K367" s="17" t="inlineStr">
        <is>
          <t>완제의약품</t>
        </is>
      </c>
      <c r="L367" s="17" t="inlineStr">
        <is>
          <t>비무균-일반제제-가스제(의료용 고압가스)</t>
        </is>
      </c>
      <c r="M367" s="24" t="n">
        <v>46685</v>
      </c>
      <c r="N367" s="17" t="inlineStr"/>
      <c r="O367" s="17" t="inlineStr"/>
      <c r="P367" s="17" t="inlineStr">
        <is>
          <t>경상남도</t>
        </is>
      </c>
      <c r="Q367" s="17" t="inlineStr">
        <is>
          <t>창원시</t>
        </is>
      </c>
      <c r="R367" s="17" t="inlineStr">
        <is>
          <t>GMP공장소재지</t>
        </is>
      </c>
      <c r="S367" s="17" t="n">
        <v>90</v>
      </c>
      <c r="T367" s="17" t="inlineStr">
        <is>
          <t>Y</t>
        </is>
      </c>
      <c r="U367" s="17" t="n">
        <v>1</v>
      </c>
      <c r="V367" s="24" t="n">
        <v>46685</v>
      </c>
      <c r="W367" s="17" t="inlineStr"/>
      <c r="X367" s="17" t="inlineStr"/>
      <c r="Y367" s="17" t="inlineStr">
        <is>
          <t>회사키+주소</t>
        </is>
      </c>
      <c r="Z367" s="17" t="n">
        <v>90</v>
      </c>
      <c r="AA367" s="17" t="inlineStr"/>
    </row>
    <row r="368">
      <c r="A368" s="30" t="inlineStr">
        <is>
          <t>S367</t>
        </is>
      </c>
      <c r="B368" s="17" t="inlineStr">
        <is>
          <t>P327</t>
        </is>
      </c>
      <c r="C368" s="17" t="inlineStr">
        <is>
          <t>일양약품</t>
        </is>
      </c>
      <c r="D368" s="17" t="inlineStr">
        <is>
          <t>일양약품(주)</t>
        </is>
      </c>
      <c r="E368" s="17" t="inlineStr">
        <is>
          <t>충청북도 음성군 금왕읍 대금로 1291</t>
        </is>
      </c>
      <c r="F368" s="17" t="inlineStr">
        <is>
          <t>충청북도 음성군 금왕읍 대금로 1291</t>
        </is>
      </c>
      <c r="G368" s="17" t="inlineStr">
        <is>
          <t>충청북도 음성군 금왕읍 대금로 1291</t>
        </is>
      </c>
      <c r="H368" s="17" t="inlineStr">
        <is>
          <t>음성</t>
        </is>
      </c>
      <c r="I368" s="23" t="inlineStr">
        <is>
          <t>1336</t>
        </is>
      </c>
      <c r="J368" s="17" t="inlineStr">
        <is>
          <t>4</t>
        </is>
      </c>
      <c r="K368" s="17" t="inlineStr">
        <is>
          <t>원료의약품</t>
        </is>
      </c>
      <c r="L368" s="17" t="inlineStr">
        <is>
          <t>생물-백신-(배양, 정제, 원액 제조)</t>
        </is>
      </c>
      <c r="M368" s="24" t="n">
        <v>46683</v>
      </c>
      <c r="N368" s="17" t="inlineStr"/>
      <c r="O368" s="17" t="inlineStr">
        <is>
          <t>Y</t>
        </is>
      </c>
      <c r="P368" s="17" t="inlineStr">
        <is>
          <t>충청북도</t>
        </is>
      </c>
      <c r="Q368" s="17" t="inlineStr">
        <is>
          <t>음성군</t>
        </is>
      </c>
      <c r="R368" s="17" t="inlineStr">
        <is>
          <t>GMP공장소재지</t>
        </is>
      </c>
      <c r="S368" s="17" t="n">
        <v>90</v>
      </c>
      <c r="T368" s="17" t="inlineStr">
        <is>
          <t>Y</t>
        </is>
      </c>
      <c r="U368" s="17" t="n">
        <v>1</v>
      </c>
      <c r="V368" s="24" t="n">
        <v>46683</v>
      </c>
      <c r="W368" s="17" t="inlineStr"/>
      <c r="X368" s="17" t="inlineStr"/>
      <c r="Y368" s="17" t="inlineStr">
        <is>
          <t>회사키+주소</t>
        </is>
      </c>
      <c r="Z368" s="17" t="n">
        <v>90</v>
      </c>
      <c r="AA368" s="17" t="inlineStr"/>
    </row>
    <row r="369">
      <c r="A369" s="30" t="inlineStr">
        <is>
          <t>S368</t>
        </is>
      </c>
      <c r="B369" s="17" t="inlineStr">
        <is>
          <t>P328</t>
        </is>
      </c>
      <c r="C369" s="17" t="inlineStr">
        <is>
          <t>안트로젠</t>
        </is>
      </c>
      <c r="D369" s="17" t="inlineStr">
        <is>
          <t>(주)안트로젠</t>
        </is>
      </c>
      <c r="E369" s="17" t="inlineStr">
        <is>
          <t>서울특별시 금천구 디지털로 130 남성프라자(에이스9차) 404~407호, 610호 일부</t>
        </is>
      </c>
      <c r="F369" s="17" t="inlineStr"/>
      <c r="G369" s="17" t="inlineStr">
        <is>
          <t>서울특별시 금천구 디지털로 130 남성프라자(에이스9차) 404~407호, 610호 일부</t>
        </is>
      </c>
      <c r="H369" s="17" t="inlineStr">
        <is>
          <t>미확인</t>
        </is>
      </c>
      <c r="I369" s="23" t="inlineStr">
        <is>
          <t>미확인</t>
        </is>
      </c>
      <c r="J369" s="17" t="inlineStr"/>
      <c r="K369" s="17" t="inlineStr">
        <is>
          <t>완제의약품</t>
        </is>
      </c>
      <c r="L369" s="17" t="inlineStr">
        <is>
          <t>생물-세포치료제-주사제(첨단바이오의약품)(주사제)</t>
        </is>
      </c>
      <c r="M369" s="24" t="n">
        <v>46682</v>
      </c>
      <c r="N369" s="17" t="inlineStr">
        <is>
          <t>Y</t>
        </is>
      </c>
      <c r="O369" s="17" t="inlineStr">
        <is>
          <t>Y</t>
        </is>
      </c>
      <c r="P369" s="17" t="inlineStr">
        <is>
          <t>서울특별시</t>
        </is>
      </c>
      <c r="Q369" s="17" t="inlineStr">
        <is>
          <t>금천구</t>
        </is>
      </c>
      <c r="R369" s="17" t="inlineStr">
        <is>
          <t>GMP공장소재지</t>
        </is>
      </c>
      <c r="S369" s="17" t="n">
        <v>0</v>
      </c>
      <c r="T369" s="17" t="inlineStr">
        <is>
          <t>Y</t>
        </is>
      </c>
      <c r="U369" s="17" t="n">
        <v>1</v>
      </c>
      <c r="V369" s="24" t="n">
        <v>46682</v>
      </c>
      <c r="W369" s="17" t="inlineStr"/>
      <c r="X369" s="17" t="inlineStr"/>
      <c r="Y369" s="17" t="inlineStr">
        <is>
          <t>무매칭</t>
        </is>
      </c>
      <c r="Z369" s="17" t="n">
        <v>0</v>
      </c>
      <c r="AA369" s="17" t="inlineStr">
        <is>
          <t>Y</t>
        </is>
      </c>
    </row>
    <row r="370">
      <c r="A370" s="30" t="inlineStr">
        <is>
          <t>S369</t>
        </is>
      </c>
      <c r="B370" s="17" t="inlineStr">
        <is>
          <t>P329</t>
        </is>
      </c>
      <c r="C370" s="17" t="inlineStr">
        <is>
          <t>에니웨이</t>
        </is>
      </c>
      <c r="D370" s="17" t="inlineStr">
        <is>
          <t>(주)에니웨이</t>
        </is>
      </c>
      <c r="E370" s="17" t="inlineStr">
        <is>
          <t>경상남도 함안군 칠북면 영동1길 5</t>
        </is>
      </c>
      <c r="F370" s="17" t="inlineStr">
        <is>
          <t>경상남도 함안군 칠북면 영동1길 5</t>
        </is>
      </c>
      <c r="G370" s="17" t="inlineStr">
        <is>
          <t>경상남도 함안군 칠북면 영동1길 5</t>
        </is>
      </c>
      <c r="H370" s="17" t="inlineStr">
        <is>
          <t>(주)에니웨이</t>
        </is>
      </c>
      <c r="I370" s="23" t="inlineStr">
        <is>
          <t>753</t>
        </is>
      </c>
      <c r="J370" s="17" t="inlineStr">
        <is>
          <t>1</t>
        </is>
      </c>
      <c r="K370" s="17" t="inlineStr">
        <is>
          <t>완제의약품</t>
        </is>
      </c>
      <c r="L370" s="17" t="inlineStr">
        <is>
          <t>비무균-일반제제(의료용 고압가스)-가스제(의료용 고압가스)</t>
        </is>
      </c>
      <c r="M370" s="24" t="n">
        <v>46681</v>
      </c>
      <c r="N370" s="17" t="inlineStr"/>
      <c r="O370" s="17" t="inlineStr"/>
      <c r="P370" s="17" t="inlineStr">
        <is>
          <t>경상남도</t>
        </is>
      </c>
      <c r="Q370" s="17" t="inlineStr">
        <is>
          <t>함안군</t>
        </is>
      </c>
      <c r="R370" s="17" t="inlineStr">
        <is>
          <t>GMP공장소재지</t>
        </is>
      </c>
      <c r="S370" s="17" t="n">
        <v>90</v>
      </c>
      <c r="T370" s="17" t="inlineStr">
        <is>
          <t>Y</t>
        </is>
      </c>
      <c r="U370" s="17" t="n">
        <v>1</v>
      </c>
      <c r="V370" s="24" t="n">
        <v>46681</v>
      </c>
      <c r="W370" s="17" t="inlineStr"/>
      <c r="X370" s="17" t="inlineStr"/>
      <c r="Y370" s="17" t="inlineStr">
        <is>
          <t>회사키+주소</t>
        </is>
      </c>
      <c r="Z370" s="17" t="n">
        <v>90</v>
      </c>
      <c r="AA370" s="17" t="inlineStr"/>
    </row>
    <row r="371">
      <c r="A371" s="30" t="inlineStr">
        <is>
          <t>S370</t>
        </is>
      </c>
      <c r="B371" s="17" t="inlineStr">
        <is>
          <t>P330</t>
        </is>
      </c>
      <c r="C371" s="17" t="inlineStr">
        <is>
          <t>큐라티스</t>
        </is>
      </c>
      <c r="D371" s="17" t="inlineStr">
        <is>
          <t>주식회사큐라티스</t>
        </is>
      </c>
      <c r="E371" s="17" t="inlineStr">
        <is>
          <t>충청북도 청주시 흥덕구 오송읍 의료단지길 143</t>
        </is>
      </c>
      <c r="F371" s="17" t="inlineStr">
        <is>
          <t>충청북도 청주시 흥덕구 오송읍 의료단지길 143</t>
        </is>
      </c>
      <c r="G371" s="17" t="inlineStr">
        <is>
          <t>충청북도 청주시 흥덕구 오송읍 의료단지길 143</t>
        </is>
      </c>
      <c r="H371" s="17" t="inlineStr">
        <is>
          <t>1공장</t>
        </is>
      </c>
      <c r="I371" s="23" t="inlineStr">
        <is>
          <t>6162</t>
        </is>
      </c>
      <c r="J371" s="17" t="inlineStr">
        <is>
          <t>1</t>
        </is>
      </c>
      <c r="K371" s="17" t="inlineStr">
        <is>
          <t>완제의약품</t>
        </is>
      </c>
      <c r="L371" s="17" t="inlineStr">
        <is>
          <t>무균-일반제제-주사제(주사제)</t>
        </is>
      </c>
      <c r="M371" s="24" t="n">
        <v>46676</v>
      </c>
      <c r="N371" s="17" t="inlineStr">
        <is>
          <t>Y</t>
        </is>
      </c>
      <c r="O371" s="17" t="inlineStr"/>
      <c r="P371" s="17" t="inlineStr">
        <is>
          <t>충청북도</t>
        </is>
      </c>
      <c r="Q371" s="17" t="inlineStr">
        <is>
          <t>청주시</t>
        </is>
      </c>
      <c r="R371" s="17" t="inlineStr">
        <is>
          <t>GMP공장소재지</t>
        </is>
      </c>
      <c r="S371" s="17" t="n">
        <v>90</v>
      </c>
      <c r="T371" s="17" t="inlineStr">
        <is>
          <t>Y</t>
        </is>
      </c>
      <c r="U371" s="17" t="n">
        <v>1</v>
      </c>
      <c r="V371" s="24" t="n">
        <v>46676</v>
      </c>
      <c r="W371" s="17" t="inlineStr"/>
      <c r="X371" s="17" t="inlineStr"/>
      <c r="Y371" s="17" t="inlineStr">
        <is>
          <t>회사키+주소</t>
        </is>
      </c>
      <c r="Z371" s="17" t="n">
        <v>90</v>
      </c>
      <c r="AA371" s="17" t="inlineStr"/>
    </row>
    <row r="372">
      <c r="A372" s="30" t="inlineStr">
        <is>
          <t>S371</t>
        </is>
      </c>
      <c r="B372" s="17" t="inlineStr">
        <is>
          <t>P331</t>
        </is>
      </c>
      <c r="C372" s="17" t="inlineStr">
        <is>
          <t>단일가스켐</t>
        </is>
      </c>
      <c r="D372" s="17" t="inlineStr">
        <is>
          <t>단일가스켐(주)</t>
        </is>
      </c>
      <c r="E372" s="17" t="inlineStr">
        <is>
          <t>충청북도 청주시 청원구 오창읍 과학산업2로 587-6</t>
        </is>
      </c>
      <c r="F372" s="17" t="inlineStr">
        <is>
          <t>충청북도 청주시 청원구 오창읍 과학산업2로 587-6</t>
        </is>
      </c>
      <c r="G372" s="17" t="inlineStr">
        <is>
          <t>충청북도 청주시 청원구 오창읍 과학산업2로 587-6</t>
        </is>
      </c>
      <c r="H372" s="17" t="inlineStr">
        <is>
          <t>오창</t>
        </is>
      </c>
      <c r="I372" s="23" t="inlineStr">
        <is>
          <t>931</t>
        </is>
      </c>
      <c r="J372" s="17" t="inlineStr">
        <is>
          <t>1</t>
        </is>
      </c>
      <c r="K372" s="17" t="inlineStr">
        <is>
          <t>완제의약품</t>
        </is>
      </c>
      <c r="L372" s="17" t="inlineStr">
        <is>
          <t>비무균-일반제제(의료용 고압가스)-가스제(의료용 고압가스)</t>
        </is>
      </c>
      <c r="M372" s="24" t="n">
        <v>46671</v>
      </c>
      <c r="N372" s="17" t="inlineStr"/>
      <c r="O372" s="17" t="inlineStr"/>
      <c r="P372" s="17" t="inlineStr">
        <is>
          <t>충청북도</t>
        </is>
      </c>
      <c r="Q372" s="17" t="inlineStr">
        <is>
          <t>청주시</t>
        </is>
      </c>
      <c r="R372" s="17" t="inlineStr">
        <is>
          <t>GMP공장소재지</t>
        </is>
      </c>
      <c r="S372" s="17" t="n">
        <v>90</v>
      </c>
      <c r="T372" s="17" t="inlineStr">
        <is>
          <t>Y</t>
        </is>
      </c>
      <c r="U372" s="17" t="n">
        <v>1</v>
      </c>
      <c r="V372" s="24" t="n">
        <v>46671</v>
      </c>
      <c r="W372" s="17" t="inlineStr"/>
      <c r="X372" s="17" t="inlineStr"/>
      <c r="Y372" s="17" t="inlineStr">
        <is>
          <t>회사키+주소</t>
        </is>
      </c>
      <c r="Z372" s="17" t="n">
        <v>90</v>
      </c>
      <c r="AA372" s="17" t="inlineStr"/>
    </row>
    <row r="373">
      <c r="A373" s="30" t="inlineStr">
        <is>
          <t>S372</t>
        </is>
      </c>
      <c r="B373" s="17" t="inlineStr">
        <is>
          <t>P332</t>
        </is>
      </c>
      <c r="C373" s="17" t="inlineStr">
        <is>
          <t>셀트리온제약</t>
        </is>
      </c>
      <c r="D373" s="17" t="inlineStr">
        <is>
          <t>(주)셀트리온제약</t>
        </is>
      </c>
      <c r="E373" s="17" t="inlineStr">
        <is>
          <t>충청북도 진천군 이월면 반지길 47-17</t>
        </is>
      </c>
      <c r="F373" s="17" t="inlineStr">
        <is>
          <t>충청북도 진천군 이월면 반지길 47-17</t>
        </is>
      </c>
      <c r="G373" s="17" t="inlineStr">
        <is>
          <t>충청북도 진천군 이월면 반지길 47-17</t>
        </is>
      </c>
      <c r="H373" s="17" t="inlineStr">
        <is>
          <t>진천</t>
        </is>
      </c>
      <c r="I373" s="23" t="inlineStr">
        <is>
          <t>1534</t>
        </is>
      </c>
      <c r="J373" s="17" t="inlineStr">
        <is>
          <t>1</t>
        </is>
      </c>
      <c r="K373" s="17" t="inlineStr">
        <is>
          <t>완제의약품</t>
        </is>
      </c>
      <c r="L373" s="17" t="inlineStr">
        <is>
          <t>비무균-일반제제-내용고형제(정제, 캡슐제)</t>
        </is>
      </c>
      <c r="M373" s="24" t="n">
        <v>46666</v>
      </c>
      <c r="N373" s="17" t="inlineStr"/>
      <c r="O373" s="17" t="inlineStr"/>
      <c r="P373" s="17" t="inlineStr">
        <is>
          <t>충청북도</t>
        </is>
      </c>
      <c r="Q373" s="17" t="inlineStr">
        <is>
          <t>진천군</t>
        </is>
      </c>
      <c r="R373" s="17" t="inlineStr">
        <is>
          <t>GMP공장소재지</t>
        </is>
      </c>
      <c r="S373" s="17" t="n">
        <v>90</v>
      </c>
      <c r="T373" s="17" t="inlineStr">
        <is>
          <t>Y</t>
        </is>
      </c>
      <c r="U373" s="17" t="n">
        <v>1</v>
      </c>
      <c r="V373" s="24" t="n">
        <v>46666</v>
      </c>
      <c r="W373" s="17" t="inlineStr"/>
      <c r="X373" s="17" t="inlineStr"/>
      <c r="Y373" s="17" t="inlineStr">
        <is>
          <t>회사키+주소</t>
        </is>
      </c>
      <c r="Z373" s="17" t="n">
        <v>90</v>
      </c>
      <c r="AA373" s="17" t="inlineStr"/>
    </row>
    <row r="374">
      <c r="A374" s="30" t="inlineStr">
        <is>
          <t>S373</t>
        </is>
      </c>
      <c r="B374" s="17" t="inlineStr">
        <is>
          <t>P333</t>
        </is>
      </c>
      <c r="C374" s="17" t="inlineStr">
        <is>
          <t>한성신약</t>
        </is>
      </c>
      <c r="D374" s="17" t="inlineStr">
        <is>
          <t>한성신약주식회사</t>
        </is>
      </c>
      <c r="E374" s="17" t="inlineStr">
        <is>
          <t>충청북도 진천군 덕산읍 신척산단4로 93</t>
        </is>
      </c>
      <c r="F374" s="17" t="inlineStr">
        <is>
          <t>충청북도 진천군 덕산읍 신척산단4로 93</t>
        </is>
      </c>
      <c r="G374" s="17" t="inlineStr">
        <is>
          <t>충청북도 진천군 덕산읍 신척산단4로 93</t>
        </is>
      </c>
      <c r="H374" s="17" t="inlineStr">
        <is>
          <t>제2공장 한성신약(주) 진천공장</t>
        </is>
      </c>
      <c r="I374" s="23" t="inlineStr">
        <is>
          <t>342</t>
        </is>
      </c>
      <c r="J374" s="17" t="inlineStr">
        <is>
          <t>2</t>
        </is>
      </c>
      <c r="K374" s="17" t="inlineStr">
        <is>
          <t>원료의약품</t>
        </is>
      </c>
      <c r="L374" s="17" t="inlineStr">
        <is>
          <t>비무균-일반제제-추출</t>
        </is>
      </c>
      <c r="M374" s="24" t="n">
        <v>46654</v>
      </c>
      <c r="N374" s="17" t="inlineStr"/>
      <c r="O374" s="17" t="inlineStr"/>
      <c r="P374" s="17" t="inlineStr">
        <is>
          <t>충청북도</t>
        </is>
      </c>
      <c r="Q374" s="17" t="inlineStr">
        <is>
          <t>진천군</t>
        </is>
      </c>
      <c r="R374" s="17" t="inlineStr">
        <is>
          <t>GMP공장소재지</t>
        </is>
      </c>
      <c r="S374" s="17" t="n">
        <v>90</v>
      </c>
      <c r="T374" s="17" t="inlineStr">
        <is>
          <t>Y</t>
        </is>
      </c>
      <c r="U374" s="17" t="n">
        <v>1</v>
      </c>
      <c r="V374" s="24" t="n">
        <v>46654</v>
      </c>
      <c r="W374" s="17" t="inlineStr"/>
      <c r="X374" s="17" t="inlineStr"/>
      <c r="Y374" s="17" t="inlineStr">
        <is>
          <t>회사키+주소</t>
        </is>
      </c>
      <c r="Z374" s="17" t="n">
        <v>90</v>
      </c>
      <c r="AA374" s="17" t="inlineStr"/>
    </row>
    <row r="375">
      <c r="A375" s="30" t="inlineStr">
        <is>
          <t>S374</t>
        </is>
      </c>
      <c r="B375" s="17" t="inlineStr">
        <is>
          <t>P334</t>
        </is>
      </c>
      <c r="C375" s="17" t="inlineStr">
        <is>
          <t>보령바이오파마</t>
        </is>
      </c>
      <c r="D375" s="17" t="inlineStr">
        <is>
          <t>(주)보령바이오파마</t>
        </is>
      </c>
      <c r="E375" s="17" t="inlineStr">
        <is>
          <t>충청북도 진천군 광혜원면 사동길 2</t>
        </is>
      </c>
      <c r="F375" s="17" t="inlineStr">
        <is>
          <t>충청북도 진천군 광혜원면 사동길 2</t>
        </is>
      </c>
      <c r="G375" s="17" t="inlineStr">
        <is>
          <t>충청북도 진천군 광혜원면 사동길 2</t>
        </is>
      </c>
      <c r="H375" s="17" t="inlineStr">
        <is>
          <t>(주)보령바이오파마</t>
        </is>
      </c>
      <c r="I375" s="23" t="inlineStr">
        <is>
          <t>1488</t>
        </is>
      </c>
      <c r="J375" s="17" t="inlineStr">
        <is>
          <t>1</t>
        </is>
      </c>
      <c r="K375" s="17" t="inlineStr">
        <is>
          <t>완제의약품</t>
        </is>
      </c>
      <c r="L375" s="17" t="inlineStr">
        <is>
          <t>비무균-일반제제-내용고형제(캡슐제), 비무균-일반제제-내용액제(시럽제(액상)), 생물-백신-주사제(주사제)</t>
        </is>
      </c>
      <c r="M375" s="24" t="n">
        <v>46642</v>
      </c>
      <c r="N375" s="17" t="inlineStr">
        <is>
          <t>Y</t>
        </is>
      </c>
      <c r="O375" s="17" t="inlineStr"/>
      <c r="P375" s="17" t="inlineStr">
        <is>
          <t>충청북도</t>
        </is>
      </c>
      <c r="Q375" s="17" t="inlineStr">
        <is>
          <t>진천군</t>
        </is>
      </c>
      <c r="R375" s="17" t="inlineStr">
        <is>
          <t>GMP공장소재지</t>
        </is>
      </c>
      <c r="S375" s="17" t="n">
        <v>90</v>
      </c>
      <c r="T375" s="17" t="inlineStr">
        <is>
          <t>Y</t>
        </is>
      </c>
      <c r="U375" s="17" t="n">
        <v>1</v>
      </c>
      <c r="V375" s="24" t="n">
        <v>46642</v>
      </c>
      <c r="W375" s="17" t="inlineStr"/>
      <c r="X375" s="17" t="inlineStr"/>
      <c r="Y375" s="17" t="inlineStr">
        <is>
          <t>회사키+주소</t>
        </is>
      </c>
      <c r="Z375" s="17" t="n">
        <v>90</v>
      </c>
      <c r="AA375" s="17" t="inlineStr"/>
    </row>
    <row r="376">
      <c r="A376" s="30" t="inlineStr">
        <is>
          <t>S375</t>
        </is>
      </c>
      <c r="B376" s="17" t="inlineStr">
        <is>
          <t>P335</t>
        </is>
      </c>
      <c r="C376" s="17" t="inlineStr">
        <is>
          <t>동광제약</t>
        </is>
      </c>
      <c r="D376" s="17" t="inlineStr">
        <is>
          <t>동광제약(주)</t>
        </is>
      </c>
      <c r="E376" s="17" t="inlineStr">
        <is>
          <t>경기도 평택시 산단로 115</t>
        </is>
      </c>
      <c r="F376" s="17" t="inlineStr">
        <is>
          <t>경기도 평택시 산단로 115</t>
        </is>
      </c>
      <c r="G376" s="17" t="inlineStr">
        <is>
          <t>경기도 평택시 산단로 115</t>
        </is>
      </c>
      <c r="H376" s="17" t="inlineStr">
        <is>
          <t>평택</t>
        </is>
      </c>
      <c r="I376" s="23" t="inlineStr">
        <is>
          <t>1327</t>
        </is>
      </c>
      <c r="J376" s="17" t="inlineStr">
        <is>
          <t>1</t>
        </is>
      </c>
      <c r="K376" s="17" t="inlineStr">
        <is>
          <t>완제의약품</t>
        </is>
      </c>
      <c r="L376" s="17" t="inlineStr">
        <is>
          <t>비무균-일반제제-내용고형제(정제, 캡슐제), 무균-일반제제-주사제(주사제, 동결건조주사제), 비무균-일반제제-연고제(연고제, 크림제, 겔제), 무균-카바페넴제제-주사제(분말주사제)</t>
        </is>
      </c>
      <c r="M376" s="24" t="n">
        <v>46642</v>
      </c>
      <c r="N376" s="17" t="inlineStr">
        <is>
          <t>Y</t>
        </is>
      </c>
      <c r="O376" s="17" t="inlineStr"/>
      <c r="P376" s="17" t="inlineStr">
        <is>
          <t>경기도</t>
        </is>
      </c>
      <c r="Q376" s="17" t="inlineStr">
        <is>
          <t>평택시</t>
        </is>
      </c>
      <c r="R376" s="17" t="inlineStr">
        <is>
          <t>GMP공장소재지</t>
        </is>
      </c>
      <c r="S376" s="17" t="n">
        <v>90</v>
      </c>
      <c r="T376" s="17" t="inlineStr">
        <is>
          <t>Y</t>
        </is>
      </c>
      <c r="U376" s="17" t="n">
        <v>1</v>
      </c>
      <c r="V376" s="24" t="n">
        <v>46642</v>
      </c>
      <c r="W376" s="17" t="inlineStr"/>
      <c r="X376" s="17" t="inlineStr"/>
      <c r="Y376" s="17" t="inlineStr">
        <is>
          <t>회사키+주소</t>
        </is>
      </c>
      <c r="Z376" s="17" t="n">
        <v>90</v>
      </c>
      <c r="AA376" s="17" t="inlineStr"/>
    </row>
    <row r="377">
      <c r="A377" s="30" t="inlineStr">
        <is>
          <t>S376</t>
        </is>
      </c>
      <c r="B377" s="17" t="inlineStr">
        <is>
          <t>P336</t>
        </is>
      </c>
      <c r="C377" s="17" t="inlineStr">
        <is>
          <t>와이즈메디</t>
        </is>
      </c>
      <c r="D377" s="17" t="inlineStr">
        <is>
          <t>(주)와이즈메디</t>
        </is>
      </c>
      <c r="E377" s="17" t="inlineStr">
        <is>
          <t>충청북도 진천군 광혜원면 용소2길 27</t>
        </is>
      </c>
      <c r="F377" s="17" t="inlineStr">
        <is>
          <t>충청북도 진천군 광혜원면 용소길 90</t>
        </is>
      </c>
      <c r="G377" s="17" t="inlineStr">
        <is>
          <t>충청북도 진천군 광혜원면 용소2길 27</t>
        </is>
      </c>
      <c r="H377" s="17" t="inlineStr">
        <is>
          <t>진천</t>
        </is>
      </c>
      <c r="I377" s="23" t="inlineStr">
        <is>
          <t>2464</t>
        </is>
      </c>
      <c r="J377" s="17" t="inlineStr">
        <is>
          <t>2</t>
        </is>
      </c>
      <c r="K377" s="17" t="inlineStr">
        <is>
          <t>완제의약품</t>
        </is>
      </c>
      <c r="L377" s="17" t="inlineStr">
        <is>
          <t>무균-일반제제-주사제(수액제)</t>
        </is>
      </c>
      <c r="M377" s="24" t="n">
        <v>46641</v>
      </c>
      <c r="N377" s="17" t="inlineStr">
        <is>
          <t>Y</t>
        </is>
      </c>
      <c r="O377" s="17" t="inlineStr"/>
      <c r="P377" s="17" t="inlineStr">
        <is>
          <t>충청북도</t>
        </is>
      </c>
      <c r="Q377" s="17" t="inlineStr">
        <is>
          <t>진천군</t>
        </is>
      </c>
      <c r="R377" s="17" t="inlineStr">
        <is>
          <t>GMP공장소재지</t>
        </is>
      </c>
      <c r="S377" s="17" t="n">
        <v>90</v>
      </c>
      <c r="T377" s="17" t="inlineStr">
        <is>
          <t>Y</t>
        </is>
      </c>
      <c r="U377" s="17" t="n">
        <v>1</v>
      </c>
      <c r="V377" s="24" t="n">
        <v>46641</v>
      </c>
      <c r="W377" s="17" t="inlineStr"/>
      <c r="X377" s="17" t="inlineStr"/>
      <c r="Y377" s="17" t="inlineStr">
        <is>
          <t>회사키+주소</t>
        </is>
      </c>
      <c r="Z377" s="17" t="n">
        <v>90</v>
      </c>
      <c r="AA377" s="17" t="inlineStr"/>
    </row>
    <row r="378">
      <c r="A378" s="30" t="inlineStr">
        <is>
          <t>S377</t>
        </is>
      </c>
      <c r="B378" s="17" t="inlineStr">
        <is>
          <t>P337</t>
        </is>
      </c>
      <c r="C378" s="17" t="inlineStr">
        <is>
          <t>진바이오팜</t>
        </is>
      </c>
      <c r="D378" s="17" t="inlineStr">
        <is>
          <t>주식회사진바이오팜</t>
        </is>
      </c>
      <c r="E378" s="17" t="inlineStr">
        <is>
          <t>경기도 평택시 청북읍 드림산단5로 34</t>
        </is>
      </c>
      <c r="F378" s="17" t="inlineStr">
        <is>
          <t>경기도 평택시 청북읍 드림산단5로 34</t>
        </is>
      </c>
      <c r="G378" s="17" t="inlineStr">
        <is>
          <t>경기도 평택시 청북읍 드림산단5로 34</t>
        </is>
      </c>
      <c r="H378" s="17" t="inlineStr">
        <is>
          <t>주식회사진바이오팜</t>
        </is>
      </c>
      <c r="I378" s="23" t="inlineStr">
        <is>
          <t>6165</t>
        </is>
      </c>
      <c r="J378" s="17" t="inlineStr">
        <is>
          <t>1</t>
        </is>
      </c>
      <c r="K378" s="17" t="inlineStr">
        <is>
          <t>원료의약품</t>
        </is>
      </c>
      <c r="L378" s="17" t="inlineStr">
        <is>
          <t>비무균-일반제제-추출, 비무균-일반제제-분쇄</t>
        </is>
      </c>
      <c r="M378" s="24" t="n">
        <v>46635</v>
      </c>
      <c r="N378" s="17" t="inlineStr"/>
      <c r="O378" s="17" t="inlineStr"/>
      <c r="P378" s="17" t="inlineStr">
        <is>
          <t>경기도</t>
        </is>
      </c>
      <c r="Q378" s="17" t="inlineStr">
        <is>
          <t>평택시</t>
        </is>
      </c>
      <c r="R378" s="17" t="inlineStr">
        <is>
          <t>GMP공장소재지</t>
        </is>
      </c>
      <c r="S378" s="17" t="n">
        <v>90</v>
      </c>
      <c r="T378" s="17" t="inlineStr">
        <is>
          <t>Y</t>
        </is>
      </c>
      <c r="U378" s="17" t="n">
        <v>1</v>
      </c>
      <c r="V378" s="24" t="n">
        <v>46635</v>
      </c>
      <c r="W378" s="17" t="inlineStr"/>
      <c r="X378" s="17" t="inlineStr"/>
      <c r="Y378" s="17" t="inlineStr">
        <is>
          <t>회사키+주소</t>
        </is>
      </c>
      <c r="Z378" s="17" t="n">
        <v>90</v>
      </c>
      <c r="AA378" s="17" t="inlineStr"/>
    </row>
    <row r="379">
      <c r="A379" s="30" t="inlineStr">
        <is>
          <t>S378</t>
        </is>
      </c>
      <c r="B379" s="17" t="inlineStr">
        <is>
          <t>P078</t>
        </is>
      </c>
      <c r="C379" s="17" t="inlineStr">
        <is>
          <t>종근당바이오</t>
        </is>
      </c>
      <c r="D379" s="17" t="inlineStr">
        <is>
          <t>(주)종근당바이오</t>
        </is>
      </c>
      <c r="E379" s="17" t="inlineStr">
        <is>
          <t>경기도 안산시 단원구 신원로 292 .</t>
        </is>
      </c>
      <c r="F379" s="17" t="inlineStr">
        <is>
          <t>경기도 안산시 단원구 신원로 292 .</t>
        </is>
      </c>
      <c r="G379" s="17" t="inlineStr">
        <is>
          <t>경기도 안산시 단원구 신원로 292 .</t>
        </is>
      </c>
      <c r="H379" s="17" t="inlineStr">
        <is>
          <t>안산</t>
        </is>
      </c>
      <c r="I379" s="23" t="inlineStr">
        <is>
          <t>2253</t>
        </is>
      </c>
      <c r="J379" s="17" t="inlineStr">
        <is>
          <t>1</t>
        </is>
      </c>
      <c r="K379" s="17" t="inlineStr">
        <is>
          <t>원료의약품</t>
        </is>
      </c>
      <c r="L379" s="17" t="inlineStr">
        <is>
          <t>비무균-일반제제-합성, 비무균-일반제제-발효, 비무균-일반제제-혼합</t>
        </is>
      </c>
      <c r="M379" s="24" t="n">
        <v>46634</v>
      </c>
      <c r="N379" s="17" t="inlineStr"/>
      <c r="O379" s="17" t="inlineStr"/>
      <c r="P379" s="17" t="inlineStr">
        <is>
          <t>경기도</t>
        </is>
      </c>
      <c r="Q379" s="17" t="inlineStr">
        <is>
          <t>안산시</t>
        </is>
      </c>
      <c r="R379" s="17" t="inlineStr">
        <is>
          <t>GMP공장소재지</t>
        </is>
      </c>
      <c r="S379" s="17" t="n">
        <v>90</v>
      </c>
      <c r="T379" s="17" t="inlineStr">
        <is>
          <t>N</t>
        </is>
      </c>
      <c r="U379" s="17" t="n">
        <v>2</v>
      </c>
      <c r="V379" s="24" t="n">
        <v>46634</v>
      </c>
      <c r="W379" s="17" t="inlineStr"/>
      <c r="X379" s="17" t="inlineStr"/>
      <c r="Y379" s="17" t="inlineStr">
        <is>
          <t>회사키+주소</t>
        </is>
      </c>
      <c r="Z379" s="17" t="n">
        <v>90</v>
      </c>
      <c r="AA379" s="17" t="inlineStr"/>
    </row>
    <row r="380">
      <c r="A380" s="30" t="inlineStr">
        <is>
          <t>S379</t>
        </is>
      </c>
      <c r="B380" s="17" t="inlineStr">
        <is>
          <t>P338</t>
        </is>
      </c>
      <c r="C380" s="17" t="inlineStr">
        <is>
          <t>하이텍팜</t>
        </is>
      </c>
      <c r="D380" s="17" t="inlineStr">
        <is>
          <t>(주)하이텍팜</t>
        </is>
      </c>
      <c r="E380" s="17" t="inlineStr">
        <is>
          <t>충청북도 충주시 대소원면 첨단산업6로 12 (주)하이텍팜</t>
        </is>
      </c>
      <c r="F380" s="17" t="inlineStr">
        <is>
          <t>충청북도 충주시 대소원면 첨단산업6로 12 (주)하이텍팜</t>
        </is>
      </c>
      <c r="G380" s="17" t="inlineStr">
        <is>
          <t>충청북도 충주시 대소원면 첨단산업6로 12 (주)하이텍팜</t>
        </is>
      </c>
      <c r="H380" s="17" t="inlineStr">
        <is>
          <t>충주공장</t>
        </is>
      </c>
      <c r="I380" s="23" t="inlineStr">
        <is>
          <t>2016</t>
        </is>
      </c>
      <c r="J380" s="17" t="inlineStr">
        <is>
          <t>2</t>
        </is>
      </c>
      <c r="K380" s="17" t="inlineStr">
        <is>
          <t>원료의약품</t>
        </is>
      </c>
      <c r="L380" s="17" t="inlineStr">
        <is>
          <t>무균-카바페넴제제-합성, 비무균-카바페넴제제-합성, 무균-카바페넴제제-혼합</t>
        </is>
      </c>
      <c r="M380" s="24" t="n">
        <v>46634</v>
      </c>
      <c r="N380" s="17" t="inlineStr">
        <is>
          <t>Y</t>
        </is>
      </c>
      <c r="O380" s="17" t="inlineStr"/>
      <c r="P380" s="17" t="inlineStr">
        <is>
          <t>충청북도</t>
        </is>
      </c>
      <c r="Q380" s="17" t="inlineStr">
        <is>
          <t>충주시</t>
        </is>
      </c>
      <c r="R380" s="17" t="inlineStr">
        <is>
          <t>GMP공장소재지</t>
        </is>
      </c>
      <c r="S380" s="17" t="n">
        <v>90</v>
      </c>
      <c r="T380" s="17" t="inlineStr">
        <is>
          <t>Y</t>
        </is>
      </c>
      <c r="U380" s="17" t="n">
        <v>1</v>
      </c>
      <c r="V380" s="24" t="n">
        <v>46634</v>
      </c>
      <c r="W380" s="17" t="inlineStr"/>
      <c r="X380" s="17" t="inlineStr"/>
      <c r="Y380" s="17" t="inlineStr">
        <is>
          <t>회사키+주소</t>
        </is>
      </c>
      <c r="Z380" s="17" t="n">
        <v>90</v>
      </c>
      <c r="AA380" s="17" t="inlineStr"/>
    </row>
    <row r="381">
      <c r="A381" s="30" t="inlineStr">
        <is>
          <t>S380</t>
        </is>
      </c>
      <c r="B381" s="17" t="inlineStr">
        <is>
          <t>P339</t>
        </is>
      </c>
      <c r="C381" s="17" t="inlineStr">
        <is>
          <t>지씨셀</t>
        </is>
      </c>
      <c r="D381" s="17" t="inlineStr">
        <is>
          <t>주식회사지씨셀</t>
        </is>
      </c>
      <c r="E381" s="17" t="inlineStr">
        <is>
          <t>경기도 용인시 기흥구 이현로30번길 107 셀센터 지하2층(일부), 지하1층(일부) , 1층, 2층</t>
        </is>
      </c>
      <c r="F381" s="17" t="inlineStr"/>
      <c r="G381" s="17" t="inlineStr">
        <is>
          <t>경기도 용인시 기흥구 이현로30번길 107 셀센터 지하2층(일부), 지하1층(일부) , 1층, 2층</t>
        </is>
      </c>
      <c r="H381" s="17" t="inlineStr">
        <is>
          <t>미확인</t>
        </is>
      </c>
      <c r="I381" s="23" t="inlineStr">
        <is>
          <t>미확인</t>
        </is>
      </c>
      <c r="J381" s="17" t="inlineStr"/>
      <c r="K381" s="17" t="inlineStr">
        <is>
          <t>완제의약품</t>
        </is>
      </c>
      <c r="L381" s="17" t="inlineStr">
        <is>
          <t>생물-세포치료제-주사제(첨단바이오의약품)(주사제)</t>
        </is>
      </c>
      <c r="M381" s="24" t="n">
        <v>46634</v>
      </c>
      <c r="N381" s="17" t="inlineStr">
        <is>
          <t>Y</t>
        </is>
      </c>
      <c r="O381" s="17" t="inlineStr">
        <is>
          <t>Y</t>
        </is>
      </c>
      <c r="P381" s="17" t="inlineStr">
        <is>
          <t>경기도</t>
        </is>
      </c>
      <c r="Q381" s="17" t="inlineStr">
        <is>
          <t>용인시</t>
        </is>
      </c>
      <c r="R381" s="17" t="inlineStr">
        <is>
          <t>GMP공장소재지</t>
        </is>
      </c>
      <c r="S381" s="17" t="n">
        <v>0</v>
      </c>
      <c r="T381" s="17" t="inlineStr">
        <is>
          <t>Y</t>
        </is>
      </c>
      <c r="U381" s="17" t="n">
        <v>1</v>
      </c>
      <c r="V381" s="24" t="n">
        <v>46634</v>
      </c>
      <c r="W381" s="17" t="inlineStr"/>
      <c r="X381" s="17" t="inlineStr"/>
      <c r="Y381" s="17" t="inlineStr">
        <is>
          <t>무매칭</t>
        </is>
      </c>
      <c r="Z381" s="17" t="n">
        <v>0</v>
      </c>
      <c r="AA381" s="17" t="inlineStr">
        <is>
          <t>Y</t>
        </is>
      </c>
    </row>
    <row r="382">
      <c r="A382" s="30" t="inlineStr">
        <is>
          <t>S381</t>
        </is>
      </c>
      <c r="B382" s="17" t="inlineStr">
        <is>
          <t>P340</t>
        </is>
      </c>
      <c r="C382" s="17" t="inlineStr">
        <is>
          <t>라이트팜텍</t>
        </is>
      </c>
      <c r="D382" s="17" t="inlineStr">
        <is>
          <t>(주)라이트팜텍</t>
        </is>
      </c>
      <c r="E382" s="17" t="inlineStr">
        <is>
          <t>경기도 평택시 청북읍 고렴산단로 89</t>
        </is>
      </c>
      <c r="F382" s="17" t="inlineStr">
        <is>
          <t>경기도 평택시 청북읍 고렴산단로 89</t>
        </is>
      </c>
      <c r="G382" s="17" t="inlineStr">
        <is>
          <t>경기도 평택시 청북읍 고렴산단로 89</t>
        </is>
      </c>
      <c r="H382" s="17" t="inlineStr">
        <is>
          <t>평택</t>
        </is>
      </c>
      <c r="I382" s="23" t="inlineStr">
        <is>
          <t>361</t>
        </is>
      </c>
      <c r="J382" s="17" t="inlineStr">
        <is>
          <t>2</t>
        </is>
      </c>
      <c r="K382" s="17" t="inlineStr">
        <is>
          <t>완제의약품</t>
        </is>
      </c>
      <c r="L382" s="17" t="inlineStr">
        <is>
          <t>무균-일반제제-점안제(점안제)</t>
        </is>
      </c>
      <c r="M382" s="24" t="n">
        <v>46631</v>
      </c>
      <c r="N382" s="17" t="inlineStr">
        <is>
          <t>Y</t>
        </is>
      </c>
      <c r="O382" s="17" t="inlineStr"/>
      <c r="P382" s="17" t="inlineStr">
        <is>
          <t>경기도</t>
        </is>
      </c>
      <c r="Q382" s="17" t="inlineStr">
        <is>
          <t>평택시</t>
        </is>
      </c>
      <c r="R382" s="17" t="inlineStr">
        <is>
          <t>GMP공장소재지</t>
        </is>
      </c>
      <c r="S382" s="17" t="n">
        <v>90</v>
      </c>
      <c r="T382" s="17" t="inlineStr">
        <is>
          <t>Y</t>
        </is>
      </c>
      <c r="U382" s="17" t="n">
        <v>1</v>
      </c>
      <c r="V382" s="24" t="n">
        <v>46631</v>
      </c>
      <c r="W382" s="17" t="inlineStr"/>
      <c r="X382" s="17" t="inlineStr"/>
      <c r="Y382" s="17" t="inlineStr">
        <is>
          <t>회사키+주소</t>
        </is>
      </c>
      <c r="Z382" s="17" t="n">
        <v>90</v>
      </c>
      <c r="AA382" s="17" t="inlineStr"/>
    </row>
    <row r="383">
      <c r="A383" s="30" t="inlineStr">
        <is>
          <t>S382</t>
        </is>
      </c>
      <c r="B383" s="17" t="inlineStr">
        <is>
          <t>P341</t>
        </is>
      </c>
      <c r="C383" s="17" t="inlineStr">
        <is>
          <t>한미정밀화학</t>
        </is>
      </c>
      <c r="D383" s="17" t="inlineStr">
        <is>
          <t>한미정밀화학(주)</t>
        </is>
      </c>
      <c r="E383" s="17" t="inlineStr">
        <is>
          <t>경기도 시흥시 경제로 57 (1248-10)</t>
        </is>
      </c>
      <c r="F383" s="17" t="inlineStr">
        <is>
          <t>경기도 시흥시 경제로 57 (1248-10)</t>
        </is>
      </c>
      <c r="G383" s="17" t="inlineStr">
        <is>
          <t>경기도 시흥시 경제로 57 (1248-10)</t>
        </is>
      </c>
      <c r="H383" s="17" t="inlineStr">
        <is>
          <t>공장, 위험물창고, 질소발생장치 및 NMR 시험실</t>
        </is>
      </c>
      <c r="I383" s="23" t="inlineStr">
        <is>
          <t>1444</t>
        </is>
      </c>
      <c r="J383" s="17" t="inlineStr">
        <is>
          <t>1</t>
        </is>
      </c>
      <c r="K383" s="17" t="inlineStr">
        <is>
          <t>원료의약품</t>
        </is>
      </c>
      <c r="L383" s="17" t="inlineStr">
        <is>
          <t>무균-세팔로스포린제제-합성, 비무균-세팔로스포린제제-합성, 비무균-일반제제-합성</t>
        </is>
      </c>
      <c r="M383" s="24" t="n">
        <v>46628</v>
      </c>
      <c r="N383" s="17" t="inlineStr">
        <is>
          <t>Y</t>
        </is>
      </c>
      <c r="O383" s="17" t="inlineStr"/>
      <c r="P383" s="17" t="inlineStr">
        <is>
          <t>경기도</t>
        </is>
      </c>
      <c r="Q383" s="17" t="inlineStr">
        <is>
          <t>시흥시</t>
        </is>
      </c>
      <c r="R383" s="17" t="inlineStr">
        <is>
          <t>GMP공장소재지</t>
        </is>
      </c>
      <c r="S383" s="17" t="n">
        <v>90</v>
      </c>
      <c r="T383" s="17" t="inlineStr">
        <is>
          <t>Y</t>
        </is>
      </c>
      <c r="U383" s="17" t="n">
        <v>1</v>
      </c>
      <c r="V383" s="24" t="n">
        <v>46628</v>
      </c>
      <c r="W383" s="17" t="inlineStr"/>
      <c r="X383" s="17" t="inlineStr"/>
      <c r="Y383" s="17" t="inlineStr">
        <is>
          <t>회사키+주소</t>
        </is>
      </c>
      <c r="Z383" s="17" t="n">
        <v>90</v>
      </c>
      <c r="AA383" s="17" t="inlineStr"/>
    </row>
    <row r="384">
      <c r="A384" s="30" t="inlineStr">
        <is>
          <t>S383</t>
        </is>
      </c>
      <c r="B384" s="17" t="inlineStr">
        <is>
          <t>P342</t>
        </is>
      </c>
      <c r="C384" s="17" t="inlineStr">
        <is>
          <t>넥스팜코리아</t>
        </is>
      </c>
      <c r="D384" s="17" t="inlineStr">
        <is>
          <t>(주)넥스팜코리아</t>
        </is>
      </c>
      <c r="E384" s="17" t="inlineStr">
        <is>
          <t>충청북도 청주시 흥덕구 오송읍 오송생명4로 168-41</t>
        </is>
      </c>
      <c r="F384" s="17" t="inlineStr">
        <is>
          <t>충청북도 청주시 흥덕구 오송읍 오송생명4로 168-41</t>
        </is>
      </c>
      <c r="G384" s="17" t="inlineStr">
        <is>
          <t>충청북도 청주시 흥덕구 오송읍 오송생명4로 168-41</t>
        </is>
      </c>
      <c r="H384" s="17" t="inlineStr">
        <is>
          <t>청원</t>
        </is>
      </c>
      <c r="I384" s="23" t="inlineStr">
        <is>
          <t>1957</t>
        </is>
      </c>
      <c r="J384" s="17" t="inlineStr">
        <is>
          <t>2</t>
        </is>
      </c>
      <c r="K384" s="17" t="inlineStr">
        <is>
          <t>완제의약품</t>
        </is>
      </c>
      <c r="L384" s="17" t="inlineStr">
        <is>
          <t>비무균-일반제제-내용고형제(정제, 캡슐제, 산제, 과립제), 비무균-일반제제-내용액제(경구용액제, 시럽제(액상))</t>
        </is>
      </c>
      <c r="M384" s="24" t="n">
        <v>46627</v>
      </c>
      <c r="N384" s="17" t="inlineStr"/>
      <c r="O384" s="17" t="inlineStr"/>
      <c r="P384" s="17" t="inlineStr">
        <is>
          <t>충청북도</t>
        </is>
      </c>
      <c r="Q384" s="17" t="inlineStr">
        <is>
          <t>청주시</t>
        </is>
      </c>
      <c r="R384" s="17" t="inlineStr">
        <is>
          <t>GMP공장소재지</t>
        </is>
      </c>
      <c r="S384" s="17" t="n">
        <v>90</v>
      </c>
      <c r="T384" s="17" t="inlineStr">
        <is>
          <t>Y</t>
        </is>
      </c>
      <c r="U384" s="17" t="n">
        <v>1</v>
      </c>
      <c r="V384" s="24" t="n">
        <v>46627</v>
      </c>
      <c r="W384" s="17" t="inlineStr"/>
      <c r="X384" s="17" t="inlineStr"/>
      <c r="Y384" s="17" t="inlineStr">
        <is>
          <t>회사키+주소</t>
        </is>
      </c>
      <c r="Z384" s="17" t="n">
        <v>90</v>
      </c>
      <c r="AA384" s="17" t="inlineStr"/>
    </row>
    <row r="385">
      <c r="A385" s="30" t="inlineStr">
        <is>
          <t>S384</t>
        </is>
      </c>
      <c r="B385" s="17" t="inlineStr">
        <is>
          <t>P343</t>
        </is>
      </c>
      <c r="C385" s="17" t="inlineStr">
        <is>
          <t>한창메딕</t>
        </is>
      </c>
      <c r="D385" s="17" t="inlineStr">
        <is>
          <t>(주)한창메딕</t>
        </is>
      </c>
      <c r="E385" s="17" t="inlineStr">
        <is>
          <t>충청남도 아산시 음봉면 월산로201번길 10</t>
        </is>
      </c>
      <c r="F385" s="17" t="inlineStr">
        <is>
          <t>충청남도 아산시 음봉면 월산로201번길 10</t>
        </is>
      </c>
      <c r="G385" s="17" t="inlineStr">
        <is>
          <t>충청남도 아산시 음봉면 월산로201번길 10</t>
        </is>
      </c>
      <c r="H385" s="17" t="inlineStr">
        <is>
          <t>(주)한창메딕</t>
        </is>
      </c>
      <c r="I385" s="23" t="inlineStr">
        <is>
          <t>6182</t>
        </is>
      </c>
      <c r="J385" s="17" t="inlineStr">
        <is>
          <t>1</t>
        </is>
      </c>
      <c r="K385" s="17" t="inlineStr">
        <is>
          <t>완제의약품</t>
        </is>
      </c>
      <c r="L385" s="17" t="inlineStr">
        <is>
          <t>비무균-일반제제-외용액제(외용액제)</t>
        </is>
      </c>
      <c r="M385" s="24" t="n">
        <v>46618</v>
      </c>
      <c r="N385" s="17" t="inlineStr"/>
      <c r="O385" s="17" t="inlineStr"/>
      <c r="P385" s="17" t="inlineStr">
        <is>
          <t>충청남도</t>
        </is>
      </c>
      <c r="Q385" s="17" t="inlineStr">
        <is>
          <t>아산시</t>
        </is>
      </c>
      <c r="R385" s="17" t="inlineStr">
        <is>
          <t>GMP공장소재지</t>
        </is>
      </c>
      <c r="S385" s="17" t="n">
        <v>90</v>
      </c>
      <c r="T385" s="17" t="inlineStr">
        <is>
          <t>Y</t>
        </is>
      </c>
      <c r="U385" s="17" t="n">
        <v>1</v>
      </c>
      <c r="V385" s="24" t="n">
        <v>46618</v>
      </c>
      <c r="W385" s="17" t="inlineStr"/>
      <c r="X385" s="17" t="inlineStr"/>
      <c r="Y385" s="17" t="inlineStr">
        <is>
          <t>회사키+주소</t>
        </is>
      </c>
      <c r="Z385" s="17" t="n">
        <v>90</v>
      </c>
      <c r="AA385" s="17" t="inlineStr"/>
    </row>
    <row r="386">
      <c r="A386" s="30" t="inlineStr">
        <is>
          <t>S385</t>
        </is>
      </c>
      <c r="B386" s="17" t="inlineStr">
        <is>
          <t>P344</t>
        </is>
      </c>
      <c r="C386" s="17" t="inlineStr">
        <is>
          <t>알파제약</t>
        </is>
      </c>
      <c r="D386" s="17" t="inlineStr">
        <is>
          <t>알파제약(주)</t>
        </is>
      </c>
      <c r="E386" s="17" t="inlineStr">
        <is>
          <t>경상북도 문경시 산양면 산양공단2길 20</t>
        </is>
      </c>
      <c r="F386" s="17" t="inlineStr">
        <is>
          <t>경상북도 문경시 산양면 산양공단2길 20</t>
        </is>
      </c>
      <c r="G386" s="17" t="inlineStr">
        <is>
          <t>경상북도 문경시 산양면 산양공단2길 20</t>
        </is>
      </c>
      <c r="H386" s="17" t="inlineStr">
        <is>
          <t>1공장</t>
        </is>
      </c>
      <c r="I386" s="23" t="inlineStr">
        <is>
          <t>1433</t>
        </is>
      </c>
      <c r="J386" s="17" t="inlineStr">
        <is>
          <t>1</t>
        </is>
      </c>
      <c r="K386" s="17" t="inlineStr">
        <is>
          <t>완제의약품</t>
        </is>
      </c>
      <c r="L386" s="17" t="inlineStr">
        <is>
          <t>비무균-일반제제-내용고형제(정제, 캡슐제, 트로키제), 비무균-일반제제-연고제(연고제, 크림제)</t>
        </is>
      </c>
      <c r="M386" s="24" t="n">
        <v>46612</v>
      </c>
      <c r="N386" s="17" t="inlineStr"/>
      <c r="O386" s="17" t="inlineStr"/>
      <c r="P386" s="17" t="inlineStr">
        <is>
          <t>경상북도</t>
        </is>
      </c>
      <c r="Q386" s="17" t="inlineStr">
        <is>
          <t>문경시</t>
        </is>
      </c>
      <c r="R386" s="17" t="inlineStr">
        <is>
          <t>GMP공장소재지</t>
        </is>
      </c>
      <c r="S386" s="17" t="n">
        <v>90</v>
      </c>
      <c r="T386" s="17" t="inlineStr">
        <is>
          <t>Y</t>
        </is>
      </c>
      <c r="U386" s="17" t="n">
        <v>1</v>
      </c>
      <c r="V386" s="24" t="n">
        <v>46612</v>
      </c>
      <c r="W386" s="17" t="inlineStr"/>
      <c r="X386" s="17" t="inlineStr"/>
      <c r="Y386" s="17" t="inlineStr">
        <is>
          <t>회사키+주소</t>
        </is>
      </c>
      <c r="Z386" s="17" t="n">
        <v>90</v>
      </c>
      <c r="AA386" s="17" t="inlineStr"/>
    </row>
    <row r="387">
      <c r="A387" s="30" t="inlineStr">
        <is>
          <t>S386</t>
        </is>
      </c>
      <c r="B387" s="17" t="inlineStr">
        <is>
          <t>P345</t>
        </is>
      </c>
      <c r="C387" s="17" t="inlineStr">
        <is>
          <t>원풍약품상사</t>
        </is>
      </c>
      <c r="D387" s="17" t="inlineStr">
        <is>
          <t>(주)원풍약품상사</t>
        </is>
      </c>
      <c r="E387" s="17" t="inlineStr">
        <is>
          <t>경기도 화성시 향남읍 발안공단로2길 33</t>
        </is>
      </c>
      <c r="F387" s="17" t="inlineStr">
        <is>
          <t>경기도 화성시 향남읍 발안공단로2길 33</t>
        </is>
      </c>
      <c r="G387" s="17" t="inlineStr">
        <is>
          <t>경기도 화성시 향남읍 발안공단로2길 33</t>
        </is>
      </c>
      <c r="H387" s="17" t="inlineStr">
        <is>
          <t>화성</t>
        </is>
      </c>
      <c r="I387" s="23" t="inlineStr">
        <is>
          <t>1537</t>
        </is>
      </c>
      <c r="J387" s="17" t="inlineStr">
        <is>
          <t>1</t>
        </is>
      </c>
      <c r="K387" s="17" t="inlineStr">
        <is>
          <t>원료의약품</t>
        </is>
      </c>
      <c r="L387" s="17" t="inlineStr">
        <is>
          <t>비무균-일반제제-소분</t>
        </is>
      </c>
      <c r="M387" s="24" t="n">
        <v>46612</v>
      </c>
      <c r="N387" s="17" t="inlineStr"/>
      <c r="O387" s="17" t="inlineStr"/>
      <c r="P387" s="17" t="inlineStr">
        <is>
          <t>경기도</t>
        </is>
      </c>
      <c r="Q387" s="17" t="inlineStr">
        <is>
          <t>화성시</t>
        </is>
      </c>
      <c r="R387" s="17" t="inlineStr">
        <is>
          <t>GMP공장소재지</t>
        </is>
      </c>
      <c r="S387" s="17" t="n">
        <v>90</v>
      </c>
      <c r="T387" s="17" t="inlineStr">
        <is>
          <t>Y</t>
        </is>
      </c>
      <c r="U387" s="17" t="n">
        <v>1</v>
      </c>
      <c r="V387" s="24" t="n">
        <v>46612</v>
      </c>
      <c r="W387" s="17" t="inlineStr"/>
      <c r="X387" s="17" t="inlineStr"/>
      <c r="Y387" s="17" t="inlineStr">
        <is>
          <t>회사키+주소</t>
        </is>
      </c>
      <c r="Z387" s="17" t="n">
        <v>90</v>
      </c>
      <c r="AA387" s="17" t="inlineStr"/>
    </row>
    <row r="388">
      <c r="A388" s="30" t="inlineStr">
        <is>
          <t>S387</t>
        </is>
      </c>
      <c r="B388" s="17" t="inlineStr">
        <is>
          <t>P346</t>
        </is>
      </c>
      <c r="C388" s="17" t="inlineStr">
        <is>
          <t>한국바이오켐제약</t>
        </is>
      </c>
      <c r="D388" s="17" t="inlineStr">
        <is>
          <t>한국바이오켐제약(주)</t>
        </is>
      </c>
      <c r="E388" s="17" t="inlineStr">
        <is>
          <t>세종특별자치시 전의면 산단길 204</t>
        </is>
      </c>
      <c r="F388" s="17" t="inlineStr">
        <is>
          <t>세종특별자치시 전의면 산단길 204</t>
        </is>
      </c>
      <c r="G388" s="17" t="inlineStr">
        <is>
          <t>세종특별자치시 전의면 산단길 204</t>
        </is>
      </c>
      <c r="H388" s="17" t="inlineStr">
        <is>
          <t>세종</t>
        </is>
      </c>
      <c r="I388" s="23" t="inlineStr">
        <is>
          <t>2152</t>
        </is>
      </c>
      <c r="J388" s="17" t="inlineStr">
        <is>
          <t>1</t>
        </is>
      </c>
      <c r="K388" s="17" t="inlineStr">
        <is>
          <t>완제의약품</t>
        </is>
      </c>
      <c r="L388" s="17" t="inlineStr">
        <is>
          <t>비무균-일반제제-내용고형제(캡슐제), 비무균-일반제제-내용액제(경구용액제, 시럽제(액상))</t>
        </is>
      </c>
      <c r="M388" s="24" t="n">
        <v>46606</v>
      </c>
      <c r="N388" s="17" t="inlineStr"/>
      <c r="O388" s="17" t="inlineStr"/>
      <c r="P388" s="17" t="inlineStr">
        <is>
          <t>세종특별자치시</t>
        </is>
      </c>
      <c r="Q388" s="17" t="inlineStr">
        <is>
          <t>세종특별자치시</t>
        </is>
      </c>
      <c r="R388" s="17" t="inlineStr">
        <is>
          <t>GMP공장소재지</t>
        </is>
      </c>
      <c r="S388" s="17" t="n">
        <v>90</v>
      </c>
      <c r="T388" s="17" t="inlineStr">
        <is>
          <t>Y</t>
        </is>
      </c>
      <c r="U388" s="17" t="n">
        <v>2</v>
      </c>
      <c r="V388" s="24" t="n">
        <v>46606</v>
      </c>
      <c r="W388" s="17" t="inlineStr"/>
      <c r="X388" s="17" t="inlineStr"/>
      <c r="Y388" s="17" t="inlineStr">
        <is>
          <t>회사키+주소</t>
        </is>
      </c>
      <c r="Z388" s="17" t="n">
        <v>90</v>
      </c>
      <c r="AA388" s="17" t="inlineStr"/>
    </row>
    <row r="389">
      <c r="A389" s="30" t="inlineStr">
        <is>
          <t>S388</t>
        </is>
      </c>
      <c r="B389" s="17" t="inlineStr">
        <is>
          <t>P346</t>
        </is>
      </c>
      <c r="C389" s="17" t="inlineStr">
        <is>
          <t>한국바이오켐제약</t>
        </is>
      </c>
      <c r="D389" s="17" t="inlineStr">
        <is>
          <t>한국바이오켐제약(주)</t>
        </is>
      </c>
      <c r="E389" s="17" t="inlineStr">
        <is>
          <t>세종특별자치시 전의면 산단길 204</t>
        </is>
      </c>
      <c r="F389" s="17" t="inlineStr">
        <is>
          <t>세종특별자치시 전의면 산단길 204</t>
        </is>
      </c>
      <c r="G389" s="17" t="inlineStr">
        <is>
          <t>세종특별자치시 전의면 산단길 204</t>
        </is>
      </c>
      <c r="H389" s="17" t="inlineStr">
        <is>
          <t>세종</t>
        </is>
      </c>
      <c r="I389" s="23" t="inlineStr">
        <is>
          <t>2152</t>
        </is>
      </c>
      <c r="J389" s="17" t="inlineStr">
        <is>
          <t>1</t>
        </is>
      </c>
      <c r="K389" s="17" t="inlineStr">
        <is>
          <t>원료의약품</t>
        </is>
      </c>
      <c r="L389" s="17" t="inlineStr">
        <is>
          <t>비무균-일반제제-합성</t>
        </is>
      </c>
      <c r="M389" s="24" t="n">
        <v>46606</v>
      </c>
      <c r="N389" s="17" t="inlineStr"/>
      <c r="O389" s="17" t="inlineStr"/>
      <c r="P389" s="17" t="inlineStr">
        <is>
          <t>세종특별자치시</t>
        </is>
      </c>
      <c r="Q389" s="17" t="inlineStr">
        <is>
          <t>세종특별자치시</t>
        </is>
      </c>
      <c r="R389" s="17" t="inlineStr">
        <is>
          <t>GMP공장소재지</t>
        </is>
      </c>
      <c r="S389" s="17" t="n">
        <v>90</v>
      </c>
      <c r="T389" s="17" t="inlineStr">
        <is>
          <t>N</t>
        </is>
      </c>
      <c r="U389" s="17" t="n">
        <v>2</v>
      </c>
      <c r="V389" s="24" t="n">
        <v>46606</v>
      </c>
      <c r="W389" s="17" t="inlineStr"/>
      <c r="X389" s="17" t="inlineStr"/>
      <c r="Y389" s="17" t="inlineStr">
        <is>
          <t>회사키+주소</t>
        </is>
      </c>
      <c r="Z389" s="17" t="n">
        <v>90</v>
      </c>
      <c r="AA389" s="17" t="inlineStr"/>
    </row>
    <row r="390">
      <c r="A390" s="30" t="inlineStr">
        <is>
          <t>S389</t>
        </is>
      </c>
      <c r="B390" s="17" t="inlineStr">
        <is>
          <t>P347</t>
        </is>
      </c>
      <c r="C390" s="17" t="inlineStr">
        <is>
          <t>대덕가스</t>
        </is>
      </c>
      <c r="D390" s="17" t="inlineStr">
        <is>
          <t>대덕가스(주)</t>
        </is>
      </c>
      <c r="E390" s="17" t="inlineStr">
        <is>
          <t>인천광역시 남동구 남촌동 622-2 12블럭 3로트</t>
        </is>
      </c>
      <c r="F390" s="17" t="inlineStr"/>
      <c r="G390" s="17" t="inlineStr">
        <is>
          <t>인천광역시 남동구 남촌동 622-2 12블럭 3로트</t>
        </is>
      </c>
      <c r="H390" s="17" t="inlineStr">
        <is>
          <t>미확인</t>
        </is>
      </c>
      <c r="I390" s="23" t="inlineStr">
        <is>
          <t>1995</t>
        </is>
      </c>
      <c r="J390" s="17" t="inlineStr"/>
      <c r="K390" s="17" t="inlineStr">
        <is>
          <t>완제의약품</t>
        </is>
      </c>
      <c r="L390" s="17" t="inlineStr">
        <is>
          <t>비무균-일반제제(의료용 고압가스)-가스제(의료용 고압가스)</t>
        </is>
      </c>
      <c r="M390" s="24" t="n">
        <v>46596</v>
      </c>
      <c r="N390" s="17" t="inlineStr"/>
      <c r="O390" s="17" t="inlineStr"/>
      <c r="P390" s="17" t="inlineStr">
        <is>
          <t>인천광역시</t>
        </is>
      </c>
      <c r="Q390" s="17" t="inlineStr">
        <is>
          <t>남동구</t>
        </is>
      </c>
      <c r="R390" s="17" t="inlineStr">
        <is>
          <t>GMP공장소재지</t>
        </is>
      </c>
      <c r="S390" s="17" t="n">
        <v>0</v>
      </c>
      <c r="T390" s="17" t="inlineStr">
        <is>
          <t>Y</t>
        </is>
      </c>
      <c r="U390" s="17" t="n">
        <v>1</v>
      </c>
      <c r="V390" s="24" t="n">
        <v>46596</v>
      </c>
      <c r="W390" s="17" t="inlineStr"/>
      <c r="X390" s="17" t="inlineStr"/>
      <c r="Y390" s="17" t="inlineStr">
        <is>
          <t>무매칭</t>
        </is>
      </c>
      <c r="Z390" s="17" t="n">
        <v>0</v>
      </c>
      <c r="AA390" s="17" t="inlineStr">
        <is>
          <t>Y</t>
        </is>
      </c>
    </row>
    <row r="391">
      <c r="A391" s="30" t="inlineStr">
        <is>
          <t>S390</t>
        </is>
      </c>
      <c r="B391" s="17" t="inlineStr">
        <is>
          <t>P348</t>
        </is>
      </c>
      <c r="C391" s="17" t="inlineStr">
        <is>
          <t>화일약품</t>
        </is>
      </c>
      <c r="D391" s="17" t="inlineStr">
        <is>
          <t>화일약품(주)</t>
        </is>
      </c>
      <c r="E391" s="17" t="inlineStr">
        <is>
          <t>경기도 안산시 단원구 산단로67번길 156</t>
        </is>
      </c>
      <c r="F391" s="17" t="inlineStr">
        <is>
          <t>경기도 안산시 단원구 산단로67번길 156</t>
        </is>
      </c>
      <c r="G391" s="17" t="inlineStr">
        <is>
          <t>경기도 안산시 단원구 산단로67번길 156</t>
        </is>
      </c>
      <c r="H391" s="17" t="inlineStr">
        <is>
          <t>안산시(완제의약품)</t>
        </is>
      </c>
      <c r="I391" s="23" t="inlineStr">
        <is>
          <t>2014</t>
        </is>
      </c>
      <c r="J391" s="17" t="inlineStr">
        <is>
          <t>2</t>
        </is>
      </c>
      <c r="K391" s="17" t="inlineStr">
        <is>
          <t>완제의약품</t>
        </is>
      </c>
      <c r="L391" s="17" t="inlineStr">
        <is>
          <t>비무균-세팔로스포린제제-내용고형제(캡슐제)</t>
        </is>
      </c>
      <c r="M391" s="24" t="n">
        <v>46593</v>
      </c>
      <c r="N391" s="17" t="inlineStr"/>
      <c r="O391" s="17" t="inlineStr"/>
      <c r="P391" s="17" t="inlineStr">
        <is>
          <t>경기도</t>
        </is>
      </c>
      <c r="Q391" s="17" t="inlineStr">
        <is>
          <t>안산시</t>
        </is>
      </c>
      <c r="R391" s="17" t="inlineStr">
        <is>
          <t>GMP공장소재지</t>
        </is>
      </c>
      <c r="S391" s="17" t="n">
        <v>90</v>
      </c>
      <c r="T391" s="17" t="inlineStr">
        <is>
          <t>Y</t>
        </is>
      </c>
      <c r="U391" s="17" t="n">
        <v>1</v>
      </c>
      <c r="V391" s="24" t="n">
        <v>46593</v>
      </c>
      <c r="W391" s="17" t="inlineStr"/>
      <c r="X391" s="17" t="inlineStr"/>
      <c r="Y391" s="17" t="inlineStr">
        <is>
          <t>회사키+주소</t>
        </is>
      </c>
      <c r="Z391" s="17" t="n">
        <v>90</v>
      </c>
      <c r="AA391" s="17" t="inlineStr"/>
    </row>
    <row r="392">
      <c r="A392" s="30" t="inlineStr">
        <is>
          <t>S391</t>
        </is>
      </c>
      <c r="B392" s="17" t="inlineStr">
        <is>
          <t>P349</t>
        </is>
      </c>
      <c r="C392" s="17" t="inlineStr">
        <is>
          <t>아이엠씨디코리아</t>
        </is>
      </c>
      <c r="D392" s="17" t="inlineStr">
        <is>
          <t>아이엠씨디코리아주식회사</t>
        </is>
      </c>
      <c r="E392" s="17" t="inlineStr">
        <is>
          <t>경기도 화성시 향남읍 발안공단로1길 26</t>
        </is>
      </c>
      <c r="F392" s="17" t="inlineStr">
        <is>
          <t>경기도 화성시 향남읍 발안공단로1길 26</t>
        </is>
      </c>
      <c r="G392" s="17" t="inlineStr">
        <is>
          <t>경기도 화성시 향남읍 발안공단로1길 26</t>
        </is>
      </c>
      <c r="H392" s="17" t="inlineStr">
        <is>
          <t>화성시</t>
        </is>
      </c>
      <c r="I392" s="23" t="inlineStr">
        <is>
          <t>0255</t>
        </is>
      </c>
      <c r="J392" s="17" t="inlineStr">
        <is>
          <t>1</t>
        </is>
      </c>
      <c r="K392" s="17" t="inlineStr">
        <is>
          <t>원료의약품</t>
        </is>
      </c>
      <c r="L392" s="17" t="inlineStr">
        <is>
          <t>비무균-일반제제-소분</t>
        </is>
      </c>
      <c r="M392" s="24" t="n">
        <v>46593</v>
      </c>
      <c r="N392" s="17" t="inlineStr"/>
      <c r="O392" s="17" t="inlineStr"/>
      <c r="P392" s="17" t="inlineStr">
        <is>
          <t>경기도</t>
        </is>
      </c>
      <c r="Q392" s="17" t="inlineStr">
        <is>
          <t>화성시</t>
        </is>
      </c>
      <c r="R392" s="17" t="inlineStr">
        <is>
          <t>GMP공장소재지</t>
        </is>
      </c>
      <c r="S392" s="17" t="n">
        <v>90</v>
      </c>
      <c r="T392" s="17" t="inlineStr">
        <is>
          <t>Y</t>
        </is>
      </c>
      <c r="U392" s="17" t="n">
        <v>1</v>
      </c>
      <c r="V392" s="24" t="n">
        <v>46593</v>
      </c>
      <c r="W392" s="17" t="inlineStr"/>
      <c r="X392" s="17" t="inlineStr"/>
      <c r="Y392" s="17" t="inlineStr">
        <is>
          <t>회사키+주소</t>
        </is>
      </c>
      <c r="Z392" s="17" t="n">
        <v>90</v>
      </c>
      <c r="AA392" s="17" t="inlineStr"/>
    </row>
    <row r="393">
      <c r="A393" s="30" t="inlineStr">
        <is>
          <t>S392</t>
        </is>
      </c>
      <c r="B393" s="17" t="inlineStr">
        <is>
          <t>P350</t>
        </is>
      </c>
      <c r="C393" s="17" t="inlineStr">
        <is>
          <t>태극제약</t>
        </is>
      </c>
      <c r="D393" s="17" t="inlineStr">
        <is>
          <t>태극제약(주)</t>
        </is>
      </c>
      <c r="E393" s="17" t="inlineStr">
        <is>
          <t>충청남도 부여군 초촌면 금백로 821</t>
        </is>
      </c>
      <c r="F393" s="17" t="inlineStr">
        <is>
          <t>충청남도 부여군 초촌면 금백로 821</t>
        </is>
      </c>
      <c r="G393" s="17" t="inlineStr">
        <is>
          <t>충청남도 부여군 초촌면 금백로 821</t>
        </is>
      </c>
      <c r="H393" s="17" t="inlineStr">
        <is>
          <t>부여</t>
        </is>
      </c>
      <c r="I393" s="23" t="inlineStr">
        <is>
          <t>1370</t>
        </is>
      </c>
      <c r="J393" s="17" t="inlineStr">
        <is>
          <t>2</t>
        </is>
      </c>
      <c r="K393" s="17" t="inlineStr">
        <is>
          <t>완제의약품</t>
        </is>
      </c>
      <c r="L393" s="17" t="inlineStr">
        <is>
          <t>비무균-일반제제-외용액제(외용액제, 로션제, 점비액제), 비무균-일반제제-연고제(연고제, 크림제, 페이스트제, 겔제, 구강용반고형제)</t>
        </is>
      </c>
      <c r="M393" s="24" t="n">
        <v>46593</v>
      </c>
      <c r="N393" s="17" t="inlineStr"/>
      <c r="O393" s="17" t="inlineStr"/>
      <c r="P393" s="17" t="inlineStr">
        <is>
          <t>충청남도</t>
        </is>
      </c>
      <c r="Q393" s="17" t="inlineStr">
        <is>
          <t>부여군</t>
        </is>
      </c>
      <c r="R393" s="17" t="inlineStr">
        <is>
          <t>GMP공장소재지</t>
        </is>
      </c>
      <c r="S393" s="17" t="n">
        <v>90</v>
      </c>
      <c r="T393" s="17" t="inlineStr">
        <is>
          <t>Y</t>
        </is>
      </c>
      <c r="U393" s="17" t="n">
        <v>1</v>
      </c>
      <c r="V393" s="24" t="n">
        <v>46593</v>
      </c>
      <c r="W393" s="17" t="inlineStr"/>
      <c r="X393" s="17" t="inlineStr"/>
      <c r="Y393" s="17" t="inlineStr">
        <is>
          <t>회사키+주소</t>
        </is>
      </c>
      <c r="Z393" s="17" t="n">
        <v>90</v>
      </c>
      <c r="AA393" s="17" t="inlineStr"/>
    </row>
    <row r="394">
      <c r="A394" s="30" t="inlineStr">
        <is>
          <t>S393</t>
        </is>
      </c>
      <c r="B394" s="17" t="inlineStr">
        <is>
          <t>P351</t>
        </is>
      </c>
      <c r="C394" s="17" t="inlineStr">
        <is>
          <t>한국에스이엠</t>
        </is>
      </c>
      <c r="D394" s="17" t="inlineStr">
        <is>
          <t>한국에스이엠(주)</t>
        </is>
      </c>
      <c r="E394" s="17" t="inlineStr">
        <is>
          <t>경상남도 양산시 상북면 소토2길 29-33</t>
        </is>
      </c>
      <c r="F394" s="17" t="inlineStr">
        <is>
          <t>경상남도 양산시 상북면 소토2길 29-33</t>
        </is>
      </c>
      <c r="G394" s="17" t="inlineStr">
        <is>
          <t>경상남도 양산시 상북면 소토2길 29-33</t>
        </is>
      </c>
      <c r="H394" s="17" t="inlineStr">
        <is>
          <t>2공장</t>
        </is>
      </c>
      <c r="I394" s="23" t="inlineStr">
        <is>
          <t>1822</t>
        </is>
      </c>
      <c r="J394" s="17" t="inlineStr">
        <is>
          <t>2</t>
        </is>
      </c>
      <c r="K394" s="17" t="inlineStr">
        <is>
          <t>완제의약품</t>
        </is>
      </c>
      <c r="L394" s="17" t="inlineStr">
        <is>
          <t>비무균-일반제제(의료용 고압가스)-가스제(의료용 고압가스)</t>
        </is>
      </c>
      <c r="M394" s="24" t="n">
        <v>46592</v>
      </c>
      <c r="N394" s="17" t="inlineStr"/>
      <c r="O394" s="17" t="inlineStr"/>
      <c r="P394" s="17" t="inlineStr">
        <is>
          <t>경상남도</t>
        </is>
      </c>
      <c r="Q394" s="17" t="inlineStr">
        <is>
          <t>양산시</t>
        </is>
      </c>
      <c r="R394" s="17" t="inlineStr">
        <is>
          <t>GMP공장소재지</t>
        </is>
      </c>
      <c r="S394" s="17" t="n">
        <v>90</v>
      </c>
      <c r="T394" s="17" t="inlineStr">
        <is>
          <t>Y</t>
        </is>
      </c>
      <c r="U394" s="17" t="n">
        <v>1</v>
      </c>
      <c r="V394" s="24" t="n">
        <v>46592</v>
      </c>
      <c r="W394" s="17" t="inlineStr"/>
      <c r="X394" s="17" t="inlineStr"/>
      <c r="Y394" s="17" t="inlineStr">
        <is>
          <t>회사키+주소</t>
        </is>
      </c>
      <c r="Z394" s="17" t="n">
        <v>90</v>
      </c>
      <c r="AA394" s="17" t="inlineStr"/>
    </row>
    <row r="395">
      <c r="A395" s="30" t="inlineStr">
        <is>
          <t>S394</t>
        </is>
      </c>
      <c r="B395" s="17" t="inlineStr">
        <is>
          <t>P352</t>
        </is>
      </c>
      <c r="C395" s="17" t="inlineStr">
        <is>
          <t>국전</t>
        </is>
      </c>
      <c r="D395" s="17" t="inlineStr">
        <is>
          <t>(주)국전</t>
        </is>
      </c>
      <c r="E395" s="17" t="inlineStr">
        <is>
          <t>경기도 화성시 만세구 향남읍 발안공단로 8</t>
        </is>
      </c>
      <c r="F395" s="17" t="inlineStr">
        <is>
          <t>경기도 화성시 만세구 향남읍 발안공단로 8</t>
        </is>
      </c>
      <c r="G395" s="17" t="inlineStr">
        <is>
          <t>경기도 화성시 만세구 향남읍 발안공단로 8</t>
        </is>
      </c>
      <c r="H395" s="17" t="inlineStr">
        <is>
          <t>향남공장</t>
        </is>
      </c>
      <c r="I395" s="23" t="inlineStr">
        <is>
          <t>2520</t>
        </is>
      </c>
      <c r="J395" s="17" t="inlineStr">
        <is>
          <t>3</t>
        </is>
      </c>
      <c r="K395" s="17" t="inlineStr">
        <is>
          <t>원료의약품</t>
        </is>
      </c>
      <c r="L395" s="17" t="inlineStr">
        <is>
          <t>비무균-일반제제-합성</t>
        </is>
      </c>
      <c r="M395" s="24" t="n">
        <v>46586</v>
      </c>
      <c r="N395" s="17" t="inlineStr"/>
      <c r="O395" s="17" t="inlineStr"/>
      <c r="P395" s="17" t="inlineStr">
        <is>
          <t>경기도</t>
        </is>
      </c>
      <c r="Q395" s="17" t="inlineStr">
        <is>
          <t>화성시</t>
        </is>
      </c>
      <c r="R395" s="17" t="inlineStr">
        <is>
          <t>GMP공장소재지</t>
        </is>
      </c>
      <c r="S395" s="17" t="n">
        <v>90</v>
      </c>
      <c r="T395" s="17" t="inlineStr">
        <is>
          <t>Y</t>
        </is>
      </c>
      <c r="U395" s="17" t="n">
        <v>1</v>
      </c>
      <c r="V395" s="24" t="n">
        <v>46586</v>
      </c>
      <c r="W395" s="17" t="inlineStr"/>
      <c r="X395" s="17" t="inlineStr"/>
      <c r="Y395" s="17" t="inlineStr">
        <is>
          <t>회사키+주소</t>
        </is>
      </c>
      <c r="Z395" s="17" t="n">
        <v>90</v>
      </c>
      <c r="AA395" s="17" t="inlineStr"/>
    </row>
    <row r="396">
      <c r="A396" s="30" t="inlineStr">
        <is>
          <t>S395</t>
        </is>
      </c>
      <c r="B396" s="17" t="inlineStr">
        <is>
          <t>P353</t>
        </is>
      </c>
      <c r="C396" s="17" t="inlineStr">
        <is>
          <t>뉴큐어엠</t>
        </is>
      </c>
      <c r="D396" s="17" t="inlineStr">
        <is>
          <t>주식회사뉴큐어엠</t>
        </is>
      </c>
      <c r="E396" s="17" t="inlineStr">
        <is>
          <t>인천광역시 남동구 남동대로774번길 24 뇌과학연구소 (구월동)</t>
        </is>
      </c>
      <c r="F396" s="17" t="inlineStr">
        <is>
          <t>인천광역시 남동구 남동대로774번길 24 뇌과학연구소 (구월동)</t>
        </is>
      </c>
      <c r="G396" s="17" t="inlineStr">
        <is>
          <t>인천광역시 남동구 남동대로774번길 24 뇌과학연구소 (구월동)</t>
        </is>
      </c>
      <c r="H396" s="17" t="inlineStr">
        <is>
          <t>주식회사뉴큐어엠</t>
        </is>
      </c>
      <c r="I396" s="23" t="inlineStr">
        <is>
          <t>900</t>
        </is>
      </c>
      <c r="J396" s="17" t="inlineStr">
        <is>
          <t>1</t>
        </is>
      </c>
      <c r="K396" s="17" t="inlineStr">
        <is>
          <t>완제의약품</t>
        </is>
      </c>
      <c r="L396" s="17" t="inlineStr">
        <is>
          <t>무균-일반제제(방사성의약품)-주사제(주사제)</t>
        </is>
      </c>
      <c r="M396" s="24" t="n">
        <v>46586</v>
      </c>
      <c r="N396" s="17" t="inlineStr">
        <is>
          <t>Y</t>
        </is>
      </c>
      <c r="O396" s="17" t="inlineStr"/>
      <c r="P396" s="17" t="inlineStr">
        <is>
          <t>인천광역시</t>
        </is>
      </c>
      <c r="Q396" s="17" t="inlineStr">
        <is>
          <t>남동구</t>
        </is>
      </c>
      <c r="R396" s="17" t="inlineStr">
        <is>
          <t>GMP공장소재지</t>
        </is>
      </c>
      <c r="S396" s="17" t="n">
        <v>90</v>
      </c>
      <c r="T396" s="17" t="inlineStr">
        <is>
          <t>Y</t>
        </is>
      </c>
      <c r="U396" s="17" t="n">
        <v>1</v>
      </c>
      <c r="V396" s="24" t="n">
        <v>46586</v>
      </c>
      <c r="W396" s="17" t="inlineStr"/>
      <c r="X396" s="17" t="inlineStr"/>
      <c r="Y396" s="17" t="inlineStr">
        <is>
          <t>회사키+주소</t>
        </is>
      </c>
      <c r="Z396" s="17" t="n">
        <v>90</v>
      </c>
      <c r="AA396" s="17" t="inlineStr"/>
    </row>
    <row r="397">
      <c r="A397" s="30" t="inlineStr">
        <is>
          <t>S396</t>
        </is>
      </c>
      <c r="B397" s="17" t="inlineStr">
        <is>
          <t>P354</t>
        </is>
      </c>
      <c r="C397" s="17" t="inlineStr">
        <is>
          <t>오스템파마</t>
        </is>
      </c>
      <c r="D397" s="17" t="inlineStr">
        <is>
          <t>오스템파마주식회사</t>
        </is>
      </c>
      <c r="E397" s="17" t="inlineStr">
        <is>
          <t>서울특별시 금천구 가산디지털2로 123 12층 1201~1204호(가산동, 월드메르디앙벤처센터2차)</t>
        </is>
      </c>
      <c r="F397" s="17" t="inlineStr">
        <is>
          <t>서울특별시 금천구 가산디지털2로 123 12층 1201~1204호(가산동, 월드메르디앙벤처센터2차)</t>
        </is>
      </c>
      <c r="G397" s="17" t="inlineStr">
        <is>
          <t>서울특별시 금천구 가산디지털2로 123 12층 1201~1204호(가산동, 월드메르디앙벤처센터2차)</t>
        </is>
      </c>
      <c r="H397" s="17" t="inlineStr">
        <is>
          <t>1공장</t>
        </is>
      </c>
      <c r="I397" s="23" t="inlineStr">
        <is>
          <t>357</t>
        </is>
      </c>
      <c r="J397" s="17" t="inlineStr">
        <is>
          <t>1</t>
        </is>
      </c>
      <c r="K397" s="17" t="inlineStr">
        <is>
          <t>완제의약품</t>
        </is>
      </c>
      <c r="L397" s="17" t="inlineStr">
        <is>
          <t>비무균-일반제제-연고제(겔제)</t>
        </is>
      </c>
      <c r="M397" s="24" t="n">
        <v>46586</v>
      </c>
      <c r="N397" s="17" t="inlineStr"/>
      <c r="O397" s="17" t="inlineStr"/>
      <c r="P397" s="17" t="inlineStr">
        <is>
          <t>서울특별시</t>
        </is>
      </c>
      <c r="Q397" s="17" t="inlineStr">
        <is>
          <t>금천구</t>
        </is>
      </c>
      <c r="R397" s="17" t="inlineStr">
        <is>
          <t>GMP공장소재지</t>
        </is>
      </c>
      <c r="S397" s="17" t="n">
        <v>90</v>
      </c>
      <c r="T397" s="17" t="inlineStr">
        <is>
          <t>Y</t>
        </is>
      </c>
      <c r="U397" s="17" t="n">
        <v>1</v>
      </c>
      <c r="V397" s="24" t="n">
        <v>46586</v>
      </c>
      <c r="W397" s="17" t="inlineStr"/>
      <c r="X397" s="17" t="inlineStr"/>
      <c r="Y397" s="17" t="inlineStr">
        <is>
          <t>회사키+주소</t>
        </is>
      </c>
      <c r="Z397" s="17" t="n">
        <v>90</v>
      </c>
      <c r="AA397" s="17" t="inlineStr"/>
    </row>
    <row r="398">
      <c r="A398" s="30" t="inlineStr">
        <is>
          <t>S397</t>
        </is>
      </c>
      <c r="B398" s="17" t="inlineStr">
        <is>
          <t>P355</t>
        </is>
      </c>
      <c r="C398" s="17" t="inlineStr">
        <is>
          <t>케이엠에스제약</t>
        </is>
      </c>
      <c r="D398" s="17" t="inlineStr">
        <is>
          <t>케이엠에스제약(주)</t>
        </is>
      </c>
      <c r="E398" s="17" t="inlineStr">
        <is>
          <t>경기도 수원시 영통구 신원로 236</t>
        </is>
      </c>
      <c r="F398" s="17" t="inlineStr">
        <is>
          <t>경기도 수원시 영통구 신원로 236</t>
        </is>
      </c>
      <c r="G398" s="17" t="inlineStr">
        <is>
          <t>경기도 수원시 영통구 신원로 236</t>
        </is>
      </c>
      <c r="H398" s="17" t="inlineStr">
        <is>
          <t>수원</t>
        </is>
      </c>
      <c r="I398" s="23" t="inlineStr">
        <is>
          <t>1479</t>
        </is>
      </c>
      <c r="J398" s="17" t="inlineStr">
        <is>
          <t>1</t>
        </is>
      </c>
      <c r="K398" s="17" t="inlineStr">
        <is>
          <t>완제의약품</t>
        </is>
      </c>
      <c r="L398" s="17" t="inlineStr">
        <is>
          <t>비무균-일반제제-내용고형제(정제)</t>
        </is>
      </c>
      <c r="M398" s="24" t="n">
        <v>46585</v>
      </c>
      <c r="N398" s="17" t="inlineStr"/>
      <c r="O398" s="17" t="inlineStr"/>
      <c r="P398" s="17" t="inlineStr">
        <is>
          <t>경기도</t>
        </is>
      </c>
      <c r="Q398" s="17" t="inlineStr">
        <is>
          <t>수원시</t>
        </is>
      </c>
      <c r="R398" s="17" t="inlineStr">
        <is>
          <t>GMP공장소재지</t>
        </is>
      </c>
      <c r="S398" s="17" t="n">
        <v>90</v>
      </c>
      <c r="T398" s="17" t="inlineStr">
        <is>
          <t>Y</t>
        </is>
      </c>
      <c r="U398" s="17" t="n">
        <v>1</v>
      </c>
      <c r="V398" s="24" t="n">
        <v>46585</v>
      </c>
      <c r="W398" s="17" t="inlineStr"/>
      <c r="X398" s="17" t="inlineStr"/>
      <c r="Y398" s="17" t="inlineStr">
        <is>
          <t>회사키+주소</t>
        </is>
      </c>
      <c r="Z398" s="17" t="n">
        <v>90</v>
      </c>
      <c r="AA398" s="17" t="inlineStr"/>
    </row>
    <row r="399">
      <c r="A399" s="30" t="inlineStr">
        <is>
          <t>S398</t>
        </is>
      </c>
      <c r="B399" s="17" t="inlineStr">
        <is>
          <t>P356</t>
        </is>
      </c>
      <c r="C399" s="17" t="inlineStr">
        <is>
          <t>유유제약</t>
        </is>
      </c>
      <c r="D399" s="17" t="inlineStr">
        <is>
          <t>(주)유유제약</t>
        </is>
      </c>
      <c r="E399" s="17" t="inlineStr">
        <is>
          <t>충청북도 제천시 바이오밸리1로 94</t>
        </is>
      </c>
      <c r="F399" s="17" t="inlineStr">
        <is>
          <t>충청북도 제천시 바이오밸리1로 94</t>
        </is>
      </c>
      <c r="G399" s="17" t="inlineStr">
        <is>
          <t>충청북도 제천시 바이오밸리1로 94</t>
        </is>
      </c>
      <c r="H399" s="17" t="inlineStr">
        <is>
          <t>제천</t>
        </is>
      </c>
      <c r="I399" s="23" t="inlineStr">
        <is>
          <t>1300</t>
        </is>
      </c>
      <c r="J399" s="17" t="inlineStr">
        <is>
          <t>1</t>
        </is>
      </c>
      <c r="K399" s="17" t="inlineStr">
        <is>
          <t>완제의약품</t>
        </is>
      </c>
      <c r="L399" s="17" t="inlineStr">
        <is>
          <t>비무균-일반제제-내용고형제(정제, 캡슐제)</t>
        </is>
      </c>
      <c r="M399" s="24" t="n">
        <v>46579</v>
      </c>
      <c r="N399" s="17" t="inlineStr"/>
      <c r="O399" s="17" t="inlineStr"/>
      <c r="P399" s="17" t="inlineStr">
        <is>
          <t>충청북도</t>
        </is>
      </c>
      <c r="Q399" s="17" t="inlineStr">
        <is>
          <t>제천시</t>
        </is>
      </c>
      <c r="R399" s="17" t="inlineStr">
        <is>
          <t>GMP공장소재지</t>
        </is>
      </c>
      <c r="S399" s="17" t="n">
        <v>90</v>
      </c>
      <c r="T399" s="17" t="inlineStr">
        <is>
          <t>Y</t>
        </is>
      </c>
      <c r="U399" s="17" t="n">
        <v>1</v>
      </c>
      <c r="V399" s="24" t="n">
        <v>46579</v>
      </c>
      <c r="W399" s="17" t="inlineStr"/>
      <c r="X399" s="17" t="inlineStr"/>
      <c r="Y399" s="17" t="inlineStr">
        <is>
          <t>회사키+주소</t>
        </is>
      </c>
      <c r="Z399" s="17" t="n">
        <v>90</v>
      </c>
      <c r="AA399" s="17" t="inlineStr"/>
    </row>
    <row r="400">
      <c r="A400" s="30" t="inlineStr">
        <is>
          <t>S399</t>
        </is>
      </c>
      <c r="B400" s="17" t="inlineStr">
        <is>
          <t>P357</t>
        </is>
      </c>
      <c r="C400" s="17" t="inlineStr">
        <is>
          <t>이니스트에스티</t>
        </is>
      </c>
      <c r="D400" s="17" t="inlineStr">
        <is>
          <t>이니스트에스티(주)</t>
        </is>
      </c>
      <c r="E400" s="17" t="inlineStr">
        <is>
          <t>충청북도 음성군 금왕읍 신내로 500</t>
        </is>
      </c>
      <c r="F400" s="17" t="inlineStr">
        <is>
          <t>충청북도 음성군 금왕읍 신내로 500</t>
        </is>
      </c>
      <c r="G400" s="17" t="inlineStr">
        <is>
          <t>충청북도 음성군 금왕읍 신내로 500</t>
        </is>
      </c>
      <c r="H400" s="17" t="inlineStr">
        <is>
          <t>음성</t>
        </is>
      </c>
      <c r="I400" s="23" t="inlineStr">
        <is>
          <t>2220</t>
        </is>
      </c>
      <c r="J400" s="17" t="inlineStr">
        <is>
          <t>1</t>
        </is>
      </c>
      <c r="K400" s="17" t="inlineStr">
        <is>
          <t>원료의약품</t>
        </is>
      </c>
      <c r="L400" s="17" t="inlineStr">
        <is>
          <t>비무균-일반제제-합성</t>
        </is>
      </c>
      <c r="M400" s="24" t="n">
        <v>46578</v>
      </c>
      <c r="N400" s="17" t="inlineStr"/>
      <c r="O400" s="17" t="inlineStr"/>
      <c r="P400" s="17" t="inlineStr">
        <is>
          <t>충청북도</t>
        </is>
      </c>
      <c r="Q400" s="17" t="inlineStr">
        <is>
          <t>음성군</t>
        </is>
      </c>
      <c r="R400" s="17" t="inlineStr">
        <is>
          <t>GMP공장소재지</t>
        </is>
      </c>
      <c r="S400" s="17" t="n">
        <v>90</v>
      </c>
      <c r="T400" s="17" t="inlineStr">
        <is>
          <t>Y</t>
        </is>
      </c>
      <c r="U400" s="17" t="n">
        <v>1</v>
      </c>
      <c r="V400" s="24" t="n">
        <v>46578</v>
      </c>
      <c r="W400" s="17" t="inlineStr"/>
      <c r="X400" s="17" t="inlineStr"/>
      <c r="Y400" s="17" t="inlineStr">
        <is>
          <t>회사키+주소</t>
        </is>
      </c>
      <c r="Z400" s="17" t="n">
        <v>90</v>
      </c>
      <c r="AA400" s="17" t="inlineStr"/>
    </row>
    <row r="401">
      <c r="A401" s="30" t="inlineStr">
        <is>
          <t>S400</t>
        </is>
      </c>
      <c r="B401" s="17" t="inlineStr">
        <is>
          <t>P358</t>
        </is>
      </c>
      <c r="C401" s="17" t="inlineStr">
        <is>
          <t>군포가스</t>
        </is>
      </c>
      <c r="D401" s="17" t="inlineStr">
        <is>
          <t>주식회사군포가스</t>
        </is>
      </c>
      <c r="E401" s="17" t="inlineStr">
        <is>
          <t>경기도 군포시 산본로86번길 41 (당정동)</t>
        </is>
      </c>
      <c r="F401" s="17" t="inlineStr">
        <is>
          <t>경기도 군포시 산본로86번길 41 (당정동)</t>
        </is>
      </c>
      <c r="G401" s="17" t="inlineStr">
        <is>
          <t>경기도 군포시 산본로86번길 41 (당정동)</t>
        </is>
      </c>
      <c r="H401" s="17" t="inlineStr">
        <is>
          <t>공장</t>
        </is>
      </c>
      <c r="I401" s="23" t="inlineStr">
        <is>
          <t>369</t>
        </is>
      </c>
      <c r="J401" s="17" t="inlineStr">
        <is>
          <t>1</t>
        </is>
      </c>
      <c r="K401" s="17" t="inlineStr">
        <is>
          <t>완제의약품</t>
        </is>
      </c>
      <c r="L401" s="17" t="inlineStr">
        <is>
          <t>비무균-일반제제(의료용 고압가스)-가스제(의료용 고압가스)</t>
        </is>
      </c>
      <c r="M401" s="24" t="n">
        <v>46572</v>
      </c>
      <c r="N401" s="17" t="inlineStr"/>
      <c r="O401" s="17" t="inlineStr"/>
      <c r="P401" s="17" t="inlineStr">
        <is>
          <t>경기도</t>
        </is>
      </c>
      <c r="Q401" s="17" t="inlineStr">
        <is>
          <t>군포시</t>
        </is>
      </c>
      <c r="R401" s="17" t="inlineStr">
        <is>
          <t>GMP공장소재지</t>
        </is>
      </c>
      <c r="S401" s="17" t="n">
        <v>90</v>
      </c>
      <c r="T401" s="17" t="inlineStr">
        <is>
          <t>Y</t>
        </is>
      </c>
      <c r="U401" s="17" t="n">
        <v>1</v>
      </c>
      <c r="V401" s="24" t="n">
        <v>46572</v>
      </c>
      <c r="W401" s="17" t="inlineStr"/>
      <c r="X401" s="17" t="inlineStr">
        <is>
          <t>Y</t>
        </is>
      </c>
      <c r="Y401" s="17" t="inlineStr">
        <is>
          <t>회사키+주소</t>
        </is>
      </c>
      <c r="Z401" s="17" t="n">
        <v>90</v>
      </c>
      <c r="AA401" s="17" t="inlineStr"/>
    </row>
    <row r="402">
      <c r="A402" s="30" t="inlineStr">
        <is>
          <t>S401</t>
        </is>
      </c>
      <c r="B402" s="17" t="inlineStr">
        <is>
          <t>P290</t>
        </is>
      </c>
      <c r="C402" s="17" t="inlineStr">
        <is>
          <t>바이넥스</t>
        </is>
      </c>
      <c r="D402" s="17" t="inlineStr">
        <is>
          <t>(주)바이넥스</t>
        </is>
      </c>
      <c r="E402" s="17" t="inlineStr">
        <is>
          <t>부산광역시 사하구 다대로 368-3</t>
        </is>
      </c>
      <c r="F402" s="17" t="inlineStr">
        <is>
          <t>부산광역시 사하구 다대로 368-3</t>
        </is>
      </c>
      <c r="G402" s="17" t="inlineStr">
        <is>
          <t>부산광역시 사하구 다대로 368-3</t>
        </is>
      </c>
      <c r="H402" s="17" t="inlineStr">
        <is>
          <t>부산</t>
        </is>
      </c>
      <c r="I402" s="23" t="inlineStr">
        <is>
          <t>1358</t>
        </is>
      </c>
      <c r="J402" s="17" t="inlineStr">
        <is>
          <t>1</t>
        </is>
      </c>
      <c r="K402" s="17" t="inlineStr">
        <is>
          <t>완제의약품</t>
        </is>
      </c>
      <c r="L402" s="17" t="inlineStr">
        <is>
          <t>비무균-일반제제-내용고형제(정제, 캡슐제, 산제), 무균-일반제제-점안제(점안제)</t>
        </is>
      </c>
      <c r="M402" s="24" t="n">
        <v>46572</v>
      </c>
      <c r="N402" s="17" t="inlineStr"/>
      <c r="O402" s="17" t="inlineStr"/>
      <c r="P402" s="17" t="inlineStr">
        <is>
          <t>부산광역시</t>
        </is>
      </c>
      <c r="Q402" s="17" t="inlineStr">
        <is>
          <t>사하구</t>
        </is>
      </c>
      <c r="R402" s="17" t="inlineStr">
        <is>
          <t>GMP공장소재지</t>
        </is>
      </c>
      <c r="S402" s="17" t="n">
        <v>90</v>
      </c>
      <c r="T402" s="17" t="inlineStr">
        <is>
          <t>N</t>
        </is>
      </c>
      <c r="U402" s="17" t="n">
        <v>2</v>
      </c>
      <c r="V402" s="24" t="n">
        <v>46572</v>
      </c>
      <c r="W402" s="17" t="inlineStr"/>
      <c r="X402" s="17" t="inlineStr">
        <is>
          <t>Y</t>
        </is>
      </c>
      <c r="Y402" s="17" t="inlineStr">
        <is>
          <t>회사키+주소</t>
        </is>
      </c>
      <c r="Z402" s="17" t="n">
        <v>90</v>
      </c>
      <c r="AA402" s="17" t="inlineStr"/>
    </row>
    <row r="403">
      <c r="A403" s="30" t="inlineStr">
        <is>
          <t>S402</t>
        </is>
      </c>
      <c r="B403" s="17" t="inlineStr">
        <is>
          <t>P359</t>
        </is>
      </c>
      <c r="C403" s="17" t="inlineStr">
        <is>
          <t>새한제약</t>
        </is>
      </c>
      <c r="D403" s="17" t="inlineStr">
        <is>
          <t>(주)새한제약</t>
        </is>
      </c>
      <c r="E403" s="17" t="inlineStr">
        <is>
          <t>경기도 안성시 공단2로 50-4</t>
        </is>
      </c>
      <c r="F403" s="17" t="inlineStr">
        <is>
          <t>경기도 안성시 공단2로 50-4</t>
        </is>
      </c>
      <c r="G403" s="17" t="inlineStr">
        <is>
          <t>경기도 안성시 공단2로 50-4</t>
        </is>
      </c>
      <c r="H403" s="17" t="inlineStr">
        <is>
          <t>안성</t>
        </is>
      </c>
      <c r="I403" s="23" t="inlineStr">
        <is>
          <t>1519</t>
        </is>
      </c>
      <c r="J403" s="17" t="inlineStr">
        <is>
          <t>1</t>
        </is>
      </c>
      <c r="K403" s="17" t="inlineStr">
        <is>
          <t>완제의약품</t>
        </is>
      </c>
      <c r="L403" s="17" t="inlineStr">
        <is>
          <t>비무균-일반제제-내용고형제(정제, 캡슐제)</t>
        </is>
      </c>
      <c r="M403" s="24" t="n">
        <v>46572</v>
      </c>
      <c r="N403" s="17" t="inlineStr"/>
      <c r="O403" s="17" t="inlineStr"/>
      <c r="P403" s="17" t="inlineStr">
        <is>
          <t>경기도</t>
        </is>
      </c>
      <c r="Q403" s="17" t="inlineStr">
        <is>
          <t>안성시</t>
        </is>
      </c>
      <c r="R403" s="17" t="inlineStr">
        <is>
          <t>GMP공장소재지</t>
        </is>
      </c>
      <c r="S403" s="17" t="n">
        <v>90</v>
      </c>
      <c r="T403" s="17" t="inlineStr">
        <is>
          <t>Y</t>
        </is>
      </c>
      <c r="U403" s="17" t="n">
        <v>1</v>
      </c>
      <c r="V403" s="24" t="n">
        <v>46572</v>
      </c>
      <c r="W403" s="17" t="inlineStr"/>
      <c r="X403" s="17" t="inlineStr">
        <is>
          <t>Y</t>
        </is>
      </c>
      <c r="Y403" s="17" t="inlineStr">
        <is>
          <t>회사키+주소</t>
        </is>
      </c>
      <c r="Z403" s="17" t="n">
        <v>90</v>
      </c>
      <c r="AA403" s="17" t="inlineStr"/>
    </row>
    <row r="404">
      <c r="A404" s="30" t="inlineStr">
        <is>
          <t>S403</t>
        </is>
      </c>
      <c r="B404" s="17" t="inlineStr">
        <is>
          <t>P360</t>
        </is>
      </c>
      <c r="C404" s="17" t="inlineStr">
        <is>
          <t>메디톡스</t>
        </is>
      </c>
      <c r="D404" s="17" t="inlineStr">
        <is>
          <t>(주)메디톡스</t>
        </is>
      </c>
      <c r="E404" s="17" t="inlineStr">
        <is>
          <t>충청북도 청주시 흥덕구 오송읍 오송생명6로 71</t>
        </is>
      </c>
      <c r="F404" s="17" t="inlineStr">
        <is>
          <t>충청북도 청주시 흥덕구 오송읍 오송생명4로 102</t>
        </is>
      </c>
      <c r="G404" s="17" t="inlineStr">
        <is>
          <t>충청북도 청주시 흥덕구 오송읍 오송생명6로 71</t>
        </is>
      </c>
      <c r="H404" s="17" t="inlineStr">
        <is>
          <t>오송 3공장</t>
        </is>
      </c>
      <c r="I404" s="23" t="inlineStr">
        <is>
          <t>2454</t>
        </is>
      </c>
      <c r="J404" s="17" t="inlineStr">
        <is>
          <t>3</t>
        </is>
      </c>
      <c r="K404" s="17" t="inlineStr">
        <is>
          <t>완제의약품</t>
        </is>
      </c>
      <c r="L404" s="17" t="inlineStr">
        <is>
          <t>생물-독소-주사제(주사제)</t>
        </is>
      </c>
      <c r="M404" s="24" t="n">
        <v>46572</v>
      </c>
      <c r="N404" s="17" t="inlineStr">
        <is>
          <t>Y</t>
        </is>
      </c>
      <c r="O404" s="17" t="inlineStr">
        <is>
          <t>Y</t>
        </is>
      </c>
      <c r="P404" s="17" t="inlineStr">
        <is>
          <t>충청북도</t>
        </is>
      </c>
      <c r="Q404" s="17" t="inlineStr">
        <is>
          <t>청주시</t>
        </is>
      </c>
      <c r="R404" s="17" t="inlineStr">
        <is>
          <t>GMP공장소재지</t>
        </is>
      </c>
      <c r="S404" s="17" t="n">
        <v>90</v>
      </c>
      <c r="T404" s="17" t="inlineStr">
        <is>
          <t>Y</t>
        </is>
      </c>
      <c r="U404" s="17" t="n">
        <v>1</v>
      </c>
      <c r="V404" s="24" t="n">
        <v>46572</v>
      </c>
      <c r="W404" s="17" t="inlineStr"/>
      <c r="X404" s="17" t="inlineStr">
        <is>
          <t>Y</t>
        </is>
      </c>
      <c r="Y404" s="17" t="inlineStr">
        <is>
          <t>회사키+주소</t>
        </is>
      </c>
      <c r="Z404" s="17" t="n">
        <v>90</v>
      </c>
      <c r="AA404" s="17" t="inlineStr"/>
    </row>
    <row r="405">
      <c r="A405" s="30" t="inlineStr">
        <is>
          <t>S404</t>
        </is>
      </c>
      <c r="B405" s="17" t="inlineStr">
        <is>
          <t>P361</t>
        </is>
      </c>
      <c r="C405" s="17" t="inlineStr">
        <is>
          <t>코오롱생명과학</t>
        </is>
      </c>
      <c r="D405" s="17" t="inlineStr">
        <is>
          <t>코오롱생명과학(주)</t>
        </is>
      </c>
      <c r="E405" s="17" t="inlineStr">
        <is>
          <t>충청북도 충주시 대소원면 기업도시1로 54</t>
        </is>
      </c>
      <c r="F405" s="17" t="inlineStr">
        <is>
          <t>충청북도 충주시 대소원면 기업도시1로 54</t>
        </is>
      </c>
      <c r="G405" s="17" t="inlineStr">
        <is>
          <t>충청북도 충주시 대소원면 기업도시1로 54</t>
        </is>
      </c>
      <c r="H405" s="17" t="inlineStr">
        <is>
          <t>충주</t>
        </is>
      </c>
      <c r="I405" s="23" t="inlineStr">
        <is>
          <t>1607</t>
        </is>
      </c>
      <c r="J405" s="17" t="inlineStr">
        <is>
          <t>3</t>
        </is>
      </c>
      <c r="K405" s="17" t="inlineStr">
        <is>
          <t>원료의약품</t>
        </is>
      </c>
      <c r="L405" s="17" t="inlineStr">
        <is>
          <t>비무균-일반제제-합성, 비무균-일반제제-추출</t>
        </is>
      </c>
      <c r="M405" s="24" t="n">
        <v>46572</v>
      </c>
      <c r="N405" s="17" t="inlineStr"/>
      <c r="O405" s="17" t="inlineStr"/>
      <c r="P405" s="17" t="inlineStr">
        <is>
          <t>충청북도</t>
        </is>
      </c>
      <c r="Q405" s="17" t="inlineStr">
        <is>
          <t>충주시</t>
        </is>
      </c>
      <c r="R405" s="17" t="inlineStr">
        <is>
          <t>GMP공장소재지</t>
        </is>
      </c>
      <c r="S405" s="17" t="n">
        <v>90</v>
      </c>
      <c r="T405" s="17" t="inlineStr">
        <is>
          <t>Y</t>
        </is>
      </c>
      <c r="U405" s="17" t="n">
        <v>1</v>
      </c>
      <c r="V405" s="24" t="n">
        <v>46572</v>
      </c>
      <c r="W405" s="17" t="inlineStr"/>
      <c r="X405" s="17" t="inlineStr">
        <is>
          <t>Y</t>
        </is>
      </c>
      <c r="Y405" s="17" t="inlineStr">
        <is>
          <t>회사키+주소</t>
        </is>
      </c>
      <c r="Z405" s="17" t="n">
        <v>90</v>
      </c>
      <c r="AA405" s="17" t="inlineStr"/>
    </row>
    <row r="406">
      <c r="A406" s="30" t="inlineStr">
        <is>
          <t>S405</t>
        </is>
      </c>
      <c r="B406" s="17" t="inlineStr">
        <is>
          <t>P362</t>
        </is>
      </c>
      <c r="C406" s="17" t="inlineStr">
        <is>
          <t>그린생명과학</t>
        </is>
      </c>
      <c r="D406" s="17" t="inlineStr">
        <is>
          <t>그린생명과학(주)</t>
        </is>
      </c>
      <c r="E406" s="17" t="inlineStr">
        <is>
          <t>전라남도 여수시 여수산단2로 84</t>
        </is>
      </c>
      <c r="F406" s="17" t="inlineStr">
        <is>
          <t>전라남도 여수시 여수산단2로 84</t>
        </is>
      </c>
      <c r="G406" s="17" t="inlineStr">
        <is>
          <t>전라남도 여수시 여수산단2로 84</t>
        </is>
      </c>
      <c r="H406" s="17" t="inlineStr">
        <is>
          <t>여수</t>
        </is>
      </c>
      <c r="I406" s="23" t="inlineStr">
        <is>
          <t>2439</t>
        </is>
      </c>
      <c r="J406" s="17" t="inlineStr">
        <is>
          <t>1</t>
        </is>
      </c>
      <c r="K406" s="17" t="inlineStr">
        <is>
          <t>원료의약품</t>
        </is>
      </c>
      <c r="L406" s="17" t="inlineStr">
        <is>
          <t>비무균-일반제제-합성</t>
        </is>
      </c>
      <c r="M406" s="24" t="n">
        <v>46570</v>
      </c>
      <c r="N406" s="17" t="inlineStr"/>
      <c r="O406" s="17" t="inlineStr"/>
      <c r="P406" s="17" t="inlineStr">
        <is>
          <t>전라남도</t>
        </is>
      </c>
      <c r="Q406" s="17" t="inlineStr">
        <is>
          <t>여수시</t>
        </is>
      </c>
      <c r="R406" s="17" t="inlineStr">
        <is>
          <t>GMP공장소재지</t>
        </is>
      </c>
      <c r="S406" s="17" t="n">
        <v>90</v>
      </c>
      <c r="T406" s="17" t="inlineStr">
        <is>
          <t>Y</t>
        </is>
      </c>
      <c r="U406" s="17" t="n">
        <v>1</v>
      </c>
      <c r="V406" s="24" t="n">
        <v>46570</v>
      </c>
      <c r="W406" s="17" t="inlineStr"/>
      <c r="X406" s="17" t="inlineStr">
        <is>
          <t>Y</t>
        </is>
      </c>
      <c r="Y406" s="17" t="inlineStr">
        <is>
          <t>회사키+주소</t>
        </is>
      </c>
      <c r="Z406" s="17" t="n">
        <v>90</v>
      </c>
      <c r="AA406" s="17" t="inlineStr"/>
    </row>
    <row r="407">
      <c r="A407" s="30" t="inlineStr">
        <is>
          <t>S406</t>
        </is>
      </c>
      <c r="B407" s="17" t="inlineStr">
        <is>
          <t>P363</t>
        </is>
      </c>
      <c r="C407" s="17" t="inlineStr">
        <is>
          <t>씨엠에스제약</t>
        </is>
      </c>
      <c r="D407" s="17" t="inlineStr">
        <is>
          <t>씨엠에스제약(주)</t>
        </is>
      </c>
      <c r="E407" s="17" t="inlineStr">
        <is>
          <t>충청북도 청주시 흥덕구 오송읍 오송생명10로 152</t>
        </is>
      </c>
      <c r="F407" s="17" t="inlineStr">
        <is>
          <t>충청북도 청주시 흥덕구 오송읍 오송생명10로 152</t>
        </is>
      </c>
      <c r="G407" s="17" t="inlineStr">
        <is>
          <t>충청북도 청주시 흥덕구 오송읍 오송생명10로 152</t>
        </is>
      </c>
      <c r="H407" s="17" t="inlineStr">
        <is>
          <t>1공장</t>
        </is>
      </c>
      <c r="I407" s="23" t="inlineStr">
        <is>
          <t>6165</t>
        </is>
      </c>
      <c r="J407" s="17" t="inlineStr">
        <is>
          <t>1</t>
        </is>
      </c>
      <c r="K407" s="17" t="inlineStr">
        <is>
          <t>완제의약품</t>
        </is>
      </c>
      <c r="L407" s="17" t="inlineStr">
        <is>
          <t>무균-일반제제-주사제(주사제)</t>
        </is>
      </c>
      <c r="M407" s="24" t="n">
        <v>46565</v>
      </c>
      <c r="N407" s="17" t="inlineStr">
        <is>
          <t>Y</t>
        </is>
      </c>
      <c r="O407" s="17" t="inlineStr"/>
      <c r="P407" s="17" t="inlineStr">
        <is>
          <t>충청북도</t>
        </is>
      </c>
      <c r="Q407" s="17" t="inlineStr">
        <is>
          <t>청주시</t>
        </is>
      </c>
      <c r="R407" s="17" t="inlineStr">
        <is>
          <t>GMP공장소재지</t>
        </is>
      </c>
      <c r="S407" s="17" t="n">
        <v>90</v>
      </c>
      <c r="T407" s="17" t="inlineStr">
        <is>
          <t>Y</t>
        </is>
      </c>
      <c r="U407" s="17" t="n">
        <v>1</v>
      </c>
      <c r="V407" s="24" t="n">
        <v>46565</v>
      </c>
      <c r="W407" s="17" t="inlineStr"/>
      <c r="X407" s="17" t="inlineStr">
        <is>
          <t>Y</t>
        </is>
      </c>
      <c r="Y407" s="17" t="inlineStr">
        <is>
          <t>회사키+주소</t>
        </is>
      </c>
      <c r="Z407" s="17" t="n">
        <v>90</v>
      </c>
      <c r="AA407" s="17" t="inlineStr"/>
    </row>
    <row r="408">
      <c r="A408" s="30" t="inlineStr">
        <is>
          <t>S407</t>
        </is>
      </c>
      <c r="B408" s="17" t="inlineStr">
        <is>
          <t>P364</t>
        </is>
      </c>
      <c r="C408" s="17" t="inlineStr">
        <is>
          <t>동방에프티엘</t>
        </is>
      </c>
      <c r="D408" s="17" t="inlineStr">
        <is>
          <t>동방에프티엘(주)</t>
        </is>
      </c>
      <c r="E408" s="17" t="inlineStr">
        <is>
          <t>경기도 화성시 만세구 향남읍 제약공단4길 78</t>
        </is>
      </c>
      <c r="F408" s="17" t="inlineStr">
        <is>
          <t>경기도 화성시 만세구 향남읍 제약공단4길 74</t>
        </is>
      </c>
      <c r="G408" s="17" t="inlineStr">
        <is>
          <t>경기도 화성시 만세구 향남읍 제약공단4길 78</t>
        </is>
      </c>
      <c r="H408" s="17" t="inlineStr">
        <is>
          <t>3공장</t>
        </is>
      </c>
      <c r="I408" s="23" t="inlineStr">
        <is>
          <t>1731</t>
        </is>
      </c>
      <c r="J408" s="17" t="inlineStr">
        <is>
          <t>3</t>
        </is>
      </c>
      <c r="K408" s="17" t="inlineStr">
        <is>
          <t>원료의약품</t>
        </is>
      </c>
      <c r="L408" s="17" t="inlineStr">
        <is>
          <t>비무균-일반제제-합성, 비무균-일반제제-추출</t>
        </is>
      </c>
      <c r="M408" s="24" t="n">
        <v>46564</v>
      </c>
      <c r="N408" s="17" t="inlineStr"/>
      <c r="O408" s="17" t="inlineStr"/>
      <c r="P408" s="17" t="inlineStr">
        <is>
          <t>경기도</t>
        </is>
      </c>
      <c r="Q408" s="17" t="inlineStr">
        <is>
          <t>화성시</t>
        </is>
      </c>
      <c r="R408" s="17" t="inlineStr">
        <is>
          <t>GMP공장소재지</t>
        </is>
      </c>
      <c r="S408" s="17" t="n">
        <v>90</v>
      </c>
      <c r="T408" s="17" t="inlineStr">
        <is>
          <t>Y</t>
        </is>
      </c>
      <c r="U408" s="17" t="n">
        <v>2</v>
      </c>
      <c r="V408" s="24" t="n">
        <v>46564</v>
      </c>
      <c r="W408" s="17" t="inlineStr"/>
      <c r="X408" s="17" t="inlineStr">
        <is>
          <t>Y</t>
        </is>
      </c>
      <c r="Y408" s="17" t="inlineStr">
        <is>
          <t>회사키+주소</t>
        </is>
      </c>
      <c r="Z408" s="17" t="n">
        <v>90</v>
      </c>
      <c r="AA408" s="17" t="inlineStr"/>
    </row>
    <row r="409">
      <c r="A409" s="30" t="inlineStr">
        <is>
          <t>S408</t>
        </is>
      </c>
      <c r="B409" s="17" t="inlineStr">
        <is>
          <t>P364</t>
        </is>
      </c>
      <c r="C409" s="17" t="inlineStr">
        <is>
          <t>동방에프티엘</t>
        </is>
      </c>
      <c r="D409" s="17" t="inlineStr">
        <is>
          <t>동방에프티엘(주)</t>
        </is>
      </c>
      <c r="E409" s="17" t="inlineStr">
        <is>
          <t>경기도 화성시 만세구 향남읍 제약공단4길 78</t>
        </is>
      </c>
      <c r="F409" s="17" t="inlineStr">
        <is>
          <t>경기도 화성시 만세구 향남읍 제약공단4길 74</t>
        </is>
      </c>
      <c r="G409" s="17" t="inlineStr">
        <is>
          <t>경기도 화성시 만세구 향남읍 제약공단4길 78</t>
        </is>
      </c>
      <c r="H409" s="17" t="inlineStr">
        <is>
          <t>3공장</t>
        </is>
      </c>
      <c r="I409" s="23" t="inlineStr">
        <is>
          <t>1731</t>
        </is>
      </c>
      <c r="J409" s="17" t="inlineStr">
        <is>
          <t>3</t>
        </is>
      </c>
      <c r="K409" s="17" t="inlineStr">
        <is>
          <t>완제의약품</t>
        </is>
      </c>
      <c r="L409" s="17" t="inlineStr">
        <is>
          <t>비무균-일반제제-내용고형제(캡슐제)</t>
        </is>
      </c>
      <c r="M409" s="24" t="n">
        <v>46564</v>
      </c>
      <c r="N409" s="17" t="inlineStr"/>
      <c r="O409" s="17" t="inlineStr"/>
      <c r="P409" s="17" t="inlineStr">
        <is>
          <t>경기도</t>
        </is>
      </c>
      <c r="Q409" s="17" t="inlineStr">
        <is>
          <t>화성시</t>
        </is>
      </c>
      <c r="R409" s="17" t="inlineStr">
        <is>
          <t>GMP공장소재지</t>
        </is>
      </c>
      <c r="S409" s="17" t="n">
        <v>90</v>
      </c>
      <c r="T409" s="17" t="inlineStr">
        <is>
          <t>N</t>
        </is>
      </c>
      <c r="U409" s="17" t="n">
        <v>2</v>
      </c>
      <c r="V409" s="24" t="n">
        <v>46564</v>
      </c>
      <c r="W409" s="17" t="inlineStr"/>
      <c r="X409" s="17" t="inlineStr">
        <is>
          <t>Y</t>
        </is>
      </c>
      <c r="Y409" s="17" t="inlineStr">
        <is>
          <t>회사키+주소</t>
        </is>
      </c>
      <c r="Z409" s="17" t="n">
        <v>90</v>
      </c>
      <c r="AA409" s="17" t="inlineStr"/>
    </row>
    <row r="410">
      <c r="A410" s="30" t="inlineStr">
        <is>
          <t>S409</t>
        </is>
      </c>
      <c r="B410" s="17" t="inlineStr">
        <is>
          <t>P365</t>
        </is>
      </c>
      <c r="C410" s="17" t="inlineStr">
        <is>
          <t>구주제약</t>
        </is>
      </c>
      <c r="D410" s="17" t="inlineStr">
        <is>
          <t>구주제약(주)</t>
        </is>
      </c>
      <c r="E410" s="17" t="inlineStr">
        <is>
          <t>경기도 화성시 효행구 정남면 덕절제기길 5</t>
        </is>
      </c>
      <c r="F410" s="17" t="inlineStr">
        <is>
          <t>경기도 화성시 효행구 정남면 덕절제기길 5</t>
        </is>
      </c>
      <c r="G410" s="17" t="inlineStr">
        <is>
          <t>경기도 화성시 효행구 정남면 덕절제기길 5</t>
        </is>
      </c>
      <c r="H410" s="17" t="inlineStr">
        <is>
          <t>화성</t>
        </is>
      </c>
      <c r="I410" s="23" t="inlineStr">
        <is>
          <t>1455</t>
        </is>
      </c>
      <c r="J410" s="17" t="inlineStr">
        <is>
          <t>1</t>
        </is>
      </c>
      <c r="K410" s="17" t="inlineStr">
        <is>
          <t>완제의약품</t>
        </is>
      </c>
      <c r="L410" s="17" t="inlineStr">
        <is>
          <t>비무균-일반제제-내용고형제(정제, 캡슐제), 비무균-일반제제-내용액제(경구용액제, 시럽제(액상))</t>
        </is>
      </c>
      <c r="M410" s="24" t="n">
        <v>46564</v>
      </c>
      <c r="N410" s="17" t="inlineStr"/>
      <c r="O410" s="17" t="inlineStr"/>
      <c r="P410" s="17" t="inlineStr">
        <is>
          <t>경기도</t>
        </is>
      </c>
      <c r="Q410" s="17" t="inlineStr">
        <is>
          <t>화성시</t>
        </is>
      </c>
      <c r="R410" s="17" t="inlineStr">
        <is>
          <t>GMP공장소재지</t>
        </is>
      </c>
      <c r="S410" s="17" t="n">
        <v>90</v>
      </c>
      <c r="T410" s="17" t="inlineStr">
        <is>
          <t>Y</t>
        </is>
      </c>
      <c r="U410" s="17" t="n">
        <v>1</v>
      </c>
      <c r="V410" s="24" t="n">
        <v>46564</v>
      </c>
      <c r="W410" s="17" t="inlineStr"/>
      <c r="X410" s="17" t="inlineStr">
        <is>
          <t>Y</t>
        </is>
      </c>
      <c r="Y410" s="17" t="inlineStr">
        <is>
          <t>회사키+주소</t>
        </is>
      </c>
      <c r="Z410" s="17" t="n">
        <v>90</v>
      </c>
      <c r="AA410" s="17" t="inlineStr"/>
    </row>
    <row r="411">
      <c r="A411" s="30" t="inlineStr">
        <is>
          <t>S410</t>
        </is>
      </c>
      <c r="B411" s="17" t="inlineStr">
        <is>
          <t>P366</t>
        </is>
      </c>
      <c r="C411" s="17" t="inlineStr">
        <is>
          <t>건일제약</t>
        </is>
      </c>
      <c r="D411" s="17" t="inlineStr">
        <is>
          <t>건일제약(주)</t>
        </is>
      </c>
      <c r="E411" s="17" t="inlineStr">
        <is>
          <t>충청남도 천안시 서북구 직산읍 거리막길 33</t>
        </is>
      </c>
      <c r="F411" s="17" t="inlineStr">
        <is>
          <t>충청남도 천안시 서북구 직산읍 거리막길 33</t>
        </is>
      </c>
      <c r="G411" s="17" t="inlineStr">
        <is>
          <t>충청남도 천안시 서북구 직산읍 거리막길 33</t>
        </is>
      </c>
      <c r="H411" s="17" t="inlineStr">
        <is>
          <t>1공장</t>
        </is>
      </c>
      <c r="I411" s="23" t="inlineStr">
        <is>
          <t>1363</t>
        </is>
      </c>
      <c r="J411" s="17" t="inlineStr">
        <is>
          <t>1</t>
        </is>
      </c>
      <c r="K411" s="17" t="inlineStr">
        <is>
          <t>완제의약품</t>
        </is>
      </c>
      <c r="L411" s="17" t="inlineStr">
        <is>
          <t>비무균-일반제제-내용고형제(정제, 캡슐제, 산제)</t>
        </is>
      </c>
      <c r="M411" s="24" t="n">
        <v>46564</v>
      </c>
      <c r="N411" s="17" t="inlineStr"/>
      <c r="O411" s="17" t="inlineStr"/>
      <c r="P411" s="17" t="inlineStr">
        <is>
          <t>충청남도</t>
        </is>
      </c>
      <c r="Q411" s="17" t="inlineStr">
        <is>
          <t>천안시</t>
        </is>
      </c>
      <c r="R411" s="17" t="inlineStr">
        <is>
          <t>GMP공장소재지</t>
        </is>
      </c>
      <c r="S411" s="17" t="n">
        <v>90</v>
      </c>
      <c r="T411" s="17" t="inlineStr">
        <is>
          <t>Y</t>
        </is>
      </c>
      <c r="U411" s="17" t="n">
        <v>1</v>
      </c>
      <c r="V411" s="24" t="n">
        <v>46564</v>
      </c>
      <c r="W411" s="17" t="inlineStr"/>
      <c r="X411" s="17" t="inlineStr">
        <is>
          <t>Y</t>
        </is>
      </c>
      <c r="Y411" s="17" t="inlineStr">
        <is>
          <t>회사키+주소</t>
        </is>
      </c>
      <c r="Z411" s="17" t="n">
        <v>90</v>
      </c>
      <c r="AA411" s="17" t="inlineStr"/>
    </row>
    <row r="412">
      <c r="A412" s="30" t="inlineStr">
        <is>
          <t>S411</t>
        </is>
      </c>
      <c r="B412" s="17" t="inlineStr">
        <is>
          <t>P367</t>
        </is>
      </c>
      <c r="C412" s="17" t="inlineStr">
        <is>
          <t>파마리서치바이오</t>
        </is>
      </c>
      <c r="D412" s="17" t="inlineStr">
        <is>
          <t>(주)파마리서치바이오</t>
        </is>
      </c>
      <c r="E412" s="17" t="inlineStr">
        <is>
          <t>강원특별자치도 강릉시 사임당로 641-3 1층, 2층, 3층 일부(대전동)</t>
        </is>
      </c>
      <c r="F412" s="17" t="inlineStr">
        <is>
          <t>강원특별자치도 강릉시 사임당로 641-3 1층, 2층, 3층 일부(대전동)</t>
        </is>
      </c>
      <c r="G412" s="17" t="inlineStr">
        <is>
          <t>강원특별자치도 강릉시 사임당로 641-3 1층, 2층, 3층 일부(대전동)</t>
        </is>
      </c>
      <c r="H412" s="17" t="inlineStr">
        <is>
          <t>(주)파마리서치바이오</t>
        </is>
      </c>
      <c r="I412" s="23" t="inlineStr">
        <is>
          <t>374</t>
        </is>
      </c>
      <c r="J412" s="17" t="inlineStr">
        <is>
          <t>1</t>
        </is>
      </c>
      <c r="K412" s="17" t="inlineStr">
        <is>
          <t>완제의약품</t>
        </is>
      </c>
      <c r="L412" s="17" t="inlineStr">
        <is>
          <t>생물-독소-주사제(동결건조주사제)</t>
        </is>
      </c>
      <c r="M412" s="24" t="n">
        <v>46558</v>
      </c>
      <c r="N412" s="17" t="inlineStr">
        <is>
          <t>Y</t>
        </is>
      </c>
      <c r="O412" s="17" t="inlineStr">
        <is>
          <t>Y</t>
        </is>
      </c>
      <c r="P412" s="17" t="inlineStr">
        <is>
          <t>강원특별자치도</t>
        </is>
      </c>
      <c r="Q412" s="17" t="inlineStr">
        <is>
          <t>강릉시</t>
        </is>
      </c>
      <c r="R412" s="17" t="inlineStr">
        <is>
          <t>GMP공장소재지</t>
        </is>
      </c>
      <c r="S412" s="17" t="n">
        <v>90</v>
      </c>
      <c r="T412" s="17" t="inlineStr">
        <is>
          <t>Y</t>
        </is>
      </c>
      <c r="U412" s="17" t="n">
        <v>2</v>
      </c>
      <c r="V412" s="24" t="n">
        <v>46558</v>
      </c>
      <c r="W412" s="17" t="inlineStr"/>
      <c r="X412" s="17" t="inlineStr">
        <is>
          <t>Y</t>
        </is>
      </c>
      <c r="Y412" s="17" t="inlineStr">
        <is>
          <t>회사키+주소</t>
        </is>
      </c>
      <c r="Z412" s="17" t="n">
        <v>90</v>
      </c>
      <c r="AA412" s="17" t="inlineStr"/>
    </row>
    <row r="413">
      <c r="A413" s="30" t="inlineStr">
        <is>
          <t>S412</t>
        </is>
      </c>
      <c r="B413" s="17" t="inlineStr">
        <is>
          <t>P367</t>
        </is>
      </c>
      <c r="C413" s="17" t="inlineStr">
        <is>
          <t>파마리서치바이오</t>
        </is>
      </c>
      <c r="D413" s="17" t="inlineStr">
        <is>
          <t>(주)파마리서치바이오</t>
        </is>
      </c>
      <c r="E413" s="17" t="inlineStr">
        <is>
          <t>강원특별자치도 강릉시 사임당로 641-3 1층, 2층, 3층 일부(대전동)</t>
        </is>
      </c>
      <c r="F413" s="17" t="inlineStr">
        <is>
          <t>강원특별자치도 강릉시 사임당로 641-3 1층, 2층, 3층 일부(대전동)</t>
        </is>
      </c>
      <c r="G413" s="17" t="inlineStr">
        <is>
          <t>강원특별자치도 강릉시 사임당로 641-3 1층, 2층, 3층 일부(대전동)</t>
        </is>
      </c>
      <c r="H413" s="17" t="inlineStr">
        <is>
          <t>(주)파마리서치바이오</t>
        </is>
      </c>
      <c r="I413" s="23" t="inlineStr">
        <is>
          <t>374</t>
        </is>
      </c>
      <c r="J413" s="17" t="inlineStr">
        <is>
          <t>1</t>
        </is>
      </c>
      <c r="K413" s="17" t="inlineStr">
        <is>
          <t>원료의약품</t>
        </is>
      </c>
      <c r="L413" s="17" t="inlineStr">
        <is>
          <t>생물-독소-(배양, 정제, 원액 제조)</t>
        </is>
      </c>
      <c r="M413" s="24" t="n">
        <v>46558</v>
      </c>
      <c r="N413" s="17" t="inlineStr"/>
      <c r="O413" s="17" t="inlineStr">
        <is>
          <t>Y</t>
        </is>
      </c>
      <c r="P413" s="17" t="inlineStr">
        <is>
          <t>강원특별자치도</t>
        </is>
      </c>
      <c r="Q413" s="17" t="inlineStr">
        <is>
          <t>강릉시</t>
        </is>
      </c>
      <c r="R413" s="17" t="inlineStr">
        <is>
          <t>GMP공장소재지</t>
        </is>
      </c>
      <c r="S413" s="17" t="n">
        <v>90</v>
      </c>
      <c r="T413" s="17" t="inlineStr">
        <is>
          <t>N</t>
        </is>
      </c>
      <c r="U413" s="17" t="n">
        <v>2</v>
      </c>
      <c r="V413" s="24" t="n">
        <v>46558</v>
      </c>
      <c r="W413" s="17" t="inlineStr"/>
      <c r="X413" s="17" t="inlineStr">
        <is>
          <t>Y</t>
        </is>
      </c>
      <c r="Y413" s="17" t="inlineStr">
        <is>
          <t>회사키+주소</t>
        </is>
      </c>
      <c r="Z413" s="17" t="n">
        <v>90</v>
      </c>
      <c r="AA413" s="17" t="inlineStr"/>
    </row>
    <row r="414">
      <c r="A414" s="30" t="inlineStr">
        <is>
          <t>S413</t>
        </is>
      </c>
      <c r="B414" s="17" t="inlineStr">
        <is>
          <t>P368</t>
        </is>
      </c>
      <c r="C414" s="17" t="inlineStr">
        <is>
          <t>삼영유니텍</t>
        </is>
      </c>
      <c r="D414" s="17" t="inlineStr">
        <is>
          <t>(주)삼영유니텍</t>
        </is>
      </c>
      <c r="E414" s="17" t="inlineStr">
        <is>
          <t>대전광역시 유성구 테크노11로 33</t>
        </is>
      </c>
      <c r="F414" s="17" t="inlineStr">
        <is>
          <t>대전광역시 유성구 테크노11로 33</t>
        </is>
      </c>
      <c r="G414" s="17" t="inlineStr">
        <is>
          <t>대전광역시 유성구 테크노11로 33</t>
        </is>
      </c>
      <c r="H414" s="17" t="inlineStr">
        <is>
          <t>2공장</t>
        </is>
      </c>
      <c r="I414" s="23" t="inlineStr">
        <is>
          <t>2419</t>
        </is>
      </c>
      <c r="J414" s="17" t="inlineStr">
        <is>
          <t>2</t>
        </is>
      </c>
      <c r="K414" s="17" t="inlineStr">
        <is>
          <t>완제의약품</t>
        </is>
      </c>
      <c r="L414" s="17" t="inlineStr">
        <is>
          <t>비무균-일반제제(방사성의약품)-내용고형제(캡슐제), 무균-일반제제(방사성의약품)-주사제(주사제), 비무균-일반제제(방사성의약품)-내용액제(경구용액제)</t>
        </is>
      </c>
      <c r="M414" s="24" t="n">
        <v>46558</v>
      </c>
      <c r="N414" s="17" t="inlineStr">
        <is>
          <t>Y</t>
        </is>
      </c>
      <c r="O414" s="17" t="inlineStr"/>
      <c r="P414" s="17" t="inlineStr">
        <is>
          <t>대전광역시</t>
        </is>
      </c>
      <c r="Q414" s="17" t="inlineStr">
        <is>
          <t>유성구</t>
        </is>
      </c>
      <c r="R414" s="17" t="inlineStr">
        <is>
          <t>GMP공장소재지</t>
        </is>
      </c>
      <c r="S414" s="17" t="n">
        <v>90</v>
      </c>
      <c r="T414" s="17" t="inlineStr">
        <is>
          <t>Y</t>
        </is>
      </c>
      <c r="U414" s="17" t="n">
        <v>1</v>
      </c>
      <c r="V414" s="24" t="n">
        <v>46558</v>
      </c>
      <c r="W414" s="17" t="inlineStr"/>
      <c r="X414" s="17" t="inlineStr">
        <is>
          <t>Y</t>
        </is>
      </c>
      <c r="Y414" s="17" t="inlineStr">
        <is>
          <t>회사키+주소</t>
        </is>
      </c>
      <c r="Z414" s="17" t="n">
        <v>90</v>
      </c>
      <c r="AA414" s="17" t="inlineStr"/>
    </row>
    <row r="415">
      <c r="A415" s="30" t="inlineStr">
        <is>
          <t>S414</t>
        </is>
      </c>
      <c r="B415" s="17" t="inlineStr">
        <is>
          <t>P369</t>
        </is>
      </c>
      <c r="C415" s="17" t="inlineStr">
        <is>
          <t>한서켐</t>
        </is>
      </c>
      <c r="D415" s="17" t="inlineStr">
        <is>
          <t>(주)한서켐</t>
        </is>
      </c>
      <c r="E415" s="17" t="inlineStr">
        <is>
          <t>경기도 평택시 포승읍 포승공단로 41</t>
        </is>
      </c>
      <c r="F415" s="17" t="inlineStr">
        <is>
          <t>경기도 평택시 포승읍 포승공단로 41</t>
        </is>
      </c>
      <c r="G415" s="17" t="inlineStr">
        <is>
          <t>경기도 평택시 포승읍 포승공단로 41</t>
        </is>
      </c>
      <c r="H415" s="17" t="inlineStr">
        <is>
          <t>.</t>
        </is>
      </c>
      <c r="I415" s="23" t="inlineStr">
        <is>
          <t>2295</t>
        </is>
      </c>
      <c r="J415" s="17" t="inlineStr">
        <is>
          <t>1</t>
        </is>
      </c>
      <c r="K415" s="17" t="inlineStr">
        <is>
          <t>원료의약품</t>
        </is>
      </c>
      <c r="L415" s="17" t="inlineStr">
        <is>
          <t>비무균-일반제제-합성</t>
        </is>
      </c>
      <c r="M415" s="24" t="n">
        <v>46557</v>
      </c>
      <c r="N415" s="17" t="inlineStr"/>
      <c r="O415" s="17" t="inlineStr"/>
      <c r="P415" s="17" t="inlineStr">
        <is>
          <t>경기도</t>
        </is>
      </c>
      <c r="Q415" s="17" t="inlineStr">
        <is>
          <t>평택시</t>
        </is>
      </c>
      <c r="R415" s="17" t="inlineStr">
        <is>
          <t>GMP공장소재지</t>
        </is>
      </c>
      <c r="S415" s="17" t="n">
        <v>90</v>
      </c>
      <c r="T415" s="17" t="inlineStr">
        <is>
          <t>Y</t>
        </is>
      </c>
      <c r="U415" s="17" t="n">
        <v>1</v>
      </c>
      <c r="V415" s="24" t="n">
        <v>46557</v>
      </c>
      <c r="W415" s="17" t="inlineStr"/>
      <c r="X415" s="17" t="inlineStr">
        <is>
          <t>Y</t>
        </is>
      </c>
      <c r="Y415" s="17" t="inlineStr">
        <is>
          <t>회사키+주소</t>
        </is>
      </c>
      <c r="Z415" s="17" t="n">
        <v>90</v>
      </c>
      <c r="AA415" s="17" t="inlineStr"/>
    </row>
    <row r="416">
      <c r="A416" s="30" t="inlineStr">
        <is>
          <t>S415</t>
        </is>
      </c>
      <c r="B416" s="17" t="inlineStr">
        <is>
          <t>P370</t>
        </is>
      </c>
      <c r="C416" s="17" t="inlineStr">
        <is>
          <t>구미제약</t>
        </is>
      </c>
      <c r="D416" s="17" t="inlineStr">
        <is>
          <t>구미제약(주)</t>
        </is>
      </c>
      <c r="E416" s="17" t="inlineStr">
        <is>
          <t>경기도 김포시 통진읍 옹정로 242</t>
        </is>
      </c>
      <c r="F416" s="17" t="inlineStr">
        <is>
          <t>경기도 김포시 통진읍 옹정로 242</t>
        </is>
      </c>
      <c r="G416" s="17" t="inlineStr">
        <is>
          <t>경기도 김포시 통진읍 옹정로 242</t>
        </is>
      </c>
      <c r="H416" s="17" t="inlineStr">
        <is>
          <t>김포</t>
        </is>
      </c>
      <c r="I416" s="23" t="inlineStr">
        <is>
          <t>2128</t>
        </is>
      </c>
      <c r="J416" s="17" t="inlineStr">
        <is>
          <t>1</t>
        </is>
      </c>
      <c r="K416" s="17" t="inlineStr">
        <is>
          <t>원료의약품</t>
        </is>
      </c>
      <c r="L416" s="17" t="inlineStr">
        <is>
          <t>비무균-일반제제-소분</t>
        </is>
      </c>
      <c r="M416" s="24" t="n">
        <v>46557</v>
      </c>
      <c r="N416" s="17" t="inlineStr"/>
      <c r="O416" s="17" t="inlineStr"/>
      <c r="P416" s="17" t="inlineStr">
        <is>
          <t>경기도</t>
        </is>
      </c>
      <c r="Q416" s="17" t="inlineStr">
        <is>
          <t>김포시</t>
        </is>
      </c>
      <c r="R416" s="17" t="inlineStr">
        <is>
          <t>GMP공장소재지</t>
        </is>
      </c>
      <c r="S416" s="17" t="n">
        <v>90</v>
      </c>
      <c r="T416" s="17" t="inlineStr">
        <is>
          <t>Y</t>
        </is>
      </c>
      <c r="U416" s="17" t="n">
        <v>2</v>
      </c>
      <c r="V416" s="24" t="n">
        <v>46557</v>
      </c>
      <c r="W416" s="17" t="inlineStr"/>
      <c r="X416" s="17" t="inlineStr">
        <is>
          <t>Y</t>
        </is>
      </c>
      <c r="Y416" s="17" t="inlineStr">
        <is>
          <t>회사키+주소</t>
        </is>
      </c>
      <c r="Z416" s="17" t="n">
        <v>90</v>
      </c>
      <c r="AA416" s="17" t="inlineStr"/>
    </row>
    <row r="417">
      <c r="A417" s="30" t="inlineStr">
        <is>
          <t>S416</t>
        </is>
      </c>
      <c r="B417" s="17" t="inlineStr">
        <is>
          <t>P370</t>
        </is>
      </c>
      <c r="C417" s="17" t="inlineStr">
        <is>
          <t>구미제약</t>
        </is>
      </c>
      <c r="D417" s="17" t="inlineStr">
        <is>
          <t>구미제약(주)</t>
        </is>
      </c>
      <c r="E417" s="17" t="inlineStr">
        <is>
          <t>경기도 김포시 통진읍 옹정로 242</t>
        </is>
      </c>
      <c r="F417" s="17" t="inlineStr">
        <is>
          <t>경기도 김포시 통진읍 옹정로 242</t>
        </is>
      </c>
      <c r="G417" s="17" t="inlineStr">
        <is>
          <t>경기도 김포시 통진읍 옹정로 242</t>
        </is>
      </c>
      <c r="H417" s="17" t="inlineStr">
        <is>
          <t>김포</t>
        </is>
      </c>
      <c r="I417" s="23" t="inlineStr">
        <is>
          <t>2128</t>
        </is>
      </c>
      <c r="J417" s="17" t="inlineStr">
        <is>
          <t>1</t>
        </is>
      </c>
      <c r="K417" s="17" t="inlineStr">
        <is>
          <t>완제의약품</t>
        </is>
      </c>
      <c r="L417" s="17" t="inlineStr">
        <is>
          <t>비무균-일반제제-외용액제(외용액제)</t>
        </is>
      </c>
      <c r="M417" s="24" t="n">
        <v>46557</v>
      </c>
      <c r="N417" s="17" t="inlineStr"/>
      <c r="O417" s="17" t="inlineStr"/>
      <c r="P417" s="17" t="inlineStr">
        <is>
          <t>경기도</t>
        </is>
      </c>
      <c r="Q417" s="17" t="inlineStr">
        <is>
          <t>김포시</t>
        </is>
      </c>
      <c r="R417" s="17" t="inlineStr">
        <is>
          <t>GMP공장소재지</t>
        </is>
      </c>
      <c r="S417" s="17" t="n">
        <v>90</v>
      </c>
      <c r="T417" s="17" t="inlineStr">
        <is>
          <t>N</t>
        </is>
      </c>
      <c r="U417" s="17" t="n">
        <v>2</v>
      </c>
      <c r="V417" s="24" t="n">
        <v>46557</v>
      </c>
      <c r="W417" s="17" t="inlineStr"/>
      <c r="X417" s="17" t="inlineStr">
        <is>
          <t>Y</t>
        </is>
      </c>
      <c r="Y417" s="17" t="inlineStr">
        <is>
          <t>회사키+주소</t>
        </is>
      </c>
      <c r="Z417" s="17" t="n">
        <v>90</v>
      </c>
      <c r="AA417" s="17" t="inlineStr"/>
    </row>
    <row r="418">
      <c r="A418" s="30" t="inlineStr">
        <is>
          <t>S417</t>
        </is>
      </c>
      <c r="B418" s="17" t="inlineStr">
        <is>
          <t>P371</t>
        </is>
      </c>
      <c r="C418" s="17" t="inlineStr">
        <is>
          <t>경남제약</t>
        </is>
      </c>
      <c r="D418" s="17" t="inlineStr">
        <is>
          <t>경남제약(주)</t>
        </is>
      </c>
      <c r="E418" s="17" t="inlineStr">
        <is>
          <t>충청남도 아산시 신창면 서부남로790번길 49</t>
        </is>
      </c>
      <c r="F418" s="17" t="inlineStr">
        <is>
          <t>충청남도 아산시 신창면 서부남로790번길 49</t>
        </is>
      </c>
      <c r="G418" s="17" t="inlineStr">
        <is>
          <t>충청남도 아산시 신창면 서부남로790번길 49</t>
        </is>
      </c>
      <c r="H418" s="17" t="inlineStr">
        <is>
          <t>아산</t>
        </is>
      </c>
      <c r="I418" s="23" t="inlineStr">
        <is>
          <t>1341</t>
        </is>
      </c>
      <c r="J418" s="17" t="inlineStr">
        <is>
          <t>1</t>
        </is>
      </c>
      <c r="K418" s="17" t="inlineStr">
        <is>
          <t>완제의약품</t>
        </is>
      </c>
      <c r="L418" s="17" t="inlineStr">
        <is>
          <t>비무균-일반제제-내용고형제(정제, 캡슐제, 산제, 트로키제), 비무균-일반제제-내용액제(경구용액제)</t>
        </is>
      </c>
      <c r="M418" s="24" t="n">
        <v>46557</v>
      </c>
      <c r="N418" s="17" t="inlineStr"/>
      <c r="O418" s="17" t="inlineStr"/>
      <c r="P418" s="17" t="inlineStr">
        <is>
          <t>충청남도</t>
        </is>
      </c>
      <c r="Q418" s="17" t="inlineStr">
        <is>
          <t>아산시</t>
        </is>
      </c>
      <c r="R418" s="17" t="inlineStr">
        <is>
          <t>GMP공장소재지</t>
        </is>
      </c>
      <c r="S418" s="17" t="n">
        <v>90</v>
      </c>
      <c r="T418" s="17" t="inlineStr">
        <is>
          <t>Y</t>
        </is>
      </c>
      <c r="U418" s="17" t="n">
        <v>1</v>
      </c>
      <c r="V418" s="24" t="n">
        <v>46557</v>
      </c>
      <c r="W418" s="17" t="inlineStr"/>
      <c r="X418" s="17" t="inlineStr">
        <is>
          <t>Y</t>
        </is>
      </c>
      <c r="Y418" s="17" t="inlineStr">
        <is>
          <t>회사키+주소</t>
        </is>
      </c>
      <c r="Z418" s="17" t="n">
        <v>90</v>
      </c>
      <c r="AA418" s="17" t="inlineStr"/>
    </row>
    <row r="419">
      <c r="A419" s="30" t="inlineStr">
        <is>
          <t>S418</t>
        </is>
      </c>
      <c r="B419" s="17" t="inlineStr">
        <is>
          <t>P372</t>
        </is>
      </c>
      <c r="C419" s="17" t="inlineStr">
        <is>
          <t>삼오제약</t>
        </is>
      </c>
      <c r="D419" s="17" t="inlineStr">
        <is>
          <t>(주)삼오제약</t>
        </is>
      </c>
      <c r="E419" s="17" t="inlineStr">
        <is>
          <t>경기도 시흥시 옥구천서로81번길 63 (시화공단 1마 705호) (정왕동)</t>
        </is>
      </c>
      <c r="F419" s="17" t="inlineStr">
        <is>
          <t>경기도 시흥시 옥구천서로81번길 63, (시화공단 1마 705호) (정왕동)</t>
        </is>
      </c>
      <c r="G419" s="17" t="inlineStr">
        <is>
          <t>경기도 시흥시 옥구천서로81번길 63 (시화공단 1마 705호) (정왕동)</t>
        </is>
      </c>
      <c r="H419" s="17" t="inlineStr">
        <is>
          <t>소분</t>
        </is>
      </c>
      <c r="I419" s="23" t="inlineStr">
        <is>
          <t>2105</t>
        </is>
      </c>
      <c r="J419" s="17" t="inlineStr">
        <is>
          <t>2</t>
        </is>
      </c>
      <c r="K419" s="17" t="inlineStr">
        <is>
          <t>원료의약품</t>
        </is>
      </c>
      <c r="L419" s="17" t="inlineStr">
        <is>
          <t>비무균-일반제제-합성, 비무균-일반제제-추출, 비무균-일반제제-소분</t>
        </is>
      </c>
      <c r="M419" s="24" t="n">
        <v>46551</v>
      </c>
      <c r="N419" s="17" t="inlineStr"/>
      <c r="O419" s="17" t="inlineStr"/>
      <c r="P419" s="17" t="inlineStr">
        <is>
          <t>경기도</t>
        </is>
      </c>
      <c r="Q419" s="17" t="inlineStr">
        <is>
          <t>시흥시</t>
        </is>
      </c>
      <c r="R419" s="17" t="inlineStr">
        <is>
          <t>GMP공장소재지</t>
        </is>
      </c>
      <c r="S419" s="17" t="n">
        <v>90</v>
      </c>
      <c r="T419" s="17" t="inlineStr">
        <is>
          <t>Y</t>
        </is>
      </c>
      <c r="U419" s="17" t="n">
        <v>1</v>
      </c>
      <c r="V419" s="24" t="n">
        <v>46551</v>
      </c>
      <c r="W419" s="17" t="inlineStr"/>
      <c r="X419" s="17" t="inlineStr">
        <is>
          <t>Y</t>
        </is>
      </c>
      <c r="Y419" s="17" t="inlineStr">
        <is>
          <t>회사키+주소</t>
        </is>
      </c>
      <c r="Z419" s="17" t="n">
        <v>90</v>
      </c>
      <c r="AA419" s="17" t="inlineStr"/>
    </row>
    <row r="420">
      <c r="A420" s="30" t="inlineStr">
        <is>
          <t>S419</t>
        </is>
      </c>
      <c r="B420" s="17" t="inlineStr">
        <is>
          <t>P373</t>
        </is>
      </c>
      <c r="C420" s="17" t="inlineStr">
        <is>
          <t>한창메딕</t>
        </is>
      </c>
      <c r="D420" s="17" t="inlineStr">
        <is>
          <t>한창메딕</t>
        </is>
      </c>
      <c r="E420" s="17" t="inlineStr">
        <is>
          <t>충청남도 천안시 동남구 수신면 장산2길 79-35</t>
        </is>
      </c>
      <c r="F420" s="17" t="inlineStr">
        <is>
          <t>충청남도 천안시 동남구 수신면 장산2길 79-35</t>
        </is>
      </c>
      <c r="G420" s="17" t="inlineStr">
        <is>
          <t>충청남도 천안시 동남구 수신면 장산2길 79-35</t>
        </is>
      </c>
      <c r="H420" s="17" t="inlineStr">
        <is>
          <t>제1공장</t>
        </is>
      </c>
      <c r="I420" s="23" t="inlineStr">
        <is>
          <t>2607</t>
        </is>
      </c>
      <c r="J420" s="17" t="inlineStr">
        <is>
          <t>1</t>
        </is>
      </c>
      <c r="K420" s="17" t="inlineStr">
        <is>
          <t>완제의약품</t>
        </is>
      </c>
      <c r="L420" s="17" t="inlineStr">
        <is>
          <t>비무균-일반제제-외용액제(외용액제)</t>
        </is>
      </c>
      <c r="M420" s="24" t="n">
        <v>46550</v>
      </c>
      <c r="N420" s="17" t="inlineStr"/>
      <c r="O420" s="17" t="inlineStr"/>
      <c r="P420" s="17" t="inlineStr">
        <is>
          <t>충청남도</t>
        </is>
      </c>
      <c r="Q420" s="17" t="inlineStr">
        <is>
          <t>천안시</t>
        </is>
      </c>
      <c r="R420" s="17" t="inlineStr">
        <is>
          <t>GMP공장소재지</t>
        </is>
      </c>
      <c r="S420" s="17" t="n">
        <v>90</v>
      </c>
      <c r="T420" s="17" t="inlineStr">
        <is>
          <t>Y</t>
        </is>
      </c>
      <c r="U420" s="17" t="n">
        <v>1</v>
      </c>
      <c r="V420" s="24" t="n">
        <v>46550</v>
      </c>
      <c r="W420" s="17" t="inlineStr"/>
      <c r="X420" s="17" t="inlineStr">
        <is>
          <t>Y</t>
        </is>
      </c>
      <c r="Y420" s="17" t="inlineStr">
        <is>
          <t>회사키+주소</t>
        </is>
      </c>
      <c r="Z420" s="17" t="n">
        <v>90</v>
      </c>
      <c r="AA420" s="17" t="inlineStr"/>
    </row>
    <row r="421">
      <c r="A421" s="30" t="inlineStr">
        <is>
          <t>S420</t>
        </is>
      </c>
      <c r="B421" s="17" t="inlineStr">
        <is>
          <t>P374</t>
        </is>
      </c>
      <c r="C421" s="17" t="inlineStr">
        <is>
          <t>제론셀베인</t>
        </is>
      </c>
      <c r="D421" s="17" t="inlineStr">
        <is>
          <t>주식회사 제론셀베인</t>
        </is>
      </c>
      <c r="E421" s="17" t="inlineStr">
        <is>
          <t>충청남도 아산시 둔포면 윤보선로 342 2동</t>
        </is>
      </c>
      <c r="F421" s="17" t="inlineStr">
        <is>
          <t>충청남도 아산시 둔포면 윤보선로 342 2동</t>
        </is>
      </c>
      <c r="G421" s="17" t="inlineStr">
        <is>
          <t>충청남도 아산시 둔포면 윤보선로 342 2동</t>
        </is>
      </c>
      <c r="H421" s="17" t="inlineStr">
        <is>
          <t>1공장</t>
        </is>
      </c>
      <c r="I421" s="23" t="inlineStr">
        <is>
          <t>6161</t>
        </is>
      </c>
      <c r="J421" s="17" t="inlineStr">
        <is>
          <t>1</t>
        </is>
      </c>
      <c r="K421" s="17" t="inlineStr">
        <is>
          <t>완제의약품</t>
        </is>
      </c>
      <c r="L421" s="17" t="inlineStr">
        <is>
          <t>비무균-일반제제-외용액제(외용액제)</t>
        </is>
      </c>
      <c r="M421" s="24" t="n">
        <v>46542</v>
      </c>
      <c r="N421" s="17" t="inlineStr"/>
      <c r="O421" s="17" t="inlineStr"/>
      <c r="P421" s="17" t="inlineStr">
        <is>
          <t>충청남도</t>
        </is>
      </c>
      <c r="Q421" s="17" t="inlineStr">
        <is>
          <t>아산시</t>
        </is>
      </c>
      <c r="R421" s="17" t="inlineStr">
        <is>
          <t>GMP공장소재지</t>
        </is>
      </c>
      <c r="S421" s="17" t="n">
        <v>90</v>
      </c>
      <c r="T421" s="17" t="inlineStr">
        <is>
          <t>Y</t>
        </is>
      </c>
      <c r="U421" s="17" t="n">
        <v>2</v>
      </c>
      <c r="V421" s="24" t="n">
        <v>46542</v>
      </c>
      <c r="W421" s="17" t="inlineStr"/>
      <c r="X421" s="17" t="inlineStr">
        <is>
          <t>Y</t>
        </is>
      </c>
      <c r="Y421" s="17" t="inlineStr">
        <is>
          <t>회사키+주소</t>
        </is>
      </c>
      <c r="Z421" s="17" t="n">
        <v>90</v>
      </c>
      <c r="AA421" s="17" t="inlineStr"/>
    </row>
    <row r="422">
      <c r="A422" s="30" t="inlineStr">
        <is>
          <t>S421</t>
        </is>
      </c>
      <c r="B422" s="17" t="inlineStr">
        <is>
          <t>P374</t>
        </is>
      </c>
      <c r="C422" s="17" t="inlineStr">
        <is>
          <t>제론셀베인</t>
        </is>
      </c>
      <c r="D422" s="17" t="inlineStr">
        <is>
          <t>주식회사 제론셀베인</t>
        </is>
      </c>
      <c r="E422" s="17" t="inlineStr">
        <is>
          <t>충청남도 아산시 둔포면 윤보선로 342 2동</t>
        </is>
      </c>
      <c r="F422" s="17" t="inlineStr">
        <is>
          <t>충청남도 아산시 둔포면 윤보선로 342 2동</t>
        </is>
      </c>
      <c r="G422" s="17" t="inlineStr">
        <is>
          <t>충청남도 아산시 둔포면 윤보선로 342 2동</t>
        </is>
      </c>
      <c r="H422" s="17" t="inlineStr">
        <is>
          <t>1공장</t>
        </is>
      </c>
      <c r="I422" s="23" t="inlineStr">
        <is>
          <t>6161</t>
        </is>
      </c>
      <c r="J422" s="17" t="inlineStr">
        <is>
          <t>1</t>
        </is>
      </c>
      <c r="K422" s="17" t="inlineStr">
        <is>
          <t>원료의약품</t>
        </is>
      </c>
      <c r="L422" s="17" t="inlineStr">
        <is>
          <t>비무균-일반제제-정제(추출에 한함)</t>
        </is>
      </c>
      <c r="M422" s="24" t="n">
        <v>46542</v>
      </c>
      <c r="N422" s="17" t="inlineStr"/>
      <c r="O422" s="17" t="inlineStr"/>
      <c r="P422" s="17" t="inlineStr">
        <is>
          <t>충청남도</t>
        </is>
      </c>
      <c r="Q422" s="17" t="inlineStr">
        <is>
          <t>아산시</t>
        </is>
      </c>
      <c r="R422" s="17" t="inlineStr">
        <is>
          <t>GMP공장소재지</t>
        </is>
      </c>
      <c r="S422" s="17" t="n">
        <v>90</v>
      </c>
      <c r="T422" s="17" t="inlineStr">
        <is>
          <t>N</t>
        </is>
      </c>
      <c r="U422" s="17" t="n">
        <v>2</v>
      </c>
      <c r="V422" s="24" t="n">
        <v>46542</v>
      </c>
      <c r="W422" s="17" t="inlineStr"/>
      <c r="X422" s="17" t="inlineStr">
        <is>
          <t>Y</t>
        </is>
      </c>
      <c r="Y422" s="17" t="inlineStr">
        <is>
          <t>회사키+주소</t>
        </is>
      </c>
      <c r="Z422" s="17" t="n">
        <v>90</v>
      </c>
      <c r="AA422" s="17" t="inlineStr"/>
    </row>
    <row r="423">
      <c r="A423" s="30" t="inlineStr">
        <is>
          <t>S422</t>
        </is>
      </c>
      <c r="B423" s="17" t="inlineStr">
        <is>
          <t>P375</t>
        </is>
      </c>
      <c r="C423" s="17" t="inlineStr">
        <is>
          <t>단일에이피</t>
        </is>
      </c>
      <c r="D423" s="17" t="inlineStr">
        <is>
          <t>단일에이피(주)</t>
        </is>
      </c>
      <c r="E423" s="17" t="inlineStr">
        <is>
          <t>경기도 구리시 동구릉로200번길 30 충전동</t>
        </is>
      </c>
      <c r="F423" s="17" t="inlineStr">
        <is>
          <t>경기도 구리시 동구릉로200번길 30 충전동</t>
        </is>
      </c>
      <c r="G423" s="17" t="inlineStr">
        <is>
          <t>경기도 구리시 동구릉로200번길 30 충전동</t>
        </is>
      </c>
      <c r="H423" s="17" t="inlineStr">
        <is>
          <t>제1공장</t>
        </is>
      </c>
      <c r="I423" s="23" t="inlineStr">
        <is>
          <t>392</t>
        </is>
      </c>
      <c r="J423" s="17" t="inlineStr">
        <is>
          <t>1</t>
        </is>
      </c>
      <c r="K423" s="17" t="inlineStr">
        <is>
          <t>완제의약품</t>
        </is>
      </c>
      <c r="L423" s="17" t="inlineStr">
        <is>
          <t>비무균-일반제제(의료용 고압가스)-가스제(의료용 고압가스)</t>
        </is>
      </c>
      <c r="M423" s="24" t="n">
        <v>46542</v>
      </c>
      <c r="N423" s="17" t="inlineStr"/>
      <c r="O423" s="17" t="inlineStr"/>
      <c r="P423" s="17" t="inlineStr">
        <is>
          <t>경기도</t>
        </is>
      </c>
      <c r="Q423" s="17" t="inlineStr">
        <is>
          <t>구리시</t>
        </is>
      </c>
      <c r="R423" s="17" t="inlineStr">
        <is>
          <t>GMP공장소재지</t>
        </is>
      </c>
      <c r="S423" s="17" t="n">
        <v>90</v>
      </c>
      <c r="T423" s="17" t="inlineStr">
        <is>
          <t>Y</t>
        </is>
      </c>
      <c r="U423" s="17" t="n">
        <v>1</v>
      </c>
      <c r="V423" s="24" t="n">
        <v>46542</v>
      </c>
      <c r="W423" s="17" t="inlineStr"/>
      <c r="X423" s="17" t="inlineStr">
        <is>
          <t>Y</t>
        </is>
      </c>
      <c r="Y423" s="17" t="inlineStr">
        <is>
          <t>회사키+주소</t>
        </is>
      </c>
      <c r="Z423" s="17" t="n">
        <v>90</v>
      </c>
      <c r="AA423" s="17" t="inlineStr"/>
    </row>
    <row r="424">
      <c r="A424" s="30" t="inlineStr">
        <is>
          <t>S423</t>
        </is>
      </c>
      <c r="B424" s="17" t="inlineStr">
        <is>
          <t>P376</t>
        </is>
      </c>
      <c r="C424" s="17" t="inlineStr">
        <is>
          <t>동인화학</t>
        </is>
      </c>
      <c r="D424" s="17" t="inlineStr">
        <is>
          <t>(주)동인화학</t>
        </is>
      </c>
      <c r="E424" s="17" t="inlineStr">
        <is>
          <t>경기도 평택시 산단로16번길 62</t>
        </is>
      </c>
      <c r="F424" s="17" t="inlineStr">
        <is>
          <t>경기도 평택시 산단로16번길 62</t>
        </is>
      </c>
      <c r="G424" s="17" t="inlineStr">
        <is>
          <t>경기도 평택시 산단로16번길 62</t>
        </is>
      </c>
      <c r="H424" s="17" t="inlineStr">
        <is>
          <t>평택</t>
        </is>
      </c>
      <c r="I424" s="23" t="inlineStr">
        <is>
          <t>2501</t>
        </is>
      </c>
      <c r="J424" s="17" t="inlineStr">
        <is>
          <t>1</t>
        </is>
      </c>
      <c r="K424" s="17" t="inlineStr">
        <is>
          <t>원료의약품</t>
        </is>
      </c>
      <c r="L424" s="17" t="inlineStr">
        <is>
          <t>비무균-일반제제-합성, 비무균-일반제제-정제(합성에 한함)</t>
        </is>
      </c>
      <c r="M424" s="24" t="n">
        <v>46542</v>
      </c>
      <c r="N424" s="17" t="inlineStr"/>
      <c r="O424" s="17" t="inlineStr"/>
      <c r="P424" s="17" t="inlineStr">
        <is>
          <t>경기도</t>
        </is>
      </c>
      <c r="Q424" s="17" t="inlineStr">
        <is>
          <t>평택시</t>
        </is>
      </c>
      <c r="R424" s="17" t="inlineStr">
        <is>
          <t>GMP공장소재지</t>
        </is>
      </c>
      <c r="S424" s="17" t="n">
        <v>90</v>
      </c>
      <c r="T424" s="17" t="inlineStr">
        <is>
          <t>Y</t>
        </is>
      </c>
      <c r="U424" s="17" t="n">
        <v>1</v>
      </c>
      <c r="V424" s="24" t="n">
        <v>46542</v>
      </c>
      <c r="W424" s="17" t="inlineStr"/>
      <c r="X424" s="17" t="inlineStr">
        <is>
          <t>Y</t>
        </is>
      </c>
      <c r="Y424" s="17" t="inlineStr">
        <is>
          <t>회사키+주소</t>
        </is>
      </c>
      <c r="Z424" s="17" t="n">
        <v>90</v>
      </c>
      <c r="AA424" s="17" t="inlineStr"/>
    </row>
    <row r="425">
      <c r="A425" s="30" t="inlineStr">
        <is>
          <t>S424</t>
        </is>
      </c>
      <c r="B425" s="17" t="inlineStr">
        <is>
          <t>P263</t>
        </is>
      </c>
      <c r="C425" s="17" t="inlineStr">
        <is>
          <t>삼진제약</t>
        </is>
      </c>
      <c r="D425" s="17" t="inlineStr">
        <is>
          <t>삼진제약(주)</t>
        </is>
      </c>
      <c r="E425" s="17" t="inlineStr">
        <is>
          <t>충청북도 청주시 흥덕구 오송읍 오송생명6로 156</t>
        </is>
      </c>
      <c r="F425" s="17" t="inlineStr">
        <is>
          <t>충청북도 청주시 흥덕구 오송읍 오송생명6로 156</t>
        </is>
      </c>
      <c r="G425" s="17" t="inlineStr">
        <is>
          <t>충청북도 청주시 흥덕구 오송읍 오송생명6로 156</t>
        </is>
      </c>
      <c r="H425" s="17" t="inlineStr">
        <is>
          <t>오송</t>
        </is>
      </c>
      <c r="I425" s="23" t="inlineStr">
        <is>
          <t>1324</t>
        </is>
      </c>
      <c r="J425" s="17" t="inlineStr">
        <is>
          <t>2</t>
        </is>
      </c>
      <c r="K425" s="17" t="inlineStr">
        <is>
          <t>완제의약품</t>
        </is>
      </c>
      <c r="L425" s="17" t="inlineStr">
        <is>
          <t>무균-일반제제-주사제(주사제, 분말주사제)</t>
        </is>
      </c>
      <c r="M425" s="24" t="n">
        <v>46540</v>
      </c>
      <c r="N425" s="17" t="inlineStr">
        <is>
          <t>Y</t>
        </is>
      </c>
      <c r="O425" s="17" t="inlineStr"/>
      <c r="P425" s="17" t="inlineStr">
        <is>
          <t>충청북도</t>
        </is>
      </c>
      <c r="Q425" s="17" t="inlineStr">
        <is>
          <t>청주시</t>
        </is>
      </c>
      <c r="R425" s="17" t="inlineStr">
        <is>
          <t>GMP공장소재지</t>
        </is>
      </c>
      <c r="S425" s="17" t="n">
        <v>90</v>
      </c>
      <c r="T425" s="17" t="inlineStr">
        <is>
          <t>N</t>
        </is>
      </c>
      <c r="U425" s="17" t="n">
        <v>2</v>
      </c>
      <c r="V425" s="24" t="n">
        <v>46540</v>
      </c>
      <c r="W425" s="17" t="inlineStr"/>
      <c r="X425" s="17" t="inlineStr">
        <is>
          <t>Y</t>
        </is>
      </c>
      <c r="Y425" s="17" t="inlineStr">
        <is>
          <t>회사키+주소</t>
        </is>
      </c>
      <c r="Z425" s="17" t="n">
        <v>90</v>
      </c>
      <c r="AA425" s="17" t="inlineStr"/>
    </row>
    <row r="426">
      <c r="A426" s="30" t="inlineStr">
        <is>
          <t>S425</t>
        </is>
      </c>
      <c r="B426" s="17" t="inlineStr">
        <is>
          <t>P377</t>
        </is>
      </c>
      <c r="C426" s="17" t="inlineStr">
        <is>
          <t>명문제약</t>
        </is>
      </c>
      <c r="D426" s="17" t="inlineStr">
        <is>
          <t>명문제약(주)</t>
        </is>
      </c>
      <c r="E426" s="17" t="inlineStr">
        <is>
          <t>경기도 화성시 만세구 향남읍 제약공단2길 26</t>
        </is>
      </c>
      <c r="F426" s="17" t="inlineStr">
        <is>
          <t>경기도 화성시 만세구 향남읍 제약공단2길 26</t>
        </is>
      </c>
      <c r="G426" s="17" t="inlineStr">
        <is>
          <t>경기도 화성시 만세구 향남읍 제약공단2길 26</t>
        </is>
      </c>
      <c r="H426" s="17" t="inlineStr">
        <is>
          <t>화성</t>
        </is>
      </c>
      <c r="I426" s="23" t="inlineStr">
        <is>
          <t>1476</t>
        </is>
      </c>
      <c r="J426" s="17" t="inlineStr">
        <is>
          <t>1</t>
        </is>
      </c>
      <c r="K426" s="17" t="inlineStr">
        <is>
          <t>완제의약품</t>
        </is>
      </c>
      <c r="L426" s="17" t="inlineStr">
        <is>
          <t>비무균-일반제제-내용고형제(정제, 캡슐제), 무균-일반제제-주사제(주사제), 비무균-일반제제-외용액제(외용액제, 에어로솔제), 비무균-일반제제-첩부제(경피흡수제), 비무균-성호르몬제-내용고형제(정제)</t>
        </is>
      </c>
      <c r="M426" s="24" t="n">
        <v>46537</v>
      </c>
      <c r="N426" s="17" t="inlineStr">
        <is>
          <t>Y</t>
        </is>
      </c>
      <c r="O426" s="17" t="inlineStr"/>
      <c r="P426" s="17" t="inlineStr">
        <is>
          <t>경기도</t>
        </is>
      </c>
      <c r="Q426" s="17" t="inlineStr">
        <is>
          <t>화성시</t>
        </is>
      </c>
      <c r="R426" s="17" t="inlineStr">
        <is>
          <t>GMP공장소재지</t>
        </is>
      </c>
      <c r="S426" s="17" t="n">
        <v>90</v>
      </c>
      <c r="T426" s="17" t="inlineStr">
        <is>
          <t>Y</t>
        </is>
      </c>
      <c r="U426" s="17" t="n">
        <v>1</v>
      </c>
      <c r="V426" s="24" t="n">
        <v>46537</v>
      </c>
      <c r="W426" s="17" t="inlineStr"/>
      <c r="X426" s="17" t="inlineStr">
        <is>
          <t>Y</t>
        </is>
      </c>
      <c r="Y426" s="17" t="inlineStr">
        <is>
          <t>회사키+주소</t>
        </is>
      </c>
      <c r="Z426" s="17" t="n">
        <v>90</v>
      </c>
      <c r="AA426" s="17" t="inlineStr"/>
    </row>
    <row r="427">
      <c r="A427" s="30" t="inlineStr">
        <is>
          <t>S426</t>
        </is>
      </c>
      <c r="B427" s="17" t="inlineStr">
        <is>
          <t>P378</t>
        </is>
      </c>
      <c r="C427" s="17" t="inlineStr">
        <is>
          <t>명문바이오</t>
        </is>
      </c>
      <c r="D427" s="17" t="inlineStr">
        <is>
          <t>명문바이오(주)</t>
        </is>
      </c>
      <c r="E427" s="17" t="inlineStr">
        <is>
          <t>경기도 화성시 향남읍 제약공단2길 28 (10동 외)</t>
        </is>
      </c>
      <c r="F427" s="17" t="inlineStr">
        <is>
          <t>경기도 화성시 향남읍 제약공단2길 28 (10동 외)</t>
        </is>
      </c>
      <c r="G427" s="17" t="inlineStr">
        <is>
          <t>경기도 화성시 향남읍 제약공단2길 28 (10동 외)</t>
        </is>
      </c>
      <c r="H427" s="17" t="inlineStr">
        <is>
          <t>명문바이오(주)</t>
        </is>
      </c>
      <c r="I427" s="23" t="inlineStr">
        <is>
          <t>372</t>
        </is>
      </c>
      <c r="J427" s="17" t="inlineStr">
        <is>
          <t>1</t>
        </is>
      </c>
      <c r="K427" s="17" t="inlineStr">
        <is>
          <t>원료의약품</t>
        </is>
      </c>
      <c r="L427" s="17" t="inlineStr">
        <is>
          <t>비무균-일반제제-합성, 비무균-일반제제-정제(합성에 한함)</t>
        </is>
      </c>
      <c r="M427" s="24" t="n">
        <v>46537</v>
      </c>
      <c r="N427" s="17" t="inlineStr"/>
      <c r="O427" s="17" t="inlineStr"/>
      <c r="P427" s="17" t="inlineStr">
        <is>
          <t>경기도</t>
        </is>
      </c>
      <c r="Q427" s="17" t="inlineStr">
        <is>
          <t>화성시</t>
        </is>
      </c>
      <c r="R427" s="17" t="inlineStr">
        <is>
          <t>GMP공장소재지</t>
        </is>
      </c>
      <c r="S427" s="17" t="n">
        <v>90</v>
      </c>
      <c r="T427" s="17" t="inlineStr">
        <is>
          <t>Y</t>
        </is>
      </c>
      <c r="U427" s="17" t="n">
        <v>2</v>
      </c>
      <c r="V427" s="24" t="n">
        <v>46513</v>
      </c>
      <c r="W427" s="17" t="inlineStr"/>
      <c r="X427" s="17" t="inlineStr">
        <is>
          <t>Y</t>
        </is>
      </c>
      <c r="Y427" s="17" t="inlineStr">
        <is>
          <t>회사키+주소</t>
        </is>
      </c>
      <c r="Z427" s="17" t="n">
        <v>90</v>
      </c>
      <c r="AA427" s="17" t="inlineStr"/>
    </row>
    <row r="428">
      <c r="A428" s="30" t="inlineStr">
        <is>
          <t>S427</t>
        </is>
      </c>
      <c r="B428" s="17" t="inlineStr">
        <is>
          <t>P379</t>
        </is>
      </c>
      <c r="C428" s="17" t="inlineStr">
        <is>
          <t>신풍제약</t>
        </is>
      </c>
      <c r="D428" s="17" t="inlineStr">
        <is>
          <t>신풍제약(주)</t>
        </is>
      </c>
      <c r="E428" s="17" t="inlineStr">
        <is>
          <t>충청북도 청주시 흥덕구 오송읍 오송생명5로 41-15</t>
        </is>
      </c>
      <c r="F428" s="17" t="inlineStr">
        <is>
          <t>충청북도 청주시 흥덕구 오송읍 오송생명5로 41-15</t>
        </is>
      </c>
      <c r="G428" s="17" t="inlineStr">
        <is>
          <t>충청북도 청주시 흥덕구 오송읍 오송생명5로 41-15</t>
        </is>
      </c>
      <c r="H428" s="17" t="inlineStr">
        <is>
          <t>오송공장</t>
        </is>
      </c>
      <c r="I428" s="23" t="inlineStr">
        <is>
          <t>1414</t>
        </is>
      </c>
      <c r="J428" s="17" t="inlineStr">
        <is>
          <t>3</t>
        </is>
      </c>
      <c r="K428" s="17" t="inlineStr">
        <is>
          <t>완제의약품</t>
        </is>
      </c>
      <c r="L428" s="17" t="inlineStr">
        <is>
          <t>무균-세팔로스포린제제-주사제(분말주사제), 비무균-세팔로스포린제제-내용고형제(정제, 캡슐제)</t>
        </is>
      </c>
      <c r="M428" s="24" t="n">
        <v>46536</v>
      </c>
      <c r="N428" s="17" t="inlineStr">
        <is>
          <t>Y</t>
        </is>
      </c>
      <c r="O428" s="17" t="inlineStr"/>
      <c r="P428" s="17" t="inlineStr">
        <is>
          <t>충청북도</t>
        </is>
      </c>
      <c r="Q428" s="17" t="inlineStr">
        <is>
          <t>청주시</t>
        </is>
      </c>
      <c r="R428" s="17" t="inlineStr">
        <is>
          <t>GMP공장소재지</t>
        </is>
      </c>
      <c r="S428" s="17" t="n">
        <v>90</v>
      </c>
      <c r="T428" s="17" t="inlineStr">
        <is>
          <t>Y</t>
        </is>
      </c>
      <c r="U428" s="17" t="n">
        <v>1</v>
      </c>
      <c r="V428" s="24" t="n">
        <v>46536</v>
      </c>
      <c r="W428" s="17" t="inlineStr"/>
      <c r="X428" s="17" t="inlineStr">
        <is>
          <t>Y</t>
        </is>
      </c>
      <c r="Y428" s="17" t="inlineStr">
        <is>
          <t>회사키+주소</t>
        </is>
      </c>
      <c r="Z428" s="17" t="n">
        <v>90</v>
      </c>
      <c r="AA428" s="17" t="inlineStr"/>
    </row>
    <row r="429">
      <c r="A429" s="30" t="inlineStr">
        <is>
          <t>S428</t>
        </is>
      </c>
      <c r="B429" s="17" t="inlineStr">
        <is>
          <t>P380</t>
        </is>
      </c>
      <c r="C429" s="17" t="inlineStr">
        <is>
          <t>나노팜</t>
        </is>
      </c>
      <c r="D429" s="17" t="inlineStr">
        <is>
          <t>(주)나노팜</t>
        </is>
      </c>
      <c r="E429" s="17" t="inlineStr">
        <is>
          <t>충청북도 진천군 진천읍 상신2길 70</t>
        </is>
      </c>
      <c r="F429" s="17" t="inlineStr">
        <is>
          <t>충청북도 진천군 진천읍 상신2길 70</t>
        </is>
      </c>
      <c r="G429" s="17" t="inlineStr">
        <is>
          <t>충청북도 진천군 진천읍 상신2길 70</t>
        </is>
      </c>
      <c r="H429" s="17" t="inlineStr">
        <is>
          <t>(주)나노팜</t>
        </is>
      </c>
      <c r="I429" s="23" t="inlineStr">
        <is>
          <t>2284</t>
        </is>
      </c>
      <c r="J429" s="17" t="inlineStr">
        <is>
          <t>1</t>
        </is>
      </c>
      <c r="K429" s="17" t="inlineStr">
        <is>
          <t>완제의약품</t>
        </is>
      </c>
      <c r="L429" s="17" t="inlineStr">
        <is>
          <t>비무균-일반제제-외용액제(외용액제, 로션제), 비무균-일반제제-연고제(크림제, 겔제)</t>
        </is>
      </c>
      <c r="M429" s="24" t="n">
        <v>46536</v>
      </c>
      <c r="N429" s="17" t="inlineStr"/>
      <c r="O429" s="17" t="inlineStr"/>
      <c r="P429" s="17" t="inlineStr">
        <is>
          <t>충청북도</t>
        </is>
      </c>
      <c r="Q429" s="17" t="inlineStr">
        <is>
          <t>진천군</t>
        </is>
      </c>
      <c r="R429" s="17" t="inlineStr">
        <is>
          <t>GMP공장소재지</t>
        </is>
      </c>
      <c r="S429" s="17" t="n">
        <v>90</v>
      </c>
      <c r="T429" s="17" t="inlineStr">
        <is>
          <t>Y</t>
        </is>
      </c>
      <c r="U429" s="17" t="n">
        <v>1</v>
      </c>
      <c r="V429" s="24" t="n">
        <v>46536</v>
      </c>
      <c r="W429" s="17" t="inlineStr"/>
      <c r="X429" s="17" t="inlineStr">
        <is>
          <t>Y</t>
        </is>
      </c>
      <c r="Y429" s="17" t="inlineStr">
        <is>
          <t>회사키+주소</t>
        </is>
      </c>
      <c r="Z429" s="17" t="n">
        <v>90</v>
      </c>
      <c r="AA429" s="17" t="inlineStr"/>
    </row>
    <row r="430">
      <c r="A430" s="30" t="inlineStr">
        <is>
          <t>S429</t>
        </is>
      </c>
      <c r="B430" s="17" t="inlineStr">
        <is>
          <t>P381</t>
        </is>
      </c>
      <c r="C430" s="17" t="inlineStr">
        <is>
          <t>덕양가스</t>
        </is>
      </c>
      <c r="D430" s="17" t="inlineStr">
        <is>
          <t>(주)덕양가스</t>
        </is>
      </c>
      <c r="E430" s="17" t="inlineStr">
        <is>
          <t>울산광역시 북구 농공단지2길 9</t>
        </is>
      </c>
      <c r="F430" s="17" t="inlineStr">
        <is>
          <t>울산광역시 북구 농공단지2길 9</t>
        </is>
      </c>
      <c r="G430" s="17" t="inlineStr">
        <is>
          <t>울산광역시 북구 농공단지2길 9</t>
        </is>
      </c>
      <c r="H430" s="17" t="inlineStr">
        <is>
          <t>덕양가스 달천공장</t>
        </is>
      </c>
      <c r="I430" s="23" t="inlineStr">
        <is>
          <t>6160</t>
        </is>
      </c>
      <c r="J430" s="17" t="inlineStr">
        <is>
          <t>1</t>
        </is>
      </c>
      <c r="K430" s="17" t="inlineStr">
        <is>
          <t>완제의약품</t>
        </is>
      </c>
      <c r="L430" s="17" t="inlineStr">
        <is>
          <t>비무균-일반제제(의료용 고압가스)-가스제(의료용 고압가스)</t>
        </is>
      </c>
      <c r="M430" s="24" t="n">
        <v>46535</v>
      </c>
      <c r="N430" s="17" t="inlineStr"/>
      <c r="O430" s="17" t="inlineStr"/>
      <c r="P430" s="17" t="inlineStr">
        <is>
          <t>울산광역시</t>
        </is>
      </c>
      <c r="Q430" s="17" t="inlineStr">
        <is>
          <t>북구</t>
        </is>
      </c>
      <c r="R430" s="17" t="inlineStr">
        <is>
          <t>GMP공장소재지</t>
        </is>
      </c>
      <c r="S430" s="17" t="n">
        <v>90</v>
      </c>
      <c r="T430" s="17" t="inlineStr">
        <is>
          <t>Y</t>
        </is>
      </c>
      <c r="U430" s="17" t="n">
        <v>1</v>
      </c>
      <c r="V430" s="24" t="n">
        <v>46535</v>
      </c>
      <c r="W430" s="17" t="inlineStr"/>
      <c r="X430" s="17" t="inlineStr">
        <is>
          <t>Y</t>
        </is>
      </c>
      <c r="Y430" s="17" t="inlineStr">
        <is>
          <t>회사키+주소</t>
        </is>
      </c>
      <c r="Z430" s="17" t="n">
        <v>90</v>
      </c>
      <c r="AA430" s="17" t="inlineStr"/>
    </row>
    <row r="431">
      <c r="A431" s="30" t="inlineStr">
        <is>
          <t>S430</t>
        </is>
      </c>
      <c r="B431" s="17" t="inlineStr">
        <is>
          <t>P382</t>
        </is>
      </c>
      <c r="C431" s="17" t="inlineStr">
        <is>
          <t>유니온가스</t>
        </is>
      </c>
      <c r="D431" s="17" t="inlineStr">
        <is>
          <t>(주)유니온가스</t>
        </is>
      </c>
      <c r="E431" s="17" t="inlineStr">
        <is>
          <t>경기도 용인시 처인구 남사면 원암로 370-1</t>
        </is>
      </c>
      <c r="F431" s="17" t="inlineStr"/>
      <c r="G431" s="17" t="inlineStr">
        <is>
          <t>경기도 용인시 처인구 남사면 원암로 370-1</t>
        </is>
      </c>
      <c r="H431" s="17" t="inlineStr">
        <is>
          <t>미확인</t>
        </is>
      </c>
      <c r="I431" s="23" t="inlineStr">
        <is>
          <t>351</t>
        </is>
      </c>
      <c r="J431" s="17" t="inlineStr"/>
      <c r="K431" s="17" t="inlineStr">
        <is>
          <t>완제의약품</t>
        </is>
      </c>
      <c r="L431" s="17" t="inlineStr">
        <is>
          <t>비무균-일반제제(의료용 고압가스)-가스제(의료용 고압가스)</t>
        </is>
      </c>
      <c r="M431" s="24" t="n">
        <v>46533</v>
      </c>
      <c r="N431" s="17" t="inlineStr"/>
      <c r="O431" s="17" t="inlineStr"/>
      <c r="P431" s="17" t="inlineStr">
        <is>
          <t>경기도</t>
        </is>
      </c>
      <c r="Q431" s="17" t="inlineStr">
        <is>
          <t>용인시</t>
        </is>
      </c>
      <c r="R431" s="17" t="inlineStr">
        <is>
          <t>GMP공장소재지</t>
        </is>
      </c>
      <c r="S431" s="17" t="n">
        <v>0</v>
      </c>
      <c r="T431" s="17" t="inlineStr">
        <is>
          <t>Y</t>
        </is>
      </c>
      <c r="U431" s="17" t="n">
        <v>1</v>
      </c>
      <c r="V431" s="24" t="n">
        <v>46533</v>
      </c>
      <c r="W431" s="17" t="inlineStr"/>
      <c r="X431" s="17" t="inlineStr">
        <is>
          <t>Y</t>
        </is>
      </c>
      <c r="Y431" s="17" t="inlineStr">
        <is>
          <t>무매칭</t>
        </is>
      </c>
      <c r="Z431" s="17" t="n">
        <v>0</v>
      </c>
      <c r="AA431" s="17" t="inlineStr">
        <is>
          <t>Y</t>
        </is>
      </c>
    </row>
    <row r="432">
      <c r="A432" s="30" t="inlineStr">
        <is>
          <t>S431</t>
        </is>
      </c>
      <c r="B432" s="17" t="inlineStr">
        <is>
          <t>P383</t>
        </is>
      </c>
      <c r="C432" s="17" t="inlineStr">
        <is>
          <t>엘지화학</t>
        </is>
      </c>
      <c r="D432" s="17" t="inlineStr">
        <is>
          <t>(주)엘지화학</t>
        </is>
      </c>
      <c r="E432" s="17" t="inlineStr">
        <is>
          <t>전북특별자치도 익산시 석암로 129</t>
        </is>
      </c>
      <c r="F432" s="17" t="inlineStr">
        <is>
          <t>전북특별자치도 익산시 석암로 129</t>
        </is>
      </c>
      <c r="G432" s="17" t="inlineStr">
        <is>
          <t>전북특별자치도 익산시 석암로 129</t>
        </is>
      </c>
      <c r="H432" s="17" t="inlineStr">
        <is>
          <t>익산</t>
        </is>
      </c>
      <c r="I432" s="23" t="inlineStr">
        <is>
          <t>1543</t>
        </is>
      </c>
      <c r="J432" s="17" t="inlineStr">
        <is>
          <t>1</t>
        </is>
      </c>
      <c r="K432" s="17" t="inlineStr">
        <is>
          <t>원료의약품</t>
        </is>
      </c>
      <c r="L432" s="17" t="inlineStr">
        <is>
          <t>무균-일반제제-합성, 비무균-일반제제-합성, 무균-일반제제-발효, 생물-백신-(배양, 정제, 원액 제조), 생물-유전자재조합의약품-(배양, 정제, 원액 제조)</t>
        </is>
      </c>
      <c r="M432" s="24" t="n">
        <v>46530</v>
      </c>
      <c r="N432" s="17" t="inlineStr">
        <is>
          <t>Y</t>
        </is>
      </c>
      <c r="O432" s="17" t="inlineStr"/>
      <c r="P432" s="17" t="inlineStr">
        <is>
          <t>전북특별자치도</t>
        </is>
      </c>
      <c r="Q432" s="17" t="inlineStr">
        <is>
          <t>익산시</t>
        </is>
      </c>
      <c r="R432" s="17" t="inlineStr">
        <is>
          <t>GMP공장소재지</t>
        </is>
      </c>
      <c r="S432" s="17" t="n">
        <v>90</v>
      </c>
      <c r="T432" s="17" t="inlineStr">
        <is>
          <t>Y</t>
        </is>
      </c>
      <c r="U432" s="17" t="n">
        <v>2</v>
      </c>
      <c r="V432" s="24" t="n">
        <v>46530</v>
      </c>
      <c r="W432" s="17" t="inlineStr"/>
      <c r="X432" s="17" t="inlineStr">
        <is>
          <t>Y</t>
        </is>
      </c>
      <c r="Y432" s="17" t="inlineStr">
        <is>
          <t>회사키+주소</t>
        </is>
      </c>
      <c r="Z432" s="17" t="n">
        <v>90</v>
      </c>
      <c r="AA432" s="17" t="inlineStr"/>
    </row>
    <row r="433">
      <c r="A433" s="30" t="inlineStr">
        <is>
          <t>S432</t>
        </is>
      </c>
      <c r="B433" s="17" t="inlineStr">
        <is>
          <t>P384</t>
        </is>
      </c>
      <c r="C433" s="17" t="inlineStr">
        <is>
          <t>하이플생명과학</t>
        </is>
      </c>
      <c r="D433" s="17" t="inlineStr">
        <is>
          <t>하이플생명과학(주)</t>
        </is>
      </c>
      <c r="E433" s="17" t="inlineStr">
        <is>
          <t>경기도 시흥시 경제로 59 , 603호(정왕동, 1라)</t>
        </is>
      </c>
      <c r="F433" s="17" t="inlineStr">
        <is>
          <t>경기도 시흥시 경제로 59 , 603호(정왕동, 1라)</t>
        </is>
      </c>
      <c r="G433" s="17" t="inlineStr">
        <is>
          <t>경기도 시흥시 경제로 59 , 603호(정왕동, 1라)</t>
        </is>
      </c>
      <c r="H433" s="17" t="inlineStr">
        <is>
          <t>시흥</t>
        </is>
      </c>
      <c r="I433" s="23" t="inlineStr">
        <is>
          <t>1345</t>
        </is>
      </c>
      <c r="J433" s="17" t="inlineStr">
        <is>
          <t>1</t>
        </is>
      </c>
      <c r="K433" s="17" t="inlineStr">
        <is>
          <t>완제의약품</t>
        </is>
      </c>
      <c r="L433" s="17" t="inlineStr">
        <is>
          <t>비무균-일반제제-내용고형제(정제, 산제, 과립제), 비무균-일반제제-내용액제(경구용액제, 현탁제, 가글제(액상)), 비무균-일반제제-외용액제(외용액제, 펌프스프레이제, 관장제(액상,반고형))</t>
        </is>
      </c>
      <c r="M433" s="24" t="n">
        <v>46530</v>
      </c>
      <c r="N433" s="17" t="inlineStr"/>
      <c r="O433" s="17" t="inlineStr"/>
      <c r="P433" s="17" t="inlineStr">
        <is>
          <t>경기도</t>
        </is>
      </c>
      <c r="Q433" s="17" t="inlineStr">
        <is>
          <t>시흥시</t>
        </is>
      </c>
      <c r="R433" s="17" t="inlineStr">
        <is>
          <t>GMP공장소재지</t>
        </is>
      </c>
      <c r="S433" s="17" t="n">
        <v>90</v>
      </c>
      <c r="T433" s="17" t="inlineStr">
        <is>
          <t>Y</t>
        </is>
      </c>
      <c r="U433" s="17" t="n">
        <v>1</v>
      </c>
      <c r="V433" s="24" t="n">
        <v>46530</v>
      </c>
      <c r="W433" s="17" t="inlineStr"/>
      <c r="X433" s="17" t="inlineStr">
        <is>
          <t>Y</t>
        </is>
      </c>
      <c r="Y433" s="17" t="inlineStr">
        <is>
          <t>회사키+주소</t>
        </is>
      </c>
      <c r="Z433" s="17" t="n">
        <v>90</v>
      </c>
      <c r="AA433" s="17" t="inlineStr"/>
    </row>
    <row r="434">
      <c r="A434" s="30" t="inlineStr">
        <is>
          <t>S433</t>
        </is>
      </c>
      <c r="B434" s="17" t="inlineStr">
        <is>
          <t>P383</t>
        </is>
      </c>
      <c r="C434" s="17" t="inlineStr">
        <is>
          <t>엘지화학</t>
        </is>
      </c>
      <c r="D434" s="17" t="inlineStr">
        <is>
          <t>(주)엘지화학</t>
        </is>
      </c>
      <c r="E434" s="17" t="inlineStr">
        <is>
          <t>전북특별자치도 익산시 석암로 129</t>
        </is>
      </c>
      <c r="F434" s="17" t="inlineStr">
        <is>
          <t>전북특별자치도 익산시 석암로 129</t>
        </is>
      </c>
      <c r="G434" s="17" t="inlineStr">
        <is>
          <t>전북특별자치도 익산시 석암로 129</t>
        </is>
      </c>
      <c r="H434" s="17" t="inlineStr">
        <is>
          <t>익산</t>
        </is>
      </c>
      <c r="I434" s="23" t="inlineStr">
        <is>
          <t>1543</t>
        </is>
      </c>
      <c r="J434" s="17" t="inlineStr">
        <is>
          <t>1</t>
        </is>
      </c>
      <c r="K434" s="17" t="inlineStr">
        <is>
          <t>완제의약품</t>
        </is>
      </c>
      <c r="L434" s="17" t="inlineStr">
        <is>
          <t>무균-일반제제-주사제(주사제, 동결건조주사제), 생물-백신-주사제(주사제), 생물-유전자재조합의약품-주사제(주사제)</t>
        </is>
      </c>
      <c r="M434" s="24" t="n">
        <v>46530</v>
      </c>
      <c r="N434" s="17" t="inlineStr">
        <is>
          <t>Y</t>
        </is>
      </c>
      <c r="O434" s="17" t="inlineStr"/>
      <c r="P434" s="17" t="inlineStr">
        <is>
          <t>전북특별자치도</t>
        </is>
      </c>
      <c r="Q434" s="17" t="inlineStr">
        <is>
          <t>익산시</t>
        </is>
      </c>
      <c r="R434" s="17" t="inlineStr">
        <is>
          <t>GMP공장소재지</t>
        </is>
      </c>
      <c r="S434" s="17" t="n">
        <v>90</v>
      </c>
      <c r="T434" s="17" t="inlineStr">
        <is>
          <t>N</t>
        </is>
      </c>
      <c r="U434" s="17" t="n">
        <v>2</v>
      </c>
      <c r="V434" s="24" t="n">
        <v>46530</v>
      </c>
      <c r="W434" s="17" t="inlineStr"/>
      <c r="X434" s="17" t="inlineStr">
        <is>
          <t>Y</t>
        </is>
      </c>
      <c r="Y434" s="17" t="inlineStr">
        <is>
          <t>회사키+주소</t>
        </is>
      </c>
      <c r="Z434" s="17" t="n">
        <v>90</v>
      </c>
      <c r="AA434" s="17" t="inlineStr"/>
    </row>
    <row r="435">
      <c r="A435" s="30" t="inlineStr">
        <is>
          <t>S434</t>
        </is>
      </c>
      <c r="B435" s="17" t="inlineStr">
        <is>
          <t>P008</t>
        </is>
      </c>
      <c r="C435" s="17" t="inlineStr">
        <is>
          <t>에스에스팜</t>
        </is>
      </c>
      <c r="D435" s="17" t="inlineStr">
        <is>
          <t>에스에스팜(주)</t>
        </is>
      </c>
      <c r="E435" s="17" t="inlineStr">
        <is>
          <t>경기도 안산시 단원구 범지기로141번길 10</t>
        </is>
      </c>
      <c r="F435" s="17" t="inlineStr">
        <is>
          <t>경기도 안산시 단원구 범지기로141번길 10</t>
        </is>
      </c>
      <c r="G435" s="17" t="inlineStr">
        <is>
          <t>경기도 안산시 단원구 범지기로141번길 10</t>
        </is>
      </c>
      <c r="H435" s="17" t="inlineStr">
        <is>
          <t>안산</t>
        </is>
      </c>
      <c r="I435" s="23" t="inlineStr">
        <is>
          <t>1651</t>
        </is>
      </c>
      <c r="J435" s="17" t="inlineStr">
        <is>
          <t>1</t>
        </is>
      </c>
      <c r="K435" s="17" t="inlineStr">
        <is>
          <t>원료의약품</t>
        </is>
      </c>
      <c r="L435" s="17" t="inlineStr">
        <is>
          <t>비무균-일반제제-합성, 비무균-일반제제-정제(합성에 한함), 비무균-일반제제-소분</t>
        </is>
      </c>
      <c r="M435" s="24" t="n">
        <v>46529</v>
      </c>
      <c r="N435" s="17" t="inlineStr"/>
      <c r="O435" s="17" t="inlineStr"/>
      <c r="P435" s="17" t="inlineStr">
        <is>
          <t>경기도</t>
        </is>
      </c>
      <c r="Q435" s="17" t="inlineStr">
        <is>
          <t>안산시</t>
        </is>
      </c>
      <c r="R435" s="17" t="inlineStr">
        <is>
          <t>GMP공장소재지</t>
        </is>
      </c>
      <c r="S435" s="17" t="n">
        <v>90</v>
      </c>
      <c r="T435" s="17" t="inlineStr">
        <is>
          <t>N</t>
        </is>
      </c>
      <c r="U435" s="17" t="n">
        <v>2</v>
      </c>
      <c r="V435" s="24" t="n">
        <v>46529</v>
      </c>
      <c r="W435" s="17" t="inlineStr"/>
      <c r="X435" s="17" t="inlineStr">
        <is>
          <t>Y</t>
        </is>
      </c>
      <c r="Y435" s="17" t="inlineStr">
        <is>
          <t>회사키+주소</t>
        </is>
      </c>
      <c r="Z435" s="17" t="n">
        <v>90</v>
      </c>
      <c r="AA435" s="17" t="inlineStr"/>
    </row>
    <row r="436">
      <c r="A436" s="30" t="inlineStr">
        <is>
          <t>S435</t>
        </is>
      </c>
      <c r="B436" s="17" t="inlineStr">
        <is>
          <t>P194</t>
        </is>
      </c>
      <c r="C436" s="17" t="inlineStr">
        <is>
          <t>나이벡</t>
        </is>
      </c>
      <c r="D436" s="17" t="inlineStr">
        <is>
          <t>(주)나이벡</t>
        </is>
      </c>
      <c r="E436" s="17" t="inlineStr">
        <is>
          <t>충청북도 진천군 이월면 밤디길 116</t>
        </is>
      </c>
      <c r="F436" s="17" t="inlineStr">
        <is>
          <t>충청북도 진천군 이월면 밤디길 116</t>
        </is>
      </c>
      <c r="G436" s="17" t="inlineStr">
        <is>
          <t>충청북도 진천군 이월면 밤디길 116</t>
        </is>
      </c>
      <c r="H436" s="17" t="inlineStr">
        <is>
          <t>(주)나이벡</t>
        </is>
      </c>
      <c r="I436" s="23" t="inlineStr">
        <is>
          <t>2618</t>
        </is>
      </c>
      <c r="J436" s="17" t="inlineStr">
        <is>
          <t>1</t>
        </is>
      </c>
      <c r="K436" s="17" t="inlineStr">
        <is>
          <t>완제의약품</t>
        </is>
      </c>
      <c r="L436" s="17" t="inlineStr">
        <is>
          <t>비무균-일반제제-연고제(연고제)</t>
        </is>
      </c>
      <c r="M436" s="24" t="n">
        <v>46529</v>
      </c>
      <c r="N436" s="17" t="inlineStr"/>
      <c r="O436" s="17" t="inlineStr"/>
      <c r="P436" s="17" t="inlineStr">
        <is>
          <t>충청북도</t>
        </is>
      </c>
      <c r="Q436" s="17" t="inlineStr">
        <is>
          <t>진천군</t>
        </is>
      </c>
      <c r="R436" s="17" t="inlineStr">
        <is>
          <t>GMP공장소재지</t>
        </is>
      </c>
      <c r="S436" s="17" t="n">
        <v>90</v>
      </c>
      <c r="T436" s="17" t="inlineStr">
        <is>
          <t>N</t>
        </is>
      </c>
      <c r="U436" s="17" t="n">
        <v>2</v>
      </c>
      <c r="V436" s="24" t="n">
        <v>46529</v>
      </c>
      <c r="W436" s="17" t="inlineStr"/>
      <c r="X436" s="17" t="inlineStr">
        <is>
          <t>Y</t>
        </is>
      </c>
      <c r="Y436" s="17" t="inlineStr">
        <is>
          <t>회사키+주소</t>
        </is>
      </c>
      <c r="Z436" s="17" t="n">
        <v>90</v>
      </c>
      <c r="AA436" s="17" t="inlineStr"/>
    </row>
    <row r="437">
      <c r="A437" s="30" t="inlineStr">
        <is>
          <t>S436</t>
        </is>
      </c>
      <c r="B437" s="17" t="inlineStr">
        <is>
          <t>P385</t>
        </is>
      </c>
      <c r="C437" s="17" t="inlineStr">
        <is>
          <t>덕산약품공업</t>
        </is>
      </c>
      <c r="D437" s="17" t="inlineStr">
        <is>
          <t>덕산약품공업(주)</t>
        </is>
      </c>
      <c r="E437" s="17" t="inlineStr">
        <is>
          <t>경기도 안산시 단원구 신원로133번길 53</t>
        </is>
      </c>
      <c r="F437" s="17" t="inlineStr">
        <is>
          <t>경기도 안산시 단원구 신원로133번길 56 (실험실)</t>
        </is>
      </c>
      <c r="G437" s="17" t="inlineStr">
        <is>
          <t>경기도 안산시 단원구 신원로133번길 53</t>
        </is>
      </c>
      <c r="H437" s="17" t="inlineStr">
        <is>
          <t>안산(실험실)</t>
        </is>
      </c>
      <c r="I437" s="23" t="inlineStr">
        <is>
          <t>1553</t>
        </is>
      </c>
      <c r="J437" s="17" t="inlineStr">
        <is>
          <t>2</t>
        </is>
      </c>
      <c r="K437" s="17" t="inlineStr">
        <is>
          <t>원료의약품</t>
        </is>
      </c>
      <c r="L437" s="17" t="inlineStr">
        <is>
          <t>비무균-일반제제-합성, 비무균-일반제제-(정제(합성에 한함), 정제(발효에 한함)), 비무균-일반제제-소분</t>
        </is>
      </c>
      <c r="M437" s="24" t="n">
        <v>46516</v>
      </c>
      <c r="N437" s="17" t="inlineStr"/>
      <c r="O437" s="17" t="inlineStr"/>
      <c r="P437" s="17" t="inlineStr">
        <is>
          <t>경기도</t>
        </is>
      </c>
      <c r="Q437" s="17" t="inlineStr">
        <is>
          <t>안산시</t>
        </is>
      </c>
      <c r="R437" s="17" t="inlineStr">
        <is>
          <t>GMP공장소재지</t>
        </is>
      </c>
      <c r="S437" s="17" t="n">
        <v>90</v>
      </c>
      <c r="T437" s="17" t="inlineStr">
        <is>
          <t>Y</t>
        </is>
      </c>
      <c r="U437" s="17" t="n">
        <v>1</v>
      </c>
      <c r="V437" s="24" t="n">
        <v>46516</v>
      </c>
      <c r="W437" s="17" t="inlineStr"/>
      <c r="X437" s="17" t="inlineStr">
        <is>
          <t>Y</t>
        </is>
      </c>
      <c r="Y437" s="17" t="inlineStr">
        <is>
          <t>회사키+주소</t>
        </is>
      </c>
      <c r="Z437" s="17" t="n">
        <v>90</v>
      </c>
      <c r="AA437" s="17" t="inlineStr"/>
    </row>
    <row r="438">
      <c r="A438" s="30" t="inlineStr">
        <is>
          <t>S437</t>
        </is>
      </c>
      <c r="B438" s="17" t="inlineStr">
        <is>
          <t>P386</t>
        </is>
      </c>
      <c r="C438" s="17" t="inlineStr">
        <is>
          <t>인트로바이오파마</t>
        </is>
      </c>
      <c r="D438" s="17" t="inlineStr">
        <is>
          <t>(주)인트로바이오파마</t>
        </is>
      </c>
      <c r="E438" s="17" t="inlineStr">
        <is>
          <t>경기도 평택시 서탄면 마두길 104-12 ,104-2 1동 1층(일부)및2층(일부)(보관소)</t>
        </is>
      </c>
      <c r="F438" s="17" t="inlineStr">
        <is>
          <t>경기도 평택시 서탄면 마두길 104-12 ,104-2 1동 1층(일부)및2층(일부)(보관소)</t>
        </is>
      </c>
      <c r="G438" s="17" t="inlineStr">
        <is>
          <t>경기도 평택시 서탄면 마두길 104-12 ,104-2 1동 1층(일부)및2층(일부)(보관소)</t>
        </is>
      </c>
      <c r="H438" s="17" t="inlineStr">
        <is>
          <t>평택</t>
        </is>
      </c>
      <c r="I438" s="23" t="inlineStr">
        <is>
          <t>353</t>
        </is>
      </c>
      <c r="J438" s="17" t="inlineStr">
        <is>
          <t>1</t>
        </is>
      </c>
      <c r="K438" s="17" t="inlineStr">
        <is>
          <t>완제의약품</t>
        </is>
      </c>
      <c r="L438" s="17" t="inlineStr">
        <is>
          <t>비무균-일반제제-내용고형제(정제, 캡슐제)</t>
        </is>
      </c>
      <c r="M438" s="24" t="n">
        <v>46516</v>
      </c>
      <c r="N438" s="17" t="inlineStr"/>
      <c r="O438" s="17" t="inlineStr"/>
      <c r="P438" s="17" t="inlineStr">
        <is>
          <t>경기도</t>
        </is>
      </c>
      <c r="Q438" s="17" t="inlineStr">
        <is>
          <t>평택시</t>
        </is>
      </c>
      <c r="R438" s="17" t="inlineStr">
        <is>
          <t>GMP공장소재지</t>
        </is>
      </c>
      <c r="S438" s="17" t="n">
        <v>90</v>
      </c>
      <c r="T438" s="17" t="inlineStr">
        <is>
          <t>Y</t>
        </is>
      </c>
      <c r="U438" s="17" t="n">
        <v>1</v>
      </c>
      <c r="V438" s="24" t="n">
        <v>46516</v>
      </c>
      <c r="W438" s="17" t="inlineStr"/>
      <c r="X438" s="17" t="inlineStr">
        <is>
          <t>Y</t>
        </is>
      </c>
      <c r="Y438" s="17" t="inlineStr">
        <is>
          <t>회사키+주소</t>
        </is>
      </c>
      <c r="Z438" s="17" t="n">
        <v>90</v>
      </c>
      <c r="AA438" s="17" t="inlineStr"/>
    </row>
    <row r="439">
      <c r="A439" s="30" t="inlineStr">
        <is>
          <t>S438</t>
        </is>
      </c>
      <c r="B439" s="17" t="inlineStr">
        <is>
          <t>P387</t>
        </is>
      </c>
      <c r="C439" s="17" t="inlineStr">
        <is>
          <t>서울대학교병원</t>
        </is>
      </c>
      <c r="D439" s="17" t="inlineStr">
        <is>
          <t>서울대학교병원</t>
        </is>
      </c>
      <c r="E439" s="17" t="inlineStr">
        <is>
          <t>경기도 성남시 분당구 구미로173번길 82 분당서울대학교병원 (구미동)</t>
        </is>
      </c>
      <c r="F439" s="17" t="inlineStr">
        <is>
          <t>경기도 성남시 분당구 구미로173번길 82 분당서울대학교병원 (구미동)</t>
        </is>
      </c>
      <c r="G439" s="17" t="inlineStr">
        <is>
          <t>경기도 성남시 분당구 구미로173번길 82 분당서울대학교병원 (구미동)</t>
        </is>
      </c>
      <c r="H439" s="17" t="inlineStr">
        <is>
          <t>성남</t>
        </is>
      </c>
      <c r="I439" s="23" t="inlineStr">
        <is>
          <t>2222</t>
        </is>
      </c>
      <c r="J439" s="17" t="inlineStr">
        <is>
          <t>2</t>
        </is>
      </c>
      <c r="K439" s="17" t="inlineStr">
        <is>
          <t>완제의약품</t>
        </is>
      </c>
      <c r="L439" s="17" t="inlineStr">
        <is>
          <t>무균-일반제제(방사성의약품)-주사제(주사제)</t>
        </is>
      </c>
      <c r="M439" s="24" t="n">
        <v>46516</v>
      </c>
      <c r="N439" s="17" t="inlineStr">
        <is>
          <t>Y</t>
        </is>
      </c>
      <c r="O439" s="17" t="inlineStr"/>
      <c r="P439" s="17" t="inlineStr">
        <is>
          <t>경기도</t>
        </is>
      </c>
      <c r="Q439" s="17" t="inlineStr">
        <is>
          <t>성남시</t>
        </is>
      </c>
      <c r="R439" s="17" t="inlineStr">
        <is>
          <t>GMP공장소재지</t>
        </is>
      </c>
      <c r="S439" s="17" t="n">
        <v>90</v>
      </c>
      <c r="T439" s="17" t="inlineStr">
        <is>
          <t>Y</t>
        </is>
      </c>
      <c r="U439" s="17" t="n">
        <v>1</v>
      </c>
      <c r="V439" s="24" t="n">
        <v>46516</v>
      </c>
      <c r="W439" s="17" t="inlineStr"/>
      <c r="X439" s="17" t="inlineStr">
        <is>
          <t>Y</t>
        </is>
      </c>
      <c r="Y439" s="17" t="inlineStr">
        <is>
          <t>회사키+주소</t>
        </is>
      </c>
      <c r="Z439" s="17" t="n">
        <v>90</v>
      </c>
      <c r="AA439" s="17" t="inlineStr"/>
    </row>
    <row r="440">
      <c r="A440" s="30" t="inlineStr">
        <is>
          <t>S439</t>
        </is>
      </c>
      <c r="B440" s="17" t="inlineStr">
        <is>
          <t>P388</t>
        </is>
      </c>
      <c r="C440" s="17" t="inlineStr">
        <is>
          <t>큐앤큐팜</t>
        </is>
      </c>
      <c r="D440" s="17" t="inlineStr">
        <is>
          <t>큐앤큐팜(주)</t>
        </is>
      </c>
      <c r="E440" s="17" t="inlineStr">
        <is>
          <t>세종특별자치시 전의면 양지편길 19-11</t>
        </is>
      </c>
      <c r="F440" s="17" t="inlineStr">
        <is>
          <t>세종특별자치시 전의면 양지편길 19-11</t>
        </is>
      </c>
      <c r="G440" s="17" t="inlineStr">
        <is>
          <t>세종특별자치시 전의면 양지편길 19-11</t>
        </is>
      </c>
      <c r="H440" s="17" t="inlineStr">
        <is>
          <t>세종</t>
        </is>
      </c>
      <c r="I440" s="23" t="inlineStr">
        <is>
          <t>2079</t>
        </is>
      </c>
      <c r="J440" s="17" t="inlineStr">
        <is>
          <t>1</t>
        </is>
      </c>
      <c r="K440" s="17" t="inlineStr">
        <is>
          <t>완제의약품</t>
        </is>
      </c>
      <c r="L440" s="17" t="inlineStr">
        <is>
          <t>비무균-일반제제-외용액제(외용액제), 비무균-일반제제-첩부제(첩부제)</t>
        </is>
      </c>
      <c r="M440" s="24" t="n">
        <v>46515</v>
      </c>
      <c r="N440" s="17" t="inlineStr"/>
      <c r="O440" s="17" t="inlineStr"/>
      <c r="P440" s="17" t="inlineStr">
        <is>
          <t>세종특별자치시</t>
        </is>
      </c>
      <c r="Q440" s="17" t="inlineStr">
        <is>
          <t>세종특별자치시</t>
        </is>
      </c>
      <c r="R440" s="17" t="inlineStr">
        <is>
          <t>GMP공장소재지</t>
        </is>
      </c>
      <c r="S440" s="17" t="n">
        <v>90</v>
      </c>
      <c r="T440" s="17" t="inlineStr">
        <is>
          <t>Y</t>
        </is>
      </c>
      <c r="U440" s="17" t="n">
        <v>1</v>
      </c>
      <c r="V440" s="24" t="n">
        <v>46515</v>
      </c>
      <c r="W440" s="17" t="inlineStr"/>
      <c r="X440" s="17" t="inlineStr">
        <is>
          <t>Y</t>
        </is>
      </c>
      <c r="Y440" s="17" t="inlineStr">
        <is>
          <t>회사키+주소</t>
        </is>
      </c>
      <c r="Z440" s="17" t="n">
        <v>90</v>
      </c>
      <c r="AA440" s="17" t="inlineStr"/>
    </row>
    <row r="441">
      <c r="A441" s="30" t="inlineStr">
        <is>
          <t>S440</t>
        </is>
      </c>
      <c r="B441" s="17" t="inlineStr">
        <is>
          <t>P389</t>
        </is>
      </c>
      <c r="C441" s="17" t="inlineStr">
        <is>
          <t>대신무약</t>
        </is>
      </c>
      <c r="D441" s="17" t="inlineStr">
        <is>
          <t>대신무약(주)</t>
        </is>
      </c>
      <c r="E441" s="17" t="inlineStr">
        <is>
          <t>서울특별시 서초구 양재천로 113-4</t>
        </is>
      </c>
      <c r="F441" s="17" t="inlineStr">
        <is>
          <t>서울특별시 서초구 양재천로 113-4</t>
        </is>
      </c>
      <c r="G441" s="17" t="inlineStr">
        <is>
          <t>서울특별시 서초구 양재천로 113-4</t>
        </is>
      </c>
      <c r="H441" s="17" t="inlineStr">
        <is>
          <t>제조소 및 제1보관소</t>
        </is>
      </c>
      <c r="I441" s="23" t="inlineStr">
        <is>
          <t>312</t>
        </is>
      </c>
      <c r="J441" s="17" t="inlineStr">
        <is>
          <t>1</t>
        </is>
      </c>
      <c r="K441" s="17" t="inlineStr">
        <is>
          <t>원료의약품</t>
        </is>
      </c>
      <c r="L441" s="17" t="inlineStr">
        <is>
          <t>비무균-일반제제-소분</t>
        </is>
      </c>
      <c r="M441" s="24" t="n">
        <v>46514</v>
      </c>
      <c r="N441" s="17" t="inlineStr"/>
      <c r="O441" s="17" t="inlineStr"/>
      <c r="P441" s="17" t="inlineStr">
        <is>
          <t>서울특별시</t>
        </is>
      </c>
      <c r="Q441" s="17" t="inlineStr">
        <is>
          <t>서초구</t>
        </is>
      </c>
      <c r="R441" s="17" t="inlineStr">
        <is>
          <t>GMP공장소재지</t>
        </is>
      </c>
      <c r="S441" s="17" t="n">
        <v>90</v>
      </c>
      <c r="T441" s="17" t="inlineStr">
        <is>
          <t>Y</t>
        </is>
      </c>
      <c r="U441" s="17" t="n">
        <v>1</v>
      </c>
      <c r="V441" s="24" t="n">
        <v>46514</v>
      </c>
      <c r="W441" s="17" t="inlineStr"/>
      <c r="X441" s="17" t="inlineStr">
        <is>
          <t>Y</t>
        </is>
      </c>
      <c r="Y441" s="17" t="inlineStr">
        <is>
          <t>회사키+주소</t>
        </is>
      </c>
      <c r="Z441" s="17" t="n">
        <v>90</v>
      </c>
      <c r="AA441" s="17" t="inlineStr"/>
    </row>
    <row r="442">
      <c r="A442" s="30" t="inlineStr">
        <is>
          <t>S441</t>
        </is>
      </c>
      <c r="B442" s="17" t="inlineStr">
        <is>
          <t>P390</t>
        </is>
      </c>
      <c r="C442" s="17" t="inlineStr">
        <is>
          <t>에어젠</t>
        </is>
      </c>
      <c r="D442" s="17" t="inlineStr">
        <is>
          <t>에어젠</t>
        </is>
      </c>
      <c r="E442" s="17" t="inlineStr">
        <is>
          <t>대구광역시 북구 검단북로2길 18</t>
        </is>
      </c>
      <c r="F442" s="17" t="inlineStr">
        <is>
          <t>대구광역시 북구 검단북로2길 18</t>
        </is>
      </c>
      <c r="G442" s="17" t="inlineStr">
        <is>
          <t>대구광역시 북구 검단북로2길 18</t>
        </is>
      </c>
      <c r="H442" s="17" t="inlineStr">
        <is>
          <t>제1공장</t>
        </is>
      </c>
      <c r="I442" s="23" t="inlineStr">
        <is>
          <t>107</t>
        </is>
      </c>
      <c r="J442" s="17" t="inlineStr">
        <is>
          <t>1</t>
        </is>
      </c>
      <c r="K442" s="17" t="inlineStr">
        <is>
          <t>완제의약품</t>
        </is>
      </c>
      <c r="L442" s="17" t="inlineStr">
        <is>
          <t>비무균-일반제제(의료용 고압가스)-가스제(의료용 고압가스)</t>
        </is>
      </c>
      <c r="M442" s="24" t="n">
        <v>46514</v>
      </c>
      <c r="N442" s="17" t="inlineStr"/>
      <c r="O442" s="17" t="inlineStr"/>
      <c r="P442" s="17" t="inlineStr">
        <is>
          <t>대구광역시</t>
        </is>
      </c>
      <c r="Q442" s="17" t="inlineStr">
        <is>
          <t>북구</t>
        </is>
      </c>
      <c r="R442" s="17" t="inlineStr">
        <is>
          <t>GMP공장소재지</t>
        </is>
      </c>
      <c r="S442" s="17" t="n">
        <v>90</v>
      </c>
      <c r="T442" s="17" t="inlineStr">
        <is>
          <t>Y</t>
        </is>
      </c>
      <c r="U442" s="17" t="n">
        <v>1</v>
      </c>
      <c r="V442" s="24" t="n">
        <v>46514</v>
      </c>
      <c r="W442" s="17" t="inlineStr"/>
      <c r="X442" s="17" t="inlineStr">
        <is>
          <t>Y</t>
        </is>
      </c>
      <c r="Y442" s="17" t="inlineStr">
        <is>
          <t>회사키+주소</t>
        </is>
      </c>
      <c r="Z442" s="17" t="n">
        <v>90</v>
      </c>
      <c r="AA442" s="17" t="inlineStr"/>
    </row>
    <row r="443">
      <c r="A443" s="30" t="inlineStr">
        <is>
          <t>S442</t>
        </is>
      </c>
      <c r="B443" s="17" t="inlineStr">
        <is>
          <t>P378</t>
        </is>
      </c>
      <c r="C443" s="17" t="inlineStr">
        <is>
          <t>명문바이오</t>
        </is>
      </c>
      <c r="D443" s="17" t="inlineStr">
        <is>
          <t>명문바이오(주)</t>
        </is>
      </c>
      <c r="E443" s="17" t="inlineStr">
        <is>
          <t>경기도 화성시 향남읍 제약공단2길 28 (10동 외)</t>
        </is>
      </c>
      <c r="F443" s="17" t="inlineStr">
        <is>
          <t>경기도 화성시 향남읍 제약공단2길 28 (10동 외)</t>
        </is>
      </c>
      <c r="G443" s="17" t="inlineStr">
        <is>
          <t>경기도 화성시 향남읍 제약공단2길 28 (10동 외)</t>
        </is>
      </c>
      <c r="H443" s="17" t="inlineStr">
        <is>
          <t>명문바이오(주)</t>
        </is>
      </c>
      <c r="I443" s="23" t="inlineStr">
        <is>
          <t>372</t>
        </is>
      </c>
      <c r="J443" s="17" t="inlineStr">
        <is>
          <t>1</t>
        </is>
      </c>
      <c r="K443" s="17" t="inlineStr">
        <is>
          <t>완제의약품</t>
        </is>
      </c>
      <c r="L443" s="17" t="inlineStr">
        <is>
          <t>비무균-일반제제-내용고형제(정제)</t>
        </is>
      </c>
      <c r="M443" s="24" t="n">
        <v>46513</v>
      </c>
      <c r="N443" s="17" t="inlineStr"/>
      <c r="O443" s="17" t="inlineStr"/>
      <c r="P443" s="17" t="inlineStr">
        <is>
          <t>경기도</t>
        </is>
      </c>
      <c r="Q443" s="17" t="inlineStr">
        <is>
          <t>화성시</t>
        </is>
      </c>
      <c r="R443" s="17" t="inlineStr">
        <is>
          <t>GMP공장소재지</t>
        </is>
      </c>
      <c r="S443" s="17" t="n">
        <v>90</v>
      </c>
      <c r="T443" s="17" t="inlineStr">
        <is>
          <t>N</t>
        </is>
      </c>
      <c r="U443" s="17" t="n">
        <v>2</v>
      </c>
      <c r="V443" s="24" t="n">
        <v>46513</v>
      </c>
      <c r="W443" s="17" t="inlineStr"/>
      <c r="X443" s="17" t="inlineStr">
        <is>
          <t>Y</t>
        </is>
      </c>
      <c r="Y443" s="17" t="inlineStr">
        <is>
          <t>회사키+주소</t>
        </is>
      </c>
      <c r="Z443" s="17" t="n">
        <v>90</v>
      </c>
      <c r="AA443" s="17" t="inlineStr"/>
    </row>
    <row r="444">
      <c r="A444" s="30" t="inlineStr">
        <is>
          <t>S443</t>
        </is>
      </c>
      <c r="B444" s="17" t="inlineStr">
        <is>
          <t>P391</t>
        </is>
      </c>
      <c r="C444" s="17" t="inlineStr">
        <is>
          <t>이화산업가스</t>
        </is>
      </c>
      <c r="D444" s="17" t="inlineStr">
        <is>
          <t>이화산업가스주식회사</t>
        </is>
      </c>
      <c r="E444" s="17" t="inlineStr">
        <is>
          <t>인천광역시 부평구 백범로578번길 32 (십정동)</t>
        </is>
      </c>
      <c r="F444" s="17" t="inlineStr">
        <is>
          <t>인천광역시 부평구 백범로578번길 32 (십정동)</t>
        </is>
      </c>
      <c r="G444" s="17" t="inlineStr">
        <is>
          <t>인천광역시 부평구 백범로578번길 32 (십정동)</t>
        </is>
      </c>
      <c r="H444" s="17" t="inlineStr">
        <is>
          <t>제1공장</t>
        </is>
      </c>
      <c r="I444" s="23" t="inlineStr">
        <is>
          <t>384</t>
        </is>
      </c>
      <c r="J444" s="17" t="inlineStr">
        <is>
          <t>1</t>
        </is>
      </c>
      <c r="K444" s="17" t="inlineStr">
        <is>
          <t>완제의약품</t>
        </is>
      </c>
      <c r="L444" s="17" t="inlineStr">
        <is>
          <t>비무균-일반제제(의료용 고압가스)-가스제(의료용 고압가스)</t>
        </is>
      </c>
      <c r="M444" s="24" t="n">
        <v>46502</v>
      </c>
      <c r="N444" s="17" t="inlineStr"/>
      <c r="O444" s="17" t="inlineStr"/>
      <c r="P444" s="17" t="inlineStr">
        <is>
          <t>인천광역시</t>
        </is>
      </c>
      <c r="Q444" s="17" t="inlineStr">
        <is>
          <t>부평구</t>
        </is>
      </c>
      <c r="R444" s="17" t="inlineStr">
        <is>
          <t>GMP공장소재지</t>
        </is>
      </c>
      <c r="S444" s="17" t="n">
        <v>90</v>
      </c>
      <c r="T444" s="17" t="inlineStr">
        <is>
          <t>Y</t>
        </is>
      </c>
      <c r="U444" s="17" t="n">
        <v>1</v>
      </c>
      <c r="V444" s="24" t="n">
        <v>46502</v>
      </c>
      <c r="W444" s="17" t="inlineStr"/>
      <c r="X444" s="17" t="inlineStr">
        <is>
          <t>Y</t>
        </is>
      </c>
      <c r="Y444" s="17" t="inlineStr">
        <is>
          <t>회사키+주소</t>
        </is>
      </c>
      <c r="Z444" s="17" t="n">
        <v>90</v>
      </c>
      <c r="AA444" s="17" t="inlineStr"/>
    </row>
    <row r="445">
      <c r="A445" s="30" t="inlineStr">
        <is>
          <t>S444</t>
        </is>
      </c>
      <c r="B445" s="17" t="inlineStr">
        <is>
          <t>P392</t>
        </is>
      </c>
      <c r="C445" s="17" t="inlineStr">
        <is>
          <t>일양바이오팜</t>
        </is>
      </c>
      <c r="D445" s="17" t="inlineStr">
        <is>
          <t>일양바이오팜(주)</t>
        </is>
      </c>
      <c r="E445" s="17" t="inlineStr">
        <is>
          <t>충청북도 제천시 바이오밸리3로 8</t>
        </is>
      </c>
      <c r="F445" s="17" t="inlineStr">
        <is>
          <t>충청북도 제천시 바이오밸리3로 8</t>
        </is>
      </c>
      <c r="G445" s="17" t="inlineStr">
        <is>
          <t>충청북도 제천시 바이오밸리3로 8</t>
        </is>
      </c>
      <c r="H445" s="17" t="inlineStr">
        <is>
          <t>의약품</t>
        </is>
      </c>
      <c r="I445" s="23" t="inlineStr">
        <is>
          <t>312</t>
        </is>
      </c>
      <c r="J445" s="17" t="inlineStr">
        <is>
          <t>1</t>
        </is>
      </c>
      <c r="K445" s="17" t="inlineStr">
        <is>
          <t>완제의약품</t>
        </is>
      </c>
      <c r="L445" s="17" t="inlineStr">
        <is>
          <t>비무균-일반제제-내용고형제(정제, 캡슐제)</t>
        </is>
      </c>
      <c r="M445" s="24" t="n">
        <v>46501</v>
      </c>
      <c r="N445" s="17" t="inlineStr"/>
      <c r="O445" s="17" t="inlineStr"/>
      <c r="P445" s="17" t="inlineStr">
        <is>
          <t>충청북도</t>
        </is>
      </c>
      <c r="Q445" s="17" t="inlineStr">
        <is>
          <t>제천시</t>
        </is>
      </c>
      <c r="R445" s="17" t="inlineStr">
        <is>
          <t>GMP공장소재지</t>
        </is>
      </c>
      <c r="S445" s="17" t="n">
        <v>90</v>
      </c>
      <c r="T445" s="17" t="inlineStr">
        <is>
          <t>Y</t>
        </is>
      </c>
      <c r="U445" s="17" t="n">
        <v>1</v>
      </c>
      <c r="V445" s="24" t="n">
        <v>46501</v>
      </c>
      <c r="W445" s="17" t="inlineStr"/>
      <c r="X445" s="17" t="inlineStr">
        <is>
          <t>Y</t>
        </is>
      </c>
      <c r="Y445" s="17" t="inlineStr">
        <is>
          <t>회사키+주소</t>
        </is>
      </c>
      <c r="Z445" s="17" t="n">
        <v>90</v>
      </c>
      <c r="AA445" s="17" t="inlineStr"/>
    </row>
    <row r="446">
      <c r="A446" s="30" t="inlineStr">
        <is>
          <t>S445</t>
        </is>
      </c>
      <c r="B446" s="17" t="inlineStr">
        <is>
          <t>P393</t>
        </is>
      </c>
      <c r="C446" s="17" t="inlineStr">
        <is>
          <t>씨엘팜</t>
        </is>
      </c>
      <c r="D446" s="17" t="inlineStr">
        <is>
          <t>(주)씨엘팜</t>
        </is>
      </c>
      <c r="E446" s="17" t="inlineStr">
        <is>
          <t>충청남도 아산시 신창면 가내길 101</t>
        </is>
      </c>
      <c r="F446" s="17" t="inlineStr">
        <is>
          <t>충청남도 아산시 신창면 가내길 101</t>
        </is>
      </c>
      <c r="G446" s="17" t="inlineStr">
        <is>
          <t>충청남도 아산시 신창면 가내길 101</t>
        </is>
      </c>
      <c r="H446" s="17" t="inlineStr">
        <is>
          <t>(주)씨엘팜</t>
        </is>
      </c>
      <c r="I446" s="23" t="inlineStr">
        <is>
          <t>942</t>
        </is>
      </c>
      <c r="J446" s="17" t="inlineStr">
        <is>
          <t>1</t>
        </is>
      </c>
      <c r="K446" s="17" t="inlineStr">
        <is>
          <t>완제의약품</t>
        </is>
      </c>
      <c r="L446" s="17" t="inlineStr">
        <is>
          <t>비무균-일반제제-내용고형제(구강용해필름)</t>
        </is>
      </c>
      <c r="M446" s="24" t="n">
        <v>46501</v>
      </c>
      <c r="N446" s="17" t="inlineStr"/>
      <c r="O446" s="17" t="inlineStr"/>
      <c r="P446" s="17" t="inlineStr">
        <is>
          <t>충청남도</t>
        </is>
      </c>
      <c r="Q446" s="17" t="inlineStr">
        <is>
          <t>아산시</t>
        </is>
      </c>
      <c r="R446" s="17" t="inlineStr">
        <is>
          <t>GMP공장소재지</t>
        </is>
      </c>
      <c r="S446" s="17" t="n">
        <v>90</v>
      </c>
      <c r="T446" s="17" t="inlineStr">
        <is>
          <t>Y</t>
        </is>
      </c>
      <c r="U446" s="17" t="n">
        <v>1</v>
      </c>
      <c r="V446" s="24" t="n">
        <v>46501</v>
      </c>
      <c r="W446" s="17" t="inlineStr"/>
      <c r="X446" s="17" t="inlineStr">
        <is>
          <t>Y</t>
        </is>
      </c>
      <c r="Y446" s="17" t="inlineStr">
        <is>
          <t>회사키+주소</t>
        </is>
      </c>
      <c r="Z446" s="17" t="n">
        <v>90</v>
      </c>
      <c r="AA446" s="17" t="inlineStr"/>
    </row>
    <row r="447">
      <c r="A447" s="30" t="inlineStr">
        <is>
          <t>S446</t>
        </is>
      </c>
      <c r="B447" s="17" t="inlineStr">
        <is>
          <t>P394</t>
        </is>
      </c>
      <c r="C447" s="17" t="inlineStr">
        <is>
          <t>미래바이오제약</t>
        </is>
      </c>
      <c r="D447" s="17" t="inlineStr">
        <is>
          <t>미래바이오제약(주)</t>
        </is>
      </c>
      <c r="E447" s="17" t="inlineStr">
        <is>
          <t>경기도 안성시 공단2로 104</t>
        </is>
      </c>
      <c r="F447" s="17" t="inlineStr">
        <is>
          <t>경기도 안성시 공단2로 104</t>
        </is>
      </c>
      <c r="G447" s="17" t="inlineStr">
        <is>
          <t>경기도 안성시 공단2로 104</t>
        </is>
      </c>
      <c r="H447" s="17" t="inlineStr">
        <is>
          <t>안성</t>
        </is>
      </c>
      <c r="I447" s="23" t="inlineStr">
        <is>
          <t>1390</t>
        </is>
      </c>
      <c r="J447" s="17" t="inlineStr">
        <is>
          <t>1</t>
        </is>
      </c>
      <c r="K447" s="17" t="inlineStr">
        <is>
          <t>완제의약품</t>
        </is>
      </c>
      <c r="L447" s="17" t="inlineStr">
        <is>
          <t>비무균-일반제제-내용고형제(정제, 캡슐제)</t>
        </is>
      </c>
      <c r="M447" s="24" t="n">
        <v>46501</v>
      </c>
      <c r="N447" s="17" t="inlineStr"/>
      <c r="O447" s="17" t="inlineStr"/>
      <c r="P447" s="17" t="inlineStr">
        <is>
          <t>경기도</t>
        </is>
      </c>
      <c r="Q447" s="17" t="inlineStr">
        <is>
          <t>안성시</t>
        </is>
      </c>
      <c r="R447" s="17" t="inlineStr">
        <is>
          <t>GMP공장소재지</t>
        </is>
      </c>
      <c r="S447" s="17" t="n">
        <v>90</v>
      </c>
      <c r="T447" s="17" t="inlineStr">
        <is>
          <t>Y</t>
        </is>
      </c>
      <c r="U447" s="17" t="n">
        <v>1</v>
      </c>
      <c r="V447" s="24" t="n">
        <v>46501</v>
      </c>
      <c r="W447" s="17" t="inlineStr"/>
      <c r="X447" s="17" t="inlineStr">
        <is>
          <t>Y</t>
        </is>
      </c>
      <c r="Y447" s="17" t="inlineStr">
        <is>
          <t>회사키+주소</t>
        </is>
      </c>
      <c r="Z447" s="17" t="n">
        <v>90</v>
      </c>
      <c r="AA447" s="17" t="inlineStr"/>
    </row>
    <row r="448">
      <c r="A448" s="30" t="inlineStr">
        <is>
          <t>S447</t>
        </is>
      </c>
      <c r="B448" s="17" t="inlineStr">
        <is>
          <t>P395</t>
        </is>
      </c>
      <c r="C448" s="17" t="inlineStr">
        <is>
          <t>휴젤</t>
        </is>
      </c>
      <c r="D448" s="17" t="inlineStr">
        <is>
          <t>휴젤주식회사</t>
        </is>
      </c>
      <c r="E448" s="17" t="inlineStr">
        <is>
          <t>강원특별자치도 춘천시 동내면 거두단지1길 23 (거두리)</t>
        </is>
      </c>
      <c r="F448" s="17" t="inlineStr">
        <is>
          <t>강원특별자치도 춘천시 동내면 거두단지1길 23 (거두리)</t>
        </is>
      </c>
      <c r="G448" s="17" t="inlineStr">
        <is>
          <t>강원특별자치도 춘천시 동내면 거두단지1길 23 (거두리)</t>
        </is>
      </c>
      <c r="H448" s="17" t="inlineStr">
        <is>
          <t>제2공장</t>
        </is>
      </c>
      <c r="I448" s="23" t="inlineStr">
        <is>
          <t>273</t>
        </is>
      </c>
      <c r="J448" s="17" t="inlineStr">
        <is>
          <t>2</t>
        </is>
      </c>
      <c r="K448" s="17" t="inlineStr">
        <is>
          <t>완제의약품</t>
        </is>
      </c>
      <c r="L448" s="17" t="inlineStr">
        <is>
          <t>생물-독소-주사제(동결건조주사제)</t>
        </is>
      </c>
      <c r="M448" s="24" t="n">
        <v>46494</v>
      </c>
      <c r="N448" s="17" t="inlineStr">
        <is>
          <t>Y</t>
        </is>
      </c>
      <c r="O448" s="17" t="inlineStr">
        <is>
          <t>Y</t>
        </is>
      </c>
      <c r="P448" s="17" t="inlineStr">
        <is>
          <t>강원특별자치도</t>
        </is>
      </c>
      <c r="Q448" s="17" t="inlineStr">
        <is>
          <t>춘천시</t>
        </is>
      </c>
      <c r="R448" s="17" t="inlineStr">
        <is>
          <t>GMP공장소재지</t>
        </is>
      </c>
      <c r="S448" s="17" t="n">
        <v>90</v>
      </c>
      <c r="T448" s="17" t="inlineStr">
        <is>
          <t>Y</t>
        </is>
      </c>
      <c r="U448" s="17" t="n">
        <v>2</v>
      </c>
      <c r="V448" s="24" t="n">
        <v>46494</v>
      </c>
      <c r="W448" s="17" t="inlineStr"/>
      <c r="X448" s="17" t="inlineStr">
        <is>
          <t>Y</t>
        </is>
      </c>
      <c r="Y448" s="17" t="inlineStr">
        <is>
          <t>회사키+주소</t>
        </is>
      </c>
      <c r="Z448" s="17" t="n">
        <v>90</v>
      </c>
      <c r="AA448" s="17" t="inlineStr"/>
    </row>
    <row r="449">
      <c r="A449" s="30" t="inlineStr">
        <is>
          <t>S448</t>
        </is>
      </c>
      <c r="B449" s="17" t="inlineStr">
        <is>
          <t>P396</t>
        </is>
      </c>
      <c r="C449" s="17" t="inlineStr">
        <is>
          <t>하원정밀화학</t>
        </is>
      </c>
      <c r="D449" s="17" t="inlineStr">
        <is>
          <t>(주)하원정밀화학</t>
        </is>
      </c>
      <c r="E449" s="17" t="inlineStr">
        <is>
          <t>세종특별자치시 전동면 노장공단길 53-10</t>
        </is>
      </c>
      <c r="F449" s="17" t="inlineStr">
        <is>
          <t>세종특별자치시 전동면 노장공단길 53-10</t>
        </is>
      </c>
      <c r="G449" s="17" t="inlineStr">
        <is>
          <t>세종특별자치시 전동면 노장공단길 53-10</t>
        </is>
      </c>
      <c r="H449" s="17" t="inlineStr">
        <is>
          <t>충남</t>
        </is>
      </c>
      <c r="I449" s="23" t="inlineStr">
        <is>
          <t>1974</t>
        </is>
      </c>
      <c r="J449" s="17" t="inlineStr">
        <is>
          <t>1</t>
        </is>
      </c>
      <c r="K449" s="17" t="inlineStr">
        <is>
          <t>원료의약품</t>
        </is>
      </c>
      <c r="L449" s="17" t="inlineStr">
        <is>
          <t>비무균-일반제제-합성</t>
        </is>
      </c>
      <c r="M449" s="24" t="n">
        <v>46494</v>
      </c>
      <c r="N449" s="17" t="inlineStr"/>
      <c r="O449" s="17" t="inlineStr"/>
      <c r="P449" s="17" t="inlineStr">
        <is>
          <t>세종특별자치시</t>
        </is>
      </c>
      <c r="Q449" s="17" t="inlineStr">
        <is>
          <t>세종특별자치시</t>
        </is>
      </c>
      <c r="R449" s="17" t="inlineStr">
        <is>
          <t>GMP공장소재지</t>
        </is>
      </c>
      <c r="S449" s="17" t="n">
        <v>90</v>
      </c>
      <c r="T449" s="17" t="inlineStr">
        <is>
          <t>Y</t>
        </is>
      </c>
      <c r="U449" s="17" t="n">
        <v>1</v>
      </c>
      <c r="V449" s="24" t="n">
        <v>46494</v>
      </c>
      <c r="W449" s="17" t="inlineStr"/>
      <c r="X449" s="17" t="inlineStr">
        <is>
          <t>Y</t>
        </is>
      </c>
      <c r="Y449" s="17" t="inlineStr">
        <is>
          <t>회사키+주소</t>
        </is>
      </c>
      <c r="Z449" s="17" t="n">
        <v>90</v>
      </c>
      <c r="AA449" s="17" t="inlineStr"/>
    </row>
    <row r="450">
      <c r="A450" s="30" t="inlineStr">
        <is>
          <t>S449</t>
        </is>
      </c>
      <c r="B450" s="17" t="inlineStr">
        <is>
          <t>P397</t>
        </is>
      </c>
      <c r="C450" s="17" t="inlineStr">
        <is>
          <t>이수앱지스</t>
        </is>
      </c>
      <c r="D450" s="17" t="inlineStr">
        <is>
          <t>(주)이수앱지스</t>
        </is>
      </c>
      <c r="E450" s="17" t="inlineStr">
        <is>
          <t>경기도 용인시 기흥구 동백중앙로16번길 16-25 대우프론티어밸리 1차 203~209호, 219~221호, 213호, 304호</t>
        </is>
      </c>
      <c r="F450" s="17" t="inlineStr">
        <is>
          <t>경기도 용인시 기흥구 동백중앙로16번길 16-25 대우프론티어밸리 1차 203~209호, 219~221호, 213호, 304호</t>
        </is>
      </c>
      <c r="G450" s="17" t="inlineStr">
        <is>
          <t>경기도 용인시 기흥구 동백중앙로16번길 16-25 대우프론티어밸리 1차 203~209호, 219~221호, 213호, 304호</t>
        </is>
      </c>
      <c r="H450" s="17" t="inlineStr">
        <is>
          <t>용인공장</t>
        </is>
      </c>
      <c r="I450" s="23" t="inlineStr">
        <is>
          <t>2456</t>
        </is>
      </c>
      <c r="J450" s="17" t="inlineStr">
        <is>
          <t>3</t>
        </is>
      </c>
      <c r="K450" s="17" t="inlineStr">
        <is>
          <t>원료의약품</t>
        </is>
      </c>
      <c r="L450" s="17" t="inlineStr">
        <is>
          <t>생물-유전자재조합의약품-(배양, 정제, 바이러스불활화, 원액 제조)</t>
        </is>
      </c>
      <c r="M450" s="24" t="n">
        <v>46494</v>
      </c>
      <c r="N450" s="17" t="inlineStr"/>
      <c r="O450" s="17" t="inlineStr">
        <is>
          <t>Y</t>
        </is>
      </c>
      <c r="P450" s="17" t="inlineStr">
        <is>
          <t>경기도</t>
        </is>
      </c>
      <c r="Q450" s="17" t="inlineStr">
        <is>
          <t>용인시</t>
        </is>
      </c>
      <c r="R450" s="17" t="inlineStr">
        <is>
          <t>GMP공장소재지</t>
        </is>
      </c>
      <c r="S450" s="17" t="n">
        <v>90</v>
      </c>
      <c r="T450" s="17" t="inlineStr">
        <is>
          <t>Y</t>
        </is>
      </c>
      <c r="U450" s="17" t="n">
        <v>1</v>
      </c>
      <c r="V450" s="24" t="n">
        <v>46494</v>
      </c>
      <c r="W450" s="17" t="inlineStr"/>
      <c r="X450" s="17" t="inlineStr">
        <is>
          <t>Y</t>
        </is>
      </c>
      <c r="Y450" s="17" t="inlineStr">
        <is>
          <t>회사키+주소</t>
        </is>
      </c>
      <c r="Z450" s="17" t="n">
        <v>90</v>
      </c>
      <c r="AA450" s="17" t="inlineStr"/>
    </row>
    <row r="451">
      <c r="A451" s="30" t="inlineStr">
        <is>
          <t>S450</t>
        </is>
      </c>
      <c r="B451" s="17" t="inlineStr">
        <is>
          <t>P395</t>
        </is>
      </c>
      <c r="C451" s="17" t="inlineStr">
        <is>
          <t>휴젤</t>
        </is>
      </c>
      <c r="D451" s="17" t="inlineStr">
        <is>
          <t>휴젤주식회사</t>
        </is>
      </c>
      <c r="E451" s="17" t="inlineStr">
        <is>
          <t>강원특별자치도 춘천시 동내면 거두단지1길 23 (거두리)</t>
        </is>
      </c>
      <c r="F451" s="17" t="inlineStr">
        <is>
          <t>강원특별자치도 춘천시 동내면 거두단지1길 23 (거두리)</t>
        </is>
      </c>
      <c r="G451" s="17" t="inlineStr">
        <is>
          <t>강원특별자치도 춘천시 동내면 거두단지1길 23 (거두리)</t>
        </is>
      </c>
      <c r="H451" s="17" t="inlineStr">
        <is>
          <t>제2공장</t>
        </is>
      </c>
      <c r="I451" s="23" t="inlineStr">
        <is>
          <t>273</t>
        </is>
      </c>
      <c r="J451" s="17" t="inlineStr">
        <is>
          <t>2</t>
        </is>
      </c>
      <c r="K451" s="17" t="inlineStr">
        <is>
          <t>원료의약품</t>
        </is>
      </c>
      <c r="L451" s="17" t="inlineStr">
        <is>
          <t>생물-독소-(배양, 정제, 원액 제조)</t>
        </is>
      </c>
      <c r="M451" s="24" t="n">
        <v>46494</v>
      </c>
      <c r="N451" s="17" t="inlineStr"/>
      <c r="O451" s="17" t="inlineStr">
        <is>
          <t>Y</t>
        </is>
      </c>
      <c r="P451" s="17" t="inlineStr">
        <is>
          <t>강원특별자치도</t>
        </is>
      </c>
      <c r="Q451" s="17" t="inlineStr">
        <is>
          <t>춘천시</t>
        </is>
      </c>
      <c r="R451" s="17" t="inlineStr">
        <is>
          <t>GMP공장소재지</t>
        </is>
      </c>
      <c r="S451" s="17" t="n">
        <v>90</v>
      </c>
      <c r="T451" s="17" t="inlineStr">
        <is>
          <t>N</t>
        </is>
      </c>
      <c r="U451" s="17" t="n">
        <v>2</v>
      </c>
      <c r="V451" s="24" t="n">
        <v>46494</v>
      </c>
      <c r="W451" s="17" t="inlineStr"/>
      <c r="X451" s="17" t="inlineStr">
        <is>
          <t>Y</t>
        </is>
      </c>
      <c r="Y451" s="17" t="inlineStr">
        <is>
          <t>회사키+주소</t>
        </is>
      </c>
      <c r="Z451" s="17" t="n">
        <v>90</v>
      </c>
      <c r="AA451" s="17" t="inlineStr"/>
    </row>
    <row r="452">
      <c r="A452" s="30" t="inlineStr">
        <is>
          <t>S451</t>
        </is>
      </c>
      <c r="B452" s="17" t="inlineStr">
        <is>
          <t>P398</t>
        </is>
      </c>
      <c r="C452" s="17" t="inlineStr">
        <is>
          <t>대원바이오텍</t>
        </is>
      </c>
      <c r="D452" s="17" t="inlineStr">
        <is>
          <t>대원바이오텍주식회사</t>
        </is>
      </c>
      <c r="E452" s="17" t="inlineStr">
        <is>
          <t>서울특별시 금천구 가산디지털1로 19 15층, 1501호~1503호(가산동, 대륭테크노타운 18차)</t>
        </is>
      </c>
      <c r="F452" s="17" t="inlineStr">
        <is>
          <t>서울특별시 금천구 가산디지털1로 19 15층, 1501호~1503호(가산동, 대륭테크노타운 18차)</t>
        </is>
      </c>
      <c r="G452" s="17" t="inlineStr">
        <is>
          <t>서울특별시 금천구 가산디지털1로 19 15층, 1501호~1503호(가산동, 대륭테크노타운 18차)</t>
        </is>
      </c>
      <c r="H452" s="17" t="inlineStr">
        <is>
          <t>대원바이오텍주식회사</t>
        </is>
      </c>
      <c r="I452" s="23" t="inlineStr">
        <is>
          <t>367</t>
        </is>
      </c>
      <c r="J452" s="17" t="inlineStr">
        <is>
          <t>1</t>
        </is>
      </c>
      <c r="K452" s="17" t="inlineStr">
        <is>
          <t>완제의약품</t>
        </is>
      </c>
      <c r="L452" s="17" t="inlineStr">
        <is>
          <t>비무균-일반제제-내용고형제(정제)</t>
        </is>
      </c>
      <c r="M452" s="24" t="n">
        <v>46493</v>
      </c>
      <c r="N452" s="17" t="inlineStr"/>
      <c r="O452" s="17" t="inlineStr"/>
      <c r="P452" s="17" t="inlineStr">
        <is>
          <t>서울특별시</t>
        </is>
      </c>
      <c r="Q452" s="17" t="inlineStr">
        <is>
          <t>금천구</t>
        </is>
      </c>
      <c r="R452" s="17" t="inlineStr">
        <is>
          <t>GMP공장소재지</t>
        </is>
      </c>
      <c r="S452" s="17" t="n">
        <v>90</v>
      </c>
      <c r="T452" s="17" t="inlineStr">
        <is>
          <t>Y</t>
        </is>
      </c>
      <c r="U452" s="17" t="n">
        <v>1</v>
      </c>
      <c r="V452" s="24" t="n">
        <v>46493</v>
      </c>
      <c r="W452" s="17" t="inlineStr"/>
      <c r="X452" s="17" t="inlineStr">
        <is>
          <t>Y</t>
        </is>
      </c>
      <c r="Y452" s="17" t="inlineStr">
        <is>
          <t>회사키+주소</t>
        </is>
      </c>
      <c r="Z452" s="17" t="n">
        <v>90</v>
      </c>
      <c r="AA452" s="17" t="inlineStr"/>
    </row>
    <row r="453">
      <c r="A453" s="30" t="inlineStr">
        <is>
          <t>S452</t>
        </is>
      </c>
      <c r="B453" s="17" t="inlineStr">
        <is>
          <t>P399</t>
        </is>
      </c>
      <c r="C453" s="17" t="inlineStr">
        <is>
          <t>밸리</t>
        </is>
      </c>
      <c r="D453" s="17" t="inlineStr">
        <is>
          <t>주식회사 밸리</t>
        </is>
      </c>
      <c r="E453" s="17" t="inlineStr">
        <is>
          <t>대구광역시 수성구 파동로32길 16</t>
        </is>
      </c>
      <c r="F453" s="17" t="inlineStr">
        <is>
          <t>대구광역시 수성구 파동로38길 16 (1층)</t>
        </is>
      </c>
      <c r="G453" s="17" t="inlineStr">
        <is>
          <t>대구광역시 수성구 파동로32길 16</t>
        </is>
      </c>
      <c r="H453" s="17" t="inlineStr">
        <is>
          <t>보관소</t>
        </is>
      </c>
      <c r="I453" s="23" t="inlineStr">
        <is>
          <t>93</t>
        </is>
      </c>
      <c r="J453" s="17" t="inlineStr">
        <is>
          <t>2</t>
        </is>
      </c>
      <c r="K453" s="17" t="inlineStr">
        <is>
          <t>완제의약품</t>
        </is>
      </c>
      <c r="L453" s="17" t="inlineStr">
        <is>
          <t>비무균-일반제제-외용액제(외용액제)</t>
        </is>
      </c>
      <c r="M453" s="24" t="n">
        <v>46493</v>
      </c>
      <c r="N453" s="17" t="inlineStr"/>
      <c r="O453" s="17" t="inlineStr"/>
      <c r="P453" s="17" t="inlineStr">
        <is>
          <t>대구광역시</t>
        </is>
      </c>
      <c r="Q453" s="17" t="inlineStr">
        <is>
          <t>수성구</t>
        </is>
      </c>
      <c r="R453" s="17" t="inlineStr">
        <is>
          <t>GMP공장소재지</t>
        </is>
      </c>
      <c r="S453" s="17" t="n">
        <v>90</v>
      </c>
      <c r="T453" s="17" t="inlineStr">
        <is>
          <t>Y</t>
        </is>
      </c>
      <c r="U453" s="17" t="n">
        <v>1</v>
      </c>
      <c r="V453" s="24" t="n">
        <v>46493</v>
      </c>
      <c r="W453" s="17" t="inlineStr"/>
      <c r="X453" s="17" t="inlineStr">
        <is>
          <t>Y</t>
        </is>
      </c>
      <c r="Y453" s="17" t="inlineStr">
        <is>
          <t>회사키+주소</t>
        </is>
      </c>
      <c r="Z453" s="17" t="n">
        <v>90</v>
      </c>
      <c r="AA453" s="17" t="inlineStr"/>
    </row>
    <row r="454">
      <c r="A454" s="30" t="inlineStr">
        <is>
          <t>S453</t>
        </is>
      </c>
      <c r="B454" s="17" t="inlineStr">
        <is>
          <t>P400</t>
        </is>
      </c>
      <c r="C454" s="17" t="inlineStr">
        <is>
          <t>넥스제너</t>
        </is>
      </c>
      <c r="D454" s="17" t="inlineStr">
        <is>
          <t>주식회사넥스제너</t>
        </is>
      </c>
      <c r="E454" s="17" t="inlineStr">
        <is>
          <t>경기도 화성시 동탄대로23길 93 아너스카이 10층</t>
        </is>
      </c>
      <c r="F454" s="17" t="inlineStr">
        <is>
          <t>경기도 화성시 동탄대로23길 93 아너스카이 10층</t>
        </is>
      </c>
      <c r="G454" s="17" t="inlineStr">
        <is>
          <t>경기도 화성시 동탄대로23길 93 아너스카이 10층</t>
        </is>
      </c>
      <c r="H454" s="17" t="inlineStr">
        <is>
          <t>1공장</t>
        </is>
      </c>
      <c r="I454" s="23" t="inlineStr">
        <is>
          <t>6178</t>
        </is>
      </c>
      <c r="J454" s="17" t="inlineStr">
        <is>
          <t>1</t>
        </is>
      </c>
      <c r="K454" s="17" t="inlineStr">
        <is>
          <t>원료의약품</t>
        </is>
      </c>
      <c r="L454" s="17" t="inlineStr">
        <is>
          <t>비무균-일반제제-합성</t>
        </is>
      </c>
      <c r="M454" s="24" t="n">
        <v>46485</v>
      </c>
      <c r="N454" s="17" t="inlineStr"/>
      <c r="O454" s="17" t="inlineStr"/>
      <c r="P454" s="17" t="inlineStr">
        <is>
          <t>경기도</t>
        </is>
      </c>
      <c r="Q454" s="17" t="inlineStr">
        <is>
          <t>화성시</t>
        </is>
      </c>
      <c r="R454" s="17" t="inlineStr">
        <is>
          <t>GMP공장소재지</t>
        </is>
      </c>
      <c r="S454" s="17" t="n">
        <v>90</v>
      </c>
      <c r="T454" s="17" t="inlineStr">
        <is>
          <t>Y</t>
        </is>
      </c>
      <c r="U454" s="17" t="n">
        <v>1</v>
      </c>
      <c r="V454" s="24" t="n">
        <v>46485</v>
      </c>
      <c r="W454" s="17" t="inlineStr"/>
      <c r="X454" s="17" t="inlineStr">
        <is>
          <t>Y</t>
        </is>
      </c>
      <c r="Y454" s="17" t="inlineStr">
        <is>
          <t>회사키+주소</t>
        </is>
      </c>
      <c r="Z454" s="17" t="n">
        <v>90</v>
      </c>
      <c r="AA454" s="17" t="inlineStr"/>
    </row>
    <row r="455">
      <c r="A455" s="30" t="inlineStr">
        <is>
          <t>S454</t>
        </is>
      </c>
      <c r="B455" s="17" t="inlineStr">
        <is>
          <t>P401</t>
        </is>
      </c>
      <c r="C455" s="17" t="inlineStr">
        <is>
          <t>동아에스티</t>
        </is>
      </c>
      <c r="D455" s="17" t="inlineStr">
        <is>
          <t>동아에스티(주)</t>
        </is>
      </c>
      <c r="E455" s="17" t="inlineStr">
        <is>
          <t>대구광역시 달성군 논공읍 논공로 493</t>
        </is>
      </c>
      <c r="F455" s="17" t="inlineStr">
        <is>
          <t>대구광역시 달성군 논공읍 논공로 493</t>
        </is>
      </c>
      <c r="G455" s="17" t="inlineStr">
        <is>
          <t>대구광역시 달성군 논공읍 논공로 493</t>
        </is>
      </c>
      <c r="H455" s="17" t="inlineStr">
        <is>
          <t>대구</t>
        </is>
      </c>
      <c r="I455" s="23" t="inlineStr">
        <is>
          <t>1290</t>
        </is>
      </c>
      <c r="J455" s="17" t="inlineStr">
        <is>
          <t>3</t>
        </is>
      </c>
      <c r="K455" s="17" t="inlineStr">
        <is>
          <t>완제의약품</t>
        </is>
      </c>
      <c r="L455" s="17" t="inlineStr">
        <is>
          <t>생물-유전자재조합의약품-주사제(주사제)</t>
        </is>
      </c>
      <c r="M455" s="24" t="n">
        <v>46481</v>
      </c>
      <c r="N455" s="17" t="inlineStr">
        <is>
          <t>Y</t>
        </is>
      </c>
      <c r="O455" s="17" t="inlineStr">
        <is>
          <t>Y</t>
        </is>
      </c>
      <c r="P455" s="17" t="inlineStr">
        <is>
          <t>대구광역시</t>
        </is>
      </c>
      <c r="Q455" s="17" t="inlineStr">
        <is>
          <t>달성군</t>
        </is>
      </c>
      <c r="R455" s="17" t="inlineStr">
        <is>
          <t>GMP공장소재지</t>
        </is>
      </c>
      <c r="S455" s="17" t="n">
        <v>90</v>
      </c>
      <c r="T455" s="17" t="inlineStr">
        <is>
          <t>Y</t>
        </is>
      </c>
      <c r="U455" s="17" t="n">
        <v>2</v>
      </c>
      <c r="V455" s="24" t="n">
        <v>46481</v>
      </c>
      <c r="W455" s="17" t="inlineStr"/>
      <c r="X455" s="17" t="inlineStr">
        <is>
          <t>Y</t>
        </is>
      </c>
      <c r="Y455" s="17" t="inlineStr">
        <is>
          <t>회사키+주소</t>
        </is>
      </c>
      <c r="Z455" s="17" t="n">
        <v>90</v>
      </c>
      <c r="AA455" s="17" t="inlineStr"/>
    </row>
    <row r="456">
      <c r="A456" s="30" t="inlineStr">
        <is>
          <t>S455</t>
        </is>
      </c>
      <c r="B456" s="17" t="inlineStr">
        <is>
          <t>P401</t>
        </is>
      </c>
      <c r="C456" s="17" t="inlineStr">
        <is>
          <t>동아에스티</t>
        </is>
      </c>
      <c r="D456" s="17" t="inlineStr">
        <is>
          <t>동아에스티(주)</t>
        </is>
      </c>
      <c r="E456" s="17" t="inlineStr">
        <is>
          <t>대구광역시 달성군 논공읍 논공로 493</t>
        </is>
      </c>
      <c r="F456" s="17" t="inlineStr">
        <is>
          <t>대구광역시 달성군 논공읍 논공로 493</t>
        </is>
      </c>
      <c r="G456" s="17" t="inlineStr">
        <is>
          <t>대구광역시 달성군 논공읍 논공로 493</t>
        </is>
      </c>
      <c r="H456" s="17" t="inlineStr">
        <is>
          <t>대구</t>
        </is>
      </c>
      <c r="I456" s="23" t="inlineStr">
        <is>
          <t>1290</t>
        </is>
      </c>
      <c r="J456" s="17" t="inlineStr">
        <is>
          <t>3</t>
        </is>
      </c>
      <c r="K456" s="17" t="inlineStr">
        <is>
          <t>원료의약품</t>
        </is>
      </c>
      <c r="L456" s="17" t="inlineStr">
        <is>
          <t>생물-유전자재조합의약품-(배양, 정제, 바이러스불활화, 원액 제조)</t>
        </is>
      </c>
      <c r="M456" s="24" t="n">
        <v>46481</v>
      </c>
      <c r="N456" s="17" t="inlineStr"/>
      <c r="O456" s="17" t="inlineStr">
        <is>
          <t>Y</t>
        </is>
      </c>
      <c r="P456" s="17" t="inlineStr">
        <is>
          <t>대구광역시</t>
        </is>
      </c>
      <c r="Q456" s="17" t="inlineStr">
        <is>
          <t>달성군</t>
        </is>
      </c>
      <c r="R456" s="17" t="inlineStr">
        <is>
          <t>GMP공장소재지</t>
        </is>
      </c>
      <c r="S456" s="17" t="n">
        <v>90</v>
      </c>
      <c r="T456" s="17" t="inlineStr">
        <is>
          <t>N</t>
        </is>
      </c>
      <c r="U456" s="17" t="n">
        <v>2</v>
      </c>
      <c r="V456" s="24" t="n">
        <v>46481</v>
      </c>
      <c r="W456" s="17" t="inlineStr"/>
      <c r="X456" s="17" t="inlineStr">
        <is>
          <t>Y</t>
        </is>
      </c>
      <c r="Y456" s="17" t="inlineStr">
        <is>
          <t>회사키+주소</t>
        </is>
      </c>
      <c r="Z456" s="17" t="n">
        <v>90</v>
      </c>
      <c r="AA456" s="17" t="inlineStr"/>
    </row>
    <row r="457">
      <c r="A457" s="30" t="inlineStr">
        <is>
          <t>S456</t>
        </is>
      </c>
      <c r="B457" s="17" t="inlineStr">
        <is>
          <t>P402</t>
        </is>
      </c>
      <c r="C457" s="17" t="inlineStr">
        <is>
          <t>녹십자</t>
        </is>
      </c>
      <c r="D457" s="17" t="inlineStr">
        <is>
          <t>(주)녹십자</t>
        </is>
      </c>
      <c r="E457" s="17" t="inlineStr">
        <is>
          <t>충청북도 청주시 청원구 오창읍 과학산업2로 586</t>
        </is>
      </c>
      <c r="F457" s="17" t="inlineStr">
        <is>
          <t>충청북도 청주시 청원구 오창읍 과학산업2로 586</t>
        </is>
      </c>
      <c r="G457" s="17" t="inlineStr">
        <is>
          <t>충청북도 청주시 청원구 오창읍 과학산업2로 586</t>
        </is>
      </c>
      <c r="H457" s="17" t="inlineStr">
        <is>
          <t>청원(일반제제)</t>
        </is>
      </c>
      <c r="I457" s="23" t="inlineStr">
        <is>
          <t>1735</t>
        </is>
      </c>
      <c r="J457" s="17" t="inlineStr">
        <is>
          <t>6</t>
        </is>
      </c>
      <c r="K457" s="17" t="inlineStr">
        <is>
          <t>원료의약품</t>
        </is>
      </c>
      <c r="L457" s="17" t="inlineStr">
        <is>
          <t>생물-유전자재조합의약품-(배양, 정제, 바이러스불활화, 원액 제조), 생물-혈장분획제제-(분획, 정제, 바이러스불활화, 원액 제조)</t>
        </is>
      </c>
      <c r="M457" s="24" t="n">
        <v>46481</v>
      </c>
      <c r="N457" s="17" t="inlineStr"/>
      <c r="O457" s="17" t="inlineStr">
        <is>
          <t>Y</t>
        </is>
      </c>
      <c r="P457" s="17" t="inlineStr">
        <is>
          <t>충청북도</t>
        </is>
      </c>
      <c r="Q457" s="17" t="inlineStr">
        <is>
          <t>청주시</t>
        </is>
      </c>
      <c r="R457" s="17" t="inlineStr">
        <is>
          <t>GMP공장소재지</t>
        </is>
      </c>
      <c r="S457" s="17" t="n">
        <v>90</v>
      </c>
      <c r="T457" s="17" t="inlineStr">
        <is>
          <t>Y</t>
        </is>
      </c>
      <c r="U457" s="17" t="n">
        <v>2</v>
      </c>
      <c r="V457" s="24" t="n">
        <v>46481</v>
      </c>
      <c r="W457" s="17" t="inlineStr"/>
      <c r="X457" s="17" t="inlineStr">
        <is>
          <t>Y</t>
        </is>
      </c>
      <c r="Y457" s="17" t="inlineStr">
        <is>
          <t>회사키+주소</t>
        </is>
      </c>
      <c r="Z457" s="17" t="n">
        <v>90</v>
      </c>
      <c r="AA457" s="17" t="inlineStr"/>
    </row>
    <row r="458">
      <c r="A458" s="30" t="inlineStr">
        <is>
          <t>S457</t>
        </is>
      </c>
      <c r="B458" s="17" t="inlineStr">
        <is>
          <t>P402</t>
        </is>
      </c>
      <c r="C458" s="17" t="inlineStr">
        <is>
          <t>녹십자</t>
        </is>
      </c>
      <c r="D458" s="17" t="inlineStr">
        <is>
          <t>(주)녹십자</t>
        </is>
      </c>
      <c r="E458" s="17" t="inlineStr">
        <is>
          <t>충청북도 청주시 청원구 오창읍 과학산업2로 586</t>
        </is>
      </c>
      <c r="F458" s="17" t="inlineStr">
        <is>
          <t>충청북도 청주시 청원구 오창읍 과학산업2로 586</t>
        </is>
      </c>
      <c r="G458" s="17" t="inlineStr">
        <is>
          <t>충청북도 청주시 청원구 오창읍 과학산업2로 586</t>
        </is>
      </c>
      <c r="H458" s="17" t="inlineStr">
        <is>
          <t>청원(일반제제)</t>
        </is>
      </c>
      <c r="I458" s="23" t="inlineStr">
        <is>
          <t>1735</t>
        </is>
      </c>
      <c r="J458" s="17" t="inlineStr">
        <is>
          <t>6</t>
        </is>
      </c>
      <c r="K458" s="17" t="inlineStr">
        <is>
          <t>완제의약품</t>
        </is>
      </c>
      <c r="L458" s="17" t="inlineStr">
        <is>
          <t>생물-백신-주사제(주사제), 생물-유전자재조합의약품-주사제(주사제, 동결건조주사제), 생물-혈장분획제제-주사제(주사제, 동결건조주사제)</t>
        </is>
      </c>
      <c r="M458" s="24" t="n">
        <v>46481</v>
      </c>
      <c r="N458" s="17" t="inlineStr">
        <is>
          <t>Y</t>
        </is>
      </c>
      <c r="O458" s="17" t="inlineStr">
        <is>
          <t>Y</t>
        </is>
      </c>
      <c r="P458" s="17" t="inlineStr">
        <is>
          <t>충청북도</t>
        </is>
      </c>
      <c r="Q458" s="17" t="inlineStr">
        <is>
          <t>청주시</t>
        </is>
      </c>
      <c r="R458" s="17" t="inlineStr">
        <is>
          <t>GMP공장소재지</t>
        </is>
      </c>
      <c r="S458" s="17" t="n">
        <v>90</v>
      </c>
      <c r="T458" s="17" t="inlineStr">
        <is>
          <t>N</t>
        </is>
      </c>
      <c r="U458" s="17" t="n">
        <v>2</v>
      </c>
      <c r="V458" s="24" t="n">
        <v>46481</v>
      </c>
      <c r="W458" s="17" t="inlineStr"/>
      <c r="X458" s="17" t="inlineStr">
        <is>
          <t>Y</t>
        </is>
      </c>
      <c r="Y458" s="17" t="inlineStr">
        <is>
          <t>회사키+주소</t>
        </is>
      </c>
      <c r="Z458" s="17" t="n">
        <v>90</v>
      </c>
      <c r="AA458" s="17" t="inlineStr"/>
    </row>
    <row r="459">
      <c r="A459" s="30" t="inlineStr">
        <is>
          <t>S458</t>
        </is>
      </c>
      <c r="B459" s="17" t="inlineStr">
        <is>
          <t>P403</t>
        </is>
      </c>
      <c r="C459" s="17" t="inlineStr">
        <is>
          <t>연세의료원</t>
        </is>
      </c>
      <c r="D459" s="17" t="inlineStr">
        <is>
          <t>연세의료원</t>
        </is>
      </c>
      <c r="E459" s="17" t="inlineStr">
        <is>
          <t>서울특별시 서대문구 연세로 50-1 연세암병원 지하 5층</t>
        </is>
      </c>
      <c r="F459" s="17" t="inlineStr">
        <is>
          <t>서울특별시 서대문구 연세로 50-1 연세암병원 지하 5층</t>
        </is>
      </c>
      <c r="G459" s="17" t="inlineStr">
        <is>
          <t>서울특별시 서대문구 연세로 50-1 연세암병원 지하 5층</t>
        </is>
      </c>
      <c r="H459" s="17" t="inlineStr">
        <is>
          <t>제1공장</t>
        </is>
      </c>
      <c r="I459" s="23" t="inlineStr">
        <is>
          <t>391</t>
        </is>
      </c>
      <c r="J459" s="17" t="inlineStr">
        <is>
          <t>1</t>
        </is>
      </c>
      <c r="K459" s="17" t="inlineStr">
        <is>
          <t>완제의약품</t>
        </is>
      </c>
      <c r="L459" s="17" t="inlineStr">
        <is>
          <t>무균-일반제제(방사성의약품)-주사제(주사제)</t>
        </is>
      </c>
      <c r="M459" s="24" t="n">
        <v>46480</v>
      </c>
      <c r="N459" s="17" t="inlineStr">
        <is>
          <t>Y</t>
        </is>
      </c>
      <c r="O459" s="17" t="inlineStr"/>
      <c r="P459" s="17" t="inlineStr">
        <is>
          <t>서울특별시</t>
        </is>
      </c>
      <c r="Q459" s="17" t="inlineStr">
        <is>
          <t>서대문구</t>
        </is>
      </c>
      <c r="R459" s="17" t="inlineStr">
        <is>
          <t>GMP공장소재지</t>
        </is>
      </c>
      <c r="S459" s="17" t="n">
        <v>90</v>
      </c>
      <c r="T459" s="17" t="inlineStr">
        <is>
          <t>Y</t>
        </is>
      </c>
      <c r="U459" s="17" t="n">
        <v>1</v>
      </c>
      <c r="V459" s="24" t="n">
        <v>46480</v>
      </c>
      <c r="W459" s="17" t="inlineStr"/>
      <c r="X459" s="17" t="inlineStr">
        <is>
          <t>Y</t>
        </is>
      </c>
      <c r="Y459" s="17" t="inlineStr">
        <is>
          <t>회사키+주소</t>
        </is>
      </c>
      <c r="Z459" s="17" t="n">
        <v>90</v>
      </c>
      <c r="AA459" s="17" t="inlineStr"/>
    </row>
    <row r="460">
      <c r="A460" s="30" t="inlineStr">
        <is>
          <t>S459</t>
        </is>
      </c>
      <c r="B460" s="17" t="inlineStr">
        <is>
          <t>P404</t>
        </is>
      </c>
      <c r="C460" s="17" t="inlineStr">
        <is>
          <t>휴온스생명과학</t>
        </is>
      </c>
      <c r="D460" s="17" t="inlineStr">
        <is>
          <t>(주)휴온스생명과학</t>
        </is>
      </c>
      <c r="E460" s="17" t="inlineStr">
        <is>
          <t>충청북도 청주시 흥덕구 오송읍 오송생명6로 70</t>
        </is>
      </c>
      <c r="F460" s="17" t="inlineStr">
        <is>
          <t>충청북도 청주시 흥덕구 오송읍 오송생명6로 70</t>
        </is>
      </c>
      <c r="G460" s="17" t="inlineStr">
        <is>
          <t>충청북도 청주시 흥덕구 오송읍 오송생명6로 70</t>
        </is>
      </c>
      <c r="H460" s="17" t="inlineStr">
        <is>
          <t>오송</t>
        </is>
      </c>
      <c r="I460" s="23" t="inlineStr">
        <is>
          <t>2311</t>
        </is>
      </c>
      <c r="J460" s="17" t="inlineStr">
        <is>
          <t>2</t>
        </is>
      </c>
      <c r="K460" s="17" t="inlineStr">
        <is>
          <t>완제의약품</t>
        </is>
      </c>
      <c r="L460" s="17" t="inlineStr">
        <is>
          <t>비무균-일반제제-내용고형제(정제, 캡슐제)</t>
        </is>
      </c>
      <c r="M460" s="24" t="n">
        <v>46480</v>
      </c>
      <c r="N460" s="17" t="inlineStr"/>
      <c r="O460" s="17" t="inlineStr"/>
      <c r="P460" s="17" t="inlineStr">
        <is>
          <t>충청북도</t>
        </is>
      </c>
      <c r="Q460" s="17" t="inlineStr">
        <is>
          <t>청주시</t>
        </is>
      </c>
      <c r="R460" s="17" t="inlineStr">
        <is>
          <t>GMP공장소재지</t>
        </is>
      </c>
      <c r="S460" s="17" t="n">
        <v>90</v>
      </c>
      <c r="T460" s="17" t="inlineStr">
        <is>
          <t>Y</t>
        </is>
      </c>
      <c r="U460" s="17" t="n">
        <v>1</v>
      </c>
      <c r="V460" s="24" t="n">
        <v>46480</v>
      </c>
      <c r="W460" s="17" t="inlineStr"/>
      <c r="X460" s="17" t="inlineStr">
        <is>
          <t>Y</t>
        </is>
      </c>
      <c r="Y460" s="17" t="inlineStr">
        <is>
          <t>회사키+주소</t>
        </is>
      </c>
      <c r="Z460" s="17" t="n">
        <v>90</v>
      </c>
      <c r="AA460" s="17" t="inlineStr"/>
    </row>
    <row r="461">
      <c r="A461" s="30" t="inlineStr">
        <is>
          <t>S460</t>
        </is>
      </c>
      <c r="B461" s="17" t="inlineStr">
        <is>
          <t>P405</t>
        </is>
      </c>
      <c r="C461" s="17" t="inlineStr">
        <is>
          <t>대정화금</t>
        </is>
      </c>
      <c r="D461" s="17" t="inlineStr">
        <is>
          <t>대정화금(주)</t>
        </is>
      </c>
      <c r="E461" s="17" t="inlineStr">
        <is>
          <t>경기도 시흥시 서해안로 186 (시화공단 1다 107) (정왕동)</t>
        </is>
      </c>
      <c r="F461" s="17" t="inlineStr">
        <is>
          <t>경기도 시흥시 서해안로 186 (시화공단 1다 107) (정왕동)</t>
        </is>
      </c>
      <c r="G461" s="17" t="inlineStr">
        <is>
          <t>경기도 시흥시 서해안로 186 (시화공단 1다 107) (정왕동)</t>
        </is>
      </c>
      <c r="H461" s="17" t="inlineStr">
        <is>
          <t>제1공장</t>
        </is>
      </c>
      <c r="I461" s="23" t="inlineStr">
        <is>
          <t>1886</t>
        </is>
      </c>
      <c r="J461" s="17" t="inlineStr">
        <is>
          <t>1</t>
        </is>
      </c>
      <c r="K461" s="17" t="inlineStr">
        <is>
          <t>원료의약품</t>
        </is>
      </c>
      <c r="L461" s="17" t="inlineStr">
        <is>
          <t>비무균-일반제제-(정제(합성에 한함), 정제(발효에 한함)), 비무균-일반제제-소분</t>
        </is>
      </c>
      <c r="M461" s="24" t="n">
        <v>46479</v>
      </c>
      <c r="N461" s="17" t="inlineStr"/>
      <c r="O461" s="17" t="inlineStr"/>
      <c r="P461" s="17" t="inlineStr">
        <is>
          <t>경기도</t>
        </is>
      </c>
      <c r="Q461" s="17" t="inlineStr">
        <is>
          <t>시흥시</t>
        </is>
      </c>
      <c r="R461" s="17" t="inlineStr">
        <is>
          <t>GMP공장소재지</t>
        </is>
      </c>
      <c r="S461" s="17" t="n">
        <v>90</v>
      </c>
      <c r="T461" s="17" t="inlineStr">
        <is>
          <t>Y</t>
        </is>
      </c>
      <c r="U461" s="17" t="n">
        <v>1</v>
      </c>
      <c r="V461" s="24" t="n">
        <v>46479</v>
      </c>
      <c r="W461" s="17" t="inlineStr"/>
      <c r="X461" s="17" t="inlineStr">
        <is>
          <t>Y</t>
        </is>
      </c>
      <c r="Y461" s="17" t="inlineStr">
        <is>
          <t>회사키+주소</t>
        </is>
      </c>
      <c r="Z461" s="17" t="n">
        <v>90</v>
      </c>
      <c r="AA461" s="17" t="inlineStr"/>
    </row>
    <row r="462">
      <c r="A462" s="30" t="inlineStr">
        <is>
          <t>S461</t>
        </is>
      </c>
      <c r="B462" s="17" t="inlineStr">
        <is>
          <t>P406</t>
        </is>
      </c>
      <c r="C462" s="17" t="inlineStr">
        <is>
          <t>파마코스텍</t>
        </is>
      </c>
      <c r="D462" s="17" t="inlineStr">
        <is>
          <t>(주)파마코스텍</t>
        </is>
      </c>
      <c r="E462" s="17" t="inlineStr">
        <is>
          <t>경기도 화성시 만세구 향남읍 제약단지로 47</t>
        </is>
      </c>
      <c r="F462" s="17" t="inlineStr">
        <is>
          <t>경기도 화성시 만세구 향남읍 제약단지로 47</t>
        </is>
      </c>
      <c r="G462" s="17" t="inlineStr">
        <is>
          <t>경기도 화성시 만세구 향남읍 제약단지로 47</t>
        </is>
      </c>
      <c r="H462" s="17" t="inlineStr">
        <is>
          <t>화성시</t>
        </is>
      </c>
      <c r="I462" s="23" t="inlineStr">
        <is>
          <t>2572</t>
        </is>
      </c>
      <c r="J462" s="17" t="inlineStr">
        <is>
          <t>1</t>
        </is>
      </c>
      <c r="K462" s="17" t="inlineStr">
        <is>
          <t>원료의약품</t>
        </is>
      </c>
      <c r="L462" s="17" t="inlineStr">
        <is>
          <t>비무균-일반제제-합성, 비무균-일반제제-정제(합성에 한함)</t>
        </is>
      </c>
      <c r="M462" s="24" t="n">
        <v>46479</v>
      </c>
      <c r="N462" s="17" t="inlineStr"/>
      <c r="O462" s="17" t="inlineStr"/>
      <c r="P462" s="17" t="inlineStr">
        <is>
          <t>경기도</t>
        </is>
      </c>
      <c r="Q462" s="17" t="inlineStr">
        <is>
          <t>화성시</t>
        </is>
      </c>
      <c r="R462" s="17" t="inlineStr">
        <is>
          <t>GMP공장소재지</t>
        </is>
      </c>
      <c r="S462" s="17" t="n">
        <v>90</v>
      </c>
      <c r="T462" s="17" t="inlineStr">
        <is>
          <t>Y</t>
        </is>
      </c>
      <c r="U462" s="17" t="n">
        <v>1</v>
      </c>
      <c r="V462" s="24" t="n">
        <v>46479</v>
      </c>
      <c r="W462" s="17" t="inlineStr"/>
      <c r="X462" s="17" t="inlineStr">
        <is>
          <t>Y</t>
        </is>
      </c>
      <c r="Y462" s="17" t="inlineStr">
        <is>
          <t>회사키+주소</t>
        </is>
      </c>
      <c r="Z462" s="17" t="n">
        <v>90</v>
      </c>
      <c r="AA462" s="17" t="inlineStr"/>
    </row>
    <row r="463">
      <c r="A463" s="30" t="inlineStr">
        <is>
          <t>S462</t>
        </is>
      </c>
      <c r="B463" s="17" t="inlineStr">
        <is>
          <t>P407</t>
        </is>
      </c>
      <c r="C463" s="17" t="inlineStr">
        <is>
          <t>종근당</t>
        </is>
      </c>
      <c r="D463" s="17" t="inlineStr">
        <is>
          <t>(주)종근당</t>
        </is>
      </c>
      <c r="E463" s="17" t="inlineStr">
        <is>
          <t>충청남도 천안시 서북구 성거읍 망향로 797-46</t>
        </is>
      </c>
      <c r="F463" s="17" t="inlineStr">
        <is>
          <t>충청남도 천안시 서북구 성거읍 망향로 797-48</t>
        </is>
      </c>
      <c r="G463" s="17" t="inlineStr">
        <is>
          <t>충청남도 천안시 서북구 성거읍 망향로 797-46</t>
        </is>
      </c>
      <c r="H463" s="17" t="inlineStr">
        <is>
          <t>천안</t>
        </is>
      </c>
      <c r="I463" s="23" t="inlineStr">
        <is>
          <t>1459</t>
        </is>
      </c>
      <c r="J463" s="17" t="inlineStr">
        <is>
          <t>1</t>
        </is>
      </c>
      <c r="K463" s="17" t="inlineStr">
        <is>
          <t>완제의약품</t>
        </is>
      </c>
      <c r="L463" s="17" t="inlineStr">
        <is>
          <t>비무균-페니실린제제-내용고형제(정제, 캡슐제, 시럽제(고형)), 무균-세팔로스포린제제-주사제(분말주사제), 무균-페니실린제제-주사제(분말주사제)</t>
        </is>
      </c>
      <c r="M463" s="24" t="n">
        <v>46474</v>
      </c>
      <c r="N463" s="17" t="inlineStr">
        <is>
          <t>Y</t>
        </is>
      </c>
      <c r="O463" s="17" t="inlineStr"/>
      <c r="P463" s="17" t="inlineStr">
        <is>
          <t>충청남도</t>
        </is>
      </c>
      <c r="Q463" s="17" t="inlineStr">
        <is>
          <t>천안시</t>
        </is>
      </c>
      <c r="R463" s="17" t="inlineStr">
        <is>
          <t>GMP공장소재지</t>
        </is>
      </c>
      <c r="S463" s="17" t="n">
        <v>90</v>
      </c>
      <c r="T463" s="17" t="inlineStr">
        <is>
          <t>Y</t>
        </is>
      </c>
      <c r="U463" s="17" t="n">
        <v>1</v>
      </c>
      <c r="V463" s="24" t="n">
        <v>46474</v>
      </c>
      <c r="W463" s="17" t="inlineStr"/>
      <c r="X463" s="17" t="inlineStr">
        <is>
          <t>Y</t>
        </is>
      </c>
      <c r="Y463" s="17" t="inlineStr">
        <is>
          <t>회사키+주소</t>
        </is>
      </c>
      <c r="Z463" s="17" t="n">
        <v>90</v>
      </c>
      <c r="AA463" s="17" t="inlineStr"/>
    </row>
    <row r="464">
      <c r="A464" s="30" t="inlineStr">
        <is>
          <t>S463</t>
        </is>
      </c>
      <c r="B464" s="17" t="inlineStr">
        <is>
          <t>P408</t>
        </is>
      </c>
      <c r="C464" s="17" t="inlineStr">
        <is>
          <t>광동제약</t>
        </is>
      </c>
      <c r="D464" s="17" t="inlineStr">
        <is>
          <t>광동제약(주)</t>
        </is>
      </c>
      <c r="E464" s="17" t="inlineStr">
        <is>
          <t>경기도 평택시 산단로 114</t>
        </is>
      </c>
      <c r="F464" s="17" t="inlineStr">
        <is>
          <t>경기도 평택시 산단로 114</t>
        </is>
      </c>
      <c r="G464" s="17" t="inlineStr">
        <is>
          <t>경기도 평택시 산단로 114</t>
        </is>
      </c>
      <c r="H464" s="17" t="inlineStr">
        <is>
          <t>평택</t>
        </is>
      </c>
      <c r="I464" s="23" t="inlineStr">
        <is>
          <t>0150</t>
        </is>
      </c>
      <c r="J464" s="17" t="inlineStr">
        <is>
          <t>1</t>
        </is>
      </c>
      <c r="K464" s="17" t="inlineStr">
        <is>
          <t>완제의약품</t>
        </is>
      </c>
      <c r="L464" s="17" t="inlineStr">
        <is>
          <t>비무균-일반제제-내용고형제(정제, 캡슐제, 과립제, 환제), 비무균-일반제제-내용액제(경구용액제, 현탁제, 엑스제(액상))</t>
        </is>
      </c>
      <c r="M464" s="24" t="n">
        <v>46474</v>
      </c>
      <c r="N464" s="17" t="inlineStr"/>
      <c r="O464" s="17" t="inlineStr"/>
      <c r="P464" s="17" t="inlineStr">
        <is>
          <t>경기도</t>
        </is>
      </c>
      <c r="Q464" s="17" t="inlineStr">
        <is>
          <t>평택시</t>
        </is>
      </c>
      <c r="R464" s="17" t="inlineStr">
        <is>
          <t>GMP공장소재지</t>
        </is>
      </c>
      <c r="S464" s="17" t="n">
        <v>90</v>
      </c>
      <c r="T464" s="17" t="inlineStr">
        <is>
          <t>Y</t>
        </is>
      </c>
      <c r="U464" s="17" t="n">
        <v>1</v>
      </c>
      <c r="V464" s="24" t="n">
        <v>46474</v>
      </c>
      <c r="W464" s="17" t="inlineStr"/>
      <c r="X464" s="17" t="inlineStr">
        <is>
          <t>Y</t>
        </is>
      </c>
      <c r="Y464" s="17" t="inlineStr">
        <is>
          <t>회사키+주소</t>
        </is>
      </c>
      <c r="Z464" s="17" t="n">
        <v>90</v>
      </c>
      <c r="AA464" s="17" t="inlineStr"/>
    </row>
    <row r="465">
      <c r="A465" s="30" t="inlineStr">
        <is>
          <t>S464</t>
        </is>
      </c>
      <c r="B465" s="17" t="inlineStr">
        <is>
          <t>P409</t>
        </is>
      </c>
      <c r="C465" s="17" t="inlineStr">
        <is>
          <t>종근당</t>
        </is>
      </c>
      <c r="D465" s="17" t="inlineStr">
        <is>
          <t>(주)종근당</t>
        </is>
      </c>
      <c r="E465" s="17" t="inlineStr">
        <is>
          <t>충청남도 천안시 서북구 성거읍 망향로 797-48</t>
        </is>
      </c>
      <c r="F465" s="17" t="inlineStr">
        <is>
          <t>충청남도 천안시 서북구 성거읍 망향로 797-48</t>
        </is>
      </c>
      <c r="G465" s="17" t="inlineStr">
        <is>
          <t>충청남도 천안시 서북구 성거읍 망향로 797-48</t>
        </is>
      </c>
      <c r="H465" s="17" t="inlineStr">
        <is>
          <t>천안</t>
        </is>
      </c>
      <c r="I465" s="23" t="inlineStr">
        <is>
          <t>1459</t>
        </is>
      </c>
      <c r="J465" s="17" t="inlineStr">
        <is>
          <t>1</t>
        </is>
      </c>
      <c r="K465" s="17" t="inlineStr">
        <is>
          <t>원료의약품</t>
        </is>
      </c>
      <c r="L465" s="17" t="inlineStr">
        <is>
          <t>비무균-일반제제-과립, 생물-유전자재조합의약품-(배양, 정제, 원액 제조)</t>
        </is>
      </c>
      <c r="M465" s="24" t="n">
        <v>46474</v>
      </c>
      <c r="N465" s="17" t="inlineStr"/>
      <c r="O465" s="17" t="inlineStr"/>
      <c r="P465" s="17" t="inlineStr">
        <is>
          <t>충청남도</t>
        </is>
      </c>
      <c r="Q465" s="17" t="inlineStr">
        <is>
          <t>천안시</t>
        </is>
      </c>
      <c r="R465" s="17" t="inlineStr">
        <is>
          <t>GMP공장소재지</t>
        </is>
      </c>
      <c r="S465" s="17" t="n">
        <v>90</v>
      </c>
      <c r="T465" s="17" t="inlineStr">
        <is>
          <t>Y</t>
        </is>
      </c>
      <c r="U465" s="17" t="n">
        <v>2</v>
      </c>
      <c r="V465" s="24" t="n">
        <v>46474</v>
      </c>
      <c r="W465" s="17" t="inlineStr"/>
      <c r="X465" s="17" t="inlineStr">
        <is>
          <t>Y</t>
        </is>
      </c>
      <c r="Y465" s="17" t="inlineStr">
        <is>
          <t>회사키+주소</t>
        </is>
      </c>
      <c r="Z465" s="17" t="n">
        <v>90</v>
      </c>
      <c r="AA465" s="17" t="inlineStr"/>
    </row>
    <row r="466">
      <c r="A466" s="30" t="inlineStr">
        <is>
          <t>S465</t>
        </is>
      </c>
      <c r="B466" s="17" t="inlineStr">
        <is>
          <t>P409</t>
        </is>
      </c>
      <c r="C466" s="17" t="inlineStr">
        <is>
          <t>종근당</t>
        </is>
      </c>
      <c r="D466" s="17" t="inlineStr">
        <is>
          <t>(주)종근당</t>
        </is>
      </c>
      <c r="E466" s="17" t="inlineStr">
        <is>
          <t>충청남도 천안시 서북구 성거읍 망향로 797-48</t>
        </is>
      </c>
      <c r="F466" s="17" t="inlineStr">
        <is>
          <t>충청남도 천안시 서북구 성거읍 망향로 797-48</t>
        </is>
      </c>
      <c r="G466" s="17" t="inlineStr">
        <is>
          <t>충청남도 천안시 서북구 성거읍 망향로 797-48</t>
        </is>
      </c>
      <c r="H466" s="17" t="inlineStr">
        <is>
          <t>천안</t>
        </is>
      </c>
      <c r="I466" s="23" t="inlineStr">
        <is>
          <t>1459</t>
        </is>
      </c>
      <c r="J466" s="17" t="inlineStr">
        <is>
          <t>1</t>
        </is>
      </c>
      <c r="K466" s="17" t="inlineStr">
        <is>
          <t>완제의약품</t>
        </is>
      </c>
      <c r="L466" s="17" t="inlineStr">
        <is>
          <t>비무균-일반제제-내용고형제(정제, 캡슐제, 산제, 시럽제(고형)), 무균-세포독성항암제제-주사제(주사제, 동결건조주사제), 생물-유전자재조합의약품-주사제(주사제), 무균-일반제제-점안제(점안제), 비무균-일반제제-내용액제(경구용액제, 시럽제(액상), 현탁제)</t>
        </is>
      </c>
      <c r="M466" s="24" t="n">
        <v>46474</v>
      </c>
      <c r="N466" s="17" t="inlineStr">
        <is>
          <t>Y</t>
        </is>
      </c>
      <c r="O466" s="17" t="inlineStr"/>
      <c r="P466" s="17" t="inlineStr">
        <is>
          <t>충청남도</t>
        </is>
      </c>
      <c r="Q466" s="17" t="inlineStr">
        <is>
          <t>천안시</t>
        </is>
      </c>
      <c r="R466" s="17" t="inlineStr">
        <is>
          <t>GMP공장소재지</t>
        </is>
      </c>
      <c r="S466" s="17" t="n">
        <v>90</v>
      </c>
      <c r="T466" s="17" t="inlineStr">
        <is>
          <t>N</t>
        </is>
      </c>
      <c r="U466" s="17" t="n">
        <v>2</v>
      </c>
      <c r="V466" s="24" t="n">
        <v>46474</v>
      </c>
      <c r="W466" s="17" t="inlineStr"/>
      <c r="X466" s="17" t="inlineStr">
        <is>
          <t>Y</t>
        </is>
      </c>
      <c r="Y466" s="17" t="inlineStr">
        <is>
          <t>회사키+주소</t>
        </is>
      </c>
      <c r="Z466" s="17" t="n">
        <v>90</v>
      </c>
      <c r="AA466" s="17" t="inlineStr"/>
    </row>
    <row r="467">
      <c r="A467" s="30" t="inlineStr">
        <is>
          <t>S466</t>
        </is>
      </c>
      <c r="B467" s="17" t="inlineStr">
        <is>
          <t>P410</t>
        </is>
      </c>
      <c r="C467" s="17" t="inlineStr">
        <is>
          <t>오스틴제약</t>
        </is>
      </c>
      <c r="D467" s="17" t="inlineStr">
        <is>
          <t>오스틴제약(주)</t>
        </is>
      </c>
      <c r="E467" s="17" t="inlineStr">
        <is>
          <t>경기도 안산시 단원구 성곡로146번길 20</t>
        </is>
      </c>
      <c r="F467" s="17" t="inlineStr">
        <is>
          <t>경기도 안산시 단원구 성곡로146번길 20</t>
        </is>
      </c>
      <c r="G467" s="17" t="inlineStr">
        <is>
          <t>경기도 안산시 단원구 성곡로146번길 20</t>
        </is>
      </c>
      <c r="H467" s="17" t="inlineStr">
        <is>
          <t>안산</t>
        </is>
      </c>
      <c r="I467" s="23" t="inlineStr">
        <is>
          <t>1376</t>
        </is>
      </c>
      <c r="J467" s="17" t="inlineStr">
        <is>
          <t>1</t>
        </is>
      </c>
      <c r="K467" s="17" t="inlineStr">
        <is>
          <t>완제의약품</t>
        </is>
      </c>
      <c r="L467" s="17" t="inlineStr">
        <is>
          <t>비무균-일반제제-내용고형제(정제, 캡슐제, 과립제), 비무균-일반제제-연고제(연고제, 크림제, 겔제)</t>
        </is>
      </c>
      <c r="M467" s="24" t="n">
        <v>46473</v>
      </c>
      <c r="N467" s="17" t="inlineStr"/>
      <c r="O467" s="17" t="inlineStr"/>
      <c r="P467" s="17" t="inlineStr">
        <is>
          <t>경기도</t>
        </is>
      </c>
      <c r="Q467" s="17" t="inlineStr">
        <is>
          <t>안산시</t>
        </is>
      </c>
      <c r="R467" s="17" t="inlineStr">
        <is>
          <t>GMP공장소재지</t>
        </is>
      </c>
      <c r="S467" s="17" t="n">
        <v>90</v>
      </c>
      <c r="T467" s="17" t="inlineStr">
        <is>
          <t>Y</t>
        </is>
      </c>
      <c r="U467" s="17" t="n">
        <v>1</v>
      </c>
      <c r="V467" s="24" t="n">
        <v>46473</v>
      </c>
      <c r="W467" s="17" t="inlineStr"/>
      <c r="X467" s="17" t="inlineStr">
        <is>
          <t>Y</t>
        </is>
      </c>
      <c r="Y467" s="17" t="inlineStr">
        <is>
          <t>회사키+주소</t>
        </is>
      </c>
      <c r="Z467" s="17" t="n">
        <v>90</v>
      </c>
      <c r="AA467" s="17" t="inlineStr"/>
    </row>
    <row r="468">
      <c r="A468" s="30" t="inlineStr">
        <is>
          <t>S467</t>
        </is>
      </c>
      <c r="B468" s="17" t="inlineStr">
        <is>
          <t>P411</t>
        </is>
      </c>
      <c r="C468" s="17" t="inlineStr">
        <is>
          <t>세종산업가스</t>
        </is>
      </c>
      <c r="D468" s="17" t="inlineStr">
        <is>
          <t>(주)세종산업가스</t>
        </is>
      </c>
      <c r="E468" s="17" t="inlineStr">
        <is>
          <t>세종특별자치시 전동면 운주산로 638</t>
        </is>
      </c>
      <c r="F468" s="17" t="inlineStr">
        <is>
          <t>세종특별자치시 전동면 운주산로 638</t>
        </is>
      </c>
      <c r="G468" s="17" t="inlineStr">
        <is>
          <t>세종특별자치시 전동면 운주산로 638</t>
        </is>
      </c>
      <c r="H468" s="17" t="inlineStr">
        <is>
          <t>세종산업가스</t>
        </is>
      </c>
      <c r="I468" s="23" t="inlineStr">
        <is>
          <t>2643</t>
        </is>
      </c>
      <c r="J468" s="17" t="inlineStr">
        <is>
          <t>1</t>
        </is>
      </c>
      <c r="K468" s="17" t="inlineStr">
        <is>
          <t>완제의약품</t>
        </is>
      </c>
      <c r="L468" s="17" t="inlineStr">
        <is>
          <t>비무균-일반제제(의료용 고압가스)-가스제(의료용 고압가스)</t>
        </is>
      </c>
      <c r="M468" s="24" t="n">
        <v>46473</v>
      </c>
      <c r="N468" s="17" t="inlineStr"/>
      <c r="O468" s="17" t="inlineStr"/>
      <c r="P468" s="17" t="inlineStr">
        <is>
          <t>세종특별자치시</t>
        </is>
      </c>
      <c r="Q468" s="17" t="inlineStr">
        <is>
          <t>세종특별자치시</t>
        </is>
      </c>
      <c r="R468" s="17" t="inlineStr">
        <is>
          <t>GMP공장소재지</t>
        </is>
      </c>
      <c r="S468" s="17" t="n">
        <v>90</v>
      </c>
      <c r="T468" s="17" t="inlineStr">
        <is>
          <t>Y</t>
        </is>
      </c>
      <c r="U468" s="17" t="n">
        <v>1</v>
      </c>
      <c r="V468" s="24" t="n">
        <v>46473</v>
      </c>
      <c r="W468" s="17" t="inlineStr"/>
      <c r="X468" s="17" t="inlineStr">
        <is>
          <t>Y</t>
        </is>
      </c>
      <c r="Y468" s="17" t="inlineStr">
        <is>
          <t>회사키+주소</t>
        </is>
      </c>
      <c r="Z468" s="17" t="n">
        <v>90</v>
      </c>
      <c r="AA468" s="17" t="inlineStr"/>
    </row>
    <row r="469">
      <c r="A469" s="30" t="inlineStr">
        <is>
          <t>S468</t>
        </is>
      </c>
      <c r="B469" s="17" t="inlineStr">
        <is>
          <t>P118</t>
        </is>
      </c>
      <c r="C469" s="17" t="inlineStr">
        <is>
          <t>비알팜</t>
        </is>
      </c>
      <c r="D469" s="17" t="inlineStr">
        <is>
          <t>㈜비알팜</t>
        </is>
      </c>
      <c r="E469" s="17" t="inlineStr">
        <is>
          <t>강원특별자치도 원주시 지정면 신평로 13 1층 일부(보관소), 2층</t>
        </is>
      </c>
      <c r="F469" s="17" t="inlineStr">
        <is>
          <t>강원특별자치도 원주시 지정면 신평로 13 1층 일부(보관소), 2층</t>
        </is>
      </c>
      <c r="G469" s="17" t="inlineStr">
        <is>
          <t>강원특별자치도 원주시 지정면 신평로 13 1층 일부(보관소), 2층</t>
        </is>
      </c>
      <c r="H469" s="17" t="inlineStr">
        <is>
          <t>(주)비알팜</t>
        </is>
      </c>
      <c r="I469" s="23" t="inlineStr">
        <is>
          <t>354</t>
        </is>
      </c>
      <c r="J469" s="17" t="inlineStr">
        <is>
          <t>1</t>
        </is>
      </c>
      <c r="K469" s="17" t="inlineStr">
        <is>
          <t>원료의약품</t>
        </is>
      </c>
      <c r="L469" s="17" t="inlineStr">
        <is>
          <t>비무균-일반제제-추출</t>
        </is>
      </c>
      <c r="M469" s="24" t="n">
        <v>46467</v>
      </c>
      <c r="N469" s="17" t="inlineStr"/>
      <c r="O469" s="17" t="inlineStr"/>
      <c r="P469" s="17" t="inlineStr">
        <is>
          <t>강원특별자치도</t>
        </is>
      </c>
      <c r="Q469" s="17" t="inlineStr">
        <is>
          <t>원주시</t>
        </is>
      </c>
      <c r="R469" s="17" t="inlineStr">
        <is>
          <t>GMP공장소재지</t>
        </is>
      </c>
      <c r="S469" s="17" t="n">
        <v>90</v>
      </c>
      <c r="T469" s="17" t="inlineStr">
        <is>
          <t>N</t>
        </is>
      </c>
      <c r="U469" s="17" t="n">
        <v>2</v>
      </c>
      <c r="V469" s="24" t="n">
        <v>46467</v>
      </c>
      <c r="W469" s="17" t="inlineStr"/>
      <c r="X469" s="17" t="inlineStr">
        <is>
          <t>Y</t>
        </is>
      </c>
      <c r="Y469" s="17" t="inlineStr">
        <is>
          <t>회사키+주소</t>
        </is>
      </c>
      <c r="Z469" s="17" t="n">
        <v>90</v>
      </c>
      <c r="AA469" s="17" t="inlineStr"/>
    </row>
    <row r="470">
      <c r="A470" s="30" t="inlineStr">
        <is>
          <t>S469</t>
        </is>
      </c>
      <c r="B470" s="17" t="inlineStr">
        <is>
          <t>P412</t>
        </is>
      </c>
      <c r="C470" s="17" t="inlineStr">
        <is>
          <t>신일제약</t>
        </is>
      </c>
      <c r="D470" s="17" t="inlineStr">
        <is>
          <t>신일제약(주)</t>
        </is>
      </c>
      <c r="E470" s="17" t="inlineStr">
        <is>
          <t>충청북도 충주시 앙성면 복상골길 28</t>
        </is>
      </c>
      <c r="F470" s="17" t="inlineStr">
        <is>
          <t>충청북도 충주시 앙성면 복상골길 28</t>
        </is>
      </c>
      <c r="G470" s="17" t="inlineStr">
        <is>
          <t>충청북도 충주시 앙성면 복상골길 28</t>
        </is>
      </c>
      <c r="H470" s="17" t="inlineStr">
        <is>
          <t>충주</t>
        </is>
      </c>
      <c r="I470" s="23" t="inlineStr">
        <is>
          <t>1321</t>
        </is>
      </c>
      <c r="J470" s="17" t="inlineStr">
        <is>
          <t>1</t>
        </is>
      </c>
      <c r="K470" s="17" t="inlineStr">
        <is>
          <t>완제의약품</t>
        </is>
      </c>
      <c r="L470" s="17" t="inlineStr">
        <is>
          <t>비무균-일반제제-내용고형제(정제, 캡슐제, 트로키제, 껌제), 비무균-일반제제-연고제(연고제, 크림제, 리니멘트제(액상,반고형), 겔제), 비무균-일반제제-첩부제(첩부제, 경피흡수제)</t>
        </is>
      </c>
      <c r="M470" s="24" t="n">
        <v>46467</v>
      </c>
      <c r="N470" s="17" t="inlineStr"/>
      <c r="O470" s="17" t="inlineStr"/>
      <c r="P470" s="17" t="inlineStr">
        <is>
          <t>충청북도</t>
        </is>
      </c>
      <c r="Q470" s="17" t="inlineStr">
        <is>
          <t>충주시</t>
        </is>
      </c>
      <c r="R470" s="17" t="inlineStr">
        <is>
          <t>GMP공장소재지</t>
        </is>
      </c>
      <c r="S470" s="17" t="n">
        <v>90</v>
      </c>
      <c r="T470" s="17" t="inlineStr">
        <is>
          <t>Y</t>
        </is>
      </c>
      <c r="U470" s="17" t="n">
        <v>1</v>
      </c>
      <c r="V470" s="24" t="n">
        <v>46467</v>
      </c>
      <c r="W470" s="17" t="inlineStr"/>
      <c r="X470" s="17" t="inlineStr">
        <is>
          <t>Y</t>
        </is>
      </c>
      <c r="Y470" s="17" t="inlineStr">
        <is>
          <t>회사키+주소</t>
        </is>
      </c>
      <c r="Z470" s="17" t="n">
        <v>90</v>
      </c>
      <c r="AA470" s="17" t="inlineStr"/>
    </row>
    <row r="471">
      <c r="A471" s="30" t="inlineStr">
        <is>
          <t>S470</t>
        </is>
      </c>
      <c r="B471" s="17" t="inlineStr">
        <is>
          <t>P413</t>
        </is>
      </c>
      <c r="C471" s="17" t="inlineStr">
        <is>
          <t>에스티팜</t>
        </is>
      </c>
      <c r="D471" s="17" t="inlineStr">
        <is>
          <t>에스티팜주식회사</t>
        </is>
      </c>
      <c r="E471" s="17" t="inlineStr">
        <is>
          <t>경기도 안산시 단원구 해안로 171</t>
        </is>
      </c>
      <c r="F471" s="17" t="inlineStr">
        <is>
          <t>경기도 안산시 단원구 해안로 171</t>
        </is>
      </c>
      <c r="G471" s="17" t="inlineStr">
        <is>
          <t>경기도 안산시 단원구 해안로 171</t>
        </is>
      </c>
      <c r="H471" s="17" t="inlineStr">
        <is>
          <t>안산</t>
        </is>
      </c>
      <c r="I471" s="23" t="inlineStr">
        <is>
          <t>1301</t>
        </is>
      </c>
      <c r="J471" s="17" t="inlineStr">
        <is>
          <t>5</t>
        </is>
      </c>
      <c r="K471" s="17" t="inlineStr">
        <is>
          <t>원료의약품</t>
        </is>
      </c>
      <c r="L471" s="17" t="inlineStr">
        <is>
          <t>비무균-일반제제-합성</t>
        </is>
      </c>
      <c r="M471" s="24" t="n">
        <v>46466</v>
      </c>
      <c r="N471" s="17" t="inlineStr"/>
      <c r="O471" s="17" t="inlineStr"/>
      <c r="P471" s="17" t="inlineStr">
        <is>
          <t>경기도</t>
        </is>
      </c>
      <c r="Q471" s="17" t="inlineStr">
        <is>
          <t>안산시</t>
        </is>
      </c>
      <c r="R471" s="17" t="inlineStr">
        <is>
          <t>GMP공장소재지</t>
        </is>
      </c>
      <c r="S471" s="17" t="n">
        <v>90</v>
      </c>
      <c r="T471" s="17" t="inlineStr">
        <is>
          <t>Y</t>
        </is>
      </c>
      <c r="U471" s="17" t="n">
        <v>1</v>
      </c>
      <c r="V471" s="24" t="n">
        <v>46466</v>
      </c>
      <c r="W471" s="17" t="inlineStr"/>
      <c r="X471" s="17" t="inlineStr">
        <is>
          <t>Y</t>
        </is>
      </c>
      <c r="Y471" s="17" t="inlineStr">
        <is>
          <t>회사키+주소</t>
        </is>
      </c>
      <c r="Z471" s="17" t="n">
        <v>90</v>
      </c>
      <c r="AA471" s="17" t="inlineStr"/>
    </row>
    <row r="472">
      <c r="A472" s="30" t="inlineStr">
        <is>
          <t>S471</t>
        </is>
      </c>
      <c r="B472" s="17" t="inlineStr">
        <is>
          <t>P414</t>
        </is>
      </c>
      <c r="C472" s="17" t="inlineStr">
        <is>
          <t>리독스바이오</t>
        </is>
      </c>
      <c r="D472" s="17" t="inlineStr">
        <is>
          <t>(주)리독스바이오</t>
        </is>
      </c>
      <c r="E472" s="17" t="inlineStr">
        <is>
          <t>경기도 화성시 만세구 향남읍 제약공단3길 83</t>
        </is>
      </c>
      <c r="F472" s="17" t="inlineStr">
        <is>
          <t>경기도 화성시 만세구 향남읍 제약공단3길 83</t>
        </is>
      </c>
      <c r="G472" s="17" t="inlineStr">
        <is>
          <t>경기도 화성시 만세구 향남읍 제약공단3길 83</t>
        </is>
      </c>
      <c r="H472" s="17" t="inlineStr">
        <is>
          <t>제1공장</t>
        </is>
      </c>
      <c r="I472" s="23" t="inlineStr">
        <is>
          <t>357</t>
        </is>
      </c>
      <c r="J472" s="17" t="inlineStr">
        <is>
          <t>1</t>
        </is>
      </c>
      <c r="K472" s="17" t="inlineStr">
        <is>
          <t>원료의약품</t>
        </is>
      </c>
      <c r="L472" s="17" t="inlineStr">
        <is>
          <t>비무균-일반제제-합성, 비무균-일반제제-정제(추출에 한함)</t>
        </is>
      </c>
      <c r="M472" s="24" t="n">
        <v>46465</v>
      </c>
      <c r="N472" s="17" t="inlineStr"/>
      <c r="O472" s="17" t="inlineStr"/>
      <c r="P472" s="17" t="inlineStr">
        <is>
          <t>경기도</t>
        </is>
      </c>
      <c r="Q472" s="17" t="inlineStr">
        <is>
          <t>화성시</t>
        </is>
      </c>
      <c r="R472" s="17" t="inlineStr">
        <is>
          <t>GMP공장소재지</t>
        </is>
      </c>
      <c r="S472" s="17" t="n">
        <v>90</v>
      </c>
      <c r="T472" s="17" t="inlineStr">
        <is>
          <t>Y</t>
        </is>
      </c>
      <c r="U472" s="17" t="n">
        <v>1</v>
      </c>
      <c r="V472" s="24" t="n">
        <v>46465</v>
      </c>
      <c r="W472" s="17" t="inlineStr"/>
      <c r="X472" s="17" t="inlineStr">
        <is>
          <t>Y</t>
        </is>
      </c>
      <c r="Y472" s="17" t="inlineStr">
        <is>
          <t>회사키+주소</t>
        </is>
      </c>
      <c r="Z472" s="17" t="n">
        <v>90</v>
      </c>
      <c r="AA472" s="17" t="inlineStr"/>
    </row>
    <row r="473">
      <c r="A473" s="30" t="inlineStr">
        <is>
          <t>S472</t>
        </is>
      </c>
      <c r="B473" s="17" t="inlineStr">
        <is>
          <t>P415</t>
        </is>
      </c>
      <c r="C473" s="17" t="inlineStr">
        <is>
          <t>경진제약</t>
        </is>
      </c>
      <c r="D473" s="17" t="inlineStr">
        <is>
          <t>경진제약(주)</t>
        </is>
      </c>
      <c r="E473" s="17" t="inlineStr">
        <is>
          <t>경기도 이천시 율면 일생로406번길 6</t>
        </is>
      </c>
      <c r="F473" s="17" t="inlineStr">
        <is>
          <t>경기도 이천시 율면 일생로406번길 6</t>
        </is>
      </c>
      <c r="G473" s="17" t="inlineStr">
        <is>
          <t>경기도 이천시 율면 일생로406번길 6</t>
        </is>
      </c>
      <c r="H473" s="17" t="inlineStr">
        <is>
          <t>이천</t>
        </is>
      </c>
      <c r="I473" s="23" t="inlineStr">
        <is>
          <t>1492</t>
        </is>
      </c>
      <c r="J473" s="17" t="inlineStr">
        <is>
          <t>2</t>
        </is>
      </c>
      <c r="K473" s="17" t="inlineStr">
        <is>
          <t>완제의약품</t>
        </is>
      </c>
      <c r="L473" s="17" t="inlineStr">
        <is>
          <t>비무균-일반제제-내용고형제(정제, 캡슐제, 산제, 과립제, 환제), 비무균-일반제제-내용액제(경구용액제)</t>
        </is>
      </c>
      <c r="M473" s="24" t="n">
        <v>46460</v>
      </c>
      <c r="N473" s="17" t="inlineStr"/>
      <c r="O473" s="17" t="inlineStr"/>
      <c r="P473" s="17" t="inlineStr">
        <is>
          <t>경기도</t>
        </is>
      </c>
      <c r="Q473" s="17" t="inlineStr">
        <is>
          <t>이천시</t>
        </is>
      </c>
      <c r="R473" s="17" t="inlineStr">
        <is>
          <t>GMP공장소재지</t>
        </is>
      </c>
      <c r="S473" s="17" t="n">
        <v>90</v>
      </c>
      <c r="T473" s="17" t="inlineStr">
        <is>
          <t>Y</t>
        </is>
      </c>
      <c r="U473" s="17" t="n">
        <v>1</v>
      </c>
      <c r="V473" s="24" t="n">
        <v>46460</v>
      </c>
      <c r="W473" s="17" t="inlineStr"/>
      <c r="X473" s="17" t="inlineStr">
        <is>
          <t>Y</t>
        </is>
      </c>
      <c r="Y473" s="17" t="inlineStr">
        <is>
          <t>회사키+주소</t>
        </is>
      </c>
      <c r="Z473" s="17" t="n">
        <v>90</v>
      </c>
      <c r="AA473" s="17" t="inlineStr"/>
    </row>
    <row r="474">
      <c r="A474" s="30" t="inlineStr">
        <is>
          <t>S473</t>
        </is>
      </c>
      <c r="B474" s="17" t="inlineStr">
        <is>
          <t>P416</t>
        </is>
      </c>
      <c r="C474" s="17" t="inlineStr">
        <is>
          <t>고려제약</t>
        </is>
      </c>
      <c r="D474" s="17" t="inlineStr">
        <is>
          <t>고려제약(주)</t>
        </is>
      </c>
      <c r="E474" s="17" t="inlineStr">
        <is>
          <t>경기도 이천시 신둔면 원적로 69-10</t>
        </is>
      </c>
      <c r="F474" s="17" t="inlineStr">
        <is>
          <t>경기도 이천시 신둔면 원적로 69-10</t>
        </is>
      </c>
      <c r="G474" s="17" t="inlineStr">
        <is>
          <t>경기도 이천시 신둔면 원적로 69-10</t>
        </is>
      </c>
      <c r="H474" s="17" t="inlineStr">
        <is>
          <t>이천</t>
        </is>
      </c>
      <c r="I474" s="23" t="inlineStr">
        <is>
          <t>1554</t>
        </is>
      </c>
      <c r="J474" s="17" t="inlineStr">
        <is>
          <t>1</t>
        </is>
      </c>
      <c r="K474" s="17" t="inlineStr">
        <is>
          <t>완제의약품</t>
        </is>
      </c>
      <c r="L474" s="17" t="inlineStr">
        <is>
          <t>비무균-일반제제-내용고형제(정제, 캡슐제, 구강붕해정, 츄어블정(저작정)), 비무균-일반제제-내용액제(경구용액제)</t>
        </is>
      </c>
      <c r="M474" s="24" t="n">
        <v>46460</v>
      </c>
      <c r="N474" s="17" t="inlineStr"/>
      <c r="O474" s="17" t="inlineStr"/>
      <c r="P474" s="17" t="inlineStr">
        <is>
          <t>경기도</t>
        </is>
      </c>
      <c r="Q474" s="17" t="inlineStr">
        <is>
          <t>이천시</t>
        </is>
      </c>
      <c r="R474" s="17" t="inlineStr">
        <is>
          <t>GMP공장소재지</t>
        </is>
      </c>
      <c r="S474" s="17" t="n">
        <v>90</v>
      </c>
      <c r="T474" s="17" t="inlineStr">
        <is>
          <t>Y</t>
        </is>
      </c>
      <c r="U474" s="17" t="n">
        <v>1</v>
      </c>
      <c r="V474" s="24" t="n">
        <v>46460</v>
      </c>
      <c r="W474" s="17" t="inlineStr"/>
      <c r="X474" s="17" t="inlineStr">
        <is>
          <t>Y</t>
        </is>
      </c>
      <c r="Y474" s="17" t="inlineStr">
        <is>
          <t>회사키+주소</t>
        </is>
      </c>
      <c r="Z474" s="17" t="n">
        <v>90</v>
      </c>
      <c r="AA474" s="17" t="inlineStr"/>
    </row>
    <row r="475">
      <c r="A475" s="30" t="inlineStr">
        <is>
          <t>S474</t>
        </is>
      </c>
      <c r="B475" s="17" t="inlineStr">
        <is>
          <t>P417</t>
        </is>
      </c>
      <c r="C475" s="17" t="inlineStr">
        <is>
          <t>유니메드제약</t>
        </is>
      </c>
      <c r="D475" s="17" t="inlineStr">
        <is>
          <t>유니메드제약(주)</t>
        </is>
      </c>
      <c r="E475" s="17" t="inlineStr">
        <is>
          <t>충청북도 청주시 흥덕구 오송읍 오송생명6로 132</t>
        </is>
      </c>
      <c r="F475" s="17" t="inlineStr">
        <is>
          <t>충청북도 청주시 흥덕구 오송읍 오송생명6로 132</t>
        </is>
      </c>
      <c r="G475" s="17" t="inlineStr">
        <is>
          <t>충청북도 청주시 흥덕구 오송읍 오송생명6로 132</t>
        </is>
      </c>
      <c r="H475" s="17" t="inlineStr">
        <is>
          <t>오송공장</t>
        </is>
      </c>
      <c r="I475" s="23" t="inlineStr">
        <is>
          <t>1729</t>
        </is>
      </c>
      <c r="J475" s="17" t="inlineStr">
        <is>
          <t>2</t>
        </is>
      </c>
      <c r="K475" s="17" t="inlineStr">
        <is>
          <t>완제의약품</t>
        </is>
      </c>
      <c r="L475" s="17" t="inlineStr">
        <is>
          <t>무균-일반제제-주사제(주사제), 무균-일반제제-점안제(점안제), 비무균-일반제제-내용액제(경구용액제)</t>
        </is>
      </c>
      <c r="M475" s="24" t="n">
        <v>46458</v>
      </c>
      <c r="N475" s="17" t="inlineStr">
        <is>
          <t>Y</t>
        </is>
      </c>
      <c r="O475" s="17" t="inlineStr"/>
      <c r="P475" s="17" t="inlineStr">
        <is>
          <t>충청북도</t>
        </is>
      </c>
      <c r="Q475" s="17" t="inlineStr">
        <is>
          <t>청주시</t>
        </is>
      </c>
      <c r="R475" s="17" t="inlineStr">
        <is>
          <t>GMP공장소재지</t>
        </is>
      </c>
      <c r="S475" s="17" t="n">
        <v>90</v>
      </c>
      <c r="T475" s="17" t="inlineStr">
        <is>
          <t>Y</t>
        </is>
      </c>
      <c r="U475" s="17" t="n">
        <v>1</v>
      </c>
      <c r="V475" s="24" t="n">
        <v>46458</v>
      </c>
      <c r="W475" s="17" t="inlineStr"/>
      <c r="X475" s="17" t="inlineStr">
        <is>
          <t>Y</t>
        </is>
      </c>
      <c r="Y475" s="17" t="inlineStr">
        <is>
          <t>회사키+주소</t>
        </is>
      </c>
      <c r="Z475" s="17" t="n">
        <v>90</v>
      </c>
      <c r="AA475" s="17" t="inlineStr"/>
    </row>
    <row r="476">
      <c r="A476" s="30" t="inlineStr">
        <is>
          <t>S475</t>
        </is>
      </c>
      <c r="B476" s="17" t="inlineStr">
        <is>
          <t>P418</t>
        </is>
      </c>
      <c r="C476" s="17" t="inlineStr">
        <is>
          <t>태경케미컬</t>
        </is>
      </c>
      <c r="D476" s="17" t="inlineStr">
        <is>
          <t>태경케미컬(주)</t>
        </is>
      </c>
      <c r="E476" s="17" t="inlineStr">
        <is>
          <t>충청남도 서산시 대산읍 독곶2로 96-43</t>
        </is>
      </c>
      <c r="F476" s="17" t="inlineStr">
        <is>
          <t>충청남도 서산시 대산읍 독곶2로 96-43</t>
        </is>
      </c>
      <c r="G476" s="17" t="inlineStr">
        <is>
          <t>충청남도 서산시 대산읍 독곶2로 96-43</t>
        </is>
      </c>
      <c r="H476" s="17" t="inlineStr">
        <is>
          <t>1공장</t>
        </is>
      </c>
      <c r="I476" s="23" t="inlineStr">
        <is>
          <t>2644</t>
        </is>
      </c>
      <c r="J476" s="17" t="inlineStr">
        <is>
          <t>1</t>
        </is>
      </c>
      <c r="K476" s="17" t="inlineStr">
        <is>
          <t>완제의약품</t>
        </is>
      </c>
      <c r="L476" s="17" t="inlineStr">
        <is>
          <t>비무균-일반제제(의료용 고압가스)-가스제(의료용 고압가스)</t>
        </is>
      </c>
      <c r="M476" s="24" t="n">
        <v>46458</v>
      </c>
      <c r="N476" s="17" t="inlineStr"/>
      <c r="O476" s="17" t="inlineStr"/>
      <c r="P476" s="17" t="inlineStr">
        <is>
          <t>충청남도</t>
        </is>
      </c>
      <c r="Q476" s="17" t="inlineStr">
        <is>
          <t>서산시</t>
        </is>
      </c>
      <c r="R476" s="17" t="inlineStr">
        <is>
          <t>GMP공장소재지</t>
        </is>
      </c>
      <c r="S476" s="17" t="n">
        <v>90</v>
      </c>
      <c r="T476" s="17" t="inlineStr">
        <is>
          <t>Y</t>
        </is>
      </c>
      <c r="U476" s="17" t="n">
        <v>1</v>
      </c>
      <c r="V476" s="24" t="n">
        <v>46458</v>
      </c>
      <c r="W476" s="17" t="inlineStr"/>
      <c r="X476" s="17" t="inlineStr">
        <is>
          <t>Y</t>
        </is>
      </c>
      <c r="Y476" s="17" t="inlineStr">
        <is>
          <t>회사키+주소</t>
        </is>
      </c>
      <c r="Z476" s="17" t="n">
        <v>90</v>
      </c>
      <c r="AA476" s="17" t="inlineStr"/>
    </row>
    <row r="477">
      <c r="A477" s="30" t="inlineStr">
        <is>
          <t>S476</t>
        </is>
      </c>
      <c r="B477" s="17" t="inlineStr">
        <is>
          <t>P419</t>
        </is>
      </c>
      <c r="C477" s="17" t="inlineStr">
        <is>
          <t>와이에스생명과학</t>
        </is>
      </c>
      <c r="D477" s="17" t="inlineStr">
        <is>
          <t>(주)와이에스생명과학</t>
        </is>
      </c>
      <c r="E477" s="17" t="inlineStr">
        <is>
          <t>경기도 이천시 모가면 공원로 133-1</t>
        </is>
      </c>
      <c r="F477" s="17" t="inlineStr">
        <is>
          <t>경기도 이천시 모가면 공원로 133-1</t>
        </is>
      </c>
      <c r="G477" s="17" t="inlineStr">
        <is>
          <t>경기도 이천시 모가면 공원로 133-1</t>
        </is>
      </c>
      <c r="H477" s="17" t="inlineStr">
        <is>
          <t>이천</t>
        </is>
      </c>
      <c r="I477" s="23" t="inlineStr">
        <is>
          <t>2247</t>
        </is>
      </c>
      <c r="J477" s="17" t="inlineStr">
        <is>
          <t>3</t>
        </is>
      </c>
      <c r="K477" s="17" t="inlineStr">
        <is>
          <t>완제의약품</t>
        </is>
      </c>
      <c r="L477" s="17" t="inlineStr">
        <is>
          <t>비무균-일반제제-내용고형제(정제)</t>
        </is>
      </c>
      <c r="M477" s="24" t="n">
        <v>46456</v>
      </c>
      <c r="N477" s="17" t="inlineStr"/>
      <c r="O477" s="17" t="inlineStr"/>
      <c r="P477" s="17" t="inlineStr">
        <is>
          <t>경기도</t>
        </is>
      </c>
      <c r="Q477" s="17" t="inlineStr">
        <is>
          <t>이천시</t>
        </is>
      </c>
      <c r="R477" s="17" t="inlineStr">
        <is>
          <t>GMP공장소재지</t>
        </is>
      </c>
      <c r="S477" s="17" t="n">
        <v>90</v>
      </c>
      <c r="T477" s="17" t="inlineStr">
        <is>
          <t>Y</t>
        </is>
      </c>
      <c r="U477" s="17" t="n">
        <v>1</v>
      </c>
      <c r="V477" s="24" t="n">
        <v>46456</v>
      </c>
      <c r="W477" s="17" t="inlineStr"/>
      <c r="X477" s="17" t="inlineStr">
        <is>
          <t>Y</t>
        </is>
      </c>
      <c r="Y477" s="17" t="inlineStr">
        <is>
          <t>회사키+주소</t>
        </is>
      </c>
      <c r="Z477" s="17" t="n">
        <v>90</v>
      </c>
      <c r="AA477" s="17" t="inlineStr"/>
    </row>
    <row r="478">
      <c r="A478" s="30" t="inlineStr">
        <is>
          <t>S477</t>
        </is>
      </c>
      <c r="B478" s="17" t="inlineStr">
        <is>
          <t>P420</t>
        </is>
      </c>
      <c r="C478" s="17" t="inlineStr">
        <is>
          <t>대봉엘에스</t>
        </is>
      </c>
      <c r="D478" s="17" t="inlineStr">
        <is>
          <t>대봉엘에스(주)</t>
        </is>
      </c>
      <c r="E478" s="17" t="inlineStr">
        <is>
          <t>인천광역시 남동구 능허대로649번길 123 122B-9L</t>
        </is>
      </c>
      <c r="F478" s="17" t="inlineStr">
        <is>
          <t>인천광역시 남동구 능허대로649번길 123 122B-9L</t>
        </is>
      </c>
      <c r="G478" s="17" t="inlineStr">
        <is>
          <t>인천광역시 남동구 능허대로649번길 123 122B-9L</t>
        </is>
      </c>
      <c r="H478" s="17" t="inlineStr">
        <is>
          <t>인천</t>
        </is>
      </c>
      <c r="I478" s="23" t="inlineStr">
        <is>
          <t>1867</t>
        </is>
      </c>
      <c r="J478" s="17" t="inlineStr">
        <is>
          <t>1</t>
        </is>
      </c>
      <c r="K478" s="17" t="inlineStr">
        <is>
          <t>원료의약품</t>
        </is>
      </c>
      <c r="L478" s="17" t="inlineStr">
        <is>
          <t>비무균-일반제제-합성, 비무균-일반제제-(정제(합성에 한함), 정제(발효에 한함), 정제(추출에 한함)), 비무균-일반제제-소분</t>
        </is>
      </c>
      <c r="M478" s="24" t="n">
        <v>46453</v>
      </c>
      <c r="N478" s="17" t="inlineStr"/>
      <c r="O478" s="17" t="inlineStr"/>
      <c r="P478" s="17" t="inlineStr">
        <is>
          <t>인천광역시</t>
        </is>
      </c>
      <c r="Q478" s="17" t="inlineStr">
        <is>
          <t>남동구</t>
        </is>
      </c>
      <c r="R478" s="17" t="inlineStr">
        <is>
          <t>GMP공장소재지</t>
        </is>
      </c>
      <c r="S478" s="17" t="n">
        <v>90</v>
      </c>
      <c r="T478" s="17" t="inlineStr">
        <is>
          <t>Y</t>
        </is>
      </c>
      <c r="U478" s="17" t="n">
        <v>1</v>
      </c>
      <c r="V478" s="24" t="n">
        <v>46453</v>
      </c>
      <c r="W478" s="17" t="inlineStr"/>
      <c r="X478" s="17" t="inlineStr">
        <is>
          <t>Y</t>
        </is>
      </c>
      <c r="Y478" s="17" t="inlineStr">
        <is>
          <t>회사키+주소</t>
        </is>
      </c>
      <c r="Z478" s="17" t="n">
        <v>90</v>
      </c>
      <c r="AA478" s="17" t="inlineStr"/>
    </row>
    <row r="479">
      <c r="A479" s="30" t="inlineStr">
        <is>
          <t>S478</t>
        </is>
      </c>
      <c r="B479" s="17" t="inlineStr">
        <is>
          <t>P421</t>
        </is>
      </c>
      <c r="C479" s="17" t="inlineStr">
        <is>
          <t>코스맥스파마</t>
        </is>
      </c>
      <c r="D479" s="17" t="inlineStr">
        <is>
          <t>코스맥스파마(주)</t>
        </is>
      </c>
      <c r="E479" s="17" t="inlineStr">
        <is>
          <t>충청북도 제천시 바이오밸리3로 30 일부</t>
        </is>
      </c>
      <c r="F479" s="17" t="inlineStr">
        <is>
          <t>충청북도 제천시 바이오밸리3로 30 일부</t>
        </is>
      </c>
      <c r="G479" s="17" t="inlineStr">
        <is>
          <t>충청북도 제천시 바이오밸리3로 30 일부</t>
        </is>
      </c>
      <c r="H479" s="17" t="inlineStr">
        <is>
          <t>2공장</t>
        </is>
      </c>
      <c r="I479" s="23" t="inlineStr">
        <is>
          <t>2638</t>
        </is>
      </c>
      <c r="J479" s="17" t="inlineStr">
        <is>
          <t>2</t>
        </is>
      </c>
      <c r="K479" s="17" t="inlineStr">
        <is>
          <t>완제의약품</t>
        </is>
      </c>
      <c r="L479" s="17" t="inlineStr">
        <is>
          <t>비무균-일반제제-내용고형제(캡슐제)</t>
        </is>
      </c>
      <c r="M479" s="24" t="n">
        <v>46452</v>
      </c>
      <c r="N479" s="17" t="inlineStr"/>
      <c r="O479" s="17" t="inlineStr"/>
      <c r="P479" s="17" t="inlineStr">
        <is>
          <t>충청북도</t>
        </is>
      </c>
      <c r="Q479" s="17" t="inlineStr">
        <is>
          <t>제천시</t>
        </is>
      </c>
      <c r="R479" s="17" t="inlineStr">
        <is>
          <t>GMP공장소재지</t>
        </is>
      </c>
      <c r="S479" s="17" t="n">
        <v>90</v>
      </c>
      <c r="T479" s="17" t="inlineStr">
        <is>
          <t>Y</t>
        </is>
      </c>
      <c r="U479" s="17" t="n">
        <v>1</v>
      </c>
      <c r="V479" s="24" t="n">
        <v>46452</v>
      </c>
      <c r="W479" s="17" t="inlineStr"/>
      <c r="X479" s="17" t="inlineStr">
        <is>
          <t>Y</t>
        </is>
      </c>
      <c r="Y479" s="17" t="inlineStr">
        <is>
          <t>회사키+주소</t>
        </is>
      </c>
      <c r="Z479" s="17" t="n">
        <v>90</v>
      </c>
      <c r="AA479" s="17" t="inlineStr"/>
    </row>
    <row r="480">
      <c r="A480" s="30" t="inlineStr">
        <is>
          <t>S479</t>
        </is>
      </c>
      <c r="B480" s="17" t="inlineStr">
        <is>
          <t>P422</t>
        </is>
      </c>
      <c r="C480" s="17" t="inlineStr">
        <is>
          <t>에스케이에어플러스</t>
        </is>
      </c>
      <c r="D480" s="17" t="inlineStr">
        <is>
          <t>에스케이에어플러스 주식회사</t>
        </is>
      </c>
      <c r="E480" s="17" t="inlineStr">
        <is>
          <t>울산광역시 남구 처용로 72</t>
        </is>
      </c>
      <c r="F480" s="17" t="inlineStr">
        <is>
          <t>울산광역시 남구 처용로 72</t>
        </is>
      </c>
      <c r="G480" s="17" t="inlineStr">
        <is>
          <t>울산광역시 남구 처용로 72</t>
        </is>
      </c>
      <c r="H480" s="17" t="inlineStr">
        <is>
          <t>2공장</t>
        </is>
      </c>
      <c r="I480" s="23" t="inlineStr">
        <is>
          <t>502</t>
        </is>
      </c>
      <c r="J480" s="17" t="inlineStr">
        <is>
          <t>2</t>
        </is>
      </c>
      <c r="K480" s="17" t="inlineStr">
        <is>
          <t>완제의약품</t>
        </is>
      </c>
      <c r="L480" s="17" t="inlineStr">
        <is>
          <t>비무균-일반제제(의료용 고압가스)-가스제(의료용 고압가스)</t>
        </is>
      </c>
      <c r="M480" s="24" t="n">
        <v>46452</v>
      </c>
      <c r="N480" s="17" t="inlineStr"/>
      <c r="O480" s="17" t="inlineStr"/>
      <c r="P480" s="17" t="inlineStr">
        <is>
          <t>울산광역시</t>
        </is>
      </c>
      <c r="Q480" s="17" t="inlineStr">
        <is>
          <t>남구</t>
        </is>
      </c>
      <c r="R480" s="17" t="inlineStr">
        <is>
          <t>GMP공장소재지</t>
        </is>
      </c>
      <c r="S480" s="17" t="n">
        <v>90</v>
      </c>
      <c r="T480" s="17" t="inlineStr">
        <is>
          <t>Y</t>
        </is>
      </c>
      <c r="U480" s="17" t="n">
        <v>1</v>
      </c>
      <c r="V480" s="24" t="n">
        <v>46452</v>
      </c>
      <c r="W480" s="17" t="inlineStr"/>
      <c r="X480" s="17" t="inlineStr">
        <is>
          <t>Y</t>
        </is>
      </c>
      <c r="Y480" s="17" t="inlineStr">
        <is>
          <t>회사키+주소</t>
        </is>
      </c>
      <c r="Z480" s="17" t="n">
        <v>90</v>
      </c>
      <c r="AA480" s="17" t="inlineStr"/>
    </row>
    <row r="481">
      <c r="A481" s="30" t="inlineStr">
        <is>
          <t>S480</t>
        </is>
      </c>
      <c r="B481" s="17" t="inlineStr">
        <is>
          <t>P423</t>
        </is>
      </c>
      <c r="C481" s="17" t="inlineStr">
        <is>
          <t>테고사이언스</t>
        </is>
      </c>
      <c r="D481" s="17" t="inlineStr">
        <is>
          <t>테고사이언스(주)</t>
        </is>
      </c>
      <c r="E481" s="17" t="inlineStr">
        <is>
          <t>서울특별시 강서구 마곡중앙8로 93</t>
        </is>
      </c>
      <c r="F481" s="17" t="inlineStr">
        <is>
          <t>서울특별시 강서구 마곡중앙8로 93 , 지하2층, 1층, 3층</t>
        </is>
      </c>
      <c r="G481" s="17" t="inlineStr">
        <is>
          <t>서울특별시 강서구 마곡중앙8로 93</t>
        </is>
      </c>
      <c r="H481" s="17" t="inlineStr">
        <is>
          <t>제2공장</t>
        </is>
      </c>
      <c r="I481" s="23" t="inlineStr">
        <is>
          <t>2353</t>
        </is>
      </c>
      <c r="J481" s="17" t="inlineStr">
        <is>
          <t>2</t>
        </is>
      </c>
      <c r="K481" s="17" t="inlineStr">
        <is>
          <t>완제의약품</t>
        </is>
      </c>
      <c r="L481" s="17" t="inlineStr">
        <is>
          <t>생물-세포치료제-주사제(첨단바이오의약품)(주사제), 생물-세포치료제-첩부제(첨단바이오의약품)(카타플라스마제)</t>
        </is>
      </c>
      <c r="M481" s="24" t="n">
        <v>46452</v>
      </c>
      <c r="N481" s="17" t="inlineStr">
        <is>
          <t>Y</t>
        </is>
      </c>
      <c r="O481" s="17" t="inlineStr">
        <is>
          <t>Y</t>
        </is>
      </c>
      <c r="P481" s="17" t="inlineStr">
        <is>
          <t>서울특별시</t>
        </is>
      </c>
      <c r="Q481" s="17" t="inlineStr">
        <is>
          <t>강서구</t>
        </is>
      </c>
      <c r="R481" s="17" t="inlineStr">
        <is>
          <t>GMP공장소재지</t>
        </is>
      </c>
      <c r="S481" s="17" t="n">
        <v>90</v>
      </c>
      <c r="T481" s="17" t="inlineStr">
        <is>
          <t>Y</t>
        </is>
      </c>
      <c r="U481" s="17" t="n">
        <v>1</v>
      </c>
      <c r="V481" s="24" t="n">
        <v>46452</v>
      </c>
      <c r="W481" s="17" t="inlineStr"/>
      <c r="X481" s="17" t="inlineStr">
        <is>
          <t>Y</t>
        </is>
      </c>
      <c r="Y481" s="17" t="inlineStr">
        <is>
          <t>회사키+주소</t>
        </is>
      </c>
      <c r="Z481" s="17" t="n">
        <v>90</v>
      </c>
      <c r="AA481" s="17" t="inlineStr"/>
    </row>
    <row r="482">
      <c r="A482" s="30" t="inlineStr">
        <is>
          <t>S481</t>
        </is>
      </c>
      <c r="B482" s="17" t="inlineStr">
        <is>
          <t>P424</t>
        </is>
      </c>
      <c r="C482" s="17" t="inlineStr">
        <is>
          <t>코오롱제약</t>
        </is>
      </c>
      <c r="D482" s="17" t="inlineStr">
        <is>
          <t>코오롱제약(주)</t>
        </is>
      </c>
      <c r="E482" s="17" t="inlineStr">
        <is>
          <t>대전광역시 대덕구 문평서로18번길 45</t>
        </is>
      </c>
      <c r="F482" s="17" t="inlineStr">
        <is>
          <t>대전광역시 대덕구 문평서로18번길 45</t>
        </is>
      </c>
      <c r="G482" s="17" t="inlineStr">
        <is>
          <t>대전광역시 대덕구 문평서로18번길 45</t>
        </is>
      </c>
      <c r="H482" s="17" t="inlineStr">
        <is>
          <t>대전</t>
        </is>
      </c>
      <c r="I482" s="23" t="inlineStr">
        <is>
          <t>1472</t>
        </is>
      </c>
      <c r="J482" s="17" t="inlineStr">
        <is>
          <t>1</t>
        </is>
      </c>
      <c r="K482" s="17" t="inlineStr">
        <is>
          <t>완제의약품</t>
        </is>
      </c>
      <c r="L482" s="17" t="inlineStr">
        <is>
          <t>비무균-일반제제-내용고형제(정제, 캡슐제, 과립제, 시럽제(고형)), 비무균-일반제제-내용액제(시럽제(액상), 현탁제)</t>
        </is>
      </c>
      <c r="M482" s="24" t="n">
        <v>46446</v>
      </c>
      <c r="N482" s="17" t="inlineStr"/>
      <c r="O482" s="17" t="inlineStr"/>
      <c r="P482" s="17" t="inlineStr">
        <is>
          <t>대전광역시</t>
        </is>
      </c>
      <c r="Q482" s="17" t="inlineStr">
        <is>
          <t>대덕구</t>
        </is>
      </c>
      <c r="R482" s="17" t="inlineStr">
        <is>
          <t>GMP공장소재지</t>
        </is>
      </c>
      <c r="S482" s="17" t="n">
        <v>90</v>
      </c>
      <c r="T482" s="17" t="inlineStr">
        <is>
          <t>Y</t>
        </is>
      </c>
      <c r="U482" s="17" t="n">
        <v>1</v>
      </c>
      <c r="V482" s="24" t="n">
        <v>46446</v>
      </c>
      <c r="W482" s="17" t="inlineStr"/>
      <c r="X482" s="17" t="inlineStr">
        <is>
          <t>Y</t>
        </is>
      </c>
      <c r="Y482" s="17" t="inlineStr">
        <is>
          <t>회사키+주소</t>
        </is>
      </c>
      <c r="Z482" s="17" t="n">
        <v>90</v>
      </c>
      <c r="AA482" s="17" t="inlineStr"/>
    </row>
    <row r="483">
      <c r="A483" s="30" t="inlineStr">
        <is>
          <t>S482</t>
        </is>
      </c>
      <c r="B483" s="17" t="inlineStr">
        <is>
          <t>P425</t>
        </is>
      </c>
      <c r="C483" s="17" t="inlineStr">
        <is>
          <t>지엘파마</t>
        </is>
      </c>
      <c r="D483" s="17" t="inlineStr">
        <is>
          <t>지엘파마(주)</t>
        </is>
      </c>
      <c r="E483" s="17" t="inlineStr">
        <is>
          <t>경기도 안양시 만안구 시민대로 35</t>
        </is>
      </c>
      <c r="F483" s="17" t="inlineStr">
        <is>
          <t>경기도 안양시 만안구 시민대로 35</t>
        </is>
      </c>
      <c r="G483" s="17" t="inlineStr">
        <is>
          <t>경기도 안양시 만안구 시민대로 35</t>
        </is>
      </c>
      <c r="H483" s="17" t="inlineStr">
        <is>
          <t>안양</t>
        </is>
      </c>
      <c r="I483" s="23" t="inlineStr">
        <is>
          <t>1475</t>
        </is>
      </c>
      <c r="J483" s="17" t="inlineStr">
        <is>
          <t>1</t>
        </is>
      </c>
      <c r="K483" s="17" t="inlineStr">
        <is>
          <t>완제의약품</t>
        </is>
      </c>
      <c r="L483" s="17" t="inlineStr">
        <is>
          <t>비무균-일반제제-내용고형제(정제, 캡슐제, 과립제), 비무균-성호르몬제-내용고형제(정제)</t>
        </is>
      </c>
      <c r="M483" s="24" t="n">
        <v>46445</v>
      </c>
      <c r="N483" s="17" t="inlineStr"/>
      <c r="O483" s="17" t="inlineStr"/>
      <c r="P483" s="17" t="inlineStr">
        <is>
          <t>경기도</t>
        </is>
      </c>
      <c r="Q483" s="17" t="inlineStr">
        <is>
          <t>안양시</t>
        </is>
      </c>
      <c r="R483" s="17" t="inlineStr">
        <is>
          <t>GMP공장소재지</t>
        </is>
      </c>
      <c r="S483" s="17" t="n">
        <v>90</v>
      </c>
      <c r="T483" s="17" t="inlineStr">
        <is>
          <t>Y</t>
        </is>
      </c>
      <c r="U483" s="17" t="n">
        <v>1</v>
      </c>
      <c r="V483" s="24" t="n">
        <v>46445</v>
      </c>
      <c r="W483" s="17" t="inlineStr"/>
      <c r="X483" s="17" t="inlineStr">
        <is>
          <t>Y</t>
        </is>
      </c>
      <c r="Y483" s="17" t="inlineStr">
        <is>
          <t>회사키+주소</t>
        </is>
      </c>
      <c r="Z483" s="17" t="n">
        <v>90</v>
      </c>
      <c r="AA483" s="17" t="inlineStr"/>
    </row>
    <row r="484">
      <c r="A484" s="30" t="inlineStr">
        <is>
          <t>S483</t>
        </is>
      </c>
      <c r="B484" s="17" t="inlineStr">
        <is>
          <t>P426</t>
        </is>
      </c>
      <c r="C484" s="17" t="inlineStr">
        <is>
          <t>우진비앤지</t>
        </is>
      </c>
      <c r="D484" s="17" t="inlineStr">
        <is>
          <t>우진비앤지(주)</t>
        </is>
      </c>
      <c r="E484" s="17" t="inlineStr">
        <is>
          <t>경기도 화성시 양감면 정문송산로 230</t>
        </is>
      </c>
      <c r="F484" s="17" t="inlineStr">
        <is>
          <t>경기도 화성시 양감면 정문송산로 230</t>
        </is>
      </c>
      <c r="G484" s="17" t="inlineStr">
        <is>
          <t>경기도 화성시 양감면 정문송산로 230</t>
        </is>
      </c>
      <c r="H484" s="17" t="inlineStr">
        <is>
          <t>화성</t>
        </is>
      </c>
      <c r="I484" s="23" t="inlineStr">
        <is>
          <t>2571</t>
        </is>
      </c>
      <c r="J484" s="17" t="inlineStr">
        <is>
          <t>1</t>
        </is>
      </c>
      <c r="K484" s="17" t="inlineStr">
        <is>
          <t>원료의약품</t>
        </is>
      </c>
      <c r="L484" s="17" t="inlineStr">
        <is>
          <t>비무균-일반제제-발효</t>
        </is>
      </c>
      <c r="M484" s="24" t="n">
        <v>46445</v>
      </c>
      <c r="N484" s="17" t="inlineStr"/>
      <c r="O484" s="17" t="inlineStr"/>
      <c r="P484" s="17" t="inlineStr">
        <is>
          <t>경기도</t>
        </is>
      </c>
      <c r="Q484" s="17" t="inlineStr">
        <is>
          <t>화성시</t>
        </is>
      </c>
      <c r="R484" s="17" t="inlineStr">
        <is>
          <t>GMP공장소재지</t>
        </is>
      </c>
      <c r="S484" s="17" t="n">
        <v>90</v>
      </c>
      <c r="T484" s="17" t="inlineStr">
        <is>
          <t>Y</t>
        </is>
      </c>
      <c r="U484" s="17" t="n">
        <v>1</v>
      </c>
      <c r="V484" s="24" t="n">
        <v>46445</v>
      </c>
      <c r="W484" s="17" t="inlineStr"/>
      <c r="X484" s="17" t="inlineStr">
        <is>
          <t>Y</t>
        </is>
      </c>
      <c r="Y484" s="17" t="inlineStr">
        <is>
          <t>회사키+주소</t>
        </is>
      </c>
      <c r="Z484" s="17" t="n">
        <v>90</v>
      </c>
      <c r="AA484" s="17" t="inlineStr"/>
    </row>
    <row r="485">
      <c r="A485" s="30" t="inlineStr">
        <is>
          <t>S484</t>
        </is>
      </c>
      <c r="B485" s="17" t="inlineStr">
        <is>
          <t>P427</t>
        </is>
      </c>
      <c r="C485" s="17" t="inlineStr">
        <is>
          <t>녹십자</t>
        </is>
      </c>
      <c r="D485" s="17" t="inlineStr">
        <is>
          <t>(주)녹십자</t>
        </is>
      </c>
      <c r="E485" s="17" t="inlineStr">
        <is>
          <t>충청북도 음성군 금왕읍 무극로65번길 26</t>
        </is>
      </c>
      <c r="F485" s="17" t="inlineStr">
        <is>
          <t>충청북도 음성군 금왕읍 무극로65번길 26</t>
        </is>
      </c>
      <c r="G485" s="17" t="inlineStr">
        <is>
          <t>충청북도 음성군 금왕읍 무극로65번길 26</t>
        </is>
      </c>
      <c r="H485" s="17" t="inlineStr">
        <is>
          <t>음성</t>
        </is>
      </c>
      <c r="I485" s="23" t="inlineStr">
        <is>
          <t>1735</t>
        </is>
      </c>
      <c r="J485" s="17" t="inlineStr">
        <is>
          <t>1</t>
        </is>
      </c>
      <c r="K485" s="17" t="inlineStr">
        <is>
          <t>완제의약품</t>
        </is>
      </c>
      <c r="L485" s="17" t="inlineStr">
        <is>
          <t>비무균-일반제제-내용고형제(정제, 캡슐제), 비무균-일반제제-연고제(연고제, 크림제, 리니멘트제(액상,반고형)), 비무균-일반제제-첩부제(첩부제, 카타플라스마제)</t>
        </is>
      </c>
      <c r="M485" s="24" t="n">
        <v>46445</v>
      </c>
      <c r="N485" s="17" t="inlineStr"/>
      <c r="O485" s="17" t="inlineStr"/>
      <c r="P485" s="17" t="inlineStr">
        <is>
          <t>충청북도</t>
        </is>
      </c>
      <c r="Q485" s="17" t="inlineStr">
        <is>
          <t>음성군</t>
        </is>
      </c>
      <c r="R485" s="17" t="inlineStr">
        <is>
          <t>GMP공장소재지</t>
        </is>
      </c>
      <c r="S485" s="17" t="n">
        <v>90</v>
      </c>
      <c r="T485" s="17" t="inlineStr">
        <is>
          <t>Y</t>
        </is>
      </c>
      <c r="U485" s="17" t="n">
        <v>1</v>
      </c>
      <c r="V485" s="24" t="n">
        <v>46445</v>
      </c>
      <c r="W485" s="17" t="inlineStr"/>
      <c r="X485" s="17" t="inlineStr">
        <is>
          <t>Y</t>
        </is>
      </c>
      <c r="Y485" s="17" t="inlineStr">
        <is>
          <t>회사키+주소</t>
        </is>
      </c>
      <c r="Z485" s="17" t="n">
        <v>90</v>
      </c>
      <c r="AA485" s="17" t="inlineStr"/>
    </row>
    <row r="486">
      <c r="A486" s="30" t="inlineStr">
        <is>
          <t>S485</t>
        </is>
      </c>
      <c r="B486" s="17" t="inlineStr">
        <is>
          <t>P428</t>
        </is>
      </c>
      <c r="C486" s="17" t="inlineStr">
        <is>
          <t>씨엠지제약</t>
        </is>
      </c>
      <c r="D486" s="17" t="inlineStr">
        <is>
          <t>(주)씨엠지제약</t>
        </is>
      </c>
      <c r="E486" s="17" t="inlineStr">
        <is>
          <t>경기도 시흥시 공단1대로27번길 27</t>
        </is>
      </c>
      <c r="F486" s="17" t="inlineStr">
        <is>
          <t>경기도 시흥시 공단1대로27번길 27</t>
        </is>
      </c>
      <c r="G486" s="17" t="inlineStr">
        <is>
          <t>경기도 시흥시 공단1대로27번길 27</t>
        </is>
      </c>
      <c r="H486" s="17" t="inlineStr">
        <is>
          <t>시흥(정왕동)</t>
        </is>
      </c>
      <c r="I486" s="23" t="inlineStr">
        <is>
          <t>1439</t>
        </is>
      </c>
      <c r="J486" s="17" t="inlineStr">
        <is>
          <t>2</t>
        </is>
      </c>
      <c r="K486" s="17" t="inlineStr">
        <is>
          <t>완제의약품</t>
        </is>
      </c>
      <c r="L486" s="17" t="inlineStr">
        <is>
          <t>비무균-일반제제-내용고형제(정제, 캡슐제, 구강용해필름)</t>
        </is>
      </c>
      <c r="M486" s="24" t="n">
        <v>46439</v>
      </c>
      <c r="N486" s="17" t="inlineStr"/>
      <c r="O486" s="17" t="inlineStr"/>
      <c r="P486" s="17" t="inlineStr">
        <is>
          <t>경기도</t>
        </is>
      </c>
      <c r="Q486" s="17" t="inlineStr">
        <is>
          <t>시흥시</t>
        </is>
      </c>
      <c r="R486" s="17" t="inlineStr">
        <is>
          <t>GMP공장소재지</t>
        </is>
      </c>
      <c r="S486" s="17" t="n">
        <v>90</v>
      </c>
      <c r="T486" s="17" t="inlineStr">
        <is>
          <t>Y</t>
        </is>
      </c>
      <c r="U486" s="17" t="n">
        <v>1</v>
      </c>
      <c r="V486" s="24" t="n">
        <v>46439</v>
      </c>
      <c r="W486" s="17" t="inlineStr"/>
      <c r="X486" s="17" t="inlineStr">
        <is>
          <t>Y</t>
        </is>
      </c>
      <c r="Y486" s="17" t="inlineStr">
        <is>
          <t>회사키+주소</t>
        </is>
      </c>
      <c r="Z486" s="17" t="n">
        <v>90</v>
      </c>
      <c r="AA486" s="17" t="inlineStr"/>
    </row>
    <row r="487">
      <c r="A487" s="30" t="inlineStr">
        <is>
          <t>S486</t>
        </is>
      </c>
      <c r="B487" s="17" t="inlineStr">
        <is>
          <t>P429</t>
        </is>
      </c>
      <c r="C487" s="17" t="inlineStr">
        <is>
          <t>제일제약</t>
        </is>
      </c>
      <c r="D487" s="17" t="inlineStr">
        <is>
          <t>(주)제일제약</t>
        </is>
      </c>
      <c r="E487" s="17" t="inlineStr">
        <is>
          <t>대구광역시 달서구 성서로 18-29 대천동</t>
        </is>
      </c>
      <c r="F487" s="17" t="inlineStr">
        <is>
          <t>대구광역시 달서구 성서로 18-29 대천동</t>
        </is>
      </c>
      <c r="G487" s="17" t="inlineStr">
        <is>
          <t>대구광역시 달서구 성서로 18-29 대천동</t>
        </is>
      </c>
      <c r="H487" s="17" t="inlineStr">
        <is>
          <t>대구</t>
        </is>
      </c>
      <c r="I487" s="23" t="inlineStr">
        <is>
          <t>1333</t>
        </is>
      </c>
      <c r="J487" s="17" t="inlineStr">
        <is>
          <t>1</t>
        </is>
      </c>
      <c r="K487" s="17" t="inlineStr">
        <is>
          <t>완제의약품</t>
        </is>
      </c>
      <c r="L487" s="17" t="inlineStr">
        <is>
          <t>무균-일반제제-주사제(주사제)</t>
        </is>
      </c>
      <c r="M487" s="24" t="n">
        <v>46433</v>
      </c>
      <c r="N487" s="17" t="inlineStr">
        <is>
          <t>Y</t>
        </is>
      </c>
      <c r="O487" s="17" t="inlineStr"/>
      <c r="P487" s="17" t="inlineStr">
        <is>
          <t>대구광역시</t>
        </is>
      </c>
      <c r="Q487" s="17" t="inlineStr">
        <is>
          <t>달서구</t>
        </is>
      </c>
      <c r="R487" s="17" t="inlineStr">
        <is>
          <t>GMP공장소재지</t>
        </is>
      </c>
      <c r="S487" s="17" t="n">
        <v>90</v>
      </c>
      <c r="T487" s="17" t="inlineStr">
        <is>
          <t>Y</t>
        </is>
      </c>
      <c r="U487" s="17" t="n">
        <v>1</v>
      </c>
      <c r="V487" s="24" t="n">
        <v>46433</v>
      </c>
      <c r="W487" s="17" t="inlineStr"/>
      <c r="X487" s="17" t="inlineStr">
        <is>
          <t>Y</t>
        </is>
      </c>
      <c r="Y487" s="17" t="inlineStr">
        <is>
          <t>회사키+주소</t>
        </is>
      </c>
      <c r="Z487" s="17" t="n">
        <v>90</v>
      </c>
      <c r="AA487" s="17" t="inlineStr"/>
    </row>
    <row r="488">
      <c r="A488" s="30" t="inlineStr">
        <is>
          <t>S487</t>
        </is>
      </c>
      <c r="B488" s="17" t="inlineStr">
        <is>
          <t>P430</t>
        </is>
      </c>
      <c r="C488" s="17" t="inlineStr">
        <is>
          <t>와이에스생명과학</t>
        </is>
      </c>
      <c r="D488" s="17" t="inlineStr">
        <is>
          <t>(주)와이에스생명과학</t>
        </is>
      </c>
      <c r="E488" s="17" t="inlineStr">
        <is>
          <t>경기도 화성시 만세구 장안면 수정로 207</t>
        </is>
      </c>
      <c r="F488" s="17" t="inlineStr">
        <is>
          <t>경기도 화성시 만세구 장안면 수정로 207</t>
        </is>
      </c>
      <c r="G488" s="17" t="inlineStr">
        <is>
          <t>경기도 화성시 만세구 장안면 수정로 207</t>
        </is>
      </c>
      <c r="H488" s="17" t="inlineStr">
        <is>
          <t>화성시</t>
        </is>
      </c>
      <c r="I488" s="23" t="inlineStr">
        <is>
          <t>2247</t>
        </is>
      </c>
      <c r="J488" s="17" t="inlineStr">
        <is>
          <t>1</t>
        </is>
      </c>
      <c r="K488" s="17" t="inlineStr">
        <is>
          <t>원료의약품</t>
        </is>
      </c>
      <c r="L488" s="17" t="inlineStr">
        <is>
          <t>비무균-일반제제-합성</t>
        </is>
      </c>
      <c r="M488" s="24" t="n">
        <v>46433</v>
      </c>
      <c r="N488" s="17" t="inlineStr"/>
      <c r="O488" s="17" t="inlineStr"/>
      <c r="P488" s="17" t="inlineStr">
        <is>
          <t>경기도</t>
        </is>
      </c>
      <c r="Q488" s="17" t="inlineStr">
        <is>
          <t>화성시</t>
        </is>
      </c>
      <c r="R488" s="17" t="inlineStr">
        <is>
          <t>GMP공장소재지</t>
        </is>
      </c>
      <c r="S488" s="17" t="n">
        <v>90</v>
      </c>
      <c r="T488" s="17" t="inlineStr">
        <is>
          <t>Y</t>
        </is>
      </c>
      <c r="U488" s="17" t="n">
        <v>1</v>
      </c>
      <c r="V488" s="24" t="n">
        <v>46433</v>
      </c>
      <c r="W488" s="17" t="inlineStr"/>
      <c r="X488" s="17" t="inlineStr">
        <is>
          <t>Y</t>
        </is>
      </c>
      <c r="Y488" s="17" t="inlineStr">
        <is>
          <t>회사키+주소</t>
        </is>
      </c>
      <c r="Z488" s="17" t="n">
        <v>90</v>
      </c>
      <c r="AA488" s="17" t="inlineStr"/>
    </row>
    <row r="489">
      <c r="A489" s="30" t="inlineStr">
        <is>
          <t>S488</t>
        </is>
      </c>
      <c r="B489" s="17" t="inlineStr">
        <is>
          <t>P431</t>
        </is>
      </c>
      <c r="C489" s="17" t="inlineStr">
        <is>
          <t>코리아에어텍</t>
        </is>
      </c>
      <c r="D489" s="17" t="inlineStr">
        <is>
          <t>주식회사 코리아에어텍</t>
        </is>
      </c>
      <c r="E489" s="17" t="inlineStr">
        <is>
          <t>울산광역시 울주군 온산읍 온산로 134</t>
        </is>
      </c>
      <c r="F489" s="17" t="inlineStr">
        <is>
          <t>울산광역시 울주군 온산읍 온산로 134</t>
        </is>
      </c>
      <c r="G489" s="17" t="inlineStr">
        <is>
          <t>울산광역시 울주군 온산읍 온산로 134</t>
        </is>
      </c>
      <c r="H489" s="17" t="inlineStr">
        <is>
          <t>코리아에어텍온산공장</t>
        </is>
      </c>
      <c r="I489" s="23" t="inlineStr">
        <is>
          <t>56</t>
        </is>
      </c>
      <c r="J489" s="17" t="inlineStr">
        <is>
          <t>2</t>
        </is>
      </c>
      <c r="K489" s="17" t="inlineStr">
        <is>
          <t>완제의약품</t>
        </is>
      </c>
      <c r="L489" s="17" t="inlineStr">
        <is>
          <t>비무균-일반제제(의료용 고압가스)-가스제(의료용 고압가스)</t>
        </is>
      </c>
      <c r="M489" s="24" t="n">
        <v>46425</v>
      </c>
      <c r="N489" s="17" t="inlineStr"/>
      <c r="O489" s="17" t="inlineStr"/>
      <c r="P489" s="17" t="inlineStr">
        <is>
          <t>울산광역시</t>
        </is>
      </c>
      <c r="Q489" s="17" t="inlineStr">
        <is>
          <t>울주군</t>
        </is>
      </c>
      <c r="R489" s="17" t="inlineStr">
        <is>
          <t>GMP공장소재지</t>
        </is>
      </c>
      <c r="S489" s="17" t="n">
        <v>90</v>
      </c>
      <c r="T489" s="17" t="inlineStr">
        <is>
          <t>Y</t>
        </is>
      </c>
      <c r="U489" s="17" t="n">
        <v>1</v>
      </c>
      <c r="V489" s="24" t="n">
        <v>46425</v>
      </c>
      <c r="W489" s="17" t="inlineStr"/>
      <c r="X489" s="17" t="inlineStr">
        <is>
          <t>Y</t>
        </is>
      </c>
      <c r="Y489" s="17" t="inlineStr">
        <is>
          <t>회사키+주소</t>
        </is>
      </c>
      <c r="Z489" s="17" t="n">
        <v>90</v>
      </c>
      <c r="AA489" s="17" t="inlineStr"/>
    </row>
    <row r="490">
      <c r="A490" s="30" t="inlineStr">
        <is>
          <t>S489</t>
        </is>
      </c>
      <c r="B490" s="17" t="inlineStr">
        <is>
          <t>P432</t>
        </is>
      </c>
      <c r="C490" s="17" t="inlineStr">
        <is>
          <t>엔지켐생명과학</t>
        </is>
      </c>
      <c r="D490" s="17" t="inlineStr">
        <is>
          <t>(주)엔지켐생명과학</t>
        </is>
      </c>
      <c r="E490" s="17" t="inlineStr">
        <is>
          <t>충청북도 제천시 바이오밸리로 59</t>
        </is>
      </c>
      <c r="F490" s="17" t="inlineStr">
        <is>
          <t>충청북도 제천시 바이오밸리로 59</t>
        </is>
      </c>
      <c r="G490" s="17" t="inlineStr">
        <is>
          <t>충청북도 제천시 바이오밸리로 59</t>
        </is>
      </c>
      <c r="H490" s="17" t="inlineStr">
        <is>
          <t>제천</t>
        </is>
      </c>
      <c r="I490" s="23" t="inlineStr">
        <is>
          <t>238</t>
        </is>
      </c>
      <c r="J490" s="17" t="inlineStr">
        <is>
          <t>1</t>
        </is>
      </c>
      <c r="K490" s="17" t="inlineStr">
        <is>
          <t>원료의약품</t>
        </is>
      </c>
      <c r="L490" s="17" t="inlineStr">
        <is>
          <t>비무균-일반제제-합성</t>
        </is>
      </c>
      <c r="M490" s="24" t="n">
        <v>46425</v>
      </c>
      <c r="N490" s="17" t="inlineStr"/>
      <c r="O490" s="17" t="inlineStr"/>
      <c r="P490" s="17" t="inlineStr">
        <is>
          <t>충청북도</t>
        </is>
      </c>
      <c r="Q490" s="17" t="inlineStr">
        <is>
          <t>제천시</t>
        </is>
      </c>
      <c r="R490" s="17" t="inlineStr">
        <is>
          <t>GMP공장소재지</t>
        </is>
      </c>
      <c r="S490" s="17" t="n">
        <v>90</v>
      </c>
      <c r="T490" s="17" t="inlineStr">
        <is>
          <t>Y</t>
        </is>
      </c>
      <c r="U490" s="17" t="n">
        <v>1</v>
      </c>
      <c r="V490" s="24" t="n">
        <v>46425</v>
      </c>
      <c r="W490" s="17" t="inlineStr"/>
      <c r="X490" s="17" t="inlineStr">
        <is>
          <t>Y</t>
        </is>
      </c>
      <c r="Y490" s="17" t="inlineStr">
        <is>
          <t>회사키+주소</t>
        </is>
      </c>
      <c r="Z490" s="17" t="n">
        <v>90</v>
      </c>
      <c r="AA490" s="17" t="inlineStr"/>
    </row>
    <row r="491">
      <c r="A491" s="30" t="inlineStr">
        <is>
          <t>S490</t>
        </is>
      </c>
      <c r="B491" s="17" t="inlineStr">
        <is>
          <t>P433</t>
        </is>
      </c>
      <c r="C491" s="17" t="inlineStr">
        <is>
          <t>씨티씨바이오</t>
        </is>
      </c>
      <c r="D491" s="17" t="inlineStr">
        <is>
          <t>(주)씨티씨바이오</t>
        </is>
      </c>
      <c r="E491" s="17" t="inlineStr">
        <is>
          <t>경기도 안산시 단원구 강촌로 228-16</t>
        </is>
      </c>
      <c r="F491" s="17" t="inlineStr">
        <is>
          <t>경기도 안산시 단원구 강촌로 228-16</t>
        </is>
      </c>
      <c r="G491" s="17" t="inlineStr">
        <is>
          <t>경기도 안산시 단원구 강촌로 228-16</t>
        </is>
      </c>
      <c r="H491" s="17" t="inlineStr">
        <is>
          <t>제2공장</t>
        </is>
      </c>
      <c r="I491" s="23" t="inlineStr">
        <is>
          <t>2423</t>
        </is>
      </c>
      <c r="J491" s="17" t="inlineStr">
        <is>
          <t>2</t>
        </is>
      </c>
      <c r="K491" s="17" t="inlineStr">
        <is>
          <t>완제의약품</t>
        </is>
      </c>
      <c r="L491" s="17" t="inlineStr">
        <is>
          <t>비무균-일반제제-내용고형제(정제, 산제, 구강용해필름)</t>
        </is>
      </c>
      <c r="M491" s="24" t="n">
        <v>46424</v>
      </c>
      <c r="N491" s="17" t="inlineStr"/>
      <c r="O491" s="17" t="inlineStr"/>
      <c r="P491" s="17" t="inlineStr">
        <is>
          <t>경기도</t>
        </is>
      </c>
      <c r="Q491" s="17" t="inlineStr">
        <is>
          <t>안산시</t>
        </is>
      </c>
      <c r="R491" s="17" t="inlineStr">
        <is>
          <t>GMP공장소재지</t>
        </is>
      </c>
      <c r="S491" s="17" t="n">
        <v>90</v>
      </c>
      <c r="T491" s="17" t="inlineStr">
        <is>
          <t>Y</t>
        </is>
      </c>
      <c r="U491" s="17" t="n">
        <v>1</v>
      </c>
      <c r="V491" s="24" t="n">
        <v>46424</v>
      </c>
      <c r="W491" s="17" t="inlineStr"/>
      <c r="X491" s="17" t="inlineStr">
        <is>
          <t>Y</t>
        </is>
      </c>
      <c r="Y491" s="17" t="inlineStr">
        <is>
          <t>회사키+주소</t>
        </is>
      </c>
      <c r="Z491" s="17" t="n">
        <v>90</v>
      </c>
      <c r="AA491" s="17" t="inlineStr"/>
    </row>
    <row r="492">
      <c r="A492" s="30" t="inlineStr">
        <is>
          <t>S491</t>
        </is>
      </c>
      <c r="B492" s="17" t="inlineStr">
        <is>
          <t>P434</t>
        </is>
      </c>
      <c r="C492" s="17" t="inlineStr">
        <is>
          <t>한국비엠아이</t>
        </is>
      </c>
      <c r="D492" s="17" t="inlineStr">
        <is>
          <t>(주)한국비엠아이</t>
        </is>
      </c>
      <c r="E492" s="17" t="inlineStr">
        <is>
          <t>충청북도 청주시 흥덕구 오송읍 오송생명14로 90</t>
        </is>
      </c>
      <c r="F492" s="17" t="inlineStr"/>
      <c r="G492" s="17" t="inlineStr">
        <is>
          <t>충청북도 청주시 흥덕구 오송읍 오송생명14로 90</t>
        </is>
      </c>
      <c r="H492" s="17" t="inlineStr">
        <is>
          <t>미확인</t>
        </is>
      </c>
      <c r="I492" s="23" t="inlineStr">
        <is>
          <t>1395</t>
        </is>
      </c>
      <c r="J492" s="17" t="inlineStr"/>
      <c r="K492" s="17" t="inlineStr">
        <is>
          <t>원료의약품</t>
        </is>
      </c>
      <c r="L492" s="17" t="inlineStr">
        <is>
          <t>생물-유전자재조합의약품-(배양, 정제, 바이러스불활화, 원액 제조)</t>
        </is>
      </c>
      <c r="M492" s="24" t="n">
        <v>46424</v>
      </c>
      <c r="N492" s="17" t="inlineStr"/>
      <c r="O492" s="17" t="inlineStr">
        <is>
          <t>Y</t>
        </is>
      </c>
      <c r="P492" s="17" t="inlineStr">
        <is>
          <t>충청북도</t>
        </is>
      </c>
      <c r="Q492" s="17" t="inlineStr">
        <is>
          <t>청주시</t>
        </is>
      </c>
      <c r="R492" s="17" t="inlineStr">
        <is>
          <t>GMP공장소재지</t>
        </is>
      </c>
      <c r="S492" s="17" t="n">
        <v>0</v>
      </c>
      <c r="T492" s="17" t="inlineStr">
        <is>
          <t>Y</t>
        </is>
      </c>
      <c r="U492" s="17" t="n">
        <v>1</v>
      </c>
      <c r="V492" s="24" t="n">
        <v>46424</v>
      </c>
      <c r="W492" s="17" t="inlineStr"/>
      <c r="X492" s="17" t="inlineStr">
        <is>
          <t>Y</t>
        </is>
      </c>
      <c r="Y492" s="17" t="inlineStr">
        <is>
          <t>무매칭</t>
        </is>
      </c>
      <c r="Z492" s="17" t="n">
        <v>0</v>
      </c>
      <c r="AA492" s="17" t="inlineStr">
        <is>
          <t>Y</t>
        </is>
      </c>
    </row>
    <row r="493">
      <c r="A493" s="30" t="inlineStr">
        <is>
          <t>S492</t>
        </is>
      </c>
      <c r="B493" s="17" t="inlineStr">
        <is>
          <t>P435</t>
        </is>
      </c>
      <c r="C493" s="17" t="inlineStr">
        <is>
          <t>유니온산업가스</t>
        </is>
      </c>
      <c r="D493" s="17" t="inlineStr">
        <is>
          <t>유니온산업가스(주)</t>
        </is>
      </c>
      <c r="E493" s="17" t="inlineStr">
        <is>
          <t>경기도 화성시 정남면 시청로 1732-69</t>
        </is>
      </c>
      <c r="F493" s="17" t="inlineStr"/>
      <c r="G493" s="17" t="inlineStr">
        <is>
          <t>경기도 화성시 정남면 시청로 1732-69</t>
        </is>
      </c>
      <c r="H493" s="17" t="inlineStr">
        <is>
          <t>미확인</t>
        </is>
      </c>
      <c r="I493" s="23" t="inlineStr">
        <is>
          <t>325</t>
        </is>
      </c>
      <c r="J493" s="17" t="inlineStr"/>
      <c r="K493" s="17" t="inlineStr">
        <is>
          <t>완제의약품</t>
        </is>
      </c>
      <c r="L493" s="17" t="inlineStr">
        <is>
          <t>비무균-일반제제(의료용 고압가스)-가스제(의료용 고압가스)</t>
        </is>
      </c>
      <c r="M493" s="24" t="n">
        <v>46424</v>
      </c>
      <c r="N493" s="17" t="inlineStr"/>
      <c r="O493" s="17" t="inlineStr"/>
      <c r="P493" s="17" t="inlineStr">
        <is>
          <t>경기도</t>
        </is>
      </c>
      <c r="Q493" s="17" t="inlineStr">
        <is>
          <t>화성시</t>
        </is>
      </c>
      <c r="R493" s="17" t="inlineStr">
        <is>
          <t>GMP공장소재지</t>
        </is>
      </c>
      <c r="S493" s="17" t="n">
        <v>0</v>
      </c>
      <c r="T493" s="17" t="inlineStr">
        <is>
          <t>Y</t>
        </is>
      </c>
      <c r="U493" s="17" t="n">
        <v>1</v>
      </c>
      <c r="V493" s="24" t="n">
        <v>46424</v>
      </c>
      <c r="W493" s="17" t="inlineStr"/>
      <c r="X493" s="17" t="inlineStr">
        <is>
          <t>Y</t>
        </is>
      </c>
      <c r="Y493" s="17" t="inlineStr">
        <is>
          <t>무매칭</t>
        </is>
      </c>
      <c r="Z493" s="17" t="n">
        <v>0</v>
      </c>
      <c r="AA493" s="17" t="inlineStr">
        <is>
          <t>Y</t>
        </is>
      </c>
    </row>
    <row r="494">
      <c r="A494" s="30" t="inlineStr">
        <is>
          <t>S493</t>
        </is>
      </c>
      <c r="B494" s="17" t="inlineStr">
        <is>
          <t>P436</t>
        </is>
      </c>
      <c r="C494" s="17" t="inlineStr">
        <is>
          <t>알리코제약</t>
        </is>
      </c>
      <c r="D494" s="17" t="inlineStr">
        <is>
          <t>알리코제약(주)</t>
        </is>
      </c>
      <c r="E494" s="17" t="inlineStr">
        <is>
          <t>충청북도 진천군 광혜원면 용소2길 21</t>
        </is>
      </c>
      <c r="F494" s="17" t="inlineStr">
        <is>
          <t>충청북도 진천군 광혜원면 용소2길 21</t>
        </is>
      </c>
      <c r="G494" s="17" t="inlineStr">
        <is>
          <t>충청북도 진천군 광혜원면 용소2길 21</t>
        </is>
      </c>
      <c r="H494" s="17" t="inlineStr">
        <is>
          <t>진천</t>
        </is>
      </c>
      <c r="I494" s="23" t="inlineStr">
        <is>
          <t>1420</t>
        </is>
      </c>
      <c r="J494" s="17" t="inlineStr">
        <is>
          <t>1</t>
        </is>
      </c>
      <c r="K494" s="17" t="inlineStr">
        <is>
          <t>완제의약품</t>
        </is>
      </c>
      <c r="L494" s="17" t="inlineStr">
        <is>
          <t>비무균-일반제제-내용고형제(정제, 캡슐제), 비무균-일반제제-연고제(연고제, 크림제, 겔제)</t>
        </is>
      </c>
      <c r="M494" s="24" t="n">
        <v>46424</v>
      </c>
      <c r="N494" s="17" t="inlineStr"/>
      <c r="O494" s="17" t="inlineStr"/>
      <c r="P494" s="17" t="inlineStr">
        <is>
          <t>충청북도</t>
        </is>
      </c>
      <c r="Q494" s="17" t="inlineStr">
        <is>
          <t>진천군</t>
        </is>
      </c>
      <c r="R494" s="17" t="inlineStr">
        <is>
          <t>GMP공장소재지</t>
        </is>
      </c>
      <c r="S494" s="17" t="n">
        <v>90</v>
      </c>
      <c r="T494" s="17" t="inlineStr">
        <is>
          <t>Y</t>
        </is>
      </c>
      <c r="U494" s="17" t="n">
        <v>1</v>
      </c>
      <c r="V494" s="24" t="n">
        <v>46424</v>
      </c>
      <c r="W494" s="17" t="inlineStr"/>
      <c r="X494" s="17" t="inlineStr">
        <is>
          <t>Y</t>
        </is>
      </c>
      <c r="Y494" s="17" t="inlineStr">
        <is>
          <t>회사키+주소</t>
        </is>
      </c>
      <c r="Z494" s="17" t="n">
        <v>90</v>
      </c>
      <c r="AA494" s="17" t="inlineStr"/>
    </row>
    <row r="495">
      <c r="A495" s="30" t="inlineStr">
        <is>
          <t>S494</t>
        </is>
      </c>
      <c r="B495" s="17" t="inlineStr">
        <is>
          <t>P437</t>
        </is>
      </c>
      <c r="C495" s="17" t="inlineStr">
        <is>
          <t>성원애드콕제약</t>
        </is>
      </c>
      <c r="D495" s="17" t="inlineStr">
        <is>
          <t>성원애드콕제약(주)</t>
        </is>
      </c>
      <c r="E495" s="17" t="inlineStr">
        <is>
          <t>경기도 김포시 양촌읍 김포대로1644번길 54</t>
        </is>
      </c>
      <c r="F495" s="17" t="inlineStr">
        <is>
          <t>경기도 김포시 양촌읍 김포대로1644번길 54</t>
        </is>
      </c>
      <c r="G495" s="17" t="inlineStr">
        <is>
          <t>경기도 김포시 양촌읍 김포대로1644번길 54</t>
        </is>
      </c>
      <c r="H495" s="17" t="inlineStr">
        <is>
          <t>공장</t>
        </is>
      </c>
      <c r="I495" s="23" t="inlineStr">
        <is>
          <t>2283</t>
        </is>
      </c>
      <c r="J495" s="17" t="inlineStr">
        <is>
          <t>2</t>
        </is>
      </c>
      <c r="K495" s="17" t="inlineStr">
        <is>
          <t>완제의약품</t>
        </is>
      </c>
      <c r="L495" s="17" t="inlineStr">
        <is>
          <t>비무균-일반제제-내용고형제(정제, 캡슐제)</t>
        </is>
      </c>
      <c r="M495" s="24" t="n">
        <v>46424</v>
      </c>
      <c r="N495" s="17" t="inlineStr"/>
      <c r="O495" s="17" t="inlineStr"/>
      <c r="P495" s="17" t="inlineStr">
        <is>
          <t>경기도</t>
        </is>
      </c>
      <c r="Q495" s="17" t="inlineStr">
        <is>
          <t>김포시</t>
        </is>
      </c>
      <c r="R495" s="17" t="inlineStr">
        <is>
          <t>GMP공장소재지</t>
        </is>
      </c>
      <c r="S495" s="17" t="n">
        <v>90</v>
      </c>
      <c r="T495" s="17" t="inlineStr">
        <is>
          <t>Y</t>
        </is>
      </c>
      <c r="U495" s="17" t="n">
        <v>1</v>
      </c>
      <c r="V495" s="24" t="n">
        <v>46424</v>
      </c>
      <c r="W495" s="17" t="inlineStr"/>
      <c r="X495" s="17" t="inlineStr">
        <is>
          <t>Y</t>
        </is>
      </c>
      <c r="Y495" s="17" t="inlineStr">
        <is>
          <t>회사키+주소</t>
        </is>
      </c>
      <c r="Z495" s="17" t="n">
        <v>90</v>
      </c>
      <c r="AA495" s="17" t="inlineStr"/>
    </row>
    <row r="496">
      <c r="A496" s="30" t="inlineStr">
        <is>
          <t>S495</t>
        </is>
      </c>
      <c r="B496" s="17" t="inlineStr">
        <is>
          <t>P438</t>
        </is>
      </c>
      <c r="C496" s="17" t="inlineStr">
        <is>
          <t>제이더블유중외제약</t>
        </is>
      </c>
      <c r="D496" s="17" t="inlineStr">
        <is>
          <t>제이더블유중외제약(주)</t>
        </is>
      </c>
      <c r="E496" s="17" t="inlineStr">
        <is>
          <t>충청남도 당진시 송악읍 한진1길 56</t>
        </is>
      </c>
      <c r="F496" s="17" t="inlineStr">
        <is>
          <t>충청남도 당진시 송악읍 한진1길 56</t>
        </is>
      </c>
      <c r="G496" s="17" t="inlineStr">
        <is>
          <t>충청남도 당진시 송악읍 한진1길 56</t>
        </is>
      </c>
      <c r="H496" s="17" t="inlineStr">
        <is>
          <t>당진</t>
        </is>
      </c>
      <c r="I496" s="23" t="inlineStr">
        <is>
          <t>1302</t>
        </is>
      </c>
      <c r="J496" s="17" t="inlineStr">
        <is>
          <t>4</t>
        </is>
      </c>
      <c r="K496" s="17" t="inlineStr">
        <is>
          <t>완제의약품</t>
        </is>
      </c>
      <c r="L496" s="17" t="inlineStr">
        <is>
          <t>비무균-일반제제-내용고형제(정제, 캡슐제, 구강붕해정), 무균-일반제제-주사제(주사제, 분말주사제), 무균-일반제제-점안제(점안제), 비무균-일반제제-내용액제(경구용액제, 시럽제(액상), 현탁제), 무균-카바페넴제제-주사제(분말주사제), 생물-유전자재조합의약품-주사제(동결건조주사제)</t>
        </is>
      </c>
      <c r="M496" s="24" t="n">
        <v>46419</v>
      </c>
      <c r="N496" s="17" t="inlineStr">
        <is>
          <t>Y</t>
        </is>
      </c>
      <c r="O496" s="17" t="inlineStr"/>
      <c r="P496" s="17" t="inlineStr">
        <is>
          <t>충청남도</t>
        </is>
      </c>
      <c r="Q496" s="17" t="inlineStr">
        <is>
          <t>당진시</t>
        </is>
      </c>
      <c r="R496" s="17" t="inlineStr">
        <is>
          <t>GMP공장소재지</t>
        </is>
      </c>
      <c r="S496" s="17" t="n">
        <v>90</v>
      </c>
      <c r="T496" s="17" t="inlineStr">
        <is>
          <t>Y</t>
        </is>
      </c>
      <c r="U496" s="17" t="n">
        <v>1</v>
      </c>
      <c r="V496" s="24" t="n">
        <v>46419</v>
      </c>
      <c r="W496" s="17" t="inlineStr"/>
      <c r="X496" s="17" t="inlineStr">
        <is>
          <t>Y</t>
        </is>
      </c>
      <c r="Y496" s="17" t="inlineStr">
        <is>
          <t>회사키+주소</t>
        </is>
      </c>
      <c r="Z496" s="17" t="n">
        <v>90</v>
      </c>
      <c r="AA496" s="17" t="inlineStr"/>
    </row>
    <row r="497">
      <c r="A497" s="30" t="inlineStr">
        <is>
          <t>S496</t>
        </is>
      </c>
      <c r="B497" s="17" t="inlineStr">
        <is>
          <t>P439</t>
        </is>
      </c>
      <c r="C497" s="17" t="inlineStr">
        <is>
          <t>(재)전남바이오진흥원그린바이오본부천연센터</t>
        </is>
      </c>
      <c r="D497" s="17" t="inlineStr">
        <is>
          <t>(재)전남바이오진흥원 그린바이오본부 천연센터</t>
        </is>
      </c>
      <c r="E497" s="17" t="inlineStr">
        <is>
          <t>전라남도 화순군 화순읍 산단길 100-1 천연물의약품원료플랜트</t>
        </is>
      </c>
      <c r="F497" s="17" t="inlineStr">
        <is>
          <t>전라남도 화순군 화순읍 산단길 100-1 천연물의약품원료플랜트</t>
        </is>
      </c>
      <c r="G497" s="17" t="inlineStr">
        <is>
          <t>전라남도 화순군 화순읍 산단길 100-1 천연물의약품원료플랜트</t>
        </is>
      </c>
      <c r="H497" s="17" t="inlineStr">
        <is>
          <t>천연물의약품원료플랜트</t>
        </is>
      </c>
      <c r="I497" s="23" t="inlineStr">
        <is>
          <t>6179</t>
        </is>
      </c>
      <c r="J497" s="17" t="inlineStr">
        <is>
          <t>1</t>
        </is>
      </c>
      <c r="K497" s="17" t="inlineStr">
        <is>
          <t>원료의약품</t>
        </is>
      </c>
      <c r="L497" s="17" t="inlineStr">
        <is>
          <t>비무균-일반제제-추출</t>
        </is>
      </c>
      <c r="M497" s="24" t="n">
        <v>46418</v>
      </c>
      <c r="N497" s="17" t="inlineStr"/>
      <c r="O497" s="17" t="inlineStr"/>
      <c r="P497" s="17" t="inlineStr">
        <is>
          <t>전라남도</t>
        </is>
      </c>
      <c r="Q497" s="17" t="inlineStr">
        <is>
          <t>화순군</t>
        </is>
      </c>
      <c r="R497" s="17" t="inlineStr">
        <is>
          <t>GMP공장소재지</t>
        </is>
      </c>
      <c r="S497" s="17" t="n">
        <v>90</v>
      </c>
      <c r="T497" s="17" t="inlineStr">
        <is>
          <t>Y</t>
        </is>
      </c>
      <c r="U497" s="17" t="n">
        <v>1</v>
      </c>
      <c r="V497" s="24" t="n">
        <v>46418</v>
      </c>
      <c r="W497" s="17" t="inlineStr"/>
      <c r="X497" s="17" t="inlineStr">
        <is>
          <t>Y</t>
        </is>
      </c>
      <c r="Y497" s="17" t="inlineStr">
        <is>
          <t>회사키+주소</t>
        </is>
      </c>
      <c r="Z497" s="17" t="n">
        <v>90</v>
      </c>
      <c r="AA497" s="17" t="inlineStr"/>
    </row>
    <row r="498">
      <c r="A498" s="30" t="inlineStr">
        <is>
          <t>S497</t>
        </is>
      </c>
      <c r="B498" s="17" t="inlineStr">
        <is>
          <t>P440</t>
        </is>
      </c>
      <c r="C498" s="17" t="inlineStr">
        <is>
          <t>삼정바이오솔루션</t>
        </is>
      </c>
      <c r="D498" s="17" t="inlineStr">
        <is>
          <t>삼정바이오솔루션(주)</t>
        </is>
      </c>
      <c r="E498" s="17" t="inlineStr">
        <is>
          <t>경기도 화성시 양감면 개월안길 110-26</t>
        </is>
      </c>
      <c r="F498" s="17" t="inlineStr">
        <is>
          <t>경기도 화성시 양감면 개월안길 110-26</t>
        </is>
      </c>
      <c r="G498" s="17" t="inlineStr">
        <is>
          <t>경기도 화성시 양감면 개월안길 110-26</t>
        </is>
      </c>
      <c r="H498" s="17" t="inlineStr">
        <is>
          <t>공장</t>
        </is>
      </c>
      <c r="I498" s="23" t="inlineStr">
        <is>
          <t>365</t>
        </is>
      </c>
      <c r="J498" s="17" t="inlineStr">
        <is>
          <t>1</t>
        </is>
      </c>
      <c r="K498" s="17" t="inlineStr">
        <is>
          <t>완제의약품</t>
        </is>
      </c>
      <c r="L498" s="17" t="inlineStr">
        <is>
          <t>비무균-일반제제(의료용 고압가스)-가스제(의료용 고압가스)</t>
        </is>
      </c>
      <c r="M498" s="24" t="n">
        <v>46417</v>
      </c>
      <c r="N498" s="17" t="inlineStr"/>
      <c r="O498" s="17" t="inlineStr"/>
      <c r="P498" s="17" t="inlineStr">
        <is>
          <t>경기도</t>
        </is>
      </c>
      <c r="Q498" s="17" t="inlineStr">
        <is>
          <t>화성시</t>
        </is>
      </c>
      <c r="R498" s="17" t="inlineStr">
        <is>
          <t>GMP공장소재지</t>
        </is>
      </c>
      <c r="S498" s="17" t="n">
        <v>90</v>
      </c>
      <c r="T498" s="17" t="inlineStr">
        <is>
          <t>Y</t>
        </is>
      </c>
      <c r="U498" s="17" t="n">
        <v>1</v>
      </c>
      <c r="V498" s="24" t="n">
        <v>46417</v>
      </c>
      <c r="W498" s="17" t="inlineStr"/>
      <c r="X498" s="17" t="inlineStr">
        <is>
          <t>Y</t>
        </is>
      </c>
      <c r="Y498" s="17" t="inlineStr">
        <is>
          <t>회사키+주소</t>
        </is>
      </c>
      <c r="Z498" s="17" t="n">
        <v>90</v>
      </c>
      <c r="AA498" s="17" t="inlineStr"/>
    </row>
    <row r="499">
      <c r="A499" s="30" t="inlineStr">
        <is>
          <t>S498</t>
        </is>
      </c>
      <c r="B499" s="17" t="inlineStr">
        <is>
          <t>P441</t>
        </is>
      </c>
      <c r="C499" s="17" t="inlineStr">
        <is>
          <t>듀켐바이오</t>
        </is>
      </c>
      <c r="D499" s="17" t="inlineStr">
        <is>
          <t>(주)듀켐바이오</t>
        </is>
      </c>
      <c r="E499" s="17" t="inlineStr">
        <is>
          <t>경기도 수원시 영통구 월드컵로 164 아주대학교병원 지하 2층 일부 싸이클로트론센터</t>
        </is>
      </c>
      <c r="F499" s="17" t="inlineStr">
        <is>
          <t>경기도 수원시 영통구 월드컵로 164 아주대학교병원 지하 2층 일부 싸이클로트론센터</t>
        </is>
      </c>
      <c r="G499" s="17" t="inlineStr">
        <is>
          <t>경기도 수원시 영통구 월드컵로 164 아주대학교병원 지하 2층 일부 싸이클로트론센터</t>
        </is>
      </c>
      <c r="H499" s="17" t="inlineStr">
        <is>
          <t>8공장(수원)</t>
        </is>
      </c>
      <c r="I499" s="23" t="inlineStr">
        <is>
          <t>2437</t>
        </is>
      </c>
      <c r="J499" s="17" t="inlineStr">
        <is>
          <t>8</t>
        </is>
      </c>
      <c r="K499" s="17" t="inlineStr">
        <is>
          <t>완제의약품</t>
        </is>
      </c>
      <c r="L499" s="17" t="inlineStr">
        <is>
          <t>무균-일반제제(방사성의약품)-주사제(주사제)</t>
        </is>
      </c>
      <c r="M499" s="24" t="n">
        <v>46417</v>
      </c>
      <c r="N499" s="17" t="inlineStr">
        <is>
          <t>Y</t>
        </is>
      </c>
      <c r="O499" s="17" t="inlineStr"/>
      <c r="P499" s="17" t="inlineStr">
        <is>
          <t>경기도</t>
        </is>
      </c>
      <c r="Q499" s="17" t="inlineStr">
        <is>
          <t>수원시</t>
        </is>
      </c>
      <c r="R499" s="17" t="inlineStr">
        <is>
          <t>GMP공장소재지</t>
        </is>
      </c>
      <c r="S499" s="17" t="n">
        <v>90</v>
      </c>
      <c r="T499" s="17" t="inlineStr">
        <is>
          <t>Y</t>
        </is>
      </c>
      <c r="U499" s="17" t="n">
        <v>1</v>
      </c>
      <c r="V499" s="24" t="n">
        <v>46417</v>
      </c>
      <c r="W499" s="17" t="inlineStr"/>
      <c r="X499" s="17" t="inlineStr">
        <is>
          <t>Y</t>
        </is>
      </c>
      <c r="Y499" s="17" t="inlineStr">
        <is>
          <t>회사키+주소</t>
        </is>
      </c>
      <c r="Z499" s="17" t="n">
        <v>90</v>
      </c>
      <c r="AA499" s="17" t="inlineStr"/>
    </row>
    <row r="500">
      <c r="A500" s="30" t="inlineStr">
        <is>
          <t>S499</t>
        </is>
      </c>
      <c r="B500" s="17" t="inlineStr">
        <is>
          <t>P442</t>
        </is>
      </c>
      <c r="C500" s="17" t="inlineStr">
        <is>
          <t>한국백신</t>
        </is>
      </c>
      <c r="D500" s="17" t="inlineStr">
        <is>
          <t>(주)한국백신</t>
        </is>
      </c>
      <c r="E500" s="17" t="inlineStr">
        <is>
          <t>경기도 안산시 단원구 목내로 128</t>
        </is>
      </c>
      <c r="F500" s="17" t="inlineStr">
        <is>
          <t>경기도 안산시 단원구 목내로 128</t>
        </is>
      </c>
      <c r="G500" s="17" t="inlineStr">
        <is>
          <t>경기도 안산시 단원구 목내로 128</t>
        </is>
      </c>
      <c r="H500" s="17" t="inlineStr">
        <is>
          <t>안산</t>
        </is>
      </c>
      <c r="I500" s="23" t="inlineStr">
        <is>
          <t>1548</t>
        </is>
      </c>
      <c r="J500" s="17" t="inlineStr">
        <is>
          <t>1</t>
        </is>
      </c>
      <c r="K500" s="17" t="inlineStr">
        <is>
          <t>완제의약품</t>
        </is>
      </c>
      <c r="L500" s="17" t="inlineStr">
        <is>
          <t>생물-백신-주사제(주사제)</t>
        </is>
      </c>
      <c r="M500" s="24" t="n">
        <v>46412</v>
      </c>
      <c r="N500" s="17" t="inlineStr">
        <is>
          <t>Y</t>
        </is>
      </c>
      <c r="O500" s="17" t="inlineStr">
        <is>
          <t>Y</t>
        </is>
      </c>
      <c r="P500" s="17" t="inlineStr">
        <is>
          <t>경기도</t>
        </is>
      </c>
      <c r="Q500" s="17" t="inlineStr">
        <is>
          <t>안산시</t>
        </is>
      </c>
      <c r="R500" s="17" t="inlineStr">
        <is>
          <t>GMP공장소재지</t>
        </is>
      </c>
      <c r="S500" s="17" t="n">
        <v>90</v>
      </c>
      <c r="T500" s="17" t="inlineStr">
        <is>
          <t>Y</t>
        </is>
      </c>
      <c r="U500" s="17" t="n">
        <v>1</v>
      </c>
      <c r="V500" s="24" t="n">
        <v>46412</v>
      </c>
      <c r="W500" s="17" t="inlineStr"/>
      <c r="X500" s="17" t="inlineStr">
        <is>
          <t>Y</t>
        </is>
      </c>
      <c r="Y500" s="17" t="inlineStr">
        <is>
          <t>회사키+주소</t>
        </is>
      </c>
      <c r="Z500" s="17" t="n">
        <v>90</v>
      </c>
      <c r="AA500" s="17" t="inlineStr"/>
    </row>
    <row r="501">
      <c r="A501" s="30" t="inlineStr">
        <is>
          <t>S500</t>
        </is>
      </c>
      <c r="B501" s="17" t="inlineStr">
        <is>
          <t>P443</t>
        </is>
      </c>
      <c r="C501" s="17" t="inlineStr">
        <is>
          <t>부광약품</t>
        </is>
      </c>
      <c r="D501" s="17" t="inlineStr">
        <is>
          <t>부광약품(주)</t>
        </is>
      </c>
      <c r="E501" s="17" t="inlineStr">
        <is>
          <t>경기도 안산시 단원구 능안로 47</t>
        </is>
      </c>
      <c r="F501" s="17" t="inlineStr">
        <is>
          <t>경기도 안산시 단원구 능안로 47</t>
        </is>
      </c>
      <c r="G501" s="17" t="inlineStr">
        <is>
          <t>경기도 안산시 단원구 능안로 47</t>
        </is>
      </c>
      <c r="H501" s="17" t="inlineStr">
        <is>
          <t>안산2</t>
        </is>
      </c>
      <c r="I501" s="23" t="inlineStr">
        <is>
          <t>1427</t>
        </is>
      </c>
      <c r="J501" s="17" t="inlineStr">
        <is>
          <t>2</t>
        </is>
      </c>
      <c r="K501" s="17" t="inlineStr">
        <is>
          <t>완제의약품</t>
        </is>
      </c>
      <c r="L501" s="17" t="inlineStr">
        <is>
          <t>비무균-일반제제-내용고형제(정제, 캡슐제, 과립제), 무균-일반제제-주사제(주사제), 비무균-일반제제-내용액제(시럽제(액상), 현탁제), 비무균-일반제제-외용액제(외용액제, 점비액제), 비무균-일반제제-연고제(연고제, 크림제, 겔제)</t>
        </is>
      </c>
      <c r="M501" s="24" t="n">
        <v>46412</v>
      </c>
      <c r="N501" s="17" t="inlineStr">
        <is>
          <t>Y</t>
        </is>
      </c>
      <c r="O501" s="17" t="inlineStr"/>
      <c r="P501" s="17" t="inlineStr">
        <is>
          <t>경기도</t>
        </is>
      </c>
      <c r="Q501" s="17" t="inlineStr">
        <is>
          <t>안산시</t>
        </is>
      </c>
      <c r="R501" s="17" t="inlineStr">
        <is>
          <t>GMP공장소재지</t>
        </is>
      </c>
      <c r="S501" s="17" t="n">
        <v>90</v>
      </c>
      <c r="T501" s="17" t="inlineStr">
        <is>
          <t>Y</t>
        </is>
      </c>
      <c r="U501" s="17" t="n">
        <v>1</v>
      </c>
      <c r="V501" s="24" t="n">
        <v>46412</v>
      </c>
      <c r="W501" s="17" t="inlineStr"/>
      <c r="X501" s="17" t="inlineStr">
        <is>
          <t>Y</t>
        </is>
      </c>
      <c r="Y501" s="17" t="inlineStr">
        <is>
          <t>회사키+주소</t>
        </is>
      </c>
      <c r="Z501" s="17" t="n">
        <v>90</v>
      </c>
      <c r="AA501" s="17" t="inlineStr"/>
    </row>
    <row r="502">
      <c r="A502" s="30" t="inlineStr">
        <is>
          <t>S501</t>
        </is>
      </c>
      <c r="B502" s="17" t="inlineStr">
        <is>
          <t>P444</t>
        </is>
      </c>
      <c r="C502" s="17" t="inlineStr">
        <is>
          <t>메딕스제약</t>
        </is>
      </c>
      <c r="D502" s="17" t="inlineStr">
        <is>
          <t>메딕스제약(주)</t>
        </is>
      </c>
      <c r="E502" s="17" t="inlineStr">
        <is>
          <t>전북특별자치도 완주군 봉동읍 완주산단6로 170</t>
        </is>
      </c>
      <c r="F502" s="17" t="inlineStr">
        <is>
          <t>전북특별자치도 완주군 봉동읍 완주산단6로 170</t>
        </is>
      </c>
      <c r="G502" s="17" t="inlineStr">
        <is>
          <t>전북특별자치도 완주군 봉동읍 완주산단6로 170</t>
        </is>
      </c>
      <c r="H502" s="17" t="inlineStr">
        <is>
          <t>제 2공장</t>
        </is>
      </c>
      <c r="I502" s="23" t="inlineStr">
        <is>
          <t>6144</t>
        </is>
      </c>
      <c r="J502" s="17" t="inlineStr">
        <is>
          <t>2</t>
        </is>
      </c>
      <c r="K502" s="17" t="inlineStr">
        <is>
          <t>완제의약품</t>
        </is>
      </c>
      <c r="L502" s="17" t="inlineStr">
        <is>
          <t>비무균-일반제제-내용고형제(정제, 캡슐제)</t>
        </is>
      </c>
      <c r="M502" s="24" t="n">
        <v>46405</v>
      </c>
      <c r="N502" s="17" t="inlineStr"/>
      <c r="O502" s="17" t="inlineStr"/>
      <c r="P502" s="17" t="inlineStr">
        <is>
          <t>전북특별자치도</t>
        </is>
      </c>
      <c r="Q502" s="17" t="inlineStr">
        <is>
          <t>완주군</t>
        </is>
      </c>
      <c r="R502" s="17" t="inlineStr">
        <is>
          <t>GMP공장소재지</t>
        </is>
      </c>
      <c r="S502" s="17" t="n">
        <v>90</v>
      </c>
      <c r="T502" s="17" t="inlineStr">
        <is>
          <t>Y</t>
        </is>
      </c>
      <c r="U502" s="17" t="n">
        <v>1</v>
      </c>
      <c r="V502" s="24" t="n">
        <v>46405</v>
      </c>
      <c r="W502" s="17" t="inlineStr"/>
      <c r="X502" s="17" t="inlineStr">
        <is>
          <t>Y</t>
        </is>
      </c>
      <c r="Y502" s="17" t="inlineStr">
        <is>
          <t>회사키+주소</t>
        </is>
      </c>
      <c r="Z502" s="17" t="n">
        <v>90</v>
      </c>
      <c r="AA502" s="17" t="inlineStr"/>
    </row>
    <row r="503">
      <c r="A503" s="30" t="inlineStr">
        <is>
          <t>S502</t>
        </is>
      </c>
      <c r="B503" s="17" t="inlineStr">
        <is>
          <t>P445</t>
        </is>
      </c>
      <c r="C503" s="17" t="inlineStr">
        <is>
          <t>한국유나이티드제약</t>
        </is>
      </c>
      <c r="D503" s="17" t="inlineStr">
        <is>
          <t>한국유나이티드제약(주)</t>
        </is>
      </c>
      <c r="E503" s="17" t="inlineStr">
        <is>
          <t>세종특별자치시 연서면 공단로 107</t>
        </is>
      </c>
      <c r="F503" s="17" t="inlineStr">
        <is>
          <t>세종특별자치시 연서면 공단로 107</t>
        </is>
      </c>
      <c r="G503" s="17" t="inlineStr">
        <is>
          <t>세종특별자치시 연서면 공단로 107</t>
        </is>
      </c>
      <c r="H503" s="17" t="inlineStr">
        <is>
          <t>부동리(원료제조)</t>
        </is>
      </c>
      <c r="I503" s="23" t="inlineStr">
        <is>
          <t>1752</t>
        </is>
      </c>
      <c r="J503" s="17" t="inlineStr">
        <is>
          <t>2</t>
        </is>
      </c>
      <c r="K503" s="17" t="inlineStr">
        <is>
          <t>완제의약품</t>
        </is>
      </c>
      <c r="L503" s="17" t="inlineStr">
        <is>
          <t>비무균-일반제제-내용고형제(흡입분말제), 무균-세포독성항암제제-주사제(주사제, 분말주사제, 동결건조주사제), 비무균-세포독성항암제제-내용고형제(정제, 캡슐제)</t>
        </is>
      </c>
      <c r="M503" s="24" t="n">
        <v>46404</v>
      </c>
      <c r="N503" s="17" t="inlineStr">
        <is>
          <t>Y</t>
        </is>
      </c>
      <c r="O503" s="17" t="inlineStr"/>
      <c r="P503" s="17" t="inlineStr">
        <is>
          <t>세종특별자치시</t>
        </is>
      </c>
      <c r="Q503" s="17" t="inlineStr">
        <is>
          <t>세종특별자치시</t>
        </is>
      </c>
      <c r="R503" s="17" t="inlineStr">
        <is>
          <t>GMP공장소재지</t>
        </is>
      </c>
      <c r="S503" s="17" t="n">
        <v>90</v>
      </c>
      <c r="T503" s="17" t="inlineStr">
        <is>
          <t>Y</t>
        </is>
      </c>
      <c r="U503" s="17" t="n">
        <v>1</v>
      </c>
      <c r="V503" s="24" t="n">
        <v>46404</v>
      </c>
      <c r="W503" s="17" t="inlineStr"/>
      <c r="X503" s="17" t="inlineStr">
        <is>
          <t>Y</t>
        </is>
      </c>
      <c r="Y503" s="17" t="inlineStr">
        <is>
          <t>회사키+주소</t>
        </is>
      </c>
      <c r="Z503" s="17" t="n">
        <v>90</v>
      </c>
      <c r="AA503" s="17" t="inlineStr"/>
    </row>
    <row r="504">
      <c r="A504" s="30" t="inlineStr">
        <is>
          <t>S503</t>
        </is>
      </c>
      <c r="B504" s="17" t="inlineStr">
        <is>
          <t>P446</t>
        </is>
      </c>
      <c r="C504" s="17" t="inlineStr">
        <is>
          <t>한국유나이티드제약</t>
        </is>
      </c>
      <c r="D504" s="17" t="inlineStr">
        <is>
          <t>한국유나이티드제약(주)</t>
        </is>
      </c>
      <c r="E504" s="17" t="inlineStr">
        <is>
          <t>세종특별자치시 전동면 노장공단길 25-23</t>
        </is>
      </c>
      <c r="F504" s="17" t="inlineStr">
        <is>
          <t>세종특별자치시 전동면 노장공단길 25-23</t>
        </is>
      </c>
      <c r="G504" s="17" t="inlineStr">
        <is>
          <t>세종특별자치시 전동면 노장공단길 25-23</t>
        </is>
      </c>
      <c r="H504" s="17" t="inlineStr">
        <is>
          <t>노장리(1공장)</t>
        </is>
      </c>
      <c r="I504" s="23" t="inlineStr">
        <is>
          <t>1752</t>
        </is>
      </c>
      <c r="J504" s="17" t="inlineStr">
        <is>
          <t>1</t>
        </is>
      </c>
      <c r="K504" s="17" t="inlineStr">
        <is>
          <t>완제의약품</t>
        </is>
      </c>
      <c r="L504" s="17" t="inlineStr">
        <is>
          <t>비무균-일반제제-내용고형제(정제, 캡슐제), 무균-일반제제-주사제(주사제, 분말주사제, 동결건조주사제)</t>
        </is>
      </c>
      <c r="M504" s="24" t="n">
        <v>46404</v>
      </c>
      <c r="N504" s="17" t="inlineStr">
        <is>
          <t>Y</t>
        </is>
      </c>
      <c r="O504" s="17" t="inlineStr"/>
      <c r="P504" s="17" t="inlineStr">
        <is>
          <t>세종특별자치시</t>
        </is>
      </c>
      <c r="Q504" s="17" t="inlineStr">
        <is>
          <t>세종특별자치시</t>
        </is>
      </c>
      <c r="R504" s="17" t="inlineStr">
        <is>
          <t>GMP공장소재지</t>
        </is>
      </c>
      <c r="S504" s="17" t="n">
        <v>90</v>
      </c>
      <c r="T504" s="17" t="inlineStr">
        <is>
          <t>Y</t>
        </is>
      </c>
      <c r="U504" s="17" t="n">
        <v>1</v>
      </c>
      <c r="V504" s="24" t="n">
        <v>46404</v>
      </c>
      <c r="W504" s="17" t="inlineStr"/>
      <c r="X504" s="17" t="inlineStr">
        <is>
          <t>Y</t>
        </is>
      </c>
      <c r="Y504" s="17" t="inlineStr">
        <is>
          <t>회사키+주소</t>
        </is>
      </c>
      <c r="Z504" s="17" t="n">
        <v>90</v>
      </c>
      <c r="AA504" s="17" t="inlineStr"/>
    </row>
    <row r="505">
      <c r="A505" s="30" t="inlineStr">
        <is>
          <t>S504</t>
        </is>
      </c>
      <c r="B505" s="17" t="inlineStr">
        <is>
          <t>P447</t>
        </is>
      </c>
      <c r="C505" s="17" t="inlineStr">
        <is>
          <t>경방신약</t>
        </is>
      </c>
      <c r="D505" s="17" t="inlineStr">
        <is>
          <t>경방신약(주)</t>
        </is>
      </c>
      <c r="E505" s="17" t="inlineStr">
        <is>
          <t>인천광역시 남동구 남동대로 394</t>
        </is>
      </c>
      <c r="F505" s="17" t="inlineStr">
        <is>
          <t>인천광역시 남동구 남동대로 394</t>
        </is>
      </c>
      <c r="G505" s="17" t="inlineStr">
        <is>
          <t>인천광역시 남동구 남동대로 394</t>
        </is>
      </c>
      <c r="H505" s="17" t="inlineStr">
        <is>
          <t>1공장</t>
        </is>
      </c>
      <c r="I505" s="23" t="inlineStr">
        <is>
          <t>2101</t>
        </is>
      </c>
      <c r="J505" s="17" t="inlineStr">
        <is>
          <t>1</t>
        </is>
      </c>
      <c r="K505" s="17" t="inlineStr">
        <is>
          <t>완제의약품</t>
        </is>
      </c>
      <c r="L505" s="17" t="inlineStr">
        <is>
          <t>비무균-일반제제-내용고형제(정제, 캡슐제, 산제, 과립제, 환제)</t>
        </is>
      </c>
      <c r="M505" s="24" t="n">
        <v>46404</v>
      </c>
      <c r="N505" s="17" t="inlineStr"/>
      <c r="O505" s="17" t="inlineStr"/>
      <c r="P505" s="17" t="inlineStr">
        <is>
          <t>인천광역시</t>
        </is>
      </c>
      <c r="Q505" s="17" t="inlineStr">
        <is>
          <t>남동구</t>
        </is>
      </c>
      <c r="R505" s="17" t="inlineStr">
        <is>
          <t>GMP공장소재지</t>
        </is>
      </c>
      <c r="S505" s="17" t="n">
        <v>90</v>
      </c>
      <c r="T505" s="17" t="inlineStr">
        <is>
          <t>Y</t>
        </is>
      </c>
      <c r="U505" s="17" t="n">
        <v>1</v>
      </c>
      <c r="V505" s="24" t="n">
        <v>46404</v>
      </c>
      <c r="W505" s="17" t="inlineStr"/>
      <c r="X505" s="17" t="inlineStr">
        <is>
          <t>Y</t>
        </is>
      </c>
      <c r="Y505" s="17" t="inlineStr">
        <is>
          <t>회사키+주소</t>
        </is>
      </c>
      <c r="Z505" s="17" t="n">
        <v>90</v>
      </c>
      <c r="AA505" s="17" t="inlineStr"/>
    </row>
    <row r="506">
      <c r="A506" s="30" t="inlineStr">
        <is>
          <t>S505</t>
        </is>
      </c>
      <c r="B506" s="17" t="inlineStr">
        <is>
          <t>P448</t>
        </is>
      </c>
      <c r="C506" s="17" t="inlineStr">
        <is>
          <t>태광산업가스</t>
        </is>
      </c>
      <c r="D506" s="17" t="inlineStr">
        <is>
          <t>태광산업가스(주)</t>
        </is>
      </c>
      <c r="E506" s="17" t="inlineStr">
        <is>
          <t>경기도 이천시 진상미로 2315</t>
        </is>
      </c>
      <c r="F506" s="17" t="inlineStr"/>
      <c r="G506" s="17" t="inlineStr">
        <is>
          <t>경기도 이천시 진상미로 2315</t>
        </is>
      </c>
      <c r="H506" s="17" t="inlineStr">
        <is>
          <t>미확인</t>
        </is>
      </c>
      <c r="I506" s="23" t="inlineStr">
        <is>
          <t>2519</t>
        </is>
      </c>
      <c r="J506" s="17" t="inlineStr"/>
      <c r="K506" s="17" t="inlineStr">
        <is>
          <t>완제의약품</t>
        </is>
      </c>
      <c r="L506" s="17" t="inlineStr">
        <is>
          <t>비무균-일반제제(의료용 고압가스)-가스제(의료용 고압가스)</t>
        </is>
      </c>
      <c r="M506" s="24" t="n">
        <v>46402</v>
      </c>
      <c r="N506" s="17" t="inlineStr"/>
      <c r="O506" s="17" t="inlineStr"/>
      <c r="P506" s="17" t="inlineStr">
        <is>
          <t>경기도</t>
        </is>
      </c>
      <c r="Q506" s="17" t="inlineStr">
        <is>
          <t>이천시</t>
        </is>
      </c>
      <c r="R506" s="17" t="inlineStr">
        <is>
          <t>GMP공장소재지</t>
        </is>
      </c>
      <c r="S506" s="17" t="n">
        <v>0</v>
      </c>
      <c r="T506" s="17" t="inlineStr">
        <is>
          <t>Y</t>
        </is>
      </c>
      <c r="U506" s="17" t="n">
        <v>1</v>
      </c>
      <c r="V506" s="24" t="n">
        <v>46402</v>
      </c>
      <c r="W506" s="17" t="inlineStr"/>
      <c r="X506" s="17" t="inlineStr">
        <is>
          <t>Y</t>
        </is>
      </c>
      <c r="Y506" s="17" t="inlineStr">
        <is>
          <t>무매칭</t>
        </is>
      </c>
      <c r="Z506" s="17" t="n">
        <v>0</v>
      </c>
      <c r="AA506" s="17" t="inlineStr">
        <is>
          <t>Y</t>
        </is>
      </c>
    </row>
    <row r="507">
      <c r="A507" s="30" t="inlineStr">
        <is>
          <t>S506</t>
        </is>
      </c>
      <c r="B507" s="17" t="inlineStr">
        <is>
          <t>P449</t>
        </is>
      </c>
      <c r="C507" s="17" t="inlineStr">
        <is>
          <t>국립암센터</t>
        </is>
      </c>
      <c r="D507" s="17" t="inlineStr">
        <is>
          <t>국립암센터</t>
        </is>
      </c>
      <c r="E507" s="17" t="inlineStr">
        <is>
          <t>경기도 고양시 일산동구 일산로 323</t>
        </is>
      </c>
      <c r="F507" s="17" t="inlineStr">
        <is>
          <t>경기도 고양시 일산동구 일산로 323</t>
        </is>
      </c>
      <c r="G507" s="17" t="inlineStr">
        <is>
          <t>경기도 고양시 일산동구 일산로 323</t>
        </is>
      </c>
      <c r="H507" s="17" t="inlineStr">
        <is>
          <t>고양</t>
        </is>
      </c>
      <c r="I507" s="23" t="inlineStr">
        <is>
          <t>2384</t>
        </is>
      </c>
      <c r="J507" s="17" t="inlineStr">
        <is>
          <t>1</t>
        </is>
      </c>
      <c r="K507" s="17" t="inlineStr">
        <is>
          <t>완제의약품</t>
        </is>
      </c>
      <c r="L507" s="17" t="inlineStr">
        <is>
          <t>무균-일반제제(방사성의약품)-주사제(주사제)</t>
        </is>
      </c>
      <c r="M507" s="24" t="n">
        <v>46398</v>
      </c>
      <c r="N507" s="17" t="inlineStr">
        <is>
          <t>Y</t>
        </is>
      </c>
      <c r="O507" s="17" t="inlineStr"/>
      <c r="P507" s="17" t="inlineStr">
        <is>
          <t>경기도</t>
        </is>
      </c>
      <c r="Q507" s="17" t="inlineStr">
        <is>
          <t>고양시</t>
        </is>
      </c>
      <c r="R507" s="17" t="inlineStr">
        <is>
          <t>GMP공장소재지</t>
        </is>
      </c>
      <c r="S507" s="17" t="n">
        <v>90</v>
      </c>
      <c r="T507" s="17" t="inlineStr">
        <is>
          <t>Y</t>
        </is>
      </c>
      <c r="U507" s="17" t="n">
        <v>1</v>
      </c>
      <c r="V507" s="24" t="n">
        <v>46398</v>
      </c>
      <c r="W507" s="17" t="inlineStr"/>
      <c r="X507" s="17" t="inlineStr">
        <is>
          <t>Y</t>
        </is>
      </c>
      <c r="Y507" s="17" t="inlineStr">
        <is>
          <t>회사키+주소</t>
        </is>
      </c>
      <c r="Z507" s="17" t="n">
        <v>90</v>
      </c>
      <c r="AA507" s="17" t="inlineStr"/>
    </row>
    <row r="508">
      <c r="A508" s="30" t="inlineStr">
        <is>
          <t>S507</t>
        </is>
      </c>
      <c r="B508" s="17" t="inlineStr">
        <is>
          <t>P450</t>
        </is>
      </c>
      <c r="C508" s="17" t="inlineStr">
        <is>
          <t>휴온스</t>
        </is>
      </c>
      <c r="D508" s="17" t="inlineStr">
        <is>
          <t>(주)휴온스</t>
        </is>
      </c>
      <c r="E508" s="17" t="inlineStr">
        <is>
          <t>충청북도 제천시 바이오밸리로 100</t>
        </is>
      </c>
      <c r="F508" s="17" t="inlineStr">
        <is>
          <t>충청북도 제천시 바이오밸리로 137</t>
        </is>
      </c>
      <c r="G508" s="17" t="inlineStr">
        <is>
          <t>충청북도 제천시 바이오밸리로 100</t>
        </is>
      </c>
      <c r="H508" s="17" t="inlineStr">
        <is>
          <t>제천 제2공장</t>
        </is>
      </c>
      <c r="I508" s="23" t="inlineStr">
        <is>
          <t>1683</t>
        </is>
      </c>
      <c r="J508" s="17" t="inlineStr">
        <is>
          <t>4</t>
        </is>
      </c>
      <c r="K508" s="17" t="inlineStr">
        <is>
          <t>완제의약품</t>
        </is>
      </c>
      <c r="L508" s="17" t="inlineStr">
        <is>
          <t>비무균-일반제제-내용고형제(정제, 캡슐제, 츄어블정(저작정)), 무균-일반제제-주사제(주사제, 관류제), 무균-일반제제-점안제(점안제)</t>
        </is>
      </c>
      <c r="M508" s="24" t="n">
        <v>46377</v>
      </c>
      <c r="N508" s="17" t="inlineStr">
        <is>
          <t>Y</t>
        </is>
      </c>
      <c r="O508" s="17" t="inlineStr"/>
      <c r="P508" s="17" t="inlineStr">
        <is>
          <t>충청북도</t>
        </is>
      </c>
      <c r="Q508" s="17" t="inlineStr">
        <is>
          <t>제천시</t>
        </is>
      </c>
      <c r="R508" s="17" t="inlineStr">
        <is>
          <t>GMP공장소재지</t>
        </is>
      </c>
      <c r="S508" s="17" t="n">
        <v>90</v>
      </c>
      <c r="T508" s="17" t="inlineStr">
        <is>
          <t>Y</t>
        </is>
      </c>
      <c r="U508" s="17" t="n">
        <v>1</v>
      </c>
      <c r="V508" s="24" t="n">
        <v>46377</v>
      </c>
      <c r="W508" s="17" t="inlineStr">
        <is>
          <t>Y</t>
        </is>
      </c>
      <c r="X508" s="17" t="inlineStr">
        <is>
          <t>Y</t>
        </is>
      </c>
      <c r="Y508" s="17" t="inlineStr">
        <is>
          <t>회사키+주소</t>
        </is>
      </c>
      <c r="Z508" s="17" t="n">
        <v>90</v>
      </c>
      <c r="AA508" s="17" t="inlineStr"/>
    </row>
    <row r="509">
      <c r="A509" s="30" t="inlineStr">
        <is>
          <t>S508</t>
        </is>
      </c>
      <c r="B509" s="17" t="inlineStr">
        <is>
          <t>P451</t>
        </is>
      </c>
      <c r="C509" s="17" t="inlineStr">
        <is>
          <t>노바엠헬스케어</t>
        </is>
      </c>
      <c r="D509" s="17" t="inlineStr">
        <is>
          <t>주식회사 노바엠헬스케어</t>
        </is>
      </c>
      <c r="E509" s="17" t="inlineStr">
        <is>
          <t>경상북도 경산시 하양읍 지식산업4로 16-53</t>
        </is>
      </c>
      <c r="F509" s="17" t="inlineStr">
        <is>
          <t>경상북도 경산시 하양읍 지식산업4로 16-53</t>
        </is>
      </c>
      <c r="G509" s="17" t="inlineStr">
        <is>
          <t>경상북도 경산시 하양읍 지식산업4로 16-53</t>
        </is>
      </c>
      <c r="H509" s="17" t="inlineStr">
        <is>
          <t>경산공장</t>
        </is>
      </c>
      <c r="I509" s="23" t="inlineStr">
        <is>
          <t>106</t>
        </is>
      </c>
      <c r="J509" s="17" t="inlineStr">
        <is>
          <t>1</t>
        </is>
      </c>
      <c r="K509" s="17" t="inlineStr">
        <is>
          <t>완제의약품</t>
        </is>
      </c>
      <c r="L509" s="17" t="inlineStr">
        <is>
          <t>비무균-일반제제-내용고형제(정제, 캡슐제)</t>
        </is>
      </c>
      <c r="M509" s="24" t="n">
        <v>46376</v>
      </c>
      <c r="N509" s="17" t="inlineStr"/>
      <c r="O509" s="17" t="inlineStr"/>
      <c r="P509" s="17" t="inlineStr">
        <is>
          <t>경상북도</t>
        </is>
      </c>
      <c r="Q509" s="17" t="inlineStr">
        <is>
          <t>경산시</t>
        </is>
      </c>
      <c r="R509" s="17" t="inlineStr">
        <is>
          <t>GMP공장소재지</t>
        </is>
      </c>
      <c r="S509" s="17" t="n">
        <v>90</v>
      </c>
      <c r="T509" s="17" t="inlineStr">
        <is>
          <t>Y</t>
        </is>
      </c>
      <c r="U509" s="17" t="n">
        <v>1</v>
      </c>
      <c r="V509" s="24" t="n">
        <v>46376</v>
      </c>
      <c r="W509" s="17" t="inlineStr">
        <is>
          <t>Y</t>
        </is>
      </c>
      <c r="X509" s="17" t="inlineStr">
        <is>
          <t>Y</t>
        </is>
      </c>
      <c r="Y509" s="17" t="inlineStr">
        <is>
          <t>회사키+주소</t>
        </is>
      </c>
      <c r="Z509" s="17" t="n">
        <v>90</v>
      </c>
      <c r="AA509" s="17" t="inlineStr"/>
    </row>
    <row r="510">
      <c r="A510" s="30" t="inlineStr">
        <is>
          <t>S509</t>
        </is>
      </c>
      <c r="B510" s="17" t="inlineStr">
        <is>
          <t>P452</t>
        </is>
      </c>
      <c r="C510" s="17" t="inlineStr">
        <is>
          <t>신라충전소</t>
        </is>
      </c>
      <c r="D510" s="17" t="inlineStr">
        <is>
          <t>(주)신라충전소</t>
        </is>
      </c>
      <c r="E510" s="17" t="inlineStr">
        <is>
          <t>경상북도 구미시 장천면 낙동대로 832</t>
        </is>
      </c>
      <c r="F510" s="17" t="inlineStr">
        <is>
          <t>경상북도 구미시 장천면 낙동대로 832</t>
        </is>
      </c>
      <c r="G510" s="17" t="inlineStr">
        <is>
          <t>경상북도 구미시 장천면 낙동대로 832</t>
        </is>
      </c>
      <c r="H510" s="17" t="inlineStr">
        <is>
          <t>제1공장</t>
        </is>
      </c>
      <c r="I510" s="23" t="inlineStr">
        <is>
          <t>95</t>
        </is>
      </c>
      <c r="J510" s="17" t="inlineStr">
        <is>
          <t>1</t>
        </is>
      </c>
      <c r="K510" s="17" t="inlineStr">
        <is>
          <t>완제의약품</t>
        </is>
      </c>
      <c r="L510" s="17" t="inlineStr">
        <is>
          <t>비무균-일반제제(의료용 고압가스)-가스제(의료용 고압가스), 비무균-일반제제(의료용 고압가스)-그 밖의 액제(흡입제(액상))</t>
        </is>
      </c>
      <c r="M510" s="24" t="n">
        <v>46370</v>
      </c>
      <c r="N510" s="17" t="inlineStr"/>
      <c r="O510" s="17" t="inlineStr"/>
      <c r="P510" s="17" t="inlineStr">
        <is>
          <t>경상북도</t>
        </is>
      </c>
      <c r="Q510" s="17" t="inlineStr">
        <is>
          <t>구미시</t>
        </is>
      </c>
      <c r="R510" s="17" t="inlineStr">
        <is>
          <t>GMP공장소재지</t>
        </is>
      </c>
      <c r="S510" s="17" t="n">
        <v>90</v>
      </c>
      <c r="T510" s="17" t="inlineStr">
        <is>
          <t>Y</t>
        </is>
      </c>
      <c r="U510" s="17" t="n">
        <v>1</v>
      </c>
      <c r="V510" s="24" t="n">
        <v>46370</v>
      </c>
      <c r="W510" s="17" t="inlineStr">
        <is>
          <t>Y</t>
        </is>
      </c>
      <c r="X510" s="17" t="inlineStr">
        <is>
          <t>Y</t>
        </is>
      </c>
      <c r="Y510" s="17" t="inlineStr">
        <is>
          <t>회사키+주소</t>
        </is>
      </c>
      <c r="Z510" s="17" t="n">
        <v>90</v>
      </c>
      <c r="AA510" s="17" t="inlineStr"/>
    </row>
    <row r="511">
      <c r="A511" s="30" t="inlineStr">
        <is>
          <t>S510</t>
        </is>
      </c>
      <c r="B511" s="17" t="inlineStr">
        <is>
          <t>P453</t>
        </is>
      </c>
      <c r="C511" s="17" t="inlineStr">
        <is>
          <t>펜믹스</t>
        </is>
      </c>
      <c r="D511" s="17" t="inlineStr">
        <is>
          <t>(주)펜믹스</t>
        </is>
      </c>
      <c r="E511" s="17" t="inlineStr">
        <is>
          <t>충청남도 천안시 서북구 직산읍 거리막길 33</t>
        </is>
      </c>
      <c r="F511" s="17" t="inlineStr">
        <is>
          <t>충청남도 천안시 서북구 직산읍 거리막길 33</t>
        </is>
      </c>
      <c r="G511" s="17" t="inlineStr">
        <is>
          <t>충청남도 천안시 서북구 직산읍 거리막길 33</t>
        </is>
      </c>
      <c r="H511" s="17" t="inlineStr">
        <is>
          <t>천안</t>
        </is>
      </c>
      <c r="I511" s="23" t="inlineStr">
        <is>
          <t>2363</t>
        </is>
      </c>
      <c r="J511" s="17" t="inlineStr">
        <is>
          <t>1</t>
        </is>
      </c>
      <c r="K511" s="17" t="inlineStr">
        <is>
          <t>완제의약품</t>
        </is>
      </c>
      <c r="L511" s="17" t="inlineStr">
        <is>
          <t>무균-일반제제-주사제(주사제, 동결건조주사제), 무균-페니실린제제-주사제(분말주사제, 동결건조주사제), 비무균-페니실린제제-내용고형제(정제, 시럽제(고형))</t>
        </is>
      </c>
      <c r="M511" s="24" t="n">
        <v>46369</v>
      </c>
      <c r="N511" s="17" t="inlineStr">
        <is>
          <t>Y</t>
        </is>
      </c>
      <c r="O511" s="17" t="inlineStr"/>
      <c r="P511" s="17" t="inlineStr">
        <is>
          <t>충청남도</t>
        </is>
      </c>
      <c r="Q511" s="17" t="inlineStr">
        <is>
          <t>천안시</t>
        </is>
      </c>
      <c r="R511" s="17" t="inlineStr">
        <is>
          <t>GMP공장소재지</t>
        </is>
      </c>
      <c r="S511" s="17" t="n">
        <v>90</v>
      </c>
      <c r="T511" s="17" t="inlineStr">
        <is>
          <t>Y</t>
        </is>
      </c>
      <c r="U511" s="17" t="n">
        <v>1</v>
      </c>
      <c r="V511" s="24" t="n">
        <v>46369</v>
      </c>
      <c r="W511" s="17" t="inlineStr">
        <is>
          <t>Y</t>
        </is>
      </c>
      <c r="X511" s="17" t="inlineStr">
        <is>
          <t>Y</t>
        </is>
      </c>
      <c r="Y511" s="17" t="inlineStr">
        <is>
          <t>회사키+주소</t>
        </is>
      </c>
      <c r="Z511" s="17" t="n">
        <v>90</v>
      </c>
      <c r="AA511" s="17" t="inlineStr"/>
    </row>
    <row r="512">
      <c r="A512" s="30" t="inlineStr">
        <is>
          <t>S511</t>
        </is>
      </c>
      <c r="B512" s="17" t="inlineStr">
        <is>
          <t>P454</t>
        </is>
      </c>
      <c r="C512" s="17" t="inlineStr">
        <is>
          <t>코아팜바이오</t>
        </is>
      </c>
      <c r="D512" s="17" t="inlineStr">
        <is>
          <t>(주)코아팜바이오</t>
        </is>
      </c>
      <c r="E512" s="17" t="inlineStr">
        <is>
          <t>충청북도 청주시 흥덕구 오송읍 오송생명14로 5</t>
        </is>
      </c>
      <c r="F512" s="17" t="inlineStr">
        <is>
          <t>충청북도 청주시 흥덕구 오송읍 오송생명14로 5</t>
        </is>
      </c>
      <c r="G512" s="17" t="inlineStr">
        <is>
          <t>충청북도 청주시 흥덕구 오송읍 오송생명14로 5</t>
        </is>
      </c>
      <c r="H512" s="17" t="inlineStr">
        <is>
          <t>(주)코아팜바이오</t>
        </is>
      </c>
      <c r="I512" s="23" t="inlineStr">
        <is>
          <t>6177</t>
        </is>
      </c>
      <c r="J512" s="17" t="inlineStr">
        <is>
          <t>1</t>
        </is>
      </c>
      <c r="K512" s="17" t="inlineStr">
        <is>
          <t>완제의약품</t>
        </is>
      </c>
      <c r="L512" s="17" t="inlineStr">
        <is>
          <t>비무균-일반제제-내용고형제(정제, 산제)</t>
        </is>
      </c>
      <c r="M512" s="24" t="n">
        <v>46369</v>
      </c>
      <c r="N512" s="17" t="inlineStr"/>
      <c r="O512" s="17" t="inlineStr"/>
      <c r="P512" s="17" t="inlineStr">
        <is>
          <t>충청북도</t>
        </is>
      </c>
      <c r="Q512" s="17" t="inlineStr">
        <is>
          <t>청주시</t>
        </is>
      </c>
      <c r="R512" s="17" t="inlineStr">
        <is>
          <t>GMP공장소재지</t>
        </is>
      </c>
      <c r="S512" s="17" t="n">
        <v>90</v>
      </c>
      <c r="T512" s="17" t="inlineStr">
        <is>
          <t>Y</t>
        </is>
      </c>
      <c r="U512" s="17" t="n">
        <v>1</v>
      </c>
      <c r="V512" s="24" t="n">
        <v>46369</v>
      </c>
      <c r="W512" s="17" t="inlineStr">
        <is>
          <t>Y</t>
        </is>
      </c>
      <c r="X512" s="17" t="inlineStr">
        <is>
          <t>Y</t>
        </is>
      </c>
      <c r="Y512" s="17" t="inlineStr">
        <is>
          <t>회사키+주소</t>
        </is>
      </c>
      <c r="Z512" s="17" t="n">
        <v>90</v>
      </c>
      <c r="AA512" s="17" t="inlineStr"/>
    </row>
    <row r="513">
      <c r="A513" s="30" t="inlineStr">
        <is>
          <t>S512</t>
        </is>
      </c>
      <c r="B513" s="17" t="inlineStr">
        <is>
          <t>P455</t>
        </is>
      </c>
      <c r="C513" s="17" t="inlineStr">
        <is>
          <t>휴온스바이오파마</t>
        </is>
      </c>
      <c r="D513" s="17" t="inlineStr">
        <is>
          <t>(주)휴온스바이오파마</t>
        </is>
      </c>
      <c r="E513" s="17" t="inlineStr">
        <is>
          <t>충청북도 제천시 바이오밸리2로 50</t>
        </is>
      </c>
      <c r="F513" s="17" t="inlineStr">
        <is>
          <t>충청북도 제천시 바이오밸리2로 50</t>
        </is>
      </c>
      <c r="G513" s="17" t="inlineStr">
        <is>
          <t>충청북도 제천시 바이오밸리2로 50</t>
        </is>
      </c>
      <c r="H513" s="17" t="inlineStr">
        <is>
          <t>제1공장</t>
        </is>
      </c>
      <c r="I513" s="23" t="inlineStr">
        <is>
          <t>2637</t>
        </is>
      </c>
      <c r="J513" s="17" t="inlineStr">
        <is>
          <t>1</t>
        </is>
      </c>
      <c r="K513" s="17" t="inlineStr">
        <is>
          <t>완제의약품</t>
        </is>
      </c>
      <c r="L513" s="17" t="inlineStr">
        <is>
          <t>생물-독소-주사제(주사제)</t>
        </is>
      </c>
      <c r="M513" s="24" t="n">
        <v>46362</v>
      </c>
      <c r="N513" s="17" t="inlineStr">
        <is>
          <t>Y</t>
        </is>
      </c>
      <c r="O513" s="17" t="inlineStr">
        <is>
          <t>Y</t>
        </is>
      </c>
      <c r="P513" s="17" t="inlineStr">
        <is>
          <t>충청북도</t>
        </is>
      </c>
      <c r="Q513" s="17" t="inlineStr">
        <is>
          <t>제천시</t>
        </is>
      </c>
      <c r="R513" s="17" t="inlineStr">
        <is>
          <t>GMP공장소재지</t>
        </is>
      </c>
      <c r="S513" s="17" t="n">
        <v>90</v>
      </c>
      <c r="T513" s="17" t="inlineStr">
        <is>
          <t>Y</t>
        </is>
      </c>
      <c r="U513" s="17" t="n">
        <v>2</v>
      </c>
      <c r="V513" s="24" t="n">
        <v>46362</v>
      </c>
      <c r="W513" s="17" t="inlineStr">
        <is>
          <t>Y</t>
        </is>
      </c>
      <c r="X513" s="17" t="inlineStr">
        <is>
          <t>Y</t>
        </is>
      </c>
      <c r="Y513" s="17" t="inlineStr">
        <is>
          <t>회사키+주소</t>
        </is>
      </c>
      <c r="Z513" s="17" t="n">
        <v>90</v>
      </c>
      <c r="AA513" s="17" t="inlineStr"/>
    </row>
    <row r="514">
      <c r="A514" s="30" t="inlineStr">
        <is>
          <t>S513</t>
        </is>
      </c>
      <c r="B514" s="17" t="inlineStr">
        <is>
          <t>P455</t>
        </is>
      </c>
      <c r="C514" s="17" t="inlineStr">
        <is>
          <t>휴온스바이오파마</t>
        </is>
      </c>
      <c r="D514" s="17" t="inlineStr">
        <is>
          <t>(주)휴온스바이오파마</t>
        </is>
      </c>
      <c r="E514" s="17" t="inlineStr">
        <is>
          <t>충청북도 제천시 바이오밸리2로 50</t>
        </is>
      </c>
      <c r="F514" s="17" t="inlineStr">
        <is>
          <t>충청북도 제천시 바이오밸리2로 50</t>
        </is>
      </c>
      <c r="G514" s="17" t="inlineStr">
        <is>
          <t>충청북도 제천시 바이오밸리2로 50</t>
        </is>
      </c>
      <c r="H514" s="17" t="inlineStr">
        <is>
          <t>제1공장</t>
        </is>
      </c>
      <c r="I514" s="23" t="inlineStr">
        <is>
          <t>2637</t>
        </is>
      </c>
      <c r="J514" s="17" t="inlineStr">
        <is>
          <t>1</t>
        </is>
      </c>
      <c r="K514" s="17" t="inlineStr">
        <is>
          <t>원료의약품</t>
        </is>
      </c>
      <c r="L514" s="17" t="inlineStr">
        <is>
          <t>생물-독소-(배양, 정제, 원액 제조)</t>
        </is>
      </c>
      <c r="M514" s="24" t="n">
        <v>46362</v>
      </c>
      <c r="N514" s="17" t="inlineStr"/>
      <c r="O514" s="17" t="inlineStr">
        <is>
          <t>Y</t>
        </is>
      </c>
      <c r="P514" s="17" t="inlineStr">
        <is>
          <t>충청북도</t>
        </is>
      </c>
      <c r="Q514" s="17" t="inlineStr">
        <is>
          <t>제천시</t>
        </is>
      </c>
      <c r="R514" s="17" t="inlineStr">
        <is>
          <t>GMP공장소재지</t>
        </is>
      </c>
      <c r="S514" s="17" t="n">
        <v>90</v>
      </c>
      <c r="T514" s="17" t="inlineStr">
        <is>
          <t>N</t>
        </is>
      </c>
      <c r="U514" s="17" t="n">
        <v>2</v>
      </c>
      <c r="V514" s="24" t="n">
        <v>46362</v>
      </c>
      <c r="W514" s="17" t="inlineStr">
        <is>
          <t>Y</t>
        </is>
      </c>
      <c r="X514" s="17" t="inlineStr">
        <is>
          <t>Y</t>
        </is>
      </c>
      <c r="Y514" s="17" t="inlineStr">
        <is>
          <t>회사키+주소</t>
        </is>
      </c>
      <c r="Z514" s="17" t="n">
        <v>90</v>
      </c>
      <c r="AA514" s="17" t="inlineStr"/>
    </row>
    <row r="515">
      <c r="A515" s="30" t="inlineStr">
        <is>
          <t>S514</t>
        </is>
      </c>
      <c r="B515" s="17" t="inlineStr">
        <is>
          <t>P456</t>
        </is>
      </c>
      <c r="C515" s="17" t="inlineStr">
        <is>
          <t>녹십자</t>
        </is>
      </c>
      <c r="D515" s="17" t="inlineStr">
        <is>
          <t>(주)녹십자</t>
        </is>
      </c>
      <c r="E515" s="17" t="inlineStr">
        <is>
          <t>전라남도 화순군 화순읍 산단길 40</t>
        </is>
      </c>
      <c r="F515" s="17" t="inlineStr">
        <is>
          <t>전라남도 화순군 화순읍 산단길 40</t>
        </is>
      </c>
      <c r="G515" s="17" t="inlineStr">
        <is>
          <t>전라남도 화순군 화순읍 산단길 40</t>
        </is>
      </c>
      <c r="H515" s="17" t="inlineStr">
        <is>
          <t>화순(생물학적제제)</t>
        </is>
      </c>
      <c r="I515" s="23" t="inlineStr">
        <is>
          <t>1735</t>
        </is>
      </c>
      <c r="J515" s="17" t="inlineStr">
        <is>
          <t>8</t>
        </is>
      </c>
      <c r="K515" s="17" t="inlineStr">
        <is>
          <t>원료의약품</t>
        </is>
      </c>
      <c r="L515" s="17" t="inlineStr">
        <is>
          <t>생물-백신-(배양, 정제, 바이러스불활화, 원액 제조)</t>
        </is>
      </c>
      <c r="M515" s="24" t="n">
        <v>46356</v>
      </c>
      <c r="N515" s="17" t="inlineStr"/>
      <c r="O515" s="17" t="inlineStr">
        <is>
          <t>Y</t>
        </is>
      </c>
      <c r="P515" s="17" t="inlineStr">
        <is>
          <t>전라남도</t>
        </is>
      </c>
      <c r="Q515" s="17" t="inlineStr">
        <is>
          <t>화순군</t>
        </is>
      </c>
      <c r="R515" s="17" t="inlineStr">
        <is>
          <t>GMP공장소재지</t>
        </is>
      </c>
      <c r="S515" s="17" t="n">
        <v>90</v>
      </c>
      <c r="T515" s="17" t="inlineStr">
        <is>
          <t>Y</t>
        </is>
      </c>
      <c r="U515" s="17" t="n">
        <v>2</v>
      </c>
      <c r="V515" s="24" t="n">
        <v>46356</v>
      </c>
      <c r="W515" s="17" t="inlineStr">
        <is>
          <t>Y</t>
        </is>
      </c>
      <c r="X515" s="17" t="inlineStr">
        <is>
          <t>Y</t>
        </is>
      </c>
      <c r="Y515" s="17" t="inlineStr">
        <is>
          <t>회사키+주소</t>
        </is>
      </c>
      <c r="Z515" s="17" t="n">
        <v>90</v>
      </c>
      <c r="AA515" s="17" t="inlineStr"/>
    </row>
    <row r="516">
      <c r="A516" s="30" t="inlineStr">
        <is>
          <t>S515</t>
        </is>
      </c>
      <c r="B516" s="17" t="inlineStr">
        <is>
          <t>P456</t>
        </is>
      </c>
      <c r="C516" s="17" t="inlineStr">
        <is>
          <t>녹십자</t>
        </is>
      </c>
      <c r="D516" s="17" t="inlineStr">
        <is>
          <t>(주)녹십자</t>
        </is>
      </c>
      <c r="E516" s="17" t="inlineStr">
        <is>
          <t>전라남도 화순군 화순읍 산단길 40</t>
        </is>
      </c>
      <c r="F516" s="17" t="inlineStr">
        <is>
          <t>전라남도 화순군 화순읍 산단길 40</t>
        </is>
      </c>
      <c r="G516" s="17" t="inlineStr">
        <is>
          <t>전라남도 화순군 화순읍 산단길 40</t>
        </is>
      </c>
      <c r="H516" s="17" t="inlineStr">
        <is>
          <t>화순(생물학적제제)</t>
        </is>
      </c>
      <c r="I516" s="23" t="inlineStr">
        <is>
          <t>1735</t>
        </is>
      </c>
      <c r="J516" s="17" t="inlineStr">
        <is>
          <t>8</t>
        </is>
      </c>
      <c r="K516" s="17" t="inlineStr">
        <is>
          <t>완제의약품</t>
        </is>
      </c>
      <c r="L516" s="17" t="inlineStr">
        <is>
          <t>생물-백신-주사제(주사제)</t>
        </is>
      </c>
      <c r="M516" s="24" t="n">
        <v>46356</v>
      </c>
      <c r="N516" s="17" t="inlineStr">
        <is>
          <t>Y</t>
        </is>
      </c>
      <c r="O516" s="17" t="inlineStr">
        <is>
          <t>Y</t>
        </is>
      </c>
      <c r="P516" s="17" t="inlineStr">
        <is>
          <t>전라남도</t>
        </is>
      </c>
      <c r="Q516" s="17" t="inlineStr">
        <is>
          <t>화순군</t>
        </is>
      </c>
      <c r="R516" s="17" t="inlineStr">
        <is>
          <t>GMP공장소재지</t>
        </is>
      </c>
      <c r="S516" s="17" t="n">
        <v>90</v>
      </c>
      <c r="T516" s="17" t="inlineStr">
        <is>
          <t>N</t>
        </is>
      </c>
      <c r="U516" s="17" t="n">
        <v>2</v>
      </c>
      <c r="V516" s="24" t="n">
        <v>46356</v>
      </c>
      <c r="W516" s="17" t="inlineStr">
        <is>
          <t>Y</t>
        </is>
      </c>
      <c r="X516" s="17" t="inlineStr">
        <is>
          <t>Y</t>
        </is>
      </c>
      <c r="Y516" s="17" t="inlineStr">
        <is>
          <t>회사키+주소</t>
        </is>
      </c>
      <c r="Z516" s="17" t="n">
        <v>90</v>
      </c>
      <c r="AA516" s="17" t="inlineStr"/>
    </row>
    <row r="517">
      <c r="A517" s="30" t="inlineStr">
        <is>
          <t>S516</t>
        </is>
      </c>
      <c r="B517" s="17" t="inlineStr">
        <is>
          <t>P457</t>
        </is>
      </c>
      <c r="C517" s="17" t="inlineStr">
        <is>
          <t>셀트리온제약</t>
        </is>
      </c>
      <c r="D517" s="17" t="inlineStr">
        <is>
          <t>(주)셀트리온제약</t>
        </is>
      </c>
      <c r="E517" s="17" t="inlineStr">
        <is>
          <t>충청북도 청주시 청원구 오창읍 2산단로 82</t>
        </is>
      </c>
      <c r="F517" s="17" t="inlineStr">
        <is>
          <t>충청북도 청주시 청원구 오창읍 2산단로 82</t>
        </is>
      </c>
      <c r="G517" s="17" t="inlineStr">
        <is>
          <t>충청북도 청주시 청원구 오창읍 2산단로 82</t>
        </is>
      </c>
      <c r="H517" s="17" t="inlineStr">
        <is>
          <t>오창</t>
        </is>
      </c>
      <c r="I517" s="23" t="inlineStr">
        <is>
          <t>1534</t>
        </is>
      </c>
      <c r="J517" s="17" t="inlineStr">
        <is>
          <t>2</t>
        </is>
      </c>
      <c r="K517" s="17" t="inlineStr">
        <is>
          <t>완제의약품</t>
        </is>
      </c>
      <c r="L517" s="17" t="inlineStr">
        <is>
          <t>비무균-일반제제-내용고형제(정제, 캡슐제)</t>
        </is>
      </c>
      <c r="M517" s="24" t="n">
        <v>46355</v>
      </c>
      <c r="N517" s="17" t="inlineStr"/>
      <c r="O517" s="17" t="inlineStr"/>
      <c r="P517" s="17" t="inlineStr">
        <is>
          <t>충청북도</t>
        </is>
      </c>
      <c r="Q517" s="17" t="inlineStr">
        <is>
          <t>청주시</t>
        </is>
      </c>
      <c r="R517" s="17" t="inlineStr">
        <is>
          <t>GMP공장소재지</t>
        </is>
      </c>
      <c r="S517" s="17" t="n">
        <v>90</v>
      </c>
      <c r="T517" s="17" t="inlineStr">
        <is>
          <t>Y</t>
        </is>
      </c>
      <c r="U517" s="17" t="n">
        <v>1</v>
      </c>
      <c r="V517" s="24" t="n">
        <v>46355</v>
      </c>
      <c r="W517" s="17" t="inlineStr">
        <is>
          <t>Y</t>
        </is>
      </c>
      <c r="X517" s="17" t="inlineStr">
        <is>
          <t>Y</t>
        </is>
      </c>
      <c r="Y517" s="17" t="inlineStr">
        <is>
          <t>회사키+주소</t>
        </is>
      </c>
      <c r="Z517" s="17" t="n">
        <v>90</v>
      </c>
      <c r="AA517" s="17" t="inlineStr"/>
    </row>
    <row r="518">
      <c r="A518" s="30" t="inlineStr">
        <is>
          <t>S517</t>
        </is>
      </c>
      <c r="B518" s="17" t="inlineStr">
        <is>
          <t>P458</t>
        </is>
      </c>
      <c r="C518" s="17" t="inlineStr">
        <is>
          <t>신풍제약</t>
        </is>
      </c>
      <c r="D518" s="17" t="inlineStr">
        <is>
          <t>신풍제약(주)</t>
        </is>
      </c>
      <c r="E518" s="17" t="inlineStr">
        <is>
          <t>경기도 안산시 단원구 산단로19번길 70</t>
        </is>
      </c>
      <c r="F518" s="17" t="inlineStr">
        <is>
          <t>경기도 안산시 단원구 산단로19번길 70</t>
        </is>
      </c>
      <c r="G518" s="17" t="inlineStr">
        <is>
          <t>경기도 안산시 단원구 산단로19번길 70</t>
        </is>
      </c>
      <c r="H518" s="17" t="inlineStr">
        <is>
          <t>안산2</t>
        </is>
      </c>
      <c r="I518" s="23" t="inlineStr">
        <is>
          <t>1414</t>
        </is>
      </c>
      <c r="J518" s="17" t="inlineStr">
        <is>
          <t>2</t>
        </is>
      </c>
      <c r="K518" s="17" t="inlineStr">
        <is>
          <t>원료의약품</t>
        </is>
      </c>
      <c r="L518" s="17" t="inlineStr">
        <is>
          <t>비무균-일반제제-합성</t>
        </is>
      </c>
      <c r="M518" s="24" t="n">
        <v>46349</v>
      </c>
      <c r="N518" s="17" t="inlineStr"/>
      <c r="O518" s="17" t="inlineStr"/>
      <c r="P518" s="17" t="inlineStr">
        <is>
          <t>경기도</t>
        </is>
      </c>
      <c r="Q518" s="17" t="inlineStr">
        <is>
          <t>안산시</t>
        </is>
      </c>
      <c r="R518" s="17" t="inlineStr">
        <is>
          <t>GMP공장소재지</t>
        </is>
      </c>
      <c r="S518" s="17" t="n">
        <v>90</v>
      </c>
      <c r="T518" s="17" t="inlineStr">
        <is>
          <t>Y</t>
        </is>
      </c>
      <c r="U518" s="17" t="n">
        <v>2</v>
      </c>
      <c r="V518" s="24" t="n">
        <v>46349</v>
      </c>
      <c r="W518" s="17" t="inlineStr">
        <is>
          <t>Y</t>
        </is>
      </c>
      <c r="X518" s="17" t="inlineStr">
        <is>
          <t>Y</t>
        </is>
      </c>
      <c r="Y518" s="17" t="inlineStr">
        <is>
          <t>회사키+주소</t>
        </is>
      </c>
      <c r="Z518" s="17" t="n">
        <v>90</v>
      </c>
      <c r="AA518" s="17" t="inlineStr"/>
    </row>
    <row r="519">
      <c r="A519" s="30" t="inlineStr">
        <is>
          <t>S518</t>
        </is>
      </c>
      <c r="B519" s="17" t="inlineStr">
        <is>
          <t>P459</t>
        </is>
      </c>
      <c r="C519" s="17" t="inlineStr">
        <is>
          <t>비보존제약</t>
        </is>
      </c>
      <c r="D519" s="17" t="inlineStr">
        <is>
          <t>(주)비보존제약</t>
        </is>
      </c>
      <c r="E519" s="17" t="inlineStr">
        <is>
          <t>경기도 화성시 만세구 향남읍 제약공단2길 34-40</t>
        </is>
      </c>
      <c r="F519" s="17" t="inlineStr">
        <is>
          <t>경기도 화성시 만세구 향남읍 제약공단2길 34-40</t>
        </is>
      </c>
      <c r="G519" s="17" t="inlineStr">
        <is>
          <t>경기도 화성시 만세구 향남읍 제약공단2길 34-40</t>
        </is>
      </c>
      <c r="H519" s="17" t="inlineStr">
        <is>
          <t>화성</t>
        </is>
      </c>
      <c r="I519" s="23" t="inlineStr">
        <is>
          <t>1342</t>
        </is>
      </c>
      <c r="J519" s="17" t="inlineStr">
        <is>
          <t>1</t>
        </is>
      </c>
      <c r="K519" s="17" t="inlineStr">
        <is>
          <t>완제의약품</t>
        </is>
      </c>
      <c r="L519" s="17" t="inlineStr">
        <is>
          <t>비무균-일반제제-내용고형제(정제, 캡슐제, 시럽제(고형)), 비무균-일반제제-내용액제(경구용액제, 시럽제(액상)), 비무균-일반제제-연고제(연고제, 크림제, 겔제)</t>
        </is>
      </c>
      <c r="M519" s="24" t="n">
        <v>46349</v>
      </c>
      <c r="N519" s="17" t="inlineStr"/>
      <c r="O519" s="17" t="inlineStr"/>
      <c r="P519" s="17" t="inlineStr">
        <is>
          <t>경기도</t>
        </is>
      </c>
      <c r="Q519" s="17" t="inlineStr">
        <is>
          <t>화성시</t>
        </is>
      </c>
      <c r="R519" s="17" t="inlineStr">
        <is>
          <t>GMP공장소재지</t>
        </is>
      </c>
      <c r="S519" s="17" t="n">
        <v>90</v>
      </c>
      <c r="T519" s="17" t="inlineStr">
        <is>
          <t>Y</t>
        </is>
      </c>
      <c r="U519" s="17" t="n">
        <v>1</v>
      </c>
      <c r="V519" s="24" t="n">
        <v>46349</v>
      </c>
      <c r="W519" s="17" t="inlineStr">
        <is>
          <t>Y</t>
        </is>
      </c>
      <c r="X519" s="17" t="inlineStr">
        <is>
          <t>Y</t>
        </is>
      </c>
      <c r="Y519" s="17" t="inlineStr">
        <is>
          <t>회사키+주소</t>
        </is>
      </c>
      <c r="Z519" s="17" t="n">
        <v>90</v>
      </c>
      <c r="AA519" s="17" t="inlineStr"/>
    </row>
    <row r="520">
      <c r="A520" s="30" t="inlineStr">
        <is>
          <t>S519</t>
        </is>
      </c>
      <c r="B520" s="17" t="inlineStr">
        <is>
          <t>P460</t>
        </is>
      </c>
      <c r="C520" s="17" t="inlineStr">
        <is>
          <t>에스케이플라즈마</t>
        </is>
      </c>
      <c r="D520" s="17" t="inlineStr">
        <is>
          <t>에스케이플라즈마(주)</t>
        </is>
      </c>
      <c r="E520" s="17" t="inlineStr">
        <is>
          <t>경상북도 안동시 풍산읍 산업단지길 157</t>
        </is>
      </c>
      <c r="F520" s="17" t="inlineStr">
        <is>
          <t>경상북도 안동시 풍산읍 산업단지길 157</t>
        </is>
      </c>
      <c r="G520" s="17" t="inlineStr">
        <is>
          <t>경상북도 안동시 풍산읍 산업단지길 157</t>
        </is>
      </c>
      <c r="H520" s="17" t="inlineStr">
        <is>
          <t>제2공장</t>
        </is>
      </c>
      <c r="I520" s="23" t="inlineStr">
        <is>
          <t>352</t>
        </is>
      </c>
      <c r="J520" s="17" t="inlineStr">
        <is>
          <t>2</t>
        </is>
      </c>
      <c r="K520" s="17" t="inlineStr">
        <is>
          <t>원료의약품</t>
        </is>
      </c>
      <c r="L520" s="17" t="inlineStr">
        <is>
          <t>생물-혈장분획제제-(정제, 바이러스불활화, 원액 제조)</t>
        </is>
      </c>
      <c r="M520" s="24" t="n">
        <v>46349</v>
      </c>
      <c r="N520" s="17" t="inlineStr"/>
      <c r="O520" s="17" t="inlineStr">
        <is>
          <t>Y</t>
        </is>
      </c>
      <c r="P520" s="17" t="inlineStr">
        <is>
          <t>경상북도</t>
        </is>
      </c>
      <c r="Q520" s="17" t="inlineStr">
        <is>
          <t>안동시</t>
        </is>
      </c>
      <c r="R520" s="17" t="inlineStr">
        <is>
          <t>GMP공장소재지</t>
        </is>
      </c>
      <c r="S520" s="17" t="n">
        <v>90</v>
      </c>
      <c r="T520" s="17" t="inlineStr">
        <is>
          <t>Y</t>
        </is>
      </c>
      <c r="U520" s="17" t="n">
        <v>2</v>
      </c>
      <c r="V520" s="24" t="n">
        <v>46349</v>
      </c>
      <c r="W520" s="17" t="inlineStr">
        <is>
          <t>Y</t>
        </is>
      </c>
      <c r="X520" s="17" t="inlineStr">
        <is>
          <t>Y</t>
        </is>
      </c>
      <c r="Y520" s="17" t="inlineStr">
        <is>
          <t>회사키+주소</t>
        </is>
      </c>
      <c r="Z520" s="17" t="n">
        <v>90</v>
      </c>
      <c r="AA520" s="17" t="inlineStr"/>
    </row>
    <row r="521">
      <c r="A521" s="30" t="inlineStr">
        <is>
          <t>S520</t>
        </is>
      </c>
      <c r="B521" s="17" t="inlineStr">
        <is>
          <t>P460</t>
        </is>
      </c>
      <c r="C521" s="17" t="inlineStr">
        <is>
          <t>에스케이플라즈마</t>
        </is>
      </c>
      <c r="D521" s="17" t="inlineStr">
        <is>
          <t>에스케이플라즈마(주)</t>
        </is>
      </c>
      <c r="E521" s="17" t="inlineStr">
        <is>
          <t>경상북도 안동시 풍산읍 산업단지길 157</t>
        </is>
      </c>
      <c r="F521" s="17" t="inlineStr">
        <is>
          <t>경상북도 안동시 풍산읍 산업단지길 157</t>
        </is>
      </c>
      <c r="G521" s="17" t="inlineStr">
        <is>
          <t>경상북도 안동시 풍산읍 산업단지길 157</t>
        </is>
      </c>
      <c r="H521" s="17" t="inlineStr">
        <is>
          <t>제2공장</t>
        </is>
      </c>
      <c r="I521" s="23" t="inlineStr">
        <is>
          <t>352</t>
        </is>
      </c>
      <c r="J521" s="17" t="inlineStr">
        <is>
          <t>2</t>
        </is>
      </c>
      <c r="K521" s="17" t="inlineStr">
        <is>
          <t>완제의약품</t>
        </is>
      </c>
      <c r="L521" s="17" t="inlineStr">
        <is>
          <t>생물-혈장분획제제-주사제(주사제)</t>
        </is>
      </c>
      <c r="M521" s="24" t="n">
        <v>46349</v>
      </c>
      <c r="N521" s="17" t="inlineStr">
        <is>
          <t>Y</t>
        </is>
      </c>
      <c r="O521" s="17" t="inlineStr">
        <is>
          <t>Y</t>
        </is>
      </c>
      <c r="P521" s="17" t="inlineStr">
        <is>
          <t>경상북도</t>
        </is>
      </c>
      <c r="Q521" s="17" t="inlineStr">
        <is>
          <t>안동시</t>
        </is>
      </c>
      <c r="R521" s="17" t="inlineStr">
        <is>
          <t>GMP공장소재지</t>
        </is>
      </c>
      <c r="S521" s="17" t="n">
        <v>90</v>
      </c>
      <c r="T521" s="17" t="inlineStr">
        <is>
          <t>N</t>
        </is>
      </c>
      <c r="U521" s="17" t="n">
        <v>2</v>
      </c>
      <c r="V521" s="24" t="n">
        <v>46349</v>
      </c>
      <c r="W521" s="17" t="inlineStr">
        <is>
          <t>Y</t>
        </is>
      </c>
      <c r="X521" s="17" t="inlineStr">
        <is>
          <t>Y</t>
        </is>
      </c>
      <c r="Y521" s="17" t="inlineStr">
        <is>
          <t>회사키+주소</t>
        </is>
      </c>
      <c r="Z521" s="17" t="n">
        <v>90</v>
      </c>
      <c r="AA521" s="17" t="inlineStr"/>
    </row>
    <row r="522">
      <c r="A522" s="30" t="inlineStr">
        <is>
          <t>S521</t>
        </is>
      </c>
      <c r="B522" s="17" t="inlineStr">
        <is>
          <t>P458</t>
        </is>
      </c>
      <c r="C522" s="17" t="inlineStr">
        <is>
          <t>신풍제약</t>
        </is>
      </c>
      <c r="D522" s="17" t="inlineStr">
        <is>
          <t>신풍제약(주)</t>
        </is>
      </c>
      <c r="E522" s="17" t="inlineStr">
        <is>
          <t>경기도 안산시 단원구 산단로19번길 70</t>
        </is>
      </c>
      <c r="F522" s="17" t="inlineStr">
        <is>
          <t>경기도 안산시 단원구 산단로19번길 70</t>
        </is>
      </c>
      <c r="G522" s="17" t="inlineStr">
        <is>
          <t>경기도 안산시 단원구 산단로19번길 70</t>
        </is>
      </c>
      <c r="H522" s="17" t="inlineStr">
        <is>
          <t>안산2</t>
        </is>
      </c>
      <c r="I522" s="23" t="inlineStr">
        <is>
          <t>1414</t>
        </is>
      </c>
      <c r="J522" s="17" t="inlineStr">
        <is>
          <t>2</t>
        </is>
      </c>
      <c r="K522" s="17" t="inlineStr">
        <is>
          <t>완제의약품</t>
        </is>
      </c>
      <c r="L522" s="17" t="inlineStr">
        <is>
          <t>비무균-일반제제-내용고형제(정제, 과립제), 무균-페니실린제제-주사제(주사제), 비무균-페니실린제제-내용고형제(정제, 시럽제(고형))</t>
        </is>
      </c>
      <c r="M522" s="24" t="n">
        <v>46349</v>
      </c>
      <c r="N522" s="17" t="inlineStr">
        <is>
          <t>Y</t>
        </is>
      </c>
      <c r="O522" s="17" t="inlineStr"/>
      <c r="P522" s="17" t="inlineStr">
        <is>
          <t>경기도</t>
        </is>
      </c>
      <c r="Q522" s="17" t="inlineStr">
        <is>
          <t>안산시</t>
        </is>
      </c>
      <c r="R522" s="17" t="inlineStr">
        <is>
          <t>GMP공장소재지</t>
        </is>
      </c>
      <c r="S522" s="17" t="n">
        <v>90</v>
      </c>
      <c r="T522" s="17" t="inlineStr">
        <is>
          <t>N</t>
        </is>
      </c>
      <c r="U522" s="17" t="n">
        <v>2</v>
      </c>
      <c r="V522" s="24" t="n">
        <v>46349</v>
      </c>
      <c r="W522" s="17" t="inlineStr">
        <is>
          <t>Y</t>
        </is>
      </c>
      <c r="X522" s="17" t="inlineStr">
        <is>
          <t>Y</t>
        </is>
      </c>
      <c r="Y522" s="17" t="inlineStr">
        <is>
          <t>회사키+주소</t>
        </is>
      </c>
      <c r="Z522" s="17" t="n">
        <v>90</v>
      </c>
      <c r="AA522" s="17" t="inlineStr"/>
    </row>
    <row r="523">
      <c r="A523" s="30" t="inlineStr">
        <is>
          <t>S522</t>
        </is>
      </c>
      <c r="B523" s="17" t="inlineStr">
        <is>
          <t>P461</t>
        </is>
      </c>
      <c r="C523" s="17" t="inlineStr">
        <is>
          <t>삼현제약</t>
        </is>
      </c>
      <c r="D523" s="17" t="inlineStr">
        <is>
          <t>주식회사삼현제약</t>
        </is>
      </c>
      <c r="E523" s="17" t="inlineStr">
        <is>
          <t>인천광역시 강화군 하점면 강화대로967번길 22 1층 일부, 2층(시험실)</t>
        </is>
      </c>
      <c r="F523" s="17" t="inlineStr"/>
      <c r="G523" s="17" t="inlineStr">
        <is>
          <t>인천광역시 강화군 하점면 강화대로967번길 22 1층 일부, 2층(시험실)</t>
        </is>
      </c>
      <c r="H523" s="17" t="inlineStr">
        <is>
          <t>미확인</t>
        </is>
      </c>
      <c r="I523" s="23" t="inlineStr">
        <is>
          <t>370</t>
        </is>
      </c>
      <c r="J523" s="17" t="inlineStr"/>
      <c r="K523" s="17" t="inlineStr">
        <is>
          <t>완제의약품</t>
        </is>
      </c>
      <c r="L523" s="17" t="inlineStr">
        <is>
          <t>외용액제(외용액제)</t>
        </is>
      </c>
      <c r="M523" s="24" t="n">
        <v>46346</v>
      </c>
      <c r="N523" s="17" t="inlineStr"/>
      <c r="O523" s="17" t="inlineStr"/>
      <c r="P523" s="17" t="inlineStr">
        <is>
          <t>인천광역시</t>
        </is>
      </c>
      <c r="Q523" s="17" t="inlineStr">
        <is>
          <t>강화군</t>
        </is>
      </c>
      <c r="R523" s="17" t="inlineStr">
        <is>
          <t>GMP공장소재지</t>
        </is>
      </c>
      <c r="S523" s="17" t="n">
        <v>0</v>
      </c>
      <c r="T523" s="17" t="inlineStr">
        <is>
          <t>Y</t>
        </is>
      </c>
      <c r="U523" s="17" t="n">
        <v>1</v>
      </c>
      <c r="V523" s="24" t="n">
        <v>46346</v>
      </c>
      <c r="W523" s="17" t="inlineStr">
        <is>
          <t>Y</t>
        </is>
      </c>
      <c r="X523" s="17" t="inlineStr">
        <is>
          <t>Y</t>
        </is>
      </c>
      <c r="Y523" s="17" t="inlineStr">
        <is>
          <t>무매칭</t>
        </is>
      </c>
      <c r="Z523" s="17" t="n">
        <v>0</v>
      </c>
      <c r="AA523" s="17" t="inlineStr">
        <is>
          <t>Y</t>
        </is>
      </c>
    </row>
    <row r="524">
      <c r="A524" s="30" t="inlineStr">
        <is>
          <t>S523</t>
        </is>
      </c>
      <c r="B524" s="17" t="inlineStr">
        <is>
          <t>P462</t>
        </is>
      </c>
      <c r="C524" s="17" t="inlineStr">
        <is>
          <t>대화제약</t>
        </is>
      </c>
      <c r="D524" s="17" t="inlineStr">
        <is>
          <t>대화제약(주)</t>
        </is>
      </c>
      <c r="E524" s="17" t="inlineStr">
        <is>
          <t>강원특별자치도 횡성군 횡성읍 한우로 495</t>
        </is>
      </c>
      <c r="F524" s="17" t="inlineStr">
        <is>
          <t>강원특별자치도 횡성군 횡성읍 한우로 495</t>
        </is>
      </c>
      <c r="G524" s="17" t="inlineStr">
        <is>
          <t>강원특별자치도 횡성군 횡성읍 한우로 495</t>
        </is>
      </c>
      <c r="H524" s="17" t="inlineStr">
        <is>
          <t>횡성</t>
        </is>
      </c>
      <c r="I524" s="23" t="inlineStr">
        <is>
          <t>1410</t>
        </is>
      </c>
      <c r="J524" s="17" t="inlineStr">
        <is>
          <t>1</t>
        </is>
      </c>
      <c r="K524" s="17" t="inlineStr">
        <is>
          <t>완제의약품</t>
        </is>
      </c>
      <c r="L524" s="17" t="inlineStr">
        <is>
          <t>비무균-일반제제-내용고형제(정제, 캡슐제, 구강용해필름), 비무균-일반제제-연고제(연고제, 크림제, 겔제), 비무균-일반제제-첩부제(첩부제, 카타플라스마제, 경피흡수제), 비무균-세포독성항암제제-내용액제(경구용액제)</t>
        </is>
      </c>
      <c r="M524" s="24" t="n">
        <v>46342</v>
      </c>
      <c r="N524" s="17" t="inlineStr"/>
      <c r="O524" s="17" t="inlineStr"/>
      <c r="P524" s="17" t="inlineStr">
        <is>
          <t>강원특별자치도</t>
        </is>
      </c>
      <c r="Q524" s="17" t="inlineStr">
        <is>
          <t>횡성군</t>
        </is>
      </c>
      <c r="R524" s="17" t="inlineStr">
        <is>
          <t>GMP공장소재지</t>
        </is>
      </c>
      <c r="S524" s="17" t="n">
        <v>90</v>
      </c>
      <c r="T524" s="17" t="inlineStr">
        <is>
          <t>Y</t>
        </is>
      </c>
      <c r="U524" s="17" t="n">
        <v>1</v>
      </c>
      <c r="V524" s="24" t="n">
        <v>46342</v>
      </c>
      <c r="W524" s="17" t="inlineStr">
        <is>
          <t>Y</t>
        </is>
      </c>
      <c r="X524" s="17" t="inlineStr">
        <is>
          <t>Y</t>
        </is>
      </c>
      <c r="Y524" s="17" t="inlineStr">
        <is>
          <t>회사키+주소</t>
        </is>
      </c>
      <c r="Z524" s="17" t="n">
        <v>90</v>
      </c>
      <c r="AA524" s="17" t="inlineStr"/>
    </row>
    <row r="525">
      <c r="A525" s="30" t="inlineStr">
        <is>
          <t>S524</t>
        </is>
      </c>
      <c r="B525" s="17" t="inlineStr">
        <is>
          <t>P463</t>
        </is>
      </c>
      <c r="C525" s="17" t="inlineStr">
        <is>
          <t>성이바이오제약</t>
        </is>
      </c>
      <c r="D525" s="17" t="inlineStr">
        <is>
          <t>성이바이오제약주식회사</t>
        </is>
      </c>
      <c r="E525" s="17" t="inlineStr">
        <is>
          <t>강원특별자치도 원주시 지정면 지래울로 184 1층 일부, 3층</t>
        </is>
      </c>
      <c r="F525" s="17" t="inlineStr">
        <is>
          <t>강원특별자치도 원주시 지정면 지래울로 184 1층 일부, 3층</t>
        </is>
      </c>
      <c r="G525" s="17" t="inlineStr">
        <is>
          <t>강원특별자치도 원주시 지정면 지래울로 184 1층 일부, 3층</t>
        </is>
      </c>
      <c r="H525" s="17" t="inlineStr">
        <is>
          <t>성이바이오제약주식회사</t>
        </is>
      </c>
      <c r="I525" s="23" t="inlineStr">
        <is>
          <t>383</t>
        </is>
      </c>
      <c r="J525" s="17" t="inlineStr">
        <is>
          <t>1</t>
        </is>
      </c>
      <c r="K525" s="17" t="inlineStr">
        <is>
          <t>완제의약품</t>
        </is>
      </c>
      <c r="L525" s="17" t="inlineStr">
        <is>
          <t>비무균-일반제제-내용고형제(정제, 캡슐제)</t>
        </is>
      </c>
      <c r="M525" s="24" t="n">
        <v>46341</v>
      </c>
      <c r="N525" s="17" t="inlineStr"/>
      <c r="O525" s="17" t="inlineStr"/>
      <c r="P525" s="17" t="inlineStr">
        <is>
          <t>강원특별자치도</t>
        </is>
      </c>
      <c r="Q525" s="17" t="inlineStr">
        <is>
          <t>원주시</t>
        </is>
      </c>
      <c r="R525" s="17" t="inlineStr">
        <is>
          <t>GMP공장소재지</t>
        </is>
      </c>
      <c r="S525" s="17" t="n">
        <v>90</v>
      </c>
      <c r="T525" s="17" t="inlineStr">
        <is>
          <t>Y</t>
        </is>
      </c>
      <c r="U525" s="17" t="n">
        <v>1</v>
      </c>
      <c r="V525" s="24" t="n">
        <v>46341</v>
      </c>
      <c r="W525" s="17" t="inlineStr">
        <is>
          <t>Y</t>
        </is>
      </c>
      <c r="X525" s="17" t="inlineStr">
        <is>
          <t>Y</t>
        </is>
      </c>
      <c r="Y525" s="17" t="inlineStr">
        <is>
          <t>회사키+주소</t>
        </is>
      </c>
      <c r="Z525" s="17" t="n">
        <v>90</v>
      </c>
      <c r="AA525" s="17" t="inlineStr"/>
    </row>
    <row r="526">
      <c r="A526" s="30" t="inlineStr">
        <is>
          <t>S525</t>
        </is>
      </c>
      <c r="B526" s="17" t="inlineStr">
        <is>
          <t>P464</t>
        </is>
      </c>
      <c r="C526" s="17" t="inlineStr">
        <is>
          <t>서울제약</t>
        </is>
      </c>
      <c r="D526" s="17" t="inlineStr">
        <is>
          <t>(주)서울제약</t>
        </is>
      </c>
      <c r="E526" s="17" t="inlineStr">
        <is>
          <t>충청북도 청주시 흥덕구 오송읍 오송생명6로 124-31</t>
        </is>
      </c>
      <c r="F526" s="17" t="inlineStr">
        <is>
          <t>충청북도 청주시 흥덕구 오송읍 오송생명6로 124-31</t>
        </is>
      </c>
      <c r="G526" s="17" t="inlineStr">
        <is>
          <t>충청북도 청주시 흥덕구 오송읍 오송생명6로 124-31</t>
        </is>
      </c>
      <c r="H526" s="17" t="inlineStr">
        <is>
          <t>청주</t>
        </is>
      </c>
      <c r="I526" s="23" t="inlineStr">
        <is>
          <t>1495</t>
        </is>
      </c>
      <c r="J526" s="17" t="inlineStr">
        <is>
          <t>2</t>
        </is>
      </c>
      <c r="K526" s="17" t="inlineStr">
        <is>
          <t>완제의약품</t>
        </is>
      </c>
      <c r="L526" s="17" t="inlineStr">
        <is>
          <t>비무균-일반제제-내용고형제(정제, 캡슐제, 과립제, 구강용해필름)</t>
        </is>
      </c>
      <c r="M526" s="24" t="n">
        <v>46340</v>
      </c>
      <c r="N526" s="17" t="inlineStr"/>
      <c r="O526" s="17" t="inlineStr"/>
      <c r="P526" s="17" t="inlineStr">
        <is>
          <t>충청북도</t>
        </is>
      </c>
      <c r="Q526" s="17" t="inlineStr">
        <is>
          <t>청주시</t>
        </is>
      </c>
      <c r="R526" s="17" t="inlineStr">
        <is>
          <t>GMP공장소재지</t>
        </is>
      </c>
      <c r="S526" s="17" t="n">
        <v>90</v>
      </c>
      <c r="T526" s="17" t="inlineStr">
        <is>
          <t>Y</t>
        </is>
      </c>
      <c r="U526" s="17" t="n">
        <v>1</v>
      </c>
      <c r="V526" s="24" t="n">
        <v>46340</v>
      </c>
      <c r="W526" s="17" t="inlineStr">
        <is>
          <t>Y</t>
        </is>
      </c>
      <c r="X526" s="17" t="inlineStr">
        <is>
          <t>Y</t>
        </is>
      </c>
      <c r="Y526" s="17" t="inlineStr">
        <is>
          <t>회사키+주소</t>
        </is>
      </c>
      <c r="Z526" s="17" t="n">
        <v>90</v>
      </c>
      <c r="AA526" s="17" t="inlineStr"/>
    </row>
    <row r="527">
      <c r="A527" s="30" t="inlineStr">
        <is>
          <t>S526</t>
        </is>
      </c>
      <c r="B527" s="17" t="inlineStr">
        <is>
          <t>P465</t>
        </is>
      </c>
      <c r="C527" s="17" t="inlineStr">
        <is>
          <t>피에스지</t>
        </is>
      </c>
      <c r="D527" s="17" t="inlineStr">
        <is>
          <t>(주)피에스지</t>
        </is>
      </c>
      <c r="E527" s="17" t="inlineStr">
        <is>
          <t>부산광역시 영도구 해양로135번길 11</t>
        </is>
      </c>
      <c r="F527" s="17" t="inlineStr"/>
      <c r="G527" s="17" t="inlineStr">
        <is>
          <t>부산광역시 영도구 해양로135번길 11</t>
        </is>
      </c>
      <c r="H527" s="17" t="inlineStr">
        <is>
          <t>미확인</t>
        </is>
      </c>
      <c r="I527" s="23" t="inlineStr">
        <is>
          <t>1585</t>
        </is>
      </c>
      <c r="J527" s="17" t="inlineStr"/>
      <c r="K527" s="17" t="inlineStr">
        <is>
          <t>완제의약품</t>
        </is>
      </c>
      <c r="L527" s="17" t="inlineStr">
        <is>
          <t>비무균-일반제제(의료용 고압가스)-가스제(의료용 고압가스)</t>
        </is>
      </c>
      <c r="M527" s="24" t="n">
        <v>46339</v>
      </c>
      <c r="N527" s="17" t="inlineStr"/>
      <c r="O527" s="17" t="inlineStr"/>
      <c r="P527" s="17" t="inlineStr">
        <is>
          <t>부산광역시</t>
        </is>
      </c>
      <c r="Q527" s="17" t="inlineStr">
        <is>
          <t>영도구</t>
        </is>
      </c>
      <c r="R527" s="17" t="inlineStr">
        <is>
          <t>GMP공장소재지</t>
        </is>
      </c>
      <c r="S527" s="17" t="n">
        <v>0</v>
      </c>
      <c r="T527" s="17" t="inlineStr">
        <is>
          <t>Y</t>
        </is>
      </c>
      <c r="U527" s="17" t="n">
        <v>1</v>
      </c>
      <c r="V527" s="24" t="n">
        <v>46339</v>
      </c>
      <c r="W527" s="17" t="inlineStr">
        <is>
          <t>Y</t>
        </is>
      </c>
      <c r="X527" s="17" t="inlineStr">
        <is>
          <t>Y</t>
        </is>
      </c>
      <c r="Y527" s="17" t="inlineStr">
        <is>
          <t>무매칭</t>
        </is>
      </c>
      <c r="Z527" s="17" t="n">
        <v>0</v>
      </c>
      <c r="AA527" s="17" t="inlineStr">
        <is>
          <t>Y</t>
        </is>
      </c>
    </row>
    <row r="528">
      <c r="A528" s="30" t="inlineStr">
        <is>
          <t>S527</t>
        </is>
      </c>
      <c r="B528" s="17" t="inlineStr">
        <is>
          <t>P466</t>
        </is>
      </c>
      <c r="C528" s="17" t="inlineStr">
        <is>
          <t>위지피제약</t>
        </is>
      </c>
      <c r="D528" s="17" t="inlineStr">
        <is>
          <t>주식회사위지피제약</t>
        </is>
      </c>
      <c r="E528" s="17" t="inlineStr">
        <is>
          <t>경기도 시흥시 소망공원로 213 1층 일부, 2층 일부</t>
        </is>
      </c>
      <c r="F528" s="17" t="inlineStr">
        <is>
          <t>경기도 시흥시 소망공원로 213 1층 일부, 2층 일부</t>
        </is>
      </c>
      <c r="G528" s="17" t="inlineStr">
        <is>
          <t>경기도 시흥시 소망공원로 213 1층 일부, 2층 일부</t>
        </is>
      </c>
      <c r="H528" s="17" t="inlineStr">
        <is>
          <t>제1공장</t>
        </is>
      </c>
      <c r="I528" s="23" t="inlineStr">
        <is>
          <t>6168</t>
        </is>
      </c>
      <c r="J528" s="17" t="inlineStr">
        <is>
          <t>1</t>
        </is>
      </c>
      <c r="K528" s="17" t="inlineStr">
        <is>
          <t>완제의약품</t>
        </is>
      </c>
      <c r="L528" s="17" t="inlineStr">
        <is>
          <t>비무균-일반제제-외용액제(외용액제)</t>
        </is>
      </c>
      <c r="M528" s="24" t="n">
        <v>46334</v>
      </c>
      <c r="N528" s="17" t="inlineStr"/>
      <c r="O528" s="17" t="inlineStr"/>
      <c r="P528" s="17" t="inlineStr">
        <is>
          <t>경기도</t>
        </is>
      </c>
      <c r="Q528" s="17" t="inlineStr">
        <is>
          <t>시흥시</t>
        </is>
      </c>
      <c r="R528" s="17" t="inlineStr">
        <is>
          <t>GMP공장소재지</t>
        </is>
      </c>
      <c r="S528" s="17" t="n">
        <v>90</v>
      </c>
      <c r="T528" s="17" t="inlineStr">
        <is>
          <t>Y</t>
        </is>
      </c>
      <c r="U528" s="17" t="n">
        <v>1</v>
      </c>
      <c r="V528" s="24" t="n">
        <v>46334</v>
      </c>
      <c r="W528" s="17" t="inlineStr">
        <is>
          <t>Y</t>
        </is>
      </c>
      <c r="X528" s="17" t="inlineStr">
        <is>
          <t>Y</t>
        </is>
      </c>
      <c r="Y528" s="17" t="inlineStr">
        <is>
          <t>회사키+주소</t>
        </is>
      </c>
      <c r="Z528" s="17" t="n">
        <v>90</v>
      </c>
      <c r="AA528" s="17" t="inlineStr"/>
    </row>
    <row r="529">
      <c r="A529" s="30" t="inlineStr">
        <is>
          <t>S528</t>
        </is>
      </c>
      <c r="B529" s="17" t="inlineStr">
        <is>
          <t>P467</t>
        </is>
      </c>
      <c r="C529" s="17" t="inlineStr">
        <is>
          <t>삼양바이오팜</t>
        </is>
      </c>
      <c r="D529" s="17" t="inlineStr">
        <is>
          <t>(주)삼양바이오팜</t>
        </is>
      </c>
      <c r="E529" s="17" t="inlineStr">
        <is>
          <t>대전광역시 대덕구 신일동로 79</t>
        </is>
      </c>
      <c r="F529" s="17" t="inlineStr">
        <is>
          <t>대전광역시 대덕구 신일동로 79</t>
        </is>
      </c>
      <c r="G529" s="17" t="inlineStr">
        <is>
          <t>대전광역시 대덕구 신일동로 79</t>
        </is>
      </c>
      <c r="H529" s="17" t="inlineStr">
        <is>
          <t>신일</t>
        </is>
      </c>
      <c r="I529" s="23" t="inlineStr">
        <is>
          <t>1888</t>
        </is>
      </c>
      <c r="J529" s="17" t="inlineStr">
        <is>
          <t>2</t>
        </is>
      </c>
      <c r="K529" s="17" t="inlineStr">
        <is>
          <t>완제의약품</t>
        </is>
      </c>
      <c r="L529" s="17" t="inlineStr">
        <is>
          <t>무균-세포독성항암제제-주사제(주사제)</t>
        </is>
      </c>
      <c r="M529" s="24" t="n">
        <v>46334</v>
      </c>
      <c r="N529" s="17" t="inlineStr">
        <is>
          <t>Y</t>
        </is>
      </c>
      <c r="O529" s="17" t="inlineStr"/>
      <c r="P529" s="17" t="inlineStr">
        <is>
          <t>대전광역시</t>
        </is>
      </c>
      <c r="Q529" s="17" t="inlineStr">
        <is>
          <t>대덕구</t>
        </is>
      </c>
      <c r="R529" s="17" t="inlineStr">
        <is>
          <t>GMP공장소재지</t>
        </is>
      </c>
      <c r="S529" s="17" t="n">
        <v>90</v>
      </c>
      <c r="T529" s="17" t="inlineStr">
        <is>
          <t>Y</t>
        </is>
      </c>
      <c r="U529" s="17" t="n">
        <v>2</v>
      </c>
      <c r="V529" s="24" t="n">
        <v>46334</v>
      </c>
      <c r="W529" s="17" t="inlineStr">
        <is>
          <t>Y</t>
        </is>
      </c>
      <c r="X529" s="17" t="inlineStr">
        <is>
          <t>Y</t>
        </is>
      </c>
      <c r="Y529" s="17" t="inlineStr">
        <is>
          <t>회사키+주소</t>
        </is>
      </c>
      <c r="Z529" s="17" t="n">
        <v>90</v>
      </c>
      <c r="AA529" s="17" t="inlineStr"/>
    </row>
    <row r="530">
      <c r="A530" s="30" t="inlineStr">
        <is>
          <t>S529</t>
        </is>
      </c>
      <c r="B530" s="17" t="inlineStr">
        <is>
          <t>P467</t>
        </is>
      </c>
      <c r="C530" s="17" t="inlineStr">
        <is>
          <t>삼양바이오팜</t>
        </is>
      </c>
      <c r="D530" s="17" t="inlineStr">
        <is>
          <t>(주)삼양바이오팜</t>
        </is>
      </c>
      <c r="E530" s="17" t="inlineStr">
        <is>
          <t>대전광역시 대덕구 신일동로 79</t>
        </is>
      </c>
      <c r="F530" s="17" t="inlineStr">
        <is>
          <t>대전광역시 대덕구 신일동로 79</t>
        </is>
      </c>
      <c r="G530" s="17" t="inlineStr">
        <is>
          <t>대전광역시 대덕구 신일동로 79</t>
        </is>
      </c>
      <c r="H530" s="17" t="inlineStr">
        <is>
          <t>신일</t>
        </is>
      </c>
      <c r="I530" s="23" t="inlineStr">
        <is>
          <t>1888</t>
        </is>
      </c>
      <c r="J530" s="17" t="inlineStr">
        <is>
          <t>2</t>
        </is>
      </c>
      <c r="K530" s="17" t="inlineStr">
        <is>
          <t>원료의약품</t>
        </is>
      </c>
      <c r="L530" s="17" t="inlineStr">
        <is>
          <t>비무균-세포독성항암제제-합성, 비무균-세포독성항암제제-발효</t>
        </is>
      </c>
      <c r="M530" s="24" t="n">
        <v>46334</v>
      </c>
      <c r="N530" s="17" t="inlineStr"/>
      <c r="O530" s="17" t="inlineStr"/>
      <c r="P530" s="17" t="inlineStr">
        <is>
          <t>대전광역시</t>
        </is>
      </c>
      <c r="Q530" s="17" t="inlineStr">
        <is>
          <t>대덕구</t>
        </is>
      </c>
      <c r="R530" s="17" t="inlineStr">
        <is>
          <t>GMP공장소재지</t>
        </is>
      </c>
      <c r="S530" s="17" t="n">
        <v>90</v>
      </c>
      <c r="T530" s="17" t="inlineStr">
        <is>
          <t>N</t>
        </is>
      </c>
      <c r="U530" s="17" t="n">
        <v>2</v>
      </c>
      <c r="V530" s="24" t="n">
        <v>46334</v>
      </c>
      <c r="W530" s="17" t="inlineStr">
        <is>
          <t>Y</t>
        </is>
      </c>
      <c r="X530" s="17" t="inlineStr">
        <is>
          <t>Y</t>
        </is>
      </c>
      <c r="Y530" s="17" t="inlineStr">
        <is>
          <t>회사키+주소</t>
        </is>
      </c>
      <c r="Z530" s="17" t="n">
        <v>90</v>
      </c>
      <c r="AA530" s="17" t="inlineStr"/>
    </row>
    <row r="531">
      <c r="A531" s="30" t="inlineStr">
        <is>
          <t>S530</t>
        </is>
      </c>
      <c r="B531" s="17" t="inlineStr">
        <is>
          <t>P468</t>
        </is>
      </c>
      <c r="C531" s="17" t="inlineStr">
        <is>
          <t>에이치엘지노믹스</t>
        </is>
      </c>
      <c r="D531" s="17" t="inlineStr">
        <is>
          <t>에이치엘지노믹스(주)</t>
        </is>
      </c>
      <c r="E531" s="17" t="inlineStr">
        <is>
          <t>경기도 용인시 처인구 원삼면 보개원삼로 1552</t>
        </is>
      </c>
      <c r="F531" s="17" t="inlineStr">
        <is>
          <t>경기도 용인시 처인구 원삼면 보개원삼로 1552</t>
        </is>
      </c>
      <c r="G531" s="17" t="inlineStr">
        <is>
          <t>경기도 용인시 처인구 원삼면 보개원삼로 1552</t>
        </is>
      </c>
      <c r="H531" s="17" t="inlineStr">
        <is>
          <t>용인</t>
        </is>
      </c>
      <c r="I531" s="23" t="inlineStr">
        <is>
          <t>0094</t>
        </is>
      </c>
      <c r="J531" s="17" t="inlineStr">
        <is>
          <t>2</t>
        </is>
      </c>
      <c r="K531" s="17" t="inlineStr">
        <is>
          <t>원료의약품</t>
        </is>
      </c>
      <c r="L531" s="17" t="inlineStr">
        <is>
          <t>비무균-일반제제-합성</t>
        </is>
      </c>
      <c r="M531" s="24" t="n">
        <v>46333</v>
      </c>
      <c r="N531" s="17" t="inlineStr"/>
      <c r="O531" s="17" t="inlineStr"/>
      <c r="P531" s="17" t="inlineStr">
        <is>
          <t>경기도</t>
        </is>
      </c>
      <c r="Q531" s="17" t="inlineStr">
        <is>
          <t>용인시</t>
        </is>
      </c>
      <c r="R531" s="17" t="inlineStr">
        <is>
          <t>GMP공장소재지</t>
        </is>
      </c>
      <c r="S531" s="17" t="n">
        <v>90</v>
      </c>
      <c r="T531" s="17" t="inlineStr">
        <is>
          <t>Y</t>
        </is>
      </c>
      <c r="U531" s="17" t="n">
        <v>1</v>
      </c>
      <c r="V531" s="24" t="n">
        <v>46333</v>
      </c>
      <c r="W531" s="17" t="inlineStr">
        <is>
          <t>Y</t>
        </is>
      </c>
      <c r="X531" s="17" t="inlineStr">
        <is>
          <t>Y</t>
        </is>
      </c>
      <c r="Y531" s="17" t="inlineStr">
        <is>
          <t>회사키+주소</t>
        </is>
      </c>
      <c r="Z531" s="17" t="n">
        <v>90</v>
      </c>
      <c r="AA531" s="17" t="inlineStr"/>
    </row>
    <row r="532">
      <c r="A532" s="30" t="inlineStr">
        <is>
          <t>S531</t>
        </is>
      </c>
      <c r="B532" s="17" t="inlineStr">
        <is>
          <t>P469</t>
        </is>
      </c>
      <c r="C532" s="17" t="inlineStr">
        <is>
          <t>다산제약</t>
        </is>
      </c>
      <c r="D532" s="17" t="inlineStr">
        <is>
          <t>(주)다산제약</t>
        </is>
      </c>
      <c r="E532" s="17" t="inlineStr">
        <is>
          <t>충청남도 아산시 도고면 덕암산로 342</t>
        </is>
      </c>
      <c r="F532" s="17" t="inlineStr">
        <is>
          <t>충청남도 아산시 도고면 덕암산로 381</t>
        </is>
      </c>
      <c r="G532" s="17" t="inlineStr">
        <is>
          <t>충청남도 아산시 도고면 덕암산로 342</t>
        </is>
      </c>
      <c r="H532" s="17" t="inlineStr">
        <is>
          <t>제2공장</t>
        </is>
      </c>
      <c r="I532" s="23" t="inlineStr">
        <is>
          <t>2243</t>
        </is>
      </c>
      <c r="J532" s="17" t="inlineStr">
        <is>
          <t>2</t>
        </is>
      </c>
      <c r="K532" s="17" t="inlineStr">
        <is>
          <t>원료의약품</t>
        </is>
      </c>
      <c r="L532" s="17" t="inlineStr">
        <is>
          <t>비무균-일반제제-(소분, 과립)</t>
        </is>
      </c>
      <c r="M532" s="24" t="n">
        <v>46328</v>
      </c>
      <c r="N532" s="17" t="inlineStr"/>
      <c r="O532" s="17" t="inlineStr"/>
      <c r="P532" s="17" t="inlineStr">
        <is>
          <t>충청남도</t>
        </is>
      </c>
      <c r="Q532" s="17" t="inlineStr">
        <is>
          <t>아산시</t>
        </is>
      </c>
      <c r="R532" s="17" t="inlineStr">
        <is>
          <t>GMP공장소재지</t>
        </is>
      </c>
      <c r="S532" s="17" t="n">
        <v>90</v>
      </c>
      <c r="T532" s="17" t="inlineStr">
        <is>
          <t>Y</t>
        </is>
      </c>
      <c r="U532" s="17" t="n">
        <v>2</v>
      </c>
      <c r="V532" s="24" t="n">
        <v>46328</v>
      </c>
      <c r="W532" s="17" t="inlineStr">
        <is>
          <t>Y</t>
        </is>
      </c>
      <c r="X532" s="17" t="inlineStr">
        <is>
          <t>Y</t>
        </is>
      </c>
      <c r="Y532" s="17" t="inlineStr">
        <is>
          <t>회사키+주소</t>
        </is>
      </c>
      <c r="Z532" s="17" t="n">
        <v>90</v>
      </c>
      <c r="AA532" s="17" t="inlineStr"/>
    </row>
    <row r="533">
      <c r="A533" s="30" t="inlineStr">
        <is>
          <t>S532</t>
        </is>
      </c>
      <c r="B533" s="17" t="inlineStr">
        <is>
          <t>P470</t>
        </is>
      </c>
      <c r="C533" s="17" t="inlineStr">
        <is>
          <t>화일약품</t>
        </is>
      </c>
      <c r="D533" s="17" t="inlineStr">
        <is>
          <t>화일약품(주)</t>
        </is>
      </c>
      <c r="E533" s="17" t="inlineStr">
        <is>
          <t>경기도 화성시 만세구 향남읍 발안공단로1길 45</t>
        </is>
      </c>
      <c r="F533" s="17" t="inlineStr">
        <is>
          <t>경기도 화성시 만세구 향남읍 발안공단로1길 45</t>
        </is>
      </c>
      <c r="G533" s="17" t="inlineStr">
        <is>
          <t>경기도 화성시 만세구 향남읍 발안공단로1길 45</t>
        </is>
      </c>
      <c r="H533" s="17" t="inlineStr">
        <is>
          <t>발안(소분)</t>
        </is>
      </c>
      <c r="I533" s="23" t="inlineStr">
        <is>
          <t>2014</t>
        </is>
      </c>
      <c r="J533" s="17" t="inlineStr">
        <is>
          <t>4</t>
        </is>
      </c>
      <c r="K533" s="17" t="inlineStr">
        <is>
          <t>원료의약품</t>
        </is>
      </c>
      <c r="L533" s="17" t="inlineStr">
        <is>
          <t>비무균-일반제제-소분</t>
        </is>
      </c>
      <c r="M533" s="24" t="n">
        <v>46328</v>
      </c>
      <c r="N533" s="17" t="inlineStr"/>
      <c r="O533" s="17" t="inlineStr"/>
      <c r="P533" s="17" t="inlineStr">
        <is>
          <t>경기도</t>
        </is>
      </c>
      <c r="Q533" s="17" t="inlineStr">
        <is>
          <t>화성시</t>
        </is>
      </c>
      <c r="R533" s="17" t="inlineStr">
        <is>
          <t>GMP공장소재지</t>
        </is>
      </c>
      <c r="S533" s="17" t="n">
        <v>90</v>
      </c>
      <c r="T533" s="17" t="inlineStr">
        <is>
          <t>Y</t>
        </is>
      </c>
      <c r="U533" s="17" t="n">
        <v>1</v>
      </c>
      <c r="V533" s="24" t="n">
        <v>46328</v>
      </c>
      <c r="W533" s="17" t="inlineStr">
        <is>
          <t>Y</t>
        </is>
      </c>
      <c r="X533" s="17" t="inlineStr">
        <is>
          <t>Y</t>
        </is>
      </c>
      <c r="Y533" s="17" t="inlineStr">
        <is>
          <t>회사키+주소</t>
        </is>
      </c>
      <c r="Z533" s="17" t="n">
        <v>90</v>
      </c>
      <c r="AA533" s="17" t="inlineStr"/>
    </row>
    <row r="534">
      <c r="A534" s="30" t="inlineStr">
        <is>
          <t>S533</t>
        </is>
      </c>
      <c r="B534" s="17" t="inlineStr">
        <is>
          <t>P469</t>
        </is>
      </c>
      <c r="C534" s="17" t="inlineStr">
        <is>
          <t>다산제약</t>
        </is>
      </c>
      <c r="D534" s="17" t="inlineStr">
        <is>
          <t>(주)다산제약</t>
        </is>
      </c>
      <c r="E534" s="17" t="inlineStr">
        <is>
          <t>충청남도 아산시 도고면 덕암산로 342</t>
        </is>
      </c>
      <c r="F534" s="17" t="inlineStr">
        <is>
          <t>충청남도 아산시 도고면 덕암산로 381</t>
        </is>
      </c>
      <c r="G534" s="17" t="inlineStr">
        <is>
          <t>충청남도 아산시 도고면 덕암산로 342</t>
        </is>
      </c>
      <c r="H534" s="17" t="inlineStr">
        <is>
          <t>제2공장</t>
        </is>
      </c>
      <c r="I534" s="23" t="inlineStr">
        <is>
          <t>2243</t>
        </is>
      </c>
      <c r="J534" s="17" t="inlineStr">
        <is>
          <t>2</t>
        </is>
      </c>
      <c r="K534" s="17" t="inlineStr">
        <is>
          <t>완제의약품</t>
        </is>
      </c>
      <c r="L534" s="17" t="inlineStr">
        <is>
          <t>비무균-일반제제-내용고형제(정제, 과립제)</t>
        </is>
      </c>
      <c r="M534" s="24" t="n">
        <v>46328</v>
      </c>
      <c r="N534" s="17" t="inlineStr"/>
      <c r="O534" s="17" t="inlineStr"/>
      <c r="P534" s="17" t="inlineStr">
        <is>
          <t>충청남도</t>
        </is>
      </c>
      <c r="Q534" s="17" t="inlineStr">
        <is>
          <t>아산시</t>
        </is>
      </c>
      <c r="R534" s="17" t="inlineStr">
        <is>
          <t>GMP공장소재지</t>
        </is>
      </c>
      <c r="S534" s="17" t="n">
        <v>90</v>
      </c>
      <c r="T534" s="17" t="inlineStr">
        <is>
          <t>N</t>
        </is>
      </c>
      <c r="U534" s="17" t="n">
        <v>2</v>
      </c>
      <c r="V534" s="24" t="n">
        <v>46328</v>
      </c>
      <c r="W534" s="17" t="inlineStr">
        <is>
          <t>Y</t>
        </is>
      </c>
      <c r="X534" s="17" t="inlineStr">
        <is>
          <t>Y</t>
        </is>
      </c>
      <c r="Y534" s="17" t="inlineStr">
        <is>
          <t>회사키+주소</t>
        </is>
      </c>
      <c r="Z534" s="17" t="n">
        <v>90</v>
      </c>
      <c r="AA534" s="17" t="inlineStr"/>
    </row>
    <row r="535">
      <c r="A535" s="30" t="inlineStr">
        <is>
          <t>S534</t>
        </is>
      </c>
      <c r="B535" s="17" t="inlineStr">
        <is>
          <t>P471</t>
        </is>
      </c>
      <c r="C535" s="17" t="inlineStr">
        <is>
          <t>영진약품</t>
        </is>
      </c>
      <c r="D535" s="17" t="inlineStr">
        <is>
          <t>영진약품(주)</t>
        </is>
      </c>
      <c r="E535" s="17" t="inlineStr">
        <is>
          <t>전북특별자치도 완주군 봉동읍 완주산단5로 21</t>
        </is>
      </c>
      <c r="F535" s="17" t="inlineStr"/>
      <c r="G535" s="17" t="inlineStr">
        <is>
          <t>전북특별자치도 완주군 봉동읍 완주산단5로 21</t>
        </is>
      </c>
      <c r="H535" s="17" t="inlineStr">
        <is>
          <t>미확인</t>
        </is>
      </c>
      <c r="I535" s="23" t="inlineStr">
        <is>
          <t>1421</t>
        </is>
      </c>
      <c r="J535" s="17" t="inlineStr"/>
      <c r="K535" s="17" t="inlineStr">
        <is>
          <t>원료의약품</t>
        </is>
      </c>
      <c r="L535" s="17" t="inlineStr">
        <is>
          <t>비무균-세팔로스포린제제-합성, 비무균-일반제제-합성</t>
        </is>
      </c>
      <c r="M535" s="24" t="n">
        <v>46327</v>
      </c>
      <c r="N535" s="17" t="inlineStr"/>
      <c r="O535" s="17" t="inlineStr"/>
      <c r="P535" s="17" t="inlineStr">
        <is>
          <t>전북특별자치도</t>
        </is>
      </c>
      <c r="Q535" s="17" t="inlineStr">
        <is>
          <t>완주군</t>
        </is>
      </c>
      <c r="R535" s="17" t="inlineStr">
        <is>
          <t>GMP공장소재지</t>
        </is>
      </c>
      <c r="S535" s="17" t="n">
        <v>0</v>
      </c>
      <c r="T535" s="17" t="inlineStr">
        <is>
          <t>Y</t>
        </is>
      </c>
      <c r="U535" s="17" t="n">
        <v>1</v>
      </c>
      <c r="V535" s="24" t="n">
        <v>46327</v>
      </c>
      <c r="W535" s="17" t="inlineStr">
        <is>
          <t>Y</t>
        </is>
      </c>
      <c r="X535" s="17" t="inlineStr">
        <is>
          <t>Y</t>
        </is>
      </c>
      <c r="Y535" s="17" t="inlineStr">
        <is>
          <t>무매칭</t>
        </is>
      </c>
      <c r="Z535" s="17" t="n">
        <v>0</v>
      </c>
      <c r="AA535" s="17" t="inlineStr">
        <is>
          <t>Y</t>
        </is>
      </c>
    </row>
    <row r="536">
      <c r="A536" s="30" t="inlineStr">
        <is>
          <t>S535</t>
        </is>
      </c>
      <c r="B536" s="17" t="inlineStr">
        <is>
          <t>P472</t>
        </is>
      </c>
      <c r="C536" s="17" t="inlineStr">
        <is>
          <t>유영제약</t>
        </is>
      </c>
      <c r="D536" s="17" t="inlineStr">
        <is>
          <t>(주)유영제약</t>
        </is>
      </c>
      <c r="E536" s="17" t="inlineStr">
        <is>
          <t>충청북도 진천군 광혜원면 용소2길 33</t>
        </is>
      </c>
      <c r="F536" s="17" t="inlineStr">
        <is>
          <t>충청북도 진천군 광혜원면 용소2길 33</t>
        </is>
      </c>
      <c r="G536" s="17" t="inlineStr">
        <is>
          <t>충청북도 진천군 광혜원면 용소2길 33</t>
        </is>
      </c>
      <c r="H536" s="17" t="inlineStr">
        <is>
          <t>진천</t>
        </is>
      </c>
      <c r="I536" s="23" t="inlineStr">
        <is>
          <t>1394</t>
        </is>
      </c>
      <c r="J536" s="17" t="inlineStr">
        <is>
          <t>1</t>
        </is>
      </c>
      <c r="K536" s="17" t="inlineStr">
        <is>
          <t>원료의약품</t>
        </is>
      </c>
      <c r="L536" s="17" t="inlineStr">
        <is>
          <t>비무균-일반제제-합성</t>
        </is>
      </c>
      <c r="M536" s="24" t="n">
        <v>46327</v>
      </c>
      <c r="N536" s="17" t="inlineStr"/>
      <c r="O536" s="17" t="inlineStr"/>
      <c r="P536" s="17" t="inlineStr">
        <is>
          <t>충청북도</t>
        </is>
      </c>
      <c r="Q536" s="17" t="inlineStr">
        <is>
          <t>진천군</t>
        </is>
      </c>
      <c r="R536" s="17" t="inlineStr">
        <is>
          <t>GMP공장소재지</t>
        </is>
      </c>
      <c r="S536" s="17" t="n">
        <v>90</v>
      </c>
      <c r="T536" s="17" t="inlineStr">
        <is>
          <t>Y</t>
        </is>
      </c>
      <c r="U536" s="17" t="n">
        <v>2</v>
      </c>
      <c r="V536" s="24" t="n">
        <v>46327</v>
      </c>
      <c r="W536" s="17" t="inlineStr">
        <is>
          <t>Y</t>
        </is>
      </c>
      <c r="X536" s="17" t="inlineStr">
        <is>
          <t>Y</t>
        </is>
      </c>
      <c r="Y536" s="17" t="inlineStr">
        <is>
          <t>회사키+주소</t>
        </is>
      </c>
      <c r="Z536" s="17" t="n">
        <v>90</v>
      </c>
      <c r="AA536" s="17" t="inlineStr"/>
    </row>
    <row r="537">
      <c r="A537" s="30" t="inlineStr">
        <is>
          <t>S536</t>
        </is>
      </c>
      <c r="B537" s="17" t="inlineStr">
        <is>
          <t>P473</t>
        </is>
      </c>
      <c r="C537" s="17" t="inlineStr">
        <is>
          <t>한성산업</t>
        </is>
      </c>
      <c r="D537" s="17" t="inlineStr">
        <is>
          <t>한성산업(주)</t>
        </is>
      </c>
      <c r="E537" s="17" t="inlineStr">
        <is>
          <t>부산광역시 사상구 낙동대로915번길 12</t>
        </is>
      </c>
      <c r="F537" s="17" t="inlineStr">
        <is>
          <t>부산광역시 사상구 낙동대로915번길 12</t>
        </is>
      </c>
      <c r="G537" s="17" t="inlineStr">
        <is>
          <t>부산광역시 사상구 낙동대로915번길 12</t>
        </is>
      </c>
      <c r="H537" s="17" t="inlineStr">
        <is>
          <t>사상</t>
        </is>
      </c>
      <c r="I537" s="23" t="inlineStr">
        <is>
          <t>1592</t>
        </is>
      </c>
      <c r="J537" s="17" t="inlineStr">
        <is>
          <t>1</t>
        </is>
      </c>
      <c r="K537" s="17" t="inlineStr">
        <is>
          <t>완제의약품</t>
        </is>
      </c>
      <c r="L537" s="17" t="inlineStr">
        <is>
          <t>비무균-일반제제(의료용 고압가스)-가스제(의료용 고압가스)</t>
        </is>
      </c>
      <c r="M537" s="24" t="n">
        <v>46327</v>
      </c>
      <c r="N537" s="17" t="inlineStr"/>
      <c r="O537" s="17" t="inlineStr"/>
      <c r="P537" s="17" t="inlineStr">
        <is>
          <t>부산광역시</t>
        </is>
      </c>
      <c r="Q537" s="17" t="inlineStr">
        <is>
          <t>사상구</t>
        </is>
      </c>
      <c r="R537" s="17" t="inlineStr">
        <is>
          <t>GMP공장소재지</t>
        </is>
      </c>
      <c r="S537" s="17" t="n">
        <v>90</v>
      </c>
      <c r="T537" s="17" t="inlineStr">
        <is>
          <t>Y</t>
        </is>
      </c>
      <c r="U537" s="17" t="n">
        <v>1</v>
      </c>
      <c r="V537" s="24" t="n">
        <v>46327</v>
      </c>
      <c r="W537" s="17" t="inlineStr">
        <is>
          <t>Y</t>
        </is>
      </c>
      <c r="X537" s="17" t="inlineStr">
        <is>
          <t>Y</t>
        </is>
      </c>
      <c r="Y537" s="17" t="inlineStr">
        <is>
          <t>회사키+주소</t>
        </is>
      </c>
      <c r="Z537" s="17" t="n">
        <v>90</v>
      </c>
      <c r="AA537" s="17" t="inlineStr"/>
    </row>
    <row r="538">
      <c r="A538" s="30" t="inlineStr">
        <is>
          <t>S537</t>
        </is>
      </c>
      <c r="B538" s="17" t="inlineStr">
        <is>
          <t>P472</t>
        </is>
      </c>
      <c r="C538" s="17" t="inlineStr">
        <is>
          <t>유영제약</t>
        </is>
      </c>
      <c r="D538" s="17" t="inlineStr">
        <is>
          <t>(주)유영제약</t>
        </is>
      </c>
      <c r="E538" s="17" t="inlineStr">
        <is>
          <t>충청북도 진천군 광혜원면 용소2길 33</t>
        </is>
      </c>
      <c r="F538" s="17" t="inlineStr">
        <is>
          <t>충청북도 진천군 광혜원면 용소2길 33</t>
        </is>
      </c>
      <c r="G538" s="17" t="inlineStr">
        <is>
          <t>충청북도 진천군 광혜원면 용소2길 33</t>
        </is>
      </c>
      <c r="H538" s="17" t="inlineStr">
        <is>
          <t>진천</t>
        </is>
      </c>
      <c r="I538" s="23" t="inlineStr">
        <is>
          <t>1394</t>
        </is>
      </c>
      <c r="J538" s="17" t="inlineStr">
        <is>
          <t>1</t>
        </is>
      </c>
      <c r="K538" s="17" t="inlineStr">
        <is>
          <t>완제의약품</t>
        </is>
      </c>
      <c r="L538" s="17" t="inlineStr">
        <is>
          <t>비무균-일반제제-내용고형제(정제, 캡슐제), 무균-일반제제-주사제(주사제)</t>
        </is>
      </c>
      <c r="M538" s="24" t="n">
        <v>46327</v>
      </c>
      <c r="N538" s="17" t="inlineStr">
        <is>
          <t>Y</t>
        </is>
      </c>
      <c r="O538" s="17" t="inlineStr"/>
      <c r="P538" s="17" t="inlineStr">
        <is>
          <t>충청북도</t>
        </is>
      </c>
      <c r="Q538" s="17" t="inlineStr">
        <is>
          <t>진천군</t>
        </is>
      </c>
      <c r="R538" s="17" t="inlineStr">
        <is>
          <t>GMP공장소재지</t>
        </is>
      </c>
      <c r="S538" s="17" t="n">
        <v>90</v>
      </c>
      <c r="T538" s="17" t="inlineStr">
        <is>
          <t>N</t>
        </is>
      </c>
      <c r="U538" s="17" t="n">
        <v>2</v>
      </c>
      <c r="V538" s="24" t="n">
        <v>46327</v>
      </c>
      <c r="W538" s="17" t="inlineStr">
        <is>
          <t>Y</t>
        </is>
      </c>
      <c r="X538" s="17" t="inlineStr">
        <is>
          <t>Y</t>
        </is>
      </c>
      <c r="Y538" s="17" t="inlineStr">
        <is>
          <t>회사키+주소</t>
        </is>
      </c>
      <c r="Z538" s="17" t="n">
        <v>90</v>
      </c>
      <c r="AA538" s="17" t="inlineStr"/>
    </row>
    <row r="539">
      <c r="A539" s="30" t="inlineStr">
        <is>
          <t>S538</t>
        </is>
      </c>
      <c r="B539" s="17" t="inlineStr">
        <is>
          <t>P474</t>
        </is>
      </c>
      <c r="C539" s="17" t="inlineStr">
        <is>
          <t>팬젠</t>
        </is>
      </c>
      <c r="D539" s="17" t="inlineStr">
        <is>
          <t>(주)팬젠</t>
        </is>
      </c>
      <c r="E539" s="17" t="inlineStr">
        <is>
          <t>경기도 수원시 영통구 신원로 306 영통이노플렉스 2동 4층 (원천동)</t>
        </is>
      </c>
      <c r="F539" s="17" t="inlineStr">
        <is>
          <t>경기도 수원시 영통구 신원로 306 영통이노플렉스 2동 4층 (원천동)</t>
        </is>
      </c>
      <c r="G539" s="17" t="inlineStr">
        <is>
          <t>경기도 수원시 영통구 신원로 306 영통이노플렉스 2동 4층 (원천동)</t>
        </is>
      </c>
      <c r="H539" s="17" t="inlineStr">
        <is>
          <t>(주)팬젠 수원공장</t>
        </is>
      </c>
      <c r="I539" s="23" t="inlineStr">
        <is>
          <t>339</t>
        </is>
      </c>
      <c r="J539" s="17" t="inlineStr">
        <is>
          <t>1</t>
        </is>
      </c>
      <c r="K539" s="17" t="inlineStr">
        <is>
          <t>원료의약품</t>
        </is>
      </c>
      <c r="L539" s="17" t="inlineStr">
        <is>
          <t>생물-유전자재조합의약품-(배양, 정제, 바이러스불활화, 원액 제조)</t>
        </is>
      </c>
      <c r="M539" s="24" t="n">
        <v>46320</v>
      </c>
      <c r="N539" s="17" t="inlineStr"/>
      <c r="O539" s="17" t="inlineStr">
        <is>
          <t>Y</t>
        </is>
      </c>
      <c r="P539" s="17" t="inlineStr">
        <is>
          <t>경기도</t>
        </is>
      </c>
      <c r="Q539" s="17" t="inlineStr">
        <is>
          <t>수원시</t>
        </is>
      </c>
      <c r="R539" s="17" t="inlineStr">
        <is>
          <t>GMP공장소재지</t>
        </is>
      </c>
      <c r="S539" s="17" t="n">
        <v>90</v>
      </c>
      <c r="T539" s="17" t="inlineStr">
        <is>
          <t>Y</t>
        </is>
      </c>
      <c r="U539" s="17" t="n">
        <v>1</v>
      </c>
      <c r="V539" s="24" t="n">
        <v>46320</v>
      </c>
      <c r="W539" s="17" t="inlineStr">
        <is>
          <t>Y</t>
        </is>
      </c>
      <c r="X539" s="17" t="inlineStr">
        <is>
          <t>Y</t>
        </is>
      </c>
      <c r="Y539" s="17" t="inlineStr">
        <is>
          <t>회사키+주소</t>
        </is>
      </c>
      <c r="Z539" s="17" t="n">
        <v>90</v>
      </c>
      <c r="AA539" s="17" t="inlineStr"/>
    </row>
    <row r="540">
      <c r="A540" s="30" t="inlineStr">
        <is>
          <t>S539</t>
        </is>
      </c>
      <c r="B540" s="17" t="inlineStr">
        <is>
          <t>P475</t>
        </is>
      </c>
      <c r="C540" s="17" t="inlineStr">
        <is>
          <t>경북산업가스충전소</t>
        </is>
      </c>
      <c r="D540" s="17" t="inlineStr">
        <is>
          <t>경북산업가스충전소</t>
        </is>
      </c>
      <c r="E540" s="17" t="inlineStr">
        <is>
          <t>경상북도 구미시 고아읍 선산대로 516 , 518</t>
        </is>
      </c>
      <c r="F540" s="17" t="inlineStr">
        <is>
          <t>경상북도 구미시 고아읍 선산대로 516 , 518</t>
        </is>
      </c>
      <c r="G540" s="17" t="inlineStr">
        <is>
          <t>경상북도 구미시 고아읍 선산대로 516 , 518</t>
        </is>
      </c>
      <c r="H540" s="17" t="inlineStr">
        <is>
          <t>경북산업가스충전소</t>
        </is>
      </c>
      <c r="I540" s="23" t="inlineStr">
        <is>
          <t>92</t>
        </is>
      </c>
      <c r="J540" s="17" t="inlineStr">
        <is>
          <t>1</t>
        </is>
      </c>
      <c r="K540" s="17" t="inlineStr">
        <is>
          <t>완제의약품</t>
        </is>
      </c>
      <c r="L540" s="17" t="inlineStr">
        <is>
          <t>비무균-일반제제(의료용 고압가스)-가스제(의료용 고압가스)</t>
        </is>
      </c>
      <c r="M540" s="24" t="n">
        <v>46320</v>
      </c>
      <c r="N540" s="17" t="inlineStr"/>
      <c r="O540" s="17" t="inlineStr"/>
      <c r="P540" s="17" t="inlineStr">
        <is>
          <t>경상북도</t>
        </is>
      </c>
      <c r="Q540" s="17" t="inlineStr">
        <is>
          <t>구미시</t>
        </is>
      </c>
      <c r="R540" s="17" t="inlineStr">
        <is>
          <t>GMP공장소재지</t>
        </is>
      </c>
      <c r="S540" s="17" t="n">
        <v>90</v>
      </c>
      <c r="T540" s="17" t="inlineStr">
        <is>
          <t>Y</t>
        </is>
      </c>
      <c r="U540" s="17" t="n">
        <v>1</v>
      </c>
      <c r="V540" s="24" t="n">
        <v>46320</v>
      </c>
      <c r="W540" s="17" t="inlineStr">
        <is>
          <t>Y</t>
        </is>
      </c>
      <c r="X540" s="17" t="inlineStr">
        <is>
          <t>Y</t>
        </is>
      </c>
      <c r="Y540" s="17" t="inlineStr">
        <is>
          <t>회사키+주소</t>
        </is>
      </c>
      <c r="Z540" s="17" t="n">
        <v>90</v>
      </c>
      <c r="AA540" s="17" t="inlineStr"/>
    </row>
    <row r="541">
      <c r="A541" s="30" t="inlineStr">
        <is>
          <t>S540</t>
        </is>
      </c>
      <c r="B541" s="17" t="inlineStr">
        <is>
          <t>P476</t>
        </is>
      </c>
      <c r="C541" s="17" t="inlineStr">
        <is>
          <t>시믹씨엠오코리아</t>
        </is>
      </c>
      <c r="D541" s="17" t="inlineStr">
        <is>
          <t>시믹씨엠오코리아주식회사</t>
        </is>
      </c>
      <c r="E541" s="17" t="inlineStr">
        <is>
          <t>경기도 부천시 원미구 옥산로230번길 23</t>
        </is>
      </c>
      <c r="F541" s="17" t="inlineStr">
        <is>
          <t>경기도 부천시 원미구 옥산로230번길 23</t>
        </is>
      </c>
      <c r="G541" s="17" t="inlineStr">
        <is>
          <t>경기도 부천시 원미구 옥산로230번길 23</t>
        </is>
      </c>
      <c r="H541" s="17" t="inlineStr">
        <is>
          <t>.</t>
        </is>
      </c>
      <c r="I541" s="23" t="inlineStr">
        <is>
          <t>1544</t>
        </is>
      </c>
      <c r="J541" s="17" t="inlineStr">
        <is>
          <t>1</t>
        </is>
      </c>
      <c r="K541" s="17" t="inlineStr">
        <is>
          <t>완제의약품</t>
        </is>
      </c>
      <c r="L541" s="17" t="inlineStr">
        <is>
          <t>비무균-일반제제-연고제(연고제, 크림제, 겔제)</t>
        </is>
      </c>
      <c r="M541" s="24" t="n">
        <v>46313</v>
      </c>
      <c r="N541" s="17" t="inlineStr"/>
      <c r="O541" s="17" t="inlineStr"/>
      <c r="P541" s="17" t="inlineStr">
        <is>
          <t>경기도</t>
        </is>
      </c>
      <c r="Q541" s="17" t="inlineStr">
        <is>
          <t>부천시</t>
        </is>
      </c>
      <c r="R541" s="17" t="inlineStr">
        <is>
          <t>GMP공장소재지</t>
        </is>
      </c>
      <c r="S541" s="17" t="n">
        <v>90</v>
      </c>
      <c r="T541" s="17" t="inlineStr">
        <is>
          <t>Y</t>
        </is>
      </c>
      <c r="U541" s="17" t="n">
        <v>1</v>
      </c>
      <c r="V541" s="24" t="n">
        <v>46313</v>
      </c>
      <c r="W541" s="17" t="inlineStr">
        <is>
          <t>Y</t>
        </is>
      </c>
      <c r="X541" s="17" t="inlineStr">
        <is>
          <t>Y</t>
        </is>
      </c>
      <c r="Y541" s="17" t="inlineStr">
        <is>
          <t>회사키+주소</t>
        </is>
      </c>
      <c r="Z541" s="17" t="n">
        <v>90</v>
      </c>
      <c r="AA541" s="17" t="inlineStr"/>
    </row>
    <row r="542">
      <c r="A542" s="30" t="inlineStr">
        <is>
          <t>S541</t>
        </is>
      </c>
      <c r="B542" s="17" t="inlineStr">
        <is>
          <t>P477</t>
        </is>
      </c>
      <c r="C542" s="17" t="inlineStr">
        <is>
          <t>대성가스텍</t>
        </is>
      </c>
      <c r="D542" s="17" t="inlineStr">
        <is>
          <t>대성가스텍(주)</t>
        </is>
      </c>
      <c r="E542" s="17" t="inlineStr">
        <is>
          <t>경기도 화성시 향남읍 서봉로 739</t>
        </is>
      </c>
      <c r="F542" s="17" t="inlineStr"/>
      <c r="G542" s="17" t="inlineStr">
        <is>
          <t>경기도 화성시 향남읍 서봉로 739</t>
        </is>
      </c>
      <c r="H542" s="17" t="inlineStr">
        <is>
          <t>미확인</t>
        </is>
      </c>
      <c r="I542" s="23" t="inlineStr">
        <is>
          <t>2561</t>
        </is>
      </c>
      <c r="J542" s="17" t="inlineStr"/>
      <c r="K542" s="17" t="inlineStr">
        <is>
          <t>완제의약품</t>
        </is>
      </c>
      <c r="L542" s="17" t="inlineStr">
        <is>
          <t>비무균-일반제제(의료용 고압가스)-가스제(흡입제(액상), 의료용 고압가스)</t>
        </is>
      </c>
      <c r="M542" s="24" t="n">
        <v>46311</v>
      </c>
      <c r="N542" s="17" t="inlineStr"/>
      <c r="O542" s="17" t="inlineStr"/>
      <c r="P542" s="17" t="inlineStr">
        <is>
          <t>경기도</t>
        </is>
      </c>
      <c r="Q542" s="17" t="inlineStr">
        <is>
          <t>화성시</t>
        </is>
      </c>
      <c r="R542" s="17" t="inlineStr">
        <is>
          <t>GMP공장소재지</t>
        </is>
      </c>
      <c r="S542" s="17" t="n">
        <v>0</v>
      </c>
      <c r="T542" s="17" t="inlineStr">
        <is>
          <t>Y</t>
        </is>
      </c>
      <c r="U542" s="17" t="n">
        <v>1</v>
      </c>
      <c r="V542" s="24" t="n">
        <v>46311</v>
      </c>
      <c r="W542" s="17" t="inlineStr">
        <is>
          <t>Y</t>
        </is>
      </c>
      <c r="X542" s="17" t="inlineStr">
        <is>
          <t>Y</t>
        </is>
      </c>
      <c r="Y542" s="17" t="inlineStr">
        <is>
          <t>무매칭</t>
        </is>
      </c>
      <c r="Z542" s="17" t="n">
        <v>0</v>
      </c>
      <c r="AA542" s="17" t="inlineStr">
        <is>
          <t>Y</t>
        </is>
      </c>
    </row>
    <row r="543">
      <c r="A543" s="30" t="inlineStr">
        <is>
          <t>S542</t>
        </is>
      </c>
      <c r="B543" s="17" t="inlineStr">
        <is>
          <t>P478</t>
        </is>
      </c>
      <c r="C543" s="17" t="inlineStr">
        <is>
          <t>삼남제약</t>
        </is>
      </c>
      <c r="D543" s="17" t="inlineStr">
        <is>
          <t>삼남제약(주)</t>
        </is>
      </c>
      <c r="E543" s="17" t="inlineStr">
        <is>
          <t>충청남도 금산군 금산읍 인삼로 77</t>
        </is>
      </c>
      <c r="F543" s="17" t="inlineStr">
        <is>
          <t>충청남도 금산군 금산읍 인삼로 77</t>
        </is>
      </c>
      <c r="G543" s="17" t="inlineStr">
        <is>
          <t>충청남도 금산군 금산읍 인삼로 77</t>
        </is>
      </c>
      <c r="H543" s="17" t="inlineStr">
        <is>
          <t>금산</t>
        </is>
      </c>
      <c r="I543" s="23" t="inlineStr">
        <is>
          <t>1307</t>
        </is>
      </c>
      <c r="J543" s="17" t="inlineStr">
        <is>
          <t>1</t>
        </is>
      </c>
      <c r="K543" s="17" t="inlineStr">
        <is>
          <t>완제의약품</t>
        </is>
      </c>
      <c r="L543" s="17" t="inlineStr">
        <is>
          <t>비무균-일반제제-내용고형제(정제, 캡슐제, 산제)</t>
        </is>
      </c>
      <c r="M543" s="24" t="n">
        <v>46307</v>
      </c>
      <c r="N543" s="17" t="inlineStr"/>
      <c r="O543" s="17" t="inlineStr"/>
      <c r="P543" s="17" t="inlineStr">
        <is>
          <t>충청남도</t>
        </is>
      </c>
      <c r="Q543" s="17" t="inlineStr">
        <is>
          <t>금산군</t>
        </is>
      </c>
      <c r="R543" s="17" t="inlineStr">
        <is>
          <t>GMP공장소재지</t>
        </is>
      </c>
      <c r="S543" s="17" t="n">
        <v>90</v>
      </c>
      <c r="T543" s="17" t="inlineStr">
        <is>
          <t>Y</t>
        </is>
      </c>
      <c r="U543" s="17" t="n">
        <v>1</v>
      </c>
      <c r="V543" s="24" t="n">
        <v>46307</v>
      </c>
      <c r="W543" s="17" t="inlineStr">
        <is>
          <t>Y</t>
        </is>
      </c>
      <c r="X543" s="17" t="inlineStr">
        <is>
          <t>Y</t>
        </is>
      </c>
      <c r="Y543" s="17" t="inlineStr">
        <is>
          <t>회사키+주소</t>
        </is>
      </c>
      <c r="Z543" s="17" t="n">
        <v>90</v>
      </c>
      <c r="AA543" s="17" t="inlineStr"/>
    </row>
    <row r="544">
      <c r="A544" s="30" t="inlineStr">
        <is>
          <t>S543</t>
        </is>
      </c>
      <c r="B544" s="17" t="inlineStr">
        <is>
          <t>P479</t>
        </is>
      </c>
      <c r="C544" s="17" t="inlineStr">
        <is>
          <t>대원제약</t>
        </is>
      </c>
      <c r="D544" s="17" t="inlineStr">
        <is>
          <t>대원제약(주)</t>
        </is>
      </c>
      <c r="E544" s="17" t="inlineStr">
        <is>
          <t>경기도 화성시 만세구 향남읍 제약공단1길 24</t>
        </is>
      </c>
      <c r="F544" s="17" t="inlineStr">
        <is>
          <t>경기도 화성시 만세구 향남읍 제약공단1길 24</t>
        </is>
      </c>
      <c r="G544" s="17" t="inlineStr">
        <is>
          <t>경기도 화성시 만세구 향남읍 제약공단1길 24</t>
        </is>
      </c>
      <c r="H544" s="17" t="inlineStr">
        <is>
          <t>화성</t>
        </is>
      </c>
      <c r="I544" s="23" t="inlineStr">
        <is>
          <t>1373</t>
        </is>
      </c>
      <c r="J544" s="17" t="inlineStr">
        <is>
          <t>1</t>
        </is>
      </c>
      <c r="K544" s="17" t="inlineStr">
        <is>
          <t>완제의약품</t>
        </is>
      </c>
      <c r="L544" s="17" t="inlineStr">
        <is>
          <t>비무균-일반제제-내용고형제(정제, 캡슐제, 시럽제(고형)), 무균-일반제제-주사제(주사제), 비무균-일반제제-내용액제(시럽제(액상), 현탁제), 비무균-성호르몬제-내용액제(현탁제)</t>
        </is>
      </c>
      <c r="M544" s="24" t="n">
        <v>46307</v>
      </c>
      <c r="N544" s="17" t="inlineStr">
        <is>
          <t>Y</t>
        </is>
      </c>
      <c r="O544" s="17" t="inlineStr"/>
      <c r="P544" s="17" t="inlineStr">
        <is>
          <t>경기도</t>
        </is>
      </c>
      <c r="Q544" s="17" t="inlineStr">
        <is>
          <t>화성시</t>
        </is>
      </c>
      <c r="R544" s="17" t="inlineStr">
        <is>
          <t>GMP공장소재지</t>
        </is>
      </c>
      <c r="S544" s="17" t="n">
        <v>90</v>
      </c>
      <c r="T544" s="17" t="inlineStr">
        <is>
          <t>Y</t>
        </is>
      </c>
      <c r="U544" s="17" t="n">
        <v>1</v>
      </c>
      <c r="V544" s="24" t="n">
        <v>46307</v>
      </c>
      <c r="W544" s="17" t="inlineStr">
        <is>
          <t>Y</t>
        </is>
      </c>
      <c r="X544" s="17" t="inlineStr">
        <is>
          <t>Y</t>
        </is>
      </c>
      <c r="Y544" s="17" t="inlineStr">
        <is>
          <t>회사키+주소</t>
        </is>
      </c>
      <c r="Z544" s="17" t="n">
        <v>90</v>
      </c>
      <c r="AA544" s="17" t="inlineStr"/>
    </row>
    <row r="545">
      <c r="A545" s="30" t="inlineStr">
        <is>
          <t>S544</t>
        </is>
      </c>
      <c r="B545" s="17" t="inlineStr">
        <is>
          <t>P480</t>
        </is>
      </c>
      <c r="C545" s="17" t="inlineStr">
        <is>
          <t>애경바이오팜</t>
        </is>
      </c>
      <c r="D545" s="17" t="inlineStr">
        <is>
          <t>애경바이오팜 주식회사</t>
        </is>
      </c>
      <c r="E545" s="17" t="inlineStr">
        <is>
          <t>울산광역시 남구 상개로 81 (80, 80A)동</t>
        </is>
      </c>
      <c r="F545" s="17" t="inlineStr">
        <is>
          <t>울산광역시 남구 상개로 81 (80, 80A)동</t>
        </is>
      </c>
      <c r="G545" s="17" t="inlineStr">
        <is>
          <t>울산광역시 남구 상개로 81 (80, 80A)동</t>
        </is>
      </c>
      <c r="H545" s="17" t="inlineStr">
        <is>
          <t>제1공장</t>
        </is>
      </c>
      <c r="I545" s="23" t="inlineStr">
        <is>
          <t>6148</t>
        </is>
      </c>
      <c r="J545" s="17" t="inlineStr">
        <is>
          <t>1</t>
        </is>
      </c>
      <c r="K545" s="17" t="inlineStr">
        <is>
          <t>원료의약품</t>
        </is>
      </c>
      <c r="L545" s="17" t="inlineStr">
        <is>
          <t>비무균-일반제제-추출</t>
        </is>
      </c>
      <c r="M545" s="24" t="n">
        <v>46300</v>
      </c>
      <c r="N545" s="17" t="inlineStr"/>
      <c r="O545" s="17" t="inlineStr"/>
      <c r="P545" s="17" t="inlineStr">
        <is>
          <t>울산광역시</t>
        </is>
      </c>
      <c r="Q545" s="17" t="inlineStr">
        <is>
          <t>남구</t>
        </is>
      </c>
      <c r="R545" s="17" t="inlineStr">
        <is>
          <t>GMP공장소재지</t>
        </is>
      </c>
      <c r="S545" s="17" t="n">
        <v>90</v>
      </c>
      <c r="T545" s="17" t="inlineStr">
        <is>
          <t>Y</t>
        </is>
      </c>
      <c r="U545" s="17" t="n">
        <v>1</v>
      </c>
      <c r="V545" s="24" t="n">
        <v>46300</v>
      </c>
      <c r="W545" s="17" t="inlineStr">
        <is>
          <t>Y</t>
        </is>
      </c>
      <c r="X545" s="17" t="inlineStr">
        <is>
          <t>Y</t>
        </is>
      </c>
      <c r="Y545" s="17" t="inlineStr">
        <is>
          <t>회사키+주소</t>
        </is>
      </c>
      <c r="Z545" s="17" t="n">
        <v>90</v>
      </c>
      <c r="AA545" s="17" t="inlineStr"/>
    </row>
    <row r="546">
      <c r="A546" s="30" t="inlineStr">
        <is>
          <t>S545</t>
        </is>
      </c>
      <c r="B546" s="17" t="inlineStr">
        <is>
          <t>P481</t>
        </is>
      </c>
      <c r="C546" s="17" t="inlineStr">
        <is>
          <t>유일팜테크</t>
        </is>
      </c>
      <c r="D546" s="17" t="inlineStr">
        <is>
          <t>(주)유일팜테크</t>
        </is>
      </c>
      <c r="E546" s="17" t="inlineStr">
        <is>
          <t>충청북도 진천군 이월면 물미길 3</t>
        </is>
      </c>
      <c r="F546" s="17" t="inlineStr">
        <is>
          <t>충청북도 진천군 이월면 물미길 3</t>
        </is>
      </c>
      <c r="G546" s="17" t="inlineStr">
        <is>
          <t>충청북도 진천군 이월면 물미길 3</t>
        </is>
      </c>
      <c r="H546" s="17" t="inlineStr">
        <is>
          <t>진천</t>
        </is>
      </c>
      <c r="I546" s="23" t="inlineStr">
        <is>
          <t>2236</t>
        </is>
      </c>
      <c r="J546" s="17" t="inlineStr">
        <is>
          <t>1</t>
        </is>
      </c>
      <c r="K546" s="17" t="inlineStr">
        <is>
          <t>원료의약품</t>
        </is>
      </c>
      <c r="L546" s="17" t="inlineStr">
        <is>
          <t>비무균-일반제제-합성</t>
        </is>
      </c>
      <c r="M546" s="24" t="n">
        <v>46300</v>
      </c>
      <c r="N546" s="17" t="inlineStr"/>
      <c r="O546" s="17" t="inlineStr"/>
      <c r="P546" s="17" t="inlineStr">
        <is>
          <t>충청북도</t>
        </is>
      </c>
      <c r="Q546" s="17" t="inlineStr">
        <is>
          <t>진천군</t>
        </is>
      </c>
      <c r="R546" s="17" t="inlineStr">
        <is>
          <t>GMP공장소재지</t>
        </is>
      </c>
      <c r="S546" s="17" t="n">
        <v>90</v>
      </c>
      <c r="T546" s="17" t="inlineStr">
        <is>
          <t>Y</t>
        </is>
      </c>
      <c r="U546" s="17" t="n">
        <v>1</v>
      </c>
      <c r="V546" s="24" t="n">
        <v>46300</v>
      </c>
      <c r="W546" s="17" t="inlineStr">
        <is>
          <t>Y</t>
        </is>
      </c>
      <c r="X546" s="17" t="inlineStr">
        <is>
          <t>Y</t>
        </is>
      </c>
      <c r="Y546" s="17" t="inlineStr">
        <is>
          <t>회사키+주소</t>
        </is>
      </c>
      <c r="Z546" s="17" t="n">
        <v>90</v>
      </c>
      <c r="AA546" s="17" t="inlineStr"/>
    </row>
    <row r="547">
      <c r="A547" s="30" t="inlineStr">
        <is>
          <t>S546</t>
        </is>
      </c>
      <c r="B547" s="17" t="inlineStr">
        <is>
          <t>P482</t>
        </is>
      </c>
      <c r="C547" s="17" t="inlineStr">
        <is>
          <t>서진산업가스</t>
        </is>
      </c>
      <c r="D547" s="17" t="inlineStr">
        <is>
          <t>서진산업가스(주)</t>
        </is>
      </c>
      <c r="E547" s="17" t="inlineStr">
        <is>
          <t>충청남도 당진시 송산면 무수들길 334</t>
        </is>
      </c>
      <c r="F547" s="17" t="inlineStr">
        <is>
          <t>충청남도 당진시 송산면 무수들길 334</t>
        </is>
      </c>
      <c r="G547" s="17" t="inlineStr">
        <is>
          <t>충청남도 당진시 송산면 무수들길 334</t>
        </is>
      </c>
      <c r="H547" s="17" t="inlineStr">
        <is>
          <t>1공장</t>
        </is>
      </c>
      <c r="I547" s="23" t="inlineStr">
        <is>
          <t>2432</t>
        </is>
      </c>
      <c r="J547" s="17" t="inlineStr">
        <is>
          <t>1</t>
        </is>
      </c>
      <c r="K547" s="17" t="inlineStr">
        <is>
          <t>완제의약품</t>
        </is>
      </c>
      <c r="L547" s="17" t="inlineStr">
        <is>
          <t>비무균-일반제제(의료용 고압가스)-가스제(의료용 고압가스)</t>
        </is>
      </c>
      <c r="M547" s="24" t="n">
        <v>46290</v>
      </c>
      <c r="N547" s="17" t="inlineStr"/>
      <c r="O547" s="17" t="inlineStr"/>
      <c r="P547" s="17" t="inlineStr">
        <is>
          <t>충청남도</t>
        </is>
      </c>
      <c r="Q547" s="17" t="inlineStr">
        <is>
          <t>당진시</t>
        </is>
      </c>
      <c r="R547" s="17" t="inlineStr">
        <is>
          <t>GMP공장소재지</t>
        </is>
      </c>
      <c r="S547" s="17" t="n">
        <v>90</v>
      </c>
      <c r="T547" s="17" t="inlineStr">
        <is>
          <t>Y</t>
        </is>
      </c>
      <c r="U547" s="17" t="n">
        <v>1</v>
      </c>
      <c r="V547" s="24" t="n">
        <v>46290</v>
      </c>
      <c r="W547" s="17" t="inlineStr">
        <is>
          <t>Y</t>
        </is>
      </c>
      <c r="X547" s="17" t="inlineStr">
        <is>
          <t>Y</t>
        </is>
      </c>
      <c r="Y547" s="17" t="inlineStr">
        <is>
          <t>회사키+주소</t>
        </is>
      </c>
      <c r="Z547" s="17" t="n">
        <v>90</v>
      </c>
      <c r="AA547" s="17" t="inlineStr"/>
    </row>
    <row r="548">
      <c r="A548" s="30" t="inlineStr">
        <is>
          <t>S547</t>
        </is>
      </c>
      <c r="B548" s="17" t="inlineStr">
        <is>
          <t>P483</t>
        </is>
      </c>
      <c r="C548" s="17" t="inlineStr">
        <is>
          <t>평화산소</t>
        </is>
      </c>
      <c r="D548" s="17" t="inlineStr">
        <is>
          <t>(주)평화산소</t>
        </is>
      </c>
      <c r="E548" s="17" t="inlineStr">
        <is>
          <t>경상남도 창원시 마산합포구 진북면 정현공단길 113</t>
        </is>
      </c>
      <c r="F548" s="17" t="inlineStr">
        <is>
          <t>경상남도 창원시 마산합포구 진북면 정현공단길 113</t>
        </is>
      </c>
      <c r="G548" s="17" t="inlineStr">
        <is>
          <t>경상남도 창원시 마산합포구 진북면 정현공단길 113</t>
        </is>
      </c>
      <c r="H548" s="17" t="inlineStr">
        <is>
          <t>제1공장</t>
        </is>
      </c>
      <c r="I548" s="23" t="inlineStr">
        <is>
          <t>52</t>
        </is>
      </c>
      <c r="J548" s="17" t="inlineStr">
        <is>
          <t>1</t>
        </is>
      </c>
      <c r="K548" s="17" t="inlineStr">
        <is>
          <t>완제의약품</t>
        </is>
      </c>
      <c r="L548" s="17" t="inlineStr">
        <is>
          <t>그밖의 제형(가스군(흡입제(소분, 기체상, 의료용 고압가스))), 그밖의 제형(액제군(흡입제(소분, 액상, 의료용 고압가스)))</t>
        </is>
      </c>
      <c r="M548" s="24" t="n">
        <v>46290</v>
      </c>
      <c r="N548" s="17" t="inlineStr"/>
      <c r="O548" s="17" t="inlineStr"/>
      <c r="P548" s="17" t="inlineStr">
        <is>
          <t>경상남도</t>
        </is>
      </c>
      <c r="Q548" s="17" t="inlineStr">
        <is>
          <t>창원시</t>
        </is>
      </c>
      <c r="R548" s="17" t="inlineStr">
        <is>
          <t>GMP공장소재지</t>
        </is>
      </c>
      <c r="S548" s="17" t="n">
        <v>90</v>
      </c>
      <c r="T548" s="17" t="inlineStr">
        <is>
          <t>Y</t>
        </is>
      </c>
      <c r="U548" s="17" t="n">
        <v>1</v>
      </c>
      <c r="V548" s="24" t="n">
        <v>46290</v>
      </c>
      <c r="W548" s="17" t="inlineStr">
        <is>
          <t>Y</t>
        </is>
      </c>
      <c r="X548" s="17" t="inlineStr">
        <is>
          <t>Y</t>
        </is>
      </c>
      <c r="Y548" s="17" t="inlineStr">
        <is>
          <t>회사키+주소</t>
        </is>
      </c>
      <c r="Z548" s="17" t="n">
        <v>90</v>
      </c>
      <c r="AA548" s="17" t="inlineStr"/>
    </row>
    <row r="549">
      <c r="A549" s="30" t="inlineStr">
        <is>
          <t>S548</t>
        </is>
      </c>
      <c r="B549" s="17" t="inlineStr">
        <is>
          <t>P484</t>
        </is>
      </c>
      <c r="C549" s="17" t="inlineStr">
        <is>
          <t>한국신약</t>
        </is>
      </c>
      <c r="D549" s="17" t="inlineStr">
        <is>
          <t>(주)한국신약</t>
        </is>
      </c>
      <c r="E549" s="17" t="inlineStr">
        <is>
          <t>충청남도 논산시 양촌면 중산길 39-83</t>
        </is>
      </c>
      <c r="F549" s="17" t="inlineStr">
        <is>
          <t>충청남도 논산시 양촌면 중산길 39-83</t>
        </is>
      </c>
      <c r="G549" s="17" t="inlineStr">
        <is>
          <t>충청남도 논산시 양촌면 중산길 39-83</t>
        </is>
      </c>
      <c r="H549" s="17" t="inlineStr">
        <is>
          <t>논산공장</t>
        </is>
      </c>
      <c r="I549" s="23" t="inlineStr">
        <is>
          <t>1404</t>
        </is>
      </c>
      <c r="J549" s="17" t="inlineStr">
        <is>
          <t>1</t>
        </is>
      </c>
      <c r="K549" s="17" t="inlineStr">
        <is>
          <t>완제의약품</t>
        </is>
      </c>
      <c r="L549" s="17" t="inlineStr">
        <is>
          <t>비무균-일반제제-내용고형제(정제, 캡슐제, 산제, 과립제, 환제), 비무균-일반제제-내용액제(경구용액제, 엑스제(액상))</t>
        </is>
      </c>
      <c r="M549" s="24" t="n">
        <v>46286</v>
      </c>
      <c r="N549" s="17" t="inlineStr"/>
      <c r="O549" s="17" t="inlineStr"/>
      <c r="P549" s="17" t="inlineStr">
        <is>
          <t>충청남도</t>
        </is>
      </c>
      <c r="Q549" s="17" t="inlineStr">
        <is>
          <t>논산시</t>
        </is>
      </c>
      <c r="R549" s="17" t="inlineStr">
        <is>
          <t>GMP공장소재지</t>
        </is>
      </c>
      <c r="S549" s="17" t="n">
        <v>90</v>
      </c>
      <c r="T549" s="17" t="inlineStr">
        <is>
          <t>Y</t>
        </is>
      </c>
      <c r="U549" s="17" t="n">
        <v>1</v>
      </c>
      <c r="V549" s="24" t="n">
        <v>46286</v>
      </c>
      <c r="W549" s="17" t="inlineStr">
        <is>
          <t>Y</t>
        </is>
      </c>
      <c r="X549" s="17" t="inlineStr">
        <is>
          <t>Y</t>
        </is>
      </c>
      <c r="Y549" s="17" t="inlineStr">
        <is>
          <t>회사키+주소</t>
        </is>
      </c>
      <c r="Z549" s="17" t="n">
        <v>90</v>
      </c>
      <c r="AA549" s="17" t="inlineStr"/>
    </row>
    <row r="550">
      <c r="A550" s="30" t="inlineStr">
        <is>
          <t>S549</t>
        </is>
      </c>
      <c r="B550" s="17" t="inlineStr">
        <is>
          <t>P485</t>
        </is>
      </c>
      <c r="C550" s="17" t="inlineStr">
        <is>
          <t>일동제약</t>
        </is>
      </c>
      <c r="D550" s="17" t="inlineStr">
        <is>
          <t>일동제약(주)</t>
        </is>
      </c>
      <c r="E550" s="17" t="inlineStr">
        <is>
          <t>경기도 안성시 공단1로 25</t>
        </is>
      </c>
      <c r="F550" s="17" t="inlineStr">
        <is>
          <t>경기도 안성시 공단1로 25</t>
        </is>
      </c>
      <c r="G550" s="17" t="inlineStr">
        <is>
          <t>경기도 안성시 공단1로 25</t>
        </is>
      </c>
      <c r="H550" s="17" t="inlineStr">
        <is>
          <t>안성</t>
        </is>
      </c>
      <c r="I550" s="23" t="inlineStr">
        <is>
          <t>1293</t>
        </is>
      </c>
      <c r="J550" s="17" t="inlineStr">
        <is>
          <t>1</t>
        </is>
      </c>
      <c r="K550" s="17" t="inlineStr">
        <is>
          <t>완제의약품</t>
        </is>
      </c>
      <c r="L550" s="17" t="inlineStr">
        <is>
          <t>비무균-일반제제-내용고형제(정제, 캡슐제, 과립제), 무균-일반제제-주사제(주사제, 동결건조주사제), 무균-세팔로스포린제제-주사제(동결건조주사제), 무균-세포독성항암제제-주사제(주사제, 동결건조주사제), 비무균-세팔로스포린제제-내용고형제(정제, 캡슐제, 산제, 시럽제(고형)), 비무균-세포독성항암제제-내용고형제(정제, 캡슐제)</t>
        </is>
      </c>
      <c r="M550" s="24" t="n">
        <v>46286</v>
      </c>
      <c r="N550" s="17" t="inlineStr">
        <is>
          <t>Y</t>
        </is>
      </c>
      <c r="O550" s="17" t="inlineStr"/>
      <c r="P550" s="17" t="inlineStr">
        <is>
          <t>경기도</t>
        </is>
      </c>
      <c r="Q550" s="17" t="inlineStr">
        <is>
          <t>안성시</t>
        </is>
      </c>
      <c r="R550" s="17" t="inlineStr">
        <is>
          <t>GMP공장소재지</t>
        </is>
      </c>
      <c r="S550" s="17" t="n">
        <v>90</v>
      </c>
      <c r="T550" s="17" t="inlineStr">
        <is>
          <t>Y</t>
        </is>
      </c>
      <c r="U550" s="17" t="n">
        <v>1</v>
      </c>
      <c r="V550" s="24" t="n">
        <v>46286</v>
      </c>
      <c r="W550" s="17" t="inlineStr">
        <is>
          <t>Y</t>
        </is>
      </c>
      <c r="X550" s="17" t="inlineStr">
        <is>
          <t>Y</t>
        </is>
      </c>
      <c r="Y550" s="17" t="inlineStr">
        <is>
          <t>회사키+주소</t>
        </is>
      </c>
      <c r="Z550" s="17" t="n">
        <v>90</v>
      </c>
      <c r="AA550" s="17" t="inlineStr"/>
    </row>
    <row r="551">
      <c r="A551" s="30" t="inlineStr">
        <is>
          <t>S550</t>
        </is>
      </c>
      <c r="B551" s="17" t="inlineStr">
        <is>
          <t>P486</t>
        </is>
      </c>
      <c r="C551" s="17" t="inlineStr">
        <is>
          <t>듀켐바이오</t>
        </is>
      </c>
      <c r="D551" s="17" t="inlineStr">
        <is>
          <t>(주)듀켐바이오</t>
        </is>
      </c>
      <c r="E551" s="17" t="inlineStr">
        <is>
          <t>서울특별시 강남구 일원로 81 삼성서울병원 본관 지하 3층 사이클로트론센터</t>
        </is>
      </c>
      <c r="F551" s="17" t="inlineStr">
        <is>
          <t>서울특별시 강남구 일원로 81 삼성서울병원 본관 지하 3층 사이클로트론센터</t>
        </is>
      </c>
      <c r="G551" s="17" t="inlineStr">
        <is>
          <t>서울특별시 강남구 일원로 81 삼성서울병원 본관 지하 3층 사이클로트론센터</t>
        </is>
      </c>
      <c r="H551" s="17" t="inlineStr">
        <is>
          <t>11공장(서울)</t>
        </is>
      </c>
      <c r="I551" s="23" t="inlineStr">
        <is>
          <t>2437</t>
        </is>
      </c>
      <c r="J551" s="17" t="inlineStr">
        <is>
          <t>11</t>
        </is>
      </c>
      <c r="K551" s="17" t="inlineStr">
        <is>
          <t>완제의약품</t>
        </is>
      </c>
      <c r="L551" s="17" t="inlineStr">
        <is>
          <t>무균-일반제제(방사성의약품)-주사제(주사제)</t>
        </is>
      </c>
      <c r="M551" s="24" t="n">
        <v>46283</v>
      </c>
      <c r="N551" s="17" t="inlineStr">
        <is>
          <t>Y</t>
        </is>
      </c>
      <c r="O551" s="17" t="inlineStr"/>
      <c r="P551" s="17" t="inlineStr">
        <is>
          <t>서울특별시</t>
        </is>
      </c>
      <c r="Q551" s="17" t="inlineStr">
        <is>
          <t>강남구</t>
        </is>
      </c>
      <c r="R551" s="17" t="inlineStr">
        <is>
          <t>GMP공장소재지</t>
        </is>
      </c>
      <c r="S551" s="17" t="n">
        <v>90</v>
      </c>
      <c r="T551" s="17" t="inlineStr">
        <is>
          <t>Y</t>
        </is>
      </c>
      <c r="U551" s="17" t="n">
        <v>1</v>
      </c>
      <c r="V551" s="24" t="n">
        <v>46283</v>
      </c>
      <c r="W551" s="17" t="inlineStr">
        <is>
          <t>Y</t>
        </is>
      </c>
      <c r="X551" s="17" t="inlineStr">
        <is>
          <t>Y</t>
        </is>
      </c>
      <c r="Y551" s="17" t="inlineStr">
        <is>
          <t>회사키+주소</t>
        </is>
      </c>
      <c r="Z551" s="17" t="n">
        <v>90</v>
      </c>
      <c r="AA551" s="17" t="inlineStr"/>
    </row>
    <row r="552">
      <c r="A552" s="30" t="inlineStr">
        <is>
          <t>S551</t>
        </is>
      </c>
      <c r="B552" s="17" t="inlineStr">
        <is>
          <t>P487</t>
        </is>
      </c>
      <c r="C552" s="17" t="inlineStr">
        <is>
          <t>태준제약</t>
        </is>
      </c>
      <c r="D552" s="17" t="inlineStr">
        <is>
          <t>(주)태준제약</t>
        </is>
      </c>
      <c r="E552" s="17" t="inlineStr">
        <is>
          <t>경기도 용인시 처인구 남사읍 경기동로 109-30</t>
        </is>
      </c>
      <c r="F552" s="17" t="inlineStr">
        <is>
          <t>경기도 용인시 처인구 남사읍 경기동로 109-30</t>
        </is>
      </c>
      <c r="G552" s="17" t="inlineStr">
        <is>
          <t>경기도 용인시 처인구 남사읍 경기동로 109-30</t>
        </is>
      </c>
      <c r="H552" s="17" t="inlineStr">
        <is>
          <t>용인</t>
        </is>
      </c>
      <c r="I552" s="23" t="inlineStr">
        <is>
          <t>1458</t>
        </is>
      </c>
      <c r="J552" s="17" t="inlineStr">
        <is>
          <t>1</t>
        </is>
      </c>
      <c r="K552" s="17" t="inlineStr">
        <is>
          <t>완제의약품</t>
        </is>
      </c>
      <c r="L552" s="17" t="inlineStr">
        <is>
          <t>비무균-일반제제-내용고형제(정제, 산제), 무균-일반제제-주사제(주사제), 무균-일반제제-점안제(점안제), 비무균-일반제제-내용액제(경구용액제, 시럽제(액상), 현탁제)</t>
        </is>
      </c>
      <c r="M552" s="24" t="n">
        <v>46279</v>
      </c>
      <c r="N552" s="17" t="inlineStr">
        <is>
          <t>Y</t>
        </is>
      </c>
      <c r="O552" s="17" t="inlineStr"/>
      <c r="P552" s="17" t="inlineStr">
        <is>
          <t>경기도</t>
        </is>
      </c>
      <c r="Q552" s="17" t="inlineStr">
        <is>
          <t>용인시</t>
        </is>
      </c>
      <c r="R552" s="17" t="inlineStr">
        <is>
          <t>GMP공장소재지</t>
        </is>
      </c>
      <c r="S552" s="17" t="n">
        <v>90</v>
      </c>
      <c r="T552" s="17" t="inlineStr">
        <is>
          <t>Y</t>
        </is>
      </c>
      <c r="U552" s="17" t="n">
        <v>1</v>
      </c>
      <c r="V552" s="24" t="n">
        <v>46279</v>
      </c>
      <c r="W552" s="17" t="inlineStr">
        <is>
          <t>Y</t>
        </is>
      </c>
      <c r="X552" s="17" t="inlineStr">
        <is>
          <t>Y</t>
        </is>
      </c>
      <c r="Y552" s="17" t="inlineStr">
        <is>
          <t>회사키+주소</t>
        </is>
      </c>
      <c r="Z552" s="17" t="n">
        <v>90</v>
      </c>
      <c r="AA552" s="17" t="inlineStr"/>
    </row>
    <row r="553">
      <c r="A553" s="30" t="inlineStr">
        <is>
          <t>S552</t>
        </is>
      </c>
      <c r="B553" s="17" t="inlineStr">
        <is>
          <t>P488</t>
        </is>
      </c>
      <c r="C553" s="17" t="inlineStr">
        <is>
          <t>우진가스텍</t>
        </is>
      </c>
      <c r="D553" s="17" t="inlineStr">
        <is>
          <t>(주)우진가스텍</t>
        </is>
      </c>
      <c r="E553" s="17" t="inlineStr">
        <is>
          <t>경상남도 김해시 생림면 마사로 29</t>
        </is>
      </c>
      <c r="F553" s="17" t="inlineStr">
        <is>
          <t>경상남도 김해시 생림면 마사로 29</t>
        </is>
      </c>
      <c r="G553" s="17" t="inlineStr">
        <is>
          <t>경상남도 김해시 생림면 마사로 29</t>
        </is>
      </c>
      <c r="H553" s="17" t="inlineStr">
        <is>
          <t>(주)우진가스텍</t>
        </is>
      </c>
      <c r="I553" s="23" t="inlineStr">
        <is>
          <t>6152</t>
        </is>
      </c>
      <c r="J553" s="17" t="inlineStr">
        <is>
          <t>1</t>
        </is>
      </c>
      <c r="K553" s="17" t="inlineStr">
        <is>
          <t>완제의약품</t>
        </is>
      </c>
      <c r="L553" s="17" t="inlineStr">
        <is>
          <t>비무균-일반제제(의료용 고압가스)-가스제(의료용 고압가스)</t>
        </is>
      </c>
      <c r="M553" s="24" t="n">
        <v>46277</v>
      </c>
      <c r="N553" s="17" t="inlineStr"/>
      <c r="O553" s="17" t="inlineStr"/>
      <c r="P553" s="17" t="inlineStr">
        <is>
          <t>경상남도</t>
        </is>
      </c>
      <c r="Q553" s="17" t="inlineStr">
        <is>
          <t>김해시</t>
        </is>
      </c>
      <c r="R553" s="17" t="inlineStr">
        <is>
          <t>GMP공장소재지</t>
        </is>
      </c>
      <c r="S553" s="17" t="n">
        <v>90</v>
      </c>
      <c r="T553" s="17" t="inlineStr">
        <is>
          <t>Y</t>
        </is>
      </c>
      <c r="U553" s="17" t="n">
        <v>1</v>
      </c>
      <c r="V553" s="24" t="n">
        <v>46277</v>
      </c>
      <c r="W553" s="17" t="inlineStr">
        <is>
          <t>Y</t>
        </is>
      </c>
      <c r="X553" s="17" t="inlineStr">
        <is>
          <t>Y</t>
        </is>
      </c>
      <c r="Y553" s="17" t="inlineStr">
        <is>
          <t>회사키+주소</t>
        </is>
      </c>
      <c r="Z553" s="17" t="n">
        <v>90</v>
      </c>
      <c r="AA553" s="17" t="inlineStr"/>
    </row>
    <row r="554">
      <c r="A554" s="30" t="inlineStr">
        <is>
          <t>S553</t>
        </is>
      </c>
      <c r="B554" s="17" t="inlineStr">
        <is>
          <t>P489</t>
        </is>
      </c>
      <c r="C554" s="17" t="inlineStr">
        <is>
          <t>의료법인한라의료재단</t>
        </is>
      </c>
      <c r="D554" s="17" t="inlineStr">
        <is>
          <t>의료법인한라의료재단</t>
        </is>
      </c>
      <c r="E554" s="17" t="inlineStr">
        <is>
          <t>제주특별자치도 제주시 도령로 65</t>
        </is>
      </c>
      <c r="F554" s="17" t="inlineStr"/>
      <c r="G554" s="17" t="inlineStr">
        <is>
          <t>제주특별자치도 제주시 도령로 65</t>
        </is>
      </c>
      <c r="H554" s="17" t="inlineStr">
        <is>
          <t>미확인</t>
        </is>
      </c>
      <c r="I554" s="23" t="inlineStr">
        <is>
          <t>212</t>
        </is>
      </c>
      <c r="J554" s="17" t="inlineStr"/>
      <c r="K554" s="17" t="inlineStr">
        <is>
          <t>완제의약품</t>
        </is>
      </c>
      <c r="L554" s="17" t="inlineStr">
        <is>
          <t>무균-일반제제(방사성의약품)-주사제(주사제)</t>
        </is>
      </c>
      <c r="M554" s="24" t="n">
        <v>46276</v>
      </c>
      <c r="N554" s="17" t="inlineStr">
        <is>
          <t>Y</t>
        </is>
      </c>
      <c r="O554" s="17" t="inlineStr"/>
      <c r="P554" s="17" t="inlineStr">
        <is>
          <t>제주특별자치도</t>
        </is>
      </c>
      <c r="Q554" s="17" t="inlineStr">
        <is>
          <t>제주시</t>
        </is>
      </c>
      <c r="R554" s="17" t="inlineStr">
        <is>
          <t>GMP공장소재지</t>
        </is>
      </c>
      <c r="S554" s="17" t="n">
        <v>0</v>
      </c>
      <c r="T554" s="17" t="inlineStr">
        <is>
          <t>Y</t>
        </is>
      </c>
      <c r="U554" s="17" t="n">
        <v>1</v>
      </c>
      <c r="V554" s="24" t="n">
        <v>46276</v>
      </c>
      <c r="W554" s="17" t="inlineStr">
        <is>
          <t>Y</t>
        </is>
      </c>
      <c r="X554" s="17" t="inlineStr">
        <is>
          <t>Y</t>
        </is>
      </c>
      <c r="Y554" s="17" t="inlineStr">
        <is>
          <t>무매칭</t>
        </is>
      </c>
      <c r="Z554" s="17" t="n">
        <v>0</v>
      </c>
      <c r="AA554" s="17" t="inlineStr">
        <is>
          <t>Y</t>
        </is>
      </c>
    </row>
    <row r="555">
      <c r="A555" s="30" t="inlineStr">
        <is>
          <t>S554</t>
        </is>
      </c>
      <c r="B555" s="17" t="inlineStr">
        <is>
          <t>P490</t>
        </is>
      </c>
      <c r="C555" s="17" t="inlineStr">
        <is>
          <t>휴온스</t>
        </is>
      </c>
      <c r="D555" s="17" t="inlineStr">
        <is>
          <t>(주)휴온스</t>
        </is>
      </c>
      <c r="E555" s="17" t="inlineStr">
        <is>
          <t>충청북도 제천시 바이오밸리로 137</t>
        </is>
      </c>
      <c r="F555" s="17" t="inlineStr">
        <is>
          <t>충청북도 제천시 바이오밸리로 137</t>
        </is>
      </c>
      <c r="G555" s="17" t="inlineStr">
        <is>
          <t>충청북도 제천시 바이오밸리로 137</t>
        </is>
      </c>
      <c r="H555" s="17" t="inlineStr">
        <is>
          <t>제천 제2공장</t>
        </is>
      </c>
      <c r="I555" s="23" t="inlineStr">
        <is>
          <t>1683</t>
        </is>
      </c>
      <c r="J555" s="17" t="inlineStr">
        <is>
          <t>4</t>
        </is>
      </c>
      <c r="K555" s="17" t="inlineStr">
        <is>
          <t>완제의약품</t>
        </is>
      </c>
      <c r="L555" s="17" t="inlineStr">
        <is>
          <t>무균-일반제제-주사제(주사제), 무균-일반제제-점안제(점안제)</t>
        </is>
      </c>
      <c r="M555" s="24" t="n">
        <v>46275</v>
      </c>
      <c r="N555" s="17" t="inlineStr">
        <is>
          <t>Y</t>
        </is>
      </c>
      <c r="O555" s="17" t="inlineStr"/>
      <c r="P555" s="17" t="inlineStr">
        <is>
          <t>충청북도</t>
        </is>
      </c>
      <c r="Q555" s="17" t="inlineStr">
        <is>
          <t>제천시</t>
        </is>
      </c>
      <c r="R555" s="17" t="inlineStr">
        <is>
          <t>GMP공장소재지</t>
        </is>
      </c>
      <c r="S555" s="17" t="n">
        <v>90</v>
      </c>
      <c r="T555" s="17" t="inlineStr">
        <is>
          <t>Y</t>
        </is>
      </c>
      <c r="U555" s="17" t="n">
        <v>1</v>
      </c>
      <c r="V555" s="24" t="n">
        <v>46275</v>
      </c>
      <c r="W555" s="17" t="inlineStr">
        <is>
          <t>Y</t>
        </is>
      </c>
      <c r="X555" s="17" t="inlineStr">
        <is>
          <t>Y</t>
        </is>
      </c>
      <c r="Y555" s="17" t="inlineStr">
        <is>
          <t>회사키+주소</t>
        </is>
      </c>
      <c r="Z555" s="17" t="n">
        <v>90</v>
      </c>
      <c r="AA555" s="17" t="inlineStr"/>
    </row>
    <row r="556">
      <c r="A556" s="30" t="inlineStr">
        <is>
          <t>S555</t>
        </is>
      </c>
      <c r="B556" s="17" t="inlineStr">
        <is>
          <t>P064</t>
        </is>
      </c>
      <c r="C556" s="17" t="inlineStr">
        <is>
          <t>동국생명과학</t>
        </is>
      </c>
      <c r="D556" s="17" t="inlineStr">
        <is>
          <t>동국생명과학(주)</t>
        </is>
      </c>
      <c r="E556" s="17" t="inlineStr">
        <is>
          <t>경기도 안성시 미양면 제2공단1길 92</t>
        </is>
      </c>
      <c r="F556" s="17" t="inlineStr">
        <is>
          <t>경기도 안성시 미양면 제2공단1길 92</t>
        </is>
      </c>
      <c r="G556" s="17" t="inlineStr">
        <is>
          <t>경기도 안성시 미양면 제2공단1길 92</t>
        </is>
      </c>
      <c r="H556" s="17" t="inlineStr">
        <is>
          <t>안성</t>
        </is>
      </c>
      <c r="I556" s="23" t="inlineStr">
        <is>
          <t>0754</t>
        </is>
      </c>
      <c r="J556" s="17" t="inlineStr">
        <is>
          <t>3</t>
        </is>
      </c>
      <c r="K556" s="17" t="inlineStr">
        <is>
          <t>완제의약품</t>
        </is>
      </c>
      <c r="L556" s="17" t="inlineStr">
        <is>
          <t>무균-일반제제-주사제(주사제)</t>
        </is>
      </c>
      <c r="M556" s="24" t="n">
        <v>46272</v>
      </c>
      <c r="N556" s="17" t="inlineStr">
        <is>
          <t>Y</t>
        </is>
      </c>
      <c r="O556" s="17" t="inlineStr"/>
      <c r="P556" s="17" t="inlineStr">
        <is>
          <t>경기도</t>
        </is>
      </c>
      <c r="Q556" s="17" t="inlineStr">
        <is>
          <t>안성시</t>
        </is>
      </c>
      <c r="R556" s="17" t="inlineStr">
        <is>
          <t>GMP공장소재지</t>
        </is>
      </c>
      <c r="S556" s="17" t="n">
        <v>90</v>
      </c>
      <c r="T556" s="17" t="inlineStr">
        <is>
          <t>N</t>
        </is>
      </c>
      <c r="U556" s="17" t="n">
        <v>2</v>
      </c>
      <c r="V556" s="24" t="n">
        <v>46272</v>
      </c>
      <c r="W556" s="17" t="inlineStr">
        <is>
          <t>Y</t>
        </is>
      </c>
      <c r="X556" s="17" t="inlineStr">
        <is>
          <t>Y</t>
        </is>
      </c>
      <c r="Y556" s="17" t="inlineStr">
        <is>
          <t>회사키+주소</t>
        </is>
      </c>
      <c r="Z556" s="17" t="n">
        <v>90</v>
      </c>
      <c r="AA556" s="17" t="inlineStr"/>
    </row>
    <row r="557">
      <c r="A557" s="30" t="inlineStr">
        <is>
          <t>S556</t>
        </is>
      </c>
      <c r="B557" s="17" t="inlineStr">
        <is>
          <t>P491</t>
        </is>
      </c>
      <c r="C557" s="17" t="inlineStr">
        <is>
          <t>안국약품</t>
        </is>
      </c>
      <c r="D557" s="17" t="inlineStr">
        <is>
          <t>안국약품(주)</t>
        </is>
      </c>
      <c r="E557" s="17" t="inlineStr">
        <is>
          <t>경기도 화성시 만세구 향남읍 제약공단1길 40</t>
        </is>
      </c>
      <c r="F557" s="17" t="inlineStr">
        <is>
          <t>경기도 화성시 만세구 향남읍 제약공단1길 40</t>
        </is>
      </c>
      <c r="G557" s="17" t="inlineStr">
        <is>
          <t>경기도 화성시 만세구 향남읍 제약공단1길 40</t>
        </is>
      </c>
      <c r="H557" s="17" t="inlineStr">
        <is>
          <t>화성</t>
        </is>
      </c>
      <c r="I557" s="23" t="inlineStr">
        <is>
          <t>1362</t>
        </is>
      </c>
      <c r="J557" s="17" t="inlineStr">
        <is>
          <t>1</t>
        </is>
      </c>
      <c r="K557" s="17" t="inlineStr">
        <is>
          <t>완제의약품</t>
        </is>
      </c>
      <c r="L557" s="17" t="inlineStr">
        <is>
          <t>비무균-일반제제-내용고형제(정제, 캡슐제, 산제), 비무균-일반제제-내용액제(시럽제(액상))</t>
        </is>
      </c>
      <c r="M557" s="24" t="n">
        <v>46272</v>
      </c>
      <c r="N557" s="17" t="inlineStr"/>
      <c r="O557" s="17" t="inlineStr"/>
      <c r="P557" s="17" t="inlineStr">
        <is>
          <t>경기도</t>
        </is>
      </c>
      <c r="Q557" s="17" t="inlineStr">
        <is>
          <t>화성시</t>
        </is>
      </c>
      <c r="R557" s="17" t="inlineStr">
        <is>
          <t>GMP공장소재지</t>
        </is>
      </c>
      <c r="S557" s="17" t="n">
        <v>90</v>
      </c>
      <c r="T557" s="17" t="inlineStr">
        <is>
          <t>Y</t>
        </is>
      </c>
      <c r="U557" s="17" t="n">
        <v>1</v>
      </c>
      <c r="V557" s="24" t="n">
        <v>46272</v>
      </c>
      <c r="W557" s="17" t="inlineStr">
        <is>
          <t>Y</t>
        </is>
      </c>
      <c r="X557" s="17" t="inlineStr">
        <is>
          <t>Y</t>
        </is>
      </c>
      <c r="Y557" s="17" t="inlineStr">
        <is>
          <t>회사키+주소</t>
        </is>
      </c>
      <c r="Z557" s="17" t="n">
        <v>90</v>
      </c>
      <c r="AA557" s="17" t="inlineStr"/>
    </row>
    <row r="558">
      <c r="A558" s="30" t="inlineStr">
        <is>
          <t>S557</t>
        </is>
      </c>
      <c r="B558" s="17" t="inlineStr">
        <is>
          <t>P492</t>
        </is>
      </c>
      <c r="C558" s="17" t="inlineStr">
        <is>
          <t>엔비케이제약</t>
        </is>
      </c>
      <c r="D558" s="17" t="inlineStr">
        <is>
          <t>엔비케이제약(주)</t>
        </is>
      </c>
      <c r="E558" s="17" t="inlineStr">
        <is>
          <t>충청남도 천안시 동남구 풍세면 풍세로 539</t>
        </is>
      </c>
      <c r="F558" s="17" t="inlineStr">
        <is>
          <t>충청남도 천안시 동남구 풍세면 풍세로 539</t>
        </is>
      </c>
      <c r="G558" s="17" t="inlineStr">
        <is>
          <t>충청남도 천안시 동남구 풍세면 풍세로 539</t>
        </is>
      </c>
      <c r="H558" s="17" t="inlineStr">
        <is>
          <t>천안</t>
        </is>
      </c>
      <c r="I558" s="23" t="inlineStr">
        <is>
          <t>1309</t>
        </is>
      </c>
      <c r="J558" s="17" t="inlineStr">
        <is>
          <t>1</t>
        </is>
      </c>
      <c r="K558" s="17" t="inlineStr">
        <is>
          <t>완제의약품</t>
        </is>
      </c>
      <c r="L558" s="17" t="inlineStr">
        <is>
          <t>비무균-일반제제-내용고형제(정제, 캡슐제)</t>
        </is>
      </c>
      <c r="M558" s="24" t="n">
        <v>46265</v>
      </c>
      <c r="N558" s="17" t="inlineStr"/>
      <c r="O558" s="17" t="inlineStr"/>
      <c r="P558" s="17" t="inlineStr">
        <is>
          <t>충청남도</t>
        </is>
      </c>
      <c r="Q558" s="17" t="inlineStr">
        <is>
          <t>천안시</t>
        </is>
      </c>
      <c r="R558" s="17" t="inlineStr">
        <is>
          <t>GMP공장소재지</t>
        </is>
      </c>
      <c r="S558" s="17" t="n">
        <v>90</v>
      </c>
      <c r="T558" s="17" t="inlineStr">
        <is>
          <t>Y</t>
        </is>
      </c>
      <c r="U558" s="17" t="n">
        <v>1</v>
      </c>
      <c r="V558" s="24" t="n">
        <v>46265</v>
      </c>
      <c r="W558" s="17" t="inlineStr">
        <is>
          <t>Y</t>
        </is>
      </c>
      <c r="X558" s="17" t="inlineStr">
        <is>
          <t>Y</t>
        </is>
      </c>
      <c r="Y558" s="17" t="inlineStr">
        <is>
          <t>회사키+주소</t>
        </is>
      </c>
      <c r="Z558" s="17" t="n">
        <v>90</v>
      </c>
      <c r="AA558" s="17" t="inlineStr"/>
    </row>
    <row r="559">
      <c r="A559" s="30" t="inlineStr">
        <is>
          <t>S558</t>
        </is>
      </c>
      <c r="B559" s="17" t="inlineStr">
        <is>
          <t>P493</t>
        </is>
      </c>
      <c r="C559" s="17" t="inlineStr">
        <is>
          <t>화승가스테크</t>
        </is>
      </c>
      <c r="D559" s="17" t="inlineStr">
        <is>
          <t>(주)화승가스테크</t>
        </is>
      </c>
      <c r="E559" s="17" t="inlineStr">
        <is>
          <t>부산광역시 사하구 하신중앙로 44-5</t>
        </is>
      </c>
      <c r="F559" s="17" t="inlineStr">
        <is>
          <t>부산광역시 사하구 하신중앙로 44-5</t>
        </is>
      </c>
      <c r="G559" s="17" t="inlineStr">
        <is>
          <t>부산광역시 사하구 하신중앙로 44-5</t>
        </is>
      </c>
      <c r="H559" s="17" t="inlineStr">
        <is>
          <t>(주)화승가스테크</t>
        </is>
      </c>
      <c r="I559" s="23" t="inlineStr">
        <is>
          <t>55</t>
        </is>
      </c>
      <c r="J559" s="17" t="inlineStr">
        <is>
          <t>1</t>
        </is>
      </c>
      <c r="K559" s="17" t="inlineStr">
        <is>
          <t>완제의약품</t>
        </is>
      </c>
      <c r="L559" s="17" t="inlineStr">
        <is>
          <t>비무균-일반제제(의료용 고압가스)-가스제(의료용 고압가스)</t>
        </is>
      </c>
      <c r="M559" s="24" t="n">
        <v>46264</v>
      </c>
      <c r="N559" s="17" t="inlineStr"/>
      <c r="O559" s="17" t="inlineStr"/>
      <c r="P559" s="17" t="inlineStr">
        <is>
          <t>부산광역시</t>
        </is>
      </c>
      <c r="Q559" s="17" t="inlineStr">
        <is>
          <t>사하구</t>
        </is>
      </c>
      <c r="R559" s="17" t="inlineStr">
        <is>
          <t>GMP공장소재지</t>
        </is>
      </c>
      <c r="S559" s="17" t="n">
        <v>90</v>
      </c>
      <c r="T559" s="17" t="inlineStr">
        <is>
          <t>Y</t>
        </is>
      </c>
      <c r="U559" s="17" t="n">
        <v>1</v>
      </c>
      <c r="V559" s="24" t="n">
        <v>46264</v>
      </c>
      <c r="W559" s="17" t="inlineStr">
        <is>
          <t>Y</t>
        </is>
      </c>
      <c r="X559" s="17" t="inlineStr">
        <is>
          <t>Y</t>
        </is>
      </c>
      <c r="Y559" s="17" t="inlineStr">
        <is>
          <t>회사키+주소</t>
        </is>
      </c>
      <c r="Z559" s="17" t="n">
        <v>90</v>
      </c>
      <c r="AA559" s="17" t="inlineStr"/>
    </row>
    <row r="560">
      <c r="A560" s="30" t="inlineStr">
        <is>
          <t>S559</t>
        </is>
      </c>
      <c r="B560" s="17" t="inlineStr">
        <is>
          <t>P494</t>
        </is>
      </c>
      <c r="C560" s="17" t="inlineStr">
        <is>
          <t>이든파마</t>
        </is>
      </c>
      <c r="D560" s="17" t="inlineStr">
        <is>
          <t>(주)이든파마</t>
        </is>
      </c>
      <c r="E560" s="17" t="inlineStr">
        <is>
          <t>충청북도 진천군 문백면 농다리로 1149</t>
        </is>
      </c>
      <c r="F560" s="17" t="inlineStr">
        <is>
          <t>충청북도 진천군 문백면 농다리로 1149</t>
        </is>
      </c>
      <c r="G560" s="17" t="inlineStr">
        <is>
          <t>충청북도 진천군 문백면 농다리로 1149</t>
        </is>
      </c>
      <c r="H560" s="17" t="inlineStr">
        <is>
          <t>진천공장</t>
        </is>
      </c>
      <c r="I560" s="23" t="inlineStr">
        <is>
          <t>2621</t>
        </is>
      </c>
      <c r="J560" s="17" t="inlineStr">
        <is>
          <t>1</t>
        </is>
      </c>
      <c r="K560" s="17" t="inlineStr">
        <is>
          <t>완제의약품</t>
        </is>
      </c>
      <c r="L560" s="17" t="inlineStr">
        <is>
          <t>비무균-일반제제-내용고형제(정제, 과립제)</t>
        </is>
      </c>
      <c r="M560" s="24" t="n">
        <v>46258</v>
      </c>
      <c r="N560" s="17" t="inlineStr"/>
      <c r="O560" s="17" t="inlineStr"/>
      <c r="P560" s="17" t="inlineStr">
        <is>
          <t>충청북도</t>
        </is>
      </c>
      <c r="Q560" s="17" t="inlineStr">
        <is>
          <t>진천군</t>
        </is>
      </c>
      <c r="R560" s="17" t="inlineStr">
        <is>
          <t>GMP공장소재지</t>
        </is>
      </c>
      <c r="S560" s="17" t="n">
        <v>90</v>
      </c>
      <c r="T560" s="17" t="inlineStr">
        <is>
          <t>Y</t>
        </is>
      </c>
      <c r="U560" s="17" t="n">
        <v>2</v>
      </c>
      <c r="V560" s="24" t="n">
        <v>46258</v>
      </c>
      <c r="W560" s="17" t="inlineStr">
        <is>
          <t>Y</t>
        </is>
      </c>
      <c r="X560" s="17" t="inlineStr">
        <is>
          <t>Y</t>
        </is>
      </c>
      <c r="Y560" s="17" t="inlineStr">
        <is>
          <t>회사키+주소</t>
        </is>
      </c>
      <c r="Z560" s="17" t="n">
        <v>90</v>
      </c>
      <c r="AA560" s="17" t="inlineStr"/>
    </row>
    <row r="561">
      <c r="A561" s="30" t="inlineStr">
        <is>
          <t>S560</t>
        </is>
      </c>
      <c r="B561" s="17" t="inlineStr">
        <is>
          <t>P495</t>
        </is>
      </c>
      <c r="C561" s="17" t="inlineStr">
        <is>
          <t>대웅제약</t>
        </is>
      </c>
      <c r="D561" s="17" t="inlineStr">
        <is>
          <t>(주)대웅제약</t>
        </is>
      </c>
      <c r="E561" s="17" t="inlineStr">
        <is>
          <t>경기도 화성시 만세구 향남읍 제약공단4길 35-14</t>
        </is>
      </c>
      <c r="F561" s="17" t="inlineStr">
        <is>
          <t>경기도 화성시 만세구 향남읍 제약공단4길 35-14</t>
        </is>
      </c>
      <c r="G561" s="17" t="inlineStr">
        <is>
          <t>경기도 화성시 만세구 향남읍 제약공단4길 35-14</t>
        </is>
      </c>
      <c r="H561" s="17" t="inlineStr">
        <is>
          <t>화성</t>
        </is>
      </c>
      <c r="I561" s="23" t="inlineStr">
        <is>
          <t>1289</t>
        </is>
      </c>
      <c r="J561" s="17" t="inlineStr">
        <is>
          <t>2</t>
        </is>
      </c>
      <c r="K561" s="17" t="inlineStr">
        <is>
          <t>원료의약품</t>
        </is>
      </c>
      <c r="L561" s="17" t="inlineStr">
        <is>
          <t>생물-유전자재조합의약품-(배양, 정제, 원액 제조)</t>
        </is>
      </c>
      <c r="M561" s="24" t="n">
        <v>46258</v>
      </c>
      <c r="N561" s="17" t="inlineStr"/>
      <c r="O561" s="17" t="inlineStr">
        <is>
          <t>Y</t>
        </is>
      </c>
      <c r="P561" s="17" t="inlineStr">
        <is>
          <t>경기도</t>
        </is>
      </c>
      <c r="Q561" s="17" t="inlineStr">
        <is>
          <t>화성시</t>
        </is>
      </c>
      <c r="R561" s="17" t="inlineStr">
        <is>
          <t>GMP공장소재지</t>
        </is>
      </c>
      <c r="S561" s="17" t="n">
        <v>90</v>
      </c>
      <c r="T561" s="17" t="inlineStr">
        <is>
          <t>Y</t>
        </is>
      </c>
      <c r="U561" s="17" t="n">
        <v>2</v>
      </c>
      <c r="V561" s="24" t="n">
        <v>46258</v>
      </c>
      <c r="W561" s="17" t="inlineStr">
        <is>
          <t>Y</t>
        </is>
      </c>
      <c r="X561" s="17" t="inlineStr">
        <is>
          <t>Y</t>
        </is>
      </c>
      <c r="Y561" s="17" t="inlineStr">
        <is>
          <t>회사키+주소</t>
        </is>
      </c>
      <c r="Z561" s="17" t="n">
        <v>90</v>
      </c>
      <c r="AA561" s="17" t="inlineStr"/>
    </row>
    <row r="562">
      <c r="A562" s="30" t="inlineStr">
        <is>
          <t>S561</t>
        </is>
      </c>
      <c r="B562" s="17" t="inlineStr">
        <is>
          <t>P494</t>
        </is>
      </c>
      <c r="C562" s="17" t="inlineStr">
        <is>
          <t>이든파마</t>
        </is>
      </c>
      <c r="D562" s="17" t="inlineStr">
        <is>
          <t>(주)이든파마</t>
        </is>
      </c>
      <c r="E562" s="17" t="inlineStr">
        <is>
          <t>충청북도 진천군 문백면 농다리로 1149</t>
        </is>
      </c>
      <c r="F562" s="17" t="inlineStr">
        <is>
          <t>충청북도 진천군 문백면 농다리로 1149</t>
        </is>
      </c>
      <c r="G562" s="17" t="inlineStr">
        <is>
          <t>충청북도 진천군 문백면 농다리로 1149</t>
        </is>
      </c>
      <c r="H562" s="17" t="inlineStr">
        <is>
          <t>진천공장</t>
        </is>
      </c>
      <c r="I562" s="23" t="inlineStr">
        <is>
          <t>2621</t>
        </is>
      </c>
      <c r="J562" s="17" t="inlineStr">
        <is>
          <t>1</t>
        </is>
      </c>
      <c r="K562" s="17" t="inlineStr">
        <is>
          <t>원료의약품</t>
        </is>
      </c>
      <c r="L562" s="17" t="inlineStr">
        <is>
          <t>비무균-일반제제-과립</t>
        </is>
      </c>
      <c r="M562" s="24" t="n">
        <v>46258</v>
      </c>
      <c r="N562" s="17" t="inlineStr"/>
      <c r="O562" s="17" t="inlineStr"/>
      <c r="P562" s="17" t="inlineStr">
        <is>
          <t>충청북도</t>
        </is>
      </c>
      <c r="Q562" s="17" t="inlineStr">
        <is>
          <t>진천군</t>
        </is>
      </c>
      <c r="R562" s="17" t="inlineStr">
        <is>
          <t>GMP공장소재지</t>
        </is>
      </c>
      <c r="S562" s="17" t="n">
        <v>90</v>
      </c>
      <c r="T562" s="17" t="inlineStr">
        <is>
          <t>N</t>
        </is>
      </c>
      <c r="U562" s="17" t="n">
        <v>2</v>
      </c>
      <c r="V562" s="24" t="n">
        <v>46258</v>
      </c>
      <c r="W562" s="17" t="inlineStr">
        <is>
          <t>Y</t>
        </is>
      </c>
      <c r="X562" s="17" t="inlineStr">
        <is>
          <t>Y</t>
        </is>
      </c>
      <c r="Y562" s="17" t="inlineStr">
        <is>
          <t>회사키+주소</t>
        </is>
      </c>
      <c r="Z562" s="17" t="n">
        <v>90</v>
      </c>
      <c r="AA562" s="17" t="inlineStr"/>
    </row>
    <row r="563">
      <c r="A563" s="30" t="inlineStr">
        <is>
          <t>S562</t>
        </is>
      </c>
      <c r="B563" s="17" t="inlineStr">
        <is>
          <t>P495</t>
        </is>
      </c>
      <c r="C563" s="17" t="inlineStr">
        <is>
          <t>대웅제약</t>
        </is>
      </c>
      <c r="D563" s="17" t="inlineStr">
        <is>
          <t>(주)대웅제약</t>
        </is>
      </c>
      <c r="E563" s="17" t="inlineStr">
        <is>
          <t>경기도 화성시 만세구 향남읍 제약공단4길 35-14</t>
        </is>
      </c>
      <c r="F563" s="17" t="inlineStr">
        <is>
          <t>경기도 화성시 만세구 향남읍 제약공단4길 35-14</t>
        </is>
      </c>
      <c r="G563" s="17" t="inlineStr">
        <is>
          <t>경기도 화성시 만세구 향남읍 제약공단4길 35-14</t>
        </is>
      </c>
      <c r="H563" s="17" t="inlineStr">
        <is>
          <t>화성</t>
        </is>
      </c>
      <c r="I563" s="23" t="inlineStr">
        <is>
          <t>1289</t>
        </is>
      </c>
      <c r="J563" s="17" t="inlineStr">
        <is>
          <t>2</t>
        </is>
      </c>
      <c r="K563" s="17" t="inlineStr">
        <is>
          <t>완제의약품</t>
        </is>
      </c>
      <c r="L563" s="17" t="inlineStr">
        <is>
          <t>비무균-일반제제-내용고형제(정제, 캡슐제, 산제, 시럽제(고형)), 비무균-일반제제-내용액제(현탁제), 생물-독소-주사제(동결건조주사제), 생물-유전자재조합의약품-외용액제(외용액제), 생물-유전자재조합의약품-주사제(주사제)</t>
        </is>
      </c>
      <c r="M563" s="24" t="n">
        <v>46258</v>
      </c>
      <c r="N563" s="17" t="inlineStr">
        <is>
          <t>Y</t>
        </is>
      </c>
      <c r="O563" s="17" t="inlineStr"/>
      <c r="P563" s="17" t="inlineStr">
        <is>
          <t>경기도</t>
        </is>
      </c>
      <c r="Q563" s="17" t="inlineStr">
        <is>
          <t>화성시</t>
        </is>
      </c>
      <c r="R563" s="17" t="inlineStr">
        <is>
          <t>GMP공장소재지</t>
        </is>
      </c>
      <c r="S563" s="17" t="n">
        <v>90</v>
      </c>
      <c r="T563" s="17" t="inlineStr">
        <is>
          <t>N</t>
        </is>
      </c>
      <c r="U563" s="17" t="n">
        <v>2</v>
      </c>
      <c r="V563" s="24" t="n">
        <v>46258</v>
      </c>
      <c r="W563" s="17" t="inlineStr">
        <is>
          <t>Y</t>
        </is>
      </c>
      <c r="X563" s="17" t="inlineStr">
        <is>
          <t>Y</t>
        </is>
      </c>
      <c r="Y563" s="17" t="inlineStr">
        <is>
          <t>회사키+주소</t>
        </is>
      </c>
      <c r="Z563" s="17" t="n">
        <v>90</v>
      </c>
      <c r="AA563" s="17" t="inlineStr"/>
    </row>
    <row r="564">
      <c r="A564" s="30" t="inlineStr">
        <is>
          <t>S563</t>
        </is>
      </c>
      <c r="B564" s="17" t="inlineStr">
        <is>
          <t>P496</t>
        </is>
      </c>
      <c r="C564" s="17" t="inlineStr">
        <is>
          <t>크로다코리아</t>
        </is>
      </c>
      <c r="D564" s="17" t="inlineStr">
        <is>
          <t>크로다코리아주식회사</t>
        </is>
      </c>
      <c r="E564" s="17" t="inlineStr">
        <is>
          <t>전북특별자치도 익산시 석암로11길 11 제2공단 3차지구 21블럭 (용제동)</t>
        </is>
      </c>
      <c r="F564" s="17" t="inlineStr">
        <is>
          <t>전북특별자치도 익산시 석암로11길 11 제2공단 3차지구 21블럭 (용제동)</t>
        </is>
      </c>
      <c r="G564" s="17" t="inlineStr">
        <is>
          <t>전북특별자치도 익산시 석암로11길 11 제2공단 3차지구 21블럭 (용제동)</t>
        </is>
      </c>
      <c r="H564" s="17" t="inlineStr">
        <is>
          <t>전북 익산</t>
        </is>
      </c>
      <c r="I564" s="23" t="inlineStr">
        <is>
          <t>1961</t>
        </is>
      </c>
      <c r="J564" s="17" t="inlineStr">
        <is>
          <t>1</t>
        </is>
      </c>
      <c r="K564" s="17" t="inlineStr">
        <is>
          <t>원료의약품</t>
        </is>
      </c>
      <c r="L564" s="17" t="inlineStr">
        <is>
          <t>비무균-일반제제-합성, 비무균-일반제제-추출</t>
        </is>
      </c>
      <c r="M564" s="24" t="n">
        <v>46256</v>
      </c>
      <c r="N564" s="17" t="inlineStr"/>
      <c r="O564" s="17" t="inlineStr"/>
      <c r="P564" s="17" t="inlineStr">
        <is>
          <t>전북특별자치도</t>
        </is>
      </c>
      <c r="Q564" s="17" t="inlineStr">
        <is>
          <t>익산시</t>
        </is>
      </c>
      <c r="R564" s="17" t="inlineStr">
        <is>
          <t>GMP공장소재지</t>
        </is>
      </c>
      <c r="S564" s="17" t="n">
        <v>90</v>
      </c>
      <c r="T564" s="17" t="inlineStr">
        <is>
          <t>Y</t>
        </is>
      </c>
      <c r="U564" s="17" t="n">
        <v>1</v>
      </c>
      <c r="V564" s="24" t="n">
        <v>46256</v>
      </c>
      <c r="W564" s="17" t="inlineStr">
        <is>
          <t>Y</t>
        </is>
      </c>
      <c r="X564" s="17" t="inlineStr">
        <is>
          <t>Y</t>
        </is>
      </c>
      <c r="Y564" s="17" t="inlineStr">
        <is>
          <t>회사키+주소</t>
        </is>
      </c>
      <c r="Z564" s="17" t="n">
        <v>90</v>
      </c>
      <c r="AA564" s="17" t="inlineStr"/>
    </row>
    <row r="565">
      <c r="A565" s="30" t="inlineStr">
        <is>
          <t>S564</t>
        </is>
      </c>
      <c r="B565" s="17" t="inlineStr">
        <is>
          <t>P497</t>
        </is>
      </c>
      <c r="C565" s="17" t="inlineStr">
        <is>
          <t>엠에프씨</t>
        </is>
      </c>
      <c r="D565" s="17" t="inlineStr">
        <is>
          <t>엠에프씨주식회사</t>
        </is>
      </c>
      <c r="E565" s="17" t="inlineStr">
        <is>
          <t>경기도 화성시 만세구 마도면 청원산단7길 35</t>
        </is>
      </c>
      <c r="F565" s="17" t="inlineStr">
        <is>
          <t>경기도 화성시 만세구 마도면 청원산단7길 35</t>
        </is>
      </c>
      <c r="G565" s="17" t="inlineStr">
        <is>
          <t>경기도 화성시 만세구 마도면 청원산단7길 35</t>
        </is>
      </c>
      <c r="H565" s="17" t="inlineStr">
        <is>
          <t>화성공장</t>
        </is>
      </c>
      <c r="I565" s="23" t="inlineStr">
        <is>
          <t>346</t>
        </is>
      </c>
      <c r="J565" s="17" t="inlineStr">
        <is>
          <t>2</t>
        </is>
      </c>
      <c r="K565" s="17" t="inlineStr">
        <is>
          <t>원료의약품</t>
        </is>
      </c>
      <c r="L565" s="17" t="inlineStr">
        <is>
          <t>비무균-일반제제-합성</t>
        </is>
      </c>
      <c r="M565" s="24" t="n">
        <v>46251</v>
      </c>
      <c r="N565" s="17" t="inlineStr"/>
      <c r="O565" s="17" t="inlineStr"/>
      <c r="P565" s="17" t="inlineStr">
        <is>
          <t>경기도</t>
        </is>
      </c>
      <c r="Q565" s="17" t="inlineStr">
        <is>
          <t>화성시</t>
        </is>
      </c>
      <c r="R565" s="17" t="inlineStr">
        <is>
          <t>GMP공장소재지</t>
        </is>
      </c>
      <c r="S565" s="17" t="n">
        <v>90</v>
      </c>
      <c r="T565" s="17" t="inlineStr">
        <is>
          <t>Y</t>
        </is>
      </c>
      <c r="U565" s="17" t="n">
        <v>1</v>
      </c>
      <c r="V565" s="24" t="n">
        <v>46251</v>
      </c>
      <c r="W565" s="17" t="inlineStr">
        <is>
          <t>Y</t>
        </is>
      </c>
      <c r="X565" s="17" t="inlineStr">
        <is>
          <t>Y</t>
        </is>
      </c>
      <c r="Y565" s="17" t="inlineStr">
        <is>
          <t>회사키+주소</t>
        </is>
      </c>
      <c r="Z565" s="17" t="n">
        <v>90</v>
      </c>
      <c r="AA565" s="17" t="inlineStr"/>
    </row>
    <row r="566">
      <c r="A566" s="30" t="inlineStr">
        <is>
          <t>S565</t>
        </is>
      </c>
      <c r="B566" s="17" t="inlineStr">
        <is>
          <t>P498</t>
        </is>
      </c>
      <c r="C566" s="17" t="inlineStr">
        <is>
          <t>(유한)동아가스산업</t>
        </is>
      </c>
      <c r="D566" s="17" t="inlineStr">
        <is>
          <t>(유한)동아가스산업</t>
        </is>
      </c>
      <c r="E566" s="17" t="inlineStr">
        <is>
          <t>경상남도 사천시 사천대로 712</t>
        </is>
      </c>
      <c r="F566" s="17" t="inlineStr">
        <is>
          <t>경상남도 사천시 사천대로 712</t>
        </is>
      </c>
      <c r="G566" s="17" t="inlineStr">
        <is>
          <t>경상남도 사천시 사천대로 712</t>
        </is>
      </c>
      <c r="H566" s="17" t="inlineStr">
        <is>
          <t>사천</t>
        </is>
      </c>
      <c r="I566" s="23" t="inlineStr">
        <is>
          <t>1992</t>
        </is>
      </c>
      <c r="J566" s="17" t="inlineStr">
        <is>
          <t>1</t>
        </is>
      </c>
      <c r="K566" s="17" t="inlineStr">
        <is>
          <t>완제의약품</t>
        </is>
      </c>
      <c r="L566" s="17" t="inlineStr">
        <is>
          <t>그밖의 제형(가스군(흡입제(소분, 기체상, 의료용 고압가스))), 그밖의 제형(액제군(흡입제(소분, 액상, 의료용 고압가스)))</t>
        </is>
      </c>
      <c r="M566" s="24" t="n">
        <v>46251</v>
      </c>
      <c r="N566" s="17" t="inlineStr"/>
      <c r="O566" s="17" t="inlineStr"/>
      <c r="P566" s="17" t="inlineStr">
        <is>
          <t>경상남도</t>
        </is>
      </c>
      <c r="Q566" s="17" t="inlineStr">
        <is>
          <t>사천시</t>
        </is>
      </c>
      <c r="R566" s="17" t="inlineStr">
        <is>
          <t>GMP공장소재지</t>
        </is>
      </c>
      <c r="S566" s="17" t="n">
        <v>90</v>
      </c>
      <c r="T566" s="17" t="inlineStr">
        <is>
          <t>Y</t>
        </is>
      </c>
      <c r="U566" s="17" t="n">
        <v>1</v>
      </c>
      <c r="V566" s="24" t="n">
        <v>46251</v>
      </c>
      <c r="W566" s="17" t="inlineStr">
        <is>
          <t>Y</t>
        </is>
      </c>
      <c r="X566" s="17" t="inlineStr">
        <is>
          <t>Y</t>
        </is>
      </c>
      <c r="Y566" s="17" t="inlineStr">
        <is>
          <t>회사키+주소</t>
        </is>
      </c>
      <c r="Z566" s="17" t="n">
        <v>90</v>
      </c>
      <c r="AA566" s="17" t="inlineStr"/>
    </row>
    <row r="567">
      <c r="A567" s="30" t="inlineStr">
        <is>
          <t>S566</t>
        </is>
      </c>
      <c r="B567" s="17" t="inlineStr">
        <is>
          <t>P499</t>
        </is>
      </c>
      <c r="C567" s="17" t="inlineStr">
        <is>
          <t>엠에스종합가스</t>
        </is>
      </c>
      <c r="D567" s="17" t="inlineStr">
        <is>
          <t>엠에스종합가스(주)</t>
        </is>
      </c>
      <c r="E567" s="17" t="inlineStr">
        <is>
          <t>경상남도 양산시 소주공단2길 48</t>
        </is>
      </c>
      <c r="F567" s="17" t="inlineStr">
        <is>
          <t>경상남도 양산시 소주공단2길 48</t>
        </is>
      </c>
      <c r="G567" s="17" t="inlineStr">
        <is>
          <t>경상남도 양산시 소주공단2길 48</t>
        </is>
      </c>
      <c r="H567" s="17" t="inlineStr">
        <is>
          <t>양산</t>
        </is>
      </c>
      <c r="I567" s="23" t="inlineStr">
        <is>
          <t>2052</t>
        </is>
      </c>
      <c r="J567" s="17" t="inlineStr">
        <is>
          <t>1</t>
        </is>
      </c>
      <c r="K567" s="17" t="inlineStr">
        <is>
          <t>완제의약품</t>
        </is>
      </c>
      <c r="L567" s="17" t="inlineStr">
        <is>
          <t>그밖의 제형(가스군(흡입제(소분, 기체상, 의료용 고압가스))), 그밖의 제형(액제군(흡입제(소분, 액상, 의료용 고압가스)))</t>
        </is>
      </c>
      <c r="M567" s="24" t="n">
        <v>46244</v>
      </c>
      <c r="N567" s="17" t="inlineStr"/>
      <c r="O567" s="17" t="inlineStr"/>
      <c r="P567" s="17" t="inlineStr">
        <is>
          <t>경상남도</t>
        </is>
      </c>
      <c r="Q567" s="17" t="inlineStr">
        <is>
          <t>양산시</t>
        </is>
      </c>
      <c r="R567" s="17" t="inlineStr">
        <is>
          <t>GMP공장소재지</t>
        </is>
      </c>
      <c r="S567" s="17" t="n">
        <v>90</v>
      </c>
      <c r="T567" s="17" t="inlineStr">
        <is>
          <t>Y</t>
        </is>
      </c>
      <c r="U567" s="17" t="n">
        <v>1</v>
      </c>
      <c r="V567" s="24" t="n">
        <v>46244</v>
      </c>
      <c r="W567" s="17" t="inlineStr">
        <is>
          <t>Y</t>
        </is>
      </c>
      <c r="X567" s="17" t="inlineStr">
        <is>
          <t>Y</t>
        </is>
      </c>
      <c r="Y567" s="17" t="inlineStr">
        <is>
          <t>회사키+주소</t>
        </is>
      </c>
      <c r="Z567" s="17" t="n">
        <v>90</v>
      </c>
      <c r="AA567" s="17" t="inlineStr"/>
    </row>
    <row r="568">
      <c r="A568" s="30" t="inlineStr">
        <is>
          <t>S567</t>
        </is>
      </c>
      <c r="B568" s="17" t="inlineStr">
        <is>
          <t>P500</t>
        </is>
      </c>
      <c r="C568" s="17" t="inlineStr">
        <is>
          <t>삼천당제약</t>
        </is>
      </c>
      <c r="D568" s="17" t="inlineStr">
        <is>
          <t>삼천당제약(주)</t>
        </is>
      </c>
      <c r="E568" s="17" t="inlineStr">
        <is>
          <t>경기도 화성시 만세구 향남읍 제약공단2길 71</t>
        </is>
      </c>
      <c r="F568" s="17" t="inlineStr">
        <is>
          <t>경기도 화성시 만세구 향남읍 제약공단2길 71</t>
        </is>
      </c>
      <c r="G568" s="17" t="inlineStr">
        <is>
          <t>경기도 화성시 만세구 향남읍 제약공단2길 71</t>
        </is>
      </c>
      <c r="H568" s="17" t="inlineStr">
        <is>
          <t>화성</t>
        </is>
      </c>
      <c r="I568" s="23" t="inlineStr">
        <is>
          <t>1335</t>
        </is>
      </c>
      <c r="J568" s="17" t="inlineStr">
        <is>
          <t>1</t>
        </is>
      </c>
      <c r="K568" s="17" t="inlineStr">
        <is>
          <t>완제의약품</t>
        </is>
      </c>
      <c r="L568" s="17" t="inlineStr">
        <is>
          <t>비무균-일반제제-내용고형제(정제, 캡슐제), 무균-일반제제-점안제(점안제), 비무균-일반제제-내용액제(점비액제)</t>
        </is>
      </c>
      <c r="M568" s="24" t="n">
        <v>46244</v>
      </c>
      <c r="N568" s="17" t="inlineStr"/>
      <c r="O568" s="17" t="inlineStr"/>
      <c r="P568" s="17" t="inlineStr">
        <is>
          <t>경기도</t>
        </is>
      </c>
      <c r="Q568" s="17" t="inlineStr">
        <is>
          <t>화성시</t>
        </is>
      </c>
      <c r="R568" s="17" t="inlineStr">
        <is>
          <t>GMP공장소재지</t>
        </is>
      </c>
      <c r="S568" s="17" t="n">
        <v>90</v>
      </c>
      <c r="T568" s="17" t="inlineStr">
        <is>
          <t>Y</t>
        </is>
      </c>
      <c r="U568" s="17" t="n">
        <v>1</v>
      </c>
      <c r="V568" s="24" t="n">
        <v>46244</v>
      </c>
      <c r="W568" s="17" t="inlineStr">
        <is>
          <t>Y</t>
        </is>
      </c>
      <c r="X568" s="17" t="inlineStr">
        <is>
          <t>Y</t>
        </is>
      </c>
      <c r="Y568" s="17" t="inlineStr">
        <is>
          <t>회사키+주소</t>
        </is>
      </c>
      <c r="Z568" s="17" t="n">
        <v>90</v>
      </c>
      <c r="AA568" s="17" t="inlineStr"/>
    </row>
    <row r="569">
      <c r="A569" s="30" t="inlineStr">
        <is>
          <t>S568</t>
        </is>
      </c>
      <c r="B569" s="17" t="inlineStr">
        <is>
          <t>P501</t>
        </is>
      </c>
      <c r="C569" s="17" t="inlineStr">
        <is>
          <t>에이치에스바이오</t>
        </is>
      </c>
      <c r="D569" s="17" t="inlineStr">
        <is>
          <t>(주)에이치에스바이오</t>
        </is>
      </c>
      <c r="E569" s="17" t="inlineStr">
        <is>
          <t>충청북도 진천군 덕산읍 신척산단4로 57 (주)에이치에스바이오</t>
        </is>
      </c>
      <c r="F569" s="17" t="inlineStr">
        <is>
          <t>충청북도 진천군 덕산읍 신척산단4로 57 (주)에이치에스바이오</t>
        </is>
      </c>
      <c r="G569" s="17" t="inlineStr">
        <is>
          <t>충청북도 진천군 덕산읍 신척산단4로 57 (주)에이치에스바이오</t>
        </is>
      </c>
      <c r="H569" s="17" t="inlineStr">
        <is>
          <t>(주)에이치에스바이오</t>
        </is>
      </c>
      <c r="I569" s="23" t="inlineStr">
        <is>
          <t>2639</t>
        </is>
      </c>
      <c r="J569" s="17" t="inlineStr">
        <is>
          <t>1</t>
        </is>
      </c>
      <c r="K569" s="17" t="inlineStr">
        <is>
          <t>원료의약품</t>
        </is>
      </c>
      <c r="L569" s="17" t="inlineStr">
        <is>
          <t>합성(합성(비무균)), 추출(추출(비무균))</t>
        </is>
      </c>
      <c r="M569" s="24" t="n">
        <v>46244</v>
      </c>
      <c r="N569" s="17" t="inlineStr"/>
      <c r="O569" s="17" t="inlineStr"/>
      <c r="P569" s="17" t="inlineStr">
        <is>
          <t>충청북도</t>
        </is>
      </c>
      <c r="Q569" s="17" t="inlineStr">
        <is>
          <t>진천군</t>
        </is>
      </c>
      <c r="R569" s="17" t="inlineStr">
        <is>
          <t>GMP공장소재지</t>
        </is>
      </c>
      <c r="S569" s="17" t="n">
        <v>90</v>
      </c>
      <c r="T569" s="17" t="inlineStr">
        <is>
          <t>Y</t>
        </is>
      </c>
      <c r="U569" s="17" t="n">
        <v>1</v>
      </c>
      <c r="V569" s="24" t="n">
        <v>46244</v>
      </c>
      <c r="W569" s="17" t="inlineStr">
        <is>
          <t>Y</t>
        </is>
      </c>
      <c r="X569" s="17" t="inlineStr">
        <is>
          <t>Y</t>
        </is>
      </c>
      <c r="Y569" s="17" t="inlineStr">
        <is>
          <t>회사키+주소</t>
        </is>
      </c>
      <c r="Z569" s="17" t="n">
        <v>90</v>
      </c>
      <c r="AA569" s="17" t="inlineStr"/>
    </row>
    <row r="570">
      <c r="A570" s="30" t="inlineStr">
        <is>
          <t>S569</t>
        </is>
      </c>
      <c r="B570" s="17" t="inlineStr">
        <is>
          <t>P502</t>
        </is>
      </c>
      <c r="C570" s="17" t="inlineStr">
        <is>
          <t>에이치디엑스</t>
        </is>
      </c>
      <c r="D570" s="17" t="inlineStr">
        <is>
          <t>에이치디엑스(주)</t>
        </is>
      </c>
      <c r="E570" s="17" t="inlineStr">
        <is>
          <t>대전광역시 서구 관저동로 158 지하1층(관저동, 건양대학교병원)</t>
        </is>
      </c>
      <c r="F570" s="17" t="inlineStr">
        <is>
          <t>대전광역시 서구 관저동로 158 지하1층(관저동, 건양대학교병원)</t>
        </is>
      </c>
      <c r="G570" s="17" t="inlineStr">
        <is>
          <t>대전광역시 서구 관저동로 158 지하1층(관저동, 건양대학교병원)</t>
        </is>
      </c>
      <c r="H570" s="17" t="inlineStr">
        <is>
          <t>대전</t>
        </is>
      </c>
      <c r="I570" s="23" t="inlineStr">
        <is>
          <t>2407</t>
        </is>
      </c>
      <c r="J570" s="17" t="inlineStr">
        <is>
          <t>4</t>
        </is>
      </c>
      <c r="K570" s="17" t="inlineStr">
        <is>
          <t>완제의약품</t>
        </is>
      </c>
      <c r="L570" s="17" t="inlineStr">
        <is>
          <t>주사제(주사제(방사성의약품))</t>
        </is>
      </c>
      <c r="M570" s="24" t="n">
        <v>46242</v>
      </c>
      <c r="N570" s="17" t="inlineStr">
        <is>
          <t>Y</t>
        </is>
      </c>
      <c r="O570" s="17" t="inlineStr"/>
      <c r="P570" s="17" t="inlineStr">
        <is>
          <t>대전광역시</t>
        </is>
      </c>
      <c r="Q570" s="17" t="inlineStr">
        <is>
          <t>서구</t>
        </is>
      </c>
      <c r="R570" s="17" t="inlineStr">
        <is>
          <t>GMP공장소재지</t>
        </is>
      </c>
      <c r="S570" s="17" t="n">
        <v>90</v>
      </c>
      <c r="T570" s="17" t="inlineStr">
        <is>
          <t>Y</t>
        </is>
      </c>
      <c r="U570" s="17" t="n">
        <v>1</v>
      </c>
      <c r="V570" s="24" t="n">
        <v>46242</v>
      </c>
      <c r="W570" s="17" t="inlineStr">
        <is>
          <t>Y</t>
        </is>
      </c>
      <c r="X570" s="17" t="inlineStr">
        <is>
          <t>Y</t>
        </is>
      </c>
      <c r="Y570" s="17" t="inlineStr">
        <is>
          <t>회사키+주소</t>
        </is>
      </c>
      <c r="Z570" s="17" t="n">
        <v>90</v>
      </c>
      <c r="AA570" s="17" t="inlineStr"/>
    </row>
    <row r="571">
      <c r="A571" s="30" t="inlineStr">
        <is>
          <t>S570</t>
        </is>
      </c>
      <c r="B571" s="17" t="inlineStr">
        <is>
          <t>P503</t>
        </is>
      </c>
      <c r="C571" s="17" t="inlineStr">
        <is>
          <t>한국원자력의학원</t>
        </is>
      </c>
      <c r="D571" s="17" t="inlineStr">
        <is>
          <t>한국원자력의학원</t>
        </is>
      </c>
      <c r="E571" s="17" t="inlineStr">
        <is>
          <t>서울특별시 노원구 노원로 75 한국원자력의학원 비상진료센터동 지하1층~2층, 국가RI신약센터 지하1층</t>
        </is>
      </c>
      <c r="F571" s="17" t="inlineStr">
        <is>
          <t>서울특별시 노원구 노원로 75 한국원자력의학원 비상진료센터동 지하1층~2층, 국가RI신약센터 지하1층</t>
        </is>
      </c>
      <c r="G571" s="17" t="inlineStr">
        <is>
          <t>서울특별시 노원구 노원로 75 한국원자력의학원 비상진료센터동 지하1층~2층, 국가RI신약센터 지하1층</t>
        </is>
      </c>
      <c r="H571" s="17" t="inlineStr">
        <is>
          <t>서울</t>
        </is>
      </c>
      <c r="I571" s="23" t="inlineStr">
        <is>
          <t>899</t>
        </is>
      </c>
      <c r="J571" s="17" t="inlineStr">
        <is>
          <t>1</t>
        </is>
      </c>
      <c r="K571" s="17" t="inlineStr">
        <is>
          <t>완제의약품</t>
        </is>
      </c>
      <c r="L571" s="17" t="inlineStr">
        <is>
          <t>주사제(주사제(방사성의약품)), 내용액제(경구용액제(방사성의약품))</t>
        </is>
      </c>
      <c r="M571" s="24" t="n">
        <v>46235</v>
      </c>
      <c r="N571" s="17" t="inlineStr">
        <is>
          <t>Y</t>
        </is>
      </c>
      <c r="O571" s="17" t="inlineStr"/>
      <c r="P571" s="17" t="inlineStr">
        <is>
          <t>서울특별시</t>
        </is>
      </c>
      <c r="Q571" s="17" t="inlineStr">
        <is>
          <t>노원구</t>
        </is>
      </c>
      <c r="R571" s="17" t="inlineStr">
        <is>
          <t>GMP공장소재지</t>
        </is>
      </c>
      <c r="S571" s="17" t="n">
        <v>90</v>
      </c>
      <c r="T571" s="17" t="inlineStr">
        <is>
          <t>Y</t>
        </is>
      </c>
      <c r="U571" s="17" t="n">
        <v>1</v>
      </c>
      <c r="V571" s="24" t="n">
        <v>46235</v>
      </c>
      <c r="W571" s="17" t="inlineStr">
        <is>
          <t>Y</t>
        </is>
      </c>
      <c r="X571" s="17" t="inlineStr">
        <is>
          <t>Y</t>
        </is>
      </c>
      <c r="Y571" s="17" t="inlineStr">
        <is>
          <t>회사키+주소</t>
        </is>
      </c>
      <c r="Z571" s="17" t="n">
        <v>90</v>
      </c>
      <c r="AA571" s="17" t="inlineStr"/>
    </row>
    <row r="572">
      <c r="A572" s="30" t="inlineStr">
        <is>
          <t>S571</t>
        </is>
      </c>
      <c r="B572" s="17" t="inlineStr">
        <is>
          <t>P004</t>
        </is>
      </c>
      <c r="C572" s="17" t="inlineStr">
        <is>
          <t>보란파마</t>
        </is>
      </c>
      <c r="D572" s="17" t="inlineStr">
        <is>
          <t>보란파마</t>
        </is>
      </c>
      <c r="E572" s="17" t="inlineStr">
        <is>
          <t>경기도 평택시 청북읍 고렴산단로 121</t>
        </is>
      </c>
      <c r="F572" s="17" t="inlineStr">
        <is>
          <t>경기도 평택시 청북읍 고렴산단로 121</t>
        </is>
      </c>
      <c r="G572" s="17" t="inlineStr">
        <is>
          <t>경기도 평택시 청북읍 고렴산단로 121</t>
        </is>
      </c>
      <c r="H572" s="17" t="inlineStr">
        <is>
          <t>제1공장</t>
        </is>
      </c>
      <c r="I572" s="23" t="inlineStr">
        <is>
          <t>377</t>
        </is>
      </c>
      <c r="J572" s="17" t="inlineStr">
        <is>
          <t>1</t>
        </is>
      </c>
      <c r="K572" s="17" t="inlineStr">
        <is>
          <t>완제의약품</t>
        </is>
      </c>
      <c r="L572" s="17" t="inlineStr">
        <is>
          <t>생물-유전자재조합의약품-주사제(주사제), 생물-항독소-주사제(주사제)</t>
        </is>
      </c>
      <c r="M572" s="24" t="n">
        <v>46229</v>
      </c>
      <c r="N572" s="17" t="inlineStr">
        <is>
          <t>Y</t>
        </is>
      </c>
      <c r="O572" s="17" t="inlineStr">
        <is>
          <t>Y</t>
        </is>
      </c>
      <c r="P572" s="17" t="inlineStr">
        <is>
          <t>경기도</t>
        </is>
      </c>
      <c r="Q572" s="17" t="inlineStr">
        <is>
          <t>평택시</t>
        </is>
      </c>
      <c r="R572" s="17" t="inlineStr">
        <is>
          <t>GMP공장소재지</t>
        </is>
      </c>
      <c r="S572" s="17" t="n">
        <v>90</v>
      </c>
      <c r="T572" s="17" t="inlineStr">
        <is>
          <t>N</t>
        </is>
      </c>
      <c r="U572" s="17" t="n">
        <v>2</v>
      </c>
      <c r="V572" s="24" t="n">
        <v>46229</v>
      </c>
      <c r="W572" s="17" t="inlineStr">
        <is>
          <t>Y</t>
        </is>
      </c>
      <c r="X572" s="17" t="inlineStr">
        <is>
          <t>Y</t>
        </is>
      </c>
      <c r="Y572" s="17" t="inlineStr">
        <is>
          <t>회사키+주소</t>
        </is>
      </c>
      <c r="Z572" s="17" t="n">
        <v>90</v>
      </c>
      <c r="AA572" s="17" t="inlineStr"/>
    </row>
    <row r="573">
      <c r="A573" s="30" t="inlineStr">
        <is>
          <t>S572</t>
        </is>
      </c>
      <c r="B573" s="17" t="inlineStr">
        <is>
          <t>P504</t>
        </is>
      </c>
      <c r="C573" s="17" t="inlineStr">
        <is>
          <t>퓨쳐켐헬스케어</t>
        </is>
      </c>
      <c r="D573" s="17" t="inlineStr">
        <is>
          <t>(주)퓨쳐켐헬스케어</t>
        </is>
      </c>
      <c r="E573" s="17" t="inlineStr">
        <is>
          <t>서울특별시 서초구 반포대로 222 가톨릭대학교 가톨릭중앙의료원 의과학연구동 (반포동)</t>
        </is>
      </c>
      <c r="F573" s="17" t="inlineStr">
        <is>
          <t>서울특별시 서초구 반포대로 222 가톨릭대학교 가톨릭중앙의료원 의과학연구동 (반포동)</t>
        </is>
      </c>
      <c r="G573" s="17" t="inlineStr">
        <is>
          <t>서울특별시 서초구 반포대로 222 가톨릭대학교 가톨릭중앙의료원 의과학연구동 (반포동)</t>
        </is>
      </c>
      <c r="H573" s="17" t="inlineStr">
        <is>
          <t>서울</t>
        </is>
      </c>
      <c r="I573" s="23" t="inlineStr">
        <is>
          <t>2421</t>
        </is>
      </c>
      <c r="J573" s="17" t="inlineStr">
        <is>
          <t>1</t>
        </is>
      </c>
      <c r="K573" s="17" t="inlineStr">
        <is>
          <t>완제의약품</t>
        </is>
      </c>
      <c r="L573" s="17" t="inlineStr">
        <is>
          <t>주사제(주사제(방사성의약품))</t>
        </is>
      </c>
      <c r="M573" s="24" t="n">
        <v>46221</v>
      </c>
      <c r="N573" s="17" t="inlineStr">
        <is>
          <t>Y</t>
        </is>
      </c>
      <c r="O573" s="17" t="inlineStr"/>
      <c r="P573" s="17" t="inlineStr">
        <is>
          <t>서울특별시</t>
        </is>
      </c>
      <c r="Q573" s="17" t="inlineStr">
        <is>
          <t>서초구</t>
        </is>
      </c>
      <c r="R573" s="17" t="inlineStr">
        <is>
          <t>GMP공장소재지</t>
        </is>
      </c>
      <c r="S573" s="17" t="n">
        <v>90</v>
      </c>
      <c r="T573" s="17" t="inlineStr">
        <is>
          <t>Y</t>
        </is>
      </c>
      <c r="U573" s="17" t="n">
        <v>1</v>
      </c>
      <c r="V573" s="24" t="n">
        <v>46221</v>
      </c>
      <c r="W573" s="17" t="inlineStr">
        <is>
          <t>Y</t>
        </is>
      </c>
      <c r="X573" s="17" t="inlineStr">
        <is>
          <t>Y</t>
        </is>
      </c>
      <c r="Y573" s="17" t="inlineStr">
        <is>
          <t>회사키+주소</t>
        </is>
      </c>
      <c r="Z573" s="17" t="n">
        <v>90</v>
      </c>
      <c r="AA573" s="17" t="inlineStr"/>
    </row>
  </sheetData>
  <autoFilter ref="A1:AA57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4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8" customWidth="1" min="4" max="4"/>
    <col width="8" customWidth="1" min="5" max="5"/>
    <col width="7" customWidth="1" min="6" max="6"/>
    <col width="7" customWidth="1" min="7" max="7"/>
    <col width="7" customWidth="1" min="8" max="8"/>
    <col width="8" customWidth="1" min="9" max="9"/>
    <col width="12" customWidth="1" min="10" max="10"/>
    <col width="10" customWidth="1" min="11" max="11"/>
    <col width="8" customWidth="1" min="12" max="12"/>
    <col width="9" customWidth="1" min="13" max="13"/>
    <col width="9" customWidth="1" min="14" max="14"/>
    <col width="20" customWidth="1" min="15" max="15"/>
    <col width="22" customWidth="1" min="16" max="16"/>
    <col width="10" customWidth="1" min="17" max="17"/>
    <col width="24" customWidth="1" min="18" max="18"/>
    <col width="10" customWidth="1" min="19" max="19"/>
    <col width="13" customWidth="1" min="20" max="20"/>
    <col width="11" customWidth="1" min="21" max="21"/>
    <col width="12" customWidth="1" min="22" max="22"/>
    <col width="10" customWidth="1" min="23" max="23"/>
    <col width="8" customWidth="1" min="24" max="24"/>
    <col width="16" customWidth="1" min="25" max="25"/>
    <col width="9" customWidth="1" min="26" max="26"/>
    <col width="11" customWidth="1" min="27" max="27"/>
    <col width="16" customWidth="1" min="28" max="28"/>
    <col width="8" customWidth="1" min="29" max="29"/>
    <col width="24" customWidth="1" min="30" max="30"/>
    <col width="13" customWidth="1" min="31" max="31"/>
    <col width="22" customWidth="1" min="32" max="32"/>
    <col width="11" customWidth="1" min="33" max="33"/>
    <col width="24" customWidth="1" min="34" max="34"/>
    <col width="13" customWidth="1" min="35" max="35"/>
    <col width="11" customWidth="1" min="36" max="36"/>
    <col width="24" customWidth="1" min="37" max="37"/>
    <col width="11" customWidth="1" min="38" max="38"/>
    <col width="10" customWidth="1" min="39" max="39"/>
    <col width="11" customWidth="1" min="40" max="40"/>
    <col width="11" customWidth="1" min="41" max="41"/>
    <col width="11" customWidth="1" min="42" max="42"/>
    <col width="9" customWidth="1" min="43" max="43"/>
    <col width="9" customWidth="1" min="44" max="44"/>
    <col width="11" customWidth="1" min="45" max="45"/>
    <col width="24" customWidth="1" min="46" max="46"/>
    <col width="16" customWidth="1" min="47" max="47"/>
    <col width="13" customWidth="1" min="48" max="48"/>
    <col width="11" customWidth="1" min="49" max="49"/>
  </cols>
  <sheetData>
    <row r="1">
      <c r="A1" s="19" t="inlineStr">
        <is>
          <t>COMPANY_ID</t>
        </is>
      </c>
      <c r="B1" s="19" t="inlineStr">
        <is>
          <t>회사키(정규화)</t>
        </is>
      </c>
      <c r="C1" s="19" t="inlineStr">
        <is>
          <t>대표 업체명</t>
        </is>
      </c>
      <c r="D1" s="19" t="inlineStr">
        <is>
          <t>판정서 건수</t>
        </is>
      </c>
      <c r="E1" s="19" t="inlineStr">
        <is>
          <t>물리 제조소 수</t>
        </is>
      </c>
      <c r="F1" s="19" t="inlineStr">
        <is>
          <t>완제 보유</t>
        </is>
      </c>
      <c r="G1" s="19" t="inlineStr">
        <is>
          <t>원료 보유</t>
        </is>
      </c>
      <c r="H1" s="19" t="inlineStr">
        <is>
          <t>무균 제형</t>
        </is>
      </c>
      <c r="I1" s="19" t="inlineStr">
        <is>
          <t>바이오 제형</t>
        </is>
      </c>
      <c r="J1" s="19" t="inlineStr">
        <is>
          <t>최단 유효기간</t>
        </is>
      </c>
      <c r="K1" s="19" t="inlineStr">
        <is>
          <t>갱신 임박(6개월)</t>
        </is>
      </c>
      <c r="L1" s="19" t="inlineStr">
        <is>
          <t>상장여부</t>
        </is>
      </c>
      <c r="M1" s="19" t="inlineStr">
        <is>
          <t>시장구분</t>
        </is>
      </c>
      <c r="N1" s="19" t="inlineStr">
        <is>
          <t>종목코드</t>
        </is>
      </c>
      <c r="O1" s="19" t="inlineStr">
        <is>
          <t>업종(KRX)</t>
        </is>
      </c>
      <c r="P1" s="19" t="inlineStr">
        <is>
          <t>주요제품(KRX)</t>
        </is>
      </c>
      <c r="Q1" s="19" t="inlineStr">
        <is>
          <t>대표자</t>
        </is>
      </c>
      <c r="R1" s="19" t="inlineStr">
        <is>
          <t>홈페이지</t>
        </is>
      </c>
      <c r="S1" s="19" t="inlineStr">
        <is>
          <t>지역(KRX)</t>
        </is>
      </c>
      <c r="T1" s="19" t="inlineStr">
        <is>
          <t>대표전화</t>
        </is>
      </c>
      <c r="U1" s="19" t="inlineStr">
        <is>
          <t>대표전화출처</t>
        </is>
      </c>
      <c r="V1" s="31" t="inlineStr">
        <is>
          <t>최근매출(억원)</t>
        </is>
      </c>
      <c r="W1" s="31" t="inlineStr">
        <is>
          <t>최근매출기준연도</t>
        </is>
      </c>
      <c r="X1" s="31" t="inlineStr">
        <is>
          <t>매출기준</t>
        </is>
      </c>
      <c r="Y1" s="31" t="inlineStr">
        <is>
          <t>매출출처</t>
        </is>
      </c>
      <c r="Z1" s="31" t="inlineStr">
        <is>
          <t>종업원수</t>
        </is>
      </c>
      <c r="AA1" s="31" t="inlineStr">
        <is>
          <t>종업원수기준일</t>
        </is>
      </c>
      <c r="AB1" s="31" t="inlineStr">
        <is>
          <t>종업원수출처</t>
        </is>
      </c>
      <c r="AC1" s="31" t="inlineStr">
        <is>
          <t>수출여부</t>
        </is>
      </c>
      <c r="AD1" s="31" t="inlineStr">
        <is>
          <t>수출근거</t>
        </is>
      </c>
      <c r="AE1" s="31" t="inlineStr">
        <is>
          <t>FDA·EMA 실사</t>
        </is>
      </c>
      <c r="AF1" s="31" t="inlineStr">
        <is>
          <t>FDA_EMA근거</t>
        </is>
      </c>
      <c r="AG1" s="31" t="inlineStr">
        <is>
          <t>CMO·CDMO</t>
        </is>
      </c>
      <c r="AH1" s="31" t="inlineStr">
        <is>
          <t>CMO_CDMO근거</t>
        </is>
      </c>
      <c r="AI1" s="31" t="inlineStr">
        <is>
          <t>신공장·증설</t>
        </is>
      </c>
      <c r="AJ1" s="31" t="inlineStr">
        <is>
          <t>신공장_증설발표일</t>
        </is>
      </c>
      <c r="AK1" s="31" t="inlineStr">
        <is>
          <t>신공장_증설근거</t>
        </is>
      </c>
      <c r="AL1" s="31" t="inlineStr">
        <is>
          <t>기존 IT시스템</t>
        </is>
      </c>
      <c r="AM1" s="31" t="inlineStr">
        <is>
          <t>담당부서</t>
        </is>
      </c>
      <c r="AN1" s="31" t="inlineStr">
        <is>
          <t>담당자 직책</t>
        </is>
      </c>
      <c r="AO1" s="31" t="inlineStr">
        <is>
          <t>기업정보신뢰도</t>
        </is>
      </c>
      <c r="AP1" s="31" t="inlineStr">
        <is>
          <t>기업정보검토필요</t>
        </is>
      </c>
      <c r="AQ1" s="31" t="inlineStr">
        <is>
          <t>영업우선순위점수</t>
        </is>
      </c>
      <c r="AR1" s="31" t="inlineStr">
        <is>
          <t>영업Tier</t>
        </is>
      </c>
      <c r="AS1" s="31" t="inlineStr">
        <is>
          <t>추천솔루션</t>
        </is>
      </c>
      <c r="AT1" s="31" t="inlineStr">
        <is>
          <t>추천접근사유</t>
        </is>
      </c>
      <c r="AU1" s="31" t="inlineStr">
        <is>
          <t>다음영업행동</t>
        </is>
      </c>
      <c r="AV1" s="31" t="inlineStr">
        <is>
          <t>리드출처</t>
        </is>
      </c>
      <c r="AW1" s="31" t="inlineStr">
        <is>
          <t>최종확인일</t>
        </is>
      </c>
    </row>
    <row r="2">
      <c r="A2" s="17" t="inlineStr">
        <is>
          <t>C001</t>
        </is>
      </c>
      <c r="B2" s="17" t="inlineStr">
        <is>
          <t>이연제약</t>
        </is>
      </c>
      <c r="C2" s="17" t="inlineStr">
        <is>
          <t>이연제약(주)</t>
        </is>
      </c>
      <c r="D2" s="17" t="n">
        <v>3</v>
      </c>
      <c r="E2" s="17" t="n">
        <v>2</v>
      </c>
      <c r="F2" s="17" t="inlineStr">
        <is>
          <t>Y</t>
        </is>
      </c>
      <c r="G2" s="17" t="inlineStr">
        <is>
          <t>Y</t>
        </is>
      </c>
      <c r="H2" s="17" t="inlineStr">
        <is>
          <t>Y</t>
        </is>
      </c>
      <c r="I2" s="17" t="inlineStr"/>
      <c r="J2" s="24" t="n">
        <v>46990</v>
      </c>
      <c r="K2" s="17" t="inlineStr"/>
      <c r="L2" s="17" t="inlineStr">
        <is>
          <t>Y</t>
        </is>
      </c>
      <c r="M2" s="17" t="inlineStr">
        <is>
          <t>유가</t>
        </is>
      </c>
      <c r="N2" s="23" t="inlineStr">
        <is>
          <t>102460</t>
        </is>
      </c>
      <c r="O2" s="17" t="inlineStr">
        <is>
          <t>의약품 제조업</t>
        </is>
      </c>
      <c r="P2" s="17" t="inlineStr">
        <is>
          <t>항생제,순환기제</t>
        </is>
      </c>
      <c r="Q2" s="17" t="inlineStr">
        <is>
          <t>정순옥, 유용환 (각자 대표이사)</t>
        </is>
      </c>
      <c r="R2" s="17" t="inlineStr">
        <is>
          <t>http://reyonpharm.co.kr</t>
        </is>
      </c>
      <c r="S2" s="17" t="inlineStr">
        <is>
          <t>서울특별시</t>
        </is>
      </c>
      <c r="T2" s="17" t="inlineStr">
        <is>
          <t>043-840-6300</t>
        </is>
      </c>
      <c r="U2" s="17" t="inlineStr">
        <is>
          <t>제조소상세</t>
        </is>
      </c>
      <c r="V2" s="22" t="inlineStr">
        <is>
          <t>미확인</t>
        </is>
      </c>
      <c r="W2" s="22" t="inlineStr">
        <is>
          <t>미확인</t>
        </is>
      </c>
      <c r="X2" s="22" t="inlineStr">
        <is>
          <t>미확인</t>
        </is>
      </c>
      <c r="Y2" s="22" t="inlineStr">
        <is>
          <t>미확인</t>
        </is>
      </c>
      <c r="Z2" s="22" t="inlineStr">
        <is>
          <t>미확인</t>
        </is>
      </c>
      <c r="AA2" s="22" t="inlineStr">
        <is>
          <t>미확인</t>
        </is>
      </c>
      <c r="AB2" s="22" t="inlineStr">
        <is>
          <t>미확인</t>
        </is>
      </c>
      <c r="AC2" s="22" t="inlineStr">
        <is>
          <t>미확인</t>
        </is>
      </c>
      <c r="AD2" s="22" t="inlineStr">
        <is>
          <t>미확인</t>
        </is>
      </c>
      <c r="AE2" s="22" t="inlineStr">
        <is>
          <t>미확인</t>
        </is>
      </c>
      <c r="AF2" s="22" t="inlineStr">
        <is>
          <t>미확인</t>
        </is>
      </c>
      <c r="AG2" s="22" t="inlineStr">
        <is>
          <t>미확인</t>
        </is>
      </c>
      <c r="AH2" s="22" t="inlineStr">
        <is>
          <t>미확인</t>
        </is>
      </c>
      <c r="AI2" s="22" t="inlineStr">
        <is>
          <t>미확인</t>
        </is>
      </c>
      <c r="AJ2" s="22" t="inlineStr">
        <is>
          <t>미확인</t>
        </is>
      </c>
      <c r="AK2" s="22" t="inlineStr">
        <is>
          <t>미확인</t>
        </is>
      </c>
      <c r="AL2" s="22" t="inlineStr">
        <is>
          <t>미확인</t>
        </is>
      </c>
      <c r="AM2" s="22" t="inlineStr">
        <is>
          <t>미확인</t>
        </is>
      </c>
      <c r="AN2" s="22" t="inlineStr">
        <is>
          <t>미확인</t>
        </is>
      </c>
      <c r="AO2" s="17" t="inlineStr">
        <is>
          <t>C(부분확인)</t>
        </is>
      </c>
      <c r="AP2" s="17" t="inlineStr">
        <is>
          <t>Y</t>
        </is>
      </c>
      <c r="AQ2" s="17" t="n">
        <v>19</v>
      </c>
      <c r="AR2" s="28" t="inlineStr">
        <is>
          <t>Tier D</t>
        </is>
      </c>
      <c r="AS2" s="17" t="inlineStr">
        <is>
          <t>통합형</t>
        </is>
      </c>
      <c r="AT2" s="17" t="inlineStr">
        <is>
          <t>다중 제조소/다수 판정서로 문서관리 복잡; 무균/바이오 제조로 품질관리 난도 높음</t>
        </is>
      </c>
      <c r="AU2" s="17" t="inlineStr">
        <is>
          <t>담당자 파악 후 접촉</t>
        </is>
      </c>
      <c r="AV2" s="17" t="inlineStr">
        <is>
          <t>GMP적합판정+KRX</t>
        </is>
      </c>
      <c r="AW2" s="17" t="inlineStr">
        <is>
          <t>2026-07-05</t>
        </is>
      </c>
    </row>
    <row r="3">
      <c r="A3" s="17" t="inlineStr">
        <is>
          <t>C002</t>
        </is>
      </c>
      <c r="B3" s="17" t="inlineStr">
        <is>
          <t>한국원자력연구원</t>
        </is>
      </c>
      <c r="C3" s="17" t="inlineStr">
        <is>
          <t>한국원자력연구원</t>
        </is>
      </c>
      <c r="D3" s="17" t="n">
        <v>2</v>
      </c>
      <c r="E3" s="17" t="n">
        <v>1</v>
      </c>
      <c r="F3" s="17" t="inlineStr">
        <is>
          <t>Y</t>
        </is>
      </c>
      <c r="G3" s="17" t="inlineStr">
        <is>
          <t>Y</t>
        </is>
      </c>
      <c r="H3" s="17" t="inlineStr">
        <is>
          <t>Y</t>
        </is>
      </c>
      <c r="I3" s="17" t="inlineStr"/>
      <c r="J3" s="24" t="n">
        <v>47332</v>
      </c>
      <c r="K3" s="17" t="inlineStr"/>
      <c r="L3" s="17" t="inlineStr"/>
      <c r="M3" s="17" t="inlineStr"/>
      <c r="N3" s="23" t="inlineStr"/>
      <c r="O3" s="17" t="inlineStr"/>
      <c r="P3" s="17" t="inlineStr"/>
      <c r="Q3" s="17" t="inlineStr">
        <is>
          <t>주한규</t>
        </is>
      </c>
      <c r="R3" s="17" t="inlineStr"/>
      <c r="S3" s="17" t="inlineStr"/>
      <c r="T3" s="17" t="inlineStr">
        <is>
          <t>042-868-2000</t>
        </is>
      </c>
      <c r="U3" s="17" t="inlineStr">
        <is>
          <t>제조소상세</t>
        </is>
      </c>
      <c r="V3" s="22" t="inlineStr">
        <is>
          <t>미확인</t>
        </is>
      </c>
      <c r="W3" s="22" t="inlineStr">
        <is>
          <t>미확인</t>
        </is>
      </c>
      <c r="X3" s="22" t="inlineStr">
        <is>
          <t>미확인</t>
        </is>
      </c>
      <c r="Y3" s="22" t="inlineStr">
        <is>
          <t>미확인</t>
        </is>
      </c>
      <c r="Z3" s="22" t="inlineStr">
        <is>
          <t>미확인</t>
        </is>
      </c>
      <c r="AA3" s="22" t="inlineStr">
        <is>
          <t>미확인</t>
        </is>
      </c>
      <c r="AB3" s="22" t="inlineStr">
        <is>
          <t>미확인</t>
        </is>
      </c>
      <c r="AC3" s="22" t="inlineStr">
        <is>
          <t>미확인</t>
        </is>
      </c>
      <c r="AD3" s="22" t="inlineStr">
        <is>
          <t>미확인</t>
        </is>
      </c>
      <c r="AE3" s="22" t="inlineStr">
        <is>
          <t>미확인</t>
        </is>
      </c>
      <c r="AF3" s="22" t="inlineStr">
        <is>
          <t>미확인</t>
        </is>
      </c>
      <c r="AG3" s="22" t="inlineStr">
        <is>
          <t>미확인</t>
        </is>
      </c>
      <c r="AH3" s="22" t="inlineStr">
        <is>
          <t>미확인</t>
        </is>
      </c>
      <c r="AI3" s="22" t="inlineStr">
        <is>
          <t>미확인</t>
        </is>
      </c>
      <c r="AJ3" s="22" t="inlineStr">
        <is>
          <t>미확인</t>
        </is>
      </c>
      <c r="AK3" s="22" t="inlineStr">
        <is>
          <t>미확인</t>
        </is>
      </c>
      <c r="AL3" s="22" t="inlineStr">
        <is>
          <t>미확인</t>
        </is>
      </c>
      <c r="AM3" s="22" t="inlineStr">
        <is>
          <t>미확인</t>
        </is>
      </c>
      <c r="AN3" s="22" t="inlineStr">
        <is>
          <t>미확인</t>
        </is>
      </c>
      <c r="AO3" s="17" t="inlineStr">
        <is>
          <t>C(부분확인)</t>
        </is>
      </c>
      <c r="AP3" s="17" t="inlineStr">
        <is>
          <t>Y</t>
        </is>
      </c>
      <c r="AQ3" s="17" t="n">
        <v>12</v>
      </c>
      <c r="AR3" s="28" t="inlineStr">
        <is>
          <t>Tier D</t>
        </is>
      </c>
      <c r="AS3" s="17" t="inlineStr">
        <is>
          <t>QMS+LIMS</t>
        </is>
      </c>
      <c r="AT3" s="17" t="inlineStr">
        <is>
          <t>무균/바이오 제조로 품질관리 난도 높음; 원료 제조로 시험실 관리 필요</t>
        </is>
      </c>
      <c r="AU3" s="17" t="inlineStr">
        <is>
          <t>담당자 파악 후 접촉</t>
        </is>
      </c>
      <c r="AV3" s="17" t="inlineStr">
        <is>
          <t>GMP적합판정+KRX</t>
        </is>
      </c>
      <c r="AW3" s="17" t="inlineStr">
        <is>
          <t>2026-07-05</t>
        </is>
      </c>
    </row>
    <row r="4">
      <c r="A4" s="17" t="inlineStr">
        <is>
          <t>C003</t>
        </is>
      </c>
      <c r="B4" s="17" t="inlineStr">
        <is>
          <t>엔바이로코리아</t>
        </is>
      </c>
      <c r="C4" s="17" t="inlineStr">
        <is>
          <t>(주)엔바이로코리아</t>
        </is>
      </c>
      <c r="D4" s="17" t="n">
        <v>1</v>
      </c>
      <c r="E4" s="17" t="n">
        <v>1</v>
      </c>
      <c r="F4" s="17" t="inlineStr">
        <is>
          <t>Y</t>
        </is>
      </c>
      <c r="G4" s="17" t="inlineStr"/>
      <c r="H4" s="17" t="inlineStr">
        <is>
          <t>Y</t>
        </is>
      </c>
      <c r="I4" s="17" t="inlineStr"/>
      <c r="J4" s="24" t="n">
        <v>47325</v>
      </c>
      <c r="K4" s="17" t="inlineStr"/>
      <c r="L4" s="17" t="inlineStr"/>
      <c r="M4" s="17" t="inlineStr"/>
      <c r="N4" s="23" t="inlineStr"/>
      <c r="O4" s="17" t="inlineStr"/>
      <c r="P4" s="17" t="inlineStr"/>
      <c r="Q4" s="17" t="inlineStr">
        <is>
          <t>박성한, 서재원</t>
        </is>
      </c>
      <c r="R4" s="17" t="inlineStr"/>
      <c r="S4" s="17" t="inlineStr"/>
      <c r="T4" s="17" t="inlineStr">
        <is>
          <t>042-864-2341</t>
        </is>
      </c>
      <c r="U4" s="17" t="inlineStr">
        <is>
          <t>제조소상세</t>
        </is>
      </c>
      <c r="V4" s="22" t="inlineStr">
        <is>
          <t>미확인</t>
        </is>
      </c>
      <c r="W4" s="22" t="inlineStr">
        <is>
          <t>미확인</t>
        </is>
      </c>
      <c r="X4" s="22" t="inlineStr">
        <is>
          <t>미확인</t>
        </is>
      </c>
      <c r="Y4" s="22" t="inlineStr">
        <is>
          <t>미확인</t>
        </is>
      </c>
      <c r="Z4" s="22" t="inlineStr">
        <is>
          <t>미확인</t>
        </is>
      </c>
      <c r="AA4" s="22" t="inlineStr">
        <is>
          <t>미확인</t>
        </is>
      </c>
      <c r="AB4" s="22" t="inlineStr">
        <is>
          <t>미확인</t>
        </is>
      </c>
      <c r="AC4" s="22" t="inlineStr">
        <is>
          <t>미확인</t>
        </is>
      </c>
      <c r="AD4" s="22" t="inlineStr">
        <is>
          <t>미확인</t>
        </is>
      </c>
      <c r="AE4" s="22" t="inlineStr">
        <is>
          <t>미확인</t>
        </is>
      </c>
      <c r="AF4" s="22" t="inlineStr">
        <is>
          <t>미확인</t>
        </is>
      </c>
      <c r="AG4" s="22" t="inlineStr">
        <is>
          <t>미확인</t>
        </is>
      </c>
      <c r="AH4" s="22" t="inlineStr">
        <is>
          <t>미확인</t>
        </is>
      </c>
      <c r="AI4" s="22" t="inlineStr">
        <is>
          <t>미확인</t>
        </is>
      </c>
      <c r="AJ4" s="22" t="inlineStr">
        <is>
          <t>미확인</t>
        </is>
      </c>
      <c r="AK4" s="22" t="inlineStr">
        <is>
          <t>미확인</t>
        </is>
      </c>
      <c r="AL4" s="22" t="inlineStr">
        <is>
          <t>미확인</t>
        </is>
      </c>
      <c r="AM4" s="22" t="inlineStr">
        <is>
          <t>미확인</t>
        </is>
      </c>
      <c r="AN4" s="22" t="inlineStr">
        <is>
          <t>미확인</t>
        </is>
      </c>
      <c r="AO4" s="17" t="inlineStr">
        <is>
          <t>C(부분확인)</t>
        </is>
      </c>
      <c r="AP4" s="17" t="inlineStr">
        <is>
          <t>Y</t>
        </is>
      </c>
      <c r="AQ4" s="17" t="n">
        <v>12</v>
      </c>
      <c r="AR4" s="28" t="inlineStr">
        <is>
          <t>Tier D</t>
        </is>
      </c>
      <c r="AS4" s="17" t="inlineStr">
        <is>
          <t>QMS+LIMS</t>
        </is>
      </c>
      <c r="AT4" s="17" t="inlineStr">
        <is>
          <t>무균/바이오 제조로 품질관리 난도 높음</t>
        </is>
      </c>
      <c r="AU4" s="17" t="inlineStr">
        <is>
          <t>담당자 파악 후 접촉</t>
        </is>
      </c>
      <c r="AV4" s="17" t="inlineStr">
        <is>
          <t>GMP적합판정+KRX</t>
        </is>
      </c>
      <c r="AW4" s="17" t="inlineStr">
        <is>
          <t>2026-07-05</t>
        </is>
      </c>
    </row>
    <row r="5">
      <c r="A5" s="17" t="inlineStr">
        <is>
          <t>C004</t>
        </is>
      </c>
      <c r="B5" s="17" t="inlineStr">
        <is>
          <t>보란파마</t>
        </is>
      </c>
      <c r="C5" s="17" t="inlineStr">
        <is>
          <t>보란파마</t>
        </is>
      </c>
      <c r="D5" s="17" t="n">
        <v>2</v>
      </c>
      <c r="E5" s="17" t="n">
        <v>1</v>
      </c>
      <c r="F5" s="17" t="inlineStr">
        <is>
          <t>Y</t>
        </is>
      </c>
      <c r="G5" s="17" t="inlineStr"/>
      <c r="H5" s="17" t="inlineStr">
        <is>
          <t>Y</t>
        </is>
      </c>
      <c r="I5" s="17" t="inlineStr">
        <is>
          <t>Y</t>
        </is>
      </c>
      <c r="J5" s="24" t="n">
        <v>46229</v>
      </c>
      <c r="K5" s="17" t="inlineStr">
        <is>
          <t>Y</t>
        </is>
      </c>
      <c r="L5" s="17" t="inlineStr"/>
      <c r="M5" s="17" t="inlineStr"/>
      <c r="N5" s="23" t="inlineStr"/>
      <c r="O5" s="17" t="inlineStr"/>
      <c r="P5" s="17" t="inlineStr"/>
      <c r="Q5" s="17" t="inlineStr">
        <is>
          <t>김현숙</t>
        </is>
      </c>
      <c r="R5" s="17" t="inlineStr"/>
      <c r="S5" s="17" t="inlineStr"/>
      <c r="T5" s="17" t="inlineStr">
        <is>
          <t>070-5100-4350</t>
        </is>
      </c>
      <c r="U5" s="17" t="inlineStr">
        <is>
          <t>제조소상세</t>
        </is>
      </c>
      <c r="V5" s="22" t="inlineStr">
        <is>
          <t>미확인</t>
        </is>
      </c>
      <c r="W5" s="22" t="inlineStr">
        <is>
          <t>미확인</t>
        </is>
      </c>
      <c r="X5" s="22" t="inlineStr">
        <is>
          <t>미확인</t>
        </is>
      </c>
      <c r="Y5" s="22" t="inlineStr">
        <is>
          <t>미확인</t>
        </is>
      </c>
      <c r="Z5" s="22" t="inlineStr">
        <is>
          <t>미확인</t>
        </is>
      </c>
      <c r="AA5" s="22" t="inlineStr">
        <is>
          <t>미확인</t>
        </is>
      </c>
      <c r="AB5" s="22" t="inlineStr">
        <is>
          <t>미확인</t>
        </is>
      </c>
      <c r="AC5" s="22" t="inlineStr">
        <is>
          <t>미확인</t>
        </is>
      </c>
      <c r="AD5" s="22" t="inlineStr">
        <is>
          <t>미확인</t>
        </is>
      </c>
      <c r="AE5" s="22" t="inlineStr">
        <is>
          <t>미확인</t>
        </is>
      </c>
      <c r="AF5" s="22" t="inlineStr">
        <is>
          <t>미확인</t>
        </is>
      </c>
      <c r="AG5" s="22" t="inlineStr">
        <is>
          <t>미확인</t>
        </is>
      </c>
      <c r="AH5" s="22" t="inlineStr">
        <is>
          <t>미확인</t>
        </is>
      </c>
      <c r="AI5" s="22" t="inlineStr">
        <is>
          <t>미확인</t>
        </is>
      </c>
      <c r="AJ5" s="22" t="inlineStr">
        <is>
          <t>미확인</t>
        </is>
      </c>
      <c r="AK5" s="22" t="inlineStr">
        <is>
          <t>미확인</t>
        </is>
      </c>
      <c r="AL5" s="22" t="inlineStr">
        <is>
          <t>미확인</t>
        </is>
      </c>
      <c r="AM5" s="22" t="inlineStr">
        <is>
          <t>미확인</t>
        </is>
      </c>
      <c r="AN5" s="22" t="inlineStr">
        <is>
          <t>미확인</t>
        </is>
      </c>
      <c r="AO5" s="17" t="inlineStr">
        <is>
          <t>C(부분확인)</t>
        </is>
      </c>
      <c r="AP5" s="17" t="inlineStr">
        <is>
          <t>Y</t>
        </is>
      </c>
      <c r="AQ5" s="17" t="n">
        <v>24</v>
      </c>
      <c r="AR5" s="28" t="inlineStr">
        <is>
          <t>Tier D</t>
        </is>
      </c>
      <c r="AS5" s="17" t="inlineStr">
        <is>
          <t>QMS+LIMS</t>
        </is>
      </c>
      <c r="AT5" s="17" t="inlineStr">
        <is>
          <t>무균/바이오 제조로 품질관리 난도 높음</t>
        </is>
      </c>
      <c r="AU5" s="17" t="inlineStr">
        <is>
          <t>담당자 파악 후 접촉</t>
        </is>
      </c>
      <c r="AV5" s="17" t="inlineStr">
        <is>
          <t>GMP적합판정+KRX</t>
        </is>
      </c>
      <c r="AW5" s="17" t="inlineStr">
        <is>
          <t>2026-07-05</t>
        </is>
      </c>
    </row>
    <row r="6">
      <c r="A6" s="17" t="inlineStr">
        <is>
          <t>C005</t>
        </is>
      </c>
      <c r="B6" s="17" t="inlineStr">
        <is>
          <t>애거슨바이오</t>
        </is>
      </c>
      <c r="C6" s="17" t="inlineStr">
        <is>
          <t>(주)애거슨바이오</t>
        </is>
      </c>
      <c r="D6" s="17" t="n">
        <v>1</v>
      </c>
      <c r="E6" s="17" t="n">
        <v>1</v>
      </c>
      <c r="F6" s="17" t="inlineStr"/>
      <c r="G6" s="17" t="inlineStr">
        <is>
          <t>Y</t>
        </is>
      </c>
      <c r="H6" s="17" t="inlineStr"/>
      <c r="I6" s="17" t="inlineStr"/>
      <c r="J6" s="24" t="n">
        <v>47324</v>
      </c>
      <c r="K6" s="17" t="inlineStr"/>
      <c r="L6" s="17" t="inlineStr"/>
      <c r="M6" s="17" t="inlineStr"/>
      <c r="N6" s="23" t="inlineStr"/>
      <c r="O6" s="17" t="inlineStr"/>
      <c r="P6" s="17" t="inlineStr"/>
      <c r="Q6" s="17" t="inlineStr">
        <is>
          <t>서승열</t>
        </is>
      </c>
      <c r="R6" s="17" t="inlineStr"/>
      <c r="S6" s="17" t="inlineStr"/>
      <c r="T6" s="17" t="inlineStr">
        <is>
          <t>043-882-8774</t>
        </is>
      </c>
      <c r="U6" s="17" t="inlineStr">
        <is>
          <t>제조소상세</t>
        </is>
      </c>
      <c r="V6" s="22" t="inlineStr">
        <is>
          <t>미확인</t>
        </is>
      </c>
      <c r="W6" s="22" t="inlineStr">
        <is>
          <t>미확인</t>
        </is>
      </c>
      <c r="X6" s="22" t="inlineStr">
        <is>
          <t>미확인</t>
        </is>
      </c>
      <c r="Y6" s="22" t="inlineStr">
        <is>
          <t>미확인</t>
        </is>
      </c>
      <c r="Z6" s="22" t="inlineStr">
        <is>
          <t>미확인</t>
        </is>
      </c>
      <c r="AA6" s="22" t="inlineStr">
        <is>
          <t>미확인</t>
        </is>
      </c>
      <c r="AB6" s="22" t="inlineStr">
        <is>
          <t>미확인</t>
        </is>
      </c>
      <c r="AC6" s="22" t="inlineStr">
        <is>
          <t>미확인</t>
        </is>
      </c>
      <c r="AD6" s="22" t="inlineStr">
        <is>
          <t>미확인</t>
        </is>
      </c>
      <c r="AE6" s="22" t="inlineStr">
        <is>
          <t>미확인</t>
        </is>
      </c>
      <c r="AF6" s="22" t="inlineStr">
        <is>
          <t>미확인</t>
        </is>
      </c>
      <c r="AG6" s="22" t="inlineStr">
        <is>
          <t>미확인</t>
        </is>
      </c>
      <c r="AH6" s="22" t="inlineStr">
        <is>
          <t>미확인</t>
        </is>
      </c>
      <c r="AI6" s="22" t="inlineStr">
        <is>
          <t>미확인</t>
        </is>
      </c>
      <c r="AJ6" s="22" t="inlineStr">
        <is>
          <t>미확인</t>
        </is>
      </c>
      <c r="AK6" s="22" t="inlineStr">
        <is>
          <t>미확인</t>
        </is>
      </c>
      <c r="AL6" s="22" t="inlineStr">
        <is>
          <t>미확인</t>
        </is>
      </c>
      <c r="AM6" s="22" t="inlineStr">
        <is>
          <t>미확인</t>
        </is>
      </c>
      <c r="AN6" s="22" t="inlineStr">
        <is>
          <t>미확인</t>
        </is>
      </c>
      <c r="AO6" s="17" t="inlineStr">
        <is>
          <t>C(부분확인)</t>
        </is>
      </c>
      <c r="AP6" s="17" t="inlineStr">
        <is>
          <t>Y</t>
        </is>
      </c>
      <c r="AQ6" s="17" t="n">
        <v>4</v>
      </c>
      <c r="AR6" s="28" t="inlineStr">
        <is>
          <t>Tier D</t>
        </is>
      </c>
      <c r="AS6" s="17" t="inlineStr">
        <is>
          <t>LIMS</t>
        </is>
      </c>
      <c r="AT6" s="17" t="inlineStr">
        <is>
          <t>원료 제조로 시험실 관리 필요</t>
        </is>
      </c>
      <c r="AU6" s="17" t="inlineStr">
        <is>
          <t>담당자 파악 후 접촉</t>
        </is>
      </c>
      <c r="AV6" s="17" t="inlineStr">
        <is>
          <t>GMP적합판정+KRX</t>
        </is>
      </c>
      <c r="AW6" s="17" t="inlineStr">
        <is>
          <t>2026-07-05</t>
        </is>
      </c>
    </row>
    <row r="7">
      <c r="A7" s="17" t="inlineStr">
        <is>
          <t>C006</t>
        </is>
      </c>
      <c r="B7" s="17" t="inlineStr">
        <is>
          <t>에스피씨</t>
        </is>
      </c>
      <c r="C7" s="17" t="inlineStr">
        <is>
          <t>에스피씨(주)</t>
        </is>
      </c>
      <c r="D7" s="17" t="n">
        <v>2</v>
      </c>
      <c r="E7" s="17" t="n">
        <v>1</v>
      </c>
      <c r="F7" s="17" t="inlineStr">
        <is>
          <t>Y</t>
        </is>
      </c>
      <c r="G7" s="17" t="inlineStr">
        <is>
          <t>Y</t>
        </is>
      </c>
      <c r="H7" s="17" t="inlineStr">
        <is>
          <t>Y</t>
        </is>
      </c>
      <c r="I7" s="17" t="inlineStr"/>
      <c r="J7" s="24" t="n">
        <v>47319</v>
      </c>
      <c r="K7" s="17" t="inlineStr"/>
      <c r="L7" s="17" t="inlineStr"/>
      <c r="M7" s="17" t="inlineStr"/>
      <c r="N7" s="23" t="inlineStr"/>
      <c r="O7" s="17" t="inlineStr"/>
      <c r="P7" s="17" t="inlineStr"/>
      <c r="Q7" s="17" t="inlineStr">
        <is>
          <t>이건호</t>
        </is>
      </c>
      <c r="R7" s="17" t="inlineStr"/>
      <c r="S7" s="17" t="inlineStr"/>
      <c r="T7" s="17" t="inlineStr">
        <is>
          <t>031-682-4675</t>
        </is>
      </c>
      <c r="U7" s="17" t="inlineStr">
        <is>
          <t>제조소상세</t>
        </is>
      </c>
      <c r="V7" s="22" t="inlineStr">
        <is>
          <t>미확인</t>
        </is>
      </c>
      <c r="W7" s="22" t="inlineStr">
        <is>
          <t>미확인</t>
        </is>
      </c>
      <c r="X7" s="22" t="inlineStr">
        <is>
          <t>미확인</t>
        </is>
      </c>
      <c r="Y7" s="22" t="inlineStr">
        <is>
          <t>미확인</t>
        </is>
      </c>
      <c r="Z7" s="22" t="inlineStr">
        <is>
          <t>미확인</t>
        </is>
      </c>
      <c r="AA7" s="22" t="inlineStr">
        <is>
          <t>미확인</t>
        </is>
      </c>
      <c r="AB7" s="22" t="inlineStr">
        <is>
          <t>미확인</t>
        </is>
      </c>
      <c r="AC7" s="22" t="inlineStr">
        <is>
          <t>미확인</t>
        </is>
      </c>
      <c r="AD7" s="22" t="inlineStr">
        <is>
          <t>미확인</t>
        </is>
      </c>
      <c r="AE7" s="22" t="inlineStr">
        <is>
          <t>미확인</t>
        </is>
      </c>
      <c r="AF7" s="22" t="inlineStr">
        <is>
          <t>미확인</t>
        </is>
      </c>
      <c r="AG7" s="22" t="inlineStr">
        <is>
          <t>미확인</t>
        </is>
      </c>
      <c r="AH7" s="22" t="inlineStr">
        <is>
          <t>미확인</t>
        </is>
      </c>
      <c r="AI7" s="22" t="inlineStr">
        <is>
          <t>미확인</t>
        </is>
      </c>
      <c r="AJ7" s="22" t="inlineStr">
        <is>
          <t>미확인</t>
        </is>
      </c>
      <c r="AK7" s="22" t="inlineStr">
        <is>
          <t>미확인</t>
        </is>
      </c>
      <c r="AL7" s="22" t="inlineStr">
        <is>
          <t>미확인</t>
        </is>
      </c>
      <c r="AM7" s="22" t="inlineStr">
        <is>
          <t>미확인</t>
        </is>
      </c>
      <c r="AN7" s="22" t="inlineStr">
        <is>
          <t>미확인</t>
        </is>
      </c>
      <c r="AO7" s="17" t="inlineStr">
        <is>
          <t>C(부분확인)</t>
        </is>
      </c>
      <c r="AP7" s="17" t="inlineStr">
        <is>
          <t>Y</t>
        </is>
      </c>
      <c r="AQ7" s="17" t="n">
        <v>12</v>
      </c>
      <c r="AR7" s="28" t="inlineStr">
        <is>
          <t>Tier D</t>
        </is>
      </c>
      <c r="AS7" s="17" t="inlineStr">
        <is>
          <t>QMS+LIMS</t>
        </is>
      </c>
      <c r="AT7" s="17" t="inlineStr">
        <is>
          <t>무균/바이오 제조로 품질관리 난도 높음; 원료 제조로 시험실 관리 필요</t>
        </is>
      </c>
      <c r="AU7" s="17" t="inlineStr">
        <is>
          <t>담당자 파악 후 접촉</t>
        </is>
      </c>
      <c r="AV7" s="17" t="inlineStr">
        <is>
          <t>GMP적합판정+KRX</t>
        </is>
      </c>
      <c r="AW7" s="17" t="inlineStr">
        <is>
          <t>2026-07-05</t>
        </is>
      </c>
    </row>
    <row r="8">
      <c r="A8" s="17" t="inlineStr">
        <is>
          <t>C007</t>
        </is>
      </c>
      <c r="B8" s="17" t="inlineStr">
        <is>
          <t>대성의료종합가스</t>
        </is>
      </c>
      <c r="C8" s="17" t="inlineStr">
        <is>
          <t>대성의료종합가스(주)</t>
        </is>
      </c>
      <c r="D8" s="17" t="n">
        <v>1</v>
      </c>
      <c r="E8" s="17" t="n">
        <v>1</v>
      </c>
      <c r="F8" s="17" t="inlineStr">
        <is>
          <t>Y</t>
        </is>
      </c>
      <c r="G8" s="17" t="inlineStr"/>
      <c r="H8" s="17" t="inlineStr"/>
      <c r="I8" s="17" t="inlineStr"/>
      <c r="J8" s="24" t="n">
        <v>47315</v>
      </c>
      <c r="K8" s="17" t="inlineStr"/>
      <c r="L8" s="17" t="inlineStr"/>
      <c r="M8" s="17" t="inlineStr"/>
      <c r="N8" s="23" t="inlineStr"/>
      <c r="O8" s="17" t="inlineStr"/>
      <c r="P8" s="17" t="inlineStr"/>
      <c r="Q8" s="17" t="inlineStr">
        <is>
          <t>이근우</t>
        </is>
      </c>
      <c r="R8" s="17" t="inlineStr"/>
      <c r="S8" s="17" t="inlineStr"/>
      <c r="T8" s="17" t="inlineStr">
        <is>
          <t>031-585-7871</t>
        </is>
      </c>
      <c r="U8" s="17" t="inlineStr">
        <is>
          <t>제조소상세</t>
        </is>
      </c>
      <c r="V8" s="22" t="inlineStr">
        <is>
          <t>미확인</t>
        </is>
      </c>
      <c r="W8" s="22" t="inlineStr">
        <is>
          <t>미확인</t>
        </is>
      </c>
      <c r="X8" s="22" t="inlineStr">
        <is>
          <t>미확인</t>
        </is>
      </c>
      <c r="Y8" s="22" t="inlineStr">
        <is>
          <t>미확인</t>
        </is>
      </c>
      <c r="Z8" s="22" t="inlineStr">
        <is>
          <t>미확인</t>
        </is>
      </c>
      <c r="AA8" s="22" t="inlineStr">
        <is>
          <t>미확인</t>
        </is>
      </c>
      <c r="AB8" s="22" t="inlineStr">
        <is>
          <t>미확인</t>
        </is>
      </c>
      <c r="AC8" s="22" t="inlineStr">
        <is>
          <t>미확인</t>
        </is>
      </c>
      <c r="AD8" s="22" t="inlineStr">
        <is>
          <t>미확인</t>
        </is>
      </c>
      <c r="AE8" s="22" t="inlineStr">
        <is>
          <t>미확인</t>
        </is>
      </c>
      <c r="AF8" s="22" t="inlineStr">
        <is>
          <t>미확인</t>
        </is>
      </c>
      <c r="AG8" s="22" t="inlineStr">
        <is>
          <t>미확인</t>
        </is>
      </c>
      <c r="AH8" s="22" t="inlineStr">
        <is>
          <t>미확인</t>
        </is>
      </c>
      <c r="AI8" s="22" t="inlineStr">
        <is>
          <t>미확인</t>
        </is>
      </c>
      <c r="AJ8" s="22" t="inlineStr">
        <is>
          <t>미확인</t>
        </is>
      </c>
      <c r="AK8" s="22" t="inlineStr">
        <is>
          <t>미확인</t>
        </is>
      </c>
      <c r="AL8" s="22" t="inlineStr">
        <is>
          <t>미확인</t>
        </is>
      </c>
      <c r="AM8" s="22" t="inlineStr">
        <is>
          <t>미확인</t>
        </is>
      </c>
      <c r="AN8" s="22" t="inlineStr">
        <is>
          <t>미확인</t>
        </is>
      </c>
      <c r="AO8" s="17" t="inlineStr">
        <is>
          <t>C(부분확인)</t>
        </is>
      </c>
      <c r="AP8" s="17" t="inlineStr">
        <is>
          <t>Y</t>
        </is>
      </c>
      <c r="AQ8" s="17" t="n">
        <v>4</v>
      </c>
      <c r="AR8" s="28" t="inlineStr">
        <is>
          <t>Tier D</t>
        </is>
      </c>
      <c r="AS8" s="17" t="inlineStr">
        <is>
          <t>EDMS</t>
        </is>
      </c>
      <c r="AT8" s="17" t="inlineStr">
        <is>
          <t>기본 문서관리 수요</t>
        </is>
      </c>
      <c r="AU8" s="17" t="inlineStr">
        <is>
          <t>담당자 파악 후 접촉</t>
        </is>
      </c>
      <c r="AV8" s="17" t="inlineStr">
        <is>
          <t>GMP적합판정+KRX</t>
        </is>
      </c>
      <c r="AW8" s="17" t="inlineStr">
        <is>
          <t>2026-07-05</t>
        </is>
      </c>
    </row>
    <row r="9">
      <c r="A9" s="17" t="inlineStr">
        <is>
          <t>C008</t>
        </is>
      </c>
      <c r="B9" s="17" t="inlineStr">
        <is>
          <t>에스에스팜</t>
        </is>
      </c>
      <c r="C9" s="17" t="inlineStr">
        <is>
          <t>에스에스팜(주)</t>
        </is>
      </c>
      <c r="D9" s="17" t="n">
        <v>2</v>
      </c>
      <c r="E9" s="17" t="n">
        <v>1</v>
      </c>
      <c r="F9" s="17" t="inlineStr">
        <is>
          <t>Y</t>
        </is>
      </c>
      <c r="G9" s="17" t="inlineStr">
        <is>
          <t>Y</t>
        </is>
      </c>
      <c r="H9" s="17" t="inlineStr"/>
      <c r="I9" s="17" t="inlineStr"/>
      <c r="J9" s="24" t="n">
        <v>46529</v>
      </c>
      <c r="K9" s="17" t="inlineStr"/>
      <c r="L9" s="17" t="inlineStr"/>
      <c r="M9" s="17" t="inlineStr"/>
      <c r="N9" s="23" t="inlineStr"/>
      <c r="O9" s="17" t="inlineStr"/>
      <c r="P9" s="17" t="inlineStr"/>
      <c r="Q9" s="17" t="inlineStr">
        <is>
          <t>고재원</t>
        </is>
      </c>
      <c r="R9" s="17" t="inlineStr"/>
      <c r="S9" s="17" t="inlineStr"/>
      <c r="T9" s="17" t="inlineStr">
        <is>
          <t>031-491-6311</t>
        </is>
      </c>
      <c r="U9" s="17" t="inlineStr">
        <is>
          <t>제조소상세</t>
        </is>
      </c>
      <c r="V9" s="22" t="inlineStr">
        <is>
          <t>미확인</t>
        </is>
      </c>
      <c r="W9" s="22" t="inlineStr">
        <is>
          <t>미확인</t>
        </is>
      </c>
      <c r="X9" s="22" t="inlineStr">
        <is>
          <t>미확인</t>
        </is>
      </c>
      <c r="Y9" s="22" t="inlineStr">
        <is>
          <t>미확인</t>
        </is>
      </c>
      <c r="Z9" s="22" t="inlineStr">
        <is>
          <t>미확인</t>
        </is>
      </c>
      <c r="AA9" s="22" t="inlineStr">
        <is>
          <t>미확인</t>
        </is>
      </c>
      <c r="AB9" s="22" t="inlineStr">
        <is>
          <t>미확인</t>
        </is>
      </c>
      <c r="AC9" s="22" t="inlineStr">
        <is>
          <t>미확인</t>
        </is>
      </c>
      <c r="AD9" s="22" t="inlineStr">
        <is>
          <t>미확인</t>
        </is>
      </c>
      <c r="AE9" s="22" t="inlineStr">
        <is>
          <t>미확인</t>
        </is>
      </c>
      <c r="AF9" s="22" t="inlineStr">
        <is>
          <t>미확인</t>
        </is>
      </c>
      <c r="AG9" s="22" t="inlineStr">
        <is>
          <t>미확인</t>
        </is>
      </c>
      <c r="AH9" s="22" t="inlineStr">
        <is>
          <t>미확인</t>
        </is>
      </c>
      <c r="AI9" s="22" t="inlineStr">
        <is>
          <t>미확인</t>
        </is>
      </c>
      <c r="AJ9" s="22" t="inlineStr">
        <is>
          <t>미확인</t>
        </is>
      </c>
      <c r="AK9" s="22" t="inlineStr">
        <is>
          <t>미확인</t>
        </is>
      </c>
      <c r="AL9" s="22" t="inlineStr">
        <is>
          <t>미확인</t>
        </is>
      </c>
      <c r="AM9" s="22" t="inlineStr">
        <is>
          <t>미확인</t>
        </is>
      </c>
      <c r="AN9" s="22" t="inlineStr">
        <is>
          <t>미확인</t>
        </is>
      </c>
      <c r="AO9" s="17" t="inlineStr">
        <is>
          <t>C(부분확인)</t>
        </is>
      </c>
      <c r="AP9" s="17" t="inlineStr">
        <is>
          <t>Y</t>
        </is>
      </c>
      <c r="AQ9" s="17" t="n">
        <v>7</v>
      </c>
      <c r="AR9" s="28" t="inlineStr">
        <is>
          <t>Tier D</t>
        </is>
      </c>
      <c r="AS9" s="17" t="inlineStr">
        <is>
          <t>QMS+LIMS</t>
        </is>
      </c>
      <c r="AT9" s="17" t="inlineStr">
        <is>
          <t>원료 제조로 시험실 관리 필요</t>
        </is>
      </c>
      <c r="AU9" s="17" t="inlineStr">
        <is>
          <t>담당자 파악 후 접촉</t>
        </is>
      </c>
      <c r="AV9" s="17" t="inlineStr">
        <is>
          <t>GMP적합판정+KRX</t>
        </is>
      </c>
      <c r="AW9" s="17" t="inlineStr">
        <is>
          <t>2026-07-05</t>
        </is>
      </c>
    </row>
    <row r="10">
      <c r="A10" s="17" t="inlineStr">
        <is>
          <t>C009</t>
        </is>
      </c>
      <c r="B10" s="17" t="inlineStr">
        <is>
          <t>지에이치</t>
        </is>
      </c>
      <c r="C10" s="17" t="inlineStr">
        <is>
          <t>지에이치(주)</t>
        </is>
      </c>
      <c r="D10" s="17" t="n">
        <v>1</v>
      </c>
      <c r="E10" s="17" t="n">
        <v>1</v>
      </c>
      <c r="F10" s="17" t="inlineStr"/>
      <c r="G10" s="17" t="inlineStr">
        <is>
          <t>Y</t>
        </is>
      </c>
      <c r="H10" s="17" t="inlineStr"/>
      <c r="I10" s="17" t="inlineStr"/>
      <c r="J10" s="24" t="n">
        <v>47310</v>
      </c>
      <c r="K10" s="17" t="inlineStr"/>
      <c r="L10" s="17" t="inlineStr"/>
      <c r="M10" s="17" t="inlineStr"/>
      <c r="N10" s="23" t="inlineStr"/>
      <c r="O10" s="17" t="inlineStr"/>
      <c r="P10" s="17" t="inlineStr"/>
      <c r="Q10" s="17" t="inlineStr">
        <is>
          <t>이희경</t>
        </is>
      </c>
      <c r="R10" s="17" t="inlineStr"/>
      <c r="S10" s="17" t="inlineStr"/>
      <c r="T10" s="17" t="inlineStr">
        <is>
          <t>02-587-9123</t>
        </is>
      </c>
      <c r="U10" s="17" t="inlineStr">
        <is>
          <t>제조소상세</t>
        </is>
      </c>
      <c r="V10" s="22" t="inlineStr">
        <is>
          <t>미확인</t>
        </is>
      </c>
      <c r="W10" s="22" t="inlineStr">
        <is>
          <t>미확인</t>
        </is>
      </c>
      <c r="X10" s="22" t="inlineStr">
        <is>
          <t>미확인</t>
        </is>
      </c>
      <c r="Y10" s="22" t="inlineStr">
        <is>
          <t>미확인</t>
        </is>
      </c>
      <c r="Z10" s="22" t="inlineStr">
        <is>
          <t>미확인</t>
        </is>
      </c>
      <c r="AA10" s="22" t="inlineStr">
        <is>
          <t>미확인</t>
        </is>
      </c>
      <c r="AB10" s="22" t="inlineStr">
        <is>
          <t>미확인</t>
        </is>
      </c>
      <c r="AC10" s="22" t="inlineStr">
        <is>
          <t>미확인</t>
        </is>
      </c>
      <c r="AD10" s="22" t="inlineStr">
        <is>
          <t>미확인</t>
        </is>
      </c>
      <c r="AE10" s="22" t="inlineStr">
        <is>
          <t>미확인</t>
        </is>
      </c>
      <c r="AF10" s="22" t="inlineStr">
        <is>
          <t>미확인</t>
        </is>
      </c>
      <c r="AG10" s="22" t="inlineStr">
        <is>
          <t>미확인</t>
        </is>
      </c>
      <c r="AH10" s="22" t="inlineStr">
        <is>
          <t>미확인</t>
        </is>
      </c>
      <c r="AI10" s="22" t="inlineStr">
        <is>
          <t>미확인</t>
        </is>
      </c>
      <c r="AJ10" s="22" t="inlineStr">
        <is>
          <t>미확인</t>
        </is>
      </c>
      <c r="AK10" s="22" t="inlineStr">
        <is>
          <t>미확인</t>
        </is>
      </c>
      <c r="AL10" s="22" t="inlineStr">
        <is>
          <t>미확인</t>
        </is>
      </c>
      <c r="AM10" s="22" t="inlineStr">
        <is>
          <t>미확인</t>
        </is>
      </c>
      <c r="AN10" s="22" t="inlineStr">
        <is>
          <t>미확인</t>
        </is>
      </c>
      <c r="AO10" s="17" t="inlineStr">
        <is>
          <t>C(부분확인)</t>
        </is>
      </c>
      <c r="AP10" s="17" t="inlineStr">
        <is>
          <t>Y</t>
        </is>
      </c>
      <c r="AQ10" s="17" t="n">
        <v>4</v>
      </c>
      <c r="AR10" s="28" t="inlineStr">
        <is>
          <t>Tier D</t>
        </is>
      </c>
      <c r="AS10" s="17" t="inlineStr">
        <is>
          <t>LIMS</t>
        </is>
      </c>
      <c r="AT10" s="17" t="inlineStr">
        <is>
          <t>원료 제조로 시험실 관리 필요</t>
        </is>
      </c>
      <c r="AU10" s="17" t="inlineStr">
        <is>
          <t>담당자 파악 후 접촉</t>
        </is>
      </c>
      <c r="AV10" s="17" t="inlineStr">
        <is>
          <t>GMP적합판정+KRX</t>
        </is>
      </c>
      <c r="AW10" s="17" t="inlineStr">
        <is>
          <t>2026-07-05</t>
        </is>
      </c>
    </row>
    <row r="11">
      <c r="A11" s="17" t="inlineStr">
        <is>
          <t>C010</t>
        </is>
      </c>
      <c r="B11" s="17" t="inlineStr">
        <is>
          <t>경방신약</t>
        </is>
      </c>
      <c r="C11" s="17" t="inlineStr">
        <is>
          <t>경방신약(주)</t>
        </is>
      </c>
      <c r="D11" s="17" t="n">
        <v>3</v>
      </c>
      <c r="E11" s="17" t="n">
        <v>2</v>
      </c>
      <c r="F11" s="17" t="inlineStr">
        <is>
          <t>Y</t>
        </is>
      </c>
      <c r="G11" s="17" t="inlineStr">
        <is>
          <t>Y</t>
        </is>
      </c>
      <c r="H11" s="17" t="inlineStr"/>
      <c r="I11" s="17" t="inlineStr"/>
      <c r="J11" s="24" t="n">
        <v>46404</v>
      </c>
      <c r="K11" s="17" t="inlineStr"/>
      <c r="L11" s="17" t="inlineStr"/>
      <c r="M11" s="17" t="inlineStr"/>
      <c r="N11" s="23" t="inlineStr"/>
      <c r="O11" s="17" t="inlineStr"/>
      <c r="P11" s="17" t="inlineStr"/>
      <c r="Q11" s="17" t="inlineStr">
        <is>
          <t>김충환</t>
        </is>
      </c>
      <c r="R11" s="17" t="inlineStr"/>
      <c r="S11" s="17" t="inlineStr"/>
      <c r="T11" s="17" t="inlineStr">
        <is>
          <t>0328224322032222890515997199</t>
        </is>
      </c>
      <c r="U11" s="17" t="inlineStr">
        <is>
          <t>제조소상세</t>
        </is>
      </c>
      <c r="V11" s="22" t="inlineStr">
        <is>
          <t>미확인</t>
        </is>
      </c>
      <c r="W11" s="22" t="inlineStr">
        <is>
          <t>미확인</t>
        </is>
      </c>
      <c r="X11" s="22" t="inlineStr">
        <is>
          <t>미확인</t>
        </is>
      </c>
      <c r="Y11" s="22" t="inlineStr">
        <is>
          <t>미확인</t>
        </is>
      </c>
      <c r="Z11" s="22" t="inlineStr">
        <is>
          <t>미확인</t>
        </is>
      </c>
      <c r="AA11" s="22" t="inlineStr">
        <is>
          <t>미확인</t>
        </is>
      </c>
      <c r="AB11" s="22" t="inlineStr">
        <is>
          <t>미확인</t>
        </is>
      </c>
      <c r="AC11" s="22" t="inlineStr">
        <is>
          <t>미확인</t>
        </is>
      </c>
      <c r="AD11" s="22" t="inlineStr">
        <is>
          <t>미확인</t>
        </is>
      </c>
      <c r="AE11" s="22" t="inlineStr">
        <is>
          <t>미확인</t>
        </is>
      </c>
      <c r="AF11" s="22" t="inlineStr">
        <is>
          <t>미확인</t>
        </is>
      </c>
      <c r="AG11" s="22" t="inlineStr">
        <is>
          <t>미확인</t>
        </is>
      </c>
      <c r="AH11" s="22" t="inlineStr">
        <is>
          <t>미확인</t>
        </is>
      </c>
      <c r="AI11" s="22" t="inlineStr">
        <is>
          <t>미확인</t>
        </is>
      </c>
      <c r="AJ11" s="22" t="inlineStr">
        <is>
          <t>미확인</t>
        </is>
      </c>
      <c r="AK11" s="22" t="inlineStr">
        <is>
          <t>미확인</t>
        </is>
      </c>
      <c r="AL11" s="22" t="inlineStr">
        <is>
          <t>미확인</t>
        </is>
      </c>
      <c r="AM11" s="22" t="inlineStr">
        <is>
          <t>미확인</t>
        </is>
      </c>
      <c r="AN11" s="22" t="inlineStr">
        <is>
          <t>미확인</t>
        </is>
      </c>
      <c r="AO11" s="17" t="inlineStr">
        <is>
          <t>C(부분확인)</t>
        </is>
      </c>
      <c r="AP11" s="17" t="inlineStr">
        <is>
          <t>Y</t>
        </is>
      </c>
      <c r="AQ11" s="17" t="n">
        <v>11</v>
      </c>
      <c r="AR11" s="28" t="inlineStr">
        <is>
          <t>Tier D</t>
        </is>
      </c>
      <c r="AS11" s="17" t="inlineStr">
        <is>
          <t>통합형</t>
        </is>
      </c>
      <c r="AT11" s="17" t="inlineStr">
        <is>
          <t>다중 제조소/다수 판정서로 문서관리 복잡; 원료 제조로 시험실 관리 필요</t>
        </is>
      </c>
      <c r="AU11" s="17" t="inlineStr">
        <is>
          <t>담당자 파악 후 접촉</t>
        </is>
      </c>
      <c r="AV11" s="17" t="inlineStr">
        <is>
          <t>GMP적합판정+KRX</t>
        </is>
      </c>
      <c r="AW11" s="17" t="inlineStr">
        <is>
          <t>2026-07-05</t>
        </is>
      </c>
    </row>
    <row r="12">
      <c r="A12" s="17" t="inlineStr">
        <is>
          <t>C011</t>
        </is>
      </c>
      <c r="B12" s="17" t="inlineStr">
        <is>
          <t>제이비케이랩</t>
        </is>
      </c>
      <c r="C12" s="17" t="inlineStr">
        <is>
          <t>주식회사 제이비케이랩</t>
        </is>
      </c>
      <c r="D12" s="17" t="n">
        <v>1</v>
      </c>
      <c r="E12" s="17" t="n">
        <v>1</v>
      </c>
      <c r="F12" s="17" t="inlineStr">
        <is>
          <t>Y</t>
        </is>
      </c>
      <c r="G12" s="17" t="inlineStr"/>
      <c r="H12" s="17" t="inlineStr"/>
      <c r="I12" s="17" t="inlineStr"/>
      <c r="J12" s="24" t="n">
        <v>47303</v>
      </c>
      <c r="K12" s="17" t="inlineStr"/>
      <c r="L12" s="17" t="inlineStr"/>
      <c r="M12" s="17" t="inlineStr"/>
      <c r="N12" s="23" t="inlineStr"/>
      <c r="O12" s="17" t="inlineStr"/>
      <c r="P12" s="17" t="inlineStr"/>
      <c r="Q12" s="17" t="inlineStr">
        <is>
          <t>장봉근</t>
        </is>
      </c>
      <c r="R12" s="17" t="inlineStr"/>
      <c r="S12" s="17" t="inlineStr"/>
      <c r="T12" s="17" t="inlineStr">
        <is>
          <t>미확인</t>
        </is>
      </c>
      <c r="U12" s="17" t="inlineStr">
        <is>
          <t>미확인</t>
        </is>
      </c>
      <c r="V12" s="22" t="inlineStr">
        <is>
          <t>미확인</t>
        </is>
      </c>
      <c r="W12" s="22" t="inlineStr">
        <is>
          <t>미확인</t>
        </is>
      </c>
      <c r="X12" s="22" t="inlineStr">
        <is>
          <t>미확인</t>
        </is>
      </c>
      <c r="Y12" s="22" t="inlineStr">
        <is>
          <t>미확인</t>
        </is>
      </c>
      <c r="Z12" s="22" t="inlineStr">
        <is>
          <t>미확인</t>
        </is>
      </c>
      <c r="AA12" s="22" t="inlineStr">
        <is>
          <t>미확인</t>
        </is>
      </c>
      <c r="AB12" s="22" t="inlineStr">
        <is>
          <t>미확인</t>
        </is>
      </c>
      <c r="AC12" s="22" t="inlineStr">
        <is>
          <t>미확인</t>
        </is>
      </c>
      <c r="AD12" s="22" t="inlineStr">
        <is>
          <t>미확인</t>
        </is>
      </c>
      <c r="AE12" s="22" t="inlineStr">
        <is>
          <t>미확인</t>
        </is>
      </c>
      <c r="AF12" s="22" t="inlineStr">
        <is>
          <t>미확인</t>
        </is>
      </c>
      <c r="AG12" s="22" t="inlineStr">
        <is>
          <t>미확인</t>
        </is>
      </c>
      <c r="AH12" s="22" t="inlineStr">
        <is>
          <t>미확인</t>
        </is>
      </c>
      <c r="AI12" s="22" t="inlineStr">
        <is>
          <t>미확인</t>
        </is>
      </c>
      <c r="AJ12" s="22" t="inlineStr">
        <is>
          <t>미확인</t>
        </is>
      </c>
      <c r="AK12" s="22" t="inlineStr">
        <is>
          <t>미확인</t>
        </is>
      </c>
      <c r="AL12" s="22" t="inlineStr">
        <is>
          <t>미확인</t>
        </is>
      </c>
      <c r="AM12" s="22" t="inlineStr">
        <is>
          <t>미확인</t>
        </is>
      </c>
      <c r="AN12" s="22" t="inlineStr">
        <is>
          <t>미확인</t>
        </is>
      </c>
      <c r="AO12" s="17" t="inlineStr">
        <is>
          <t>C(부분확인)</t>
        </is>
      </c>
      <c r="AP12" s="17" t="inlineStr">
        <is>
          <t>Y</t>
        </is>
      </c>
      <c r="AQ12" s="17" t="n">
        <v>4</v>
      </c>
      <c r="AR12" s="28" t="inlineStr">
        <is>
          <t>Tier D</t>
        </is>
      </c>
      <c r="AS12" s="17" t="inlineStr">
        <is>
          <t>EDMS</t>
        </is>
      </c>
      <c r="AT12" s="17" t="inlineStr">
        <is>
          <t>기본 문서관리 수요</t>
        </is>
      </c>
      <c r="AU12" s="17" t="inlineStr">
        <is>
          <t>담당자 파악 후 접촉</t>
        </is>
      </c>
      <c r="AV12" s="17" t="inlineStr">
        <is>
          <t>GMP적합판정+KRX</t>
        </is>
      </c>
      <c r="AW12" s="17" t="inlineStr">
        <is>
          <t>2026-07-05</t>
        </is>
      </c>
    </row>
    <row r="13">
      <c r="A13" s="17" t="inlineStr">
        <is>
          <t>C012</t>
        </is>
      </c>
      <c r="B13" s="17" t="inlineStr">
        <is>
          <t>대일가스</t>
        </is>
      </c>
      <c r="C13" s="17" t="inlineStr">
        <is>
          <t>(주)대일가스</t>
        </is>
      </c>
      <c r="D13" s="17" t="n">
        <v>1</v>
      </c>
      <c r="E13" s="17" t="n">
        <v>1</v>
      </c>
      <c r="F13" s="17" t="inlineStr">
        <is>
          <t>Y</t>
        </is>
      </c>
      <c r="G13" s="17" t="inlineStr"/>
      <c r="H13" s="17" t="inlineStr"/>
      <c r="I13" s="17" t="inlineStr"/>
      <c r="J13" s="24" t="n">
        <v>47302</v>
      </c>
      <c r="K13" s="17" t="inlineStr"/>
      <c r="L13" s="17" t="inlineStr"/>
      <c r="M13" s="17" t="inlineStr"/>
      <c r="N13" s="23" t="inlineStr"/>
      <c r="O13" s="17" t="inlineStr"/>
      <c r="P13" s="17" t="inlineStr"/>
      <c r="Q13" s="17" t="inlineStr">
        <is>
          <t>최봉순</t>
        </is>
      </c>
      <c r="R13" s="17" t="inlineStr"/>
      <c r="S13" s="17" t="inlineStr"/>
      <c r="T13" s="17" t="inlineStr">
        <is>
          <t>033-645-7162</t>
        </is>
      </c>
      <c r="U13" s="17" t="inlineStr">
        <is>
          <t>제조소상세</t>
        </is>
      </c>
      <c r="V13" s="22" t="inlineStr">
        <is>
          <t>미확인</t>
        </is>
      </c>
      <c r="W13" s="22" t="inlineStr">
        <is>
          <t>미확인</t>
        </is>
      </c>
      <c r="X13" s="22" t="inlineStr">
        <is>
          <t>미확인</t>
        </is>
      </c>
      <c r="Y13" s="22" t="inlineStr">
        <is>
          <t>미확인</t>
        </is>
      </c>
      <c r="Z13" s="22" t="inlineStr">
        <is>
          <t>미확인</t>
        </is>
      </c>
      <c r="AA13" s="22" t="inlineStr">
        <is>
          <t>미확인</t>
        </is>
      </c>
      <c r="AB13" s="22" t="inlineStr">
        <is>
          <t>미확인</t>
        </is>
      </c>
      <c r="AC13" s="22" t="inlineStr">
        <is>
          <t>미확인</t>
        </is>
      </c>
      <c r="AD13" s="22" t="inlineStr">
        <is>
          <t>미확인</t>
        </is>
      </c>
      <c r="AE13" s="22" t="inlineStr">
        <is>
          <t>미확인</t>
        </is>
      </c>
      <c r="AF13" s="22" t="inlineStr">
        <is>
          <t>미확인</t>
        </is>
      </c>
      <c r="AG13" s="22" t="inlineStr">
        <is>
          <t>미확인</t>
        </is>
      </c>
      <c r="AH13" s="22" t="inlineStr">
        <is>
          <t>미확인</t>
        </is>
      </c>
      <c r="AI13" s="22" t="inlineStr">
        <is>
          <t>미확인</t>
        </is>
      </c>
      <c r="AJ13" s="22" t="inlineStr">
        <is>
          <t>미확인</t>
        </is>
      </c>
      <c r="AK13" s="22" t="inlineStr">
        <is>
          <t>미확인</t>
        </is>
      </c>
      <c r="AL13" s="22" t="inlineStr">
        <is>
          <t>미확인</t>
        </is>
      </c>
      <c r="AM13" s="22" t="inlineStr">
        <is>
          <t>미확인</t>
        </is>
      </c>
      <c r="AN13" s="22" t="inlineStr">
        <is>
          <t>미확인</t>
        </is>
      </c>
      <c r="AO13" s="17" t="inlineStr">
        <is>
          <t>C(부분확인)</t>
        </is>
      </c>
      <c r="AP13" s="17" t="inlineStr">
        <is>
          <t>Y</t>
        </is>
      </c>
      <c r="AQ13" s="17" t="n">
        <v>4</v>
      </c>
      <c r="AR13" s="28" t="inlineStr">
        <is>
          <t>Tier D</t>
        </is>
      </c>
      <c r="AS13" s="17" t="inlineStr">
        <is>
          <t>EDMS</t>
        </is>
      </c>
      <c r="AT13" s="17" t="inlineStr">
        <is>
          <t>기본 문서관리 수요</t>
        </is>
      </c>
      <c r="AU13" s="17" t="inlineStr">
        <is>
          <t>담당자 파악 후 접촉</t>
        </is>
      </c>
      <c r="AV13" s="17" t="inlineStr">
        <is>
          <t>GMP적합판정+KRX</t>
        </is>
      </c>
      <c r="AW13" s="17" t="inlineStr">
        <is>
          <t>2026-07-05</t>
        </is>
      </c>
    </row>
    <row r="14">
      <c r="A14" s="17" t="inlineStr">
        <is>
          <t>C013</t>
        </is>
      </c>
      <c r="B14" s="17" t="inlineStr">
        <is>
          <t>동방산업가스</t>
        </is>
      </c>
      <c r="C14" s="17" t="inlineStr">
        <is>
          <t>동방산업가스</t>
        </is>
      </c>
      <c r="D14" s="17" t="n">
        <v>1</v>
      </c>
      <c r="E14" s="17" t="n">
        <v>1</v>
      </c>
      <c r="F14" s="17" t="inlineStr">
        <is>
          <t>Y</t>
        </is>
      </c>
      <c r="G14" s="17" t="inlineStr"/>
      <c r="H14" s="17" t="inlineStr"/>
      <c r="I14" s="17" t="inlineStr"/>
      <c r="J14" s="24" t="n">
        <v>47302</v>
      </c>
      <c r="K14" s="17" t="inlineStr"/>
      <c r="L14" s="17" t="inlineStr"/>
      <c r="M14" s="17" t="inlineStr"/>
      <c r="N14" s="23" t="inlineStr"/>
      <c r="O14" s="17" t="inlineStr"/>
      <c r="P14" s="17" t="inlineStr"/>
      <c r="Q14" s="17" t="inlineStr">
        <is>
          <t>김태건</t>
        </is>
      </c>
      <c r="R14" s="17" t="inlineStr"/>
      <c r="S14" s="17" t="inlineStr"/>
      <c r="T14" s="17" t="inlineStr">
        <is>
          <t>054-858-7593</t>
        </is>
      </c>
      <c r="U14" s="17" t="inlineStr">
        <is>
          <t>제조소상세</t>
        </is>
      </c>
      <c r="V14" s="22" t="inlineStr">
        <is>
          <t>미확인</t>
        </is>
      </c>
      <c r="W14" s="22" t="inlineStr">
        <is>
          <t>미확인</t>
        </is>
      </c>
      <c r="X14" s="22" t="inlineStr">
        <is>
          <t>미확인</t>
        </is>
      </c>
      <c r="Y14" s="22" t="inlineStr">
        <is>
          <t>미확인</t>
        </is>
      </c>
      <c r="Z14" s="22" t="inlineStr">
        <is>
          <t>미확인</t>
        </is>
      </c>
      <c r="AA14" s="22" t="inlineStr">
        <is>
          <t>미확인</t>
        </is>
      </c>
      <c r="AB14" s="22" t="inlineStr">
        <is>
          <t>미확인</t>
        </is>
      </c>
      <c r="AC14" s="22" t="inlineStr">
        <is>
          <t>미확인</t>
        </is>
      </c>
      <c r="AD14" s="22" t="inlineStr">
        <is>
          <t>미확인</t>
        </is>
      </c>
      <c r="AE14" s="22" t="inlineStr">
        <is>
          <t>미확인</t>
        </is>
      </c>
      <c r="AF14" s="22" t="inlineStr">
        <is>
          <t>미확인</t>
        </is>
      </c>
      <c r="AG14" s="22" t="inlineStr">
        <is>
          <t>미확인</t>
        </is>
      </c>
      <c r="AH14" s="22" t="inlineStr">
        <is>
          <t>미확인</t>
        </is>
      </c>
      <c r="AI14" s="22" t="inlineStr">
        <is>
          <t>미확인</t>
        </is>
      </c>
      <c r="AJ14" s="22" t="inlineStr">
        <is>
          <t>미확인</t>
        </is>
      </c>
      <c r="AK14" s="22" t="inlineStr">
        <is>
          <t>미확인</t>
        </is>
      </c>
      <c r="AL14" s="22" t="inlineStr">
        <is>
          <t>미확인</t>
        </is>
      </c>
      <c r="AM14" s="22" t="inlineStr">
        <is>
          <t>미확인</t>
        </is>
      </c>
      <c r="AN14" s="22" t="inlineStr">
        <is>
          <t>미확인</t>
        </is>
      </c>
      <c r="AO14" s="17" t="inlineStr">
        <is>
          <t>C(부분확인)</t>
        </is>
      </c>
      <c r="AP14" s="17" t="inlineStr">
        <is>
          <t>Y</t>
        </is>
      </c>
      <c r="AQ14" s="17" t="n">
        <v>4</v>
      </c>
      <c r="AR14" s="28" t="inlineStr">
        <is>
          <t>Tier D</t>
        </is>
      </c>
      <c r="AS14" s="17" t="inlineStr">
        <is>
          <t>EDMS</t>
        </is>
      </c>
      <c r="AT14" s="17" t="inlineStr">
        <is>
          <t>기본 문서관리 수요</t>
        </is>
      </c>
      <c r="AU14" s="17" t="inlineStr">
        <is>
          <t>담당자 파악 후 접촉</t>
        </is>
      </c>
      <c r="AV14" s="17" t="inlineStr">
        <is>
          <t>GMP적합판정+KRX</t>
        </is>
      </c>
      <c r="AW14" s="17" t="inlineStr">
        <is>
          <t>2026-07-05</t>
        </is>
      </c>
    </row>
    <row r="15">
      <c r="A15" s="17" t="inlineStr">
        <is>
          <t>C014</t>
        </is>
      </c>
      <c r="B15" s="17" t="inlineStr">
        <is>
          <t>에어코리아</t>
        </is>
      </c>
      <c r="C15" s="17" t="inlineStr">
        <is>
          <t>에어코리아(주)</t>
        </is>
      </c>
      <c r="D15" s="17" t="n">
        <v>1</v>
      </c>
      <c r="E15" s="17" t="n">
        <v>1</v>
      </c>
      <c r="F15" s="17" t="inlineStr">
        <is>
          <t>Y</t>
        </is>
      </c>
      <c r="G15" s="17" t="inlineStr"/>
      <c r="H15" s="17" t="inlineStr"/>
      <c r="I15" s="17" t="inlineStr"/>
      <c r="J15" s="24" t="n">
        <v>47296</v>
      </c>
      <c r="K15" s="17" t="inlineStr"/>
      <c r="L15" s="17" t="inlineStr"/>
      <c r="M15" s="17" t="inlineStr"/>
      <c r="N15" s="23" t="inlineStr"/>
      <c r="O15" s="17" t="inlineStr"/>
      <c r="P15" s="17" t="inlineStr"/>
      <c r="Q15" s="17" t="inlineStr">
        <is>
          <t>김광섭</t>
        </is>
      </c>
      <c r="R15" s="17" t="inlineStr"/>
      <c r="S15" s="17" t="inlineStr"/>
      <c r="T15" s="17" t="inlineStr">
        <is>
          <t>미확인</t>
        </is>
      </c>
      <c r="U15" s="17" t="inlineStr">
        <is>
          <t>미확인</t>
        </is>
      </c>
      <c r="V15" s="22" t="inlineStr">
        <is>
          <t>미확인</t>
        </is>
      </c>
      <c r="W15" s="22" t="inlineStr">
        <is>
          <t>미확인</t>
        </is>
      </c>
      <c r="X15" s="22" t="inlineStr">
        <is>
          <t>미확인</t>
        </is>
      </c>
      <c r="Y15" s="22" t="inlineStr">
        <is>
          <t>미확인</t>
        </is>
      </c>
      <c r="Z15" s="22" t="inlineStr">
        <is>
          <t>미확인</t>
        </is>
      </c>
      <c r="AA15" s="22" t="inlineStr">
        <is>
          <t>미확인</t>
        </is>
      </c>
      <c r="AB15" s="22" t="inlineStr">
        <is>
          <t>미확인</t>
        </is>
      </c>
      <c r="AC15" s="22" t="inlineStr">
        <is>
          <t>미확인</t>
        </is>
      </c>
      <c r="AD15" s="22" t="inlineStr">
        <is>
          <t>미확인</t>
        </is>
      </c>
      <c r="AE15" s="22" t="inlineStr">
        <is>
          <t>미확인</t>
        </is>
      </c>
      <c r="AF15" s="22" t="inlineStr">
        <is>
          <t>미확인</t>
        </is>
      </c>
      <c r="AG15" s="22" t="inlineStr">
        <is>
          <t>미확인</t>
        </is>
      </c>
      <c r="AH15" s="22" t="inlineStr">
        <is>
          <t>미확인</t>
        </is>
      </c>
      <c r="AI15" s="22" t="inlineStr">
        <is>
          <t>미확인</t>
        </is>
      </c>
      <c r="AJ15" s="22" t="inlineStr">
        <is>
          <t>미확인</t>
        </is>
      </c>
      <c r="AK15" s="22" t="inlineStr">
        <is>
          <t>미확인</t>
        </is>
      </c>
      <c r="AL15" s="22" t="inlineStr">
        <is>
          <t>미확인</t>
        </is>
      </c>
      <c r="AM15" s="22" t="inlineStr">
        <is>
          <t>미확인</t>
        </is>
      </c>
      <c r="AN15" s="22" t="inlineStr">
        <is>
          <t>미확인</t>
        </is>
      </c>
      <c r="AO15" s="17" t="inlineStr">
        <is>
          <t>C(부분확인)</t>
        </is>
      </c>
      <c r="AP15" s="17" t="inlineStr">
        <is>
          <t>Y</t>
        </is>
      </c>
      <c r="AQ15" s="17" t="n">
        <v>4</v>
      </c>
      <c r="AR15" s="28" t="inlineStr">
        <is>
          <t>Tier D</t>
        </is>
      </c>
      <c r="AS15" s="17" t="inlineStr">
        <is>
          <t>EDMS</t>
        </is>
      </c>
      <c r="AT15" s="17" t="inlineStr">
        <is>
          <t>기본 문서관리 수요</t>
        </is>
      </c>
      <c r="AU15" s="17" t="inlineStr">
        <is>
          <t>담당자 파악 후 접촉</t>
        </is>
      </c>
      <c r="AV15" s="17" t="inlineStr">
        <is>
          <t>GMP적합판정+KRX</t>
        </is>
      </c>
      <c r="AW15" s="17" t="inlineStr">
        <is>
          <t>2026-07-05</t>
        </is>
      </c>
    </row>
    <row r="16">
      <c r="A16" s="17" t="inlineStr">
        <is>
          <t>C015</t>
        </is>
      </c>
      <c r="B16" s="17" t="inlineStr">
        <is>
          <t>유케이케미팜</t>
        </is>
      </c>
      <c r="C16" s="17" t="inlineStr">
        <is>
          <t>(주)유케이케미팜</t>
        </is>
      </c>
      <c r="D16" s="17" t="n">
        <v>2</v>
      </c>
      <c r="E16" s="17" t="n">
        <v>1</v>
      </c>
      <c r="F16" s="17" t="inlineStr">
        <is>
          <t>Y</t>
        </is>
      </c>
      <c r="G16" s="17" t="inlineStr">
        <is>
          <t>Y</t>
        </is>
      </c>
      <c r="H16" s="17" t="inlineStr">
        <is>
          <t>Y</t>
        </is>
      </c>
      <c r="I16" s="17" t="inlineStr"/>
      <c r="J16" s="24" t="n">
        <v>47291</v>
      </c>
      <c r="K16" s="17" t="inlineStr"/>
      <c r="L16" s="17" t="inlineStr"/>
      <c r="M16" s="17" t="inlineStr"/>
      <c r="N16" s="23" t="inlineStr"/>
      <c r="O16" s="17" t="inlineStr"/>
      <c r="P16" s="17" t="inlineStr"/>
      <c r="Q16" s="17" t="inlineStr">
        <is>
          <t>오기범</t>
        </is>
      </c>
      <c r="R16" s="17" t="inlineStr"/>
      <c r="S16" s="17" t="inlineStr"/>
      <c r="T16" s="17" t="inlineStr">
        <is>
          <t>미확인</t>
        </is>
      </c>
      <c r="U16" s="17" t="inlineStr">
        <is>
          <t>미확인</t>
        </is>
      </c>
      <c r="V16" s="22" t="inlineStr">
        <is>
          <t>미확인</t>
        </is>
      </c>
      <c r="W16" s="22" t="inlineStr">
        <is>
          <t>미확인</t>
        </is>
      </c>
      <c r="X16" s="22" t="inlineStr">
        <is>
          <t>미확인</t>
        </is>
      </c>
      <c r="Y16" s="22" t="inlineStr">
        <is>
          <t>미확인</t>
        </is>
      </c>
      <c r="Z16" s="22" t="inlineStr">
        <is>
          <t>미확인</t>
        </is>
      </c>
      <c r="AA16" s="22" t="inlineStr">
        <is>
          <t>미확인</t>
        </is>
      </c>
      <c r="AB16" s="22" t="inlineStr">
        <is>
          <t>미확인</t>
        </is>
      </c>
      <c r="AC16" s="22" t="inlineStr">
        <is>
          <t>미확인</t>
        </is>
      </c>
      <c r="AD16" s="22" t="inlineStr">
        <is>
          <t>미확인</t>
        </is>
      </c>
      <c r="AE16" s="22" t="inlineStr">
        <is>
          <t>미확인</t>
        </is>
      </c>
      <c r="AF16" s="22" t="inlineStr">
        <is>
          <t>미확인</t>
        </is>
      </c>
      <c r="AG16" s="22" t="inlineStr">
        <is>
          <t>미확인</t>
        </is>
      </c>
      <c r="AH16" s="22" t="inlineStr">
        <is>
          <t>미확인</t>
        </is>
      </c>
      <c r="AI16" s="22" t="inlineStr">
        <is>
          <t>미확인</t>
        </is>
      </c>
      <c r="AJ16" s="22" t="inlineStr">
        <is>
          <t>미확인</t>
        </is>
      </c>
      <c r="AK16" s="22" t="inlineStr">
        <is>
          <t>미확인</t>
        </is>
      </c>
      <c r="AL16" s="22" t="inlineStr">
        <is>
          <t>미확인</t>
        </is>
      </c>
      <c r="AM16" s="22" t="inlineStr">
        <is>
          <t>미확인</t>
        </is>
      </c>
      <c r="AN16" s="22" t="inlineStr">
        <is>
          <t>미확인</t>
        </is>
      </c>
      <c r="AO16" s="17" t="inlineStr">
        <is>
          <t>C(부분확인)</t>
        </is>
      </c>
      <c r="AP16" s="17" t="inlineStr">
        <is>
          <t>Y</t>
        </is>
      </c>
      <c r="AQ16" s="17" t="n">
        <v>12</v>
      </c>
      <c r="AR16" s="28" t="inlineStr">
        <is>
          <t>Tier D</t>
        </is>
      </c>
      <c r="AS16" s="17" t="inlineStr">
        <is>
          <t>QMS+LIMS</t>
        </is>
      </c>
      <c r="AT16" s="17" t="inlineStr">
        <is>
          <t>무균/바이오 제조로 품질관리 난도 높음; 원료 제조로 시험실 관리 필요</t>
        </is>
      </c>
      <c r="AU16" s="17" t="inlineStr">
        <is>
          <t>담당자 파악 후 접촉</t>
        </is>
      </c>
      <c r="AV16" s="17" t="inlineStr">
        <is>
          <t>GMP적합판정+KRX</t>
        </is>
      </c>
      <c r="AW16" s="17" t="inlineStr">
        <is>
          <t>2026-07-05</t>
        </is>
      </c>
    </row>
    <row r="17">
      <c r="A17" s="17" t="inlineStr">
        <is>
          <t>C016</t>
        </is>
      </c>
      <c r="B17" s="17" t="inlineStr">
        <is>
          <t>금오가스</t>
        </is>
      </c>
      <c r="C17" s="17" t="inlineStr">
        <is>
          <t>금오가스(주)</t>
        </is>
      </c>
      <c r="D17" s="17" t="n">
        <v>1</v>
      </c>
      <c r="E17" s="17" t="n">
        <v>1</v>
      </c>
      <c r="F17" s="17" t="inlineStr">
        <is>
          <t>Y</t>
        </is>
      </c>
      <c r="G17" s="17" t="inlineStr"/>
      <c r="H17" s="17" t="inlineStr"/>
      <c r="I17" s="17" t="inlineStr"/>
      <c r="J17" s="24" t="n">
        <v>47291</v>
      </c>
      <c r="K17" s="17" t="inlineStr"/>
      <c r="L17" s="17" t="inlineStr"/>
      <c r="M17" s="17" t="inlineStr"/>
      <c r="N17" s="23" t="inlineStr"/>
      <c r="O17" s="17" t="inlineStr"/>
      <c r="P17" s="17" t="inlineStr"/>
      <c r="Q17" s="17" t="inlineStr">
        <is>
          <t>권혁구</t>
        </is>
      </c>
      <c r="R17" s="17" t="inlineStr"/>
      <c r="S17" s="17" t="inlineStr"/>
      <c r="T17" s="17" t="inlineStr">
        <is>
          <t>031-941-9353</t>
        </is>
      </c>
      <c r="U17" s="17" t="inlineStr">
        <is>
          <t>제조소상세</t>
        </is>
      </c>
      <c r="V17" s="22" t="inlineStr">
        <is>
          <t>미확인</t>
        </is>
      </c>
      <c r="W17" s="22" t="inlineStr">
        <is>
          <t>미확인</t>
        </is>
      </c>
      <c r="X17" s="22" t="inlineStr">
        <is>
          <t>미확인</t>
        </is>
      </c>
      <c r="Y17" s="22" t="inlineStr">
        <is>
          <t>미확인</t>
        </is>
      </c>
      <c r="Z17" s="22" t="inlineStr">
        <is>
          <t>미확인</t>
        </is>
      </c>
      <c r="AA17" s="22" t="inlineStr">
        <is>
          <t>미확인</t>
        </is>
      </c>
      <c r="AB17" s="22" t="inlineStr">
        <is>
          <t>미확인</t>
        </is>
      </c>
      <c r="AC17" s="22" t="inlineStr">
        <is>
          <t>미확인</t>
        </is>
      </c>
      <c r="AD17" s="22" t="inlineStr">
        <is>
          <t>미확인</t>
        </is>
      </c>
      <c r="AE17" s="22" t="inlineStr">
        <is>
          <t>미확인</t>
        </is>
      </c>
      <c r="AF17" s="22" t="inlineStr">
        <is>
          <t>미확인</t>
        </is>
      </c>
      <c r="AG17" s="22" t="inlineStr">
        <is>
          <t>미확인</t>
        </is>
      </c>
      <c r="AH17" s="22" t="inlineStr">
        <is>
          <t>미확인</t>
        </is>
      </c>
      <c r="AI17" s="22" t="inlineStr">
        <is>
          <t>미확인</t>
        </is>
      </c>
      <c r="AJ17" s="22" t="inlineStr">
        <is>
          <t>미확인</t>
        </is>
      </c>
      <c r="AK17" s="22" t="inlineStr">
        <is>
          <t>미확인</t>
        </is>
      </c>
      <c r="AL17" s="22" t="inlineStr">
        <is>
          <t>미확인</t>
        </is>
      </c>
      <c r="AM17" s="22" t="inlineStr">
        <is>
          <t>미확인</t>
        </is>
      </c>
      <c r="AN17" s="22" t="inlineStr">
        <is>
          <t>미확인</t>
        </is>
      </c>
      <c r="AO17" s="17" t="inlineStr">
        <is>
          <t>C(부분확인)</t>
        </is>
      </c>
      <c r="AP17" s="17" t="inlineStr">
        <is>
          <t>Y</t>
        </is>
      </c>
      <c r="AQ17" s="17" t="n">
        <v>4</v>
      </c>
      <c r="AR17" s="28" t="inlineStr">
        <is>
          <t>Tier D</t>
        </is>
      </c>
      <c r="AS17" s="17" t="inlineStr">
        <is>
          <t>EDMS</t>
        </is>
      </c>
      <c r="AT17" s="17" t="inlineStr">
        <is>
          <t>기본 문서관리 수요</t>
        </is>
      </c>
      <c r="AU17" s="17" t="inlineStr">
        <is>
          <t>담당자 파악 후 접촉</t>
        </is>
      </c>
      <c r="AV17" s="17" t="inlineStr">
        <is>
          <t>GMP적합판정+KRX</t>
        </is>
      </c>
      <c r="AW17" s="17" t="inlineStr">
        <is>
          <t>2026-07-05</t>
        </is>
      </c>
    </row>
    <row r="18">
      <c r="A18" s="17" t="inlineStr">
        <is>
          <t>C017</t>
        </is>
      </c>
      <c r="B18" s="17" t="inlineStr">
        <is>
          <t>정우신약</t>
        </is>
      </c>
      <c r="C18" s="17" t="inlineStr">
        <is>
          <t>정우신약(주)</t>
        </is>
      </c>
      <c r="D18" s="17" t="n">
        <v>1</v>
      </c>
      <c r="E18" s="17" t="n">
        <v>1</v>
      </c>
      <c r="F18" s="17" t="inlineStr">
        <is>
          <t>Y</t>
        </is>
      </c>
      <c r="G18" s="17" t="inlineStr"/>
      <c r="H18" s="17" t="inlineStr"/>
      <c r="I18" s="17" t="inlineStr"/>
      <c r="J18" s="24" t="n">
        <v>47289</v>
      </c>
      <c r="K18" s="17" t="inlineStr"/>
      <c r="L18" s="17" t="inlineStr"/>
      <c r="M18" s="17" t="inlineStr"/>
      <c r="N18" s="23" t="inlineStr"/>
      <c r="O18" s="17" t="inlineStr"/>
      <c r="P18" s="17" t="inlineStr"/>
      <c r="Q18" s="17" t="inlineStr">
        <is>
          <t>정순백</t>
        </is>
      </c>
      <c r="R18" s="17" t="inlineStr"/>
      <c r="S18" s="17" t="inlineStr"/>
      <c r="T18" s="17" t="inlineStr">
        <is>
          <t>041-533-6191</t>
        </is>
      </c>
      <c r="U18" s="17" t="inlineStr">
        <is>
          <t>제조소상세</t>
        </is>
      </c>
      <c r="V18" s="22" t="inlineStr">
        <is>
          <t>미확인</t>
        </is>
      </c>
      <c r="W18" s="22" t="inlineStr">
        <is>
          <t>미확인</t>
        </is>
      </c>
      <c r="X18" s="22" t="inlineStr">
        <is>
          <t>미확인</t>
        </is>
      </c>
      <c r="Y18" s="22" t="inlineStr">
        <is>
          <t>미확인</t>
        </is>
      </c>
      <c r="Z18" s="22" t="inlineStr">
        <is>
          <t>미확인</t>
        </is>
      </c>
      <c r="AA18" s="22" t="inlineStr">
        <is>
          <t>미확인</t>
        </is>
      </c>
      <c r="AB18" s="22" t="inlineStr">
        <is>
          <t>미확인</t>
        </is>
      </c>
      <c r="AC18" s="22" t="inlineStr">
        <is>
          <t>미확인</t>
        </is>
      </c>
      <c r="AD18" s="22" t="inlineStr">
        <is>
          <t>미확인</t>
        </is>
      </c>
      <c r="AE18" s="22" t="inlineStr">
        <is>
          <t>미확인</t>
        </is>
      </c>
      <c r="AF18" s="22" t="inlineStr">
        <is>
          <t>미확인</t>
        </is>
      </c>
      <c r="AG18" s="22" t="inlineStr">
        <is>
          <t>미확인</t>
        </is>
      </c>
      <c r="AH18" s="22" t="inlineStr">
        <is>
          <t>미확인</t>
        </is>
      </c>
      <c r="AI18" s="22" t="inlineStr">
        <is>
          <t>미확인</t>
        </is>
      </c>
      <c r="AJ18" s="22" t="inlineStr">
        <is>
          <t>미확인</t>
        </is>
      </c>
      <c r="AK18" s="22" t="inlineStr">
        <is>
          <t>미확인</t>
        </is>
      </c>
      <c r="AL18" s="22" t="inlineStr">
        <is>
          <t>미확인</t>
        </is>
      </c>
      <c r="AM18" s="22" t="inlineStr">
        <is>
          <t>미확인</t>
        </is>
      </c>
      <c r="AN18" s="22" t="inlineStr">
        <is>
          <t>미확인</t>
        </is>
      </c>
      <c r="AO18" s="17" t="inlineStr">
        <is>
          <t>C(부분확인)</t>
        </is>
      </c>
      <c r="AP18" s="17" t="inlineStr">
        <is>
          <t>Y</t>
        </is>
      </c>
      <c r="AQ18" s="17" t="n">
        <v>4</v>
      </c>
      <c r="AR18" s="28" t="inlineStr">
        <is>
          <t>Tier D</t>
        </is>
      </c>
      <c r="AS18" s="17" t="inlineStr">
        <is>
          <t>EDMS</t>
        </is>
      </c>
      <c r="AT18" s="17" t="inlineStr">
        <is>
          <t>기본 문서관리 수요</t>
        </is>
      </c>
      <c r="AU18" s="17" t="inlineStr">
        <is>
          <t>담당자 파악 후 접촉</t>
        </is>
      </c>
      <c r="AV18" s="17" t="inlineStr">
        <is>
          <t>GMP적합판정+KRX</t>
        </is>
      </c>
      <c r="AW18" s="17" t="inlineStr">
        <is>
          <t>2026-07-05</t>
        </is>
      </c>
    </row>
    <row r="19">
      <c r="A19" s="17" t="inlineStr">
        <is>
          <t>C018</t>
        </is>
      </c>
      <c r="B19" s="17" t="inlineStr">
        <is>
          <t>퍼슨</t>
        </is>
      </c>
      <c r="C19" s="17" t="inlineStr">
        <is>
          <t>(주)퍼슨</t>
        </is>
      </c>
      <c r="D19" s="17" t="n">
        <v>1</v>
      </c>
      <c r="E19" s="17" t="n">
        <v>1</v>
      </c>
      <c r="F19" s="17" t="inlineStr">
        <is>
          <t>Y</t>
        </is>
      </c>
      <c r="G19" s="17" t="inlineStr"/>
      <c r="H19" s="17" t="inlineStr"/>
      <c r="I19" s="17" t="inlineStr"/>
      <c r="J19" s="24" t="n">
        <v>47284</v>
      </c>
      <c r="K19" s="17" t="inlineStr"/>
      <c r="L19" s="17" t="inlineStr"/>
      <c r="M19" s="17" t="inlineStr"/>
      <c r="N19" s="23" t="inlineStr"/>
      <c r="O19" s="17" t="inlineStr"/>
      <c r="P19" s="17" t="inlineStr"/>
      <c r="Q19" s="17" t="inlineStr">
        <is>
          <t>김동진</t>
        </is>
      </c>
      <c r="R19" s="17" t="inlineStr"/>
      <c r="S19" s="17" t="inlineStr"/>
      <c r="T19" s="17" t="inlineStr">
        <is>
          <t>070-4850-7650</t>
        </is>
      </c>
      <c r="U19" s="17" t="inlineStr">
        <is>
          <t>제조소상세</t>
        </is>
      </c>
      <c r="V19" s="22" t="inlineStr">
        <is>
          <t>미확인</t>
        </is>
      </c>
      <c r="W19" s="22" t="inlineStr">
        <is>
          <t>미확인</t>
        </is>
      </c>
      <c r="X19" s="22" t="inlineStr">
        <is>
          <t>미확인</t>
        </is>
      </c>
      <c r="Y19" s="22" t="inlineStr">
        <is>
          <t>미확인</t>
        </is>
      </c>
      <c r="Z19" s="22" t="inlineStr">
        <is>
          <t>미확인</t>
        </is>
      </c>
      <c r="AA19" s="22" t="inlineStr">
        <is>
          <t>미확인</t>
        </is>
      </c>
      <c r="AB19" s="22" t="inlineStr">
        <is>
          <t>미확인</t>
        </is>
      </c>
      <c r="AC19" s="22" t="inlineStr">
        <is>
          <t>미확인</t>
        </is>
      </c>
      <c r="AD19" s="22" t="inlineStr">
        <is>
          <t>미확인</t>
        </is>
      </c>
      <c r="AE19" s="22" t="inlineStr">
        <is>
          <t>미확인</t>
        </is>
      </c>
      <c r="AF19" s="22" t="inlineStr">
        <is>
          <t>미확인</t>
        </is>
      </c>
      <c r="AG19" s="22" t="inlineStr">
        <is>
          <t>미확인</t>
        </is>
      </c>
      <c r="AH19" s="22" t="inlineStr">
        <is>
          <t>미확인</t>
        </is>
      </c>
      <c r="AI19" s="22" t="inlineStr">
        <is>
          <t>미확인</t>
        </is>
      </c>
      <c r="AJ19" s="22" t="inlineStr">
        <is>
          <t>미확인</t>
        </is>
      </c>
      <c r="AK19" s="22" t="inlineStr">
        <is>
          <t>미확인</t>
        </is>
      </c>
      <c r="AL19" s="22" t="inlineStr">
        <is>
          <t>미확인</t>
        </is>
      </c>
      <c r="AM19" s="22" t="inlineStr">
        <is>
          <t>미확인</t>
        </is>
      </c>
      <c r="AN19" s="22" t="inlineStr">
        <is>
          <t>미확인</t>
        </is>
      </c>
      <c r="AO19" s="17" t="inlineStr">
        <is>
          <t>C(부분확인)</t>
        </is>
      </c>
      <c r="AP19" s="17" t="inlineStr">
        <is>
          <t>Y</t>
        </is>
      </c>
      <c r="AQ19" s="17" t="n">
        <v>4</v>
      </c>
      <c r="AR19" s="28" t="inlineStr">
        <is>
          <t>Tier D</t>
        </is>
      </c>
      <c r="AS19" s="17" t="inlineStr">
        <is>
          <t>EDMS</t>
        </is>
      </c>
      <c r="AT19" s="17" t="inlineStr">
        <is>
          <t>기본 문서관리 수요</t>
        </is>
      </c>
      <c r="AU19" s="17" t="inlineStr">
        <is>
          <t>담당자 파악 후 접촉</t>
        </is>
      </c>
      <c r="AV19" s="17" t="inlineStr">
        <is>
          <t>GMP적합판정+KRX</t>
        </is>
      </c>
      <c r="AW19" s="17" t="inlineStr">
        <is>
          <t>2026-07-05</t>
        </is>
      </c>
    </row>
    <row r="20">
      <c r="A20" s="17" t="inlineStr">
        <is>
          <t>C019</t>
        </is>
      </c>
      <c r="B20" s="17" t="inlineStr">
        <is>
          <t>셀비온</t>
        </is>
      </c>
      <c r="C20" s="17" t="inlineStr">
        <is>
          <t>(주)셀비온</t>
        </is>
      </c>
      <c r="D20" s="17" t="n">
        <v>1</v>
      </c>
      <c r="E20" s="17" t="n">
        <v>1</v>
      </c>
      <c r="F20" s="17" t="inlineStr">
        <is>
          <t>Y</t>
        </is>
      </c>
      <c r="G20" s="17" t="inlineStr"/>
      <c r="H20" s="17" t="inlineStr">
        <is>
          <t>Y</t>
        </is>
      </c>
      <c r="I20" s="17" t="inlineStr"/>
      <c r="J20" s="24" t="n">
        <v>47284</v>
      </c>
      <c r="K20" s="17" t="inlineStr"/>
      <c r="L20" s="17" t="inlineStr">
        <is>
          <t>Y</t>
        </is>
      </c>
      <c r="M20" s="17" t="inlineStr">
        <is>
          <t>코스닥</t>
        </is>
      </c>
      <c r="N20" s="23" t="inlineStr">
        <is>
          <t>308430</t>
        </is>
      </c>
      <c r="O20" s="17" t="inlineStr">
        <is>
          <t>의약품 제조업</t>
        </is>
      </c>
      <c r="P20" s="17" t="inlineStr">
        <is>
          <t>셀비온그린주, 셀비온메브로페닌주, 도페정 등</t>
        </is>
      </c>
      <c r="Q20" s="17" t="inlineStr">
        <is>
          <t>김권</t>
        </is>
      </c>
      <c r="R20" s="17" t="inlineStr">
        <is>
          <t>http://cellbion.co.kr</t>
        </is>
      </c>
      <c r="S20" s="17" t="inlineStr">
        <is>
          <t>서울특별시</t>
        </is>
      </c>
      <c r="T20" s="17" t="inlineStr">
        <is>
          <t>미확인</t>
        </is>
      </c>
      <c r="U20" s="17" t="inlineStr">
        <is>
          <t>미확인</t>
        </is>
      </c>
      <c r="V20" s="22" t="inlineStr">
        <is>
          <t>미확인</t>
        </is>
      </c>
      <c r="W20" s="22" t="inlineStr">
        <is>
          <t>미확인</t>
        </is>
      </c>
      <c r="X20" s="22" t="inlineStr">
        <is>
          <t>미확인</t>
        </is>
      </c>
      <c r="Y20" s="22" t="inlineStr">
        <is>
          <t>미확인</t>
        </is>
      </c>
      <c r="Z20" s="22" t="inlineStr">
        <is>
          <t>미확인</t>
        </is>
      </c>
      <c r="AA20" s="22" t="inlineStr">
        <is>
          <t>미확인</t>
        </is>
      </c>
      <c r="AB20" s="22" t="inlineStr">
        <is>
          <t>미확인</t>
        </is>
      </c>
      <c r="AC20" s="22" t="inlineStr">
        <is>
          <t>미확인</t>
        </is>
      </c>
      <c r="AD20" s="22" t="inlineStr">
        <is>
          <t>미확인</t>
        </is>
      </c>
      <c r="AE20" s="22" t="inlineStr">
        <is>
          <t>미확인</t>
        </is>
      </c>
      <c r="AF20" s="22" t="inlineStr">
        <is>
          <t>미확인</t>
        </is>
      </c>
      <c r="AG20" s="22" t="inlineStr">
        <is>
          <t>미확인</t>
        </is>
      </c>
      <c r="AH20" s="22" t="inlineStr">
        <is>
          <t>미확인</t>
        </is>
      </c>
      <c r="AI20" s="22" t="inlineStr">
        <is>
          <t>미확인</t>
        </is>
      </c>
      <c r="AJ20" s="22" t="inlineStr">
        <is>
          <t>미확인</t>
        </is>
      </c>
      <c r="AK20" s="22" t="inlineStr">
        <is>
          <t>미확인</t>
        </is>
      </c>
      <c r="AL20" s="22" t="inlineStr">
        <is>
          <t>미확인</t>
        </is>
      </c>
      <c r="AM20" s="22" t="inlineStr">
        <is>
          <t>미확인</t>
        </is>
      </c>
      <c r="AN20" s="22" t="inlineStr">
        <is>
          <t>미확인</t>
        </is>
      </c>
      <c r="AO20" s="17" t="inlineStr">
        <is>
          <t>C(부분확인)</t>
        </is>
      </c>
      <c r="AP20" s="17" t="inlineStr">
        <is>
          <t>Y</t>
        </is>
      </c>
      <c r="AQ20" s="17" t="n">
        <v>12</v>
      </c>
      <c r="AR20" s="28" t="inlineStr">
        <is>
          <t>Tier D</t>
        </is>
      </c>
      <c r="AS20" s="17" t="inlineStr">
        <is>
          <t>QMS+LIMS</t>
        </is>
      </c>
      <c r="AT20" s="17" t="inlineStr">
        <is>
          <t>무균/바이오 제조로 품질관리 난도 높음</t>
        </is>
      </c>
      <c r="AU20" s="17" t="inlineStr">
        <is>
          <t>담당자 파악 후 접촉</t>
        </is>
      </c>
      <c r="AV20" s="17" t="inlineStr">
        <is>
          <t>GMP적합판정+KRX</t>
        </is>
      </c>
      <c r="AW20" s="17" t="inlineStr">
        <is>
          <t>2026-07-05</t>
        </is>
      </c>
    </row>
    <row r="21">
      <c r="A21" s="17" t="inlineStr">
        <is>
          <t>C020</t>
        </is>
      </c>
      <c r="B21" s="17" t="inlineStr">
        <is>
          <t>석전의료공업</t>
        </is>
      </c>
      <c r="C21" s="17" t="inlineStr">
        <is>
          <t>석전의료공업(주)</t>
        </is>
      </c>
      <c r="D21" s="17" t="n">
        <v>1</v>
      </c>
      <c r="E21" s="17" t="n">
        <v>1</v>
      </c>
      <c r="F21" s="17" t="inlineStr">
        <is>
          <t>Y</t>
        </is>
      </c>
      <c r="G21" s="17" t="inlineStr"/>
      <c r="H21" s="17" t="inlineStr"/>
      <c r="I21" s="17" t="inlineStr"/>
      <c r="J21" s="24" t="n">
        <v>47282</v>
      </c>
      <c r="K21" s="17" t="inlineStr"/>
      <c r="L21" s="17" t="inlineStr"/>
      <c r="M21" s="17" t="inlineStr"/>
      <c r="N21" s="23" t="inlineStr"/>
      <c r="O21" s="17" t="inlineStr"/>
      <c r="P21" s="17" t="inlineStr"/>
      <c r="Q21" s="17" t="inlineStr">
        <is>
          <t>이상계</t>
        </is>
      </c>
      <c r="R21" s="17" t="inlineStr"/>
      <c r="S21" s="17" t="inlineStr"/>
      <c r="T21" s="17" t="inlineStr">
        <is>
          <t>02-2271-0271</t>
        </is>
      </c>
      <c r="U21" s="17" t="inlineStr">
        <is>
          <t>제조소상세</t>
        </is>
      </c>
      <c r="V21" s="22" t="inlineStr">
        <is>
          <t>미확인</t>
        </is>
      </c>
      <c r="W21" s="22" t="inlineStr">
        <is>
          <t>미확인</t>
        </is>
      </c>
      <c r="X21" s="22" t="inlineStr">
        <is>
          <t>미확인</t>
        </is>
      </c>
      <c r="Y21" s="22" t="inlineStr">
        <is>
          <t>미확인</t>
        </is>
      </c>
      <c r="Z21" s="22" t="inlineStr">
        <is>
          <t>미확인</t>
        </is>
      </c>
      <c r="AA21" s="22" t="inlineStr">
        <is>
          <t>미확인</t>
        </is>
      </c>
      <c r="AB21" s="22" t="inlineStr">
        <is>
          <t>미확인</t>
        </is>
      </c>
      <c r="AC21" s="22" t="inlineStr">
        <is>
          <t>미확인</t>
        </is>
      </c>
      <c r="AD21" s="22" t="inlineStr">
        <is>
          <t>미확인</t>
        </is>
      </c>
      <c r="AE21" s="22" t="inlineStr">
        <is>
          <t>미확인</t>
        </is>
      </c>
      <c r="AF21" s="22" t="inlineStr">
        <is>
          <t>미확인</t>
        </is>
      </c>
      <c r="AG21" s="22" t="inlineStr">
        <is>
          <t>미확인</t>
        </is>
      </c>
      <c r="AH21" s="22" t="inlineStr">
        <is>
          <t>미확인</t>
        </is>
      </c>
      <c r="AI21" s="22" t="inlineStr">
        <is>
          <t>미확인</t>
        </is>
      </c>
      <c r="AJ21" s="22" t="inlineStr">
        <is>
          <t>미확인</t>
        </is>
      </c>
      <c r="AK21" s="22" t="inlineStr">
        <is>
          <t>미확인</t>
        </is>
      </c>
      <c r="AL21" s="22" t="inlineStr">
        <is>
          <t>미확인</t>
        </is>
      </c>
      <c r="AM21" s="22" t="inlineStr">
        <is>
          <t>미확인</t>
        </is>
      </c>
      <c r="AN21" s="22" t="inlineStr">
        <is>
          <t>미확인</t>
        </is>
      </c>
      <c r="AO21" s="17" t="inlineStr">
        <is>
          <t>C(부분확인)</t>
        </is>
      </c>
      <c r="AP21" s="17" t="inlineStr">
        <is>
          <t>Y</t>
        </is>
      </c>
      <c r="AQ21" s="17" t="n">
        <v>4</v>
      </c>
      <c r="AR21" s="28" t="inlineStr">
        <is>
          <t>Tier D</t>
        </is>
      </c>
      <c r="AS21" s="17" t="inlineStr">
        <is>
          <t>EDMS</t>
        </is>
      </c>
      <c r="AT21" s="17" t="inlineStr">
        <is>
          <t>기본 문서관리 수요</t>
        </is>
      </c>
      <c r="AU21" s="17" t="inlineStr">
        <is>
          <t>담당자 파악 후 접촉</t>
        </is>
      </c>
      <c r="AV21" s="17" t="inlineStr">
        <is>
          <t>GMP적합판정+KRX</t>
        </is>
      </c>
      <c r="AW21" s="17" t="inlineStr">
        <is>
          <t>2026-07-05</t>
        </is>
      </c>
    </row>
    <row r="22">
      <c r="A22" s="17" t="inlineStr">
        <is>
          <t>C021</t>
        </is>
      </c>
      <c r="B22" s="17" t="inlineStr">
        <is>
          <t>에이치디엑스</t>
        </is>
      </c>
      <c r="C22" s="17" t="inlineStr">
        <is>
          <t>에이치디엑스(주)</t>
        </is>
      </c>
      <c r="D22" s="17" t="n">
        <v>4</v>
      </c>
      <c r="E22" s="17" t="n">
        <v>4</v>
      </c>
      <c r="F22" s="17" t="inlineStr">
        <is>
          <t>Y</t>
        </is>
      </c>
      <c r="G22" s="17" t="inlineStr"/>
      <c r="H22" s="17" t="inlineStr">
        <is>
          <t>Y</t>
        </is>
      </c>
      <c r="I22" s="17" t="inlineStr"/>
      <c r="J22" s="24" t="n">
        <v>46242</v>
      </c>
      <c r="K22" s="17" t="inlineStr">
        <is>
          <t>Y</t>
        </is>
      </c>
      <c r="L22" s="17" t="inlineStr"/>
      <c r="M22" s="17" t="inlineStr"/>
      <c r="N22" s="23" t="inlineStr"/>
      <c r="O22" s="17" t="inlineStr"/>
      <c r="P22" s="17" t="inlineStr"/>
      <c r="Q22" s="17" t="inlineStr">
        <is>
          <t>이창영</t>
        </is>
      </c>
      <c r="R22" s="17" t="inlineStr"/>
      <c r="S22" s="17" t="inlineStr"/>
      <c r="T22" s="17" t="inlineStr">
        <is>
          <t>061-722-8440</t>
        </is>
      </c>
      <c r="U22" s="17" t="inlineStr">
        <is>
          <t>제조소상세</t>
        </is>
      </c>
      <c r="V22" s="22" t="inlineStr">
        <is>
          <t>미확인</t>
        </is>
      </c>
      <c r="W22" s="22" t="inlineStr">
        <is>
          <t>미확인</t>
        </is>
      </c>
      <c r="X22" s="22" t="inlineStr">
        <is>
          <t>미확인</t>
        </is>
      </c>
      <c r="Y22" s="22" t="inlineStr">
        <is>
          <t>미확인</t>
        </is>
      </c>
      <c r="Z22" s="22" t="inlineStr">
        <is>
          <t>미확인</t>
        </is>
      </c>
      <c r="AA22" s="22" t="inlineStr">
        <is>
          <t>미확인</t>
        </is>
      </c>
      <c r="AB22" s="22" t="inlineStr">
        <is>
          <t>미확인</t>
        </is>
      </c>
      <c r="AC22" s="22" t="inlineStr">
        <is>
          <t>미확인</t>
        </is>
      </c>
      <c r="AD22" s="22" t="inlineStr">
        <is>
          <t>미확인</t>
        </is>
      </c>
      <c r="AE22" s="22" t="inlineStr">
        <is>
          <t>미확인</t>
        </is>
      </c>
      <c r="AF22" s="22" t="inlineStr">
        <is>
          <t>미확인</t>
        </is>
      </c>
      <c r="AG22" s="22" t="inlineStr">
        <is>
          <t>미확인</t>
        </is>
      </c>
      <c r="AH22" s="22" t="inlineStr">
        <is>
          <t>미확인</t>
        </is>
      </c>
      <c r="AI22" s="22" t="inlineStr">
        <is>
          <t>미확인</t>
        </is>
      </c>
      <c r="AJ22" s="22" t="inlineStr">
        <is>
          <t>미확인</t>
        </is>
      </c>
      <c r="AK22" s="22" t="inlineStr">
        <is>
          <t>미확인</t>
        </is>
      </c>
      <c r="AL22" s="22" t="inlineStr">
        <is>
          <t>미확인</t>
        </is>
      </c>
      <c r="AM22" s="22" t="inlineStr">
        <is>
          <t>미확인</t>
        </is>
      </c>
      <c r="AN22" s="22" t="inlineStr">
        <is>
          <t>미확인</t>
        </is>
      </c>
      <c r="AO22" s="17" t="inlineStr">
        <is>
          <t>C(부분확인)</t>
        </is>
      </c>
      <c r="AP22" s="17" t="inlineStr">
        <is>
          <t>Y</t>
        </is>
      </c>
      <c r="AQ22" s="17" t="n">
        <v>28</v>
      </c>
      <c r="AR22" s="28" t="inlineStr">
        <is>
          <t>Tier D</t>
        </is>
      </c>
      <c r="AS22" s="17" t="inlineStr">
        <is>
          <t>통합형</t>
        </is>
      </c>
      <c r="AT22" s="17" t="inlineStr">
        <is>
          <t>다중 제조소/다수 판정서로 문서관리 복잡; 무균/바이오 제조로 품질관리 난도 높음</t>
        </is>
      </c>
      <c r="AU22" s="17" t="inlineStr">
        <is>
          <t>담당자 파악 후 접촉</t>
        </is>
      </c>
      <c r="AV22" s="17" t="inlineStr">
        <is>
          <t>GMP적합판정+KRX</t>
        </is>
      </c>
      <c r="AW22" s="17" t="inlineStr">
        <is>
          <t>2026-07-05</t>
        </is>
      </c>
    </row>
    <row r="23">
      <c r="A23" s="17" t="inlineStr">
        <is>
          <t>C022</t>
        </is>
      </c>
      <c r="B23" s="17" t="inlineStr">
        <is>
          <t>이니바이오</t>
        </is>
      </c>
      <c r="C23" s="17" t="inlineStr">
        <is>
          <t>(주)이니바이오</t>
        </is>
      </c>
      <c r="D23" s="17" t="n">
        <v>1</v>
      </c>
      <c r="E23" s="17" t="n">
        <v>1</v>
      </c>
      <c r="F23" s="17" t="inlineStr">
        <is>
          <t>Y</t>
        </is>
      </c>
      <c r="G23" s="17" t="inlineStr"/>
      <c r="H23" s="17" t="inlineStr">
        <is>
          <t>Y</t>
        </is>
      </c>
      <c r="I23" s="17" t="inlineStr">
        <is>
          <t>Y</t>
        </is>
      </c>
      <c r="J23" s="24" t="n">
        <v>47277</v>
      </c>
      <c r="K23" s="17" t="inlineStr"/>
      <c r="L23" s="17" t="inlineStr"/>
      <c r="M23" s="17" t="inlineStr"/>
      <c r="N23" s="23" t="inlineStr"/>
      <c r="O23" s="17" t="inlineStr"/>
      <c r="P23" s="17" t="inlineStr"/>
      <c r="Q23" s="17" t="inlineStr">
        <is>
          <t>이기세</t>
        </is>
      </c>
      <c r="R23" s="17" t="inlineStr"/>
      <c r="S23" s="17" t="inlineStr"/>
      <c r="T23" s="17" t="inlineStr">
        <is>
          <t>미확인</t>
        </is>
      </c>
      <c r="U23" s="17" t="inlineStr">
        <is>
          <t>미확인</t>
        </is>
      </c>
      <c r="V23" s="22" t="inlineStr">
        <is>
          <t>미확인</t>
        </is>
      </c>
      <c r="W23" s="22" t="inlineStr">
        <is>
          <t>미확인</t>
        </is>
      </c>
      <c r="X23" s="22" t="inlineStr">
        <is>
          <t>미확인</t>
        </is>
      </c>
      <c r="Y23" s="22" t="inlineStr">
        <is>
          <t>미확인</t>
        </is>
      </c>
      <c r="Z23" s="22" t="inlineStr">
        <is>
          <t>미확인</t>
        </is>
      </c>
      <c r="AA23" s="22" t="inlineStr">
        <is>
          <t>미확인</t>
        </is>
      </c>
      <c r="AB23" s="22" t="inlineStr">
        <is>
          <t>미확인</t>
        </is>
      </c>
      <c r="AC23" s="22" t="inlineStr">
        <is>
          <t>미확인</t>
        </is>
      </c>
      <c r="AD23" s="22" t="inlineStr">
        <is>
          <t>미확인</t>
        </is>
      </c>
      <c r="AE23" s="22" t="inlineStr">
        <is>
          <t>미확인</t>
        </is>
      </c>
      <c r="AF23" s="22" t="inlineStr">
        <is>
          <t>미확인</t>
        </is>
      </c>
      <c r="AG23" s="22" t="inlineStr">
        <is>
          <t>미확인</t>
        </is>
      </c>
      <c r="AH23" s="22" t="inlineStr">
        <is>
          <t>미확인</t>
        </is>
      </c>
      <c r="AI23" s="22" t="inlineStr">
        <is>
          <t>미확인</t>
        </is>
      </c>
      <c r="AJ23" s="22" t="inlineStr">
        <is>
          <t>미확인</t>
        </is>
      </c>
      <c r="AK23" s="22" t="inlineStr">
        <is>
          <t>미확인</t>
        </is>
      </c>
      <c r="AL23" s="22" t="inlineStr">
        <is>
          <t>미확인</t>
        </is>
      </c>
      <c r="AM23" s="22" t="inlineStr">
        <is>
          <t>미확인</t>
        </is>
      </c>
      <c r="AN23" s="22" t="inlineStr">
        <is>
          <t>미확인</t>
        </is>
      </c>
      <c r="AO23" s="17" t="inlineStr">
        <is>
          <t>C(부분확인)</t>
        </is>
      </c>
      <c r="AP23" s="17" t="inlineStr">
        <is>
          <t>Y</t>
        </is>
      </c>
      <c r="AQ23" s="17" t="n">
        <v>19</v>
      </c>
      <c r="AR23" s="28" t="inlineStr">
        <is>
          <t>Tier D</t>
        </is>
      </c>
      <c r="AS23" s="17" t="inlineStr">
        <is>
          <t>QMS+LIMS</t>
        </is>
      </c>
      <c r="AT23" s="17" t="inlineStr">
        <is>
          <t>무균/바이오 제조로 품질관리 난도 높음</t>
        </is>
      </c>
      <c r="AU23" s="17" t="inlineStr">
        <is>
          <t>담당자 파악 후 접촉</t>
        </is>
      </c>
      <c r="AV23" s="17" t="inlineStr">
        <is>
          <t>GMP적합판정+KRX</t>
        </is>
      </c>
      <c r="AW23" s="17" t="inlineStr">
        <is>
          <t>2026-07-05</t>
        </is>
      </c>
    </row>
    <row r="24">
      <c r="A24" s="17" t="inlineStr">
        <is>
          <t>C023</t>
        </is>
      </c>
      <c r="B24" s="17" t="inlineStr">
        <is>
          <t>제노스</t>
        </is>
      </c>
      <c r="C24" s="17" t="inlineStr">
        <is>
          <t>주식회사제노스</t>
        </is>
      </c>
      <c r="D24" s="17" t="n">
        <v>1</v>
      </c>
      <c r="E24" s="17" t="n">
        <v>1</v>
      </c>
      <c r="F24" s="17" t="inlineStr">
        <is>
          <t>Y</t>
        </is>
      </c>
      <c r="G24" s="17" t="inlineStr"/>
      <c r="H24" s="17" t="inlineStr">
        <is>
          <t>Y</t>
        </is>
      </c>
      <c r="I24" s="17" t="inlineStr"/>
      <c r="J24" s="24" t="n">
        <v>47276</v>
      </c>
      <c r="K24" s="17" t="inlineStr"/>
      <c r="L24" s="17" t="inlineStr"/>
      <c r="M24" s="17" t="inlineStr"/>
      <c r="N24" s="23" t="inlineStr"/>
      <c r="O24" s="17" t="inlineStr"/>
      <c r="P24" s="17" t="inlineStr"/>
      <c r="Q24" s="17" t="inlineStr">
        <is>
          <t>정성민</t>
        </is>
      </c>
      <c r="R24" s="17" t="inlineStr"/>
      <c r="S24" s="17" t="inlineStr"/>
      <c r="T24" s="17" t="inlineStr">
        <is>
          <t>031-888-5100</t>
        </is>
      </c>
      <c r="U24" s="17" t="inlineStr">
        <is>
          <t>제조소상세</t>
        </is>
      </c>
      <c r="V24" s="22" t="inlineStr">
        <is>
          <t>미확인</t>
        </is>
      </c>
      <c r="W24" s="22" t="inlineStr">
        <is>
          <t>미확인</t>
        </is>
      </c>
      <c r="X24" s="22" t="inlineStr">
        <is>
          <t>미확인</t>
        </is>
      </c>
      <c r="Y24" s="22" t="inlineStr">
        <is>
          <t>미확인</t>
        </is>
      </c>
      <c r="Z24" s="22" t="inlineStr">
        <is>
          <t>미확인</t>
        </is>
      </c>
      <c r="AA24" s="22" t="inlineStr">
        <is>
          <t>미확인</t>
        </is>
      </c>
      <c r="AB24" s="22" t="inlineStr">
        <is>
          <t>미확인</t>
        </is>
      </c>
      <c r="AC24" s="22" t="inlineStr">
        <is>
          <t>미확인</t>
        </is>
      </c>
      <c r="AD24" s="22" t="inlineStr">
        <is>
          <t>미확인</t>
        </is>
      </c>
      <c r="AE24" s="22" t="inlineStr">
        <is>
          <t>미확인</t>
        </is>
      </c>
      <c r="AF24" s="22" t="inlineStr">
        <is>
          <t>미확인</t>
        </is>
      </c>
      <c r="AG24" s="22" t="inlineStr">
        <is>
          <t>미확인</t>
        </is>
      </c>
      <c r="AH24" s="22" t="inlineStr">
        <is>
          <t>미확인</t>
        </is>
      </c>
      <c r="AI24" s="22" t="inlineStr">
        <is>
          <t>미확인</t>
        </is>
      </c>
      <c r="AJ24" s="22" t="inlineStr">
        <is>
          <t>미확인</t>
        </is>
      </c>
      <c r="AK24" s="22" t="inlineStr">
        <is>
          <t>미확인</t>
        </is>
      </c>
      <c r="AL24" s="22" t="inlineStr">
        <is>
          <t>미확인</t>
        </is>
      </c>
      <c r="AM24" s="22" t="inlineStr">
        <is>
          <t>미확인</t>
        </is>
      </c>
      <c r="AN24" s="22" t="inlineStr">
        <is>
          <t>미확인</t>
        </is>
      </c>
      <c r="AO24" s="17" t="inlineStr">
        <is>
          <t>C(부분확인)</t>
        </is>
      </c>
      <c r="AP24" s="17" t="inlineStr">
        <is>
          <t>Y</t>
        </is>
      </c>
      <c r="AQ24" s="17" t="n">
        <v>12</v>
      </c>
      <c r="AR24" s="28" t="inlineStr">
        <is>
          <t>Tier D</t>
        </is>
      </c>
      <c r="AS24" s="17" t="inlineStr">
        <is>
          <t>QMS+LIMS</t>
        </is>
      </c>
      <c r="AT24" s="17" t="inlineStr">
        <is>
          <t>무균/바이오 제조로 품질관리 난도 높음</t>
        </is>
      </c>
      <c r="AU24" s="17" t="inlineStr">
        <is>
          <t>담당자 파악 후 접촉</t>
        </is>
      </c>
      <c r="AV24" s="17" t="inlineStr">
        <is>
          <t>GMP적합판정+KRX</t>
        </is>
      </c>
      <c r="AW24" s="17" t="inlineStr">
        <is>
          <t>2026-07-05</t>
        </is>
      </c>
    </row>
    <row r="25">
      <c r="A25" s="17" t="inlineStr">
        <is>
          <t>C024</t>
        </is>
      </c>
      <c r="B25" s="17" t="inlineStr">
        <is>
          <t>비앤씨코리아</t>
        </is>
      </c>
      <c r="C25" s="17" t="inlineStr">
        <is>
          <t>(주)비앤씨코리아</t>
        </is>
      </c>
      <c r="D25" s="17" t="n">
        <v>1</v>
      </c>
      <c r="E25" s="17" t="n">
        <v>1</v>
      </c>
      <c r="F25" s="17" t="inlineStr">
        <is>
          <t>Y</t>
        </is>
      </c>
      <c r="G25" s="17" t="inlineStr"/>
      <c r="H25" s="17" t="inlineStr">
        <is>
          <t>Y</t>
        </is>
      </c>
      <c r="I25" s="17" t="inlineStr"/>
      <c r="J25" s="24" t="n">
        <v>47272</v>
      </c>
      <c r="K25" s="17" t="inlineStr"/>
      <c r="L25" s="17" t="inlineStr"/>
      <c r="M25" s="17" t="inlineStr"/>
      <c r="N25" s="23" t="inlineStr"/>
      <c r="O25" s="17" t="inlineStr"/>
      <c r="P25" s="17" t="inlineStr"/>
      <c r="Q25" s="17" t="inlineStr">
        <is>
          <t>박종갑</t>
        </is>
      </c>
      <c r="R25" s="17" t="inlineStr"/>
      <c r="S25" s="17" t="inlineStr"/>
      <c r="T25" s="17" t="inlineStr">
        <is>
          <t>1599-0341</t>
        </is>
      </c>
      <c r="U25" s="17" t="inlineStr">
        <is>
          <t>제조소상세</t>
        </is>
      </c>
      <c r="V25" s="22" t="inlineStr">
        <is>
          <t>미확인</t>
        </is>
      </c>
      <c r="W25" s="22" t="inlineStr">
        <is>
          <t>미확인</t>
        </is>
      </c>
      <c r="X25" s="22" t="inlineStr">
        <is>
          <t>미확인</t>
        </is>
      </c>
      <c r="Y25" s="22" t="inlineStr">
        <is>
          <t>미확인</t>
        </is>
      </c>
      <c r="Z25" s="22" t="inlineStr">
        <is>
          <t>미확인</t>
        </is>
      </c>
      <c r="AA25" s="22" t="inlineStr">
        <is>
          <t>미확인</t>
        </is>
      </c>
      <c r="AB25" s="22" t="inlineStr">
        <is>
          <t>미확인</t>
        </is>
      </c>
      <c r="AC25" s="22" t="inlineStr">
        <is>
          <t>미확인</t>
        </is>
      </c>
      <c r="AD25" s="22" t="inlineStr">
        <is>
          <t>미확인</t>
        </is>
      </c>
      <c r="AE25" s="22" t="inlineStr">
        <is>
          <t>미확인</t>
        </is>
      </c>
      <c r="AF25" s="22" t="inlineStr">
        <is>
          <t>미확인</t>
        </is>
      </c>
      <c r="AG25" s="22" t="inlineStr">
        <is>
          <t>미확인</t>
        </is>
      </c>
      <c r="AH25" s="22" t="inlineStr">
        <is>
          <t>미확인</t>
        </is>
      </c>
      <c r="AI25" s="22" t="inlineStr">
        <is>
          <t>미확인</t>
        </is>
      </c>
      <c r="AJ25" s="22" t="inlineStr">
        <is>
          <t>미확인</t>
        </is>
      </c>
      <c r="AK25" s="22" t="inlineStr">
        <is>
          <t>미확인</t>
        </is>
      </c>
      <c r="AL25" s="22" t="inlineStr">
        <is>
          <t>미확인</t>
        </is>
      </c>
      <c r="AM25" s="22" t="inlineStr">
        <is>
          <t>미확인</t>
        </is>
      </c>
      <c r="AN25" s="22" t="inlineStr">
        <is>
          <t>미확인</t>
        </is>
      </c>
      <c r="AO25" s="17" t="inlineStr">
        <is>
          <t>C(부분확인)</t>
        </is>
      </c>
      <c r="AP25" s="17" t="inlineStr">
        <is>
          <t>Y</t>
        </is>
      </c>
      <c r="AQ25" s="17" t="n">
        <v>12</v>
      </c>
      <c r="AR25" s="28" t="inlineStr">
        <is>
          <t>Tier D</t>
        </is>
      </c>
      <c r="AS25" s="17" t="inlineStr">
        <is>
          <t>QMS+LIMS</t>
        </is>
      </c>
      <c r="AT25" s="17" t="inlineStr">
        <is>
          <t>무균/바이오 제조로 품질관리 난도 높음</t>
        </is>
      </c>
      <c r="AU25" s="17" t="inlineStr">
        <is>
          <t>담당자 파악 후 접촉</t>
        </is>
      </c>
      <c r="AV25" s="17" t="inlineStr">
        <is>
          <t>GMP적합판정+KRX</t>
        </is>
      </c>
      <c r="AW25" s="17" t="inlineStr">
        <is>
          <t>2026-07-05</t>
        </is>
      </c>
    </row>
    <row r="26">
      <c r="A26" s="17" t="inlineStr">
        <is>
          <t>C025</t>
        </is>
      </c>
      <c r="B26" s="17" t="inlineStr">
        <is>
          <t>삼성산소</t>
        </is>
      </c>
      <c r="C26" s="17" t="inlineStr">
        <is>
          <t>삼성산소(주)</t>
        </is>
      </c>
      <c r="D26" s="17" t="n">
        <v>1</v>
      </c>
      <c r="E26" s="17" t="n">
        <v>1</v>
      </c>
      <c r="F26" s="17" t="inlineStr">
        <is>
          <t>Y</t>
        </is>
      </c>
      <c r="G26" s="17" t="inlineStr"/>
      <c r="H26" s="17" t="inlineStr"/>
      <c r="I26" s="17" t="inlineStr"/>
      <c r="J26" s="24" t="n">
        <v>47270</v>
      </c>
      <c r="K26" s="17" t="inlineStr"/>
      <c r="L26" s="17" t="inlineStr"/>
      <c r="M26" s="17" t="inlineStr"/>
      <c r="N26" s="23" t="inlineStr"/>
      <c r="O26" s="17" t="inlineStr"/>
      <c r="P26" s="17" t="inlineStr"/>
      <c r="Q26" s="17" t="inlineStr">
        <is>
          <t>전대수</t>
        </is>
      </c>
      <c r="R26" s="17" t="inlineStr"/>
      <c r="S26" s="17" t="inlineStr"/>
      <c r="T26" s="17" t="inlineStr">
        <is>
          <t>043-232-6237</t>
        </is>
      </c>
      <c r="U26" s="17" t="inlineStr">
        <is>
          <t>제조소상세</t>
        </is>
      </c>
      <c r="V26" s="22" t="inlineStr">
        <is>
          <t>미확인</t>
        </is>
      </c>
      <c r="W26" s="22" t="inlineStr">
        <is>
          <t>미확인</t>
        </is>
      </c>
      <c r="X26" s="22" t="inlineStr">
        <is>
          <t>미확인</t>
        </is>
      </c>
      <c r="Y26" s="22" t="inlineStr">
        <is>
          <t>미확인</t>
        </is>
      </c>
      <c r="Z26" s="22" t="inlineStr">
        <is>
          <t>미확인</t>
        </is>
      </c>
      <c r="AA26" s="22" t="inlineStr">
        <is>
          <t>미확인</t>
        </is>
      </c>
      <c r="AB26" s="22" t="inlineStr">
        <is>
          <t>미확인</t>
        </is>
      </c>
      <c r="AC26" s="22" t="inlineStr">
        <is>
          <t>미확인</t>
        </is>
      </c>
      <c r="AD26" s="22" t="inlineStr">
        <is>
          <t>미확인</t>
        </is>
      </c>
      <c r="AE26" s="22" t="inlineStr">
        <is>
          <t>미확인</t>
        </is>
      </c>
      <c r="AF26" s="22" t="inlineStr">
        <is>
          <t>미확인</t>
        </is>
      </c>
      <c r="AG26" s="22" t="inlineStr">
        <is>
          <t>미확인</t>
        </is>
      </c>
      <c r="AH26" s="22" t="inlineStr">
        <is>
          <t>미확인</t>
        </is>
      </c>
      <c r="AI26" s="22" t="inlineStr">
        <is>
          <t>미확인</t>
        </is>
      </c>
      <c r="AJ26" s="22" t="inlineStr">
        <is>
          <t>미확인</t>
        </is>
      </c>
      <c r="AK26" s="22" t="inlineStr">
        <is>
          <t>미확인</t>
        </is>
      </c>
      <c r="AL26" s="22" t="inlineStr">
        <is>
          <t>미확인</t>
        </is>
      </c>
      <c r="AM26" s="22" t="inlineStr">
        <is>
          <t>미확인</t>
        </is>
      </c>
      <c r="AN26" s="22" t="inlineStr">
        <is>
          <t>미확인</t>
        </is>
      </c>
      <c r="AO26" s="17" t="inlineStr">
        <is>
          <t>C(부분확인)</t>
        </is>
      </c>
      <c r="AP26" s="17" t="inlineStr">
        <is>
          <t>Y</t>
        </is>
      </c>
      <c r="AQ26" s="17" t="n">
        <v>4</v>
      </c>
      <c r="AR26" s="28" t="inlineStr">
        <is>
          <t>Tier D</t>
        </is>
      </c>
      <c r="AS26" s="17" t="inlineStr">
        <is>
          <t>EDMS</t>
        </is>
      </c>
      <c r="AT26" s="17" t="inlineStr">
        <is>
          <t>기본 문서관리 수요</t>
        </is>
      </c>
      <c r="AU26" s="17" t="inlineStr">
        <is>
          <t>담당자 파악 후 접촉</t>
        </is>
      </c>
      <c r="AV26" s="17" t="inlineStr">
        <is>
          <t>GMP적합판정+KRX</t>
        </is>
      </c>
      <c r="AW26" s="17" t="inlineStr">
        <is>
          <t>2026-07-05</t>
        </is>
      </c>
    </row>
    <row r="27">
      <c r="A27" s="17" t="inlineStr">
        <is>
          <t>C026</t>
        </is>
      </c>
      <c r="B27" s="17" t="inlineStr">
        <is>
          <t>유니메드제약</t>
        </is>
      </c>
      <c r="C27" s="17" t="inlineStr">
        <is>
          <t>유니메드제약(주)</t>
        </is>
      </c>
      <c r="D27" s="17" t="n">
        <v>3</v>
      </c>
      <c r="E27" s="17" t="n">
        <v>2</v>
      </c>
      <c r="F27" s="17" t="inlineStr">
        <is>
          <t>Y</t>
        </is>
      </c>
      <c r="G27" s="17" t="inlineStr">
        <is>
          <t>Y</t>
        </is>
      </c>
      <c r="H27" s="17" t="inlineStr">
        <is>
          <t>Y</t>
        </is>
      </c>
      <c r="I27" s="17" t="inlineStr"/>
      <c r="J27" s="24" t="n">
        <v>46458</v>
      </c>
      <c r="K27" s="17" t="inlineStr"/>
      <c r="L27" s="17" t="inlineStr"/>
      <c r="M27" s="17" t="inlineStr"/>
      <c r="N27" s="23" t="inlineStr"/>
      <c r="O27" s="17" t="inlineStr"/>
      <c r="P27" s="17" t="inlineStr"/>
      <c r="Q27" s="17" t="inlineStr">
        <is>
          <t>김건남</t>
        </is>
      </c>
      <c r="R27" s="17" t="inlineStr"/>
      <c r="S27" s="17" t="inlineStr"/>
      <c r="T27" s="17" t="inlineStr">
        <is>
          <t>02-424-2777</t>
        </is>
      </c>
      <c r="U27" s="17" t="inlineStr">
        <is>
          <t>제조소상세</t>
        </is>
      </c>
      <c r="V27" s="22" t="inlineStr">
        <is>
          <t>미확인</t>
        </is>
      </c>
      <c r="W27" s="22" t="inlineStr">
        <is>
          <t>미확인</t>
        </is>
      </c>
      <c r="X27" s="22" t="inlineStr">
        <is>
          <t>미확인</t>
        </is>
      </c>
      <c r="Y27" s="22" t="inlineStr">
        <is>
          <t>미확인</t>
        </is>
      </c>
      <c r="Z27" s="22" t="inlineStr">
        <is>
          <t>미확인</t>
        </is>
      </c>
      <c r="AA27" s="22" t="inlineStr">
        <is>
          <t>미확인</t>
        </is>
      </c>
      <c r="AB27" s="22" t="inlineStr">
        <is>
          <t>미확인</t>
        </is>
      </c>
      <c r="AC27" s="22" t="inlineStr">
        <is>
          <t>미확인</t>
        </is>
      </c>
      <c r="AD27" s="22" t="inlineStr">
        <is>
          <t>미확인</t>
        </is>
      </c>
      <c r="AE27" s="22" t="inlineStr">
        <is>
          <t>미확인</t>
        </is>
      </c>
      <c r="AF27" s="22" t="inlineStr">
        <is>
          <t>미확인</t>
        </is>
      </c>
      <c r="AG27" s="22" t="inlineStr">
        <is>
          <t>미확인</t>
        </is>
      </c>
      <c r="AH27" s="22" t="inlineStr">
        <is>
          <t>미확인</t>
        </is>
      </c>
      <c r="AI27" s="22" t="inlineStr">
        <is>
          <t>미확인</t>
        </is>
      </c>
      <c r="AJ27" s="22" t="inlineStr">
        <is>
          <t>미확인</t>
        </is>
      </c>
      <c r="AK27" s="22" t="inlineStr">
        <is>
          <t>미확인</t>
        </is>
      </c>
      <c r="AL27" s="22" t="inlineStr">
        <is>
          <t>미확인</t>
        </is>
      </c>
      <c r="AM27" s="22" t="inlineStr">
        <is>
          <t>미확인</t>
        </is>
      </c>
      <c r="AN27" s="22" t="inlineStr">
        <is>
          <t>미확인</t>
        </is>
      </c>
      <c r="AO27" s="17" t="inlineStr">
        <is>
          <t>C(부분확인)</t>
        </is>
      </c>
      <c r="AP27" s="17" t="inlineStr">
        <is>
          <t>Y</t>
        </is>
      </c>
      <c r="AQ27" s="17" t="n">
        <v>19</v>
      </c>
      <c r="AR27" s="28" t="inlineStr">
        <is>
          <t>Tier D</t>
        </is>
      </c>
      <c r="AS27" s="17" t="inlineStr">
        <is>
          <t>통합형</t>
        </is>
      </c>
      <c r="AT27" s="17" t="inlineStr">
        <is>
          <t>다중 제조소/다수 판정서로 문서관리 복잡; 무균/바이오 제조로 품질관리 난도 높음</t>
        </is>
      </c>
      <c r="AU27" s="17" t="inlineStr">
        <is>
          <t>담당자 파악 후 접촉</t>
        </is>
      </c>
      <c r="AV27" s="17" t="inlineStr">
        <is>
          <t>GMP적합판정+KRX</t>
        </is>
      </c>
      <c r="AW27" s="17" t="inlineStr">
        <is>
          <t>2026-07-05</t>
        </is>
      </c>
    </row>
    <row r="28">
      <c r="A28" s="17" t="inlineStr">
        <is>
          <t>C027</t>
        </is>
      </c>
      <c r="B28" s="17" t="inlineStr">
        <is>
          <t>카이바이오텍</t>
        </is>
      </c>
      <c r="C28" s="17" t="inlineStr">
        <is>
          <t>(주)카이바이오텍</t>
        </is>
      </c>
      <c r="D28" s="17" t="n">
        <v>1</v>
      </c>
      <c r="E28" s="17" t="n">
        <v>1</v>
      </c>
      <c r="F28" s="17" t="inlineStr">
        <is>
          <t>Y</t>
        </is>
      </c>
      <c r="G28" s="17" t="inlineStr"/>
      <c r="H28" s="17" t="inlineStr">
        <is>
          <t>Y</t>
        </is>
      </c>
      <c r="I28" s="17" t="inlineStr"/>
      <c r="J28" s="24" t="n">
        <v>47268</v>
      </c>
      <c r="K28" s="17" t="inlineStr"/>
      <c r="L28" s="17" t="inlineStr"/>
      <c r="M28" s="17" t="inlineStr"/>
      <c r="N28" s="23" t="inlineStr"/>
      <c r="O28" s="17" t="inlineStr"/>
      <c r="P28" s="17" t="inlineStr"/>
      <c r="Q28" s="17" t="inlineStr">
        <is>
          <t>김영덕</t>
        </is>
      </c>
      <c r="R28" s="17" t="inlineStr"/>
      <c r="S28" s="17" t="inlineStr"/>
      <c r="T28" s="17" t="inlineStr">
        <is>
          <t>미확인</t>
        </is>
      </c>
      <c r="U28" s="17" t="inlineStr">
        <is>
          <t>미확인</t>
        </is>
      </c>
      <c r="V28" s="22" t="inlineStr">
        <is>
          <t>미확인</t>
        </is>
      </c>
      <c r="W28" s="22" t="inlineStr">
        <is>
          <t>미확인</t>
        </is>
      </c>
      <c r="X28" s="22" t="inlineStr">
        <is>
          <t>미확인</t>
        </is>
      </c>
      <c r="Y28" s="22" t="inlineStr">
        <is>
          <t>미확인</t>
        </is>
      </c>
      <c r="Z28" s="22" t="inlineStr">
        <is>
          <t>미확인</t>
        </is>
      </c>
      <c r="AA28" s="22" t="inlineStr">
        <is>
          <t>미확인</t>
        </is>
      </c>
      <c r="AB28" s="22" t="inlineStr">
        <is>
          <t>미확인</t>
        </is>
      </c>
      <c r="AC28" s="22" t="inlineStr">
        <is>
          <t>미확인</t>
        </is>
      </c>
      <c r="AD28" s="22" t="inlineStr">
        <is>
          <t>미확인</t>
        </is>
      </c>
      <c r="AE28" s="22" t="inlineStr">
        <is>
          <t>미확인</t>
        </is>
      </c>
      <c r="AF28" s="22" t="inlineStr">
        <is>
          <t>미확인</t>
        </is>
      </c>
      <c r="AG28" s="22" t="inlineStr">
        <is>
          <t>미확인</t>
        </is>
      </c>
      <c r="AH28" s="22" t="inlineStr">
        <is>
          <t>미확인</t>
        </is>
      </c>
      <c r="AI28" s="22" t="inlineStr">
        <is>
          <t>미확인</t>
        </is>
      </c>
      <c r="AJ28" s="22" t="inlineStr">
        <is>
          <t>미확인</t>
        </is>
      </c>
      <c r="AK28" s="22" t="inlineStr">
        <is>
          <t>미확인</t>
        </is>
      </c>
      <c r="AL28" s="22" t="inlineStr">
        <is>
          <t>미확인</t>
        </is>
      </c>
      <c r="AM28" s="22" t="inlineStr">
        <is>
          <t>미확인</t>
        </is>
      </c>
      <c r="AN28" s="22" t="inlineStr">
        <is>
          <t>미확인</t>
        </is>
      </c>
      <c r="AO28" s="17" t="inlineStr">
        <is>
          <t>C(부분확인)</t>
        </is>
      </c>
      <c r="AP28" s="17" t="inlineStr">
        <is>
          <t>Y</t>
        </is>
      </c>
      <c r="AQ28" s="17" t="n">
        <v>12</v>
      </c>
      <c r="AR28" s="28" t="inlineStr">
        <is>
          <t>Tier D</t>
        </is>
      </c>
      <c r="AS28" s="17" t="inlineStr">
        <is>
          <t>QMS+LIMS</t>
        </is>
      </c>
      <c r="AT28" s="17" t="inlineStr">
        <is>
          <t>무균/바이오 제조로 품질관리 난도 높음</t>
        </is>
      </c>
      <c r="AU28" s="17" t="inlineStr">
        <is>
          <t>담당자 파악 후 접촉</t>
        </is>
      </c>
      <c r="AV28" s="17" t="inlineStr">
        <is>
          <t>GMP적합판정+KRX</t>
        </is>
      </c>
      <c r="AW28" s="17" t="inlineStr">
        <is>
          <t>2026-07-05</t>
        </is>
      </c>
    </row>
    <row r="29">
      <c r="A29" s="17" t="inlineStr">
        <is>
          <t>C028</t>
        </is>
      </c>
      <c r="B29" s="17" t="inlineStr">
        <is>
          <t>셀릭스</t>
        </is>
      </c>
      <c r="C29" s="17" t="inlineStr">
        <is>
          <t>(주)셀릭스</t>
        </is>
      </c>
      <c r="D29" s="17" t="n">
        <v>1</v>
      </c>
      <c r="E29" s="17" t="n">
        <v>1</v>
      </c>
      <c r="F29" s="17" t="inlineStr">
        <is>
          <t>Y</t>
        </is>
      </c>
      <c r="G29" s="17" t="inlineStr"/>
      <c r="H29" s="17" t="inlineStr"/>
      <c r="I29" s="17" t="inlineStr"/>
      <c r="J29" s="24" t="n">
        <v>47262</v>
      </c>
      <c r="K29" s="17" t="inlineStr"/>
      <c r="L29" s="17" t="inlineStr"/>
      <c r="M29" s="17" t="inlineStr"/>
      <c r="N29" s="23" t="inlineStr"/>
      <c r="O29" s="17" t="inlineStr"/>
      <c r="P29" s="17" t="inlineStr"/>
      <c r="Q29" s="17" t="inlineStr">
        <is>
          <t>정문기</t>
        </is>
      </c>
      <c r="R29" s="17" t="inlineStr"/>
      <c r="S29" s="17" t="inlineStr"/>
      <c r="T29" s="17" t="inlineStr">
        <is>
          <t>8767777</t>
        </is>
      </c>
      <c r="U29" s="17" t="inlineStr">
        <is>
          <t>제조소상세</t>
        </is>
      </c>
      <c r="V29" s="22" t="inlineStr">
        <is>
          <t>미확인</t>
        </is>
      </c>
      <c r="W29" s="22" t="inlineStr">
        <is>
          <t>미확인</t>
        </is>
      </c>
      <c r="X29" s="22" t="inlineStr">
        <is>
          <t>미확인</t>
        </is>
      </c>
      <c r="Y29" s="22" t="inlineStr">
        <is>
          <t>미확인</t>
        </is>
      </c>
      <c r="Z29" s="22" t="inlineStr">
        <is>
          <t>미확인</t>
        </is>
      </c>
      <c r="AA29" s="22" t="inlineStr">
        <is>
          <t>미확인</t>
        </is>
      </c>
      <c r="AB29" s="22" t="inlineStr">
        <is>
          <t>미확인</t>
        </is>
      </c>
      <c r="AC29" s="22" t="inlineStr">
        <is>
          <t>미확인</t>
        </is>
      </c>
      <c r="AD29" s="22" t="inlineStr">
        <is>
          <t>미확인</t>
        </is>
      </c>
      <c r="AE29" s="22" t="inlineStr">
        <is>
          <t>미확인</t>
        </is>
      </c>
      <c r="AF29" s="22" t="inlineStr">
        <is>
          <t>미확인</t>
        </is>
      </c>
      <c r="AG29" s="22" t="inlineStr">
        <is>
          <t>미확인</t>
        </is>
      </c>
      <c r="AH29" s="22" t="inlineStr">
        <is>
          <t>미확인</t>
        </is>
      </c>
      <c r="AI29" s="22" t="inlineStr">
        <is>
          <t>미확인</t>
        </is>
      </c>
      <c r="AJ29" s="22" t="inlineStr">
        <is>
          <t>미확인</t>
        </is>
      </c>
      <c r="AK29" s="22" t="inlineStr">
        <is>
          <t>미확인</t>
        </is>
      </c>
      <c r="AL29" s="22" t="inlineStr">
        <is>
          <t>미확인</t>
        </is>
      </c>
      <c r="AM29" s="22" t="inlineStr">
        <is>
          <t>미확인</t>
        </is>
      </c>
      <c r="AN29" s="22" t="inlineStr">
        <is>
          <t>미확인</t>
        </is>
      </c>
      <c r="AO29" s="17" t="inlineStr">
        <is>
          <t>C(부분확인)</t>
        </is>
      </c>
      <c r="AP29" s="17" t="inlineStr">
        <is>
          <t>Y</t>
        </is>
      </c>
      <c r="AQ29" s="17" t="n">
        <v>4</v>
      </c>
      <c r="AR29" s="28" t="inlineStr">
        <is>
          <t>Tier D</t>
        </is>
      </c>
      <c r="AS29" s="17" t="inlineStr">
        <is>
          <t>EDMS</t>
        </is>
      </c>
      <c r="AT29" s="17" t="inlineStr">
        <is>
          <t>기본 문서관리 수요</t>
        </is>
      </c>
      <c r="AU29" s="17" t="inlineStr">
        <is>
          <t>담당자 파악 후 접촉</t>
        </is>
      </c>
      <c r="AV29" s="17" t="inlineStr">
        <is>
          <t>GMP적합판정+KRX</t>
        </is>
      </c>
      <c r="AW29" s="17" t="inlineStr">
        <is>
          <t>2026-07-05</t>
        </is>
      </c>
    </row>
    <row r="30">
      <c r="A30" s="17" t="inlineStr">
        <is>
          <t>C029</t>
        </is>
      </c>
      <c r="B30" s="17" t="inlineStr">
        <is>
          <t>아이월드제약</t>
        </is>
      </c>
      <c r="C30" s="17" t="inlineStr">
        <is>
          <t>(주)아이월드제약</t>
        </is>
      </c>
      <c r="D30" s="17" t="n">
        <v>1</v>
      </c>
      <c r="E30" s="17" t="n">
        <v>1</v>
      </c>
      <c r="F30" s="17" t="inlineStr">
        <is>
          <t>Y</t>
        </is>
      </c>
      <c r="G30" s="17" t="inlineStr"/>
      <c r="H30" s="17" t="inlineStr"/>
      <c r="I30" s="17" t="inlineStr"/>
      <c r="J30" s="24" t="n">
        <v>47256</v>
      </c>
      <c r="K30" s="17" t="inlineStr"/>
      <c r="L30" s="17" t="inlineStr"/>
      <c r="M30" s="17" t="inlineStr"/>
      <c r="N30" s="23" t="inlineStr"/>
      <c r="O30" s="17" t="inlineStr"/>
      <c r="P30" s="17" t="inlineStr"/>
      <c r="Q30" s="17" t="inlineStr">
        <is>
          <t>전광석</t>
        </is>
      </c>
      <c r="R30" s="17" t="inlineStr"/>
      <c r="S30" s="17" t="inlineStr"/>
      <c r="T30" s="17" t="inlineStr">
        <is>
          <t>032-815-2751</t>
        </is>
      </c>
      <c r="U30" s="17" t="inlineStr">
        <is>
          <t>제조소상세</t>
        </is>
      </c>
      <c r="V30" s="22" t="inlineStr">
        <is>
          <t>미확인</t>
        </is>
      </c>
      <c r="W30" s="22" t="inlineStr">
        <is>
          <t>미확인</t>
        </is>
      </c>
      <c r="X30" s="22" t="inlineStr">
        <is>
          <t>미확인</t>
        </is>
      </c>
      <c r="Y30" s="22" t="inlineStr">
        <is>
          <t>미확인</t>
        </is>
      </c>
      <c r="Z30" s="22" t="inlineStr">
        <is>
          <t>미확인</t>
        </is>
      </c>
      <c r="AA30" s="22" t="inlineStr">
        <is>
          <t>미확인</t>
        </is>
      </c>
      <c r="AB30" s="22" t="inlineStr">
        <is>
          <t>미확인</t>
        </is>
      </c>
      <c r="AC30" s="22" t="inlineStr">
        <is>
          <t>미확인</t>
        </is>
      </c>
      <c r="AD30" s="22" t="inlineStr">
        <is>
          <t>미확인</t>
        </is>
      </c>
      <c r="AE30" s="22" t="inlineStr">
        <is>
          <t>미확인</t>
        </is>
      </c>
      <c r="AF30" s="22" t="inlineStr">
        <is>
          <t>미확인</t>
        </is>
      </c>
      <c r="AG30" s="22" t="inlineStr">
        <is>
          <t>미확인</t>
        </is>
      </c>
      <c r="AH30" s="22" t="inlineStr">
        <is>
          <t>미확인</t>
        </is>
      </c>
      <c r="AI30" s="22" t="inlineStr">
        <is>
          <t>미확인</t>
        </is>
      </c>
      <c r="AJ30" s="22" t="inlineStr">
        <is>
          <t>미확인</t>
        </is>
      </c>
      <c r="AK30" s="22" t="inlineStr">
        <is>
          <t>미확인</t>
        </is>
      </c>
      <c r="AL30" s="22" t="inlineStr">
        <is>
          <t>미확인</t>
        </is>
      </c>
      <c r="AM30" s="22" t="inlineStr">
        <is>
          <t>미확인</t>
        </is>
      </c>
      <c r="AN30" s="22" t="inlineStr">
        <is>
          <t>미확인</t>
        </is>
      </c>
      <c r="AO30" s="17" t="inlineStr">
        <is>
          <t>C(부분확인)</t>
        </is>
      </c>
      <c r="AP30" s="17" t="inlineStr">
        <is>
          <t>Y</t>
        </is>
      </c>
      <c r="AQ30" s="17" t="n">
        <v>4</v>
      </c>
      <c r="AR30" s="28" t="inlineStr">
        <is>
          <t>Tier D</t>
        </is>
      </c>
      <c r="AS30" s="17" t="inlineStr">
        <is>
          <t>EDMS</t>
        </is>
      </c>
      <c r="AT30" s="17" t="inlineStr">
        <is>
          <t>기본 문서관리 수요</t>
        </is>
      </c>
      <c r="AU30" s="17" t="inlineStr">
        <is>
          <t>담당자 파악 후 접촉</t>
        </is>
      </c>
      <c r="AV30" s="17" t="inlineStr">
        <is>
          <t>GMP적합판정+KRX</t>
        </is>
      </c>
      <c r="AW30" s="17" t="inlineStr">
        <is>
          <t>2026-07-05</t>
        </is>
      </c>
    </row>
    <row r="31">
      <c r="A31" s="17" t="inlineStr">
        <is>
          <t>C030</t>
        </is>
      </c>
      <c r="B31" s="17" t="inlineStr">
        <is>
          <t>프로톡스</t>
        </is>
      </c>
      <c r="C31" s="17" t="inlineStr">
        <is>
          <t>(주)프로톡스</t>
        </is>
      </c>
      <c r="D31" s="17" t="n">
        <v>1</v>
      </c>
      <c r="E31" s="17" t="n">
        <v>1</v>
      </c>
      <c r="F31" s="17" t="inlineStr">
        <is>
          <t>Y</t>
        </is>
      </c>
      <c r="G31" s="17" t="inlineStr"/>
      <c r="H31" s="17" t="inlineStr">
        <is>
          <t>Y</t>
        </is>
      </c>
      <c r="I31" s="17" t="inlineStr">
        <is>
          <t>Y</t>
        </is>
      </c>
      <c r="J31" s="24" t="n">
        <v>47255</v>
      </c>
      <c r="K31" s="17" t="inlineStr"/>
      <c r="L31" s="17" t="inlineStr"/>
      <c r="M31" s="17" t="inlineStr"/>
      <c r="N31" s="23" t="inlineStr"/>
      <c r="O31" s="17" t="inlineStr"/>
      <c r="P31" s="17" t="inlineStr"/>
      <c r="Q31" s="17" t="inlineStr">
        <is>
          <t>김창수</t>
        </is>
      </c>
      <c r="R31" s="17" t="inlineStr"/>
      <c r="S31" s="17" t="inlineStr"/>
      <c r="T31" s="17" t="inlineStr">
        <is>
          <t>미확인</t>
        </is>
      </c>
      <c r="U31" s="17" t="inlineStr">
        <is>
          <t>미확인</t>
        </is>
      </c>
      <c r="V31" s="22" t="inlineStr">
        <is>
          <t>미확인</t>
        </is>
      </c>
      <c r="W31" s="22" t="inlineStr">
        <is>
          <t>미확인</t>
        </is>
      </c>
      <c r="X31" s="22" t="inlineStr">
        <is>
          <t>미확인</t>
        </is>
      </c>
      <c r="Y31" s="22" t="inlineStr">
        <is>
          <t>미확인</t>
        </is>
      </c>
      <c r="Z31" s="22" t="inlineStr">
        <is>
          <t>미확인</t>
        </is>
      </c>
      <c r="AA31" s="22" t="inlineStr">
        <is>
          <t>미확인</t>
        </is>
      </c>
      <c r="AB31" s="22" t="inlineStr">
        <is>
          <t>미확인</t>
        </is>
      </c>
      <c r="AC31" s="22" t="inlineStr">
        <is>
          <t>미확인</t>
        </is>
      </c>
      <c r="AD31" s="22" t="inlineStr">
        <is>
          <t>미확인</t>
        </is>
      </c>
      <c r="AE31" s="22" t="inlineStr">
        <is>
          <t>미확인</t>
        </is>
      </c>
      <c r="AF31" s="22" t="inlineStr">
        <is>
          <t>미확인</t>
        </is>
      </c>
      <c r="AG31" s="22" t="inlineStr">
        <is>
          <t>미확인</t>
        </is>
      </c>
      <c r="AH31" s="22" t="inlineStr">
        <is>
          <t>미확인</t>
        </is>
      </c>
      <c r="AI31" s="22" t="inlineStr">
        <is>
          <t>미확인</t>
        </is>
      </c>
      <c r="AJ31" s="22" t="inlineStr">
        <is>
          <t>미확인</t>
        </is>
      </c>
      <c r="AK31" s="22" t="inlineStr">
        <is>
          <t>미확인</t>
        </is>
      </c>
      <c r="AL31" s="22" t="inlineStr">
        <is>
          <t>미확인</t>
        </is>
      </c>
      <c r="AM31" s="22" t="inlineStr">
        <is>
          <t>미확인</t>
        </is>
      </c>
      <c r="AN31" s="22" t="inlineStr">
        <is>
          <t>미확인</t>
        </is>
      </c>
      <c r="AO31" s="17" t="inlineStr">
        <is>
          <t>C(부분확인)</t>
        </is>
      </c>
      <c r="AP31" s="17" t="inlineStr">
        <is>
          <t>Y</t>
        </is>
      </c>
      <c r="AQ31" s="17" t="n">
        <v>19</v>
      </c>
      <c r="AR31" s="28" t="inlineStr">
        <is>
          <t>Tier D</t>
        </is>
      </c>
      <c r="AS31" s="17" t="inlineStr">
        <is>
          <t>QMS+LIMS</t>
        </is>
      </c>
      <c r="AT31" s="17" t="inlineStr">
        <is>
          <t>무균/바이오 제조로 품질관리 난도 높음</t>
        </is>
      </c>
      <c r="AU31" s="17" t="inlineStr">
        <is>
          <t>담당자 파악 후 접촉</t>
        </is>
      </c>
      <c r="AV31" s="17" t="inlineStr">
        <is>
          <t>GMP적합판정+KRX</t>
        </is>
      </c>
      <c r="AW31" s="17" t="inlineStr">
        <is>
          <t>2026-07-05</t>
        </is>
      </c>
    </row>
    <row r="32">
      <c r="A32" s="17" t="inlineStr">
        <is>
          <t>C031</t>
        </is>
      </c>
      <c r="B32" s="17" t="inlineStr">
        <is>
          <t>라이프슈티컬</t>
        </is>
      </c>
      <c r="C32" s="17" t="inlineStr">
        <is>
          <t>라이프슈티컬</t>
        </is>
      </c>
      <c r="D32" s="17" t="n">
        <v>1</v>
      </c>
      <c r="E32" s="17" t="n">
        <v>1</v>
      </c>
      <c r="F32" s="17" t="inlineStr"/>
      <c r="G32" s="17" t="inlineStr">
        <is>
          <t>Y</t>
        </is>
      </c>
      <c r="H32" s="17" t="inlineStr"/>
      <c r="I32" s="17" t="inlineStr"/>
      <c r="J32" s="24" t="n">
        <v>47255</v>
      </c>
      <c r="K32" s="17" t="inlineStr"/>
      <c r="L32" s="17" t="inlineStr"/>
      <c r="M32" s="17" t="inlineStr"/>
      <c r="N32" s="23" t="inlineStr"/>
      <c r="O32" s="17" t="inlineStr"/>
      <c r="P32" s="17" t="inlineStr"/>
      <c r="Q32" s="17" t="inlineStr">
        <is>
          <t>손재민</t>
        </is>
      </c>
      <c r="R32" s="17" t="inlineStr"/>
      <c r="S32" s="17" t="inlineStr"/>
      <c r="T32" s="17" t="inlineStr">
        <is>
          <t>043-652-8404</t>
        </is>
      </c>
      <c r="U32" s="17" t="inlineStr">
        <is>
          <t>제조소상세</t>
        </is>
      </c>
      <c r="V32" s="22" t="inlineStr">
        <is>
          <t>미확인</t>
        </is>
      </c>
      <c r="W32" s="22" t="inlineStr">
        <is>
          <t>미확인</t>
        </is>
      </c>
      <c r="X32" s="22" t="inlineStr">
        <is>
          <t>미확인</t>
        </is>
      </c>
      <c r="Y32" s="22" t="inlineStr">
        <is>
          <t>미확인</t>
        </is>
      </c>
      <c r="Z32" s="22" t="inlineStr">
        <is>
          <t>미확인</t>
        </is>
      </c>
      <c r="AA32" s="22" t="inlineStr">
        <is>
          <t>미확인</t>
        </is>
      </c>
      <c r="AB32" s="22" t="inlineStr">
        <is>
          <t>미확인</t>
        </is>
      </c>
      <c r="AC32" s="22" t="inlineStr">
        <is>
          <t>미확인</t>
        </is>
      </c>
      <c r="AD32" s="22" t="inlineStr">
        <is>
          <t>미확인</t>
        </is>
      </c>
      <c r="AE32" s="22" t="inlineStr">
        <is>
          <t>미확인</t>
        </is>
      </c>
      <c r="AF32" s="22" t="inlineStr">
        <is>
          <t>미확인</t>
        </is>
      </c>
      <c r="AG32" s="22" t="inlineStr">
        <is>
          <t>미확인</t>
        </is>
      </c>
      <c r="AH32" s="22" t="inlineStr">
        <is>
          <t>미확인</t>
        </is>
      </c>
      <c r="AI32" s="22" t="inlineStr">
        <is>
          <t>미확인</t>
        </is>
      </c>
      <c r="AJ32" s="22" t="inlineStr">
        <is>
          <t>미확인</t>
        </is>
      </c>
      <c r="AK32" s="22" t="inlineStr">
        <is>
          <t>미확인</t>
        </is>
      </c>
      <c r="AL32" s="22" t="inlineStr">
        <is>
          <t>미확인</t>
        </is>
      </c>
      <c r="AM32" s="22" t="inlineStr">
        <is>
          <t>미확인</t>
        </is>
      </c>
      <c r="AN32" s="22" t="inlineStr">
        <is>
          <t>미확인</t>
        </is>
      </c>
      <c r="AO32" s="17" t="inlineStr">
        <is>
          <t>C(부분확인)</t>
        </is>
      </c>
      <c r="AP32" s="17" t="inlineStr">
        <is>
          <t>Y</t>
        </is>
      </c>
      <c r="AQ32" s="17" t="n">
        <v>4</v>
      </c>
      <c r="AR32" s="28" t="inlineStr">
        <is>
          <t>Tier D</t>
        </is>
      </c>
      <c r="AS32" s="17" t="inlineStr">
        <is>
          <t>LIMS</t>
        </is>
      </c>
      <c r="AT32" s="17" t="inlineStr">
        <is>
          <t>원료 제조로 시험실 관리 필요</t>
        </is>
      </c>
      <c r="AU32" s="17" t="inlineStr">
        <is>
          <t>담당자 파악 후 접촉</t>
        </is>
      </c>
      <c r="AV32" s="17" t="inlineStr">
        <is>
          <t>GMP적합판정+KRX</t>
        </is>
      </c>
      <c r="AW32" s="17" t="inlineStr">
        <is>
          <t>2026-07-05</t>
        </is>
      </c>
    </row>
    <row r="33">
      <c r="A33" s="17" t="inlineStr">
        <is>
          <t>C032</t>
        </is>
      </c>
      <c r="B33" s="17" t="inlineStr">
        <is>
          <t>제주대학교병원</t>
        </is>
      </c>
      <c r="C33" s="17" t="inlineStr">
        <is>
          <t>제주대학교병원</t>
        </is>
      </c>
      <c r="D33" s="17" t="n">
        <v>1</v>
      </c>
      <c r="E33" s="17" t="n">
        <v>1</v>
      </c>
      <c r="F33" s="17" t="inlineStr">
        <is>
          <t>Y</t>
        </is>
      </c>
      <c r="G33" s="17" t="inlineStr"/>
      <c r="H33" s="17" t="inlineStr">
        <is>
          <t>Y</t>
        </is>
      </c>
      <c r="I33" s="17" t="inlineStr"/>
      <c r="J33" s="24" t="n">
        <v>47254</v>
      </c>
      <c r="K33" s="17" t="inlineStr"/>
      <c r="L33" s="17" t="inlineStr"/>
      <c r="M33" s="17" t="inlineStr"/>
      <c r="N33" s="23" t="inlineStr"/>
      <c r="O33" s="17" t="inlineStr"/>
      <c r="P33" s="17" t="inlineStr"/>
      <c r="Q33" s="17" t="inlineStr">
        <is>
          <t>최국명</t>
        </is>
      </c>
      <c r="R33" s="17" t="inlineStr"/>
      <c r="S33" s="17" t="inlineStr"/>
      <c r="T33" s="17" t="inlineStr">
        <is>
          <t>064-717-1301</t>
        </is>
      </c>
      <c r="U33" s="17" t="inlineStr">
        <is>
          <t>제조소상세</t>
        </is>
      </c>
      <c r="V33" s="22" t="inlineStr">
        <is>
          <t>미확인</t>
        </is>
      </c>
      <c r="W33" s="22" t="inlineStr">
        <is>
          <t>미확인</t>
        </is>
      </c>
      <c r="X33" s="22" t="inlineStr">
        <is>
          <t>미확인</t>
        </is>
      </c>
      <c r="Y33" s="22" t="inlineStr">
        <is>
          <t>미확인</t>
        </is>
      </c>
      <c r="Z33" s="22" t="inlineStr">
        <is>
          <t>미확인</t>
        </is>
      </c>
      <c r="AA33" s="22" t="inlineStr">
        <is>
          <t>미확인</t>
        </is>
      </c>
      <c r="AB33" s="22" t="inlineStr">
        <is>
          <t>미확인</t>
        </is>
      </c>
      <c r="AC33" s="22" t="inlineStr">
        <is>
          <t>미확인</t>
        </is>
      </c>
      <c r="AD33" s="22" t="inlineStr">
        <is>
          <t>미확인</t>
        </is>
      </c>
      <c r="AE33" s="22" t="inlineStr">
        <is>
          <t>미확인</t>
        </is>
      </c>
      <c r="AF33" s="22" t="inlineStr">
        <is>
          <t>미확인</t>
        </is>
      </c>
      <c r="AG33" s="22" t="inlineStr">
        <is>
          <t>미확인</t>
        </is>
      </c>
      <c r="AH33" s="22" t="inlineStr">
        <is>
          <t>미확인</t>
        </is>
      </c>
      <c r="AI33" s="22" t="inlineStr">
        <is>
          <t>미확인</t>
        </is>
      </c>
      <c r="AJ33" s="22" t="inlineStr">
        <is>
          <t>미확인</t>
        </is>
      </c>
      <c r="AK33" s="22" t="inlineStr">
        <is>
          <t>미확인</t>
        </is>
      </c>
      <c r="AL33" s="22" t="inlineStr">
        <is>
          <t>미확인</t>
        </is>
      </c>
      <c r="AM33" s="22" t="inlineStr">
        <is>
          <t>미확인</t>
        </is>
      </c>
      <c r="AN33" s="22" t="inlineStr">
        <is>
          <t>미확인</t>
        </is>
      </c>
      <c r="AO33" s="17" t="inlineStr">
        <is>
          <t>C(부분확인)</t>
        </is>
      </c>
      <c r="AP33" s="17" t="inlineStr">
        <is>
          <t>Y</t>
        </is>
      </c>
      <c r="AQ33" s="17" t="n">
        <v>12</v>
      </c>
      <c r="AR33" s="28" t="inlineStr">
        <is>
          <t>Tier D</t>
        </is>
      </c>
      <c r="AS33" s="17" t="inlineStr">
        <is>
          <t>QMS+LIMS</t>
        </is>
      </c>
      <c r="AT33" s="17" t="inlineStr">
        <is>
          <t>무균/바이오 제조로 품질관리 난도 높음</t>
        </is>
      </c>
      <c r="AU33" s="17" t="inlineStr">
        <is>
          <t>담당자 파악 후 접촉</t>
        </is>
      </c>
      <c r="AV33" s="17" t="inlineStr">
        <is>
          <t>GMP적합판정+KRX</t>
        </is>
      </c>
      <c r="AW33" s="17" t="inlineStr">
        <is>
          <t>2026-07-05</t>
        </is>
      </c>
    </row>
    <row r="34">
      <c r="A34" s="17" t="inlineStr">
        <is>
          <t>C033</t>
        </is>
      </c>
      <c r="B34" s="17" t="inlineStr">
        <is>
          <t>삼성서울병원</t>
        </is>
      </c>
      <c r="C34" s="17" t="inlineStr">
        <is>
          <t>삼성서울병원</t>
        </is>
      </c>
      <c r="D34" s="17" t="n">
        <v>1</v>
      </c>
      <c r="E34" s="17" t="n">
        <v>1</v>
      </c>
      <c r="F34" s="17" t="inlineStr">
        <is>
          <t>Y</t>
        </is>
      </c>
      <c r="G34" s="17" t="inlineStr"/>
      <c r="H34" s="17" t="inlineStr">
        <is>
          <t>Y</t>
        </is>
      </c>
      <c r="I34" s="17" t="inlineStr"/>
      <c r="J34" s="24" t="n">
        <v>47249</v>
      </c>
      <c r="K34" s="17" t="inlineStr"/>
      <c r="L34" s="17" t="inlineStr"/>
      <c r="M34" s="17" t="inlineStr"/>
      <c r="N34" s="23" t="inlineStr"/>
      <c r="O34" s="17" t="inlineStr"/>
      <c r="P34" s="17" t="inlineStr"/>
      <c r="Q34" s="17" t="inlineStr">
        <is>
          <t>한승환</t>
        </is>
      </c>
      <c r="R34" s="17" t="inlineStr"/>
      <c r="S34" s="17" t="inlineStr"/>
      <c r="T34" s="17" t="inlineStr">
        <is>
          <t>미확인</t>
        </is>
      </c>
      <c r="U34" s="17" t="inlineStr">
        <is>
          <t>미확인</t>
        </is>
      </c>
      <c r="V34" s="22" t="inlineStr">
        <is>
          <t>미확인</t>
        </is>
      </c>
      <c r="W34" s="22" t="inlineStr">
        <is>
          <t>미확인</t>
        </is>
      </c>
      <c r="X34" s="22" t="inlineStr">
        <is>
          <t>미확인</t>
        </is>
      </c>
      <c r="Y34" s="22" t="inlineStr">
        <is>
          <t>미확인</t>
        </is>
      </c>
      <c r="Z34" s="22" t="inlineStr">
        <is>
          <t>미확인</t>
        </is>
      </c>
      <c r="AA34" s="22" t="inlineStr">
        <is>
          <t>미확인</t>
        </is>
      </c>
      <c r="AB34" s="22" t="inlineStr">
        <is>
          <t>미확인</t>
        </is>
      </c>
      <c r="AC34" s="22" t="inlineStr">
        <is>
          <t>미확인</t>
        </is>
      </c>
      <c r="AD34" s="22" t="inlineStr">
        <is>
          <t>미확인</t>
        </is>
      </c>
      <c r="AE34" s="22" t="inlineStr">
        <is>
          <t>미확인</t>
        </is>
      </c>
      <c r="AF34" s="22" t="inlineStr">
        <is>
          <t>미확인</t>
        </is>
      </c>
      <c r="AG34" s="22" t="inlineStr">
        <is>
          <t>미확인</t>
        </is>
      </c>
      <c r="AH34" s="22" t="inlineStr">
        <is>
          <t>미확인</t>
        </is>
      </c>
      <c r="AI34" s="22" t="inlineStr">
        <is>
          <t>미확인</t>
        </is>
      </c>
      <c r="AJ34" s="22" t="inlineStr">
        <is>
          <t>미확인</t>
        </is>
      </c>
      <c r="AK34" s="22" t="inlineStr">
        <is>
          <t>미확인</t>
        </is>
      </c>
      <c r="AL34" s="22" t="inlineStr">
        <is>
          <t>미확인</t>
        </is>
      </c>
      <c r="AM34" s="22" t="inlineStr">
        <is>
          <t>미확인</t>
        </is>
      </c>
      <c r="AN34" s="22" t="inlineStr">
        <is>
          <t>미확인</t>
        </is>
      </c>
      <c r="AO34" s="17" t="inlineStr">
        <is>
          <t>C(부분확인)</t>
        </is>
      </c>
      <c r="AP34" s="17" t="inlineStr">
        <is>
          <t>Y</t>
        </is>
      </c>
      <c r="AQ34" s="17" t="n">
        <v>12</v>
      </c>
      <c r="AR34" s="28" t="inlineStr">
        <is>
          <t>Tier D</t>
        </is>
      </c>
      <c r="AS34" s="17" t="inlineStr">
        <is>
          <t>QMS+LIMS</t>
        </is>
      </c>
      <c r="AT34" s="17" t="inlineStr">
        <is>
          <t>무균/바이오 제조로 품질관리 난도 높음</t>
        </is>
      </c>
      <c r="AU34" s="17" t="inlineStr">
        <is>
          <t>담당자 파악 후 접촉</t>
        </is>
      </c>
      <c r="AV34" s="17" t="inlineStr">
        <is>
          <t>GMP적합판정+KRX</t>
        </is>
      </c>
      <c r="AW34" s="17" t="inlineStr">
        <is>
          <t>2026-07-05</t>
        </is>
      </c>
    </row>
    <row r="35">
      <c r="A35" s="17" t="inlineStr">
        <is>
          <t>C034</t>
        </is>
      </c>
      <c r="B35" s="17" t="inlineStr">
        <is>
          <t>동아제약</t>
        </is>
      </c>
      <c r="C35" s="17" t="inlineStr">
        <is>
          <t>동아제약(주)</t>
        </is>
      </c>
      <c r="D35" s="17" t="n">
        <v>3</v>
      </c>
      <c r="E35" s="17" t="n">
        <v>3</v>
      </c>
      <c r="F35" s="17" t="inlineStr">
        <is>
          <t>Y</t>
        </is>
      </c>
      <c r="G35" s="17" t="inlineStr"/>
      <c r="H35" s="17" t="inlineStr"/>
      <c r="I35" s="17" t="inlineStr"/>
      <c r="J35" s="24" t="n">
        <v>46690</v>
      </c>
      <c r="K35" s="17" t="inlineStr"/>
      <c r="L35" s="17" t="inlineStr"/>
      <c r="M35" s="17" t="inlineStr"/>
      <c r="N35" s="23" t="inlineStr"/>
      <c r="O35" s="17" t="inlineStr"/>
      <c r="P35" s="17" t="inlineStr"/>
      <c r="Q35" s="17" t="inlineStr">
        <is>
          <t>백상환</t>
        </is>
      </c>
      <c r="R35" s="17" t="inlineStr"/>
      <c r="S35" s="17" t="inlineStr"/>
      <c r="T35" s="17" t="inlineStr">
        <is>
          <t>미확인</t>
        </is>
      </c>
      <c r="U35" s="17" t="inlineStr">
        <is>
          <t>미확인</t>
        </is>
      </c>
      <c r="V35" s="22" t="inlineStr">
        <is>
          <t>미확인</t>
        </is>
      </c>
      <c r="W35" s="22" t="inlineStr">
        <is>
          <t>미확인</t>
        </is>
      </c>
      <c r="X35" s="22" t="inlineStr">
        <is>
          <t>미확인</t>
        </is>
      </c>
      <c r="Y35" s="22" t="inlineStr">
        <is>
          <t>미확인</t>
        </is>
      </c>
      <c r="Z35" s="22" t="inlineStr">
        <is>
          <t>미확인</t>
        </is>
      </c>
      <c r="AA35" s="22" t="inlineStr">
        <is>
          <t>미확인</t>
        </is>
      </c>
      <c r="AB35" s="22" t="inlineStr">
        <is>
          <t>미확인</t>
        </is>
      </c>
      <c r="AC35" s="22" t="inlineStr">
        <is>
          <t>미확인</t>
        </is>
      </c>
      <c r="AD35" s="22" t="inlineStr">
        <is>
          <t>미확인</t>
        </is>
      </c>
      <c r="AE35" s="22" t="inlineStr">
        <is>
          <t>미확인</t>
        </is>
      </c>
      <c r="AF35" s="22" t="inlineStr">
        <is>
          <t>미확인</t>
        </is>
      </c>
      <c r="AG35" s="22" t="inlineStr">
        <is>
          <t>미확인</t>
        </is>
      </c>
      <c r="AH35" s="22" t="inlineStr">
        <is>
          <t>미확인</t>
        </is>
      </c>
      <c r="AI35" s="22" t="inlineStr">
        <is>
          <t>미확인</t>
        </is>
      </c>
      <c r="AJ35" s="22" t="inlineStr">
        <is>
          <t>미확인</t>
        </is>
      </c>
      <c r="AK35" s="22" t="inlineStr">
        <is>
          <t>미확인</t>
        </is>
      </c>
      <c r="AL35" s="22" t="inlineStr">
        <is>
          <t>미확인</t>
        </is>
      </c>
      <c r="AM35" s="22" t="inlineStr">
        <is>
          <t>미확인</t>
        </is>
      </c>
      <c r="AN35" s="22" t="inlineStr">
        <is>
          <t>미확인</t>
        </is>
      </c>
      <c r="AO35" s="17" t="inlineStr">
        <is>
          <t>C(부분확인)</t>
        </is>
      </c>
      <c r="AP35" s="17" t="inlineStr">
        <is>
          <t>Y</t>
        </is>
      </c>
      <c r="AQ35" s="17" t="n">
        <v>12</v>
      </c>
      <c r="AR35" s="28" t="inlineStr">
        <is>
          <t>Tier D</t>
        </is>
      </c>
      <c r="AS35" s="17" t="inlineStr">
        <is>
          <t>통합형</t>
        </is>
      </c>
      <c r="AT35" s="17" t="inlineStr">
        <is>
          <t>다중 제조소/다수 판정서로 문서관리 복잡; 다중 제조소로 교육관리 대상 광범위</t>
        </is>
      </c>
      <c r="AU35" s="17" t="inlineStr">
        <is>
          <t>담당자 파악 후 접촉</t>
        </is>
      </c>
      <c r="AV35" s="17" t="inlineStr">
        <is>
          <t>GMP적합판정+KRX</t>
        </is>
      </c>
      <c r="AW35" s="17" t="inlineStr">
        <is>
          <t>2026-07-05</t>
        </is>
      </c>
    </row>
    <row r="36">
      <c r="A36" s="17" t="inlineStr">
        <is>
          <t>C035</t>
        </is>
      </c>
      <c r="B36" s="17" t="inlineStr">
        <is>
          <t>화순전남대학병원</t>
        </is>
      </c>
      <c r="C36" s="17" t="inlineStr">
        <is>
          <t>화순전남대학병원</t>
        </is>
      </c>
      <c r="D36" s="17" t="n">
        <v>1</v>
      </c>
      <c r="E36" s="17" t="n">
        <v>1</v>
      </c>
      <c r="F36" s="17" t="inlineStr">
        <is>
          <t>Y</t>
        </is>
      </c>
      <c r="G36" s="17" t="inlineStr"/>
      <c r="H36" s="17" t="inlineStr">
        <is>
          <t>Y</t>
        </is>
      </c>
      <c r="I36" s="17" t="inlineStr"/>
      <c r="J36" s="24" t="n">
        <v>47247</v>
      </c>
      <c r="K36" s="17" t="inlineStr"/>
      <c r="L36" s="17" t="inlineStr"/>
      <c r="M36" s="17" t="inlineStr"/>
      <c r="N36" s="23" t="inlineStr"/>
      <c r="O36" s="17" t="inlineStr"/>
      <c r="P36" s="17" t="inlineStr"/>
      <c r="Q36" s="17" t="inlineStr">
        <is>
          <t>이완식</t>
        </is>
      </c>
      <c r="R36" s="17" t="inlineStr"/>
      <c r="S36" s="17" t="inlineStr"/>
      <c r="T36" s="17" t="inlineStr">
        <is>
          <t>061-379-7262</t>
        </is>
      </c>
      <c r="U36" s="17" t="inlineStr">
        <is>
          <t>제조소상세</t>
        </is>
      </c>
      <c r="V36" s="22" t="inlineStr">
        <is>
          <t>미확인</t>
        </is>
      </c>
      <c r="W36" s="22" t="inlineStr">
        <is>
          <t>미확인</t>
        </is>
      </c>
      <c r="X36" s="22" t="inlineStr">
        <is>
          <t>미확인</t>
        </is>
      </c>
      <c r="Y36" s="22" t="inlineStr">
        <is>
          <t>미확인</t>
        </is>
      </c>
      <c r="Z36" s="22" t="inlineStr">
        <is>
          <t>미확인</t>
        </is>
      </c>
      <c r="AA36" s="22" t="inlineStr">
        <is>
          <t>미확인</t>
        </is>
      </c>
      <c r="AB36" s="22" t="inlineStr">
        <is>
          <t>미확인</t>
        </is>
      </c>
      <c r="AC36" s="22" t="inlineStr">
        <is>
          <t>미확인</t>
        </is>
      </c>
      <c r="AD36" s="22" t="inlineStr">
        <is>
          <t>미확인</t>
        </is>
      </c>
      <c r="AE36" s="22" t="inlineStr">
        <is>
          <t>미확인</t>
        </is>
      </c>
      <c r="AF36" s="22" t="inlineStr">
        <is>
          <t>미확인</t>
        </is>
      </c>
      <c r="AG36" s="22" t="inlineStr">
        <is>
          <t>미확인</t>
        </is>
      </c>
      <c r="AH36" s="22" t="inlineStr">
        <is>
          <t>미확인</t>
        </is>
      </c>
      <c r="AI36" s="22" t="inlineStr">
        <is>
          <t>미확인</t>
        </is>
      </c>
      <c r="AJ36" s="22" t="inlineStr">
        <is>
          <t>미확인</t>
        </is>
      </c>
      <c r="AK36" s="22" t="inlineStr">
        <is>
          <t>미확인</t>
        </is>
      </c>
      <c r="AL36" s="22" t="inlineStr">
        <is>
          <t>미확인</t>
        </is>
      </c>
      <c r="AM36" s="22" t="inlineStr">
        <is>
          <t>미확인</t>
        </is>
      </c>
      <c r="AN36" s="22" t="inlineStr">
        <is>
          <t>미확인</t>
        </is>
      </c>
      <c r="AO36" s="17" t="inlineStr">
        <is>
          <t>C(부분확인)</t>
        </is>
      </c>
      <c r="AP36" s="17" t="inlineStr">
        <is>
          <t>Y</t>
        </is>
      </c>
      <c r="AQ36" s="17" t="n">
        <v>12</v>
      </c>
      <c r="AR36" s="28" t="inlineStr">
        <is>
          <t>Tier D</t>
        </is>
      </c>
      <c r="AS36" s="17" t="inlineStr">
        <is>
          <t>QMS+LIMS</t>
        </is>
      </c>
      <c r="AT36" s="17" t="inlineStr">
        <is>
          <t>무균/바이오 제조로 품질관리 난도 높음</t>
        </is>
      </c>
      <c r="AU36" s="17" t="inlineStr">
        <is>
          <t>담당자 파악 후 접촉</t>
        </is>
      </c>
      <c r="AV36" s="17" t="inlineStr">
        <is>
          <t>GMP적합판정+KRX</t>
        </is>
      </c>
      <c r="AW36" s="17" t="inlineStr">
        <is>
          <t>2026-07-05</t>
        </is>
      </c>
    </row>
    <row r="37">
      <c r="A37" s="17" t="inlineStr">
        <is>
          <t>C036</t>
        </is>
      </c>
      <c r="B37" s="17" t="inlineStr">
        <is>
          <t>한국특수가스</t>
        </is>
      </c>
      <c r="C37" s="17" t="inlineStr">
        <is>
          <t>한국특수가스(주)</t>
        </is>
      </c>
      <c r="D37" s="17" t="n">
        <v>3</v>
      </c>
      <c r="E37" s="17" t="n">
        <v>3</v>
      </c>
      <c r="F37" s="17" t="inlineStr">
        <is>
          <t>Y</t>
        </is>
      </c>
      <c r="G37" s="17" t="inlineStr"/>
      <c r="H37" s="17" t="inlineStr"/>
      <c r="I37" s="17" t="inlineStr"/>
      <c r="J37" s="24" t="n">
        <v>46826</v>
      </c>
      <c r="K37" s="17" t="inlineStr"/>
      <c r="L37" s="17" t="inlineStr"/>
      <c r="M37" s="17" t="inlineStr"/>
      <c r="N37" s="23" t="inlineStr"/>
      <c r="O37" s="17" t="inlineStr"/>
      <c r="P37" s="17" t="inlineStr"/>
      <c r="Q37" s="17" t="inlineStr">
        <is>
          <t>한승문</t>
        </is>
      </c>
      <c r="R37" s="17" t="inlineStr"/>
      <c r="S37" s="17" t="inlineStr"/>
      <c r="T37" s="17" t="inlineStr">
        <is>
          <t>0105185</t>
        </is>
      </c>
      <c r="U37" s="17" t="inlineStr">
        <is>
          <t>제조소상세</t>
        </is>
      </c>
      <c r="V37" s="22" t="inlineStr">
        <is>
          <t>미확인</t>
        </is>
      </c>
      <c r="W37" s="22" t="inlineStr">
        <is>
          <t>미확인</t>
        </is>
      </c>
      <c r="X37" s="22" t="inlineStr">
        <is>
          <t>미확인</t>
        </is>
      </c>
      <c r="Y37" s="22" t="inlineStr">
        <is>
          <t>미확인</t>
        </is>
      </c>
      <c r="Z37" s="22" t="inlineStr">
        <is>
          <t>미확인</t>
        </is>
      </c>
      <c r="AA37" s="22" t="inlineStr">
        <is>
          <t>미확인</t>
        </is>
      </c>
      <c r="AB37" s="22" t="inlineStr">
        <is>
          <t>미확인</t>
        </is>
      </c>
      <c r="AC37" s="22" t="inlineStr">
        <is>
          <t>미확인</t>
        </is>
      </c>
      <c r="AD37" s="22" t="inlineStr">
        <is>
          <t>미확인</t>
        </is>
      </c>
      <c r="AE37" s="22" t="inlineStr">
        <is>
          <t>미확인</t>
        </is>
      </c>
      <c r="AF37" s="22" t="inlineStr">
        <is>
          <t>미확인</t>
        </is>
      </c>
      <c r="AG37" s="22" t="inlineStr">
        <is>
          <t>미확인</t>
        </is>
      </c>
      <c r="AH37" s="22" t="inlineStr">
        <is>
          <t>미확인</t>
        </is>
      </c>
      <c r="AI37" s="22" t="inlineStr">
        <is>
          <t>미확인</t>
        </is>
      </c>
      <c r="AJ37" s="22" t="inlineStr">
        <is>
          <t>미확인</t>
        </is>
      </c>
      <c r="AK37" s="22" t="inlineStr">
        <is>
          <t>미확인</t>
        </is>
      </c>
      <c r="AL37" s="22" t="inlineStr">
        <is>
          <t>미확인</t>
        </is>
      </c>
      <c r="AM37" s="22" t="inlineStr">
        <is>
          <t>미확인</t>
        </is>
      </c>
      <c r="AN37" s="22" t="inlineStr">
        <is>
          <t>미확인</t>
        </is>
      </c>
      <c r="AO37" s="17" t="inlineStr">
        <is>
          <t>C(부분확인)</t>
        </is>
      </c>
      <c r="AP37" s="17" t="inlineStr">
        <is>
          <t>Y</t>
        </is>
      </c>
      <c r="AQ37" s="17" t="n">
        <v>12</v>
      </c>
      <c r="AR37" s="28" t="inlineStr">
        <is>
          <t>Tier D</t>
        </is>
      </c>
      <c r="AS37" s="17" t="inlineStr">
        <is>
          <t>통합형</t>
        </is>
      </c>
      <c r="AT37" s="17" t="inlineStr">
        <is>
          <t>다중 제조소/다수 판정서로 문서관리 복잡; 다중 제조소로 교육관리 대상 광범위</t>
        </is>
      </c>
      <c r="AU37" s="17" t="inlineStr">
        <is>
          <t>담당자 파악 후 접촉</t>
        </is>
      </c>
      <c r="AV37" s="17" t="inlineStr">
        <is>
          <t>GMP적합판정+KRX</t>
        </is>
      </c>
      <c r="AW37" s="17" t="inlineStr">
        <is>
          <t>2026-07-05</t>
        </is>
      </c>
    </row>
    <row r="38">
      <c r="A38" s="17" t="inlineStr">
        <is>
          <t>C037</t>
        </is>
      </c>
      <c r="B38" s="17" t="inlineStr">
        <is>
          <t>큐로셀</t>
        </is>
      </c>
      <c r="C38" s="17" t="inlineStr">
        <is>
          <t>주식회사 큐로셀</t>
        </is>
      </c>
      <c r="D38" s="17" t="n">
        <v>1</v>
      </c>
      <c r="E38" s="17" t="n">
        <v>1</v>
      </c>
      <c r="F38" s="17" t="inlineStr">
        <is>
          <t>Y</t>
        </is>
      </c>
      <c r="G38" s="17" t="inlineStr"/>
      <c r="H38" s="17" t="inlineStr">
        <is>
          <t>Y</t>
        </is>
      </c>
      <c r="I38" s="17" t="inlineStr">
        <is>
          <t>Y</t>
        </is>
      </c>
      <c r="J38" s="24" t="n">
        <v>47243</v>
      </c>
      <c r="K38" s="17" t="inlineStr"/>
      <c r="L38" s="17" t="inlineStr">
        <is>
          <t>Y</t>
        </is>
      </c>
      <c r="M38" s="17" t="inlineStr">
        <is>
          <t>코스닥</t>
        </is>
      </c>
      <c r="N38" s="23" t="inlineStr">
        <is>
          <t>372320</t>
        </is>
      </c>
      <c r="O38" s="17" t="inlineStr">
        <is>
          <t>자연과학 및 공학 연구개발업</t>
        </is>
      </c>
      <c r="P38" s="17" t="inlineStr">
        <is>
          <t>CAR-T 세포치료제</t>
        </is>
      </c>
      <c r="Q38" s="17" t="inlineStr">
        <is>
          <t>김건수</t>
        </is>
      </c>
      <c r="R38" s="17" t="inlineStr">
        <is>
          <t>http://curocellbtx.com</t>
        </is>
      </c>
      <c r="S38" s="17" t="inlineStr">
        <is>
          <t>대전광역시</t>
        </is>
      </c>
      <c r="T38" s="17" t="inlineStr">
        <is>
          <t>미확인</t>
        </is>
      </c>
      <c r="U38" s="17" t="inlineStr">
        <is>
          <t>미확인</t>
        </is>
      </c>
      <c r="V38" s="22" t="inlineStr">
        <is>
          <t>미확인</t>
        </is>
      </c>
      <c r="W38" s="22" t="inlineStr">
        <is>
          <t>미확인</t>
        </is>
      </c>
      <c r="X38" s="22" t="inlineStr">
        <is>
          <t>미확인</t>
        </is>
      </c>
      <c r="Y38" s="22" t="inlineStr">
        <is>
          <t>미확인</t>
        </is>
      </c>
      <c r="Z38" s="22" t="inlineStr">
        <is>
          <t>미확인</t>
        </is>
      </c>
      <c r="AA38" s="22" t="inlineStr">
        <is>
          <t>미확인</t>
        </is>
      </c>
      <c r="AB38" s="22" t="inlineStr">
        <is>
          <t>미확인</t>
        </is>
      </c>
      <c r="AC38" s="22" t="inlineStr">
        <is>
          <t>미확인</t>
        </is>
      </c>
      <c r="AD38" s="22" t="inlineStr">
        <is>
          <t>미확인</t>
        </is>
      </c>
      <c r="AE38" s="22" t="inlineStr">
        <is>
          <t>미확인</t>
        </is>
      </c>
      <c r="AF38" s="22" t="inlineStr">
        <is>
          <t>미확인</t>
        </is>
      </c>
      <c r="AG38" s="22" t="inlineStr">
        <is>
          <t>미확인</t>
        </is>
      </c>
      <c r="AH38" s="22" t="inlineStr">
        <is>
          <t>미확인</t>
        </is>
      </c>
      <c r="AI38" s="22" t="inlineStr">
        <is>
          <t>미확인</t>
        </is>
      </c>
      <c r="AJ38" s="22" t="inlineStr">
        <is>
          <t>미확인</t>
        </is>
      </c>
      <c r="AK38" s="22" t="inlineStr">
        <is>
          <t>미확인</t>
        </is>
      </c>
      <c r="AL38" s="22" t="inlineStr">
        <is>
          <t>미확인</t>
        </is>
      </c>
      <c r="AM38" s="22" t="inlineStr">
        <is>
          <t>미확인</t>
        </is>
      </c>
      <c r="AN38" s="22" t="inlineStr">
        <is>
          <t>미확인</t>
        </is>
      </c>
      <c r="AO38" s="17" t="inlineStr">
        <is>
          <t>C(부분확인)</t>
        </is>
      </c>
      <c r="AP38" s="17" t="inlineStr">
        <is>
          <t>Y</t>
        </is>
      </c>
      <c r="AQ38" s="17" t="n">
        <v>19</v>
      </c>
      <c r="AR38" s="28" t="inlineStr">
        <is>
          <t>Tier D</t>
        </is>
      </c>
      <c r="AS38" s="17" t="inlineStr">
        <is>
          <t>QMS+LIMS</t>
        </is>
      </c>
      <c r="AT38" s="17" t="inlineStr">
        <is>
          <t>무균/바이오 제조로 품질관리 난도 높음</t>
        </is>
      </c>
      <c r="AU38" s="17" t="inlineStr">
        <is>
          <t>담당자 파악 후 접촉</t>
        </is>
      </c>
      <c r="AV38" s="17" t="inlineStr">
        <is>
          <t>GMP적합판정+KRX</t>
        </is>
      </c>
      <c r="AW38" s="17" t="inlineStr">
        <is>
          <t>2026-07-05</t>
        </is>
      </c>
    </row>
    <row r="39">
      <c r="A39" s="17" t="inlineStr">
        <is>
          <t>C038</t>
        </is>
      </c>
      <c r="B39" s="17" t="inlineStr">
        <is>
          <t>한국코러스</t>
        </is>
      </c>
      <c r="C39" s="17" t="inlineStr">
        <is>
          <t>한국코러스(주)</t>
        </is>
      </c>
      <c r="D39" s="17" t="n">
        <v>4</v>
      </c>
      <c r="E39" s="17" t="n">
        <v>3</v>
      </c>
      <c r="F39" s="17" t="inlineStr">
        <is>
          <t>Y</t>
        </is>
      </c>
      <c r="G39" s="17" t="inlineStr">
        <is>
          <t>Y</t>
        </is>
      </c>
      <c r="H39" s="17" t="inlineStr">
        <is>
          <t>Y</t>
        </is>
      </c>
      <c r="I39" s="17" t="inlineStr"/>
      <c r="J39" s="24" t="n">
        <v>46778</v>
      </c>
      <c r="K39" s="17" t="inlineStr"/>
      <c r="L39" s="17" t="inlineStr"/>
      <c r="M39" s="17" t="inlineStr"/>
      <c r="N39" s="23" t="inlineStr"/>
      <c r="O39" s="17" t="inlineStr"/>
      <c r="P39" s="17" t="inlineStr"/>
      <c r="Q39" s="17" t="inlineStr">
        <is>
          <t>황재간</t>
        </is>
      </c>
      <c r="R39" s="17" t="inlineStr"/>
      <c r="S39" s="17" t="inlineStr"/>
      <c r="T39" s="17" t="inlineStr">
        <is>
          <t>043-644-8457</t>
        </is>
      </c>
      <c r="U39" s="17" t="inlineStr">
        <is>
          <t>제조소상세</t>
        </is>
      </c>
      <c r="V39" s="22" t="inlineStr">
        <is>
          <t>미확인</t>
        </is>
      </c>
      <c r="W39" s="22" t="inlineStr">
        <is>
          <t>미확인</t>
        </is>
      </c>
      <c r="X39" s="22" t="inlineStr">
        <is>
          <t>미확인</t>
        </is>
      </c>
      <c r="Y39" s="22" t="inlineStr">
        <is>
          <t>미확인</t>
        </is>
      </c>
      <c r="Z39" s="22" t="inlineStr">
        <is>
          <t>미확인</t>
        </is>
      </c>
      <c r="AA39" s="22" t="inlineStr">
        <is>
          <t>미확인</t>
        </is>
      </c>
      <c r="AB39" s="22" t="inlineStr">
        <is>
          <t>미확인</t>
        </is>
      </c>
      <c r="AC39" s="22" t="inlineStr">
        <is>
          <t>미확인</t>
        </is>
      </c>
      <c r="AD39" s="22" t="inlineStr">
        <is>
          <t>미확인</t>
        </is>
      </c>
      <c r="AE39" s="22" t="inlineStr">
        <is>
          <t>미확인</t>
        </is>
      </c>
      <c r="AF39" s="22" t="inlineStr">
        <is>
          <t>미확인</t>
        </is>
      </c>
      <c r="AG39" s="22" t="inlineStr">
        <is>
          <t>미확인</t>
        </is>
      </c>
      <c r="AH39" s="22" t="inlineStr">
        <is>
          <t>미확인</t>
        </is>
      </c>
      <c r="AI39" s="22" t="inlineStr">
        <is>
          <t>미확인</t>
        </is>
      </c>
      <c r="AJ39" s="22" t="inlineStr">
        <is>
          <t>미확인</t>
        </is>
      </c>
      <c r="AK39" s="22" t="inlineStr">
        <is>
          <t>미확인</t>
        </is>
      </c>
      <c r="AL39" s="22" t="inlineStr">
        <is>
          <t>미확인</t>
        </is>
      </c>
      <c r="AM39" s="22" t="inlineStr">
        <is>
          <t>미확인</t>
        </is>
      </c>
      <c r="AN39" s="22" t="inlineStr">
        <is>
          <t>미확인</t>
        </is>
      </c>
      <c r="AO39" s="17" t="inlineStr">
        <is>
          <t>C(부분확인)</t>
        </is>
      </c>
      <c r="AP39" s="17" t="inlineStr">
        <is>
          <t>Y</t>
        </is>
      </c>
      <c r="AQ39" s="17" t="n">
        <v>20</v>
      </c>
      <c r="AR39" s="28" t="inlineStr">
        <is>
          <t>Tier D</t>
        </is>
      </c>
      <c r="AS39" s="17" t="inlineStr">
        <is>
          <t>통합형</t>
        </is>
      </c>
      <c r="AT39" s="17" t="inlineStr">
        <is>
          <t>다중 제조소/다수 판정서로 문서관리 복잡; 무균/바이오 제조로 품질관리 난도 높음</t>
        </is>
      </c>
      <c r="AU39" s="17" t="inlineStr">
        <is>
          <t>담당자 파악 후 접촉</t>
        </is>
      </c>
      <c r="AV39" s="17" t="inlineStr">
        <is>
          <t>GMP적합판정+KRX</t>
        </is>
      </c>
      <c r="AW39" s="17" t="inlineStr">
        <is>
          <t>2026-07-05</t>
        </is>
      </c>
    </row>
    <row r="40">
      <c r="A40" s="17" t="inlineStr">
        <is>
          <t>C039</t>
        </is>
      </c>
      <c r="B40" s="17" t="inlineStr">
        <is>
          <t>선도산업</t>
        </is>
      </c>
      <c r="C40" s="17" t="inlineStr">
        <is>
          <t>선도산업(주)</t>
        </is>
      </c>
      <c r="D40" s="17" t="n">
        <v>1</v>
      </c>
      <c r="E40" s="17" t="n">
        <v>1</v>
      </c>
      <c r="F40" s="17" t="inlineStr">
        <is>
          <t>Y</t>
        </is>
      </c>
      <c r="G40" s="17" t="inlineStr"/>
      <c r="H40" s="17" t="inlineStr"/>
      <c r="I40" s="17" t="inlineStr"/>
      <c r="J40" s="24" t="n">
        <v>47241</v>
      </c>
      <c r="K40" s="17" t="inlineStr"/>
      <c r="L40" s="17" t="inlineStr"/>
      <c r="M40" s="17" t="inlineStr"/>
      <c r="N40" s="23" t="inlineStr"/>
      <c r="O40" s="17" t="inlineStr"/>
      <c r="P40" s="17" t="inlineStr"/>
      <c r="Q40" s="17" t="inlineStr">
        <is>
          <t>이성철</t>
        </is>
      </c>
      <c r="R40" s="17" t="inlineStr"/>
      <c r="S40" s="17" t="inlineStr"/>
      <c r="T40" s="17" t="inlineStr">
        <is>
          <t>미확인</t>
        </is>
      </c>
      <c r="U40" s="17" t="inlineStr">
        <is>
          <t>미확인</t>
        </is>
      </c>
      <c r="V40" s="22" t="inlineStr">
        <is>
          <t>미확인</t>
        </is>
      </c>
      <c r="W40" s="22" t="inlineStr">
        <is>
          <t>미확인</t>
        </is>
      </c>
      <c r="X40" s="22" t="inlineStr">
        <is>
          <t>미확인</t>
        </is>
      </c>
      <c r="Y40" s="22" t="inlineStr">
        <is>
          <t>미확인</t>
        </is>
      </c>
      <c r="Z40" s="22" t="inlineStr">
        <is>
          <t>미확인</t>
        </is>
      </c>
      <c r="AA40" s="22" t="inlineStr">
        <is>
          <t>미확인</t>
        </is>
      </c>
      <c r="AB40" s="22" t="inlineStr">
        <is>
          <t>미확인</t>
        </is>
      </c>
      <c r="AC40" s="22" t="inlineStr">
        <is>
          <t>미확인</t>
        </is>
      </c>
      <c r="AD40" s="22" t="inlineStr">
        <is>
          <t>미확인</t>
        </is>
      </c>
      <c r="AE40" s="22" t="inlineStr">
        <is>
          <t>미확인</t>
        </is>
      </c>
      <c r="AF40" s="22" t="inlineStr">
        <is>
          <t>미확인</t>
        </is>
      </c>
      <c r="AG40" s="22" t="inlineStr">
        <is>
          <t>미확인</t>
        </is>
      </c>
      <c r="AH40" s="22" t="inlineStr">
        <is>
          <t>미확인</t>
        </is>
      </c>
      <c r="AI40" s="22" t="inlineStr">
        <is>
          <t>미확인</t>
        </is>
      </c>
      <c r="AJ40" s="22" t="inlineStr">
        <is>
          <t>미확인</t>
        </is>
      </c>
      <c r="AK40" s="22" t="inlineStr">
        <is>
          <t>미확인</t>
        </is>
      </c>
      <c r="AL40" s="22" t="inlineStr">
        <is>
          <t>미확인</t>
        </is>
      </c>
      <c r="AM40" s="22" t="inlineStr">
        <is>
          <t>미확인</t>
        </is>
      </c>
      <c r="AN40" s="22" t="inlineStr">
        <is>
          <t>미확인</t>
        </is>
      </c>
      <c r="AO40" s="17" t="inlineStr">
        <is>
          <t>C(부분확인)</t>
        </is>
      </c>
      <c r="AP40" s="17" t="inlineStr">
        <is>
          <t>Y</t>
        </is>
      </c>
      <c r="AQ40" s="17" t="n">
        <v>4</v>
      </c>
      <c r="AR40" s="28" t="inlineStr">
        <is>
          <t>Tier D</t>
        </is>
      </c>
      <c r="AS40" s="17" t="inlineStr">
        <is>
          <t>EDMS</t>
        </is>
      </c>
      <c r="AT40" s="17" t="inlineStr">
        <is>
          <t>기본 문서관리 수요</t>
        </is>
      </c>
      <c r="AU40" s="17" t="inlineStr">
        <is>
          <t>담당자 파악 후 접촉</t>
        </is>
      </c>
      <c r="AV40" s="17" t="inlineStr">
        <is>
          <t>GMP적합판정+KRX</t>
        </is>
      </c>
      <c r="AW40" s="17" t="inlineStr">
        <is>
          <t>2026-07-05</t>
        </is>
      </c>
    </row>
    <row r="41">
      <c r="A41" s="17" t="inlineStr">
        <is>
          <t>C040</t>
        </is>
      </c>
      <c r="B41" s="17" t="inlineStr">
        <is>
          <t>엘앤씨바이오</t>
        </is>
      </c>
      <c r="C41" s="17" t="inlineStr">
        <is>
          <t>(주)엘앤씨바이오</t>
        </is>
      </c>
      <c r="D41" s="17" t="n">
        <v>1</v>
      </c>
      <c r="E41" s="17" t="n">
        <v>1</v>
      </c>
      <c r="F41" s="17" t="inlineStr">
        <is>
          <t>Y</t>
        </is>
      </c>
      <c r="G41" s="17" t="inlineStr"/>
      <c r="H41" s="17" t="inlineStr"/>
      <c r="I41" s="17" t="inlineStr"/>
      <c r="J41" s="24" t="n">
        <v>47233</v>
      </c>
      <c r="K41" s="17" t="inlineStr"/>
      <c r="L41" s="17" t="inlineStr">
        <is>
          <t>Y</t>
        </is>
      </c>
      <c r="M41" s="17" t="inlineStr">
        <is>
          <t>코스닥</t>
        </is>
      </c>
      <c r="N41" s="23" t="inlineStr">
        <is>
          <t>290650</t>
        </is>
      </c>
      <c r="O41" s="17" t="inlineStr">
        <is>
          <t>의약품 제조업</t>
        </is>
      </c>
      <c r="P41" s="17" t="inlineStr">
        <is>
          <t>인체조직(피부, 뼈, 연골)</t>
        </is>
      </c>
      <c r="Q41" s="17" t="inlineStr">
        <is>
          <t>이환철, 이재호 (각자 대표이사)</t>
        </is>
      </c>
      <c r="R41" s="17" t="inlineStr">
        <is>
          <t>http://www.lncbio.co.kr</t>
        </is>
      </c>
      <c r="S41" s="17" t="inlineStr">
        <is>
          <t>경기도</t>
        </is>
      </c>
      <c r="T41" s="17" t="inlineStr">
        <is>
          <t>070-7720-0540</t>
        </is>
      </c>
      <c r="U41" s="17" t="inlineStr">
        <is>
          <t>제조소상세</t>
        </is>
      </c>
      <c r="V41" s="22" t="inlineStr">
        <is>
          <t>미확인</t>
        </is>
      </c>
      <c r="W41" s="22" t="inlineStr">
        <is>
          <t>미확인</t>
        </is>
      </c>
      <c r="X41" s="22" t="inlineStr">
        <is>
          <t>미확인</t>
        </is>
      </c>
      <c r="Y41" s="22" t="inlineStr">
        <is>
          <t>미확인</t>
        </is>
      </c>
      <c r="Z41" s="22" t="inlineStr">
        <is>
          <t>미확인</t>
        </is>
      </c>
      <c r="AA41" s="22" t="inlineStr">
        <is>
          <t>미확인</t>
        </is>
      </c>
      <c r="AB41" s="22" t="inlineStr">
        <is>
          <t>미확인</t>
        </is>
      </c>
      <c r="AC41" s="22" t="inlineStr">
        <is>
          <t>미확인</t>
        </is>
      </c>
      <c r="AD41" s="22" t="inlineStr">
        <is>
          <t>미확인</t>
        </is>
      </c>
      <c r="AE41" s="22" t="inlineStr">
        <is>
          <t>미확인</t>
        </is>
      </c>
      <c r="AF41" s="22" t="inlineStr">
        <is>
          <t>미확인</t>
        </is>
      </c>
      <c r="AG41" s="22" t="inlineStr">
        <is>
          <t>미확인</t>
        </is>
      </c>
      <c r="AH41" s="22" t="inlineStr">
        <is>
          <t>미확인</t>
        </is>
      </c>
      <c r="AI41" s="22" t="inlineStr">
        <is>
          <t>미확인</t>
        </is>
      </c>
      <c r="AJ41" s="22" t="inlineStr">
        <is>
          <t>미확인</t>
        </is>
      </c>
      <c r="AK41" s="22" t="inlineStr">
        <is>
          <t>미확인</t>
        </is>
      </c>
      <c r="AL41" s="22" t="inlineStr">
        <is>
          <t>미확인</t>
        </is>
      </c>
      <c r="AM41" s="22" t="inlineStr">
        <is>
          <t>미확인</t>
        </is>
      </c>
      <c r="AN41" s="22" t="inlineStr">
        <is>
          <t>미확인</t>
        </is>
      </c>
      <c r="AO41" s="17" t="inlineStr">
        <is>
          <t>C(부분확인)</t>
        </is>
      </c>
      <c r="AP41" s="17" t="inlineStr">
        <is>
          <t>Y</t>
        </is>
      </c>
      <c r="AQ41" s="17" t="n">
        <v>7</v>
      </c>
      <c r="AR41" s="28" t="inlineStr">
        <is>
          <t>Tier D</t>
        </is>
      </c>
      <c r="AS41" s="17" t="inlineStr">
        <is>
          <t>EDMS</t>
        </is>
      </c>
      <c r="AT41" s="17" t="inlineStr">
        <is>
          <t>기본 문서관리 수요</t>
        </is>
      </c>
      <c r="AU41" s="17" t="inlineStr">
        <is>
          <t>담당자 파악 후 접촉</t>
        </is>
      </c>
      <c r="AV41" s="17" t="inlineStr">
        <is>
          <t>GMP적합판정+KRX</t>
        </is>
      </c>
      <c r="AW41" s="17" t="inlineStr">
        <is>
          <t>2026-07-05</t>
        </is>
      </c>
    </row>
    <row r="42">
      <c r="A42" s="17" t="inlineStr">
        <is>
          <t>C041</t>
        </is>
      </c>
      <c r="B42" s="17" t="inlineStr">
        <is>
          <t>퓨쳐켐</t>
        </is>
      </c>
      <c r="C42" s="17" t="inlineStr">
        <is>
          <t>(주)퓨쳐켐</t>
        </is>
      </c>
      <c r="D42" s="17" t="n">
        <v>3</v>
      </c>
      <c r="E42" s="17" t="n">
        <v>3</v>
      </c>
      <c r="F42" s="17" t="inlineStr">
        <is>
          <t>Y</t>
        </is>
      </c>
      <c r="G42" s="17" t="inlineStr">
        <is>
          <t>Y</t>
        </is>
      </c>
      <c r="H42" s="17" t="inlineStr">
        <is>
          <t>Y</t>
        </is>
      </c>
      <c r="I42" s="17" t="inlineStr"/>
      <c r="J42" s="24" t="n">
        <v>47074</v>
      </c>
      <c r="K42" s="17" t="inlineStr"/>
      <c r="L42" s="17" t="inlineStr">
        <is>
          <t>Y</t>
        </is>
      </c>
      <c r="M42" s="17" t="inlineStr">
        <is>
          <t>코스닥</t>
        </is>
      </c>
      <c r="N42" s="23" t="inlineStr">
        <is>
          <t>220100</t>
        </is>
      </c>
      <c r="O42" s="17" t="inlineStr">
        <is>
          <t>의약품 제조업</t>
        </is>
      </c>
      <c r="P42" s="17" t="inlineStr">
        <is>
          <t>PET 방사성의약품, 자동합성장치, 합성시약 및 전구체</t>
        </is>
      </c>
      <c r="Q42" s="17" t="inlineStr">
        <is>
          <t>지대윤</t>
        </is>
      </c>
      <c r="R42" s="17" t="inlineStr"/>
      <c r="S42" s="17" t="inlineStr">
        <is>
          <t>서울특별시</t>
        </is>
      </c>
      <c r="T42" s="17" t="inlineStr">
        <is>
          <t>02-2038-2311</t>
        </is>
      </c>
      <c r="U42" s="17" t="inlineStr">
        <is>
          <t>제조소상세</t>
        </is>
      </c>
      <c r="V42" s="22" t="inlineStr">
        <is>
          <t>미확인</t>
        </is>
      </c>
      <c r="W42" s="22" t="inlineStr">
        <is>
          <t>미확인</t>
        </is>
      </c>
      <c r="X42" s="22" t="inlineStr">
        <is>
          <t>미확인</t>
        </is>
      </c>
      <c r="Y42" s="22" t="inlineStr">
        <is>
          <t>미확인</t>
        </is>
      </c>
      <c r="Z42" s="22" t="inlineStr">
        <is>
          <t>미확인</t>
        </is>
      </c>
      <c r="AA42" s="22" t="inlineStr">
        <is>
          <t>미확인</t>
        </is>
      </c>
      <c r="AB42" s="22" t="inlineStr">
        <is>
          <t>미확인</t>
        </is>
      </c>
      <c r="AC42" s="22" t="inlineStr">
        <is>
          <t>미확인</t>
        </is>
      </c>
      <c r="AD42" s="22" t="inlineStr">
        <is>
          <t>미확인</t>
        </is>
      </c>
      <c r="AE42" s="22" t="inlineStr">
        <is>
          <t>미확인</t>
        </is>
      </c>
      <c r="AF42" s="22" t="inlineStr">
        <is>
          <t>미확인</t>
        </is>
      </c>
      <c r="AG42" s="22" t="inlineStr">
        <is>
          <t>미확인</t>
        </is>
      </c>
      <c r="AH42" s="22" t="inlineStr">
        <is>
          <t>미확인</t>
        </is>
      </c>
      <c r="AI42" s="22" t="inlineStr">
        <is>
          <t>미확인</t>
        </is>
      </c>
      <c r="AJ42" s="22" t="inlineStr">
        <is>
          <t>미확인</t>
        </is>
      </c>
      <c r="AK42" s="22" t="inlineStr">
        <is>
          <t>미확인</t>
        </is>
      </c>
      <c r="AL42" s="22" t="inlineStr">
        <is>
          <t>미확인</t>
        </is>
      </c>
      <c r="AM42" s="22" t="inlineStr">
        <is>
          <t>미확인</t>
        </is>
      </c>
      <c r="AN42" s="22" t="inlineStr">
        <is>
          <t>미확인</t>
        </is>
      </c>
      <c r="AO42" s="17" t="inlineStr">
        <is>
          <t>C(부분확인)</t>
        </is>
      </c>
      <c r="AP42" s="17" t="inlineStr">
        <is>
          <t>Y</t>
        </is>
      </c>
      <c r="AQ42" s="17" t="n">
        <v>20</v>
      </c>
      <c r="AR42" s="28" t="inlineStr">
        <is>
          <t>Tier D</t>
        </is>
      </c>
      <c r="AS42" s="17" t="inlineStr">
        <is>
          <t>통합형</t>
        </is>
      </c>
      <c r="AT42" s="17" t="inlineStr">
        <is>
          <t>다중 제조소/다수 판정서로 문서관리 복잡; 무균/바이오 제조로 품질관리 난도 높음</t>
        </is>
      </c>
      <c r="AU42" s="17" t="inlineStr">
        <is>
          <t>담당자 파악 후 접촉</t>
        </is>
      </c>
      <c r="AV42" s="17" t="inlineStr">
        <is>
          <t>GMP적합판정+KRX</t>
        </is>
      </c>
      <c r="AW42" s="17" t="inlineStr">
        <is>
          <t>2026-07-05</t>
        </is>
      </c>
    </row>
    <row r="43">
      <c r="A43" s="17" t="inlineStr">
        <is>
          <t>C042</t>
        </is>
      </c>
      <c r="B43" s="17" t="inlineStr">
        <is>
          <t>동성제약</t>
        </is>
      </c>
      <c r="C43" s="17" t="inlineStr">
        <is>
          <t>동성제약(주)</t>
        </is>
      </c>
      <c r="D43" s="17" t="n">
        <v>1</v>
      </c>
      <c r="E43" s="17" t="n">
        <v>1</v>
      </c>
      <c r="F43" s="17" t="inlineStr">
        <is>
          <t>Y</t>
        </is>
      </c>
      <c r="G43" s="17" t="inlineStr"/>
      <c r="H43" s="17" t="inlineStr"/>
      <c r="I43" s="17" t="inlineStr"/>
      <c r="J43" s="24" t="n">
        <v>47228</v>
      </c>
      <c r="K43" s="17" t="inlineStr"/>
      <c r="L43" s="17" t="inlineStr">
        <is>
          <t>Y</t>
        </is>
      </c>
      <c r="M43" s="17" t="inlineStr">
        <is>
          <t>유가</t>
        </is>
      </c>
      <c r="N43" s="23" t="inlineStr">
        <is>
          <t>002210</t>
        </is>
      </c>
      <c r="O43" s="17" t="inlineStr">
        <is>
          <t>의약품 제조업</t>
        </is>
      </c>
      <c r="P43" s="17" t="inlineStr">
        <is>
          <t>의약품,화장품 제조,도매</t>
        </is>
      </c>
      <c r="Q43" s="17" t="inlineStr">
        <is>
          <t>최용석</t>
        </is>
      </c>
      <c r="R43" s="17" t="inlineStr">
        <is>
          <t>http://dongsung-pharm.co.kr</t>
        </is>
      </c>
      <c r="S43" s="17" t="inlineStr">
        <is>
          <t>서울특별시</t>
        </is>
      </c>
      <c r="T43" s="17" t="inlineStr">
        <is>
          <t>041-420-5430</t>
        </is>
      </c>
      <c r="U43" s="17" t="inlineStr">
        <is>
          <t>제조소상세</t>
        </is>
      </c>
      <c r="V43" s="22" t="inlineStr">
        <is>
          <t>미확인</t>
        </is>
      </c>
      <c r="W43" s="22" t="inlineStr">
        <is>
          <t>미확인</t>
        </is>
      </c>
      <c r="X43" s="22" t="inlineStr">
        <is>
          <t>미확인</t>
        </is>
      </c>
      <c r="Y43" s="22" t="inlineStr">
        <is>
          <t>미확인</t>
        </is>
      </c>
      <c r="Z43" s="22" t="inlineStr">
        <is>
          <t>미확인</t>
        </is>
      </c>
      <c r="AA43" s="22" t="inlineStr">
        <is>
          <t>미확인</t>
        </is>
      </c>
      <c r="AB43" s="22" t="inlineStr">
        <is>
          <t>미확인</t>
        </is>
      </c>
      <c r="AC43" s="22" t="inlineStr">
        <is>
          <t>미확인</t>
        </is>
      </c>
      <c r="AD43" s="22" t="inlineStr">
        <is>
          <t>미확인</t>
        </is>
      </c>
      <c r="AE43" s="22" t="inlineStr">
        <is>
          <t>미확인</t>
        </is>
      </c>
      <c r="AF43" s="22" t="inlineStr">
        <is>
          <t>미확인</t>
        </is>
      </c>
      <c r="AG43" s="22" t="inlineStr">
        <is>
          <t>미확인</t>
        </is>
      </c>
      <c r="AH43" s="22" t="inlineStr">
        <is>
          <t>미확인</t>
        </is>
      </c>
      <c r="AI43" s="22" t="inlineStr">
        <is>
          <t>미확인</t>
        </is>
      </c>
      <c r="AJ43" s="22" t="inlineStr">
        <is>
          <t>미확인</t>
        </is>
      </c>
      <c r="AK43" s="22" t="inlineStr">
        <is>
          <t>미확인</t>
        </is>
      </c>
      <c r="AL43" s="22" t="inlineStr">
        <is>
          <t>미확인</t>
        </is>
      </c>
      <c r="AM43" s="22" t="inlineStr">
        <is>
          <t>미확인</t>
        </is>
      </c>
      <c r="AN43" s="22" t="inlineStr">
        <is>
          <t>미확인</t>
        </is>
      </c>
      <c r="AO43" s="17" t="inlineStr">
        <is>
          <t>C(부분확인)</t>
        </is>
      </c>
      <c r="AP43" s="17" t="inlineStr">
        <is>
          <t>Y</t>
        </is>
      </c>
      <c r="AQ43" s="17" t="n">
        <v>7</v>
      </c>
      <c r="AR43" s="28" t="inlineStr">
        <is>
          <t>Tier D</t>
        </is>
      </c>
      <c r="AS43" s="17" t="inlineStr">
        <is>
          <t>EDMS</t>
        </is>
      </c>
      <c r="AT43" s="17" t="inlineStr">
        <is>
          <t>기본 문서관리 수요</t>
        </is>
      </c>
      <c r="AU43" s="17" t="inlineStr">
        <is>
          <t>담당자 파악 후 접촉</t>
        </is>
      </c>
      <c r="AV43" s="17" t="inlineStr">
        <is>
          <t>GMP적합판정+KRX</t>
        </is>
      </c>
      <c r="AW43" s="17" t="inlineStr">
        <is>
          <t>2026-07-05</t>
        </is>
      </c>
    </row>
    <row r="44">
      <c r="A44" s="17" t="inlineStr">
        <is>
          <t>C043</t>
        </is>
      </c>
      <c r="B44" s="17" t="inlineStr">
        <is>
          <t>대한약품공업</t>
        </is>
      </c>
      <c r="C44" s="17" t="inlineStr">
        <is>
          <t>대한약품공업(주)</t>
        </is>
      </c>
      <c r="D44" s="17" t="n">
        <v>1</v>
      </c>
      <c r="E44" s="17" t="n">
        <v>1</v>
      </c>
      <c r="F44" s="17" t="inlineStr">
        <is>
          <t>Y</t>
        </is>
      </c>
      <c r="G44" s="17" t="inlineStr"/>
      <c r="H44" s="17" t="inlineStr">
        <is>
          <t>Y</t>
        </is>
      </c>
      <c r="I44" s="17" t="inlineStr"/>
      <c r="J44" s="24" t="n">
        <v>47228</v>
      </c>
      <c r="K44" s="17" t="inlineStr"/>
      <c r="L44" s="17" t="inlineStr"/>
      <c r="M44" s="17" t="inlineStr"/>
      <c r="N44" s="23" t="inlineStr"/>
      <c r="O44" s="17" t="inlineStr"/>
      <c r="P44" s="17" t="inlineStr"/>
      <c r="Q44" s="17" t="inlineStr">
        <is>
          <t>이승영</t>
        </is>
      </c>
      <c r="R44" s="17" t="inlineStr"/>
      <c r="S44" s="17" t="inlineStr"/>
      <c r="T44" s="17" t="inlineStr">
        <is>
          <t>미확인</t>
        </is>
      </c>
      <c r="U44" s="17" t="inlineStr">
        <is>
          <t>미확인</t>
        </is>
      </c>
      <c r="V44" s="22" t="inlineStr">
        <is>
          <t>미확인</t>
        </is>
      </c>
      <c r="W44" s="22" t="inlineStr">
        <is>
          <t>미확인</t>
        </is>
      </c>
      <c r="X44" s="22" t="inlineStr">
        <is>
          <t>미확인</t>
        </is>
      </c>
      <c r="Y44" s="22" t="inlineStr">
        <is>
          <t>미확인</t>
        </is>
      </c>
      <c r="Z44" s="22" t="inlineStr">
        <is>
          <t>미확인</t>
        </is>
      </c>
      <c r="AA44" s="22" t="inlineStr">
        <is>
          <t>미확인</t>
        </is>
      </c>
      <c r="AB44" s="22" t="inlineStr">
        <is>
          <t>미확인</t>
        </is>
      </c>
      <c r="AC44" s="22" t="inlineStr">
        <is>
          <t>미확인</t>
        </is>
      </c>
      <c r="AD44" s="22" t="inlineStr">
        <is>
          <t>미확인</t>
        </is>
      </c>
      <c r="AE44" s="22" t="inlineStr">
        <is>
          <t>미확인</t>
        </is>
      </c>
      <c r="AF44" s="22" t="inlineStr">
        <is>
          <t>미확인</t>
        </is>
      </c>
      <c r="AG44" s="22" t="inlineStr">
        <is>
          <t>미확인</t>
        </is>
      </c>
      <c r="AH44" s="22" t="inlineStr">
        <is>
          <t>미확인</t>
        </is>
      </c>
      <c r="AI44" s="22" t="inlineStr">
        <is>
          <t>미확인</t>
        </is>
      </c>
      <c r="AJ44" s="22" t="inlineStr">
        <is>
          <t>미확인</t>
        </is>
      </c>
      <c r="AK44" s="22" t="inlineStr">
        <is>
          <t>미확인</t>
        </is>
      </c>
      <c r="AL44" s="22" t="inlineStr">
        <is>
          <t>미확인</t>
        </is>
      </c>
      <c r="AM44" s="22" t="inlineStr">
        <is>
          <t>미확인</t>
        </is>
      </c>
      <c r="AN44" s="22" t="inlineStr">
        <is>
          <t>미확인</t>
        </is>
      </c>
      <c r="AO44" s="17" t="inlineStr">
        <is>
          <t>C(부분확인)</t>
        </is>
      </c>
      <c r="AP44" s="17" t="inlineStr">
        <is>
          <t>Y</t>
        </is>
      </c>
      <c r="AQ44" s="17" t="n">
        <v>12</v>
      </c>
      <c r="AR44" s="28" t="inlineStr">
        <is>
          <t>Tier D</t>
        </is>
      </c>
      <c r="AS44" s="17" t="inlineStr">
        <is>
          <t>QMS+LIMS</t>
        </is>
      </c>
      <c r="AT44" s="17" t="inlineStr">
        <is>
          <t>무균/바이오 제조로 품질관리 난도 높음</t>
        </is>
      </c>
      <c r="AU44" s="17" t="inlineStr">
        <is>
          <t>담당자 파악 후 접촉</t>
        </is>
      </c>
      <c r="AV44" s="17" t="inlineStr">
        <is>
          <t>GMP적합판정+KRX</t>
        </is>
      </c>
      <c r="AW44" s="17" t="inlineStr">
        <is>
          <t>2026-07-05</t>
        </is>
      </c>
    </row>
    <row r="45">
      <c r="A45" s="17" t="inlineStr">
        <is>
          <t>C044</t>
        </is>
      </c>
      <c r="B45" s="17" t="inlineStr">
        <is>
          <t>대우제약</t>
        </is>
      </c>
      <c r="C45" s="17" t="inlineStr">
        <is>
          <t>대우제약(주)</t>
        </is>
      </c>
      <c r="D45" s="17" t="n">
        <v>1</v>
      </c>
      <c r="E45" s="17" t="n">
        <v>1</v>
      </c>
      <c r="F45" s="17" t="inlineStr">
        <is>
          <t>Y</t>
        </is>
      </c>
      <c r="G45" s="17" t="inlineStr"/>
      <c r="H45" s="17" t="inlineStr"/>
      <c r="I45" s="17" t="inlineStr"/>
      <c r="J45" s="24" t="n">
        <v>47224</v>
      </c>
      <c r="K45" s="17" t="inlineStr"/>
      <c r="L45" s="17" t="inlineStr"/>
      <c r="M45" s="17" t="inlineStr"/>
      <c r="N45" s="23" t="inlineStr"/>
      <c r="O45" s="17" t="inlineStr"/>
      <c r="P45" s="17" t="inlineStr"/>
      <c r="Q45" s="17" t="inlineStr">
        <is>
          <t>지용훈</t>
        </is>
      </c>
      <c r="R45" s="17" t="inlineStr"/>
      <c r="S45" s="17" t="inlineStr"/>
      <c r="T45" s="17" t="inlineStr">
        <is>
          <t>051-2043-8314</t>
        </is>
      </c>
      <c r="U45" s="17" t="inlineStr">
        <is>
          <t>제조소상세</t>
        </is>
      </c>
      <c r="V45" s="22" t="inlineStr">
        <is>
          <t>미확인</t>
        </is>
      </c>
      <c r="W45" s="22" t="inlineStr">
        <is>
          <t>미확인</t>
        </is>
      </c>
      <c r="X45" s="22" t="inlineStr">
        <is>
          <t>미확인</t>
        </is>
      </c>
      <c r="Y45" s="22" t="inlineStr">
        <is>
          <t>미확인</t>
        </is>
      </c>
      <c r="Z45" s="22" t="inlineStr">
        <is>
          <t>미확인</t>
        </is>
      </c>
      <c r="AA45" s="22" t="inlineStr">
        <is>
          <t>미확인</t>
        </is>
      </c>
      <c r="AB45" s="22" t="inlineStr">
        <is>
          <t>미확인</t>
        </is>
      </c>
      <c r="AC45" s="22" t="inlineStr">
        <is>
          <t>미확인</t>
        </is>
      </c>
      <c r="AD45" s="22" t="inlineStr">
        <is>
          <t>미확인</t>
        </is>
      </c>
      <c r="AE45" s="22" t="inlineStr">
        <is>
          <t>미확인</t>
        </is>
      </c>
      <c r="AF45" s="22" t="inlineStr">
        <is>
          <t>미확인</t>
        </is>
      </c>
      <c r="AG45" s="22" t="inlineStr">
        <is>
          <t>미확인</t>
        </is>
      </c>
      <c r="AH45" s="22" t="inlineStr">
        <is>
          <t>미확인</t>
        </is>
      </c>
      <c r="AI45" s="22" t="inlineStr">
        <is>
          <t>미확인</t>
        </is>
      </c>
      <c r="AJ45" s="22" t="inlineStr">
        <is>
          <t>미확인</t>
        </is>
      </c>
      <c r="AK45" s="22" t="inlineStr">
        <is>
          <t>미확인</t>
        </is>
      </c>
      <c r="AL45" s="22" t="inlineStr">
        <is>
          <t>미확인</t>
        </is>
      </c>
      <c r="AM45" s="22" t="inlineStr">
        <is>
          <t>미확인</t>
        </is>
      </c>
      <c r="AN45" s="22" t="inlineStr">
        <is>
          <t>미확인</t>
        </is>
      </c>
      <c r="AO45" s="17" t="inlineStr">
        <is>
          <t>C(부분확인)</t>
        </is>
      </c>
      <c r="AP45" s="17" t="inlineStr">
        <is>
          <t>Y</t>
        </is>
      </c>
      <c r="AQ45" s="17" t="n">
        <v>4</v>
      </c>
      <c r="AR45" s="28" t="inlineStr">
        <is>
          <t>Tier D</t>
        </is>
      </c>
      <c r="AS45" s="17" t="inlineStr">
        <is>
          <t>EDMS</t>
        </is>
      </c>
      <c r="AT45" s="17" t="inlineStr">
        <is>
          <t>기본 문서관리 수요</t>
        </is>
      </c>
      <c r="AU45" s="17" t="inlineStr">
        <is>
          <t>담당자 파악 후 접촉</t>
        </is>
      </c>
      <c r="AV45" s="17" t="inlineStr">
        <is>
          <t>GMP적합판정+KRX</t>
        </is>
      </c>
      <c r="AW45" s="17" t="inlineStr">
        <is>
          <t>2026-07-05</t>
        </is>
      </c>
    </row>
    <row r="46">
      <c r="A46" s="17" t="inlineStr">
        <is>
          <t>C045</t>
        </is>
      </c>
      <c r="B46" s="17" t="inlineStr">
        <is>
          <t>삼성제약</t>
        </is>
      </c>
      <c r="C46" s="17" t="inlineStr">
        <is>
          <t>삼성제약(주)</t>
        </is>
      </c>
      <c r="D46" s="17" t="n">
        <v>1</v>
      </c>
      <c r="E46" s="17" t="n">
        <v>1</v>
      </c>
      <c r="F46" s="17" t="inlineStr">
        <is>
          <t>Y</t>
        </is>
      </c>
      <c r="G46" s="17" t="inlineStr"/>
      <c r="H46" s="17" t="inlineStr">
        <is>
          <t>Y</t>
        </is>
      </c>
      <c r="I46" s="17" t="inlineStr"/>
      <c r="J46" s="24" t="n">
        <v>47221</v>
      </c>
      <c r="K46" s="17" t="inlineStr"/>
      <c r="L46" s="17" t="inlineStr">
        <is>
          <t>Y</t>
        </is>
      </c>
      <c r="M46" s="17" t="inlineStr">
        <is>
          <t>유가</t>
        </is>
      </c>
      <c r="N46" s="23" t="inlineStr">
        <is>
          <t>001360</t>
        </is>
      </c>
      <c r="O46" s="17" t="inlineStr">
        <is>
          <t>의약품 제조업</t>
        </is>
      </c>
      <c r="P46" s="17" t="inlineStr">
        <is>
          <t>의약품(까스명수,쓸기담,에프킬라에어졸,액체우황청심원) 제조,도매</t>
        </is>
      </c>
      <c r="Q46" s="17" t="inlineStr">
        <is>
          <t>정성택 대표이사</t>
        </is>
      </c>
      <c r="R46" s="17" t="inlineStr">
        <is>
          <t>http://www.sspharm.co.kr</t>
        </is>
      </c>
      <c r="S46" s="17" t="inlineStr">
        <is>
          <t>경기도</t>
        </is>
      </c>
      <c r="T46" s="17" t="inlineStr">
        <is>
          <t>미확인</t>
        </is>
      </c>
      <c r="U46" s="17" t="inlineStr">
        <is>
          <t>미확인</t>
        </is>
      </c>
      <c r="V46" s="22" t="inlineStr">
        <is>
          <t>미확인</t>
        </is>
      </c>
      <c r="W46" s="22" t="inlineStr">
        <is>
          <t>미확인</t>
        </is>
      </c>
      <c r="X46" s="22" t="inlineStr">
        <is>
          <t>미확인</t>
        </is>
      </c>
      <c r="Y46" s="22" t="inlineStr">
        <is>
          <t>미확인</t>
        </is>
      </c>
      <c r="Z46" s="22" t="inlineStr">
        <is>
          <t>미확인</t>
        </is>
      </c>
      <c r="AA46" s="22" t="inlineStr">
        <is>
          <t>미확인</t>
        </is>
      </c>
      <c r="AB46" s="22" t="inlineStr">
        <is>
          <t>미확인</t>
        </is>
      </c>
      <c r="AC46" s="22" t="inlineStr">
        <is>
          <t>미확인</t>
        </is>
      </c>
      <c r="AD46" s="22" t="inlineStr">
        <is>
          <t>미확인</t>
        </is>
      </c>
      <c r="AE46" s="22" t="inlineStr">
        <is>
          <t>미확인</t>
        </is>
      </c>
      <c r="AF46" s="22" t="inlineStr">
        <is>
          <t>미확인</t>
        </is>
      </c>
      <c r="AG46" s="22" t="inlineStr">
        <is>
          <t>미확인</t>
        </is>
      </c>
      <c r="AH46" s="22" t="inlineStr">
        <is>
          <t>미확인</t>
        </is>
      </c>
      <c r="AI46" s="22" t="inlineStr">
        <is>
          <t>미확인</t>
        </is>
      </c>
      <c r="AJ46" s="22" t="inlineStr">
        <is>
          <t>미확인</t>
        </is>
      </c>
      <c r="AK46" s="22" t="inlineStr">
        <is>
          <t>미확인</t>
        </is>
      </c>
      <c r="AL46" s="22" t="inlineStr">
        <is>
          <t>미확인</t>
        </is>
      </c>
      <c r="AM46" s="22" t="inlineStr">
        <is>
          <t>미확인</t>
        </is>
      </c>
      <c r="AN46" s="22" t="inlineStr">
        <is>
          <t>미확인</t>
        </is>
      </c>
      <c r="AO46" s="17" t="inlineStr">
        <is>
          <t>C(부분확인)</t>
        </is>
      </c>
      <c r="AP46" s="17" t="inlineStr">
        <is>
          <t>Y</t>
        </is>
      </c>
      <c r="AQ46" s="17" t="n">
        <v>12</v>
      </c>
      <c r="AR46" s="28" t="inlineStr">
        <is>
          <t>Tier D</t>
        </is>
      </c>
      <c r="AS46" s="17" t="inlineStr">
        <is>
          <t>QMS+LIMS</t>
        </is>
      </c>
      <c r="AT46" s="17" t="inlineStr">
        <is>
          <t>무균/바이오 제조로 품질관리 난도 높음</t>
        </is>
      </c>
      <c r="AU46" s="17" t="inlineStr">
        <is>
          <t>담당자 파악 후 접촉</t>
        </is>
      </c>
      <c r="AV46" s="17" t="inlineStr">
        <is>
          <t>GMP적합판정+KRX</t>
        </is>
      </c>
      <c r="AW46" s="17" t="inlineStr">
        <is>
          <t>2026-07-05</t>
        </is>
      </c>
    </row>
    <row r="47">
      <c r="A47" s="17" t="inlineStr">
        <is>
          <t>C046</t>
        </is>
      </c>
      <c r="B47" s="17" t="inlineStr">
        <is>
          <t>티디에스팜</t>
        </is>
      </c>
      <c r="C47" s="17" t="inlineStr">
        <is>
          <t>(주)티디에스팜</t>
        </is>
      </c>
      <c r="D47" s="17" t="n">
        <v>1</v>
      </c>
      <c r="E47" s="17" t="n">
        <v>1</v>
      </c>
      <c r="F47" s="17" t="inlineStr">
        <is>
          <t>Y</t>
        </is>
      </c>
      <c r="G47" s="17" t="inlineStr"/>
      <c r="H47" s="17" t="inlineStr"/>
      <c r="I47" s="17" t="inlineStr"/>
      <c r="J47" s="24" t="n">
        <v>47221</v>
      </c>
      <c r="K47" s="17" t="inlineStr"/>
      <c r="L47" s="17" t="inlineStr">
        <is>
          <t>Y</t>
        </is>
      </c>
      <c r="M47" s="17" t="inlineStr">
        <is>
          <t>코스닥</t>
        </is>
      </c>
      <c r="N47" s="23" t="inlineStr">
        <is>
          <t>464280</t>
        </is>
      </c>
      <c r="O47" s="17" t="inlineStr">
        <is>
          <t>의약품 제조업</t>
        </is>
      </c>
      <c r="P47" s="17" t="inlineStr">
        <is>
          <t>경피약물전달시스템(습포제, 첩부제)</t>
        </is>
      </c>
      <c r="Q47" s="17" t="inlineStr">
        <is>
          <t>김철준</t>
        </is>
      </c>
      <c r="R47" s="17" t="inlineStr">
        <is>
          <t>http://www.tdspharm.com</t>
        </is>
      </c>
      <c r="S47" s="17" t="inlineStr">
        <is>
          <t>경기도</t>
        </is>
      </c>
      <c r="T47" s="17" t="inlineStr">
        <is>
          <t>031-8018-7340</t>
        </is>
      </c>
      <c r="U47" s="17" t="inlineStr">
        <is>
          <t>제조소상세</t>
        </is>
      </c>
      <c r="V47" s="22" t="inlineStr">
        <is>
          <t>미확인</t>
        </is>
      </c>
      <c r="W47" s="22" t="inlineStr">
        <is>
          <t>미확인</t>
        </is>
      </c>
      <c r="X47" s="22" t="inlineStr">
        <is>
          <t>미확인</t>
        </is>
      </c>
      <c r="Y47" s="22" t="inlineStr">
        <is>
          <t>미확인</t>
        </is>
      </c>
      <c r="Z47" s="22" t="inlineStr">
        <is>
          <t>미확인</t>
        </is>
      </c>
      <c r="AA47" s="22" t="inlineStr">
        <is>
          <t>미확인</t>
        </is>
      </c>
      <c r="AB47" s="22" t="inlineStr">
        <is>
          <t>미확인</t>
        </is>
      </c>
      <c r="AC47" s="22" t="inlineStr">
        <is>
          <t>미확인</t>
        </is>
      </c>
      <c r="AD47" s="22" t="inlineStr">
        <is>
          <t>미확인</t>
        </is>
      </c>
      <c r="AE47" s="22" t="inlineStr">
        <is>
          <t>미확인</t>
        </is>
      </c>
      <c r="AF47" s="22" t="inlineStr">
        <is>
          <t>미확인</t>
        </is>
      </c>
      <c r="AG47" s="22" t="inlineStr">
        <is>
          <t>미확인</t>
        </is>
      </c>
      <c r="AH47" s="22" t="inlineStr">
        <is>
          <t>미확인</t>
        </is>
      </c>
      <c r="AI47" s="22" t="inlineStr">
        <is>
          <t>미확인</t>
        </is>
      </c>
      <c r="AJ47" s="22" t="inlineStr">
        <is>
          <t>미확인</t>
        </is>
      </c>
      <c r="AK47" s="22" t="inlineStr">
        <is>
          <t>미확인</t>
        </is>
      </c>
      <c r="AL47" s="22" t="inlineStr">
        <is>
          <t>미확인</t>
        </is>
      </c>
      <c r="AM47" s="22" t="inlineStr">
        <is>
          <t>미확인</t>
        </is>
      </c>
      <c r="AN47" s="22" t="inlineStr">
        <is>
          <t>미확인</t>
        </is>
      </c>
      <c r="AO47" s="17" t="inlineStr">
        <is>
          <t>C(부분확인)</t>
        </is>
      </c>
      <c r="AP47" s="17" t="inlineStr">
        <is>
          <t>Y</t>
        </is>
      </c>
      <c r="AQ47" s="17" t="n">
        <v>7</v>
      </c>
      <c r="AR47" s="28" t="inlineStr">
        <is>
          <t>Tier D</t>
        </is>
      </c>
      <c r="AS47" s="17" t="inlineStr">
        <is>
          <t>EDMS</t>
        </is>
      </c>
      <c r="AT47" s="17" t="inlineStr">
        <is>
          <t>기본 문서관리 수요</t>
        </is>
      </c>
      <c r="AU47" s="17" t="inlineStr">
        <is>
          <t>담당자 파악 후 접촉</t>
        </is>
      </c>
      <c r="AV47" s="17" t="inlineStr">
        <is>
          <t>GMP적합판정+KRX</t>
        </is>
      </c>
      <c r="AW47" s="17" t="inlineStr">
        <is>
          <t>2026-07-05</t>
        </is>
      </c>
    </row>
    <row r="48">
      <c r="A48" s="17" t="inlineStr">
        <is>
          <t>C047</t>
        </is>
      </c>
      <c r="B48" s="17" t="inlineStr">
        <is>
          <t>제이투가스</t>
        </is>
      </c>
      <c r="C48" s="17" t="inlineStr">
        <is>
          <t>주식회사제이투가스</t>
        </is>
      </c>
      <c r="D48" s="17" t="n">
        <v>1</v>
      </c>
      <c r="E48" s="17" t="n">
        <v>1</v>
      </c>
      <c r="F48" s="17" t="inlineStr">
        <is>
          <t>Y</t>
        </is>
      </c>
      <c r="G48" s="17" t="inlineStr"/>
      <c r="H48" s="17" t="inlineStr"/>
      <c r="I48" s="17" t="inlineStr"/>
      <c r="J48" s="24" t="n">
        <v>47217</v>
      </c>
      <c r="K48" s="17" t="inlineStr"/>
      <c r="L48" s="17" t="inlineStr"/>
      <c r="M48" s="17" t="inlineStr"/>
      <c r="N48" s="23" t="inlineStr"/>
      <c r="O48" s="17" t="inlineStr"/>
      <c r="P48" s="17" t="inlineStr"/>
      <c r="Q48" s="17" t="inlineStr">
        <is>
          <t>정은화</t>
        </is>
      </c>
      <c r="R48" s="17" t="inlineStr"/>
      <c r="S48" s="17" t="inlineStr"/>
      <c r="T48" s="17" t="inlineStr">
        <is>
          <t>031-981-9942</t>
        </is>
      </c>
      <c r="U48" s="17" t="inlineStr">
        <is>
          <t>제조소상세</t>
        </is>
      </c>
      <c r="V48" s="22" t="inlineStr">
        <is>
          <t>미확인</t>
        </is>
      </c>
      <c r="W48" s="22" t="inlineStr">
        <is>
          <t>미확인</t>
        </is>
      </c>
      <c r="X48" s="22" t="inlineStr">
        <is>
          <t>미확인</t>
        </is>
      </c>
      <c r="Y48" s="22" t="inlineStr">
        <is>
          <t>미확인</t>
        </is>
      </c>
      <c r="Z48" s="22" t="inlineStr">
        <is>
          <t>미확인</t>
        </is>
      </c>
      <c r="AA48" s="22" t="inlineStr">
        <is>
          <t>미확인</t>
        </is>
      </c>
      <c r="AB48" s="22" t="inlineStr">
        <is>
          <t>미확인</t>
        </is>
      </c>
      <c r="AC48" s="22" t="inlineStr">
        <is>
          <t>미확인</t>
        </is>
      </c>
      <c r="AD48" s="22" t="inlineStr">
        <is>
          <t>미확인</t>
        </is>
      </c>
      <c r="AE48" s="22" t="inlineStr">
        <is>
          <t>미확인</t>
        </is>
      </c>
      <c r="AF48" s="22" t="inlineStr">
        <is>
          <t>미확인</t>
        </is>
      </c>
      <c r="AG48" s="22" t="inlineStr">
        <is>
          <t>미확인</t>
        </is>
      </c>
      <c r="AH48" s="22" t="inlineStr">
        <is>
          <t>미확인</t>
        </is>
      </c>
      <c r="AI48" s="22" t="inlineStr">
        <is>
          <t>미확인</t>
        </is>
      </c>
      <c r="AJ48" s="22" t="inlineStr">
        <is>
          <t>미확인</t>
        </is>
      </c>
      <c r="AK48" s="22" t="inlineStr">
        <is>
          <t>미확인</t>
        </is>
      </c>
      <c r="AL48" s="22" t="inlineStr">
        <is>
          <t>미확인</t>
        </is>
      </c>
      <c r="AM48" s="22" t="inlineStr">
        <is>
          <t>미확인</t>
        </is>
      </c>
      <c r="AN48" s="22" t="inlineStr">
        <is>
          <t>미확인</t>
        </is>
      </c>
      <c r="AO48" s="17" t="inlineStr">
        <is>
          <t>C(부분확인)</t>
        </is>
      </c>
      <c r="AP48" s="17" t="inlineStr">
        <is>
          <t>Y</t>
        </is>
      </c>
      <c r="AQ48" s="17" t="n">
        <v>4</v>
      </c>
      <c r="AR48" s="28" t="inlineStr">
        <is>
          <t>Tier D</t>
        </is>
      </c>
      <c r="AS48" s="17" t="inlineStr">
        <is>
          <t>EDMS</t>
        </is>
      </c>
      <c r="AT48" s="17" t="inlineStr">
        <is>
          <t>기본 문서관리 수요</t>
        </is>
      </c>
      <c r="AU48" s="17" t="inlineStr">
        <is>
          <t>담당자 파악 후 접촉</t>
        </is>
      </c>
      <c r="AV48" s="17" t="inlineStr">
        <is>
          <t>GMP적합판정+KRX</t>
        </is>
      </c>
      <c r="AW48" s="17" t="inlineStr">
        <is>
          <t>2026-07-05</t>
        </is>
      </c>
    </row>
    <row r="49">
      <c r="A49" s="17" t="inlineStr">
        <is>
          <t>C048</t>
        </is>
      </c>
      <c r="B49" s="17" t="inlineStr">
        <is>
          <t>휴비스트제약</t>
        </is>
      </c>
      <c r="C49" s="17" t="inlineStr">
        <is>
          <t>(주)휴비스트제약</t>
        </is>
      </c>
      <c r="D49" s="17" t="n">
        <v>1</v>
      </c>
      <c r="E49" s="17" t="n">
        <v>1</v>
      </c>
      <c r="F49" s="17" t="inlineStr">
        <is>
          <t>Y</t>
        </is>
      </c>
      <c r="G49" s="17" t="inlineStr"/>
      <c r="H49" s="17" t="inlineStr"/>
      <c r="I49" s="17" t="inlineStr"/>
      <c r="J49" s="24" t="n">
        <v>47214</v>
      </c>
      <c r="K49" s="17" t="inlineStr"/>
      <c r="L49" s="17" t="inlineStr"/>
      <c r="M49" s="17" t="inlineStr"/>
      <c r="N49" s="23" t="inlineStr"/>
      <c r="O49" s="17" t="inlineStr"/>
      <c r="P49" s="17" t="inlineStr"/>
      <c r="Q49" s="17" t="inlineStr">
        <is>
          <t>박광남</t>
        </is>
      </c>
      <c r="R49" s="17" t="inlineStr"/>
      <c r="S49" s="17" t="inlineStr"/>
      <c r="T49" s="17" t="inlineStr">
        <is>
          <t>042-933-7901</t>
        </is>
      </c>
      <c r="U49" s="17" t="inlineStr">
        <is>
          <t>제조소상세</t>
        </is>
      </c>
      <c r="V49" s="22" t="inlineStr">
        <is>
          <t>미확인</t>
        </is>
      </c>
      <c r="W49" s="22" t="inlineStr">
        <is>
          <t>미확인</t>
        </is>
      </c>
      <c r="X49" s="22" t="inlineStr">
        <is>
          <t>미확인</t>
        </is>
      </c>
      <c r="Y49" s="22" t="inlineStr">
        <is>
          <t>미확인</t>
        </is>
      </c>
      <c r="Z49" s="22" t="inlineStr">
        <is>
          <t>미확인</t>
        </is>
      </c>
      <c r="AA49" s="22" t="inlineStr">
        <is>
          <t>미확인</t>
        </is>
      </c>
      <c r="AB49" s="22" t="inlineStr">
        <is>
          <t>미확인</t>
        </is>
      </c>
      <c r="AC49" s="22" t="inlineStr">
        <is>
          <t>미확인</t>
        </is>
      </c>
      <c r="AD49" s="22" t="inlineStr">
        <is>
          <t>미확인</t>
        </is>
      </c>
      <c r="AE49" s="22" t="inlineStr">
        <is>
          <t>미확인</t>
        </is>
      </c>
      <c r="AF49" s="22" t="inlineStr">
        <is>
          <t>미확인</t>
        </is>
      </c>
      <c r="AG49" s="22" t="inlineStr">
        <is>
          <t>미확인</t>
        </is>
      </c>
      <c r="AH49" s="22" t="inlineStr">
        <is>
          <t>미확인</t>
        </is>
      </c>
      <c r="AI49" s="22" t="inlineStr">
        <is>
          <t>미확인</t>
        </is>
      </c>
      <c r="AJ49" s="22" t="inlineStr">
        <is>
          <t>미확인</t>
        </is>
      </c>
      <c r="AK49" s="22" t="inlineStr">
        <is>
          <t>미확인</t>
        </is>
      </c>
      <c r="AL49" s="22" t="inlineStr">
        <is>
          <t>미확인</t>
        </is>
      </c>
      <c r="AM49" s="22" t="inlineStr">
        <is>
          <t>미확인</t>
        </is>
      </c>
      <c r="AN49" s="22" t="inlineStr">
        <is>
          <t>미확인</t>
        </is>
      </c>
      <c r="AO49" s="17" t="inlineStr">
        <is>
          <t>C(부분확인)</t>
        </is>
      </c>
      <c r="AP49" s="17" t="inlineStr">
        <is>
          <t>Y</t>
        </is>
      </c>
      <c r="AQ49" s="17" t="n">
        <v>4</v>
      </c>
      <c r="AR49" s="28" t="inlineStr">
        <is>
          <t>Tier D</t>
        </is>
      </c>
      <c r="AS49" s="17" t="inlineStr">
        <is>
          <t>EDMS</t>
        </is>
      </c>
      <c r="AT49" s="17" t="inlineStr">
        <is>
          <t>기본 문서관리 수요</t>
        </is>
      </c>
      <c r="AU49" s="17" t="inlineStr">
        <is>
          <t>담당자 파악 후 접촉</t>
        </is>
      </c>
      <c r="AV49" s="17" t="inlineStr">
        <is>
          <t>GMP적합판정+KRX</t>
        </is>
      </c>
      <c r="AW49" s="17" t="inlineStr">
        <is>
          <t>2026-07-05</t>
        </is>
      </c>
    </row>
    <row r="50">
      <c r="A50" s="17" t="inlineStr">
        <is>
          <t>C049</t>
        </is>
      </c>
      <c r="B50" s="17" t="inlineStr">
        <is>
          <t>동아에스티</t>
        </is>
      </c>
      <c r="C50" s="17" t="inlineStr">
        <is>
          <t>동아에스티(주)</t>
        </is>
      </c>
      <c r="D50" s="17" t="n">
        <v>4</v>
      </c>
      <c r="E50" s="17" t="n">
        <v>3</v>
      </c>
      <c r="F50" s="17" t="inlineStr">
        <is>
          <t>Y</t>
        </is>
      </c>
      <c r="G50" s="17" t="inlineStr">
        <is>
          <t>Y</t>
        </is>
      </c>
      <c r="H50" s="17" t="inlineStr">
        <is>
          <t>Y</t>
        </is>
      </c>
      <c r="I50" s="17" t="inlineStr">
        <is>
          <t>Y</t>
        </is>
      </c>
      <c r="J50" s="24" t="n">
        <v>46481</v>
      </c>
      <c r="K50" s="17" t="inlineStr"/>
      <c r="L50" s="17" t="inlineStr">
        <is>
          <t>Y</t>
        </is>
      </c>
      <c r="M50" s="17" t="inlineStr">
        <is>
          <t>유가</t>
        </is>
      </c>
      <c r="N50" s="23" t="inlineStr">
        <is>
          <t>170900</t>
        </is>
      </c>
      <c r="O50" s="17" t="inlineStr">
        <is>
          <t>의약품 제조업</t>
        </is>
      </c>
      <c r="P50" s="17" t="inlineStr">
        <is>
          <t>스티렌, 자이데나</t>
        </is>
      </c>
      <c r="Q50" s="17" t="inlineStr">
        <is>
          <t>정재훈</t>
        </is>
      </c>
      <c r="R50" s="17" t="inlineStr">
        <is>
          <t>http://www.donga.co.kr</t>
        </is>
      </c>
      <c r="S50" s="17" t="inlineStr">
        <is>
          <t>서울특별시</t>
        </is>
      </c>
      <c r="T50" s="17" t="inlineStr">
        <is>
          <t>02-920-8208</t>
        </is>
      </c>
      <c r="U50" s="17" t="inlineStr">
        <is>
          <t>제조소상세</t>
        </is>
      </c>
      <c r="V50" s="22" t="inlineStr">
        <is>
          <t>미확인</t>
        </is>
      </c>
      <c r="W50" s="22" t="inlineStr">
        <is>
          <t>미확인</t>
        </is>
      </c>
      <c r="X50" s="22" t="inlineStr">
        <is>
          <t>미확인</t>
        </is>
      </c>
      <c r="Y50" s="22" t="inlineStr">
        <is>
          <t>미확인</t>
        </is>
      </c>
      <c r="Z50" s="22" t="inlineStr">
        <is>
          <t>미확인</t>
        </is>
      </c>
      <c r="AA50" s="22" t="inlineStr">
        <is>
          <t>미확인</t>
        </is>
      </c>
      <c r="AB50" s="22" t="inlineStr">
        <is>
          <t>미확인</t>
        </is>
      </c>
      <c r="AC50" s="22" t="inlineStr">
        <is>
          <t>미확인</t>
        </is>
      </c>
      <c r="AD50" s="22" t="inlineStr">
        <is>
          <t>미확인</t>
        </is>
      </c>
      <c r="AE50" s="22" t="inlineStr">
        <is>
          <t>미확인</t>
        </is>
      </c>
      <c r="AF50" s="22" t="inlineStr">
        <is>
          <t>미확인</t>
        </is>
      </c>
      <c r="AG50" s="22" t="inlineStr">
        <is>
          <t>미확인</t>
        </is>
      </c>
      <c r="AH50" s="22" t="inlineStr">
        <is>
          <t>미확인</t>
        </is>
      </c>
      <c r="AI50" s="22" t="inlineStr">
        <is>
          <t>미확인</t>
        </is>
      </c>
      <c r="AJ50" s="22" t="inlineStr">
        <is>
          <t>미확인</t>
        </is>
      </c>
      <c r="AK50" s="22" t="inlineStr">
        <is>
          <t>미확인</t>
        </is>
      </c>
      <c r="AL50" s="22" t="inlineStr">
        <is>
          <t>미확인</t>
        </is>
      </c>
      <c r="AM50" s="22" t="inlineStr">
        <is>
          <t>미확인</t>
        </is>
      </c>
      <c r="AN50" s="22" t="inlineStr">
        <is>
          <t>미확인</t>
        </is>
      </c>
      <c r="AO50" s="17" t="inlineStr">
        <is>
          <t>C(부분확인)</t>
        </is>
      </c>
      <c r="AP50" s="17" t="inlineStr">
        <is>
          <t>Y</t>
        </is>
      </c>
      <c r="AQ50" s="17" t="n">
        <v>33</v>
      </c>
      <c r="AR50" s="27" t="inlineStr">
        <is>
          <t>Tier C</t>
        </is>
      </c>
      <c r="AS50" s="17" t="inlineStr">
        <is>
          <t>통합형</t>
        </is>
      </c>
      <c r="AT50" s="17" t="inlineStr">
        <is>
          <t>다중 제조소/다수 판정서로 문서관리 복잡; 무균/바이오 제조로 품질관리 난도 높음</t>
        </is>
      </c>
      <c r="AU50" s="17" t="inlineStr">
        <is>
          <t>담당자 파악 후 접촉</t>
        </is>
      </c>
      <c r="AV50" s="17" t="inlineStr">
        <is>
          <t>GMP적합판정+KRX</t>
        </is>
      </c>
      <c r="AW50" s="17" t="inlineStr">
        <is>
          <t>2026-07-05</t>
        </is>
      </c>
    </row>
    <row r="51">
      <c r="A51" s="17" t="inlineStr">
        <is>
          <t>C050</t>
        </is>
      </c>
      <c r="B51" s="17" t="inlineStr">
        <is>
          <t>유바이오로직스</t>
        </is>
      </c>
      <c r="C51" s="17" t="inlineStr">
        <is>
          <t>(주)유바이오로직스</t>
        </is>
      </c>
      <c r="D51" s="17" t="n">
        <v>4</v>
      </c>
      <c r="E51" s="17" t="n">
        <v>2</v>
      </c>
      <c r="F51" s="17" t="inlineStr">
        <is>
          <t>Y</t>
        </is>
      </c>
      <c r="G51" s="17" t="inlineStr">
        <is>
          <t>Y</t>
        </is>
      </c>
      <c r="H51" s="17" t="inlineStr"/>
      <c r="I51" s="17" t="inlineStr">
        <is>
          <t>Y</t>
        </is>
      </c>
      <c r="J51" s="24" t="n">
        <v>46733</v>
      </c>
      <c r="K51" s="17" t="inlineStr"/>
      <c r="L51" s="17" t="inlineStr">
        <is>
          <t>Y</t>
        </is>
      </c>
      <c r="M51" s="17" t="inlineStr">
        <is>
          <t>코스닥</t>
        </is>
      </c>
      <c r="N51" s="23" t="inlineStr">
        <is>
          <t>206650</t>
        </is>
      </c>
      <c r="O51" s="17" t="inlineStr">
        <is>
          <t>의약품 제조업</t>
        </is>
      </c>
      <c r="P51" s="17" t="inlineStr">
        <is>
          <t>경구용 콜레라 백신, 바이오의약품 수탁 연구 및 제조</t>
        </is>
      </c>
      <c r="Q51" s="17" t="inlineStr">
        <is>
          <t>백영옥,허태영(공동대표이사)</t>
        </is>
      </c>
      <c r="R51" s="17" t="inlineStr">
        <is>
          <t>http://www.eubiologics.com</t>
        </is>
      </c>
      <c r="S51" s="17" t="inlineStr">
        <is>
          <t>서울특별시</t>
        </is>
      </c>
      <c r="T51" s="17" t="inlineStr">
        <is>
          <t>070-4235-1105</t>
        </is>
      </c>
      <c r="U51" s="17" t="inlineStr">
        <is>
          <t>제조소상세</t>
        </is>
      </c>
      <c r="V51" s="22" t="inlineStr">
        <is>
          <t>미확인</t>
        </is>
      </c>
      <c r="W51" s="22" t="inlineStr">
        <is>
          <t>미확인</t>
        </is>
      </c>
      <c r="X51" s="22" t="inlineStr">
        <is>
          <t>미확인</t>
        </is>
      </c>
      <c r="Y51" s="22" t="inlineStr">
        <is>
          <t>미확인</t>
        </is>
      </c>
      <c r="Z51" s="22" t="inlineStr">
        <is>
          <t>미확인</t>
        </is>
      </c>
      <c r="AA51" s="22" t="inlineStr">
        <is>
          <t>미확인</t>
        </is>
      </c>
      <c r="AB51" s="22" t="inlineStr">
        <is>
          <t>미확인</t>
        </is>
      </c>
      <c r="AC51" s="22" t="inlineStr">
        <is>
          <t>미확인</t>
        </is>
      </c>
      <c r="AD51" s="22" t="inlineStr">
        <is>
          <t>미확인</t>
        </is>
      </c>
      <c r="AE51" s="22" t="inlineStr">
        <is>
          <t>미확인</t>
        </is>
      </c>
      <c r="AF51" s="22" t="inlineStr">
        <is>
          <t>미확인</t>
        </is>
      </c>
      <c r="AG51" s="22" t="inlineStr">
        <is>
          <t>미확인</t>
        </is>
      </c>
      <c r="AH51" s="22" t="inlineStr">
        <is>
          <t>미확인</t>
        </is>
      </c>
      <c r="AI51" s="22" t="inlineStr">
        <is>
          <t>미확인</t>
        </is>
      </c>
      <c r="AJ51" s="22" t="inlineStr">
        <is>
          <t>미확인</t>
        </is>
      </c>
      <c r="AK51" s="22" t="inlineStr">
        <is>
          <t>미확인</t>
        </is>
      </c>
      <c r="AL51" s="22" t="inlineStr">
        <is>
          <t>미확인</t>
        </is>
      </c>
      <c r="AM51" s="22" t="inlineStr">
        <is>
          <t>미확인</t>
        </is>
      </c>
      <c r="AN51" s="22" t="inlineStr">
        <is>
          <t>미확인</t>
        </is>
      </c>
      <c r="AO51" s="17" t="inlineStr">
        <is>
          <t>C(부분확인)</t>
        </is>
      </c>
      <c r="AP51" s="17" t="inlineStr">
        <is>
          <t>Y</t>
        </is>
      </c>
      <c r="AQ51" s="17" t="n">
        <v>18</v>
      </c>
      <c r="AR51" s="28" t="inlineStr">
        <is>
          <t>Tier D</t>
        </is>
      </c>
      <c r="AS51" s="17" t="inlineStr">
        <is>
          <t>통합형</t>
        </is>
      </c>
      <c r="AT51" s="17" t="inlineStr">
        <is>
          <t>다중 제조소/다수 판정서로 문서관리 복잡; 무균/바이오 제조로 품질관리 난도 높음</t>
        </is>
      </c>
      <c r="AU51" s="17" t="inlineStr">
        <is>
          <t>담당자 파악 후 접촉</t>
        </is>
      </c>
      <c r="AV51" s="17" t="inlineStr">
        <is>
          <t>GMP적합판정+KRX</t>
        </is>
      </c>
      <c r="AW51" s="17" t="inlineStr">
        <is>
          <t>2026-07-05</t>
        </is>
      </c>
    </row>
    <row r="52">
      <c r="A52" s="17" t="inlineStr">
        <is>
          <t>C051</t>
        </is>
      </c>
      <c r="B52" s="17" t="inlineStr">
        <is>
          <t>성일바이오엑스</t>
        </is>
      </c>
      <c r="C52" s="17" t="inlineStr">
        <is>
          <t>(주)성일바이오엑스</t>
        </is>
      </c>
      <c r="D52" s="17" t="n">
        <v>1</v>
      </c>
      <c r="E52" s="17" t="n">
        <v>1</v>
      </c>
      <c r="F52" s="17" t="inlineStr"/>
      <c r="G52" s="17" t="inlineStr">
        <is>
          <t>Y</t>
        </is>
      </c>
      <c r="H52" s="17" t="inlineStr"/>
      <c r="I52" s="17" t="inlineStr"/>
      <c r="J52" s="24" t="n">
        <v>47213</v>
      </c>
      <c r="K52" s="17" t="inlineStr"/>
      <c r="L52" s="17" t="inlineStr"/>
      <c r="M52" s="17" t="inlineStr"/>
      <c r="N52" s="23" t="inlineStr"/>
      <c r="O52" s="17" t="inlineStr"/>
      <c r="P52" s="17" t="inlineStr"/>
      <c r="Q52" s="17" t="inlineStr">
        <is>
          <t>천성호</t>
        </is>
      </c>
      <c r="R52" s="17" t="inlineStr"/>
      <c r="S52" s="17" t="inlineStr"/>
      <c r="T52" s="17" t="inlineStr">
        <is>
          <t>031-355-4371</t>
        </is>
      </c>
      <c r="U52" s="17" t="inlineStr">
        <is>
          <t>제조소상세</t>
        </is>
      </c>
      <c r="V52" s="22" t="inlineStr">
        <is>
          <t>미확인</t>
        </is>
      </c>
      <c r="W52" s="22" t="inlineStr">
        <is>
          <t>미확인</t>
        </is>
      </c>
      <c r="X52" s="22" t="inlineStr">
        <is>
          <t>미확인</t>
        </is>
      </c>
      <c r="Y52" s="22" t="inlineStr">
        <is>
          <t>미확인</t>
        </is>
      </c>
      <c r="Z52" s="22" t="inlineStr">
        <is>
          <t>미확인</t>
        </is>
      </c>
      <c r="AA52" s="22" t="inlineStr">
        <is>
          <t>미확인</t>
        </is>
      </c>
      <c r="AB52" s="22" t="inlineStr">
        <is>
          <t>미확인</t>
        </is>
      </c>
      <c r="AC52" s="22" t="inlineStr">
        <is>
          <t>미확인</t>
        </is>
      </c>
      <c r="AD52" s="22" t="inlineStr">
        <is>
          <t>미확인</t>
        </is>
      </c>
      <c r="AE52" s="22" t="inlineStr">
        <is>
          <t>미확인</t>
        </is>
      </c>
      <c r="AF52" s="22" t="inlineStr">
        <is>
          <t>미확인</t>
        </is>
      </c>
      <c r="AG52" s="22" t="inlineStr">
        <is>
          <t>미확인</t>
        </is>
      </c>
      <c r="AH52" s="22" t="inlineStr">
        <is>
          <t>미확인</t>
        </is>
      </c>
      <c r="AI52" s="22" t="inlineStr">
        <is>
          <t>미확인</t>
        </is>
      </c>
      <c r="AJ52" s="22" t="inlineStr">
        <is>
          <t>미확인</t>
        </is>
      </c>
      <c r="AK52" s="22" t="inlineStr">
        <is>
          <t>미확인</t>
        </is>
      </c>
      <c r="AL52" s="22" t="inlineStr">
        <is>
          <t>미확인</t>
        </is>
      </c>
      <c r="AM52" s="22" t="inlineStr">
        <is>
          <t>미확인</t>
        </is>
      </c>
      <c r="AN52" s="22" t="inlineStr">
        <is>
          <t>미확인</t>
        </is>
      </c>
      <c r="AO52" s="17" t="inlineStr">
        <is>
          <t>C(부분확인)</t>
        </is>
      </c>
      <c r="AP52" s="17" t="inlineStr">
        <is>
          <t>Y</t>
        </is>
      </c>
      <c r="AQ52" s="17" t="n">
        <v>4</v>
      </c>
      <c r="AR52" s="28" t="inlineStr">
        <is>
          <t>Tier D</t>
        </is>
      </c>
      <c r="AS52" s="17" t="inlineStr">
        <is>
          <t>LIMS</t>
        </is>
      </c>
      <c r="AT52" s="17" t="inlineStr">
        <is>
          <t>원료 제조로 시험실 관리 필요</t>
        </is>
      </c>
      <c r="AU52" s="17" t="inlineStr">
        <is>
          <t>담당자 파악 후 접촉</t>
        </is>
      </c>
      <c r="AV52" s="17" t="inlineStr">
        <is>
          <t>GMP적합판정+KRX</t>
        </is>
      </c>
      <c r="AW52" s="17" t="inlineStr">
        <is>
          <t>2026-07-05</t>
        </is>
      </c>
    </row>
    <row r="53">
      <c r="A53" s="17" t="inlineStr">
        <is>
          <t>C052</t>
        </is>
      </c>
      <c r="B53" s="17" t="inlineStr">
        <is>
          <t>영일제약</t>
        </is>
      </c>
      <c r="C53" s="17" t="inlineStr">
        <is>
          <t>영일제약(주)</t>
        </is>
      </c>
      <c r="D53" s="17" t="n">
        <v>1</v>
      </c>
      <c r="E53" s="17" t="n">
        <v>1</v>
      </c>
      <c r="F53" s="17" t="inlineStr">
        <is>
          <t>Y</t>
        </is>
      </c>
      <c r="G53" s="17" t="inlineStr"/>
      <c r="H53" s="17" t="inlineStr"/>
      <c r="I53" s="17" t="inlineStr"/>
      <c r="J53" s="24" t="n">
        <v>47212</v>
      </c>
      <c r="K53" s="17" t="inlineStr"/>
      <c r="L53" s="17" t="inlineStr"/>
      <c r="M53" s="17" t="inlineStr"/>
      <c r="N53" s="23" t="inlineStr"/>
      <c r="O53" s="17" t="inlineStr"/>
      <c r="P53" s="17" t="inlineStr"/>
      <c r="Q53" s="17" t="inlineStr">
        <is>
          <t>김종우</t>
        </is>
      </c>
      <c r="R53" s="17" t="inlineStr"/>
      <c r="S53" s="17" t="inlineStr"/>
      <c r="T53" s="17" t="inlineStr">
        <is>
          <t>02-522-0150</t>
        </is>
      </c>
      <c r="U53" s="17" t="inlineStr">
        <is>
          <t>제조소상세</t>
        </is>
      </c>
      <c r="V53" s="22" t="inlineStr">
        <is>
          <t>미확인</t>
        </is>
      </c>
      <c r="W53" s="22" t="inlineStr">
        <is>
          <t>미확인</t>
        </is>
      </c>
      <c r="X53" s="22" t="inlineStr">
        <is>
          <t>미확인</t>
        </is>
      </c>
      <c r="Y53" s="22" t="inlineStr">
        <is>
          <t>미확인</t>
        </is>
      </c>
      <c r="Z53" s="22" t="inlineStr">
        <is>
          <t>미확인</t>
        </is>
      </c>
      <c r="AA53" s="22" t="inlineStr">
        <is>
          <t>미확인</t>
        </is>
      </c>
      <c r="AB53" s="22" t="inlineStr">
        <is>
          <t>미확인</t>
        </is>
      </c>
      <c r="AC53" s="22" t="inlineStr">
        <is>
          <t>미확인</t>
        </is>
      </c>
      <c r="AD53" s="22" t="inlineStr">
        <is>
          <t>미확인</t>
        </is>
      </c>
      <c r="AE53" s="22" t="inlineStr">
        <is>
          <t>미확인</t>
        </is>
      </c>
      <c r="AF53" s="22" t="inlineStr">
        <is>
          <t>미확인</t>
        </is>
      </c>
      <c r="AG53" s="22" t="inlineStr">
        <is>
          <t>미확인</t>
        </is>
      </c>
      <c r="AH53" s="22" t="inlineStr">
        <is>
          <t>미확인</t>
        </is>
      </c>
      <c r="AI53" s="22" t="inlineStr">
        <is>
          <t>미확인</t>
        </is>
      </c>
      <c r="AJ53" s="22" t="inlineStr">
        <is>
          <t>미확인</t>
        </is>
      </c>
      <c r="AK53" s="22" t="inlineStr">
        <is>
          <t>미확인</t>
        </is>
      </c>
      <c r="AL53" s="22" t="inlineStr">
        <is>
          <t>미확인</t>
        </is>
      </c>
      <c r="AM53" s="22" t="inlineStr">
        <is>
          <t>미확인</t>
        </is>
      </c>
      <c r="AN53" s="22" t="inlineStr">
        <is>
          <t>미확인</t>
        </is>
      </c>
      <c r="AO53" s="17" t="inlineStr">
        <is>
          <t>C(부분확인)</t>
        </is>
      </c>
      <c r="AP53" s="17" t="inlineStr">
        <is>
          <t>Y</t>
        </is>
      </c>
      <c r="AQ53" s="17" t="n">
        <v>4</v>
      </c>
      <c r="AR53" s="28" t="inlineStr">
        <is>
          <t>Tier D</t>
        </is>
      </c>
      <c r="AS53" s="17" t="inlineStr">
        <is>
          <t>EDMS</t>
        </is>
      </c>
      <c r="AT53" s="17" t="inlineStr">
        <is>
          <t>기본 문서관리 수요</t>
        </is>
      </c>
      <c r="AU53" s="17" t="inlineStr">
        <is>
          <t>담당자 파악 후 접촉</t>
        </is>
      </c>
      <c r="AV53" s="17" t="inlineStr">
        <is>
          <t>GMP적합판정+KRX</t>
        </is>
      </c>
      <c r="AW53" s="17" t="inlineStr">
        <is>
          <t>2026-07-05</t>
        </is>
      </c>
    </row>
    <row r="54">
      <c r="A54" s="17" t="inlineStr">
        <is>
          <t>C053</t>
        </is>
      </c>
      <c r="B54" s="17" t="inlineStr">
        <is>
          <t>퓨쳐켐헬스케어</t>
        </is>
      </c>
      <c r="C54" s="17" t="inlineStr">
        <is>
          <t>(주)퓨쳐켐헬스케어</t>
        </is>
      </c>
      <c r="D54" s="17" t="n">
        <v>2</v>
      </c>
      <c r="E54" s="17" t="n">
        <v>2</v>
      </c>
      <c r="F54" s="17" t="inlineStr">
        <is>
          <t>Y</t>
        </is>
      </c>
      <c r="G54" s="17" t="inlineStr"/>
      <c r="H54" s="17" t="inlineStr">
        <is>
          <t>Y</t>
        </is>
      </c>
      <c r="I54" s="17" t="inlineStr"/>
      <c r="J54" s="24" t="n">
        <v>46221</v>
      </c>
      <c r="K54" s="17" t="inlineStr">
        <is>
          <t>Y</t>
        </is>
      </c>
      <c r="L54" s="17" t="inlineStr"/>
      <c r="M54" s="17" t="inlineStr"/>
      <c r="N54" s="23" t="inlineStr"/>
      <c r="O54" s="17" t="inlineStr"/>
      <c r="P54" s="17" t="inlineStr"/>
      <c r="Q54" s="17" t="inlineStr">
        <is>
          <t>지대윤</t>
        </is>
      </c>
      <c r="R54" s="17" t="inlineStr"/>
      <c r="S54" s="17" t="inlineStr"/>
      <c r="T54" s="17" t="inlineStr">
        <is>
          <t>051-253-1175</t>
        </is>
      </c>
      <c r="U54" s="17" t="inlineStr">
        <is>
          <t>제조소상세</t>
        </is>
      </c>
      <c r="V54" s="22" t="inlineStr">
        <is>
          <t>미확인</t>
        </is>
      </c>
      <c r="W54" s="22" t="inlineStr">
        <is>
          <t>미확인</t>
        </is>
      </c>
      <c r="X54" s="22" t="inlineStr">
        <is>
          <t>미확인</t>
        </is>
      </c>
      <c r="Y54" s="22" t="inlineStr">
        <is>
          <t>미확인</t>
        </is>
      </c>
      <c r="Z54" s="22" t="inlineStr">
        <is>
          <t>미확인</t>
        </is>
      </c>
      <c r="AA54" s="22" t="inlineStr">
        <is>
          <t>미확인</t>
        </is>
      </c>
      <c r="AB54" s="22" t="inlineStr">
        <is>
          <t>미확인</t>
        </is>
      </c>
      <c r="AC54" s="22" t="inlineStr">
        <is>
          <t>미확인</t>
        </is>
      </c>
      <c r="AD54" s="22" t="inlineStr">
        <is>
          <t>미확인</t>
        </is>
      </c>
      <c r="AE54" s="22" t="inlineStr">
        <is>
          <t>미확인</t>
        </is>
      </c>
      <c r="AF54" s="22" t="inlineStr">
        <is>
          <t>미확인</t>
        </is>
      </c>
      <c r="AG54" s="22" t="inlineStr">
        <is>
          <t>미확인</t>
        </is>
      </c>
      <c r="AH54" s="22" t="inlineStr">
        <is>
          <t>미확인</t>
        </is>
      </c>
      <c r="AI54" s="22" t="inlineStr">
        <is>
          <t>미확인</t>
        </is>
      </c>
      <c r="AJ54" s="22" t="inlineStr">
        <is>
          <t>미확인</t>
        </is>
      </c>
      <c r="AK54" s="22" t="inlineStr">
        <is>
          <t>미확인</t>
        </is>
      </c>
      <c r="AL54" s="22" t="inlineStr">
        <is>
          <t>미확인</t>
        </is>
      </c>
      <c r="AM54" s="22" t="inlineStr">
        <is>
          <t>미확인</t>
        </is>
      </c>
      <c r="AN54" s="22" t="inlineStr">
        <is>
          <t>미확인</t>
        </is>
      </c>
      <c r="AO54" s="17" t="inlineStr">
        <is>
          <t>C(부분확인)</t>
        </is>
      </c>
      <c r="AP54" s="17" t="inlineStr">
        <is>
          <t>Y</t>
        </is>
      </c>
      <c r="AQ54" s="17" t="n">
        <v>21</v>
      </c>
      <c r="AR54" s="28" t="inlineStr">
        <is>
          <t>Tier D</t>
        </is>
      </c>
      <c r="AS54" s="17" t="inlineStr">
        <is>
          <t>통합형</t>
        </is>
      </c>
      <c r="AT54" s="17" t="inlineStr">
        <is>
          <t>다중 제조소/다수 판정서로 문서관리 복잡; 무균/바이오 제조로 품질관리 난도 높음</t>
        </is>
      </c>
      <c r="AU54" s="17" t="inlineStr">
        <is>
          <t>담당자 파악 후 접촉</t>
        </is>
      </c>
      <c r="AV54" s="17" t="inlineStr">
        <is>
          <t>GMP적합판정+KRX</t>
        </is>
      </c>
      <c r="AW54" s="17" t="inlineStr">
        <is>
          <t>2026-07-05</t>
        </is>
      </c>
    </row>
    <row r="55">
      <c r="A55" s="17" t="inlineStr">
        <is>
          <t>C054</t>
        </is>
      </c>
      <c r="B55" s="17" t="inlineStr">
        <is>
          <t>에스티팜</t>
        </is>
      </c>
      <c r="C55" s="17" t="inlineStr">
        <is>
          <t>에스티팜주식회사</t>
        </is>
      </c>
      <c r="D55" s="17" t="n">
        <v>2</v>
      </c>
      <c r="E55" s="17" t="n">
        <v>2</v>
      </c>
      <c r="F55" s="17" t="inlineStr"/>
      <c r="G55" s="17" t="inlineStr">
        <is>
          <t>Y</t>
        </is>
      </c>
      <c r="H55" s="17" t="inlineStr"/>
      <c r="I55" s="17" t="inlineStr"/>
      <c r="J55" s="24" t="n">
        <v>46466</v>
      </c>
      <c r="K55" s="17" t="inlineStr"/>
      <c r="L55" s="17" t="inlineStr">
        <is>
          <t>Y</t>
        </is>
      </c>
      <c r="M55" s="17" t="inlineStr">
        <is>
          <t>코스닥</t>
        </is>
      </c>
      <c r="N55" s="23" t="inlineStr">
        <is>
          <t>237690</t>
        </is>
      </c>
      <c r="O55" s="17" t="inlineStr">
        <is>
          <t>의약품 제조업</t>
        </is>
      </c>
      <c r="P55" s="17" t="inlineStr">
        <is>
          <t>원료의약품</t>
        </is>
      </c>
      <c r="Q55" s="17" t="inlineStr">
        <is>
          <t>Sung Moo-je</t>
        </is>
      </c>
      <c r="R55" s="17" t="inlineStr">
        <is>
          <t>http://www.stpharm.co.kr</t>
        </is>
      </c>
      <c r="S55" s="17" t="inlineStr">
        <is>
          <t>경기도</t>
        </is>
      </c>
      <c r="T55" s="17" t="inlineStr">
        <is>
          <t>미확인</t>
        </is>
      </c>
      <c r="U55" s="17" t="inlineStr">
        <is>
          <t>미확인</t>
        </is>
      </c>
      <c r="V55" s="22" t="inlineStr">
        <is>
          <t>미확인</t>
        </is>
      </c>
      <c r="W55" s="22" t="inlineStr">
        <is>
          <t>미확인</t>
        </is>
      </c>
      <c r="X55" s="22" t="inlineStr">
        <is>
          <t>미확인</t>
        </is>
      </c>
      <c r="Y55" s="22" t="inlineStr">
        <is>
          <t>미확인</t>
        </is>
      </c>
      <c r="Z55" s="22" t="inlineStr">
        <is>
          <t>미확인</t>
        </is>
      </c>
      <c r="AA55" s="22" t="inlineStr">
        <is>
          <t>미확인</t>
        </is>
      </c>
      <c r="AB55" s="22" t="inlineStr">
        <is>
          <t>미확인</t>
        </is>
      </c>
      <c r="AC55" s="22" t="inlineStr">
        <is>
          <t>미확인</t>
        </is>
      </c>
      <c r="AD55" s="22" t="inlineStr">
        <is>
          <t>미확인</t>
        </is>
      </c>
      <c r="AE55" s="22" t="inlineStr">
        <is>
          <t>미확인</t>
        </is>
      </c>
      <c r="AF55" s="22" t="inlineStr">
        <is>
          <t>미확인</t>
        </is>
      </c>
      <c r="AG55" s="22" t="inlineStr">
        <is>
          <t>미확인</t>
        </is>
      </c>
      <c r="AH55" s="22" t="inlineStr">
        <is>
          <t>미확인</t>
        </is>
      </c>
      <c r="AI55" s="22" t="inlineStr">
        <is>
          <t>미확인</t>
        </is>
      </c>
      <c r="AJ55" s="22" t="inlineStr">
        <is>
          <t>미확인</t>
        </is>
      </c>
      <c r="AK55" s="22" t="inlineStr">
        <is>
          <t>미확인</t>
        </is>
      </c>
      <c r="AL55" s="22" t="inlineStr">
        <is>
          <t>미확인</t>
        </is>
      </c>
      <c r="AM55" s="22" t="inlineStr">
        <is>
          <t>미확인</t>
        </is>
      </c>
      <c r="AN55" s="22" t="inlineStr">
        <is>
          <t>미확인</t>
        </is>
      </c>
      <c r="AO55" s="17" t="inlineStr">
        <is>
          <t>C(부분확인)</t>
        </is>
      </c>
      <c r="AP55" s="17" t="inlineStr">
        <is>
          <t>Y</t>
        </is>
      </c>
      <c r="AQ55" s="17" t="n">
        <v>11</v>
      </c>
      <c r="AR55" s="28" t="inlineStr">
        <is>
          <t>Tier D</t>
        </is>
      </c>
      <c r="AS55" s="17" t="inlineStr">
        <is>
          <t>통합형</t>
        </is>
      </c>
      <c r="AT55" s="17" t="inlineStr">
        <is>
          <t>다중 제조소/다수 판정서로 문서관리 복잡; 원료 제조로 시험실 관리 필요</t>
        </is>
      </c>
      <c r="AU55" s="17" t="inlineStr">
        <is>
          <t>담당자 파악 후 접촉</t>
        </is>
      </c>
      <c r="AV55" s="17" t="inlineStr">
        <is>
          <t>GMP적합판정+KRX</t>
        </is>
      </c>
      <c r="AW55" s="17" t="inlineStr">
        <is>
          <t>2026-07-05</t>
        </is>
      </c>
    </row>
    <row r="56">
      <c r="A56" s="17" t="inlineStr">
        <is>
          <t>C055</t>
        </is>
      </c>
      <c r="B56" s="17" t="inlineStr">
        <is>
          <t>나주신일가스</t>
        </is>
      </c>
      <c r="C56" s="17" t="inlineStr">
        <is>
          <t>나주신일가스주식회사</t>
        </is>
      </c>
      <c r="D56" s="17" t="n">
        <v>1</v>
      </c>
      <c r="E56" s="17" t="n">
        <v>1</v>
      </c>
      <c r="F56" s="17" t="inlineStr">
        <is>
          <t>Y</t>
        </is>
      </c>
      <c r="G56" s="17" t="inlineStr"/>
      <c r="H56" s="17" t="inlineStr"/>
      <c r="I56" s="17" t="inlineStr"/>
      <c r="J56" s="24" t="n">
        <v>47197</v>
      </c>
      <c r="K56" s="17" t="inlineStr"/>
      <c r="L56" s="17" t="inlineStr"/>
      <c r="M56" s="17" t="inlineStr"/>
      <c r="N56" s="23" t="inlineStr"/>
      <c r="O56" s="17" t="inlineStr"/>
      <c r="P56" s="17" t="inlineStr"/>
      <c r="Q56" s="17" t="inlineStr">
        <is>
          <t>유근택</t>
        </is>
      </c>
      <c r="R56" s="17" t="inlineStr"/>
      <c r="S56" s="17" t="inlineStr"/>
      <c r="T56" s="17" t="inlineStr">
        <is>
          <t>061-335-9955</t>
        </is>
      </c>
      <c r="U56" s="17" t="inlineStr">
        <is>
          <t>제조소상세</t>
        </is>
      </c>
      <c r="V56" s="22" t="inlineStr">
        <is>
          <t>미확인</t>
        </is>
      </c>
      <c r="W56" s="22" t="inlineStr">
        <is>
          <t>미확인</t>
        </is>
      </c>
      <c r="X56" s="22" t="inlineStr">
        <is>
          <t>미확인</t>
        </is>
      </c>
      <c r="Y56" s="22" t="inlineStr">
        <is>
          <t>미확인</t>
        </is>
      </c>
      <c r="Z56" s="22" t="inlineStr">
        <is>
          <t>미확인</t>
        </is>
      </c>
      <c r="AA56" s="22" t="inlineStr">
        <is>
          <t>미확인</t>
        </is>
      </c>
      <c r="AB56" s="22" t="inlineStr">
        <is>
          <t>미확인</t>
        </is>
      </c>
      <c r="AC56" s="22" t="inlineStr">
        <is>
          <t>미확인</t>
        </is>
      </c>
      <c r="AD56" s="22" t="inlineStr">
        <is>
          <t>미확인</t>
        </is>
      </c>
      <c r="AE56" s="22" t="inlineStr">
        <is>
          <t>미확인</t>
        </is>
      </c>
      <c r="AF56" s="22" t="inlineStr">
        <is>
          <t>미확인</t>
        </is>
      </c>
      <c r="AG56" s="22" t="inlineStr">
        <is>
          <t>미확인</t>
        </is>
      </c>
      <c r="AH56" s="22" t="inlineStr">
        <is>
          <t>미확인</t>
        </is>
      </c>
      <c r="AI56" s="22" t="inlineStr">
        <is>
          <t>미확인</t>
        </is>
      </c>
      <c r="AJ56" s="22" t="inlineStr">
        <is>
          <t>미확인</t>
        </is>
      </c>
      <c r="AK56" s="22" t="inlineStr">
        <is>
          <t>미확인</t>
        </is>
      </c>
      <c r="AL56" s="22" t="inlineStr">
        <is>
          <t>미확인</t>
        </is>
      </c>
      <c r="AM56" s="22" t="inlineStr">
        <is>
          <t>미확인</t>
        </is>
      </c>
      <c r="AN56" s="22" t="inlineStr">
        <is>
          <t>미확인</t>
        </is>
      </c>
      <c r="AO56" s="17" t="inlineStr">
        <is>
          <t>C(부분확인)</t>
        </is>
      </c>
      <c r="AP56" s="17" t="inlineStr">
        <is>
          <t>Y</t>
        </is>
      </c>
      <c r="AQ56" s="17" t="n">
        <v>4</v>
      </c>
      <c r="AR56" s="28" t="inlineStr">
        <is>
          <t>Tier D</t>
        </is>
      </c>
      <c r="AS56" s="17" t="inlineStr">
        <is>
          <t>EDMS</t>
        </is>
      </c>
      <c r="AT56" s="17" t="inlineStr">
        <is>
          <t>기본 문서관리 수요</t>
        </is>
      </c>
      <c r="AU56" s="17" t="inlineStr">
        <is>
          <t>담당자 파악 후 접촉</t>
        </is>
      </c>
      <c r="AV56" s="17" t="inlineStr">
        <is>
          <t>GMP적합판정+KRX</t>
        </is>
      </c>
      <c r="AW56" s="17" t="inlineStr">
        <is>
          <t>2026-07-05</t>
        </is>
      </c>
    </row>
    <row r="57">
      <c r="A57" s="17" t="inlineStr">
        <is>
          <t>C056</t>
        </is>
      </c>
      <c r="B57" s="17" t="inlineStr">
        <is>
          <t>그린제약</t>
        </is>
      </c>
      <c r="C57" s="17" t="inlineStr">
        <is>
          <t>(주)그린제약</t>
        </is>
      </c>
      <c r="D57" s="17" t="n">
        <v>1</v>
      </c>
      <c r="E57" s="17" t="n">
        <v>1</v>
      </c>
      <c r="F57" s="17" t="inlineStr">
        <is>
          <t>Y</t>
        </is>
      </c>
      <c r="G57" s="17" t="inlineStr"/>
      <c r="H57" s="17" t="inlineStr"/>
      <c r="I57" s="17" t="inlineStr"/>
      <c r="J57" s="24" t="n">
        <v>47197</v>
      </c>
      <c r="K57" s="17" t="inlineStr"/>
      <c r="L57" s="17" t="inlineStr"/>
      <c r="M57" s="17" t="inlineStr"/>
      <c r="N57" s="23" t="inlineStr"/>
      <c r="O57" s="17" t="inlineStr"/>
      <c r="P57" s="17" t="inlineStr"/>
      <c r="Q57" s="17" t="inlineStr">
        <is>
          <t>홍준표</t>
        </is>
      </c>
      <c r="R57" s="17" t="inlineStr"/>
      <c r="S57" s="17" t="inlineStr"/>
      <c r="T57" s="17" t="inlineStr">
        <is>
          <t>043-534-1144</t>
        </is>
      </c>
      <c r="U57" s="17" t="inlineStr">
        <is>
          <t>제조소상세</t>
        </is>
      </c>
      <c r="V57" s="22" t="inlineStr">
        <is>
          <t>미확인</t>
        </is>
      </c>
      <c r="W57" s="22" t="inlineStr">
        <is>
          <t>미확인</t>
        </is>
      </c>
      <c r="X57" s="22" t="inlineStr">
        <is>
          <t>미확인</t>
        </is>
      </c>
      <c r="Y57" s="22" t="inlineStr">
        <is>
          <t>미확인</t>
        </is>
      </c>
      <c r="Z57" s="22" t="inlineStr">
        <is>
          <t>미확인</t>
        </is>
      </c>
      <c r="AA57" s="22" t="inlineStr">
        <is>
          <t>미확인</t>
        </is>
      </c>
      <c r="AB57" s="22" t="inlineStr">
        <is>
          <t>미확인</t>
        </is>
      </c>
      <c r="AC57" s="22" t="inlineStr">
        <is>
          <t>미확인</t>
        </is>
      </c>
      <c r="AD57" s="22" t="inlineStr">
        <is>
          <t>미확인</t>
        </is>
      </c>
      <c r="AE57" s="22" t="inlineStr">
        <is>
          <t>미확인</t>
        </is>
      </c>
      <c r="AF57" s="22" t="inlineStr">
        <is>
          <t>미확인</t>
        </is>
      </c>
      <c r="AG57" s="22" t="inlineStr">
        <is>
          <t>미확인</t>
        </is>
      </c>
      <c r="AH57" s="22" t="inlineStr">
        <is>
          <t>미확인</t>
        </is>
      </c>
      <c r="AI57" s="22" t="inlineStr">
        <is>
          <t>미확인</t>
        </is>
      </c>
      <c r="AJ57" s="22" t="inlineStr">
        <is>
          <t>미확인</t>
        </is>
      </c>
      <c r="AK57" s="22" t="inlineStr">
        <is>
          <t>미확인</t>
        </is>
      </c>
      <c r="AL57" s="22" t="inlineStr">
        <is>
          <t>미확인</t>
        </is>
      </c>
      <c r="AM57" s="22" t="inlineStr">
        <is>
          <t>미확인</t>
        </is>
      </c>
      <c r="AN57" s="22" t="inlineStr">
        <is>
          <t>미확인</t>
        </is>
      </c>
      <c r="AO57" s="17" t="inlineStr">
        <is>
          <t>C(부분확인)</t>
        </is>
      </c>
      <c r="AP57" s="17" t="inlineStr">
        <is>
          <t>Y</t>
        </is>
      </c>
      <c r="AQ57" s="17" t="n">
        <v>4</v>
      </c>
      <c r="AR57" s="28" t="inlineStr">
        <is>
          <t>Tier D</t>
        </is>
      </c>
      <c r="AS57" s="17" t="inlineStr">
        <is>
          <t>EDMS</t>
        </is>
      </c>
      <c r="AT57" s="17" t="inlineStr">
        <is>
          <t>기본 문서관리 수요</t>
        </is>
      </c>
      <c r="AU57" s="17" t="inlineStr">
        <is>
          <t>담당자 파악 후 접촉</t>
        </is>
      </c>
      <c r="AV57" s="17" t="inlineStr">
        <is>
          <t>GMP적합판정+KRX</t>
        </is>
      </c>
      <c r="AW57" s="17" t="inlineStr">
        <is>
          <t>2026-07-05</t>
        </is>
      </c>
    </row>
    <row r="58">
      <c r="A58" s="17" t="inlineStr">
        <is>
          <t>C057</t>
        </is>
      </c>
      <c r="B58" s="17" t="inlineStr">
        <is>
          <t>보락</t>
        </is>
      </c>
      <c r="C58" s="17" t="inlineStr">
        <is>
          <t>(주)보락</t>
        </is>
      </c>
      <c r="D58" s="17" t="n">
        <v>1</v>
      </c>
      <c r="E58" s="17" t="n">
        <v>1</v>
      </c>
      <c r="F58" s="17" t="inlineStr"/>
      <c r="G58" s="17" t="inlineStr">
        <is>
          <t>Y</t>
        </is>
      </c>
      <c r="H58" s="17" t="inlineStr"/>
      <c r="I58" s="17" t="inlineStr"/>
      <c r="J58" s="24" t="n">
        <v>47193</v>
      </c>
      <c r="K58" s="17" t="inlineStr"/>
      <c r="L58" s="17" t="inlineStr">
        <is>
          <t>Y</t>
        </is>
      </c>
      <c r="M58" s="17" t="inlineStr">
        <is>
          <t>유가</t>
        </is>
      </c>
      <c r="N58" s="23" t="inlineStr">
        <is>
          <t>002760</t>
        </is>
      </c>
      <c r="O58" s="17" t="inlineStr">
        <is>
          <t>기타 화학제품 제조업</t>
        </is>
      </c>
      <c r="P58" s="17" t="inlineStr">
        <is>
          <t>식품향료,식품첨가물,화학제품,껌베이스(자일리톨,에리스리톨),담배향료 제조,판매</t>
        </is>
      </c>
      <c r="Q58" s="17" t="inlineStr">
        <is>
          <t>정기련</t>
        </is>
      </c>
      <c r="R58" s="17" t="inlineStr">
        <is>
          <t>http://www.bolak.co.kr</t>
        </is>
      </c>
      <c r="S58" s="17" t="inlineStr">
        <is>
          <t>경기도</t>
        </is>
      </c>
      <c r="T58" s="17" t="inlineStr">
        <is>
          <t>미확인</t>
        </is>
      </c>
      <c r="U58" s="17" t="inlineStr">
        <is>
          <t>미확인</t>
        </is>
      </c>
      <c r="V58" s="22" t="inlineStr">
        <is>
          <t>미확인</t>
        </is>
      </c>
      <c r="W58" s="22" t="inlineStr">
        <is>
          <t>미확인</t>
        </is>
      </c>
      <c r="X58" s="22" t="inlineStr">
        <is>
          <t>미확인</t>
        </is>
      </c>
      <c r="Y58" s="22" t="inlineStr">
        <is>
          <t>미확인</t>
        </is>
      </c>
      <c r="Z58" s="22" t="inlineStr">
        <is>
          <t>미확인</t>
        </is>
      </c>
      <c r="AA58" s="22" t="inlineStr">
        <is>
          <t>미확인</t>
        </is>
      </c>
      <c r="AB58" s="22" t="inlineStr">
        <is>
          <t>미확인</t>
        </is>
      </c>
      <c r="AC58" s="22" t="inlineStr">
        <is>
          <t>미확인</t>
        </is>
      </c>
      <c r="AD58" s="22" t="inlineStr">
        <is>
          <t>미확인</t>
        </is>
      </c>
      <c r="AE58" s="22" t="inlineStr">
        <is>
          <t>미확인</t>
        </is>
      </c>
      <c r="AF58" s="22" t="inlineStr">
        <is>
          <t>미확인</t>
        </is>
      </c>
      <c r="AG58" s="22" t="inlineStr">
        <is>
          <t>미확인</t>
        </is>
      </c>
      <c r="AH58" s="22" t="inlineStr">
        <is>
          <t>미확인</t>
        </is>
      </c>
      <c r="AI58" s="22" t="inlineStr">
        <is>
          <t>미확인</t>
        </is>
      </c>
      <c r="AJ58" s="22" t="inlineStr">
        <is>
          <t>미확인</t>
        </is>
      </c>
      <c r="AK58" s="22" t="inlineStr">
        <is>
          <t>미확인</t>
        </is>
      </c>
      <c r="AL58" s="22" t="inlineStr">
        <is>
          <t>미확인</t>
        </is>
      </c>
      <c r="AM58" s="22" t="inlineStr">
        <is>
          <t>미확인</t>
        </is>
      </c>
      <c r="AN58" s="22" t="inlineStr">
        <is>
          <t>미확인</t>
        </is>
      </c>
      <c r="AO58" s="17" t="inlineStr">
        <is>
          <t>C(부분확인)</t>
        </is>
      </c>
      <c r="AP58" s="17" t="inlineStr">
        <is>
          <t>Y</t>
        </is>
      </c>
      <c r="AQ58" s="17" t="n">
        <v>4</v>
      </c>
      <c r="AR58" s="28" t="inlineStr">
        <is>
          <t>Tier D</t>
        </is>
      </c>
      <c r="AS58" s="17" t="inlineStr">
        <is>
          <t>LIMS</t>
        </is>
      </c>
      <c r="AT58" s="17" t="inlineStr">
        <is>
          <t>원료 제조로 시험실 관리 필요</t>
        </is>
      </c>
      <c r="AU58" s="17" t="inlineStr">
        <is>
          <t>담당자 파악 후 접촉</t>
        </is>
      </c>
      <c r="AV58" s="17" t="inlineStr">
        <is>
          <t>GMP적합판정+KRX</t>
        </is>
      </c>
      <c r="AW58" s="17" t="inlineStr">
        <is>
          <t>2026-07-05</t>
        </is>
      </c>
    </row>
    <row r="59">
      <c r="A59" s="17" t="inlineStr">
        <is>
          <t>C058</t>
        </is>
      </c>
      <c r="B59" s="17" t="inlineStr">
        <is>
          <t>메디포스트</t>
        </is>
      </c>
      <c r="C59" s="17" t="inlineStr">
        <is>
          <t>메디포스트(주)</t>
        </is>
      </c>
      <c r="D59" s="17" t="n">
        <v>1</v>
      </c>
      <c r="E59" s="17" t="n">
        <v>1</v>
      </c>
      <c r="F59" s="17" t="inlineStr">
        <is>
          <t>Y</t>
        </is>
      </c>
      <c r="G59" s="17" t="inlineStr"/>
      <c r="H59" s="17" t="inlineStr">
        <is>
          <t>Y</t>
        </is>
      </c>
      <c r="I59" s="17" t="inlineStr">
        <is>
          <t>Y</t>
        </is>
      </c>
      <c r="J59" s="24" t="n">
        <v>47193</v>
      </c>
      <c r="K59" s="17" t="inlineStr"/>
      <c r="L59" s="17" t="inlineStr">
        <is>
          <t>Y</t>
        </is>
      </c>
      <c r="M59" s="17" t="inlineStr">
        <is>
          <t>코스닥</t>
        </is>
      </c>
      <c r="N59" s="23" t="inlineStr">
        <is>
          <t>078160</t>
        </is>
      </c>
      <c r="O59" s="17" t="inlineStr">
        <is>
          <t>기초 의약물질 제조업</t>
        </is>
      </c>
      <c r="P59" s="17" t="inlineStr">
        <is>
          <t>제대혈은행</t>
        </is>
      </c>
      <c r="Q59" s="17" t="inlineStr">
        <is>
          <t>오원일</t>
        </is>
      </c>
      <c r="R59" s="17" t="inlineStr">
        <is>
          <t>http://www.medi-post.co.kr</t>
        </is>
      </c>
      <c r="S59" s="17" t="inlineStr">
        <is>
          <t>경기도</t>
        </is>
      </c>
      <c r="T59" s="17" t="inlineStr">
        <is>
          <t>미확인</t>
        </is>
      </c>
      <c r="U59" s="17" t="inlineStr">
        <is>
          <t>미확인</t>
        </is>
      </c>
      <c r="V59" s="22" t="inlineStr">
        <is>
          <t>미확인</t>
        </is>
      </c>
      <c r="W59" s="22" t="inlineStr">
        <is>
          <t>미확인</t>
        </is>
      </c>
      <c r="X59" s="22" t="inlineStr">
        <is>
          <t>미확인</t>
        </is>
      </c>
      <c r="Y59" s="22" t="inlineStr">
        <is>
          <t>미확인</t>
        </is>
      </c>
      <c r="Z59" s="22" t="inlineStr">
        <is>
          <t>미확인</t>
        </is>
      </c>
      <c r="AA59" s="22" t="inlineStr">
        <is>
          <t>미확인</t>
        </is>
      </c>
      <c r="AB59" s="22" t="inlineStr">
        <is>
          <t>미확인</t>
        </is>
      </c>
      <c r="AC59" s="22" t="inlineStr">
        <is>
          <t>미확인</t>
        </is>
      </c>
      <c r="AD59" s="22" t="inlineStr">
        <is>
          <t>미확인</t>
        </is>
      </c>
      <c r="AE59" s="22" t="inlineStr">
        <is>
          <t>미확인</t>
        </is>
      </c>
      <c r="AF59" s="22" t="inlineStr">
        <is>
          <t>미확인</t>
        </is>
      </c>
      <c r="AG59" s="22" t="inlineStr">
        <is>
          <t>미확인</t>
        </is>
      </c>
      <c r="AH59" s="22" t="inlineStr">
        <is>
          <t>미확인</t>
        </is>
      </c>
      <c r="AI59" s="22" t="inlineStr">
        <is>
          <t>미확인</t>
        </is>
      </c>
      <c r="AJ59" s="22" t="inlineStr">
        <is>
          <t>미확인</t>
        </is>
      </c>
      <c r="AK59" s="22" t="inlineStr">
        <is>
          <t>미확인</t>
        </is>
      </c>
      <c r="AL59" s="22" t="inlineStr">
        <is>
          <t>미확인</t>
        </is>
      </c>
      <c r="AM59" s="22" t="inlineStr">
        <is>
          <t>미확인</t>
        </is>
      </c>
      <c r="AN59" s="22" t="inlineStr">
        <is>
          <t>미확인</t>
        </is>
      </c>
      <c r="AO59" s="17" t="inlineStr">
        <is>
          <t>C(부분확인)</t>
        </is>
      </c>
      <c r="AP59" s="17" t="inlineStr">
        <is>
          <t>Y</t>
        </is>
      </c>
      <c r="AQ59" s="17" t="n">
        <v>19</v>
      </c>
      <c r="AR59" s="28" t="inlineStr">
        <is>
          <t>Tier D</t>
        </is>
      </c>
      <c r="AS59" s="17" t="inlineStr">
        <is>
          <t>QMS+LIMS</t>
        </is>
      </c>
      <c r="AT59" s="17" t="inlineStr">
        <is>
          <t>무균/바이오 제조로 품질관리 난도 높음</t>
        </is>
      </c>
      <c r="AU59" s="17" t="inlineStr">
        <is>
          <t>담당자 파악 후 접촉</t>
        </is>
      </c>
      <c r="AV59" s="17" t="inlineStr">
        <is>
          <t>GMP적합판정+KRX</t>
        </is>
      </c>
      <c r="AW59" s="17" t="inlineStr">
        <is>
          <t>2026-07-05</t>
        </is>
      </c>
    </row>
    <row r="60">
      <c r="A60" s="17" t="inlineStr">
        <is>
          <t>C059</t>
        </is>
      </c>
      <c r="B60" s="17" t="inlineStr">
        <is>
          <t>한국프라임제약</t>
        </is>
      </c>
      <c r="C60" s="17" t="inlineStr">
        <is>
          <t>한국프라임제약(주)</t>
        </is>
      </c>
      <c r="D60" s="17" t="n">
        <v>2</v>
      </c>
      <c r="E60" s="17" t="n">
        <v>2</v>
      </c>
      <c r="F60" s="17" t="inlineStr">
        <is>
          <t>Y</t>
        </is>
      </c>
      <c r="G60" s="17" t="inlineStr">
        <is>
          <t>Y</t>
        </is>
      </c>
      <c r="H60" s="17" t="inlineStr"/>
      <c r="I60" s="17" t="inlineStr"/>
      <c r="J60" s="24" t="n">
        <v>46847</v>
      </c>
      <c r="K60" s="17" t="inlineStr"/>
      <c r="L60" s="17" t="inlineStr"/>
      <c r="M60" s="17" t="inlineStr"/>
      <c r="N60" s="23" t="inlineStr"/>
      <c r="O60" s="17" t="inlineStr"/>
      <c r="P60" s="17" t="inlineStr"/>
      <c r="Q60" s="17" t="inlineStr">
        <is>
          <t>김대익</t>
        </is>
      </c>
      <c r="R60" s="17" t="inlineStr"/>
      <c r="S60" s="17" t="inlineStr"/>
      <c r="T60" s="17" t="inlineStr">
        <is>
          <t>미확인</t>
        </is>
      </c>
      <c r="U60" s="17" t="inlineStr">
        <is>
          <t>미확인</t>
        </is>
      </c>
      <c r="V60" s="22" t="inlineStr">
        <is>
          <t>미확인</t>
        </is>
      </c>
      <c r="W60" s="22" t="inlineStr">
        <is>
          <t>미확인</t>
        </is>
      </c>
      <c r="X60" s="22" t="inlineStr">
        <is>
          <t>미확인</t>
        </is>
      </c>
      <c r="Y60" s="22" t="inlineStr">
        <is>
          <t>미확인</t>
        </is>
      </c>
      <c r="Z60" s="22" t="inlineStr">
        <is>
          <t>미확인</t>
        </is>
      </c>
      <c r="AA60" s="22" t="inlineStr">
        <is>
          <t>미확인</t>
        </is>
      </c>
      <c r="AB60" s="22" t="inlineStr">
        <is>
          <t>미확인</t>
        </is>
      </c>
      <c r="AC60" s="22" t="inlineStr">
        <is>
          <t>미확인</t>
        </is>
      </c>
      <c r="AD60" s="22" t="inlineStr">
        <is>
          <t>미확인</t>
        </is>
      </c>
      <c r="AE60" s="22" t="inlineStr">
        <is>
          <t>미확인</t>
        </is>
      </c>
      <c r="AF60" s="22" t="inlineStr">
        <is>
          <t>미확인</t>
        </is>
      </c>
      <c r="AG60" s="22" t="inlineStr">
        <is>
          <t>미확인</t>
        </is>
      </c>
      <c r="AH60" s="22" t="inlineStr">
        <is>
          <t>미확인</t>
        </is>
      </c>
      <c r="AI60" s="22" t="inlineStr">
        <is>
          <t>미확인</t>
        </is>
      </c>
      <c r="AJ60" s="22" t="inlineStr">
        <is>
          <t>미확인</t>
        </is>
      </c>
      <c r="AK60" s="22" t="inlineStr">
        <is>
          <t>미확인</t>
        </is>
      </c>
      <c r="AL60" s="22" t="inlineStr">
        <is>
          <t>미확인</t>
        </is>
      </c>
      <c r="AM60" s="22" t="inlineStr">
        <is>
          <t>미확인</t>
        </is>
      </c>
      <c r="AN60" s="22" t="inlineStr">
        <is>
          <t>미확인</t>
        </is>
      </c>
      <c r="AO60" s="17" t="inlineStr">
        <is>
          <t>C(부분확인)</t>
        </is>
      </c>
      <c r="AP60" s="17" t="inlineStr">
        <is>
          <t>Y</t>
        </is>
      </c>
      <c r="AQ60" s="17" t="n">
        <v>8</v>
      </c>
      <c r="AR60" s="28" t="inlineStr">
        <is>
          <t>Tier D</t>
        </is>
      </c>
      <c r="AS60" s="17" t="inlineStr">
        <is>
          <t>통합형</t>
        </is>
      </c>
      <c r="AT60" s="17" t="inlineStr">
        <is>
          <t>다중 제조소/다수 판정서로 문서관리 복잡; 원료 제조로 시험실 관리 필요</t>
        </is>
      </c>
      <c r="AU60" s="17" t="inlineStr">
        <is>
          <t>담당자 파악 후 접촉</t>
        </is>
      </c>
      <c r="AV60" s="17" t="inlineStr">
        <is>
          <t>GMP적합판정+KRX</t>
        </is>
      </c>
      <c r="AW60" s="17" t="inlineStr">
        <is>
          <t>2026-07-05</t>
        </is>
      </c>
    </row>
    <row r="61">
      <c r="A61" s="17" t="inlineStr">
        <is>
          <t>C060</t>
        </is>
      </c>
      <c r="B61" s="17" t="inlineStr">
        <is>
          <t>제테마</t>
        </is>
      </c>
      <c r="C61" s="17" t="inlineStr">
        <is>
          <t>(주)제테마</t>
        </is>
      </c>
      <c r="D61" s="17" t="n">
        <v>2</v>
      </c>
      <c r="E61" s="17" t="n">
        <v>1</v>
      </c>
      <c r="F61" s="17" t="inlineStr">
        <is>
          <t>Y</t>
        </is>
      </c>
      <c r="G61" s="17" t="inlineStr">
        <is>
          <t>Y</t>
        </is>
      </c>
      <c r="H61" s="17" t="inlineStr">
        <is>
          <t>Y</t>
        </is>
      </c>
      <c r="I61" s="17" t="inlineStr">
        <is>
          <t>Y</t>
        </is>
      </c>
      <c r="J61" s="24" t="n">
        <v>47186</v>
      </c>
      <c r="K61" s="17" t="inlineStr"/>
      <c r="L61" s="17" t="inlineStr">
        <is>
          <t>Y</t>
        </is>
      </c>
      <c r="M61" s="17" t="inlineStr">
        <is>
          <t>코스닥</t>
        </is>
      </c>
      <c r="N61" s="23" t="inlineStr">
        <is>
          <t>216080</t>
        </is>
      </c>
      <c r="O61" s="17" t="inlineStr">
        <is>
          <t>의료용품 및 기타 의약 관련제품 제조업</t>
        </is>
      </c>
      <c r="P61" s="17" t="inlineStr">
        <is>
          <t>히알루론산 필러(조직수복용생체재료), 피부과용 레이저 의료기기, 리프팅실 등</t>
        </is>
      </c>
      <c r="Q61" s="17" t="inlineStr">
        <is>
          <t>남정선</t>
        </is>
      </c>
      <c r="R61" s="17" t="inlineStr">
        <is>
          <t>http://www.jetema.com</t>
        </is>
      </c>
      <c r="S61" s="17" t="inlineStr">
        <is>
          <t>강원특별자치도</t>
        </is>
      </c>
      <c r="T61" s="17" t="inlineStr">
        <is>
          <t>미확인</t>
        </is>
      </c>
      <c r="U61" s="17" t="inlineStr">
        <is>
          <t>미확인</t>
        </is>
      </c>
      <c r="V61" s="22" t="inlineStr">
        <is>
          <t>미확인</t>
        </is>
      </c>
      <c r="W61" s="22" t="inlineStr">
        <is>
          <t>미확인</t>
        </is>
      </c>
      <c r="X61" s="22" t="inlineStr">
        <is>
          <t>미확인</t>
        </is>
      </c>
      <c r="Y61" s="22" t="inlineStr">
        <is>
          <t>미확인</t>
        </is>
      </c>
      <c r="Z61" s="22" t="inlineStr">
        <is>
          <t>미확인</t>
        </is>
      </c>
      <c r="AA61" s="22" t="inlineStr">
        <is>
          <t>미확인</t>
        </is>
      </c>
      <c r="AB61" s="22" t="inlineStr">
        <is>
          <t>미확인</t>
        </is>
      </c>
      <c r="AC61" s="22" t="inlineStr">
        <is>
          <t>미확인</t>
        </is>
      </c>
      <c r="AD61" s="22" t="inlineStr">
        <is>
          <t>미확인</t>
        </is>
      </c>
      <c r="AE61" s="22" t="inlineStr">
        <is>
          <t>미확인</t>
        </is>
      </c>
      <c r="AF61" s="22" t="inlineStr">
        <is>
          <t>미확인</t>
        </is>
      </c>
      <c r="AG61" s="22" t="inlineStr">
        <is>
          <t>미확인</t>
        </is>
      </c>
      <c r="AH61" s="22" t="inlineStr">
        <is>
          <t>미확인</t>
        </is>
      </c>
      <c r="AI61" s="22" t="inlineStr">
        <is>
          <t>미확인</t>
        </is>
      </c>
      <c r="AJ61" s="22" t="inlineStr">
        <is>
          <t>미확인</t>
        </is>
      </c>
      <c r="AK61" s="22" t="inlineStr">
        <is>
          <t>미확인</t>
        </is>
      </c>
      <c r="AL61" s="22" t="inlineStr">
        <is>
          <t>미확인</t>
        </is>
      </c>
      <c r="AM61" s="22" t="inlineStr">
        <is>
          <t>미확인</t>
        </is>
      </c>
      <c r="AN61" s="22" t="inlineStr">
        <is>
          <t>미확인</t>
        </is>
      </c>
      <c r="AO61" s="17" t="inlineStr">
        <is>
          <t>C(부분확인)</t>
        </is>
      </c>
      <c r="AP61" s="17" t="inlineStr">
        <is>
          <t>Y</t>
        </is>
      </c>
      <c r="AQ61" s="17" t="n">
        <v>19</v>
      </c>
      <c r="AR61" s="28" t="inlineStr">
        <is>
          <t>Tier D</t>
        </is>
      </c>
      <c r="AS61" s="17" t="inlineStr">
        <is>
          <t>QMS+LIMS</t>
        </is>
      </c>
      <c r="AT61" s="17" t="inlineStr">
        <is>
          <t>무균/바이오 제조로 품질관리 난도 높음; 원료 제조로 시험실 관리 필요</t>
        </is>
      </c>
      <c r="AU61" s="17" t="inlineStr">
        <is>
          <t>담당자 파악 후 접촉</t>
        </is>
      </c>
      <c r="AV61" s="17" t="inlineStr">
        <is>
          <t>GMP적합판정+KRX</t>
        </is>
      </c>
      <c r="AW61" s="17" t="inlineStr">
        <is>
          <t>2026-07-05</t>
        </is>
      </c>
    </row>
    <row r="62">
      <c r="A62" s="17" t="inlineStr">
        <is>
          <t>C061</t>
        </is>
      </c>
      <c r="B62" s="17" t="inlineStr">
        <is>
          <t>시어스제약</t>
        </is>
      </c>
      <c r="C62" s="17" t="inlineStr">
        <is>
          <t>(주)시어스제약</t>
        </is>
      </c>
      <c r="D62" s="17" t="n">
        <v>1</v>
      </c>
      <c r="E62" s="17" t="n">
        <v>1</v>
      </c>
      <c r="F62" s="17" t="inlineStr">
        <is>
          <t>Y</t>
        </is>
      </c>
      <c r="G62" s="17" t="inlineStr"/>
      <c r="H62" s="17" t="inlineStr"/>
      <c r="I62" s="17" t="inlineStr"/>
      <c r="J62" s="24" t="n">
        <v>47184</v>
      </c>
      <c r="K62" s="17" t="inlineStr"/>
      <c r="L62" s="17" t="inlineStr"/>
      <c r="M62" s="17" t="inlineStr"/>
      <c r="N62" s="23" t="inlineStr"/>
      <c r="O62" s="17" t="inlineStr"/>
      <c r="P62" s="17" t="inlineStr"/>
      <c r="Q62" s="17" t="inlineStr">
        <is>
          <t>김분래</t>
        </is>
      </c>
      <c r="R62" s="17" t="inlineStr"/>
      <c r="S62" s="17" t="inlineStr"/>
      <c r="T62" s="17" t="inlineStr">
        <is>
          <t>070-4105-8155</t>
        </is>
      </c>
      <c r="U62" s="17" t="inlineStr">
        <is>
          <t>제조소상세</t>
        </is>
      </c>
      <c r="V62" s="22" t="inlineStr">
        <is>
          <t>미확인</t>
        </is>
      </c>
      <c r="W62" s="22" t="inlineStr">
        <is>
          <t>미확인</t>
        </is>
      </c>
      <c r="X62" s="22" t="inlineStr">
        <is>
          <t>미확인</t>
        </is>
      </c>
      <c r="Y62" s="22" t="inlineStr">
        <is>
          <t>미확인</t>
        </is>
      </c>
      <c r="Z62" s="22" t="inlineStr">
        <is>
          <t>미확인</t>
        </is>
      </c>
      <c r="AA62" s="22" t="inlineStr">
        <is>
          <t>미확인</t>
        </is>
      </c>
      <c r="AB62" s="22" t="inlineStr">
        <is>
          <t>미확인</t>
        </is>
      </c>
      <c r="AC62" s="22" t="inlineStr">
        <is>
          <t>미확인</t>
        </is>
      </c>
      <c r="AD62" s="22" t="inlineStr">
        <is>
          <t>미확인</t>
        </is>
      </c>
      <c r="AE62" s="22" t="inlineStr">
        <is>
          <t>미확인</t>
        </is>
      </c>
      <c r="AF62" s="22" t="inlineStr">
        <is>
          <t>미확인</t>
        </is>
      </c>
      <c r="AG62" s="22" t="inlineStr">
        <is>
          <t>미확인</t>
        </is>
      </c>
      <c r="AH62" s="22" t="inlineStr">
        <is>
          <t>미확인</t>
        </is>
      </c>
      <c r="AI62" s="22" t="inlineStr">
        <is>
          <t>미확인</t>
        </is>
      </c>
      <c r="AJ62" s="22" t="inlineStr">
        <is>
          <t>미확인</t>
        </is>
      </c>
      <c r="AK62" s="22" t="inlineStr">
        <is>
          <t>미확인</t>
        </is>
      </c>
      <c r="AL62" s="22" t="inlineStr">
        <is>
          <t>미확인</t>
        </is>
      </c>
      <c r="AM62" s="22" t="inlineStr">
        <is>
          <t>미확인</t>
        </is>
      </c>
      <c r="AN62" s="22" t="inlineStr">
        <is>
          <t>미확인</t>
        </is>
      </c>
      <c r="AO62" s="17" t="inlineStr">
        <is>
          <t>C(부분확인)</t>
        </is>
      </c>
      <c r="AP62" s="17" t="inlineStr">
        <is>
          <t>Y</t>
        </is>
      </c>
      <c r="AQ62" s="17" t="n">
        <v>4</v>
      </c>
      <c r="AR62" s="28" t="inlineStr">
        <is>
          <t>Tier D</t>
        </is>
      </c>
      <c r="AS62" s="17" t="inlineStr">
        <is>
          <t>EDMS</t>
        </is>
      </c>
      <c r="AT62" s="17" t="inlineStr">
        <is>
          <t>기본 문서관리 수요</t>
        </is>
      </c>
      <c r="AU62" s="17" t="inlineStr">
        <is>
          <t>담당자 파악 후 접촉</t>
        </is>
      </c>
      <c r="AV62" s="17" t="inlineStr">
        <is>
          <t>GMP적합판정+KRX</t>
        </is>
      </c>
      <c r="AW62" s="17" t="inlineStr">
        <is>
          <t>2026-07-05</t>
        </is>
      </c>
    </row>
    <row r="63">
      <c r="A63" s="17" t="inlineStr">
        <is>
          <t>C062</t>
        </is>
      </c>
      <c r="B63" s="17" t="inlineStr">
        <is>
          <t>동국생명과학</t>
        </is>
      </c>
      <c r="C63" s="17" t="inlineStr">
        <is>
          <t>동국생명과학(주)</t>
        </is>
      </c>
      <c r="D63" s="17" t="n">
        <v>2</v>
      </c>
      <c r="E63" s="17" t="n">
        <v>1</v>
      </c>
      <c r="F63" s="17" t="inlineStr">
        <is>
          <t>Y</t>
        </is>
      </c>
      <c r="G63" s="17" t="inlineStr">
        <is>
          <t>Y</t>
        </is>
      </c>
      <c r="H63" s="17" t="inlineStr">
        <is>
          <t>Y</t>
        </is>
      </c>
      <c r="I63" s="17" t="inlineStr"/>
      <c r="J63" s="24" t="n">
        <v>46272</v>
      </c>
      <c r="K63" s="17" t="inlineStr">
        <is>
          <t>Y</t>
        </is>
      </c>
      <c r="L63" s="17" t="inlineStr">
        <is>
          <t>Y</t>
        </is>
      </c>
      <c r="M63" s="17" t="inlineStr">
        <is>
          <t>코스닥</t>
        </is>
      </c>
      <c r="N63" s="23" t="inlineStr">
        <is>
          <t>303810</t>
        </is>
      </c>
      <c r="O63" s="17" t="inlineStr">
        <is>
          <t>의약품 제조업</t>
        </is>
      </c>
      <c r="P63" s="17" t="inlineStr">
        <is>
          <t>조영제 완제 및 원료, 의료기기 유통</t>
        </is>
      </c>
      <c r="Q63" s="17" t="inlineStr">
        <is>
          <t>박재원</t>
        </is>
      </c>
      <c r="R63" s="17" t="inlineStr">
        <is>
          <t>http://dkls.co.kr</t>
        </is>
      </c>
      <c r="S63" s="17" t="inlineStr">
        <is>
          <t>서울특별시</t>
        </is>
      </c>
      <c r="T63" s="17" t="inlineStr">
        <is>
          <t>미확인</t>
        </is>
      </c>
      <c r="U63" s="17" t="inlineStr">
        <is>
          <t>미확인</t>
        </is>
      </c>
      <c r="V63" s="22" t="inlineStr">
        <is>
          <t>미확인</t>
        </is>
      </c>
      <c r="W63" s="22" t="inlineStr">
        <is>
          <t>미확인</t>
        </is>
      </c>
      <c r="X63" s="22" t="inlineStr">
        <is>
          <t>미확인</t>
        </is>
      </c>
      <c r="Y63" s="22" t="inlineStr">
        <is>
          <t>미확인</t>
        </is>
      </c>
      <c r="Z63" s="22" t="inlineStr">
        <is>
          <t>미확인</t>
        </is>
      </c>
      <c r="AA63" s="22" t="inlineStr">
        <is>
          <t>미확인</t>
        </is>
      </c>
      <c r="AB63" s="22" t="inlineStr">
        <is>
          <t>미확인</t>
        </is>
      </c>
      <c r="AC63" s="22" t="inlineStr">
        <is>
          <t>미확인</t>
        </is>
      </c>
      <c r="AD63" s="22" t="inlineStr">
        <is>
          <t>미확인</t>
        </is>
      </c>
      <c r="AE63" s="22" t="inlineStr">
        <is>
          <t>미확인</t>
        </is>
      </c>
      <c r="AF63" s="22" t="inlineStr">
        <is>
          <t>미확인</t>
        </is>
      </c>
      <c r="AG63" s="22" t="inlineStr">
        <is>
          <t>미확인</t>
        </is>
      </c>
      <c r="AH63" s="22" t="inlineStr">
        <is>
          <t>미확인</t>
        </is>
      </c>
      <c r="AI63" s="22" t="inlineStr">
        <is>
          <t>미확인</t>
        </is>
      </c>
      <c r="AJ63" s="22" t="inlineStr">
        <is>
          <t>미확인</t>
        </is>
      </c>
      <c r="AK63" s="22" t="inlineStr">
        <is>
          <t>미확인</t>
        </is>
      </c>
      <c r="AL63" s="22" t="inlineStr">
        <is>
          <t>미확인</t>
        </is>
      </c>
      <c r="AM63" s="22" t="inlineStr">
        <is>
          <t>미확인</t>
        </is>
      </c>
      <c r="AN63" s="22" t="inlineStr">
        <is>
          <t>미확인</t>
        </is>
      </c>
      <c r="AO63" s="17" t="inlineStr">
        <is>
          <t>C(부분확인)</t>
        </is>
      </c>
      <c r="AP63" s="17" t="inlineStr">
        <is>
          <t>Y</t>
        </is>
      </c>
      <c r="AQ63" s="17" t="n">
        <v>17</v>
      </c>
      <c r="AR63" s="28" t="inlineStr">
        <is>
          <t>Tier D</t>
        </is>
      </c>
      <c r="AS63" s="17" t="inlineStr">
        <is>
          <t>QMS+LIMS</t>
        </is>
      </c>
      <c r="AT63" s="17" t="inlineStr">
        <is>
          <t>무균/바이오 제조로 품질관리 난도 높음; 원료 제조로 시험실 관리 필요</t>
        </is>
      </c>
      <c r="AU63" s="17" t="inlineStr">
        <is>
          <t>담당자 파악 후 접촉</t>
        </is>
      </c>
      <c r="AV63" s="17" t="inlineStr">
        <is>
          <t>GMP적합판정+KRX</t>
        </is>
      </c>
      <c r="AW63" s="17" t="inlineStr">
        <is>
          <t>2026-07-05</t>
        </is>
      </c>
    </row>
    <row r="64">
      <c r="A64" s="17" t="inlineStr">
        <is>
          <t>C063</t>
        </is>
      </c>
      <c r="B64" s="17" t="inlineStr">
        <is>
          <t>단일시스켐</t>
        </is>
      </c>
      <c r="C64" s="17" t="inlineStr">
        <is>
          <t>단일시스켐(주)</t>
        </is>
      </c>
      <c r="D64" s="17" t="n">
        <v>3</v>
      </c>
      <c r="E64" s="17" t="n">
        <v>3</v>
      </c>
      <c r="F64" s="17" t="inlineStr">
        <is>
          <t>Y</t>
        </is>
      </c>
      <c r="G64" s="17" t="inlineStr"/>
      <c r="H64" s="17" t="inlineStr"/>
      <c r="I64" s="17" t="inlineStr"/>
      <c r="J64" s="24" t="n">
        <v>46871</v>
      </c>
      <c r="K64" s="17" t="inlineStr"/>
      <c r="L64" s="17" t="inlineStr"/>
      <c r="M64" s="17" t="inlineStr"/>
      <c r="N64" s="23" t="inlineStr"/>
      <c r="O64" s="17" t="inlineStr"/>
      <c r="P64" s="17" t="inlineStr"/>
      <c r="Q64" s="17" t="inlineStr">
        <is>
          <t>장세훈</t>
        </is>
      </c>
      <c r="R64" s="17" t="inlineStr"/>
      <c r="S64" s="17" t="inlineStr"/>
      <c r="T64" s="17" t="inlineStr">
        <is>
          <t>031-981-5544</t>
        </is>
      </c>
      <c r="U64" s="17" t="inlineStr">
        <is>
          <t>제조소상세</t>
        </is>
      </c>
      <c r="V64" s="22" t="inlineStr">
        <is>
          <t>미확인</t>
        </is>
      </c>
      <c r="W64" s="22" t="inlineStr">
        <is>
          <t>미확인</t>
        </is>
      </c>
      <c r="X64" s="22" t="inlineStr">
        <is>
          <t>미확인</t>
        </is>
      </c>
      <c r="Y64" s="22" t="inlineStr">
        <is>
          <t>미확인</t>
        </is>
      </c>
      <c r="Z64" s="22" t="inlineStr">
        <is>
          <t>미확인</t>
        </is>
      </c>
      <c r="AA64" s="22" t="inlineStr">
        <is>
          <t>미확인</t>
        </is>
      </c>
      <c r="AB64" s="22" t="inlineStr">
        <is>
          <t>미확인</t>
        </is>
      </c>
      <c r="AC64" s="22" t="inlineStr">
        <is>
          <t>미확인</t>
        </is>
      </c>
      <c r="AD64" s="22" t="inlineStr">
        <is>
          <t>미확인</t>
        </is>
      </c>
      <c r="AE64" s="22" t="inlineStr">
        <is>
          <t>미확인</t>
        </is>
      </c>
      <c r="AF64" s="22" t="inlineStr">
        <is>
          <t>미확인</t>
        </is>
      </c>
      <c r="AG64" s="22" t="inlineStr">
        <is>
          <t>미확인</t>
        </is>
      </c>
      <c r="AH64" s="22" t="inlineStr">
        <is>
          <t>미확인</t>
        </is>
      </c>
      <c r="AI64" s="22" t="inlineStr">
        <is>
          <t>미확인</t>
        </is>
      </c>
      <c r="AJ64" s="22" t="inlineStr">
        <is>
          <t>미확인</t>
        </is>
      </c>
      <c r="AK64" s="22" t="inlineStr">
        <is>
          <t>미확인</t>
        </is>
      </c>
      <c r="AL64" s="22" t="inlineStr">
        <is>
          <t>미확인</t>
        </is>
      </c>
      <c r="AM64" s="22" t="inlineStr">
        <is>
          <t>미확인</t>
        </is>
      </c>
      <c r="AN64" s="22" t="inlineStr">
        <is>
          <t>미확인</t>
        </is>
      </c>
      <c r="AO64" s="17" t="inlineStr">
        <is>
          <t>C(부분확인)</t>
        </is>
      </c>
      <c r="AP64" s="17" t="inlineStr">
        <is>
          <t>Y</t>
        </is>
      </c>
      <c r="AQ64" s="17" t="n">
        <v>12</v>
      </c>
      <c r="AR64" s="28" t="inlineStr">
        <is>
          <t>Tier D</t>
        </is>
      </c>
      <c r="AS64" s="17" t="inlineStr">
        <is>
          <t>통합형</t>
        </is>
      </c>
      <c r="AT64" s="17" t="inlineStr">
        <is>
          <t>다중 제조소/다수 판정서로 문서관리 복잡; 다중 제조소로 교육관리 대상 광범위</t>
        </is>
      </c>
      <c r="AU64" s="17" t="inlineStr">
        <is>
          <t>담당자 파악 후 접촉</t>
        </is>
      </c>
      <c r="AV64" s="17" t="inlineStr">
        <is>
          <t>GMP적합판정+KRX</t>
        </is>
      </c>
      <c r="AW64" s="17" t="inlineStr">
        <is>
          <t>2026-07-05</t>
        </is>
      </c>
    </row>
    <row r="65">
      <c r="A65" s="17" t="inlineStr">
        <is>
          <t>C064</t>
        </is>
      </c>
      <c r="B65" s="17" t="inlineStr">
        <is>
          <t>경원산소</t>
        </is>
      </c>
      <c r="C65" s="17" t="inlineStr">
        <is>
          <t>경원산소(주)</t>
        </is>
      </c>
      <c r="D65" s="17" t="n">
        <v>1</v>
      </c>
      <c r="E65" s="17" t="n">
        <v>1</v>
      </c>
      <c r="F65" s="17" t="inlineStr">
        <is>
          <t>Y</t>
        </is>
      </c>
      <c r="G65" s="17" t="inlineStr"/>
      <c r="H65" s="17" t="inlineStr"/>
      <c r="I65" s="17" t="inlineStr"/>
      <c r="J65" s="24" t="n">
        <v>47172</v>
      </c>
      <c r="K65" s="17" t="inlineStr"/>
      <c r="L65" s="17" t="inlineStr"/>
      <c r="M65" s="17" t="inlineStr"/>
      <c r="N65" s="23" t="inlineStr"/>
      <c r="O65" s="17" t="inlineStr"/>
      <c r="P65" s="17" t="inlineStr"/>
      <c r="Q65" s="17" t="inlineStr">
        <is>
          <t>임정규</t>
        </is>
      </c>
      <c r="R65" s="17" t="inlineStr"/>
      <c r="S65" s="17" t="inlineStr"/>
      <c r="T65" s="17" t="inlineStr">
        <is>
          <t>033-731-0202</t>
        </is>
      </c>
      <c r="U65" s="17" t="inlineStr">
        <is>
          <t>제조소상세</t>
        </is>
      </c>
      <c r="V65" s="22" t="inlineStr">
        <is>
          <t>미확인</t>
        </is>
      </c>
      <c r="W65" s="22" t="inlineStr">
        <is>
          <t>미확인</t>
        </is>
      </c>
      <c r="X65" s="22" t="inlineStr">
        <is>
          <t>미확인</t>
        </is>
      </c>
      <c r="Y65" s="22" t="inlineStr">
        <is>
          <t>미확인</t>
        </is>
      </c>
      <c r="Z65" s="22" t="inlineStr">
        <is>
          <t>미확인</t>
        </is>
      </c>
      <c r="AA65" s="22" t="inlineStr">
        <is>
          <t>미확인</t>
        </is>
      </c>
      <c r="AB65" s="22" t="inlineStr">
        <is>
          <t>미확인</t>
        </is>
      </c>
      <c r="AC65" s="22" t="inlineStr">
        <is>
          <t>미확인</t>
        </is>
      </c>
      <c r="AD65" s="22" t="inlineStr">
        <is>
          <t>미확인</t>
        </is>
      </c>
      <c r="AE65" s="22" t="inlineStr">
        <is>
          <t>미확인</t>
        </is>
      </c>
      <c r="AF65" s="22" t="inlineStr">
        <is>
          <t>미확인</t>
        </is>
      </c>
      <c r="AG65" s="22" t="inlineStr">
        <is>
          <t>미확인</t>
        </is>
      </c>
      <c r="AH65" s="22" t="inlineStr">
        <is>
          <t>미확인</t>
        </is>
      </c>
      <c r="AI65" s="22" t="inlineStr">
        <is>
          <t>미확인</t>
        </is>
      </c>
      <c r="AJ65" s="22" t="inlineStr">
        <is>
          <t>미확인</t>
        </is>
      </c>
      <c r="AK65" s="22" t="inlineStr">
        <is>
          <t>미확인</t>
        </is>
      </c>
      <c r="AL65" s="22" t="inlineStr">
        <is>
          <t>미확인</t>
        </is>
      </c>
      <c r="AM65" s="22" t="inlineStr">
        <is>
          <t>미확인</t>
        </is>
      </c>
      <c r="AN65" s="22" t="inlineStr">
        <is>
          <t>미확인</t>
        </is>
      </c>
      <c r="AO65" s="17" t="inlineStr">
        <is>
          <t>C(부분확인)</t>
        </is>
      </c>
      <c r="AP65" s="17" t="inlineStr">
        <is>
          <t>Y</t>
        </is>
      </c>
      <c r="AQ65" s="17" t="n">
        <v>4</v>
      </c>
      <c r="AR65" s="28" t="inlineStr">
        <is>
          <t>Tier D</t>
        </is>
      </c>
      <c r="AS65" s="17" t="inlineStr">
        <is>
          <t>EDMS</t>
        </is>
      </c>
      <c r="AT65" s="17" t="inlineStr">
        <is>
          <t>기본 문서관리 수요</t>
        </is>
      </c>
      <c r="AU65" s="17" t="inlineStr">
        <is>
          <t>담당자 파악 후 접촉</t>
        </is>
      </c>
      <c r="AV65" s="17" t="inlineStr">
        <is>
          <t>GMP적합판정+KRX</t>
        </is>
      </c>
      <c r="AW65" s="17" t="inlineStr">
        <is>
          <t>2026-07-05</t>
        </is>
      </c>
    </row>
    <row r="66">
      <c r="A66" s="17" t="inlineStr">
        <is>
          <t>C065</t>
        </is>
      </c>
      <c r="B66" s="17" t="inlineStr">
        <is>
          <t>춘천종합가스</t>
        </is>
      </c>
      <c r="C66" s="17" t="inlineStr">
        <is>
          <t>춘천종합가스</t>
        </is>
      </c>
      <c r="D66" s="17" t="n">
        <v>1</v>
      </c>
      <c r="E66" s="17" t="n">
        <v>1</v>
      </c>
      <c r="F66" s="17" t="inlineStr">
        <is>
          <t>Y</t>
        </is>
      </c>
      <c r="G66" s="17" t="inlineStr"/>
      <c r="H66" s="17" t="inlineStr"/>
      <c r="I66" s="17" t="inlineStr"/>
      <c r="J66" s="24" t="n">
        <v>47172</v>
      </c>
      <c r="K66" s="17" t="inlineStr"/>
      <c r="L66" s="17" t="inlineStr"/>
      <c r="M66" s="17" t="inlineStr"/>
      <c r="N66" s="23" t="inlineStr"/>
      <c r="O66" s="17" t="inlineStr"/>
      <c r="P66" s="17" t="inlineStr"/>
      <c r="Q66" s="17" t="inlineStr">
        <is>
          <t>한천석</t>
        </is>
      </c>
      <c r="R66" s="17" t="inlineStr"/>
      <c r="S66" s="17" t="inlineStr"/>
      <c r="T66" s="17" t="inlineStr">
        <is>
          <t>033-262-3849</t>
        </is>
      </c>
      <c r="U66" s="17" t="inlineStr">
        <is>
          <t>제조소상세</t>
        </is>
      </c>
      <c r="V66" s="22" t="inlineStr">
        <is>
          <t>미확인</t>
        </is>
      </c>
      <c r="W66" s="22" t="inlineStr">
        <is>
          <t>미확인</t>
        </is>
      </c>
      <c r="X66" s="22" t="inlineStr">
        <is>
          <t>미확인</t>
        </is>
      </c>
      <c r="Y66" s="22" t="inlineStr">
        <is>
          <t>미확인</t>
        </is>
      </c>
      <c r="Z66" s="22" t="inlineStr">
        <is>
          <t>미확인</t>
        </is>
      </c>
      <c r="AA66" s="22" t="inlineStr">
        <is>
          <t>미확인</t>
        </is>
      </c>
      <c r="AB66" s="22" t="inlineStr">
        <is>
          <t>미확인</t>
        </is>
      </c>
      <c r="AC66" s="22" t="inlineStr">
        <is>
          <t>미확인</t>
        </is>
      </c>
      <c r="AD66" s="22" t="inlineStr">
        <is>
          <t>미확인</t>
        </is>
      </c>
      <c r="AE66" s="22" t="inlineStr">
        <is>
          <t>미확인</t>
        </is>
      </c>
      <c r="AF66" s="22" t="inlineStr">
        <is>
          <t>미확인</t>
        </is>
      </c>
      <c r="AG66" s="22" t="inlineStr">
        <is>
          <t>미확인</t>
        </is>
      </c>
      <c r="AH66" s="22" t="inlineStr">
        <is>
          <t>미확인</t>
        </is>
      </c>
      <c r="AI66" s="22" t="inlineStr">
        <is>
          <t>미확인</t>
        </is>
      </c>
      <c r="AJ66" s="22" t="inlineStr">
        <is>
          <t>미확인</t>
        </is>
      </c>
      <c r="AK66" s="22" t="inlineStr">
        <is>
          <t>미확인</t>
        </is>
      </c>
      <c r="AL66" s="22" t="inlineStr">
        <is>
          <t>미확인</t>
        </is>
      </c>
      <c r="AM66" s="22" t="inlineStr">
        <is>
          <t>미확인</t>
        </is>
      </c>
      <c r="AN66" s="22" t="inlineStr">
        <is>
          <t>미확인</t>
        </is>
      </c>
      <c r="AO66" s="17" t="inlineStr">
        <is>
          <t>C(부분확인)</t>
        </is>
      </c>
      <c r="AP66" s="17" t="inlineStr">
        <is>
          <t>Y</t>
        </is>
      </c>
      <c r="AQ66" s="17" t="n">
        <v>4</v>
      </c>
      <c r="AR66" s="28" t="inlineStr">
        <is>
          <t>Tier D</t>
        </is>
      </c>
      <c r="AS66" s="17" t="inlineStr">
        <is>
          <t>EDMS</t>
        </is>
      </c>
      <c r="AT66" s="17" t="inlineStr">
        <is>
          <t>기본 문서관리 수요</t>
        </is>
      </c>
      <c r="AU66" s="17" t="inlineStr">
        <is>
          <t>담당자 파악 후 접촉</t>
        </is>
      </c>
      <c r="AV66" s="17" t="inlineStr">
        <is>
          <t>GMP적합판정+KRX</t>
        </is>
      </c>
      <c r="AW66" s="17" t="inlineStr">
        <is>
          <t>2026-07-05</t>
        </is>
      </c>
    </row>
    <row r="67">
      <c r="A67" s="17" t="inlineStr">
        <is>
          <t>C066</t>
        </is>
      </c>
      <c r="B67" s="17" t="inlineStr">
        <is>
          <t>녹십자엠에스</t>
        </is>
      </c>
      <c r="C67" s="17" t="inlineStr">
        <is>
          <t>(주)녹십자엠에스</t>
        </is>
      </c>
      <c r="D67" s="17" t="n">
        <v>1</v>
      </c>
      <c r="E67" s="17" t="n">
        <v>1</v>
      </c>
      <c r="F67" s="17" t="inlineStr">
        <is>
          <t>Y</t>
        </is>
      </c>
      <c r="G67" s="17" t="inlineStr"/>
      <c r="H67" s="17" t="inlineStr"/>
      <c r="I67" s="17" t="inlineStr"/>
      <c r="J67" s="24" t="n">
        <v>47172</v>
      </c>
      <c r="K67" s="17" t="inlineStr"/>
      <c r="L67" s="17" t="inlineStr">
        <is>
          <t>Y</t>
        </is>
      </c>
      <c r="M67" s="17" t="inlineStr">
        <is>
          <t>코스닥</t>
        </is>
      </c>
      <c r="N67" s="23" t="inlineStr">
        <is>
          <t>142280</t>
        </is>
      </c>
      <c r="O67" s="17" t="inlineStr">
        <is>
          <t>의료용품 및 기타 의약 관련제품 제조업</t>
        </is>
      </c>
      <c r="P67" s="17" t="inlineStr">
        <is>
          <t>혈액백, 진단시약, 혈액투석액</t>
        </is>
      </c>
      <c r="Q67" s="17" t="inlineStr">
        <is>
          <t>김연근</t>
        </is>
      </c>
      <c r="R67" s="17" t="inlineStr">
        <is>
          <t>http://www.greencrossms.com</t>
        </is>
      </c>
      <c r="S67" s="17" t="inlineStr">
        <is>
          <t>경기도</t>
        </is>
      </c>
      <c r="T67" s="17" t="inlineStr">
        <is>
          <t>031-260-9553</t>
        </is>
      </c>
      <c r="U67" s="17" t="inlineStr">
        <is>
          <t>제조소상세</t>
        </is>
      </c>
      <c r="V67" s="22" t="inlineStr">
        <is>
          <t>미확인</t>
        </is>
      </c>
      <c r="W67" s="22" t="inlineStr">
        <is>
          <t>미확인</t>
        </is>
      </c>
      <c r="X67" s="22" t="inlineStr">
        <is>
          <t>미확인</t>
        </is>
      </c>
      <c r="Y67" s="22" t="inlineStr">
        <is>
          <t>미확인</t>
        </is>
      </c>
      <c r="Z67" s="22" t="inlineStr">
        <is>
          <t>미확인</t>
        </is>
      </c>
      <c r="AA67" s="22" t="inlineStr">
        <is>
          <t>미확인</t>
        </is>
      </c>
      <c r="AB67" s="22" t="inlineStr">
        <is>
          <t>미확인</t>
        </is>
      </c>
      <c r="AC67" s="22" t="inlineStr">
        <is>
          <t>미확인</t>
        </is>
      </c>
      <c r="AD67" s="22" t="inlineStr">
        <is>
          <t>미확인</t>
        </is>
      </c>
      <c r="AE67" s="22" t="inlineStr">
        <is>
          <t>미확인</t>
        </is>
      </c>
      <c r="AF67" s="22" t="inlineStr">
        <is>
          <t>미확인</t>
        </is>
      </c>
      <c r="AG67" s="22" t="inlineStr">
        <is>
          <t>미확인</t>
        </is>
      </c>
      <c r="AH67" s="22" t="inlineStr">
        <is>
          <t>미확인</t>
        </is>
      </c>
      <c r="AI67" s="22" t="inlineStr">
        <is>
          <t>미확인</t>
        </is>
      </c>
      <c r="AJ67" s="22" t="inlineStr">
        <is>
          <t>미확인</t>
        </is>
      </c>
      <c r="AK67" s="22" t="inlineStr">
        <is>
          <t>미확인</t>
        </is>
      </c>
      <c r="AL67" s="22" t="inlineStr">
        <is>
          <t>미확인</t>
        </is>
      </c>
      <c r="AM67" s="22" t="inlineStr">
        <is>
          <t>미확인</t>
        </is>
      </c>
      <c r="AN67" s="22" t="inlineStr">
        <is>
          <t>미확인</t>
        </is>
      </c>
      <c r="AO67" s="17" t="inlineStr">
        <is>
          <t>C(부분확인)</t>
        </is>
      </c>
      <c r="AP67" s="17" t="inlineStr">
        <is>
          <t>Y</t>
        </is>
      </c>
      <c r="AQ67" s="17" t="n">
        <v>7</v>
      </c>
      <c r="AR67" s="28" t="inlineStr">
        <is>
          <t>Tier D</t>
        </is>
      </c>
      <c r="AS67" s="17" t="inlineStr">
        <is>
          <t>EDMS</t>
        </is>
      </c>
      <c r="AT67" s="17" t="inlineStr">
        <is>
          <t>기본 문서관리 수요</t>
        </is>
      </c>
      <c r="AU67" s="17" t="inlineStr">
        <is>
          <t>담당자 파악 후 접촉</t>
        </is>
      </c>
      <c r="AV67" s="17" t="inlineStr">
        <is>
          <t>GMP적합판정+KRX</t>
        </is>
      </c>
      <c r="AW67" s="17" t="inlineStr">
        <is>
          <t>2026-07-05</t>
        </is>
      </c>
    </row>
    <row r="68">
      <c r="A68" s="17" t="inlineStr">
        <is>
          <t>C067</t>
        </is>
      </c>
      <c r="B68" s="17" t="inlineStr">
        <is>
          <t>재단법인아산사회복지재단서울아산병원</t>
        </is>
      </c>
      <c r="C68" s="17" t="inlineStr">
        <is>
          <t>재단법인아산사회복지재단서울아산병원</t>
        </is>
      </c>
      <c r="D68" s="17" t="n">
        <v>1</v>
      </c>
      <c r="E68" s="17" t="n">
        <v>1</v>
      </c>
      <c r="F68" s="17" t="inlineStr">
        <is>
          <t>Y</t>
        </is>
      </c>
      <c r="G68" s="17" t="inlineStr"/>
      <c r="H68" s="17" t="inlineStr">
        <is>
          <t>Y</t>
        </is>
      </c>
      <c r="I68" s="17" t="inlineStr"/>
      <c r="J68" s="24" t="n">
        <v>47172</v>
      </c>
      <c r="K68" s="17" t="inlineStr"/>
      <c r="L68" s="17" t="inlineStr"/>
      <c r="M68" s="17" t="inlineStr"/>
      <c r="N68" s="23" t="inlineStr"/>
      <c r="O68" s="17" t="inlineStr"/>
      <c r="P68" s="17" t="inlineStr"/>
      <c r="Q68" s="17" t="inlineStr">
        <is>
          <t>정몽준</t>
        </is>
      </c>
      <c r="R68" s="17" t="inlineStr"/>
      <c r="S68" s="17" t="inlineStr"/>
      <c r="T68" s="17" t="inlineStr">
        <is>
          <t>미확인</t>
        </is>
      </c>
      <c r="U68" s="17" t="inlineStr">
        <is>
          <t>미확인</t>
        </is>
      </c>
      <c r="V68" s="22" t="inlineStr">
        <is>
          <t>미확인</t>
        </is>
      </c>
      <c r="W68" s="22" t="inlineStr">
        <is>
          <t>미확인</t>
        </is>
      </c>
      <c r="X68" s="22" t="inlineStr">
        <is>
          <t>미확인</t>
        </is>
      </c>
      <c r="Y68" s="22" t="inlineStr">
        <is>
          <t>미확인</t>
        </is>
      </c>
      <c r="Z68" s="22" t="inlineStr">
        <is>
          <t>미확인</t>
        </is>
      </c>
      <c r="AA68" s="22" t="inlineStr">
        <is>
          <t>미확인</t>
        </is>
      </c>
      <c r="AB68" s="22" t="inlineStr">
        <is>
          <t>미확인</t>
        </is>
      </c>
      <c r="AC68" s="22" t="inlineStr">
        <is>
          <t>미확인</t>
        </is>
      </c>
      <c r="AD68" s="22" t="inlineStr">
        <is>
          <t>미확인</t>
        </is>
      </c>
      <c r="AE68" s="22" t="inlineStr">
        <is>
          <t>미확인</t>
        </is>
      </c>
      <c r="AF68" s="22" t="inlineStr">
        <is>
          <t>미확인</t>
        </is>
      </c>
      <c r="AG68" s="22" t="inlineStr">
        <is>
          <t>미확인</t>
        </is>
      </c>
      <c r="AH68" s="22" t="inlineStr">
        <is>
          <t>미확인</t>
        </is>
      </c>
      <c r="AI68" s="22" t="inlineStr">
        <is>
          <t>미확인</t>
        </is>
      </c>
      <c r="AJ68" s="22" t="inlineStr">
        <is>
          <t>미확인</t>
        </is>
      </c>
      <c r="AK68" s="22" t="inlineStr">
        <is>
          <t>미확인</t>
        </is>
      </c>
      <c r="AL68" s="22" t="inlineStr">
        <is>
          <t>미확인</t>
        </is>
      </c>
      <c r="AM68" s="22" t="inlineStr">
        <is>
          <t>미확인</t>
        </is>
      </c>
      <c r="AN68" s="22" t="inlineStr">
        <is>
          <t>미확인</t>
        </is>
      </c>
      <c r="AO68" s="17" t="inlineStr">
        <is>
          <t>C(부분확인)</t>
        </is>
      </c>
      <c r="AP68" s="17" t="inlineStr">
        <is>
          <t>Y</t>
        </is>
      </c>
      <c r="AQ68" s="17" t="n">
        <v>12</v>
      </c>
      <c r="AR68" s="28" t="inlineStr">
        <is>
          <t>Tier D</t>
        </is>
      </c>
      <c r="AS68" s="17" t="inlineStr">
        <is>
          <t>QMS+LIMS</t>
        </is>
      </c>
      <c r="AT68" s="17" t="inlineStr">
        <is>
          <t>무균/바이오 제조로 품질관리 난도 높음</t>
        </is>
      </c>
      <c r="AU68" s="17" t="inlineStr">
        <is>
          <t>담당자 파악 후 접촉</t>
        </is>
      </c>
      <c r="AV68" s="17" t="inlineStr">
        <is>
          <t>GMP적합판정+KRX</t>
        </is>
      </c>
      <c r="AW68" s="17" t="inlineStr">
        <is>
          <t>2026-07-05</t>
        </is>
      </c>
    </row>
    <row r="69">
      <c r="A69" s="17" t="inlineStr">
        <is>
          <t>C068</t>
        </is>
      </c>
      <c r="B69" s="17" t="inlineStr">
        <is>
          <t>아주약품</t>
        </is>
      </c>
      <c r="C69" s="17" t="inlineStr">
        <is>
          <t>아주약품(주)</t>
        </is>
      </c>
      <c r="D69" s="17" t="n">
        <v>1</v>
      </c>
      <c r="E69" s="17" t="n">
        <v>1</v>
      </c>
      <c r="F69" s="17" t="inlineStr">
        <is>
          <t>Y</t>
        </is>
      </c>
      <c r="G69" s="17" t="inlineStr"/>
      <c r="H69" s="17" t="inlineStr">
        <is>
          <t>Y</t>
        </is>
      </c>
      <c r="I69" s="17" t="inlineStr"/>
      <c r="J69" s="24" t="n">
        <v>47172</v>
      </c>
      <c r="K69" s="17" t="inlineStr"/>
      <c r="L69" s="17" t="inlineStr"/>
      <c r="M69" s="17" t="inlineStr"/>
      <c r="N69" s="23" t="inlineStr"/>
      <c r="O69" s="17" t="inlineStr"/>
      <c r="P69" s="17" t="inlineStr"/>
      <c r="Q69" s="17" t="inlineStr">
        <is>
          <t>김태훈</t>
        </is>
      </c>
      <c r="R69" s="17" t="inlineStr"/>
      <c r="S69" s="17" t="inlineStr"/>
      <c r="T69" s="17" t="inlineStr">
        <is>
          <t>2630-0700</t>
        </is>
      </c>
      <c r="U69" s="17" t="inlineStr">
        <is>
          <t>제조소상세</t>
        </is>
      </c>
      <c r="V69" s="22" t="inlineStr">
        <is>
          <t>미확인</t>
        </is>
      </c>
      <c r="W69" s="22" t="inlineStr">
        <is>
          <t>미확인</t>
        </is>
      </c>
      <c r="X69" s="22" t="inlineStr">
        <is>
          <t>미확인</t>
        </is>
      </c>
      <c r="Y69" s="22" t="inlineStr">
        <is>
          <t>미확인</t>
        </is>
      </c>
      <c r="Z69" s="22" t="inlineStr">
        <is>
          <t>미확인</t>
        </is>
      </c>
      <c r="AA69" s="22" t="inlineStr">
        <is>
          <t>미확인</t>
        </is>
      </c>
      <c r="AB69" s="22" t="inlineStr">
        <is>
          <t>미확인</t>
        </is>
      </c>
      <c r="AC69" s="22" t="inlineStr">
        <is>
          <t>미확인</t>
        </is>
      </c>
      <c r="AD69" s="22" t="inlineStr">
        <is>
          <t>미확인</t>
        </is>
      </c>
      <c r="AE69" s="22" t="inlineStr">
        <is>
          <t>미확인</t>
        </is>
      </c>
      <c r="AF69" s="22" t="inlineStr">
        <is>
          <t>미확인</t>
        </is>
      </c>
      <c r="AG69" s="22" t="inlineStr">
        <is>
          <t>미확인</t>
        </is>
      </c>
      <c r="AH69" s="22" t="inlineStr">
        <is>
          <t>미확인</t>
        </is>
      </c>
      <c r="AI69" s="22" t="inlineStr">
        <is>
          <t>미확인</t>
        </is>
      </c>
      <c r="AJ69" s="22" t="inlineStr">
        <is>
          <t>미확인</t>
        </is>
      </c>
      <c r="AK69" s="22" t="inlineStr">
        <is>
          <t>미확인</t>
        </is>
      </c>
      <c r="AL69" s="22" t="inlineStr">
        <is>
          <t>미확인</t>
        </is>
      </c>
      <c r="AM69" s="22" t="inlineStr">
        <is>
          <t>미확인</t>
        </is>
      </c>
      <c r="AN69" s="22" t="inlineStr">
        <is>
          <t>미확인</t>
        </is>
      </c>
      <c r="AO69" s="17" t="inlineStr">
        <is>
          <t>C(부분확인)</t>
        </is>
      </c>
      <c r="AP69" s="17" t="inlineStr">
        <is>
          <t>Y</t>
        </is>
      </c>
      <c r="AQ69" s="17" t="n">
        <v>12</v>
      </c>
      <c r="AR69" s="28" t="inlineStr">
        <is>
          <t>Tier D</t>
        </is>
      </c>
      <c r="AS69" s="17" t="inlineStr">
        <is>
          <t>QMS+LIMS</t>
        </is>
      </c>
      <c r="AT69" s="17" t="inlineStr">
        <is>
          <t>무균/바이오 제조로 품질관리 난도 높음</t>
        </is>
      </c>
      <c r="AU69" s="17" t="inlineStr">
        <is>
          <t>담당자 파악 후 접촉</t>
        </is>
      </c>
      <c r="AV69" s="17" t="inlineStr">
        <is>
          <t>GMP적합판정+KRX</t>
        </is>
      </c>
      <c r="AW69" s="17" t="inlineStr">
        <is>
          <t>2026-07-05</t>
        </is>
      </c>
    </row>
    <row r="70">
      <c r="A70" s="17" t="inlineStr">
        <is>
          <t>C069</t>
        </is>
      </c>
      <c r="B70" s="17" t="inlineStr">
        <is>
          <t>환인제약</t>
        </is>
      </c>
      <c r="C70" s="17" t="inlineStr">
        <is>
          <t>환인제약(주)</t>
        </is>
      </c>
      <c r="D70" s="17" t="n">
        <v>2</v>
      </c>
      <c r="E70" s="17" t="n">
        <v>2</v>
      </c>
      <c r="F70" s="17" t="inlineStr">
        <is>
          <t>Y</t>
        </is>
      </c>
      <c r="G70" s="17" t="inlineStr"/>
      <c r="H70" s="17" t="inlineStr"/>
      <c r="I70" s="17" t="inlineStr"/>
      <c r="J70" s="24" t="n">
        <v>47065</v>
      </c>
      <c r="K70" s="17" t="inlineStr"/>
      <c r="L70" s="17" t="inlineStr">
        <is>
          <t>Y</t>
        </is>
      </c>
      <c r="M70" s="17" t="inlineStr">
        <is>
          <t>유가</t>
        </is>
      </c>
      <c r="N70" s="23" t="inlineStr">
        <is>
          <t>016580</t>
        </is>
      </c>
      <c r="O70" s="17" t="inlineStr">
        <is>
          <t>의약품 제조업</t>
        </is>
      </c>
      <c r="P70" s="17" t="inlineStr">
        <is>
          <t>의약품(신경정신질환치료제,소화기관용약제,연고) 제조,도매</t>
        </is>
      </c>
      <c r="Q70" s="17" t="inlineStr">
        <is>
          <t>이광식, 이원범(각자 대표이사)</t>
        </is>
      </c>
      <c r="R70" s="17" t="inlineStr">
        <is>
          <t>http://www.whanin.co.kr</t>
        </is>
      </c>
      <c r="S70" s="17" t="inlineStr">
        <is>
          <t>서울특별시</t>
        </is>
      </c>
      <c r="T70" s="17" t="inlineStr">
        <is>
          <t>031-849-4310</t>
        </is>
      </c>
      <c r="U70" s="17" t="inlineStr">
        <is>
          <t>제조소상세</t>
        </is>
      </c>
      <c r="V70" s="22" t="inlineStr">
        <is>
          <t>미확인</t>
        </is>
      </c>
      <c r="W70" s="22" t="inlineStr">
        <is>
          <t>미확인</t>
        </is>
      </c>
      <c r="X70" s="22" t="inlineStr">
        <is>
          <t>미확인</t>
        </is>
      </c>
      <c r="Y70" s="22" t="inlineStr">
        <is>
          <t>미확인</t>
        </is>
      </c>
      <c r="Z70" s="22" t="inlineStr">
        <is>
          <t>미확인</t>
        </is>
      </c>
      <c r="AA70" s="22" t="inlineStr">
        <is>
          <t>미확인</t>
        </is>
      </c>
      <c r="AB70" s="22" t="inlineStr">
        <is>
          <t>미확인</t>
        </is>
      </c>
      <c r="AC70" s="22" t="inlineStr">
        <is>
          <t>미확인</t>
        </is>
      </c>
      <c r="AD70" s="22" t="inlineStr">
        <is>
          <t>미확인</t>
        </is>
      </c>
      <c r="AE70" s="22" t="inlineStr">
        <is>
          <t>미확인</t>
        </is>
      </c>
      <c r="AF70" s="22" t="inlineStr">
        <is>
          <t>미확인</t>
        </is>
      </c>
      <c r="AG70" s="22" t="inlineStr">
        <is>
          <t>미확인</t>
        </is>
      </c>
      <c r="AH70" s="22" t="inlineStr">
        <is>
          <t>미확인</t>
        </is>
      </c>
      <c r="AI70" s="22" t="inlineStr">
        <is>
          <t>미확인</t>
        </is>
      </c>
      <c r="AJ70" s="22" t="inlineStr">
        <is>
          <t>미확인</t>
        </is>
      </c>
      <c r="AK70" s="22" t="inlineStr">
        <is>
          <t>미확인</t>
        </is>
      </c>
      <c r="AL70" s="22" t="inlineStr">
        <is>
          <t>미확인</t>
        </is>
      </c>
      <c r="AM70" s="22" t="inlineStr">
        <is>
          <t>미확인</t>
        </is>
      </c>
      <c r="AN70" s="22" t="inlineStr">
        <is>
          <t>미확인</t>
        </is>
      </c>
      <c r="AO70" s="17" t="inlineStr">
        <is>
          <t>C(부분확인)</t>
        </is>
      </c>
      <c r="AP70" s="17" t="inlineStr">
        <is>
          <t>Y</t>
        </is>
      </c>
      <c r="AQ70" s="17" t="n">
        <v>11</v>
      </c>
      <c r="AR70" s="28" t="inlineStr">
        <is>
          <t>Tier D</t>
        </is>
      </c>
      <c r="AS70" s="17" t="inlineStr">
        <is>
          <t>EDMS+QMS+LMS</t>
        </is>
      </c>
      <c r="AT70" s="17" t="inlineStr">
        <is>
          <t>다중 제조소/다수 판정서로 문서관리 복잡; 다중 제조소로 교육관리 대상 광범위</t>
        </is>
      </c>
      <c r="AU70" s="17" t="inlineStr">
        <is>
          <t>담당자 파악 후 접촉</t>
        </is>
      </c>
      <c r="AV70" s="17" t="inlineStr">
        <is>
          <t>GMP적합판정+KRX</t>
        </is>
      </c>
      <c r="AW70" s="17" t="inlineStr">
        <is>
          <t>2026-07-05</t>
        </is>
      </c>
    </row>
    <row r="71">
      <c r="A71" s="17" t="inlineStr">
        <is>
          <t>C070</t>
        </is>
      </c>
      <c r="B71" s="17" t="inlineStr">
        <is>
          <t>에어프로덕츠코리아</t>
        </is>
      </c>
      <c r="C71" s="17" t="inlineStr">
        <is>
          <t>에어프로덕츠코리아(주)</t>
        </is>
      </c>
      <c r="D71" s="17" t="n">
        <v>2</v>
      </c>
      <c r="E71" s="17" t="n">
        <v>2</v>
      </c>
      <c r="F71" s="17" t="inlineStr">
        <is>
          <t>Y</t>
        </is>
      </c>
      <c r="G71" s="17" t="inlineStr"/>
      <c r="H71" s="17" t="inlineStr"/>
      <c r="I71" s="17" t="inlineStr"/>
      <c r="J71" s="24" t="n">
        <v>46768</v>
      </c>
      <c r="K71" s="17" t="inlineStr"/>
      <c r="L71" s="17" t="inlineStr"/>
      <c r="M71" s="17" t="inlineStr"/>
      <c r="N71" s="23" t="inlineStr"/>
      <c r="O71" s="17" t="inlineStr"/>
      <c r="P71" s="17" t="inlineStr"/>
      <c r="Q71" s="17" t="inlineStr">
        <is>
          <t>김승록</t>
        </is>
      </c>
      <c r="R71" s="17" t="inlineStr"/>
      <c r="S71" s="17" t="inlineStr"/>
      <c r="T71" s="17" t="inlineStr">
        <is>
          <t>052-259-4098</t>
        </is>
      </c>
      <c r="U71" s="17" t="inlineStr">
        <is>
          <t>제조소상세</t>
        </is>
      </c>
      <c r="V71" s="22" t="inlineStr">
        <is>
          <t>미확인</t>
        </is>
      </c>
      <c r="W71" s="22" t="inlineStr">
        <is>
          <t>미확인</t>
        </is>
      </c>
      <c r="X71" s="22" t="inlineStr">
        <is>
          <t>미확인</t>
        </is>
      </c>
      <c r="Y71" s="22" t="inlineStr">
        <is>
          <t>미확인</t>
        </is>
      </c>
      <c r="Z71" s="22" t="inlineStr">
        <is>
          <t>미확인</t>
        </is>
      </c>
      <c r="AA71" s="22" t="inlineStr">
        <is>
          <t>미확인</t>
        </is>
      </c>
      <c r="AB71" s="22" t="inlineStr">
        <is>
          <t>미확인</t>
        </is>
      </c>
      <c r="AC71" s="22" t="inlineStr">
        <is>
          <t>미확인</t>
        </is>
      </c>
      <c r="AD71" s="22" t="inlineStr">
        <is>
          <t>미확인</t>
        </is>
      </c>
      <c r="AE71" s="22" t="inlineStr">
        <is>
          <t>미확인</t>
        </is>
      </c>
      <c r="AF71" s="22" t="inlineStr">
        <is>
          <t>미확인</t>
        </is>
      </c>
      <c r="AG71" s="22" t="inlineStr">
        <is>
          <t>미확인</t>
        </is>
      </c>
      <c r="AH71" s="22" t="inlineStr">
        <is>
          <t>미확인</t>
        </is>
      </c>
      <c r="AI71" s="22" t="inlineStr">
        <is>
          <t>미확인</t>
        </is>
      </c>
      <c r="AJ71" s="22" t="inlineStr">
        <is>
          <t>미확인</t>
        </is>
      </c>
      <c r="AK71" s="22" t="inlineStr">
        <is>
          <t>미확인</t>
        </is>
      </c>
      <c r="AL71" s="22" t="inlineStr">
        <is>
          <t>미확인</t>
        </is>
      </c>
      <c r="AM71" s="22" t="inlineStr">
        <is>
          <t>미확인</t>
        </is>
      </c>
      <c r="AN71" s="22" t="inlineStr">
        <is>
          <t>미확인</t>
        </is>
      </c>
      <c r="AO71" s="17" t="inlineStr">
        <is>
          <t>C(부분확인)</t>
        </is>
      </c>
      <c r="AP71" s="17" t="inlineStr">
        <is>
          <t>Y</t>
        </is>
      </c>
      <c r="AQ71" s="17" t="n">
        <v>8</v>
      </c>
      <c r="AR71" s="28" t="inlineStr">
        <is>
          <t>Tier D</t>
        </is>
      </c>
      <c r="AS71" s="17" t="inlineStr">
        <is>
          <t>EDMS+QMS+LMS</t>
        </is>
      </c>
      <c r="AT71" s="17" t="inlineStr">
        <is>
          <t>다중 제조소/다수 판정서로 문서관리 복잡; 다중 제조소로 교육관리 대상 광범위</t>
        </is>
      </c>
      <c r="AU71" s="17" t="inlineStr">
        <is>
          <t>담당자 파악 후 접촉</t>
        </is>
      </c>
      <c r="AV71" s="17" t="inlineStr">
        <is>
          <t>GMP적합판정+KRX</t>
        </is>
      </c>
      <c r="AW71" s="17" t="inlineStr">
        <is>
          <t>2026-07-05</t>
        </is>
      </c>
    </row>
    <row r="72">
      <c r="A72" s="17" t="inlineStr">
        <is>
          <t>C071</t>
        </is>
      </c>
      <c r="B72" s="17" t="inlineStr">
        <is>
          <t>서흥</t>
        </is>
      </c>
      <c r="C72" s="17" t="inlineStr">
        <is>
          <t>(주)서흥</t>
        </is>
      </c>
      <c r="D72" s="17" t="n">
        <v>1</v>
      </c>
      <c r="E72" s="17" t="n">
        <v>1</v>
      </c>
      <c r="F72" s="17" t="inlineStr">
        <is>
          <t>Y</t>
        </is>
      </c>
      <c r="G72" s="17" t="inlineStr"/>
      <c r="H72" s="17" t="inlineStr"/>
      <c r="I72" s="17" t="inlineStr"/>
      <c r="J72" s="24" t="n">
        <v>47170</v>
      </c>
      <c r="K72" s="17" t="inlineStr"/>
      <c r="L72" s="17" t="inlineStr">
        <is>
          <t>Y</t>
        </is>
      </c>
      <c r="M72" s="17" t="inlineStr">
        <is>
          <t>유가</t>
        </is>
      </c>
      <c r="N72" s="23" t="inlineStr">
        <is>
          <t>008490</t>
        </is>
      </c>
      <c r="O72" s="17" t="inlineStr">
        <is>
          <t>기타 화학제품 제조업</t>
        </is>
      </c>
      <c r="P72" s="17" t="inlineStr">
        <is>
          <t>의약품(하드캅셀,건강보조식품,소프트캅셀),건강보조식품,인삼제품 제조,판매</t>
        </is>
      </c>
      <c r="Q72" s="17" t="inlineStr">
        <is>
          <t>양주환</t>
        </is>
      </c>
      <c r="R72" s="17" t="inlineStr">
        <is>
          <t>http://www.suheung.com</t>
        </is>
      </c>
      <c r="S72" s="17" t="inlineStr">
        <is>
          <t>충청북도</t>
        </is>
      </c>
      <c r="T72" s="17" t="inlineStr">
        <is>
          <t>043-249-4252</t>
        </is>
      </c>
      <c r="U72" s="17" t="inlineStr">
        <is>
          <t>제조소상세</t>
        </is>
      </c>
      <c r="V72" s="22" t="inlineStr">
        <is>
          <t>미확인</t>
        </is>
      </c>
      <c r="W72" s="22" t="inlineStr">
        <is>
          <t>미확인</t>
        </is>
      </c>
      <c r="X72" s="22" t="inlineStr">
        <is>
          <t>미확인</t>
        </is>
      </c>
      <c r="Y72" s="22" t="inlineStr">
        <is>
          <t>미확인</t>
        </is>
      </c>
      <c r="Z72" s="22" t="inlineStr">
        <is>
          <t>미확인</t>
        </is>
      </c>
      <c r="AA72" s="22" t="inlineStr">
        <is>
          <t>미확인</t>
        </is>
      </c>
      <c r="AB72" s="22" t="inlineStr">
        <is>
          <t>미확인</t>
        </is>
      </c>
      <c r="AC72" s="22" t="inlineStr">
        <is>
          <t>미확인</t>
        </is>
      </c>
      <c r="AD72" s="22" t="inlineStr">
        <is>
          <t>미확인</t>
        </is>
      </c>
      <c r="AE72" s="22" t="inlineStr">
        <is>
          <t>미확인</t>
        </is>
      </c>
      <c r="AF72" s="22" t="inlineStr">
        <is>
          <t>미확인</t>
        </is>
      </c>
      <c r="AG72" s="22" t="inlineStr">
        <is>
          <t>미확인</t>
        </is>
      </c>
      <c r="AH72" s="22" t="inlineStr">
        <is>
          <t>미확인</t>
        </is>
      </c>
      <c r="AI72" s="22" t="inlineStr">
        <is>
          <t>미확인</t>
        </is>
      </c>
      <c r="AJ72" s="22" t="inlineStr">
        <is>
          <t>미확인</t>
        </is>
      </c>
      <c r="AK72" s="22" t="inlineStr">
        <is>
          <t>미확인</t>
        </is>
      </c>
      <c r="AL72" s="22" t="inlineStr">
        <is>
          <t>미확인</t>
        </is>
      </c>
      <c r="AM72" s="22" t="inlineStr">
        <is>
          <t>미확인</t>
        </is>
      </c>
      <c r="AN72" s="22" t="inlineStr">
        <is>
          <t>미확인</t>
        </is>
      </c>
      <c r="AO72" s="17" t="inlineStr">
        <is>
          <t>C(부분확인)</t>
        </is>
      </c>
      <c r="AP72" s="17" t="inlineStr">
        <is>
          <t>Y</t>
        </is>
      </c>
      <c r="AQ72" s="17" t="n">
        <v>7</v>
      </c>
      <c r="AR72" s="28" t="inlineStr">
        <is>
          <t>Tier D</t>
        </is>
      </c>
      <c r="AS72" s="17" t="inlineStr">
        <is>
          <t>EDMS</t>
        </is>
      </c>
      <c r="AT72" s="17" t="inlineStr">
        <is>
          <t>기본 문서관리 수요</t>
        </is>
      </c>
      <c r="AU72" s="17" t="inlineStr">
        <is>
          <t>담당자 파악 후 접촉</t>
        </is>
      </c>
      <c r="AV72" s="17" t="inlineStr">
        <is>
          <t>GMP적합판정+KRX</t>
        </is>
      </c>
      <c r="AW72" s="17" t="inlineStr">
        <is>
          <t>2026-07-05</t>
        </is>
      </c>
    </row>
    <row r="73">
      <c r="A73" s="17" t="inlineStr">
        <is>
          <t>C072</t>
        </is>
      </c>
      <c r="B73" s="17" t="inlineStr">
        <is>
          <t>디아이지에어가스</t>
        </is>
      </c>
      <c r="C73" s="17" t="inlineStr">
        <is>
          <t>디아이지에어가스(주)</t>
        </is>
      </c>
      <c r="D73" s="17" t="n">
        <v>5</v>
      </c>
      <c r="E73" s="17" t="n">
        <v>5</v>
      </c>
      <c r="F73" s="17" t="inlineStr">
        <is>
          <t>Y</t>
        </is>
      </c>
      <c r="G73" s="17" t="inlineStr"/>
      <c r="H73" s="17" t="inlineStr"/>
      <c r="I73" s="17" t="inlineStr"/>
      <c r="J73" s="24" t="n">
        <v>46813</v>
      </c>
      <c r="K73" s="17" t="inlineStr"/>
      <c r="L73" s="17" t="inlineStr"/>
      <c r="M73" s="17" t="inlineStr"/>
      <c r="N73" s="23" t="inlineStr"/>
      <c r="O73" s="17" t="inlineStr"/>
      <c r="P73" s="17" t="inlineStr"/>
      <c r="Q73" s="17" t="inlineStr">
        <is>
          <t>오규석</t>
        </is>
      </c>
      <c r="R73" s="17" t="inlineStr"/>
      <c r="S73" s="17" t="inlineStr"/>
      <c r="T73" s="17" t="inlineStr">
        <is>
          <t>031-491-2648</t>
        </is>
      </c>
      <c r="U73" s="17" t="inlineStr">
        <is>
          <t>제조소상세</t>
        </is>
      </c>
      <c r="V73" s="22" t="inlineStr">
        <is>
          <t>미확인</t>
        </is>
      </c>
      <c r="W73" s="22" t="inlineStr">
        <is>
          <t>미확인</t>
        </is>
      </c>
      <c r="X73" s="22" t="inlineStr">
        <is>
          <t>미확인</t>
        </is>
      </c>
      <c r="Y73" s="22" t="inlineStr">
        <is>
          <t>미확인</t>
        </is>
      </c>
      <c r="Z73" s="22" t="inlineStr">
        <is>
          <t>미확인</t>
        </is>
      </c>
      <c r="AA73" s="22" t="inlineStr">
        <is>
          <t>미확인</t>
        </is>
      </c>
      <c r="AB73" s="22" t="inlineStr">
        <is>
          <t>미확인</t>
        </is>
      </c>
      <c r="AC73" s="22" t="inlineStr">
        <is>
          <t>미확인</t>
        </is>
      </c>
      <c r="AD73" s="22" t="inlineStr">
        <is>
          <t>미확인</t>
        </is>
      </c>
      <c r="AE73" s="22" t="inlineStr">
        <is>
          <t>미확인</t>
        </is>
      </c>
      <c r="AF73" s="22" t="inlineStr">
        <is>
          <t>미확인</t>
        </is>
      </c>
      <c r="AG73" s="22" t="inlineStr">
        <is>
          <t>미확인</t>
        </is>
      </c>
      <c r="AH73" s="22" t="inlineStr">
        <is>
          <t>미확인</t>
        </is>
      </c>
      <c r="AI73" s="22" t="inlineStr">
        <is>
          <t>미확인</t>
        </is>
      </c>
      <c r="AJ73" s="22" t="inlineStr">
        <is>
          <t>미확인</t>
        </is>
      </c>
      <c r="AK73" s="22" t="inlineStr">
        <is>
          <t>미확인</t>
        </is>
      </c>
      <c r="AL73" s="22" t="inlineStr">
        <is>
          <t>미확인</t>
        </is>
      </c>
      <c r="AM73" s="22" t="inlineStr">
        <is>
          <t>미확인</t>
        </is>
      </c>
      <c r="AN73" s="22" t="inlineStr">
        <is>
          <t>미확인</t>
        </is>
      </c>
      <c r="AO73" s="17" t="inlineStr">
        <is>
          <t>C(부분확인)</t>
        </is>
      </c>
      <c r="AP73" s="17" t="inlineStr">
        <is>
          <t>Y</t>
        </is>
      </c>
      <c r="AQ73" s="17" t="n">
        <v>15</v>
      </c>
      <c r="AR73" s="28" t="inlineStr">
        <is>
          <t>Tier D</t>
        </is>
      </c>
      <c r="AS73" s="17" t="inlineStr">
        <is>
          <t>통합형</t>
        </is>
      </c>
      <c r="AT73" s="17" t="inlineStr">
        <is>
          <t>다중 제조소/다수 판정서로 문서관리 복잡; 다중 제조소로 교육관리 대상 광범위</t>
        </is>
      </c>
      <c r="AU73" s="17" t="inlineStr">
        <is>
          <t>담당자 파악 후 접촉</t>
        </is>
      </c>
      <c r="AV73" s="17" t="inlineStr">
        <is>
          <t>GMP적합판정+KRX</t>
        </is>
      </c>
      <c r="AW73" s="17" t="inlineStr">
        <is>
          <t>2026-07-05</t>
        </is>
      </c>
    </row>
    <row r="74">
      <c r="A74" s="17" t="inlineStr">
        <is>
          <t>C073</t>
        </is>
      </c>
      <c r="B74" s="17" t="inlineStr">
        <is>
          <t>텔콘알에프제약</t>
        </is>
      </c>
      <c r="C74" s="17" t="inlineStr">
        <is>
          <t>(주)텔콘알에프제약</t>
        </is>
      </c>
      <c r="D74" s="17" t="n">
        <v>1</v>
      </c>
      <c r="E74" s="17" t="n">
        <v>1</v>
      </c>
      <c r="F74" s="17" t="inlineStr">
        <is>
          <t>Y</t>
        </is>
      </c>
      <c r="G74" s="17" t="inlineStr"/>
      <c r="H74" s="17" t="inlineStr"/>
      <c r="I74" s="17" t="inlineStr"/>
      <c r="J74" s="24" t="n">
        <v>47165</v>
      </c>
      <c r="K74" s="17" t="inlineStr"/>
      <c r="L74" s="17" t="inlineStr"/>
      <c r="M74" s="17" t="inlineStr"/>
      <c r="N74" s="23" t="inlineStr"/>
      <c r="O74" s="17" t="inlineStr"/>
      <c r="P74" s="17" t="inlineStr"/>
      <c r="Q74" s="17" t="inlineStr">
        <is>
          <t>김지훈</t>
        </is>
      </c>
      <c r="R74" s="17" t="inlineStr"/>
      <c r="S74" s="17" t="inlineStr"/>
      <c r="T74" s="17" t="inlineStr">
        <is>
          <t>043-849-0200</t>
        </is>
      </c>
      <c r="U74" s="17" t="inlineStr">
        <is>
          <t>제조소상세</t>
        </is>
      </c>
      <c r="V74" s="22" t="inlineStr">
        <is>
          <t>미확인</t>
        </is>
      </c>
      <c r="W74" s="22" t="inlineStr">
        <is>
          <t>미확인</t>
        </is>
      </c>
      <c r="X74" s="22" t="inlineStr">
        <is>
          <t>미확인</t>
        </is>
      </c>
      <c r="Y74" s="22" t="inlineStr">
        <is>
          <t>미확인</t>
        </is>
      </c>
      <c r="Z74" s="22" t="inlineStr">
        <is>
          <t>미확인</t>
        </is>
      </c>
      <c r="AA74" s="22" t="inlineStr">
        <is>
          <t>미확인</t>
        </is>
      </c>
      <c r="AB74" s="22" t="inlineStr">
        <is>
          <t>미확인</t>
        </is>
      </c>
      <c r="AC74" s="22" t="inlineStr">
        <is>
          <t>미확인</t>
        </is>
      </c>
      <c r="AD74" s="22" t="inlineStr">
        <is>
          <t>미확인</t>
        </is>
      </c>
      <c r="AE74" s="22" t="inlineStr">
        <is>
          <t>미확인</t>
        </is>
      </c>
      <c r="AF74" s="22" t="inlineStr">
        <is>
          <t>미확인</t>
        </is>
      </c>
      <c r="AG74" s="22" t="inlineStr">
        <is>
          <t>미확인</t>
        </is>
      </c>
      <c r="AH74" s="22" t="inlineStr">
        <is>
          <t>미확인</t>
        </is>
      </c>
      <c r="AI74" s="22" t="inlineStr">
        <is>
          <t>미확인</t>
        </is>
      </c>
      <c r="AJ74" s="22" t="inlineStr">
        <is>
          <t>미확인</t>
        </is>
      </c>
      <c r="AK74" s="22" t="inlineStr">
        <is>
          <t>미확인</t>
        </is>
      </c>
      <c r="AL74" s="22" t="inlineStr">
        <is>
          <t>미확인</t>
        </is>
      </c>
      <c r="AM74" s="22" t="inlineStr">
        <is>
          <t>미확인</t>
        </is>
      </c>
      <c r="AN74" s="22" t="inlineStr">
        <is>
          <t>미확인</t>
        </is>
      </c>
      <c r="AO74" s="17" t="inlineStr">
        <is>
          <t>C(부분확인)</t>
        </is>
      </c>
      <c r="AP74" s="17" t="inlineStr">
        <is>
          <t>Y</t>
        </is>
      </c>
      <c r="AQ74" s="17" t="n">
        <v>4</v>
      </c>
      <c r="AR74" s="28" t="inlineStr">
        <is>
          <t>Tier D</t>
        </is>
      </c>
      <c r="AS74" s="17" t="inlineStr">
        <is>
          <t>EDMS</t>
        </is>
      </c>
      <c r="AT74" s="17" t="inlineStr">
        <is>
          <t>기본 문서관리 수요</t>
        </is>
      </c>
      <c r="AU74" s="17" t="inlineStr">
        <is>
          <t>담당자 파악 후 접촉</t>
        </is>
      </c>
      <c r="AV74" s="17" t="inlineStr">
        <is>
          <t>GMP적합판정+KRX</t>
        </is>
      </c>
      <c r="AW74" s="17" t="inlineStr">
        <is>
          <t>2026-07-05</t>
        </is>
      </c>
    </row>
    <row r="75">
      <c r="A75" s="17" t="inlineStr">
        <is>
          <t>C074</t>
        </is>
      </c>
      <c r="B75" s="17" t="inlineStr">
        <is>
          <t>한솔신약</t>
        </is>
      </c>
      <c r="C75" s="17" t="inlineStr">
        <is>
          <t>한솔신약(주)</t>
        </is>
      </c>
      <c r="D75" s="17" t="n">
        <v>1</v>
      </c>
      <c r="E75" s="17" t="n">
        <v>1</v>
      </c>
      <c r="F75" s="17" t="inlineStr">
        <is>
          <t>Y</t>
        </is>
      </c>
      <c r="G75" s="17" t="inlineStr"/>
      <c r="H75" s="17" t="inlineStr"/>
      <c r="I75" s="17" t="inlineStr"/>
      <c r="J75" s="24" t="n">
        <v>47163</v>
      </c>
      <c r="K75" s="17" t="inlineStr"/>
      <c r="L75" s="17" t="inlineStr"/>
      <c r="M75" s="17" t="inlineStr"/>
      <c r="N75" s="23" t="inlineStr"/>
      <c r="O75" s="17" t="inlineStr"/>
      <c r="P75" s="17" t="inlineStr"/>
      <c r="Q75" s="17" t="inlineStr">
        <is>
          <t>조정호</t>
        </is>
      </c>
      <c r="R75" s="17" t="inlineStr"/>
      <c r="S75" s="17" t="inlineStr"/>
      <c r="T75" s="17" t="inlineStr">
        <is>
          <t>043-881-6333</t>
        </is>
      </c>
      <c r="U75" s="17" t="inlineStr">
        <is>
          <t>제조소상세</t>
        </is>
      </c>
      <c r="V75" s="22" t="inlineStr">
        <is>
          <t>미확인</t>
        </is>
      </c>
      <c r="W75" s="22" t="inlineStr">
        <is>
          <t>미확인</t>
        </is>
      </c>
      <c r="X75" s="22" t="inlineStr">
        <is>
          <t>미확인</t>
        </is>
      </c>
      <c r="Y75" s="22" t="inlineStr">
        <is>
          <t>미확인</t>
        </is>
      </c>
      <c r="Z75" s="22" t="inlineStr">
        <is>
          <t>미확인</t>
        </is>
      </c>
      <c r="AA75" s="22" t="inlineStr">
        <is>
          <t>미확인</t>
        </is>
      </c>
      <c r="AB75" s="22" t="inlineStr">
        <is>
          <t>미확인</t>
        </is>
      </c>
      <c r="AC75" s="22" t="inlineStr">
        <is>
          <t>미확인</t>
        </is>
      </c>
      <c r="AD75" s="22" t="inlineStr">
        <is>
          <t>미확인</t>
        </is>
      </c>
      <c r="AE75" s="22" t="inlineStr">
        <is>
          <t>미확인</t>
        </is>
      </c>
      <c r="AF75" s="22" t="inlineStr">
        <is>
          <t>미확인</t>
        </is>
      </c>
      <c r="AG75" s="22" t="inlineStr">
        <is>
          <t>미확인</t>
        </is>
      </c>
      <c r="AH75" s="22" t="inlineStr">
        <is>
          <t>미확인</t>
        </is>
      </c>
      <c r="AI75" s="22" t="inlineStr">
        <is>
          <t>미확인</t>
        </is>
      </c>
      <c r="AJ75" s="22" t="inlineStr">
        <is>
          <t>미확인</t>
        </is>
      </c>
      <c r="AK75" s="22" t="inlineStr">
        <is>
          <t>미확인</t>
        </is>
      </c>
      <c r="AL75" s="22" t="inlineStr">
        <is>
          <t>미확인</t>
        </is>
      </c>
      <c r="AM75" s="22" t="inlineStr">
        <is>
          <t>미확인</t>
        </is>
      </c>
      <c r="AN75" s="22" t="inlineStr">
        <is>
          <t>미확인</t>
        </is>
      </c>
      <c r="AO75" s="17" t="inlineStr">
        <is>
          <t>C(부분확인)</t>
        </is>
      </c>
      <c r="AP75" s="17" t="inlineStr">
        <is>
          <t>Y</t>
        </is>
      </c>
      <c r="AQ75" s="17" t="n">
        <v>4</v>
      </c>
      <c r="AR75" s="28" t="inlineStr">
        <is>
          <t>Tier D</t>
        </is>
      </c>
      <c r="AS75" s="17" t="inlineStr">
        <is>
          <t>EDMS</t>
        </is>
      </c>
      <c r="AT75" s="17" t="inlineStr">
        <is>
          <t>기본 문서관리 수요</t>
        </is>
      </c>
      <c r="AU75" s="17" t="inlineStr">
        <is>
          <t>담당자 파악 후 접촉</t>
        </is>
      </c>
      <c r="AV75" s="17" t="inlineStr">
        <is>
          <t>GMP적합판정+KRX</t>
        </is>
      </c>
      <c r="AW75" s="17" t="inlineStr">
        <is>
          <t>2026-07-05</t>
        </is>
      </c>
    </row>
    <row r="76">
      <c r="A76" s="17" t="inlineStr">
        <is>
          <t>C075</t>
        </is>
      </c>
      <c r="B76" s="17" t="inlineStr">
        <is>
          <t>유한양행</t>
        </is>
      </c>
      <c r="C76" s="17" t="inlineStr">
        <is>
          <t>(주)유한양행</t>
        </is>
      </c>
      <c r="D76" s="17" t="n">
        <v>2</v>
      </c>
      <c r="E76" s="17" t="n">
        <v>2</v>
      </c>
      <c r="F76" s="17" t="inlineStr">
        <is>
          <t>Y</t>
        </is>
      </c>
      <c r="G76" s="17" t="inlineStr"/>
      <c r="H76" s="17" t="inlineStr">
        <is>
          <t>Y</t>
        </is>
      </c>
      <c r="I76" s="17" t="inlineStr"/>
      <c r="J76" s="24" t="n">
        <v>47046</v>
      </c>
      <c r="K76" s="17" t="inlineStr"/>
      <c r="L76" s="17" t="inlineStr">
        <is>
          <t>Y</t>
        </is>
      </c>
      <c r="M76" s="17" t="inlineStr">
        <is>
          <t>유가</t>
        </is>
      </c>
      <c r="N76" s="23" t="inlineStr">
        <is>
          <t>000100</t>
        </is>
      </c>
      <c r="O76" s="17" t="inlineStr">
        <is>
          <t>의약품 제조업</t>
        </is>
      </c>
      <c r="P76" s="17" t="inlineStr">
        <is>
          <t>의약품(삐콤씨, 안티푸라민, 렉라자, 로수바미브, 코푸시럽 등), 생활용품(유한락스, 해피홈, 유한젠), 동물약품</t>
        </is>
      </c>
      <c r="Q76" s="17" t="inlineStr">
        <is>
          <t>대표이사 조욱제</t>
        </is>
      </c>
      <c r="R76" s="17" t="inlineStr">
        <is>
          <t>http://www.yuhan.co.kr</t>
        </is>
      </c>
      <c r="S76" s="17" t="inlineStr">
        <is>
          <t>서울특별시</t>
        </is>
      </c>
      <c r="T76" s="17" t="inlineStr">
        <is>
          <t>미확인</t>
        </is>
      </c>
      <c r="U76" s="17" t="inlineStr">
        <is>
          <t>미확인</t>
        </is>
      </c>
      <c r="V76" s="22" t="inlineStr">
        <is>
          <t>미확인</t>
        </is>
      </c>
      <c r="W76" s="22" t="inlineStr">
        <is>
          <t>미확인</t>
        </is>
      </c>
      <c r="X76" s="22" t="inlineStr">
        <is>
          <t>미확인</t>
        </is>
      </c>
      <c r="Y76" s="22" t="inlineStr">
        <is>
          <t>미확인</t>
        </is>
      </c>
      <c r="Z76" s="22" t="inlineStr">
        <is>
          <t>미확인</t>
        </is>
      </c>
      <c r="AA76" s="22" t="inlineStr">
        <is>
          <t>미확인</t>
        </is>
      </c>
      <c r="AB76" s="22" t="inlineStr">
        <is>
          <t>미확인</t>
        </is>
      </c>
      <c r="AC76" s="22" t="inlineStr">
        <is>
          <t>미확인</t>
        </is>
      </c>
      <c r="AD76" s="22" t="inlineStr">
        <is>
          <t>미확인</t>
        </is>
      </c>
      <c r="AE76" s="22" t="inlineStr">
        <is>
          <t>미확인</t>
        </is>
      </c>
      <c r="AF76" s="22" t="inlineStr">
        <is>
          <t>미확인</t>
        </is>
      </c>
      <c r="AG76" s="22" t="inlineStr">
        <is>
          <t>미확인</t>
        </is>
      </c>
      <c r="AH76" s="22" t="inlineStr">
        <is>
          <t>미확인</t>
        </is>
      </c>
      <c r="AI76" s="22" t="inlineStr">
        <is>
          <t>미확인</t>
        </is>
      </c>
      <c r="AJ76" s="22" t="inlineStr">
        <is>
          <t>미확인</t>
        </is>
      </c>
      <c r="AK76" s="22" t="inlineStr">
        <is>
          <t>미확인</t>
        </is>
      </c>
      <c r="AL76" s="22" t="inlineStr">
        <is>
          <t>미확인</t>
        </is>
      </c>
      <c r="AM76" s="22" t="inlineStr">
        <is>
          <t>미확인</t>
        </is>
      </c>
      <c r="AN76" s="22" t="inlineStr">
        <is>
          <t>미확인</t>
        </is>
      </c>
      <c r="AO76" s="17" t="inlineStr">
        <is>
          <t>C(부분확인)</t>
        </is>
      </c>
      <c r="AP76" s="17" t="inlineStr">
        <is>
          <t>Y</t>
        </is>
      </c>
      <c r="AQ76" s="17" t="n">
        <v>16</v>
      </c>
      <c r="AR76" s="28" t="inlineStr">
        <is>
          <t>Tier D</t>
        </is>
      </c>
      <c r="AS76" s="17" t="inlineStr">
        <is>
          <t>통합형</t>
        </is>
      </c>
      <c r="AT76" s="17" t="inlineStr">
        <is>
          <t>다중 제조소/다수 판정서로 문서관리 복잡; 무균/바이오 제조로 품질관리 난도 높음</t>
        </is>
      </c>
      <c r="AU76" s="17" t="inlineStr">
        <is>
          <t>담당자 파악 후 접촉</t>
        </is>
      </c>
      <c r="AV76" s="17" t="inlineStr">
        <is>
          <t>GMP적합판정+KRX</t>
        </is>
      </c>
      <c r="AW76" s="17" t="inlineStr">
        <is>
          <t>2026-07-05</t>
        </is>
      </c>
    </row>
    <row r="77">
      <c r="A77" s="17" t="inlineStr">
        <is>
          <t>C076</t>
        </is>
      </c>
      <c r="B77" s="17" t="inlineStr">
        <is>
          <t>종근당바이오</t>
        </is>
      </c>
      <c r="C77" s="17" t="inlineStr">
        <is>
          <t>(주)종근당바이오</t>
        </is>
      </c>
      <c r="D77" s="17" t="n">
        <v>5</v>
      </c>
      <c r="E77" s="17" t="n">
        <v>3</v>
      </c>
      <c r="F77" s="17" t="inlineStr">
        <is>
          <t>Y</t>
        </is>
      </c>
      <c r="G77" s="17" t="inlineStr">
        <is>
          <t>Y</t>
        </is>
      </c>
      <c r="H77" s="17" t="inlineStr">
        <is>
          <t>Y</t>
        </is>
      </c>
      <c r="I77" s="17" t="inlineStr">
        <is>
          <t>Y</t>
        </is>
      </c>
      <c r="J77" s="24" t="n">
        <v>46634</v>
      </c>
      <c r="K77" s="17" t="inlineStr"/>
      <c r="L77" s="17" t="inlineStr">
        <is>
          <t>Y</t>
        </is>
      </c>
      <c r="M77" s="17" t="inlineStr">
        <is>
          <t>유가</t>
        </is>
      </c>
      <c r="N77" s="23" t="inlineStr">
        <is>
          <t>063160</t>
        </is>
      </c>
      <c r="O77" s="17" t="inlineStr">
        <is>
          <t>의약품 제조업</t>
        </is>
      </c>
      <c r="P77" s="17" t="inlineStr">
        <is>
          <t>의약품,원료의약품 제조</t>
        </is>
      </c>
      <c r="Q77" s="17" t="inlineStr">
        <is>
          <t>박완갑</t>
        </is>
      </c>
      <c r="R77" s="17" t="inlineStr">
        <is>
          <t>http://www.ckdbio.com</t>
        </is>
      </c>
      <c r="S77" s="17" t="inlineStr">
        <is>
          <t>서울특별시</t>
        </is>
      </c>
      <c r="T77" s="17" t="inlineStr">
        <is>
          <t>031-489-1121</t>
        </is>
      </c>
      <c r="U77" s="17" t="inlineStr">
        <is>
          <t>제조소상세</t>
        </is>
      </c>
      <c r="V77" s="22" t="inlineStr">
        <is>
          <t>미확인</t>
        </is>
      </c>
      <c r="W77" s="22" t="inlineStr">
        <is>
          <t>미확인</t>
        </is>
      </c>
      <c r="X77" s="22" t="inlineStr">
        <is>
          <t>미확인</t>
        </is>
      </c>
      <c r="Y77" s="22" t="inlineStr">
        <is>
          <t>미확인</t>
        </is>
      </c>
      <c r="Z77" s="22" t="inlineStr">
        <is>
          <t>미확인</t>
        </is>
      </c>
      <c r="AA77" s="22" t="inlineStr">
        <is>
          <t>미확인</t>
        </is>
      </c>
      <c r="AB77" s="22" t="inlineStr">
        <is>
          <t>미확인</t>
        </is>
      </c>
      <c r="AC77" s="22" t="inlineStr">
        <is>
          <t>미확인</t>
        </is>
      </c>
      <c r="AD77" s="22" t="inlineStr">
        <is>
          <t>미확인</t>
        </is>
      </c>
      <c r="AE77" s="22" t="inlineStr">
        <is>
          <t>미확인</t>
        </is>
      </c>
      <c r="AF77" s="22" t="inlineStr">
        <is>
          <t>미확인</t>
        </is>
      </c>
      <c r="AG77" s="22" t="inlineStr">
        <is>
          <t>미확인</t>
        </is>
      </c>
      <c r="AH77" s="22" t="inlineStr">
        <is>
          <t>미확인</t>
        </is>
      </c>
      <c r="AI77" s="22" t="inlineStr">
        <is>
          <t>미확인</t>
        </is>
      </c>
      <c r="AJ77" s="22" t="inlineStr">
        <is>
          <t>미확인</t>
        </is>
      </c>
      <c r="AK77" s="22" t="inlineStr">
        <is>
          <t>미확인</t>
        </is>
      </c>
      <c r="AL77" s="22" t="inlineStr">
        <is>
          <t>미확인</t>
        </is>
      </c>
      <c r="AM77" s="22" t="inlineStr">
        <is>
          <t>미확인</t>
        </is>
      </c>
      <c r="AN77" s="22" t="inlineStr">
        <is>
          <t>미확인</t>
        </is>
      </c>
      <c r="AO77" s="17" t="inlineStr">
        <is>
          <t>C(부분확인)</t>
        </is>
      </c>
      <c r="AP77" s="17" t="inlineStr">
        <is>
          <t>Y</t>
        </is>
      </c>
      <c r="AQ77" s="17" t="n">
        <v>30</v>
      </c>
      <c r="AR77" s="27" t="inlineStr">
        <is>
          <t>Tier C</t>
        </is>
      </c>
      <c r="AS77" s="17" t="inlineStr">
        <is>
          <t>통합형</t>
        </is>
      </c>
      <c r="AT77" s="17" t="inlineStr">
        <is>
          <t>다중 제조소/다수 판정서로 문서관리 복잡; 무균/바이오 제조로 품질관리 난도 높음</t>
        </is>
      </c>
      <c r="AU77" s="17" t="inlineStr">
        <is>
          <t>담당자 파악 후 접촉</t>
        </is>
      </c>
      <c r="AV77" s="17" t="inlineStr">
        <is>
          <t>GMP적합판정+KRX</t>
        </is>
      </c>
      <c r="AW77" s="17" t="inlineStr">
        <is>
          <t>2026-07-05</t>
        </is>
      </c>
    </row>
    <row r="78">
      <c r="A78" s="17" t="inlineStr">
        <is>
          <t>C077</t>
        </is>
      </c>
      <c r="B78" s="17" t="inlineStr">
        <is>
          <t>와이즈메디</t>
        </is>
      </c>
      <c r="C78" s="17" t="inlineStr">
        <is>
          <t>(주)와이즈메디</t>
        </is>
      </c>
      <c r="D78" s="17" t="n">
        <v>2</v>
      </c>
      <c r="E78" s="17" t="n">
        <v>2</v>
      </c>
      <c r="F78" s="17" t="inlineStr">
        <is>
          <t>Y</t>
        </is>
      </c>
      <c r="G78" s="17" t="inlineStr"/>
      <c r="H78" s="17" t="inlineStr">
        <is>
          <t>Y</t>
        </is>
      </c>
      <c r="I78" s="17" t="inlineStr"/>
      <c r="J78" s="24" t="n">
        <v>46641</v>
      </c>
      <c r="K78" s="17" t="inlineStr"/>
      <c r="L78" s="17" t="inlineStr"/>
      <c r="M78" s="17" t="inlineStr"/>
      <c r="N78" s="23" t="inlineStr"/>
      <c r="O78" s="17" t="inlineStr"/>
      <c r="P78" s="17" t="inlineStr"/>
      <c r="Q78" s="17" t="inlineStr">
        <is>
          <t>강덕현</t>
        </is>
      </c>
      <c r="R78" s="17" t="inlineStr"/>
      <c r="S78" s="17" t="inlineStr"/>
      <c r="T78" s="17" t="inlineStr">
        <is>
          <t>미확인</t>
        </is>
      </c>
      <c r="U78" s="17" t="inlineStr">
        <is>
          <t>미확인</t>
        </is>
      </c>
      <c r="V78" s="22" t="inlineStr">
        <is>
          <t>미확인</t>
        </is>
      </c>
      <c r="W78" s="22" t="inlineStr">
        <is>
          <t>미확인</t>
        </is>
      </c>
      <c r="X78" s="22" t="inlineStr">
        <is>
          <t>미확인</t>
        </is>
      </c>
      <c r="Y78" s="22" t="inlineStr">
        <is>
          <t>미확인</t>
        </is>
      </c>
      <c r="Z78" s="22" t="inlineStr">
        <is>
          <t>미확인</t>
        </is>
      </c>
      <c r="AA78" s="22" t="inlineStr">
        <is>
          <t>미확인</t>
        </is>
      </c>
      <c r="AB78" s="22" t="inlineStr">
        <is>
          <t>미확인</t>
        </is>
      </c>
      <c r="AC78" s="22" t="inlineStr">
        <is>
          <t>미확인</t>
        </is>
      </c>
      <c r="AD78" s="22" t="inlineStr">
        <is>
          <t>미확인</t>
        </is>
      </c>
      <c r="AE78" s="22" t="inlineStr">
        <is>
          <t>미확인</t>
        </is>
      </c>
      <c r="AF78" s="22" t="inlineStr">
        <is>
          <t>미확인</t>
        </is>
      </c>
      <c r="AG78" s="22" t="inlineStr">
        <is>
          <t>미확인</t>
        </is>
      </c>
      <c r="AH78" s="22" t="inlineStr">
        <is>
          <t>미확인</t>
        </is>
      </c>
      <c r="AI78" s="22" t="inlineStr">
        <is>
          <t>미확인</t>
        </is>
      </c>
      <c r="AJ78" s="22" t="inlineStr">
        <is>
          <t>미확인</t>
        </is>
      </c>
      <c r="AK78" s="22" t="inlineStr">
        <is>
          <t>미확인</t>
        </is>
      </c>
      <c r="AL78" s="22" t="inlineStr">
        <is>
          <t>미확인</t>
        </is>
      </c>
      <c r="AM78" s="22" t="inlineStr">
        <is>
          <t>미확인</t>
        </is>
      </c>
      <c r="AN78" s="22" t="inlineStr">
        <is>
          <t>미확인</t>
        </is>
      </c>
      <c r="AO78" s="17" t="inlineStr">
        <is>
          <t>C(부분확인)</t>
        </is>
      </c>
      <c r="AP78" s="17" t="inlineStr">
        <is>
          <t>Y</t>
        </is>
      </c>
      <c r="AQ78" s="17" t="n">
        <v>16</v>
      </c>
      <c r="AR78" s="28" t="inlineStr">
        <is>
          <t>Tier D</t>
        </is>
      </c>
      <c r="AS78" s="17" t="inlineStr">
        <is>
          <t>통합형</t>
        </is>
      </c>
      <c r="AT78" s="17" t="inlineStr">
        <is>
          <t>다중 제조소/다수 판정서로 문서관리 복잡; 무균/바이오 제조로 품질관리 난도 높음</t>
        </is>
      </c>
      <c r="AU78" s="17" t="inlineStr">
        <is>
          <t>담당자 파악 후 접촉</t>
        </is>
      </c>
      <c r="AV78" s="17" t="inlineStr">
        <is>
          <t>GMP적합판정+KRX</t>
        </is>
      </c>
      <c r="AW78" s="17" t="inlineStr">
        <is>
          <t>2026-07-05</t>
        </is>
      </c>
    </row>
    <row r="79">
      <c r="A79" s="17" t="inlineStr">
        <is>
          <t>C078</t>
        </is>
      </c>
      <c r="B79" s="17" t="inlineStr">
        <is>
          <t>화이트생명과학</t>
        </is>
      </c>
      <c r="C79" s="17" t="inlineStr">
        <is>
          <t>(주)화이트생명과학</t>
        </is>
      </c>
      <c r="D79" s="17" t="n">
        <v>1</v>
      </c>
      <c r="E79" s="17" t="n">
        <v>1</v>
      </c>
      <c r="F79" s="17" t="inlineStr">
        <is>
          <t>Y</t>
        </is>
      </c>
      <c r="G79" s="17" t="inlineStr"/>
      <c r="H79" s="17" t="inlineStr"/>
      <c r="I79" s="17" t="inlineStr"/>
      <c r="J79" s="24" t="n">
        <v>47158</v>
      </c>
      <c r="K79" s="17" t="inlineStr"/>
      <c r="L79" s="17" t="inlineStr"/>
      <c r="M79" s="17" t="inlineStr"/>
      <c r="N79" s="23" t="inlineStr"/>
      <c r="O79" s="17" t="inlineStr"/>
      <c r="P79" s="17" t="inlineStr"/>
      <c r="Q79" s="17" t="inlineStr">
        <is>
          <t>양원철</t>
        </is>
      </c>
      <c r="R79" s="17" t="inlineStr"/>
      <c r="S79" s="17" t="inlineStr"/>
      <c r="T79" s="17" t="inlineStr">
        <is>
          <t>미확인</t>
        </is>
      </c>
      <c r="U79" s="17" t="inlineStr">
        <is>
          <t>미확인</t>
        </is>
      </c>
      <c r="V79" s="22" t="inlineStr">
        <is>
          <t>미확인</t>
        </is>
      </c>
      <c r="W79" s="22" t="inlineStr">
        <is>
          <t>미확인</t>
        </is>
      </c>
      <c r="X79" s="22" t="inlineStr">
        <is>
          <t>미확인</t>
        </is>
      </c>
      <c r="Y79" s="22" t="inlineStr">
        <is>
          <t>미확인</t>
        </is>
      </c>
      <c r="Z79" s="22" t="inlineStr">
        <is>
          <t>미확인</t>
        </is>
      </c>
      <c r="AA79" s="22" t="inlineStr">
        <is>
          <t>미확인</t>
        </is>
      </c>
      <c r="AB79" s="22" t="inlineStr">
        <is>
          <t>미확인</t>
        </is>
      </c>
      <c r="AC79" s="22" t="inlineStr">
        <is>
          <t>미확인</t>
        </is>
      </c>
      <c r="AD79" s="22" t="inlineStr">
        <is>
          <t>미확인</t>
        </is>
      </c>
      <c r="AE79" s="22" t="inlineStr">
        <is>
          <t>미확인</t>
        </is>
      </c>
      <c r="AF79" s="22" t="inlineStr">
        <is>
          <t>미확인</t>
        </is>
      </c>
      <c r="AG79" s="22" t="inlineStr">
        <is>
          <t>미확인</t>
        </is>
      </c>
      <c r="AH79" s="22" t="inlineStr">
        <is>
          <t>미확인</t>
        </is>
      </c>
      <c r="AI79" s="22" t="inlineStr">
        <is>
          <t>미확인</t>
        </is>
      </c>
      <c r="AJ79" s="22" t="inlineStr">
        <is>
          <t>미확인</t>
        </is>
      </c>
      <c r="AK79" s="22" t="inlineStr">
        <is>
          <t>미확인</t>
        </is>
      </c>
      <c r="AL79" s="22" t="inlineStr">
        <is>
          <t>미확인</t>
        </is>
      </c>
      <c r="AM79" s="22" t="inlineStr">
        <is>
          <t>미확인</t>
        </is>
      </c>
      <c r="AN79" s="22" t="inlineStr">
        <is>
          <t>미확인</t>
        </is>
      </c>
      <c r="AO79" s="17" t="inlineStr">
        <is>
          <t>C(부분확인)</t>
        </is>
      </c>
      <c r="AP79" s="17" t="inlineStr">
        <is>
          <t>Y</t>
        </is>
      </c>
      <c r="AQ79" s="17" t="n">
        <v>4</v>
      </c>
      <c r="AR79" s="28" t="inlineStr">
        <is>
          <t>Tier D</t>
        </is>
      </c>
      <c r="AS79" s="17" t="inlineStr">
        <is>
          <t>EDMS</t>
        </is>
      </c>
      <c r="AT79" s="17" t="inlineStr">
        <is>
          <t>기본 문서관리 수요</t>
        </is>
      </c>
      <c r="AU79" s="17" t="inlineStr">
        <is>
          <t>담당자 파악 후 접촉</t>
        </is>
      </c>
      <c r="AV79" s="17" t="inlineStr">
        <is>
          <t>GMP적합판정+KRX</t>
        </is>
      </c>
      <c r="AW79" s="17" t="inlineStr">
        <is>
          <t>2026-07-05</t>
        </is>
      </c>
    </row>
    <row r="80">
      <c r="A80" s="17" t="inlineStr">
        <is>
          <t>C079</t>
        </is>
      </c>
      <c r="B80" s="17" t="inlineStr">
        <is>
          <t>에리슨제약</t>
        </is>
      </c>
      <c r="C80" s="17" t="inlineStr">
        <is>
          <t>에리슨제약(주)</t>
        </is>
      </c>
      <c r="D80" s="17" t="n">
        <v>1</v>
      </c>
      <c r="E80" s="17" t="n">
        <v>1</v>
      </c>
      <c r="F80" s="17" t="inlineStr">
        <is>
          <t>Y</t>
        </is>
      </c>
      <c r="G80" s="17" t="inlineStr"/>
      <c r="H80" s="17" t="inlineStr"/>
      <c r="I80" s="17" t="inlineStr"/>
      <c r="J80" s="24" t="n">
        <v>47158</v>
      </c>
      <c r="K80" s="17" t="inlineStr"/>
      <c r="L80" s="17" t="inlineStr"/>
      <c r="M80" s="17" t="inlineStr"/>
      <c r="N80" s="23" t="inlineStr"/>
      <c r="O80" s="17" t="inlineStr"/>
      <c r="P80" s="17" t="inlineStr"/>
      <c r="Q80" s="17" t="inlineStr">
        <is>
          <t>지윤찬</t>
        </is>
      </c>
      <c r="R80" s="17" t="inlineStr"/>
      <c r="S80" s="17" t="inlineStr"/>
      <c r="T80" s="17" t="inlineStr">
        <is>
          <t>미확인</t>
        </is>
      </c>
      <c r="U80" s="17" t="inlineStr">
        <is>
          <t>미확인</t>
        </is>
      </c>
      <c r="V80" s="22" t="inlineStr">
        <is>
          <t>미확인</t>
        </is>
      </c>
      <c r="W80" s="22" t="inlineStr">
        <is>
          <t>미확인</t>
        </is>
      </c>
      <c r="X80" s="22" t="inlineStr">
        <is>
          <t>미확인</t>
        </is>
      </c>
      <c r="Y80" s="22" t="inlineStr">
        <is>
          <t>미확인</t>
        </is>
      </c>
      <c r="Z80" s="22" t="inlineStr">
        <is>
          <t>미확인</t>
        </is>
      </c>
      <c r="AA80" s="22" t="inlineStr">
        <is>
          <t>미확인</t>
        </is>
      </c>
      <c r="AB80" s="22" t="inlineStr">
        <is>
          <t>미확인</t>
        </is>
      </c>
      <c r="AC80" s="22" t="inlineStr">
        <is>
          <t>미확인</t>
        </is>
      </c>
      <c r="AD80" s="22" t="inlineStr">
        <is>
          <t>미확인</t>
        </is>
      </c>
      <c r="AE80" s="22" t="inlineStr">
        <is>
          <t>미확인</t>
        </is>
      </c>
      <c r="AF80" s="22" t="inlineStr">
        <is>
          <t>미확인</t>
        </is>
      </c>
      <c r="AG80" s="22" t="inlineStr">
        <is>
          <t>미확인</t>
        </is>
      </c>
      <c r="AH80" s="22" t="inlineStr">
        <is>
          <t>미확인</t>
        </is>
      </c>
      <c r="AI80" s="22" t="inlineStr">
        <is>
          <t>미확인</t>
        </is>
      </c>
      <c r="AJ80" s="22" t="inlineStr">
        <is>
          <t>미확인</t>
        </is>
      </c>
      <c r="AK80" s="22" t="inlineStr">
        <is>
          <t>미확인</t>
        </is>
      </c>
      <c r="AL80" s="22" t="inlineStr">
        <is>
          <t>미확인</t>
        </is>
      </c>
      <c r="AM80" s="22" t="inlineStr">
        <is>
          <t>미확인</t>
        </is>
      </c>
      <c r="AN80" s="22" t="inlineStr">
        <is>
          <t>미확인</t>
        </is>
      </c>
      <c r="AO80" s="17" t="inlineStr">
        <is>
          <t>C(부분확인)</t>
        </is>
      </c>
      <c r="AP80" s="17" t="inlineStr">
        <is>
          <t>Y</t>
        </is>
      </c>
      <c r="AQ80" s="17" t="n">
        <v>4</v>
      </c>
      <c r="AR80" s="28" t="inlineStr">
        <is>
          <t>Tier D</t>
        </is>
      </c>
      <c r="AS80" s="17" t="inlineStr">
        <is>
          <t>EDMS</t>
        </is>
      </c>
      <c r="AT80" s="17" t="inlineStr">
        <is>
          <t>기본 문서관리 수요</t>
        </is>
      </c>
      <c r="AU80" s="17" t="inlineStr">
        <is>
          <t>담당자 파악 후 접촉</t>
        </is>
      </c>
      <c r="AV80" s="17" t="inlineStr">
        <is>
          <t>GMP적합판정+KRX</t>
        </is>
      </c>
      <c r="AW80" s="17" t="inlineStr">
        <is>
          <t>2026-07-05</t>
        </is>
      </c>
    </row>
    <row r="81">
      <c r="A81" s="17" t="inlineStr">
        <is>
          <t>C080</t>
        </is>
      </c>
      <c r="B81" s="17" t="inlineStr">
        <is>
          <t>서울대학교병원</t>
        </is>
      </c>
      <c r="C81" s="17" t="inlineStr">
        <is>
          <t>서울대학교병원</t>
        </is>
      </c>
      <c r="D81" s="17" t="n">
        <v>2</v>
      </c>
      <c r="E81" s="17" t="n">
        <v>2</v>
      </c>
      <c r="F81" s="17" t="inlineStr">
        <is>
          <t>Y</t>
        </is>
      </c>
      <c r="G81" s="17" t="inlineStr"/>
      <c r="H81" s="17" t="inlineStr">
        <is>
          <t>Y</t>
        </is>
      </c>
      <c r="I81" s="17" t="inlineStr"/>
      <c r="J81" s="24" t="n">
        <v>46516</v>
      </c>
      <c r="K81" s="17" t="inlineStr"/>
      <c r="L81" s="17" t="inlineStr"/>
      <c r="M81" s="17" t="inlineStr"/>
      <c r="N81" s="23" t="inlineStr"/>
      <c r="O81" s="17" t="inlineStr"/>
      <c r="P81" s="17" t="inlineStr"/>
      <c r="Q81" s="17" t="inlineStr">
        <is>
          <t>백남종</t>
        </is>
      </c>
      <c r="R81" s="17" t="inlineStr"/>
      <c r="S81" s="17" t="inlineStr"/>
      <c r="T81" s="17" t="inlineStr">
        <is>
          <t>031-6282-0127</t>
        </is>
      </c>
      <c r="U81" s="17" t="inlineStr">
        <is>
          <t>제조소상세</t>
        </is>
      </c>
      <c r="V81" s="22" t="inlineStr">
        <is>
          <t>미확인</t>
        </is>
      </c>
      <c r="W81" s="22" t="inlineStr">
        <is>
          <t>미확인</t>
        </is>
      </c>
      <c r="X81" s="22" t="inlineStr">
        <is>
          <t>미확인</t>
        </is>
      </c>
      <c r="Y81" s="22" t="inlineStr">
        <is>
          <t>미확인</t>
        </is>
      </c>
      <c r="Z81" s="22" t="inlineStr">
        <is>
          <t>미확인</t>
        </is>
      </c>
      <c r="AA81" s="22" t="inlineStr">
        <is>
          <t>미확인</t>
        </is>
      </c>
      <c r="AB81" s="22" t="inlineStr">
        <is>
          <t>미확인</t>
        </is>
      </c>
      <c r="AC81" s="22" t="inlineStr">
        <is>
          <t>미확인</t>
        </is>
      </c>
      <c r="AD81" s="22" t="inlineStr">
        <is>
          <t>미확인</t>
        </is>
      </c>
      <c r="AE81" s="22" t="inlineStr">
        <is>
          <t>미확인</t>
        </is>
      </c>
      <c r="AF81" s="22" t="inlineStr">
        <is>
          <t>미확인</t>
        </is>
      </c>
      <c r="AG81" s="22" t="inlineStr">
        <is>
          <t>미확인</t>
        </is>
      </c>
      <c r="AH81" s="22" t="inlineStr">
        <is>
          <t>미확인</t>
        </is>
      </c>
      <c r="AI81" s="22" t="inlineStr">
        <is>
          <t>미확인</t>
        </is>
      </c>
      <c r="AJ81" s="22" t="inlineStr">
        <is>
          <t>미확인</t>
        </is>
      </c>
      <c r="AK81" s="22" t="inlineStr">
        <is>
          <t>미확인</t>
        </is>
      </c>
      <c r="AL81" s="22" t="inlineStr">
        <is>
          <t>미확인</t>
        </is>
      </c>
      <c r="AM81" s="22" t="inlineStr">
        <is>
          <t>미확인</t>
        </is>
      </c>
      <c r="AN81" s="22" t="inlineStr">
        <is>
          <t>미확인</t>
        </is>
      </c>
      <c r="AO81" s="17" t="inlineStr">
        <is>
          <t>C(부분확인)</t>
        </is>
      </c>
      <c r="AP81" s="17" t="inlineStr">
        <is>
          <t>Y</t>
        </is>
      </c>
      <c r="AQ81" s="17" t="n">
        <v>19</v>
      </c>
      <c r="AR81" s="28" t="inlineStr">
        <is>
          <t>Tier D</t>
        </is>
      </c>
      <c r="AS81" s="17" t="inlineStr">
        <is>
          <t>통합형</t>
        </is>
      </c>
      <c r="AT81" s="17" t="inlineStr">
        <is>
          <t>다중 제조소/다수 판정서로 문서관리 복잡; 무균/바이오 제조로 품질관리 난도 높음</t>
        </is>
      </c>
      <c r="AU81" s="17" t="inlineStr">
        <is>
          <t>담당자 파악 후 접촉</t>
        </is>
      </c>
      <c r="AV81" s="17" t="inlineStr">
        <is>
          <t>GMP적합판정+KRX</t>
        </is>
      </c>
      <c r="AW81" s="17" t="inlineStr">
        <is>
          <t>2026-07-05</t>
        </is>
      </c>
    </row>
    <row r="82">
      <c r="A82" s="17" t="inlineStr">
        <is>
          <t>C081</t>
        </is>
      </c>
      <c r="B82" s="17" t="inlineStr">
        <is>
          <t>한국피엠지제약</t>
        </is>
      </c>
      <c r="C82" s="17" t="inlineStr">
        <is>
          <t>(주)한국피엠지제약</t>
        </is>
      </c>
      <c r="D82" s="17" t="n">
        <v>2</v>
      </c>
      <c r="E82" s="17" t="n">
        <v>1</v>
      </c>
      <c r="F82" s="17" t="inlineStr">
        <is>
          <t>Y</t>
        </is>
      </c>
      <c r="G82" s="17" t="inlineStr">
        <is>
          <t>Y</t>
        </is>
      </c>
      <c r="H82" s="17" t="inlineStr"/>
      <c r="I82" s="17" t="inlineStr"/>
      <c r="J82" s="24" t="n">
        <v>47156</v>
      </c>
      <c r="K82" s="17" t="inlineStr"/>
      <c r="L82" s="17" t="inlineStr"/>
      <c r="M82" s="17" t="inlineStr"/>
      <c r="N82" s="23" t="inlineStr"/>
      <c r="O82" s="17" t="inlineStr"/>
      <c r="P82" s="17" t="inlineStr"/>
      <c r="Q82" s="17" t="inlineStr">
        <is>
          <t>전영진</t>
        </is>
      </c>
      <c r="R82" s="17" t="inlineStr"/>
      <c r="S82" s="17" t="inlineStr"/>
      <c r="T82" s="17" t="inlineStr">
        <is>
          <t>031-439-5470</t>
        </is>
      </c>
      <c r="U82" s="17" t="inlineStr">
        <is>
          <t>제조소상세</t>
        </is>
      </c>
      <c r="V82" s="22" t="inlineStr">
        <is>
          <t>미확인</t>
        </is>
      </c>
      <c r="W82" s="22" t="inlineStr">
        <is>
          <t>미확인</t>
        </is>
      </c>
      <c r="X82" s="22" t="inlineStr">
        <is>
          <t>미확인</t>
        </is>
      </c>
      <c r="Y82" s="22" t="inlineStr">
        <is>
          <t>미확인</t>
        </is>
      </c>
      <c r="Z82" s="22" t="inlineStr">
        <is>
          <t>미확인</t>
        </is>
      </c>
      <c r="AA82" s="22" t="inlineStr">
        <is>
          <t>미확인</t>
        </is>
      </c>
      <c r="AB82" s="22" t="inlineStr">
        <is>
          <t>미확인</t>
        </is>
      </c>
      <c r="AC82" s="22" t="inlineStr">
        <is>
          <t>미확인</t>
        </is>
      </c>
      <c r="AD82" s="22" t="inlineStr">
        <is>
          <t>미확인</t>
        </is>
      </c>
      <c r="AE82" s="22" t="inlineStr">
        <is>
          <t>미확인</t>
        </is>
      </c>
      <c r="AF82" s="22" t="inlineStr">
        <is>
          <t>미확인</t>
        </is>
      </c>
      <c r="AG82" s="22" t="inlineStr">
        <is>
          <t>미확인</t>
        </is>
      </c>
      <c r="AH82" s="22" t="inlineStr">
        <is>
          <t>미확인</t>
        </is>
      </c>
      <c r="AI82" s="22" t="inlineStr">
        <is>
          <t>미확인</t>
        </is>
      </c>
      <c r="AJ82" s="22" t="inlineStr">
        <is>
          <t>미확인</t>
        </is>
      </c>
      <c r="AK82" s="22" t="inlineStr">
        <is>
          <t>미확인</t>
        </is>
      </c>
      <c r="AL82" s="22" t="inlineStr">
        <is>
          <t>미확인</t>
        </is>
      </c>
      <c r="AM82" s="22" t="inlineStr">
        <is>
          <t>미확인</t>
        </is>
      </c>
      <c r="AN82" s="22" t="inlineStr">
        <is>
          <t>미확인</t>
        </is>
      </c>
      <c r="AO82" s="17" t="inlineStr">
        <is>
          <t>C(부분확인)</t>
        </is>
      </c>
      <c r="AP82" s="17" t="inlineStr">
        <is>
          <t>Y</t>
        </is>
      </c>
      <c r="AQ82" s="17" t="n">
        <v>4</v>
      </c>
      <c r="AR82" s="28" t="inlineStr">
        <is>
          <t>Tier D</t>
        </is>
      </c>
      <c r="AS82" s="17" t="inlineStr">
        <is>
          <t>LIMS</t>
        </is>
      </c>
      <c r="AT82" s="17" t="inlineStr">
        <is>
          <t>원료 제조로 시험실 관리 필요</t>
        </is>
      </c>
      <c r="AU82" s="17" t="inlineStr">
        <is>
          <t>담당자 파악 후 접촉</t>
        </is>
      </c>
      <c r="AV82" s="17" t="inlineStr">
        <is>
          <t>GMP적합판정+KRX</t>
        </is>
      </c>
      <c r="AW82" s="17" t="inlineStr">
        <is>
          <t>2026-07-05</t>
        </is>
      </c>
    </row>
    <row r="83">
      <c r="A83" s="17" t="inlineStr">
        <is>
          <t>C082</t>
        </is>
      </c>
      <c r="B83" s="17" t="inlineStr">
        <is>
          <t>엠에스가스</t>
        </is>
      </c>
      <c r="C83" s="17" t="inlineStr">
        <is>
          <t>(주)엠에스가스</t>
        </is>
      </c>
      <c r="D83" s="17" t="n">
        <v>1</v>
      </c>
      <c r="E83" s="17" t="n">
        <v>1</v>
      </c>
      <c r="F83" s="17" t="inlineStr">
        <is>
          <t>Y</t>
        </is>
      </c>
      <c r="G83" s="17" t="inlineStr"/>
      <c r="H83" s="17" t="inlineStr"/>
      <c r="I83" s="17" t="inlineStr"/>
      <c r="J83" s="24" t="n">
        <v>47149</v>
      </c>
      <c r="K83" s="17" t="inlineStr"/>
      <c r="L83" s="17" t="inlineStr"/>
      <c r="M83" s="17" t="inlineStr"/>
      <c r="N83" s="23" t="inlineStr"/>
      <c r="O83" s="17" t="inlineStr"/>
      <c r="P83" s="17" t="inlineStr"/>
      <c r="Q83" s="17" t="inlineStr">
        <is>
          <t>전청민</t>
        </is>
      </c>
      <c r="R83" s="17" t="inlineStr"/>
      <c r="S83" s="17" t="inlineStr"/>
      <c r="T83" s="17" t="inlineStr">
        <is>
          <t>미확인</t>
        </is>
      </c>
      <c r="U83" s="17" t="inlineStr">
        <is>
          <t>미확인</t>
        </is>
      </c>
      <c r="V83" s="22" t="inlineStr">
        <is>
          <t>미확인</t>
        </is>
      </c>
      <c r="W83" s="22" t="inlineStr">
        <is>
          <t>미확인</t>
        </is>
      </c>
      <c r="X83" s="22" t="inlineStr">
        <is>
          <t>미확인</t>
        </is>
      </c>
      <c r="Y83" s="22" t="inlineStr">
        <is>
          <t>미확인</t>
        </is>
      </c>
      <c r="Z83" s="22" t="inlineStr">
        <is>
          <t>미확인</t>
        </is>
      </c>
      <c r="AA83" s="22" t="inlineStr">
        <is>
          <t>미확인</t>
        </is>
      </c>
      <c r="AB83" s="22" t="inlineStr">
        <is>
          <t>미확인</t>
        </is>
      </c>
      <c r="AC83" s="22" t="inlineStr">
        <is>
          <t>미확인</t>
        </is>
      </c>
      <c r="AD83" s="22" t="inlineStr">
        <is>
          <t>미확인</t>
        </is>
      </c>
      <c r="AE83" s="22" t="inlineStr">
        <is>
          <t>미확인</t>
        </is>
      </c>
      <c r="AF83" s="22" t="inlineStr">
        <is>
          <t>미확인</t>
        </is>
      </c>
      <c r="AG83" s="22" t="inlineStr">
        <is>
          <t>미확인</t>
        </is>
      </c>
      <c r="AH83" s="22" t="inlineStr">
        <is>
          <t>미확인</t>
        </is>
      </c>
      <c r="AI83" s="22" t="inlineStr">
        <is>
          <t>미확인</t>
        </is>
      </c>
      <c r="AJ83" s="22" t="inlineStr">
        <is>
          <t>미확인</t>
        </is>
      </c>
      <c r="AK83" s="22" t="inlineStr">
        <is>
          <t>미확인</t>
        </is>
      </c>
      <c r="AL83" s="22" t="inlineStr">
        <is>
          <t>미확인</t>
        </is>
      </c>
      <c r="AM83" s="22" t="inlineStr">
        <is>
          <t>미확인</t>
        </is>
      </c>
      <c r="AN83" s="22" t="inlineStr">
        <is>
          <t>미확인</t>
        </is>
      </c>
      <c r="AO83" s="17" t="inlineStr">
        <is>
          <t>C(부분확인)</t>
        </is>
      </c>
      <c r="AP83" s="17" t="inlineStr">
        <is>
          <t>Y</t>
        </is>
      </c>
      <c r="AQ83" s="17" t="n">
        <v>4</v>
      </c>
      <c r="AR83" s="28" t="inlineStr">
        <is>
          <t>Tier D</t>
        </is>
      </c>
      <c r="AS83" s="17" t="inlineStr">
        <is>
          <t>EDMS</t>
        </is>
      </c>
      <c r="AT83" s="17" t="inlineStr">
        <is>
          <t>기본 문서관리 수요</t>
        </is>
      </c>
      <c r="AU83" s="17" t="inlineStr">
        <is>
          <t>담당자 파악 후 접촉</t>
        </is>
      </c>
      <c r="AV83" s="17" t="inlineStr">
        <is>
          <t>GMP적합판정+KRX</t>
        </is>
      </c>
      <c r="AW83" s="17" t="inlineStr">
        <is>
          <t>2026-07-05</t>
        </is>
      </c>
    </row>
    <row r="84">
      <c r="A84" s="17" t="inlineStr">
        <is>
          <t>C083</t>
        </is>
      </c>
      <c r="B84" s="17" t="inlineStr">
        <is>
          <t>경보제약</t>
        </is>
      </c>
      <c r="C84" s="17" t="inlineStr">
        <is>
          <t>(주)경보제약</t>
        </is>
      </c>
      <c r="D84" s="17" t="n">
        <v>2</v>
      </c>
      <c r="E84" s="17" t="n">
        <v>1</v>
      </c>
      <c r="F84" s="17" t="inlineStr">
        <is>
          <t>Y</t>
        </is>
      </c>
      <c r="G84" s="17" t="inlineStr">
        <is>
          <t>Y</t>
        </is>
      </c>
      <c r="H84" s="17" t="inlineStr">
        <is>
          <t>Y</t>
        </is>
      </c>
      <c r="I84" s="17" t="inlineStr"/>
      <c r="J84" s="24" t="n">
        <v>47149</v>
      </c>
      <c r="K84" s="17" t="inlineStr"/>
      <c r="L84" s="17" t="inlineStr">
        <is>
          <t>Y</t>
        </is>
      </c>
      <c r="M84" s="17" t="inlineStr">
        <is>
          <t>유가</t>
        </is>
      </c>
      <c r="N84" s="23" t="inlineStr">
        <is>
          <t>214390</t>
        </is>
      </c>
      <c r="O84" s="17" t="inlineStr">
        <is>
          <t>기초 의약물질 제조업</t>
        </is>
      </c>
      <c r="P84" s="17" t="inlineStr">
        <is>
          <t>아토르바스타틴, 세프티족심, 세프트리약손</t>
        </is>
      </c>
      <c r="Q84" s="17" t="inlineStr">
        <is>
          <t>김태영</t>
        </is>
      </c>
      <c r="R84" s="17" t="inlineStr">
        <is>
          <t>http://www.kbpharma.co.kr</t>
        </is>
      </c>
      <c r="S84" s="17" t="inlineStr">
        <is>
          <t>충청남도</t>
        </is>
      </c>
      <c r="T84" s="17" t="inlineStr">
        <is>
          <t>041-545-0456</t>
        </is>
      </c>
      <c r="U84" s="17" t="inlineStr">
        <is>
          <t>제조소상세</t>
        </is>
      </c>
      <c r="V84" s="22" t="inlineStr">
        <is>
          <t>미확인</t>
        </is>
      </c>
      <c r="W84" s="22" t="inlineStr">
        <is>
          <t>미확인</t>
        </is>
      </c>
      <c r="X84" s="22" t="inlineStr">
        <is>
          <t>미확인</t>
        </is>
      </c>
      <c r="Y84" s="22" t="inlineStr">
        <is>
          <t>미확인</t>
        </is>
      </c>
      <c r="Z84" s="22" t="inlineStr">
        <is>
          <t>미확인</t>
        </is>
      </c>
      <c r="AA84" s="22" t="inlineStr">
        <is>
          <t>미확인</t>
        </is>
      </c>
      <c r="AB84" s="22" t="inlineStr">
        <is>
          <t>미확인</t>
        </is>
      </c>
      <c r="AC84" s="22" t="inlineStr">
        <is>
          <t>미확인</t>
        </is>
      </c>
      <c r="AD84" s="22" t="inlineStr">
        <is>
          <t>미확인</t>
        </is>
      </c>
      <c r="AE84" s="22" t="inlineStr">
        <is>
          <t>미확인</t>
        </is>
      </c>
      <c r="AF84" s="22" t="inlineStr">
        <is>
          <t>미확인</t>
        </is>
      </c>
      <c r="AG84" s="22" t="inlineStr">
        <is>
          <t>미확인</t>
        </is>
      </c>
      <c r="AH84" s="22" t="inlineStr">
        <is>
          <t>미확인</t>
        </is>
      </c>
      <c r="AI84" s="22" t="inlineStr">
        <is>
          <t>미확인</t>
        </is>
      </c>
      <c r="AJ84" s="22" t="inlineStr">
        <is>
          <t>미확인</t>
        </is>
      </c>
      <c r="AK84" s="22" t="inlineStr">
        <is>
          <t>미확인</t>
        </is>
      </c>
      <c r="AL84" s="22" t="inlineStr">
        <is>
          <t>미확인</t>
        </is>
      </c>
      <c r="AM84" s="22" t="inlineStr">
        <is>
          <t>미확인</t>
        </is>
      </c>
      <c r="AN84" s="22" t="inlineStr">
        <is>
          <t>미확인</t>
        </is>
      </c>
      <c r="AO84" s="17" t="inlineStr">
        <is>
          <t>C(부분확인)</t>
        </is>
      </c>
      <c r="AP84" s="17" t="inlineStr">
        <is>
          <t>Y</t>
        </is>
      </c>
      <c r="AQ84" s="17" t="n">
        <v>15</v>
      </c>
      <c r="AR84" s="28" t="inlineStr">
        <is>
          <t>Tier D</t>
        </is>
      </c>
      <c r="AS84" s="17" t="inlineStr">
        <is>
          <t>QMS+LIMS</t>
        </is>
      </c>
      <c r="AT84" s="17" t="inlineStr">
        <is>
          <t>무균/바이오 제조로 품질관리 난도 높음; 원료 제조로 시험실 관리 필요</t>
        </is>
      </c>
      <c r="AU84" s="17" t="inlineStr">
        <is>
          <t>담당자 파악 후 접촉</t>
        </is>
      </c>
      <c r="AV84" s="17" t="inlineStr">
        <is>
          <t>GMP적합판정+KRX</t>
        </is>
      </c>
      <c r="AW84" s="17" t="inlineStr">
        <is>
          <t>2026-07-05</t>
        </is>
      </c>
    </row>
    <row r="85">
      <c r="A85" s="17" t="inlineStr">
        <is>
          <t>C084</t>
        </is>
      </c>
      <c r="B85" s="17" t="inlineStr">
        <is>
          <t>타나베파마코리아</t>
        </is>
      </c>
      <c r="C85" s="17" t="inlineStr">
        <is>
          <t>타나베파마코리아주식회사</t>
        </is>
      </c>
      <c r="D85" s="17" t="n">
        <v>1</v>
      </c>
      <c r="E85" s="17" t="n">
        <v>1</v>
      </c>
      <c r="F85" s="17" t="inlineStr">
        <is>
          <t>Y</t>
        </is>
      </c>
      <c r="G85" s="17" t="inlineStr"/>
      <c r="H85" s="17" t="inlineStr">
        <is>
          <t>Y</t>
        </is>
      </c>
      <c r="I85" s="17" t="inlineStr"/>
      <c r="J85" s="24" t="n">
        <v>47149</v>
      </c>
      <c r="K85" s="17" t="inlineStr"/>
      <c r="L85" s="17" t="inlineStr"/>
      <c r="M85" s="17" t="inlineStr"/>
      <c r="N85" s="23" t="inlineStr"/>
      <c r="O85" s="17" t="inlineStr"/>
      <c r="P85" s="17" t="inlineStr"/>
      <c r="Q85" s="17" t="inlineStr">
        <is>
          <t>이원규</t>
        </is>
      </c>
      <c r="R85" s="17" t="inlineStr"/>
      <c r="S85" s="17" t="inlineStr"/>
      <c r="T85" s="17" t="inlineStr">
        <is>
          <t>02-347-5104</t>
        </is>
      </c>
      <c r="U85" s="17" t="inlineStr">
        <is>
          <t>제조소상세</t>
        </is>
      </c>
      <c r="V85" s="22" t="inlineStr">
        <is>
          <t>미확인</t>
        </is>
      </c>
      <c r="W85" s="22" t="inlineStr">
        <is>
          <t>미확인</t>
        </is>
      </c>
      <c r="X85" s="22" t="inlineStr">
        <is>
          <t>미확인</t>
        </is>
      </c>
      <c r="Y85" s="22" t="inlineStr">
        <is>
          <t>미확인</t>
        </is>
      </c>
      <c r="Z85" s="22" t="inlineStr">
        <is>
          <t>미확인</t>
        </is>
      </c>
      <c r="AA85" s="22" t="inlineStr">
        <is>
          <t>미확인</t>
        </is>
      </c>
      <c r="AB85" s="22" t="inlineStr">
        <is>
          <t>미확인</t>
        </is>
      </c>
      <c r="AC85" s="22" t="inlineStr">
        <is>
          <t>미확인</t>
        </is>
      </c>
      <c r="AD85" s="22" t="inlineStr">
        <is>
          <t>미확인</t>
        </is>
      </c>
      <c r="AE85" s="22" t="inlineStr">
        <is>
          <t>미확인</t>
        </is>
      </c>
      <c r="AF85" s="22" t="inlineStr">
        <is>
          <t>미확인</t>
        </is>
      </c>
      <c r="AG85" s="22" t="inlineStr">
        <is>
          <t>미확인</t>
        </is>
      </c>
      <c r="AH85" s="22" t="inlineStr">
        <is>
          <t>미확인</t>
        </is>
      </c>
      <c r="AI85" s="22" t="inlineStr">
        <is>
          <t>미확인</t>
        </is>
      </c>
      <c r="AJ85" s="22" t="inlineStr">
        <is>
          <t>미확인</t>
        </is>
      </c>
      <c r="AK85" s="22" t="inlineStr">
        <is>
          <t>미확인</t>
        </is>
      </c>
      <c r="AL85" s="22" t="inlineStr">
        <is>
          <t>미확인</t>
        </is>
      </c>
      <c r="AM85" s="22" t="inlineStr">
        <is>
          <t>미확인</t>
        </is>
      </c>
      <c r="AN85" s="22" t="inlineStr">
        <is>
          <t>미확인</t>
        </is>
      </c>
      <c r="AO85" s="17" t="inlineStr">
        <is>
          <t>C(부분확인)</t>
        </is>
      </c>
      <c r="AP85" s="17" t="inlineStr">
        <is>
          <t>Y</t>
        </is>
      </c>
      <c r="AQ85" s="17" t="n">
        <v>12</v>
      </c>
      <c r="AR85" s="28" t="inlineStr">
        <is>
          <t>Tier D</t>
        </is>
      </c>
      <c r="AS85" s="17" t="inlineStr">
        <is>
          <t>QMS+LIMS</t>
        </is>
      </c>
      <c r="AT85" s="17" t="inlineStr">
        <is>
          <t>무균/바이오 제조로 품질관리 난도 높음</t>
        </is>
      </c>
      <c r="AU85" s="17" t="inlineStr">
        <is>
          <t>담당자 파악 후 접촉</t>
        </is>
      </c>
      <c r="AV85" s="17" t="inlineStr">
        <is>
          <t>GMP적합판정+KRX</t>
        </is>
      </c>
      <c r="AW85" s="17" t="inlineStr">
        <is>
          <t>2026-07-05</t>
        </is>
      </c>
    </row>
    <row r="86">
      <c r="A86" s="17" t="inlineStr">
        <is>
          <t>C085</t>
        </is>
      </c>
      <c r="B86" s="17" t="inlineStr">
        <is>
          <t>대덕가스</t>
        </is>
      </c>
      <c r="C86" s="17" t="inlineStr">
        <is>
          <t>대덕가스(주)</t>
        </is>
      </c>
      <c r="D86" s="17" t="n">
        <v>3</v>
      </c>
      <c r="E86" s="17" t="n">
        <v>3</v>
      </c>
      <c r="F86" s="17" t="inlineStr">
        <is>
          <t>Y</t>
        </is>
      </c>
      <c r="G86" s="17" t="inlineStr"/>
      <c r="H86" s="17" t="inlineStr"/>
      <c r="I86" s="17" t="inlineStr"/>
      <c r="J86" s="24" t="n">
        <v>46596</v>
      </c>
      <c r="K86" s="17" t="inlineStr"/>
      <c r="L86" s="17" t="inlineStr"/>
      <c r="M86" s="17" t="inlineStr"/>
      <c r="N86" s="23" t="inlineStr"/>
      <c r="O86" s="17" t="inlineStr"/>
      <c r="P86" s="17" t="inlineStr"/>
      <c r="Q86" s="17" t="inlineStr">
        <is>
          <t>이남규</t>
        </is>
      </c>
      <c r="R86" s="17" t="inlineStr"/>
      <c r="S86" s="17" t="inlineStr"/>
      <c r="T86" s="17" t="inlineStr">
        <is>
          <t>미확인</t>
        </is>
      </c>
      <c r="U86" s="17" t="inlineStr">
        <is>
          <t>미확인</t>
        </is>
      </c>
      <c r="V86" s="22" t="inlineStr">
        <is>
          <t>미확인</t>
        </is>
      </c>
      <c r="W86" s="22" t="inlineStr">
        <is>
          <t>미확인</t>
        </is>
      </c>
      <c r="X86" s="22" t="inlineStr">
        <is>
          <t>미확인</t>
        </is>
      </c>
      <c r="Y86" s="22" t="inlineStr">
        <is>
          <t>미확인</t>
        </is>
      </c>
      <c r="Z86" s="22" t="inlineStr">
        <is>
          <t>미확인</t>
        </is>
      </c>
      <c r="AA86" s="22" t="inlineStr">
        <is>
          <t>미확인</t>
        </is>
      </c>
      <c r="AB86" s="22" t="inlineStr">
        <is>
          <t>미확인</t>
        </is>
      </c>
      <c r="AC86" s="22" t="inlineStr">
        <is>
          <t>미확인</t>
        </is>
      </c>
      <c r="AD86" s="22" t="inlineStr">
        <is>
          <t>미확인</t>
        </is>
      </c>
      <c r="AE86" s="22" t="inlineStr">
        <is>
          <t>미확인</t>
        </is>
      </c>
      <c r="AF86" s="22" t="inlineStr">
        <is>
          <t>미확인</t>
        </is>
      </c>
      <c r="AG86" s="22" t="inlineStr">
        <is>
          <t>미확인</t>
        </is>
      </c>
      <c r="AH86" s="22" t="inlineStr">
        <is>
          <t>미확인</t>
        </is>
      </c>
      <c r="AI86" s="22" t="inlineStr">
        <is>
          <t>미확인</t>
        </is>
      </c>
      <c r="AJ86" s="22" t="inlineStr">
        <is>
          <t>미확인</t>
        </is>
      </c>
      <c r="AK86" s="22" t="inlineStr">
        <is>
          <t>미확인</t>
        </is>
      </c>
      <c r="AL86" s="22" t="inlineStr">
        <is>
          <t>미확인</t>
        </is>
      </c>
      <c r="AM86" s="22" t="inlineStr">
        <is>
          <t>미확인</t>
        </is>
      </c>
      <c r="AN86" s="22" t="inlineStr">
        <is>
          <t>미확인</t>
        </is>
      </c>
      <c r="AO86" s="17" t="inlineStr">
        <is>
          <t>C(부분확인)</t>
        </is>
      </c>
      <c r="AP86" s="17" t="inlineStr">
        <is>
          <t>Y</t>
        </is>
      </c>
      <c r="AQ86" s="17" t="n">
        <v>12</v>
      </c>
      <c r="AR86" s="28" t="inlineStr">
        <is>
          <t>Tier D</t>
        </is>
      </c>
      <c r="AS86" s="17" t="inlineStr">
        <is>
          <t>통합형</t>
        </is>
      </c>
      <c r="AT86" s="17" t="inlineStr">
        <is>
          <t>다중 제조소/다수 판정서로 문서관리 복잡; 다중 제조소로 교육관리 대상 광범위</t>
        </is>
      </c>
      <c r="AU86" s="17" t="inlineStr">
        <is>
          <t>담당자 파악 후 접촉</t>
        </is>
      </c>
      <c r="AV86" s="17" t="inlineStr">
        <is>
          <t>GMP적합판정+KRX</t>
        </is>
      </c>
      <c r="AW86" s="17" t="inlineStr">
        <is>
          <t>2026-07-05</t>
        </is>
      </c>
    </row>
    <row r="87">
      <c r="A87" s="17" t="inlineStr">
        <is>
          <t>C086</t>
        </is>
      </c>
      <c r="B87" s="17" t="inlineStr">
        <is>
          <t>에이치케이이노엔</t>
        </is>
      </c>
      <c r="C87" s="17" t="inlineStr">
        <is>
          <t>에이치케이이노엔(주)</t>
        </is>
      </c>
      <c r="D87" s="17" t="n">
        <v>5</v>
      </c>
      <c r="E87" s="17" t="n">
        <v>3</v>
      </c>
      <c r="F87" s="17" t="inlineStr">
        <is>
          <t>Y</t>
        </is>
      </c>
      <c r="G87" s="17" t="inlineStr">
        <is>
          <t>Y</t>
        </is>
      </c>
      <c r="H87" s="17" t="inlineStr">
        <is>
          <t>Y</t>
        </is>
      </c>
      <c r="I87" s="17" t="inlineStr">
        <is>
          <t>Y</t>
        </is>
      </c>
      <c r="J87" s="24" t="n">
        <v>46822</v>
      </c>
      <c r="K87" s="17" t="inlineStr"/>
      <c r="L87" s="17" t="inlineStr"/>
      <c r="M87" s="17" t="inlineStr"/>
      <c r="N87" s="23" t="inlineStr"/>
      <c r="O87" s="17" t="inlineStr"/>
      <c r="P87" s="17" t="inlineStr"/>
      <c r="Q87" s="17" t="inlineStr">
        <is>
          <t>곽달원</t>
        </is>
      </c>
      <c r="R87" s="17" t="inlineStr"/>
      <c r="S87" s="17" t="inlineStr"/>
      <c r="T87" s="17" t="inlineStr">
        <is>
          <t>031-639-4270</t>
        </is>
      </c>
      <c r="U87" s="17" t="inlineStr">
        <is>
          <t>제조소상세</t>
        </is>
      </c>
      <c r="V87" s="22" t="inlineStr">
        <is>
          <t>미확인</t>
        </is>
      </c>
      <c r="W87" s="22" t="inlineStr">
        <is>
          <t>미확인</t>
        </is>
      </c>
      <c r="X87" s="22" t="inlineStr">
        <is>
          <t>미확인</t>
        </is>
      </c>
      <c r="Y87" s="22" t="inlineStr">
        <is>
          <t>미확인</t>
        </is>
      </c>
      <c r="Z87" s="22" t="inlineStr">
        <is>
          <t>미확인</t>
        </is>
      </c>
      <c r="AA87" s="22" t="inlineStr">
        <is>
          <t>미확인</t>
        </is>
      </c>
      <c r="AB87" s="22" t="inlineStr">
        <is>
          <t>미확인</t>
        </is>
      </c>
      <c r="AC87" s="22" t="inlineStr">
        <is>
          <t>미확인</t>
        </is>
      </c>
      <c r="AD87" s="22" t="inlineStr">
        <is>
          <t>미확인</t>
        </is>
      </c>
      <c r="AE87" s="22" t="inlineStr">
        <is>
          <t>미확인</t>
        </is>
      </c>
      <c r="AF87" s="22" t="inlineStr">
        <is>
          <t>미확인</t>
        </is>
      </c>
      <c r="AG87" s="22" t="inlineStr">
        <is>
          <t>미확인</t>
        </is>
      </c>
      <c r="AH87" s="22" t="inlineStr">
        <is>
          <t>미확인</t>
        </is>
      </c>
      <c r="AI87" s="22" t="inlineStr">
        <is>
          <t>미확인</t>
        </is>
      </c>
      <c r="AJ87" s="22" t="inlineStr">
        <is>
          <t>미확인</t>
        </is>
      </c>
      <c r="AK87" s="22" t="inlineStr">
        <is>
          <t>미확인</t>
        </is>
      </c>
      <c r="AL87" s="22" t="inlineStr">
        <is>
          <t>미확인</t>
        </is>
      </c>
      <c r="AM87" s="22" t="inlineStr">
        <is>
          <t>미확인</t>
        </is>
      </c>
      <c r="AN87" s="22" t="inlineStr">
        <is>
          <t>미확인</t>
        </is>
      </c>
      <c r="AO87" s="17" t="inlineStr">
        <is>
          <t>C(부분확인)</t>
        </is>
      </c>
      <c r="AP87" s="17" t="inlineStr">
        <is>
          <t>Y</t>
        </is>
      </c>
      <c r="AQ87" s="17" t="n">
        <v>27</v>
      </c>
      <c r="AR87" s="28" t="inlineStr">
        <is>
          <t>Tier D</t>
        </is>
      </c>
      <c r="AS87" s="17" t="inlineStr">
        <is>
          <t>통합형</t>
        </is>
      </c>
      <c r="AT87" s="17" t="inlineStr">
        <is>
          <t>다중 제조소/다수 판정서로 문서관리 복잡; 무균/바이오 제조로 품질관리 난도 높음</t>
        </is>
      </c>
      <c r="AU87" s="17" t="inlineStr">
        <is>
          <t>담당자 파악 후 접촉</t>
        </is>
      </c>
      <c r="AV87" s="17" t="inlineStr">
        <is>
          <t>GMP적합판정+KRX</t>
        </is>
      </c>
      <c r="AW87" s="17" t="inlineStr">
        <is>
          <t>2026-07-05</t>
        </is>
      </c>
    </row>
    <row r="88">
      <c r="A88" s="17" t="inlineStr">
        <is>
          <t>C087</t>
        </is>
      </c>
      <c r="B88" s="17" t="inlineStr">
        <is>
          <t>유한화학</t>
        </is>
      </c>
      <c r="C88" s="17" t="inlineStr">
        <is>
          <t>주식회사 유한화학</t>
        </is>
      </c>
      <c r="D88" s="17" t="n">
        <v>2</v>
      </c>
      <c r="E88" s="17" t="n">
        <v>2</v>
      </c>
      <c r="F88" s="17" t="inlineStr"/>
      <c r="G88" s="17" t="inlineStr">
        <is>
          <t>Y</t>
        </is>
      </c>
      <c r="H88" s="17" t="inlineStr"/>
      <c r="I88" s="17" t="inlineStr"/>
      <c r="J88" s="24" t="n">
        <v>46849</v>
      </c>
      <c r="K88" s="17" t="inlineStr"/>
      <c r="L88" s="17" t="inlineStr"/>
      <c r="M88" s="17" t="inlineStr"/>
      <c r="N88" s="23" t="inlineStr"/>
      <c r="O88" s="17" t="inlineStr"/>
      <c r="P88" s="17" t="inlineStr"/>
      <c r="Q88" s="17" t="inlineStr">
        <is>
          <t>이영래</t>
        </is>
      </c>
      <c r="R88" s="17" t="inlineStr"/>
      <c r="S88" s="17" t="inlineStr"/>
      <c r="T88" s="17" t="inlineStr">
        <is>
          <t>031-499-4111</t>
        </is>
      </c>
      <c r="U88" s="17" t="inlineStr">
        <is>
          <t>제조소상세</t>
        </is>
      </c>
      <c r="V88" s="22" t="inlineStr">
        <is>
          <t>미확인</t>
        </is>
      </c>
      <c r="W88" s="22" t="inlineStr">
        <is>
          <t>미확인</t>
        </is>
      </c>
      <c r="X88" s="22" t="inlineStr">
        <is>
          <t>미확인</t>
        </is>
      </c>
      <c r="Y88" s="22" t="inlineStr">
        <is>
          <t>미확인</t>
        </is>
      </c>
      <c r="Z88" s="22" t="inlineStr">
        <is>
          <t>미확인</t>
        </is>
      </c>
      <c r="AA88" s="22" t="inlineStr">
        <is>
          <t>미확인</t>
        </is>
      </c>
      <c r="AB88" s="22" t="inlineStr">
        <is>
          <t>미확인</t>
        </is>
      </c>
      <c r="AC88" s="22" t="inlineStr">
        <is>
          <t>미확인</t>
        </is>
      </c>
      <c r="AD88" s="22" t="inlineStr">
        <is>
          <t>미확인</t>
        </is>
      </c>
      <c r="AE88" s="22" t="inlineStr">
        <is>
          <t>미확인</t>
        </is>
      </c>
      <c r="AF88" s="22" t="inlineStr">
        <is>
          <t>미확인</t>
        </is>
      </c>
      <c r="AG88" s="22" t="inlineStr">
        <is>
          <t>미확인</t>
        </is>
      </c>
      <c r="AH88" s="22" t="inlineStr">
        <is>
          <t>미확인</t>
        </is>
      </c>
      <c r="AI88" s="22" t="inlineStr">
        <is>
          <t>미확인</t>
        </is>
      </c>
      <c r="AJ88" s="22" t="inlineStr">
        <is>
          <t>미확인</t>
        </is>
      </c>
      <c r="AK88" s="22" t="inlineStr">
        <is>
          <t>미확인</t>
        </is>
      </c>
      <c r="AL88" s="22" t="inlineStr">
        <is>
          <t>미확인</t>
        </is>
      </c>
      <c r="AM88" s="22" t="inlineStr">
        <is>
          <t>미확인</t>
        </is>
      </c>
      <c r="AN88" s="22" t="inlineStr">
        <is>
          <t>미확인</t>
        </is>
      </c>
      <c r="AO88" s="17" t="inlineStr">
        <is>
          <t>C(부분확인)</t>
        </is>
      </c>
      <c r="AP88" s="17" t="inlineStr">
        <is>
          <t>Y</t>
        </is>
      </c>
      <c r="AQ88" s="17" t="n">
        <v>8</v>
      </c>
      <c r="AR88" s="28" t="inlineStr">
        <is>
          <t>Tier D</t>
        </is>
      </c>
      <c r="AS88" s="17" t="inlineStr">
        <is>
          <t>통합형</t>
        </is>
      </c>
      <c r="AT88" s="17" t="inlineStr">
        <is>
          <t>다중 제조소/다수 판정서로 문서관리 복잡; 원료 제조로 시험실 관리 필요</t>
        </is>
      </c>
      <c r="AU88" s="17" t="inlineStr">
        <is>
          <t>담당자 파악 후 접촉</t>
        </is>
      </c>
      <c r="AV88" s="17" t="inlineStr">
        <is>
          <t>GMP적합판정+KRX</t>
        </is>
      </c>
      <c r="AW88" s="17" t="inlineStr">
        <is>
          <t>2026-07-05</t>
        </is>
      </c>
    </row>
    <row r="89">
      <c r="A89" s="17" t="inlineStr">
        <is>
          <t>C088</t>
        </is>
      </c>
      <c r="B89" s="17" t="inlineStr">
        <is>
          <t>한국탄산화학</t>
        </is>
      </c>
      <c r="C89" s="17" t="inlineStr">
        <is>
          <t>한국탄산화학(주)</t>
        </is>
      </c>
      <c r="D89" s="17" t="n">
        <v>1</v>
      </c>
      <c r="E89" s="17" t="n">
        <v>1</v>
      </c>
      <c r="F89" s="17" t="inlineStr">
        <is>
          <t>Y</t>
        </is>
      </c>
      <c r="G89" s="17" t="inlineStr"/>
      <c r="H89" s="17" t="inlineStr"/>
      <c r="I89" s="17" t="inlineStr"/>
      <c r="J89" s="24" t="n">
        <v>47120</v>
      </c>
      <c r="K89" s="17" t="inlineStr"/>
      <c r="L89" s="17" t="inlineStr"/>
      <c r="M89" s="17" t="inlineStr"/>
      <c r="N89" s="23" t="inlineStr"/>
      <c r="O89" s="17" t="inlineStr"/>
      <c r="P89" s="17" t="inlineStr"/>
      <c r="Q89" s="17" t="inlineStr">
        <is>
          <t>유연채</t>
        </is>
      </c>
      <c r="R89" s="17" t="inlineStr"/>
      <c r="S89" s="17" t="inlineStr"/>
      <c r="T89" s="17" t="inlineStr">
        <is>
          <t>031-498-9231</t>
        </is>
      </c>
      <c r="U89" s="17" t="inlineStr">
        <is>
          <t>제조소상세</t>
        </is>
      </c>
      <c r="V89" s="22" t="inlineStr">
        <is>
          <t>미확인</t>
        </is>
      </c>
      <c r="W89" s="22" t="inlineStr">
        <is>
          <t>미확인</t>
        </is>
      </c>
      <c r="X89" s="22" t="inlineStr">
        <is>
          <t>미확인</t>
        </is>
      </c>
      <c r="Y89" s="22" t="inlineStr">
        <is>
          <t>미확인</t>
        </is>
      </c>
      <c r="Z89" s="22" t="inlineStr">
        <is>
          <t>미확인</t>
        </is>
      </c>
      <c r="AA89" s="22" t="inlineStr">
        <is>
          <t>미확인</t>
        </is>
      </c>
      <c r="AB89" s="22" t="inlineStr">
        <is>
          <t>미확인</t>
        </is>
      </c>
      <c r="AC89" s="22" t="inlineStr">
        <is>
          <t>미확인</t>
        </is>
      </c>
      <c r="AD89" s="22" t="inlineStr">
        <is>
          <t>미확인</t>
        </is>
      </c>
      <c r="AE89" s="22" t="inlineStr">
        <is>
          <t>미확인</t>
        </is>
      </c>
      <c r="AF89" s="22" t="inlineStr">
        <is>
          <t>미확인</t>
        </is>
      </c>
      <c r="AG89" s="22" t="inlineStr">
        <is>
          <t>미확인</t>
        </is>
      </c>
      <c r="AH89" s="22" t="inlineStr">
        <is>
          <t>미확인</t>
        </is>
      </c>
      <c r="AI89" s="22" t="inlineStr">
        <is>
          <t>미확인</t>
        </is>
      </c>
      <c r="AJ89" s="22" t="inlineStr">
        <is>
          <t>미확인</t>
        </is>
      </c>
      <c r="AK89" s="22" t="inlineStr">
        <is>
          <t>미확인</t>
        </is>
      </c>
      <c r="AL89" s="22" t="inlineStr">
        <is>
          <t>미확인</t>
        </is>
      </c>
      <c r="AM89" s="22" t="inlineStr">
        <is>
          <t>미확인</t>
        </is>
      </c>
      <c r="AN89" s="22" t="inlineStr">
        <is>
          <t>미확인</t>
        </is>
      </c>
      <c r="AO89" s="17" t="inlineStr">
        <is>
          <t>C(부분확인)</t>
        </is>
      </c>
      <c r="AP89" s="17" t="inlineStr">
        <is>
          <t>Y</t>
        </is>
      </c>
      <c r="AQ89" s="17" t="n">
        <v>4</v>
      </c>
      <c r="AR89" s="28" t="inlineStr">
        <is>
          <t>Tier D</t>
        </is>
      </c>
      <c r="AS89" s="17" t="inlineStr">
        <is>
          <t>EDMS</t>
        </is>
      </c>
      <c r="AT89" s="17" t="inlineStr">
        <is>
          <t>기본 문서관리 수요</t>
        </is>
      </c>
      <c r="AU89" s="17" t="inlineStr">
        <is>
          <t>담당자 파악 후 접촉</t>
        </is>
      </c>
      <c r="AV89" s="17" t="inlineStr">
        <is>
          <t>GMP적합판정+KRX</t>
        </is>
      </c>
      <c r="AW89" s="17" t="inlineStr">
        <is>
          <t>2026-07-05</t>
        </is>
      </c>
    </row>
    <row r="90">
      <c r="A90" s="17" t="inlineStr">
        <is>
          <t>C089</t>
        </is>
      </c>
      <c r="B90" s="17" t="inlineStr">
        <is>
          <t>녹십자웰빙</t>
        </is>
      </c>
      <c r="C90" s="17" t="inlineStr">
        <is>
          <t>(주)녹십자웰빙</t>
        </is>
      </c>
      <c r="D90" s="17" t="n">
        <v>2</v>
      </c>
      <c r="E90" s="17" t="n">
        <v>1</v>
      </c>
      <c r="F90" s="17" t="inlineStr">
        <is>
          <t>Y</t>
        </is>
      </c>
      <c r="G90" s="17" t="inlineStr">
        <is>
          <t>Y</t>
        </is>
      </c>
      <c r="H90" s="17" t="inlineStr">
        <is>
          <t>Y</t>
        </is>
      </c>
      <c r="I90" s="17" t="inlineStr"/>
      <c r="J90" s="24" t="n">
        <v>47113</v>
      </c>
      <c r="K90" s="17" t="inlineStr"/>
      <c r="L90" s="17" t="inlineStr">
        <is>
          <t>Y</t>
        </is>
      </c>
      <c r="M90" s="17" t="inlineStr">
        <is>
          <t>코스닥</t>
        </is>
      </c>
      <c r="N90" s="23" t="inlineStr">
        <is>
          <t>234690</t>
        </is>
      </c>
      <c r="O90" s="17" t="inlineStr">
        <is>
          <t>의약품 제조업</t>
        </is>
      </c>
      <c r="P90" s="17" t="inlineStr">
        <is>
          <t>전문의약품, 건강기능식품</t>
        </is>
      </c>
      <c r="Q90" s="17" t="inlineStr">
        <is>
          <t>김상현</t>
        </is>
      </c>
      <c r="R90" s="17" t="inlineStr">
        <is>
          <t>http://www.greencrosswb.com</t>
        </is>
      </c>
      <c r="S90" s="17" t="inlineStr">
        <is>
          <t>서울특별시</t>
        </is>
      </c>
      <c r="T90" s="17" t="inlineStr">
        <is>
          <t>070-4470-2319</t>
        </is>
      </c>
      <c r="U90" s="17" t="inlineStr">
        <is>
          <t>제조소상세</t>
        </is>
      </c>
      <c r="V90" s="22" t="inlineStr">
        <is>
          <t>미확인</t>
        </is>
      </c>
      <c r="W90" s="22" t="inlineStr">
        <is>
          <t>미확인</t>
        </is>
      </c>
      <c r="X90" s="22" t="inlineStr">
        <is>
          <t>미확인</t>
        </is>
      </c>
      <c r="Y90" s="22" t="inlineStr">
        <is>
          <t>미확인</t>
        </is>
      </c>
      <c r="Z90" s="22" t="inlineStr">
        <is>
          <t>미확인</t>
        </is>
      </c>
      <c r="AA90" s="22" t="inlineStr">
        <is>
          <t>미확인</t>
        </is>
      </c>
      <c r="AB90" s="22" t="inlineStr">
        <is>
          <t>미확인</t>
        </is>
      </c>
      <c r="AC90" s="22" t="inlineStr">
        <is>
          <t>미확인</t>
        </is>
      </c>
      <c r="AD90" s="22" t="inlineStr">
        <is>
          <t>미확인</t>
        </is>
      </c>
      <c r="AE90" s="22" t="inlineStr">
        <is>
          <t>미확인</t>
        </is>
      </c>
      <c r="AF90" s="22" t="inlineStr">
        <is>
          <t>미확인</t>
        </is>
      </c>
      <c r="AG90" s="22" t="inlineStr">
        <is>
          <t>미확인</t>
        </is>
      </c>
      <c r="AH90" s="22" t="inlineStr">
        <is>
          <t>미확인</t>
        </is>
      </c>
      <c r="AI90" s="22" t="inlineStr">
        <is>
          <t>미확인</t>
        </is>
      </c>
      <c r="AJ90" s="22" t="inlineStr">
        <is>
          <t>미확인</t>
        </is>
      </c>
      <c r="AK90" s="22" t="inlineStr">
        <is>
          <t>미확인</t>
        </is>
      </c>
      <c r="AL90" s="22" t="inlineStr">
        <is>
          <t>미확인</t>
        </is>
      </c>
      <c r="AM90" s="22" t="inlineStr">
        <is>
          <t>미확인</t>
        </is>
      </c>
      <c r="AN90" s="22" t="inlineStr">
        <is>
          <t>미확인</t>
        </is>
      </c>
      <c r="AO90" s="17" t="inlineStr">
        <is>
          <t>C(부분확인)</t>
        </is>
      </c>
      <c r="AP90" s="17" t="inlineStr">
        <is>
          <t>Y</t>
        </is>
      </c>
      <c r="AQ90" s="17" t="n">
        <v>15</v>
      </c>
      <c r="AR90" s="28" t="inlineStr">
        <is>
          <t>Tier D</t>
        </is>
      </c>
      <c r="AS90" s="17" t="inlineStr">
        <is>
          <t>QMS+LIMS</t>
        </is>
      </c>
      <c r="AT90" s="17" t="inlineStr">
        <is>
          <t>무균/바이오 제조로 품질관리 난도 높음; 원료 제조로 시험실 관리 필요</t>
        </is>
      </c>
      <c r="AU90" s="17" t="inlineStr">
        <is>
          <t>담당자 파악 후 접촉</t>
        </is>
      </c>
      <c r="AV90" s="17" t="inlineStr">
        <is>
          <t>GMP적합판정+KRX</t>
        </is>
      </c>
      <c r="AW90" s="17" t="inlineStr">
        <is>
          <t>2026-07-05</t>
        </is>
      </c>
    </row>
    <row r="91">
      <c r="A91" s="17" t="inlineStr">
        <is>
          <t>C090</t>
        </is>
      </c>
      <c r="B91" s="17" t="inlineStr">
        <is>
          <t>대웅바이오</t>
        </is>
      </c>
      <c r="C91" s="17" t="inlineStr">
        <is>
          <t>대웅바이오(주)</t>
        </is>
      </c>
      <c r="D91" s="17" t="n">
        <v>3</v>
      </c>
      <c r="E91" s="17" t="n">
        <v>3</v>
      </c>
      <c r="F91" s="17" t="inlineStr">
        <is>
          <t>Y</t>
        </is>
      </c>
      <c r="G91" s="17" t="inlineStr">
        <is>
          <t>Y</t>
        </is>
      </c>
      <c r="H91" s="17" t="inlineStr"/>
      <c r="I91" s="17" t="inlineStr"/>
      <c r="J91" s="24" t="n">
        <v>46850</v>
      </c>
      <c r="K91" s="17" t="inlineStr"/>
      <c r="L91" s="17" t="inlineStr"/>
      <c r="M91" s="17" t="inlineStr"/>
      <c r="N91" s="23" t="inlineStr"/>
      <c r="O91" s="17" t="inlineStr"/>
      <c r="P91" s="17" t="inlineStr"/>
      <c r="Q91" s="17" t="inlineStr">
        <is>
          <t>진성곤</t>
        </is>
      </c>
      <c r="R91" s="17" t="inlineStr"/>
      <c r="S91" s="17" t="inlineStr"/>
      <c r="T91" s="17" t="inlineStr">
        <is>
          <t>031-3535-2713</t>
        </is>
      </c>
      <c r="U91" s="17" t="inlineStr">
        <is>
          <t>제조소상세</t>
        </is>
      </c>
      <c r="V91" s="22" t="inlineStr">
        <is>
          <t>미확인</t>
        </is>
      </c>
      <c r="W91" s="22" t="inlineStr">
        <is>
          <t>미확인</t>
        </is>
      </c>
      <c r="X91" s="22" t="inlineStr">
        <is>
          <t>미확인</t>
        </is>
      </c>
      <c r="Y91" s="22" t="inlineStr">
        <is>
          <t>미확인</t>
        </is>
      </c>
      <c r="Z91" s="22" t="inlineStr">
        <is>
          <t>미확인</t>
        </is>
      </c>
      <c r="AA91" s="22" t="inlineStr">
        <is>
          <t>미확인</t>
        </is>
      </c>
      <c r="AB91" s="22" t="inlineStr">
        <is>
          <t>미확인</t>
        </is>
      </c>
      <c r="AC91" s="22" t="inlineStr">
        <is>
          <t>미확인</t>
        </is>
      </c>
      <c r="AD91" s="22" t="inlineStr">
        <is>
          <t>미확인</t>
        </is>
      </c>
      <c r="AE91" s="22" t="inlineStr">
        <is>
          <t>미확인</t>
        </is>
      </c>
      <c r="AF91" s="22" t="inlineStr">
        <is>
          <t>미확인</t>
        </is>
      </c>
      <c r="AG91" s="22" t="inlineStr">
        <is>
          <t>미확인</t>
        </is>
      </c>
      <c r="AH91" s="22" t="inlineStr">
        <is>
          <t>미확인</t>
        </is>
      </c>
      <c r="AI91" s="22" t="inlineStr">
        <is>
          <t>미확인</t>
        </is>
      </c>
      <c r="AJ91" s="22" t="inlineStr">
        <is>
          <t>미확인</t>
        </is>
      </c>
      <c r="AK91" s="22" t="inlineStr">
        <is>
          <t>미확인</t>
        </is>
      </c>
      <c r="AL91" s="22" t="inlineStr">
        <is>
          <t>미확인</t>
        </is>
      </c>
      <c r="AM91" s="22" t="inlineStr">
        <is>
          <t>미확인</t>
        </is>
      </c>
      <c r="AN91" s="22" t="inlineStr">
        <is>
          <t>미확인</t>
        </is>
      </c>
      <c r="AO91" s="17" t="inlineStr">
        <is>
          <t>C(부분확인)</t>
        </is>
      </c>
      <c r="AP91" s="17" t="inlineStr">
        <is>
          <t>Y</t>
        </is>
      </c>
      <c r="AQ91" s="17" t="n">
        <v>12</v>
      </c>
      <c r="AR91" s="28" t="inlineStr">
        <is>
          <t>Tier D</t>
        </is>
      </c>
      <c r="AS91" s="17" t="inlineStr">
        <is>
          <t>통합형</t>
        </is>
      </c>
      <c r="AT91" s="17" t="inlineStr">
        <is>
          <t>다중 제조소/다수 판정서로 문서관리 복잡; 원료 제조로 시험실 관리 필요</t>
        </is>
      </c>
      <c r="AU91" s="17" t="inlineStr">
        <is>
          <t>담당자 파악 후 접촉</t>
        </is>
      </c>
      <c r="AV91" s="17" t="inlineStr">
        <is>
          <t>GMP적합판정+KRX</t>
        </is>
      </c>
      <c r="AW91" s="17" t="inlineStr">
        <is>
          <t>2026-07-05</t>
        </is>
      </c>
    </row>
    <row r="92">
      <c r="A92" s="17" t="inlineStr">
        <is>
          <t>C091</t>
        </is>
      </c>
      <c r="B92" s="17" t="inlineStr">
        <is>
          <t>대유코아</t>
        </is>
      </c>
      <c r="C92" s="17" t="inlineStr">
        <is>
          <t>(주)대유코아</t>
        </is>
      </c>
      <c r="D92" s="17" t="n">
        <v>1</v>
      </c>
      <c r="E92" s="17" t="n">
        <v>1</v>
      </c>
      <c r="F92" s="17" t="inlineStr">
        <is>
          <t>Y</t>
        </is>
      </c>
      <c r="G92" s="17" t="inlineStr"/>
      <c r="H92" s="17" t="inlineStr"/>
      <c r="I92" s="17" t="inlineStr"/>
      <c r="J92" s="24" t="n">
        <v>47106</v>
      </c>
      <c r="K92" s="17" t="inlineStr"/>
      <c r="L92" s="17" t="inlineStr"/>
      <c r="M92" s="17" t="inlineStr"/>
      <c r="N92" s="23" t="inlineStr"/>
      <c r="O92" s="17" t="inlineStr"/>
      <c r="P92" s="17" t="inlineStr"/>
      <c r="Q92" s="17" t="inlineStr">
        <is>
          <t>이태희</t>
        </is>
      </c>
      <c r="R92" s="17" t="inlineStr"/>
      <c r="S92" s="17" t="inlineStr"/>
      <c r="T92" s="17" t="inlineStr">
        <is>
          <t>055-800-7403</t>
        </is>
      </c>
      <c r="U92" s="17" t="inlineStr">
        <is>
          <t>제조소상세</t>
        </is>
      </c>
      <c r="V92" s="22" t="inlineStr">
        <is>
          <t>미확인</t>
        </is>
      </c>
      <c r="W92" s="22" t="inlineStr">
        <is>
          <t>미확인</t>
        </is>
      </c>
      <c r="X92" s="22" t="inlineStr">
        <is>
          <t>미확인</t>
        </is>
      </c>
      <c r="Y92" s="22" t="inlineStr">
        <is>
          <t>미확인</t>
        </is>
      </c>
      <c r="Z92" s="22" t="inlineStr">
        <is>
          <t>미확인</t>
        </is>
      </c>
      <c r="AA92" s="22" t="inlineStr">
        <is>
          <t>미확인</t>
        </is>
      </c>
      <c r="AB92" s="22" t="inlineStr">
        <is>
          <t>미확인</t>
        </is>
      </c>
      <c r="AC92" s="22" t="inlineStr">
        <is>
          <t>미확인</t>
        </is>
      </c>
      <c r="AD92" s="22" t="inlineStr">
        <is>
          <t>미확인</t>
        </is>
      </c>
      <c r="AE92" s="22" t="inlineStr">
        <is>
          <t>미확인</t>
        </is>
      </c>
      <c r="AF92" s="22" t="inlineStr">
        <is>
          <t>미확인</t>
        </is>
      </c>
      <c r="AG92" s="22" t="inlineStr">
        <is>
          <t>미확인</t>
        </is>
      </c>
      <c r="AH92" s="22" t="inlineStr">
        <is>
          <t>미확인</t>
        </is>
      </c>
      <c r="AI92" s="22" t="inlineStr">
        <is>
          <t>미확인</t>
        </is>
      </c>
      <c r="AJ92" s="22" t="inlineStr">
        <is>
          <t>미확인</t>
        </is>
      </c>
      <c r="AK92" s="22" t="inlineStr">
        <is>
          <t>미확인</t>
        </is>
      </c>
      <c r="AL92" s="22" t="inlineStr">
        <is>
          <t>미확인</t>
        </is>
      </c>
      <c r="AM92" s="22" t="inlineStr">
        <is>
          <t>미확인</t>
        </is>
      </c>
      <c r="AN92" s="22" t="inlineStr">
        <is>
          <t>미확인</t>
        </is>
      </c>
      <c r="AO92" s="17" t="inlineStr">
        <is>
          <t>C(부분확인)</t>
        </is>
      </c>
      <c r="AP92" s="17" t="inlineStr">
        <is>
          <t>Y</t>
        </is>
      </c>
      <c r="AQ92" s="17" t="n">
        <v>4</v>
      </c>
      <c r="AR92" s="28" t="inlineStr">
        <is>
          <t>Tier D</t>
        </is>
      </c>
      <c r="AS92" s="17" t="inlineStr">
        <is>
          <t>EDMS</t>
        </is>
      </c>
      <c r="AT92" s="17" t="inlineStr">
        <is>
          <t>기본 문서관리 수요</t>
        </is>
      </c>
      <c r="AU92" s="17" t="inlineStr">
        <is>
          <t>담당자 파악 후 접촉</t>
        </is>
      </c>
      <c r="AV92" s="17" t="inlineStr">
        <is>
          <t>GMP적합판정+KRX</t>
        </is>
      </c>
      <c r="AW92" s="17" t="inlineStr">
        <is>
          <t>2026-07-05</t>
        </is>
      </c>
    </row>
    <row r="93">
      <c r="A93" s="17" t="inlineStr">
        <is>
          <t>C092</t>
        </is>
      </c>
      <c r="B93" s="17" t="inlineStr">
        <is>
          <t>동방에프티엘</t>
        </is>
      </c>
      <c r="C93" s="17" t="inlineStr">
        <is>
          <t>동방에프티엘(주)</t>
        </is>
      </c>
      <c r="D93" s="17" t="n">
        <v>3</v>
      </c>
      <c r="E93" s="17" t="n">
        <v>2</v>
      </c>
      <c r="F93" s="17" t="inlineStr">
        <is>
          <t>Y</t>
        </is>
      </c>
      <c r="G93" s="17" t="inlineStr">
        <is>
          <t>Y</t>
        </is>
      </c>
      <c r="H93" s="17" t="inlineStr"/>
      <c r="I93" s="17" t="inlineStr"/>
      <c r="J93" s="24" t="n">
        <v>46564</v>
      </c>
      <c r="K93" s="17" t="inlineStr"/>
      <c r="L93" s="17" t="inlineStr"/>
      <c r="M93" s="17" t="inlineStr"/>
      <c r="N93" s="23" t="inlineStr"/>
      <c r="O93" s="17" t="inlineStr"/>
      <c r="P93" s="17" t="inlineStr"/>
      <c r="Q93" s="17" t="inlineStr">
        <is>
          <t>김남기</t>
        </is>
      </c>
      <c r="R93" s="17" t="inlineStr"/>
      <c r="S93" s="17" t="inlineStr"/>
      <c r="T93" s="17" t="inlineStr">
        <is>
          <t>02-741-7517</t>
        </is>
      </c>
      <c r="U93" s="17" t="inlineStr">
        <is>
          <t>제조소상세</t>
        </is>
      </c>
      <c r="V93" s="22" t="inlineStr">
        <is>
          <t>미확인</t>
        </is>
      </c>
      <c r="W93" s="22" t="inlineStr">
        <is>
          <t>미확인</t>
        </is>
      </c>
      <c r="X93" s="22" t="inlineStr">
        <is>
          <t>미확인</t>
        </is>
      </c>
      <c r="Y93" s="22" t="inlineStr">
        <is>
          <t>미확인</t>
        </is>
      </c>
      <c r="Z93" s="22" t="inlineStr">
        <is>
          <t>미확인</t>
        </is>
      </c>
      <c r="AA93" s="22" t="inlineStr">
        <is>
          <t>미확인</t>
        </is>
      </c>
      <c r="AB93" s="22" t="inlineStr">
        <is>
          <t>미확인</t>
        </is>
      </c>
      <c r="AC93" s="22" t="inlineStr">
        <is>
          <t>미확인</t>
        </is>
      </c>
      <c r="AD93" s="22" t="inlineStr">
        <is>
          <t>미확인</t>
        </is>
      </c>
      <c r="AE93" s="22" t="inlineStr">
        <is>
          <t>미확인</t>
        </is>
      </c>
      <c r="AF93" s="22" t="inlineStr">
        <is>
          <t>미확인</t>
        </is>
      </c>
      <c r="AG93" s="22" t="inlineStr">
        <is>
          <t>미확인</t>
        </is>
      </c>
      <c r="AH93" s="22" t="inlineStr">
        <is>
          <t>미확인</t>
        </is>
      </c>
      <c r="AI93" s="22" t="inlineStr">
        <is>
          <t>미확인</t>
        </is>
      </c>
      <c r="AJ93" s="22" t="inlineStr">
        <is>
          <t>미확인</t>
        </is>
      </c>
      <c r="AK93" s="22" t="inlineStr">
        <is>
          <t>미확인</t>
        </is>
      </c>
      <c r="AL93" s="22" t="inlineStr">
        <is>
          <t>미확인</t>
        </is>
      </c>
      <c r="AM93" s="22" t="inlineStr">
        <is>
          <t>미확인</t>
        </is>
      </c>
      <c r="AN93" s="22" t="inlineStr">
        <is>
          <t>미확인</t>
        </is>
      </c>
      <c r="AO93" s="17" t="inlineStr">
        <is>
          <t>C(부분확인)</t>
        </is>
      </c>
      <c r="AP93" s="17" t="inlineStr">
        <is>
          <t>Y</t>
        </is>
      </c>
      <c r="AQ93" s="17" t="n">
        <v>11</v>
      </c>
      <c r="AR93" s="28" t="inlineStr">
        <is>
          <t>Tier D</t>
        </is>
      </c>
      <c r="AS93" s="17" t="inlineStr">
        <is>
          <t>통합형</t>
        </is>
      </c>
      <c r="AT93" s="17" t="inlineStr">
        <is>
          <t>다중 제조소/다수 판정서로 문서관리 복잡; 원료 제조로 시험실 관리 필요</t>
        </is>
      </c>
      <c r="AU93" s="17" t="inlineStr">
        <is>
          <t>담당자 파악 후 접촉</t>
        </is>
      </c>
      <c r="AV93" s="17" t="inlineStr">
        <is>
          <t>GMP적합판정+KRX</t>
        </is>
      </c>
      <c r="AW93" s="17" t="inlineStr">
        <is>
          <t>2026-07-05</t>
        </is>
      </c>
    </row>
    <row r="94">
      <c r="A94" s="17" t="inlineStr">
        <is>
          <t>C093</t>
        </is>
      </c>
      <c r="B94" s="17" t="inlineStr">
        <is>
          <t>에이치엘비제약</t>
        </is>
      </c>
      <c r="C94" s="17" t="inlineStr">
        <is>
          <t>에이치엘비제약(주)</t>
        </is>
      </c>
      <c r="D94" s="17" t="n">
        <v>1</v>
      </c>
      <c r="E94" s="17" t="n">
        <v>1</v>
      </c>
      <c r="F94" s="17" t="inlineStr">
        <is>
          <t>Y</t>
        </is>
      </c>
      <c r="G94" s="17" t="inlineStr"/>
      <c r="H94" s="17" t="inlineStr"/>
      <c r="I94" s="17" t="inlineStr"/>
      <c r="J94" s="24" t="n">
        <v>47100</v>
      </c>
      <c r="K94" s="17" t="inlineStr"/>
      <c r="L94" s="17" t="inlineStr"/>
      <c r="M94" s="17" t="inlineStr"/>
      <c r="N94" s="23" t="inlineStr"/>
      <c r="O94" s="17" t="inlineStr"/>
      <c r="P94" s="17" t="inlineStr"/>
      <c r="Q94" s="17" t="inlineStr">
        <is>
          <t>박재형</t>
        </is>
      </c>
      <c r="R94" s="17" t="inlineStr"/>
      <c r="S94" s="17" t="inlineStr"/>
      <c r="T94" s="17" t="inlineStr">
        <is>
          <t>031-557-0001</t>
        </is>
      </c>
      <c r="U94" s="17" t="inlineStr">
        <is>
          <t>제조소상세</t>
        </is>
      </c>
      <c r="V94" s="22" t="inlineStr">
        <is>
          <t>미확인</t>
        </is>
      </c>
      <c r="W94" s="22" t="inlineStr">
        <is>
          <t>미확인</t>
        </is>
      </c>
      <c r="X94" s="22" t="inlineStr">
        <is>
          <t>미확인</t>
        </is>
      </c>
      <c r="Y94" s="22" t="inlineStr">
        <is>
          <t>미확인</t>
        </is>
      </c>
      <c r="Z94" s="22" t="inlineStr">
        <is>
          <t>미확인</t>
        </is>
      </c>
      <c r="AA94" s="22" t="inlineStr">
        <is>
          <t>미확인</t>
        </is>
      </c>
      <c r="AB94" s="22" t="inlineStr">
        <is>
          <t>미확인</t>
        </is>
      </c>
      <c r="AC94" s="22" t="inlineStr">
        <is>
          <t>미확인</t>
        </is>
      </c>
      <c r="AD94" s="22" t="inlineStr">
        <is>
          <t>미확인</t>
        </is>
      </c>
      <c r="AE94" s="22" t="inlineStr">
        <is>
          <t>미확인</t>
        </is>
      </c>
      <c r="AF94" s="22" t="inlineStr">
        <is>
          <t>미확인</t>
        </is>
      </c>
      <c r="AG94" s="22" t="inlineStr">
        <is>
          <t>미확인</t>
        </is>
      </c>
      <c r="AH94" s="22" t="inlineStr">
        <is>
          <t>미확인</t>
        </is>
      </c>
      <c r="AI94" s="22" t="inlineStr">
        <is>
          <t>미확인</t>
        </is>
      </c>
      <c r="AJ94" s="22" t="inlineStr">
        <is>
          <t>미확인</t>
        </is>
      </c>
      <c r="AK94" s="22" t="inlineStr">
        <is>
          <t>미확인</t>
        </is>
      </c>
      <c r="AL94" s="22" t="inlineStr">
        <is>
          <t>미확인</t>
        </is>
      </c>
      <c r="AM94" s="22" t="inlineStr">
        <is>
          <t>미확인</t>
        </is>
      </c>
      <c r="AN94" s="22" t="inlineStr">
        <is>
          <t>미확인</t>
        </is>
      </c>
      <c r="AO94" s="17" t="inlineStr">
        <is>
          <t>C(부분확인)</t>
        </is>
      </c>
      <c r="AP94" s="17" t="inlineStr">
        <is>
          <t>Y</t>
        </is>
      </c>
      <c r="AQ94" s="17" t="n">
        <v>4</v>
      </c>
      <c r="AR94" s="28" t="inlineStr">
        <is>
          <t>Tier D</t>
        </is>
      </c>
      <c r="AS94" s="17" t="inlineStr">
        <is>
          <t>EDMS</t>
        </is>
      </c>
      <c r="AT94" s="17" t="inlineStr">
        <is>
          <t>기본 문서관리 수요</t>
        </is>
      </c>
      <c r="AU94" s="17" t="inlineStr">
        <is>
          <t>담당자 파악 후 접촉</t>
        </is>
      </c>
      <c r="AV94" s="17" t="inlineStr">
        <is>
          <t>GMP적합판정+KRX</t>
        </is>
      </c>
      <c r="AW94" s="17" t="inlineStr">
        <is>
          <t>2026-07-05</t>
        </is>
      </c>
    </row>
    <row r="95">
      <c r="A95" s="17" t="inlineStr">
        <is>
          <t>C094</t>
        </is>
      </c>
      <c r="B95" s="17" t="inlineStr">
        <is>
          <t>다림바이오텍</t>
        </is>
      </c>
      <c r="C95" s="17" t="inlineStr">
        <is>
          <t>(주)다림바이오텍</t>
        </is>
      </c>
      <c r="D95" s="17" t="n">
        <v>1</v>
      </c>
      <c r="E95" s="17" t="n">
        <v>1</v>
      </c>
      <c r="F95" s="17" t="inlineStr">
        <is>
          <t>Y</t>
        </is>
      </c>
      <c r="G95" s="17" t="inlineStr"/>
      <c r="H95" s="17" t="inlineStr"/>
      <c r="I95" s="17" t="inlineStr"/>
      <c r="J95" s="24" t="n">
        <v>47095</v>
      </c>
      <c r="K95" s="17" t="inlineStr"/>
      <c r="L95" s="17" t="inlineStr"/>
      <c r="M95" s="17" t="inlineStr"/>
      <c r="N95" s="23" t="inlineStr"/>
      <c r="O95" s="17" t="inlineStr"/>
      <c r="P95" s="17" t="inlineStr"/>
      <c r="Q95" s="17" t="inlineStr">
        <is>
          <t>정종섭</t>
        </is>
      </c>
      <c r="R95" s="17" t="inlineStr"/>
      <c r="S95" s="17" t="inlineStr"/>
      <c r="T95" s="17" t="inlineStr">
        <is>
          <t>미확인</t>
        </is>
      </c>
      <c r="U95" s="17" t="inlineStr">
        <is>
          <t>미확인</t>
        </is>
      </c>
      <c r="V95" s="22" t="inlineStr">
        <is>
          <t>미확인</t>
        </is>
      </c>
      <c r="W95" s="22" t="inlineStr">
        <is>
          <t>미확인</t>
        </is>
      </c>
      <c r="X95" s="22" t="inlineStr">
        <is>
          <t>미확인</t>
        </is>
      </c>
      <c r="Y95" s="22" t="inlineStr">
        <is>
          <t>미확인</t>
        </is>
      </c>
      <c r="Z95" s="22" t="inlineStr">
        <is>
          <t>미확인</t>
        </is>
      </c>
      <c r="AA95" s="22" t="inlineStr">
        <is>
          <t>미확인</t>
        </is>
      </c>
      <c r="AB95" s="22" t="inlineStr">
        <is>
          <t>미확인</t>
        </is>
      </c>
      <c r="AC95" s="22" t="inlineStr">
        <is>
          <t>미확인</t>
        </is>
      </c>
      <c r="AD95" s="22" t="inlineStr">
        <is>
          <t>미확인</t>
        </is>
      </c>
      <c r="AE95" s="22" t="inlineStr">
        <is>
          <t>미확인</t>
        </is>
      </c>
      <c r="AF95" s="22" t="inlineStr">
        <is>
          <t>미확인</t>
        </is>
      </c>
      <c r="AG95" s="22" t="inlineStr">
        <is>
          <t>미확인</t>
        </is>
      </c>
      <c r="AH95" s="22" t="inlineStr">
        <is>
          <t>미확인</t>
        </is>
      </c>
      <c r="AI95" s="22" t="inlineStr">
        <is>
          <t>미확인</t>
        </is>
      </c>
      <c r="AJ95" s="22" t="inlineStr">
        <is>
          <t>미확인</t>
        </is>
      </c>
      <c r="AK95" s="22" t="inlineStr">
        <is>
          <t>미확인</t>
        </is>
      </c>
      <c r="AL95" s="22" t="inlineStr">
        <is>
          <t>미확인</t>
        </is>
      </c>
      <c r="AM95" s="22" t="inlineStr">
        <is>
          <t>미확인</t>
        </is>
      </c>
      <c r="AN95" s="22" t="inlineStr">
        <is>
          <t>미확인</t>
        </is>
      </c>
      <c r="AO95" s="17" t="inlineStr">
        <is>
          <t>C(부분확인)</t>
        </is>
      </c>
      <c r="AP95" s="17" t="inlineStr">
        <is>
          <t>Y</t>
        </is>
      </c>
      <c r="AQ95" s="17" t="n">
        <v>4</v>
      </c>
      <c r="AR95" s="28" t="inlineStr">
        <is>
          <t>Tier D</t>
        </is>
      </c>
      <c r="AS95" s="17" t="inlineStr">
        <is>
          <t>EDMS</t>
        </is>
      </c>
      <c r="AT95" s="17" t="inlineStr">
        <is>
          <t>기본 문서관리 수요</t>
        </is>
      </c>
      <c r="AU95" s="17" t="inlineStr">
        <is>
          <t>담당자 파악 후 접촉</t>
        </is>
      </c>
      <c r="AV95" s="17" t="inlineStr">
        <is>
          <t>GMP적합판정+KRX</t>
        </is>
      </c>
      <c r="AW95" s="17" t="inlineStr">
        <is>
          <t>2026-07-05</t>
        </is>
      </c>
    </row>
    <row r="96">
      <c r="A96" s="17" t="inlineStr">
        <is>
          <t>C095</t>
        </is>
      </c>
      <c r="B96" s="17" t="inlineStr">
        <is>
          <t>대한뉴팜</t>
        </is>
      </c>
      <c r="C96" s="17" t="inlineStr">
        <is>
          <t>대한뉴팜(주)</t>
        </is>
      </c>
      <c r="D96" s="17" t="n">
        <v>1</v>
      </c>
      <c r="E96" s="17" t="n">
        <v>1</v>
      </c>
      <c r="F96" s="17" t="inlineStr">
        <is>
          <t>Y</t>
        </is>
      </c>
      <c r="G96" s="17" t="inlineStr"/>
      <c r="H96" s="17" t="inlineStr">
        <is>
          <t>Y</t>
        </is>
      </c>
      <c r="I96" s="17" t="inlineStr"/>
      <c r="J96" s="24" t="n">
        <v>47087</v>
      </c>
      <c r="K96" s="17" t="inlineStr"/>
      <c r="L96" s="17" t="inlineStr">
        <is>
          <t>Y</t>
        </is>
      </c>
      <c r="M96" s="17" t="inlineStr">
        <is>
          <t>코스닥</t>
        </is>
      </c>
      <c r="N96" s="23" t="inlineStr">
        <is>
          <t>054670</t>
        </is>
      </c>
      <c r="O96" s="17" t="inlineStr">
        <is>
          <t>의약품 제조업</t>
        </is>
      </c>
      <c r="P96" s="17" t="inlineStr">
        <is>
          <t>동물약품,인체약품</t>
        </is>
      </c>
      <c r="Q96" s="17" t="inlineStr">
        <is>
          <t>이원석</t>
        </is>
      </c>
      <c r="R96" s="17" t="inlineStr">
        <is>
          <t>http://www.dhnp.co.kr</t>
        </is>
      </c>
      <c r="S96" s="17" t="inlineStr">
        <is>
          <t>경기도</t>
        </is>
      </c>
      <c r="T96" s="17" t="inlineStr">
        <is>
          <t>미확인</t>
        </is>
      </c>
      <c r="U96" s="17" t="inlineStr">
        <is>
          <t>미확인</t>
        </is>
      </c>
      <c r="V96" s="22" t="inlineStr">
        <is>
          <t>미확인</t>
        </is>
      </c>
      <c r="W96" s="22" t="inlineStr">
        <is>
          <t>미확인</t>
        </is>
      </c>
      <c r="X96" s="22" t="inlineStr">
        <is>
          <t>미확인</t>
        </is>
      </c>
      <c r="Y96" s="22" t="inlineStr">
        <is>
          <t>미확인</t>
        </is>
      </c>
      <c r="Z96" s="22" t="inlineStr">
        <is>
          <t>미확인</t>
        </is>
      </c>
      <c r="AA96" s="22" t="inlineStr">
        <is>
          <t>미확인</t>
        </is>
      </c>
      <c r="AB96" s="22" t="inlineStr">
        <is>
          <t>미확인</t>
        </is>
      </c>
      <c r="AC96" s="22" t="inlineStr">
        <is>
          <t>미확인</t>
        </is>
      </c>
      <c r="AD96" s="22" t="inlineStr">
        <is>
          <t>미확인</t>
        </is>
      </c>
      <c r="AE96" s="22" t="inlineStr">
        <is>
          <t>미확인</t>
        </is>
      </c>
      <c r="AF96" s="22" t="inlineStr">
        <is>
          <t>미확인</t>
        </is>
      </c>
      <c r="AG96" s="22" t="inlineStr">
        <is>
          <t>미확인</t>
        </is>
      </c>
      <c r="AH96" s="22" t="inlineStr">
        <is>
          <t>미확인</t>
        </is>
      </c>
      <c r="AI96" s="22" t="inlineStr">
        <is>
          <t>미확인</t>
        </is>
      </c>
      <c r="AJ96" s="22" t="inlineStr">
        <is>
          <t>미확인</t>
        </is>
      </c>
      <c r="AK96" s="22" t="inlineStr">
        <is>
          <t>미확인</t>
        </is>
      </c>
      <c r="AL96" s="22" t="inlineStr">
        <is>
          <t>미확인</t>
        </is>
      </c>
      <c r="AM96" s="22" t="inlineStr">
        <is>
          <t>미확인</t>
        </is>
      </c>
      <c r="AN96" s="22" t="inlineStr">
        <is>
          <t>미확인</t>
        </is>
      </c>
      <c r="AO96" s="17" t="inlineStr">
        <is>
          <t>C(부분확인)</t>
        </is>
      </c>
      <c r="AP96" s="17" t="inlineStr">
        <is>
          <t>Y</t>
        </is>
      </c>
      <c r="AQ96" s="17" t="n">
        <v>12</v>
      </c>
      <c r="AR96" s="28" t="inlineStr">
        <is>
          <t>Tier D</t>
        </is>
      </c>
      <c r="AS96" s="17" t="inlineStr">
        <is>
          <t>QMS+LIMS</t>
        </is>
      </c>
      <c r="AT96" s="17" t="inlineStr">
        <is>
          <t>무균/바이오 제조로 품질관리 난도 높음</t>
        </is>
      </c>
      <c r="AU96" s="17" t="inlineStr">
        <is>
          <t>담당자 파악 후 접촉</t>
        </is>
      </c>
      <c r="AV96" s="17" t="inlineStr">
        <is>
          <t>GMP적합판정+KRX</t>
        </is>
      </c>
      <c r="AW96" s="17" t="inlineStr">
        <is>
          <t>2026-07-05</t>
        </is>
      </c>
    </row>
    <row r="97">
      <c r="A97" s="17" t="inlineStr">
        <is>
          <t>C096</t>
        </is>
      </c>
      <c r="B97" s="17" t="inlineStr">
        <is>
          <t>알피바이오</t>
        </is>
      </c>
      <c r="C97" s="17" t="inlineStr">
        <is>
          <t>(주)알피바이오</t>
        </is>
      </c>
      <c r="D97" s="17" t="n">
        <v>2</v>
      </c>
      <c r="E97" s="17" t="n">
        <v>2</v>
      </c>
      <c r="F97" s="17" t="inlineStr">
        <is>
          <t>Y</t>
        </is>
      </c>
      <c r="G97" s="17" t="inlineStr"/>
      <c r="H97" s="17" t="inlineStr"/>
      <c r="I97" s="17" t="inlineStr"/>
      <c r="J97" s="24" t="n">
        <v>46990</v>
      </c>
      <c r="K97" s="17" t="inlineStr"/>
      <c r="L97" s="17" t="inlineStr">
        <is>
          <t>Y</t>
        </is>
      </c>
      <c r="M97" s="17" t="inlineStr">
        <is>
          <t>코스닥</t>
        </is>
      </c>
      <c r="N97" s="23" t="inlineStr">
        <is>
          <t>314140</t>
        </is>
      </c>
      <c r="O97" s="17" t="inlineStr">
        <is>
          <t>의약품 제조업</t>
        </is>
      </c>
      <c r="P97" s="17" t="inlineStr">
        <is>
          <t>연질캡슐 제형의 의약품 및 건강기능식품</t>
        </is>
      </c>
      <c r="Q97" s="17" t="inlineStr">
        <is>
          <t>윤재훈</t>
        </is>
      </c>
      <c r="R97" s="17" t="inlineStr">
        <is>
          <t>http://rpskorea.com</t>
        </is>
      </c>
      <c r="S97" s="17" t="inlineStr">
        <is>
          <t>서울특별시</t>
        </is>
      </c>
      <c r="T97" s="17" t="inlineStr">
        <is>
          <t>미확인</t>
        </is>
      </c>
      <c r="U97" s="17" t="inlineStr">
        <is>
          <t>미확인</t>
        </is>
      </c>
      <c r="V97" s="22" t="inlineStr">
        <is>
          <t>미확인</t>
        </is>
      </c>
      <c r="W97" s="22" t="inlineStr">
        <is>
          <t>미확인</t>
        </is>
      </c>
      <c r="X97" s="22" t="inlineStr">
        <is>
          <t>미확인</t>
        </is>
      </c>
      <c r="Y97" s="22" t="inlineStr">
        <is>
          <t>미확인</t>
        </is>
      </c>
      <c r="Z97" s="22" t="inlineStr">
        <is>
          <t>미확인</t>
        </is>
      </c>
      <c r="AA97" s="22" t="inlineStr">
        <is>
          <t>미확인</t>
        </is>
      </c>
      <c r="AB97" s="22" t="inlineStr">
        <is>
          <t>미확인</t>
        </is>
      </c>
      <c r="AC97" s="22" t="inlineStr">
        <is>
          <t>미확인</t>
        </is>
      </c>
      <c r="AD97" s="22" t="inlineStr">
        <is>
          <t>미확인</t>
        </is>
      </c>
      <c r="AE97" s="22" t="inlineStr">
        <is>
          <t>미확인</t>
        </is>
      </c>
      <c r="AF97" s="22" t="inlineStr">
        <is>
          <t>미확인</t>
        </is>
      </c>
      <c r="AG97" s="22" t="inlineStr">
        <is>
          <t>미확인</t>
        </is>
      </c>
      <c r="AH97" s="22" t="inlineStr">
        <is>
          <t>미확인</t>
        </is>
      </c>
      <c r="AI97" s="22" t="inlineStr">
        <is>
          <t>미확인</t>
        </is>
      </c>
      <c r="AJ97" s="22" t="inlineStr">
        <is>
          <t>미확인</t>
        </is>
      </c>
      <c r="AK97" s="22" t="inlineStr">
        <is>
          <t>미확인</t>
        </is>
      </c>
      <c r="AL97" s="22" t="inlineStr">
        <is>
          <t>미확인</t>
        </is>
      </c>
      <c r="AM97" s="22" t="inlineStr">
        <is>
          <t>미확인</t>
        </is>
      </c>
      <c r="AN97" s="22" t="inlineStr">
        <is>
          <t>미확인</t>
        </is>
      </c>
      <c r="AO97" s="17" t="inlineStr">
        <is>
          <t>C(부분확인)</t>
        </is>
      </c>
      <c r="AP97" s="17" t="inlineStr">
        <is>
          <t>Y</t>
        </is>
      </c>
      <c r="AQ97" s="17" t="n">
        <v>8</v>
      </c>
      <c r="AR97" s="28" t="inlineStr">
        <is>
          <t>Tier D</t>
        </is>
      </c>
      <c r="AS97" s="17" t="inlineStr">
        <is>
          <t>EDMS+QMS+LMS</t>
        </is>
      </c>
      <c r="AT97" s="17" t="inlineStr">
        <is>
          <t>다중 제조소/다수 판정서로 문서관리 복잡; 다중 제조소로 교육관리 대상 광범위</t>
        </is>
      </c>
      <c r="AU97" s="17" t="inlineStr">
        <is>
          <t>담당자 파악 후 접촉</t>
        </is>
      </c>
      <c r="AV97" s="17" t="inlineStr">
        <is>
          <t>GMP적합판정+KRX</t>
        </is>
      </c>
      <c r="AW97" s="17" t="inlineStr">
        <is>
          <t>2026-07-05</t>
        </is>
      </c>
    </row>
    <row r="98">
      <c r="A98" s="17" t="inlineStr">
        <is>
          <t>C097</t>
        </is>
      </c>
      <c r="B98" s="17" t="inlineStr">
        <is>
          <t>제이더블유신약</t>
        </is>
      </c>
      <c r="C98" s="17" t="inlineStr">
        <is>
          <t>제이더블유신약(주)</t>
        </is>
      </c>
      <c r="D98" s="17" t="n">
        <v>1</v>
      </c>
      <c r="E98" s="17" t="n">
        <v>1</v>
      </c>
      <c r="F98" s="17" t="inlineStr">
        <is>
          <t>Y</t>
        </is>
      </c>
      <c r="G98" s="17" t="inlineStr"/>
      <c r="H98" s="17" t="inlineStr"/>
      <c r="I98" s="17" t="inlineStr"/>
      <c r="J98" s="24" t="n">
        <v>47081</v>
      </c>
      <c r="K98" s="17" t="inlineStr"/>
      <c r="L98" s="17" t="inlineStr"/>
      <c r="M98" s="17" t="inlineStr"/>
      <c r="N98" s="23" t="inlineStr"/>
      <c r="O98" s="17" t="inlineStr"/>
      <c r="P98" s="17" t="inlineStr"/>
      <c r="Q98" s="17" t="inlineStr">
        <is>
          <t>김용관</t>
        </is>
      </c>
      <c r="R98" s="17" t="inlineStr"/>
      <c r="S98" s="17" t="inlineStr"/>
      <c r="T98" s="17" t="inlineStr">
        <is>
          <t>031-668-0561</t>
        </is>
      </c>
      <c r="U98" s="17" t="inlineStr">
        <is>
          <t>제조소상세</t>
        </is>
      </c>
      <c r="V98" s="22" t="inlineStr">
        <is>
          <t>미확인</t>
        </is>
      </c>
      <c r="W98" s="22" t="inlineStr">
        <is>
          <t>미확인</t>
        </is>
      </c>
      <c r="X98" s="22" t="inlineStr">
        <is>
          <t>미확인</t>
        </is>
      </c>
      <c r="Y98" s="22" t="inlineStr">
        <is>
          <t>미확인</t>
        </is>
      </c>
      <c r="Z98" s="22" t="inlineStr">
        <is>
          <t>미확인</t>
        </is>
      </c>
      <c r="AA98" s="22" t="inlineStr">
        <is>
          <t>미확인</t>
        </is>
      </c>
      <c r="AB98" s="22" t="inlineStr">
        <is>
          <t>미확인</t>
        </is>
      </c>
      <c r="AC98" s="22" t="inlineStr">
        <is>
          <t>미확인</t>
        </is>
      </c>
      <c r="AD98" s="22" t="inlineStr">
        <is>
          <t>미확인</t>
        </is>
      </c>
      <c r="AE98" s="22" t="inlineStr">
        <is>
          <t>미확인</t>
        </is>
      </c>
      <c r="AF98" s="22" t="inlineStr">
        <is>
          <t>미확인</t>
        </is>
      </c>
      <c r="AG98" s="22" t="inlineStr">
        <is>
          <t>미확인</t>
        </is>
      </c>
      <c r="AH98" s="22" t="inlineStr">
        <is>
          <t>미확인</t>
        </is>
      </c>
      <c r="AI98" s="22" t="inlineStr">
        <is>
          <t>미확인</t>
        </is>
      </c>
      <c r="AJ98" s="22" t="inlineStr">
        <is>
          <t>미확인</t>
        </is>
      </c>
      <c r="AK98" s="22" t="inlineStr">
        <is>
          <t>미확인</t>
        </is>
      </c>
      <c r="AL98" s="22" t="inlineStr">
        <is>
          <t>미확인</t>
        </is>
      </c>
      <c r="AM98" s="22" t="inlineStr">
        <is>
          <t>미확인</t>
        </is>
      </c>
      <c r="AN98" s="22" t="inlineStr">
        <is>
          <t>미확인</t>
        </is>
      </c>
      <c r="AO98" s="17" t="inlineStr">
        <is>
          <t>C(부분확인)</t>
        </is>
      </c>
      <c r="AP98" s="17" t="inlineStr">
        <is>
          <t>Y</t>
        </is>
      </c>
      <c r="AQ98" s="17" t="n">
        <v>4</v>
      </c>
      <c r="AR98" s="28" t="inlineStr">
        <is>
          <t>Tier D</t>
        </is>
      </c>
      <c r="AS98" s="17" t="inlineStr">
        <is>
          <t>EDMS</t>
        </is>
      </c>
      <c r="AT98" s="17" t="inlineStr">
        <is>
          <t>기본 문서관리 수요</t>
        </is>
      </c>
      <c r="AU98" s="17" t="inlineStr">
        <is>
          <t>담당자 파악 후 접촉</t>
        </is>
      </c>
      <c r="AV98" s="17" t="inlineStr">
        <is>
          <t>GMP적합판정+KRX</t>
        </is>
      </c>
      <c r="AW98" s="17" t="inlineStr">
        <is>
          <t>2026-07-05</t>
        </is>
      </c>
    </row>
    <row r="99">
      <c r="A99" s="17" t="inlineStr">
        <is>
          <t>C098</t>
        </is>
      </c>
      <c r="B99" s="17" t="inlineStr">
        <is>
          <t>파마리서치</t>
        </is>
      </c>
      <c r="C99" s="17" t="inlineStr">
        <is>
          <t>(주)파마리서치</t>
        </is>
      </c>
      <c r="D99" s="17" t="n">
        <v>2</v>
      </c>
      <c r="E99" s="17" t="n">
        <v>1</v>
      </c>
      <c r="F99" s="17" t="inlineStr">
        <is>
          <t>Y</t>
        </is>
      </c>
      <c r="G99" s="17" t="inlineStr">
        <is>
          <t>Y</t>
        </is>
      </c>
      <c r="H99" s="17" t="inlineStr"/>
      <c r="I99" s="17" t="inlineStr"/>
      <c r="J99" s="24" t="n">
        <v>47081</v>
      </c>
      <c r="K99" s="17" t="inlineStr"/>
      <c r="L99" s="17" t="inlineStr">
        <is>
          <t>Y</t>
        </is>
      </c>
      <c r="M99" s="17" t="inlineStr">
        <is>
          <t>코스닥</t>
        </is>
      </c>
      <c r="N99" s="23" t="inlineStr">
        <is>
          <t>214450</t>
        </is>
      </c>
      <c r="O99" s="17" t="inlineStr">
        <is>
          <t>의료용품 및 기타 의약 관련제품 제조업</t>
        </is>
      </c>
      <c r="P99" s="17" t="inlineStr">
        <is>
          <t>재생의약품</t>
        </is>
      </c>
      <c r="Q99" s="17" t="inlineStr">
        <is>
          <t>손지훈</t>
        </is>
      </c>
      <c r="R99" s="17" t="inlineStr">
        <is>
          <t>http://pharmaresearch.com/</t>
        </is>
      </c>
      <c r="S99" s="17" t="inlineStr">
        <is>
          <t>강원특별자치도</t>
        </is>
      </c>
      <c r="T99" s="17" t="inlineStr">
        <is>
          <t>미확인</t>
        </is>
      </c>
      <c r="U99" s="17" t="inlineStr">
        <is>
          <t>미확인</t>
        </is>
      </c>
      <c r="V99" s="22" t="inlineStr">
        <is>
          <t>미확인</t>
        </is>
      </c>
      <c r="W99" s="22" t="inlineStr">
        <is>
          <t>미확인</t>
        </is>
      </c>
      <c r="X99" s="22" t="inlineStr">
        <is>
          <t>미확인</t>
        </is>
      </c>
      <c r="Y99" s="22" t="inlineStr">
        <is>
          <t>미확인</t>
        </is>
      </c>
      <c r="Z99" s="22" t="inlineStr">
        <is>
          <t>미확인</t>
        </is>
      </c>
      <c r="AA99" s="22" t="inlineStr">
        <is>
          <t>미확인</t>
        </is>
      </c>
      <c r="AB99" s="22" t="inlineStr">
        <is>
          <t>미확인</t>
        </is>
      </c>
      <c r="AC99" s="22" t="inlineStr">
        <is>
          <t>미확인</t>
        </is>
      </c>
      <c r="AD99" s="22" t="inlineStr">
        <is>
          <t>미확인</t>
        </is>
      </c>
      <c r="AE99" s="22" t="inlineStr">
        <is>
          <t>미확인</t>
        </is>
      </c>
      <c r="AF99" s="22" t="inlineStr">
        <is>
          <t>미확인</t>
        </is>
      </c>
      <c r="AG99" s="22" t="inlineStr">
        <is>
          <t>미확인</t>
        </is>
      </c>
      <c r="AH99" s="22" t="inlineStr">
        <is>
          <t>미확인</t>
        </is>
      </c>
      <c r="AI99" s="22" t="inlineStr">
        <is>
          <t>미확인</t>
        </is>
      </c>
      <c r="AJ99" s="22" t="inlineStr">
        <is>
          <t>미확인</t>
        </is>
      </c>
      <c r="AK99" s="22" t="inlineStr">
        <is>
          <t>미확인</t>
        </is>
      </c>
      <c r="AL99" s="22" t="inlineStr">
        <is>
          <t>미확인</t>
        </is>
      </c>
      <c r="AM99" s="22" t="inlineStr">
        <is>
          <t>미확인</t>
        </is>
      </c>
      <c r="AN99" s="22" t="inlineStr">
        <is>
          <t>미확인</t>
        </is>
      </c>
      <c r="AO99" s="17" t="inlineStr">
        <is>
          <t>C(부분확인)</t>
        </is>
      </c>
      <c r="AP99" s="17" t="inlineStr">
        <is>
          <t>Y</t>
        </is>
      </c>
      <c r="AQ99" s="17" t="n">
        <v>4</v>
      </c>
      <c r="AR99" s="28" t="inlineStr">
        <is>
          <t>Tier D</t>
        </is>
      </c>
      <c r="AS99" s="17" t="inlineStr">
        <is>
          <t>LIMS</t>
        </is>
      </c>
      <c r="AT99" s="17" t="inlineStr">
        <is>
          <t>원료 제조로 시험실 관리 필요</t>
        </is>
      </c>
      <c r="AU99" s="17" t="inlineStr">
        <is>
          <t>담당자 파악 후 접촉</t>
        </is>
      </c>
      <c r="AV99" s="17" t="inlineStr">
        <is>
          <t>GMP적합판정+KRX</t>
        </is>
      </c>
      <c r="AW99" s="17" t="inlineStr">
        <is>
          <t>2026-07-05</t>
        </is>
      </c>
    </row>
    <row r="100">
      <c r="A100" s="17" t="inlineStr">
        <is>
          <t>C099</t>
        </is>
      </c>
      <c r="B100" s="17" t="inlineStr">
        <is>
          <t>한국유니온제약</t>
        </is>
      </c>
      <c r="C100" s="17" t="inlineStr">
        <is>
          <t>한국유니온제약(주)</t>
        </is>
      </c>
      <c r="D100" s="17" t="n">
        <v>1</v>
      </c>
      <c r="E100" s="17" t="n">
        <v>1</v>
      </c>
      <c r="F100" s="17" t="inlineStr">
        <is>
          <t>Y</t>
        </is>
      </c>
      <c r="G100" s="17" t="inlineStr"/>
      <c r="H100" s="17" t="inlineStr">
        <is>
          <t>Y</t>
        </is>
      </c>
      <c r="I100" s="17" t="inlineStr"/>
      <c r="J100" s="24" t="n">
        <v>47079</v>
      </c>
      <c r="K100" s="17" t="inlineStr"/>
      <c r="L100" s="17" t="inlineStr">
        <is>
          <t>Y</t>
        </is>
      </c>
      <c r="M100" s="17" t="inlineStr">
        <is>
          <t>코스닥</t>
        </is>
      </c>
      <c r="N100" s="23" t="inlineStr">
        <is>
          <t>080720</t>
        </is>
      </c>
      <c r="O100" s="17" t="inlineStr">
        <is>
          <t>의약품 제조업</t>
        </is>
      </c>
      <c r="P100" s="17" t="inlineStr">
        <is>
          <t>항생제, 순환기계, 근골격계, 소화기계류 완제의약품</t>
        </is>
      </c>
      <c r="Q100" s="17" t="inlineStr">
        <is>
          <t>정근호</t>
        </is>
      </c>
      <c r="R100" s="17" t="inlineStr">
        <is>
          <t>http://www.ukp.co.kr/</t>
        </is>
      </c>
      <c r="S100" s="17" t="inlineStr">
        <is>
          <t>강원특별자치도</t>
        </is>
      </c>
      <c r="T100" s="17" t="inlineStr">
        <is>
          <t>미확인</t>
        </is>
      </c>
      <c r="U100" s="17" t="inlineStr">
        <is>
          <t>미확인</t>
        </is>
      </c>
      <c r="V100" s="22" t="inlineStr">
        <is>
          <t>미확인</t>
        </is>
      </c>
      <c r="W100" s="22" t="inlineStr">
        <is>
          <t>미확인</t>
        </is>
      </c>
      <c r="X100" s="22" t="inlineStr">
        <is>
          <t>미확인</t>
        </is>
      </c>
      <c r="Y100" s="22" t="inlineStr">
        <is>
          <t>미확인</t>
        </is>
      </c>
      <c r="Z100" s="22" t="inlineStr">
        <is>
          <t>미확인</t>
        </is>
      </c>
      <c r="AA100" s="22" t="inlineStr">
        <is>
          <t>미확인</t>
        </is>
      </c>
      <c r="AB100" s="22" t="inlineStr">
        <is>
          <t>미확인</t>
        </is>
      </c>
      <c r="AC100" s="22" t="inlineStr">
        <is>
          <t>미확인</t>
        </is>
      </c>
      <c r="AD100" s="22" t="inlineStr">
        <is>
          <t>미확인</t>
        </is>
      </c>
      <c r="AE100" s="22" t="inlineStr">
        <is>
          <t>미확인</t>
        </is>
      </c>
      <c r="AF100" s="22" t="inlineStr">
        <is>
          <t>미확인</t>
        </is>
      </c>
      <c r="AG100" s="22" t="inlineStr">
        <is>
          <t>미확인</t>
        </is>
      </c>
      <c r="AH100" s="22" t="inlineStr">
        <is>
          <t>미확인</t>
        </is>
      </c>
      <c r="AI100" s="22" t="inlineStr">
        <is>
          <t>미확인</t>
        </is>
      </c>
      <c r="AJ100" s="22" t="inlineStr">
        <is>
          <t>미확인</t>
        </is>
      </c>
      <c r="AK100" s="22" t="inlineStr">
        <is>
          <t>미확인</t>
        </is>
      </c>
      <c r="AL100" s="22" t="inlineStr">
        <is>
          <t>미확인</t>
        </is>
      </c>
      <c r="AM100" s="22" t="inlineStr">
        <is>
          <t>미확인</t>
        </is>
      </c>
      <c r="AN100" s="22" t="inlineStr">
        <is>
          <t>미확인</t>
        </is>
      </c>
      <c r="AO100" s="17" t="inlineStr">
        <is>
          <t>C(부분확인)</t>
        </is>
      </c>
      <c r="AP100" s="17" t="inlineStr">
        <is>
          <t>Y</t>
        </is>
      </c>
      <c r="AQ100" s="17" t="n">
        <v>12</v>
      </c>
      <c r="AR100" s="28" t="inlineStr">
        <is>
          <t>Tier D</t>
        </is>
      </c>
      <c r="AS100" s="17" t="inlineStr">
        <is>
          <t>QMS+LIMS</t>
        </is>
      </c>
      <c r="AT100" s="17" t="inlineStr">
        <is>
          <t>무균/바이오 제조로 품질관리 난도 높음</t>
        </is>
      </c>
      <c r="AU100" s="17" t="inlineStr">
        <is>
          <t>담당자 파악 후 접촉</t>
        </is>
      </c>
      <c r="AV100" s="17" t="inlineStr">
        <is>
          <t>GMP적합판정+KRX</t>
        </is>
      </c>
      <c r="AW100" s="17" t="inlineStr">
        <is>
          <t>2026-07-05</t>
        </is>
      </c>
    </row>
    <row r="101">
      <c r="A101" s="17" t="inlineStr">
        <is>
          <t>C100</t>
        </is>
      </c>
      <c r="B101" s="17" t="inlineStr">
        <is>
          <t>풍림무약</t>
        </is>
      </c>
      <c r="C101" s="17" t="inlineStr">
        <is>
          <t>풍림무약(주)</t>
        </is>
      </c>
      <c r="D101" s="17" t="n">
        <v>1</v>
      </c>
      <c r="E101" s="17" t="n">
        <v>1</v>
      </c>
      <c r="F101" s="17" t="inlineStr">
        <is>
          <t>Y</t>
        </is>
      </c>
      <c r="G101" s="17" t="inlineStr"/>
      <c r="H101" s="17" t="inlineStr"/>
      <c r="I101" s="17" t="inlineStr"/>
      <c r="J101" s="24" t="n">
        <v>47074</v>
      </c>
      <c r="K101" s="17" t="inlineStr"/>
      <c r="L101" s="17" t="inlineStr"/>
      <c r="M101" s="17" t="inlineStr"/>
      <c r="N101" s="23" t="inlineStr"/>
      <c r="O101" s="17" t="inlineStr"/>
      <c r="P101" s="17" t="inlineStr"/>
      <c r="Q101" s="17" t="inlineStr">
        <is>
          <t>이정석</t>
        </is>
      </c>
      <c r="R101" s="17" t="inlineStr"/>
      <c r="S101" s="17" t="inlineStr"/>
      <c r="T101" s="17" t="inlineStr">
        <is>
          <t>미확인</t>
        </is>
      </c>
      <c r="U101" s="17" t="inlineStr">
        <is>
          <t>미확인</t>
        </is>
      </c>
      <c r="V101" s="22" t="inlineStr">
        <is>
          <t>미확인</t>
        </is>
      </c>
      <c r="W101" s="22" t="inlineStr">
        <is>
          <t>미확인</t>
        </is>
      </c>
      <c r="X101" s="22" t="inlineStr">
        <is>
          <t>미확인</t>
        </is>
      </c>
      <c r="Y101" s="22" t="inlineStr">
        <is>
          <t>미확인</t>
        </is>
      </c>
      <c r="Z101" s="22" t="inlineStr">
        <is>
          <t>미확인</t>
        </is>
      </c>
      <c r="AA101" s="22" t="inlineStr">
        <is>
          <t>미확인</t>
        </is>
      </c>
      <c r="AB101" s="22" t="inlineStr">
        <is>
          <t>미확인</t>
        </is>
      </c>
      <c r="AC101" s="22" t="inlineStr">
        <is>
          <t>미확인</t>
        </is>
      </c>
      <c r="AD101" s="22" t="inlineStr">
        <is>
          <t>미확인</t>
        </is>
      </c>
      <c r="AE101" s="22" t="inlineStr">
        <is>
          <t>미확인</t>
        </is>
      </c>
      <c r="AF101" s="22" t="inlineStr">
        <is>
          <t>미확인</t>
        </is>
      </c>
      <c r="AG101" s="22" t="inlineStr">
        <is>
          <t>미확인</t>
        </is>
      </c>
      <c r="AH101" s="22" t="inlineStr">
        <is>
          <t>미확인</t>
        </is>
      </c>
      <c r="AI101" s="22" t="inlineStr">
        <is>
          <t>미확인</t>
        </is>
      </c>
      <c r="AJ101" s="22" t="inlineStr">
        <is>
          <t>미확인</t>
        </is>
      </c>
      <c r="AK101" s="22" t="inlineStr">
        <is>
          <t>미확인</t>
        </is>
      </c>
      <c r="AL101" s="22" t="inlineStr">
        <is>
          <t>미확인</t>
        </is>
      </c>
      <c r="AM101" s="22" t="inlineStr">
        <is>
          <t>미확인</t>
        </is>
      </c>
      <c r="AN101" s="22" t="inlineStr">
        <is>
          <t>미확인</t>
        </is>
      </c>
      <c r="AO101" s="17" t="inlineStr">
        <is>
          <t>C(부분확인)</t>
        </is>
      </c>
      <c r="AP101" s="17" t="inlineStr">
        <is>
          <t>Y</t>
        </is>
      </c>
      <c r="AQ101" s="17" t="n">
        <v>4</v>
      </c>
      <c r="AR101" s="28" t="inlineStr">
        <is>
          <t>Tier D</t>
        </is>
      </c>
      <c r="AS101" s="17" t="inlineStr">
        <is>
          <t>EDMS</t>
        </is>
      </c>
      <c r="AT101" s="17" t="inlineStr">
        <is>
          <t>기본 문서관리 수요</t>
        </is>
      </c>
      <c r="AU101" s="17" t="inlineStr">
        <is>
          <t>담당자 파악 후 접촉</t>
        </is>
      </c>
      <c r="AV101" s="17" t="inlineStr">
        <is>
          <t>GMP적합판정+KRX</t>
        </is>
      </c>
      <c r="AW101" s="17" t="inlineStr">
        <is>
          <t>2026-07-05</t>
        </is>
      </c>
    </row>
    <row r="102">
      <c r="A102" s="17" t="inlineStr">
        <is>
          <t>C101</t>
        </is>
      </c>
      <c r="B102" s="17" t="inlineStr">
        <is>
          <t>에이치피앤씨</t>
        </is>
      </c>
      <c r="C102" s="17" t="inlineStr">
        <is>
          <t>(주)에이치피앤씨</t>
        </is>
      </c>
      <c r="D102" s="17" t="n">
        <v>1</v>
      </c>
      <c r="E102" s="17" t="n">
        <v>1</v>
      </c>
      <c r="F102" s="17" t="inlineStr">
        <is>
          <t>Y</t>
        </is>
      </c>
      <c r="G102" s="17" t="inlineStr"/>
      <c r="H102" s="17" t="inlineStr"/>
      <c r="I102" s="17" t="inlineStr"/>
      <c r="J102" s="24" t="n">
        <v>47072</v>
      </c>
      <c r="K102" s="17" t="inlineStr"/>
      <c r="L102" s="17" t="inlineStr"/>
      <c r="M102" s="17" t="inlineStr"/>
      <c r="N102" s="23" t="inlineStr"/>
      <c r="O102" s="17" t="inlineStr"/>
      <c r="P102" s="17" t="inlineStr"/>
      <c r="Q102" s="17" t="inlineStr">
        <is>
          <t>김홍숙</t>
        </is>
      </c>
      <c r="R102" s="17" t="inlineStr"/>
      <c r="S102" s="17" t="inlineStr"/>
      <c r="T102" s="17" t="inlineStr">
        <is>
          <t>043-236-0026</t>
        </is>
      </c>
      <c r="U102" s="17" t="inlineStr">
        <is>
          <t>제조소상세</t>
        </is>
      </c>
      <c r="V102" s="22" t="inlineStr">
        <is>
          <t>미확인</t>
        </is>
      </c>
      <c r="W102" s="22" t="inlineStr">
        <is>
          <t>미확인</t>
        </is>
      </c>
      <c r="X102" s="22" t="inlineStr">
        <is>
          <t>미확인</t>
        </is>
      </c>
      <c r="Y102" s="22" t="inlineStr">
        <is>
          <t>미확인</t>
        </is>
      </c>
      <c r="Z102" s="22" t="inlineStr">
        <is>
          <t>미확인</t>
        </is>
      </c>
      <c r="AA102" s="22" t="inlineStr">
        <is>
          <t>미확인</t>
        </is>
      </c>
      <c r="AB102" s="22" t="inlineStr">
        <is>
          <t>미확인</t>
        </is>
      </c>
      <c r="AC102" s="22" t="inlineStr">
        <is>
          <t>미확인</t>
        </is>
      </c>
      <c r="AD102" s="22" t="inlineStr">
        <is>
          <t>미확인</t>
        </is>
      </c>
      <c r="AE102" s="22" t="inlineStr">
        <is>
          <t>미확인</t>
        </is>
      </c>
      <c r="AF102" s="22" t="inlineStr">
        <is>
          <t>미확인</t>
        </is>
      </c>
      <c r="AG102" s="22" t="inlineStr">
        <is>
          <t>미확인</t>
        </is>
      </c>
      <c r="AH102" s="22" t="inlineStr">
        <is>
          <t>미확인</t>
        </is>
      </c>
      <c r="AI102" s="22" t="inlineStr">
        <is>
          <t>미확인</t>
        </is>
      </c>
      <c r="AJ102" s="22" t="inlineStr">
        <is>
          <t>미확인</t>
        </is>
      </c>
      <c r="AK102" s="22" t="inlineStr">
        <is>
          <t>미확인</t>
        </is>
      </c>
      <c r="AL102" s="22" t="inlineStr">
        <is>
          <t>미확인</t>
        </is>
      </c>
      <c r="AM102" s="22" t="inlineStr">
        <is>
          <t>미확인</t>
        </is>
      </c>
      <c r="AN102" s="22" t="inlineStr">
        <is>
          <t>미확인</t>
        </is>
      </c>
      <c r="AO102" s="17" t="inlineStr">
        <is>
          <t>C(부분확인)</t>
        </is>
      </c>
      <c r="AP102" s="17" t="inlineStr">
        <is>
          <t>Y</t>
        </is>
      </c>
      <c r="AQ102" s="17" t="n">
        <v>4</v>
      </c>
      <c r="AR102" s="28" t="inlineStr">
        <is>
          <t>Tier D</t>
        </is>
      </c>
      <c r="AS102" s="17" t="inlineStr">
        <is>
          <t>EDMS</t>
        </is>
      </c>
      <c r="AT102" s="17" t="inlineStr">
        <is>
          <t>기본 문서관리 수요</t>
        </is>
      </c>
      <c r="AU102" s="17" t="inlineStr">
        <is>
          <t>담당자 파악 후 접촉</t>
        </is>
      </c>
      <c r="AV102" s="17" t="inlineStr">
        <is>
          <t>GMP적합판정+KRX</t>
        </is>
      </c>
      <c r="AW102" s="17" t="inlineStr">
        <is>
          <t>2026-07-05</t>
        </is>
      </c>
    </row>
    <row r="103">
      <c r="A103" s="17" t="inlineStr">
        <is>
          <t>C102</t>
        </is>
      </c>
      <c r="B103" s="17" t="inlineStr">
        <is>
          <t>복지종합가스</t>
        </is>
      </c>
      <c r="C103" s="17" t="inlineStr">
        <is>
          <t>복지종합가스(주)</t>
        </is>
      </c>
      <c r="D103" s="17" t="n">
        <v>1</v>
      </c>
      <c r="E103" s="17" t="n">
        <v>1</v>
      </c>
      <c r="F103" s="17" t="inlineStr">
        <is>
          <t>Y</t>
        </is>
      </c>
      <c r="G103" s="17" t="inlineStr"/>
      <c r="H103" s="17" t="inlineStr"/>
      <c r="I103" s="17" t="inlineStr"/>
      <c r="J103" s="24" t="n">
        <v>47072</v>
      </c>
      <c r="K103" s="17" t="inlineStr"/>
      <c r="L103" s="17" t="inlineStr"/>
      <c r="M103" s="17" t="inlineStr"/>
      <c r="N103" s="23" t="inlineStr"/>
      <c r="O103" s="17" t="inlineStr"/>
      <c r="P103" s="17" t="inlineStr"/>
      <c r="Q103" s="17" t="inlineStr">
        <is>
          <t>김동환</t>
        </is>
      </c>
      <c r="R103" s="17" t="inlineStr"/>
      <c r="S103" s="17" t="inlineStr"/>
      <c r="T103" s="17" t="inlineStr">
        <is>
          <t>031-858-7373</t>
        </is>
      </c>
      <c r="U103" s="17" t="inlineStr">
        <is>
          <t>제조소상세</t>
        </is>
      </c>
      <c r="V103" s="22" t="inlineStr">
        <is>
          <t>미확인</t>
        </is>
      </c>
      <c r="W103" s="22" t="inlineStr">
        <is>
          <t>미확인</t>
        </is>
      </c>
      <c r="X103" s="22" t="inlineStr">
        <is>
          <t>미확인</t>
        </is>
      </c>
      <c r="Y103" s="22" t="inlineStr">
        <is>
          <t>미확인</t>
        </is>
      </c>
      <c r="Z103" s="22" t="inlineStr">
        <is>
          <t>미확인</t>
        </is>
      </c>
      <c r="AA103" s="22" t="inlineStr">
        <is>
          <t>미확인</t>
        </is>
      </c>
      <c r="AB103" s="22" t="inlineStr">
        <is>
          <t>미확인</t>
        </is>
      </c>
      <c r="AC103" s="22" t="inlineStr">
        <is>
          <t>미확인</t>
        </is>
      </c>
      <c r="AD103" s="22" t="inlineStr">
        <is>
          <t>미확인</t>
        </is>
      </c>
      <c r="AE103" s="22" t="inlineStr">
        <is>
          <t>미확인</t>
        </is>
      </c>
      <c r="AF103" s="22" t="inlineStr">
        <is>
          <t>미확인</t>
        </is>
      </c>
      <c r="AG103" s="22" t="inlineStr">
        <is>
          <t>미확인</t>
        </is>
      </c>
      <c r="AH103" s="22" t="inlineStr">
        <is>
          <t>미확인</t>
        </is>
      </c>
      <c r="AI103" s="22" t="inlineStr">
        <is>
          <t>미확인</t>
        </is>
      </c>
      <c r="AJ103" s="22" t="inlineStr">
        <is>
          <t>미확인</t>
        </is>
      </c>
      <c r="AK103" s="22" t="inlineStr">
        <is>
          <t>미확인</t>
        </is>
      </c>
      <c r="AL103" s="22" t="inlineStr">
        <is>
          <t>미확인</t>
        </is>
      </c>
      <c r="AM103" s="22" t="inlineStr">
        <is>
          <t>미확인</t>
        </is>
      </c>
      <c r="AN103" s="22" t="inlineStr">
        <is>
          <t>미확인</t>
        </is>
      </c>
      <c r="AO103" s="17" t="inlineStr">
        <is>
          <t>C(부분확인)</t>
        </is>
      </c>
      <c r="AP103" s="17" t="inlineStr">
        <is>
          <t>Y</t>
        </is>
      </c>
      <c r="AQ103" s="17" t="n">
        <v>4</v>
      </c>
      <c r="AR103" s="28" t="inlineStr">
        <is>
          <t>Tier D</t>
        </is>
      </c>
      <c r="AS103" s="17" t="inlineStr">
        <is>
          <t>EDMS</t>
        </is>
      </c>
      <c r="AT103" s="17" t="inlineStr">
        <is>
          <t>기본 문서관리 수요</t>
        </is>
      </c>
      <c r="AU103" s="17" t="inlineStr">
        <is>
          <t>담당자 파악 후 접촉</t>
        </is>
      </c>
      <c r="AV103" s="17" t="inlineStr">
        <is>
          <t>GMP적합판정+KRX</t>
        </is>
      </c>
      <c r="AW103" s="17" t="inlineStr">
        <is>
          <t>2026-07-05</t>
        </is>
      </c>
    </row>
    <row r="104">
      <c r="A104" s="17" t="inlineStr">
        <is>
          <t>C103</t>
        </is>
      </c>
      <c r="B104" s="17" t="inlineStr">
        <is>
          <t>대원제약</t>
        </is>
      </c>
      <c r="C104" s="17" t="inlineStr">
        <is>
          <t>대원제약(주)</t>
        </is>
      </c>
      <c r="D104" s="17" t="n">
        <v>2</v>
      </c>
      <c r="E104" s="17" t="n">
        <v>2</v>
      </c>
      <c r="F104" s="17" t="inlineStr">
        <is>
          <t>Y</t>
        </is>
      </c>
      <c r="G104" s="17" t="inlineStr"/>
      <c r="H104" s="17" t="inlineStr">
        <is>
          <t>Y</t>
        </is>
      </c>
      <c r="I104" s="17" t="inlineStr"/>
      <c r="J104" s="24" t="n">
        <v>46307</v>
      </c>
      <c r="K104" s="17" t="inlineStr">
        <is>
          <t>Y</t>
        </is>
      </c>
      <c r="L104" s="17" t="inlineStr">
        <is>
          <t>Y</t>
        </is>
      </c>
      <c r="M104" s="17" t="inlineStr">
        <is>
          <t>유가</t>
        </is>
      </c>
      <c r="N104" s="23" t="inlineStr">
        <is>
          <t>003220</t>
        </is>
      </c>
      <c r="O104" s="17" t="inlineStr">
        <is>
          <t>의약품 제조업</t>
        </is>
      </c>
      <c r="P104" s="17" t="inlineStr">
        <is>
          <t>의약품(해열소염진통제,진해거담제,동맥경화용제,혈압강하제 등), 건강기능식품(프로바이오틱스 등)</t>
        </is>
      </c>
      <c r="Q104" s="17" t="inlineStr">
        <is>
          <t>백승열, BAEK JONATHAN IN</t>
        </is>
      </c>
      <c r="R104" s="17" t="inlineStr">
        <is>
          <t>http://www.daewonpharm.com</t>
        </is>
      </c>
      <c r="S104" s="17" t="inlineStr">
        <is>
          <t>서울특별시</t>
        </is>
      </c>
      <c r="T104" s="17" t="inlineStr">
        <is>
          <t>02-2204-6965</t>
        </is>
      </c>
      <c r="U104" s="17" t="inlineStr">
        <is>
          <t>제조소상세</t>
        </is>
      </c>
      <c r="V104" s="22" t="inlineStr">
        <is>
          <t>미확인</t>
        </is>
      </c>
      <c r="W104" s="22" t="inlineStr">
        <is>
          <t>미확인</t>
        </is>
      </c>
      <c r="X104" s="22" t="inlineStr">
        <is>
          <t>미확인</t>
        </is>
      </c>
      <c r="Y104" s="22" t="inlineStr">
        <is>
          <t>미확인</t>
        </is>
      </c>
      <c r="Z104" s="22" t="inlineStr">
        <is>
          <t>미확인</t>
        </is>
      </c>
      <c r="AA104" s="22" t="inlineStr">
        <is>
          <t>미확인</t>
        </is>
      </c>
      <c r="AB104" s="22" t="inlineStr">
        <is>
          <t>미확인</t>
        </is>
      </c>
      <c r="AC104" s="22" t="inlineStr">
        <is>
          <t>미확인</t>
        </is>
      </c>
      <c r="AD104" s="22" t="inlineStr">
        <is>
          <t>미확인</t>
        </is>
      </c>
      <c r="AE104" s="22" t="inlineStr">
        <is>
          <t>미확인</t>
        </is>
      </c>
      <c r="AF104" s="22" t="inlineStr">
        <is>
          <t>미확인</t>
        </is>
      </c>
      <c r="AG104" s="22" t="inlineStr">
        <is>
          <t>미확인</t>
        </is>
      </c>
      <c r="AH104" s="22" t="inlineStr">
        <is>
          <t>미확인</t>
        </is>
      </c>
      <c r="AI104" s="22" t="inlineStr">
        <is>
          <t>미확인</t>
        </is>
      </c>
      <c r="AJ104" s="22" t="inlineStr">
        <is>
          <t>미확인</t>
        </is>
      </c>
      <c r="AK104" s="22" t="inlineStr">
        <is>
          <t>미확인</t>
        </is>
      </c>
      <c r="AL104" s="22" t="inlineStr">
        <is>
          <t>미확인</t>
        </is>
      </c>
      <c r="AM104" s="22" t="inlineStr">
        <is>
          <t>미확인</t>
        </is>
      </c>
      <c r="AN104" s="22" t="inlineStr">
        <is>
          <t>미확인</t>
        </is>
      </c>
      <c r="AO104" s="17" t="inlineStr">
        <is>
          <t>C(부분확인)</t>
        </is>
      </c>
      <c r="AP104" s="17" t="inlineStr">
        <is>
          <t>Y</t>
        </is>
      </c>
      <c r="AQ104" s="17" t="n">
        <v>24</v>
      </c>
      <c r="AR104" s="28" t="inlineStr">
        <is>
          <t>Tier D</t>
        </is>
      </c>
      <c r="AS104" s="17" t="inlineStr">
        <is>
          <t>통합형</t>
        </is>
      </c>
      <c r="AT104" s="17" t="inlineStr">
        <is>
          <t>다중 제조소/다수 판정서로 문서관리 복잡; 무균/바이오 제조로 품질관리 난도 높음</t>
        </is>
      </c>
      <c r="AU104" s="17" t="inlineStr">
        <is>
          <t>담당자 파악 후 접촉</t>
        </is>
      </c>
      <c r="AV104" s="17" t="inlineStr">
        <is>
          <t>GMP적합판정+KRX</t>
        </is>
      </c>
      <c r="AW104" s="17" t="inlineStr">
        <is>
          <t>2026-07-05</t>
        </is>
      </c>
    </row>
    <row r="105">
      <c r="A105" s="17" t="inlineStr">
        <is>
          <t>C104</t>
        </is>
      </c>
      <c r="B105" s="17" t="inlineStr">
        <is>
          <t>대웅제약</t>
        </is>
      </c>
      <c r="C105" s="17" t="inlineStr">
        <is>
          <t>(주)대웅제약</t>
        </is>
      </c>
      <c r="D105" s="17" t="n">
        <v>3</v>
      </c>
      <c r="E105" s="17" t="n">
        <v>2</v>
      </c>
      <c r="F105" s="17" t="inlineStr">
        <is>
          <t>Y</t>
        </is>
      </c>
      <c r="G105" s="17" t="inlineStr">
        <is>
          <t>Y</t>
        </is>
      </c>
      <c r="H105" s="17" t="inlineStr">
        <is>
          <t>Y</t>
        </is>
      </c>
      <c r="I105" s="17" t="inlineStr">
        <is>
          <t>Y</t>
        </is>
      </c>
      <c r="J105" s="24" t="n">
        <v>46258</v>
      </c>
      <c r="K105" s="17" t="inlineStr">
        <is>
          <t>Y</t>
        </is>
      </c>
      <c r="L105" s="17" t="inlineStr">
        <is>
          <t>Y</t>
        </is>
      </c>
      <c r="M105" s="17" t="inlineStr">
        <is>
          <t>유가</t>
        </is>
      </c>
      <c r="N105" s="23" t="inlineStr">
        <is>
          <t>069620</t>
        </is>
      </c>
      <c r="O105" s="17" t="inlineStr">
        <is>
          <t>의약품 제조업</t>
        </is>
      </c>
      <c r="P105" s="17" t="inlineStr">
        <is>
          <t>양약,의료기기 제조/화장품,의약부의품 도소매/부동산 임대</t>
        </is>
      </c>
      <c r="Q105" s="17" t="inlineStr">
        <is>
          <t>이창재, 박성수</t>
        </is>
      </c>
      <c r="R105" s="17" t="inlineStr">
        <is>
          <t>http://www.daewoong.co.kr</t>
        </is>
      </c>
      <c r="S105" s="17" t="inlineStr">
        <is>
          <t>경기도</t>
        </is>
      </c>
      <c r="T105" s="17" t="inlineStr">
        <is>
          <t>02-550-8721</t>
        </is>
      </c>
      <c r="U105" s="17" t="inlineStr">
        <is>
          <t>제조소상세</t>
        </is>
      </c>
      <c r="V105" s="22" t="inlineStr">
        <is>
          <t>미확인</t>
        </is>
      </c>
      <c r="W105" s="22" t="inlineStr">
        <is>
          <t>미확인</t>
        </is>
      </c>
      <c r="X105" s="22" t="inlineStr">
        <is>
          <t>미확인</t>
        </is>
      </c>
      <c r="Y105" s="22" t="inlineStr">
        <is>
          <t>미확인</t>
        </is>
      </c>
      <c r="Z105" s="22" t="inlineStr">
        <is>
          <t>미확인</t>
        </is>
      </c>
      <c r="AA105" s="22" t="inlineStr">
        <is>
          <t>미확인</t>
        </is>
      </c>
      <c r="AB105" s="22" t="inlineStr">
        <is>
          <t>미확인</t>
        </is>
      </c>
      <c r="AC105" s="22" t="inlineStr">
        <is>
          <t>미확인</t>
        </is>
      </c>
      <c r="AD105" s="22" t="inlineStr">
        <is>
          <t>미확인</t>
        </is>
      </c>
      <c r="AE105" s="22" t="inlineStr">
        <is>
          <t>미확인</t>
        </is>
      </c>
      <c r="AF105" s="22" t="inlineStr">
        <is>
          <t>미확인</t>
        </is>
      </c>
      <c r="AG105" s="22" t="inlineStr">
        <is>
          <t>미확인</t>
        </is>
      </c>
      <c r="AH105" s="22" t="inlineStr">
        <is>
          <t>미확인</t>
        </is>
      </c>
      <c r="AI105" s="22" t="inlineStr">
        <is>
          <t>미확인</t>
        </is>
      </c>
      <c r="AJ105" s="22" t="inlineStr">
        <is>
          <t>미확인</t>
        </is>
      </c>
      <c r="AK105" s="22" t="inlineStr">
        <is>
          <t>미확인</t>
        </is>
      </c>
      <c r="AL105" s="22" t="inlineStr">
        <is>
          <t>미확인</t>
        </is>
      </c>
      <c r="AM105" s="22" t="inlineStr">
        <is>
          <t>미확인</t>
        </is>
      </c>
      <c r="AN105" s="22" t="inlineStr">
        <is>
          <t>미확인</t>
        </is>
      </c>
      <c r="AO105" s="17" t="inlineStr">
        <is>
          <t>C(부분확인)</t>
        </is>
      </c>
      <c r="AP105" s="17" t="inlineStr">
        <is>
          <t>Y</t>
        </is>
      </c>
      <c r="AQ105" s="17" t="n">
        <v>31</v>
      </c>
      <c r="AR105" s="27" t="inlineStr">
        <is>
          <t>Tier C</t>
        </is>
      </c>
      <c r="AS105" s="17" t="inlineStr">
        <is>
          <t>통합형</t>
        </is>
      </c>
      <c r="AT105" s="17" t="inlineStr">
        <is>
          <t>다중 제조소/다수 판정서로 문서관리 복잡; 무균/바이오 제조로 품질관리 난도 높음</t>
        </is>
      </c>
      <c r="AU105" s="17" t="inlineStr">
        <is>
          <t>담당자 파악 후 접촉</t>
        </is>
      </c>
      <c r="AV105" s="17" t="inlineStr">
        <is>
          <t>GMP적합판정+KRX</t>
        </is>
      </c>
      <c r="AW105" s="17" t="inlineStr">
        <is>
          <t>2026-07-05</t>
        </is>
      </c>
    </row>
    <row r="106">
      <c r="A106" s="17" t="inlineStr">
        <is>
          <t>C105</t>
        </is>
      </c>
      <c r="B106" s="17" t="inlineStr">
        <is>
          <t>코스맥스파마</t>
        </is>
      </c>
      <c r="C106" s="17" t="inlineStr">
        <is>
          <t>코스맥스파마(주)</t>
        </is>
      </c>
      <c r="D106" s="17" t="n">
        <v>2</v>
      </c>
      <c r="E106" s="17" t="n">
        <v>2</v>
      </c>
      <c r="F106" s="17" t="inlineStr">
        <is>
          <t>Y</t>
        </is>
      </c>
      <c r="G106" s="17" t="inlineStr"/>
      <c r="H106" s="17" t="inlineStr"/>
      <c r="I106" s="17" t="inlineStr"/>
      <c r="J106" s="24" t="n">
        <v>46452</v>
      </c>
      <c r="K106" s="17" t="inlineStr"/>
      <c r="L106" s="17" t="inlineStr"/>
      <c r="M106" s="17" t="inlineStr"/>
      <c r="N106" s="23" t="inlineStr"/>
      <c r="O106" s="17" t="inlineStr"/>
      <c r="P106" s="17" t="inlineStr"/>
      <c r="Q106" s="17" t="inlineStr">
        <is>
          <t>이호경</t>
        </is>
      </c>
      <c r="R106" s="17" t="inlineStr"/>
      <c r="S106" s="17" t="inlineStr"/>
      <c r="T106" s="17" t="inlineStr">
        <is>
          <t>043-238-8477</t>
        </is>
      </c>
      <c r="U106" s="17" t="inlineStr">
        <is>
          <t>제조소상세</t>
        </is>
      </c>
      <c r="V106" s="22" t="inlineStr">
        <is>
          <t>미확인</t>
        </is>
      </c>
      <c r="W106" s="22" t="inlineStr">
        <is>
          <t>미확인</t>
        </is>
      </c>
      <c r="X106" s="22" t="inlineStr">
        <is>
          <t>미확인</t>
        </is>
      </c>
      <c r="Y106" s="22" t="inlineStr">
        <is>
          <t>미확인</t>
        </is>
      </c>
      <c r="Z106" s="22" t="inlineStr">
        <is>
          <t>미확인</t>
        </is>
      </c>
      <c r="AA106" s="22" t="inlineStr">
        <is>
          <t>미확인</t>
        </is>
      </c>
      <c r="AB106" s="22" t="inlineStr">
        <is>
          <t>미확인</t>
        </is>
      </c>
      <c r="AC106" s="22" t="inlineStr">
        <is>
          <t>미확인</t>
        </is>
      </c>
      <c r="AD106" s="22" t="inlineStr">
        <is>
          <t>미확인</t>
        </is>
      </c>
      <c r="AE106" s="22" t="inlineStr">
        <is>
          <t>미확인</t>
        </is>
      </c>
      <c r="AF106" s="22" t="inlineStr">
        <is>
          <t>미확인</t>
        </is>
      </c>
      <c r="AG106" s="22" t="inlineStr">
        <is>
          <t>미확인</t>
        </is>
      </c>
      <c r="AH106" s="22" t="inlineStr">
        <is>
          <t>미확인</t>
        </is>
      </c>
      <c r="AI106" s="22" t="inlineStr">
        <is>
          <t>미확인</t>
        </is>
      </c>
      <c r="AJ106" s="22" t="inlineStr">
        <is>
          <t>미확인</t>
        </is>
      </c>
      <c r="AK106" s="22" t="inlineStr">
        <is>
          <t>미확인</t>
        </is>
      </c>
      <c r="AL106" s="22" t="inlineStr">
        <is>
          <t>미확인</t>
        </is>
      </c>
      <c r="AM106" s="22" t="inlineStr">
        <is>
          <t>미확인</t>
        </is>
      </c>
      <c r="AN106" s="22" t="inlineStr">
        <is>
          <t>미확인</t>
        </is>
      </c>
      <c r="AO106" s="17" t="inlineStr">
        <is>
          <t>C(부분확인)</t>
        </is>
      </c>
      <c r="AP106" s="17" t="inlineStr">
        <is>
          <t>Y</t>
        </is>
      </c>
      <c r="AQ106" s="17" t="n">
        <v>11</v>
      </c>
      <c r="AR106" s="28" t="inlineStr">
        <is>
          <t>Tier D</t>
        </is>
      </c>
      <c r="AS106" s="17" t="inlineStr">
        <is>
          <t>EDMS+QMS+LMS</t>
        </is>
      </c>
      <c r="AT106" s="17" t="inlineStr">
        <is>
          <t>다중 제조소/다수 판정서로 문서관리 복잡; 다중 제조소로 교육관리 대상 광범위</t>
        </is>
      </c>
      <c r="AU106" s="17" t="inlineStr">
        <is>
          <t>담당자 파악 후 접촉</t>
        </is>
      </c>
      <c r="AV106" s="17" t="inlineStr">
        <is>
          <t>GMP적합판정+KRX</t>
        </is>
      </c>
      <c r="AW106" s="17" t="inlineStr">
        <is>
          <t>2026-07-05</t>
        </is>
      </c>
    </row>
    <row r="107">
      <c r="A107" s="17" t="inlineStr">
        <is>
          <t>C106</t>
        </is>
      </c>
      <c r="B107" s="17" t="inlineStr">
        <is>
          <t>현대약품</t>
        </is>
      </c>
      <c r="C107" s="17" t="inlineStr">
        <is>
          <t>현대약품(주)</t>
        </is>
      </c>
      <c r="D107" s="17" t="n">
        <v>1</v>
      </c>
      <c r="E107" s="17" t="n">
        <v>1</v>
      </c>
      <c r="F107" s="17" t="inlineStr">
        <is>
          <t>Y</t>
        </is>
      </c>
      <c r="G107" s="17" t="inlineStr"/>
      <c r="H107" s="17" t="inlineStr"/>
      <c r="I107" s="17" t="inlineStr"/>
      <c r="J107" s="24" t="n">
        <v>47060</v>
      </c>
      <c r="K107" s="17" t="inlineStr"/>
      <c r="L107" s="17" t="inlineStr">
        <is>
          <t>Y</t>
        </is>
      </c>
      <c r="M107" s="17" t="inlineStr">
        <is>
          <t>유가</t>
        </is>
      </c>
      <c r="N107" s="23" t="inlineStr">
        <is>
          <t>004310</t>
        </is>
      </c>
      <c r="O107" s="17" t="inlineStr">
        <is>
          <t>의약품 제조업</t>
        </is>
      </c>
      <c r="P107" s="17" t="inlineStr">
        <is>
          <t>타코실, 마이녹실, 테놀민, 미에로화이바 등</t>
        </is>
      </c>
      <c r="Q107" s="17" t="inlineStr">
        <is>
          <t>이상준</t>
        </is>
      </c>
      <c r="R107" s="17" t="inlineStr">
        <is>
          <t>http://www.hyundaipharm.co.kr</t>
        </is>
      </c>
      <c r="S107" s="17" t="inlineStr">
        <is>
          <t>충청남도</t>
        </is>
      </c>
      <c r="T107" s="17" t="inlineStr">
        <is>
          <t>041-570-5114</t>
        </is>
      </c>
      <c r="U107" s="17" t="inlineStr">
        <is>
          <t>제조소상세</t>
        </is>
      </c>
      <c r="V107" s="22" t="inlineStr">
        <is>
          <t>미확인</t>
        </is>
      </c>
      <c r="W107" s="22" t="inlineStr">
        <is>
          <t>미확인</t>
        </is>
      </c>
      <c r="X107" s="22" t="inlineStr">
        <is>
          <t>미확인</t>
        </is>
      </c>
      <c r="Y107" s="22" t="inlineStr">
        <is>
          <t>미확인</t>
        </is>
      </c>
      <c r="Z107" s="22" t="inlineStr">
        <is>
          <t>미확인</t>
        </is>
      </c>
      <c r="AA107" s="22" t="inlineStr">
        <is>
          <t>미확인</t>
        </is>
      </c>
      <c r="AB107" s="22" t="inlineStr">
        <is>
          <t>미확인</t>
        </is>
      </c>
      <c r="AC107" s="22" t="inlineStr">
        <is>
          <t>미확인</t>
        </is>
      </c>
      <c r="AD107" s="22" t="inlineStr">
        <is>
          <t>미확인</t>
        </is>
      </c>
      <c r="AE107" s="22" t="inlineStr">
        <is>
          <t>미확인</t>
        </is>
      </c>
      <c r="AF107" s="22" t="inlineStr">
        <is>
          <t>미확인</t>
        </is>
      </c>
      <c r="AG107" s="22" t="inlineStr">
        <is>
          <t>미확인</t>
        </is>
      </c>
      <c r="AH107" s="22" t="inlineStr">
        <is>
          <t>미확인</t>
        </is>
      </c>
      <c r="AI107" s="22" t="inlineStr">
        <is>
          <t>미확인</t>
        </is>
      </c>
      <c r="AJ107" s="22" t="inlineStr">
        <is>
          <t>미확인</t>
        </is>
      </c>
      <c r="AK107" s="22" t="inlineStr">
        <is>
          <t>미확인</t>
        </is>
      </c>
      <c r="AL107" s="22" t="inlineStr">
        <is>
          <t>미확인</t>
        </is>
      </c>
      <c r="AM107" s="22" t="inlineStr">
        <is>
          <t>미확인</t>
        </is>
      </c>
      <c r="AN107" s="22" t="inlineStr">
        <is>
          <t>미확인</t>
        </is>
      </c>
      <c r="AO107" s="17" t="inlineStr">
        <is>
          <t>C(부분확인)</t>
        </is>
      </c>
      <c r="AP107" s="17" t="inlineStr">
        <is>
          <t>Y</t>
        </is>
      </c>
      <c r="AQ107" s="17" t="n">
        <v>7</v>
      </c>
      <c r="AR107" s="28" t="inlineStr">
        <is>
          <t>Tier D</t>
        </is>
      </c>
      <c r="AS107" s="17" t="inlineStr">
        <is>
          <t>EDMS</t>
        </is>
      </c>
      <c r="AT107" s="17" t="inlineStr">
        <is>
          <t>기본 문서관리 수요</t>
        </is>
      </c>
      <c r="AU107" s="17" t="inlineStr">
        <is>
          <t>담당자 파악 후 접촉</t>
        </is>
      </c>
      <c r="AV107" s="17" t="inlineStr">
        <is>
          <t>GMP적합판정+KRX</t>
        </is>
      </c>
      <c r="AW107" s="17" t="inlineStr">
        <is>
          <t>2026-07-05</t>
        </is>
      </c>
    </row>
    <row r="108">
      <c r="A108" s="17" t="inlineStr">
        <is>
          <t>C107</t>
        </is>
      </c>
      <c r="B108" s="17" t="inlineStr">
        <is>
          <t>비씨월드헬스케어</t>
        </is>
      </c>
      <c r="C108" s="17" t="inlineStr">
        <is>
          <t>(주)비씨월드헬스케어</t>
        </is>
      </c>
      <c r="D108" s="17" t="n">
        <v>1</v>
      </c>
      <c r="E108" s="17" t="n">
        <v>1</v>
      </c>
      <c r="F108" s="17" t="inlineStr">
        <is>
          <t>Y</t>
        </is>
      </c>
      <c r="G108" s="17" t="inlineStr"/>
      <c r="H108" s="17" t="inlineStr">
        <is>
          <t>Y</t>
        </is>
      </c>
      <c r="I108" s="17" t="inlineStr"/>
      <c r="J108" s="24" t="n">
        <v>47053</v>
      </c>
      <c r="K108" s="17" t="inlineStr"/>
      <c r="L108" s="17" t="inlineStr"/>
      <c r="M108" s="17" t="inlineStr"/>
      <c r="N108" s="23" t="inlineStr"/>
      <c r="O108" s="17" t="inlineStr"/>
      <c r="P108" s="17" t="inlineStr"/>
      <c r="Q108" s="17" t="inlineStr">
        <is>
          <t>홍성한</t>
        </is>
      </c>
      <c r="R108" s="17" t="inlineStr"/>
      <c r="S108" s="17" t="inlineStr"/>
      <c r="T108" s="17" t="inlineStr">
        <is>
          <t>033-813-0991</t>
        </is>
      </c>
      <c r="U108" s="17" t="inlineStr">
        <is>
          <t>제조소상세</t>
        </is>
      </c>
      <c r="V108" s="22" t="inlineStr">
        <is>
          <t>미확인</t>
        </is>
      </c>
      <c r="W108" s="22" t="inlineStr">
        <is>
          <t>미확인</t>
        </is>
      </c>
      <c r="X108" s="22" t="inlineStr">
        <is>
          <t>미확인</t>
        </is>
      </c>
      <c r="Y108" s="22" t="inlineStr">
        <is>
          <t>미확인</t>
        </is>
      </c>
      <c r="Z108" s="22" t="inlineStr">
        <is>
          <t>미확인</t>
        </is>
      </c>
      <c r="AA108" s="22" t="inlineStr">
        <is>
          <t>미확인</t>
        </is>
      </c>
      <c r="AB108" s="22" t="inlineStr">
        <is>
          <t>미확인</t>
        </is>
      </c>
      <c r="AC108" s="22" t="inlineStr">
        <is>
          <t>미확인</t>
        </is>
      </c>
      <c r="AD108" s="22" t="inlineStr">
        <is>
          <t>미확인</t>
        </is>
      </c>
      <c r="AE108" s="22" t="inlineStr">
        <is>
          <t>미확인</t>
        </is>
      </c>
      <c r="AF108" s="22" t="inlineStr">
        <is>
          <t>미확인</t>
        </is>
      </c>
      <c r="AG108" s="22" t="inlineStr">
        <is>
          <t>미확인</t>
        </is>
      </c>
      <c r="AH108" s="22" t="inlineStr">
        <is>
          <t>미확인</t>
        </is>
      </c>
      <c r="AI108" s="22" t="inlineStr">
        <is>
          <t>미확인</t>
        </is>
      </c>
      <c r="AJ108" s="22" t="inlineStr">
        <is>
          <t>미확인</t>
        </is>
      </c>
      <c r="AK108" s="22" t="inlineStr">
        <is>
          <t>미확인</t>
        </is>
      </c>
      <c r="AL108" s="22" t="inlineStr">
        <is>
          <t>미확인</t>
        </is>
      </c>
      <c r="AM108" s="22" t="inlineStr">
        <is>
          <t>미확인</t>
        </is>
      </c>
      <c r="AN108" s="22" t="inlineStr">
        <is>
          <t>미확인</t>
        </is>
      </c>
      <c r="AO108" s="17" t="inlineStr">
        <is>
          <t>C(부분확인)</t>
        </is>
      </c>
      <c r="AP108" s="17" t="inlineStr">
        <is>
          <t>Y</t>
        </is>
      </c>
      <c r="AQ108" s="17" t="n">
        <v>12</v>
      </c>
      <c r="AR108" s="28" t="inlineStr">
        <is>
          <t>Tier D</t>
        </is>
      </c>
      <c r="AS108" s="17" t="inlineStr">
        <is>
          <t>QMS+LIMS</t>
        </is>
      </c>
      <c r="AT108" s="17" t="inlineStr">
        <is>
          <t>무균/바이오 제조로 품질관리 난도 높음</t>
        </is>
      </c>
      <c r="AU108" s="17" t="inlineStr">
        <is>
          <t>담당자 파악 후 접촉</t>
        </is>
      </c>
      <c r="AV108" s="17" t="inlineStr">
        <is>
          <t>GMP적합판정+KRX</t>
        </is>
      </c>
      <c r="AW108" s="17" t="inlineStr">
        <is>
          <t>2026-07-05</t>
        </is>
      </c>
    </row>
    <row r="109">
      <c r="A109" s="17" t="inlineStr">
        <is>
          <t>C108</t>
        </is>
      </c>
      <c r="B109" s="17" t="inlineStr">
        <is>
          <t>제일약품</t>
        </is>
      </c>
      <c r="C109" s="17" t="inlineStr">
        <is>
          <t>제일약품(주)</t>
        </is>
      </c>
      <c r="D109" s="17" t="n">
        <v>2</v>
      </c>
      <c r="E109" s="17" t="n">
        <v>1</v>
      </c>
      <c r="F109" s="17" t="inlineStr">
        <is>
          <t>Y</t>
        </is>
      </c>
      <c r="G109" s="17" t="inlineStr">
        <is>
          <t>Y</t>
        </is>
      </c>
      <c r="H109" s="17" t="inlineStr">
        <is>
          <t>Y</t>
        </is>
      </c>
      <c r="I109" s="17" t="inlineStr"/>
      <c r="J109" s="24" t="n">
        <v>47053</v>
      </c>
      <c r="K109" s="17" t="inlineStr"/>
      <c r="L109" s="17" t="inlineStr">
        <is>
          <t>Y</t>
        </is>
      </c>
      <c r="M109" s="17" t="inlineStr">
        <is>
          <t>유가</t>
        </is>
      </c>
      <c r="N109" s="23" t="inlineStr">
        <is>
          <t>271980</t>
        </is>
      </c>
      <c r="O109" s="17" t="inlineStr">
        <is>
          <t>의약품 제조업</t>
        </is>
      </c>
      <c r="P109" s="17" t="inlineStr">
        <is>
          <t>의약품</t>
        </is>
      </c>
      <c r="Q109" s="17" t="inlineStr">
        <is>
          <t>성석제, 한상철 (공동대표)</t>
        </is>
      </c>
      <c r="R109" s="17" t="inlineStr">
        <is>
          <t>http://www.jeilpharm.co.kr</t>
        </is>
      </c>
      <c r="S109" s="17" t="inlineStr">
        <is>
          <t>서울특별시</t>
        </is>
      </c>
      <c r="T109" s="17" t="inlineStr">
        <is>
          <t>미확인</t>
        </is>
      </c>
      <c r="U109" s="17" t="inlineStr">
        <is>
          <t>미확인</t>
        </is>
      </c>
      <c r="V109" s="22" t="inlineStr">
        <is>
          <t>미확인</t>
        </is>
      </c>
      <c r="W109" s="22" t="inlineStr">
        <is>
          <t>미확인</t>
        </is>
      </c>
      <c r="X109" s="22" t="inlineStr">
        <is>
          <t>미확인</t>
        </is>
      </c>
      <c r="Y109" s="22" t="inlineStr">
        <is>
          <t>미확인</t>
        </is>
      </c>
      <c r="Z109" s="22" t="inlineStr">
        <is>
          <t>미확인</t>
        </is>
      </c>
      <c r="AA109" s="22" t="inlineStr">
        <is>
          <t>미확인</t>
        </is>
      </c>
      <c r="AB109" s="22" t="inlineStr">
        <is>
          <t>미확인</t>
        </is>
      </c>
      <c r="AC109" s="22" t="inlineStr">
        <is>
          <t>미확인</t>
        </is>
      </c>
      <c r="AD109" s="22" t="inlineStr">
        <is>
          <t>미확인</t>
        </is>
      </c>
      <c r="AE109" s="22" t="inlineStr">
        <is>
          <t>미확인</t>
        </is>
      </c>
      <c r="AF109" s="22" t="inlineStr">
        <is>
          <t>미확인</t>
        </is>
      </c>
      <c r="AG109" s="22" t="inlineStr">
        <is>
          <t>미확인</t>
        </is>
      </c>
      <c r="AH109" s="22" t="inlineStr">
        <is>
          <t>미확인</t>
        </is>
      </c>
      <c r="AI109" s="22" t="inlineStr">
        <is>
          <t>미확인</t>
        </is>
      </c>
      <c r="AJ109" s="22" t="inlineStr">
        <is>
          <t>미확인</t>
        </is>
      </c>
      <c r="AK109" s="22" t="inlineStr">
        <is>
          <t>미확인</t>
        </is>
      </c>
      <c r="AL109" s="22" t="inlineStr">
        <is>
          <t>미확인</t>
        </is>
      </c>
      <c r="AM109" s="22" t="inlineStr">
        <is>
          <t>미확인</t>
        </is>
      </c>
      <c r="AN109" s="22" t="inlineStr">
        <is>
          <t>미확인</t>
        </is>
      </c>
      <c r="AO109" s="17" t="inlineStr">
        <is>
          <t>C(부분확인)</t>
        </is>
      </c>
      <c r="AP109" s="17" t="inlineStr">
        <is>
          <t>Y</t>
        </is>
      </c>
      <c r="AQ109" s="17" t="n">
        <v>12</v>
      </c>
      <c r="AR109" s="28" t="inlineStr">
        <is>
          <t>Tier D</t>
        </is>
      </c>
      <c r="AS109" s="17" t="inlineStr">
        <is>
          <t>QMS+LIMS</t>
        </is>
      </c>
      <c r="AT109" s="17" t="inlineStr">
        <is>
          <t>무균/바이오 제조로 품질관리 난도 높음; 원료 제조로 시험실 관리 필요</t>
        </is>
      </c>
      <c r="AU109" s="17" t="inlineStr">
        <is>
          <t>담당자 파악 후 접촉</t>
        </is>
      </c>
      <c r="AV109" s="17" t="inlineStr">
        <is>
          <t>GMP적합판정+KRX</t>
        </is>
      </c>
      <c r="AW109" s="17" t="inlineStr">
        <is>
          <t>2026-07-05</t>
        </is>
      </c>
    </row>
    <row r="110">
      <c r="A110" s="17" t="inlineStr">
        <is>
          <t>C109</t>
        </is>
      </c>
      <c r="B110" s="17" t="inlineStr">
        <is>
          <t>신신제약</t>
        </is>
      </c>
      <c r="C110" s="17" t="inlineStr">
        <is>
          <t>신신제약(주)</t>
        </is>
      </c>
      <c r="D110" s="17" t="n">
        <v>1</v>
      </c>
      <c r="E110" s="17" t="n">
        <v>1</v>
      </c>
      <c r="F110" s="17" t="inlineStr">
        <is>
          <t>Y</t>
        </is>
      </c>
      <c r="G110" s="17" t="inlineStr"/>
      <c r="H110" s="17" t="inlineStr"/>
      <c r="I110" s="17" t="inlineStr"/>
      <c r="J110" s="24" t="n">
        <v>47053</v>
      </c>
      <c r="K110" s="17" t="inlineStr"/>
      <c r="L110" s="17" t="inlineStr">
        <is>
          <t>Y</t>
        </is>
      </c>
      <c r="M110" s="17" t="inlineStr">
        <is>
          <t>코스닥</t>
        </is>
      </c>
      <c r="N110" s="23" t="inlineStr">
        <is>
          <t>002800</t>
        </is>
      </c>
      <c r="O110" s="17" t="inlineStr">
        <is>
          <t>의약품 제조업</t>
        </is>
      </c>
      <c r="P110" s="17" t="inlineStr">
        <is>
          <t>파스류 (신신파스 아렉스 등)</t>
        </is>
      </c>
      <c r="Q110" s="17" t="inlineStr">
        <is>
          <t>이병기</t>
        </is>
      </c>
      <c r="R110" s="17" t="inlineStr">
        <is>
          <t>http://www.sinsin.com</t>
        </is>
      </c>
      <c r="S110" s="17" t="inlineStr">
        <is>
          <t>세종특별자치시</t>
        </is>
      </c>
      <c r="T110" s="17" t="inlineStr">
        <is>
          <t>031-776-1150</t>
        </is>
      </c>
      <c r="U110" s="17" t="inlineStr">
        <is>
          <t>제조소상세</t>
        </is>
      </c>
      <c r="V110" s="22" t="inlineStr">
        <is>
          <t>미확인</t>
        </is>
      </c>
      <c r="W110" s="22" t="inlineStr">
        <is>
          <t>미확인</t>
        </is>
      </c>
      <c r="X110" s="22" t="inlineStr">
        <is>
          <t>미확인</t>
        </is>
      </c>
      <c r="Y110" s="22" t="inlineStr">
        <is>
          <t>미확인</t>
        </is>
      </c>
      <c r="Z110" s="22" t="inlineStr">
        <is>
          <t>미확인</t>
        </is>
      </c>
      <c r="AA110" s="22" t="inlineStr">
        <is>
          <t>미확인</t>
        </is>
      </c>
      <c r="AB110" s="22" t="inlineStr">
        <is>
          <t>미확인</t>
        </is>
      </c>
      <c r="AC110" s="22" t="inlineStr">
        <is>
          <t>미확인</t>
        </is>
      </c>
      <c r="AD110" s="22" t="inlineStr">
        <is>
          <t>미확인</t>
        </is>
      </c>
      <c r="AE110" s="22" t="inlineStr">
        <is>
          <t>미확인</t>
        </is>
      </c>
      <c r="AF110" s="22" t="inlineStr">
        <is>
          <t>미확인</t>
        </is>
      </c>
      <c r="AG110" s="22" t="inlineStr">
        <is>
          <t>미확인</t>
        </is>
      </c>
      <c r="AH110" s="22" t="inlineStr">
        <is>
          <t>미확인</t>
        </is>
      </c>
      <c r="AI110" s="22" t="inlineStr">
        <is>
          <t>미확인</t>
        </is>
      </c>
      <c r="AJ110" s="22" t="inlineStr">
        <is>
          <t>미확인</t>
        </is>
      </c>
      <c r="AK110" s="22" t="inlineStr">
        <is>
          <t>미확인</t>
        </is>
      </c>
      <c r="AL110" s="22" t="inlineStr">
        <is>
          <t>미확인</t>
        </is>
      </c>
      <c r="AM110" s="22" t="inlineStr">
        <is>
          <t>미확인</t>
        </is>
      </c>
      <c r="AN110" s="22" t="inlineStr">
        <is>
          <t>미확인</t>
        </is>
      </c>
      <c r="AO110" s="17" t="inlineStr">
        <is>
          <t>C(부분확인)</t>
        </is>
      </c>
      <c r="AP110" s="17" t="inlineStr">
        <is>
          <t>Y</t>
        </is>
      </c>
      <c r="AQ110" s="17" t="n">
        <v>7</v>
      </c>
      <c r="AR110" s="28" t="inlineStr">
        <is>
          <t>Tier D</t>
        </is>
      </c>
      <c r="AS110" s="17" t="inlineStr">
        <is>
          <t>EDMS</t>
        </is>
      </c>
      <c r="AT110" s="17" t="inlineStr">
        <is>
          <t>기본 문서관리 수요</t>
        </is>
      </c>
      <c r="AU110" s="17" t="inlineStr">
        <is>
          <t>담당자 파악 후 접촉</t>
        </is>
      </c>
      <c r="AV110" s="17" t="inlineStr">
        <is>
          <t>GMP적합판정+KRX</t>
        </is>
      </c>
      <c r="AW110" s="17" t="inlineStr">
        <is>
          <t>2026-07-05</t>
        </is>
      </c>
    </row>
    <row r="111">
      <c r="A111" s="17" t="inlineStr">
        <is>
          <t>C110</t>
        </is>
      </c>
      <c r="B111" s="17" t="inlineStr">
        <is>
          <t>제네톡스</t>
        </is>
      </c>
      <c r="C111" s="17" t="inlineStr">
        <is>
          <t>제네톡스(주)</t>
        </is>
      </c>
      <c r="D111" s="17" t="n">
        <v>2</v>
      </c>
      <c r="E111" s="17" t="n">
        <v>1</v>
      </c>
      <c r="F111" s="17" t="inlineStr">
        <is>
          <t>Y</t>
        </is>
      </c>
      <c r="G111" s="17" t="inlineStr">
        <is>
          <t>Y</t>
        </is>
      </c>
      <c r="H111" s="17" t="inlineStr">
        <is>
          <t>Y</t>
        </is>
      </c>
      <c r="I111" s="17" t="inlineStr">
        <is>
          <t>Y</t>
        </is>
      </c>
      <c r="J111" s="24" t="n">
        <v>47052</v>
      </c>
      <c r="K111" s="17" t="inlineStr"/>
      <c r="L111" s="17" t="inlineStr"/>
      <c r="M111" s="17" t="inlineStr"/>
      <c r="N111" s="23" t="inlineStr"/>
      <c r="O111" s="17" t="inlineStr"/>
      <c r="P111" s="17" t="inlineStr"/>
      <c r="Q111" s="17" t="inlineStr">
        <is>
          <t>이영준</t>
        </is>
      </c>
      <c r="R111" s="17" t="inlineStr"/>
      <c r="S111" s="17" t="inlineStr"/>
      <c r="T111" s="17" t="inlineStr">
        <is>
          <t>03334437003220</t>
        </is>
      </c>
      <c r="U111" s="17" t="inlineStr">
        <is>
          <t>제조소상세</t>
        </is>
      </c>
      <c r="V111" s="22" t="inlineStr">
        <is>
          <t>미확인</t>
        </is>
      </c>
      <c r="W111" s="22" t="inlineStr">
        <is>
          <t>미확인</t>
        </is>
      </c>
      <c r="X111" s="22" t="inlineStr">
        <is>
          <t>미확인</t>
        </is>
      </c>
      <c r="Y111" s="22" t="inlineStr">
        <is>
          <t>미확인</t>
        </is>
      </c>
      <c r="Z111" s="22" t="inlineStr">
        <is>
          <t>미확인</t>
        </is>
      </c>
      <c r="AA111" s="22" t="inlineStr">
        <is>
          <t>미확인</t>
        </is>
      </c>
      <c r="AB111" s="22" t="inlineStr">
        <is>
          <t>미확인</t>
        </is>
      </c>
      <c r="AC111" s="22" t="inlineStr">
        <is>
          <t>미확인</t>
        </is>
      </c>
      <c r="AD111" s="22" t="inlineStr">
        <is>
          <t>미확인</t>
        </is>
      </c>
      <c r="AE111" s="22" t="inlineStr">
        <is>
          <t>미확인</t>
        </is>
      </c>
      <c r="AF111" s="22" t="inlineStr">
        <is>
          <t>미확인</t>
        </is>
      </c>
      <c r="AG111" s="22" t="inlineStr">
        <is>
          <t>미확인</t>
        </is>
      </c>
      <c r="AH111" s="22" t="inlineStr">
        <is>
          <t>미확인</t>
        </is>
      </c>
      <c r="AI111" s="22" t="inlineStr">
        <is>
          <t>미확인</t>
        </is>
      </c>
      <c r="AJ111" s="22" t="inlineStr">
        <is>
          <t>미확인</t>
        </is>
      </c>
      <c r="AK111" s="22" t="inlineStr">
        <is>
          <t>미확인</t>
        </is>
      </c>
      <c r="AL111" s="22" t="inlineStr">
        <is>
          <t>미확인</t>
        </is>
      </c>
      <c r="AM111" s="22" t="inlineStr">
        <is>
          <t>미확인</t>
        </is>
      </c>
      <c r="AN111" s="22" t="inlineStr">
        <is>
          <t>미확인</t>
        </is>
      </c>
      <c r="AO111" s="17" t="inlineStr">
        <is>
          <t>C(부분확인)</t>
        </is>
      </c>
      <c r="AP111" s="17" t="inlineStr">
        <is>
          <t>Y</t>
        </is>
      </c>
      <c r="AQ111" s="17" t="n">
        <v>19</v>
      </c>
      <c r="AR111" s="28" t="inlineStr">
        <is>
          <t>Tier D</t>
        </is>
      </c>
      <c r="AS111" s="17" t="inlineStr">
        <is>
          <t>QMS+LIMS</t>
        </is>
      </c>
      <c r="AT111" s="17" t="inlineStr">
        <is>
          <t>무균/바이오 제조로 품질관리 난도 높음; 원료 제조로 시험실 관리 필요</t>
        </is>
      </c>
      <c r="AU111" s="17" t="inlineStr">
        <is>
          <t>담당자 파악 후 접촉</t>
        </is>
      </c>
      <c r="AV111" s="17" t="inlineStr">
        <is>
          <t>GMP적합판정+KRX</t>
        </is>
      </c>
      <c r="AW111" s="17" t="inlineStr">
        <is>
          <t>2026-07-05</t>
        </is>
      </c>
    </row>
    <row r="112">
      <c r="A112" s="17" t="inlineStr">
        <is>
          <t>C111</t>
        </is>
      </c>
      <c r="B112" s="17" t="inlineStr">
        <is>
          <t>한국호넥스</t>
        </is>
      </c>
      <c r="C112" s="17" t="inlineStr">
        <is>
          <t>(주)한국호넥스</t>
        </is>
      </c>
      <c r="D112" s="17" t="n">
        <v>1</v>
      </c>
      <c r="E112" s="17" t="n">
        <v>1</v>
      </c>
      <c r="F112" s="17" t="inlineStr">
        <is>
          <t>Y</t>
        </is>
      </c>
      <c r="G112" s="17" t="inlineStr"/>
      <c r="H112" s="17" t="inlineStr"/>
      <c r="I112" s="17" t="inlineStr"/>
      <c r="J112" s="24" t="n">
        <v>47049</v>
      </c>
      <c r="K112" s="17" t="inlineStr"/>
      <c r="L112" s="17" t="inlineStr"/>
      <c r="M112" s="17" t="inlineStr"/>
      <c r="N112" s="23" t="inlineStr"/>
      <c r="O112" s="17" t="inlineStr"/>
      <c r="P112" s="17" t="inlineStr"/>
      <c r="Q112" s="17" t="inlineStr">
        <is>
          <t>유성재, 유원선</t>
        </is>
      </c>
      <c r="R112" s="17" t="inlineStr"/>
      <c r="S112" s="17" t="inlineStr"/>
      <c r="T112" s="17" t="inlineStr">
        <is>
          <t>043-846-4907</t>
        </is>
      </c>
      <c r="U112" s="17" t="inlineStr">
        <is>
          <t>제조소상세</t>
        </is>
      </c>
      <c r="V112" s="22" t="inlineStr">
        <is>
          <t>미확인</t>
        </is>
      </c>
      <c r="W112" s="22" t="inlineStr">
        <is>
          <t>미확인</t>
        </is>
      </c>
      <c r="X112" s="22" t="inlineStr">
        <is>
          <t>미확인</t>
        </is>
      </c>
      <c r="Y112" s="22" t="inlineStr">
        <is>
          <t>미확인</t>
        </is>
      </c>
      <c r="Z112" s="22" t="inlineStr">
        <is>
          <t>미확인</t>
        </is>
      </c>
      <c r="AA112" s="22" t="inlineStr">
        <is>
          <t>미확인</t>
        </is>
      </c>
      <c r="AB112" s="22" t="inlineStr">
        <is>
          <t>미확인</t>
        </is>
      </c>
      <c r="AC112" s="22" t="inlineStr">
        <is>
          <t>미확인</t>
        </is>
      </c>
      <c r="AD112" s="22" t="inlineStr">
        <is>
          <t>미확인</t>
        </is>
      </c>
      <c r="AE112" s="22" t="inlineStr">
        <is>
          <t>미확인</t>
        </is>
      </c>
      <c r="AF112" s="22" t="inlineStr">
        <is>
          <t>미확인</t>
        </is>
      </c>
      <c r="AG112" s="22" t="inlineStr">
        <is>
          <t>미확인</t>
        </is>
      </c>
      <c r="AH112" s="22" t="inlineStr">
        <is>
          <t>미확인</t>
        </is>
      </c>
      <c r="AI112" s="22" t="inlineStr">
        <is>
          <t>미확인</t>
        </is>
      </c>
      <c r="AJ112" s="22" t="inlineStr">
        <is>
          <t>미확인</t>
        </is>
      </c>
      <c r="AK112" s="22" t="inlineStr">
        <is>
          <t>미확인</t>
        </is>
      </c>
      <c r="AL112" s="22" t="inlineStr">
        <is>
          <t>미확인</t>
        </is>
      </c>
      <c r="AM112" s="22" t="inlineStr">
        <is>
          <t>미확인</t>
        </is>
      </c>
      <c r="AN112" s="22" t="inlineStr">
        <is>
          <t>미확인</t>
        </is>
      </c>
      <c r="AO112" s="17" t="inlineStr">
        <is>
          <t>C(부분확인)</t>
        </is>
      </c>
      <c r="AP112" s="17" t="inlineStr">
        <is>
          <t>Y</t>
        </is>
      </c>
      <c r="AQ112" s="17" t="n">
        <v>4</v>
      </c>
      <c r="AR112" s="28" t="inlineStr">
        <is>
          <t>Tier D</t>
        </is>
      </c>
      <c r="AS112" s="17" t="inlineStr">
        <is>
          <t>EDMS</t>
        </is>
      </c>
      <c r="AT112" s="17" t="inlineStr">
        <is>
          <t>기본 문서관리 수요</t>
        </is>
      </c>
      <c r="AU112" s="17" t="inlineStr">
        <is>
          <t>담당자 파악 후 접촉</t>
        </is>
      </c>
      <c r="AV112" s="17" t="inlineStr">
        <is>
          <t>GMP적합판정+KRX</t>
        </is>
      </c>
      <c r="AW112" s="17" t="inlineStr">
        <is>
          <t>2026-07-05</t>
        </is>
      </c>
    </row>
    <row r="113">
      <c r="A113" s="17" t="inlineStr">
        <is>
          <t>C112</t>
        </is>
      </c>
      <c r="B113" s="17" t="inlineStr">
        <is>
          <t>제이에스산업가스</t>
        </is>
      </c>
      <c r="C113" s="17" t="inlineStr">
        <is>
          <t>(주)제이에스산업가스</t>
        </is>
      </c>
      <c r="D113" s="17" t="n">
        <v>1</v>
      </c>
      <c r="E113" s="17" t="n">
        <v>1</v>
      </c>
      <c r="F113" s="17" t="inlineStr">
        <is>
          <t>Y</t>
        </is>
      </c>
      <c r="G113" s="17" t="inlineStr"/>
      <c r="H113" s="17" t="inlineStr"/>
      <c r="I113" s="17" t="inlineStr"/>
      <c r="J113" s="24" t="n">
        <v>47047</v>
      </c>
      <c r="K113" s="17" t="inlineStr"/>
      <c r="L113" s="17" t="inlineStr"/>
      <c r="M113" s="17" t="inlineStr"/>
      <c r="N113" s="23" t="inlineStr"/>
      <c r="O113" s="17" t="inlineStr"/>
      <c r="P113" s="17" t="inlineStr"/>
      <c r="Q113" s="17" t="inlineStr">
        <is>
          <t>노지형</t>
        </is>
      </c>
      <c r="R113" s="17" t="inlineStr"/>
      <c r="S113" s="17" t="inlineStr"/>
      <c r="T113" s="17" t="inlineStr">
        <is>
          <t>055-338-0577</t>
        </is>
      </c>
      <c r="U113" s="17" t="inlineStr">
        <is>
          <t>제조소상세</t>
        </is>
      </c>
      <c r="V113" s="22" t="inlineStr">
        <is>
          <t>미확인</t>
        </is>
      </c>
      <c r="W113" s="22" t="inlineStr">
        <is>
          <t>미확인</t>
        </is>
      </c>
      <c r="X113" s="22" t="inlineStr">
        <is>
          <t>미확인</t>
        </is>
      </c>
      <c r="Y113" s="22" t="inlineStr">
        <is>
          <t>미확인</t>
        </is>
      </c>
      <c r="Z113" s="22" t="inlineStr">
        <is>
          <t>미확인</t>
        </is>
      </c>
      <c r="AA113" s="22" t="inlineStr">
        <is>
          <t>미확인</t>
        </is>
      </c>
      <c r="AB113" s="22" t="inlineStr">
        <is>
          <t>미확인</t>
        </is>
      </c>
      <c r="AC113" s="22" t="inlineStr">
        <is>
          <t>미확인</t>
        </is>
      </c>
      <c r="AD113" s="22" t="inlineStr">
        <is>
          <t>미확인</t>
        </is>
      </c>
      <c r="AE113" s="22" t="inlineStr">
        <is>
          <t>미확인</t>
        </is>
      </c>
      <c r="AF113" s="22" t="inlineStr">
        <is>
          <t>미확인</t>
        </is>
      </c>
      <c r="AG113" s="22" t="inlineStr">
        <is>
          <t>미확인</t>
        </is>
      </c>
      <c r="AH113" s="22" t="inlineStr">
        <is>
          <t>미확인</t>
        </is>
      </c>
      <c r="AI113" s="22" t="inlineStr">
        <is>
          <t>미확인</t>
        </is>
      </c>
      <c r="AJ113" s="22" t="inlineStr">
        <is>
          <t>미확인</t>
        </is>
      </c>
      <c r="AK113" s="22" t="inlineStr">
        <is>
          <t>미확인</t>
        </is>
      </c>
      <c r="AL113" s="22" t="inlineStr">
        <is>
          <t>미확인</t>
        </is>
      </c>
      <c r="AM113" s="22" t="inlineStr">
        <is>
          <t>미확인</t>
        </is>
      </c>
      <c r="AN113" s="22" t="inlineStr">
        <is>
          <t>미확인</t>
        </is>
      </c>
      <c r="AO113" s="17" t="inlineStr">
        <is>
          <t>C(부분확인)</t>
        </is>
      </c>
      <c r="AP113" s="17" t="inlineStr">
        <is>
          <t>Y</t>
        </is>
      </c>
      <c r="AQ113" s="17" t="n">
        <v>4</v>
      </c>
      <c r="AR113" s="28" t="inlineStr">
        <is>
          <t>Tier D</t>
        </is>
      </c>
      <c r="AS113" s="17" t="inlineStr">
        <is>
          <t>EDMS</t>
        </is>
      </c>
      <c r="AT113" s="17" t="inlineStr">
        <is>
          <t>기본 문서관리 수요</t>
        </is>
      </c>
      <c r="AU113" s="17" t="inlineStr">
        <is>
          <t>담당자 파악 후 접촉</t>
        </is>
      </c>
      <c r="AV113" s="17" t="inlineStr">
        <is>
          <t>GMP적합판정+KRX</t>
        </is>
      </c>
      <c r="AW113" s="17" t="inlineStr">
        <is>
          <t>2026-07-05</t>
        </is>
      </c>
    </row>
    <row r="114">
      <c r="A114" s="17" t="inlineStr">
        <is>
          <t>C113</t>
        </is>
      </c>
      <c r="B114" s="17" t="inlineStr">
        <is>
          <t>비알팜</t>
        </is>
      </c>
      <c r="C114" s="17" t="inlineStr">
        <is>
          <t>㈜비알팜</t>
        </is>
      </c>
      <c r="D114" s="17" t="n">
        <v>2</v>
      </c>
      <c r="E114" s="17" t="n">
        <v>1</v>
      </c>
      <c r="F114" s="17" t="inlineStr">
        <is>
          <t>Y</t>
        </is>
      </c>
      <c r="G114" s="17" t="inlineStr">
        <is>
          <t>Y</t>
        </is>
      </c>
      <c r="H114" s="17" t="inlineStr">
        <is>
          <t>Y</t>
        </is>
      </c>
      <c r="I114" s="17" t="inlineStr"/>
      <c r="J114" s="24" t="n">
        <v>46467</v>
      </c>
      <c r="K114" s="17" t="inlineStr"/>
      <c r="L114" s="17" t="inlineStr"/>
      <c r="M114" s="17" t="inlineStr"/>
      <c r="N114" s="23" t="inlineStr"/>
      <c r="O114" s="17" t="inlineStr"/>
      <c r="P114" s="17" t="inlineStr"/>
      <c r="Q114" s="17" t="inlineStr">
        <is>
          <t>김석순</t>
        </is>
      </c>
      <c r="R114" s="17" t="inlineStr"/>
      <c r="S114" s="17" t="inlineStr"/>
      <c r="T114" s="17" t="inlineStr">
        <is>
          <t>미확인</t>
        </is>
      </c>
      <c r="U114" s="17" t="inlineStr">
        <is>
          <t>미확인</t>
        </is>
      </c>
      <c r="V114" s="22" t="inlineStr">
        <is>
          <t>미확인</t>
        </is>
      </c>
      <c r="W114" s="22" t="inlineStr">
        <is>
          <t>미확인</t>
        </is>
      </c>
      <c r="X114" s="22" t="inlineStr">
        <is>
          <t>미확인</t>
        </is>
      </c>
      <c r="Y114" s="22" t="inlineStr">
        <is>
          <t>미확인</t>
        </is>
      </c>
      <c r="Z114" s="22" t="inlineStr">
        <is>
          <t>미확인</t>
        </is>
      </c>
      <c r="AA114" s="22" t="inlineStr">
        <is>
          <t>미확인</t>
        </is>
      </c>
      <c r="AB114" s="22" t="inlineStr">
        <is>
          <t>미확인</t>
        </is>
      </c>
      <c r="AC114" s="22" t="inlineStr">
        <is>
          <t>미확인</t>
        </is>
      </c>
      <c r="AD114" s="22" t="inlineStr">
        <is>
          <t>미확인</t>
        </is>
      </c>
      <c r="AE114" s="22" t="inlineStr">
        <is>
          <t>미확인</t>
        </is>
      </c>
      <c r="AF114" s="22" t="inlineStr">
        <is>
          <t>미확인</t>
        </is>
      </c>
      <c r="AG114" s="22" t="inlineStr">
        <is>
          <t>미확인</t>
        </is>
      </c>
      <c r="AH114" s="22" t="inlineStr">
        <is>
          <t>미확인</t>
        </is>
      </c>
      <c r="AI114" s="22" t="inlineStr">
        <is>
          <t>미확인</t>
        </is>
      </c>
      <c r="AJ114" s="22" t="inlineStr">
        <is>
          <t>미확인</t>
        </is>
      </c>
      <c r="AK114" s="22" t="inlineStr">
        <is>
          <t>미확인</t>
        </is>
      </c>
      <c r="AL114" s="22" t="inlineStr">
        <is>
          <t>미확인</t>
        </is>
      </c>
      <c r="AM114" s="22" t="inlineStr">
        <is>
          <t>미확인</t>
        </is>
      </c>
      <c r="AN114" s="22" t="inlineStr">
        <is>
          <t>미확인</t>
        </is>
      </c>
      <c r="AO114" s="17" t="inlineStr">
        <is>
          <t>C(부분확인)</t>
        </is>
      </c>
      <c r="AP114" s="17" t="inlineStr">
        <is>
          <t>Y</t>
        </is>
      </c>
      <c r="AQ114" s="17" t="n">
        <v>15</v>
      </c>
      <c r="AR114" s="28" t="inlineStr">
        <is>
          <t>Tier D</t>
        </is>
      </c>
      <c r="AS114" s="17" t="inlineStr">
        <is>
          <t>QMS+LIMS</t>
        </is>
      </c>
      <c r="AT114" s="17" t="inlineStr">
        <is>
          <t>무균/바이오 제조로 품질관리 난도 높음; 원료 제조로 시험실 관리 필요</t>
        </is>
      </c>
      <c r="AU114" s="17" t="inlineStr">
        <is>
          <t>담당자 파악 후 접촉</t>
        </is>
      </c>
      <c r="AV114" s="17" t="inlineStr">
        <is>
          <t>GMP적합판정+KRX</t>
        </is>
      </c>
      <c r="AW114" s="17" t="inlineStr">
        <is>
          <t>2026-07-05</t>
        </is>
      </c>
    </row>
    <row r="115">
      <c r="A115" s="17" t="inlineStr">
        <is>
          <t>C114</t>
        </is>
      </c>
      <c r="B115" s="17" t="inlineStr">
        <is>
          <t>삼양화학공업</t>
        </is>
      </c>
      <c r="C115" s="17" t="inlineStr">
        <is>
          <t>삼양화학공업(주)</t>
        </is>
      </c>
      <c r="D115" s="17" t="n">
        <v>1</v>
      </c>
      <c r="E115" s="17" t="n">
        <v>1</v>
      </c>
      <c r="F115" s="17" t="inlineStr">
        <is>
          <t>Y</t>
        </is>
      </c>
      <c r="G115" s="17" t="inlineStr"/>
      <c r="H115" s="17" t="inlineStr">
        <is>
          <t>Y</t>
        </is>
      </c>
      <c r="I115" s="17" t="inlineStr"/>
      <c r="J115" s="24" t="n">
        <v>47039</v>
      </c>
      <c r="K115" s="17" t="inlineStr"/>
      <c r="L115" s="17" t="inlineStr"/>
      <c r="M115" s="17" t="inlineStr"/>
      <c r="N115" s="23" t="inlineStr"/>
      <c r="O115" s="17" t="inlineStr"/>
      <c r="P115" s="17" t="inlineStr"/>
      <c r="Q115" s="17" t="inlineStr">
        <is>
          <t>정석환</t>
        </is>
      </c>
      <c r="R115" s="17" t="inlineStr"/>
      <c r="S115" s="17" t="inlineStr"/>
      <c r="T115" s="17" t="inlineStr">
        <is>
          <t>미확인</t>
        </is>
      </c>
      <c r="U115" s="17" t="inlineStr">
        <is>
          <t>미확인</t>
        </is>
      </c>
      <c r="V115" s="22" t="inlineStr">
        <is>
          <t>미확인</t>
        </is>
      </c>
      <c r="W115" s="22" t="inlineStr">
        <is>
          <t>미확인</t>
        </is>
      </c>
      <c r="X115" s="22" t="inlineStr">
        <is>
          <t>미확인</t>
        </is>
      </c>
      <c r="Y115" s="22" t="inlineStr">
        <is>
          <t>미확인</t>
        </is>
      </c>
      <c r="Z115" s="22" t="inlineStr">
        <is>
          <t>미확인</t>
        </is>
      </c>
      <c r="AA115" s="22" t="inlineStr">
        <is>
          <t>미확인</t>
        </is>
      </c>
      <c r="AB115" s="22" t="inlineStr">
        <is>
          <t>미확인</t>
        </is>
      </c>
      <c r="AC115" s="22" t="inlineStr">
        <is>
          <t>미확인</t>
        </is>
      </c>
      <c r="AD115" s="22" t="inlineStr">
        <is>
          <t>미확인</t>
        </is>
      </c>
      <c r="AE115" s="22" t="inlineStr">
        <is>
          <t>미확인</t>
        </is>
      </c>
      <c r="AF115" s="22" t="inlineStr">
        <is>
          <t>미확인</t>
        </is>
      </c>
      <c r="AG115" s="22" t="inlineStr">
        <is>
          <t>미확인</t>
        </is>
      </c>
      <c r="AH115" s="22" t="inlineStr">
        <is>
          <t>미확인</t>
        </is>
      </c>
      <c r="AI115" s="22" t="inlineStr">
        <is>
          <t>미확인</t>
        </is>
      </c>
      <c r="AJ115" s="22" t="inlineStr">
        <is>
          <t>미확인</t>
        </is>
      </c>
      <c r="AK115" s="22" t="inlineStr">
        <is>
          <t>미확인</t>
        </is>
      </c>
      <c r="AL115" s="22" t="inlineStr">
        <is>
          <t>미확인</t>
        </is>
      </c>
      <c r="AM115" s="22" t="inlineStr">
        <is>
          <t>미확인</t>
        </is>
      </c>
      <c r="AN115" s="22" t="inlineStr">
        <is>
          <t>미확인</t>
        </is>
      </c>
      <c r="AO115" s="17" t="inlineStr">
        <is>
          <t>C(부분확인)</t>
        </is>
      </c>
      <c r="AP115" s="17" t="inlineStr">
        <is>
          <t>Y</t>
        </is>
      </c>
      <c r="AQ115" s="17" t="n">
        <v>12</v>
      </c>
      <c r="AR115" s="28" t="inlineStr">
        <is>
          <t>Tier D</t>
        </is>
      </c>
      <c r="AS115" s="17" t="inlineStr">
        <is>
          <t>QMS+LIMS</t>
        </is>
      </c>
      <c r="AT115" s="17" t="inlineStr">
        <is>
          <t>무균/바이오 제조로 품질관리 난도 높음</t>
        </is>
      </c>
      <c r="AU115" s="17" t="inlineStr">
        <is>
          <t>담당자 파악 후 접촉</t>
        </is>
      </c>
      <c r="AV115" s="17" t="inlineStr">
        <is>
          <t>GMP적합판정+KRX</t>
        </is>
      </c>
      <c r="AW115" s="17" t="inlineStr">
        <is>
          <t>2026-07-05</t>
        </is>
      </c>
    </row>
    <row r="116">
      <c r="A116" s="17" t="inlineStr">
        <is>
          <t>C115</t>
        </is>
      </c>
      <c r="B116" s="17" t="inlineStr">
        <is>
          <t>에스케이바이오사이언스</t>
        </is>
      </c>
      <c r="C116" s="17" t="inlineStr">
        <is>
          <t>에스케이바이오사이언스(주)</t>
        </is>
      </c>
      <c r="D116" s="17" t="n">
        <v>2</v>
      </c>
      <c r="E116" s="17" t="n">
        <v>1</v>
      </c>
      <c r="F116" s="17" t="inlineStr">
        <is>
          <t>Y</t>
        </is>
      </c>
      <c r="G116" s="17" t="inlineStr">
        <is>
          <t>Y</t>
        </is>
      </c>
      <c r="H116" s="17" t="inlineStr">
        <is>
          <t>Y</t>
        </is>
      </c>
      <c r="I116" s="17" t="inlineStr">
        <is>
          <t>Y</t>
        </is>
      </c>
      <c r="J116" s="24" t="n">
        <v>47039</v>
      </c>
      <c r="K116" s="17" t="inlineStr"/>
      <c r="L116" s="17" t="inlineStr"/>
      <c r="M116" s="17" t="inlineStr"/>
      <c r="N116" s="23" t="inlineStr"/>
      <c r="O116" s="17" t="inlineStr"/>
      <c r="P116" s="17" t="inlineStr"/>
      <c r="Q116" s="17" t="inlineStr">
        <is>
          <t>안재용</t>
        </is>
      </c>
      <c r="R116" s="17" t="inlineStr"/>
      <c r="S116" s="17" t="inlineStr"/>
      <c r="T116" s="17" t="inlineStr">
        <is>
          <t>미확인</t>
        </is>
      </c>
      <c r="U116" s="17" t="inlineStr">
        <is>
          <t>미확인</t>
        </is>
      </c>
      <c r="V116" s="22" t="inlineStr">
        <is>
          <t>미확인</t>
        </is>
      </c>
      <c r="W116" s="22" t="inlineStr">
        <is>
          <t>미확인</t>
        </is>
      </c>
      <c r="X116" s="22" t="inlineStr">
        <is>
          <t>미확인</t>
        </is>
      </c>
      <c r="Y116" s="22" t="inlineStr">
        <is>
          <t>미확인</t>
        </is>
      </c>
      <c r="Z116" s="22" t="inlineStr">
        <is>
          <t>미확인</t>
        </is>
      </c>
      <c r="AA116" s="22" t="inlineStr">
        <is>
          <t>미확인</t>
        </is>
      </c>
      <c r="AB116" s="22" t="inlineStr">
        <is>
          <t>미확인</t>
        </is>
      </c>
      <c r="AC116" s="22" t="inlineStr">
        <is>
          <t>미확인</t>
        </is>
      </c>
      <c r="AD116" s="22" t="inlineStr">
        <is>
          <t>미확인</t>
        </is>
      </c>
      <c r="AE116" s="22" t="inlineStr">
        <is>
          <t>미확인</t>
        </is>
      </c>
      <c r="AF116" s="22" t="inlineStr">
        <is>
          <t>미확인</t>
        </is>
      </c>
      <c r="AG116" s="22" t="inlineStr">
        <is>
          <t>미확인</t>
        </is>
      </c>
      <c r="AH116" s="22" t="inlineStr">
        <is>
          <t>미확인</t>
        </is>
      </c>
      <c r="AI116" s="22" t="inlineStr">
        <is>
          <t>미확인</t>
        </is>
      </c>
      <c r="AJ116" s="22" t="inlineStr">
        <is>
          <t>미확인</t>
        </is>
      </c>
      <c r="AK116" s="22" t="inlineStr">
        <is>
          <t>미확인</t>
        </is>
      </c>
      <c r="AL116" s="22" t="inlineStr">
        <is>
          <t>미확인</t>
        </is>
      </c>
      <c r="AM116" s="22" t="inlineStr">
        <is>
          <t>미확인</t>
        </is>
      </c>
      <c r="AN116" s="22" t="inlineStr">
        <is>
          <t>미확인</t>
        </is>
      </c>
      <c r="AO116" s="17" t="inlineStr">
        <is>
          <t>C(부분확인)</t>
        </is>
      </c>
      <c r="AP116" s="17" t="inlineStr">
        <is>
          <t>Y</t>
        </is>
      </c>
      <c r="AQ116" s="17" t="n">
        <v>19</v>
      </c>
      <c r="AR116" s="28" t="inlineStr">
        <is>
          <t>Tier D</t>
        </is>
      </c>
      <c r="AS116" s="17" t="inlineStr">
        <is>
          <t>QMS+LIMS</t>
        </is>
      </c>
      <c r="AT116" s="17" t="inlineStr">
        <is>
          <t>무균/바이오 제조로 품질관리 난도 높음; 원료 제조로 시험실 관리 필요</t>
        </is>
      </c>
      <c r="AU116" s="17" t="inlineStr">
        <is>
          <t>담당자 파악 후 접촉</t>
        </is>
      </c>
      <c r="AV116" s="17" t="inlineStr">
        <is>
          <t>GMP적합판정+KRX</t>
        </is>
      </c>
      <c r="AW116" s="17" t="inlineStr">
        <is>
          <t>2026-07-05</t>
        </is>
      </c>
    </row>
    <row r="117">
      <c r="A117" s="17" t="inlineStr">
        <is>
          <t>C116</t>
        </is>
      </c>
      <c r="B117" s="17" t="inlineStr">
        <is>
          <t>파마킹</t>
        </is>
      </c>
      <c r="C117" s="17" t="inlineStr">
        <is>
          <t>(주)파마킹</t>
        </is>
      </c>
      <c r="D117" s="17" t="n">
        <v>1</v>
      </c>
      <c r="E117" s="17" t="n">
        <v>1</v>
      </c>
      <c r="F117" s="17" t="inlineStr">
        <is>
          <t>Y</t>
        </is>
      </c>
      <c r="G117" s="17" t="inlineStr"/>
      <c r="H117" s="17" t="inlineStr"/>
      <c r="I117" s="17" t="inlineStr"/>
      <c r="J117" s="24" t="n">
        <v>47039</v>
      </c>
      <c r="K117" s="17" t="inlineStr"/>
      <c r="L117" s="17" t="inlineStr"/>
      <c r="M117" s="17" t="inlineStr"/>
      <c r="N117" s="23" t="inlineStr"/>
      <c r="O117" s="17" t="inlineStr"/>
      <c r="P117" s="17" t="inlineStr"/>
      <c r="Q117" s="17" t="inlineStr">
        <is>
          <t>김완배</t>
        </is>
      </c>
      <c r="R117" s="17" t="inlineStr"/>
      <c r="S117" s="17" t="inlineStr"/>
      <c r="T117" s="17" t="inlineStr">
        <is>
          <t>043-882-3501</t>
        </is>
      </c>
      <c r="U117" s="17" t="inlineStr">
        <is>
          <t>제조소상세</t>
        </is>
      </c>
      <c r="V117" s="22" t="inlineStr">
        <is>
          <t>미확인</t>
        </is>
      </c>
      <c r="W117" s="22" t="inlineStr">
        <is>
          <t>미확인</t>
        </is>
      </c>
      <c r="X117" s="22" t="inlineStr">
        <is>
          <t>미확인</t>
        </is>
      </c>
      <c r="Y117" s="22" t="inlineStr">
        <is>
          <t>미확인</t>
        </is>
      </c>
      <c r="Z117" s="22" t="inlineStr">
        <is>
          <t>미확인</t>
        </is>
      </c>
      <c r="AA117" s="22" t="inlineStr">
        <is>
          <t>미확인</t>
        </is>
      </c>
      <c r="AB117" s="22" t="inlineStr">
        <is>
          <t>미확인</t>
        </is>
      </c>
      <c r="AC117" s="22" t="inlineStr">
        <is>
          <t>미확인</t>
        </is>
      </c>
      <c r="AD117" s="22" t="inlineStr">
        <is>
          <t>미확인</t>
        </is>
      </c>
      <c r="AE117" s="22" t="inlineStr">
        <is>
          <t>미확인</t>
        </is>
      </c>
      <c r="AF117" s="22" t="inlineStr">
        <is>
          <t>미확인</t>
        </is>
      </c>
      <c r="AG117" s="22" t="inlineStr">
        <is>
          <t>미확인</t>
        </is>
      </c>
      <c r="AH117" s="22" t="inlineStr">
        <is>
          <t>미확인</t>
        </is>
      </c>
      <c r="AI117" s="22" t="inlineStr">
        <is>
          <t>미확인</t>
        </is>
      </c>
      <c r="AJ117" s="22" t="inlineStr">
        <is>
          <t>미확인</t>
        </is>
      </c>
      <c r="AK117" s="22" t="inlineStr">
        <is>
          <t>미확인</t>
        </is>
      </c>
      <c r="AL117" s="22" t="inlineStr">
        <is>
          <t>미확인</t>
        </is>
      </c>
      <c r="AM117" s="22" t="inlineStr">
        <is>
          <t>미확인</t>
        </is>
      </c>
      <c r="AN117" s="22" t="inlineStr">
        <is>
          <t>미확인</t>
        </is>
      </c>
      <c r="AO117" s="17" t="inlineStr">
        <is>
          <t>C(부분확인)</t>
        </is>
      </c>
      <c r="AP117" s="17" t="inlineStr">
        <is>
          <t>Y</t>
        </is>
      </c>
      <c r="AQ117" s="17" t="n">
        <v>4</v>
      </c>
      <c r="AR117" s="28" t="inlineStr">
        <is>
          <t>Tier D</t>
        </is>
      </c>
      <c r="AS117" s="17" t="inlineStr">
        <is>
          <t>EDMS</t>
        </is>
      </c>
      <c r="AT117" s="17" t="inlineStr">
        <is>
          <t>기본 문서관리 수요</t>
        </is>
      </c>
      <c r="AU117" s="17" t="inlineStr">
        <is>
          <t>담당자 파악 후 접촉</t>
        </is>
      </c>
      <c r="AV117" s="17" t="inlineStr">
        <is>
          <t>GMP적합판정+KRX</t>
        </is>
      </c>
      <c r="AW117" s="17" t="inlineStr">
        <is>
          <t>2026-07-05</t>
        </is>
      </c>
    </row>
    <row r="118">
      <c r="A118" s="17" t="inlineStr">
        <is>
          <t>C117</t>
        </is>
      </c>
      <c r="B118" s="17" t="inlineStr">
        <is>
          <t>원광제약</t>
        </is>
      </c>
      <c r="C118" s="17" t="inlineStr">
        <is>
          <t>원광제약(주)</t>
        </is>
      </c>
      <c r="D118" s="17" t="n">
        <v>2</v>
      </c>
      <c r="E118" s="17" t="n">
        <v>2</v>
      </c>
      <c r="F118" s="17" t="inlineStr">
        <is>
          <t>Y</t>
        </is>
      </c>
      <c r="G118" s="17" t="inlineStr"/>
      <c r="H118" s="17" t="inlineStr"/>
      <c r="I118" s="17" t="inlineStr"/>
      <c r="J118" s="24" t="n">
        <v>46947</v>
      </c>
      <c r="K118" s="17" t="inlineStr"/>
      <c r="L118" s="17" t="inlineStr"/>
      <c r="M118" s="17" t="inlineStr"/>
      <c r="N118" s="23" t="inlineStr"/>
      <c r="O118" s="17" t="inlineStr"/>
      <c r="P118" s="17" t="inlineStr"/>
      <c r="Q118" s="17" t="inlineStr">
        <is>
          <t>최경수</t>
        </is>
      </c>
      <c r="R118" s="17" t="inlineStr"/>
      <c r="S118" s="17" t="inlineStr"/>
      <c r="T118" s="17" t="inlineStr">
        <is>
          <t>063-832-3114</t>
        </is>
      </c>
      <c r="U118" s="17" t="inlineStr">
        <is>
          <t>제조소상세</t>
        </is>
      </c>
      <c r="V118" s="22" t="inlineStr">
        <is>
          <t>미확인</t>
        </is>
      </c>
      <c r="W118" s="22" t="inlineStr">
        <is>
          <t>미확인</t>
        </is>
      </c>
      <c r="X118" s="22" t="inlineStr">
        <is>
          <t>미확인</t>
        </is>
      </c>
      <c r="Y118" s="22" t="inlineStr">
        <is>
          <t>미확인</t>
        </is>
      </c>
      <c r="Z118" s="22" t="inlineStr">
        <is>
          <t>미확인</t>
        </is>
      </c>
      <c r="AA118" s="22" t="inlineStr">
        <is>
          <t>미확인</t>
        </is>
      </c>
      <c r="AB118" s="22" t="inlineStr">
        <is>
          <t>미확인</t>
        </is>
      </c>
      <c r="AC118" s="22" t="inlineStr">
        <is>
          <t>미확인</t>
        </is>
      </c>
      <c r="AD118" s="22" t="inlineStr">
        <is>
          <t>미확인</t>
        </is>
      </c>
      <c r="AE118" s="22" t="inlineStr">
        <is>
          <t>미확인</t>
        </is>
      </c>
      <c r="AF118" s="22" t="inlineStr">
        <is>
          <t>미확인</t>
        </is>
      </c>
      <c r="AG118" s="22" t="inlineStr">
        <is>
          <t>미확인</t>
        </is>
      </c>
      <c r="AH118" s="22" t="inlineStr">
        <is>
          <t>미확인</t>
        </is>
      </c>
      <c r="AI118" s="22" t="inlineStr">
        <is>
          <t>미확인</t>
        </is>
      </c>
      <c r="AJ118" s="22" t="inlineStr">
        <is>
          <t>미확인</t>
        </is>
      </c>
      <c r="AK118" s="22" t="inlineStr">
        <is>
          <t>미확인</t>
        </is>
      </c>
      <c r="AL118" s="22" t="inlineStr">
        <is>
          <t>미확인</t>
        </is>
      </c>
      <c r="AM118" s="22" t="inlineStr">
        <is>
          <t>미확인</t>
        </is>
      </c>
      <c r="AN118" s="22" t="inlineStr">
        <is>
          <t>미확인</t>
        </is>
      </c>
      <c r="AO118" s="17" t="inlineStr">
        <is>
          <t>C(부분확인)</t>
        </is>
      </c>
      <c r="AP118" s="17" t="inlineStr">
        <is>
          <t>Y</t>
        </is>
      </c>
      <c r="AQ118" s="17" t="n">
        <v>8</v>
      </c>
      <c r="AR118" s="28" t="inlineStr">
        <is>
          <t>Tier D</t>
        </is>
      </c>
      <c r="AS118" s="17" t="inlineStr">
        <is>
          <t>EDMS+QMS+LMS</t>
        </is>
      </c>
      <c r="AT118" s="17" t="inlineStr">
        <is>
          <t>다중 제조소/다수 판정서로 문서관리 복잡; 다중 제조소로 교육관리 대상 광범위</t>
        </is>
      </c>
      <c r="AU118" s="17" t="inlineStr">
        <is>
          <t>담당자 파악 후 접촉</t>
        </is>
      </c>
      <c r="AV118" s="17" t="inlineStr">
        <is>
          <t>GMP적합판정+KRX</t>
        </is>
      </c>
      <c r="AW118" s="17" t="inlineStr">
        <is>
          <t>2026-07-05</t>
        </is>
      </c>
    </row>
    <row r="119">
      <c r="A119" s="17" t="inlineStr">
        <is>
          <t>C118</t>
        </is>
      </c>
      <c r="B119" s="17" t="inlineStr">
        <is>
          <t>케이에스제약</t>
        </is>
      </c>
      <c r="C119" s="17" t="inlineStr">
        <is>
          <t>주식회사케이에스제약</t>
        </is>
      </c>
      <c r="D119" s="17" t="n">
        <v>1</v>
      </c>
      <c r="E119" s="17" t="n">
        <v>1</v>
      </c>
      <c r="F119" s="17" t="inlineStr">
        <is>
          <t>Y</t>
        </is>
      </c>
      <c r="G119" s="17" t="inlineStr"/>
      <c r="H119" s="17" t="inlineStr"/>
      <c r="I119" s="17" t="inlineStr"/>
      <c r="J119" s="24" t="n">
        <v>47039</v>
      </c>
      <c r="K119" s="17" t="inlineStr"/>
      <c r="L119" s="17" t="inlineStr"/>
      <c r="M119" s="17" t="inlineStr"/>
      <c r="N119" s="23" t="inlineStr"/>
      <c r="O119" s="17" t="inlineStr"/>
      <c r="P119" s="17" t="inlineStr"/>
      <c r="Q119" s="17" t="inlineStr">
        <is>
          <t>박기송</t>
        </is>
      </c>
      <c r="R119" s="17" t="inlineStr"/>
      <c r="S119" s="17" t="inlineStr"/>
      <c r="T119" s="17" t="inlineStr">
        <is>
          <t>미확인</t>
        </is>
      </c>
      <c r="U119" s="17" t="inlineStr">
        <is>
          <t>미확인</t>
        </is>
      </c>
      <c r="V119" s="22" t="inlineStr">
        <is>
          <t>미확인</t>
        </is>
      </c>
      <c r="W119" s="22" t="inlineStr">
        <is>
          <t>미확인</t>
        </is>
      </c>
      <c r="X119" s="22" t="inlineStr">
        <is>
          <t>미확인</t>
        </is>
      </c>
      <c r="Y119" s="22" t="inlineStr">
        <is>
          <t>미확인</t>
        </is>
      </c>
      <c r="Z119" s="22" t="inlineStr">
        <is>
          <t>미확인</t>
        </is>
      </c>
      <c r="AA119" s="22" t="inlineStr">
        <is>
          <t>미확인</t>
        </is>
      </c>
      <c r="AB119" s="22" t="inlineStr">
        <is>
          <t>미확인</t>
        </is>
      </c>
      <c r="AC119" s="22" t="inlineStr">
        <is>
          <t>미확인</t>
        </is>
      </c>
      <c r="AD119" s="22" t="inlineStr">
        <is>
          <t>미확인</t>
        </is>
      </c>
      <c r="AE119" s="22" t="inlineStr">
        <is>
          <t>미확인</t>
        </is>
      </c>
      <c r="AF119" s="22" t="inlineStr">
        <is>
          <t>미확인</t>
        </is>
      </c>
      <c r="AG119" s="22" t="inlineStr">
        <is>
          <t>미확인</t>
        </is>
      </c>
      <c r="AH119" s="22" t="inlineStr">
        <is>
          <t>미확인</t>
        </is>
      </c>
      <c r="AI119" s="22" t="inlineStr">
        <is>
          <t>미확인</t>
        </is>
      </c>
      <c r="AJ119" s="22" t="inlineStr">
        <is>
          <t>미확인</t>
        </is>
      </c>
      <c r="AK119" s="22" t="inlineStr">
        <is>
          <t>미확인</t>
        </is>
      </c>
      <c r="AL119" s="22" t="inlineStr">
        <is>
          <t>미확인</t>
        </is>
      </c>
      <c r="AM119" s="22" t="inlineStr">
        <is>
          <t>미확인</t>
        </is>
      </c>
      <c r="AN119" s="22" t="inlineStr">
        <is>
          <t>미확인</t>
        </is>
      </c>
      <c r="AO119" s="17" t="inlineStr">
        <is>
          <t>C(부분확인)</t>
        </is>
      </c>
      <c r="AP119" s="17" t="inlineStr">
        <is>
          <t>Y</t>
        </is>
      </c>
      <c r="AQ119" s="17" t="n">
        <v>4</v>
      </c>
      <c r="AR119" s="28" t="inlineStr">
        <is>
          <t>Tier D</t>
        </is>
      </c>
      <c r="AS119" s="17" t="inlineStr">
        <is>
          <t>EDMS</t>
        </is>
      </c>
      <c r="AT119" s="17" t="inlineStr">
        <is>
          <t>기본 문서관리 수요</t>
        </is>
      </c>
      <c r="AU119" s="17" t="inlineStr">
        <is>
          <t>담당자 파악 후 접촉</t>
        </is>
      </c>
      <c r="AV119" s="17" t="inlineStr">
        <is>
          <t>GMP적합판정+KRX</t>
        </is>
      </c>
      <c r="AW119" s="17" t="inlineStr">
        <is>
          <t>2026-07-05</t>
        </is>
      </c>
    </row>
    <row r="120">
      <c r="A120" s="17" t="inlineStr">
        <is>
          <t>C119</t>
        </is>
      </c>
      <c r="B120" s="17" t="inlineStr">
        <is>
          <t>가스켐테크놀로지</t>
        </is>
      </c>
      <c r="C120" s="17" t="inlineStr">
        <is>
          <t>가스켐테크놀로지(주)</t>
        </is>
      </c>
      <c r="D120" s="17" t="n">
        <v>1</v>
      </c>
      <c r="E120" s="17" t="n">
        <v>1</v>
      </c>
      <c r="F120" s="17" t="inlineStr">
        <is>
          <t>Y</t>
        </is>
      </c>
      <c r="G120" s="17" t="inlineStr"/>
      <c r="H120" s="17" t="inlineStr"/>
      <c r="I120" s="17" t="inlineStr"/>
      <c r="J120" s="24" t="n">
        <v>47037</v>
      </c>
      <c r="K120" s="17" t="inlineStr"/>
      <c r="L120" s="17" t="inlineStr"/>
      <c r="M120" s="17" t="inlineStr"/>
      <c r="N120" s="23" t="inlineStr"/>
      <c r="O120" s="17" t="inlineStr"/>
      <c r="P120" s="17" t="inlineStr"/>
      <c r="Q120" s="17" t="inlineStr">
        <is>
          <t>조창현</t>
        </is>
      </c>
      <c r="R120" s="17" t="inlineStr"/>
      <c r="S120" s="17" t="inlineStr"/>
      <c r="T120" s="17" t="inlineStr">
        <is>
          <t>미확인</t>
        </is>
      </c>
      <c r="U120" s="17" t="inlineStr">
        <is>
          <t>미확인</t>
        </is>
      </c>
      <c r="V120" s="22" t="inlineStr">
        <is>
          <t>미확인</t>
        </is>
      </c>
      <c r="W120" s="22" t="inlineStr">
        <is>
          <t>미확인</t>
        </is>
      </c>
      <c r="X120" s="22" t="inlineStr">
        <is>
          <t>미확인</t>
        </is>
      </c>
      <c r="Y120" s="22" t="inlineStr">
        <is>
          <t>미확인</t>
        </is>
      </c>
      <c r="Z120" s="22" t="inlineStr">
        <is>
          <t>미확인</t>
        </is>
      </c>
      <c r="AA120" s="22" t="inlineStr">
        <is>
          <t>미확인</t>
        </is>
      </c>
      <c r="AB120" s="22" t="inlineStr">
        <is>
          <t>미확인</t>
        </is>
      </c>
      <c r="AC120" s="22" t="inlineStr">
        <is>
          <t>미확인</t>
        </is>
      </c>
      <c r="AD120" s="22" t="inlineStr">
        <is>
          <t>미확인</t>
        </is>
      </c>
      <c r="AE120" s="22" t="inlineStr">
        <is>
          <t>미확인</t>
        </is>
      </c>
      <c r="AF120" s="22" t="inlineStr">
        <is>
          <t>미확인</t>
        </is>
      </c>
      <c r="AG120" s="22" t="inlineStr">
        <is>
          <t>미확인</t>
        </is>
      </c>
      <c r="AH120" s="22" t="inlineStr">
        <is>
          <t>미확인</t>
        </is>
      </c>
      <c r="AI120" s="22" t="inlineStr">
        <is>
          <t>미확인</t>
        </is>
      </c>
      <c r="AJ120" s="22" t="inlineStr">
        <is>
          <t>미확인</t>
        </is>
      </c>
      <c r="AK120" s="22" t="inlineStr">
        <is>
          <t>미확인</t>
        </is>
      </c>
      <c r="AL120" s="22" t="inlineStr">
        <is>
          <t>미확인</t>
        </is>
      </c>
      <c r="AM120" s="22" t="inlineStr">
        <is>
          <t>미확인</t>
        </is>
      </c>
      <c r="AN120" s="22" t="inlineStr">
        <is>
          <t>미확인</t>
        </is>
      </c>
      <c r="AO120" s="17" t="inlineStr">
        <is>
          <t>C(부분확인)</t>
        </is>
      </c>
      <c r="AP120" s="17" t="inlineStr">
        <is>
          <t>Y</t>
        </is>
      </c>
      <c r="AQ120" s="17" t="n">
        <v>4</v>
      </c>
      <c r="AR120" s="28" t="inlineStr">
        <is>
          <t>Tier D</t>
        </is>
      </c>
      <c r="AS120" s="17" t="inlineStr">
        <is>
          <t>EDMS</t>
        </is>
      </c>
      <c r="AT120" s="17" t="inlineStr">
        <is>
          <t>기본 문서관리 수요</t>
        </is>
      </c>
      <c r="AU120" s="17" t="inlineStr">
        <is>
          <t>담당자 파악 후 접촉</t>
        </is>
      </c>
      <c r="AV120" s="17" t="inlineStr">
        <is>
          <t>GMP적합판정+KRX</t>
        </is>
      </c>
      <c r="AW120" s="17" t="inlineStr">
        <is>
          <t>2026-07-05</t>
        </is>
      </c>
    </row>
    <row r="121">
      <c r="A121" s="17" t="inlineStr">
        <is>
          <t>C120</t>
        </is>
      </c>
      <c r="B121" s="17" t="inlineStr">
        <is>
          <t>다산제약</t>
        </is>
      </c>
      <c r="C121" s="17" t="inlineStr">
        <is>
          <t>(주)다산제약</t>
        </is>
      </c>
      <c r="D121" s="17" t="n">
        <v>3</v>
      </c>
      <c r="E121" s="17" t="n">
        <v>2</v>
      </c>
      <c r="F121" s="17" t="inlineStr">
        <is>
          <t>Y</t>
        </is>
      </c>
      <c r="G121" s="17" t="inlineStr">
        <is>
          <t>Y</t>
        </is>
      </c>
      <c r="H121" s="17" t="inlineStr"/>
      <c r="I121" s="17" t="inlineStr"/>
      <c r="J121" s="24" t="n">
        <v>46328</v>
      </c>
      <c r="K121" s="17" t="inlineStr">
        <is>
          <t>Y</t>
        </is>
      </c>
      <c r="L121" s="17" t="inlineStr"/>
      <c r="M121" s="17" t="inlineStr"/>
      <c r="N121" s="23" t="inlineStr"/>
      <c r="O121" s="17" t="inlineStr"/>
      <c r="P121" s="17" t="inlineStr"/>
      <c r="Q121" s="17" t="inlineStr">
        <is>
          <t>유형선</t>
        </is>
      </c>
      <c r="R121" s="17" t="inlineStr"/>
      <c r="S121" s="17" t="inlineStr"/>
      <c r="T121" s="17" t="inlineStr">
        <is>
          <t>041-543-5311</t>
        </is>
      </c>
      <c r="U121" s="17" t="inlineStr">
        <is>
          <t>제조소상세</t>
        </is>
      </c>
      <c r="V121" s="22" t="inlineStr">
        <is>
          <t>미확인</t>
        </is>
      </c>
      <c r="W121" s="22" t="inlineStr">
        <is>
          <t>미확인</t>
        </is>
      </c>
      <c r="X121" s="22" t="inlineStr">
        <is>
          <t>미확인</t>
        </is>
      </c>
      <c r="Y121" s="22" t="inlineStr">
        <is>
          <t>미확인</t>
        </is>
      </c>
      <c r="Z121" s="22" t="inlineStr">
        <is>
          <t>미확인</t>
        </is>
      </c>
      <c r="AA121" s="22" t="inlineStr">
        <is>
          <t>미확인</t>
        </is>
      </c>
      <c r="AB121" s="22" t="inlineStr">
        <is>
          <t>미확인</t>
        </is>
      </c>
      <c r="AC121" s="22" t="inlineStr">
        <is>
          <t>미확인</t>
        </is>
      </c>
      <c r="AD121" s="22" t="inlineStr">
        <is>
          <t>미확인</t>
        </is>
      </c>
      <c r="AE121" s="22" t="inlineStr">
        <is>
          <t>미확인</t>
        </is>
      </c>
      <c r="AF121" s="22" t="inlineStr">
        <is>
          <t>미확인</t>
        </is>
      </c>
      <c r="AG121" s="22" t="inlineStr">
        <is>
          <t>미확인</t>
        </is>
      </c>
      <c r="AH121" s="22" t="inlineStr">
        <is>
          <t>미확인</t>
        </is>
      </c>
      <c r="AI121" s="22" t="inlineStr">
        <is>
          <t>미확인</t>
        </is>
      </c>
      <c r="AJ121" s="22" t="inlineStr">
        <is>
          <t>미확인</t>
        </is>
      </c>
      <c r="AK121" s="22" t="inlineStr">
        <is>
          <t>미확인</t>
        </is>
      </c>
      <c r="AL121" s="22" t="inlineStr">
        <is>
          <t>미확인</t>
        </is>
      </c>
      <c r="AM121" s="22" t="inlineStr">
        <is>
          <t>미확인</t>
        </is>
      </c>
      <c r="AN121" s="22" t="inlineStr">
        <is>
          <t>미확인</t>
        </is>
      </c>
      <c r="AO121" s="17" t="inlineStr">
        <is>
          <t>C(부분확인)</t>
        </is>
      </c>
      <c r="AP121" s="17" t="inlineStr">
        <is>
          <t>Y</t>
        </is>
      </c>
      <c r="AQ121" s="17" t="n">
        <v>13</v>
      </c>
      <c r="AR121" s="28" t="inlineStr">
        <is>
          <t>Tier D</t>
        </is>
      </c>
      <c r="AS121" s="17" t="inlineStr">
        <is>
          <t>통합형</t>
        </is>
      </c>
      <c r="AT121" s="17" t="inlineStr">
        <is>
          <t>다중 제조소/다수 판정서로 문서관리 복잡; 원료 제조로 시험실 관리 필요</t>
        </is>
      </c>
      <c r="AU121" s="17" t="inlineStr">
        <is>
          <t>담당자 파악 후 접촉</t>
        </is>
      </c>
      <c r="AV121" s="17" t="inlineStr">
        <is>
          <t>GMP적합판정+KRX</t>
        </is>
      </c>
      <c r="AW121" s="17" t="inlineStr">
        <is>
          <t>2026-07-05</t>
        </is>
      </c>
    </row>
    <row r="122">
      <c r="A122" s="17" t="inlineStr">
        <is>
          <t>C121</t>
        </is>
      </c>
      <c r="B122" s="17" t="inlineStr">
        <is>
          <t>킵스바이오파마</t>
        </is>
      </c>
      <c r="C122" s="17" t="inlineStr">
        <is>
          <t>(주)킵스바이오파마</t>
        </is>
      </c>
      <c r="D122" s="17" t="n">
        <v>1</v>
      </c>
      <c r="E122" s="17" t="n">
        <v>1</v>
      </c>
      <c r="F122" s="17" t="inlineStr">
        <is>
          <t>Y</t>
        </is>
      </c>
      <c r="G122" s="17" t="inlineStr"/>
      <c r="H122" s="17" t="inlineStr"/>
      <c r="I122" s="17" t="inlineStr"/>
      <c r="J122" s="24" t="n">
        <v>47031</v>
      </c>
      <c r="K122" s="17" t="inlineStr"/>
      <c r="L122" s="17" t="inlineStr"/>
      <c r="M122" s="17" t="inlineStr"/>
      <c r="N122" s="23" t="inlineStr"/>
      <c r="O122" s="17" t="inlineStr"/>
      <c r="P122" s="17" t="inlineStr"/>
      <c r="Q122" s="17" t="inlineStr">
        <is>
          <t>김하용</t>
        </is>
      </c>
      <c r="R122" s="17" t="inlineStr"/>
      <c r="S122" s="17" t="inlineStr"/>
      <c r="T122" s="17" t="inlineStr">
        <is>
          <t>041-953-9800</t>
        </is>
      </c>
      <c r="U122" s="17" t="inlineStr">
        <is>
          <t>제조소상세</t>
        </is>
      </c>
      <c r="V122" s="22" t="inlineStr">
        <is>
          <t>미확인</t>
        </is>
      </c>
      <c r="W122" s="22" t="inlineStr">
        <is>
          <t>미확인</t>
        </is>
      </c>
      <c r="X122" s="22" t="inlineStr">
        <is>
          <t>미확인</t>
        </is>
      </c>
      <c r="Y122" s="22" t="inlineStr">
        <is>
          <t>미확인</t>
        </is>
      </c>
      <c r="Z122" s="22" t="inlineStr">
        <is>
          <t>미확인</t>
        </is>
      </c>
      <c r="AA122" s="22" t="inlineStr">
        <is>
          <t>미확인</t>
        </is>
      </c>
      <c r="AB122" s="22" t="inlineStr">
        <is>
          <t>미확인</t>
        </is>
      </c>
      <c r="AC122" s="22" t="inlineStr">
        <is>
          <t>미확인</t>
        </is>
      </c>
      <c r="AD122" s="22" t="inlineStr">
        <is>
          <t>미확인</t>
        </is>
      </c>
      <c r="AE122" s="22" t="inlineStr">
        <is>
          <t>미확인</t>
        </is>
      </c>
      <c r="AF122" s="22" t="inlineStr">
        <is>
          <t>미확인</t>
        </is>
      </c>
      <c r="AG122" s="22" t="inlineStr">
        <is>
          <t>미확인</t>
        </is>
      </c>
      <c r="AH122" s="22" t="inlineStr">
        <is>
          <t>미확인</t>
        </is>
      </c>
      <c r="AI122" s="22" t="inlineStr">
        <is>
          <t>미확인</t>
        </is>
      </c>
      <c r="AJ122" s="22" t="inlineStr">
        <is>
          <t>미확인</t>
        </is>
      </c>
      <c r="AK122" s="22" t="inlineStr">
        <is>
          <t>미확인</t>
        </is>
      </c>
      <c r="AL122" s="22" t="inlineStr">
        <is>
          <t>미확인</t>
        </is>
      </c>
      <c r="AM122" s="22" t="inlineStr">
        <is>
          <t>미확인</t>
        </is>
      </c>
      <c r="AN122" s="22" t="inlineStr">
        <is>
          <t>미확인</t>
        </is>
      </c>
      <c r="AO122" s="17" t="inlineStr">
        <is>
          <t>C(부분확인)</t>
        </is>
      </c>
      <c r="AP122" s="17" t="inlineStr">
        <is>
          <t>Y</t>
        </is>
      </c>
      <c r="AQ122" s="17" t="n">
        <v>4</v>
      </c>
      <c r="AR122" s="28" t="inlineStr">
        <is>
          <t>Tier D</t>
        </is>
      </c>
      <c r="AS122" s="17" t="inlineStr">
        <is>
          <t>EDMS</t>
        </is>
      </c>
      <c r="AT122" s="17" t="inlineStr">
        <is>
          <t>기본 문서관리 수요</t>
        </is>
      </c>
      <c r="AU122" s="17" t="inlineStr">
        <is>
          <t>담당자 파악 후 접촉</t>
        </is>
      </c>
      <c r="AV122" s="17" t="inlineStr">
        <is>
          <t>GMP적합판정+KRX</t>
        </is>
      </c>
      <c r="AW122" s="17" t="inlineStr">
        <is>
          <t>2026-07-05</t>
        </is>
      </c>
    </row>
    <row r="123">
      <c r="A123" s="17" t="inlineStr">
        <is>
          <t>C122</t>
        </is>
      </c>
      <c r="B123" s="17" t="inlineStr">
        <is>
          <t>제일헬스사이언스</t>
        </is>
      </c>
      <c r="C123" s="17" t="inlineStr">
        <is>
          <t>제일헬스사이언스(주)</t>
        </is>
      </c>
      <c r="D123" s="17" t="n">
        <v>1</v>
      </c>
      <c r="E123" s="17" t="n">
        <v>1</v>
      </c>
      <c r="F123" s="17" t="inlineStr">
        <is>
          <t>Y</t>
        </is>
      </c>
      <c r="G123" s="17" t="inlineStr"/>
      <c r="H123" s="17" t="inlineStr"/>
      <c r="I123" s="17" t="inlineStr"/>
      <c r="J123" s="24" t="n">
        <v>47031</v>
      </c>
      <c r="K123" s="17" t="inlineStr"/>
      <c r="L123" s="17" t="inlineStr"/>
      <c r="M123" s="17" t="inlineStr"/>
      <c r="N123" s="23" t="inlineStr"/>
      <c r="O123" s="17" t="inlineStr"/>
      <c r="P123" s="17" t="inlineStr"/>
      <c r="Q123" s="17" t="inlineStr">
        <is>
          <t>한상철</t>
        </is>
      </c>
      <c r="R123" s="17" t="inlineStr"/>
      <c r="S123" s="17" t="inlineStr"/>
      <c r="T123" s="17" t="inlineStr">
        <is>
          <t>02-549-7451</t>
        </is>
      </c>
      <c r="U123" s="17" t="inlineStr">
        <is>
          <t>제조소상세</t>
        </is>
      </c>
      <c r="V123" s="22" t="inlineStr">
        <is>
          <t>미확인</t>
        </is>
      </c>
      <c r="W123" s="22" t="inlineStr">
        <is>
          <t>미확인</t>
        </is>
      </c>
      <c r="X123" s="22" t="inlineStr">
        <is>
          <t>미확인</t>
        </is>
      </c>
      <c r="Y123" s="22" t="inlineStr">
        <is>
          <t>미확인</t>
        </is>
      </c>
      <c r="Z123" s="22" t="inlineStr">
        <is>
          <t>미확인</t>
        </is>
      </c>
      <c r="AA123" s="22" t="inlineStr">
        <is>
          <t>미확인</t>
        </is>
      </c>
      <c r="AB123" s="22" t="inlineStr">
        <is>
          <t>미확인</t>
        </is>
      </c>
      <c r="AC123" s="22" t="inlineStr">
        <is>
          <t>미확인</t>
        </is>
      </c>
      <c r="AD123" s="22" t="inlineStr">
        <is>
          <t>미확인</t>
        </is>
      </c>
      <c r="AE123" s="22" t="inlineStr">
        <is>
          <t>미확인</t>
        </is>
      </c>
      <c r="AF123" s="22" t="inlineStr">
        <is>
          <t>미확인</t>
        </is>
      </c>
      <c r="AG123" s="22" t="inlineStr">
        <is>
          <t>미확인</t>
        </is>
      </c>
      <c r="AH123" s="22" t="inlineStr">
        <is>
          <t>미확인</t>
        </is>
      </c>
      <c r="AI123" s="22" t="inlineStr">
        <is>
          <t>미확인</t>
        </is>
      </c>
      <c r="AJ123" s="22" t="inlineStr">
        <is>
          <t>미확인</t>
        </is>
      </c>
      <c r="AK123" s="22" t="inlineStr">
        <is>
          <t>미확인</t>
        </is>
      </c>
      <c r="AL123" s="22" t="inlineStr">
        <is>
          <t>미확인</t>
        </is>
      </c>
      <c r="AM123" s="22" t="inlineStr">
        <is>
          <t>미확인</t>
        </is>
      </c>
      <c r="AN123" s="22" t="inlineStr">
        <is>
          <t>미확인</t>
        </is>
      </c>
      <c r="AO123" s="17" t="inlineStr">
        <is>
          <t>C(부분확인)</t>
        </is>
      </c>
      <c r="AP123" s="17" t="inlineStr">
        <is>
          <t>Y</t>
        </is>
      </c>
      <c r="AQ123" s="17" t="n">
        <v>4</v>
      </c>
      <c r="AR123" s="28" t="inlineStr">
        <is>
          <t>Tier D</t>
        </is>
      </c>
      <c r="AS123" s="17" t="inlineStr">
        <is>
          <t>EDMS</t>
        </is>
      </c>
      <c r="AT123" s="17" t="inlineStr">
        <is>
          <t>기본 문서관리 수요</t>
        </is>
      </c>
      <c r="AU123" s="17" t="inlineStr">
        <is>
          <t>담당자 파악 후 접촉</t>
        </is>
      </c>
      <c r="AV123" s="17" t="inlineStr">
        <is>
          <t>GMP적합판정+KRX</t>
        </is>
      </c>
      <c r="AW123" s="17" t="inlineStr">
        <is>
          <t>2026-07-05</t>
        </is>
      </c>
    </row>
    <row r="124">
      <c r="A124" s="17" t="inlineStr">
        <is>
          <t>C123</t>
        </is>
      </c>
      <c r="B124" s="17" t="inlineStr">
        <is>
          <t>일양약품</t>
        </is>
      </c>
      <c r="C124" s="17" t="inlineStr">
        <is>
          <t>일양약품(주)</t>
        </is>
      </c>
      <c r="D124" s="17" t="n">
        <v>3</v>
      </c>
      <c r="E124" s="17" t="n">
        <v>2</v>
      </c>
      <c r="F124" s="17" t="inlineStr">
        <is>
          <t>Y</t>
        </is>
      </c>
      <c r="G124" s="17" t="inlineStr">
        <is>
          <t>Y</t>
        </is>
      </c>
      <c r="H124" s="17" t="inlineStr"/>
      <c r="I124" s="17" t="inlineStr">
        <is>
          <t>Y</t>
        </is>
      </c>
      <c r="J124" s="24" t="n">
        <v>46683</v>
      </c>
      <c r="K124" s="17" t="inlineStr"/>
      <c r="L124" s="17" t="inlineStr">
        <is>
          <t>Y</t>
        </is>
      </c>
      <c r="M124" s="17" t="inlineStr">
        <is>
          <t>유가</t>
        </is>
      </c>
      <c r="N124" s="23" t="inlineStr">
        <is>
          <t>007570</t>
        </is>
      </c>
      <c r="O124" s="17" t="inlineStr">
        <is>
          <t>의약품 제조업</t>
        </is>
      </c>
      <c r="P124" s="17" t="inlineStr">
        <is>
          <t>일반의약품(원비디,영비천,아진탈,디세텔,노루모산),항암제(베타-이뮤난),전문의약품 제조,판매,수출입</t>
        </is>
      </c>
      <c r="Q124" s="17" t="inlineStr">
        <is>
          <t>정유석</t>
        </is>
      </c>
      <c r="R124" s="17" t="inlineStr">
        <is>
          <t>http://www.ilyang.co.kr</t>
        </is>
      </c>
      <c r="S124" s="17" t="inlineStr">
        <is>
          <t>경기도</t>
        </is>
      </c>
      <c r="T124" s="17" t="inlineStr">
        <is>
          <t>031-281-7851</t>
        </is>
      </c>
      <c r="U124" s="17" t="inlineStr">
        <is>
          <t>제조소상세</t>
        </is>
      </c>
      <c r="V124" s="22" t="inlineStr">
        <is>
          <t>미확인</t>
        </is>
      </c>
      <c r="W124" s="22" t="inlineStr">
        <is>
          <t>미확인</t>
        </is>
      </c>
      <c r="X124" s="22" t="inlineStr">
        <is>
          <t>미확인</t>
        </is>
      </c>
      <c r="Y124" s="22" t="inlineStr">
        <is>
          <t>미확인</t>
        </is>
      </c>
      <c r="Z124" s="22" t="inlineStr">
        <is>
          <t>미확인</t>
        </is>
      </c>
      <c r="AA124" s="22" t="inlineStr">
        <is>
          <t>미확인</t>
        </is>
      </c>
      <c r="AB124" s="22" t="inlineStr">
        <is>
          <t>미확인</t>
        </is>
      </c>
      <c r="AC124" s="22" t="inlineStr">
        <is>
          <t>미확인</t>
        </is>
      </c>
      <c r="AD124" s="22" t="inlineStr">
        <is>
          <t>미확인</t>
        </is>
      </c>
      <c r="AE124" s="22" t="inlineStr">
        <is>
          <t>미확인</t>
        </is>
      </c>
      <c r="AF124" s="22" t="inlineStr">
        <is>
          <t>미확인</t>
        </is>
      </c>
      <c r="AG124" s="22" t="inlineStr">
        <is>
          <t>미확인</t>
        </is>
      </c>
      <c r="AH124" s="22" t="inlineStr">
        <is>
          <t>미확인</t>
        </is>
      </c>
      <c r="AI124" s="22" t="inlineStr">
        <is>
          <t>미확인</t>
        </is>
      </c>
      <c r="AJ124" s="22" t="inlineStr">
        <is>
          <t>미확인</t>
        </is>
      </c>
      <c r="AK124" s="22" t="inlineStr">
        <is>
          <t>미확인</t>
        </is>
      </c>
      <c r="AL124" s="22" t="inlineStr">
        <is>
          <t>미확인</t>
        </is>
      </c>
      <c r="AM124" s="22" t="inlineStr">
        <is>
          <t>미확인</t>
        </is>
      </c>
      <c r="AN124" s="22" t="inlineStr">
        <is>
          <t>미확인</t>
        </is>
      </c>
      <c r="AO124" s="17" t="inlineStr">
        <is>
          <t>C(부분확인)</t>
        </is>
      </c>
      <c r="AP124" s="17" t="inlineStr">
        <is>
          <t>Y</t>
        </is>
      </c>
      <c r="AQ124" s="17" t="n">
        <v>18</v>
      </c>
      <c r="AR124" s="28" t="inlineStr">
        <is>
          <t>Tier D</t>
        </is>
      </c>
      <c r="AS124" s="17" t="inlineStr">
        <is>
          <t>통합형</t>
        </is>
      </c>
      <c r="AT124" s="17" t="inlineStr">
        <is>
          <t>다중 제조소/다수 판정서로 문서관리 복잡; 무균/바이오 제조로 품질관리 난도 높음</t>
        </is>
      </c>
      <c r="AU124" s="17" t="inlineStr">
        <is>
          <t>담당자 파악 후 접촉</t>
        </is>
      </c>
      <c r="AV124" s="17" t="inlineStr">
        <is>
          <t>GMP적합판정+KRX</t>
        </is>
      </c>
      <c r="AW124" s="17" t="inlineStr">
        <is>
          <t>2026-07-05</t>
        </is>
      </c>
    </row>
    <row r="125">
      <c r="A125" s="17" t="inlineStr">
        <is>
          <t>C124</t>
        </is>
      </c>
      <c r="B125" s="17" t="inlineStr">
        <is>
          <t>한독</t>
        </is>
      </c>
      <c r="C125" s="17" t="inlineStr">
        <is>
          <t>(주)한독</t>
        </is>
      </c>
      <c r="D125" s="17" t="n">
        <v>1</v>
      </c>
      <c r="E125" s="17" t="n">
        <v>1</v>
      </c>
      <c r="F125" s="17" t="inlineStr">
        <is>
          <t>Y</t>
        </is>
      </c>
      <c r="G125" s="17" t="inlineStr"/>
      <c r="H125" s="17" t="inlineStr"/>
      <c r="I125" s="17" t="inlineStr"/>
      <c r="J125" s="24" t="n">
        <v>47025</v>
      </c>
      <c r="K125" s="17" t="inlineStr"/>
      <c r="L125" s="17" t="inlineStr">
        <is>
          <t>Y</t>
        </is>
      </c>
      <c r="M125" s="17" t="inlineStr">
        <is>
          <t>유가</t>
        </is>
      </c>
      <c r="N125" s="23" t="inlineStr">
        <is>
          <t>002390</t>
        </is>
      </c>
      <c r="O125" s="17" t="inlineStr">
        <is>
          <t>의약품 제조업</t>
        </is>
      </c>
      <c r="P125" s="17" t="inlineStr">
        <is>
          <t>의약품(소화제,크라포란,라식스)제조,도매,부동산 임대</t>
        </is>
      </c>
      <c r="Q125" s="17" t="inlineStr">
        <is>
          <t>김영진, 백진기</t>
        </is>
      </c>
      <c r="R125" s="17" t="inlineStr">
        <is>
          <t>http://www.handok.co.kr</t>
        </is>
      </c>
      <c r="S125" s="17" t="inlineStr">
        <is>
          <t>서울특별시</t>
        </is>
      </c>
      <c r="T125" s="17" t="inlineStr">
        <is>
          <t>02-537-5331</t>
        </is>
      </c>
      <c r="U125" s="17" t="inlineStr">
        <is>
          <t>제조소상세</t>
        </is>
      </c>
      <c r="V125" s="22" t="inlineStr">
        <is>
          <t>미확인</t>
        </is>
      </c>
      <c r="W125" s="22" t="inlineStr">
        <is>
          <t>미확인</t>
        </is>
      </c>
      <c r="X125" s="22" t="inlineStr">
        <is>
          <t>미확인</t>
        </is>
      </c>
      <c r="Y125" s="22" t="inlineStr">
        <is>
          <t>미확인</t>
        </is>
      </c>
      <c r="Z125" s="22" t="inlineStr">
        <is>
          <t>미확인</t>
        </is>
      </c>
      <c r="AA125" s="22" t="inlineStr">
        <is>
          <t>미확인</t>
        </is>
      </c>
      <c r="AB125" s="22" t="inlineStr">
        <is>
          <t>미확인</t>
        </is>
      </c>
      <c r="AC125" s="22" t="inlineStr">
        <is>
          <t>미확인</t>
        </is>
      </c>
      <c r="AD125" s="22" t="inlineStr">
        <is>
          <t>미확인</t>
        </is>
      </c>
      <c r="AE125" s="22" t="inlineStr">
        <is>
          <t>미확인</t>
        </is>
      </c>
      <c r="AF125" s="22" t="inlineStr">
        <is>
          <t>미확인</t>
        </is>
      </c>
      <c r="AG125" s="22" t="inlineStr">
        <is>
          <t>미확인</t>
        </is>
      </c>
      <c r="AH125" s="22" t="inlineStr">
        <is>
          <t>미확인</t>
        </is>
      </c>
      <c r="AI125" s="22" t="inlineStr">
        <is>
          <t>미확인</t>
        </is>
      </c>
      <c r="AJ125" s="22" t="inlineStr">
        <is>
          <t>미확인</t>
        </is>
      </c>
      <c r="AK125" s="22" t="inlineStr">
        <is>
          <t>미확인</t>
        </is>
      </c>
      <c r="AL125" s="22" t="inlineStr">
        <is>
          <t>미확인</t>
        </is>
      </c>
      <c r="AM125" s="22" t="inlineStr">
        <is>
          <t>미확인</t>
        </is>
      </c>
      <c r="AN125" s="22" t="inlineStr">
        <is>
          <t>미확인</t>
        </is>
      </c>
      <c r="AO125" s="17" t="inlineStr">
        <is>
          <t>C(부분확인)</t>
        </is>
      </c>
      <c r="AP125" s="17" t="inlineStr">
        <is>
          <t>Y</t>
        </is>
      </c>
      <c r="AQ125" s="17" t="n">
        <v>7</v>
      </c>
      <c r="AR125" s="28" t="inlineStr">
        <is>
          <t>Tier D</t>
        </is>
      </c>
      <c r="AS125" s="17" t="inlineStr">
        <is>
          <t>EDMS</t>
        </is>
      </c>
      <c r="AT125" s="17" t="inlineStr">
        <is>
          <t>기본 문서관리 수요</t>
        </is>
      </c>
      <c r="AU125" s="17" t="inlineStr">
        <is>
          <t>담당자 파악 후 접촉</t>
        </is>
      </c>
      <c r="AV125" s="17" t="inlineStr">
        <is>
          <t>GMP적합판정+KRX</t>
        </is>
      </c>
      <c r="AW125" s="17" t="inlineStr">
        <is>
          <t>2026-07-05</t>
        </is>
      </c>
    </row>
    <row r="126">
      <c r="A126" s="17" t="inlineStr">
        <is>
          <t>C125</t>
        </is>
      </c>
      <c r="B126" s="17" t="inlineStr">
        <is>
          <t>신양메디슨</t>
        </is>
      </c>
      <c r="C126" s="17" t="inlineStr">
        <is>
          <t>신양메디슨(주)</t>
        </is>
      </c>
      <c r="D126" s="17" t="n">
        <v>1</v>
      </c>
      <c r="E126" s="17" t="n">
        <v>1</v>
      </c>
      <c r="F126" s="17" t="inlineStr">
        <is>
          <t>Y</t>
        </is>
      </c>
      <c r="G126" s="17" t="inlineStr"/>
      <c r="H126" s="17" t="inlineStr"/>
      <c r="I126" s="17" t="inlineStr"/>
      <c r="J126" s="24" t="n">
        <v>47024</v>
      </c>
      <c r="K126" s="17" t="inlineStr"/>
      <c r="L126" s="17" t="inlineStr"/>
      <c r="M126" s="17" t="inlineStr"/>
      <c r="N126" s="23" t="inlineStr"/>
      <c r="O126" s="17" t="inlineStr"/>
      <c r="P126" s="17" t="inlineStr"/>
      <c r="Q126" s="17" t="inlineStr">
        <is>
          <t>김종민</t>
        </is>
      </c>
      <c r="R126" s="17" t="inlineStr"/>
      <c r="S126" s="17" t="inlineStr"/>
      <c r="T126" s="17" t="inlineStr">
        <is>
          <t>031-336-1101</t>
        </is>
      </c>
      <c r="U126" s="17" t="inlineStr">
        <is>
          <t>제조소상세</t>
        </is>
      </c>
      <c r="V126" s="22" t="inlineStr">
        <is>
          <t>미확인</t>
        </is>
      </c>
      <c r="W126" s="22" t="inlineStr">
        <is>
          <t>미확인</t>
        </is>
      </c>
      <c r="X126" s="22" t="inlineStr">
        <is>
          <t>미확인</t>
        </is>
      </c>
      <c r="Y126" s="22" t="inlineStr">
        <is>
          <t>미확인</t>
        </is>
      </c>
      <c r="Z126" s="22" t="inlineStr">
        <is>
          <t>미확인</t>
        </is>
      </c>
      <c r="AA126" s="22" t="inlineStr">
        <is>
          <t>미확인</t>
        </is>
      </c>
      <c r="AB126" s="22" t="inlineStr">
        <is>
          <t>미확인</t>
        </is>
      </c>
      <c r="AC126" s="22" t="inlineStr">
        <is>
          <t>미확인</t>
        </is>
      </c>
      <c r="AD126" s="22" t="inlineStr">
        <is>
          <t>미확인</t>
        </is>
      </c>
      <c r="AE126" s="22" t="inlineStr">
        <is>
          <t>미확인</t>
        </is>
      </c>
      <c r="AF126" s="22" t="inlineStr">
        <is>
          <t>미확인</t>
        </is>
      </c>
      <c r="AG126" s="22" t="inlineStr">
        <is>
          <t>미확인</t>
        </is>
      </c>
      <c r="AH126" s="22" t="inlineStr">
        <is>
          <t>미확인</t>
        </is>
      </c>
      <c r="AI126" s="22" t="inlineStr">
        <is>
          <t>미확인</t>
        </is>
      </c>
      <c r="AJ126" s="22" t="inlineStr">
        <is>
          <t>미확인</t>
        </is>
      </c>
      <c r="AK126" s="22" t="inlineStr">
        <is>
          <t>미확인</t>
        </is>
      </c>
      <c r="AL126" s="22" t="inlineStr">
        <is>
          <t>미확인</t>
        </is>
      </c>
      <c r="AM126" s="22" t="inlineStr">
        <is>
          <t>미확인</t>
        </is>
      </c>
      <c r="AN126" s="22" t="inlineStr">
        <is>
          <t>미확인</t>
        </is>
      </c>
      <c r="AO126" s="17" t="inlineStr">
        <is>
          <t>C(부분확인)</t>
        </is>
      </c>
      <c r="AP126" s="17" t="inlineStr">
        <is>
          <t>Y</t>
        </is>
      </c>
      <c r="AQ126" s="17" t="n">
        <v>4</v>
      </c>
      <c r="AR126" s="28" t="inlineStr">
        <is>
          <t>Tier D</t>
        </is>
      </c>
      <c r="AS126" s="17" t="inlineStr">
        <is>
          <t>EDMS</t>
        </is>
      </c>
      <c r="AT126" s="17" t="inlineStr">
        <is>
          <t>기본 문서관리 수요</t>
        </is>
      </c>
      <c r="AU126" s="17" t="inlineStr">
        <is>
          <t>담당자 파악 후 접촉</t>
        </is>
      </c>
      <c r="AV126" s="17" t="inlineStr">
        <is>
          <t>GMP적합판정+KRX</t>
        </is>
      </c>
      <c r="AW126" s="17" t="inlineStr">
        <is>
          <t>2026-07-05</t>
        </is>
      </c>
    </row>
    <row r="127">
      <c r="A127" s="17" t="inlineStr">
        <is>
          <t>C126</t>
        </is>
      </c>
      <c r="B127" s="17" t="inlineStr">
        <is>
          <t>하나제약</t>
        </is>
      </c>
      <c r="C127" s="17" t="inlineStr">
        <is>
          <t>하나제약(주)</t>
        </is>
      </c>
      <c r="D127" s="17" t="n">
        <v>3</v>
      </c>
      <c r="E127" s="17" t="n">
        <v>2</v>
      </c>
      <c r="F127" s="17" t="inlineStr">
        <is>
          <t>Y</t>
        </is>
      </c>
      <c r="G127" s="17" t="inlineStr">
        <is>
          <t>Y</t>
        </is>
      </c>
      <c r="H127" s="17" t="inlineStr">
        <is>
          <t>Y</t>
        </is>
      </c>
      <c r="I127" s="17" t="inlineStr"/>
      <c r="J127" s="24" t="n">
        <v>46842</v>
      </c>
      <c r="K127" s="17" t="inlineStr"/>
      <c r="L127" s="17" t="inlineStr">
        <is>
          <t>Y</t>
        </is>
      </c>
      <c r="M127" s="17" t="inlineStr">
        <is>
          <t>유가</t>
        </is>
      </c>
      <c r="N127" s="23" t="inlineStr">
        <is>
          <t>293480</t>
        </is>
      </c>
      <c r="O127" s="17" t="inlineStr">
        <is>
          <t>의약품 제조업</t>
        </is>
      </c>
      <c r="P127" s="17" t="inlineStr">
        <is>
          <t>완제의약품</t>
        </is>
      </c>
      <c r="Q127" s="17" t="inlineStr">
        <is>
          <t>최태홍</t>
        </is>
      </c>
      <c r="R127" s="17" t="inlineStr">
        <is>
          <t>http://www.hanaph.co.kr</t>
        </is>
      </c>
      <c r="S127" s="17" t="inlineStr">
        <is>
          <t>경기도</t>
        </is>
      </c>
      <c r="T127" s="17" t="inlineStr">
        <is>
          <t>031-366-5511</t>
        </is>
      </c>
      <c r="U127" s="17" t="inlineStr">
        <is>
          <t>제조소상세</t>
        </is>
      </c>
      <c r="V127" s="22" t="inlineStr">
        <is>
          <t>미확인</t>
        </is>
      </c>
      <c r="W127" s="22" t="inlineStr">
        <is>
          <t>미확인</t>
        </is>
      </c>
      <c r="X127" s="22" t="inlineStr">
        <is>
          <t>미확인</t>
        </is>
      </c>
      <c r="Y127" s="22" t="inlineStr">
        <is>
          <t>미확인</t>
        </is>
      </c>
      <c r="Z127" s="22" t="inlineStr">
        <is>
          <t>미확인</t>
        </is>
      </c>
      <c r="AA127" s="22" t="inlineStr">
        <is>
          <t>미확인</t>
        </is>
      </c>
      <c r="AB127" s="22" t="inlineStr">
        <is>
          <t>미확인</t>
        </is>
      </c>
      <c r="AC127" s="22" t="inlineStr">
        <is>
          <t>미확인</t>
        </is>
      </c>
      <c r="AD127" s="22" t="inlineStr">
        <is>
          <t>미확인</t>
        </is>
      </c>
      <c r="AE127" s="22" t="inlineStr">
        <is>
          <t>미확인</t>
        </is>
      </c>
      <c r="AF127" s="22" t="inlineStr">
        <is>
          <t>미확인</t>
        </is>
      </c>
      <c r="AG127" s="22" t="inlineStr">
        <is>
          <t>미확인</t>
        </is>
      </c>
      <c r="AH127" s="22" t="inlineStr">
        <is>
          <t>미확인</t>
        </is>
      </c>
      <c r="AI127" s="22" t="inlineStr">
        <is>
          <t>미확인</t>
        </is>
      </c>
      <c r="AJ127" s="22" t="inlineStr">
        <is>
          <t>미확인</t>
        </is>
      </c>
      <c r="AK127" s="22" t="inlineStr">
        <is>
          <t>미확인</t>
        </is>
      </c>
      <c r="AL127" s="22" t="inlineStr">
        <is>
          <t>미확인</t>
        </is>
      </c>
      <c r="AM127" s="22" t="inlineStr">
        <is>
          <t>미확인</t>
        </is>
      </c>
      <c r="AN127" s="22" t="inlineStr">
        <is>
          <t>미확인</t>
        </is>
      </c>
      <c r="AO127" s="17" t="inlineStr">
        <is>
          <t>C(부분확인)</t>
        </is>
      </c>
      <c r="AP127" s="17" t="inlineStr">
        <is>
          <t>Y</t>
        </is>
      </c>
      <c r="AQ127" s="17" t="n">
        <v>19</v>
      </c>
      <c r="AR127" s="28" t="inlineStr">
        <is>
          <t>Tier D</t>
        </is>
      </c>
      <c r="AS127" s="17" t="inlineStr">
        <is>
          <t>통합형</t>
        </is>
      </c>
      <c r="AT127" s="17" t="inlineStr">
        <is>
          <t>다중 제조소/다수 판정서로 문서관리 복잡; 무균/바이오 제조로 품질관리 난도 높음</t>
        </is>
      </c>
      <c r="AU127" s="17" t="inlineStr">
        <is>
          <t>담당자 파악 후 접촉</t>
        </is>
      </c>
      <c r="AV127" s="17" t="inlineStr">
        <is>
          <t>GMP적합판정+KRX</t>
        </is>
      </c>
      <c r="AW127" s="17" t="inlineStr">
        <is>
          <t>2026-07-05</t>
        </is>
      </c>
    </row>
    <row r="128">
      <c r="A128" s="17" t="inlineStr">
        <is>
          <t>C127</t>
        </is>
      </c>
      <c r="B128" s="17" t="inlineStr">
        <is>
          <t>맥널티제약</t>
        </is>
      </c>
      <c r="C128" s="17" t="inlineStr">
        <is>
          <t>맥널티제약(주)</t>
        </is>
      </c>
      <c r="D128" s="17" t="n">
        <v>1</v>
      </c>
      <c r="E128" s="17" t="n">
        <v>1</v>
      </c>
      <c r="F128" s="17" t="inlineStr">
        <is>
          <t>Y</t>
        </is>
      </c>
      <c r="G128" s="17" t="inlineStr"/>
      <c r="H128" s="17" t="inlineStr"/>
      <c r="I128" s="17" t="inlineStr"/>
      <c r="J128" s="24" t="n">
        <v>47018</v>
      </c>
      <c r="K128" s="17" t="inlineStr"/>
      <c r="L128" s="17" t="inlineStr"/>
      <c r="M128" s="17" t="inlineStr"/>
      <c r="N128" s="23" t="inlineStr"/>
      <c r="O128" s="17" t="inlineStr"/>
      <c r="P128" s="17" t="inlineStr"/>
      <c r="Q128" s="17" t="inlineStr">
        <is>
          <t>이은정</t>
        </is>
      </c>
      <c r="R128" s="17" t="inlineStr"/>
      <c r="S128" s="17" t="inlineStr"/>
      <c r="T128" s="17" t="inlineStr">
        <is>
          <t>031-378-1460</t>
        </is>
      </c>
      <c r="U128" s="17" t="inlineStr">
        <is>
          <t>제조소상세</t>
        </is>
      </c>
      <c r="V128" s="22" t="inlineStr">
        <is>
          <t>미확인</t>
        </is>
      </c>
      <c r="W128" s="22" t="inlineStr">
        <is>
          <t>미확인</t>
        </is>
      </c>
      <c r="X128" s="22" t="inlineStr">
        <is>
          <t>미확인</t>
        </is>
      </c>
      <c r="Y128" s="22" t="inlineStr">
        <is>
          <t>미확인</t>
        </is>
      </c>
      <c r="Z128" s="22" t="inlineStr">
        <is>
          <t>미확인</t>
        </is>
      </c>
      <c r="AA128" s="22" t="inlineStr">
        <is>
          <t>미확인</t>
        </is>
      </c>
      <c r="AB128" s="22" t="inlineStr">
        <is>
          <t>미확인</t>
        </is>
      </c>
      <c r="AC128" s="22" t="inlineStr">
        <is>
          <t>미확인</t>
        </is>
      </c>
      <c r="AD128" s="22" t="inlineStr">
        <is>
          <t>미확인</t>
        </is>
      </c>
      <c r="AE128" s="22" t="inlineStr">
        <is>
          <t>미확인</t>
        </is>
      </c>
      <c r="AF128" s="22" t="inlineStr">
        <is>
          <t>미확인</t>
        </is>
      </c>
      <c r="AG128" s="22" t="inlineStr">
        <is>
          <t>미확인</t>
        </is>
      </c>
      <c r="AH128" s="22" t="inlineStr">
        <is>
          <t>미확인</t>
        </is>
      </c>
      <c r="AI128" s="22" t="inlineStr">
        <is>
          <t>미확인</t>
        </is>
      </c>
      <c r="AJ128" s="22" t="inlineStr">
        <is>
          <t>미확인</t>
        </is>
      </c>
      <c r="AK128" s="22" t="inlineStr">
        <is>
          <t>미확인</t>
        </is>
      </c>
      <c r="AL128" s="22" t="inlineStr">
        <is>
          <t>미확인</t>
        </is>
      </c>
      <c r="AM128" s="22" t="inlineStr">
        <is>
          <t>미확인</t>
        </is>
      </c>
      <c r="AN128" s="22" t="inlineStr">
        <is>
          <t>미확인</t>
        </is>
      </c>
      <c r="AO128" s="17" t="inlineStr">
        <is>
          <t>C(부분확인)</t>
        </is>
      </c>
      <c r="AP128" s="17" t="inlineStr">
        <is>
          <t>Y</t>
        </is>
      </c>
      <c r="AQ128" s="17" t="n">
        <v>4</v>
      </c>
      <c r="AR128" s="28" t="inlineStr">
        <is>
          <t>Tier D</t>
        </is>
      </c>
      <c r="AS128" s="17" t="inlineStr">
        <is>
          <t>EDMS</t>
        </is>
      </c>
      <c r="AT128" s="17" t="inlineStr">
        <is>
          <t>기본 문서관리 수요</t>
        </is>
      </c>
      <c r="AU128" s="17" t="inlineStr">
        <is>
          <t>담당자 파악 후 접촉</t>
        </is>
      </c>
      <c r="AV128" s="17" t="inlineStr">
        <is>
          <t>GMP적합판정+KRX</t>
        </is>
      </c>
      <c r="AW128" s="17" t="inlineStr">
        <is>
          <t>2026-07-05</t>
        </is>
      </c>
    </row>
    <row r="129">
      <c r="A129" s="17" t="inlineStr">
        <is>
          <t>C128</t>
        </is>
      </c>
      <c r="B129" s="17" t="inlineStr">
        <is>
          <t>대한특수가스</t>
        </is>
      </c>
      <c r="C129" s="17" t="inlineStr">
        <is>
          <t>(주)대한특수가스</t>
        </is>
      </c>
      <c r="D129" s="17" t="n">
        <v>1</v>
      </c>
      <c r="E129" s="17" t="n">
        <v>1</v>
      </c>
      <c r="F129" s="17" t="inlineStr">
        <is>
          <t>Y</t>
        </is>
      </c>
      <c r="G129" s="17" t="inlineStr"/>
      <c r="H129" s="17" t="inlineStr"/>
      <c r="I129" s="17" t="inlineStr"/>
      <c r="J129" s="24" t="n">
        <v>47017</v>
      </c>
      <c r="K129" s="17" t="inlineStr"/>
      <c r="L129" s="17" t="inlineStr"/>
      <c r="M129" s="17" t="inlineStr"/>
      <c r="N129" s="23" t="inlineStr"/>
      <c r="O129" s="17" t="inlineStr"/>
      <c r="P129" s="17" t="inlineStr"/>
      <c r="Q129" s="17" t="inlineStr">
        <is>
          <t>김호성</t>
        </is>
      </c>
      <c r="R129" s="17" t="inlineStr"/>
      <c r="S129" s="17" t="inlineStr"/>
      <c r="T129" s="17" t="inlineStr">
        <is>
          <t>02-3663-2825</t>
        </is>
      </c>
      <c r="U129" s="17" t="inlineStr">
        <is>
          <t>제조소상세</t>
        </is>
      </c>
      <c r="V129" s="22" t="inlineStr">
        <is>
          <t>미확인</t>
        </is>
      </c>
      <c r="W129" s="22" t="inlineStr">
        <is>
          <t>미확인</t>
        </is>
      </c>
      <c r="X129" s="22" t="inlineStr">
        <is>
          <t>미확인</t>
        </is>
      </c>
      <c r="Y129" s="22" t="inlineStr">
        <is>
          <t>미확인</t>
        </is>
      </c>
      <c r="Z129" s="22" t="inlineStr">
        <is>
          <t>미확인</t>
        </is>
      </c>
      <c r="AA129" s="22" t="inlineStr">
        <is>
          <t>미확인</t>
        </is>
      </c>
      <c r="AB129" s="22" t="inlineStr">
        <is>
          <t>미확인</t>
        </is>
      </c>
      <c r="AC129" s="22" t="inlineStr">
        <is>
          <t>미확인</t>
        </is>
      </c>
      <c r="AD129" s="22" t="inlineStr">
        <is>
          <t>미확인</t>
        </is>
      </c>
      <c r="AE129" s="22" t="inlineStr">
        <is>
          <t>미확인</t>
        </is>
      </c>
      <c r="AF129" s="22" t="inlineStr">
        <is>
          <t>미확인</t>
        </is>
      </c>
      <c r="AG129" s="22" t="inlineStr">
        <is>
          <t>미확인</t>
        </is>
      </c>
      <c r="AH129" s="22" t="inlineStr">
        <is>
          <t>미확인</t>
        </is>
      </c>
      <c r="AI129" s="22" t="inlineStr">
        <is>
          <t>미확인</t>
        </is>
      </c>
      <c r="AJ129" s="22" t="inlineStr">
        <is>
          <t>미확인</t>
        </is>
      </c>
      <c r="AK129" s="22" t="inlineStr">
        <is>
          <t>미확인</t>
        </is>
      </c>
      <c r="AL129" s="22" t="inlineStr">
        <is>
          <t>미확인</t>
        </is>
      </c>
      <c r="AM129" s="22" t="inlineStr">
        <is>
          <t>미확인</t>
        </is>
      </c>
      <c r="AN129" s="22" t="inlineStr">
        <is>
          <t>미확인</t>
        </is>
      </c>
      <c r="AO129" s="17" t="inlineStr">
        <is>
          <t>C(부분확인)</t>
        </is>
      </c>
      <c r="AP129" s="17" t="inlineStr">
        <is>
          <t>Y</t>
        </is>
      </c>
      <c r="AQ129" s="17" t="n">
        <v>4</v>
      </c>
      <c r="AR129" s="28" t="inlineStr">
        <is>
          <t>Tier D</t>
        </is>
      </c>
      <c r="AS129" s="17" t="inlineStr">
        <is>
          <t>EDMS</t>
        </is>
      </c>
      <c r="AT129" s="17" t="inlineStr">
        <is>
          <t>기본 문서관리 수요</t>
        </is>
      </c>
      <c r="AU129" s="17" t="inlineStr">
        <is>
          <t>담당자 파악 후 접촉</t>
        </is>
      </c>
      <c r="AV129" s="17" t="inlineStr">
        <is>
          <t>GMP적합판정+KRX</t>
        </is>
      </c>
      <c r="AW129" s="17" t="inlineStr">
        <is>
          <t>2026-07-05</t>
        </is>
      </c>
    </row>
    <row r="130">
      <c r="A130" s="17" t="inlineStr">
        <is>
          <t>C129</t>
        </is>
      </c>
      <c r="B130" s="17" t="inlineStr">
        <is>
          <t>에스케이바이오텍</t>
        </is>
      </c>
      <c r="C130" s="17" t="inlineStr">
        <is>
          <t>에스케이바이오텍(주)</t>
        </is>
      </c>
      <c r="D130" s="17" t="n">
        <v>1</v>
      </c>
      <c r="E130" s="17" t="n">
        <v>1</v>
      </c>
      <c r="F130" s="17" t="inlineStr"/>
      <c r="G130" s="17" t="inlineStr">
        <is>
          <t>Y</t>
        </is>
      </c>
      <c r="H130" s="17" t="inlineStr"/>
      <c r="I130" s="17" t="inlineStr"/>
      <c r="J130" s="24" t="n">
        <v>47014</v>
      </c>
      <c r="K130" s="17" t="inlineStr"/>
      <c r="L130" s="17" t="inlineStr"/>
      <c r="M130" s="17" t="inlineStr"/>
      <c r="N130" s="23" t="inlineStr"/>
      <c r="O130" s="17" t="inlineStr"/>
      <c r="P130" s="17" t="inlineStr"/>
      <c r="Q130" s="17" t="inlineStr">
        <is>
          <t>박용우</t>
        </is>
      </c>
      <c r="R130" s="17" t="inlineStr"/>
      <c r="S130" s="17" t="inlineStr"/>
      <c r="T130" s="17" t="inlineStr">
        <is>
          <t>044-850-0806</t>
        </is>
      </c>
      <c r="U130" s="17" t="inlineStr">
        <is>
          <t>제조소상세</t>
        </is>
      </c>
      <c r="V130" s="22" t="inlineStr">
        <is>
          <t>미확인</t>
        </is>
      </c>
      <c r="W130" s="22" t="inlineStr">
        <is>
          <t>미확인</t>
        </is>
      </c>
      <c r="X130" s="22" t="inlineStr">
        <is>
          <t>미확인</t>
        </is>
      </c>
      <c r="Y130" s="22" t="inlineStr">
        <is>
          <t>미확인</t>
        </is>
      </c>
      <c r="Z130" s="22" t="inlineStr">
        <is>
          <t>미확인</t>
        </is>
      </c>
      <c r="AA130" s="22" t="inlineStr">
        <is>
          <t>미확인</t>
        </is>
      </c>
      <c r="AB130" s="22" t="inlineStr">
        <is>
          <t>미확인</t>
        </is>
      </c>
      <c r="AC130" s="22" t="inlineStr">
        <is>
          <t>미확인</t>
        </is>
      </c>
      <c r="AD130" s="22" t="inlineStr">
        <is>
          <t>미확인</t>
        </is>
      </c>
      <c r="AE130" s="22" t="inlineStr">
        <is>
          <t>미확인</t>
        </is>
      </c>
      <c r="AF130" s="22" t="inlineStr">
        <is>
          <t>미확인</t>
        </is>
      </c>
      <c r="AG130" s="22" t="inlineStr">
        <is>
          <t>미확인</t>
        </is>
      </c>
      <c r="AH130" s="22" t="inlineStr">
        <is>
          <t>미확인</t>
        </is>
      </c>
      <c r="AI130" s="22" t="inlineStr">
        <is>
          <t>미확인</t>
        </is>
      </c>
      <c r="AJ130" s="22" t="inlineStr">
        <is>
          <t>미확인</t>
        </is>
      </c>
      <c r="AK130" s="22" t="inlineStr">
        <is>
          <t>미확인</t>
        </is>
      </c>
      <c r="AL130" s="22" t="inlineStr">
        <is>
          <t>미확인</t>
        </is>
      </c>
      <c r="AM130" s="22" t="inlineStr">
        <is>
          <t>미확인</t>
        </is>
      </c>
      <c r="AN130" s="22" t="inlineStr">
        <is>
          <t>미확인</t>
        </is>
      </c>
      <c r="AO130" s="17" t="inlineStr">
        <is>
          <t>C(부분확인)</t>
        </is>
      </c>
      <c r="AP130" s="17" t="inlineStr">
        <is>
          <t>Y</t>
        </is>
      </c>
      <c r="AQ130" s="17" t="n">
        <v>4</v>
      </c>
      <c r="AR130" s="28" t="inlineStr">
        <is>
          <t>Tier D</t>
        </is>
      </c>
      <c r="AS130" s="17" t="inlineStr">
        <is>
          <t>LIMS</t>
        </is>
      </c>
      <c r="AT130" s="17" t="inlineStr">
        <is>
          <t>원료 제조로 시험실 관리 필요</t>
        </is>
      </c>
      <c r="AU130" s="17" t="inlineStr">
        <is>
          <t>담당자 파악 후 접촉</t>
        </is>
      </c>
      <c r="AV130" s="17" t="inlineStr">
        <is>
          <t>GMP적합판정+KRX</t>
        </is>
      </c>
      <c r="AW130" s="17" t="inlineStr">
        <is>
          <t>2026-07-05</t>
        </is>
      </c>
    </row>
    <row r="131">
      <c r="A131" s="17" t="inlineStr">
        <is>
          <t>C130</t>
        </is>
      </c>
      <c r="B131" s="17" t="inlineStr">
        <is>
          <t>메디톡스</t>
        </is>
      </c>
      <c r="C131" s="17" t="inlineStr">
        <is>
          <t>(주)메디톡스</t>
        </is>
      </c>
      <c r="D131" s="17" t="n">
        <v>4</v>
      </c>
      <c r="E131" s="17" t="n">
        <v>3</v>
      </c>
      <c r="F131" s="17" t="inlineStr">
        <is>
          <t>Y</t>
        </is>
      </c>
      <c r="G131" s="17" t="inlineStr">
        <is>
          <t>Y</t>
        </is>
      </c>
      <c r="H131" s="17" t="inlineStr">
        <is>
          <t>Y</t>
        </is>
      </c>
      <c r="I131" s="17" t="inlineStr">
        <is>
          <t>Y</t>
        </is>
      </c>
      <c r="J131" s="24" t="n">
        <v>46572</v>
      </c>
      <c r="K131" s="17" t="inlineStr"/>
      <c r="L131" s="17" t="inlineStr">
        <is>
          <t>Y</t>
        </is>
      </c>
      <c r="M131" s="17" t="inlineStr">
        <is>
          <t>코스닥</t>
        </is>
      </c>
      <c r="N131" s="23" t="inlineStr">
        <is>
          <t>086900</t>
        </is>
      </c>
      <c r="O131" s="17" t="inlineStr">
        <is>
          <t>기초 의약물질 제조업</t>
        </is>
      </c>
      <c r="P131" s="17" t="inlineStr">
        <is>
          <t>의약품원료(A형,B형 보툴리늄독소 단백질치료제) 제조,연구,개발</t>
        </is>
      </c>
      <c r="Q131" s="17" t="inlineStr">
        <is>
          <t>정현호</t>
        </is>
      </c>
      <c r="R131" s="17" t="inlineStr">
        <is>
          <t>http://www.medytox.com</t>
        </is>
      </c>
      <c r="S131" s="17" t="inlineStr">
        <is>
          <t>충청북도</t>
        </is>
      </c>
      <c r="T131" s="17" t="inlineStr">
        <is>
          <t>041-544-1558</t>
        </is>
      </c>
      <c r="U131" s="17" t="inlineStr">
        <is>
          <t>제조소상세</t>
        </is>
      </c>
      <c r="V131" s="22" t="inlineStr">
        <is>
          <t>미확인</t>
        </is>
      </c>
      <c r="W131" s="22" t="inlineStr">
        <is>
          <t>미확인</t>
        </is>
      </c>
      <c r="X131" s="22" t="inlineStr">
        <is>
          <t>미확인</t>
        </is>
      </c>
      <c r="Y131" s="22" t="inlineStr">
        <is>
          <t>미확인</t>
        </is>
      </c>
      <c r="Z131" s="22" t="inlineStr">
        <is>
          <t>미확인</t>
        </is>
      </c>
      <c r="AA131" s="22" t="inlineStr">
        <is>
          <t>미확인</t>
        </is>
      </c>
      <c r="AB131" s="22" t="inlineStr">
        <is>
          <t>미확인</t>
        </is>
      </c>
      <c r="AC131" s="22" t="inlineStr">
        <is>
          <t>미확인</t>
        </is>
      </c>
      <c r="AD131" s="22" t="inlineStr">
        <is>
          <t>미확인</t>
        </is>
      </c>
      <c r="AE131" s="22" t="inlineStr">
        <is>
          <t>미확인</t>
        </is>
      </c>
      <c r="AF131" s="22" t="inlineStr">
        <is>
          <t>미확인</t>
        </is>
      </c>
      <c r="AG131" s="22" t="inlineStr">
        <is>
          <t>미확인</t>
        </is>
      </c>
      <c r="AH131" s="22" t="inlineStr">
        <is>
          <t>미확인</t>
        </is>
      </c>
      <c r="AI131" s="22" t="inlineStr">
        <is>
          <t>미확인</t>
        </is>
      </c>
      <c r="AJ131" s="22" t="inlineStr">
        <is>
          <t>미확인</t>
        </is>
      </c>
      <c r="AK131" s="22" t="inlineStr">
        <is>
          <t>미확인</t>
        </is>
      </c>
      <c r="AL131" s="22" t="inlineStr">
        <is>
          <t>미확인</t>
        </is>
      </c>
      <c r="AM131" s="22" t="inlineStr">
        <is>
          <t>미확인</t>
        </is>
      </c>
      <c r="AN131" s="22" t="inlineStr">
        <is>
          <t>미확인</t>
        </is>
      </c>
      <c r="AO131" s="17" t="inlineStr">
        <is>
          <t>C(부분확인)</t>
        </is>
      </c>
      <c r="AP131" s="17" t="inlineStr">
        <is>
          <t>Y</t>
        </is>
      </c>
      <c r="AQ131" s="17" t="n">
        <v>33</v>
      </c>
      <c r="AR131" s="27" t="inlineStr">
        <is>
          <t>Tier C</t>
        </is>
      </c>
      <c r="AS131" s="17" t="inlineStr">
        <is>
          <t>통합형</t>
        </is>
      </c>
      <c r="AT131" s="17" t="inlineStr">
        <is>
          <t>다중 제조소/다수 판정서로 문서관리 복잡; 무균/바이오 제조로 품질관리 난도 높음</t>
        </is>
      </c>
      <c r="AU131" s="17" t="inlineStr">
        <is>
          <t>담당자 파악 후 접촉</t>
        </is>
      </c>
      <c r="AV131" s="17" t="inlineStr">
        <is>
          <t>GMP적합판정+KRX</t>
        </is>
      </c>
      <c r="AW131" s="17" t="inlineStr">
        <is>
          <t>2026-07-05</t>
        </is>
      </c>
    </row>
    <row r="132">
      <c r="A132" s="17" t="inlineStr">
        <is>
          <t>C131</t>
        </is>
      </c>
      <c r="B132" s="17" t="inlineStr">
        <is>
          <t>한올바이오파마</t>
        </is>
      </c>
      <c r="C132" s="17" t="inlineStr">
        <is>
          <t>한올바이오파마(주)</t>
        </is>
      </c>
      <c r="D132" s="17" t="n">
        <v>1</v>
      </c>
      <c r="E132" s="17" t="n">
        <v>1</v>
      </c>
      <c r="F132" s="17" t="inlineStr">
        <is>
          <t>Y</t>
        </is>
      </c>
      <c r="G132" s="17" t="inlineStr"/>
      <c r="H132" s="17" t="inlineStr">
        <is>
          <t>Y</t>
        </is>
      </c>
      <c r="I132" s="17" t="inlineStr"/>
      <c r="J132" s="24" t="n">
        <v>47003</v>
      </c>
      <c r="K132" s="17" t="inlineStr"/>
      <c r="L132" s="17" t="inlineStr">
        <is>
          <t>Y</t>
        </is>
      </c>
      <c r="M132" s="17" t="inlineStr">
        <is>
          <t>유가</t>
        </is>
      </c>
      <c r="N132" s="23" t="inlineStr">
        <is>
          <t>009420</t>
        </is>
      </c>
      <c r="O132" s="17" t="inlineStr">
        <is>
          <t>의약품 제조업</t>
        </is>
      </c>
      <c r="P132" s="17" t="inlineStr">
        <is>
          <t>의약품 제조,도매/부동산 임대</t>
        </is>
      </c>
      <c r="Q132" s="17" t="inlineStr">
        <is>
          <t>박수진,박승국(공동대표이사)</t>
        </is>
      </c>
      <c r="R132" s="17" t="inlineStr">
        <is>
          <t>http://www.hanall.co.kr</t>
        </is>
      </c>
      <c r="S132" s="17" t="inlineStr">
        <is>
          <t>대전광역시</t>
        </is>
      </c>
      <c r="T132" s="17" t="inlineStr">
        <is>
          <t>042-454-6105</t>
        </is>
      </c>
      <c r="U132" s="17" t="inlineStr">
        <is>
          <t>제조소상세</t>
        </is>
      </c>
      <c r="V132" s="22" t="inlineStr">
        <is>
          <t>미확인</t>
        </is>
      </c>
      <c r="W132" s="22" t="inlineStr">
        <is>
          <t>미확인</t>
        </is>
      </c>
      <c r="X132" s="22" t="inlineStr">
        <is>
          <t>미확인</t>
        </is>
      </c>
      <c r="Y132" s="22" t="inlineStr">
        <is>
          <t>미확인</t>
        </is>
      </c>
      <c r="Z132" s="22" t="inlineStr">
        <is>
          <t>미확인</t>
        </is>
      </c>
      <c r="AA132" s="22" t="inlineStr">
        <is>
          <t>미확인</t>
        </is>
      </c>
      <c r="AB132" s="22" t="inlineStr">
        <is>
          <t>미확인</t>
        </is>
      </c>
      <c r="AC132" s="22" t="inlineStr">
        <is>
          <t>미확인</t>
        </is>
      </c>
      <c r="AD132" s="22" t="inlineStr">
        <is>
          <t>미확인</t>
        </is>
      </c>
      <c r="AE132" s="22" t="inlineStr">
        <is>
          <t>미확인</t>
        </is>
      </c>
      <c r="AF132" s="22" t="inlineStr">
        <is>
          <t>미확인</t>
        </is>
      </c>
      <c r="AG132" s="22" t="inlineStr">
        <is>
          <t>미확인</t>
        </is>
      </c>
      <c r="AH132" s="22" t="inlineStr">
        <is>
          <t>미확인</t>
        </is>
      </c>
      <c r="AI132" s="22" t="inlineStr">
        <is>
          <t>미확인</t>
        </is>
      </c>
      <c r="AJ132" s="22" t="inlineStr">
        <is>
          <t>미확인</t>
        </is>
      </c>
      <c r="AK132" s="22" t="inlineStr">
        <is>
          <t>미확인</t>
        </is>
      </c>
      <c r="AL132" s="22" t="inlineStr">
        <is>
          <t>미확인</t>
        </is>
      </c>
      <c r="AM132" s="22" t="inlineStr">
        <is>
          <t>미확인</t>
        </is>
      </c>
      <c r="AN132" s="22" t="inlineStr">
        <is>
          <t>미확인</t>
        </is>
      </c>
      <c r="AO132" s="17" t="inlineStr">
        <is>
          <t>C(부분확인)</t>
        </is>
      </c>
      <c r="AP132" s="17" t="inlineStr">
        <is>
          <t>Y</t>
        </is>
      </c>
      <c r="AQ132" s="17" t="n">
        <v>15</v>
      </c>
      <c r="AR132" s="28" t="inlineStr">
        <is>
          <t>Tier D</t>
        </is>
      </c>
      <c r="AS132" s="17" t="inlineStr">
        <is>
          <t>QMS+LIMS</t>
        </is>
      </c>
      <c r="AT132" s="17" t="inlineStr">
        <is>
          <t>무균/바이오 제조로 품질관리 난도 높음</t>
        </is>
      </c>
      <c r="AU132" s="17" t="inlineStr">
        <is>
          <t>담당자 파악 후 접촉</t>
        </is>
      </c>
      <c r="AV132" s="17" t="inlineStr">
        <is>
          <t>GMP적합판정+KRX</t>
        </is>
      </c>
      <c r="AW132" s="17" t="inlineStr">
        <is>
          <t>2026-07-05</t>
        </is>
      </c>
    </row>
    <row r="133">
      <c r="A133" s="17" t="inlineStr">
        <is>
          <t>C132</t>
        </is>
      </c>
      <c r="B133" s="17" t="inlineStr">
        <is>
          <t>하원제약</t>
        </is>
      </c>
      <c r="C133" s="17" t="inlineStr">
        <is>
          <t>(주)하원제약</t>
        </is>
      </c>
      <c r="D133" s="17" t="n">
        <v>1</v>
      </c>
      <c r="E133" s="17" t="n">
        <v>1</v>
      </c>
      <c r="F133" s="17" t="inlineStr">
        <is>
          <t>Y</t>
        </is>
      </c>
      <c r="G133" s="17" t="inlineStr"/>
      <c r="H133" s="17" t="inlineStr"/>
      <c r="I133" s="17" t="inlineStr"/>
      <c r="J133" s="24" t="n">
        <v>47002</v>
      </c>
      <c r="K133" s="17" t="inlineStr"/>
      <c r="L133" s="17" t="inlineStr"/>
      <c r="M133" s="17" t="inlineStr"/>
      <c r="N133" s="23" t="inlineStr"/>
      <c r="O133" s="17" t="inlineStr"/>
      <c r="P133" s="17" t="inlineStr"/>
      <c r="Q133" s="17" t="inlineStr">
        <is>
          <t>구대호</t>
        </is>
      </c>
      <c r="R133" s="17" t="inlineStr"/>
      <c r="S133" s="17" t="inlineStr"/>
      <c r="T133" s="17" t="inlineStr">
        <is>
          <t>031-667-6272</t>
        </is>
      </c>
      <c r="U133" s="17" t="inlineStr">
        <is>
          <t>제조소상세</t>
        </is>
      </c>
      <c r="V133" s="22" t="inlineStr">
        <is>
          <t>미확인</t>
        </is>
      </c>
      <c r="W133" s="22" t="inlineStr">
        <is>
          <t>미확인</t>
        </is>
      </c>
      <c r="X133" s="22" t="inlineStr">
        <is>
          <t>미확인</t>
        </is>
      </c>
      <c r="Y133" s="22" t="inlineStr">
        <is>
          <t>미확인</t>
        </is>
      </c>
      <c r="Z133" s="22" t="inlineStr">
        <is>
          <t>미확인</t>
        </is>
      </c>
      <c r="AA133" s="22" t="inlineStr">
        <is>
          <t>미확인</t>
        </is>
      </c>
      <c r="AB133" s="22" t="inlineStr">
        <is>
          <t>미확인</t>
        </is>
      </c>
      <c r="AC133" s="22" t="inlineStr">
        <is>
          <t>미확인</t>
        </is>
      </c>
      <c r="AD133" s="22" t="inlineStr">
        <is>
          <t>미확인</t>
        </is>
      </c>
      <c r="AE133" s="22" t="inlineStr">
        <is>
          <t>미확인</t>
        </is>
      </c>
      <c r="AF133" s="22" t="inlineStr">
        <is>
          <t>미확인</t>
        </is>
      </c>
      <c r="AG133" s="22" t="inlineStr">
        <is>
          <t>미확인</t>
        </is>
      </c>
      <c r="AH133" s="22" t="inlineStr">
        <is>
          <t>미확인</t>
        </is>
      </c>
      <c r="AI133" s="22" t="inlineStr">
        <is>
          <t>미확인</t>
        </is>
      </c>
      <c r="AJ133" s="22" t="inlineStr">
        <is>
          <t>미확인</t>
        </is>
      </c>
      <c r="AK133" s="22" t="inlineStr">
        <is>
          <t>미확인</t>
        </is>
      </c>
      <c r="AL133" s="22" t="inlineStr">
        <is>
          <t>미확인</t>
        </is>
      </c>
      <c r="AM133" s="22" t="inlineStr">
        <is>
          <t>미확인</t>
        </is>
      </c>
      <c r="AN133" s="22" t="inlineStr">
        <is>
          <t>미확인</t>
        </is>
      </c>
      <c r="AO133" s="17" t="inlineStr">
        <is>
          <t>C(부분확인)</t>
        </is>
      </c>
      <c r="AP133" s="17" t="inlineStr">
        <is>
          <t>Y</t>
        </is>
      </c>
      <c r="AQ133" s="17" t="n">
        <v>4</v>
      </c>
      <c r="AR133" s="28" t="inlineStr">
        <is>
          <t>Tier D</t>
        </is>
      </c>
      <c r="AS133" s="17" t="inlineStr">
        <is>
          <t>EDMS</t>
        </is>
      </c>
      <c r="AT133" s="17" t="inlineStr">
        <is>
          <t>기본 문서관리 수요</t>
        </is>
      </c>
      <c r="AU133" s="17" t="inlineStr">
        <is>
          <t>담당자 파악 후 접촉</t>
        </is>
      </c>
      <c r="AV133" s="17" t="inlineStr">
        <is>
          <t>GMP적합판정+KRX</t>
        </is>
      </c>
      <c r="AW133" s="17" t="inlineStr">
        <is>
          <t>2026-07-05</t>
        </is>
      </c>
    </row>
    <row r="134">
      <c r="A134" s="17" t="inlineStr">
        <is>
          <t>C133</t>
        </is>
      </c>
      <c r="B134" s="17" t="inlineStr">
        <is>
          <t>옵투스제약</t>
        </is>
      </c>
      <c r="C134" s="17" t="inlineStr">
        <is>
          <t>(주)옵투스제약</t>
        </is>
      </c>
      <c r="D134" s="17" t="n">
        <v>1</v>
      </c>
      <c r="E134" s="17" t="n">
        <v>1</v>
      </c>
      <c r="F134" s="17" t="inlineStr">
        <is>
          <t>Y</t>
        </is>
      </c>
      <c r="G134" s="17" t="inlineStr"/>
      <c r="H134" s="17" t="inlineStr">
        <is>
          <t>Y</t>
        </is>
      </c>
      <c r="I134" s="17" t="inlineStr"/>
      <c r="J134" s="24" t="n">
        <v>46997</v>
      </c>
      <c r="K134" s="17" t="inlineStr"/>
      <c r="L134" s="17" t="inlineStr">
        <is>
          <t>Y</t>
        </is>
      </c>
      <c r="M134" s="17" t="inlineStr">
        <is>
          <t>코스닥</t>
        </is>
      </c>
      <c r="N134" s="23" t="inlineStr">
        <is>
          <t>131030</t>
        </is>
      </c>
      <c r="O134" s="17" t="inlineStr">
        <is>
          <t>의약품 제조업</t>
        </is>
      </c>
      <c r="P134" s="17" t="inlineStr">
        <is>
          <t>티어린프리점안액</t>
        </is>
      </c>
      <c r="Q134" s="17" t="inlineStr">
        <is>
          <t>심상호</t>
        </is>
      </c>
      <c r="R134" s="17" t="inlineStr">
        <is>
          <t>http://www.optuspharm.com</t>
        </is>
      </c>
      <c r="S134" s="17" t="inlineStr">
        <is>
          <t>충청북도</t>
        </is>
      </c>
      <c r="T134" s="17" t="inlineStr">
        <is>
          <t>043-830-0500</t>
        </is>
      </c>
      <c r="U134" s="17" t="inlineStr">
        <is>
          <t>제조소상세</t>
        </is>
      </c>
      <c r="V134" s="22" t="inlineStr">
        <is>
          <t>미확인</t>
        </is>
      </c>
      <c r="W134" s="22" t="inlineStr">
        <is>
          <t>미확인</t>
        </is>
      </c>
      <c r="X134" s="22" t="inlineStr">
        <is>
          <t>미확인</t>
        </is>
      </c>
      <c r="Y134" s="22" t="inlineStr">
        <is>
          <t>미확인</t>
        </is>
      </c>
      <c r="Z134" s="22" t="inlineStr">
        <is>
          <t>미확인</t>
        </is>
      </c>
      <c r="AA134" s="22" t="inlineStr">
        <is>
          <t>미확인</t>
        </is>
      </c>
      <c r="AB134" s="22" t="inlineStr">
        <is>
          <t>미확인</t>
        </is>
      </c>
      <c r="AC134" s="22" t="inlineStr">
        <is>
          <t>미확인</t>
        </is>
      </c>
      <c r="AD134" s="22" t="inlineStr">
        <is>
          <t>미확인</t>
        </is>
      </c>
      <c r="AE134" s="22" t="inlineStr">
        <is>
          <t>미확인</t>
        </is>
      </c>
      <c r="AF134" s="22" t="inlineStr">
        <is>
          <t>미확인</t>
        </is>
      </c>
      <c r="AG134" s="22" t="inlineStr">
        <is>
          <t>미확인</t>
        </is>
      </c>
      <c r="AH134" s="22" t="inlineStr">
        <is>
          <t>미확인</t>
        </is>
      </c>
      <c r="AI134" s="22" t="inlineStr">
        <is>
          <t>미확인</t>
        </is>
      </c>
      <c r="AJ134" s="22" t="inlineStr">
        <is>
          <t>미확인</t>
        </is>
      </c>
      <c r="AK134" s="22" t="inlineStr">
        <is>
          <t>미확인</t>
        </is>
      </c>
      <c r="AL134" s="22" t="inlineStr">
        <is>
          <t>미확인</t>
        </is>
      </c>
      <c r="AM134" s="22" t="inlineStr">
        <is>
          <t>미확인</t>
        </is>
      </c>
      <c r="AN134" s="22" t="inlineStr">
        <is>
          <t>미확인</t>
        </is>
      </c>
      <c r="AO134" s="17" t="inlineStr">
        <is>
          <t>C(부분확인)</t>
        </is>
      </c>
      <c r="AP134" s="17" t="inlineStr">
        <is>
          <t>Y</t>
        </is>
      </c>
      <c r="AQ134" s="17" t="n">
        <v>15</v>
      </c>
      <c r="AR134" s="28" t="inlineStr">
        <is>
          <t>Tier D</t>
        </is>
      </c>
      <c r="AS134" s="17" t="inlineStr">
        <is>
          <t>QMS+LIMS</t>
        </is>
      </c>
      <c r="AT134" s="17" t="inlineStr">
        <is>
          <t>무균/바이오 제조로 품질관리 난도 높음</t>
        </is>
      </c>
      <c r="AU134" s="17" t="inlineStr">
        <is>
          <t>담당자 파악 후 접촉</t>
        </is>
      </c>
      <c r="AV134" s="17" t="inlineStr">
        <is>
          <t>GMP적합판정+KRX</t>
        </is>
      </c>
      <c r="AW134" s="17" t="inlineStr">
        <is>
          <t>2026-07-05</t>
        </is>
      </c>
    </row>
    <row r="135">
      <c r="A135" s="17" t="inlineStr">
        <is>
          <t>C134</t>
        </is>
      </c>
      <c r="B135" s="17" t="inlineStr">
        <is>
          <t>한국비엠아이</t>
        </is>
      </c>
      <c r="C135" s="17" t="inlineStr">
        <is>
          <t>(주)한국비엠아이</t>
        </is>
      </c>
      <c r="D135" s="17" t="n">
        <v>3</v>
      </c>
      <c r="E135" s="17" t="n">
        <v>2</v>
      </c>
      <c r="F135" s="17" t="inlineStr">
        <is>
          <t>Y</t>
        </is>
      </c>
      <c r="G135" s="17" t="inlineStr">
        <is>
          <t>Y</t>
        </is>
      </c>
      <c r="H135" s="17" t="inlineStr">
        <is>
          <t>Y</t>
        </is>
      </c>
      <c r="I135" s="17" t="inlineStr">
        <is>
          <t>Y</t>
        </is>
      </c>
      <c r="J135" s="24" t="n">
        <v>46424</v>
      </c>
      <c r="K135" s="17" t="inlineStr"/>
      <c r="L135" s="17" t="inlineStr"/>
      <c r="M135" s="17" t="inlineStr"/>
      <c r="N135" s="23" t="inlineStr"/>
      <c r="O135" s="17" t="inlineStr"/>
      <c r="P135" s="17" t="inlineStr"/>
      <c r="Q135" s="17" t="inlineStr">
        <is>
          <t>이광인</t>
        </is>
      </c>
      <c r="R135" s="17" t="inlineStr"/>
      <c r="S135" s="17" t="inlineStr"/>
      <c r="T135" s="17" t="inlineStr">
        <is>
          <t>미확인</t>
        </is>
      </c>
      <c r="U135" s="17" t="inlineStr">
        <is>
          <t>미확인</t>
        </is>
      </c>
      <c r="V135" s="22" t="inlineStr">
        <is>
          <t>미확인</t>
        </is>
      </c>
      <c r="W135" s="22" t="inlineStr">
        <is>
          <t>미확인</t>
        </is>
      </c>
      <c r="X135" s="22" t="inlineStr">
        <is>
          <t>미확인</t>
        </is>
      </c>
      <c r="Y135" s="22" t="inlineStr">
        <is>
          <t>미확인</t>
        </is>
      </c>
      <c r="Z135" s="22" t="inlineStr">
        <is>
          <t>미확인</t>
        </is>
      </c>
      <c r="AA135" s="22" t="inlineStr">
        <is>
          <t>미확인</t>
        </is>
      </c>
      <c r="AB135" s="22" t="inlineStr">
        <is>
          <t>미확인</t>
        </is>
      </c>
      <c r="AC135" s="22" t="inlineStr">
        <is>
          <t>미확인</t>
        </is>
      </c>
      <c r="AD135" s="22" t="inlineStr">
        <is>
          <t>미확인</t>
        </is>
      </c>
      <c r="AE135" s="22" t="inlineStr">
        <is>
          <t>미확인</t>
        </is>
      </c>
      <c r="AF135" s="22" t="inlineStr">
        <is>
          <t>미확인</t>
        </is>
      </c>
      <c r="AG135" s="22" t="inlineStr">
        <is>
          <t>미확인</t>
        </is>
      </c>
      <c r="AH135" s="22" t="inlineStr">
        <is>
          <t>미확인</t>
        </is>
      </c>
      <c r="AI135" s="22" t="inlineStr">
        <is>
          <t>미확인</t>
        </is>
      </c>
      <c r="AJ135" s="22" t="inlineStr">
        <is>
          <t>미확인</t>
        </is>
      </c>
      <c r="AK135" s="22" t="inlineStr">
        <is>
          <t>미확인</t>
        </is>
      </c>
      <c r="AL135" s="22" t="inlineStr">
        <is>
          <t>미확인</t>
        </is>
      </c>
      <c r="AM135" s="22" t="inlineStr">
        <is>
          <t>미확인</t>
        </is>
      </c>
      <c r="AN135" s="22" t="inlineStr">
        <is>
          <t>미확인</t>
        </is>
      </c>
      <c r="AO135" s="17" t="inlineStr">
        <is>
          <t>C(부분확인)</t>
        </is>
      </c>
      <c r="AP135" s="17" t="inlineStr">
        <is>
          <t>Y</t>
        </is>
      </c>
      <c r="AQ135" s="17" t="n">
        <v>26</v>
      </c>
      <c r="AR135" s="28" t="inlineStr">
        <is>
          <t>Tier D</t>
        </is>
      </c>
      <c r="AS135" s="17" t="inlineStr">
        <is>
          <t>통합형</t>
        </is>
      </c>
      <c r="AT135" s="17" t="inlineStr">
        <is>
          <t>다중 제조소/다수 판정서로 문서관리 복잡; 무균/바이오 제조로 품질관리 난도 높음</t>
        </is>
      </c>
      <c r="AU135" s="17" t="inlineStr">
        <is>
          <t>담당자 파악 후 접촉</t>
        </is>
      </c>
      <c r="AV135" s="17" t="inlineStr">
        <is>
          <t>GMP적합판정+KRX</t>
        </is>
      </c>
      <c r="AW135" s="17" t="inlineStr">
        <is>
          <t>2026-07-05</t>
        </is>
      </c>
    </row>
    <row r="136">
      <c r="A136" s="17" t="inlineStr">
        <is>
          <t>C135</t>
        </is>
      </c>
      <c r="B136" s="17" t="inlineStr">
        <is>
          <t>바스칸바이오제약</t>
        </is>
      </c>
      <c r="C136" s="17" t="inlineStr">
        <is>
          <t>(주)바스칸바이오제약</t>
        </is>
      </c>
      <c r="D136" s="17" t="n">
        <v>1</v>
      </c>
      <c r="E136" s="17" t="n">
        <v>1</v>
      </c>
      <c r="F136" s="17" t="inlineStr">
        <is>
          <t>Y</t>
        </is>
      </c>
      <c r="G136" s="17" t="inlineStr"/>
      <c r="H136" s="17" t="inlineStr"/>
      <c r="I136" s="17" t="inlineStr"/>
      <c r="J136" s="24" t="n">
        <v>46997</v>
      </c>
      <c r="K136" s="17" t="inlineStr"/>
      <c r="L136" s="17" t="inlineStr">
        <is>
          <t>Y</t>
        </is>
      </c>
      <c r="M136" s="17" t="inlineStr">
        <is>
          <t>코넥스</t>
        </is>
      </c>
      <c r="N136" s="23" t="inlineStr">
        <is>
          <t>354390</t>
        </is>
      </c>
      <c r="O136" s="17" t="inlineStr">
        <is>
          <t>의약품 제조업</t>
        </is>
      </c>
      <c r="P136" s="17" t="inlineStr">
        <is>
          <t>일반의약품, 전문의약품, 의료기기</t>
        </is>
      </c>
      <c r="Q136" s="17" t="inlineStr">
        <is>
          <t>이법표</t>
        </is>
      </c>
      <c r="R136" s="17" t="inlineStr">
        <is>
          <t>http://www.baskhanbio.com</t>
        </is>
      </c>
      <c r="S136" s="17" t="inlineStr">
        <is>
          <t>경기도</t>
        </is>
      </c>
      <c r="T136" s="17" t="inlineStr">
        <is>
          <t>미확인</t>
        </is>
      </c>
      <c r="U136" s="17" t="inlineStr">
        <is>
          <t>미확인</t>
        </is>
      </c>
      <c r="V136" s="22" t="inlineStr">
        <is>
          <t>미확인</t>
        </is>
      </c>
      <c r="W136" s="22" t="inlineStr">
        <is>
          <t>미확인</t>
        </is>
      </c>
      <c r="X136" s="22" t="inlineStr">
        <is>
          <t>미확인</t>
        </is>
      </c>
      <c r="Y136" s="22" t="inlineStr">
        <is>
          <t>미확인</t>
        </is>
      </c>
      <c r="Z136" s="22" t="inlineStr">
        <is>
          <t>미확인</t>
        </is>
      </c>
      <c r="AA136" s="22" t="inlineStr">
        <is>
          <t>미확인</t>
        </is>
      </c>
      <c r="AB136" s="22" t="inlineStr">
        <is>
          <t>미확인</t>
        </is>
      </c>
      <c r="AC136" s="22" t="inlineStr">
        <is>
          <t>미확인</t>
        </is>
      </c>
      <c r="AD136" s="22" t="inlineStr">
        <is>
          <t>미확인</t>
        </is>
      </c>
      <c r="AE136" s="22" t="inlineStr">
        <is>
          <t>미확인</t>
        </is>
      </c>
      <c r="AF136" s="22" t="inlineStr">
        <is>
          <t>미확인</t>
        </is>
      </c>
      <c r="AG136" s="22" t="inlineStr">
        <is>
          <t>미확인</t>
        </is>
      </c>
      <c r="AH136" s="22" t="inlineStr">
        <is>
          <t>미확인</t>
        </is>
      </c>
      <c r="AI136" s="22" t="inlineStr">
        <is>
          <t>미확인</t>
        </is>
      </c>
      <c r="AJ136" s="22" t="inlineStr">
        <is>
          <t>미확인</t>
        </is>
      </c>
      <c r="AK136" s="22" t="inlineStr">
        <is>
          <t>미확인</t>
        </is>
      </c>
      <c r="AL136" s="22" t="inlineStr">
        <is>
          <t>미확인</t>
        </is>
      </c>
      <c r="AM136" s="22" t="inlineStr">
        <is>
          <t>미확인</t>
        </is>
      </c>
      <c r="AN136" s="22" t="inlineStr">
        <is>
          <t>미확인</t>
        </is>
      </c>
      <c r="AO136" s="17" t="inlineStr">
        <is>
          <t>C(부분확인)</t>
        </is>
      </c>
      <c r="AP136" s="17" t="inlineStr">
        <is>
          <t>Y</t>
        </is>
      </c>
      <c r="AQ136" s="17" t="n">
        <v>4</v>
      </c>
      <c r="AR136" s="28" t="inlineStr">
        <is>
          <t>Tier D</t>
        </is>
      </c>
      <c r="AS136" s="17" t="inlineStr">
        <is>
          <t>EDMS</t>
        </is>
      </c>
      <c r="AT136" s="17" t="inlineStr">
        <is>
          <t>기본 문서관리 수요</t>
        </is>
      </c>
      <c r="AU136" s="17" t="inlineStr">
        <is>
          <t>담당자 파악 후 접촉</t>
        </is>
      </c>
      <c r="AV136" s="17" t="inlineStr">
        <is>
          <t>GMP적합판정+KRX</t>
        </is>
      </c>
      <c r="AW136" s="17" t="inlineStr">
        <is>
          <t>2026-07-05</t>
        </is>
      </c>
    </row>
    <row r="137">
      <c r="A137" s="17" t="inlineStr">
        <is>
          <t>C136</t>
        </is>
      </c>
      <c r="B137" s="17" t="inlineStr">
        <is>
          <t>듀켐바이오</t>
        </is>
      </c>
      <c r="C137" s="17" t="inlineStr">
        <is>
          <t>(주)듀켐바이오</t>
        </is>
      </c>
      <c r="D137" s="17" t="n">
        <v>5</v>
      </c>
      <c r="E137" s="17" t="n">
        <v>5</v>
      </c>
      <c r="F137" s="17" t="inlineStr">
        <is>
          <t>Y</t>
        </is>
      </c>
      <c r="G137" s="17" t="inlineStr"/>
      <c r="H137" s="17" t="inlineStr">
        <is>
          <t>Y</t>
        </is>
      </c>
      <c r="I137" s="17" t="inlineStr"/>
      <c r="J137" s="24" t="n">
        <v>46283</v>
      </c>
      <c r="K137" s="17" t="inlineStr">
        <is>
          <t>Y</t>
        </is>
      </c>
      <c r="L137" s="17" t="inlineStr">
        <is>
          <t>Y</t>
        </is>
      </c>
      <c r="M137" s="17" t="inlineStr">
        <is>
          <t>코스닥</t>
        </is>
      </c>
      <c r="N137" s="23" t="inlineStr">
        <is>
          <t>176750</t>
        </is>
      </c>
      <c r="O137" s="17" t="inlineStr">
        <is>
          <t>의약품 제조업</t>
        </is>
      </c>
      <c r="P137" s="17" t="inlineStr">
        <is>
          <t>방사성의약품</t>
        </is>
      </c>
      <c r="Q137" s="17" t="inlineStr">
        <is>
          <t>김상우</t>
        </is>
      </c>
      <c r="R137" s="17" t="inlineStr">
        <is>
          <t>http://www.duchembio.com</t>
        </is>
      </c>
      <c r="S137" s="17" t="inlineStr">
        <is>
          <t>서울특별시</t>
        </is>
      </c>
      <c r="T137" s="17" t="inlineStr">
        <is>
          <t>051-254-3126</t>
        </is>
      </c>
      <c r="U137" s="17" t="inlineStr">
        <is>
          <t>제조소상세</t>
        </is>
      </c>
      <c r="V137" s="22" t="inlineStr">
        <is>
          <t>미확인</t>
        </is>
      </c>
      <c r="W137" s="22" t="inlineStr">
        <is>
          <t>미확인</t>
        </is>
      </c>
      <c r="X137" s="22" t="inlineStr">
        <is>
          <t>미확인</t>
        </is>
      </c>
      <c r="Y137" s="22" t="inlineStr">
        <is>
          <t>미확인</t>
        </is>
      </c>
      <c r="Z137" s="22" t="inlineStr">
        <is>
          <t>미확인</t>
        </is>
      </c>
      <c r="AA137" s="22" t="inlineStr">
        <is>
          <t>미확인</t>
        </is>
      </c>
      <c r="AB137" s="22" t="inlineStr">
        <is>
          <t>미확인</t>
        </is>
      </c>
      <c r="AC137" s="22" t="inlineStr">
        <is>
          <t>미확인</t>
        </is>
      </c>
      <c r="AD137" s="22" t="inlineStr">
        <is>
          <t>미확인</t>
        </is>
      </c>
      <c r="AE137" s="22" t="inlineStr">
        <is>
          <t>미확인</t>
        </is>
      </c>
      <c r="AF137" s="22" t="inlineStr">
        <is>
          <t>미확인</t>
        </is>
      </c>
      <c r="AG137" s="22" t="inlineStr">
        <is>
          <t>미확인</t>
        </is>
      </c>
      <c r="AH137" s="22" t="inlineStr">
        <is>
          <t>미확인</t>
        </is>
      </c>
      <c r="AI137" s="22" t="inlineStr">
        <is>
          <t>미확인</t>
        </is>
      </c>
      <c r="AJ137" s="22" t="inlineStr">
        <is>
          <t>미확인</t>
        </is>
      </c>
      <c r="AK137" s="22" t="inlineStr">
        <is>
          <t>미확인</t>
        </is>
      </c>
      <c r="AL137" s="22" t="inlineStr">
        <is>
          <t>미확인</t>
        </is>
      </c>
      <c r="AM137" s="22" t="inlineStr">
        <is>
          <t>미확인</t>
        </is>
      </c>
      <c r="AN137" s="22" t="inlineStr">
        <is>
          <t>미확인</t>
        </is>
      </c>
      <c r="AO137" s="17" t="inlineStr">
        <is>
          <t>C(부분확인)</t>
        </is>
      </c>
      <c r="AP137" s="17" t="inlineStr">
        <is>
          <t>Y</t>
        </is>
      </c>
      <c r="AQ137" s="17" t="n">
        <v>31</v>
      </c>
      <c r="AR137" s="27" t="inlineStr">
        <is>
          <t>Tier C</t>
        </is>
      </c>
      <c r="AS137" s="17" t="inlineStr">
        <is>
          <t>통합형</t>
        </is>
      </c>
      <c r="AT137" s="17" t="inlineStr">
        <is>
          <t>다중 제조소/다수 판정서로 문서관리 복잡; 무균/바이오 제조로 품질관리 난도 높음</t>
        </is>
      </c>
      <c r="AU137" s="17" t="inlineStr">
        <is>
          <t>담당자 파악 후 접촉</t>
        </is>
      </c>
      <c r="AV137" s="17" t="inlineStr">
        <is>
          <t>GMP적합판정+KRX</t>
        </is>
      </c>
      <c r="AW137" s="17" t="inlineStr">
        <is>
          <t>2026-07-05</t>
        </is>
      </c>
    </row>
    <row r="138">
      <c r="A138" s="17" t="inlineStr">
        <is>
          <t>C137</t>
        </is>
      </c>
      <c r="B138" s="17" t="inlineStr">
        <is>
          <t>켐포트</t>
        </is>
      </c>
      <c r="C138" s="17" t="inlineStr">
        <is>
          <t>(주)켐포트</t>
        </is>
      </c>
      <c r="D138" s="17" t="n">
        <v>1</v>
      </c>
      <c r="E138" s="17" t="n">
        <v>1</v>
      </c>
      <c r="F138" s="17" t="inlineStr"/>
      <c r="G138" s="17" t="inlineStr">
        <is>
          <t>Y</t>
        </is>
      </c>
      <c r="H138" s="17" t="inlineStr"/>
      <c r="I138" s="17" t="inlineStr"/>
      <c r="J138" s="24" t="n">
        <v>46990</v>
      </c>
      <c r="K138" s="17" t="inlineStr"/>
      <c r="L138" s="17" t="inlineStr"/>
      <c r="M138" s="17" t="inlineStr"/>
      <c r="N138" s="23" t="inlineStr"/>
      <c r="O138" s="17" t="inlineStr"/>
      <c r="P138" s="17" t="inlineStr"/>
      <c r="Q138" s="17" t="inlineStr">
        <is>
          <t>김영주</t>
        </is>
      </c>
      <c r="R138" s="17" t="inlineStr"/>
      <c r="S138" s="17" t="inlineStr"/>
      <c r="T138" s="17" t="inlineStr">
        <is>
          <t>미확인</t>
        </is>
      </c>
      <c r="U138" s="17" t="inlineStr">
        <is>
          <t>미확인</t>
        </is>
      </c>
      <c r="V138" s="22" t="inlineStr">
        <is>
          <t>미확인</t>
        </is>
      </c>
      <c r="W138" s="22" t="inlineStr">
        <is>
          <t>미확인</t>
        </is>
      </c>
      <c r="X138" s="22" t="inlineStr">
        <is>
          <t>미확인</t>
        </is>
      </c>
      <c r="Y138" s="22" t="inlineStr">
        <is>
          <t>미확인</t>
        </is>
      </c>
      <c r="Z138" s="22" t="inlineStr">
        <is>
          <t>미확인</t>
        </is>
      </c>
      <c r="AA138" s="22" t="inlineStr">
        <is>
          <t>미확인</t>
        </is>
      </c>
      <c r="AB138" s="22" t="inlineStr">
        <is>
          <t>미확인</t>
        </is>
      </c>
      <c r="AC138" s="22" t="inlineStr">
        <is>
          <t>미확인</t>
        </is>
      </c>
      <c r="AD138" s="22" t="inlineStr">
        <is>
          <t>미확인</t>
        </is>
      </c>
      <c r="AE138" s="22" t="inlineStr">
        <is>
          <t>미확인</t>
        </is>
      </c>
      <c r="AF138" s="22" t="inlineStr">
        <is>
          <t>미확인</t>
        </is>
      </c>
      <c r="AG138" s="22" t="inlineStr">
        <is>
          <t>미확인</t>
        </is>
      </c>
      <c r="AH138" s="22" t="inlineStr">
        <is>
          <t>미확인</t>
        </is>
      </c>
      <c r="AI138" s="22" t="inlineStr">
        <is>
          <t>미확인</t>
        </is>
      </c>
      <c r="AJ138" s="22" t="inlineStr">
        <is>
          <t>미확인</t>
        </is>
      </c>
      <c r="AK138" s="22" t="inlineStr">
        <is>
          <t>미확인</t>
        </is>
      </c>
      <c r="AL138" s="22" t="inlineStr">
        <is>
          <t>미확인</t>
        </is>
      </c>
      <c r="AM138" s="22" t="inlineStr">
        <is>
          <t>미확인</t>
        </is>
      </c>
      <c r="AN138" s="22" t="inlineStr">
        <is>
          <t>미확인</t>
        </is>
      </c>
      <c r="AO138" s="17" t="inlineStr">
        <is>
          <t>C(부분확인)</t>
        </is>
      </c>
      <c r="AP138" s="17" t="inlineStr">
        <is>
          <t>Y</t>
        </is>
      </c>
      <c r="AQ138" s="17" t="n">
        <v>4</v>
      </c>
      <c r="AR138" s="28" t="inlineStr">
        <is>
          <t>Tier D</t>
        </is>
      </c>
      <c r="AS138" s="17" t="inlineStr">
        <is>
          <t>LIMS</t>
        </is>
      </c>
      <c r="AT138" s="17" t="inlineStr">
        <is>
          <t>원료 제조로 시험실 관리 필요</t>
        </is>
      </c>
      <c r="AU138" s="17" t="inlineStr">
        <is>
          <t>담당자 파악 후 접촉</t>
        </is>
      </c>
      <c r="AV138" s="17" t="inlineStr">
        <is>
          <t>GMP적합판정+KRX</t>
        </is>
      </c>
      <c r="AW138" s="17" t="inlineStr">
        <is>
          <t>2026-07-05</t>
        </is>
      </c>
    </row>
    <row r="139">
      <c r="A139" s="17" t="inlineStr">
        <is>
          <t>C138</t>
        </is>
      </c>
      <c r="B139" s="17" t="inlineStr">
        <is>
          <t>한국오츠카제약</t>
        </is>
      </c>
      <c r="C139" s="17" t="inlineStr">
        <is>
          <t>한국오츠카제약(주)</t>
        </is>
      </c>
      <c r="D139" s="17" t="n">
        <v>2</v>
      </c>
      <c r="E139" s="17" t="n">
        <v>1</v>
      </c>
      <c r="F139" s="17" t="inlineStr">
        <is>
          <t>Y</t>
        </is>
      </c>
      <c r="G139" s="17" t="inlineStr">
        <is>
          <t>Y</t>
        </is>
      </c>
      <c r="H139" s="17" t="inlineStr"/>
      <c r="I139" s="17" t="inlineStr"/>
      <c r="J139" s="24" t="n">
        <v>46990</v>
      </c>
      <c r="K139" s="17" t="inlineStr"/>
      <c r="L139" s="17" t="inlineStr"/>
      <c r="M139" s="17" t="inlineStr"/>
      <c r="N139" s="23" t="inlineStr"/>
      <c r="O139" s="17" t="inlineStr"/>
      <c r="P139" s="17" t="inlineStr"/>
      <c r="Q139" s="17" t="inlineStr">
        <is>
          <t>문성호</t>
        </is>
      </c>
      <c r="R139" s="17" t="inlineStr"/>
      <c r="S139" s="17" t="inlineStr"/>
      <c r="T139" s="17" t="inlineStr">
        <is>
          <t>02-3465-3929</t>
        </is>
      </c>
      <c r="U139" s="17" t="inlineStr">
        <is>
          <t>제조소상세</t>
        </is>
      </c>
      <c r="V139" s="22" t="inlineStr">
        <is>
          <t>미확인</t>
        </is>
      </c>
      <c r="W139" s="22" t="inlineStr">
        <is>
          <t>미확인</t>
        </is>
      </c>
      <c r="X139" s="22" t="inlineStr">
        <is>
          <t>미확인</t>
        </is>
      </c>
      <c r="Y139" s="22" t="inlineStr">
        <is>
          <t>미확인</t>
        </is>
      </c>
      <c r="Z139" s="22" t="inlineStr">
        <is>
          <t>미확인</t>
        </is>
      </c>
      <c r="AA139" s="22" t="inlineStr">
        <is>
          <t>미확인</t>
        </is>
      </c>
      <c r="AB139" s="22" t="inlineStr">
        <is>
          <t>미확인</t>
        </is>
      </c>
      <c r="AC139" s="22" t="inlineStr">
        <is>
          <t>미확인</t>
        </is>
      </c>
      <c r="AD139" s="22" t="inlineStr">
        <is>
          <t>미확인</t>
        </is>
      </c>
      <c r="AE139" s="22" t="inlineStr">
        <is>
          <t>미확인</t>
        </is>
      </c>
      <c r="AF139" s="22" t="inlineStr">
        <is>
          <t>미확인</t>
        </is>
      </c>
      <c r="AG139" s="22" t="inlineStr">
        <is>
          <t>미확인</t>
        </is>
      </c>
      <c r="AH139" s="22" t="inlineStr">
        <is>
          <t>미확인</t>
        </is>
      </c>
      <c r="AI139" s="22" t="inlineStr">
        <is>
          <t>미확인</t>
        </is>
      </c>
      <c r="AJ139" s="22" t="inlineStr">
        <is>
          <t>미확인</t>
        </is>
      </c>
      <c r="AK139" s="22" t="inlineStr">
        <is>
          <t>미확인</t>
        </is>
      </c>
      <c r="AL139" s="22" t="inlineStr">
        <is>
          <t>미확인</t>
        </is>
      </c>
      <c r="AM139" s="22" t="inlineStr">
        <is>
          <t>미확인</t>
        </is>
      </c>
      <c r="AN139" s="22" t="inlineStr">
        <is>
          <t>미확인</t>
        </is>
      </c>
      <c r="AO139" s="17" t="inlineStr">
        <is>
          <t>C(부분확인)</t>
        </is>
      </c>
      <c r="AP139" s="17" t="inlineStr">
        <is>
          <t>Y</t>
        </is>
      </c>
      <c r="AQ139" s="17" t="n">
        <v>4</v>
      </c>
      <c r="AR139" s="28" t="inlineStr">
        <is>
          <t>Tier D</t>
        </is>
      </c>
      <c r="AS139" s="17" t="inlineStr">
        <is>
          <t>LIMS</t>
        </is>
      </c>
      <c r="AT139" s="17" t="inlineStr">
        <is>
          <t>원료 제조로 시험실 관리 필요</t>
        </is>
      </c>
      <c r="AU139" s="17" t="inlineStr">
        <is>
          <t>담당자 파악 후 접촉</t>
        </is>
      </c>
      <c r="AV139" s="17" t="inlineStr">
        <is>
          <t>GMP적합판정+KRX</t>
        </is>
      </c>
      <c r="AW139" s="17" t="inlineStr">
        <is>
          <t>2026-07-05</t>
        </is>
      </c>
    </row>
    <row r="140">
      <c r="A140" s="17" t="inlineStr">
        <is>
          <t>C139</t>
        </is>
      </c>
      <c r="B140" s="17" t="inlineStr">
        <is>
          <t>테라젠이텍스</t>
        </is>
      </c>
      <c r="C140" s="17" t="inlineStr">
        <is>
          <t>(주)테라젠이텍스</t>
        </is>
      </c>
      <c r="D140" s="17" t="n">
        <v>1</v>
      </c>
      <c r="E140" s="17" t="n">
        <v>1</v>
      </c>
      <c r="F140" s="17" t="inlineStr">
        <is>
          <t>Y</t>
        </is>
      </c>
      <c r="G140" s="17" t="inlineStr"/>
      <c r="H140" s="17" t="inlineStr"/>
      <c r="I140" s="17" t="inlineStr"/>
      <c r="J140" s="24" t="n">
        <v>46990</v>
      </c>
      <c r="K140" s="17" t="inlineStr"/>
      <c r="L140" s="17" t="inlineStr">
        <is>
          <t>Y</t>
        </is>
      </c>
      <c r="M140" s="17" t="inlineStr">
        <is>
          <t>코스닥</t>
        </is>
      </c>
      <c r="N140" s="23" t="inlineStr">
        <is>
          <t>066700</t>
        </is>
      </c>
      <c r="O140" s="17" t="inlineStr">
        <is>
          <t>의약품 제조업</t>
        </is>
      </c>
      <c r="P140" s="17" t="inlineStr">
        <is>
          <t>Loading/Unloading System, PCB Bonding System</t>
        </is>
      </c>
      <c r="Q140" s="17" t="inlineStr">
        <is>
          <t>고진업, 박시홍</t>
        </is>
      </c>
      <c r="R140" s="17" t="inlineStr">
        <is>
          <t>http://www.thera-gen.com</t>
        </is>
      </c>
      <c r="S140" s="17" t="inlineStr">
        <is>
          <t>경기도</t>
        </is>
      </c>
      <c r="T140" s="17" t="inlineStr">
        <is>
          <t>031-495-3399</t>
        </is>
      </c>
      <c r="U140" s="17" t="inlineStr">
        <is>
          <t>제조소상세</t>
        </is>
      </c>
      <c r="V140" s="22" t="inlineStr">
        <is>
          <t>미확인</t>
        </is>
      </c>
      <c r="W140" s="22" t="inlineStr">
        <is>
          <t>미확인</t>
        </is>
      </c>
      <c r="X140" s="22" t="inlineStr">
        <is>
          <t>미확인</t>
        </is>
      </c>
      <c r="Y140" s="22" t="inlineStr">
        <is>
          <t>미확인</t>
        </is>
      </c>
      <c r="Z140" s="22" t="inlineStr">
        <is>
          <t>미확인</t>
        </is>
      </c>
      <c r="AA140" s="22" t="inlineStr">
        <is>
          <t>미확인</t>
        </is>
      </c>
      <c r="AB140" s="22" t="inlineStr">
        <is>
          <t>미확인</t>
        </is>
      </c>
      <c r="AC140" s="22" t="inlineStr">
        <is>
          <t>미확인</t>
        </is>
      </c>
      <c r="AD140" s="22" t="inlineStr">
        <is>
          <t>미확인</t>
        </is>
      </c>
      <c r="AE140" s="22" t="inlineStr">
        <is>
          <t>미확인</t>
        </is>
      </c>
      <c r="AF140" s="22" t="inlineStr">
        <is>
          <t>미확인</t>
        </is>
      </c>
      <c r="AG140" s="22" t="inlineStr">
        <is>
          <t>미확인</t>
        </is>
      </c>
      <c r="AH140" s="22" t="inlineStr">
        <is>
          <t>미확인</t>
        </is>
      </c>
      <c r="AI140" s="22" t="inlineStr">
        <is>
          <t>미확인</t>
        </is>
      </c>
      <c r="AJ140" s="22" t="inlineStr">
        <is>
          <t>미확인</t>
        </is>
      </c>
      <c r="AK140" s="22" t="inlineStr">
        <is>
          <t>미확인</t>
        </is>
      </c>
      <c r="AL140" s="22" t="inlineStr">
        <is>
          <t>미확인</t>
        </is>
      </c>
      <c r="AM140" s="22" t="inlineStr">
        <is>
          <t>미확인</t>
        </is>
      </c>
      <c r="AN140" s="22" t="inlineStr">
        <is>
          <t>미확인</t>
        </is>
      </c>
      <c r="AO140" s="17" t="inlineStr">
        <is>
          <t>C(부분확인)</t>
        </is>
      </c>
      <c r="AP140" s="17" t="inlineStr">
        <is>
          <t>Y</t>
        </is>
      </c>
      <c r="AQ140" s="17" t="n">
        <v>7</v>
      </c>
      <c r="AR140" s="28" t="inlineStr">
        <is>
          <t>Tier D</t>
        </is>
      </c>
      <c r="AS140" s="17" t="inlineStr">
        <is>
          <t>EDMS</t>
        </is>
      </c>
      <c r="AT140" s="17" t="inlineStr">
        <is>
          <t>기본 문서관리 수요</t>
        </is>
      </c>
      <c r="AU140" s="17" t="inlineStr">
        <is>
          <t>담당자 파악 후 접촉</t>
        </is>
      </c>
      <c r="AV140" s="17" t="inlineStr">
        <is>
          <t>GMP적합판정+KRX</t>
        </is>
      </c>
      <c r="AW140" s="17" t="inlineStr">
        <is>
          <t>2026-07-05</t>
        </is>
      </c>
    </row>
    <row r="141">
      <c r="A141" s="17" t="inlineStr">
        <is>
          <t>C140</t>
        </is>
      </c>
      <c r="B141" s="17" t="inlineStr">
        <is>
          <t>한국넬슨제약</t>
        </is>
      </c>
      <c r="C141" s="17" t="inlineStr">
        <is>
          <t>한국넬슨제약(주)</t>
        </is>
      </c>
      <c r="D141" s="17" t="n">
        <v>1</v>
      </c>
      <c r="E141" s="17" t="n">
        <v>1</v>
      </c>
      <c r="F141" s="17" t="inlineStr">
        <is>
          <t>Y</t>
        </is>
      </c>
      <c r="G141" s="17" t="inlineStr"/>
      <c r="H141" s="17" t="inlineStr"/>
      <c r="I141" s="17" t="inlineStr"/>
      <c r="J141" s="24" t="n">
        <v>46983</v>
      </c>
      <c r="K141" s="17" t="inlineStr"/>
      <c r="L141" s="17" t="inlineStr"/>
      <c r="M141" s="17" t="inlineStr"/>
      <c r="N141" s="23" t="inlineStr"/>
      <c r="O141" s="17" t="inlineStr"/>
      <c r="P141" s="17" t="inlineStr"/>
      <c r="Q141" s="17" t="inlineStr">
        <is>
          <t>김지동</t>
        </is>
      </c>
      <c r="R141" s="17" t="inlineStr"/>
      <c r="S141" s="17" t="inlineStr"/>
      <c r="T141" s="17" t="inlineStr">
        <is>
          <t>043-877-4722</t>
        </is>
      </c>
      <c r="U141" s="17" t="inlineStr">
        <is>
          <t>제조소상세</t>
        </is>
      </c>
      <c r="V141" s="22" t="inlineStr">
        <is>
          <t>미확인</t>
        </is>
      </c>
      <c r="W141" s="22" t="inlineStr">
        <is>
          <t>미확인</t>
        </is>
      </c>
      <c r="X141" s="22" t="inlineStr">
        <is>
          <t>미확인</t>
        </is>
      </c>
      <c r="Y141" s="22" t="inlineStr">
        <is>
          <t>미확인</t>
        </is>
      </c>
      <c r="Z141" s="22" t="inlineStr">
        <is>
          <t>미확인</t>
        </is>
      </c>
      <c r="AA141" s="22" t="inlineStr">
        <is>
          <t>미확인</t>
        </is>
      </c>
      <c r="AB141" s="22" t="inlineStr">
        <is>
          <t>미확인</t>
        </is>
      </c>
      <c r="AC141" s="22" t="inlineStr">
        <is>
          <t>미확인</t>
        </is>
      </c>
      <c r="AD141" s="22" t="inlineStr">
        <is>
          <t>미확인</t>
        </is>
      </c>
      <c r="AE141" s="22" t="inlineStr">
        <is>
          <t>미확인</t>
        </is>
      </c>
      <c r="AF141" s="22" t="inlineStr">
        <is>
          <t>미확인</t>
        </is>
      </c>
      <c r="AG141" s="22" t="inlineStr">
        <is>
          <t>미확인</t>
        </is>
      </c>
      <c r="AH141" s="22" t="inlineStr">
        <is>
          <t>미확인</t>
        </is>
      </c>
      <c r="AI141" s="22" t="inlineStr">
        <is>
          <t>미확인</t>
        </is>
      </c>
      <c r="AJ141" s="22" t="inlineStr">
        <is>
          <t>미확인</t>
        </is>
      </c>
      <c r="AK141" s="22" t="inlineStr">
        <is>
          <t>미확인</t>
        </is>
      </c>
      <c r="AL141" s="22" t="inlineStr">
        <is>
          <t>미확인</t>
        </is>
      </c>
      <c r="AM141" s="22" t="inlineStr">
        <is>
          <t>미확인</t>
        </is>
      </c>
      <c r="AN141" s="22" t="inlineStr">
        <is>
          <t>미확인</t>
        </is>
      </c>
      <c r="AO141" s="17" t="inlineStr">
        <is>
          <t>C(부분확인)</t>
        </is>
      </c>
      <c r="AP141" s="17" t="inlineStr">
        <is>
          <t>Y</t>
        </is>
      </c>
      <c r="AQ141" s="17" t="n">
        <v>4</v>
      </c>
      <c r="AR141" s="28" t="inlineStr">
        <is>
          <t>Tier D</t>
        </is>
      </c>
      <c r="AS141" s="17" t="inlineStr">
        <is>
          <t>EDMS</t>
        </is>
      </c>
      <c r="AT141" s="17" t="inlineStr">
        <is>
          <t>기본 문서관리 수요</t>
        </is>
      </c>
      <c r="AU141" s="17" t="inlineStr">
        <is>
          <t>담당자 파악 후 접촉</t>
        </is>
      </c>
      <c r="AV141" s="17" t="inlineStr">
        <is>
          <t>GMP적합판정+KRX</t>
        </is>
      </c>
      <c r="AW141" s="17" t="inlineStr">
        <is>
          <t>2026-07-05</t>
        </is>
      </c>
    </row>
    <row r="142">
      <c r="A142" s="17" t="inlineStr">
        <is>
          <t>C141</t>
        </is>
      </c>
      <c r="B142" s="17" t="inlineStr">
        <is>
          <t>전남대학교병원</t>
        </is>
      </c>
      <c r="C142" s="17" t="inlineStr">
        <is>
          <t>전남대학교병원</t>
        </is>
      </c>
      <c r="D142" s="17" t="n">
        <v>1</v>
      </c>
      <c r="E142" s="17" t="n">
        <v>1</v>
      </c>
      <c r="F142" s="17" t="inlineStr">
        <is>
          <t>Y</t>
        </is>
      </c>
      <c r="G142" s="17" t="inlineStr"/>
      <c r="H142" s="17" t="inlineStr">
        <is>
          <t>Y</t>
        </is>
      </c>
      <c r="I142" s="17" t="inlineStr"/>
      <c r="J142" s="24" t="n">
        <v>46983</v>
      </c>
      <c r="K142" s="17" t="inlineStr"/>
      <c r="L142" s="17" t="inlineStr"/>
      <c r="M142" s="17" t="inlineStr"/>
      <c r="N142" s="23" t="inlineStr"/>
      <c r="O142" s="17" t="inlineStr"/>
      <c r="P142" s="17" t="inlineStr"/>
      <c r="Q142" s="17" t="inlineStr">
        <is>
          <t>정신</t>
        </is>
      </c>
      <c r="R142" s="17" t="inlineStr"/>
      <c r="S142" s="17" t="inlineStr"/>
      <c r="T142" s="17" t="inlineStr">
        <is>
          <t>062-220-6877</t>
        </is>
      </c>
      <c r="U142" s="17" t="inlineStr">
        <is>
          <t>제조소상세</t>
        </is>
      </c>
      <c r="V142" s="22" t="inlineStr">
        <is>
          <t>미확인</t>
        </is>
      </c>
      <c r="W142" s="22" t="inlineStr">
        <is>
          <t>미확인</t>
        </is>
      </c>
      <c r="X142" s="22" t="inlineStr">
        <is>
          <t>미확인</t>
        </is>
      </c>
      <c r="Y142" s="22" t="inlineStr">
        <is>
          <t>미확인</t>
        </is>
      </c>
      <c r="Z142" s="22" t="inlineStr">
        <is>
          <t>미확인</t>
        </is>
      </c>
      <c r="AA142" s="22" t="inlineStr">
        <is>
          <t>미확인</t>
        </is>
      </c>
      <c r="AB142" s="22" t="inlineStr">
        <is>
          <t>미확인</t>
        </is>
      </c>
      <c r="AC142" s="22" t="inlineStr">
        <is>
          <t>미확인</t>
        </is>
      </c>
      <c r="AD142" s="22" t="inlineStr">
        <is>
          <t>미확인</t>
        </is>
      </c>
      <c r="AE142" s="22" t="inlineStr">
        <is>
          <t>미확인</t>
        </is>
      </c>
      <c r="AF142" s="22" t="inlineStr">
        <is>
          <t>미확인</t>
        </is>
      </c>
      <c r="AG142" s="22" t="inlineStr">
        <is>
          <t>미확인</t>
        </is>
      </c>
      <c r="AH142" s="22" t="inlineStr">
        <is>
          <t>미확인</t>
        </is>
      </c>
      <c r="AI142" s="22" t="inlineStr">
        <is>
          <t>미확인</t>
        </is>
      </c>
      <c r="AJ142" s="22" t="inlineStr">
        <is>
          <t>미확인</t>
        </is>
      </c>
      <c r="AK142" s="22" t="inlineStr">
        <is>
          <t>미확인</t>
        </is>
      </c>
      <c r="AL142" s="22" t="inlineStr">
        <is>
          <t>미확인</t>
        </is>
      </c>
      <c r="AM142" s="22" t="inlineStr">
        <is>
          <t>미확인</t>
        </is>
      </c>
      <c r="AN142" s="22" t="inlineStr">
        <is>
          <t>미확인</t>
        </is>
      </c>
      <c r="AO142" s="17" t="inlineStr">
        <is>
          <t>C(부분확인)</t>
        </is>
      </c>
      <c r="AP142" s="17" t="inlineStr">
        <is>
          <t>Y</t>
        </is>
      </c>
      <c r="AQ142" s="17" t="n">
        <v>12</v>
      </c>
      <c r="AR142" s="28" t="inlineStr">
        <is>
          <t>Tier D</t>
        </is>
      </c>
      <c r="AS142" s="17" t="inlineStr">
        <is>
          <t>QMS+LIMS</t>
        </is>
      </c>
      <c r="AT142" s="17" t="inlineStr">
        <is>
          <t>무균/바이오 제조로 품질관리 난도 높음</t>
        </is>
      </c>
      <c r="AU142" s="17" t="inlineStr">
        <is>
          <t>담당자 파악 후 접촉</t>
        </is>
      </c>
      <c r="AV142" s="17" t="inlineStr">
        <is>
          <t>GMP적합판정+KRX</t>
        </is>
      </c>
      <c r="AW142" s="17" t="inlineStr">
        <is>
          <t>2026-07-05</t>
        </is>
      </c>
    </row>
    <row r="143">
      <c r="A143" s="17" t="inlineStr">
        <is>
          <t>C142</t>
        </is>
      </c>
      <c r="B143" s="17" t="inlineStr">
        <is>
          <t>프로라젠</t>
        </is>
      </c>
      <c r="C143" s="17" t="inlineStr">
        <is>
          <t>(주)프로라젠</t>
        </is>
      </c>
      <c r="D143" s="17" t="n">
        <v>1</v>
      </c>
      <c r="E143" s="17" t="n">
        <v>1</v>
      </c>
      <c r="F143" s="17" t="inlineStr"/>
      <c r="G143" s="17" t="inlineStr">
        <is>
          <t>Y</t>
        </is>
      </c>
      <c r="H143" s="17" t="inlineStr"/>
      <c r="I143" s="17" t="inlineStr"/>
      <c r="J143" s="24" t="n">
        <v>46983</v>
      </c>
      <c r="K143" s="17" t="inlineStr"/>
      <c r="L143" s="17" t="inlineStr"/>
      <c r="M143" s="17" t="inlineStr"/>
      <c r="N143" s="23" t="inlineStr"/>
      <c r="O143" s="17" t="inlineStr"/>
      <c r="P143" s="17" t="inlineStr"/>
      <c r="Q143" s="17" t="inlineStr">
        <is>
          <t>김지태, 이광훈</t>
        </is>
      </c>
      <c r="R143" s="17" t="inlineStr"/>
      <c r="S143" s="17" t="inlineStr"/>
      <c r="T143" s="17" t="inlineStr">
        <is>
          <t>070-7770-6330</t>
        </is>
      </c>
      <c r="U143" s="17" t="inlineStr">
        <is>
          <t>제조소상세</t>
        </is>
      </c>
      <c r="V143" s="22" t="inlineStr">
        <is>
          <t>미확인</t>
        </is>
      </c>
      <c r="W143" s="22" t="inlineStr">
        <is>
          <t>미확인</t>
        </is>
      </c>
      <c r="X143" s="22" t="inlineStr">
        <is>
          <t>미확인</t>
        </is>
      </c>
      <c r="Y143" s="22" t="inlineStr">
        <is>
          <t>미확인</t>
        </is>
      </c>
      <c r="Z143" s="22" t="inlineStr">
        <is>
          <t>미확인</t>
        </is>
      </c>
      <c r="AA143" s="22" t="inlineStr">
        <is>
          <t>미확인</t>
        </is>
      </c>
      <c r="AB143" s="22" t="inlineStr">
        <is>
          <t>미확인</t>
        </is>
      </c>
      <c r="AC143" s="22" t="inlineStr">
        <is>
          <t>미확인</t>
        </is>
      </c>
      <c r="AD143" s="22" t="inlineStr">
        <is>
          <t>미확인</t>
        </is>
      </c>
      <c r="AE143" s="22" t="inlineStr">
        <is>
          <t>미확인</t>
        </is>
      </c>
      <c r="AF143" s="22" t="inlineStr">
        <is>
          <t>미확인</t>
        </is>
      </c>
      <c r="AG143" s="22" t="inlineStr">
        <is>
          <t>미확인</t>
        </is>
      </c>
      <c r="AH143" s="22" t="inlineStr">
        <is>
          <t>미확인</t>
        </is>
      </c>
      <c r="AI143" s="22" t="inlineStr">
        <is>
          <t>미확인</t>
        </is>
      </c>
      <c r="AJ143" s="22" t="inlineStr">
        <is>
          <t>미확인</t>
        </is>
      </c>
      <c r="AK143" s="22" t="inlineStr">
        <is>
          <t>미확인</t>
        </is>
      </c>
      <c r="AL143" s="22" t="inlineStr">
        <is>
          <t>미확인</t>
        </is>
      </c>
      <c r="AM143" s="22" t="inlineStr">
        <is>
          <t>미확인</t>
        </is>
      </c>
      <c r="AN143" s="22" t="inlineStr">
        <is>
          <t>미확인</t>
        </is>
      </c>
      <c r="AO143" s="17" t="inlineStr">
        <is>
          <t>C(부분확인)</t>
        </is>
      </c>
      <c r="AP143" s="17" t="inlineStr">
        <is>
          <t>Y</t>
        </is>
      </c>
      <c r="AQ143" s="17" t="n">
        <v>4</v>
      </c>
      <c r="AR143" s="28" t="inlineStr">
        <is>
          <t>Tier D</t>
        </is>
      </c>
      <c r="AS143" s="17" t="inlineStr">
        <is>
          <t>LIMS</t>
        </is>
      </c>
      <c r="AT143" s="17" t="inlineStr">
        <is>
          <t>원료 제조로 시험실 관리 필요</t>
        </is>
      </c>
      <c r="AU143" s="17" t="inlineStr">
        <is>
          <t>담당자 파악 후 접촉</t>
        </is>
      </c>
      <c r="AV143" s="17" t="inlineStr">
        <is>
          <t>GMP적합판정+KRX</t>
        </is>
      </c>
      <c r="AW143" s="17" t="inlineStr">
        <is>
          <t>2026-07-05</t>
        </is>
      </c>
    </row>
    <row r="144">
      <c r="A144" s="17" t="inlineStr">
        <is>
          <t>C143</t>
        </is>
      </c>
      <c r="B144" s="17" t="inlineStr">
        <is>
          <t>휴온스메디텍</t>
        </is>
      </c>
      <c r="C144" s="17" t="inlineStr">
        <is>
          <t>(주)휴온스메디텍</t>
        </is>
      </c>
      <c r="D144" s="17" t="n">
        <v>1</v>
      </c>
      <c r="E144" s="17" t="n">
        <v>1</v>
      </c>
      <c r="F144" s="17" t="inlineStr">
        <is>
          <t>Y</t>
        </is>
      </c>
      <c r="G144" s="17" t="inlineStr"/>
      <c r="H144" s="17" t="inlineStr"/>
      <c r="I144" s="17" t="inlineStr"/>
      <c r="J144" s="24" t="n">
        <v>46983</v>
      </c>
      <c r="K144" s="17" t="inlineStr"/>
      <c r="L144" s="17" t="inlineStr"/>
      <c r="M144" s="17" t="inlineStr"/>
      <c r="N144" s="23" t="inlineStr"/>
      <c r="O144" s="17" t="inlineStr"/>
      <c r="P144" s="17" t="inlineStr"/>
      <c r="Q144" s="17" t="inlineStr">
        <is>
          <t>하창우</t>
        </is>
      </c>
      <c r="R144" s="17" t="inlineStr"/>
      <c r="S144" s="17" t="inlineStr"/>
      <c r="T144" s="17" t="inlineStr">
        <is>
          <t>05183110300519790922</t>
        </is>
      </c>
      <c r="U144" s="17" t="inlineStr">
        <is>
          <t>제조소상세</t>
        </is>
      </c>
      <c r="V144" s="22" t="inlineStr">
        <is>
          <t>미확인</t>
        </is>
      </c>
      <c r="W144" s="22" t="inlineStr">
        <is>
          <t>미확인</t>
        </is>
      </c>
      <c r="X144" s="22" t="inlineStr">
        <is>
          <t>미확인</t>
        </is>
      </c>
      <c r="Y144" s="22" t="inlineStr">
        <is>
          <t>미확인</t>
        </is>
      </c>
      <c r="Z144" s="22" t="inlineStr">
        <is>
          <t>미확인</t>
        </is>
      </c>
      <c r="AA144" s="22" t="inlineStr">
        <is>
          <t>미확인</t>
        </is>
      </c>
      <c r="AB144" s="22" t="inlineStr">
        <is>
          <t>미확인</t>
        </is>
      </c>
      <c r="AC144" s="22" t="inlineStr">
        <is>
          <t>미확인</t>
        </is>
      </c>
      <c r="AD144" s="22" t="inlineStr">
        <is>
          <t>미확인</t>
        </is>
      </c>
      <c r="AE144" s="22" t="inlineStr">
        <is>
          <t>미확인</t>
        </is>
      </c>
      <c r="AF144" s="22" t="inlineStr">
        <is>
          <t>미확인</t>
        </is>
      </c>
      <c r="AG144" s="22" t="inlineStr">
        <is>
          <t>미확인</t>
        </is>
      </c>
      <c r="AH144" s="22" t="inlineStr">
        <is>
          <t>미확인</t>
        </is>
      </c>
      <c r="AI144" s="22" t="inlineStr">
        <is>
          <t>미확인</t>
        </is>
      </c>
      <c r="AJ144" s="22" t="inlineStr">
        <is>
          <t>미확인</t>
        </is>
      </c>
      <c r="AK144" s="22" t="inlineStr">
        <is>
          <t>미확인</t>
        </is>
      </c>
      <c r="AL144" s="22" t="inlineStr">
        <is>
          <t>미확인</t>
        </is>
      </c>
      <c r="AM144" s="22" t="inlineStr">
        <is>
          <t>미확인</t>
        </is>
      </c>
      <c r="AN144" s="22" t="inlineStr">
        <is>
          <t>미확인</t>
        </is>
      </c>
      <c r="AO144" s="17" t="inlineStr">
        <is>
          <t>C(부분확인)</t>
        </is>
      </c>
      <c r="AP144" s="17" t="inlineStr">
        <is>
          <t>Y</t>
        </is>
      </c>
      <c r="AQ144" s="17" t="n">
        <v>4</v>
      </c>
      <c r="AR144" s="28" t="inlineStr">
        <is>
          <t>Tier D</t>
        </is>
      </c>
      <c r="AS144" s="17" t="inlineStr">
        <is>
          <t>EDMS</t>
        </is>
      </c>
      <c r="AT144" s="17" t="inlineStr">
        <is>
          <t>기본 문서관리 수요</t>
        </is>
      </c>
      <c r="AU144" s="17" t="inlineStr">
        <is>
          <t>담당자 파악 후 접촉</t>
        </is>
      </c>
      <c r="AV144" s="17" t="inlineStr">
        <is>
          <t>GMP적합판정+KRX</t>
        </is>
      </c>
      <c r="AW144" s="17" t="inlineStr">
        <is>
          <t>2026-07-05</t>
        </is>
      </c>
    </row>
    <row r="145">
      <c r="A145" s="17" t="inlineStr">
        <is>
          <t>C144</t>
        </is>
      </c>
      <c r="B145" s="17" t="inlineStr">
        <is>
          <t>오스코리아제약</t>
        </is>
      </c>
      <c r="C145" s="17" t="inlineStr">
        <is>
          <t>(주)오스코리아제약</t>
        </is>
      </c>
      <c r="D145" s="17" t="n">
        <v>1</v>
      </c>
      <c r="E145" s="17" t="n">
        <v>1</v>
      </c>
      <c r="F145" s="17" t="inlineStr">
        <is>
          <t>Y</t>
        </is>
      </c>
      <c r="G145" s="17" t="inlineStr"/>
      <c r="H145" s="17" t="inlineStr">
        <is>
          <t>Y</t>
        </is>
      </c>
      <c r="I145" s="17" t="inlineStr"/>
      <c r="J145" s="24" t="n">
        <v>46976</v>
      </c>
      <c r="K145" s="17" t="inlineStr"/>
      <c r="L145" s="17" t="inlineStr"/>
      <c r="M145" s="17" t="inlineStr"/>
      <c r="N145" s="23" t="inlineStr"/>
      <c r="O145" s="17" t="inlineStr"/>
      <c r="P145" s="17" t="inlineStr"/>
      <c r="Q145" s="17" t="inlineStr">
        <is>
          <t>박종현</t>
        </is>
      </c>
      <c r="R145" s="17" t="inlineStr"/>
      <c r="S145" s="17" t="inlineStr"/>
      <c r="T145" s="17" t="inlineStr">
        <is>
          <t>033-731-2801</t>
        </is>
      </c>
      <c r="U145" s="17" t="inlineStr">
        <is>
          <t>제조소상세</t>
        </is>
      </c>
      <c r="V145" s="22" t="inlineStr">
        <is>
          <t>미확인</t>
        </is>
      </c>
      <c r="W145" s="22" t="inlineStr">
        <is>
          <t>미확인</t>
        </is>
      </c>
      <c r="X145" s="22" t="inlineStr">
        <is>
          <t>미확인</t>
        </is>
      </c>
      <c r="Y145" s="22" t="inlineStr">
        <is>
          <t>미확인</t>
        </is>
      </c>
      <c r="Z145" s="22" t="inlineStr">
        <is>
          <t>미확인</t>
        </is>
      </c>
      <c r="AA145" s="22" t="inlineStr">
        <is>
          <t>미확인</t>
        </is>
      </c>
      <c r="AB145" s="22" t="inlineStr">
        <is>
          <t>미확인</t>
        </is>
      </c>
      <c r="AC145" s="22" t="inlineStr">
        <is>
          <t>미확인</t>
        </is>
      </c>
      <c r="AD145" s="22" t="inlineStr">
        <is>
          <t>미확인</t>
        </is>
      </c>
      <c r="AE145" s="22" t="inlineStr">
        <is>
          <t>미확인</t>
        </is>
      </c>
      <c r="AF145" s="22" t="inlineStr">
        <is>
          <t>미확인</t>
        </is>
      </c>
      <c r="AG145" s="22" t="inlineStr">
        <is>
          <t>미확인</t>
        </is>
      </c>
      <c r="AH145" s="22" t="inlineStr">
        <is>
          <t>미확인</t>
        </is>
      </c>
      <c r="AI145" s="22" t="inlineStr">
        <is>
          <t>미확인</t>
        </is>
      </c>
      <c r="AJ145" s="22" t="inlineStr">
        <is>
          <t>미확인</t>
        </is>
      </c>
      <c r="AK145" s="22" t="inlineStr">
        <is>
          <t>미확인</t>
        </is>
      </c>
      <c r="AL145" s="22" t="inlineStr">
        <is>
          <t>미확인</t>
        </is>
      </c>
      <c r="AM145" s="22" t="inlineStr">
        <is>
          <t>미확인</t>
        </is>
      </c>
      <c r="AN145" s="22" t="inlineStr">
        <is>
          <t>미확인</t>
        </is>
      </c>
      <c r="AO145" s="17" t="inlineStr">
        <is>
          <t>C(부분확인)</t>
        </is>
      </c>
      <c r="AP145" s="17" t="inlineStr">
        <is>
          <t>Y</t>
        </is>
      </c>
      <c r="AQ145" s="17" t="n">
        <v>12</v>
      </c>
      <c r="AR145" s="28" t="inlineStr">
        <is>
          <t>Tier D</t>
        </is>
      </c>
      <c r="AS145" s="17" t="inlineStr">
        <is>
          <t>QMS+LIMS</t>
        </is>
      </c>
      <c r="AT145" s="17" t="inlineStr">
        <is>
          <t>무균/바이오 제조로 품질관리 난도 높음</t>
        </is>
      </c>
      <c r="AU145" s="17" t="inlineStr">
        <is>
          <t>담당자 파악 후 접촉</t>
        </is>
      </c>
      <c r="AV145" s="17" t="inlineStr">
        <is>
          <t>GMP적합판정+KRX</t>
        </is>
      </c>
      <c r="AW145" s="17" t="inlineStr">
        <is>
          <t>2026-07-05</t>
        </is>
      </c>
    </row>
    <row r="146">
      <c r="A146" s="17" t="inlineStr">
        <is>
          <t>C145</t>
        </is>
      </c>
      <c r="B146" s="17" t="inlineStr">
        <is>
          <t>현대바이오랜드</t>
        </is>
      </c>
      <c r="C146" s="17" t="inlineStr">
        <is>
          <t>주식회사현대바이오랜드</t>
        </is>
      </c>
      <c r="D146" s="17" t="n">
        <v>1</v>
      </c>
      <c r="E146" s="17" t="n">
        <v>1</v>
      </c>
      <c r="F146" s="17" t="inlineStr"/>
      <c r="G146" s="17" t="inlineStr">
        <is>
          <t>Y</t>
        </is>
      </c>
      <c r="H146" s="17" t="inlineStr"/>
      <c r="I146" s="17" t="inlineStr"/>
      <c r="J146" s="24" t="n">
        <v>46976</v>
      </c>
      <c r="K146" s="17" t="inlineStr"/>
      <c r="L146" s="17" t="inlineStr">
        <is>
          <t>Y</t>
        </is>
      </c>
      <c r="M146" s="17" t="inlineStr">
        <is>
          <t>코스닥</t>
        </is>
      </c>
      <c r="N146" s="23" t="inlineStr">
        <is>
          <t>052260</t>
        </is>
      </c>
      <c r="O146" s="17" t="inlineStr">
        <is>
          <t>기타 화학제품 제조업</t>
        </is>
      </c>
      <c r="P146" s="17" t="inlineStr">
        <is>
          <t>천연물질 추출물, 미생물 배양제품</t>
        </is>
      </c>
      <c r="Q146" s="17" t="inlineStr">
        <is>
          <t>이희준</t>
        </is>
      </c>
      <c r="R146" s="17" t="inlineStr">
        <is>
          <t>http://www.hyundaibioland.co.kr</t>
        </is>
      </c>
      <c r="S146" s="17" t="inlineStr">
        <is>
          <t>충청북도</t>
        </is>
      </c>
      <c r="T146" s="17" t="inlineStr">
        <is>
          <t>043-249-6720</t>
        </is>
      </c>
      <c r="U146" s="17" t="inlineStr">
        <is>
          <t>제조소상세</t>
        </is>
      </c>
      <c r="V146" s="22" t="inlineStr">
        <is>
          <t>미확인</t>
        </is>
      </c>
      <c r="W146" s="22" t="inlineStr">
        <is>
          <t>미확인</t>
        </is>
      </c>
      <c r="X146" s="22" t="inlineStr">
        <is>
          <t>미확인</t>
        </is>
      </c>
      <c r="Y146" s="22" t="inlineStr">
        <is>
          <t>미확인</t>
        </is>
      </c>
      <c r="Z146" s="22" t="inlineStr">
        <is>
          <t>미확인</t>
        </is>
      </c>
      <c r="AA146" s="22" t="inlineStr">
        <is>
          <t>미확인</t>
        </is>
      </c>
      <c r="AB146" s="22" t="inlineStr">
        <is>
          <t>미확인</t>
        </is>
      </c>
      <c r="AC146" s="22" t="inlineStr">
        <is>
          <t>미확인</t>
        </is>
      </c>
      <c r="AD146" s="22" t="inlineStr">
        <is>
          <t>미확인</t>
        </is>
      </c>
      <c r="AE146" s="22" t="inlineStr">
        <is>
          <t>미확인</t>
        </is>
      </c>
      <c r="AF146" s="22" t="inlineStr">
        <is>
          <t>미확인</t>
        </is>
      </c>
      <c r="AG146" s="22" t="inlineStr">
        <is>
          <t>미확인</t>
        </is>
      </c>
      <c r="AH146" s="22" t="inlineStr">
        <is>
          <t>미확인</t>
        </is>
      </c>
      <c r="AI146" s="22" t="inlineStr">
        <is>
          <t>미확인</t>
        </is>
      </c>
      <c r="AJ146" s="22" t="inlineStr">
        <is>
          <t>미확인</t>
        </is>
      </c>
      <c r="AK146" s="22" t="inlineStr">
        <is>
          <t>미확인</t>
        </is>
      </c>
      <c r="AL146" s="22" t="inlineStr">
        <is>
          <t>미확인</t>
        </is>
      </c>
      <c r="AM146" s="22" t="inlineStr">
        <is>
          <t>미확인</t>
        </is>
      </c>
      <c r="AN146" s="22" t="inlineStr">
        <is>
          <t>미확인</t>
        </is>
      </c>
      <c r="AO146" s="17" t="inlineStr">
        <is>
          <t>C(부분확인)</t>
        </is>
      </c>
      <c r="AP146" s="17" t="inlineStr">
        <is>
          <t>Y</t>
        </is>
      </c>
      <c r="AQ146" s="17" t="n">
        <v>7</v>
      </c>
      <c r="AR146" s="28" t="inlineStr">
        <is>
          <t>Tier D</t>
        </is>
      </c>
      <c r="AS146" s="17" t="inlineStr">
        <is>
          <t>LIMS</t>
        </is>
      </c>
      <c r="AT146" s="17" t="inlineStr">
        <is>
          <t>원료 제조로 시험실 관리 필요</t>
        </is>
      </c>
      <c r="AU146" s="17" t="inlineStr">
        <is>
          <t>담당자 파악 후 접촉</t>
        </is>
      </c>
      <c r="AV146" s="17" t="inlineStr">
        <is>
          <t>GMP적합판정+KRX</t>
        </is>
      </c>
      <c r="AW146" s="17" t="inlineStr">
        <is>
          <t>2026-07-05</t>
        </is>
      </c>
    </row>
    <row r="147">
      <c r="A147" s="17" t="inlineStr">
        <is>
          <t>C146</t>
        </is>
      </c>
      <c r="B147" s="17" t="inlineStr">
        <is>
          <t>팩슨</t>
        </is>
      </c>
      <c r="C147" s="17" t="inlineStr">
        <is>
          <t>(주)팩슨</t>
        </is>
      </c>
      <c r="D147" s="17" t="n">
        <v>1</v>
      </c>
      <c r="E147" s="17" t="n">
        <v>1</v>
      </c>
      <c r="F147" s="17" t="inlineStr">
        <is>
          <t>Y</t>
        </is>
      </c>
      <c r="G147" s="17" t="inlineStr"/>
      <c r="H147" s="17" t="inlineStr"/>
      <c r="I147" s="17" t="inlineStr"/>
      <c r="J147" s="24" t="n">
        <v>46975</v>
      </c>
      <c r="K147" s="17" t="inlineStr"/>
      <c r="L147" s="17" t="inlineStr"/>
      <c r="M147" s="17" t="inlineStr"/>
      <c r="N147" s="23" t="inlineStr"/>
      <c r="O147" s="17" t="inlineStr"/>
      <c r="P147" s="17" t="inlineStr"/>
      <c r="Q147" s="17" t="inlineStr">
        <is>
          <t>정상윤</t>
        </is>
      </c>
      <c r="R147" s="17" t="inlineStr"/>
      <c r="S147" s="17" t="inlineStr"/>
      <c r="T147" s="17" t="inlineStr">
        <is>
          <t>053-581-5425</t>
        </is>
      </c>
      <c r="U147" s="17" t="inlineStr">
        <is>
          <t>제조소상세</t>
        </is>
      </c>
      <c r="V147" s="22" t="inlineStr">
        <is>
          <t>미확인</t>
        </is>
      </c>
      <c r="W147" s="22" t="inlineStr">
        <is>
          <t>미확인</t>
        </is>
      </c>
      <c r="X147" s="22" t="inlineStr">
        <is>
          <t>미확인</t>
        </is>
      </c>
      <c r="Y147" s="22" t="inlineStr">
        <is>
          <t>미확인</t>
        </is>
      </c>
      <c r="Z147" s="22" t="inlineStr">
        <is>
          <t>미확인</t>
        </is>
      </c>
      <c r="AA147" s="22" t="inlineStr">
        <is>
          <t>미확인</t>
        </is>
      </c>
      <c r="AB147" s="22" t="inlineStr">
        <is>
          <t>미확인</t>
        </is>
      </c>
      <c r="AC147" s="22" t="inlineStr">
        <is>
          <t>미확인</t>
        </is>
      </c>
      <c r="AD147" s="22" t="inlineStr">
        <is>
          <t>미확인</t>
        </is>
      </c>
      <c r="AE147" s="22" t="inlineStr">
        <is>
          <t>미확인</t>
        </is>
      </c>
      <c r="AF147" s="22" t="inlineStr">
        <is>
          <t>미확인</t>
        </is>
      </c>
      <c r="AG147" s="22" t="inlineStr">
        <is>
          <t>미확인</t>
        </is>
      </c>
      <c r="AH147" s="22" t="inlineStr">
        <is>
          <t>미확인</t>
        </is>
      </c>
      <c r="AI147" s="22" t="inlineStr">
        <is>
          <t>미확인</t>
        </is>
      </c>
      <c r="AJ147" s="22" t="inlineStr">
        <is>
          <t>미확인</t>
        </is>
      </c>
      <c r="AK147" s="22" t="inlineStr">
        <is>
          <t>미확인</t>
        </is>
      </c>
      <c r="AL147" s="22" t="inlineStr">
        <is>
          <t>미확인</t>
        </is>
      </c>
      <c r="AM147" s="22" t="inlineStr">
        <is>
          <t>미확인</t>
        </is>
      </c>
      <c r="AN147" s="22" t="inlineStr">
        <is>
          <t>미확인</t>
        </is>
      </c>
      <c r="AO147" s="17" t="inlineStr">
        <is>
          <t>C(부분확인)</t>
        </is>
      </c>
      <c r="AP147" s="17" t="inlineStr">
        <is>
          <t>Y</t>
        </is>
      </c>
      <c r="AQ147" s="17" t="n">
        <v>4</v>
      </c>
      <c r="AR147" s="28" t="inlineStr">
        <is>
          <t>Tier D</t>
        </is>
      </c>
      <c r="AS147" s="17" t="inlineStr">
        <is>
          <t>EDMS</t>
        </is>
      </c>
      <c r="AT147" s="17" t="inlineStr">
        <is>
          <t>기본 문서관리 수요</t>
        </is>
      </c>
      <c r="AU147" s="17" t="inlineStr">
        <is>
          <t>담당자 파악 후 접촉</t>
        </is>
      </c>
      <c r="AV147" s="17" t="inlineStr">
        <is>
          <t>GMP적합판정+KRX</t>
        </is>
      </c>
      <c r="AW147" s="17" t="inlineStr">
        <is>
          <t>2026-07-05</t>
        </is>
      </c>
    </row>
    <row r="148">
      <c r="A148" s="17" t="inlineStr">
        <is>
          <t>C147</t>
        </is>
      </c>
      <c r="B148" s="17" t="inlineStr">
        <is>
          <t>태경에코</t>
        </is>
      </c>
      <c r="C148" s="17" t="inlineStr">
        <is>
          <t>태경에코(주)</t>
        </is>
      </c>
      <c r="D148" s="17" t="n">
        <v>1</v>
      </c>
      <c r="E148" s="17" t="n">
        <v>1</v>
      </c>
      <c r="F148" s="17" t="inlineStr">
        <is>
          <t>Y</t>
        </is>
      </c>
      <c r="G148" s="17" t="inlineStr"/>
      <c r="H148" s="17" t="inlineStr"/>
      <c r="I148" s="17" t="inlineStr"/>
      <c r="J148" s="24" t="n">
        <v>46975</v>
      </c>
      <c r="K148" s="17" t="inlineStr"/>
      <c r="L148" s="17" t="inlineStr"/>
      <c r="M148" s="17" t="inlineStr"/>
      <c r="N148" s="23" t="inlineStr"/>
      <c r="O148" s="17" t="inlineStr"/>
      <c r="P148" s="17" t="inlineStr"/>
      <c r="Q148" s="17" t="inlineStr">
        <is>
          <t>김민정</t>
        </is>
      </c>
      <c r="R148" s="17" t="inlineStr"/>
      <c r="S148" s="17" t="inlineStr"/>
      <c r="T148" s="17" t="inlineStr">
        <is>
          <t>미확인</t>
        </is>
      </c>
      <c r="U148" s="17" t="inlineStr">
        <is>
          <t>미확인</t>
        </is>
      </c>
      <c r="V148" s="22" t="inlineStr">
        <is>
          <t>미확인</t>
        </is>
      </c>
      <c r="W148" s="22" t="inlineStr">
        <is>
          <t>미확인</t>
        </is>
      </c>
      <c r="X148" s="22" t="inlineStr">
        <is>
          <t>미확인</t>
        </is>
      </c>
      <c r="Y148" s="22" t="inlineStr">
        <is>
          <t>미확인</t>
        </is>
      </c>
      <c r="Z148" s="22" t="inlineStr">
        <is>
          <t>미확인</t>
        </is>
      </c>
      <c r="AA148" s="22" t="inlineStr">
        <is>
          <t>미확인</t>
        </is>
      </c>
      <c r="AB148" s="22" t="inlineStr">
        <is>
          <t>미확인</t>
        </is>
      </c>
      <c r="AC148" s="22" t="inlineStr">
        <is>
          <t>미확인</t>
        </is>
      </c>
      <c r="AD148" s="22" t="inlineStr">
        <is>
          <t>미확인</t>
        </is>
      </c>
      <c r="AE148" s="22" t="inlineStr">
        <is>
          <t>미확인</t>
        </is>
      </c>
      <c r="AF148" s="22" t="inlineStr">
        <is>
          <t>미확인</t>
        </is>
      </c>
      <c r="AG148" s="22" t="inlineStr">
        <is>
          <t>미확인</t>
        </is>
      </c>
      <c r="AH148" s="22" t="inlineStr">
        <is>
          <t>미확인</t>
        </is>
      </c>
      <c r="AI148" s="22" t="inlineStr">
        <is>
          <t>미확인</t>
        </is>
      </c>
      <c r="AJ148" s="22" t="inlineStr">
        <is>
          <t>미확인</t>
        </is>
      </c>
      <c r="AK148" s="22" t="inlineStr">
        <is>
          <t>미확인</t>
        </is>
      </c>
      <c r="AL148" s="22" t="inlineStr">
        <is>
          <t>미확인</t>
        </is>
      </c>
      <c r="AM148" s="22" t="inlineStr">
        <is>
          <t>미확인</t>
        </is>
      </c>
      <c r="AN148" s="22" t="inlineStr">
        <is>
          <t>미확인</t>
        </is>
      </c>
      <c r="AO148" s="17" t="inlineStr">
        <is>
          <t>C(부분확인)</t>
        </is>
      </c>
      <c r="AP148" s="17" t="inlineStr">
        <is>
          <t>Y</t>
        </is>
      </c>
      <c r="AQ148" s="17" t="n">
        <v>4</v>
      </c>
      <c r="AR148" s="28" t="inlineStr">
        <is>
          <t>Tier D</t>
        </is>
      </c>
      <c r="AS148" s="17" t="inlineStr">
        <is>
          <t>EDMS</t>
        </is>
      </c>
      <c r="AT148" s="17" t="inlineStr">
        <is>
          <t>기본 문서관리 수요</t>
        </is>
      </c>
      <c r="AU148" s="17" t="inlineStr">
        <is>
          <t>담당자 파악 후 접촉</t>
        </is>
      </c>
      <c r="AV148" s="17" t="inlineStr">
        <is>
          <t>GMP적합판정+KRX</t>
        </is>
      </c>
      <c r="AW148" s="17" t="inlineStr">
        <is>
          <t>2026-07-05</t>
        </is>
      </c>
    </row>
    <row r="149">
      <c r="A149" s="17" t="inlineStr">
        <is>
          <t>C148</t>
        </is>
      </c>
      <c r="B149" s="17" t="inlineStr">
        <is>
          <t>제뉴원사이언스</t>
        </is>
      </c>
      <c r="C149" s="17" t="inlineStr">
        <is>
          <t>주식회사제뉴원사이언스</t>
        </is>
      </c>
      <c r="D149" s="17" t="n">
        <v>1</v>
      </c>
      <c r="E149" s="17" t="n">
        <v>1</v>
      </c>
      <c r="F149" s="17" t="inlineStr">
        <is>
          <t>Y</t>
        </is>
      </c>
      <c r="G149" s="17" t="inlineStr"/>
      <c r="H149" s="17" t="inlineStr">
        <is>
          <t>Y</t>
        </is>
      </c>
      <c r="I149" s="17" t="inlineStr"/>
      <c r="J149" s="24" t="n">
        <v>46969</v>
      </c>
      <c r="K149" s="17" t="inlineStr"/>
      <c r="L149" s="17" t="inlineStr"/>
      <c r="M149" s="17" t="inlineStr"/>
      <c r="N149" s="23" t="inlineStr"/>
      <c r="O149" s="17" t="inlineStr"/>
      <c r="P149" s="17" t="inlineStr"/>
      <c r="Q149" s="17" t="inlineStr">
        <is>
          <t>전광현</t>
        </is>
      </c>
      <c r="R149" s="17" t="inlineStr"/>
      <c r="S149" s="17" t="inlineStr"/>
      <c r="T149" s="17" t="inlineStr">
        <is>
          <t>080-601-0080</t>
        </is>
      </c>
      <c r="U149" s="17" t="inlineStr">
        <is>
          <t>제조소상세</t>
        </is>
      </c>
      <c r="V149" s="22" t="inlineStr">
        <is>
          <t>미확인</t>
        </is>
      </c>
      <c r="W149" s="22" t="inlineStr">
        <is>
          <t>미확인</t>
        </is>
      </c>
      <c r="X149" s="22" t="inlineStr">
        <is>
          <t>미확인</t>
        </is>
      </c>
      <c r="Y149" s="22" t="inlineStr">
        <is>
          <t>미확인</t>
        </is>
      </c>
      <c r="Z149" s="22" t="inlineStr">
        <is>
          <t>미확인</t>
        </is>
      </c>
      <c r="AA149" s="22" t="inlineStr">
        <is>
          <t>미확인</t>
        </is>
      </c>
      <c r="AB149" s="22" t="inlineStr">
        <is>
          <t>미확인</t>
        </is>
      </c>
      <c r="AC149" s="22" t="inlineStr">
        <is>
          <t>미확인</t>
        </is>
      </c>
      <c r="AD149" s="22" t="inlineStr">
        <is>
          <t>미확인</t>
        </is>
      </c>
      <c r="AE149" s="22" t="inlineStr">
        <is>
          <t>미확인</t>
        </is>
      </c>
      <c r="AF149" s="22" t="inlineStr">
        <is>
          <t>미확인</t>
        </is>
      </c>
      <c r="AG149" s="22" t="inlineStr">
        <is>
          <t>미확인</t>
        </is>
      </c>
      <c r="AH149" s="22" t="inlineStr">
        <is>
          <t>미확인</t>
        </is>
      </c>
      <c r="AI149" s="22" t="inlineStr">
        <is>
          <t>미확인</t>
        </is>
      </c>
      <c r="AJ149" s="22" t="inlineStr">
        <is>
          <t>미확인</t>
        </is>
      </c>
      <c r="AK149" s="22" t="inlineStr">
        <is>
          <t>미확인</t>
        </is>
      </c>
      <c r="AL149" s="22" t="inlineStr">
        <is>
          <t>미확인</t>
        </is>
      </c>
      <c r="AM149" s="22" t="inlineStr">
        <is>
          <t>미확인</t>
        </is>
      </c>
      <c r="AN149" s="22" t="inlineStr">
        <is>
          <t>미확인</t>
        </is>
      </c>
      <c r="AO149" s="17" t="inlineStr">
        <is>
          <t>C(부분확인)</t>
        </is>
      </c>
      <c r="AP149" s="17" t="inlineStr">
        <is>
          <t>Y</t>
        </is>
      </c>
      <c r="AQ149" s="17" t="n">
        <v>12</v>
      </c>
      <c r="AR149" s="28" t="inlineStr">
        <is>
          <t>Tier D</t>
        </is>
      </c>
      <c r="AS149" s="17" t="inlineStr">
        <is>
          <t>QMS+LIMS</t>
        </is>
      </c>
      <c r="AT149" s="17" t="inlineStr">
        <is>
          <t>무균/바이오 제조로 품질관리 난도 높음</t>
        </is>
      </c>
      <c r="AU149" s="17" t="inlineStr">
        <is>
          <t>담당자 파악 후 접촉</t>
        </is>
      </c>
      <c r="AV149" s="17" t="inlineStr">
        <is>
          <t>GMP적합판정+KRX</t>
        </is>
      </c>
      <c r="AW149" s="17" t="inlineStr">
        <is>
          <t>2026-07-05</t>
        </is>
      </c>
    </row>
    <row r="150">
      <c r="A150" s="17" t="inlineStr">
        <is>
          <t>C149</t>
        </is>
      </c>
      <c r="B150" s="17" t="inlineStr">
        <is>
          <t>한영기업</t>
        </is>
      </c>
      <c r="C150" s="17" t="inlineStr">
        <is>
          <t>한영기업(주)</t>
        </is>
      </c>
      <c r="D150" s="17" t="n">
        <v>1</v>
      </c>
      <c r="E150" s="17" t="n">
        <v>1</v>
      </c>
      <c r="F150" s="17" t="inlineStr">
        <is>
          <t>Y</t>
        </is>
      </c>
      <c r="G150" s="17" t="inlineStr"/>
      <c r="H150" s="17" t="inlineStr"/>
      <c r="I150" s="17" t="inlineStr"/>
      <c r="J150" s="24" t="n">
        <v>46963</v>
      </c>
      <c r="K150" s="17" t="inlineStr"/>
      <c r="L150" s="17" t="inlineStr"/>
      <c r="M150" s="17" t="inlineStr"/>
      <c r="N150" s="23" t="inlineStr"/>
      <c r="O150" s="17" t="inlineStr"/>
      <c r="P150" s="17" t="inlineStr"/>
      <c r="Q150" s="17" t="inlineStr">
        <is>
          <t>김영훈</t>
        </is>
      </c>
      <c r="R150" s="17" t="inlineStr"/>
      <c r="S150" s="17" t="inlineStr"/>
      <c r="T150" s="17" t="inlineStr">
        <is>
          <t>051-403-4787</t>
        </is>
      </c>
      <c r="U150" s="17" t="inlineStr">
        <is>
          <t>제조소상세</t>
        </is>
      </c>
      <c r="V150" s="22" t="inlineStr">
        <is>
          <t>미확인</t>
        </is>
      </c>
      <c r="W150" s="22" t="inlineStr">
        <is>
          <t>미확인</t>
        </is>
      </c>
      <c r="X150" s="22" t="inlineStr">
        <is>
          <t>미확인</t>
        </is>
      </c>
      <c r="Y150" s="22" t="inlineStr">
        <is>
          <t>미확인</t>
        </is>
      </c>
      <c r="Z150" s="22" t="inlineStr">
        <is>
          <t>미확인</t>
        </is>
      </c>
      <c r="AA150" s="22" t="inlineStr">
        <is>
          <t>미확인</t>
        </is>
      </c>
      <c r="AB150" s="22" t="inlineStr">
        <is>
          <t>미확인</t>
        </is>
      </c>
      <c r="AC150" s="22" t="inlineStr">
        <is>
          <t>미확인</t>
        </is>
      </c>
      <c r="AD150" s="22" t="inlineStr">
        <is>
          <t>미확인</t>
        </is>
      </c>
      <c r="AE150" s="22" t="inlineStr">
        <is>
          <t>미확인</t>
        </is>
      </c>
      <c r="AF150" s="22" t="inlineStr">
        <is>
          <t>미확인</t>
        </is>
      </c>
      <c r="AG150" s="22" t="inlineStr">
        <is>
          <t>미확인</t>
        </is>
      </c>
      <c r="AH150" s="22" t="inlineStr">
        <is>
          <t>미확인</t>
        </is>
      </c>
      <c r="AI150" s="22" t="inlineStr">
        <is>
          <t>미확인</t>
        </is>
      </c>
      <c r="AJ150" s="22" t="inlineStr">
        <is>
          <t>미확인</t>
        </is>
      </c>
      <c r="AK150" s="22" t="inlineStr">
        <is>
          <t>미확인</t>
        </is>
      </c>
      <c r="AL150" s="22" t="inlineStr">
        <is>
          <t>미확인</t>
        </is>
      </c>
      <c r="AM150" s="22" t="inlineStr">
        <is>
          <t>미확인</t>
        </is>
      </c>
      <c r="AN150" s="22" t="inlineStr">
        <is>
          <t>미확인</t>
        </is>
      </c>
      <c r="AO150" s="17" t="inlineStr">
        <is>
          <t>C(부분확인)</t>
        </is>
      </c>
      <c r="AP150" s="17" t="inlineStr">
        <is>
          <t>Y</t>
        </is>
      </c>
      <c r="AQ150" s="17" t="n">
        <v>4</v>
      </c>
      <c r="AR150" s="28" t="inlineStr">
        <is>
          <t>Tier D</t>
        </is>
      </c>
      <c r="AS150" s="17" t="inlineStr">
        <is>
          <t>EDMS</t>
        </is>
      </c>
      <c r="AT150" s="17" t="inlineStr">
        <is>
          <t>기본 문서관리 수요</t>
        </is>
      </c>
      <c r="AU150" s="17" t="inlineStr">
        <is>
          <t>담당자 파악 후 접촉</t>
        </is>
      </c>
      <c r="AV150" s="17" t="inlineStr">
        <is>
          <t>GMP적합판정+KRX</t>
        </is>
      </c>
      <c r="AW150" s="17" t="inlineStr">
        <is>
          <t>2026-07-05</t>
        </is>
      </c>
    </row>
    <row r="151">
      <c r="A151" s="17" t="inlineStr">
        <is>
          <t>C150</t>
        </is>
      </c>
      <c r="B151" s="17" t="inlineStr">
        <is>
          <t>보령</t>
        </is>
      </c>
      <c r="C151" s="17" t="inlineStr">
        <is>
          <t>(주)보령</t>
        </is>
      </c>
      <c r="D151" s="17" t="n">
        <v>4</v>
      </c>
      <c r="E151" s="17" t="n">
        <v>2</v>
      </c>
      <c r="F151" s="17" t="inlineStr">
        <is>
          <t>Y</t>
        </is>
      </c>
      <c r="G151" s="17" t="inlineStr">
        <is>
          <t>Y</t>
        </is>
      </c>
      <c r="H151" s="17" t="inlineStr">
        <is>
          <t>Y</t>
        </is>
      </c>
      <c r="I151" s="17" t="inlineStr"/>
      <c r="J151" s="24" t="n">
        <v>46960</v>
      </c>
      <c r="K151" s="17" t="inlineStr"/>
      <c r="L151" s="17" t="inlineStr">
        <is>
          <t>Y</t>
        </is>
      </c>
      <c r="M151" s="17" t="inlineStr">
        <is>
          <t>유가</t>
        </is>
      </c>
      <c r="N151" s="23" t="inlineStr">
        <is>
          <t>003850</t>
        </is>
      </c>
      <c r="O151" s="17" t="inlineStr">
        <is>
          <t>의약품 제조업</t>
        </is>
      </c>
      <c r="P151" s="17" t="inlineStr">
        <is>
          <t>의약품(제산제(겔포스),구심,용각산,고혈압치료제(카프릴),소염진통제(멘소레담),항생제(듀리세프),혈전치료제(아스트릭스)) 제조</t>
        </is>
      </c>
      <c r="Q151" s="17" t="inlineStr">
        <is>
          <t>김정균</t>
        </is>
      </c>
      <c r="R151" s="17" t="inlineStr">
        <is>
          <t>http://www.boryung.co.kr</t>
        </is>
      </c>
      <c r="S151" s="17" t="inlineStr">
        <is>
          <t>서울특별시</t>
        </is>
      </c>
      <c r="T151" s="17" t="inlineStr">
        <is>
          <t>02-708-8016</t>
        </is>
      </c>
      <c r="U151" s="17" t="inlineStr">
        <is>
          <t>제조소상세</t>
        </is>
      </c>
      <c r="V151" s="22" t="inlineStr">
        <is>
          <t>미확인</t>
        </is>
      </c>
      <c r="W151" s="22" t="inlineStr">
        <is>
          <t>미확인</t>
        </is>
      </c>
      <c r="X151" s="22" t="inlineStr">
        <is>
          <t>미확인</t>
        </is>
      </c>
      <c r="Y151" s="22" t="inlineStr">
        <is>
          <t>미확인</t>
        </is>
      </c>
      <c r="Z151" s="22" t="inlineStr">
        <is>
          <t>미확인</t>
        </is>
      </c>
      <c r="AA151" s="22" t="inlineStr">
        <is>
          <t>미확인</t>
        </is>
      </c>
      <c r="AB151" s="22" t="inlineStr">
        <is>
          <t>미확인</t>
        </is>
      </c>
      <c r="AC151" s="22" t="inlineStr">
        <is>
          <t>미확인</t>
        </is>
      </c>
      <c r="AD151" s="22" t="inlineStr">
        <is>
          <t>미확인</t>
        </is>
      </c>
      <c r="AE151" s="22" t="inlineStr">
        <is>
          <t>미확인</t>
        </is>
      </c>
      <c r="AF151" s="22" t="inlineStr">
        <is>
          <t>미확인</t>
        </is>
      </c>
      <c r="AG151" s="22" t="inlineStr">
        <is>
          <t>미확인</t>
        </is>
      </c>
      <c r="AH151" s="22" t="inlineStr">
        <is>
          <t>미확인</t>
        </is>
      </c>
      <c r="AI151" s="22" t="inlineStr">
        <is>
          <t>미확인</t>
        </is>
      </c>
      <c r="AJ151" s="22" t="inlineStr">
        <is>
          <t>미확인</t>
        </is>
      </c>
      <c r="AK151" s="22" t="inlineStr">
        <is>
          <t>미확인</t>
        </is>
      </c>
      <c r="AL151" s="22" t="inlineStr">
        <is>
          <t>미확인</t>
        </is>
      </c>
      <c r="AM151" s="22" t="inlineStr">
        <is>
          <t>미확인</t>
        </is>
      </c>
      <c r="AN151" s="22" t="inlineStr">
        <is>
          <t>미확인</t>
        </is>
      </c>
      <c r="AO151" s="17" t="inlineStr">
        <is>
          <t>C(부분확인)</t>
        </is>
      </c>
      <c r="AP151" s="17" t="inlineStr">
        <is>
          <t>Y</t>
        </is>
      </c>
      <c r="AQ151" s="17" t="n">
        <v>19</v>
      </c>
      <c r="AR151" s="28" t="inlineStr">
        <is>
          <t>Tier D</t>
        </is>
      </c>
      <c r="AS151" s="17" t="inlineStr">
        <is>
          <t>통합형</t>
        </is>
      </c>
      <c r="AT151" s="17" t="inlineStr">
        <is>
          <t>다중 제조소/다수 판정서로 문서관리 복잡; 무균/바이오 제조로 품질관리 난도 높음</t>
        </is>
      </c>
      <c r="AU151" s="17" t="inlineStr">
        <is>
          <t>담당자 파악 후 접촉</t>
        </is>
      </c>
      <c r="AV151" s="17" t="inlineStr">
        <is>
          <t>GMP적합판정+KRX</t>
        </is>
      </c>
      <c r="AW151" s="17" t="inlineStr">
        <is>
          <t>2026-07-05</t>
        </is>
      </c>
    </row>
    <row r="152">
      <c r="A152" s="17" t="inlineStr">
        <is>
          <t>C151</t>
        </is>
      </c>
      <c r="B152" s="17" t="inlineStr">
        <is>
          <t>에이치엘비펩</t>
        </is>
      </c>
      <c r="C152" s="17" t="inlineStr">
        <is>
          <t>에이치엘비펩(주)</t>
        </is>
      </c>
      <c r="D152" s="17" t="n">
        <v>2</v>
      </c>
      <c r="E152" s="17" t="n">
        <v>2</v>
      </c>
      <c r="F152" s="17" t="inlineStr"/>
      <c r="G152" s="17" t="inlineStr">
        <is>
          <t>Y</t>
        </is>
      </c>
      <c r="H152" s="17" t="inlineStr"/>
      <c r="I152" s="17" t="inlineStr"/>
      <c r="J152" s="24" t="n">
        <v>46842</v>
      </c>
      <c r="K152" s="17" t="inlineStr"/>
      <c r="L152" s="17" t="inlineStr"/>
      <c r="M152" s="17" t="inlineStr"/>
      <c r="N152" s="23" t="inlineStr"/>
      <c r="O152" s="17" t="inlineStr"/>
      <c r="P152" s="17" t="inlineStr"/>
      <c r="Q152" s="17" t="inlineStr">
        <is>
          <t>심경재</t>
        </is>
      </c>
      <c r="R152" s="17" t="inlineStr"/>
      <c r="S152" s="17" t="inlineStr"/>
      <c r="T152" s="17" t="inlineStr">
        <is>
          <t>070-4331-5130</t>
        </is>
      </c>
      <c r="U152" s="17" t="inlineStr">
        <is>
          <t>제조소상세</t>
        </is>
      </c>
      <c r="V152" s="22" t="inlineStr">
        <is>
          <t>미확인</t>
        </is>
      </c>
      <c r="W152" s="22" t="inlineStr">
        <is>
          <t>미확인</t>
        </is>
      </c>
      <c r="X152" s="22" t="inlineStr">
        <is>
          <t>미확인</t>
        </is>
      </c>
      <c r="Y152" s="22" t="inlineStr">
        <is>
          <t>미확인</t>
        </is>
      </c>
      <c r="Z152" s="22" t="inlineStr">
        <is>
          <t>미확인</t>
        </is>
      </c>
      <c r="AA152" s="22" t="inlineStr">
        <is>
          <t>미확인</t>
        </is>
      </c>
      <c r="AB152" s="22" t="inlineStr">
        <is>
          <t>미확인</t>
        </is>
      </c>
      <c r="AC152" s="22" t="inlineStr">
        <is>
          <t>미확인</t>
        </is>
      </c>
      <c r="AD152" s="22" t="inlineStr">
        <is>
          <t>미확인</t>
        </is>
      </c>
      <c r="AE152" s="22" t="inlineStr">
        <is>
          <t>미확인</t>
        </is>
      </c>
      <c r="AF152" s="22" t="inlineStr">
        <is>
          <t>미확인</t>
        </is>
      </c>
      <c r="AG152" s="22" t="inlineStr">
        <is>
          <t>미확인</t>
        </is>
      </c>
      <c r="AH152" s="22" t="inlineStr">
        <is>
          <t>미확인</t>
        </is>
      </c>
      <c r="AI152" s="22" t="inlineStr">
        <is>
          <t>미확인</t>
        </is>
      </c>
      <c r="AJ152" s="22" t="inlineStr">
        <is>
          <t>미확인</t>
        </is>
      </c>
      <c r="AK152" s="22" t="inlineStr">
        <is>
          <t>미확인</t>
        </is>
      </c>
      <c r="AL152" s="22" t="inlineStr">
        <is>
          <t>미확인</t>
        </is>
      </c>
      <c r="AM152" s="22" t="inlineStr">
        <is>
          <t>미확인</t>
        </is>
      </c>
      <c r="AN152" s="22" t="inlineStr">
        <is>
          <t>미확인</t>
        </is>
      </c>
      <c r="AO152" s="17" t="inlineStr">
        <is>
          <t>C(부분확인)</t>
        </is>
      </c>
      <c r="AP152" s="17" t="inlineStr">
        <is>
          <t>Y</t>
        </is>
      </c>
      <c r="AQ152" s="17" t="n">
        <v>8</v>
      </c>
      <c r="AR152" s="28" t="inlineStr">
        <is>
          <t>Tier D</t>
        </is>
      </c>
      <c r="AS152" s="17" t="inlineStr">
        <is>
          <t>통합형</t>
        </is>
      </c>
      <c r="AT152" s="17" t="inlineStr">
        <is>
          <t>다중 제조소/다수 판정서로 문서관리 복잡; 원료 제조로 시험실 관리 필요</t>
        </is>
      </c>
      <c r="AU152" s="17" t="inlineStr">
        <is>
          <t>담당자 파악 후 접촉</t>
        </is>
      </c>
      <c r="AV152" s="17" t="inlineStr">
        <is>
          <t>GMP적합판정+KRX</t>
        </is>
      </c>
      <c r="AW152" s="17" t="inlineStr">
        <is>
          <t>2026-07-05</t>
        </is>
      </c>
    </row>
    <row r="153">
      <c r="A153" s="17" t="inlineStr">
        <is>
          <t>C152</t>
        </is>
      </c>
      <c r="B153" s="17" t="inlineStr">
        <is>
          <t>대한의산</t>
        </is>
      </c>
      <c r="C153" s="17" t="inlineStr">
        <is>
          <t>대한의산(주)</t>
        </is>
      </c>
      <c r="D153" s="17" t="n">
        <v>1</v>
      </c>
      <c r="E153" s="17" t="n">
        <v>1</v>
      </c>
      <c r="F153" s="17" t="inlineStr">
        <is>
          <t>Y</t>
        </is>
      </c>
      <c r="G153" s="17" t="inlineStr"/>
      <c r="H153" s="17" t="inlineStr"/>
      <c r="I153" s="17" t="inlineStr"/>
      <c r="J153" s="24" t="n">
        <v>46960</v>
      </c>
      <c r="K153" s="17" t="inlineStr"/>
      <c r="L153" s="17" t="inlineStr"/>
      <c r="M153" s="17" t="inlineStr"/>
      <c r="N153" s="23" t="inlineStr"/>
      <c r="O153" s="17" t="inlineStr"/>
      <c r="P153" s="17" t="inlineStr"/>
      <c r="Q153" s="17" t="inlineStr">
        <is>
          <t>김성주</t>
        </is>
      </c>
      <c r="R153" s="17" t="inlineStr"/>
      <c r="S153" s="17" t="inlineStr"/>
      <c r="T153" s="17" t="inlineStr">
        <is>
          <t>031-635-2345</t>
        </is>
      </c>
      <c r="U153" s="17" t="inlineStr">
        <is>
          <t>제조소상세</t>
        </is>
      </c>
      <c r="V153" s="22" t="inlineStr">
        <is>
          <t>미확인</t>
        </is>
      </c>
      <c r="W153" s="22" t="inlineStr">
        <is>
          <t>미확인</t>
        </is>
      </c>
      <c r="X153" s="22" t="inlineStr">
        <is>
          <t>미확인</t>
        </is>
      </c>
      <c r="Y153" s="22" t="inlineStr">
        <is>
          <t>미확인</t>
        </is>
      </c>
      <c r="Z153" s="22" t="inlineStr">
        <is>
          <t>미확인</t>
        </is>
      </c>
      <c r="AA153" s="22" t="inlineStr">
        <is>
          <t>미확인</t>
        </is>
      </c>
      <c r="AB153" s="22" t="inlineStr">
        <is>
          <t>미확인</t>
        </is>
      </c>
      <c r="AC153" s="22" t="inlineStr">
        <is>
          <t>미확인</t>
        </is>
      </c>
      <c r="AD153" s="22" t="inlineStr">
        <is>
          <t>미확인</t>
        </is>
      </c>
      <c r="AE153" s="22" t="inlineStr">
        <is>
          <t>미확인</t>
        </is>
      </c>
      <c r="AF153" s="22" t="inlineStr">
        <is>
          <t>미확인</t>
        </is>
      </c>
      <c r="AG153" s="22" t="inlineStr">
        <is>
          <t>미확인</t>
        </is>
      </c>
      <c r="AH153" s="22" t="inlineStr">
        <is>
          <t>미확인</t>
        </is>
      </c>
      <c r="AI153" s="22" t="inlineStr">
        <is>
          <t>미확인</t>
        </is>
      </c>
      <c r="AJ153" s="22" t="inlineStr">
        <is>
          <t>미확인</t>
        </is>
      </c>
      <c r="AK153" s="22" t="inlineStr">
        <is>
          <t>미확인</t>
        </is>
      </c>
      <c r="AL153" s="22" t="inlineStr">
        <is>
          <t>미확인</t>
        </is>
      </c>
      <c r="AM153" s="22" t="inlineStr">
        <is>
          <t>미확인</t>
        </is>
      </c>
      <c r="AN153" s="22" t="inlineStr">
        <is>
          <t>미확인</t>
        </is>
      </c>
      <c r="AO153" s="17" t="inlineStr">
        <is>
          <t>C(부분확인)</t>
        </is>
      </c>
      <c r="AP153" s="17" t="inlineStr">
        <is>
          <t>Y</t>
        </is>
      </c>
      <c r="AQ153" s="17" t="n">
        <v>4</v>
      </c>
      <c r="AR153" s="28" t="inlineStr">
        <is>
          <t>Tier D</t>
        </is>
      </c>
      <c r="AS153" s="17" t="inlineStr">
        <is>
          <t>EDMS</t>
        </is>
      </c>
      <c r="AT153" s="17" t="inlineStr">
        <is>
          <t>기본 문서관리 수요</t>
        </is>
      </c>
      <c r="AU153" s="17" t="inlineStr">
        <is>
          <t>담당자 파악 후 접촉</t>
        </is>
      </c>
      <c r="AV153" s="17" t="inlineStr">
        <is>
          <t>GMP적합판정+KRX</t>
        </is>
      </c>
      <c r="AW153" s="17" t="inlineStr">
        <is>
          <t>2026-07-05</t>
        </is>
      </c>
    </row>
    <row r="154">
      <c r="A154" s="17" t="inlineStr">
        <is>
          <t>C153</t>
        </is>
      </c>
      <c r="B154" s="17" t="inlineStr">
        <is>
          <t>펩트론</t>
        </is>
      </c>
      <c r="C154" s="17" t="inlineStr">
        <is>
          <t>(주)펩트론</t>
        </is>
      </c>
      <c r="D154" s="17" t="n">
        <v>1</v>
      </c>
      <c r="E154" s="17" t="n">
        <v>1</v>
      </c>
      <c r="F154" s="17" t="inlineStr">
        <is>
          <t>Y</t>
        </is>
      </c>
      <c r="G154" s="17" t="inlineStr"/>
      <c r="H154" s="17" t="inlineStr">
        <is>
          <t>Y</t>
        </is>
      </c>
      <c r="I154" s="17" t="inlineStr"/>
      <c r="J154" s="24" t="n">
        <v>46958</v>
      </c>
      <c r="K154" s="17" t="inlineStr"/>
      <c r="L154" s="17" t="inlineStr">
        <is>
          <t>Y</t>
        </is>
      </c>
      <c r="M154" s="17" t="inlineStr">
        <is>
          <t>코스닥</t>
        </is>
      </c>
      <c r="N154" s="23" t="inlineStr">
        <is>
          <t>087010</t>
        </is>
      </c>
      <c r="O154" s="17" t="inlineStr">
        <is>
          <t>기초 의약물질 제조업</t>
        </is>
      </c>
      <c r="P154" s="17" t="inlineStr">
        <is>
          <t>약효지속성 의약품 및 펩타이드 소재</t>
        </is>
      </c>
      <c r="Q154" s="17" t="inlineStr">
        <is>
          <t>최호일</t>
        </is>
      </c>
      <c r="R154" s="17" t="inlineStr">
        <is>
          <t>http://www.peptron.co.kr</t>
        </is>
      </c>
      <c r="S154" s="17" t="inlineStr">
        <is>
          <t>대전광역시</t>
        </is>
      </c>
      <c r="T154" s="17" t="inlineStr">
        <is>
          <t>미확인</t>
        </is>
      </c>
      <c r="U154" s="17" t="inlineStr">
        <is>
          <t>미확인</t>
        </is>
      </c>
      <c r="V154" s="22" t="inlineStr">
        <is>
          <t>미확인</t>
        </is>
      </c>
      <c r="W154" s="22" t="inlineStr">
        <is>
          <t>미확인</t>
        </is>
      </c>
      <c r="X154" s="22" t="inlineStr">
        <is>
          <t>미확인</t>
        </is>
      </c>
      <c r="Y154" s="22" t="inlineStr">
        <is>
          <t>미확인</t>
        </is>
      </c>
      <c r="Z154" s="22" t="inlineStr">
        <is>
          <t>미확인</t>
        </is>
      </c>
      <c r="AA154" s="22" t="inlineStr">
        <is>
          <t>미확인</t>
        </is>
      </c>
      <c r="AB154" s="22" t="inlineStr">
        <is>
          <t>미확인</t>
        </is>
      </c>
      <c r="AC154" s="22" t="inlineStr">
        <is>
          <t>미확인</t>
        </is>
      </c>
      <c r="AD154" s="22" t="inlineStr">
        <is>
          <t>미확인</t>
        </is>
      </c>
      <c r="AE154" s="22" t="inlineStr">
        <is>
          <t>미확인</t>
        </is>
      </c>
      <c r="AF154" s="22" t="inlineStr">
        <is>
          <t>미확인</t>
        </is>
      </c>
      <c r="AG154" s="22" t="inlineStr">
        <is>
          <t>미확인</t>
        </is>
      </c>
      <c r="AH154" s="22" t="inlineStr">
        <is>
          <t>미확인</t>
        </is>
      </c>
      <c r="AI154" s="22" t="inlineStr">
        <is>
          <t>미확인</t>
        </is>
      </c>
      <c r="AJ154" s="22" t="inlineStr">
        <is>
          <t>미확인</t>
        </is>
      </c>
      <c r="AK154" s="22" t="inlineStr">
        <is>
          <t>미확인</t>
        </is>
      </c>
      <c r="AL154" s="22" t="inlineStr">
        <is>
          <t>미확인</t>
        </is>
      </c>
      <c r="AM154" s="22" t="inlineStr">
        <is>
          <t>미확인</t>
        </is>
      </c>
      <c r="AN154" s="22" t="inlineStr">
        <is>
          <t>미확인</t>
        </is>
      </c>
      <c r="AO154" s="17" t="inlineStr">
        <is>
          <t>C(부분확인)</t>
        </is>
      </c>
      <c r="AP154" s="17" t="inlineStr">
        <is>
          <t>Y</t>
        </is>
      </c>
      <c r="AQ154" s="17" t="n">
        <v>12</v>
      </c>
      <c r="AR154" s="28" t="inlineStr">
        <is>
          <t>Tier D</t>
        </is>
      </c>
      <c r="AS154" s="17" t="inlineStr">
        <is>
          <t>QMS+LIMS</t>
        </is>
      </c>
      <c r="AT154" s="17" t="inlineStr">
        <is>
          <t>무균/바이오 제조로 품질관리 난도 높음</t>
        </is>
      </c>
      <c r="AU154" s="17" t="inlineStr">
        <is>
          <t>담당자 파악 후 접촉</t>
        </is>
      </c>
      <c r="AV154" s="17" t="inlineStr">
        <is>
          <t>GMP적합판정+KRX</t>
        </is>
      </c>
      <c r="AW154" s="17" t="inlineStr">
        <is>
          <t>2026-07-05</t>
        </is>
      </c>
    </row>
    <row r="155">
      <c r="A155" s="17" t="inlineStr">
        <is>
          <t>C154</t>
        </is>
      </c>
      <c r="B155" s="17" t="inlineStr">
        <is>
          <t>초당약품공업</t>
        </is>
      </c>
      <c r="C155" s="17" t="inlineStr">
        <is>
          <t>초당약품공업(주)</t>
        </is>
      </c>
      <c r="D155" s="17" t="n">
        <v>1</v>
      </c>
      <c r="E155" s="17" t="n">
        <v>1</v>
      </c>
      <c r="F155" s="17" t="inlineStr">
        <is>
          <t>Y</t>
        </is>
      </c>
      <c r="G155" s="17" t="inlineStr"/>
      <c r="H155" s="17" t="inlineStr"/>
      <c r="I155" s="17" t="inlineStr"/>
      <c r="J155" s="24" t="n">
        <v>46956</v>
      </c>
      <c r="K155" s="17" t="inlineStr"/>
      <c r="L155" s="17" t="inlineStr"/>
      <c r="M155" s="17" t="inlineStr"/>
      <c r="N155" s="23" t="inlineStr"/>
      <c r="O155" s="17" t="inlineStr"/>
      <c r="P155" s="17" t="inlineStr"/>
      <c r="Q155" s="17" t="inlineStr">
        <is>
          <t>김우석</t>
        </is>
      </c>
      <c r="R155" s="17" t="inlineStr"/>
      <c r="S155" s="17" t="inlineStr"/>
      <c r="T155" s="17" t="inlineStr">
        <is>
          <t>02-869-0181</t>
        </is>
      </c>
      <c r="U155" s="17" t="inlineStr">
        <is>
          <t>제조소상세</t>
        </is>
      </c>
      <c r="V155" s="22" t="inlineStr">
        <is>
          <t>미확인</t>
        </is>
      </c>
      <c r="W155" s="22" t="inlineStr">
        <is>
          <t>미확인</t>
        </is>
      </c>
      <c r="X155" s="22" t="inlineStr">
        <is>
          <t>미확인</t>
        </is>
      </c>
      <c r="Y155" s="22" t="inlineStr">
        <is>
          <t>미확인</t>
        </is>
      </c>
      <c r="Z155" s="22" t="inlineStr">
        <is>
          <t>미확인</t>
        </is>
      </c>
      <c r="AA155" s="22" t="inlineStr">
        <is>
          <t>미확인</t>
        </is>
      </c>
      <c r="AB155" s="22" t="inlineStr">
        <is>
          <t>미확인</t>
        </is>
      </c>
      <c r="AC155" s="22" t="inlineStr">
        <is>
          <t>미확인</t>
        </is>
      </c>
      <c r="AD155" s="22" t="inlineStr">
        <is>
          <t>미확인</t>
        </is>
      </c>
      <c r="AE155" s="22" t="inlineStr">
        <is>
          <t>미확인</t>
        </is>
      </c>
      <c r="AF155" s="22" t="inlineStr">
        <is>
          <t>미확인</t>
        </is>
      </c>
      <c r="AG155" s="22" t="inlineStr">
        <is>
          <t>미확인</t>
        </is>
      </c>
      <c r="AH155" s="22" t="inlineStr">
        <is>
          <t>미확인</t>
        </is>
      </c>
      <c r="AI155" s="22" t="inlineStr">
        <is>
          <t>미확인</t>
        </is>
      </c>
      <c r="AJ155" s="22" t="inlineStr">
        <is>
          <t>미확인</t>
        </is>
      </c>
      <c r="AK155" s="22" t="inlineStr">
        <is>
          <t>미확인</t>
        </is>
      </c>
      <c r="AL155" s="22" t="inlineStr">
        <is>
          <t>미확인</t>
        </is>
      </c>
      <c r="AM155" s="22" t="inlineStr">
        <is>
          <t>미확인</t>
        </is>
      </c>
      <c r="AN155" s="22" t="inlineStr">
        <is>
          <t>미확인</t>
        </is>
      </c>
      <c r="AO155" s="17" t="inlineStr">
        <is>
          <t>C(부분확인)</t>
        </is>
      </c>
      <c r="AP155" s="17" t="inlineStr">
        <is>
          <t>Y</t>
        </is>
      </c>
      <c r="AQ155" s="17" t="n">
        <v>4</v>
      </c>
      <c r="AR155" s="28" t="inlineStr">
        <is>
          <t>Tier D</t>
        </is>
      </c>
      <c r="AS155" s="17" t="inlineStr">
        <is>
          <t>EDMS</t>
        </is>
      </c>
      <c r="AT155" s="17" t="inlineStr">
        <is>
          <t>기본 문서관리 수요</t>
        </is>
      </c>
      <c r="AU155" s="17" t="inlineStr">
        <is>
          <t>담당자 파악 후 접촉</t>
        </is>
      </c>
      <c r="AV155" s="17" t="inlineStr">
        <is>
          <t>GMP적합판정+KRX</t>
        </is>
      </c>
      <c r="AW155" s="17" t="inlineStr">
        <is>
          <t>2026-07-05</t>
        </is>
      </c>
    </row>
    <row r="156">
      <c r="A156" s="17" t="inlineStr">
        <is>
          <t>C155</t>
        </is>
      </c>
      <c r="B156" s="17" t="inlineStr">
        <is>
          <t>일화</t>
        </is>
      </c>
      <c r="C156" s="17" t="inlineStr">
        <is>
          <t>(주)일화</t>
        </is>
      </c>
      <c r="D156" s="17" t="n">
        <v>1</v>
      </c>
      <c r="E156" s="17" t="n">
        <v>1</v>
      </c>
      <c r="F156" s="17" t="inlineStr">
        <is>
          <t>Y</t>
        </is>
      </c>
      <c r="G156" s="17" t="inlineStr"/>
      <c r="H156" s="17" t="inlineStr"/>
      <c r="I156" s="17" t="inlineStr"/>
      <c r="J156" s="24" t="n">
        <v>46955</v>
      </c>
      <c r="K156" s="17" t="inlineStr"/>
      <c r="L156" s="17" t="inlineStr"/>
      <c r="M156" s="17" t="inlineStr"/>
      <c r="N156" s="23" t="inlineStr"/>
      <c r="O156" s="17" t="inlineStr"/>
      <c r="P156" s="17" t="inlineStr"/>
      <c r="Q156" s="17" t="inlineStr">
        <is>
          <t>권형중</t>
        </is>
      </c>
      <c r="R156" s="17" t="inlineStr"/>
      <c r="S156" s="17" t="inlineStr"/>
      <c r="T156" s="17" t="inlineStr">
        <is>
          <t>031-550-0477</t>
        </is>
      </c>
      <c r="U156" s="17" t="inlineStr">
        <is>
          <t>제조소상세</t>
        </is>
      </c>
      <c r="V156" s="22" t="inlineStr">
        <is>
          <t>미확인</t>
        </is>
      </c>
      <c r="W156" s="22" t="inlineStr">
        <is>
          <t>미확인</t>
        </is>
      </c>
      <c r="X156" s="22" t="inlineStr">
        <is>
          <t>미확인</t>
        </is>
      </c>
      <c r="Y156" s="22" t="inlineStr">
        <is>
          <t>미확인</t>
        </is>
      </c>
      <c r="Z156" s="22" t="inlineStr">
        <is>
          <t>미확인</t>
        </is>
      </c>
      <c r="AA156" s="22" t="inlineStr">
        <is>
          <t>미확인</t>
        </is>
      </c>
      <c r="AB156" s="22" t="inlineStr">
        <is>
          <t>미확인</t>
        </is>
      </c>
      <c r="AC156" s="22" t="inlineStr">
        <is>
          <t>미확인</t>
        </is>
      </c>
      <c r="AD156" s="22" t="inlineStr">
        <is>
          <t>미확인</t>
        </is>
      </c>
      <c r="AE156" s="22" t="inlineStr">
        <is>
          <t>미확인</t>
        </is>
      </c>
      <c r="AF156" s="22" t="inlineStr">
        <is>
          <t>미확인</t>
        </is>
      </c>
      <c r="AG156" s="22" t="inlineStr">
        <is>
          <t>미확인</t>
        </is>
      </c>
      <c r="AH156" s="22" t="inlineStr">
        <is>
          <t>미확인</t>
        </is>
      </c>
      <c r="AI156" s="22" t="inlineStr">
        <is>
          <t>미확인</t>
        </is>
      </c>
      <c r="AJ156" s="22" t="inlineStr">
        <is>
          <t>미확인</t>
        </is>
      </c>
      <c r="AK156" s="22" t="inlineStr">
        <is>
          <t>미확인</t>
        </is>
      </c>
      <c r="AL156" s="22" t="inlineStr">
        <is>
          <t>미확인</t>
        </is>
      </c>
      <c r="AM156" s="22" t="inlineStr">
        <is>
          <t>미확인</t>
        </is>
      </c>
      <c r="AN156" s="22" t="inlineStr">
        <is>
          <t>미확인</t>
        </is>
      </c>
      <c r="AO156" s="17" t="inlineStr">
        <is>
          <t>C(부분확인)</t>
        </is>
      </c>
      <c r="AP156" s="17" t="inlineStr">
        <is>
          <t>Y</t>
        </is>
      </c>
      <c r="AQ156" s="17" t="n">
        <v>4</v>
      </c>
      <c r="AR156" s="28" t="inlineStr">
        <is>
          <t>Tier D</t>
        </is>
      </c>
      <c r="AS156" s="17" t="inlineStr">
        <is>
          <t>EDMS</t>
        </is>
      </c>
      <c r="AT156" s="17" t="inlineStr">
        <is>
          <t>기본 문서관리 수요</t>
        </is>
      </c>
      <c r="AU156" s="17" t="inlineStr">
        <is>
          <t>담당자 파악 후 접촉</t>
        </is>
      </c>
      <c r="AV156" s="17" t="inlineStr">
        <is>
          <t>GMP적합판정+KRX</t>
        </is>
      </c>
      <c r="AW156" s="17" t="inlineStr">
        <is>
          <t>2026-07-05</t>
        </is>
      </c>
    </row>
    <row r="157">
      <c r="A157" s="17" t="inlineStr">
        <is>
          <t>C156</t>
        </is>
      </c>
      <c r="B157" s="17" t="inlineStr">
        <is>
          <t>삼덕가스공업</t>
        </is>
      </c>
      <c r="C157" s="17" t="inlineStr">
        <is>
          <t>삼덕가스공업(주)</t>
        </is>
      </c>
      <c r="D157" s="17" t="n">
        <v>1</v>
      </c>
      <c r="E157" s="17" t="n">
        <v>1</v>
      </c>
      <c r="F157" s="17" t="inlineStr">
        <is>
          <t>Y</t>
        </is>
      </c>
      <c r="G157" s="17" t="inlineStr"/>
      <c r="H157" s="17" t="inlineStr"/>
      <c r="I157" s="17" t="inlineStr"/>
      <c r="J157" s="24" t="n">
        <v>46954</v>
      </c>
      <c r="K157" s="17" t="inlineStr"/>
      <c r="L157" s="17" t="inlineStr"/>
      <c r="M157" s="17" t="inlineStr"/>
      <c r="N157" s="23" t="inlineStr"/>
      <c r="O157" s="17" t="inlineStr"/>
      <c r="P157" s="17" t="inlineStr"/>
      <c r="Q157" s="17" t="inlineStr">
        <is>
          <t>김기도</t>
        </is>
      </c>
      <c r="R157" s="17" t="inlineStr"/>
      <c r="S157" s="17" t="inlineStr"/>
      <c r="T157" s="17" t="inlineStr">
        <is>
          <t>031-983-5584</t>
        </is>
      </c>
      <c r="U157" s="17" t="inlineStr">
        <is>
          <t>제조소상세</t>
        </is>
      </c>
      <c r="V157" s="22" t="inlineStr">
        <is>
          <t>미확인</t>
        </is>
      </c>
      <c r="W157" s="22" t="inlineStr">
        <is>
          <t>미확인</t>
        </is>
      </c>
      <c r="X157" s="22" t="inlineStr">
        <is>
          <t>미확인</t>
        </is>
      </c>
      <c r="Y157" s="22" t="inlineStr">
        <is>
          <t>미확인</t>
        </is>
      </c>
      <c r="Z157" s="22" t="inlineStr">
        <is>
          <t>미확인</t>
        </is>
      </c>
      <c r="AA157" s="22" t="inlineStr">
        <is>
          <t>미확인</t>
        </is>
      </c>
      <c r="AB157" s="22" t="inlineStr">
        <is>
          <t>미확인</t>
        </is>
      </c>
      <c r="AC157" s="22" t="inlineStr">
        <is>
          <t>미확인</t>
        </is>
      </c>
      <c r="AD157" s="22" t="inlineStr">
        <is>
          <t>미확인</t>
        </is>
      </c>
      <c r="AE157" s="22" t="inlineStr">
        <is>
          <t>미확인</t>
        </is>
      </c>
      <c r="AF157" s="22" t="inlineStr">
        <is>
          <t>미확인</t>
        </is>
      </c>
      <c r="AG157" s="22" t="inlineStr">
        <is>
          <t>미확인</t>
        </is>
      </c>
      <c r="AH157" s="22" t="inlineStr">
        <is>
          <t>미확인</t>
        </is>
      </c>
      <c r="AI157" s="22" t="inlineStr">
        <is>
          <t>미확인</t>
        </is>
      </c>
      <c r="AJ157" s="22" t="inlineStr">
        <is>
          <t>미확인</t>
        </is>
      </c>
      <c r="AK157" s="22" t="inlineStr">
        <is>
          <t>미확인</t>
        </is>
      </c>
      <c r="AL157" s="22" t="inlineStr">
        <is>
          <t>미확인</t>
        </is>
      </c>
      <c r="AM157" s="22" t="inlineStr">
        <is>
          <t>미확인</t>
        </is>
      </c>
      <c r="AN157" s="22" t="inlineStr">
        <is>
          <t>미확인</t>
        </is>
      </c>
      <c r="AO157" s="17" t="inlineStr">
        <is>
          <t>C(부분확인)</t>
        </is>
      </c>
      <c r="AP157" s="17" t="inlineStr">
        <is>
          <t>Y</t>
        </is>
      </c>
      <c r="AQ157" s="17" t="n">
        <v>4</v>
      </c>
      <c r="AR157" s="28" t="inlineStr">
        <is>
          <t>Tier D</t>
        </is>
      </c>
      <c r="AS157" s="17" t="inlineStr">
        <is>
          <t>EDMS</t>
        </is>
      </c>
      <c r="AT157" s="17" t="inlineStr">
        <is>
          <t>기본 문서관리 수요</t>
        </is>
      </c>
      <c r="AU157" s="17" t="inlineStr">
        <is>
          <t>담당자 파악 후 접촉</t>
        </is>
      </c>
      <c r="AV157" s="17" t="inlineStr">
        <is>
          <t>GMP적합판정+KRX</t>
        </is>
      </c>
      <c r="AW157" s="17" t="inlineStr">
        <is>
          <t>2026-07-05</t>
        </is>
      </c>
    </row>
    <row r="158">
      <c r="A158" s="17" t="inlineStr">
        <is>
          <t>C157</t>
        </is>
      </c>
      <c r="B158" s="17" t="inlineStr">
        <is>
          <t>신원산업</t>
        </is>
      </c>
      <c r="C158" s="17" t="inlineStr">
        <is>
          <t>신원산업(주)</t>
        </is>
      </c>
      <c r="D158" s="17" t="n">
        <v>1</v>
      </c>
      <c r="E158" s="17" t="n">
        <v>1</v>
      </c>
      <c r="F158" s="17" t="inlineStr"/>
      <c r="G158" s="17" t="inlineStr">
        <is>
          <t>Y</t>
        </is>
      </c>
      <c r="H158" s="17" t="inlineStr"/>
      <c r="I158" s="17" t="inlineStr"/>
      <c r="J158" s="24" t="n">
        <v>46953</v>
      </c>
      <c r="K158" s="17" t="inlineStr"/>
      <c r="L158" s="17" t="inlineStr"/>
      <c r="M158" s="17" t="inlineStr"/>
      <c r="N158" s="23" t="inlineStr"/>
      <c r="O158" s="17" t="inlineStr"/>
      <c r="P158" s="17" t="inlineStr"/>
      <c r="Q158" s="17" t="inlineStr">
        <is>
          <t>안태균</t>
        </is>
      </c>
      <c r="R158" s="17" t="inlineStr"/>
      <c r="S158" s="17" t="inlineStr"/>
      <c r="T158" s="17" t="inlineStr">
        <is>
          <t>미확인</t>
        </is>
      </c>
      <c r="U158" s="17" t="inlineStr">
        <is>
          <t>미확인</t>
        </is>
      </c>
      <c r="V158" s="22" t="inlineStr">
        <is>
          <t>미확인</t>
        </is>
      </c>
      <c r="W158" s="22" t="inlineStr">
        <is>
          <t>미확인</t>
        </is>
      </c>
      <c r="X158" s="22" t="inlineStr">
        <is>
          <t>미확인</t>
        </is>
      </c>
      <c r="Y158" s="22" t="inlineStr">
        <is>
          <t>미확인</t>
        </is>
      </c>
      <c r="Z158" s="22" t="inlineStr">
        <is>
          <t>미확인</t>
        </is>
      </c>
      <c r="AA158" s="22" t="inlineStr">
        <is>
          <t>미확인</t>
        </is>
      </c>
      <c r="AB158" s="22" t="inlineStr">
        <is>
          <t>미확인</t>
        </is>
      </c>
      <c r="AC158" s="22" t="inlineStr">
        <is>
          <t>미확인</t>
        </is>
      </c>
      <c r="AD158" s="22" t="inlineStr">
        <is>
          <t>미확인</t>
        </is>
      </c>
      <c r="AE158" s="22" t="inlineStr">
        <is>
          <t>미확인</t>
        </is>
      </c>
      <c r="AF158" s="22" t="inlineStr">
        <is>
          <t>미확인</t>
        </is>
      </c>
      <c r="AG158" s="22" t="inlineStr">
        <is>
          <t>미확인</t>
        </is>
      </c>
      <c r="AH158" s="22" t="inlineStr">
        <is>
          <t>미확인</t>
        </is>
      </c>
      <c r="AI158" s="22" t="inlineStr">
        <is>
          <t>미확인</t>
        </is>
      </c>
      <c r="AJ158" s="22" t="inlineStr">
        <is>
          <t>미확인</t>
        </is>
      </c>
      <c r="AK158" s="22" t="inlineStr">
        <is>
          <t>미확인</t>
        </is>
      </c>
      <c r="AL158" s="22" t="inlineStr">
        <is>
          <t>미확인</t>
        </is>
      </c>
      <c r="AM158" s="22" t="inlineStr">
        <is>
          <t>미확인</t>
        </is>
      </c>
      <c r="AN158" s="22" t="inlineStr">
        <is>
          <t>미확인</t>
        </is>
      </c>
      <c r="AO158" s="17" t="inlineStr">
        <is>
          <t>C(부분확인)</t>
        </is>
      </c>
      <c r="AP158" s="17" t="inlineStr">
        <is>
          <t>Y</t>
        </is>
      </c>
      <c r="AQ158" s="17" t="n">
        <v>4</v>
      </c>
      <c r="AR158" s="28" t="inlineStr">
        <is>
          <t>Tier D</t>
        </is>
      </c>
      <c r="AS158" s="17" t="inlineStr">
        <is>
          <t>LIMS</t>
        </is>
      </c>
      <c r="AT158" s="17" t="inlineStr">
        <is>
          <t>원료 제조로 시험실 관리 필요</t>
        </is>
      </c>
      <c r="AU158" s="17" t="inlineStr">
        <is>
          <t>담당자 파악 후 접촉</t>
        </is>
      </c>
      <c r="AV158" s="17" t="inlineStr">
        <is>
          <t>GMP적합판정+KRX</t>
        </is>
      </c>
      <c r="AW158" s="17" t="inlineStr">
        <is>
          <t>2026-07-05</t>
        </is>
      </c>
    </row>
    <row r="159">
      <c r="A159" s="17" t="inlineStr">
        <is>
          <t>C158</t>
        </is>
      </c>
      <c r="B159" s="17" t="inlineStr">
        <is>
          <t>한국비엔씨</t>
        </is>
      </c>
      <c r="C159" s="17" t="inlineStr">
        <is>
          <t>(주)한국비엔씨</t>
        </is>
      </c>
      <c r="D159" s="17" t="n">
        <v>2</v>
      </c>
      <c r="E159" s="17" t="n">
        <v>1</v>
      </c>
      <c r="F159" s="17" t="inlineStr">
        <is>
          <t>Y</t>
        </is>
      </c>
      <c r="G159" s="17" t="inlineStr">
        <is>
          <t>Y</t>
        </is>
      </c>
      <c r="H159" s="17" t="inlineStr">
        <is>
          <t>Y</t>
        </is>
      </c>
      <c r="I159" s="17" t="inlineStr">
        <is>
          <t>Y</t>
        </is>
      </c>
      <c r="J159" s="24" t="n">
        <v>46882</v>
      </c>
      <c r="K159" s="17" t="inlineStr"/>
      <c r="L159" s="17" t="inlineStr">
        <is>
          <t>Y</t>
        </is>
      </c>
      <c r="M159" s="17" t="inlineStr">
        <is>
          <t>코스닥</t>
        </is>
      </c>
      <c r="N159" s="23" t="inlineStr">
        <is>
          <t>256840</t>
        </is>
      </c>
      <c r="O159" s="17" t="inlineStr">
        <is>
          <t>기초 의약물질 제조업</t>
        </is>
      </c>
      <c r="P159" s="17" t="inlineStr">
        <is>
          <t>필러 등 생체재료의료물질 개발</t>
        </is>
      </c>
      <c r="Q159" s="17" t="inlineStr">
        <is>
          <t>최완규</t>
        </is>
      </c>
      <c r="R159" s="17" t="inlineStr">
        <is>
          <t>http://www.bnckorea.co.kr</t>
        </is>
      </c>
      <c r="S159" s="17" t="inlineStr">
        <is>
          <t>대구광역시</t>
        </is>
      </c>
      <c r="T159" s="17" t="inlineStr">
        <is>
          <t>044-715-5101</t>
        </is>
      </c>
      <c r="U159" s="17" t="inlineStr">
        <is>
          <t>제조소상세</t>
        </is>
      </c>
      <c r="V159" s="22" t="inlineStr">
        <is>
          <t>미확인</t>
        </is>
      </c>
      <c r="W159" s="22" t="inlineStr">
        <is>
          <t>미확인</t>
        </is>
      </c>
      <c r="X159" s="22" t="inlineStr">
        <is>
          <t>미확인</t>
        </is>
      </c>
      <c r="Y159" s="22" t="inlineStr">
        <is>
          <t>미확인</t>
        </is>
      </c>
      <c r="Z159" s="22" t="inlineStr">
        <is>
          <t>미확인</t>
        </is>
      </c>
      <c r="AA159" s="22" t="inlineStr">
        <is>
          <t>미확인</t>
        </is>
      </c>
      <c r="AB159" s="22" t="inlineStr">
        <is>
          <t>미확인</t>
        </is>
      </c>
      <c r="AC159" s="22" t="inlineStr">
        <is>
          <t>미확인</t>
        </is>
      </c>
      <c r="AD159" s="22" t="inlineStr">
        <is>
          <t>미확인</t>
        </is>
      </c>
      <c r="AE159" s="22" t="inlineStr">
        <is>
          <t>미확인</t>
        </is>
      </c>
      <c r="AF159" s="22" t="inlineStr">
        <is>
          <t>미확인</t>
        </is>
      </c>
      <c r="AG159" s="22" t="inlineStr">
        <is>
          <t>미확인</t>
        </is>
      </c>
      <c r="AH159" s="22" t="inlineStr">
        <is>
          <t>미확인</t>
        </is>
      </c>
      <c r="AI159" s="22" t="inlineStr">
        <is>
          <t>미확인</t>
        </is>
      </c>
      <c r="AJ159" s="22" t="inlineStr">
        <is>
          <t>미확인</t>
        </is>
      </c>
      <c r="AK159" s="22" t="inlineStr">
        <is>
          <t>미확인</t>
        </is>
      </c>
      <c r="AL159" s="22" t="inlineStr">
        <is>
          <t>미확인</t>
        </is>
      </c>
      <c r="AM159" s="22" t="inlineStr">
        <is>
          <t>미확인</t>
        </is>
      </c>
      <c r="AN159" s="22" t="inlineStr">
        <is>
          <t>미확인</t>
        </is>
      </c>
      <c r="AO159" s="17" t="inlineStr">
        <is>
          <t>C(부분확인)</t>
        </is>
      </c>
      <c r="AP159" s="17" t="inlineStr">
        <is>
          <t>Y</t>
        </is>
      </c>
      <c r="AQ159" s="17" t="n">
        <v>22</v>
      </c>
      <c r="AR159" s="28" t="inlineStr">
        <is>
          <t>Tier D</t>
        </is>
      </c>
      <c r="AS159" s="17" t="inlineStr">
        <is>
          <t>QMS+LIMS</t>
        </is>
      </c>
      <c r="AT159" s="17" t="inlineStr">
        <is>
          <t>무균/바이오 제조로 품질관리 난도 높음; 원료 제조로 시험실 관리 필요</t>
        </is>
      </c>
      <c r="AU159" s="17" t="inlineStr">
        <is>
          <t>담당자 파악 후 접촉</t>
        </is>
      </c>
      <c r="AV159" s="17" t="inlineStr">
        <is>
          <t>GMP적합판정+KRX</t>
        </is>
      </c>
      <c r="AW159" s="17" t="inlineStr">
        <is>
          <t>2026-07-05</t>
        </is>
      </c>
    </row>
    <row r="160">
      <c r="A160" s="17" t="inlineStr">
        <is>
          <t>C159</t>
        </is>
      </c>
      <c r="B160" s="17" t="inlineStr">
        <is>
          <t>삼흥에너지</t>
        </is>
      </c>
      <c r="C160" s="17" t="inlineStr">
        <is>
          <t>(주)삼흥에너지</t>
        </is>
      </c>
      <c r="D160" s="17" t="n">
        <v>1</v>
      </c>
      <c r="E160" s="17" t="n">
        <v>1</v>
      </c>
      <c r="F160" s="17" t="inlineStr">
        <is>
          <t>Y</t>
        </is>
      </c>
      <c r="G160" s="17" t="inlineStr"/>
      <c r="H160" s="17" t="inlineStr"/>
      <c r="I160" s="17" t="inlineStr"/>
      <c r="J160" s="24" t="n">
        <v>46952</v>
      </c>
      <c r="K160" s="17" t="inlineStr"/>
      <c r="L160" s="17" t="inlineStr"/>
      <c r="M160" s="17" t="inlineStr"/>
      <c r="N160" s="23" t="inlineStr"/>
      <c r="O160" s="17" t="inlineStr"/>
      <c r="P160" s="17" t="inlineStr"/>
      <c r="Q160" s="17" t="inlineStr">
        <is>
          <t>노천섭</t>
        </is>
      </c>
      <c r="R160" s="17" t="inlineStr"/>
      <c r="S160" s="17" t="inlineStr"/>
      <c r="T160" s="17" t="inlineStr">
        <is>
          <t>055-338-7618</t>
        </is>
      </c>
      <c r="U160" s="17" t="inlineStr">
        <is>
          <t>제조소상세</t>
        </is>
      </c>
      <c r="V160" s="22" t="inlineStr">
        <is>
          <t>미확인</t>
        </is>
      </c>
      <c r="W160" s="22" t="inlineStr">
        <is>
          <t>미확인</t>
        </is>
      </c>
      <c r="X160" s="22" t="inlineStr">
        <is>
          <t>미확인</t>
        </is>
      </c>
      <c r="Y160" s="22" t="inlineStr">
        <is>
          <t>미확인</t>
        </is>
      </c>
      <c r="Z160" s="22" t="inlineStr">
        <is>
          <t>미확인</t>
        </is>
      </c>
      <c r="AA160" s="22" t="inlineStr">
        <is>
          <t>미확인</t>
        </is>
      </c>
      <c r="AB160" s="22" t="inlineStr">
        <is>
          <t>미확인</t>
        </is>
      </c>
      <c r="AC160" s="22" t="inlineStr">
        <is>
          <t>미확인</t>
        </is>
      </c>
      <c r="AD160" s="22" t="inlineStr">
        <is>
          <t>미확인</t>
        </is>
      </c>
      <c r="AE160" s="22" t="inlineStr">
        <is>
          <t>미확인</t>
        </is>
      </c>
      <c r="AF160" s="22" t="inlineStr">
        <is>
          <t>미확인</t>
        </is>
      </c>
      <c r="AG160" s="22" t="inlineStr">
        <is>
          <t>미확인</t>
        </is>
      </c>
      <c r="AH160" s="22" t="inlineStr">
        <is>
          <t>미확인</t>
        </is>
      </c>
      <c r="AI160" s="22" t="inlineStr">
        <is>
          <t>미확인</t>
        </is>
      </c>
      <c r="AJ160" s="22" t="inlineStr">
        <is>
          <t>미확인</t>
        </is>
      </c>
      <c r="AK160" s="22" t="inlineStr">
        <is>
          <t>미확인</t>
        </is>
      </c>
      <c r="AL160" s="22" t="inlineStr">
        <is>
          <t>미확인</t>
        </is>
      </c>
      <c r="AM160" s="22" t="inlineStr">
        <is>
          <t>미확인</t>
        </is>
      </c>
      <c r="AN160" s="22" t="inlineStr">
        <is>
          <t>미확인</t>
        </is>
      </c>
      <c r="AO160" s="17" t="inlineStr">
        <is>
          <t>C(부분확인)</t>
        </is>
      </c>
      <c r="AP160" s="17" t="inlineStr">
        <is>
          <t>Y</t>
        </is>
      </c>
      <c r="AQ160" s="17" t="n">
        <v>4</v>
      </c>
      <c r="AR160" s="28" t="inlineStr">
        <is>
          <t>Tier D</t>
        </is>
      </c>
      <c r="AS160" s="17" t="inlineStr">
        <is>
          <t>EDMS</t>
        </is>
      </c>
      <c r="AT160" s="17" t="inlineStr">
        <is>
          <t>기본 문서관리 수요</t>
        </is>
      </c>
      <c r="AU160" s="17" t="inlineStr">
        <is>
          <t>담당자 파악 후 접촉</t>
        </is>
      </c>
      <c r="AV160" s="17" t="inlineStr">
        <is>
          <t>GMP적합판정+KRX</t>
        </is>
      </c>
      <c r="AW160" s="17" t="inlineStr">
        <is>
          <t>2026-07-05</t>
        </is>
      </c>
    </row>
    <row r="161">
      <c r="A161" s="17" t="inlineStr">
        <is>
          <t>C160</t>
        </is>
      </c>
      <c r="B161" s="17" t="inlineStr">
        <is>
          <t>대상</t>
        </is>
      </c>
      <c r="C161" s="17" t="inlineStr">
        <is>
          <t>대상(주)</t>
        </is>
      </c>
      <c r="D161" s="17" t="n">
        <v>1</v>
      </c>
      <c r="E161" s="17" t="n">
        <v>1</v>
      </c>
      <c r="F161" s="17" t="inlineStr"/>
      <c r="G161" s="17" t="inlineStr">
        <is>
          <t>Y</t>
        </is>
      </c>
      <c r="H161" s="17" t="inlineStr"/>
      <c r="I161" s="17" t="inlineStr"/>
      <c r="J161" s="24" t="n">
        <v>46952</v>
      </c>
      <c r="K161" s="17" t="inlineStr"/>
      <c r="L161" s="17" t="inlineStr">
        <is>
          <t>Y</t>
        </is>
      </c>
      <c r="M161" s="17" t="inlineStr">
        <is>
          <t>유가</t>
        </is>
      </c>
      <c r="N161" s="23" t="inlineStr">
        <is>
          <t>001680</t>
        </is>
      </c>
      <c r="O161" s="17" t="inlineStr">
        <is>
          <t>기타 식품 제조업</t>
        </is>
      </c>
      <c r="P161" s="17" t="inlineStr">
        <is>
          <t>전분,라이신,물엿,과당,포도당,MSG및 사료,조미료,항생제,핵산,커피 제조,도매/토목공사,건축공사</t>
        </is>
      </c>
      <c r="Q161" s="17" t="inlineStr">
        <is>
          <t>임정배</t>
        </is>
      </c>
      <c r="R161" s="17" t="inlineStr">
        <is>
          <t>http://www.daesang.co.kr</t>
        </is>
      </c>
      <c r="S161" s="17" t="inlineStr">
        <is>
          <t>서울특별시</t>
        </is>
      </c>
      <c r="T161" s="17" t="inlineStr">
        <is>
          <t>미확인</t>
        </is>
      </c>
      <c r="U161" s="17" t="inlineStr">
        <is>
          <t>미확인</t>
        </is>
      </c>
      <c r="V161" s="22" t="inlineStr">
        <is>
          <t>미확인</t>
        </is>
      </c>
      <c r="W161" s="22" t="inlineStr">
        <is>
          <t>미확인</t>
        </is>
      </c>
      <c r="X161" s="22" t="inlineStr">
        <is>
          <t>미확인</t>
        </is>
      </c>
      <c r="Y161" s="22" t="inlineStr">
        <is>
          <t>미확인</t>
        </is>
      </c>
      <c r="Z161" s="22" t="inlineStr">
        <is>
          <t>미확인</t>
        </is>
      </c>
      <c r="AA161" s="22" t="inlineStr">
        <is>
          <t>미확인</t>
        </is>
      </c>
      <c r="AB161" s="22" t="inlineStr">
        <is>
          <t>미확인</t>
        </is>
      </c>
      <c r="AC161" s="22" t="inlineStr">
        <is>
          <t>미확인</t>
        </is>
      </c>
      <c r="AD161" s="22" t="inlineStr">
        <is>
          <t>미확인</t>
        </is>
      </c>
      <c r="AE161" s="22" t="inlineStr">
        <is>
          <t>미확인</t>
        </is>
      </c>
      <c r="AF161" s="22" t="inlineStr">
        <is>
          <t>미확인</t>
        </is>
      </c>
      <c r="AG161" s="22" t="inlineStr">
        <is>
          <t>미확인</t>
        </is>
      </c>
      <c r="AH161" s="22" t="inlineStr">
        <is>
          <t>미확인</t>
        </is>
      </c>
      <c r="AI161" s="22" t="inlineStr">
        <is>
          <t>미확인</t>
        </is>
      </c>
      <c r="AJ161" s="22" t="inlineStr">
        <is>
          <t>미확인</t>
        </is>
      </c>
      <c r="AK161" s="22" t="inlineStr">
        <is>
          <t>미확인</t>
        </is>
      </c>
      <c r="AL161" s="22" t="inlineStr">
        <is>
          <t>미확인</t>
        </is>
      </c>
      <c r="AM161" s="22" t="inlineStr">
        <is>
          <t>미확인</t>
        </is>
      </c>
      <c r="AN161" s="22" t="inlineStr">
        <is>
          <t>미확인</t>
        </is>
      </c>
      <c r="AO161" s="17" t="inlineStr">
        <is>
          <t>C(부분확인)</t>
        </is>
      </c>
      <c r="AP161" s="17" t="inlineStr">
        <is>
          <t>Y</t>
        </is>
      </c>
      <c r="AQ161" s="17" t="n">
        <v>4</v>
      </c>
      <c r="AR161" s="28" t="inlineStr">
        <is>
          <t>Tier D</t>
        </is>
      </c>
      <c r="AS161" s="17" t="inlineStr">
        <is>
          <t>LIMS</t>
        </is>
      </c>
      <c r="AT161" s="17" t="inlineStr">
        <is>
          <t>원료 제조로 시험실 관리 필요</t>
        </is>
      </c>
      <c r="AU161" s="17" t="inlineStr">
        <is>
          <t>담당자 파악 후 접촉</t>
        </is>
      </c>
      <c r="AV161" s="17" t="inlineStr">
        <is>
          <t>GMP적합판정+KRX</t>
        </is>
      </c>
      <c r="AW161" s="17" t="inlineStr">
        <is>
          <t>2026-07-05</t>
        </is>
      </c>
    </row>
    <row r="162">
      <c r="A162" s="17" t="inlineStr">
        <is>
          <t>C161</t>
        </is>
      </c>
      <c r="B162" s="17" t="inlineStr">
        <is>
          <t>한미약품</t>
        </is>
      </c>
      <c r="C162" s="17" t="inlineStr">
        <is>
          <t>한미약품(주)</t>
        </is>
      </c>
      <c r="D162" s="17" t="n">
        <v>3</v>
      </c>
      <c r="E162" s="17" t="n">
        <v>2</v>
      </c>
      <c r="F162" s="17" t="inlineStr">
        <is>
          <t>Y</t>
        </is>
      </c>
      <c r="G162" s="17" t="inlineStr">
        <is>
          <t>Y</t>
        </is>
      </c>
      <c r="H162" s="17" t="inlineStr">
        <is>
          <t>Y</t>
        </is>
      </c>
      <c r="I162" s="17" t="inlineStr"/>
      <c r="J162" s="24" t="n">
        <v>46885</v>
      </c>
      <c r="K162" s="17" t="inlineStr"/>
      <c r="L162" s="17" t="inlineStr">
        <is>
          <t>Y</t>
        </is>
      </c>
      <c r="M162" s="17" t="inlineStr">
        <is>
          <t>유가</t>
        </is>
      </c>
      <c r="N162" s="23" t="inlineStr">
        <is>
          <t>128940</t>
        </is>
      </c>
      <c r="O162" s="17" t="inlineStr">
        <is>
          <t>의약품 제조업</t>
        </is>
      </c>
      <c r="P162" s="17" t="inlineStr">
        <is>
          <t>의약품</t>
        </is>
      </c>
      <c r="Q162" s="17" t="inlineStr">
        <is>
          <t>황상연</t>
        </is>
      </c>
      <c r="R162" s="17" t="inlineStr"/>
      <c r="S162" s="17" t="inlineStr">
        <is>
          <t>경기도</t>
        </is>
      </c>
      <c r="T162" s="17" t="inlineStr">
        <is>
          <t>02-410-9114</t>
        </is>
      </c>
      <c r="U162" s="17" t="inlineStr">
        <is>
          <t>제조소상세</t>
        </is>
      </c>
      <c r="V162" s="22" t="inlineStr">
        <is>
          <t>미확인</t>
        </is>
      </c>
      <c r="W162" s="22" t="inlineStr">
        <is>
          <t>미확인</t>
        </is>
      </c>
      <c r="X162" s="22" t="inlineStr">
        <is>
          <t>미확인</t>
        </is>
      </c>
      <c r="Y162" s="22" t="inlineStr">
        <is>
          <t>미확인</t>
        </is>
      </c>
      <c r="Z162" s="22" t="inlineStr">
        <is>
          <t>미확인</t>
        </is>
      </c>
      <c r="AA162" s="22" t="inlineStr">
        <is>
          <t>미확인</t>
        </is>
      </c>
      <c r="AB162" s="22" t="inlineStr">
        <is>
          <t>미확인</t>
        </is>
      </c>
      <c r="AC162" s="22" t="inlineStr">
        <is>
          <t>미확인</t>
        </is>
      </c>
      <c r="AD162" s="22" t="inlineStr">
        <is>
          <t>미확인</t>
        </is>
      </c>
      <c r="AE162" s="22" t="inlineStr">
        <is>
          <t>미확인</t>
        </is>
      </c>
      <c r="AF162" s="22" t="inlineStr">
        <is>
          <t>미확인</t>
        </is>
      </c>
      <c r="AG162" s="22" t="inlineStr">
        <is>
          <t>미확인</t>
        </is>
      </c>
      <c r="AH162" s="22" t="inlineStr">
        <is>
          <t>미확인</t>
        </is>
      </c>
      <c r="AI162" s="22" t="inlineStr">
        <is>
          <t>미확인</t>
        </is>
      </c>
      <c r="AJ162" s="22" t="inlineStr">
        <is>
          <t>미확인</t>
        </is>
      </c>
      <c r="AK162" s="22" t="inlineStr">
        <is>
          <t>미확인</t>
        </is>
      </c>
      <c r="AL162" s="22" t="inlineStr">
        <is>
          <t>미확인</t>
        </is>
      </c>
      <c r="AM162" s="22" t="inlineStr">
        <is>
          <t>미확인</t>
        </is>
      </c>
      <c r="AN162" s="22" t="inlineStr">
        <is>
          <t>미확인</t>
        </is>
      </c>
      <c r="AO162" s="17" t="inlineStr">
        <is>
          <t>C(부분확인)</t>
        </is>
      </c>
      <c r="AP162" s="17" t="inlineStr">
        <is>
          <t>Y</t>
        </is>
      </c>
      <c r="AQ162" s="17" t="n">
        <v>16</v>
      </c>
      <c r="AR162" s="28" t="inlineStr">
        <is>
          <t>Tier D</t>
        </is>
      </c>
      <c r="AS162" s="17" t="inlineStr">
        <is>
          <t>통합형</t>
        </is>
      </c>
      <c r="AT162" s="17" t="inlineStr">
        <is>
          <t>다중 제조소/다수 판정서로 문서관리 복잡; 무균/바이오 제조로 품질관리 난도 높음</t>
        </is>
      </c>
      <c r="AU162" s="17" t="inlineStr">
        <is>
          <t>담당자 파악 후 접촉</t>
        </is>
      </c>
      <c r="AV162" s="17" t="inlineStr">
        <is>
          <t>GMP적합판정+KRX</t>
        </is>
      </c>
      <c r="AW162" s="17" t="inlineStr">
        <is>
          <t>2026-07-05</t>
        </is>
      </c>
    </row>
    <row r="163">
      <c r="A163" s="17" t="inlineStr">
        <is>
          <t>C162</t>
        </is>
      </c>
      <c r="B163" s="17" t="inlineStr">
        <is>
          <t>휴메딕스</t>
        </is>
      </c>
      <c r="C163" s="17" t="inlineStr">
        <is>
          <t>(주)휴메딕스</t>
        </is>
      </c>
      <c r="D163" s="17" t="n">
        <v>2</v>
      </c>
      <c r="E163" s="17" t="n">
        <v>1</v>
      </c>
      <c r="F163" s="17" t="inlineStr">
        <is>
          <t>Y</t>
        </is>
      </c>
      <c r="G163" s="17" t="inlineStr">
        <is>
          <t>Y</t>
        </is>
      </c>
      <c r="H163" s="17" t="inlineStr">
        <is>
          <t>Y</t>
        </is>
      </c>
      <c r="I163" s="17" t="inlineStr"/>
      <c r="J163" s="24" t="n">
        <v>46948</v>
      </c>
      <c r="K163" s="17" t="inlineStr"/>
      <c r="L163" s="17" t="inlineStr">
        <is>
          <t>Y</t>
        </is>
      </c>
      <c r="M163" s="17" t="inlineStr">
        <is>
          <t>코스닥</t>
        </is>
      </c>
      <c r="N163" s="23" t="inlineStr">
        <is>
          <t>200670</t>
        </is>
      </c>
      <c r="O163" s="17" t="inlineStr">
        <is>
          <t>의약품 제조업</t>
        </is>
      </c>
      <c r="P163" s="17" t="inlineStr">
        <is>
          <t>히알루론산 관절염치료제, 히알루론산 더말필러</t>
        </is>
      </c>
      <c r="Q163" s="17" t="inlineStr">
        <is>
          <t>강민종</t>
        </is>
      </c>
      <c r="R163" s="17" t="inlineStr">
        <is>
          <t>http://www.humedix.com</t>
        </is>
      </c>
      <c r="S163" s="17" t="inlineStr">
        <is>
          <t>경기도</t>
        </is>
      </c>
      <c r="T163" s="17" t="inlineStr">
        <is>
          <t>043-648-6450</t>
        </is>
      </c>
      <c r="U163" s="17" t="inlineStr">
        <is>
          <t>제조소상세</t>
        </is>
      </c>
      <c r="V163" s="22" t="inlineStr">
        <is>
          <t>미확인</t>
        </is>
      </c>
      <c r="W163" s="22" t="inlineStr">
        <is>
          <t>미확인</t>
        </is>
      </c>
      <c r="X163" s="22" t="inlineStr">
        <is>
          <t>미확인</t>
        </is>
      </c>
      <c r="Y163" s="22" t="inlineStr">
        <is>
          <t>미확인</t>
        </is>
      </c>
      <c r="Z163" s="22" t="inlineStr">
        <is>
          <t>미확인</t>
        </is>
      </c>
      <c r="AA163" s="22" t="inlineStr">
        <is>
          <t>미확인</t>
        </is>
      </c>
      <c r="AB163" s="22" t="inlineStr">
        <is>
          <t>미확인</t>
        </is>
      </c>
      <c r="AC163" s="22" t="inlineStr">
        <is>
          <t>미확인</t>
        </is>
      </c>
      <c r="AD163" s="22" t="inlineStr">
        <is>
          <t>미확인</t>
        </is>
      </c>
      <c r="AE163" s="22" t="inlineStr">
        <is>
          <t>미확인</t>
        </is>
      </c>
      <c r="AF163" s="22" t="inlineStr">
        <is>
          <t>미확인</t>
        </is>
      </c>
      <c r="AG163" s="22" t="inlineStr">
        <is>
          <t>미확인</t>
        </is>
      </c>
      <c r="AH163" s="22" t="inlineStr">
        <is>
          <t>미확인</t>
        </is>
      </c>
      <c r="AI163" s="22" t="inlineStr">
        <is>
          <t>미확인</t>
        </is>
      </c>
      <c r="AJ163" s="22" t="inlineStr">
        <is>
          <t>미확인</t>
        </is>
      </c>
      <c r="AK163" s="22" t="inlineStr">
        <is>
          <t>미확인</t>
        </is>
      </c>
      <c r="AL163" s="22" t="inlineStr">
        <is>
          <t>미확인</t>
        </is>
      </c>
      <c r="AM163" s="22" t="inlineStr">
        <is>
          <t>미확인</t>
        </is>
      </c>
      <c r="AN163" s="22" t="inlineStr">
        <is>
          <t>미확인</t>
        </is>
      </c>
      <c r="AO163" s="17" t="inlineStr">
        <is>
          <t>C(부분확인)</t>
        </is>
      </c>
      <c r="AP163" s="17" t="inlineStr">
        <is>
          <t>Y</t>
        </is>
      </c>
      <c r="AQ163" s="17" t="n">
        <v>15</v>
      </c>
      <c r="AR163" s="28" t="inlineStr">
        <is>
          <t>Tier D</t>
        </is>
      </c>
      <c r="AS163" s="17" t="inlineStr">
        <is>
          <t>QMS+LIMS</t>
        </is>
      </c>
      <c r="AT163" s="17" t="inlineStr">
        <is>
          <t>무균/바이오 제조로 품질관리 난도 높음; 원료 제조로 시험실 관리 필요</t>
        </is>
      </c>
      <c r="AU163" s="17" t="inlineStr">
        <is>
          <t>담당자 파악 후 접촉</t>
        </is>
      </c>
      <c r="AV163" s="17" t="inlineStr">
        <is>
          <t>GMP적합판정+KRX</t>
        </is>
      </c>
      <c r="AW163" s="17" t="inlineStr">
        <is>
          <t>2026-07-05</t>
        </is>
      </c>
    </row>
    <row r="164">
      <c r="A164" s="17" t="inlineStr">
        <is>
          <t>C163</t>
        </is>
      </c>
      <c r="B164" s="17" t="inlineStr">
        <is>
          <t>경동제약</t>
        </is>
      </c>
      <c r="C164" s="17" t="inlineStr">
        <is>
          <t>경동제약(주)</t>
        </is>
      </c>
      <c r="D164" s="17" t="n">
        <v>3</v>
      </c>
      <c r="E164" s="17" t="n">
        <v>2</v>
      </c>
      <c r="F164" s="17" t="inlineStr">
        <is>
          <t>Y</t>
        </is>
      </c>
      <c r="G164" s="17" t="inlineStr">
        <is>
          <t>Y</t>
        </is>
      </c>
      <c r="H164" s="17" t="inlineStr">
        <is>
          <t>Y</t>
        </is>
      </c>
      <c r="I164" s="17" t="inlineStr"/>
      <c r="J164" s="24" t="n">
        <v>46790</v>
      </c>
      <c r="K164" s="17" t="inlineStr"/>
      <c r="L164" s="17" t="inlineStr">
        <is>
          <t>Y</t>
        </is>
      </c>
      <c r="M164" s="17" t="inlineStr">
        <is>
          <t>코스닥</t>
        </is>
      </c>
      <c r="N164" s="23" t="inlineStr">
        <is>
          <t>011040</t>
        </is>
      </c>
      <c r="O164" s="17" t="inlineStr">
        <is>
          <t>의약품 제조업</t>
        </is>
      </c>
      <c r="P164" s="17" t="inlineStr">
        <is>
          <t>듀오로반정, 발디핀정, 아트로반정 등</t>
        </is>
      </c>
      <c r="Q164" s="17" t="inlineStr">
        <is>
          <t>류기성, 김경훈(각자 대표)</t>
        </is>
      </c>
      <c r="R164" s="17" t="inlineStr">
        <is>
          <t>http://www.kdpharma.co.kr</t>
        </is>
      </c>
      <c r="S164" s="17" t="inlineStr">
        <is>
          <t>경기도</t>
        </is>
      </c>
      <c r="T164" s="17" t="inlineStr">
        <is>
          <t>02-576-6123</t>
        </is>
      </c>
      <c r="U164" s="17" t="inlineStr">
        <is>
          <t>제조소상세</t>
        </is>
      </c>
      <c r="V164" s="22" t="inlineStr">
        <is>
          <t>미확인</t>
        </is>
      </c>
      <c r="W164" s="22" t="inlineStr">
        <is>
          <t>미확인</t>
        </is>
      </c>
      <c r="X164" s="22" t="inlineStr">
        <is>
          <t>미확인</t>
        </is>
      </c>
      <c r="Y164" s="22" t="inlineStr">
        <is>
          <t>미확인</t>
        </is>
      </c>
      <c r="Z164" s="22" t="inlineStr">
        <is>
          <t>미확인</t>
        </is>
      </c>
      <c r="AA164" s="22" t="inlineStr">
        <is>
          <t>미확인</t>
        </is>
      </c>
      <c r="AB164" s="22" t="inlineStr">
        <is>
          <t>미확인</t>
        </is>
      </c>
      <c r="AC164" s="22" t="inlineStr">
        <is>
          <t>미확인</t>
        </is>
      </c>
      <c r="AD164" s="22" t="inlineStr">
        <is>
          <t>미확인</t>
        </is>
      </c>
      <c r="AE164" s="22" t="inlineStr">
        <is>
          <t>미확인</t>
        </is>
      </c>
      <c r="AF164" s="22" t="inlineStr">
        <is>
          <t>미확인</t>
        </is>
      </c>
      <c r="AG164" s="22" t="inlineStr">
        <is>
          <t>미확인</t>
        </is>
      </c>
      <c r="AH164" s="22" t="inlineStr">
        <is>
          <t>미확인</t>
        </is>
      </c>
      <c r="AI164" s="22" t="inlineStr">
        <is>
          <t>미확인</t>
        </is>
      </c>
      <c r="AJ164" s="22" t="inlineStr">
        <is>
          <t>미확인</t>
        </is>
      </c>
      <c r="AK164" s="22" t="inlineStr">
        <is>
          <t>미확인</t>
        </is>
      </c>
      <c r="AL164" s="22" t="inlineStr">
        <is>
          <t>미확인</t>
        </is>
      </c>
      <c r="AM164" s="22" t="inlineStr">
        <is>
          <t>미확인</t>
        </is>
      </c>
      <c r="AN164" s="22" t="inlineStr">
        <is>
          <t>미확인</t>
        </is>
      </c>
      <c r="AO164" s="17" t="inlineStr">
        <is>
          <t>C(부분확인)</t>
        </is>
      </c>
      <c r="AP164" s="17" t="inlineStr">
        <is>
          <t>Y</t>
        </is>
      </c>
      <c r="AQ164" s="17" t="n">
        <v>19</v>
      </c>
      <c r="AR164" s="28" t="inlineStr">
        <is>
          <t>Tier D</t>
        </is>
      </c>
      <c r="AS164" s="17" t="inlineStr">
        <is>
          <t>통합형</t>
        </is>
      </c>
      <c r="AT164" s="17" t="inlineStr">
        <is>
          <t>다중 제조소/다수 판정서로 문서관리 복잡; 무균/바이오 제조로 품질관리 난도 높음</t>
        </is>
      </c>
      <c r="AU164" s="17" t="inlineStr">
        <is>
          <t>담당자 파악 후 접촉</t>
        </is>
      </c>
      <c r="AV164" s="17" t="inlineStr">
        <is>
          <t>GMP적합판정+KRX</t>
        </is>
      </c>
      <c r="AW164" s="17" t="inlineStr">
        <is>
          <t>2026-07-05</t>
        </is>
      </c>
    </row>
    <row r="165">
      <c r="A165" s="17" t="inlineStr">
        <is>
          <t>C164</t>
        </is>
      </c>
      <c r="B165" s="17" t="inlineStr">
        <is>
          <t>조아제약</t>
        </is>
      </c>
      <c r="C165" s="17" t="inlineStr">
        <is>
          <t>조아제약(주)</t>
        </is>
      </c>
      <c r="D165" s="17" t="n">
        <v>1</v>
      </c>
      <c r="E165" s="17" t="n">
        <v>1</v>
      </c>
      <c r="F165" s="17" t="inlineStr">
        <is>
          <t>Y</t>
        </is>
      </c>
      <c r="G165" s="17" t="inlineStr"/>
      <c r="H165" s="17" t="inlineStr"/>
      <c r="I165" s="17" t="inlineStr"/>
      <c r="J165" s="24" t="n">
        <v>46947</v>
      </c>
      <c r="K165" s="17" t="inlineStr"/>
      <c r="L165" s="17" t="inlineStr">
        <is>
          <t>Y</t>
        </is>
      </c>
      <c r="M165" s="17" t="inlineStr">
        <is>
          <t>코스닥</t>
        </is>
      </c>
      <c r="N165" s="23" t="inlineStr">
        <is>
          <t>034940</t>
        </is>
      </c>
      <c r="O165" s="17" t="inlineStr">
        <is>
          <t>의약품 제조업</t>
        </is>
      </c>
      <c r="P165" s="17" t="inlineStr">
        <is>
          <t>의약품,의약부외품,보건보조식품,위생용품의제조판매</t>
        </is>
      </c>
      <c r="Q165" s="17" t="inlineStr">
        <is>
          <t>조성환, 조성배(각자대표)</t>
        </is>
      </c>
      <c r="R165" s="17" t="inlineStr">
        <is>
          <t>http://www.choa.co.kr</t>
        </is>
      </c>
      <c r="S165" s="17" t="inlineStr">
        <is>
          <t>서울특별시</t>
        </is>
      </c>
      <c r="T165" s="17" t="inlineStr">
        <is>
          <t>055-580-5302</t>
        </is>
      </c>
      <c r="U165" s="17" t="inlineStr">
        <is>
          <t>제조소상세</t>
        </is>
      </c>
      <c r="V165" s="22" t="inlineStr">
        <is>
          <t>미확인</t>
        </is>
      </c>
      <c r="W165" s="22" t="inlineStr">
        <is>
          <t>미확인</t>
        </is>
      </c>
      <c r="X165" s="22" t="inlineStr">
        <is>
          <t>미확인</t>
        </is>
      </c>
      <c r="Y165" s="22" t="inlineStr">
        <is>
          <t>미확인</t>
        </is>
      </c>
      <c r="Z165" s="22" t="inlineStr">
        <is>
          <t>미확인</t>
        </is>
      </c>
      <c r="AA165" s="22" t="inlineStr">
        <is>
          <t>미확인</t>
        </is>
      </c>
      <c r="AB165" s="22" t="inlineStr">
        <is>
          <t>미확인</t>
        </is>
      </c>
      <c r="AC165" s="22" t="inlineStr">
        <is>
          <t>미확인</t>
        </is>
      </c>
      <c r="AD165" s="22" t="inlineStr">
        <is>
          <t>미확인</t>
        </is>
      </c>
      <c r="AE165" s="22" t="inlineStr">
        <is>
          <t>미확인</t>
        </is>
      </c>
      <c r="AF165" s="22" t="inlineStr">
        <is>
          <t>미확인</t>
        </is>
      </c>
      <c r="AG165" s="22" t="inlineStr">
        <is>
          <t>미확인</t>
        </is>
      </c>
      <c r="AH165" s="22" t="inlineStr">
        <is>
          <t>미확인</t>
        </is>
      </c>
      <c r="AI165" s="22" t="inlineStr">
        <is>
          <t>미확인</t>
        </is>
      </c>
      <c r="AJ165" s="22" t="inlineStr">
        <is>
          <t>미확인</t>
        </is>
      </c>
      <c r="AK165" s="22" t="inlineStr">
        <is>
          <t>미확인</t>
        </is>
      </c>
      <c r="AL165" s="22" t="inlineStr">
        <is>
          <t>미확인</t>
        </is>
      </c>
      <c r="AM165" s="22" t="inlineStr">
        <is>
          <t>미확인</t>
        </is>
      </c>
      <c r="AN165" s="22" t="inlineStr">
        <is>
          <t>미확인</t>
        </is>
      </c>
      <c r="AO165" s="17" t="inlineStr">
        <is>
          <t>C(부분확인)</t>
        </is>
      </c>
      <c r="AP165" s="17" t="inlineStr">
        <is>
          <t>Y</t>
        </is>
      </c>
      <c r="AQ165" s="17" t="n">
        <v>7</v>
      </c>
      <c r="AR165" s="28" t="inlineStr">
        <is>
          <t>Tier D</t>
        </is>
      </c>
      <c r="AS165" s="17" t="inlineStr">
        <is>
          <t>EDMS</t>
        </is>
      </c>
      <c r="AT165" s="17" t="inlineStr">
        <is>
          <t>기본 문서관리 수요</t>
        </is>
      </c>
      <c r="AU165" s="17" t="inlineStr">
        <is>
          <t>담당자 파악 후 접촉</t>
        </is>
      </c>
      <c r="AV165" s="17" t="inlineStr">
        <is>
          <t>GMP적합판정+KRX</t>
        </is>
      </c>
      <c r="AW165" s="17" t="inlineStr">
        <is>
          <t>2026-07-05</t>
        </is>
      </c>
    </row>
    <row r="166">
      <c r="A166" s="17" t="inlineStr">
        <is>
          <t>C165</t>
        </is>
      </c>
      <c r="B166" s="17" t="inlineStr">
        <is>
          <t>이니스트에스티</t>
        </is>
      </c>
      <c r="C166" s="17" t="inlineStr">
        <is>
          <t>이니스트에스티(주)</t>
        </is>
      </c>
      <c r="D166" s="17" t="n">
        <v>2</v>
      </c>
      <c r="E166" s="17" t="n">
        <v>2</v>
      </c>
      <c r="F166" s="17" t="inlineStr"/>
      <c r="G166" s="17" t="inlineStr">
        <is>
          <t>Y</t>
        </is>
      </c>
      <c r="H166" s="17" t="inlineStr"/>
      <c r="I166" s="17" t="inlineStr"/>
      <c r="J166" s="24" t="n">
        <v>46578</v>
      </c>
      <c r="K166" s="17" t="inlineStr"/>
      <c r="L166" s="17" t="inlineStr"/>
      <c r="M166" s="17" t="inlineStr"/>
      <c r="N166" s="23" t="inlineStr"/>
      <c r="O166" s="17" t="inlineStr"/>
      <c r="P166" s="17" t="inlineStr"/>
      <c r="Q166" s="17" t="inlineStr">
        <is>
          <t>한쌍수</t>
        </is>
      </c>
      <c r="R166" s="17" t="inlineStr"/>
      <c r="S166" s="17" t="inlineStr"/>
      <c r="T166" s="17" t="inlineStr">
        <is>
          <t>031-669-9515</t>
        </is>
      </c>
      <c r="U166" s="17" t="inlineStr">
        <is>
          <t>제조소상세</t>
        </is>
      </c>
      <c r="V166" s="22" t="inlineStr">
        <is>
          <t>미확인</t>
        </is>
      </c>
      <c r="W166" s="22" t="inlineStr">
        <is>
          <t>미확인</t>
        </is>
      </c>
      <c r="X166" s="22" t="inlineStr">
        <is>
          <t>미확인</t>
        </is>
      </c>
      <c r="Y166" s="22" t="inlineStr">
        <is>
          <t>미확인</t>
        </is>
      </c>
      <c r="Z166" s="22" t="inlineStr">
        <is>
          <t>미확인</t>
        </is>
      </c>
      <c r="AA166" s="22" t="inlineStr">
        <is>
          <t>미확인</t>
        </is>
      </c>
      <c r="AB166" s="22" t="inlineStr">
        <is>
          <t>미확인</t>
        </is>
      </c>
      <c r="AC166" s="22" t="inlineStr">
        <is>
          <t>미확인</t>
        </is>
      </c>
      <c r="AD166" s="22" t="inlineStr">
        <is>
          <t>미확인</t>
        </is>
      </c>
      <c r="AE166" s="22" t="inlineStr">
        <is>
          <t>미확인</t>
        </is>
      </c>
      <c r="AF166" s="22" t="inlineStr">
        <is>
          <t>미확인</t>
        </is>
      </c>
      <c r="AG166" s="22" t="inlineStr">
        <is>
          <t>미확인</t>
        </is>
      </c>
      <c r="AH166" s="22" t="inlineStr">
        <is>
          <t>미확인</t>
        </is>
      </c>
      <c r="AI166" s="22" t="inlineStr">
        <is>
          <t>미확인</t>
        </is>
      </c>
      <c r="AJ166" s="22" t="inlineStr">
        <is>
          <t>미확인</t>
        </is>
      </c>
      <c r="AK166" s="22" t="inlineStr">
        <is>
          <t>미확인</t>
        </is>
      </c>
      <c r="AL166" s="22" t="inlineStr">
        <is>
          <t>미확인</t>
        </is>
      </c>
      <c r="AM166" s="22" t="inlineStr">
        <is>
          <t>미확인</t>
        </is>
      </c>
      <c r="AN166" s="22" t="inlineStr">
        <is>
          <t>미확인</t>
        </is>
      </c>
      <c r="AO166" s="17" t="inlineStr">
        <is>
          <t>C(부분확인)</t>
        </is>
      </c>
      <c r="AP166" s="17" t="inlineStr">
        <is>
          <t>Y</t>
        </is>
      </c>
      <c r="AQ166" s="17" t="n">
        <v>8</v>
      </c>
      <c r="AR166" s="28" t="inlineStr">
        <is>
          <t>Tier D</t>
        </is>
      </c>
      <c r="AS166" s="17" t="inlineStr">
        <is>
          <t>통합형</t>
        </is>
      </c>
      <c r="AT166" s="17" t="inlineStr">
        <is>
          <t>다중 제조소/다수 판정서로 문서관리 복잡; 원료 제조로 시험실 관리 필요</t>
        </is>
      </c>
      <c r="AU166" s="17" t="inlineStr">
        <is>
          <t>담당자 파악 후 접촉</t>
        </is>
      </c>
      <c r="AV166" s="17" t="inlineStr">
        <is>
          <t>GMP적합판정+KRX</t>
        </is>
      </c>
      <c r="AW166" s="17" t="inlineStr">
        <is>
          <t>2026-07-05</t>
        </is>
      </c>
    </row>
    <row r="167">
      <c r="A167" s="17" t="inlineStr">
        <is>
          <t>C166</t>
        </is>
      </c>
      <c r="B167" s="17" t="inlineStr">
        <is>
          <t>태을산업가스</t>
        </is>
      </c>
      <c r="C167" s="17" t="inlineStr">
        <is>
          <t>태을산업가스(주)</t>
        </is>
      </c>
      <c r="D167" s="17" t="n">
        <v>1</v>
      </c>
      <c r="E167" s="17" t="n">
        <v>1</v>
      </c>
      <c r="F167" s="17" t="inlineStr">
        <is>
          <t>Y</t>
        </is>
      </c>
      <c r="G167" s="17" t="inlineStr"/>
      <c r="H167" s="17" t="inlineStr"/>
      <c r="I167" s="17" t="inlineStr"/>
      <c r="J167" s="24" t="n">
        <v>46946</v>
      </c>
      <c r="K167" s="17" t="inlineStr"/>
      <c r="L167" s="17" t="inlineStr"/>
      <c r="M167" s="17" t="inlineStr"/>
      <c r="N167" s="23" t="inlineStr"/>
      <c r="O167" s="17" t="inlineStr"/>
      <c r="P167" s="17" t="inlineStr"/>
      <c r="Q167" s="17" t="inlineStr">
        <is>
          <t>황국성</t>
        </is>
      </c>
      <c r="R167" s="17" t="inlineStr"/>
      <c r="S167" s="17" t="inlineStr"/>
      <c r="T167" s="17" t="inlineStr">
        <is>
          <t>미확인</t>
        </is>
      </c>
      <c r="U167" s="17" t="inlineStr">
        <is>
          <t>미확인</t>
        </is>
      </c>
      <c r="V167" s="22" t="inlineStr">
        <is>
          <t>미확인</t>
        </is>
      </c>
      <c r="W167" s="22" t="inlineStr">
        <is>
          <t>미확인</t>
        </is>
      </c>
      <c r="X167" s="22" t="inlineStr">
        <is>
          <t>미확인</t>
        </is>
      </c>
      <c r="Y167" s="22" t="inlineStr">
        <is>
          <t>미확인</t>
        </is>
      </c>
      <c r="Z167" s="22" t="inlineStr">
        <is>
          <t>미확인</t>
        </is>
      </c>
      <c r="AA167" s="22" t="inlineStr">
        <is>
          <t>미확인</t>
        </is>
      </c>
      <c r="AB167" s="22" t="inlineStr">
        <is>
          <t>미확인</t>
        </is>
      </c>
      <c r="AC167" s="22" t="inlineStr">
        <is>
          <t>미확인</t>
        </is>
      </c>
      <c r="AD167" s="22" t="inlineStr">
        <is>
          <t>미확인</t>
        </is>
      </c>
      <c r="AE167" s="22" t="inlineStr">
        <is>
          <t>미확인</t>
        </is>
      </c>
      <c r="AF167" s="22" t="inlineStr">
        <is>
          <t>미확인</t>
        </is>
      </c>
      <c r="AG167" s="22" t="inlineStr">
        <is>
          <t>미확인</t>
        </is>
      </c>
      <c r="AH167" s="22" t="inlineStr">
        <is>
          <t>미확인</t>
        </is>
      </c>
      <c r="AI167" s="22" t="inlineStr">
        <is>
          <t>미확인</t>
        </is>
      </c>
      <c r="AJ167" s="22" t="inlineStr">
        <is>
          <t>미확인</t>
        </is>
      </c>
      <c r="AK167" s="22" t="inlineStr">
        <is>
          <t>미확인</t>
        </is>
      </c>
      <c r="AL167" s="22" t="inlineStr">
        <is>
          <t>미확인</t>
        </is>
      </c>
      <c r="AM167" s="22" t="inlineStr">
        <is>
          <t>미확인</t>
        </is>
      </c>
      <c r="AN167" s="22" t="inlineStr">
        <is>
          <t>미확인</t>
        </is>
      </c>
      <c r="AO167" s="17" t="inlineStr">
        <is>
          <t>C(부분확인)</t>
        </is>
      </c>
      <c r="AP167" s="17" t="inlineStr">
        <is>
          <t>Y</t>
        </is>
      </c>
      <c r="AQ167" s="17" t="n">
        <v>4</v>
      </c>
      <c r="AR167" s="28" t="inlineStr">
        <is>
          <t>Tier D</t>
        </is>
      </c>
      <c r="AS167" s="17" t="inlineStr">
        <is>
          <t>EDMS</t>
        </is>
      </c>
      <c r="AT167" s="17" t="inlineStr">
        <is>
          <t>기본 문서관리 수요</t>
        </is>
      </c>
      <c r="AU167" s="17" t="inlineStr">
        <is>
          <t>담당자 파악 후 접촉</t>
        </is>
      </c>
      <c r="AV167" s="17" t="inlineStr">
        <is>
          <t>GMP적합판정+KRX</t>
        </is>
      </c>
      <c r="AW167" s="17" t="inlineStr">
        <is>
          <t>2026-07-05</t>
        </is>
      </c>
    </row>
    <row r="168">
      <c r="A168" s="17" t="inlineStr">
        <is>
          <t>C167</t>
        </is>
      </c>
      <c r="B168" s="17" t="inlineStr">
        <is>
          <t>대창가스</t>
        </is>
      </c>
      <c r="C168" s="17" t="inlineStr">
        <is>
          <t>(주)대창가스</t>
        </is>
      </c>
      <c r="D168" s="17" t="n">
        <v>1</v>
      </c>
      <c r="E168" s="17" t="n">
        <v>1</v>
      </c>
      <c r="F168" s="17" t="inlineStr">
        <is>
          <t>Y</t>
        </is>
      </c>
      <c r="G168" s="17" t="inlineStr"/>
      <c r="H168" s="17" t="inlineStr"/>
      <c r="I168" s="17" t="inlineStr"/>
      <c r="J168" s="24" t="n">
        <v>46945</v>
      </c>
      <c r="K168" s="17" t="inlineStr"/>
      <c r="L168" s="17" t="inlineStr"/>
      <c r="M168" s="17" t="inlineStr"/>
      <c r="N168" s="23" t="inlineStr"/>
      <c r="O168" s="17" t="inlineStr"/>
      <c r="P168" s="17" t="inlineStr"/>
      <c r="Q168" s="17" t="inlineStr">
        <is>
          <t>이절부</t>
        </is>
      </c>
      <c r="R168" s="17" t="inlineStr"/>
      <c r="S168" s="17" t="inlineStr"/>
      <c r="T168" s="17" t="inlineStr">
        <is>
          <t>055-752-3330</t>
        </is>
      </c>
      <c r="U168" s="17" t="inlineStr">
        <is>
          <t>제조소상세</t>
        </is>
      </c>
      <c r="V168" s="22" t="inlineStr">
        <is>
          <t>미확인</t>
        </is>
      </c>
      <c r="W168" s="22" t="inlineStr">
        <is>
          <t>미확인</t>
        </is>
      </c>
      <c r="X168" s="22" t="inlineStr">
        <is>
          <t>미확인</t>
        </is>
      </c>
      <c r="Y168" s="22" t="inlineStr">
        <is>
          <t>미확인</t>
        </is>
      </c>
      <c r="Z168" s="22" t="inlineStr">
        <is>
          <t>미확인</t>
        </is>
      </c>
      <c r="AA168" s="22" t="inlineStr">
        <is>
          <t>미확인</t>
        </is>
      </c>
      <c r="AB168" s="22" t="inlineStr">
        <is>
          <t>미확인</t>
        </is>
      </c>
      <c r="AC168" s="22" t="inlineStr">
        <is>
          <t>미확인</t>
        </is>
      </c>
      <c r="AD168" s="22" t="inlineStr">
        <is>
          <t>미확인</t>
        </is>
      </c>
      <c r="AE168" s="22" t="inlineStr">
        <is>
          <t>미확인</t>
        </is>
      </c>
      <c r="AF168" s="22" t="inlineStr">
        <is>
          <t>미확인</t>
        </is>
      </c>
      <c r="AG168" s="22" t="inlineStr">
        <is>
          <t>미확인</t>
        </is>
      </c>
      <c r="AH168" s="22" t="inlineStr">
        <is>
          <t>미확인</t>
        </is>
      </c>
      <c r="AI168" s="22" t="inlineStr">
        <is>
          <t>미확인</t>
        </is>
      </c>
      <c r="AJ168" s="22" t="inlineStr">
        <is>
          <t>미확인</t>
        </is>
      </c>
      <c r="AK168" s="22" t="inlineStr">
        <is>
          <t>미확인</t>
        </is>
      </c>
      <c r="AL168" s="22" t="inlineStr">
        <is>
          <t>미확인</t>
        </is>
      </c>
      <c r="AM168" s="22" t="inlineStr">
        <is>
          <t>미확인</t>
        </is>
      </c>
      <c r="AN168" s="22" t="inlineStr">
        <is>
          <t>미확인</t>
        </is>
      </c>
      <c r="AO168" s="17" t="inlineStr">
        <is>
          <t>C(부분확인)</t>
        </is>
      </c>
      <c r="AP168" s="17" t="inlineStr">
        <is>
          <t>Y</t>
        </is>
      </c>
      <c r="AQ168" s="17" t="n">
        <v>4</v>
      </c>
      <c r="AR168" s="28" t="inlineStr">
        <is>
          <t>Tier D</t>
        </is>
      </c>
      <c r="AS168" s="17" t="inlineStr">
        <is>
          <t>EDMS</t>
        </is>
      </c>
      <c r="AT168" s="17" t="inlineStr">
        <is>
          <t>기본 문서관리 수요</t>
        </is>
      </c>
      <c r="AU168" s="17" t="inlineStr">
        <is>
          <t>담당자 파악 후 접촉</t>
        </is>
      </c>
      <c r="AV168" s="17" t="inlineStr">
        <is>
          <t>GMP적합판정+KRX</t>
        </is>
      </c>
      <c r="AW168" s="17" t="inlineStr">
        <is>
          <t>2026-07-05</t>
        </is>
      </c>
    </row>
    <row r="169">
      <c r="A169" s="17" t="inlineStr">
        <is>
          <t>C168</t>
        </is>
      </c>
      <c r="B169" s="17" t="inlineStr">
        <is>
          <t>중부산업가스</t>
        </is>
      </c>
      <c r="C169" s="17" t="inlineStr">
        <is>
          <t>중부산업가스(주)</t>
        </is>
      </c>
      <c r="D169" s="17" t="n">
        <v>1</v>
      </c>
      <c r="E169" s="17" t="n">
        <v>1</v>
      </c>
      <c r="F169" s="17" t="inlineStr">
        <is>
          <t>Y</t>
        </is>
      </c>
      <c r="G169" s="17" t="inlineStr"/>
      <c r="H169" s="17" t="inlineStr"/>
      <c r="I169" s="17" t="inlineStr"/>
      <c r="J169" s="24" t="n">
        <v>46944</v>
      </c>
      <c r="K169" s="17" t="inlineStr"/>
      <c r="L169" s="17" t="inlineStr"/>
      <c r="M169" s="17" t="inlineStr"/>
      <c r="N169" s="23" t="inlineStr"/>
      <c r="O169" s="17" t="inlineStr"/>
      <c r="P169" s="17" t="inlineStr"/>
      <c r="Q169" s="17" t="inlineStr">
        <is>
          <t>김장수</t>
        </is>
      </c>
      <c r="R169" s="17" t="inlineStr"/>
      <c r="S169" s="17" t="inlineStr"/>
      <c r="T169" s="17" t="inlineStr">
        <is>
          <t>044-2752-3878</t>
        </is>
      </c>
      <c r="U169" s="17" t="inlineStr">
        <is>
          <t>제조소상세</t>
        </is>
      </c>
      <c r="V169" s="22" t="inlineStr">
        <is>
          <t>미확인</t>
        </is>
      </c>
      <c r="W169" s="22" t="inlineStr">
        <is>
          <t>미확인</t>
        </is>
      </c>
      <c r="X169" s="22" t="inlineStr">
        <is>
          <t>미확인</t>
        </is>
      </c>
      <c r="Y169" s="22" t="inlineStr">
        <is>
          <t>미확인</t>
        </is>
      </c>
      <c r="Z169" s="22" t="inlineStr">
        <is>
          <t>미확인</t>
        </is>
      </c>
      <c r="AA169" s="22" t="inlineStr">
        <is>
          <t>미확인</t>
        </is>
      </c>
      <c r="AB169" s="22" t="inlineStr">
        <is>
          <t>미확인</t>
        </is>
      </c>
      <c r="AC169" s="22" t="inlineStr">
        <is>
          <t>미확인</t>
        </is>
      </c>
      <c r="AD169" s="22" t="inlineStr">
        <is>
          <t>미확인</t>
        </is>
      </c>
      <c r="AE169" s="22" t="inlineStr">
        <is>
          <t>미확인</t>
        </is>
      </c>
      <c r="AF169" s="22" t="inlineStr">
        <is>
          <t>미확인</t>
        </is>
      </c>
      <c r="AG169" s="22" t="inlineStr">
        <is>
          <t>미확인</t>
        </is>
      </c>
      <c r="AH169" s="22" t="inlineStr">
        <is>
          <t>미확인</t>
        </is>
      </c>
      <c r="AI169" s="22" t="inlineStr">
        <is>
          <t>미확인</t>
        </is>
      </c>
      <c r="AJ169" s="22" t="inlineStr">
        <is>
          <t>미확인</t>
        </is>
      </c>
      <c r="AK169" s="22" t="inlineStr">
        <is>
          <t>미확인</t>
        </is>
      </c>
      <c r="AL169" s="22" t="inlineStr">
        <is>
          <t>미확인</t>
        </is>
      </c>
      <c r="AM169" s="22" t="inlineStr">
        <is>
          <t>미확인</t>
        </is>
      </c>
      <c r="AN169" s="22" t="inlineStr">
        <is>
          <t>미확인</t>
        </is>
      </c>
      <c r="AO169" s="17" t="inlineStr">
        <is>
          <t>C(부분확인)</t>
        </is>
      </c>
      <c r="AP169" s="17" t="inlineStr">
        <is>
          <t>Y</t>
        </is>
      </c>
      <c r="AQ169" s="17" t="n">
        <v>4</v>
      </c>
      <c r="AR169" s="28" t="inlineStr">
        <is>
          <t>Tier D</t>
        </is>
      </c>
      <c r="AS169" s="17" t="inlineStr">
        <is>
          <t>EDMS</t>
        </is>
      </c>
      <c r="AT169" s="17" t="inlineStr">
        <is>
          <t>기본 문서관리 수요</t>
        </is>
      </c>
      <c r="AU169" s="17" t="inlineStr">
        <is>
          <t>담당자 파악 후 접촉</t>
        </is>
      </c>
      <c r="AV169" s="17" t="inlineStr">
        <is>
          <t>GMP적합판정+KRX</t>
        </is>
      </c>
      <c r="AW169" s="17" t="inlineStr">
        <is>
          <t>2026-07-05</t>
        </is>
      </c>
    </row>
    <row r="170">
      <c r="A170" s="17" t="inlineStr">
        <is>
          <t>C169</t>
        </is>
      </c>
      <c r="B170" s="17" t="inlineStr">
        <is>
          <t>한국한의약진흥원</t>
        </is>
      </c>
      <c r="C170" s="17" t="inlineStr">
        <is>
          <t>한국한의약진흥원</t>
        </is>
      </c>
      <c r="D170" s="17" t="n">
        <v>1</v>
      </c>
      <c r="E170" s="17" t="n">
        <v>1</v>
      </c>
      <c r="F170" s="17" t="inlineStr">
        <is>
          <t>Y</t>
        </is>
      </c>
      <c r="G170" s="17" t="inlineStr"/>
      <c r="H170" s="17" t="inlineStr"/>
      <c r="I170" s="17" t="inlineStr"/>
      <c r="J170" s="24" t="n">
        <v>46944</v>
      </c>
      <c r="K170" s="17" t="inlineStr"/>
      <c r="L170" s="17" t="inlineStr"/>
      <c r="M170" s="17" t="inlineStr"/>
      <c r="N170" s="23" t="inlineStr"/>
      <c r="O170" s="17" t="inlineStr"/>
      <c r="P170" s="17" t="inlineStr"/>
      <c r="Q170" s="17" t="inlineStr">
        <is>
          <t>고호연</t>
        </is>
      </c>
      <c r="R170" s="17" t="inlineStr"/>
      <c r="S170" s="17" t="inlineStr"/>
      <c r="T170" s="17" t="inlineStr">
        <is>
          <t>053-810-0374</t>
        </is>
      </c>
      <c r="U170" s="17" t="inlineStr">
        <is>
          <t>제조소상세</t>
        </is>
      </c>
      <c r="V170" s="22" t="inlineStr">
        <is>
          <t>미확인</t>
        </is>
      </c>
      <c r="W170" s="22" t="inlineStr">
        <is>
          <t>미확인</t>
        </is>
      </c>
      <c r="X170" s="22" t="inlineStr">
        <is>
          <t>미확인</t>
        </is>
      </c>
      <c r="Y170" s="22" t="inlineStr">
        <is>
          <t>미확인</t>
        </is>
      </c>
      <c r="Z170" s="22" t="inlineStr">
        <is>
          <t>미확인</t>
        </is>
      </c>
      <c r="AA170" s="22" t="inlineStr">
        <is>
          <t>미확인</t>
        </is>
      </c>
      <c r="AB170" s="22" t="inlineStr">
        <is>
          <t>미확인</t>
        </is>
      </c>
      <c r="AC170" s="22" t="inlineStr">
        <is>
          <t>미확인</t>
        </is>
      </c>
      <c r="AD170" s="22" t="inlineStr">
        <is>
          <t>미확인</t>
        </is>
      </c>
      <c r="AE170" s="22" t="inlineStr">
        <is>
          <t>미확인</t>
        </is>
      </c>
      <c r="AF170" s="22" t="inlineStr">
        <is>
          <t>미확인</t>
        </is>
      </c>
      <c r="AG170" s="22" t="inlineStr">
        <is>
          <t>미확인</t>
        </is>
      </c>
      <c r="AH170" s="22" t="inlineStr">
        <is>
          <t>미확인</t>
        </is>
      </c>
      <c r="AI170" s="22" t="inlineStr">
        <is>
          <t>미확인</t>
        </is>
      </c>
      <c r="AJ170" s="22" t="inlineStr">
        <is>
          <t>미확인</t>
        </is>
      </c>
      <c r="AK170" s="22" t="inlineStr">
        <is>
          <t>미확인</t>
        </is>
      </c>
      <c r="AL170" s="22" t="inlineStr">
        <is>
          <t>미확인</t>
        </is>
      </c>
      <c r="AM170" s="22" t="inlineStr">
        <is>
          <t>미확인</t>
        </is>
      </c>
      <c r="AN170" s="22" t="inlineStr">
        <is>
          <t>미확인</t>
        </is>
      </c>
      <c r="AO170" s="17" t="inlineStr">
        <is>
          <t>C(부분확인)</t>
        </is>
      </c>
      <c r="AP170" s="17" t="inlineStr">
        <is>
          <t>Y</t>
        </is>
      </c>
      <c r="AQ170" s="17" t="n">
        <v>4</v>
      </c>
      <c r="AR170" s="28" t="inlineStr">
        <is>
          <t>Tier D</t>
        </is>
      </c>
      <c r="AS170" s="17" t="inlineStr">
        <is>
          <t>EDMS</t>
        </is>
      </c>
      <c r="AT170" s="17" t="inlineStr">
        <is>
          <t>기본 문서관리 수요</t>
        </is>
      </c>
      <c r="AU170" s="17" t="inlineStr">
        <is>
          <t>담당자 파악 후 접촉</t>
        </is>
      </c>
      <c r="AV170" s="17" t="inlineStr">
        <is>
          <t>GMP적합판정+KRX</t>
        </is>
      </c>
      <c r="AW170" s="17" t="inlineStr">
        <is>
          <t>2026-07-05</t>
        </is>
      </c>
    </row>
    <row r="171">
      <c r="A171" s="17" t="inlineStr">
        <is>
          <t>C170</t>
        </is>
      </c>
      <c r="B171" s="17" t="inlineStr">
        <is>
          <t>제이더블유생명과학</t>
        </is>
      </c>
      <c r="C171" s="17" t="inlineStr">
        <is>
          <t>제이더블유생명과학(주)</t>
        </is>
      </c>
      <c r="D171" s="17" t="n">
        <v>1</v>
      </c>
      <c r="E171" s="17" t="n">
        <v>1</v>
      </c>
      <c r="F171" s="17" t="inlineStr">
        <is>
          <t>Y</t>
        </is>
      </c>
      <c r="G171" s="17" t="inlineStr"/>
      <c r="H171" s="17" t="inlineStr">
        <is>
          <t>Y</t>
        </is>
      </c>
      <c r="I171" s="17" t="inlineStr"/>
      <c r="J171" s="24" t="n">
        <v>46941</v>
      </c>
      <c r="K171" s="17" t="inlineStr"/>
      <c r="L171" s="17" t="inlineStr"/>
      <c r="M171" s="17" t="inlineStr"/>
      <c r="N171" s="23" t="inlineStr"/>
      <c r="O171" s="17" t="inlineStr"/>
      <c r="P171" s="17" t="inlineStr"/>
      <c r="Q171" s="17" t="inlineStr">
        <is>
          <t>노정열</t>
        </is>
      </c>
      <c r="R171" s="17" t="inlineStr"/>
      <c r="S171" s="17" t="inlineStr"/>
      <c r="T171" s="17" t="inlineStr">
        <is>
          <t>02-840-6828</t>
        </is>
      </c>
      <c r="U171" s="17" t="inlineStr">
        <is>
          <t>제조소상세</t>
        </is>
      </c>
      <c r="V171" s="22" t="inlineStr">
        <is>
          <t>미확인</t>
        </is>
      </c>
      <c r="W171" s="22" t="inlineStr">
        <is>
          <t>미확인</t>
        </is>
      </c>
      <c r="X171" s="22" t="inlineStr">
        <is>
          <t>미확인</t>
        </is>
      </c>
      <c r="Y171" s="22" t="inlineStr">
        <is>
          <t>미확인</t>
        </is>
      </c>
      <c r="Z171" s="22" t="inlineStr">
        <is>
          <t>미확인</t>
        </is>
      </c>
      <c r="AA171" s="22" t="inlineStr">
        <is>
          <t>미확인</t>
        </is>
      </c>
      <c r="AB171" s="22" t="inlineStr">
        <is>
          <t>미확인</t>
        </is>
      </c>
      <c r="AC171" s="22" t="inlineStr">
        <is>
          <t>미확인</t>
        </is>
      </c>
      <c r="AD171" s="22" t="inlineStr">
        <is>
          <t>미확인</t>
        </is>
      </c>
      <c r="AE171" s="22" t="inlineStr">
        <is>
          <t>미확인</t>
        </is>
      </c>
      <c r="AF171" s="22" t="inlineStr">
        <is>
          <t>미확인</t>
        </is>
      </c>
      <c r="AG171" s="22" t="inlineStr">
        <is>
          <t>미확인</t>
        </is>
      </c>
      <c r="AH171" s="22" t="inlineStr">
        <is>
          <t>미확인</t>
        </is>
      </c>
      <c r="AI171" s="22" t="inlineStr">
        <is>
          <t>미확인</t>
        </is>
      </c>
      <c r="AJ171" s="22" t="inlineStr">
        <is>
          <t>미확인</t>
        </is>
      </c>
      <c r="AK171" s="22" t="inlineStr">
        <is>
          <t>미확인</t>
        </is>
      </c>
      <c r="AL171" s="22" t="inlineStr">
        <is>
          <t>미확인</t>
        </is>
      </c>
      <c r="AM171" s="22" t="inlineStr">
        <is>
          <t>미확인</t>
        </is>
      </c>
      <c r="AN171" s="22" t="inlineStr">
        <is>
          <t>미확인</t>
        </is>
      </c>
      <c r="AO171" s="17" t="inlineStr">
        <is>
          <t>C(부분확인)</t>
        </is>
      </c>
      <c r="AP171" s="17" t="inlineStr">
        <is>
          <t>Y</t>
        </is>
      </c>
      <c r="AQ171" s="17" t="n">
        <v>12</v>
      </c>
      <c r="AR171" s="28" t="inlineStr">
        <is>
          <t>Tier D</t>
        </is>
      </c>
      <c r="AS171" s="17" t="inlineStr">
        <is>
          <t>QMS+LIMS</t>
        </is>
      </c>
      <c r="AT171" s="17" t="inlineStr">
        <is>
          <t>무균/바이오 제조로 품질관리 난도 높음</t>
        </is>
      </c>
      <c r="AU171" s="17" t="inlineStr">
        <is>
          <t>담당자 파악 후 접촉</t>
        </is>
      </c>
      <c r="AV171" s="17" t="inlineStr">
        <is>
          <t>GMP적합판정+KRX</t>
        </is>
      </c>
      <c r="AW171" s="17" t="inlineStr">
        <is>
          <t>2026-07-05</t>
        </is>
      </c>
    </row>
    <row r="172">
      <c r="A172" s="17" t="inlineStr">
        <is>
          <t>C171</t>
        </is>
      </c>
      <c r="B172" s="17" t="inlineStr">
        <is>
          <t>일동제약</t>
        </is>
      </c>
      <c r="C172" s="17" t="inlineStr">
        <is>
          <t>일동제약(주)</t>
        </is>
      </c>
      <c r="D172" s="17" t="n">
        <v>2</v>
      </c>
      <c r="E172" s="17" t="n">
        <v>2</v>
      </c>
      <c r="F172" s="17" t="inlineStr">
        <is>
          <t>Y</t>
        </is>
      </c>
      <c r="G172" s="17" t="inlineStr">
        <is>
          <t>Y</t>
        </is>
      </c>
      <c r="H172" s="17" t="inlineStr">
        <is>
          <t>Y</t>
        </is>
      </c>
      <c r="I172" s="17" t="inlineStr"/>
      <c r="J172" s="24" t="n">
        <v>46286</v>
      </c>
      <c r="K172" s="17" t="inlineStr">
        <is>
          <t>Y</t>
        </is>
      </c>
      <c r="L172" s="17" t="inlineStr">
        <is>
          <t>Y</t>
        </is>
      </c>
      <c r="M172" s="17" t="inlineStr">
        <is>
          <t>유가</t>
        </is>
      </c>
      <c r="N172" s="23" t="inlineStr">
        <is>
          <t>249420</t>
        </is>
      </c>
      <c r="O172" s="17" t="inlineStr">
        <is>
          <t>의약품 제조업</t>
        </is>
      </c>
      <c r="P172" s="17" t="inlineStr">
        <is>
          <t>아로나민, 후루마린, 큐란, 라비에트, 사미온 등</t>
        </is>
      </c>
      <c r="Q172" s="17" t="inlineStr">
        <is>
          <t>윤웅섭, 이재준(공동 대표이사)</t>
        </is>
      </c>
      <c r="R172" s="17" t="inlineStr">
        <is>
          <t>http://www.ildong.com</t>
        </is>
      </c>
      <c r="S172" s="17" t="inlineStr">
        <is>
          <t>서울특별시</t>
        </is>
      </c>
      <c r="T172" s="17" t="inlineStr">
        <is>
          <t>02-526-3388</t>
        </is>
      </c>
      <c r="U172" s="17" t="inlineStr">
        <is>
          <t>제조소상세</t>
        </is>
      </c>
      <c r="V172" s="22" t="inlineStr">
        <is>
          <t>미확인</t>
        </is>
      </c>
      <c r="W172" s="22" t="inlineStr">
        <is>
          <t>미확인</t>
        </is>
      </c>
      <c r="X172" s="22" t="inlineStr">
        <is>
          <t>미확인</t>
        </is>
      </c>
      <c r="Y172" s="22" t="inlineStr">
        <is>
          <t>미확인</t>
        </is>
      </c>
      <c r="Z172" s="22" t="inlineStr">
        <is>
          <t>미확인</t>
        </is>
      </c>
      <c r="AA172" s="22" t="inlineStr">
        <is>
          <t>미확인</t>
        </is>
      </c>
      <c r="AB172" s="22" t="inlineStr">
        <is>
          <t>미확인</t>
        </is>
      </c>
      <c r="AC172" s="22" t="inlineStr">
        <is>
          <t>미확인</t>
        </is>
      </c>
      <c r="AD172" s="22" t="inlineStr">
        <is>
          <t>미확인</t>
        </is>
      </c>
      <c r="AE172" s="22" t="inlineStr">
        <is>
          <t>미확인</t>
        </is>
      </c>
      <c r="AF172" s="22" t="inlineStr">
        <is>
          <t>미확인</t>
        </is>
      </c>
      <c r="AG172" s="22" t="inlineStr">
        <is>
          <t>미확인</t>
        </is>
      </c>
      <c r="AH172" s="22" t="inlineStr">
        <is>
          <t>미확인</t>
        </is>
      </c>
      <c r="AI172" s="22" t="inlineStr">
        <is>
          <t>미확인</t>
        </is>
      </c>
      <c r="AJ172" s="22" t="inlineStr">
        <is>
          <t>미확인</t>
        </is>
      </c>
      <c r="AK172" s="22" t="inlineStr">
        <is>
          <t>미확인</t>
        </is>
      </c>
      <c r="AL172" s="22" t="inlineStr">
        <is>
          <t>미확인</t>
        </is>
      </c>
      <c r="AM172" s="22" t="inlineStr">
        <is>
          <t>미확인</t>
        </is>
      </c>
      <c r="AN172" s="22" t="inlineStr">
        <is>
          <t>미확인</t>
        </is>
      </c>
      <c r="AO172" s="17" t="inlineStr">
        <is>
          <t>C(부분확인)</t>
        </is>
      </c>
      <c r="AP172" s="17" t="inlineStr">
        <is>
          <t>Y</t>
        </is>
      </c>
      <c r="AQ172" s="17" t="n">
        <v>24</v>
      </c>
      <c r="AR172" s="28" t="inlineStr">
        <is>
          <t>Tier D</t>
        </is>
      </c>
      <c r="AS172" s="17" t="inlineStr">
        <is>
          <t>통합형</t>
        </is>
      </c>
      <c r="AT172" s="17" t="inlineStr">
        <is>
          <t>다중 제조소/다수 판정서로 문서관리 복잡; 무균/바이오 제조로 품질관리 난도 높음</t>
        </is>
      </c>
      <c r="AU172" s="17" t="inlineStr">
        <is>
          <t>담당자 파악 후 접촉</t>
        </is>
      </c>
      <c r="AV172" s="17" t="inlineStr">
        <is>
          <t>GMP적합판정+KRX</t>
        </is>
      </c>
      <c r="AW172" s="17" t="inlineStr">
        <is>
          <t>2026-07-05</t>
        </is>
      </c>
    </row>
    <row r="173">
      <c r="A173" s="17" t="inlineStr">
        <is>
          <t>C172</t>
        </is>
      </c>
      <c r="B173" s="17" t="inlineStr">
        <is>
          <t>린데코리아</t>
        </is>
      </c>
      <c r="C173" s="17" t="inlineStr">
        <is>
          <t>린데코리아주식회사</t>
        </is>
      </c>
      <c r="D173" s="17" t="n">
        <v>3</v>
      </c>
      <c r="E173" s="17" t="n">
        <v>3</v>
      </c>
      <c r="F173" s="17" t="inlineStr">
        <is>
          <t>Y</t>
        </is>
      </c>
      <c r="G173" s="17" t="inlineStr"/>
      <c r="H173" s="17" t="inlineStr"/>
      <c r="I173" s="17" t="inlineStr"/>
      <c r="J173" s="24" t="n">
        <v>46685</v>
      </c>
      <c r="K173" s="17" t="inlineStr"/>
      <c r="L173" s="17" t="inlineStr"/>
      <c r="M173" s="17" t="inlineStr"/>
      <c r="N173" s="23" t="inlineStr"/>
      <c r="O173" s="17" t="inlineStr"/>
      <c r="P173" s="17" t="inlineStr"/>
      <c r="Q173" s="17" t="inlineStr">
        <is>
          <t>성백석</t>
        </is>
      </c>
      <c r="R173" s="17" t="inlineStr"/>
      <c r="S173" s="17" t="inlineStr"/>
      <c r="T173" s="17" t="inlineStr">
        <is>
          <t>041-537-7300</t>
        </is>
      </c>
      <c r="U173" s="17" t="inlineStr">
        <is>
          <t>제조소상세</t>
        </is>
      </c>
      <c r="V173" s="22" t="inlineStr">
        <is>
          <t>미확인</t>
        </is>
      </c>
      <c r="W173" s="22" t="inlineStr">
        <is>
          <t>미확인</t>
        </is>
      </c>
      <c r="X173" s="22" t="inlineStr">
        <is>
          <t>미확인</t>
        </is>
      </c>
      <c r="Y173" s="22" t="inlineStr">
        <is>
          <t>미확인</t>
        </is>
      </c>
      <c r="Z173" s="22" t="inlineStr">
        <is>
          <t>미확인</t>
        </is>
      </c>
      <c r="AA173" s="22" t="inlineStr">
        <is>
          <t>미확인</t>
        </is>
      </c>
      <c r="AB173" s="22" t="inlineStr">
        <is>
          <t>미확인</t>
        </is>
      </c>
      <c r="AC173" s="22" t="inlineStr">
        <is>
          <t>미확인</t>
        </is>
      </c>
      <c r="AD173" s="22" t="inlineStr">
        <is>
          <t>미확인</t>
        </is>
      </c>
      <c r="AE173" s="22" t="inlineStr">
        <is>
          <t>미확인</t>
        </is>
      </c>
      <c r="AF173" s="22" t="inlineStr">
        <is>
          <t>미확인</t>
        </is>
      </c>
      <c r="AG173" s="22" t="inlineStr">
        <is>
          <t>미확인</t>
        </is>
      </c>
      <c r="AH173" s="22" t="inlineStr">
        <is>
          <t>미확인</t>
        </is>
      </c>
      <c r="AI173" s="22" t="inlineStr">
        <is>
          <t>미확인</t>
        </is>
      </c>
      <c r="AJ173" s="22" t="inlineStr">
        <is>
          <t>미확인</t>
        </is>
      </c>
      <c r="AK173" s="22" t="inlineStr">
        <is>
          <t>미확인</t>
        </is>
      </c>
      <c r="AL173" s="22" t="inlineStr">
        <is>
          <t>미확인</t>
        </is>
      </c>
      <c r="AM173" s="22" t="inlineStr">
        <is>
          <t>미확인</t>
        </is>
      </c>
      <c r="AN173" s="22" t="inlineStr">
        <is>
          <t>미확인</t>
        </is>
      </c>
      <c r="AO173" s="17" t="inlineStr">
        <is>
          <t>C(부분확인)</t>
        </is>
      </c>
      <c r="AP173" s="17" t="inlineStr">
        <is>
          <t>Y</t>
        </is>
      </c>
      <c r="AQ173" s="17" t="n">
        <v>12</v>
      </c>
      <c r="AR173" s="28" t="inlineStr">
        <is>
          <t>Tier D</t>
        </is>
      </c>
      <c r="AS173" s="17" t="inlineStr">
        <is>
          <t>통합형</t>
        </is>
      </c>
      <c r="AT173" s="17" t="inlineStr">
        <is>
          <t>다중 제조소/다수 판정서로 문서관리 복잡; 다중 제조소로 교육관리 대상 광범위</t>
        </is>
      </c>
      <c r="AU173" s="17" t="inlineStr">
        <is>
          <t>담당자 파악 후 접촉</t>
        </is>
      </c>
      <c r="AV173" s="17" t="inlineStr">
        <is>
          <t>GMP적합판정+KRX</t>
        </is>
      </c>
      <c r="AW173" s="17" t="inlineStr">
        <is>
          <t>2026-07-05</t>
        </is>
      </c>
    </row>
    <row r="174">
      <c r="A174" s="17" t="inlineStr">
        <is>
          <t>C173</t>
        </is>
      </c>
      <c r="B174" s="17" t="inlineStr">
        <is>
          <t>이화산소</t>
        </is>
      </c>
      <c r="C174" s="17" t="inlineStr">
        <is>
          <t>이화산소(주)</t>
        </is>
      </c>
      <c r="D174" s="17" t="n">
        <v>1</v>
      </c>
      <c r="E174" s="17" t="n">
        <v>1</v>
      </c>
      <c r="F174" s="17" t="inlineStr">
        <is>
          <t>Y</t>
        </is>
      </c>
      <c r="G174" s="17" t="inlineStr"/>
      <c r="H174" s="17" t="inlineStr"/>
      <c r="I174" s="17" t="inlineStr"/>
      <c r="J174" s="24" t="n">
        <v>46938</v>
      </c>
      <c r="K174" s="17" t="inlineStr"/>
      <c r="L174" s="17" t="inlineStr"/>
      <c r="M174" s="17" t="inlineStr"/>
      <c r="N174" s="23" t="inlineStr"/>
      <c r="O174" s="17" t="inlineStr"/>
      <c r="P174" s="17" t="inlineStr"/>
      <c r="Q174" s="17" t="inlineStr">
        <is>
          <t>박상진</t>
        </is>
      </c>
      <c r="R174" s="17" t="inlineStr"/>
      <c r="S174" s="17" t="inlineStr"/>
      <c r="T174" s="17" t="inlineStr">
        <is>
          <t>032-575-4747</t>
        </is>
      </c>
      <c r="U174" s="17" t="inlineStr">
        <is>
          <t>제조소상세</t>
        </is>
      </c>
      <c r="V174" s="22" t="inlineStr">
        <is>
          <t>미확인</t>
        </is>
      </c>
      <c r="W174" s="22" t="inlineStr">
        <is>
          <t>미확인</t>
        </is>
      </c>
      <c r="X174" s="22" t="inlineStr">
        <is>
          <t>미확인</t>
        </is>
      </c>
      <c r="Y174" s="22" t="inlineStr">
        <is>
          <t>미확인</t>
        </is>
      </c>
      <c r="Z174" s="22" t="inlineStr">
        <is>
          <t>미확인</t>
        </is>
      </c>
      <c r="AA174" s="22" t="inlineStr">
        <is>
          <t>미확인</t>
        </is>
      </c>
      <c r="AB174" s="22" t="inlineStr">
        <is>
          <t>미확인</t>
        </is>
      </c>
      <c r="AC174" s="22" t="inlineStr">
        <is>
          <t>미확인</t>
        </is>
      </c>
      <c r="AD174" s="22" t="inlineStr">
        <is>
          <t>미확인</t>
        </is>
      </c>
      <c r="AE174" s="22" t="inlineStr">
        <is>
          <t>미확인</t>
        </is>
      </c>
      <c r="AF174" s="22" t="inlineStr">
        <is>
          <t>미확인</t>
        </is>
      </c>
      <c r="AG174" s="22" t="inlineStr">
        <is>
          <t>미확인</t>
        </is>
      </c>
      <c r="AH174" s="22" t="inlineStr">
        <is>
          <t>미확인</t>
        </is>
      </c>
      <c r="AI174" s="22" t="inlineStr">
        <is>
          <t>미확인</t>
        </is>
      </c>
      <c r="AJ174" s="22" t="inlineStr">
        <is>
          <t>미확인</t>
        </is>
      </c>
      <c r="AK174" s="22" t="inlineStr">
        <is>
          <t>미확인</t>
        </is>
      </c>
      <c r="AL174" s="22" t="inlineStr">
        <is>
          <t>미확인</t>
        </is>
      </c>
      <c r="AM174" s="22" t="inlineStr">
        <is>
          <t>미확인</t>
        </is>
      </c>
      <c r="AN174" s="22" t="inlineStr">
        <is>
          <t>미확인</t>
        </is>
      </c>
      <c r="AO174" s="17" t="inlineStr">
        <is>
          <t>C(부분확인)</t>
        </is>
      </c>
      <c r="AP174" s="17" t="inlineStr">
        <is>
          <t>Y</t>
        </is>
      </c>
      <c r="AQ174" s="17" t="n">
        <v>4</v>
      </c>
      <c r="AR174" s="28" t="inlineStr">
        <is>
          <t>Tier D</t>
        </is>
      </c>
      <c r="AS174" s="17" t="inlineStr">
        <is>
          <t>EDMS</t>
        </is>
      </c>
      <c r="AT174" s="17" t="inlineStr">
        <is>
          <t>기본 문서관리 수요</t>
        </is>
      </c>
      <c r="AU174" s="17" t="inlineStr">
        <is>
          <t>담당자 파악 후 접촉</t>
        </is>
      </c>
      <c r="AV174" s="17" t="inlineStr">
        <is>
          <t>GMP적합판정+KRX</t>
        </is>
      </c>
      <c r="AW174" s="17" t="inlineStr">
        <is>
          <t>2026-07-05</t>
        </is>
      </c>
    </row>
    <row r="175">
      <c r="A175" s="17" t="inlineStr">
        <is>
          <t>C174</t>
        </is>
      </c>
      <c r="B175" s="17" t="inlineStr">
        <is>
          <t>루텍</t>
        </is>
      </c>
      <c r="C175" s="17" t="inlineStr">
        <is>
          <t>(주)루텍</t>
        </is>
      </c>
      <c r="D175" s="17" t="n">
        <v>1</v>
      </c>
      <c r="E175" s="17" t="n">
        <v>1</v>
      </c>
      <c r="F175" s="17" t="inlineStr"/>
      <c r="G175" s="17" t="inlineStr">
        <is>
          <t>Y</t>
        </is>
      </c>
      <c r="H175" s="17" t="inlineStr">
        <is>
          <t>Y</t>
        </is>
      </c>
      <c r="I175" s="17" t="inlineStr"/>
      <c r="J175" s="24" t="n">
        <v>46934</v>
      </c>
      <c r="K175" s="17" t="inlineStr"/>
      <c r="L175" s="17" t="inlineStr"/>
      <c r="M175" s="17" t="inlineStr"/>
      <c r="N175" s="23" t="inlineStr"/>
      <c r="O175" s="17" t="inlineStr"/>
      <c r="P175" s="17" t="inlineStr"/>
      <c r="Q175" s="17" t="inlineStr">
        <is>
          <t>이장휘</t>
        </is>
      </c>
      <c r="R175" s="17" t="inlineStr"/>
      <c r="S175" s="17" t="inlineStr"/>
      <c r="T175" s="17" t="inlineStr">
        <is>
          <t>043-264-7038</t>
        </is>
      </c>
      <c r="U175" s="17" t="inlineStr">
        <is>
          <t>제조소상세</t>
        </is>
      </c>
      <c r="V175" s="22" t="inlineStr">
        <is>
          <t>미확인</t>
        </is>
      </c>
      <c r="W175" s="22" t="inlineStr">
        <is>
          <t>미확인</t>
        </is>
      </c>
      <c r="X175" s="22" t="inlineStr">
        <is>
          <t>미확인</t>
        </is>
      </c>
      <c r="Y175" s="22" t="inlineStr">
        <is>
          <t>미확인</t>
        </is>
      </c>
      <c r="Z175" s="22" t="inlineStr">
        <is>
          <t>미확인</t>
        </is>
      </c>
      <c r="AA175" s="22" t="inlineStr">
        <is>
          <t>미확인</t>
        </is>
      </c>
      <c r="AB175" s="22" t="inlineStr">
        <is>
          <t>미확인</t>
        </is>
      </c>
      <c r="AC175" s="22" t="inlineStr">
        <is>
          <t>미확인</t>
        </is>
      </c>
      <c r="AD175" s="22" t="inlineStr">
        <is>
          <t>미확인</t>
        </is>
      </c>
      <c r="AE175" s="22" t="inlineStr">
        <is>
          <t>미확인</t>
        </is>
      </c>
      <c r="AF175" s="22" t="inlineStr">
        <is>
          <t>미확인</t>
        </is>
      </c>
      <c r="AG175" s="22" t="inlineStr">
        <is>
          <t>미확인</t>
        </is>
      </c>
      <c r="AH175" s="22" t="inlineStr">
        <is>
          <t>미확인</t>
        </is>
      </c>
      <c r="AI175" s="22" t="inlineStr">
        <is>
          <t>미확인</t>
        </is>
      </c>
      <c r="AJ175" s="22" t="inlineStr">
        <is>
          <t>미확인</t>
        </is>
      </c>
      <c r="AK175" s="22" t="inlineStr">
        <is>
          <t>미확인</t>
        </is>
      </c>
      <c r="AL175" s="22" t="inlineStr">
        <is>
          <t>미확인</t>
        </is>
      </c>
      <c r="AM175" s="22" t="inlineStr">
        <is>
          <t>미확인</t>
        </is>
      </c>
      <c r="AN175" s="22" t="inlineStr">
        <is>
          <t>미확인</t>
        </is>
      </c>
      <c r="AO175" s="17" t="inlineStr">
        <is>
          <t>C(부분확인)</t>
        </is>
      </c>
      <c r="AP175" s="17" t="inlineStr">
        <is>
          <t>Y</t>
        </is>
      </c>
      <c r="AQ175" s="17" t="n">
        <v>12</v>
      </c>
      <c r="AR175" s="28" t="inlineStr">
        <is>
          <t>Tier D</t>
        </is>
      </c>
      <c r="AS175" s="17" t="inlineStr">
        <is>
          <t>QMS+LIMS</t>
        </is>
      </c>
      <c r="AT175" s="17" t="inlineStr">
        <is>
          <t>무균/바이오 제조로 품질관리 난도 높음; 원료 제조로 시험실 관리 필요</t>
        </is>
      </c>
      <c r="AU175" s="17" t="inlineStr">
        <is>
          <t>담당자 파악 후 접촉</t>
        </is>
      </c>
      <c r="AV175" s="17" t="inlineStr">
        <is>
          <t>GMP적합판정+KRX</t>
        </is>
      </c>
      <c r="AW175" s="17" t="inlineStr">
        <is>
          <t>2026-07-05</t>
        </is>
      </c>
    </row>
    <row r="176">
      <c r="A176" s="17" t="inlineStr">
        <is>
          <t>C175</t>
        </is>
      </c>
      <c r="B176" s="17" t="inlineStr">
        <is>
          <t>일성아이에스</t>
        </is>
      </c>
      <c r="C176" s="17" t="inlineStr">
        <is>
          <t>일성아이에스(주)</t>
        </is>
      </c>
      <c r="D176" s="17" t="n">
        <v>1</v>
      </c>
      <c r="E176" s="17" t="n">
        <v>1</v>
      </c>
      <c r="F176" s="17" t="inlineStr">
        <is>
          <t>Y</t>
        </is>
      </c>
      <c r="G176" s="17" t="inlineStr"/>
      <c r="H176" s="17" t="inlineStr">
        <is>
          <t>Y</t>
        </is>
      </c>
      <c r="I176" s="17" t="inlineStr"/>
      <c r="J176" s="24" t="n">
        <v>46934</v>
      </c>
      <c r="K176" s="17" t="inlineStr"/>
      <c r="L176" s="17" t="inlineStr">
        <is>
          <t>Y</t>
        </is>
      </c>
      <c r="M176" s="17" t="inlineStr">
        <is>
          <t>유가</t>
        </is>
      </c>
      <c r="N176" s="23" t="inlineStr">
        <is>
          <t>003120</t>
        </is>
      </c>
      <c r="O176" s="17" t="inlineStr">
        <is>
          <t>의약품 제조업</t>
        </is>
      </c>
      <c r="P176" s="17" t="inlineStr">
        <is>
          <t>의약품(항생제,화학료법제,항바이러스,근이완제,영양액륜) 제조,판매</t>
        </is>
      </c>
      <c r="Q176" s="17" t="inlineStr">
        <is>
          <t>윤석근, 엄대식, 윤종호(각자대표)</t>
        </is>
      </c>
      <c r="R176" s="17" t="inlineStr">
        <is>
          <t>http://www.ilsungis.com</t>
        </is>
      </c>
      <c r="S176" s="17" t="inlineStr">
        <is>
          <t>경기도</t>
        </is>
      </c>
      <c r="T176" s="17" t="inlineStr">
        <is>
          <t>031-490-3400</t>
        </is>
      </c>
      <c r="U176" s="17" t="inlineStr">
        <is>
          <t>제조소상세</t>
        </is>
      </c>
      <c r="V176" s="22" t="inlineStr">
        <is>
          <t>미확인</t>
        </is>
      </c>
      <c r="W176" s="22" t="inlineStr">
        <is>
          <t>미확인</t>
        </is>
      </c>
      <c r="X176" s="22" t="inlineStr">
        <is>
          <t>미확인</t>
        </is>
      </c>
      <c r="Y176" s="22" t="inlineStr">
        <is>
          <t>미확인</t>
        </is>
      </c>
      <c r="Z176" s="22" t="inlineStr">
        <is>
          <t>미확인</t>
        </is>
      </c>
      <c r="AA176" s="22" t="inlineStr">
        <is>
          <t>미확인</t>
        </is>
      </c>
      <c r="AB176" s="22" t="inlineStr">
        <is>
          <t>미확인</t>
        </is>
      </c>
      <c r="AC176" s="22" t="inlineStr">
        <is>
          <t>미확인</t>
        </is>
      </c>
      <c r="AD176" s="22" t="inlineStr">
        <is>
          <t>미확인</t>
        </is>
      </c>
      <c r="AE176" s="22" t="inlineStr">
        <is>
          <t>미확인</t>
        </is>
      </c>
      <c r="AF176" s="22" t="inlineStr">
        <is>
          <t>미확인</t>
        </is>
      </c>
      <c r="AG176" s="22" t="inlineStr">
        <is>
          <t>미확인</t>
        </is>
      </c>
      <c r="AH176" s="22" t="inlineStr">
        <is>
          <t>미확인</t>
        </is>
      </c>
      <c r="AI176" s="22" t="inlineStr">
        <is>
          <t>미확인</t>
        </is>
      </c>
      <c r="AJ176" s="22" t="inlineStr">
        <is>
          <t>미확인</t>
        </is>
      </c>
      <c r="AK176" s="22" t="inlineStr">
        <is>
          <t>미확인</t>
        </is>
      </c>
      <c r="AL176" s="22" t="inlineStr">
        <is>
          <t>미확인</t>
        </is>
      </c>
      <c r="AM176" s="22" t="inlineStr">
        <is>
          <t>미확인</t>
        </is>
      </c>
      <c r="AN176" s="22" t="inlineStr">
        <is>
          <t>미확인</t>
        </is>
      </c>
      <c r="AO176" s="17" t="inlineStr">
        <is>
          <t>C(부분확인)</t>
        </is>
      </c>
      <c r="AP176" s="17" t="inlineStr">
        <is>
          <t>Y</t>
        </is>
      </c>
      <c r="AQ176" s="17" t="n">
        <v>15</v>
      </c>
      <c r="AR176" s="28" t="inlineStr">
        <is>
          <t>Tier D</t>
        </is>
      </c>
      <c r="AS176" s="17" t="inlineStr">
        <is>
          <t>QMS+LIMS</t>
        </is>
      </c>
      <c r="AT176" s="17" t="inlineStr">
        <is>
          <t>무균/바이오 제조로 품질관리 난도 높음</t>
        </is>
      </c>
      <c r="AU176" s="17" t="inlineStr">
        <is>
          <t>담당자 파악 후 접촉</t>
        </is>
      </c>
      <c r="AV176" s="17" t="inlineStr">
        <is>
          <t>GMP적합판정+KRX</t>
        </is>
      </c>
      <c r="AW176" s="17" t="inlineStr">
        <is>
          <t>2026-07-05</t>
        </is>
      </c>
    </row>
    <row r="177">
      <c r="A177" s="17" t="inlineStr">
        <is>
          <t>C176</t>
        </is>
      </c>
      <c r="B177" s="17" t="inlineStr">
        <is>
          <t>씨에이치디제약</t>
        </is>
      </c>
      <c r="C177" s="17" t="inlineStr">
        <is>
          <t>씨에이치디제약주식회사</t>
        </is>
      </c>
      <c r="D177" s="17" t="n">
        <v>1</v>
      </c>
      <c r="E177" s="17" t="n">
        <v>1</v>
      </c>
      <c r="F177" s="17" t="inlineStr">
        <is>
          <t>Y</t>
        </is>
      </c>
      <c r="G177" s="17" t="inlineStr"/>
      <c r="H177" s="17" t="inlineStr"/>
      <c r="I177" s="17" t="inlineStr"/>
      <c r="J177" s="24" t="n">
        <v>46932</v>
      </c>
      <c r="K177" s="17" t="inlineStr"/>
      <c r="L177" s="17" t="inlineStr"/>
      <c r="M177" s="17" t="inlineStr"/>
      <c r="N177" s="23" t="inlineStr"/>
      <c r="O177" s="17" t="inlineStr"/>
      <c r="P177" s="17" t="inlineStr"/>
      <c r="Q177" s="17" t="inlineStr">
        <is>
          <t>김창준</t>
        </is>
      </c>
      <c r="R177" s="17" t="inlineStr"/>
      <c r="S177" s="17" t="inlineStr"/>
      <c r="T177" s="17" t="inlineStr">
        <is>
          <t>032-675-5561</t>
        </is>
      </c>
      <c r="U177" s="17" t="inlineStr">
        <is>
          <t>제조소상세</t>
        </is>
      </c>
      <c r="V177" s="22" t="inlineStr">
        <is>
          <t>미확인</t>
        </is>
      </c>
      <c r="W177" s="22" t="inlineStr">
        <is>
          <t>미확인</t>
        </is>
      </c>
      <c r="X177" s="22" t="inlineStr">
        <is>
          <t>미확인</t>
        </is>
      </c>
      <c r="Y177" s="22" t="inlineStr">
        <is>
          <t>미확인</t>
        </is>
      </c>
      <c r="Z177" s="22" t="inlineStr">
        <is>
          <t>미확인</t>
        </is>
      </c>
      <c r="AA177" s="22" t="inlineStr">
        <is>
          <t>미확인</t>
        </is>
      </c>
      <c r="AB177" s="22" t="inlineStr">
        <is>
          <t>미확인</t>
        </is>
      </c>
      <c r="AC177" s="22" t="inlineStr">
        <is>
          <t>미확인</t>
        </is>
      </c>
      <c r="AD177" s="22" t="inlineStr">
        <is>
          <t>미확인</t>
        </is>
      </c>
      <c r="AE177" s="22" t="inlineStr">
        <is>
          <t>미확인</t>
        </is>
      </c>
      <c r="AF177" s="22" t="inlineStr">
        <is>
          <t>미확인</t>
        </is>
      </c>
      <c r="AG177" s="22" t="inlineStr">
        <is>
          <t>미확인</t>
        </is>
      </c>
      <c r="AH177" s="22" t="inlineStr">
        <is>
          <t>미확인</t>
        </is>
      </c>
      <c r="AI177" s="22" t="inlineStr">
        <is>
          <t>미확인</t>
        </is>
      </c>
      <c r="AJ177" s="22" t="inlineStr">
        <is>
          <t>미확인</t>
        </is>
      </c>
      <c r="AK177" s="22" t="inlineStr">
        <is>
          <t>미확인</t>
        </is>
      </c>
      <c r="AL177" s="22" t="inlineStr">
        <is>
          <t>미확인</t>
        </is>
      </c>
      <c r="AM177" s="22" t="inlineStr">
        <is>
          <t>미확인</t>
        </is>
      </c>
      <c r="AN177" s="22" t="inlineStr">
        <is>
          <t>미확인</t>
        </is>
      </c>
      <c r="AO177" s="17" t="inlineStr">
        <is>
          <t>C(부분확인)</t>
        </is>
      </c>
      <c r="AP177" s="17" t="inlineStr">
        <is>
          <t>Y</t>
        </is>
      </c>
      <c r="AQ177" s="17" t="n">
        <v>4</v>
      </c>
      <c r="AR177" s="28" t="inlineStr">
        <is>
          <t>Tier D</t>
        </is>
      </c>
      <c r="AS177" s="17" t="inlineStr">
        <is>
          <t>EDMS</t>
        </is>
      </c>
      <c r="AT177" s="17" t="inlineStr">
        <is>
          <t>기본 문서관리 수요</t>
        </is>
      </c>
      <c r="AU177" s="17" t="inlineStr">
        <is>
          <t>담당자 파악 후 접촉</t>
        </is>
      </c>
      <c r="AV177" s="17" t="inlineStr">
        <is>
          <t>GMP적합판정+KRX</t>
        </is>
      </c>
      <c r="AW177" s="17" t="inlineStr">
        <is>
          <t>2026-07-05</t>
        </is>
      </c>
    </row>
    <row r="178">
      <c r="A178" s="17" t="inlineStr">
        <is>
          <t>C177</t>
        </is>
      </c>
      <c r="B178" s="17" t="inlineStr">
        <is>
          <t>제뉴파마</t>
        </is>
      </c>
      <c r="C178" s="17" t="inlineStr">
        <is>
          <t>(주)제뉴파마</t>
        </is>
      </c>
      <c r="D178" s="17" t="n">
        <v>1</v>
      </c>
      <c r="E178" s="17" t="n">
        <v>1</v>
      </c>
      <c r="F178" s="17" t="inlineStr">
        <is>
          <t>Y</t>
        </is>
      </c>
      <c r="G178" s="17" t="inlineStr"/>
      <c r="H178" s="17" t="inlineStr"/>
      <c r="I178" s="17" t="inlineStr"/>
      <c r="J178" s="24" t="n">
        <v>46931</v>
      </c>
      <c r="K178" s="17" t="inlineStr"/>
      <c r="L178" s="17" t="inlineStr"/>
      <c r="M178" s="17" t="inlineStr"/>
      <c r="N178" s="23" t="inlineStr"/>
      <c r="O178" s="17" t="inlineStr"/>
      <c r="P178" s="17" t="inlineStr"/>
      <c r="Q178" s="17" t="inlineStr">
        <is>
          <t>전광현</t>
        </is>
      </c>
      <c r="R178" s="17" t="inlineStr"/>
      <c r="S178" s="17" t="inlineStr"/>
      <c r="T178" s="17" t="inlineStr">
        <is>
          <t>080-640-0088</t>
        </is>
      </c>
      <c r="U178" s="17" t="inlineStr">
        <is>
          <t>제조소상세</t>
        </is>
      </c>
      <c r="V178" s="22" t="inlineStr">
        <is>
          <t>미확인</t>
        </is>
      </c>
      <c r="W178" s="22" t="inlineStr">
        <is>
          <t>미확인</t>
        </is>
      </c>
      <c r="X178" s="22" t="inlineStr">
        <is>
          <t>미확인</t>
        </is>
      </c>
      <c r="Y178" s="22" t="inlineStr">
        <is>
          <t>미확인</t>
        </is>
      </c>
      <c r="Z178" s="22" t="inlineStr">
        <is>
          <t>미확인</t>
        </is>
      </c>
      <c r="AA178" s="22" t="inlineStr">
        <is>
          <t>미확인</t>
        </is>
      </c>
      <c r="AB178" s="22" t="inlineStr">
        <is>
          <t>미확인</t>
        </is>
      </c>
      <c r="AC178" s="22" t="inlineStr">
        <is>
          <t>미확인</t>
        </is>
      </c>
      <c r="AD178" s="22" t="inlineStr">
        <is>
          <t>미확인</t>
        </is>
      </c>
      <c r="AE178" s="22" t="inlineStr">
        <is>
          <t>미확인</t>
        </is>
      </c>
      <c r="AF178" s="22" t="inlineStr">
        <is>
          <t>미확인</t>
        </is>
      </c>
      <c r="AG178" s="22" t="inlineStr">
        <is>
          <t>미확인</t>
        </is>
      </c>
      <c r="AH178" s="22" t="inlineStr">
        <is>
          <t>미확인</t>
        </is>
      </c>
      <c r="AI178" s="22" t="inlineStr">
        <is>
          <t>미확인</t>
        </is>
      </c>
      <c r="AJ178" s="22" t="inlineStr">
        <is>
          <t>미확인</t>
        </is>
      </c>
      <c r="AK178" s="22" t="inlineStr">
        <is>
          <t>미확인</t>
        </is>
      </c>
      <c r="AL178" s="22" t="inlineStr">
        <is>
          <t>미확인</t>
        </is>
      </c>
      <c r="AM178" s="22" t="inlineStr">
        <is>
          <t>미확인</t>
        </is>
      </c>
      <c r="AN178" s="22" t="inlineStr">
        <is>
          <t>미확인</t>
        </is>
      </c>
      <c r="AO178" s="17" t="inlineStr">
        <is>
          <t>C(부분확인)</t>
        </is>
      </c>
      <c r="AP178" s="17" t="inlineStr">
        <is>
          <t>Y</t>
        </is>
      </c>
      <c r="AQ178" s="17" t="n">
        <v>4</v>
      </c>
      <c r="AR178" s="28" t="inlineStr">
        <is>
          <t>Tier D</t>
        </is>
      </c>
      <c r="AS178" s="17" t="inlineStr">
        <is>
          <t>EDMS</t>
        </is>
      </c>
      <c r="AT178" s="17" t="inlineStr">
        <is>
          <t>기본 문서관리 수요</t>
        </is>
      </c>
      <c r="AU178" s="17" t="inlineStr">
        <is>
          <t>담당자 파악 후 접촉</t>
        </is>
      </c>
      <c r="AV178" s="17" t="inlineStr">
        <is>
          <t>GMP적합판정+KRX</t>
        </is>
      </c>
      <c r="AW178" s="17" t="inlineStr">
        <is>
          <t>2026-07-05</t>
        </is>
      </c>
    </row>
    <row r="179">
      <c r="A179" s="17" t="inlineStr">
        <is>
          <t>C178</t>
        </is>
      </c>
      <c r="B179" s="17" t="inlineStr">
        <is>
          <t>에어가스코리아</t>
        </is>
      </c>
      <c r="C179" s="17" t="inlineStr">
        <is>
          <t>주식회사에어가스코리아</t>
        </is>
      </c>
      <c r="D179" s="17" t="n">
        <v>1</v>
      </c>
      <c r="E179" s="17" t="n">
        <v>1</v>
      </c>
      <c r="F179" s="17" t="inlineStr">
        <is>
          <t>Y</t>
        </is>
      </c>
      <c r="G179" s="17" t="inlineStr"/>
      <c r="H179" s="17" t="inlineStr"/>
      <c r="I179" s="17" t="inlineStr"/>
      <c r="J179" s="24" t="n">
        <v>46930</v>
      </c>
      <c r="K179" s="17" t="inlineStr"/>
      <c r="L179" s="17" t="inlineStr"/>
      <c r="M179" s="17" t="inlineStr"/>
      <c r="N179" s="23" t="inlineStr"/>
      <c r="O179" s="17" t="inlineStr"/>
      <c r="P179" s="17" t="inlineStr"/>
      <c r="Q179" s="17" t="inlineStr">
        <is>
          <t>박열</t>
        </is>
      </c>
      <c r="R179" s="17" t="inlineStr"/>
      <c r="S179" s="17" t="inlineStr"/>
      <c r="T179" s="17" t="inlineStr">
        <is>
          <t>032-573-4001</t>
        </is>
      </c>
      <c r="U179" s="17" t="inlineStr">
        <is>
          <t>제조소상세</t>
        </is>
      </c>
      <c r="V179" s="22" t="inlineStr">
        <is>
          <t>미확인</t>
        </is>
      </c>
      <c r="W179" s="22" t="inlineStr">
        <is>
          <t>미확인</t>
        </is>
      </c>
      <c r="X179" s="22" t="inlineStr">
        <is>
          <t>미확인</t>
        </is>
      </c>
      <c r="Y179" s="22" t="inlineStr">
        <is>
          <t>미확인</t>
        </is>
      </c>
      <c r="Z179" s="22" t="inlineStr">
        <is>
          <t>미확인</t>
        </is>
      </c>
      <c r="AA179" s="22" t="inlineStr">
        <is>
          <t>미확인</t>
        </is>
      </c>
      <c r="AB179" s="22" t="inlineStr">
        <is>
          <t>미확인</t>
        </is>
      </c>
      <c r="AC179" s="22" t="inlineStr">
        <is>
          <t>미확인</t>
        </is>
      </c>
      <c r="AD179" s="22" t="inlineStr">
        <is>
          <t>미확인</t>
        </is>
      </c>
      <c r="AE179" s="22" t="inlineStr">
        <is>
          <t>미확인</t>
        </is>
      </c>
      <c r="AF179" s="22" t="inlineStr">
        <is>
          <t>미확인</t>
        </is>
      </c>
      <c r="AG179" s="22" t="inlineStr">
        <is>
          <t>미확인</t>
        </is>
      </c>
      <c r="AH179" s="22" t="inlineStr">
        <is>
          <t>미확인</t>
        </is>
      </c>
      <c r="AI179" s="22" t="inlineStr">
        <is>
          <t>미확인</t>
        </is>
      </c>
      <c r="AJ179" s="22" t="inlineStr">
        <is>
          <t>미확인</t>
        </is>
      </c>
      <c r="AK179" s="22" t="inlineStr">
        <is>
          <t>미확인</t>
        </is>
      </c>
      <c r="AL179" s="22" t="inlineStr">
        <is>
          <t>미확인</t>
        </is>
      </c>
      <c r="AM179" s="22" t="inlineStr">
        <is>
          <t>미확인</t>
        </is>
      </c>
      <c r="AN179" s="22" t="inlineStr">
        <is>
          <t>미확인</t>
        </is>
      </c>
      <c r="AO179" s="17" t="inlineStr">
        <is>
          <t>C(부분확인)</t>
        </is>
      </c>
      <c r="AP179" s="17" t="inlineStr">
        <is>
          <t>Y</t>
        </is>
      </c>
      <c r="AQ179" s="17" t="n">
        <v>4</v>
      </c>
      <c r="AR179" s="28" t="inlineStr">
        <is>
          <t>Tier D</t>
        </is>
      </c>
      <c r="AS179" s="17" t="inlineStr">
        <is>
          <t>EDMS</t>
        </is>
      </c>
      <c r="AT179" s="17" t="inlineStr">
        <is>
          <t>기본 문서관리 수요</t>
        </is>
      </c>
      <c r="AU179" s="17" t="inlineStr">
        <is>
          <t>담당자 파악 후 접촉</t>
        </is>
      </c>
      <c r="AV179" s="17" t="inlineStr">
        <is>
          <t>GMP적합판정+KRX</t>
        </is>
      </c>
      <c r="AW179" s="17" t="inlineStr">
        <is>
          <t>2026-07-05</t>
        </is>
      </c>
    </row>
    <row r="180">
      <c r="A180" s="17" t="inlineStr">
        <is>
          <t>C179</t>
        </is>
      </c>
      <c r="B180" s="17" t="inlineStr">
        <is>
          <t>오스템파마</t>
        </is>
      </c>
      <c r="C180" s="17" t="inlineStr">
        <is>
          <t>오스템파마주식회사</t>
        </is>
      </c>
      <c r="D180" s="17" t="n">
        <v>2</v>
      </c>
      <c r="E180" s="17" t="n">
        <v>2</v>
      </c>
      <c r="F180" s="17" t="inlineStr">
        <is>
          <t>Y</t>
        </is>
      </c>
      <c r="G180" s="17" t="inlineStr"/>
      <c r="H180" s="17" t="inlineStr">
        <is>
          <t>Y</t>
        </is>
      </c>
      <c r="I180" s="17" t="inlineStr"/>
      <c r="J180" s="24" t="n">
        <v>46586</v>
      </c>
      <c r="K180" s="17" t="inlineStr"/>
      <c r="L180" s="17" t="inlineStr"/>
      <c r="M180" s="17" t="inlineStr"/>
      <c r="N180" s="23" t="inlineStr"/>
      <c r="O180" s="17" t="inlineStr"/>
      <c r="P180" s="17" t="inlineStr"/>
      <c r="Q180" s="17" t="inlineStr">
        <is>
          <t>문병점</t>
        </is>
      </c>
      <c r="R180" s="17" t="inlineStr"/>
      <c r="S180" s="17" t="inlineStr"/>
      <c r="T180" s="17" t="inlineStr">
        <is>
          <t>070-4394-1482</t>
        </is>
      </c>
      <c r="U180" s="17" t="inlineStr">
        <is>
          <t>제조소상세</t>
        </is>
      </c>
      <c r="V180" s="22" t="inlineStr">
        <is>
          <t>미확인</t>
        </is>
      </c>
      <c r="W180" s="22" t="inlineStr">
        <is>
          <t>미확인</t>
        </is>
      </c>
      <c r="X180" s="22" t="inlineStr">
        <is>
          <t>미확인</t>
        </is>
      </c>
      <c r="Y180" s="22" t="inlineStr">
        <is>
          <t>미확인</t>
        </is>
      </c>
      <c r="Z180" s="22" t="inlineStr">
        <is>
          <t>미확인</t>
        </is>
      </c>
      <c r="AA180" s="22" t="inlineStr">
        <is>
          <t>미확인</t>
        </is>
      </c>
      <c r="AB180" s="22" t="inlineStr">
        <is>
          <t>미확인</t>
        </is>
      </c>
      <c r="AC180" s="22" t="inlineStr">
        <is>
          <t>미확인</t>
        </is>
      </c>
      <c r="AD180" s="22" t="inlineStr">
        <is>
          <t>미확인</t>
        </is>
      </c>
      <c r="AE180" s="22" t="inlineStr">
        <is>
          <t>미확인</t>
        </is>
      </c>
      <c r="AF180" s="22" t="inlineStr">
        <is>
          <t>미확인</t>
        </is>
      </c>
      <c r="AG180" s="22" t="inlineStr">
        <is>
          <t>미확인</t>
        </is>
      </c>
      <c r="AH180" s="22" t="inlineStr">
        <is>
          <t>미확인</t>
        </is>
      </c>
      <c r="AI180" s="22" t="inlineStr">
        <is>
          <t>미확인</t>
        </is>
      </c>
      <c r="AJ180" s="22" t="inlineStr">
        <is>
          <t>미확인</t>
        </is>
      </c>
      <c r="AK180" s="22" t="inlineStr">
        <is>
          <t>미확인</t>
        </is>
      </c>
      <c r="AL180" s="22" t="inlineStr">
        <is>
          <t>미확인</t>
        </is>
      </c>
      <c r="AM180" s="22" t="inlineStr">
        <is>
          <t>미확인</t>
        </is>
      </c>
      <c r="AN180" s="22" t="inlineStr">
        <is>
          <t>미확인</t>
        </is>
      </c>
      <c r="AO180" s="17" t="inlineStr">
        <is>
          <t>C(부분확인)</t>
        </is>
      </c>
      <c r="AP180" s="17" t="inlineStr">
        <is>
          <t>Y</t>
        </is>
      </c>
      <c r="AQ180" s="17" t="n">
        <v>16</v>
      </c>
      <c r="AR180" s="28" t="inlineStr">
        <is>
          <t>Tier D</t>
        </is>
      </c>
      <c r="AS180" s="17" t="inlineStr">
        <is>
          <t>통합형</t>
        </is>
      </c>
      <c r="AT180" s="17" t="inlineStr">
        <is>
          <t>다중 제조소/다수 판정서로 문서관리 복잡; 무균/바이오 제조로 품질관리 난도 높음</t>
        </is>
      </c>
      <c r="AU180" s="17" t="inlineStr">
        <is>
          <t>담당자 파악 후 접촉</t>
        </is>
      </c>
      <c r="AV180" s="17" t="inlineStr">
        <is>
          <t>GMP적합판정+KRX</t>
        </is>
      </c>
      <c r="AW180" s="17" t="inlineStr">
        <is>
          <t>2026-07-05</t>
        </is>
      </c>
    </row>
    <row r="181">
      <c r="A181" s="17" t="inlineStr">
        <is>
          <t>C180</t>
        </is>
      </c>
      <c r="B181" s="17" t="inlineStr">
        <is>
          <t>동국제약</t>
        </is>
      </c>
      <c r="C181" s="17" t="inlineStr">
        <is>
          <t>동국제약(주)</t>
        </is>
      </c>
      <c r="D181" s="17" t="n">
        <v>4</v>
      </c>
      <c r="E181" s="17" t="n">
        <v>2</v>
      </c>
      <c r="F181" s="17" t="inlineStr">
        <is>
          <t>Y</t>
        </is>
      </c>
      <c r="G181" s="17" t="inlineStr">
        <is>
          <t>Y</t>
        </is>
      </c>
      <c r="H181" s="17" t="inlineStr">
        <is>
          <t>Y</t>
        </is>
      </c>
      <c r="I181" s="17" t="inlineStr"/>
      <c r="J181" s="24" t="n">
        <v>46806</v>
      </c>
      <c r="K181" s="17" t="inlineStr"/>
      <c r="L181" s="17" t="inlineStr">
        <is>
          <t>Y</t>
        </is>
      </c>
      <c r="M181" s="17" t="inlineStr">
        <is>
          <t>코스닥</t>
        </is>
      </c>
      <c r="N181" s="23" t="inlineStr">
        <is>
          <t>086450</t>
        </is>
      </c>
      <c r="O181" s="17" t="inlineStr">
        <is>
          <t>의약품 제조업</t>
        </is>
      </c>
      <c r="P181" s="17" t="inlineStr">
        <is>
          <t>인사돌, 복합마데카솔, 파미레이</t>
        </is>
      </c>
      <c r="Q181" s="17" t="inlineStr">
        <is>
          <t>송준호</t>
        </is>
      </c>
      <c r="R181" s="17" t="inlineStr">
        <is>
          <t>http://www.dkpharm.co.kr</t>
        </is>
      </c>
      <c r="S181" s="17" t="inlineStr">
        <is>
          <t>서울특별시</t>
        </is>
      </c>
      <c r="T181" s="17" t="inlineStr">
        <is>
          <t>02-2191-9856</t>
        </is>
      </c>
      <c r="U181" s="17" t="inlineStr">
        <is>
          <t>제조소상세</t>
        </is>
      </c>
      <c r="V181" s="22" t="inlineStr">
        <is>
          <t>미확인</t>
        </is>
      </c>
      <c r="W181" s="22" t="inlineStr">
        <is>
          <t>미확인</t>
        </is>
      </c>
      <c r="X181" s="22" t="inlineStr">
        <is>
          <t>미확인</t>
        </is>
      </c>
      <c r="Y181" s="22" t="inlineStr">
        <is>
          <t>미확인</t>
        </is>
      </c>
      <c r="Z181" s="22" t="inlineStr">
        <is>
          <t>미확인</t>
        </is>
      </c>
      <c r="AA181" s="22" t="inlineStr">
        <is>
          <t>미확인</t>
        </is>
      </c>
      <c r="AB181" s="22" t="inlineStr">
        <is>
          <t>미확인</t>
        </is>
      </c>
      <c r="AC181" s="22" t="inlineStr">
        <is>
          <t>미확인</t>
        </is>
      </c>
      <c r="AD181" s="22" t="inlineStr">
        <is>
          <t>미확인</t>
        </is>
      </c>
      <c r="AE181" s="22" t="inlineStr">
        <is>
          <t>미확인</t>
        </is>
      </c>
      <c r="AF181" s="22" t="inlineStr">
        <is>
          <t>미확인</t>
        </is>
      </c>
      <c r="AG181" s="22" t="inlineStr">
        <is>
          <t>미확인</t>
        </is>
      </c>
      <c r="AH181" s="22" t="inlineStr">
        <is>
          <t>미확인</t>
        </is>
      </c>
      <c r="AI181" s="22" t="inlineStr">
        <is>
          <t>미확인</t>
        </is>
      </c>
      <c r="AJ181" s="22" t="inlineStr">
        <is>
          <t>미확인</t>
        </is>
      </c>
      <c r="AK181" s="22" t="inlineStr">
        <is>
          <t>미확인</t>
        </is>
      </c>
      <c r="AL181" s="22" t="inlineStr">
        <is>
          <t>미확인</t>
        </is>
      </c>
      <c r="AM181" s="22" t="inlineStr">
        <is>
          <t>미확인</t>
        </is>
      </c>
      <c r="AN181" s="22" t="inlineStr">
        <is>
          <t>미확인</t>
        </is>
      </c>
      <c r="AO181" s="17" t="inlineStr">
        <is>
          <t>C(부분확인)</t>
        </is>
      </c>
      <c r="AP181" s="17" t="inlineStr">
        <is>
          <t>Y</t>
        </is>
      </c>
      <c r="AQ181" s="17" t="n">
        <v>19</v>
      </c>
      <c r="AR181" s="28" t="inlineStr">
        <is>
          <t>Tier D</t>
        </is>
      </c>
      <c r="AS181" s="17" t="inlineStr">
        <is>
          <t>통합형</t>
        </is>
      </c>
      <c r="AT181" s="17" t="inlineStr">
        <is>
          <t>다중 제조소/다수 판정서로 문서관리 복잡; 무균/바이오 제조로 품질관리 난도 높음</t>
        </is>
      </c>
      <c r="AU181" s="17" t="inlineStr">
        <is>
          <t>담당자 파악 후 접촉</t>
        </is>
      </c>
      <c r="AV181" s="17" t="inlineStr">
        <is>
          <t>GMP적합판정+KRX</t>
        </is>
      </c>
      <c r="AW181" s="17" t="inlineStr">
        <is>
          <t>2026-07-05</t>
        </is>
      </c>
    </row>
    <row r="182">
      <c r="A182" s="17" t="inlineStr">
        <is>
          <t>C181</t>
        </is>
      </c>
      <c r="B182" s="17" t="inlineStr">
        <is>
          <t>나이벡</t>
        </is>
      </c>
      <c r="C182" s="17" t="inlineStr">
        <is>
          <t>(주)나이벡</t>
        </is>
      </c>
      <c r="D182" s="17" t="n">
        <v>2</v>
      </c>
      <c r="E182" s="17" t="n">
        <v>1</v>
      </c>
      <c r="F182" s="17" t="inlineStr">
        <is>
          <t>Y</t>
        </is>
      </c>
      <c r="G182" s="17" t="inlineStr">
        <is>
          <t>Y</t>
        </is>
      </c>
      <c r="H182" s="17" t="inlineStr"/>
      <c r="I182" s="17" t="inlineStr"/>
      <c r="J182" s="24" t="n">
        <v>46529</v>
      </c>
      <c r="K182" s="17" t="inlineStr"/>
      <c r="L182" s="17" t="inlineStr">
        <is>
          <t>Y</t>
        </is>
      </c>
      <c r="M182" s="17" t="inlineStr">
        <is>
          <t>코스닥</t>
        </is>
      </c>
      <c r="N182" s="23" t="inlineStr">
        <is>
          <t>138610</t>
        </is>
      </c>
      <c r="O182" s="17" t="inlineStr">
        <is>
          <t>의료용품 및 기타 의약 관련제품 제조업</t>
        </is>
      </c>
      <c r="P182" s="17" t="inlineStr">
        <is>
          <t>치아미백제,치과용 골이식재</t>
        </is>
      </c>
      <c r="Q182" s="17" t="inlineStr">
        <is>
          <t>정종평</t>
        </is>
      </c>
      <c r="R182" s="17" t="inlineStr"/>
      <c r="S182" s="17" t="inlineStr">
        <is>
          <t>충청북도</t>
        </is>
      </c>
      <c r="T182" s="17" t="inlineStr">
        <is>
          <t>070-5006-8811</t>
        </is>
      </c>
      <c r="U182" s="17" t="inlineStr">
        <is>
          <t>제조소상세</t>
        </is>
      </c>
      <c r="V182" s="22" t="inlineStr">
        <is>
          <t>미확인</t>
        </is>
      </c>
      <c r="W182" s="22" t="inlineStr">
        <is>
          <t>미확인</t>
        </is>
      </c>
      <c r="X182" s="22" t="inlineStr">
        <is>
          <t>미확인</t>
        </is>
      </c>
      <c r="Y182" s="22" t="inlineStr">
        <is>
          <t>미확인</t>
        </is>
      </c>
      <c r="Z182" s="22" t="inlineStr">
        <is>
          <t>미확인</t>
        </is>
      </c>
      <c r="AA182" s="22" t="inlineStr">
        <is>
          <t>미확인</t>
        </is>
      </c>
      <c r="AB182" s="22" t="inlineStr">
        <is>
          <t>미확인</t>
        </is>
      </c>
      <c r="AC182" s="22" t="inlineStr">
        <is>
          <t>미확인</t>
        </is>
      </c>
      <c r="AD182" s="22" t="inlineStr">
        <is>
          <t>미확인</t>
        </is>
      </c>
      <c r="AE182" s="22" t="inlineStr">
        <is>
          <t>미확인</t>
        </is>
      </c>
      <c r="AF182" s="22" t="inlineStr">
        <is>
          <t>미확인</t>
        </is>
      </c>
      <c r="AG182" s="22" t="inlineStr">
        <is>
          <t>미확인</t>
        </is>
      </c>
      <c r="AH182" s="22" t="inlineStr">
        <is>
          <t>미확인</t>
        </is>
      </c>
      <c r="AI182" s="22" t="inlineStr">
        <is>
          <t>미확인</t>
        </is>
      </c>
      <c r="AJ182" s="22" t="inlineStr">
        <is>
          <t>미확인</t>
        </is>
      </c>
      <c r="AK182" s="22" t="inlineStr">
        <is>
          <t>미확인</t>
        </is>
      </c>
      <c r="AL182" s="22" t="inlineStr">
        <is>
          <t>미확인</t>
        </is>
      </c>
      <c r="AM182" s="22" t="inlineStr">
        <is>
          <t>미확인</t>
        </is>
      </c>
      <c r="AN182" s="22" t="inlineStr">
        <is>
          <t>미확인</t>
        </is>
      </c>
      <c r="AO182" s="17" t="inlineStr">
        <is>
          <t>C(부분확인)</t>
        </is>
      </c>
      <c r="AP182" s="17" t="inlineStr">
        <is>
          <t>Y</t>
        </is>
      </c>
      <c r="AQ182" s="17" t="n">
        <v>7</v>
      </c>
      <c r="AR182" s="28" t="inlineStr">
        <is>
          <t>Tier D</t>
        </is>
      </c>
      <c r="AS182" s="17" t="inlineStr">
        <is>
          <t>QMS+LIMS</t>
        </is>
      </c>
      <c r="AT182" s="17" t="inlineStr">
        <is>
          <t>원료 제조로 시험실 관리 필요</t>
        </is>
      </c>
      <c r="AU182" s="17" t="inlineStr">
        <is>
          <t>담당자 파악 후 접촉</t>
        </is>
      </c>
      <c r="AV182" s="17" t="inlineStr">
        <is>
          <t>GMP적합판정+KRX</t>
        </is>
      </c>
      <c r="AW182" s="17" t="inlineStr">
        <is>
          <t>2026-07-05</t>
        </is>
      </c>
    </row>
    <row r="183">
      <c r="A183" s="17" t="inlineStr">
        <is>
          <t>C182</t>
        </is>
      </c>
      <c r="B183" s="17" t="inlineStr">
        <is>
          <t>한림제약</t>
        </is>
      </c>
      <c r="C183" s="17" t="inlineStr">
        <is>
          <t>한림제약(주)</t>
        </is>
      </c>
      <c r="D183" s="17" t="n">
        <v>1</v>
      </c>
      <c r="E183" s="17" t="n">
        <v>1</v>
      </c>
      <c r="F183" s="17" t="inlineStr">
        <is>
          <t>Y</t>
        </is>
      </c>
      <c r="G183" s="17" t="inlineStr"/>
      <c r="H183" s="17" t="inlineStr">
        <is>
          <t>Y</t>
        </is>
      </c>
      <c r="I183" s="17" t="inlineStr"/>
      <c r="J183" s="24" t="n">
        <v>46927</v>
      </c>
      <c r="K183" s="17" t="inlineStr"/>
      <c r="L183" s="17" t="inlineStr"/>
      <c r="M183" s="17" t="inlineStr"/>
      <c r="N183" s="23" t="inlineStr"/>
      <c r="O183" s="17" t="inlineStr"/>
      <c r="P183" s="17" t="inlineStr"/>
      <c r="Q183" s="17" t="inlineStr">
        <is>
          <t>장규열</t>
        </is>
      </c>
      <c r="R183" s="17" t="inlineStr"/>
      <c r="S183" s="17" t="inlineStr"/>
      <c r="T183" s="17" t="inlineStr">
        <is>
          <t>02-3489-6000</t>
        </is>
      </c>
      <c r="U183" s="17" t="inlineStr">
        <is>
          <t>제조소상세</t>
        </is>
      </c>
      <c r="V183" s="22" t="inlineStr">
        <is>
          <t>미확인</t>
        </is>
      </c>
      <c r="W183" s="22" t="inlineStr">
        <is>
          <t>미확인</t>
        </is>
      </c>
      <c r="X183" s="22" t="inlineStr">
        <is>
          <t>미확인</t>
        </is>
      </c>
      <c r="Y183" s="22" t="inlineStr">
        <is>
          <t>미확인</t>
        </is>
      </c>
      <c r="Z183" s="22" t="inlineStr">
        <is>
          <t>미확인</t>
        </is>
      </c>
      <c r="AA183" s="22" t="inlineStr">
        <is>
          <t>미확인</t>
        </is>
      </c>
      <c r="AB183" s="22" t="inlineStr">
        <is>
          <t>미확인</t>
        </is>
      </c>
      <c r="AC183" s="22" t="inlineStr">
        <is>
          <t>미확인</t>
        </is>
      </c>
      <c r="AD183" s="22" t="inlineStr">
        <is>
          <t>미확인</t>
        </is>
      </c>
      <c r="AE183" s="22" t="inlineStr">
        <is>
          <t>미확인</t>
        </is>
      </c>
      <c r="AF183" s="22" t="inlineStr">
        <is>
          <t>미확인</t>
        </is>
      </c>
      <c r="AG183" s="22" t="inlineStr">
        <is>
          <t>미확인</t>
        </is>
      </c>
      <c r="AH183" s="22" t="inlineStr">
        <is>
          <t>미확인</t>
        </is>
      </c>
      <c r="AI183" s="22" t="inlineStr">
        <is>
          <t>미확인</t>
        </is>
      </c>
      <c r="AJ183" s="22" t="inlineStr">
        <is>
          <t>미확인</t>
        </is>
      </c>
      <c r="AK183" s="22" t="inlineStr">
        <is>
          <t>미확인</t>
        </is>
      </c>
      <c r="AL183" s="22" t="inlineStr">
        <is>
          <t>미확인</t>
        </is>
      </c>
      <c r="AM183" s="22" t="inlineStr">
        <is>
          <t>미확인</t>
        </is>
      </c>
      <c r="AN183" s="22" t="inlineStr">
        <is>
          <t>미확인</t>
        </is>
      </c>
      <c r="AO183" s="17" t="inlineStr">
        <is>
          <t>C(부분확인)</t>
        </is>
      </c>
      <c r="AP183" s="17" t="inlineStr">
        <is>
          <t>Y</t>
        </is>
      </c>
      <c r="AQ183" s="17" t="n">
        <v>12</v>
      </c>
      <c r="AR183" s="28" t="inlineStr">
        <is>
          <t>Tier D</t>
        </is>
      </c>
      <c r="AS183" s="17" t="inlineStr">
        <is>
          <t>QMS+LIMS</t>
        </is>
      </c>
      <c r="AT183" s="17" t="inlineStr">
        <is>
          <t>무균/바이오 제조로 품질관리 난도 높음</t>
        </is>
      </c>
      <c r="AU183" s="17" t="inlineStr">
        <is>
          <t>담당자 파악 후 접촉</t>
        </is>
      </c>
      <c r="AV183" s="17" t="inlineStr">
        <is>
          <t>GMP적합판정+KRX</t>
        </is>
      </c>
      <c r="AW183" s="17" t="inlineStr">
        <is>
          <t>2026-07-05</t>
        </is>
      </c>
    </row>
    <row r="184">
      <c r="A184" s="17" t="inlineStr">
        <is>
          <t>C183</t>
        </is>
      </c>
      <c r="B184" s="17" t="inlineStr">
        <is>
          <t>엘지화학</t>
        </is>
      </c>
      <c r="C184" s="17" t="inlineStr">
        <is>
          <t>(주)엘지화학</t>
        </is>
      </c>
      <c r="D184" s="17" t="n">
        <v>5</v>
      </c>
      <c r="E184" s="17" t="n">
        <v>3</v>
      </c>
      <c r="F184" s="17" t="inlineStr">
        <is>
          <t>Y</t>
        </is>
      </c>
      <c r="G184" s="17" t="inlineStr">
        <is>
          <t>Y</t>
        </is>
      </c>
      <c r="H184" s="17" t="inlineStr">
        <is>
          <t>Y</t>
        </is>
      </c>
      <c r="I184" s="17" t="inlineStr">
        <is>
          <t>Y</t>
        </is>
      </c>
      <c r="J184" s="24" t="n">
        <v>46530</v>
      </c>
      <c r="K184" s="17" t="inlineStr"/>
      <c r="L184" s="17" t="inlineStr"/>
      <c r="M184" s="17" t="inlineStr"/>
      <c r="N184" s="23" t="inlineStr"/>
      <c r="O184" s="17" t="inlineStr"/>
      <c r="P184" s="17" t="inlineStr"/>
      <c r="Q184" s="17" t="inlineStr">
        <is>
          <t>김동춘</t>
        </is>
      </c>
      <c r="R184" s="17" t="inlineStr"/>
      <c r="S184" s="17" t="inlineStr"/>
      <c r="T184" s="17" t="inlineStr">
        <is>
          <t>02-3773-3131</t>
        </is>
      </c>
      <c r="U184" s="17" t="inlineStr">
        <is>
          <t>제조소상세</t>
        </is>
      </c>
      <c r="V184" s="22" t="inlineStr">
        <is>
          <t>미확인</t>
        </is>
      </c>
      <c r="W184" s="22" t="inlineStr">
        <is>
          <t>미확인</t>
        </is>
      </c>
      <c r="X184" s="22" t="inlineStr">
        <is>
          <t>미확인</t>
        </is>
      </c>
      <c r="Y184" s="22" t="inlineStr">
        <is>
          <t>미확인</t>
        </is>
      </c>
      <c r="Z184" s="22" t="inlineStr">
        <is>
          <t>미확인</t>
        </is>
      </c>
      <c r="AA184" s="22" t="inlineStr">
        <is>
          <t>미확인</t>
        </is>
      </c>
      <c r="AB184" s="22" t="inlineStr">
        <is>
          <t>미확인</t>
        </is>
      </c>
      <c r="AC184" s="22" t="inlineStr">
        <is>
          <t>미확인</t>
        </is>
      </c>
      <c r="AD184" s="22" t="inlineStr">
        <is>
          <t>미확인</t>
        </is>
      </c>
      <c r="AE184" s="22" t="inlineStr">
        <is>
          <t>미확인</t>
        </is>
      </c>
      <c r="AF184" s="22" t="inlineStr">
        <is>
          <t>미확인</t>
        </is>
      </c>
      <c r="AG184" s="22" t="inlineStr">
        <is>
          <t>미확인</t>
        </is>
      </c>
      <c r="AH184" s="22" t="inlineStr">
        <is>
          <t>미확인</t>
        </is>
      </c>
      <c r="AI184" s="22" t="inlineStr">
        <is>
          <t>미확인</t>
        </is>
      </c>
      <c r="AJ184" s="22" t="inlineStr">
        <is>
          <t>미확인</t>
        </is>
      </c>
      <c r="AK184" s="22" t="inlineStr">
        <is>
          <t>미확인</t>
        </is>
      </c>
      <c r="AL184" s="22" t="inlineStr">
        <is>
          <t>미확인</t>
        </is>
      </c>
      <c r="AM184" s="22" t="inlineStr">
        <is>
          <t>미확인</t>
        </is>
      </c>
      <c r="AN184" s="22" t="inlineStr">
        <is>
          <t>미확인</t>
        </is>
      </c>
      <c r="AO184" s="17" t="inlineStr">
        <is>
          <t>C(부분확인)</t>
        </is>
      </c>
      <c r="AP184" s="17" t="inlineStr">
        <is>
          <t>Y</t>
        </is>
      </c>
      <c r="AQ184" s="17" t="n">
        <v>30</v>
      </c>
      <c r="AR184" s="27" t="inlineStr">
        <is>
          <t>Tier C</t>
        </is>
      </c>
      <c r="AS184" s="17" t="inlineStr">
        <is>
          <t>통합형</t>
        </is>
      </c>
      <c r="AT184" s="17" t="inlineStr">
        <is>
          <t>다중 제조소/다수 판정서로 문서관리 복잡; 무균/바이오 제조로 품질관리 난도 높음</t>
        </is>
      </c>
      <c r="AU184" s="17" t="inlineStr">
        <is>
          <t>담당자 파악 후 접촉</t>
        </is>
      </c>
      <c r="AV184" s="17" t="inlineStr">
        <is>
          <t>GMP적합판정+KRX</t>
        </is>
      </c>
      <c r="AW184" s="17" t="inlineStr">
        <is>
          <t>2026-07-05</t>
        </is>
      </c>
    </row>
    <row r="185">
      <c r="A185" s="17" t="inlineStr">
        <is>
          <t>C184</t>
        </is>
      </c>
      <c r="B185" s="17" t="inlineStr">
        <is>
          <t>유앤생명과학</t>
        </is>
      </c>
      <c r="C185" s="17" t="inlineStr">
        <is>
          <t>(주)유앤생명과학</t>
        </is>
      </c>
      <c r="D185" s="17" t="n">
        <v>1</v>
      </c>
      <c r="E185" s="17" t="n">
        <v>1</v>
      </c>
      <c r="F185" s="17" t="inlineStr">
        <is>
          <t>Y</t>
        </is>
      </c>
      <c r="G185" s="17" t="inlineStr"/>
      <c r="H185" s="17" t="inlineStr"/>
      <c r="I185" s="17" t="inlineStr"/>
      <c r="J185" s="24" t="n">
        <v>46920</v>
      </c>
      <c r="K185" s="17" t="inlineStr"/>
      <c r="L185" s="17" t="inlineStr"/>
      <c r="M185" s="17" t="inlineStr"/>
      <c r="N185" s="23" t="inlineStr"/>
      <c r="O185" s="17" t="inlineStr"/>
      <c r="P185" s="17" t="inlineStr"/>
      <c r="Q185" s="17" t="inlineStr">
        <is>
          <t>김상한</t>
        </is>
      </c>
      <c r="R185" s="17" t="inlineStr"/>
      <c r="S185" s="17" t="inlineStr"/>
      <c r="T185" s="17" t="inlineStr">
        <is>
          <t>02-6952-8838</t>
        </is>
      </c>
      <c r="U185" s="17" t="inlineStr">
        <is>
          <t>제조소상세</t>
        </is>
      </c>
      <c r="V185" s="22" t="inlineStr">
        <is>
          <t>미확인</t>
        </is>
      </c>
      <c r="W185" s="22" t="inlineStr">
        <is>
          <t>미확인</t>
        </is>
      </c>
      <c r="X185" s="22" t="inlineStr">
        <is>
          <t>미확인</t>
        </is>
      </c>
      <c r="Y185" s="22" t="inlineStr">
        <is>
          <t>미확인</t>
        </is>
      </c>
      <c r="Z185" s="22" t="inlineStr">
        <is>
          <t>미확인</t>
        </is>
      </c>
      <c r="AA185" s="22" t="inlineStr">
        <is>
          <t>미확인</t>
        </is>
      </c>
      <c r="AB185" s="22" t="inlineStr">
        <is>
          <t>미확인</t>
        </is>
      </c>
      <c r="AC185" s="22" t="inlineStr">
        <is>
          <t>미확인</t>
        </is>
      </c>
      <c r="AD185" s="22" t="inlineStr">
        <is>
          <t>미확인</t>
        </is>
      </c>
      <c r="AE185" s="22" t="inlineStr">
        <is>
          <t>미확인</t>
        </is>
      </c>
      <c r="AF185" s="22" t="inlineStr">
        <is>
          <t>미확인</t>
        </is>
      </c>
      <c r="AG185" s="22" t="inlineStr">
        <is>
          <t>미확인</t>
        </is>
      </c>
      <c r="AH185" s="22" t="inlineStr">
        <is>
          <t>미확인</t>
        </is>
      </c>
      <c r="AI185" s="22" t="inlineStr">
        <is>
          <t>미확인</t>
        </is>
      </c>
      <c r="AJ185" s="22" t="inlineStr">
        <is>
          <t>미확인</t>
        </is>
      </c>
      <c r="AK185" s="22" t="inlineStr">
        <is>
          <t>미확인</t>
        </is>
      </c>
      <c r="AL185" s="22" t="inlineStr">
        <is>
          <t>미확인</t>
        </is>
      </c>
      <c r="AM185" s="22" t="inlineStr">
        <is>
          <t>미확인</t>
        </is>
      </c>
      <c r="AN185" s="22" t="inlineStr">
        <is>
          <t>미확인</t>
        </is>
      </c>
      <c r="AO185" s="17" t="inlineStr">
        <is>
          <t>C(부분확인)</t>
        </is>
      </c>
      <c r="AP185" s="17" t="inlineStr">
        <is>
          <t>Y</t>
        </is>
      </c>
      <c r="AQ185" s="17" t="n">
        <v>4</v>
      </c>
      <c r="AR185" s="28" t="inlineStr">
        <is>
          <t>Tier D</t>
        </is>
      </c>
      <c r="AS185" s="17" t="inlineStr">
        <is>
          <t>EDMS</t>
        </is>
      </c>
      <c r="AT185" s="17" t="inlineStr">
        <is>
          <t>기본 문서관리 수요</t>
        </is>
      </c>
      <c r="AU185" s="17" t="inlineStr">
        <is>
          <t>담당자 파악 후 접촉</t>
        </is>
      </c>
      <c r="AV185" s="17" t="inlineStr">
        <is>
          <t>GMP적합판정+KRX</t>
        </is>
      </c>
      <c r="AW185" s="17" t="inlineStr">
        <is>
          <t>2026-07-05</t>
        </is>
      </c>
    </row>
    <row r="186">
      <c r="A186" s="17" t="inlineStr">
        <is>
          <t>C185</t>
        </is>
      </c>
      <c r="B186" s="17" t="inlineStr">
        <is>
          <t>한국파마</t>
        </is>
      </c>
      <c r="C186" s="17" t="inlineStr">
        <is>
          <t>(주)한국파마</t>
        </is>
      </c>
      <c r="D186" s="17" t="n">
        <v>1</v>
      </c>
      <c r="E186" s="17" t="n">
        <v>1</v>
      </c>
      <c r="F186" s="17" t="inlineStr">
        <is>
          <t>Y</t>
        </is>
      </c>
      <c r="G186" s="17" t="inlineStr"/>
      <c r="H186" s="17" t="inlineStr"/>
      <c r="I186" s="17" t="inlineStr"/>
      <c r="J186" s="24" t="n">
        <v>46920</v>
      </c>
      <c r="K186" s="17" t="inlineStr"/>
      <c r="L186" s="17" t="inlineStr">
        <is>
          <t>Y</t>
        </is>
      </c>
      <c r="M186" s="17" t="inlineStr">
        <is>
          <t>코스닥</t>
        </is>
      </c>
      <c r="N186" s="23" t="inlineStr">
        <is>
          <t>032300</t>
        </is>
      </c>
      <c r="O186" s="17" t="inlineStr">
        <is>
          <t>의약품 제조업</t>
        </is>
      </c>
      <c r="P186" s="17" t="inlineStr">
        <is>
          <t>완제의약품(정신신경계, 소화기계, 순환기계, 항생항균, 기타)</t>
        </is>
      </c>
      <c r="Q186" s="17" t="inlineStr">
        <is>
          <t>박은희</t>
        </is>
      </c>
      <c r="R186" s="17" t="inlineStr">
        <is>
          <t>http://koreapharma.co.kr</t>
        </is>
      </c>
      <c r="S186" s="17" t="inlineStr">
        <is>
          <t>경기도</t>
        </is>
      </c>
      <c r="T186" s="17" t="inlineStr">
        <is>
          <t>02-558-1277</t>
        </is>
      </c>
      <c r="U186" s="17" t="inlineStr">
        <is>
          <t>제조소상세</t>
        </is>
      </c>
      <c r="V186" s="22" t="inlineStr">
        <is>
          <t>미확인</t>
        </is>
      </c>
      <c r="W186" s="22" t="inlineStr">
        <is>
          <t>미확인</t>
        </is>
      </c>
      <c r="X186" s="22" t="inlineStr">
        <is>
          <t>미확인</t>
        </is>
      </c>
      <c r="Y186" s="22" t="inlineStr">
        <is>
          <t>미확인</t>
        </is>
      </c>
      <c r="Z186" s="22" t="inlineStr">
        <is>
          <t>미확인</t>
        </is>
      </c>
      <c r="AA186" s="22" t="inlineStr">
        <is>
          <t>미확인</t>
        </is>
      </c>
      <c r="AB186" s="22" t="inlineStr">
        <is>
          <t>미확인</t>
        </is>
      </c>
      <c r="AC186" s="22" t="inlineStr">
        <is>
          <t>미확인</t>
        </is>
      </c>
      <c r="AD186" s="22" t="inlineStr">
        <is>
          <t>미확인</t>
        </is>
      </c>
      <c r="AE186" s="22" t="inlineStr">
        <is>
          <t>미확인</t>
        </is>
      </c>
      <c r="AF186" s="22" t="inlineStr">
        <is>
          <t>미확인</t>
        </is>
      </c>
      <c r="AG186" s="22" t="inlineStr">
        <is>
          <t>미확인</t>
        </is>
      </c>
      <c r="AH186" s="22" t="inlineStr">
        <is>
          <t>미확인</t>
        </is>
      </c>
      <c r="AI186" s="22" t="inlineStr">
        <is>
          <t>미확인</t>
        </is>
      </c>
      <c r="AJ186" s="22" t="inlineStr">
        <is>
          <t>미확인</t>
        </is>
      </c>
      <c r="AK186" s="22" t="inlineStr">
        <is>
          <t>미확인</t>
        </is>
      </c>
      <c r="AL186" s="22" t="inlineStr">
        <is>
          <t>미확인</t>
        </is>
      </c>
      <c r="AM186" s="22" t="inlineStr">
        <is>
          <t>미확인</t>
        </is>
      </c>
      <c r="AN186" s="22" t="inlineStr">
        <is>
          <t>미확인</t>
        </is>
      </c>
      <c r="AO186" s="17" t="inlineStr">
        <is>
          <t>C(부분확인)</t>
        </is>
      </c>
      <c r="AP186" s="17" t="inlineStr">
        <is>
          <t>Y</t>
        </is>
      </c>
      <c r="AQ186" s="17" t="n">
        <v>7</v>
      </c>
      <c r="AR186" s="28" t="inlineStr">
        <is>
          <t>Tier D</t>
        </is>
      </c>
      <c r="AS186" s="17" t="inlineStr">
        <is>
          <t>EDMS</t>
        </is>
      </c>
      <c r="AT186" s="17" t="inlineStr">
        <is>
          <t>기본 문서관리 수요</t>
        </is>
      </c>
      <c r="AU186" s="17" t="inlineStr">
        <is>
          <t>담당자 파악 후 접촉</t>
        </is>
      </c>
      <c r="AV186" s="17" t="inlineStr">
        <is>
          <t>GMP적합판정+KRX</t>
        </is>
      </c>
      <c r="AW186" s="17" t="inlineStr">
        <is>
          <t>2026-07-05</t>
        </is>
      </c>
    </row>
    <row r="187">
      <c r="A187" s="17" t="inlineStr">
        <is>
          <t>C186</t>
        </is>
      </c>
      <c r="B187" s="17" t="inlineStr">
        <is>
          <t>켐트로스</t>
        </is>
      </c>
      <c r="C187" s="17" t="inlineStr">
        <is>
          <t>(주)켐트로스</t>
        </is>
      </c>
      <c r="D187" s="17" t="n">
        <v>1</v>
      </c>
      <c r="E187" s="17" t="n">
        <v>1</v>
      </c>
      <c r="F187" s="17" t="inlineStr"/>
      <c r="G187" s="17" t="inlineStr">
        <is>
          <t>Y</t>
        </is>
      </c>
      <c r="H187" s="17" t="inlineStr"/>
      <c r="I187" s="17" t="inlineStr"/>
      <c r="J187" s="24" t="n">
        <v>46919</v>
      </c>
      <c r="K187" s="17" t="inlineStr"/>
      <c r="L187" s="17" t="inlineStr">
        <is>
          <t>Y</t>
        </is>
      </c>
      <c r="M187" s="17" t="inlineStr">
        <is>
          <t>코스닥</t>
        </is>
      </c>
      <c r="N187" s="23" t="inlineStr">
        <is>
          <t>220260</t>
        </is>
      </c>
      <c r="O187" s="17" t="inlineStr">
        <is>
          <t>기타 화학제품 제조업</t>
        </is>
      </c>
      <c r="P187" s="17" t="inlineStr">
        <is>
          <t>기타화학제품 제조업</t>
        </is>
      </c>
      <c r="Q187" s="17" t="inlineStr">
        <is>
          <t>이동훈</t>
        </is>
      </c>
      <c r="R187" s="17" t="inlineStr">
        <is>
          <t>http://chemtros.com</t>
        </is>
      </c>
      <c r="S187" s="17" t="inlineStr">
        <is>
          <t>경기도</t>
        </is>
      </c>
      <c r="T187" s="17" t="inlineStr">
        <is>
          <t>031-4910-6534</t>
        </is>
      </c>
      <c r="U187" s="17" t="inlineStr">
        <is>
          <t>제조소상세</t>
        </is>
      </c>
      <c r="V187" s="22" t="inlineStr">
        <is>
          <t>미확인</t>
        </is>
      </c>
      <c r="W187" s="22" t="inlineStr">
        <is>
          <t>미확인</t>
        </is>
      </c>
      <c r="X187" s="22" t="inlineStr">
        <is>
          <t>미확인</t>
        </is>
      </c>
      <c r="Y187" s="22" t="inlineStr">
        <is>
          <t>미확인</t>
        </is>
      </c>
      <c r="Z187" s="22" t="inlineStr">
        <is>
          <t>미확인</t>
        </is>
      </c>
      <c r="AA187" s="22" t="inlineStr">
        <is>
          <t>미확인</t>
        </is>
      </c>
      <c r="AB187" s="22" t="inlineStr">
        <is>
          <t>미확인</t>
        </is>
      </c>
      <c r="AC187" s="22" t="inlineStr">
        <is>
          <t>미확인</t>
        </is>
      </c>
      <c r="AD187" s="22" t="inlineStr">
        <is>
          <t>미확인</t>
        </is>
      </c>
      <c r="AE187" s="22" t="inlineStr">
        <is>
          <t>미확인</t>
        </is>
      </c>
      <c r="AF187" s="22" t="inlineStr">
        <is>
          <t>미확인</t>
        </is>
      </c>
      <c r="AG187" s="22" t="inlineStr">
        <is>
          <t>미확인</t>
        </is>
      </c>
      <c r="AH187" s="22" t="inlineStr">
        <is>
          <t>미확인</t>
        </is>
      </c>
      <c r="AI187" s="22" t="inlineStr">
        <is>
          <t>미확인</t>
        </is>
      </c>
      <c r="AJ187" s="22" t="inlineStr">
        <is>
          <t>미확인</t>
        </is>
      </c>
      <c r="AK187" s="22" t="inlineStr">
        <is>
          <t>미확인</t>
        </is>
      </c>
      <c r="AL187" s="22" t="inlineStr">
        <is>
          <t>미확인</t>
        </is>
      </c>
      <c r="AM187" s="22" t="inlineStr">
        <is>
          <t>미확인</t>
        </is>
      </c>
      <c r="AN187" s="22" t="inlineStr">
        <is>
          <t>미확인</t>
        </is>
      </c>
      <c r="AO187" s="17" t="inlineStr">
        <is>
          <t>C(부분확인)</t>
        </is>
      </c>
      <c r="AP187" s="17" t="inlineStr">
        <is>
          <t>Y</t>
        </is>
      </c>
      <c r="AQ187" s="17" t="n">
        <v>7</v>
      </c>
      <c r="AR187" s="28" t="inlineStr">
        <is>
          <t>Tier D</t>
        </is>
      </c>
      <c r="AS187" s="17" t="inlineStr">
        <is>
          <t>LIMS</t>
        </is>
      </c>
      <c r="AT187" s="17" t="inlineStr">
        <is>
          <t>원료 제조로 시험실 관리 필요</t>
        </is>
      </c>
      <c r="AU187" s="17" t="inlineStr">
        <is>
          <t>담당자 파악 후 접촉</t>
        </is>
      </c>
      <c r="AV187" s="17" t="inlineStr">
        <is>
          <t>GMP적합판정+KRX</t>
        </is>
      </c>
      <c r="AW187" s="17" t="inlineStr">
        <is>
          <t>2026-07-05</t>
        </is>
      </c>
    </row>
    <row r="188">
      <c r="A188" s="17" t="inlineStr">
        <is>
          <t>C187</t>
        </is>
      </c>
      <c r="B188" s="17" t="inlineStr">
        <is>
          <t>한화제약</t>
        </is>
      </c>
      <c r="C188" s="17" t="inlineStr">
        <is>
          <t>한화제약(주)</t>
        </is>
      </c>
      <c r="D188" s="17" t="n">
        <v>1</v>
      </c>
      <c r="E188" s="17" t="n">
        <v>1</v>
      </c>
      <c r="F188" s="17" t="inlineStr">
        <is>
          <t>Y</t>
        </is>
      </c>
      <c r="G188" s="17" t="inlineStr"/>
      <c r="H188" s="17" t="inlineStr"/>
      <c r="I188" s="17" t="inlineStr"/>
      <c r="J188" s="24" t="n">
        <v>46918</v>
      </c>
      <c r="K188" s="17" t="inlineStr"/>
      <c r="L188" s="17" t="inlineStr"/>
      <c r="M188" s="17" t="inlineStr"/>
      <c r="N188" s="23" t="inlineStr"/>
      <c r="O188" s="17" t="inlineStr"/>
      <c r="P188" s="17" t="inlineStr"/>
      <c r="Q188" s="17" t="inlineStr">
        <is>
          <t>김경락</t>
        </is>
      </c>
      <c r="R188" s="17" t="inlineStr"/>
      <c r="S188" s="17" t="inlineStr"/>
      <c r="T188" s="17" t="inlineStr">
        <is>
          <t>미확인</t>
        </is>
      </c>
      <c r="U188" s="17" t="inlineStr">
        <is>
          <t>미확인</t>
        </is>
      </c>
      <c r="V188" s="22" t="inlineStr">
        <is>
          <t>미확인</t>
        </is>
      </c>
      <c r="W188" s="22" t="inlineStr">
        <is>
          <t>미확인</t>
        </is>
      </c>
      <c r="X188" s="22" t="inlineStr">
        <is>
          <t>미확인</t>
        </is>
      </c>
      <c r="Y188" s="22" t="inlineStr">
        <is>
          <t>미확인</t>
        </is>
      </c>
      <c r="Z188" s="22" t="inlineStr">
        <is>
          <t>미확인</t>
        </is>
      </c>
      <c r="AA188" s="22" t="inlineStr">
        <is>
          <t>미확인</t>
        </is>
      </c>
      <c r="AB188" s="22" t="inlineStr">
        <is>
          <t>미확인</t>
        </is>
      </c>
      <c r="AC188" s="22" t="inlineStr">
        <is>
          <t>미확인</t>
        </is>
      </c>
      <c r="AD188" s="22" t="inlineStr">
        <is>
          <t>미확인</t>
        </is>
      </c>
      <c r="AE188" s="22" t="inlineStr">
        <is>
          <t>미확인</t>
        </is>
      </c>
      <c r="AF188" s="22" t="inlineStr">
        <is>
          <t>미확인</t>
        </is>
      </c>
      <c r="AG188" s="22" t="inlineStr">
        <is>
          <t>미확인</t>
        </is>
      </c>
      <c r="AH188" s="22" t="inlineStr">
        <is>
          <t>미확인</t>
        </is>
      </c>
      <c r="AI188" s="22" t="inlineStr">
        <is>
          <t>미확인</t>
        </is>
      </c>
      <c r="AJ188" s="22" t="inlineStr">
        <is>
          <t>미확인</t>
        </is>
      </c>
      <c r="AK188" s="22" t="inlineStr">
        <is>
          <t>미확인</t>
        </is>
      </c>
      <c r="AL188" s="22" t="inlineStr">
        <is>
          <t>미확인</t>
        </is>
      </c>
      <c r="AM188" s="22" t="inlineStr">
        <is>
          <t>미확인</t>
        </is>
      </c>
      <c r="AN188" s="22" t="inlineStr">
        <is>
          <t>미확인</t>
        </is>
      </c>
      <c r="AO188" s="17" t="inlineStr">
        <is>
          <t>C(부분확인)</t>
        </is>
      </c>
      <c r="AP188" s="17" t="inlineStr">
        <is>
          <t>Y</t>
        </is>
      </c>
      <c r="AQ188" s="17" t="n">
        <v>4</v>
      </c>
      <c r="AR188" s="28" t="inlineStr">
        <is>
          <t>Tier D</t>
        </is>
      </c>
      <c r="AS188" s="17" t="inlineStr">
        <is>
          <t>EDMS</t>
        </is>
      </c>
      <c r="AT188" s="17" t="inlineStr">
        <is>
          <t>기본 문서관리 수요</t>
        </is>
      </c>
      <c r="AU188" s="17" t="inlineStr">
        <is>
          <t>담당자 파악 후 접촉</t>
        </is>
      </c>
      <c r="AV188" s="17" t="inlineStr">
        <is>
          <t>GMP적합판정+KRX</t>
        </is>
      </c>
      <c r="AW188" s="17" t="inlineStr">
        <is>
          <t>2026-07-05</t>
        </is>
      </c>
    </row>
    <row r="189">
      <c r="A189" s="17" t="inlineStr">
        <is>
          <t>C188</t>
        </is>
      </c>
      <c r="B189" s="17" t="inlineStr">
        <is>
          <t>동화약품</t>
        </is>
      </c>
      <c r="C189" s="17" t="inlineStr">
        <is>
          <t>동화약품(주)</t>
        </is>
      </c>
      <c r="D189" s="17" t="n">
        <v>2</v>
      </c>
      <c r="E189" s="17" t="n">
        <v>1</v>
      </c>
      <c r="F189" s="17" t="inlineStr">
        <is>
          <t>Y</t>
        </is>
      </c>
      <c r="G189" s="17" t="inlineStr">
        <is>
          <t>Y</t>
        </is>
      </c>
      <c r="H189" s="17" t="inlineStr"/>
      <c r="I189" s="17" t="inlineStr"/>
      <c r="J189" s="24" t="n">
        <v>46918</v>
      </c>
      <c r="K189" s="17" t="inlineStr"/>
      <c r="L189" s="17" t="inlineStr">
        <is>
          <t>Y</t>
        </is>
      </c>
      <c r="M189" s="17" t="inlineStr">
        <is>
          <t>유가</t>
        </is>
      </c>
      <c r="N189" s="23" t="inlineStr">
        <is>
          <t>000020</t>
        </is>
      </c>
      <c r="O189" s="17" t="inlineStr">
        <is>
          <t>의약품 제조업</t>
        </is>
      </c>
      <c r="P189" s="17" t="inlineStr">
        <is>
          <t>의약품 제조,판매,수출입</t>
        </is>
      </c>
      <c r="Q189" s="17" t="inlineStr">
        <is>
          <t>유준하, 윤인호(각자 대표이사)</t>
        </is>
      </c>
      <c r="R189" s="17" t="inlineStr">
        <is>
          <t>http://www.dong-wha.co.kr</t>
        </is>
      </c>
      <c r="S189" s="17" t="inlineStr">
        <is>
          <t>서울특별시</t>
        </is>
      </c>
      <c r="T189" s="17" t="inlineStr">
        <is>
          <t>080-023-1897</t>
        </is>
      </c>
      <c r="U189" s="17" t="inlineStr">
        <is>
          <t>제조소상세</t>
        </is>
      </c>
      <c r="V189" s="22" t="inlineStr">
        <is>
          <t>미확인</t>
        </is>
      </c>
      <c r="W189" s="22" t="inlineStr">
        <is>
          <t>미확인</t>
        </is>
      </c>
      <c r="X189" s="22" t="inlineStr">
        <is>
          <t>미확인</t>
        </is>
      </c>
      <c r="Y189" s="22" t="inlineStr">
        <is>
          <t>미확인</t>
        </is>
      </c>
      <c r="Z189" s="22" t="inlineStr">
        <is>
          <t>미확인</t>
        </is>
      </c>
      <c r="AA189" s="22" t="inlineStr">
        <is>
          <t>미확인</t>
        </is>
      </c>
      <c r="AB189" s="22" t="inlineStr">
        <is>
          <t>미확인</t>
        </is>
      </c>
      <c r="AC189" s="22" t="inlineStr">
        <is>
          <t>미확인</t>
        </is>
      </c>
      <c r="AD189" s="22" t="inlineStr">
        <is>
          <t>미확인</t>
        </is>
      </c>
      <c r="AE189" s="22" t="inlineStr">
        <is>
          <t>미확인</t>
        </is>
      </c>
      <c r="AF189" s="22" t="inlineStr">
        <is>
          <t>미확인</t>
        </is>
      </c>
      <c r="AG189" s="22" t="inlineStr">
        <is>
          <t>미확인</t>
        </is>
      </c>
      <c r="AH189" s="22" t="inlineStr">
        <is>
          <t>미확인</t>
        </is>
      </c>
      <c r="AI189" s="22" t="inlineStr">
        <is>
          <t>미확인</t>
        </is>
      </c>
      <c r="AJ189" s="22" t="inlineStr">
        <is>
          <t>미확인</t>
        </is>
      </c>
      <c r="AK189" s="22" t="inlineStr">
        <is>
          <t>미확인</t>
        </is>
      </c>
      <c r="AL189" s="22" t="inlineStr">
        <is>
          <t>미확인</t>
        </is>
      </c>
      <c r="AM189" s="22" t="inlineStr">
        <is>
          <t>미확인</t>
        </is>
      </c>
      <c r="AN189" s="22" t="inlineStr">
        <is>
          <t>미확인</t>
        </is>
      </c>
      <c r="AO189" s="17" t="inlineStr">
        <is>
          <t>C(부분확인)</t>
        </is>
      </c>
      <c r="AP189" s="17" t="inlineStr">
        <is>
          <t>Y</t>
        </is>
      </c>
      <c r="AQ189" s="17" t="n">
        <v>7</v>
      </c>
      <c r="AR189" s="28" t="inlineStr">
        <is>
          <t>Tier D</t>
        </is>
      </c>
      <c r="AS189" s="17" t="inlineStr">
        <is>
          <t>LIMS</t>
        </is>
      </c>
      <c r="AT189" s="17" t="inlineStr">
        <is>
          <t>원료 제조로 시험실 관리 필요</t>
        </is>
      </c>
      <c r="AU189" s="17" t="inlineStr">
        <is>
          <t>담당자 파악 후 접촉</t>
        </is>
      </c>
      <c r="AV189" s="17" t="inlineStr">
        <is>
          <t>GMP적합판정+KRX</t>
        </is>
      </c>
      <c r="AW189" s="17" t="inlineStr">
        <is>
          <t>2026-07-05</t>
        </is>
      </c>
    </row>
    <row r="190">
      <c r="A190" s="17" t="inlineStr">
        <is>
          <t>C189</t>
        </is>
      </c>
      <c r="B190" s="17" t="inlineStr">
        <is>
          <t>대평</t>
        </is>
      </c>
      <c r="C190" s="17" t="inlineStr">
        <is>
          <t>(주)대평</t>
        </is>
      </c>
      <c r="D190" s="17" t="n">
        <v>1</v>
      </c>
      <c r="E190" s="17" t="n">
        <v>1</v>
      </c>
      <c r="F190" s="17" t="inlineStr"/>
      <c r="G190" s="17" t="inlineStr">
        <is>
          <t>Y</t>
        </is>
      </c>
      <c r="H190" s="17" t="inlineStr"/>
      <c r="I190" s="17" t="inlineStr"/>
      <c r="J190" s="24" t="n">
        <v>46918</v>
      </c>
      <c r="K190" s="17" t="inlineStr"/>
      <c r="L190" s="17" t="inlineStr"/>
      <c r="M190" s="17" t="inlineStr"/>
      <c r="N190" s="23" t="inlineStr"/>
      <c r="O190" s="17" t="inlineStr"/>
      <c r="P190" s="17" t="inlineStr"/>
      <c r="Q190" s="17" t="inlineStr">
        <is>
          <t>김경재, 김동주</t>
        </is>
      </c>
      <c r="R190" s="17" t="inlineStr"/>
      <c r="S190" s="17" t="inlineStr"/>
      <c r="T190" s="17" t="inlineStr">
        <is>
          <t>054-541-9005</t>
        </is>
      </c>
      <c r="U190" s="17" t="inlineStr">
        <is>
          <t>제조소상세</t>
        </is>
      </c>
      <c r="V190" s="22" t="inlineStr">
        <is>
          <t>미확인</t>
        </is>
      </c>
      <c r="W190" s="22" t="inlineStr">
        <is>
          <t>미확인</t>
        </is>
      </c>
      <c r="X190" s="22" t="inlineStr">
        <is>
          <t>미확인</t>
        </is>
      </c>
      <c r="Y190" s="22" t="inlineStr">
        <is>
          <t>미확인</t>
        </is>
      </c>
      <c r="Z190" s="22" t="inlineStr">
        <is>
          <t>미확인</t>
        </is>
      </c>
      <c r="AA190" s="22" t="inlineStr">
        <is>
          <t>미확인</t>
        </is>
      </c>
      <c r="AB190" s="22" t="inlineStr">
        <is>
          <t>미확인</t>
        </is>
      </c>
      <c r="AC190" s="22" t="inlineStr">
        <is>
          <t>미확인</t>
        </is>
      </c>
      <c r="AD190" s="22" t="inlineStr">
        <is>
          <t>미확인</t>
        </is>
      </c>
      <c r="AE190" s="22" t="inlineStr">
        <is>
          <t>미확인</t>
        </is>
      </c>
      <c r="AF190" s="22" t="inlineStr">
        <is>
          <t>미확인</t>
        </is>
      </c>
      <c r="AG190" s="22" t="inlineStr">
        <is>
          <t>미확인</t>
        </is>
      </c>
      <c r="AH190" s="22" t="inlineStr">
        <is>
          <t>미확인</t>
        </is>
      </c>
      <c r="AI190" s="22" t="inlineStr">
        <is>
          <t>미확인</t>
        </is>
      </c>
      <c r="AJ190" s="22" t="inlineStr">
        <is>
          <t>미확인</t>
        </is>
      </c>
      <c r="AK190" s="22" t="inlineStr">
        <is>
          <t>미확인</t>
        </is>
      </c>
      <c r="AL190" s="22" t="inlineStr">
        <is>
          <t>미확인</t>
        </is>
      </c>
      <c r="AM190" s="22" t="inlineStr">
        <is>
          <t>미확인</t>
        </is>
      </c>
      <c r="AN190" s="22" t="inlineStr">
        <is>
          <t>미확인</t>
        </is>
      </c>
      <c r="AO190" s="17" t="inlineStr">
        <is>
          <t>C(부분확인)</t>
        </is>
      </c>
      <c r="AP190" s="17" t="inlineStr">
        <is>
          <t>Y</t>
        </is>
      </c>
      <c r="AQ190" s="17" t="n">
        <v>4</v>
      </c>
      <c r="AR190" s="28" t="inlineStr">
        <is>
          <t>Tier D</t>
        </is>
      </c>
      <c r="AS190" s="17" t="inlineStr">
        <is>
          <t>LIMS</t>
        </is>
      </c>
      <c r="AT190" s="17" t="inlineStr">
        <is>
          <t>원료 제조로 시험실 관리 필요</t>
        </is>
      </c>
      <c r="AU190" s="17" t="inlineStr">
        <is>
          <t>담당자 파악 후 접촉</t>
        </is>
      </c>
      <c r="AV190" s="17" t="inlineStr">
        <is>
          <t>GMP적합판정+KRX</t>
        </is>
      </c>
      <c r="AW190" s="17" t="inlineStr">
        <is>
          <t>2026-07-05</t>
        </is>
      </c>
    </row>
    <row r="191">
      <c r="A191" s="17" t="inlineStr">
        <is>
          <t>C190</t>
        </is>
      </c>
      <c r="B191" s="17" t="inlineStr">
        <is>
          <t>하이텍팜</t>
        </is>
      </c>
      <c r="C191" s="17" t="inlineStr">
        <is>
          <t>(주)하이텍팜</t>
        </is>
      </c>
      <c r="D191" s="17" t="n">
        <v>2</v>
      </c>
      <c r="E191" s="17" t="n">
        <v>2</v>
      </c>
      <c r="F191" s="17" t="inlineStr"/>
      <c r="G191" s="17" t="inlineStr">
        <is>
          <t>Y</t>
        </is>
      </c>
      <c r="H191" s="17" t="inlineStr">
        <is>
          <t>Y</t>
        </is>
      </c>
      <c r="I191" s="17" t="inlineStr"/>
      <c r="J191" s="24" t="n">
        <v>46634</v>
      </c>
      <c r="K191" s="17" t="inlineStr"/>
      <c r="L191" s="17" t="inlineStr">
        <is>
          <t>Y</t>
        </is>
      </c>
      <c r="M191" s="17" t="inlineStr">
        <is>
          <t>코스닥</t>
        </is>
      </c>
      <c r="N191" s="23" t="inlineStr">
        <is>
          <t>106190</t>
        </is>
      </c>
      <c r="O191" s="17" t="inlineStr">
        <is>
          <t>기초 의약물질 제조업</t>
        </is>
      </c>
      <c r="P191" s="17" t="inlineStr">
        <is>
          <t>주사제용 무균 원료의약품(Sterile Imipenem 외)</t>
        </is>
      </c>
      <c r="Q191" s="17" t="inlineStr">
        <is>
          <t>차현준</t>
        </is>
      </c>
      <c r="R191" s="17" t="inlineStr">
        <is>
          <t>http://www.htpharm.com</t>
        </is>
      </c>
      <c r="S191" s="17" t="inlineStr">
        <is>
          <t>충청북도</t>
        </is>
      </c>
      <c r="T191" s="17" t="inlineStr">
        <is>
          <t>043-883-0012</t>
        </is>
      </c>
      <c r="U191" s="17" t="inlineStr">
        <is>
          <t>제조소상세</t>
        </is>
      </c>
      <c r="V191" s="22" t="inlineStr">
        <is>
          <t>미확인</t>
        </is>
      </c>
      <c r="W191" s="22" t="inlineStr">
        <is>
          <t>미확인</t>
        </is>
      </c>
      <c r="X191" s="22" t="inlineStr">
        <is>
          <t>미확인</t>
        </is>
      </c>
      <c r="Y191" s="22" t="inlineStr">
        <is>
          <t>미확인</t>
        </is>
      </c>
      <c r="Z191" s="22" t="inlineStr">
        <is>
          <t>미확인</t>
        </is>
      </c>
      <c r="AA191" s="22" t="inlineStr">
        <is>
          <t>미확인</t>
        </is>
      </c>
      <c r="AB191" s="22" t="inlineStr">
        <is>
          <t>미확인</t>
        </is>
      </c>
      <c r="AC191" s="22" t="inlineStr">
        <is>
          <t>미확인</t>
        </is>
      </c>
      <c r="AD191" s="22" t="inlineStr">
        <is>
          <t>미확인</t>
        </is>
      </c>
      <c r="AE191" s="22" t="inlineStr">
        <is>
          <t>미확인</t>
        </is>
      </c>
      <c r="AF191" s="22" t="inlineStr">
        <is>
          <t>미확인</t>
        </is>
      </c>
      <c r="AG191" s="22" t="inlineStr">
        <is>
          <t>미확인</t>
        </is>
      </c>
      <c r="AH191" s="22" t="inlineStr">
        <is>
          <t>미확인</t>
        </is>
      </c>
      <c r="AI191" s="22" t="inlineStr">
        <is>
          <t>미확인</t>
        </is>
      </c>
      <c r="AJ191" s="22" t="inlineStr">
        <is>
          <t>미확인</t>
        </is>
      </c>
      <c r="AK191" s="22" t="inlineStr">
        <is>
          <t>미확인</t>
        </is>
      </c>
      <c r="AL191" s="22" t="inlineStr">
        <is>
          <t>미확인</t>
        </is>
      </c>
      <c r="AM191" s="22" t="inlineStr">
        <is>
          <t>미확인</t>
        </is>
      </c>
      <c r="AN191" s="22" t="inlineStr">
        <is>
          <t>미확인</t>
        </is>
      </c>
      <c r="AO191" s="17" t="inlineStr">
        <is>
          <t>C(부분확인)</t>
        </is>
      </c>
      <c r="AP191" s="17" t="inlineStr">
        <is>
          <t>Y</t>
        </is>
      </c>
      <c r="AQ191" s="17" t="n">
        <v>19</v>
      </c>
      <c r="AR191" s="28" t="inlineStr">
        <is>
          <t>Tier D</t>
        </is>
      </c>
      <c r="AS191" s="17" t="inlineStr">
        <is>
          <t>통합형</t>
        </is>
      </c>
      <c r="AT191" s="17" t="inlineStr">
        <is>
          <t>다중 제조소/다수 판정서로 문서관리 복잡; 무균/바이오 제조로 품질관리 난도 높음</t>
        </is>
      </c>
      <c r="AU191" s="17" t="inlineStr">
        <is>
          <t>담당자 파악 후 접촉</t>
        </is>
      </c>
      <c r="AV191" s="17" t="inlineStr">
        <is>
          <t>GMP적합판정+KRX</t>
        </is>
      </c>
      <c r="AW191" s="17" t="inlineStr">
        <is>
          <t>2026-07-05</t>
        </is>
      </c>
    </row>
    <row r="192">
      <c r="A192" s="17" t="inlineStr">
        <is>
          <t>C191</t>
        </is>
      </c>
      <c r="B192" s="17" t="inlineStr">
        <is>
          <t>국제약품</t>
        </is>
      </c>
      <c r="C192" s="17" t="inlineStr">
        <is>
          <t>국제약품(주)</t>
        </is>
      </c>
      <c r="D192" s="17" t="n">
        <v>1</v>
      </c>
      <c r="E192" s="17" t="n">
        <v>1</v>
      </c>
      <c r="F192" s="17" t="inlineStr">
        <is>
          <t>Y</t>
        </is>
      </c>
      <c r="G192" s="17" t="inlineStr"/>
      <c r="H192" s="17" t="inlineStr">
        <is>
          <t>Y</t>
        </is>
      </c>
      <c r="I192" s="17" t="inlineStr"/>
      <c r="J192" s="24" t="n">
        <v>46913</v>
      </c>
      <c r="K192" s="17" t="inlineStr"/>
      <c r="L192" s="17" t="inlineStr">
        <is>
          <t>Y</t>
        </is>
      </c>
      <c r="M192" s="17" t="inlineStr">
        <is>
          <t>유가</t>
        </is>
      </c>
      <c r="N192" s="23" t="inlineStr">
        <is>
          <t>002720</t>
        </is>
      </c>
      <c r="O192" s="17" t="inlineStr">
        <is>
          <t>의약품 제조업</t>
        </is>
      </c>
      <c r="P192" s="17" t="inlineStr">
        <is>
          <t>항생제,안약,제약 제조,도매</t>
        </is>
      </c>
      <c r="Q192" s="17" t="inlineStr">
        <is>
          <t>남태훈</t>
        </is>
      </c>
      <c r="R192" s="17" t="inlineStr">
        <is>
          <t>http://www.kukjepharm.co.kr</t>
        </is>
      </c>
      <c r="S192" s="17" t="inlineStr">
        <is>
          <t>경기도</t>
        </is>
      </c>
      <c r="T192" s="17" t="inlineStr">
        <is>
          <t>031-4919-4114</t>
        </is>
      </c>
      <c r="U192" s="17" t="inlineStr">
        <is>
          <t>제조소상세</t>
        </is>
      </c>
      <c r="V192" s="22" t="inlineStr">
        <is>
          <t>미확인</t>
        </is>
      </c>
      <c r="W192" s="22" t="inlineStr">
        <is>
          <t>미확인</t>
        </is>
      </c>
      <c r="X192" s="22" t="inlineStr">
        <is>
          <t>미확인</t>
        </is>
      </c>
      <c r="Y192" s="22" t="inlineStr">
        <is>
          <t>미확인</t>
        </is>
      </c>
      <c r="Z192" s="22" t="inlineStr">
        <is>
          <t>미확인</t>
        </is>
      </c>
      <c r="AA192" s="22" t="inlineStr">
        <is>
          <t>미확인</t>
        </is>
      </c>
      <c r="AB192" s="22" t="inlineStr">
        <is>
          <t>미확인</t>
        </is>
      </c>
      <c r="AC192" s="22" t="inlineStr">
        <is>
          <t>미확인</t>
        </is>
      </c>
      <c r="AD192" s="22" t="inlineStr">
        <is>
          <t>미확인</t>
        </is>
      </c>
      <c r="AE192" s="22" t="inlineStr">
        <is>
          <t>미확인</t>
        </is>
      </c>
      <c r="AF192" s="22" t="inlineStr">
        <is>
          <t>미확인</t>
        </is>
      </c>
      <c r="AG192" s="22" t="inlineStr">
        <is>
          <t>미확인</t>
        </is>
      </c>
      <c r="AH192" s="22" t="inlineStr">
        <is>
          <t>미확인</t>
        </is>
      </c>
      <c r="AI192" s="22" t="inlineStr">
        <is>
          <t>미확인</t>
        </is>
      </c>
      <c r="AJ192" s="22" t="inlineStr">
        <is>
          <t>미확인</t>
        </is>
      </c>
      <c r="AK192" s="22" t="inlineStr">
        <is>
          <t>미확인</t>
        </is>
      </c>
      <c r="AL192" s="22" t="inlineStr">
        <is>
          <t>미확인</t>
        </is>
      </c>
      <c r="AM192" s="22" t="inlineStr">
        <is>
          <t>미확인</t>
        </is>
      </c>
      <c r="AN192" s="22" t="inlineStr">
        <is>
          <t>미확인</t>
        </is>
      </c>
      <c r="AO192" s="17" t="inlineStr">
        <is>
          <t>C(부분확인)</t>
        </is>
      </c>
      <c r="AP192" s="17" t="inlineStr">
        <is>
          <t>Y</t>
        </is>
      </c>
      <c r="AQ192" s="17" t="n">
        <v>15</v>
      </c>
      <c r="AR192" s="28" t="inlineStr">
        <is>
          <t>Tier D</t>
        </is>
      </c>
      <c r="AS192" s="17" t="inlineStr">
        <is>
          <t>QMS+LIMS</t>
        </is>
      </c>
      <c r="AT192" s="17" t="inlineStr">
        <is>
          <t>무균/바이오 제조로 품질관리 난도 높음</t>
        </is>
      </c>
      <c r="AU192" s="17" t="inlineStr">
        <is>
          <t>담당자 파악 후 접촉</t>
        </is>
      </c>
      <c r="AV192" s="17" t="inlineStr">
        <is>
          <t>GMP적합판정+KRX</t>
        </is>
      </c>
      <c r="AW192" s="17" t="inlineStr">
        <is>
          <t>2026-07-05</t>
        </is>
      </c>
    </row>
    <row r="193">
      <c r="A193" s="17" t="inlineStr">
        <is>
          <t>C192</t>
        </is>
      </c>
      <c r="B193" s="17" t="inlineStr">
        <is>
          <t>진양제약</t>
        </is>
      </c>
      <c r="C193" s="17" t="inlineStr">
        <is>
          <t>진양제약(주)</t>
        </is>
      </c>
      <c r="D193" s="17" t="n">
        <v>1</v>
      </c>
      <c r="E193" s="17" t="n">
        <v>1</v>
      </c>
      <c r="F193" s="17" t="inlineStr">
        <is>
          <t>Y</t>
        </is>
      </c>
      <c r="G193" s="17" t="inlineStr"/>
      <c r="H193" s="17" t="inlineStr"/>
      <c r="I193" s="17" t="inlineStr"/>
      <c r="J193" s="24" t="n">
        <v>46912</v>
      </c>
      <c r="K193" s="17" t="inlineStr"/>
      <c r="L193" s="17" t="inlineStr">
        <is>
          <t>Y</t>
        </is>
      </c>
      <c r="M193" s="17" t="inlineStr">
        <is>
          <t>코스닥</t>
        </is>
      </c>
      <c r="N193" s="23" t="inlineStr">
        <is>
          <t>007370</t>
        </is>
      </c>
      <c r="O193" s="17" t="inlineStr">
        <is>
          <t>의약품 제조업</t>
        </is>
      </c>
      <c r="P193" s="17" t="inlineStr">
        <is>
          <t>소부날, 옥티란</t>
        </is>
      </c>
      <c r="Q193" s="17" t="inlineStr">
        <is>
          <t>최재준</t>
        </is>
      </c>
      <c r="R193" s="17" t="inlineStr">
        <is>
          <t>http://www.jinyangpharm.co.kr</t>
        </is>
      </c>
      <c r="S193" s="17" t="inlineStr">
        <is>
          <t>서울특별시</t>
        </is>
      </c>
      <c r="T193" s="17" t="inlineStr">
        <is>
          <t>미확인</t>
        </is>
      </c>
      <c r="U193" s="17" t="inlineStr">
        <is>
          <t>미확인</t>
        </is>
      </c>
      <c r="V193" s="22" t="inlineStr">
        <is>
          <t>미확인</t>
        </is>
      </c>
      <c r="W193" s="22" t="inlineStr">
        <is>
          <t>미확인</t>
        </is>
      </c>
      <c r="X193" s="22" t="inlineStr">
        <is>
          <t>미확인</t>
        </is>
      </c>
      <c r="Y193" s="22" t="inlineStr">
        <is>
          <t>미확인</t>
        </is>
      </c>
      <c r="Z193" s="22" t="inlineStr">
        <is>
          <t>미확인</t>
        </is>
      </c>
      <c r="AA193" s="22" t="inlineStr">
        <is>
          <t>미확인</t>
        </is>
      </c>
      <c r="AB193" s="22" t="inlineStr">
        <is>
          <t>미확인</t>
        </is>
      </c>
      <c r="AC193" s="22" t="inlineStr">
        <is>
          <t>미확인</t>
        </is>
      </c>
      <c r="AD193" s="22" t="inlineStr">
        <is>
          <t>미확인</t>
        </is>
      </c>
      <c r="AE193" s="22" t="inlineStr">
        <is>
          <t>미확인</t>
        </is>
      </c>
      <c r="AF193" s="22" t="inlineStr">
        <is>
          <t>미확인</t>
        </is>
      </c>
      <c r="AG193" s="22" t="inlineStr">
        <is>
          <t>미확인</t>
        </is>
      </c>
      <c r="AH193" s="22" t="inlineStr">
        <is>
          <t>미확인</t>
        </is>
      </c>
      <c r="AI193" s="22" t="inlineStr">
        <is>
          <t>미확인</t>
        </is>
      </c>
      <c r="AJ193" s="22" t="inlineStr">
        <is>
          <t>미확인</t>
        </is>
      </c>
      <c r="AK193" s="22" t="inlineStr">
        <is>
          <t>미확인</t>
        </is>
      </c>
      <c r="AL193" s="22" t="inlineStr">
        <is>
          <t>미확인</t>
        </is>
      </c>
      <c r="AM193" s="22" t="inlineStr">
        <is>
          <t>미확인</t>
        </is>
      </c>
      <c r="AN193" s="22" t="inlineStr">
        <is>
          <t>미확인</t>
        </is>
      </c>
      <c r="AO193" s="17" t="inlineStr">
        <is>
          <t>C(부분확인)</t>
        </is>
      </c>
      <c r="AP193" s="17" t="inlineStr">
        <is>
          <t>Y</t>
        </is>
      </c>
      <c r="AQ193" s="17" t="n">
        <v>4</v>
      </c>
      <c r="AR193" s="28" t="inlineStr">
        <is>
          <t>Tier D</t>
        </is>
      </c>
      <c r="AS193" s="17" t="inlineStr">
        <is>
          <t>EDMS</t>
        </is>
      </c>
      <c r="AT193" s="17" t="inlineStr">
        <is>
          <t>기본 문서관리 수요</t>
        </is>
      </c>
      <c r="AU193" s="17" t="inlineStr">
        <is>
          <t>담당자 파악 후 접촉</t>
        </is>
      </c>
      <c r="AV193" s="17" t="inlineStr">
        <is>
          <t>GMP적합판정+KRX</t>
        </is>
      </c>
      <c r="AW193" s="17" t="inlineStr">
        <is>
          <t>2026-07-05</t>
        </is>
      </c>
    </row>
    <row r="194">
      <c r="A194" s="17" t="inlineStr">
        <is>
          <t>C193</t>
        </is>
      </c>
      <c r="B194" s="17" t="inlineStr">
        <is>
          <t>밀성산업가스</t>
        </is>
      </c>
      <c r="C194" s="17" t="inlineStr">
        <is>
          <t>(주)밀성산업가스</t>
        </is>
      </c>
      <c r="D194" s="17" t="n">
        <v>1</v>
      </c>
      <c r="E194" s="17" t="n">
        <v>1</v>
      </c>
      <c r="F194" s="17" t="inlineStr">
        <is>
          <t>Y</t>
        </is>
      </c>
      <c r="G194" s="17" t="inlineStr"/>
      <c r="H194" s="17" t="inlineStr"/>
      <c r="I194" s="17" t="inlineStr"/>
      <c r="J194" s="24" t="n">
        <v>46903</v>
      </c>
      <c r="K194" s="17" t="inlineStr"/>
      <c r="L194" s="17" t="inlineStr"/>
      <c r="M194" s="17" t="inlineStr"/>
      <c r="N194" s="23" t="inlineStr"/>
      <c r="O194" s="17" t="inlineStr"/>
      <c r="P194" s="17" t="inlineStr"/>
      <c r="Q194" s="17" t="inlineStr">
        <is>
          <t>김의중</t>
        </is>
      </c>
      <c r="R194" s="17" t="inlineStr"/>
      <c r="S194" s="17" t="inlineStr"/>
      <c r="T194" s="17" t="inlineStr">
        <is>
          <t>031-8059-5950</t>
        </is>
      </c>
      <c r="U194" s="17" t="inlineStr">
        <is>
          <t>제조소상세</t>
        </is>
      </c>
      <c r="V194" s="22" t="inlineStr">
        <is>
          <t>미확인</t>
        </is>
      </c>
      <c r="W194" s="22" t="inlineStr">
        <is>
          <t>미확인</t>
        </is>
      </c>
      <c r="X194" s="22" t="inlineStr">
        <is>
          <t>미확인</t>
        </is>
      </c>
      <c r="Y194" s="22" t="inlineStr">
        <is>
          <t>미확인</t>
        </is>
      </c>
      <c r="Z194" s="22" t="inlineStr">
        <is>
          <t>미확인</t>
        </is>
      </c>
      <c r="AA194" s="22" t="inlineStr">
        <is>
          <t>미확인</t>
        </is>
      </c>
      <c r="AB194" s="22" t="inlineStr">
        <is>
          <t>미확인</t>
        </is>
      </c>
      <c r="AC194" s="22" t="inlineStr">
        <is>
          <t>미확인</t>
        </is>
      </c>
      <c r="AD194" s="22" t="inlineStr">
        <is>
          <t>미확인</t>
        </is>
      </c>
      <c r="AE194" s="22" t="inlineStr">
        <is>
          <t>미확인</t>
        </is>
      </c>
      <c r="AF194" s="22" t="inlineStr">
        <is>
          <t>미확인</t>
        </is>
      </c>
      <c r="AG194" s="22" t="inlineStr">
        <is>
          <t>미확인</t>
        </is>
      </c>
      <c r="AH194" s="22" t="inlineStr">
        <is>
          <t>미확인</t>
        </is>
      </c>
      <c r="AI194" s="22" t="inlineStr">
        <is>
          <t>미확인</t>
        </is>
      </c>
      <c r="AJ194" s="22" t="inlineStr">
        <is>
          <t>미확인</t>
        </is>
      </c>
      <c r="AK194" s="22" t="inlineStr">
        <is>
          <t>미확인</t>
        </is>
      </c>
      <c r="AL194" s="22" t="inlineStr">
        <is>
          <t>미확인</t>
        </is>
      </c>
      <c r="AM194" s="22" t="inlineStr">
        <is>
          <t>미확인</t>
        </is>
      </c>
      <c r="AN194" s="22" t="inlineStr">
        <is>
          <t>미확인</t>
        </is>
      </c>
      <c r="AO194" s="17" t="inlineStr">
        <is>
          <t>C(부분확인)</t>
        </is>
      </c>
      <c r="AP194" s="17" t="inlineStr">
        <is>
          <t>Y</t>
        </is>
      </c>
      <c r="AQ194" s="17" t="n">
        <v>4</v>
      </c>
      <c r="AR194" s="28" t="inlineStr">
        <is>
          <t>Tier D</t>
        </is>
      </c>
      <c r="AS194" s="17" t="inlineStr">
        <is>
          <t>EDMS</t>
        </is>
      </c>
      <c r="AT194" s="17" t="inlineStr">
        <is>
          <t>기본 문서관리 수요</t>
        </is>
      </c>
      <c r="AU194" s="17" t="inlineStr">
        <is>
          <t>담당자 파악 후 접촉</t>
        </is>
      </c>
      <c r="AV194" s="17" t="inlineStr">
        <is>
          <t>GMP적합판정+KRX</t>
        </is>
      </c>
      <c r="AW194" s="17" t="inlineStr">
        <is>
          <t>2026-07-05</t>
        </is>
      </c>
    </row>
    <row r="195">
      <c r="A195" s="17" t="inlineStr">
        <is>
          <t>C194</t>
        </is>
      </c>
      <c r="B195" s="17" t="inlineStr">
        <is>
          <t>신풍제약</t>
        </is>
      </c>
      <c r="C195" s="17" t="inlineStr">
        <is>
          <t>신풍제약(주)</t>
        </is>
      </c>
      <c r="D195" s="17" t="n">
        <v>5</v>
      </c>
      <c r="E195" s="17" t="n">
        <v>3</v>
      </c>
      <c r="F195" s="17" t="inlineStr">
        <is>
          <t>Y</t>
        </is>
      </c>
      <c r="G195" s="17" t="inlineStr">
        <is>
          <t>Y</t>
        </is>
      </c>
      <c r="H195" s="17" t="inlineStr">
        <is>
          <t>Y</t>
        </is>
      </c>
      <c r="I195" s="17" t="inlineStr"/>
      <c r="J195" s="24" t="n">
        <v>46349</v>
      </c>
      <c r="K195" s="17" t="inlineStr">
        <is>
          <t>Y</t>
        </is>
      </c>
      <c r="L195" s="17" t="inlineStr">
        <is>
          <t>Y</t>
        </is>
      </c>
      <c r="M195" s="17" t="inlineStr">
        <is>
          <t>유가</t>
        </is>
      </c>
      <c r="N195" s="23" t="inlineStr">
        <is>
          <t>019170</t>
        </is>
      </c>
      <c r="O195" s="17" t="inlineStr">
        <is>
          <t>의약품 제조업</t>
        </is>
      </c>
      <c r="P195" s="17" t="inlineStr">
        <is>
          <t>의약품(항생제,혈전용해제,향정신성약품,구충제) 제조,판매</t>
        </is>
      </c>
      <c r="Q195" s="17" t="inlineStr">
        <is>
          <t>유 제 만</t>
        </is>
      </c>
      <c r="R195" s="17" t="inlineStr">
        <is>
          <t>http://www.shinpoong.co.kr</t>
        </is>
      </c>
      <c r="S195" s="17" t="inlineStr">
        <is>
          <t>경기도</t>
        </is>
      </c>
      <c r="T195" s="17" t="inlineStr">
        <is>
          <t>031-491-6191</t>
        </is>
      </c>
      <c r="U195" s="17" t="inlineStr">
        <is>
          <t>제조소상세</t>
        </is>
      </c>
      <c r="V195" s="22" t="inlineStr">
        <is>
          <t>미확인</t>
        </is>
      </c>
      <c r="W195" s="22" t="inlineStr">
        <is>
          <t>미확인</t>
        </is>
      </c>
      <c r="X195" s="22" t="inlineStr">
        <is>
          <t>미확인</t>
        </is>
      </c>
      <c r="Y195" s="22" t="inlineStr">
        <is>
          <t>미확인</t>
        </is>
      </c>
      <c r="Z195" s="22" t="inlineStr">
        <is>
          <t>미확인</t>
        </is>
      </c>
      <c r="AA195" s="22" t="inlineStr">
        <is>
          <t>미확인</t>
        </is>
      </c>
      <c r="AB195" s="22" t="inlineStr">
        <is>
          <t>미확인</t>
        </is>
      </c>
      <c r="AC195" s="22" t="inlineStr">
        <is>
          <t>미확인</t>
        </is>
      </c>
      <c r="AD195" s="22" t="inlineStr">
        <is>
          <t>미확인</t>
        </is>
      </c>
      <c r="AE195" s="22" t="inlineStr">
        <is>
          <t>미확인</t>
        </is>
      </c>
      <c r="AF195" s="22" t="inlineStr">
        <is>
          <t>미확인</t>
        </is>
      </c>
      <c r="AG195" s="22" t="inlineStr">
        <is>
          <t>미확인</t>
        </is>
      </c>
      <c r="AH195" s="22" t="inlineStr">
        <is>
          <t>미확인</t>
        </is>
      </c>
      <c r="AI195" s="22" t="inlineStr">
        <is>
          <t>미확인</t>
        </is>
      </c>
      <c r="AJ195" s="22" t="inlineStr">
        <is>
          <t>미확인</t>
        </is>
      </c>
      <c r="AK195" s="22" t="inlineStr">
        <is>
          <t>미확인</t>
        </is>
      </c>
      <c r="AL195" s="22" t="inlineStr">
        <is>
          <t>미확인</t>
        </is>
      </c>
      <c r="AM195" s="22" t="inlineStr">
        <is>
          <t>미확인</t>
        </is>
      </c>
      <c r="AN195" s="22" t="inlineStr">
        <is>
          <t>미확인</t>
        </is>
      </c>
      <c r="AO195" s="17" t="inlineStr">
        <is>
          <t>C(부분확인)</t>
        </is>
      </c>
      <c r="AP195" s="17" t="inlineStr">
        <is>
          <t>Y</t>
        </is>
      </c>
      <c r="AQ195" s="17" t="n">
        <v>28</v>
      </c>
      <c r="AR195" s="28" t="inlineStr">
        <is>
          <t>Tier D</t>
        </is>
      </c>
      <c r="AS195" s="17" t="inlineStr">
        <is>
          <t>통합형</t>
        </is>
      </c>
      <c r="AT195" s="17" t="inlineStr">
        <is>
          <t>다중 제조소/다수 판정서로 문서관리 복잡; 무균/바이오 제조로 품질관리 난도 높음</t>
        </is>
      </c>
      <c r="AU195" s="17" t="inlineStr">
        <is>
          <t>담당자 파악 후 접촉</t>
        </is>
      </c>
      <c r="AV195" s="17" t="inlineStr">
        <is>
          <t>GMP적합판정+KRX</t>
        </is>
      </c>
      <c r="AW195" s="17" t="inlineStr">
        <is>
          <t>2026-07-05</t>
        </is>
      </c>
    </row>
    <row r="196">
      <c r="A196" s="17" t="inlineStr">
        <is>
          <t>C195</t>
        </is>
      </c>
      <c r="B196" s="17" t="inlineStr">
        <is>
          <t>한국신텍스제약</t>
        </is>
      </c>
      <c r="C196" s="17" t="inlineStr">
        <is>
          <t>한국신텍스제약(주)</t>
        </is>
      </c>
      <c r="D196" s="17" t="n">
        <v>1</v>
      </c>
      <c r="E196" s="17" t="n">
        <v>1</v>
      </c>
      <c r="F196" s="17" t="inlineStr">
        <is>
          <t>Y</t>
        </is>
      </c>
      <c r="G196" s="17" t="inlineStr"/>
      <c r="H196" s="17" t="inlineStr"/>
      <c r="I196" s="17" t="inlineStr"/>
      <c r="J196" s="24" t="n">
        <v>46899</v>
      </c>
      <c r="K196" s="17" t="inlineStr"/>
      <c r="L196" s="17" t="inlineStr"/>
      <c r="M196" s="17" t="inlineStr"/>
      <c r="N196" s="23" t="inlineStr"/>
      <c r="O196" s="17" t="inlineStr"/>
      <c r="P196" s="17" t="inlineStr"/>
      <c r="Q196" s="17" t="inlineStr">
        <is>
          <t>박병철</t>
        </is>
      </c>
      <c r="R196" s="17" t="inlineStr"/>
      <c r="S196" s="17" t="inlineStr"/>
      <c r="T196" s="17" t="inlineStr">
        <is>
          <t>063-853-8110</t>
        </is>
      </c>
      <c r="U196" s="17" t="inlineStr">
        <is>
          <t>제조소상세</t>
        </is>
      </c>
      <c r="V196" s="22" t="inlineStr">
        <is>
          <t>미확인</t>
        </is>
      </c>
      <c r="W196" s="22" t="inlineStr">
        <is>
          <t>미확인</t>
        </is>
      </c>
      <c r="X196" s="22" t="inlineStr">
        <is>
          <t>미확인</t>
        </is>
      </c>
      <c r="Y196" s="22" t="inlineStr">
        <is>
          <t>미확인</t>
        </is>
      </c>
      <c r="Z196" s="22" t="inlineStr">
        <is>
          <t>미확인</t>
        </is>
      </c>
      <c r="AA196" s="22" t="inlineStr">
        <is>
          <t>미확인</t>
        </is>
      </c>
      <c r="AB196" s="22" t="inlineStr">
        <is>
          <t>미확인</t>
        </is>
      </c>
      <c r="AC196" s="22" t="inlineStr">
        <is>
          <t>미확인</t>
        </is>
      </c>
      <c r="AD196" s="22" t="inlineStr">
        <is>
          <t>미확인</t>
        </is>
      </c>
      <c r="AE196" s="22" t="inlineStr">
        <is>
          <t>미확인</t>
        </is>
      </c>
      <c r="AF196" s="22" t="inlineStr">
        <is>
          <t>미확인</t>
        </is>
      </c>
      <c r="AG196" s="22" t="inlineStr">
        <is>
          <t>미확인</t>
        </is>
      </c>
      <c r="AH196" s="22" t="inlineStr">
        <is>
          <t>미확인</t>
        </is>
      </c>
      <c r="AI196" s="22" t="inlineStr">
        <is>
          <t>미확인</t>
        </is>
      </c>
      <c r="AJ196" s="22" t="inlineStr">
        <is>
          <t>미확인</t>
        </is>
      </c>
      <c r="AK196" s="22" t="inlineStr">
        <is>
          <t>미확인</t>
        </is>
      </c>
      <c r="AL196" s="22" t="inlineStr">
        <is>
          <t>미확인</t>
        </is>
      </c>
      <c r="AM196" s="22" t="inlineStr">
        <is>
          <t>미확인</t>
        </is>
      </c>
      <c r="AN196" s="22" t="inlineStr">
        <is>
          <t>미확인</t>
        </is>
      </c>
      <c r="AO196" s="17" t="inlineStr">
        <is>
          <t>C(부분확인)</t>
        </is>
      </c>
      <c r="AP196" s="17" t="inlineStr">
        <is>
          <t>Y</t>
        </is>
      </c>
      <c r="AQ196" s="17" t="n">
        <v>4</v>
      </c>
      <c r="AR196" s="28" t="inlineStr">
        <is>
          <t>Tier D</t>
        </is>
      </c>
      <c r="AS196" s="17" t="inlineStr">
        <is>
          <t>EDMS</t>
        </is>
      </c>
      <c r="AT196" s="17" t="inlineStr">
        <is>
          <t>기본 문서관리 수요</t>
        </is>
      </c>
      <c r="AU196" s="17" t="inlineStr">
        <is>
          <t>담당자 파악 후 접촉</t>
        </is>
      </c>
      <c r="AV196" s="17" t="inlineStr">
        <is>
          <t>GMP적합판정+KRX</t>
        </is>
      </c>
      <c r="AW196" s="17" t="inlineStr">
        <is>
          <t>2026-07-05</t>
        </is>
      </c>
    </row>
    <row r="197">
      <c r="A197" s="17" t="inlineStr">
        <is>
          <t>C196</t>
        </is>
      </c>
      <c r="B197" s="17" t="inlineStr">
        <is>
          <t>마더스제약</t>
        </is>
      </c>
      <c r="C197" s="17" t="inlineStr">
        <is>
          <t>(주)마더스제약</t>
        </is>
      </c>
      <c r="D197" s="17" t="n">
        <v>2</v>
      </c>
      <c r="E197" s="17" t="n">
        <v>2</v>
      </c>
      <c r="F197" s="17" t="inlineStr">
        <is>
          <t>Y</t>
        </is>
      </c>
      <c r="G197" s="17" t="inlineStr"/>
      <c r="H197" s="17" t="inlineStr"/>
      <c r="I197" s="17" t="inlineStr"/>
      <c r="J197" s="24" t="n">
        <v>46871</v>
      </c>
      <c r="K197" s="17" t="inlineStr"/>
      <c r="L197" s="17" t="inlineStr"/>
      <c r="M197" s="17" t="inlineStr"/>
      <c r="N197" s="23" t="inlineStr"/>
      <c r="O197" s="17" t="inlineStr"/>
      <c r="P197" s="17" t="inlineStr"/>
      <c r="Q197" s="17" t="inlineStr">
        <is>
          <t>김좌진</t>
        </is>
      </c>
      <c r="R197" s="17" t="inlineStr"/>
      <c r="S197" s="17" t="inlineStr"/>
      <c r="T197" s="17" t="inlineStr">
        <is>
          <t>미확인</t>
        </is>
      </c>
      <c r="U197" s="17" t="inlineStr">
        <is>
          <t>미확인</t>
        </is>
      </c>
      <c r="V197" s="22" t="inlineStr">
        <is>
          <t>미확인</t>
        </is>
      </c>
      <c r="W197" s="22" t="inlineStr">
        <is>
          <t>미확인</t>
        </is>
      </c>
      <c r="X197" s="22" t="inlineStr">
        <is>
          <t>미확인</t>
        </is>
      </c>
      <c r="Y197" s="22" t="inlineStr">
        <is>
          <t>미확인</t>
        </is>
      </c>
      <c r="Z197" s="22" t="inlineStr">
        <is>
          <t>미확인</t>
        </is>
      </c>
      <c r="AA197" s="22" t="inlineStr">
        <is>
          <t>미확인</t>
        </is>
      </c>
      <c r="AB197" s="22" t="inlineStr">
        <is>
          <t>미확인</t>
        </is>
      </c>
      <c r="AC197" s="22" t="inlineStr">
        <is>
          <t>미확인</t>
        </is>
      </c>
      <c r="AD197" s="22" t="inlineStr">
        <is>
          <t>미확인</t>
        </is>
      </c>
      <c r="AE197" s="22" t="inlineStr">
        <is>
          <t>미확인</t>
        </is>
      </c>
      <c r="AF197" s="22" t="inlineStr">
        <is>
          <t>미확인</t>
        </is>
      </c>
      <c r="AG197" s="22" t="inlineStr">
        <is>
          <t>미확인</t>
        </is>
      </c>
      <c r="AH197" s="22" t="inlineStr">
        <is>
          <t>미확인</t>
        </is>
      </c>
      <c r="AI197" s="22" t="inlineStr">
        <is>
          <t>미확인</t>
        </is>
      </c>
      <c r="AJ197" s="22" t="inlineStr">
        <is>
          <t>미확인</t>
        </is>
      </c>
      <c r="AK197" s="22" t="inlineStr">
        <is>
          <t>미확인</t>
        </is>
      </c>
      <c r="AL197" s="22" t="inlineStr">
        <is>
          <t>미확인</t>
        </is>
      </c>
      <c r="AM197" s="22" t="inlineStr">
        <is>
          <t>미확인</t>
        </is>
      </c>
      <c r="AN197" s="22" t="inlineStr">
        <is>
          <t>미확인</t>
        </is>
      </c>
      <c r="AO197" s="17" t="inlineStr">
        <is>
          <t>C(부분확인)</t>
        </is>
      </c>
      <c r="AP197" s="17" t="inlineStr">
        <is>
          <t>Y</t>
        </is>
      </c>
      <c r="AQ197" s="17" t="n">
        <v>8</v>
      </c>
      <c r="AR197" s="28" t="inlineStr">
        <is>
          <t>Tier D</t>
        </is>
      </c>
      <c r="AS197" s="17" t="inlineStr">
        <is>
          <t>EDMS+QMS+LMS</t>
        </is>
      </c>
      <c r="AT197" s="17" t="inlineStr">
        <is>
          <t>다중 제조소/다수 판정서로 문서관리 복잡; 다중 제조소로 교육관리 대상 광범위</t>
        </is>
      </c>
      <c r="AU197" s="17" t="inlineStr">
        <is>
          <t>담당자 파악 후 접촉</t>
        </is>
      </c>
      <c r="AV197" s="17" t="inlineStr">
        <is>
          <t>GMP적합판정+KRX</t>
        </is>
      </c>
      <c r="AW197" s="17" t="inlineStr">
        <is>
          <t>2026-07-05</t>
        </is>
      </c>
    </row>
    <row r="198">
      <c r="A198" s="17" t="inlineStr">
        <is>
          <t>C197</t>
        </is>
      </c>
      <c r="B198" s="17" t="inlineStr">
        <is>
          <t>한국팜비오</t>
        </is>
      </c>
      <c r="C198" s="17" t="inlineStr">
        <is>
          <t>(주)한국팜비오</t>
        </is>
      </c>
      <c r="D198" s="17" t="n">
        <v>1</v>
      </c>
      <c r="E198" s="17" t="n">
        <v>1</v>
      </c>
      <c r="F198" s="17" t="inlineStr">
        <is>
          <t>Y</t>
        </is>
      </c>
      <c r="G198" s="17" t="inlineStr"/>
      <c r="H198" s="17" t="inlineStr">
        <is>
          <t>Y</t>
        </is>
      </c>
      <c r="I198" s="17" t="inlineStr"/>
      <c r="J198" s="24" t="n">
        <v>46898</v>
      </c>
      <c r="K198" s="17" t="inlineStr"/>
      <c r="L198" s="17" t="inlineStr"/>
      <c r="M198" s="17" t="inlineStr"/>
      <c r="N198" s="23" t="inlineStr"/>
      <c r="O198" s="17" t="inlineStr"/>
      <c r="P198" s="17" t="inlineStr"/>
      <c r="Q198" s="17" t="inlineStr">
        <is>
          <t>남봉길</t>
        </is>
      </c>
      <c r="R198" s="17" t="inlineStr"/>
      <c r="S198" s="17" t="inlineStr"/>
      <c r="T198" s="17" t="inlineStr">
        <is>
          <t>02-587-2551</t>
        </is>
      </c>
      <c r="U198" s="17" t="inlineStr">
        <is>
          <t>제조소상세</t>
        </is>
      </c>
      <c r="V198" s="22" t="inlineStr">
        <is>
          <t>미확인</t>
        </is>
      </c>
      <c r="W198" s="22" t="inlineStr">
        <is>
          <t>미확인</t>
        </is>
      </c>
      <c r="X198" s="22" t="inlineStr">
        <is>
          <t>미확인</t>
        </is>
      </c>
      <c r="Y198" s="22" t="inlineStr">
        <is>
          <t>미확인</t>
        </is>
      </c>
      <c r="Z198" s="22" t="inlineStr">
        <is>
          <t>미확인</t>
        </is>
      </c>
      <c r="AA198" s="22" t="inlineStr">
        <is>
          <t>미확인</t>
        </is>
      </c>
      <c r="AB198" s="22" t="inlineStr">
        <is>
          <t>미확인</t>
        </is>
      </c>
      <c r="AC198" s="22" t="inlineStr">
        <is>
          <t>미확인</t>
        </is>
      </c>
      <c r="AD198" s="22" t="inlineStr">
        <is>
          <t>미확인</t>
        </is>
      </c>
      <c r="AE198" s="22" t="inlineStr">
        <is>
          <t>미확인</t>
        </is>
      </c>
      <c r="AF198" s="22" t="inlineStr">
        <is>
          <t>미확인</t>
        </is>
      </c>
      <c r="AG198" s="22" t="inlineStr">
        <is>
          <t>미확인</t>
        </is>
      </c>
      <c r="AH198" s="22" t="inlineStr">
        <is>
          <t>미확인</t>
        </is>
      </c>
      <c r="AI198" s="22" t="inlineStr">
        <is>
          <t>미확인</t>
        </is>
      </c>
      <c r="AJ198" s="22" t="inlineStr">
        <is>
          <t>미확인</t>
        </is>
      </c>
      <c r="AK198" s="22" t="inlineStr">
        <is>
          <t>미확인</t>
        </is>
      </c>
      <c r="AL198" s="22" t="inlineStr">
        <is>
          <t>미확인</t>
        </is>
      </c>
      <c r="AM198" s="22" t="inlineStr">
        <is>
          <t>미확인</t>
        </is>
      </c>
      <c r="AN198" s="22" t="inlineStr">
        <is>
          <t>미확인</t>
        </is>
      </c>
      <c r="AO198" s="17" t="inlineStr">
        <is>
          <t>C(부분확인)</t>
        </is>
      </c>
      <c r="AP198" s="17" t="inlineStr">
        <is>
          <t>Y</t>
        </is>
      </c>
      <c r="AQ198" s="17" t="n">
        <v>12</v>
      </c>
      <c r="AR198" s="28" t="inlineStr">
        <is>
          <t>Tier D</t>
        </is>
      </c>
      <c r="AS198" s="17" t="inlineStr">
        <is>
          <t>QMS+LIMS</t>
        </is>
      </c>
      <c r="AT198" s="17" t="inlineStr">
        <is>
          <t>무균/바이오 제조로 품질관리 난도 높음</t>
        </is>
      </c>
      <c r="AU198" s="17" t="inlineStr">
        <is>
          <t>담당자 파악 후 접촉</t>
        </is>
      </c>
      <c r="AV198" s="17" t="inlineStr">
        <is>
          <t>GMP적합판정+KRX</t>
        </is>
      </c>
      <c r="AW198" s="17" t="inlineStr">
        <is>
          <t>2026-07-05</t>
        </is>
      </c>
    </row>
    <row r="199">
      <c r="A199" s="17" t="inlineStr">
        <is>
          <t>C198</t>
        </is>
      </c>
      <c r="B199" s="17" t="inlineStr">
        <is>
          <t>동구바이오제약</t>
        </is>
      </c>
      <c r="C199" s="17" t="inlineStr">
        <is>
          <t>(주)동구바이오제약</t>
        </is>
      </c>
      <c r="D199" s="17" t="n">
        <v>1</v>
      </c>
      <c r="E199" s="17" t="n">
        <v>1</v>
      </c>
      <c r="F199" s="17" t="inlineStr">
        <is>
          <t>Y</t>
        </is>
      </c>
      <c r="G199" s="17" t="inlineStr"/>
      <c r="H199" s="17" t="inlineStr"/>
      <c r="I199" s="17" t="inlineStr"/>
      <c r="J199" s="24" t="n">
        <v>46892</v>
      </c>
      <c r="K199" s="17" t="inlineStr"/>
      <c r="L199" s="17" t="inlineStr">
        <is>
          <t>Y</t>
        </is>
      </c>
      <c r="M199" s="17" t="inlineStr">
        <is>
          <t>코스닥</t>
        </is>
      </c>
      <c r="N199" s="23" t="inlineStr">
        <is>
          <t>006620</t>
        </is>
      </c>
      <c r="O199" s="17" t="inlineStr">
        <is>
          <t>의약품 제조업</t>
        </is>
      </c>
      <c r="P199" s="17" t="inlineStr">
        <is>
          <t>피부, 비뇨기과 완제의약품</t>
        </is>
      </c>
      <c r="Q199" s="17" t="inlineStr">
        <is>
          <t>조용준</t>
        </is>
      </c>
      <c r="R199" s="17" t="inlineStr">
        <is>
          <t>http://www.dongkoo.com</t>
        </is>
      </c>
      <c r="S199" s="17" t="inlineStr">
        <is>
          <t>서울특별시</t>
        </is>
      </c>
      <c r="T199" s="17" t="inlineStr">
        <is>
          <t>031-3535-4115</t>
        </is>
      </c>
      <c r="U199" s="17" t="inlineStr">
        <is>
          <t>제조소상세</t>
        </is>
      </c>
      <c r="V199" s="22" t="inlineStr">
        <is>
          <t>미확인</t>
        </is>
      </c>
      <c r="W199" s="22" t="inlineStr">
        <is>
          <t>미확인</t>
        </is>
      </c>
      <c r="X199" s="22" t="inlineStr">
        <is>
          <t>미확인</t>
        </is>
      </c>
      <c r="Y199" s="22" t="inlineStr">
        <is>
          <t>미확인</t>
        </is>
      </c>
      <c r="Z199" s="22" t="inlineStr">
        <is>
          <t>미확인</t>
        </is>
      </c>
      <c r="AA199" s="22" t="inlineStr">
        <is>
          <t>미확인</t>
        </is>
      </c>
      <c r="AB199" s="22" t="inlineStr">
        <is>
          <t>미확인</t>
        </is>
      </c>
      <c r="AC199" s="22" t="inlineStr">
        <is>
          <t>미확인</t>
        </is>
      </c>
      <c r="AD199" s="22" t="inlineStr">
        <is>
          <t>미확인</t>
        </is>
      </c>
      <c r="AE199" s="22" t="inlineStr">
        <is>
          <t>미확인</t>
        </is>
      </c>
      <c r="AF199" s="22" t="inlineStr">
        <is>
          <t>미확인</t>
        </is>
      </c>
      <c r="AG199" s="22" t="inlineStr">
        <is>
          <t>미확인</t>
        </is>
      </c>
      <c r="AH199" s="22" t="inlineStr">
        <is>
          <t>미확인</t>
        </is>
      </c>
      <c r="AI199" s="22" t="inlineStr">
        <is>
          <t>미확인</t>
        </is>
      </c>
      <c r="AJ199" s="22" t="inlineStr">
        <is>
          <t>미확인</t>
        </is>
      </c>
      <c r="AK199" s="22" t="inlineStr">
        <is>
          <t>미확인</t>
        </is>
      </c>
      <c r="AL199" s="22" t="inlineStr">
        <is>
          <t>미확인</t>
        </is>
      </c>
      <c r="AM199" s="22" t="inlineStr">
        <is>
          <t>미확인</t>
        </is>
      </c>
      <c r="AN199" s="22" t="inlineStr">
        <is>
          <t>미확인</t>
        </is>
      </c>
      <c r="AO199" s="17" t="inlineStr">
        <is>
          <t>C(부분확인)</t>
        </is>
      </c>
      <c r="AP199" s="17" t="inlineStr">
        <is>
          <t>Y</t>
        </is>
      </c>
      <c r="AQ199" s="17" t="n">
        <v>7</v>
      </c>
      <c r="AR199" s="28" t="inlineStr">
        <is>
          <t>Tier D</t>
        </is>
      </c>
      <c r="AS199" s="17" t="inlineStr">
        <is>
          <t>EDMS</t>
        </is>
      </c>
      <c r="AT199" s="17" t="inlineStr">
        <is>
          <t>기본 문서관리 수요</t>
        </is>
      </c>
      <c r="AU199" s="17" t="inlineStr">
        <is>
          <t>담당자 파악 후 접촉</t>
        </is>
      </c>
      <c r="AV199" s="17" t="inlineStr">
        <is>
          <t>GMP적합판정+KRX</t>
        </is>
      </c>
      <c r="AW199" s="17" t="inlineStr">
        <is>
          <t>2026-07-05</t>
        </is>
      </c>
    </row>
    <row r="200">
      <c r="A200" s="17" t="inlineStr">
        <is>
          <t>C199</t>
        </is>
      </c>
      <c r="B200" s="17" t="inlineStr">
        <is>
          <t>에스케이케미칼</t>
        </is>
      </c>
      <c r="C200" s="17" t="inlineStr">
        <is>
          <t>에스케이케미칼(주)</t>
        </is>
      </c>
      <c r="D200" s="17" t="n">
        <v>2</v>
      </c>
      <c r="E200" s="17" t="n">
        <v>1</v>
      </c>
      <c r="F200" s="17" t="inlineStr">
        <is>
          <t>Y</t>
        </is>
      </c>
      <c r="G200" s="17" t="inlineStr">
        <is>
          <t>Y</t>
        </is>
      </c>
      <c r="H200" s="17" t="inlineStr"/>
      <c r="I200" s="17" t="inlineStr"/>
      <c r="J200" s="24" t="n">
        <v>46891</v>
      </c>
      <c r="K200" s="17" t="inlineStr"/>
      <c r="L200" s="17" t="inlineStr"/>
      <c r="M200" s="17" t="inlineStr"/>
      <c r="N200" s="23" t="inlineStr"/>
      <c r="O200" s="17" t="inlineStr"/>
      <c r="P200" s="17" t="inlineStr"/>
      <c r="Q200" s="17" t="inlineStr">
        <is>
          <t>안재현</t>
        </is>
      </c>
      <c r="R200" s="17" t="inlineStr"/>
      <c r="S200" s="17" t="inlineStr"/>
      <c r="T200" s="17" t="inlineStr">
        <is>
          <t>미확인</t>
        </is>
      </c>
      <c r="U200" s="17" t="inlineStr">
        <is>
          <t>미확인</t>
        </is>
      </c>
      <c r="V200" s="22" t="inlineStr">
        <is>
          <t>미확인</t>
        </is>
      </c>
      <c r="W200" s="22" t="inlineStr">
        <is>
          <t>미확인</t>
        </is>
      </c>
      <c r="X200" s="22" t="inlineStr">
        <is>
          <t>미확인</t>
        </is>
      </c>
      <c r="Y200" s="22" t="inlineStr">
        <is>
          <t>미확인</t>
        </is>
      </c>
      <c r="Z200" s="22" t="inlineStr">
        <is>
          <t>미확인</t>
        </is>
      </c>
      <c r="AA200" s="22" t="inlineStr">
        <is>
          <t>미확인</t>
        </is>
      </c>
      <c r="AB200" s="22" t="inlineStr">
        <is>
          <t>미확인</t>
        </is>
      </c>
      <c r="AC200" s="22" t="inlineStr">
        <is>
          <t>미확인</t>
        </is>
      </c>
      <c r="AD200" s="22" t="inlineStr">
        <is>
          <t>미확인</t>
        </is>
      </c>
      <c r="AE200" s="22" t="inlineStr">
        <is>
          <t>미확인</t>
        </is>
      </c>
      <c r="AF200" s="22" t="inlineStr">
        <is>
          <t>미확인</t>
        </is>
      </c>
      <c r="AG200" s="22" t="inlineStr">
        <is>
          <t>미확인</t>
        </is>
      </c>
      <c r="AH200" s="22" t="inlineStr">
        <is>
          <t>미확인</t>
        </is>
      </c>
      <c r="AI200" s="22" t="inlineStr">
        <is>
          <t>미확인</t>
        </is>
      </c>
      <c r="AJ200" s="22" t="inlineStr">
        <is>
          <t>미확인</t>
        </is>
      </c>
      <c r="AK200" s="22" t="inlineStr">
        <is>
          <t>미확인</t>
        </is>
      </c>
      <c r="AL200" s="22" t="inlineStr">
        <is>
          <t>미확인</t>
        </is>
      </c>
      <c r="AM200" s="22" t="inlineStr">
        <is>
          <t>미확인</t>
        </is>
      </c>
      <c r="AN200" s="22" t="inlineStr">
        <is>
          <t>미확인</t>
        </is>
      </c>
      <c r="AO200" s="17" t="inlineStr">
        <is>
          <t>C(부분확인)</t>
        </is>
      </c>
      <c r="AP200" s="17" t="inlineStr">
        <is>
          <t>Y</t>
        </is>
      </c>
      <c r="AQ200" s="17" t="n">
        <v>4</v>
      </c>
      <c r="AR200" s="28" t="inlineStr">
        <is>
          <t>Tier D</t>
        </is>
      </c>
      <c r="AS200" s="17" t="inlineStr">
        <is>
          <t>LIMS</t>
        </is>
      </c>
      <c r="AT200" s="17" t="inlineStr">
        <is>
          <t>원료 제조로 시험실 관리 필요</t>
        </is>
      </c>
      <c r="AU200" s="17" t="inlineStr">
        <is>
          <t>담당자 파악 후 접촉</t>
        </is>
      </c>
      <c r="AV200" s="17" t="inlineStr">
        <is>
          <t>GMP적합판정+KRX</t>
        </is>
      </c>
      <c r="AW200" s="17" t="inlineStr">
        <is>
          <t>2026-07-05</t>
        </is>
      </c>
    </row>
    <row r="201">
      <c r="A201" s="17" t="inlineStr">
        <is>
          <t>C200</t>
        </is>
      </c>
      <c r="B201" s="17" t="inlineStr">
        <is>
          <t>새한가스공업</t>
        </is>
      </c>
      <c r="C201" s="17" t="inlineStr">
        <is>
          <t>새한가스공업</t>
        </is>
      </c>
      <c r="D201" s="17" t="n">
        <v>1</v>
      </c>
      <c r="E201" s="17" t="n">
        <v>1</v>
      </c>
      <c r="F201" s="17" t="inlineStr">
        <is>
          <t>Y</t>
        </is>
      </c>
      <c r="G201" s="17" t="inlineStr"/>
      <c r="H201" s="17" t="inlineStr"/>
      <c r="I201" s="17" t="inlineStr"/>
      <c r="J201" s="24" t="n">
        <v>46891</v>
      </c>
      <c r="K201" s="17" t="inlineStr"/>
      <c r="L201" s="17" t="inlineStr"/>
      <c r="M201" s="17" t="inlineStr"/>
      <c r="N201" s="23" t="inlineStr"/>
      <c r="O201" s="17" t="inlineStr"/>
      <c r="P201" s="17" t="inlineStr"/>
      <c r="Q201" s="17" t="inlineStr">
        <is>
          <t>이성학</t>
        </is>
      </c>
      <c r="R201" s="17" t="inlineStr"/>
      <c r="S201" s="17" t="inlineStr"/>
      <c r="T201" s="17" t="inlineStr">
        <is>
          <t>064-755-2827</t>
        </is>
      </c>
      <c r="U201" s="17" t="inlineStr">
        <is>
          <t>제조소상세</t>
        </is>
      </c>
      <c r="V201" s="22" t="inlineStr">
        <is>
          <t>미확인</t>
        </is>
      </c>
      <c r="W201" s="22" t="inlineStr">
        <is>
          <t>미확인</t>
        </is>
      </c>
      <c r="X201" s="22" t="inlineStr">
        <is>
          <t>미확인</t>
        </is>
      </c>
      <c r="Y201" s="22" t="inlineStr">
        <is>
          <t>미확인</t>
        </is>
      </c>
      <c r="Z201" s="22" t="inlineStr">
        <is>
          <t>미확인</t>
        </is>
      </c>
      <c r="AA201" s="22" t="inlineStr">
        <is>
          <t>미확인</t>
        </is>
      </c>
      <c r="AB201" s="22" t="inlineStr">
        <is>
          <t>미확인</t>
        </is>
      </c>
      <c r="AC201" s="22" t="inlineStr">
        <is>
          <t>미확인</t>
        </is>
      </c>
      <c r="AD201" s="22" t="inlineStr">
        <is>
          <t>미확인</t>
        </is>
      </c>
      <c r="AE201" s="22" t="inlineStr">
        <is>
          <t>미확인</t>
        </is>
      </c>
      <c r="AF201" s="22" t="inlineStr">
        <is>
          <t>미확인</t>
        </is>
      </c>
      <c r="AG201" s="22" t="inlineStr">
        <is>
          <t>미확인</t>
        </is>
      </c>
      <c r="AH201" s="22" t="inlineStr">
        <is>
          <t>미확인</t>
        </is>
      </c>
      <c r="AI201" s="22" t="inlineStr">
        <is>
          <t>미확인</t>
        </is>
      </c>
      <c r="AJ201" s="22" t="inlineStr">
        <is>
          <t>미확인</t>
        </is>
      </c>
      <c r="AK201" s="22" t="inlineStr">
        <is>
          <t>미확인</t>
        </is>
      </c>
      <c r="AL201" s="22" t="inlineStr">
        <is>
          <t>미확인</t>
        </is>
      </c>
      <c r="AM201" s="22" t="inlineStr">
        <is>
          <t>미확인</t>
        </is>
      </c>
      <c r="AN201" s="22" t="inlineStr">
        <is>
          <t>미확인</t>
        </is>
      </c>
      <c r="AO201" s="17" t="inlineStr">
        <is>
          <t>C(부분확인)</t>
        </is>
      </c>
      <c r="AP201" s="17" t="inlineStr">
        <is>
          <t>Y</t>
        </is>
      </c>
      <c r="AQ201" s="17" t="n">
        <v>4</v>
      </c>
      <c r="AR201" s="28" t="inlineStr">
        <is>
          <t>Tier D</t>
        </is>
      </c>
      <c r="AS201" s="17" t="inlineStr">
        <is>
          <t>EDMS</t>
        </is>
      </c>
      <c r="AT201" s="17" t="inlineStr">
        <is>
          <t>기본 문서관리 수요</t>
        </is>
      </c>
      <c r="AU201" s="17" t="inlineStr">
        <is>
          <t>담당자 파악 후 접촉</t>
        </is>
      </c>
      <c r="AV201" s="17" t="inlineStr">
        <is>
          <t>GMP적합판정+KRX</t>
        </is>
      </c>
      <c r="AW201" s="17" t="inlineStr">
        <is>
          <t>2026-07-05</t>
        </is>
      </c>
    </row>
    <row r="202">
      <c r="A202" s="17" t="inlineStr">
        <is>
          <t>C201</t>
        </is>
      </c>
      <c r="B202" s="17" t="inlineStr">
        <is>
          <t>대동가스텍</t>
        </is>
      </c>
      <c r="C202" s="17" t="inlineStr">
        <is>
          <t>(주)대동가스텍</t>
        </is>
      </c>
      <c r="D202" s="17" t="n">
        <v>1</v>
      </c>
      <c r="E202" s="17" t="n">
        <v>1</v>
      </c>
      <c r="F202" s="17" t="inlineStr">
        <is>
          <t>Y</t>
        </is>
      </c>
      <c r="G202" s="17" t="inlineStr"/>
      <c r="H202" s="17" t="inlineStr"/>
      <c r="I202" s="17" t="inlineStr"/>
      <c r="J202" s="24" t="n">
        <v>46891</v>
      </c>
      <c r="K202" s="17" t="inlineStr"/>
      <c r="L202" s="17" t="inlineStr"/>
      <c r="M202" s="17" t="inlineStr"/>
      <c r="N202" s="23" t="inlineStr"/>
      <c r="O202" s="17" t="inlineStr"/>
      <c r="P202" s="17" t="inlineStr"/>
      <c r="Q202" s="17" t="inlineStr">
        <is>
          <t>김재춘</t>
        </is>
      </c>
      <c r="R202" s="17" t="inlineStr"/>
      <c r="S202" s="17" t="inlineStr"/>
      <c r="T202" s="17" t="inlineStr">
        <is>
          <t>053-856-5142</t>
        </is>
      </c>
      <c r="U202" s="17" t="inlineStr">
        <is>
          <t>제조소상세</t>
        </is>
      </c>
      <c r="V202" s="22" t="inlineStr">
        <is>
          <t>미확인</t>
        </is>
      </c>
      <c r="W202" s="22" t="inlineStr">
        <is>
          <t>미확인</t>
        </is>
      </c>
      <c r="X202" s="22" t="inlineStr">
        <is>
          <t>미확인</t>
        </is>
      </c>
      <c r="Y202" s="22" t="inlineStr">
        <is>
          <t>미확인</t>
        </is>
      </c>
      <c r="Z202" s="22" t="inlineStr">
        <is>
          <t>미확인</t>
        </is>
      </c>
      <c r="AA202" s="22" t="inlineStr">
        <is>
          <t>미확인</t>
        </is>
      </c>
      <c r="AB202" s="22" t="inlineStr">
        <is>
          <t>미확인</t>
        </is>
      </c>
      <c r="AC202" s="22" t="inlineStr">
        <is>
          <t>미확인</t>
        </is>
      </c>
      <c r="AD202" s="22" t="inlineStr">
        <is>
          <t>미확인</t>
        </is>
      </c>
      <c r="AE202" s="22" t="inlineStr">
        <is>
          <t>미확인</t>
        </is>
      </c>
      <c r="AF202" s="22" t="inlineStr">
        <is>
          <t>미확인</t>
        </is>
      </c>
      <c r="AG202" s="22" t="inlineStr">
        <is>
          <t>미확인</t>
        </is>
      </c>
      <c r="AH202" s="22" t="inlineStr">
        <is>
          <t>미확인</t>
        </is>
      </c>
      <c r="AI202" s="22" t="inlineStr">
        <is>
          <t>미확인</t>
        </is>
      </c>
      <c r="AJ202" s="22" t="inlineStr">
        <is>
          <t>미확인</t>
        </is>
      </c>
      <c r="AK202" s="22" t="inlineStr">
        <is>
          <t>미확인</t>
        </is>
      </c>
      <c r="AL202" s="22" t="inlineStr">
        <is>
          <t>미확인</t>
        </is>
      </c>
      <c r="AM202" s="22" t="inlineStr">
        <is>
          <t>미확인</t>
        </is>
      </c>
      <c r="AN202" s="22" t="inlineStr">
        <is>
          <t>미확인</t>
        </is>
      </c>
      <c r="AO202" s="17" t="inlineStr">
        <is>
          <t>C(부분확인)</t>
        </is>
      </c>
      <c r="AP202" s="17" t="inlineStr">
        <is>
          <t>Y</t>
        </is>
      </c>
      <c r="AQ202" s="17" t="n">
        <v>4</v>
      </c>
      <c r="AR202" s="28" t="inlineStr">
        <is>
          <t>Tier D</t>
        </is>
      </c>
      <c r="AS202" s="17" t="inlineStr">
        <is>
          <t>EDMS</t>
        </is>
      </c>
      <c r="AT202" s="17" t="inlineStr">
        <is>
          <t>기본 문서관리 수요</t>
        </is>
      </c>
      <c r="AU202" s="17" t="inlineStr">
        <is>
          <t>담당자 파악 후 접촉</t>
        </is>
      </c>
      <c r="AV202" s="17" t="inlineStr">
        <is>
          <t>GMP적합판정+KRX</t>
        </is>
      </c>
      <c r="AW202" s="17" t="inlineStr">
        <is>
          <t>2026-07-05</t>
        </is>
      </c>
    </row>
    <row r="203">
      <c r="A203" s="17" t="inlineStr">
        <is>
          <t>C202</t>
        </is>
      </c>
      <c r="B203" s="17" t="inlineStr">
        <is>
          <t>에어퍼스트</t>
        </is>
      </c>
      <c r="C203" s="17" t="inlineStr">
        <is>
          <t>(주)에어퍼스트</t>
        </is>
      </c>
      <c r="D203" s="17" t="n">
        <v>2</v>
      </c>
      <c r="E203" s="17" t="n">
        <v>2</v>
      </c>
      <c r="F203" s="17" t="inlineStr">
        <is>
          <t>Y</t>
        </is>
      </c>
      <c r="G203" s="17" t="inlineStr"/>
      <c r="H203" s="17" t="inlineStr"/>
      <c r="I203" s="17" t="inlineStr"/>
      <c r="J203" s="24" t="n">
        <v>46708</v>
      </c>
      <c r="K203" s="17" t="inlineStr"/>
      <c r="L203" s="17" t="inlineStr"/>
      <c r="M203" s="17" t="inlineStr"/>
      <c r="N203" s="23" t="inlineStr"/>
      <c r="O203" s="17" t="inlineStr"/>
      <c r="P203" s="17" t="inlineStr"/>
      <c r="Q203" s="17" t="inlineStr">
        <is>
          <t>양한용</t>
        </is>
      </c>
      <c r="R203" s="17" t="inlineStr"/>
      <c r="S203" s="17" t="inlineStr"/>
      <c r="T203" s="17" t="inlineStr">
        <is>
          <t>02-780-9331</t>
        </is>
      </c>
      <c r="U203" s="17" t="inlineStr">
        <is>
          <t>제조소상세</t>
        </is>
      </c>
      <c r="V203" s="22" t="inlineStr">
        <is>
          <t>미확인</t>
        </is>
      </c>
      <c r="W203" s="22" t="inlineStr">
        <is>
          <t>미확인</t>
        </is>
      </c>
      <c r="X203" s="22" t="inlineStr">
        <is>
          <t>미확인</t>
        </is>
      </c>
      <c r="Y203" s="22" t="inlineStr">
        <is>
          <t>미확인</t>
        </is>
      </c>
      <c r="Z203" s="22" t="inlineStr">
        <is>
          <t>미확인</t>
        </is>
      </c>
      <c r="AA203" s="22" t="inlineStr">
        <is>
          <t>미확인</t>
        </is>
      </c>
      <c r="AB203" s="22" t="inlineStr">
        <is>
          <t>미확인</t>
        </is>
      </c>
      <c r="AC203" s="22" t="inlineStr">
        <is>
          <t>미확인</t>
        </is>
      </c>
      <c r="AD203" s="22" t="inlineStr">
        <is>
          <t>미확인</t>
        </is>
      </c>
      <c r="AE203" s="22" t="inlineStr">
        <is>
          <t>미확인</t>
        </is>
      </c>
      <c r="AF203" s="22" t="inlineStr">
        <is>
          <t>미확인</t>
        </is>
      </c>
      <c r="AG203" s="22" t="inlineStr">
        <is>
          <t>미확인</t>
        </is>
      </c>
      <c r="AH203" s="22" t="inlineStr">
        <is>
          <t>미확인</t>
        </is>
      </c>
      <c r="AI203" s="22" t="inlineStr">
        <is>
          <t>미확인</t>
        </is>
      </c>
      <c r="AJ203" s="22" t="inlineStr">
        <is>
          <t>미확인</t>
        </is>
      </c>
      <c r="AK203" s="22" t="inlineStr">
        <is>
          <t>미확인</t>
        </is>
      </c>
      <c r="AL203" s="22" t="inlineStr">
        <is>
          <t>미확인</t>
        </is>
      </c>
      <c r="AM203" s="22" t="inlineStr">
        <is>
          <t>미확인</t>
        </is>
      </c>
      <c r="AN203" s="22" t="inlineStr">
        <is>
          <t>미확인</t>
        </is>
      </c>
      <c r="AO203" s="17" t="inlineStr">
        <is>
          <t>C(부분확인)</t>
        </is>
      </c>
      <c r="AP203" s="17" t="inlineStr">
        <is>
          <t>Y</t>
        </is>
      </c>
      <c r="AQ203" s="17" t="n">
        <v>8</v>
      </c>
      <c r="AR203" s="28" t="inlineStr">
        <is>
          <t>Tier D</t>
        </is>
      </c>
      <c r="AS203" s="17" t="inlineStr">
        <is>
          <t>EDMS+QMS+LMS</t>
        </is>
      </c>
      <c r="AT203" s="17" t="inlineStr">
        <is>
          <t>다중 제조소/다수 판정서로 문서관리 복잡; 다중 제조소로 교육관리 대상 광범위</t>
        </is>
      </c>
      <c r="AU203" s="17" t="inlineStr">
        <is>
          <t>담당자 파악 후 접촉</t>
        </is>
      </c>
      <c r="AV203" s="17" t="inlineStr">
        <is>
          <t>GMP적합판정+KRX</t>
        </is>
      </c>
      <c r="AW203" s="17" t="inlineStr">
        <is>
          <t>2026-07-05</t>
        </is>
      </c>
    </row>
    <row r="204">
      <c r="A204" s="17" t="inlineStr">
        <is>
          <t>C203</t>
        </is>
      </c>
      <c r="B204" s="17" t="inlineStr">
        <is>
          <t>안국뉴팜</t>
        </is>
      </c>
      <c r="C204" s="17" t="inlineStr">
        <is>
          <t>안국뉴팜(주)</t>
        </is>
      </c>
      <c r="D204" s="17" t="n">
        <v>1</v>
      </c>
      <c r="E204" s="17" t="n">
        <v>1</v>
      </c>
      <c r="F204" s="17" t="inlineStr">
        <is>
          <t>Y</t>
        </is>
      </c>
      <c r="G204" s="17" t="inlineStr"/>
      <c r="H204" s="17" t="inlineStr"/>
      <c r="I204" s="17" t="inlineStr"/>
      <c r="J204" s="24" t="n">
        <v>46890</v>
      </c>
      <c r="K204" s="17" t="inlineStr"/>
      <c r="L204" s="17" t="inlineStr"/>
      <c r="M204" s="17" t="inlineStr"/>
      <c r="N204" s="23" t="inlineStr"/>
      <c r="O204" s="17" t="inlineStr"/>
      <c r="P204" s="17" t="inlineStr"/>
      <c r="Q204" s="17" t="inlineStr">
        <is>
          <t>김도경</t>
        </is>
      </c>
      <c r="R204" s="17" t="inlineStr"/>
      <c r="S204" s="17" t="inlineStr"/>
      <c r="T204" s="17" t="inlineStr">
        <is>
          <t>미확인</t>
        </is>
      </c>
      <c r="U204" s="17" t="inlineStr">
        <is>
          <t>미확인</t>
        </is>
      </c>
      <c r="V204" s="22" t="inlineStr">
        <is>
          <t>미확인</t>
        </is>
      </c>
      <c r="W204" s="22" t="inlineStr">
        <is>
          <t>미확인</t>
        </is>
      </c>
      <c r="X204" s="22" t="inlineStr">
        <is>
          <t>미확인</t>
        </is>
      </c>
      <c r="Y204" s="22" t="inlineStr">
        <is>
          <t>미확인</t>
        </is>
      </c>
      <c r="Z204" s="22" t="inlineStr">
        <is>
          <t>미확인</t>
        </is>
      </c>
      <c r="AA204" s="22" t="inlineStr">
        <is>
          <t>미확인</t>
        </is>
      </c>
      <c r="AB204" s="22" t="inlineStr">
        <is>
          <t>미확인</t>
        </is>
      </c>
      <c r="AC204" s="22" t="inlineStr">
        <is>
          <t>미확인</t>
        </is>
      </c>
      <c r="AD204" s="22" t="inlineStr">
        <is>
          <t>미확인</t>
        </is>
      </c>
      <c r="AE204" s="22" t="inlineStr">
        <is>
          <t>미확인</t>
        </is>
      </c>
      <c r="AF204" s="22" t="inlineStr">
        <is>
          <t>미확인</t>
        </is>
      </c>
      <c r="AG204" s="22" t="inlineStr">
        <is>
          <t>미확인</t>
        </is>
      </c>
      <c r="AH204" s="22" t="inlineStr">
        <is>
          <t>미확인</t>
        </is>
      </c>
      <c r="AI204" s="22" t="inlineStr">
        <is>
          <t>미확인</t>
        </is>
      </c>
      <c r="AJ204" s="22" t="inlineStr">
        <is>
          <t>미확인</t>
        </is>
      </c>
      <c r="AK204" s="22" t="inlineStr">
        <is>
          <t>미확인</t>
        </is>
      </c>
      <c r="AL204" s="22" t="inlineStr">
        <is>
          <t>미확인</t>
        </is>
      </c>
      <c r="AM204" s="22" t="inlineStr">
        <is>
          <t>미확인</t>
        </is>
      </c>
      <c r="AN204" s="22" t="inlineStr">
        <is>
          <t>미확인</t>
        </is>
      </c>
      <c r="AO204" s="17" t="inlineStr">
        <is>
          <t>C(부분확인)</t>
        </is>
      </c>
      <c r="AP204" s="17" t="inlineStr">
        <is>
          <t>Y</t>
        </is>
      </c>
      <c r="AQ204" s="17" t="n">
        <v>4</v>
      </c>
      <c r="AR204" s="28" t="inlineStr">
        <is>
          <t>Tier D</t>
        </is>
      </c>
      <c r="AS204" s="17" t="inlineStr">
        <is>
          <t>EDMS</t>
        </is>
      </c>
      <c r="AT204" s="17" t="inlineStr">
        <is>
          <t>기본 문서관리 수요</t>
        </is>
      </c>
      <c r="AU204" s="17" t="inlineStr">
        <is>
          <t>담당자 파악 후 접촉</t>
        </is>
      </c>
      <c r="AV204" s="17" t="inlineStr">
        <is>
          <t>GMP적합판정+KRX</t>
        </is>
      </c>
      <c r="AW204" s="17" t="inlineStr">
        <is>
          <t>2026-07-05</t>
        </is>
      </c>
    </row>
    <row r="205">
      <c r="A205" s="17" t="inlineStr">
        <is>
          <t>C204</t>
        </is>
      </c>
      <c r="B205" s="17" t="inlineStr">
        <is>
          <t>제주종합가스</t>
        </is>
      </c>
      <c r="C205" s="17" t="inlineStr">
        <is>
          <t>제주종합가스(주)</t>
        </is>
      </c>
      <c r="D205" s="17" t="n">
        <v>1</v>
      </c>
      <c r="E205" s="17" t="n">
        <v>1</v>
      </c>
      <c r="F205" s="17" t="inlineStr">
        <is>
          <t>Y</t>
        </is>
      </c>
      <c r="G205" s="17" t="inlineStr"/>
      <c r="H205" s="17" t="inlineStr"/>
      <c r="I205" s="17" t="inlineStr"/>
      <c r="J205" s="24" t="n">
        <v>46889</v>
      </c>
      <c r="K205" s="17" t="inlineStr"/>
      <c r="L205" s="17" t="inlineStr"/>
      <c r="M205" s="17" t="inlineStr"/>
      <c r="N205" s="23" t="inlineStr"/>
      <c r="O205" s="17" t="inlineStr"/>
      <c r="P205" s="17" t="inlineStr"/>
      <c r="Q205" s="17" t="inlineStr">
        <is>
          <t>박준걸</t>
        </is>
      </c>
      <c r="R205" s="17" t="inlineStr"/>
      <c r="S205" s="17" t="inlineStr"/>
      <c r="T205" s="17" t="inlineStr">
        <is>
          <t>미확인</t>
        </is>
      </c>
      <c r="U205" s="17" t="inlineStr">
        <is>
          <t>미확인</t>
        </is>
      </c>
      <c r="V205" s="22" t="inlineStr">
        <is>
          <t>미확인</t>
        </is>
      </c>
      <c r="W205" s="22" t="inlineStr">
        <is>
          <t>미확인</t>
        </is>
      </c>
      <c r="X205" s="22" t="inlineStr">
        <is>
          <t>미확인</t>
        </is>
      </c>
      <c r="Y205" s="22" t="inlineStr">
        <is>
          <t>미확인</t>
        </is>
      </c>
      <c r="Z205" s="22" t="inlineStr">
        <is>
          <t>미확인</t>
        </is>
      </c>
      <c r="AA205" s="22" t="inlineStr">
        <is>
          <t>미확인</t>
        </is>
      </c>
      <c r="AB205" s="22" t="inlineStr">
        <is>
          <t>미확인</t>
        </is>
      </c>
      <c r="AC205" s="22" t="inlineStr">
        <is>
          <t>미확인</t>
        </is>
      </c>
      <c r="AD205" s="22" t="inlineStr">
        <is>
          <t>미확인</t>
        </is>
      </c>
      <c r="AE205" s="22" t="inlineStr">
        <is>
          <t>미확인</t>
        </is>
      </c>
      <c r="AF205" s="22" t="inlineStr">
        <is>
          <t>미확인</t>
        </is>
      </c>
      <c r="AG205" s="22" t="inlineStr">
        <is>
          <t>미확인</t>
        </is>
      </c>
      <c r="AH205" s="22" t="inlineStr">
        <is>
          <t>미확인</t>
        </is>
      </c>
      <c r="AI205" s="22" t="inlineStr">
        <is>
          <t>미확인</t>
        </is>
      </c>
      <c r="AJ205" s="22" t="inlineStr">
        <is>
          <t>미확인</t>
        </is>
      </c>
      <c r="AK205" s="22" t="inlineStr">
        <is>
          <t>미확인</t>
        </is>
      </c>
      <c r="AL205" s="22" t="inlineStr">
        <is>
          <t>미확인</t>
        </is>
      </c>
      <c r="AM205" s="22" t="inlineStr">
        <is>
          <t>미확인</t>
        </is>
      </c>
      <c r="AN205" s="22" t="inlineStr">
        <is>
          <t>미확인</t>
        </is>
      </c>
      <c r="AO205" s="17" t="inlineStr">
        <is>
          <t>C(부분확인)</t>
        </is>
      </c>
      <c r="AP205" s="17" t="inlineStr">
        <is>
          <t>Y</t>
        </is>
      </c>
      <c r="AQ205" s="17" t="n">
        <v>4</v>
      </c>
      <c r="AR205" s="28" t="inlineStr">
        <is>
          <t>Tier D</t>
        </is>
      </c>
      <c r="AS205" s="17" t="inlineStr">
        <is>
          <t>EDMS</t>
        </is>
      </c>
      <c r="AT205" s="17" t="inlineStr">
        <is>
          <t>기본 문서관리 수요</t>
        </is>
      </c>
      <c r="AU205" s="17" t="inlineStr">
        <is>
          <t>담당자 파악 후 접촉</t>
        </is>
      </c>
      <c r="AV205" s="17" t="inlineStr">
        <is>
          <t>GMP적합판정+KRX</t>
        </is>
      </c>
      <c r="AW205" s="17" t="inlineStr">
        <is>
          <t>2026-07-05</t>
        </is>
      </c>
    </row>
    <row r="206">
      <c r="A206" s="17" t="inlineStr">
        <is>
          <t>C205</t>
        </is>
      </c>
      <c r="B206" s="17" t="inlineStr">
        <is>
          <t>천우신약</t>
        </is>
      </c>
      <c r="C206" s="17" t="inlineStr">
        <is>
          <t>천우신약(주)</t>
        </is>
      </c>
      <c r="D206" s="17" t="n">
        <v>1</v>
      </c>
      <c r="E206" s="17" t="n">
        <v>1</v>
      </c>
      <c r="F206" s="17" t="inlineStr">
        <is>
          <t>Y</t>
        </is>
      </c>
      <c r="G206" s="17" t="inlineStr"/>
      <c r="H206" s="17" t="inlineStr"/>
      <c r="I206" s="17" t="inlineStr"/>
      <c r="J206" s="24" t="n">
        <v>46885</v>
      </c>
      <c r="K206" s="17" t="inlineStr"/>
      <c r="L206" s="17" t="inlineStr"/>
      <c r="M206" s="17" t="inlineStr"/>
      <c r="N206" s="23" t="inlineStr"/>
      <c r="O206" s="17" t="inlineStr"/>
      <c r="P206" s="17" t="inlineStr"/>
      <c r="Q206" s="17" t="inlineStr">
        <is>
          <t>유성준</t>
        </is>
      </c>
      <c r="R206" s="17" t="inlineStr"/>
      <c r="S206" s="17" t="inlineStr"/>
      <c r="T206" s="17" t="inlineStr">
        <is>
          <t>070-4618-5862</t>
        </is>
      </c>
      <c r="U206" s="17" t="inlineStr">
        <is>
          <t>제조소상세</t>
        </is>
      </c>
      <c r="V206" s="22" t="inlineStr">
        <is>
          <t>미확인</t>
        </is>
      </c>
      <c r="W206" s="22" t="inlineStr">
        <is>
          <t>미확인</t>
        </is>
      </c>
      <c r="X206" s="22" t="inlineStr">
        <is>
          <t>미확인</t>
        </is>
      </c>
      <c r="Y206" s="22" t="inlineStr">
        <is>
          <t>미확인</t>
        </is>
      </c>
      <c r="Z206" s="22" t="inlineStr">
        <is>
          <t>미확인</t>
        </is>
      </c>
      <c r="AA206" s="22" t="inlineStr">
        <is>
          <t>미확인</t>
        </is>
      </c>
      <c r="AB206" s="22" t="inlineStr">
        <is>
          <t>미확인</t>
        </is>
      </c>
      <c r="AC206" s="22" t="inlineStr">
        <is>
          <t>미확인</t>
        </is>
      </c>
      <c r="AD206" s="22" t="inlineStr">
        <is>
          <t>미확인</t>
        </is>
      </c>
      <c r="AE206" s="22" t="inlineStr">
        <is>
          <t>미확인</t>
        </is>
      </c>
      <c r="AF206" s="22" t="inlineStr">
        <is>
          <t>미확인</t>
        </is>
      </c>
      <c r="AG206" s="22" t="inlineStr">
        <is>
          <t>미확인</t>
        </is>
      </c>
      <c r="AH206" s="22" t="inlineStr">
        <is>
          <t>미확인</t>
        </is>
      </c>
      <c r="AI206" s="22" t="inlineStr">
        <is>
          <t>미확인</t>
        </is>
      </c>
      <c r="AJ206" s="22" t="inlineStr">
        <is>
          <t>미확인</t>
        </is>
      </c>
      <c r="AK206" s="22" t="inlineStr">
        <is>
          <t>미확인</t>
        </is>
      </c>
      <c r="AL206" s="22" t="inlineStr">
        <is>
          <t>미확인</t>
        </is>
      </c>
      <c r="AM206" s="22" t="inlineStr">
        <is>
          <t>미확인</t>
        </is>
      </c>
      <c r="AN206" s="22" t="inlineStr">
        <is>
          <t>미확인</t>
        </is>
      </c>
      <c r="AO206" s="17" t="inlineStr">
        <is>
          <t>C(부분확인)</t>
        </is>
      </c>
      <c r="AP206" s="17" t="inlineStr">
        <is>
          <t>Y</t>
        </is>
      </c>
      <c r="AQ206" s="17" t="n">
        <v>4</v>
      </c>
      <c r="AR206" s="28" t="inlineStr">
        <is>
          <t>Tier D</t>
        </is>
      </c>
      <c r="AS206" s="17" t="inlineStr">
        <is>
          <t>EDMS</t>
        </is>
      </c>
      <c r="AT206" s="17" t="inlineStr">
        <is>
          <t>기본 문서관리 수요</t>
        </is>
      </c>
      <c r="AU206" s="17" t="inlineStr">
        <is>
          <t>담당자 파악 후 접촉</t>
        </is>
      </c>
      <c r="AV206" s="17" t="inlineStr">
        <is>
          <t>GMP적합판정+KRX</t>
        </is>
      </c>
      <c r="AW206" s="17" t="inlineStr">
        <is>
          <t>2026-07-05</t>
        </is>
      </c>
    </row>
    <row r="207">
      <c r="A207" s="17" t="inlineStr">
        <is>
          <t>C206</t>
        </is>
      </c>
      <c r="B207" s="17" t="inlineStr">
        <is>
          <t>에이프로젠바이오로직스</t>
        </is>
      </c>
      <c r="C207" s="17" t="inlineStr">
        <is>
          <t>(주)에이프로젠바이오로직스</t>
        </is>
      </c>
      <c r="D207" s="17" t="n">
        <v>1</v>
      </c>
      <c r="E207" s="17" t="n">
        <v>1</v>
      </c>
      <c r="F207" s="17" t="inlineStr">
        <is>
          <t>Y</t>
        </is>
      </c>
      <c r="G207" s="17" t="inlineStr"/>
      <c r="H207" s="17" t="inlineStr"/>
      <c r="I207" s="17" t="inlineStr"/>
      <c r="J207" s="24" t="n">
        <v>46885</v>
      </c>
      <c r="K207" s="17" t="inlineStr"/>
      <c r="L207" s="17" t="inlineStr">
        <is>
          <t>Y</t>
        </is>
      </c>
      <c r="M207" s="17" t="inlineStr">
        <is>
          <t>유가</t>
        </is>
      </c>
      <c r="N207" s="23" t="inlineStr">
        <is>
          <t>003060</t>
        </is>
      </c>
      <c r="O207" s="17" t="inlineStr">
        <is>
          <t>의약품 제조업</t>
        </is>
      </c>
      <c r="P207" s="17" t="inlineStr">
        <is>
          <t>의약품(항생제,영양수액제,드링크제,철결핍성빈혈예방치료제,경옥동충하초) 제조,판매</t>
        </is>
      </c>
      <c r="Q207" s="17" t="inlineStr">
        <is>
          <t>김재섭, 김정출</t>
        </is>
      </c>
      <c r="R207" s="17" t="inlineStr">
        <is>
          <t>http://www.aprogen-pharm.com</t>
        </is>
      </c>
      <c r="S207" s="17" t="inlineStr">
        <is>
          <t>서울특별시</t>
        </is>
      </c>
      <c r="T207" s="17" t="inlineStr">
        <is>
          <t>미확인</t>
        </is>
      </c>
      <c r="U207" s="17" t="inlineStr">
        <is>
          <t>미확인</t>
        </is>
      </c>
      <c r="V207" s="22" t="inlineStr">
        <is>
          <t>미확인</t>
        </is>
      </c>
      <c r="W207" s="22" t="inlineStr">
        <is>
          <t>미확인</t>
        </is>
      </c>
      <c r="X207" s="22" t="inlineStr">
        <is>
          <t>미확인</t>
        </is>
      </c>
      <c r="Y207" s="22" t="inlineStr">
        <is>
          <t>미확인</t>
        </is>
      </c>
      <c r="Z207" s="22" t="inlineStr">
        <is>
          <t>미확인</t>
        </is>
      </c>
      <c r="AA207" s="22" t="inlineStr">
        <is>
          <t>미확인</t>
        </is>
      </c>
      <c r="AB207" s="22" t="inlineStr">
        <is>
          <t>미확인</t>
        </is>
      </c>
      <c r="AC207" s="22" t="inlineStr">
        <is>
          <t>미확인</t>
        </is>
      </c>
      <c r="AD207" s="22" t="inlineStr">
        <is>
          <t>미확인</t>
        </is>
      </c>
      <c r="AE207" s="22" t="inlineStr">
        <is>
          <t>미확인</t>
        </is>
      </c>
      <c r="AF207" s="22" t="inlineStr">
        <is>
          <t>미확인</t>
        </is>
      </c>
      <c r="AG207" s="22" t="inlineStr">
        <is>
          <t>미확인</t>
        </is>
      </c>
      <c r="AH207" s="22" t="inlineStr">
        <is>
          <t>미확인</t>
        </is>
      </c>
      <c r="AI207" s="22" t="inlineStr">
        <is>
          <t>미확인</t>
        </is>
      </c>
      <c r="AJ207" s="22" t="inlineStr">
        <is>
          <t>미확인</t>
        </is>
      </c>
      <c r="AK207" s="22" t="inlineStr">
        <is>
          <t>미확인</t>
        </is>
      </c>
      <c r="AL207" s="22" t="inlineStr">
        <is>
          <t>미확인</t>
        </is>
      </c>
      <c r="AM207" s="22" t="inlineStr">
        <is>
          <t>미확인</t>
        </is>
      </c>
      <c r="AN207" s="22" t="inlineStr">
        <is>
          <t>미확인</t>
        </is>
      </c>
      <c r="AO207" s="17" t="inlineStr">
        <is>
          <t>C(부분확인)</t>
        </is>
      </c>
      <c r="AP207" s="17" t="inlineStr">
        <is>
          <t>Y</t>
        </is>
      </c>
      <c r="AQ207" s="17" t="n">
        <v>4</v>
      </c>
      <c r="AR207" s="28" t="inlineStr">
        <is>
          <t>Tier D</t>
        </is>
      </c>
      <c r="AS207" s="17" t="inlineStr">
        <is>
          <t>EDMS</t>
        </is>
      </c>
      <c r="AT207" s="17" t="inlineStr">
        <is>
          <t>기본 문서관리 수요</t>
        </is>
      </c>
      <c r="AU207" s="17" t="inlineStr">
        <is>
          <t>담당자 파악 후 접촉</t>
        </is>
      </c>
      <c r="AV207" s="17" t="inlineStr">
        <is>
          <t>GMP적합판정+KRX</t>
        </is>
      </c>
      <c r="AW207" s="17" t="inlineStr">
        <is>
          <t>2026-07-05</t>
        </is>
      </c>
    </row>
    <row r="208">
      <c r="A208" s="17" t="inlineStr">
        <is>
          <t>C207</t>
        </is>
      </c>
      <c r="B208" s="17" t="inlineStr">
        <is>
          <t>경남산소</t>
        </is>
      </c>
      <c r="C208" s="17" t="inlineStr">
        <is>
          <t>경남산소</t>
        </is>
      </c>
      <c r="D208" s="17" t="n">
        <v>1</v>
      </c>
      <c r="E208" s="17" t="n">
        <v>1</v>
      </c>
      <c r="F208" s="17" t="inlineStr">
        <is>
          <t>Y</t>
        </is>
      </c>
      <c r="G208" s="17" t="inlineStr"/>
      <c r="H208" s="17" t="inlineStr"/>
      <c r="I208" s="17" t="inlineStr"/>
      <c r="J208" s="24" t="n">
        <v>46884</v>
      </c>
      <c r="K208" s="17" t="inlineStr"/>
      <c r="L208" s="17" t="inlineStr"/>
      <c r="M208" s="17" t="inlineStr"/>
      <c r="N208" s="23" t="inlineStr"/>
      <c r="O208" s="17" t="inlineStr"/>
      <c r="P208" s="17" t="inlineStr"/>
      <c r="Q208" s="17" t="inlineStr">
        <is>
          <t>이상철</t>
        </is>
      </c>
      <c r="R208" s="17" t="inlineStr"/>
      <c r="S208" s="17" t="inlineStr"/>
      <c r="T208" s="17" t="inlineStr">
        <is>
          <t>055-2956-0202</t>
        </is>
      </c>
      <c r="U208" s="17" t="inlineStr">
        <is>
          <t>제조소상세</t>
        </is>
      </c>
      <c r="V208" s="22" t="inlineStr">
        <is>
          <t>미확인</t>
        </is>
      </c>
      <c r="W208" s="22" t="inlineStr">
        <is>
          <t>미확인</t>
        </is>
      </c>
      <c r="X208" s="22" t="inlineStr">
        <is>
          <t>미확인</t>
        </is>
      </c>
      <c r="Y208" s="22" t="inlineStr">
        <is>
          <t>미확인</t>
        </is>
      </c>
      <c r="Z208" s="22" t="inlineStr">
        <is>
          <t>미확인</t>
        </is>
      </c>
      <c r="AA208" s="22" t="inlineStr">
        <is>
          <t>미확인</t>
        </is>
      </c>
      <c r="AB208" s="22" t="inlineStr">
        <is>
          <t>미확인</t>
        </is>
      </c>
      <c r="AC208" s="22" t="inlineStr">
        <is>
          <t>미확인</t>
        </is>
      </c>
      <c r="AD208" s="22" t="inlineStr">
        <is>
          <t>미확인</t>
        </is>
      </c>
      <c r="AE208" s="22" t="inlineStr">
        <is>
          <t>미확인</t>
        </is>
      </c>
      <c r="AF208" s="22" t="inlineStr">
        <is>
          <t>미확인</t>
        </is>
      </c>
      <c r="AG208" s="22" t="inlineStr">
        <is>
          <t>미확인</t>
        </is>
      </c>
      <c r="AH208" s="22" t="inlineStr">
        <is>
          <t>미확인</t>
        </is>
      </c>
      <c r="AI208" s="22" t="inlineStr">
        <is>
          <t>미확인</t>
        </is>
      </c>
      <c r="AJ208" s="22" t="inlineStr">
        <is>
          <t>미확인</t>
        </is>
      </c>
      <c r="AK208" s="22" t="inlineStr">
        <is>
          <t>미확인</t>
        </is>
      </c>
      <c r="AL208" s="22" t="inlineStr">
        <is>
          <t>미확인</t>
        </is>
      </c>
      <c r="AM208" s="22" t="inlineStr">
        <is>
          <t>미확인</t>
        </is>
      </c>
      <c r="AN208" s="22" t="inlineStr">
        <is>
          <t>미확인</t>
        </is>
      </c>
      <c r="AO208" s="17" t="inlineStr">
        <is>
          <t>C(부분확인)</t>
        </is>
      </c>
      <c r="AP208" s="17" t="inlineStr">
        <is>
          <t>Y</t>
        </is>
      </c>
      <c r="AQ208" s="17" t="n">
        <v>4</v>
      </c>
      <c r="AR208" s="28" t="inlineStr">
        <is>
          <t>Tier D</t>
        </is>
      </c>
      <c r="AS208" s="17" t="inlineStr">
        <is>
          <t>EDMS</t>
        </is>
      </c>
      <c r="AT208" s="17" t="inlineStr">
        <is>
          <t>기본 문서관리 수요</t>
        </is>
      </c>
      <c r="AU208" s="17" t="inlineStr">
        <is>
          <t>담당자 파악 후 접촉</t>
        </is>
      </c>
      <c r="AV208" s="17" t="inlineStr">
        <is>
          <t>GMP적합판정+KRX</t>
        </is>
      </c>
      <c r="AW208" s="17" t="inlineStr">
        <is>
          <t>2026-07-05</t>
        </is>
      </c>
    </row>
    <row r="209">
      <c r="A209" s="17" t="inlineStr">
        <is>
          <t>C208</t>
        </is>
      </c>
      <c r="B209" s="17" t="inlineStr">
        <is>
          <t>신진가스텍</t>
        </is>
      </c>
      <c r="C209" s="17" t="inlineStr">
        <is>
          <t>신진가스텍(주)</t>
        </is>
      </c>
      <c r="D209" s="17" t="n">
        <v>1</v>
      </c>
      <c r="E209" s="17" t="n">
        <v>1</v>
      </c>
      <c r="F209" s="17" t="inlineStr">
        <is>
          <t>Y</t>
        </is>
      </c>
      <c r="G209" s="17" t="inlineStr"/>
      <c r="H209" s="17" t="inlineStr"/>
      <c r="I209" s="17" t="inlineStr"/>
      <c r="J209" s="24" t="n">
        <v>46884</v>
      </c>
      <c r="K209" s="17" t="inlineStr"/>
      <c r="L209" s="17" t="inlineStr"/>
      <c r="M209" s="17" t="inlineStr"/>
      <c r="N209" s="23" t="inlineStr"/>
      <c r="O209" s="17" t="inlineStr"/>
      <c r="P209" s="17" t="inlineStr"/>
      <c r="Q209" s="17" t="inlineStr">
        <is>
          <t>김성우</t>
        </is>
      </c>
      <c r="R209" s="17" t="inlineStr"/>
      <c r="S209" s="17" t="inlineStr"/>
      <c r="T209" s="17" t="inlineStr">
        <is>
          <t>054-463-8600</t>
        </is>
      </c>
      <c r="U209" s="17" t="inlineStr">
        <is>
          <t>제조소상세</t>
        </is>
      </c>
      <c r="V209" s="22" t="inlineStr">
        <is>
          <t>미확인</t>
        </is>
      </c>
      <c r="W209" s="22" t="inlineStr">
        <is>
          <t>미확인</t>
        </is>
      </c>
      <c r="X209" s="22" t="inlineStr">
        <is>
          <t>미확인</t>
        </is>
      </c>
      <c r="Y209" s="22" t="inlineStr">
        <is>
          <t>미확인</t>
        </is>
      </c>
      <c r="Z209" s="22" t="inlineStr">
        <is>
          <t>미확인</t>
        </is>
      </c>
      <c r="AA209" s="22" t="inlineStr">
        <is>
          <t>미확인</t>
        </is>
      </c>
      <c r="AB209" s="22" t="inlineStr">
        <is>
          <t>미확인</t>
        </is>
      </c>
      <c r="AC209" s="22" t="inlineStr">
        <is>
          <t>미확인</t>
        </is>
      </c>
      <c r="AD209" s="22" t="inlineStr">
        <is>
          <t>미확인</t>
        </is>
      </c>
      <c r="AE209" s="22" t="inlineStr">
        <is>
          <t>미확인</t>
        </is>
      </c>
      <c r="AF209" s="22" t="inlineStr">
        <is>
          <t>미확인</t>
        </is>
      </c>
      <c r="AG209" s="22" t="inlineStr">
        <is>
          <t>미확인</t>
        </is>
      </c>
      <c r="AH209" s="22" t="inlineStr">
        <is>
          <t>미확인</t>
        </is>
      </c>
      <c r="AI209" s="22" t="inlineStr">
        <is>
          <t>미확인</t>
        </is>
      </c>
      <c r="AJ209" s="22" t="inlineStr">
        <is>
          <t>미확인</t>
        </is>
      </c>
      <c r="AK209" s="22" t="inlineStr">
        <is>
          <t>미확인</t>
        </is>
      </c>
      <c r="AL209" s="22" t="inlineStr">
        <is>
          <t>미확인</t>
        </is>
      </c>
      <c r="AM209" s="22" t="inlineStr">
        <is>
          <t>미확인</t>
        </is>
      </c>
      <c r="AN209" s="22" t="inlineStr">
        <is>
          <t>미확인</t>
        </is>
      </c>
      <c r="AO209" s="17" t="inlineStr">
        <is>
          <t>C(부분확인)</t>
        </is>
      </c>
      <c r="AP209" s="17" t="inlineStr">
        <is>
          <t>Y</t>
        </is>
      </c>
      <c r="AQ209" s="17" t="n">
        <v>4</v>
      </c>
      <c r="AR209" s="28" t="inlineStr">
        <is>
          <t>Tier D</t>
        </is>
      </c>
      <c r="AS209" s="17" t="inlineStr">
        <is>
          <t>EDMS</t>
        </is>
      </c>
      <c r="AT209" s="17" t="inlineStr">
        <is>
          <t>기본 문서관리 수요</t>
        </is>
      </c>
      <c r="AU209" s="17" t="inlineStr">
        <is>
          <t>담당자 파악 후 접촉</t>
        </is>
      </c>
      <c r="AV209" s="17" t="inlineStr">
        <is>
          <t>GMP적합판정+KRX</t>
        </is>
      </c>
      <c r="AW209" s="17" t="inlineStr">
        <is>
          <t>2026-07-05</t>
        </is>
      </c>
    </row>
    <row r="210">
      <c r="A210" s="17" t="inlineStr">
        <is>
          <t>C209</t>
        </is>
      </c>
      <c r="B210" s="17" t="inlineStr">
        <is>
          <t>대한적십자사혈장분획센터</t>
        </is>
      </c>
      <c r="C210" s="17" t="inlineStr">
        <is>
          <t>대한적십자사혈장분획센터</t>
        </is>
      </c>
      <c r="D210" s="17" t="n">
        <v>1</v>
      </c>
      <c r="E210" s="17" t="n">
        <v>1</v>
      </c>
      <c r="F210" s="17" t="inlineStr"/>
      <c r="G210" s="17" t="inlineStr">
        <is>
          <t>Y</t>
        </is>
      </c>
      <c r="H210" s="17" t="inlineStr"/>
      <c r="I210" s="17" t="inlineStr">
        <is>
          <t>Y</t>
        </is>
      </c>
      <c r="J210" s="24" t="n">
        <v>46883</v>
      </c>
      <c r="K210" s="17" t="inlineStr"/>
      <c r="L210" s="17" t="inlineStr"/>
      <c r="M210" s="17" t="inlineStr"/>
      <c r="N210" s="23" t="inlineStr"/>
      <c r="O210" s="17" t="inlineStr"/>
      <c r="P210" s="17" t="inlineStr"/>
      <c r="Q210" s="17" t="inlineStr">
        <is>
          <t>지용훈</t>
        </is>
      </c>
      <c r="R210" s="17" t="inlineStr"/>
      <c r="S210" s="17" t="inlineStr"/>
      <c r="T210" s="17" t="inlineStr">
        <is>
          <t>04387912341365</t>
        </is>
      </c>
      <c r="U210" s="17" t="inlineStr">
        <is>
          <t>제조소상세</t>
        </is>
      </c>
      <c r="V210" s="22" t="inlineStr">
        <is>
          <t>미확인</t>
        </is>
      </c>
      <c r="W210" s="22" t="inlineStr">
        <is>
          <t>미확인</t>
        </is>
      </c>
      <c r="X210" s="22" t="inlineStr">
        <is>
          <t>미확인</t>
        </is>
      </c>
      <c r="Y210" s="22" t="inlineStr">
        <is>
          <t>미확인</t>
        </is>
      </c>
      <c r="Z210" s="22" t="inlineStr">
        <is>
          <t>미확인</t>
        </is>
      </c>
      <c r="AA210" s="22" t="inlineStr">
        <is>
          <t>미확인</t>
        </is>
      </c>
      <c r="AB210" s="22" t="inlineStr">
        <is>
          <t>미확인</t>
        </is>
      </c>
      <c r="AC210" s="22" t="inlineStr">
        <is>
          <t>미확인</t>
        </is>
      </c>
      <c r="AD210" s="22" t="inlineStr">
        <is>
          <t>미확인</t>
        </is>
      </c>
      <c r="AE210" s="22" t="inlineStr">
        <is>
          <t>미확인</t>
        </is>
      </c>
      <c r="AF210" s="22" t="inlineStr">
        <is>
          <t>미확인</t>
        </is>
      </c>
      <c r="AG210" s="22" t="inlineStr">
        <is>
          <t>미확인</t>
        </is>
      </c>
      <c r="AH210" s="22" t="inlineStr">
        <is>
          <t>미확인</t>
        </is>
      </c>
      <c r="AI210" s="22" t="inlineStr">
        <is>
          <t>미확인</t>
        </is>
      </c>
      <c r="AJ210" s="22" t="inlineStr">
        <is>
          <t>미확인</t>
        </is>
      </c>
      <c r="AK210" s="22" t="inlineStr">
        <is>
          <t>미확인</t>
        </is>
      </c>
      <c r="AL210" s="22" t="inlineStr">
        <is>
          <t>미확인</t>
        </is>
      </c>
      <c r="AM210" s="22" t="inlineStr">
        <is>
          <t>미확인</t>
        </is>
      </c>
      <c r="AN210" s="22" t="inlineStr">
        <is>
          <t>미확인</t>
        </is>
      </c>
      <c r="AO210" s="17" t="inlineStr">
        <is>
          <t>C(부분확인)</t>
        </is>
      </c>
      <c r="AP210" s="17" t="inlineStr">
        <is>
          <t>Y</t>
        </is>
      </c>
      <c r="AQ210" s="17" t="n">
        <v>11</v>
      </c>
      <c r="AR210" s="28" t="inlineStr">
        <is>
          <t>Tier D</t>
        </is>
      </c>
      <c r="AS210" s="17" t="inlineStr">
        <is>
          <t>QMS+LIMS</t>
        </is>
      </c>
      <c r="AT210" s="17" t="inlineStr">
        <is>
          <t>무균/바이오 제조로 품질관리 난도 높음; 원료 제조로 시험실 관리 필요</t>
        </is>
      </c>
      <c r="AU210" s="17" t="inlineStr">
        <is>
          <t>담당자 파악 후 접촉</t>
        </is>
      </c>
      <c r="AV210" s="17" t="inlineStr">
        <is>
          <t>GMP적합판정+KRX</t>
        </is>
      </c>
      <c r="AW210" s="17" t="inlineStr">
        <is>
          <t>2026-07-05</t>
        </is>
      </c>
    </row>
    <row r="211">
      <c r="A211" s="17" t="inlineStr">
        <is>
          <t>C210</t>
        </is>
      </c>
      <c r="B211" s="17" t="inlineStr">
        <is>
          <t>제이더블유중외제약</t>
        </is>
      </c>
      <c r="C211" s="17" t="inlineStr">
        <is>
          <t>제이더블유중외제약(주)</t>
        </is>
      </c>
      <c r="D211" s="17" t="n">
        <v>2</v>
      </c>
      <c r="E211" s="17" t="n">
        <v>2</v>
      </c>
      <c r="F211" s="17" t="inlineStr">
        <is>
          <t>Y</t>
        </is>
      </c>
      <c r="G211" s="17" t="inlineStr">
        <is>
          <t>Y</t>
        </is>
      </c>
      <c r="H211" s="17" t="inlineStr">
        <is>
          <t>Y</t>
        </is>
      </c>
      <c r="I211" s="17" t="inlineStr"/>
      <c r="J211" s="24" t="n">
        <v>46419</v>
      </c>
      <c r="K211" s="17" t="inlineStr"/>
      <c r="L211" s="17" t="inlineStr"/>
      <c r="M211" s="17" t="inlineStr"/>
      <c r="N211" s="23" t="inlineStr"/>
      <c r="O211" s="17" t="inlineStr"/>
      <c r="P211" s="17" t="inlineStr"/>
      <c r="Q211" s="17" t="inlineStr">
        <is>
          <t>신영섭</t>
        </is>
      </c>
      <c r="R211" s="17" t="inlineStr"/>
      <c r="S211" s="17" t="inlineStr"/>
      <c r="T211" s="17" t="inlineStr">
        <is>
          <t>02-840-6986</t>
        </is>
      </c>
      <c r="U211" s="17" t="inlineStr">
        <is>
          <t>제조소상세</t>
        </is>
      </c>
      <c r="V211" s="22" t="inlineStr">
        <is>
          <t>미확인</t>
        </is>
      </c>
      <c r="W211" s="22" t="inlineStr">
        <is>
          <t>미확인</t>
        </is>
      </c>
      <c r="X211" s="22" t="inlineStr">
        <is>
          <t>미확인</t>
        </is>
      </c>
      <c r="Y211" s="22" t="inlineStr">
        <is>
          <t>미확인</t>
        </is>
      </c>
      <c r="Z211" s="22" t="inlineStr">
        <is>
          <t>미확인</t>
        </is>
      </c>
      <c r="AA211" s="22" t="inlineStr">
        <is>
          <t>미확인</t>
        </is>
      </c>
      <c r="AB211" s="22" t="inlineStr">
        <is>
          <t>미확인</t>
        </is>
      </c>
      <c r="AC211" s="22" t="inlineStr">
        <is>
          <t>미확인</t>
        </is>
      </c>
      <c r="AD211" s="22" t="inlineStr">
        <is>
          <t>미확인</t>
        </is>
      </c>
      <c r="AE211" s="22" t="inlineStr">
        <is>
          <t>미확인</t>
        </is>
      </c>
      <c r="AF211" s="22" t="inlineStr">
        <is>
          <t>미확인</t>
        </is>
      </c>
      <c r="AG211" s="22" t="inlineStr">
        <is>
          <t>미확인</t>
        </is>
      </c>
      <c r="AH211" s="22" t="inlineStr">
        <is>
          <t>미확인</t>
        </is>
      </c>
      <c r="AI211" s="22" t="inlineStr">
        <is>
          <t>미확인</t>
        </is>
      </c>
      <c r="AJ211" s="22" t="inlineStr">
        <is>
          <t>미확인</t>
        </is>
      </c>
      <c r="AK211" s="22" t="inlineStr">
        <is>
          <t>미확인</t>
        </is>
      </c>
      <c r="AL211" s="22" t="inlineStr">
        <is>
          <t>미확인</t>
        </is>
      </c>
      <c r="AM211" s="22" t="inlineStr">
        <is>
          <t>미확인</t>
        </is>
      </c>
      <c r="AN211" s="22" t="inlineStr">
        <is>
          <t>미확인</t>
        </is>
      </c>
      <c r="AO211" s="17" t="inlineStr">
        <is>
          <t>C(부분확인)</t>
        </is>
      </c>
      <c r="AP211" s="17" t="inlineStr">
        <is>
          <t>Y</t>
        </is>
      </c>
      <c r="AQ211" s="17" t="n">
        <v>19</v>
      </c>
      <c r="AR211" s="28" t="inlineStr">
        <is>
          <t>Tier D</t>
        </is>
      </c>
      <c r="AS211" s="17" t="inlineStr">
        <is>
          <t>통합형</t>
        </is>
      </c>
      <c r="AT211" s="17" t="inlineStr">
        <is>
          <t>다중 제조소/다수 판정서로 문서관리 복잡; 무균/바이오 제조로 품질관리 난도 높음</t>
        </is>
      </c>
      <c r="AU211" s="17" t="inlineStr">
        <is>
          <t>담당자 파악 후 접촉</t>
        </is>
      </c>
      <c r="AV211" s="17" t="inlineStr">
        <is>
          <t>GMP적합판정+KRX</t>
        </is>
      </c>
      <c r="AW211" s="17" t="inlineStr">
        <is>
          <t>2026-07-05</t>
        </is>
      </c>
    </row>
    <row r="212">
      <c r="A212" s="17" t="inlineStr">
        <is>
          <t>C211</t>
        </is>
      </c>
      <c r="B212" s="17" t="inlineStr">
        <is>
          <t>천일가스</t>
        </is>
      </c>
      <c r="C212" s="17" t="inlineStr">
        <is>
          <t>(주)천일가스</t>
        </is>
      </c>
      <c r="D212" s="17" t="n">
        <v>1</v>
      </c>
      <c r="E212" s="17" t="n">
        <v>1</v>
      </c>
      <c r="F212" s="17" t="inlineStr">
        <is>
          <t>Y</t>
        </is>
      </c>
      <c r="G212" s="17" t="inlineStr"/>
      <c r="H212" s="17" t="inlineStr"/>
      <c r="I212" s="17" t="inlineStr"/>
      <c r="J212" s="24" t="n">
        <v>46876</v>
      </c>
      <c r="K212" s="17" t="inlineStr"/>
      <c r="L212" s="17" t="inlineStr"/>
      <c r="M212" s="17" t="inlineStr"/>
      <c r="N212" s="23" t="inlineStr"/>
      <c r="O212" s="17" t="inlineStr"/>
      <c r="P212" s="17" t="inlineStr"/>
      <c r="Q212" s="17" t="inlineStr">
        <is>
          <t>이석철</t>
        </is>
      </c>
      <c r="R212" s="17" t="inlineStr"/>
      <c r="S212" s="17" t="inlineStr"/>
      <c r="T212" s="17" t="inlineStr">
        <is>
          <t>054-277-1001</t>
        </is>
      </c>
      <c r="U212" s="17" t="inlineStr">
        <is>
          <t>제조소상세</t>
        </is>
      </c>
      <c r="V212" s="22" t="inlineStr">
        <is>
          <t>미확인</t>
        </is>
      </c>
      <c r="W212" s="22" t="inlineStr">
        <is>
          <t>미확인</t>
        </is>
      </c>
      <c r="X212" s="22" t="inlineStr">
        <is>
          <t>미확인</t>
        </is>
      </c>
      <c r="Y212" s="22" t="inlineStr">
        <is>
          <t>미확인</t>
        </is>
      </c>
      <c r="Z212" s="22" t="inlineStr">
        <is>
          <t>미확인</t>
        </is>
      </c>
      <c r="AA212" s="22" t="inlineStr">
        <is>
          <t>미확인</t>
        </is>
      </c>
      <c r="AB212" s="22" t="inlineStr">
        <is>
          <t>미확인</t>
        </is>
      </c>
      <c r="AC212" s="22" t="inlineStr">
        <is>
          <t>미확인</t>
        </is>
      </c>
      <c r="AD212" s="22" t="inlineStr">
        <is>
          <t>미확인</t>
        </is>
      </c>
      <c r="AE212" s="22" t="inlineStr">
        <is>
          <t>미확인</t>
        </is>
      </c>
      <c r="AF212" s="22" t="inlineStr">
        <is>
          <t>미확인</t>
        </is>
      </c>
      <c r="AG212" s="22" t="inlineStr">
        <is>
          <t>미확인</t>
        </is>
      </c>
      <c r="AH212" s="22" t="inlineStr">
        <is>
          <t>미확인</t>
        </is>
      </c>
      <c r="AI212" s="22" t="inlineStr">
        <is>
          <t>미확인</t>
        </is>
      </c>
      <c r="AJ212" s="22" t="inlineStr">
        <is>
          <t>미확인</t>
        </is>
      </c>
      <c r="AK212" s="22" t="inlineStr">
        <is>
          <t>미확인</t>
        </is>
      </c>
      <c r="AL212" s="22" t="inlineStr">
        <is>
          <t>미확인</t>
        </is>
      </c>
      <c r="AM212" s="22" t="inlineStr">
        <is>
          <t>미확인</t>
        </is>
      </c>
      <c r="AN212" s="22" t="inlineStr">
        <is>
          <t>미확인</t>
        </is>
      </c>
      <c r="AO212" s="17" t="inlineStr">
        <is>
          <t>C(부분확인)</t>
        </is>
      </c>
      <c r="AP212" s="17" t="inlineStr">
        <is>
          <t>Y</t>
        </is>
      </c>
      <c r="AQ212" s="17" t="n">
        <v>4</v>
      </c>
      <c r="AR212" s="28" t="inlineStr">
        <is>
          <t>Tier D</t>
        </is>
      </c>
      <c r="AS212" s="17" t="inlineStr">
        <is>
          <t>EDMS</t>
        </is>
      </c>
      <c r="AT212" s="17" t="inlineStr">
        <is>
          <t>기본 문서관리 수요</t>
        </is>
      </c>
      <c r="AU212" s="17" t="inlineStr">
        <is>
          <t>담당자 파악 후 접촉</t>
        </is>
      </c>
      <c r="AV212" s="17" t="inlineStr">
        <is>
          <t>GMP적합판정+KRX</t>
        </is>
      </c>
      <c r="AW212" s="17" t="inlineStr">
        <is>
          <t>2026-07-05</t>
        </is>
      </c>
    </row>
    <row r="213">
      <c r="A213" s="17" t="inlineStr">
        <is>
          <t>C212</t>
        </is>
      </c>
      <c r="B213" s="17" t="inlineStr">
        <is>
          <t>한국수소</t>
        </is>
      </c>
      <c r="C213" s="17" t="inlineStr">
        <is>
          <t>한국수소(주)</t>
        </is>
      </c>
      <c r="D213" s="17" t="n">
        <v>1</v>
      </c>
      <c r="E213" s="17" t="n">
        <v>1</v>
      </c>
      <c r="F213" s="17" t="inlineStr">
        <is>
          <t>Y</t>
        </is>
      </c>
      <c r="G213" s="17" t="inlineStr"/>
      <c r="H213" s="17" t="inlineStr"/>
      <c r="I213" s="17" t="inlineStr"/>
      <c r="J213" s="24" t="n">
        <v>46876</v>
      </c>
      <c r="K213" s="17" t="inlineStr"/>
      <c r="L213" s="17" t="inlineStr"/>
      <c r="M213" s="17" t="inlineStr"/>
      <c r="N213" s="23" t="inlineStr"/>
      <c r="O213" s="17" t="inlineStr"/>
      <c r="P213" s="17" t="inlineStr"/>
      <c r="Q213" s="17" t="inlineStr">
        <is>
          <t>이종근</t>
        </is>
      </c>
      <c r="R213" s="17" t="inlineStr"/>
      <c r="S213" s="17" t="inlineStr"/>
      <c r="T213" s="17" t="inlineStr">
        <is>
          <t>032-673-6223</t>
        </is>
      </c>
      <c r="U213" s="17" t="inlineStr">
        <is>
          <t>제조소상세</t>
        </is>
      </c>
      <c r="V213" s="22" t="inlineStr">
        <is>
          <t>미확인</t>
        </is>
      </c>
      <c r="W213" s="22" t="inlineStr">
        <is>
          <t>미확인</t>
        </is>
      </c>
      <c r="X213" s="22" t="inlineStr">
        <is>
          <t>미확인</t>
        </is>
      </c>
      <c r="Y213" s="22" t="inlineStr">
        <is>
          <t>미확인</t>
        </is>
      </c>
      <c r="Z213" s="22" t="inlineStr">
        <is>
          <t>미확인</t>
        </is>
      </c>
      <c r="AA213" s="22" t="inlineStr">
        <is>
          <t>미확인</t>
        </is>
      </c>
      <c r="AB213" s="22" t="inlineStr">
        <is>
          <t>미확인</t>
        </is>
      </c>
      <c r="AC213" s="22" t="inlineStr">
        <is>
          <t>미확인</t>
        </is>
      </c>
      <c r="AD213" s="22" t="inlineStr">
        <is>
          <t>미확인</t>
        </is>
      </c>
      <c r="AE213" s="22" t="inlineStr">
        <is>
          <t>미확인</t>
        </is>
      </c>
      <c r="AF213" s="22" t="inlineStr">
        <is>
          <t>미확인</t>
        </is>
      </c>
      <c r="AG213" s="22" t="inlineStr">
        <is>
          <t>미확인</t>
        </is>
      </c>
      <c r="AH213" s="22" t="inlineStr">
        <is>
          <t>미확인</t>
        </is>
      </c>
      <c r="AI213" s="22" t="inlineStr">
        <is>
          <t>미확인</t>
        </is>
      </c>
      <c r="AJ213" s="22" t="inlineStr">
        <is>
          <t>미확인</t>
        </is>
      </c>
      <c r="AK213" s="22" t="inlineStr">
        <is>
          <t>미확인</t>
        </is>
      </c>
      <c r="AL213" s="22" t="inlineStr">
        <is>
          <t>미확인</t>
        </is>
      </c>
      <c r="AM213" s="22" t="inlineStr">
        <is>
          <t>미확인</t>
        </is>
      </c>
      <c r="AN213" s="22" t="inlineStr">
        <is>
          <t>미확인</t>
        </is>
      </c>
      <c r="AO213" s="17" t="inlineStr">
        <is>
          <t>C(부분확인)</t>
        </is>
      </c>
      <c r="AP213" s="17" t="inlineStr">
        <is>
          <t>Y</t>
        </is>
      </c>
      <c r="AQ213" s="17" t="n">
        <v>4</v>
      </c>
      <c r="AR213" s="28" t="inlineStr">
        <is>
          <t>Tier D</t>
        </is>
      </c>
      <c r="AS213" s="17" t="inlineStr">
        <is>
          <t>EDMS</t>
        </is>
      </c>
      <c r="AT213" s="17" t="inlineStr">
        <is>
          <t>기본 문서관리 수요</t>
        </is>
      </c>
      <c r="AU213" s="17" t="inlineStr">
        <is>
          <t>담당자 파악 후 접촉</t>
        </is>
      </c>
      <c r="AV213" s="17" t="inlineStr">
        <is>
          <t>GMP적합판정+KRX</t>
        </is>
      </c>
      <c r="AW213" s="17" t="inlineStr">
        <is>
          <t>2026-07-05</t>
        </is>
      </c>
    </row>
    <row r="214">
      <c r="A214" s="17" t="inlineStr">
        <is>
          <t>C213</t>
        </is>
      </c>
      <c r="B214" s="17" t="inlineStr">
        <is>
          <t>명인제약</t>
        </is>
      </c>
      <c r="C214" s="17" t="inlineStr">
        <is>
          <t>명인제약(주)</t>
        </is>
      </c>
      <c r="D214" s="17" t="n">
        <v>2</v>
      </c>
      <c r="E214" s="17" t="n">
        <v>2</v>
      </c>
      <c r="F214" s="17" t="inlineStr">
        <is>
          <t>Y</t>
        </is>
      </c>
      <c r="G214" s="17" t="inlineStr">
        <is>
          <t>Y</t>
        </is>
      </c>
      <c r="H214" s="17" t="inlineStr">
        <is>
          <t>Y</t>
        </is>
      </c>
      <c r="I214" s="17" t="inlineStr"/>
      <c r="J214" s="24" t="n">
        <v>46836</v>
      </c>
      <c r="K214" s="17" t="inlineStr"/>
      <c r="L214" s="17" t="inlineStr">
        <is>
          <t>Y</t>
        </is>
      </c>
      <c r="M214" s="17" t="inlineStr">
        <is>
          <t>유가</t>
        </is>
      </c>
      <c r="N214" s="23" t="inlineStr">
        <is>
          <t>317450</t>
        </is>
      </c>
      <c r="O214" s="17" t="inlineStr">
        <is>
          <t>의약품 제조업</t>
        </is>
      </c>
      <c r="P214" s="17" t="inlineStr">
        <is>
          <t>신경정신계열, 구강계열 완제의약품</t>
        </is>
      </c>
      <c r="Q214" s="17" t="inlineStr">
        <is>
          <t>이관순,차봉권</t>
        </is>
      </c>
      <c r="R214" s="17" t="inlineStr">
        <is>
          <t>http://www.myunginph.co.kr</t>
        </is>
      </c>
      <c r="S214" s="17" t="inlineStr">
        <is>
          <t>경기도</t>
        </is>
      </c>
      <c r="T214" s="17" t="inlineStr">
        <is>
          <t>02-587-9060</t>
        </is>
      </c>
      <c r="U214" s="17" t="inlineStr">
        <is>
          <t>제조소상세</t>
        </is>
      </c>
      <c r="V214" s="22" t="inlineStr">
        <is>
          <t>미확인</t>
        </is>
      </c>
      <c r="W214" s="22" t="inlineStr">
        <is>
          <t>미확인</t>
        </is>
      </c>
      <c r="X214" s="22" t="inlineStr">
        <is>
          <t>미확인</t>
        </is>
      </c>
      <c r="Y214" s="22" t="inlineStr">
        <is>
          <t>미확인</t>
        </is>
      </c>
      <c r="Z214" s="22" t="inlineStr">
        <is>
          <t>미확인</t>
        </is>
      </c>
      <c r="AA214" s="22" t="inlineStr">
        <is>
          <t>미확인</t>
        </is>
      </c>
      <c r="AB214" s="22" t="inlineStr">
        <is>
          <t>미확인</t>
        </is>
      </c>
      <c r="AC214" s="22" t="inlineStr">
        <is>
          <t>미확인</t>
        </is>
      </c>
      <c r="AD214" s="22" t="inlineStr">
        <is>
          <t>미확인</t>
        </is>
      </c>
      <c r="AE214" s="22" t="inlineStr">
        <is>
          <t>미확인</t>
        </is>
      </c>
      <c r="AF214" s="22" t="inlineStr">
        <is>
          <t>미확인</t>
        </is>
      </c>
      <c r="AG214" s="22" t="inlineStr">
        <is>
          <t>미확인</t>
        </is>
      </c>
      <c r="AH214" s="22" t="inlineStr">
        <is>
          <t>미확인</t>
        </is>
      </c>
      <c r="AI214" s="22" t="inlineStr">
        <is>
          <t>미확인</t>
        </is>
      </c>
      <c r="AJ214" s="22" t="inlineStr">
        <is>
          <t>미확인</t>
        </is>
      </c>
      <c r="AK214" s="22" t="inlineStr">
        <is>
          <t>미확인</t>
        </is>
      </c>
      <c r="AL214" s="22" t="inlineStr">
        <is>
          <t>미확인</t>
        </is>
      </c>
      <c r="AM214" s="22" t="inlineStr">
        <is>
          <t>미확인</t>
        </is>
      </c>
      <c r="AN214" s="22" t="inlineStr">
        <is>
          <t>미확인</t>
        </is>
      </c>
      <c r="AO214" s="17" t="inlineStr">
        <is>
          <t>C(부분확인)</t>
        </is>
      </c>
      <c r="AP214" s="17" t="inlineStr">
        <is>
          <t>Y</t>
        </is>
      </c>
      <c r="AQ214" s="17" t="n">
        <v>19</v>
      </c>
      <c r="AR214" s="28" t="inlineStr">
        <is>
          <t>Tier D</t>
        </is>
      </c>
      <c r="AS214" s="17" t="inlineStr">
        <is>
          <t>통합형</t>
        </is>
      </c>
      <c r="AT214" s="17" t="inlineStr">
        <is>
          <t>다중 제조소/다수 판정서로 문서관리 복잡; 무균/바이오 제조로 품질관리 난도 높음</t>
        </is>
      </c>
      <c r="AU214" s="17" t="inlineStr">
        <is>
          <t>담당자 파악 후 접촉</t>
        </is>
      </c>
      <c r="AV214" s="17" t="inlineStr">
        <is>
          <t>GMP적합판정+KRX</t>
        </is>
      </c>
      <c r="AW214" s="17" t="inlineStr">
        <is>
          <t>2026-07-05</t>
        </is>
      </c>
    </row>
    <row r="215">
      <c r="A215" s="17" t="inlineStr">
        <is>
          <t>C214</t>
        </is>
      </c>
      <c r="B215" s="17" t="inlineStr">
        <is>
          <t>제이투에이치바이오텍</t>
        </is>
      </c>
      <c r="C215" s="17" t="inlineStr">
        <is>
          <t>제이투에이치바이오텍(주)</t>
        </is>
      </c>
      <c r="D215" s="17" t="n">
        <v>1</v>
      </c>
      <c r="E215" s="17" t="n">
        <v>1</v>
      </c>
      <c r="F215" s="17" t="inlineStr"/>
      <c r="G215" s="17" t="inlineStr">
        <is>
          <t>Y</t>
        </is>
      </c>
      <c r="H215" s="17" t="inlineStr"/>
      <c r="I215" s="17" t="inlineStr"/>
      <c r="J215" s="24" t="n">
        <v>46876</v>
      </c>
      <c r="K215" s="17" t="inlineStr"/>
      <c r="L215" s="17" t="inlineStr"/>
      <c r="M215" s="17" t="inlineStr"/>
      <c r="N215" s="23" t="inlineStr"/>
      <c r="O215" s="17" t="inlineStr"/>
      <c r="P215" s="17" t="inlineStr"/>
      <c r="Q215" s="17" t="inlineStr">
        <is>
          <t>김재선</t>
        </is>
      </c>
      <c r="R215" s="17" t="inlineStr"/>
      <c r="S215" s="17" t="inlineStr"/>
      <c r="T215" s="17" t="inlineStr">
        <is>
          <t>미확인</t>
        </is>
      </c>
      <c r="U215" s="17" t="inlineStr">
        <is>
          <t>미확인</t>
        </is>
      </c>
      <c r="V215" s="22" t="inlineStr">
        <is>
          <t>미확인</t>
        </is>
      </c>
      <c r="W215" s="22" t="inlineStr">
        <is>
          <t>미확인</t>
        </is>
      </c>
      <c r="X215" s="22" t="inlineStr">
        <is>
          <t>미확인</t>
        </is>
      </c>
      <c r="Y215" s="22" t="inlineStr">
        <is>
          <t>미확인</t>
        </is>
      </c>
      <c r="Z215" s="22" t="inlineStr">
        <is>
          <t>미확인</t>
        </is>
      </c>
      <c r="AA215" s="22" t="inlineStr">
        <is>
          <t>미확인</t>
        </is>
      </c>
      <c r="AB215" s="22" t="inlineStr">
        <is>
          <t>미확인</t>
        </is>
      </c>
      <c r="AC215" s="22" t="inlineStr">
        <is>
          <t>미확인</t>
        </is>
      </c>
      <c r="AD215" s="22" t="inlineStr">
        <is>
          <t>미확인</t>
        </is>
      </c>
      <c r="AE215" s="22" t="inlineStr">
        <is>
          <t>미확인</t>
        </is>
      </c>
      <c r="AF215" s="22" t="inlineStr">
        <is>
          <t>미확인</t>
        </is>
      </c>
      <c r="AG215" s="22" t="inlineStr">
        <is>
          <t>미확인</t>
        </is>
      </c>
      <c r="AH215" s="22" t="inlineStr">
        <is>
          <t>미확인</t>
        </is>
      </c>
      <c r="AI215" s="22" t="inlineStr">
        <is>
          <t>미확인</t>
        </is>
      </c>
      <c r="AJ215" s="22" t="inlineStr">
        <is>
          <t>미확인</t>
        </is>
      </c>
      <c r="AK215" s="22" t="inlineStr">
        <is>
          <t>미확인</t>
        </is>
      </c>
      <c r="AL215" s="22" t="inlineStr">
        <is>
          <t>미확인</t>
        </is>
      </c>
      <c r="AM215" s="22" t="inlineStr">
        <is>
          <t>미확인</t>
        </is>
      </c>
      <c r="AN215" s="22" t="inlineStr">
        <is>
          <t>미확인</t>
        </is>
      </c>
      <c r="AO215" s="17" t="inlineStr">
        <is>
          <t>C(부분확인)</t>
        </is>
      </c>
      <c r="AP215" s="17" t="inlineStr">
        <is>
          <t>Y</t>
        </is>
      </c>
      <c r="AQ215" s="17" t="n">
        <v>4</v>
      </c>
      <c r="AR215" s="28" t="inlineStr">
        <is>
          <t>Tier D</t>
        </is>
      </c>
      <c r="AS215" s="17" t="inlineStr">
        <is>
          <t>LIMS</t>
        </is>
      </c>
      <c r="AT215" s="17" t="inlineStr">
        <is>
          <t>원료 제조로 시험실 관리 필요</t>
        </is>
      </c>
      <c r="AU215" s="17" t="inlineStr">
        <is>
          <t>담당자 파악 후 접촉</t>
        </is>
      </c>
      <c r="AV215" s="17" t="inlineStr">
        <is>
          <t>GMP적합판정+KRX</t>
        </is>
      </c>
      <c r="AW215" s="17" t="inlineStr">
        <is>
          <t>2026-07-05</t>
        </is>
      </c>
    </row>
    <row r="216">
      <c r="A216" s="17" t="inlineStr">
        <is>
          <t>C215</t>
        </is>
      </c>
      <c r="B216" s="17" t="inlineStr">
        <is>
          <t>삼진제약</t>
        </is>
      </c>
      <c r="C216" s="17" t="inlineStr">
        <is>
          <t>삼진제약(주)</t>
        </is>
      </c>
      <c r="D216" s="17" t="n">
        <v>3</v>
      </c>
      <c r="E216" s="17" t="n">
        <v>2</v>
      </c>
      <c r="F216" s="17" t="inlineStr">
        <is>
          <t>Y</t>
        </is>
      </c>
      <c r="G216" s="17" t="inlineStr">
        <is>
          <t>Y</t>
        </is>
      </c>
      <c r="H216" s="17" t="inlineStr">
        <is>
          <t>Y</t>
        </is>
      </c>
      <c r="I216" s="17" t="inlineStr"/>
      <c r="J216" s="24" t="n">
        <v>46540</v>
      </c>
      <c r="K216" s="17" t="inlineStr"/>
      <c r="L216" s="17" t="inlineStr">
        <is>
          <t>Y</t>
        </is>
      </c>
      <c r="M216" s="17" t="inlineStr">
        <is>
          <t>유가</t>
        </is>
      </c>
      <c r="N216" s="23" t="inlineStr">
        <is>
          <t>005500</t>
        </is>
      </c>
      <c r="O216" s="17" t="inlineStr">
        <is>
          <t>의약품 제조업</t>
        </is>
      </c>
      <c r="P216" s="17" t="inlineStr">
        <is>
          <t>의약품(게보린,세트라졸,염산나록손) 제조,판매,수출입,약초재배</t>
        </is>
      </c>
      <c r="Q216" s="17" t="inlineStr">
        <is>
          <t>최지현, 조규석</t>
        </is>
      </c>
      <c r="R216" s="17" t="inlineStr">
        <is>
          <t>http://www.samjinpharm.co.kr</t>
        </is>
      </c>
      <c r="S216" s="17" t="inlineStr">
        <is>
          <t>서울특별시</t>
        </is>
      </c>
      <c r="T216" s="17" t="inlineStr">
        <is>
          <t>031-3531-7126</t>
        </is>
      </c>
      <c r="U216" s="17" t="inlineStr">
        <is>
          <t>제조소상세</t>
        </is>
      </c>
      <c r="V216" s="22" t="inlineStr">
        <is>
          <t>미확인</t>
        </is>
      </c>
      <c r="W216" s="22" t="inlineStr">
        <is>
          <t>미확인</t>
        </is>
      </c>
      <c r="X216" s="22" t="inlineStr">
        <is>
          <t>미확인</t>
        </is>
      </c>
      <c r="Y216" s="22" t="inlineStr">
        <is>
          <t>미확인</t>
        </is>
      </c>
      <c r="Z216" s="22" t="inlineStr">
        <is>
          <t>미확인</t>
        </is>
      </c>
      <c r="AA216" s="22" t="inlineStr">
        <is>
          <t>미확인</t>
        </is>
      </c>
      <c r="AB216" s="22" t="inlineStr">
        <is>
          <t>미확인</t>
        </is>
      </c>
      <c r="AC216" s="22" t="inlineStr">
        <is>
          <t>미확인</t>
        </is>
      </c>
      <c r="AD216" s="22" t="inlineStr">
        <is>
          <t>미확인</t>
        </is>
      </c>
      <c r="AE216" s="22" t="inlineStr">
        <is>
          <t>미확인</t>
        </is>
      </c>
      <c r="AF216" s="22" t="inlineStr">
        <is>
          <t>미확인</t>
        </is>
      </c>
      <c r="AG216" s="22" t="inlineStr">
        <is>
          <t>미확인</t>
        </is>
      </c>
      <c r="AH216" s="22" t="inlineStr">
        <is>
          <t>미확인</t>
        </is>
      </c>
      <c r="AI216" s="22" t="inlineStr">
        <is>
          <t>미확인</t>
        </is>
      </c>
      <c r="AJ216" s="22" t="inlineStr">
        <is>
          <t>미확인</t>
        </is>
      </c>
      <c r="AK216" s="22" t="inlineStr">
        <is>
          <t>미확인</t>
        </is>
      </c>
      <c r="AL216" s="22" t="inlineStr">
        <is>
          <t>미확인</t>
        </is>
      </c>
      <c r="AM216" s="22" t="inlineStr">
        <is>
          <t>미확인</t>
        </is>
      </c>
      <c r="AN216" s="22" t="inlineStr">
        <is>
          <t>미확인</t>
        </is>
      </c>
      <c r="AO216" s="17" t="inlineStr">
        <is>
          <t>C(부분확인)</t>
        </is>
      </c>
      <c r="AP216" s="17" t="inlineStr">
        <is>
          <t>Y</t>
        </is>
      </c>
      <c r="AQ216" s="17" t="n">
        <v>22</v>
      </c>
      <c r="AR216" s="28" t="inlineStr">
        <is>
          <t>Tier D</t>
        </is>
      </c>
      <c r="AS216" s="17" t="inlineStr">
        <is>
          <t>통합형</t>
        </is>
      </c>
      <c r="AT216" s="17" t="inlineStr">
        <is>
          <t>다중 제조소/다수 판정서로 문서관리 복잡; 무균/바이오 제조로 품질관리 난도 높음</t>
        </is>
      </c>
      <c r="AU216" s="17" t="inlineStr">
        <is>
          <t>담당자 파악 후 접촉</t>
        </is>
      </c>
      <c r="AV216" s="17" t="inlineStr">
        <is>
          <t>GMP적합판정+KRX</t>
        </is>
      </c>
      <c r="AW216" s="17" t="inlineStr">
        <is>
          <t>2026-07-05</t>
        </is>
      </c>
    </row>
    <row r="217">
      <c r="A217" s="17" t="inlineStr">
        <is>
          <t>C216</t>
        </is>
      </c>
      <c r="B217" s="17" t="inlineStr">
        <is>
          <t>바이넥스</t>
        </is>
      </c>
      <c r="C217" s="17" t="inlineStr">
        <is>
          <t>(주)바이넥스</t>
        </is>
      </c>
      <c r="D217" s="17" t="n">
        <v>3</v>
      </c>
      <c r="E217" s="17" t="n">
        <v>2</v>
      </c>
      <c r="F217" s="17" t="inlineStr">
        <is>
          <t>Y</t>
        </is>
      </c>
      <c r="G217" s="17" t="inlineStr">
        <is>
          <t>Y</t>
        </is>
      </c>
      <c r="H217" s="17" t="inlineStr">
        <is>
          <t>Y</t>
        </is>
      </c>
      <c r="I217" s="17" t="inlineStr"/>
      <c r="J217" s="24" t="n">
        <v>46572</v>
      </c>
      <c r="K217" s="17" t="inlineStr"/>
      <c r="L217" s="17" t="inlineStr">
        <is>
          <t>Y</t>
        </is>
      </c>
      <c r="M217" s="17" t="inlineStr">
        <is>
          <t>코스닥</t>
        </is>
      </c>
      <c r="N217" s="23" t="inlineStr">
        <is>
          <t>053030</t>
        </is>
      </c>
      <c r="O217" s="17" t="inlineStr">
        <is>
          <t>의약품 제조업</t>
        </is>
      </c>
      <c r="P217" s="17" t="inlineStr">
        <is>
          <t>정장제, 소화제</t>
        </is>
      </c>
      <c r="Q217" s="17" t="inlineStr">
        <is>
          <t>이혁종</t>
        </is>
      </c>
      <c r="R217" s="17" t="inlineStr">
        <is>
          <t>http://www.bi-nex.co.kr</t>
        </is>
      </c>
      <c r="S217" s="17" t="inlineStr">
        <is>
          <t>부산광역시</t>
        </is>
      </c>
      <c r="T217" s="17" t="inlineStr">
        <is>
          <t>032-850-3013</t>
        </is>
      </c>
      <c r="U217" s="17" t="inlineStr">
        <is>
          <t>제조소상세</t>
        </is>
      </c>
      <c r="V217" s="22" t="inlineStr">
        <is>
          <t>미확인</t>
        </is>
      </c>
      <c r="W217" s="22" t="inlineStr">
        <is>
          <t>미확인</t>
        </is>
      </c>
      <c r="X217" s="22" t="inlineStr">
        <is>
          <t>미확인</t>
        </is>
      </c>
      <c r="Y217" s="22" t="inlineStr">
        <is>
          <t>미확인</t>
        </is>
      </c>
      <c r="Z217" s="22" t="inlineStr">
        <is>
          <t>미확인</t>
        </is>
      </c>
      <c r="AA217" s="22" t="inlineStr">
        <is>
          <t>미확인</t>
        </is>
      </c>
      <c r="AB217" s="22" t="inlineStr">
        <is>
          <t>미확인</t>
        </is>
      </c>
      <c r="AC217" s="22" t="inlineStr">
        <is>
          <t>미확인</t>
        </is>
      </c>
      <c r="AD217" s="22" t="inlineStr">
        <is>
          <t>미확인</t>
        </is>
      </c>
      <c r="AE217" s="22" t="inlineStr">
        <is>
          <t>미확인</t>
        </is>
      </c>
      <c r="AF217" s="22" t="inlineStr">
        <is>
          <t>미확인</t>
        </is>
      </c>
      <c r="AG217" s="22" t="inlineStr">
        <is>
          <t>미확인</t>
        </is>
      </c>
      <c r="AH217" s="22" t="inlineStr">
        <is>
          <t>미확인</t>
        </is>
      </c>
      <c r="AI217" s="22" t="inlineStr">
        <is>
          <t>미확인</t>
        </is>
      </c>
      <c r="AJ217" s="22" t="inlineStr">
        <is>
          <t>미확인</t>
        </is>
      </c>
      <c r="AK217" s="22" t="inlineStr">
        <is>
          <t>미확인</t>
        </is>
      </c>
      <c r="AL217" s="22" t="inlineStr">
        <is>
          <t>미확인</t>
        </is>
      </c>
      <c r="AM217" s="22" t="inlineStr">
        <is>
          <t>미확인</t>
        </is>
      </c>
      <c r="AN217" s="22" t="inlineStr">
        <is>
          <t>미확인</t>
        </is>
      </c>
      <c r="AO217" s="17" t="inlineStr">
        <is>
          <t>C(부분확인)</t>
        </is>
      </c>
      <c r="AP217" s="17" t="inlineStr">
        <is>
          <t>Y</t>
        </is>
      </c>
      <c r="AQ217" s="17" t="n">
        <v>22</v>
      </c>
      <c r="AR217" s="28" t="inlineStr">
        <is>
          <t>Tier D</t>
        </is>
      </c>
      <c r="AS217" s="17" t="inlineStr">
        <is>
          <t>통합형</t>
        </is>
      </c>
      <c r="AT217" s="17" t="inlineStr">
        <is>
          <t>다중 제조소/다수 판정서로 문서관리 복잡; 무균/바이오 제조로 품질관리 난도 높음</t>
        </is>
      </c>
      <c r="AU217" s="17" t="inlineStr">
        <is>
          <t>담당자 파악 후 접촉</t>
        </is>
      </c>
      <c r="AV217" s="17" t="inlineStr">
        <is>
          <t>GMP적합판정+KRX</t>
        </is>
      </c>
      <c r="AW217" s="17" t="inlineStr">
        <is>
          <t>2026-07-05</t>
        </is>
      </c>
    </row>
    <row r="218">
      <c r="A218" s="17" t="inlineStr">
        <is>
          <t>C217</t>
        </is>
      </c>
      <c r="B218" s="17" t="inlineStr">
        <is>
          <t>삼전순약공업</t>
        </is>
      </c>
      <c r="C218" s="17" t="inlineStr">
        <is>
          <t>삼전순약공업(주)</t>
        </is>
      </c>
      <c r="D218" s="17" t="n">
        <v>1</v>
      </c>
      <c r="E218" s="17" t="n">
        <v>1</v>
      </c>
      <c r="F218" s="17" t="inlineStr"/>
      <c r="G218" s="17" t="inlineStr">
        <is>
          <t>Y</t>
        </is>
      </c>
      <c r="H218" s="17" t="inlineStr"/>
      <c r="I218" s="17" t="inlineStr"/>
      <c r="J218" s="24" t="n">
        <v>46870</v>
      </c>
      <c r="K218" s="17" t="inlineStr"/>
      <c r="L218" s="17" t="inlineStr"/>
      <c r="M218" s="17" t="inlineStr"/>
      <c r="N218" s="23" t="inlineStr"/>
      <c r="O218" s="17" t="inlineStr"/>
      <c r="P218" s="17" t="inlineStr"/>
      <c r="Q218" s="17" t="inlineStr">
        <is>
          <t>박두곤, 전성혁</t>
        </is>
      </c>
      <c r="R218" s="17" t="inlineStr"/>
      <c r="S218" s="17" t="inlineStr"/>
      <c r="T218" s="17" t="inlineStr">
        <is>
          <t>031-6680-7004</t>
        </is>
      </c>
      <c r="U218" s="17" t="inlineStr">
        <is>
          <t>제조소상세</t>
        </is>
      </c>
      <c r="V218" s="22" t="inlineStr">
        <is>
          <t>미확인</t>
        </is>
      </c>
      <c r="W218" s="22" t="inlineStr">
        <is>
          <t>미확인</t>
        </is>
      </c>
      <c r="X218" s="22" t="inlineStr">
        <is>
          <t>미확인</t>
        </is>
      </c>
      <c r="Y218" s="22" t="inlineStr">
        <is>
          <t>미확인</t>
        </is>
      </c>
      <c r="Z218" s="22" t="inlineStr">
        <is>
          <t>미확인</t>
        </is>
      </c>
      <c r="AA218" s="22" t="inlineStr">
        <is>
          <t>미확인</t>
        </is>
      </c>
      <c r="AB218" s="22" t="inlineStr">
        <is>
          <t>미확인</t>
        </is>
      </c>
      <c r="AC218" s="22" t="inlineStr">
        <is>
          <t>미확인</t>
        </is>
      </c>
      <c r="AD218" s="22" t="inlineStr">
        <is>
          <t>미확인</t>
        </is>
      </c>
      <c r="AE218" s="22" t="inlineStr">
        <is>
          <t>미확인</t>
        </is>
      </c>
      <c r="AF218" s="22" t="inlineStr">
        <is>
          <t>미확인</t>
        </is>
      </c>
      <c r="AG218" s="22" t="inlineStr">
        <is>
          <t>미확인</t>
        </is>
      </c>
      <c r="AH218" s="22" t="inlineStr">
        <is>
          <t>미확인</t>
        </is>
      </c>
      <c r="AI218" s="22" t="inlineStr">
        <is>
          <t>미확인</t>
        </is>
      </c>
      <c r="AJ218" s="22" t="inlineStr">
        <is>
          <t>미확인</t>
        </is>
      </c>
      <c r="AK218" s="22" t="inlineStr">
        <is>
          <t>미확인</t>
        </is>
      </c>
      <c r="AL218" s="22" t="inlineStr">
        <is>
          <t>미확인</t>
        </is>
      </c>
      <c r="AM218" s="22" t="inlineStr">
        <is>
          <t>미확인</t>
        </is>
      </c>
      <c r="AN218" s="22" t="inlineStr">
        <is>
          <t>미확인</t>
        </is>
      </c>
      <c r="AO218" s="17" t="inlineStr">
        <is>
          <t>C(부분확인)</t>
        </is>
      </c>
      <c r="AP218" s="17" t="inlineStr">
        <is>
          <t>Y</t>
        </is>
      </c>
      <c r="AQ218" s="17" t="n">
        <v>4</v>
      </c>
      <c r="AR218" s="28" t="inlineStr">
        <is>
          <t>Tier D</t>
        </is>
      </c>
      <c r="AS218" s="17" t="inlineStr">
        <is>
          <t>LIMS</t>
        </is>
      </c>
      <c r="AT218" s="17" t="inlineStr">
        <is>
          <t>원료 제조로 시험실 관리 필요</t>
        </is>
      </c>
      <c r="AU218" s="17" t="inlineStr">
        <is>
          <t>담당자 파악 후 접촉</t>
        </is>
      </c>
      <c r="AV218" s="17" t="inlineStr">
        <is>
          <t>GMP적합판정+KRX</t>
        </is>
      </c>
      <c r="AW218" s="17" t="inlineStr">
        <is>
          <t>2026-07-05</t>
        </is>
      </c>
    </row>
    <row r="219">
      <c r="A219" s="17" t="inlineStr">
        <is>
          <t>C218</t>
        </is>
      </c>
      <c r="B219" s="17" t="inlineStr">
        <is>
          <t>국제산업가스</t>
        </is>
      </c>
      <c r="C219" s="17" t="inlineStr">
        <is>
          <t>국제산업가스(주)</t>
        </is>
      </c>
      <c r="D219" s="17" t="n">
        <v>1</v>
      </c>
      <c r="E219" s="17" t="n">
        <v>1</v>
      </c>
      <c r="F219" s="17" t="inlineStr">
        <is>
          <t>Y</t>
        </is>
      </c>
      <c r="G219" s="17" t="inlineStr"/>
      <c r="H219" s="17" t="inlineStr"/>
      <c r="I219" s="17" t="inlineStr"/>
      <c r="J219" s="24" t="n">
        <v>46870</v>
      </c>
      <c r="K219" s="17" t="inlineStr"/>
      <c r="L219" s="17" t="inlineStr"/>
      <c r="M219" s="17" t="inlineStr"/>
      <c r="N219" s="23" t="inlineStr"/>
      <c r="O219" s="17" t="inlineStr"/>
      <c r="P219" s="17" t="inlineStr"/>
      <c r="Q219" s="17" t="inlineStr">
        <is>
          <t>안성태</t>
        </is>
      </c>
      <c r="R219" s="17" t="inlineStr"/>
      <c r="S219" s="17" t="inlineStr"/>
      <c r="T219" s="17" t="inlineStr">
        <is>
          <t>031-452-1533</t>
        </is>
      </c>
      <c r="U219" s="17" t="inlineStr">
        <is>
          <t>제조소상세</t>
        </is>
      </c>
      <c r="V219" s="22" t="inlineStr">
        <is>
          <t>미확인</t>
        </is>
      </c>
      <c r="W219" s="22" t="inlineStr">
        <is>
          <t>미확인</t>
        </is>
      </c>
      <c r="X219" s="22" t="inlineStr">
        <is>
          <t>미확인</t>
        </is>
      </c>
      <c r="Y219" s="22" t="inlineStr">
        <is>
          <t>미확인</t>
        </is>
      </c>
      <c r="Z219" s="22" t="inlineStr">
        <is>
          <t>미확인</t>
        </is>
      </c>
      <c r="AA219" s="22" t="inlineStr">
        <is>
          <t>미확인</t>
        </is>
      </c>
      <c r="AB219" s="22" t="inlineStr">
        <is>
          <t>미확인</t>
        </is>
      </c>
      <c r="AC219" s="22" t="inlineStr">
        <is>
          <t>미확인</t>
        </is>
      </c>
      <c r="AD219" s="22" t="inlineStr">
        <is>
          <t>미확인</t>
        </is>
      </c>
      <c r="AE219" s="22" t="inlineStr">
        <is>
          <t>미확인</t>
        </is>
      </c>
      <c r="AF219" s="22" t="inlineStr">
        <is>
          <t>미확인</t>
        </is>
      </c>
      <c r="AG219" s="22" t="inlineStr">
        <is>
          <t>미확인</t>
        </is>
      </c>
      <c r="AH219" s="22" t="inlineStr">
        <is>
          <t>미확인</t>
        </is>
      </c>
      <c r="AI219" s="22" t="inlineStr">
        <is>
          <t>미확인</t>
        </is>
      </c>
      <c r="AJ219" s="22" t="inlineStr">
        <is>
          <t>미확인</t>
        </is>
      </c>
      <c r="AK219" s="22" t="inlineStr">
        <is>
          <t>미확인</t>
        </is>
      </c>
      <c r="AL219" s="22" t="inlineStr">
        <is>
          <t>미확인</t>
        </is>
      </c>
      <c r="AM219" s="22" t="inlineStr">
        <is>
          <t>미확인</t>
        </is>
      </c>
      <c r="AN219" s="22" t="inlineStr">
        <is>
          <t>미확인</t>
        </is>
      </c>
      <c r="AO219" s="17" t="inlineStr">
        <is>
          <t>C(부분확인)</t>
        </is>
      </c>
      <c r="AP219" s="17" t="inlineStr">
        <is>
          <t>Y</t>
        </is>
      </c>
      <c r="AQ219" s="17" t="n">
        <v>4</v>
      </c>
      <c r="AR219" s="28" t="inlineStr">
        <is>
          <t>Tier D</t>
        </is>
      </c>
      <c r="AS219" s="17" t="inlineStr">
        <is>
          <t>EDMS</t>
        </is>
      </c>
      <c r="AT219" s="17" t="inlineStr">
        <is>
          <t>기본 문서관리 수요</t>
        </is>
      </c>
      <c r="AU219" s="17" t="inlineStr">
        <is>
          <t>담당자 파악 후 접촉</t>
        </is>
      </c>
      <c r="AV219" s="17" t="inlineStr">
        <is>
          <t>GMP적합판정+KRX</t>
        </is>
      </c>
      <c r="AW219" s="17" t="inlineStr">
        <is>
          <t>2026-07-05</t>
        </is>
      </c>
    </row>
    <row r="220">
      <c r="A220" s="17" t="inlineStr">
        <is>
          <t>C219</t>
        </is>
      </c>
      <c r="B220" s="17" t="inlineStr">
        <is>
          <t>아주산소</t>
        </is>
      </c>
      <c r="C220" s="17" t="inlineStr">
        <is>
          <t>아주산소(주)</t>
        </is>
      </c>
      <c r="D220" s="17" t="n">
        <v>1</v>
      </c>
      <c r="E220" s="17" t="n">
        <v>1</v>
      </c>
      <c r="F220" s="17" t="inlineStr">
        <is>
          <t>Y</t>
        </is>
      </c>
      <c r="G220" s="17" t="inlineStr"/>
      <c r="H220" s="17" t="inlineStr"/>
      <c r="I220" s="17" t="inlineStr"/>
      <c r="J220" s="24" t="n">
        <v>46868</v>
      </c>
      <c r="K220" s="17" t="inlineStr"/>
      <c r="L220" s="17" t="inlineStr"/>
      <c r="M220" s="17" t="inlineStr"/>
      <c r="N220" s="23" t="inlineStr"/>
      <c r="O220" s="17" t="inlineStr"/>
      <c r="P220" s="17" t="inlineStr"/>
      <c r="Q220" s="17" t="inlineStr">
        <is>
          <t>박선욱</t>
        </is>
      </c>
      <c r="R220" s="17" t="inlineStr"/>
      <c r="S220" s="17" t="inlineStr"/>
      <c r="T220" s="17" t="inlineStr">
        <is>
          <t>062-674-2684</t>
        </is>
      </c>
      <c r="U220" s="17" t="inlineStr">
        <is>
          <t>제조소상세</t>
        </is>
      </c>
      <c r="V220" s="22" t="inlineStr">
        <is>
          <t>미확인</t>
        </is>
      </c>
      <c r="W220" s="22" t="inlineStr">
        <is>
          <t>미확인</t>
        </is>
      </c>
      <c r="X220" s="22" t="inlineStr">
        <is>
          <t>미확인</t>
        </is>
      </c>
      <c r="Y220" s="22" t="inlineStr">
        <is>
          <t>미확인</t>
        </is>
      </c>
      <c r="Z220" s="22" t="inlineStr">
        <is>
          <t>미확인</t>
        </is>
      </c>
      <c r="AA220" s="22" t="inlineStr">
        <is>
          <t>미확인</t>
        </is>
      </c>
      <c r="AB220" s="22" t="inlineStr">
        <is>
          <t>미확인</t>
        </is>
      </c>
      <c r="AC220" s="22" t="inlineStr">
        <is>
          <t>미확인</t>
        </is>
      </c>
      <c r="AD220" s="22" t="inlineStr">
        <is>
          <t>미확인</t>
        </is>
      </c>
      <c r="AE220" s="22" t="inlineStr">
        <is>
          <t>미확인</t>
        </is>
      </c>
      <c r="AF220" s="22" t="inlineStr">
        <is>
          <t>미확인</t>
        </is>
      </c>
      <c r="AG220" s="22" t="inlineStr">
        <is>
          <t>미확인</t>
        </is>
      </c>
      <c r="AH220" s="22" t="inlineStr">
        <is>
          <t>미확인</t>
        </is>
      </c>
      <c r="AI220" s="22" t="inlineStr">
        <is>
          <t>미확인</t>
        </is>
      </c>
      <c r="AJ220" s="22" t="inlineStr">
        <is>
          <t>미확인</t>
        </is>
      </c>
      <c r="AK220" s="22" t="inlineStr">
        <is>
          <t>미확인</t>
        </is>
      </c>
      <c r="AL220" s="22" t="inlineStr">
        <is>
          <t>미확인</t>
        </is>
      </c>
      <c r="AM220" s="22" t="inlineStr">
        <is>
          <t>미확인</t>
        </is>
      </c>
      <c r="AN220" s="22" t="inlineStr">
        <is>
          <t>미확인</t>
        </is>
      </c>
      <c r="AO220" s="17" t="inlineStr">
        <is>
          <t>C(부분확인)</t>
        </is>
      </c>
      <c r="AP220" s="17" t="inlineStr">
        <is>
          <t>Y</t>
        </is>
      </c>
      <c r="AQ220" s="17" t="n">
        <v>4</v>
      </c>
      <c r="AR220" s="28" t="inlineStr">
        <is>
          <t>Tier D</t>
        </is>
      </c>
      <c r="AS220" s="17" t="inlineStr">
        <is>
          <t>EDMS</t>
        </is>
      </c>
      <c r="AT220" s="17" t="inlineStr">
        <is>
          <t>기본 문서관리 수요</t>
        </is>
      </c>
      <c r="AU220" s="17" t="inlineStr">
        <is>
          <t>담당자 파악 후 접촉</t>
        </is>
      </c>
      <c r="AV220" s="17" t="inlineStr">
        <is>
          <t>GMP적합판정+KRX</t>
        </is>
      </c>
      <c r="AW220" s="17" t="inlineStr">
        <is>
          <t>2026-07-05</t>
        </is>
      </c>
    </row>
    <row r="221">
      <c r="A221" s="17" t="inlineStr">
        <is>
          <t>C220</t>
        </is>
      </c>
      <c r="B221" s="17" t="inlineStr">
        <is>
          <t>선도화학</t>
        </is>
      </c>
      <c r="C221" s="17" t="inlineStr">
        <is>
          <t>선도화학주식회사</t>
        </is>
      </c>
      <c r="D221" s="17" t="n">
        <v>1</v>
      </c>
      <c r="E221" s="17" t="n">
        <v>1</v>
      </c>
      <c r="F221" s="17" t="inlineStr">
        <is>
          <t>Y</t>
        </is>
      </c>
      <c r="G221" s="17" t="inlineStr"/>
      <c r="H221" s="17" t="inlineStr"/>
      <c r="I221" s="17" t="inlineStr"/>
      <c r="J221" s="24" t="n">
        <v>46867</v>
      </c>
      <c r="K221" s="17" t="inlineStr"/>
      <c r="L221" s="17" t="inlineStr"/>
      <c r="M221" s="17" t="inlineStr"/>
      <c r="N221" s="23" t="inlineStr"/>
      <c r="O221" s="17" t="inlineStr"/>
      <c r="P221" s="17" t="inlineStr"/>
      <c r="Q221" s="17" t="inlineStr">
        <is>
          <t>윤여환</t>
        </is>
      </c>
      <c r="R221" s="17" t="inlineStr"/>
      <c r="S221" s="17" t="inlineStr"/>
      <c r="T221" s="17" t="inlineStr">
        <is>
          <t>041-663-6465</t>
        </is>
      </c>
      <c r="U221" s="17" t="inlineStr">
        <is>
          <t>제조소상세</t>
        </is>
      </c>
      <c r="V221" s="22" t="inlineStr">
        <is>
          <t>미확인</t>
        </is>
      </c>
      <c r="W221" s="22" t="inlineStr">
        <is>
          <t>미확인</t>
        </is>
      </c>
      <c r="X221" s="22" t="inlineStr">
        <is>
          <t>미확인</t>
        </is>
      </c>
      <c r="Y221" s="22" t="inlineStr">
        <is>
          <t>미확인</t>
        </is>
      </c>
      <c r="Z221" s="22" t="inlineStr">
        <is>
          <t>미확인</t>
        </is>
      </c>
      <c r="AA221" s="22" t="inlineStr">
        <is>
          <t>미확인</t>
        </is>
      </c>
      <c r="AB221" s="22" t="inlineStr">
        <is>
          <t>미확인</t>
        </is>
      </c>
      <c r="AC221" s="22" t="inlineStr">
        <is>
          <t>미확인</t>
        </is>
      </c>
      <c r="AD221" s="22" t="inlineStr">
        <is>
          <t>미확인</t>
        </is>
      </c>
      <c r="AE221" s="22" t="inlineStr">
        <is>
          <t>미확인</t>
        </is>
      </c>
      <c r="AF221" s="22" t="inlineStr">
        <is>
          <t>미확인</t>
        </is>
      </c>
      <c r="AG221" s="22" t="inlineStr">
        <is>
          <t>미확인</t>
        </is>
      </c>
      <c r="AH221" s="22" t="inlineStr">
        <is>
          <t>미확인</t>
        </is>
      </c>
      <c r="AI221" s="22" t="inlineStr">
        <is>
          <t>미확인</t>
        </is>
      </c>
      <c r="AJ221" s="22" t="inlineStr">
        <is>
          <t>미확인</t>
        </is>
      </c>
      <c r="AK221" s="22" t="inlineStr">
        <is>
          <t>미확인</t>
        </is>
      </c>
      <c r="AL221" s="22" t="inlineStr">
        <is>
          <t>미확인</t>
        </is>
      </c>
      <c r="AM221" s="22" t="inlineStr">
        <is>
          <t>미확인</t>
        </is>
      </c>
      <c r="AN221" s="22" t="inlineStr">
        <is>
          <t>미확인</t>
        </is>
      </c>
      <c r="AO221" s="17" t="inlineStr">
        <is>
          <t>C(부분확인)</t>
        </is>
      </c>
      <c r="AP221" s="17" t="inlineStr">
        <is>
          <t>Y</t>
        </is>
      </c>
      <c r="AQ221" s="17" t="n">
        <v>4</v>
      </c>
      <c r="AR221" s="28" t="inlineStr">
        <is>
          <t>Tier D</t>
        </is>
      </c>
      <c r="AS221" s="17" t="inlineStr">
        <is>
          <t>EDMS</t>
        </is>
      </c>
      <c r="AT221" s="17" t="inlineStr">
        <is>
          <t>기본 문서관리 수요</t>
        </is>
      </c>
      <c r="AU221" s="17" t="inlineStr">
        <is>
          <t>담당자 파악 후 접촉</t>
        </is>
      </c>
      <c r="AV221" s="17" t="inlineStr">
        <is>
          <t>GMP적합판정+KRX</t>
        </is>
      </c>
      <c r="AW221" s="17" t="inlineStr">
        <is>
          <t>2026-07-05</t>
        </is>
      </c>
    </row>
    <row r="222">
      <c r="A222" s="17" t="inlineStr">
        <is>
          <t>C221</t>
        </is>
      </c>
      <c r="B222" s="17" t="inlineStr">
        <is>
          <t>영진약품</t>
        </is>
      </c>
      <c r="C222" s="17" t="inlineStr">
        <is>
          <t>영진약품(주)</t>
        </is>
      </c>
      <c r="D222" s="17" t="n">
        <v>2</v>
      </c>
      <c r="E222" s="17" t="n">
        <v>2</v>
      </c>
      <c r="F222" s="17" t="inlineStr">
        <is>
          <t>Y</t>
        </is>
      </c>
      <c r="G222" s="17" t="inlineStr">
        <is>
          <t>Y</t>
        </is>
      </c>
      <c r="H222" s="17" t="inlineStr">
        <is>
          <t>Y</t>
        </is>
      </c>
      <c r="I222" s="17" t="inlineStr"/>
      <c r="J222" s="24" t="n">
        <v>46327</v>
      </c>
      <c r="K222" s="17" t="inlineStr">
        <is>
          <t>Y</t>
        </is>
      </c>
      <c r="L222" s="17" t="inlineStr">
        <is>
          <t>Y</t>
        </is>
      </c>
      <c r="M222" s="17" t="inlineStr">
        <is>
          <t>유가</t>
        </is>
      </c>
      <c r="N222" s="23" t="inlineStr">
        <is>
          <t>003520</t>
        </is>
      </c>
      <c r="O222" s="17" t="inlineStr">
        <is>
          <t>의약품 제조업</t>
        </is>
      </c>
      <c r="P222" s="17" t="inlineStr">
        <is>
          <t>의약품(드링크제,항생제,영양수액제),의약부외품 제조,판매</t>
        </is>
      </c>
      <c r="Q222" s="17" t="inlineStr">
        <is>
          <t>이기수</t>
        </is>
      </c>
      <c r="R222" s="17" t="inlineStr">
        <is>
          <t>http://www.yungjin.co.kr</t>
        </is>
      </c>
      <c r="S222" s="17" t="inlineStr">
        <is>
          <t>서울특별시</t>
        </is>
      </c>
      <c r="T222" s="17" t="inlineStr">
        <is>
          <t>미확인</t>
        </is>
      </c>
      <c r="U222" s="17" t="inlineStr">
        <is>
          <t>미확인</t>
        </is>
      </c>
      <c r="V222" s="22" t="inlineStr">
        <is>
          <t>미확인</t>
        </is>
      </c>
      <c r="W222" s="22" t="inlineStr">
        <is>
          <t>미확인</t>
        </is>
      </c>
      <c r="X222" s="22" t="inlineStr">
        <is>
          <t>미확인</t>
        </is>
      </c>
      <c r="Y222" s="22" t="inlineStr">
        <is>
          <t>미확인</t>
        </is>
      </c>
      <c r="Z222" s="22" t="inlineStr">
        <is>
          <t>미확인</t>
        </is>
      </c>
      <c r="AA222" s="22" t="inlineStr">
        <is>
          <t>미확인</t>
        </is>
      </c>
      <c r="AB222" s="22" t="inlineStr">
        <is>
          <t>미확인</t>
        </is>
      </c>
      <c r="AC222" s="22" t="inlineStr">
        <is>
          <t>미확인</t>
        </is>
      </c>
      <c r="AD222" s="22" t="inlineStr">
        <is>
          <t>미확인</t>
        </is>
      </c>
      <c r="AE222" s="22" t="inlineStr">
        <is>
          <t>미확인</t>
        </is>
      </c>
      <c r="AF222" s="22" t="inlineStr">
        <is>
          <t>미확인</t>
        </is>
      </c>
      <c r="AG222" s="22" t="inlineStr">
        <is>
          <t>미확인</t>
        </is>
      </c>
      <c r="AH222" s="22" t="inlineStr">
        <is>
          <t>미확인</t>
        </is>
      </c>
      <c r="AI222" s="22" t="inlineStr">
        <is>
          <t>미확인</t>
        </is>
      </c>
      <c r="AJ222" s="22" t="inlineStr">
        <is>
          <t>미확인</t>
        </is>
      </c>
      <c r="AK222" s="22" t="inlineStr">
        <is>
          <t>미확인</t>
        </is>
      </c>
      <c r="AL222" s="22" t="inlineStr">
        <is>
          <t>미확인</t>
        </is>
      </c>
      <c r="AM222" s="22" t="inlineStr">
        <is>
          <t>미확인</t>
        </is>
      </c>
      <c r="AN222" s="22" t="inlineStr">
        <is>
          <t>미확인</t>
        </is>
      </c>
      <c r="AO222" s="17" t="inlineStr">
        <is>
          <t>C(부분확인)</t>
        </is>
      </c>
      <c r="AP222" s="17" t="inlineStr">
        <is>
          <t>Y</t>
        </is>
      </c>
      <c r="AQ222" s="17" t="n">
        <v>21</v>
      </c>
      <c r="AR222" s="28" t="inlineStr">
        <is>
          <t>Tier D</t>
        </is>
      </c>
      <c r="AS222" s="17" t="inlineStr">
        <is>
          <t>통합형</t>
        </is>
      </c>
      <c r="AT222" s="17" t="inlineStr">
        <is>
          <t>다중 제조소/다수 판정서로 문서관리 복잡; 무균/바이오 제조로 품질관리 난도 높음</t>
        </is>
      </c>
      <c r="AU222" s="17" t="inlineStr">
        <is>
          <t>담당자 파악 후 접촉</t>
        </is>
      </c>
      <c r="AV222" s="17" t="inlineStr">
        <is>
          <t>GMP적합판정+KRX</t>
        </is>
      </c>
      <c r="AW222" s="17" t="inlineStr">
        <is>
          <t>2026-07-05</t>
        </is>
      </c>
    </row>
    <row r="223">
      <c r="A223" s="17" t="inlineStr">
        <is>
          <t>C222</t>
        </is>
      </c>
      <c r="B223" s="17" t="inlineStr">
        <is>
          <t>팜젠사이언스</t>
        </is>
      </c>
      <c r="C223" s="17" t="inlineStr">
        <is>
          <t>(주)팜젠사이언스</t>
        </is>
      </c>
      <c r="D223" s="17" t="n">
        <v>1</v>
      </c>
      <c r="E223" s="17" t="n">
        <v>1</v>
      </c>
      <c r="F223" s="17" t="inlineStr">
        <is>
          <t>Y</t>
        </is>
      </c>
      <c r="G223" s="17" t="inlineStr"/>
      <c r="H223" s="17" t="inlineStr"/>
      <c r="I223" s="17" t="inlineStr"/>
      <c r="J223" s="24" t="n">
        <v>46864</v>
      </c>
      <c r="K223" s="17" t="inlineStr"/>
      <c r="L223" s="17" t="inlineStr">
        <is>
          <t>Y</t>
        </is>
      </c>
      <c r="M223" s="17" t="inlineStr">
        <is>
          <t>유가</t>
        </is>
      </c>
      <c r="N223" s="23" t="inlineStr">
        <is>
          <t>004720</t>
        </is>
      </c>
      <c r="O223" s="17" t="inlineStr">
        <is>
          <t>의약품 제조업</t>
        </is>
      </c>
      <c r="P223" s="17" t="inlineStr">
        <is>
          <t>의약품 외</t>
        </is>
      </c>
      <c r="Q223" s="17" t="inlineStr">
        <is>
          <t>박희덕</t>
        </is>
      </c>
      <c r="R223" s="17" t="inlineStr">
        <is>
          <t>http://www.pharmgenscience.com</t>
        </is>
      </c>
      <c r="S223" s="17" t="inlineStr">
        <is>
          <t>경기도</t>
        </is>
      </c>
      <c r="T223" s="17" t="inlineStr">
        <is>
          <t>02-2194-3590</t>
        </is>
      </c>
      <c r="U223" s="17" t="inlineStr">
        <is>
          <t>제조소상세</t>
        </is>
      </c>
      <c r="V223" s="22" t="inlineStr">
        <is>
          <t>미확인</t>
        </is>
      </c>
      <c r="W223" s="22" t="inlineStr">
        <is>
          <t>미확인</t>
        </is>
      </c>
      <c r="X223" s="22" t="inlineStr">
        <is>
          <t>미확인</t>
        </is>
      </c>
      <c r="Y223" s="22" t="inlineStr">
        <is>
          <t>미확인</t>
        </is>
      </c>
      <c r="Z223" s="22" t="inlineStr">
        <is>
          <t>미확인</t>
        </is>
      </c>
      <c r="AA223" s="22" t="inlineStr">
        <is>
          <t>미확인</t>
        </is>
      </c>
      <c r="AB223" s="22" t="inlineStr">
        <is>
          <t>미확인</t>
        </is>
      </c>
      <c r="AC223" s="22" t="inlineStr">
        <is>
          <t>미확인</t>
        </is>
      </c>
      <c r="AD223" s="22" t="inlineStr">
        <is>
          <t>미확인</t>
        </is>
      </c>
      <c r="AE223" s="22" t="inlineStr">
        <is>
          <t>미확인</t>
        </is>
      </c>
      <c r="AF223" s="22" t="inlineStr">
        <is>
          <t>미확인</t>
        </is>
      </c>
      <c r="AG223" s="22" t="inlineStr">
        <is>
          <t>미확인</t>
        </is>
      </c>
      <c r="AH223" s="22" t="inlineStr">
        <is>
          <t>미확인</t>
        </is>
      </c>
      <c r="AI223" s="22" t="inlineStr">
        <is>
          <t>미확인</t>
        </is>
      </c>
      <c r="AJ223" s="22" t="inlineStr">
        <is>
          <t>미확인</t>
        </is>
      </c>
      <c r="AK223" s="22" t="inlineStr">
        <is>
          <t>미확인</t>
        </is>
      </c>
      <c r="AL223" s="22" t="inlineStr">
        <is>
          <t>미확인</t>
        </is>
      </c>
      <c r="AM223" s="22" t="inlineStr">
        <is>
          <t>미확인</t>
        </is>
      </c>
      <c r="AN223" s="22" t="inlineStr">
        <is>
          <t>미확인</t>
        </is>
      </c>
      <c r="AO223" s="17" t="inlineStr">
        <is>
          <t>C(부분확인)</t>
        </is>
      </c>
      <c r="AP223" s="17" t="inlineStr">
        <is>
          <t>Y</t>
        </is>
      </c>
      <c r="AQ223" s="17" t="n">
        <v>7</v>
      </c>
      <c r="AR223" s="28" t="inlineStr">
        <is>
          <t>Tier D</t>
        </is>
      </c>
      <c r="AS223" s="17" t="inlineStr">
        <is>
          <t>EDMS</t>
        </is>
      </c>
      <c r="AT223" s="17" t="inlineStr">
        <is>
          <t>기본 문서관리 수요</t>
        </is>
      </c>
      <c r="AU223" s="17" t="inlineStr">
        <is>
          <t>담당자 파악 후 접촉</t>
        </is>
      </c>
      <c r="AV223" s="17" t="inlineStr">
        <is>
          <t>GMP적합판정+KRX</t>
        </is>
      </c>
      <c r="AW223" s="17" t="inlineStr">
        <is>
          <t>2026-07-05</t>
        </is>
      </c>
    </row>
    <row r="224">
      <c r="A224" s="17" t="inlineStr">
        <is>
          <t>C223</t>
        </is>
      </c>
      <c r="B224" s="17" t="inlineStr">
        <is>
          <t>알보젠코리아</t>
        </is>
      </c>
      <c r="C224" s="17" t="inlineStr">
        <is>
          <t>알보젠코리아(주)</t>
        </is>
      </c>
      <c r="D224" s="17" t="n">
        <v>2</v>
      </c>
      <c r="E224" s="17" t="n">
        <v>2</v>
      </c>
      <c r="F224" s="17" t="inlineStr">
        <is>
          <t>Y</t>
        </is>
      </c>
      <c r="G224" s="17" t="inlineStr"/>
      <c r="H224" s="17" t="inlineStr"/>
      <c r="I224" s="17" t="inlineStr"/>
      <c r="J224" s="24" t="n">
        <v>46779</v>
      </c>
      <c r="K224" s="17" t="inlineStr"/>
      <c r="L224" s="17" t="inlineStr"/>
      <c r="M224" s="17" t="inlineStr"/>
      <c r="N224" s="23" t="inlineStr"/>
      <c r="O224" s="17" t="inlineStr"/>
      <c r="P224" s="17" t="inlineStr"/>
      <c r="Q224" s="17" t="inlineStr">
        <is>
          <t>임희균</t>
        </is>
      </c>
      <c r="R224" s="17" t="inlineStr"/>
      <c r="S224" s="17" t="inlineStr"/>
      <c r="T224" s="17" t="inlineStr">
        <is>
          <t>041-840-5300</t>
        </is>
      </c>
      <c r="U224" s="17" t="inlineStr">
        <is>
          <t>제조소상세</t>
        </is>
      </c>
      <c r="V224" s="22" t="inlineStr">
        <is>
          <t>미확인</t>
        </is>
      </c>
      <c r="W224" s="22" t="inlineStr">
        <is>
          <t>미확인</t>
        </is>
      </c>
      <c r="X224" s="22" t="inlineStr">
        <is>
          <t>미확인</t>
        </is>
      </c>
      <c r="Y224" s="22" t="inlineStr">
        <is>
          <t>미확인</t>
        </is>
      </c>
      <c r="Z224" s="22" t="inlineStr">
        <is>
          <t>미확인</t>
        </is>
      </c>
      <c r="AA224" s="22" t="inlineStr">
        <is>
          <t>미확인</t>
        </is>
      </c>
      <c r="AB224" s="22" t="inlineStr">
        <is>
          <t>미확인</t>
        </is>
      </c>
      <c r="AC224" s="22" t="inlineStr">
        <is>
          <t>미확인</t>
        </is>
      </c>
      <c r="AD224" s="22" t="inlineStr">
        <is>
          <t>미확인</t>
        </is>
      </c>
      <c r="AE224" s="22" t="inlineStr">
        <is>
          <t>미확인</t>
        </is>
      </c>
      <c r="AF224" s="22" t="inlineStr">
        <is>
          <t>미확인</t>
        </is>
      </c>
      <c r="AG224" s="22" t="inlineStr">
        <is>
          <t>미확인</t>
        </is>
      </c>
      <c r="AH224" s="22" t="inlineStr">
        <is>
          <t>미확인</t>
        </is>
      </c>
      <c r="AI224" s="22" t="inlineStr">
        <is>
          <t>미확인</t>
        </is>
      </c>
      <c r="AJ224" s="22" t="inlineStr">
        <is>
          <t>미확인</t>
        </is>
      </c>
      <c r="AK224" s="22" t="inlineStr">
        <is>
          <t>미확인</t>
        </is>
      </c>
      <c r="AL224" s="22" t="inlineStr">
        <is>
          <t>미확인</t>
        </is>
      </c>
      <c r="AM224" s="22" t="inlineStr">
        <is>
          <t>미확인</t>
        </is>
      </c>
      <c r="AN224" s="22" t="inlineStr">
        <is>
          <t>미확인</t>
        </is>
      </c>
      <c r="AO224" s="17" t="inlineStr">
        <is>
          <t>C(부분확인)</t>
        </is>
      </c>
      <c r="AP224" s="17" t="inlineStr">
        <is>
          <t>Y</t>
        </is>
      </c>
      <c r="AQ224" s="17" t="n">
        <v>8</v>
      </c>
      <c r="AR224" s="28" t="inlineStr">
        <is>
          <t>Tier D</t>
        </is>
      </c>
      <c r="AS224" s="17" t="inlineStr">
        <is>
          <t>EDMS+QMS+LMS</t>
        </is>
      </c>
      <c r="AT224" s="17" t="inlineStr">
        <is>
          <t>다중 제조소/다수 판정서로 문서관리 복잡; 다중 제조소로 교육관리 대상 광범위</t>
        </is>
      </c>
      <c r="AU224" s="17" t="inlineStr">
        <is>
          <t>담당자 파악 후 접촉</t>
        </is>
      </c>
      <c r="AV224" s="17" t="inlineStr">
        <is>
          <t>GMP적합판정+KRX</t>
        </is>
      </c>
      <c r="AW224" s="17" t="inlineStr">
        <is>
          <t>2026-07-05</t>
        </is>
      </c>
    </row>
    <row r="225">
      <c r="A225" s="17" t="inlineStr">
        <is>
          <t>C224</t>
        </is>
      </c>
      <c r="B225" s="17" t="inlineStr">
        <is>
          <t>신화제약</t>
        </is>
      </c>
      <c r="C225" s="17" t="inlineStr">
        <is>
          <t>신화제약(주)</t>
        </is>
      </c>
      <c r="D225" s="17" t="n">
        <v>1</v>
      </c>
      <c r="E225" s="17" t="n">
        <v>1</v>
      </c>
      <c r="F225" s="17" t="inlineStr">
        <is>
          <t>Y</t>
        </is>
      </c>
      <c r="G225" s="17" t="inlineStr"/>
      <c r="H225" s="17" t="inlineStr"/>
      <c r="I225" s="17" t="inlineStr"/>
      <c r="J225" s="24" t="n">
        <v>46857</v>
      </c>
      <c r="K225" s="17" t="inlineStr"/>
      <c r="L225" s="17" t="inlineStr"/>
      <c r="M225" s="17" t="inlineStr"/>
      <c r="N225" s="23" t="inlineStr"/>
      <c r="O225" s="17" t="inlineStr"/>
      <c r="P225" s="17" t="inlineStr"/>
      <c r="Q225" s="17" t="inlineStr">
        <is>
          <t>이두래</t>
        </is>
      </c>
      <c r="R225" s="17" t="inlineStr"/>
      <c r="S225" s="17" t="inlineStr"/>
      <c r="T225" s="17" t="inlineStr">
        <is>
          <t>053-581-7668</t>
        </is>
      </c>
      <c r="U225" s="17" t="inlineStr">
        <is>
          <t>제조소상세</t>
        </is>
      </c>
      <c r="V225" s="22" t="inlineStr">
        <is>
          <t>미확인</t>
        </is>
      </c>
      <c r="W225" s="22" t="inlineStr">
        <is>
          <t>미확인</t>
        </is>
      </c>
      <c r="X225" s="22" t="inlineStr">
        <is>
          <t>미확인</t>
        </is>
      </c>
      <c r="Y225" s="22" t="inlineStr">
        <is>
          <t>미확인</t>
        </is>
      </c>
      <c r="Z225" s="22" t="inlineStr">
        <is>
          <t>미확인</t>
        </is>
      </c>
      <c r="AA225" s="22" t="inlineStr">
        <is>
          <t>미확인</t>
        </is>
      </c>
      <c r="AB225" s="22" t="inlineStr">
        <is>
          <t>미확인</t>
        </is>
      </c>
      <c r="AC225" s="22" t="inlineStr">
        <is>
          <t>미확인</t>
        </is>
      </c>
      <c r="AD225" s="22" t="inlineStr">
        <is>
          <t>미확인</t>
        </is>
      </c>
      <c r="AE225" s="22" t="inlineStr">
        <is>
          <t>미확인</t>
        </is>
      </c>
      <c r="AF225" s="22" t="inlineStr">
        <is>
          <t>미확인</t>
        </is>
      </c>
      <c r="AG225" s="22" t="inlineStr">
        <is>
          <t>미확인</t>
        </is>
      </c>
      <c r="AH225" s="22" t="inlineStr">
        <is>
          <t>미확인</t>
        </is>
      </c>
      <c r="AI225" s="22" t="inlineStr">
        <is>
          <t>미확인</t>
        </is>
      </c>
      <c r="AJ225" s="22" t="inlineStr">
        <is>
          <t>미확인</t>
        </is>
      </c>
      <c r="AK225" s="22" t="inlineStr">
        <is>
          <t>미확인</t>
        </is>
      </c>
      <c r="AL225" s="22" t="inlineStr">
        <is>
          <t>미확인</t>
        </is>
      </c>
      <c r="AM225" s="22" t="inlineStr">
        <is>
          <t>미확인</t>
        </is>
      </c>
      <c r="AN225" s="22" t="inlineStr">
        <is>
          <t>미확인</t>
        </is>
      </c>
      <c r="AO225" s="17" t="inlineStr">
        <is>
          <t>C(부분확인)</t>
        </is>
      </c>
      <c r="AP225" s="17" t="inlineStr">
        <is>
          <t>Y</t>
        </is>
      </c>
      <c r="AQ225" s="17" t="n">
        <v>4</v>
      </c>
      <c r="AR225" s="28" t="inlineStr">
        <is>
          <t>Tier D</t>
        </is>
      </c>
      <c r="AS225" s="17" t="inlineStr">
        <is>
          <t>EDMS</t>
        </is>
      </c>
      <c r="AT225" s="17" t="inlineStr">
        <is>
          <t>기본 문서관리 수요</t>
        </is>
      </c>
      <c r="AU225" s="17" t="inlineStr">
        <is>
          <t>담당자 파악 후 접촉</t>
        </is>
      </c>
      <c r="AV225" s="17" t="inlineStr">
        <is>
          <t>GMP적합판정+KRX</t>
        </is>
      </c>
      <c r="AW225" s="17" t="inlineStr">
        <is>
          <t>2026-07-05</t>
        </is>
      </c>
    </row>
    <row r="226">
      <c r="A226" s="17" t="inlineStr">
        <is>
          <t>C225</t>
        </is>
      </c>
      <c r="B226" s="17" t="inlineStr">
        <is>
          <t>비씨월드제약</t>
        </is>
      </c>
      <c r="C226" s="17" t="inlineStr">
        <is>
          <t>(주)비씨월드제약</t>
        </is>
      </c>
      <c r="D226" s="17" t="n">
        <v>1</v>
      </c>
      <c r="E226" s="17" t="n">
        <v>1</v>
      </c>
      <c r="F226" s="17" t="inlineStr">
        <is>
          <t>Y</t>
        </is>
      </c>
      <c r="G226" s="17" t="inlineStr"/>
      <c r="H226" s="17" t="inlineStr">
        <is>
          <t>Y</t>
        </is>
      </c>
      <c r="I226" s="17" t="inlineStr"/>
      <c r="J226" s="24" t="n">
        <v>46857</v>
      </c>
      <c r="K226" s="17" t="inlineStr"/>
      <c r="L226" s="17" t="inlineStr">
        <is>
          <t>Y</t>
        </is>
      </c>
      <c r="M226" s="17" t="inlineStr">
        <is>
          <t>코스닥</t>
        </is>
      </c>
      <c r="N226" s="23" t="inlineStr">
        <is>
          <t>200780</t>
        </is>
      </c>
      <c r="O226" s="17" t="inlineStr">
        <is>
          <t>의약품 제조업</t>
        </is>
      </c>
      <c r="P226" s="17" t="inlineStr">
        <is>
          <t>마취통증약, 순환계약, 항생제, 기타처방약</t>
        </is>
      </c>
      <c r="Q226" s="17" t="inlineStr">
        <is>
          <t>홍성한</t>
        </is>
      </c>
      <c r="R226" s="17" t="inlineStr">
        <is>
          <t>http://www.bcwp.co.kr</t>
        </is>
      </c>
      <c r="S226" s="17" t="inlineStr">
        <is>
          <t>경기도</t>
        </is>
      </c>
      <c r="T226" s="17" t="inlineStr">
        <is>
          <t>031-881-6146</t>
        </is>
      </c>
      <c r="U226" s="17" t="inlineStr">
        <is>
          <t>제조소상세</t>
        </is>
      </c>
      <c r="V226" s="22" t="inlineStr">
        <is>
          <t>미확인</t>
        </is>
      </c>
      <c r="W226" s="22" t="inlineStr">
        <is>
          <t>미확인</t>
        </is>
      </c>
      <c r="X226" s="22" t="inlineStr">
        <is>
          <t>미확인</t>
        </is>
      </c>
      <c r="Y226" s="22" t="inlineStr">
        <is>
          <t>미확인</t>
        </is>
      </c>
      <c r="Z226" s="22" t="inlineStr">
        <is>
          <t>미확인</t>
        </is>
      </c>
      <c r="AA226" s="22" t="inlineStr">
        <is>
          <t>미확인</t>
        </is>
      </c>
      <c r="AB226" s="22" t="inlineStr">
        <is>
          <t>미확인</t>
        </is>
      </c>
      <c r="AC226" s="22" t="inlineStr">
        <is>
          <t>미확인</t>
        </is>
      </c>
      <c r="AD226" s="22" t="inlineStr">
        <is>
          <t>미확인</t>
        </is>
      </c>
      <c r="AE226" s="22" t="inlineStr">
        <is>
          <t>미확인</t>
        </is>
      </c>
      <c r="AF226" s="22" t="inlineStr">
        <is>
          <t>미확인</t>
        </is>
      </c>
      <c r="AG226" s="22" t="inlineStr">
        <is>
          <t>미확인</t>
        </is>
      </c>
      <c r="AH226" s="22" t="inlineStr">
        <is>
          <t>미확인</t>
        </is>
      </c>
      <c r="AI226" s="22" t="inlineStr">
        <is>
          <t>미확인</t>
        </is>
      </c>
      <c r="AJ226" s="22" t="inlineStr">
        <is>
          <t>미확인</t>
        </is>
      </c>
      <c r="AK226" s="22" t="inlineStr">
        <is>
          <t>미확인</t>
        </is>
      </c>
      <c r="AL226" s="22" t="inlineStr">
        <is>
          <t>미확인</t>
        </is>
      </c>
      <c r="AM226" s="22" t="inlineStr">
        <is>
          <t>미확인</t>
        </is>
      </c>
      <c r="AN226" s="22" t="inlineStr">
        <is>
          <t>미확인</t>
        </is>
      </c>
      <c r="AO226" s="17" t="inlineStr">
        <is>
          <t>C(부분확인)</t>
        </is>
      </c>
      <c r="AP226" s="17" t="inlineStr">
        <is>
          <t>Y</t>
        </is>
      </c>
      <c r="AQ226" s="17" t="n">
        <v>15</v>
      </c>
      <c r="AR226" s="28" t="inlineStr">
        <is>
          <t>Tier D</t>
        </is>
      </c>
      <c r="AS226" s="17" t="inlineStr">
        <is>
          <t>QMS+LIMS</t>
        </is>
      </c>
      <c r="AT226" s="17" t="inlineStr">
        <is>
          <t>무균/바이오 제조로 품질관리 난도 높음</t>
        </is>
      </c>
      <c r="AU226" s="17" t="inlineStr">
        <is>
          <t>담당자 파악 후 접촉</t>
        </is>
      </c>
      <c r="AV226" s="17" t="inlineStr">
        <is>
          <t>GMP적합판정+KRX</t>
        </is>
      </c>
      <c r="AW226" s="17" t="inlineStr">
        <is>
          <t>2026-07-05</t>
        </is>
      </c>
    </row>
    <row r="227">
      <c r="A227" s="17" t="inlineStr">
        <is>
          <t>C226</t>
        </is>
      </c>
      <c r="B227" s="17" t="inlineStr">
        <is>
          <t>아이티켐</t>
        </is>
      </c>
      <c r="C227" s="17" t="inlineStr">
        <is>
          <t>(주)아이티켐</t>
        </is>
      </c>
      <c r="D227" s="17" t="n">
        <v>1</v>
      </c>
      <c r="E227" s="17" t="n">
        <v>1</v>
      </c>
      <c r="F227" s="17" t="inlineStr"/>
      <c r="G227" s="17" t="inlineStr">
        <is>
          <t>Y</t>
        </is>
      </c>
      <c r="H227" s="17" t="inlineStr"/>
      <c r="I227" s="17" t="inlineStr"/>
      <c r="J227" s="24" t="n">
        <v>46856</v>
      </c>
      <c r="K227" s="17" t="inlineStr"/>
      <c r="L227" s="17" t="inlineStr">
        <is>
          <t>Y</t>
        </is>
      </c>
      <c r="M227" s="17" t="inlineStr">
        <is>
          <t>코스닥</t>
        </is>
      </c>
      <c r="N227" s="23" t="inlineStr">
        <is>
          <t>309710</t>
        </is>
      </c>
      <c r="O227" s="17" t="inlineStr">
        <is>
          <t>기초 의약물질 제조업</t>
        </is>
      </c>
      <c r="P227" s="17" t="inlineStr">
        <is>
          <t>원료의약품, 의약품중간체 및 전자재료 등</t>
        </is>
      </c>
      <c r="Q227" s="17" t="inlineStr">
        <is>
          <t>김인규</t>
        </is>
      </c>
      <c r="R227" s="17" t="inlineStr">
        <is>
          <t>http://itchem.co.kr/home/main.php</t>
        </is>
      </c>
      <c r="S227" s="17" t="inlineStr">
        <is>
          <t>충청북도</t>
        </is>
      </c>
      <c r="T227" s="17" t="inlineStr">
        <is>
          <t>043217702807075461932</t>
        </is>
      </c>
      <c r="U227" s="17" t="inlineStr">
        <is>
          <t>제조소상세</t>
        </is>
      </c>
      <c r="V227" s="22" t="inlineStr">
        <is>
          <t>미확인</t>
        </is>
      </c>
      <c r="W227" s="22" t="inlineStr">
        <is>
          <t>미확인</t>
        </is>
      </c>
      <c r="X227" s="22" t="inlineStr">
        <is>
          <t>미확인</t>
        </is>
      </c>
      <c r="Y227" s="22" t="inlineStr">
        <is>
          <t>미확인</t>
        </is>
      </c>
      <c r="Z227" s="22" t="inlineStr">
        <is>
          <t>미확인</t>
        </is>
      </c>
      <c r="AA227" s="22" t="inlineStr">
        <is>
          <t>미확인</t>
        </is>
      </c>
      <c r="AB227" s="22" t="inlineStr">
        <is>
          <t>미확인</t>
        </is>
      </c>
      <c r="AC227" s="22" t="inlineStr">
        <is>
          <t>미확인</t>
        </is>
      </c>
      <c r="AD227" s="22" t="inlineStr">
        <is>
          <t>미확인</t>
        </is>
      </c>
      <c r="AE227" s="22" t="inlineStr">
        <is>
          <t>미확인</t>
        </is>
      </c>
      <c r="AF227" s="22" t="inlineStr">
        <is>
          <t>미확인</t>
        </is>
      </c>
      <c r="AG227" s="22" t="inlineStr">
        <is>
          <t>미확인</t>
        </is>
      </c>
      <c r="AH227" s="22" t="inlineStr">
        <is>
          <t>미확인</t>
        </is>
      </c>
      <c r="AI227" s="22" t="inlineStr">
        <is>
          <t>미확인</t>
        </is>
      </c>
      <c r="AJ227" s="22" t="inlineStr">
        <is>
          <t>미확인</t>
        </is>
      </c>
      <c r="AK227" s="22" t="inlineStr">
        <is>
          <t>미확인</t>
        </is>
      </c>
      <c r="AL227" s="22" t="inlineStr">
        <is>
          <t>미확인</t>
        </is>
      </c>
      <c r="AM227" s="22" t="inlineStr">
        <is>
          <t>미확인</t>
        </is>
      </c>
      <c r="AN227" s="22" t="inlineStr">
        <is>
          <t>미확인</t>
        </is>
      </c>
      <c r="AO227" s="17" t="inlineStr">
        <is>
          <t>C(부분확인)</t>
        </is>
      </c>
      <c r="AP227" s="17" t="inlineStr">
        <is>
          <t>Y</t>
        </is>
      </c>
      <c r="AQ227" s="17" t="n">
        <v>7</v>
      </c>
      <c r="AR227" s="28" t="inlineStr">
        <is>
          <t>Tier D</t>
        </is>
      </c>
      <c r="AS227" s="17" t="inlineStr">
        <is>
          <t>LIMS</t>
        </is>
      </c>
      <c r="AT227" s="17" t="inlineStr">
        <is>
          <t>원료 제조로 시험실 관리 필요</t>
        </is>
      </c>
      <c r="AU227" s="17" t="inlineStr">
        <is>
          <t>담당자 파악 후 접촉</t>
        </is>
      </c>
      <c r="AV227" s="17" t="inlineStr">
        <is>
          <t>GMP적합판정+KRX</t>
        </is>
      </c>
      <c r="AW227" s="17" t="inlineStr">
        <is>
          <t>2026-07-05</t>
        </is>
      </c>
    </row>
    <row r="228">
      <c r="A228" s="17" t="inlineStr">
        <is>
          <t>C227</t>
        </is>
      </c>
      <c r="B228" s="17" t="inlineStr">
        <is>
          <t>동양산업가스</t>
        </is>
      </c>
      <c r="C228" s="17" t="inlineStr">
        <is>
          <t>동양산업가스(주)</t>
        </is>
      </c>
      <c r="D228" s="17" t="n">
        <v>1</v>
      </c>
      <c r="E228" s="17" t="n">
        <v>1</v>
      </c>
      <c r="F228" s="17" t="inlineStr">
        <is>
          <t>Y</t>
        </is>
      </c>
      <c r="G228" s="17" t="inlineStr"/>
      <c r="H228" s="17" t="inlineStr"/>
      <c r="I228" s="17" t="inlineStr"/>
      <c r="J228" s="24" t="n">
        <v>46854</v>
      </c>
      <c r="K228" s="17" t="inlineStr"/>
      <c r="L228" s="17" t="inlineStr"/>
      <c r="M228" s="17" t="inlineStr"/>
      <c r="N228" s="23" t="inlineStr"/>
      <c r="O228" s="17" t="inlineStr"/>
      <c r="P228" s="17" t="inlineStr"/>
      <c r="Q228" s="17" t="inlineStr">
        <is>
          <t>최지호</t>
        </is>
      </c>
      <c r="R228" s="17" t="inlineStr"/>
      <c r="S228" s="17" t="inlineStr"/>
      <c r="T228" s="17" t="inlineStr">
        <is>
          <t>미확인</t>
        </is>
      </c>
      <c r="U228" s="17" t="inlineStr">
        <is>
          <t>미확인</t>
        </is>
      </c>
      <c r="V228" s="22" t="inlineStr">
        <is>
          <t>미확인</t>
        </is>
      </c>
      <c r="W228" s="22" t="inlineStr">
        <is>
          <t>미확인</t>
        </is>
      </c>
      <c r="X228" s="22" t="inlineStr">
        <is>
          <t>미확인</t>
        </is>
      </c>
      <c r="Y228" s="22" t="inlineStr">
        <is>
          <t>미확인</t>
        </is>
      </c>
      <c r="Z228" s="22" t="inlineStr">
        <is>
          <t>미확인</t>
        </is>
      </c>
      <c r="AA228" s="22" t="inlineStr">
        <is>
          <t>미확인</t>
        </is>
      </c>
      <c r="AB228" s="22" t="inlineStr">
        <is>
          <t>미확인</t>
        </is>
      </c>
      <c r="AC228" s="22" t="inlineStr">
        <is>
          <t>미확인</t>
        </is>
      </c>
      <c r="AD228" s="22" t="inlineStr">
        <is>
          <t>미확인</t>
        </is>
      </c>
      <c r="AE228" s="22" t="inlineStr">
        <is>
          <t>미확인</t>
        </is>
      </c>
      <c r="AF228" s="22" t="inlineStr">
        <is>
          <t>미확인</t>
        </is>
      </c>
      <c r="AG228" s="22" t="inlineStr">
        <is>
          <t>미확인</t>
        </is>
      </c>
      <c r="AH228" s="22" t="inlineStr">
        <is>
          <t>미확인</t>
        </is>
      </c>
      <c r="AI228" s="22" t="inlineStr">
        <is>
          <t>미확인</t>
        </is>
      </c>
      <c r="AJ228" s="22" t="inlineStr">
        <is>
          <t>미확인</t>
        </is>
      </c>
      <c r="AK228" s="22" t="inlineStr">
        <is>
          <t>미확인</t>
        </is>
      </c>
      <c r="AL228" s="22" t="inlineStr">
        <is>
          <t>미확인</t>
        </is>
      </c>
      <c r="AM228" s="22" t="inlineStr">
        <is>
          <t>미확인</t>
        </is>
      </c>
      <c r="AN228" s="22" t="inlineStr">
        <is>
          <t>미확인</t>
        </is>
      </c>
      <c r="AO228" s="17" t="inlineStr">
        <is>
          <t>C(부분확인)</t>
        </is>
      </c>
      <c r="AP228" s="17" t="inlineStr">
        <is>
          <t>Y</t>
        </is>
      </c>
      <c r="AQ228" s="17" t="n">
        <v>4</v>
      </c>
      <c r="AR228" s="28" t="inlineStr">
        <is>
          <t>Tier D</t>
        </is>
      </c>
      <c r="AS228" s="17" t="inlineStr">
        <is>
          <t>EDMS</t>
        </is>
      </c>
      <c r="AT228" s="17" t="inlineStr">
        <is>
          <t>기본 문서관리 수요</t>
        </is>
      </c>
      <c r="AU228" s="17" t="inlineStr">
        <is>
          <t>담당자 파악 후 접촉</t>
        </is>
      </c>
      <c r="AV228" s="17" t="inlineStr">
        <is>
          <t>GMP적합판정+KRX</t>
        </is>
      </c>
      <c r="AW228" s="17" t="inlineStr">
        <is>
          <t>2026-07-05</t>
        </is>
      </c>
    </row>
    <row r="229">
      <c r="A229" s="17" t="inlineStr">
        <is>
          <t>C228</t>
        </is>
      </c>
      <c r="B229" s="17" t="inlineStr">
        <is>
          <t>신일가스-영암</t>
        </is>
      </c>
      <c r="C229" s="17" t="inlineStr">
        <is>
          <t>신일가스(주)-영암</t>
        </is>
      </c>
      <c r="D229" s="17" t="n">
        <v>1</v>
      </c>
      <c r="E229" s="17" t="n">
        <v>1</v>
      </c>
      <c r="F229" s="17" t="inlineStr">
        <is>
          <t>Y</t>
        </is>
      </c>
      <c r="G229" s="17" t="inlineStr"/>
      <c r="H229" s="17" t="inlineStr"/>
      <c r="I229" s="17" t="inlineStr"/>
      <c r="J229" s="24" t="n">
        <v>46854</v>
      </c>
      <c r="K229" s="17" t="inlineStr"/>
      <c r="L229" s="17" t="inlineStr"/>
      <c r="M229" s="17" t="inlineStr"/>
      <c r="N229" s="23" t="inlineStr"/>
      <c r="O229" s="17" t="inlineStr"/>
      <c r="P229" s="17" t="inlineStr"/>
      <c r="Q229" s="17" t="inlineStr">
        <is>
          <t>유봉래</t>
        </is>
      </c>
      <c r="R229" s="17" t="inlineStr"/>
      <c r="S229" s="17" t="inlineStr"/>
      <c r="T229" s="17" t="inlineStr">
        <is>
          <t>061-462-8981</t>
        </is>
      </c>
      <c r="U229" s="17" t="inlineStr">
        <is>
          <t>제조소상세</t>
        </is>
      </c>
      <c r="V229" s="22" t="inlineStr">
        <is>
          <t>미확인</t>
        </is>
      </c>
      <c r="W229" s="22" t="inlineStr">
        <is>
          <t>미확인</t>
        </is>
      </c>
      <c r="X229" s="22" t="inlineStr">
        <is>
          <t>미확인</t>
        </is>
      </c>
      <c r="Y229" s="22" t="inlineStr">
        <is>
          <t>미확인</t>
        </is>
      </c>
      <c r="Z229" s="22" t="inlineStr">
        <is>
          <t>미확인</t>
        </is>
      </c>
      <c r="AA229" s="22" t="inlineStr">
        <is>
          <t>미확인</t>
        </is>
      </c>
      <c r="AB229" s="22" t="inlineStr">
        <is>
          <t>미확인</t>
        </is>
      </c>
      <c r="AC229" s="22" t="inlineStr">
        <is>
          <t>미확인</t>
        </is>
      </c>
      <c r="AD229" s="22" t="inlineStr">
        <is>
          <t>미확인</t>
        </is>
      </c>
      <c r="AE229" s="22" t="inlineStr">
        <is>
          <t>미확인</t>
        </is>
      </c>
      <c r="AF229" s="22" t="inlineStr">
        <is>
          <t>미확인</t>
        </is>
      </c>
      <c r="AG229" s="22" t="inlineStr">
        <is>
          <t>미확인</t>
        </is>
      </c>
      <c r="AH229" s="22" t="inlineStr">
        <is>
          <t>미확인</t>
        </is>
      </c>
      <c r="AI229" s="22" t="inlineStr">
        <is>
          <t>미확인</t>
        </is>
      </c>
      <c r="AJ229" s="22" t="inlineStr">
        <is>
          <t>미확인</t>
        </is>
      </c>
      <c r="AK229" s="22" t="inlineStr">
        <is>
          <t>미확인</t>
        </is>
      </c>
      <c r="AL229" s="22" t="inlineStr">
        <is>
          <t>미확인</t>
        </is>
      </c>
      <c r="AM229" s="22" t="inlineStr">
        <is>
          <t>미확인</t>
        </is>
      </c>
      <c r="AN229" s="22" t="inlineStr">
        <is>
          <t>미확인</t>
        </is>
      </c>
      <c r="AO229" s="17" t="inlineStr">
        <is>
          <t>C(부분확인)</t>
        </is>
      </c>
      <c r="AP229" s="17" t="inlineStr">
        <is>
          <t>Y</t>
        </is>
      </c>
      <c r="AQ229" s="17" t="n">
        <v>4</v>
      </c>
      <c r="AR229" s="28" t="inlineStr">
        <is>
          <t>Tier D</t>
        </is>
      </c>
      <c r="AS229" s="17" t="inlineStr">
        <is>
          <t>EDMS</t>
        </is>
      </c>
      <c r="AT229" s="17" t="inlineStr">
        <is>
          <t>기본 문서관리 수요</t>
        </is>
      </c>
      <c r="AU229" s="17" t="inlineStr">
        <is>
          <t>담당자 파악 후 접촉</t>
        </is>
      </c>
      <c r="AV229" s="17" t="inlineStr">
        <is>
          <t>GMP적합판정+KRX</t>
        </is>
      </c>
      <c r="AW229" s="17" t="inlineStr">
        <is>
          <t>2026-07-05</t>
        </is>
      </c>
    </row>
    <row r="230">
      <c r="A230" s="17" t="inlineStr">
        <is>
          <t>C229</t>
        </is>
      </c>
      <c r="B230" s="17" t="inlineStr">
        <is>
          <t>삼양산업</t>
        </is>
      </c>
      <c r="C230" s="17" t="inlineStr">
        <is>
          <t>삼양산업(주)</t>
        </is>
      </c>
      <c r="D230" s="17" t="n">
        <v>1</v>
      </c>
      <c r="E230" s="17" t="n">
        <v>1</v>
      </c>
      <c r="F230" s="17" t="inlineStr">
        <is>
          <t>Y</t>
        </is>
      </c>
      <c r="G230" s="17" t="inlineStr"/>
      <c r="H230" s="17" t="inlineStr"/>
      <c r="I230" s="17" t="inlineStr"/>
      <c r="J230" s="24" t="n">
        <v>46853</v>
      </c>
      <c r="K230" s="17" t="inlineStr"/>
      <c r="L230" s="17" t="inlineStr"/>
      <c r="M230" s="17" t="inlineStr"/>
      <c r="N230" s="23" t="inlineStr"/>
      <c r="O230" s="17" t="inlineStr"/>
      <c r="P230" s="17" t="inlineStr"/>
      <c r="Q230" s="17" t="inlineStr">
        <is>
          <t>홍지유</t>
        </is>
      </c>
      <c r="R230" s="17" t="inlineStr"/>
      <c r="S230" s="17" t="inlineStr"/>
      <c r="T230" s="17" t="inlineStr">
        <is>
          <t>054-262-0033</t>
        </is>
      </c>
      <c r="U230" s="17" t="inlineStr">
        <is>
          <t>제조소상세</t>
        </is>
      </c>
      <c r="V230" s="22" t="inlineStr">
        <is>
          <t>미확인</t>
        </is>
      </c>
      <c r="W230" s="22" t="inlineStr">
        <is>
          <t>미확인</t>
        </is>
      </c>
      <c r="X230" s="22" t="inlineStr">
        <is>
          <t>미확인</t>
        </is>
      </c>
      <c r="Y230" s="22" t="inlineStr">
        <is>
          <t>미확인</t>
        </is>
      </c>
      <c r="Z230" s="22" t="inlineStr">
        <is>
          <t>미확인</t>
        </is>
      </c>
      <c r="AA230" s="22" t="inlineStr">
        <is>
          <t>미확인</t>
        </is>
      </c>
      <c r="AB230" s="22" t="inlineStr">
        <is>
          <t>미확인</t>
        </is>
      </c>
      <c r="AC230" s="22" t="inlineStr">
        <is>
          <t>미확인</t>
        </is>
      </c>
      <c r="AD230" s="22" t="inlineStr">
        <is>
          <t>미확인</t>
        </is>
      </c>
      <c r="AE230" s="22" t="inlineStr">
        <is>
          <t>미확인</t>
        </is>
      </c>
      <c r="AF230" s="22" t="inlineStr">
        <is>
          <t>미확인</t>
        </is>
      </c>
      <c r="AG230" s="22" t="inlineStr">
        <is>
          <t>미확인</t>
        </is>
      </c>
      <c r="AH230" s="22" t="inlineStr">
        <is>
          <t>미확인</t>
        </is>
      </c>
      <c r="AI230" s="22" t="inlineStr">
        <is>
          <t>미확인</t>
        </is>
      </c>
      <c r="AJ230" s="22" t="inlineStr">
        <is>
          <t>미확인</t>
        </is>
      </c>
      <c r="AK230" s="22" t="inlineStr">
        <is>
          <t>미확인</t>
        </is>
      </c>
      <c r="AL230" s="22" t="inlineStr">
        <is>
          <t>미확인</t>
        </is>
      </c>
      <c r="AM230" s="22" t="inlineStr">
        <is>
          <t>미확인</t>
        </is>
      </c>
      <c r="AN230" s="22" t="inlineStr">
        <is>
          <t>미확인</t>
        </is>
      </c>
      <c r="AO230" s="17" t="inlineStr">
        <is>
          <t>C(부분확인)</t>
        </is>
      </c>
      <c r="AP230" s="17" t="inlineStr">
        <is>
          <t>Y</t>
        </is>
      </c>
      <c r="AQ230" s="17" t="n">
        <v>4</v>
      </c>
      <c r="AR230" s="28" t="inlineStr">
        <is>
          <t>Tier D</t>
        </is>
      </c>
      <c r="AS230" s="17" t="inlineStr">
        <is>
          <t>EDMS</t>
        </is>
      </c>
      <c r="AT230" s="17" t="inlineStr">
        <is>
          <t>기본 문서관리 수요</t>
        </is>
      </c>
      <c r="AU230" s="17" t="inlineStr">
        <is>
          <t>담당자 파악 후 접촉</t>
        </is>
      </c>
      <c r="AV230" s="17" t="inlineStr">
        <is>
          <t>GMP적합판정+KRX</t>
        </is>
      </c>
      <c r="AW230" s="17" t="inlineStr">
        <is>
          <t>2026-07-05</t>
        </is>
      </c>
    </row>
    <row r="231">
      <c r="A231" s="17" t="inlineStr">
        <is>
          <t>C230</t>
        </is>
      </c>
      <c r="B231" s="17" t="inlineStr">
        <is>
          <t>경남제약</t>
        </is>
      </c>
      <c r="C231" s="17" t="inlineStr">
        <is>
          <t>경남제약(주)</t>
        </is>
      </c>
      <c r="D231" s="17" t="n">
        <v>2</v>
      </c>
      <c r="E231" s="17" t="n">
        <v>2</v>
      </c>
      <c r="F231" s="17" t="inlineStr">
        <is>
          <t>Y</t>
        </is>
      </c>
      <c r="G231" s="17" t="inlineStr">
        <is>
          <t>Y</t>
        </is>
      </c>
      <c r="H231" s="17" t="inlineStr"/>
      <c r="I231" s="17" t="inlineStr"/>
      <c r="J231" s="24" t="n">
        <v>46557</v>
      </c>
      <c r="K231" s="17" t="inlineStr"/>
      <c r="L231" s="17" t="inlineStr">
        <is>
          <t>Y</t>
        </is>
      </c>
      <c r="M231" s="17" t="inlineStr">
        <is>
          <t>코스닥</t>
        </is>
      </c>
      <c r="N231" s="23" t="inlineStr">
        <is>
          <t>053950</t>
        </is>
      </c>
      <c r="O231" s="17" t="inlineStr">
        <is>
          <t>의약품 제조업</t>
        </is>
      </c>
      <c r="P231" s="17" t="inlineStr">
        <is>
          <t>의약품</t>
        </is>
      </c>
      <c r="Q231" s="17" t="inlineStr">
        <is>
          <t>김성곤</t>
        </is>
      </c>
      <c r="R231" s="17" t="inlineStr">
        <is>
          <t>http://www.kyungnampharm.com</t>
        </is>
      </c>
      <c r="S231" s="17" t="inlineStr">
        <is>
          <t>경상남도</t>
        </is>
      </c>
      <c r="T231" s="17" t="inlineStr">
        <is>
          <t>055-5728-7002</t>
        </is>
      </c>
      <c r="U231" s="17" t="inlineStr">
        <is>
          <t>제조소상세</t>
        </is>
      </c>
      <c r="V231" s="22" t="inlineStr">
        <is>
          <t>미확인</t>
        </is>
      </c>
      <c r="W231" s="22" t="inlineStr">
        <is>
          <t>미확인</t>
        </is>
      </c>
      <c r="X231" s="22" t="inlineStr">
        <is>
          <t>미확인</t>
        </is>
      </c>
      <c r="Y231" s="22" t="inlineStr">
        <is>
          <t>미확인</t>
        </is>
      </c>
      <c r="Z231" s="22" t="inlineStr">
        <is>
          <t>미확인</t>
        </is>
      </c>
      <c r="AA231" s="22" t="inlineStr">
        <is>
          <t>미확인</t>
        </is>
      </c>
      <c r="AB231" s="22" t="inlineStr">
        <is>
          <t>미확인</t>
        </is>
      </c>
      <c r="AC231" s="22" t="inlineStr">
        <is>
          <t>미확인</t>
        </is>
      </c>
      <c r="AD231" s="22" t="inlineStr">
        <is>
          <t>미확인</t>
        </is>
      </c>
      <c r="AE231" s="22" t="inlineStr">
        <is>
          <t>미확인</t>
        </is>
      </c>
      <c r="AF231" s="22" t="inlineStr">
        <is>
          <t>미확인</t>
        </is>
      </c>
      <c r="AG231" s="22" t="inlineStr">
        <is>
          <t>미확인</t>
        </is>
      </c>
      <c r="AH231" s="22" t="inlineStr">
        <is>
          <t>미확인</t>
        </is>
      </c>
      <c r="AI231" s="22" t="inlineStr">
        <is>
          <t>미확인</t>
        </is>
      </c>
      <c r="AJ231" s="22" t="inlineStr">
        <is>
          <t>미확인</t>
        </is>
      </c>
      <c r="AK231" s="22" t="inlineStr">
        <is>
          <t>미확인</t>
        </is>
      </c>
      <c r="AL231" s="22" t="inlineStr">
        <is>
          <t>미확인</t>
        </is>
      </c>
      <c r="AM231" s="22" t="inlineStr">
        <is>
          <t>미확인</t>
        </is>
      </c>
      <c r="AN231" s="22" t="inlineStr">
        <is>
          <t>미확인</t>
        </is>
      </c>
      <c r="AO231" s="17" t="inlineStr">
        <is>
          <t>C(부분확인)</t>
        </is>
      </c>
      <c r="AP231" s="17" t="inlineStr">
        <is>
          <t>Y</t>
        </is>
      </c>
      <c r="AQ231" s="17" t="n">
        <v>14</v>
      </c>
      <c r="AR231" s="28" t="inlineStr">
        <is>
          <t>Tier D</t>
        </is>
      </c>
      <c r="AS231" s="17" t="inlineStr">
        <is>
          <t>통합형</t>
        </is>
      </c>
      <c r="AT231" s="17" t="inlineStr">
        <is>
          <t>다중 제조소/다수 판정서로 문서관리 복잡; 원료 제조로 시험실 관리 필요</t>
        </is>
      </c>
      <c r="AU231" s="17" t="inlineStr">
        <is>
          <t>담당자 파악 후 접촉</t>
        </is>
      </c>
      <c r="AV231" s="17" t="inlineStr">
        <is>
          <t>GMP적합판정+KRX</t>
        </is>
      </c>
      <c r="AW231" s="17" t="inlineStr">
        <is>
          <t>2026-07-05</t>
        </is>
      </c>
    </row>
    <row r="232">
      <c r="A232" s="17" t="inlineStr">
        <is>
          <t>C231</t>
        </is>
      </c>
      <c r="B232" s="17" t="inlineStr">
        <is>
          <t>삼일제약</t>
        </is>
      </c>
      <c r="C232" s="17" t="inlineStr">
        <is>
          <t>삼일제약(주)</t>
        </is>
      </c>
      <c r="D232" s="17" t="n">
        <v>1</v>
      </c>
      <c r="E232" s="17" t="n">
        <v>1</v>
      </c>
      <c r="F232" s="17" t="inlineStr">
        <is>
          <t>Y</t>
        </is>
      </c>
      <c r="G232" s="17" t="inlineStr"/>
      <c r="H232" s="17" t="inlineStr"/>
      <c r="I232" s="17" t="inlineStr"/>
      <c r="J232" s="24" t="n">
        <v>46850</v>
      </c>
      <c r="K232" s="17" t="inlineStr"/>
      <c r="L232" s="17" t="inlineStr">
        <is>
          <t>Y</t>
        </is>
      </c>
      <c r="M232" s="17" t="inlineStr">
        <is>
          <t>유가</t>
        </is>
      </c>
      <c r="N232" s="23" t="inlineStr">
        <is>
          <t>000520</t>
        </is>
      </c>
      <c r="O232" s="17" t="inlineStr">
        <is>
          <t>의약품 제조업</t>
        </is>
      </c>
      <c r="P232" s="17" t="inlineStr">
        <is>
          <t>양약(부루펜,액티피드,포리부틴) 제조,도매</t>
        </is>
      </c>
      <c r="Q232" s="17" t="inlineStr">
        <is>
          <t>허승범</t>
        </is>
      </c>
      <c r="R232" s="17" t="inlineStr">
        <is>
          <t>http://www.samil-pharm.com</t>
        </is>
      </c>
      <c r="S232" s="17" t="inlineStr">
        <is>
          <t>서울특별시</t>
        </is>
      </c>
      <c r="T232" s="17" t="inlineStr">
        <is>
          <t>031-492-4066</t>
        </is>
      </c>
      <c r="U232" s="17" t="inlineStr">
        <is>
          <t>제조소상세</t>
        </is>
      </c>
      <c r="V232" s="22" t="inlineStr">
        <is>
          <t>미확인</t>
        </is>
      </c>
      <c r="W232" s="22" t="inlineStr">
        <is>
          <t>미확인</t>
        </is>
      </c>
      <c r="X232" s="22" t="inlineStr">
        <is>
          <t>미확인</t>
        </is>
      </c>
      <c r="Y232" s="22" t="inlineStr">
        <is>
          <t>미확인</t>
        </is>
      </c>
      <c r="Z232" s="22" t="inlineStr">
        <is>
          <t>미확인</t>
        </is>
      </c>
      <c r="AA232" s="22" t="inlineStr">
        <is>
          <t>미확인</t>
        </is>
      </c>
      <c r="AB232" s="22" t="inlineStr">
        <is>
          <t>미확인</t>
        </is>
      </c>
      <c r="AC232" s="22" t="inlineStr">
        <is>
          <t>미확인</t>
        </is>
      </c>
      <c r="AD232" s="22" t="inlineStr">
        <is>
          <t>미확인</t>
        </is>
      </c>
      <c r="AE232" s="22" t="inlineStr">
        <is>
          <t>미확인</t>
        </is>
      </c>
      <c r="AF232" s="22" t="inlineStr">
        <is>
          <t>미확인</t>
        </is>
      </c>
      <c r="AG232" s="22" t="inlineStr">
        <is>
          <t>미확인</t>
        </is>
      </c>
      <c r="AH232" s="22" t="inlineStr">
        <is>
          <t>미확인</t>
        </is>
      </c>
      <c r="AI232" s="22" t="inlineStr">
        <is>
          <t>미확인</t>
        </is>
      </c>
      <c r="AJ232" s="22" t="inlineStr">
        <is>
          <t>미확인</t>
        </is>
      </c>
      <c r="AK232" s="22" t="inlineStr">
        <is>
          <t>미확인</t>
        </is>
      </c>
      <c r="AL232" s="22" t="inlineStr">
        <is>
          <t>미확인</t>
        </is>
      </c>
      <c r="AM232" s="22" t="inlineStr">
        <is>
          <t>미확인</t>
        </is>
      </c>
      <c r="AN232" s="22" t="inlineStr">
        <is>
          <t>미확인</t>
        </is>
      </c>
      <c r="AO232" s="17" t="inlineStr">
        <is>
          <t>C(부분확인)</t>
        </is>
      </c>
      <c r="AP232" s="17" t="inlineStr">
        <is>
          <t>Y</t>
        </is>
      </c>
      <c r="AQ232" s="17" t="n">
        <v>7</v>
      </c>
      <c r="AR232" s="28" t="inlineStr">
        <is>
          <t>Tier D</t>
        </is>
      </c>
      <c r="AS232" s="17" t="inlineStr">
        <is>
          <t>EDMS</t>
        </is>
      </c>
      <c r="AT232" s="17" t="inlineStr">
        <is>
          <t>기본 문서관리 수요</t>
        </is>
      </c>
      <c r="AU232" s="17" t="inlineStr">
        <is>
          <t>담당자 파악 후 접촉</t>
        </is>
      </c>
      <c r="AV232" s="17" t="inlineStr">
        <is>
          <t>GMP적합판정+KRX</t>
        </is>
      </c>
      <c r="AW232" s="17" t="inlineStr">
        <is>
          <t>2026-07-05</t>
        </is>
      </c>
    </row>
    <row r="233">
      <c r="A233" s="17" t="inlineStr">
        <is>
          <t>C232</t>
        </is>
      </c>
      <c r="B233" s="17" t="inlineStr">
        <is>
          <t>대창가스공업사</t>
        </is>
      </c>
      <c r="C233" s="17" t="inlineStr">
        <is>
          <t>대창가스공업사</t>
        </is>
      </c>
      <c r="D233" s="17" t="n">
        <v>1</v>
      </c>
      <c r="E233" s="17" t="n">
        <v>1</v>
      </c>
      <c r="F233" s="17" t="inlineStr">
        <is>
          <t>Y</t>
        </is>
      </c>
      <c r="G233" s="17" t="inlineStr"/>
      <c r="H233" s="17" t="inlineStr"/>
      <c r="I233" s="17" t="inlineStr"/>
      <c r="J233" s="24" t="n">
        <v>46849</v>
      </c>
      <c r="K233" s="17" t="inlineStr"/>
      <c r="L233" s="17" t="inlineStr"/>
      <c r="M233" s="17" t="inlineStr"/>
      <c r="N233" s="23" t="inlineStr"/>
      <c r="O233" s="17" t="inlineStr"/>
      <c r="P233" s="17" t="inlineStr"/>
      <c r="Q233" s="17" t="inlineStr">
        <is>
          <t>이광용</t>
        </is>
      </c>
      <c r="R233" s="17" t="inlineStr"/>
      <c r="S233" s="17" t="inlineStr"/>
      <c r="T233" s="17" t="inlineStr">
        <is>
          <t>062-674-3331</t>
        </is>
      </c>
      <c r="U233" s="17" t="inlineStr">
        <is>
          <t>제조소상세</t>
        </is>
      </c>
      <c r="V233" s="22" t="inlineStr">
        <is>
          <t>미확인</t>
        </is>
      </c>
      <c r="W233" s="22" t="inlineStr">
        <is>
          <t>미확인</t>
        </is>
      </c>
      <c r="X233" s="22" t="inlineStr">
        <is>
          <t>미확인</t>
        </is>
      </c>
      <c r="Y233" s="22" t="inlineStr">
        <is>
          <t>미확인</t>
        </is>
      </c>
      <c r="Z233" s="22" t="inlineStr">
        <is>
          <t>미확인</t>
        </is>
      </c>
      <c r="AA233" s="22" t="inlineStr">
        <is>
          <t>미확인</t>
        </is>
      </c>
      <c r="AB233" s="22" t="inlineStr">
        <is>
          <t>미확인</t>
        </is>
      </c>
      <c r="AC233" s="22" t="inlineStr">
        <is>
          <t>미확인</t>
        </is>
      </c>
      <c r="AD233" s="22" t="inlineStr">
        <is>
          <t>미확인</t>
        </is>
      </c>
      <c r="AE233" s="22" t="inlineStr">
        <is>
          <t>미확인</t>
        </is>
      </c>
      <c r="AF233" s="22" t="inlineStr">
        <is>
          <t>미확인</t>
        </is>
      </c>
      <c r="AG233" s="22" t="inlineStr">
        <is>
          <t>미확인</t>
        </is>
      </c>
      <c r="AH233" s="22" t="inlineStr">
        <is>
          <t>미확인</t>
        </is>
      </c>
      <c r="AI233" s="22" t="inlineStr">
        <is>
          <t>미확인</t>
        </is>
      </c>
      <c r="AJ233" s="22" t="inlineStr">
        <is>
          <t>미확인</t>
        </is>
      </c>
      <c r="AK233" s="22" t="inlineStr">
        <is>
          <t>미확인</t>
        </is>
      </c>
      <c r="AL233" s="22" t="inlineStr">
        <is>
          <t>미확인</t>
        </is>
      </c>
      <c r="AM233" s="22" t="inlineStr">
        <is>
          <t>미확인</t>
        </is>
      </c>
      <c r="AN233" s="22" t="inlineStr">
        <is>
          <t>미확인</t>
        </is>
      </c>
      <c r="AO233" s="17" t="inlineStr">
        <is>
          <t>C(부분확인)</t>
        </is>
      </c>
      <c r="AP233" s="17" t="inlineStr">
        <is>
          <t>Y</t>
        </is>
      </c>
      <c r="AQ233" s="17" t="n">
        <v>4</v>
      </c>
      <c r="AR233" s="28" t="inlineStr">
        <is>
          <t>Tier D</t>
        </is>
      </c>
      <c r="AS233" s="17" t="inlineStr">
        <is>
          <t>EDMS</t>
        </is>
      </c>
      <c r="AT233" s="17" t="inlineStr">
        <is>
          <t>기본 문서관리 수요</t>
        </is>
      </c>
      <c r="AU233" s="17" t="inlineStr">
        <is>
          <t>담당자 파악 후 접촉</t>
        </is>
      </c>
      <c r="AV233" s="17" t="inlineStr">
        <is>
          <t>GMP적합판정+KRX</t>
        </is>
      </c>
      <c r="AW233" s="17" t="inlineStr">
        <is>
          <t>2026-07-05</t>
        </is>
      </c>
    </row>
    <row r="234">
      <c r="A234" s="17" t="inlineStr">
        <is>
          <t>C233</t>
        </is>
      </c>
      <c r="B234" s="17" t="inlineStr">
        <is>
          <t>한성산업</t>
        </is>
      </c>
      <c r="C234" s="17" t="inlineStr">
        <is>
          <t>한성산업(주)</t>
        </is>
      </c>
      <c r="D234" s="17" t="n">
        <v>2</v>
      </c>
      <c r="E234" s="17" t="n">
        <v>2</v>
      </c>
      <c r="F234" s="17" t="inlineStr">
        <is>
          <t>Y</t>
        </is>
      </c>
      <c r="G234" s="17" t="inlineStr"/>
      <c r="H234" s="17" t="inlineStr"/>
      <c r="I234" s="17" t="inlineStr"/>
      <c r="J234" s="24" t="n">
        <v>46327</v>
      </c>
      <c r="K234" s="17" t="inlineStr">
        <is>
          <t>Y</t>
        </is>
      </c>
      <c r="L234" s="17" t="inlineStr"/>
      <c r="M234" s="17" t="inlineStr"/>
      <c r="N234" s="23" t="inlineStr"/>
      <c r="O234" s="17" t="inlineStr"/>
      <c r="P234" s="17" t="inlineStr"/>
      <c r="Q234" s="17" t="inlineStr">
        <is>
          <t>이재하</t>
        </is>
      </c>
      <c r="R234" s="17" t="inlineStr"/>
      <c r="S234" s="17" t="inlineStr"/>
      <c r="T234" s="17" t="inlineStr">
        <is>
          <t>054-776-0001</t>
        </is>
      </c>
      <c r="U234" s="17" t="inlineStr">
        <is>
          <t>제조소상세</t>
        </is>
      </c>
      <c r="V234" s="22" t="inlineStr">
        <is>
          <t>미확인</t>
        </is>
      </c>
      <c r="W234" s="22" t="inlineStr">
        <is>
          <t>미확인</t>
        </is>
      </c>
      <c r="X234" s="22" t="inlineStr">
        <is>
          <t>미확인</t>
        </is>
      </c>
      <c r="Y234" s="22" t="inlineStr">
        <is>
          <t>미확인</t>
        </is>
      </c>
      <c r="Z234" s="22" t="inlineStr">
        <is>
          <t>미확인</t>
        </is>
      </c>
      <c r="AA234" s="22" t="inlineStr">
        <is>
          <t>미확인</t>
        </is>
      </c>
      <c r="AB234" s="22" t="inlineStr">
        <is>
          <t>미확인</t>
        </is>
      </c>
      <c r="AC234" s="22" t="inlineStr">
        <is>
          <t>미확인</t>
        </is>
      </c>
      <c r="AD234" s="22" t="inlineStr">
        <is>
          <t>미확인</t>
        </is>
      </c>
      <c r="AE234" s="22" t="inlineStr">
        <is>
          <t>미확인</t>
        </is>
      </c>
      <c r="AF234" s="22" t="inlineStr">
        <is>
          <t>미확인</t>
        </is>
      </c>
      <c r="AG234" s="22" t="inlineStr">
        <is>
          <t>미확인</t>
        </is>
      </c>
      <c r="AH234" s="22" t="inlineStr">
        <is>
          <t>미확인</t>
        </is>
      </c>
      <c r="AI234" s="22" t="inlineStr">
        <is>
          <t>미확인</t>
        </is>
      </c>
      <c r="AJ234" s="22" t="inlineStr">
        <is>
          <t>미확인</t>
        </is>
      </c>
      <c r="AK234" s="22" t="inlineStr">
        <is>
          <t>미확인</t>
        </is>
      </c>
      <c r="AL234" s="22" t="inlineStr">
        <is>
          <t>미확인</t>
        </is>
      </c>
      <c r="AM234" s="22" t="inlineStr">
        <is>
          <t>미확인</t>
        </is>
      </c>
      <c r="AN234" s="22" t="inlineStr">
        <is>
          <t>미확인</t>
        </is>
      </c>
      <c r="AO234" s="17" t="inlineStr">
        <is>
          <t>C(부분확인)</t>
        </is>
      </c>
      <c r="AP234" s="17" t="inlineStr">
        <is>
          <t>Y</t>
        </is>
      </c>
      <c r="AQ234" s="17" t="n">
        <v>13</v>
      </c>
      <c r="AR234" s="28" t="inlineStr">
        <is>
          <t>Tier D</t>
        </is>
      </c>
      <c r="AS234" s="17" t="inlineStr">
        <is>
          <t>EDMS+QMS+LMS</t>
        </is>
      </c>
      <c r="AT234" s="17" t="inlineStr">
        <is>
          <t>다중 제조소/다수 판정서로 문서관리 복잡; 다중 제조소로 교육관리 대상 광범위</t>
        </is>
      </c>
      <c r="AU234" s="17" t="inlineStr">
        <is>
          <t>담당자 파악 후 접촉</t>
        </is>
      </c>
      <c r="AV234" s="17" t="inlineStr">
        <is>
          <t>GMP적합판정+KRX</t>
        </is>
      </c>
      <c r="AW234" s="17" t="inlineStr">
        <is>
          <t>2026-07-05</t>
        </is>
      </c>
    </row>
    <row r="235">
      <c r="A235" s="17" t="inlineStr">
        <is>
          <t>C234</t>
        </is>
      </c>
      <c r="B235" s="17" t="inlineStr">
        <is>
          <t>피케이씨</t>
        </is>
      </c>
      <c r="C235" s="17" t="inlineStr">
        <is>
          <t>피케이씨 주식회사</t>
        </is>
      </c>
      <c r="D235" s="17" t="n">
        <v>1</v>
      </c>
      <c r="E235" s="17" t="n">
        <v>1</v>
      </c>
      <c r="F235" s="17" t="inlineStr">
        <is>
          <t>Y</t>
        </is>
      </c>
      <c r="G235" s="17" t="inlineStr"/>
      <c r="H235" s="17" t="inlineStr"/>
      <c r="I235" s="17" t="inlineStr"/>
      <c r="J235" s="24" t="n">
        <v>46848</v>
      </c>
      <c r="K235" s="17" t="inlineStr"/>
      <c r="L235" s="17" t="inlineStr"/>
      <c r="M235" s="17" t="inlineStr"/>
      <c r="N235" s="23" t="inlineStr"/>
      <c r="O235" s="17" t="inlineStr"/>
      <c r="P235" s="17" t="inlineStr"/>
      <c r="Q235" s="17" t="inlineStr">
        <is>
          <t>윤해구</t>
        </is>
      </c>
      <c r="R235" s="17" t="inlineStr"/>
      <c r="S235" s="17" t="inlineStr"/>
      <c r="T235" s="17" t="inlineStr">
        <is>
          <t>미확인</t>
        </is>
      </c>
      <c r="U235" s="17" t="inlineStr">
        <is>
          <t>미확인</t>
        </is>
      </c>
      <c r="V235" s="22" t="inlineStr">
        <is>
          <t>미확인</t>
        </is>
      </c>
      <c r="W235" s="22" t="inlineStr">
        <is>
          <t>미확인</t>
        </is>
      </c>
      <c r="X235" s="22" t="inlineStr">
        <is>
          <t>미확인</t>
        </is>
      </c>
      <c r="Y235" s="22" t="inlineStr">
        <is>
          <t>미확인</t>
        </is>
      </c>
      <c r="Z235" s="22" t="inlineStr">
        <is>
          <t>미확인</t>
        </is>
      </c>
      <c r="AA235" s="22" t="inlineStr">
        <is>
          <t>미확인</t>
        </is>
      </c>
      <c r="AB235" s="22" t="inlineStr">
        <is>
          <t>미확인</t>
        </is>
      </c>
      <c r="AC235" s="22" t="inlineStr">
        <is>
          <t>미확인</t>
        </is>
      </c>
      <c r="AD235" s="22" t="inlineStr">
        <is>
          <t>미확인</t>
        </is>
      </c>
      <c r="AE235" s="22" t="inlineStr">
        <is>
          <t>미확인</t>
        </is>
      </c>
      <c r="AF235" s="22" t="inlineStr">
        <is>
          <t>미확인</t>
        </is>
      </c>
      <c r="AG235" s="22" t="inlineStr">
        <is>
          <t>미확인</t>
        </is>
      </c>
      <c r="AH235" s="22" t="inlineStr">
        <is>
          <t>미확인</t>
        </is>
      </c>
      <c r="AI235" s="22" t="inlineStr">
        <is>
          <t>미확인</t>
        </is>
      </c>
      <c r="AJ235" s="22" t="inlineStr">
        <is>
          <t>미확인</t>
        </is>
      </c>
      <c r="AK235" s="22" t="inlineStr">
        <is>
          <t>미확인</t>
        </is>
      </c>
      <c r="AL235" s="22" t="inlineStr">
        <is>
          <t>미확인</t>
        </is>
      </c>
      <c r="AM235" s="22" t="inlineStr">
        <is>
          <t>미확인</t>
        </is>
      </c>
      <c r="AN235" s="22" t="inlineStr">
        <is>
          <t>미확인</t>
        </is>
      </c>
      <c r="AO235" s="17" t="inlineStr">
        <is>
          <t>C(부분확인)</t>
        </is>
      </c>
      <c r="AP235" s="17" t="inlineStr">
        <is>
          <t>Y</t>
        </is>
      </c>
      <c r="AQ235" s="17" t="n">
        <v>4</v>
      </c>
      <c r="AR235" s="28" t="inlineStr">
        <is>
          <t>Tier D</t>
        </is>
      </c>
      <c r="AS235" s="17" t="inlineStr">
        <is>
          <t>EDMS</t>
        </is>
      </c>
      <c r="AT235" s="17" t="inlineStr">
        <is>
          <t>기본 문서관리 수요</t>
        </is>
      </c>
      <c r="AU235" s="17" t="inlineStr">
        <is>
          <t>담당자 파악 후 접촉</t>
        </is>
      </c>
      <c r="AV235" s="17" t="inlineStr">
        <is>
          <t>GMP적합판정+KRX</t>
        </is>
      </c>
      <c r="AW235" s="17" t="inlineStr">
        <is>
          <t>2026-07-05</t>
        </is>
      </c>
    </row>
    <row r="236">
      <c r="A236" s="17" t="inlineStr">
        <is>
          <t>C235</t>
        </is>
      </c>
      <c r="B236" s="17" t="inlineStr">
        <is>
          <t>삼익제약</t>
        </is>
      </c>
      <c r="C236" s="17" t="inlineStr">
        <is>
          <t>삼익제약(주)</t>
        </is>
      </c>
      <c r="D236" s="17" t="n">
        <v>1</v>
      </c>
      <c r="E236" s="17" t="n">
        <v>1</v>
      </c>
      <c r="F236" s="17" t="inlineStr">
        <is>
          <t>Y</t>
        </is>
      </c>
      <c r="G236" s="17" t="inlineStr"/>
      <c r="H236" s="17" t="inlineStr"/>
      <c r="I236" s="17" t="inlineStr"/>
      <c r="J236" s="24" t="n">
        <v>46842</v>
      </c>
      <c r="K236" s="17" t="inlineStr"/>
      <c r="L236" s="17" t="inlineStr">
        <is>
          <t>Y</t>
        </is>
      </c>
      <c r="M236" s="17" t="inlineStr">
        <is>
          <t>코스닥</t>
        </is>
      </c>
      <c r="N236" s="23" t="inlineStr">
        <is>
          <t>014950</t>
        </is>
      </c>
      <c r="O236" s="17" t="inlineStr">
        <is>
          <t>의약품 제조업</t>
        </is>
      </c>
      <c r="P236" s="17" t="inlineStr">
        <is>
          <t>완제의약품 제조 및 CMO</t>
        </is>
      </c>
      <c r="Q236" s="17" t="inlineStr">
        <is>
          <t>이충환</t>
        </is>
      </c>
      <c r="R236" s="17" t="inlineStr">
        <is>
          <t>http://www.samik.co.kr</t>
        </is>
      </c>
      <c r="S236" s="17" t="inlineStr">
        <is>
          <t>인천광역시</t>
        </is>
      </c>
      <c r="T236" s="17" t="inlineStr">
        <is>
          <t>032-519-6061</t>
        </is>
      </c>
      <c r="U236" s="17" t="inlineStr">
        <is>
          <t>제조소상세</t>
        </is>
      </c>
      <c r="V236" s="22" t="inlineStr">
        <is>
          <t>미확인</t>
        </is>
      </c>
      <c r="W236" s="22" t="inlineStr">
        <is>
          <t>미확인</t>
        </is>
      </c>
      <c r="X236" s="22" t="inlineStr">
        <is>
          <t>미확인</t>
        </is>
      </c>
      <c r="Y236" s="22" t="inlineStr">
        <is>
          <t>미확인</t>
        </is>
      </c>
      <c r="Z236" s="22" t="inlineStr">
        <is>
          <t>미확인</t>
        </is>
      </c>
      <c r="AA236" s="22" t="inlineStr">
        <is>
          <t>미확인</t>
        </is>
      </c>
      <c r="AB236" s="22" t="inlineStr">
        <is>
          <t>미확인</t>
        </is>
      </c>
      <c r="AC236" s="22" t="inlineStr">
        <is>
          <t>미확인</t>
        </is>
      </c>
      <c r="AD236" s="22" t="inlineStr">
        <is>
          <t>미확인</t>
        </is>
      </c>
      <c r="AE236" s="22" t="inlineStr">
        <is>
          <t>미확인</t>
        </is>
      </c>
      <c r="AF236" s="22" t="inlineStr">
        <is>
          <t>미확인</t>
        </is>
      </c>
      <c r="AG236" s="22" t="inlineStr">
        <is>
          <t>미확인</t>
        </is>
      </c>
      <c r="AH236" s="22" t="inlineStr">
        <is>
          <t>미확인</t>
        </is>
      </c>
      <c r="AI236" s="22" t="inlineStr">
        <is>
          <t>미확인</t>
        </is>
      </c>
      <c r="AJ236" s="22" t="inlineStr">
        <is>
          <t>미확인</t>
        </is>
      </c>
      <c r="AK236" s="22" t="inlineStr">
        <is>
          <t>미확인</t>
        </is>
      </c>
      <c r="AL236" s="22" t="inlineStr">
        <is>
          <t>미확인</t>
        </is>
      </c>
      <c r="AM236" s="22" t="inlineStr">
        <is>
          <t>미확인</t>
        </is>
      </c>
      <c r="AN236" s="22" t="inlineStr">
        <is>
          <t>미확인</t>
        </is>
      </c>
      <c r="AO236" s="17" t="inlineStr">
        <is>
          <t>C(부분확인)</t>
        </is>
      </c>
      <c r="AP236" s="17" t="inlineStr">
        <is>
          <t>Y</t>
        </is>
      </c>
      <c r="AQ236" s="17" t="n">
        <v>7</v>
      </c>
      <c r="AR236" s="28" t="inlineStr">
        <is>
          <t>Tier D</t>
        </is>
      </c>
      <c r="AS236" s="17" t="inlineStr">
        <is>
          <t>EDMS</t>
        </is>
      </c>
      <c r="AT236" s="17" t="inlineStr">
        <is>
          <t>기본 문서관리 수요</t>
        </is>
      </c>
      <c r="AU236" s="17" t="inlineStr">
        <is>
          <t>담당자 파악 후 접촉</t>
        </is>
      </c>
      <c r="AV236" s="17" t="inlineStr">
        <is>
          <t>GMP적합판정+KRX</t>
        </is>
      </c>
      <c r="AW236" s="17" t="inlineStr">
        <is>
          <t>2026-07-05</t>
        </is>
      </c>
    </row>
    <row r="237">
      <c r="A237" s="17" t="inlineStr">
        <is>
          <t>C236</t>
        </is>
      </c>
      <c r="B237" s="17" t="inlineStr">
        <is>
          <t>삼아제약</t>
        </is>
      </c>
      <c r="C237" s="17" t="inlineStr">
        <is>
          <t>삼아제약(주)</t>
        </is>
      </c>
      <c r="D237" s="17" t="n">
        <v>1</v>
      </c>
      <c r="E237" s="17" t="n">
        <v>1</v>
      </c>
      <c r="F237" s="17" t="inlineStr">
        <is>
          <t>Y</t>
        </is>
      </c>
      <c r="G237" s="17" t="inlineStr"/>
      <c r="H237" s="17" t="inlineStr"/>
      <c r="I237" s="17" t="inlineStr"/>
      <c r="J237" s="24" t="n">
        <v>46836</v>
      </c>
      <c r="K237" s="17" t="inlineStr"/>
      <c r="L237" s="17" t="inlineStr">
        <is>
          <t>Y</t>
        </is>
      </c>
      <c r="M237" s="17" t="inlineStr">
        <is>
          <t>코스닥</t>
        </is>
      </c>
      <c r="N237" s="23" t="inlineStr">
        <is>
          <t>009300</t>
        </is>
      </c>
      <c r="O237" s="17" t="inlineStr">
        <is>
          <t>의약품 제조업</t>
        </is>
      </c>
      <c r="P237" s="17" t="inlineStr">
        <is>
          <t>노마에프, 아토크건조시럽, 코데날정, 코코시럽, 스마엘</t>
        </is>
      </c>
      <c r="Q237" s="17" t="inlineStr">
        <is>
          <t>허 준</t>
        </is>
      </c>
      <c r="R237" s="17" t="inlineStr">
        <is>
          <t>http://www.samapharm.co.kr</t>
        </is>
      </c>
      <c r="S237" s="17" t="inlineStr">
        <is>
          <t>강원특별자치도</t>
        </is>
      </c>
      <c r="T237" s="17" t="inlineStr">
        <is>
          <t>2056-7200</t>
        </is>
      </c>
      <c r="U237" s="17" t="inlineStr">
        <is>
          <t>제조소상세</t>
        </is>
      </c>
      <c r="V237" s="22" t="inlineStr">
        <is>
          <t>미확인</t>
        </is>
      </c>
      <c r="W237" s="22" t="inlineStr">
        <is>
          <t>미확인</t>
        </is>
      </c>
      <c r="X237" s="22" t="inlineStr">
        <is>
          <t>미확인</t>
        </is>
      </c>
      <c r="Y237" s="22" t="inlineStr">
        <is>
          <t>미확인</t>
        </is>
      </c>
      <c r="Z237" s="22" t="inlineStr">
        <is>
          <t>미확인</t>
        </is>
      </c>
      <c r="AA237" s="22" t="inlineStr">
        <is>
          <t>미확인</t>
        </is>
      </c>
      <c r="AB237" s="22" t="inlineStr">
        <is>
          <t>미확인</t>
        </is>
      </c>
      <c r="AC237" s="22" t="inlineStr">
        <is>
          <t>미확인</t>
        </is>
      </c>
      <c r="AD237" s="22" t="inlineStr">
        <is>
          <t>미확인</t>
        </is>
      </c>
      <c r="AE237" s="22" t="inlineStr">
        <is>
          <t>미확인</t>
        </is>
      </c>
      <c r="AF237" s="22" t="inlineStr">
        <is>
          <t>미확인</t>
        </is>
      </c>
      <c r="AG237" s="22" t="inlineStr">
        <is>
          <t>미확인</t>
        </is>
      </c>
      <c r="AH237" s="22" t="inlineStr">
        <is>
          <t>미확인</t>
        </is>
      </c>
      <c r="AI237" s="22" t="inlineStr">
        <is>
          <t>미확인</t>
        </is>
      </c>
      <c r="AJ237" s="22" t="inlineStr">
        <is>
          <t>미확인</t>
        </is>
      </c>
      <c r="AK237" s="22" t="inlineStr">
        <is>
          <t>미확인</t>
        </is>
      </c>
      <c r="AL237" s="22" t="inlineStr">
        <is>
          <t>미확인</t>
        </is>
      </c>
      <c r="AM237" s="22" t="inlineStr">
        <is>
          <t>미확인</t>
        </is>
      </c>
      <c r="AN237" s="22" t="inlineStr">
        <is>
          <t>미확인</t>
        </is>
      </c>
      <c r="AO237" s="17" t="inlineStr">
        <is>
          <t>C(부분확인)</t>
        </is>
      </c>
      <c r="AP237" s="17" t="inlineStr">
        <is>
          <t>Y</t>
        </is>
      </c>
      <c r="AQ237" s="17" t="n">
        <v>7</v>
      </c>
      <c r="AR237" s="28" t="inlineStr">
        <is>
          <t>Tier D</t>
        </is>
      </c>
      <c r="AS237" s="17" t="inlineStr">
        <is>
          <t>EDMS</t>
        </is>
      </c>
      <c r="AT237" s="17" t="inlineStr">
        <is>
          <t>기본 문서관리 수요</t>
        </is>
      </c>
      <c r="AU237" s="17" t="inlineStr">
        <is>
          <t>담당자 파악 후 접촉</t>
        </is>
      </c>
      <c r="AV237" s="17" t="inlineStr">
        <is>
          <t>GMP적합판정+KRX</t>
        </is>
      </c>
      <c r="AW237" s="17" t="inlineStr">
        <is>
          <t>2026-07-05</t>
        </is>
      </c>
    </row>
    <row r="238">
      <c r="A238" s="17" t="inlineStr">
        <is>
          <t>C237</t>
        </is>
      </c>
      <c r="B238" s="17" t="inlineStr">
        <is>
          <t>아리제약</t>
        </is>
      </c>
      <c r="C238" s="17" t="inlineStr">
        <is>
          <t>(주)아리제약</t>
        </is>
      </c>
      <c r="D238" s="17" t="n">
        <v>1</v>
      </c>
      <c r="E238" s="17" t="n">
        <v>1</v>
      </c>
      <c r="F238" s="17" t="inlineStr">
        <is>
          <t>Y</t>
        </is>
      </c>
      <c r="G238" s="17" t="inlineStr"/>
      <c r="H238" s="17" t="inlineStr"/>
      <c r="I238" s="17" t="inlineStr"/>
      <c r="J238" s="24" t="n">
        <v>46836</v>
      </c>
      <c r="K238" s="17" t="inlineStr"/>
      <c r="L238" s="17" t="inlineStr"/>
      <c r="M238" s="17" t="inlineStr"/>
      <c r="N238" s="23" t="inlineStr"/>
      <c r="O238" s="17" t="inlineStr"/>
      <c r="P238" s="17" t="inlineStr"/>
      <c r="Q238" s="17" t="inlineStr">
        <is>
          <t>김상영</t>
        </is>
      </c>
      <c r="R238" s="17" t="inlineStr"/>
      <c r="S238" s="17" t="inlineStr"/>
      <c r="T238" s="17" t="inlineStr">
        <is>
          <t>미확인</t>
        </is>
      </c>
      <c r="U238" s="17" t="inlineStr">
        <is>
          <t>미확인</t>
        </is>
      </c>
      <c r="V238" s="22" t="inlineStr">
        <is>
          <t>미확인</t>
        </is>
      </c>
      <c r="W238" s="22" t="inlineStr">
        <is>
          <t>미확인</t>
        </is>
      </c>
      <c r="X238" s="22" t="inlineStr">
        <is>
          <t>미확인</t>
        </is>
      </c>
      <c r="Y238" s="22" t="inlineStr">
        <is>
          <t>미확인</t>
        </is>
      </c>
      <c r="Z238" s="22" t="inlineStr">
        <is>
          <t>미확인</t>
        </is>
      </c>
      <c r="AA238" s="22" t="inlineStr">
        <is>
          <t>미확인</t>
        </is>
      </c>
      <c r="AB238" s="22" t="inlineStr">
        <is>
          <t>미확인</t>
        </is>
      </c>
      <c r="AC238" s="22" t="inlineStr">
        <is>
          <t>미확인</t>
        </is>
      </c>
      <c r="AD238" s="22" t="inlineStr">
        <is>
          <t>미확인</t>
        </is>
      </c>
      <c r="AE238" s="22" t="inlineStr">
        <is>
          <t>미확인</t>
        </is>
      </c>
      <c r="AF238" s="22" t="inlineStr">
        <is>
          <t>미확인</t>
        </is>
      </c>
      <c r="AG238" s="22" t="inlineStr">
        <is>
          <t>미확인</t>
        </is>
      </c>
      <c r="AH238" s="22" t="inlineStr">
        <is>
          <t>미확인</t>
        </is>
      </c>
      <c r="AI238" s="22" t="inlineStr">
        <is>
          <t>미확인</t>
        </is>
      </c>
      <c r="AJ238" s="22" t="inlineStr">
        <is>
          <t>미확인</t>
        </is>
      </c>
      <c r="AK238" s="22" t="inlineStr">
        <is>
          <t>미확인</t>
        </is>
      </c>
      <c r="AL238" s="22" t="inlineStr">
        <is>
          <t>미확인</t>
        </is>
      </c>
      <c r="AM238" s="22" t="inlineStr">
        <is>
          <t>미확인</t>
        </is>
      </c>
      <c r="AN238" s="22" t="inlineStr">
        <is>
          <t>미확인</t>
        </is>
      </c>
      <c r="AO238" s="17" t="inlineStr">
        <is>
          <t>C(부분확인)</t>
        </is>
      </c>
      <c r="AP238" s="17" t="inlineStr">
        <is>
          <t>Y</t>
        </is>
      </c>
      <c r="AQ238" s="17" t="n">
        <v>4</v>
      </c>
      <c r="AR238" s="28" t="inlineStr">
        <is>
          <t>Tier D</t>
        </is>
      </c>
      <c r="AS238" s="17" t="inlineStr">
        <is>
          <t>EDMS</t>
        </is>
      </c>
      <c r="AT238" s="17" t="inlineStr">
        <is>
          <t>기본 문서관리 수요</t>
        </is>
      </c>
      <c r="AU238" s="17" t="inlineStr">
        <is>
          <t>담당자 파악 후 접촉</t>
        </is>
      </c>
      <c r="AV238" s="17" t="inlineStr">
        <is>
          <t>GMP적합판정+KRX</t>
        </is>
      </c>
      <c r="AW238" s="17" t="inlineStr">
        <is>
          <t>2026-07-05</t>
        </is>
      </c>
    </row>
    <row r="239">
      <c r="A239" s="17" t="inlineStr">
        <is>
          <t>C238</t>
        </is>
      </c>
      <c r="B239" s="17" t="inlineStr">
        <is>
          <t>한국파비스제약</t>
        </is>
      </c>
      <c r="C239" s="17" t="inlineStr">
        <is>
          <t>(주)한국파비스제약</t>
        </is>
      </c>
      <c r="D239" s="17" t="n">
        <v>1</v>
      </c>
      <c r="E239" s="17" t="n">
        <v>1</v>
      </c>
      <c r="F239" s="17" t="inlineStr">
        <is>
          <t>Y</t>
        </is>
      </c>
      <c r="G239" s="17" t="inlineStr"/>
      <c r="H239" s="17" t="inlineStr"/>
      <c r="I239" s="17" t="inlineStr"/>
      <c r="J239" s="24" t="n">
        <v>46836</v>
      </c>
      <c r="K239" s="17" t="inlineStr"/>
      <c r="L239" s="17" t="inlineStr"/>
      <c r="M239" s="17" t="inlineStr"/>
      <c r="N239" s="23" t="inlineStr"/>
      <c r="O239" s="17" t="inlineStr"/>
      <c r="P239" s="17" t="inlineStr"/>
      <c r="Q239" s="17" t="inlineStr">
        <is>
          <t>최용은</t>
        </is>
      </c>
      <c r="R239" s="17" t="inlineStr"/>
      <c r="S239" s="17" t="inlineStr"/>
      <c r="T239" s="17" t="inlineStr">
        <is>
          <t>미확인</t>
        </is>
      </c>
      <c r="U239" s="17" t="inlineStr">
        <is>
          <t>미확인</t>
        </is>
      </c>
      <c r="V239" s="22" t="inlineStr">
        <is>
          <t>미확인</t>
        </is>
      </c>
      <c r="W239" s="22" t="inlineStr">
        <is>
          <t>미확인</t>
        </is>
      </c>
      <c r="X239" s="22" t="inlineStr">
        <is>
          <t>미확인</t>
        </is>
      </c>
      <c r="Y239" s="22" t="inlineStr">
        <is>
          <t>미확인</t>
        </is>
      </c>
      <c r="Z239" s="22" t="inlineStr">
        <is>
          <t>미확인</t>
        </is>
      </c>
      <c r="AA239" s="22" t="inlineStr">
        <is>
          <t>미확인</t>
        </is>
      </c>
      <c r="AB239" s="22" t="inlineStr">
        <is>
          <t>미확인</t>
        </is>
      </c>
      <c r="AC239" s="22" t="inlineStr">
        <is>
          <t>미확인</t>
        </is>
      </c>
      <c r="AD239" s="22" t="inlineStr">
        <is>
          <t>미확인</t>
        </is>
      </c>
      <c r="AE239" s="22" t="inlineStr">
        <is>
          <t>미확인</t>
        </is>
      </c>
      <c r="AF239" s="22" t="inlineStr">
        <is>
          <t>미확인</t>
        </is>
      </c>
      <c r="AG239" s="22" t="inlineStr">
        <is>
          <t>미확인</t>
        </is>
      </c>
      <c r="AH239" s="22" t="inlineStr">
        <is>
          <t>미확인</t>
        </is>
      </c>
      <c r="AI239" s="22" t="inlineStr">
        <is>
          <t>미확인</t>
        </is>
      </c>
      <c r="AJ239" s="22" t="inlineStr">
        <is>
          <t>미확인</t>
        </is>
      </c>
      <c r="AK239" s="22" t="inlineStr">
        <is>
          <t>미확인</t>
        </is>
      </c>
      <c r="AL239" s="22" t="inlineStr">
        <is>
          <t>미확인</t>
        </is>
      </c>
      <c r="AM239" s="22" t="inlineStr">
        <is>
          <t>미확인</t>
        </is>
      </c>
      <c r="AN239" s="22" t="inlineStr">
        <is>
          <t>미확인</t>
        </is>
      </c>
      <c r="AO239" s="17" t="inlineStr">
        <is>
          <t>C(부분확인)</t>
        </is>
      </c>
      <c r="AP239" s="17" t="inlineStr">
        <is>
          <t>Y</t>
        </is>
      </c>
      <c r="AQ239" s="17" t="n">
        <v>4</v>
      </c>
      <c r="AR239" s="28" t="inlineStr">
        <is>
          <t>Tier D</t>
        </is>
      </c>
      <c r="AS239" s="17" t="inlineStr">
        <is>
          <t>EDMS</t>
        </is>
      </c>
      <c r="AT239" s="17" t="inlineStr">
        <is>
          <t>기본 문서관리 수요</t>
        </is>
      </c>
      <c r="AU239" s="17" t="inlineStr">
        <is>
          <t>담당자 파악 후 접촉</t>
        </is>
      </c>
      <c r="AV239" s="17" t="inlineStr">
        <is>
          <t>GMP적합판정+KRX</t>
        </is>
      </c>
      <c r="AW239" s="17" t="inlineStr">
        <is>
          <t>2026-07-05</t>
        </is>
      </c>
    </row>
    <row r="240">
      <c r="A240" s="17" t="inlineStr">
        <is>
          <t>C239</t>
        </is>
      </c>
      <c r="B240" s="17" t="inlineStr">
        <is>
          <t>제일가스</t>
        </is>
      </c>
      <c r="C240" s="17" t="inlineStr">
        <is>
          <t>(주)제일가스</t>
        </is>
      </c>
      <c r="D240" s="17" t="n">
        <v>1</v>
      </c>
      <c r="E240" s="17" t="n">
        <v>1</v>
      </c>
      <c r="F240" s="17" t="inlineStr">
        <is>
          <t>Y</t>
        </is>
      </c>
      <c r="G240" s="17" t="inlineStr"/>
      <c r="H240" s="17" t="inlineStr"/>
      <c r="I240" s="17" t="inlineStr"/>
      <c r="J240" s="24" t="n">
        <v>46832</v>
      </c>
      <c r="K240" s="17" t="inlineStr"/>
      <c r="L240" s="17" t="inlineStr"/>
      <c r="M240" s="17" t="inlineStr"/>
      <c r="N240" s="23" t="inlineStr"/>
      <c r="O240" s="17" t="inlineStr"/>
      <c r="P240" s="17" t="inlineStr"/>
      <c r="Q240" s="17" t="inlineStr">
        <is>
          <t>박삼원</t>
        </is>
      </c>
      <c r="R240" s="17" t="inlineStr"/>
      <c r="S240" s="17" t="inlineStr"/>
      <c r="T240" s="17" t="inlineStr">
        <is>
          <t>032-567-6050</t>
        </is>
      </c>
      <c r="U240" s="17" t="inlineStr">
        <is>
          <t>제조소상세</t>
        </is>
      </c>
      <c r="V240" s="22" t="inlineStr">
        <is>
          <t>미확인</t>
        </is>
      </c>
      <c r="W240" s="22" t="inlineStr">
        <is>
          <t>미확인</t>
        </is>
      </c>
      <c r="X240" s="22" t="inlineStr">
        <is>
          <t>미확인</t>
        </is>
      </c>
      <c r="Y240" s="22" t="inlineStr">
        <is>
          <t>미확인</t>
        </is>
      </c>
      <c r="Z240" s="22" t="inlineStr">
        <is>
          <t>미확인</t>
        </is>
      </c>
      <c r="AA240" s="22" t="inlineStr">
        <is>
          <t>미확인</t>
        </is>
      </c>
      <c r="AB240" s="22" t="inlineStr">
        <is>
          <t>미확인</t>
        </is>
      </c>
      <c r="AC240" s="22" t="inlineStr">
        <is>
          <t>미확인</t>
        </is>
      </c>
      <c r="AD240" s="22" t="inlineStr">
        <is>
          <t>미확인</t>
        </is>
      </c>
      <c r="AE240" s="22" t="inlineStr">
        <is>
          <t>미확인</t>
        </is>
      </c>
      <c r="AF240" s="22" t="inlineStr">
        <is>
          <t>미확인</t>
        </is>
      </c>
      <c r="AG240" s="22" t="inlineStr">
        <is>
          <t>미확인</t>
        </is>
      </c>
      <c r="AH240" s="22" t="inlineStr">
        <is>
          <t>미확인</t>
        </is>
      </c>
      <c r="AI240" s="22" t="inlineStr">
        <is>
          <t>미확인</t>
        </is>
      </c>
      <c r="AJ240" s="22" t="inlineStr">
        <is>
          <t>미확인</t>
        </is>
      </c>
      <c r="AK240" s="22" t="inlineStr">
        <is>
          <t>미확인</t>
        </is>
      </c>
      <c r="AL240" s="22" t="inlineStr">
        <is>
          <t>미확인</t>
        </is>
      </c>
      <c r="AM240" s="22" t="inlineStr">
        <is>
          <t>미확인</t>
        </is>
      </c>
      <c r="AN240" s="22" t="inlineStr">
        <is>
          <t>미확인</t>
        </is>
      </c>
      <c r="AO240" s="17" t="inlineStr">
        <is>
          <t>C(부분확인)</t>
        </is>
      </c>
      <c r="AP240" s="17" t="inlineStr">
        <is>
          <t>Y</t>
        </is>
      </c>
      <c r="AQ240" s="17" t="n">
        <v>4</v>
      </c>
      <c r="AR240" s="28" t="inlineStr">
        <is>
          <t>Tier D</t>
        </is>
      </c>
      <c r="AS240" s="17" t="inlineStr">
        <is>
          <t>EDMS</t>
        </is>
      </c>
      <c r="AT240" s="17" t="inlineStr">
        <is>
          <t>기본 문서관리 수요</t>
        </is>
      </c>
      <c r="AU240" s="17" t="inlineStr">
        <is>
          <t>담당자 파악 후 접촉</t>
        </is>
      </c>
      <c r="AV240" s="17" t="inlineStr">
        <is>
          <t>GMP적합판정+KRX</t>
        </is>
      </c>
      <c r="AW240" s="17" t="inlineStr">
        <is>
          <t>2026-07-05</t>
        </is>
      </c>
    </row>
    <row r="241">
      <c r="A241" s="17" t="inlineStr">
        <is>
          <t>C240</t>
        </is>
      </c>
      <c r="B241" s="17" t="inlineStr">
        <is>
          <t>케이에스테크</t>
        </is>
      </c>
      <c r="C241" s="17" t="inlineStr">
        <is>
          <t>주식회사 케이에스테크</t>
        </is>
      </c>
      <c r="D241" s="17" t="n">
        <v>1</v>
      </c>
      <c r="E241" s="17" t="n">
        <v>1</v>
      </c>
      <c r="F241" s="17" t="inlineStr">
        <is>
          <t>Y</t>
        </is>
      </c>
      <c r="G241" s="17" t="inlineStr"/>
      <c r="H241" s="17" t="inlineStr"/>
      <c r="I241" s="17" t="inlineStr"/>
      <c r="J241" s="24" t="n">
        <v>46832</v>
      </c>
      <c r="K241" s="17" t="inlineStr"/>
      <c r="L241" s="17" t="inlineStr"/>
      <c r="M241" s="17" t="inlineStr"/>
      <c r="N241" s="23" t="inlineStr"/>
      <c r="O241" s="17" t="inlineStr"/>
      <c r="P241" s="17" t="inlineStr"/>
      <c r="Q241" s="17" t="inlineStr">
        <is>
          <t>강도춘</t>
        </is>
      </c>
      <c r="R241" s="17" t="inlineStr"/>
      <c r="S241" s="17" t="inlineStr"/>
      <c r="T241" s="17" t="inlineStr">
        <is>
          <t>031-658-7440</t>
        </is>
      </c>
      <c r="U241" s="17" t="inlineStr">
        <is>
          <t>제조소상세</t>
        </is>
      </c>
      <c r="V241" s="22" t="inlineStr">
        <is>
          <t>미확인</t>
        </is>
      </c>
      <c r="W241" s="22" t="inlineStr">
        <is>
          <t>미확인</t>
        </is>
      </c>
      <c r="X241" s="22" t="inlineStr">
        <is>
          <t>미확인</t>
        </is>
      </c>
      <c r="Y241" s="22" t="inlineStr">
        <is>
          <t>미확인</t>
        </is>
      </c>
      <c r="Z241" s="22" t="inlineStr">
        <is>
          <t>미확인</t>
        </is>
      </c>
      <c r="AA241" s="22" t="inlineStr">
        <is>
          <t>미확인</t>
        </is>
      </c>
      <c r="AB241" s="22" t="inlineStr">
        <is>
          <t>미확인</t>
        </is>
      </c>
      <c r="AC241" s="22" t="inlineStr">
        <is>
          <t>미확인</t>
        </is>
      </c>
      <c r="AD241" s="22" t="inlineStr">
        <is>
          <t>미확인</t>
        </is>
      </c>
      <c r="AE241" s="22" t="inlineStr">
        <is>
          <t>미확인</t>
        </is>
      </c>
      <c r="AF241" s="22" t="inlineStr">
        <is>
          <t>미확인</t>
        </is>
      </c>
      <c r="AG241" s="22" t="inlineStr">
        <is>
          <t>미확인</t>
        </is>
      </c>
      <c r="AH241" s="22" t="inlineStr">
        <is>
          <t>미확인</t>
        </is>
      </c>
      <c r="AI241" s="22" t="inlineStr">
        <is>
          <t>미확인</t>
        </is>
      </c>
      <c r="AJ241" s="22" t="inlineStr">
        <is>
          <t>미확인</t>
        </is>
      </c>
      <c r="AK241" s="22" t="inlineStr">
        <is>
          <t>미확인</t>
        </is>
      </c>
      <c r="AL241" s="22" t="inlineStr">
        <is>
          <t>미확인</t>
        </is>
      </c>
      <c r="AM241" s="22" t="inlineStr">
        <is>
          <t>미확인</t>
        </is>
      </c>
      <c r="AN241" s="22" t="inlineStr">
        <is>
          <t>미확인</t>
        </is>
      </c>
      <c r="AO241" s="17" t="inlineStr">
        <is>
          <t>C(부분확인)</t>
        </is>
      </c>
      <c r="AP241" s="17" t="inlineStr">
        <is>
          <t>Y</t>
        </is>
      </c>
      <c r="AQ241" s="17" t="n">
        <v>4</v>
      </c>
      <c r="AR241" s="28" t="inlineStr">
        <is>
          <t>Tier D</t>
        </is>
      </c>
      <c r="AS241" s="17" t="inlineStr">
        <is>
          <t>EDMS</t>
        </is>
      </c>
      <c r="AT241" s="17" t="inlineStr">
        <is>
          <t>기본 문서관리 수요</t>
        </is>
      </c>
      <c r="AU241" s="17" t="inlineStr">
        <is>
          <t>담당자 파악 후 접촉</t>
        </is>
      </c>
      <c r="AV241" s="17" t="inlineStr">
        <is>
          <t>GMP적합판정+KRX</t>
        </is>
      </c>
      <c r="AW241" s="17" t="inlineStr">
        <is>
          <t>2026-07-05</t>
        </is>
      </c>
    </row>
    <row r="242">
      <c r="A242" s="17" t="inlineStr">
        <is>
          <t>C241</t>
        </is>
      </c>
      <c r="B242" s="17" t="inlineStr">
        <is>
          <t>영풍제약</t>
        </is>
      </c>
      <c r="C242" s="17" t="inlineStr">
        <is>
          <t>영풍제약(주)</t>
        </is>
      </c>
      <c r="D242" s="17" t="n">
        <v>1</v>
      </c>
      <c r="E242" s="17" t="n">
        <v>1</v>
      </c>
      <c r="F242" s="17" t="inlineStr">
        <is>
          <t>Y</t>
        </is>
      </c>
      <c r="G242" s="17" t="inlineStr"/>
      <c r="H242" s="17" t="inlineStr"/>
      <c r="I242" s="17" t="inlineStr"/>
      <c r="J242" s="24" t="n">
        <v>46827</v>
      </c>
      <c r="K242" s="17" t="inlineStr"/>
      <c r="L242" s="17" t="inlineStr"/>
      <c r="M242" s="17" t="inlineStr"/>
      <c r="N242" s="23" t="inlineStr"/>
      <c r="O242" s="17" t="inlineStr"/>
      <c r="P242" s="17" t="inlineStr"/>
      <c r="Q242" s="17" t="inlineStr">
        <is>
          <t>김재훈</t>
        </is>
      </c>
      <c r="R242" s="17" t="inlineStr"/>
      <c r="S242" s="17" t="inlineStr"/>
      <c r="T242" s="17" t="inlineStr">
        <is>
          <t>032-812-8356</t>
        </is>
      </c>
      <c r="U242" s="17" t="inlineStr">
        <is>
          <t>제조소상세</t>
        </is>
      </c>
      <c r="V242" s="22" t="inlineStr">
        <is>
          <t>미확인</t>
        </is>
      </c>
      <c r="W242" s="22" t="inlineStr">
        <is>
          <t>미확인</t>
        </is>
      </c>
      <c r="X242" s="22" t="inlineStr">
        <is>
          <t>미확인</t>
        </is>
      </c>
      <c r="Y242" s="22" t="inlineStr">
        <is>
          <t>미확인</t>
        </is>
      </c>
      <c r="Z242" s="22" t="inlineStr">
        <is>
          <t>미확인</t>
        </is>
      </c>
      <c r="AA242" s="22" t="inlineStr">
        <is>
          <t>미확인</t>
        </is>
      </c>
      <c r="AB242" s="22" t="inlineStr">
        <is>
          <t>미확인</t>
        </is>
      </c>
      <c r="AC242" s="22" t="inlineStr">
        <is>
          <t>미확인</t>
        </is>
      </c>
      <c r="AD242" s="22" t="inlineStr">
        <is>
          <t>미확인</t>
        </is>
      </c>
      <c r="AE242" s="22" t="inlineStr">
        <is>
          <t>미확인</t>
        </is>
      </c>
      <c r="AF242" s="22" t="inlineStr">
        <is>
          <t>미확인</t>
        </is>
      </c>
      <c r="AG242" s="22" t="inlineStr">
        <is>
          <t>미확인</t>
        </is>
      </c>
      <c r="AH242" s="22" t="inlineStr">
        <is>
          <t>미확인</t>
        </is>
      </c>
      <c r="AI242" s="22" t="inlineStr">
        <is>
          <t>미확인</t>
        </is>
      </c>
      <c r="AJ242" s="22" t="inlineStr">
        <is>
          <t>미확인</t>
        </is>
      </c>
      <c r="AK242" s="22" t="inlineStr">
        <is>
          <t>미확인</t>
        </is>
      </c>
      <c r="AL242" s="22" t="inlineStr">
        <is>
          <t>미확인</t>
        </is>
      </c>
      <c r="AM242" s="22" t="inlineStr">
        <is>
          <t>미확인</t>
        </is>
      </c>
      <c r="AN242" s="22" t="inlineStr">
        <is>
          <t>미확인</t>
        </is>
      </c>
      <c r="AO242" s="17" t="inlineStr">
        <is>
          <t>C(부분확인)</t>
        </is>
      </c>
      <c r="AP242" s="17" t="inlineStr">
        <is>
          <t>Y</t>
        </is>
      </c>
      <c r="AQ242" s="17" t="n">
        <v>4</v>
      </c>
      <c r="AR242" s="28" t="inlineStr">
        <is>
          <t>Tier D</t>
        </is>
      </c>
      <c r="AS242" s="17" t="inlineStr">
        <is>
          <t>EDMS</t>
        </is>
      </c>
      <c r="AT242" s="17" t="inlineStr">
        <is>
          <t>기본 문서관리 수요</t>
        </is>
      </c>
      <c r="AU242" s="17" t="inlineStr">
        <is>
          <t>담당자 파악 후 접촉</t>
        </is>
      </c>
      <c r="AV242" s="17" t="inlineStr">
        <is>
          <t>GMP적합판정+KRX</t>
        </is>
      </c>
      <c r="AW242" s="17" t="inlineStr">
        <is>
          <t>2026-07-05</t>
        </is>
      </c>
    </row>
    <row r="243">
      <c r="A243" s="17" t="inlineStr">
        <is>
          <t>C242</t>
        </is>
      </c>
      <c r="B243" s="17" t="inlineStr">
        <is>
          <t>아이큐어</t>
        </is>
      </c>
      <c r="C243" s="17" t="inlineStr">
        <is>
          <t>아이큐어(주)</t>
        </is>
      </c>
      <c r="D243" s="17" t="n">
        <v>1</v>
      </c>
      <c r="E243" s="17" t="n">
        <v>1</v>
      </c>
      <c r="F243" s="17" t="inlineStr">
        <is>
          <t>Y</t>
        </is>
      </c>
      <c r="G243" s="17" t="inlineStr"/>
      <c r="H243" s="17" t="inlineStr"/>
      <c r="I243" s="17" t="inlineStr"/>
      <c r="J243" s="24" t="n">
        <v>46827</v>
      </c>
      <c r="K243" s="17" t="inlineStr"/>
      <c r="L243" s="17" t="inlineStr">
        <is>
          <t>Y</t>
        </is>
      </c>
      <c r="M243" s="17" t="inlineStr">
        <is>
          <t>코스닥</t>
        </is>
      </c>
      <c r="N243" s="23" t="inlineStr">
        <is>
          <t>175250</t>
        </is>
      </c>
      <c r="O243" s="17" t="inlineStr">
        <is>
          <t>기타 화학제품 제조업</t>
        </is>
      </c>
      <c r="P243" s="17" t="inlineStr">
        <is>
          <t>플라스타, 의약 및 의약외품 패취등, 마스크팩, 화장품 기초라인</t>
        </is>
      </c>
      <c r="Q243" s="17" t="inlineStr">
        <is>
          <t>이영석</t>
        </is>
      </c>
      <c r="R243" s="17" t="inlineStr">
        <is>
          <t>http://icure.co.kr</t>
        </is>
      </c>
      <c r="S243" s="17" t="inlineStr">
        <is>
          <t>서울특별시</t>
        </is>
      </c>
      <c r="T243" s="17" t="inlineStr">
        <is>
          <t>미확인</t>
        </is>
      </c>
      <c r="U243" s="17" t="inlineStr">
        <is>
          <t>미확인</t>
        </is>
      </c>
      <c r="V243" s="22" t="inlineStr">
        <is>
          <t>미확인</t>
        </is>
      </c>
      <c r="W243" s="22" t="inlineStr">
        <is>
          <t>미확인</t>
        </is>
      </c>
      <c r="X243" s="22" t="inlineStr">
        <is>
          <t>미확인</t>
        </is>
      </c>
      <c r="Y243" s="22" t="inlineStr">
        <is>
          <t>미확인</t>
        </is>
      </c>
      <c r="Z243" s="22" t="inlineStr">
        <is>
          <t>미확인</t>
        </is>
      </c>
      <c r="AA243" s="22" t="inlineStr">
        <is>
          <t>미확인</t>
        </is>
      </c>
      <c r="AB243" s="22" t="inlineStr">
        <is>
          <t>미확인</t>
        </is>
      </c>
      <c r="AC243" s="22" t="inlineStr">
        <is>
          <t>미확인</t>
        </is>
      </c>
      <c r="AD243" s="22" t="inlineStr">
        <is>
          <t>미확인</t>
        </is>
      </c>
      <c r="AE243" s="22" t="inlineStr">
        <is>
          <t>미확인</t>
        </is>
      </c>
      <c r="AF243" s="22" t="inlineStr">
        <is>
          <t>미확인</t>
        </is>
      </c>
      <c r="AG243" s="22" t="inlineStr">
        <is>
          <t>미확인</t>
        </is>
      </c>
      <c r="AH243" s="22" t="inlineStr">
        <is>
          <t>미확인</t>
        </is>
      </c>
      <c r="AI243" s="22" t="inlineStr">
        <is>
          <t>미확인</t>
        </is>
      </c>
      <c r="AJ243" s="22" t="inlineStr">
        <is>
          <t>미확인</t>
        </is>
      </c>
      <c r="AK243" s="22" t="inlineStr">
        <is>
          <t>미확인</t>
        </is>
      </c>
      <c r="AL243" s="22" t="inlineStr">
        <is>
          <t>미확인</t>
        </is>
      </c>
      <c r="AM243" s="22" t="inlineStr">
        <is>
          <t>미확인</t>
        </is>
      </c>
      <c r="AN243" s="22" t="inlineStr">
        <is>
          <t>미확인</t>
        </is>
      </c>
      <c r="AO243" s="17" t="inlineStr">
        <is>
          <t>C(부분확인)</t>
        </is>
      </c>
      <c r="AP243" s="17" t="inlineStr">
        <is>
          <t>Y</t>
        </is>
      </c>
      <c r="AQ243" s="17" t="n">
        <v>4</v>
      </c>
      <c r="AR243" s="28" t="inlineStr">
        <is>
          <t>Tier D</t>
        </is>
      </c>
      <c r="AS243" s="17" t="inlineStr">
        <is>
          <t>EDMS</t>
        </is>
      </c>
      <c r="AT243" s="17" t="inlineStr">
        <is>
          <t>기본 문서관리 수요</t>
        </is>
      </c>
      <c r="AU243" s="17" t="inlineStr">
        <is>
          <t>담당자 파악 후 접촉</t>
        </is>
      </c>
      <c r="AV243" s="17" t="inlineStr">
        <is>
          <t>GMP적합판정+KRX</t>
        </is>
      </c>
      <c r="AW243" s="17" t="inlineStr">
        <is>
          <t>2026-07-05</t>
        </is>
      </c>
    </row>
    <row r="244">
      <c r="A244" s="17" t="inlineStr">
        <is>
          <t>C243</t>
        </is>
      </c>
      <c r="B244" s="17" t="inlineStr">
        <is>
          <t>익수제약</t>
        </is>
      </c>
      <c r="C244" s="17" t="inlineStr">
        <is>
          <t>익수제약(주)</t>
        </is>
      </c>
      <c r="D244" s="17" t="n">
        <v>1</v>
      </c>
      <c r="E244" s="17" t="n">
        <v>1</v>
      </c>
      <c r="F244" s="17" t="inlineStr">
        <is>
          <t>Y</t>
        </is>
      </c>
      <c r="G244" s="17" t="inlineStr"/>
      <c r="H244" s="17" t="inlineStr"/>
      <c r="I244" s="17" t="inlineStr"/>
      <c r="J244" s="24" t="n">
        <v>46816</v>
      </c>
      <c r="K244" s="17" t="inlineStr"/>
      <c r="L244" s="17" t="inlineStr"/>
      <c r="M244" s="17" t="inlineStr"/>
      <c r="N244" s="23" t="inlineStr"/>
      <c r="O244" s="17" t="inlineStr"/>
      <c r="P244" s="17" t="inlineStr"/>
      <c r="Q244" s="17" t="inlineStr">
        <is>
          <t>정용진</t>
        </is>
      </c>
      <c r="R244" s="17" t="inlineStr"/>
      <c r="S244" s="17" t="inlineStr"/>
      <c r="T244" s="17" t="inlineStr">
        <is>
          <t>미확인</t>
        </is>
      </c>
      <c r="U244" s="17" t="inlineStr">
        <is>
          <t>미확인</t>
        </is>
      </c>
      <c r="V244" s="22" t="inlineStr">
        <is>
          <t>미확인</t>
        </is>
      </c>
      <c r="W244" s="22" t="inlineStr">
        <is>
          <t>미확인</t>
        </is>
      </c>
      <c r="X244" s="22" t="inlineStr">
        <is>
          <t>미확인</t>
        </is>
      </c>
      <c r="Y244" s="22" t="inlineStr">
        <is>
          <t>미확인</t>
        </is>
      </c>
      <c r="Z244" s="22" t="inlineStr">
        <is>
          <t>미확인</t>
        </is>
      </c>
      <c r="AA244" s="22" t="inlineStr">
        <is>
          <t>미확인</t>
        </is>
      </c>
      <c r="AB244" s="22" t="inlineStr">
        <is>
          <t>미확인</t>
        </is>
      </c>
      <c r="AC244" s="22" t="inlineStr">
        <is>
          <t>미확인</t>
        </is>
      </c>
      <c r="AD244" s="22" t="inlineStr">
        <is>
          <t>미확인</t>
        </is>
      </c>
      <c r="AE244" s="22" t="inlineStr">
        <is>
          <t>미확인</t>
        </is>
      </c>
      <c r="AF244" s="22" t="inlineStr">
        <is>
          <t>미확인</t>
        </is>
      </c>
      <c r="AG244" s="22" t="inlineStr">
        <is>
          <t>미확인</t>
        </is>
      </c>
      <c r="AH244" s="22" t="inlineStr">
        <is>
          <t>미확인</t>
        </is>
      </c>
      <c r="AI244" s="22" t="inlineStr">
        <is>
          <t>미확인</t>
        </is>
      </c>
      <c r="AJ244" s="22" t="inlineStr">
        <is>
          <t>미확인</t>
        </is>
      </c>
      <c r="AK244" s="22" t="inlineStr">
        <is>
          <t>미확인</t>
        </is>
      </c>
      <c r="AL244" s="22" t="inlineStr">
        <is>
          <t>미확인</t>
        </is>
      </c>
      <c r="AM244" s="22" t="inlineStr">
        <is>
          <t>미확인</t>
        </is>
      </c>
      <c r="AN244" s="22" t="inlineStr">
        <is>
          <t>미확인</t>
        </is>
      </c>
      <c r="AO244" s="17" t="inlineStr">
        <is>
          <t>C(부분확인)</t>
        </is>
      </c>
      <c r="AP244" s="17" t="inlineStr">
        <is>
          <t>Y</t>
        </is>
      </c>
      <c r="AQ244" s="17" t="n">
        <v>4</v>
      </c>
      <c r="AR244" s="28" t="inlineStr">
        <is>
          <t>Tier D</t>
        </is>
      </c>
      <c r="AS244" s="17" t="inlineStr">
        <is>
          <t>EDMS</t>
        </is>
      </c>
      <c r="AT244" s="17" t="inlineStr">
        <is>
          <t>기본 문서관리 수요</t>
        </is>
      </c>
      <c r="AU244" s="17" t="inlineStr">
        <is>
          <t>담당자 파악 후 접촉</t>
        </is>
      </c>
      <c r="AV244" s="17" t="inlineStr">
        <is>
          <t>GMP적합판정+KRX</t>
        </is>
      </c>
      <c r="AW244" s="17" t="inlineStr">
        <is>
          <t>2026-07-05</t>
        </is>
      </c>
    </row>
    <row r="245">
      <c r="A245" s="17" t="inlineStr">
        <is>
          <t>C244</t>
        </is>
      </c>
      <c r="B245" s="17" t="inlineStr">
        <is>
          <t>한국휴텍스제약</t>
        </is>
      </c>
      <c r="C245" s="17" t="inlineStr">
        <is>
          <t>한국휴텍스제약(주)</t>
        </is>
      </c>
      <c r="D245" s="17" t="n">
        <v>1</v>
      </c>
      <c r="E245" s="17" t="n">
        <v>1</v>
      </c>
      <c r="F245" s="17" t="inlineStr">
        <is>
          <t>Y</t>
        </is>
      </c>
      <c r="G245" s="17" t="inlineStr"/>
      <c r="H245" s="17" t="inlineStr"/>
      <c r="I245" s="17" t="inlineStr"/>
      <c r="J245" s="24" t="n">
        <v>46815</v>
      </c>
      <c r="K245" s="17" t="inlineStr"/>
      <c r="L245" s="17" t="inlineStr"/>
      <c r="M245" s="17" t="inlineStr"/>
      <c r="N245" s="23" t="inlineStr"/>
      <c r="O245" s="17" t="inlineStr"/>
      <c r="P245" s="17" t="inlineStr"/>
      <c r="Q245" s="17" t="inlineStr">
        <is>
          <t>이상일</t>
        </is>
      </c>
      <c r="R245" s="17" t="inlineStr"/>
      <c r="S245" s="17" t="inlineStr"/>
      <c r="T245" s="17" t="inlineStr">
        <is>
          <t>031-377-7901</t>
        </is>
      </c>
      <c r="U245" s="17" t="inlineStr">
        <is>
          <t>제조소상세</t>
        </is>
      </c>
      <c r="V245" s="22" t="inlineStr">
        <is>
          <t>미확인</t>
        </is>
      </c>
      <c r="W245" s="22" t="inlineStr">
        <is>
          <t>미확인</t>
        </is>
      </c>
      <c r="X245" s="22" t="inlineStr">
        <is>
          <t>미확인</t>
        </is>
      </c>
      <c r="Y245" s="22" t="inlineStr">
        <is>
          <t>미확인</t>
        </is>
      </c>
      <c r="Z245" s="22" t="inlineStr">
        <is>
          <t>미확인</t>
        </is>
      </c>
      <c r="AA245" s="22" t="inlineStr">
        <is>
          <t>미확인</t>
        </is>
      </c>
      <c r="AB245" s="22" t="inlineStr">
        <is>
          <t>미확인</t>
        </is>
      </c>
      <c r="AC245" s="22" t="inlineStr">
        <is>
          <t>미확인</t>
        </is>
      </c>
      <c r="AD245" s="22" t="inlineStr">
        <is>
          <t>미확인</t>
        </is>
      </c>
      <c r="AE245" s="22" t="inlineStr">
        <is>
          <t>미확인</t>
        </is>
      </c>
      <c r="AF245" s="22" t="inlineStr">
        <is>
          <t>미확인</t>
        </is>
      </c>
      <c r="AG245" s="22" t="inlineStr">
        <is>
          <t>미확인</t>
        </is>
      </c>
      <c r="AH245" s="22" t="inlineStr">
        <is>
          <t>미확인</t>
        </is>
      </c>
      <c r="AI245" s="22" t="inlineStr">
        <is>
          <t>미확인</t>
        </is>
      </c>
      <c r="AJ245" s="22" t="inlineStr">
        <is>
          <t>미확인</t>
        </is>
      </c>
      <c r="AK245" s="22" t="inlineStr">
        <is>
          <t>미확인</t>
        </is>
      </c>
      <c r="AL245" s="22" t="inlineStr">
        <is>
          <t>미확인</t>
        </is>
      </c>
      <c r="AM245" s="22" t="inlineStr">
        <is>
          <t>미확인</t>
        </is>
      </c>
      <c r="AN245" s="22" t="inlineStr">
        <is>
          <t>미확인</t>
        </is>
      </c>
      <c r="AO245" s="17" t="inlineStr">
        <is>
          <t>C(부분확인)</t>
        </is>
      </c>
      <c r="AP245" s="17" t="inlineStr">
        <is>
          <t>Y</t>
        </is>
      </c>
      <c r="AQ245" s="17" t="n">
        <v>4</v>
      </c>
      <c r="AR245" s="28" t="inlineStr">
        <is>
          <t>Tier D</t>
        </is>
      </c>
      <c r="AS245" s="17" t="inlineStr">
        <is>
          <t>EDMS</t>
        </is>
      </c>
      <c r="AT245" s="17" t="inlineStr">
        <is>
          <t>기본 문서관리 수요</t>
        </is>
      </c>
      <c r="AU245" s="17" t="inlineStr">
        <is>
          <t>담당자 파악 후 접촉</t>
        </is>
      </c>
      <c r="AV245" s="17" t="inlineStr">
        <is>
          <t>GMP적합판정+KRX</t>
        </is>
      </c>
      <c r="AW245" s="17" t="inlineStr">
        <is>
          <t>2026-07-05</t>
        </is>
      </c>
    </row>
    <row r="246">
      <c r="A246" s="17" t="inlineStr">
        <is>
          <t>C245</t>
        </is>
      </c>
      <c r="B246" s="17" t="inlineStr">
        <is>
          <t>큐엘파마</t>
        </is>
      </c>
      <c r="C246" s="17" t="inlineStr">
        <is>
          <t>주식회사큐엘파마</t>
        </is>
      </c>
      <c r="D246" s="17" t="n">
        <v>1</v>
      </c>
      <c r="E246" s="17" t="n">
        <v>1</v>
      </c>
      <c r="F246" s="17" t="inlineStr">
        <is>
          <t>Y</t>
        </is>
      </c>
      <c r="G246" s="17" t="inlineStr"/>
      <c r="H246" s="17" t="inlineStr"/>
      <c r="I246" s="17" t="inlineStr"/>
      <c r="J246" s="24" t="n">
        <v>46815</v>
      </c>
      <c r="K246" s="17" t="inlineStr"/>
      <c r="L246" s="17" t="inlineStr"/>
      <c r="M246" s="17" t="inlineStr"/>
      <c r="N246" s="23" t="inlineStr"/>
      <c r="O246" s="17" t="inlineStr"/>
      <c r="P246" s="17" t="inlineStr"/>
      <c r="Q246" s="17" t="inlineStr">
        <is>
          <t>이승하</t>
        </is>
      </c>
      <c r="R246" s="17" t="inlineStr"/>
      <c r="S246" s="17" t="inlineStr"/>
      <c r="T246" s="17" t="inlineStr">
        <is>
          <t>070-8858-7353</t>
        </is>
      </c>
      <c r="U246" s="17" t="inlineStr">
        <is>
          <t>제조소상세</t>
        </is>
      </c>
      <c r="V246" s="22" t="inlineStr">
        <is>
          <t>미확인</t>
        </is>
      </c>
      <c r="W246" s="22" t="inlineStr">
        <is>
          <t>미확인</t>
        </is>
      </c>
      <c r="X246" s="22" t="inlineStr">
        <is>
          <t>미확인</t>
        </is>
      </c>
      <c r="Y246" s="22" t="inlineStr">
        <is>
          <t>미확인</t>
        </is>
      </c>
      <c r="Z246" s="22" t="inlineStr">
        <is>
          <t>미확인</t>
        </is>
      </c>
      <c r="AA246" s="22" t="inlineStr">
        <is>
          <t>미확인</t>
        </is>
      </c>
      <c r="AB246" s="22" t="inlineStr">
        <is>
          <t>미확인</t>
        </is>
      </c>
      <c r="AC246" s="22" t="inlineStr">
        <is>
          <t>미확인</t>
        </is>
      </c>
      <c r="AD246" s="22" t="inlineStr">
        <is>
          <t>미확인</t>
        </is>
      </c>
      <c r="AE246" s="22" t="inlineStr">
        <is>
          <t>미확인</t>
        </is>
      </c>
      <c r="AF246" s="22" t="inlineStr">
        <is>
          <t>미확인</t>
        </is>
      </c>
      <c r="AG246" s="22" t="inlineStr">
        <is>
          <t>미확인</t>
        </is>
      </c>
      <c r="AH246" s="22" t="inlineStr">
        <is>
          <t>미확인</t>
        </is>
      </c>
      <c r="AI246" s="22" t="inlineStr">
        <is>
          <t>미확인</t>
        </is>
      </c>
      <c r="AJ246" s="22" t="inlineStr">
        <is>
          <t>미확인</t>
        </is>
      </c>
      <c r="AK246" s="22" t="inlineStr">
        <is>
          <t>미확인</t>
        </is>
      </c>
      <c r="AL246" s="22" t="inlineStr">
        <is>
          <t>미확인</t>
        </is>
      </c>
      <c r="AM246" s="22" t="inlineStr">
        <is>
          <t>미확인</t>
        </is>
      </c>
      <c r="AN246" s="22" t="inlineStr">
        <is>
          <t>미확인</t>
        </is>
      </c>
      <c r="AO246" s="17" t="inlineStr">
        <is>
          <t>C(부분확인)</t>
        </is>
      </c>
      <c r="AP246" s="17" t="inlineStr">
        <is>
          <t>Y</t>
        </is>
      </c>
      <c r="AQ246" s="17" t="n">
        <v>4</v>
      </c>
      <c r="AR246" s="28" t="inlineStr">
        <is>
          <t>Tier D</t>
        </is>
      </c>
      <c r="AS246" s="17" t="inlineStr">
        <is>
          <t>EDMS</t>
        </is>
      </c>
      <c r="AT246" s="17" t="inlineStr">
        <is>
          <t>기본 문서관리 수요</t>
        </is>
      </c>
      <c r="AU246" s="17" t="inlineStr">
        <is>
          <t>담당자 파악 후 접촉</t>
        </is>
      </c>
      <c r="AV246" s="17" t="inlineStr">
        <is>
          <t>GMP적합판정+KRX</t>
        </is>
      </c>
      <c r="AW246" s="17" t="inlineStr">
        <is>
          <t>2026-07-05</t>
        </is>
      </c>
    </row>
    <row r="247">
      <c r="A247" s="17" t="inlineStr">
        <is>
          <t>C246</t>
        </is>
      </c>
      <c r="B247" s="17" t="inlineStr">
        <is>
          <t>폴라리스에이아이파마</t>
        </is>
      </c>
      <c r="C247" s="17" t="inlineStr">
        <is>
          <t>(주)폴라리스에이아이파마</t>
        </is>
      </c>
      <c r="D247" s="17" t="n">
        <v>1</v>
      </c>
      <c r="E247" s="17" t="n">
        <v>1</v>
      </c>
      <c r="F247" s="17" t="inlineStr"/>
      <c r="G247" s="17" t="inlineStr">
        <is>
          <t>Y</t>
        </is>
      </c>
      <c r="H247" s="17" t="inlineStr"/>
      <c r="I247" s="17" t="inlineStr"/>
      <c r="J247" s="24" t="n">
        <v>46815</v>
      </c>
      <c r="K247" s="17" t="inlineStr"/>
      <c r="L247" s="17" t="inlineStr"/>
      <c r="M247" s="17" t="inlineStr"/>
      <c r="N247" s="23" t="inlineStr"/>
      <c r="O247" s="17" t="inlineStr"/>
      <c r="P247" s="17" t="inlineStr"/>
      <c r="Q247" s="17" t="inlineStr">
        <is>
          <t>조원경</t>
        </is>
      </c>
      <c r="R247" s="17" t="inlineStr"/>
      <c r="S247" s="17" t="inlineStr"/>
      <c r="T247" s="17" t="inlineStr">
        <is>
          <t>031-831-4800</t>
        </is>
      </c>
      <c r="U247" s="17" t="inlineStr">
        <is>
          <t>제조소상세</t>
        </is>
      </c>
      <c r="V247" s="22" t="inlineStr">
        <is>
          <t>미확인</t>
        </is>
      </c>
      <c r="W247" s="22" t="inlineStr">
        <is>
          <t>미확인</t>
        </is>
      </c>
      <c r="X247" s="22" t="inlineStr">
        <is>
          <t>미확인</t>
        </is>
      </c>
      <c r="Y247" s="22" t="inlineStr">
        <is>
          <t>미확인</t>
        </is>
      </c>
      <c r="Z247" s="22" t="inlineStr">
        <is>
          <t>미확인</t>
        </is>
      </c>
      <c r="AA247" s="22" t="inlineStr">
        <is>
          <t>미확인</t>
        </is>
      </c>
      <c r="AB247" s="22" t="inlineStr">
        <is>
          <t>미확인</t>
        </is>
      </c>
      <c r="AC247" s="22" t="inlineStr">
        <is>
          <t>미확인</t>
        </is>
      </c>
      <c r="AD247" s="22" t="inlineStr">
        <is>
          <t>미확인</t>
        </is>
      </c>
      <c r="AE247" s="22" t="inlineStr">
        <is>
          <t>미확인</t>
        </is>
      </c>
      <c r="AF247" s="22" t="inlineStr">
        <is>
          <t>미확인</t>
        </is>
      </c>
      <c r="AG247" s="22" t="inlineStr">
        <is>
          <t>미확인</t>
        </is>
      </c>
      <c r="AH247" s="22" t="inlineStr">
        <is>
          <t>미확인</t>
        </is>
      </c>
      <c r="AI247" s="22" t="inlineStr">
        <is>
          <t>미확인</t>
        </is>
      </c>
      <c r="AJ247" s="22" t="inlineStr">
        <is>
          <t>미확인</t>
        </is>
      </c>
      <c r="AK247" s="22" t="inlineStr">
        <is>
          <t>미확인</t>
        </is>
      </c>
      <c r="AL247" s="22" t="inlineStr">
        <is>
          <t>미확인</t>
        </is>
      </c>
      <c r="AM247" s="22" t="inlineStr">
        <is>
          <t>미확인</t>
        </is>
      </c>
      <c r="AN247" s="22" t="inlineStr">
        <is>
          <t>미확인</t>
        </is>
      </c>
      <c r="AO247" s="17" t="inlineStr">
        <is>
          <t>C(부분확인)</t>
        </is>
      </c>
      <c r="AP247" s="17" t="inlineStr">
        <is>
          <t>Y</t>
        </is>
      </c>
      <c r="AQ247" s="17" t="n">
        <v>4</v>
      </c>
      <c r="AR247" s="28" t="inlineStr">
        <is>
          <t>Tier D</t>
        </is>
      </c>
      <c r="AS247" s="17" t="inlineStr">
        <is>
          <t>LIMS</t>
        </is>
      </c>
      <c r="AT247" s="17" t="inlineStr">
        <is>
          <t>원료 제조로 시험실 관리 필요</t>
        </is>
      </c>
      <c r="AU247" s="17" t="inlineStr">
        <is>
          <t>담당자 파악 후 접촉</t>
        </is>
      </c>
      <c r="AV247" s="17" t="inlineStr">
        <is>
          <t>GMP적합판정+KRX</t>
        </is>
      </c>
      <c r="AW247" s="17" t="inlineStr">
        <is>
          <t>2026-07-05</t>
        </is>
      </c>
    </row>
    <row r="248">
      <c r="A248" s="17" t="inlineStr">
        <is>
          <t>C247</t>
        </is>
      </c>
      <c r="B248" s="17" t="inlineStr">
        <is>
          <t>피에스지</t>
        </is>
      </c>
      <c r="C248" s="17" t="inlineStr">
        <is>
          <t>(주)피에스지</t>
        </is>
      </c>
      <c r="D248" s="17" t="n">
        <v>3</v>
      </c>
      <c r="E248" s="17" t="n">
        <v>3</v>
      </c>
      <c r="F248" s="17" t="inlineStr">
        <is>
          <t>Y</t>
        </is>
      </c>
      <c r="G248" s="17" t="inlineStr"/>
      <c r="H248" s="17" t="inlineStr"/>
      <c r="I248" s="17" t="inlineStr"/>
      <c r="J248" s="24" t="n">
        <v>46339</v>
      </c>
      <c r="K248" s="17" t="inlineStr">
        <is>
          <t>Y</t>
        </is>
      </c>
      <c r="L248" s="17" t="inlineStr"/>
      <c r="M248" s="17" t="inlineStr"/>
      <c r="N248" s="23" t="inlineStr"/>
      <c r="O248" s="17" t="inlineStr"/>
      <c r="P248" s="17" t="inlineStr"/>
      <c r="Q248" s="17" t="inlineStr">
        <is>
          <t>이승윤</t>
        </is>
      </c>
      <c r="R248" s="17" t="inlineStr"/>
      <c r="S248" s="17" t="inlineStr"/>
      <c r="T248" s="17" t="inlineStr">
        <is>
          <t>미확인</t>
        </is>
      </c>
      <c r="U248" s="17" t="inlineStr">
        <is>
          <t>미확인</t>
        </is>
      </c>
      <c r="V248" s="22" t="inlineStr">
        <is>
          <t>미확인</t>
        </is>
      </c>
      <c r="W248" s="22" t="inlineStr">
        <is>
          <t>미확인</t>
        </is>
      </c>
      <c r="X248" s="22" t="inlineStr">
        <is>
          <t>미확인</t>
        </is>
      </c>
      <c r="Y248" s="22" t="inlineStr">
        <is>
          <t>미확인</t>
        </is>
      </c>
      <c r="Z248" s="22" t="inlineStr">
        <is>
          <t>미확인</t>
        </is>
      </c>
      <c r="AA248" s="22" t="inlineStr">
        <is>
          <t>미확인</t>
        </is>
      </c>
      <c r="AB248" s="22" t="inlineStr">
        <is>
          <t>미확인</t>
        </is>
      </c>
      <c r="AC248" s="22" t="inlineStr">
        <is>
          <t>미확인</t>
        </is>
      </c>
      <c r="AD248" s="22" t="inlineStr">
        <is>
          <t>미확인</t>
        </is>
      </c>
      <c r="AE248" s="22" t="inlineStr">
        <is>
          <t>미확인</t>
        </is>
      </c>
      <c r="AF248" s="22" t="inlineStr">
        <is>
          <t>미확인</t>
        </is>
      </c>
      <c r="AG248" s="22" t="inlineStr">
        <is>
          <t>미확인</t>
        </is>
      </c>
      <c r="AH248" s="22" t="inlineStr">
        <is>
          <t>미확인</t>
        </is>
      </c>
      <c r="AI248" s="22" t="inlineStr">
        <is>
          <t>미확인</t>
        </is>
      </c>
      <c r="AJ248" s="22" t="inlineStr">
        <is>
          <t>미확인</t>
        </is>
      </c>
      <c r="AK248" s="22" t="inlineStr">
        <is>
          <t>미확인</t>
        </is>
      </c>
      <c r="AL248" s="22" t="inlineStr">
        <is>
          <t>미확인</t>
        </is>
      </c>
      <c r="AM248" s="22" t="inlineStr">
        <is>
          <t>미확인</t>
        </is>
      </c>
      <c r="AN248" s="22" t="inlineStr">
        <is>
          <t>미확인</t>
        </is>
      </c>
      <c r="AO248" s="17" t="inlineStr">
        <is>
          <t>C(부분확인)</t>
        </is>
      </c>
      <c r="AP248" s="17" t="inlineStr">
        <is>
          <t>Y</t>
        </is>
      </c>
      <c r="AQ248" s="17" t="n">
        <v>17</v>
      </c>
      <c r="AR248" s="28" t="inlineStr">
        <is>
          <t>Tier D</t>
        </is>
      </c>
      <c r="AS248" s="17" t="inlineStr">
        <is>
          <t>통합형</t>
        </is>
      </c>
      <c r="AT248" s="17" t="inlineStr">
        <is>
          <t>다중 제조소/다수 판정서로 문서관리 복잡; 다중 제조소로 교육관리 대상 광범위</t>
        </is>
      </c>
      <c r="AU248" s="17" t="inlineStr">
        <is>
          <t>담당자 파악 후 접촉</t>
        </is>
      </c>
      <c r="AV248" s="17" t="inlineStr">
        <is>
          <t>GMP적합판정+KRX</t>
        </is>
      </c>
      <c r="AW248" s="17" t="inlineStr">
        <is>
          <t>2026-07-05</t>
        </is>
      </c>
    </row>
    <row r="249">
      <c r="A249" s="17" t="inlineStr">
        <is>
          <t>C248</t>
        </is>
      </c>
      <c r="B249" s="17" t="inlineStr">
        <is>
          <t>메디카코리아</t>
        </is>
      </c>
      <c r="C249" s="17" t="inlineStr">
        <is>
          <t>(주)메디카코리아</t>
        </is>
      </c>
      <c r="D249" s="17" t="n">
        <v>1</v>
      </c>
      <c r="E249" s="17" t="n">
        <v>1</v>
      </c>
      <c r="F249" s="17" t="inlineStr">
        <is>
          <t>Y</t>
        </is>
      </c>
      <c r="G249" s="17" t="inlineStr"/>
      <c r="H249" s="17" t="inlineStr"/>
      <c r="I249" s="17" t="inlineStr"/>
      <c r="J249" s="24" t="n">
        <v>46807</v>
      </c>
      <c r="K249" s="17" t="inlineStr"/>
      <c r="L249" s="17" t="inlineStr"/>
      <c r="M249" s="17" t="inlineStr"/>
      <c r="N249" s="23" t="inlineStr"/>
      <c r="O249" s="17" t="inlineStr"/>
      <c r="P249" s="17" t="inlineStr"/>
      <c r="Q249" s="17" t="inlineStr">
        <is>
          <t>김현식</t>
        </is>
      </c>
      <c r="R249" s="17" t="inlineStr"/>
      <c r="S249" s="17" t="inlineStr"/>
      <c r="T249" s="17" t="inlineStr">
        <is>
          <t>미확인</t>
        </is>
      </c>
      <c r="U249" s="17" t="inlineStr">
        <is>
          <t>미확인</t>
        </is>
      </c>
      <c r="V249" s="22" t="inlineStr">
        <is>
          <t>미확인</t>
        </is>
      </c>
      <c r="W249" s="22" t="inlineStr">
        <is>
          <t>미확인</t>
        </is>
      </c>
      <c r="X249" s="22" t="inlineStr">
        <is>
          <t>미확인</t>
        </is>
      </c>
      <c r="Y249" s="22" t="inlineStr">
        <is>
          <t>미확인</t>
        </is>
      </c>
      <c r="Z249" s="22" t="inlineStr">
        <is>
          <t>미확인</t>
        </is>
      </c>
      <c r="AA249" s="22" t="inlineStr">
        <is>
          <t>미확인</t>
        </is>
      </c>
      <c r="AB249" s="22" t="inlineStr">
        <is>
          <t>미확인</t>
        </is>
      </c>
      <c r="AC249" s="22" t="inlineStr">
        <is>
          <t>미확인</t>
        </is>
      </c>
      <c r="AD249" s="22" t="inlineStr">
        <is>
          <t>미확인</t>
        </is>
      </c>
      <c r="AE249" s="22" t="inlineStr">
        <is>
          <t>미확인</t>
        </is>
      </c>
      <c r="AF249" s="22" t="inlineStr">
        <is>
          <t>미확인</t>
        </is>
      </c>
      <c r="AG249" s="22" t="inlineStr">
        <is>
          <t>미확인</t>
        </is>
      </c>
      <c r="AH249" s="22" t="inlineStr">
        <is>
          <t>미확인</t>
        </is>
      </c>
      <c r="AI249" s="22" t="inlineStr">
        <is>
          <t>미확인</t>
        </is>
      </c>
      <c r="AJ249" s="22" t="inlineStr">
        <is>
          <t>미확인</t>
        </is>
      </c>
      <c r="AK249" s="22" t="inlineStr">
        <is>
          <t>미확인</t>
        </is>
      </c>
      <c r="AL249" s="22" t="inlineStr">
        <is>
          <t>미확인</t>
        </is>
      </c>
      <c r="AM249" s="22" t="inlineStr">
        <is>
          <t>미확인</t>
        </is>
      </c>
      <c r="AN249" s="22" t="inlineStr">
        <is>
          <t>미확인</t>
        </is>
      </c>
      <c r="AO249" s="17" t="inlineStr">
        <is>
          <t>C(부분확인)</t>
        </is>
      </c>
      <c r="AP249" s="17" t="inlineStr">
        <is>
          <t>Y</t>
        </is>
      </c>
      <c r="AQ249" s="17" t="n">
        <v>4</v>
      </c>
      <c r="AR249" s="28" t="inlineStr">
        <is>
          <t>Tier D</t>
        </is>
      </c>
      <c r="AS249" s="17" t="inlineStr">
        <is>
          <t>EDMS</t>
        </is>
      </c>
      <c r="AT249" s="17" t="inlineStr">
        <is>
          <t>기본 문서관리 수요</t>
        </is>
      </c>
      <c r="AU249" s="17" t="inlineStr">
        <is>
          <t>담당자 파악 후 접촉</t>
        </is>
      </c>
      <c r="AV249" s="17" t="inlineStr">
        <is>
          <t>GMP적합판정+KRX</t>
        </is>
      </c>
      <c r="AW249" s="17" t="inlineStr">
        <is>
          <t>2026-07-05</t>
        </is>
      </c>
    </row>
    <row r="250">
      <c r="A250" s="17" t="inlineStr">
        <is>
          <t>C249</t>
        </is>
      </c>
      <c r="B250" s="17" t="inlineStr">
        <is>
          <t>위더스제약</t>
        </is>
      </c>
      <c r="C250" s="17" t="inlineStr">
        <is>
          <t>위더스제약(주)</t>
        </is>
      </c>
      <c r="D250" s="17" t="n">
        <v>1</v>
      </c>
      <c r="E250" s="17" t="n">
        <v>1</v>
      </c>
      <c r="F250" s="17" t="inlineStr">
        <is>
          <t>Y</t>
        </is>
      </c>
      <c r="G250" s="17" t="inlineStr"/>
      <c r="H250" s="17" t="inlineStr"/>
      <c r="I250" s="17" t="inlineStr"/>
      <c r="J250" s="24" t="n">
        <v>46807</v>
      </c>
      <c r="K250" s="17" t="inlineStr"/>
      <c r="L250" s="17" t="inlineStr">
        <is>
          <t>Y</t>
        </is>
      </c>
      <c r="M250" s="17" t="inlineStr">
        <is>
          <t>코스닥</t>
        </is>
      </c>
      <c r="N250" s="23" t="inlineStr">
        <is>
          <t>330350</t>
        </is>
      </c>
      <c r="O250" s="17" t="inlineStr">
        <is>
          <t>의약품 제조업</t>
        </is>
      </c>
      <c r="P250" s="17" t="inlineStr">
        <is>
          <t>의약품 제조 및 도소매(순환기용제 등)</t>
        </is>
      </c>
      <c r="Q250" s="17" t="inlineStr">
        <is>
          <t>성대영</t>
        </is>
      </c>
      <c r="R250" s="17" t="inlineStr">
        <is>
          <t>http://withuspharm.com</t>
        </is>
      </c>
      <c r="S250" s="17" t="inlineStr">
        <is>
          <t>서울특별시</t>
        </is>
      </c>
      <c r="T250" s="17" t="inlineStr">
        <is>
          <t>미확인</t>
        </is>
      </c>
      <c r="U250" s="17" t="inlineStr">
        <is>
          <t>미확인</t>
        </is>
      </c>
      <c r="V250" s="22" t="inlineStr">
        <is>
          <t>미확인</t>
        </is>
      </c>
      <c r="W250" s="22" t="inlineStr">
        <is>
          <t>미확인</t>
        </is>
      </c>
      <c r="X250" s="22" t="inlineStr">
        <is>
          <t>미확인</t>
        </is>
      </c>
      <c r="Y250" s="22" t="inlineStr">
        <is>
          <t>미확인</t>
        </is>
      </c>
      <c r="Z250" s="22" t="inlineStr">
        <is>
          <t>미확인</t>
        </is>
      </c>
      <c r="AA250" s="22" t="inlineStr">
        <is>
          <t>미확인</t>
        </is>
      </c>
      <c r="AB250" s="22" t="inlineStr">
        <is>
          <t>미확인</t>
        </is>
      </c>
      <c r="AC250" s="22" t="inlineStr">
        <is>
          <t>미확인</t>
        </is>
      </c>
      <c r="AD250" s="22" t="inlineStr">
        <is>
          <t>미확인</t>
        </is>
      </c>
      <c r="AE250" s="22" t="inlineStr">
        <is>
          <t>미확인</t>
        </is>
      </c>
      <c r="AF250" s="22" t="inlineStr">
        <is>
          <t>미확인</t>
        </is>
      </c>
      <c r="AG250" s="22" t="inlineStr">
        <is>
          <t>미확인</t>
        </is>
      </c>
      <c r="AH250" s="22" t="inlineStr">
        <is>
          <t>미확인</t>
        </is>
      </c>
      <c r="AI250" s="22" t="inlineStr">
        <is>
          <t>미확인</t>
        </is>
      </c>
      <c r="AJ250" s="22" t="inlineStr">
        <is>
          <t>미확인</t>
        </is>
      </c>
      <c r="AK250" s="22" t="inlineStr">
        <is>
          <t>미확인</t>
        </is>
      </c>
      <c r="AL250" s="22" t="inlineStr">
        <is>
          <t>미확인</t>
        </is>
      </c>
      <c r="AM250" s="22" t="inlineStr">
        <is>
          <t>미확인</t>
        </is>
      </c>
      <c r="AN250" s="22" t="inlineStr">
        <is>
          <t>미확인</t>
        </is>
      </c>
      <c r="AO250" s="17" t="inlineStr">
        <is>
          <t>C(부분확인)</t>
        </is>
      </c>
      <c r="AP250" s="17" t="inlineStr">
        <is>
          <t>Y</t>
        </is>
      </c>
      <c r="AQ250" s="17" t="n">
        <v>4</v>
      </c>
      <c r="AR250" s="28" t="inlineStr">
        <is>
          <t>Tier D</t>
        </is>
      </c>
      <c r="AS250" s="17" t="inlineStr">
        <is>
          <t>EDMS</t>
        </is>
      </c>
      <c r="AT250" s="17" t="inlineStr">
        <is>
          <t>기본 문서관리 수요</t>
        </is>
      </c>
      <c r="AU250" s="17" t="inlineStr">
        <is>
          <t>담당자 파악 후 접촉</t>
        </is>
      </c>
      <c r="AV250" s="17" t="inlineStr">
        <is>
          <t>GMP적합판정+KRX</t>
        </is>
      </c>
      <c r="AW250" s="17" t="inlineStr">
        <is>
          <t>2026-07-05</t>
        </is>
      </c>
    </row>
    <row r="251">
      <c r="A251" s="17" t="inlineStr">
        <is>
          <t>C250</t>
        </is>
      </c>
      <c r="B251" s="17" t="inlineStr">
        <is>
          <t>대구경북첨단의료산업진흥재단</t>
        </is>
      </c>
      <c r="C251" s="17" t="inlineStr">
        <is>
          <t>대구경북첨단의료산업진흥재단</t>
        </is>
      </c>
      <c r="D251" s="17" t="n">
        <v>2</v>
      </c>
      <c r="E251" s="17" t="n">
        <v>1</v>
      </c>
      <c r="F251" s="17" t="inlineStr">
        <is>
          <t>Y</t>
        </is>
      </c>
      <c r="G251" s="17" t="inlineStr">
        <is>
          <t>Y</t>
        </is>
      </c>
      <c r="H251" s="17" t="inlineStr">
        <is>
          <t>Y</t>
        </is>
      </c>
      <c r="I251" s="17" t="inlineStr"/>
      <c r="J251" s="24" t="n">
        <v>46807</v>
      </c>
      <c r="K251" s="17" t="inlineStr"/>
      <c r="L251" s="17" t="inlineStr"/>
      <c r="M251" s="17" t="inlineStr"/>
      <c r="N251" s="23" t="inlineStr"/>
      <c r="O251" s="17" t="inlineStr"/>
      <c r="P251" s="17" t="inlineStr"/>
      <c r="Q251" s="17" t="inlineStr">
        <is>
          <t>박구선</t>
        </is>
      </c>
      <c r="R251" s="17" t="inlineStr"/>
      <c r="S251" s="17" t="inlineStr"/>
      <c r="T251" s="17" t="inlineStr">
        <is>
          <t>053-790-5822</t>
        </is>
      </c>
      <c r="U251" s="17" t="inlineStr">
        <is>
          <t>제조소상세</t>
        </is>
      </c>
      <c r="V251" s="22" t="inlineStr">
        <is>
          <t>미확인</t>
        </is>
      </c>
      <c r="W251" s="22" t="inlineStr">
        <is>
          <t>미확인</t>
        </is>
      </c>
      <c r="X251" s="22" t="inlineStr">
        <is>
          <t>미확인</t>
        </is>
      </c>
      <c r="Y251" s="22" t="inlineStr">
        <is>
          <t>미확인</t>
        </is>
      </c>
      <c r="Z251" s="22" t="inlineStr">
        <is>
          <t>미확인</t>
        </is>
      </c>
      <c r="AA251" s="22" t="inlineStr">
        <is>
          <t>미확인</t>
        </is>
      </c>
      <c r="AB251" s="22" t="inlineStr">
        <is>
          <t>미확인</t>
        </is>
      </c>
      <c r="AC251" s="22" t="inlineStr">
        <is>
          <t>미확인</t>
        </is>
      </c>
      <c r="AD251" s="22" t="inlineStr">
        <is>
          <t>미확인</t>
        </is>
      </c>
      <c r="AE251" s="22" t="inlineStr">
        <is>
          <t>미확인</t>
        </is>
      </c>
      <c r="AF251" s="22" t="inlineStr">
        <is>
          <t>미확인</t>
        </is>
      </c>
      <c r="AG251" s="22" t="inlineStr">
        <is>
          <t>미확인</t>
        </is>
      </c>
      <c r="AH251" s="22" t="inlineStr">
        <is>
          <t>미확인</t>
        </is>
      </c>
      <c r="AI251" s="22" t="inlineStr">
        <is>
          <t>미확인</t>
        </is>
      </c>
      <c r="AJ251" s="22" t="inlineStr">
        <is>
          <t>미확인</t>
        </is>
      </c>
      <c r="AK251" s="22" t="inlineStr">
        <is>
          <t>미확인</t>
        </is>
      </c>
      <c r="AL251" s="22" t="inlineStr">
        <is>
          <t>미확인</t>
        </is>
      </c>
      <c r="AM251" s="22" t="inlineStr">
        <is>
          <t>미확인</t>
        </is>
      </c>
      <c r="AN251" s="22" t="inlineStr">
        <is>
          <t>미확인</t>
        </is>
      </c>
      <c r="AO251" s="17" t="inlineStr">
        <is>
          <t>C(부분확인)</t>
        </is>
      </c>
      <c r="AP251" s="17" t="inlineStr">
        <is>
          <t>Y</t>
        </is>
      </c>
      <c r="AQ251" s="17" t="n">
        <v>12</v>
      </c>
      <c r="AR251" s="28" t="inlineStr">
        <is>
          <t>Tier D</t>
        </is>
      </c>
      <c r="AS251" s="17" t="inlineStr">
        <is>
          <t>QMS+LIMS</t>
        </is>
      </c>
      <c r="AT251" s="17" t="inlineStr">
        <is>
          <t>무균/바이오 제조로 품질관리 난도 높음; 원료 제조로 시험실 관리 필요</t>
        </is>
      </c>
      <c r="AU251" s="17" t="inlineStr">
        <is>
          <t>담당자 파악 후 접촉</t>
        </is>
      </c>
      <c r="AV251" s="17" t="inlineStr">
        <is>
          <t>GMP적합판정+KRX</t>
        </is>
      </c>
      <c r="AW251" s="17" t="inlineStr">
        <is>
          <t>2026-07-05</t>
        </is>
      </c>
    </row>
    <row r="252">
      <c r="A252" s="17" t="inlineStr">
        <is>
          <t>C251</t>
        </is>
      </c>
      <c r="B252" s="17" t="inlineStr">
        <is>
          <t>셀트리온</t>
        </is>
      </c>
      <c r="C252" s="17" t="inlineStr">
        <is>
          <t>(주)셀트리온</t>
        </is>
      </c>
      <c r="D252" s="17" t="n">
        <v>3</v>
      </c>
      <c r="E252" s="17" t="n">
        <v>2</v>
      </c>
      <c r="F252" s="17" t="inlineStr">
        <is>
          <t>Y</t>
        </is>
      </c>
      <c r="G252" s="17" t="inlineStr">
        <is>
          <t>Y</t>
        </is>
      </c>
      <c r="H252" s="17" t="inlineStr">
        <is>
          <t>Y</t>
        </is>
      </c>
      <c r="I252" s="17" t="inlineStr">
        <is>
          <t>Y</t>
        </is>
      </c>
      <c r="J252" s="24" t="n">
        <v>46800</v>
      </c>
      <c r="K252" s="17" t="inlineStr"/>
      <c r="L252" s="17" t="inlineStr">
        <is>
          <t>Y</t>
        </is>
      </c>
      <c r="M252" s="17" t="inlineStr">
        <is>
          <t>유가</t>
        </is>
      </c>
      <c r="N252" s="23" t="inlineStr">
        <is>
          <t>068270</t>
        </is>
      </c>
      <c r="O252" s="17" t="inlineStr">
        <is>
          <t>기초 의약물질 제조업</t>
        </is>
      </c>
      <c r="P252" s="17" t="inlineStr">
        <is>
          <t>램시마, 트룩시마, 허쥬마</t>
        </is>
      </c>
      <c r="Q252" s="17" t="inlineStr">
        <is>
          <t>기우성, 서진석</t>
        </is>
      </c>
      <c r="R252" s="17" t="inlineStr">
        <is>
          <t>http://www.celltrion.com</t>
        </is>
      </c>
      <c r="S252" s="17" t="inlineStr">
        <is>
          <t>인천광역시</t>
        </is>
      </c>
      <c r="T252" s="17" t="inlineStr">
        <is>
          <t>미확인</t>
        </is>
      </c>
      <c r="U252" s="17" t="inlineStr">
        <is>
          <t>미확인</t>
        </is>
      </c>
      <c r="V252" s="22" t="inlineStr">
        <is>
          <t>미확인</t>
        </is>
      </c>
      <c r="W252" s="22" t="inlineStr">
        <is>
          <t>미확인</t>
        </is>
      </c>
      <c r="X252" s="22" t="inlineStr">
        <is>
          <t>미확인</t>
        </is>
      </c>
      <c r="Y252" s="22" t="inlineStr">
        <is>
          <t>미확인</t>
        </is>
      </c>
      <c r="Z252" s="22" t="inlineStr">
        <is>
          <t>미확인</t>
        </is>
      </c>
      <c r="AA252" s="22" t="inlineStr">
        <is>
          <t>미확인</t>
        </is>
      </c>
      <c r="AB252" s="22" t="inlineStr">
        <is>
          <t>미확인</t>
        </is>
      </c>
      <c r="AC252" s="22" t="inlineStr">
        <is>
          <t>미확인</t>
        </is>
      </c>
      <c r="AD252" s="22" t="inlineStr">
        <is>
          <t>미확인</t>
        </is>
      </c>
      <c r="AE252" s="22" t="inlineStr">
        <is>
          <t>미확인</t>
        </is>
      </c>
      <c r="AF252" s="22" t="inlineStr">
        <is>
          <t>미확인</t>
        </is>
      </c>
      <c r="AG252" s="22" t="inlineStr">
        <is>
          <t>미확인</t>
        </is>
      </c>
      <c r="AH252" s="22" t="inlineStr">
        <is>
          <t>미확인</t>
        </is>
      </c>
      <c r="AI252" s="22" t="inlineStr">
        <is>
          <t>미확인</t>
        </is>
      </c>
      <c r="AJ252" s="22" t="inlineStr">
        <is>
          <t>미확인</t>
        </is>
      </c>
      <c r="AK252" s="22" t="inlineStr">
        <is>
          <t>미확인</t>
        </is>
      </c>
      <c r="AL252" s="22" t="inlineStr">
        <is>
          <t>미확인</t>
        </is>
      </c>
      <c r="AM252" s="22" t="inlineStr">
        <is>
          <t>미확인</t>
        </is>
      </c>
      <c r="AN252" s="22" t="inlineStr">
        <is>
          <t>미확인</t>
        </is>
      </c>
      <c r="AO252" s="17" t="inlineStr">
        <is>
          <t>C(부분확인)</t>
        </is>
      </c>
      <c r="AP252" s="17" t="inlineStr">
        <is>
          <t>Y</t>
        </is>
      </c>
      <c r="AQ252" s="17" t="n">
        <v>23</v>
      </c>
      <c r="AR252" s="28" t="inlineStr">
        <is>
          <t>Tier D</t>
        </is>
      </c>
      <c r="AS252" s="17" t="inlineStr">
        <is>
          <t>통합형</t>
        </is>
      </c>
      <c r="AT252" s="17" t="inlineStr">
        <is>
          <t>다중 제조소/다수 판정서로 문서관리 복잡; 무균/바이오 제조로 품질관리 난도 높음</t>
        </is>
      </c>
      <c r="AU252" s="17" t="inlineStr">
        <is>
          <t>담당자 파악 후 접촉</t>
        </is>
      </c>
      <c r="AV252" s="17" t="inlineStr">
        <is>
          <t>GMP적합판정+KRX</t>
        </is>
      </c>
      <c r="AW252" s="17" t="inlineStr">
        <is>
          <t>2026-07-05</t>
        </is>
      </c>
    </row>
    <row r="253">
      <c r="A253" s="17" t="inlineStr">
        <is>
          <t>C252</t>
        </is>
      </c>
      <c r="B253" s="17" t="inlineStr">
        <is>
          <t>중헌제약</t>
        </is>
      </c>
      <c r="C253" s="17" t="inlineStr">
        <is>
          <t>(주)중헌제약</t>
        </is>
      </c>
      <c r="D253" s="17" t="n">
        <v>1</v>
      </c>
      <c r="E253" s="17" t="n">
        <v>1</v>
      </c>
      <c r="F253" s="17" t="inlineStr">
        <is>
          <t>Y</t>
        </is>
      </c>
      <c r="G253" s="17" t="inlineStr"/>
      <c r="H253" s="17" t="inlineStr">
        <is>
          <t>Y</t>
        </is>
      </c>
      <c r="I253" s="17" t="inlineStr"/>
      <c r="J253" s="24" t="n">
        <v>46800</v>
      </c>
      <c r="K253" s="17" t="inlineStr"/>
      <c r="L253" s="17" t="inlineStr"/>
      <c r="M253" s="17" t="inlineStr"/>
      <c r="N253" s="23" t="inlineStr"/>
      <c r="O253" s="17" t="inlineStr"/>
      <c r="P253" s="17" t="inlineStr"/>
      <c r="Q253" s="17" t="inlineStr">
        <is>
          <t>윤석준</t>
        </is>
      </c>
      <c r="R253" s="17" t="inlineStr"/>
      <c r="S253" s="17" t="inlineStr"/>
      <c r="T253" s="17" t="inlineStr">
        <is>
          <t>04371120000269293605</t>
        </is>
      </c>
      <c r="U253" s="17" t="inlineStr">
        <is>
          <t>제조소상세</t>
        </is>
      </c>
      <c r="V253" s="22" t="inlineStr">
        <is>
          <t>미확인</t>
        </is>
      </c>
      <c r="W253" s="22" t="inlineStr">
        <is>
          <t>미확인</t>
        </is>
      </c>
      <c r="X253" s="22" t="inlineStr">
        <is>
          <t>미확인</t>
        </is>
      </c>
      <c r="Y253" s="22" t="inlineStr">
        <is>
          <t>미확인</t>
        </is>
      </c>
      <c r="Z253" s="22" t="inlineStr">
        <is>
          <t>미확인</t>
        </is>
      </c>
      <c r="AA253" s="22" t="inlineStr">
        <is>
          <t>미확인</t>
        </is>
      </c>
      <c r="AB253" s="22" t="inlineStr">
        <is>
          <t>미확인</t>
        </is>
      </c>
      <c r="AC253" s="22" t="inlineStr">
        <is>
          <t>미확인</t>
        </is>
      </c>
      <c r="AD253" s="22" t="inlineStr">
        <is>
          <t>미확인</t>
        </is>
      </c>
      <c r="AE253" s="22" t="inlineStr">
        <is>
          <t>미확인</t>
        </is>
      </c>
      <c r="AF253" s="22" t="inlineStr">
        <is>
          <t>미확인</t>
        </is>
      </c>
      <c r="AG253" s="22" t="inlineStr">
        <is>
          <t>미확인</t>
        </is>
      </c>
      <c r="AH253" s="22" t="inlineStr">
        <is>
          <t>미확인</t>
        </is>
      </c>
      <c r="AI253" s="22" t="inlineStr">
        <is>
          <t>미확인</t>
        </is>
      </c>
      <c r="AJ253" s="22" t="inlineStr">
        <is>
          <t>미확인</t>
        </is>
      </c>
      <c r="AK253" s="22" t="inlineStr">
        <is>
          <t>미확인</t>
        </is>
      </c>
      <c r="AL253" s="22" t="inlineStr">
        <is>
          <t>미확인</t>
        </is>
      </c>
      <c r="AM253" s="22" t="inlineStr">
        <is>
          <t>미확인</t>
        </is>
      </c>
      <c r="AN253" s="22" t="inlineStr">
        <is>
          <t>미확인</t>
        </is>
      </c>
      <c r="AO253" s="17" t="inlineStr">
        <is>
          <t>C(부분확인)</t>
        </is>
      </c>
      <c r="AP253" s="17" t="inlineStr">
        <is>
          <t>Y</t>
        </is>
      </c>
      <c r="AQ253" s="17" t="n">
        <v>12</v>
      </c>
      <c r="AR253" s="28" t="inlineStr">
        <is>
          <t>Tier D</t>
        </is>
      </c>
      <c r="AS253" s="17" t="inlineStr">
        <is>
          <t>QMS+LIMS</t>
        </is>
      </c>
      <c r="AT253" s="17" t="inlineStr">
        <is>
          <t>무균/바이오 제조로 품질관리 난도 높음</t>
        </is>
      </c>
      <c r="AU253" s="17" t="inlineStr">
        <is>
          <t>담당자 파악 후 접촉</t>
        </is>
      </c>
      <c r="AV253" s="17" t="inlineStr">
        <is>
          <t>GMP적합판정+KRX</t>
        </is>
      </c>
      <c r="AW253" s="17" t="inlineStr">
        <is>
          <t>2026-07-05</t>
        </is>
      </c>
    </row>
    <row r="254">
      <c r="A254" s="17" t="inlineStr">
        <is>
          <t>C253</t>
        </is>
      </c>
      <c r="B254" s="17" t="inlineStr">
        <is>
          <t>한풍제약</t>
        </is>
      </c>
      <c r="C254" s="17" t="inlineStr">
        <is>
          <t>(주)한풍제약</t>
        </is>
      </c>
      <c r="D254" s="17" t="n">
        <v>2</v>
      </c>
      <c r="E254" s="17" t="n">
        <v>1</v>
      </c>
      <c r="F254" s="17" t="inlineStr">
        <is>
          <t>Y</t>
        </is>
      </c>
      <c r="G254" s="17" t="inlineStr">
        <is>
          <t>Y</t>
        </is>
      </c>
      <c r="H254" s="17" t="inlineStr"/>
      <c r="I254" s="17" t="inlineStr"/>
      <c r="J254" s="24" t="n">
        <v>46798</v>
      </c>
      <c r="K254" s="17" t="inlineStr"/>
      <c r="L254" s="17" t="inlineStr"/>
      <c r="M254" s="17" t="inlineStr"/>
      <c r="N254" s="23" t="inlineStr"/>
      <c r="O254" s="17" t="inlineStr"/>
      <c r="P254" s="17" t="inlineStr"/>
      <c r="Q254" s="17" t="inlineStr">
        <is>
          <t>조인식</t>
        </is>
      </c>
      <c r="R254" s="17" t="inlineStr"/>
      <c r="S254" s="17" t="inlineStr"/>
      <c r="T254" s="17" t="inlineStr">
        <is>
          <t>미확인</t>
        </is>
      </c>
      <c r="U254" s="17" t="inlineStr">
        <is>
          <t>미확인</t>
        </is>
      </c>
      <c r="V254" s="22" t="inlineStr">
        <is>
          <t>미확인</t>
        </is>
      </c>
      <c r="W254" s="22" t="inlineStr">
        <is>
          <t>미확인</t>
        </is>
      </c>
      <c r="X254" s="22" t="inlineStr">
        <is>
          <t>미확인</t>
        </is>
      </c>
      <c r="Y254" s="22" t="inlineStr">
        <is>
          <t>미확인</t>
        </is>
      </c>
      <c r="Z254" s="22" t="inlineStr">
        <is>
          <t>미확인</t>
        </is>
      </c>
      <c r="AA254" s="22" t="inlineStr">
        <is>
          <t>미확인</t>
        </is>
      </c>
      <c r="AB254" s="22" t="inlineStr">
        <is>
          <t>미확인</t>
        </is>
      </c>
      <c r="AC254" s="22" t="inlineStr">
        <is>
          <t>미확인</t>
        </is>
      </c>
      <c r="AD254" s="22" t="inlineStr">
        <is>
          <t>미확인</t>
        </is>
      </c>
      <c r="AE254" s="22" t="inlineStr">
        <is>
          <t>미확인</t>
        </is>
      </c>
      <c r="AF254" s="22" t="inlineStr">
        <is>
          <t>미확인</t>
        </is>
      </c>
      <c r="AG254" s="22" t="inlineStr">
        <is>
          <t>미확인</t>
        </is>
      </c>
      <c r="AH254" s="22" t="inlineStr">
        <is>
          <t>미확인</t>
        </is>
      </c>
      <c r="AI254" s="22" t="inlineStr">
        <is>
          <t>미확인</t>
        </is>
      </c>
      <c r="AJ254" s="22" t="inlineStr">
        <is>
          <t>미확인</t>
        </is>
      </c>
      <c r="AK254" s="22" t="inlineStr">
        <is>
          <t>미확인</t>
        </is>
      </c>
      <c r="AL254" s="22" t="inlineStr">
        <is>
          <t>미확인</t>
        </is>
      </c>
      <c r="AM254" s="22" t="inlineStr">
        <is>
          <t>미확인</t>
        </is>
      </c>
      <c r="AN254" s="22" t="inlineStr">
        <is>
          <t>미확인</t>
        </is>
      </c>
      <c r="AO254" s="17" t="inlineStr">
        <is>
          <t>C(부분확인)</t>
        </is>
      </c>
      <c r="AP254" s="17" t="inlineStr">
        <is>
          <t>Y</t>
        </is>
      </c>
      <c r="AQ254" s="17" t="n">
        <v>4</v>
      </c>
      <c r="AR254" s="28" t="inlineStr">
        <is>
          <t>Tier D</t>
        </is>
      </c>
      <c r="AS254" s="17" t="inlineStr">
        <is>
          <t>LIMS</t>
        </is>
      </c>
      <c r="AT254" s="17" t="inlineStr">
        <is>
          <t>원료 제조로 시험실 관리 필요</t>
        </is>
      </c>
      <c r="AU254" s="17" t="inlineStr">
        <is>
          <t>담당자 파악 후 접촉</t>
        </is>
      </c>
      <c r="AV254" s="17" t="inlineStr">
        <is>
          <t>GMP적합판정+KRX</t>
        </is>
      </c>
      <c r="AW254" s="17" t="inlineStr">
        <is>
          <t>2026-07-05</t>
        </is>
      </c>
    </row>
    <row r="255">
      <c r="A255" s="17" t="inlineStr">
        <is>
          <t>C254</t>
        </is>
      </c>
      <c r="B255" s="17" t="inlineStr">
        <is>
          <t>성우화학</t>
        </is>
      </c>
      <c r="C255" s="17" t="inlineStr">
        <is>
          <t>성우화학(주)</t>
        </is>
      </c>
      <c r="D255" s="17" t="n">
        <v>1</v>
      </c>
      <c r="E255" s="17" t="n">
        <v>1</v>
      </c>
      <c r="F255" s="17" t="inlineStr"/>
      <c r="G255" s="17" t="inlineStr">
        <is>
          <t>Y</t>
        </is>
      </c>
      <c r="H255" s="17" t="inlineStr"/>
      <c r="I255" s="17" t="inlineStr"/>
      <c r="J255" s="24" t="n">
        <v>46797</v>
      </c>
      <c r="K255" s="17" t="inlineStr"/>
      <c r="L255" s="17" t="inlineStr"/>
      <c r="M255" s="17" t="inlineStr"/>
      <c r="N255" s="23" t="inlineStr"/>
      <c r="O255" s="17" t="inlineStr"/>
      <c r="P255" s="17" t="inlineStr"/>
      <c r="Q255" s="17" t="inlineStr">
        <is>
          <t>윤영봉</t>
        </is>
      </c>
      <c r="R255" s="17" t="inlineStr"/>
      <c r="S255" s="17" t="inlineStr"/>
      <c r="T255" s="17" t="inlineStr">
        <is>
          <t>031-353-7251</t>
        </is>
      </c>
      <c r="U255" s="17" t="inlineStr">
        <is>
          <t>제조소상세</t>
        </is>
      </c>
      <c r="V255" s="22" t="inlineStr">
        <is>
          <t>미확인</t>
        </is>
      </c>
      <c r="W255" s="22" t="inlineStr">
        <is>
          <t>미확인</t>
        </is>
      </c>
      <c r="X255" s="22" t="inlineStr">
        <is>
          <t>미확인</t>
        </is>
      </c>
      <c r="Y255" s="22" t="inlineStr">
        <is>
          <t>미확인</t>
        </is>
      </c>
      <c r="Z255" s="22" t="inlineStr">
        <is>
          <t>미확인</t>
        </is>
      </c>
      <c r="AA255" s="22" t="inlineStr">
        <is>
          <t>미확인</t>
        </is>
      </c>
      <c r="AB255" s="22" t="inlineStr">
        <is>
          <t>미확인</t>
        </is>
      </c>
      <c r="AC255" s="22" t="inlineStr">
        <is>
          <t>미확인</t>
        </is>
      </c>
      <c r="AD255" s="22" t="inlineStr">
        <is>
          <t>미확인</t>
        </is>
      </c>
      <c r="AE255" s="22" t="inlineStr">
        <is>
          <t>미확인</t>
        </is>
      </c>
      <c r="AF255" s="22" t="inlineStr">
        <is>
          <t>미확인</t>
        </is>
      </c>
      <c r="AG255" s="22" t="inlineStr">
        <is>
          <t>미확인</t>
        </is>
      </c>
      <c r="AH255" s="22" t="inlineStr">
        <is>
          <t>미확인</t>
        </is>
      </c>
      <c r="AI255" s="22" t="inlineStr">
        <is>
          <t>미확인</t>
        </is>
      </c>
      <c r="AJ255" s="22" t="inlineStr">
        <is>
          <t>미확인</t>
        </is>
      </c>
      <c r="AK255" s="22" t="inlineStr">
        <is>
          <t>미확인</t>
        </is>
      </c>
      <c r="AL255" s="22" t="inlineStr">
        <is>
          <t>미확인</t>
        </is>
      </c>
      <c r="AM255" s="22" t="inlineStr">
        <is>
          <t>미확인</t>
        </is>
      </c>
      <c r="AN255" s="22" t="inlineStr">
        <is>
          <t>미확인</t>
        </is>
      </c>
      <c r="AO255" s="17" t="inlineStr">
        <is>
          <t>C(부분확인)</t>
        </is>
      </c>
      <c r="AP255" s="17" t="inlineStr">
        <is>
          <t>Y</t>
        </is>
      </c>
      <c r="AQ255" s="17" t="n">
        <v>4</v>
      </c>
      <c r="AR255" s="28" t="inlineStr">
        <is>
          <t>Tier D</t>
        </is>
      </c>
      <c r="AS255" s="17" t="inlineStr">
        <is>
          <t>LIMS</t>
        </is>
      </c>
      <c r="AT255" s="17" t="inlineStr">
        <is>
          <t>원료 제조로 시험실 관리 필요</t>
        </is>
      </c>
      <c r="AU255" s="17" t="inlineStr">
        <is>
          <t>담당자 파악 후 접촉</t>
        </is>
      </c>
      <c r="AV255" s="17" t="inlineStr">
        <is>
          <t>GMP적합판정+KRX</t>
        </is>
      </c>
      <c r="AW255" s="17" t="inlineStr">
        <is>
          <t>2026-07-05</t>
        </is>
      </c>
    </row>
    <row r="256">
      <c r="A256" s="17" t="inlineStr">
        <is>
          <t>C255</t>
        </is>
      </c>
      <c r="B256" s="17" t="inlineStr">
        <is>
          <t>호남고압가스</t>
        </is>
      </c>
      <c r="C256" s="17" t="inlineStr">
        <is>
          <t>호남고압가스</t>
        </is>
      </c>
      <c r="D256" s="17" t="n">
        <v>1</v>
      </c>
      <c r="E256" s="17" t="n">
        <v>1</v>
      </c>
      <c r="F256" s="17" t="inlineStr">
        <is>
          <t>Y</t>
        </is>
      </c>
      <c r="G256" s="17" t="inlineStr"/>
      <c r="H256" s="17" t="inlineStr"/>
      <c r="I256" s="17" t="inlineStr"/>
      <c r="J256" s="24" t="n">
        <v>46797</v>
      </c>
      <c r="K256" s="17" t="inlineStr"/>
      <c r="L256" s="17" t="inlineStr"/>
      <c r="M256" s="17" t="inlineStr"/>
      <c r="N256" s="23" t="inlineStr"/>
      <c r="O256" s="17" t="inlineStr"/>
      <c r="P256" s="17" t="inlineStr"/>
      <c r="Q256" s="17" t="inlineStr">
        <is>
          <t>이은희</t>
        </is>
      </c>
      <c r="R256" s="17" t="inlineStr"/>
      <c r="S256" s="17" t="inlineStr"/>
      <c r="T256" s="17" t="inlineStr">
        <is>
          <t>062-951-4147</t>
        </is>
      </c>
      <c r="U256" s="17" t="inlineStr">
        <is>
          <t>제조소상세</t>
        </is>
      </c>
      <c r="V256" s="22" t="inlineStr">
        <is>
          <t>미확인</t>
        </is>
      </c>
      <c r="W256" s="22" t="inlineStr">
        <is>
          <t>미확인</t>
        </is>
      </c>
      <c r="X256" s="22" t="inlineStr">
        <is>
          <t>미확인</t>
        </is>
      </c>
      <c r="Y256" s="22" t="inlineStr">
        <is>
          <t>미확인</t>
        </is>
      </c>
      <c r="Z256" s="22" t="inlineStr">
        <is>
          <t>미확인</t>
        </is>
      </c>
      <c r="AA256" s="22" t="inlineStr">
        <is>
          <t>미확인</t>
        </is>
      </c>
      <c r="AB256" s="22" t="inlineStr">
        <is>
          <t>미확인</t>
        </is>
      </c>
      <c r="AC256" s="22" t="inlineStr">
        <is>
          <t>미확인</t>
        </is>
      </c>
      <c r="AD256" s="22" t="inlineStr">
        <is>
          <t>미확인</t>
        </is>
      </c>
      <c r="AE256" s="22" t="inlineStr">
        <is>
          <t>미확인</t>
        </is>
      </c>
      <c r="AF256" s="22" t="inlineStr">
        <is>
          <t>미확인</t>
        </is>
      </c>
      <c r="AG256" s="22" t="inlineStr">
        <is>
          <t>미확인</t>
        </is>
      </c>
      <c r="AH256" s="22" t="inlineStr">
        <is>
          <t>미확인</t>
        </is>
      </c>
      <c r="AI256" s="22" t="inlineStr">
        <is>
          <t>미확인</t>
        </is>
      </c>
      <c r="AJ256" s="22" t="inlineStr">
        <is>
          <t>미확인</t>
        </is>
      </c>
      <c r="AK256" s="22" t="inlineStr">
        <is>
          <t>미확인</t>
        </is>
      </c>
      <c r="AL256" s="22" t="inlineStr">
        <is>
          <t>미확인</t>
        </is>
      </c>
      <c r="AM256" s="22" t="inlineStr">
        <is>
          <t>미확인</t>
        </is>
      </c>
      <c r="AN256" s="22" t="inlineStr">
        <is>
          <t>미확인</t>
        </is>
      </c>
      <c r="AO256" s="17" t="inlineStr">
        <is>
          <t>C(부분확인)</t>
        </is>
      </c>
      <c r="AP256" s="17" t="inlineStr">
        <is>
          <t>Y</t>
        </is>
      </c>
      <c r="AQ256" s="17" t="n">
        <v>4</v>
      </c>
      <c r="AR256" s="28" t="inlineStr">
        <is>
          <t>Tier D</t>
        </is>
      </c>
      <c r="AS256" s="17" t="inlineStr">
        <is>
          <t>EDMS</t>
        </is>
      </c>
      <c r="AT256" s="17" t="inlineStr">
        <is>
          <t>기본 문서관리 수요</t>
        </is>
      </c>
      <c r="AU256" s="17" t="inlineStr">
        <is>
          <t>담당자 파악 후 접촉</t>
        </is>
      </c>
      <c r="AV256" s="17" t="inlineStr">
        <is>
          <t>GMP적합판정+KRX</t>
        </is>
      </c>
      <c r="AW256" s="17" t="inlineStr">
        <is>
          <t>2026-07-05</t>
        </is>
      </c>
    </row>
    <row r="257">
      <c r="A257" s="17" t="inlineStr">
        <is>
          <t>C256</t>
        </is>
      </c>
      <c r="B257" s="17" t="inlineStr">
        <is>
          <t>창신</t>
        </is>
      </c>
      <c r="C257" s="17" t="inlineStr">
        <is>
          <t>(주)창신</t>
        </is>
      </c>
      <c r="D257" s="17" t="n">
        <v>1</v>
      </c>
      <c r="E257" s="17" t="n">
        <v>1</v>
      </c>
      <c r="F257" s="17" t="inlineStr">
        <is>
          <t>Y</t>
        </is>
      </c>
      <c r="G257" s="17" t="inlineStr"/>
      <c r="H257" s="17" t="inlineStr"/>
      <c r="I257" s="17" t="inlineStr"/>
      <c r="J257" s="24" t="n">
        <v>46795</v>
      </c>
      <c r="K257" s="17" t="inlineStr"/>
      <c r="L257" s="17" t="inlineStr"/>
      <c r="M257" s="17" t="inlineStr"/>
      <c r="N257" s="23" t="inlineStr"/>
      <c r="O257" s="17" t="inlineStr"/>
      <c r="P257" s="17" t="inlineStr"/>
      <c r="Q257" s="17" t="inlineStr">
        <is>
          <t>배성학</t>
        </is>
      </c>
      <c r="R257" s="17" t="inlineStr"/>
      <c r="S257" s="17" t="inlineStr"/>
      <c r="T257" s="17" t="inlineStr">
        <is>
          <t>055-232-2000</t>
        </is>
      </c>
      <c r="U257" s="17" t="inlineStr">
        <is>
          <t>제조소상세</t>
        </is>
      </c>
      <c r="V257" s="22" t="inlineStr">
        <is>
          <t>미확인</t>
        </is>
      </c>
      <c r="W257" s="22" t="inlineStr">
        <is>
          <t>미확인</t>
        </is>
      </c>
      <c r="X257" s="22" t="inlineStr">
        <is>
          <t>미확인</t>
        </is>
      </c>
      <c r="Y257" s="22" t="inlineStr">
        <is>
          <t>미확인</t>
        </is>
      </c>
      <c r="Z257" s="22" t="inlineStr">
        <is>
          <t>미확인</t>
        </is>
      </c>
      <c r="AA257" s="22" t="inlineStr">
        <is>
          <t>미확인</t>
        </is>
      </c>
      <c r="AB257" s="22" t="inlineStr">
        <is>
          <t>미확인</t>
        </is>
      </c>
      <c r="AC257" s="22" t="inlineStr">
        <is>
          <t>미확인</t>
        </is>
      </c>
      <c r="AD257" s="22" t="inlineStr">
        <is>
          <t>미확인</t>
        </is>
      </c>
      <c r="AE257" s="22" t="inlineStr">
        <is>
          <t>미확인</t>
        </is>
      </c>
      <c r="AF257" s="22" t="inlineStr">
        <is>
          <t>미확인</t>
        </is>
      </c>
      <c r="AG257" s="22" t="inlineStr">
        <is>
          <t>미확인</t>
        </is>
      </c>
      <c r="AH257" s="22" t="inlineStr">
        <is>
          <t>미확인</t>
        </is>
      </c>
      <c r="AI257" s="22" t="inlineStr">
        <is>
          <t>미확인</t>
        </is>
      </c>
      <c r="AJ257" s="22" t="inlineStr">
        <is>
          <t>미확인</t>
        </is>
      </c>
      <c r="AK257" s="22" t="inlineStr">
        <is>
          <t>미확인</t>
        </is>
      </c>
      <c r="AL257" s="22" t="inlineStr">
        <is>
          <t>미확인</t>
        </is>
      </c>
      <c r="AM257" s="22" t="inlineStr">
        <is>
          <t>미확인</t>
        </is>
      </c>
      <c r="AN257" s="22" t="inlineStr">
        <is>
          <t>미확인</t>
        </is>
      </c>
      <c r="AO257" s="17" t="inlineStr">
        <is>
          <t>C(부분확인)</t>
        </is>
      </c>
      <c r="AP257" s="17" t="inlineStr">
        <is>
          <t>Y</t>
        </is>
      </c>
      <c r="AQ257" s="17" t="n">
        <v>4</v>
      </c>
      <c r="AR257" s="28" t="inlineStr">
        <is>
          <t>Tier D</t>
        </is>
      </c>
      <c r="AS257" s="17" t="inlineStr">
        <is>
          <t>EDMS</t>
        </is>
      </c>
      <c r="AT257" s="17" t="inlineStr">
        <is>
          <t>기본 문서관리 수요</t>
        </is>
      </c>
      <c r="AU257" s="17" t="inlineStr">
        <is>
          <t>담당자 파악 후 접촉</t>
        </is>
      </c>
      <c r="AV257" s="17" t="inlineStr">
        <is>
          <t>GMP적합판정+KRX</t>
        </is>
      </c>
      <c r="AW257" s="17" t="inlineStr">
        <is>
          <t>2026-07-05</t>
        </is>
      </c>
    </row>
    <row r="258">
      <c r="A258" s="17" t="inlineStr">
        <is>
          <t>C257</t>
        </is>
      </c>
      <c r="B258" s="17" t="inlineStr">
        <is>
          <t>파미셀</t>
        </is>
      </c>
      <c r="C258" s="17" t="inlineStr">
        <is>
          <t>파미셀주식회사</t>
        </is>
      </c>
      <c r="D258" s="17" t="n">
        <v>1</v>
      </c>
      <c r="E258" s="17" t="n">
        <v>1</v>
      </c>
      <c r="F258" s="17" t="inlineStr">
        <is>
          <t>Y</t>
        </is>
      </c>
      <c r="G258" s="17" t="inlineStr"/>
      <c r="H258" s="17" t="inlineStr">
        <is>
          <t>Y</t>
        </is>
      </c>
      <c r="I258" s="17" t="inlineStr">
        <is>
          <t>Y</t>
        </is>
      </c>
      <c r="J258" s="24" t="n">
        <v>46793</v>
      </c>
      <c r="K258" s="17" t="inlineStr"/>
      <c r="L258" s="17" t="inlineStr">
        <is>
          <t>Y</t>
        </is>
      </c>
      <c r="M258" s="17" t="inlineStr">
        <is>
          <t>유가</t>
        </is>
      </c>
      <c r="N258" s="23" t="inlineStr">
        <is>
          <t>005690</t>
        </is>
      </c>
      <c r="O258" s="17" t="inlineStr">
        <is>
          <t>전자부품 제조업</t>
        </is>
      </c>
      <c r="P258" s="17" t="inlineStr">
        <is>
          <t>줄기세포치료제,화장품</t>
        </is>
      </c>
      <c r="Q258" s="17" t="inlineStr">
        <is>
          <t>김현수</t>
        </is>
      </c>
      <c r="R258" s="17" t="inlineStr">
        <is>
          <t>http://www.pharmicell.com</t>
        </is>
      </c>
      <c r="S258" s="17" t="inlineStr">
        <is>
          <t>서울특별시</t>
        </is>
      </c>
      <c r="T258" s="17" t="inlineStr">
        <is>
          <t>미확인</t>
        </is>
      </c>
      <c r="U258" s="17" t="inlineStr">
        <is>
          <t>미확인</t>
        </is>
      </c>
      <c r="V258" s="22" t="inlineStr">
        <is>
          <t>미확인</t>
        </is>
      </c>
      <c r="W258" s="22" t="inlineStr">
        <is>
          <t>미확인</t>
        </is>
      </c>
      <c r="X258" s="22" t="inlineStr">
        <is>
          <t>미확인</t>
        </is>
      </c>
      <c r="Y258" s="22" t="inlineStr">
        <is>
          <t>미확인</t>
        </is>
      </c>
      <c r="Z258" s="22" t="inlineStr">
        <is>
          <t>미확인</t>
        </is>
      </c>
      <c r="AA258" s="22" t="inlineStr">
        <is>
          <t>미확인</t>
        </is>
      </c>
      <c r="AB258" s="22" t="inlineStr">
        <is>
          <t>미확인</t>
        </is>
      </c>
      <c r="AC258" s="22" t="inlineStr">
        <is>
          <t>미확인</t>
        </is>
      </c>
      <c r="AD258" s="22" t="inlineStr">
        <is>
          <t>미확인</t>
        </is>
      </c>
      <c r="AE258" s="22" t="inlineStr">
        <is>
          <t>미확인</t>
        </is>
      </c>
      <c r="AF258" s="22" t="inlineStr">
        <is>
          <t>미확인</t>
        </is>
      </c>
      <c r="AG258" s="22" t="inlineStr">
        <is>
          <t>미확인</t>
        </is>
      </c>
      <c r="AH258" s="22" t="inlineStr">
        <is>
          <t>미확인</t>
        </is>
      </c>
      <c r="AI258" s="22" t="inlineStr">
        <is>
          <t>미확인</t>
        </is>
      </c>
      <c r="AJ258" s="22" t="inlineStr">
        <is>
          <t>미확인</t>
        </is>
      </c>
      <c r="AK258" s="22" t="inlineStr">
        <is>
          <t>미확인</t>
        </is>
      </c>
      <c r="AL258" s="22" t="inlineStr">
        <is>
          <t>미확인</t>
        </is>
      </c>
      <c r="AM258" s="22" t="inlineStr">
        <is>
          <t>미확인</t>
        </is>
      </c>
      <c r="AN258" s="22" t="inlineStr">
        <is>
          <t>미확인</t>
        </is>
      </c>
      <c r="AO258" s="17" t="inlineStr">
        <is>
          <t>C(부분확인)</t>
        </is>
      </c>
      <c r="AP258" s="17" t="inlineStr">
        <is>
          <t>Y</t>
        </is>
      </c>
      <c r="AQ258" s="17" t="n">
        <v>19</v>
      </c>
      <c r="AR258" s="28" t="inlineStr">
        <is>
          <t>Tier D</t>
        </is>
      </c>
      <c r="AS258" s="17" t="inlineStr">
        <is>
          <t>QMS+LIMS</t>
        </is>
      </c>
      <c r="AT258" s="17" t="inlineStr">
        <is>
          <t>무균/바이오 제조로 품질관리 난도 높음</t>
        </is>
      </c>
      <c r="AU258" s="17" t="inlineStr">
        <is>
          <t>담당자 파악 후 접촉</t>
        </is>
      </c>
      <c r="AV258" s="17" t="inlineStr">
        <is>
          <t>GMP적합판정+KRX</t>
        </is>
      </c>
      <c r="AW258" s="17" t="inlineStr">
        <is>
          <t>2026-07-05</t>
        </is>
      </c>
    </row>
    <row r="259">
      <c r="A259" s="17" t="inlineStr">
        <is>
          <t>C258</t>
        </is>
      </c>
      <c r="B259" s="17" t="inlineStr">
        <is>
          <t>대흥산업가스</t>
        </is>
      </c>
      <c r="C259" s="17" t="inlineStr">
        <is>
          <t>대흥산업가스주식회사</t>
        </is>
      </c>
      <c r="D259" s="17" t="n">
        <v>1</v>
      </c>
      <c r="E259" s="17" t="n">
        <v>1</v>
      </c>
      <c r="F259" s="17" t="inlineStr">
        <is>
          <t>Y</t>
        </is>
      </c>
      <c r="G259" s="17" t="inlineStr"/>
      <c r="H259" s="17" t="inlineStr"/>
      <c r="I259" s="17" t="inlineStr"/>
      <c r="J259" s="24" t="n">
        <v>46792</v>
      </c>
      <c r="K259" s="17" t="inlineStr"/>
      <c r="L259" s="17" t="inlineStr"/>
      <c r="M259" s="17" t="inlineStr"/>
      <c r="N259" s="23" t="inlineStr"/>
      <c r="O259" s="17" t="inlineStr"/>
      <c r="P259" s="17" t="inlineStr"/>
      <c r="Q259" s="17" t="inlineStr">
        <is>
          <t>김성주</t>
        </is>
      </c>
      <c r="R259" s="17" t="inlineStr"/>
      <c r="S259" s="17" t="inlineStr"/>
      <c r="T259" s="17" t="inlineStr">
        <is>
          <t>063-468-2626</t>
        </is>
      </c>
      <c r="U259" s="17" t="inlineStr">
        <is>
          <t>제조소상세</t>
        </is>
      </c>
      <c r="V259" s="22" t="inlineStr">
        <is>
          <t>미확인</t>
        </is>
      </c>
      <c r="W259" s="22" t="inlineStr">
        <is>
          <t>미확인</t>
        </is>
      </c>
      <c r="X259" s="22" t="inlineStr">
        <is>
          <t>미확인</t>
        </is>
      </c>
      <c r="Y259" s="22" t="inlineStr">
        <is>
          <t>미확인</t>
        </is>
      </c>
      <c r="Z259" s="22" t="inlineStr">
        <is>
          <t>미확인</t>
        </is>
      </c>
      <c r="AA259" s="22" t="inlineStr">
        <is>
          <t>미확인</t>
        </is>
      </c>
      <c r="AB259" s="22" t="inlineStr">
        <is>
          <t>미확인</t>
        </is>
      </c>
      <c r="AC259" s="22" t="inlineStr">
        <is>
          <t>미확인</t>
        </is>
      </c>
      <c r="AD259" s="22" t="inlineStr">
        <is>
          <t>미확인</t>
        </is>
      </c>
      <c r="AE259" s="22" t="inlineStr">
        <is>
          <t>미확인</t>
        </is>
      </c>
      <c r="AF259" s="22" t="inlineStr">
        <is>
          <t>미확인</t>
        </is>
      </c>
      <c r="AG259" s="22" t="inlineStr">
        <is>
          <t>미확인</t>
        </is>
      </c>
      <c r="AH259" s="22" t="inlineStr">
        <is>
          <t>미확인</t>
        </is>
      </c>
      <c r="AI259" s="22" t="inlineStr">
        <is>
          <t>미확인</t>
        </is>
      </c>
      <c r="AJ259" s="22" t="inlineStr">
        <is>
          <t>미확인</t>
        </is>
      </c>
      <c r="AK259" s="22" t="inlineStr">
        <is>
          <t>미확인</t>
        </is>
      </c>
      <c r="AL259" s="22" t="inlineStr">
        <is>
          <t>미확인</t>
        </is>
      </c>
      <c r="AM259" s="22" t="inlineStr">
        <is>
          <t>미확인</t>
        </is>
      </c>
      <c r="AN259" s="22" t="inlineStr">
        <is>
          <t>미확인</t>
        </is>
      </c>
      <c r="AO259" s="17" t="inlineStr">
        <is>
          <t>C(부분확인)</t>
        </is>
      </c>
      <c r="AP259" s="17" t="inlineStr">
        <is>
          <t>Y</t>
        </is>
      </c>
      <c r="AQ259" s="17" t="n">
        <v>4</v>
      </c>
      <c r="AR259" s="28" t="inlineStr">
        <is>
          <t>Tier D</t>
        </is>
      </c>
      <c r="AS259" s="17" t="inlineStr">
        <is>
          <t>EDMS</t>
        </is>
      </c>
      <c r="AT259" s="17" t="inlineStr">
        <is>
          <t>기본 문서관리 수요</t>
        </is>
      </c>
      <c r="AU259" s="17" t="inlineStr">
        <is>
          <t>담당자 파악 후 접촉</t>
        </is>
      </c>
      <c r="AV259" s="17" t="inlineStr">
        <is>
          <t>GMP적합판정+KRX</t>
        </is>
      </c>
      <c r="AW259" s="17" t="inlineStr">
        <is>
          <t>2026-07-05</t>
        </is>
      </c>
    </row>
    <row r="260">
      <c r="A260" s="17" t="inlineStr">
        <is>
          <t>C259</t>
        </is>
      </c>
      <c r="B260" s="17" t="inlineStr">
        <is>
          <t>더유제약</t>
        </is>
      </c>
      <c r="C260" s="17" t="inlineStr">
        <is>
          <t>주식회사더유제약</t>
        </is>
      </c>
      <c r="D260" s="17" t="n">
        <v>1</v>
      </c>
      <c r="E260" s="17" t="n">
        <v>1</v>
      </c>
      <c r="F260" s="17" t="inlineStr">
        <is>
          <t>Y</t>
        </is>
      </c>
      <c r="G260" s="17" t="inlineStr"/>
      <c r="H260" s="17" t="inlineStr"/>
      <c r="I260" s="17" t="inlineStr"/>
      <c r="J260" s="24" t="n">
        <v>46792</v>
      </c>
      <c r="K260" s="17" t="inlineStr"/>
      <c r="L260" s="17" t="inlineStr"/>
      <c r="M260" s="17" t="inlineStr"/>
      <c r="N260" s="23" t="inlineStr"/>
      <c r="O260" s="17" t="inlineStr"/>
      <c r="P260" s="17" t="inlineStr"/>
      <c r="Q260" s="17" t="inlineStr">
        <is>
          <t>김민구</t>
        </is>
      </c>
      <c r="R260" s="17" t="inlineStr"/>
      <c r="S260" s="17" t="inlineStr"/>
      <c r="T260" s="17" t="inlineStr">
        <is>
          <t>미확인</t>
        </is>
      </c>
      <c r="U260" s="17" t="inlineStr">
        <is>
          <t>미확인</t>
        </is>
      </c>
      <c r="V260" s="22" t="inlineStr">
        <is>
          <t>미확인</t>
        </is>
      </c>
      <c r="W260" s="22" t="inlineStr">
        <is>
          <t>미확인</t>
        </is>
      </c>
      <c r="X260" s="22" t="inlineStr">
        <is>
          <t>미확인</t>
        </is>
      </c>
      <c r="Y260" s="22" t="inlineStr">
        <is>
          <t>미확인</t>
        </is>
      </c>
      <c r="Z260" s="22" t="inlineStr">
        <is>
          <t>미확인</t>
        </is>
      </c>
      <c r="AA260" s="22" t="inlineStr">
        <is>
          <t>미확인</t>
        </is>
      </c>
      <c r="AB260" s="22" t="inlineStr">
        <is>
          <t>미확인</t>
        </is>
      </c>
      <c r="AC260" s="22" t="inlineStr">
        <is>
          <t>미확인</t>
        </is>
      </c>
      <c r="AD260" s="22" t="inlineStr">
        <is>
          <t>미확인</t>
        </is>
      </c>
      <c r="AE260" s="22" t="inlineStr">
        <is>
          <t>미확인</t>
        </is>
      </c>
      <c r="AF260" s="22" t="inlineStr">
        <is>
          <t>미확인</t>
        </is>
      </c>
      <c r="AG260" s="22" t="inlineStr">
        <is>
          <t>미확인</t>
        </is>
      </c>
      <c r="AH260" s="22" t="inlineStr">
        <is>
          <t>미확인</t>
        </is>
      </c>
      <c r="AI260" s="22" t="inlineStr">
        <is>
          <t>미확인</t>
        </is>
      </c>
      <c r="AJ260" s="22" t="inlineStr">
        <is>
          <t>미확인</t>
        </is>
      </c>
      <c r="AK260" s="22" t="inlineStr">
        <is>
          <t>미확인</t>
        </is>
      </c>
      <c r="AL260" s="22" t="inlineStr">
        <is>
          <t>미확인</t>
        </is>
      </c>
      <c r="AM260" s="22" t="inlineStr">
        <is>
          <t>미확인</t>
        </is>
      </c>
      <c r="AN260" s="22" t="inlineStr">
        <is>
          <t>미확인</t>
        </is>
      </c>
      <c r="AO260" s="17" t="inlineStr">
        <is>
          <t>C(부분확인)</t>
        </is>
      </c>
      <c r="AP260" s="17" t="inlineStr">
        <is>
          <t>Y</t>
        </is>
      </c>
      <c r="AQ260" s="17" t="n">
        <v>4</v>
      </c>
      <c r="AR260" s="28" t="inlineStr">
        <is>
          <t>Tier D</t>
        </is>
      </c>
      <c r="AS260" s="17" t="inlineStr">
        <is>
          <t>EDMS</t>
        </is>
      </c>
      <c r="AT260" s="17" t="inlineStr">
        <is>
          <t>기본 문서관리 수요</t>
        </is>
      </c>
      <c r="AU260" s="17" t="inlineStr">
        <is>
          <t>담당자 파악 후 접촉</t>
        </is>
      </c>
      <c r="AV260" s="17" t="inlineStr">
        <is>
          <t>GMP적합판정+KRX</t>
        </is>
      </c>
      <c r="AW260" s="17" t="inlineStr">
        <is>
          <t>2026-07-05</t>
        </is>
      </c>
    </row>
    <row r="261">
      <c r="A261" s="17" t="inlineStr">
        <is>
          <t>C260</t>
        </is>
      </c>
      <c r="B261" s="17" t="inlineStr">
        <is>
          <t>한국바스프</t>
        </is>
      </c>
      <c r="C261" s="17" t="inlineStr">
        <is>
          <t>한국바스프(주)</t>
        </is>
      </c>
      <c r="D261" s="17" t="n">
        <v>1</v>
      </c>
      <c r="E261" s="17" t="n">
        <v>1</v>
      </c>
      <c r="F261" s="17" t="inlineStr"/>
      <c r="G261" s="17" t="inlineStr">
        <is>
          <t>Y</t>
        </is>
      </c>
      <c r="H261" s="17" t="inlineStr"/>
      <c r="I261" s="17" t="inlineStr"/>
      <c r="J261" s="24" t="n">
        <v>46791</v>
      </c>
      <c r="K261" s="17" t="inlineStr"/>
      <c r="L261" s="17" t="inlineStr"/>
      <c r="M261" s="17" t="inlineStr"/>
      <c r="N261" s="23" t="inlineStr"/>
      <c r="O261" s="17" t="inlineStr"/>
      <c r="P261" s="17" t="inlineStr"/>
      <c r="Q261" s="17" t="inlineStr">
        <is>
          <t>이우석</t>
        </is>
      </c>
      <c r="R261" s="17" t="inlineStr"/>
      <c r="S261" s="17" t="inlineStr"/>
      <c r="T261" s="17" t="inlineStr">
        <is>
          <t>063-469-2500</t>
        </is>
      </c>
      <c r="U261" s="17" t="inlineStr">
        <is>
          <t>제조소상세</t>
        </is>
      </c>
      <c r="V261" s="22" t="inlineStr">
        <is>
          <t>미확인</t>
        </is>
      </c>
      <c r="W261" s="22" t="inlineStr">
        <is>
          <t>미확인</t>
        </is>
      </c>
      <c r="X261" s="22" t="inlineStr">
        <is>
          <t>미확인</t>
        </is>
      </c>
      <c r="Y261" s="22" t="inlineStr">
        <is>
          <t>미확인</t>
        </is>
      </c>
      <c r="Z261" s="22" t="inlineStr">
        <is>
          <t>미확인</t>
        </is>
      </c>
      <c r="AA261" s="22" t="inlineStr">
        <is>
          <t>미확인</t>
        </is>
      </c>
      <c r="AB261" s="22" t="inlineStr">
        <is>
          <t>미확인</t>
        </is>
      </c>
      <c r="AC261" s="22" t="inlineStr">
        <is>
          <t>미확인</t>
        </is>
      </c>
      <c r="AD261" s="22" t="inlineStr">
        <is>
          <t>미확인</t>
        </is>
      </c>
      <c r="AE261" s="22" t="inlineStr">
        <is>
          <t>미확인</t>
        </is>
      </c>
      <c r="AF261" s="22" t="inlineStr">
        <is>
          <t>미확인</t>
        </is>
      </c>
      <c r="AG261" s="22" t="inlineStr">
        <is>
          <t>미확인</t>
        </is>
      </c>
      <c r="AH261" s="22" t="inlineStr">
        <is>
          <t>미확인</t>
        </is>
      </c>
      <c r="AI261" s="22" t="inlineStr">
        <is>
          <t>미확인</t>
        </is>
      </c>
      <c r="AJ261" s="22" t="inlineStr">
        <is>
          <t>미확인</t>
        </is>
      </c>
      <c r="AK261" s="22" t="inlineStr">
        <is>
          <t>미확인</t>
        </is>
      </c>
      <c r="AL261" s="22" t="inlineStr">
        <is>
          <t>미확인</t>
        </is>
      </c>
      <c r="AM261" s="22" t="inlineStr">
        <is>
          <t>미확인</t>
        </is>
      </c>
      <c r="AN261" s="22" t="inlineStr">
        <is>
          <t>미확인</t>
        </is>
      </c>
      <c r="AO261" s="17" t="inlineStr">
        <is>
          <t>C(부분확인)</t>
        </is>
      </c>
      <c r="AP261" s="17" t="inlineStr">
        <is>
          <t>Y</t>
        </is>
      </c>
      <c r="AQ261" s="17" t="n">
        <v>4</v>
      </c>
      <c r="AR261" s="28" t="inlineStr">
        <is>
          <t>Tier D</t>
        </is>
      </c>
      <c r="AS261" s="17" t="inlineStr">
        <is>
          <t>LIMS</t>
        </is>
      </c>
      <c r="AT261" s="17" t="inlineStr">
        <is>
          <t>원료 제조로 시험실 관리 필요</t>
        </is>
      </c>
      <c r="AU261" s="17" t="inlineStr">
        <is>
          <t>담당자 파악 후 접촉</t>
        </is>
      </c>
      <c r="AV261" s="17" t="inlineStr">
        <is>
          <t>GMP적합판정+KRX</t>
        </is>
      </c>
      <c r="AW261" s="17" t="inlineStr">
        <is>
          <t>2026-07-05</t>
        </is>
      </c>
    </row>
    <row r="262">
      <c r="A262" s="17" t="inlineStr">
        <is>
          <t>C261</t>
        </is>
      </c>
      <c r="B262" s="17" t="inlineStr">
        <is>
          <t>태극제약</t>
        </is>
      </c>
      <c r="C262" s="17" t="inlineStr">
        <is>
          <t>태극제약(주)</t>
        </is>
      </c>
      <c r="D262" s="17" t="n">
        <v>2</v>
      </c>
      <c r="E262" s="17" t="n">
        <v>2</v>
      </c>
      <c r="F262" s="17" t="inlineStr">
        <is>
          <t>Y</t>
        </is>
      </c>
      <c r="G262" s="17" t="inlineStr"/>
      <c r="H262" s="17" t="inlineStr"/>
      <c r="I262" s="17" t="inlineStr"/>
      <c r="J262" s="24" t="n">
        <v>46593</v>
      </c>
      <c r="K262" s="17" t="inlineStr"/>
      <c r="L262" s="17" t="inlineStr"/>
      <c r="M262" s="17" t="inlineStr"/>
      <c r="N262" s="23" t="inlineStr"/>
      <c r="O262" s="17" t="inlineStr"/>
      <c r="P262" s="17" t="inlineStr"/>
      <c r="Q262" s="17" t="inlineStr">
        <is>
          <t>최승만</t>
        </is>
      </c>
      <c r="R262" s="17" t="inlineStr"/>
      <c r="S262" s="17" t="inlineStr"/>
      <c r="T262" s="17" t="inlineStr">
        <is>
          <t>02-3474-7761</t>
        </is>
      </c>
      <c r="U262" s="17" t="inlineStr">
        <is>
          <t>제조소상세</t>
        </is>
      </c>
      <c r="V262" s="22" t="inlineStr">
        <is>
          <t>미확인</t>
        </is>
      </c>
      <c r="W262" s="22" t="inlineStr">
        <is>
          <t>미확인</t>
        </is>
      </c>
      <c r="X262" s="22" t="inlineStr">
        <is>
          <t>미확인</t>
        </is>
      </c>
      <c r="Y262" s="22" t="inlineStr">
        <is>
          <t>미확인</t>
        </is>
      </c>
      <c r="Z262" s="22" t="inlineStr">
        <is>
          <t>미확인</t>
        </is>
      </c>
      <c r="AA262" s="22" t="inlineStr">
        <is>
          <t>미확인</t>
        </is>
      </c>
      <c r="AB262" s="22" t="inlineStr">
        <is>
          <t>미확인</t>
        </is>
      </c>
      <c r="AC262" s="22" t="inlineStr">
        <is>
          <t>미확인</t>
        </is>
      </c>
      <c r="AD262" s="22" t="inlineStr">
        <is>
          <t>미확인</t>
        </is>
      </c>
      <c r="AE262" s="22" t="inlineStr">
        <is>
          <t>미확인</t>
        </is>
      </c>
      <c r="AF262" s="22" t="inlineStr">
        <is>
          <t>미확인</t>
        </is>
      </c>
      <c r="AG262" s="22" t="inlineStr">
        <is>
          <t>미확인</t>
        </is>
      </c>
      <c r="AH262" s="22" t="inlineStr">
        <is>
          <t>미확인</t>
        </is>
      </c>
      <c r="AI262" s="22" t="inlineStr">
        <is>
          <t>미확인</t>
        </is>
      </c>
      <c r="AJ262" s="22" t="inlineStr">
        <is>
          <t>미확인</t>
        </is>
      </c>
      <c r="AK262" s="22" t="inlineStr">
        <is>
          <t>미확인</t>
        </is>
      </c>
      <c r="AL262" s="22" t="inlineStr">
        <is>
          <t>미확인</t>
        </is>
      </c>
      <c r="AM262" s="22" t="inlineStr">
        <is>
          <t>미확인</t>
        </is>
      </c>
      <c r="AN262" s="22" t="inlineStr">
        <is>
          <t>미확인</t>
        </is>
      </c>
      <c r="AO262" s="17" t="inlineStr">
        <is>
          <t>C(부분확인)</t>
        </is>
      </c>
      <c r="AP262" s="17" t="inlineStr">
        <is>
          <t>Y</t>
        </is>
      </c>
      <c r="AQ262" s="17" t="n">
        <v>8</v>
      </c>
      <c r="AR262" s="28" t="inlineStr">
        <is>
          <t>Tier D</t>
        </is>
      </c>
      <c r="AS262" s="17" t="inlineStr">
        <is>
          <t>EDMS+QMS+LMS</t>
        </is>
      </c>
      <c r="AT262" s="17" t="inlineStr">
        <is>
          <t>다중 제조소/다수 판정서로 문서관리 복잡; 다중 제조소로 교육관리 대상 광범위</t>
        </is>
      </c>
      <c r="AU262" s="17" t="inlineStr">
        <is>
          <t>담당자 파악 후 접촉</t>
        </is>
      </c>
      <c r="AV262" s="17" t="inlineStr">
        <is>
          <t>GMP적합판정+KRX</t>
        </is>
      </c>
      <c r="AW262" s="17" t="inlineStr">
        <is>
          <t>2026-07-05</t>
        </is>
      </c>
    </row>
    <row r="263">
      <c r="A263" s="17" t="inlineStr">
        <is>
          <t>C262</t>
        </is>
      </c>
      <c r="B263" s="17" t="inlineStr">
        <is>
          <t>중앙산업가스</t>
        </is>
      </c>
      <c r="C263" s="17" t="inlineStr">
        <is>
          <t>중앙산업가스(주)</t>
        </is>
      </c>
      <c r="D263" s="17" t="n">
        <v>1</v>
      </c>
      <c r="E263" s="17" t="n">
        <v>1</v>
      </c>
      <c r="F263" s="17" t="inlineStr">
        <is>
          <t>Y</t>
        </is>
      </c>
      <c r="G263" s="17" t="inlineStr"/>
      <c r="H263" s="17" t="inlineStr"/>
      <c r="I263" s="17" t="inlineStr"/>
      <c r="J263" s="24" t="n">
        <v>46778</v>
      </c>
      <c r="K263" s="17" t="inlineStr"/>
      <c r="L263" s="17" t="inlineStr"/>
      <c r="M263" s="17" t="inlineStr"/>
      <c r="N263" s="23" t="inlineStr"/>
      <c r="O263" s="17" t="inlineStr"/>
      <c r="P263" s="17" t="inlineStr"/>
      <c r="Q263" s="17" t="inlineStr">
        <is>
          <t>이종재</t>
        </is>
      </c>
      <c r="R263" s="17" t="inlineStr"/>
      <c r="S263" s="17" t="inlineStr"/>
      <c r="T263" s="17" t="inlineStr">
        <is>
          <t>042-623-2201</t>
        </is>
      </c>
      <c r="U263" s="17" t="inlineStr">
        <is>
          <t>제조소상세</t>
        </is>
      </c>
      <c r="V263" s="22" t="inlineStr">
        <is>
          <t>미확인</t>
        </is>
      </c>
      <c r="W263" s="22" t="inlineStr">
        <is>
          <t>미확인</t>
        </is>
      </c>
      <c r="X263" s="22" t="inlineStr">
        <is>
          <t>미확인</t>
        </is>
      </c>
      <c r="Y263" s="22" t="inlineStr">
        <is>
          <t>미확인</t>
        </is>
      </c>
      <c r="Z263" s="22" t="inlineStr">
        <is>
          <t>미확인</t>
        </is>
      </c>
      <c r="AA263" s="22" t="inlineStr">
        <is>
          <t>미확인</t>
        </is>
      </c>
      <c r="AB263" s="22" t="inlineStr">
        <is>
          <t>미확인</t>
        </is>
      </c>
      <c r="AC263" s="22" t="inlineStr">
        <is>
          <t>미확인</t>
        </is>
      </c>
      <c r="AD263" s="22" t="inlineStr">
        <is>
          <t>미확인</t>
        </is>
      </c>
      <c r="AE263" s="22" t="inlineStr">
        <is>
          <t>미확인</t>
        </is>
      </c>
      <c r="AF263" s="22" t="inlineStr">
        <is>
          <t>미확인</t>
        </is>
      </c>
      <c r="AG263" s="22" t="inlineStr">
        <is>
          <t>미확인</t>
        </is>
      </c>
      <c r="AH263" s="22" t="inlineStr">
        <is>
          <t>미확인</t>
        </is>
      </c>
      <c r="AI263" s="22" t="inlineStr">
        <is>
          <t>미확인</t>
        </is>
      </c>
      <c r="AJ263" s="22" t="inlineStr">
        <is>
          <t>미확인</t>
        </is>
      </c>
      <c r="AK263" s="22" t="inlineStr">
        <is>
          <t>미확인</t>
        </is>
      </c>
      <c r="AL263" s="22" t="inlineStr">
        <is>
          <t>미확인</t>
        </is>
      </c>
      <c r="AM263" s="22" t="inlineStr">
        <is>
          <t>미확인</t>
        </is>
      </c>
      <c r="AN263" s="22" t="inlineStr">
        <is>
          <t>미확인</t>
        </is>
      </c>
      <c r="AO263" s="17" t="inlineStr">
        <is>
          <t>C(부분확인)</t>
        </is>
      </c>
      <c r="AP263" s="17" t="inlineStr">
        <is>
          <t>Y</t>
        </is>
      </c>
      <c r="AQ263" s="17" t="n">
        <v>4</v>
      </c>
      <c r="AR263" s="28" t="inlineStr">
        <is>
          <t>Tier D</t>
        </is>
      </c>
      <c r="AS263" s="17" t="inlineStr">
        <is>
          <t>EDMS</t>
        </is>
      </c>
      <c r="AT263" s="17" t="inlineStr">
        <is>
          <t>기본 문서관리 수요</t>
        </is>
      </c>
      <c r="AU263" s="17" t="inlineStr">
        <is>
          <t>담당자 파악 후 접촉</t>
        </is>
      </c>
      <c r="AV263" s="17" t="inlineStr">
        <is>
          <t>GMP적합판정+KRX</t>
        </is>
      </c>
      <c r="AW263" s="17" t="inlineStr">
        <is>
          <t>2026-07-05</t>
        </is>
      </c>
    </row>
    <row r="264">
      <c r="A264" s="17" t="inlineStr">
        <is>
          <t>C263</t>
        </is>
      </c>
      <c r="B264" s="17" t="inlineStr">
        <is>
          <t>제일가스산업</t>
        </is>
      </c>
      <c r="C264" s="17" t="inlineStr">
        <is>
          <t>(주)제일가스산업</t>
        </is>
      </c>
      <c r="D264" s="17" t="n">
        <v>1</v>
      </c>
      <c r="E264" s="17" t="n">
        <v>1</v>
      </c>
      <c r="F264" s="17" t="inlineStr">
        <is>
          <t>Y</t>
        </is>
      </c>
      <c r="G264" s="17" t="inlineStr"/>
      <c r="H264" s="17" t="inlineStr"/>
      <c r="I264" s="17" t="inlineStr"/>
      <c r="J264" s="24" t="n">
        <v>46777</v>
      </c>
      <c r="K264" s="17" t="inlineStr"/>
      <c r="L264" s="17" t="inlineStr"/>
      <c r="M264" s="17" t="inlineStr"/>
      <c r="N264" s="23" t="inlineStr"/>
      <c r="O264" s="17" t="inlineStr"/>
      <c r="P264" s="17" t="inlineStr"/>
      <c r="Q264" s="17" t="inlineStr">
        <is>
          <t>황옥화</t>
        </is>
      </c>
      <c r="R264" s="17" t="inlineStr"/>
      <c r="S264" s="17" t="inlineStr"/>
      <c r="T264" s="17" t="inlineStr">
        <is>
          <t>044-268-4001</t>
        </is>
      </c>
      <c r="U264" s="17" t="inlineStr">
        <is>
          <t>제조소상세</t>
        </is>
      </c>
      <c r="V264" s="22" t="inlineStr">
        <is>
          <t>미확인</t>
        </is>
      </c>
      <c r="W264" s="22" t="inlineStr">
        <is>
          <t>미확인</t>
        </is>
      </c>
      <c r="X264" s="22" t="inlineStr">
        <is>
          <t>미확인</t>
        </is>
      </c>
      <c r="Y264" s="22" t="inlineStr">
        <is>
          <t>미확인</t>
        </is>
      </c>
      <c r="Z264" s="22" t="inlineStr">
        <is>
          <t>미확인</t>
        </is>
      </c>
      <c r="AA264" s="22" t="inlineStr">
        <is>
          <t>미확인</t>
        </is>
      </c>
      <c r="AB264" s="22" t="inlineStr">
        <is>
          <t>미확인</t>
        </is>
      </c>
      <c r="AC264" s="22" t="inlineStr">
        <is>
          <t>미확인</t>
        </is>
      </c>
      <c r="AD264" s="22" t="inlineStr">
        <is>
          <t>미확인</t>
        </is>
      </c>
      <c r="AE264" s="22" t="inlineStr">
        <is>
          <t>미확인</t>
        </is>
      </c>
      <c r="AF264" s="22" t="inlineStr">
        <is>
          <t>미확인</t>
        </is>
      </c>
      <c r="AG264" s="22" t="inlineStr">
        <is>
          <t>미확인</t>
        </is>
      </c>
      <c r="AH264" s="22" t="inlineStr">
        <is>
          <t>미확인</t>
        </is>
      </c>
      <c r="AI264" s="22" t="inlineStr">
        <is>
          <t>미확인</t>
        </is>
      </c>
      <c r="AJ264" s="22" t="inlineStr">
        <is>
          <t>미확인</t>
        </is>
      </c>
      <c r="AK264" s="22" t="inlineStr">
        <is>
          <t>미확인</t>
        </is>
      </c>
      <c r="AL264" s="22" t="inlineStr">
        <is>
          <t>미확인</t>
        </is>
      </c>
      <c r="AM264" s="22" t="inlineStr">
        <is>
          <t>미확인</t>
        </is>
      </c>
      <c r="AN264" s="22" t="inlineStr">
        <is>
          <t>미확인</t>
        </is>
      </c>
      <c r="AO264" s="17" t="inlineStr">
        <is>
          <t>C(부분확인)</t>
        </is>
      </c>
      <c r="AP264" s="17" t="inlineStr">
        <is>
          <t>Y</t>
        </is>
      </c>
      <c r="AQ264" s="17" t="n">
        <v>4</v>
      </c>
      <c r="AR264" s="28" t="inlineStr">
        <is>
          <t>Tier D</t>
        </is>
      </c>
      <c r="AS264" s="17" t="inlineStr">
        <is>
          <t>EDMS</t>
        </is>
      </c>
      <c r="AT264" s="17" t="inlineStr">
        <is>
          <t>기본 문서관리 수요</t>
        </is>
      </c>
      <c r="AU264" s="17" t="inlineStr">
        <is>
          <t>담당자 파악 후 접촉</t>
        </is>
      </c>
      <c r="AV264" s="17" t="inlineStr">
        <is>
          <t>GMP적합판정+KRX</t>
        </is>
      </c>
      <c r="AW264" s="17" t="inlineStr">
        <is>
          <t>2026-07-05</t>
        </is>
      </c>
    </row>
    <row r="265">
      <c r="A265" s="17" t="inlineStr">
        <is>
          <t>C264</t>
        </is>
      </c>
      <c r="B265" s="17" t="inlineStr">
        <is>
          <t>신일가스</t>
        </is>
      </c>
      <c r="C265" s="17" t="inlineStr">
        <is>
          <t>신일가스(주)</t>
        </is>
      </c>
      <c r="D265" s="17" t="n">
        <v>1</v>
      </c>
      <c r="E265" s="17" t="n">
        <v>1</v>
      </c>
      <c r="F265" s="17" t="inlineStr">
        <is>
          <t>Y</t>
        </is>
      </c>
      <c r="G265" s="17" t="inlineStr"/>
      <c r="H265" s="17" t="inlineStr"/>
      <c r="I265" s="17" t="inlineStr"/>
      <c r="J265" s="24" t="n">
        <v>46770</v>
      </c>
      <c r="K265" s="17" t="inlineStr"/>
      <c r="L265" s="17" t="inlineStr"/>
      <c r="M265" s="17" t="inlineStr"/>
      <c r="N265" s="23" t="inlineStr"/>
      <c r="O265" s="17" t="inlineStr"/>
      <c r="P265" s="17" t="inlineStr"/>
      <c r="Q265" s="17" t="inlineStr">
        <is>
          <t>유봉래</t>
        </is>
      </c>
      <c r="R265" s="17" t="inlineStr"/>
      <c r="S265" s="17" t="inlineStr"/>
      <c r="T265" s="17" t="inlineStr">
        <is>
          <t>062-951-0011</t>
        </is>
      </c>
      <c r="U265" s="17" t="inlineStr">
        <is>
          <t>제조소상세</t>
        </is>
      </c>
      <c r="V265" s="22" t="inlineStr">
        <is>
          <t>미확인</t>
        </is>
      </c>
      <c r="W265" s="22" t="inlineStr">
        <is>
          <t>미확인</t>
        </is>
      </c>
      <c r="X265" s="22" t="inlineStr">
        <is>
          <t>미확인</t>
        </is>
      </c>
      <c r="Y265" s="22" t="inlineStr">
        <is>
          <t>미확인</t>
        </is>
      </c>
      <c r="Z265" s="22" t="inlineStr">
        <is>
          <t>미확인</t>
        </is>
      </c>
      <c r="AA265" s="22" t="inlineStr">
        <is>
          <t>미확인</t>
        </is>
      </c>
      <c r="AB265" s="22" t="inlineStr">
        <is>
          <t>미확인</t>
        </is>
      </c>
      <c r="AC265" s="22" t="inlineStr">
        <is>
          <t>미확인</t>
        </is>
      </c>
      <c r="AD265" s="22" t="inlineStr">
        <is>
          <t>미확인</t>
        </is>
      </c>
      <c r="AE265" s="22" t="inlineStr">
        <is>
          <t>미확인</t>
        </is>
      </c>
      <c r="AF265" s="22" t="inlineStr">
        <is>
          <t>미확인</t>
        </is>
      </c>
      <c r="AG265" s="22" t="inlineStr">
        <is>
          <t>미확인</t>
        </is>
      </c>
      <c r="AH265" s="22" t="inlineStr">
        <is>
          <t>미확인</t>
        </is>
      </c>
      <c r="AI265" s="22" t="inlineStr">
        <is>
          <t>미확인</t>
        </is>
      </c>
      <c r="AJ265" s="22" t="inlineStr">
        <is>
          <t>미확인</t>
        </is>
      </c>
      <c r="AK265" s="22" t="inlineStr">
        <is>
          <t>미확인</t>
        </is>
      </c>
      <c r="AL265" s="22" t="inlineStr">
        <is>
          <t>미확인</t>
        </is>
      </c>
      <c r="AM265" s="22" t="inlineStr">
        <is>
          <t>미확인</t>
        </is>
      </c>
      <c r="AN265" s="22" t="inlineStr">
        <is>
          <t>미확인</t>
        </is>
      </c>
      <c r="AO265" s="17" t="inlineStr">
        <is>
          <t>C(부분확인)</t>
        </is>
      </c>
      <c r="AP265" s="17" t="inlineStr">
        <is>
          <t>Y</t>
        </is>
      </c>
      <c r="AQ265" s="17" t="n">
        <v>4</v>
      </c>
      <c r="AR265" s="28" t="inlineStr">
        <is>
          <t>Tier D</t>
        </is>
      </c>
      <c r="AS265" s="17" t="inlineStr">
        <is>
          <t>EDMS</t>
        </is>
      </c>
      <c r="AT265" s="17" t="inlineStr">
        <is>
          <t>기본 문서관리 수요</t>
        </is>
      </c>
      <c r="AU265" s="17" t="inlineStr">
        <is>
          <t>담당자 파악 후 접촉</t>
        </is>
      </c>
      <c r="AV265" s="17" t="inlineStr">
        <is>
          <t>GMP적합판정+KRX</t>
        </is>
      </c>
      <c r="AW265" s="17" t="inlineStr">
        <is>
          <t>2026-07-05</t>
        </is>
      </c>
    </row>
    <row r="266">
      <c r="A266" s="17" t="inlineStr">
        <is>
          <t>C265</t>
        </is>
      </c>
      <c r="B266" s="17" t="inlineStr">
        <is>
          <t>킴스제약</t>
        </is>
      </c>
      <c r="C266" s="17" t="inlineStr">
        <is>
          <t>(주)킴스제약</t>
        </is>
      </c>
      <c r="D266" s="17" t="n">
        <v>1</v>
      </c>
      <c r="E266" s="17" t="n">
        <v>1</v>
      </c>
      <c r="F266" s="17" t="inlineStr">
        <is>
          <t>Y</t>
        </is>
      </c>
      <c r="G266" s="17" t="inlineStr"/>
      <c r="H266" s="17" t="inlineStr"/>
      <c r="I266" s="17" t="inlineStr"/>
      <c r="J266" s="24" t="n">
        <v>46764</v>
      </c>
      <c r="K266" s="17" t="inlineStr"/>
      <c r="L266" s="17" t="inlineStr"/>
      <c r="M266" s="17" t="inlineStr"/>
      <c r="N266" s="23" t="inlineStr"/>
      <c r="O266" s="17" t="inlineStr"/>
      <c r="P266" s="17" t="inlineStr"/>
      <c r="Q266" s="17" t="inlineStr">
        <is>
          <t>김승현</t>
        </is>
      </c>
      <c r="R266" s="17" t="inlineStr"/>
      <c r="S266" s="17" t="inlineStr"/>
      <c r="T266" s="17" t="inlineStr">
        <is>
          <t>043-714-3509</t>
        </is>
      </c>
      <c r="U266" s="17" t="inlineStr">
        <is>
          <t>제조소상세</t>
        </is>
      </c>
      <c r="V266" s="22" t="inlineStr">
        <is>
          <t>미확인</t>
        </is>
      </c>
      <c r="W266" s="22" t="inlineStr">
        <is>
          <t>미확인</t>
        </is>
      </c>
      <c r="X266" s="22" t="inlineStr">
        <is>
          <t>미확인</t>
        </is>
      </c>
      <c r="Y266" s="22" t="inlineStr">
        <is>
          <t>미확인</t>
        </is>
      </c>
      <c r="Z266" s="22" t="inlineStr">
        <is>
          <t>미확인</t>
        </is>
      </c>
      <c r="AA266" s="22" t="inlineStr">
        <is>
          <t>미확인</t>
        </is>
      </c>
      <c r="AB266" s="22" t="inlineStr">
        <is>
          <t>미확인</t>
        </is>
      </c>
      <c r="AC266" s="22" t="inlineStr">
        <is>
          <t>미확인</t>
        </is>
      </c>
      <c r="AD266" s="22" t="inlineStr">
        <is>
          <t>미확인</t>
        </is>
      </c>
      <c r="AE266" s="22" t="inlineStr">
        <is>
          <t>미확인</t>
        </is>
      </c>
      <c r="AF266" s="22" t="inlineStr">
        <is>
          <t>미확인</t>
        </is>
      </c>
      <c r="AG266" s="22" t="inlineStr">
        <is>
          <t>미확인</t>
        </is>
      </c>
      <c r="AH266" s="22" t="inlineStr">
        <is>
          <t>미확인</t>
        </is>
      </c>
      <c r="AI266" s="22" t="inlineStr">
        <is>
          <t>미확인</t>
        </is>
      </c>
      <c r="AJ266" s="22" t="inlineStr">
        <is>
          <t>미확인</t>
        </is>
      </c>
      <c r="AK266" s="22" t="inlineStr">
        <is>
          <t>미확인</t>
        </is>
      </c>
      <c r="AL266" s="22" t="inlineStr">
        <is>
          <t>미확인</t>
        </is>
      </c>
      <c r="AM266" s="22" t="inlineStr">
        <is>
          <t>미확인</t>
        </is>
      </c>
      <c r="AN266" s="22" t="inlineStr">
        <is>
          <t>미확인</t>
        </is>
      </c>
      <c r="AO266" s="17" t="inlineStr">
        <is>
          <t>C(부분확인)</t>
        </is>
      </c>
      <c r="AP266" s="17" t="inlineStr">
        <is>
          <t>Y</t>
        </is>
      </c>
      <c r="AQ266" s="17" t="n">
        <v>4</v>
      </c>
      <c r="AR266" s="28" t="inlineStr">
        <is>
          <t>Tier D</t>
        </is>
      </c>
      <c r="AS266" s="17" t="inlineStr">
        <is>
          <t>EDMS</t>
        </is>
      </c>
      <c r="AT266" s="17" t="inlineStr">
        <is>
          <t>기본 문서관리 수요</t>
        </is>
      </c>
      <c r="AU266" s="17" t="inlineStr">
        <is>
          <t>담당자 파악 후 접촉</t>
        </is>
      </c>
      <c r="AV266" s="17" t="inlineStr">
        <is>
          <t>GMP적합판정+KRX</t>
        </is>
      </c>
      <c r="AW266" s="17" t="inlineStr">
        <is>
          <t>2026-07-05</t>
        </is>
      </c>
    </row>
    <row r="267">
      <c r="A267" s="17" t="inlineStr">
        <is>
          <t>C266</t>
        </is>
      </c>
      <c r="B267" s="17" t="inlineStr">
        <is>
          <t>돌나라한농제약</t>
        </is>
      </c>
      <c r="C267" s="17" t="inlineStr">
        <is>
          <t>(주)돌나라한농제약</t>
        </is>
      </c>
      <c r="D267" s="17" t="n">
        <v>2</v>
      </c>
      <c r="E267" s="17" t="n">
        <v>2</v>
      </c>
      <c r="F267" s="17" t="inlineStr">
        <is>
          <t>Y</t>
        </is>
      </c>
      <c r="G267" s="17" t="inlineStr">
        <is>
          <t>Y</t>
        </is>
      </c>
      <c r="H267" s="17" t="inlineStr"/>
      <c r="I267" s="17" t="inlineStr"/>
      <c r="J267" s="24" t="n">
        <v>46763</v>
      </c>
      <c r="K267" s="17" t="inlineStr"/>
      <c r="L267" s="17" t="inlineStr"/>
      <c r="M267" s="17" t="inlineStr"/>
      <c r="N267" s="23" t="inlineStr"/>
      <c r="O267" s="17" t="inlineStr"/>
      <c r="P267" s="17" t="inlineStr"/>
      <c r="Q267" s="17" t="inlineStr">
        <is>
          <t>김제경</t>
        </is>
      </c>
      <c r="R267" s="17" t="inlineStr"/>
      <c r="S267" s="17" t="inlineStr"/>
      <c r="T267" s="17" t="inlineStr">
        <is>
          <t>미확인</t>
        </is>
      </c>
      <c r="U267" s="17" t="inlineStr">
        <is>
          <t>미확인</t>
        </is>
      </c>
      <c r="V267" s="22" t="inlineStr">
        <is>
          <t>미확인</t>
        </is>
      </c>
      <c r="W267" s="22" t="inlineStr">
        <is>
          <t>미확인</t>
        </is>
      </c>
      <c r="X267" s="22" t="inlineStr">
        <is>
          <t>미확인</t>
        </is>
      </c>
      <c r="Y267" s="22" t="inlineStr">
        <is>
          <t>미확인</t>
        </is>
      </c>
      <c r="Z267" s="22" t="inlineStr">
        <is>
          <t>미확인</t>
        </is>
      </c>
      <c r="AA267" s="22" t="inlineStr">
        <is>
          <t>미확인</t>
        </is>
      </c>
      <c r="AB267" s="22" t="inlineStr">
        <is>
          <t>미확인</t>
        </is>
      </c>
      <c r="AC267" s="22" t="inlineStr">
        <is>
          <t>미확인</t>
        </is>
      </c>
      <c r="AD267" s="22" t="inlineStr">
        <is>
          <t>미확인</t>
        </is>
      </c>
      <c r="AE267" s="22" t="inlineStr">
        <is>
          <t>미확인</t>
        </is>
      </c>
      <c r="AF267" s="22" t="inlineStr">
        <is>
          <t>미확인</t>
        </is>
      </c>
      <c r="AG267" s="22" t="inlineStr">
        <is>
          <t>미확인</t>
        </is>
      </c>
      <c r="AH267" s="22" t="inlineStr">
        <is>
          <t>미확인</t>
        </is>
      </c>
      <c r="AI267" s="22" t="inlineStr">
        <is>
          <t>미확인</t>
        </is>
      </c>
      <c r="AJ267" s="22" t="inlineStr">
        <is>
          <t>미확인</t>
        </is>
      </c>
      <c r="AK267" s="22" t="inlineStr">
        <is>
          <t>미확인</t>
        </is>
      </c>
      <c r="AL267" s="22" t="inlineStr">
        <is>
          <t>미확인</t>
        </is>
      </c>
      <c r="AM267" s="22" t="inlineStr">
        <is>
          <t>미확인</t>
        </is>
      </c>
      <c r="AN267" s="22" t="inlineStr">
        <is>
          <t>미확인</t>
        </is>
      </c>
      <c r="AO267" s="17" t="inlineStr">
        <is>
          <t>C(부분확인)</t>
        </is>
      </c>
      <c r="AP267" s="17" t="inlineStr">
        <is>
          <t>Y</t>
        </is>
      </c>
      <c r="AQ267" s="17" t="n">
        <v>8</v>
      </c>
      <c r="AR267" s="28" t="inlineStr">
        <is>
          <t>Tier D</t>
        </is>
      </c>
      <c r="AS267" s="17" t="inlineStr">
        <is>
          <t>통합형</t>
        </is>
      </c>
      <c r="AT267" s="17" t="inlineStr">
        <is>
          <t>다중 제조소/다수 판정서로 문서관리 복잡; 원료 제조로 시험실 관리 필요</t>
        </is>
      </c>
      <c r="AU267" s="17" t="inlineStr">
        <is>
          <t>담당자 파악 후 접촉</t>
        </is>
      </c>
      <c r="AV267" s="17" t="inlineStr">
        <is>
          <t>GMP적합판정+KRX</t>
        </is>
      </c>
      <c r="AW267" s="17" t="inlineStr">
        <is>
          <t>2026-07-05</t>
        </is>
      </c>
    </row>
    <row r="268">
      <c r="A268" s="17" t="inlineStr">
        <is>
          <t>C267</t>
        </is>
      </c>
      <c r="B268" s="17" t="inlineStr">
        <is>
          <t>코미팜</t>
        </is>
      </c>
      <c r="C268" s="17" t="inlineStr">
        <is>
          <t>(주)코미팜</t>
        </is>
      </c>
      <c r="D268" s="17" t="n">
        <v>1</v>
      </c>
      <c r="E268" s="17" t="n">
        <v>1</v>
      </c>
      <c r="F268" s="17" t="inlineStr">
        <is>
          <t>Y</t>
        </is>
      </c>
      <c r="G268" s="17" t="inlineStr"/>
      <c r="H268" s="17" t="inlineStr"/>
      <c r="I268" s="17" t="inlineStr"/>
      <c r="J268" s="24" t="n">
        <v>46741</v>
      </c>
      <c r="K268" s="17" t="inlineStr"/>
      <c r="L268" s="17" t="inlineStr">
        <is>
          <t>Y</t>
        </is>
      </c>
      <c r="M268" s="17" t="inlineStr">
        <is>
          <t>코스닥</t>
        </is>
      </c>
      <c r="N268" s="23" t="inlineStr">
        <is>
          <t>041960</t>
        </is>
      </c>
      <c r="O268" s="17" t="inlineStr">
        <is>
          <t>의약품 제조업</t>
        </is>
      </c>
      <c r="P268" s="17" t="inlineStr">
        <is>
          <t>동물약품</t>
        </is>
      </c>
      <c r="Q268" s="17" t="inlineStr">
        <is>
          <t>양경훈, 문성철(각자 대표이사)</t>
        </is>
      </c>
      <c r="R268" s="17" t="inlineStr">
        <is>
          <t>http://www.komipharm.com</t>
        </is>
      </c>
      <c r="S268" s="17" t="inlineStr">
        <is>
          <t>경기도</t>
        </is>
      </c>
      <c r="T268" s="17" t="inlineStr">
        <is>
          <t>043-238-8800</t>
        </is>
      </c>
      <c r="U268" s="17" t="inlineStr">
        <is>
          <t>제조소상세</t>
        </is>
      </c>
      <c r="V268" s="22" t="inlineStr">
        <is>
          <t>미확인</t>
        </is>
      </c>
      <c r="W268" s="22" t="inlineStr">
        <is>
          <t>미확인</t>
        </is>
      </c>
      <c r="X268" s="22" t="inlineStr">
        <is>
          <t>미확인</t>
        </is>
      </c>
      <c r="Y268" s="22" t="inlineStr">
        <is>
          <t>미확인</t>
        </is>
      </c>
      <c r="Z268" s="22" t="inlineStr">
        <is>
          <t>미확인</t>
        </is>
      </c>
      <c r="AA268" s="22" t="inlineStr">
        <is>
          <t>미확인</t>
        </is>
      </c>
      <c r="AB268" s="22" t="inlineStr">
        <is>
          <t>미확인</t>
        </is>
      </c>
      <c r="AC268" s="22" t="inlineStr">
        <is>
          <t>미확인</t>
        </is>
      </c>
      <c r="AD268" s="22" t="inlineStr">
        <is>
          <t>미확인</t>
        </is>
      </c>
      <c r="AE268" s="22" t="inlineStr">
        <is>
          <t>미확인</t>
        </is>
      </c>
      <c r="AF268" s="22" t="inlineStr">
        <is>
          <t>미확인</t>
        </is>
      </c>
      <c r="AG268" s="22" t="inlineStr">
        <is>
          <t>미확인</t>
        </is>
      </c>
      <c r="AH268" s="22" t="inlineStr">
        <is>
          <t>미확인</t>
        </is>
      </c>
      <c r="AI268" s="22" t="inlineStr">
        <is>
          <t>미확인</t>
        </is>
      </c>
      <c r="AJ268" s="22" t="inlineStr">
        <is>
          <t>미확인</t>
        </is>
      </c>
      <c r="AK268" s="22" t="inlineStr">
        <is>
          <t>미확인</t>
        </is>
      </c>
      <c r="AL268" s="22" t="inlineStr">
        <is>
          <t>미확인</t>
        </is>
      </c>
      <c r="AM268" s="22" t="inlineStr">
        <is>
          <t>미확인</t>
        </is>
      </c>
      <c r="AN268" s="22" t="inlineStr">
        <is>
          <t>미확인</t>
        </is>
      </c>
      <c r="AO268" s="17" t="inlineStr">
        <is>
          <t>C(부분확인)</t>
        </is>
      </c>
      <c r="AP268" s="17" t="inlineStr">
        <is>
          <t>Y</t>
        </is>
      </c>
      <c r="AQ268" s="17" t="n">
        <v>7</v>
      </c>
      <c r="AR268" s="28" t="inlineStr">
        <is>
          <t>Tier D</t>
        </is>
      </c>
      <c r="AS268" s="17" t="inlineStr">
        <is>
          <t>EDMS</t>
        </is>
      </c>
      <c r="AT268" s="17" t="inlineStr">
        <is>
          <t>기본 문서관리 수요</t>
        </is>
      </c>
      <c r="AU268" s="17" t="inlineStr">
        <is>
          <t>담당자 파악 후 접촉</t>
        </is>
      </c>
      <c r="AV268" s="17" t="inlineStr">
        <is>
          <t>GMP적합판정+KRX</t>
        </is>
      </c>
      <c r="AW268" s="17" t="inlineStr">
        <is>
          <t>2026-07-05</t>
        </is>
      </c>
    </row>
    <row r="269">
      <c r="A269" s="17" t="inlineStr">
        <is>
          <t>C268</t>
        </is>
      </c>
      <c r="B269" s="17" t="inlineStr">
        <is>
          <t>건영특수가스</t>
        </is>
      </c>
      <c r="C269" s="17" t="inlineStr">
        <is>
          <t>(주)건영특수가스</t>
        </is>
      </c>
      <c r="D269" s="17" t="n">
        <v>1</v>
      </c>
      <c r="E269" s="17" t="n">
        <v>1</v>
      </c>
      <c r="F269" s="17" t="inlineStr">
        <is>
          <t>Y</t>
        </is>
      </c>
      <c r="G269" s="17" t="inlineStr"/>
      <c r="H269" s="17" t="inlineStr"/>
      <c r="I269" s="17" t="inlineStr"/>
      <c r="J269" s="24" t="n">
        <v>46733</v>
      </c>
      <c r="K269" s="17" t="inlineStr"/>
      <c r="L269" s="17" t="inlineStr"/>
      <c r="M269" s="17" t="inlineStr"/>
      <c r="N269" s="23" t="inlineStr"/>
      <c r="O269" s="17" t="inlineStr"/>
      <c r="P269" s="17" t="inlineStr"/>
      <c r="Q269" s="17" t="inlineStr">
        <is>
          <t>나승욱</t>
        </is>
      </c>
      <c r="R269" s="17" t="inlineStr"/>
      <c r="S269" s="17" t="inlineStr"/>
      <c r="T269" s="17" t="inlineStr">
        <is>
          <t>062-954-0050</t>
        </is>
      </c>
      <c r="U269" s="17" t="inlineStr">
        <is>
          <t>제조소상세</t>
        </is>
      </c>
      <c r="V269" s="22" t="inlineStr">
        <is>
          <t>미확인</t>
        </is>
      </c>
      <c r="W269" s="22" t="inlineStr">
        <is>
          <t>미확인</t>
        </is>
      </c>
      <c r="X269" s="22" t="inlineStr">
        <is>
          <t>미확인</t>
        </is>
      </c>
      <c r="Y269" s="22" t="inlineStr">
        <is>
          <t>미확인</t>
        </is>
      </c>
      <c r="Z269" s="22" t="inlineStr">
        <is>
          <t>미확인</t>
        </is>
      </c>
      <c r="AA269" s="22" t="inlineStr">
        <is>
          <t>미확인</t>
        </is>
      </c>
      <c r="AB269" s="22" t="inlineStr">
        <is>
          <t>미확인</t>
        </is>
      </c>
      <c r="AC269" s="22" t="inlineStr">
        <is>
          <t>미확인</t>
        </is>
      </c>
      <c r="AD269" s="22" t="inlineStr">
        <is>
          <t>미확인</t>
        </is>
      </c>
      <c r="AE269" s="22" t="inlineStr">
        <is>
          <t>미확인</t>
        </is>
      </c>
      <c r="AF269" s="22" t="inlineStr">
        <is>
          <t>미확인</t>
        </is>
      </c>
      <c r="AG269" s="22" t="inlineStr">
        <is>
          <t>미확인</t>
        </is>
      </c>
      <c r="AH269" s="22" t="inlineStr">
        <is>
          <t>미확인</t>
        </is>
      </c>
      <c r="AI269" s="22" t="inlineStr">
        <is>
          <t>미확인</t>
        </is>
      </c>
      <c r="AJ269" s="22" t="inlineStr">
        <is>
          <t>미확인</t>
        </is>
      </c>
      <c r="AK269" s="22" t="inlineStr">
        <is>
          <t>미확인</t>
        </is>
      </c>
      <c r="AL269" s="22" t="inlineStr">
        <is>
          <t>미확인</t>
        </is>
      </c>
      <c r="AM269" s="22" t="inlineStr">
        <is>
          <t>미확인</t>
        </is>
      </c>
      <c r="AN269" s="22" t="inlineStr">
        <is>
          <t>미확인</t>
        </is>
      </c>
      <c r="AO269" s="17" t="inlineStr">
        <is>
          <t>C(부분확인)</t>
        </is>
      </c>
      <c r="AP269" s="17" t="inlineStr">
        <is>
          <t>Y</t>
        </is>
      </c>
      <c r="AQ269" s="17" t="n">
        <v>4</v>
      </c>
      <c r="AR269" s="28" t="inlineStr">
        <is>
          <t>Tier D</t>
        </is>
      </c>
      <c r="AS269" s="17" t="inlineStr">
        <is>
          <t>EDMS</t>
        </is>
      </c>
      <c r="AT269" s="17" t="inlineStr">
        <is>
          <t>기본 문서관리 수요</t>
        </is>
      </c>
      <c r="AU269" s="17" t="inlineStr">
        <is>
          <t>담당자 파악 후 접촉</t>
        </is>
      </c>
      <c r="AV269" s="17" t="inlineStr">
        <is>
          <t>GMP적합판정+KRX</t>
        </is>
      </c>
      <c r="AW269" s="17" t="inlineStr">
        <is>
          <t>2026-07-05</t>
        </is>
      </c>
    </row>
    <row r="270">
      <c r="A270" s="17" t="inlineStr">
        <is>
          <t>C269</t>
        </is>
      </c>
      <c r="B270" s="17" t="inlineStr">
        <is>
          <t>평화산소공업</t>
        </is>
      </c>
      <c r="C270" s="17" t="inlineStr">
        <is>
          <t>(주)평화산소공업</t>
        </is>
      </c>
      <c r="D270" s="17" t="n">
        <v>1</v>
      </c>
      <c r="E270" s="17" t="n">
        <v>1</v>
      </c>
      <c r="F270" s="17" t="inlineStr">
        <is>
          <t>Y</t>
        </is>
      </c>
      <c r="G270" s="17" t="inlineStr"/>
      <c r="H270" s="17" t="inlineStr"/>
      <c r="I270" s="17" t="inlineStr"/>
      <c r="J270" s="24" t="n">
        <v>46719</v>
      </c>
      <c r="K270" s="17" t="inlineStr"/>
      <c r="L270" s="17" t="inlineStr"/>
      <c r="M270" s="17" t="inlineStr"/>
      <c r="N270" s="23" t="inlineStr"/>
      <c r="O270" s="17" t="inlineStr"/>
      <c r="P270" s="17" t="inlineStr"/>
      <c r="Q270" s="17" t="inlineStr">
        <is>
          <t>김진태</t>
        </is>
      </c>
      <c r="R270" s="17" t="inlineStr"/>
      <c r="S270" s="17" t="inlineStr"/>
      <c r="T270" s="17" t="inlineStr">
        <is>
          <t>051-313-4631</t>
        </is>
      </c>
      <c r="U270" s="17" t="inlineStr">
        <is>
          <t>제조소상세</t>
        </is>
      </c>
      <c r="V270" s="22" t="inlineStr">
        <is>
          <t>미확인</t>
        </is>
      </c>
      <c r="W270" s="22" t="inlineStr">
        <is>
          <t>미확인</t>
        </is>
      </c>
      <c r="X270" s="22" t="inlineStr">
        <is>
          <t>미확인</t>
        </is>
      </c>
      <c r="Y270" s="22" t="inlineStr">
        <is>
          <t>미확인</t>
        </is>
      </c>
      <c r="Z270" s="22" t="inlineStr">
        <is>
          <t>미확인</t>
        </is>
      </c>
      <c r="AA270" s="22" t="inlineStr">
        <is>
          <t>미확인</t>
        </is>
      </c>
      <c r="AB270" s="22" t="inlineStr">
        <is>
          <t>미확인</t>
        </is>
      </c>
      <c r="AC270" s="22" t="inlineStr">
        <is>
          <t>미확인</t>
        </is>
      </c>
      <c r="AD270" s="22" t="inlineStr">
        <is>
          <t>미확인</t>
        </is>
      </c>
      <c r="AE270" s="22" t="inlineStr">
        <is>
          <t>미확인</t>
        </is>
      </c>
      <c r="AF270" s="22" t="inlineStr">
        <is>
          <t>미확인</t>
        </is>
      </c>
      <c r="AG270" s="22" t="inlineStr">
        <is>
          <t>미확인</t>
        </is>
      </c>
      <c r="AH270" s="22" t="inlineStr">
        <is>
          <t>미확인</t>
        </is>
      </c>
      <c r="AI270" s="22" t="inlineStr">
        <is>
          <t>미확인</t>
        </is>
      </c>
      <c r="AJ270" s="22" t="inlineStr">
        <is>
          <t>미확인</t>
        </is>
      </c>
      <c r="AK270" s="22" t="inlineStr">
        <is>
          <t>미확인</t>
        </is>
      </c>
      <c r="AL270" s="22" t="inlineStr">
        <is>
          <t>미확인</t>
        </is>
      </c>
      <c r="AM270" s="22" t="inlineStr">
        <is>
          <t>미확인</t>
        </is>
      </c>
      <c r="AN270" s="22" t="inlineStr">
        <is>
          <t>미확인</t>
        </is>
      </c>
      <c r="AO270" s="17" t="inlineStr">
        <is>
          <t>C(부분확인)</t>
        </is>
      </c>
      <c r="AP270" s="17" t="inlineStr">
        <is>
          <t>Y</t>
        </is>
      </c>
      <c r="AQ270" s="17" t="n">
        <v>4</v>
      </c>
      <c r="AR270" s="28" t="inlineStr">
        <is>
          <t>Tier D</t>
        </is>
      </c>
      <c r="AS270" s="17" t="inlineStr">
        <is>
          <t>EDMS</t>
        </is>
      </c>
      <c r="AT270" s="17" t="inlineStr">
        <is>
          <t>기본 문서관리 수요</t>
        </is>
      </c>
      <c r="AU270" s="17" t="inlineStr">
        <is>
          <t>담당자 파악 후 접촉</t>
        </is>
      </c>
      <c r="AV270" s="17" t="inlineStr">
        <is>
          <t>GMP적합판정+KRX</t>
        </is>
      </c>
      <c r="AW270" s="17" t="inlineStr">
        <is>
          <t>2026-07-05</t>
        </is>
      </c>
    </row>
    <row r="271">
      <c r="A271" s="17" t="inlineStr">
        <is>
          <t>C270</t>
        </is>
      </c>
      <c r="B271" s="17" t="inlineStr">
        <is>
          <t>세종가스산업</t>
        </is>
      </c>
      <c r="C271" s="17" t="inlineStr">
        <is>
          <t>주식회사 세종가스산업</t>
        </is>
      </c>
      <c r="D271" s="17" t="n">
        <v>1</v>
      </c>
      <c r="E271" s="17" t="n">
        <v>1</v>
      </c>
      <c r="F271" s="17" t="inlineStr">
        <is>
          <t>Y</t>
        </is>
      </c>
      <c r="G271" s="17" t="inlineStr"/>
      <c r="H271" s="17" t="inlineStr"/>
      <c r="I271" s="17" t="inlineStr"/>
      <c r="J271" s="24" t="n">
        <v>46715</v>
      </c>
      <c r="K271" s="17" t="inlineStr"/>
      <c r="L271" s="17" t="inlineStr"/>
      <c r="M271" s="17" t="inlineStr"/>
      <c r="N271" s="23" t="inlineStr"/>
      <c r="O271" s="17" t="inlineStr"/>
      <c r="P271" s="17" t="inlineStr"/>
      <c r="Q271" s="17" t="inlineStr">
        <is>
          <t>양필자</t>
        </is>
      </c>
      <c r="R271" s="17" t="inlineStr"/>
      <c r="S271" s="17" t="inlineStr"/>
      <c r="T271" s="17" t="inlineStr">
        <is>
          <t>05579500010102011</t>
        </is>
      </c>
      <c r="U271" s="17" t="inlineStr">
        <is>
          <t>제조소상세</t>
        </is>
      </c>
      <c r="V271" s="22" t="inlineStr">
        <is>
          <t>미확인</t>
        </is>
      </c>
      <c r="W271" s="22" t="inlineStr">
        <is>
          <t>미확인</t>
        </is>
      </c>
      <c r="X271" s="22" t="inlineStr">
        <is>
          <t>미확인</t>
        </is>
      </c>
      <c r="Y271" s="22" t="inlineStr">
        <is>
          <t>미확인</t>
        </is>
      </c>
      <c r="Z271" s="22" t="inlineStr">
        <is>
          <t>미확인</t>
        </is>
      </c>
      <c r="AA271" s="22" t="inlineStr">
        <is>
          <t>미확인</t>
        </is>
      </c>
      <c r="AB271" s="22" t="inlineStr">
        <is>
          <t>미확인</t>
        </is>
      </c>
      <c r="AC271" s="22" t="inlineStr">
        <is>
          <t>미확인</t>
        </is>
      </c>
      <c r="AD271" s="22" t="inlineStr">
        <is>
          <t>미확인</t>
        </is>
      </c>
      <c r="AE271" s="22" t="inlineStr">
        <is>
          <t>미확인</t>
        </is>
      </c>
      <c r="AF271" s="22" t="inlineStr">
        <is>
          <t>미확인</t>
        </is>
      </c>
      <c r="AG271" s="22" t="inlineStr">
        <is>
          <t>미확인</t>
        </is>
      </c>
      <c r="AH271" s="22" t="inlineStr">
        <is>
          <t>미확인</t>
        </is>
      </c>
      <c r="AI271" s="22" t="inlineStr">
        <is>
          <t>미확인</t>
        </is>
      </c>
      <c r="AJ271" s="22" t="inlineStr">
        <is>
          <t>미확인</t>
        </is>
      </c>
      <c r="AK271" s="22" t="inlineStr">
        <is>
          <t>미확인</t>
        </is>
      </c>
      <c r="AL271" s="22" t="inlineStr">
        <is>
          <t>미확인</t>
        </is>
      </c>
      <c r="AM271" s="22" t="inlineStr">
        <is>
          <t>미확인</t>
        </is>
      </c>
      <c r="AN271" s="22" t="inlineStr">
        <is>
          <t>미확인</t>
        </is>
      </c>
      <c r="AO271" s="17" t="inlineStr">
        <is>
          <t>C(부분확인)</t>
        </is>
      </c>
      <c r="AP271" s="17" t="inlineStr">
        <is>
          <t>Y</t>
        </is>
      </c>
      <c r="AQ271" s="17" t="n">
        <v>4</v>
      </c>
      <c r="AR271" s="28" t="inlineStr">
        <is>
          <t>Tier D</t>
        </is>
      </c>
      <c r="AS271" s="17" t="inlineStr">
        <is>
          <t>EDMS</t>
        </is>
      </c>
      <c r="AT271" s="17" t="inlineStr">
        <is>
          <t>기본 문서관리 수요</t>
        </is>
      </c>
      <c r="AU271" s="17" t="inlineStr">
        <is>
          <t>담당자 파악 후 접촉</t>
        </is>
      </c>
      <c r="AV271" s="17" t="inlineStr">
        <is>
          <t>GMP적합판정+KRX</t>
        </is>
      </c>
      <c r="AW271" s="17" t="inlineStr">
        <is>
          <t>2026-07-05</t>
        </is>
      </c>
    </row>
    <row r="272">
      <c r="A272" s="17" t="inlineStr">
        <is>
          <t>C271</t>
        </is>
      </c>
      <c r="B272" s="17" t="inlineStr">
        <is>
          <t>건일바이오팜</t>
        </is>
      </c>
      <c r="C272" s="17" t="inlineStr">
        <is>
          <t>건일바이오팜주식회사</t>
        </is>
      </c>
      <c r="D272" s="17" t="n">
        <v>1</v>
      </c>
      <c r="E272" s="17" t="n">
        <v>1</v>
      </c>
      <c r="F272" s="17" t="inlineStr">
        <is>
          <t>Y</t>
        </is>
      </c>
      <c r="G272" s="17" t="inlineStr"/>
      <c r="H272" s="17" t="inlineStr"/>
      <c r="I272" s="17" t="inlineStr"/>
      <c r="J272" s="24" t="n">
        <v>46697</v>
      </c>
      <c r="K272" s="17" t="inlineStr"/>
      <c r="L272" s="17" t="inlineStr"/>
      <c r="M272" s="17" t="inlineStr"/>
      <c r="N272" s="23" t="inlineStr"/>
      <c r="O272" s="17" t="inlineStr"/>
      <c r="P272" s="17" t="inlineStr"/>
      <c r="Q272" s="17" t="inlineStr">
        <is>
          <t>정병찬</t>
        </is>
      </c>
      <c r="R272" s="17" t="inlineStr"/>
      <c r="S272" s="17" t="inlineStr"/>
      <c r="T272" s="17" t="inlineStr">
        <is>
          <t>041-415-2550</t>
        </is>
      </c>
      <c r="U272" s="17" t="inlineStr">
        <is>
          <t>제조소상세</t>
        </is>
      </c>
      <c r="V272" s="22" t="inlineStr">
        <is>
          <t>미확인</t>
        </is>
      </c>
      <c r="W272" s="22" t="inlineStr">
        <is>
          <t>미확인</t>
        </is>
      </c>
      <c r="X272" s="22" t="inlineStr">
        <is>
          <t>미확인</t>
        </is>
      </c>
      <c r="Y272" s="22" t="inlineStr">
        <is>
          <t>미확인</t>
        </is>
      </c>
      <c r="Z272" s="22" t="inlineStr">
        <is>
          <t>미확인</t>
        </is>
      </c>
      <c r="AA272" s="22" t="inlineStr">
        <is>
          <t>미확인</t>
        </is>
      </c>
      <c r="AB272" s="22" t="inlineStr">
        <is>
          <t>미확인</t>
        </is>
      </c>
      <c r="AC272" s="22" t="inlineStr">
        <is>
          <t>미확인</t>
        </is>
      </c>
      <c r="AD272" s="22" t="inlineStr">
        <is>
          <t>미확인</t>
        </is>
      </c>
      <c r="AE272" s="22" t="inlineStr">
        <is>
          <t>미확인</t>
        </is>
      </c>
      <c r="AF272" s="22" t="inlineStr">
        <is>
          <t>미확인</t>
        </is>
      </c>
      <c r="AG272" s="22" t="inlineStr">
        <is>
          <t>미확인</t>
        </is>
      </c>
      <c r="AH272" s="22" t="inlineStr">
        <is>
          <t>미확인</t>
        </is>
      </c>
      <c r="AI272" s="22" t="inlineStr">
        <is>
          <t>미확인</t>
        </is>
      </c>
      <c r="AJ272" s="22" t="inlineStr">
        <is>
          <t>미확인</t>
        </is>
      </c>
      <c r="AK272" s="22" t="inlineStr">
        <is>
          <t>미확인</t>
        </is>
      </c>
      <c r="AL272" s="22" t="inlineStr">
        <is>
          <t>미확인</t>
        </is>
      </c>
      <c r="AM272" s="22" t="inlineStr">
        <is>
          <t>미확인</t>
        </is>
      </c>
      <c r="AN272" s="22" t="inlineStr">
        <is>
          <t>미확인</t>
        </is>
      </c>
      <c r="AO272" s="17" t="inlineStr">
        <is>
          <t>C(부분확인)</t>
        </is>
      </c>
      <c r="AP272" s="17" t="inlineStr">
        <is>
          <t>Y</t>
        </is>
      </c>
      <c r="AQ272" s="17" t="n">
        <v>4</v>
      </c>
      <c r="AR272" s="28" t="inlineStr">
        <is>
          <t>Tier D</t>
        </is>
      </c>
      <c r="AS272" s="17" t="inlineStr">
        <is>
          <t>EDMS</t>
        </is>
      </c>
      <c r="AT272" s="17" t="inlineStr">
        <is>
          <t>기본 문서관리 수요</t>
        </is>
      </c>
      <c r="AU272" s="17" t="inlineStr">
        <is>
          <t>담당자 파악 후 접촉</t>
        </is>
      </c>
      <c r="AV272" s="17" t="inlineStr">
        <is>
          <t>GMP적합판정+KRX</t>
        </is>
      </c>
      <c r="AW272" s="17" t="inlineStr">
        <is>
          <t>2026-07-05</t>
        </is>
      </c>
    </row>
    <row r="273">
      <c r="A273" s="17" t="inlineStr">
        <is>
          <t>C272</t>
        </is>
      </c>
      <c r="B273" s="17" t="inlineStr">
        <is>
          <t>바이오솔루션</t>
        </is>
      </c>
      <c r="C273" s="17" t="inlineStr">
        <is>
          <t>(주)바이오솔루션</t>
        </is>
      </c>
      <c r="D273" s="17" t="n">
        <v>1</v>
      </c>
      <c r="E273" s="17" t="n">
        <v>1</v>
      </c>
      <c r="F273" s="17" t="inlineStr">
        <is>
          <t>Y</t>
        </is>
      </c>
      <c r="G273" s="17" t="inlineStr"/>
      <c r="H273" s="17" t="inlineStr">
        <is>
          <t>Y</t>
        </is>
      </c>
      <c r="I273" s="17" t="inlineStr">
        <is>
          <t>Y</t>
        </is>
      </c>
      <c r="J273" s="24" t="n">
        <v>46689</v>
      </c>
      <c r="K273" s="17" t="inlineStr"/>
      <c r="L273" s="17" t="inlineStr">
        <is>
          <t>Y</t>
        </is>
      </c>
      <c r="M273" s="17" t="inlineStr">
        <is>
          <t>코스닥</t>
        </is>
      </c>
      <c r="N273" s="23" t="inlineStr">
        <is>
          <t>086820</t>
        </is>
      </c>
      <c r="O273" s="17" t="inlineStr">
        <is>
          <t>기초 의약물질 제조업</t>
        </is>
      </c>
      <c r="P273" s="17" t="inlineStr">
        <is>
          <t>세포치료제, 인체조직모델 등</t>
        </is>
      </c>
      <c r="Q273" s="17" t="inlineStr">
        <is>
          <t>이정선</t>
        </is>
      </c>
      <c r="R273" s="17" t="inlineStr">
        <is>
          <t>http://www.biosolutions.co.kr/</t>
        </is>
      </c>
      <c r="S273" s="17" t="inlineStr">
        <is>
          <t>서울특별시</t>
        </is>
      </c>
      <c r="T273" s="17" t="inlineStr">
        <is>
          <t>미확인</t>
        </is>
      </c>
      <c r="U273" s="17" t="inlineStr">
        <is>
          <t>미확인</t>
        </is>
      </c>
      <c r="V273" s="22" t="inlineStr">
        <is>
          <t>미확인</t>
        </is>
      </c>
      <c r="W273" s="22" t="inlineStr">
        <is>
          <t>미확인</t>
        </is>
      </c>
      <c r="X273" s="22" t="inlineStr">
        <is>
          <t>미확인</t>
        </is>
      </c>
      <c r="Y273" s="22" t="inlineStr">
        <is>
          <t>미확인</t>
        </is>
      </c>
      <c r="Z273" s="22" t="inlineStr">
        <is>
          <t>미확인</t>
        </is>
      </c>
      <c r="AA273" s="22" t="inlineStr">
        <is>
          <t>미확인</t>
        </is>
      </c>
      <c r="AB273" s="22" t="inlineStr">
        <is>
          <t>미확인</t>
        </is>
      </c>
      <c r="AC273" s="22" t="inlineStr">
        <is>
          <t>미확인</t>
        </is>
      </c>
      <c r="AD273" s="22" t="inlineStr">
        <is>
          <t>미확인</t>
        </is>
      </c>
      <c r="AE273" s="22" t="inlineStr">
        <is>
          <t>미확인</t>
        </is>
      </c>
      <c r="AF273" s="22" t="inlineStr">
        <is>
          <t>미확인</t>
        </is>
      </c>
      <c r="AG273" s="22" t="inlineStr">
        <is>
          <t>미확인</t>
        </is>
      </c>
      <c r="AH273" s="22" t="inlineStr">
        <is>
          <t>미확인</t>
        </is>
      </c>
      <c r="AI273" s="22" t="inlineStr">
        <is>
          <t>미확인</t>
        </is>
      </c>
      <c r="AJ273" s="22" t="inlineStr">
        <is>
          <t>미확인</t>
        </is>
      </c>
      <c r="AK273" s="22" t="inlineStr">
        <is>
          <t>미확인</t>
        </is>
      </c>
      <c r="AL273" s="22" t="inlineStr">
        <is>
          <t>미확인</t>
        </is>
      </c>
      <c r="AM273" s="22" t="inlineStr">
        <is>
          <t>미확인</t>
        </is>
      </c>
      <c r="AN273" s="22" t="inlineStr">
        <is>
          <t>미확인</t>
        </is>
      </c>
      <c r="AO273" s="17" t="inlineStr">
        <is>
          <t>C(부분확인)</t>
        </is>
      </c>
      <c r="AP273" s="17" t="inlineStr">
        <is>
          <t>Y</t>
        </is>
      </c>
      <c r="AQ273" s="17" t="n">
        <v>19</v>
      </c>
      <c r="AR273" s="28" t="inlineStr">
        <is>
          <t>Tier D</t>
        </is>
      </c>
      <c r="AS273" s="17" t="inlineStr">
        <is>
          <t>QMS+LIMS</t>
        </is>
      </c>
      <c r="AT273" s="17" t="inlineStr">
        <is>
          <t>무균/바이오 제조로 품질관리 난도 높음</t>
        </is>
      </c>
      <c r="AU273" s="17" t="inlineStr">
        <is>
          <t>담당자 파악 후 접촉</t>
        </is>
      </c>
      <c r="AV273" s="17" t="inlineStr">
        <is>
          <t>GMP적합판정+KRX</t>
        </is>
      </c>
      <c r="AW273" s="17" t="inlineStr">
        <is>
          <t>2026-07-05</t>
        </is>
      </c>
    </row>
    <row r="274">
      <c r="A274" s="17" t="inlineStr">
        <is>
          <t>C273</t>
        </is>
      </c>
      <c r="B274" s="17" t="inlineStr">
        <is>
          <t>안트로젠</t>
        </is>
      </c>
      <c r="C274" s="17" t="inlineStr">
        <is>
          <t>(주)안트로젠</t>
        </is>
      </c>
      <c r="D274" s="17" t="n">
        <v>1</v>
      </c>
      <c r="E274" s="17" t="n">
        <v>1</v>
      </c>
      <c r="F274" s="17" t="inlineStr">
        <is>
          <t>Y</t>
        </is>
      </c>
      <c r="G274" s="17" t="inlineStr"/>
      <c r="H274" s="17" t="inlineStr">
        <is>
          <t>Y</t>
        </is>
      </c>
      <c r="I274" s="17" t="inlineStr">
        <is>
          <t>Y</t>
        </is>
      </c>
      <c r="J274" s="24" t="n">
        <v>46682</v>
      </c>
      <c r="K274" s="17" t="inlineStr"/>
      <c r="L274" s="17" t="inlineStr">
        <is>
          <t>Y</t>
        </is>
      </c>
      <c r="M274" s="17" t="inlineStr">
        <is>
          <t>코스닥</t>
        </is>
      </c>
      <c r="N274" s="23" t="inlineStr">
        <is>
          <t>065660</t>
        </is>
      </c>
      <c r="O274" s="17" t="inlineStr">
        <is>
          <t>기타 전문 도매업</t>
        </is>
      </c>
      <c r="P274" s="17" t="inlineStr">
        <is>
          <t>줄기세포치료제</t>
        </is>
      </c>
      <c r="Q274" s="17" t="inlineStr">
        <is>
          <t>이성구, 김미형(각자대표)</t>
        </is>
      </c>
      <c r="R274" s="17" t="inlineStr">
        <is>
          <t>http://www.anterogen.com</t>
        </is>
      </c>
      <c r="S274" s="17" t="inlineStr">
        <is>
          <t>서울특별시</t>
        </is>
      </c>
      <c r="T274" s="17" t="inlineStr">
        <is>
          <t>미확인</t>
        </is>
      </c>
      <c r="U274" s="17" t="inlineStr">
        <is>
          <t>미확인</t>
        </is>
      </c>
      <c r="V274" s="22" t="inlineStr">
        <is>
          <t>미확인</t>
        </is>
      </c>
      <c r="W274" s="22" t="inlineStr">
        <is>
          <t>미확인</t>
        </is>
      </c>
      <c r="X274" s="22" t="inlineStr">
        <is>
          <t>미확인</t>
        </is>
      </c>
      <c r="Y274" s="22" t="inlineStr">
        <is>
          <t>미확인</t>
        </is>
      </c>
      <c r="Z274" s="22" t="inlineStr">
        <is>
          <t>미확인</t>
        </is>
      </c>
      <c r="AA274" s="22" t="inlineStr">
        <is>
          <t>미확인</t>
        </is>
      </c>
      <c r="AB274" s="22" t="inlineStr">
        <is>
          <t>미확인</t>
        </is>
      </c>
      <c r="AC274" s="22" t="inlineStr">
        <is>
          <t>미확인</t>
        </is>
      </c>
      <c r="AD274" s="22" t="inlineStr">
        <is>
          <t>미확인</t>
        </is>
      </c>
      <c r="AE274" s="22" t="inlineStr">
        <is>
          <t>미확인</t>
        </is>
      </c>
      <c r="AF274" s="22" t="inlineStr">
        <is>
          <t>미확인</t>
        </is>
      </c>
      <c r="AG274" s="22" t="inlineStr">
        <is>
          <t>미확인</t>
        </is>
      </c>
      <c r="AH274" s="22" t="inlineStr">
        <is>
          <t>미확인</t>
        </is>
      </c>
      <c r="AI274" s="22" t="inlineStr">
        <is>
          <t>미확인</t>
        </is>
      </c>
      <c r="AJ274" s="22" t="inlineStr">
        <is>
          <t>미확인</t>
        </is>
      </c>
      <c r="AK274" s="22" t="inlineStr">
        <is>
          <t>미확인</t>
        </is>
      </c>
      <c r="AL274" s="22" t="inlineStr">
        <is>
          <t>미확인</t>
        </is>
      </c>
      <c r="AM274" s="22" t="inlineStr">
        <is>
          <t>미확인</t>
        </is>
      </c>
      <c r="AN274" s="22" t="inlineStr">
        <is>
          <t>미확인</t>
        </is>
      </c>
      <c r="AO274" s="17" t="inlineStr">
        <is>
          <t>C(부분확인)</t>
        </is>
      </c>
      <c r="AP274" s="17" t="inlineStr">
        <is>
          <t>Y</t>
        </is>
      </c>
      <c r="AQ274" s="17" t="n">
        <v>19</v>
      </c>
      <c r="AR274" s="28" t="inlineStr">
        <is>
          <t>Tier D</t>
        </is>
      </c>
      <c r="AS274" s="17" t="inlineStr">
        <is>
          <t>QMS+LIMS</t>
        </is>
      </c>
      <c r="AT274" s="17" t="inlineStr">
        <is>
          <t>무균/바이오 제조로 품질관리 난도 높음</t>
        </is>
      </c>
      <c r="AU274" s="17" t="inlineStr">
        <is>
          <t>담당자 파악 후 접촉</t>
        </is>
      </c>
      <c r="AV274" s="17" t="inlineStr">
        <is>
          <t>GMP적합판정+KRX</t>
        </is>
      </c>
      <c r="AW274" s="17" t="inlineStr">
        <is>
          <t>2026-07-05</t>
        </is>
      </c>
    </row>
    <row r="275">
      <c r="A275" s="17" t="inlineStr">
        <is>
          <t>C274</t>
        </is>
      </c>
      <c r="B275" s="17" t="inlineStr">
        <is>
          <t>에니웨이</t>
        </is>
      </c>
      <c r="C275" s="17" t="inlineStr">
        <is>
          <t>(주)에니웨이</t>
        </is>
      </c>
      <c r="D275" s="17" t="n">
        <v>1</v>
      </c>
      <c r="E275" s="17" t="n">
        <v>1</v>
      </c>
      <c r="F275" s="17" t="inlineStr">
        <is>
          <t>Y</t>
        </is>
      </c>
      <c r="G275" s="17" t="inlineStr"/>
      <c r="H275" s="17" t="inlineStr"/>
      <c r="I275" s="17" t="inlineStr"/>
      <c r="J275" s="24" t="n">
        <v>46681</v>
      </c>
      <c r="K275" s="17" t="inlineStr"/>
      <c r="L275" s="17" t="inlineStr"/>
      <c r="M275" s="17" t="inlineStr"/>
      <c r="N275" s="23" t="inlineStr"/>
      <c r="O275" s="17" t="inlineStr"/>
      <c r="P275" s="17" t="inlineStr"/>
      <c r="Q275" s="17" t="inlineStr">
        <is>
          <t>박정철</t>
        </is>
      </c>
      <c r="R275" s="17" t="inlineStr"/>
      <c r="S275" s="17" t="inlineStr"/>
      <c r="T275" s="17" t="inlineStr">
        <is>
          <t>055-587-4121</t>
        </is>
      </c>
      <c r="U275" s="17" t="inlineStr">
        <is>
          <t>제조소상세</t>
        </is>
      </c>
      <c r="V275" s="22" t="inlineStr">
        <is>
          <t>미확인</t>
        </is>
      </c>
      <c r="W275" s="22" t="inlineStr">
        <is>
          <t>미확인</t>
        </is>
      </c>
      <c r="X275" s="22" t="inlineStr">
        <is>
          <t>미확인</t>
        </is>
      </c>
      <c r="Y275" s="22" t="inlineStr">
        <is>
          <t>미확인</t>
        </is>
      </c>
      <c r="Z275" s="22" t="inlineStr">
        <is>
          <t>미확인</t>
        </is>
      </c>
      <c r="AA275" s="22" t="inlineStr">
        <is>
          <t>미확인</t>
        </is>
      </c>
      <c r="AB275" s="22" t="inlineStr">
        <is>
          <t>미확인</t>
        </is>
      </c>
      <c r="AC275" s="22" t="inlineStr">
        <is>
          <t>미확인</t>
        </is>
      </c>
      <c r="AD275" s="22" t="inlineStr">
        <is>
          <t>미확인</t>
        </is>
      </c>
      <c r="AE275" s="22" t="inlineStr">
        <is>
          <t>미확인</t>
        </is>
      </c>
      <c r="AF275" s="22" t="inlineStr">
        <is>
          <t>미확인</t>
        </is>
      </c>
      <c r="AG275" s="22" t="inlineStr">
        <is>
          <t>미확인</t>
        </is>
      </c>
      <c r="AH275" s="22" t="inlineStr">
        <is>
          <t>미확인</t>
        </is>
      </c>
      <c r="AI275" s="22" t="inlineStr">
        <is>
          <t>미확인</t>
        </is>
      </c>
      <c r="AJ275" s="22" t="inlineStr">
        <is>
          <t>미확인</t>
        </is>
      </c>
      <c r="AK275" s="22" t="inlineStr">
        <is>
          <t>미확인</t>
        </is>
      </c>
      <c r="AL275" s="22" t="inlineStr">
        <is>
          <t>미확인</t>
        </is>
      </c>
      <c r="AM275" s="22" t="inlineStr">
        <is>
          <t>미확인</t>
        </is>
      </c>
      <c r="AN275" s="22" t="inlineStr">
        <is>
          <t>미확인</t>
        </is>
      </c>
      <c r="AO275" s="17" t="inlineStr">
        <is>
          <t>C(부분확인)</t>
        </is>
      </c>
      <c r="AP275" s="17" t="inlineStr">
        <is>
          <t>Y</t>
        </is>
      </c>
      <c r="AQ275" s="17" t="n">
        <v>4</v>
      </c>
      <c r="AR275" s="28" t="inlineStr">
        <is>
          <t>Tier D</t>
        </is>
      </c>
      <c r="AS275" s="17" t="inlineStr">
        <is>
          <t>EDMS</t>
        </is>
      </c>
      <c r="AT275" s="17" t="inlineStr">
        <is>
          <t>기본 문서관리 수요</t>
        </is>
      </c>
      <c r="AU275" s="17" t="inlineStr">
        <is>
          <t>담당자 파악 후 접촉</t>
        </is>
      </c>
      <c r="AV275" s="17" t="inlineStr">
        <is>
          <t>GMP적합판정+KRX</t>
        </is>
      </c>
      <c r="AW275" s="17" t="inlineStr">
        <is>
          <t>2026-07-05</t>
        </is>
      </c>
    </row>
    <row r="276">
      <c r="A276" s="17" t="inlineStr">
        <is>
          <t>C275</t>
        </is>
      </c>
      <c r="B276" s="17" t="inlineStr">
        <is>
          <t>큐라티스</t>
        </is>
      </c>
      <c r="C276" s="17" t="inlineStr">
        <is>
          <t>주식회사큐라티스</t>
        </is>
      </c>
      <c r="D276" s="17" t="n">
        <v>1</v>
      </c>
      <c r="E276" s="17" t="n">
        <v>1</v>
      </c>
      <c r="F276" s="17" t="inlineStr">
        <is>
          <t>Y</t>
        </is>
      </c>
      <c r="G276" s="17" t="inlineStr"/>
      <c r="H276" s="17" t="inlineStr">
        <is>
          <t>Y</t>
        </is>
      </c>
      <c r="I276" s="17" t="inlineStr"/>
      <c r="J276" s="24" t="n">
        <v>46676</v>
      </c>
      <c r="K276" s="17" t="inlineStr"/>
      <c r="L276" s="17" t="inlineStr">
        <is>
          <t>Y</t>
        </is>
      </c>
      <c r="M276" s="17" t="inlineStr">
        <is>
          <t>코스닥</t>
        </is>
      </c>
      <c r="N276" s="23" t="inlineStr">
        <is>
          <t>348080</t>
        </is>
      </c>
      <c r="O276" s="17" t="inlineStr">
        <is>
          <t>자연과학 및 공학 연구개발업</t>
        </is>
      </c>
      <c r="P276" s="17" t="inlineStr">
        <is>
          <t>백신 및 면역증강제 개발제조업, CMO/CDMO</t>
        </is>
      </c>
      <c r="Q276" s="17" t="inlineStr">
        <is>
          <t>김성준</t>
        </is>
      </c>
      <c r="R276" s="17" t="inlineStr">
        <is>
          <t>http://quratis.com</t>
        </is>
      </c>
      <c r="S276" s="17" t="inlineStr">
        <is>
          <t>충청북도</t>
        </is>
      </c>
      <c r="T276" s="17" t="inlineStr">
        <is>
          <t>043-904-7002</t>
        </is>
      </c>
      <c r="U276" s="17" t="inlineStr">
        <is>
          <t>제조소상세</t>
        </is>
      </c>
      <c r="V276" s="22" t="inlineStr">
        <is>
          <t>미확인</t>
        </is>
      </c>
      <c r="W276" s="22" t="inlineStr">
        <is>
          <t>미확인</t>
        </is>
      </c>
      <c r="X276" s="22" t="inlineStr">
        <is>
          <t>미확인</t>
        </is>
      </c>
      <c r="Y276" s="22" t="inlineStr">
        <is>
          <t>미확인</t>
        </is>
      </c>
      <c r="Z276" s="22" t="inlineStr">
        <is>
          <t>미확인</t>
        </is>
      </c>
      <c r="AA276" s="22" t="inlineStr">
        <is>
          <t>미확인</t>
        </is>
      </c>
      <c r="AB276" s="22" t="inlineStr">
        <is>
          <t>미확인</t>
        </is>
      </c>
      <c r="AC276" s="22" t="inlineStr">
        <is>
          <t>미확인</t>
        </is>
      </c>
      <c r="AD276" s="22" t="inlineStr">
        <is>
          <t>미확인</t>
        </is>
      </c>
      <c r="AE276" s="22" t="inlineStr">
        <is>
          <t>미확인</t>
        </is>
      </c>
      <c r="AF276" s="22" t="inlineStr">
        <is>
          <t>미확인</t>
        </is>
      </c>
      <c r="AG276" s="22" t="inlineStr">
        <is>
          <t>미확인</t>
        </is>
      </c>
      <c r="AH276" s="22" t="inlineStr">
        <is>
          <t>미확인</t>
        </is>
      </c>
      <c r="AI276" s="22" t="inlineStr">
        <is>
          <t>미확인</t>
        </is>
      </c>
      <c r="AJ276" s="22" t="inlineStr">
        <is>
          <t>미확인</t>
        </is>
      </c>
      <c r="AK276" s="22" t="inlineStr">
        <is>
          <t>미확인</t>
        </is>
      </c>
      <c r="AL276" s="22" t="inlineStr">
        <is>
          <t>미확인</t>
        </is>
      </c>
      <c r="AM276" s="22" t="inlineStr">
        <is>
          <t>미확인</t>
        </is>
      </c>
      <c r="AN276" s="22" t="inlineStr">
        <is>
          <t>미확인</t>
        </is>
      </c>
      <c r="AO276" s="17" t="inlineStr">
        <is>
          <t>C(부분확인)</t>
        </is>
      </c>
      <c r="AP276" s="17" t="inlineStr">
        <is>
          <t>Y</t>
        </is>
      </c>
      <c r="AQ276" s="17" t="n">
        <v>15</v>
      </c>
      <c r="AR276" s="28" t="inlineStr">
        <is>
          <t>Tier D</t>
        </is>
      </c>
      <c r="AS276" s="17" t="inlineStr">
        <is>
          <t>QMS+LIMS</t>
        </is>
      </c>
      <c r="AT276" s="17" t="inlineStr">
        <is>
          <t>무균/바이오 제조로 품질관리 난도 높음</t>
        </is>
      </c>
      <c r="AU276" s="17" t="inlineStr">
        <is>
          <t>담당자 파악 후 접촉</t>
        </is>
      </c>
      <c r="AV276" s="17" t="inlineStr">
        <is>
          <t>GMP적합판정+KRX</t>
        </is>
      </c>
      <c r="AW276" s="17" t="inlineStr">
        <is>
          <t>2026-07-05</t>
        </is>
      </c>
    </row>
    <row r="277">
      <c r="A277" s="17" t="inlineStr">
        <is>
          <t>C276</t>
        </is>
      </c>
      <c r="B277" s="17" t="inlineStr">
        <is>
          <t>단일가스켐</t>
        </is>
      </c>
      <c r="C277" s="17" t="inlineStr">
        <is>
          <t>단일가스켐(주)</t>
        </is>
      </c>
      <c r="D277" s="17" t="n">
        <v>1</v>
      </c>
      <c r="E277" s="17" t="n">
        <v>1</v>
      </c>
      <c r="F277" s="17" t="inlineStr">
        <is>
          <t>Y</t>
        </is>
      </c>
      <c r="G277" s="17" t="inlineStr"/>
      <c r="H277" s="17" t="inlineStr"/>
      <c r="I277" s="17" t="inlineStr"/>
      <c r="J277" s="24" t="n">
        <v>46671</v>
      </c>
      <c r="K277" s="17" t="inlineStr"/>
      <c r="L277" s="17" t="inlineStr"/>
      <c r="M277" s="17" t="inlineStr"/>
      <c r="N277" s="23" t="inlineStr"/>
      <c r="O277" s="17" t="inlineStr"/>
      <c r="P277" s="17" t="inlineStr"/>
      <c r="Q277" s="17" t="inlineStr">
        <is>
          <t>장세훈</t>
        </is>
      </c>
      <c r="R277" s="17" t="inlineStr"/>
      <c r="S277" s="17" t="inlineStr"/>
      <c r="T277" s="17" t="inlineStr">
        <is>
          <t>043-241-0070</t>
        </is>
      </c>
      <c r="U277" s="17" t="inlineStr">
        <is>
          <t>제조소상세</t>
        </is>
      </c>
      <c r="V277" s="22" t="inlineStr">
        <is>
          <t>미확인</t>
        </is>
      </c>
      <c r="W277" s="22" t="inlineStr">
        <is>
          <t>미확인</t>
        </is>
      </c>
      <c r="X277" s="22" t="inlineStr">
        <is>
          <t>미확인</t>
        </is>
      </c>
      <c r="Y277" s="22" t="inlineStr">
        <is>
          <t>미확인</t>
        </is>
      </c>
      <c r="Z277" s="22" t="inlineStr">
        <is>
          <t>미확인</t>
        </is>
      </c>
      <c r="AA277" s="22" t="inlineStr">
        <is>
          <t>미확인</t>
        </is>
      </c>
      <c r="AB277" s="22" t="inlineStr">
        <is>
          <t>미확인</t>
        </is>
      </c>
      <c r="AC277" s="22" t="inlineStr">
        <is>
          <t>미확인</t>
        </is>
      </c>
      <c r="AD277" s="22" t="inlineStr">
        <is>
          <t>미확인</t>
        </is>
      </c>
      <c r="AE277" s="22" t="inlineStr">
        <is>
          <t>미확인</t>
        </is>
      </c>
      <c r="AF277" s="22" t="inlineStr">
        <is>
          <t>미확인</t>
        </is>
      </c>
      <c r="AG277" s="22" t="inlineStr">
        <is>
          <t>미확인</t>
        </is>
      </c>
      <c r="AH277" s="22" t="inlineStr">
        <is>
          <t>미확인</t>
        </is>
      </c>
      <c r="AI277" s="22" t="inlineStr">
        <is>
          <t>미확인</t>
        </is>
      </c>
      <c r="AJ277" s="22" t="inlineStr">
        <is>
          <t>미확인</t>
        </is>
      </c>
      <c r="AK277" s="22" t="inlineStr">
        <is>
          <t>미확인</t>
        </is>
      </c>
      <c r="AL277" s="22" t="inlineStr">
        <is>
          <t>미확인</t>
        </is>
      </c>
      <c r="AM277" s="22" t="inlineStr">
        <is>
          <t>미확인</t>
        </is>
      </c>
      <c r="AN277" s="22" t="inlineStr">
        <is>
          <t>미확인</t>
        </is>
      </c>
      <c r="AO277" s="17" t="inlineStr">
        <is>
          <t>C(부분확인)</t>
        </is>
      </c>
      <c r="AP277" s="17" t="inlineStr">
        <is>
          <t>Y</t>
        </is>
      </c>
      <c r="AQ277" s="17" t="n">
        <v>4</v>
      </c>
      <c r="AR277" s="28" t="inlineStr">
        <is>
          <t>Tier D</t>
        </is>
      </c>
      <c r="AS277" s="17" t="inlineStr">
        <is>
          <t>EDMS</t>
        </is>
      </c>
      <c r="AT277" s="17" t="inlineStr">
        <is>
          <t>기본 문서관리 수요</t>
        </is>
      </c>
      <c r="AU277" s="17" t="inlineStr">
        <is>
          <t>담당자 파악 후 접촉</t>
        </is>
      </c>
      <c r="AV277" s="17" t="inlineStr">
        <is>
          <t>GMP적합판정+KRX</t>
        </is>
      </c>
      <c r="AW277" s="17" t="inlineStr">
        <is>
          <t>2026-07-05</t>
        </is>
      </c>
    </row>
    <row r="278">
      <c r="A278" s="17" t="inlineStr">
        <is>
          <t>C277</t>
        </is>
      </c>
      <c r="B278" s="17" t="inlineStr">
        <is>
          <t>셀트리온제약</t>
        </is>
      </c>
      <c r="C278" s="17" t="inlineStr">
        <is>
          <t>(주)셀트리온제약</t>
        </is>
      </c>
      <c r="D278" s="17" t="n">
        <v>2</v>
      </c>
      <c r="E278" s="17" t="n">
        <v>2</v>
      </c>
      <c r="F278" s="17" t="inlineStr">
        <is>
          <t>Y</t>
        </is>
      </c>
      <c r="G278" s="17" t="inlineStr"/>
      <c r="H278" s="17" t="inlineStr"/>
      <c r="I278" s="17" t="inlineStr"/>
      <c r="J278" s="24" t="n">
        <v>46355</v>
      </c>
      <c r="K278" s="17" t="inlineStr">
        <is>
          <t>Y</t>
        </is>
      </c>
      <c r="L278" s="17" t="inlineStr">
        <is>
          <t>Y</t>
        </is>
      </c>
      <c r="M278" s="17" t="inlineStr">
        <is>
          <t>코스닥</t>
        </is>
      </c>
      <c r="N278" s="23" t="inlineStr">
        <is>
          <t>068760</t>
        </is>
      </c>
      <c r="O278" s="17" t="inlineStr">
        <is>
          <t>의약품 제조업</t>
        </is>
      </c>
      <c r="P278" s="17" t="inlineStr">
        <is>
          <t>고덱스 캡슐 외</t>
        </is>
      </c>
      <c r="Q278" s="17" t="inlineStr">
        <is>
          <t>유영호</t>
        </is>
      </c>
      <c r="R278" s="17" t="inlineStr">
        <is>
          <t>http://www.celltrionph.com</t>
        </is>
      </c>
      <c r="S278" s="17" t="inlineStr">
        <is>
          <t>충청북도</t>
        </is>
      </c>
      <c r="T278" s="17" t="inlineStr">
        <is>
          <t>4083611</t>
        </is>
      </c>
      <c r="U278" s="17" t="inlineStr">
        <is>
          <t>제조소상세</t>
        </is>
      </c>
      <c r="V278" s="22" t="inlineStr">
        <is>
          <t>미확인</t>
        </is>
      </c>
      <c r="W278" s="22" t="inlineStr">
        <is>
          <t>미확인</t>
        </is>
      </c>
      <c r="X278" s="22" t="inlineStr">
        <is>
          <t>미확인</t>
        </is>
      </c>
      <c r="Y278" s="22" t="inlineStr">
        <is>
          <t>미확인</t>
        </is>
      </c>
      <c r="Z278" s="22" t="inlineStr">
        <is>
          <t>미확인</t>
        </is>
      </c>
      <c r="AA278" s="22" t="inlineStr">
        <is>
          <t>미확인</t>
        </is>
      </c>
      <c r="AB278" s="22" t="inlineStr">
        <is>
          <t>미확인</t>
        </is>
      </c>
      <c r="AC278" s="22" t="inlineStr">
        <is>
          <t>미확인</t>
        </is>
      </c>
      <c r="AD278" s="22" t="inlineStr">
        <is>
          <t>미확인</t>
        </is>
      </c>
      <c r="AE278" s="22" t="inlineStr">
        <is>
          <t>미확인</t>
        </is>
      </c>
      <c r="AF278" s="22" t="inlineStr">
        <is>
          <t>미확인</t>
        </is>
      </c>
      <c r="AG278" s="22" t="inlineStr">
        <is>
          <t>미확인</t>
        </is>
      </c>
      <c r="AH278" s="22" t="inlineStr">
        <is>
          <t>미확인</t>
        </is>
      </c>
      <c r="AI278" s="22" t="inlineStr">
        <is>
          <t>미확인</t>
        </is>
      </c>
      <c r="AJ278" s="22" t="inlineStr">
        <is>
          <t>미확인</t>
        </is>
      </c>
      <c r="AK278" s="22" t="inlineStr">
        <is>
          <t>미확인</t>
        </is>
      </c>
      <c r="AL278" s="22" t="inlineStr">
        <is>
          <t>미확인</t>
        </is>
      </c>
      <c r="AM278" s="22" t="inlineStr">
        <is>
          <t>미확인</t>
        </is>
      </c>
      <c r="AN278" s="22" t="inlineStr">
        <is>
          <t>미확인</t>
        </is>
      </c>
      <c r="AO278" s="17" t="inlineStr">
        <is>
          <t>C(부분확인)</t>
        </is>
      </c>
      <c r="AP278" s="17" t="inlineStr">
        <is>
          <t>Y</t>
        </is>
      </c>
      <c r="AQ278" s="17" t="n">
        <v>16</v>
      </c>
      <c r="AR278" s="28" t="inlineStr">
        <is>
          <t>Tier D</t>
        </is>
      </c>
      <c r="AS278" s="17" t="inlineStr">
        <is>
          <t>EDMS+QMS+LMS</t>
        </is>
      </c>
      <c r="AT278" s="17" t="inlineStr">
        <is>
          <t>다중 제조소/다수 판정서로 문서관리 복잡; 다중 제조소로 교육관리 대상 광범위</t>
        </is>
      </c>
      <c r="AU278" s="17" t="inlineStr">
        <is>
          <t>담당자 파악 후 접촉</t>
        </is>
      </c>
      <c r="AV278" s="17" t="inlineStr">
        <is>
          <t>GMP적합판정+KRX</t>
        </is>
      </c>
      <c r="AW278" s="17" t="inlineStr">
        <is>
          <t>2026-07-05</t>
        </is>
      </c>
    </row>
    <row r="279">
      <c r="A279" s="17" t="inlineStr">
        <is>
          <t>C278</t>
        </is>
      </c>
      <c r="B279" s="17" t="inlineStr">
        <is>
          <t>한성신약</t>
        </is>
      </c>
      <c r="C279" s="17" t="inlineStr">
        <is>
          <t>한성신약주식회사</t>
        </is>
      </c>
      <c r="D279" s="17" t="n">
        <v>1</v>
      </c>
      <c r="E279" s="17" t="n">
        <v>1</v>
      </c>
      <c r="F279" s="17" t="inlineStr"/>
      <c r="G279" s="17" t="inlineStr">
        <is>
          <t>Y</t>
        </is>
      </c>
      <c r="H279" s="17" t="inlineStr"/>
      <c r="I279" s="17" t="inlineStr"/>
      <c r="J279" s="24" t="n">
        <v>46654</v>
      </c>
      <c r="K279" s="17" t="inlineStr"/>
      <c r="L279" s="17" t="inlineStr"/>
      <c r="M279" s="17" t="inlineStr"/>
      <c r="N279" s="23" t="inlineStr"/>
      <c r="O279" s="17" t="inlineStr"/>
      <c r="P279" s="17" t="inlineStr"/>
      <c r="Q279" s="17" t="inlineStr">
        <is>
          <t>장세화</t>
        </is>
      </c>
      <c r="R279" s="17" t="inlineStr"/>
      <c r="S279" s="17" t="inlineStr"/>
      <c r="T279" s="17" t="inlineStr">
        <is>
          <t>031-988-0353</t>
        </is>
      </c>
      <c r="U279" s="17" t="inlineStr">
        <is>
          <t>제조소상세</t>
        </is>
      </c>
      <c r="V279" s="22" t="inlineStr">
        <is>
          <t>미확인</t>
        </is>
      </c>
      <c r="W279" s="22" t="inlineStr">
        <is>
          <t>미확인</t>
        </is>
      </c>
      <c r="X279" s="22" t="inlineStr">
        <is>
          <t>미확인</t>
        </is>
      </c>
      <c r="Y279" s="22" t="inlineStr">
        <is>
          <t>미확인</t>
        </is>
      </c>
      <c r="Z279" s="22" t="inlineStr">
        <is>
          <t>미확인</t>
        </is>
      </c>
      <c r="AA279" s="22" t="inlineStr">
        <is>
          <t>미확인</t>
        </is>
      </c>
      <c r="AB279" s="22" t="inlineStr">
        <is>
          <t>미확인</t>
        </is>
      </c>
      <c r="AC279" s="22" t="inlineStr">
        <is>
          <t>미확인</t>
        </is>
      </c>
      <c r="AD279" s="22" t="inlineStr">
        <is>
          <t>미확인</t>
        </is>
      </c>
      <c r="AE279" s="22" t="inlineStr">
        <is>
          <t>미확인</t>
        </is>
      </c>
      <c r="AF279" s="22" t="inlineStr">
        <is>
          <t>미확인</t>
        </is>
      </c>
      <c r="AG279" s="22" t="inlineStr">
        <is>
          <t>미확인</t>
        </is>
      </c>
      <c r="AH279" s="22" t="inlineStr">
        <is>
          <t>미확인</t>
        </is>
      </c>
      <c r="AI279" s="22" t="inlineStr">
        <is>
          <t>미확인</t>
        </is>
      </c>
      <c r="AJ279" s="22" t="inlineStr">
        <is>
          <t>미확인</t>
        </is>
      </c>
      <c r="AK279" s="22" t="inlineStr">
        <is>
          <t>미확인</t>
        </is>
      </c>
      <c r="AL279" s="22" t="inlineStr">
        <is>
          <t>미확인</t>
        </is>
      </c>
      <c r="AM279" s="22" t="inlineStr">
        <is>
          <t>미확인</t>
        </is>
      </c>
      <c r="AN279" s="22" t="inlineStr">
        <is>
          <t>미확인</t>
        </is>
      </c>
      <c r="AO279" s="17" t="inlineStr">
        <is>
          <t>C(부분확인)</t>
        </is>
      </c>
      <c r="AP279" s="17" t="inlineStr">
        <is>
          <t>Y</t>
        </is>
      </c>
      <c r="AQ279" s="17" t="n">
        <v>4</v>
      </c>
      <c r="AR279" s="28" t="inlineStr">
        <is>
          <t>Tier D</t>
        </is>
      </c>
      <c r="AS279" s="17" t="inlineStr">
        <is>
          <t>LIMS</t>
        </is>
      </c>
      <c r="AT279" s="17" t="inlineStr">
        <is>
          <t>원료 제조로 시험실 관리 필요</t>
        </is>
      </c>
      <c r="AU279" s="17" t="inlineStr">
        <is>
          <t>담당자 파악 후 접촉</t>
        </is>
      </c>
      <c r="AV279" s="17" t="inlineStr">
        <is>
          <t>GMP적합판정+KRX</t>
        </is>
      </c>
      <c r="AW279" s="17" t="inlineStr">
        <is>
          <t>2026-07-05</t>
        </is>
      </c>
    </row>
    <row r="280">
      <c r="A280" s="17" t="inlineStr">
        <is>
          <t>C279</t>
        </is>
      </c>
      <c r="B280" s="17" t="inlineStr">
        <is>
          <t>보령바이오파마</t>
        </is>
      </c>
      <c r="C280" s="17" t="inlineStr">
        <is>
          <t>(주)보령바이오파마</t>
        </is>
      </c>
      <c r="D280" s="17" t="n">
        <v>1</v>
      </c>
      <c r="E280" s="17" t="n">
        <v>1</v>
      </c>
      <c r="F280" s="17" t="inlineStr">
        <is>
          <t>Y</t>
        </is>
      </c>
      <c r="G280" s="17" t="inlineStr"/>
      <c r="H280" s="17" t="inlineStr">
        <is>
          <t>Y</t>
        </is>
      </c>
      <c r="I280" s="17" t="inlineStr"/>
      <c r="J280" s="24" t="n">
        <v>46642</v>
      </c>
      <c r="K280" s="17" t="inlineStr"/>
      <c r="L280" s="17" t="inlineStr"/>
      <c r="M280" s="17" t="inlineStr"/>
      <c r="N280" s="23" t="inlineStr"/>
      <c r="O280" s="17" t="inlineStr"/>
      <c r="P280" s="17" t="inlineStr"/>
      <c r="Q280" s="17" t="inlineStr">
        <is>
          <t>장홍두</t>
        </is>
      </c>
      <c r="R280" s="17" t="inlineStr"/>
      <c r="S280" s="17" t="inlineStr"/>
      <c r="T280" s="17" t="inlineStr">
        <is>
          <t>02-740-4204</t>
        </is>
      </c>
      <c r="U280" s="17" t="inlineStr">
        <is>
          <t>제조소상세</t>
        </is>
      </c>
      <c r="V280" s="22" t="inlineStr">
        <is>
          <t>미확인</t>
        </is>
      </c>
      <c r="W280" s="22" t="inlineStr">
        <is>
          <t>미확인</t>
        </is>
      </c>
      <c r="X280" s="22" t="inlineStr">
        <is>
          <t>미확인</t>
        </is>
      </c>
      <c r="Y280" s="22" t="inlineStr">
        <is>
          <t>미확인</t>
        </is>
      </c>
      <c r="Z280" s="22" t="inlineStr">
        <is>
          <t>미확인</t>
        </is>
      </c>
      <c r="AA280" s="22" t="inlineStr">
        <is>
          <t>미확인</t>
        </is>
      </c>
      <c r="AB280" s="22" t="inlineStr">
        <is>
          <t>미확인</t>
        </is>
      </c>
      <c r="AC280" s="22" t="inlineStr">
        <is>
          <t>미확인</t>
        </is>
      </c>
      <c r="AD280" s="22" t="inlineStr">
        <is>
          <t>미확인</t>
        </is>
      </c>
      <c r="AE280" s="22" t="inlineStr">
        <is>
          <t>미확인</t>
        </is>
      </c>
      <c r="AF280" s="22" t="inlineStr">
        <is>
          <t>미확인</t>
        </is>
      </c>
      <c r="AG280" s="22" t="inlineStr">
        <is>
          <t>미확인</t>
        </is>
      </c>
      <c r="AH280" s="22" t="inlineStr">
        <is>
          <t>미확인</t>
        </is>
      </c>
      <c r="AI280" s="22" t="inlineStr">
        <is>
          <t>미확인</t>
        </is>
      </c>
      <c r="AJ280" s="22" t="inlineStr">
        <is>
          <t>미확인</t>
        </is>
      </c>
      <c r="AK280" s="22" t="inlineStr">
        <is>
          <t>미확인</t>
        </is>
      </c>
      <c r="AL280" s="22" t="inlineStr">
        <is>
          <t>미확인</t>
        </is>
      </c>
      <c r="AM280" s="22" t="inlineStr">
        <is>
          <t>미확인</t>
        </is>
      </c>
      <c r="AN280" s="22" t="inlineStr">
        <is>
          <t>미확인</t>
        </is>
      </c>
      <c r="AO280" s="17" t="inlineStr">
        <is>
          <t>C(부분확인)</t>
        </is>
      </c>
      <c r="AP280" s="17" t="inlineStr">
        <is>
          <t>Y</t>
        </is>
      </c>
      <c r="AQ280" s="17" t="n">
        <v>12</v>
      </c>
      <c r="AR280" s="28" t="inlineStr">
        <is>
          <t>Tier D</t>
        </is>
      </c>
      <c r="AS280" s="17" t="inlineStr">
        <is>
          <t>QMS+LIMS</t>
        </is>
      </c>
      <c r="AT280" s="17" t="inlineStr">
        <is>
          <t>무균/바이오 제조로 품질관리 난도 높음</t>
        </is>
      </c>
      <c r="AU280" s="17" t="inlineStr">
        <is>
          <t>담당자 파악 후 접촉</t>
        </is>
      </c>
      <c r="AV280" s="17" t="inlineStr">
        <is>
          <t>GMP적합판정+KRX</t>
        </is>
      </c>
      <c r="AW280" s="17" t="inlineStr">
        <is>
          <t>2026-07-05</t>
        </is>
      </c>
    </row>
    <row r="281">
      <c r="A281" s="17" t="inlineStr">
        <is>
          <t>C280</t>
        </is>
      </c>
      <c r="B281" s="17" t="inlineStr">
        <is>
          <t>동광제약</t>
        </is>
      </c>
      <c r="C281" s="17" t="inlineStr">
        <is>
          <t>동광제약(주)</t>
        </is>
      </c>
      <c r="D281" s="17" t="n">
        <v>1</v>
      </c>
      <c r="E281" s="17" t="n">
        <v>1</v>
      </c>
      <c r="F281" s="17" t="inlineStr">
        <is>
          <t>Y</t>
        </is>
      </c>
      <c r="G281" s="17" t="inlineStr"/>
      <c r="H281" s="17" t="inlineStr">
        <is>
          <t>Y</t>
        </is>
      </c>
      <c r="I281" s="17" t="inlineStr"/>
      <c r="J281" s="24" t="n">
        <v>46642</v>
      </c>
      <c r="K281" s="17" t="inlineStr"/>
      <c r="L281" s="17" t="inlineStr"/>
      <c r="M281" s="17" t="inlineStr"/>
      <c r="N281" s="23" t="inlineStr"/>
      <c r="O281" s="17" t="inlineStr"/>
      <c r="P281" s="17" t="inlineStr"/>
      <c r="Q281" s="17" t="inlineStr">
        <is>
          <t>장만식</t>
        </is>
      </c>
      <c r="R281" s="17" t="inlineStr"/>
      <c r="S281" s="17" t="inlineStr"/>
      <c r="T281" s="17" t="inlineStr">
        <is>
          <t>02-776-7641</t>
        </is>
      </c>
      <c r="U281" s="17" t="inlineStr">
        <is>
          <t>제조소상세</t>
        </is>
      </c>
      <c r="V281" s="22" t="inlineStr">
        <is>
          <t>미확인</t>
        </is>
      </c>
      <c r="W281" s="22" t="inlineStr">
        <is>
          <t>미확인</t>
        </is>
      </c>
      <c r="X281" s="22" t="inlineStr">
        <is>
          <t>미확인</t>
        </is>
      </c>
      <c r="Y281" s="22" t="inlineStr">
        <is>
          <t>미확인</t>
        </is>
      </c>
      <c r="Z281" s="22" t="inlineStr">
        <is>
          <t>미확인</t>
        </is>
      </c>
      <c r="AA281" s="22" t="inlineStr">
        <is>
          <t>미확인</t>
        </is>
      </c>
      <c r="AB281" s="22" t="inlineStr">
        <is>
          <t>미확인</t>
        </is>
      </c>
      <c r="AC281" s="22" t="inlineStr">
        <is>
          <t>미확인</t>
        </is>
      </c>
      <c r="AD281" s="22" t="inlineStr">
        <is>
          <t>미확인</t>
        </is>
      </c>
      <c r="AE281" s="22" t="inlineStr">
        <is>
          <t>미확인</t>
        </is>
      </c>
      <c r="AF281" s="22" t="inlineStr">
        <is>
          <t>미확인</t>
        </is>
      </c>
      <c r="AG281" s="22" t="inlineStr">
        <is>
          <t>미확인</t>
        </is>
      </c>
      <c r="AH281" s="22" t="inlineStr">
        <is>
          <t>미확인</t>
        </is>
      </c>
      <c r="AI281" s="22" t="inlineStr">
        <is>
          <t>미확인</t>
        </is>
      </c>
      <c r="AJ281" s="22" t="inlineStr">
        <is>
          <t>미확인</t>
        </is>
      </c>
      <c r="AK281" s="22" t="inlineStr">
        <is>
          <t>미확인</t>
        </is>
      </c>
      <c r="AL281" s="22" t="inlineStr">
        <is>
          <t>미확인</t>
        </is>
      </c>
      <c r="AM281" s="22" t="inlineStr">
        <is>
          <t>미확인</t>
        </is>
      </c>
      <c r="AN281" s="22" t="inlineStr">
        <is>
          <t>미확인</t>
        </is>
      </c>
      <c r="AO281" s="17" t="inlineStr">
        <is>
          <t>C(부분확인)</t>
        </is>
      </c>
      <c r="AP281" s="17" t="inlineStr">
        <is>
          <t>Y</t>
        </is>
      </c>
      <c r="AQ281" s="17" t="n">
        <v>12</v>
      </c>
      <c r="AR281" s="28" t="inlineStr">
        <is>
          <t>Tier D</t>
        </is>
      </c>
      <c r="AS281" s="17" t="inlineStr">
        <is>
          <t>QMS+LIMS</t>
        </is>
      </c>
      <c r="AT281" s="17" t="inlineStr">
        <is>
          <t>무균/바이오 제조로 품질관리 난도 높음</t>
        </is>
      </c>
      <c r="AU281" s="17" t="inlineStr">
        <is>
          <t>담당자 파악 후 접촉</t>
        </is>
      </c>
      <c r="AV281" s="17" t="inlineStr">
        <is>
          <t>GMP적합판정+KRX</t>
        </is>
      </c>
      <c r="AW281" s="17" t="inlineStr">
        <is>
          <t>2026-07-05</t>
        </is>
      </c>
    </row>
    <row r="282">
      <c r="A282" s="17" t="inlineStr">
        <is>
          <t>C281</t>
        </is>
      </c>
      <c r="B282" s="17" t="inlineStr">
        <is>
          <t>진바이오팜</t>
        </is>
      </c>
      <c r="C282" s="17" t="inlineStr">
        <is>
          <t>주식회사진바이오팜</t>
        </is>
      </c>
      <c r="D282" s="17" t="n">
        <v>1</v>
      </c>
      <c r="E282" s="17" t="n">
        <v>1</v>
      </c>
      <c r="F282" s="17" t="inlineStr"/>
      <c r="G282" s="17" t="inlineStr">
        <is>
          <t>Y</t>
        </is>
      </c>
      <c r="H282" s="17" t="inlineStr"/>
      <c r="I282" s="17" t="inlineStr"/>
      <c r="J282" s="24" t="n">
        <v>46635</v>
      </c>
      <c r="K282" s="17" t="inlineStr"/>
      <c r="L282" s="17" t="inlineStr"/>
      <c r="M282" s="17" t="inlineStr"/>
      <c r="N282" s="23" t="inlineStr"/>
      <c r="O282" s="17" t="inlineStr"/>
      <c r="P282" s="17" t="inlineStr"/>
      <c r="Q282" s="17" t="inlineStr">
        <is>
          <t>김영숙</t>
        </is>
      </c>
      <c r="R282" s="17" t="inlineStr"/>
      <c r="S282" s="17" t="inlineStr"/>
      <c r="T282" s="17" t="inlineStr">
        <is>
          <t>031-686-7736</t>
        </is>
      </c>
      <c r="U282" s="17" t="inlineStr">
        <is>
          <t>제조소상세</t>
        </is>
      </c>
      <c r="V282" s="22" t="inlineStr">
        <is>
          <t>미확인</t>
        </is>
      </c>
      <c r="W282" s="22" t="inlineStr">
        <is>
          <t>미확인</t>
        </is>
      </c>
      <c r="X282" s="22" t="inlineStr">
        <is>
          <t>미확인</t>
        </is>
      </c>
      <c r="Y282" s="22" t="inlineStr">
        <is>
          <t>미확인</t>
        </is>
      </c>
      <c r="Z282" s="22" t="inlineStr">
        <is>
          <t>미확인</t>
        </is>
      </c>
      <c r="AA282" s="22" t="inlineStr">
        <is>
          <t>미확인</t>
        </is>
      </c>
      <c r="AB282" s="22" t="inlineStr">
        <is>
          <t>미확인</t>
        </is>
      </c>
      <c r="AC282" s="22" t="inlineStr">
        <is>
          <t>미확인</t>
        </is>
      </c>
      <c r="AD282" s="22" t="inlineStr">
        <is>
          <t>미확인</t>
        </is>
      </c>
      <c r="AE282" s="22" t="inlineStr">
        <is>
          <t>미확인</t>
        </is>
      </c>
      <c r="AF282" s="22" t="inlineStr">
        <is>
          <t>미확인</t>
        </is>
      </c>
      <c r="AG282" s="22" t="inlineStr">
        <is>
          <t>미확인</t>
        </is>
      </c>
      <c r="AH282" s="22" t="inlineStr">
        <is>
          <t>미확인</t>
        </is>
      </c>
      <c r="AI282" s="22" t="inlineStr">
        <is>
          <t>미확인</t>
        </is>
      </c>
      <c r="AJ282" s="22" t="inlineStr">
        <is>
          <t>미확인</t>
        </is>
      </c>
      <c r="AK282" s="22" t="inlineStr">
        <is>
          <t>미확인</t>
        </is>
      </c>
      <c r="AL282" s="22" t="inlineStr">
        <is>
          <t>미확인</t>
        </is>
      </c>
      <c r="AM282" s="22" t="inlineStr">
        <is>
          <t>미확인</t>
        </is>
      </c>
      <c r="AN282" s="22" t="inlineStr">
        <is>
          <t>미확인</t>
        </is>
      </c>
      <c r="AO282" s="17" t="inlineStr">
        <is>
          <t>C(부분확인)</t>
        </is>
      </c>
      <c r="AP282" s="17" t="inlineStr">
        <is>
          <t>Y</t>
        </is>
      </c>
      <c r="AQ282" s="17" t="n">
        <v>4</v>
      </c>
      <c r="AR282" s="28" t="inlineStr">
        <is>
          <t>Tier D</t>
        </is>
      </c>
      <c r="AS282" s="17" t="inlineStr">
        <is>
          <t>LIMS</t>
        </is>
      </c>
      <c r="AT282" s="17" t="inlineStr">
        <is>
          <t>원료 제조로 시험실 관리 필요</t>
        </is>
      </c>
      <c r="AU282" s="17" t="inlineStr">
        <is>
          <t>담당자 파악 후 접촉</t>
        </is>
      </c>
      <c r="AV282" s="17" t="inlineStr">
        <is>
          <t>GMP적합판정+KRX</t>
        </is>
      </c>
      <c r="AW282" s="17" t="inlineStr">
        <is>
          <t>2026-07-05</t>
        </is>
      </c>
    </row>
    <row r="283">
      <c r="A283" s="17" t="inlineStr">
        <is>
          <t>C282</t>
        </is>
      </c>
      <c r="B283" s="17" t="inlineStr">
        <is>
          <t>지씨셀</t>
        </is>
      </c>
      <c r="C283" s="17" t="inlineStr">
        <is>
          <t>주식회사지씨셀</t>
        </is>
      </c>
      <c r="D283" s="17" t="n">
        <v>1</v>
      </c>
      <c r="E283" s="17" t="n">
        <v>1</v>
      </c>
      <c r="F283" s="17" t="inlineStr">
        <is>
          <t>Y</t>
        </is>
      </c>
      <c r="G283" s="17" t="inlineStr"/>
      <c r="H283" s="17" t="inlineStr">
        <is>
          <t>Y</t>
        </is>
      </c>
      <c r="I283" s="17" t="inlineStr">
        <is>
          <t>Y</t>
        </is>
      </c>
      <c r="J283" s="24" t="n">
        <v>46634</v>
      </c>
      <c r="K283" s="17" t="inlineStr"/>
      <c r="L283" s="17" t="inlineStr">
        <is>
          <t>Y</t>
        </is>
      </c>
      <c r="M283" s="17" t="inlineStr">
        <is>
          <t>코스닥</t>
        </is>
      </c>
      <c r="N283" s="23" t="inlineStr">
        <is>
          <t>144510</t>
        </is>
      </c>
      <c r="O283" s="17" t="inlineStr">
        <is>
          <t>그외 기타 전문, 과학 및 기술 서비스업</t>
        </is>
      </c>
      <c r="P283" s="17" t="inlineStr">
        <is>
          <t>세포치료제, 검체검사서비스, 제대혈은행</t>
        </is>
      </c>
      <c r="Q283" s="17" t="inlineStr">
        <is>
          <t>원성용, 김재왕</t>
        </is>
      </c>
      <c r="R283" s="17" t="inlineStr">
        <is>
          <t>http://www.gclabcell.com</t>
        </is>
      </c>
      <c r="S283" s="17" t="inlineStr">
        <is>
          <t>경기도</t>
        </is>
      </c>
      <c r="T283" s="17" t="inlineStr">
        <is>
          <t>미확인</t>
        </is>
      </c>
      <c r="U283" s="17" t="inlineStr">
        <is>
          <t>미확인</t>
        </is>
      </c>
      <c r="V283" s="22" t="inlineStr">
        <is>
          <t>미확인</t>
        </is>
      </c>
      <c r="W283" s="22" t="inlineStr">
        <is>
          <t>미확인</t>
        </is>
      </c>
      <c r="X283" s="22" t="inlineStr">
        <is>
          <t>미확인</t>
        </is>
      </c>
      <c r="Y283" s="22" t="inlineStr">
        <is>
          <t>미확인</t>
        </is>
      </c>
      <c r="Z283" s="22" t="inlineStr">
        <is>
          <t>미확인</t>
        </is>
      </c>
      <c r="AA283" s="22" t="inlineStr">
        <is>
          <t>미확인</t>
        </is>
      </c>
      <c r="AB283" s="22" t="inlineStr">
        <is>
          <t>미확인</t>
        </is>
      </c>
      <c r="AC283" s="22" t="inlineStr">
        <is>
          <t>미확인</t>
        </is>
      </c>
      <c r="AD283" s="22" t="inlineStr">
        <is>
          <t>미확인</t>
        </is>
      </c>
      <c r="AE283" s="22" t="inlineStr">
        <is>
          <t>미확인</t>
        </is>
      </c>
      <c r="AF283" s="22" t="inlineStr">
        <is>
          <t>미확인</t>
        </is>
      </c>
      <c r="AG283" s="22" t="inlineStr">
        <is>
          <t>미확인</t>
        </is>
      </c>
      <c r="AH283" s="22" t="inlineStr">
        <is>
          <t>미확인</t>
        </is>
      </c>
      <c r="AI283" s="22" t="inlineStr">
        <is>
          <t>미확인</t>
        </is>
      </c>
      <c r="AJ283" s="22" t="inlineStr">
        <is>
          <t>미확인</t>
        </is>
      </c>
      <c r="AK283" s="22" t="inlineStr">
        <is>
          <t>미확인</t>
        </is>
      </c>
      <c r="AL283" s="22" t="inlineStr">
        <is>
          <t>미확인</t>
        </is>
      </c>
      <c r="AM283" s="22" t="inlineStr">
        <is>
          <t>미확인</t>
        </is>
      </c>
      <c r="AN283" s="22" t="inlineStr">
        <is>
          <t>미확인</t>
        </is>
      </c>
      <c r="AO283" s="17" t="inlineStr">
        <is>
          <t>C(부분확인)</t>
        </is>
      </c>
      <c r="AP283" s="17" t="inlineStr">
        <is>
          <t>Y</t>
        </is>
      </c>
      <c r="AQ283" s="17" t="n">
        <v>19</v>
      </c>
      <c r="AR283" s="28" t="inlineStr">
        <is>
          <t>Tier D</t>
        </is>
      </c>
      <c r="AS283" s="17" t="inlineStr">
        <is>
          <t>QMS+LIMS</t>
        </is>
      </c>
      <c r="AT283" s="17" t="inlineStr">
        <is>
          <t>무균/바이오 제조로 품질관리 난도 높음</t>
        </is>
      </c>
      <c r="AU283" s="17" t="inlineStr">
        <is>
          <t>담당자 파악 후 접촉</t>
        </is>
      </c>
      <c r="AV283" s="17" t="inlineStr">
        <is>
          <t>GMP적합판정+KRX</t>
        </is>
      </c>
      <c r="AW283" s="17" t="inlineStr">
        <is>
          <t>2026-07-05</t>
        </is>
      </c>
    </row>
    <row r="284">
      <c r="A284" s="17" t="inlineStr">
        <is>
          <t>C283</t>
        </is>
      </c>
      <c r="B284" s="17" t="inlineStr">
        <is>
          <t>라이트팜텍</t>
        </is>
      </c>
      <c r="C284" s="17" t="inlineStr">
        <is>
          <t>(주)라이트팜텍</t>
        </is>
      </c>
      <c r="D284" s="17" t="n">
        <v>1</v>
      </c>
      <c r="E284" s="17" t="n">
        <v>1</v>
      </c>
      <c r="F284" s="17" t="inlineStr">
        <is>
          <t>Y</t>
        </is>
      </c>
      <c r="G284" s="17" t="inlineStr"/>
      <c r="H284" s="17" t="inlineStr">
        <is>
          <t>Y</t>
        </is>
      </c>
      <c r="I284" s="17" t="inlineStr"/>
      <c r="J284" s="24" t="n">
        <v>46631</v>
      </c>
      <c r="K284" s="17" t="inlineStr"/>
      <c r="L284" s="17" t="inlineStr"/>
      <c r="M284" s="17" t="inlineStr"/>
      <c r="N284" s="23" t="inlineStr"/>
      <c r="O284" s="17" t="inlineStr"/>
      <c r="P284" s="17" t="inlineStr"/>
      <c r="Q284" s="17" t="inlineStr">
        <is>
          <t>김철주</t>
        </is>
      </c>
      <c r="R284" s="17" t="inlineStr"/>
      <c r="S284" s="17" t="inlineStr"/>
      <c r="T284" s="17" t="inlineStr">
        <is>
          <t>02-801-8570</t>
        </is>
      </c>
      <c r="U284" s="17" t="inlineStr">
        <is>
          <t>제조소상세</t>
        </is>
      </c>
      <c r="V284" s="22" t="inlineStr">
        <is>
          <t>미확인</t>
        </is>
      </c>
      <c r="W284" s="22" t="inlineStr">
        <is>
          <t>미확인</t>
        </is>
      </c>
      <c r="X284" s="22" t="inlineStr">
        <is>
          <t>미확인</t>
        </is>
      </c>
      <c r="Y284" s="22" t="inlineStr">
        <is>
          <t>미확인</t>
        </is>
      </c>
      <c r="Z284" s="22" t="inlineStr">
        <is>
          <t>미확인</t>
        </is>
      </c>
      <c r="AA284" s="22" t="inlineStr">
        <is>
          <t>미확인</t>
        </is>
      </c>
      <c r="AB284" s="22" t="inlineStr">
        <is>
          <t>미확인</t>
        </is>
      </c>
      <c r="AC284" s="22" t="inlineStr">
        <is>
          <t>미확인</t>
        </is>
      </c>
      <c r="AD284" s="22" t="inlineStr">
        <is>
          <t>미확인</t>
        </is>
      </c>
      <c r="AE284" s="22" t="inlineStr">
        <is>
          <t>미확인</t>
        </is>
      </c>
      <c r="AF284" s="22" t="inlineStr">
        <is>
          <t>미확인</t>
        </is>
      </c>
      <c r="AG284" s="22" t="inlineStr">
        <is>
          <t>미확인</t>
        </is>
      </c>
      <c r="AH284" s="22" t="inlineStr">
        <is>
          <t>미확인</t>
        </is>
      </c>
      <c r="AI284" s="22" t="inlineStr">
        <is>
          <t>미확인</t>
        </is>
      </c>
      <c r="AJ284" s="22" t="inlineStr">
        <is>
          <t>미확인</t>
        </is>
      </c>
      <c r="AK284" s="22" t="inlineStr">
        <is>
          <t>미확인</t>
        </is>
      </c>
      <c r="AL284" s="22" t="inlineStr">
        <is>
          <t>미확인</t>
        </is>
      </c>
      <c r="AM284" s="22" t="inlineStr">
        <is>
          <t>미확인</t>
        </is>
      </c>
      <c r="AN284" s="22" t="inlineStr">
        <is>
          <t>미확인</t>
        </is>
      </c>
      <c r="AO284" s="17" t="inlineStr">
        <is>
          <t>C(부분확인)</t>
        </is>
      </c>
      <c r="AP284" s="17" t="inlineStr">
        <is>
          <t>Y</t>
        </is>
      </c>
      <c r="AQ284" s="17" t="n">
        <v>12</v>
      </c>
      <c r="AR284" s="28" t="inlineStr">
        <is>
          <t>Tier D</t>
        </is>
      </c>
      <c r="AS284" s="17" t="inlineStr">
        <is>
          <t>QMS+LIMS</t>
        </is>
      </c>
      <c r="AT284" s="17" t="inlineStr">
        <is>
          <t>무균/바이오 제조로 품질관리 난도 높음</t>
        </is>
      </c>
      <c r="AU284" s="17" t="inlineStr">
        <is>
          <t>담당자 파악 후 접촉</t>
        </is>
      </c>
      <c r="AV284" s="17" t="inlineStr">
        <is>
          <t>GMP적합판정+KRX</t>
        </is>
      </c>
      <c r="AW284" s="17" t="inlineStr">
        <is>
          <t>2026-07-05</t>
        </is>
      </c>
    </row>
    <row r="285">
      <c r="A285" s="17" t="inlineStr">
        <is>
          <t>C284</t>
        </is>
      </c>
      <c r="B285" s="17" t="inlineStr">
        <is>
          <t>한미정밀화학</t>
        </is>
      </c>
      <c r="C285" s="17" t="inlineStr">
        <is>
          <t>한미정밀화학(주)</t>
        </is>
      </c>
      <c r="D285" s="17" t="n">
        <v>1</v>
      </c>
      <c r="E285" s="17" t="n">
        <v>1</v>
      </c>
      <c r="F285" s="17" t="inlineStr"/>
      <c r="G285" s="17" t="inlineStr">
        <is>
          <t>Y</t>
        </is>
      </c>
      <c r="H285" s="17" t="inlineStr">
        <is>
          <t>Y</t>
        </is>
      </c>
      <c r="I285" s="17" t="inlineStr"/>
      <c r="J285" s="24" t="n">
        <v>46628</v>
      </c>
      <c r="K285" s="17" t="inlineStr"/>
      <c r="L285" s="17" t="inlineStr"/>
      <c r="M285" s="17" t="inlineStr"/>
      <c r="N285" s="23" t="inlineStr"/>
      <c r="O285" s="17" t="inlineStr"/>
      <c r="P285" s="17" t="inlineStr"/>
      <c r="Q285" s="17" t="inlineStr">
        <is>
          <t>장영길</t>
        </is>
      </c>
      <c r="R285" s="17" t="inlineStr"/>
      <c r="S285" s="17" t="inlineStr"/>
      <c r="T285" s="17" t="inlineStr">
        <is>
          <t>미확인</t>
        </is>
      </c>
      <c r="U285" s="17" t="inlineStr">
        <is>
          <t>미확인</t>
        </is>
      </c>
      <c r="V285" s="22" t="inlineStr">
        <is>
          <t>미확인</t>
        </is>
      </c>
      <c r="W285" s="22" t="inlineStr">
        <is>
          <t>미확인</t>
        </is>
      </c>
      <c r="X285" s="22" t="inlineStr">
        <is>
          <t>미확인</t>
        </is>
      </c>
      <c r="Y285" s="22" t="inlineStr">
        <is>
          <t>미확인</t>
        </is>
      </c>
      <c r="Z285" s="22" t="inlineStr">
        <is>
          <t>미확인</t>
        </is>
      </c>
      <c r="AA285" s="22" t="inlineStr">
        <is>
          <t>미확인</t>
        </is>
      </c>
      <c r="AB285" s="22" t="inlineStr">
        <is>
          <t>미확인</t>
        </is>
      </c>
      <c r="AC285" s="22" t="inlineStr">
        <is>
          <t>미확인</t>
        </is>
      </c>
      <c r="AD285" s="22" t="inlineStr">
        <is>
          <t>미확인</t>
        </is>
      </c>
      <c r="AE285" s="22" t="inlineStr">
        <is>
          <t>미확인</t>
        </is>
      </c>
      <c r="AF285" s="22" t="inlineStr">
        <is>
          <t>미확인</t>
        </is>
      </c>
      <c r="AG285" s="22" t="inlineStr">
        <is>
          <t>미확인</t>
        </is>
      </c>
      <c r="AH285" s="22" t="inlineStr">
        <is>
          <t>미확인</t>
        </is>
      </c>
      <c r="AI285" s="22" t="inlineStr">
        <is>
          <t>미확인</t>
        </is>
      </c>
      <c r="AJ285" s="22" t="inlineStr">
        <is>
          <t>미확인</t>
        </is>
      </c>
      <c r="AK285" s="22" t="inlineStr">
        <is>
          <t>미확인</t>
        </is>
      </c>
      <c r="AL285" s="22" t="inlineStr">
        <is>
          <t>미확인</t>
        </is>
      </c>
      <c r="AM285" s="22" t="inlineStr">
        <is>
          <t>미확인</t>
        </is>
      </c>
      <c r="AN285" s="22" t="inlineStr">
        <is>
          <t>미확인</t>
        </is>
      </c>
      <c r="AO285" s="17" t="inlineStr">
        <is>
          <t>C(부분확인)</t>
        </is>
      </c>
      <c r="AP285" s="17" t="inlineStr">
        <is>
          <t>Y</t>
        </is>
      </c>
      <c r="AQ285" s="17" t="n">
        <v>12</v>
      </c>
      <c r="AR285" s="28" t="inlineStr">
        <is>
          <t>Tier D</t>
        </is>
      </c>
      <c r="AS285" s="17" t="inlineStr">
        <is>
          <t>QMS+LIMS</t>
        </is>
      </c>
      <c r="AT285" s="17" t="inlineStr">
        <is>
          <t>무균/바이오 제조로 품질관리 난도 높음; 원료 제조로 시험실 관리 필요</t>
        </is>
      </c>
      <c r="AU285" s="17" t="inlineStr">
        <is>
          <t>담당자 파악 후 접촉</t>
        </is>
      </c>
      <c r="AV285" s="17" t="inlineStr">
        <is>
          <t>GMP적합판정+KRX</t>
        </is>
      </c>
      <c r="AW285" s="17" t="inlineStr">
        <is>
          <t>2026-07-05</t>
        </is>
      </c>
    </row>
    <row r="286">
      <c r="A286" s="17" t="inlineStr">
        <is>
          <t>C285</t>
        </is>
      </c>
      <c r="B286" s="17" t="inlineStr">
        <is>
          <t>넥스팜코리아</t>
        </is>
      </c>
      <c r="C286" s="17" t="inlineStr">
        <is>
          <t>(주)넥스팜코리아</t>
        </is>
      </c>
      <c r="D286" s="17" t="n">
        <v>1</v>
      </c>
      <c r="E286" s="17" t="n">
        <v>1</v>
      </c>
      <c r="F286" s="17" t="inlineStr">
        <is>
          <t>Y</t>
        </is>
      </c>
      <c r="G286" s="17" t="inlineStr"/>
      <c r="H286" s="17" t="inlineStr"/>
      <c r="I286" s="17" t="inlineStr"/>
      <c r="J286" s="24" t="n">
        <v>46627</v>
      </c>
      <c r="K286" s="17" t="inlineStr"/>
      <c r="L286" s="17" t="inlineStr"/>
      <c r="M286" s="17" t="inlineStr"/>
      <c r="N286" s="23" t="inlineStr"/>
      <c r="O286" s="17" t="inlineStr"/>
      <c r="P286" s="17" t="inlineStr"/>
      <c r="Q286" s="17" t="inlineStr">
        <is>
          <t>김동필</t>
        </is>
      </c>
      <c r="R286" s="17" t="inlineStr"/>
      <c r="S286" s="17" t="inlineStr"/>
      <c r="T286" s="17" t="inlineStr">
        <is>
          <t>070-4346-1209</t>
        </is>
      </c>
      <c r="U286" s="17" t="inlineStr">
        <is>
          <t>제조소상세</t>
        </is>
      </c>
      <c r="V286" s="22" t="inlineStr">
        <is>
          <t>미확인</t>
        </is>
      </c>
      <c r="W286" s="22" t="inlineStr">
        <is>
          <t>미확인</t>
        </is>
      </c>
      <c r="X286" s="22" t="inlineStr">
        <is>
          <t>미확인</t>
        </is>
      </c>
      <c r="Y286" s="22" t="inlineStr">
        <is>
          <t>미확인</t>
        </is>
      </c>
      <c r="Z286" s="22" t="inlineStr">
        <is>
          <t>미확인</t>
        </is>
      </c>
      <c r="AA286" s="22" t="inlineStr">
        <is>
          <t>미확인</t>
        </is>
      </c>
      <c r="AB286" s="22" t="inlineStr">
        <is>
          <t>미확인</t>
        </is>
      </c>
      <c r="AC286" s="22" t="inlineStr">
        <is>
          <t>미확인</t>
        </is>
      </c>
      <c r="AD286" s="22" t="inlineStr">
        <is>
          <t>미확인</t>
        </is>
      </c>
      <c r="AE286" s="22" t="inlineStr">
        <is>
          <t>미확인</t>
        </is>
      </c>
      <c r="AF286" s="22" t="inlineStr">
        <is>
          <t>미확인</t>
        </is>
      </c>
      <c r="AG286" s="22" t="inlineStr">
        <is>
          <t>미확인</t>
        </is>
      </c>
      <c r="AH286" s="22" t="inlineStr">
        <is>
          <t>미확인</t>
        </is>
      </c>
      <c r="AI286" s="22" t="inlineStr">
        <is>
          <t>미확인</t>
        </is>
      </c>
      <c r="AJ286" s="22" t="inlineStr">
        <is>
          <t>미확인</t>
        </is>
      </c>
      <c r="AK286" s="22" t="inlineStr">
        <is>
          <t>미확인</t>
        </is>
      </c>
      <c r="AL286" s="22" t="inlineStr">
        <is>
          <t>미확인</t>
        </is>
      </c>
      <c r="AM286" s="22" t="inlineStr">
        <is>
          <t>미확인</t>
        </is>
      </c>
      <c r="AN286" s="22" t="inlineStr">
        <is>
          <t>미확인</t>
        </is>
      </c>
      <c r="AO286" s="17" t="inlineStr">
        <is>
          <t>C(부분확인)</t>
        </is>
      </c>
      <c r="AP286" s="17" t="inlineStr">
        <is>
          <t>Y</t>
        </is>
      </c>
      <c r="AQ286" s="17" t="n">
        <v>4</v>
      </c>
      <c r="AR286" s="28" t="inlineStr">
        <is>
          <t>Tier D</t>
        </is>
      </c>
      <c r="AS286" s="17" t="inlineStr">
        <is>
          <t>EDMS</t>
        </is>
      </c>
      <c r="AT286" s="17" t="inlineStr">
        <is>
          <t>기본 문서관리 수요</t>
        </is>
      </c>
      <c r="AU286" s="17" t="inlineStr">
        <is>
          <t>담당자 파악 후 접촉</t>
        </is>
      </c>
      <c r="AV286" s="17" t="inlineStr">
        <is>
          <t>GMP적합판정+KRX</t>
        </is>
      </c>
      <c r="AW286" s="17" t="inlineStr">
        <is>
          <t>2026-07-05</t>
        </is>
      </c>
    </row>
    <row r="287">
      <c r="A287" s="17" t="inlineStr">
        <is>
          <t>C286</t>
        </is>
      </c>
      <c r="B287" s="17" t="inlineStr">
        <is>
          <t>한창메딕</t>
        </is>
      </c>
      <c r="C287" s="17" t="inlineStr">
        <is>
          <t>(주)한창메딕</t>
        </is>
      </c>
      <c r="D287" s="17" t="n">
        <v>2</v>
      </c>
      <c r="E287" s="17" t="n">
        <v>2</v>
      </c>
      <c r="F287" s="17" t="inlineStr">
        <is>
          <t>Y</t>
        </is>
      </c>
      <c r="G287" s="17" t="inlineStr"/>
      <c r="H287" s="17" t="inlineStr"/>
      <c r="I287" s="17" t="inlineStr"/>
      <c r="J287" s="24" t="n">
        <v>46550</v>
      </c>
      <c r="K287" s="17" t="inlineStr"/>
      <c r="L287" s="17" t="inlineStr"/>
      <c r="M287" s="17" t="inlineStr"/>
      <c r="N287" s="23" t="inlineStr"/>
      <c r="O287" s="17" t="inlineStr"/>
      <c r="P287" s="17" t="inlineStr"/>
      <c r="Q287" s="17" t="inlineStr">
        <is>
          <t>한경준</t>
        </is>
      </c>
      <c r="R287" s="17" t="inlineStr"/>
      <c r="S287" s="17" t="inlineStr"/>
      <c r="T287" s="17" t="inlineStr">
        <is>
          <t>041-547-8805</t>
        </is>
      </c>
      <c r="U287" s="17" t="inlineStr">
        <is>
          <t>제조소상세</t>
        </is>
      </c>
      <c r="V287" s="22" t="inlineStr">
        <is>
          <t>미확인</t>
        </is>
      </c>
      <c r="W287" s="22" t="inlineStr">
        <is>
          <t>미확인</t>
        </is>
      </c>
      <c r="X287" s="22" t="inlineStr">
        <is>
          <t>미확인</t>
        </is>
      </c>
      <c r="Y287" s="22" t="inlineStr">
        <is>
          <t>미확인</t>
        </is>
      </c>
      <c r="Z287" s="22" t="inlineStr">
        <is>
          <t>미확인</t>
        </is>
      </c>
      <c r="AA287" s="22" t="inlineStr">
        <is>
          <t>미확인</t>
        </is>
      </c>
      <c r="AB287" s="22" t="inlineStr">
        <is>
          <t>미확인</t>
        </is>
      </c>
      <c r="AC287" s="22" t="inlineStr">
        <is>
          <t>미확인</t>
        </is>
      </c>
      <c r="AD287" s="22" t="inlineStr">
        <is>
          <t>미확인</t>
        </is>
      </c>
      <c r="AE287" s="22" t="inlineStr">
        <is>
          <t>미확인</t>
        </is>
      </c>
      <c r="AF287" s="22" t="inlineStr">
        <is>
          <t>미확인</t>
        </is>
      </c>
      <c r="AG287" s="22" t="inlineStr">
        <is>
          <t>미확인</t>
        </is>
      </c>
      <c r="AH287" s="22" t="inlineStr">
        <is>
          <t>미확인</t>
        </is>
      </c>
      <c r="AI287" s="22" t="inlineStr">
        <is>
          <t>미확인</t>
        </is>
      </c>
      <c r="AJ287" s="22" t="inlineStr">
        <is>
          <t>미확인</t>
        </is>
      </c>
      <c r="AK287" s="22" t="inlineStr">
        <is>
          <t>미확인</t>
        </is>
      </c>
      <c r="AL287" s="22" t="inlineStr">
        <is>
          <t>미확인</t>
        </is>
      </c>
      <c r="AM287" s="22" t="inlineStr">
        <is>
          <t>미확인</t>
        </is>
      </c>
      <c r="AN287" s="22" t="inlineStr">
        <is>
          <t>미확인</t>
        </is>
      </c>
      <c r="AO287" s="17" t="inlineStr">
        <is>
          <t>C(부분확인)</t>
        </is>
      </c>
      <c r="AP287" s="17" t="inlineStr">
        <is>
          <t>Y</t>
        </is>
      </c>
      <c r="AQ287" s="17" t="n">
        <v>11</v>
      </c>
      <c r="AR287" s="28" t="inlineStr">
        <is>
          <t>Tier D</t>
        </is>
      </c>
      <c r="AS287" s="17" t="inlineStr">
        <is>
          <t>EDMS+QMS+LMS</t>
        </is>
      </c>
      <c r="AT287" s="17" t="inlineStr">
        <is>
          <t>다중 제조소/다수 판정서로 문서관리 복잡; 다중 제조소로 교육관리 대상 광범위</t>
        </is>
      </c>
      <c r="AU287" s="17" t="inlineStr">
        <is>
          <t>담당자 파악 후 접촉</t>
        </is>
      </c>
      <c r="AV287" s="17" t="inlineStr">
        <is>
          <t>GMP적합판정+KRX</t>
        </is>
      </c>
      <c r="AW287" s="17" t="inlineStr">
        <is>
          <t>2026-07-05</t>
        </is>
      </c>
    </row>
    <row r="288">
      <c r="A288" s="17" t="inlineStr">
        <is>
          <t>C287</t>
        </is>
      </c>
      <c r="B288" s="17" t="inlineStr">
        <is>
          <t>알파제약</t>
        </is>
      </c>
      <c r="C288" s="17" t="inlineStr">
        <is>
          <t>알파제약(주)</t>
        </is>
      </c>
      <c r="D288" s="17" t="n">
        <v>1</v>
      </c>
      <c r="E288" s="17" t="n">
        <v>1</v>
      </c>
      <c r="F288" s="17" t="inlineStr">
        <is>
          <t>Y</t>
        </is>
      </c>
      <c r="G288" s="17" t="inlineStr"/>
      <c r="H288" s="17" t="inlineStr"/>
      <c r="I288" s="17" t="inlineStr"/>
      <c r="J288" s="24" t="n">
        <v>46612</v>
      </c>
      <c r="K288" s="17" t="inlineStr"/>
      <c r="L288" s="17" t="inlineStr"/>
      <c r="M288" s="17" t="inlineStr"/>
      <c r="N288" s="23" t="inlineStr"/>
      <c r="O288" s="17" t="inlineStr"/>
      <c r="P288" s="17" t="inlineStr"/>
      <c r="Q288" s="17" t="inlineStr">
        <is>
          <t>서지나</t>
        </is>
      </c>
      <c r="R288" s="17" t="inlineStr"/>
      <c r="S288" s="17" t="inlineStr"/>
      <c r="T288" s="17" t="inlineStr">
        <is>
          <t>054-552-5381</t>
        </is>
      </c>
      <c r="U288" s="17" t="inlineStr">
        <is>
          <t>제조소상세</t>
        </is>
      </c>
      <c r="V288" s="22" t="inlineStr">
        <is>
          <t>미확인</t>
        </is>
      </c>
      <c r="W288" s="22" t="inlineStr">
        <is>
          <t>미확인</t>
        </is>
      </c>
      <c r="X288" s="22" t="inlineStr">
        <is>
          <t>미확인</t>
        </is>
      </c>
      <c r="Y288" s="22" t="inlineStr">
        <is>
          <t>미확인</t>
        </is>
      </c>
      <c r="Z288" s="22" t="inlineStr">
        <is>
          <t>미확인</t>
        </is>
      </c>
      <c r="AA288" s="22" t="inlineStr">
        <is>
          <t>미확인</t>
        </is>
      </c>
      <c r="AB288" s="22" t="inlineStr">
        <is>
          <t>미확인</t>
        </is>
      </c>
      <c r="AC288" s="22" t="inlineStr">
        <is>
          <t>미확인</t>
        </is>
      </c>
      <c r="AD288" s="22" t="inlineStr">
        <is>
          <t>미확인</t>
        </is>
      </c>
      <c r="AE288" s="22" t="inlineStr">
        <is>
          <t>미확인</t>
        </is>
      </c>
      <c r="AF288" s="22" t="inlineStr">
        <is>
          <t>미확인</t>
        </is>
      </c>
      <c r="AG288" s="22" t="inlineStr">
        <is>
          <t>미확인</t>
        </is>
      </c>
      <c r="AH288" s="22" t="inlineStr">
        <is>
          <t>미확인</t>
        </is>
      </c>
      <c r="AI288" s="22" t="inlineStr">
        <is>
          <t>미확인</t>
        </is>
      </c>
      <c r="AJ288" s="22" t="inlineStr">
        <is>
          <t>미확인</t>
        </is>
      </c>
      <c r="AK288" s="22" t="inlineStr">
        <is>
          <t>미확인</t>
        </is>
      </c>
      <c r="AL288" s="22" t="inlineStr">
        <is>
          <t>미확인</t>
        </is>
      </c>
      <c r="AM288" s="22" t="inlineStr">
        <is>
          <t>미확인</t>
        </is>
      </c>
      <c r="AN288" s="22" t="inlineStr">
        <is>
          <t>미확인</t>
        </is>
      </c>
      <c r="AO288" s="17" t="inlineStr">
        <is>
          <t>C(부분확인)</t>
        </is>
      </c>
      <c r="AP288" s="17" t="inlineStr">
        <is>
          <t>Y</t>
        </is>
      </c>
      <c r="AQ288" s="17" t="n">
        <v>4</v>
      </c>
      <c r="AR288" s="28" t="inlineStr">
        <is>
          <t>Tier D</t>
        </is>
      </c>
      <c r="AS288" s="17" t="inlineStr">
        <is>
          <t>EDMS</t>
        </is>
      </c>
      <c r="AT288" s="17" t="inlineStr">
        <is>
          <t>기본 문서관리 수요</t>
        </is>
      </c>
      <c r="AU288" s="17" t="inlineStr">
        <is>
          <t>담당자 파악 후 접촉</t>
        </is>
      </c>
      <c r="AV288" s="17" t="inlineStr">
        <is>
          <t>GMP적합판정+KRX</t>
        </is>
      </c>
      <c r="AW288" s="17" t="inlineStr">
        <is>
          <t>2026-07-05</t>
        </is>
      </c>
    </row>
    <row r="289">
      <c r="A289" s="17" t="inlineStr">
        <is>
          <t>C288</t>
        </is>
      </c>
      <c r="B289" s="17" t="inlineStr">
        <is>
          <t>원풍약품상사</t>
        </is>
      </c>
      <c r="C289" s="17" t="inlineStr">
        <is>
          <t>(주)원풍약품상사</t>
        </is>
      </c>
      <c r="D289" s="17" t="n">
        <v>1</v>
      </c>
      <c r="E289" s="17" t="n">
        <v>1</v>
      </c>
      <c r="F289" s="17" t="inlineStr"/>
      <c r="G289" s="17" t="inlineStr">
        <is>
          <t>Y</t>
        </is>
      </c>
      <c r="H289" s="17" t="inlineStr"/>
      <c r="I289" s="17" t="inlineStr"/>
      <c r="J289" s="24" t="n">
        <v>46612</v>
      </c>
      <c r="K289" s="17" t="inlineStr"/>
      <c r="L289" s="17" t="inlineStr"/>
      <c r="M289" s="17" t="inlineStr"/>
      <c r="N289" s="23" t="inlineStr"/>
      <c r="O289" s="17" t="inlineStr"/>
      <c r="P289" s="17" t="inlineStr"/>
      <c r="Q289" s="17" t="inlineStr">
        <is>
          <t>이재진</t>
        </is>
      </c>
      <c r="R289" s="17" t="inlineStr"/>
      <c r="S289" s="17" t="inlineStr"/>
      <c r="T289" s="17" t="inlineStr">
        <is>
          <t>3768-1009</t>
        </is>
      </c>
      <c r="U289" s="17" t="inlineStr">
        <is>
          <t>제조소상세</t>
        </is>
      </c>
      <c r="V289" s="22" t="inlineStr">
        <is>
          <t>미확인</t>
        </is>
      </c>
      <c r="W289" s="22" t="inlineStr">
        <is>
          <t>미확인</t>
        </is>
      </c>
      <c r="X289" s="22" t="inlineStr">
        <is>
          <t>미확인</t>
        </is>
      </c>
      <c r="Y289" s="22" t="inlineStr">
        <is>
          <t>미확인</t>
        </is>
      </c>
      <c r="Z289" s="22" t="inlineStr">
        <is>
          <t>미확인</t>
        </is>
      </c>
      <c r="AA289" s="22" t="inlineStr">
        <is>
          <t>미확인</t>
        </is>
      </c>
      <c r="AB289" s="22" t="inlineStr">
        <is>
          <t>미확인</t>
        </is>
      </c>
      <c r="AC289" s="22" t="inlineStr">
        <is>
          <t>미확인</t>
        </is>
      </c>
      <c r="AD289" s="22" t="inlineStr">
        <is>
          <t>미확인</t>
        </is>
      </c>
      <c r="AE289" s="22" t="inlineStr">
        <is>
          <t>미확인</t>
        </is>
      </c>
      <c r="AF289" s="22" t="inlineStr">
        <is>
          <t>미확인</t>
        </is>
      </c>
      <c r="AG289" s="22" t="inlineStr">
        <is>
          <t>미확인</t>
        </is>
      </c>
      <c r="AH289" s="22" t="inlineStr">
        <is>
          <t>미확인</t>
        </is>
      </c>
      <c r="AI289" s="22" t="inlineStr">
        <is>
          <t>미확인</t>
        </is>
      </c>
      <c r="AJ289" s="22" t="inlineStr">
        <is>
          <t>미확인</t>
        </is>
      </c>
      <c r="AK289" s="22" t="inlineStr">
        <is>
          <t>미확인</t>
        </is>
      </c>
      <c r="AL289" s="22" t="inlineStr">
        <is>
          <t>미확인</t>
        </is>
      </c>
      <c r="AM289" s="22" t="inlineStr">
        <is>
          <t>미확인</t>
        </is>
      </c>
      <c r="AN289" s="22" t="inlineStr">
        <is>
          <t>미확인</t>
        </is>
      </c>
      <c r="AO289" s="17" t="inlineStr">
        <is>
          <t>C(부분확인)</t>
        </is>
      </c>
      <c r="AP289" s="17" t="inlineStr">
        <is>
          <t>Y</t>
        </is>
      </c>
      <c r="AQ289" s="17" t="n">
        <v>4</v>
      </c>
      <c r="AR289" s="28" t="inlineStr">
        <is>
          <t>Tier D</t>
        </is>
      </c>
      <c r="AS289" s="17" t="inlineStr">
        <is>
          <t>LIMS</t>
        </is>
      </c>
      <c r="AT289" s="17" t="inlineStr">
        <is>
          <t>원료 제조로 시험실 관리 필요</t>
        </is>
      </c>
      <c r="AU289" s="17" t="inlineStr">
        <is>
          <t>담당자 파악 후 접촉</t>
        </is>
      </c>
      <c r="AV289" s="17" t="inlineStr">
        <is>
          <t>GMP적합판정+KRX</t>
        </is>
      </c>
      <c r="AW289" s="17" t="inlineStr">
        <is>
          <t>2026-07-05</t>
        </is>
      </c>
    </row>
    <row r="290">
      <c r="A290" s="17" t="inlineStr">
        <is>
          <t>C289</t>
        </is>
      </c>
      <c r="B290" s="17" t="inlineStr">
        <is>
          <t>한국바이오켐제약</t>
        </is>
      </c>
      <c r="C290" s="17" t="inlineStr">
        <is>
          <t>한국바이오켐제약(주)</t>
        </is>
      </c>
      <c r="D290" s="17" t="n">
        <v>2</v>
      </c>
      <c r="E290" s="17" t="n">
        <v>1</v>
      </c>
      <c r="F290" s="17" t="inlineStr">
        <is>
          <t>Y</t>
        </is>
      </c>
      <c r="G290" s="17" t="inlineStr">
        <is>
          <t>Y</t>
        </is>
      </c>
      <c r="H290" s="17" t="inlineStr"/>
      <c r="I290" s="17" t="inlineStr"/>
      <c r="J290" s="24" t="n">
        <v>46606</v>
      </c>
      <c r="K290" s="17" t="inlineStr"/>
      <c r="L290" s="17" t="inlineStr"/>
      <c r="M290" s="17" t="inlineStr"/>
      <c r="N290" s="23" t="inlineStr"/>
      <c r="O290" s="17" t="inlineStr"/>
      <c r="P290" s="17" t="inlineStr"/>
      <c r="Q290" s="17" t="inlineStr">
        <is>
          <t>송원호</t>
        </is>
      </c>
      <c r="R290" s="17" t="inlineStr"/>
      <c r="S290" s="17" t="inlineStr"/>
      <c r="T290" s="17" t="inlineStr">
        <is>
          <t>044-865-5030</t>
        </is>
      </c>
      <c r="U290" s="17" t="inlineStr">
        <is>
          <t>제조소상세</t>
        </is>
      </c>
      <c r="V290" s="22" t="inlineStr">
        <is>
          <t>미확인</t>
        </is>
      </c>
      <c r="W290" s="22" t="inlineStr">
        <is>
          <t>미확인</t>
        </is>
      </c>
      <c r="X290" s="22" t="inlineStr">
        <is>
          <t>미확인</t>
        </is>
      </c>
      <c r="Y290" s="22" t="inlineStr">
        <is>
          <t>미확인</t>
        </is>
      </c>
      <c r="Z290" s="22" t="inlineStr">
        <is>
          <t>미확인</t>
        </is>
      </c>
      <c r="AA290" s="22" t="inlineStr">
        <is>
          <t>미확인</t>
        </is>
      </c>
      <c r="AB290" s="22" t="inlineStr">
        <is>
          <t>미확인</t>
        </is>
      </c>
      <c r="AC290" s="22" t="inlineStr">
        <is>
          <t>미확인</t>
        </is>
      </c>
      <c r="AD290" s="22" t="inlineStr">
        <is>
          <t>미확인</t>
        </is>
      </c>
      <c r="AE290" s="22" t="inlineStr">
        <is>
          <t>미확인</t>
        </is>
      </c>
      <c r="AF290" s="22" t="inlineStr">
        <is>
          <t>미확인</t>
        </is>
      </c>
      <c r="AG290" s="22" t="inlineStr">
        <is>
          <t>미확인</t>
        </is>
      </c>
      <c r="AH290" s="22" t="inlineStr">
        <is>
          <t>미확인</t>
        </is>
      </c>
      <c r="AI290" s="22" t="inlineStr">
        <is>
          <t>미확인</t>
        </is>
      </c>
      <c r="AJ290" s="22" t="inlineStr">
        <is>
          <t>미확인</t>
        </is>
      </c>
      <c r="AK290" s="22" t="inlineStr">
        <is>
          <t>미확인</t>
        </is>
      </c>
      <c r="AL290" s="22" t="inlineStr">
        <is>
          <t>미확인</t>
        </is>
      </c>
      <c r="AM290" s="22" t="inlineStr">
        <is>
          <t>미확인</t>
        </is>
      </c>
      <c r="AN290" s="22" t="inlineStr">
        <is>
          <t>미확인</t>
        </is>
      </c>
      <c r="AO290" s="17" t="inlineStr">
        <is>
          <t>C(부분확인)</t>
        </is>
      </c>
      <c r="AP290" s="17" t="inlineStr">
        <is>
          <t>Y</t>
        </is>
      </c>
      <c r="AQ290" s="17" t="n">
        <v>4</v>
      </c>
      <c r="AR290" s="28" t="inlineStr">
        <is>
          <t>Tier D</t>
        </is>
      </c>
      <c r="AS290" s="17" t="inlineStr">
        <is>
          <t>LIMS</t>
        </is>
      </c>
      <c r="AT290" s="17" t="inlineStr">
        <is>
          <t>원료 제조로 시험실 관리 필요</t>
        </is>
      </c>
      <c r="AU290" s="17" t="inlineStr">
        <is>
          <t>담당자 파악 후 접촉</t>
        </is>
      </c>
      <c r="AV290" s="17" t="inlineStr">
        <is>
          <t>GMP적합판정+KRX</t>
        </is>
      </c>
      <c r="AW290" s="17" t="inlineStr">
        <is>
          <t>2026-07-05</t>
        </is>
      </c>
    </row>
    <row r="291">
      <c r="A291" s="17" t="inlineStr">
        <is>
          <t>C290</t>
        </is>
      </c>
      <c r="B291" s="17" t="inlineStr">
        <is>
          <t>화일약품</t>
        </is>
      </c>
      <c r="C291" s="17" t="inlineStr">
        <is>
          <t>화일약품(주)</t>
        </is>
      </c>
      <c r="D291" s="17" t="n">
        <v>2</v>
      </c>
      <c r="E291" s="17" t="n">
        <v>2</v>
      </c>
      <c r="F291" s="17" t="inlineStr">
        <is>
          <t>Y</t>
        </is>
      </c>
      <c r="G291" s="17" t="inlineStr">
        <is>
          <t>Y</t>
        </is>
      </c>
      <c r="H291" s="17" t="inlineStr"/>
      <c r="I291" s="17" t="inlineStr"/>
      <c r="J291" s="24" t="n">
        <v>46328</v>
      </c>
      <c r="K291" s="17" t="inlineStr">
        <is>
          <t>Y</t>
        </is>
      </c>
      <c r="L291" s="17" t="inlineStr">
        <is>
          <t>Y</t>
        </is>
      </c>
      <c r="M291" s="17" t="inlineStr">
        <is>
          <t>코스닥</t>
        </is>
      </c>
      <c r="N291" s="23" t="inlineStr">
        <is>
          <t>061250</t>
        </is>
      </c>
      <c r="O291" s="17" t="inlineStr">
        <is>
          <t>의약품 제조업</t>
        </is>
      </c>
      <c r="P291" s="17" t="inlineStr">
        <is>
          <t>의약품 원료</t>
        </is>
      </c>
      <c r="Q291" s="17" t="inlineStr">
        <is>
          <t>김유정, 서생규 (각자 대표이사)</t>
        </is>
      </c>
      <c r="R291" s="17" t="inlineStr">
        <is>
          <t>http://www.hwail.com</t>
        </is>
      </c>
      <c r="S291" s="17" t="inlineStr">
        <is>
          <t>경기도</t>
        </is>
      </c>
      <c r="T291" s="17" t="inlineStr">
        <is>
          <t>031-491-4042</t>
        </is>
      </c>
      <c r="U291" s="17" t="inlineStr">
        <is>
          <t>제조소상세</t>
        </is>
      </c>
      <c r="V291" s="22" t="inlineStr">
        <is>
          <t>미확인</t>
        </is>
      </c>
      <c r="W291" s="22" t="inlineStr">
        <is>
          <t>미확인</t>
        </is>
      </c>
      <c r="X291" s="22" t="inlineStr">
        <is>
          <t>미확인</t>
        </is>
      </c>
      <c r="Y291" s="22" t="inlineStr">
        <is>
          <t>미확인</t>
        </is>
      </c>
      <c r="Z291" s="22" t="inlineStr">
        <is>
          <t>미확인</t>
        </is>
      </c>
      <c r="AA291" s="22" t="inlineStr">
        <is>
          <t>미확인</t>
        </is>
      </c>
      <c r="AB291" s="22" t="inlineStr">
        <is>
          <t>미확인</t>
        </is>
      </c>
      <c r="AC291" s="22" t="inlineStr">
        <is>
          <t>미확인</t>
        </is>
      </c>
      <c r="AD291" s="22" t="inlineStr">
        <is>
          <t>미확인</t>
        </is>
      </c>
      <c r="AE291" s="22" t="inlineStr">
        <is>
          <t>미확인</t>
        </is>
      </c>
      <c r="AF291" s="22" t="inlineStr">
        <is>
          <t>미확인</t>
        </is>
      </c>
      <c r="AG291" s="22" t="inlineStr">
        <is>
          <t>미확인</t>
        </is>
      </c>
      <c r="AH291" s="22" t="inlineStr">
        <is>
          <t>미확인</t>
        </is>
      </c>
      <c r="AI291" s="22" t="inlineStr">
        <is>
          <t>미확인</t>
        </is>
      </c>
      <c r="AJ291" s="22" t="inlineStr">
        <is>
          <t>미확인</t>
        </is>
      </c>
      <c r="AK291" s="22" t="inlineStr">
        <is>
          <t>미확인</t>
        </is>
      </c>
      <c r="AL291" s="22" t="inlineStr">
        <is>
          <t>미확인</t>
        </is>
      </c>
      <c r="AM291" s="22" t="inlineStr">
        <is>
          <t>미확인</t>
        </is>
      </c>
      <c r="AN291" s="22" t="inlineStr">
        <is>
          <t>미확인</t>
        </is>
      </c>
      <c r="AO291" s="17" t="inlineStr">
        <is>
          <t>C(부분확인)</t>
        </is>
      </c>
      <c r="AP291" s="17" t="inlineStr">
        <is>
          <t>Y</t>
        </is>
      </c>
      <c r="AQ291" s="17" t="n">
        <v>16</v>
      </c>
      <c r="AR291" s="28" t="inlineStr">
        <is>
          <t>Tier D</t>
        </is>
      </c>
      <c r="AS291" s="17" t="inlineStr">
        <is>
          <t>통합형</t>
        </is>
      </c>
      <c r="AT291" s="17" t="inlineStr">
        <is>
          <t>다중 제조소/다수 판정서로 문서관리 복잡; 원료 제조로 시험실 관리 필요</t>
        </is>
      </c>
      <c r="AU291" s="17" t="inlineStr">
        <is>
          <t>담당자 파악 후 접촉</t>
        </is>
      </c>
      <c r="AV291" s="17" t="inlineStr">
        <is>
          <t>GMP적합판정+KRX</t>
        </is>
      </c>
      <c r="AW291" s="17" t="inlineStr">
        <is>
          <t>2026-07-05</t>
        </is>
      </c>
    </row>
    <row r="292">
      <c r="A292" s="17" t="inlineStr">
        <is>
          <t>C291</t>
        </is>
      </c>
      <c r="B292" s="17" t="inlineStr">
        <is>
          <t>아이엠씨디코리아</t>
        </is>
      </c>
      <c r="C292" s="17" t="inlineStr">
        <is>
          <t>아이엠씨디코리아주식회사</t>
        </is>
      </c>
      <c r="D292" s="17" t="n">
        <v>1</v>
      </c>
      <c r="E292" s="17" t="n">
        <v>1</v>
      </c>
      <c r="F292" s="17" t="inlineStr"/>
      <c r="G292" s="17" t="inlineStr">
        <is>
          <t>Y</t>
        </is>
      </c>
      <c r="H292" s="17" t="inlineStr"/>
      <c r="I292" s="17" t="inlineStr"/>
      <c r="J292" s="24" t="n">
        <v>46593</v>
      </c>
      <c r="K292" s="17" t="inlineStr"/>
      <c r="L292" s="17" t="inlineStr"/>
      <c r="M292" s="17" t="inlineStr"/>
      <c r="N292" s="23" t="inlineStr"/>
      <c r="O292" s="17" t="inlineStr"/>
      <c r="P292" s="17" t="inlineStr"/>
      <c r="Q292" s="17" t="inlineStr">
        <is>
          <t>이동준</t>
        </is>
      </c>
      <c r="R292" s="17" t="inlineStr"/>
      <c r="S292" s="17" t="inlineStr"/>
      <c r="T292" s="17" t="inlineStr">
        <is>
          <t>02-573-1858</t>
        </is>
      </c>
      <c r="U292" s="17" t="inlineStr">
        <is>
          <t>제조소상세</t>
        </is>
      </c>
      <c r="V292" s="22" t="inlineStr">
        <is>
          <t>미확인</t>
        </is>
      </c>
      <c r="W292" s="22" t="inlineStr">
        <is>
          <t>미확인</t>
        </is>
      </c>
      <c r="X292" s="22" t="inlineStr">
        <is>
          <t>미확인</t>
        </is>
      </c>
      <c r="Y292" s="22" t="inlineStr">
        <is>
          <t>미확인</t>
        </is>
      </c>
      <c r="Z292" s="22" t="inlineStr">
        <is>
          <t>미확인</t>
        </is>
      </c>
      <c r="AA292" s="22" t="inlineStr">
        <is>
          <t>미확인</t>
        </is>
      </c>
      <c r="AB292" s="22" t="inlineStr">
        <is>
          <t>미확인</t>
        </is>
      </c>
      <c r="AC292" s="22" t="inlineStr">
        <is>
          <t>미확인</t>
        </is>
      </c>
      <c r="AD292" s="22" t="inlineStr">
        <is>
          <t>미확인</t>
        </is>
      </c>
      <c r="AE292" s="22" t="inlineStr">
        <is>
          <t>미확인</t>
        </is>
      </c>
      <c r="AF292" s="22" t="inlineStr">
        <is>
          <t>미확인</t>
        </is>
      </c>
      <c r="AG292" s="22" t="inlineStr">
        <is>
          <t>미확인</t>
        </is>
      </c>
      <c r="AH292" s="22" t="inlineStr">
        <is>
          <t>미확인</t>
        </is>
      </c>
      <c r="AI292" s="22" t="inlineStr">
        <is>
          <t>미확인</t>
        </is>
      </c>
      <c r="AJ292" s="22" t="inlineStr">
        <is>
          <t>미확인</t>
        </is>
      </c>
      <c r="AK292" s="22" t="inlineStr">
        <is>
          <t>미확인</t>
        </is>
      </c>
      <c r="AL292" s="22" t="inlineStr">
        <is>
          <t>미확인</t>
        </is>
      </c>
      <c r="AM292" s="22" t="inlineStr">
        <is>
          <t>미확인</t>
        </is>
      </c>
      <c r="AN292" s="22" t="inlineStr">
        <is>
          <t>미확인</t>
        </is>
      </c>
      <c r="AO292" s="17" t="inlineStr">
        <is>
          <t>C(부분확인)</t>
        </is>
      </c>
      <c r="AP292" s="17" t="inlineStr">
        <is>
          <t>Y</t>
        </is>
      </c>
      <c r="AQ292" s="17" t="n">
        <v>4</v>
      </c>
      <c r="AR292" s="28" t="inlineStr">
        <is>
          <t>Tier D</t>
        </is>
      </c>
      <c r="AS292" s="17" t="inlineStr">
        <is>
          <t>LIMS</t>
        </is>
      </c>
      <c r="AT292" s="17" t="inlineStr">
        <is>
          <t>원료 제조로 시험실 관리 필요</t>
        </is>
      </c>
      <c r="AU292" s="17" t="inlineStr">
        <is>
          <t>담당자 파악 후 접촉</t>
        </is>
      </c>
      <c r="AV292" s="17" t="inlineStr">
        <is>
          <t>GMP적합판정+KRX</t>
        </is>
      </c>
      <c r="AW292" s="17" t="inlineStr">
        <is>
          <t>2026-07-05</t>
        </is>
      </c>
    </row>
    <row r="293">
      <c r="A293" s="17" t="inlineStr">
        <is>
          <t>C292</t>
        </is>
      </c>
      <c r="B293" s="17" t="inlineStr">
        <is>
          <t>한국에스이엠</t>
        </is>
      </c>
      <c r="C293" s="17" t="inlineStr">
        <is>
          <t>한국에스이엠(주)</t>
        </is>
      </c>
      <c r="D293" s="17" t="n">
        <v>1</v>
      </c>
      <c r="E293" s="17" t="n">
        <v>1</v>
      </c>
      <c r="F293" s="17" t="inlineStr">
        <is>
          <t>Y</t>
        </is>
      </c>
      <c r="G293" s="17" t="inlineStr"/>
      <c r="H293" s="17" t="inlineStr"/>
      <c r="I293" s="17" t="inlineStr"/>
      <c r="J293" s="24" t="n">
        <v>46592</v>
      </c>
      <c r="K293" s="17" t="inlineStr"/>
      <c r="L293" s="17" t="inlineStr"/>
      <c r="M293" s="17" t="inlineStr"/>
      <c r="N293" s="23" t="inlineStr"/>
      <c r="O293" s="17" t="inlineStr"/>
      <c r="P293" s="17" t="inlineStr"/>
      <c r="Q293" s="17" t="inlineStr">
        <is>
          <t>강신찬</t>
        </is>
      </c>
      <c r="R293" s="17" t="inlineStr"/>
      <c r="S293" s="17" t="inlineStr"/>
      <c r="T293" s="17" t="inlineStr">
        <is>
          <t>055-375-1214</t>
        </is>
      </c>
      <c r="U293" s="17" t="inlineStr">
        <is>
          <t>제조소상세</t>
        </is>
      </c>
      <c r="V293" s="22" t="inlineStr">
        <is>
          <t>미확인</t>
        </is>
      </c>
      <c r="W293" s="22" t="inlineStr">
        <is>
          <t>미확인</t>
        </is>
      </c>
      <c r="X293" s="22" t="inlineStr">
        <is>
          <t>미확인</t>
        </is>
      </c>
      <c r="Y293" s="22" t="inlineStr">
        <is>
          <t>미확인</t>
        </is>
      </c>
      <c r="Z293" s="22" t="inlineStr">
        <is>
          <t>미확인</t>
        </is>
      </c>
      <c r="AA293" s="22" t="inlineStr">
        <is>
          <t>미확인</t>
        </is>
      </c>
      <c r="AB293" s="22" t="inlineStr">
        <is>
          <t>미확인</t>
        </is>
      </c>
      <c r="AC293" s="22" t="inlineStr">
        <is>
          <t>미확인</t>
        </is>
      </c>
      <c r="AD293" s="22" t="inlineStr">
        <is>
          <t>미확인</t>
        </is>
      </c>
      <c r="AE293" s="22" t="inlineStr">
        <is>
          <t>미확인</t>
        </is>
      </c>
      <c r="AF293" s="22" t="inlineStr">
        <is>
          <t>미확인</t>
        </is>
      </c>
      <c r="AG293" s="22" t="inlineStr">
        <is>
          <t>미확인</t>
        </is>
      </c>
      <c r="AH293" s="22" t="inlineStr">
        <is>
          <t>미확인</t>
        </is>
      </c>
      <c r="AI293" s="22" t="inlineStr">
        <is>
          <t>미확인</t>
        </is>
      </c>
      <c r="AJ293" s="22" t="inlineStr">
        <is>
          <t>미확인</t>
        </is>
      </c>
      <c r="AK293" s="22" t="inlineStr">
        <is>
          <t>미확인</t>
        </is>
      </c>
      <c r="AL293" s="22" t="inlineStr">
        <is>
          <t>미확인</t>
        </is>
      </c>
      <c r="AM293" s="22" t="inlineStr">
        <is>
          <t>미확인</t>
        </is>
      </c>
      <c r="AN293" s="22" t="inlineStr">
        <is>
          <t>미확인</t>
        </is>
      </c>
      <c r="AO293" s="17" t="inlineStr">
        <is>
          <t>C(부분확인)</t>
        </is>
      </c>
      <c r="AP293" s="17" t="inlineStr">
        <is>
          <t>Y</t>
        </is>
      </c>
      <c r="AQ293" s="17" t="n">
        <v>4</v>
      </c>
      <c r="AR293" s="28" t="inlineStr">
        <is>
          <t>Tier D</t>
        </is>
      </c>
      <c r="AS293" s="17" t="inlineStr">
        <is>
          <t>EDMS</t>
        </is>
      </c>
      <c r="AT293" s="17" t="inlineStr">
        <is>
          <t>기본 문서관리 수요</t>
        </is>
      </c>
      <c r="AU293" s="17" t="inlineStr">
        <is>
          <t>담당자 파악 후 접촉</t>
        </is>
      </c>
      <c r="AV293" s="17" t="inlineStr">
        <is>
          <t>GMP적합판정+KRX</t>
        </is>
      </c>
      <c r="AW293" s="17" t="inlineStr">
        <is>
          <t>2026-07-05</t>
        </is>
      </c>
    </row>
    <row r="294">
      <c r="A294" s="17" t="inlineStr">
        <is>
          <t>C293</t>
        </is>
      </c>
      <c r="B294" s="17" t="inlineStr">
        <is>
          <t>국전</t>
        </is>
      </c>
      <c r="C294" s="17" t="inlineStr">
        <is>
          <t>(주)국전</t>
        </is>
      </c>
      <c r="D294" s="17" t="n">
        <v>1</v>
      </c>
      <c r="E294" s="17" t="n">
        <v>1</v>
      </c>
      <c r="F294" s="17" t="inlineStr"/>
      <c r="G294" s="17" t="inlineStr">
        <is>
          <t>Y</t>
        </is>
      </c>
      <c r="H294" s="17" t="inlineStr"/>
      <c r="I294" s="17" t="inlineStr"/>
      <c r="J294" s="24" t="n">
        <v>46586</v>
      </c>
      <c r="K294" s="17" t="inlineStr"/>
      <c r="L294" s="17" t="inlineStr">
        <is>
          <t>Y</t>
        </is>
      </c>
      <c r="M294" s="17" t="inlineStr">
        <is>
          <t>코스닥</t>
        </is>
      </c>
      <c r="N294" s="23" t="inlineStr">
        <is>
          <t>307750</t>
        </is>
      </c>
      <c r="O294" s="17" t="inlineStr">
        <is>
          <t>의약품 제조업</t>
        </is>
      </c>
      <c r="P294" s="17" t="inlineStr">
        <is>
          <t>기업 인수 및 합병</t>
        </is>
      </c>
      <c r="Q294" s="17" t="inlineStr">
        <is>
          <t>홍종호</t>
        </is>
      </c>
      <c r="R294" s="17" t="inlineStr"/>
      <c r="S294" s="17" t="inlineStr">
        <is>
          <t>경기도</t>
        </is>
      </c>
      <c r="T294" s="17" t="inlineStr">
        <is>
          <t>031-352-8179</t>
        </is>
      </c>
      <c r="U294" s="17" t="inlineStr">
        <is>
          <t>제조소상세</t>
        </is>
      </c>
      <c r="V294" s="22" t="inlineStr">
        <is>
          <t>미확인</t>
        </is>
      </c>
      <c r="W294" s="22" t="inlineStr">
        <is>
          <t>미확인</t>
        </is>
      </c>
      <c r="X294" s="22" t="inlineStr">
        <is>
          <t>미확인</t>
        </is>
      </c>
      <c r="Y294" s="22" t="inlineStr">
        <is>
          <t>미확인</t>
        </is>
      </c>
      <c r="Z294" s="22" t="inlineStr">
        <is>
          <t>미확인</t>
        </is>
      </c>
      <c r="AA294" s="22" t="inlineStr">
        <is>
          <t>미확인</t>
        </is>
      </c>
      <c r="AB294" s="22" t="inlineStr">
        <is>
          <t>미확인</t>
        </is>
      </c>
      <c r="AC294" s="22" t="inlineStr">
        <is>
          <t>미확인</t>
        </is>
      </c>
      <c r="AD294" s="22" t="inlineStr">
        <is>
          <t>미확인</t>
        </is>
      </c>
      <c r="AE294" s="22" t="inlineStr">
        <is>
          <t>미확인</t>
        </is>
      </c>
      <c r="AF294" s="22" t="inlineStr">
        <is>
          <t>미확인</t>
        </is>
      </c>
      <c r="AG294" s="22" t="inlineStr">
        <is>
          <t>미확인</t>
        </is>
      </c>
      <c r="AH294" s="22" t="inlineStr">
        <is>
          <t>미확인</t>
        </is>
      </c>
      <c r="AI294" s="22" t="inlineStr">
        <is>
          <t>미확인</t>
        </is>
      </c>
      <c r="AJ294" s="22" t="inlineStr">
        <is>
          <t>미확인</t>
        </is>
      </c>
      <c r="AK294" s="22" t="inlineStr">
        <is>
          <t>미확인</t>
        </is>
      </c>
      <c r="AL294" s="22" t="inlineStr">
        <is>
          <t>미확인</t>
        </is>
      </c>
      <c r="AM294" s="22" t="inlineStr">
        <is>
          <t>미확인</t>
        </is>
      </c>
      <c r="AN294" s="22" t="inlineStr">
        <is>
          <t>미확인</t>
        </is>
      </c>
      <c r="AO294" s="17" t="inlineStr">
        <is>
          <t>C(부분확인)</t>
        </is>
      </c>
      <c r="AP294" s="17" t="inlineStr">
        <is>
          <t>Y</t>
        </is>
      </c>
      <c r="AQ294" s="17" t="n">
        <v>4</v>
      </c>
      <c r="AR294" s="28" t="inlineStr">
        <is>
          <t>Tier D</t>
        </is>
      </c>
      <c r="AS294" s="17" t="inlineStr">
        <is>
          <t>LIMS</t>
        </is>
      </c>
      <c r="AT294" s="17" t="inlineStr">
        <is>
          <t>원료 제조로 시험실 관리 필요</t>
        </is>
      </c>
      <c r="AU294" s="17" t="inlineStr">
        <is>
          <t>담당자 파악 후 접촉</t>
        </is>
      </c>
      <c r="AV294" s="17" t="inlineStr">
        <is>
          <t>GMP적합판정+KRX</t>
        </is>
      </c>
      <c r="AW294" s="17" t="inlineStr">
        <is>
          <t>2026-07-05</t>
        </is>
      </c>
    </row>
    <row r="295">
      <c r="A295" s="17" t="inlineStr">
        <is>
          <t>C294</t>
        </is>
      </c>
      <c r="B295" s="17" t="inlineStr">
        <is>
          <t>뉴큐어엠</t>
        </is>
      </c>
      <c r="C295" s="17" t="inlineStr">
        <is>
          <t>주식회사뉴큐어엠</t>
        </is>
      </c>
      <c r="D295" s="17" t="n">
        <v>1</v>
      </c>
      <c r="E295" s="17" t="n">
        <v>1</v>
      </c>
      <c r="F295" s="17" t="inlineStr">
        <is>
          <t>Y</t>
        </is>
      </c>
      <c r="G295" s="17" t="inlineStr"/>
      <c r="H295" s="17" t="inlineStr">
        <is>
          <t>Y</t>
        </is>
      </c>
      <c r="I295" s="17" t="inlineStr"/>
      <c r="J295" s="24" t="n">
        <v>46586</v>
      </c>
      <c r="K295" s="17" t="inlineStr"/>
      <c r="L295" s="17" t="inlineStr"/>
      <c r="M295" s="17" t="inlineStr"/>
      <c r="N295" s="23" t="inlineStr"/>
      <c r="O295" s="17" t="inlineStr"/>
      <c r="P295" s="17" t="inlineStr"/>
      <c r="Q295" s="17" t="inlineStr">
        <is>
          <t>기도연</t>
        </is>
      </c>
      <c r="R295" s="17" t="inlineStr"/>
      <c r="S295" s="17" t="inlineStr"/>
      <c r="T295" s="17" t="inlineStr">
        <is>
          <t>032-460-9032</t>
        </is>
      </c>
      <c r="U295" s="17" t="inlineStr">
        <is>
          <t>제조소상세</t>
        </is>
      </c>
      <c r="V295" s="22" t="inlineStr">
        <is>
          <t>미확인</t>
        </is>
      </c>
      <c r="W295" s="22" t="inlineStr">
        <is>
          <t>미확인</t>
        </is>
      </c>
      <c r="X295" s="22" t="inlineStr">
        <is>
          <t>미확인</t>
        </is>
      </c>
      <c r="Y295" s="22" t="inlineStr">
        <is>
          <t>미확인</t>
        </is>
      </c>
      <c r="Z295" s="22" t="inlineStr">
        <is>
          <t>미확인</t>
        </is>
      </c>
      <c r="AA295" s="22" t="inlineStr">
        <is>
          <t>미확인</t>
        </is>
      </c>
      <c r="AB295" s="22" t="inlineStr">
        <is>
          <t>미확인</t>
        </is>
      </c>
      <c r="AC295" s="22" t="inlineStr">
        <is>
          <t>미확인</t>
        </is>
      </c>
      <c r="AD295" s="22" t="inlineStr">
        <is>
          <t>미확인</t>
        </is>
      </c>
      <c r="AE295" s="22" t="inlineStr">
        <is>
          <t>미확인</t>
        </is>
      </c>
      <c r="AF295" s="22" t="inlineStr">
        <is>
          <t>미확인</t>
        </is>
      </c>
      <c r="AG295" s="22" t="inlineStr">
        <is>
          <t>미확인</t>
        </is>
      </c>
      <c r="AH295" s="22" t="inlineStr">
        <is>
          <t>미확인</t>
        </is>
      </c>
      <c r="AI295" s="22" t="inlineStr">
        <is>
          <t>미확인</t>
        </is>
      </c>
      <c r="AJ295" s="22" t="inlineStr">
        <is>
          <t>미확인</t>
        </is>
      </c>
      <c r="AK295" s="22" t="inlineStr">
        <is>
          <t>미확인</t>
        </is>
      </c>
      <c r="AL295" s="22" t="inlineStr">
        <is>
          <t>미확인</t>
        </is>
      </c>
      <c r="AM295" s="22" t="inlineStr">
        <is>
          <t>미확인</t>
        </is>
      </c>
      <c r="AN295" s="22" t="inlineStr">
        <is>
          <t>미확인</t>
        </is>
      </c>
      <c r="AO295" s="17" t="inlineStr">
        <is>
          <t>C(부분확인)</t>
        </is>
      </c>
      <c r="AP295" s="17" t="inlineStr">
        <is>
          <t>Y</t>
        </is>
      </c>
      <c r="AQ295" s="17" t="n">
        <v>12</v>
      </c>
      <c r="AR295" s="28" t="inlineStr">
        <is>
          <t>Tier D</t>
        </is>
      </c>
      <c r="AS295" s="17" t="inlineStr">
        <is>
          <t>QMS+LIMS</t>
        </is>
      </c>
      <c r="AT295" s="17" t="inlineStr">
        <is>
          <t>무균/바이오 제조로 품질관리 난도 높음</t>
        </is>
      </c>
      <c r="AU295" s="17" t="inlineStr">
        <is>
          <t>담당자 파악 후 접촉</t>
        </is>
      </c>
      <c r="AV295" s="17" t="inlineStr">
        <is>
          <t>GMP적합판정+KRX</t>
        </is>
      </c>
      <c r="AW295" s="17" t="inlineStr">
        <is>
          <t>2026-07-05</t>
        </is>
      </c>
    </row>
    <row r="296">
      <c r="A296" s="17" t="inlineStr">
        <is>
          <t>C295</t>
        </is>
      </c>
      <c r="B296" s="17" t="inlineStr">
        <is>
          <t>케이엠에스제약</t>
        </is>
      </c>
      <c r="C296" s="17" t="inlineStr">
        <is>
          <t>케이엠에스제약(주)</t>
        </is>
      </c>
      <c r="D296" s="17" t="n">
        <v>1</v>
      </c>
      <c r="E296" s="17" t="n">
        <v>1</v>
      </c>
      <c r="F296" s="17" t="inlineStr">
        <is>
          <t>Y</t>
        </is>
      </c>
      <c r="G296" s="17" t="inlineStr"/>
      <c r="H296" s="17" t="inlineStr"/>
      <c r="I296" s="17" t="inlineStr"/>
      <c r="J296" s="24" t="n">
        <v>46585</v>
      </c>
      <c r="K296" s="17" t="inlineStr"/>
      <c r="L296" s="17" t="inlineStr"/>
      <c r="M296" s="17" t="inlineStr"/>
      <c r="N296" s="23" t="inlineStr"/>
      <c r="O296" s="17" t="inlineStr"/>
      <c r="P296" s="17" t="inlineStr"/>
      <c r="Q296" s="17" t="inlineStr">
        <is>
          <t>이승우</t>
        </is>
      </c>
      <c r="R296" s="17" t="inlineStr"/>
      <c r="S296" s="17" t="inlineStr"/>
      <c r="T296" s="17" t="inlineStr">
        <is>
          <t>031-215-5456</t>
        </is>
      </c>
      <c r="U296" s="17" t="inlineStr">
        <is>
          <t>제조소상세</t>
        </is>
      </c>
      <c r="V296" s="22" t="inlineStr">
        <is>
          <t>미확인</t>
        </is>
      </c>
      <c r="W296" s="22" t="inlineStr">
        <is>
          <t>미확인</t>
        </is>
      </c>
      <c r="X296" s="22" t="inlineStr">
        <is>
          <t>미확인</t>
        </is>
      </c>
      <c r="Y296" s="22" t="inlineStr">
        <is>
          <t>미확인</t>
        </is>
      </c>
      <c r="Z296" s="22" t="inlineStr">
        <is>
          <t>미확인</t>
        </is>
      </c>
      <c r="AA296" s="22" t="inlineStr">
        <is>
          <t>미확인</t>
        </is>
      </c>
      <c r="AB296" s="22" t="inlineStr">
        <is>
          <t>미확인</t>
        </is>
      </c>
      <c r="AC296" s="22" t="inlineStr">
        <is>
          <t>미확인</t>
        </is>
      </c>
      <c r="AD296" s="22" t="inlineStr">
        <is>
          <t>미확인</t>
        </is>
      </c>
      <c r="AE296" s="22" t="inlineStr">
        <is>
          <t>미확인</t>
        </is>
      </c>
      <c r="AF296" s="22" t="inlineStr">
        <is>
          <t>미확인</t>
        </is>
      </c>
      <c r="AG296" s="22" t="inlineStr">
        <is>
          <t>미확인</t>
        </is>
      </c>
      <c r="AH296" s="22" t="inlineStr">
        <is>
          <t>미확인</t>
        </is>
      </c>
      <c r="AI296" s="22" t="inlineStr">
        <is>
          <t>미확인</t>
        </is>
      </c>
      <c r="AJ296" s="22" t="inlineStr">
        <is>
          <t>미확인</t>
        </is>
      </c>
      <c r="AK296" s="22" t="inlineStr">
        <is>
          <t>미확인</t>
        </is>
      </c>
      <c r="AL296" s="22" t="inlineStr">
        <is>
          <t>미확인</t>
        </is>
      </c>
      <c r="AM296" s="22" t="inlineStr">
        <is>
          <t>미확인</t>
        </is>
      </c>
      <c r="AN296" s="22" t="inlineStr">
        <is>
          <t>미확인</t>
        </is>
      </c>
      <c r="AO296" s="17" t="inlineStr">
        <is>
          <t>C(부분확인)</t>
        </is>
      </c>
      <c r="AP296" s="17" t="inlineStr">
        <is>
          <t>Y</t>
        </is>
      </c>
      <c r="AQ296" s="17" t="n">
        <v>4</v>
      </c>
      <c r="AR296" s="28" t="inlineStr">
        <is>
          <t>Tier D</t>
        </is>
      </c>
      <c r="AS296" s="17" t="inlineStr">
        <is>
          <t>EDMS</t>
        </is>
      </c>
      <c r="AT296" s="17" t="inlineStr">
        <is>
          <t>기본 문서관리 수요</t>
        </is>
      </c>
      <c r="AU296" s="17" t="inlineStr">
        <is>
          <t>담당자 파악 후 접촉</t>
        </is>
      </c>
      <c r="AV296" s="17" t="inlineStr">
        <is>
          <t>GMP적합판정+KRX</t>
        </is>
      </c>
      <c r="AW296" s="17" t="inlineStr">
        <is>
          <t>2026-07-05</t>
        </is>
      </c>
    </row>
    <row r="297">
      <c r="A297" s="17" t="inlineStr">
        <is>
          <t>C296</t>
        </is>
      </c>
      <c r="B297" s="17" t="inlineStr">
        <is>
          <t>유유제약</t>
        </is>
      </c>
      <c r="C297" s="17" t="inlineStr">
        <is>
          <t>(주)유유제약</t>
        </is>
      </c>
      <c r="D297" s="17" t="n">
        <v>1</v>
      </c>
      <c r="E297" s="17" t="n">
        <v>1</v>
      </c>
      <c r="F297" s="17" t="inlineStr">
        <is>
          <t>Y</t>
        </is>
      </c>
      <c r="G297" s="17" t="inlineStr"/>
      <c r="H297" s="17" t="inlineStr"/>
      <c r="I297" s="17" t="inlineStr"/>
      <c r="J297" s="24" t="n">
        <v>46579</v>
      </c>
      <c r="K297" s="17" t="inlineStr"/>
      <c r="L297" s="17" t="inlineStr">
        <is>
          <t>Y</t>
        </is>
      </c>
      <c r="M297" s="17" t="inlineStr">
        <is>
          <t>유가</t>
        </is>
      </c>
      <c r="N297" s="23" t="inlineStr">
        <is>
          <t>000220</t>
        </is>
      </c>
      <c r="O297" s="17" t="inlineStr">
        <is>
          <t>의약품 제조업</t>
        </is>
      </c>
      <c r="P297" s="17" t="inlineStr">
        <is>
          <t>의약품 제조,판매</t>
        </is>
      </c>
      <c r="Q297" s="17" t="inlineStr">
        <is>
          <t>유원상, 박노용(각자대표)</t>
        </is>
      </c>
      <c r="R297" s="17" t="inlineStr">
        <is>
          <t>http://www.yuyu.co.kr</t>
        </is>
      </c>
      <c r="S297" s="17" t="inlineStr">
        <is>
          <t>충청북도</t>
        </is>
      </c>
      <c r="T297" s="17" t="inlineStr">
        <is>
          <t>02-2253-6600</t>
        </is>
      </c>
      <c r="U297" s="17" t="inlineStr">
        <is>
          <t>제조소상세</t>
        </is>
      </c>
      <c r="V297" s="22" t="inlineStr">
        <is>
          <t>미확인</t>
        </is>
      </c>
      <c r="W297" s="22" t="inlineStr">
        <is>
          <t>미확인</t>
        </is>
      </c>
      <c r="X297" s="22" t="inlineStr">
        <is>
          <t>미확인</t>
        </is>
      </c>
      <c r="Y297" s="22" t="inlineStr">
        <is>
          <t>미확인</t>
        </is>
      </c>
      <c r="Z297" s="22" t="inlineStr">
        <is>
          <t>미확인</t>
        </is>
      </c>
      <c r="AA297" s="22" t="inlineStr">
        <is>
          <t>미확인</t>
        </is>
      </c>
      <c r="AB297" s="22" t="inlineStr">
        <is>
          <t>미확인</t>
        </is>
      </c>
      <c r="AC297" s="22" t="inlineStr">
        <is>
          <t>미확인</t>
        </is>
      </c>
      <c r="AD297" s="22" t="inlineStr">
        <is>
          <t>미확인</t>
        </is>
      </c>
      <c r="AE297" s="22" t="inlineStr">
        <is>
          <t>미확인</t>
        </is>
      </c>
      <c r="AF297" s="22" t="inlineStr">
        <is>
          <t>미확인</t>
        </is>
      </c>
      <c r="AG297" s="22" t="inlineStr">
        <is>
          <t>미확인</t>
        </is>
      </c>
      <c r="AH297" s="22" t="inlineStr">
        <is>
          <t>미확인</t>
        </is>
      </c>
      <c r="AI297" s="22" t="inlineStr">
        <is>
          <t>미확인</t>
        </is>
      </c>
      <c r="AJ297" s="22" t="inlineStr">
        <is>
          <t>미확인</t>
        </is>
      </c>
      <c r="AK297" s="22" t="inlineStr">
        <is>
          <t>미확인</t>
        </is>
      </c>
      <c r="AL297" s="22" t="inlineStr">
        <is>
          <t>미확인</t>
        </is>
      </c>
      <c r="AM297" s="22" t="inlineStr">
        <is>
          <t>미확인</t>
        </is>
      </c>
      <c r="AN297" s="22" t="inlineStr">
        <is>
          <t>미확인</t>
        </is>
      </c>
      <c r="AO297" s="17" t="inlineStr">
        <is>
          <t>C(부분확인)</t>
        </is>
      </c>
      <c r="AP297" s="17" t="inlineStr">
        <is>
          <t>Y</t>
        </is>
      </c>
      <c r="AQ297" s="17" t="n">
        <v>7</v>
      </c>
      <c r="AR297" s="28" t="inlineStr">
        <is>
          <t>Tier D</t>
        </is>
      </c>
      <c r="AS297" s="17" t="inlineStr">
        <is>
          <t>EDMS</t>
        </is>
      </c>
      <c r="AT297" s="17" t="inlineStr">
        <is>
          <t>기본 문서관리 수요</t>
        </is>
      </c>
      <c r="AU297" s="17" t="inlineStr">
        <is>
          <t>담당자 파악 후 접촉</t>
        </is>
      </c>
      <c r="AV297" s="17" t="inlineStr">
        <is>
          <t>GMP적합판정+KRX</t>
        </is>
      </c>
      <c r="AW297" s="17" t="inlineStr">
        <is>
          <t>2026-07-05</t>
        </is>
      </c>
    </row>
    <row r="298">
      <c r="A298" s="17" t="inlineStr">
        <is>
          <t>C297</t>
        </is>
      </c>
      <c r="B298" s="17" t="inlineStr">
        <is>
          <t>군포가스</t>
        </is>
      </c>
      <c r="C298" s="17" t="inlineStr">
        <is>
          <t>주식회사군포가스</t>
        </is>
      </c>
      <c r="D298" s="17" t="n">
        <v>1</v>
      </c>
      <c r="E298" s="17" t="n">
        <v>1</v>
      </c>
      <c r="F298" s="17" t="inlineStr">
        <is>
          <t>Y</t>
        </is>
      </c>
      <c r="G298" s="17" t="inlineStr"/>
      <c r="H298" s="17" t="inlineStr"/>
      <c r="I298" s="17" t="inlineStr"/>
      <c r="J298" s="24" t="n">
        <v>46572</v>
      </c>
      <c r="K298" s="17" t="inlineStr"/>
      <c r="L298" s="17" t="inlineStr"/>
      <c r="M298" s="17" t="inlineStr"/>
      <c r="N298" s="23" t="inlineStr"/>
      <c r="O298" s="17" t="inlineStr"/>
      <c r="P298" s="17" t="inlineStr"/>
      <c r="Q298" s="17" t="inlineStr">
        <is>
          <t>손승국, 전유경</t>
        </is>
      </c>
      <c r="R298" s="17" t="inlineStr"/>
      <c r="S298" s="17" t="inlineStr"/>
      <c r="T298" s="17" t="inlineStr">
        <is>
          <t>031-454-4001</t>
        </is>
      </c>
      <c r="U298" s="17" t="inlineStr">
        <is>
          <t>제조소상세</t>
        </is>
      </c>
      <c r="V298" s="22" t="inlineStr">
        <is>
          <t>미확인</t>
        </is>
      </c>
      <c r="W298" s="22" t="inlineStr">
        <is>
          <t>미확인</t>
        </is>
      </c>
      <c r="X298" s="22" t="inlineStr">
        <is>
          <t>미확인</t>
        </is>
      </c>
      <c r="Y298" s="22" t="inlineStr">
        <is>
          <t>미확인</t>
        </is>
      </c>
      <c r="Z298" s="22" t="inlineStr">
        <is>
          <t>미확인</t>
        </is>
      </c>
      <c r="AA298" s="22" t="inlineStr">
        <is>
          <t>미확인</t>
        </is>
      </c>
      <c r="AB298" s="22" t="inlineStr">
        <is>
          <t>미확인</t>
        </is>
      </c>
      <c r="AC298" s="22" t="inlineStr">
        <is>
          <t>미확인</t>
        </is>
      </c>
      <c r="AD298" s="22" t="inlineStr">
        <is>
          <t>미확인</t>
        </is>
      </c>
      <c r="AE298" s="22" t="inlineStr">
        <is>
          <t>미확인</t>
        </is>
      </c>
      <c r="AF298" s="22" t="inlineStr">
        <is>
          <t>미확인</t>
        </is>
      </c>
      <c r="AG298" s="22" t="inlineStr">
        <is>
          <t>미확인</t>
        </is>
      </c>
      <c r="AH298" s="22" t="inlineStr">
        <is>
          <t>미확인</t>
        </is>
      </c>
      <c r="AI298" s="22" t="inlineStr">
        <is>
          <t>미확인</t>
        </is>
      </c>
      <c r="AJ298" s="22" t="inlineStr">
        <is>
          <t>미확인</t>
        </is>
      </c>
      <c r="AK298" s="22" t="inlineStr">
        <is>
          <t>미확인</t>
        </is>
      </c>
      <c r="AL298" s="22" t="inlineStr">
        <is>
          <t>미확인</t>
        </is>
      </c>
      <c r="AM298" s="22" t="inlineStr">
        <is>
          <t>미확인</t>
        </is>
      </c>
      <c r="AN298" s="22" t="inlineStr">
        <is>
          <t>미확인</t>
        </is>
      </c>
      <c r="AO298" s="17" t="inlineStr">
        <is>
          <t>C(부분확인)</t>
        </is>
      </c>
      <c r="AP298" s="17" t="inlineStr">
        <is>
          <t>Y</t>
        </is>
      </c>
      <c r="AQ298" s="17" t="n">
        <v>7</v>
      </c>
      <c r="AR298" s="28" t="inlineStr">
        <is>
          <t>Tier D</t>
        </is>
      </c>
      <c r="AS298" s="17" t="inlineStr">
        <is>
          <t>QMS</t>
        </is>
      </c>
      <c r="AT298" s="17" t="inlineStr">
        <is>
          <t>기본 GMP 문서관리 대상</t>
        </is>
      </c>
      <c r="AU298" s="17" t="inlineStr">
        <is>
          <t>담당자 파악 후 접촉</t>
        </is>
      </c>
      <c r="AV298" s="17" t="inlineStr">
        <is>
          <t>GMP적합판정+KRX</t>
        </is>
      </c>
      <c r="AW298" s="17" t="inlineStr">
        <is>
          <t>2026-07-05</t>
        </is>
      </c>
    </row>
    <row r="299">
      <c r="A299" s="17" t="inlineStr">
        <is>
          <t>C298</t>
        </is>
      </c>
      <c r="B299" s="17" t="inlineStr">
        <is>
          <t>새한제약</t>
        </is>
      </c>
      <c r="C299" s="17" t="inlineStr">
        <is>
          <t>(주)새한제약</t>
        </is>
      </c>
      <c r="D299" s="17" t="n">
        <v>1</v>
      </c>
      <c r="E299" s="17" t="n">
        <v>1</v>
      </c>
      <c r="F299" s="17" t="inlineStr">
        <is>
          <t>Y</t>
        </is>
      </c>
      <c r="G299" s="17" t="inlineStr"/>
      <c r="H299" s="17" t="inlineStr"/>
      <c r="I299" s="17" t="inlineStr"/>
      <c r="J299" s="24" t="n">
        <v>46572</v>
      </c>
      <c r="K299" s="17" t="inlineStr"/>
      <c r="L299" s="17" t="inlineStr"/>
      <c r="M299" s="17" t="inlineStr"/>
      <c r="N299" s="23" t="inlineStr"/>
      <c r="O299" s="17" t="inlineStr"/>
      <c r="P299" s="17" t="inlineStr"/>
      <c r="Q299" s="17" t="inlineStr">
        <is>
          <t>오성석</t>
        </is>
      </c>
      <c r="R299" s="17" t="inlineStr"/>
      <c r="S299" s="17" t="inlineStr"/>
      <c r="T299" s="17" t="inlineStr">
        <is>
          <t>031-673-3132</t>
        </is>
      </c>
      <c r="U299" s="17" t="inlineStr">
        <is>
          <t>제조소상세</t>
        </is>
      </c>
      <c r="V299" s="22" t="inlineStr">
        <is>
          <t>미확인</t>
        </is>
      </c>
      <c r="W299" s="22" t="inlineStr">
        <is>
          <t>미확인</t>
        </is>
      </c>
      <c r="X299" s="22" t="inlineStr">
        <is>
          <t>미확인</t>
        </is>
      </c>
      <c r="Y299" s="22" t="inlineStr">
        <is>
          <t>미확인</t>
        </is>
      </c>
      <c r="Z299" s="22" t="inlineStr">
        <is>
          <t>미확인</t>
        </is>
      </c>
      <c r="AA299" s="22" t="inlineStr">
        <is>
          <t>미확인</t>
        </is>
      </c>
      <c r="AB299" s="22" t="inlineStr">
        <is>
          <t>미확인</t>
        </is>
      </c>
      <c r="AC299" s="22" t="inlineStr">
        <is>
          <t>미확인</t>
        </is>
      </c>
      <c r="AD299" s="22" t="inlineStr">
        <is>
          <t>미확인</t>
        </is>
      </c>
      <c r="AE299" s="22" t="inlineStr">
        <is>
          <t>미확인</t>
        </is>
      </c>
      <c r="AF299" s="22" t="inlineStr">
        <is>
          <t>미확인</t>
        </is>
      </c>
      <c r="AG299" s="22" t="inlineStr">
        <is>
          <t>미확인</t>
        </is>
      </c>
      <c r="AH299" s="22" t="inlineStr">
        <is>
          <t>미확인</t>
        </is>
      </c>
      <c r="AI299" s="22" t="inlineStr">
        <is>
          <t>미확인</t>
        </is>
      </c>
      <c r="AJ299" s="22" t="inlineStr">
        <is>
          <t>미확인</t>
        </is>
      </c>
      <c r="AK299" s="22" t="inlineStr">
        <is>
          <t>미확인</t>
        </is>
      </c>
      <c r="AL299" s="22" t="inlineStr">
        <is>
          <t>미확인</t>
        </is>
      </c>
      <c r="AM299" s="22" t="inlineStr">
        <is>
          <t>미확인</t>
        </is>
      </c>
      <c r="AN299" s="22" t="inlineStr">
        <is>
          <t>미확인</t>
        </is>
      </c>
      <c r="AO299" s="17" t="inlineStr">
        <is>
          <t>C(부분확인)</t>
        </is>
      </c>
      <c r="AP299" s="17" t="inlineStr">
        <is>
          <t>Y</t>
        </is>
      </c>
      <c r="AQ299" s="17" t="n">
        <v>7</v>
      </c>
      <c r="AR299" s="28" t="inlineStr">
        <is>
          <t>Tier D</t>
        </is>
      </c>
      <c r="AS299" s="17" t="inlineStr">
        <is>
          <t>QMS</t>
        </is>
      </c>
      <c r="AT299" s="17" t="inlineStr">
        <is>
          <t>기본 GMP 문서관리 대상</t>
        </is>
      </c>
      <c r="AU299" s="17" t="inlineStr">
        <is>
          <t>담당자 파악 후 접촉</t>
        </is>
      </c>
      <c r="AV299" s="17" t="inlineStr">
        <is>
          <t>GMP적합판정+KRX</t>
        </is>
      </c>
      <c r="AW299" s="17" t="inlineStr">
        <is>
          <t>2026-07-05</t>
        </is>
      </c>
    </row>
    <row r="300">
      <c r="A300" s="17" t="inlineStr">
        <is>
          <t>C299</t>
        </is>
      </c>
      <c r="B300" s="17" t="inlineStr">
        <is>
          <t>코오롱생명과학</t>
        </is>
      </c>
      <c r="C300" s="17" t="inlineStr">
        <is>
          <t>코오롱생명과학(주)</t>
        </is>
      </c>
      <c r="D300" s="17" t="n">
        <v>1</v>
      </c>
      <c r="E300" s="17" t="n">
        <v>1</v>
      </c>
      <c r="F300" s="17" t="inlineStr"/>
      <c r="G300" s="17" t="inlineStr">
        <is>
          <t>Y</t>
        </is>
      </c>
      <c r="H300" s="17" t="inlineStr"/>
      <c r="I300" s="17" t="inlineStr"/>
      <c r="J300" s="24" t="n">
        <v>46572</v>
      </c>
      <c r="K300" s="17" t="inlineStr"/>
      <c r="L300" s="17" t="inlineStr">
        <is>
          <t>Y</t>
        </is>
      </c>
      <c r="M300" s="17" t="inlineStr">
        <is>
          <t>코스닥</t>
        </is>
      </c>
      <c r="N300" s="23" t="inlineStr">
        <is>
          <t>102940</t>
        </is>
      </c>
      <c r="O300" s="17" t="inlineStr">
        <is>
          <t>기초 의약물질 제조업</t>
        </is>
      </c>
      <c r="P300" s="17" t="inlineStr">
        <is>
          <t>항균제, 수처리제, 원료의약 등</t>
        </is>
      </c>
      <c r="Q300" s="17" t="inlineStr">
        <is>
          <t>이한국</t>
        </is>
      </c>
      <c r="R300" s="17" t="inlineStr"/>
      <c r="S300" s="17" t="inlineStr">
        <is>
          <t>서울특별시</t>
        </is>
      </c>
      <c r="T300" s="17" t="inlineStr">
        <is>
          <t>043-880-3336</t>
        </is>
      </c>
      <c r="U300" s="17" t="inlineStr">
        <is>
          <t>제조소상세</t>
        </is>
      </c>
      <c r="V300" s="22" t="inlineStr">
        <is>
          <t>미확인</t>
        </is>
      </c>
      <c r="W300" s="22" t="inlineStr">
        <is>
          <t>미확인</t>
        </is>
      </c>
      <c r="X300" s="22" t="inlineStr">
        <is>
          <t>미확인</t>
        </is>
      </c>
      <c r="Y300" s="22" t="inlineStr">
        <is>
          <t>미확인</t>
        </is>
      </c>
      <c r="Z300" s="22" t="inlineStr">
        <is>
          <t>미확인</t>
        </is>
      </c>
      <c r="AA300" s="22" t="inlineStr">
        <is>
          <t>미확인</t>
        </is>
      </c>
      <c r="AB300" s="22" t="inlineStr">
        <is>
          <t>미확인</t>
        </is>
      </c>
      <c r="AC300" s="22" t="inlineStr">
        <is>
          <t>미확인</t>
        </is>
      </c>
      <c r="AD300" s="22" t="inlineStr">
        <is>
          <t>미확인</t>
        </is>
      </c>
      <c r="AE300" s="22" t="inlineStr">
        <is>
          <t>미확인</t>
        </is>
      </c>
      <c r="AF300" s="22" t="inlineStr">
        <is>
          <t>미확인</t>
        </is>
      </c>
      <c r="AG300" s="22" t="inlineStr">
        <is>
          <t>미확인</t>
        </is>
      </c>
      <c r="AH300" s="22" t="inlineStr">
        <is>
          <t>미확인</t>
        </is>
      </c>
      <c r="AI300" s="22" t="inlineStr">
        <is>
          <t>미확인</t>
        </is>
      </c>
      <c r="AJ300" s="22" t="inlineStr">
        <is>
          <t>미확인</t>
        </is>
      </c>
      <c r="AK300" s="22" t="inlineStr">
        <is>
          <t>미확인</t>
        </is>
      </c>
      <c r="AL300" s="22" t="inlineStr">
        <is>
          <t>미확인</t>
        </is>
      </c>
      <c r="AM300" s="22" t="inlineStr">
        <is>
          <t>미확인</t>
        </is>
      </c>
      <c r="AN300" s="22" t="inlineStr">
        <is>
          <t>미확인</t>
        </is>
      </c>
      <c r="AO300" s="17" t="inlineStr">
        <is>
          <t>C(부분확인)</t>
        </is>
      </c>
      <c r="AP300" s="17" t="inlineStr">
        <is>
          <t>Y</t>
        </is>
      </c>
      <c r="AQ300" s="17" t="n">
        <v>7</v>
      </c>
      <c r="AR300" s="28" t="inlineStr">
        <is>
          <t>Tier D</t>
        </is>
      </c>
      <c r="AS300" s="17" t="inlineStr">
        <is>
          <t>QMS+LIMS</t>
        </is>
      </c>
      <c r="AT300" s="17" t="inlineStr">
        <is>
          <t>원료 제조로 시험실 관리 필요</t>
        </is>
      </c>
      <c r="AU300" s="17" t="inlineStr">
        <is>
          <t>담당자 파악 후 접촉</t>
        </is>
      </c>
      <c r="AV300" s="17" t="inlineStr">
        <is>
          <t>GMP적합판정+KRX</t>
        </is>
      </c>
      <c r="AW300" s="17" t="inlineStr">
        <is>
          <t>2026-07-05</t>
        </is>
      </c>
    </row>
    <row r="301">
      <c r="A301" s="17" t="inlineStr">
        <is>
          <t>C300</t>
        </is>
      </c>
      <c r="B301" s="17" t="inlineStr">
        <is>
          <t>그린생명과학</t>
        </is>
      </c>
      <c r="C301" s="17" t="inlineStr">
        <is>
          <t>그린생명과학(주)</t>
        </is>
      </c>
      <c r="D301" s="17" t="n">
        <v>1</v>
      </c>
      <c r="E301" s="17" t="n">
        <v>1</v>
      </c>
      <c r="F301" s="17" t="inlineStr"/>
      <c r="G301" s="17" t="inlineStr">
        <is>
          <t>Y</t>
        </is>
      </c>
      <c r="H301" s="17" t="inlineStr"/>
      <c r="I301" s="17" t="inlineStr"/>
      <c r="J301" s="24" t="n">
        <v>46570</v>
      </c>
      <c r="K301" s="17" t="inlineStr"/>
      <c r="L301" s="17" t="inlineStr">
        <is>
          <t>Y</t>
        </is>
      </c>
      <c r="M301" s="17" t="inlineStr">
        <is>
          <t>코스닥</t>
        </is>
      </c>
      <c r="N301" s="23" t="inlineStr">
        <is>
          <t>114450</t>
        </is>
      </c>
      <c r="O301" s="17" t="inlineStr">
        <is>
          <t>기초 의약물질 제조업</t>
        </is>
      </c>
      <c r="P301" s="17" t="inlineStr">
        <is>
          <t>의약품 중간체 등</t>
        </is>
      </c>
      <c r="Q301" s="17" t="inlineStr">
        <is>
          <t>양준화, 이기성(각자 대표이사)</t>
        </is>
      </c>
      <c r="R301" s="17" t="inlineStr">
        <is>
          <t>http://www.kpxls.com/</t>
        </is>
      </c>
      <c r="S301" s="17" t="inlineStr">
        <is>
          <t>전남광주통합특별시</t>
        </is>
      </c>
      <c r="T301" s="17" t="inlineStr">
        <is>
          <t>061-688-4840</t>
        </is>
      </c>
      <c r="U301" s="17" t="inlineStr">
        <is>
          <t>제조소상세</t>
        </is>
      </c>
      <c r="V301" s="22" t="inlineStr">
        <is>
          <t>미확인</t>
        </is>
      </c>
      <c r="W301" s="22" t="inlineStr">
        <is>
          <t>미확인</t>
        </is>
      </c>
      <c r="X301" s="22" t="inlineStr">
        <is>
          <t>미확인</t>
        </is>
      </c>
      <c r="Y301" s="22" t="inlineStr">
        <is>
          <t>미확인</t>
        </is>
      </c>
      <c r="Z301" s="22" t="inlineStr">
        <is>
          <t>미확인</t>
        </is>
      </c>
      <c r="AA301" s="22" t="inlineStr">
        <is>
          <t>미확인</t>
        </is>
      </c>
      <c r="AB301" s="22" t="inlineStr">
        <is>
          <t>미확인</t>
        </is>
      </c>
      <c r="AC301" s="22" t="inlineStr">
        <is>
          <t>미확인</t>
        </is>
      </c>
      <c r="AD301" s="22" t="inlineStr">
        <is>
          <t>미확인</t>
        </is>
      </c>
      <c r="AE301" s="22" t="inlineStr">
        <is>
          <t>미확인</t>
        </is>
      </c>
      <c r="AF301" s="22" t="inlineStr">
        <is>
          <t>미확인</t>
        </is>
      </c>
      <c r="AG301" s="22" t="inlineStr">
        <is>
          <t>미확인</t>
        </is>
      </c>
      <c r="AH301" s="22" t="inlineStr">
        <is>
          <t>미확인</t>
        </is>
      </c>
      <c r="AI301" s="22" t="inlineStr">
        <is>
          <t>미확인</t>
        </is>
      </c>
      <c r="AJ301" s="22" t="inlineStr">
        <is>
          <t>미확인</t>
        </is>
      </c>
      <c r="AK301" s="22" t="inlineStr">
        <is>
          <t>미확인</t>
        </is>
      </c>
      <c r="AL301" s="22" t="inlineStr">
        <is>
          <t>미확인</t>
        </is>
      </c>
      <c r="AM301" s="22" t="inlineStr">
        <is>
          <t>미확인</t>
        </is>
      </c>
      <c r="AN301" s="22" t="inlineStr">
        <is>
          <t>미확인</t>
        </is>
      </c>
      <c r="AO301" s="17" t="inlineStr">
        <is>
          <t>C(부분확인)</t>
        </is>
      </c>
      <c r="AP301" s="17" t="inlineStr">
        <is>
          <t>Y</t>
        </is>
      </c>
      <c r="AQ301" s="17" t="n">
        <v>10</v>
      </c>
      <c r="AR301" s="28" t="inlineStr">
        <is>
          <t>Tier D</t>
        </is>
      </c>
      <c r="AS301" s="17" t="inlineStr">
        <is>
          <t>QMS+LIMS</t>
        </is>
      </c>
      <c r="AT301" s="17" t="inlineStr">
        <is>
          <t>원료 제조로 시험실 관리 필요</t>
        </is>
      </c>
      <c r="AU301" s="17" t="inlineStr">
        <is>
          <t>담당자 파악 후 접촉</t>
        </is>
      </c>
      <c r="AV301" s="17" t="inlineStr">
        <is>
          <t>GMP적합판정+KRX</t>
        </is>
      </c>
      <c r="AW301" s="17" t="inlineStr">
        <is>
          <t>2026-07-05</t>
        </is>
      </c>
    </row>
    <row r="302">
      <c r="A302" s="17" t="inlineStr">
        <is>
          <t>C301</t>
        </is>
      </c>
      <c r="B302" s="17" t="inlineStr">
        <is>
          <t>씨엠에스제약</t>
        </is>
      </c>
      <c r="C302" s="17" t="inlineStr">
        <is>
          <t>씨엠에스제약(주)</t>
        </is>
      </c>
      <c r="D302" s="17" t="n">
        <v>1</v>
      </c>
      <c r="E302" s="17" t="n">
        <v>1</v>
      </c>
      <c r="F302" s="17" t="inlineStr">
        <is>
          <t>Y</t>
        </is>
      </c>
      <c r="G302" s="17" t="inlineStr"/>
      <c r="H302" s="17" t="inlineStr">
        <is>
          <t>Y</t>
        </is>
      </c>
      <c r="I302" s="17" t="inlineStr"/>
      <c r="J302" s="24" t="n">
        <v>46565</v>
      </c>
      <c r="K302" s="17" t="inlineStr"/>
      <c r="L302" s="17" t="inlineStr"/>
      <c r="M302" s="17" t="inlineStr"/>
      <c r="N302" s="23" t="inlineStr"/>
      <c r="O302" s="17" t="inlineStr"/>
      <c r="P302" s="17" t="inlineStr"/>
      <c r="Q302" s="17" t="inlineStr">
        <is>
          <t>김부근</t>
        </is>
      </c>
      <c r="R302" s="17" t="inlineStr"/>
      <c r="S302" s="17" t="inlineStr"/>
      <c r="T302" s="17" t="inlineStr">
        <is>
          <t>043-238-5000</t>
        </is>
      </c>
      <c r="U302" s="17" t="inlineStr">
        <is>
          <t>제조소상세</t>
        </is>
      </c>
      <c r="V302" s="22" t="inlineStr">
        <is>
          <t>미확인</t>
        </is>
      </c>
      <c r="W302" s="22" t="inlineStr">
        <is>
          <t>미확인</t>
        </is>
      </c>
      <c r="X302" s="22" t="inlineStr">
        <is>
          <t>미확인</t>
        </is>
      </c>
      <c r="Y302" s="22" t="inlineStr">
        <is>
          <t>미확인</t>
        </is>
      </c>
      <c r="Z302" s="22" t="inlineStr">
        <is>
          <t>미확인</t>
        </is>
      </c>
      <c r="AA302" s="22" t="inlineStr">
        <is>
          <t>미확인</t>
        </is>
      </c>
      <c r="AB302" s="22" t="inlineStr">
        <is>
          <t>미확인</t>
        </is>
      </c>
      <c r="AC302" s="22" t="inlineStr">
        <is>
          <t>미확인</t>
        </is>
      </c>
      <c r="AD302" s="22" t="inlineStr">
        <is>
          <t>미확인</t>
        </is>
      </c>
      <c r="AE302" s="22" t="inlineStr">
        <is>
          <t>미확인</t>
        </is>
      </c>
      <c r="AF302" s="22" t="inlineStr">
        <is>
          <t>미확인</t>
        </is>
      </c>
      <c r="AG302" s="22" t="inlineStr">
        <is>
          <t>미확인</t>
        </is>
      </c>
      <c r="AH302" s="22" t="inlineStr">
        <is>
          <t>미확인</t>
        </is>
      </c>
      <c r="AI302" s="22" t="inlineStr">
        <is>
          <t>미확인</t>
        </is>
      </c>
      <c r="AJ302" s="22" t="inlineStr">
        <is>
          <t>미확인</t>
        </is>
      </c>
      <c r="AK302" s="22" t="inlineStr">
        <is>
          <t>미확인</t>
        </is>
      </c>
      <c r="AL302" s="22" t="inlineStr">
        <is>
          <t>미확인</t>
        </is>
      </c>
      <c r="AM302" s="22" t="inlineStr">
        <is>
          <t>미확인</t>
        </is>
      </c>
      <c r="AN302" s="22" t="inlineStr">
        <is>
          <t>미확인</t>
        </is>
      </c>
      <c r="AO302" s="17" t="inlineStr">
        <is>
          <t>C(부분확인)</t>
        </is>
      </c>
      <c r="AP302" s="17" t="inlineStr">
        <is>
          <t>Y</t>
        </is>
      </c>
      <c r="AQ302" s="17" t="n">
        <v>15</v>
      </c>
      <c r="AR302" s="28" t="inlineStr">
        <is>
          <t>Tier D</t>
        </is>
      </c>
      <c r="AS302" s="17" t="inlineStr">
        <is>
          <t>QMS+LIMS</t>
        </is>
      </c>
      <c r="AT302" s="17" t="inlineStr">
        <is>
          <t>무균/바이오 제조로 품질관리 난도 높음</t>
        </is>
      </c>
      <c r="AU302" s="17" t="inlineStr">
        <is>
          <t>담당자 파악 후 접촉</t>
        </is>
      </c>
      <c r="AV302" s="17" t="inlineStr">
        <is>
          <t>GMP적합판정+KRX</t>
        </is>
      </c>
      <c r="AW302" s="17" t="inlineStr">
        <is>
          <t>2026-07-05</t>
        </is>
      </c>
    </row>
    <row r="303">
      <c r="A303" s="17" t="inlineStr">
        <is>
          <t>C302</t>
        </is>
      </c>
      <c r="B303" s="17" t="inlineStr">
        <is>
          <t>구주제약</t>
        </is>
      </c>
      <c r="C303" s="17" t="inlineStr">
        <is>
          <t>구주제약(주)</t>
        </is>
      </c>
      <c r="D303" s="17" t="n">
        <v>1</v>
      </c>
      <c r="E303" s="17" t="n">
        <v>1</v>
      </c>
      <c r="F303" s="17" t="inlineStr">
        <is>
          <t>Y</t>
        </is>
      </c>
      <c r="G303" s="17" t="inlineStr"/>
      <c r="H303" s="17" t="inlineStr"/>
      <c r="I303" s="17" t="inlineStr"/>
      <c r="J303" s="24" t="n">
        <v>46564</v>
      </c>
      <c r="K303" s="17" t="inlineStr"/>
      <c r="L303" s="17" t="inlineStr"/>
      <c r="M303" s="17" t="inlineStr"/>
      <c r="N303" s="23" t="inlineStr"/>
      <c r="O303" s="17" t="inlineStr"/>
      <c r="P303" s="17" t="inlineStr"/>
      <c r="Q303" s="17" t="inlineStr">
        <is>
          <t>김우태</t>
        </is>
      </c>
      <c r="R303" s="17" t="inlineStr"/>
      <c r="S303" s="17" t="inlineStr"/>
      <c r="T303" s="17" t="inlineStr">
        <is>
          <t>6721096</t>
        </is>
      </c>
      <c r="U303" s="17" t="inlineStr">
        <is>
          <t>제조소상세</t>
        </is>
      </c>
      <c r="V303" s="22" t="inlineStr">
        <is>
          <t>미확인</t>
        </is>
      </c>
      <c r="W303" s="22" t="inlineStr">
        <is>
          <t>미확인</t>
        </is>
      </c>
      <c r="X303" s="22" t="inlineStr">
        <is>
          <t>미확인</t>
        </is>
      </c>
      <c r="Y303" s="22" t="inlineStr">
        <is>
          <t>미확인</t>
        </is>
      </c>
      <c r="Z303" s="22" t="inlineStr">
        <is>
          <t>미확인</t>
        </is>
      </c>
      <c r="AA303" s="22" t="inlineStr">
        <is>
          <t>미확인</t>
        </is>
      </c>
      <c r="AB303" s="22" t="inlineStr">
        <is>
          <t>미확인</t>
        </is>
      </c>
      <c r="AC303" s="22" t="inlineStr">
        <is>
          <t>미확인</t>
        </is>
      </c>
      <c r="AD303" s="22" t="inlineStr">
        <is>
          <t>미확인</t>
        </is>
      </c>
      <c r="AE303" s="22" t="inlineStr">
        <is>
          <t>미확인</t>
        </is>
      </c>
      <c r="AF303" s="22" t="inlineStr">
        <is>
          <t>미확인</t>
        </is>
      </c>
      <c r="AG303" s="22" t="inlineStr">
        <is>
          <t>미확인</t>
        </is>
      </c>
      <c r="AH303" s="22" t="inlineStr">
        <is>
          <t>미확인</t>
        </is>
      </c>
      <c r="AI303" s="22" t="inlineStr">
        <is>
          <t>미확인</t>
        </is>
      </c>
      <c r="AJ303" s="22" t="inlineStr">
        <is>
          <t>미확인</t>
        </is>
      </c>
      <c r="AK303" s="22" t="inlineStr">
        <is>
          <t>미확인</t>
        </is>
      </c>
      <c r="AL303" s="22" t="inlineStr">
        <is>
          <t>미확인</t>
        </is>
      </c>
      <c r="AM303" s="22" t="inlineStr">
        <is>
          <t>미확인</t>
        </is>
      </c>
      <c r="AN303" s="22" t="inlineStr">
        <is>
          <t>미확인</t>
        </is>
      </c>
      <c r="AO303" s="17" t="inlineStr">
        <is>
          <t>C(부분확인)</t>
        </is>
      </c>
      <c r="AP303" s="17" t="inlineStr">
        <is>
          <t>Y</t>
        </is>
      </c>
      <c r="AQ303" s="17" t="n">
        <v>7</v>
      </c>
      <c r="AR303" s="28" t="inlineStr">
        <is>
          <t>Tier D</t>
        </is>
      </c>
      <c r="AS303" s="17" t="inlineStr">
        <is>
          <t>QMS</t>
        </is>
      </c>
      <c r="AT303" s="17" t="inlineStr">
        <is>
          <t>기본 GMP 문서관리 대상</t>
        </is>
      </c>
      <c r="AU303" s="17" t="inlineStr">
        <is>
          <t>담당자 파악 후 접촉</t>
        </is>
      </c>
      <c r="AV303" s="17" t="inlineStr">
        <is>
          <t>GMP적합판정+KRX</t>
        </is>
      </c>
      <c r="AW303" s="17" t="inlineStr">
        <is>
          <t>2026-07-05</t>
        </is>
      </c>
    </row>
    <row r="304">
      <c r="A304" s="17" t="inlineStr">
        <is>
          <t>C303</t>
        </is>
      </c>
      <c r="B304" s="17" t="inlineStr">
        <is>
          <t>건일제약</t>
        </is>
      </c>
      <c r="C304" s="17" t="inlineStr">
        <is>
          <t>건일제약(주)</t>
        </is>
      </c>
      <c r="D304" s="17" t="n">
        <v>1</v>
      </c>
      <c r="E304" s="17" t="n">
        <v>1</v>
      </c>
      <c r="F304" s="17" t="inlineStr">
        <is>
          <t>Y</t>
        </is>
      </c>
      <c r="G304" s="17" t="inlineStr"/>
      <c r="H304" s="17" t="inlineStr"/>
      <c r="I304" s="17" t="inlineStr"/>
      <c r="J304" s="24" t="n">
        <v>46564</v>
      </c>
      <c r="K304" s="17" t="inlineStr"/>
      <c r="L304" s="17" t="inlineStr"/>
      <c r="M304" s="17" t="inlineStr"/>
      <c r="N304" s="23" t="inlineStr"/>
      <c r="O304" s="17" t="inlineStr"/>
      <c r="P304" s="17" t="inlineStr"/>
      <c r="Q304" s="17" t="inlineStr">
        <is>
          <t>박동규</t>
        </is>
      </c>
      <c r="R304" s="17" t="inlineStr"/>
      <c r="S304" s="17" t="inlineStr"/>
      <c r="T304" s="17" t="inlineStr">
        <is>
          <t>02-2175-9751</t>
        </is>
      </c>
      <c r="U304" s="17" t="inlineStr">
        <is>
          <t>제조소상세</t>
        </is>
      </c>
      <c r="V304" s="22" t="inlineStr">
        <is>
          <t>미확인</t>
        </is>
      </c>
      <c r="W304" s="22" t="inlineStr">
        <is>
          <t>미확인</t>
        </is>
      </c>
      <c r="X304" s="22" t="inlineStr">
        <is>
          <t>미확인</t>
        </is>
      </c>
      <c r="Y304" s="22" t="inlineStr">
        <is>
          <t>미확인</t>
        </is>
      </c>
      <c r="Z304" s="22" t="inlineStr">
        <is>
          <t>미확인</t>
        </is>
      </c>
      <c r="AA304" s="22" t="inlineStr">
        <is>
          <t>미확인</t>
        </is>
      </c>
      <c r="AB304" s="22" t="inlineStr">
        <is>
          <t>미확인</t>
        </is>
      </c>
      <c r="AC304" s="22" t="inlineStr">
        <is>
          <t>미확인</t>
        </is>
      </c>
      <c r="AD304" s="22" t="inlineStr">
        <is>
          <t>미확인</t>
        </is>
      </c>
      <c r="AE304" s="22" t="inlineStr">
        <is>
          <t>미확인</t>
        </is>
      </c>
      <c r="AF304" s="22" t="inlineStr">
        <is>
          <t>미확인</t>
        </is>
      </c>
      <c r="AG304" s="22" t="inlineStr">
        <is>
          <t>미확인</t>
        </is>
      </c>
      <c r="AH304" s="22" t="inlineStr">
        <is>
          <t>미확인</t>
        </is>
      </c>
      <c r="AI304" s="22" t="inlineStr">
        <is>
          <t>미확인</t>
        </is>
      </c>
      <c r="AJ304" s="22" t="inlineStr">
        <is>
          <t>미확인</t>
        </is>
      </c>
      <c r="AK304" s="22" t="inlineStr">
        <is>
          <t>미확인</t>
        </is>
      </c>
      <c r="AL304" s="22" t="inlineStr">
        <is>
          <t>미확인</t>
        </is>
      </c>
      <c r="AM304" s="22" t="inlineStr">
        <is>
          <t>미확인</t>
        </is>
      </c>
      <c r="AN304" s="22" t="inlineStr">
        <is>
          <t>미확인</t>
        </is>
      </c>
      <c r="AO304" s="17" t="inlineStr">
        <is>
          <t>C(부분확인)</t>
        </is>
      </c>
      <c r="AP304" s="17" t="inlineStr">
        <is>
          <t>Y</t>
        </is>
      </c>
      <c r="AQ304" s="17" t="n">
        <v>7</v>
      </c>
      <c r="AR304" s="28" t="inlineStr">
        <is>
          <t>Tier D</t>
        </is>
      </c>
      <c r="AS304" s="17" t="inlineStr">
        <is>
          <t>QMS</t>
        </is>
      </c>
      <c r="AT304" s="17" t="inlineStr">
        <is>
          <t>기본 GMP 문서관리 대상</t>
        </is>
      </c>
      <c r="AU304" s="17" t="inlineStr">
        <is>
          <t>담당자 파악 후 접촉</t>
        </is>
      </c>
      <c r="AV304" s="17" t="inlineStr">
        <is>
          <t>GMP적합판정+KRX</t>
        </is>
      </c>
      <c r="AW304" s="17" t="inlineStr">
        <is>
          <t>2026-07-05</t>
        </is>
      </c>
    </row>
    <row r="305">
      <c r="A305" s="17" t="inlineStr">
        <is>
          <t>C304</t>
        </is>
      </c>
      <c r="B305" s="17" t="inlineStr">
        <is>
          <t>파마리서치바이오</t>
        </is>
      </c>
      <c r="C305" s="17" t="inlineStr">
        <is>
          <t>(주)파마리서치바이오</t>
        </is>
      </c>
      <c r="D305" s="17" t="n">
        <v>2</v>
      </c>
      <c r="E305" s="17" t="n">
        <v>1</v>
      </c>
      <c r="F305" s="17" t="inlineStr">
        <is>
          <t>Y</t>
        </is>
      </c>
      <c r="G305" s="17" t="inlineStr">
        <is>
          <t>Y</t>
        </is>
      </c>
      <c r="H305" s="17" t="inlineStr">
        <is>
          <t>Y</t>
        </is>
      </c>
      <c r="I305" s="17" t="inlineStr">
        <is>
          <t>Y</t>
        </is>
      </c>
      <c r="J305" s="24" t="n">
        <v>46558</v>
      </c>
      <c r="K305" s="17" t="inlineStr"/>
      <c r="L305" s="17" t="inlineStr">
        <is>
          <t>Y</t>
        </is>
      </c>
      <c r="M305" s="17" t="inlineStr">
        <is>
          <t>코넥스</t>
        </is>
      </c>
      <c r="N305" s="23" t="inlineStr">
        <is>
          <t>217950</t>
        </is>
      </c>
      <c r="O305" s="17" t="inlineStr">
        <is>
          <t>의약품 제조업</t>
        </is>
      </c>
      <c r="P305" s="17" t="inlineStr">
        <is>
          <t>메디컬 에스테틱, 생물학적 제재</t>
        </is>
      </c>
      <c r="Q305" s="17" t="inlineStr">
        <is>
          <t>백승걸, 원치엽 (각자대표)</t>
        </is>
      </c>
      <c r="R305" s="17" t="inlineStr">
        <is>
          <t>http://www.pr-bio.co.kr</t>
        </is>
      </c>
      <c r="S305" s="17" t="inlineStr">
        <is>
          <t>강원특별자치도</t>
        </is>
      </c>
      <c r="T305" s="17" t="inlineStr">
        <is>
          <t>미확인</t>
        </is>
      </c>
      <c r="U305" s="17" t="inlineStr">
        <is>
          <t>미확인</t>
        </is>
      </c>
      <c r="V305" s="22" t="inlineStr">
        <is>
          <t>미확인</t>
        </is>
      </c>
      <c r="W305" s="22" t="inlineStr">
        <is>
          <t>미확인</t>
        </is>
      </c>
      <c r="X305" s="22" t="inlineStr">
        <is>
          <t>미확인</t>
        </is>
      </c>
      <c r="Y305" s="22" t="inlineStr">
        <is>
          <t>미확인</t>
        </is>
      </c>
      <c r="Z305" s="22" t="inlineStr">
        <is>
          <t>미확인</t>
        </is>
      </c>
      <c r="AA305" s="22" t="inlineStr">
        <is>
          <t>미확인</t>
        </is>
      </c>
      <c r="AB305" s="22" t="inlineStr">
        <is>
          <t>미확인</t>
        </is>
      </c>
      <c r="AC305" s="22" t="inlineStr">
        <is>
          <t>미확인</t>
        </is>
      </c>
      <c r="AD305" s="22" t="inlineStr">
        <is>
          <t>미확인</t>
        </is>
      </c>
      <c r="AE305" s="22" t="inlineStr">
        <is>
          <t>미확인</t>
        </is>
      </c>
      <c r="AF305" s="22" t="inlineStr">
        <is>
          <t>미확인</t>
        </is>
      </c>
      <c r="AG305" s="22" t="inlineStr">
        <is>
          <t>미확인</t>
        </is>
      </c>
      <c r="AH305" s="22" t="inlineStr">
        <is>
          <t>미확인</t>
        </is>
      </c>
      <c r="AI305" s="22" t="inlineStr">
        <is>
          <t>미확인</t>
        </is>
      </c>
      <c r="AJ305" s="22" t="inlineStr">
        <is>
          <t>미확인</t>
        </is>
      </c>
      <c r="AK305" s="22" t="inlineStr">
        <is>
          <t>미확인</t>
        </is>
      </c>
      <c r="AL305" s="22" t="inlineStr">
        <is>
          <t>미확인</t>
        </is>
      </c>
      <c r="AM305" s="22" t="inlineStr">
        <is>
          <t>미확인</t>
        </is>
      </c>
      <c r="AN305" s="22" t="inlineStr">
        <is>
          <t>미확인</t>
        </is>
      </c>
      <c r="AO305" s="17" t="inlineStr">
        <is>
          <t>C(부분확인)</t>
        </is>
      </c>
      <c r="AP305" s="17" t="inlineStr">
        <is>
          <t>Y</t>
        </is>
      </c>
      <c r="AQ305" s="17" t="n">
        <v>22</v>
      </c>
      <c r="AR305" s="28" t="inlineStr">
        <is>
          <t>Tier D</t>
        </is>
      </c>
      <c r="AS305" s="17" t="inlineStr">
        <is>
          <t>QMS+LIMS</t>
        </is>
      </c>
      <c r="AT305" s="17" t="inlineStr">
        <is>
          <t>무균/바이오 제조로 품질관리 난도 높음; 원료 제조로 시험실 관리 필요</t>
        </is>
      </c>
      <c r="AU305" s="17" t="inlineStr">
        <is>
          <t>담당자 파악 후 접촉</t>
        </is>
      </c>
      <c r="AV305" s="17" t="inlineStr">
        <is>
          <t>GMP적합판정+KRX</t>
        </is>
      </c>
      <c r="AW305" s="17" t="inlineStr">
        <is>
          <t>2026-07-05</t>
        </is>
      </c>
    </row>
    <row r="306">
      <c r="A306" s="17" t="inlineStr">
        <is>
          <t>C305</t>
        </is>
      </c>
      <c r="B306" s="17" t="inlineStr">
        <is>
          <t>삼영유니텍</t>
        </is>
      </c>
      <c r="C306" s="17" t="inlineStr">
        <is>
          <t>(주)삼영유니텍</t>
        </is>
      </c>
      <c r="D306" s="17" t="n">
        <v>1</v>
      </c>
      <c r="E306" s="17" t="n">
        <v>1</v>
      </c>
      <c r="F306" s="17" t="inlineStr">
        <is>
          <t>Y</t>
        </is>
      </c>
      <c r="G306" s="17" t="inlineStr"/>
      <c r="H306" s="17" t="inlineStr">
        <is>
          <t>Y</t>
        </is>
      </c>
      <c r="I306" s="17" t="inlineStr"/>
      <c r="J306" s="24" t="n">
        <v>46558</v>
      </c>
      <c r="K306" s="17" t="inlineStr"/>
      <c r="L306" s="17" t="inlineStr"/>
      <c r="M306" s="17" t="inlineStr"/>
      <c r="N306" s="23" t="inlineStr"/>
      <c r="O306" s="17" t="inlineStr"/>
      <c r="P306" s="17" t="inlineStr"/>
      <c r="Q306" s="17" t="inlineStr">
        <is>
          <t>정경일</t>
        </is>
      </c>
      <c r="R306" s="17" t="inlineStr"/>
      <c r="S306" s="17" t="inlineStr"/>
      <c r="T306" s="17" t="inlineStr">
        <is>
          <t>042-863-8982</t>
        </is>
      </c>
      <c r="U306" s="17" t="inlineStr">
        <is>
          <t>제조소상세</t>
        </is>
      </c>
      <c r="V306" s="22" t="inlineStr">
        <is>
          <t>미확인</t>
        </is>
      </c>
      <c r="W306" s="22" t="inlineStr">
        <is>
          <t>미확인</t>
        </is>
      </c>
      <c r="X306" s="22" t="inlineStr">
        <is>
          <t>미확인</t>
        </is>
      </c>
      <c r="Y306" s="22" t="inlineStr">
        <is>
          <t>미확인</t>
        </is>
      </c>
      <c r="Z306" s="22" t="inlineStr">
        <is>
          <t>미확인</t>
        </is>
      </c>
      <c r="AA306" s="22" t="inlineStr">
        <is>
          <t>미확인</t>
        </is>
      </c>
      <c r="AB306" s="22" t="inlineStr">
        <is>
          <t>미확인</t>
        </is>
      </c>
      <c r="AC306" s="22" t="inlineStr">
        <is>
          <t>미확인</t>
        </is>
      </c>
      <c r="AD306" s="22" t="inlineStr">
        <is>
          <t>미확인</t>
        </is>
      </c>
      <c r="AE306" s="22" t="inlineStr">
        <is>
          <t>미확인</t>
        </is>
      </c>
      <c r="AF306" s="22" t="inlineStr">
        <is>
          <t>미확인</t>
        </is>
      </c>
      <c r="AG306" s="22" t="inlineStr">
        <is>
          <t>미확인</t>
        </is>
      </c>
      <c r="AH306" s="22" t="inlineStr">
        <is>
          <t>미확인</t>
        </is>
      </c>
      <c r="AI306" s="22" t="inlineStr">
        <is>
          <t>미확인</t>
        </is>
      </c>
      <c r="AJ306" s="22" t="inlineStr">
        <is>
          <t>미확인</t>
        </is>
      </c>
      <c r="AK306" s="22" t="inlineStr">
        <is>
          <t>미확인</t>
        </is>
      </c>
      <c r="AL306" s="22" t="inlineStr">
        <is>
          <t>미확인</t>
        </is>
      </c>
      <c r="AM306" s="22" t="inlineStr">
        <is>
          <t>미확인</t>
        </is>
      </c>
      <c r="AN306" s="22" t="inlineStr">
        <is>
          <t>미확인</t>
        </is>
      </c>
      <c r="AO306" s="17" t="inlineStr">
        <is>
          <t>C(부분확인)</t>
        </is>
      </c>
      <c r="AP306" s="17" t="inlineStr">
        <is>
          <t>Y</t>
        </is>
      </c>
      <c r="AQ306" s="17" t="n">
        <v>15</v>
      </c>
      <c r="AR306" s="28" t="inlineStr">
        <is>
          <t>Tier D</t>
        </is>
      </c>
      <c r="AS306" s="17" t="inlineStr">
        <is>
          <t>QMS+LIMS</t>
        </is>
      </c>
      <c r="AT306" s="17" t="inlineStr">
        <is>
          <t>무균/바이오 제조로 품질관리 난도 높음</t>
        </is>
      </c>
      <c r="AU306" s="17" t="inlineStr">
        <is>
          <t>담당자 파악 후 접촉</t>
        </is>
      </c>
      <c r="AV306" s="17" t="inlineStr">
        <is>
          <t>GMP적합판정+KRX</t>
        </is>
      </c>
      <c r="AW306" s="17" t="inlineStr">
        <is>
          <t>2026-07-05</t>
        </is>
      </c>
    </row>
    <row r="307">
      <c r="A307" s="17" t="inlineStr">
        <is>
          <t>C306</t>
        </is>
      </c>
      <c r="B307" s="17" t="inlineStr">
        <is>
          <t>한서켐</t>
        </is>
      </c>
      <c r="C307" s="17" t="inlineStr">
        <is>
          <t>(주)한서켐</t>
        </is>
      </c>
      <c r="D307" s="17" t="n">
        <v>1</v>
      </c>
      <c r="E307" s="17" t="n">
        <v>1</v>
      </c>
      <c r="F307" s="17" t="inlineStr"/>
      <c r="G307" s="17" t="inlineStr">
        <is>
          <t>Y</t>
        </is>
      </c>
      <c r="H307" s="17" t="inlineStr"/>
      <c r="I307" s="17" t="inlineStr"/>
      <c r="J307" s="24" t="n">
        <v>46557</v>
      </c>
      <c r="K307" s="17" t="inlineStr"/>
      <c r="L307" s="17" t="inlineStr"/>
      <c r="M307" s="17" t="inlineStr"/>
      <c r="N307" s="23" t="inlineStr"/>
      <c r="O307" s="17" t="inlineStr"/>
      <c r="P307" s="17" t="inlineStr"/>
      <c r="Q307" s="17" t="inlineStr">
        <is>
          <t>김기남, 오민근</t>
        </is>
      </c>
      <c r="R307" s="17" t="inlineStr"/>
      <c r="S307" s="17" t="inlineStr"/>
      <c r="T307" s="17" t="inlineStr">
        <is>
          <t>031-682-8655</t>
        </is>
      </c>
      <c r="U307" s="17" t="inlineStr">
        <is>
          <t>제조소상세</t>
        </is>
      </c>
      <c r="V307" s="22" t="inlineStr">
        <is>
          <t>미확인</t>
        </is>
      </c>
      <c r="W307" s="22" t="inlineStr">
        <is>
          <t>미확인</t>
        </is>
      </c>
      <c r="X307" s="22" t="inlineStr">
        <is>
          <t>미확인</t>
        </is>
      </c>
      <c r="Y307" s="22" t="inlineStr">
        <is>
          <t>미확인</t>
        </is>
      </c>
      <c r="Z307" s="22" t="inlineStr">
        <is>
          <t>미확인</t>
        </is>
      </c>
      <c r="AA307" s="22" t="inlineStr">
        <is>
          <t>미확인</t>
        </is>
      </c>
      <c r="AB307" s="22" t="inlineStr">
        <is>
          <t>미확인</t>
        </is>
      </c>
      <c r="AC307" s="22" t="inlineStr">
        <is>
          <t>미확인</t>
        </is>
      </c>
      <c r="AD307" s="22" t="inlineStr">
        <is>
          <t>미확인</t>
        </is>
      </c>
      <c r="AE307" s="22" t="inlineStr">
        <is>
          <t>미확인</t>
        </is>
      </c>
      <c r="AF307" s="22" t="inlineStr">
        <is>
          <t>미확인</t>
        </is>
      </c>
      <c r="AG307" s="22" t="inlineStr">
        <is>
          <t>미확인</t>
        </is>
      </c>
      <c r="AH307" s="22" t="inlineStr">
        <is>
          <t>미확인</t>
        </is>
      </c>
      <c r="AI307" s="22" t="inlineStr">
        <is>
          <t>미확인</t>
        </is>
      </c>
      <c r="AJ307" s="22" t="inlineStr">
        <is>
          <t>미확인</t>
        </is>
      </c>
      <c r="AK307" s="22" t="inlineStr">
        <is>
          <t>미확인</t>
        </is>
      </c>
      <c r="AL307" s="22" t="inlineStr">
        <is>
          <t>미확인</t>
        </is>
      </c>
      <c r="AM307" s="22" t="inlineStr">
        <is>
          <t>미확인</t>
        </is>
      </c>
      <c r="AN307" s="22" t="inlineStr">
        <is>
          <t>미확인</t>
        </is>
      </c>
      <c r="AO307" s="17" t="inlineStr">
        <is>
          <t>C(부분확인)</t>
        </is>
      </c>
      <c r="AP307" s="17" t="inlineStr">
        <is>
          <t>Y</t>
        </is>
      </c>
      <c r="AQ307" s="17" t="n">
        <v>7</v>
      </c>
      <c r="AR307" s="28" t="inlineStr">
        <is>
          <t>Tier D</t>
        </is>
      </c>
      <c r="AS307" s="17" t="inlineStr">
        <is>
          <t>QMS+LIMS</t>
        </is>
      </c>
      <c r="AT307" s="17" t="inlineStr">
        <is>
          <t>원료 제조로 시험실 관리 필요</t>
        </is>
      </c>
      <c r="AU307" s="17" t="inlineStr">
        <is>
          <t>담당자 파악 후 접촉</t>
        </is>
      </c>
      <c r="AV307" s="17" t="inlineStr">
        <is>
          <t>GMP적합판정+KRX</t>
        </is>
      </c>
      <c r="AW307" s="17" t="inlineStr">
        <is>
          <t>2026-07-05</t>
        </is>
      </c>
    </row>
    <row r="308">
      <c r="A308" s="17" t="inlineStr">
        <is>
          <t>C307</t>
        </is>
      </c>
      <c r="B308" s="17" t="inlineStr">
        <is>
          <t>구미제약</t>
        </is>
      </c>
      <c r="C308" s="17" t="inlineStr">
        <is>
          <t>구미제약(주)</t>
        </is>
      </c>
      <c r="D308" s="17" t="n">
        <v>2</v>
      </c>
      <c r="E308" s="17" t="n">
        <v>1</v>
      </c>
      <c r="F308" s="17" t="inlineStr">
        <is>
          <t>Y</t>
        </is>
      </c>
      <c r="G308" s="17" t="inlineStr">
        <is>
          <t>Y</t>
        </is>
      </c>
      <c r="H308" s="17" t="inlineStr"/>
      <c r="I308" s="17" t="inlineStr"/>
      <c r="J308" s="24" t="n">
        <v>46557</v>
      </c>
      <c r="K308" s="17" t="inlineStr"/>
      <c r="L308" s="17" t="inlineStr"/>
      <c r="M308" s="17" t="inlineStr"/>
      <c r="N308" s="23" t="inlineStr"/>
      <c r="O308" s="17" t="inlineStr"/>
      <c r="P308" s="17" t="inlineStr"/>
      <c r="Q308" s="17" t="inlineStr">
        <is>
          <t>이용의</t>
        </is>
      </c>
      <c r="R308" s="17" t="inlineStr"/>
      <c r="S308" s="17" t="inlineStr"/>
      <c r="T308" s="17" t="inlineStr">
        <is>
          <t>031-989-8226</t>
        </is>
      </c>
      <c r="U308" s="17" t="inlineStr">
        <is>
          <t>제조소상세</t>
        </is>
      </c>
      <c r="V308" s="22" t="inlineStr">
        <is>
          <t>미확인</t>
        </is>
      </c>
      <c r="W308" s="22" t="inlineStr">
        <is>
          <t>미확인</t>
        </is>
      </c>
      <c r="X308" s="22" t="inlineStr">
        <is>
          <t>미확인</t>
        </is>
      </c>
      <c r="Y308" s="22" t="inlineStr">
        <is>
          <t>미확인</t>
        </is>
      </c>
      <c r="Z308" s="22" t="inlineStr">
        <is>
          <t>미확인</t>
        </is>
      </c>
      <c r="AA308" s="22" t="inlineStr">
        <is>
          <t>미확인</t>
        </is>
      </c>
      <c r="AB308" s="22" t="inlineStr">
        <is>
          <t>미확인</t>
        </is>
      </c>
      <c r="AC308" s="22" t="inlineStr">
        <is>
          <t>미확인</t>
        </is>
      </c>
      <c r="AD308" s="22" t="inlineStr">
        <is>
          <t>미확인</t>
        </is>
      </c>
      <c r="AE308" s="22" t="inlineStr">
        <is>
          <t>미확인</t>
        </is>
      </c>
      <c r="AF308" s="22" t="inlineStr">
        <is>
          <t>미확인</t>
        </is>
      </c>
      <c r="AG308" s="22" t="inlineStr">
        <is>
          <t>미확인</t>
        </is>
      </c>
      <c r="AH308" s="22" t="inlineStr">
        <is>
          <t>미확인</t>
        </is>
      </c>
      <c r="AI308" s="22" t="inlineStr">
        <is>
          <t>미확인</t>
        </is>
      </c>
      <c r="AJ308" s="22" t="inlineStr">
        <is>
          <t>미확인</t>
        </is>
      </c>
      <c r="AK308" s="22" t="inlineStr">
        <is>
          <t>미확인</t>
        </is>
      </c>
      <c r="AL308" s="22" t="inlineStr">
        <is>
          <t>미확인</t>
        </is>
      </c>
      <c r="AM308" s="22" t="inlineStr">
        <is>
          <t>미확인</t>
        </is>
      </c>
      <c r="AN308" s="22" t="inlineStr">
        <is>
          <t>미확인</t>
        </is>
      </c>
      <c r="AO308" s="17" t="inlineStr">
        <is>
          <t>C(부분확인)</t>
        </is>
      </c>
      <c r="AP308" s="17" t="inlineStr">
        <is>
          <t>Y</t>
        </is>
      </c>
      <c r="AQ308" s="17" t="n">
        <v>7</v>
      </c>
      <c r="AR308" s="28" t="inlineStr">
        <is>
          <t>Tier D</t>
        </is>
      </c>
      <c r="AS308" s="17" t="inlineStr">
        <is>
          <t>QMS+LIMS</t>
        </is>
      </c>
      <c r="AT308" s="17" t="inlineStr">
        <is>
          <t>원료 제조로 시험실 관리 필요</t>
        </is>
      </c>
      <c r="AU308" s="17" t="inlineStr">
        <is>
          <t>담당자 파악 후 접촉</t>
        </is>
      </c>
      <c r="AV308" s="17" t="inlineStr">
        <is>
          <t>GMP적합판정+KRX</t>
        </is>
      </c>
      <c r="AW308" s="17" t="inlineStr">
        <is>
          <t>2026-07-05</t>
        </is>
      </c>
    </row>
    <row r="309">
      <c r="A309" s="17" t="inlineStr">
        <is>
          <t>C308</t>
        </is>
      </c>
      <c r="B309" s="17" t="inlineStr">
        <is>
          <t>삼오제약</t>
        </is>
      </c>
      <c r="C309" s="17" t="inlineStr">
        <is>
          <t>(주)삼오제약</t>
        </is>
      </c>
      <c r="D309" s="17" t="n">
        <v>1</v>
      </c>
      <c r="E309" s="17" t="n">
        <v>1</v>
      </c>
      <c r="F309" s="17" t="inlineStr"/>
      <c r="G309" s="17" t="inlineStr">
        <is>
          <t>Y</t>
        </is>
      </c>
      <c r="H309" s="17" t="inlineStr"/>
      <c r="I309" s="17" t="inlineStr"/>
      <c r="J309" s="24" t="n">
        <v>46551</v>
      </c>
      <c r="K309" s="17" t="inlineStr"/>
      <c r="L309" s="17" t="inlineStr"/>
      <c r="M309" s="17" t="inlineStr"/>
      <c r="N309" s="23" t="inlineStr"/>
      <c r="O309" s="17" t="inlineStr"/>
      <c r="P309" s="17" t="inlineStr"/>
      <c r="Q309" s="17" t="inlineStr">
        <is>
          <t>양영재</t>
        </is>
      </c>
      <c r="R309" s="17" t="inlineStr"/>
      <c r="S309" s="17" t="inlineStr"/>
      <c r="T309" s="17" t="inlineStr">
        <is>
          <t>031-498-0355</t>
        </is>
      </c>
      <c r="U309" s="17" t="inlineStr">
        <is>
          <t>제조소상세</t>
        </is>
      </c>
      <c r="V309" s="22" t="inlineStr">
        <is>
          <t>미확인</t>
        </is>
      </c>
      <c r="W309" s="22" t="inlineStr">
        <is>
          <t>미확인</t>
        </is>
      </c>
      <c r="X309" s="22" t="inlineStr">
        <is>
          <t>미확인</t>
        </is>
      </c>
      <c r="Y309" s="22" t="inlineStr">
        <is>
          <t>미확인</t>
        </is>
      </c>
      <c r="Z309" s="22" t="inlineStr">
        <is>
          <t>미확인</t>
        </is>
      </c>
      <c r="AA309" s="22" t="inlineStr">
        <is>
          <t>미확인</t>
        </is>
      </c>
      <c r="AB309" s="22" t="inlineStr">
        <is>
          <t>미확인</t>
        </is>
      </c>
      <c r="AC309" s="22" t="inlineStr">
        <is>
          <t>미확인</t>
        </is>
      </c>
      <c r="AD309" s="22" t="inlineStr">
        <is>
          <t>미확인</t>
        </is>
      </c>
      <c r="AE309" s="22" t="inlineStr">
        <is>
          <t>미확인</t>
        </is>
      </c>
      <c r="AF309" s="22" t="inlineStr">
        <is>
          <t>미확인</t>
        </is>
      </c>
      <c r="AG309" s="22" t="inlineStr">
        <is>
          <t>미확인</t>
        </is>
      </c>
      <c r="AH309" s="22" t="inlineStr">
        <is>
          <t>미확인</t>
        </is>
      </c>
      <c r="AI309" s="22" t="inlineStr">
        <is>
          <t>미확인</t>
        </is>
      </c>
      <c r="AJ309" s="22" t="inlineStr">
        <is>
          <t>미확인</t>
        </is>
      </c>
      <c r="AK309" s="22" t="inlineStr">
        <is>
          <t>미확인</t>
        </is>
      </c>
      <c r="AL309" s="22" t="inlineStr">
        <is>
          <t>미확인</t>
        </is>
      </c>
      <c r="AM309" s="22" t="inlineStr">
        <is>
          <t>미확인</t>
        </is>
      </c>
      <c r="AN309" s="22" t="inlineStr">
        <is>
          <t>미확인</t>
        </is>
      </c>
      <c r="AO309" s="17" t="inlineStr">
        <is>
          <t>C(부분확인)</t>
        </is>
      </c>
      <c r="AP309" s="17" t="inlineStr">
        <is>
          <t>Y</t>
        </is>
      </c>
      <c r="AQ309" s="17" t="n">
        <v>7</v>
      </c>
      <c r="AR309" s="28" t="inlineStr">
        <is>
          <t>Tier D</t>
        </is>
      </c>
      <c r="AS309" s="17" t="inlineStr">
        <is>
          <t>QMS+LIMS</t>
        </is>
      </c>
      <c r="AT309" s="17" t="inlineStr">
        <is>
          <t>원료 제조로 시험실 관리 필요</t>
        </is>
      </c>
      <c r="AU309" s="17" t="inlineStr">
        <is>
          <t>담당자 파악 후 접촉</t>
        </is>
      </c>
      <c r="AV309" s="17" t="inlineStr">
        <is>
          <t>GMP적합판정+KRX</t>
        </is>
      </c>
      <c r="AW309" s="17" t="inlineStr">
        <is>
          <t>2026-07-05</t>
        </is>
      </c>
    </row>
    <row r="310">
      <c r="A310" s="17" t="inlineStr">
        <is>
          <t>C309</t>
        </is>
      </c>
      <c r="B310" s="17" t="inlineStr">
        <is>
          <t>제론셀베인</t>
        </is>
      </c>
      <c r="C310" s="17" t="inlineStr">
        <is>
          <t>주식회사 제론셀베인</t>
        </is>
      </c>
      <c r="D310" s="17" t="n">
        <v>2</v>
      </c>
      <c r="E310" s="17" t="n">
        <v>1</v>
      </c>
      <c r="F310" s="17" t="inlineStr">
        <is>
          <t>Y</t>
        </is>
      </c>
      <c r="G310" s="17" t="inlineStr">
        <is>
          <t>Y</t>
        </is>
      </c>
      <c r="H310" s="17" t="inlineStr"/>
      <c r="I310" s="17" t="inlineStr"/>
      <c r="J310" s="24" t="n">
        <v>46542</v>
      </c>
      <c r="K310" s="17" t="inlineStr"/>
      <c r="L310" s="17" t="inlineStr"/>
      <c r="M310" s="17" t="inlineStr"/>
      <c r="N310" s="23" t="inlineStr"/>
      <c r="O310" s="17" t="inlineStr"/>
      <c r="P310" s="17" t="inlineStr"/>
      <c r="Q310" s="17" t="inlineStr">
        <is>
          <t>김덕규</t>
        </is>
      </c>
      <c r="R310" s="17" t="inlineStr"/>
      <c r="S310" s="17" t="inlineStr"/>
      <c r="T310" s="17" t="inlineStr">
        <is>
          <t>041-533-9889</t>
        </is>
      </c>
      <c r="U310" s="17" t="inlineStr">
        <is>
          <t>제조소상세</t>
        </is>
      </c>
      <c r="V310" s="22" t="inlineStr">
        <is>
          <t>미확인</t>
        </is>
      </c>
      <c r="W310" s="22" t="inlineStr">
        <is>
          <t>미확인</t>
        </is>
      </c>
      <c r="X310" s="22" t="inlineStr">
        <is>
          <t>미확인</t>
        </is>
      </c>
      <c r="Y310" s="22" t="inlineStr">
        <is>
          <t>미확인</t>
        </is>
      </c>
      <c r="Z310" s="22" t="inlineStr">
        <is>
          <t>미확인</t>
        </is>
      </c>
      <c r="AA310" s="22" t="inlineStr">
        <is>
          <t>미확인</t>
        </is>
      </c>
      <c r="AB310" s="22" t="inlineStr">
        <is>
          <t>미확인</t>
        </is>
      </c>
      <c r="AC310" s="22" t="inlineStr">
        <is>
          <t>미확인</t>
        </is>
      </c>
      <c r="AD310" s="22" t="inlineStr">
        <is>
          <t>미확인</t>
        </is>
      </c>
      <c r="AE310" s="22" t="inlineStr">
        <is>
          <t>미확인</t>
        </is>
      </c>
      <c r="AF310" s="22" t="inlineStr">
        <is>
          <t>미확인</t>
        </is>
      </c>
      <c r="AG310" s="22" t="inlineStr">
        <is>
          <t>미확인</t>
        </is>
      </c>
      <c r="AH310" s="22" t="inlineStr">
        <is>
          <t>미확인</t>
        </is>
      </c>
      <c r="AI310" s="22" t="inlineStr">
        <is>
          <t>미확인</t>
        </is>
      </c>
      <c r="AJ310" s="22" t="inlineStr">
        <is>
          <t>미확인</t>
        </is>
      </c>
      <c r="AK310" s="22" t="inlineStr">
        <is>
          <t>미확인</t>
        </is>
      </c>
      <c r="AL310" s="22" t="inlineStr">
        <is>
          <t>미확인</t>
        </is>
      </c>
      <c r="AM310" s="22" t="inlineStr">
        <is>
          <t>미확인</t>
        </is>
      </c>
      <c r="AN310" s="22" t="inlineStr">
        <is>
          <t>미확인</t>
        </is>
      </c>
      <c r="AO310" s="17" t="inlineStr">
        <is>
          <t>C(부분확인)</t>
        </is>
      </c>
      <c r="AP310" s="17" t="inlineStr">
        <is>
          <t>Y</t>
        </is>
      </c>
      <c r="AQ310" s="17" t="n">
        <v>7</v>
      </c>
      <c r="AR310" s="28" t="inlineStr">
        <is>
          <t>Tier D</t>
        </is>
      </c>
      <c r="AS310" s="17" t="inlineStr">
        <is>
          <t>QMS+LIMS</t>
        </is>
      </c>
      <c r="AT310" s="17" t="inlineStr">
        <is>
          <t>원료 제조로 시험실 관리 필요</t>
        </is>
      </c>
      <c r="AU310" s="17" t="inlineStr">
        <is>
          <t>담당자 파악 후 접촉</t>
        </is>
      </c>
      <c r="AV310" s="17" t="inlineStr">
        <is>
          <t>GMP적합판정+KRX</t>
        </is>
      </c>
      <c r="AW310" s="17" t="inlineStr">
        <is>
          <t>2026-07-05</t>
        </is>
      </c>
    </row>
    <row r="311">
      <c r="A311" s="17" t="inlineStr">
        <is>
          <t>C310</t>
        </is>
      </c>
      <c r="B311" s="17" t="inlineStr">
        <is>
          <t>단일에이피</t>
        </is>
      </c>
      <c r="C311" s="17" t="inlineStr">
        <is>
          <t>단일에이피(주)</t>
        </is>
      </c>
      <c r="D311" s="17" t="n">
        <v>1</v>
      </c>
      <c r="E311" s="17" t="n">
        <v>1</v>
      </c>
      <c r="F311" s="17" t="inlineStr">
        <is>
          <t>Y</t>
        </is>
      </c>
      <c r="G311" s="17" t="inlineStr"/>
      <c r="H311" s="17" t="inlineStr"/>
      <c r="I311" s="17" t="inlineStr"/>
      <c r="J311" s="24" t="n">
        <v>46542</v>
      </c>
      <c r="K311" s="17" t="inlineStr"/>
      <c r="L311" s="17" t="inlineStr"/>
      <c r="M311" s="17" t="inlineStr"/>
      <c r="N311" s="23" t="inlineStr"/>
      <c r="O311" s="17" t="inlineStr"/>
      <c r="P311" s="17" t="inlineStr"/>
      <c r="Q311" s="17" t="inlineStr">
        <is>
          <t>장세정</t>
        </is>
      </c>
      <c r="R311" s="17" t="inlineStr"/>
      <c r="S311" s="17" t="inlineStr"/>
      <c r="T311" s="17" t="inlineStr">
        <is>
          <t>031-563-3379</t>
        </is>
      </c>
      <c r="U311" s="17" t="inlineStr">
        <is>
          <t>제조소상세</t>
        </is>
      </c>
      <c r="V311" s="22" t="inlineStr">
        <is>
          <t>미확인</t>
        </is>
      </c>
      <c r="W311" s="22" t="inlineStr">
        <is>
          <t>미확인</t>
        </is>
      </c>
      <c r="X311" s="22" t="inlineStr">
        <is>
          <t>미확인</t>
        </is>
      </c>
      <c r="Y311" s="22" t="inlineStr">
        <is>
          <t>미확인</t>
        </is>
      </c>
      <c r="Z311" s="22" t="inlineStr">
        <is>
          <t>미확인</t>
        </is>
      </c>
      <c r="AA311" s="22" t="inlineStr">
        <is>
          <t>미확인</t>
        </is>
      </c>
      <c r="AB311" s="22" t="inlineStr">
        <is>
          <t>미확인</t>
        </is>
      </c>
      <c r="AC311" s="22" t="inlineStr">
        <is>
          <t>미확인</t>
        </is>
      </c>
      <c r="AD311" s="22" t="inlineStr">
        <is>
          <t>미확인</t>
        </is>
      </c>
      <c r="AE311" s="22" t="inlineStr">
        <is>
          <t>미확인</t>
        </is>
      </c>
      <c r="AF311" s="22" t="inlineStr">
        <is>
          <t>미확인</t>
        </is>
      </c>
      <c r="AG311" s="22" t="inlineStr">
        <is>
          <t>미확인</t>
        </is>
      </c>
      <c r="AH311" s="22" t="inlineStr">
        <is>
          <t>미확인</t>
        </is>
      </c>
      <c r="AI311" s="22" t="inlineStr">
        <is>
          <t>미확인</t>
        </is>
      </c>
      <c r="AJ311" s="22" t="inlineStr">
        <is>
          <t>미확인</t>
        </is>
      </c>
      <c r="AK311" s="22" t="inlineStr">
        <is>
          <t>미확인</t>
        </is>
      </c>
      <c r="AL311" s="22" t="inlineStr">
        <is>
          <t>미확인</t>
        </is>
      </c>
      <c r="AM311" s="22" t="inlineStr">
        <is>
          <t>미확인</t>
        </is>
      </c>
      <c r="AN311" s="22" t="inlineStr">
        <is>
          <t>미확인</t>
        </is>
      </c>
      <c r="AO311" s="17" t="inlineStr">
        <is>
          <t>C(부분확인)</t>
        </is>
      </c>
      <c r="AP311" s="17" t="inlineStr">
        <is>
          <t>Y</t>
        </is>
      </c>
      <c r="AQ311" s="17" t="n">
        <v>7</v>
      </c>
      <c r="AR311" s="28" t="inlineStr">
        <is>
          <t>Tier D</t>
        </is>
      </c>
      <c r="AS311" s="17" t="inlineStr">
        <is>
          <t>QMS</t>
        </is>
      </c>
      <c r="AT311" s="17" t="inlineStr">
        <is>
          <t>기본 GMP 문서관리 대상</t>
        </is>
      </c>
      <c r="AU311" s="17" t="inlineStr">
        <is>
          <t>담당자 파악 후 접촉</t>
        </is>
      </c>
      <c r="AV311" s="17" t="inlineStr">
        <is>
          <t>GMP적합판정+KRX</t>
        </is>
      </c>
      <c r="AW311" s="17" t="inlineStr">
        <is>
          <t>2026-07-05</t>
        </is>
      </c>
    </row>
    <row r="312">
      <c r="A312" s="17" t="inlineStr">
        <is>
          <t>C311</t>
        </is>
      </c>
      <c r="B312" s="17" t="inlineStr">
        <is>
          <t>동인화학</t>
        </is>
      </c>
      <c r="C312" s="17" t="inlineStr">
        <is>
          <t>(주)동인화학</t>
        </is>
      </c>
      <c r="D312" s="17" t="n">
        <v>1</v>
      </c>
      <c r="E312" s="17" t="n">
        <v>1</v>
      </c>
      <c r="F312" s="17" t="inlineStr"/>
      <c r="G312" s="17" t="inlineStr">
        <is>
          <t>Y</t>
        </is>
      </c>
      <c r="H312" s="17" t="inlineStr"/>
      <c r="I312" s="17" t="inlineStr"/>
      <c r="J312" s="24" t="n">
        <v>46542</v>
      </c>
      <c r="K312" s="17" t="inlineStr"/>
      <c r="L312" s="17" t="inlineStr"/>
      <c r="M312" s="17" t="inlineStr"/>
      <c r="N312" s="23" t="inlineStr"/>
      <c r="O312" s="17" t="inlineStr"/>
      <c r="P312" s="17" t="inlineStr"/>
      <c r="Q312" s="17" t="inlineStr">
        <is>
          <t>김선경</t>
        </is>
      </c>
      <c r="R312" s="17" t="inlineStr"/>
      <c r="S312" s="17" t="inlineStr"/>
      <c r="T312" s="17" t="inlineStr">
        <is>
          <t>031-665-0972</t>
        </is>
      </c>
      <c r="U312" s="17" t="inlineStr">
        <is>
          <t>제조소상세</t>
        </is>
      </c>
      <c r="V312" s="22" t="inlineStr">
        <is>
          <t>미확인</t>
        </is>
      </c>
      <c r="W312" s="22" t="inlineStr">
        <is>
          <t>미확인</t>
        </is>
      </c>
      <c r="X312" s="22" t="inlineStr">
        <is>
          <t>미확인</t>
        </is>
      </c>
      <c r="Y312" s="22" t="inlineStr">
        <is>
          <t>미확인</t>
        </is>
      </c>
      <c r="Z312" s="22" t="inlineStr">
        <is>
          <t>미확인</t>
        </is>
      </c>
      <c r="AA312" s="22" t="inlineStr">
        <is>
          <t>미확인</t>
        </is>
      </c>
      <c r="AB312" s="22" t="inlineStr">
        <is>
          <t>미확인</t>
        </is>
      </c>
      <c r="AC312" s="22" t="inlineStr">
        <is>
          <t>미확인</t>
        </is>
      </c>
      <c r="AD312" s="22" t="inlineStr">
        <is>
          <t>미확인</t>
        </is>
      </c>
      <c r="AE312" s="22" t="inlineStr">
        <is>
          <t>미확인</t>
        </is>
      </c>
      <c r="AF312" s="22" t="inlineStr">
        <is>
          <t>미확인</t>
        </is>
      </c>
      <c r="AG312" s="22" t="inlineStr">
        <is>
          <t>미확인</t>
        </is>
      </c>
      <c r="AH312" s="22" t="inlineStr">
        <is>
          <t>미확인</t>
        </is>
      </c>
      <c r="AI312" s="22" t="inlineStr">
        <is>
          <t>미확인</t>
        </is>
      </c>
      <c r="AJ312" s="22" t="inlineStr">
        <is>
          <t>미확인</t>
        </is>
      </c>
      <c r="AK312" s="22" t="inlineStr">
        <is>
          <t>미확인</t>
        </is>
      </c>
      <c r="AL312" s="22" t="inlineStr">
        <is>
          <t>미확인</t>
        </is>
      </c>
      <c r="AM312" s="22" t="inlineStr">
        <is>
          <t>미확인</t>
        </is>
      </c>
      <c r="AN312" s="22" t="inlineStr">
        <is>
          <t>미확인</t>
        </is>
      </c>
      <c r="AO312" s="17" t="inlineStr">
        <is>
          <t>C(부분확인)</t>
        </is>
      </c>
      <c r="AP312" s="17" t="inlineStr">
        <is>
          <t>Y</t>
        </is>
      </c>
      <c r="AQ312" s="17" t="n">
        <v>7</v>
      </c>
      <c r="AR312" s="28" t="inlineStr">
        <is>
          <t>Tier D</t>
        </is>
      </c>
      <c r="AS312" s="17" t="inlineStr">
        <is>
          <t>QMS+LIMS</t>
        </is>
      </c>
      <c r="AT312" s="17" t="inlineStr">
        <is>
          <t>원료 제조로 시험실 관리 필요</t>
        </is>
      </c>
      <c r="AU312" s="17" t="inlineStr">
        <is>
          <t>담당자 파악 후 접촉</t>
        </is>
      </c>
      <c r="AV312" s="17" t="inlineStr">
        <is>
          <t>GMP적합판정+KRX</t>
        </is>
      </c>
      <c r="AW312" s="17" t="inlineStr">
        <is>
          <t>2026-07-05</t>
        </is>
      </c>
    </row>
    <row r="313">
      <c r="A313" s="17" t="inlineStr">
        <is>
          <t>C312</t>
        </is>
      </c>
      <c r="B313" s="17" t="inlineStr">
        <is>
          <t>명문제약</t>
        </is>
      </c>
      <c r="C313" s="17" t="inlineStr">
        <is>
          <t>명문제약(주)</t>
        </is>
      </c>
      <c r="D313" s="17" t="n">
        <v>1</v>
      </c>
      <c r="E313" s="17" t="n">
        <v>1</v>
      </c>
      <c r="F313" s="17" t="inlineStr">
        <is>
          <t>Y</t>
        </is>
      </c>
      <c r="G313" s="17" t="inlineStr"/>
      <c r="H313" s="17" t="inlineStr">
        <is>
          <t>Y</t>
        </is>
      </c>
      <c r="I313" s="17" t="inlineStr"/>
      <c r="J313" s="24" t="n">
        <v>46537</v>
      </c>
      <c r="K313" s="17" t="inlineStr"/>
      <c r="L313" s="17" t="inlineStr">
        <is>
          <t>Y</t>
        </is>
      </c>
      <c r="M313" s="17" t="inlineStr">
        <is>
          <t>유가</t>
        </is>
      </c>
      <c r="N313" s="23" t="inlineStr">
        <is>
          <t>017180</t>
        </is>
      </c>
      <c r="O313" s="17" t="inlineStr">
        <is>
          <t>의약품 제조업</t>
        </is>
      </c>
      <c r="P313" s="17" t="inlineStr">
        <is>
          <t>의약품(ROBAXIN 주사,KIMITE패취) 제조,판매</t>
        </is>
      </c>
      <c r="Q313" s="17" t="inlineStr">
        <is>
          <t>배철한</t>
        </is>
      </c>
      <c r="R313" s="17" t="inlineStr">
        <is>
          <t>http://www.mmpharm.co.kr</t>
        </is>
      </c>
      <c r="S313" s="17" t="inlineStr">
        <is>
          <t>경기도</t>
        </is>
      </c>
      <c r="T313" s="17" t="inlineStr">
        <is>
          <t>미확인</t>
        </is>
      </c>
      <c r="U313" s="17" t="inlineStr">
        <is>
          <t>미확인</t>
        </is>
      </c>
      <c r="V313" s="22" t="inlineStr">
        <is>
          <t>미확인</t>
        </is>
      </c>
      <c r="W313" s="22" t="inlineStr">
        <is>
          <t>미확인</t>
        </is>
      </c>
      <c r="X313" s="22" t="inlineStr">
        <is>
          <t>미확인</t>
        </is>
      </c>
      <c r="Y313" s="22" t="inlineStr">
        <is>
          <t>미확인</t>
        </is>
      </c>
      <c r="Z313" s="22" t="inlineStr">
        <is>
          <t>미확인</t>
        </is>
      </c>
      <c r="AA313" s="22" t="inlineStr">
        <is>
          <t>미확인</t>
        </is>
      </c>
      <c r="AB313" s="22" t="inlineStr">
        <is>
          <t>미확인</t>
        </is>
      </c>
      <c r="AC313" s="22" t="inlineStr">
        <is>
          <t>미확인</t>
        </is>
      </c>
      <c r="AD313" s="22" t="inlineStr">
        <is>
          <t>미확인</t>
        </is>
      </c>
      <c r="AE313" s="22" t="inlineStr">
        <is>
          <t>미확인</t>
        </is>
      </c>
      <c r="AF313" s="22" t="inlineStr">
        <is>
          <t>미확인</t>
        </is>
      </c>
      <c r="AG313" s="22" t="inlineStr">
        <is>
          <t>미확인</t>
        </is>
      </c>
      <c r="AH313" s="22" t="inlineStr">
        <is>
          <t>미확인</t>
        </is>
      </c>
      <c r="AI313" s="22" t="inlineStr">
        <is>
          <t>미확인</t>
        </is>
      </c>
      <c r="AJ313" s="22" t="inlineStr">
        <is>
          <t>미확인</t>
        </is>
      </c>
      <c r="AK313" s="22" t="inlineStr">
        <is>
          <t>미확인</t>
        </is>
      </c>
      <c r="AL313" s="22" t="inlineStr">
        <is>
          <t>미확인</t>
        </is>
      </c>
      <c r="AM313" s="22" t="inlineStr">
        <is>
          <t>미확인</t>
        </is>
      </c>
      <c r="AN313" s="22" t="inlineStr">
        <is>
          <t>미확인</t>
        </is>
      </c>
      <c r="AO313" s="17" t="inlineStr">
        <is>
          <t>C(부분확인)</t>
        </is>
      </c>
      <c r="AP313" s="17" t="inlineStr">
        <is>
          <t>Y</t>
        </is>
      </c>
      <c r="AQ313" s="17" t="n">
        <v>15</v>
      </c>
      <c r="AR313" s="28" t="inlineStr">
        <is>
          <t>Tier D</t>
        </is>
      </c>
      <c r="AS313" s="17" t="inlineStr">
        <is>
          <t>QMS+LIMS</t>
        </is>
      </c>
      <c r="AT313" s="17" t="inlineStr">
        <is>
          <t>무균/바이오 제조로 품질관리 난도 높음</t>
        </is>
      </c>
      <c r="AU313" s="17" t="inlineStr">
        <is>
          <t>담당자 파악 후 접촉</t>
        </is>
      </c>
      <c r="AV313" s="17" t="inlineStr">
        <is>
          <t>GMP적합판정+KRX</t>
        </is>
      </c>
      <c r="AW313" s="17" t="inlineStr">
        <is>
          <t>2026-07-05</t>
        </is>
      </c>
    </row>
    <row r="314">
      <c r="A314" s="17" t="inlineStr">
        <is>
          <t>C313</t>
        </is>
      </c>
      <c r="B314" s="17" t="inlineStr">
        <is>
          <t>명문바이오</t>
        </is>
      </c>
      <c r="C314" s="17" t="inlineStr">
        <is>
          <t>명문바이오(주)</t>
        </is>
      </c>
      <c r="D314" s="17" t="n">
        <v>2</v>
      </c>
      <c r="E314" s="17" t="n">
        <v>1</v>
      </c>
      <c r="F314" s="17" t="inlineStr">
        <is>
          <t>Y</t>
        </is>
      </c>
      <c r="G314" s="17" t="inlineStr">
        <is>
          <t>Y</t>
        </is>
      </c>
      <c r="H314" s="17" t="inlineStr"/>
      <c r="I314" s="17" t="inlineStr"/>
      <c r="J314" s="24" t="n">
        <v>46513</v>
      </c>
      <c r="K314" s="17" t="inlineStr"/>
      <c r="L314" s="17" t="inlineStr"/>
      <c r="M314" s="17" t="inlineStr"/>
      <c r="N314" s="23" t="inlineStr"/>
      <c r="O314" s="17" t="inlineStr"/>
      <c r="P314" s="17" t="inlineStr"/>
      <c r="Q314" s="17" t="inlineStr">
        <is>
          <t>우석민</t>
        </is>
      </c>
      <c r="R314" s="17" t="inlineStr"/>
      <c r="S314" s="17" t="inlineStr"/>
      <c r="T314" s="17" t="inlineStr">
        <is>
          <t>미확인</t>
        </is>
      </c>
      <c r="U314" s="17" t="inlineStr">
        <is>
          <t>미확인</t>
        </is>
      </c>
      <c r="V314" s="22" t="inlineStr">
        <is>
          <t>미확인</t>
        </is>
      </c>
      <c r="W314" s="22" t="inlineStr">
        <is>
          <t>미확인</t>
        </is>
      </c>
      <c r="X314" s="22" t="inlineStr">
        <is>
          <t>미확인</t>
        </is>
      </c>
      <c r="Y314" s="22" t="inlineStr">
        <is>
          <t>미확인</t>
        </is>
      </c>
      <c r="Z314" s="22" t="inlineStr">
        <is>
          <t>미확인</t>
        </is>
      </c>
      <c r="AA314" s="22" t="inlineStr">
        <is>
          <t>미확인</t>
        </is>
      </c>
      <c r="AB314" s="22" t="inlineStr">
        <is>
          <t>미확인</t>
        </is>
      </c>
      <c r="AC314" s="22" t="inlineStr">
        <is>
          <t>미확인</t>
        </is>
      </c>
      <c r="AD314" s="22" t="inlineStr">
        <is>
          <t>미확인</t>
        </is>
      </c>
      <c r="AE314" s="22" t="inlineStr">
        <is>
          <t>미확인</t>
        </is>
      </c>
      <c r="AF314" s="22" t="inlineStr">
        <is>
          <t>미확인</t>
        </is>
      </c>
      <c r="AG314" s="22" t="inlineStr">
        <is>
          <t>미확인</t>
        </is>
      </c>
      <c r="AH314" s="22" t="inlineStr">
        <is>
          <t>미확인</t>
        </is>
      </c>
      <c r="AI314" s="22" t="inlineStr">
        <is>
          <t>미확인</t>
        </is>
      </c>
      <c r="AJ314" s="22" t="inlineStr">
        <is>
          <t>미확인</t>
        </is>
      </c>
      <c r="AK314" s="22" t="inlineStr">
        <is>
          <t>미확인</t>
        </is>
      </c>
      <c r="AL314" s="22" t="inlineStr">
        <is>
          <t>미확인</t>
        </is>
      </c>
      <c r="AM314" s="22" t="inlineStr">
        <is>
          <t>미확인</t>
        </is>
      </c>
      <c r="AN314" s="22" t="inlineStr">
        <is>
          <t>미확인</t>
        </is>
      </c>
      <c r="AO314" s="17" t="inlineStr">
        <is>
          <t>C(부분확인)</t>
        </is>
      </c>
      <c r="AP314" s="17" t="inlineStr">
        <is>
          <t>Y</t>
        </is>
      </c>
      <c r="AQ314" s="17" t="n">
        <v>7</v>
      </c>
      <c r="AR314" s="28" t="inlineStr">
        <is>
          <t>Tier D</t>
        </is>
      </c>
      <c r="AS314" s="17" t="inlineStr">
        <is>
          <t>QMS+LIMS</t>
        </is>
      </c>
      <c r="AT314" s="17" t="inlineStr">
        <is>
          <t>원료 제조로 시험실 관리 필요</t>
        </is>
      </c>
      <c r="AU314" s="17" t="inlineStr">
        <is>
          <t>담당자 파악 후 접촉</t>
        </is>
      </c>
      <c r="AV314" s="17" t="inlineStr">
        <is>
          <t>GMP적합판정+KRX</t>
        </is>
      </c>
      <c r="AW314" s="17" t="inlineStr">
        <is>
          <t>2026-07-05</t>
        </is>
      </c>
    </row>
    <row r="315">
      <c r="A315" s="17" t="inlineStr">
        <is>
          <t>C314</t>
        </is>
      </c>
      <c r="B315" s="17" t="inlineStr">
        <is>
          <t>나노팜</t>
        </is>
      </c>
      <c r="C315" s="17" t="inlineStr">
        <is>
          <t>(주)나노팜</t>
        </is>
      </c>
      <c r="D315" s="17" t="n">
        <v>1</v>
      </c>
      <c r="E315" s="17" t="n">
        <v>1</v>
      </c>
      <c r="F315" s="17" t="inlineStr">
        <is>
          <t>Y</t>
        </is>
      </c>
      <c r="G315" s="17" t="inlineStr"/>
      <c r="H315" s="17" t="inlineStr"/>
      <c r="I315" s="17" t="inlineStr"/>
      <c r="J315" s="24" t="n">
        <v>46536</v>
      </c>
      <c r="K315" s="17" t="inlineStr"/>
      <c r="L315" s="17" t="inlineStr"/>
      <c r="M315" s="17" t="inlineStr"/>
      <c r="N315" s="23" t="inlineStr"/>
      <c r="O315" s="17" t="inlineStr"/>
      <c r="P315" s="17" t="inlineStr"/>
      <c r="Q315" s="17" t="inlineStr">
        <is>
          <t>이승용</t>
        </is>
      </c>
      <c r="R315" s="17" t="inlineStr"/>
      <c r="S315" s="17" t="inlineStr"/>
      <c r="T315" s="17" t="inlineStr">
        <is>
          <t>043-5337-7804</t>
        </is>
      </c>
      <c r="U315" s="17" t="inlineStr">
        <is>
          <t>제조소상세</t>
        </is>
      </c>
      <c r="V315" s="22" t="inlineStr">
        <is>
          <t>미확인</t>
        </is>
      </c>
      <c r="W315" s="22" t="inlineStr">
        <is>
          <t>미확인</t>
        </is>
      </c>
      <c r="X315" s="22" t="inlineStr">
        <is>
          <t>미확인</t>
        </is>
      </c>
      <c r="Y315" s="22" t="inlineStr">
        <is>
          <t>미확인</t>
        </is>
      </c>
      <c r="Z315" s="22" t="inlineStr">
        <is>
          <t>미확인</t>
        </is>
      </c>
      <c r="AA315" s="22" t="inlineStr">
        <is>
          <t>미확인</t>
        </is>
      </c>
      <c r="AB315" s="22" t="inlineStr">
        <is>
          <t>미확인</t>
        </is>
      </c>
      <c r="AC315" s="22" t="inlineStr">
        <is>
          <t>미확인</t>
        </is>
      </c>
      <c r="AD315" s="22" t="inlineStr">
        <is>
          <t>미확인</t>
        </is>
      </c>
      <c r="AE315" s="22" t="inlineStr">
        <is>
          <t>미확인</t>
        </is>
      </c>
      <c r="AF315" s="22" t="inlineStr">
        <is>
          <t>미확인</t>
        </is>
      </c>
      <c r="AG315" s="22" t="inlineStr">
        <is>
          <t>미확인</t>
        </is>
      </c>
      <c r="AH315" s="22" t="inlineStr">
        <is>
          <t>미확인</t>
        </is>
      </c>
      <c r="AI315" s="22" t="inlineStr">
        <is>
          <t>미확인</t>
        </is>
      </c>
      <c r="AJ315" s="22" t="inlineStr">
        <is>
          <t>미확인</t>
        </is>
      </c>
      <c r="AK315" s="22" t="inlineStr">
        <is>
          <t>미확인</t>
        </is>
      </c>
      <c r="AL315" s="22" t="inlineStr">
        <is>
          <t>미확인</t>
        </is>
      </c>
      <c r="AM315" s="22" t="inlineStr">
        <is>
          <t>미확인</t>
        </is>
      </c>
      <c r="AN315" s="22" t="inlineStr">
        <is>
          <t>미확인</t>
        </is>
      </c>
      <c r="AO315" s="17" t="inlineStr">
        <is>
          <t>C(부분확인)</t>
        </is>
      </c>
      <c r="AP315" s="17" t="inlineStr">
        <is>
          <t>Y</t>
        </is>
      </c>
      <c r="AQ315" s="17" t="n">
        <v>7</v>
      </c>
      <c r="AR315" s="28" t="inlineStr">
        <is>
          <t>Tier D</t>
        </is>
      </c>
      <c r="AS315" s="17" t="inlineStr">
        <is>
          <t>QMS</t>
        </is>
      </c>
      <c r="AT315" s="17" t="inlineStr">
        <is>
          <t>기본 GMP 문서관리 대상</t>
        </is>
      </c>
      <c r="AU315" s="17" t="inlineStr">
        <is>
          <t>담당자 파악 후 접촉</t>
        </is>
      </c>
      <c r="AV315" s="17" t="inlineStr">
        <is>
          <t>GMP적합판정+KRX</t>
        </is>
      </c>
      <c r="AW315" s="17" t="inlineStr">
        <is>
          <t>2026-07-05</t>
        </is>
      </c>
    </row>
    <row r="316">
      <c r="A316" s="17" t="inlineStr">
        <is>
          <t>C315</t>
        </is>
      </c>
      <c r="B316" s="17" t="inlineStr">
        <is>
          <t>덕양가스</t>
        </is>
      </c>
      <c r="C316" s="17" t="inlineStr">
        <is>
          <t>(주)덕양가스</t>
        </is>
      </c>
      <c r="D316" s="17" t="n">
        <v>1</v>
      </c>
      <c r="E316" s="17" t="n">
        <v>1</v>
      </c>
      <c r="F316" s="17" t="inlineStr">
        <is>
          <t>Y</t>
        </is>
      </c>
      <c r="G316" s="17" t="inlineStr"/>
      <c r="H316" s="17" t="inlineStr"/>
      <c r="I316" s="17" t="inlineStr"/>
      <c r="J316" s="24" t="n">
        <v>46535</v>
      </c>
      <c r="K316" s="17" t="inlineStr"/>
      <c r="L316" s="17" t="inlineStr"/>
      <c r="M316" s="17" t="inlineStr"/>
      <c r="N316" s="23" t="inlineStr"/>
      <c r="O316" s="17" t="inlineStr"/>
      <c r="P316" s="17" t="inlineStr"/>
      <c r="Q316" s="17" t="inlineStr">
        <is>
          <t>이치윤</t>
        </is>
      </c>
      <c r="R316" s="17" t="inlineStr"/>
      <c r="S316" s="17" t="inlineStr"/>
      <c r="T316" s="17" t="inlineStr">
        <is>
          <t>052-282-8100</t>
        </is>
      </c>
      <c r="U316" s="17" t="inlineStr">
        <is>
          <t>제조소상세</t>
        </is>
      </c>
      <c r="V316" s="22" t="inlineStr">
        <is>
          <t>미확인</t>
        </is>
      </c>
      <c r="W316" s="22" t="inlineStr">
        <is>
          <t>미확인</t>
        </is>
      </c>
      <c r="X316" s="22" t="inlineStr">
        <is>
          <t>미확인</t>
        </is>
      </c>
      <c r="Y316" s="22" t="inlineStr">
        <is>
          <t>미확인</t>
        </is>
      </c>
      <c r="Z316" s="22" t="inlineStr">
        <is>
          <t>미확인</t>
        </is>
      </c>
      <c r="AA316" s="22" t="inlineStr">
        <is>
          <t>미확인</t>
        </is>
      </c>
      <c r="AB316" s="22" t="inlineStr">
        <is>
          <t>미확인</t>
        </is>
      </c>
      <c r="AC316" s="22" t="inlineStr">
        <is>
          <t>미확인</t>
        </is>
      </c>
      <c r="AD316" s="22" t="inlineStr">
        <is>
          <t>미확인</t>
        </is>
      </c>
      <c r="AE316" s="22" t="inlineStr">
        <is>
          <t>미확인</t>
        </is>
      </c>
      <c r="AF316" s="22" t="inlineStr">
        <is>
          <t>미확인</t>
        </is>
      </c>
      <c r="AG316" s="22" t="inlineStr">
        <is>
          <t>미확인</t>
        </is>
      </c>
      <c r="AH316" s="22" t="inlineStr">
        <is>
          <t>미확인</t>
        </is>
      </c>
      <c r="AI316" s="22" t="inlineStr">
        <is>
          <t>미확인</t>
        </is>
      </c>
      <c r="AJ316" s="22" t="inlineStr">
        <is>
          <t>미확인</t>
        </is>
      </c>
      <c r="AK316" s="22" t="inlineStr">
        <is>
          <t>미확인</t>
        </is>
      </c>
      <c r="AL316" s="22" t="inlineStr">
        <is>
          <t>미확인</t>
        </is>
      </c>
      <c r="AM316" s="22" t="inlineStr">
        <is>
          <t>미확인</t>
        </is>
      </c>
      <c r="AN316" s="22" t="inlineStr">
        <is>
          <t>미확인</t>
        </is>
      </c>
      <c r="AO316" s="17" t="inlineStr">
        <is>
          <t>C(부분확인)</t>
        </is>
      </c>
      <c r="AP316" s="17" t="inlineStr">
        <is>
          <t>Y</t>
        </is>
      </c>
      <c r="AQ316" s="17" t="n">
        <v>7</v>
      </c>
      <c r="AR316" s="28" t="inlineStr">
        <is>
          <t>Tier D</t>
        </is>
      </c>
      <c r="AS316" s="17" t="inlineStr">
        <is>
          <t>QMS</t>
        </is>
      </c>
      <c r="AT316" s="17" t="inlineStr">
        <is>
          <t>기본 GMP 문서관리 대상</t>
        </is>
      </c>
      <c r="AU316" s="17" t="inlineStr">
        <is>
          <t>담당자 파악 후 접촉</t>
        </is>
      </c>
      <c r="AV316" s="17" t="inlineStr">
        <is>
          <t>GMP적합판정+KRX</t>
        </is>
      </c>
      <c r="AW316" s="17" t="inlineStr">
        <is>
          <t>2026-07-05</t>
        </is>
      </c>
    </row>
    <row r="317">
      <c r="A317" s="17" t="inlineStr">
        <is>
          <t>C316</t>
        </is>
      </c>
      <c r="B317" s="17" t="inlineStr">
        <is>
          <t>유니온가스</t>
        </is>
      </c>
      <c r="C317" s="17" t="inlineStr">
        <is>
          <t>(주)유니온가스</t>
        </is>
      </c>
      <c r="D317" s="17" t="n">
        <v>1</v>
      </c>
      <c r="E317" s="17" t="n">
        <v>1</v>
      </c>
      <c r="F317" s="17" t="inlineStr">
        <is>
          <t>Y</t>
        </is>
      </c>
      <c r="G317" s="17" t="inlineStr"/>
      <c r="H317" s="17" t="inlineStr"/>
      <c r="I317" s="17" t="inlineStr"/>
      <c r="J317" s="24" t="n">
        <v>46533</v>
      </c>
      <c r="K317" s="17" t="inlineStr"/>
      <c r="L317" s="17" t="inlineStr"/>
      <c r="M317" s="17" t="inlineStr"/>
      <c r="N317" s="23" t="inlineStr"/>
      <c r="O317" s="17" t="inlineStr"/>
      <c r="P317" s="17" t="inlineStr"/>
      <c r="Q317" s="17" t="inlineStr">
        <is>
          <t>강용성</t>
        </is>
      </c>
      <c r="R317" s="17" t="inlineStr"/>
      <c r="S317" s="17" t="inlineStr"/>
      <c r="T317" s="17" t="inlineStr">
        <is>
          <t>미확인</t>
        </is>
      </c>
      <c r="U317" s="17" t="inlineStr">
        <is>
          <t>미확인</t>
        </is>
      </c>
      <c r="V317" s="22" t="inlineStr">
        <is>
          <t>미확인</t>
        </is>
      </c>
      <c r="W317" s="22" t="inlineStr">
        <is>
          <t>미확인</t>
        </is>
      </c>
      <c r="X317" s="22" t="inlineStr">
        <is>
          <t>미확인</t>
        </is>
      </c>
      <c r="Y317" s="22" t="inlineStr">
        <is>
          <t>미확인</t>
        </is>
      </c>
      <c r="Z317" s="22" t="inlineStr">
        <is>
          <t>미확인</t>
        </is>
      </c>
      <c r="AA317" s="22" t="inlineStr">
        <is>
          <t>미확인</t>
        </is>
      </c>
      <c r="AB317" s="22" t="inlineStr">
        <is>
          <t>미확인</t>
        </is>
      </c>
      <c r="AC317" s="22" t="inlineStr">
        <is>
          <t>미확인</t>
        </is>
      </c>
      <c r="AD317" s="22" t="inlineStr">
        <is>
          <t>미확인</t>
        </is>
      </c>
      <c r="AE317" s="22" t="inlineStr">
        <is>
          <t>미확인</t>
        </is>
      </c>
      <c r="AF317" s="22" t="inlineStr">
        <is>
          <t>미확인</t>
        </is>
      </c>
      <c r="AG317" s="22" t="inlineStr">
        <is>
          <t>미확인</t>
        </is>
      </c>
      <c r="AH317" s="22" t="inlineStr">
        <is>
          <t>미확인</t>
        </is>
      </c>
      <c r="AI317" s="22" t="inlineStr">
        <is>
          <t>미확인</t>
        </is>
      </c>
      <c r="AJ317" s="22" t="inlineStr">
        <is>
          <t>미확인</t>
        </is>
      </c>
      <c r="AK317" s="22" t="inlineStr">
        <is>
          <t>미확인</t>
        </is>
      </c>
      <c r="AL317" s="22" t="inlineStr">
        <is>
          <t>미확인</t>
        </is>
      </c>
      <c r="AM317" s="22" t="inlineStr">
        <is>
          <t>미확인</t>
        </is>
      </c>
      <c r="AN317" s="22" t="inlineStr">
        <is>
          <t>미확인</t>
        </is>
      </c>
      <c r="AO317" s="17" t="inlineStr">
        <is>
          <t>C(부분확인)</t>
        </is>
      </c>
      <c r="AP317" s="17" t="inlineStr">
        <is>
          <t>Y</t>
        </is>
      </c>
      <c r="AQ317" s="17" t="n">
        <v>7</v>
      </c>
      <c r="AR317" s="28" t="inlineStr">
        <is>
          <t>Tier D</t>
        </is>
      </c>
      <c r="AS317" s="17" t="inlineStr">
        <is>
          <t>QMS</t>
        </is>
      </c>
      <c r="AT317" s="17" t="inlineStr">
        <is>
          <t>기본 GMP 문서관리 대상</t>
        </is>
      </c>
      <c r="AU317" s="17" t="inlineStr">
        <is>
          <t>담당자 파악 후 접촉</t>
        </is>
      </c>
      <c r="AV317" s="17" t="inlineStr">
        <is>
          <t>GMP적합판정+KRX</t>
        </is>
      </c>
      <c r="AW317" s="17" t="inlineStr">
        <is>
          <t>2026-07-05</t>
        </is>
      </c>
    </row>
    <row r="318">
      <c r="A318" s="17" t="inlineStr">
        <is>
          <t>C317</t>
        </is>
      </c>
      <c r="B318" s="17" t="inlineStr">
        <is>
          <t>하이플생명과학</t>
        </is>
      </c>
      <c r="C318" s="17" t="inlineStr">
        <is>
          <t>하이플생명과학(주)</t>
        </is>
      </c>
      <c r="D318" s="17" t="n">
        <v>1</v>
      </c>
      <c r="E318" s="17" t="n">
        <v>1</v>
      </c>
      <c r="F318" s="17" t="inlineStr">
        <is>
          <t>Y</t>
        </is>
      </c>
      <c r="G318" s="17" t="inlineStr"/>
      <c r="H318" s="17" t="inlineStr"/>
      <c r="I318" s="17" t="inlineStr"/>
      <c r="J318" s="24" t="n">
        <v>46530</v>
      </c>
      <c r="K318" s="17" t="inlineStr"/>
      <c r="L318" s="17" t="inlineStr"/>
      <c r="M318" s="17" t="inlineStr"/>
      <c r="N318" s="23" t="inlineStr"/>
      <c r="O318" s="17" t="inlineStr"/>
      <c r="P318" s="17" t="inlineStr"/>
      <c r="Q318" s="17" t="inlineStr">
        <is>
          <t>조재민</t>
        </is>
      </c>
      <c r="R318" s="17" t="inlineStr"/>
      <c r="S318" s="17" t="inlineStr"/>
      <c r="T318" s="17" t="inlineStr">
        <is>
          <t>031-319-1990</t>
        </is>
      </c>
      <c r="U318" s="17" t="inlineStr">
        <is>
          <t>제조소상세</t>
        </is>
      </c>
      <c r="V318" s="22" t="inlineStr">
        <is>
          <t>미확인</t>
        </is>
      </c>
      <c r="W318" s="22" t="inlineStr">
        <is>
          <t>미확인</t>
        </is>
      </c>
      <c r="X318" s="22" t="inlineStr">
        <is>
          <t>미확인</t>
        </is>
      </c>
      <c r="Y318" s="22" t="inlineStr">
        <is>
          <t>미확인</t>
        </is>
      </c>
      <c r="Z318" s="22" t="inlineStr">
        <is>
          <t>미확인</t>
        </is>
      </c>
      <c r="AA318" s="22" t="inlineStr">
        <is>
          <t>미확인</t>
        </is>
      </c>
      <c r="AB318" s="22" t="inlineStr">
        <is>
          <t>미확인</t>
        </is>
      </c>
      <c r="AC318" s="22" t="inlineStr">
        <is>
          <t>미확인</t>
        </is>
      </c>
      <c r="AD318" s="22" t="inlineStr">
        <is>
          <t>미확인</t>
        </is>
      </c>
      <c r="AE318" s="22" t="inlineStr">
        <is>
          <t>미확인</t>
        </is>
      </c>
      <c r="AF318" s="22" t="inlineStr">
        <is>
          <t>미확인</t>
        </is>
      </c>
      <c r="AG318" s="22" t="inlineStr">
        <is>
          <t>미확인</t>
        </is>
      </c>
      <c r="AH318" s="22" t="inlineStr">
        <is>
          <t>미확인</t>
        </is>
      </c>
      <c r="AI318" s="22" t="inlineStr">
        <is>
          <t>미확인</t>
        </is>
      </c>
      <c r="AJ318" s="22" t="inlineStr">
        <is>
          <t>미확인</t>
        </is>
      </c>
      <c r="AK318" s="22" t="inlineStr">
        <is>
          <t>미확인</t>
        </is>
      </c>
      <c r="AL318" s="22" t="inlineStr">
        <is>
          <t>미확인</t>
        </is>
      </c>
      <c r="AM318" s="22" t="inlineStr">
        <is>
          <t>미확인</t>
        </is>
      </c>
      <c r="AN318" s="22" t="inlineStr">
        <is>
          <t>미확인</t>
        </is>
      </c>
      <c r="AO318" s="17" t="inlineStr">
        <is>
          <t>C(부분확인)</t>
        </is>
      </c>
      <c r="AP318" s="17" t="inlineStr">
        <is>
          <t>Y</t>
        </is>
      </c>
      <c r="AQ318" s="17" t="n">
        <v>7</v>
      </c>
      <c r="AR318" s="28" t="inlineStr">
        <is>
          <t>Tier D</t>
        </is>
      </c>
      <c r="AS318" s="17" t="inlineStr">
        <is>
          <t>QMS</t>
        </is>
      </c>
      <c r="AT318" s="17" t="inlineStr">
        <is>
          <t>기본 GMP 문서관리 대상</t>
        </is>
      </c>
      <c r="AU318" s="17" t="inlineStr">
        <is>
          <t>담당자 파악 후 접촉</t>
        </is>
      </c>
      <c r="AV318" s="17" t="inlineStr">
        <is>
          <t>GMP적합판정+KRX</t>
        </is>
      </c>
      <c r="AW318" s="17" t="inlineStr">
        <is>
          <t>2026-07-05</t>
        </is>
      </c>
    </row>
    <row r="319">
      <c r="A319" s="17" t="inlineStr">
        <is>
          <t>C318</t>
        </is>
      </c>
      <c r="B319" s="17" t="inlineStr">
        <is>
          <t>덕산약품공업</t>
        </is>
      </c>
      <c r="C319" s="17" t="inlineStr">
        <is>
          <t>덕산약품공업(주)</t>
        </is>
      </c>
      <c r="D319" s="17" t="n">
        <v>1</v>
      </c>
      <c r="E319" s="17" t="n">
        <v>1</v>
      </c>
      <c r="F319" s="17" t="inlineStr"/>
      <c r="G319" s="17" t="inlineStr">
        <is>
          <t>Y</t>
        </is>
      </c>
      <c r="H319" s="17" t="inlineStr"/>
      <c r="I319" s="17" t="inlineStr"/>
      <c r="J319" s="24" t="n">
        <v>46516</v>
      </c>
      <c r="K319" s="17" t="inlineStr"/>
      <c r="L319" s="17" t="inlineStr"/>
      <c r="M319" s="17" t="inlineStr"/>
      <c r="N319" s="23" t="inlineStr"/>
      <c r="O319" s="17" t="inlineStr"/>
      <c r="P319" s="17" t="inlineStr"/>
      <c r="Q319" s="17" t="inlineStr">
        <is>
          <t>고영채</t>
        </is>
      </c>
      <c r="R319" s="17" t="inlineStr"/>
      <c r="S319" s="17" t="inlineStr"/>
      <c r="T319" s="17" t="inlineStr">
        <is>
          <t>031-495-4055</t>
        </is>
      </c>
      <c r="U319" s="17" t="inlineStr">
        <is>
          <t>제조소상세</t>
        </is>
      </c>
      <c r="V319" s="22" t="inlineStr">
        <is>
          <t>미확인</t>
        </is>
      </c>
      <c r="W319" s="22" t="inlineStr">
        <is>
          <t>미확인</t>
        </is>
      </c>
      <c r="X319" s="22" t="inlineStr">
        <is>
          <t>미확인</t>
        </is>
      </c>
      <c r="Y319" s="22" t="inlineStr">
        <is>
          <t>미확인</t>
        </is>
      </c>
      <c r="Z319" s="22" t="inlineStr">
        <is>
          <t>미확인</t>
        </is>
      </c>
      <c r="AA319" s="22" t="inlineStr">
        <is>
          <t>미확인</t>
        </is>
      </c>
      <c r="AB319" s="22" t="inlineStr">
        <is>
          <t>미확인</t>
        </is>
      </c>
      <c r="AC319" s="22" t="inlineStr">
        <is>
          <t>미확인</t>
        </is>
      </c>
      <c r="AD319" s="22" t="inlineStr">
        <is>
          <t>미확인</t>
        </is>
      </c>
      <c r="AE319" s="22" t="inlineStr">
        <is>
          <t>미확인</t>
        </is>
      </c>
      <c r="AF319" s="22" t="inlineStr">
        <is>
          <t>미확인</t>
        </is>
      </c>
      <c r="AG319" s="22" t="inlineStr">
        <is>
          <t>미확인</t>
        </is>
      </c>
      <c r="AH319" s="22" t="inlineStr">
        <is>
          <t>미확인</t>
        </is>
      </c>
      <c r="AI319" s="22" t="inlineStr">
        <is>
          <t>미확인</t>
        </is>
      </c>
      <c r="AJ319" s="22" t="inlineStr">
        <is>
          <t>미확인</t>
        </is>
      </c>
      <c r="AK319" s="22" t="inlineStr">
        <is>
          <t>미확인</t>
        </is>
      </c>
      <c r="AL319" s="22" t="inlineStr">
        <is>
          <t>미확인</t>
        </is>
      </c>
      <c r="AM319" s="22" t="inlineStr">
        <is>
          <t>미확인</t>
        </is>
      </c>
      <c r="AN319" s="22" t="inlineStr">
        <is>
          <t>미확인</t>
        </is>
      </c>
      <c r="AO319" s="17" t="inlineStr">
        <is>
          <t>C(부분확인)</t>
        </is>
      </c>
      <c r="AP319" s="17" t="inlineStr">
        <is>
          <t>Y</t>
        </is>
      </c>
      <c r="AQ319" s="17" t="n">
        <v>7</v>
      </c>
      <c r="AR319" s="28" t="inlineStr">
        <is>
          <t>Tier D</t>
        </is>
      </c>
      <c r="AS319" s="17" t="inlineStr">
        <is>
          <t>QMS+LIMS</t>
        </is>
      </c>
      <c r="AT319" s="17" t="inlineStr">
        <is>
          <t>원료 제조로 시험실 관리 필요</t>
        </is>
      </c>
      <c r="AU319" s="17" t="inlineStr">
        <is>
          <t>담당자 파악 후 접촉</t>
        </is>
      </c>
      <c r="AV319" s="17" t="inlineStr">
        <is>
          <t>GMP적합판정+KRX</t>
        </is>
      </c>
      <c r="AW319" s="17" t="inlineStr">
        <is>
          <t>2026-07-05</t>
        </is>
      </c>
    </row>
    <row r="320">
      <c r="A320" s="17" t="inlineStr">
        <is>
          <t>C319</t>
        </is>
      </c>
      <c r="B320" s="17" t="inlineStr">
        <is>
          <t>인트로바이오파마</t>
        </is>
      </c>
      <c r="C320" s="17" t="inlineStr">
        <is>
          <t>(주)인트로바이오파마</t>
        </is>
      </c>
      <c r="D320" s="17" t="n">
        <v>1</v>
      </c>
      <c r="E320" s="17" t="n">
        <v>1</v>
      </c>
      <c r="F320" s="17" t="inlineStr">
        <is>
          <t>Y</t>
        </is>
      </c>
      <c r="G320" s="17" t="inlineStr"/>
      <c r="H320" s="17" t="inlineStr"/>
      <c r="I320" s="17" t="inlineStr"/>
      <c r="J320" s="24" t="n">
        <v>46516</v>
      </c>
      <c r="K320" s="17" t="inlineStr"/>
      <c r="L320" s="17" t="inlineStr"/>
      <c r="M320" s="17" t="inlineStr"/>
      <c r="N320" s="23" t="inlineStr"/>
      <c r="O320" s="17" t="inlineStr"/>
      <c r="P320" s="17" t="inlineStr"/>
      <c r="Q320" s="17" t="inlineStr">
        <is>
          <t>박석용</t>
        </is>
      </c>
      <c r="R320" s="17" t="inlineStr"/>
      <c r="S320" s="17" t="inlineStr"/>
      <c r="T320" s="17" t="inlineStr">
        <is>
          <t>미확인</t>
        </is>
      </c>
      <c r="U320" s="17" t="inlineStr">
        <is>
          <t>미확인</t>
        </is>
      </c>
      <c r="V320" s="22" t="inlineStr">
        <is>
          <t>미확인</t>
        </is>
      </c>
      <c r="W320" s="22" t="inlineStr">
        <is>
          <t>미확인</t>
        </is>
      </c>
      <c r="X320" s="22" t="inlineStr">
        <is>
          <t>미확인</t>
        </is>
      </c>
      <c r="Y320" s="22" t="inlineStr">
        <is>
          <t>미확인</t>
        </is>
      </c>
      <c r="Z320" s="22" t="inlineStr">
        <is>
          <t>미확인</t>
        </is>
      </c>
      <c r="AA320" s="22" t="inlineStr">
        <is>
          <t>미확인</t>
        </is>
      </c>
      <c r="AB320" s="22" t="inlineStr">
        <is>
          <t>미확인</t>
        </is>
      </c>
      <c r="AC320" s="22" t="inlineStr">
        <is>
          <t>미확인</t>
        </is>
      </c>
      <c r="AD320" s="22" t="inlineStr">
        <is>
          <t>미확인</t>
        </is>
      </c>
      <c r="AE320" s="22" t="inlineStr">
        <is>
          <t>미확인</t>
        </is>
      </c>
      <c r="AF320" s="22" t="inlineStr">
        <is>
          <t>미확인</t>
        </is>
      </c>
      <c r="AG320" s="22" t="inlineStr">
        <is>
          <t>미확인</t>
        </is>
      </c>
      <c r="AH320" s="22" t="inlineStr">
        <is>
          <t>미확인</t>
        </is>
      </c>
      <c r="AI320" s="22" t="inlineStr">
        <is>
          <t>미확인</t>
        </is>
      </c>
      <c r="AJ320" s="22" t="inlineStr">
        <is>
          <t>미확인</t>
        </is>
      </c>
      <c r="AK320" s="22" t="inlineStr">
        <is>
          <t>미확인</t>
        </is>
      </c>
      <c r="AL320" s="22" t="inlineStr">
        <is>
          <t>미확인</t>
        </is>
      </c>
      <c r="AM320" s="22" t="inlineStr">
        <is>
          <t>미확인</t>
        </is>
      </c>
      <c r="AN320" s="22" t="inlineStr">
        <is>
          <t>미확인</t>
        </is>
      </c>
      <c r="AO320" s="17" t="inlineStr">
        <is>
          <t>C(부분확인)</t>
        </is>
      </c>
      <c r="AP320" s="17" t="inlineStr">
        <is>
          <t>Y</t>
        </is>
      </c>
      <c r="AQ320" s="17" t="n">
        <v>7</v>
      </c>
      <c r="AR320" s="28" t="inlineStr">
        <is>
          <t>Tier D</t>
        </is>
      </c>
      <c r="AS320" s="17" t="inlineStr">
        <is>
          <t>QMS</t>
        </is>
      </c>
      <c r="AT320" s="17" t="inlineStr">
        <is>
          <t>기본 GMP 문서관리 대상</t>
        </is>
      </c>
      <c r="AU320" s="17" t="inlineStr">
        <is>
          <t>담당자 파악 후 접촉</t>
        </is>
      </c>
      <c r="AV320" s="17" t="inlineStr">
        <is>
          <t>GMP적합판정+KRX</t>
        </is>
      </c>
      <c r="AW320" s="17" t="inlineStr">
        <is>
          <t>2026-07-05</t>
        </is>
      </c>
    </row>
    <row r="321">
      <c r="A321" s="17" t="inlineStr">
        <is>
          <t>C320</t>
        </is>
      </c>
      <c r="B321" s="17" t="inlineStr">
        <is>
          <t>큐앤큐팜</t>
        </is>
      </c>
      <c r="C321" s="17" t="inlineStr">
        <is>
          <t>큐앤큐팜(주)</t>
        </is>
      </c>
      <c r="D321" s="17" t="n">
        <v>1</v>
      </c>
      <c r="E321" s="17" t="n">
        <v>1</v>
      </c>
      <c r="F321" s="17" t="inlineStr">
        <is>
          <t>Y</t>
        </is>
      </c>
      <c r="G321" s="17" t="inlineStr"/>
      <c r="H321" s="17" t="inlineStr"/>
      <c r="I321" s="17" t="inlineStr"/>
      <c r="J321" s="24" t="n">
        <v>46515</v>
      </c>
      <c r="K321" s="17" t="inlineStr"/>
      <c r="L321" s="17" t="inlineStr"/>
      <c r="M321" s="17" t="inlineStr"/>
      <c r="N321" s="23" t="inlineStr"/>
      <c r="O321" s="17" t="inlineStr"/>
      <c r="P321" s="17" t="inlineStr"/>
      <c r="Q321" s="17" t="inlineStr">
        <is>
          <t>정운진</t>
        </is>
      </c>
      <c r="R321" s="17" t="inlineStr"/>
      <c r="S321" s="17" t="inlineStr"/>
      <c r="T321" s="17" t="inlineStr">
        <is>
          <t>044-867-6400</t>
        </is>
      </c>
      <c r="U321" s="17" t="inlineStr">
        <is>
          <t>제조소상세</t>
        </is>
      </c>
      <c r="V321" s="22" t="inlineStr">
        <is>
          <t>미확인</t>
        </is>
      </c>
      <c r="W321" s="22" t="inlineStr">
        <is>
          <t>미확인</t>
        </is>
      </c>
      <c r="X321" s="22" t="inlineStr">
        <is>
          <t>미확인</t>
        </is>
      </c>
      <c r="Y321" s="22" t="inlineStr">
        <is>
          <t>미확인</t>
        </is>
      </c>
      <c r="Z321" s="22" t="inlineStr">
        <is>
          <t>미확인</t>
        </is>
      </c>
      <c r="AA321" s="22" t="inlineStr">
        <is>
          <t>미확인</t>
        </is>
      </c>
      <c r="AB321" s="22" t="inlineStr">
        <is>
          <t>미확인</t>
        </is>
      </c>
      <c r="AC321" s="22" t="inlineStr">
        <is>
          <t>미확인</t>
        </is>
      </c>
      <c r="AD321" s="22" t="inlineStr">
        <is>
          <t>미확인</t>
        </is>
      </c>
      <c r="AE321" s="22" t="inlineStr">
        <is>
          <t>미확인</t>
        </is>
      </c>
      <c r="AF321" s="22" t="inlineStr">
        <is>
          <t>미확인</t>
        </is>
      </c>
      <c r="AG321" s="22" t="inlineStr">
        <is>
          <t>미확인</t>
        </is>
      </c>
      <c r="AH321" s="22" t="inlineStr">
        <is>
          <t>미확인</t>
        </is>
      </c>
      <c r="AI321" s="22" t="inlineStr">
        <is>
          <t>미확인</t>
        </is>
      </c>
      <c r="AJ321" s="22" t="inlineStr">
        <is>
          <t>미확인</t>
        </is>
      </c>
      <c r="AK321" s="22" t="inlineStr">
        <is>
          <t>미확인</t>
        </is>
      </c>
      <c r="AL321" s="22" t="inlineStr">
        <is>
          <t>미확인</t>
        </is>
      </c>
      <c r="AM321" s="22" t="inlineStr">
        <is>
          <t>미확인</t>
        </is>
      </c>
      <c r="AN321" s="22" t="inlineStr">
        <is>
          <t>미확인</t>
        </is>
      </c>
      <c r="AO321" s="17" t="inlineStr">
        <is>
          <t>C(부분확인)</t>
        </is>
      </c>
      <c r="AP321" s="17" t="inlineStr">
        <is>
          <t>Y</t>
        </is>
      </c>
      <c r="AQ321" s="17" t="n">
        <v>7</v>
      </c>
      <c r="AR321" s="28" t="inlineStr">
        <is>
          <t>Tier D</t>
        </is>
      </c>
      <c r="AS321" s="17" t="inlineStr">
        <is>
          <t>QMS</t>
        </is>
      </c>
      <c r="AT321" s="17" t="inlineStr">
        <is>
          <t>기본 GMP 문서관리 대상</t>
        </is>
      </c>
      <c r="AU321" s="17" t="inlineStr">
        <is>
          <t>담당자 파악 후 접촉</t>
        </is>
      </c>
      <c r="AV321" s="17" t="inlineStr">
        <is>
          <t>GMP적합판정+KRX</t>
        </is>
      </c>
      <c r="AW321" s="17" t="inlineStr">
        <is>
          <t>2026-07-05</t>
        </is>
      </c>
    </row>
    <row r="322">
      <c r="A322" s="17" t="inlineStr">
        <is>
          <t>C321</t>
        </is>
      </c>
      <c r="B322" s="17" t="inlineStr">
        <is>
          <t>대신무약</t>
        </is>
      </c>
      <c r="C322" s="17" t="inlineStr">
        <is>
          <t>대신무약(주)</t>
        </is>
      </c>
      <c r="D322" s="17" t="n">
        <v>1</v>
      </c>
      <c r="E322" s="17" t="n">
        <v>1</v>
      </c>
      <c r="F322" s="17" t="inlineStr"/>
      <c r="G322" s="17" t="inlineStr">
        <is>
          <t>Y</t>
        </is>
      </c>
      <c r="H322" s="17" t="inlineStr"/>
      <c r="I322" s="17" t="inlineStr"/>
      <c r="J322" s="24" t="n">
        <v>46514</v>
      </c>
      <c r="K322" s="17" t="inlineStr"/>
      <c r="L322" s="17" t="inlineStr"/>
      <c r="M322" s="17" t="inlineStr"/>
      <c r="N322" s="23" t="inlineStr"/>
      <c r="O322" s="17" t="inlineStr"/>
      <c r="P322" s="17" t="inlineStr"/>
      <c r="Q322" s="17" t="inlineStr">
        <is>
          <t>김정덕</t>
        </is>
      </c>
      <c r="R322" s="17" t="inlineStr"/>
      <c r="S322" s="17" t="inlineStr"/>
      <c r="T322" s="17" t="inlineStr">
        <is>
          <t>5725841</t>
        </is>
      </c>
      <c r="U322" s="17" t="inlineStr">
        <is>
          <t>제조소상세</t>
        </is>
      </c>
      <c r="V322" s="22" t="inlineStr">
        <is>
          <t>미확인</t>
        </is>
      </c>
      <c r="W322" s="22" t="inlineStr">
        <is>
          <t>미확인</t>
        </is>
      </c>
      <c r="X322" s="22" t="inlineStr">
        <is>
          <t>미확인</t>
        </is>
      </c>
      <c r="Y322" s="22" t="inlineStr">
        <is>
          <t>미확인</t>
        </is>
      </c>
      <c r="Z322" s="22" t="inlineStr">
        <is>
          <t>미확인</t>
        </is>
      </c>
      <c r="AA322" s="22" t="inlineStr">
        <is>
          <t>미확인</t>
        </is>
      </c>
      <c r="AB322" s="22" t="inlineStr">
        <is>
          <t>미확인</t>
        </is>
      </c>
      <c r="AC322" s="22" t="inlineStr">
        <is>
          <t>미확인</t>
        </is>
      </c>
      <c r="AD322" s="22" t="inlineStr">
        <is>
          <t>미확인</t>
        </is>
      </c>
      <c r="AE322" s="22" t="inlineStr">
        <is>
          <t>미확인</t>
        </is>
      </c>
      <c r="AF322" s="22" t="inlineStr">
        <is>
          <t>미확인</t>
        </is>
      </c>
      <c r="AG322" s="22" t="inlineStr">
        <is>
          <t>미확인</t>
        </is>
      </c>
      <c r="AH322" s="22" t="inlineStr">
        <is>
          <t>미확인</t>
        </is>
      </c>
      <c r="AI322" s="22" t="inlineStr">
        <is>
          <t>미확인</t>
        </is>
      </c>
      <c r="AJ322" s="22" t="inlineStr">
        <is>
          <t>미확인</t>
        </is>
      </c>
      <c r="AK322" s="22" t="inlineStr">
        <is>
          <t>미확인</t>
        </is>
      </c>
      <c r="AL322" s="22" t="inlineStr">
        <is>
          <t>미확인</t>
        </is>
      </c>
      <c r="AM322" s="22" t="inlineStr">
        <is>
          <t>미확인</t>
        </is>
      </c>
      <c r="AN322" s="22" t="inlineStr">
        <is>
          <t>미확인</t>
        </is>
      </c>
      <c r="AO322" s="17" t="inlineStr">
        <is>
          <t>C(부분확인)</t>
        </is>
      </c>
      <c r="AP322" s="17" t="inlineStr">
        <is>
          <t>Y</t>
        </is>
      </c>
      <c r="AQ322" s="17" t="n">
        <v>7</v>
      </c>
      <c r="AR322" s="28" t="inlineStr">
        <is>
          <t>Tier D</t>
        </is>
      </c>
      <c r="AS322" s="17" t="inlineStr">
        <is>
          <t>QMS+LIMS</t>
        </is>
      </c>
      <c r="AT322" s="17" t="inlineStr">
        <is>
          <t>원료 제조로 시험실 관리 필요</t>
        </is>
      </c>
      <c r="AU322" s="17" t="inlineStr">
        <is>
          <t>담당자 파악 후 접촉</t>
        </is>
      </c>
      <c r="AV322" s="17" t="inlineStr">
        <is>
          <t>GMP적합판정+KRX</t>
        </is>
      </c>
      <c r="AW322" s="17" t="inlineStr">
        <is>
          <t>2026-07-05</t>
        </is>
      </c>
    </row>
    <row r="323">
      <c r="A323" s="17" t="inlineStr">
        <is>
          <t>C322</t>
        </is>
      </c>
      <c r="B323" s="17" t="inlineStr">
        <is>
          <t>에어젠</t>
        </is>
      </c>
      <c r="C323" s="17" t="inlineStr">
        <is>
          <t>에어젠</t>
        </is>
      </c>
      <c r="D323" s="17" t="n">
        <v>1</v>
      </c>
      <c r="E323" s="17" t="n">
        <v>1</v>
      </c>
      <c r="F323" s="17" t="inlineStr">
        <is>
          <t>Y</t>
        </is>
      </c>
      <c r="G323" s="17" t="inlineStr"/>
      <c r="H323" s="17" t="inlineStr"/>
      <c r="I323" s="17" t="inlineStr"/>
      <c r="J323" s="24" t="n">
        <v>46514</v>
      </c>
      <c r="K323" s="17" t="inlineStr"/>
      <c r="L323" s="17" t="inlineStr"/>
      <c r="M323" s="17" t="inlineStr"/>
      <c r="N323" s="23" t="inlineStr"/>
      <c r="O323" s="17" t="inlineStr"/>
      <c r="P323" s="17" t="inlineStr"/>
      <c r="Q323" s="17" t="inlineStr">
        <is>
          <t>김명섭</t>
        </is>
      </c>
      <c r="R323" s="17" t="inlineStr"/>
      <c r="S323" s="17" t="inlineStr"/>
      <c r="T323" s="17" t="inlineStr">
        <is>
          <t>053-424-1312</t>
        </is>
      </c>
      <c r="U323" s="17" t="inlineStr">
        <is>
          <t>제조소상세</t>
        </is>
      </c>
      <c r="V323" s="22" t="inlineStr">
        <is>
          <t>미확인</t>
        </is>
      </c>
      <c r="W323" s="22" t="inlineStr">
        <is>
          <t>미확인</t>
        </is>
      </c>
      <c r="X323" s="22" t="inlineStr">
        <is>
          <t>미확인</t>
        </is>
      </c>
      <c r="Y323" s="22" t="inlineStr">
        <is>
          <t>미확인</t>
        </is>
      </c>
      <c r="Z323" s="22" t="inlineStr">
        <is>
          <t>미확인</t>
        </is>
      </c>
      <c r="AA323" s="22" t="inlineStr">
        <is>
          <t>미확인</t>
        </is>
      </c>
      <c r="AB323" s="22" t="inlineStr">
        <is>
          <t>미확인</t>
        </is>
      </c>
      <c r="AC323" s="22" t="inlineStr">
        <is>
          <t>미확인</t>
        </is>
      </c>
      <c r="AD323" s="22" t="inlineStr">
        <is>
          <t>미확인</t>
        </is>
      </c>
      <c r="AE323" s="22" t="inlineStr">
        <is>
          <t>미확인</t>
        </is>
      </c>
      <c r="AF323" s="22" t="inlineStr">
        <is>
          <t>미확인</t>
        </is>
      </c>
      <c r="AG323" s="22" t="inlineStr">
        <is>
          <t>미확인</t>
        </is>
      </c>
      <c r="AH323" s="22" t="inlineStr">
        <is>
          <t>미확인</t>
        </is>
      </c>
      <c r="AI323" s="22" t="inlineStr">
        <is>
          <t>미확인</t>
        </is>
      </c>
      <c r="AJ323" s="22" t="inlineStr">
        <is>
          <t>미확인</t>
        </is>
      </c>
      <c r="AK323" s="22" t="inlineStr">
        <is>
          <t>미확인</t>
        </is>
      </c>
      <c r="AL323" s="22" t="inlineStr">
        <is>
          <t>미확인</t>
        </is>
      </c>
      <c r="AM323" s="22" t="inlineStr">
        <is>
          <t>미확인</t>
        </is>
      </c>
      <c r="AN323" s="22" t="inlineStr">
        <is>
          <t>미확인</t>
        </is>
      </c>
      <c r="AO323" s="17" t="inlineStr">
        <is>
          <t>C(부분확인)</t>
        </is>
      </c>
      <c r="AP323" s="17" t="inlineStr">
        <is>
          <t>Y</t>
        </is>
      </c>
      <c r="AQ323" s="17" t="n">
        <v>7</v>
      </c>
      <c r="AR323" s="28" t="inlineStr">
        <is>
          <t>Tier D</t>
        </is>
      </c>
      <c r="AS323" s="17" t="inlineStr">
        <is>
          <t>QMS</t>
        </is>
      </c>
      <c r="AT323" s="17" t="inlineStr">
        <is>
          <t>기본 GMP 문서관리 대상</t>
        </is>
      </c>
      <c r="AU323" s="17" t="inlineStr">
        <is>
          <t>담당자 파악 후 접촉</t>
        </is>
      </c>
      <c r="AV323" s="17" t="inlineStr">
        <is>
          <t>GMP적합판정+KRX</t>
        </is>
      </c>
      <c r="AW323" s="17" t="inlineStr">
        <is>
          <t>2026-07-05</t>
        </is>
      </c>
    </row>
    <row r="324">
      <c r="A324" s="17" t="inlineStr">
        <is>
          <t>C323</t>
        </is>
      </c>
      <c r="B324" s="17" t="inlineStr">
        <is>
          <t>이화산업가스</t>
        </is>
      </c>
      <c r="C324" s="17" t="inlineStr">
        <is>
          <t>이화산업가스주식회사</t>
        </is>
      </c>
      <c r="D324" s="17" t="n">
        <v>1</v>
      </c>
      <c r="E324" s="17" t="n">
        <v>1</v>
      </c>
      <c r="F324" s="17" t="inlineStr">
        <is>
          <t>Y</t>
        </is>
      </c>
      <c r="G324" s="17" t="inlineStr"/>
      <c r="H324" s="17" t="inlineStr"/>
      <c r="I324" s="17" t="inlineStr"/>
      <c r="J324" s="24" t="n">
        <v>46502</v>
      </c>
      <c r="K324" s="17" t="inlineStr"/>
      <c r="L324" s="17" t="inlineStr"/>
      <c r="M324" s="17" t="inlineStr"/>
      <c r="N324" s="23" t="inlineStr"/>
      <c r="O324" s="17" t="inlineStr"/>
      <c r="P324" s="17" t="inlineStr"/>
      <c r="Q324" s="17" t="inlineStr">
        <is>
          <t>박상형</t>
        </is>
      </c>
      <c r="R324" s="17" t="inlineStr"/>
      <c r="S324" s="17" t="inlineStr"/>
      <c r="T324" s="17" t="inlineStr">
        <is>
          <t>032-578-2345</t>
        </is>
      </c>
      <c r="U324" s="17" t="inlineStr">
        <is>
          <t>제조소상세</t>
        </is>
      </c>
      <c r="V324" s="22" t="inlineStr">
        <is>
          <t>미확인</t>
        </is>
      </c>
      <c r="W324" s="22" t="inlineStr">
        <is>
          <t>미확인</t>
        </is>
      </c>
      <c r="X324" s="22" t="inlineStr">
        <is>
          <t>미확인</t>
        </is>
      </c>
      <c r="Y324" s="22" t="inlineStr">
        <is>
          <t>미확인</t>
        </is>
      </c>
      <c r="Z324" s="22" t="inlineStr">
        <is>
          <t>미확인</t>
        </is>
      </c>
      <c r="AA324" s="22" t="inlineStr">
        <is>
          <t>미확인</t>
        </is>
      </c>
      <c r="AB324" s="22" t="inlineStr">
        <is>
          <t>미확인</t>
        </is>
      </c>
      <c r="AC324" s="22" t="inlineStr">
        <is>
          <t>미확인</t>
        </is>
      </c>
      <c r="AD324" s="22" t="inlineStr">
        <is>
          <t>미확인</t>
        </is>
      </c>
      <c r="AE324" s="22" t="inlineStr">
        <is>
          <t>미확인</t>
        </is>
      </c>
      <c r="AF324" s="22" t="inlineStr">
        <is>
          <t>미확인</t>
        </is>
      </c>
      <c r="AG324" s="22" t="inlineStr">
        <is>
          <t>미확인</t>
        </is>
      </c>
      <c r="AH324" s="22" t="inlineStr">
        <is>
          <t>미확인</t>
        </is>
      </c>
      <c r="AI324" s="22" t="inlineStr">
        <is>
          <t>미확인</t>
        </is>
      </c>
      <c r="AJ324" s="22" t="inlineStr">
        <is>
          <t>미확인</t>
        </is>
      </c>
      <c r="AK324" s="22" t="inlineStr">
        <is>
          <t>미확인</t>
        </is>
      </c>
      <c r="AL324" s="22" t="inlineStr">
        <is>
          <t>미확인</t>
        </is>
      </c>
      <c r="AM324" s="22" t="inlineStr">
        <is>
          <t>미확인</t>
        </is>
      </c>
      <c r="AN324" s="22" t="inlineStr">
        <is>
          <t>미확인</t>
        </is>
      </c>
      <c r="AO324" s="17" t="inlineStr">
        <is>
          <t>C(부분확인)</t>
        </is>
      </c>
      <c r="AP324" s="17" t="inlineStr">
        <is>
          <t>Y</t>
        </is>
      </c>
      <c r="AQ324" s="17" t="n">
        <v>7</v>
      </c>
      <c r="AR324" s="28" t="inlineStr">
        <is>
          <t>Tier D</t>
        </is>
      </c>
      <c r="AS324" s="17" t="inlineStr">
        <is>
          <t>QMS</t>
        </is>
      </c>
      <c r="AT324" s="17" t="inlineStr">
        <is>
          <t>기본 GMP 문서관리 대상</t>
        </is>
      </c>
      <c r="AU324" s="17" t="inlineStr">
        <is>
          <t>담당자 파악 후 접촉</t>
        </is>
      </c>
      <c r="AV324" s="17" t="inlineStr">
        <is>
          <t>GMP적합판정+KRX</t>
        </is>
      </c>
      <c r="AW324" s="17" t="inlineStr">
        <is>
          <t>2026-07-05</t>
        </is>
      </c>
    </row>
    <row r="325">
      <c r="A325" s="17" t="inlineStr">
        <is>
          <t>C324</t>
        </is>
      </c>
      <c r="B325" s="17" t="inlineStr">
        <is>
          <t>일양바이오팜</t>
        </is>
      </c>
      <c r="C325" s="17" t="inlineStr">
        <is>
          <t>일양바이오팜(주)</t>
        </is>
      </c>
      <c r="D325" s="17" t="n">
        <v>1</v>
      </c>
      <c r="E325" s="17" t="n">
        <v>1</v>
      </c>
      <c r="F325" s="17" t="inlineStr">
        <is>
          <t>Y</t>
        </is>
      </c>
      <c r="G325" s="17" t="inlineStr"/>
      <c r="H325" s="17" t="inlineStr"/>
      <c r="I325" s="17" t="inlineStr"/>
      <c r="J325" s="24" t="n">
        <v>46501</v>
      </c>
      <c r="K325" s="17" t="inlineStr"/>
      <c r="L325" s="17" t="inlineStr"/>
      <c r="M325" s="17" t="inlineStr"/>
      <c r="N325" s="23" t="inlineStr"/>
      <c r="O325" s="17" t="inlineStr"/>
      <c r="P325" s="17" t="inlineStr"/>
      <c r="Q325" s="17" t="inlineStr">
        <is>
          <t>정희석</t>
        </is>
      </c>
      <c r="R325" s="17" t="inlineStr"/>
      <c r="S325" s="17" t="inlineStr"/>
      <c r="T325" s="17" t="inlineStr">
        <is>
          <t>02-570-3972</t>
        </is>
      </c>
      <c r="U325" s="17" t="inlineStr">
        <is>
          <t>제조소상세</t>
        </is>
      </c>
      <c r="V325" s="22" t="inlineStr">
        <is>
          <t>미확인</t>
        </is>
      </c>
      <c r="W325" s="22" t="inlineStr">
        <is>
          <t>미확인</t>
        </is>
      </c>
      <c r="X325" s="22" t="inlineStr">
        <is>
          <t>미확인</t>
        </is>
      </c>
      <c r="Y325" s="22" t="inlineStr">
        <is>
          <t>미확인</t>
        </is>
      </c>
      <c r="Z325" s="22" t="inlineStr">
        <is>
          <t>미확인</t>
        </is>
      </c>
      <c r="AA325" s="22" t="inlineStr">
        <is>
          <t>미확인</t>
        </is>
      </c>
      <c r="AB325" s="22" t="inlineStr">
        <is>
          <t>미확인</t>
        </is>
      </c>
      <c r="AC325" s="22" t="inlineStr">
        <is>
          <t>미확인</t>
        </is>
      </c>
      <c r="AD325" s="22" t="inlineStr">
        <is>
          <t>미확인</t>
        </is>
      </c>
      <c r="AE325" s="22" t="inlineStr">
        <is>
          <t>미확인</t>
        </is>
      </c>
      <c r="AF325" s="22" t="inlineStr">
        <is>
          <t>미확인</t>
        </is>
      </c>
      <c r="AG325" s="22" t="inlineStr">
        <is>
          <t>미확인</t>
        </is>
      </c>
      <c r="AH325" s="22" t="inlineStr">
        <is>
          <t>미확인</t>
        </is>
      </c>
      <c r="AI325" s="22" t="inlineStr">
        <is>
          <t>미확인</t>
        </is>
      </c>
      <c r="AJ325" s="22" t="inlineStr">
        <is>
          <t>미확인</t>
        </is>
      </c>
      <c r="AK325" s="22" t="inlineStr">
        <is>
          <t>미확인</t>
        </is>
      </c>
      <c r="AL325" s="22" t="inlineStr">
        <is>
          <t>미확인</t>
        </is>
      </c>
      <c r="AM325" s="22" t="inlineStr">
        <is>
          <t>미확인</t>
        </is>
      </c>
      <c r="AN325" s="22" t="inlineStr">
        <is>
          <t>미확인</t>
        </is>
      </c>
      <c r="AO325" s="17" t="inlineStr">
        <is>
          <t>C(부분확인)</t>
        </is>
      </c>
      <c r="AP325" s="17" t="inlineStr">
        <is>
          <t>Y</t>
        </is>
      </c>
      <c r="AQ325" s="17" t="n">
        <v>7</v>
      </c>
      <c r="AR325" s="28" t="inlineStr">
        <is>
          <t>Tier D</t>
        </is>
      </c>
      <c r="AS325" s="17" t="inlineStr">
        <is>
          <t>QMS</t>
        </is>
      </c>
      <c r="AT325" s="17" t="inlineStr">
        <is>
          <t>기본 GMP 문서관리 대상</t>
        </is>
      </c>
      <c r="AU325" s="17" t="inlineStr">
        <is>
          <t>담당자 파악 후 접촉</t>
        </is>
      </c>
      <c r="AV325" s="17" t="inlineStr">
        <is>
          <t>GMP적합판정+KRX</t>
        </is>
      </c>
      <c r="AW325" s="17" t="inlineStr">
        <is>
          <t>2026-07-05</t>
        </is>
      </c>
    </row>
    <row r="326">
      <c r="A326" s="17" t="inlineStr">
        <is>
          <t>C325</t>
        </is>
      </c>
      <c r="B326" s="17" t="inlineStr">
        <is>
          <t>씨엘팜</t>
        </is>
      </c>
      <c r="C326" s="17" t="inlineStr">
        <is>
          <t>(주)씨엘팜</t>
        </is>
      </c>
      <c r="D326" s="17" t="n">
        <v>1</v>
      </c>
      <c r="E326" s="17" t="n">
        <v>1</v>
      </c>
      <c r="F326" s="17" t="inlineStr">
        <is>
          <t>Y</t>
        </is>
      </c>
      <c r="G326" s="17" t="inlineStr"/>
      <c r="H326" s="17" t="inlineStr"/>
      <c r="I326" s="17" t="inlineStr"/>
      <c r="J326" s="24" t="n">
        <v>46501</v>
      </c>
      <c r="K326" s="17" t="inlineStr"/>
      <c r="L326" s="17" t="inlineStr"/>
      <c r="M326" s="17" t="inlineStr"/>
      <c r="N326" s="23" t="inlineStr"/>
      <c r="O326" s="17" t="inlineStr"/>
      <c r="P326" s="17" t="inlineStr"/>
      <c r="Q326" s="17" t="inlineStr">
        <is>
          <t>장석훈</t>
        </is>
      </c>
      <c r="R326" s="17" t="inlineStr"/>
      <c r="S326" s="17" t="inlineStr"/>
      <c r="T326" s="17" t="inlineStr">
        <is>
          <t>041-546-1661</t>
        </is>
      </c>
      <c r="U326" s="17" t="inlineStr">
        <is>
          <t>제조소상세</t>
        </is>
      </c>
      <c r="V326" s="22" t="inlineStr">
        <is>
          <t>미확인</t>
        </is>
      </c>
      <c r="W326" s="22" t="inlineStr">
        <is>
          <t>미확인</t>
        </is>
      </c>
      <c r="X326" s="22" t="inlineStr">
        <is>
          <t>미확인</t>
        </is>
      </c>
      <c r="Y326" s="22" t="inlineStr">
        <is>
          <t>미확인</t>
        </is>
      </c>
      <c r="Z326" s="22" t="inlineStr">
        <is>
          <t>미확인</t>
        </is>
      </c>
      <c r="AA326" s="22" t="inlineStr">
        <is>
          <t>미확인</t>
        </is>
      </c>
      <c r="AB326" s="22" t="inlineStr">
        <is>
          <t>미확인</t>
        </is>
      </c>
      <c r="AC326" s="22" t="inlineStr">
        <is>
          <t>미확인</t>
        </is>
      </c>
      <c r="AD326" s="22" t="inlineStr">
        <is>
          <t>미확인</t>
        </is>
      </c>
      <c r="AE326" s="22" t="inlineStr">
        <is>
          <t>미확인</t>
        </is>
      </c>
      <c r="AF326" s="22" t="inlineStr">
        <is>
          <t>미확인</t>
        </is>
      </c>
      <c r="AG326" s="22" t="inlineStr">
        <is>
          <t>미확인</t>
        </is>
      </c>
      <c r="AH326" s="22" t="inlineStr">
        <is>
          <t>미확인</t>
        </is>
      </c>
      <c r="AI326" s="22" t="inlineStr">
        <is>
          <t>미확인</t>
        </is>
      </c>
      <c r="AJ326" s="22" t="inlineStr">
        <is>
          <t>미확인</t>
        </is>
      </c>
      <c r="AK326" s="22" t="inlineStr">
        <is>
          <t>미확인</t>
        </is>
      </c>
      <c r="AL326" s="22" t="inlineStr">
        <is>
          <t>미확인</t>
        </is>
      </c>
      <c r="AM326" s="22" t="inlineStr">
        <is>
          <t>미확인</t>
        </is>
      </c>
      <c r="AN326" s="22" t="inlineStr">
        <is>
          <t>미확인</t>
        </is>
      </c>
      <c r="AO326" s="17" t="inlineStr">
        <is>
          <t>C(부분확인)</t>
        </is>
      </c>
      <c r="AP326" s="17" t="inlineStr">
        <is>
          <t>Y</t>
        </is>
      </c>
      <c r="AQ326" s="17" t="n">
        <v>7</v>
      </c>
      <c r="AR326" s="28" t="inlineStr">
        <is>
          <t>Tier D</t>
        </is>
      </c>
      <c r="AS326" s="17" t="inlineStr">
        <is>
          <t>QMS</t>
        </is>
      </c>
      <c r="AT326" s="17" t="inlineStr">
        <is>
          <t>기본 GMP 문서관리 대상</t>
        </is>
      </c>
      <c r="AU326" s="17" t="inlineStr">
        <is>
          <t>담당자 파악 후 접촉</t>
        </is>
      </c>
      <c r="AV326" s="17" t="inlineStr">
        <is>
          <t>GMP적합판정+KRX</t>
        </is>
      </c>
      <c r="AW326" s="17" t="inlineStr">
        <is>
          <t>2026-07-05</t>
        </is>
      </c>
    </row>
    <row r="327">
      <c r="A327" s="17" t="inlineStr">
        <is>
          <t>C326</t>
        </is>
      </c>
      <c r="B327" s="17" t="inlineStr">
        <is>
          <t>미래바이오제약</t>
        </is>
      </c>
      <c r="C327" s="17" t="inlineStr">
        <is>
          <t>미래바이오제약(주)</t>
        </is>
      </c>
      <c r="D327" s="17" t="n">
        <v>1</v>
      </c>
      <c r="E327" s="17" t="n">
        <v>1</v>
      </c>
      <c r="F327" s="17" t="inlineStr">
        <is>
          <t>Y</t>
        </is>
      </c>
      <c r="G327" s="17" t="inlineStr"/>
      <c r="H327" s="17" t="inlineStr"/>
      <c r="I327" s="17" t="inlineStr"/>
      <c r="J327" s="24" t="n">
        <v>46501</v>
      </c>
      <c r="K327" s="17" t="inlineStr"/>
      <c r="L327" s="17" t="inlineStr"/>
      <c r="M327" s="17" t="inlineStr"/>
      <c r="N327" s="23" t="inlineStr"/>
      <c r="O327" s="17" t="inlineStr"/>
      <c r="P327" s="17" t="inlineStr"/>
      <c r="Q327" s="17" t="inlineStr">
        <is>
          <t>김한석</t>
        </is>
      </c>
      <c r="R327" s="17" t="inlineStr"/>
      <c r="S327" s="17" t="inlineStr"/>
      <c r="T327" s="17" t="inlineStr">
        <is>
          <t>031-672-0221</t>
        </is>
      </c>
      <c r="U327" s="17" t="inlineStr">
        <is>
          <t>제조소상세</t>
        </is>
      </c>
      <c r="V327" s="22" t="inlineStr">
        <is>
          <t>미확인</t>
        </is>
      </c>
      <c r="W327" s="22" t="inlineStr">
        <is>
          <t>미확인</t>
        </is>
      </c>
      <c r="X327" s="22" t="inlineStr">
        <is>
          <t>미확인</t>
        </is>
      </c>
      <c r="Y327" s="22" t="inlineStr">
        <is>
          <t>미확인</t>
        </is>
      </c>
      <c r="Z327" s="22" t="inlineStr">
        <is>
          <t>미확인</t>
        </is>
      </c>
      <c r="AA327" s="22" t="inlineStr">
        <is>
          <t>미확인</t>
        </is>
      </c>
      <c r="AB327" s="22" t="inlineStr">
        <is>
          <t>미확인</t>
        </is>
      </c>
      <c r="AC327" s="22" t="inlineStr">
        <is>
          <t>미확인</t>
        </is>
      </c>
      <c r="AD327" s="22" t="inlineStr">
        <is>
          <t>미확인</t>
        </is>
      </c>
      <c r="AE327" s="22" t="inlineStr">
        <is>
          <t>미확인</t>
        </is>
      </c>
      <c r="AF327" s="22" t="inlineStr">
        <is>
          <t>미확인</t>
        </is>
      </c>
      <c r="AG327" s="22" t="inlineStr">
        <is>
          <t>미확인</t>
        </is>
      </c>
      <c r="AH327" s="22" t="inlineStr">
        <is>
          <t>미확인</t>
        </is>
      </c>
      <c r="AI327" s="22" t="inlineStr">
        <is>
          <t>미확인</t>
        </is>
      </c>
      <c r="AJ327" s="22" t="inlineStr">
        <is>
          <t>미확인</t>
        </is>
      </c>
      <c r="AK327" s="22" t="inlineStr">
        <is>
          <t>미확인</t>
        </is>
      </c>
      <c r="AL327" s="22" t="inlineStr">
        <is>
          <t>미확인</t>
        </is>
      </c>
      <c r="AM327" s="22" t="inlineStr">
        <is>
          <t>미확인</t>
        </is>
      </c>
      <c r="AN327" s="22" t="inlineStr">
        <is>
          <t>미확인</t>
        </is>
      </c>
      <c r="AO327" s="17" t="inlineStr">
        <is>
          <t>C(부분확인)</t>
        </is>
      </c>
      <c r="AP327" s="17" t="inlineStr">
        <is>
          <t>Y</t>
        </is>
      </c>
      <c r="AQ327" s="17" t="n">
        <v>7</v>
      </c>
      <c r="AR327" s="28" t="inlineStr">
        <is>
          <t>Tier D</t>
        </is>
      </c>
      <c r="AS327" s="17" t="inlineStr">
        <is>
          <t>QMS</t>
        </is>
      </c>
      <c r="AT327" s="17" t="inlineStr">
        <is>
          <t>기본 GMP 문서관리 대상</t>
        </is>
      </c>
      <c r="AU327" s="17" t="inlineStr">
        <is>
          <t>담당자 파악 후 접촉</t>
        </is>
      </c>
      <c r="AV327" s="17" t="inlineStr">
        <is>
          <t>GMP적합판정+KRX</t>
        </is>
      </c>
      <c r="AW327" s="17" t="inlineStr">
        <is>
          <t>2026-07-05</t>
        </is>
      </c>
    </row>
    <row r="328">
      <c r="A328" s="17" t="inlineStr">
        <is>
          <t>C327</t>
        </is>
      </c>
      <c r="B328" s="17" t="inlineStr">
        <is>
          <t>휴젤</t>
        </is>
      </c>
      <c r="C328" s="17" t="inlineStr">
        <is>
          <t>휴젤주식회사</t>
        </is>
      </c>
      <c r="D328" s="17" t="n">
        <v>2</v>
      </c>
      <c r="E328" s="17" t="n">
        <v>1</v>
      </c>
      <c r="F328" s="17" t="inlineStr">
        <is>
          <t>Y</t>
        </is>
      </c>
      <c r="G328" s="17" t="inlineStr">
        <is>
          <t>Y</t>
        </is>
      </c>
      <c r="H328" s="17" t="inlineStr">
        <is>
          <t>Y</t>
        </is>
      </c>
      <c r="I328" s="17" t="inlineStr">
        <is>
          <t>Y</t>
        </is>
      </c>
      <c r="J328" s="24" t="n">
        <v>46494</v>
      </c>
      <c r="K328" s="17" t="inlineStr"/>
      <c r="L328" s="17" t="inlineStr">
        <is>
          <t>Y</t>
        </is>
      </c>
      <c r="M328" s="17" t="inlineStr">
        <is>
          <t>코스닥</t>
        </is>
      </c>
      <c r="N328" s="23" t="inlineStr">
        <is>
          <t>145020</t>
        </is>
      </c>
      <c r="O328" s="17" t="inlineStr">
        <is>
          <t>기초 의약물질 제조업</t>
        </is>
      </c>
      <c r="P328" s="17" t="inlineStr">
        <is>
          <t>보툴리눔톡신, 필러</t>
        </is>
      </c>
      <c r="Q328" s="17" t="inlineStr">
        <is>
          <t>Doohyun Chang</t>
        </is>
      </c>
      <c r="R328" s="17" t="inlineStr">
        <is>
          <t>http://www.hugel.co.kr</t>
        </is>
      </c>
      <c r="S328" s="17" t="inlineStr">
        <is>
          <t>강원특별자치도</t>
        </is>
      </c>
      <c r="T328" s="17" t="inlineStr">
        <is>
          <t>033-255-3882</t>
        </is>
      </c>
      <c r="U328" s="17" t="inlineStr">
        <is>
          <t>제조소상세</t>
        </is>
      </c>
      <c r="V328" s="22" t="inlineStr">
        <is>
          <t>미확인</t>
        </is>
      </c>
      <c r="W328" s="22" t="inlineStr">
        <is>
          <t>미확인</t>
        </is>
      </c>
      <c r="X328" s="22" t="inlineStr">
        <is>
          <t>미확인</t>
        </is>
      </c>
      <c r="Y328" s="22" t="inlineStr">
        <is>
          <t>미확인</t>
        </is>
      </c>
      <c r="Z328" s="22" t="inlineStr">
        <is>
          <t>미확인</t>
        </is>
      </c>
      <c r="AA328" s="22" t="inlineStr">
        <is>
          <t>미확인</t>
        </is>
      </c>
      <c r="AB328" s="22" t="inlineStr">
        <is>
          <t>미확인</t>
        </is>
      </c>
      <c r="AC328" s="22" t="inlineStr">
        <is>
          <t>미확인</t>
        </is>
      </c>
      <c r="AD328" s="22" t="inlineStr">
        <is>
          <t>미확인</t>
        </is>
      </c>
      <c r="AE328" s="22" t="inlineStr">
        <is>
          <t>미확인</t>
        </is>
      </c>
      <c r="AF328" s="22" t="inlineStr">
        <is>
          <t>미확인</t>
        </is>
      </c>
      <c r="AG328" s="22" t="inlineStr">
        <is>
          <t>미확인</t>
        </is>
      </c>
      <c r="AH328" s="22" t="inlineStr">
        <is>
          <t>미확인</t>
        </is>
      </c>
      <c r="AI328" s="22" t="inlineStr">
        <is>
          <t>미확인</t>
        </is>
      </c>
      <c r="AJ328" s="22" t="inlineStr">
        <is>
          <t>미확인</t>
        </is>
      </c>
      <c r="AK328" s="22" t="inlineStr">
        <is>
          <t>미확인</t>
        </is>
      </c>
      <c r="AL328" s="22" t="inlineStr">
        <is>
          <t>미확인</t>
        </is>
      </c>
      <c r="AM328" s="22" t="inlineStr">
        <is>
          <t>미확인</t>
        </is>
      </c>
      <c r="AN328" s="22" t="inlineStr">
        <is>
          <t>미확인</t>
        </is>
      </c>
      <c r="AO328" s="17" t="inlineStr">
        <is>
          <t>C(부분확인)</t>
        </is>
      </c>
      <c r="AP328" s="17" t="inlineStr">
        <is>
          <t>Y</t>
        </is>
      </c>
      <c r="AQ328" s="17" t="n">
        <v>25</v>
      </c>
      <c r="AR328" s="28" t="inlineStr">
        <is>
          <t>Tier D</t>
        </is>
      </c>
      <c r="AS328" s="17" t="inlineStr">
        <is>
          <t>QMS+LIMS</t>
        </is>
      </c>
      <c r="AT328" s="17" t="inlineStr">
        <is>
          <t>무균/바이오 제조로 품질관리 난도 높음; 원료 제조로 시험실 관리 필요</t>
        </is>
      </c>
      <c r="AU328" s="17" t="inlineStr">
        <is>
          <t>담당자 파악 후 접촉</t>
        </is>
      </c>
      <c r="AV328" s="17" t="inlineStr">
        <is>
          <t>GMP적합판정+KRX</t>
        </is>
      </c>
      <c r="AW328" s="17" t="inlineStr">
        <is>
          <t>2026-07-05</t>
        </is>
      </c>
    </row>
    <row r="329">
      <c r="A329" s="17" t="inlineStr">
        <is>
          <t>C328</t>
        </is>
      </c>
      <c r="B329" s="17" t="inlineStr">
        <is>
          <t>하원정밀화학</t>
        </is>
      </c>
      <c r="C329" s="17" t="inlineStr">
        <is>
          <t>(주)하원정밀화학</t>
        </is>
      </c>
      <c r="D329" s="17" t="n">
        <v>1</v>
      </c>
      <c r="E329" s="17" t="n">
        <v>1</v>
      </c>
      <c r="F329" s="17" t="inlineStr"/>
      <c r="G329" s="17" t="inlineStr">
        <is>
          <t>Y</t>
        </is>
      </c>
      <c r="H329" s="17" t="inlineStr"/>
      <c r="I329" s="17" t="inlineStr"/>
      <c r="J329" s="24" t="n">
        <v>46494</v>
      </c>
      <c r="K329" s="17" t="inlineStr"/>
      <c r="L329" s="17" t="inlineStr"/>
      <c r="M329" s="17" t="inlineStr"/>
      <c r="N329" s="23" t="inlineStr"/>
      <c r="O329" s="17" t="inlineStr"/>
      <c r="P329" s="17" t="inlineStr"/>
      <c r="Q329" s="17" t="inlineStr">
        <is>
          <t>구자춘</t>
        </is>
      </c>
      <c r="R329" s="17" t="inlineStr"/>
      <c r="S329" s="17" t="inlineStr"/>
      <c r="T329" s="17" t="inlineStr">
        <is>
          <t>044-862-2681</t>
        </is>
      </c>
      <c r="U329" s="17" t="inlineStr">
        <is>
          <t>제조소상세</t>
        </is>
      </c>
      <c r="V329" s="22" t="inlineStr">
        <is>
          <t>미확인</t>
        </is>
      </c>
      <c r="W329" s="22" t="inlineStr">
        <is>
          <t>미확인</t>
        </is>
      </c>
      <c r="X329" s="22" t="inlineStr">
        <is>
          <t>미확인</t>
        </is>
      </c>
      <c r="Y329" s="22" t="inlineStr">
        <is>
          <t>미확인</t>
        </is>
      </c>
      <c r="Z329" s="22" t="inlineStr">
        <is>
          <t>미확인</t>
        </is>
      </c>
      <c r="AA329" s="22" t="inlineStr">
        <is>
          <t>미확인</t>
        </is>
      </c>
      <c r="AB329" s="22" t="inlineStr">
        <is>
          <t>미확인</t>
        </is>
      </c>
      <c r="AC329" s="22" t="inlineStr">
        <is>
          <t>미확인</t>
        </is>
      </c>
      <c r="AD329" s="22" t="inlineStr">
        <is>
          <t>미확인</t>
        </is>
      </c>
      <c r="AE329" s="22" t="inlineStr">
        <is>
          <t>미확인</t>
        </is>
      </c>
      <c r="AF329" s="22" t="inlineStr">
        <is>
          <t>미확인</t>
        </is>
      </c>
      <c r="AG329" s="22" t="inlineStr">
        <is>
          <t>미확인</t>
        </is>
      </c>
      <c r="AH329" s="22" t="inlineStr">
        <is>
          <t>미확인</t>
        </is>
      </c>
      <c r="AI329" s="22" t="inlineStr">
        <is>
          <t>미확인</t>
        </is>
      </c>
      <c r="AJ329" s="22" t="inlineStr">
        <is>
          <t>미확인</t>
        </is>
      </c>
      <c r="AK329" s="22" t="inlineStr">
        <is>
          <t>미확인</t>
        </is>
      </c>
      <c r="AL329" s="22" t="inlineStr">
        <is>
          <t>미확인</t>
        </is>
      </c>
      <c r="AM329" s="22" t="inlineStr">
        <is>
          <t>미확인</t>
        </is>
      </c>
      <c r="AN329" s="22" t="inlineStr">
        <is>
          <t>미확인</t>
        </is>
      </c>
      <c r="AO329" s="17" t="inlineStr">
        <is>
          <t>C(부분확인)</t>
        </is>
      </c>
      <c r="AP329" s="17" t="inlineStr">
        <is>
          <t>Y</t>
        </is>
      </c>
      <c r="AQ329" s="17" t="n">
        <v>7</v>
      </c>
      <c r="AR329" s="28" t="inlineStr">
        <is>
          <t>Tier D</t>
        </is>
      </c>
      <c r="AS329" s="17" t="inlineStr">
        <is>
          <t>QMS+LIMS</t>
        </is>
      </c>
      <c r="AT329" s="17" t="inlineStr">
        <is>
          <t>원료 제조로 시험실 관리 필요</t>
        </is>
      </c>
      <c r="AU329" s="17" t="inlineStr">
        <is>
          <t>담당자 파악 후 접촉</t>
        </is>
      </c>
      <c r="AV329" s="17" t="inlineStr">
        <is>
          <t>GMP적합판정+KRX</t>
        </is>
      </c>
      <c r="AW329" s="17" t="inlineStr">
        <is>
          <t>2026-07-05</t>
        </is>
      </c>
    </row>
    <row r="330">
      <c r="A330" s="17" t="inlineStr">
        <is>
          <t>C329</t>
        </is>
      </c>
      <c r="B330" s="17" t="inlineStr">
        <is>
          <t>이수앱지스</t>
        </is>
      </c>
      <c r="C330" s="17" t="inlineStr">
        <is>
          <t>(주)이수앱지스</t>
        </is>
      </c>
      <c r="D330" s="17" t="n">
        <v>1</v>
      </c>
      <c r="E330" s="17" t="n">
        <v>1</v>
      </c>
      <c r="F330" s="17" t="inlineStr"/>
      <c r="G330" s="17" t="inlineStr">
        <is>
          <t>Y</t>
        </is>
      </c>
      <c r="H330" s="17" t="inlineStr"/>
      <c r="I330" s="17" t="inlineStr">
        <is>
          <t>Y</t>
        </is>
      </c>
      <c r="J330" s="24" t="n">
        <v>46494</v>
      </c>
      <c r="K330" s="17" t="inlineStr"/>
      <c r="L330" s="17" t="inlineStr">
        <is>
          <t>Y</t>
        </is>
      </c>
      <c r="M330" s="17" t="inlineStr">
        <is>
          <t>코스닥</t>
        </is>
      </c>
      <c r="N330" s="23" t="inlineStr">
        <is>
          <t>086890</t>
        </is>
      </c>
      <c r="O330" s="17" t="inlineStr">
        <is>
          <t>의료용품 및 기타 의약 관련제품 제조업</t>
        </is>
      </c>
      <c r="P330" s="17" t="inlineStr">
        <is>
          <t>항체치료제,효소치료제</t>
        </is>
      </c>
      <c r="Q330" s="17" t="inlineStr">
        <is>
          <t>유준수</t>
        </is>
      </c>
      <c r="R330" s="17" t="inlineStr">
        <is>
          <t>http://www.abxis.com</t>
        </is>
      </c>
      <c r="S330" s="17" t="inlineStr">
        <is>
          <t>경기도</t>
        </is>
      </c>
      <c r="T330" s="17" t="inlineStr">
        <is>
          <t>미확인</t>
        </is>
      </c>
      <c r="U330" s="17" t="inlineStr">
        <is>
          <t>미확인</t>
        </is>
      </c>
      <c r="V330" s="22" t="inlineStr">
        <is>
          <t>미확인</t>
        </is>
      </c>
      <c r="W330" s="22" t="inlineStr">
        <is>
          <t>미확인</t>
        </is>
      </c>
      <c r="X330" s="22" t="inlineStr">
        <is>
          <t>미확인</t>
        </is>
      </c>
      <c r="Y330" s="22" t="inlineStr">
        <is>
          <t>미확인</t>
        </is>
      </c>
      <c r="Z330" s="22" t="inlineStr">
        <is>
          <t>미확인</t>
        </is>
      </c>
      <c r="AA330" s="22" t="inlineStr">
        <is>
          <t>미확인</t>
        </is>
      </c>
      <c r="AB330" s="22" t="inlineStr">
        <is>
          <t>미확인</t>
        </is>
      </c>
      <c r="AC330" s="22" t="inlineStr">
        <is>
          <t>미확인</t>
        </is>
      </c>
      <c r="AD330" s="22" t="inlineStr">
        <is>
          <t>미확인</t>
        </is>
      </c>
      <c r="AE330" s="22" t="inlineStr">
        <is>
          <t>미확인</t>
        </is>
      </c>
      <c r="AF330" s="22" t="inlineStr">
        <is>
          <t>미확인</t>
        </is>
      </c>
      <c r="AG330" s="22" t="inlineStr">
        <is>
          <t>미확인</t>
        </is>
      </c>
      <c r="AH330" s="22" t="inlineStr">
        <is>
          <t>미확인</t>
        </is>
      </c>
      <c r="AI330" s="22" t="inlineStr">
        <is>
          <t>미확인</t>
        </is>
      </c>
      <c r="AJ330" s="22" t="inlineStr">
        <is>
          <t>미확인</t>
        </is>
      </c>
      <c r="AK330" s="22" t="inlineStr">
        <is>
          <t>미확인</t>
        </is>
      </c>
      <c r="AL330" s="22" t="inlineStr">
        <is>
          <t>미확인</t>
        </is>
      </c>
      <c r="AM330" s="22" t="inlineStr">
        <is>
          <t>미확인</t>
        </is>
      </c>
      <c r="AN330" s="22" t="inlineStr">
        <is>
          <t>미확인</t>
        </is>
      </c>
      <c r="AO330" s="17" t="inlineStr">
        <is>
          <t>C(부분확인)</t>
        </is>
      </c>
      <c r="AP330" s="17" t="inlineStr">
        <is>
          <t>Y</t>
        </is>
      </c>
      <c r="AQ330" s="17" t="n">
        <v>14</v>
      </c>
      <c r="AR330" s="28" t="inlineStr">
        <is>
          <t>Tier D</t>
        </is>
      </c>
      <c r="AS330" s="17" t="inlineStr">
        <is>
          <t>QMS+LIMS</t>
        </is>
      </c>
      <c r="AT330" s="17" t="inlineStr">
        <is>
          <t>무균/바이오 제조로 품질관리 난도 높음; 원료 제조로 시험실 관리 필요</t>
        </is>
      </c>
      <c r="AU330" s="17" t="inlineStr">
        <is>
          <t>담당자 파악 후 접촉</t>
        </is>
      </c>
      <c r="AV330" s="17" t="inlineStr">
        <is>
          <t>GMP적합판정+KRX</t>
        </is>
      </c>
      <c r="AW330" s="17" t="inlineStr">
        <is>
          <t>2026-07-05</t>
        </is>
      </c>
    </row>
    <row r="331">
      <c r="A331" s="17" t="inlineStr">
        <is>
          <t>C330</t>
        </is>
      </c>
      <c r="B331" s="17" t="inlineStr">
        <is>
          <t>대원바이오텍</t>
        </is>
      </c>
      <c r="C331" s="17" t="inlineStr">
        <is>
          <t>대원바이오텍주식회사</t>
        </is>
      </c>
      <c r="D331" s="17" t="n">
        <v>1</v>
      </c>
      <c r="E331" s="17" t="n">
        <v>1</v>
      </c>
      <c r="F331" s="17" t="inlineStr">
        <is>
          <t>Y</t>
        </is>
      </c>
      <c r="G331" s="17" t="inlineStr"/>
      <c r="H331" s="17" t="inlineStr"/>
      <c r="I331" s="17" t="inlineStr"/>
      <c r="J331" s="24" t="n">
        <v>46493</v>
      </c>
      <c r="K331" s="17" t="inlineStr"/>
      <c r="L331" s="17" t="inlineStr"/>
      <c r="M331" s="17" t="inlineStr"/>
      <c r="N331" s="23" t="inlineStr"/>
      <c r="O331" s="17" t="inlineStr"/>
      <c r="P331" s="17" t="inlineStr"/>
      <c r="Q331" s="17" t="inlineStr">
        <is>
          <t>조태균</t>
        </is>
      </c>
      <c r="R331" s="17" t="inlineStr"/>
      <c r="S331" s="17" t="inlineStr"/>
      <c r="T331" s="17" t="inlineStr">
        <is>
          <t>070-4327-0447</t>
        </is>
      </c>
      <c r="U331" s="17" t="inlineStr">
        <is>
          <t>제조소상세</t>
        </is>
      </c>
      <c r="V331" s="22" t="inlineStr">
        <is>
          <t>미확인</t>
        </is>
      </c>
      <c r="W331" s="22" t="inlineStr">
        <is>
          <t>미확인</t>
        </is>
      </c>
      <c r="X331" s="22" t="inlineStr">
        <is>
          <t>미확인</t>
        </is>
      </c>
      <c r="Y331" s="22" t="inlineStr">
        <is>
          <t>미확인</t>
        </is>
      </c>
      <c r="Z331" s="22" t="inlineStr">
        <is>
          <t>미확인</t>
        </is>
      </c>
      <c r="AA331" s="22" t="inlineStr">
        <is>
          <t>미확인</t>
        </is>
      </c>
      <c r="AB331" s="22" t="inlineStr">
        <is>
          <t>미확인</t>
        </is>
      </c>
      <c r="AC331" s="22" t="inlineStr">
        <is>
          <t>미확인</t>
        </is>
      </c>
      <c r="AD331" s="22" t="inlineStr">
        <is>
          <t>미확인</t>
        </is>
      </c>
      <c r="AE331" s="22" t="inlineStr">
        <is>
          <t>미확인</t>
        </is>
      </c>
      <c r="AF331" s="22" t="inlineStr">
        <is>
          <t>미확인</t>
        </is>
      </c>
      <c r="AG331" s="22" t="inlineStr">
        <is>
          <t>미확인</t>
        </is>
      </c>
      <c r="AH331" s="22" t="inlineStr">
        <is>
          <t>미확인</t>
        </is>
      </c>
      <c r="AI331" s="22" t="inlineStr">
        <is>
          <t>미확인</t>
        </is>
      </c>
      <c r="AJ331" s="22" t="inlineStr">
        <is>
          <t>미확인</t>
        </is>
      </c>
      <c r="AK331" s="22" t="inlineStr">
        <is>
          <t>미확인</t>
        </is>
      </c>
      <c r="AL331" s="22" t="inlineStr">
        <is>
          <t>미확인</t>
        </is>
      </c>
      <c r="AM331" s="22" t="inlineStr">
        <is>
          <t>미확인</t>
        </is>
      </c>
      <c r="AN331" s="22" t="inlineStr">
        <is>
          <t>미확인</t>
        </is>
      </c>
      <c r="AO331" s="17" t="inlineStr">
        <is>
          <t>C(부분확인)</t>
        </is>
      </c>
      <c r="AP331" s="17" t="inlineStr">
        <is>
          <t>Y</t>
        </is>
      </c>
      <c r="AQ331" s="17" t="n">
        <v>7</v>
      </c>
      <c r="AR331" s="28" t="inlineStr">
        <is>
          <t>Tier D</t>
        </is>
      </c>
      <c r="AS331" s="17" t="inlineStr">
        <is>
          <t>QMS</t>
        </is>
      </c>
      <c r="AT331" s="17" t="inlineStr">
        <is>
          <t>기본 GMP 문서관리 대상</t>
        </is>
      </c>
      <c r="AU331" s="17" t="inlineStr">
        <is>
          <t>담당자 파악 후 접촉</t>
        </is>
      </c>
      <c r="AV331" s="17" t="inlineStr">
        <is>
          <t>GMP적합판정+KRX</t>
        </is>
      </c>
      <c r="AW331" s="17" t="inlineStr">
        <is>
          <t>2026-07-05</t>
        </is>
      </c>
    </row>
    <row r="332">
      <c r="A332" s="17" t="inlineStr">
        <is>
          <t>C331</t>
        </is>
      </c>
      <c r="B332" s="17" t="inlineStr">
        <is>
          <t>밸리</t>
        </is>
      </c>
      <c r="C332" s="17" t="inlineStr">
        <is>
          <t>주식회사 밸리</t>
        </is>
      </c>
      <c r="D332" s="17" t="n">
        <v>1</v>
      </c>
      <c r="E332" s="17" t="n">
        <v>1</v>
      </c>
      <c r="F332" s="17" t="inlineStr">
        <is>
          <t>Y</t>
        </is>
      </c>
      <c r="G332" s="17" t="inlineStr"/>
      <c r="H332" s="17" t="inlineStr"/>
      <c r="I332" s="17" t="inlineStr"/>
      <c r="J332" s="24" t="n">
        <v>46493</v>
      </c>
      <c r="K332" s="17" t="inlineStr"/>
      <c r="L332" s="17" t="inlineStr"/>
      <c r="M332" s="17" t="inlineStr"/>
      <c r="N332" s="23" t="inlineStr"/>
      <c r="O332" s="17" t="inlineStr"/>
      <c r="P332" s="17" t="inlineStr"/>
      <c r="Q332" s="17" t="inlineStr">
        <is>
          <t>황동영</t>
        </is>
      </c>
      <c r="R332" s="17" t="inlineStr"/>
      <c r="S332" s="17" t="inlineStr"/>
      <c r="T332" s="17" t="inlineStr">
        <is>
          <t>1566-2723</t>
        </is>
      </c>
      <c r="U332" s="17" t="inlineStr">
        <is>
          <t>제조소상세</t>
        </is>
      </c>
      <c r="V332" s="22" t="inlineStr">
        <is>
          <t>미확인</t>
        </is>
      </c>
      <c r="W332" s="22" t="inlineStr">
        <is>
          <t>미확인</t>
        </is>
      </c>
      <c r="X332" s="22" t="inlineStr">
        <is>
          <t>미확인</t>
        </is>
      </c>
      <c r="Y332" s="22" t="inlineStr">
        <is>
          <t>미확인</t>
        </is>
      </c>
      <c r="Z332" s="22" t="inlineStr">
        <is>
          <t>미확인</t>
        </is>
      </c>
      <c r="AA332" s="22" t="inlineStr">
        <is>
          <t>미확인</t>
        </is>
      </c>
      <c r="AB332" s="22" t="inlineStr">
        <is>
          <t>미확인</t>
        </is>
      </c>
      <c r="AC332" s="22" t="inlineStr">
        <is>
          <t>미확인</t>
        </is>
      </c>
      <c r="AD332" s="22" t="inlineStr">
        <is>
          <t>미확인</t>
        </is>
      </c>
      <c r="AE332" s="22" t="inlineStr">
        <is>
          <t>미확인</t>
        </is>
      </c>
      <c r="AF332" s="22" t="inlineStr">
        <is>
          <t>미확인</t>
        </is>
      </c>
      <c r="AG332" s="22" t="inlineStr">
        <is>
          <t>미확인</t>
        </is>
      </c>
      <c r="AH332" s="22" t="inlineStr">
        <is>
          <t>미확인</t>
        </is>
      </c>
      <c r="AI332" s="22" t="inlineStr">
        <is>
          <t>미확인</t>
        </is>
      </c>
      <c r="AJ332" s="22" t="inlineStr">
        <is>
          <t>미확인</t>
        </is>
      </c>
      <c r="AK332" s="22" t="inlineStr">
        <is>
          <t>미확인</t>
        </is>
      </c>
      <c r="AL332" s="22" t="inlineStr">
        <is>
          <t>미확인</t>
        </is>
      </c>
      <c r="AM332" s="22" t="inlineStr">
        <is>
          <t>미확인</t>
        </is>
      </c>
      <c r="AN332" s="22" t="inlineStr">
        <is>
          <t>미확인</t>
        </is>
      </c>
      <c r="AO332" s="17" t="inlineStr">
        <is>
          <t>C(부분확인)</t>
        </is>
      </c>
      <c r="AP332" s="17" t="inlineStr">
        <is>
          <t>Y</t>
        </is>
      </c>
      <c r="AQ332" s="17" t="n">
        <v>7</v>
      </c>
      <c r="AR332" s="28" t="inlineStr">
        <is>
          <t>Tier D</t>
        </is>
      </c>
      <c r="AS332" s="17" t="inlineStr">
        <is>
          <t>QMS</t>
        </is>
      </c>
      <c r="AT332" s="17" t="inlineStr">
        <is>
          <t>기본 GMP 문서관리 대상</t>
        </is>
      </c>
      <c r="AU332" s="17" t="inlineStr">
        <is>
          <t>담당자 파악 후 접촉</t>
        </is>
      </c>
      <c r="AV332" s="17" t="inlineStr">
        <is>
          <t>GMP적합판정+KRX</t>
        </is>
      </c>
      <c r="AW332" s="17" t="inlineStr">
        <is>
          <t>2026-07-05</t>
        </is>
      </c>
    </row>
    <row r="333">
      <c r="A333" s="17" t="inlineStr">
        <is>
          <t>C332</t>
        </is>
      </c>
      <c r="B333" s="17" t="inlineStr">
        <is>
          <t>넥스제너</t>
        </is>
      </c>
      <c r="C333" s="17" t="inlineStr">
        <is>
          <t>주식회사넥스제너</t>
        </is>
      </c>
      <c r="D333" s="17" t="n">
        <v>1</v>
      </c>
      <c r="E333" s="17" t="n">
        <v>1</v>
      </c>
      <c r="F333" s="17" t="inlineStr"/>
      <c r="G333" s="17" t="inlineStr">
        <is>
          <t>Y</t>
        </is>
      </c>
      <c r="H333" s="17" t="inlineStr"/>
      <c r="I333" s="17" t="inlineStr"/>
      <c r="J333" s="24" t="n">
        <v>46485</v>
      </c>
      <c r="K333" s="17" t="inlineStr"/>
      <c r="L333" s="17" t="inlineStr"/>
      <c r="M333" s="17" t="inlineStr"/>
      <c r="N333" s="23" t="inlineStr"/>
      <c r="O333" s="17" t="inlineStr"/>
      <c r="P333" s="17" t="inlineStr"/>
      <c r="Q333" s="17" t="inlineStr">
        <is>
          <t>김수동</t>
        </is>
      </c>
      <c r="R333" s="17" t="inlineStr"/>
      <c r="S333" s="17" t="inlineStr"/>
      <c r="T333" s="17" t="inlineStr">
        <is>
          <t>031-376-1676</t>
        </is>
      </c>
      <c r="U333" s="17" t="inlineStr">
        <is>
          <t>제조소상세</t>
        </is>
      </c>
      <c r="V333" s="22" t="inlineStr">
        <is>
          <t>미확인</t>
        </is>
      </c>
      <c r="W333" s="22" t="inlineStr">
        <is>
          <t>미확인</t>
        </is>
      </c>
      <c r="X333" s="22" t="inlineStr">
        <is>
          <t>미확인</t>
        </is>
      </c>
      <c r="Y333" s="22" t="inlineStr">
        <is>
          <t>미확인</t>
        </is>
      </c>
      <c r="Z333" s="22" t="inlineStr">
        <is>
          <t>미확인</t>
        </is>
      </c>
      <c r="AA333" s="22" t="inlineStr">
        <is>
          <t>미확인</t>
        </is>
      </c>
      <c r="AB333" s="22" t="inlineStr">
        <is>
          <t>미확인</t>
        </is>
      </c>
      <c r="AC333" s="22" t="inlineStr">
        <is>
          <t>미확인</t>
        </is>
      </c>
      <c r="AD333" s="22" t="inlineStr">
        <is>
          <t>미확인</t>
        </is>
      </c>
      <c r="AE333" s="22" t="inlineStr">
        <is>
          <t>미확인</t>
        </is>
      </c>
      <c r="AF333" s="22" t="inlineStr">
        <is>
          <t>미확인</t>
        </is>
      </c>
      <c r="AG333" s="22" t="inlineStr">
        <is>
          <t>미확인</t>
        </is>
      </c>
      <c r="AH333" s="22" t="inlineStr">
        <is>
          <t>미확인</t>
        </is>
      </c>
      <c r="AI333" s="22" t="inlineStr">
        <is>
          <t>미확인</t>
        </is>
      </c>
      <c r="AJ333" s="22" t="inlineStr">
        <is>
          <t>미확인</t>
        </is>
      </c>
      <c r="AK333" s="22" t="inlineStr">
        <is>
          <t>미확인</t>
        </is>
      </c>
      <c r="AL333" s="22" t="inlineStr">
        <is>
          <t>미확인</t>
        </is>
      </c>
      <c r="AM333" s="22" t="inlineStr">
        <is>
          <t>미확인</t>
        </is>
      </c>
      <c r="AN333" s="22" t="inlineStr">
        <is>
          <t>미확인</t>
        </is>
      </c>
      <c r="AO333" s="17" t="inlineStr">
        <is>
          <t>C(부분확인)</t>
        </is>
      </c>
      <c r="AP333" s="17" t="inlineStr">
        <is>
          <t>Y</t>
        </is>
      </c>
      <c r="AQ333" s="17" t="n">
        <v>7</v>
      </c>
      <c r="AR333" s="28" t="inlineStr">
        <is>
          <t>Tier D</t>
        </is>
      </c>
      <c r="AS333" s="17" t="inlineStr">
        <is>
          <t>QMS+LIMS</t>
        </is>
      </c>
      <c r="AT333" s="17" t="inlineStr">
        <is>
          <t>원료 제조로 시험실 관리 필요</t>
        </is>
      </c>
      <c r="AU333" s="17" t="inlineStr">
        <is>
          <t>담당자 파악 후 접촉</t>
        </is>
      </c>
      <c r="AV333" s="17" t="inlineStr">
        <is>
          <t>GMP적합판정+KRX</t>
        </is>
      </c>
      <c r="AW333" s="17" t="inlineStr">
        <is>
          <t>2026-07-05</t>
        </is>
      </c>
    </row>
    <row r="334">
      <c r="A334" s="17" t="inlineStr">
        <is>
          <t>C333</t>
        </is>
      </c>
      <c r="B334" s="17" t="inlineStr">
        <is>
          <t>녹십자</t>
        </is>
      </c>
      <c r="C334" s="17" t="inlineStr">
        <is>
          <t>(주)녹십자</t>
        </is>
      </c>
      <c r="D334" s="17" t="n">
        <v>5</v>
      </c>
      <c r="E334" s="17" t="n">
        <v>3</v>
      </c>
      <c r="F334" s="17" t="inlineStr">
        <is>
          <t>Y</t>
        </is>
      </c>
      <c r="G334" s="17" t="inlineStr">
        <is>
          <t>Y</t>
        </is>
      </c>
      <c r="H334" s="17" t="inlineStr">
        <is>
          <t>Y</t>
        </is>
      </c>
      <c r="I334" s="17" t="inlineStr">
        <is>
          <t>Y</t>
        </is>
      </c>
      <c r="J334" s="24" t="n">
        <v>46356</v>
      </c>
      <c r="K334" s="17" t="inlineStr">
        <is>
          <t>Y</t>
        </is>
      </c>
      <c r="L334" s="17" t="inlineStr">
        <is>
          <t>Y</t>
        </is>
      </c>
      <c r="M334" s="17" t="inlineStr">
        <is>
          <t>유가</t>
        </is>
      </c>
      <c r="N334" s="23" t="inlineStr">
        <is>
          <t>006280</t>
        </is>
      </c>
      <c r="O334" s="17" t="inlineStr">
        <is>
          <t>의약품 제조업</t>
        </is>
      </c>
      <c r="P334" s="17" t="inlineStr">
        <is>
          <t>알부민외 제조,판매</t>
        </is>
      </c>
      <c r="Q334" s="17" t="inlineStr">
        <is>
          <t>허은철</t>
        </is>
      </c>
      <c r="R334" s="17" t="inlineStr">
        <is>
          <t>http://www.gcbiopharma.com</t>
        </is>
      </c>
      <c r="S334" s="17" t="inlineStr">
        <is>
          <t>경기도</t>
        </is>
      </c>
      <c r="T334" s="17" t="inlineStr">
        <is>
          <t>031-260-9300</t>
        </is>
      </c>
      <c r="U334" s="17" t="inlineStr">
        <is>
          <t>제조소상세</t>
        </is>
      </c>
      <c r="V334" s="22" t="inlineStr">
        <is>
          <t>미확인</t>
        </is>
      </c>
      <c r="W334" s="22" t="inlineStr">
        <is>
          <t>미확인</t>
        </is>
      </c>
      <c r="X334" s="22" t="inlineStr">
        <is>
          <t>미확인</t>
        </is>
      </c>
      <c r="Y334" s="22" t="inlineStr">
        <is>
          <t>미확인</t>
        </is>
      </c>
      <c r="Z334" s="22" t="inlineStr">
        <is>
          <t>미확인</t>
        </is>
      </c>
      <c r="AA334" s="22" t="inlineStr">
        <is>
          <t>미확인</t>
        </is>
      </c>
      <c r="AB334" s="22" t="inlineStr">
        <is>
          <t>미확인</t>
        </is>
      </c>
      <c r="AC334" s="22" t="inlineStr">
        <is>
          <t>미확인</t>
        </is>
      </c>
      <c r="AD334" s="22" t="inlineStr">
        <is>
          <t>미확인</t>
        </is>
      </c>
      <c r="AE334" s="22" t="inlineStr">
        <is>
          <t>미확인</t>
        </is>
      </c>
      <c r="AF334" s="22" t="inlineStr">
        <is>
          <t>미확인</t>
        </is>
      </c>
      <c r="AG334" s="22" t="inlineStr">
        <is>
          <t>미확인</t>
        </is>
      </c>
      <c r="AH334" s="22" t="inlineStr">
        <is>
          <t>미확인</t>
        </is>
      </c>
      <c r="AI334" s="22" t="inlineStr">
        <is>
          <t>미확인</t>
        </is>
      </c>
      <c r="AJ334" s="22" t="inlineStr">
        <is>
          <t>미확인</t>
        </is>
      </c>
      <c r="AK334" s="22" t="inlineStr">
        <is>
          <t>미확인</t>
        </is>
      </c>
      <c r="AL334" s="22" t="inlineStr">
        <is>
          <t>미확인</t>
        </is>
      </c>
      <c r="AM334" s="22" t="inlineStr">
        <is>
          <t>미확인</t>
        </is>
      </c>
      <c r="AN334" s="22" t="inlineStr">
        <is>
          <t>미확인</t>
        </is>
      </c>
      <c r="AO334" s="17" t="inlineStr">
        <is>
          <t>C(부분확인)</t>
        </is>
      </c>
      <c r="AP334" s="17" t="inlineStr">
        <is>
          <t>Y</t>
        </is>
      </c>
      <c r="AQ334" s="17" t="n">
        <v>35</v>
      </c>
      <c r="AR334" s="27" t="inlineStr">
        <is>
          <t>Tier C</t>
        </is>
      </c>
      <c r="AS334" s="17" t="inlineStr">
        <is>
          <t>통합형</t>
        </is>
      </c>
      <c r="AT334" s="17" t="inlineStr">
        <is>
          <t>다중 제조소/다수 판정서로 문서관리 복잡; 무균/바이오 제조로 품질관리 난도 높음</t>
        </is>
      </c>
      <c r="AU334" s="17" t="inlineStr">
        <is>
          <t>담당자 파악 후 접촉</t>
        </is>
      </c>
      <c r="AV334" s="17" t="inlineStr">
        <is>
          <t>GMP적합판정+KRX</t>
        </is>
      </c>
      <c r="AW334" s="17" t="inlineStr">
        <is>
          <t>2026-07-05</t>
        </is>
      </c>
    </row>
    <row r="335">
      <c r="A335" s="17" t="inlineStr">
        <is>
          <t>C334</t>
        </is>
      </c>
      <c r="B335" s="17" t="inlineStr">
        <is>
          <t>연세의료원</t>
        </is>
      </c>
      <c r="C335" s="17" t="inlineStr">
        <is>
          <t>연세의료원</t>
        </is>
      </c>
      <c r="D335" s="17" t="n">
        <v>1</v>
      </c>
      <c r="E335" s="17" t="n">
        <v>1</v>
      </c>
      <c r="F335" s="17" t="inlineStr">
        <is>
          <t>Y</t>
        </is>
      </c>
      <c r="G335" s="17" t="inlineStr"/>
      <c r="H335" s="17" t="inlineStr">
        <is>
          <t>Y</t>
        </is>
      </c>
      <c r="I335" s="17" t="inlineStr"/>
      <c r="J335" s="24" t="n">
        <v>46480</v>
      </c>
      <c r="K335" s="17" t="inlineStr"/>
      <c r="L335" s="17" t="inlineStr"/>
      <c r="M335" s="17" t="inlineStr"/>
      <c r="N335" s="23" t="inlineStr"/>
      <c r="O335" s="17" t="inlineStr"/>
      <c r="P335" s="17" t="inlineStr"/>
      <c r="Q335" s="17" t="inlineStr">
        <is>
          <t>금기창</t>
        </is>
      </c>
      <c r="R335" s="17" t="inlineStr"/>
      <c r="S335" s="17" t="inlineStr"/>
      <c r="T335" s="17" t="inlineStr">
        <is>
          <t>미확인</t>
        </is>
      </c>
      <c r="U335" s="17" t="inlineStr">
        <is>
          <t>미확인</t>
        </is>
      </c>
      <c r="V335" s="22" t="inlineStr">
        <is>
          <t>미확인</t>
        </is>
      </c>
      <c r="W335" s="22" t="inlineStr">
        <is>
          <t>미확인</t>
        </is>
      </c>
      <c r="X335" s="22" t="inlineStr">
        <is>
          <t>미확인</t>
        </is>
      </c>
      <c r="Y335" s="22" t="inlineStr">
        <is>
          <t>미확인</t>
        </is>
      </c>
      <c r="Z335" s="22" t="inlineStr">
        <is>
          <t>미확인</t>
        </is>
      </c>
      <c r="AA335" s="22" t="inlineStr">
        <is>
          <t>미확인</t>
        </is>
      </c>
      <c r="AB335" s="22" t="inlineStr">
        <is>
          <t>미확인</t>
        </is>
      </c>
      <c r="AC335" s="22" t="inlineStr">
        <is>
          <t>미확인</t>
        </is>
      </c>
      <c r="AD335" s="22" t="inlineStr">
        <is>
          <t>미확인</t>
        </is>
      </c>
      <c r="AE335" s="22" t="inlineStr">
        <is>
          <t>미확인</t>
        </is>
      </c>
      <c r="AF335" s="22" t="inlineStr">
        <is>
          <t>미확인</t>
        </is>
      </c>
      <c r="AG335" s="22" t="inlineStr">
        <is>
          <t>미확인</t>
        </is>
      </c>
      <c r="AH335" s="22" t="inlineStr">
        <is>
          <t>미확인</t>
        </is>
      </c>
      <c r="AI335" s="22" t="inlineStr">
        <is>
          <t>미확인</t>
        </is>
      </c>
      <c r="AJ335" s="22" t="inlineStr">
        <is>
          <t>미확인</t>
        </is>
      </c>
      <c r="AK335" s="22" t="inlineStr">
        <is>
          <t>미확인</t>
        </is>
      </c>
      <c r="AL335" s="22" t="inlineStr">
        <is>
          <t>미확인</t>
        </is>
      </c>
      <c r="AM335" s="22" t="inlineStr">
        <is>
          <t>미확인</t>
        </is>
      </c>
      <c r="AN335" s="22" t="inlineStr">
        <is>
          <t>미확인</t>
        </is>
      </c>
      <c r="AO335" s="17" t="inlineStr">
        <is>
          <t>C(부분확인)</t>
        </is>
      </c>
      <c r="AP335" s="17" t="inlineStr">
        <is>
          <t>Y</t>
        </is>
      </c>
      <c r="AQ335" s="17" t="n">
        <v>15</v>
      </c>
      <c r="AR335" s="28" t="inlineStr">
        <is>
          <t>Tier D</t>
        </is>
      </c>
      <c r="AS335" s="17" t="inlineStr">
        <is>
          <t>QMS+LIMS</t>
        </is>
      </c>
      <c r="AT335" s="17" t="inlineStr">
        <is>
          <t>무균/바이오 제조로 품질관리 난도 높음</t>
        </is>
      </c>
      <c r="AU335" s="17" t="inlineStr">
        <is>
          <t>담당자 파악 후 접촉</t>
        </is>
      </c>
      <c r="AV335" s="17" t="inlineStr">
        <is>
          <t>GMP적합판정+KRX</t>
        </is>
      </c>
      <c r="AW335" s="17" t="inlineStr">
        <is>
          <t>2026-07-05</t>
        </is>
      </c>
    </row>
    <row r="336">
      <c r="A336" s="17" t="inlineStr">
        <is>
          <t>C335</t>
        </is>
      </c>
      <c r="B336" s="17" t="inlineStr">
        <is>
          <t>휴온스생명과학</t>
        </is>
      </c>
      <c r="C336" s="17" t="inlineStr">
        <is>
          <t>(주)휴온스생명과학</t>
        </is>
      </c>
      <c r="D336" s="17" t="n">
        <v>1</v>
      </c>
      <c r="E336" s="17" t="n">
        <v>1</v>
      </c>
      <c r="F336" s="17" t="inlineStr">
        <is>
          <t>Y</t>
        </is>
      </c>
      <c r="G336" s="17" t="inlineStr"/>
      <c r="H336" s="17" t="inlineStr"/>
      <c r="I336" s="17" t="inlineStr"/>
      <c r="J336" s="24" t="n">
        <v>46480</v>
      </c>
      <c r="K336" s="17" t="inlineStr"/>
      <c r="L336" s="17" t="inlineStr"/>
      <c r="M336" s="17" t="inlineStr"/>
      <c r="N336" s="23" t="inlineStr"/>
      <c r="O336" s="17" t="inlineStr"/>
      <c r="P336" s="17" t="inlineStr"/>
      <c r="Q336" s="17" t="inlineStr">
        <is>
          <t>이재훈</t>
        </is>
      </c>
      <c r="R336" s="17" t="inlineStr"/>
      <c r="S336" s="17" t="inlineStr"/>
      <c r="T336" s="17" t="inlineStr">
        <is>
          <t>070-4659-3131</t>
        </is>
      </c>
      <c r="U336" s="17" t="inlineStr">
        <is>
          <t>제조소상세</t>
        </is>
      </c>
      <c r="V336" s="22" t="inlineStr">
        <is>
          <t>미확인</t>
        </is>
      </c>
      <c r="W336" s="22" t="inlineStr">
        <is>
          <t>미확인</t>
        </is>
      </c>
      <c r="X336" s="22" t="inlineStr">
        <is>
          <t>미확인</t>
        </is>
      </c>
      <c r="Y336" s="22" t="inlineStr">
        <is>
          <t>미확인</t>
        </is>
      </c>
      <c r="Z336" s="22" t="inlineStr">
        <is>
          <t>미확인</t>
        </is>
      </c>
      <c r="AA336" s="22" t="inlineStr">
        <is>
          <t>미확인</t>
        </is>
      </c>
      <c r="AB336" s="22" t="inlineStr">
        <is>
          <t>미확인</t>
        </is>
      </c>
      <c r="AC336" s="22" t="inlineStr">
        <is>
          <t>미확인</t>
        </is>
      </c>
      <c r="AD336" s="22" t="inlineStr">
        <is>
          <t>미확인</t>
        </is>
      </c>
      <c r="AE336" s="22" t="inlineStr">
        <is>
          <t>미확인</t>
        </is>
      </c>
      <c r="AF336" s="22" t="inlineStr">
        <is>
          <t>미확인</t>
        </is>
      </c>
      <c r="AG336" s="22" t="inlineStr">
        <is>
          <t>미확인</t>
        </is>
      </c>
      <c r="AH336" s="22" t="inlineStr">
        <is>
          <t>미확인</t>
        </is>
      </c>
      <c r="AI336" s="22" t="inlineStr">
        <is>
          <t>미확인</t>
        </is>
      </c>
      <c r="AJ336" s="22" t="inlineStr">
        <is>
          <t>미확인</t>
        </is>
      </c>
      <c r="AK336" s="22" t="inlineStr">
        <is>
          <t>미확인</t>
        </is>
      </c>
      <c r="AL336" s="22" t="inlineStr">
        <is>
          <t>미확인</t>
        </is>
      </c>
      <c r="AM336" s="22" t="inlineStr">
        <is>
          <t>미확인</t>
        </is>
      </c>
      <c r="AN336" s="22" t="inlineStr">
        <is>
          <t>미확인</t>
        </is>
      </c>
      <c r="AO336" s="17" t="inlineStr">
        <is>
          <t>C(부분확인)</t>
        </is>
      </c>
      <c r="AP336" s="17" t="inlineStr">
        <is>
          <t>Y</t>
        </is>
      </c>
      <c r="AQ336" s="17" t="n">
        <v>7</v>
      </c>
      <c r="AR336" s="28" t="inlineStr">
        <is>
          <t>Tier D</t>
        </is>
      </c>
      <c r="AS336" s="17" t="inlineStr">
        <is>
          <t>QMS</t>
        </is>
      </c>
      <c r="AT336" s="17" t="inlineStr">
        <is>
          <t>기본 GMP 문서관리 대상</t>
        </is>
      </c>
      <c r="AU336" s="17" t="inlineStr">
        <is>
          <t>담당자 파악 후 접촉</t>
        </is>
      </c>
      <c r="AV336" s="17" t="inlineStr">
        <is>
          <t>GMP적합판정+KRX</t>
        </is>
      </c>
      <c r="AW336" s="17" t="inlineStr">
        <is>
          <t>2026-07-05</t>
        </is>
      </c>
    </row>
    <row r="337">
      <c r="A337" s="17" t="inlineStr">
        <is>
          <t>C336</t>
        </is>
      </c>
      <c r="B337" s="17" t="inlineStr">
        <is>
          <t>대정화금</t>
        </is>
      </c>
      <c r="C337" s="17" t="inlineStr">
        <is>
          <t>대정화금(주)</t>
        </is>
      </c>
      <c r="D337" s="17" t="n">
        <v>1</v>
      </c>
      <c r="E337" s="17" t="n">
        <v>1</v>
      </c>
      <c r="F337" s="17" t="inlineStr"/>
      <c r="G337" s="17" t="inlineStr">
        <is>
          <t>Y</t>
        </is>
      </c>
      <c r="H337" s="17" t="inlineStr"/>
      <c r="I337" s="17" t="inlineStr"/>
      <c r="J337" s="24" t="n">
        <v>46479</v>
      </c>
      <c r="K337" s="17" t="inlineStr"/>
      <c r="L337" s="17" t="inlineStr">
        <is>
          <t>Y</t>
        </is>
      </c>
      <c r="M337" s="17" t="inlineStr">
        <is>
          <t>코스닥</t>
        </is>
      </c>
      <c r="N337" s="23" t="inlineStr">
        <is>
          <t>120240</t>
        </is>
      </c>
      <c r="O337" s="17" t="inlineStr">
        <is>
          <t>기초 화학물질 제조업</t>
        </is>
      </c>
      <c r="P337" s="17" t="inlineStr">
        <is>
          <t>시약, 원료의약품</t>
        </is>
      </c>
      <c r="Q337" s="17" t="inlineStr">
        <is>
          <t>송영준</t>
        </is>
      </c>
      <c r="R337" s="17" t="inlineStr">
        <is>
          <t>http://www.daejung.kr</t>
        </is>
      </c>
      <c r="S337" s="17" t="inlineStr">
        <is>
          <t>경기도</t>
        </is>
      </c>
      <c r="T337" s="17" t="inlineStr">
        <is>
          <t>031-488-8821</t>
        </is>
      </c>
      <c r="U337" s="17" t="inlineStr">
        <is>
          <t>제조소상세</t>
        </is>
      </c>
      <c r="V337" s="22" t="inlineStr">
        <is>
          <t>미확인</t>
        </is>
      </c>
      <c r="W337" s="22" t="inlineStr">
        <is>
          <t>미확인</t>
        </is>
      </c>
      <c r="X337" s="22" t="inlineStr">
        <is>
          <t>미확인</t>
        </is>
      </c>
      <c r="Y337" s="22" t="inlineStr">
        <is>
          <t>미확인</t>
        </is>
      </c>
      <c r="Z337" s="22" t="inlineStr">
        <is>
          <t>미확인</t>
        </is>
      </c>
      <c r="AA337" s="22" t="inlineStr">
        <is>
          <t>미확인</t>
        </is>
      </c>
      <c r="AB337" s="22" t="inlineStr">
        <is>
          <t>미확인</t>
        </is>
      </c>
      <c r="AC337" s="22" t="inlineStr">
        <is>
          <t>미확인</t>
        </is>
      </c>
      <c r="AD337" s="22" t="inlineStr">
        <is>
          <t>미확인</t>
        </is>
      </c>
      <c r="AE337" s="22" t="inlineStr">
        <is>
          <t>미확인</t>
        </is>
      </c>
      <c r="AF337" s="22" t="inlineStr">
        <is>
          <t>미확인</t>
        </is>
      </c>
      <c r="AG337" s="22" t="inlineStr">
        <is>
          <t>미확인</t>
        </is>
      </c>
      <c r="AH337" s="22" t="inlineStr">
        <is>
          <t>미확인</t>
        </is>
      </c>
      <c r="AI337" s="22" t="inlineStr">
        <is>
          <t>미확인</t>
        </is>
      </c>
      <c r="AJ337" s="22" t="inlineStr">
        <is>
          <t>미확인</t>
        </is>
      </c>
      <c r="AK337" s="22" t="inlineStr">
        <is>
          <t>미확인</t>
        </is>
      </c>
      <c r="AL337" s="22" t="inlineStr">
        <is>
          <t>미확인</t>
        </is>
      </c>
      <c r="AM337" s="22" t="inlineStr">
        <is>
          <t>미확인</t>
        </is>
      </c>
      <c r="AN337" s="22" t="inlineStr">
        <is>
          <t>미확인</t>
        </is>
      </c>
      <c r="AO337" s="17" t="inlineStr">
        <is>
          <t>C(부분확인)</t>
        </is>
      </c>
      <c r="AP337" s="17" t="inlineStr">
        <is>
          <t>Y</t>
        </is>
      </c>
      <c r="AQ337" s="17" t="n">
        <v>10</v>
      </c>
      <c r="AR337" s="28" t="inlineStr">
        <is>
          <t>Tier D</t>
        </is>
      </c>
      <c r="AS337" s="17" t="inlineStr">
        <is>
          <t>QMS+LIMS</t>
        </is>
      </c>
      <c r="AT337" s="17" t="inlineStr">
        <is>
          <t>원료 제조로 시험실 관리 필요</t>
        </is>
      </c>
      <c r="AU337" s="17" t="inlineStr">
        <is>
          <t>담당자 파악 후 접촉</t>
        </is>
      </c>
      <c r="AV337" s="17" t="inlineStr">
        <is>
          <t>GMP적합판정+KRX</t>
        </is>
      </c>
      <c r="AW337" s="17" t="inlineStr">
        <is>
          <t>2026-07-05</t>
        </is>
      </c>
    </row>
    <row r="338">
      <c r="A338" s="17" t="inlineStr">
        <is>
          <t>C337</t>
        </is>
      </c>
      <c r="B338" s="17" t="inlineStr">
        <is>
          <t>파마코스텍</t>
        </is>
      </c>
      <c r="C338" s="17" t="inlineStr">
        <is>
          <t>(주)파마코스텍</t>
        </is>
      </c>
      <c r="D338" s="17" t="n">
        <v>1</v>
      </c>
      <c r="E338" s="17" t="n">
        <v>1</v>
      </c>
      <c r="F338" s="17" t="inlineStr"/>
      <c r="G338" s="17" t="inlineStr">
        <is>
          <t>Y</t>
        </is>
      </c>
      <c r="H338" s="17" t="inlineStr"/>
      <c r="I338" s="17" t="inlineStr"/>
      <c r="J338" s="24" t="n">
        <v>46479</v>
      </c>
      <c r="K338" s="17" t="inlineStr"/>
      <c r="L338" s="17" t="inlineStr"/>
      <c r="M338" s="17" t="inlineStr"/>
      <c r="N338" s="23" t="inlineStr"/>
      <c r="O338" s="17" t="inlineStr"/>
      <c r="P338" s="17" t="inlineStr"/>
      <c r="Q338" s="17" t="inlineStr">
        <is>
          <t>김재원</t>
        </is>
      </c>
      <c r="R338" s="17" t="inlineStr"/>
      <c r="S338" s="17" t="inlineStr"/>
      <c r="T338" s="17" t="inlineStr">
        <is>
          <t>031-359-9969</t>
        </is>
      </c>
      <c r="U338" s="17" t="inlineStr">
        <is>
          <t>제조소상세</t>
        </is>
      </c>
      <c r="V338" s="22" t="inlineStr">
        <is>
          <t>미확인</t>
        </is>
      </c>
      <c r="W338" s="22" t="inlineStr">
        <is>
          <t>미확인</t>
        </is>
      </c>
      <c r="X338" s="22" t="inlineStr">
        <is>
          <t>미확인</t>
        </is>
      </c>
      <c r="Y338" s="22" t="inlineStr">
        <is>
          <t>미확인</t>
        </is>
      </c>
      <c r="Z338" s="22" t="inlineStr">
        <is>
          <t>미확인</t>
        </is>
      </c>
      <c r="AA338" s="22" t="inlineStr">
        <is>
          <t>미확인</t>
        </is>
      </c>
      <c r="AB338" s="22" t="inlineStr">
        <is>
          <t>미확인</t>
        </is>
      </c>
      <c r="AC338" s="22" t="inlineStr">
        <is>
          <t>미확인</t>
        </is>
      </c>
      <c r="AD338" s="22" t="inlineStr">
        <is>
          <t>미확인</t>
        </is>
      </c>
      <c r="AE338" s="22" t="inlineStr">
        <is>
          <t>미확인</t>
        </is>
      </c>
      <c r="AF338" s="22" t="inlineStr">
        <is>
          <t>미확인</t>
        </is>
      </c>
      <c r="AG338" s="22" t="inlineStr">
        <is>
          <t>미확인</t>
        </is>
      </c>
      <c r="AH338" s="22" t="inlineStr">
        <is>
          <t>미확인</t>
        </is>
      </c>
      <c r="AI338" s="22" t="inlineStr">
        <is>
          <t>미확인</t>
        </is>
      </c>
      <c r="AJ338" s="22" t="inlineStr">
        <is>
          <t>미확인</t>
        </is>
      </c>
      <c r="AK338" s="22" t="inlineStr">
        <is>
          <t>미확인</t>
        </is>
      </c>
      <c r="AL338" s="22" t="inlineStr">
        <is>
          <t>미확인</t>
        </is>
      </c>
      <c r="AM338" s="22" t="inlineStr">
        <is>
          <t>미확인</t>
        </is>
      </c>
      <c r="AN338" s="22" t="inlineStr">
        <is>
          <t>미확인</t>
        </is>
      </c>
      <c r="AO338" s="17" t="inlineStr">
        <is>
          <t>C(부분확인)</t>
        </is>
      </c>
      <c r="AP338" s="17" t="inlineStr">
        <is>
          <t>Y</t>
        </is>
      </c>
      <c r="AQ338" s="17" t="n">
        <v>7</v>
      </c>
      <c r="AR338" s="28" t="inlineStr">
        <is>
          <t>Tier D</t>
        </is>
      </c>
      <c r="AS338" s="17" t="inlineStr">
        <is>
          <t>QMS+LIMS</t>
        </is>
      </c>
      <c r="AT338" s="17" t="inlineStr">
        <is>
          <t>원료 제조로 시험실 관리 필요</t>
        </is>
      </c>
      <c r="AU338" s="17" t="inlineStr">
        <is>
          <t>담당자 파악 후 접촉</t>
        </is>
      </c>
      <c r="AV338" s="17" t="inlineStr">
        <is>
          <t>GMP적합판정+KRX</t>
        </is>
      </c>
      <c r="AW338" s="17" t="inlineStr">
        <is>
          <t>2026-07-05</t>
        </is>
      </c>
    </row>
    <row r="339">
      <c r="A339" s="17" t="inlineStr">
        <is>
          <t>C338</t>
        </is>
      </c>
      <c r="B339" s="17" t="inlineStr">
        <is>
          <t>종근당</t>
        </is>
      </c>
      <c r="C339" s="17" t="inlineStr">
        <is>
          <t>(주)종근당</t>
        </is>
      </c>
      <c r="D339" s="17" t="n">
        <v>3</v>
      </c>
      <c r="E339" s="17" t="n">
        <v>2</v>
      </c>
      <c r="F339" s="17" t="inlineStr">
        <is>
          <t>Y</t>
        </is>
      </c>
      <c r="G339" s="17" t="inlineStr">
        <is>
          <t>Y</t>
        </is>
      </c>
      <c r="H339" s="17" t="inlineStr">
        <is>
          <t>Y</t>
        </is>
      </c>
      <c r="I339" s="17" t="inlineStr"/>
      <c r="J339" s="24" t="n">
        <v>46474</v>
      </c>
      <c r="K339" s="17" t="inlineStr"/>
      <c r="L339" s="17" t="inlineStr">
        <is>
          <t>Y</t>
        </is>
      </c>
      <c r="M339" s="17" t="inlineStr">
        <is>
          <t>유가</t>
        </is>
      </c>
      <c r="N339" s="23" t="inlineStr">
        <is>
          <t>185750</t>
        </is>
      </c>
      <c r="O339" s="17" t="inlineStr">
        <is>
          <t>의약품 제조업</t>
        </is>
      </c>
      <c r="P339" s="17" t="inlineStr">
        <is>
          <t>딜라트렌,리피로우</t>
        </is>
      </c>
      <c r="Q339" s="17" t="inlineStr">
        <is>
          <t>김영주</t>
        </is>
      </c>
      <c r="R339" s="17" t="inlineStr">
        <is>
          <t>http://www.ckdpharm.com</t>
        </is>
      </c>
      <c r="S339" s="17" t="inlineStr">
        <is>
          <t>서울특별시</t>
        </is>
      </c>
      <c r="T339" s="17" t="inlineStr">
        <is>
          <t>02-2194-0429</t>
        </is>
      </c>
      <c r="U339" s="17" t="inlineStr">
        <is>
          <t>제조소상세</t>
        </is>
      </c>
      <c r="V339" s="22" t="inlineStr">
        <is>
          <t>미확인</t>
        </is>
      </c>
      <c r="W339" s="22" t="inlineStr">
        <is>
          <t>미확인</t>
        </is>
      </c>
      <c r="X339" s="22" t="inlineStr">
        <is>
          <t>미확인</t>
        </is>
      </c>
      <c r="Y339" s="22" t="inlineStr">
        <is>
          <t>미확인</t>
        </is>
      </c>
      <c r="Z339" s="22" t="inlineStr">
        <is>
          <t>미확인</t>
        </is>
      </c>
      <c r="AA339" s="22" t="inlineStr">
        <is>
          <t>미확인</t>
        </is>
      </c>
      <c r="AB339" s="22" t="inlineStr">
        <is>
          <t>미확인</t>
        </is>
      </c>
      <c r="AC339" s="22" t="inlineStr">
        <is>
          <t>미확인</t>
        </is>
      </c>
      <c r="AD339" s="22" t="inlineStr">
        <is>
          <t>미확인</t>
        </is>
      </c>
      <c r="AE339" s="22" t="inlineStr">
        <is>
          <t>미확인</t>
        </is>
      </c>
      <c r="AF339" s="22" t="inlineStr">
        <is>
          <t>미확인</t>
        </is>
      </c>
      <c r="AG339" s="22" t="inlineStr">
        <is>
          <t>미확인</t>
        </is>
      </c>
      <c r="AH339" s="22" t="inlineStr">
        <is>
          <t>미확인</t>
        </is>
      </c>
      <c r="AI339" s="22" t="inlineStr">
        <is>
          <t>미확인</t>
        </is>
      </c>
      <c r="AJ339" s="22" t="inlineStr">
        <is>
          <t>미확인</t>
        </is>
      </c>
      <c r="AK339" s="22" t="inlineStr">
        <is>
          <t>미확인</t>
        </is>
      </c>
      <c r="AL339" s="22" t="inlineStr">
        <is>
          <t>미확인</t>
        </is>
      </c>
      <c r="AM339" s="22" t="inlineStr">
        <is>
          <t>미확인</t>
        </is>
      </c>
      <c r="AN339" s="22" t="inlineStr">
        <is>
          <t>미확인</t>
        </is>
      </c>
      <c r="AO339" s="17" t="inlineStr">
        <is>
          <t>C(부분확인)</t>
        </is>
      </c>
      <c r="AP339" s="17" t="inlineStr">
        <is>
          <t>Y</t>
        </is>
      </c>
      <c r="AQ339" s="17" t="n">
        <v>22</v>
      </c>
      <c r="AR339" s="28" t="inlineStr">
        <is>
          <t>Tier D</t>
        </is>
      </c>
      <c r="AS339" s="17" t="inlineStr">
        <is>
          <t>통합형</t>
        </is>
      </c>
      <c r="AT339" s="17" t="inlineStr">
        <is>
          <t>다중 제조소/다수 판정서로 문서관리 복잡; 무균/바이오 제조로 품질관리 난도 높음</t>
        </is>
      </c>
      <c r="AU339" s="17" t="inlineStr">
        <is>
          <t>담당자 파악 후 접촉</t>
        </is>
      </c>
      <c r="AV339" s="17" t="inlineStr">
        <is>
          <t>GMP적합판정+KRX</t>
        </is>
      </c>
      <c r="AW339" s="17" t="inlineStr">
        <is>
          <t>2026-07-05</t>
        </is>
      </c>
    </row>
    <row r="340">
      <c r="A340" s="17" t="inlineStr">
        <is>
          <t>C339</t>
        </is>
      </c>
      <c r="B340" s="17" t="inlineStr">
        <is>
          <t>광동제약</t>
        </is>
      </c>
      <c r="C340" s="17" t="inlineStr">
        <is>
          <t>광동제약(주)</t>
        </is>
      </c>
      <c r="D340" s="17" t="n">
        <v>1</v>
      </c>
      <c r="E340" s="17" t="n">
        <v>1</v>
      </c>
      <c r="F340" s="17" t="inlineStr">
        <is>
          <t>Y</t>
        </is>
      </c>
      <c r="G340" s="17" t="inlineStr"/>
      <c r="H340" s="17" t="inlineStr"/>
      <c r="I340" s="17" t="inlineStr"/>
      <c r="J340" s="24" t="n">
        <v>46474</v>
      </c>
      <c r="K340" s="17" t="inlineStr"/>
      <c r="L340" s="17" t="inlineStr">
        <is>
          <t>Y</t>
        </is>
      </c>
      <c r="M340" s="17" t="inlineStr">
        <is>
          <t>유가</t>
        </is>
      </c>
      <c r="N340" s="23" t="inlineStr">
        <is>
          <t>009290</t>
        </is>
      </c>
      <c r="O340" s="17" t="inlineStr">
        <is>
          <t>의약품 제조업</t>
        </is>
      </c>
      <c r="P340" s="17" t="inlineStr">
        <is>
          <t>의약품,식음료 제조,도매</t>
        </is>
      </c>
      <c r="Q340" s="17" t="inlineStr">
        <is>
          <t>최성원, 박상영(각자대표)</t>
        </is>
      </c>
      <c r="R340" s="17" t="inlineStr">
        <is>
          <t>http://www.ekdp.com</t>
        </is>
      </c>
      <c r="S340" s="17" t="inlineStr">
        <is>
          <t>경기도</t>
        </is>
      </c>
      <c r="T340" s="17" t="inlineStr">
        <is>
          <t>031-612-1111</t>
        </is>
      </c>
      <c r="U340" s="17" t="inlineStr">
        <is>
          <t>제조소상세</t>
        </is>
      </c>
      <c r="V340" s="22" t="inlineStr">
        <is>
          <t>미확인</t>
        </is>
      </c>
      <c r="W340" s="22" t="inlineStr">
        <is>
          <t>미확인</t>
        </is>
      </c>
      <c r="X340" s="22" t="inlineStr">
        <is>
          <t>미확인</t>
        </is>
      </c>
      <c r="Y340" s="22" t="inlineStr">
        <is>
          <t>미확인</t>
        </is>
      </c>
      <c r="Z340" s="22" t="inlineStr">
        <is>
          <t>미확인</t>
        </is>
      </c>
      <c r="AA340" s="22" t="inlineStr">
        <is>
          <t>미확인</t>
        </is>
      </c>
      <c r="AB340" s="22" t="inlineStr">
        <is>
          <t>미확인</t>
        </is>
      </c>
      <c r="AC340" s="22" t="inlineStr">
        <is>
          <t>미확인</t>
        </is>
      </c>
      <c r="AD340" s="22" t="inlineStr">
        <is>
          <t>미확인</t>
        </is>
      </c>
      <c r="AE340" s="22" t="inlineStr">
        <is>
          <t>미확인</t>
        </is>
      </c>
      <c r="AF340" s="22" t="inlineStr">
        <is>
          <t>미확인</t>
        </is>
      </c>
      <c r="AG340" s="22" t="inlineStr">
        <is>
          <t>미확인</t>
        </is>
      </c>
      <c r="AH340" s="22" t="inlineStr">
        <is>
          <t>미확인</t>
        </is>
      </c>
      <c r="AI340" s="22" t="inlineStr">
        <is>
          <t>미확인</t>
        </is>
      </c>
      <c r="AJ340" s="22" t="inlineStr">
        <is>
          <t>미확인</t>
        </is>
      </c>
      <c r="AK340" s="22" t="inlineStr">
        <is>
          <t>미확인</t>
        </is>
      </c>
      <c r="AL340" s="22" t="inlineStr">
        <is>
          <t>미확인</t>
        </is>
      </c>
      <c r="AM340" s="22" t="inlineStr">
        <is>
          <t>미확인</t>
        </is>
      </c>
      <c r="AN340" s="22" t="inlineStr">
        <is>
          <t>미확인</t>
        </is>
      </c>
      <c r="AO340" s="17" t="inlineStr">
        <is>
          <t>C(부분확인)</t>
        </is>
      </c>
      <c r="AP340" s="17" t="inlineStr">
        <is>
          <t>Y</t>
        </is>
      </c>
      <c r="AQ340" s="17" t="n">
        <v>10</v>
      </c>
      <c r="AR340" s="28" t="inlineStr">
        <is>
          <t>Tier D</t>
        </is>
      </c>
      <c r="AS340" s="17" t="inlineStr">
        <is>
          <t>QMS</t>
        </is>
      </c>
      <c r="AT340" s="17" t="inlineStr">
        <is>
          <t>기본 GMP 문서관리 대상</t>
        </is>
      </c>
      <c r="AU340" s="17" t="inlineStr">
        <is>
          <t>담당자 파악 후 접촉</t>
        </is>
      </c>
      <c r="AV340" s="17" t="inlineStr">
        <is>
          <t>GMP적합판정+KRX</t>
        </is>
      </c>
      <c r="AW340" s="17" t="inlineStr">
        <is>
          <t>2026-07-05</t>
        </is>
      </c>
    </row>
    <row r="341">
      <c r="A341" s="17" t="inlineStr">
        <is>
          <t>C340</t>
        </is>
      </c>
      <c r="B341" s="17" t="inlineStr">
        <is>
          <t>오스틴제약</t>
        </is>
      </c>
      <c r="C341" s="17" t="inlineStr">
        <is>
          <t>오스틴제약(주)</t>
        </is>
      </c>
      <c r="D341" s="17" t="n">
        <v>1</v>
      </c>
      <c r="E341" s="17" t="n">
        <v>1</v>
      </c>
      <c r="F341" s="17" t="inlineStr">
        <is>
          <t>Y</t>
        </is>
      </c>
      <c r="G341" s="17" t="inlineStr"/>
      <c r="H341" s="17" t="inlineStr"/>
      <c r="I341" s="17" t="inlineStr"/>
      <c r="J341" s="24" t="n">
        <v>46473</v>
      </c>
      <c r="K341" s="17" t="inlineStr"/>
      <c r="L341" s="17" t="inlineStr"/>
      <c r="M341" s="17" t="inlineStr"/>
      <c r="N341" s="23" t="inlineStr"/>
      <c r="O341" s="17" t="inlineStr"/>
      <c r="P341" s="17" t="inlineStr"/>
      <c r="Q341" s="17" t="inlineStr">
        <is>
          <t>이승근</t>
        </is>
      </c>
      <c r="R341" s="17" t="inlineStr"/>
      <c r="S341" s="17" t="inlineStr"/>
      <c r="T341" s="17" t="inlineStr">
        <is>
          <t>031-494-9681</t>
        </is>
      </c>
      <c r="U341" s="17" t="inlineStr">
        <is>
          <t>제조소상세</t>
        </is>
      </c>
      <c r="V341" s="22" t="inlineStr">
        <is>
          <t>미확인</t>
        </is>
      </c>
      <c r="W341" s="22" t="inlineStr">
        <is>
          <t>미확인</t>
        </is>
      </c>
      <c r="X341" s="22" t="inlineStr">
        <is>
          <t>미확인</t>
        </is>
      </c>
      <c r="Y341" s="22" t="inlineStr">
        <is>
          <t>미확인</t>
        </is>
      </c>
      <c r="Z341" s="22" t="inlineStr">
        <is>
          <t>미확인</t>
        </is>
      </c>
      <c r="AA341" s="22" t="inlineStr">
        <is>
          <t>미확인</t>
        </is>
      </c>
      <c r="AB341" s="22" t="inlineStr">
        <is>
          <t>미확인</t>
        </is>
      </c>
      <c r="AC341" s="22" t="inlineStr">
        <is>
          <t>미확인</t>
        </is>
      </c>
      <c r="AD341" s="22" t="inlineStr">
        <is>
          <t>미확인</t>
        </is>
      </c>
      <c r="AE341" s="22" t="inlineStr">
        <is>
          <t>미확인</t>
        </is>
      </c>
      <c r="AF341" s="22" t="inlineStr">
        <is>
          <t>미확인</t>
        </is>
      </c>
      <c r="AG341" s="22" t="inlineStr">
        <is>
          <t>미확인</t>
        </is>
      </c>
      <c r="AH341" s="22" t="inlineStr">
        <is>
          <t>미확인</t>
        </is>
      </c>
      <c r="AI341" s="22" t="inlineStr">
        <is>
          <t>미확인</t>
        </is>
      </c>
      <c r="AJ341" s="22" t="inlineStr">
        <is>
          <t>미확인</t>
        </is>
      </c>
      <c r="AK341" s="22" t="inlineStr">
        <is>
          <t>미확인</t>
        </is>
      </c>
      <c r="AL341" s="22" t="inlineStr">
        <is>
          <t>미확인</t>
        </is>
      </c>
      <c r="AM341" s="22" t="inlineStr">
        <is>
          <t>미확인</t>
        </is>
      </c>
      <c r="AN341" s="22" t="inlineStr">
        <is>
          <t>미확인</t>
        </is>
      </c>
      <c r="AO341" s="17" t="inlineStr">
        <is>
          <t>C(부분확인)</t>
        </is>
      </c>
      <c r="AP341" s="17" t="inlineStr">
        <is>
          <t>Y</t>
        </is>
      </c>
      <c r="AQ341" s="17" t="n">
        <v>7</v>
      </c>
      <c r="AR341" s="28" t="inlineStr">
        <is>
          <t>Tier D</t>
        </is>
      </c>
      <c r="AS341" s="17" t="inlineStr">
        <is>
          <t>QMS</t>
        </is>
      </c>
      <c r="AT341" s="17" t="inlineStr">
        <is>
          <t>기본 GMP 문서관리 대상</t>
        </is>
      </c>
      <c r="AU341" s="17" t="inlineStr">
        <is>
          <t>담당자 파악 후 접촉</t>
        </is>
      </c>
      <c r="AV341" s="17" t="inlineStr">
        <is>
          <t>GMP적합판정+KRX</t>
        </is>
      </c>
      <c r="AW341" s="17" t="inlineStr">
        <is>
          <t>2026-07-05</t>
        </is>
      </c>
    </row>
    <row r="342">
      <c r="A342" s="17" t="inlineStr">
        <is>
          <t>C341</t>
        </is>
      </c>
      <c r="B342" s="17" t="inlineStr">
        <is>
          <t>세종산업가스</t>
        </is>
      </c>
      <c r="C342" s="17" t="inlineStr">
        <is>
          <t>(주)세종산업가스</t>
        </is>
      </c>
      <c r="D342" s="17" t="n">
        <v>1</v>
      </c>
      <c r="E342" s="17" t="n">
        <v>1</v>
      </c>
      <c r="F342" s="17" t="inlineStr">
        <is>
          <t>Y</t>
        </is>
      </c>
      <c r="G342" s="17" t="inlineStr"/>
      <c r="H342" s="17" t="inlineStr"/>
      <c r="I342" s="17" t="inlineStr"/>
      <c r="J342" s="24" t="n">
        <v>46473</v>
      </c>
      <c r="K342" s="17" t="inlineStr"/>
      <c r="L342" s="17" t="inlineStr"/>
      <c r="M342" s="17" t="inlineStr"/>
      <c r="N342" s="23" t="inlineStr"/>
      <c r="O342" s="17" t="inlineStr"/>
      <c r="P342" s="17" t="inlineStr"/>
      <c r="Q342" s="17" t="inlineStr">
        <is>
          <t>강민구</t>
        </is>
      </c>
      <c r="R342" s="17" t="inlineStr"/>
      <c r="S342" s="17" t="inlineStr"/>
      <c r="T342" s="17" t="inlineStr">
        <is>
          <t>044-865-9505</t>
        </is>
      </c>
      <c r="U342" s="17" t="inlineStr">
        <is>
          <t>제조소상세</t>
        </is>
      </c>
      <c r="V342" s="22" t="inlineStr">
        <is>
          <t>미확인</t>
        </is>
      </c>
      <c r="W342" s="22" t="inlineStr">
        <is>
          <t>미확인</t>
        </is>
      </c>
      <c r="X342" s="22" t="inlineStr">
        <is>
          <t>미확인</t>
        </is>
      </c>
      <c r="Y342" s="22" t="inlineStr">
        <is>
          <t>미확인</t>
        </is>
      </c>
      <c r="Z342" s="22" t="inlineStr">
        <is>
          <t>미확인</t>
        </is>
      </c>
      <c r="AA342" s="22" t="inlineStr">
        <is>
          <t>미확인</t>
        </is>
      </c>
      <c r="AB342" s="22" t="inlineStr">
        <is>
          <t>미확인</t>
        </is>
      </c>
      <c r="AC342" s="22" t="inlineStr">
        <is>
          <t>미확인</t>
        </is>
      </c>
      <c r="AD342" s="22" t="inlineStr">
        <is>
          <t>미확인</t>
        </is>
      </c>
      <c r="AE342" s="22" t="inlineStr">
        <is>
          <t>미확인</t>
        </is>
      </c>
      <c r="AF342" s="22" t="inlineStr">
        <is>
          <t>미확인</t>
        </is>
      </c>
      <c r="AG342" s="22" t="inlineStr">
        <is>
          <t>미확인</t>
        </is>
      </c>
      <c r="AH342" s="22" t="inlineStr">
        <is>
          <t>미확인</t>
        </is>
      </c>
      <c r="AI342" s="22" t="inlineStr">
        <is>
          <t>미확인</t>
        </is>
      </c>
      <c r="AJ342" s="22" t="inlineStr">
        <is>
          <t>미확인</t>
        </is>
      </c>
      <c r="AK342" s="22" t="inlineStr">
        <is>
          <t>미확인</t>
        </is>
      </c>
      <c r="AL342" s="22" t="inlineStr">
        <is>
          <t>미확인</t>
        </is>
      </c>
      <c r="AM342" s="22" t="inlineStr">
        <is>
          <t>미확인</t>
        </is>
      </c>
      <c r="AN342" s="22" t="inlineStr">
        <is>
          <t>미확인</t>
        </is>
      </c>
      <c r="AO342" s="17" t="inlineStr">
        <is>
          <t>C(부분확인)</t>
        </is>
      </c>
      <c r="AP342" s="17" t="inlineStr">
        <is>
          <t>Y</t>
        </is>
      </c>
      <c r="AQ342" s="17" t="n">
        <v>7</v>
      </c>
      <c r="AR342" s="28" t="inlineStr">
        <is>
          <t>Tier D</t>
        </is>
      </c>
      <c r="AS342" s="17" t="inlineStr">
        <is>
          <t>QMS</t>
        </is>
      </c>
      <c r="AT342" s="17" t="inlineStr">
        <is>
          <t>기본 GMP 문서관리 대상</t>
        </is>
      </c>
      <c r="AU342" s="17" t="inlineStr">
        <is>
          <t>담당자 파악 후 접촉</t>
        </is>
      </c>
      <c r="AV342" s="17" t="inlineStr">
        <is>
          <t>GMP적합판정+KRX</t>
        </is>
      </c>
      <c r="AW342" s="17" t="inlineStr">
        <is>
          <t>2026-07-05</t>
        </is>
      </c>
    </row>
    <row r="343">
      <c r="A343" s="17" t="inlineStr">
        <is>
          <t>C342</t>
        </is>
      </c>
      <c r="B343" s="17" t="inlineStr">
        <is>
          <t>신일제약</t>
        </is>
      </c>
      <c r="C343" s="17" t="inlineStr">
        <is>
          <t>신일제약(주)</t>
        </is>
      </c>
      <c r="D343" s="17" t="n">
        <v>1</v>
      </c>
      <c r="E343" s="17" t="n">
        <v>1</v>
      </c>
      <c r="F343" s="17" t="inlineStr">
        <is>
          <t>Y</t>
        </is>
      </c>
      <c r="G343" s="17" t="inlineStr"/>
      <c r="H343" s="17" t="inlineStr"/>
      <c r="I343" s="17" t="inlineStr"/>
      <c r="J343" s="24" t="n">
        <v>46467</v>
      </c>
      <c r="K343" s="17" t="inlineStr"/>
      <c r="L343" s="17" t="inlineStr">
        <is>
          <t>Y</t>
        </is>
      </c>
      <c r="M343" s="17" t="inlineStr">
        <is>
          <t>코스닥</t>
        </is>
      </c>
      <c r="N343" s="23" t="inlineStr">
        <is>
          <t>012790</t>
        </is>
      </c>
      <c r="O343" s="17" t="inlineStr">
        <is>
          <t>의약품 제조업</t>
        </is>
      </c>
      <c r="P343" s="17" t="inlineStr">
        <is>
          <t>디펜플라스타, 맥스케어, 트레스, 리피칸</t>
        </is>
      </c>
      <c r="Q343" s="17" t="inlineStr">
        <is>
          <t>홍재현</t>
        </is>
      </c>
      <c r="R343" s="17" t="inlineStr">
        <is>
          <t>http://www.sinilpharm.com</t>
        </is>
      </c>
      <c r="S343" s="17" t="inlineStr">
        <is>
          <t>충청북도</t>
        </is>
      </c>
      <c r="T343" s="17" t="inlineStr">
        <is>
          <t>043-855-3944</t>
        </is>
      </c>
      <c r="U343" s="17" t="inlineStr">
        <is>
          <t>제조소상세</t>
        </is>
      </c>
      <c r="V343" s="22" t="inlineStr">
        <is>
          <t>미확인</t>
        </is>
      </c>
      <c r="W343" s="22" t="inlineStr">
        <is>
          <t>미확인</t>
        </is>
      </c>
      <c r="X343" s="22" t="inlineStr">
        <is>
          <t>미확인</t>
        </is>
      </c>
      <c r="Y343" s="22" t="inlineStr">
        <is>
          <t>미확인</t>
        </is>
      </c>
      <c r="Z343" s="22" t="inlineStr">
        <is>
          <t>미확인</t>
        </is>
      </c>
      <c r="AA343" s="22" t="inlineStr">
        <is>
          <t>미확인</t>
        </is>
      </c>
      <c r="AB343" s="22" t="inlineStr">
        <is>
          <t>미확인</t>
        </is>
      </c>
      <c r="AC343" s="22" t="inlineStr">
        <is>
          <t>미확인</t>
        </is>
      </c>
      <c r="AD343" s="22" t="inlineStr">
        <is>
          <t>미확인</t>
        </is>
      </c>
      <c r="AE343" s="22" t="inlineStr">
        <is>
          <t>미확인</t>
        </is>
      </c>
      <c r="AF343" s="22" t="inlineStr">
        <is>
          <t>미확인</t>
        </is>
      </c>
      <c r="AG343" s="22" t="inlineStr">
        <is>
          <t>미확인</t>
        </is>
      </c>
      <c r="AH343" s="22" t="inlineStr">
        <is>
          <t>미확인</t>
        </is>
      </c>
      <c r="AI343" s="22" t="inlineStr">
        <is>
          <t>미확인</t>
        </is>
      </c>
      <c r="AJ343" s="22" t="inlineStr">
        <is>
          <t>미확인</t>
        </is>
      </c>
      <c r="AK343" s="22" t="inlineStr">
        <is>
          <t>미확인</t>
        </is>
      </c>
      <c r="AL343" s="22" t="inlineStr">
        <is>
          <t>미확인</t>
        </is>
      </c>
      <c r="AM343" s="22" t="inlineStr">
        <is>
          <t>미확인</t>
        </is>
      </c>
      <c r="AN343" s="22" t="inlineStr">
        <is>
          <t>미확인</t>
        </is>
      </c>
      <c r="AO343" s="17" t="inlineStr">
        <is>
          <t>C(부분확인)</t>
        </is>
      </c>
      <c r="AP343" s="17" t="inlineStr">
        <is>
          <t>Y</t>
        </is>
      </c>
      <c r="AQ343" s="17" t="n">
        <v>10</v>
      </c>
      <c r="AR343" s="28" t="inlineStr">
        <is>
          <t>Tier D</t>
        </is>
      </c>
      <c r="AS343" s="17" t="inlineStr">
        <is>
          <t>QMS</t>
        </is>
      </c>
      <c r="AT343" s="17" t="inlineStr">
        <is>
          <t>기본 GMP 문서관리 대상</t>
        </is>
      </c>
      <c r="AU343" s="17" t="inlineStr">
        <is>
          <t>담당자 파악 후 접촉</t>
        </is>
      </c>
      <c r="AV343" s="17" t="inlineStr">
        <is>
          <t>GMP적합판정+KRX</t>
        </is>
      </c>
      <c r="AW343" s="17" t="inlineStr">
        <is>
          <t>2026-07-05</t>
        </is>
      </c>
    </row>
    <row r="344">
      <c r="A344" s="17" t="inlineStr">
        <is>
          <t>C343</t>
        </is>
      </c>
      <c r="B344" s="17" t="inlineStr">
        <is>
          <t>리독스바이오</t>
        </is>
      </c>
      <c r="C344" s="17" t="inlineStr">
        <is>
          <t>(주)리독스바이오</t>
        </is>
      </c>
      <c r="D344" s="17" t="n">
        <v>1</v>
      </c>
      <c r="E344" s="17" t="n">
        <v>1</v>
      </c>
      <c r="F344" s="17" t="inlineStr"/>
      <c r="G344" s="17" t="inlineStr">
        <is>
          <t>Y</t>
        </is>
      </c>
      <c r="H344" s="17" t="inlineStr"/>
      <c r="I344" s="17" t="inlineStr"/>
      <c r="J344" s="24" t="n">
        <v>46465</v>
      </c>
      <c r="K344" s="17" t="inlineStr"/>
      <c r="L344" s="17" t="inlineStr"/>
      <c r="M344" s="17" t="inlineStr"/>
      <c r="N344" s="23" t="inlineStr"/>
      <c r="O344" s="17" t="inlineStr"/>
      <c r="P344" s="17" t="inlineStr"/>
      <c r="Q344" s="17" t="inlineStr">
        <is>
          <t>김수지</t>
        </is>
      </c>
      <c r="R344" s="17" t="inlineStr"/>
      <c r="S344" s="17" t="inlineStr"/>
      <c r="T344" s="17" t="inlineStr">
        <is>
          <t>미확인</t>
        </is>
      </c>
      <c r="U344" s="17" t="inlineStr">
        <is>
          <t>미확인</t>
        </is>
      </c>
      <c r="V344" s="22" t="inlineStr">
        <is>
          <t>미확인</t>
        </is>
      </c>
      <c r="W344" s="22" t="inlineStr">
        <is>
          <t>미확인</t>
        </is>
      </c>
      <c r="X344" s="22" t="inlineStr">
        <is>
          <t>미확인</t>
        </is>
      </c>
      <c r="Y344" s="22" t="inlineStr">
        <is>
          <t>미확인</t>
        </is>
      </c>
      <c r="Z344" s="22" t="inlineStr">
        <is>
          <t>미확인</t>
        </is>
      </c>
      <c r="AA344" s="22" t="inlineStr">
        <is>
          <t>미확인</t>
        </is>
      </c>
      <c r="AB344" s="22" t="inlineStr">
        <is>
          <t>미확인</t>
        </is>
      </c>
      <c r="AC344" s="22" t="inlineStr">
        <is>
          <t>미확인</t>
        </is>
      </c>
      <c r="AD344" s="22" t="inlineStr">
        <is>
          <t>미확인</t>
        </is>
      </c>
      <c r="AE344" s="22" t="inlineStr">
        <is>
          <t>미확인</t>
        </is>
      </c>
      <c r="AF344" s="22" t="inlineStr">
        <is>
          <t>미확인</t>
        </is>
      </c>
      <c r="AG344" s="22" t="inlineStr">
        <is>
          <t>미확인</t>
        </is>
      </c>
      <c r="AH344" s="22" t="inlineStr">
        <is>
          <t>미확인</t>
        </is>
      </c>
      <c r="AI344" s="22" t="inlineStr">
        <is>
          <t>미확인</t>
        </is>
      </c>
      <c r="AJ344" s="22" t="inlineStr">
        <is>
          <t>미확인</t>
        </is>
      </c>
      <c r="AK344" s="22" t="inlineStr">
        <is>
          <t>미확인</t>
        </is>
      </c>
      <c r="AL344" s="22" t="inlineStr">
        <is>
          <t>미확인</t>
        </is>
      </c>
      <c r="AM344" s="22" t="inlineStr">
        <is>
          <t>미확인</t>
        </is>
      </c>
      <c r="AN344" s="22" t="inlineStr">
        <is>
          <t>미확인</t>
        </is>
      </c>
      <c r="AO344" s="17" t="inlineStr">
        <is>
          <t>C(부분확인)</t>
        </is>
      </c>
      <c r="AP344" s="17" t="inlineStr">
        <is>
          <t>Y</t>
        </is>
      </c>
      <c r="AQ344" s="17" t="n">
        <v>7</v>
      </c>
      <c r="AR344" s="28" t="inlineStr">
        <is>
          <t>Tier D</t>
        </is>
      </c>
      <c r="AS344" s="17" t="inlineStr">
        <is>
          <t>QMS+LIMS</t>
        </is>
      </c>
      <c r="AT344" s="17" t="inlineStr">
        <is>
          <t>원료 제조로 시험실 관리 필요</t>
        </is>
      </c>
      <c r="AU344" s="17" t="inlineStr">
        <is>
          <t>담당자 파악 후 접촉</t>
        </is>
      </c>
      <c r="AV344" s="17" t="inlineStr">
        <is>
          <t>GMP적합판정+KRX</t>
        </is>
      </c>
      <c r="AW344" s="17" t="inlineStr">
        <is>
          <t>2026-07-05</t>
        </is>
      </c>
    </row>
    <row r="345">
      <c r="A345" s="17" t="inlineStr">
        <is>
          <t>C344</t>
        </is>
      </c>
      <c r="B345" s="17" t="inlineStr">
        <is>
          <t>경진제약</t>
        </is>
      </c>
      <c r="C345" s="17" t="inlineStr">
        <is>
          <t>경진제약(주)</t>
        </is>
      </c>
      <c r="D345" s="17" t="n">
        <v>1</v>
      </c>
      <c r="E345" s="17" t="n">
        <v>1</v>
      </c>
      <c r="F345" s="17" t="inlineStr">
        <is>
          <t>Y</t>
        </is>
      </c>
      <c r="G345" s="17" t="inlineStr"/>
      <c r="H345" s="17" t="inlineStr"/>
      <c r="I345" s="17" t="inlineStr"/>
      <c r="J345" s="24" t="n">
        <v>46460</v>
      </c>
      <c r="K345" s="17" t="inlineStr"/>
      <c r="L345" s="17" t="inlineStr"/>
      <c r="M345" s="17" t="inlineStr"/>
      <c r="N345" s="23" t="inlineStr"/>
      <c r="O345" s="17" t="inlineStr"/>
      <c r="P345" s="17" t="inlineStr"/>
      <c r="Q345" s="17" t="inlineStr">
        <is>
          <t>이중기</t>
        </is>
      </c>
      <c r="R345" s="17" t="inlineStr"/>
      <c r="S345" s="17" t="inlineStr"/>
      <c r="T345" s="17" t="inlineStr">
        <is>
          <t>02-2612-0714</t>
        </is>
      </c>
      <c r="U345" s="17" t="inlineStr">
        <is>
          <t>제조소상세</t>
        </is>
      </c>
      <c r="V345" s="22" t="inlineStr">
        <is>
          <t>미확인</t>
        </is>
      </c>
      <c r="W345" s="22" t="inlineStr">
        <is>
          <t>미확인</t>
        </is>
      </c>
      <c r="X345" s="22" t="inlineStr">
        <is>
          <t>미확인</t>
        </is>
      </c>
      <c r="Y345" s="22" t="inlineStr">
        <is>
          <t>미확인</t>
        </is>
      </c>
      <c r="Z345" s="22" t="inlineStr">
        <is>
          <t>미확인</t>
        </is>
      </c>
      <c r="AA345" s="22" t="inlineStr">
        <is>
          <t>미확인</t>
        </is>
      </c>
      <c r="AB345" s="22" t="inlineStr">
        <is>
          <t>미확인</t>
        </is>
      </c>
      <c r="AC345" s="22" t="inlineStr">
        <is>
          <t>미확인</t>
        </is>
      </c>
      <c r="AD345" s="22" t="inlineStr">
        <is>
          <t>미확인</t>
        </is>
      </c>
      <c r="AE345" s="22" t="inlineStr">
        <is>
          <t>미확인</t>
        </is>
      </c>
      <c r="AF345" s="22" t="inlineStr">
        <is>
          <t>미확인</t>
        </is>
      </c>
      <c r="AG345" s="22" t="inlineStr">
        <is>
          <t>미확인</t>
        </is>
      </c>
      <c r="AH345" s="22" t="inlineStr">
        <is>
          <t>미확인</t>
        </is>
      </c>
      <c r="AI345" s="22" t="inlineStr">
        <is>
          <t>미확인</t>
        </is>
      </c>
      <c r="AJ345" s="22" t="inlineStr">
        <is>
          <t>미확인</t>
        </is>
      </c>
      <c r="AK345" s="22" t="inlineStr">
        <is>
          <t>미확인</t>
        </is>
      </c>
      <c r="AL345" s="22" t="inlineStr">
        <is>
          <t>미확인</t>
        </is>
      </c>
      <c r="AM345" s="22" t="inlineStr">
        <is>
          <t>미확인</t>
        </is>
      </c>
      <c r="AN345" s="22" t="inlineStr">
        <is>
          <t>미확인</t>
        </is>
      </c>
      <c r="AO345" s="17" t="inlineStr">
        <is>
          <t>C(부분확인)</t>
        </is>
      </c>
      <c r="AP345" s="17" t="inlineStr">
        <is>
          <t>Y</t>
        </is>
      </c>
      <c r="AQ345" s="17" t="n">
        <v>7</v>
      </c>
      <c r="AR345" s="28" t="inlineStr">
        <is>
          <t>Tier D</t>
        </is>
      </c>
      <c r="AS345" s="17" t="inlineStr">
        <is>
          <t>QMS</t>
        </is>
      </c>
      <c r="AT345" s="17" t="inlineStr">
        <is>
          <t>기본 GMP 문서관리 대상</t>
        </is>
      </c>
      <c r="AU345" s="17" t="inlineStr">
        <is>
          <t>담당자 파악 후 접촉</t>
        </is>
      </c>
      <c r="AV345" s="17" t="inlineStr">
        <is>
          <t>GMP적합판정+KRX</t>
        </is>
      </c>
      <c r="AW345" s="17" t="inlineStr">
        <is>
          <t>2026-07-05</t>
        </is>
      </c>
    </row>
    <row r="346">
      <c r="A346" s="17" t="inlineStr">
        <is>
          <t>C345</t>
        </is>
      </c>
      <c r="B346" s="17" t="inlineStr">
        <is>
          <t>고려제약</t>
        </is>
      </c>
      <c r="C346" s="17" t="inlineStr">
        <is>
          <t>고려제약(주)</t>
        </is>
      </c>
      <c r="D346" s="17" t="n">
        <v>1</v>
      </c>
      <c r="E346" s="17" t="n">
        <v>1</v>
      </c>
      <c r="F346" s="17" t="inlineStr">
        <is>
          <t>Y</t>
        </is>
      </c>
      <c r="G346" s="17" t="inlineStr"/>
      <c r="H346" s="17" t="inlineStr"/>
      <c r="I346" s="17" t="inlineStr"/>
      <c r="J346" s="24" t="n">
        <v>46460</v>
      </c>
      <c r="K346" s="17" t="inlineStr"/>
      <c r="L346" s="17" t="inlineStr">
        <is>
          <t>Y</t>
        </is>
      </c>
      <c r="M346" s="17" t="inlineStr">
        <is>
          <t>코스닥</t>
        </is>
      </c>
      <c r="N346" s="23" t="inlineStr">
        <is>
          <t>014570</t>
        </is>
      </c>
      <c r="O346" s="17" t="inlineStr">
        <is>
          <t>의약품 제조업</t>
        </is>
      </c>
      <c r="P346" s="17" t="inlineStr">
        <is>
          <t>하벤(종합감기약),뉴로메드(치매치료제)등</t>
        </is>
      </c>
      <c r="Q346" s="17" t="inlineStr">
        <is>
          <t>박해룡, 박상훈 (각자대표)</t>
        </is>
      </c>
      <c r="R346" s="17" t="inlineStr">
        <is>
          <t>http://www.nicepharma.com</t>
        </is>
      </c>
      <c r="S346" s="17" t="inlineStr">
        <is>
          <t>경기도</t>
        </is>
      </c>
      <c r="T346" s="17" t="inlineStr">
        <is>
          <t>031-634-7100</t>
        </is>
      </c>
      <c r="U346" s="17" t="inlineStr">
        <is>
          <t>제조소상세</t>
        </is>
      </c>
      <c r="V346" s="22" t="inlineStr">
        <is>
          <t>미확인</t>
        </is>
      </c>
      <c r="W346" s="22" t="inlineStr">
        <is>
          <t>미확인</t>
        </is>
      </c>
      <c r="X346" s="22" t="inlineStr">
        <is>
          <t>미확인</t>
        </is>
      </c>
      <c r="Y346" s="22" t="inlineStr">
        <is>
          <t>미확인</t>
        </is>
      </c>
      <c r="Z346" s="22" t="inlineStr">
        <is>
          <t>미확인</t>
        </is>
      </c>
      <c r="AA346" s="22" t="inlineStr">
        <is>
          <t>미확인</t>
        </is>
      </c>
      <c r="AB346" s="22" t="inlineStr">
        <is>
          <t>미확인</t>
        </is>
      </c>
      <c r="AC346" s="22" t="inlineStr">
        <is>
          <t>미확인</t>
        </is>
      </c>
      <c r="AD346" s="22" t="inlineStr">
        <is>
          <t>미확인</t>
        </is>
      </c>
      <c r="AE346" s="22" t="inlineStr">
        <is>
          <t>미확인</t>
        </is>
      </c>
      <c r="AF346" s="22" t="inlineStr">
        <is>
          <t>미확인</t>
        </is>
      </c>
      <c r="AG346" s="22" t="inlineStr">
        <is>
          <t>미확인</t>
        </is>
      </c>
      <c r="AH346" s="22" t="inlineStr">
        <is>
          <t>미확인</t>
        </is>
      </c>
      <c r="AI346" s="22" t="inlineStr">
        <is>
          <t>미확인</t>
        </is>
      </c>
      <c r="AJ346" s="22" t="inlineStr">
        <is>
          <t>미확인</t>
        </is>
      </c>
      <c r="AK346" s="22" t="inlineStr">
        <is>
          <t>미확인</t>
        </is>
      </c>
      <c r="AL346" s="22" t="inlineStr">
        <is>
          <t>미확인</t>
        </is>
      </c>
      <c r="AM346" s="22" t="inlineStr">
        <is>
          <t>미확인</t>
        </is>
      </c>
      <c r="AN346" s="22" t="inlineStr">
        <is>
          <t>미확인</t>
        </is>
      </c>
      <c r="AO346" s="17" t="inlineStr">
        <is>
          <t>C(부분확인)</t>
        </is>
      </c>
      <c r="AP346" s="17" t="inlineStr">
        <is>
          <t>Y</t>
        </is>
      </c>
      <c r="AQ346" s="17" t="n">
        <v>10</v>
      </c>
      <c r="AR346" s="28" t="inlineStr">
        <is>
          <t>Tier D</t>
        </is>
      </c>
      <c r="AS346" s="17" t="inlineStr">
        <is>
          <t>QMS</t>
        </is>
      </c>
      <c r="AT346" s="17" t="inlineStr">
        <is>
          <t>기본 GMP 문서관리 대상</t>
        </is>
      </c>
      <c r="AU346" s="17" t="inlineStr">
        <is>
          <t>담당자 파악 후 접촉</t>
        </is>
      </c>
      <c r="AV346" s="17" t="inlineStr">
        <is>
          <t>GMP적합판정+KRX</t>
        </is>
      </c>
      <c r="AW346" s="17" t="inlineStr">
        <is>
          <t>2026-07-05</t>
        </is>
      </c>
    </row>
    <row r="347">
      <c r="A347" s="17" t="inlineStr">
        <is>
          <t>C346</t>
        </is>
      </c>
      <c r="B347" s="17" t="inlineStr">
        <is>
          <t>태경케미컬</t>
        </is>
      </c>
      <c r="C347" s="17" t="inlineStr">
        <is>
          <t>태경케미컬(주)</t>
        </is>
      </c>
      <c r="D347" s="17" t="n">
        <v>1</v>
      </c>
      <c r="E347" s="17" t="n">
        <v>1</v>
      </c>
      <c r="F347" s="17" t="inlineStr">
        <is>
          <t>Y</t>
        </is>
      </c>
      <c r="G347" s="17" t="inlineStr"/>
      <c r="H347" s="17" t="inlineStr"/>
      <c r="I347" s="17" t="inlineStr"/>
      <c r="J347" s="24" t="n">
        <v>46458</v>
      </c>
      <c r="K347" s="17" t="inlineStr"/>
      <c r="L347" s="17" t="inlineStr">
        <is>
          <t>Y</t>
        </is>
      </c>
      <c r="M347" s="17" t="inlineStr">
        <is>
          <t>유가</t>
        </is>
      </c>
      <c r="N347" s="23" t="inlineStr">
        <is>
          <t>006890</t>
        </is>
      </c>
      <c r="O347" s="17" t="inlineStr">
        <is>
          <t>기초 화학물질 제조업</t>
        </is>
      </c>
      <c r="P347" s="17" t="inlineStr">
        <is>
          <t>드라이아이스,액체탄산,고체탄산 제조</t>
        </is>
      </c>
      <c r="Q347" s="17" t="inlineStr">
        <is>
          <t>박기환</t>
        </is>
      </c>
      <c r="R347" s="17" t="inlineStr">
        <is>
          <t>http://www.taekyungchem.co.kr</t>
        </is>
      </c>
      <c r="S347" s="17" t="inlineStr">
        <is>
          <t>서울특별시</t>
        </is>
      </c>
      <c r="T347" s="17" t="inlineStr">
        <is>
          <t>041-681-3191</t>
        </is>
      </c>
      <c r="U347" s="17" t="inlineStr">
        <is>
          <t>제조소상세</t>
        </is>
      </c>
      <c r="V347" s="22" t="inlineStr">
        <is>
          <t>미확인</t>
        </is>
      </c>
      <c r="W347" s="22" t="inlineStr">
        <is>
          <t>미확인</t>
        </is>
      </c>
      <c r="X347" s="22" t="inlineStr">
        <is>
          <t>미확인</t>
        </is>
      </c>
      <c r="Y347" s="22" t="inlineStr">
        <is>
          <t>미확인</t>
        </is>
      </c>
      <c r="Z347" s="22" t="inlineStr">
        <is>
          <t>미확인</t>
        </is>
      </c>
      <c r="AA347" s="22" t="inlineStr">
        <is>
          <t>미확인</t>
        </is>
      </c>
      <c r="AB347" s="22" t="inlineStr">
        <is>
          <t>미확인</t>
        </is>
      </c>
      <c r="AC347" s="22" t="inlineStr">
        <is>
          <t>미확인</t>
        </is>
      </c>
      <c r="AD347" s="22" t="inlineStr">
        <is>
          <t>미확인</t>
        </is>
      </c>
      <c r="AE347" s="22" t="inlineStr">
        <is>
          <t>미확인</t>
        </is>
      </c>
      <c r="AF347" s="22" t="inlineStr">
        <is>
          <t>미확인</t>
        </is>
      </c>
      <c r="AG347" s="22" t="inlineStr">
        <is>
          <t>미확인</t>
        </is>
      </c>
      <c r="AH347" s="22" t="inlineStr">
        <is>
          <t>미확인</t>
        </is>
      </c>
      <c r="AI347" s="22" t="inlineStr">
        <is>
          <t>미확인</t>
        </is>
      </c>
      <c r="AJ347" s="22" t="inlineStr">
        <is>
          <t>미확인</t>
        </is>
      </c>
      <c r="AK347" s="22" t="inlineStr">
        <is>
          <t>미확인</t>
        </is>
      </c>
      <c r="AL347" s="22" t="inlineStr">
        <is>
          <t>미확인</t>
        </is>
      </c>
      <c r="AM347" s="22" t="inlineStr">
        <is>
          <t>미확인</t>
        </is>
      </c>
      <c r="AN347" s="22" t="inlineStr">
        <is>
          <t>미확인</t>
        </is>
      </c>
      <c r="AO347" s="17" t="inlineStr">
        <is>
          <t>C(부분확인)</t>
        </is>
      </c>
      <c r="AP347" s="17" t="inlineStr">
        <is>
          <t>Y</t>
        </is>
      </c>
      <c r="AQ347" s="17" t="n">
        <v>10</v>
      </c>
      <c r="AR347" s="28" t="inlineStr">
        <is>
          <t>Tier D</t>
        </is>
      </c>
      <c r="AS347" s="17" t="inlineStr">
        <is>
          <t>QMS</t>
        </is>
      </c>
      <c r="AT347" s="17" t="inlineStr">
        <is>
          <t>기본 GMP 문서관리 대상</t>
        </is>
      </c>
      <c r="AU347" s="17" t="inlineStr">
        <is>
          <t>담당자 파악 후 접촉</t>
        </is>
      </c>
      <c r="AV347" s="17" t="inlineStr">
        <is>
          <t>GMP적합판정+KRX</t>
        </is>
      </c>
      <c r="AW347" s="17" t="inlineStr">
        <is>
          <t>2026-07-05</t>
        </is>
      </c>
    </row>
    <row r="348">
      <c r="A348" s="17" t="inlineStr">
        <is>
          <t>C347</t>
        </is>
      </c>
      <c r="B348" s="17" t="inlineStr">
        <is>
          <t>와이에스생명과학</t>
        </is>
      </c>
      <c r="C348" s="17" t="inlineStr">
        <is>
          <t>(주)와이에스생명과학</t>
        </is>
      </c>
      <c r="D348" s="17" t="n">
        <v>2</v>
      </c>
      <c r="E348" s="17" t="n">
        <v>2</v>
      </c>
      <c r="F348" s="17" t="inlineStr">
        <is>
          <t>Y</t>
        </is>
      </c>
      <c r="G348" s="17" t="inlineStr">
        <is>
          <t>Y</t>
        </is>
      </c>
      <c r="H348" s="17" t="inlineStr"/>
      <c r="I348" s="17" t="inlineStr"/>
      <c r="J348" s="24" t="n">
        <v>46433</v>
      </c>
      <c r="K348" s="17" t="inlineStr"/>
      <c r="L348" s="17" t="inlineStr"/>
      <c r="M348" s="17" t="inlineStr"/>
      <c r="N348" s="23" t="inlineStr"/>
      <c r="O348" s="17" t="inlineStr"/>
      <c r="P348" s="17" t="inlineStr"/>
      <c r="Q348" s="17" t="inlineStr">
        <is>
          <t>오창영</t>
        </is>
      </c>
      <c r="R348" s="17" t="inlineStr"/>
      <c r="S348" s="17" t="inlineStr"/>
      <c r="T348" s="17" t="inlineStr">
        <is>
          <t>070-4754-7383</t>
        </is>
      </c>
      <c r="U348" s="17" t="inlineStr">
        <is>
          <t>제조소상세</t>
        </is>
      </c>
      <c r="V348" s="22" t="inlineStr">
        <is>
          <t>미확인</t>
        </is>
      </c>
      <c r="W348" s="22" t="inlineStr">
        <is>
          <t>미확인</t>
        </is>
      </c>
      <c r="X348" s="22" t="inlineStr">
        <is>
          <t>미확인</t>
        </is>
      </c>
      <c r="Y348" s="22" t="inlineStr">
        <is>
          <t>미확인</t>
        </is>
      </c>
      <c r="Z348" s="22" t="inlineStr">
        <is>
          <t>미확인</t>
        </is>
      </c>
      <c r="AA348" s="22" t="inlineStr">
        <is>
          <t>미확인</t>
        </is>
      </c>
      <c r="AB348" s="22" t="inlineStr">
        <is>
          <t>미확인</t>
        </is>
      </c>
      <c r="AC348" s="22" t="inlineStr">
        <is>
          <t>미확인</t>
        </is>
      </c>
      <c r="AD348" s="22" t="inlineStr">
        <is>
          <t>미확인</t>
        </is>
      </c>
      <c r="AE348" s="22" t="inlineStr">
        <is>
          <t>미확인</t>
        </is>
      </c>
      <c r="AF348" s="22" t="inlineStr">
        <is>
          <t>미확인</t>
        </is>
      </c>
      <c r="AG348" s="22" t="inlineStr">
        <is>
          <t>미확인</t>
        </is>
      </c>
      <c r="AH348" s="22" t="inlineStr">
        <is>
          <t>미확인</t>
        </is>
      </c>
      <c r="AI348" s="22" t="inlineStr">
        <is>
          <t>미확인</t>
        </is>
      </c>
      <c r="AJ348" s="22" t="inlineStr">
        <is>
          <t>미확인</t>
        </is>
      </c>
      <c r="AK348" s="22" t="inlineStr">
        <is>
          <t>미확인</t>
        </is>
      </c>
      <c r="AL348" s="22" t="inlineStr">
        <is>
          <t>미확인</t>
        </is>
      </c>
      <c r="AM348" s="22" t="inlineStr">
        <is>
          <t>미확인</t>
        </is>
      </c>
      <c r="AN348" s="22" t="inlineStr">
        <is>
          <t>미확인</t>
        </is>
      </c>
      <c r="AO348" s="17" t="inlineStr">
        <is>
          <t>C(부분확인)</t>
        </is>
      </c>
      <c r="AP348" s="17" t="inlineStr">
        <is>
          <t>Y</t>
        </is>
      </c>
      <c r="AQ348" s="17" t="n">
        <v>11</v>
      </c>
      <c r="AR348" s="28" t="inlineStr">
        <is>
          <t>Tier D</t>
        </is>
      </c>
      <c r="AS348" s="17" t="inlineStr">
        <is>
          <t>통합형</t>
        </is>
      </c>
      <c r="AT348" s="17" t="inlineStr">
        <is>
          <t>다중 제조소/다수 판정서로 문서관리 복잡; 원료 제조로 시험실 관리 필요</t>
        </is>
      </c>
      <c r="AU348" s="17" t="inlineStr">
        <is>
          <t>담당자 파악 후 접촉</t>
        </is>
      </c>
      <c r="AV348" s="17" t="inlineStr">
        <is>
          <t>GMP적합판정+KRX</t>
        </is>
      </c>
      <c r="AW348" s="17" t="inlineStr">
        <is>
          <t>2026-07-05</t>
        </is>
      </c>
    </row>
    <row r="349">
      <c r="A349" s="17" t="inlineStr">
        <is>
          <t>C348</t>
        </is>
      </c>
      <c r="B349" s="17" t="inlineStr">
        <is>
          <t>대봉엘에스</t>
        </is>
      </c>
      <c r="C349" s="17" t="inlineStr">
        <is>
          <t>대봉엘에스(주)</t>
        </is>
      </c>
      <c r="D349" s="17" t="n">
        <v>1</v>
      </c>
      <c r="E349" s="17" t="n">
        <v>1</v>
      </c>
      <c r="F349" s="17" t="inlineStr"/>
      <c r="G349" s="17" t="inlineStr">
        <is>
          <t>Y</t>
        </is>
      </c>
      <c r="H349" s="17" t="inlineStr"/>
      <c r="I349" s="17" t="inlineStr"/>
      <c r="J349" s="24" t="n">
        <v>46453</v>
      </c>
      <c r="K349" s="17" t="inlineStr"/>
      <c r="L349" s="17" t="inlineStr">
        <is>
          <t>Y</t>
        </is>
      </c>
      <c r="M349" s="17" t="inlineStr">
        <is>
          <t>코스닥</t>
        </is>
      </c>
      <c r="N349" s="23" t="inlineStr">
        <is>
          <t>078140</t>
        </is>
      </c>
      <c r="O349" s="17" t="inlineStr">
        <is>
          <t>의약품 제조업</t>
        </is>
      </c>
      <c r="P349" s="17" t="inlineStr">
        <is>
          <t>원료의약품,화장품원료</t>
        </is>
      </c>
      <c r="Q349" s="17" t="inlineStr">
        <is>
          <t>박종호, 박진오</t>
        </is>
      </c>
      <c r="R349" s="17" t="inlineStr">
        <is>
          <t>http://www.daebongls.co.kr</t>
        </is>
      </c>
      <c r="S349" s="17" t="inlineStr">
        <is>
          <t>인천광역시</t>
        </is>
      </c>
      <c r="T349" s="17" t="inlineStr">
        <is>
          <t>032-817-8805</t>
        </is>
      </c>
      <c r="U349" s="17" t="inlineStr">
        <is>
          <t>제조소상세</t>
        </is>
      </c>
      <c r="V349" s="22" t="inlineStr">
        <is>
          <t>미확인</t>
        </is>
      </c>
      <c r="W349" s="22" t="inlineStr">
        <is>
          <t>미확인</t>
        </is>
      </c>
      <c r="X349" s="22" t="inlineStr">
        <is>
          <t>미확인</t>
        </is>
      </c>
      <c r="Y349" s="22" t="inlineStr">
        <is>
          <t>미확인</t>
        </is>
      </c>
      <c r="Z349" s="22" t="inlineStr">
        <is>
          <t>미확인</t>
        </is>
      </c>
      <c r="AA349" s="22" t="inlineStr">
        <is>
          <t>미확인</t>
        </is>
      </c>
      <c r="AB349" s="22" t="inlineStr">
        <is>
          <t>미확인</t>
        </is>
      </c>
      <c r="AC349" s="22" t="inlineStr">
        <is>
          <t>미확인</t>
        </is>
      </c>
      <c r="AD349" s="22" t="inlineStr">
        <is>
          <t>미확인</t>
        </is>
      </c>
      <c r="AE349" s="22" t="inlineStr">
        <is>
          <t>미확인</t>
        </is>
      </c>
      <c r="AF349" s="22" t="inlineStr">
        <is>
          <t>미확인</t>
        </is>
      </c>
      <c r="AG349" s="22" t="inlineStr">
        <is>
          <t>미확인</t>
        </is>
      </c>
      <c r="AH349" s="22" t="inlineStr">
        <is>
          <t>미확인</t>
        </is>
      </c>
      <c r="AI349" s="22" t="inlineStr">
        <is>
          <t>미확인</t>
        </is>
      </c>
      <c r="AJ349" s="22" t="inlineStr">
        <is>
          <t>미확인</t>
        </is>
      </c>
      <c r="AK349" s="22" t="inlineStr">
        <is>
          <t>미확인</t>
        </is>
      </c>
      <c r="AL349" s="22" t="inlineStr">
        <is>
          <t>미확인</t>
        </is>
      </c>
      <c r="AM349" s="22" t="inlineStr">
        <is>
          <t>미확인</t>
        </is>
      </c>
      <c r="AN349" s="22" t="inlineStr">
        <is>
          <t>미확인</t>
        </is>
      </c>
      <c r="AO349" s="17" t="inlineStr">
        <is>
          <t>C(부분확인)</t>
        </is>
      </c>
      <c r="AP349" s="17" t="inlineStr">
        <is>
          <t>Y</t>
        </is>
      </c>
      <c r="AQ349" s="17" t="n">
        <v>10</v>
      </c>
      <c r="AR349" s="28" t="inlineStr">
        <is>
          <t>Tier D</t>
        </is>
      </c>
      <c r="AS349" s="17" t="inlineStr">
        <is>
          <t>QMS+LIMS</t>
        </is>
      </c>
      <c r="AT349" s="17" t="inlineStr">
        <is>
          <t>원료 제조로 시험실 관리 필요</t>
        </is>
      </c>
      <c r="AU349" s="17" t="inlineStr">
        <is>
          <t>담당자 파악 후 접촉</t>
        </is>
      </c>
      <c r="AV349" s="17" t="inlineStr">
        <is>
          <t>GMP적합판정+KRX</t>
        </is>
      </c>
      <c r="AW349" s="17" t="inlineStr">
        <is>
          <t>2026-07-05</t>
        </is>
      </c>
    </row>
    <row r="350">
      <c r="A350" s="17" t="inlineStr">
        <is>
          <t>C349</t>
        </is>
      </c>
      <c r="B350" s="17" t="inlineStr">
        <is>
          <t>에스케이에어플러스</t>
        </is>
      </c>
      <c r="C350" s="17" t="inlineStr">
        <is>
          <t>에스케이에어플러스 주식회사</t>
        </is>
      </c>
      <c r="D350" s="17" t="n">
        <v>1</v>
      </c>
      <c r="E350" s="17" t="n">
        <v>1</v>
      </c>
      <c r="F350" s="17" t="inlineStr">
        <is>
          <t>Y</t>
        </is>
      </c>
      <c r="G350" s="17" t="inlineStr"/>
      <c r="H350" s="17" t="inlineStr"/>
      <c r="I350" s="17" t="inlineStr"/>
      <c r="J350" s="24" t="n">
        <v>46452</v>
      </c>
      <c r="K350" s="17" t="inlineStr"/>
      <c r="L350" s="17" t="inlineStr"/>
      <c r="M350" s="17" t="inlineStr"/>
      <c r="N350" s="23" t="inlineStr"/>
      <c r="O350" s="17" t="inlineStr"/>
      <c r="P350" s="17" t="inlineStr"/>
      <c r="Q350" s="17" t="inlineStr">
        <is>
          <t>오종진</t>
        </is>
      </c>
      <c r="R350" s="17" t="inlineStr"/>
      <c r="S350" s="17" t="inlineStr"/>
      <c r="T350" s="17" t="inlineStr">
        <is>
          <t>052-256-1641</t>
        </is>
      </c>
      <c r="U350" s="17" t="inlineStr">
        <is>
          <t>제조소상세</t>
        </is>
      </c>
      <c r="V350" s="22" t="inlineStr">
        <is>
          <t>미확인</t>
        </is>
      </c>
      <c r="W350" s="22" t="inlineStr">
        <is>
          <t>미확인</t>
        </is>
      </c>
      <c r="X350" s="22" t="inlineStr">
        <is>
          <t>미확인</t>
        </is>
      </c>
      <c r="Y350" s="22" t="inlineStr">
        <is>
          <t>미확인</t>
        </is>
      </c>
      <c r="Z350" s="22" t="inlineStr">
        <is>
          <t>미확인</t>
        </is>
      </c>
      <c r="AA350" s="22" t="inlineStr">
        <is>
          <t>미확인</t>
        </is>
      </c>
      <c r="AB350" s="22" t="inlineStr">
        <is>
          <t>미확인</t>
        </is>
      </c>
      <c r="AC350" s="22" t="inlineStr">
        <is>
          <t>미확인</t>
        </is>
      </c>
      <c r="AD350" s="22" t="inlineStr">
        <is>
          <t>미확인</t>
        </is>
      </c>
      <c r="AE350" s="22" t="inlineStr">
        <is>
          <t>미확인</t>
        </is>
      </c>
      <c r="AF350" s="22" t="inlineStr">
        <is>
          <t>미확인</t>
        </is>
      </c>
      <c r="AG350" s="22" t="inlineStr">
        <is>
          <t>미확인</t>
        </is>
      </c>
      <c r="AH350" s="22" t="inlineStr">
        <is>
          <t>미확인</t>
        </is>
      </c>
      <c r="AI350" s="22" t="inlineStr">
        <is>
          <t>미확인</t>
        </is>
      </c>
      <c r="AJ350" s="22" t="inlineStr">
        <is>
          <t>미확인</t>
        </is>
      </c>
      <c r="AK350" s="22" t="inlineStr">
        <is>
          <t>미확인</t>
        </is>
      </c>
      <c r="AL350" s="22" t="inlineStr">
        <is>
          <t>미확인</t>
        </is>
      </c>
      <c r="AM350" s="22" t="inlineStr">
        <is>
          <t>미확인</t>
        </is>
      </c>
      <c r="AN350" s="22" t="inlineStr">
        <is>
          <t>미확인</t>
        </is>
      </c>
      <c r="AO350" s="17" t="inlineStr">
        <is>
          <t>C(부분확인)</t>
        </is>
      </c>
      <c r="AP350" s="17" t="inlineStr">
        <is>
          <t>Y</t>
        </is>
      </c>
      <c r="AQ350" s="17" t="n">
        <v>7</v>
      </c>
      <c r="AR350" s="28" t="inlineStr">
        <is>
          <t>Tier D</t>
        </is>
      </c>
      <c r="AS350" s="17" t="inlineStr">
        <is>
          <t>QMS</t>
        </is>
      </c>
      <c r="AT350" s="17" t="inlineStr">
        <is>
          <t>기본 GMP 문서관리 대상</t>
        </is>
      </c>
      <c r="AU350" s="17" t="inlineStr">
        <is>
          <t>담당자 파악 후 접촉</t>
        </is>
      </c>
      <c r="AV350" s="17" t="inlineStr">
        <is>
          <t>GMP적합판정+KRX</t>
        </is>
      </c>
      <c r="AW350" s="17" t="inlineStr">
        <is>
          <t>2026-07-05</t>
        </is>
      </c>
    </row>
    <row r="351">
      <c r="A351" s="17" t="inlineStr">
        <is>
          <t>C350</t>
        </is>
      </c>
      <c r="B351" s="17" t="inlineStr">
        <is>
          <t>테고사이언스</t>
        </is>
      </c>
      <c r="C351" s="17" t="inlineStr">
        <is>
          <t>테고사이언스(주)</t>
        </is>
      </c>
      <c r="D351" s="17" t="n">
        <v>1</v>
      </c>
      <c r="E351" s="17" t="n">
        <v>1</v>
      </c>
      <c r="F351" s="17" t="inlineStr">
        <is>
          <t>Y</t>
        </is>
      </c>
      <c r="G351" s="17" t="inlineStr"/>
      <c r="H351" s="17" t="inlineStr">
        <is>
          <t>Y</t>
        </is>
      </c>
      <c r="I351" s="17" t="inlineStr">
        <is>
          <t>Y</t>
        </is>
      </c>
      <c r="J351" s="24" t="n">
        <v>46452</v>
      </c>
      <c r="K351" s="17" t="inlineStr"/>
      <c r="L351" s="17" t="inlineStr">
        <is>
          <t>Y</t>
        </is>
      </c>
      <c r="M351" s="17" t="inlineStr">
        <is>
          <t>코스닥</t>
        </is>
      </c>
      <c r="N351" s="23" t="inlineStr">
        <is>
          <t>191420</t>
        </is>
      </c>
      <c r="O351" s="17" t="inlineStr">
        <is>
          <t>기초 의약물질 제조업</t>
        </is>
      </c>
      <c r="P351" s="17" t="inlineStr">
        <is>
          <t>피부세포치료제</t>
        </is>
      </c>
      <c r="Q351" s="17" t="inlineStr">
        <is>
          <t>전세화</t>
        </is>
      </c>
      <c r="R351" s="17" t="inlineStr">
        <is>
          <t>http://www.tegoscience.com</t>
        </is>
      </c>
      <c r="S351" s="17" t="inlineStr">
        <is>
          <t>서울특별시</t>
        </is>
      </c>
      <c r="T351" s="17" t="inlineStr">
        <is>
          <t>02-818-2927</t>
        </is>
      </c>
      <c r="U351" s="17" t="inlineStr">
        <is>
          <t>제조소상세</t>
        </is>
      </c>
      <c r="V351" s="22" t="inlineStr">
        <is>
          <t>미확인</t>
        </is>
      </c>
      <c r="W351" s="22" t="inlineStr">
        <is>
          <t>미확인</t>
        </is>
      </c>
      <c r="X351" s="22" t="inlineStr">
        <is>
          <t>미확인</t>
        </is>
      </c>
      <c r="Y351" s="22" t="inlineStr">
        <is>
          <t>미확인</t>
        </is>
      </c>
      <c r="Z351" s="22" t="inlineStr">
        <is>
          <t>미확인</t>
        </is>
      </c>
      <c r="AA351" s="22" t="inlineStr">
        <is>
          <t>미확인</t>
        </is>
      </c>
      <c r="AB351" s="22" t="inlineStr">
        <is>
          <t>미확인</t>
        </is>
      </c>
      <c r="AC351" s="22" t="inlineStr">
        <is>
          <t>미확인</t>
        </is>
      </c>
      <c r="AD351" s="22" t="inlineStr">
        <is>
          <t>미확인</t>
        </is>
      </c>
      <c r="AE351" s="22" t="inlineStr">
        <is>
          <t>미확인</t>
        </is>
      </c>
      <c r="AF351" s="22" t="inlineStr">
        <is>
          <t>미확인</t>
        </is>
      </c>
      <c r="AG351" s="22" t="inlineStr">
        <is>
          <t>미확인</t>
        </is>
      </c>
      <c r="AH351" s="22" t="inlineStr">
        <is>
          <t>미확인</t>
        </is>
      </c>
      <c r="AI351" s="22" t="inlineStr">
        <is>
          <t>미확인</t>
        </is>
      </c>
      <c r="AJ351" s="22" t="inlineStr">
        <is>
          <t>미확인</t>
        </is>
      </c>
      <c r="AK351" s="22" t="inlineStr">
        <is>
          <t>미확인</t>
        </is>
      </c>
      <c r="AL351" s="22" t="inlineStr">
        <is>
          <t>미확인</t>
        </is>
      </c>
      <c r="AM351" s="22" t="inlineStr">
        <is>
          <t>미확인</t>
        </is>
      </c>
      <c r="AN351" s="22" t="inlineStr">
        <is>
          <t>미확인</t>
        </is>
      </c>
      <c r="AO351" s="17" t="inlineStr">
        <is>
          <t>C(부분확인)</t>
        </is>
      </c>
      <c r="AP351" s="17" t="inlineStr">
        <is>
          <t>Y</t>
        </is>
      </c>
      <c r="AQ351" s="17" t="n">
        <v>25</v>
      </c>
      <c r="AR351" s="28" t="inlineStr">
        <is>
          <t>Tier D</t>
        </is>
      </c>
      <c r="AS351" s="17" t="inlineStr">
        <is>
          <t>QMS+LIMS</t>
        </is>
      </c>
      <c r="AT351" s="17" t="inlineStr">
        <is>
          <t>무균/바이오 제조로 품질관리 난도 높음</t>
        </is>
      </c>
      <c r="AU351" s="17" t="inlineStr">
        <is>
          <t>담당자 파악 후 접촉</t>
        </is>
      </c>
      <c r="AV351" s="17" t="inlineStr">
        <is>
          <t>GMP적합판정+KRX</t>
        </is>
      </c>
      <c r="AW351" s="17" t="inlineStr">
        <is>
          <t>2026-07-05</t>
        </is>
      </c>
    </row>
    <row r="352">
      <c r="A352" s="17" t="inlineStr">
        <is>
          <t>C351</t>
        </is>
      </c>
      <c r="B352" s="17" t="inlineStr">
        <is>
          <t>코오롱제약</t>
        </is>
      </c>
      <c r="C352" s="17" t="inlineStr">
        <is>
          <t>코오롱제약(주)</t>
        </is>
      </c>
      <c r="D352" s="17" t="n">
        <v>1</v>
      </c>
      <c r="E352" s="17" t="n">
        <v>1</v>
      </c>
      <c r="F352" s="17" t="inlineStr">
        <is>
          <t>Y</t>
        </is>
      </c>
      <c r="G352" s="17" t="inlineStr"/>
      <c r="H352" s="17" t="inlineStr"/>
      <c r="I352" s="17" t="inlineStr"/>
      <c r="J352" s="24" t="n">
        <v>46446</v>
      </c>
      <c r="K352" s="17" t="inlineStr"/>
      <c r="L352" s="17" t="inlineStr"/>
      <c r="M352" s="17" t="inlineStr"/>
      <c r="N352" s="23" t="inlineStr"/>
      <c r="O352" s="17" t="inlineStr"/>
      <c r="P352" s="17" t="inlineStr"/>
      <c r="Q352" s="17" t="inlineStr">
        <is>
          <t>전승호</t>
        </is>
      </c>
      <c r="R352" s="17" t="inlineStr"/>
      <c r="S352" s="17" t="inlineStr"/>
      <c r="T352" s="17" t="inlineStr">
        <is>
          <t>042-930-5710</t>
        </is>
      </c>
      <c r="U352" s="17" t="inlineStr">
        <is>
          <t>제조소상세</t>
        </is>
      </c>
      <c r="V352" s="22" t="inlineStr">
        <is>
          <t>미확인</t>
        </is>
      </c>
      <c r="W352" s="22" t="inlineStr">
        <is>
          <t>미확인</t>
        </is>
      </c>
      <c r="X352" s="22" t="inlineStr">
        <is>
          <t>미확인</t>
        </is>
      </c>
      <c r="Y352" s="22" t="inlineStr">
        <is>
          <t>미확인</t>
        </is>
      </c>
      <c r="Z352" s="22" t="inlineStr">
        <is>
          <t>미확인</t>
        </is>
      </c>
      <c r="AA352" s="22" t="inlineStr">
        <is>
          <t>미확인</t>
        </is>
      </c>
      <c r="AB352" s="22" t="inlineStr">
        <is>
          <t>미확인</t>
        </is>
      </c>
      <c r="AC352" s="22" t="inlineStr">
        <is>
          <t>미확인</t>
        </is>
      </c>
      <c r="AD352" s="22" t="inlineStr">
        <is>
          <t>미확인</t>
        </is>
      </c>
      <c r="AE352" s="22" t="inlineStr">
        <is>
          <t>미확인</t>
        </is>
      </c>
      <c r="AF352" s="22" t="inlineStr">
        <is>
          <t>미확인</t>
        </is>
      </c>
      <c r="AG352" s="22" t="inlineStr">
        <is>
          <t>미확인</t>
        </is>
      </c>
      <c r="AH352" s="22" t="inlineStr">
        <is>
          <t>미확인</t>
        </is>
      </c>
      <c r="AI352" s="22" t="inlineStr">
        <is>
          <t>미확인</t>
        </is>
      </c>
      <c r="AJ352" s="22" t="inlineStr">
        <is>
          <t>미확인</t>
        </is>
      </c>
      <c r="AK352" s="22" t="inlineStr">
        <is>
          <t>미확인</t>
        </is>
      </c>
      <c r="AL352" s="22" t="inlineStr">
        <is>
          <t>미확인</t>
        </is>
      </c>
      <c r="AM352" s="22" t="inlineStr">
        <is>
          <t>미확인</t>
        </is>
      </c>
      <c r="AN352" s="22" t="inlineStr">
        <is>
          <t>미확인</t>
        </is>
      </c>
      <c r="AO352" s="17" t="inlineStr">
        <is>
          <t>C(부분확인)</t>
        </is>
      </c>
      <c r="AP352" s="17" t="inlineStr">
        <is>
          <t>Y</t>
        </is>
      </c>
      <c r="AQ352" s="17" t="n">
        <v>7</v>
      </c>
      <c r="AR352" s="28" t="inlineStr">
        <is>
          <t>Tier D</t>
        </is>
      </c>
      <c r="AS352" s="17" t="inlineStr">
        <is>
          <t>QMS</t>
        </is>
      </c>
      <c r="AT352" s="17" t="inlineStr">
        <is>
          <t>기본 GMP 문서관리 대상</t>
        </is>
      </c>
      <c r="AU352" s="17" t="inlineStr">
        <is>
          <t>담당자 파악 후 접촉</t>
        </is>
      </c>
      <c r="AV352" s="17" t="inlineStr">
        <is>
          <t>GMP적합판정+KRX</t>
        </is>
      </c>
      <c r="AW352" s="17" t="inlineStr">
        <is>
          <t>2026-07-05</t>
        </is>
      </c>
    </row>
    <row r="353">
      <c r="A353" s="17" t="inlineStr">
        <is>
          <t>C352</t>
        </is>
      </c>
      <c r="B353" s="17" t="inlineStr">
        <is>
          <t>지엘파마</t>
        </is>
      </c>
      <c r="C353" s="17" t="inlineStr">
        <is>
          <t>지엘파마(주)</t>
        </is>
      </c>
      <c r="D353" s="17" t="n">
        <v>1</v>
      </c>
      <c r="E353" s="17" t="n">
        <v>1</v>
      </c>
      <c r="F353" s="17" t="inlineStr">
        <is>
          <t>Y</t>
        </is>
      </c>
      <c r="G353" s="17" t="inlineStr"/>
      <c r="H353" s="17" t="inlineStr"/>
      <c r="I353" s="17" t="inlineStr"/>
      <c r="J353" s="24" t="n">
        <v>46445</v>
      </c>
      <c r="K353" s="17" t="inlineStr"/>
      <c r="L353" s="17" t="inlineStr"/>
      <c r="M353" s="17" t="inlineStr"/>
      <c r="N353" s="23" t="inlineStr"/>
      <c r="O353" s="17" t="inlineStr"/>
      <c r="P353" s="17" t="inlineStr"/>
      <c r="Q353" s="17" t="inlineStr">
        <is>
          <t>진성필</t>
        </is>
      </c>
      <c r="R353" s="17" t="inlineStr"/>
      <c r="S353" s="17" t="inlineStr"/>
      <c r="T353" s="17" t="inlineStr">
        <is>
          <t>031-4433-9212</t>
        </is>
      </c>
      <c r="U353" s="17" t="inlineStr">
        <is>
          <t>제조소상세</t>
        </is>
      </c>
      <c r="V353" s="22" t="inlineStr">
        <is>
          <t>미확인</t>
        </is>
      </c>
      <c r="W353" s="22" t="inlineStr">
        <is>
          <t>미확인</t>
        </is>
      </c>
      <c r="X353" s="22" t="inlineStr">
        <is>
          <t>미확인</t>
        </is>
      </c>
      <c r="Y353" s="22" t="inlineStr">
        <is>
          <t>미확인</t>
        </is>
      </c>
      <c r="Z353" s="22" t="inlineStr">
        <is>
          <t>미확인</t>
        </is>
      </c>
      <c r="AA353" s="22" t="inlineStr">
        <is>
          <t>미확인</t>
        </is>
      </c>
      <c r="AB353" s="22" t="inlineStr">
        <is>
          <t>미확인</t>
        </is>
      </c>
      <c r="AC353" s="22" t="inlineStr">
        <is>
          <t>미확인</t>
        </is>
      </c>
      <c r="AD353" s="22" t="inlineStr">
        <is>
          <t>미확인</t>
        </is>
      </c>
      <c r="AE353" s="22" t="inlineStr">
        <is>
          <t>미확인</t>
        </is>
      </c>
      <c r="AF353" s="22" t="inlineStr">
        <is>
          <t>미확인</t>
        </is>
      </c>
      <c r="AG353" s="22" t="inlineStr">
        <is>
          <t>미확인</t>
        </is>
      </c>
      <c r="AH353" s="22" t="inlineStr">
        <is>
          <t>미확인</t>
        </is>
      </c>
      <c r="AI353" s="22" t="inlineStr">
        <is>
          <t>미확인</t>
        </is>
      </c>
      <c r="AJ353" s="22" t="inlineStr">
        <is>
          <t>미확인</t>
        </is>
      </c>
      <c r="AK353" s="22" t="inlineStr">
        <is>
          <t>미확인</t>
        </is>
      </c>
      <c r="AL353" s="22" t="inlineStr">
        <is>
          <t>미확인</t>
        </is>
      </c>
      <c r="AM353" s="22" t="inlineStr">
        <is>
          <t>미확인</t>
        </is>
      </c>
      <c r="AN353" s="22" t="inlineStr">
        <is>
          <t>미확인</t>
        </is>
      </c>
      <c r="AO353" s="17" t="inlineStr">
        <is>
          <t>C(부분확인)</t>
        </is>
      </c>
      <c r="AP353" s="17" t="inlineStr">
        <is>
          <t>Y</t>
        </is>
      </c>
      <c r="AQ353" s="17" t="n">
        <v>7</v>
      </c>
      <c r="AR353" s="28" t="inlineStr">
        <is>
          <t>Tier D</t>
        </is>
      </c>
      <c r="AS353" s="17" t="inlineStr">
        <is>
          <t>QMS</t>
        </is>
      </c>
      <c r="AT353" s="17" t="inlineStr">
        <is>
          <t>기본 GMP 문서관리 대상</t>
        </is>
      </c>
      <c r="AU353" s="17" t="inlineStr">
        <is>
          <t>담당자 파악 후 접촉</t>
        </is>
      </c>
      <c r="AV353" s="17" t="inlineStr">
        <is>
          <t>GMP적합판정+KRX</t>
        </is>
      </c>
      <c r="AW353" s="17" t="inlineStr">
        <is>
          <t>2026-07-05</t>
        </is>
      </c>
    </row>
    <row r="354">
      <c r="A354" s="17" t="inlineStr">
        <is>
          <t>C353</t>
        </is>
      </c>
      <c r="B354" s="17" t="inlineStr">
        <is>
          <t>우진비앤지</t>
        </is>
      </c>
      <c r="C354" s="17" t="inlineStr">
        <is>
          <t>우진비앤지(주)</t>
        </is>
      </c>
      <c r="D354" s="17" t="n">
        <v>1</v>
      </c>
      <c r="E354" s="17" t="n">
        <v>1</v>
      </c>
      <c r="F354" s="17" t="inlineStr"/>
      <c r="G354" s="17" t="inlineStr">
        <is>
          <t>Y</t>
        </is>
      </c>
      <c r="H354" s="17" t="inlineStr"/>
      <c r="I354" s="17" t="inlineStr"/>
      <c r="J354" s="24" t="n">
        <v>46445</v>
      </c>
      <c r="K354" s="17" t="inlineStr"/>
      <c r="L354" s="17" t="inlineStr">
        <is>
          <t>Y</t>
        </is>
      </c>
      <c r="M354" s="17" t="inlineStr">
        <is>
          <t>코스닥</t>
        </is>
      </c>
      <c r="N354" s="23" t="inlineStr">
        <is>
          <t>018620</t>
        </is>
      </c>
      <c r="O354" s="17" t="inlineStr">
        <is>
          <t>의약품 제조업</t>
        </is>
      </c>
      <c r="P354" s="17" t="inlineStr">
        <is>
          <t>슈퍼티아, 안티펜SM</t>
        </is>
      </c>
      <c r="Q354" s="17" t="inlineStr">
        <is>
          <t>강재구</t>
        </is>
      </c>
      <c r="R354" s="17" t="inlineStr">
        <is>
          <t>http://www.woogenebng.com</t>
        </is>
      </c>
      <c r="S354" s="17" t="inlineStr">
        <is>
          <t>경기도</t>
        </is>
      </c>
      <c r="T354" s="17" t="inlineStr">
        <is>
          <t>031-352-0185</t>
        </is>
      </c>
      <c r="U354" s="17" t="inlineStr">
        <is>
          <t>제조소상세</t>
        </is>
      </c>
      <c r="V354" s="22" t="inlineStr">
        <is>
          <t>미확인</t>
        </is>
      </c>
      <c r="W354" s="22" t="inlineStr">
        <is>
          <t>미확인</t>
        </is>
      </c>
      <c r="X354" s="22" t="inlineStr">
        <is>
          <t>미확인</t>
        </is>
      </c>
      <c r="Y354" s="22" t="inlineStr">
        <is>
          <t>미확인</t>
        </is>
      </c>
      <c r="Z354" s="22" t="inlineStr">
        <is>
          <t>미확인</t>
        </is>
      </c>
      <c r="AA354" s="22" t="inlineStr">
        <is>
          <t>미확인</t>
        </is>
      </c>
      <c r="AB354" s="22" t="inlineStr">
        <is>
          <t>미확인</t>
        </is>
      </c>
      <c r="AC354" s="22" t="inlineStr">
        <is>
          <t>미확인</t>
        </is>
      </c>
      <c r="AD354" s="22" t="inlineStr">
        <is>
          <t>미확인</t>
        </is>
      </c>
      <c r="AE354" s="22" t="inlineStr">
        <is>
          <t>미확인</t>
        </is>
      </c>
      <c r="AF354" s="22" t="inlineStr">
        <is>
          <t>미확인</t>
        </is>
      </c>
      <c r="AG354" s="22" t="inlineStr">
        <is>
          <t>미확인</t>
        </is>
      </c>
      <c r="AH354" s="22" t="inlineStr">
        <is>
          <t>미확인</t>
        </is>
      </c>
      <c r="AI354" s="22" t="inlineStr">
        <is>
          <t>미확인</t>
        </is>
      </c>
      <c r="AJ354" s="22" t="inlineStr">
        <is>
          <t>미확인</t>
        </is>
      </c>
      <c r="AK354" s="22" t="inlineStr">
        <is>
          <t>미확인</t>
        </is>
      </c>
      <c r="AL354" s="22" t="inlineStr">
        <is>
          <t>미확인</t>
        </is>
      </c>
      <c r="AM354" s="22" t="inlineStr">
        <is>
          <t>미확인</t>
        </is>
      </c>
      <c r="AN354" s="22" t="inlineStr">
        <is>
          <t>미확인</t>
        </is>
      </c>
      <c r="AO354" s="17" t="inlineStr">
        <is>
          <t>C(부분확인)</t>
        </is>
      </c>
      <c r="AP354" s="17" t="inlineStr">
        <is>
          <t>Y</t>
        </is>
      </c>
      <c r="AQ354" s="17" t="n">
        <v>10</v>
      </c>
      <c r="AR354" s="28" t="inlineStr">
        <is>
          <t>Tier D</t>
        </is>
      </c>
      <c r="AS354" s="17" t="inlineStr">
        <is>
          <t>QMS+LIMS</t>
        </is>
      </c>
      <c r="AT354" s="17" t="inlineStr">
        <is>
          <t>원료 제조로 시험실 관리 필요</t>
        </is>
      </c>
      <c r="AU354" s="17" t="inlineStr">
        <is>
          <t>담당자 파악 후 접촉</t>
        </is>
      </c>
      <c r="AV354" s="17" t="inlineStr">
        <is>
          <t>GMP적합판정+KRX</t>
        </is>
      </c>
      <c r="AW354" s="17" t="inlineStr">
        <is>
          <t>2026-07-05</t>
        </is>
      </c>
    </row>
    <row r="355">
      <c r="A355" s="17" t="inlineStr">
        <is>
          <t>C354</t>
        </is>
      </c>
      <c r="B355" s="17" t="inlineStr">
        <is>
          <t>씨엠지제약</t>
        </is>
      </c>
      <c r="C355" s="17" t="inlineStr">
        <is>
          <t>(주)씨엠지제약</t>
        </is>
      </c>
      <c r="D355" s="17" t="n">
        <v>1</v>
      </c>
      <c r="E355" s="17" t="n">
        <v>1</v>
      </c>
      <c r="F355" s="17" t="inlineStr">
        <is>
          <t>Y</t>
        </is>
      </c>
      <c r="G355" s="17" t="inlineStr"/>
      <c r="H355" s="17" t="inlineStr"/>
      <c r="I355" s="17" t="inlineStr"/>
      <c r="J355" s="24" t="n">
        <v>46439</v>
      </c>
      <c r="K355" s="17" t="inlineStr"/>
      <c r="L355" s="17" t="inlineStr"/>
      <c r="M355" s="17" t="inlineStr"/>
      <c r="N355" s="23" t="inlineStr"/>
      <c r="O355" s="17" t="inlineStr"/>
      <c r="P355" s="17" t="inlineStr"/>
      <c r="Q355" s="17" t="inlineStr">
        <is>
          <t>이주형</t>
        </is>
      </c>
      <c r="R355" s="17" t="inlineStr"/>
      <c r="S355" s="17" t="inlineStr"/>
      <c r="T355" s="17" t="inlineStr">
        <is>
          <t>미확인</t>
        </is>
      </c>
      <c r="U355" s="17" t="inlineStr">
        <is>
          <t>미확인</t>
        </is>
      </c>
      <c r="V355" s="22" t="inlineStr">
        <is>
          <t>미확인</t>
        </is>
      </c>
      <c r="W355" s="22" t="inlineStr">
        <is>
          <t>미확인</t>
        </is>
      </c>
      <c r="X355" s="22" t="inlineStr">
        <is>
          <t>미확인</t>
        </is>
      </c>
      <c r="Y355" s="22" t="inlineStr">
        <is>
          <t>미확인</t>
        </is>
      </c>
      <c r="Z355" s="22" t="inlineStr">
        <is>
          <t>미확인</t>
        </is>
      </c>
      <c r="AA355" s="22" t="inlineStr">
        <is>
          <t>미확인</t>
        </is>
      </c>
      <c r="AB355" s="22" t="inlineStr">
        <is>
          <t>미확인</t>
        </is>
      </c>
      <c r="AC355" s="22" t="inlineStr">
        <is>
          <t>미확인</t>
        </is>
      </c>
      <c r="AD355" s="22" t="inlineStr">
        <is>
          <t>미확인</t>
        </is>
      </c>
      <c r="AE355" s="22" t="inlineStr">
        <is>
          <t>미확인</t>
        </is>
      </c>
      <c r="AF355" s="22" t="inlineStr">
        <is>
          <t>미확인</t>
        </is>
      </c>
      <c r="AG355" s="22" t="inlineStr">
        <is>
          <t>미확인</t>
        </is>
      </c>
      <c r="AH355" s="22" t="inlineStr">
        <is>
          <t>미확인</t>
        </is>
      </c>
      <c r="AI355" s="22" t="inlineStr">
        <is>
          <t>미확인</t>
        </is>
      </c>
      <c r="AJ355" s="22" t="inlineStr">
        <is>
          <t>미확인</t>
        </is>
      </c>
      <c r="AK355" s="22" t="inlineStr">
        <is>
          <t>미확인</t>
        </is>
      </c>
      <c r="AL355" s="22" t="inlineStr">
        <is>
          <t>미확인</t>
        </is>
      </c>
      <c r="AM355" s="22" t="inlineStr">
        <is>
          <t>미확인</t>
        </is>
      </c>
      <c r="AN355" s="22" t="inlineStr">
        <is>
          <t>미확인</t>
        </is>
      </c>
      <c r="AO355" s="17" t="inlineStr">
        <is>
          <t>C(부분확인)</t>
        </is>
      </c>
      <c r="AP355" s="17" t="inlineStr">
        <is>
          <t>Y</t>
        </is>
      </c>
      <c r="AQ355" s="17" t="n">
        <v>7</v>
      </c>
      <c r="AR355" s="28" t="inlineStr">
        <is>
          <t>Tier D</t>
        </is>
      </c>
      <c r="AS355" s="17" t="inlineStr">
        <is>
          <t>QMS</t>
        </is>
      </c>
      <c r="AT355" s="17" t="inlineStr">
        <is>
          <t>기본 GMP 문서관리 대상</t>
        </is>
      </c>
      <c r="AU355" s="17" t="inlineStr">
        <is>
          <t>담당자 파악 후 접촉</t>
        </is>
      </c>
      <c r="AV355" s="17" t="inlineStr">
        <is>
          <t>GMP적합판정+KRX</t>
        </is>
      </c>
      <c r="AW355" s="17" t="inlineStr">
        <is>
          <t>2026-07-05</t>
        </is>
      </c>
    </row>
    <row r="356">
      <c r="A356" s="17" t="inlineStr">
        <is>
          <t>C355</t>
        </is>
      </c>
      <c r="B356" s="17" t="inlineStr">
        <is>
          <t>제일제약</t>
        </is>
      </c>
      <c r="C356" s="17" t="inlineStr">
        <is>
          <t>(주)제일제약</t>
        </is>
      </c>
      <c r="D356" s="17" t="n">
        <v>1</v>
      </c>
      <c r="E356" s="17" t="n">
        <v>1</v>
      </c>
      <c r="F356" s="17" t="inlineStr">
        <is>
          <t>Y</t>
        </is>
      </c>
      <c r="G356" s="17" t="inlineStr"/>
      <c r="H356" s="17" t="inlineStr">
        <is>
          <t>Y</t>
        </is>
      </c>
      <c r="I356" s="17" t="inlineStr"/>
      <c r="J356" s="24" t="n">
        <v>46433</v>
      </c>
      <c r="K356" s="17" t="inlineStr"/>
      <c r="L356" s="17" t="inlineStr"/>
      <c r="M356" s="17" t="inlineStr"/>
      <c r="N356" s="23" t="inlineStr"/>
      <c r="O356" s="17" t="inlineStr"/>
      <c r="P356" s="17" t="inlineStr"/>
      <c r="Q356" s="17" t="inlineStr">
        <is>
          <t>경훈표</t>
        </is>
      </c>
      <c r="R356" s="17" t="inlineStr"/>
      <c r="S356" s="17" t="inlineStr"/>
      <c r="T356" s="17" t="inlineStr">
        <is>
          <t>053-5836-2268</t>
        </is>
      </c>
      <c r="U356" s="17" t="inlineStr">
        <is>
          <t>제조소상세</t>
        </is>
      </c>
      <c r="V356" s="22" t="inlineStr">
        <is>
          <t>미확인</t>
        </is>
      </c>
      <c r="W356" s="22" t="inlineStr">
        <is>
          <t>미확인</t>
        </is>
      </c>
      <c r="X356" s="22" t="inlineStr">
        <is>
          <t>미확인</t>
        </is>
      </c>
      <c r="Y356" s="22" t="inlineStr">
        <is>
          <t>미확인</t>
        </is>
      </c>
      <c r="Z356" s="22" t="inlineStr">
        <is>
          <t>미확인</t>
        </is>
      </c>
      <c r="AA356" s="22" t="inlineStr">
        <is>
          <t>미확인</t>
        </is>
      </c>
      <c r="AB356" s="22" t="inlineStr">
        <is>
          <t>미확인</t>
        </is>
      </c>
      <c r="AC356" s="22" t="inlineStr">
        <is>
          <t>미확인</t>
        </is>
      </c>
      <c r="AD356" s="22" t="inlineStr">
        <is>
          <t>미확인</t>
        </is>
      </c>
      <c r="AE356" s="22" t="inlineStr">
        <is>
          <t>미확인</t>
        </is>
      </c>
      <c r="AF356" s="22" t="inlineStr">
        <is>
          <t>미확인</t>
        </is>
      </c>
      <c r="AG356" s="22" t="inlineStr">
        <is>
          <t>미확인</t>
        </is>
      </c>
      <c r="AH356" s="22" t="inlineStr">
        <is>
          <t>미확인</t>
        </is>
      </c>
      <c r="AI356" s="22" t="inlineStr">
        <is>
          <t>미확인</t>
        </is>
      </c>
      <c r="AJ356" s="22" t="inlineStr">
        <is>
          <t>미확인</t>
        </is>
      </c>
      <c r="AK356" s="22" t="inlineStr">
        <is>
          <t>미확인</t>
        </is>
      </c>
      <c r="AL356" s="22" t="inlineStr">
        <is>
          <t>미확인</t>
        </is>
      </c>
      <c r="AM356" s="22" t="inlineStr">
        <is>
          <t>미확인</t>
        </is>
      </c>
      <c r="AN356" s="22" t="inlineStr">
        <is>
          <t>미확인</t>
        </is>
      </c>
      <c r="AO356" s="17" t="inlineStr">
        <is>
          <t>C(부분확인)</t>
        </is>
      </c>
      <c r="AP356" s="17" t="inlineStr">
        <is>
          <t>Y</t>
        </is>
      </c>
      <c r="AQ356" s="17" t="n">
        <v>15</v>
      </c>
      <c r="AR356" s="28" t="inlineStr">
        <is>
          <t>Tier D</t>
        </is>
      </c>
      <c r="AS356" s="17" t="inlineStr">
        <is>
          <t>QMS+LIMS</t>
        </is>
      </c>
      <c r="AT356" s="17" t="inlineStr">
        <is>
          <t>무균/바이오 제조로 품질관리 난도 높음</t>
        </is>
      </c>
      <c r="AU356" s="17" t="inlineStr">
        <is>
          <t>담당자 파악 후 접촉</t>
        </is>
      </c>
      <c r="AV356" s="17" t="inlineStr">
        <is>
          <t>GMP적합판정+KRX</t>
        </is>
      </c>
      <c r="AW356" s="17" t="inlineStr">
        <is>
          <t>2026-07-05</t>
        </is>
      </c>
    </row>
    <row r="357">
      <c r="A357" s="17" t="inlineStr">
        <is>
          <t>C356</t>
        </is>
      </c>
      <c r="B357" s="17" t="inlineStr">
        <is>
          <t>코리아에어텍</t>
        </is>
      </c>
      <c r="C357" s="17" t="inlineStr">
        <is>
          <t>주식회사 코리아에어텍</t>
        </is>
      </c>
      <c r="D357" s="17" t="n">
        <v>1</v>
      </c>
      <c r="E357" s="17" t="n">
        <v>1</v>
      </c>
      <c r="F357" s="17" t="inlineStr">
        <is>
          <t>Y</t>
        </is>
      </c>
      <c r="G357" s="17" t="inlineStr"/>
      <c r="H357" s="17" t="inlineStr"/>
      <c r="I357" s="17" t="inlineStr"/>
      <c r="J357" s="24" t="n">
        <v>46425</v>
      </c>
      <c r="K357" s="17" t="inlineStr"/>
      <c r="L357" s="17" t="inlineStr"/>
      <c r="M357" s="17" t="inlineStr"/>
      <c r="N357" s="23" t="inlineStr"/>
      <c r="O357" s="17" t="inlineStr"/>
      <c r="P357" s="17" t="inlineStr"/>
      <c r="Q357" s="17" t="inlineStr">
        <is>
          <t>채상수</t>
        </is>
      </c>
      <c r="R357" s="17" t="inlineStr"/>
      <c r="S357" s="17" t="inlineStr"/>
      <c r="T357" s="17" t="inlineStr">
        <is>
          <t>052-278-6782</t>
        </is>
      </c>
      <c r="U357" s="17" t="inlineStr">
        <is>
          <t>제조소상세</t>
        </is>
      </c>
      <c r="V357" s="22" t="inlineStr">
        <is>
          <t>미확인</t>
        </is>
      </c>
      <c r="W357" s="22" t="inlineStr">
        <is>
          <t>미확인</t>
        </is>
      </c>
      <c r="X357" s="22" t="inlineStr">
        <is>
          <t>미확인</t>
        </is>
      </c>
      <c r="Y357" s="22" t="inlineStr">
        <is>
          <t>미확인</t>
        </is>
      </c>
      <c r="Z357" s="22" t="inlineStr">
        <is>
          <t>미확인</t>
        </is>
      </c>
      <c r="AA357" s="22" t="inlineStr">
        <is>
          <t>미확인</t>
        </is>
      </c>
      <c r="AB357" s="22" t="inlineStr">
        <is>
          <t>미확인</t>
        </is>
      </c>
      <c r="AC357" s="22" t="inlineStr">
        <is>
          <t>미확인</t>
        </is>
      </c>
      <c r="AD357" s="22" t="inlineStr">
        <is>
          <t>미확인</t>
        </is>
      </c>
      <c r="AE357" s="22" t="inlineStr">
        <is>
          <t>미확인</t>
        </is>
      </c>
      <c r="AF357" s="22" t="inlineStr">
        <is>
          <t>미확인</t>
        </is>
      </c>
      <c r="AG357" s="22" t="inlineStr">
        <is>
          <t>미확인</t>
        </is>
      </c>
      <c r="AH357" s="22" t="inlineStr">
        <is>
          <t>미확인</t>
        </is>
      </c>
      <c r="AI357" s="22" t="inlineStr">
        <is>
          <t>미확인</t>
        </is>
      </c>
      <c r="AJ357" s="22" t="inlineStr">
        <is>
          <t>미확인</t>
        </is>
      </c>
      <c r="AK357" s="22" t="inlineStr">
        <is>
          <t>미확인</t>
        </is>
      </c>
      <c r="AL357" s="22" t="inlineStr">
        <is>
          <t>미확인</t>
        </is>
      </c>
      <c r="AM357" s="22" t="inlineStr">
        <is>
          <t>미확인</t>
        </is>
      </c>
      <c r="AN357" s="22" t="inlineStr">
        <is>
          <t>미확인</t>
        </is>
      </c>
      <c r="AO357" s="17" t="inlineStr">
        <is>
          <t>C(부분확인)</t>
        </is>
      </c>
      <c r="AP357" s="17" t="inlineStr">
        <is>
          <t>Y</t>
        </is>
      </c>
      <c r="AQ357" s="17" t="n">
        <v>7</v>
      </c>
      <c r="AR357" s="28" t="inlineStr">
        <is>
          <t>Tier D</t>
        </is>
      </c>
      <c r="AS357" s="17" t="inlineStr">
        <is>
          <t>QMS</t>
        </is>
      </c>
      <c r="AT357" s="17" t="inlineStr">
        <is>
          <t>기본 GMP 문서관리 대상</t>
        </is>
      </c>
      <c r="AU357" s="17" t="inlineStr">
        <is>
          <t>담당자 파악 후 접촉</t>
        </is>
      </c>
      <c r="AV357" s="17" t="inlineStr">
        <is>
          <t>GMP적합판정+KRX</t>
        </is>
      </c>
      <c r="AW357" s="17" t="inlineStr">
        <is>
          <t>2026-07-05</t>
        </is>
      </c>
    </row>
    <row r="358">
      <c r="A358" s="17" t="inlineStr">
        <is>
          <t>C357</t>
        </is>
      </c>
      <c r="B358" s="17" t="inlineStr">
        <is>
          <t>엔지켐생명과학</t>
        </is>
      </c>
      <c r="C358" s="17" t="inlineStr">
        <is>
          <t>(주)엔지켐생명과학</t>
        </is>
      </c>
      <c r="D358" s="17" t="n">
        <v>1</v>
      </c>
      <c r="E358" s="17" t="n">
        <v>1</v>
      </c>
      <c r="F358" s="17" t="inlineStr"/>
      <c r="G358" s="17" t="inlineStr">
        <is>
          <t>Y</t>
        </is>
      </c>
      <c r="H358" s="17" t="inlineStr"/>
      <c r="I358" s="17" t="inlineStr"/>
      <c r="J358" s="24" t="n">
        <v>46425</v>
      </c>
      <c r="K358" s="17" t="inlineStr"/>
      <c r="L358" s="17" t="inlineStr">
        <is>
          <t>Y</t>
        </is>
      </c>
      <c r="M358" s="17" t="inlineStr">
        <is>
          <t>코스닥</t>
        </is>
      </c>
      <c r="N358" s="23" t="inlineStr">
        <is>
          <t>183490</t>
        </is>
      </c>
      <c r="O358" s="17" t="inlineStr">
        <is>
          <t>기초 의약물질 제조업</t>
        </is>
      </c>
      <c r="P358" s="17" t="inlineStr">
        <is>
          <t>EC-18(신약), 원료의약품</t>
        </is>
      </c>
      <c r="Q358" s="17" t="inlineStr">
        <is>
          <t>손기영</t>
        </is>
      </c>
      <c r="R358" s="17" t="inlineStr">
        <is>
          <t>http://www.enzychem.co.kr</t>
        </is>
      </c>
      <c r="S358" s="17" t="inlineStr">
        <is>
          <t>충청북도</t>
        </is>
      </c>
      <c r="T358" s="17" t="inlineStr">
        <is>
          <t>043-652-2846</t>
        </is>
      </c>
      <c r="U358" s="17" t="inlineStr">
        <is>
          <t>제조소상세</t>
        </is>
      </c>
      <c r="V358" s="22" t="inlineStr">
        <is>
          <t>미확인</t>
        </is>
      </c>
      <c r="W358" s="22" t="inlineStr">
        <is>
          <t>미확인</t>
        </is>
      </c>
      <c r="X358" s="22" t="inlineStr">
        <is>
          <t>미확인</t>
        </is>
      </c>
      <c r="Y358" s="22" t="inlineStr">
        <is>
          <t>미확인</t>
        </is>
      </c>
      <c r="Z358" s="22" t="inlineStr">
        <is>
          <t>미확인</t>
        </is>
      </c>
      <c r="AA358" s="22" t="inlineStr">
        <is>
          <t>미확인</t>
        </is>
      </c>
      <c r="AB358" s="22" t="inlineStr">
        <is>
          <t>미확인</t>
        </is>
      </c>
      <c r="AC358" s="22" t="inlineStr">
        <is>
          <t>미확인</t>
        </is>
      </c>
      <c r="AD358" s="22" t="inlineStr">
        <is>
          <t>미확인</t>
        </is>
      </c>
      <c r="AE358" s="22" t="inlineStr">
        <is>
          <t>미확인</t>
        </is>
      </c>
      <c r="AF358" s="22" t="inlineStr">
        <is>
          <t>미확인</t>
        </is>
      </c>
      <c r="AG358" s="22" t="inlineStr">
        <is>
          <t>미확인</t>
        </is>
      </c>
      <c r="AH358" s="22" t="inlineStr">
        <is>
          <t>미확인</t>
        </is>
      </c>
      <c r="AI358" s="22" t="inlineStr">
        <is>
          <t>미확인</t>
        </is>
      </c>
      <c r="AJ358" s="22" t="inlineStr">
        <is>
          <t>미확인</t>
        </is>
      </c>
      <c r="AK358" s="22" t="inlineStr">
        <is>
          <t>미확인</t>
        </is>
      </c>
      <c r="AL358" s="22" t="inlineStr">
        <is>
          <t>미확인</t>
        </is>
      </c>
      <c r="AM358" s="22" t="inlineStr">
        <is>
          <t>미확인</t>
        </is>
      </c>
      <c r="AN358" s="22" t="inlineStr">
        <is>
          <t>미확인</t>
        </is>
      </c>
      <c r="AO358" s="17" t="inlineStr">
        <is>
          <t>C(부분확인)</t>
        </is>
      </c>
      <c r="AP358" s="17" t="inlineStr">
        <is>
          <t>Y</t>
        </is>
      </c>
      <c r="AQ358" s="17" t="n">
        <v>10</v>
      </c>
      <c r="AR358" s="28" t="inlineStr">
        <is>
          <t>Tier D</t>
        </is>
      </c>
      <c r="AS358" s="17" t="inlineStr">
        <is>
          <t>QMS+LIMS</t>
        </is>
      </c>
      <c r="AT358" s="17" t="inlineStr">
        <is>
          <t>원료 제조로 시험실 관리 필요</t>
        </is>
      </c>
      <c r="AU358" s="17" t="inlineStr">
        <is>
          <t>담당자 파악 후 접촉</t>
        </is>
      </c>
      <c r="AV358" s="17" t="inlineStr">
        <is>
          <t>GMP적합판정+KRX</t>
        </is>
      </c>
      <c r="AW358" s="17" t="inlineStr">
        <is>
          <t>2026-07-05</t>
        </is>
      </c>
    </row>
    <row r="359">
      <c r="A359" s="17" t="inlineStr">
        <is>
          <t>C358</t>
        </is>
      </c>
      <c r="B359" s="17" t="inlineStr">
        <is>
          <t>씨티씨바이오</t>
        </is>
      </c>
      <c r="C359" s="17" t="inlineStr">
        <is>
          <t>(주)씨티씨바이오</t>
        </is>
      </c>
      <c r="D359" s="17" t="n">
        <v>1</v>
      </c>
      <c r="E359" s="17" t="n">
        <v>1</v>
      </c>
      <c r="F359" s="17" t="inlineStr">
        <is>
          <t>Y</t>
        </is>
      </c>
      <c r="G359" s="17" t="inlineStr"/>
      <c r="H359" s="17" t="inlineStr"/>
      <c r="I359" s="17" t="inlineStr"/>
      <c r="J359" s="24" t="n">
        <v>46424</v>
      </c>
      <c r="K359" s="17" t="inlineStr"/>
      <c r="L359" s="17" t="inlineStr">
        <is>
          <t>Y</t>
        </is>
      </c>
      <c r="M359" s="17" t="inlineStr">
        <is>
          <t>코스닥</t>
        </is>
      </c>
      <c r="N359" s="23" t="inlineStr">
        <is>
          <t>060590</t>
        </is>
      </c>
      <c r="O359" s="17" t="inlineStr">
        <is>
          <t>의약품 제조업</t>
        </is>
      </c>
      <c r="P359" s="17" t="inlineStr">
        <is>
          <t>동물용항병원성제품, 생균효소제</t>
        </is>
      </c>
      <c r="Q359" s="17" t="inlineStr">
        <is>
          <t>조창선(단독대표이사)</t>
        </is>
      </c>
      <c r="R359" s="17" t="inlineStr">
        <is>
          <t>http://www.ctcbio.com</t>
        </is>
      </c>
      <c r="S359" s="17" t="inlineStr">
        <is>
          <t>서울특별시</t>
        </is>
      </c>
      <c r="T359" s="17" t="inlineStr">
        <is>
          <t>미확인</t>
        </is>
      </c>
      <c r="U359" s="17" t="inlineStr">
        <is>
          <t>미확인</t>
        </is>
      </c>
      <c r="V359" s="22" t="inlineStr">
        <is>
          <t>미확인</t>
        </is>
      </c>
      <c r="W359" s="22" t="inlineStr">
        <is>
          <t>미확인</t>
        </is>
      </c>
      <c r="X359" s="22" t="inlineStr">
        <is>
          <t>미확인</t>
        </is>
      </c>
      <c r="Y359" s="22" t="inlineStr">
        <is>
          <t>미확인</t>
        </is>
      </c>
      <c r="Z359" s="22" t="inlineStr">
        <is>
          <t>미확인</t>
        </is>
      </c>
      <c r="AA359" s="22" t="inlineStr">
        <is>
          <t>미확인</t>
        </is>
      </c>
      <c r="AB359" s="22" t="inlineStr">
        <is>
          <t>미확인</t>
        </is>
      </c>
      <c r="AC359" s="22" t="inlineStr">
        <is>
          <t>미확인</t>
        </is>
      </c>
      <c r="AD359" s="22" t="inlineStr">
        <is>
          <t>미확인</t>
        </is>
      </c>
      <c r="AE359" s="22" t="inlineStr">
        <is>
          <t>미확인</t>
        </is>
      </c>
      <c r="AF359" s="22" t="inlineStr">
        <is>
          <t>미확인</t>
        </is>
      </c>
      <c r="AG359" s="22" t="inlineStr">
        <is>
          <t>미확인</t>
        </is>
      </c>
      <c r="AH359" s="22" t="inlineStr">
        <is>
          <t>미확인</t>
        </is>
      </c>
      <c r="AI359" s="22" t="inlineStr">
        <is>
          <t>미확인</t>
        </is>
      </c>
      <c r="AJ359" s="22" t="inlineStr">
        <is>
          <t>미확인</t>
        </is>
      </c>
      <c r="AK359" s="22" t="inlineStr">
        <is>
          <t>미확인</t>
        </is>
      </c>
      <c r="AL359" s="22" t="inlineStr">
        <is>
          <t>미확인</t>
        </is>
      </c>
      <c r="AM359" s="22" t="inlineStr">
        <is>
          <t>미확인</t>
        </is>
      </c>
      <c r="AN359" s="22" t="inlineStr">
        <is>
          <t>미확인</t>
        </is>
      </c>
      <c r="AO359" s="17" t="inlineStr">
        <is>
          <t>C(부분확인)</t>
        </is>
      </c>
      <c r="AP359" s="17" t="inlineStr">
        <is>
          <t>Y</t>
        </is>
      </c>
      <c r="AQ359" s="17" t="n">
        <v>7</v>
      </c>
      <c r="AR359" s="28" t="inlineStr">
        <is>
          <t>Tier D</t>
        </is>
      </c>
      <c r="AS359" s="17" t="inlineStr">
        <is>
          <t>QMS</t>
        </is>
      </c>
      <c r="AT359" s="17" t="inlineStr">
        <is>
          <t>기본 GMP 문서관리 대상</t>
        </is>
      </c>
      <c r="AU359" s="17" t="inlineStr">
        <is>
          <t>담당자 파악 후 접촉</t>
        </is>
      </c>
      <c r="AV359" s="17" t="inlineStr">
        <is>
          <t>GMP적합판정+KRX</t>
        </is>
      </c>
      <c r="AW359" s="17" t="inlineStr">
        <is>
          <t>2026-07-05</t>
        </is>
      </c>
    </row>
    <row r="360">
      <c r="A360" s="17" t="inlineStr">
        <is>
          <t>C359</t>
        </is>
      </c>
      <c r="B360" s="17" t="inlineStr">
        <is>
          <t>유니온산업가스</t>
        </is>
      </c>
      <c r="C360" s="17" t="inlineStr">
        <is>
          <t>유니온산업가스(주)</t>
        </is>
      </c>
      <c r="D360" s="17" t="n">
        <v>1</v>
      </c>
      <c r="E360" s="17" t="n">
        <v>1</v>
      </c>
      <c r="F360" s="17" t="inlineStr">
        <is>
          <t>Y</t>
        </is>
      </c>
      <c r="G360" s="17" t="inlineStr"/>
      <c r="H360" s="17" t="inlineStr"/>
      <c r="I360" s="17" t="inlineStr"/>
      <c r="J360" s="24" t="n">
        <v>46424</v>
      </c>
      <c r="K360" s="17" t="inlineStr"/>
      <c r="L360" s="17" t="inlineStr"/>
      <c r="M360" s="17" t="inlineStr"/>
      <c r="N360" s="23" t="inlineStr"/>
      <c r="O360" s="17" t="inlineStr"/>
      <c r="P360" s="17" t="inlineStr"/>
      <c r="Q360" s="17" t="inlineStr">
        <is>
          <t>하무용</t>
        </is>
      </c>
      <c r="R360" s="17" t="inlineStr"/>
      <c r="S360" s="17" t="inlineStr"/>
      <c r="T360" s="17" t="inlineStr">
        <is>
          <t>미확인</t>
        </is>
      </c>
      <c r="U360" s="17" t="inlineStr">
        <is>
          <t>미확인</t>
        </is>
      </c>
      <c r="V360" s="22" t="inlineStr">
        <is>
          <t>미확인</t>
        </is>
      </c>
      <c r="W360" s="22" t="inlineStr">
        <is>
          <t>미확인</t>
        </is>
      </c>
      <c r="X360" s="22" t="inlineStr">
        <is>
          <t>미확인</t>
        </is>
      </c>
      <c r="Y360" s="22" t="inlineStr">
        <is>
          <t>미확인</t>
        </is>
      </c>
      <c r="Z360" s="22" t="inlineStr">
        <is>
          <t>미확인</t>
        </is>
      </c>
      <c r="AA360" s="22" t="inlineStr">
        <is>
          <t>미확인</t>
        </is>
      </c>
      <c r="AB360" s="22" t="inlineStr">
        <is>
          <t>미확인</t>
        </is>
      </c>
      <c r="AC360" s="22" t="inlineStr">
        <is>
          <t>미확인</t>
        </is>
      </c>
      <c r="AD360" s="22" t="inlineStr">
        <is>
          <t>미확인</t>
        </is>
      </c>
      <c r="AE360" s="22" t="inlineStr">
        <is>
          <t>미확인</t>
        </is>
      </c>
      <c r="AF360" s="22" t="inlineStr">
        <is>
          <t>미확인</t>
        </is>
      </c>
      <c r="AG360" s="22" t="inlineStr">
        <is>
          <t>미확인</t>
        </is>
      </c>
      <c r="AH360" s="22" t="inlineStr">
        <is>
          <t>미확인</t>
        </is>
      </c>
      <c r="AI360" s="22" t="inlineStr">
        <is>
          <t>미확인</t>
        </is>
      </c>
      <c r="AJ360" s="22" t="inlineStr">
        <is>
          <t>미확인</t>
        </is>
      </c>
      <c r="AK360" s="22" t="inlineStr">
        <is>
          <t>미확인</t>
        </is>
      </c>
      <c r="AL360" s="22" t="inlineStr">
        <is>
          <t>미확인</t>
        </is>
      </c>
      <c r="AM360" s="22" t="inlineStr">
        <is>
          <t>미확인</t>
        </is>
      </c>
      <c r="AN360" s="22" t="inlineStr">
        <is>
          <t>미확인</t>
        </is>
      </c>
      <c r="AO360" s="17" t="inlineStr">
        <is>
          <t>C(부분확인)</t>
        </is>
      </c>
      <c r="AP360" s="17" t="inlineStr">
        <is>
          <t>Y</t>
        </is>
      </c>
      <c r="AQ360" s="17" t="n">
        <v>7</v>
      </c>
      <c r="AR360" s="28" t="inlineStr">
        <is>
          <t>Tier D</t>
        </is>
      </c>
      <c r="AS360" s="17" t="inlineStr">
        <is>
          <t>QMS</t>
        </is>
      </c>
      <c r="AT360" s="17" t="inlineStr">
        <is>
          <t>기본 GMP 문서관리 대상</t>
        </is>
      </c>
      <c r="AU360" s="17" t="inlineStr">
        <is>
          <t>담당자 파악 후 접촉</t>
        </is>
      </c>
      <c r="AV360" s="17" t="inlineStr">
        <is>
          <t>GMP적합판정+KRX</t>
        </is>
      </c>
      <c r="AW360" s="17" t="inlineStr">
        <is>
          <t>2026-07-05</t>
        </is>
      </c>
    </row>
    <row r="361">
      <c r="A361" s="17" t="inlineStr">
        <is>
          <t>C360</t>
        </is>
      </c>
      <c r="B361" s="17" t="inlineStr">
        <is>
          <t>알리코제약</t>
        </is>
      </c>
      <c r="C361" s="17" t="inlineStr">
        <is>
          <t>알리코제약(주)</t>
        </is>
      </c>
      <c r="D361" s="17" t="n">
        <v>1</v>
      </c>
      <c r="E361" s="17" t="n">
        <v>1</v>
      </c>
      <c r="F361" s="17" t="inlineStr">
        <is>
          <t>Y</t>
        </is>
      </c>
      <c r="G361" s="17" t="inlineStr"/>
      <c r="H361" s="17" t="inlineStr"/>
      <c r="I361" s="17" t="inlineStr"/>
      <c r="J361" s="24" t="n">
        <v>46424</v>
      </c>
      <c r="K361" s="17" t="inlineStr"/>
      <c r="L361" s="17" t="inlineStr">
        <is>
          <t>Y</t>
        </is>
      </c>
      <c r="M361" s="17" t="inlineStr">
        <is>
          <t>코스닥</t>
        </is>
      </c>
      <c r="N361" s="23" t="inlineStr">
        <is>
          <t>260660</t>
        </is>
      </c>
      <c r="O361" s="17" t="inlineStr">
        <is>
          <t>의료용품 및 기타 의약 관련제품 제조업</t>
        </is>
      </c>
      <c r="P361" s="17" t="inlineStr">
        <is>
          <t>완제 의약품</t>
        </is>
      </c>
      <c r="Q361" s="17" t="inlineStr">
        <is>
          <t>이항구</t>
        </is>
      </c>
      <c r="R361" s="17" t="inlineStr">
        <is>
          <t>http://www.arlico.co.kr</t>
        </is>
      </c>
      <c r="S361" s="17" t="inlineStr">
        <is>
          <t>서울특별시</t>
        </is>
      </c>
      <c r="T361" s="17" t="inlineStr">
        <is>
          <t>043-535-8877</t>
        </is>
      </c>
      <c r="U361" s="17" t="inlineStr">
        <is>
          <t>제조소상세</t>
        </is>
      </c>
      <c r="V361" s="22" t="inlineStr">
        <is>
          <t>미확인</t>
        </is>
      </c>
      <c r="W361" s="22" t="inlineStr">
        <is>
          <t>미확인</t>
        </is>
      </c>
      <c r="X361" s="22" t="inlineStr">
        <is>
          <t>미확인</t>
        </is>
      </c>
      <c r="Y361" s="22" t="inlineStr">
        <is>
          <t>미확인</t>
        </is>
      </c>
      <c r="Z361" s="22" t="inlineStr">
        <is>
          <t>미확인</t>
        </is>
      </c>
      <c r="AA361" s="22" t="inlineStr">
        <is>
          <t>미확인</t>
        </is>
      </c>
      <c r="AB361" s="22" t="inlineStr">
        <is>
          <t>미확인</t>
        </is>
      </c>
      <c r="AC361" s="22" t="inlineStr">
        <is>
          <t>미확인</t>
        </is>
      </c>
      <c r="AD361" s="22" t="inlineStr">
        <is>
          <t>미확인</t>
        </is>
      </c>
      <c r="AE361" s="22" t="inlineStr">
        <is>
          <t>미확인</t>
        </is>
      </c>
      <c r="AF361" s="22" t="inlineStr">
        <is>
          <t>미확인</t>
        </is>
      </c>
      <c r="AG361" s="22" t="inlineStr">
        <is>
          <t>미확인</t>
        </is>
      </c>
      <c r="AH361" s="22" t="inlineStr">
        <is>
          <t>미확인</t>
        </is>
      </c>
      <c r="AI361" s="22" t="inlineStr">
        <is>
          <t>미확인</t>
        </is>
      </c>
      <c r="AJ361" s="22" t="inlineStr">
        <is>
          <t>미확인</t>
        </is>
      </c>
      <c r="AK361" s="22" t="inlineStr">
        <is>
          <t>미확인</t>
        </is>
      </c>
      <c r="AL361" s="22" t="inlineStr">
        <is>
          <t>미확인</t>
        </is>
      </c>
      <c r="AM361" s="22" t="inlineStr">
        <is>
          <t>미확인</t>
        </is>
      </c>
      <c r="AN361" s="22" t="inlineStr">
        <is>
          <t>미확인</t>
        </is>
      </c>
      <c r="AO361" s="17" t="inlineStr">
        <is>
          <t>C(부분확인)</t>
        </is>
      </c>
      <c r="AP361" s="17" t="inlineStr">
        <is>
          <t>Y</t>
        </is>
      </c>
      <c r="AQ361" s="17" t="n">
        <v>10</v>
      </c>
      <c r="AR361" s="28" t="inlineStr">
        <is>
          <t>Tier D</t>
        </is>
      </c>
      <c r="AS361" s="17" t="inlineStr">
        <is>
          <t>QMS</t>
        </is>
      </c>
      <c r="AT361" s="17" t="inlineStr">
        <is>
          <t>기본 GMP 문서관리 대상</t>
        </is>
      </c>
      <c r="AU361" s="17" t="inlineStr">
        <is>
          <t>담당자 파악 후 접촉</t>
        </is>
      </c>
      <c r="AV361" s="17" t="inlineStr">
        <is>
          <t>GMP적합판정+KRX</t>
        </is>
      </c>
      <c r="AW361" s="17" t="inlineStr">
        <is>
          <t>2026-07-05</t>
        </is>
      </c>
    </row>
    <row r="362">
      <c r="A362" s="17" t="inlineStr">
        <is>
          <t>C361</t>
        </is>
      </c>
      <c r="B362" s="17" t="inlineStr">
        <is>
          <t>성원애드콕제약</t>
        </is>
      </c>
      <c r="C362" s="17" t="inlineStr">
        <is>
          <t>성원애드콕제약(주)</t>
        </is>
      </c>
      <c r="D362" s="17" t="n">
        <v>1</v>
      </c>
      <c r="E362" s="17" t="n">
        <v>1</v>
      </c>
      <c r="F362" s="17" t="inlineStr">
        <is>
          <t>Y</t>
        </is>
      </c>
      <c r="G362" s="17" t="inlineStr"/>
      <c r="H362" s="17" t="inlineStr"/>
      <c r="I362" s="17" t="inlineStr"/>
      <c r="J362" s="24" t="n">
        <v>46424</v>
      </c>
      <c r="K362" s="17" t="inlineStr"/>
      <c r="L362" s="17" t="inlineStr"/>
      <c r="M362" s="17" t="inlineStr"/>
      <c r="N362" s="23" t="inlineStr"/>
      <c r="O362" s="17" t="inlineStr"/>
      <c r="P362" s="17" t="inlineStr"/>
      <c r="Q362" s="17" t="inlineStr">
        <is>
          <t>박형미</t>
        </is>
      </c>
      <c r="R362" s="17" t="inlineStr"/>
      <c r="S362" s="17" t="inlineStr"/>
      <c r="T362" s="17" t="inlineStr">
        <is>
          <t>031-982-2982</t>
        </is>
      </c>
      <c r="U362" s="17" t="inlineStr">
        <is>
          <t>제조소상세</t>
        </is>
      </c>
      <c r="V362" s="22" t="inlineStr">
        <is>
          <t>미확인</t>
        </is>
      </c>
      <c r="W362" s="22" t="inlineStr">
        <is>
          <t>미확인</t>
        </is>
      </c>
      <c r="X362" s="22" t="inlineStr">
        <is>
          <t>미확인</t>
        </is>
      </c>
      <c r="Y362" s="22" t="inlineStr">
        <is>
          <t>미확인</t>
        </is>
      </c>
      <c r="Z362" s="22" t="inlineStr">
        <is>
          <t>미확인</t>
        </is>
      </c>
      <c r="AA362" s="22" t="inlineStr">
        <is>
          <t>미확인</t>
        </is>
      </c>
      <c r="AB362" s="22" t="inlineStr">
        <is>
          <t>미확인</t>
        </is>
      </c>
      <c r="AC362" s="22" t="inlineStr">
        <is>
          <t>미확인</t>
        </is>
      </c>
      <c r="AD362" s="22" t="inlineStr">
        <is>
          <t>미확인</t>
        </is>
      </c>
      <c r="AE362" s="22" t="inlineStr">
        <is>
          <t>미확인</t>
        </is>
      </c>
      <c r="AF362" s="22" t="inlineStr">
        <is>
          <t>미확인</t>
        </is>
      </c>
      <c r="AG362" s="22" t="inlineStr">
        <is>
          <t>미확인</t>
        </is>
      </c>
      <c r="AH362" s="22" t="inlineStr">
        <is>
          <t>미확인</t>
        </is>
      </c>
      <c r="AI362" s="22" t="inlineStr">
        <is>
          <t>미확인</t>
        </is>
      </c>
      <c r="AJ362" s="22" t="inlineStr">
        <is>
          <t>미확인</t>
        </is>
      </c>
      <c r="AK362" s="22" t="inlineStr">
        <is>
          <t>미확인</t>
        </is>
      </c>
      <c r="AL362" s="22" t="inlineStr">
        <is>
          <t>미확인</t>
        </is>
      </c>
      <c r="AM362" s="22" t="inlineStr">
        <is>
          <t>미확인</t>
        </is>
      </c>
      <c r="AN362" s="22" t="inlineStr">
        <is>
          <t>미확인</t>
        </is>
      </c>
      <c r="AO362" s="17" t="inlineStr">
        <is>
          <t>C(부분확인)</t>
        </is>
      </c>
      <c r="AP362" s="17" t="inlineStr">
        <is>
          <t>Y</t>
        </is>
      </c>
      <c r="AQ362" s="17" t="n">
        <v>7</v>
      </c>
      <c r="AR362" s="28" t="inlineStr">
        <is>
          <t>Tier D</t>
        </is>
      </c>
      <c r="AS362" s="17" t="inlineStr">
        <is>
          <t>QMS</t>
        </is>
      </c>
      <c r="AT362" s="17" t="inlineStr">
        <is>
          <t>기본 GMP 문서관리 대상</t>
        </is>
      </c>
      <c r="AU362" s="17" t="inlineStr">
        <is>
          <t>담당자 파악 후 접촉</t>
        </is>
      </c>
      <c r="AV362" s="17" t="inlineStr">
        <is>
          <t>GMP적합판정+KRX</t>
        </is>
      </c>
      <c r="AW362" s="17" t="inlineStr">
        <is>
          <t>2026-07-05</t>
        </is>
      </c>
    </row>
    <row r="363">
      <c r="A363" s="17" t="inlineStr">
        <is>
          <t>C362</t>
        </is>
      </c>
      <c r="B363" s="17" t="inlineStr">
        <is>
          <t>(재)전남바이오진흥원그린바이오본부천연센터</t>
        </is>
      </c>
      <c r="C363" s="17" t="inlineStr">
        <is>
          <t>(재)전남바이오진흥원 그린바이오본부 천연센터</t>
        </is>
      </c>
      <c r="D363" s="17" t="n">
        <v>1</v>
      </c>
      <c r="E363" s="17" t="n">
        <v>1</v>
      </c>
      <c r="F363" s="17" t="inlineStr"/>
      <c r="G363" s="17" t="inlineStr">
        <is>
          <t>Y</t>
        </is>
      </c>
      <c r="H363" s="17" t="inlineStr"/>
      <c r="I363" s="17" t="inlineStr"/>
      <c r="J363" s="24" t="n">
        <v>46418</v>
      </c>
      <c r="K363" s="17" t="inlineStr"/>
      <c r="L363" s="17" t="inlineStr"/>
      <c r="M363" s="17" t="inlineStr"/>
      <c r="N363" s="23" t="inlineStr"/>
      <c r="O363" s="17" t="inlineStr"/>
      <c r="P363" s="17" t="inlineStr"/>
      <c r="Q363" s="17" t="inlineStr">
        <is>
          <t>김기홍</t>
        </is>
      </c>
      <c r="R363" s="17" t="inlineStr"/>
      <c r="S363" s="17" t="inlineStr"/>
      <c r="T363" s="17" t="inlineStr">
        <is>
          <t>061-375-6805</t>
        </is>
      </c>
      <c r="U363" s="17" t="inlineStr">
        <is>
          <t>제조소상세</t>
        </is>
      </c>
      <c r="V363" s="22" t="inlineStr">
        <is>
          <t>미확인</t>
        </is>
      </c>
      <c r="W363" s="22" t="inlineStr">
        <is>
          <t>미확인</t>
        </is>
      </c>
      <c r="X363" s="22" t="inlineStr">
        <is>
          <t>미확인</t>
        </is>
      </c>
      <c r="Y363" s="22" t="inlineStr">
        <is>
          <t>미확인</t>
        </is>
      </c>
      <c r="Z363" s="22" t="inlineStr">
        <is>
          <t>미확인</t>
        </is>
      </c>
      <c r="AA363" s="22" t="inlineStr">
        <is>
          <t>미확인</t>
        </is>
      </c>
      <c r="AB363" s="22" t="inlineStr">
        <is>
          <t>미확인</t>
        </is>
      </c>
      <c r="AC363" s="22" t="inlineStr">
        <is>
          <t>미확인</t>
        </is>
      </c>
      <c r="AD363" s="22" t="inlineStr">
        <is>
          <t>미확인</t>
        </is>
      </c>
      <c r="AE363" s="22" t="inlineStr">
        <is>
          <t>미확인</t>
        </is>
      </c>
      <c r="AF363" s="22" t="inlineStr">
        <is>
          <t>미확인</t>
        </is>
      </c>
      <c r="AG363" s="22" t="inlineStr">
        <is>
          <t>미확인</t>
        </is>
      </c>
      <c r="AH363" s="22" t="inlineStr">
        <is>
          <t>미확인</t>
        </is>
      </c>
      <c r="AI363" s="22" t="inlineStr">
        <is>
          <t>미확인</t>
        </is>
      </c>
      <c r="AJ363" s="22" t="inlineStr">
        <is>
          <t>미확인</t>
        </is>
      </c>
      <c r="AK363" s="22" t="inlineStr">
        <is>
          <t>미확인</t>
        </is>
      </c>
      <c r="AL363" s="22" t="inlineStr">
        <is>
          <t>미확인</t>
        </is>
      </c>
      <c r="AM363" s="22" t="inlineStr">
        <is>
          <t>미확인</t>
        </is>
      </c>
      <c r="AN363" s="22" t="inlineStr">
        <is>
          <t>미확인</t>
        </is>
      </c>
      <c r="AO363" s="17" t="inlineStr">
        <is>
          <t>C(부분확인)</t>
        </is>
      </c>
      <c r="AP363" s="17" t="inlineStr">
        <is>
          <t>Y</t>
        </is>
      </c>
      <c r="AQ363" s="17" t="n">
        <v>7</v>
      </c>
      <c r="AR363" s="28" t="inlineStr">
        <is>
          <t>Tier D</t>
        </is>
      </c>
      <c r="AS363" s="17" t="inlineStr">
        <is>
          <t>QMS+LIMS</t>
        </is>
      </c>
      <c r="AT363" s="17" t="inlineStr">
        <is>
          <t>원료 제조로 시험실 관리 필요</t>
        </is>
      </c>
      <c r="AU363" s="17" t="inlineStr">
        <is>
          <t>담당자 파악 후 접촉</t>
        </is>
      </c>
      <c r="AV363" s="17" t="inlineStr">
        <is>
          <t>GMP적합판정+KRX</t>
        </is>
      </c>
      <c r="AW363" s="17" t="inlineStr">
        <is>
          <t>2026-07-05</t>
        </is>
      </c>
    </row>
    <row r="364">
      <c r="A364" s="17" t="inlineStr">
        <is>
          <t>C363</t>
        </is>
      </c>
      <c r="B364" s="17" t="inlineStr">
        <is>
          <t>삼정바이오솔루션</t>
        </is>
      </c>
      <c r="C364" s="17" t="inlineStr">
        <is>
          <t>삼정바이오솔루션(주)</t>
        </is>
      </c>
      <c r="D364" s="17" t="n">
        <v>1</v>
      </c>
      <c r="E364" s="17" t="n">
        <v>1</v>
      </c>
      <c r="F364" s="17" t="inlineStr">
        <is>
          <t>Y</t>
        </is>
      </c>
      <c r="G364" s="17" t="inlineStr"/>
      <c r="H364" s="17" t="inlineStr"/>
      <c r="I364" s="17" t="inlineStr"/>
      <c r="J364" s="24" t="n">
        <v>46417</v>
      </c>
      <c r="K364" s="17" t="inlineStr"/>
      <c r="L364" s="17" t="inlineStr"/>
      <c r="M364" s="17" t="inlineStr"/>
      <c r="N364" s="23" t="inlineStr"/>
      <c r="O364" s="17" t="inlineStr"/>
      <c r="P364" s="17" t="inlineStr"/>
      <c r="Q364" s="17" t="inlineStr">
        <is>
          <t>심승일</t>
        </is>
      </c>
      <c r="R364" s="17" t="inlineStr"/>
      <c r="S364" s="17" t="inlineStr"/>
      <c r="T364" s="17" t="inlineStr">
        <is>
          <t>031-8059-3244</t>
        </is>
      </c>
      <c r="U364" s="17" t="inlineStr">
        <is>
          <t>제조소상세</t>
        </is>
      </c>
      <c r="V364" s="22" t="inlineStr">
        <is>
          <t>미확인</t>
        </is>
      </c>
      <c r="W364" s="22" t="inlineStr">
        <is>
          <t>미확인</t>
        </is>
      </c>
      <c r="X364" s="22" t="inlineStr">
        <is>
          <t>미확인</t>
        </is>
      </c>
      <c r="Y364" s="22" t="inlineStr">
        <is>
          <t>미확인</t>
        </is>
      </c>
      <c r="Z364" s="22" t="inlineStr">
        <is>
          <t>미확인</t>
        </is>
      </c>
      <c r="AA364" s="22" t="inlineStr">
        <is>
          <t>미확인</t>
        </is>
      </c>
      <c r="AB364" s="22" t="inlineStr">
        <is>
          <t>미확인</t>
        </is>
      </c>
      <c r="AC364" s="22" t="inlineStr">
        <is>
          <t>미확인</t>
        </is>
      </c>
      <c r="AD364" s="22" t="inlineStr">
        <is>
          <t>미확인</t>
        </is>
      </c>
      <c r="AE364" s="22" t="inlineStr">
        <is>
          <t>미확인</t>
        </is>
      </c>
      <c r="AF364" s="22" t="inlineStr">
        <is>
          <t>미확인</t>
        </is>
      </c>
      <c r="AG364" s="22" t="inlineStr">
        <is>
          <t>미확인</t>
        </is>
      </c>
      <c r="AH364" s="22" t="inlineStr">
        <is>
          <t>미확인</t>
        </is>
      </c>
      <c r="AI364" s="22" t="inlineStr">
        <is>
          <t>미확인</t>
        </is>
      </c>
      <c r="AJ364" s="22" t="inlineStr">
        <is>
          <t>미확인</t>
        </is>
      </c>
      <c r="AK364" s="22" t="inlineStr">
        <is>
          <t>미확인</t>
        </is>
      </c>
      <c r="AL364" s="22" t="inlineStr">
        <is>
          <t>미확인</t>
        </is>
      </c>
      <c r="AM364" s="22" t="inlineStr">
        <is>
          <t>미확인</t>
        </is>
      </c>
      <c r="AN364" s="22" t="inlineStr">
        <is>
          <t>미확인</t>
        </is>
      </c>
      <c r="AO364" s="17" t="inlineStr">
        <is>
          <t>C(부분확인)</t>
        </is>
      </c>
      <c r="AP364" s="17" t="inlineStr">
        <is>
          <t>Y</t>
        </is>
      </c>
      <c r="AQ364" s="17" t="n">
        <v>7</v>
      </c>
      <c r="AR364" s="28" t="inlineStr">
        <is>
          <t>Tier D</t>
        </is>
      </c>
      <c r="AS364" s="17" t="inlineStr">
        <is>
          <t>QMS</t>
        </is>
      </c>
      <c r="AT364" s="17" t="inlineStr">
        <is>
          <t>기본 GMP 문서관리 대상</t>
        </is>
      </c>
      <c r="AU364" s="17" t="inlineStr">
        <is>
          <t>담당자 파악 후 접촉</t>
        </is>
      </c>
      <c r="AV364" s="17" t="inlineStr">
        <is>
          <t>GMP적합판정+KRX</t>
        </is>
      </c>
      <c r="AW364" s="17" t="inlineStr">
        <is>
          <t>2026-07-05</t>
        </is>
      </c>
    </row>
    <row r="365">
      <c r="A365" s="17" t="inlineStr">
        <is>
          <t>C364</t>
        </is>
      </c>
      <c r="B365" s="17" t="inlineStr">
        <is>
          <t>한국백신</t>
        </is>
      </c>
      <c r="C365" s="17" t="inlineStr">
        <is>
          <t>(주)한국백신</t>
        </is>
      </c>
      <c r="D365" s="17" t="n">
        <v>1</v>
      </c>
      <c r="E365" s="17" t="n">
        <v>1</v>
      </c>
      <c r="F365" s="17" t="inlineStr">
        <is>
          <t>Y</t>
        </is>
      </c>
      <c r="G365" s="17" t="inlineStr"/>
      <c r="H365" s="17" t="inlineStr">
        <is>
          <t>Y</t>
        </is>
      </c>
      <c r="I365" s="17" t="inlineStr">
        <is>
          <t>Y</t>
        </is>
      </c>
      <c r="J365" s="24" t="n">
        <v>46412</v>
      </c>
      <c r="K365" s="17" t="inlineStr"/>
      <c r="L365" s="17" t="inlineStr"/>
      <c r="M365" s="17" t="inlineStr"/>
      <c r="N365" s="23" t="inlineStr"/>
      <c r="O365" s="17" t="inlineStr"/>
      <c r="P365" s="17" t="inlineStr"/>
      <c r="Q365" s="17" t="inlineStr">
        <is>
          <t>하창화</t>
        </is>
      </c>
      <c r="R365" s="17" t="inlineStr"/>
      <c r="S365" s="17" t="inlineStr"/>
      <c r="T365" s="17" t="inlineStr">
        <is>
          <t>031-495-6397</t>
        </is>
      </c>
      <c r="U365" s="17" t="inlineStr">
        <is>
          <t>제조소상세</t>
        </is>
      </c>
      <c r="V365" s="22" t="inlineStr">
        <is>
          <t>미확인</t>
        </is>
      </c>
      <c r="W365" s="22" t="inlineStr">
        <is>
          <t>미확인</t>
        </is>
      </c>
      <c r="X365" s="22" t="inlineStr">
        <is>
          <t>미확인</t>
        </is>
      </c>
      <c r="Y365" s="22" t="inlineStr">
        <is>
          <t>미확인</t>
        </is>
      </c>
      <c r="Z365" s="22" t="inlineStr">
        <is>
          <t>미확인</t>
        </is>
      </c>
      <c r="AA365" s="22" t="inlineStr">
        <is>
          <t>미확인</t>
        </is>
      </c>
      <c r="AB365" s="22" t="inlineStr">
        <is>
          <t>미확인</t>
        </is>
      </c>
      <c r="AC365" s="22" t="inlineStr">
        <is>
          <t>미확인</t>
        </is>
      </c>
      <c r="AD365" s="22" t="inlineStr">
        <is>
          <t>미확인</t>
        </is>
      </c>
      <c r="AE365" s="22" t="inlineStr">
        <is>
          <t>미확인</t>
        </is>
      </c>
      <c r="AF365" s="22" t="inlineStr">
        <is>
          <t>미확인</t>
        </is>
      </c>
      <c r="AG365" s="22" t="inlineStr">
        <is>
          <t>미확인</t>
        </is>
      </c>
      <c r="AH365" s="22" t="inlineStr">
        <is>
          <t>미확인</t>
        </is>
      </c>
      <c r="AI365" s="22" t="inlineStr">
        <is>
          <t>미확인</t>
        </is>
      </c>
      <c r="AJ365" s="22" t="inlineStr">
        <is>
          <t>미확인</t>
        </is>
      </c>
      <c r="AK365" s="22" t="inlineStr">
        <is>
          <t>미확인</t>
        </is>
      </c>
      <c r="AL365" s="22" t="inlineStr">
        <is>
          <t>미확인</t>
        </is>
      </c>
      <c r="AM365" s="22" t="inlineStr">
        <is>
          <t>미확인</t>
        </is>
      </c>
      <c r="AN365" s="22" t="inlineStr">
        <is>
          <t>미확인</t>
        </is>
      </c>
      <c r="AO365" s="17" t="inlineStr">
        <is>
          <t>C(부분확인)</t>
        </is>
      </c>
      <c r="AP365" s="17" t="inlineStr">
        <is>
          <t>Y</t>
        </is>
      </c>
      <c r="AQ365" s="17" t="n">
        <v>22</v>
      </c>
      <c r="AR365" s="28" t="inlineStr">
        <is>
          <t>Tier D</t>
        </is>
      </c>
      <c r="AS365" s="17" t="inlineStr">
        <is>
          <t>QMS+LIMS</t>
        </is>
      </c>
      <c r="AT365" s="17" t="inlineStr">
        <is>
          <t>무균/바이오 제조로 품질관리 난도 높음</t>
        </is>
      </c>
      <c r="AU365" s="17" t="inlineStr">
        <is>
          <t>담당자 파악 후 접촉</t>
        </is>
      </c>
      <c r="AV365" s="17" t="inlineStr">
        <is>
          <t>GMP적합판정+KRX</t>
        </is>
      </c>
      <c r="AW365" s="17" t="inlineStr">
        <is>
          <t>2026-07-05</t>
        </is>
      </c>
    </row>
    <row r="366">
      <c r="A366" s="17" t="inlineStr">
        <is>
          <t>C365</t>
        </is>
      </c>
      <c r="B366" s="17" t="inlineStr">
        <is>
          <t>부광약품</t>
        </is>
      </c>
      <c r="C366" s="17" t="inlineStr">
        <is>
          <t>부광약품(주)</t>
        </is>
      </c>
      <c r="D366" s="17" t="n">
        <v>1</v>
      </c>
      <c r="E366" s="17" t="n">
        <v>1</v>
      </c>
      <c r="F366" s="17" t="inlineStr">
        <is>
          <t>Y</t>
        </is>
      </c>
      <c r="G366" s="17" t="inlineStr"/>
      <c r="H366" s="17" t="inlineStr">
        <is>
          <t>Y</t>
        </is>
      </c>
      <c r="I366" s="17" t="inlineStr"/>
      <c r="J366" s="24" t="n">
        <v>46412</v>
      </c>
      <c r="K366" s="17" t="inlineStr"/>
      <c r="L366" s="17" t="inlineStr">
        <is>
          <t>Y</t>
        </is>
      </c>
      <c r="M366" s="17" t="inlineStr">
        <is>
          <t>유가</t>
        </is>
      </c>
      <c r="N366" s="23" t="inlineStr">
        <is>
          <t>003000</t>
        </is>
      </c>
      <c r="O366" s="17" t="inlineStr">
        <is>
          <t>의약품 제조업</t>
        </is>
      </c>
      <c r="P366" s="17" t="inlineStr">
        <is>
          <t>의약품,치약,의약부외품(부광탁스,레가론,부광안티프라그) 제조</t>
        </is>
      </c>
      <c r="Q366" s="17" t="inlineStr">
        <is>
          <t>이제영</t>
        </is>
      </c>
      <c r="R366" s="17" t="inlineStr">
        <is>
          <t>http://www.bukwang.co.kr</t>
        </is>
      </c>
      <c r="S366" s="17" t="inlineStr">
        <is>
          <t>서울특별시</t>
        </is>
      </c>
      <c r="T366" s="17" t="inlineStr">
        <is>
          <t>031-492-0908</t>
        </is>
      </c>
      <c r="U366" s="17" t="inlineStr">
        <is>
          <t>제조소상세</t>
        </is>
      </c>
      <c r="V366" s="22" t="inlineStr">
        <is>
          <t>미확인</t>
        </is>
      </c>
      <c r="W366" s="22" t="inlineStr">
        <is>
          <t>미확인</t>
        </is>
      </c>
      <c r="X366" s="22" t="inlineStr">
        <is>
          <t>미확인</t>
        </is>
      </c>
      <c r="Y366" s="22" t="inlineStr">
        <is>
          <t>미확인</t>
        </is>
      </c>
      <c r="Z366" s="22" t="inlineStr">
        <is>
          <t>미확인</t>
        </is>
      </c>
      <c r="AA366" s="22" t="inlineStr">
        <is>
          <t>미확인</t>
        </is>
      </c>
      <c r="AB366" s="22" t="inlineStr">
        <is>
          <t>미확인</t>
        </is>
      </c>
      <c r="AC366" s="22" t="inlineStr">
        <is>
          <t>미확인</t>
        </is>
      </c>
      <c r="AD366" s="22" t="inlineStr">
        <is>
          <t>미확인</t>
        </is>
      </c>
      <c r="AE366" s="22" t="inlineStr">
        <is>
          <t>미확인</t>
        </is>
      </c>
      <c r="AF366" s="22" t="inlineStr">
        <is>
          <t>미확인</t>
        </is>
      </c>
      <c r="AG366" s="22" t="inlineStr">
        <is>
          <t>미확인</t>
        </is>
      </c>
      <c r="AH366" s="22" t="inlineStr">
        <is>
          <t>미확인</t>
        </is>
      </c>
      <c r="AI366" s="22" t="inlineStr">
        <is>
          <t>미확인</t>
        </is>
      </c>
      <c r="AJ366" s="22" t="inlineStr">
        <is>
          <t>미확인</t>
        </is>
      </c>
      <c r="AK366" s="22" t="inlineStr">
        <is>
          <t>미확인</t>
        </is>
      </c>
      <c r="AL366" s="22" t="inlineStr">
        <is>
          <t>미확인</t>
        </is>
      </c>
      <c r="AM366" s="22" t="inlineStr">
        <is>
          <t>미확인</t>
        </is>
      </c>
      <c r="AN366" s="22" t="inlineStr">
        <is>
          <t>미확인</t>
        </is>
      </c>
      <c r="AO366" s="17" t="inlineStr">
        <is>
          <t>C(부분확인)</t>
        </is>
      </c>
      <c r="AP366" s="17" t="inlineStr">
        <is>
          <t>Y</t>
        </is>
      </c>
      <c r="AQ366" s="17" t="n">
        <v>18</v>
      </c>
      <c r="AR366" s="28" t="inlineStr">
        <is>
          <t>Tier D</t>
        </is>
      </c>
      <c r="AS366" s="17" t="inlineStr">
        <is>
          <t>QMS+LIMS</t>
        </is>
      </c>
      <c r="AT366" s="17" t="inlineStr">
        <is>
          <t>무균/바이오 제조로 품질관리 난도 높음</t>
        </is>
      </c>
      <c r="AU366" s="17" t="inlineStr">
        <is>
          <t>담당자 파악 후 접촉</t>
        </is>
      </c>
      <c r="AV366" s="17" t="inlineStr">
        <is>
          <t>GMP적합판정+KRX</t>
        </is>
      </c>
      <c r="AW366" s="17" t="inlineStr">
        <is>
          <t>2026-07-05</t>
        </is>
      </c>
    </row>
    <row r="367">
      <c r="A367" s="17" t="inlineStr">
        <is>
          <t>C366</t>
        </is>
      </c>
      <c r="B367" s="17" t="inlineStr">
        <is>
          <t>메딕스제약</t>
        </is>
      </c>
      <c r="C367" s="17" t="inlineStr">
        <is>
          <t>메딕스제약(주)</t>
        </is>
      </c>
      <c r="D367" s="17" t="n">
        <v>1</v>
      </c>
      <c r="E367" s="17" t="n">
        <v>1</v>
      </c>
      <c r="F367" s="17" t="inlineStr">
        <is>
          <t>Y</t>
        </is>
      </c>
      <c r="G367" s="17" t="inlineStr"/>
      <c r="H367" s="17" t="inlineStr"/>
      <c r="I367" s="17" t="inlineStr"/>
      <c r="J367" s="24" t="n">
        <v>46405</v>
      </c>
      <c r="K367" s="17" t="inlineStr"/>
      <c r="L367" s="17" t="inlineStr"/>
      <c r="M367" s="17" t="inlineStr"/>
      <c r="N367" s="23" t="inlineStr"/>
      <c r="O367" s="17" t="inlineStr"/>
      <c r="P367" s="17" t="inlineStr"/>
      <c r="Q367" s="17" t="inlineStr">
        <is>
          <t>변광민</t>
        </is>
      </c>
      <c r="R367" s="17" t="inlineStr"/>
      <c r="S367" s="17" t="inlineStr"/>
      <c r="T367" s="17" t="inlineStr">
        <is>
          <t>미확인</t>
        </is>
      </c>
      <c r="U367" s="17" t="inlineStr">
        <is>
          <t>미확인</t>
        </is>
      </c>
      <c r="V367" s="22" t="inlineStr">
        <is>
          <t>미확인</t>
        </is>
      </c>
      <c r="W367" s="22" t="inlineStr">
        <is>
          <t>미확인</t>
        </is>
      </c>
      <c r="X367" s="22" t="inlineStr">
        <is>
          <t>미확인</t>
        </is>
      </c>
      <c r="Y367" s="22" t="inlineStr">
        <is>
          <t>미확인</t>
        </is>
      </c>
      <c r="Z367" s="22" t="inlineStr">
        <is>
          <t>미확인</t>
        </is>
      </c>
      <c r="AA367" s="22" t="inlineStr">
        <is>
          <t>미확인</t>
        </is>
      </c>
      <c r="AB367" s="22" t="inlineStr">
        <is>
          <t>미확인</t>
        </is>
      </c>
      <c r="AC367" s="22" t="inlineStr">
        <is>
          <t>미확인</t>
        </is>
      </c>
      <c r="AD367" s="22" t="inlineStr">
        <is>
          <t>미확인</t>
        </is>
      </c>
      <c r="AE367" s="22" t="inlineStr">
        <is>
          <t>미확인</t>
        </is>
      </c>
      <c r="AF367" s="22" t="inlineStr">
        <is>
          <t>미확인</t>
        </is>
      </c>
      <c r="AG367" s="22" t="inlineStr">
        <is>
          <t>미확인</t>
        </is>
      </c>
      <c r="AH367" s="22" t="inlineStr">
        <is>
          <t>미확인</t>
        </is>
      </c>
      <c r="AI367" s="22" t="inlineStr">
        <is>
          <t>미확인</t>
        </is>
      </c>
      <c r="AJ367" s="22" t="inlineStr">
        <is>
          <t>미확인</t>
        </is>
      </c>
      <c r="AK367" s="22" t="inlineStr">
        <is>
          <t>미확인</t>
        </is>
      </c>
      <c r="AL367" s="22" t="inlineStr">
        <is>
          <t>미확인</t>
        </is>
      </c>
      <c r="AM367" s="22" t="inlineStr">
        <is>
          <t>미확인</t>
        </is>
      </c>
      <c r="AN367" s="22" t="inlineStr">
        <is>
          <t>미확인</t>
        </is>
      </c>
      <c r="AO367" s="17" t="inlineStr">
        <is>
          <t>C(부분확인)</t>
        </is>
      </c>
      <c r="AP367" s="17" t="inlineStr">
        <is>
          <t>Y</t>
        </is>
      </c>
      <c r="AQ367" s="17" t="n">
        <v>7</v>
      </c>
      <c r="AR367" s="28" t="inlineStr">
        <is>
          <t>Tier D</t>
        </is>
      </c>
      <c r="AS367" s="17" t="inlineStr">
        <is>
          <t>QMS</t>
        </is>
      </c>
      <c r="AT367" s="17" t="inlineStr">
        <is>
          <t>기본 GMP 문서관리 대상</t>
        </is>
      </c>
      <c r="AU367" s="17" t="inlineStr">
        <is>
          <t>담당자 파악 후 접촉</t>
        </is>
      </c>
      <c r="AV367" s="17" t="inlineStr">
        <is>
          <t>GMP적합판정+KRX</t>
        </is>
      </c>
      <c r="AW367" s="17" t="inlineStr">
        <is>
          <t>2026-07-05</t>
        </is>
      </c>
    </row>
    <row r="368">
      <c r="A368" s="17" t="inlineStr">
        <is>
          <t>C367</t>
        </is>
      </c>
      <c r="B368" s="17" t="inlineStr">
        <is>
          <t>한국유나이티드제약</t>
        </is>
      </c>
      <c r="C368" s="17" t="inlineStr">
        <is>
          <t>한국유나이티드제약(주)</t>
        </is>
      </c>
      <c r="D368" s="17" t="n">
        <v>2</v>
      </c>
      <c r="E368" s="17" t="n">
        <v>2</v>
      </c>
      <c r="F368" s="17" t="inlineStr">
        <is>
          <t>Y</t>
        </is>
      </c>
      <c r="G368" s="17" t="inlineStr"/>
      <c r="H368" s="17" t="inlineStr">
        <is>
          <t>Y</t>
        </is>
      </c>
      <c r="I368" s="17" t="inlineStr"/>
      <c r="J368" s="24" t="n">
        <v>46404</v>
      </c>
      <c r="K368" s="17" t="inlineStr"/>
      <c r="L368" s="17" t="inlineStr"/>
      <c r="M368" s="17" t="inlineStr"/>
      <c r="N368" s="23" t="inlineStr"/>
      <c r="O368" s="17" t="inlineStr"/>
      <c r="P368" s="17" t="inlineStr"/>
      <c r="Q368" s="17" t="inlineStr">
        <is>
          <t>강덕영</t>
        </is>
      </c>
      <c r="R368" s="17" t="inlineStr"/>
      <c r="S368" s="17" t="inlineStr"/>
      <c r="T368" s="17" t="inlineStr">
        <is>
          <t>041-862-6856</t>
        </is>
      </c>
      <c r="U368" s="17" t="inlineStr">
        <is>
          <t>제조소상세</t>
        </is>
      </c>
      <c r="V368" s="22" t="inlineStr">
        <is>
          <t>미확인</t>
        </is>
      </c>
      <c r="W368" s="22" t="inlineStr">
        <is>
          <t>미확인</t>
        </is>
      </c>
      <c r="X368" s="22" t="inlineStr">
        <is>
          <t>미확인</t>
        </is>
      </c>
      <c r="Y368" s="22" t="inlineStr">
        <is>
          <t>미확인</t>
        </is>
      </c>
      <c r="Z368" s="22" t="inlineStr">
        <is>
          <t>미확인</t>
        </is>
      </c>
      <c r="AA368" s="22" t="inlineStr">
        <is>
          <t>미확인</t>
        </is>
      </c>
      <c r="AB368" s="22" t="inlineStr">
        <is>
          <t>미확인</t>
        </is>
      </c>
      <c r="AC368" s="22" t="inlineStr">
        <is>
          <t>미확인</t>
        </is>
      </c>
      <c r="AD368" s="22" t="inlineStr">
        <is>
          <t>미확인</t>
        </is>
      </c>
      <c r="AE368" s="22" t="inlineStr">
        <is>
          <t>미확인</t>
        </is>
      </c>
      <c r="AF368" s="22" t="inlineStr">
        <is>
          <t>미확인</t>
        </is>
      </c>
      <c r="AG368" s="22" t="inlineStr">
        <is>
          <t>미확인</t>
        </is>
      </c>
      <c r="AH368" s="22" t="inlineStr">
        <is>
          <t>미확인</t>
        </is>
      </c>
      <c r="AI368" s="22" t="inlineStr">
        <is>
          <t>미확인</t>
        </is>
      </c>
      <c r="AJ368" s="22" t="inlineStr">
        <is>
          <t>미확인</t>
        </is>
      </c>
      <c r="AK368" s="22" t="inlineStr">
        <is>
          <t>미확인</t>
        </is>
      </c>
      <c r="AL368" s="22" t="inlineStr">
        <is>
          <t>미확인</t>
        </is>
      </c>
      <c r="AM368" s="22" t="inlineStr">
        <is>
          <t>미확인</t>
        </is>
      </c>
      <c r="AN368" s="22" t="inlineStr">
        <is>
          <t>미확인</t>
        </is>
      </c>
      <c r="AO368" s="17" t="inlineStr">
        <is>
          <t>C(부분확인)</t>
        </is>
      </c>
      <c r="AP368" s="17" t="inlineStr">
        <is>
          <t>Y</t>
        </is>
      </c>
      <c r="AQ368" s="17" t="n">
        <v>19</v>
      </c>
      <c r="AR368" s="28" t="inlineStr">
        <is>
          <t>Tier D</t>
        </is>
      </c>
      <c r="AS368" s="17" t="inlineStr">
        <is>
          <t>통합형</t>
        </is>
      </c>
      <c r="AT368" s="17" t="inlineStr">
        <is>
          <t>다중 제조소/다수 판정서로 문서관리 복잡; 무균/바이오 제조로 품질관리 난도 높음</t>
        </is>
      </c>
      <c r="AU368" s="17" t="inlineStr">
        <is>
          <t>담당자 파악 후 접촉</t>
        </is>
      </c>
      <c r="AV368" s="17" t="inlineStr">
        <is>
          <t>GMP적합판정+KRX</t>
        </is>
      </c>
      <c r="AW368" s="17" t="inlineStr">
        <is>
          <t>2026-07-05</t>
        </is>
      </c>
    </row>
    <row r="369">
      <c r="A369" s="17" t="inlineStr">
        <is>
          <t>C368</t>
        </is>
      </c>
      <c r="B369" s="17" t="inlineStr">
        <is>
          <t>태광산업가스</t>
        </is>
      </c>
      <c r="C369" s="17" t="inlineStr">
        <is>
          <t>태광산업가스(주)</t>
        </is>
      </c>
      <c r="D369" s="17" t="n">
        <v>1</v>
      </c>
      <c r="E369" s="17" t="n">
        <v>1</v>
      </c>
      <c r="F369" s="17" t="inlineStr">
        <is>
          <t>Y</t>
        </is>
      </c>
      <c r="G369" s="17" t="inlineStr"/>
      <c r="H369" s="17" t="inlineStr"/>
      <c r="I369" s="17" t="inlineStr"/>
      <c r="J369" s="24" t="n">
        <v>46402</v>
      </c>
      <c r="K369" s="17" t="inlineStr"/>
      <c r="L369" s="17" t="inlineStr"/>
      <c r="M369" s="17" t="inlineStr"/>
      <c r="N369" s="23" t="inlineStr"/>
      <c r="O369" s="17" t="inlineStr"/>
      <c r="P369" s="17" t="inlineStr"/>
      <c r="Q369" s="17" t="inlineStr">
        <is>
          <t>박계임</t>
        </is>
      </c>
      <c r="R369" s="17" t="inlineStr"/>
      <c r="S369" s="17" t="inlineStr"/>
      <c r="T369" s="17" t="inlineStr">
        <is>
          <t>미확인</t>
        </is>
      </c>
      <c r="U369" s="17" t="inlineStr">
        <is>
          <t>미확인</t>
        </is>
      </c>
      <c r="V369" s="22" t="inlineStr">
        <is>
          <t>미확인</t>
        </is>
      </c>
      <c r="W369" s="22" t="inlineStr">
        <is>
          <t>미확인</t>
        </is>
      </c>
      <c r="X369" s="22" t="inlineStr">
        <is>
          <t>미확인</t>
        </is>
      </c>
      <c r="Y369" s="22" t="inlineStr">
        <is>
          <t>미확인</t>
        </is>
      </c>
      <c r="Z369" s="22" t="inlineStr">
        <is>
          <t>미확인</t>
        </is>
      </c>
      <c r="AA369" s="22" t="inlineStr">
        <is>
          <t>미확인</t>
        </is>
      </c>
      <c r="AB369" s="22" t="inlineStr">
        <is>
          <t>미확인</t>
        </is>
      </c>
      <c r="AC369" s="22" t="inlineStr">
        <is>
          <t>미확인</t>
        </is>
      </c>
      <c r="AD369" s="22" t="inlineStr">
        <is>
          <t>미확인</t>
        </is>
      </c>
      <c r="AE369" s="22" t="inlineStr">
        <is>
          <t>미확인</t>
        </is>
      </c>
      <c r="AF369" s="22" t="inlineStr">
        <is>
          <t>미확인</t>
        </is>
      </c>
      <c r="AG369" s="22" t="inlineStr">
        <is>
          <t>미확인</t>
        </is>
      </c>
      <c r="AH369" s="22" t="inlineStr">
        <is>
          <t>미확인</t>
        </is>
      </c>
      <c r="AI369" s="22" t="inlineStr">
        <is>
          <t>미확인</t>
        </is>
      </c>
      <c r="AJ369" s="22" t="inlineStr">
        <is>
          <t>미확인</t>
        </is>
      </c>
      <c r="AK369" s="22" t="inlineStr">
        <is>
          <t>미확인</t>
        </is>
      </c>
      <c r="AL369" s="22" t="inlineStr">
        <is>
          <t>미확인</t>
        </is>
      </c>
      <c r="AM369" s="22" t="inlineStr">
        <is>
          <t>미확인</t>
        </is>
      </c>
      <c r="AN369" s="22" t="inlineStr">
        <is>
          <t>미확인</t>
        </is>
      </c>
      <c r="AO369" s="17" t="inlineStr">
        <is>
          <t>C(부분확인)</t>
        </is>
      </c>
      <c r="AP369" s="17" t="inlineStr">
        <is>
          <t>Y</t>
        </is>
      </c>
      <c r="AQ369" s="17" t="n">
        <v>7</v>
      </c>
      <c r="AR369" s="28" t="inlineStr">
        <is>
          <t>Tier D</t>
        </is>
      </c>
      <c r="AS369" s="17" t="inlineStr">
        <is>
          <t>QMS</t>
        </is>
      </c>
      <c r="AT369" s="17" t="inlineStr">
        <is>
          <t>기본 GMP 문서관리 대상</t>
        </is>
      </c>
      <c r="AU369" s="17" t="inlineStr">
        <is>
          <t>담당자 파악 후 접촉</t>
        </is>
      </c>
      <c r="AV369" s="17" t="inlineStr">
        <is>
          <t>GMP적합판정+KRX</t>
        </is>
      </c>
      <c r="AW369" s="17" t="inlineStr">
        <is>
          <t>2026-07-05</t>
        </is>
      </c>
    </row>
    <row r="370">
      <c r="A370" s="17" t="inlineStr">
        <is>
          <t>C369</t>
        </is>
      </c>
      <c r="B370" s="17" t="inlineStr">
        <is>
          <t>국립암센터</t>
        </is>
      </c>
      <c r="C370" s="17" t="inlineStr">
        <is>
          <t>국립암센터</t>
        </is>
      </c>
      <c r="D370" s="17" t="n">
        <v>1</v>
      </c>
      <c r="E370" s="17" t="n">
        <v>1</v>
      </c>
      <c r="F370" s="17" t="inlineStr">
        <is>
          <t>Y</t>
        </is>
      </c>
      <c r="G370" s="17" t="inlineStr"/>
      <c r="H370" s="17" t="inlineStr">
        <is>
          <t>Y</t>
        </is>
      </c>
      <c r="I370" s="17" t="inlineStr"/>
      <c r="J370" s="24" t="n">
        <v>46398</v>
      </c>
      <c r="K370" s="17" t="inlineStr"/>
      <c r="L370" s="17" t="inlineStr"/>
      <c r="M370" s="17" t="inlineStr"/>
      <c r="N370" s="23" t="inlineStr"/>
      <c r="O370" s="17" t="inlineStr"/>
      <c r="P370" s="17" t="inlineStr"/>
      <c r="Q370" s="17" t="inlineStr">
        <is>
          <t>양한광</t>
        </is>
      </c>
      <c r="R370" s="17" t="inlineStr"/>
      <c r="S370" s="17" t="inlineStr"/>
      <c r="T370" s="17" t="inlineStr">
        <is>
          <t>031-920-0114</t>
        </is>
      </c>
      <c r="U370" s="17" t="inlineStr">
        <is>
          <t>제조소상세</t>
        </is>
      </c>
      <c r="V370" s="22" t="inlineStr">
        <is>
          <t>미확인</t>
        </is>
      </c>
      <c r="W370" s="22" t="inlineStr">
        <is>
          <t>미확인</t>
        </is>
      </c>
      <c r="X370" s="22" t="inlineStr">
        <is>
          <t>미확인</t>
        </is>
      </c>
      <c r="Y370" s="22" t="inlineStr">
        <is>
          <t>미확인</t>
        </is>
      </c>
      <c r="Z370" s="22" t="inlineStr">
        <is>
          <t>미확인</t>
        </is>
      </c>
      <c r="AA370" s="22" t="inlineStr">
        <is>
          <t>미확인</t>
        </is>
      </c>
      <c r="AB370" s="22" t="inlineStr">
        <is>
          <t>미확인</t>
        </is>
      </c>
      <c r="AC370" s="22" t="inlineStr">
        <is>
          <t>미확인</t>
        </is>
      </c>
      <c r="AD370" s="22" t="inlineStr">
        <is>
          <t>미확인</t>
        </is>
      </c>
      <c r="AE370" s="22" t="inlineStr">
        <is>
          <t>미확인</t>
        </is>
      </c>
      <c r="AF370" s="22" t="inlineStr">
        <is>
          <t>미확인</t>
        </is>
      </c>
      <c r="AG370" s="22" t="inlineStr">
        <is>
          <t>미확인</t>
        </is>
      </c>
      <c r="AH370" s="22" t="inlineStr">
        <is>
          <t>미확인</t>
        </is>
      </c>
      <c r="AI370" s="22" t="inlineStr">
        <is>
          <t>미확인</t>
        </is>
      </c>
      <c r="AJ370" s="22" t="inlineStr">
        <is>
          <t>미확인</t>
        </is>
      </c>
      <c r="AK370" s="22" t="inlineStr">
        <is>
          <t>미확인</t>
        </is>
      </c>
      <c r="AL370" s="22" t="inlineStr">
        <is>
          <t>미확인</t>
        </is>
      </c>
      <c r="AM370" s="22" t="inlineStr">
        <is>
          <t>미확인</t>
        </is>
      </c>
      <c r="AN370" s="22" t="inlineStr">
        <is>
          <t>미확인</t>
        </is>
      </c>
      <c r="AO370" s="17" t="inlineStr">
        <is>
          <t>C(부분확인)</t>
        </is>
      </c>
      <c r="AP370" s="17" t="inlineStr">
        <is>
          <t>Y</t>
        </is>
      </c>
      <c r="AQ370" s="17" t="n">
        <v>15</v>
      </c>
      <c r="AR370" s="28" t="inlineStr">
        <is>
          <t>Tier D</t>
        </is>
      </c>
      <c r="AS370" s="17" t="inlineStr">
        <is>
          <t>QMS+LIMS</t>
        </is>
      </c>
      <c r="AT370" s="17" t="inlineStr">
        <is>
          <t>무균/바이오 제조로 품질관리 난도 높음</t>
        </is>
      </c>
      <c r="AU370" s="17" t="inlineStr">
        <is>
          <t>담당자 파악 후 접촉</t>
        </is>
      </c>
      <c r="AV370" s="17" t="inlineStr">
        <is>
          <t>GMP적합판정+KRX</t>
        </is>
      </c>
      <c r="AW370" s="17" t="inlineStr">
        <is>
          <t>2026-07-05</t>
        </is>
      </c>
    </row>
    <row r="371">
      <c r="A371" s="17" t="inlineStr">
        <is>
          <t>C370</t>
        </is>
      </c>
      <c r="B371" s="17" t="inlineStr">
        <is>
          <t>휴온스</t>
        </is>
      </c>
      <c r="C371" s="17" t="inlineStr">
        <is>
          <t>(주)휴온스</t>
        </is>
      </c>
      <c r="D371" s="17" t="n">
        <v>2</v>
      </c>
      <c r="E371" s="17" t="n">
        <v>2</v>
      </c>
      <c r="F371" s="17" t="inlineStr">
        <is>
          <t>Y</t>
        </is>
      </c>
      <c r="G371" s="17" t="inlineStr"/>
      <c r="H371" s="17" t="inlineStr">
        <is>
          <t>Y</t>
        </is>
      </c>
      <c r="I371" s="17" t="inlineStr"/>
      <c r="J371" s="24" t="n">
        <v>46275</v>
      </c>
      <c r="K371" s="17" t="inlineStr">
        <is>
          <t>Y</t>
        </is>
      </c>
      <c r="L371" s="17" t="inlineStr">
        <is>
          <t>Y</t>
        </is>
      </c>
      <c r="M371" s="17" t="inlineStr">
        <is>
          <t>코스닥</t>
        </is>
      </c>
      <c r="N371" s="23" t="inlineStr">
        <is>
          <t>243070</t>
        </is>
      </c>
      <c r="O371" s="17" t="inlineStr">
        <is>
          <t>의약품 제조업</t>
        </is>
      </c>
      <c r="P371" s="17" t="inlineStr">
        <is>
          <t>전문의약품, 일반의약품</t>
        </is>
      </c>
      <c r="Q371" s="17" t="inlineStr">
        <is>
          <t>Song Soo-young</t>
        </is>
      </c>
      <c r="R371" s="17" t="inlineStr">
        <is>
          <t>http://www.huons.com</t>
        </is>
      </c>
      <c r="S371" s="17" t="inlineStr">
        <is>
          <t>경기도</t>
        </is>
      </c>
      <c r="T371" s="17" t="inlineStr">
        <is>
          <t>미확인</t>
        </is>
      </c>
      <c r="U371" s="17" t="inlineStr">
        <is>
          <t>미확인</t>
        </is>
      </c>
      <c r="V371" s="22" t="inlineStr">
        <is>
          <t>미확인</t>
        </is>
      </c>
      <c r="W371" s="22" t="inlineStr">
        <is>
          <t>미확인</t>
        </is>
      </c>
      <c r="X371" s="22" t="inlineStr">
        <is>
          <t>미확인</t>
        </is>
      </c>
      <c r="Y371" s="22" t="inlineStr">
        <is>
          <t>미확인</t>
        </is>
      </c>
      <c r="Z371" s="22" t="inlineStr">
        <is>
          <t>미확인</t>
        </is>
      </c>
      <c r="AA371" s="22" t="inlineStr">
        <is>
          <t>미확인</t>
        </is>
      </c>
      <c r="AB371" s="22" t="inlineStr">
        <is>
          <t>미확인</t>
        </is>
      </c>
      <c r="AC371" s="22" t="inlineStr">
        <is>
          <t>미확인</t>
        </is>
      </c>
      <c r="AD371" s="22" t="inlineStr">
        <is>
          <t>미확인</t>
        </is>
      </c>
      <c r="AE371" s="22" t="inlineStr">
        <is>
          <t>미확인</t>
        </is>
      </c>
      <c r="AF371" s="22" t="inlineStr">
        <is>
          <t>미확인</t>
        </is>
      </c>
      <c r="AG371" s="22" t="inlineStr">
        <is>
          <t>미확인</t>
        </is>
      </c>
      <c r="AH371" s="22" t="inlineStr">
        <is>
          <t>미확인</t>
        </is>
      </c>
      <c r="AI371" s="22" t="inlineStr">
        <is>
          <t>미확인</t>
        </is>
      </c>
      <c r="AJ371" s="22" t="inlineStr">
        <is>
          <t>미확인</t>
        </is>
      </c>
      <c r="AK371" s="22" t="inlineStr">
        <is>
          <t>미확인</t>
        </is>
      </c>
      <c r="AL371" s="22" t="inlineStr">
        <is>
          <t>미확인</t>
        </is>
      </c>
      <c r="AM371" s="22" t="inlineStr">
        <is>
          <t>미확인</t>
        </is>
      </c>
      <c r="AN371" s="22" t="inlineStr">
        <is>
          <t>미확인</t>
        </is>
      </c>
      <c r="AO371" s="17" t="inlineStr">
        <is>
          <t>C(부분확인)</t>
        </is>
      </c>
      <c r="AP371" s="17" t="inlineStr">
        <is>
          <t>Y</t>
        </is>
      </c>
      <c r="AQ371" s="17" t="n">
        <v>21</v>
      </c>
      <c r="AR371" s="28" t="inlineStr">
        <is>
          <t>Tier D</t>
        </is>
      </c>
      <c r="AS371" s="17" t="inlineStr">
        <is>
          <t>통합형</t>
        </is>
      </c>
      <c r="AT371" s="17" t="inlineStr">
        <is>
          <t>다중 제조소/다수 판정서로 문서관리 복잡; 무균/바이오 제조로 품질관리 난도 높음</t>
        </is>
      </c>
      <c r="AU371" s="17" t="inlineStr">
        <is>
          <t>담당자 파악 후 접촉</t>
        </is>
      </c>
      <c r="AV371" s="17" t="inlineStr">
        <is>
          <t>GMP적합판정+KRX</t>
        </is>
      </c>
      <c r="AW371" s="17" t="inlineStr">
        <is>
          <t>2026-07-05</t>
        </is>
      </c>
    </row>
    <row r="372">
      <c r="A372" s="17" t="inlineStr">
        <is>
          <t>C371</t>
        </is>
      </c>
      <c r="B372" s="17" t="inlineStr">
        <is>
          <t>노바엠헬스케어</t>
        </is>
      </c>
      <c r="C372" s="17" t="inlineStr">
        <is>
          <t>주식회사 노바엠헬스케어</t>
        </is>
      </c>
      <c r="D372" s="17" t="n">
        <v>1</v>
      </c>
      <c r="E372" s="17" t="n">
        <v>1</v>
      </c>
      <c r="F372" s="17" t="inlineStr">
        <is>
          <t>Y</t>
        </is>
      </c>
      <c r="G372" s="17" t="inlineStr"/>
      <c r="H372" s="17" t="inlineStr"/>
      <c r="I372" s="17" t="inlineStr"/>
      <c r="J372" s="24" t="n">
        <v>46376</v>
      </c>
      <c r="K372" s="17" t="inlineStr">
        <is>
          <t>Y</t>
        </is>
      </c>
      <c r="L372" s="17" t="inlineStr"/>
      <c r="M372" s="17" t="inlineStr"/>
      <c r="N372" s="23" t="inlineStr"/>
      <c r="O372" s="17" t="inlineStr"/>
      <c r="P372" s="17" t="inlineStr"/>
      <c r="Q372" s="17" t="inlineStr">
        <is>
          <t>권준범</t>
        </is>
      </c>
      <c r="R372" s="17" t="inlineStr"/>
      <c r="S372" s="17" t="inlineStr"/>
      <c r="T372" s="17" t="inlineStr">
        <is>
          <t>053-217-0033</t>
        </is>
      </c>
      <c r="U372" s="17" t="inlineStr">
        <is>
          <t>제조소상세</t>
        </is>
      </c>
      <c r="V372" s="22" t="inlineStr">
        <is>
          <t>미확인</t>
        </is>
      </c>
      <c r="W372" s="22" t="inlineStr">
        <is>
          <t>미확인</t>
        </is>
      </c>
      <c r="X372" s="22" t="inlineStr">
        <is>
          <t>미확인</t>
        </is>
      </c>
      <c r="Y372" s="22" t="inlineStr">
        <is>
          <t>미확인</t>
        </is>
      </c>
      <c r="Z372" s="22" t="inlineStr">
        <is>
          <t>미확인</t>
        </is>
      </c>
      <c r="AA372" s="22" t="inlineStr">
        <is>
          <t>미확인</t>
        </is>
      </c>
      <c r="AB372" s="22" t="inlineStr">
        <is>
          <t>미확인</t>
        </is>
      </c>
      <c r="AC372" s="22" t="inlineStr">
        <is>
          <t>미확인</t>
        </is>
      </c>
      <c r="AD372" s="22" t="inlineStr">
        <is>
          <t>미확인</t>
        </is>
      </c>
      <c r="AE372" s="22" t="inlineStr">
        <is>
          <t>미확인</t>
        </is>
      </c>
      <c r="AF372" s="22" t="inlineStr">
        <is>
          <t>미확인</t>
        </is>
      </c>
      <c r="AG372" s="22" t="inlineStr">
        <is>
          <t>미확인</t>
        </is>
      </c>
      <c r="AH372" s="22" t="inlineStr">
        <is>
          <t>미확인</t>
        </is>
      </c>
      <c r="AI372" s="22" t="inlineStr">
        <is>
          <t>미확인</t>
        </is>
      </c>
      <c r="AJ372" s="22" t="inlineStr">
        <is>
          <t>미확인</t>
        </is>
      </c>
      <c r="AK372" s="22" t="inlineStr">
        <is>
          <t>미확인</t>
        </is>
      </c>
      <c r="AL372" s="22" t="inlineStr">
        <is>
          <t>미확인</t>
        </is>
      </c>
      <c r="AM372" s="22" t="inlineStr">
        <is>
          <t>미확인</t>
        </is>
      </c>
      <c r="AN372" s="22" t="inlineStr">
        <is>
          <t>미확인</t>
        </is>
      </c>
      <c r="AO372" s="17" t="inlineStr">
        <is>
          <t>C(부분확인)</t>
        </is>
      </c>
      <c r="AP372" s="17" t="inlineStr">
        <is>
          <t>Y</t>
        </is>
      </c>
      <c r="AQ372" s="17" t="n">
        <v>9</v>
      </c>
      <c r="AR372" s="28" t="inlineStr">
        <is>
          <t>Tier D</t>
        </is>
      </c>
      <c r="AS372" s="17" t="inlineStr">
        <is>
          <t>QMS</t>
        </is>
      </c>
      <c r="AT372" s="17" t="inlineStr">
        <is>
          <t>기본 GMP 문서관리 대상</t>
        </is>
      </c>
      <c r="AU372" s="17" t="inlineStr">
        <is>
          <t>담당자 파악 후 접촉</t>
        </is>
      </c>
      <c r="AV372" s="17" t="inlineStr">
        <is>
          <t>GMP적합판정+KRX</t>
        </is>
      </c>
      <c r="AW372" s="17" t="inlineStr">
        <is>
          <t>2026-07-05</t>
        </is>
      </c>
    </row>
    <row r="373">
      <c r="A373" s="17" t="inlineStr">
        <is>
          <t>C372</t>
        </is>
      </c>
      <c r="B373" s="17" t="inlineStr">
        <is>
          <t>신라충전소</t>
        </is>
      </c>
      <c r="C373" s="17" t="inlineStr">
        <is>
          <t>(주)신라충전소</t>
        </is>
      </c>
      <c r="D373" s="17" t="n">
        <v>1</v>
      </c>
      <c r="E373" s="17" t="n">
        <v>1</v>
      </c>
      <c r="F373" s="17" t="inlineStr">
        <is>
          <t>Y</t>
        </is>
      </c>
      <c r="G373" s="17" t="inlineStr"/>
      <c r="H373" s="17" t="inlineStr"/>
      <c r="I373" s="17" t="inlineStr"/>
      <c r="J373" s="24" t="n">
        <v>46370</v>
      </c>
      <c r="K373" s="17" t="inlineStr">
        <is>
          <t>Y</t>
        </is>
      </c>
      <c r="L373" s="17" t="inlineStr"/>
      <c r="M373" s="17" t="inlineStr"/>
      <c r="N373" s="23" t="inlineStr"/>
      <c r="O373" s="17" t="inlineStr"/>
      <c r="P373" s="17" t="inlineStr"/>
      <c r="Q373" s="17" t="inlineStr">
        <is>
          <t>박용인</t>
        </is>
      </c>
      <c r="R373" s="17" t="inlineStr"/>
      <c r="S373" s="17" t="inlineStr"/>
      <c r="T373" s="17" t="inlineStr">
        <is>
          <t>054-453-0405</t>
        </is>
      </c>
      <c r="U373" s="17" t="inlineStr">
        <is>
          <t>제조소상세</t>
        </is>
      </c>
      <c r="V373" s="22" t="inlineStr">
        <is>
          <t>미확인</t>
        </is>
      </c>
      <c r="W373" s="22" t="inlineStr">
        <is>
          <t>미확인</t>
        </is>
      </c>
      <c r="X373" s="22" t="inlineStr">
        <is>
          <t>미확인</t>
        </is>
      </c>
      <c r="Y373" s="22" t="inlineStr">
        <is>
          <t>미확인</t>
        </is>
      </c>
      <c r="Z373" s="22" t="inlineStr">
        <is>
          <t>미확인</t>
        </is>
      </c>
      <c r="AA373" s="22" t="inlineStr">
        <is>
          <t>미확인</t>
        </is>
      </c>
      <c r="AB373" s="22" t="inlineStr">
        <is>
          <t>미확인</t>
        </is>
      </c>
      <c r="AC373" s="22" t="inlineStr">
        <is>
          <t>미확인</t>
        </is>
      </c>
      <c r="AD373" s="22" t="inlineStr">
        <is>
          <t>미확인</t>
        </is>
      </c>
      <c r="AE373" s="22" t="inlineStr">
        <is>
          <t>미확인</t>
        </is>
      </c>
      <c r="AF373" s="22" t="inlineStr">
        <is>
          <t>미확인</t>
        </is>
      </c>
      <c r="AG373" s="22" t="inlineStr">
        <is>
          <t>미확인</t>
        </is>
      </c>
      <c r="AH373" s="22" t="inlineStr">
        <is>
          <t>미확인</t>
        </is>
      </c>
      <c r="AI373" s="22" t="inlineStr">
        <is>
          <t>미확인</t>
        </is>
      </c>
      <c r="AJ373" s="22" t="inlineStr">
        <is>
          <t>미확인</t>
        </is>
      </c>
      <c r="AK373" s="22" t="inlineStr">
        <is>
          <t>미확인</t>
        </is>
      </c>
      <c r="AL373" s="22" t="inlineStr">
        <is>
          <t>미확인</t>
        </is>
      </c>
      <c r="AM373" s="22" t="inlineStr">
        <is>
          <t>미확인</t>
        </is>
      </c>
      <c r="AN373" s="22" t="inlineStr">
        <is>
          <t>미확인</t>
        </is>
      </c>
      <c r="AO373" s="17" t="inlineStr">
        <is>
          <t>C(부분확인)</t>
        </is>
      </c>
      <c r="AP373" s="17" t="inlineStr">
        <is>
          <t>Y</t>
        </is>
      </c>
      <c r="AQ373" s="17" t="n">
        <v>9</v>
      </c>
      <c r="AR373" s="28" t="inlineStr">
        <is>
          <t>Tier D</t>
        </is>
      </c>
      <c r="AS373" s="17" t="inlineStr">
        <is>
          <t>QMS</t>
        </is>
      </c>
      <c r="AT373" s="17" t="inlineStr">
        <is>
          <t>기본 GMP 문서관리 대상</t>
        </is>
      </c>
      <c r="AU373" s="17" t="inlineStr">
        <is>
          <t>담당자 파악 후 접촉</t>
        </is>
      </c>
      <c r="AV373" s="17" t="inlineStr">
        <is>
          <t>GMP적합판정+KRX</t>
        </is>
      </c>
      <c r="AW373" s="17" t="inlineStr">
        <is>
          <t>2026-07-05</t>
        </is>
      </c>
    </row>
    <row r="374">
      <c r="A374" s="17" t="inlineStr">
        <is>
          <t>C373</t>
        </is>
      </c>
      <c r="B374" s="17" t="inlineStr">
        <is>
          <t>펜믹스</t>
        </is>
      </c>
      <c r="C374" s="17" t="inlineStr">
        <is>
          <t>(주)펜믹스</t>
        </is>
      </c>
      <c r="D374" s="17" t="n">
        <v>1</v>
      </c>
      <c r="E374" s="17" t="n">
        <v>1</v>
      </c>
      <c r="F374" s="17" t="inlineStr">
        <is>
          <t>Y</t>
        </is>
      </c>
      <c r="G374" s="17" t="inlineStr"/>
      <c r="H374" s="17" t="inlineStr">
        <is>
          <t>Y</t>
        </is>
      </c>
      <c r="I374" s="17" t="inlineStr"/>
      <c r="J374" s="24" t="n">
        <v>46369</v>
      </c>
      <c r="K374" s="17" t="inlineStr">
        <is>
          <t>Y</t>
        </is>
      </c>
      <c r="L374" s="17" t="inlineStr"/>
      <c r="M374" s="17" t="inlineStr"/>
      <c r="N374" s="23" t="inlineStr"/>
      <c r="O374" s="17" t="inlineStr"/>
      <c r="P374" s="17" t="inlineStr"/>
      <c r="Q374" s="17" t="inlineStr">
        <is>
          <t>박동규</t>
        </is>
      </c>
      <c r="R374" s="17" t="inlineStr"/>
      <c r="S374" s="17" t="inlineStr"/>
      <c r="T374" s="17" t="inlineStr">
        <is>
          <t>041-580-5890</t>
        </is>
      </c>
      <c r="U374" s="17" t="inlineStr">
        <is>
          <t>제조소상세</t>
        </is>
      </c>
      <c r="V374" s="22" t="inlineStr">
        <is>
          <t>미확인</t>
        </is>
      </c>
      <c r="W374" s="22" t="inlineStr">
        <is>
          <t>미확인</t>
        </is>
      </c>
      <c r="X374" s="22" t="inlineStr">
        <is>
          <t>미확인</t>
        </is>
      </c>
      <c r="Y374" s="22" t="inlineStr">
        <is>
          <t>미확인</t>
        </is>
      </c>
      <c r="Z374" s="22" t="inlineStr">
        <is>
          <t>미확인</t>
        </is>
      </c>
      <c r="AA374" s="22" t="inlineStr">
        <is>
          <t>미확인</t>
        </is>
      </c>
      <c r="AB374" s="22" t="inlineStr">
        <is>
          <t>미확인</t>
        </is>
      </c>
      <c r="AC374" s="22" t="inlineStr">
        <is>
          <t>미확인</t>
        </is>
      </c>
      <c r="AD374" s="22" t="inlineStr">
        <is>
          <t>미확인</t>
        </is>
      </c>
      <c r="AE374" s="22" t="inlineStr">
        <is>
          <t>미확인</t>
        </is>
      </c>
      <c r="AF374" s="22" t="inlineStr">
        <is>
          <t>미확인</t>
        </is>
      </c>
      <c r="AG374" s="22" t="inlineStr">
        <is>
          <t>미확인</t>
        </is>
      </c>
      <c r="AH374" s="22" t="inlineStr">
        <is>
          <t>미확인</t>
        </is>
      </c>
      <c r="AI374" s="22" t="inlineStr">
        <is>
          <t>미확인</t>
        </is>
      </c>
      <c r="AJ374" s="22" t="inlineStr">
        <is>
          <t>미확인</t>
        </is>
      </c>
      <c r="AK374" s="22" t="inlineStr">
        <is>
          <t>미확인</t>
        </is>
      </c>
      <c r="AL374" s="22" t="inlineStr">
        <is>
          <t>미확인</t>
        </is>
      </c>
      <c r="AM374" s="22" t="inlineStr">
        <is>
          <t>미확인</t>
        </is>
      </c>
      <c r="AN374" s="22" t="inlineStr">
        <is>
          <t>미확인</t>
        </is>
      </c>
      <c r="AO374" s="17" t="inlineStr">
        <is>
          <t>C(부분확인)</t>
        </is>
      </c>
      <c r="AP374" s="17" t="inlineStr">
        <is>
          <t>Y</t>
        </is>
      </c>
      <c r="AQ374" s="17" t="n">
        <v>17</v>
      </c>
      <c r="AR374" s="28" t="inlineStr">
        <is>
          <t>Tier D</t>
        </is>
      </c>
      <c r="AS374" s="17" t="inlineStr">
        <is>
          <t>QMS+LIMS</t>
        </is>
      </c>
      <c r="AT374" s="17" t="inlineStr">
        <is>
          <t>무균/바이오 제조로 품질관리 난도 높음</t>
        </is>
      </c>
      <c r="AU374" s="17" t="inlineStr">
        <is>
          <t>담당자 파악 후 접촉</t>
        </is>
      </c>
      <c r="AV374" s="17" t="inlineStr">
        <is>
          <t>GMP적합판정+KRX</t>
        </is>
      </c>
      <c r="AW374" s="17" t="inlineStr">
        <is>
          <t>2026-07-05</t>
        </is>
      </c>
    </row>
    <row r="375">
      <c r="A375" s="17" t="inlineStr">
        <is>
          <t>C374</t>
        </is>
      </c>
      <c r="B375" s="17" t="inlineStr">
        <is>
          <t>코아팜바이오</t>
        </is>
      </c>
      <c r="C375" s="17" t="inlineStr">
        <is>
          <t>(주)코아팜바이오</t>
        </is>
      </c>
      <c r="D375" s="17" t="n">
        <v>1</v>
      </c>
      <c r="E375" s="17" t="n">
        <v>1</v>
      </c>
      <c r="F375" s="17" t="inlineStr">
        <is>
          <t>Y</t>
        </is>
      </c>
      <c r="G375" s="17" t="inlineStr"/>
      <c r="H375" s="17" t="inlineStr"/>
      <c r="I375" s="17" t="inlineStr"/>
      <c r="J375" s="24" t="n">
        <v>46369</v>
      </c>
      <c r="K375" s="17" t="inlineStr">
        <is>
          <t>Y</t>
        </is>
      </c>
      <c r="L375" s="17" t="inlineStr"/>
      <c r="M375" s="17" t="inlineStr"/>
      <c r="N375" s="23" t="inlineStr"/>
      <c r="O375" s="17" t="inlineStr"/>
      <c r="P375" s="17" t="inlineStr"/>
      <c r="Q375" s="17" t="inlineStr">
        <is>
          <t>백진욱</t>
        </is>
      </c>
      <c r="R375" s="17" t="inlineStr"/>
      <c r="S375" s="17" t="inlineStr"/>
      <c r="T375" s="17" t="inlineStr">
        <is>
          <t>02-927-8220</t>
        </is>
      </c>
      <c r="U375" s="17" t="inlineStr">
        <is>
          <t>제조소상세</t>
        </is>
      </c>
      <c r="V375" s="22" t="inlineStr">
        <is>
          <t>미확인</t>
        </is>
      </c>
      <c r="W375" s="22" t="inlineStr">
        <is>
          <t>미확인</t>
        </is>
      </c>
      <c r="X375" s="22" t="inlineStr">
        <is>
          <t>미확인</t>
        </is>
      </c>
      <c r="Y375" s="22" t="inlineStr">
        <is>
          <t>미확인</t>
        </is>
      </c>
      <c r="Z375" s="22" t="inlineStr">
        <is>
          <t>미확인</t>
        </is>
      </c>
      <c r="AA375" s="22" t="inlineStr">
        <is>
          <t>미확인</t>
        </is>
      </c>
      <c r="AB375" s="22" t="inlineStr">
        <is>
          <t>미확인</t>
        </is>
      </c>
      <c r="AC375" s="22" t="inlineStr">
        <is>
          <t>미확인</t>
        </is>
      </c>
      <c r="AD375" s="22" t="inlineStr">
        <is>
          <t>미확인</t>
        </is>
      </c>
      <c r="AE375" s="22" t="inlineStr">
        <is>
          <t>미확인</t>
        </is>
      </c>
      <c r="AF375" s="22" t="inlineStr">
        <is>
          <t>미확인</t>
        </is>
      </c>
      <c r="AG375" s="22" t="inlineStr">
        <is>
          <t>미확인</t>
        </is>
      </c>
      <c r="AH375" s="22" t="inlineStr">
        <is>
          <t>미확인</t>
        </is>
      </c>
      <c r="AI375" s="22" t="inlineStr">
        <is>
          <t>미확인</t>
        </is>
      </c>
      <c r="AJ375" s="22" t="inlineStr">
        <is>
          <t>미확인</t>
        </is>
      </c>
      <c r="AK375" s="22" t="inlineStr">
        <is>
          <t>미확인</t>
        </is>
      </c>
      <c r="AL375" s="22" t="inlineStr">
        <is>
          <t>미확인</t>
        </is>
      </c>
      <c r="AM375" s="22" t="inlineStr">
        <is>
          <t>미확인</t>
        </is>
      </c>
      <c r="AN375" s="22" t="inlineStr">
        <is>
          <t>미확인</t>
        </is>
      </c>
      <c r="AO375" s="17" t="inlineStr">
        <is>
          <t>C(부분확인)</t>
        </is>
      </c>
      <c r="AP375" s="17" t="inlineStr">
        <is>
          <t>Y</t>
        </is>
      </c>
      <c r="AQ375" s="17" t="n">
        <v>9</v>
      </c>
      <c r="AR375" s="28" t="inlineStr">
        <is>
          <t>Tier D</t>
        </is>
      </c>
      <c r="AS375" s="17" t="inlineStr">
        <is>
          <t>QMS</t>
        </is>
      </c>
      <c r="AT375" s="17" t="inlineStr">
        <is>
          <t>기본 GMP 문서관리 대상</t>
        </is>
      </c>
      <c r="AU375" s="17" t="inlineStr">
        <is>
          <t>담당자 파악 후 접촉</t>
        </is>
      </c>
      <c r="AV375" s="17" t="inlineStr">
        <is>
          <t>GMP적합판정+KRX</t>
        </is>
      </c>
      <c r="AW375" s="17" t="inlineStr">
        <is>
          <t>2026-07-05</t>
        </is>
      </c>
    </row>
    <row r="376">
      <c r="A376" s="17" t="inlineStr">
        <is>
          <t>C375</t>
        </is>
      </c>
      <c r="B376" s="17" t="inlineStr">
        <is>
          <t>휴온스바이오파마</t>
        </is>
      </c>
      <c r="C376" s="17" t="inlineStr">
        <is>
          <t>(주)휴온스바이오파마</t>
        </is>
      </c>
      <c r="D376" s="17" t="n">
        <v>2</v>
      </c>
      <c r="E376" s="17" t="n">
        <v>1</v>
      </c>
      <c r="F376" s="17" t="inlineStr">
        <is>
          <t>Y</t>
        </is>
      </c>
      <c r="G376" s="17" t="inlineStr">
        <is>
          <t>Y</t>
        </is>
      </c>
      <c r="H376" s="17" t="inlineStr">
        <is>
          <t>Y</t>
        </is>
      </c>
      <c r="I376" s="17" t="inlineStr">
        <is>
          <t>Y</t>
        </is>
      </c>
      <c r="J376" s="24" t="n">
        <v>46362</v>
      </c>
      <c r="K376" s="17" t="inlineStr">
        <is>
          <t>Y</t>
        </is>
      </c>
      <c r="L376" s="17" t="inlineStr"/>
      <c r="M376" s="17" t="inlineStr"/>
      <c r="N376" s="23" t="inlineStr"/>
      <c r="O376" s="17" t="inlineStr"/>
      <c r="P376" s="17" t="inlineStr"/>
      <c r="Q376" s="17" t="inlineStr">
        <is>
          <t>이정희</t>
        </is>
      </c>
      <c r="R376" s="17" t="inlineStr"/>
      <c r="S376" s="17" t="inlineStr"/>
      <c r="T376" s="17" t="inlineStr">
        <is>
          <t>070-7492-3131</t>
        </is>
      </c>
      <c r="U376" s="17" t="inlineStr">
        <is>
          <t>제조소상세</t>
        </is>
      </c>
      <c r="V376" s="22" t="inlineStr">
        <is>
          <t>미확인</t>
        </is>
      </c>
      <c r="W376" s="22" t="inlineStr">
        <is>
          <t>미확인</t>
        </is>
      </c>
      <c r="X376" s="22" t="inlineStr">
        <is>
          <t>미확인</t>
        </is>
      </c>
      <c r="Y376" s="22" t="inlineStr">
        <is>
          <t>미확인</t>
        </is>
      </c>
      <c r="Z376" s="22" t="inlineStr">
        <is>
          <t>미확인</t>
        </is>
      </c>
      <c r="AA376" s="22" t="inlineStr">
        <is>
          <t>미확인</t>
        </is>
      </c>
      <c r="AB376" s="22" t="inlineStr">
        <is>
          <t>미확인</t>
        </is>
      </c>
      <c r="AC376" s="22" t="inlineStr">
        <is>
          <t>미확인</t>
        </is>
      </c>
      <c r="AD376" s="22" t="inlineStr">
        <is>
          <t>미확인</t>
        </is>
      </c>
      <c r="AE376" s="22" t="inlineStr">
        <is>
          <t>미확인</t>
        </is>
      </c>
      <c r="AF376" s="22" t="inlineStr">
        <is>
          <t>미확인</t>
        </is>
      </c>
      <c r="AG376" s="22" t="inlineStr">
        <is>
          <t>미확인</t>
        </is>
      </c>
      <c r="AH376" s="22" t="inlineStr">
        <is>
          <t>미확인</t>
        </is>
      </c>
      <c r="AI376" s="22" t="inlineStr">
        <is>
          <t>미확인</t>
        </is>
      </c>
      <c r="AJ376" s="22" t="inlineStr">
        <is>
          <t>미확인</t>
        </is>
      </c>
      <c r="AK376" s="22" t="inlineStr">
        <is>
          <t>미확인</t>
        </is>
      </c>
      <c r="AL376" s="22" t="inlineStr">
        <is>
          <t>미확인</t>
        </is>
      </c>
      <c r="AM376" s="22" t="inlineStr">
        <is>
          <t>미확인</t>
        </is>
      </c>
      <c r="AN376" s="22" t="inlineStr">
        <is>
          <t>미확인</t>
        </is>
      </c>
      <c r="AO376" s="17" t="inlineStr">
        <is>
          <t>C(부분확인)</t>
        </is>
      </c>
      <c r="AP376" s="17" t="inlineStr">
        <is>
          <t>Y</t>
        </is>
      </c>
      <c r="AQ376" s="17" t="n">
        <v>24</v>
      </c>
      <c r="AR376" s="28" t="inlineStr">
        <is>
          <t>Tier D</t>
        </is>
      </c>
      <c r="AS376" s="17" t="inlineStr">
        <is>
          <t>QMS+LIMS</t>
        </is>
      </c>
      <c r="AT376" s="17" t="inlineStr">
        <is>
          <t>무균/바이오 제조로 품질관리 난도 높음; 원료 제조로 시험실 관리 필요</t>
        </is>
      </c>
      <c r="AU376" s="17" t="inlineStr">
        <is>
          <t>담당자 파악 후 접촉</t>
        </is>
      </c>
      <c r="AV376" s="17" t="inlineStr">
        <is>
          <t>GMP적합판정+KRX</t>
        </is>
      </c>
      <c r="AW376" s="17" t="inlineStr">
        <is>
          <t>2026-07-05</t>
        </is>
      </c>
    </row>
    <row r="377">
      <c r="A377" s="17" t="inlineStr">
        <is>
          <t>C376</t>
        </is>
      </c>
      <c r="B377" s="17" t="inlineStr">
        <is>
          <t>비보존제약</t>
        </is>
      </c>
      <c r="C377" s="17" t="inlineStr">
        <is>
          <t>(주)비보존제약</t>
        </is>
      </c>
      <c r="D377" s="17" t="n">
        <v>1</v>
      </c>
      <c r="E377" s="17" t="n">
        <v>1</v>
      </c>
      <c r="F377" s="17" t="inlineStr">
        <is>
          <t>Y</t>
        </is>
      </c>
      <c r="G377" s="17" t="inlineStr"/>
      <c r="H377" s="17" t="inlineStr"/>
      <c r="I377" s="17" t="inlineStr"/>
      <c r="J377" s="24" t="n">
        <v>46349</v>
      </c>
      <c r="K377" s="17" t="inlineStr">
        <is>
          <t>Y</t>
        </is>
      </c>
      <c r="L377" s="17" t="inlineStr">
        <is>
          <t>Y</t>
        </is>
      </c>
      <c r="M377" s="17" t="inlineStr">
        <is>
          <t>코스닥</t>
        </is>
      </c>
      <c r="N377" s="23" t="inlineStr">
        <is>
          <t>082800</t>
        </is>
      </c>
      <c r="O377" s="17" t="inlineStr">
        <is>
          <t>의약품 제조업</t>
        </is>
      </c>
      <c r="P377" s="17" t="inlineStr">
        <is>
          <t>완제의약품제조</t>
        </is>
      </c>
      <c r="Q377" s="17" t="inlineStr">
        <is>
          <t>장부환</t>
        </is>
      </c>
      <c r="R377" s="17" t="inlineStr">
        <is>
          <t>http://www.vivozonpharm.com</t>
        </is>
      </c>
      <c r="S377" s="17" t="inlineStr">
        <is>
          <t>경기도</t>
        </is>
      </c>
      <c r="T377" s="17" t="inlineStr">
        <is>
          <t>031-3536-5513</t>
        </is>
      </c>
      <c r="U377" s="17" t="inlineStr">
        <is>
          <t>제조소상세</t>
        </is>
      </c>
      <c r="V377" s="22" t="inlineStr">
        <is>
          <t>미확인</t>
        </is>
      </c>
      <c r="W377" s="22" t="inlineStr">
        <is>
          <t>미확인</t>
        </is>
      </c>
      <c r="X377" s="22" t="inlineStr">
        <is>
          <t>미확인</t>
        </is>
      </c>
      <c r="Y377" s="22" t="inlineStr">
        <is>
          <t>미확인</t>
        </is>
      </c>
      <c r="Z377" s="22" t="inlineStr">
        <is>
          <t>미확인</t>
        </is>
      </c>
      <c r="AA377" s="22" t="inlineStr">
        <is>
          <t>미확인</t>
        </is>
      </c>
      <c r="AB377" s="22" t="inlineStr">
        <is>
          <t>미확인</t>
        </is>
      </c>
      <c r="AC377" s="22" t="inlineStr">
        <is>
          <t>미확인</t>
        </is>
      </c>
      <c r="AD377" s="22" t="inlineStr">
        <is>
          <t>미확인</t>
        </is>
      </c>
      <c r="AE377" s="22" t="inlineStr">
        <is>
          <t>미확인</t>
        </is>
      </c>
      <c r="AF377" s="22" t="inlineStr">
        <is>
          <t>미확인</t>
        </is>
      </c>
      <c r="AG377" s="22" t="inlineStr">
        <is>
          <t>미확인</t>
        </is>
      </c>
      <c r="AH377" s="22" t="inlineStr">
        <is>
          <t>미확인</t>
        </is>
      </c>
      <c r="AI377" s="22" t="inlineStr">
        <is>
          <t>미확인</t>
        </is>
      </c>
      <c r="AJ377" s="22" t="inlineStr">
        <is>
          <t>미확인</t>
        </is>
      </c>
      <c r="AK377" s="22" t="inlineStr">
        <is>
          <t>미확인</t>
        </is>
      </c>
      <c r="AL377" s="22" t="inlineStr">
        <is>
          <t>미확인</t>
        </is>
      </c>
      <c r="AM377" s="22" t="inlineStr">
        <is>
          <t>미확인</t>
        </is>
      </c>
      <c r="AN377" s="22" t="inlineStr">
        <is>
          <t>미확인</t>
        </is>
      </c>
      <c r="AO377" s="17" t="inlineStr">
        <is>
          <t>C(부분확인)</t>
        </is>
      </c>
      <c r="AP377" s="17" t="inlineStr">
        <is>
          <t>Y</t>
        </is>
      </c>
      <c r="AQ377" s="17" t="n">
        <v>12</v>
      </c>
      <c r="AR377" s="28" t="inlineStr">
        <is>
          <t>Tier D</t>
        </is>
      </c>
      <c r="AS377" s="17" t="inlineStr">
        <is>
          <t>QMS</t>
        </is>
      </c>
      <c r="AT377" s="17" t="inlineStr">
        <is>
          <t>기본 GMP 문서관리 대상</t>
        </is>
      </c>
      <c r="AU377" s="17" t="inlineStr">
        <is>
          <t>담당자 파악 후 접촉</t>
        </is>
      </c>
      <c r="AV377" s="17" t="inlineStr">
        <is>
          <t>GMP적합판정+KRX</t>
        </is>
      </c>
      <c r="AW377" s="17" t="inlineStr">
        <is>
          <t>2026-07-05</t>
        </is>
      </c>
    </row>
    <row r="378">
      <c r="A378" s="17" t="inlineStr">
        <is>
          <t>C377</t>
        </is>
      </c>
      <c r="B378" s="17" t="inlineStr">
        <is>
          <t>에스케이플라즈마</t>
        </is>
      </c>
      <c r="C378" s="17" t="inlineStr">
        <is>
          <t>에스케이플라즈마(주)</t>
        </is>
      </c>
      <c r="D378" s="17" t="n">
        <v>2</v>
      </c>
      <c r="E378" s="17" t="n">
        <v>1</v>
      </c>
      <c r="F378" s="17" t="inlineStr">
        <is>
          <t>Y</t>
        </is>
      </c>
      <c r="G378" s="17" t="inlineStr">
        <is>
          <t>Y</t>
        </is>
      </c>
      <c r="H378" s="17" t="inlineStr">
        <is>
          <t>Y</t>
        </is>
      </c>
      <c r="I378" s="17" t="inlineStr">
        <is>
          <t>Y</t>
        </is>
      </c>
      <c r="J378" s="24" t="n">
        <v>46349</v>
      </c>
      <c r="K378" s="17" t="inlineStr">
        <is>
          <t>Y</t>
        </is>
      </c>
      <c r="L378" s="17" t="inlineStr"/>
      <c r="M378" s="17" t="inlineStr"/>
      <c r="N378" s="23" t="inlineStr"/>
      <c r="O378" s="17" t="inlineStr"/>
      <c r="P378" s="17" t="inlineStr"/>
      <c r="Q378" s="17" t="inlineStr">
        <is>
          <t>김승주</t>
        </is>
      </c>
      <c r="R378" s="17" t="inlineStr"/>
      <c r="S378" s="17" t="inlineStr"/>
      <c r="T378" s="17" t="inlineStr">
        <is>
          <t>미확인</t>
        </is>
      </c>
      <c r="U378" s="17" t="inlineStr">
        <is>
          <t>미확인</t>
        </is>
      </c>
      <c r="V378" s="22" t="inlineStr">
        <is>
          <t>미확인</t>
        </is>
      </c>
      <c r="W378" s="22" t="inlineStr">
        <is>
          <t>미확인</t>
        </is>
      </c>
      <c r="X378" s="22" t="inlineStr">
        <is>
          <t>미확인</t>
        </is>
      </c>
      <c r="Y378" s="22" t="inlineStr">
        <is>
          <t>미확인</t>
        </is>
      </c>
      <c r="Z378" s="22" t="inlineStr">
        <is>
          <t>미확인</t>
        </is>
      </c>
      <c r="AA378" s="22" t="inlineStr">
        <is>
          <t>미확인</t>
        </is>
      </c>
      <c r="AB378" s="22" t="inlineStr">
        <is>
          <t>미확인</t>
        </is>
      </c>
      <c r="AC378" s="22" t="inlineStr">
        <is>
          <t>미확인</t>
        </is>
      </c>
      <c r="AD378" s="22" t="inlineStr">
        <is>
          <t>미확인</t>
        </is>
      </c>
      <c r="AE378" s="22" t="inlineStr">
        <is>
          <t>미확인</t>
        </is>
      </c>
      <c r="AF378" s="22" t="inlineStr">
        <is>
          <t>미확인</t>
        </is>
      </c>
      <c r="AG378" s="22" t="inlineStr">
        <is>
          <t>미확인</t>
        </is>
      </c>
      <c r="AH378" s="22" t="inlineStr">
        <is>
          <t>미확인</t>
        </is>
      </c>
      <c r="AI378" s="22" t="inlineStr">
        <is>
          <t>미확인</t>
        </is>
      </c>
      <c r="AJ378" s="22" t="inlineStr">
        <is>
          <t>미확인</t>
        </is>
      </c>
      <c r="AK378" s="22" t="inlineStr">
        <is>
          <t>미확인</t>
        </is>
      </c>
      <c r="AL378" s="22" t="inlineStr">
        <is>
          <t>미확인</t>
        </is>
      </c>
      <c r="AM378" s="22" t="inlineStr">
        <is>
          <t>미확인</t>
        </is>
      </c>
      <c r="AN378" s="22" t="inlineStr">
        <is>
          <t>미확인</t>
        </is>
      </c>
      <c r="AO378" s="17" t="inlineStr">
        <is>
          <t>C(부분확인)</t>
        </is>
      </c>
      <c r="AP378" s="17" t="inlineStr">
        <is>
          <t>Y</t>
        </is>
      </c>
      <c r="AQ378" s="17" t="n">
        <v>24</v>
      </c>
      <c r="AR378" s="28" t="inlineStr">
        <is>
          <t>Tier D</t>
        </is>
      </c>
      <c r="AS378" s="17" t="inlineStr">
        <is>
          <t>QMS+LIMS</t>
        </is>
      </c>
      <c r="AT378" s="17" t="inlineStr">
        <is>
          <t>무균/바이오 제조로 품질관리 난도 높음; 원료 제조로 시험실 관리 필요</t>
        </is>
      </c>
      <c r="AU378" s="17" t="inlineStr">
        <is>
          <t>담당자 파악 후 접촉</t>
        </is>
      </c>
      <c r="AV378" s="17" t="inlineStr">
        <is>
          <t>GMP적합판정+KRX</t>
        </is>
      </c>
      <c r="AW378" s="17" t="inlineStr">
        <is>
          <t>2026-07-05</t>
        </is>
      </c>
    </row>
    <row r="379">
      <c r="A379" s="17" t="inlineStr">
        <is>
          <t>C378</t>
        </is>
      </c>
      <c r="B379" s="17" t="inlineStr">
        <is>
          <t>삼현제약</t>
        </is>
      </c>
      <c r="C379" s="17" t="inlineStr">
        <is>
          <t>주식회사삼현제약</t>
        </is>
      </c>
      <c r="D379" s="17" t="n">
        <v>1</v>
      </c>
      <c r="E379" s="17" t="n">
        <v>1</v>
      </c>
      <c r="F379" s="17" t="inlineStr">
        <is>
          <t>Y</t>
        </is>
      </c>
      <c r="G379" s="17" t="inlineStr"/>
      <c r="H379" s="17" t="inlineStr"/>
      <c r="I379" s="17" t="inlineStr"/>
      <c r="J379" s="24" t="n">
        <v>46346</v>
      </c>
      <c r="K379" s="17" t="inlineStr">
        <is>
          <t>Y</t>
        </is>
      </c>
      <c r="L379" s="17" t="inlineStr"/>
      <c r="M379" s="17" t="inlineStr"/>
      <c r="N379" s="23" t="inlineStr"/>
      <c r="O379" s="17" t="inlineStr"/>
      <c r="P379" s="17" t="inlineStr"/>
      <c r="Q379" s="17" t="inlineStr">
        <is>
          <t>이양수</t>
        </is>
      </c>
      <c r="R379" s="17" t="inlineStr"/>
      <c r="S379" s="17" t="inlineStr"/>
      <c r="T379" s="17" t="inlineStr">
        <is>
          <t>미확인</t>
        </is>
      </c>
      <c r="U379" s="17" t="inlineStr">
        <is>
          <t>미확인</t>
        </is>
      </c>
      <c r="V379" s="22" t="inlineStr">
        <is>
          <t>미확인</t>
        </is>
      </c>
      <c r="W379" s="22" t="inlineStr">
        <is>
          <t>미확인</t>
        </is>
      </c>
      <c r="X379" s="22" t="inlineStr">
        <is>
          <t>미확인</t>
        </is>
      </c>
      <c r="Y379" s="22" t="inlineStr">
        <is>
          <t>미확인</t>
        </is>
      </c>
      <c r="Z379" s="22" t="inlineStr">
        <is>
          <t>미확인</t>
        </is>
      </c>
      <c r="AA379" s="22" t="inlineStr">
        <is>
          <t>미확인</t>
        </is>
      </c>
      <c r="AB379" s="22" t="inlineStr">
        <is>
          <t>미확인</t>
        </is>
      </c>
      <c r="AC379" s="22" t="inlineStr">
        <is>
          <t>미확인</t>
        </is>
      </c>
      <c r="AD379" s="22" t="inlineStr">
        <is>
          <t>미확인</t>
        </is>
      </c>
      <c r="AE379" s="22" t="inlineStr">
        <is>
          <t>미확인</t>
        </is>
      </c>
      <c r="AF379" s="22" t="inlineStr">
        <is>
          <t>미확인</t>
        </is>
      </c>
      <c r="AG379" s="22" t="inlineStr">
        <is>
          <t>미확인</t>
        </is>
      </c>
      <c r="AH379" s="22" t="inlineStr">
        <is>
          <t>미확인</t>
        </is>
      </c>
      <c r="AI379" s="22" t="inlineStr">
        <is>
          <t>미확인</t>
        </is>
      </c>
      <c r="AJ379" s="22" t="inlineStr">
        <is>
          <t>미확인</t>
        </is>
      </c>
      <c r="AK379" s="22" t="inlineStr">
        <is>
          <t>미확인</t>
        </is>
      </c>
      <c r="AL379" s="22" t="inlineStr">
        <is>
          <t>미확인</t>
        </is>
      </c>
      <c r="AM379" s="22" t="inlineStr">
        <is>
          <t>미확인</t>
        </is>
      </c>
      <c r="AN379" s="22" t="inlineStr">
        <is>
          <t>미확인</t>
        </is>
      </c>
      <c r="AO379" s="17" t="inlineStr">
        <is>
          <t>C(부분확인)</t>
        </is>
      </c>
      <c r="AP379" s="17" t="inlineStr">
        <is>
          <t>Y</t>
        </is>
      </c>
      <c r="AQ379" s="17" t="n">
        <v>9</v>
      </c>
      <c r="AR379" s="28" t="inlineStr">
        <is>
          <t>Tier D</t>
        </is>
      </c>
      <c r="AS379" s="17" t="inlineStr">
        <is>
          <t>QMS</t>
        </is>
      </c>
      <c r="AT379" s="17" t="inlineStr">
        <is>
          <t>기본 GMP 문서관리 대상</t>
        </is>
      </c>
      <c r="AU379" s="17" t="inlineStr">
        <is>
          <t>담당자 파악 후 접촉</t>
        </is>
      </c>
      <c r="AV379" s="17" t="inlineStr">
        <is>
          <t>GMP적합판정+KRX</t>
        </is>
      </c>
      <c r="AW379" s="17" t="inlineStr">
        <is>
          <t>2026-07-05</t>
        </is>
      </c>
    </row>
    <row r="380">
      <c r="A380" s="17" t="inlineStr">
        <is>
          <t>C379</t>
        </is>
      </c>
      <c r="B380" s="17" t="inlineStr">
        <is>
          <t>대화제약</t>
        </is>
      </c>
      <c r="C380" s="17" t="inlineStr">
        <is>
          <t>대화제약(주)</t>
        </is>
      </c>
      <c r="D380" s="17" t="n">
        <v>1</v>
      </c>
      <c r="E380" s="17" t="n">
        <v>1</v>
      </c>
      <c r="F380" s="17" t="inlineStr">
        <is>
          <t>Y</t>
        </is>
      </c>
      <c r="G380" s="17" t="inlineStr"/>
      <c r="H380" s="17" t="inlineStr"/>
      <c r="I380" s="17" t="inlineStr"/>
      <c r="J380" s="24" t="n">
        <v>46342</v>
      </c>
      <c r="K380" s="17" t="inlineStr">
        <is>
          <t>Y</t>
        </is>
      </c>
      <c r="L380" s="17" t="inlineStr">
        <is>
          <t>Y</t>
        </is>
      </c>
      <c r="M380" s="17" t="inlineStr">
        <is>
          <t>코스닥</t>
        </is>
      </c>
      <c r="N380" s="23" t="inlineStr">
        <is>
          <t>067080</t>
        </is>
      </c>
      <c r="O380" s="17" t="inlineStr">
        <is>
          <t>의약품 제조업</t>
        </is>
      </c>
      <c r="P380" s="17" t="inlineStr">
        <is>
          <t>후로스판, 세파메칠 등</t>
        </is>
      </c>
      <c r="Q380" s="17" t="inlineStr">
        <is>
          <t>김은석(단독대표)</t>
        </is>
      </c>
      <c r="R380" s="17" t="inlineStr">
        <is>
          <t>http://www.dhpharm.co.kr</t>
        </is>
      </c>
      <c r="S380" s="17" t="inlineStr">
        <is>
          <t>강원특별자치도</t>
        </is>
      </c>
      <c r="T380" s="17" t="inlineStr">
        <is>
          <t>033-342-5140</t>
        </is>
      </c>
      <c r="U380" s="17" t="inlineStr">
        <is>
          <t>제조소상세</t>
        </is>
      </c>
      <c r="V380" s="22" t="inlineStr">
        <is>
          <t>미확인</t>
        </is>
      </c>
      <c r="W380" s="22" t="inlineStr">
        <is>
          <t>미확인</t>
        </is>
      </c>
      <c r="X380" s="22" t="inlineStr">
        <is>
          <t>미확인</t>
        </is>
      </c>
      <c r="Y380" s="22" t="inlineStr">
        <is>
          <t>미확인</t>
        </is>
      </c>
      <c r="Z380" s="22" t="inlineStr">
        <is>
          <t>미확인</t>
        </is>
      </c>
      <c r="AA380" s="22" t="inlineStr">
        <is>
          <t>미확인</t>
        </is>
      </c>
      <c r="AB380" s="22" t="inlineStr">
        <is>
          <t>미확인</t>
        </is>
      </c>
      <c r="AC380" s="22" t="inlineStr">
        <is>
          <t>미확인</t>
        </is>
      </c>
      <c r="AD380" s="22" t="inlineStr">
        <is>
          <t>미확인</t>
        </is>
      </c>
      <c r="AE380" s="22" t="inlineStr">
        <is>
          <t>미확인</t>
        </is>
      </c>
      <c r="AF380" s="22" t="inlineStr">
        <is>
          <t>미확인</t>
        </is>
      </c>
      <c r="AG380" s="22" t="inlineStr">
        <is>
          <t>미확인</t>
        </is>
      </c>
      <c r="AH380" s="22" t="inlineStr">
        <is>
          <t>미확인</t>
        </is>
      </c>
      <c r="AI380" s="22" t="inlineStr">
        <is>
          <t>미확인</t>
        </is>
      </c>
      <c r="AJ380" s="22" t="inlineStr">
        <is>
          <t>미확인</t>
        </is>
      </c>
      <c r="AK380" s="22" t="inlineStr">
        <is>
          <t>미확인</t>
        </is>
      </c>
      <c r="AL380" s="22" t="inlineStr">
        <is>
          <t>미확인</t>
        </is>
      </c>
      <c r="AM380" s="22" t="inlineStr">
        <is>
          <t>미확인</t>
        </is>
      </c>
      <c r="AN380" s="22" t="inlineStr">
        <is>
          <t>미확인</t>
        </is>
      </c>
      <c r="AO380" s="17" t="inlineStr">
        <is>
          <t>C(부분확인)</t>
        </is>
      </c>
      <c r="AP380" s="17" t="inlineStr">
        <is>
          <t>Y</t>
        </is>
      </c>
      <c r="AQ380" s="17" t="n">
        <v>12</v>
      </c>
      <c r="AR380" s="28" t="inlineStr">
        <is>
          <t>Tier D</t>
        </is>
      </c>
      <c r="AS380" s="17" t="inlineStr">
        <is>
          <t>QMS</t>
        </is>
      </c>
      <c r="AT380" s="17" t="inlineStr">
        <is>
          <t>기본 GMP 문서관리 대상</t>
        </is>
      </c>
      <c r="AU380" s="17" t="inlineStr">
        <is>
          <t>담당자 파악 후 접촉</t>
        </is>
      </c>
      <c r="AV380" s="17" t="inlineStr">
        <is>
          <t>GMP적합판정+KRX</t>
        </is>
      </c>
      <c r="AW380" s="17" t="inlineStr">
        <is>
          <t>2026-07-05</t>
        </is>
      </c>
    </row>
    <row r="381">
      <c r="A381" s="17" t="inlineStr">
        <is>
          <t>C380</t>
        </is>
      </c>
      <c r="B381" s="17" t="inlineStr">
        <is>
          <t>성이바이오제약</t>
        </is>
      </c>
      <c r="C381" s="17" t="inlineStr">
        <is>
          <t>성이바이오제약주식회사</t>
        </is>
      </c>
      <c r="D381" s="17" t="n">
        <v>1</v>
      </c>
      <c r="E381" s="17" t="n">
        <v>1</v>
      </c>
      <c r="F381" s="17" t="inlineStr">
        <is>
          <t>Y</t>
        </is>
      </c>
      <c r="G381" s="17" t="inlineStr"/>
      <c r="H381" s="17" t="inlineStr"/>
      <c r="I381" s="17" t="inlineStr"/>
      <c r="J381" s="24" t="n">
        <v>46341</v>
      </c>
      <c r="K381" s="17" t="inlineStr">
        <is>
          <t>Y</t>
        </is>
      </c>
      <c r="L381" s="17" t="inlineStr"/>
      <c r="M381" s="17" t="inlineStr"/>
      <c r="N381" s="23" t="inlineStr"/>
      <c r="O381" s="17" t="inlineStr"/>
      <c r="P381" s="17" t="inlineStr"/>
      <c r="Q381" s="17" t="inlineStr">
        <is>
          <t>전통규</t>
        </is>
      </c>
      <c r="R381" s="17" t="inlineStr"/>
      <c r="S381" s="17" t="inlineStr"/>
      <c r="T381" s="17" t="inlineStr">
        <is>
          <t>033-734-3360</t>
        </is>
      </c>
      <c r="U381" s="17" t="inlineStr">
        <is>
          <t>제조소상세</t>
        </is>
      </c>
      <c r="V381" s="22" t="inlineStr">
        <is>
          <t>미확인</t>
        </is>
      </c>
      <c r="W381" s="22" t="inlineStr">
        <is>
          <t>미확인</t>
        </is>
      </c>
      <c r="X381" s="22" t="inlineStr">
        <is>
          <t>미확인</t>
        </is>
      </c>
      <c r="Y381" s="22" t="inlineStr">
        <is>
          <t>미확인</t>
        </is>
      </c>
      <c r="Z381" s="22" t="inlineStr">
        <is>
          <t>미확인</t>
        </is>
      </c>
      <c r="AA381" s="22" t="inlineStr">
        <is>
          <t>미확인</t>
        </is>
      </c>
      <c r="AB381" s="22" t="inlineStr">
        <is>
          <t>미확인</t>
        </is>
      </c>
      <c r="AC381" s="22" t="inlineStr">
        <is>
          <t>미확인</t>
        </is>
      </c>
      <c r="AD381" s="22" t="inlineStr">
        <is>
          <t>미확인</t>
        </is>
      </c>
      <c r="AE381" s="22" t="inlineStr">
        <is>
          <t>미확인</t>
        </is>
      </c>
      <c r="AF381" s="22" t="inlineStr">
        <is>
          <t>미확인</t>
        </is>
      </c>
      <c r="AG381" s="22" t="inlineStr">
        <is>
          <t>미확인</t>
        </is>
      </c>
      <c r="AH381" s="22" t="inlineStr">
        <is>
          <t>미확인</t>
        </is>
      </c>
      <c r="AI381" s="22" t="inlineStr">
        <is>
          <t>미확인</t>
        </is>
      </c>
      <c r="AJ381" s="22" t="inlineStr">
        <is>
          <t>미확인</t>
        </is>
      </c>
      <c r="AK381" s="22" t="inlineStr">
        <is>
          <t>미확인</t>
        </is>
      </c>
      <c r="AL381" s="22" t="inlineStr">
        <is>
          <t>미확인</t>
        </is>
      </c>
      <c r="AM381" s="22" t="inlineStr">
        <is>
          <t>미확인</t>
        </is>
      </c>
      <c r="AN381" s="22" t="inlineStr">
        <is>
          <t>미확인</t>
        </is>
      </c>
      <c r="AO381" s="17" t="inlineStr">
        <is>
          <t>C(부분확인)</t>
        </is>
      </c>
      <c r="AP381" s="17" t="inlineStr">
        <is>
          <t>Y</t>
        </is>
      </c>
      <c r="AQ381" s="17" t="n">
        <v>9</v>
      </c>
      <c r="AR381" s="28" t="inlineStr">
        <is>
          <t>Tier D</t>
        </is>
      </c>
      <c r="AS381" s="17" t="inlineStr">
        <is>
          <t>QMS</t>
        </is>
      </c>
      <c r="AT381" s="17" t="inlineStr">
        <is>
          <t>기본 GMP 문서관리 대상</t>
        </is>
      </c>
      <c r="AU381" s="17" t="inlineStr">
        <is>
          <t>담당자 파악 후 접촉</t>
        </is>
      </c>
      <c r="AV381" s="17" t="inlineStr">
        <is>
          <t>GMP적합판정+KRX</t>
        </is>
      </c>
      <c r="AW381" s="17" t="inlineStr">
        <is>
          <t>2026-07-05</t>
        </is>
      </c>
    </row>
    <row r="382">
      <c r="A382" s="17" t="inlineStr">
        <is>
          <t>C381</t>
        </is>
      </c>
      <c r="B382" s="17" t="inlineStr">
        <is>
          <t>서울제약</t>
        </is>
      </c>
      <c r="C382" s="17" t="inlineStr">
        <is>
          <t>(주)서울제약</t>
        </is>
      </c>
      <c r="D382" s="17" t="n">
        <v>1</v>
      </c>
      <c r="E382" s="17" t="n">
        <v>1</v>
      </c>
      <c r="F382" s="17" t="inlineStr">
        <is>
          <t>Y</t>
        </is>
      </c>
      <c r="G382" s="17" t="inlineStr"/>
      <c r="H382" s="17" t="inlineStr"/>
      <c r="I382" s="17" t="inlineStr"/>
      <c r="J382" s="24" t="n">
        <v>46340</v>
      </c>
      <c r="K382" s="17" t="inlineStr">
        <is>
          <t>Y</t>
        </is>
      </c>
      <c r="L382" s="17" t="inlineStr">
        <is>
          <t>Y</t>
        </is>
      </c>
      <c r="M382" s="17" t="inlineStr">
        <is>
          <t>코스닥</t>
        </is>
      </c>
      <c r="N382" s="23" t="inlineStr">
        <is>
          <t>018680</t>
        </is>
      </c>
      <c r="O382" s="17" t="inlineStr">
        <is>
          <t>의약품 제조업</t>
        </is>
      </c>
      <c r="P382" s="17" t="inlineStr">
        <is>
          <t>정제,연질캅셀제,경질캅셀제,연고 및 크림제 등</t>
        </is>
      </c>
      <c r="Q382" s="17" t="inlineStr">
        <is>
          <t>윤동현, 신봉환 (각자대표)</t>
        </is>
      </c>
      <c r="R382" s="17" t="inlineStr">
        <is>
          <t>http://www.seoulpharma.com</t>
        </is>
      </c>
      <c r="S382" s="17" t="inlineStr">
        <is>
          <t>충청북도</t>
        </is>
      </c>
      <c r="T382" s="17" t="inlineStr">
        <is>
          <t>02-3470-2382</t>
        </is>
      </c>
      <c r="U382" s="17" t="inlineStr">
        <is>
          <t>제조소상세</t>
        </is>
      </c>
      <c r="V382" s="22" t="inlineStr">
        <is>
          <t>미확인</t>
        </is>
      </c>
      <c r="W382" s="22" t="inlineStr">
        <is>
          <t>미확인</t>
        </is>
      </c>
      <c r="X382" s="22" t="inlineStr">
        <is>
          <t>미확인</t>
        </is>
      </c>
      <c r="Y382" s="22" t="inlineStr">
        <is>
          <t>미확인</t>
        </is>
      </c>
      <c r="Z382" s="22" t="inlineStr">
        <is>
          <t>미확인</t>
        </is>
      </c>
      <c r="AA382" s="22" t="inlineStr">
        <is>
          <t>미확인</t>
        </is>
      </c>
      <c r="AB382" s="22" t="inlineStr">
        <is>
          <t>미확인</t>
        </is>
      </c>
      <c r="AC382" s="22" t="inlineStr">
        <is>
          <t>미확인</t>
        </is>
      </c>
      <c r="AD382" s="22" t="inlineStr">
        <is>
          <t>미확인</t>
        </is>
      </c>
      <c r="AE382" s="22" t="inlineStr">
        <is>
          <t>미확인</t>
        </is>
      </c>
      <c r="AF382" s="22" t="inlineStr">
        <is>
          <t>미확인</t>
        </is>
      </c>
      <c r="AG382" s="22" t="inlineStr">
        <is>
          <t>미확인</t>
        </is>
      </c>
      <c r="AH382" s="22" t="inlineStr">
        <is>
          <t>미확인</t>
        </is>
      </c>
      <c r="AI382" s="22" t="inlineStr">
        <is>
          <t>미확인</t>
        </is>
      </c>
      <c r="AJ382" s="22" t="inlineStr">
        <is>
          <t>미확인</t>
        </is>
      </c>
      <c r="AK382" s="22" t="inlineStr">
        <is>
          <t>미확인</t>
        </is>
      </c>
      <c r="AL382" s="22" t="inlineStr">
        <is>
          <t>미확인</t>
        </is>
      </c>
      <c r="AM382" s="22" t="inlineStr">
        <is>
          <t>미확인</t>
        </is>
      </c>
      <c r="AN382" s="22" t="inlineStr">
        <is>
          <t>미확인</t>
        </is>
      </c>
      <c r="AO382" s="17" t="inlineStr">
        <is>
          <t>C(부분확인)</t>
        </is>
      </c>
      <c r="AP382" s="17" t="inlineStr">
        <is>
          <t>Y</t>
        </is>
      </c>
      <c r="AQ382" s="17" t="n">
        <v>12</v>
      </c>
      <c r="AR382" s="28" t="inlineStr">
        <is>
          <t>Tier D</t>
        </is>
      </c>
      <c r="AS382" s="17" t="inlineStr">
        <is>
          <t>QMS</t>
        </is>
      </c>
      <c r="AT382" s="17" t="inlineStr">
        <is>
          <t>기본 GMP 문서관리 대상</t>
        </is>
      </c>
      <c r="AU382" s="17" t="inlineStr">
        <is>
          <t>담당자 파악 후 접촉</t>
        </is>
      </c>
      <c r="AV382" s="17" t="inlineStr">
        <is>
          <t>GMP적합판정+KRX</t>
        </is>
      </c>
      <c r="AW382" s="17" t="inlineStr">
        <is>
          <t>2026-07-05</t>
        </is>
      </c>
    </row>
    <row r="383">
      <c r="A383" s="17" t="inlineStr">
        <is>
          <t>C382</t>
        </is>
      </c>
      <c r="B383" s="17" t="inlineStr">
        <is>
          <t>위지피제약</t>
        </is>
      </c>
      <c r="C383" s="17" t="inlineStr">
        <is>
          <t>주식회사위지피제약</t>
        </is>
      </c>
      <c r="D383" s="17" t="n">
        <v>1</v>
      </c>
      <c r="E383" s="17" t="n">
        <v>1</v>
      </c>
      <c r="F383" s="17" t="inlineStr">
        <is>
          <t>Y</t>
        </is>
      </c>
      <c r="G383" s="17" t="inlineStr"/>
      <c r="H383" s="17" t="inlineStr"/>
      <c r="I383" s="17" t="inlineStr"/>
      <c r="J383" s="24" t="n">
        <v>46334</v>
      </c>
      <c r="K383" s="17" t="inlineStr">
        <is>
          <t>Y</t>
        </is>
      </c>
      <c r="L383" s="17" t="inlineStr"/>
      <c r="M383" s="17" t="inlineStr"/>
      <c r="N383" s="23" t="inlineStr"/>
      <c r="O383" s="17" t="inlineStr"/>
      <c r="P383" s="17" t="inlineStr"/>
      <c r="Q383" s="17" t="inlineStr">
        <is>
          <t>강진구, 박성준</t>
        </is>
      </c>
      <c r="R383" s="17" t="inlineStr"/>
      <c r="S383" s="17" t="inlineStr"/>
      <c r="T383" s="17" t="inlineStr">
        <is>
          <t>미확인</t>
        </is>
      </c>
      <c r="U383" s="17" t="inlineStr">
        <is>
          <t>미확인</t>
        </is>
      </c>
      <c r="V383" s="22" t="inlineStr">
        <is>
          <t>미확인</t>
        </is>
      </c>
      <c r="W383" s="22" t="inlineStr">
        <is>
          <t>미확인</t>
        </is>
      </c>
      <c r="X383" s="22" t="inlineStr">
        <is>
          <t>미확인</t>
        </is>
      </c>
      <c r="Y383" s="22" t="inlineStr">
        <is>
          <t>미확인</t>
        </is>
      </c>
      <c r="Z383" s="22" t="inlineStr">
        <is>
          <t>미확인</t>
        </is>
      </c>
      <c r="AA383" s="22" t="inlineStr">
        <is>
          <t>미확인</t>
        </is>
      </c>
      <c r="AB383" s="22" t="inlineStr">
        <is>
          <t>미확인</t>
        </is>
      </c>
      <c r="AC383" s="22" t="inlineStr">
        <is>
          <t>미확인</t>
        </is>
      </c>
      <c r="AD383" s="22" t="inlineStr">
        <is>
          <t>미확인</t>
        </is>
      </c>
      <c r="AE383" s="22" t="inlineStr">
        <is>
          <t>미확인</t>
        </is>
      </c>
      <c r="AF383" s="22" t="inlineStr">
        <is>
          <t>미확인</t>
        </is>
      </c>
      <c r="AG383" s="22" t="inlineStr">
        <is>
          <t>미확인</t>
        </is>
      </c>
      <c r="AH383" s="22" t="inlineStr">
        <is>
          <t>미확인</t>
        </is>
      </c>
      <c r="AI383" s="22" t="inlineStr">
        <is>
          <t>미확인</t>
        </is>
      </c>
      <c r="AJ383" s="22" t="inlineStr">
        <is>
          <t>미확인</t>
        </is>
      </c>
      <c r="AK383" s="22" t="inlineStr">
        <is>
          <t>미확인</t>
        </is>
      </c>
      <c r="AL383" s="22" t="inlineStr">
        <is>
          <t>미확인</t>
        </is>
      </c>
      <c r="AM383" s="22" t="inlineStr">
        <is>
          <t>미확인</t>
        </is>
      </c>
      <c r="AN383" s="22" t="inlineStr">
        <is>
          <t>미확인</t>
        </is>
      </c>
      <c r="AO383" s="17" t="inlineStr">
        <is>
          <t>C(부분확인)</t>
        </is>
      </c>
      <c r="AP383" s="17" t="inlineStr">
        <is>
          <t>Y</t>
        </is>
      </c>
      <c r="AQ383" s="17" t="n">
        <v>9</v>
      </c>
      <c r="AR383" s="28" t="inlineStr">
        <is>
          <t>Tier D</t>
        </is>
      </c>
      <c r="AS383" s="17" t="inlineStr">
        <is>
          <t>QMS</t>
        </is>
      </c>
      <c r="AT383" s="17" t="inlineStr">
        <is>
          <t>기본 GMP 문서관리 대상</t>
        </is>
      </c>
      <c r="AU383" s="17" t="inlineStr">
        <is>
          <t>담당자 파악 후 접촉</t>
        </is>
      </c>
      <c r="AV383" s="17" t="inlineStr">
        <is>
          <t>GMP적합판정+KRX</t>
        </is>
      </c>
      <c r="AW383" s="17" t="inlineStr">
        <is>
          <t>2026-07-05</t>
        </is>
      </c>
    </row>
    <row r="384">
      <c r="A384" s="17" t="inlineStr">
        <is>
          <t>C383</t>
        </is>
      </c>
      <c r="B384" s="17" t="inlineStr">
        <is>
          <t>삼양바이오팜</t>
        </is>
      </c>
      <c r="C384" s="17" t="inlineStr">
        <is>
          <t>(주)삼양바이오팜</t>
        </is>
      </c>
      <c r="D384" s="17" t="n">
        <v>2</v>
      </c>
      <c r="E384" s="17" t="n">
        <v>1</v>
      </c>
      <c r="F384" s="17" t="inlineStr">
        <is>
          <t>Y</t>
        </is>
      </c>
      <c r="G384" s="17" t="inlineStr">
        <is>
          <t>Y</t>
        </is>
      </c>
      <c r="H384" s="17" t="inlineStr">
        <is>
          <t>Y</t>
        </is>
      </c>
      <c r="I384" s="17" t="inlineStr"/>
      <c r="J384" s="24" t="n">
        <v>46334</v>
      </c>
      <c r="K384" s="17" t="inlineStr">
        <is>
          <t>Y</t>
        </is>
      </c>
      <c r="L384" s="17" t="inlineStr">
        <is>
          <t>Y</t>
        </is>
      </c>
      <c r="M384" s="17" t="inlineStr">
        <is>
          <t>유가</t>
        </is>
      </c>
      <c r="N384" s="23" t="inlineStr">
        <is>
          <t>0120G0</t>
        </is>
      </c>
      <c r="O384" s="17" t="inlineStr">
        <is>
          <t>의약품 제조업</t>
        </is>
      </c>
      <c r="P384" s="17" t="inlineStr">
        <is>
          <t>의료기기 및 의약품</t>
        </is>
      </c>
      <c r="Q384" s="17" t="inlineStr">
        <is>
          <t>김경진</t>
        </is>
      </c>
      <c r="R384" s="17" t="inlineStr">
        <is>
          <t>http://www.samyangbiopharm.com</t>
        </is>
      </c>
      <c r="S384" s="17" t="inlineStr">
        <is>
          <t>경기도</t>
        </is>
      </c>
      <c r="T384" s="17" t="inlineStr">
        <is>
          <t>042-930-3127</t>
        </is>
      </c>
      <c r="U384" s="17" t="inlineStr">
        <is>
          <t>제조소상세</t>
        </is>
      </c>
      <c r="V384" s="22" t="inlineStr">
        <is>
          <t>미확인</t>
        </is>
      </c>
      <c r="W384" s="22" t="inlineStr">
        <is>
          <t>미확인</t>
        </is>
      </c>
      <c r="X384" s="22" t="inlineStr">
        <is>
          <t>미확인</t>
        </is>
      </c>
      <c r="Y384" s="22" t="inlineStr">
        <is>
          <t>미확인</t>
        </is>
      </c>
      <c r="Z384" s="22" t="inlineStr">
        <is>
          <t>미확인</t>
        </is>
      </c>
      <c r="AA384" s="22" t="inlineStr">
        <is>
          <t>미확인</t>
        </is>
      </c>
      <c r="AB384" s="22" t="inlineStr">
        <is>
          <t>미확인</t>
        </is>
      </c>
      <c r="AC384" s="22" t="inlineStr">
        <is>
          <t>미확인</t>
        </is>
      </c>
      <c r="AD384" s="22" t="inlineStr">
        <is>
          <t>미확인</t>
        </is>
      </c>
      <c r="AE384" s="22" t="inlineStr">
        <is>
          <t>미확인</t>
        </is>
      </c>
      <c r="AF384" s="22" t="inlineStr">
        <is>
          <t>미확인</t>
        </is>
      </c>
      <c r="AG384" s="22" t="inlineStr">
        <is>
          <t>미확인</t>
        </is>
      </c>
      <c r="AH384" s="22" t="inlineStr">
        <is>
          <t>미확인</t>
        </is>
      </c>
      <c r="AI384" s="22" t="inlineStr">
        <is>
          <t>미확인</t>
        </is>
      </c>
      <c r="AJ384" s="22" t="inlineStr">
        <is>
          <t>미확인</t>
        </is>
      </c>
      <c r="AK384" s="22" t="inlineStr">
        <is>
          <t>미확인</t>
        </is>
      </c>
      <c r="AL384" s="22" t="inlineStr">
        <is>
          <t>미확인</t>
        </is>
      </c>
      <c r="AM384" s="22" t="inlineStr">
        <is>
          <t>미확인</t>
        </is>
      </c>
      <c r="AN384" s="22" t="inlineStr">
        <is>
          <t>미확인</t>
        </is>
      </c>
      <c r="AO384" s="17" t="inlineStr">
        <is>
          <t>C(부분확인)</t>
        </is>
      </c>
      <c r="AP384" s="17" t="inlineStr">
        <is>
          <t>Y</t>
        </is>
      </c>
      <c r="AQ384" s="17" t="n">
        <v>20</v>
      </c>
      <c r="AR384" s="28" t="inlineStr">
        <is>
          <t>Tier D</t>
        </is>
      </c>
      <c r="AS384" s="17" t="inlineStr">
        <is>
          <t>QMS+LIMS</t>
        </is>
      </c>
      <c r="AT384" s="17" t="inlineStr">
        <is>
          <t>무균/바이오 제조로 품질관리 난도 높음; 원료 제조로 시험실 관리 필요</t>
        </is>
      </c>
      <c r="AU384" s="17" t="inlineStr">
        <is>
          <t>담당자 파악 후 접촉</t>
        </is>
      </c>
      <c r="AV384" s="17" t="inlineStr">
        <is>
          <t>GMP적합판정+KRX</t>
        </is>
      </c>
      <c r="AW384" s="17" t="inlineStr">
        <is>
          <t>2026-07-05</t>
        </is>
      </c>
    </row>
    <row r="385">
      <c r="A385" s="17" t="inlineStr">
        <is>
          <t>C384</t>
        </is>
      </c>
      <c r="B385" s="17" t="inlineStr">
        <is>
          <t>에이치엘지노믹스</t>
        </is>
      </c>
      <c r="C385" s="17" t="inlineStr">
        <is>
          <t>에이치엘지노믹스(주)</t>
        </is>
      </c>
      <c r="D385" s="17" t="n">
        <v>1</v>
      </c>
      <c r="E385" s="17" t="n">
        <v>1</v>
      </c>
      <c r="F385" s="17" t="inlineStr"/>
      <c r="G385" s="17" t="inlineStr">
        <is>
          <t>Y</t>
        </is>
      </c>
      <c r="H385" s="17" t="inlineStr"/>
      <c r="I385" s="17" t="inlineStr"/>
      <c r="J385" s="24" t="n">
        <v>46333</v>
      </c>
      <c r="K385" s="17" t="inlineStr">
        <is>
          <t>Y</t>
        </is>
      </c>
      <c r="L385" s="17" t="inlineStr"/>
      <c r="M385" s="17" t="inlineStr"/>
      <c r="N385" s="23" t="inlineStr"/>
      <c r="O385" s="17" t="inlineStr"/>
      <c r="P385" s="17" t="inlineStr"/>
      <c r="Q385" s="17" t="inlineStr">
        <is>
          <t>김호진</t>
        </is>
      </c>
      <c r="R385" s="17" t="inlineStr"/>
      <c r="S385" s="17" t="inlineStr"/>
      <c r="T385" s="17" t="inlineStr">
        <is>
          <t>031-335-2080</t>
        </is>
      </c>
      <c r="U385" s="17" t="inlineStr">
        <is>
          <t>제조소상세</t>
        </is>
      </c>
      <c r="V385" s="22" t="inlineStr">
        <is>
          <t>미확인</t>
        </is>
      </c>
      <c r="W385" s="22" t="inlineStr">
        <is>
          <t>미확인</t>
        </is>
      </c>
      <c r="X385" s="22" t="inlineStr">
        <is>
          <t>미확인</t>
        </is>
      </c>
      <c r="Y385" s="22" t="inlineStr">
        <is>
          <t>미확인</t>
        </is>
      </c>
      <c r="Z385" s="22" t="inlineStr">
        <is>
          <t>미확인</t>
        </is>
      </c>
      <c r="AA385" s="22" t="inlineStr">
        <is>
          <t>미확인</t>
        </is>
      </c>
      <c r="AB385" s="22" t="inlineStr">
        <is>
          <t>미확인</t>
        </is>
      </c>
      <c r="AC385" s="22" t="inlineStr">
        <is>
          <t>미확인</t>
        </is>
      </c>
      <c r="AD385" s="22" t="inlineStr">
        <is>
          <t>미확인</t>
        </is>
      </c>
      <c r="AE385" s="22" t="inlineStr">
        <is>
          <t>미확인</t>
        </is>
      </c>
      <c r="AF385" s="22" t="inlineStr">
        <is>
          <t>미확인</t>
        </is>
      </c>
      <c r="AG385" s="22" t="inlineStr">
        <is>
          <t>미확인</t>
        </is>
      </c>
      <c r="AH385" s="22" t="inlineStr">
        <is>
          <t>미확인</t>
        </is>
      </c>
      <c r="AI385" s="22" t="inlineStr">
        <is>
          <t>미확인</t>
        </is>
      </c>
      <c r="AJ385" s="22" t="inlineStr">
        <is>
          <t>미확인</t>
        </is>
      </c>
      <c r="AK385" s="22" t="inlineStr">
        <is>
          <t>미확인</t>
        </is>
      </c>
      <c r="AL385" s="22" t="inlineStr">
        <is>
          <t>미확인</t>
        </is>
      </c>
      <c r="AM385" s="22" t="inlineStr">
        <is>
          <t>미확인</t>
        </is>
      </c>
      <c r="AN385" s="22" t="inlineStr">
        <is>
          <t>미확인</t>
        </is>
      </c>
      <c r="AO385" s="17" t="inlineStr">
        <is>
          <t>C(부분확인)</t>
        </is>
      </c>
      <c r="AP385" s="17" t="inlineStr">
        <is>
          <t>Y</t>
        </is>
      </c>
      <c r="AQ385" s="17" t="n">
        <v>9</v>
      </c>
      <c r="AR385" s="28" t="inlineStr">
        <is>
          <t>Tier D</t>
        </is>
      </c>
      <c r="AS385" s="17" t="inlineStr">
        <is>
          <t>QMS+LIMS</t>
        </is>
      </c>
      <c r="AT385" s="17" t="inlineStr">
        <is>
          <t>원료 제조로 시험실 관리 필요</t>
        </is>
      </c>
      <c r="AU385" s="17" t="inlineStr">
        <is>
          <t>담당자 파악 후 접촉</t>
        </is>
      </c>
      <c r="AV385" s="17" t="inlineStr">
        <is>
          <t>GMP적합판정+KRX</t>
        </is>
      </c>
      <c r="AW385" s="17" t="inlineStr">
        <is>
          <t>2026-07-05</t>
        </is>
      </c>
    </row>
    <row r="386">
      <c r="A386" s="17" t="inlineStr">
        <is>
          <t>C385</t>
        </is>
      </c>
      <c r="B386" s="17" t="inlineStr">
        <is>
          <t>유영제약</t>
        </is>
      </c>
      <c r="C386" s="17" t="inlineStr">
        <is>
          <t>(주)유영제약</t>
        </is>
      </c>
      <c r="D386" s="17" t="n">
        <v>2</v>
      </c>
      <c r="E386" s="17" t="n">
        <v>1</v>
      </c>
      <c r="F386" s="17" t="inlineStr">
        <is>
          <t>Y</t>
        </is>
      </c>
      <c r="G386" s="17" t="inlineStr">
        <is>
          <t>Y</t>
        </is>
      </c>
      <c r="H386" s="17" t="inlineStr">
        <is>
          <t>Y</t>
        </is>
      </c>
      <c r="I386" s="17" t="inlineStr"/>
      <c r="J386" s="24" t="n">
        <v>46327</v>
      </c>
      <c r="K386" s="17" t="inlineStr">
        <is>
          <t>Y</t>
        </is>
      </c>
      <c r="L386" s="17" t="inlineStr"/>
      <c r="M386" s="17" t="inlineStr"/>
      <c r="N386" s="23" t="inlineStr"/>
      <c r="O386" s="17" t="inlineStr"/>
      <c r="P386" s="17" t="inlineStr"/>
      <c r="Q386" s="17" t="inlineStr">
        <is>
          <t>유주평</t>
        </is>
      </c>
      <c r="R386" s="17" t="inlineStr"/>
      <c r="S386" s="17" t="inlineStr"/>
      <c r="T386" s="17" t="inlineStr">
        <is>
          <t>043-535-2976</t>
        </is>
      </c>
      <c r="U386" s="17" t="inlineStr">
        <is>
          <t>제조소상세</t>
        </is>
      </c>
      <c r="V386" s="22" t="inlineStr">
        <is>
          <t>미확인</t>
        </is>
      </c>
      <c r="W386" s="22" t="inlineStr">
        <is>
          <t>미확인</t>
        </is>
      </c>
      <c r="X386" s="22" t="inlineStr">
        <is>
          <t>미확인</t>
        </is>
      </c>
      <c r="Y386" s="22" t="inlineStr">
        <is>
          <t>미확인</t>
        </is>
      </c>
      <c r="Z386" s="22" t="inlineStr">
        <is>
          <t>미확인</t>
        </is>
      </c>
      <c r="AA386" s="22" t="inlineStr">
        <is>
          <t>미확인</t>
        </is>
      </c>
      <c r="AB386" s="22" t="inlineStr">
        <is>
          <t>미확인</t>
        </is>
      </c>
      <c r="AC386" s="22" t="inlineStr">
        <is>
          <t>미확인</t>
        </is>
      </c>
      <c r="AD386" s="22" t="inlineStr">
        <is>
          <t>미확인</t>
        </is>
      </c>
      <c r="AE386" s="22" t="inlineStr">
        <is>
          <t>미확인</t>
        </is>
      </c>
      <c r="AF386" s="22" t="inlineStr">
        <is>
          <t>미확인</t>
        </is>
      </c>
      <c r="AG386" s="22" t="inlineStr">
        <is>
          <t>미확인</t>
        </is>
      </c>
      <c r="AH386" s="22" t="inlineStr">
        <is>
          <t>미확인</t>
        </is>
      </c>
      <c r="AI386" s="22" t="inlineStr">
        <is>
          <t>미확인</t>
        </is>
      </c>
      <c r="AJ386" s="22" t="inlineStr">
        <is>
          <t>미확인</t>
        </is>
      </c>
      <c r="AK386" s="22" t="inlineStr">
        <is>
          <t>미확인</t>
        </is>
      </c>
      <c r="AL386" s="22" t="inlineStr">
        <is>
          <t>미확인</t>
        </is>
      </c>
      <c r="AM386" s="22" t="inlineStr">
        <is>
          <t>미확인</t>
        </is>
      </c>
      <c r="AN386" s="22" t="inlineStr">
        <is>
          <t>미확인</t>
        </is>
      </c>
      <c r="AO386" s="17" t="inlineStr">
        <is>
          <t>C(부분확인)</t>
        </is>
      </c>
      <c r="AP386" s="17" t="inlineStr">
        <is>
          <t>Y</t>
        </is>
      </c>
      <c r="AQ386" s="17" t="n">
        <v>17</v>
      </c>
      <c r="AR386" s="28" t="inlineStr">
        <is>
          <t>Tier D</t>
        </is>
      </c>
      <c r="AS386" s="17" t="inlineStr">
        <is>
          <t>QMS+LIMS</t>
        </is>
      </c>
      <c r="AT386" s="17" t="inlineStr">
        <is>
          <t>무균/바이오 제조로 품질관리 난도 높음; 원료 제조로 시험실 관리 필요</t>
        </is>
      </c>
      <c r="AU386" s="17" t="inlineStr">
        <is>
          <t>담당자 파악 후 접촉</t>
        </is>
      </c>
      <c r="AV386" s="17" t="inlineStr">
        <is>
          <t>GMP적합판정+KRX</t>
        </is>
      </c>
      <c r="AW386" s="17" t="inlineStr">
        <is>
          <t>2026-07-05</t>
        </is>
      </c>
    </row>
    <row r="387">
      <c r="A387" s="17" t="inlineStr">
        <is>
          <t>C386</t>
        </is>
      </c>
      <c r="B387" s="17" t="inlineStr">
        <is>
          <t>팬젠</t>
        </is>
      </c>
      <c r="C387" s="17" t="inlineStr">
        <is>
          <t>(주)팬젠</t>
        </is>
      </c>
      <c r="D387" s="17" t="n">
        <v>1</v>
      </c>
      <c r="E387" s="17" t="n">
        <v>1</v>
      </c>
      <c r="F387" s="17" t="inlineStr"/>
      <c r="G387" s="17" t="inlineStr">
        <is>
          <t>Y</t>
        </is>
      </c>
      <c r="H387" s="17" t="inlineStr"/>
      <c r="I387" s="17" t="inlineStr">
        <is>
          <t>Y</t>
        </is>
      </c>
      <c r="J387" s="24" t="n">
        <v>46320</v>
      </c>
      <c r="K387" s="17" t="inlineStr">
        <is>
          <t>Y</t>
        </is>
      </c>
      <c r="L387" s="17" t="inlineStr">
        <is>
          <t>Y</t>
        </is>
      </c>
      <c r="M387" s="17" t="inlineStr">
        <is>
          <t>코스닥</t>
        </is>
      </c>
      <c r="N387" s="23" t="inlineStr">
        <is>
          <t>222110</t>
        </is>
      </c>
      <c r="O387" s="17" t="inlineStr">
        <is>
          <t>의약품 제조업</t>
        </is>
      </c>
      <c r="P387" s="17" t="inlineStr">
        <is>
          <t>바이오시밀러 의약품 개발, 바이오의약품 개발 기술이전 서비스 등</t>
        </is>
      </c>
      <c r="Q387" s="17" t="inlineStr">
        <is>
          <t>윤재승</t>
        </is>
      </c>
      <c r="R387" s="17" t="inlineStr">
        <is>
          <t>http://www.pangen.com</t>
        </is>
      </c>
      <c r="S387" s="17" t="inlineStr">
        <is>
          <t>경기도</t>
        </is>
      </c>
      <c r="T387" s="17" t="inlineStr">
        <is>
          <t>031-733-9165</t>
        </is>
      </c>
      <c r="U387" s="17" t="inlineStr">
        <is>
          <t>제조소상세</t>
        </is>
      </c>
      <c r="V387" s="22" t="inlineStr">
        <is>
          <t>미확인</t>
        </is>
      </c>
      <c r="W387" s="22" t="inlineStr">
        <is>
          <t>미확인</t>
        </is>
      </c>
      <c r="X387" s="22" t="inlineStr">
        <is>
          <t>미확인</t>
        </is>
      </c>
      <c r="Y387" s="22" t="inlineStr">
        <is>
          <t>미확인</t>
        </is>
      </c>
      <c r="Z387" s="22" t="inlineStr">
        <is>
          <t>미확인</t>
        </is>
      </c>
      <c r="AA387" s="22" t="inlineStr">
        <is>
          <t>미확인</t>
        </is>
      </c>
      <c r="AB387" s="22" t="inlineStr">
        <is>
          <t>미확인</t>
        </is>
      </c>
      <c r="AC387" s="22" t="inlineStr">
        <is>
          <t>미확인</t>
        </is>
      </c>
      <c r="AD387" s="22" t="inlineStr">
        <is>
          <t>미확인</t>
        </is>
      </c>
      <c r="AE387" s="22" t="inlineStr">
        <is>
          <t>미확인</t>
        </is>
      </c>
      <c r="AF387" s="22" t="inlineStr">
        <is>
          <t>미확인</t>
        </is>
      </c>
      <c r="AG387" s="22" t="inlineStr">
        <is>
          <t>미확인</t>
        </is>
      </c>
      <c r="AH387" s="22" t="inlineStr">
        <is>
          <t>미확인</t>
        </is>
      </c>
      <c r="AI387" s="22" t="inlineStr">
        <is>
          <t>미확인</t>
        </is>
      </c>
      <c r="AJ387" s="22" t="inlineStr">
        <is>
          <t>미확인</t>
        </is>
      </c>
      <c r="AK387" s="22" t="inlineStr">
        <is>
          <t>미확인</t>
        </is>
      </c>
      <c r="AL387" s="22" t="inlineStr">
        <is>
          <t>미확인</t>
        </is>
      </c>
      <c r="AM387" s="22" t="inlineStr">
        <is>
          <t>미확인</t>
        </is>
      </c>
      <c r="AN387" s="22" t="inlineStr">
        <is>
          <t>미확인</t>
        </is>
      </c>
      <c r="AO387" s="17" t="inlineStr">
        <is>
          <t>C(부분확인)</t>
        </is>
      </c>
      <c r="AP387" s="17" t="inlineStr">
        <is>
          <t>Y</t>
        </is>
      </c>
      <c r="AQ387" s="17" t="n">
        <v>19</v>
      </c>
      <c r="AR387" s="28" t="inlineStr">
        <is>
          <t>Tier D</t>
        </is>
      </c>
      <c r="AS387" s="17" t="inlineStr">
        <is>
          <t>QMS+LIMS</t>
        </is>
      </c>
      <c r="AT387" s="17" t="inlineStr">
        <is>
          <t>무균/바이오 제조로 품질관리 난도 높음; 원료 제조로 시험실 관리 필요</t>
        </is>
      </c>
      <c r="AU387" s="17" t="inlineStr">
        <is>
          <t>담당자 파악 후 접촉</t>
        </is>
      </c>
      <c r="AV387" s="17" t="inlineStr">
        <is>
          <t>GMP적합판정+KRX</t>
        </is>
      </c>
      <c r="AW387" s="17" t="inlineStr">
        <is>
          <t>2026-07-05</t>
        </is>
      </c>
    </row>
    <row r="388">
      <c r="A388" s="17" t="inlineStr">
        <is>
          <t>C387</t>
        </is>
      </c>
      <c r="B388" s="17" t="inlineStr">
        <is>
          <t>경북산업가스충전소</t>
        </is>
      </c>
      <c r="C388" s="17" t="inlineStr">
        <is>
          <t>경북산업가스충전소</t>
        </is>
      </c>
      <c r="D388" s="17" t="n">
        <v>1</v>
      </c>
      <c r="E388" s="17" t="n">
        <v>1</v>
      </c>
      <c r="F388" s="17" t="inlineStr">
        <is>
          <t>Y</t>
        </is>
      </c>
      <c r="G388" s="17" t="inlineStr"/>
      <c r="H388" s="17" t="inlineStr"/>
      <c r="I388" s="17" t="inlineStr"/>
      <c r="J388" s="24" t="n">
        <v>46320</v>
      </c>
      <c r="K388" s="17" t="inlineStr">
        <is>
          <t>Y</t>
        </is>
      </c>
      <c r="L388" s="17" t="inlineStr"/>
      <c r="M388" s="17" t="inlineStr"/>
      <c r="N388" s="23" t="inlineStr"/>
      <c r="O388" s="17" t="inlineStr"/>
      <c r="P388" s="17" t="inlineStr"/>
      <c r="Q388" s="17" t="inlineStr">
        <is>
          <t>남은식</t>
        </is>
      </c>
      <c r="R388" s="17" t="inlineStr"/>
      <c r="S388" s="17" t="inlineStr"/>
      <c r="T388" s="17" t="inlineStr">
        <is>
          <t>054-443-0331</t>
        </is>
      </c>
      <c r="U388" s="17" t="inlineStr">
        <is>
          <t>제조소상세</t>
        </is>
      </c>
      <c r="V388" s="22" t="inlineStr">
        <is>
          <t>미확인</t>
        </is>
      </c>
      <c r="W388" s="22" t="inlineStr">
        <is>
          <t>미확인</t>
        </is>
      </c>
      <c r="X388" s="22" t="inlineStr">
        <is>
          <t>미확인</t>
        </is>
      </c>
      <c r="Y388" s="22" t="inlineStr">
        <is>
          <t>미확인</t>
        </is>
      </c>
      <c r="Z388" s="22" t="inlineStr">
        <is>
          <t>미확인</t>
        </is>
      </c>
      <c r="AA388" s="22" t="inlineStr">
        <is>
          <t>미확인</t>
        </is>
      </c>
      <c r="AB388" s="22" t="inlineStr">
        <is>
          <t>미확인</t>
        </is>
      </c>
      <c r="AC388" s="22" t="inlineStr">
        <is>
          <t>미확인</t>
        </is>
      </c>
      <c r="AD388" s="22" t="inlineStr">
        <is>
          <t>미확인</t>
        </is>
      </c>
      <c r="AE388" s="22" t="inlineStr">
        <is>
          <t>미확인</t>
        </is>
      </c>
      <c r="AF388" s="22" t="inlineStr">
        <is>
          <t>미확인</t>
        </is>
      </c>
      <c r="AG388" s="22" t="inlineStr">
        <is>
          <t>미확인</t>
        </is>
      </c>
      <c r="AH388" s="22" t="inlineStr">
        <is>
          <t>미확인</t>
        </is>
      </c>
      <c r="AI388" s="22" t="inlineStr">
        <is>
          <t>미확인</t>
        </is>
      </c>
      <c r="AJ388" s="22" t="inlineStr">
        <is>
          <t>미확인</t>
        </is>
      </c>
      <c r="AK388" s="22" t="inlineStr">
        <is>
          <t>미확인</t>
        </is>
      </c>
      <c r="AL388" s="22" t="inlineStr">
        <is>
          <t>미확인</t>
        </is>
      </c>
      <c r="AM388" s="22" t="inlineStr">
        <is>
          <t>미확인</t>
        </is>
      </c>
      <c r="AN388" s="22" t="inlineStr">
        <is>
          <t>미확인</t>
        </is>
      </c>
      <c r="AO388" s="17" t="inlineStr">
        <is>
          <t>C(부분확인)</t>
        </is>
      </c>
      <c r="AP388" s="17" t="inlineStr">
        <is>
          <t>Y</t>
        </is>
      </c>
      <c r="AQ388" s="17" t="n">
        <v>9</v>
      </c>
      <c r="AR388" s="28" t="inlineStr">
        <is>
          <t>Tier D</t>
        </is>
      </c>
      <c r="AS388" s="17" t="inlineStr">
        <is>
          <t>QMS</t>
        </is>
      </c>
      <c r="AT388" s="17" t="inlineStr">
        <is>
          <t>기본 GMP 문서관리 대상</t>
        </is>
      </c>
      <c r="AU388" s="17" t="inlineStr">
        <is>
          <t>담당자 파악 후 접촉</t>
        </is>
      </c>
      <c r="AV388" s="17" t="inlineStr">
        <is>
          <t>GMP적합판정+KRX</t>
        </is>
      </c>
      <c r="AW388" s="17" t="inlineStr">
        <is>
          <t>2026-07-05</t>
        </is>
      </c>
    </row>
    <row r="389">
      <c r="A389" s="17" t="inlineStr">
        <is>
          <t>C388</t>
        </is>
      </c>
      <c r="B389" s="17" t="inlineStr">
        <is>
          <t>시믹씨엠오코리아</t>
        </is>
      </c>
      <c r="C389" s="17" t="inlineStr">
        <is>
          <t>시믹씨엠오코리아주식회사</t>
        </is>
      </c>
      <c r="D389" s="17" t="n">
        <v>1</v>
      </c>
      <c r="E389" s="17" t="n">
        <v>1</v>
      </c>
      <c r="F389" s="17" t="inlineStr">
        <is>
          <t>Y</t>
        </is>
      </c>
      <c r="G389" s="17" t="inlineStr"/>
      <c r="H389" s="17" t="inlineStr"/>
      <c r="I389" s="17" t="inlineStr"/>
      <c r="J389" s="24" t="n">
        <v>46313</v>
      </c>
      <c r="K389" s="17" t="inlineStr">
        <is>
          <t>Y</t>
        </is>
      </c>
      <c r="L389" s="17" t="inlineStr"/>
      <c r="M389" s="17" t="inlineStr"/>
      <c r="N389" s="23" t="inlineStr"/>
      <c r="O389" s="17" t="inlineStr"/>
      <c r="P389" s="17" t="inlineStr"/>
      <c r="Q389" s="17" t="inlineStr">
        <is>
          <t>하마우라다케시</t>
        </is>
      </c>
      <c r="R389" s="17" t="inlineStr"/>
      <c r="S389" s="17" t="inlineStr"/>
      <c r="T389" s="17" t="inlineStr">
        <is>
          <t>미확인</t>
        </is>
      </c>
      <c r="U389" s="17" t="inlineStr">
        <is>
          <t>미확인</t>
        </is>
      </c>
      <c r="V389" s="22" t="inlineStr">
        <is>
          <t>미확인</t>
        </is>
      </c>
      <c r="W389" s="22" t="inlineStr">
        <is>
          <t>미확인</t>
        </is>
      </c>
      <c r="X389" s="22" t="inlineStr">
        <is>
          <t>미확인</t>
        </is>
      </c>
      <c r="Y389" s="22" t="inlineStr">
        <is>
          <t>미확인</t>
        </is>
      </c>
      <c r="Z389" s="22" t="inlineStr">
        <is>
          <t>미확인</t>
        </is>
      </c>
      <c r="AA389" s="22" t="inlineStr">
        <is>
          <t>미확인</t>
        </is>
      </c>
      <c r="AB389" s="22" t="inlineStr">
        <is>
          <t>미확인</t>
        </is>
      </c>
      <c r="AC389" s="22" t="inlineStr">
        <is>
          <t>미확인</t>
        </is>
      </c>
      <c r="AD389" s="22" t="inlineStr">
        <is>
          <t>미확인</t>
        </is>
      </c>
      <c r="AE389" s="22" t="inlineStr">
        <is>
          <t>미확인</t>
        </is>
      </c>
      <c r="AF389" s="22" t="inlineStr">
        <is>
          <t>미확인</t>
        </is>
      </c>
      <c r="AG389" s="22" t="inlineStr">
        <is>
          <t>미확인</t>
        </is>
      </c>
      <c r="AH389" s="22" t="inlineStr">
        <is>
          <t>미확인</t>
        </is>
      </c>
      <c r="AI389" s="22" t="inlineStr">
        <is>
          <t>미확인</t>
        </is>
      </c>
      <c r="AJ389" s="22" t="inlineStr">
        <is>
          <t>미확인</t>
        </is>
      </c>
      <c r="AK389" s="22" t="inlineStr">
        <is>
          <t>미확인</t>
        </is>
      </c>
      <c r="AL389" s="22" t="inlineStr">
        <is>
          <t>미확인</t>
        </is>
      </c>
      <c r="AM389" s="22" t="inlineStr">
        <is>
          <t>미확인</t>
        </is>
      </c>
      <c r="AN389" s="22" t="inlineStr">
        <is>
          <t>미확인</t>
        </is>
      </c>
      <c r="AO389" s="17" t="inlineStr">
        <is>
          <t>C(부분확인)</t>
        </is>
      </c>
      <c r="AP389" s="17" t="inlineStr">
        <is>
          <t>Y</t>
        </is>
      </c>
      <c r="AQ389" s="17" t="n">
        <v>9</v>
      </c>
      <c r="AR389" s="28" t="inlineStr">
        <is>
          <t>Tier D</t>
        </is>
      </c>
      <c r="AS389" s="17" t="inlineStr">
        <is>
          <t>QMS</t>
        </is>
      </c>
      <c r="AT389" s="17" t="inlineStr">
        <is>
          <t>기본 GMP 문서관리 대상</t>
        </is>
      </c>
      <c r="AU389" s="17" t="inlineStr">
        <is>
          <t>담당자 파악 후 접촉</t>
        </is>
      </c>
      <c r="AV389" s="17" t="inlineStr">
        <is>
          <t>GMP적합판정+KRX</t>
        </is>
      </c>
      <c r="AW389" s="17" t="inlineStr">
        <is>
          <t>2026-07-05</t>
        </is>
      </c>
    </row>
    <row r="390">
      <c r="A390" s="17" t="inlineStr">
        <is>
          <t>C389</t>
        </is>
      </c>
      <c r="B390" s="17" t="inlineStr">
        <is>
          <t>대성가스텍</t>
        </is>
      </c>
      <c r="C390" s="17" t="inlineStr">
        <is>
          <t>대성가스텍(주)</t>
        </is>
      </c>
      <c r="D390" s="17" t="n">
        <v>1</v>
      </c>
      <c r="E390" s="17" t="n">
        <v>1</v>
      </c>
      <c r="F390" s="17" t="inlineStr">
        <is>
          <t>Y</t>
        </is>
      </c>
      <c r="G390" s="17" t="inlineStr"/>
      <c r="H390" s="17" t="inlineStr"/>
      <c r="I390" s="17" t="inlineStr"/>
      <c r="J390" s="24" t="n">
        <v>46311</v>
      </c>
      <c r="K390" s="17" t="inlineStr">
        <is>
          <t>Y</t>
        </is>
      </c>
      <c r="L390" s="17" t="inlineStr"/>
      <c r="M390" s="17" t="inlineStr"/>
      <c r="N390" s="23" t="inlineStr"/>
      <c r="O390" s="17" t="inlineStr"/>
      <c r="P390" s="17" t="inlineStr"/>
      <c r="Q390" s="17" t="inlineStr">
        <is>
          <t>안대경</t>
        </is>
      </c>
      <c r="R390" s="17" t="inlineStr"/>
      <c r="S390" s="17" t="inlineStr"/>
      <c r="T390" s="17" t="inlineStr">
        <is>
          <t>미확인</t>
        </is>
      </c>
      <c r="U390" s="17" t="inlineStr">
        <is>
          <t>미확인</t>
        </is>
      </c>
      <c r="V390" s="22" t="inlineStr">
        <is>
          <t>미확인</t>
        </is>
      </c>
      <c r="W390" s="22" t="inlineStr">
        <is>
          <t>미확인</t>
        </is>
      </c>
      <c r="X390" s="22" t="inlineStr">
        <is>
          <t>미확인</t>
        </is>
      </c>
      <c r="Y390" s="22" t="inlineStr">
        <is>
          <t>미확인</t>
        </is>
      </c>
      <c r="Z390" s="22" t="inlineStr">
        <is>
          <t>미확인</t>
        </is>
      </c>
      <c r="AA390" s="22" t="inlineStr">
        <is>
          <t>미확인</t>
        </is>
      </c>
      <c r="AB390" s="22" t="inlineStr">
        <is>
          <t>미확인</t>
        </is>
      </c>
      <c r="AC390" s="22" t="inlineStr">
        <is>
          <t>미확인</t>
        </is>
      </c>
      <c r="AD390" s="22" t="inlineStr">
        <is>
          <t>미확인</t>
        </is>
      </c>
      <c r="AE390" s="22" t="inlineStr">
        <is>
          <t>미확인</t>
        </is>
      </c>
      <c r="AF390" s="22" t="inlineStr">
        <is>
          <t>미확인</t>
        </is>
      </c>
      <c r="AG390" s="22" t="inlineStr">
        <is>
          <t>미확인</t>
        </is>
      </c>
      <c r="AH390" s="22" t="inlineStr">
        <is>
          <t>미확인</t>
        </is>
      </c>
      <c r="AI390" s="22" t="inlineStr">
        <is>
          <t>미확인</t>
        </is>
      </c>
      <c r="AJ390" s="22" t="inlineStr">
        <is>
          <t>미확인</t>
        </is>
      </c>
      <c r="AK390" s="22" t="inlineStr">
        <is>
          <t>미확인</t>
        </is>
      </c>
      <c r="AL390" s="22" t="inlineStr">
        <is>
          <t>미확인</t>
        </is>
      </c>
      <c r="AM390" s="22" t="inlineStr">
        <is>
          <t>미확인</t>
        </is>
      </c>
      <c r="AN390" s="22" t="inlineStr">
        <is>
          <t>미확인</t>
        </is>
      </c>
      <c r="AO390" s="17" t="inlineStr">
        <is>
          <t>C(부분확인)</t>
        </is>
      </c>
      <c r="AP390" s="17" t="inlineStr">
        <is>
          <t>Y</t>
        </is>
      </c>
      <c r="AQ390" s="17" t="n">
        <v>9</v>
      </c>
      <c r="AR390" s="28" t="inlineStr">
        <is>
          <t>Tier D</t>
        </is>
      </c>
      <c r="AS390" s="17" t="inlineStr">
        <is>
          <t>QMS</t>
        </is>
      </c>
      <c r="AT390" s="17" t="inlineStr">
        <is>
          <t>기본 GMP 문서관리 대상</t>
        </is>
      </c>
      <c r="AU390" s="17" t="inlineStr">
        <is>
          <t>담당자 파악 후 접촉</t>
        </is>
      </c>
      <c r="AV390" s="17" t="inlineStr">
        <is>
          <t>GMP적합판정+KRX</t>
        </is>
      </c>
      <c r="AW390" s="17" t="inlineStr">
        <is>
          <t>2026-07-05</t>
        </is>
      </c>
    </row>
    <row r="391">
      <c r="A391" s="17" t="inlineStr">
        <is>
          <t>C390</t>
        </is>
      </c>
      <c r="B391" s="17" t="inlineStr">
        <is>
          <t>삼남제약</t>
        </is>
      </c>
      <c r="C391" s="17" t="inlineStr">
        <is>
          <t>삼남제약(주)</t>
        </is>
      </c>
      <c r="D391" s="17" t="n">
        <v>1</v>
      </c>
      <c r="E391" s="17" t="n">
        <v>1</v>
      </c>
      <c r="F391" s="17" t="inlineStr">
        <is>
          <t>Y</t>
        </is>
      </c>
      <c r="G391" s="17" t="inlineStr"/>
      <c r="H391" s="17" t="inlineStr"/>
      <c r="I391" s="17" t="inlineStr"/>
      <c r="J391" s="24" t="n">
        <v>46307</v>
      </c>
      <c r="K391" s="17" t="inlineStr">
        <is>
          <t>Y</t>
        </is>
      </c>
      <c r="L391" s="17" t="inlineStr"/>
      <c r="M391" s="17" t="inlineStr"/>
      <c r="N391" s="23" t="inlineStr"/>
      <c r="O391" s="17" t="inlineStr"/>
      <c r="P391" s="17" t="inlineStr"/>
      <c r="Q391" s="17" t="inlineStr">
        <is>
          <t>김호택</t>
        </is>
      </c>
      <c r="R391" s="17" t="inlineStr"/>
      <c r="S391" s="17" t="inlineStr"/>
      <c r="T391" s="17" t="inlineStr">
        <is>
          <t>041-754-3771</t>
        </is>
      </c>
      <c r="U391" s="17" t="inlineStr">
        <is>
          <t>제조소상세</t>
        </is>
      </c>
      <c r="V391" s="22" t="inlineStr">
        <is>
          <t>미확인</t>
        </is>
      </c>
      <c r="W391" s="22" t="inlineStr">
        <is>
          <t>미확인</t>
        </is>
      </c>
      <c r="X391" s="22" t="inlineStr">
        <is>
          <t>미확인</t>
        </is>
      </c>
      <c r="Y391" s="22" t="inlineStr">
        <is>
          <t>미확인</t>
        </is>
      </c>
      <c r="Z391" s="22" t="inlineStr">
        <is>
          <t>미확인</t>
        </is>
      </c>
      <c r="AA391" s="22" t="inlineStr">
        <is>
          <t>미확인</t>
        </is>
      </c>
      <c r="AB391" s="22" t="inlineStr">
        <is>
          <t>미확인</t>
        </is>
      </c>
      <c r="AC391" s="22" t="inlineStr">
        <is>
          <t>미확인</t>
        </is>
      </c>
      <c r="AD391" s="22" t="inlineStr">
        <is>
          <t>미확인</t>
        </is>
      </c>
      <c r="AE391" s="22" t="inlineStr">
        <is>
          <t>미확인</t>
        </is>
      </c>
      <c r="AF391" s="22" t="inlineStr">
        <is>
          <t>미확인</t>
        </is>
      </c>
      <c r="AG391" s="22" t="inlineStr">
        <is>
          <t>미확인</t>
        </is>
      </c>
      <c r="AH391" s="22" t="inlineStr">
        <is>
          <t>미확인</t>
        </is>
      </c>
      <c r="AI391" s="22" t="inlineStr">
        <is>
          <t>미확인</t>
        </is>
      </c>
      <c r="AJ391" s="22" t="inlineStr">
        <is>
          <t>미확인</t>
        </is>
      </c>
      <c r="AK391" s="22" t="inlineStr">
        <is>
          <t>미확인</t>
        </is>
      </c>
      <c r="AL391" s="22" t="inlineStr">
        <is>
          <t>미확인</t>
        </is>
      </c>
      <c r="AM391" s="22" t="inlineStr">
        <is>
          <t>미확인</t>
        </is>
      </c>
      <c r="AN391" s="22" t="inlineStr">
        <is>
          <t>미확인</t>
        </is>
      </c>
      <c r="AO391" s="17" t="inlineStr">
        <is>
          <t>C(부분확인)</t>
        </is>
      </c>
      <c r="AP391" s="17" t="inlineStr">
        <is>
          <t>Y</t>
        </is>
      </c>
      <c r="AQ391" s="17" t="n">
        <v>9</v>
      </c>
      <c r="AR391" s="28" t="inlineStr">
        <is>
          <t>Tier D</t>
        </is>
      </c>
      <c r="AS391" s="17" t="inlineStr">
        <is>
          <t>QMS</t>
        </is>
      </c>
      <c r="AT391" s="17" t="inlineStr">
        <is>
          <t>기본 GMP 문서관리 대상</t>
        </is>
      </c>
      <c r="AU391" s="17" t="inlineStr">
        <is>
          <t>담당자 파악 후 접촉</t>
        </is>
      </c>
      <c r="AV391" s="17" t="inlineStr">
        <is>
          <t>GMP적합판정+KRX</t>
        </is>
      </c>
      <c r="AW391" s="17" t="inlineStr">
        <is>
          <t>2026-07-05</t>
        </is>
      </c>
    </row>
    <row r="392">
      <c r="A392" s="17" t="inlineStr">
        <is>
          <t>C391</t>
        </is>
      </c>
      <c r="B392" s="17" t="inlineStr">
        <is>
          <t>애경바이오팜</t>
        </is>
      </c>
      <c r="C392" s="17" t="inlineStr">
        <is>
          <t>애경바이오팜 주식회사</t>
        </is>
      </c>
      <c r="D392" s="17" t="n">
        <v>1</v>
      </c>
      <c r="E392" s="17" t="n">
        <v>1</v>
      </c>
      <c r="F392" s="17" t="inlineStr"/>
      <c r="G392" s="17" t="inlineStr">
        <is>
          <t>Y</t>
        </is>
      </c>
      <c r="H392" s="17" t="inlineStr"/>
      <c r="I392" s="17" t="inlineStr"/>
      <c r="J392" s="24" t="n">
        <v>46300</v>
      </c>
      <c r="K392" s="17" t="inlineStr">
        <is>
          <t>Y</t>
        </is>
      </c>
      <c r="L392" s="17" t="inlineStr"/>
      <c r="M392" s="17" t="inlineStr"/>
      <c r="N392" s="23" t="inlineStr"/>
      <c r="O392" s="17" t="inlineStr"/>
      <c r="P392" s="17" t="inlineStr"/>
      <c r="Q392" s="17" t="inlineStr">
        <is>
          <t>김성완</t>
        </is>
      </c>
      <c r="R392" s="17" t="inlineStr"/>
      <c r="S392" s="17" t="inlineStr"/>
      <c r="T392" s="17" t="inlineStr">
        <is>
          <t>052-259-4500</t>
        </is>
      </c>
      <c r="U392" s="17" t="inlineStr">
        <is>
          <t>제조소상세</t>
        </is>
      </c>
      <c r="V392" s="22" t="inlineStr">
        <is>
          <t>미확인</t>
        </is>
      </c>
      <c r="W392" s="22" t="inlineStr">
        <is>
          <t>미확인</t>
        </is>
      </c>
      <c r="X392" s="22" t="inlineStr">
        <is>
          <t>미확인</t>
        </is>
      </c>
      <c r="Y392" s="22" t="inlineStr">
        <is>
          <t>미확인</t>
        </is>
      </c>
      <c r="Z392" s="22" t="inlineStr">
        <is>
          <t>미확인</t>
        </is>
      </c>
      <c r="AA392" s="22" t="inlineStr">
        <is>
          <t>미확인</t>
        </is>
      </c>
      <c r="AB392" s="22" t="inlineStr">
        <is>
          <t>미확인</t>
        </is>
      </c>
      <c r="AC392" s="22" t="inlineStr">
        <is>
          <t>미확인</t>
        </is>
      </c>
      <c r="AD392" s="22" t="inlineStr">
        <is>
          <t>미확인</t>
        </is>
      </c>
      <c r="AE392" s="22" t="inlineStr">
        <is>
          <t>미확인</t>
        </is>
      </c>
      <c r="AF392" s="22" t="inlineStr">
        <is>
          <t>미확인</t>
        </is>
      </c>
      <c r="AG392" s="22" t="inlineStr">
        <is>
          <t>미확인</t>
        </is>
      </c>
      <c r="AH392" s="22" t="inlineStr">
        <is>
          <t>미확인</t>
        </is>
      </c>
      <c r="AI392" s="22" t="inlineStr">
        <is>
          <t>미확인</t>
        </is>
      </c>
      <c r="AJ392" s="22" t="inlineStr">
        <is>
          <t>미확인</t>
        </is>
      </c>
      <c r="AK392" s="22" t="inlineStr">
        <is>
          <t>미확인</t>
        </is>
      </c>
      <c r="AL392" s="22" t="inlineStr">
        <is>
          <t>미확인</t>
        </is>
      </c>
      <c r="AM392" s="22" t="inlineStr">
        <is>
          <t>미확인</t>
        </is>
      </c>
      <c r="AN392" s="22" t="inlineStr">
        <is>
          <t>미확인</t>
        </is>
      </c>
      <c r="AO392" s="17" t="inlineStr">
        <is>
          <t>C(부분확인)</t>
        </is>
      </c>
      <c r="AP392" s="17" t="inlineStr">
        <is>
          <t>Y</t>
        </is>
      </c>
      <c r="AQ392" s="17" t="n">
        <v>9</v>
      </c>
      <c r="AR392" s="28" t="inlineStr">
        <is>
          <t>Tier D</t>
        </is>
      </c>
      <c r="AS392" s="17" t="inlineStr">
        <is>
          <t>QMS+LIMS</t>
        </is>
      </c>
      <c r="AT392" s="17" t="inlineStr">
        <is>
          <t>원료 제조로 시험실 관리 필요</t>
        </is>
      </c>
      <c r="AU392" s="17" t="inlineStr">
        <is>
          <t>담당자 파악 후 접촉</t>
        </is>
      </c>
      <c r="AV392" s="17" t="inlineStr">
        <is>
          <t>GMP적합판정+KRX</t>
        </is>
      </c>
      <c r="AW392" s="17" t="inlineStr">
        <is>
          <t>2026-07-05</t>
        </is>
      </c>
    </row>
    <row r="393">
      <c r="A393" s="17" t="inlineStr">
        <is>
          <t>C392</t>
        </is>
      </c>
      <c r="B393" s="17" t="inlineStr">
        <is>
          <t>유일팜테크</t>
        </is>
      </c>
      <c r="C393" s="17" t="inlineStr">
        <is>
          <t>(주)유일팜테크</t>
        </is>
      </c>
      <c r="D393" s="17" t="n">
        <v>1</v>
      </c>
      <c r="E393" s="17" t="n">
        <v>1</v>
      </c>
      <c r="F393" s="17" t="inlineStr"/>
      <c r="G393" s="17" t="inlineStr">
        <is>
          <t>Y</t>
        </is>
      </c>
      <c r="H393" s="17" t="inlineStr"/>
      <c r="I393" s="17" t="inlineStr"/>
      <c r="J393" s="24" t="n">
        <v>46300</v>
      </c>
      <c r="K393" s="17" t="inlineStr">
        <is>
          <t>Y</t>
        </is>
      </c>
      <c r="L393" s="17" t="inlineStr"/>
      <c r="M393" s="17" t="inlineStr"/>
      <c r="N393" s="23" t="inlineStr"/>
      <c r="O393" s="17" t="inlineStr"/>
      <c r="P393" s="17" t="inlineStr"/>
      <c r="Q393" s="17" t="inlineStr">
        <is>
          <t>김한석</t>
        </is>
      </c>
      <c r="R393" s="17" t="inlineStr"/>
      <c r="S393" s="17" t="inlineStr"/>
      <c r="T393" s="17" t="inlineStr">
        <is>
          <t>043-537-2162</t>
        </is>
      </c>
      <c r="U393" s="17" t="inlineStr">
        <is>
          <t>제조소상세</t>
        </is>
      </c>
      <c r="V393" s="22" t="inlineStr">
        <is>
          <t>미확인</t>
        </is>
      </c>
      <c r="W393" s="22" t="inlineStr">
        <is>
          <t>미확인</t>
        </is>
      </c>
      <c r="X393" s="22" t="inlineStr">
        <is>
          <t>미확인</t>
        </is>
      </c>
      <c r="Y393" s="22" t="inlineStr">
        <is>
          <t>미확인</t>
        </is>
      </c>
      <c r="Z393" s="22" t="inlineStr">
        <is>
          <t>미확인</t>
        </is>
      </c>
      <c r="AA393" s="22" t="inlineStr">
        <is>
          <t>미확인</t>
        </is>
      </c>
      <c r="AB393" s="22" t="inlineStr">
        <is>
          <t>미확인</t>
        </is>
      </c>
      <c r="AC393" s="22" t="inlineStr">
        <is>
          <t>미확인</t>
        </is>
      </c>
      <c r="AD393" s="22" t="inlineStr">
        <is>
          <t>미확인</t>
        </is>
      </c>
      <c r="AE393" s="22" t="inlineStr">
        <is>
          <t>미확인</t>
        </is>
      </c>
      <c r="AF393" s="22" t="inlineStr">
        <is>
          <t>미확인</t>
        </is>
      </c>
      <c r="AG393" s="22" t="inlineStr">
        <is>
          <t>미확인</t>
        </is>
      </c>
      <c r="AH393" s="22" t="inlineStr">
        <is>
          <t>미확인</t>
        </is>
      </c>
      <c r="AI393" s="22" t="inlineStr">
        <is>
          <t>미확인</t>
        </is>
      </c>
      <c r="AJ393" s="22" t="inlineStr">
        <is>
          <t>미확인</t>
        </is>
      </c>
      <c r="AK393" s="22" t="inlineStr">
        <is>
          <t>미확인</t>
        </is>
      </c>
      <c r="AL393" s="22" t="inlineStr">
        <is>
          <t>미확인</t>
        </is>
      </c>
      <c r="AM393" s="22" t="inlineStr">
        <is>
          <t>미확인</t>
        </is>
      </c>
      <c r="AN393" s="22" t="inlineStr">
        <is>
          <t>미확인</t>
        </is>
      </c>
      <c r="AO393" s="17" t="inlineStr">
        <is>
          <t>C(부분확인)</t>
        </is>
      </c>
      <c r="AP393" s="17" t="inlineStr">
        <is>
          <t>Y</t>
        </is>
      </c>
      <c r="AQ393" s="17" t="n">
        <v>9</v>
      </c>
      <c r="AR393" s="28" t="inlineStr">
        <is>
          <t>Tier D</t>
        </is>
      </c>
      <c r="AS393" s="17" t="inlineStr">
        <is>
          <t>QMS+LIMS</t>
        </is>
      </c>
      <c r="AT393" s="17" t="inlineStr">
        <is>
          <t>원료 제조로 시험실 관리 필요</t>
        </is>
      </c>
      <c r="AU393" s="17" t="inlineStr">
        <is>
          <t>담당자 파악 후 접촉</t>
        </is>
      </c>
      <c r="AV393" s="17" t="inlineStr">
        <is>
          <t>GMP적합판정+KRX</t>
        </is>
      </c>
      <c r="AW393" s="17" t="inlineStr">
        <is>
          <t>2026-07-05</t>
        </is>
      </c>
    </row>
    <row r="394">
      <c r="A394" s="17" t="inlineStr">
        <is>
          <t>C393</t>
        </is>
      </c>
      <c r="B394" s="17" t="inlineStr">
        <is>
          <t>서진산업가스</t>
        </is>
      </c>
      <c r="C394" s="17" t="inlineStr">
        <is>
          <t>서진산업가스(주)</t>
        </is>
      </c>
      <c r="D394" s="17" t="n">
        <v>1</v>
      </c>
      <c r="E394" s="17" t="n">
        <v>1</v>
      </c>
      <c r="F394" s="17" t="inlineStr">
        <is>
          <t>Y</t>
        </is>
      </c>
      <c r="G394" s="17" t="inlineStr"/>
      <c r="H394" s="17" t="inlineStr"/>
      <c r="I394" s="17" t="inlineStr"/>
      <c r="J394" s="24" t="n">
        <v>46290</v>
      </c>
      <c r="K394" s="17" t="inlineStr">
        <is>
          <t>Y</t>
        </is>
      </c>
      <c r="L394" s="17" t="inlineStr"/>
      <c r="M394" s="17" t="inlineStr"/>
      <c r="N394" s="23" t="inlineStr"/>
      <c r="O394" s="17" t="inlineStr"/>
      <c r="P394" s="17" t="inlineStr"/>
      <c r="Q394" s="17" t="inlineStr">
        <is>
          <t>윤형순</t>
        </is>
      </c>
      <c r="R394" s="17" t="inlineStr"/>
      <c r="S394" s="17" t="inlineStr"/>
      <c r="T394" s="17" t="inlineStr">
        <is>
          <t>041-353-3400</t>
        </is>
      </c>
      <c r="U394" s="17" t="inlineStr">
        <is>
          <t>제조소상세</t>
        </is>
      </c>
      <c r="V394" s="22" t="inlineStr">
        <is>
          <t>미확인</t>
        </is>
      </c>
      <c r="W394" s="22" t="inlineStr">
        <is>
          <t>미확인</t>
        </is>
      </c>
      <c r="X394" s="22" t="inlineStr">
        <is>
          <t>미확인</t>
        </is>
      </c>
      <c r="Y394" s="22" t="inlineStr">
        <is>
          <t>미확인</t>
        </is>
      </c>
      <c r="Z394" s="22" t="inlineStr">
        <is>
          <t>미확인</t>
        </is>
      </c>
      <c r="AA394" s="22" t="inlineStr">
        <is>
          <t>미확인</t>
        </is>
      </c>
      <c r="AB394" s="22" t="inlineStr">
        <is>
          <t>미확인</t>
        </is>
      </c>
      <c r="AC394" s="22" t="inlineStr">
        <is>
          <t>미확인</t>
        </is>
      </c>
      <c r="AD394" s="22" t="inlineStr">
        <is>
          <t>미확인</t>
        </is>
      </c>
      <c r="AE394" s="22" t="inlineStr">
        <is>
          <t>미확인</t>
        </is>
      </c>
      <c r="AF394" s="22" t="inlineStr">
        <is>
          <t>미확인</t>
        </is>
      </c>
      <c r="AG394" s="22" t="inlineStr">
        <is>
          <t>미확인</t>
        </is>
      </c>
      <c r="AH394" s="22" t="inlineStr">
        <is>
          <t>미확인</t>
        </is>
      </c>
      <c r="AI394" s="22" t="inlineStr">
        <is>
          <t>미확인</t>
        </is>
      </c>
      <c r="AJ394" s="22" t="inlineStr">
        <is>
          <t>미확인</t>
        </is>
      </c>
      <c r="AK394" s="22" t="inlineStr">
        <is>
          <t>미확인</t>
        </is>
      </c>
      <c r="AL394" s="22" t="inlineStr">
        <is>
          <t>미확인</t>
        </is>
      </c>
      <c r="AM394" s="22" t="inlineStr">
        <is>
          <t>미확인</t>
        </is>
      </c>
      <c r="AN394" s="22" t="inlineStr">
        <is>
          <t>미확인</t>
        </is>
      </c>
      <c r="AO394" s="17" t="inlineStr">
        <is>
          <t>C(부분확인)</t>
        </is>
      </c>
      <c r="AP394" s="17" t="inlineStr">
        <is>
          <t>Y</t>
        </is>
      </c>
      <c r="AQ394" s="17" t="n">
        <v>9</v>
      </c>
      <c r="AR394" s="28" t="inlineStr">
        <is>
          <t>Tier D</t>
        </is>
      </c>
      <c r="AS394" s="17" t="inlineStr">
        <is>
          <t>QMS</t>
        </is>
      </c>
      <c r="AT394" s="17" t="inlineStr">
        <is>
          <t>기본 GMP 문서관리 대상</t>
        </is>
      </c>
      <c r="AU394" s="17" t="inlineStr">
        <is>
          <t>담당자 파악 후 접촉</t>
        </is>
      </c>
      <c r="AV394" s="17" t="inlineStr">
        <is>
          <t>GMP적합판정+KRX</t>
        </is>
      </c>
      <c r="AW394" s="17" t="inlineStr">
        <is>
          <t>2026-07-05</t>
        </is>
      </c>
    </row>
    <row r="395">
      <c r="A395" s="17" t="inlineStr">
        <is>
          <t>C394</t>
        </is>
      </c>
      <c r="B395" s="17" t="inlineStr">
        <is>
          <t>평화산소</t>
        </is>
      </c>
      <c r="C395" s="17" t="inlineStr">
        <is>
          <t>(주)평화산소</t>
        </is>
      </c>
      <c r="D395" s="17" t="n">
        <v>1</v>
      </c>
      <c r="E395" s="17" t="n">
        <v>1</v>
      </c>
      <c r="F395" s="17" t="inlineStr">
        <is>
          <t>Y</t>
        </is>
      </c>
      <c r="G395" s="17" t="inlineStr"/>
      <c r="H395" s="17" t="inlineStr"/>
      <c r="I395" s="17" t="inlineStr"/>
      <c r="J395" s="24" t="n">
        <v>46290</v>
      </c>
      <c r="K395" s="17" t="inlineStr">
        <is>
          <t>Y</t>
        </is>
      </c>
      <c r="L395" s="17" t="inlineStr"/>
      <c r="M395" s="17" t="inlineStr"/>
      <c r="N395" s="23" t="inlineStr"/>
      <c r="O395" s="17" t="inlineStr"/>
      <c r="P395" s="17" t="inlineStr"/>
      <c r="Q395" s="17" t="inlineStr">
        <is>
          <t>이기열</t>
        </is>
      </c>
      <c r="R395" s="17" t="inlineStr"/>
      <c r="S395" s="17" t="inlineStr"/>
      <c r="T395" s="17" t="inlineStr">
        <is>
          <t>055-255-9211</t>
        </is>
      </c>
      <c r="U395" s="17" t="inlineStr">
        <is>
          <t>제조소상세</t>
        </is>
      </c>
      <c r="V395" s="22" t="inlineStr">
        <is>
          <t>미확인</t>
        </is>
      </c>
      <c r="W395" s="22" t="inlineStr">
        <is>
          <t>미확인</t>
        </is>
      </c>
      <c r="X395" s="22" t="inlineStr">
        <is>
          <t>미확인</t>
        </is>
      </c>
      <c r="Y395" s="22" t="inlineStr">
        <is>
          <t>미확인</t>
        </is>
      </c>
      <c r="Z395" s="22" t="inlineStr">
        <is>
          <t>미확인</t>
        </is>
      </c>
      <c r="AA395" s="22" t="inlineStr">
        <is>
          <t>미확인</t>
        </is>
      </c>
      <c r="AB395" s="22" t="inlineStr">
        <is>
          <t>미확인</t>
        </is>
      </c>
      <c r="AC395" s="22" t="inlineStr">
        <is>
          <t>미확인</t>
        </is>
      </c>
      <c r="AD395" s="22" t="inlineStr">
        <is>
          <t>미확인</t>
        </is>
      </c>
      <c r="AE395" s="22" t="inlineStr">
        <is>
          <t>미확인</t>
        </is>
      </c>
      <c r="AF395" s="22" t="inlineStr">
        <is>
          <t>미확인</t>
        </is>
      </c>
      <c r="AG395" s="22" t="inlineStr">
        <is>
          <t>미확인</t>
        </is>
      </c>
      <c r="AH395" s="22" t="inlineStr">
        <is>
          <t>미확인</t>
        </is>
      </c>
      <c r="AI395" s="22" t="inlineStr">
        <is>
          <t>미확인</t>
        </is>
      </c>
      <c r="AJ395" s="22" t="inlineStr">
        <is>
          <t>미확인</t>
        </is>
      </c>
      <c r="AK395" s="22" t="inlineStr">
        <is>
          <t>미확인</t>
        </is>
      </c>
      <c r="AL395" s="22" t="inlineStr">
        <is>
          <t>미확인</t>
        </is>
      </c>
      <c r="AM395" s="22" t="inlineStr">
        <is>
          <t>미확인</t>
        </is>
      </c>
      <c r="AN395" s="22" t="inlineStr">
        <is>
          <t>미확인</t>
        </is>
      </c>
      <c r="AO395" s="17" t="inlineStr">
        <is>
          <t>C(부분확인)</t>
        </is>
      </c>
      <c r="AP395" s="17" t="inlineStr">
        <is>
          <t>Y</t>
        </is>
      </c>
      <c r="AQ395" s="17" t="n">
        <v>9</v>
      </c>
      <c r="AR395" s="28" t="inlineStr">
        <is>
          <t>Tier D</t>
        </is>
      </c>
      <c r="AS395" s="17" t="inlineStr">
        <is>
          <t>QMS</t>
        </is>
      </c>
      <c r="AT395" s="17" t="inlineStr">
        <is>
          <t>기본 GMP 문서관리 대상</t>
        </is>
      </c>
      <c r="AU395" s="17" t="inlineStr">
        <is>
          <t>담당자 파악 후 접촉</t>
        </is>
      </c>
      <c r="AV395" s="17" t="inlineStr">
        <is>
          <t>GMP적합판정+KRX</t>
        </is>
      </c>
      <c r="AW395" s="17" t="inlineStr">
        <is>
          <t>2026-07-05</t>
        </is>
      </c>
    </row>
    <row r="396">
      <c r="A396" s="17" t="inlineStr">
        <is>
          <t>C395</t>
        </is>
      </c>
      <c r="B396" s="17" t="inlineStr">
        <is>
          <t>한국신약</t>
        </is>
      </c>
      <c r="C396" s="17" t="inlineStr">
        <is>
          <t>(주)한국신약</t>
        </is>
      </c>
      <c r="D396" s="17" t="n">
        <v>1</v>
      </c>
      <c r="E396" s="17" t="n">
        <v>1</v>
      </c>
      <c r="F396" s="17" t="inlineStr">
        <is>
          <t>Y</t>
        </is>
      </c>
      <c r="G396" s="17" t="inlineStr"/>
      <c r="H396" s="17" t="inlineStr"/>
      <c r="I396" s="17" t="inlineStr"/>
      <c r="J396" s="24" t="n">
        <v>46286</v>
      </c>
      <c r="K396" s="17" t="inlineStr">
        <is>
          <t>Y</t>
        </is>
      </c>
      <c r="L396" s="17" t="inlineStr"/>
      <c r="M396" s="17" t="inlineStr"/>
      <c r="N396" s="23" t="inlineStr"/>
      <c r="O396" s="17" t="inlineStr"/>
      <c r="P396" s="17" t="inlineStr"/>
      <c r="Q396" s="17" t="inlineStr">
        <is>
          <t>한상욱</t>
        </is>
      </c>
      <c r="R396" s="17" t="inlineStr"/>
      <c r="S396" s="17" t="inlineStr"/>
      <c r="T396" s="17" t="inlineStr">
        <is>
          <t>041-740-8830</t>
        </is>
      </c>
      <c r="U396" s="17" t="inlineStr">
        <is>
          <t>제조소상세</t>
        </is>
      </c>
      <c r="V396" s="22" t="inlineStr">
        <is>
          <t>미확인</t>
        </is>
      </c>
      <c r="W396" s="22" t="inlineStr">
        <is>
          <t>미확인</t>
        </is>
      </c>
      <c r="X396" s="22" t="inlineStr">
        <is>
          <t>미확인</t>
        </is>
      </c>
      <c r="Y396" s="22" t="inlineStr">
        <is>
          <t>미확인</t>
        </is>
      </c>
      <c r="Z396" s="22" t="inlineStr">
        <is>
          <t>미확인</t>
        </is>
      </c>
      <c r="AA396" s="22" t="inlineStr">
        <is>
          <t>미확인</t>
        </is>
      </c>
      <c r="AB396" s="22" t="inlineStr">
        <is>
          <t>미확인</t>
        </is>
      </c>
      <c r="AC396" s="22" t="inlineStr">
        <is>
          <t>미확인</t>
        </is>
      </c>
      <c r="AD396" s="22" t="inlineStr">
        <is>
          <t>미확인</t>
        </is>
      </c>
      <c r="AE396" s="22" t="inlineStr">
        <is>
          <t>미확인</t>
        </is>
      </c>
      <c r="AF396" s="22" t="inlineStr">
        <is>
          <t>미확인</t>
        </is>
      </c>
      <c r="AG396" s="22" t="inlineStr">
        <is>
          <t>미확인</t>
        </is>
      </c>
      <c r="AH396" s="22" t="inlineStr">
        <is>
          <t>미확인</t>
        </is>
      </c>
      <c r="AI396" s="22" t="inlineStr">
        <is>
          <t>미확인</t>
        </is>
      </c>
      <c r="AJ396" s="22" t="inlineStr">
        <is>
          <t>미확인</t>
        </is>
      </c>
      <c r="AK396" s="22" t="inlineStr">
        <is>
          <t>미확인</t>
        </is>
      </c>
      <c r="AL396" s="22" t="inlineStr">
        <is>
          <t>미확인</t>
        </is>
      </c>
      <c r="AM396" s="22" t="inlineStr">
        <is>
          <t>미확인</t>
        </is>
      </c>
      <c r="AN396" s="22" t="inlineStr">
        <is>
          <t>미확인</t>
        </is>
      </c>
      <c r="AO396" s="17" t="inlineStr">
        <is>
          <t>C(부분확인)</t>
        </is>
      </c>
      <c r="AP396" s="17" t="inlineStr">
        <is>
          <t>Y</t>
        </is>
      </c>
      <c r="AQ396" s="17" t="n">
        <v>9</v>
      </c>
      <c r="AR396" s="28" t="inlineStr">
        <is>
          <t>Tier D</t>
        </is>
      </c>
      <c r="AS396" s="17" t="inlineStr">
        <is>
          <t>QMS</t>
        </is>
      </c>
      <c r="AT396" s="17" t="inlineStr">
        <is>
          <t>기본 GMP 문서관리 대상</t>
        </is>
      </c>
      <c r="AU396" s="17" t="inlineStr">
        <is>
          <t>담당자 파악 후 접촉</t>
        </is>
      </c>
      <c r="AV396" s="17" t="inlineStr">
        <is>
          <t>GMP적합판정+KRX</t>
        </is>
      </c>
      <c r="AW396" s="17" t="inlineStr">
        <is>
          <t>2026-07-05</t>
        </is>
      </c>
    </row>
    <row r="397">
      <c r="A397" s="17" t="inlineStr">
        <is>
          <t>C396</t>
        </is>
      </c>
      <c r="B397" s="17" t="inlineStr">
        <is>
          <t>태준제약</t>
        </is>
      </c>
      <c r="C397" s="17" t="inlineStr">
        <is>
          <t>(주)태준제약</t>
        </is>
      </c>
      <c r="D397" s="17" t="n">
        <v>1</v>
      </c>
      <c r="E397" s="17" t="n">
        <v>1</v>
      </c>
      <c r="F397" s="17" t="inlineStr">
        <is>
          <t>Y</t>
        </is>
      </c>
      <c r="G397" s="17" t="inlineStr"/>
      <c r="H397" s="17" t="inlineStr">
        <is>
          <t>Y</t>
        </is>
      </c>
      <c r="I397" s="17" t="inlineStr"/>
      <c r="J397" s="24" t="n">
        <v>46279</v>
      </c>
      <c r="K397" s="17" t="inlineStr">
        <is>
          <t>Y</t>
        </is>
      </c>
      <c r="L397" s="17" t="inlineStr"/>
      <c r="M397" s="17" t="inlineStr"/>
      <c r="N397" s="23" t="inlineStr"/>
      <c r="O397" s="17" t="inlineStr"/>
      <c r="P397" s="17" t="inlineStr"/>
      <c r="Q397" s="17" t="inlineStr">
        <is>
          <t>이태영</t>
        </is>
      </c>
      <c r="R397" s="17" t="inlineStr"/>
      <c r="S397" s="17" t="inlineStr"/>
      <c r="T397" s="17" t="inlineStr">
        <is>
          <t>미확인</t>
        </is>
      </c>
      <c r="U397" s="17" t="inlineStr">
        <is>
          <t>미확인</t>
        </is>
      </c>
      <c r="V397" s="22" t="inlineStr">
        <is>
          <t>미확인</t>
        </is>
      </c>
      <c r="W397" s="22" t="inlineStr">
        <is>
          <t>미확인</t>
        </is>
      </c>
      <c r="X397" s="22" t="inlineStr">
        <is>
          <t>미확인</t>
        </is>
      </c>
      <c r="Y397" s="22" t="inlineStr">
        <is>
          <t>미확인</t>
        </is>
      </c>
      <c r="Z397" s="22" t="inlineStr">
        <is>
          <t>미확인</t>
        </is>
      </c>
      <c r="AA397" s="22" t="inlineStr">
        <is>
          <t>미확인</t>
        </is>
      </c>
      <c r="AB397" s="22" t="inlineStr">
        <is>
          <t>미확인</t>
        </is>
      </c>
      <c r="AC397" s="22" t="inlineStr">
        <is>
          <t>미확인</t>
        </is>
      </c>
      <c r="AD397" s="22" t="inlineStr">
        <is>
          <t>미확인</t>
        </is>
      </c>
      <c r="AE397" s="22" t="inlineStr">
        <is>
          <t>미확인</t>
        </is>
      </c>
      <c r="AF397" s="22" t="inlineStr">
        <is>
          <t>미확인</t>
        </is>
      </c>
      <c r="AG397" s="22" t="inlineStr">
        <is>
          <t>미확인</t>
        </is>
      </c>
      <c r="AH397" s="22" t="inlineStr">
        <is>
          <t>미확인</t>
        </is>
      </c>
      <c r="AI397" s="22" t="inlineStr">
        <is>
          <t>미확인</t>
        </is>
      </c>
      <c r="AJ397" s="22" t="inlineStr">
        <is>
          <t>미확인</t>
        </is>
      </c>
      <c r="AK397" s="22" t="inlineStr">
        <is>
          <t>미확인</t>
        </is>
      </c>
      <c r="AL397" s="22" t="inlineStr">
        <is>
          <t>미확인</t>
        </is>
      </c>
      <c r="AM397" s="22" t="inlineStr">
        <is>
          <t>미확인</t>
        </is>
      </c>
      <c r="AN397" s="22" t="inlineStr">
        <is>
          <t>미확인</t>
        </is>
      </c>
      <c r="AO397" s="17" t="inlineStr">
        <is>
          <t>C(부분확인)</t>
        </is>
      </c>
      <c r="AP397" s="17" t="inlineStr">
        <is>
          <t>Y</t>
        </is>
      </c>
      <c r="AQ397" s="17" t="n">
        <v>17</v>
      </c>
      <c r="AR397" s="28" t="inlineStr">
        <is>
          <t>Tier D</t>
        </is>
      </c>
      <c r="AS397" s="17" t="inlineStr">
        <is>
          <t>QMS+LIMS</t>
        </is>
      </c>
      <c r="AT397" s="17" t="inlineStr">
        <is>
          <t>무균/바이오 제조로 품질관리 난도 높음</t>
        </is>
      </c>
      <c r="AU397" s="17" t="inlineStr">
        <is>
          <t>담당자 파악 후 접촉</t>
        </is>
      </c>
      <c r="AV397" s="17" t="inlineStr">
        <is>
          <t>GMP적합판정+KRX</t>
        </is>
      </c>
      <c r="AW397" s="17" t="inlineStr">
        <is>
          <t>2026-07-05</t>
        </is>
      </c>
    </row>
    <row r="398">
      <c r="A398" s="17" t="inlineStr">
        <is>
          <t>C397</t>
        </is>
      </c>
      <c r="B398" s="17" t="inlineStr">
        <is>
          <t>우진가스텍</t>
        </is>
      </c>
      <c r="C398" s="17" t="inlineStr">
        <is>
          <t>(주)우진가스텍</t>
        </is>
      </c>
      <c r="D398" s="17" t="n">
        <v>1</v>
      </c>
      <c r="E398" s="17" t="n">
        <v>1</v>
      </c>
      <c r="F398" s="17" t="inlineStr">
        <is>
          <t>Y</t>
        </is>
      </c>
      <c r="G398" s="17" t="inlineStr"/>
      <c r="H398" s="17" t="inlineStr"/>
      <c r="I398" s="17" t="inlineStr"/>
      <c r="J398" s="24" t="n">
        <v>46277</v>
      </c>
      <c r="K398" s="17" t="inlineStr">
        <is>
          <t>Y</t>
        </is>
      </c>
      <c r="L398" s="17" t="inlineStr"/>
      <c r="M398" s="17" t="inlineStr"/>
      <c r="N398" s="23" t="inlineStr"/>
      <c r="O398" s="17" t="inlineStr"/>
      <c r="P398" s="17" t="inlineStr"/>
      <c r="Q398" s="17" t="inlineStr">
        <is>
          <t>신은수</t>
        </is>
      </c>
      <c r="R398" s="17" t="inlineStr"/>
      <c r="S398" s="17" t="inlineStr"/>
      <c r="T398" s="17" t="inlineStr">
        <is>
          <t>055-3361-2612</t>
        </is>
      </c>
      <c r="U398" s="17" t="inlineStr">
        <is>
          <t>제조소상세</t>
        </is>
      </c>
      <c r="V398" s="22" t="inlineStr">
        <is>
          <t>미확인</t>
        </is>
      </c>
      <c r="W398" s="22" t="inlineStr">
        <is>
          <t>미확인</t>
        </is>
      </c>
      <c r="X398" s="22" t="inlineStr">
        <is>
          <t>미확인</t>
        </is>
      </c>
      <c r="Y398" s="22" t="inlineStr">
        <is>
          <t>미확인</t>
        </is>
      </c>
      <c r="Z398" s="22" t="inlineStr">
        <is>
          <t>미확인</t>
        </is>
      </c>
      <c r="AA398" s="22" t="inlineStr">
        <is>
          <t>미확인</t>
        </is>
      </c>
      <c r="AB398" s="22" t="inlineStr">
        <is>
          <t>미확인</t>
        </is>
      </c>
      <c r="AC398" s="22" t="inlineStr">
        <is>
          <t>미확인</t>
        </is>
      </c>
      <c r="AD398" s="22" t="inlineStr">
        <is>
          <t>미확인</t>
        </is>
      </c>
      <c r="AE398" s="22" t="inlineStr">
        <is>
          <t>미확인</t>
        </is>
      </c>
      <c r="AF398" s="22" t="inlineStr">
        <is>
          <t>미확인</t>
        </is>
      </c>
      <c r="AG398" s="22" t="inlineStr">
        <is>
          <t>미확인</t>
        </is>
      </c>
      <c r="AH398" s="22" t="inlineStr">
        <is>
          <t>미확인</t>
        </is>
      </c>
      <c r="AI398" s="22" t="inlineStr">
        <is>
          <t>미확인</t>
        </is>
      </c>
      <c r="AJ398" s="22" t="inlineStr">
        <is>
          <t>미확인</t>
        </is>
      </c>
      <c r="AK398" s="22" t="inlineStr">
        <is>
          <t>미확인</t>
        </is>
      </c>
      <c r="AL398" s="22" t="inlineStr">
        <is>
          <t>미확인</t>
        </is>
      </c>
      <c r="AM398" s="22" t="inlineStr">
        <is>
          <t>미확인</t>
        </is>
      </c>
      <c r="AN398" s="22" t="inlineStr">
        <is>
          <t>미확인</t>
        </is>
      </c>
      <c r="AO398" s="17" t="inlineStr">
        <is>
          <t>C(부분확인)</t>
        </is>
      </c>
      <c r="AP398" s="17" t="inlineStr">
        <is>
          <t>Y</t>
        </is>
      </c>
      <c r="AQ398" s="17" t="n">
        <v>9</v>
      </c>
      <c r="AR398" s="28" t="inlineStr">
        <is>
          <t>Tier D</t>
        </is>
      </c>
      <c r="AS398" s="17" t="inlineStr">
        <is>
          <t>QMS</t>
        </is>
      </c>
      <c r="AT398" s="17" t="inlineStr">
        <is>
          <t>기본 GMP 문서관리 대상</t>
        </is>
      </c>
      <c r="AU398" s="17" t="inlineStr">
        <is>
          <t>담당자 파악 후 접촉</t>
        </is>
      </c>
      <c r="AV398" s="17" t="inlineStr">
        <is>
          <t>GMP적합판정+KRX</t>
        </is>
      </c>
      <c r="AW398" s="17" t="inlineStr">
        <is>
          <t>2026-07-05</t>
        </is>
      </c>
    </row>
    <row r="399">
      <c r="A399" s="17" t="inlineStr">
        <is>
          <t>C398</t>
        </is>
      </c>
      <c r="B399" s="17" t="inlineStr">
        <is>
          <t>의료법인한라의료재단</t>
        </is>
      </c>
      <c r="C399" s="17" t="inlineStr">
        <is>
          <t>의료법인한라의료재단</t>
        </is>
      </c>
      <c r="D399" s="17" t="n">
        <v>1</v>
      </c>
      <c r="E399" s="17" t="n">
        <v>1</v>
      </c>
      <c r="F399" s="17" t="inlineStr">
        <is>
          <t>Y</t>
        </is>
      </c>
      <c r="G399" s="17" t="inlineStr"/>
      <c r="H399" s="17" t="inlineStr">
        <is>
          <t>Y</t>
        </is>
      </c>
      <c r="I399" s="17" t="inlineStr"/>
      <c r="J399" s="24" t="n">
        <v>46276</v>
      </c>
      <c r="K399" s="17" t="inlineStr">
        <is>
          <t>Y</t>
        </is>
      </c>
      <c r="L399" s="17" t="inlineStr"/>
      <c r="M399" s="17" t="inlineStr"/>
      <c r="N399" s="23" t="inlineStr"/>
      <c r="O399" s="17" t="inlineStr"/>
      <c r="P399" s="17" t="inlineStr"/>
      <c r="Q399" s="17" t="inlineStr">
        <is>
          <t>김성수</t>
        </is>
      </c>
      <c r="R399" s="17" t="inlineStr"/>
      <c r="S399" s="17" t="inlineStr"/>
      <c r="T399" s="17" t="inlineStr">
        <is>
          <t>미확인</t>
        </is>
      </c>
      <c r="U399" s="17" t="inlineStr">
        <is>
          <t>미확인</t>
        </is>
      </c>
      <c r="V399" s="22" t="inlineStr">
        <is>
          <t>미확인</t>
        </is>
      </c>
      <c r="W399" s="22" t="inlineStr">
        <is>
          <t>미확인</t>
        </is>
      </c>
      <c r="X399" s="22" t="inlineStr">
        <is>
          <t>미확인</t>
        </is>
      </c>
      <c r="Y399" s="22" t="inlineStr">
        <is>
          <t>미확인</t>
        </is>
      </c>
      <c r="Z399" s="22" t="inlineStr">
        <is>
          <t>미확인</t>
        </is>
      </c>
      <c r="AA399" s="22" t="inlineStr">
        <is>
          <t>미확인</t>
        </is>
      </c>
      <c r="AB399" s="22" t="inlineStr">
        <is>
          <t>미확인</t>
        </is>
      </c>
      <c r="AC399" s="22" t="inlineStr">
        <is>
          <t>미확인</t>
        </is>
      </c>
      <c r="AD399" s="22" t="inlineStr">
        <is>
          <t>미확인</t>
        </is>
      </c>
      <c r="AE399" s="22" t="inlineStr">
        <is>
          <t>미확인</t>
        </is>
      </c>
      <c r="AF399" s="22" t="inlineStr">
        <is>
          <t>미확인</t>
        </is>
      </c>
      <c r="AG399" s="22" t="inlineStr">
        <is>
          <t>미확인</t>
        </is>
      </c>
      <c r="AH399" s="22" t="inlineStr">
        <is>
          <t>미확인</t>
        </is>
      </c>
      <c r="AI399" s="22" t="inlineStr">
        <is>
          <t>미확인</t>
        </is>
      </c>
      <c r="AJ399" s="22" t="inlineStr">
        <is>
          <t>미확인</t>
        </is>
      </c>
      <c r="AK399" s="22" t="inlineStr">
        <is>
          <t>미확인</t>
        </is>
      </c>
      <c r="AL399" s="22" t="inlineStr">
        <is>
          <t>미확인</t>
        </is>
      </c>
      <c r="AM399" s="22" t="inlineStr">
        <is>
          <t>미확인</t>
        </is>
      </c>
      <c r="AN399" s="22" t="inlineStr">
        <is>
          <t>미확인</t>
        </is>
      </c>
      <c r="AO399" s="17" t="inlineStr">
        <is>
          <t>C(부분확인)</t>
        </is>
      </c>
      <c r="AP399" s="17" t="inlineStr">
        <is>
          <t>Y</t>
        </is>
      </c>
      <c r="AQ399" s="17" t="n">
        <v>17</v>
      </c>
      <c r="AR399" s="28" t="inlineStr">
        <is>
          <t>Tier D</t>
        </is>
      </c>
      <c r="AS399" s="17" t="inlineStr">
        <is>
          <t>QMS+LIMS</t>
        </is>
      </c>
      <c r="AT399" s="17" t="inlineStr">
        <is>
          <t>무균/바이오 제조로 품질관리 난도 높음</t>
        </is>
      </c>
      <c r="AU399" s="17" t="inlineStr">
        <is>
          <t>담당자 파악 후 접촉</t>
        </is>
      </c>
      <c r="AV399" s="17" t="inlineStr">
        <is>
          <t>GMP적합판정+KRX</t>
        </is>
      </c>
      <c r="AW399" s="17" t="inlineStr">
        <is>
          <t>2026-07-05</t>
        </is>
      </c>
    </row>
    <row r="400">
      <c r="A400" s="17" t="inlineStr">
        <is>
          <t>C399</t>
        </is>
      </c>
      <c r="B400" s="17" t="inlineStr">
        <is>
          <t>안국약품</t>
        </is>
      </c>
      <c r="C400" s="17" t="inlineStr">
        <is>
          <t>안국약품(주)</t>
        </is>
      </c>
      <c r="D400" s="17" t="n">
        <v>1</v>
      </c>
      <c r="E400" s="17" t="n">
        <v>1</v>
      </c>
      <c r="F400" s="17" t="inlineStr">
        <is>
          <t>Y</t>
        </is>
      </c>
      <c r="G400" s="17" t="inlineStr"/>
      <c r="H400" s="17" t="inlineStr"/>
      <c r="I400" s="17" t="inlineStr"/>
      <c r="J400" s="24" t="n">
        <v>46272</v>
      </c>
      <c r="K400" s="17" t="inlineStr">
        <is>
          <t>Y</t>
        </is>
      </c>
      <c r="L400" s="17" t="inlineStr">
        <is>
          <t>Y</t>
        </is>
      </c>
      <c r="M400" s="17" t="inlineStr">
        <is>
          <t>코스닥</t>
        </is>
      </c>
      <c r="N400" s="23" t="inlineStr">
        <is>
          <t>001540</t>
        </is>
      </c>
      <c r="O400" s="17" t="inlineStr">
        <is>
          <t>의약품 제조업</t>
        </is>
      </c>
      <c r="P400" s="17" t="inlineStr">
        <is>
          <t>그랑파제, 토비콤-S</t>
        </is>
      </c>
      <c r="Q400" s="17" t="inlineStr">
        <is>
          <t>어진, 박인철 (각자 대표)</t>
        </is>
      </c>
      <c r="R400" s="17" t="inlineStr">
        <is>
          <t>http://www.ahn-gook.com</t>
        </is>
      </c>
      <c r="S400" s="17" t="inlineStr">
        <is>
          <t>경기도</t>
        </is>
      </c>
      <c r="T400" s="17" t="inlineStr">
        <is>
          <t>02-3289-4292</t>
        </is>
      </c>
      <c r="U400" s="17" t="inlineStr">
        <is>
          <t>제조소상세</t>
        </is>
      </c>
      <c r="V400" s="22" t="inlineStr">
        <is>
          <t>미확인</t>
        </is>
      </c>
      <c r="W400" s="22" t="inlineStr">
        <is>
          <t>미확인</t>
        </is>
      </c>
      <c r="X400" s="22" t="inlineStr">
        <is>
          <t>미확인</t>
        </is>
      </c>
      <c r="Y400" s="22" t="inlineStr">
        <is>
          <t>미확인</t>
        </is>
      </c>
      <c r="Z400" s="22" t="inlineStr">
        <is>
          <t>미확인</t>
        </is>
      </c>
      <c r="AA400" s="22" t="inlineStr">
        <is>
          <t>미확인</t>
        </is>
      </c>
      <c r="AB400" s="22" t="inlineStr">
        <is>
          <t>미확인</t>
        </is>
      </c>
      <c r="AC400" s="22" t="inlineStr">
        <is>
          <t>미확인</t>
        </is>
      </c>
      <c r="AD400" s="22" t="inlineStr">
        <is>
          <t>미확인</t>
        </is>
      </c>
      <c r="AE400" s="22" t="inlineStr">
        <is>
          <t>미확인</t>
        </is>
      </c>
      <c r="AF400" s="22" t="inlineStr">
        <is>
          <t>미확인</t>
        </is>
      </c>
      <c r="AG400" s="22" t="inlineStr">
        <is>
          <t>미확인</t>
        </is>
      </c>
      <c r="AH400" s="22" t="inlineStr">
        <is>
          <t>미확인</t>
        </is>
      </c>
      <c r="AI400" s="22" t="inlineStr">
        <is>
          <t>미확인</t>
        </is>
      </c>
      <c r="AJ400" s="22" t="inlineStr">
        <is>
          <t>미확인</t>
        </is>
      </c>
      <c r="AK400" s="22" t="inlineStr">
        <is>
          <t>미확인</t>
        </is>
      </c>
      <c r="AL400" s="22" t="inlineStr">
        <is>
          <t>미확인</t>
        </is>
      </c>
      <c r="AM400" s="22" t="inlineStr">
        <is>
          <t>미확인</t>
        </is>
      </c>
      <c r="AN400" s="22" t="inlineStr">
        <is>
          <t>미확인</t>
        </is>
      </c>
      <c r="AO400" s="17" t="inlineStr">
        <is>
          <t>C(부분확인)</t>
        </is>
      </c>
      <c r="AP400" s="17" t="inlineStr">
        <is>
          <t>Y</t>
        </is>
      </c>
      <c r="AQ400" s="17" t="n">
        <v>12</v>
      </c>
      <c r="AR400" s="28" t="inlineStr">
        <is>
          <t>Tier D</t>
        </is>
      </c>
      <c r="AS400" s="17" t="inlineStr">
        <is>
          <t>QMS</t>
        </is>
      </c>
      <c r="AT400" s="17" t="inlineStr">
        <is>
          <t>기본 GMP 문서관리 대상</t>
        </is>
      </c>
      <c r="AU400" s="17" t="inlineStr">
        <is>
          <t>담당자 파악 후 접촉</t>
        </is>
      </c>
      <c r="AV400" s="17" t="inlineStr">
        <is>
          <t>GMP적합판정+KRX</t>
        </is>
      </c>
      <c r="AW400" s="17" t="inlineStr">
        <is>
          <t>2026-07-05</t>
        </is>
      </c>
    </row>
    <row r="401">
      <c r="A401" s="17" t="inlineStr">
        <is>
          <t>C400</t>
        </is>
      </c>
      <c r="B401" s="17" t="inlineStr">
        <is>
          <t>엔비케이제약</t>
        </is>
      </c>
      <c r="C401" s="17" t="inlineStr">
        <is>
          <t>엔비케이제약(주)</t>
        </is>
      </c>
      <c r="D401" s="17" t="n">
        <v>1</v>
      </c>
      <c r="E401" s="17" t="n">
        <v>1</v>
      </c>
      <c r="F401" s="17" t="inlineStr">
        <is>
          <t>Y</t>
        </is>
      </c>
      <c r="G401" s="17" t="inlineStr"/>
      <c r="H401" s="17" t="inlineStr"/>
      <c r="I401" s="17" t="inlineStr"/>
      <c r="J401" s="24" t="n">
        <v>46265</v>
      </c>
      <c r="K401" s="17" t="inlineStr">
        <is>
          <t>Y</t>
        </is>
      </c>
      <c r="L401" s="17" t="inlineStr"/>
      <c r="M401" s="17" t="inlineStr"/>
      <c r="N401" s="23" t="inlineStr"/>
      <c r="O401" s="17" t="inlineStr"/>
      <c r="P401" s="17" t="inlineStr"/>
      <c r="Q401" s="17" t="inlineStr">
        <is>
          <t>이상헌</t>
        </is>
      </c>
      <c r="R401" s="17" t="inlineStr"/>
      <c r="S401" s="17" t="inlineStr"/>
      <c r="T401" s="17" t="inlineStr">
        <is>
          <t>041-578-7490</t>
        </is>
      </c>
      <c r="U401" s="17" t="inlineStr">
        <is>
          <t>제조소상세</t>
        </is>
      </c>
      <c r="V401" s="22" t="inlineStr">
        <is>
          <t>미확인</t>
        </is>
      </c>
      <c r="W401" s="22" t="inlineStr">
        <is>
          <t>미확인</t>
        </is>
      </c>
      <c r="X401" s="22" t="inlineStr">
        <is>
          <t>미확인</t>
        </is>
      </c>
      <c r="Y401" s="22" t="inlineStr">
        <is>
          <t>미확인</t>
        </is>
      </c>
      <c r="Z401" s="22" t="inlineStr">
        <is>
          <t>미확인</t>
        </is>
      </c>
      <c r="AA401" s="22" t="inlineStr">
        <is>
          <t>미확인</t>
        </is>
      </c>
      <c r="AB401" s="22" t="inlineStr">
        <is>
          <t>미확인</t>
        </is>
      </c>
      <c r="AC401" s="22" t="inlineStr">
        <is>
          <t>미확인</t>
        </is>
      </c>
      <c r="AD401" s="22" t="inlineStr">
        <is>
          <t>미확인</t>
        </is>
      </c>
      <c r="AE401" s="22" t="inlineStr">
        <is>
          <t>미확인</t>
        </is>
      </c>
      <c r="AF401" s="22" t="inlineStr">
        <is>
          <t>미확인</t>
        </is>
      </c>
      <c r="AG401" s="22" t="inlineStr">
        <is>
          <t>미확인</t>
        </is>
      </c>
      <c r="AH401" s="22" t="inlineStr">
        <is>
          <t>미확인</t>
        </is>
      </c>
      <c r="AI401" s="22" t="inlineStr">
        <is>
          <t>미확인</t>
        </is>
      </c>
      <c r="AJ401" s="22" t="inlineStr">
        <is>
          <t>미확인</t>
        </is>
      </c>
      <c r="AK401" s="22" t="inlineStr">
        <is>
          <t>미확인</t>
        </is>
      </c>
      <c r="AL401" s="22" t="inlineStr">
        <is>
          <t>미확인</t>
        </is>
      </c>
      <c r="AM401" s="22" t="inlineStr">
        <is>
          <t>미확인</t>
        </is>
      </c>
      <c r="AN401" s="22" t="inlineStr">
        <is>
          <t>미확인</t>
        </is>
      </c>
      <c r="AO401" s="17" t="inlineStr">
        <is>
          <t>C(부분확인)</t>
        </is>
      </c>
      <c r="AP401" s="17" t="inlineStr">
        <is>
          <t>Y</t>
        </is>
      </c>
      <c r="AQ401" s="17" t="n">
        <v>9</v>
      </c>
      <c r="AR401" s="28" t="inlineStr">
        <is>
          <t>Tier D</t>
        </is>
      </c>
      <c r="AS401" s="17" t="inlineStr">
        <is>
          <t>QMS</t>
        </is>
      </c>
      <c r="AT401" s="17" t="inlineStr">
        <is>
          <t>기본 GMP 문서관리 대상</t>
        </is>
      </c>
      <c r="AU401" s="17" t="inlineStr">
        <is>
          <t>담당자 파악 후 접촉</t>
        </is>
      </c>
      <c r="AV401" s="17" t="inlineStr">
        <is>
          <t>GMP적합판정+KRX</t>
        </is>
      </c>
      <c r="AW401" s="17" t="inlineStr">
        <is>
          <t>2026-07-05</t>
        </is>
      </c>
    </row>
    <row r="402">
      <c r="A402" s="17" t="inlineStr">
        <is>
          <t>C401</t>
        </is>
      </c>
      <c r="B402" s="17" t="inlineStr">
        <is>
          <t>화승가스테크</t>
        </is>
      </c>
      <c r="C402" s="17" t="inlineStr">
        <is>
          <t>(주)화승가스테크</t>
        </is>
      </c>
      <c r="D402" s="17" t="n">
        <v>1</v>
      </c>
      <c r="E402" s="17" t="n">
        <v>1</v>
      </c>
      <c r="F402" s="17" t="inlineStr">
        <is>
          <t>Y</t>
        </is>
      </c>
      <c r="G402" s="17" t="inlineStr"/>
      <c r="H402" s="17" t="inlineStr"/>
      <c r="I402" s="17" t="inlineStr"/>
      <c r="J402" s="24" t="n">
        <v>46264</v>
      </c>
      <c r="K402" s="17" t="inlineStr">
        <is>
          <t>Y</t>
        </is>
      </c>
      <c r="L402" s="17" t="inlineStr"/>
      <c r="M402" s="17" t="inlineStr"/>
      <c r="N402" s="23" t="inlineStr"/>
      <c r="O402" s="17" t="inlineStr"/>
      <c r="P402" s="17" t="inlineStr"/>
      <c r="Q402" s="17" t="inlineStr">
        <is>
          <t>이흥수</t>
        </is>
      </c>
      <c r="R402" s="17" t="inlineStr"/>
      <c r="S402" s="17" t="inlineStr"/>
      <c r="T402" s="17" t="inlineStr">
        <is>
          <t>051-264-2080</t>
        </is>
      </c>
      <c r="U402" s="17" t="inlineStr">
        <is>
          <t>제조소상세</t>
        </is>
      </c>
      <c r="V402" s="22" t="inlineStr">
        <is>
          <t>미확인</t>
        </is>
      </c>
      <c r="W402" s="22" t="inlineStr">
        <is>
          <t>미확인</t>
        </is>
      </c>
      <c r="X402" s="22" t="inlineStr">
        <is>
          <t>미확인</t>
        </is>
      </c>
      <c r="Y402" s="22" t="inlineStr">
        <is>
          <t>미확인</t>
        </is>
      </c>
      <c r="Z402" s="22" t="inlineStr">
        <is>
          <t>미확인</t>
        </is>
      </c>
      <c r="AA402" s="22" t="inlineStr">
        <is>
          <t>미확인</t>
        </is>
      </c>
      <c r="AB402" s="22" t="inlineStr">
        <is>
          <t>미확인</t>
        </is>
      </c>
      <c r="AC402" s="22" t="inlineStr">
        <is>
          <t>미확인</t>
        </is>
      </c>
      <c r="AD402" s="22" t="inlineStr">
        <is>
          <t>미확인</t>
        </is>
      </c>
      <c r="AE402" s="22" t="inlineStr">
        <is>
          <t>미확인</t>
        </is>
      </c>
      <c r="AF402" s="22" t="inlineStr">
        <is>
          <t>미확인</t>
        </is>
      </c>
      <c r="AG402" s="22" t="inlineStr">
        <is>
          <t>미확인</t>
        </is>
      </c>
      <c r="AH402" s="22" t="inlineStr">
        <is>
          <t>미확인</t>
        </is>
      </c>
      <c r="AI402" s="22" t="inlineStr">
        <is>
          <t>미확인</t>
        </is>
      </c>
      <c r="AJ402" s="22" t="inlineStr">
        <is>
          <t>미확인</t>
        </is>
      </c>
      <c r="AK402" s="22" t="inlineStr">
        <is>
          <t>미확인</t>
        </is>
      </c>
      <c r="AL402" s="22" t="inlineStr">
        <is>
          <t>미확인</t>
        </is>
      </c>
      <c r="AM402" s="22" t="inlineStr">
        <is>
          <t>미확인</t>
        </is>
      </c>
      <c r="AN402" s="22" t="inlineStr">
        <is>
          <t>미확인</t>
        </is>
      </c>
      <c r="AO402" s="17" t="inlineStr">
        <is>
          <t>C(부분확인)</t>
        </is>
      </c>
      <c r="AP402" s="17" t="inlineStr">
        <is>
          <t>Y</t>
        </is>
      </c>
      <c r="AQ402" s="17" t="n">
        <v>9</v>
      </c>
      <c r="AR402" s="28" t="inlineStr">
        <is>
          <t>Tier D</t>
        </is>
      </c>
      <c r="AS402" s="17" t="inlineStr">
        <is>
          <t>QMS</t>
        </is>
      </c>
      <c r="AT402" s="17" t="inlineStr">
        <is>
          <t>기본 GMP 문서관리 대상</t>
        </is>
      </c>
      <c r="AU402" s="17" t="inlineStr">
        <is>
          <t>담당자 파악 후 접촉</t>
        </is>
      </c>
      <c r="AV402" s="17" t="inlineStr">
        <is>
          <t>GMP적합판정+KRX</t>
        </is>
      </c>
      <c r="AW402" s="17" t="inlineStr">
        <is>
          <t>2026-07-05</t>
        </is>
      </c>
    </row>
    <row r="403">
      <c r="A403" s="17" t="inlineStr">
        <is>
          <t>C402</t>
        </is>
      </c>
      <c r="B403" s="17" t="inlineStr">
        <is>
          <t>이든파마</t>
        </is>
      </c>
      <c r="C403" s="17" t="inlineStr">
        <is>
          <t>(주)이든파마</t>
        </is>
      </c>
      <c r="D403" s="17" t="n">
        <v>2</v>
      </c>
      <c r="E403" s="17" t="n">
        <v>1</v>
      </c>
      <c r="F403" s="17" t="inlineStr">
        <is>
          <t>Y</t>
        </is>
      </c>
      <c r="G403" s="17" t="inlineStr">
        <is>
          <t>Y</t>
        </is>
      </c>
      <c r="H403" s="17" t="inlineStr"/>
      <c r="I403" s="17" t="inlineStr"/>
      <c r="J403" s="24" t="n">
        <v>46258</v>
      </c>
      <c r="K403" s="17" t="inlineStr">
        <is>
          <t>Y</t>
        </is>
      </c>
      <c r="L403" s="17" t="inlineStr"/>
      <c r="M403" s="17" t="inlineStr"/>
      <c r="N403" s="23" t="inlineStr"/>
      <c r="O403" s="17" t="inlineStr"/>
      <c r="P403" s="17" t="inlineStr"/>
      <c r="Q403" s="17" t="inlineStr">
        <is>
          <t>김용환</t>
        </is>
      </c>
      <c r="R403" s="17" t="inlineStr"/>
      <c r="S403" s="17" t="inlineStr"/>
      <c r="T403" s="17" t="inlineStr">
        <is>
          <t>043-534-9100</t>
        </is>
      </c>
      <c r="U403" s="17" t="inlineStr">
        <is>
          <t>제조소상세</t>
        </is>
      </c>
      <c r="V403" s="22" t="inlineStr">
        <is>
          <t>미확인</t>
        </is>
      </c>
      <c r="W403" s="22" t="inlineStr">
        <is>
          <t>미확인</t>
        </is>
      </c>
      <c r="X403" s="22" t="inlineStr">
        <is>
          <t>미확인</t>
        </is>
      </c>
      <c r="Y403" s="22" t="inlineStr">
        <is>
          <t>미확인</t>
        </is>
      </c>
      <c r="Z403" s="22" t="inlineStr">
        <is>
          <t>미확인</t>
        </is>
      </c>
      <c r="AA403" s="22" t="inlineStr">
        <is>
          <t>미확인</t>
        </is>
      </c>
      <c r="AB403" s="22" t="inlineStr">
        <is>
          <t>미확인</t>
        </is>
      </c>
      <c r="AC403" s="22" t="inlineStr">
        <is>
          <t>미확인</t>
        </is>
      </c>
      <c r="AD403" s="22" t="inlineStr">
        <is>
          <t>미확인</t>
        </is>
      </c>
      <c r="AE403" s="22" t="inlineStr">
        <is>
          <t>미확인</t>
        </is>
      </c>
      <c r="AF403" s="22" t="inlineStr">
        <is>
          <t>미확인</t>
        </is>
      </c>
      <c r="AG403" s="22" t="inlineStr">
        <is>
          <t>미확인</t>
        </is>
      </c>
      <c r="AH403" s="22" t="inlineStr">
        <is>
          <t>미확인</t>
        </is>
      </c>
      <c r="AI403" s="22" t="inlineStr">
        <is>
          <t>미확인</t>
        </is>
      </c>
      <c r="AJ403" s="22" t="inlineStr">
        <is>
          <t>미확인</t>
        </is>
      </c>
      <c r="AK403" s="22" t="inlineStr">
        <is>
          <t>미확인</t>
        </is>
      </c>
      <c r="AL403" s="22" t="inlineStr">
        <is>
          <t>미확인</t>
        </is>
      </c>
      <c r="AM403" s="22" t="inlineStr">
        <is>
          <t>미확인</t>
        </is>
      </c>
      <c r="AN403" s="22" t="inlineStr">
        <is>
          <t>미확인</t>
        </is>
      </c>
      <c r="AO403" s="17" t="inlineStr">
        <is>
          <t>C(부분확인)</t>
        </is>
      </c>
      <c r="AP403" s="17" t="inlineStr">
        <is>
          <t>Y</t>
        </is>
      </c>
      <c r="AQ403" s="17" t="n">
        <v>9</v>
      </c>
      <c r="AR403" s="28" t="inlineStr">
        <is>
          <t>Tier D</t>
        </is>
      </c>
      <c r="AS403" s="17" t="inlineStr">
        <is>
          <t>QMS+LIMS</t>
        </is>
      </c>
      <c r="AT403" s="17" t="inlineStr">
        <is>
          <t>원료 제조로 시험실 관리 필요</t>
        </is>
      </c>
      <c r="AU403" s="17" t="inlineStr">
        <is>
          <t>담당자 파악 후 접촉</t>
        </is>
      </c>
      <c r="AV403" s="17" t="inlineStr">
        <is>
          <t>GMP적합판정+KRX</t>
        </is>
      </c>
      <c r="AW403" s="17" t="inlineStr">
        <is>
          <t>2026-07-05</t>
        </is>
      </c>
    </row>
    <row r="404">
      <c r="A404" s="17" t="inlineStr">
        <is>
          <t>C403</t>
        </is>
      </c>
      <c r="B404" s="17" t="inlineStr">
        <is>
          <t>크로다코리아</t>
        </is>
      </c>
      <c r="C404" s="17" t="inlineStr">
        <is>
          <t>크로다코리아주식회사</t>
        </is>
      </c>
      <c r="D404" s="17" t="n">
        <v>1</v>
      </c>
      <c r="E404" s="17" t="n">
        <v>1</v>
      </c>
      <c r="F404" s="17" t="inlineStr"/>
      <c r="G404" s="17" t="inlineStr">
        <is>
          <t>Y</t>
        </is>
      </c>
      <c r="H404" s="17" t="inlineStr"/>
      <c r="I404" s="17" t="inlineStr"/>
      <c r="J404" s="24" t="n">
        <v>46256</v>
      </c>
      <c r="K404" s="17" t="inlineStr">
        <is>
          <t>Y</t>
        </is>
      </c>
      <c r="L404" s="17" t="inlineStr"/>
      <c r="M404" s="17" t="inlineStr"/>
      <c r="N404" s="23" t="inlineStr"/>
      <c r="O404" s="17" t="inlineStr"/>
      <c r="P404" s="17" t="inlineStr"/>
      <c r="Q404" s="17" t="inlineStr">
        <is>
          <t>최용진</t>
        </is>
      </c>
      <c r="R404" s="17" t="inlineStr"/>
      <c r="S404" s="17" t="inlineStr"/>
      <c r="T404" s="17" t="inlineStr">
        <is>
          <t>063-830-8911</t>
        </is>
      </c>
      <c r="U404" s="17" t="inlineStr">
        <is>
          <t>제조소상세</t>
        </is>
      </c>
      <c r="V404" s="22" t="inlineStr">
        <is>
          <t>미확인</t>
        </is>
      </c>
      <c r="W404" s="22" t="inlineStr">
        <is>
          <t>미확인</t>
        </is>
      </c>
      <c r="X404" s="22" t="inlineStr">
        <is>
          <t>미확인</t>
        </is>
      </c>
      <c r="Y404" s="22" t="inlineStr">
        <is>
          <t>미확인</t>
        </is>
      </c>
      <c r="Z404" s="22" t="inlineStr">
        <is>
          <t>미확인</t>
        </is>
      </c>
      <c r="AA404" s="22" t="inlineStr">
        <is>
          <t>미확인</t>
        </is>
      </c>
      <c r="AB404" s="22" t="inlineStr">
        <is>
          <t>미확인</t>
        </is>
      </c>
      <c r="AC404" s="22" t="inlineStr">
        <is>
          <t>미확인</t>
        </is>
      </c>
      <c r="AD404" s="22" t="inlineStr">
        <is>
          <t>미확인</t>
        </is>
      </c>
      <c r="AE404" s="22" t="inlineStr">
        <is>
          <t>미확인</t>
        </is>
      </c>
      <c r="AF404" s="22" t="inlineStr">
        <is>
          <t>미확인</t>
        </is>
      </c>
      <c r="AG404" s="22" t="inlineStr">
        <is>
          <t>미확인</t>
        </is>
      </c>
      <c r="AH404" s="22" t="inlineStr">
        <is>
          <t>미확인</t>
        </is>
      </c>
      <c r="AI404" s="22" t="inlineStr">
        <is>
          <t>미확인</t>
        </is>
      </c>
      <c r="AJ404" s="22" t="inlineStr">
        <is>
          <t>미확인</t>
        </is>
      </c>
      <c r="AK404" s="22" t="inlineStr">
        <is>
          <t>미확인</t>
        </is>
      </c>
      <c r="AL404" s="22" t="inlineStr">
        <is>
          <t>미확인</t>
        </is>
      </c>
      <c r="AM404" s="22" t="inlineStr">
        <is>
          <t>미확인</t>
        </is>
      </c>
      <c r="AN404" s="22" t="inlineStr">
        <is>
          <t>미확인</t>
        </is>
      </c>
      <c r="AO404" s="17" t="inlineStr">
        <is>
          <t>C(부분확인)</t>
        </is>
      </c>
      <c r="AP404" s="17" t="inlineStr">
        <is>
          <t>Y</t>
        </is>
      </c>
      <c r="AQ404" s="17" t="n">
        <v>9</v>
      </c>
      <c r="AR404" s="28" t="inlineStr">
        <is>
          <t>Tier D</t>
        </is>
      </c>
      <c r="AS404" s="17" t="inlineStr">
        <is>
          <t>QMS+LIMS</t>
        </is>
      </c>
      <c r="AT404" s="17" t="inlineStr">
        <is>
          <t>원료 제조로 시험실 관리 필요</t>
        </is>
      </c>
      <c r="AU404" s="17" t="inlineStr">
        <is>
          <t>담당자 파악 후 접촉</t>
        </is>
      </c>
      <c r="AV404" s="17" t="inlineStr">
        <is>
          <t>GMP적합판정+KRX</t>
        </is>
      </c>
      <c r="AW404" s="17" t="inlineStr">
        <is>
          <t>2026-07-05</t>
        </is>
      </c>
    </row>
    <row r="405">
      <c r="A405" s="17" t="inlineStr">
        <is>
          <t>C404</t>
        </is>
      </c>
      <c r="B405" s="17" t="inlineStr">
        <is>
          <t>엠에프씨</t>
        </is>
      </c>
      <c r="C405" s="17" t="inlineStr">
        <is>
          <t>엠에프씨주식회사</t>
        </is>
      </c>
      <c r="D405" s="17" t="n">
        <v>1</v>
      </c>
      <c r="E405" s="17" t="n">
        <v>1</v>
      </c>
      <c r="F405" s="17" t="inlineStr"/>
      <c r="G405" s="17" t="inlineStr">
        <is>
          <t>Y</t>
        </is>
      </c>
      <c r="H405" s="17" t="inlineStr"/>
      <c r="I405" s="17" t="inlineStr"/>
      <c r="J405" s="24" t="n">
        <v>46251</v>
      </c>
      <c r="K405" s="17" t="inlineStr">
        <is>
          <t>Y</t>
        </is>
      </c>
      <c r="L405" s="17" t="inlineStr">
        <is>
          <t>Y</t>
        </is>
      </c>
      <c r="M405" s="17" t="inlineStr">
        <is>
          <t>코스닥</t>
        </is>
      </c>
      <c r="N405" s="23" t="inlineStr">
        <is>
          <t>432980</t>
        </is>
      </c>
      <c r="O405" s="17" t="inlineStr">
        <is>
          <t>기초 의약물질 제조업</t>
        </is>
      </c>
      <c r="P405" s="17" t="inlineStr">
        <is>
          <t>원료의약품(API) 및 핵심소재</t>
        </is>
      </c>
      <c r="Q405" s="17" t="inlineStr">
        <is>
          <t>황성관, 서기형(각자 대표이사)</t>
        </is>
      </c>
      <c r="R405" s="17" t="inlineStr">
        <is>
          <t>http://www.mfcglobal.co.kr</t>
        </is>
      </c>
      <c r="S405" s="17" t="inlineStr">
        <is>
          <t>경기도</t>
        </is>
      </c>
      <c r="T405" s="17" t="inlineStr">
        <is>
          <t>미확인</t>
        </is>
      </c>
      <c r="U405" s="17" t="inlineStr">
        <is>
          <t>미확인</t>
        </is>
      </c>
      <c r="V405" s="22" t="inlineStr">
        <is>
          <t>미확인</t>
        </is>
      </c>
      <c r="W405" s="22" t="inlineStr">
        <is>
          <t>미확인</t>
        </is>
      </c>
      <c r="X405" s="22" t="inlineStr">
        <is>
          <t>미확인</t>
        </is>
      </c>
      <c r="Y405" s="22" t="inlineStr">
        <is>
          <t>미확인</t>
        </is>
      </c>
      <c r="Z405" s="22" t="inlineStr">
        <is>
          <t>미확인</t>
        </is>
      </c>
      <c r="AA405" s="22" t="inlineStr">
        <is>
          <t>미확인</t>
        </is>
      </c>
      <c r="AB405" s="22" t="inlineStr">
        <is>
          <t>미확인</t>
        </is>
      </c>
      <c r="AC405" s="22" t="inlineStr">
        <is>
          <t>미확인</t>
        </is>
      </c>
      <c r="AD405" s="22" t="inlineStr">
        <is>
          <t>미확인</t>
        </is>
      </c>
      <c r="AE405" s="22" t="inlineStr">
        <is>
          <t>미확인</t>
        </is>
      </c>
      <c r="AF405" s="22" t="inlineStr">
        <is>
          <t>미확인</t>
        </is>
      </c>
      <c r="AG405" s="22" t="inlineStr">
        <is>
          <t>미확인</t>
        </is>
      </c>
      <c r="AH405" s="22" t="inlineStr">
        <is>
          <t>미확인</t>
        </is>
      </c>
      <c r="AI405" s="22" t="inlineStr">
        <is>
          <t>미확인</t>
        </is>
      </c>
      <c r="AJ405" s="22" t="inlineStr">
        <is>
          <t>미확인</t>
        </is>
      </c>
      <c r="AK405" s="22" t="inlineStr">
        <is>
          <t>미확인</t>
        </is>
      </c>
      <c r="AL405" s="22" t="inlineStr">
        <is>
          <t>미확인</t>
        </is>
      </c>
      <c r="AM405" s="22" t="inlineStr">
        <is>
          <t>미확인</t>
        </is>
      </c>
      <c r="AN405" s="22" t="inlineStr">
        <is>
          <t>미확인</t>
        </is>
      </c>
      <c r="AO405" s="17" t="inlineStr">
        <is>
          <t>C(부분확인)</t>
        </is>
      </c>
      <c r="AP405" s="17" t="inlineStr">
        <is>
          <t>Y</t>
        </is>
      </c>
      <c r="AQ405" s="17" t="n">
        <v>9</v>
      </c>
      <c r="AR405" s="28" t="inlineStr">
        <is>
          <t>Tier D</t>
        </is>
      </c>
      <c r="AS405" s="17" t="inlineStr">
        <is>
          <t>QMS+LIMS</t>
        </is>
      </c>
      <c r="AT405" s="17" t="inlineStr">
        <is>
          <t>원료 제조로 시험실 관리 필요</t>
        </is>
      </c>
      <c r="AU405" s="17" t="inlineStr">
        <is>
          <t>담당자 파악 후 접촉</t>
        </is>
      </c>
      <c r="AV405" s="17" t="inlineStr">
        <is>
          <t>GMP적합판정+KRX</t>
        </is>
      </c>
      <c r="AW405" s="17" t="inlineStr">
        <is>
          <t>2026-07-05</t>
        </is>
      </c>
    </row>
    <row r="406">
      <c r="A406" s="17" t="inlineStr">
        <is>
          <t>C405</t>
        </is>
      </c>
      <c r="B406" s="17" t="inlineStr">
        <is>
          <t>(유한)동아가스산업</t>
        </is>
      </c>
      <c r="C406" s="17" t="inlineStr">
        <is>
          <t>(유한)동아가스산업</t>
        </is>
      </c>
      <c r="D406" s="17" t="n">
        <v>1</v>
      </c>
      <c r="E406" s="17" t="n">
        <v>1</v>
      </c>
      <c r="F406" s="17" t="inlineStr">
        <is>
          <t>Y</t>
        </is>
      </c>
      <c r="G406" s="17" t="inlineStr"/>
      <c r="H406" s="17" t="inlineStr"/>
      <c r="I406" s="17" t="inlineStr"/>
      <c r="J406" s="24" t="n">
        <v>46251</v>
      </c>
      <c r="K406" s="17" t="inlineStr">
        <is>
          <t>Y</t>
        </is>
      </c>
      <c r="L406" s="17" t="inlineStr"/>
      <c r="M406" s="17" t="inlineStr"/>
      <c r="N406" s="23" t="inlineStr"/>
      <c r="O406" s="17" t="inlineStr"/>
      <c r="P406" s="17" t="inlineStr"/>
      <c r="Q406" s="17" t="inlineStr">
        <is>
          <t>김대철</t>
        </is>
      </c>
      <c r="R406" s="17" t="inlineStr"/>
      <c r="S406" s="17" t="inlineStr"/>
      <c r="T406" s="17" t="inlineStr">
        <is>
          <t>055-834-3688</t>
        </is>
      </c>
      <c r="U406" s="17" t="inlineStr">
        <is>
          <t>제조소상세</t>
        </is>
      </c>
      <c r="V406" s="22" t="inlineStr">
        <is>
          <t>미확인</t>
        </is>
      </c>
      <c r="W406" s="22" t="inlineStr">
        <is>
          <t>미확인</t>
        </is>
      </c>
      <c r="X406" s="22" t="inlineStr">
        <is>
          <t>미확인</t>
        </is>
      </c>
      <c r="Y406" s="22" t="inlineStr">
        <is>
          <t>미확인</t>
        </is>
      </c>
      <c r="Z406" s="22" t="inlineStr">
        <is>
          <t>미확인</t>
        </is>
      </c>
      <c r="AA406" s="22" t="inlineStr">
        <is>
          <t>미확인</t>
        </is>
      </c>
      <c r="AB406" s="22" t="inlineStr">
        <is>
          <t>미확인</t>
        </is>
      </c>
      <c r="AC406" s="22" t="inlineStr">
        <is>
          <t>미확인</t>
        </is>
      </c>
      <c r="AD406" s="22" t="inlineStr">
        <is>
          <t>미확인</t>
        </is>
      </c>
      <c r="AE406" s="22" t="inlineStr">
        <is>
          <t>미확인</t>
        </is>
      </c>
      <c r="AF406" s="22" t="inlineStr">
        <is>
          <t>미확인</t>
        </is>
      </c>
      <c r="AG406" s="22" t="inlineStr">
        <is>
          <t>미확인</t>
        </is>
      </c>
      <c r="AH406" s="22" t="inlineStr">
        <is>
          <t>미확인</t>
        </is>
      </c>
      <c r="AI406" s="22" t="inlineStr">
        <is>
          <t>미확인</t>
        </is>
      </c>
      <c r="AJ406" s="22" t="inlineStr">
        <is>
          <t>미확인</t>
        </is>
      </c>
      <c r="AK406" s="22" t="inlineStr">
        <is>
          <t>미확인</t>
        </is>
      </c>
      <c r="AL406" s="22" t="inlineStr">
        <is>
          <t>미확인</t>
        </is>
      </c>
      <c r="AM406" s="22" t="inlineStr">
        <is>
          <t>미확인</t>
        </is>
      </c>
      <c r="AN406" s="22" t="inlineStr">
        <is>
          <t>미확인</t>
        </is>
      </c>
      <c r="AO406" s="17" t="inlineStr">
        <is>
          <t>C(부분확인)</t>
        </is>
      </c>
      <c r="AP406" s="17" t="inlineStr">
        <is>
          <t>Y</t>
        </is>
      </c>
      <c r="AQ406" s="17" t="n">
        <v>9</v>
      </c>
      <c r="AR406" s="28" t="inlineStr">
        <is>
          <t>Tier D</t>
        </is>
      </c>
      <c r="AS406" s="17" t="inlineStr">
        <is>
          <t>QMS</t>
        </is>
      </c>
      <c r="AT406" s="17" t="inlineStr">
        <is>
          <t>기본 GMP 문서관리 대상</t>
        </is>
      </c>
      <c r="AU406" s="17" t="inlineStr">
        <is>
          <t>담당자 파악 후 접촉</t>
        </is>
      </c>
      <c r="AV406" s="17" t="inlineStr">
        <is>
          <t>GMP적합판정+KRX</t>
        </is>
      </c>
      <c r="AW406" s="17" t="inlineStr">
        <is>
          <t>2026-07-05</t>
        </is>
      </c>
    </row>
    <row r="407">
      <c r="A407" s="17" t="inlineStr">
        <is>
          <t>C406</t>
        </is>
      </c>
      <c r="B407" s="17" t="inlineStr">
        <is>
          <t>엠에스종합가스</t>
        </is>
      </c>
      <c r="C407" s="17" t="inlineStr">
        <is>
          <t>엠에스종합가스(주)</t>
        </is>
      </c>
      <c r="D407" s="17" t="n">
        <v>1</v>
      </c>
      <c r="E407" s="17" t="n">
        <v>1</v>
      </c>
      <c r="F407" s="17" t="inlineStr">
        <is>
          <t>Y</t>
        </is>
      </c>
      <c r="G407" s="17" t="inlineStr"/>
      <c r="H407" s="17" t="inlineStr"/>
      <c r="I407" s="17" t="inlineStr"/>
      <c r="J407" s="24" t="n">
        <v>46244</v>
      </c>
      <c r="K407" s="17" t="inlineStr">
        <is>
          <t>Y</t>
        </is>
      </c>
      <c r="L407" s="17" t="inlineStr"/>
      <c r="M407" s="17" t="inlineStr"/>
      <c r="N407" s="23" t="inlineStr"/>
      <c r="O407" s="17" t="inlineStr"/>
      <c r="P407" s="17" t="inlineStr"/>
      <c r="Q407" s="17" t="inlineStr">
        <is>
          <t>전청민</t>
        </is>
      </c>
      <c r="R407" s="17" t="inlineStr"/>
      <c r="S407" s="17" t="inlineStr"/>
      <c r="T407" s="17" t="inlineStr">
        <is>
          <t>055-366-5522</t>
        </is>
      </c>
      <c r="U407" s="17" t="inlineStr">
        <is>
          <t>제조소상세</t>
        </is>
      </c>
      <c r="V407" s="22" t="inlineStr">
        <is>
          <t>미확인</t>
        </is>
      </c>
      <c r="W407" s="22" t="inlineStr">
        <is>
          <t>미확인</t>
        </is>
      </c>
      <c r="X407" s="22" t="inlineStr">
        <is>
          <t>미확인</t>
        </is>
      </c>
      <c r="Y407" s="22" t="inlineStr">
        <is>
          <t>미확인</t>
        </is>
      </c>
      <c r="Z407" s="22" t="inlineStr">
        <is>
          <t>미확인</t>
        </is>
      </c>
      <c r="AA407" s="22" t="inlineStr">
        <is>
          <t>미확인</t>
        </is>
      </c>
      <c r="AB407" s="22" t="inlineStr">
        <is>
          <t>미확인</t>
        </is>
      </c>
      <c r="AC407" s="22" t="inlineStr">
        <is>
          <t>미확인</t>
        </is>
      </c>
      <c r="AD407" s="22" t="inlineStr">
        <is>
          <t>미확인</t>
        </is>
      </c>
      <c r="AE407" s="22" t="inlineStr">
        <is>
          <t>미확인</t>
        </is>
      </c>
      <c r="AF407" s="22" t="inlineStr">
        <is>
          <t>미확인</t>
        </is>
      </c>
      <c r="AG407" s="22" t="inlineStr">
        <is>
          <t>미확인</t>
        </is>
      </c>
      <c r="AH407" s="22" t="inlineStr">
        <is>
          <t>미확인</t>
        </is>
      </c>
      <c r="AI407" s="22" t="inlineStr">
        <is>
          <t>미확인</t>
        </is>
      </c>
      <c r="AJ407" s="22" t="inlineStr">
        <is>
          <t>미확인</t>
        </is>
      </c>
      <c r="AK407" s="22" t="inlineStr">
        <is>
          <t>미확인</t>
        </is>
      </c>
      <c r="AL407" s="22" t="inlineStr">
        <is>
          <t>미확인</t>
        </is>
      </c>
      <c r="AM407" s="22" t="inlineStr">
        <is>
          <t>미확인</t>
        </is>
      </c>
      <c r="AN407" s="22" t="inlineStr">
        <is>
          <t>미확인</t>
        </is>
      </c>
      <c r="AO407" s="17" t="inlineStr">
        <is>
          <t>C(부분확인)</t>
        </is>
      </c>
      <c r="AP407" s="17" t="inlineStr">
        <is>
          <t>Y</t>
        </is>
      </c>
      <c r="AQ407" s="17" t="n">
        <v>9</v>
      </c>
      <c r="AR407" s="28" t="inlineStr">
        <is>
          <t>Tier D</t>
        </is>
      </c>
      <c r="AS407" s="17" t="inlineStr">
        <is>
          <t>QMS</t>
        </is>
      </c>
      <c r="AT407" s="17" t="inlineStr">
        <is>
          <t>기본 GMP 문서관리 대상</t>
        </is>
      </c>
      <c r="AU407" s="17" t="inlineStr">
        <is>
          <t>담당자 파악 후 접촉</t>
        </is>
      </c>
      <c r="AV407" s="17" t="inlineStr">
        <is>
          <t>GMP적합판정+KRX</t>
        </is>
      </c>
      <c r="AW407" s="17" t="inlineStr">
        <is>
          <t>2026-07-05</t>
        </is>
      </c>
    </row>
    <row r="408">
      <c r="A408" s="17" t="inlineStr">
        <is>
          <t>C407</t>
        </is>
      </c>
      <c r="B408" s="17" t="inlineStr">
        <is>
          <t>삼천당제약</t>
        </is>
      </c>
      <c r="C408" s="17" t="inlineStr">
        <is>
          <t>삼천당제약(주)</t>
        </is>
      </c>
      <c r="D408" s="17" t="n">
        <v>1</v>
      </c>
      <c r="E408" s="17" t="n">
        <v>1</v>
      </c>
      <c r="F408" s="17" t="inlineStr">
        <is>
          <t>Y</t>
        </is>
      </c>
      <c r="G408" s="17" t="inlineStr"/>
      <c r="H408" s="17" t="inlineStr"/>
      <c r="I408" s="17" t="inlineStr"/>
      <c r="J408" s="24" t="n">
        <v>46244</v>
      </c>
      <c r="K408" s="17" t="inlineStr">
        <is>
          <t>Y</t>
        </is>
      </c>
      <c r="L408" s="17" t="inlineStr">
        <is>
          <t>Y</t>
        </is>
      </c>
      <c r="M408" s="17" t="inlineStr">
        <is>
          <t>코스닥</t>
        </is>
      </c>
      <c r="N408" s="23" t="inlineStr">
        <is>
          <t>000250</t>
        </is>
      </c>
      <c r="O408" s="17" t="inlineStr">
        <is>
          <t>의약품 제조업</t>
        </is>
      </c>
      <c r="P408" s="17" t="inlineStr">
        <is>
          <t>하메론, 아토로우</t>
        </is>
      </c>
      <c r="Q408" s="17" t="inlineStr">
        <is>
          <t>전인석</t>
        </is>
      </c>
      <c r="R408" s="17" t="inlineStr">
        <is>
          <t>http://www.scd.co.kr</t>
        </is>
      </c>
      <c r="S408" s="17" t="inlineStr">
        <is>
          <t>경기도</t>
        </is>
      </c>
      <c r="T408" s="17" t="inlineStr">
        <is>
          <t>031-350-7300</t>
        </is>
      </c>
      <c r="U408" s="17" t="inlineStr">
        <is>
          <t>제조소상세</t>
        </is>
      </c>
      <c r="V408" s="22" t="inlineStr">
        <is>
          <t>미확인</t>
        </is>
      </c>
      <c r="W408" s="22" t="inlineStr">
        <is>
          <t>미확인</t>
        </is>
      </c>
      <c r="X408" s="22" t="inlineStr">
        <is>
          <t>미확인</t>
        </is>
      </c>
      <c r="Y408" s="22" t="inlineStr">
        <is>
          <t>미확인</t>
        </is>
      </c>
      <c r="Z408" s="22" t="inlineStr">
        <is>
          <t>미확인</t>
        </is>
      </c>
      <c r="AA408" s="22" t="inlineStr">
        <is>
          <t>미확인</t>
        </is>
      </c>
      <c r="AB408" s="22" t="inlineStr">
        <is>
          <t>미확인</t>
        </is>
      </c>
      <c r="AC408" s="22" t="inlineStr">
        <is>
          <t>미확인</t>
        </is>
      </c>
      <c r="AD408" s="22" t="inlineStr">
        <is>
          <t>미확인</t>
        </is>
      </c>
      <c r="AE408" s="22" t="inlineStr">
        <is>
          <t>미확인</t>
        </is>
      </c>
      <c r="AF408" s="22" t="inlineStr">
        <is>
          <t>미확인</t>
        </is>
      </c>
      <c r="AG408" s="22" t="inlineStr">
        <is>
          <t>미확인</t>
        </is>
      </c>
      <c r="AH408" s="22" t="inlineStr">
        <is>
          <t>미확인</t>
        </is>
      </c>
      <c r="AI408" s="22" t="inlineStr">
        <is>
          <t>미확인</t>
        </is>
      </c>
      <c r="AJ408" s="22" t="inlineStr">
        <is>
          <t>미확인</t>
        </is>
      </c>
      <c r="AK408" s="22" t="inlineStr">
        <is>
          <t>미확인</t>
        </is>
      </c>
      <c r="AL408" s="22" t="inlineStr">
        <is>
          <t>미확인</t>
        </is>
      </c>
      <c r="AM408" s="22" t="inlineStr">
        <is>
          <t>미확인</t>
        </is>
      </c>
      <c r="AN408" s="22" t="inlineStr">
        <is>
          <t>미확인</t>
        </is>
      </c>
      <c r="AO408" s="17" t="inlineStr">
        <is>
          <t>C(부분확인)</t>
        </is>
      </c>
      <c r="AP408" s="17" t="inlineStr">
        <is>
          <t>Y</t>
        </is>
      </c>
      <c r="AQ408" s="17" t="n">
        <v>12</v>
      </c>
      <c r="AR408" s="28" t="inlineStr">
        <is>
          <t>Tier D</t>
        </is>
      </c>
      <c r="AS408" s="17" t="inlineStr">
        <is>
          <t>QMS</t>
        </is>
      </c>
      <c r="AT408" s="17" t="inlineStr">
        <is>
          <t>기본 GMP 문서관리 대상</t>
        </is>
      </c>
      <c r="AU408" s="17" t="inlineStr">
        <is>
          <t>담당자 파악 후 접촉</t>
        </is>
      </c>
      <c r="AV408" s="17" t="inlineStr">
        <is>
          <t>GMP적합판정+KRX</t>
        </is>
      </c>
      <c r="AW408" s="17" t="inlineStr">
        <is>
          <t>2026-07-05</t>
        </is>
      </c>
    </row>
    <row r="409">
      <c r="A409" s="17" t="inlineStr">
        <is>
          <t>C408</t>
        </is>
      </c>
      <c r="B409" s="17" t="inlineStr">
        <is>
          <t>에이치에스바이오</t>
        </is>
      </c>
      <c r="C409" s="17" t="inlineStr">
        <is>
          <t>(주)에이치에스바이오</t>
        </is>
      </c>
      <c r="D409" s="17" t="n">
        <v>1</v>
      </c>
      <c r="E409" s="17" t="n">
        <v>1</v>
      </c>
      <c r="F409" s="17" t="inlineStr"/>
      <c r="G409" s="17" t="inlineStr">
        <is>
          <t>Y</t>
        </is>
      </c>
      <c r="H409" s="17" t="inlineStr"/>
      <c r="I409" s="17" t="inlineStr"/>
      <c r="J409" s="24" t="n">
        <v>46244</v>
      </c>
      <c r="K409" s="17" t="inlineStr">
        <is>
          <t>Y</t>
        </is>
      </c>
      <c r="L409" s="17" t="inlineStr"/>
      <c r="M409" s="17" t="inlineStr"/>
      <c r="N409" s="23" t="inlineStr"/>
      <c r="O409" s="17" t="inlineStr"/>
      <c r="P409" s="17" t="inlineStr"/>
      <c r="Q409" s="17" t="inlineStr">
        <is>
          <t>김기남, 오민근</t>
        </is>
      </c>
      <c r="R409" s="17" t="inlineStr"/>
      <c r="S409" s="17" t="inlineStr"/>
      <c r="T409" s="17" t="inlineStr">
        <is>
          <t>043-536-5780</t>
        </is>
      </c>
      <c r="U409" s="17" t="inlineStr">
        <is>
          <t>제조소상세</t>
        </is>
      </c>
      <c r="V409" s="22" t="inlineStr">
        <is>
          <t>미확인</t>
        </is>
      </c>
      <c r="W409" s="22" t="inlineStr">
        <is>
          <t>미확인</t>
        </is>
      </c>
      <c r="X409" s="22" t="inlineStr">
        <is>
          <t>미확인</t>
        </is>
      </c>
      <c r="Y409" s="22" t="inlineStr">
        <is>
          <t>미확인</t>
        </is>
      </c>
      <c r="Z409" s="22" t="inlineStr">
        <is>
          <t>미확인</t>
        </is>
      </c>
      <c r="AA409" s="22" t="inlineStr">
        <is>
          <t>미확인</t>
        </is>
      </c>
      <c r="AB409" s="22" t="inlineStr">
        <is>
          <t>미확인</t>
        </is>
      </c>
      <c r="AC409" s="22" t="inlineStr">
        <is>
          <t>미확인</t>
        </is>
      </c>
      <c r="AD409" s="22" t="inlineStr">
        <is>
          <t>미확인</t>
        </is>
      </c>
      <c r="AE409" s="22" t="inlineStr">
        <is>
          <t>미확인</t>
        </is>
      </c>
      <c r="AF409" s="22" t="inlineStr">
        <is>
          <t>미확인</t>
        </is>
      </c>
      <c r="AG409" s="22" t="inlineStr">
        <is>
          <t>미확인</t>
        </is>
      </c>
      <c r="AH409" s="22" t="inlineStr">
        <is>
          <t>미확인</t>
        </is>
      </c>
      <c r="AI409" s="22" t="inlineStr">
        <is>
          <t>미확인</t>
        </is>
      </c>
      <c r="AJ409" s="22" t="inlineStr">
        <is>
          <t>미확인</t>
        </is>
      </c>
      <c r="AK409" s="22" t="inlineStr">
        <is>
          <t>미확인</t>
        </is>
      </c>
      <c r="AL409" s="22" t="inlineStr">
        <is>
          <t>미확인</t>
        </is>
      </c>
      <c r="AM409" s="22" t="inlineStr">
        <is>
          <t>미확인</t>
        </is>
      </c>
      <c r="AN409" s="22" t="inlineStr">
        <is>
          <t>미확인</t>
        </is>
      </c>
      <c r="AO409" s="17" t="inlineStr">
        <is>
          <t>C(부분확인)</t>
        </is>
      </c>
      <c r="AP409" s="17" t="inlineStr">
        <is>
          <t>Y</t>
        </is>
      </c>
      <c r="AQ409" s="17" t="n">
        <v>9</v>
      </c>
      <c r="AR409" s="28" t="inlineStr">
        <is>
          <t>Tier D</t>
        </is>
      </c>
      <c r="AS409" s="17" t="inlineStr">
        <is>
          <t>QMS+LIMS</t>
        </is>
      </c>
      <c r="AT409" s="17" t="inlineStr">
        <is>
          <t>원료 제조로 시험실 관리 필요</t>
        </is>
      </c>
      <c r="AU409" s="17" t="inlineStr">
        <is>
          <t>담당자 파악 후 접촉</t>
        </is>
      </c>
      <c r="AV409" s="17" t="inlineStr">
        <is>
          <t>GMP적합판정+KRX</t>
        </is>
      </c>
      <c r="AW409" s="17" t="inlineStr">
        <is>
          <t>2026-07-05</t>
        </is>
      </c>
    </row>
    <row r="410">
      <c r="A410" s="17" t="inlineStr">
        <is>
          <t>C409</t>
        </is>
      </c>
      <c r="B410" s="17" t="inlineStr">
        <is>
          <t>한국원자력의학원</t>
        </is>
      </c>
      <c r="C410" s="17" t="inlineStr">
        <is>
          <t>한국원자력의학원</t>
        </is>
      </c>
      <c r="D410" s="17" t="n">
        <v>1</v>
      </c>
      <c r="E410" s="17" t="n">
        <v>1</v>
      </c>
      <c r="F410" s="17" t="inlineStr">
        <is>
          <t>Y</t>
        </is>
      </c>
      <c r="G410" s="17" t="inlineStr"/>
      <c r="H410" s="17" t="inlineStr">
        <is>
          <t>Y</t>
        </is>
      </c>
      <c r="I410" s="17" t="inlineStr"/>
      <c r="J410" s="24" t="n">
        <v>46235</v>
      </c>
      <c r="K410" s="17" t="inlineStr">
        <is>
          <t>Y</t>
        </is>
      </c>
      <c r="L410" s="17" t="inlineStr"/>
      <c r="M410" s="17" t="inlineStr"/>
      <c r="N410" s="23" t="inlineStr"/>
      <c r="O410" s="17" t="inlineStr"/>
      <c r="P410" s="17" t="inlineStr"/>
      <c r="Q410" s="17" t="inlineStr">
        <is>
          <t>이진경</t>
        </is>
      </c>
      <c r="R410" s="17" t="inlineStr"/>
      <c r="S410" s="17" t="inlineStr"/>
      <c r="T410" s="17" t="inlineStr">
        <is>
          <t>02-970-2114</t>
        </is>
      </c>
      <c r="U410" s="17" t="inlineStr">
        <is>
          <t>제조소상세</t>
        </is>
      </c>
      <c r="V410" s="22" t="inlineStr">
        <is>
          <t>미확인</t>
        </is>
      </c>
      <c r="W410" s="22" t="inlineStr">
        <is>
          <t>미확인</t>
        </is>
      </c>
      <c r="X410" s="22" t="inlineStr">
        <is>
          <t>미확인</t>
        </is>
      </c>
      <c r="Y410" s="22" t="inlineStr">
        <is>
          <t>미확인</t>
        </is>
      </c>
      <c r="Z410" s="22" t="inlineStr">
        <is>
          <t>미확인</t>
        </is>
      </c>
      <c r="AA410" s="22" t="inlineStr">
        <is>
          <t>미확인</t>
        </is>
      </c>
      <c r="AB410" s="22" t="inlineStr">
        <is>
          <t>미확인</t>
        </is>
      </c>
      <c r="AC410" s="22" t="inlineStr">
        <is>
          <t>미확인</t>
        </is>
      </c>
      <c r="AD410" s="22" t="inlineStr">
        <is>
          <t>미확인</t>
        </is>
      </c>
      <c r="AE410" s="22" t="inlineStr">
        <is>
          <t>미확인</t>
        </is>
      </c>
      <c r="AF410" s="22" t="inlineStr">
        <is>
          <t>미확인</t>
        </is>
      </c>
      <c r="AG410" s="22" t="inlineStr">
        <is>
          <t>미확인</t>
        </is>
      </c>
      <c r="AH410" s="22" t="inlineStr">
        <is>
          <t>미확인</t>
        </is>
      </c>
      <c r="AI410" s="22" t="inlineStr">
        <is>
          <t>미확인</t>
        </is>
      </c>
      <c r="AJ410" s="22" t="inlineStr">
        <is>
          <t>미확인</t>
        </is>
      </c>
      <c r="AK410" s="22" t="inlineStr">
        <is>
          <t>미확인</t>
        </is>
      </c>
      <c r="AL410" s="22" t="inlineStr">
        <is>
          <t>미확인</t>
        </is>
      </c>
      <c r="AM410" s="22" t="inlineStr">
        <is>
          <t>미확인</t>
        </is>
      </c>
      <c r="AN410" s="22" t="inlineStr">
        <is>
          <t>미확인</t>
        </is>
      </c>
      <c r="AO410" s="17" t="inlineStr">
        <is>
          <t>C(부분확인)</t>
        </is>
      </c>
      <c r="AP410" s="17" t="inlineStr">
        <is>
          <t>Y</t>
        </is>
      </c>
      <c r="AQ410" s="17" t="n">
        <v>17</v>
      </c>
      <c r="AR410" s="28" t="inlineStr">
        <is>
          <t>Tier D</t>
        </is>
      </c>
      <c r="AS410" s="17" t="inlineStr">
        <is>
          <t>QMS+LIMS</t>
        </is>
      </c>
      <c r="AT410" s="17" t="inlineStr">
        <is>
          <t>무균/바이오 제조로 품질관리 난도 높음</t>
        </is>
      </c>
      <c r="AU410" s="17" t="inlineStr">
        <is>
          <t>담당자 파악 후 접촉</t>
        </is>
      </c>
      <c r="AV410" s="17" t="inlineStr">
        <is>
          <t>GMP적합판정+KRX</t>
        </is>
      </c>
      <c r="AW410" s="17" t="inlineStr">
        <is>
          <t>2026-07-05</t>
        </is>
      </c>
    </row>
  </sheetData>
  <autoFilter ref="A1:AW4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12" customWidth="1" min="4" max="4"/>
    <col width="24" customWidth="1" min="5" max="5"/>
    <col width="9" customWidth="1" min="6" max="6"/>
    <col width="11" customWidth="1" min="7" max="7"/>
    <col width="16" customWidth="1" min="8" max="8"/>
    <col width="28" customWidth="1" min="9" max="9"/>
    <col width="32" customWidth="1" min="10" max="10"/>
    <col width="11" customWidth="1" min="11" max="11"/>
    <col width="7" customWidth="1" min="12" max="12"/>
    <col width="16" customWidth="1" min="13" max="13"/>
  </cols>
  <sheetData>
    <row r="1">
      <c r="A1" s="19" t="inlineStr">
        <is>
          <t>COMPANY_ID</t>
        </is>
      </c>
      <c r="B1" s="19" t="inlineStr">
        <is>
          <t>회사키(정규화)</t>
        </is>
      </c>
      <c r="C1" s="19" t="inlineStr">
        <is>
          <t>대표 업체명</t>
        </is>
      </c>
      <c r="D1" s="19" t="inlineStr">
        <is>
          <t>조사필드</t>
        </is>
      </c>
      <c r="E1" s="19" t="inlineStr">
        <is>
          <t>입력값</t>
        </is>
      </c>
      <c r="F1" s="19" t="inlineStr">
        <is>
          <t>기준연도</t>
        </is>
      </c>
      <c r="G1" s="19" t="inlineStr">
        <is>
          <t>기준일</t>
        </is>
      </c>
      <c r="H1" s="19" t="inlineStr">
        <is>
          <t>출처기관</t>
        </is>
      </c>
      <c r="I1" s="19" t="inlineStr">
        <is>
          <t>출처문서명</t>
        </is>
      </c>
      <c r="J1" s="19" t="inlineStr">
        <is>
          <t>출처URL</t>
        </is>
      </c>
      <c r="K1" s="19" t="inlineStr">
        <is>
          <t>확인일</t>
        </is>
      </c>
      <c r="L1" s="19" t="inlineStr">
        <is>
          <t>신뢰도</t>
        </is>
      </c>
      <c r="M1" s="19" t="inlineStr">
        <is>
          <t>비고</t>
        </is>
      </c>
    </row>
    <row r="2">
      <c r="A2" s="17" t="inlineStr">
        <is>
          <t>C001</t>
        </is>
      </c>
      <c r="B2" s="17" t="inlineStr">
        <is>
          <t>이연제약</t>
        </is>
      </c>
      <c r="C2" s="17" t="inlineStr">
        <is>
          <t>이연제약(주)</t>
        </is>
      </c>
      <c r="D2" s="17" t="inlineStr">
        <is>
          <t>대표전화</t>
        </is>
      </c>
      <c r="E2" s="17" t="inlineStr">
        <is>
          <t>043-840-6300</t>
        </is>
      </c>
      <c r="F2" s="17" t="inlineStr"/>
      <c r="G2" s="17" t="inlineStr">
        <is>
          <t>2026-07-06</t>
        </is>
      </c>
      <c r="H2" s="17" t="inlineStr">
        <is>
          <t>식품의약품안전처</t>
        </is>
      </c>
      <c r="I2" s="17" t="inlineStr">
        <is>
          <t>의약품 등 업체허가현황(제조소상세)</t>
        </is>
      </c>
      <c r="J2" s="17" t="inlineStr">
        <is>
          <t>https://www.data.go.kr/data/15095682/openapi.do</t>
        </is>
      </c>
      <c r="K2" s="17" t="inlineStr">
        <is>
          <t>2026-07-06</t>
        </is>
      </c>
      <c r="L2" s="17" t="inlineStr">
        <is>
          <t>A</t>
        </is>
      </c>
      <c r="M2" s="17" t="inlineStr">
        <is>
          <t>공장 대표번호</t>
        </is>
      </c>
    </row>
    <row r="3">
      <c r="A3" s="17" t="inlineStr">
        <is>
          <t>C001</t>
        </is>
      </c>
      <c r="B3" s="17" t="inlineStr">
        <is>
          <t>이연제약</t>
        </is>
      </c>
      <c r="C3" s="17" t="inlineStr">
        <is>
          <t>이연제약(주)</t>
        </is>
      </c>
      <c r="D3" s="17" t="inlineStr">
        <is>
          <t>상장정보</t>
        </is>
      </c>
      <c r="E3" s="17" t="inlineStr">
        <is>
          <t>유가/102460</t>
        </is>
      </c>
      <c r="F3" s="17" t="inlineStr"/>
      <c r="G3" s="17" t="inlineStr">
        <is>
          <t>2026-07-06</t>
        </is>
      </c>
      <c r="H3" s="17" t="inlineStr">
        <is>
          <t>한국거래소 KIND</t>
        </is>
      </c>
      <c r="I3" s="17" t="inlineStr">
        <is>
          <t>상장법인목록</t>
        </is>
      </c>
      <c r="J3" s="17" t="inlineStr">
        <is>
          <t>https://kind.krx.co.kr</t>
        </is>
      </c>
      <c r="K3" s="17" t="inlineStr">
        <is>
          <t>2026-07-06</t>
        </is>
      </c>
      <c r="L3" s="17" t="inlineStr">
        <is>
          <t>A</t>
        </is>
      </c>
      <c r="M3" s="17" t="inlineStr"/>
    </row>
    <row r="4">
      <c r="A4" s="17" t="inlineStr">
        <is>
          <t>C001</t>
        </is>
      </c>
      <c r="B4" s="17" t="inlineStr">
        <is>
          <t>이연제약</t>
        </is>
      </c>
      <c r="C4" s="17" t="inlineStr">
        <is>
          <t>이연제약(주)</t>
        </is>
      </c>
      <c r="D4" s="17" t="inlineStr">
        <is>
          <t>홈페이지</t>
        </is>
      </c>
      <c r="E4" s="17" t="inlineStr">
        <is>
          <t>http://reyonpharm.co.kr</t>
        </is>
      </c>
      <c r="F4" s="17" t="inlineStr"/>
      <c r="G4" s="17" t="inlineStr">
        <is>
          <t>2026-07-06</t>
        </is>
      </c>
      <c r="H4" s="17" t="inlineStr">
        <is>
          <t>한국거래소 KIND</t>
        </is>
      </c>
      <c r="I4" s="17" t="inlineStr">
        <is>
          <t>상장법인목록</t>
        </is>
      </c>
      <c r="J4" s="17" t="inlineStr">
        <is>
          <t>https://kind.krx.co.kr</t>
        </is>
      </c>
      <c r="K4" s="17" t="inlineStr">
        <is>
          <t>2026-07-06</t>
        </is>
      </c>
      <c r="L4" s="17" t="inlineStr">
        <is>
          <t>A</t>
        </is>
      </c>
      <c r="M4" s="17" t="inlineStr"/>
    </row>
    <row r="5">
      <c r="A5" s="17" t="inlineStr">
        <is>
          <t>C002</t>
        </is>
      </c>
      <c r="B5" s="17" t="inlineStr">
        <is>
          <t>한국원자력연구원</t>
        </is>
      </c>
      <c r="C5" s="17" t="inlineStr">
        <is>
          <t>한국원자력연구원</t>
        </is>
      </c>
      <c r="D5" s="17" t="inlineStr">
        <is>
          <t>대표전화</t>
        </is>
      </c>
      <c r="E5" s="17" t="inlineStr">
        <is>
          <t>042-868-2000</t>
        </is>
      </c>
      <c r="F5" s="17" t="inlineStr"/>
      <c r="G5" s="17" t="inlineStr">
        <is>
          <t>2026-07-06</t>
        </is>
      </c>
      <c r="H5" s="17" t="inlineStr">
        <is>
          <t>식품의약품안전처</t>
        </is>
      </c>
      <c r="I5" s="17" t="inlineStr">
        <is>
          <t>의약품 등 업체허가현황(제조소상세)</t>
        </is>
      </c>
      <c r="J5" s="17" t="inlineStr">
        <is>
          <t>https://www.data.go.kr/data/15095682/openapi.do</t>
        </is>
      </c>
      <c r="K5" s="17" t="inlineStr">
        <is>
          <t>2026-07-06</t>
        </is>
      </c>
      <c r="L5" s="17" t="inlineStr">
        <is>
          <t>A</t>
        </is>
      </c>
      <c r="M5" s="17" t="inlineStr">
        <is>
          <t>공장 대표번호</t>
        </is>
      </c>
    </row>
    <row r="6">
      <c r="A6" s="17" t="inlineStr">
        <is>
          <t>C003</t>
        </is>
      </c>
      <c r="B6" s="17" t="inlineStr">
        <is>
          <t>엔바이로코리아</t>
        </is>
      </c>
      <c r="C6" s="17" t="inlineStr">
        <is>
          <t>(주)엔바이로코리아</t>
        </is>
      </c>
      <c r="D6" s="17" t="inlineStr">
        <is>
          <t>대표전화</t>
        </is>
      </c>
      <c r="E6" s="17" t="inlineStr">
        <is>
          <t>042-864-2341</t>
        </is>
      </c>
      <c r="F6" s="17" t="inlineStr"/>
      <c r="G6" s="17" t="inlineStr">
        <is>
          <t>2026-07-06</t>
        </is>
      </c>
      <c r="H6" s="17" t="inlineStr">
        <is>
          <t>식품의약품안전처</t>
        </is>
      </c>
      <c r="I6" s="17" t="inlineStr">
        <is>
          <t>의약품 등 업체허가현황(제조소상세)</t>
        </is>
      </c>
      <c r="J6" s="17" t="inlineStr">
        <is>
          <t>https://www.data.go.kr/data/15095682/openapi.do</t>
        </is>
      </c>
      <c r="K6" s="17" t="inlineStr">
        <is>
          <t>2026-07-06</t>
        </is>
      </c>
      <c r="L6" s="17" t="inlineStr">
        <is>
          <t>A</t>
        </is>
      </c>
      <c r="M6" s="17" t="inlineStr">
        <is>
          <t>공장 대표번호</t>
        </is>
      </c>
    </row>
    <row r="7">
      <c r="A7" s="17" t="inlineStr">
        <is>
          <t>C004</t>
        </is>
      </c>
      <c r="B7" s="17" t="inlineStr">
        <is>
          <t>보란파마</t>
        </is>
      </c>
      <c r="C7" s="17" t="inlineStr">
        <is>
          <t>보란파마</t>
        </is>
      </c>
      <c r="D7" s="17" t="inlineStr">
        <is>
          <t>대표전화</t>
        </is>
      </c>
      <c r="E7" s="17" t="inlineStr">
        <is>
          <t>070-5100-4350</t>
        </is>
      </c>
      <c r="F7" s="17" t="inlineStr"/>
      <c r="G7" s="17" t="inlineStr">
        <is>
          <t>2026-07-06</t>
        </is>
      </c>
      <c r="H7" s="17" t="inlineStr">
        <is>
          <t>식품의약품안전처</t>
        </is>
      </c>
      <c r="I7" s="17" t="inlineStr">
        <is>
          <t>의약품 등 업체허가현황(제조소상세)</t>
        </is>
      </c>
      <c r="J7" s="17" t="inlineStr">
        <is>
          <t>https://www.data.go.kr/data/15095682/openapi.do</t>
        </is>
      </c>
      <c r="K7" s="17" t="inlineStr">
        <is>
          <t>2026-07-06</t>
        </is>
      </c>
      <c r="L7" s="17" t="inlineStr">
        <is>
          <t>A</t>
        </is>
      </c>
      <c r="M7" s="17" t="inlineStr">
        <is>
          <t>공장 대표번호</t>
        </is>
      </c>
    </row>
    <row r="8">
      <c r="A8" s="17" t="inlineStr">
        <is>
          <t>C005</t>
        </is>
      </c>
      <c r="B8" s="17" t="inlineStr">
        <is>
          <t>애거슨바이오</t>
        </is>
      </c>
      <c r="C8" s="17" t="inlineStr">
        <is>
          <t>(주)애거슨바이오</t>
        </is>
      </c>
      <c r="D8" s="17" t="inlineStr">
        <is>
          <t>대표전화</t>
        </is>
      </c>
      <c r="E8" s="17" t="inlineStr">
        <is>
          <t>043-882-8774</t>
        </is>
      </c>
      <c r="F8" s="17" t="inlineStr"/>
      <c r="G8" s="17" t="inlineStr">
        <is>
          <t>2026-07-06</t>
        </is>
      </c>
      <c r="H8" s="17" t="inlineStr">
        <is>
          <t>식품의약품안전처</t>
        </is>
      </c>
      <c r="I8" s="17" t="inlineStr">
        <is>
          <t>의약품 등 업체허가현황(제조소상세)</t>
        </is>
      </c>
      <c r="J8" s="17" t="inlineStr">
        <is>
          <t>https://www.data.go.kr/data/15095682/openapi.do</t>
        </is>
      </c>
      <c r="K8" s="17" t="inlineStr">
        <is>
          <t>2026-07-06</t>
        </is>
      </c>
      <c r="L8" s="17" t="inlineStr">
        <is>
          <t>A</t>
        </is>
      </c>
      <c r="M8" s="17" t="inlineStr">
        <is>
          <t>공장 대표번호</t>
        </is>
      </c>
    </row>
    <row r="9">
      <c r="A9" s="17" t="inlineStr">
        <is>
          <t>C006</t>
        </is>
      </c>
      <c r="B9" s="17" t="inlineStr">
        <is>
          <t>에스피씨</t>
        </is>
      </c>
      <c r="C9" s="17" t="inlineStr">
        <is>
          <t>에스피씨(주)</t>
        </is>
      </c>
      <c r="D9" s="17" t="inlineStr">
        <is>
          <t>대표전화</t>
        </is>
      </c>
      <c r="E9" s="17" t="inlineStr">
        <is>
          <t>031-682-4675</t>
        </is>
      </c>
      <c r="F9" s="17" t="inlineStr"/>
      <c r="G9" s="17" t="inlineStr">
        <is>
          <t>2026-07-06</t>
        </is>
      </c>
      <c r="H9" s="17" t="inlineStr">
        <is>
          <t>식품의약품안전처</t>
        </is>
      </c>
      <c r="I9" s="17" t="inlineStr">
        <is>
          <t>의약품 등 업체허가현황(제조소상세)</t>
        </is>
      </c>
      <c r="J9" s="17" t="inlineStr">
        <is>
          <t>https://www.data.go.kr/data/15095682/openapi.do</t>
        </is>
      </c>
      <c r="K9" s="17" t="inlineStr">
        <is>
          <t>2026-07-06</t>
        </is>
      </c>
      <c r="L9" s="17" t="inlineStr">
        <is>
          <t>A</t>
        </is>
      </c>
      <c r="M9" s="17" t="inlineStr">
        <is>
          <t>공장 대표번호</t>
        </is>
      </c>
    </row>
    <row r="10">
      <c r="A10" s="17" t="inlineStr">
        <is>
          <t>C007</t>
        </is>
      </c>
      <c r="B10" s="17" t="inlineStr">
        <is>
          <t>대성의료종합가스</t>
        </is>
      </c>
      <c r="C10" s="17" t="inlineStr">
        <is>
          <t>대성의료종합가스(주)</t>
        </is>
      </c>
      <c r="D10" s="17" t="inlineStr">
        <is>
          <t>대표전화</t>
        </is>
      </c>
      <c r="E10" s="17" t="inlineStr">
        <is>
          <t>031-585-7871</t>
        </is>
      </c>
      <c r="F10" s="17" t="inlineStr"/>
      <c r="G10" s="17" t="inlineStr">
        <is>
          <t>2026-07-06</t>
        </is>
      </c>
      <c r="H10" s="17" t="inlineStr">
        <is>
          <t>식품의약품안전처</t>
        </is>
      </c>
      <c r="I10" s="17" t="inlineStr">
        <is>
          <t>의약품 등 업체허가현황(제조소상세)</t>
        </is>
      </c>
      <c r="J10" s="17" t="inlineStr">
        <is>
          <t>https://www.data.go.kr/data/15095682/openapi.do</t>
        </is>
      </c>
      <c r="K10" s="17" t="inlineStr">
        <is>
          <t>2026-07-06</t>
        </is>
      </c>
      <c r="L10" s="17" t="inlineStr">
        <is>
          <t>A</t>
        </is>
      </c>
      <c r="M10" s="17" t="inlineStr">
        <is>
          <t>공장 대표번호</t>
        </is>
      </c>
    </row>
    <row r="11">
      <c r="A11" s="17" t="inlineStr">
        <is>
          <t>C008</t>
        </is>
      </c>
      <c r="B11" s="17" t="inlineStr">
        <is>
          <t>에스에스팜</t>
        </is>
      </c>
      <c r="C11" s="17" t="inlineStr">
        <is>
          <t>에스에스팜(주)</t>
        </is>
      </c>
      <c r="D11" s="17" t="inlineStr">
        <is>
          <t>대표전화</t>
        </is>
      </c>
      <c r="E11" s="17" t="inlineStr">
        <is>
          <t>031-491-6311</t>
        </is>
      </c>
      <c r="F11" s="17" t="inlineStr"/>
      <c r="G11" s="17" t="inlineStr">
        <is>
          <t>2026-07-06</t>
        </is>
      </c>
      <c r="H11" s="17" t="inlineStr">
        <is>
          <t>식품의약품안전처</t>
        </is>
      </c>
      <c r="I11" s="17" t="inlineStr">
        <is>
          <t>의약품 등 업체허가현황(제조소상세)</t>
        </is>
      </c>
      <c r="J11" s="17" t="inlineStr">
        <is>
          <t>https://www.data.go.kr/data/15095682/openapi.do</t>
        </is>
      </c>
      <c r="K11" s="17" t="inlineStr">
        <is>
          <t>2026-07-06</t>
        </is>
      </c>
      <c r="L11" s="17" t="inlineStr">
        <is>
          <t>A</t>
        </is>
      </c>
      <c r="M11" s="17" t="inlineStr">
        <is>
          <t>공장 대표번호</t>
        </is>
      </c>
    </row>
    <row r="12">
      <c r="A12" s="17" t="inlineStr">
        <is>
          <t>C009</t>
        </is>
      </c>
      <c r="B12" s="17" t="inlineStr">
        <is>
          <t>지에이치</t>
        </is>
      </c>
      <c r="C12" s="17" t="inlineStr">
        <is>
          <t>지에이치(주)</t>
        </is>
      </c>
      <c r="D12" s="17" t="inlineStr">
        <is>
          <t>대표전화</t>
        </is>
      </c>
      <c r="E12" s="17" t="inlineStr">
        <is>
          <t>02-587-9123</t>
        </is>
      </c>
      <c r="F12" s="17" t="inlineStr"/>
      <c r="G12" s="17" t="inlineStr">
        <is>
          <t>2026-07-06</t>
        </is>
      </c>
      <c r="H12" s="17" t="inlineStr">
        <is>
          <t>식품의약품안전처</t>
        </is>
      </c>
      <c r="I12" s="17" t="inlineStr">
        <is>
          <t>의약품 등 업체허가현황(제조소상세)</t>
        </is>
      </c>
      <c r="J12" s="17" t="inlineStr">
        <is>
          <t>https://www.data.go.kr/data/15095682/openapi.do</t>
        </is>
      </c>
      <c r="K12" s="17" t="inlineStr">
        <is>
          <t>2026-07-06</t>
        </is>
      </c>
      <c r="L12" s="17" t="inlineStr">
        <is>
          <t>A</t>
        </is>
      </c>
      <c r="M12" s="17" t="inlineStr">
        <is>
          <t>공장 대표번호</t>
        </is>
      </c>
    </row>
    <row r="13">
      <c r="A13" s="17" t="inlineStr">
        <is>
          <t>C010</t>
        </is>
      </c>
      <c r="B13" s="17" t="inlineStr">
        <is>
          <t>경방신약</t>
        </is>
      </c>
      <c r="C13" s="17" t="inlineStr">
        <is>
          <t>경방신약(주)</t>
        </is>
      </c>
      <c r="D13" s="17" t="inlineStr">
        <is>
          <t>대표전화</t>
        </is>
      </c>
      <c r="E13" s="17" t="inlineStr">
        <is>
          <t>0328224322032222890515997199</t>
        </is>
      </c>
      <c r="F13" s="17" t="inlineStr"/>
      <c r="G13" s="17" t="inlineStr">
        <is>
          <t>2026-07-06</t>
        </is>
      </c>
      <c r="H13" s="17" t="inlineStr">
        <is>
          <t>식품의약품안전처</t>
        </is>
      </c>
      <c r="I13" s="17" t="inlineStr">
        <is>
          <t>의약품 등 업체허가현황(제조소상세)</t>
        </is>
      </c>
      <c r="J13" s="17" t="inlineStr">
        <is>
          <t>https://www.data.go.kr/data/15095682/openapi.do</t>
        </is>
      </c>
      <c r="K13" s="17" t="inlineStr">
        <is>
          <t>2026-07-06</t>
        </is>
      </c>
      <c r="L13" s="17" t="inlineStr">
        <is>
          <t>A</t>
        </is>
      </c>
      <c r="M13" s="17" t="inlineStr">
        <is>
          <t>공장 대표번호</t>
        </is>
      </c>
    </row>
    <row r="14">
      <c r="A14" s="17" t="inlineStr">
        <is>
          <t>C012</t>
        </is>
      </c>
      <c r="B14" s="17" t="inlineStr">
        <is>
          <t>대일가스</t>
        </is>
      </c>
      <c r="C14" s="17" t="inlineStr">
        <is>
          <t>(주)대일가스</t>
        </is>
      </c>
      <c r="D14" s="17" t="inlineStr">
        <is>
          <t>대표전화</t>
        </is>
      </c>
      <c r="E14" s="17" t="inlineStr">
        <is>
          <t>033-645-7162</t>
        </is>
      </c>
      <c r="F14" s="17" t="inlineStr"/>
      <c r="G14" s="17" t="inlineStr">
        <is>
          <t>2026-07-06</t>
        </is>
      </c>
      <c r="H14" s="17" t="inlineStr">
        <is>
          <t>식품의약품안전처</t>
        </is>
      </c>
      <c r="I14" s="17" t="inlineStr">
        <is>
          <t>의약품 등 업체허가현황(제조소상세)</t>
        </is>
      </c>
      <c r="J14" s="17" t="inlineStr">
        <is>
          <t>https://www.data.go.kr/data/15095682/openapi.do</t>
        </is>
      </c>
      <c r="K14" s="17" t="inlineStr">
        <is>
          <t>2026-07-06</t>
        </is>
      </c>
      <c r="L14" s="17" t="inlineStr">
        <is>
          <t>A</t>
        </is>
      </c>
      <c r="M14" s="17" t="inlineStr">
        <is>
          <t>공장 대표번호</t>
        </is>
      </c>
    </row>
    <row r="15">
      <c r="A15" s="17" t="inlineStr">
        <is>
          <t>C013</t>
        </is>
      </c>
      <c r="B15" s="17" t="inlineStr">
        <is>
          <t>동방산업가스</t>
        </is>
      </c>
      <c r="C15" s="17" t="inlineStr">
        <is>
          <t>동방산업가스</t>
        </is>
      </c>
      <c r="D15" s="17" t="inlineStr">
        <is>
          <t>대표전화</t>
        </is>
      </c>
      <c r="E15" s="17" t="inlineStr">
        <is>
          <t>054-858-7593</t>
        </is>
      </c>
      <c r="F15" s="17" t="inlineStr"/>
      <c r="G15" s="17" t="inlineStr">
        <is>
          <t>2026-07-06</t>
        </is>
      </c>
      <c r="H15" s="17" t="inlineStr">
        <is>
          <t>식품의약품안전처</t>
        </is>
      </c>
      <c r="I15" s="17" t="inlineStr">
        <is>
          <t>의약품 등 업체허가현황(제조소상세)</t>
        </is>
      </c>
      <c r="J15" s="17" t="inlineStr">
        <is>
          <t>https://www.data.go.kr/data/15095682/openapi.do</t>
        </is>
      </c>
      <c r="K15" s="17" t="inlineStr">
        <is>
          <t>2026-07-06</t>
        </is>
      </c>
      <c r="L15" s="17" t="inlineStr">
        <is>
          <t>A</t>
        </is>
      </c>
      <c r="M15" s="17" t="inlineStr">
        <is>
          <t>공장 대표번호</t>
        </is>
      </c>
    </row>
    <row r="16">
      <c r="A16" s="17" t="inlineStr">
        <is>
          <t>C016</t>
        </is>
      </c>
      <c r="B16" s="17" t="inlineStr">
        <is>
          <t>금오가스</t>
        </is>
      </c>
      <c r="C16" s="17" t="inlineStr">
        <is>
          <t>금오가스(주)</t>
        </is>
      </c>
      <c r="D16" s="17" t="inlineStr">
        <is>
          <t>대표전화</t>
        </is>
      </c>
      <c r="E16" s="17" t="inlineStr">
        <is>
          <t>031-941-9353</t>
        </is>
      </c>
      <c r="F16" s="17" t="inlineStr"/>
      <c r="G16" s="17" t="inlineStr">
        <is>
          <t>2026-07-06</t>
        </is>
      </c>
      <c r="H16" s="17" t="inlineStr">
        <is>
          <t>식품의약품안전처</t>
        </is>
      </c>
      <c r="I16" s="17" t="inlineStr">
        <is>
          <t>의약품 등 업체허가현황(제조소상세)</t>
        </is>
      </c>
      <c r="J16" s="17" t="inlineStr">
        <is>
          <t>https://www.data.go.kr/data/15095682/openapi.do</t>
        </is>
      </c>
      <c r="K16" s="17" t="inlineStr">
        <is>
          <t>2026-07-06</t>
        </is>
      </c>
      <c r="L16" s="17" t="inlineStr">
        <is>
          <t>A</t>
        </is>
      </c>
      <c r="M16" s="17" t="inlineStr">
        <is>
          <t>공장 대표번호</t>
        </is>
      </c>
    </row>
    <row r="17">
      <c r="A17" s="17" t="inlineStr">
        <is>
          <t>C017</t>
        </is>
      </c>
      <c r="B17" s="17" t="inlineStr">
        <is>
          <t>정우신약</t>
        </is>
      </c>
      <c r="C17" s="17" t="inlineStr">
        <is>
          <t>정우신약(주)</t>
        </is>
      </c>
      <c r="D17" s="17" t="inlineStr">
        <is>
          <t>대표전화</t>
        </is>
      </c>
      <c r="E17" s="17" t="inlineStr">
        <is>
          <t>041-533-6191</t>
        </is>
      </c>
      <c r="F17" s="17" t="inlineStr"/>
      <c r="G17" s="17" t="inlineStr">
        <is>
          <t>2026-07-06</t>
        </is>
      </c>
      <c r="H17" s="17" t="inlineStr">
        <is>
          <t>식품의약품안전처</t>
        </is>
      </c>
      <c r="I17" s="17" t="inlineStr">
        <is>
          <t>의약품 등 업체허가현황(제조소상세)</t>
        </is>
      </c>
      <c r="J17" s="17" t="inlineStr">
        <is>
          <t>https://www.data.go.kr/data/15095682/openapi.do</t>
        </is>
      </c>
      <c r="K17" s="17" t="inlineStr">
        <is>
          <t>2026-07-06</t>
        </is>
      </c>
      <c r="L17" s="17" t="inlineStr">
        <is>
          <t>A</t>
        </is>
      </c>
      <c r="M17" s="17" t="inlineStr">
        <is>
          <t>공장 대표번호</t>
        </is>
      </c>
    </row>
    <row r="18">
      <c r="A18" s="17" t="inlineStr">
        <is>
          <t>C018</t>
        </is>
      </c>
      <c r="B18" s="17" t="inlineStr">
        <is>
          <t>퍼슨</t>
        </is>
      </c>
      <c r="C18" s="17" t="inlineStr">
        <is>
          <t>(주)퍼슨</t>
        </is>
      </c>
      <c r="D18" s="17" t="inlineStr">
        <is>
          <t>대표전화</t>
        </is>
      </c>
      <c r="E18" s="17" t="inlineStr">
        <is>
          <t>070-4850-7650</t>
        </is>
      </c>
      <c r="F18" s="17" t="inlineStr"/>
      <c r="G18" s="17" t="inlineStr">
        <is>
          <t>2026-07-06</t>
        </is>
      </c>
      <c r="H18" s="17" t="inlineStr">
        <is>
          <t>식품의약품안전처</t>
        </is>
      </c>
      <c r="I18" s="17" t="inlineStr">
        <is>
          <t>의약품 등 업체허가현황(제조소상세)</t>
        </is>
      </c>
      <c r="J18" s="17" t="inlineStr">
        <is>
          <t>https://www.data.go.kr/data/15095682/openapi.do</t>
        </is>
      </c>
      <c r="K18" s="17" t="inlineStr">
        <is>
          <t>2026-07-06</t>
        </is>
      </c>
      <c r="L18" s="17" t="inlineStr">
        <is>
          <t>A</t>
        </is>
      </c>
      <c r="M18" s="17" t="inlineStr">
        <is>
          <t>공장 대표번호</t>
        </is>
      </c>
    </row>
    <row r="19">
      <c r="A19" s="17" t="inlineStr">
        <is>
          <t>C019</t>
        </is>
      </c>
      <c r="B19" s="17" t="inlineStr">
        <is>
          <t>셀비온</t>
        </is>
      </c>
      <c r="C19" s="17" t="inlineStr">
        <is>
          <t>(주)셀비온</t>
        </is>
      </c>
      <c r="D19" s="17" t="inlineStr">
        <is>
          <t>상장정보</t>
        </is>
      </c>
      <c r="E19" s="17" t="inlineStr">
        <is>
          <t>코스닥/308430</t>
        </is>
      </c>
      <c r="F19" s="17" t="inlineStr"/>
      <c r="G19" s="17" t="inlineStr">
        <is>
          <t>2026-07-06</t>
        </is>
      </c>
      <c r="H19" s="17" t="inlineStr">
        <is>
          <t>한국거래소 KIND</t>
        </is>
      </c>
      <c r="I19" s="17" t="inlineStr">
        <is>
          <t>상장법인목록</t>
        </is>
      </c>
      <c r="J19" s="17" t="inlineStr">
        <is>
          <t>https://kind.krx.co.kr</t>
        </is>
      </c>
      <c r="K19" s="17" t="inlineStr">
        <is>
          <t>2026-07-06</t>
        </is>
      </c>
      <c r="L19" s="17" t="inlineStr">
        <is>
          <t>A</t>
        </is>
      </c>
      <c r="M19" s="17" t="inlineStr"/>
    </row>
    <row r="20">
      <c r="A20" s="17" t="inlineStr">
        <is>
          <t>C019</t>
        </is>
      </c>
      <c r="B20" s="17" t="inlineStr">
        <is>
          <t>셀비온</t>
        </is>
      </c>
      <c r="C20" s="17" t="inlineStr">
        <is>
          <t>(주)셀비온</t>
        </is>
      </c>
      <c r="D20" s="17" t="inlineStr">
        <is>
          <t>홈페이지</t>
        </is>
      </c>
      <c r="E20" s="17" t="inlineStr">
        <is>
          <t>http://cellbion.co.kr</t>
        </is>
      </c>
      <c r="F20" s="17" t="inlineStr"/>
      <c r="G20" s="17" t="inlineStr">
        <is>
          <t>2026-07-06</t>
        </is>
      </c>
      <c r="H20" s="17" t="inlineStr">
        <is>
          <t>한국거래소 KIND</t>
        </is>
      </c>
      <c r="I20" s="17" t="inlineStr">
        <is>
          <t>상장법인목록</t>
        </is>
      </c>
      <c r="J20" s="17" t="inlineStr">
        <is>
          <t>https://kind.krx.co.kr</t>
        </is>
      </c>
      <c r="K20" s="17" t="inlineStr">
        <is>
          <t>2026-07-06</t>
        </is>
      </c>
      <c r="L20" s="17" t="inlineStr">
        <is>
          <t>A</t>
        </is>
      </c>
      <c r="M20" s="17" t="inlineStr"/>
    </row>
    <row r="21">
      <c r="A21" s="17" t="inlineStr">
        <is>
          <t>C020</t>
        </is>
      </c>
      <c r="B21" s="17" t="inlineStr">
        <is>
          <t>석전의료공업</t>
        </is>
      </c>
      <c r="C21" s="17" t="inlineStr">
        <is>
          <t>석전의료공업(주)</t>
        </is>
      </c>
      <c r="D21" s="17" t="inlineStr">
        <is>
          <t>대표전화</t>
        </is>
      </c>
      <c r="E21" s="17" t="inlineStr">
        <is>
          <t>02-2271-0271</t>
        </is>
      </c>
      <c r="F21" s="17" t="inlineStr"/>
      <c r="G21" s="17" t="inlineStr">
        <is>
          <t>2026-07-06</t>
        </is>
      </c>
      <c r="H21" s="17" t="inlineStr">
        <is>
          <t>식품의약품안전처</t>
        </is>
      </c>
      <c r="I21" s="17" t="inlineStr">
        <is>
          <t>의약품 등 업체허가현황(제조소상세)</t>
        </is>
      </c>
      <c r="J21" s="17" t="inlineStr">
        <is>
          <t>https://www.data.go.kr/data/15095682/openapi.do</t>
        </is>
      </c>
      <c r="K21" s="17" t="inlineStr">
        <is>
          <t>2026-07-06</t>
        </is>
      </c>
      <c r="L21" s="17" t="inlineStr">
        <is>
          <t>A</t>
        </is>
      </c>
      <c r="M21" s="17" t="inlineStr">
        <is>
          <t>공장 대표번호</t>
        </is>
      </c>
    </row>
    <row r="22">
      <c r="A22" s="17" t="inlineStr">
        <is>
          <t>C021</t>
        </is>
      </c>
      <c r="B22" s="17" t="inlineStr">
        <is>
          <t>에이치디엑스</t>
        </is>
      </c>
      <c r="C22" s="17" t="inlineStr">
        <is>
          <t>에이치디엑스(주)</t>
        </is>
      </c>
      <c r="D22" s="17" t="inlineStr">
        <is>
          <t>대표전화</t>
        </is>
      </c>
      <c r="E22" s="17" t="inlineStr">
        <is>
          <t>061-722-8440</t>
        </is>
      </c>
      <c r="F22" s="17" t="inlineStr"/>
      <c r="G22" s="17" t="inlineStr">
        <is>
          <t>2026-07-06</t>
        </is>
      </c>
      <c r="H22" s="17" t="inlineStr">
        <is>
          <t>식품의약품안전처</t>
        </is>
      </c>
      <c r="I22" s="17" t="inlineStr">
        <is>
          <t>의약품 등 업체허가현황(제조소상세)</t>
        </is>
      </c>
      <c r="J22" s="17" t="inlineStr">
        <is>
          <t>https://www.data.go.kr/data/15095682/openapi.do</t>
        </is>
      </c>
      <c r="K22" s="17" t="inlineStr">
        <is>
          <t>2026-07-06</t>
        </is>
      </c>
      <c r="L22" s="17" t="inlineStr">
        <is>
          <t>A</t>
        </is>
      </c>
      <c r="M22" s="17" t="inlineStr">
        <is>
          <t>공장 대표번호</t>
        </is>
      </c>
    </row>
    <row r="23">
      <c r="A23" s="17" t="inlineStr">
        <is>
          <t>C023</t>
        </is>
      </c>
      <c r="B23" s="17" t="inlineStr">
        <is>
          <t>제노스</t>
        </is>
      </c>
      <c r="C23" s="17" t="inlineStr">
        <is>
          <t>주식회사제노스</t>
        </is>
      </c>
      <c r="D23" s="17" t="inlineStr">
        <is>
          <t>대표전화</t>
        </is>
      </c>
      <c r="E23" s="17" t="inlineStr">
        <is>
          <t>031-888-5100</t>
        </is>
      </c>
      <c r="F23" s="17" t="inlineStr"/>
      <c r="G23" s="17" t="inlineStr">
        <is>
          <t>2026-07-06</t>
        </is>
      </c>
      <c r="H23" s="17" t="inlineStr">
        <is>
          <t>식품의약품안전처</t>
        </is>
      </c>
      <c r="I23" s="17" t="inlineStr">
        <is>
          <t>의약품 등 업체허가현황(제조소상세)</t>
        </is>
      </c>
      <c r="J23" s="17" t="inlineStr">
        <is>
          <t>https://www.data.go.kr/data/15095682/openapi.do</t>
        </is>
      </c>
      <c r="K23" s="17" t="inlineStr">
        <is>
          <t>2026-07-06</t>
        </is>
      </c>
      <c r="L23" s="17" t="inlineStr">
        <is>
          <t>A</t>
        </is>
      </c>
      <c r="M23" s="17" t="inlineStr">
        <is>
          <t>공장 대표번호</t>
        </is>
      </c>
    </row>
    <row r="24">
      <c r="A24" s="17" t="inlineStr">
        <is>
          <t>C024</t>
        </is>
      </c>
      <c r="B24" s="17" t="inlineStr">
        <is>
          <t>비앤씨코리아</t>
        </is>
      </c>
      <c r="C24" s="17" t="inlineStr">
        <is>
          <t>(주)비앤씨코리아</t>
        </is>
      </c>
      <c r="D24" s="17" t="inlineStr">
        <is>
          <t>대표전화</t>
        </is>
      </c>
      <c r="E24" s="17" t="inlineStr">
        <is>
          <t>1599-0341</t>
        </is>
      </c>
      <c r="F24" s="17" t="inlineStr"/>
      <c r="G24" s="17" t="inlineStr">
        <is>
          <t>2026-07-06</t>
        </is>
      </c>
      <c r="H24" s="17" t="inlineStr">
        <is>
          <t>식품의약품안전처</t>
        </is>
      </c>
      <c r="I24" s="17" t="inlineStr">
        <is>
          <t>의약품 등 업체허가현황(제조소상세)</t>
        </is>
      </c>
      <c r="J24" s="17" t="inlineStr">
        <is>
          <t>https://www.data.go.kr/data/15095682/openapi.do</t>
        </is>
      </c>
      <c r="K24" s="17" t="inlineStr">
        <is>
          <t>2026-07-06</t>
        </is>
      </c>
      <c r="L24" s="17" t="inlineStr">
        <is>
          <t>A</t>
        </is>
      </c>
      <c r="M24" s="17" t="inlineStr">
        <is>
          <t>공장 대표번호</t>
        </is>
      </c>
    </row>
    <row r="25">
      <c r="A25" s="17" t="inlineStr">
        <is>
          <t>C025</t>
        </is>
      </c>
      <c r="B25" s="17" t="inlineStr">
        <is>
          <t>삼성산소</t>
        </is>
      </c>
      <c r="C25" s="17" t="inlineStr">
        <is>
          <t>삼성산소(주)</t>
        </is>
      </c>
      <c r="D25" s="17" t="inlineStr">
        <is>
          <t>대표전화</t>
        </is>
      </c>
      <c r="E25" s="17" t="inlineStr">
        <is>
          <t>043-232-6237</t>
        </is>
      </c>
      <c r="F25" s="17" t="inlineStr"/>
      <c r="G25" s="17" t="inlineStr">
        <is>
          <t>2026-07-06</t>
        </is>
      </c>
      <c r="H25" s="17" t="inlineStr">
        <is>
          <t>식품의약품안전처</t>
        </is>
      </c>
      <c r="I25" s="17" t="inlineStr">
        <is>
          <t>의약품 등 업체허가현황(제조소상세)</t>
        </is>
      </c>
      <c r="J25" s="17" t="inlineStr">
        <is>
          <t>https://www.data.go.kr/data/15095682/openapi.do</t>
        </is>
      </c>
      <c r="K25" s="17" t="inlineStr">
        <is>
          <t>2026-07-06</t>
        </is>
      </c>
      <c r="L25" s="17" t="inlineStr">
        <is>
          <t>A</t>
        </is>
      </c>
      <c r="M25" s="17" t="inlineStr">
        <is>
          <t>공장 대표번호</t>
        </is>
      </c>
    </row>
    <row r="26">
      <c r="A26" s="17" t="inlineStr">
        <is>
          <t>C026</t>
        </is>
      </c>
      <c r="B26" s="17" t="inlineStr">
        <is>
          <t>유니메드제약</t>
        </is>
      </c>
      <c r="C26" s="17" t="inlineStr">
        <is>
          <t>유니메드제약(주)</t>
        </is>
      </c>
      <c r="D26" s="17" t="inlineStr">
        <is>
          <t>대표전화</t>
        </is>
      </c>
      <c r="E26" s="17" t="inlineStr">
        <is>
          <t>02-424-2777</t>
        </is>
      </c>
      <c r="F26" s="17" t="inlineStr"/>
      <c r="G26" s="17" t="inlineStr">
        <is>
          <t>2026-07-06</t>
        </is>
      </c>
      <c r="H26" s="17" t="inlineStr">
        <is>
          <t>식품의약품안전처</t>
        </is>
      </c>
      <c r="I26" s="17" t="inlineStr">
        <is>
          <t>의약품 등 업체허가현황(제조소상세)</t>
        </is>
      </c>
      <c r="J26" s="17" t="inlineStr">
        <is>
          <t>https://www.data.go.kr/data/15095682/openapi.do</t>
        </is>
      </c>
      <c r="K26" s="17" t="inlineStr">
        <is>
          <t>2026-07-06</t>
        </is>
      </c>
      <c r="L26" s="17" t="inlineStr">
        <is>
          <t>A</t>
        </is>
      </c>
      <c r="M26" s="17" t="inlineStr">
        <is>
          <t>공장 대표번호</t>
        </is>
      </c>
    </row>
    <row r="27">
      <c r="A27" s="17" t="inlineStr">
        <is>
          <t>C028</t>
        </is>
      </c>
      <c r="B27" s="17" t="inlineStr">
        <is>
          <t>셀릭스</t>
        </is>
      </c>
      <c r="C27" s="17" t="inlineStr">
        <is>
          <t>(주)셀릭스</t>
        </is>
      </c>
      <c r="D27" s="17" t="inlineStr">
        <is>
          <t>대표전화</t>
        </is>
      </c>
      <c r="E27" s="17" t="inlineStr">
        <is>
          <t>8767777</t>
        </is>
      </c>
      <c r="F27" s="17" t="inlineStr"/>
      <c r="G27" s="17" t="inlineStr">
        <is>
          <t>2026-07-06</t>
        </is>
      </c>
      <c r="H27" s="17" t="inlineStr">
        <is>
          <t>식품의약품안전처</t>
        </is>
      </c>
      <c r="I27" s="17" t="inlineStr">
        <is>
          <t>의약품 등 업체허가현황(제조소상세)</t>
        </is>
      </c>
      <c r="J27" s="17" t="inlineStr">
        <is>
          <t>https://www.data.go.kr/data/15095682/openapi.do</t>
        </is>
      </c>
      <c r="K27" s="17" t="inlineStr">
        <is>
          <t>2026-07-06</t>
        </is>
      </c>
      <c r="L27" s="17" t="inlineStr">
        <is>
          <t>A</t>
        </is>
      </c>
      <c r="M27" s="17" t="inlineStr">
        <is>
          <t>공장 대표번호</t>
        </is>
      </c>
    </row>
    <row r="28">
      <c r="A28" s="17" t="inlineStr">
        <is>
          <t>C029</t>
        </is>
      </c>
      <c r="B28" s="17" t="inlineStr">
        <is>
          <t>아이월드제약</t>
        </is>
      </c>
      <c r="C28" s="17" t="inlineStr">
        <is>
          <t>(주)아이월드제약</t>
        </is>
      </c>
      <c r="D28" s="17" t="inlineStr">
        <is>
          <t>대표전화</t>
        </is>
      </c>
      <c r="E28" s="17" t="inlineStr">
        <is>
          <t>032-815-2751</t>
        </is>
      </c>
      <c r="F28" s="17" t="inlineStr"/>
      <c r="G28" s="17" t="inlineStr">
        <is>
          <t>2026-07-06</t>
        </is>
      </c>
      <c r="H28" s="17" t="inlineStr">
        <is>
          <t>식품의약품안전처</t>
        </is>
      </c>
      <c r="I28" s="17" t="inlineStr">
        <is>
          <t>의약품 등 업체허가현황(제조소상세)</t>
        </is>
      </c>
      <c r="J28" s="17" t="inlineStr">
        <is>
          <t>https://www.data.go.kr/data/15095682/openapi.do</t>
        </is>
      </c>
      <c r="K28" s="17" t="inlineStr">
        <is>
          <t>2026-07-06</t>
        </is>
      </c>
      <c r="L28" s="17" t="inlineStr">
        <is>
          <t>A</t>
        </is>
      </c>
      <c r="M28" s="17" t="inlineStr">
        <is>
          <t>공장 대표번호</t>
        </is>
      </c>
    </row>
    <row r="29">
      <c r="A29" s="17" t="inlineStr">
        <is>
          <t>C031</t>
        </is>
      </c>
      <c r="B29" s="17" t="inlineStr">
        <is>
          <t>라이프슈티컬</t>
        </is>
      </c>
      <c r="C29" s="17" t="inlineStr">
        <is>
          <t>라이프슈티컬</t>
        </is>
      </c>
      <c r="D29" s="17" t="inlineStr">
        <is>
          <t>대표전화</t>
        </is>
      </c>
      <c r="E29" s="17" t="inlineStr">
        <is>
          <t>043-652-8404</t>
        </is>
      </c>
      <c r="F29" s="17" t="inlineStr"/>
      <c r="G29" s="17" t="inlineStr">
        <is>
          <t>2026-07-06</t>
        </is>
      </c>
      <c r="H29" s="17" t="inlineStr">
        <is>
          <t>식품의약품안전처</t>
        </is>
      </c>
      <c r="I29" s="17" t="inlineStr">
        <is>
          <t>의약품 등 업체허가현황(제조소상세)</t>
        </is>
      </c>
      <c r="J29" s="17" t="inlineStr">
        <is>
          <t>https://www.data.go.kr/data/15095682/openapi.do</t>
        </is>
      </c>
      <c r="K29" s="17" t="inlineStr">
        <is>
          <t>2026-07-06</t>
        </is>
      </c>
      <c r="L29" s="17" t="inlineStr">
        <is>
          <t>A</t>
        </is>
      </c>
      <c r="M29" s="17" t="inlineStr">
        <is>
          <t>공장 대표번호</t>
        </is>
      </c>
    </row>
    <row r="30">
      <c r="A30" s="17" t="inlineStr">
        <is>
          <t>C032</t>
        </is>
      </c>
      <c r="B30" s="17" t="inlineStr">
        <is>
          <t>제주대학교병원</t>
        </is>
      </c>
      <c r="C30" s="17" t="inlineStr">
        <is>
          <t>제주대학교병원</t>
        </is>
      </c>
      <c r="D30" s="17" t="inlineStr">
        <is>
          <t>대표전화</t>
        </is>
      </c>
      <c r="E30" s="17" t="inlineStr">
        <is>
          <t>064-717-1301</t>
        </is>
      </c>
      <c r="F30" s="17" t="inlineStr"/>
      <c r="G30" s="17" t="inlineStr">
        <is>
          <t>2026-07-06</t>
        </is>
      </c>
      <c r="H30" s="17" t="inlineStr">
        <is>
          <t>식품의약품안전처</t>
        </is>
      </c>
      <c r="I30" s="17" t="inlineStr">
        <is>
          <t>의약품 등 업체허가현황(제조소상세)</t>
        </is>
      </c>
      <c r="J30" s="17" t="inlineStr">
        <is>
          <t>https://www.data.go.kr/data/15095682/openapi.do</t>
        </is>
      </c>
      <c r="K30" s="17" t="inlineStr">
        <is>
          <t>2026-07-06</t>
        </is>
      </c>
      <c r="L30" s="17" t="inlineStr">
        <is>
          <t>A</t>
        </is>
      </c>
      <c r="M30" s="17" t="inlineStr">
        <is>
          <t>공장 대표번호</t>
        </is>
      </c>
    </row>
    <row r="31">
      <c r="A31" s="17" t="inlineStr">
        <is>
          <t>C035</t>
        </is>
      </c>
      <c r="B31" s="17" t="inlineStr">
        <is>
          <t>화순전남대학병원</t>
        </is>
      </c>
      <c r="C31" s="17" t="inlineStr">
        <is>
          <t>화순전남대학병원</t>
        </is>
      </c>
      <c r="D31" s="17" t="inlineStr">
        <is>
          <t>대표전화</t>
        </is>
      </c>
      <c r="E31" s="17" t="inlineStr">
        <is>
          <t>061-379-7262</t>
        </is>
      </c>
      <c r="F31" s="17" t="inlineStr"/>
      <c r="G31" s="17" t="inlineStr">
        <is>
          <t>2026-07-06</t>
        </is>
      </c>
      <c r="H31" s="17" t="inlineStr">
        <is>
          <t>식품의약품안전처</t>
        </is>
      </c>
      <c r="I31" s="17" t="inlineStr">
        <is>
          <t>의약품 등 업체허가현황(제조소상세)</t>
        </is>
      </c>
      <c r="J31" s="17" t="inlineStr">
        <is>
          <t>https://www.data.go.kr/data/15095682/openapi.do</t>
        </is>
      </c>
      <c r="K31" s="17" t="inlineStr">
        <is>
          <t>2026-07-06</t>
        </is>
      </c>
      <c r="L31" s="17" t="inlineStr">
        <is>
          <t>A</t>
        </is>
      </c>
      <c r="M31" s="17" t="inlineStr">
        <is>
          <t>공장 대표번호</t>
        </is>
      </c>
    </row>
    <row r="32">
      <c r="A32" s="17" t="inlineStr">
        <is>
          <t>C036</t>
        </is>
      </c>
      <c r="B32" s="17" t="inlineStr">
        <is>
          <t>한국특수가스</t>
        </is>
      </c>
      <c r="C32" s="17" t="inlineStr">
        <is>
          <t>한국특수가스(주)</t>
        </is>
      </c>
      <c r="D32" s="17" t="inlineStr">
        <is>
          <t>대표전화</t>
        </is>
      </c>
      <c r="E32" s="17" t="inlineStr">
        <is>
          <t>0105185</t>
        </is>
      </c>
      <c r="F32" s="17" t="inlineStr"/>
      <c r="G32" s="17" t="inlineStr">
        <is>
          <t>2026-07-06</t>
        </is>
      </c>
      <c r="H32" s="17" t="inlineStr">
        <is>
          <t>식품의약품안전처</t>
        </is>
      </c>
      <c r="I32" s="17" t="inlineStr">
        <is>
          <t>의약품 등 업체허가현황(제조소상세)</t>
        </is>
      </c>
      <c r="J32" s="17" t="inlineStr">
        <is>
          <t>https://www.data.go.kr/data/15095682/openapi.do</t>
        </is>
      </c>
      <c r="K32" s="17" t="inlineStr">
        <is>
          <t>2026-07-06</t>
        </is>
      </c>
      <c r="L32" s="17" t="inlineStr">
        <is>
          <t>A</t>
        </is>
      </c>
      <c r="M32" s="17" t="inlineStr">
        <is>
          <t>공장 대표번호</t>
        </is>
      </c>
    </row>
    <row r="33">
      <c r="A33" s="17" t="inlineStr">
        <is>
          <t>C037</t>
        </is>
      </c>
      <c r="B33" s="17" t="inlineStr">
        <is>
          <t>큐로셀</t>
        </is>
      </c>
      <c r="C33" s="17" t="inlineStr">
        <is>
          <t>주식회사 큐로셀</t>
        </is>
      </c>
      <c r="D33" s="17" t="inlineStr">
        <is>
          <t>상장정보</t>
        </is>
      </c>
      <c r="E33" s="17" t="inlineStr">
        <is>
          <t>코스닥/372320</t>
        </is>
      </c>
      <c r="F33" s="17" t="inlineStr"/>
      <c r="G33" s="17" t="inlineStr">
        <is>
          <t>2026-07-06</t>
        </is>
      </c>
      <c r="H33" s="17" t="inlineStr">
        <is>
          <t>한국거래소 KIND</t>
        </is>
      </c>
      <c r="I33" s="17" t="inlineStr">
        <is>
          <t>상장법인목록</t>
        </is>
      </c>
      <c r="J33" s="17" t="inlineStr">
        <is>
          <t>https://kind.krx.co.kr</t>
        </is>
      </c>
      <c r="K33" s="17" t="inlineStr">
        <is>
          <t>2026-07-06</t>
        </is>
      </c>
      <c r="L33" s="17" t="inlineStr">
        <is>
          <t>A</t>
        </is>
      </c>
      <c r="M33" s="17" t="inlineStr"/>
    </row>
    <row r="34">
      <c r="A34" s="17" t="inlineStr">
        <is>
          <t>C037</t>
        </is>
      </c>
      <c r="B34" s="17" t="inlineStr">
        <is>
          <t>큐로셀</t>
        </is>
      </c>
      <c r="C34" s="17" t="inlineStr">
        <is>
          <t>주식회사 큐로셀</t>
        </is>
      </c>
      <c r="D34" s="17" t="inlineStr">
        <is>
          <t>홈페이지</t>
        </is>
      </c>
      <c r="E34" s="17" t="inlineStr">
        <is>
          <t>http://curocellbtx.com</t>
        </is>
      </c>
      <c r="F34" s="17" t="inlineStr"/>
      <c r="G34" s="17" t="inlineStr">
        <is>
          <t>2026-07-06</t>
        </is>
      </c>
      <c r="H34" s="17" t="inlineStr">
        <is>
          <t>한국거래소 KIND</t>
        </is>
      </c>
      <c r="I34" s="17" t="inlineStr">
        <is>
          <t>상장법인목록</t>
        </is>
      </c>
      <c r="J34" s="17" t="inlineStr">
        <is>
          <t>https://kind.krx.co.kr</t>
        </is>
      </c>
      <c r="K34" s="17" t="inlineStr">
        <is>
          <t>2026-07-06</t>
        </is>
      </c>
      <c r="L34" s="17" t="inlineStr">
        <is>
          <t>A</t>
        </is>
      </c>
      <c r="M34" s="17" t="inlineStr"/>
    </row>
    <row r="35">
      <c r="A35" s="17" t="inlineStr">
        <is>
          <t>C038</t>
        </is>
      </c>
      <c r="B35" s="17" t="inlineStr">
        <is>
          <t>한국코러스</t>
        </is>
      </c>
      <c r="C35" s="17" t="inlineStr">
        <is>
          <t>한국코러스(주)</t>
        </is>
      </c>
      <c r="D35" s="17" t="inlineStr">
        <is>
          <t>대표전화</t>
        </is>
      </c>
      <c r="E35" s="17" t="inlineStr">
        <is>
          <t>043-644-8457</t>
        </is>
      </c>
      <c r="F35" s="17" t="inlineStr"/>
      <c r="G35" s="17" t="inlineStr">
        <is>
          <t>2026-07-06</t>
        </is>
      </c>
      <c r="H35" s="17" t="inlineStr">
        <is>
          <t>식품의약품안전처</t>
        </is>
      </c>
      <c r="I35" s="17" t="inlineStr">
        <is>
          <t>의약품 등 업체허가현황(제조소상세)</t>
        </is>
      </c>
      <c r="J35" s="17" t="inlineStr">
        <is>
          <t>https://www.data.go.kr/data/15095682/openapi.do</t>
        </is>
      </c>
      <c r="K35" s="17" t="inlineStr">
        <is>
          <t>2026-07-06</t>
        </is>
      </c>
      <c r="L35" s="17" t="inlineStr">
        <is>
          <t>A</t>
        </is>
      </c>
      <c r="M35" s="17" t="inlineStr">
        <is>
          <t>공장 대표번호</t>
        </is>
      </c>
    </row>
    <row r="36">
      <c r="A36" s="17" t="inlineStr">
        <is>
          <t>C040</t>
        </is>
      </c>
      <c r="B36" s="17" t="inlineStr">
        <is>
          <t>엘앤씨바이오</t>
        </is>
      </c>
      <c r="C36" s="17" t="inlineStr">
        <is>
          <t>(주)엘앤씨바이오</t>
        </is>
      </c>
      <c r="D36" s="17" t="inlineStr">
        <is>
          <t>대표전화</t>
        </is>
      </c>
      <c r="E36" s="17" t="inlineStr">
        <is>
          <t>070-7720-0540</t>
        </is>
      </c>
      <c r="F36" s="17" t="inlineStr"/>
      <c r="G36" s="17" t="inlineStr">
        <is>
          <t>2026-07-06</t>
        </is>
      </c>
      <c r="H36" s="17" t="inlineStr">
        <is>
          <t>식품의약품안전처</t>
        </is>
      </c>
      <c r="I36" s="17" t="inlineStr">
        <is>
          <t>의약품 등 업체허가현황(제조소상세)</t>
        </is>
      </c>
      <c r="J36" s="17" t="inlineStr">
        <is>
          <t>https://www.data.go.kr/data/15095682/openapi.do</t>
        </is>
      </c>
      <c r="K36" s="17" t="inlineStr">
        <is>
          <t>2026-07-06</t>
        </is>
      </c>
      <c r="L36" s="17" t="inlineStr">
        <is>
          <t>A</t>
        </is>
      </c>
      <c r="M36" s="17" t="inlineStr">
        <is>
          <t>공장 대표번호</t>
        </is>
      </c>
    </row>
    <row r="37">
      <c r="A37" s="17" t="inlineStr">
        <is>
          <t>C040</t>
        </is>
      </c>
      <c r="B37" s="17" t="inlineStr">
        <is>
          <t>엘앤씨바이오</t>
        </is>
      </c>
      <c r="C37" s="17" t="inlineStr">
        <is>
          <t>(주)엘앤씨바이오</t>
        </is>
      </c>
      <c r="D37" s="17" t="inlineStr">
        <is>
          <t>상장정보</t>
        </is>
      </c>
      <c r="E37" s="17" t="inlineStr">
        <is>
          <t>코스닥/290650</t>
        </is>
      </c>
      <c r="F37" s="17" t="inlineStr"/>
      <c r="G37" s="17" t="inlineStr">
        <is>
          <t>2026-07-06</t>
        </is>
      </c>
      <c r="H37" s="17" t="inlineStr">
        <is>
          <t>한국거래소 KIND</t>
        </is>
      </c>
      <c r="I37" s="17" t="inlineStr">
        <is>
          <t>상장법인목록</t>
        </is>
      </c>
      <c r="J37" s="17" t="inlineStr">
        <is>
          <t>https://kind.krx.co.kr</t>
        </is>
      </c>
      <c r="K37" s="17" t="inlineStr">
        <is>
          <t>2026-07-06</t>
        </is>
      </c>
      <c r="L37" s="17" t="inlineStr">
        <is>
          <t>A</t>
        </is>
      </c>
      <c r="M37" s="17" t="inlineStr"/>
    </row>
    <row r="38">
      <c r="A38" s="17" t="inlineStr">
        <is>
          <t>C040</t>
        </is>
      </c>
      <c r="B38" s="17" t="inlineStr">
        <is>
          <t>엘앤씨바이오</t>
        </is>
      </c>
      <c r="C38" s="17" t="inlineStr">
        <is>
          <t>(주)엘앤씨바이오</t>
        </is>
      </c>
      <c r="D38" s="17" t="inlineStr">
        <is>
          <t>홈페이지</t>
        </is>
      </c>
      <c r="E38" s="17" t="inlineStr">
        <is>
          <t>http://www.lncbio.co.kr</t>
        </is>
      </c>
      <c r="F38" s="17" t="inlineStr"/>
      <c r="G38" s="17" t="inlineStr">
        <is>
          <t>2026-07-06</t>
        </is>
      </c>
      <c r="H38" s="17" t="inlineStr">
        <is>
          <t>한국거래소 KIND</t>
        </is>
      </c>
      <c r="I38" s="17" t="inlineStr">
        <is>
          <t>상장법인목록</t>
        </is>
      </c>
      <c r="J38" s="17" t="inlineStr">
        <is>
          <t>https://kind.krx.co.kr</t>
        </is>
      </c>
      <c r="K38" s="17" t="inlineStr">
        <is>
          <t>2026-07-06</t>
        </is>
      </c>
      <c r="L38" s="17" t="inlineStr">
        <is>
          <t>A</t>
        </is>
      </c>
      <c r="M38" s="17" t="inlineStr"/>
    </row>
    <row r="39">
      <c r="A39" s="17" t="inlineStr">
        <is>
          <t>C041</t>
        </is>
      </c>
      <c r="B39" s="17" t="inlineStr">
        <is>
          <t>퓨쳐켐</t>
        </is>
      </c>
      <c r="C39" s="17" t="inlineStr">
        <is>
          <t>(주)퓨쳐켐</t>
        </is>
      </c>
      <c r="D39" s="17" t="inlineStr">
        <is>
          <t>대표전화</t>
        </is>
      </c>
      <c r="E39" s="17" t="inlineStr">
        <is>
          <t>02-2038-2311</t>
        </is>
      </c>
      <c r="F39" s="17" t="inlineStr"/>
      <c r="G39" s="17" t="inlineStr">
        <is>
          <t>2026-07-06</t>
        </is>
      </c>
      <c r="H39" s="17" t="inlineStr">
        <is>
          <t>식품의약품안전처</t>
        </is>
      </c>
      <c r="I39" s="17" t="inlineStr">
        <is>
          <t>의약품 등 업체허가현황(제조소상세)</t>
        </is>
      </c>
      <c r="J39" s="17" t="inlineStr">
        <is>
          <t>https://www.data.go.kr/data/15095682/openapi.do</t>
        </is>
      </c>
      <c r="K39" s="17" t="inlineStr">
        <is>
          <t>2026-07-06</t>
        </is>
      </c>
      <c r="L39" s="17" t="inlineStr">
        <is>
          <t>A</t>
        </is>
      </c>
      <c r="M39" s="17" t="inlineStr">
        <is>
          <t>공장 대표번호</t>
        </is>
      </c>
    </row>
    <row r="40">
      <c r="A40" s="17" t="inlineStr">
        <is>
          <t>C041</t>
        </is>
      </c>
      <c r="B40" s="17" t="inlineStr">
        <is>
          <t>퓨쳐켐</t>
        </is>
      </c>
      <c r="C40" s="17" t="inlineStr">
        <is>
          <t>(주)퓨쳐켐</t>
        </is>
      </c>
      <c r="D40" s="17" t="inlineStr">
        <is>
          <t>상장정보</t>
        </is>
      </c>
      <c r="E40" s="17" t="inlineStr">
        <is>
          <t>코스닥/220100</t>
        </is>
      </c>
      <c r="F40" s="17" t="inlineStr"/>
      <c r="G40" s="17" t="inlineStr">
        <is>
          <t>2026-07-06</t>
        </is>
      </c>
      <c r="H40" s="17" t="inlineStr">
        <is>
          <t>한국거래소 KIND</t>
        </is>
      </c>
      <c r="I40" s="17" t="inlineStr">
        <is>
          <t>상장법인목록</t>
        </is>
      </c>
      <c r="J40" s="17" t="inlineStr">
        <is>
          <t>https://kind.krx.co.kr</t>
        </is>
      </c>
      <c r="K40" s="17" t="inlineStr">
        <is>
          <t>2026-07-06</t>
        </is>
      </c>
      <c r="L40" s="17" t="inlineStr">
        <is>
          <t>A</t>
        </is>
      </c>
      <c r="M40" s="17" t="inlineStr"/>
    </row>
    <row r="41">
      <c r="A41" s="17" t="inlineStr">
        <is>
          <t>C042</t>
        </is>
      </c>
      <c r="B41" s="17" t="inlineStr">
        <is>
          <t>동성제약</t>
        </is>
      </c>
      <c r="C41" s="17" t="inlineStr">
        <is>
          <t>동성제약(주)</t>
        </is>
      </c>
      <c r="D41" s="17" t="inlineStr">
        <is>
          <t>대표전화</t>
        </is>
      </c>
      <c r="E41" s="17" t="inlineStr">
        <is>
          <t>041-420-5430</t>
        </is>
      </c>
      <c r="F41" s="17" t="inlineStr"/>
      <c r="G41" s="17" t="inlineStr">
        <is>
          <t>2026-07-06</t>
        </is>
      </c>
      <c r="H41" s="17" t="inlineStr">
        <is>
          <t>식품의약품안전처</t>
        </is>
      </c>
      <c r="I41" s="17" t="inlineStr">
        <is>
          <t>의약품 등 업체허가현황(제조소상세)</t>
        </is>
      </c>
      <c r="J41" s="17" t="inlineStr">
        <is>
          <t>https://www.data.go.kr/data/15095682/openapi.do</t>
        </is>
      </c>
      <c r="K41" s="17" t="inlineStr">
        <is>
          <t>2026-07-06</t>
        </is>
      </c>
      <c r="L41" s="17" t="inlineStr">
        <is>
          <t>A</t>
        </is>
      </c>
      <c r="M41" s="17" t="inlineStr">
        <is>
          <t>공장 대표번호</t>
        </is>
      </c>
    </row>
    <row r="42">
      <c r="A42" s="17" t="inlineStr">
        <is>
          <t>C042</t>
        </is>
      </c>
      <c r="B42" s="17" t="inlineStr">
        <is>
          <t>동성제약</t>
        </is>
      </c>
      <c r="C42" s="17" t="inlineStr">
        <is>
          <t>동성제약(주)</t>
        </is>
      </c>
      <c r="D42" s="17" t="inlineStr">
        <is>
          <t>상장정보</t>
        </is>
      </c>
      <c r="E42" s="17" t="inlineStr">
        <is>
          <t>유가/002210</t>
        </is>
      </c>
      <c r="F42" s="17" t="inlineStr"/>
      <c r="G42" s="17" t="inlineStr">
        <is>
          <t>2026-07-06</t>
        </is>
      </c>
      <c r="H42" s="17" t="inlineStr">
        <is>
          <t>한국거래소 KIND</t>
        </is>
      </c>
      <c r="I42" s="17" t="inlineStr">
        <is>
          <t>상장법인목록</t>
        </is>
      </c>
      <c r="J42" s="17" t="inlineStr">
        <is>
          <t>https://kind.krx.co.kr</t>
        </is>
      </c>
      <c r="K42" s="17" t="inlineStr">
        <is>
          <t>2026-07-06</t>
        </is>
      </c>
      <c r="L42" s="17" t="inlineStr">
        <is>
          <t>A</t>
        </is>
      </c>
      <c r="M42" s="17" t="inlineStr"/>
    </row>
    <row r="43">
      <c r="A43" s="17" t="inlineStr">
        <is>
          <t>C042</t>
        </is>
      </c>
      <c r="B43" s="17" t="inlineStr">
        <is>
          <t>동성제약</t>
        </is>
      </c>
      <c r="C43" s="17" t="inlineStr">
        <is>
          <t>동성제약(주)</t>
        </is>
      </c>
      <c r="D43" s="17" t="inlineStr">
        <is>
          <t>홈페이지</t>
        </is>
      </c>
      <c r="E43" s="17" t="inlineStr">
        <is>
          <t>http://dongsung-pharm.co.kr</t>
        </is>
      </c>
      <c r="F43" s="17" t="inlineStr"/>
      <c r="G43" s="17" t="inlineStr">
        <is>
          <t>2026-07-06</t>
        </is>
      </c>
      <c r="H43" s="17" t="inlineStr">
        <is>
          <t>한국거래소 KIND</t>
        </is>
      </c>
      <c r="I43" s="17" t="inlineStr">
        <is>
          <t>상장법인목록</t>
        </is>
      </c>
      <c r="J43" s="17" t="inlineStr">
        <is>
          <t>https://kind.krx.co.kr</t>
        </is>
      </c>
      <c r="K43" s="17" t="inlineStr">
        <is>
          <t>2026-07-06</t>
        </is>
      </c>
      <c r="L43" s="17" t="inlineStr">
        <is>
          <t>A</t>
        </is>
      </c>
      <c r="M43" s="17" t="inlineStr"/>
    </row>
    <row r="44">
      <c r="A44" s="17" t="inlineStr">
        <is>
          <t>C044</t>
        </is>
      </c>
      <c r="B44" s="17" t="inlineStr">
        <is>
          <t>대우제약</t>
        </is>
      </c>
      <c r="C44" s="17" t="inlineStr">
        <is>
          <t>대우제약(주)</t>
        </is>
      </c>
      <c r="D44" s="17" t="inlineStr">
        <is>
          <t>대표전화</t>
        </is>
      </c>
      <c r="E44" s="17" t="inlineStr">
        <is>
          <t>051-2043-8314</t>
        </is>
      </c>
      <c r="F44" s="17" t="inlineStr"/>
      <c r="G44" s="17" t="inlineStr">
        <is>
          <t>2026-07-06</t>
        </is>
      </c>
      <c r="H44" s="17" t="inlineStr">
        <is>
          <t>식품의약품안전처</t>
        </is>
      </c>
      <c r="I44" s="17" t="inlineStr">
        <is>
          <t>의약품 등 업체허가현황(제조소상세)</t>
        </is>
      </c>
      <c r="J44" s="17" t="inlineStr">
        <is>
          <t>https://www.data.go.kr/data/15095682/openapi.do</t>
        </is>
      </c>
      <c r="K44" s="17" t="inlineStr">
        <is>
          <t>2026-07-06</t>
        </is>
      </c>
      <c r="L44" s="17" t="inlineStr">
        <is>
          <t>A</t>
        </is>
      </c>
      <c r="M44" s="17" t="inlineStr">
        <is>
          <t>공장 대표번호</t>
        </is>
      </c>
    </row>
    <row r="45">
      <c r="A45" s="17" t="inlineStr">
        <is>
          <t>C045</t>
        </is>
      </c>
      <c r="B45" s="17" t="inlineStr">
        <is>
          <t>삼성제약</t>
        </is>
      </c>
      <c r="C45" s="17" t="inlineStr">
        <is>
          <t>삼성제약(주)</t>
        </is>
      </c>
      <c r="D45" s="17" t="inlineStr">
        <is>
          <t>상장정보</t>
        </is>
      </c>
      <c r="E45" s="17" t="inlineStr">
        <is>
          <t>유가/001360</t>
        </is>
      </c>
      <c r="F45" s="17" t="inlineStr"/>
      <c r="G45" s="17" t="inlineStr">
        <is>
          <t>2026-07-06</t>
        </is>
      </c>
      <c r="H45" s="17" t="inlineStr">
        <is>
          <t>한국거래소 KIND</t>
        </is>
      </c>
      <c r="I45" s="17" t="inlineStr">
        <is>
          <t>상장법인목록</t>
        </is>
      </c>
      <c r="J45" s="17" t="inlineStr">
        <is>
          <t>https://kind.krx.co.kr</t>
        </is>
      </c>
      <c r="K45" s="17" t="inlineStr">
        <is>
          <t>2026-07-06</t>
        </is>
      </c>
      <c r="L45" s="17" t="inlineStr">
        <is>
          <t>A</t>
        </is>
      </c>
      <c r="M45" s="17" t="inlineStr"/>
    </row>
    <row r="46">
      <c r="A46" s="17" t="inlineStr">
        <is>
          <t>C045</t>
        </is>
      </c>
      <c r="B46" s="17" t="inlineStr">
        <is>
          <t>삼성제약</t>
        </is>
      </c>
      <c r="C46" s="17" t="inlineStr">
        <is>
          <t>삼성제약(주)</t>
        </is>
      </c>
      <c r="D46" s="17" t="inlineStr">
        <is>
          <t>홈페이지</t>
        </is>
      </c>
      <c r="E46" s="17" t="inlineStr">
        <is>
          <t>http://www.sspharm.co.kr</t>
        </is>
      </c>
      <c r="F46" s="17" t="inlineStr"/>
      <c r="G46" s="17" t="inlineStr">
        <is>
          <t>2026-07-06</t>
        </is>
      </c>
      <c r="H46" s="17" t="inlineStr">
        <is>
          <t>한국거래소 KIND</t>
        </is>
      </c>
      <c r="I46" s="17" t="inlineStr">
        <is>
          <t>상장법인목록</t>
        </is>
      </c>
      <c r="J46" s="17" t="inlineStr">
        <is>
          <t>https://kind.krx.co.kr</t>
        </is>
      </c>
      <c r="K46" s="17" t="inlineStr">
        <is>
          <t>2026-07-06</t>
        </is>
      </c>
      <c r="L46" s="17" t="inlineStr">
        <is>
          <t>A</t>
        </is>
      </c>
      <c r="M46" s="17" t="inlineStr"/>
    </row>
    <row r="47">
      <c r="A47" s="17" t="inlineStr">
        <is>
          <t>C046</t>
        </is>
      </c>
      <c r="B47" s="17" t="inlineStr">
        <is>
          <t>티디에스팜</t>
        </is>
      </c>
      <c r="C47" s="17" t="inlineStr">
        <is>
          <t>(주)티디에스팜</t>
        </is>
      </c>
      <c r="D47" s="17" t="inlineStr">
        <is>
          <t>대표전화</t>
        </is>
      </c>
      <c r="E47" s="17" t="inlineStr">
        <is>
          <t>031-8018-7340</t>
        </is>
      </c>
      <c r="F47" s="17" t="inlineStr"/>
      <c r="G47" s="17" t="inlineStr">
        <is>
          <t>2026-07-06</t>
        </is>
      </c>
      <c r="H47" s="17" t="inlineStr">
        <is>
          <t>식품의약품안전처</t>
        </is>
      </c>
      <c r="I47" s="17" t="inlineStr">
        <is>
          <t>의약품 등 업체허가현황(제조소상세)</t>
        </is>
      </c>
      <c r="J47" s="17" t="inlineStr">
        <is>
          <t>https://www.data.go.kr/data/15095682/openapi.do</t>
        </is>
      </c>
      <c r="K47" s="17" t="inlineStr">
        <is>
          <t>2026-07-06</t>
        </is>
      </c>
      <c r="L47" s="17" t="inlineStr">
        <is>
          <t>A</t>
        </is>
      </c>
      <c r="M47" s="17" t="inlineStr">
        <is>
          <t>공장 대표번호</t>
        </is>
      </c>
    </row>
    <row r="48">
      <c r="A48" s="17" t="inlineStr">
        <is>
          <t>C046</t>
        </is>
      </c>
      <c r="B48" s="17" t="inlineStr">
        <is>
          <t>티디에스팜</t>
        </is>
      </c>
      <c r="C48" s="17" t="inlineStr">
        <is>
          <t>(주)티디에스팜</t>
        </is>
      </c>
      <c r="D48" s="17" t="inlineStr">
        <is>
          <t>상장정보</t>
        </is>
      </c>
      <c r="E48" s="17" t="inlineStr">
        <is>
          <t>코스닥/464280</t>
        </is>
      </c>
      <c r="F48" s="17" t="inlineStr"/>
      <c r="G48" s="17" t="inlineStr">
        <is>
          <t>2026-07-06</t>
        </is>
      </c>
      <c r="H48" s="17" t="inlineStr">
        <is>
          <t>한국거래소 KIND</t>
        </is>
      </c>
      <c r="I48" s="17" t="inlineStr">
        <is>
          <t>상장법인목록</t>
        </is>
      </c>
      <c r="J48" s="17" t="inlineStr">
        <is>
          <t>https://kind.krx.co.kr</t>
        </is>
      </c>
      <c r="K48" s="17" t="inlineStr">
        <is>
          <t>2026-07-06</t>
        </is>
      </c>
      <c r="L48" s="17" t="inlineStr">
        <is>
          <t>A</t>
        </is>
      </c>
      <c r="M48" s="17" t="inlineStr"/>
    </row>
    <row r="49">
      <c r="A49" s="17" t="inlineStr">
        <is>
          <t>C046</t>
        </is>
      </c>
      <c r="B49" s="17" t="inlineStr">
        <is>
          <t>티디에스팜</t>
        </is>
      </c>
      <c r="C49" s="17" t="inlineStr">
        <is>
          <t>(주)티디에스팜</t>
        </is>
      </c>
      <c r="D49" s="17" t="inlineStr">
        <is>
          <t>홈페이지</t>
        </is>
      </c>
      <c r="E49" s="17" t="inlineStr">
        <is>
          <t>http://www.tdspharm.com</t>
        </is>
      </c>
      <c r="F49" s="17" t="inlineStr"/>
      <c r="G49" s="17" t="inlineStr">
        <is>
          <t>2026-07-06</t>
        </is>
      </c>
      <c r="H49" s="17" t="inlineStr">
        <is>
          <t>한국거래소 KIND</t>
        </is>
      </c>
      <c r="I49" s="17" t="inlineStr">
        <is>
          <t>상장법인목록</t>
        </is>
      </c>
      <c r="J49" s="17" t="inlineStr">
        <is>
          <t>https://kind.krx.co.kr</t>
        </is>
      </c>
      <c r="K49" s="17" t="inlineStr">
        <is>
          <t>2026-07-06</t>
        </is>
      </c>
      <c r="L49" s="17" t="inlineStr">
        <is>
          <t>A</t>
        </is>
      </c>
      <c r="M49" s="17" t="inlineStr"/>
    </row>
    <row r="50">
      <c r="A50" s="17" t="inlineStr">
        <is>
          <t>C047</t>
        </is>
      </c>
      <c r="B50" s="17" t="inlineStr">
        <is>
          <t>제이투가스</t>
        </is>
      </c>
      <c r="C50" s="17" t="inlineStr">
        <is>
          <t>주식회사제이투가스</t>
        </is>
      </c>
      <c r="D50" s="17" t="inlineStr">
        <is>
          <t>대표전화</t>
        </is>
      </c>
      <c r="E50" s="17" t="inlineStr">
        <is>
          <t>031-981-9942</t>
        </is>
      </c>
      <c r="F50" s="17" t="inlineStr"/>
      <c r="G50" s="17" t="inlineStr">
        <is>
          <t>2026-07-06</t>
        </is>
      </c>
      <c r="H50" s="17" t="inlineStr">
        <is>
          <t>식품의약품안전처</t>
        </is>
      </c>
      <c r="I50" s="17" t="inlineStr">
        <is>
          <t>의약품 등 업체허가현황(제조소상세)</t>
        </is>
      </c>
      <c r="J50" s="17" t="inlineStr">
        <is>
          <t>https://www.data.go.kr/data/15095682/openapi.do</t>
        </is>
      </c>
      <c r="K50" s="17" t="inlineStr">
        <is>
          <t>2026-07-06</t>
        </is>
      </c>
      <c r="L50" s="17" t="inlineStr">
        <is>
          <t>A</t>
        </is>
      </c>
      <c r="M50" s="17" t="inlineStr">
        <is>
          <t>공장 대표번호</t>
        </is>
      </c>
    </row>
    <row r="51">
      <c r="A51" s="17" t="inlineStr">
        <is>
          <t>C048</t>
        </is>
      </c>
      <c r="B51" s="17" t="inlineStr">
        <is>
          <t>휴비스트제약</t>
        </is>
      </c>
      <c r="C51" s="17" t="inlineStr">
        <is>
          <t>(주)휴비스트제약</t>
        </is>
      </c>
      <c r="D51" s="17" t="inlineStr">
        <is>
          <t>대표전화</t>
        </is>
      </c>
      <c r="E51" s="17" t="inlineStr">
        <is>
          <t>042-933-7901</t>
        </is>
      </c>
      <c r="F51" s="17" t="inlineStr"/>
      <c r="G51" s="17" t="inlineStr">
        <is>
          <t>2026-07-06</t>
        </is>
      </c>
      <c r="H51" s="17" t="inlineStr">
        <is>
          <t>식품의약품안전처</t>
        </is>
      </c>
      <c r="I51" s="17" t="inlineStr">
        <is>
          <t>의약품 등 업체허가현황(제조소상세)</t>
        </is>
      </c>
      <c r="J51" s="17" t="inlineStr">
        <is>
          <t>https://www.data.go.kr/data/15095682/openapi.do</t>
        </is>
      </c>
      <c r="K51" s="17" t="inlineStr">
        <is>
          <t>2026-07-06</t>
        </is>
      </c>
      <c r="L51" s="17" t="inlineStr">
        <is>
          <t>A</t>
        </is>
      </c>
      <c r="M51" s="17" t="inlineStr">
        <is>
          <t>공장 대표번호</t>
        </is>
      </c>
    </row>
    <row r="52">
      <c r="A52" s="17" t="inlineStr">
        <is>
          <t>C049</t>
        </is>
      </c>
      <c r="B52" s="17" t="inlineStr">
        <is>
          <t>동아에스티</t>
        </is>
      </c>
      <c r="C52" s="17" t="inlineStr">
        <is>
          <t>동아에스티(주)</t>
        </is>
      </c>
      <c r="D52" s="17" t="inlineStr">
        <is>
          <t>대표전화</t>
        </is>
      </c>
      <c r="E52" s="17" t="inlineStr">
        <is>
          <t>02-920-8208</t>
        </is>
      </c>
      <c r="F52" s="17" t="inlineStr"/>
      <c r="G52" s="17" t="inlineStr">
        <is>
          <t>2026-07-06</t>
        </is>
      </c>
      <c r="H52" s="17" t="inlineStr">
        <is>
          <t>식품의약품안전처</t>
        </is>
      </c>
      <c r="I52" s="17" t="inlineStr">
        <is>
          <t>의약품 등 업체허가현황(제조소상세)</t>
        </is>
      </c>
      <c r="J52" s="17" t="inlineStr">
        <is>
          <t>https://www.data.go.kr/data/15095682/openapi.do</t>
        </is>
      </c>
      <c r="K52" s="17" t="inlineStr">
        <is>
          <t>2026-07-06</t>
        </is>
      </c>
      <c r="L52" s="17" t="inlineStr">
        <is>
          <t>A</t>
        </is>
      </c>
      <c r="M52" s="17" t="inlineStr">
        <is>
          <t>공장 대표번호</t>
        </is>
      </c>
    </row>
    <row r="53">
      <c r="A53" s="17" t="inlineStr">
        <is>
          <t>C049</t>
        </is>
      </c>
      <c r="B53" s="17" t="inlineStr">
        <is>
          <t>동아에스티</t>
        </is>
      </c>
      <c r="C53" s="17" t="inlineStr">
        <is>
          <t>동아에스티(주)</t>
        </is>
      </c>
      <c r="D53" s="17" t="inlineStr">
        <is>
          <t>상장정보</t>
        </is>
      </c>
      <c r="E53" s="17" t="inlineStr">
        <is>
          <t>유가/170900</t>
        </is>
      </c>
      <c r="F53" s="17" t="inlineStr"/>
      <c r="G53" s="17" t="inlineStr">
        <is>
          <t>2026-07-06</t>
        </is>
      </c>
      <c r="H53" s="17" t="inlineStr">
        <is>
          <t>한국거래소 KIND</t>
        </is>
      </c>
      <c r="I53" s="17" t="inlineStr">
        <is>
          <t>상장법인목록</t>
        </is>
      </c>
      <c r="J53" s="17" t="inlineStr">
        <is>
          <t>https://kind.krx.co.kr</t>
        </is>
      </c>
      <c r="K53" s="17" t="inlineStr">
        <is>
          <t>2026-07-06</t>
        </is>
      </c>
      <c r="L53" s="17" t="inlineStr">
        <is>
          <t>A</t>
        </is>
      </c>
      <c r="M53" s="17" t="inlineStr"/>
    </row>
    <row r="54">
      <c r="A54" s="17" t="inlineStr">
        <is>
          <t>C049</t>
        </is>
      </c>
      <c r="B54" s="17" t="inlineStr">
        <is>
          <t>동아에스티</t>
        </is>
      </c>
      <c r="C54" s="17" t="inlineStr">
        <is>
          <t>동아에스티(주)</t>
        </is>
      </c>
      <c r="D54" s="17" t="inlineStr">
        <is>
          <t>홈페이지</t>
        </is>
      </c>
      <c r="E54" s="17" t="inlineStr">
        <is>
          <t>http://www.donga.co.kr</t>
        </is>
      </c>
      <c r="F54" s="17" t="inlineStr"/>
      <c r="G54" s="17" t="inlineStr">
        <is>
          <t>2026-07-06</t>
        </is>
      </c>
      <c r="H54" s="17" t="inlineStr">
        <is>
          <t>한국거래소 KIND</t>
        </is>
      </c>
      <c r="I54" s="17" t="inlineStr">
        <is>
          <t>상장법인목록</t>
        </is>
      </c>
      <c r="J54" s="17" t="inlineStr">
        <is>
          <t>https://kind.krx.co.kr</t>
        </is>
      </c>
      <c r="K54" s="17" t="inlineStr">
        <is>
          <t>2026-07-06</t>
        </is>
      </c>
      <c r="L54" s="17" t="inlineStr">
        <is>
          <t>A</t>
        </is>
      </c>
      <c r="M54" s="17" t="inlineStr"/>
    </row>
    <row r="55">
      <c r="A55" s="17" t="inlineStr">
        <is>
          <t>C050</t>
        </is>
      </c>
      <c r="B55" s="17" t="inlineStr">
        <is>
          <t>유바이오로직스</t>
        </is>
      </c>
      <c r="C55" s="17" t="inlineStr">
        <is>
          <t>(주)유바이오로직스</t>
        </is>
      </c>
      <c r="D55" s="17" t="inlineStr">
        <is>
          <t>대표전화</t>
        </is>
      </c>
      <c r="E55" s="17" t="inlineStr">
        <is>
          <t>070-4235-1105</t>
        </is>
      </c>
      <c r="F55" s="17" t="inlineStr"/>
      <c r="G55" s="17" t="inlineStr">
        <is>
          <t>2026-07-06</t>
        </is>
      </c>
      <c r="H55" s="17" t="inlineStr">
        <is>
          <t>식품의약품안전처</t>
        </is>
      </c>
      <c r="I55" s="17" t="inlineStr">
        <is>
          <t>의약품 등 업체허가현황(제조소상세)</t>
        </is>
      </c>
      <c r="J55" s="17" t="inlineStr">
        <is>
          <t>https://www.data.go.kr/data/15095682/openapi.do</t>
        </is>
      </c>
      <c r="K55" s="17" t="inlineStr">
        <is>
          <t>2026-07-06</t>
        </is>
      </c>
      <c r="L55" s="17" t="inlineStr">
        <is>
          <t>A</t>
        </is>
      </c>
      <c r="M55" s="17" t="inlineStr">
        <is>
          <t>공장 대표번호</t>
        </is>
      </c>
    </row>
    <row r="56">
      <c r="A56" s="17" t="inlineStr">
        <is>
          <t>C050</t>
        </is>
      </c>
      <c r="B56" s="17" t="inlineStr">
        <is>
          <t>유바이오로직스</t>
        </is>
      </c>
      <c r="C56" s="17" t="inlineStr">
        <is>
          <t>(주)유바이오로직스</t>
        </is>
      </c>
      <c r="D56" s="17" t="inlineStr">
        <is>
          <t>상장정보</t>
        </is>
      </c>
      <c r="E56" s="17" t="inlineStr">
        <is>
          <t>코스닥/206650</t>
        </is>
      </c>
      <c r="F56" s="17" t="inlineStr"/>
      <c r="G56" s="17" t="inlineStr">
        <is>
          <t>2026-07-06</t>
        </is>
      </c>
      <c r="H56" s="17" t="inlineStr">
        <is>
          <t>한국거래소 KIND</t>
        </is>
      </c>
      <c r="I56" s="17" t="inlineStr">
        <is>
          <t>상장법인목록</t>
        </is>
      </c>
      <c r="J56" s="17" t="inlineStr">
        <is>
          <t>https://kind.krx.co.kr</t>
        </is>
      </c>
      <c r="K56" s="17" t="inlineStr">
        <is>
          <t>2026-07-06</t>
        </is>
      </c>
      <c r="L56" s="17" t="inlineStr">
        <is>
          <t>A</t>
        </is>
      </c>
      <c r="M56" s="17" t="inlineStr"/>
    </row>
    <row r="57">
      <c r="A57" s="17" t="inlineStr">
        <is>
          <t>C050</t>
        </is>
      </c>
      <c r="B57" s="17" t="inlineStr">
        <is>
          <t>유바이오로직스</t>
        </is>
      </c>
      <c r="C57" s="17" t="inlineStr">
        <is>
          <t>(주)유바이오로직스</t>
        </is>
      </c>
      <c r="D57" s="17" t="inlineStr">
        <is>
          <t>홈페이지</t>
        </is>
      </c>
      <c r="E57" s="17" t="inlineStr">
        <is>
          <t>http://www.eubiologics.com</t>
        </is>
      </c>
      <c r="F57" s="17" t="inlineStr"/>
      <c r="G57" s="17" t="inlineStr">
        <is>
          <t>2026-07-06</t>
        </is>
      </c>
      <c r="H57" s="17" t="inlineStr">
        <is>
          <t>한국거래소 KIND</t>
        </is>
      </c>
      <c r="I57" s="17" t="inlineStr">
        <is>
          <t>상장법인목록</t>
        </is>
      </c>
      <c r="J57" s="17" t="inlineStr">
        <is>
          <t>https://kind.krx.co.kr</t>
        </is>
      </c>
      <c r="K57" s="17" t="inlineStr">
        <is>
          <t>2026-07-06</t>
        </is>
      </c>
      <c r="L57" s="17" t="inlineStr">
        <is>
          <t>A</t>
        </is>
      </c>
      <c r="M57" s="17" t="inlineStr"/>
    </row>
    <row r="58">
      <c r="A58" s="17" t="inlineStr">
        <is>
          <t>C051</t>
        </is>
      </c>
      <c r="B58" s="17" t="inlineStr">
        <is>
          <t>성일바이오엑스</t>
        </is>
      </c>
      <c r="C58" s="17" t="inlineStr">
        <is>
          <t>(주)성일바이오엑스</t>
        </is>
      </c>
      <c r="D58" s="17" t="inlineStr">
        <is>
          <t>대표전화</t>
        </is>
      </c>
      <c r="E58" s="17" t="inlineStr">
        <is>
          <t>031-355-4371</t>
        </is>
      </c>
      <c r="F58" s="17" t="inlineStr"/>
      <c r="G58" s="17" t="inlineStr">
        <is>
          <t>2026-07-06</t>
        </is>
      </c>
      <c r="H58" s="17" t="inlineStr">
        <is>
          <t>식품의약품안전처</t>
        </is>
      </c>
      <c r="I58" s="17" t="inlineStr">
        <is>
          <t>의약품 등 업체허가현황(제조소상세)</t>
        </is>
      </c>
      <c r="J58" s="17" t="inlineStr">
        <is>
          <t>https://www.data.go.kr/data/15095682/openapi.do</t>
        </is>
      </c>
      <c r="K58" s="17" t="inlineStr">
        <is>
          <t>2026-07-06</t>
        </is>
      </c>
      <c r="L58" s="17" t="inlineStr">
        <is>
          <t>A</t>
        </is>
      </c>
      <c r="M58" s="17" t="inlineStr">
        <is>
          <t>공장 대표번호</t>
        </is>
      </c>
    </row>
    <row r="59">
      <c r="A59" s="17" t="inlineStr">
        <is>
          <t>C052</t>
        </is>
      </c>
      <c r="B59" s="17" t="inlineStr">
        <is>
          <t>영일제약</t>
        </is>
      </c>
      <c r="C59" s="17" t="inlineStr">
        <is>
          <t>영일제약(주)</t>
        </is>
      </c>
      <c r="D59" s="17" t="inlineStr">
        <is>
          <t>대표전화</t>
        </is>
      </c>
      <c r="E59" s="17" t="inlineStr">
        <is>
          <t>02-522-0150</t>
        </is>
      </c>
      <c r="F59" s="17" t="inlineStr"/>
      <c r="G59" s="17" t="inlineStr">
        <is>
          <t>2026-07-06</t>
        </is>
      </c>
      <c r="H59" s="17" t="inlineStr">
        <is>
          <t>식품의약품안전처</t>
        </is>
      </c>
      <c r="I59" s="17" t="inlineStr">
        <is>
          <t>의약품 등 업체허가현황(제조소상세)</t>
        </is>
      </c>
      <c r="J59" s="17" t="inlineStr">
        <is>
          <t>https://www.data.go.kr/data/15095682/openapi.do</t>
        </is>
      </c>
      <c r="K59" s="17" t="inlineStr">
        <is>
          <t>2026-07-06</t>
        </is>
      </c>
      <c r="L59" s="17" t="inlineStr">
        <is>
          <t>A</t>
        </is>
      </c>
      <c r="M59" s="17" t="inlineStr">
        <is>
          <t>공장 대표번호</t>
        </is>
      </c>
    </row>
    <row r="60">
      <c r="A60" s="17" t="inlineStr">
        <is>
          <t>C053</t>
        </is>
      </c>
      <c r="B60" s="17" t="inlineStr">
        <is>
          <t>퓨쳐켐헬스케어</t>
        </is>
      </c>
      <c r="C60" s="17" t="inlineStr">
        <is>
          <t>(주)퓨쳐켐헬스케어</t>
        </is>
      </c>
      <c r="D60" s="17" t="inlineStr">
        <is>
          <t>대표전화</t>
        </is>
      </c>
      <c r="E60" s="17" t="inlineStr">
        <is>
          <t>051-253-1175</t>
        </is>
      </c>
      <c r="F60" s="17" t="inlineStr"/>
      <c r="G60" s="17" t="inlineStr">
        <is>
          <t>2026-07-06</t>
        </is>
      </c>
      <c r="H60" s="17" t="inlineStr">
        <is>
          <t>식품의약품안전처</t>
        </is>
      </c>
      <c r="I60" s="17" t="inlineStr">
        <is>
          <t>의약품 등 업체허가현황(제조소상세)</t>
        </is>
      </c>
      <c r="J60" s="17" t="inlineStr">
        <is>
          <t>https://www.data.go.kr/data/15095682/openapi.do</t>
        </is>
      </c>
      <c r="K60" s="17" t="inlineStr">
        <is>
          <t>2026-07-06</t>
        </is>
      </c>
      <c r="L60" s="17" t="inlineStr">
        <is>
          <t>A</t>
        </is>
      </c>
      <c r="M60" s="17" t="inlineStr">
        <is>
          <t>공장 대표번호</t>
        </is>
      </c>
    </row>
    <row r="61">
      <c r="A61" s="17" t="inlineStr">
        <is>
          <t>C054</t>
        </is>
      </c>
      <c r="B61" s="17" t="inlineStr">
        <is>
          <t>에스티팜</t>
        </is>
      </c>
      <c r="C61" s="17" t="inlineStr">
        <is>
          <t>에스티팜주식회사</t>
        </is>
      </c>
      <c r="D61" s="17" t="inlineStr">
        <is>
          <t>상장정보</t>
        </is>
      </c>
      <c r="E61" s="17" t="inlineStr">
        <is>
          <t>코스닥/237690</t>
        </is>
      </c>
      <c r="F61" s="17" t="inlineStr"/>
      <c r="G61" s="17" t="inlineStr">
        <is>
          <t>2026-07-06</t>
        </is>
      </c>
      <c r="H61" s="17" t="inlineStr">
        <is>
          <t>한국거래소 KIND</t>
        </is>
      </c>
      <c r="I61" s="17" t="inlineStr">
        <is>
          <t>상장법인목록</t>
        </is>
      </c>
      <c r="J61" s="17" t="inlineStr">
        <is>
          <t>https://kind.krx.co.kr</t>
        </is>
      </c>
      <c r="K61" s="17" t="inlineStr">
        <is>
          <t>2026-07-06</t>
        </is>
      </c>
      <c r="L61" s="17" t="inlineStr">
        <is>
          <t>A</t>
        </is>
      </c>
      <c r="M61" s="17" t="inlineStr"/>
    </row>
    <row r="62">
      <c r="A62" s="17" t="inlineStr">
        <is>
          <t>C054</t>
        </is>
      </c>
      <c r="B62" s="17" t="inlineStr">
        <is>
          <t>에스티팜</t>
        </is>
      </c>
      <c r="C62" s="17" t="inlineStr">
        <is>
          <t>에스티팜주식회사</t>
        </is>
      </c>
      <c r="D62" s="17" t="inlineStr">
        <is>
          <t>홈페이지</t>
        </is>
      </c>
      <c r="E62" s="17" t="inlineStr">
        <is>
          <t>http://www.stpharm.co.kr</t>
        </is>
      </c>
      <c r="F62" s="17" t="inlineStr"/>
      <c r="G62" s="17" t="inlineStr">
        <is>
          <t>2026-07-06</t>
        </is>
      </c>
      <c r="H62" s="17" t="inlineStr">
        <is>
          <t>한국거래소 KIND</t>
        </is>
      </c>
      <c r="I62" s="17" t="inlineStr">
        <is>
          <t>상장법인목록</t>
        </is>
      </c>
      <c r="J62" s="17" t="inlineStr">
        <is>
          <t>https://kind.krx.co.kr</t>
        </is>
      </c>
      <c r="K62" s="17" t="inlineStr">
        <is>
          <t>2026-07-06</t>
        </is>
      </c>
      <c r="L62" s="17" t="inlineStr">
        <is>
          <t>A</t>
        </is>
      </c>
      <c r="M62" s="17" t="inlineStr"/>
    </row>
    <row r="63">
      <c r="A63" s="17" t="inlineStr">
        <is>
          <t>C055</t>
        </is>
      </c>
      <c r="B63" s="17" t="inlineStr">
        <is>
          <t>나주신일가스</t>
        </is>
      </c>
      <c r="C63" s="17" t="inlineStr">
        <is>
          <t>나주신일가스주식회사</t>
        </is>
      </c>
      <c r="D63" s="17" t="inlineStr">
        <is>
          <t>대표전화</t>
        </is>
      </c>
      <c r="E63" s="17" t="inlineStr">
        <is>
          <t>061-335-9955</t>
        </is>
      </c>
      <c r="F63" s="17" t="inlineStr"/>
      <c r="G63" s="17" t="inlineStr">
        <is>
          <t>2026-07-06</t>
        </is>
      </c>
      <c r="H63" s="17" t="inlineStr">
        <is>
          <t>식품의약품안전처</t>
        </is>
      </c>
      <c r="I63" s="17" t="inlineStr">
        <is>
          <t>의약품 등 업체허가현황(제조소상세)</t>
        </is>
      </c>
      <c r="J63" s="17" t="inlineStr">
        <is>
          <t>https://www.data.go.kr/data/15095682/openapi.do</t>
        </is>
      </c>
      <c r="K63" s="17" t="inlineStr">
        <is>
          <t>2026-07-06</t>
        </is>
      </c>
      <c r="L63" s="17" t="inlineStr">
        <is>
          <t>A</t>
        </is>
      </c>
      <c r="M63" s="17" t="inlineStr">
        <is>
          <t>공장 대표번호</t>
        </is>
      </c>
    </row>
    <row r="64">
      <c r="A64" s="17" t="inlineStr">
        <is>
          <t>C056</t>
        </is>
      </c>
      <c r="B64" s="17" t="inlineStr">
        <is>
          <t>그린제약</t>
        </is>
      </c>
      <c r="C64" s="17" t="inlineStr">
        <is>
          <t>(주)그린제약</t>
        </is>
      </c>
      <c r="D64" s="17" t="inlineStr">
        <is>
          <t>대표전화</t>
        </is>
      </c>
      <c r="E64" s="17" t="inlineStr">
        <is>
          <t>043-534-1144</t>
        </is>
      </c>
      <c r="F64" s="17" t="inlineStr"/>
      <c r="G64" s="17" t="inlineStr">
        <is>
          <t>2026-07-06</t>
        </is>
      </c>
      <c r="H64" s="17" t="inlineStr">
        <is>
          <t>식품의약품안전처</t>
        </is>
      </c>
      <c r="I64" s="17" t="inlineStr">
        <is>
          <t>의약품 등 업체허가현황(제조소상세)</t>
        </is>
      </c>
      <c r="J64" s="17" t="inlineStr">
        <is>
          <t>https://www.data.go.kr/data/15095682/openapi.do</t>
        </is>
      </c>
      <c r="K64" s="17" t="inlineStr">
        <is>
          <t>2026-07-06</t>
        </is>
      </c>
      <c r="L64" s="17" t="inlineStr">
        <is>
          <t>A</t>
        </is>
      </c>
      <c r="M64" s="17" t="inlineStr">
        <is>
          <t>공장 대표번호</t>
        </is>
      </c>
    </row>
    <row r="65">
      <c r="A65" s="17" t="inlineStr">
        <is>
          <t>C057</t>
        </is>
      </c>
      <c r="B65" s="17" t="inlineStr">
        <is>
          <t>보락</t>
        </is>
      </c>
      <c r="C65" s="17" t="inlineStr">
        <is>
          <t>(주)보락</t>
        </is>
      </c>
      <c r="D65" s="17" t="inlineStr">
        <is>
          <t>상장정보</t>
        </is>
      </c>
      <c r="E65" s="17" t="inlineStr">
        <is>
          <t>유가/002760</t>
        </is>
      </c>
      <c r="F65" s="17" t="inlineStr"/>
      <c r="G65" s="17" t="inlineStr">
        <is>
          <t>2026-07-06</t>
        </is>
      </c>
      <c r="H65" s="17" t="inlineStr">
        <is>
          <t>한국거래소 KIND</t>
        </is>
      </c>
      <c r="I65" s="17" t="inlineStr">
        <is>
          <t>상장법인목록</t>
        </is>
      </c>
      <c r="J65" s="17" t="inlineStr">
        <is>
          <t>https://kind.krx.co.kr</t>
        </is>
      </c>
      <c r="K65" s="17" t="inlineStr">
        <is>
          <t>2026-07-06</t>
        </is>
      </c>
      <c r="L65" s="17" t="inlineStr">
        <is>
          <t>A</t>
        </is>
      </c>
      <c r="M65" s="17" t="inlineStr"/>
    </row>
    <row r="66">
      <c r="A66" s="17" t="inlineStr">
        <is>
          <t>C057</t>
        </is>
      </c>
      <c r="B66" s="17" t="inlineStr">
        <is>
          <t>보락</t>
        </is>
      </c>
      <c r="C66" s="17" t="inlineStr">
        <is>
          <t>(주)보락</t>
        </is>
      </c>
      <c r="D66" s="17" t="inlineStr">
        <is>
          <t>홈페이지</t>
        </is>
      </c>
      <c r="E66" s="17" t="inlineStr">
        <is>
          <t>http://www.bolak.co.kr</t>
        </is>
      </c>
      <c r="F66" s="17" t="inlineStr"/>
      <c r="G66" s="17" t="inlineStr">
        <is>
          <t>2026-07-06</t>
        </is>
      </c>
      <c r="H66" s="17" t="inlineStr">
        <is>
          <t>한국거래소 KIND</t>
        </is>
      </c>
      <c r="I66" s="17" t="inlineStr">
        <is>
          <t>상장법인목록</t>
        </is>
      </c>
      <c r="J66" s="17" t="inlineStr">
        <is>
          <t>https://kind.krx.co.kr</t>
        </is>
      </c>
      <c r="K66" s="17" t="inlineStr">
        <is>
          <t>2026-07-06</t>
        </is>
      </c>
      <c r="L66" s="17" t="inlineStr">
        <is>
          <t>A</t>
        </is>
      </c>
      <c r="M66" s="17" t="inlineStr"/>
    </row>
    <row r="67">
      <c r="A67" s="17" t="inlineStr">
        <is>
          <t>C058</t>
        </is>
      </c>
      <c r="B67" s="17" t="inlineStr">
        <is>
          <t>메디포스트</t>
        </is>
      </c>
      <c r="C67" s="17" t="inlineStr">
        <is>
          <t>메디포스트(주)</t>
        </is>
      </c>
      <c r="D67" s="17" t="inlineStr">
        <is>
          <t>상장정보</t>
        </is>
      </c>
      <c r="E67" s="17" t="inlineStr">
        <is>
          <t>코스닥/078160</t>
        </is>
      </c>
      <c r="F67" s="17" t="inlineStr"/>
      <c r="G67" s="17" t="inlineStr">
        <is>
          <t>2026-07-06</t>
        </is>
      </c>
      <c r="H67" s="17" t="inlineStr">
        <is>
          <t>한국거래소 KIND</t>
        </is>
      </c>
      <c r="I67" s="17" t="inlineStr">
        <is>
          <t>상장법인목록</t>
        </is>
      </c>
      <c r="J67" s="17" t="inlineStr">
        <is>
          <t>https://kind.krx.co.kr</t>
        </is>
      </c>
      <c r="K67" s="17" t="inlineStr">
        <is>
          <t>2026-07-06</t>
        </is>
      </c>
      <c r="L67" s="17" t="inlineStr">
        <is>
          <t>A</t>
        </is>
      </c>
      <c r="M67" s="17" t="inlineStr"/>
    </row>
    <row r="68">
      <c r="A68" s="17" t="inlineStr">
        <is>
          <t>C058</t>
        </is>
      </c>
      <c r="B68" s="17" t="inlineStr">
        <is>
          <t>메디포스트</t>
        </is>
      </c>
      <c r="C68" s="17" t="inlineStr">
        <is>
          <t>메디포스트(주)</t>
        </is>
      </c>
      <c r="D68" s="17" t="inlineStr">
        <is>
          <t>홈페이지</t>
        </is>
      </c>
      <c r="E68" s="17" t="inlineStr">
        <is>
          <t>http://www.medi-post.co.kr</t>
        </is>
      </c>
      <c r="F68" s="17" t="inlineStr"/>
      <c r="G68" s="17" t="inlineStr">
        <is>
          <t>2026-07-06</t>
        </is>
      </c>
      <c r="H68" s="17" t="inlineStr">
        <is>
          <t>한국거래소 KIND</t>
        </is>
      </c>
      <c r="I68" s="17" t="inlineStr">
        <is>
          <t>상장법인목록</t>
        </is>
      </c>
      <c r="J68" s="17" t="inlineStr">
        <is>
          <t>https://kind.krx.co.kr</t>
        </is>
      </c>
      <c r="K68" s="17" t="inlineStr">
        <is>
          <t>2026-07-06</t>
        </is>
      </c>
      <c r="L68" s="17" t="inlineStr">
        <is>
          <t>A</t>
        </is>
      </c>
      <c r="M68" s="17" t="inlineStr"/>
    </row>
    <row r="69">
      <c r="A69" s="17" t="inlineStr">
        <is>
          <t>C060</t>
        </is>
      </c>
      <c r="B69" s="17" t="inlineStr">
        <is>
          <t>제테마</t>
        </is>
      </c>
      <c r="C69" s="17" t="inlineStr">
        <is>
          <t>(주)제테마</t>
        </is>
      </c>
      <c r="D69" s="17" t="inlineStr">
        <is>
          <t>상장정보</t>
        </is>
      </c>
      <c r="E69" s="17" t="inlineStr">
        <is>
          <t>코스닥/216080</t>
        </is>
      </c>
      <c r="F69" s="17" t="inlineStr"/>
      <c r="G69" s="17" t="inlineStr">
        <is>
          <t>2026-07-06</t>
        </is>
      </c>
      <c r="H69" s="17" t="inlineStr">
        <is>
          <t>한국거래소 KIND</t>
        </is>
      </c>
      <c r="I69" s="17" t="inlineStr">
        <is>
          <t>상장법인목록</t>
        </is>
      </c>
      <c r="J69" s="17" t="inlineStr">
        <is>
          <t>https://kind.krx.co.kr</t>
        </is>
      </c>
      <c r="K69" s="17" t="inlineStr">
        <is>
          <t>2026-07-06</t>
        </is>
      </c>
      <c r="L69" s="17" t="inlineStr">
        <is>
          <t>A</t>
        </is>
      </c>
      <c r="M69" s="17" t="inlineStr"/>
    </row>
    <row r="70">
      <c r="A70" s="17" t="inlineStr">
        <is>
          <t>C060</t>
        </is>
      </c>
      <c r="B70" s="17" t="inlineStr">
        <is>
          <t>제테마</t>
        </is>
      </c>
      <c r="C70" s="17" t="inlineStr">
        <is>
          <t>(주)제테마</t>
        </is>
      </c>
      <c r="D70" s="17" t="inlineStr">
        <is>
          <t>홈페이지</t>
        </is>
      </c>
      <c r="E70" s="17" t="inlineStr">
        <is>
          <t>http://www.jetema.com</t>
        </is>
      </c>
      <c r="F70" s="17" t="inlineStr"/>
      <c r="G70" s="17" t="inlineStr">
        <is>
          <t>2026-07-06</t>
        </is>
      </c>
      <c r="H70" s="17" t="inlineStr">
        <is>
          <t>한국거래소 KIND</t>
        </is>
      </c>
      <c r="I70" s="17" t="inlineStr">
        <is>
          <t>상장법인목록</t>
        </is>
      </c>
      <c r="J70" s="17" t="inlineStr">
        <is>
          <t>https://kind.krx.co.kr</t>
        </is>
      </c>
      <c r="K70" s="17" t="inlineStr">
        <is>
          <t>2026-07-06</t>
        </is>
      </c>
      <c r="L70" s="17" t="inlineStr">
        <is>
          <t>A</t>
        </is>
      </c>
      <c r="M70" s="17" t="inlineStr"/>
    </row>
    <row r="71">
      <c r="A71" s="17" t="inlineStr">
        <is>
          <t>C061</t>
        </is>
      </c>
      <c r="B71" s="17" t="inlineStr">
        <is>
          <t>시어스제약</t>
        </is>
      </c>
      <c r="C71" s="17" t="inlineStr">
        <is>
          <t>(주)시어스제약</t>
        </is>
      </c>
      <c r="D71" s="17" t="inlineStr">
        <is>
          <t>대표전화</t>
        </is>
      </c>
      <c r="E71" s="17" t="inlineStr">
        <is>
          <t>070-4105-8155</t>
        </is>
      </c>
      <c r="F71" s="17" t="inlineStr"/>
      <c r="G71" s="17" t="inlineStr">
        <is>
          <t>2026-07-06</t>
        </is>
      </c>
      <c r="H71" s="17" t="inlineStr">
        <is>
          <t>식품의약품안전처</t>
        </is>
      </c>
      <c r="I71" s="17" t="inlineStr">
        <is>
          <t>의약품 등 업체허가현황(제조소상세)</t>
        </is>
      </c>
      <c r="J71" s="17" t="inlineStr">
        <is>
          <t>https://www.data.go.kr/data/15095682/openapi.do</t>
        </is>
      </c>
      <c r="K71" s="17" t="inlineStr">
        <is>
          <t>2026-07-06</t>
        </is>
      </c>
      <c r="L71" s="17" t="inlineStr">
        <is>
          <t>A</t>
        </is>
      </c>
      <c r="M71" s="17" t="inlineStr">
        <is>
          <t>공장 대표번호</t>
        </is>
      </c>
    </row>
    <row r="72">
      <c r="A72" s="17" t="inlineStr">
        <is>
          <t>C062</t>
        </is>
      </c>
      <c r="B72" s="17" t="inlineStr">
        <is>
          <t>동국생명과학</t>
        </is>
      </c>
      <c r="C72" s="17" t="inlineStr">
        <is>
          <t>동국생명과학(주)</t>
        </is>
      </c>
      <c r="D72" s="17" t="inlineStr">
        <is>
          <t>상장정보</t>
        </is>
      </c>
      <c r="E72" s="17" t="inlineStr">
        <is>
          <t>코스닥/303810</t>
        </is>
      </c>
      <c r="F72" s="17" t="inlineStr"/>
      <c r="G72" s="17" t="inlineStr">
        <is>
          <t>2026-07-06</t>
        </is>
      </c>
      <c r="H72" s="17" t="inlineStr">
        <is>
          <t>한국거래소 KIND</t>
        </is>
      </c>
      <c r="I72" s="17" t="inlineStr">
        <is>
          <t>상장법인목록</t>
        </is>
      </c>
      <c r="J72" s="17" t="inlineStr">
        <is>
          <t>https://kind.krx.co.kr</t>
        </is>
      </c>
      <c r="K72" s="17" t="inlineStr">
        <is>
          <t>2026-07-06</t>
        </is>
      </c>
      <c r="L72" s="17" t="inlineStr">
        <is>
          <t>A</t>
        </is>
      </c>
      <c r="M72" s="17" t="inlineStr"/>
    </row>
    <row r="73">
      <c r="A73" s="17" t="inlineStr">
        <is>
          <t>C062</t>
        </is>
      </c>
      <c r="B73" s="17" t="inlineStr">
        <is>
          <t>동국생명과학</t>
        </is>
      </c>
      <c r="C73" s="17" t="inlineStr">
        <is>
          <t>동국생명과학(주)</t>
        </is>
      </c>
      <c r="D73" s="17" t="inlineStr">
        <is>
          <t>홈페이지</t>
        </is>
      </c>
      <c r="E73" s="17" t="inlineStr">
        <is>
          <t>http://dkls.co.kr</t>
        </is>
      </c>
      <c r="F73" s="17" t="inlineStr"/>
      <c r="G73" s="17" t="inlineStr">
        <is>
          <t>2026-07-06</t>
        </is>
      </c>
      <c r="H73" s="17" t="inlineStr">
        <is>
          <t>한국거래소 KIND</t>
        </is>
      </c>
      <c r="I73" s="17" t="inlineStr">
        <is>
          <t>상장법인목록</t>
        </is>
      </c>
      <c r="J73" s="17" t="inlineStr">
        <is>
          <t>https://kind.krx.co.kr</t>
        </is>
      </c>
      <c r="K73" s="17" t="inlineStr">
        <is>
          <t>2026-07-06</t>
        </is>
      </c>
      <c r="L73" s="17" t="inlineStr">
        <is>
          <t>A</t>
        </is>
      </c>
      <c r="M73" s="17" t="inlineStr"/>
    </row>
    <row r="74">
      <c r="A74" s="17" t="inlineStr">
        <is>
          <t>C063</t>
        </is>
      </c>
      <c r="B74" s="17" t="inlineStr">
        <is>
          <t>단일시스켐</t>
        </is>
      </c>
      <c r="C74" s="17" t="inlineStr">
        <is>
          <t>단일시스켐(주)</t>
        </is>
      </c>
      <c r="D74" s="17" t="inlineStr">
        <is>
          <t>대표전화</t>
        </is>
      </c>
      <c r="E74" s="17" t="inlineStr">
        <is>
          <t>031-981-5544</t>
        </is>
      </c>
      <c r="F74" s="17" t="inlineStr"/>
      <c r="G74" s="17" t="inlineStr">
        <is>
          <t>2026-07-06</t>
        </is>
      </c>
      <c r="H74" s="17" t="inlineStr">
        <is>
          <t>식품의약품안전처</t>
        </is>
      </c>
      <c r="I74" s="17" t="inlineStr">
        <is>
          <t>의약품 등 업체허가현황(제조소상세)</t>
        </is>
      </c>
      <c r="J74" s="17" t="inlineStr">
        <is>
          <t>https://www.data.go.kr/data/15095682/openapi.do</t>
        </is>
      </c>
      <c r="K74" s="17" t="inlineStr">
        <is>
          <t>2026-07-06</t>
        </is>
      </c>
      <c r="L74" s="17" t="inlineStr">
        <is>
          <t>A</t>
        </is>
      </c>
      <c r="M74" s="17" t="inlineStr">
        <is>
          <t>공장 대표번호</t>
        </is>
      </c>
    </row>
    <row r="75">
      <c r="A75" s="17" t="inlineStr">
        <is>
          <t>C064</t>
        </is>
      </c>
      <c r="B75" s="17" t="inlineStr">
        <is>
          <t>경원산소</t>
        </is>
      </c>
      <c r="C75" s="17" t="inlineStr">
        <is>
          <t>경원산소(주)</t>
        </is>
      </c>
      <c r="D75" s="17" t="inlineStr">
        <is>
          <t>대표전화</t>
        </is>
      </c>
      <c r="E75" s="17" t="inlineStr">
        <is>
          <t>033-731-0202</t>
        </is>
      </c>
      <c r="F75" s="17" t="inlineStr"/>
      <c r="G75" s="17" t="inlineStr">
        <is>
          <t>2026-07-06</t>
        </is>
      </c>
      <c r="H75" s="17" t="inlineStr">
        <is>
          <t>식품의약품안전처</t>
        </is>
      </c>
      <c r="I75" s="17" t="inlineStr">
        <is>
          <t>의약품 등 업체허가현황(제조소상세)</t>
        </is>
      </c>
      <c r="J75" s="17" t="inlineStr">
        <is>
          <t>https://www.data.go.kr/data/15095682/openapi.do</t>
        </is>
      </c>
      <c r="K75" s="17" t="inlineStr">
        <is>
          <t>2026-07-06</t>
        </is>
      </c>
      <c r="L75" s="17" t="inlineStr">
        <is>
          <t>A</t>
        </is>
      </c>
      <c r="M75" s="17" t="inlineStr">
        <is>
          <t>공장 대표번호</t>
        </is>
      </c>
    </row>
    <row r="76">
      <c r="A76" s="17" t="inlineStr">
        <is>
          <t>C065</t>
        </is>
      </c>
      <c r="B76" s="17" t="inlineStr">
        <is>
          <t>춘천종합가스</t>
        </is>
      </c>
      <c r="C76" s="17" t="inlineStr">
        <is>
          <t>춘천종합가스</t>
        </is>
      </c>
      <c r="D76" s="17" t="inlineStr">
        <is>
          <t>대표전화</t>
        </is>
      </c>
      <c r="E76" s="17" t="inlineStr">
        <is>
          <t>033-262-3849</t>
        </is>
      </c>
      <c r="F76" s="17" t="inlineStr"/>
      <c r="G76" s="17" t="inlineStr">
        <is>
          <t>2026-07-06</t>
        </is>
      </c>
      <c r="H76" s="17" t="inlineStr">
        <is>
          <t>식품의약품안전처</t>
        </is>
      </c>
      <c r="I76" s="17" t="inlineStr">
        <is>
          <t>의약품 등 업체허가현황(제조소상세)</t>
        </is>
      </c>
      <c r="J76" s="17" t="inlineStr">
        <is>
          <t>https://www.data.go.kr/data/15095682/openapi.do</t>
        </is>
      </c>
      <c r="K76" s="17" t="inlineStr">
        <is>
          <t>2026-07-06</t>
        </is>
      </c>
      <c r="L76" s="17" t="inlineStr">
        <is>
          <t>A</t>
        </is>
      </c>
      <c r="M76" s="17" t="inlineStr">
        <is>
          <t>공장 대표번호</t>
        </is>
      </c>
    </row>
    <row r="77">
      <c r="A77" s="17" t="inlineStr">
        <is>
          <t>C066</t>
        </is>
      </c>
      <c r="B77" s="17" t="inlineStr">
        <is>
          <t>녹십자엠에스</t>
        </is>
      </c>
      <c r="C77" s="17" t="inlineStr">
        <is>
          <t>(주)녹십자엠에스</t>
        </is>
      </c>
      <c r="D77" s="17" t="inlineStr">
        <is>
          <t>대표전화</t>
        </is>
      </c>
      <c r="E77" s="17" t="inlineStr">
        <is>
          <t>031-260-9553</t>
        </is>
      </c>
      <c r="F77" s="17" t="inlineStr"/>
      <c r="G77" s="17" t="inlineStr">
        <is>
          <t>2026-07-06</t>
        </is>
      </c>
      <c r="H77" s="17" t="inlineStr">
        <is>
          <t>식품의약품안전처</t>
        </is>
      </c>
      <c r="I77" s="17" t="inlineStr">
        <is>
          <t>의약품 등 업체허가현황(제조소상세)</t>
        </is>
      </c>
      <c r="J77" s="17" t="inlineStr">
        <is>
          <t>https://www.data.go.kr/data/15095682/openapi.do</t>
        </is>
      </c>
      <c r="K77" s="17" t="inlineStr">
        <is>
          <t>2026-07-06</t>
        </is>
      </c>
      <c r="L77" s="17" t="inlineStr">
        <is>
          <t>A</t>
        </is>
      </c>
      <c r="M77" s="17" t="inlineStr">
        <is>
          <t>공장 대표번호</t>
        </is>
      </c>
    </row>
    <row r="78">
      <c r="A78" s="17" t="inlineStr">
        <is>
          <t>C066</t>
        </is>
      </c>
      <c r="B78" s="17" t="inlineStr">
        <is>
          <t>녹십자엠에스</t>
        </is>
      </c>
      <c r="C78" s="17" t="inlineStr">
        <is>
          <t>(주)녹십자엠에스</t>
        </is>
      </c>
      <c r="D78" s="17" t="inlineStr">
        <is>
          <t>상장정보</t>
        </is>
      </c>
      <c r="E78" s="17" t="inlineStr">
        <is>
          <t>코스닥/142280</t>
        </is>
      </c>
      <c r="F78" s="17" t="inlineStr"/>
      <c r="G78" s="17" t="inlineStr">
        <is>
          <t>2026-07-06</t>
        </is>
      </c>
      <c r="H78" s="17" t="inlineStr">
        <is>
          <t>한국거래소 KIND</t>
        </is>
      </c>
      <c r="I78" s="17" t="inlineStr">
        <is>
          <t>상장법인목록</t>
        </is>
      </c>
      <c r="J78" s="17" t="inlineStr">
        <is>
          <t>https://kind.krx.co.kr</t>
        </is>
      </c>
      <c r="K78" s="17" t="inlineStr">
        <is>
          <t>2026-07-06</t>
        </is>
      </c>
      <c r="L78" s="17" t="inlineStr">
        <is>
          <t>A</t>
        </is>
      </c>
      <c r="M78" s="17" t="inlineStr"/>
    </row>
    <row r="79">
      <c r="A79" s="17" t="inlineStr">
        <is>
          <t>C066</t>
        </is>
      </c>
      <c r="B79" s="17" t="inlineStr">
        <is>
          <t>녹십자엠에스</t>
        </is>
      </c>
      <c r="C79" s="17" t="inlineStr">
        <is>
          <t>(주)녹십자엠에스</t>
        </is>
      </c>
      <c r="D79" s="17" t="inlineStr">
        <is>
          <t>홈페이지</t>
        </is>
      </c>
      <c r="E79" s="17" t="inlineStr">
        <is>
          <t>http://www.greencrossms.com</t>
        </is>
      </c>
      <c r="F79" s="17" t="inlineStr"/>
      <c r="G79" s="17" t="inlineStr">
        <is>
          <t>2026-07-06</t>
        </is>
      </c>
      <c r="H79" s="17" t="inlineStr">
        <is>
          <t>한국거래소 KIND</t>
        </is>
      </c>
      <c r="I79" s="17" t="inlineStr">
        <is>
          <t>상장법인목록</t>
        </is>
      </c>
      <c r="J79" s="17" t="inlineStr">
        <is>
          <t>https://kind.krx.co.kr</t>
        </is>
      </c>
      <c r="K79" s="17" t="inlineStr">
        <is>
          <t>2026-07-06</t>
        </is>
      </c>
      <c r="L79" s="17" t="inlineStr">
        <is>
          <t>A</t>
        </is>
      </c>
      <c r="M79" s="17" t="inlineStr"/>
    </row>
    <row r="80">
      <c r="A80" s="17" t="inlineStr">
        <is>
          <t>C068</t>
        </is>
      </c>
      <c r="B80" s="17" t="inlineStr">
        <is>
          <t>아주약품</t>
        </is>
      </c>
      <c r="C80" s="17" t="inlineStr">
        <is>
          <t>아주약품(주)</t>
        </is>
      </c>
      <c r="D80" s="17" t="inlineStr">
        <is>
          <t>대표전화</t>
        </is>
      </c>
      <c r="E80" s="17" t="inlineStr">
        <is>
          <t>2630-0700</t>
        </is>
      </c>
      <c r="F80" s="17" t="inlineStr"/>
      <c r="G80" s="17" t="inlineStr">
        <is>
          <t>2026-07-06</t>
        </is>
      </c>
      <c r="H80" s="17" t="inlineStr">
        <is>
          <t>식품의약품안전처</t>
        </is>
      </c>
      <c r="I80" s="17" t="inlineStr">
        <is>
          <t>의약품 등 업체허가현황(제조소상세)</t>
        </is>
      </c>
      <c r="J80" s="17" t="inlineStr">
        <is>
          <t>https://www.data.go.kr/data/15095682/openapi.do</t>
        </is>
      </c>
      <c r="K80" s="17" t="inlineStr">
        <is>
          <t>2026-07-06</t>
        </is>
      </c>
      <c r="L80" s="17" t="inlineStr">
        <is>
          <t>A</t>
        </is>
      </c>
      <c r="M80" s="17" t="inlineStr">
        <is>
          <t>공장 대표번호</t>
        </is>
      </c>
    </row>
    <row r="81">
      <c r="A81" s="17" t="inlineStr">
        <is>
          <t>C069</t>
        </is>
      </c>
      <c r="B81" s="17" t="inlineStr">
        <is>
          <t>환인제약</t>
        </is>
      </c>
      <c r="C81" s="17" t="inlineStr">
        <is>
          <t>환인제약(주)</t>
        </is>
      </c>
      <c r="D81" s="17" t="inlineStr">
        <is>
          <t>대표전화</t>
        </is>
      </c>
      <c r="E81" s="17" t="inlineStr">
        <is>
          <t>031-849-4310</t>
        </is>
      </c>
      <c r="F81" s="17" t="inlineStr"/>
      <c r="G81" s="17" t="inlineStr">
        <is>
          <t>2026-07-06</t>
        </is>
      </c>
      <c r="H81" s="17" t="inlineStr">
        <is>
          <t>식품의약품안전처</t>
        </is>
      </c>
      <c r="I81" s="17" t="inlineStr">
        <is>
          <t>의약품 등 업체허가현황(제조소상세)</t>
        </is>
      </c>
      <c r="J81" s="17" t="inlineStr">
        <is>
          <t>https://www.data.go.kr/data/15095682/openapi.do</t>
        </is>
      </c>
      <c r="K81" s="17" t="inlineStr">
        <is>
          <t>2026-07-06</t>
        </is>
      </c>
      <c r="L81" s="17" t="inlineStr">
        <is>
          <t>A</t>
        </is>
      </c>
      <c r="M81" s="17" t="inlineStr">
        <is>
          <t>공장 대표번호</t>
        </is>
      </c>
    </row>
    <row r="82">
      <c r="A82" s="17" t="inlineStr">
        <is>
          <t>C069</t>
        </is>
      </c>
      <c r="B82" s="17" t="inlineStr">
        <is>
          <t>환인제약</t>
        </is>
      </c>
      <c r="C82" s="17" t="inlineStr">
        <is>
          <t>환인제약(주)</t>
        </is>
      </c>
      <c r="D82" s="17" t="inlineStr">
        <is>
          <t>상장정보</t>
        </is>
      </c>
      <c r="E82" s="17" t="inlineStr">
        <is>
          <t>유가/016580</t>
        </is>
      </c>
      <c r="F82" s="17" t="inlineStr"/>
      <c r="G82" s="17" t="inlineStr">
        <is>
          <t>2026-07-06</t>
        </is>
      </c>
      <c r="H82" s="17" t="inlineStr">
        <is>
          <t>한국거래소 KIND</t>
        </is>
      </c>
      <c r="I82" s="17" t="inlineStr">
        <is>
          <t>상장법인목록</t>
        </is>
      </c>
      <c r="J82" s="17" t="inlineStr">
        <is>
          <t>https://kind.krx.co.kr</t>
        </is>
      </c>
      <c r="K82" s="17" t="inlineStr">
        <is>
          <t>2026-07-06</t>
        </is>
      </c>
      <c r="L82" s="17" t="inlineStr">
        <is>
          <t>A</t>
        </is>
      </c>
      <c r="M82" s="17" t="inlineStr"/>
    </row>
    <row r="83">
      <c r="A83" s="17" t="inlineStr">
        <is>
          <t>C069</t>
        </is>
      </c>
      <c r="B83" s="17" t="inlineStr">
        <is>
          <t>환인제약</t>
        </is>
      </c>
      <c r="C83" s="17" t="inlineStr">
        <is>
          <t>환인제약(주)</t>
        </is>
      </c>
      <c r="D83" s="17" t="inlineStr">
        <is>
          <t>홈페이지</t>
        </is>
      </c>
      <c r="E83" s="17" t="inlineStr">
        <is>
          <t>http://www.whanin.co.kr</t>
        </is>
      </c>
      <c r="F83" s="17" t="inlineStr"/>
      <c r="G83" s="17" t="inlineStr">
        <is>
          <t>2026-07-06</t>
        </is>
      </c>
      <c r="H83" s="17" t="inlineStr">
        <is>
          <t>한국거래소 KIND</t>
        </is>
      </c>
      <c r="I83" s="17" t="inlineStr">
        <is>
          <t>상장법인목록</t>
        </is>
      </c>
      <c r="J83" s="17" t="inlineStr">
        <is>
          <t>https://kind.krx.co.kr</t>
        </is>
      </c>
      <c r="K83" s="17" t="inlineStr">
        <is>
          <t>2026-07-06</t>
        </is>
      </c>
      <c r="L83" s="17" t="inlineStr">
        <is>
          <t>A</t>
        </is>
      </c>
      <c r="M83" s="17" t="inlineStr"/>
    </row>
    <row r="84">
      <c r="A84" s="17" t="inlineStr">
        <is>
          <t>C070</t>
        </is>
      </c>
      <c r="B84" s="17" t="inlineStr">
        <is>
          <t>에어프로덕츠코리아</t>
        </is>
      </c>
      <c r="C84" s="17" t="inlineStr">
        <is>
          <t>에어프로덕츠코리아(주)</t>
        </is>
      </c>
      <c r="D84" s="17" t="inlineStr">
        <is>
          <t>대표전화</t>
        </is>
      </c>
      <c r="E84" s="17" t="inlineStr">
        <is>
          <t>052-259-4098</t>
        </is>
      </c>
      <c r="F84" s="17" t="inlineStr"/>
      <c r="G84" s="17" t="inlineStr">
        <is>
          <t>2026-07-06</t>
        </is>
      </c>
      <c r="H84" s="17" t="inlineStr">
        <is>
          <t>식품의약품안전처</t>
        </is>
      </c>
      <c r="I84" s="17" t="inlineStr">
        <is>
          <t>의약품 등 업체허가현황(제조소상세)</t>
        </is>
      </c>
      <c r="J84" s="17" t="inlineStr">
        <is>
          <t>https://www.data.go.kr/data/15095682/openapi.do</t>
        </is>
      </c>
      <c r="K84" s="17" t="inlineStr">
        <is>
          <t>2026-07-06</t>
        </is>
      </c>
      <c r="L84" s="17" t="inlineStr">
        <is>
          <t>A</t>
        </is>
      </c>
      <c r="M84" s="17" t="inlineStr">
        <is>
          <t>공장 대표번호</t>
        </is>
      </c>
    </row>
    <row r="85">
      <c r="A85" s="17" t="inlineStr">
        <is>
          <t>C071</t>
        </is>
      </c>
      <c r="B85" s="17" t="inlineStr">
        <is>
          <t>서흥</t>
        </is>
      </c>
      <c r="C85" s="17" t="inlineStr">
        <is>
          <t>(주)서흥</t>
        </is>
      </c>
      <c r="D85" s="17" t="inlineStr">
        <is>
          <t>대표전화</t>
        </is>
      </c>
      <c r="E85" s="17" t="inlineStr">
        <is>
          <t>043-249-4252</t>
        </is>
      </c>
      <c r="F85" s="17" t="inlineStr"/>
      <c r="G85" s="17" t="inlineStr">
        <is>
          <t>2026-07-06</t>
        </is>
      </c>
      <c r="H85" s="17" t="inlineStr">
        <is>
          <t>식품의약품안전처</t>
        </is>
      </c>
      <c r="I85" s="17" t="inlineStr">
        <is>
          <t>의약품 등 업체허가현황(제조소상세)</t>
        </is>
      </c>
      <c r="J85" s="17" t="inlineStr">
        <is>
          <t>https://www.data.go.kr/data/15095682/openapi.do</t>
        </is>
      </c>
      <c r="K85" s="17" t="inlineStr">
        <is>
          <t>2026-07-06</t>
        </is>
      </c>
      <c r="L85" s="17" t="inlineStr">
        <is>
          <t>A</t>
        </is>
      </c>
      <c r="M85" s="17" t="inlineStr">
        <is>
          <t>공장 대표번호</t>
        </is>
      </c>
    </row>
    <row r="86">
      <c r="A86" s="17" t="inlineStr">
        <is>
          <t>C071</t>
        </is>
      </c>
      <c r="B86" s="17" t="inlineStr">
        <is>
          <t>서흥</t>
        </is>
      </c>
      <c r="C86" s="17" t="inlineStr">
        <is>
          <t>(주)서흥</t>
        </is>
      </c>
      <c r="D86" s="17" t="inlineStr">
        <is>
          <t>상장정보</t>
        </is>
      </c>
      <c r="E86" s="17" t="inlineStr">
        <is>
          <t>유가/008490</t>
        </is>
      </c>
      <c r="F86" s="17" t="inlineStr"/>
      <c r="G86" s="17" t="inlineStr">
        <is>
          <t>2026-07-06</t>
        </is>
      </c>
      <c r="H86" s="17" t="inlineStr">
        <is>
          <t>한국거래소 KIND</t>
        </is>
      </c>
      <c r="I86" s="17" t="inlineStr">
        <is>
          <t>상장법인목록</t>
        </is>
      </c>
      <c r="J86" s="17" t="inlineStr">
        <is>
          <t>https://kind.krx.co.kr</t>
        </is>
      </c>
      <c r="K86" s="17" t="inlineStr">
        <is>
          <t>2026-07-06</t>
        </is>
      </c>
      <c r="L86" s="17" t="inlineStr">
        <is>
          <t>A</t>
        </is>
      </c>
      <c r="M86" s="17" t="inlineStr"/>
    </row>
    <row r="87">
      <c r="A87" s="17" t="inlineStr">
        <is>
          <t>C071</t>
        </is>
      </c>
      <c r="B87" s="17" t="inlineStr">
        <is>
          <t>서흥</t>
        </is>
      </c>
      <c r="C87" s="17" t="inlineStr">
        <is>
          <t>(주)서흥</t>
        </is>
      </c>
      <c r="D87" s="17" t="inlineStr">
        <is>
          <t>홈페이지</t>
        </is>
      </c>
      <c r="E87" s="17" t="inlineStr">
        <is>
          <t>http://www.suheung.com</t>
        </is>
      </c>
      <c r="F87" s="17" t="inlineStr"/>
      <c r="G87" s="17" t="inlineStr">
        <is>
          <t>2026-07-06</t>
        </is>
      </c>
      <c r="H87" s="17" t="inlineStr">
        <is>
          <t>한국거래소 KIND</t>
        </is>
      </c>
      <c r="I87" s="17" t="inlineStr">
        <is>
          <t>상장법인목록</t>
        </is>
      </c>
      <c r="J87" s="17" t="inlineStr">
        <is>
          <t>https://kind.krx.co.kr</t>
        </is>
      </c>
      <c r="K87" s="17" t="inlineStr">
        <is>
          <t>2026-07-06</t>
        </is>
      </c>
      <c r="L87" s="17" t="inlineStr">
        <is>
          <t>A</t>
        </is>
      </c>
      <c r="M87" s="17" t="inlineStr"/>
    </row>
    <row r="88">
      <c r="A88" s="17" t="inlineStr">
        <is>
          <t>C072</t>
        </is>
      </c>
      <c r="B88" s="17" t="inlineStr">
        <is>
          <t>디아이지에어가스</t>
        </is>
      </c>
      <c r="C88" s="17" t="inlineStr">
        <is>
          <t>디아이지에어가스(주)</t>
        </is>
      </c>
      <c r="D88" s="17" t="inlineStr">
        <is>
          <t>대표전화</t>
        </is>
      </c>
      <c r="E88" s="17" t="inlineStr">
        <is>
          <t>031-491-2648</t>
        </is>
      </c>
      <c r="F88" s="17" t="inlineStr"/>
      <c r="G88" s="17" t="inlineStr">
        <is>
          <t>2026-07-06</t>
        </is>
      </c>
      <c r="H88" s="17" t="inlineStr">
        <is>
          <t>식품의약품안전처</t>
        </is>
      </c>
      <c r="I88" s="17" t="inlineStr">
        <is>
          <t>의약품 등 업체허가현황(제조소상세)</t>
        </is>
      </c>
      <c r="J88" s="17" t="inlineStr">
        <is>
          <t>https://www.data.go.kr/data/15095682/openapi.do</t>
        </is>
      </c>
      <c r="K88" s="17" t="inlineStr">
        <is>
          <t>2026-07-06</t>
        </is>
      </c>
      <c r="L88" s="17" t="inlineStr">
        <is>
          <t>A</t>
        </is>
      </c>
      <c r="M88" s="17" t="inlineStr">
        <is>
          <t>공장 대표번호</t>
        </is>
      </c>
    </row>
    <row r="89">
      <c r="A89" s="17" t="inlineStr">
        <is>
          <t>C073</t>
        </is>
      </c>
      <c r="B89" s="17" t="inlineStr">
        <is>
          <t>텔콘알에프제약</t>
        </is>
      </c>
      <c r="C89" s="17" t="inlineStr">
        <is>
          <t>(주)텔콘알에프제약</t>
        </is>
      </c>
      <c r="D89" s="17" t="inlineStr">
        <is>
          <t>대표전화</t>
        </is>
      </c>
      <c r="E89" s="17" t="inlineStr">
        <is>
          <t>043-849-0200</t>
        </is>
      </c>
      <c r="F89" s="17" t="inlineStr"/>
      <c r="G89" s="17" t="inlineStr">
        <is>
          <t>2026-07-06</t>
        </is>
      </c>
      <c r="H89" s="17" t="inlineStr">
        <is>
          <t>식품의약품안전처</t>
        </is>
      </c>
      <c r="I89" s="17" t="inlineStr">
        <is>
          <t>의약품 등 업체허가현황(제조소상세)</t>
        </is>
      </c>
      <c r="J89" s="17" t="inlineStr">
        <is>
          <t>https://www.data.go.kr/data/15095682/openapi.do</t>
        </is>
      </c>
      <c r="K89" s="17" t="inlineStr">
        <is>
          <t>2026-07-06</t>
        </is>
      </c>
      <c r="L89" s="17" t="inlineStr">
        <is>
          <t>A</t>
        </is>
      </c>
      <c r="M89" s="17" t="inlineStr">
        <is>
          <t>공장 대표번호</t>
        </is>
      </c>
    </row>
    <row r="90">
      <c r="A90" s="17" t="inlineStr">
        <is>
          <t>C074</t>
        </is>
      </c>
      <c r="B90" s="17" t="inlineStr">
        <is>
          <t>한솔신약</t>
        </is>
      </c>
      <c r="C90" s="17" t="inlineStr">
        <is>
          <t>한솔신약(주)</t>
        </is>
      </c>
      <c r="D90" s="17" t="inlineStr">
        <is>
          <t>대표전화</t>
        </is>
      </c>
      <c r="E90" s="17" t="inlineStr">
        <is>
          <t>043-881-6333</t>
        </is>
      </c>
      <c r="F90" s="17" t="inlineStr"/>
      <c r="G90" s="17" t="inlineStr">
        <is>
          <t>2026-07-06</t>
        </is>
      </c>
      <c r="H90" s="17" t="inlineStr">
        <is>
          <t>식품의약품안전처</t>
        </is>
      </c>
      <c r="I90" s="17" t="inlineStr">
        <is>
          <t>의약품 등 업체허가현황(제조소상세)</t>
        </is>
      </c>
      <c r="J90" s="17" t="inlineStr">
        <is>
          <t>https://www.data.go.kr/data/15095682/openapi.do</t>
        </is>
      </c>
      <c r="K90" s="17" t="inlineStr">
        <is>
          <t>2026-07-06</t>
        </is>
      </c>
      <c r="L90" s="17" t="inlineStr">
        <is>
          <t>A</t>
        </is>
      </c>
      <c r="M90" s="17" t="inlineStr">
        <is>
          <t>공장 대표번호</t>
        </is>
      </c>
    </row>
    <row r="91">
      <c r="A91" s="17" t="inlineStr">
        <is>
          <t>C075</t>
        </is>
      </c>
      <c r="B91" s="17" t="inlineStr">
        <is>
          <t>유한양행</t>
        </is>
      </c>
      <c r="C91" s="17" t="inlineStr">
        <is>
          <t>(주)유한양행</t>
        </is>
      </c>
      <c r="D91" s="17" t="inlineStr">
        <is>
          <t>상장정보</t>
        </is>
      </c>
      <c r="E91" s="17" t="inlineStr">
        <is>
          <t>유가/000100</t>
        </is>
      </c>
      <c r="F91" s="17" t="inlineStr"/>
      <c r="G91" s="17" t="inlineStr">
        <is>
          <t>2026-07-06</t>
        </is>
      </c>
      <c r="H91" s="17" t="inlineStr">
        <is>
          <t>한국거래소 KIND</t>
        </is>
      </c>
      <c r="I91" s="17" t="inlineStr">
        <is>
          <t>상장법인목록</t>
        </is>
      </c>
      <c r="J91" s="17" t="inlineStr">
        <is>
          <t>https://kind.krx.co.kr</t>
        </is>
      </c>
      <c r="K91" s="17" t="inlineStr">
        <is>
          <t>2026-07-06</t>
        </is>
      </c>
      <c r="L91" s="17" t="inlineStr">
        <is>
          <t>A</t>
        </is>
      </c>
      <c r="M91" s="17" t="inlineStr"/>
    </row>
    <row r="92">
      <c r="A92" s="17" t="inlineStr">
        <is>
          <t>C075</t>
        </is>
      </c>
      <c r="B92" s="17" t="inlineStr">
        <is>
          <t>유한양행</t>
        </is>
      </c>
      <c r="C92" s="17" t="inlineStr">
        <is>
          <t>(주)유한양행</t>
        </is>
      </c>
      <c r="D92" s="17" t="inlineStr">
        <is>
          <t>홈페이지</t>
        </is>
      </c>
      <c r="E92" s="17" t="inlineStr">
        <is>
          <t>http://www.yuhan.co.kr</t>
        </is>
      </c>
      <c r="F92" s="17" t="inlineStr"/>
      <c r="G92" s="17" t="inlineStr">
        <is>
          <t>2026-07-06</t>
        </is>
      </c>
      <c r="H92" s="17" t="inlineStr">
        <is>
          <t>한국거래소 KIND</t>
        </is>
      </c>
      <c r="I92" s="17" t="inlineStr">
        <is>
          <t>상장법인목록</t>
        </is>
      </c>
      <c r="J92" s="17" t="inlineStr">
        <is>
          <t>https://kind.krx.co.kr</t>
        </is>
      </c>
      <c r="K92" s="17" t="inlineStr">
        <is>
          <t>2026-07-06</t>
        </is>
      </c>
      <c r="L92" s="17" t="inlineStr">
        <is>
          <t>A</t>
        </is>
      </c>
      <c r="M92" s="17" t="inlineStr"/>
    </row>
    <row r="93">
      <c r="A93" s="17" t="inlineStr">
        <is>
          <t>C076</t>
        </is>
      </c>
      <c r="B93" s="17" t="inlineStr">
        <is>
          <t>종근당바이오</t>
        </is>
      </c>
      <c r="C93" s="17" t="inlineStr">
        <is>
          <t>(주)종근당바이오</t>
        </is>
      </c>
      <c r="D93" s="17" t="inlineStr">
        <is>
          <t>대표전화</t>
        </is>
      </c>
      <c r="E93" s="17" t="inlineStr">
        <is>
          <t>031-489-1121</t>
        </is>
      </c>
      <c r="F93" s="17" t="inlineStr"/>
      <c r="G93" s="17" t="inlineStr">
        <is>
          <t>2026-07-06</t>
        </is>
      </c>
      <c r="H93" s="17" t="inlineStr">
        <is>
          <t>식품의약품안전처</t>
        </is>
      </c>
      <c r="I93" s="17" t="inlineStr">
        <is>
          <t>의약품 등 업체허가현황(제조소상세)</t>
        </is>
      </c>
      <c r="J93" s="17" t="inlineStr">
        <is>
          <t>https://www.data.go.kr/data/15095682/openapi.do</t>
        </is>
      </c>
      <c r="K93" s="17" t="inlineStr">
        <is>
          <t>2026-07-06</t>
        </is>
      </c>
      <c r="L93" s="17" t="inlineStr">
        <is>
          <t>A</t>
        </is>
      </c>
      <c r="M93" s="17" t="inlineStr">
        <is>
          <t>공장 대표번호</t>
        </is>
      </c>
    </row>
    <row r="94">
      <c r="A94" s="17" t="inlineStr">
        <is>
          <t>C076</t>
        </is>
      </c>
      <c r="B94" s="17" t="inlineStr">
        <is>
          <t>종근당바이오</t>
        </is>
      </c>
      <c r="C94" s="17" t="inlineStr">
        <is>
          <t>(주)종근당바이오</t>
        </is>
      </c>
      <c r="D94" s="17" t="inlineStr">
        <is>
          <t>상장정보</t>
        </is>
      </c>
      <c r="E94" s="17" t="inlineStr">
        <is>
          <t>유가/063160</t>
        </is>
      </c>
      <c r="F94" s="17" t="inlineStr"/>
      <c r="G94" s="17" t="inlineStr">
        <is>
          <t>2026-07-06</t>
        </is>
      </c>
      <c r="H94" s="17" t="inlineStr">
        <is>
          <t>한국거래소 KIND</t>
        </is>
      </c>
      <c r="I94" s="17" t="inlineStr">
        <is>
          <t>상장법인목록</t>
        </is>
      </c>
      <c r="J94" s="17" t="inlineStr">
        <is>
          <t>https://kind.krx.co.kr</t>
        </is>
      </c>
      <c r="K94" s="17" t="inlineStr">
        <is>
          <t>2026-07-06</t>
        </is>
      </c>
      <c r="L94" s="17" t="inlineStr">
        <is>
          <t>A</t>
        </is>
      </c>
      <c r="M94" s="17" t="inlineStr"/>
    </row>
    <row r="95">
      <c r="A95" s="17" t="inlineStr">
        <is>
          <t>C076</t>
        </is>
      </c>
      <c r="B95" s="17" t="inlineStr">
        <is>
          <t>종근당바이오</t>
        </is>
      </c>
      <c r="C95" s="17" t="inlineStr">
        <is>
          <t>(주)종근당바이오</t>
        </is>
      </c>
      <c r="D95" s="17" t="inlineStr">
        <is>
          <t>홈페이지</t>
        </is>
      </c>
      <c r="E95" s="17" t="inlineStr">
        <is>
          <t>http://www.ckdbio.com</t>
        </is>
      </c>
      <c r="F95" s="17" t="inlineStr"/>
      <c r="G95" s="17" t="inlineStr">
        <is>
          <t>2026-07-06</t>
        </is>
      </c>
      <c r="H95" s="17" t="inlineStr">
        <is>
          <t>한국거래소 KIND</t>
        </is>
      </c>
      <c r="I95" s="17" t="inlineStr">
        <is>
          <t>상장법인목록</t>
        </is>
      </c>
      <c r="J95" s="17" t="inlineStr">
        <is>
          <t>https://kind.krx.co.kr</t>
        </is>
      </c>
      <c r="K95" s="17" t="inlineStr">
        <is>
          <t>2026-07-06</t>
        </is>
      </c>
      <c r="L95" s="17" t="inlineStr">
        <is>
          <t>A</t>
        </is>
      </c>
      <c r="M95" s="17" t="inlineStr"/>
    </row>
    <row r="96">
      <c r="A96" s="17" t="inlineStr">
        <is>
          <t>C080</t>
        </is>
      </c>
      <c r="B96" s="17" t="inlineStr">
        <is>
          <t>서울대학교병원</t>
        </is>
      </c>
      <c r="C96" s="17" t="inlineStr">
        <is>
          <t>서울대학교병원</t>
        </is>
      </c>
      <c r="D96" s="17" t="inlineStr">
        <is>
          <t>대표전화</t>
        </is>
      </c>
      <c r="E96" s="17" t="inlineStr">
        <is>
          <t>031-6282-0127</t>
        </is>
      </c>
      <c r="F96" s="17" t="inlineStr"/>
      <c r="G96" s="17" t="inlineStr">
        <is>
          <t>2026-07-06</t>
        </is>
      </c>
      <c r="H96" s="17" t="inlineStr">
        <is>
          <t>식품의약품안전처</t>
        </is>
      </c>
      <c r="I96" s="17" t="inlineStr">
        <is>
          <t>의약품 등 업체허가현황(제조소상세)</t>
        </is>
      </c>
      <c r="J96" s="17" t="inlineStr">
        <is>
          <t>https://www.data.go.kr/data/15095682/openapi.do</t>
        </is>
      </c>
      <c r="K96" s="17" t="inlineStr">
        <is>
          <t>2026-07-06</t>
        </is>
      </c>
      <c r="L96" s="17" t="inlineStr">
        <is>
          <t>A</t>
        </is>
      </c>
      <c r="M96" s="17" t="inlineStr">
        <is>
          <t>공장 대표번호</t>
        </is>
      </c>
    </row>
    <row r="97">
      <c r="A97" s="17" t="inlineStr">
        <is>
          <t>C081</t>
        </is>
      </c>
      <c r="B97" s="17" t="inlineStr">
        <is>
          <t>한국피엠지제약</t>
        </is>
      </c>
      <c r="C97" s="17" t="inlineStr">
        <is>
          <t>(주)한국피엠지제약</t>
        </is>
      </c>
      <c r="D97" s="17" t="inlineStr">
        <is>
          <t>대표전화</t>
        </is>
      </c>
      <c r="E97" s="17" t="inlineStr">
        <is>
          <t>031-439-5470</t>
        </is>
      </c>
      <c r="F97" s="17" t="inlineStr"/>
      <c r="G97" s="17" t="inlineStr">
        <is>
          <t>2026-07-06</t>
        </is>
      </c>
      <c r="H97" s="17" t="inlineStr">
        <is>
          <t>식품의약품안전처</t>
        </is>
      </c>
      <c r="I97" s="17" t="inlineStr">
        <is>
          <t>의약품 등 업체허가현황(제조소상세)</t>
        </is>
      </c>
      <c r="J97" s="17" t="inlineStr">
        <is>
          <t>https://www.data.go.kr/data/15095682/openapi.do</t>
        </is>
      </c>
      <c r="K97" s="17" t="inlineStr">
        <is>
          <t>2026-07-06</t>
        </is>
      </c>
      <c r="L97" s="17" t="inlineStr">
        <is>
          <t>A</t>
        </is>
      </c>
      <c r="M97" s="17" t="inlineStr">
        <is>
          <t>공장 대표번호</t>
        </is>
      </c>
    </row>
    <row r="98">
      <c r="A98" s="17" t="inlineStr">
        <is>
          <t>C083</t>
        </is>
      </c>
      <c r="B98" s="17" t="inlineStr">
        <is>
          <t>경보제약</t>
        </is>
      </c>
      <c r="C98" s="17" t="inlineStr">
        <is>
          <t>(주)경보제약</t>
        </is>
      </c>
      <c r="D98" s="17" t="inlineStr">
        <is>
          <t>대표전화</t>
        </is>
      </c>
      <c r="E98" s="17" t="inlineStr">
        <is>
          <t>041-545-0456</t>
        </is>
      </c>
      <c r="F98" s="17" t="inlineStr"/>
      <c r="G98" s="17" t="inlineStr">
        <is>
          <t>2026-07-06</t>
        </is>
      </c>
      <c r="H98" s="17" t="inlineStr">
        <is>
          <t>식품의약품안전처</t>
        </is>
      </c>
      <c r="I98" s="17" t="inlineStr">
        <is>
          <t>의약품 등 업체허가현황(제조소상세)</t>
        </is>
      </c>
      <c r="J98" s="17" t="inlineStr">
        <is>
          <t>https://www.data.go.kr/data/15095682/openapi.do</t>
        </is>
      </c>
      <c r="K98" s="17" t="inlineStr">
        <is>
          <t>2026-07-06</t>
        </is>
      </c>
      <c r="L98" s="17" t="inlineStr">
        <is>
          <t>A</t>
        </is>
      </c>
      <c r="M98" s="17" t="inlineStr">
        <is>
          <t>공장 대표번호</t>
        </is>
      </c>
    </row>
    <row r="99">
      <c r="A99" s="17" t="inlineStr">
        <is>
          <t>C083</t>
        </is>
      </c>
      <c r="B99" s="17" t="inlineStr">
        <is>
          <t>경보제약</t>
        </is>
      </c>
      <c r="C99" s="17" t="inlineStr">
        <is>
          <t>(주)경보제약</t>
        </is>
      </c>
      <c r="D99" s="17" t="inlineStr">
        <is>
          <t>상장정보</t>
        </is>
      </c>
      <c r="E99" s="17" t="inlineStr">
        <is>
          <t>유가/214390</t>
        </is>
      </c>
      <c r="F99" s="17" t="inlineStr"/>
      <c r="G99" s="17" t="inlineStr">
        <is>
          <t>2026-07-06</t>
        </is>
      </c>
      <c r="H99" s="17" t="inlineStr">
        <is>
          <t>한국거래소 KIND</t>
        </is>
      </c>
      <c r="I99" s="17" t="inlineStr">
        <is>
          <t>상장법인목록</t>
        </is>
      </c>
      <c r="J99" s="17" t="inlineStr">
        <is>
          <t>https://kind.krx.co.kr</t>
        </is>
      </c>
      <c r="K99" s="17" t="inlineStr">
        <is>
          <t>2026-07-06</t>
        </is>
      </c>
      <c r="L99" s="17" t="inlineStr">
        <is>
          <t>A</t>
        </is>
      </c>
      <c r="M99" s="17" t="inlineStr"/>
    </row>
    <row r="100">
      <c r="A100" s="17" t="inlineStr">
        <is>
          <t>C083</t>
        </is>
      </c>
      <c r="B100" s="17" t="inlineStr">
        <is>
          <t>경보제약</t>
        </is>
      </c>
      <c r="C100" s="17" t="inlineStr">
        <is>
          <t>(주)경보제약</t>
        </is>
      </c>
      <c r="D100" s="17" t="inlineStr">
        <is>
          <t>홈페이지</t>
        </is>
      </c>
      <c r="E100" s="17" t="inlineStr">
        <is>
          <t>http://www.kbpharma.co.kr</t>
        </is>
      </c>
      <c r="F100" s="17" t="inlineStr"/>
      <c r="G100" s="17" t="inlineStr">
        <is>
          <t>2026-07-06</t>
        </is>
      </c>
      <c r="H100" s="17" t="inlineStr">
        <is>
          <t>한국거래소 KIND</t>
        </is>
      </c>
      <c r="I100" s="17" t="inlineStr">
        <is>
          <t>상장법인목록</t>
        </is>
      </c>
      <c r="J100" s="17" t="inlineStr">
        <is>
          <t>https://kind.krx.co.kr</t>
        </is>
      </c>
      <c r="K100" s="17" t="inlineStr">
        <is>
          <t>2026-07-06</t>
        </is>
      </c>
      <c r="L100" s="17" t="inlineStr">
        <is>
          <t>A</t>
        </is>
      </c>
      <c r="M100" s="17" t="inlineStr"/>
    </row>
    <row r="101">
      <c r="A101" s="17" t="inlineStr">
        <is>
          <t>C084</t>
        </is>
      </c>
      <c r="B101" s="17" t="inlineStr">
        <is>
          <t>타나베파마코리아</t>
        </is>
      </c>
      <c r="C101" s="17" t="inlineStr">
        <is>
          <t>타나베파마코리아주식회사</t>
        </is>
      </c>
      <c r="D101" s="17" t="inlineStr">
        <is>
          <t>대표전화</t>
        </is>
      </c>
      <c r="E101" s="17" t="inlineStr">
        <is>
          <t>02-347-5104</t>
        </is>
      </c>
      <c r="F101" s="17" t="inlineStr"/>
      <c r="G101" s="17" t="inlineStr">
        <is>
          <t>2026-07-06</t>
        </is>
      </c>
      <c r="H101" s="17" t="inlineStr">
        <is>
          <t>식품의약품안전처</t>
        </is>
      </c>
      <c r="I101" s="17" t="inlineStr">
        <is>
          <t>의약품 등 업체허가현황(제조소상세)</t>
        </is>
      </c>
      <c r="J101" s="17" t="inlineStr">
        <is>
          <t>https://www.data.go.kr/data/15095682/openapi.do</t>
        </is>
      </c>
      <c r="K101" s="17" t="inlineStr">
        <is>
          <t>2026-07-06</t>
        </is>
      </c>
      <c r="L101" s="17" t="inlineStr">
        <is>
          <t>A</t>
        </is>
      </c>
      <c r="M101" s="17" t="inlineStr">
        <is>
          <t>공장 대표번호</t>
        </is>
      </c>
    </row>
    <row r="102">
      <c r="A102" s="17" t="inlineStr">
        <is>
          <t>C086</t>
        </is>
      </c>
      <c r="B102" s="17" t="inlineStr">
        <is>
          <t>에이치케이이노엔</t>
        </is>
      </c>
      <c r="C102" s="17" t="inlineStr">
        <is>
          <t>에이치케이이노엔(주)</t>
        </is>
      </c>
      <c r="D102" s="17" t="inlineStr">
        <is>
          <t>대표전화</t>
        </is>
      </c>
      <c r="E102" s="17" t="inlineStr">
        <is>
          <t>031-639-4270</t>
        </is>
      </c>
      <c r="F102" s="17" t="inlineStr"/>
      <c r="G102" s="17" t="inlineStr">
        <is>
          <t>2026-07-06</t>
        </is>
      </c>
      <c r="H102" s="17" t="inlineStr">
        <is>
          <t>식품의약품안전처</t>
        </is>
      </c>
      <c r="I102" s="17" t="inlineStr">
        <is>
          <t>의약품 등 업체허가현황(제조소상세)</t>
        </is>
      </c>
      <c r="J102" s="17" t="inlineStr">
        <is>
          <t>https://www.data.go.kr/data/15095682/openapi.do</t>
        </is>
      </c>
      <c r="K102" s="17" t="inlineStr">
        <is>
          <t>2026-07-06</t>
        </is>
      </c>
      <c r="L102" s="17" t="inlineStr">
        <is>
          <t>A</t>
        </is>
      </c>
      <c r="M102" s="17" t="inlineStr">
        <is>
          <t>공장 대표번호</t>
        </is>
      </c>
    </row>
    <row r="103">
      <c r="A103" s="17" t="inlineStr">
        <is>
          <t>C087</t>
        </is>
      </c>
      <c r="B103" s="17" t="inlineStr">
        <is>
          <t>유한화학</t>
        </is>
      </c>
      <c r="C103" s="17" t="inlineStr">
        <is>
          <t>주식회사 유한화학</t>
        </is>
      </c>
      <c r="D103" s="17" t="inlineStr">
        <is>
          <t>대표전화</t>
        </is>
      </c>
      <c r="E103" s="17" t="inlineStr">
        <is>
          <t>031-499-4111</t>
        </is>
      </c>
      <c r="F103" s="17" t="inlineStr"/>
      <c r="G103" s="17" t="inlineStr">
        <is>
          <t>2026-07-06</t>
        </is>
      </c>
      <c r="H103" s="17" t="inlineStr">
        <is>
          <t>식품의약품안전처</t>
        </is>
      </c>
      <c r="I103" s="17" t="inlineStr">
        <is>
          <t>의약품 등 업체허가현황(제조소상세)</t>
        </is>
      </c>
      <c r="J103" s="17" t="inlineStr">
        <is>
          <t>https://www.data.go.kr/data/15095682/openapi.do</t>
        </is>
      </c>
      <c r="K103" s="17" t="inlineStr">
        <is>
          <t>2026-07-06</t>
        </is>
      </c>
      <c r="L103" s="17" t="inlineStr">
        <is>
          <t>A</t>
        </is>
      </c>
      <c r="M103" s="17" t="inlineStr">
        <is>
          <t>공장 대표번호</t>
        </is>
      </c>
    </row>
    <row r="104">
      <c r="A104" s="17" t="inlineStr">
        <is>
          <t>C088</t>
        </is>
      </c>
      <c r="B104" s="17" t="inlineStr">
        <is>
          <t>한국탄산화학</t>
        </is>
      </c>
      <c r="C104" s="17" t="inlineStr">
        <is>
          <t>한국탄산화학(주)</t>
        </is>
      </c>
      <c r="D104" s="17" t="inlineStr">
        <is>
          <t>대표전화</t>
        </is>
      </c>
      <c r="E104" s="17" t="inlineStr">
        <is>
          <t>031-498-9231</t>
        </is>
      </c>
      <c r="F104" s="17" t="inlineStr"/>
      <c r="G104" s="17" t="inlineStr">
        <is>
          <t>2026-07-06</t>
        </is>
      </c>
      <c r="H104" s="17" t="inlineStr">
        <is>
          <t>식품의약품안전처</t>
        </is>
      </c>
      <c r="I104" s="17" t="inlineStr">
        <is>
          <t>의약품 등 업체허가현황(제조소상세)</t>
        </is>
      </c>
      <c r="J104" s="17" t="inlineStr">
        <is>
          <t>https://www.data.go.kr/data/15095682/openapi.do</t>
        </is>
      </c>
      <c r="K104" s="17" t="inlineStr">
        <is>
          <t>2026-07-06</t>
        </is>
      </c>
      <c r="L104" s="17" t="inlineStr">
        <is>
          <t>A</t>
        </is>
      </c>
      <c r="M104" s="17" t="inlineStr">
        <is>
          <t>공장 대표번호</t>
        </is>
      </c>
    </row>
    <row r="105">
      <c r="A105" s="17" t="inlineStr">
        <is>
          <t>C089</t>
        </is>
      </c>
      <c r="B105" s="17" t="inlineStr">
        <is>
          <t>녹십자웰빙</t>
        </is>
      </c>
      <c r="C105" s="17" t="inlineStr">
        <is>
          <t>(주)녹십자웰빙</t>
        </is>
      </c>
      <c r="D105" s="17" t="inlineStr">
        <is>
          <t>대표전화</t>
        </is>
      </c>
      <c r="E105" s="17" t="inlineStr">
        <is>
          <t>070-4470-2319</t>
        </is>
      </c>
      <c r="F105" s="17" t="inlineStr"/>
      <c r="G105" s="17" t="inlineStr">
        <is>
          <t>2026-07-06</t>
        </is>
      </c>
      <c r="H105" s="17" t="inlineStr">
        <is>
          <t>식품의약품안전처</t>
        </is>
      </c>
      <c r="I105" s="17" t="inlineStr">
        <is>
          <t>의약품 등 업체허가현황(제조소상세)</t>
        </is>
      </c>
      <c r="J105" s="17" t="inlineStr">
        <is>
          <t>https://www.data.go.kr/data/15095682/openapi.do</t>
        </is>
      </c>
      <c r="K105" s="17" t="inlineStr">
        <is>
          <t>2026-07-06</t>
        </is>
      </c>
      <c r="L105" s="17" t="inlineStr">
        <is>
          <t>A</t>
        </is>
      </c>
      <c r="M105" s="17" t="inlineStr">
        <is>
          <t>공장 대표번호</t>
        </is>
      </c>
    </row>
    <row r="106">
      <c r="A106" s="17" t="inlineStr">
        <is>
          <t>C089</t>
        </is>
      </c>
      <c r="B106" s="17" t="inlineStr">
        <is>
          <t>녹십자웰빙</t>
        </is>
      </c>
      <c r="C106" s="17" t="inlineStr">
        <is>
          <t>(주)녹십자웰빙</t>
        </is>
      </c>
      <c r="D106" s="17" t="inlineStr">
        <is>
          <t>상장정보</t>
        </is>
      </c>
      <c r="E106" s="17" t="inlineStr">
        <is>
          <t>코스닥/234690</t>
        </is>
      </c>
      <c r="F106" s="17" t="inlineStr"/>
      <c r="G106" s="17" t="inlineStr">
        <is>
          <t>2026-07-06</t>
        </is>
      </c>
      <c r="H106" s="17" t="inlineStr">
        <is>
          <t>한국거래소 KIND</t>
        </is>
      </c>
      <c r="I106" s="17" t="inlineStr">
        <is>
          <t>상장법인목록</t>
        </is>
      </c>
      <c r="J106" s="17" t="inlineStr">
        <is>
          <t>https://kind.krx.co.kr</t>
        </is>
      </c>
      <c r="K106" s="17" t="inlineStr">
        <is>
          <t>2026-07-06</t>
        </is>
      </c>
      <c r="L106" s="17" t="inlineStr">
        <is>
          <t>A</t>
        </is>
      </c>
      <c r="M106" s="17" t="inlineStr"/>
    </row>
    <row r="107">
      <c r="A107" s="17" t="inlineStr">
        <is>
          <t>C089</t>
        </is>
      </c>
      <c r="B107" s="17" t="inlineStr">
        <is>
          <t>녹십자웰빙</t>
        </is>
      </c>
      <c r="C107" s="17" t="inlineStr">
        <is>
          <t>(주)녹십자웰빙</t>
        </is>
      </c>
      <c r="D107" s="17" t="inlineStr">
        <is>
          <t>홈페이지</t>
        </is>
      </c>
      <c r="E107" s="17" t="inlineStr">
        <is>
          <t>http://www.greencrosswb.com</t>
        </is>
      </c>
      <c r="F107" s="17" t="inlineStr"/>
      <c r="G107" s="17" t="inlineStr">
        <is>
          <t>2026-07-06</t>
        </is>
      </c>
      <c r="H107" s="17" t="inlineStr">
        <is>
          <t>한국거래소 KIND</t>
        </is>
      </c>
      <c r="I107" s="17" t="inlineStr">
        <is>
          <t>상장법인목록</t>
        </is>
      </c>
      <c r="J107" s="17" t="inlineStr">
        <is>
          <t>https://kind.krx.co.kr</t>
        </is>
      </c>
      <c r="K107" s="17" t="inlineStr">
        <is>
          <t>2026-07-06</t>
        </is>
      </c>
      <c r="L107" s="17" t="inlineStr">
        <is>
          <t>A</t>
        </is>
      </c>
      <c r="M107" s="17" t="inlineStr"/>
    </row>
    <row r="108">
      <c r="A108" s="17" t="inlineStr">
        <is>
          <t>C090</t>
        </is>
      </c>
      <c r="B108" s="17" t="inlineStr">
        <is>
          <t>대웅바이오</t>
        </is>
      </c>
      <c r="C108" s="17" t="inlineStr">
        <is>
          <t>대웅바이오(주)</t>
        </is>
      </c>
      <c r="D108" s="17" t="inlineStr">
        <is>
          <t>대표전화</t>
        </is>
      </c>
      <c r="E108" s="17" t="inlineStr">
        <is>
          <t>031-3535-2713</t>
        </is>
      </c>
      <c r="F108" s="17" t="inlineStr"/>
      <c r="G108" s="17" t="inlineStr">
        <is>
          <t>2026-07-06</t>
        </is>
      </c>
      <c r="H108" s="17" t="inlineStr">
        <is>
          <t>식품의약품안전처</t>
        </is>
      </c>
      <c r="I108" s="17" t="inlineStr">
        <is>
          <t>의약품 등 업체허가현황(제조소상세)</t>
        </is>
      </c>
      <c r="J108" s="17" t="inlineStr">
        <is>
          <t>https://www.data.go.kr/data/15095682/openapi.do</t>
        </is>
      </c>
      <c r="K108" s="17" t="inlineStr">
        <is>
          <t>2026-07-06</t>
        </is>
      </c>
      <c r="L108" s="17" t="inlineStr">
        <is>
          <t>A</t>
        </is>
      </c>
      <c r="M108" s="17" t="inlineStr">
        <is>
          <t>공장 대표번호</t>
        </is>
      </c>
    </row>
    <row r="109">
      <c r="A109" s="17" t="inlineStr">
        <is>
          <t>C091</t>
        </is>
      </c>
      <c r="B109" s="17" t="inlineStr">
        <is>
          <t>대유코아</t>
        </is>
      </c>
      <c r="C109" s="17" t="inlineStr">
        <is>
          <t>(주)대유코아</t>
        </is>
      </c>
      <c r="D109" s="17" t="inlineStr">
        <is>
          <t>대표전화</t>
        </is>
      </c>
      <c r="E109" s="17" t="inlineStr">
        <is>
          <t>055-800-7403</t>
        </is>
      </c>
      <c r="F109" s="17" t="inlineStr"/>
      <c r="G109" s="17" t="inlineStr">
        <is>
          <t>2026-07-06</t>
        </is>
      </c>
      <c r="H109" s="17" t="inlineStr">
        <is>
          <t>식품의약품안전처</t>
        </is>
      </c>
      <c r="I109" s="17" t="inlineStr">
        <is>
          <t>의약품 등 업체허가현황(제조소상세)</t>
        </is>
      </c>
      <c r="J109" s="17" t="inlineStr">
        <is>
          <t>https://www.data.go.kr/data/15095682/openapi.do</t>
        </is>
      </c>
      <c r="K109" s="17" t="inlineStr">
        <is>
          <t>2026-07-06</t>
        </is>
      </c>
      <c r="L109" s="17" t="inlineStr">
        <is>
          <t>A</t>
        </is>
      </c>
      <c r="M109" s="17" t="inlineStr">
        <is>
          <t>공장 대표번호</t>
        </is>
      </c>
    </row>
    <row r="110">
      <c r="A110" s="17" t="inlineStr">
        <is>
          <t>C092</t>
        </is>
      </c>
      <c r="B110" s="17" t="inlineStr">
        <is>
          <t>동방에프티엘</t>
        </is>
      </c>
      <c r="C110" s="17" t="inlineStr">
        <is>
          <t>동방에프티엘(주)</t>
        </is>
      </c>
      <c r="D110" s="17" t="inlineStr">
        <is>
          <t>대표전화</t>
        </is>
      </c>
      <c r="E110" s="17" t="inlineStr">
        <is>
          <t>02-741-7517</t>
        </is>
      </c>
      <c r="F110" s="17" t="inlineStr"/>
      <c r="G110" s="17" t="inlineStr">
        <is>
          <t>2026-07-06</t>
        </is>
      </c>
      <c r="H110" s="17" t="inlineStr">
        <is>
          <t>식품의약품안전처</t>
        </is>
      </c>
      <c r="I110" s="17" t="inlineStr">
        <is>
          <t>의약품 등 업체허가현황(제조소상세)</t>
        </is>
      </c>
      <c r="J110" s="17" t="inlineStr">
        <is>
          <t>https://www.data.go.kr/data/15095682/openapi.do</t>
        </is>
      </c>
      <c r="K110" s="17" t="inlineStr">
        <is>
          <t>2026-07-06</t>
        </is>
      </c>
      <c r="L110" s="17" t="inlineStr">
        <is>
          <t>A</t>
        </is>
      </c>
      <c r="M110" s="17" t="inlineStr">
        <is>
          <t>공장 대표번호</t>
        </is>
      </c>
    </row>
    <row r="111">
      <c r="A111" s="17" t="inlineStr">
        <is>
          <t>C093</t>
        </is>
      </c>
      <c r="B111" s="17" t="inlineStr">
        <is>
          <t>에이치엘비제약</t>
        </is>
      </c>
      <c r="C111" s="17" t="inlineStr">
        <is>
          <t>에이치엘비제약(주)</t>
        </is>
      </c>
      <c r="D111" s="17" t="inlineStr">
        <is>
          <t>대표전화</t>
        </is>
      </c>
      <c r="E111" s="17" t="inlineStr">
        <is>
          <t>031-557-0001</t>
        </is>
      </c>
      <c r="F111" s="17" t="inlineStr"/>
      <c r="G111" s="17" t="inlineStr">
        <is>
          <t>2026-07-06</t>
        </is>
      </c>
      <c r="H111" s="17" t="inlineStr">
        <is>
          <t>식품의약품안전처</t>
        </is>
      </c>
      <c r="I111" s="17" t="inlineStr">
        <is>
          <t>의약품 등 업체허가현황(제조소상세)</t>
        </is>
      </c>
      <c r="J111" s="17" t="inlineStr">
        <is>
          <t>https://www.data.go.kr/data/15095682/openapi.do</t>
        </is>
      </c>
      <c r="K111" s="17" t="inlineStr">
        <is>
          <t>2026-07-06</t>
        </is>
      </c>
      <c r="L111" s="17" t="inlineStr">
        <is>
          <t>A</t>
        </is>
      </c>
      <c r="M111" s="17" t="inlineStr">
        <is>
          <t>공장 대표번호</t>
        </is>
      </c>
    </row>
    <row r="112">
      <c r="A112" s="17" t="inlineStr">
        <is>
          <t>C095</t>
        </is>
      </c>
      <c r="B112" s="17" t="inlineStr">
        <is>
          <t>대한뉴팜</t>
        </is>
      </c>
      <c r="C112" s="17" t="inlineStr">
        <is>
          <t>대한뉴팜(주)</t>
        </is>
      </c>
      <c r="D112" s="17" t="inlineStr">
        <is>
          <t>상장정보</t>
        </is>
      </c>
      <c r="E112" s="17" t="inlineStr">
        <is>
          <t>코스닥/054670</t>
        </is>
      </c>
      <c r="F112" s="17" t="inlineStr"/>
      <c r="G112" s="17" t="inlineStr">
        <is>
          <t>2026-07-06</t>
        </is>
      </c>
      <c r="H112" s="17" t="inlineStr">
        <is>
          <t>한국거래소 KIND</t>
        </is>
      </c>
      <c r="I112" s="17" t="inlineStr">
        <is>
          <t>상장법인목록</t>
        </is>
      </c>
      <c r="J112" s="17" t="inlineStr">
        <is>
          <t>https://kind.krx.co.kr</t>
        </is>
      </c>
      <c r="K112" s="17" t="inlineStr">
        <is>
          <t>2026-07-06</t>
        </is>
      </c>
      <c r="L112" s="17" t="inlineStr">
        <is>
          <t>A</t>
        </is>
      </c>
      <c r="M112" s="17" t="inlineStr"/>
    </row>
    <row r="113">
      <c r="A113" s="17" t="inlineStr">
        <is>
          <t>C095</t>
        </is>
      </c>
      <c r="B113" s="17" t="inlineStr">
        <is>
          <t>대한뉴팜</t>
        </is>
      </c>
      <c r="C113" s="17" t="inlineStr">
        <is>
          <t>대한뉴팜(주)</t>
        </is>
      </c>
      <c r="D113" s="17" t="inlineStr">
        <is>
          <t>홈페이지</t>
        </is>
      </c>
      <c r="E113" s="17" t="inlineStr">
        <is>
          <t>http://www.dhnp.co.kr</t>
        </is>
      </c>
      <c r="F113" s="17" t="inlineStr"/>
      <c r="G113" s="17" t="inlineStr">
        <is>
          <t>2026-07-06</t>
        </is>
      </c>
      <c r="H113" s="17" t="inlineStr">
        <is>
          <t>한국거래소 KIND</t>
        </is>
      </c>
      <c r="I113" s="17" t="inlineStr">
        <is>
          <t>상장법인목록</t>
        </is>
      </c>
      <c r="J113" s="17" t="inlineStr">
        <is>
          <t>https://kind.krx.co.kr</t>
        </is>
      </c>
      <c r="K113" s="17" t="inlineStr">
        <is>
          <t>2026-07-06</t>
        </is>
      </c>
      <c r="L113" s="17" t="inlineStr">
        <is>
          <t>A</t>
        </is>
      </c>
      <c r="M113" s="17" t="inlineStr"/>
    </row>
    <row r="114">
      <c r="A114" s="17" t="inlineStr">
        <is>
          <t>C096</t>
        </is>
      </c>
      <c r="B114" s="17" t="inlineStr">
        <is>
          <t>알피바이오</t>
        </is>
      </c>
      <c r="C114" s="17" t="inlineStr">
        <is>
          <t>(주)알피바이오</t>
        </is>
      </c>
      <c r="D114" s="17" t="inlineStr">
        <is>
          <t>상장정보</t>
        </is>
      </c>
      <c r="E114" s="17" t="inlineStr">
        <is>
          <t>코스닥/314140</t>
        </is>
      </c>
      <c r="F114" s="17" t="inlineStr"/>
      <c r="G114" s="17" t="inlineStr">
        <is>
          <t>2026-07-06</t>
        </is>
      </c>
      <c r="H114" s="17" t="inlineStr">
        <is>
          <t>한국거래소 KIND</t>
        </is>
      </c>
      <c r="I114" s="17" t="inlineStr">
        <is>
          <t>상장법인목록</t>
        </is>
      </c>
      <c r="J114" s="17" t="inlineStr">
        <is>
          <t>https://kind.krx.co.kr</t>
        </is>
      </c>
      <c r="K114" s="17" t="inlineStr">
        <is>
          <t>2026-07-06</t>
        </is>
      </c>
      <c r="L114" s="17" t="inlineStr">
        <is>
          <t>A</t>
        </is>
      </c>
      <c r="M114" s="17" t="inlineStr"/>
    </row>
    <row r="115">
      <c r="A115" s="17" t="inlineStr">
        <is>
          <t>C096</t>
        </is>
      </c>
      <c r="B115" s="17" t="inlineStr">
        <is>
          <t>알피바이오</t>
        </is>
      </c>
      <c r="C115" s="17" t="inlineStr">
        <is>
          <t>(주)알피바이오</t>
        </is>
      </c>
      <c r="D115" s="17" t="inlineStr">
        <is>
          <t>홈페이지</t>
        </is>
      </c>
      <c r="E115" s="17" t="inlineStr">
        <is>
          <t>http://rpskorea.com</t>
        </is>
      </c>
      <c r="F115" s="17" t="inlineStr"/>
      <c r="G115" s="17" t="inlineStr">
        <is>
          <t>2026-07-06</t>
        </is>
      </c>
      <c r="H115" s="17" t="inlineStr">
        <is>
          <t>한국거래소 KIND</t>
        </is>
      </c>
      <c r="I115" s="17" t="inlineStr">
        <is>
          <t>상장법인목록</t>
        </is>
      </c>
      <c r="J115" s="17" t="inlineStr">
        <is>
          <t>https://kind.krx.co.kr</t>
        </is>
      </c>
      <c r="K115" s="17" t="inlineStr">
        <is>
          <t>2026-07-06</t>
        </is>
      </c>
      <c r="L115" s="17" t="inlineStr">
        <is>
          <t>A</t>
        </is>
      </c>
      <c r="M115" s="17" t="inlineStr"/>
    </row>
    <row r="116">
      <c r="A116" s="17" t="inlineStr">
        <is>
          <t>C097</t>
        </is>
      </c>
      <c r="B116" s="17" t="inlineStr">
        <is>
          <t>제이더블유신약</t>
        </is>
      </c>
      <c r="C116" s="17" t="inlineStr">
        <is>
          <t>제이더블유신약(주)</t>
        </is>
      </c>
      <c r="D116" s="17" t="inlineStr">
        <is>
          <t>대표전화</t>
        </is>
      </c>
      <c r="E116" s="17" t="inlineStr">
        <is>
          <t>031-668-0561</t>
        </is>
      </c>
      <c r="F116" s="17" t="inlineStr"/>
      <c r="G116" s="17" t="inlineStr">
        <is>
          <t>2026-07-06</t>
        </is>
      </c>
      <c r="H116" s="17" t="inlineStr">
        <is>
          <t>식품의약품안전처</t>
        </is>
      </c>
      <c r="I116" s="17" t="inlineStr">
        <is>
          <t>의약품 등 업체허가현황(제조소상세)</t>
        </is>
      </c>
      <c r="J116" s="17" t="inlineStr">
        <is>
          <t>https://www.data.go.kr/data/15095682/openapi.do</t>
        </is>
      </c>
      <c r="K116" s="17" t="inlineStr">
        <is>
          <t>2026-07-06</t>
        </is>
      </c>
      <c r="L116" s="17" t="inlineStr">
        <is>
          <t>A</t>
        </is>
      </c>
      <c r="M116" s="17" t="inlineStr">
        <is>
          <t>공장 대표번호</t>
        </is>
      </c>
    </row>
    <row r="117">
      <c r="A117" s="17" t="inlineStr">
        <is>
          <t>C098</t>
        </is>
      </c>
      <c r="B117" s="17" t="inlineStr">
        <is>
          <t>파마리서치</t>
        </is>
      </c>
      <c r="C117" s="17" t="inlineStr">
        <is>
          <t>(주)파마리서치</t>
        </is>
      </c>
      <c r="D117" s="17" t="inlineStr">
        <is>
          <t>상장정보</t>
        </is>
      </c>
      <c r="E117" s="17" t="inlineStr">
        <is>
          <t>코스닥/214450</t>
        </is>
      </c>
      <c r="F117" s="17" t="inlineStr"/>
      <c r="G117" s="17" t="inlineStr">
        <is>
          <t>2026-07-06</t>
        </is>
      </c>
      <c r="H117" s="17" t="inlineStr">
        <is>
          <t>한국거래소 KIND</t>
        </is>
      </c>
      <c r="I117" s="17" t="inlineStr">
        <is>
          <t>상장법인목록</t>
        </is>
      </c>
      <c r="J117" s="17" t="inlineStr">
        <is>
          <t>https://kind.krx.co.kr</t>
        </is>
      </c>
      <c r="K117" s="17" t="inlineStr">
        <is>
          <t>2026-07-06</t>
        </is>
      </c>
      <c r="L117" s="17" t="inlineStr">
        <is>
          <t>A</t>
        </is>
      </c>
      <c r="M117" s="17" t="inlineStr"/>
    </row>
    <row r="118">
      <c r="A118" s="17" t="inlineStr">
        <is>
          <t>C098</t>
        </is>
      </c>
      <c r="B118" s="17" t="inlineStr">
        <is>
          <t>파마리서치</t>
        </is>
      </c>
      <c r="C118" s="17" t="inlineStr">
        <is>
          <t>(주)파마리서치</t>
        </is>
      </c>
      <c r="D118" s="17" t="inlineStr">
        <is>
          <t>홈페이지</t>
        </is>
      </c>
      <c r="E118" s="17" t="inlineStr">
        <is>
          <t>http://pharmaresearch.com/</t>
        </is>
      </c>
      <c r="F118" s="17" t="inlineStr"/>
      <c r="G118" s="17" t="inlineStr">
        <is>
          <t>2026-07-06</t>
        </is>
      </c>
      <c r="H118" s="17" t="inlineStr">
        <is>
          <t>한국거래소 KIND</t>
        </is>
      </c>
      <c r="I118" s="17" t="inlineStr">
        <is>
          <t>상장법인목록</t>
        </is>
      </c>
      <c r="J118" s="17" t="inlineStr">
        <is>
          <t>https://kind.krx.co.kr</t>
        </is>
      </c>
      <c r="K118" s="17" t="inlineStr">
        <is>
          <t>2026-07-06</t>
        </is>
      </c>
      <c r="L118" s="17" t="inlineStr">
        <is>
          <t>A</t>
        </is>
      </c>
      <c r="M118" s="17" t="inlineStr"/>
    </row>
    <row r="119">
      <c r="A119" s="17" t="inlineStr">
        <is>
          <t>C099</t>
        </is>
      </c>
      <c r="B119" s="17" t="inlineStr">
        <is>
          <t>한국유니온제약</t>
        </is>
      </c>
      <c r="C119" s="17" t="inlineStr">
        <is>
          <t>한국유니온제약(주)</t>
        </is>
      </c>
      <c r="D119" s="17" t="inlineStr">
        <is>
          <t>상장정보</t>
        </is>
      </c>
      <c r="E119" s="17" t="inlineStr">
        <is>
          <t>코스닥/080720</t>
        </is>
      </c>
      <c r="F119" s="17" t="inlineStr"/>
      <c r="G119" s="17" t="inlineStr">
        <is>
          <t>2026-07-06</t>
        </is>
      </c>
      <c r="H119" s="17" t="inlineStr">
        <is>
          <t>한국거래소 KIND</t>
        </is>
      </c>
      <c r="I119" s="17" t="inlineStr">
        <is>
          <t>상장법인목록</t>
        </is>
      </c>
      <c r="J119" s="17" t="inlineStr">
        <is>
          <t>https://kind.krx.co.kr</t>
        </is>
      </c>
      <c r="K119" s="17" t="inlineStr">
        <is>
          <t>2026-07-06</t>
        </is>
      </c>
      <c r="L119" s="17" t="inlineStr">
        <is>
          <t>A</t>
        </is>
      </c>
      <c r="M119" s="17" t="inlineStr"/>
    </row>
    <row r="120">
      <c r="A120" s="17" t="inlineStr">
        <is>
          <t>C099</t>
        </is>
      </c>
      <c r="B120" s="17" t="inlineStr">
        <is>
          <t>한국유니온제약</t>
        </is>
      </c>
      <c r="C120" s="17" t="inlineStr">
        <is>
          <t>한국유니온제약(주)</t>
        </is>
      </c>
      <c r="D120" s="17" t="inlineStr">
        <is>
          <t>홈페이지</t>
        </is>
      </c>
      <c r="E120" s="17" t="inlineStr">
        <is>
          <t>http://www.ukp.co.kr/</t>
        </is>
      </c>
      <c r="F120" s="17" t="inlineStr"/>
      <c r="G120" s="17" t="inlineStr">
        <is>
          <t>2026-07-06</t>
        </is>
      </c>
      <c r="H120" s="17" t="inlineStr">
        <is>
          <t>한국거래소 KIND</t>
        </is>
      </c>
      <c r="I120" s="17" t="inlineStr">
        <is>
          <t>상장법인목록</t>
        </is>
      </c>
      <c r="J120" s="17" t="inlineStr">
        <is>
          <t>https://kind.krx.co.kr</t>
        </is>
      </c>
      <c r="K120" s="17" t="inlineStr">
        <is>
          <t>2026-07-06</t>
        </is>
      </c>
      <c r="L120" s="17" t="inlineStr">
        <is>
          <t>A</t>
        </is>
      </c>
      <c r="M120" s="17" t="inlineStr"/>
    </row>
    <row r="121">
      <c r="A121" s="17" t="inlineStr">
        <is>
          <t>C101</t>
        </is>
      </c>
      <c r="B121" s="17" t="inlineStr">
        <is>
          <t>에이치피앤씨</t>
        </is>
      </c>
      <c r="C121" s="17" t="inlineStr">
        <is>
          <t>(주)에이치피앤씨</t>
        </is>
      </c>
      <c r="D121" s="17" t="inlineStr">
        <is>
          <t>대표전화</t>
        </is>
      </c>
      <c r="E121" s="17" t="inlineStr">
        <is>
          <t>043-236-0026</t>
        </is>
      </c>
      <c r="F121" s="17" t="inlineStr"/>
      <c r="G121" s="17" t="inlineStr">
        <is>
          <t>2026-07-06</t>
        </is>
      </c>
      <c r="H121" s="17" t="inlineStr">
        <is>
          <t>식품의약품안전처</t>
        </is>
      </c>
      <c r="I121" s="17" t="inlineStr">
        <is>
          <t>의약품 등 업체허가현황(제조소상세)</t>
        </is>
      </c>
      <c r="J121" s="17" t="inlineStr">
        <is>
          <t>https://www.data.go.kr/data/15095682/openapi.do</t>
        </is>
      </c>
      <c r="K121" s="17" t="inlineStr">
        <is>
          <t>2026-07-06</t>
        </is>
      </c>
      <c r="L121" s="17" t="inlineStr">
        <is>
          <t>A</t>
        </is>
      </c>
      <c r="M121" s="17" t="inlineStr">
        <is>
          <t>공장 대표번호</t>
        </is>
      </c>
    </row>
    <row r="122">
      <c r="A122" s="17" t="inlineStr">
        <is>
          <t>C102</t>
        </is>
      </c>
      <c r="B122" s="17" t="inlineStr">
        <is>
          <t>복지종합가스</t>
        </is>
      </c>
      <c r="C122" s="17" t="inlineStr">
        <is>
          <t>복지종합가스(주)</t>
        </is>
      </c>
      <c r="D122" s="17" t="inlineStr">
        <is>
          <t>대표전화</t>
        </is>
      </c>
      <c r="E122" s="17" t="inlineStr">
        <is>
          <t>031-858-7373</t>
        </is>
      </c>
      <c r="F122" s="17" t="inlineStr"/>
      <c r="G122" s="17" t="inlineStr">
        <is>
          <t>2026-07-06</t>
        </is>
      </c>
      <c r="H122" s="17" t="inlineStr">
        <is>
          <t>식품의약품안전처</t>
        </is>
      </c>
      <c r="I122" s="17" t="inlineStr">
        <is>
          <t>의약품 등 업체허가현황(제조소상세)</t>
        </is>
      </c>
      <c r="J122" s="17" t="inlineStr">
        <is>
          <t>https://www.data.go.kr/data/15095682/openapi.do</t>
        </is>
      </c>
      <c r="K122" s="17" t="inlineStr">
        <is>
          <t>2026-07-06</t>
        </is>
      </c>
      <c r="L122" s="17" t="inlineStr">
        <is>
          <t>A</t>
        </is>
      </c>
      <c r="M122" s="17" t="inlineStr">
        <is>
          <t>공장 대표번호</t>
        </is>
      </c>
    </row>
    <row r="123">
      <c r="A123" s="17" t="inlineStr">
        <is>
          <t>C103</t>
        </is>
      </c>
      <c r="B123" s="17" t="inlineStr">
        <is>
          <t>대원제약</t>
        </is>
      </c>
      <c r="C123" s="17" t="inlineStr">
        <is>
          <t>대원제약(주)</t>
        </is>
      </c>
      <c r="D123" s="17" t="inlineStr">
        <is>
          <t>대표전화</t>
        </is>
      </c>
      <c r="E123" s="17" t="inlineStr">
        <is>
          <t>02-2204-6965</t>
        </is>
      </c>
      <c r="F123" s="17" t="inlineStr"/>
      <c r="G123" s="17" t="inlineStr">
        <is>
          <t>2026-07-06</t>
        </is>
      </c>
      <c r="H123" s="17" t="inlineStr">
        <is>
          <t>식품의약품안전처</t>
        </is>
      </c>
      <c r="I123" s="17" t="inlineStr">
        <is>
          <t>의약품 등 업체허가현황(제조소상세)</t>
        </is>
      </c>
      <c r="J123" s="17" t="inlineStr">
        <is>
          <t>https://www.data.go.kr/data/15095682/openapi.do</t>
        </is>
      </c>
      <c r="K123" s="17" t="inlineStr">
        <is>
          <t>2026-07-06</t>
        </is>
      </c>
      <c r="L123" s="17" t="inlineStr">
        <is>
          <t>A</t>
        </is>
      </c>
      <c r="M123" s="17" t="inlineStr">
        <is>
          <t>공장 대표번호</t>
        </is>
      </c>
    </row>
    <row r="124">
      <c r="A124" s="17" t="inlineStr">
        <is>
          <t>C103</t>
        </is>
      </c>
      <c r="B124" s="17" t="inlineStr">
        <is>
          <t>대원제약</t>
        </is>
      </c>
      <c r="C124" s="17" t="inlineStr">
        <is>
          <t>대원제약(주)</t>
        </is>
      </c>
      <c r="D124" s="17" t="inlineStr">
        <is>
          <t>상장정보</t>
        </is>
      </c>
      <c r="E124" s="17" t="inlineStr">
        <is>
          <t>유가/003220</t>
        </is>
      </c>
      <c r="F124" s="17" t="inlineStr"/>
      <c r="G124" s="17" t="inlineStr">
        <is>
          <t>2026-07-06</t>
        </is>
      </c>
      <c r="H124" s="17" t="inlineStr">
        <is>
          <t>한국거래소 KIND</t>
        </is>
      </c>
      <c r="I124" s="17" t="inlineStr">
        <is>
          <t>상장법인목록</t>
        </is>
      </c>
      <c r="J124" s="17" t="inlineStr">
        <is>
          <t>https://kind.krx.co.kr</t>
        </is>
      </c>
      <c r="K124" s="17" t="inlineStr">
        <is>
          <t>2026-07-06</t>
        </is>
      </c>
      <c r="L124" s="17" t="inlineStr">
        <is>
          <t>A</t>
        </is>
      </c>
      <c r="M124" s="17" t="inlineStr"/>
    </row>
    <row r="125">
      <c r="A125" s="17" t="inlineStr">
        <is>
          <t>C103</t>
        </is>
      </c>
      <c r="B125" s="17" t="inlineStr">
        <is>
          <t>대원제약</t>
        </is>
      </c>
      <c r="C125" s="17" t="inlineStr">
        <is>
          <t>대원제약(주)</t>
        </is>
      </c>
      <c r="D125" s="17" t="inlineStr">
        <is>
          <t>홈페이지</t>
        </is>
      </c>
      <c r="E125" s="17" t="inlineStr">
        <is>
          <t>http://www.daewonpharm.com</t>
        </is>
      </c>
      <c r="F125" s="17" t="inlineStr"/>
      <c r="G125" s="17" t="inlineStr">
        <is>
          <t>2026-07-06</t>
        </is>
      </c>
      <c r="H125" s="17" t="inlineStr">
        <is>
          <t>한국거래소 KIND</t>
        </is>
      </c>
      <c r="I125" s="17" t="inlineStr">
        <is>
          <t>상장법인목록</t>
        </is>
      </c>
      <c r="J125" s="17" t="inlineStr">
        <is>
          <t>https://kind.krx.co.kr</t>
        </is>
      </c>
      <c r="K125" s="17" t="inlineStr">
        <is>
          <t>2026-07-06</t>
        </is>
      </c>
      <c r="L125" s="17" t="inlineStr">
        <is>
          <t>A</t>
        </is>
      </c>
      <c r="M125" s="17" t="inlineStr"/>
    </row>
    <row r="126">
      <c r="A126" s="17" t="inlineStr">
        <is>
          <t>C104</t>
        </is>
      </c>
      <c r="B126" s="17" t="inlineStr">
        <is>
          <t>대웅제약</t>
        </is>
      </c>
      <c r="C126" s="17" t="inlineStr">
        <is>
          <t>(주)대웅제약</t>
        </is>
      </c>
      <c r="D126" s="17" t="inlineStr">
        <is>
          <t>대표전화</t>
        </is>
      </c>
      <c r="E126" s="17" t="inlineStr">
        <is>
          <t>02-550-8721</t>
        </is>
      </c>
      <c r="F126" s="17" t="inlineStr"/>
      <c r="G126" s="17" t="inlineStr">
        <is>
          <t>2026-07-06</t>
        </is>
      </c>
      <c r="H126" s="17" t="inlineStr">
        <is>
          <t>식품의약품안전처</t>
        </is>
      </c>
      <c r="I126" s="17" t="inlineStr">
        <is>
          <t>의약품 등 업체허가현황(제조소상세)</t>
        </is>
      </c>
      <c r="J126" s="17" t="inlineStr">
        <is>
          <t>https://www.data.go.kr/data/15095682/openapi.do</t>
        </is>
      </c>
      <c r="K126" s="17" t="inlineStr">
        <is>
          <t>2026-07-06</t>
        </is>
      </c>
      <c r="L126" s="17" t="inlineStr">
        <is>
          <t>A</t>
        </is>
      </c>
      <c r="M126" s="17" t="inlineStr">
        <is>
          <t>공장 대표번호</t>
        </is>
      </c>
    </row>
    <row r="127">
      <c r="A127" s="17" t="inlineStr">
        <is>
          <t>C104</t>
        </is>
      </c>
      <c r="B127" s="17" t="inlineStr">
        <is>
          <t>대웅제약</t>
        </is>
      </c>
      <c r="C127" s="17" t="inlineStr">
        <is>
          <t>(주)대웅제약</t>
        </is>
      </c>
      <c r="D127" s="17" t="inlineStr">
        <is>
          <t>상장정보</t>
        </is>
      </c>
      <c r="E127" s="17" t="inlineStr">
        <is>
          <t>유가/069620</t>
        </is>
      </c>
      <c r="F127" s="17" t="inlineStr"/>
      <c r="G127" s="17" t="inlineStr">
        <is>
          <t>2026-07-06</t>
        </is>
      </c>
      <c r="H127" s="17" t="inlineStr">
        <is>
          <t>한국거래소 KIND</t>
        </is>
      </c>
      <c r="I127" s="17" t="inlineStr">
        <is>
          <t>상장법인목록</t>
        </is>
      </c>
      <c r="J127" s="17" t="inlineStr">
        <is>
          <t>https://kind.krx.co.kr</t>
        </is>
      </c>
      <c r="K127" s="17" t="inlineStr">
        <is>
          <t>2026-07-06</t>
        </is>
      </c>
      <c r="L127" s="17" t="inlineStr">
        <is>
          <t>A</t>
        </is>
      </c>
      <c r="M127" s="17" t="inlineStr"/>
    </row>
    <row r="128">
      <c r="A128" s="17" t="inlineStr">
        <is>
          <t>C104</t>
        </is>
      </c>
      <c r="B128" s="17" t="inlineStr">
        <is>
          <t>대웅제약</t>
        </is>
      </c>
      <c r="C128" s="17" t="inlineStr">
        <is>
          <t>(주)대웅제약</t>
        </is>
      </c>
      <c r="D128" s="17" t="inlineStr">
        <is>
          <t>홈페이지</t>
        </is>
      </c>
      <c r="E128" s="17" t="inlineStr">
        <is>
          <t>http://www.daewoong.co.kr</t>
        </is>
      </c>
      <c r="F128" s="17" t="inlineStr"/>
      <c r="G128" s="17" t="inlineStr">
        <is>
          <t>2026-07-06</t>
        </is>
      </c>
      <c r="H128" s="17" t="inlineStr">
        <is>
          <t>한국거래소 KIND</t>
        </is>
      </c>
      <c r="I128" s="17" t="inlineStr">
        <is>
          <t>상장법인목록</t>
        </is>
      </c>
      <c r="J128" s="17" t="inlineStr">
        <is>
          <t>https://kind.krx.co.kr</t>
        </is>
      </c>
      <c r="K128" s="17" t="inlineStr">
        <is>
          <t>2026-07-06</t>
        </is>
      </c>
      <c r="L128" s="17" t="inlineStr">
        <is>
          <t>A</t>
        </is>
      </c>
      <c r="M128" s="17" t="inlineStr"/>
    </row>
    <row r="129">
      <c r="A129" s="17" t="inlineStr">
        <is>
          <t>C105</t>
        </is>
      </c>
      <c r="B129" s="17" t="inlineStr">
        <is>
          <t>코스맥스파마</t>
        </is>
      </c>
      <c r="C129" s="17" t="inlineStr">
        <is>
          <t>코스맥스파마(주)</t>
        </is>
      </c>
      <c r="D129" s="17" t="inlineStr">
        <is>
          <t>대표전화</t>
        </is>
      </c>
      <c r="E129" s="17" t="inlineStr">
        <is>
          <t>043-238-8477</t>
        </is>
      </c>
      <c r="F129" s="17" t="inlineStr"/>
      <c r="G129" s="17" t="inlineStr">
        <is>
          <t>2026-07-06</t>
        </is>
      </c>
      <c r="H129" s="17" t="inlineStr">
        <is>
          <t>식품의약품안전처</t>
        </is>
      </c>
      <c r="I129" s="17" t="inlineStr">
        <is>
          <t>의약품 등 업체허가현황(제조소상세)</t>
        </is>
      </c>
      <c r="J129" s="17" t="inlineStr">
        <is>
          <t>https://www.data.go.kr/data/15095682/openapi.do</t>
        </is>
      </c>
      <c r="K129" s="17" t="inlineStr">
        <is>
          <t>2026-07-06</t>
        </is>
      </c>
      <c r="L129" s="17" t="inlineStr">
        <is>
          <t>A</t>
        </is>
      </c>
      <c r="M129" s="17" t="inlineStr">
        <is>
          <t>공장 대표번호</t>
        </is>
      </c>
    </row>
    <row r="130">
      <c r="A130" s="17" t="inlineStr">
        <is>
          <t>C106</t>
        </is>
      </c>
      <c r="B130" s="17" t="inlineStr">
        <is>
          <t>현대약품</t>
        </is>
      </c>
      <c r="C130" s="17" t="inlineStr">
        <is>
          <t>현대약품(주)</t>
        </is>
      </c>
      <c r="D130" s="17" t="inlineStr">
        <is>
          <t>대표전화</t>
        </is>
      </c>
      <c r="E130" s="17" t="inlineStr">
        <is>
          <t>041-570-5114</t>
        </is>
      </c>
      <c r="F130" s="17" t="inlineStr"/>
      <c r="G130" s="17" t="inlineStr">
        <is>
          <t>2026-07-06</t>
        </is>
      </c>
      <c r="H130" s="17" t="inlineStr">
        <is>
          <t>식품의약품안전처</t>
        </is>
      </c>
      <c r="I130" s="17" t="inlineStr">
        <is>
          <t>의약품 등 업체허가현황(제조소상세)</t>
        </is>
      </c>
      <c r="J130" s="17" t="inlineStr">
        <is>
          <t>https://www.data.go.kr/data/15095682/openapi.do</t>
        </is>
      </c>
      <c r="K130" s="17" t="inlineStr">
        <is>
          <t>2026-07-06</t>
        </is>
      </c>
      <c r="L130" s="17" t="inlineStr">
        <is>
          <t>A</t>
        </is>
      </c>
      <c r="M130" s="17" t="inlineStr">
        <is>
          <t>공장 대표번호</t>
        </is>
      </c>
    </row>
    <row r="131">
      <c r="A131" s="17" t="inlineStr">
        <is>
          <t>C106</t>
        </is>
      </c>
      <c r="B131" s="17" t="inlineStr">
        <is>
          <t>현대약품</t>
        </is>
      </c>
      <c r="C131" s="17" t="inlineStr">
        <is>
          <t>현대약품(주)</t>
        </is>
      </c>
      <c r="D131" s="17" t="inlineStr">
        <is>
          <t>상장정보</t>
        </is>
      </c>
      <c r="E131" s="17" t="inlineStr">
        <is>
          <t>유가/004310</t>
        </is>
      </c>
      <c r="F131" s="17" t="inlineStr"/>
      <c r="G131" s="17" t="inlineStr">
        <is>
          <t>2026-07-06</t>
        </is>
      </c>
      <c r="H131" s="17" t="inlineStr">
        <is>
          <t>한국거래소 KIND</t>
        </is>
      </c>
      <c r="I131" s="17" t="inlineStr">
        <is>
          <t>상장법인목록</t>
        </is>
      </c>
      <c r="J131" s="17" t="inlineStr">
        <is>
          <t>https://kind.krx.co.kr</t>
        </is>
      </c>
      <c r="K131" s="17" t="inlineStr">
        <is>
          <t>2026-07-06</t>
        </is>
      </c>
      <c r="L131" s="17" t="inlineStr">
        <is>
          <t>A</t>
        </is>
      </c>
      <c r="M131" s="17" t="inlineStr"/>
    </row>
    <row r="132">
      <c r="A132" s="17" t="inlineStr">
        <is>
          <t>C106</t>
        </is>
      </c>
      <c r="B132" s="17" t="inlineStr">
        <is>
          <t>현대약품</t>
        </is>
      </c>
      <c r="C132" s="17" t="inlineStr">
        <is>
          <t>현대약품(주)</t>
        </is>
      </c>
      <c r="D132" s="17" t="inlineStr">
        <is>
          <t>홈페이지</t>
        </is>
      </c>
      <c r="E132" s="17" t="inlineStr">
        <is>
          <t>http://www.hyundaipharm.co.kr</t>
        </is>
      </c>
      <c r="F132" s="17" t="inlineStr"/>
      <c r="G132" s="17" t="inlineStr">
        <is>
          <t>2026-07-06</t>
        </is>
      </c>
      <c r="H132" s="17" t="inlineStr">
        <is>
          <t>한국거래소 KIND</t>
        </is>
      </c>
      <c r="I132" s="17" t="inlineStr">
        <is>
          <t>상장법인목록</t>
        </is>
      </c>
      <c r="J132" s="17" t="inlineStr">
        <is>
          <t>https://kind.krx.co.kr</t>
        </is>
      </c>
      <c r="K132" s="17" t="inlineStr">
        <is>
          <t>2026-07-06</t>
        </is>
      </c>
      <c r="L132" s="17" t="inlineStr">
        <is>
          <t>A</t>
        </is>
      </c>
      <c r="M132" s="17" t="inlineStr"/>
    </row>
    <row r="133">
      <c r="A133" s="17" t="inlineStr">
        <is>
          <t>C107</t>
        </is>
      </c>
      <c r="B133" s="17" t="inlineStr">
        <is>
          <t>비씨월드헬스케어</t>
        </is>
      </c>
      <c r="C133" s="17" t="inlineStr">
        <is>
          <t>(주)비씨월드헬스케어</t>
        </is>
      </c>
      <c r="D133" s="17" t="inlineStr">
        <is>
          <t>대표전화</t>
        </is>
      </c>
      <c r="E133" s="17" t="inlineStr">
        <is>
          <t>033-813-0991</t>
        </is>
      </c>
      <c r="F133" s="17" t="inlineStr"/>
      <c r="G133" s="17" t="inlineStr">
        <is>
          <t>2026-07-06</t>
        </is>
      </c>
      <c r="H133" s="17" t="inlineStr">
        <is>
          <t>식품의약품안전처</t>
        </is>
      </c>
      <c r="I133" s="17" t="inlineStr">
        <is>
          <t>의약품 등 업체허가현황(제조소상세)</t>
        </is>
      </c>
      <c r="J133" s="17" t="inlineStr">
        <is>
          <t>https://www.data.go.kr/data/15095682/openapi.do</t>
        </is>
      </c>
      <c r="K133" s="17" t="inlineStr">
        <is>
          <t>2026-07-06</t>
        </is>
      </c>
      <c r="L133" s="17" t="inlineStr">
        <is>
          <t>A</t>
        </is>
      </c>
      <c r="M133" s="17" t="inlineStr">
        <is>
          <t>공장 대표번호</t>
        </is>
      </c>
    </row>
    <row r="134">
      <c r="A134" s="17" t="inlineStr">
        <is>
          <t>C108</t>
        </is>
      </c>
      <c r="B134" s="17" t="inlineStr">
        <is>
          <t>제일약품</t>
        </is>
      </c>
      <c r="C134" s="17" t="inlineStr">
        <is>
          <t>제일약품(주)</t>
        </is>
      </c>
      <c r="D134" s="17" t="inlineStr">
        <is>
          <t>상장정보</t>
        </is>
      </c>
      <c r="E134" s="17" t="inlineStr">
        <is>
          <t>유가/271980</t>
        </is>
      </c>
      <c r="F134" s="17" t="inlineStr"/>
      <c r="G134" s="17" t="inlineStr">
        <is>
          <t>2026-07-06</t>
        </is>
      </c>
      <c r="H134" s="17" t="inlineStr">
        <is>
          <t>한국거래소 KIND</t>
        </is>
      </c>
      <c r="I134" s="17" t="inlineStr">
        <is>
          <t>상장법인목록</t>
        </is>
      </c>
      <c r="J134" s="17" t="inlineStr">
        <is>
          <t>https://kind.krx.co.kr</t>
        </is>
      </c>
      <c r="K134" s="17" t="inlineStr">
        <is>
          <t>2026-07-06</t>
        </is>
      </c>
      <c r="L134" s="17" t="inlineStr">
        <is>
          <t>A</t>
        </is>
      </c>
      <c r="M134" s="17" t="inlineStr"/>
    </row>
    <row r="135">
      <c r="A135" s="17" t="inlineStr">
        <is>
          <t>C108</t>
        </is>
      </c>
      <c r="B135" s="17" t="inlineStr">
        <is>
          <t>제일약품</t>
        </is>
      </c>
      <c r="C135" s="17" t="inlineStr">
        <is>
          <t>제일약품(주)</t>
        </is>
      </c>
      <c r="D135" s="17" t="inlineStr">
        <is>
          <t>홈페이지</t>
        </is>
      </c>
      <c r="E135" s="17" t="inlineStr">
        <is>
          <t>http://www.jeilpharm.co.kr</t>
        </is>
      </c>
      <c r="F135" s="17" t="inlineStr"/>
      <c r="G135" s="17" t="inlineStr">
        <is>
          <t>2026-07-06</t>
        </is>
      </c>
      <c r="H135" s="17" t="inlineStr">
        <is>
          <t>한국거래소 KIND</t>
        </is>
      </c>
      <c r="I135" s="17" t="inlineStr">
        <is>
          <t>상장법인목록</t>
        </is>
      </c>
      <c r="J135" s="17" t="inlineStr">
        <is>
          <t>https://kind.krx.co.kr</t>
        </is>
      </c>
      <c r="K135" s="17" t="inlineStr">
        <is>
          <t>2026-07-06</t>
        </is>
      </c>
      <c r="L135" s="17" t="inlineStr">
        <is>
          <t>A</t>
        </is>
      </c>
      <c r="M135" s="17" t="inlineStr"/>
    </row>
    <row r="136">
      <c r="A136" s="17" t="inlineStr">
        <is>
          <t>C109</t>
        </is>
      </c>
      <c r="B136" s="17" t="inlineStr">
        <is>
          <t>신신제약</t>
        </is>
      </c>
      <c r="C136" s="17" t="inlineStr">
        <is>
          <t>신신제약(주)</t>
        </is>
      </c>
      <c r="D136" s="17" t="inlineStr">
        <is>
          <t>대표전화</t>
        </is>
      </c>
      <c r="E136" s="17" t="inlineStr">
        <is>
          <t>031-776-1150</t>
        </is>
      </c>
      <c r="F136" s="17" t="inlineStr"/>
      <c r="G136" s="17" t="inlineStr">
        <is>
          <t>2026-07-06</t>
        </is>
      </c>
      <c r="H136" s="17" t="inlineStr">
        <is>
          <t>식품의약품안전처</t>
        </is>
      </c>
      <c r="I136" s="17" t="inlineStr">
        <is>
          <t>의약품 등 업체허가현황(제조소상세)</t>
        </is>
      </c>
      <c r="J136" s="17" t="inlineStr">
        <is>
          <t>https://www.data.go.kr/data/15095682/openapi.do</t>
        </is>
      </c>
      <c r="K136" s="17" t="inlineStr">
        <is>
          <t>2026-07-06</t>
        </is>
      </c>
      <c r="L136" s="17" t="inlineStr">
        <is>
          <t>A</t>
        </is>
      </c>
      <c r="M136" s="17" t="inlineStr">
        <is>
          <t>공장 대표번호</t>
        </is>
      </c>
    </row>
    <row r="137">
      <c r="A137" s="17" t="inlineStr">
        <is>
          <t>C109</t>
        </is>
      </c>
      <c r="B137" s="17" t="inlineStr">
        <is>
          <t>신신제약</t>
        </is>
      </c>
      <c r="C137" s="17" t="inlineStr">
        <is>
          <t>신신제약(주)</t>
        </is>
      </c>
      <c r="D137" s="17" t="inlineStr">
        <is>
          <t>상장정보</t>
        </is>
      </c>
      <c r="E137" s="17" t="inlineStr">
        <is>
          <t>코스닥/002800</t>
        </is>
      </c>
      <c r="F137" s="17" t="inlineStr"/>
      <c r="G137" s="17" t="inlineStr">
        <is>
          <t>2026-07-06</t>
        </is>
      </c>
      <c r="H137" s="17" t="inlineStr">
        <is>
          <t>한국거래소 KIND</t>
        </is>
      </c>
      <c r="I137" s="17" t="inlineStr">
        <is>
          <t>상장법인목록</t>
        </is>
      </c>
      <c r="J137" s="17" t="inlineStr">
        <is>
          <t>https://kind.krx.co.kr</t>
        </is>
      </c>
      <c r="K137" s="17" t="inlineStr">
        <is>
          <t>2026-07-06</t>
        </is>
      </c>
      <c r="L137" s="17" t="inlineStr">
        <is>
          <t>A</t>
        </is>
      </c>
      <c r="M137" s="17" t="inlineStr"/>
    </row>
    <row r="138">
      <c r="A138" s="17" t="inlineStr">
        <is>
          <t>C109</t>
        </is>
      </c>
      <c r="B138" s="17" t="inlineStr">
        <is>
          <t>신신제약</t>
        </is>
      </c>
      <c r="C138" s="17" t="inlineStr">
        <is>
          <t>신신제약(주)</t>
        </is>
      </c>
      <c r="D138" s="17" t="inlineStr">
        <is>
          <t>홈페이지</t>
        </is>
      </c>
      <c r="E138" s="17" t="inlineStr">
        <is>
          <t>http://www.sinsin.com</t>
        </is>
      </c>
      <c r="F138" s="17" t="inlineStr"/>
      <c r="G138" s="17" t="inlineStr">
        <is>
          <t>2026-07-06</t>
        </is>
      </c>
      <c r="H138" s="17" t="inlineStr">
        <is>
          <t>한국거래소 KIND</t>
        </is>
      </c>
      <c r="I138" s="17" t="inlineStr">
        <is>
          <t>상장법인목록</t>
        </is>
      </c>
      <c r="J138" s="17" t="inlineStr">
        <is>
          <t>https://kind.krx.co.kr</t>
        </is>
      </c>
      <c r="K138" s="17" t="inlineStr">
        <is>
          <t>2026-07-06</t>
        </is>
      </c>
      <c r="L138" s="17" t="inlineStr">
        <is>
          <t>A</t>
        </is>
      </c>
      <c r="M138" s="17" t="inlineStr"/>
    </row>
    <row r="139">
      <c r="A139" s="17" t="inlineStr">
        <is>
          <t>C110</t>
        </is>
      </c>
      <c r="B139" s="17" t="inlineStr">
        <is>
          <t>제네톡스</t>
        </is>
      </c>
      <c r="C139" s="17" t="inlineStr">
        <is>
          <t>제네톡스(주)</t>
        </is>
      </c>
      <c r="D139" s="17" t="inlineStr">
        <is>
          <t>대표전화</t>
        </is>
      </c>
      <c r="E139" s="17" t="inlineStr">
        <is>
          <t>03334437003220</t>
        </is>
      </c>
      <c r="F139" s="17" t="inlineStr"/>
      <c r="G139" s="17" t="inlineStr">
        <is>
          <t>2026-07-06</t>
        </is>
      </c>
      <c r="H139" s="17" t="inlineStr">
        <is>
          <t>식품의약품안전처</t>
        </is>
      </c>
      <c r="I139" s="17" t="inlineStr">
        <is>
          <t>의약품 등 업체허가현황(제조소상세)</t>
        </is>
      </c>
      <c r="J139" s="17" t="inlineStr">
        <is>
          <t>https://www.data.go.kr/data/15095682/openapi.do</t>
        </is>
      </c>
      <c r="K139" s="17" t="inlineStr">
        <is>
          <t>2026-07-06</t>
        </is>
      </c>
      <c r="L139" s="17" t="inlineStr">
        <is>
          <t>A</t>
        </is>
      </c>
      <c r="M139" s="17" t="inlineStr">
        <is>
          <t>공장 대표번호</t>
        </is>
      </c>
    </row>
    <row r="140">
      <c r="A140" s="17" t="inlineStr">
        <is>
          <t>C111</t>
        </is>
      </c>
      <c r="B140" s="17" t="inlineStr">
        <is>
          <t>한국호넥스</t>
        </is>
      </c>
      <c r="C140" s="17" t="inlineStr">
        <is>
          <t>(주)한국호넥스</t>
        </is>
      </c>
      <c r="D140" s="17" t="inlineStr">
        <is>
          <t>대표전화</t>
        </is>
      </c>
      <c r="E140" s="17" t="inlineStr">
        <is>
          <t>043-846-4907</t>
        </is>
      </c>
      <c r="F140" s="17" t="inlineStr"/>
      <c r="G140" s="17" t="inlineStr">
        <is>
          <t>2026-07-06</t>
        </is>
      </c>
      <c r="H140" s="17" t="inlineStr">
        <is>
          <t>식품의약품안전처</t>
        </is>
      </c>
      <c r="I140" s="17" t="inlineStr">
        <is>
          <t>의약품 등 업체허가현황(제조소상세)</t>
        </is>
      </c>
      <c r="J140" s="17" t="inlineStr">
        <is>
          <t>https://www.data.go.kr/data/15095682/openapi.do</t>
        </is>
      </c>
      <c r="K140" s="17" t="inlineStr">
        <is>
          <t>2026-07-06</t>
        </is>
      </c>
      <c r="L140" s="17" t="inlineStr">
        <is>
          <t>A</t>
        </is>
      </c>
      <c r="M140" s="17" t="inlineStr">
        <is>
          <t>공장 대표번호</t>
        </is>
      </c>
    </row>
    <row r="141">
      <c r="A141" s="17" t="inlineStr">
        <is>
          <t>C112</t>
        </is>
      </c>
      <c r="B141" s="17" t="inlineStr">
        <is>
          <t>제이에스산업가스</t>
        </is>
      </c>
      <c r="C141" s="17" t="inlineStr">
        <is>
          <t>(주)제이에스산업가스</t>
        </is>
      </c>
      <c r="D141" s="17" t="inlineStr">
        <is>
          <t>대표전화</t>
        </is>
      </c>
      <c r="E141" s="17" t="inlineStr">
        <is>
          <t>055-338-0577</t>
        </is>
      </c>
      <c r="F141" s="17" t="inlineStr"/>
      <c r="G141" s="17" t="inlineStr">
        <is>
          <t>2026-07-06</t>
        </is>
      </c>
      <c r="H141" s="17" t="inlineStr">
        <is>
          <t>식품의약품안전처</t>
        </is>
      </c>
      <c r="I141" s="17" t="inlineStr">
        <is>
          <t>의약품 등 업체허가현황(제조소상세)</t>
        </is>
      </c>
      <c r="J141" s="17" t="inlineStr">
        <is>
          <t>https://www.data.go.kr/data/15095682/openapi.do</t>
        </is>
      </c>
      <c r="K141" s="17" t="inlineStr">
        <is>
          <t>2026-07-06</t>
        </is>
      </c>
      <c r="L141" s="17" t="inlineStr">
        <is>
          <t>A</t>
        </is>
      </c>
      <c r="M141" s="17" t="inlineStr">
        <is>
          <t>공장 대표번호</t>
        </is>
      </c>
    </row>
    <row r="142">
      <c r="A142" s="17" t="inlineStr">
        <is>
          <t>C116</t>
        </is>
      </c>
      <c r="B142" s="17" t="inlineStr">
        <is>
          <t>파마킹</t>
        </is>
      </c>
      <c r="C142" s="17" t="inlineStr">
        <is>
          <t>(주)파마킹</t>
        </is>
      </c>
      <c r="D142" s="17" t="inlineStr">
        <is>
          <t>대표전화</t>
        </is>
      </c>
      <c r="E142" s="17" t="inlineStr">
        <is>
          <t>043-882-3501</t>
        </is>
      </c>
      <c r="F142" s="17" t="inlineStr"/>
      <c r="G142" s="17" t="inlineStr">
        <is>
          <t>2026-07-06</t>
        </is>
      </c>
      <c r="H142" s="17" t="inlineStr">
        <is>
          <t>식품의약품안전처</t>
        </is>
      </c>
      <c r="I142" s="17" t="inlineStr">
        <is>
          <t>의약품 등 업체허가현황(제조소상세)</t>
        </is>
      </c>
      <c r="J142" s="17" t="inlineStr">
        <is>
          <t>https://www.data.go.kr/data/15095682/openapi.do</t>
        </is>
      </c>
      <c r="K142" s="17" t="inlineStr">
        <is>
          <t>2026-07-06</t>
        </is>
      </c>
      <c r="L142" s="17" t="inlineStr">
        <is>
          <t>A</t>
        </is>
      </c>
      <c r="M142" s="17" t="inlineStr">
        <is>
          <t>공장 대표번호</t>
        </is>
      </c>
    </row>
    <row r="143">
      <c r="A143" s="17" t="inlineStr">
        <is>
          <t>C117</t>
        </is>
      </c>
      <c r="B143" s="17" t="inlineStr">
        <is>
          <t>원광제약</t>
        </is>
      </c>
      <c r="C143" s="17" t="inlineStr">
        <is>
          <t>원광제약(주)</t>
        </is>
      </c>
      <c r="D143" s="17" t="inlineStr">
        <is>
          <t>대표전화</t>
        </is>
      </c>
      <c r="E143" s="17" t="inlineStr">
        <is>
          <t>063-832-3114</t>
        </is>
      </c>
      <c r="F143" s="17" t="inlineStr"/>
      <c r="G143" s="17" t="inlineStr">
        <is>
          <t>2026-07-06</t>
        </is>
      </c>
      <c r="H143" s="17" t="inlineStr">
        <is>
          <t>식품의약품안전처</t>
        </is>
      </c>
      <c r="I143" s="17" t="inlineStr">
        <is>
          <t>의약품 등 업체허가현황(제조소상세)</t>
        </is>
      </c>
      <c r="J143" s="17" t="inlineStr">
        <is>
          <t>https://www.data.go.kr/data/15095682/openapi.do</t>
        </is>
      </c>
      <c r="K143" s="17" t="inlineStr">
        <is>
          <t>2026-07-06</t>
        </is>
      </c>
      <c r="L143" s="17" t="inlineStr">
        <is>
          <t>A</t>
        </is>
      </c>
      <c r="M143" s="17" t="inlineStr">
        <is>
          <t>공장 대표번호</t>
        </is>
      </c>
    </row>
    <row r="144">
      <c r="A144" s="17" t="inlineStr">
        <is>
          <t>C120</t>
        </is>
      </c>
      <c r="B144" s="17" t="inlineStr">
        <is>
          <t>다산제약</t>
        </is>
      </c>
      <c r="C144" s="17" t="inlineStr">
        <is>
          <t>(주)다산제약</t>
        </is>
      </c>
      <c r="D144" s="17" t="inlineStr">
        <is>
          <t>대표전화</t>
        </is>
      </c>
      <c r="E144" s="17" t="inlineStr">
        <is>
          <t>041-543-5311</t>
        </is>
      </c>
      <c r="F144" s="17" t="inlineStr"/>
      <c r="G144" s="17" t="inlineStr">
        <is>
          <t>2026-07-06</t>
        </is>
      </c>
      <c r="H144" s="17" t="inlineStr">
        <is>
          <t>식품의약품안전처</t>
        </is>
      </c>
      <c r="I144" s="17" t="inlineStr">
        <is>
          <t>의약품 등 업체허가현황(제조소상세)</t>
        </is>
      </c>
      <c r="J144" s="17" t="inlineStr">
        <is>
          <t>https://www.data.go.kr/data/15095682/openapi.do</t>
        </is>
      </c>
      <c r="K144" s="17" t="inlineStr">
        <is>
          <t>2026-07-06</t>
        </is>
      </c>
      <c r="L144" s="17" t="inlineStr">
        <is>
          <t>A</t>
        </is>
      </c>
      <c r="M144" s="17" t="inlineStr">
        <is>
          <t>공장 대표번호</t>
        </is>
      </c>
    </row>
    <row r="145">
      <c r="A145" s="17" t="inlineStr">
        <is>
          <t>C121</t>
        </is>
      </c>
      <c r="B145" s="17" t="inlineStr">
        <is>
          <t>킵스바이오파마</t>
        </is>
      </c>
      <c r="C145" s="17" t="inlineStr">
        <is>
          <t>(주)킵스바이오파마</t>
        </is>
      </c>
      <c r="D145" s="17" t="inlineStr">
        <is>
          <t>대표전화</t>
        </is>
      </c>
      <c r="E145" s="17" t="inlineStr">
        <is>
          <t>041-953-9800</t>
        </is>
      </c>
      <c r="F145" s="17" t="inlineStr"/>
      <c r="G145" s="17" t="inlineStr">
        <is>
          <t>2026-07-06</t>
        </is>
      </c>
      <c r="H145" s="17" t="inlineStr">
        <is>
          <t>식품의약품안전처</t>
        </is>
      </c>
      <c r="I145" s="17" t="inlineStr">
        <is>
          <t>의약품 등 업체허가현황(제조소상세)</t>
        </is>
      </c>
      <c r="J145" s="17" t="inlineStr">
        <is>
          <t>https://www.data.go.kr/data/15095682/openapi.do</t>
        </is>
      </c>
      <c r="K145" s="17" t="inlineStr">
        <is>
          <t>2026-07-06</t>
        </is>
      </c>
      <c r="L145" s="17" t="inlineStr">
        <is>
          <t>A</t>
        </is>
      </c>
      <c r="M145" s="17" t="inlineStr">
        <is>
          <t>공장 대표번호</t>
        </is>
      </c>
    </row>
    <row r="146">
      <c r="A146" s="17" t="inlineStr">
        <is>
          <t>C122</t>
        </is>
      </c>
      <c r="B146" s="17" t="inlineStr">
        <is>
          <t>제일헬스사이언스</t>
        </is>
      </c>
      <c r="C146" s="17" t="inlineStr">
        <is>
          <t>제일헬스사이언스(주)</t>
        </is>
      </c>
      <c r="D146" s="17" t="inlineStr">
        <is>
          <t>대표전화</t>
        </is>
      </c>
      <c r="E146" s="17" t="inlineStr">
        <is>
          <t>02-549-7451</t>
        </is>
      </c>
      <c r="F146" s="17" t="inlineStr"/>
      <c r="G146" s="17" t="inlineStr">
        <is>
          <t>2026-07-06</t>
        </is>
      </c>
      <c r="H146" s="17" t="inlineStr">
        <is>
          <t>식품의약품안전처</t>
        </is>
      </c>
      <c r="I146" s="17" t="inlineStr">
        <is>
          <t>의약품 등 업체허가현황(제조소상세)</t>
        </is>
      </c>
      <c r="J146" s="17" t="inlineStr">
        <is>
          <t>https://www.data.go.kr/data/15095682/openapi.do</t>
        </is>
      </c>
      <c r="K146" s="17" t="inlineStr">
        <is>
          <t>2026-07-06</t>
        </is>
      </c>
      <c r="L146" s="17" t="inlineStr">
        <is>
          <t>A</t>
        </is>
      </c>
      <c r="M146" s="17" t="inlineStr">
        <is>
          <t>공장 대표번호</t>
        </is>
      </c>
    </row>
    <row r="147">
      <c r="A147" s="17" t="inlineStr">
        <is>
          <t>C123</t>
        </is>
      </c>
      <c r="B147" s="17" t="inlineStr">
        <is>
          <t>일양약품</t>
        </is>
      </c>
      <c r="C147" s="17" t="inlineStr">
        <is>
          <t>일양약품(주)</t>
        </is>
      </c>
      <c r="D147" s="17" t="inlineStr">
        <is>
          <t>대표전화</t>
        </is>
      </c>
      <c r="E147" s="17" t="inlineStr">
        <is>
          <t>031-281-7851</t>
        </is>
      </c>
      <c r="F147" s="17" t="inlineStr"/>
      <c r="G147" s="17" t="inlineStr">
        <is>
          <t>2026-07-06</t>
        </is>
      </c>
      <c r="H147" s="17" t="inlineStr">
        <is>
          <t>식품의약품안전처</t>
        </is>
      </c>
      <c r="I147" s="17" t="inlineStr">
        <is>
          <t>의약품 등 업체허가현황(제조소상세)</t>
        </is>
      </c>
      <c r="J147" s="17" t="inlineStr">
        <is>
          <t>https://www.data.go.kr/data/15095682/openapi.do</t>
        </is>
      </c>
      <c r="K147" s="17" t="inlineStr">
        <is>
          <t>2026-07-06</t>
        </is>
      </c>
      <c r="L147" s="17" t="inlineStr">
        <is>
          <t>A</t>
        </is>
      </c>
      <c r="M147" s="17" t="inlineStr">
        <is>
          <t>공장 대표번호</t>
        </is>
      </c>
    </row>
    <row r="148">
      <c r="A148" s="17" t="inlineStr">
        <is>
          <t>C123</t>
        </is>
      </c>
      <c r="B148" s="17" t="inlineStr">
        <is>
          <t>일양약품</t>
        </is>
      </c>
      <c r="C148" s="17" t="inlineStr">
        <is>
          <t>일양약품(주)</t>
        </is>
      </c>
      <c r="D148" s="17" t="inlineStr">
        <is>
          <t>상장정보</t>
        </is>
      </c>
      <c r="E148" s="17" t="inlineStr">
        <is>
          <t>유가/007570</t>
        </is>
      </c>
      <c r="F148" s="17" t="inlineStr"/>
      <c r="G148" s="17" t="inlineStr">
        <is>
          <t>2026-07-06</t>
        </is>
      </c>
      <c r="H148" s="17" t="inlineStr">
        <is>
          <t>한국거래소 KIND</t>
        </is>
      </c>
      <c r="I148" s="17" t="inlineStr">
        <is>
          <t>상장법인목록</t>
        </is>
      </c>
      <c r="J148" s="17" t="inlineStr">
        <is>
          <t>https://kind.krx.co.kr</t>
        </is>
      </c>
      <c r="K148" s="17" t="inlineStr">
        <is>
          <t>2026-07-06</t>
        </is>
      </c>
      <c r="L148" s="17" t="inlineStr">
        <is>
          <t>A</t>
        </is>
      </c>
      <c r="M148" s="17" t="inlineStr"/>
    </row>
    <row r="149">
      <c r="A149" s="17" t="inlineStr">
        <is>
          <t>C123</t>
        </is>
      </c>
      <c r="B149" s="17" t="inlineStr">
        <is>
          <t>일양약품</t>
        </is>
      </c>
      <c r="C149" s="17" t="inlineStr">
        <is>
          <t>일양약품(주)</t>
        </is>
      </c>
      <c r="D149" s="17" t="inlineStr">
        <is>
          <t>홈페이지</t>
        </is>
      </c>
      <c r="E149" s="17" t="inlineStr">
        <is>
          <t>http://www.ilyang.co.kr</t>
        </is>
      </c>
      <c r="F149" s="17" t="inlineStr"/>
      <c r="G149" s="17" t="inlineStr">
        <is>
          <t>2026-07-06</t>
        </is>
      </c>
      <c r="H149" s="17" t="inlineStr">
        <is>
          <t>한국거래소 KIND</t>
        </is>
      </c>
      <c r="I149" s="17" t="inlineStr">
        <is>
          <t>상장법인목록</t>
        </is>
      </c>
      <c r="J149" s="17" t="inlineStr">
        <is>
          <t>https://kind.krx.co.kr</t>
        </is>
      </c>
      <c r="K149" s="17" t="inlineStr">
        <is>
          <t>2026-07-06</t>
        </is>
      </c>
      <c r="L149" s="17" t="inlineStr">
        <is>
          <t>A</t>
        </is>
      </c>
      <c r="M149" s="17" t="inlineStr"/>
    </row>
    <row r="150">
      <c r="A150" s="17" t="inlineStr">
        <is>
          <t>C124</t>
        </is>
      </c>
      <c r="B150" s="17" t="inlineStr">
        <is>
          <t>한독</t>
        </is>
      </c>
      <c r="C150" s="17" t="inlineStr">
        <is>
          <t>(주)한독</t>
        </is>
      </c>
      <c r="D150" s="17" t="inlineStr">
        <is>
          <t>대표전화</t>
        </is>
      </c>
      <c r="E150" s="17" t="inlineStr">
        <is>
          <t>02-537-5331</t>
        </is>
      </c>
      <c r="F150" s="17" t="inlineStr"/>
      <c r="G150" s="17" t="inlineStr">
        <is>
          <t>2026-07-06</t>
        </is>
      </c>
      <c r="H150" s="17" t="inlineStr">
        <is>
          <t>식품의약품안전처</t>
        </is>
      </c>
      <c r="I150" s="17" t="inlineStr">
        <is>
          <t>의약품 등 업체허가현황(제조소상세)</t>
        </is>
      </c>
      <c r="J150" s="17" t="inlineStr">
        <is>
          <t>https://www.data.go.kr/data/15095682/openapi.do</t>
        </is>
      </c>
      <c r="K150" s="17" t="inlineStr">
        <is>
          <t>2026-07-06</t>
        </is>
      </c>
      <c r="L150" s="17" t="inlineStr">
        <is>
          <t>A</t>
        </is>
      </c>
      <c r="M150" s="17" t="inlineStr">
        <is>
          <t>공장 대표번호</t>
        </is>
      </c>
    </row>
    <row r="151">
      <c r="A151" s="17" t="inlineStr">
        <is>
          <t>C124</t>
        </is>
      </c>
      <c r="B151" s="17" t="inlineStr">
        <is>
          <t>한독</t>
        </is>
      </c>
      <c r="C151" s="17" t="inlineStr">
        <is>
          <t>(주)한독</t>
        </is>
      </c>
      <c r="D151" s="17" t="inlineStr">
        <is>
          <t>상장정보</t>
        </is>
      </c>
      <c r="E151" s="17" t="inlineStr">
        <is>
          <t>유가/002390</t>
        </is>
      </c>
      <c r="F151" s="17" t="inlineStr"/>
      <c r="G151" s="17" t="inlineStr">
        <is>
          <t>2026-07-06</t>
        </is>
      </c>
      <c r="H151" s="17" t="inlineStr">
        <is>
          <t>한국거래소 KIND</t>
        </is>
      </c>
      <c r="I151" s="17" t="inlineStr">
        <is>
          <t>상장법인목록</t>
        </is>
      </c>
      <c r="J151" s="17" t="inlineStr">
        <is>
          <t>https://kind.krx.co.kr</t>
        </is>
      </c>
      <c r="K151" s="17" t="inlineStr">
        <is>
          <t>2026-07-06</t>
        </is>
      </c>
      <c r="L151" s="17" t="inlineStr">
        <is>
          <t>A</t>
        </is>
      </c>
      <c r="M151" s="17" t="inlineStr"/>
    </row>
    <row r="152">
      <c r="A152" s="17" t="inlineStr">
        <is>
          <t>C124</t>
        </is>
      </c>
      <c r="B152" s="17" t="inlineStr">
        <is>
          <t>한독</t>
        </is>
      </c>
      <c r="C152" s="17" t="inlineStr">
        <is>
          <t>(주)한독</t>
        </is>
      </c>
      <c r="D152" s="17" t="inlineStr">
        <is>
          <t>홈페이지</t>
        </is>
      </c>
      <c r="E152" s="17" t="inlineStr">
        <is>
          <t>http://www.handok.co.kr</t>
        </is>
      </c>
      <c r="F152" s="17" t="inlineStr"/>
      <c r="G152" s="17" t="inlineStr">
        <is>
          <t>2026-07-06</t>
        </is>
      </c>
      <c r="H152" s="17" t="inlineStr">
        <is>
          <t>한국거래소 KIND</t>
        </is>
      </c>
      <c r="I152" s="17" t="inlineStr">
        <is>
          <t>상장법인목록</t>
        </is>
      </c>
      <c r="J152" s="17" t="inlineStr">
        <is>
          <t>https://kind.krx.co.kr</t>
        </is>
      </c>
      <c r="K152" s="17" t="inlineStr">
        <is>
          <t>2026-07-06</t>
        </is>
      </c>
      <c r="L152" s="17" t="inlineStr">
        <is>
          <t>A</t>
        </is>
      </c>
      <c r="M152" s="17" t="inlineStr"/>
    </row>
    <row r="153">
      <c r="A153" s="17" t="inlineStr">
        <is>
          <t>C125</t>
        </is>
      </c>
      <c r="B153" s="17" t="inlineStr">
        <is>
          <t>신양메디슨</t>
        </is>
      </c>
      <c r="C153" s="17" t="inlineStr">
        <is>
          <t>신양메디슨(주)</t>
        </is>
      </c>
      <c r="D153" s="17" t="inlineStr">
        <is>
          <t>대표전화</t>
        </is>
      </c>
      <c r="E153" s="17" t="inlineStr">
        <is>
          <t>031-336-1101</t>
        </is>
      </c>
      <c r="F153" s="17" t="inlineStr"/>
      <c r="G153" s="17" t="inlineStr">
        <is>
          <t>2026-07-06</t>
        </is>
      </c>
      <c r="H153" s="17" t="inlineStr">
        <is>
          <t>식품의약품안전처</t>
        </is>
      </c>
      <c r="I153" s="17" t="inlineStr">
        <is>
          <t>의약품 등 업체허가현황(제조소상세)</t>
        </is>
      </c>
      <c r="J153" s="17" t="inlineStr">
        <is>
          <t>https://www.data.go.kr/data/15095682/openapi.do</t>
        </is>
      </c>
      <c r="K153" s="17" t="inlineStr">
        <is>
          <t>2026-07-06</t>
        </is>
      </c>
      <c r="L153" s="17" t="inlineStr">
        <is>
          <t>A</t>
        </is>
      </c>
      <c r="M153" s="17" t="inlineStr">
        <is>
          <t>공장 대표번호</t>
        </is>
      </c>
    </row>
    <row r="154">
      <c r="A154" s="17" t="inlineStr">
        <is>
          <t>C126</t>
        </is>
      </c>
      <c r="B154" s="17" t="inlineStr">
        <is>
          <t>하나제약</t>
        </is>
      </c>
      <c r="C154" s="17" t="inlineStr">
        <is>
          <t>하나제약(주)</t>
        </is>
      </c>
      <c r="D154" s="17" t="inlineStr">
        <is>
          <t>대표전화</t>
        </is>
      </c>
      <c r="E154" s="17" t="inlineStr">
        <is>
          <t>031-366-5511</t>
        </is>
      </c>
      <c r="F154" s="17" t="inlineStr"/>
      <c r="G154" s="17" t="inlineStr">
        <is>
          <t>2026-07-06</t>
        </is>
      </c>
      <c r="H154" s="17" t="inlineStr">
        <is>
          <t>식품의약품안전처</t>
        </is>
      </c>
      <c r="I154" s="17" t="inlineStr">
        <is>
          <t>의약품 등 업체허가현황(제조소상세)</t>
        </is>
      </c>
      <c r="J154" s="17" t="inlineStr">
        <is>
          <t>https://www.data.go.kr/data/15095682/openapi.do</t>
        </is>
      </c>
      <c r="K154" s="17" t="inlineStr">
        <is>
          <t>2026-07-06</t>
        </is>
      </c>
      <c r="L154" s="17" t="inlineStr">
        <is>
          <t>A</t>
        </is>
      </c>
      <c r="M154" s="17" t="inlineStr">
        <is>
          <t>공장 대표번호</t>
        </is>
      </c>
    </row>
    <row r="155">
      <c r="A155" s="17" t="inlineStr">
        <is>
          <t>C126</t>
        </is>
      </c>
      <c r="B155" s="17" t="inlineStr">
        <is>
          <t>하나제약</t>
        </is>
      </c>
      <c r="C155" s="17" t="inlineStr">
        <is>
          <t>하나제약(주)</t>
        </is>
      </c>
      <c r="D155" s="17" t="inlineStr">
        <is>
          <t>상장정보</t>
        </is>
      </c>
      <c r="E155" s="17" t="inlineStr">
        <is>
          <t>유가/293480</t>
        </is>
      </c>
      <c r="F155" s="17" t="inlineStr"/>
      <c r="G155" s="17" t="inlineStr">
        <is>
          <t>2026-07-06</t>
        </is>
      </c>
      <c r="H155" s="17" t="inlineStr">
        <is>
          <t>한국거래소 KIND</t>
        </is>
      </c>
      <c r="I155" s="17" t="inlineStr">
        <is>
          <t>상장법인목록</t>
        </is>
      </c>
      <c r="J155" s="17" t="inlineStr">
        <is>
          <t>https://kind.krx.co.kr</t>
        </is>
      </c>
      <c r="K155" s="17" t="inlineStr">
        <is>
          <t>2026-07-06</t>
        </is>
      </c>
      <c r="L155" s="17" t="inlineStr">
        <is>
          <t>A</t>
        </is>
      </c>
      <c r="M155" s="17" t="inlineStr"/>
    </row>
    <row r="156">
      <c r="A156" s="17" t="inlineStr">
        <is>
          <t>C126</t>
        </is>
      </c>
      <c r="B156" s="17" t="inlineStr">
        <is>
          <t>하나제약</t>
        </is>
      </c>
      <c r="C156" s="17" t="inlineStr">
        <is>
          <t>하나제약(주)</t>
        </is>
      </c>
      <c r="D156" s="17" t="inlineStr">
        <is>
          <t>홈페이지</t>
        </is>
      </c>
      <c r="E156" s="17" t="inlineStr">
        <is>
          <t>http://www.hanaph.co.kr</t>
        </is>
      </c>
      <c r="F156" s="17" t="inlineStr"/>
      <c r="G156" s="17" t="inlineStr">
        <is>
          <t>2026-07-06</t>
        </is>
      </c>
      <c r="H156" s="17" t="inlineStr">
        <is>
          <t>한국거래소 KIND</t>
        </is>
      </c>
      <c r="I156" s="17" t="inlineStr">
        <is>
          <t>상장법인목록</t>
        </is>
      </c>
      <c r="J156" s="17" t="inlineStr">
        <is>
          <t>https://kind.krx.co.kr</t>
        </is>
      </c>
      <c r="K156" s="17" t="inlineStr">
        <is>
          <t>2026-07-06</t>
        </is>
      </c>
      <c r="L156" s="17" t="inlineStr">
        <is>
          <t>A</t>
        </is>
      </c>
      <c r="M156" s="17" t="inlineStr"/>
    </row>
    <row r="157">
      <c r="A157" s="17" t="inlineStr">
        <is>
          <t>C127</t>
        </is>
      </c>
      <c r="B157" s="17" t="inlineStr">
        <is>
          <t>맥널티제약</t>
        </is>
      </c>
      <c r="C157" s="17" t="inlineStr">
        <is>
          <t>맥널티제약(주)</t>
        </is>
      </c>
      <c r="D157" s="17" t="inlineStr">
        <is>
          <t>대표전화</t>
        </is>
      </c>
      <c r="E157" s="17" t="inlineStr">
        <is>
          <t>031-378-1460</t>
        </is>
      </c>
      <c r="F157" s="17" t="inlineStr"/>
      <c r="G157" s="17" t="inlineStr">
        <is>
          <t>2026-07-06</t>
        </is>
      </c>
      <c r="H157" s="17" t="inlineStr">
        <is>
          <t>식품의약품안전처</t>
        </is>
      </c>
      <c r="I157" s="17" t="inlineStr">
        <is>
          <t>의약품 등 업체허가현황(제조소상세)</t>
        </is>
      </c>
      <c r="J157" s="17" t="inlineStr">
        <is>
          <t>https://www.data.go.kr/data/15095682/openapi.do</t>
        </is>
      </c>
      <c r="K157" s="17" t="inlineStr">
        <is>
          <t>2026-07-06</t>
        </is>
      </c>
      <c r="L157" s="17" t="inlineStr">
        <is>
          <t>A</t>
        </is>
      </c>
      <c r="M157" s="17" t="inlineStr">
        <is>
          <t>공장 대표번호</t>
        </is>
      </c>
    </row>
    <row r="158">
      <c r="A158" s="17" t="inlineStr">
        <is>
          <t>C128</t>
        </is>
      </c>
      <c r="B158" s="17" t="inlineStr">
        <is>
          <t>대한특수가스</t>
        </is>
      </c>
      <c r="C158" s="17" t="inlineStr">
        <is>
          <t>(주)대한특수가스</t>
        </is>
      </c>
      <c r="D158" s="17" t="inlineStr">
        <is>
          <t>대표전화</t>
        </is>
      </c>
      <c r="E158" s="17" t="inlineStr">
        <is>
          <t>02-3663-2825</t>
        </is>
      </c>
      <c r="F158" s="17" t="inlineStr"/>
      <c r="G158" s="17" t="inlineStr">
        <is>
          <t>2026-07-06</t>
        </is>
      </c>
      <c r="H158" s="17" t="inlineStr">
        <is>
          <t>식품의약품안전처</t>
        </is>
      </c>
      <c r="I158" s="17" t="inlineStr">
        <is>
          <t>의약품 등 업체허가현황(제조소상세)</t>
        </is>
      </c>
      <c r="J158" s="17" t="inlineStr">
        <is>
          <t>https://www.data.go.kr/data/15095682/openapi.do</t>
        </is>
      </c>
      <c r="K158" s="17" t="inlineStr">
        <is>
          <t>2026-07-06</t>
        </is>
      </c>
      <c r="L158" s="17" t="inlineStr">
        <is>
          <t>A</t>
        </is>
      </c>
      <c r="M158" s="17" t="inlineStr">
        <is>
          <t>공장 대표번호</t>
        </is>
      </c>
    </row>
    <row r="159">
      <c r="A159" s="17" t="inlineStr">
        <is>
          <t>C129</t>
        </is>
      </c>
      <c r="B159" s="17" t="inlineStr">
        <is>
          <t>에스케이바이오텍</t>
        </is>
      </c>
      <c r="C159" s="17" t="inlineStr">
        <is>
          <t>에스케이바이오텍(주)</t>
        </is>
      </c>
      <c r="D159" s="17" t="inlineStr">
        <is>
          <t>대표전화</t>
        </is>
      </c>
      <c r="E159" s="17" t="inlineStr">
        <is>
          <t>044-850-0806</t>
        </is>
      </c>
      <c r="F159" s="17" t="inlineStr"/>
      <c r="G159" s="17" t="inlineStr">
        <is>
          <t>2026-07-06</t>
        </is>
      </c>
      <c r="H159" s="17" t="inlineStr">
        <is>
          <t>식품의약품안전처</t>
        </is>
      </c>
      <c r="I159" s="17" t="inlineStr">
        <is>
          <t>의약품 등 업체허가현황(제조소상세)</t>
        </is>
      </c>
      <c r="J159" s="17" t="inlineStr">
        <is>
          <t>https://www.data.go.kr/data/15095682/openapi.do</t>
        </is>
      </c>
      <c r="K159" s="17" t="inlineStr">
        <is>
          <t>2026-07-06</t>
        </is>
      </c>
      <c r="L159" s="17" t="inlineStr">
        <is>
          <t>A</t>
        </is>
      </c>
      <c r="M159" s="17" t="inlineStr">
        <is>
          <t>공장 대표번호</t>
        </is>
      </c>
    </row>
    <row r="160">
      <c r="A160" s="17" t="inlineStr">
        <is>
          <t>C130</t>
        </is>
      </c>
      <c r="B160" s="17" t="inlineStr">
        <is>
          <t>메디톡스</t>
        </is>
      </c>
      <c r="C160" s="17" t="inlineStr">
        <is>
          <t>(주)메디톡스</t>
        </is>
      </c>
      <c r="D160" s="17" t="inlineStr">
        <is>
          <t>대표전화</t>
        </is>
      </c>
      <c r="E160" s="17" t="inlineStr">
        <is>
          <t>041-544-1558</t>
        </is>
      </c>
      <c r="F160" s="17" t="inlineStr"/>
      <c r="G160" s="17" t="inlineStr">
        <is>
          <t>2026-07-06</t>
        </is>
      </c>
      <c r="H160" s="17" t="inlineStr">
        <is>
          <t>식품의약품안전처</t>
        </is>
      </c>
      <c r="I160" s="17" t="inlineStr">
        <is>
          <t>의약품 등 업체허가현황(제조소상세)</t>
        </is>
      </c>
      <c r="J160" s="17" t="inlineStr">
        <is>
          <t>https://www.data.go.kr/data/15095682/openapi.do</t>
        </is>
      </c>
      <c r="K160" s="17" t="inlineStr">
        <is>
          <t>2026-07-06</t>
        </is>
      </c>
      <c r="L160" s="17" t="inlineStr">
        <is>
          <t>A</t>
        </is>
      </c>
      <c r="M160" s="17" t="inlineStr">
        <is>
          <t>공장 대표번호</t>
        </is>
      </c>
    </row>
    <row r="161">
      <c r="A161" s="17" t="inlineStr">
        <is>
          <t>C130</t>
        </is>
      </c>
      <c r="B161" s="17" t="inlineStr">
        <is>
          <t>메디톡스</t>
        </is>
      </c>
      <c r="C161" s="17" t="inlineStr">
        <is>
          <t>(주)메디톡스</t>
        </is>
      </c>
      <c r="D161" s="17" t="inlineStr">
        <is>
          <t>상장정보</t>
        </is>
      </c>
      <c r="E161" s="17" t="inlineStr">
        <is>
          <t>코스닥/086900</t>
        </is>
      </c>
      <c r="F161" s="17" t="inlineStr"/>
      <c r="G161" s="17" t="inlineStr">
        <is>
          <t>2026-07-06</t>
        </is>
      </c>
      <c r="H161" s="17" t="inlineStr">
        <is>
          <t>한국거래소 KIND</t>
        </is>
      </c>
      <c r="I161" s="17" t="inlineStr">
        <is>
          <t>상장법인목록</t>
        </is>
      </c>
      <c r="J161" s="17" t="inlineStr">
        <is>
          <t>https://kind.krx.co.kr</t>
        </is>
      </c>
      <c r="K161" s="17" t="inlineStr">
        <is>
          <t>2026-07-06</t>
        </is>
      </c>
      <c r="L161" s="17" t="inlineStr">
        <is>
          <t>A</t>
        </is>
      </c>
      <c r="M161" s="17" t="inlineStr"/>
    </row>
    <row r="162">
      <c r="A162" s="17" t="inlineStr">
        <is>
          <t>C130</t>
        </is>
      </c>
      <c r="B162" s="17" t="inlineStr">
        <is>
          <t>메디톡스</t>
        </is>
      </c>
      <c r="C162" s="17" t="inlineStr">
        <is>
          <t>(주)메디톡스</t>
        </is>
      </c>
      <c r="D162" s="17" t="inlineStr">
        <is>
          <t>홈페이지</t>
        </is>
      </c>
      <c r="E162" s="17" t="inlineStr">
        <is>
          <t>http://www.medytox.com</t>
        </is>
      </c>
      <c r="F162" s="17" t="inlineStr"/>
      <c r="G162" s="17" t="inlineStr">
        <is>
          <t>2026-07-06</t>
        </is>
      </c>
      <c r="H162" s="17" t="inlineStr">
        <is>
          <t>한국거래소 KIND</t>
        </is>
      </c>
      <c r="I162" s="17" t="inlineStr">
        <is>
          <t>상장법인목록</t>
        </is>
      </c>
      <c r="J162" s="17" t="inlineStr">
        <is>
          <t>https://kind.krx.co.kr</t>
        </is>
      </c>
      <c r="K162" s="17" t="inlineStr">
        <is>
          <t>2026-07-06</t>
        </is>
      </c>
      <c r="L162" s="17" t="inlineStr">
        <is>
          <t>A</t>
        </is>
      </c>
      <c r="M162" s="17" t="inlineStr"/>
    </row>
    <row r="163">
      <c r="A163" s="17" t="inlineStr">
        <is>
          <t>C131</t>
        </is>
      </c>
      <c r="B163" s="17" t="inlineStr">
        <is>
          <t>한올바이오파마</t>
        </is>
      </c>
      <c r="C163" s="17" t="inlineStr">
        <is>
          <t>한올바이오파마(주)</t>
        </is>
      </c>
      <c r="D163" s="17" t="inlineStr">
        <is>
          <t>대표전화</t>
        </is>
      </c>
      <c r="E163" s="17" t="inlineStr">
        <is>
          <t>042-454-6105</t>
        </is>
      </c>
      <c r="F163" s="17" t="inlineStr"/>
      <c r="G163" s="17" t="inlineStr">
        <is>
          <t>2026-07-06</t>
        </is>
      </c>
      <c r="H163" s="17" t="inlineStr">
        <is>
          <t>식품의약품안전처</t>
        </is>
      </c>
      <c r="I163" s="17" t="inlineStr">
        <is>
          <t>의약품 등 업체허가현황(제조소상세)</t>
        </is>
      </c>
      <c r="J163" s="17" t="inlineStr">
        <is>
          <t>https://www.data.go.kr/data/15095682/openapi.do</t>
        </is>
      </c>
      <c r="K163" s="17" t="inlineStr">
        <is>
          <t>2026-07-06</t>
        </is>
      </c>
      <c r="L163" s="17" t="inlineStr">
        <is>
          <t>A</t>
        </is>
      </c>
      <c r="M163" s="17" t="inlineStr">
        <is>
          <t>공장 대표번호</t>
        </is>
      </c>
    </row>
    <row r="164">
      <c r="A164" s="17" t="inlineStr">
        <is>
          <t>C131</t>
        </is>
      </c>
      <c r="B164" s="17" t="inlineStr">
        <is>
          <t>한올바이오파마</t>
        </is>
      </c>
      <c r="C164" s="17" t="inlineStr">
        <is>
          <t>한올바이오파마(주)</t>
        </is>
      </c>
      <c r="D164" s="17" t="inlineStr">
        <is>
          <t>상장정보</t>
        </is>
      </c>
      <c r="E164" s="17" t="inlineStr">
        <is>
          <t>유가/009420</t>
        </is>
      </c>
      <c r="F164" s="17" t="inlineStr"/>
      <c r="G164" s="17" t="inlineStr">
        <is>
          <t>2026-07-06</t>
        </is>
      </c>
      <c r="H164" s="17" t="inlineStr">
        <is>
          <t>한국거래소 KIND</t>
        </is>
      </c>
      <c r="I164" s="17" t="inlineStr">
        <is>
          <t>상장법인목록</t>
        </is>
      </c>
      <c r="J164" s="17" t="inlineStr">
        <is>
          <t>https://kind.krx.co.kr</t>
        </is>
      </c>
      <c r="K164" s="17" t="inlineStr">
        <is>
          <t>2026-07-06</t>
        </is>
      </c>
      <c r="L164" s="17" t="inlineStr">
        <is>
          <t>A</t>
        </is>
      </c>
      <c r="M164" s="17" t="inlineStr"/>
    </row>
    <row r="165">
      <c r="A165" s="17" t="inlineStr">
        <is>
          <t>C131</t>
        </is>
      </c>
      <c r="B165" s="17" t="inlineStr">
        <is>
          <t>한올바이오파마</t>
        </is>
      </c>
      <c r="C165" s="17" t="inlineStr">
        <is>
          <t>한올바이오파마(주)</t>
        </is>
      </c>
      <c r="D165" s="17" t="inlineStr">
        <is>
          <t>홈페이지</t>
        </is>
      </c>
      <c r="E165" s="17" t="inlineStr">
        <is>
          <t>http://www.hanall.co.kr</t>
        </is>
      </c>
      <c r="F165" s="17" t="inlineStr"/>
      <c r="G165" s="17" t="inlineStr">
        <is>
          <t>2026-07-06</t>
        </is>
      </c>
      <c r="H165" s="17" t="inlineStr">
        <is>
          <t>한국거래소 KIND</t>
        </is>
      </c>
      <c r="I165" s="17" t="inlineStr">
        <is>
          <t>상장법인목록</t>
        </is>
      </c>
      <c r="J165" s="17" t="inlineStr">
        <is>
          <t>https://kind.krx.co.kr</t>
        </is>
      </c>
      <c r="K165" s="17" t="inlineStr">
        <is>
          <t>2026-07-06</t>
        </is>
      </c>
      <c r="L165" s="17" t="inlineStr">
        <is>
          <t>A</t>
        </is>
      </c>
      <c r="M165" s="17" t="inlineStr"/>
    </row>
    <row r="166">
      <c r="A166" s="17" t="inlineStr">
        <is>
          <t>C132</t>
        </is>
      </c>
      <c r="B166" s="17" t="inlineStr">
        <is>
          <t>하원제약</t>
        </is>
      </c>
      <c r="C166" s="17" t="inlineStr">
        <is>
          <t>(주)하원제약</t>
        </is>
      </c>
      <c r="D166" s="17" t="inlineStr">
        <is>
          <t>대표전화</t>
        </is>
      </c>
      <c r="E166" s="17" t="inlineStr">
        <is>
          <t>031-667-6272</t>
        </is>
      </c>
      <c r="F166" s="17" t="inlineStr"/>
      <c r="G166" s="17" t="inlineStr">
        <is>
          <t>2026-07-06</t>
        </is>
      </c>
      <c r="H166" s="17" t="inlineStr">
        <is>
          <t>식품의약품안전처</t>
        </is>
      </c>
      <c r="I166" s="17" t="inlineStr">
        <is>
          <t>의약품 등 업체허가현황(제조소상세)</t>
        </is>
      </c>
      <c r="J166" s="17" t="inlineStr">
        <is>
          <t>https://www.data.go.kr/data/15095682/openapi.do</t>
        </is>
      </c>
      <c r="K166" s="17" t="inlineStr">
        <is>
          <t>2026-07-06</t>
        </is>
      </c>
      <c r="L166" s="17" t="inlineStr">
        <is>
          <t>A</t>
        </is>
      </c>
      <c r="M166" s="17" t="inlineStr">
        <is>
          <t>공장 대표번호</t>
        </is>
      </c>
    </row>
    <row r="167">
      <c r="A167" s="17" t="inlineStr">
        <is>
          <t>C133</t>
        </is>
      </c>
      <c r="B167" s="17" t="inlineStr">
        <is>
          <t>옵투스제약</t>
        </is>
      </c>
      <c r="C167" s="17" t="inlineStr">
        <is>
          <t>(주)옵투스제약</t>
        </is>
      </c>
      <c r="D167" s="17" t="inlineStr">
        <is>
          <t>대표전화</t>
        </is>
      </c>
      <c r="E167" s="17" t="inlineStr">
        <is>
          <t>043-830-0500</t>
        </is>
      </c>
      <c r="F167" s="17" t="inlineStr"/>
      <c r="G167" s="17" t="inlineStr">
        <is>
          <t>2026-07-06</t>
        </is>
      </c>
      <c r="H167" s="17" t="inlineStr">
        <is>
          <t>식품의약품안전처</t>
        </is>
      </c>
      <c r="I167" s="17" t="inlineStr">
        <is>
          <t>의약품 등 업체허가현황(제조소상세)</t>
        </is>
      </c>
      <c r="J167" s="17" t="inlineStr">
        <is>
          <t>https://www.data.go.kr/data/15095682/openapi.do</t>
        </is>
      </c>
      <c r="K167" s="17" t="inlineStr">
        <is>
          <t>2026-07-06</t>
        </is>
      </c>
      <c r="L167" s="17" t="inlineStr">
        <is>
          <t>A</t>
        </is>
      </c>
      <c r="M167" s="17" t="inlineStr">
        <is>
          <t>공장 대표번호</t>
        </is>
      </c>
    </row>
    <row r="168">
      <c r="A168" s="17" t="inlineStr">
        <is>
          <t>C133</t>
        </is>
      </c>
      <c r="B168" s="17" t="inlineStr">
        <is>
          <t>옵투스제약</t>
        </is>
      </c>
      <c r="C168" s="17" t="inlineStr">
        <is>
          <t>(주)옵투스제약</t>
        </is>
      </c>
      <c r="D168" s="17" t="inlineStr">
        <is>
          <t>상장정보</t>
        </is>
      </c>
      <c r="E168" s="17" t="inlineStr">
        <is>
          <t>코스닥/131030</t>
        </is>
      </c>
      <c r="F168" s="17" t="inlineStr"/>
      <c r="G168" s="17" t="inlineStr">
        <is>
          <t>2026-07-06</t>
        </is>
      </c>
      <c r="H168" s="17" t="inlineStr">
        <is>
          <t>한국거래소 KIND</t>
        </is>
      </c>
      <c r="I168" s="17" t="inlineStr">
        <is>
          <t>상장법인목록</t>
        </is>
      </c>
      <c r="J168" s="17" t="inlineStr">
        <is>
          <t>https://kind.krx.co.kr</t>
        </is>
      </c>
      <c r="K168" s="17" t="inlineStr">
        <is>
          <t>2026-07-06</t>
        </is>
      </c>
      <c r="L168" s="17" t="inlineStr">
        <is>
          <t>A</t>
        </is>
      </c>
      <c r="M168" s="17" t="inlineStr"/>
    </row>
    <row r="169">
      <c r="A169" s="17" t="inlineStr">
        <is>
          <t>C133</t>
        </is>
      </c>
      <c r="B169" s="17" t="inlineStr">
        <is>
          <t>옵투스제약</t>
        </is>
      </c>
      <c r="C169" s="17" t="inlineStr">
        <is>
          <t>(주)옵투스제약</t>
        </is>
      </c>
      <c r="D169" s="17" t="inlineStr">
        <is>
          <t>홈페이지</t>
        </is>
      </c>
      <c r="E169" s="17" t="inlineStr">
        <is>
          <t>http://www.optuspharm.com</t>
        </is>
      </c>
      <c r="F169" s="17" t="inlineStr"/>
      <c r="G169" s="17" t="inlineStr">
        <is>
          <t>2026-07-06</t>
        </is>
      </c>
      <c r="H169" s="17" t="inlineStr">
        <is>
          <t>한국거래소 KIND</t>
        </is>
      </c>
      <c r="I169" s="17" t="inlineStr">
        <is>
          <t>상장법인목록</t>
        </is>
      </c>
      <c r="J169" s="17" t="inlineStr">
        <is>
          <t>https://kind.krx.co.kr</t>
        </is>
      </c>
      <c r="K169" s="17" t="inlineStr">
        <is>
          <t>2026-07-06</t>
        </is>
      </c>
      <c r="L169" s="17" t="inlineStr">
        <is>
          <t>A</t>
        </is>
      </c>
      <c r="M169" s="17" t="inlineStr"/>
    </row>
    <row r="170">
      <c r="A170" s="17" t="inlineStr">
        <is>
          <t>C135</t>
        </is>
      </c>
      <c r="B170" s="17" t="inlineStr">
        <is>
          <t>바스칸바이오제약</t>
        </is>
      </c>
      <c r="C170" s="17" t="inlineStr">
        <is>
          <t>(주)바스칸바이오제약</t>
        </is>
      </c>
      <c r="D170" s="17" t="inlineStr">
        <is>
          <t>상장정보</t>
        </is>
      </c>
      <c r="E170" s="17" t="inlineStr">
        <is>
          <t>코넥스/354390</t>
        </is>
      </c>
      <c r="F170" s="17" t="inlineStr"/>
      <c r="G170" s="17" t="inlineStr">
        <is>
          <t>2026-07-06</t>
        </is>
      </c>
      <c r="H170" s="17" t="inlineStr">
        <is>
          <t>한국거래소 KIND</t>
        </is>
      </c>
      <c r="I170" s="17" t="inlineStr">
        <is>
          <t>상장법인목록</t>
        </is>
      </c>
      <c r="J170" s="17" t="inlineStr">
        <is>
          <t>https://kind.krx.co.kr</t>
        </is>
      </c>
      <c r="K170" s="17" t="inlineStr">
        <is>
          <t>2026-07-06</t>
        </is>
      </c>
      <c r="L170" s="17" t="inlineStr">
        <is>
          <t>A</t>
        </is>
      </c>
      <c r="M170" s="17" t="inlineStr"/>
    </row>
    <row r="171">
      <c r="A171" s="17" t="inlineStr">
        <is>
          <t>C135</t>
        </is>
      </c>
      <c r="B171" s="17" t="inlineStr">
        <is>
          <t>바스칸바이오제약</t>
        </is>
      </c>
      <c r="C171" s="17" t="inlineStr">
        <is>
          <t>(주)바스칸바이오제약</t>
        </is>
      </c>
      <c r="D171" s="17" t="inlineStr">
        <is>
          <t>홈페이지</t>
        </is>
      </c>
      <c r="E171" s="17" t="inlineStr">
        <is>
          <t>http://www.baskhanbio.com</t>
        </is>
      </c>
      <c r="F171" s="17" t="inlineStr"/>
      <c r="G171" s="17" t="inlineStr">
        <is>
          <t>2026-07-06</t>
        </is>
      </c>
      <c r="H171" s="17" t="inlineStr">
        <is>
          <t>한국거래소 KIND</t>
        </is>
      </c>
      <c r="I171" s="17" t="inlineStr">
        <is>
          <t>상장법인목록</t>
        </is>
      </c>
      <c r="J171" s="17" t="inlineStr">
        <is>
          <t>https://kind.krx.co.kr</t>
        </is>
      </c>
      <c r="K171" s="17" t="inlineStr">
        <is>
          <t>2026-07-06</t>
        </is>
      </c>
      <c r="L171" s="17" t="inlineStr">
        <is>
          <t>A</t>
        </is>
      </c>
      <c r="M171" s="17" t="inlineStr"/>
    </row>
    <row r="172">
      <c r="A172" s="17" t="inlineStr">
        <is>
          <t>C136</t>
        </is>
      </c>
      <c r="B172" s="17" t="inlineStr">
        <is>
          <t>듀켐바이오</t>
        </is>
      </c>
      <c r="C172" s="17" t="inlineStr">
        <is>
          <t>(주)듀켐바이오</t>
        </is>
      </c>
      <c r="D172" s="17" t="inlineStr">
        <is>
          <t>대표전화</t>
        </is>
      </c>
      <c r="E172" s="17" t="inlineStr">
        <is>
          <t>051-254-3126</t>
        </is>
      </c>
      <c r="F172" s="17" t="inlineStr"/>
      <c r="G172" s="17" t="inlineStr">
        <is>
          <t>2026-07-06</t>
        </is>
      </c>
      <c r="H172" s="17" t="inlineStr">
        <is>
          <t>식품의약품안전처</t>
        </is>
      </c>
      <c r="I172" s="17" t="inlineStr">
        <is>
          <t>의약품 등 업체허가현황(제조소상세)</t>
        </is>
      </c>
      <c r="J172" s="17" t="inlineStr">
        <is>
          <t>https://www.data.go.kr/data/15095682/openapi.do</t>
        </is>
      </c>
      <c r="K172" s="17" t="inlineStr">
        <is>
          <t>2026-07-06</t>
        </is>
      </c>
      <c r="L172" s="17" t="inlineStr">
        <is>
          <t>A</t>
        </is>
      </c>
      <c r="M172" s="17" t="inlineStr">
        <is>
          <t>공장 대표번호</t>
        </is>
      </c>
    </row>
    <row r="173">
      <c r="A173" s="17" t="inlineStr">
        <is>
          <t>C136</t>
        </is>
      </c>
      <c r="B173" s="17" t="inlineStr">
        <is>
          <t>듀켐바이오</t>
        </is>
      </c>
      <c r="C173" s="17" t="inlineStr">
        <is>
          <t>(주)듀켐바이오</t>
        </is>
      </c>
      <c r="D173" s="17" t="inlineStr">
        <is>
          <t>상장정보</t>
        </is>
      </c>
      <c r="E173" s="17" t="inlineStr">
        <is>
          <t>코스닥/176750</t>
        </is>
      </c>
      <c r="F173" s="17" t="inlineStr"/>
      <c r="G173" s="17" t="inlineStr">
        <is>
          <t>2026-07-06</t>
        </is>
      </c>
      <c r="H173" s="17" t="inlineStr">
        <is>
          <t>한국거래소 KIND</t>
        </is>
      </c>
      <c r="I173" s="17" t="inlineStr">
        <is>
          <t>상장법인목록</t>
        </is>
      </c>
      <c r="J173" s="17" t="inlineStr">
        <is>
          <t>https://kind.krx.co.kr</t>
        </is>
      </c>
      <c r="K173" s="17" t="inlineStr">
        <is>
          <t>2026-07-06</t>
        </is>
      </c>
      <c r="L173" s="17" t="inlineStr">
        <is>
          <t>A</t>
        </is>
      </c>
      <c r="M173" s="17" t="inlineStr"/>
    </row>
    <row r="174">
      <c r="A174" s="17" t="inlineStr">
        <is>
          <t>C136</t>
        </is>
      </c>
      <c r="B174" s="17" t="inlineStr">
        <is>
          <t>듀켐바이오</t>
        </is>
      </c>
      <c r="C174" s="17" t="inlineStr">
        <is>
          <t>(주)듀켐바이오</t>
        </is>
      </c>
      <c r="D174" s="17" t="inlineStr">
        <is>
          <t>홈페이지</t>
        </is>
      </c>
      <c r="E174" s="17" t="inlineStr">
        <is>
          <t>http://www.duchembio.com</t>
        </is>
      </c>
      <c r="F174" s="17" t="inlineStr"/>
      <c r="G174" s="17" t="inlineStr">
        <is>
          <t>2026-07-06</t>
        </is>
      </c>
      <c r="H174" s="17" t="inlineStr">
        <is>
          <t>한국거래소 KIND</t>
        </is>
      </c>
      <c r="I174" s="17" t="inlineStr">
        <is>
          <t>상장법인목록</t>
        </is>
      </c>
      <c r="J174" s="17" t="inlineStr">
        <is>
          <t>https://kind.krx.co.kr</t>
        </is>
      </c>
      <c r="K174" s="17" t="inlineStr">
        <is>
          <t>2026-07-06</t>
        </is>
      </c>
      <c r="L174" s="17" t="inlineStr">
        <is>
          <t>A</t>
        </is>
      </c>
      <c r="M174" s="17" t="inlineStr"/>
    </row>
    <row r="175">
      <c r="A175" s="17" t="inlineStr">
        <is>
          <t>C138</t>
        </is>
      </c>
      <c r="B175" s="17" t="inlineStr">
        <is>
          <t>한국오츠카제약</t>
        </is>
      </c>
      <c r="C175" s="17" t="inlineStr">
        <is>
          <t>한국오츠카제약(주)</t>
        </is>
      </c>
      <c r="D175" s="17" t="inlineStr">
        <is>
          <t>대표전화</t>
        </is>
      </c>
      <c r="E175" s="17" t="inlineStr">
        <is>
          <t>02-3465-3929</t>
        </is>
      </c>
      <c r="F175" s="17" t="inlineStr"/>
      <c r="G175" s="17" t="inlineStr">
        <is>
          <t>2026-07-06</t>
        </is>
      </c>
      <c r="H175" s="17" t="inlineStr">
        <is>
          <t>식품의약품안전처</t>
        </is>
      </c>
      <c r="I175" s="17" t="inlineStr">
        <is>
          <t>의약품 등 업체허가현황(제조소상세)</t>
        </is>
      </c>
      <c r="J175" s="17" t="inlineStr">
        <is>
          <t>https://www.data.go.kr/data/15095682/openapi.do</t>
        </is>
      </c>
      <c r="K175" s="17" t="inlineStr">
        <is>
          <t>2026-07-06</t>
        </is>
      </c>
      <c r="L175" s="17" t="inlineStr">
        <is>
          <t>A</t>
        </is>
      </c>
      <c r="M175" s="17" t="inlineStr">
        <is>
          <t>공장 대표번호</t>
        </is>
      </c>
    </row>
    <row r="176">
      <c r="A176" s="17" t="inlineStr">
        <is>
          <t>C139</t>
        </is>
      </c>
      <c r="B176" s="17" t="inlineStr">
        <is>
          <t>테라젠이텍스</t>
        </is>
      </c>
      <c r="C176" s="17" t="inlineStr">
        <is>
          <t>(주)테라젠이텍스</t>
        </is>
      </c>
      <c r="D176" s="17" t="inlineStr">
        <is>
          <t>대표전화</t>
        </is>
      </c>
      <c r="E176" s="17" t="inlineStr">
        <is>
          <t>031-495-3399</t>
        </is>
      </c>
      <c r="F176" s="17" t="inlineStr"/>
      <c r="G176" s="17" t="inlineStr">
        <is>
          <t>2026-07-06</t>
        </is>
      </c>
      <c r="H176" s="17" t="inlineStr">
        <is>
          <t>식품의약품안전처</t>
        </is>
      </c>
      <c r="I176" s="17" t="inlineStr">
        <is>
          <t>의약품 등 업체허가현황(제조소상세)</t>
        </is>
      </c>
      <c r="J176" s="17" t="inlineStr">
        <is>
          <t>https://www.data.go.kr/data/15095682/openapi.do</t>
        </is>
      </c>
      <c r="K176" s="17" t="inlineStr">
        <is>
          <t>2026-07-06</t>
        </is>
      </c>
      <c r="L176" s="17" t="inlineStr">
        <is>
          <t>A</t>
        </is>
      </c>
      <c r="M176" s="17" t="inlineStr">
        <is>
          <t>공장 대표번호</t>
        </is>
      </c>
    </row>
    <row r="177">
      <c r="A177" s="17" t="inlineStr">
        <is>
          <t>C139</t>
        </is>
      </c>
      <c r="B177" s="17" t="inlineStr">
        <is>
          <t>테라젠이텍스</t>
        </is>
      </c>
      <c r="C177" s="17" t="inlineStr">
        <is>
          <t>(주)테라젠이텍스</t>
        </is>
      </c>
      <c r="D177" s="17" t="inlineStr">
        <is>
          <t>상장정보</t>
        </is>
      </c>
      <c r="E177" s="17" t="inlineStr">
        <is>
          <t>코스닥/066700</t>
        </is>
      </c>
      <c r="F177" s="17" t="inlineStr"/>
      <c r="G177" s="17" t="inlineStr">
        <is>
          <t>2026-07-06</t>
        </is>
      </c>
      <c r="H177" s="17" t="inlineStr">
        <is>
          <t>한국거래소 KIND</t>
        </is>
      </c>
      <c r="I177" s="17" t="inlineStr">
        <is>
          <t>상장법인목록</t>
        </is>
      </c>
      <c r="J177" s="17" t="inlineStr">
        <is>
          <t>https://kind.krx.co.kr</t>
        </is>
      </c>
      <c r="K177" s="17" t="inlineStr">
        <is>
          <t>2026-07-06</t>
        </is>
      </c>
      <c r="L177" s="17" t="inlineStr">
        <is>
          <t>A</t>
        </is>
      </c>
      <c r="M177" s="17" t="inlineStr"/>
    </row>
    <row r="178">
      <c r="A178" s="17" t="inlineStr">
        <is>
          <t>C139</t>
        </is>
      </c>
      <c r="B178" s="17" t="inlineStr">
        <is>
          <t>테라젠이텍스</t>
        </is>
      </c>
      <c r="C178" s="17" t="inlineStr">
        <is>
          <t>(주)테라젠이텍스</t>
        </is>
      </c>
      <c r="D178" s="17" t="inlineStr">
        <is>
          <t>홈페이지</t>
        </is>
      </c>
      <c r="E178" s="17" t="inlineStr">
        <is>
          <t>http://www.thera-gen.com</t>
        </is>
      </c>
      <c r="F178" s="17" t="inlineStr"/>
      <c r="G178" s="17" t="inlineStr">
        <is>
          <t>2026-07-06</t>
        </is>
      </c>
      <c r="H178" s="17" t="inlineStr">
        <is>
          <t>한국거래소 KIND</t>
        </is>
      </c>
      <c r="I178" s="17" t="inlineStr">
        <is>
          <t>상장법인목록</t>
        </is>
      </c>
      <c r="J178" s="17" t="inlineStr">
        <is>
          <t>https://kind.krx.co.kr</t>
        </is>
      </c>
      <c r="K178" s="17" t="inlineStr">
        <is>
          <t>2026-07-06</t>
        </is>
      </c>
      <c r="L178" s="17" t="inlineStr">
        <is>
          <t>A</t>
        </is>
      </c>
      <c r="M178" s="17" t="inlineStr"/>
    </row>
    <row r="179">
      <c r="A179" s="17" t="inlineStr">
        <is>
          <t>C140</t>
        </is>
      </c>
      <c r="B179" s="17" t="inlineStr">
        <is>
          <t>한국넬슨제약</t>
        </is>
      </c>
      <c r="C179" s="17" t="inlineStr">
        <is>
          <t>한국넬슨제약(주)</t>
        </is>
      </c>
      <c r="D179" s="17" t="inlineStr">
        <is>
          <t>대표전화</t>
        </is>
      </c>
      <c r="E179" s="17" t="inlineStr">
        <is>
          <t>043-877-4722</t>
        </is>
      </c>
      <c r="F179" s="17" t="inlineStr"/>
      <c r="G179" s="17" t="inlineStr">
        <is>
          <t>2026-07-06</t>
        </is>
      </c>
      <c r="H179" s="17" t="inlineStr">
        <is>
          <t>식품의약품안전처</t>
        </is>
      </c>
      <c r="I179" s="17" t="inlineStr">
        <is>
          <t>의약품 등 업체허가현황(제조소상세)</t>
        </is>
      </c>
      <c r="J179" s="17" t="inlineStr">
        <is>
          <t>https://www.data.go.kr/data/15095682/openapi.do</t>
        </is>
      </c>
      <c r="K179" s="17" t="inlineStr">
        <is>
          <t>2026-07-06</t>
        </is>
      </c>
      <c r="L179" s="17" t="inlineStr">
        <is>
          <t>A</t>
        </is>
      </c>
      <c r="M179" s="17" t="inlineStr">
        <is>
          <t>공장 대표번호</t>
        </is>
      </c>
    </row>
    <row r="180">
      <c r="A180" s="17" t="inlineStr">
        <is>
          <t>C141</t>
        </is>
      </c>
      <c r="B180" s="17" t="inlineStr">
        <is>
          <t>전남대학교병원</t>
        </is>
      </c>
      <c r="C180" s="17" t="inlineStr">
        <is>
          <t>전남대학교병원</t>
        </is>
      </c>
      <c r="D180" s="17" t="inlineStr">
        <is>
          <t>대표전화</t>
        </is>
      </c>
      <c r="E180" s="17" t="inlineStr">
        <is>
          <t>062-220-6877</t>
        </is>
      </c>
      <c r="F180" s="17" t="inlineStr"/>
      <c r="G180" s="17" t="inlineStr">
        <is>
          <t>2026-07-06</t>
        </is>
      </c>
      <c r="H180" s="17" t="inlineStr">
        <is>
          <t>식품의약품안전처</t>
        </is>
      </c>
      <c r="I180" s="17" t="inlineStr">
        <is>
          <t>의약품 등 업체허가현황(제조소상세)</t>
        </is>
      </c>
      <c r="J180" s="17" t="inlineStr">
        <is>
          <t>https://www.data.go.kr/data/15095682/openapi.do</t>
        </is>
      </c>
      <c r="K180" s="17" t="inlineStr">
        <is>
          <t>2026-07-06</t>
        </is>
      </c>
      <c r="L180" s="17" t="inlineStr">
        <is>
          <t>A</t>
        </is>
      </c>
      <c r="M180" s="17" t="inlineStr">
        <is>
          <t>공장 대표번호</t>
        </is>
      </c>
    </row>
    <row r="181">
      <c r="A181" s="17" t="inlineStr">
        <is>
          <t>C142</t>
        </is>
      </c>
      <c r="B181" s="17" t="inlineStr">
        <is>
          <t>프로라젠</t>
        </is>
      </c>
      <c r="C181" s="17" t="inlineStr">
        <is>
          <t>(주)프로라젠</t>
        </is>
      </c>
      <c r="D181" s="17" t="inlineStr">
        <is>
          <t>대표전화</t>
        </is>
      </c>
      <c r="E181" s="17" t="inlineStr">
        <is>
          <t>070-7770-6330</t>
        </is>
      </c>
      <c r="F181" s="17" t="inlineStr"/>
      <c r="G181" s="17" t="inlineStr">
        <is>
          <t>2026-07-06</t>
        </is>
      </c>
      <c r="H181" s="17" t="inlineStr">
        <is>
          <t>식품의약품안전처</t>
        </is>
      </c>
      <c r="I181" s="17" t="inlineStr">
        <is>
          <t>의약품 등 업체허가현황(제조소상세)</t>
        </is>
      </c>
      <c r="J181" s="17" t="inlineStr">
        <is>
          <t>https://www.data.go.kr/data/15095682/openapi.do</t>
        </is>
      </c>
      <c r="K181" s="17" t="inlineStr">
        <is>
          <t>2026-07-06</t>
        </is>
      </c>
      <c r="L181" s="17" t="inlineStr">
        <is>
          <t>A</t>
        </is>
      </c>
      <c r="M181" s="17" t="inlineStr">
        <is>
          <t>공장 대표번호</t>
        </is>
      </c>
    </row>
    <row r="182">
      <c r="A182" s="17" t="inlineStr">
        <is>
          <t>C143</t>
        </is>
      </c>
      <c r="B182" s="17" t="inlineStr">
        <is>
          <t>휴온스메디텍</t>
        </is>
      </c>
      <c r="C182" s="17" t="inlineStr">
        <is>
          <t>(주)휴온스메디텍</t>
        </is>
      </c>
      <c r="D182" s="17" t="inlineStr">
        <is>
          <t>대표전화</t>
        </is>
      </c>
      <c r="E182" s="17" t="inlineStr">
        <is>
          <t>05183110300519790922</t>
        </is>
      </c>
      <c r="F182" s="17" t="inlineStr"/>
      <c r="G182" s="17" t="inlineStr">
        <is>
          <t>2026-07-06</t>
        </is>
      </c>
      <c r="H182" s="17" t="inlineStr">
        <is>
          <t>식품의약품안전처</t>
        </is>
      </c>
      <c r="I182" s="17" t="inlineStr">
        <is>
          <t>의약품 등 업체허가현황(제조소상세)</t>
        </is>
      </c>
      <c r="J182" s="17" t="inlineStr">
        <is>
          <t>https://www.data.go.kr/data/15095682/openapi.do</t>
        </is>
      </c>
      <c r="K182" s="17" t="inlineStr">
        <is>
          <t>2026-07-06</t>
        </is>
      </c>
      <c r="L182" s="17" t="inlineStr">
        <is>
          <t>A</t>
        </is>
      </c>
      <c r="M182" s="17" t="inlineStr">
        <is>
          <t>공장 대표번호</t>
        </is>
      </c>
    </row>
    <row r="183">
      <c r="A183" s="17" t="inlineStr">
        <is>
          <t>C144</t>
        </is>
      </c>
      <c r="B183" s="17" t="inlineStr">
        <is>
          <t>오스코리아제약</t>
        </is>
      </c>
      <c r="C183" s="17" t="inlineStr">
        <is>
          <t>(주)오스코리아제약</t>
        </is>
      </c>
      <c r="D183" s="17" t="inlineStr">
        <is>
          <t>대표전화</t>
        </is>
      </c>
      <c r="E183" s="17" t="inlineStr">
        <is>
          <t>033-731-2801</t>
        </is>
      </c>
      <c r="F183" s="17" t="inlineStr"/>
      <c r="G183" s="17" t="inlineStr">
        <is>
          <t>2026-07-06</t>
        </is>
      </c>
      <c r="H183" s="17" t="inlineStr">
        <is>
          <t>식품의약품안전처</t>
        </is>
      </c>
      <c r="I183" s="17" t="inlineStr">
        <is>
          <t>의약품 등 업체허가현황(제조소상세)</t>
        </is>
      </c>
      <c r="J183" s="17" t="inlineStr">
        <is>
          <t>https://www.data.go.kr/data/15095682/openapi.do</t>
        </is>
      </c>
      <c r="K183" s="17" t="inlineStr">
        <is>
          <t>2026-07-06</t>
        </is>
      </c>
      <c r="L183" s="17" t="inlineStr">
        <is>
          <t>A</t>
        </is>
      </c>
      <c r="M183" s="17" t="inlineStr">
        <is>
          <t>공장 대표번호</t>
        </is>
      </c>
    </row>
    <row r="184">
      <c r="A184" s="17" t="inlineStr">
        <is>
          <t>C145</t>
        </is>
      </c>
      <c r="B184" s="17" t="inlineStr">
        <is>
          <t>현대바이오랜드</t>
        </is>
      </c>
      <c r="C184" s="17" t="inlineStr">
        <is>
          <t>주식회사현대바이오랜드</t>
        </is>
      </c>
      <c r="D184" s="17" t="inlineStr">
        <is>
          <t>대표전화</t>
        </is>
      </c>
      <c r="E184" s="17" t="inlineStr">
        <is>
          <t>043-249-6720</t>
        </is>
      </c>
      <c r="F184" s="17" t="inlineStr"/>
      <c r="G184" s="17" t="inlineStr">
        <is>
          <t>2026-07-06</t>
        </is>
      </c>
      <c r="H184" s="17" t="inlineStr">
        <is>
          <t>식품의약품안전처</t>
        </is>
      </c>
      <c r="I184" s="17" t="inlineStr">
        <is>
          <t>의약품 등 업체허가현황(제조소상세)</t>
        </is>
      </c>
      <c r="J184" s="17" t="inlineStr">
        <is>
          <t>https://www.data.go.kr/data/15095682/openapi.do</t>
        </is>
      </c>
      <c r="K184" s="17" t="inlineStr">
        <is>
          <t>2026-07-06</t>
        </is>
      </c>
      <c r="L184" s="17" t="inlineStr">
        <is>
          <t>A</t>
        </is>
      </c>
      <c r="M184" s="17" t="inlineStr">
        <is>
          <t>공장 대표번호</t>
        </is>
      </c>
    </row>
    <row r="185">
      <c r="A185" s="17" t="inlineStr">
        <is>
          <t>C145</t>
        </is>
      </c>
      <c r="B185" s="17" t="inlineStr">
        <is>
          <t>현대바이오랜드</t>
        </is>
      </c>
      <c r="C185" s="17" t="inlineStr">
        <is>
          <t>주식회사현대바이오랜드</t>
        </is>
      </c>
      <c r="D185" s="17" t="inlineStr">
        <is>
          <t>상장정보</t>
        </is>
      </c>
      <c r="E185" s="17" t="inlineStr">
        <is>
          <t>코스닥/052260</t>
        </is>
      </c>
      <c r="F185" s="17" t="inlineStr"/>
      <c r="G185" s="17" t="inlineStr">
        <is>
          <t>2026-07-06</t>
        </is>
      </c>
      <c r="H185" s="17" t="inlineStr">
        <is>
          <t>한국거래소 KIND</t>
        </is>
      </c>
      <c r="I185" s="17" t="inlineStr">
        <is>
          <t>상장법인목록</t>
        </is>
      </c>
      <c r="J185" s="17" t="inlineStr">
        <is>
          <t>https://kind.krx.co.kr</t>
        </is>
      </c>
      <c r="K185" s="17" t="inlineStr">
        <is>
          <t>2026-07-06</t>
        </is>
      </c>
      <c r="L185" s="17" t="inlineStr">
        <is>
          <t>A</t>
        </is>
      </c>
      <c r="M185" s="17" t="inlineStr"/>
    </row>
    <row r="186">
      <c r="A186" s="17" t="inlineStr">
        <is>
          <t>C145</t>
        </is>
      </c>
      <c r="B186" s="17" t="inlineStr">
        <is>
          <t>현대바이오랜드</t>
        </is>
      </c>
      <c r="C186" s="17" t="inlineStr">
        <is>
          <t>주식회사현대바이오랜드</t>
        </is>
      </c>
      <c r="D186" s="17" t="inlineStr">
        <is>
          <t>홈페이지</t>
        </is>
      </c>
      <c r="E186" s="17" t="inlineStr">
        <is>
          <t>http://www.hyundaibioland.co.kr</t>
        </is>
      </c>
      <c r="F186" s="17" t="inlineStr"/>
      <c r="G186" s="17" t="inlineStr">
        <is>
          <t>2026-07-06</t>
        </is>
      </c>
      <c r="H186" s="17" t="inlineStr">
        <is>
          <t>한국거래소 KIND</t>
        </is>
      </c>
      <c r="I186" s="17" t="inlineStr">
        <is>
          <t>상장법인목록</t>
        </is>
      </c>
      <c r="J186" s="17" t="inlineStr">
        <is>
          <t>https://kind.krx.co.kr</t>
        </is>
      </c>
      <c r="K186" s="17" t="inlineStr">
        <is>
          <t>2026-07-06</t>
        </is>
      </c>
      <c r="L186" s="17" t="inlineStr">
        <is>
          <t>A</t>
        </is>
      </c>
      <c r="M186" s="17" t="inlineStr"/>
    </row>
    <row r="187">
      <c r="A187" s="17" t="inlineStr">
        <is>
          <t>C146</t>
        </is>
      </c>
      <c r="B187" s="17" t="inlineStr">
        <is>
          <t>팩슨</t>
        </is>
      </c>
      <c r="C187" s="17" t="inlineStr">
        <is>
          <t>(주)팩슨</t>
        </is>
      </c>
      <c r="D187" s="17" t="inlineStr">
        <is>
          <t>대표전화</t>
        </is>
      </c>
      <c r="E187" s="17" t="inlineStr">
        <is>
          <t>053-581-5425</t>
        </is>
      </c>
      <c r="F187" s="17" t="inlineStr"/>
      <c r="G187" s="17" t="inlineStr">
        <is>
          <t>2026-07-06</t>
        </is>
      </c>
      <c r="H187" s="17" t="inlineStr">
        <is>
          <t>식품의약품안전처</t>
        </is>
      </c>
      <c r="I187" s="17" t="inlineStr">
        <is>
          <t>의약품 등 업체허가현황(제조소상세)</t>
        </is>
      </c>
      <c r="J187" s="17" t="inlineStr">
        <is>
          <t>https://www.data.go.kr/data/15095682/openapi.do</t>
        </is>
      </c>
      <c r="K187" s="17" t="inlineStr">
        <is>
          <t>2026-07-06</t>
        </is>
      </c>
      <c r="L187" s="17" t="inlineStr">
        <is>
          <t>A</t>
        </is>
      </c>
      <c r="M187" s="17" t="inlineStr">
        <is>
          <t>공장 대표번호</t>
        </is>
      </c>
    </row>
    <row r="188">
      <c r="A188" s="17" t="inlineStr">
        <is>
          <t>C148</t>
        </is>
      </c>
      <c r="B188" s="17" t="inlineStr">
        <is>
          <t>제뉴원사이언스</t>
        </is>
      </c>
      <c r="C188" s="17" t="inlineStr">
        <is>
          <t>주식회사제뉴원사이언스</t>
        </is>
      </c>
      <c r="D188" s="17" t="inlineStr">
        <is>
          <t>대표전화</t>
        </is>
      </c>
      <c r="E188" s="17" t="inlineStr">
        <is>
          <t>080-601-0080</t>
        </is>
      </c>
      <c r="F188" s="17" t="inlineStr"/>
      <c r="G188" s="17" t="inlineStr">
        <is>
          <t>2026-07-06</t>
        </is>
      </c>
      <c r="H188" s="17" t="inlineStr">
        <is>
          <t>식품의약품안전처</t>
        </is>
      </c>
      <c r="I188" s="17" t="inlineStr">
        <is>
          <t>의약품 등 업체허가현황(제조소상세)</t>
        </is>
      </c>
      <c r="J188" s="17" t="inlineStr">
        <is>
          <t>https://www.data.go.kr/data/15095682/openapi.do</t>
        </is>
      </c>
      <c r="K188" s="17" t="inlineStr">
        <is>
          <t>2026-07-06</t>
        </is>
      </c>
      <c r="L188" s="17" t="inlineStr">
        <is>
          <t>A</t>
        </is>
      </c>
      <c r="M188" s="17" t="inlineStr">
        <is>
          <t>공장 대표번호</t>
        </is>
      </c>
    </row>
    <row r="189">
      <c r="A189" s="17" t="inlineStr">
        <is>
          <t>C149</t>
        </is>
      </c>
      <c r="B189" s="17" t="inlineStr">
        <is>
          <t>한영기업</t>
        </is>
      </c>
      <c r="C189" s="17" t="inlineStr">
        <is>
          <t>한영기업(주)</t>
        </is>
      </c>
      <c r="D189" s="17" t="inlineStr">
        <is>
          <t>대표전화</t>
        </is>
      </c>
      <c r="E189" s="17" t="inlineStr">
        <is>
          <t>051-403-4787</t>
        </is>
      </c>
      <c r="F189" s="17" t="inlineStr"/>
      <c r="G189" s="17" t="inlineStr">
        <is>
          <t>2026-07-06</t>
        </is>
      </c>
      <c r="H189" s="17" t="inlineStr">
        <is>
          <t>식품의약품안전처</t>
        </is>
      </c>
      <c r="I189" s="17" t="inlineStr">
        <is>
          <t>의약품 등 업체허가현황(제조소상세)</t>
        </is>
      </c>
      <c r="J189" s="17" t="inlineStr">
        <is>
          <t>https://www.data.go.kr/data/15095682/openapi.do</t>
        </is>
      </c>
      <c r="K189" s="17" t="inlineStr">
        <is>
          <t>2026-07-06</t>
        </is>
      </c>
      <c r="L189" s="17" t="inlineStr">
        <is>
          <t>A</t>
        </is>
      </c>
      <c r="M189" s="17" t="inlineStr">
        <is>
          <t>공장 대표번호</t>
        </is>
      </c>
    </row>
    <row r="190">
      <c r="A190" s="17" t="inlineStr">
        <is>
          <t>C150</t>
        </is>
      </c>
      <c r="B190" s="17" t="inlineStr">
        <is>
          <t>보령</t>
        </is>
      </c>
      <c r="C190" s="17" t="inlineStr">
        <is>
          <t>(주)보령</t>
        </is>
      </c>
      <c r="D190" s="17" t="inlineStr">
        <is>
          <t>대표전화</t>
        </is>
      </c>
      <c r="E190" s="17" t="inlineStr">
        <is>
          <t>02-708-8016</t>
        </is>
      </c>
      <c r="F190" s="17" t="inlineStr"/>
      <c r="G190" s="17" t="inlineStr">
        <is>
          <t>2026-07-06</t>
        </is>
      </c>
      <c r="H190" s="17" t="inlineStr">
        <is>
          <t>식품의약품안전처</t>
        </is>
      </c>
      <c r="I190" s="17" t="inlineStr">
        <is>
          <t>의약품 등 업체허가현황(제조소상세)</t>
        </is>
      </c>
      <c r="J190" s="17" t="inlineStr">
        <is>
          <t>https://www.data.go.kr/data/15095682/openapi.do</t>
        </is>
      </c>
      <c r="K190" s="17" t="inlineStr">
        <is>
          <t>2026-07-06</t>
        </is>
      </c>
      <c r="L190" s="17" t="inlineStr">
        <is>
          <t>A</t>
        </is>
      </c>
      <c r="M190" s="17" t="inlineStr">
        <is>
          <t>공장 대표번호</t>
        </is>
      </c>
    </row>
    <row r="191">
      <c r="A191" s="17" t="inlineStr">
        <is>
          <t>C150</t>
        </is>
      </c>
      <c r="B191" s="17" t="inlineStr">
        <is>
          <t>보령</t>
        </is>
      </c>
      <c r="C191" s="17" t="inlineStr">
        <is>
          <t>(주)보령</t>
        </is>
      </c>
      <c r="D191" s="17" t="inlineStr">
        <is>
          <t>상장정보</t>
        </is>
      </c>
      <c r="E191" s="17" t="inlineStr">
        <is>
          <t>유가/003850</t>
        </is>
      </c>
      <c r="F191" s="17" t="inlineStr"/>
      <c r="G191" s="17" t="inlineStr">
        <is>
          <t>2026-07-06</t>
        </is>
      </c>
      <c r="H191" s="17" t="inlineStr">
        <is>
          <t>한국거래소 KIND</t>
        </is>
      </c>
      <c r="I191" s="17" t="inlineStr">
        <is>
          <t>상장법인목록</t>
        </is>
      </c>
      <c r="J191" s="17" t="inlineStr">
        <is>
          <t>https://kind.krx.co.kr</t>
        </is>
      </c>
      <c r="K191" s="17" t="inlineStr">
        <is>
          <t>2026-07-06</t>
        </is>
      </c>
      <c r="L191" s="17" t="inlineStr">
        <is>
          <t>A</t>
        </is>
      </c>
      <c r="M191" s="17" t="inlineStr"/>
    </row>
    <row r="192">
      <c r="A192" s="17" t="inlineStr">
        <is>
          <t>C150</t>
        </is>
      </c>
      <c r="B192" s="17" t="inlineStr">
        <is>
          <t>보령</t>
        </is>
      </c>
      <c r="C192" s="17" t="inlineStr">
        <is>
          <t>(주)보령</t>
        </is>
      </c>
      <c r="D192" s="17" t="inlineStr">
        <is>
          <t>홈페이지</t>
        </is>
      </c>
      <c r="E192" s="17" t="inlineStr">
        <is>
          <t>http://www.boryung.co.kr</t>
        </is>
      </c>
      <c r="F192" s="17" t="inlineStr"/>
      <c r="G192" s="17" t="inlineStr">
        <is>
          <t>2026-07-06</t>
        </is>
      </c>
      <c r="H192" s="17" t="inlineStr">
        <is>
          <t>한국거래소 KIND</t>
        </is>
      </c>
      <c r="I192" s="17" t="inlineStr">
        <is>
          <t>상장법인목록</t>
        </is>
      </c>
      <c r="J192" s="17" t="inlineStr">
        <is>
          <t>https://kind.krx.co.kr</t>
        </is>
      </c>
      <c r="K192" s="17" t="inlineStr">
        <is>
          <t>2026-07-06</t>
        </is>
      </c>
      <c r="L192" s="17" t="inlineStr">
        <is>
          <t>A</t>
        </is>
      </c>
      <c r="M192" s="17" t="inlineStr"/>
    </row>
    <row r="193">
      <c r="A193" s="17" t="inlineStr">
        <is>
          <t>C151</t>
        </is>
      </c>
      <c r="B193" s="17" t="inlineStr">
        <is>
          <t>에이치엘비펩</t>
        </is>
      </c>
      <c r="C193" s="17" t="inlineStr">
        <is>
          <t>에이치엘비펩(주)</t>
        </is>
      </c>
      <c r="D193" s="17" t="inlineStr">
        <is>
          <t>대표전화</t>
        </is>
      </c>
      <c r="E193" s="17" t="inlineStr">
        <is>
          <t>070-4331-5130</t>
        </is>
      </c>
      <c r="F193" s="17" t="inlineStr"/>
      <c r="G193" s="17" t="inlineStr">
        <is>
          <t>2026-07-06</t>
        </is>
      </c>
      <c r="H193" s="17" t="inlineStr">
        <is>
          <t>식품의약품안전처</t>
        </is>
      </c>
      <c r="I193" s="17" t="inlineStr">
        <is>
          <t>의약품 등 업체허가현황(제조소상세)</t>
        </is>
      </c>
      <c r="J193" s="17" t="inlineStr">
        <is>
          <t>https://www.data.go.kr/data/15095682/openapi.do</t>
        </is>
      </c>
      <c r="K193" s="17" t="inlineStr">
        <is>
          <t>2026-07-06</t>
        </is>
      </c>
      <c r="L193" s="17" t="inlineStr">
        <is>
          <t>A</t>
        </is>
      </c>
      <c r="M193" s="17" t="inlineStr">
        <is>
          <t>공장 대표번호</t>
        </is>
      </c>
    </row>
    <row r="194">
      <c r="A194" s="17" t="inlineStr">
        <is>
          <t>C152</t>
        </is>
      </c>
      <c r="B194" s="17" t="inlineStr">
        <is>
          <t>대한의산</t>
        </is>
      </c>
      <c r="C194" s="17" t="inlineStr">
        <is>
          <t>대한의산(주)</t>
        </is>
      </c>
      <c r="D194" s="17" t="inlineStr">
        <is>
          <t>대표전화</t>
        </is>
      </c>
      <c r="E194" s="17" t="inlineStr">
        <is>
          <t>031-635-2345</t>
        </is>
      </c>
      <c r="F194" s="17" t="inlineStr"/>
      <c r="G194" s="17" t="inlineStr">
        <is>
          <t>2026-07-06</t>
        </is>
      </c>
      <c r="H194" s="17" t="inlineStr">
        <is>
          <t>식품의약품안전처</t>
        </is>
      </c>
      <c r="I194" s="17" t="inlineStr">
        <is>
          <t>의약품 등 업체허가현황(제조소상세)</t>
        </is>
      </c>
      <c r="J194" s="17" t="inlineStr">
        <is>
          <t>https://www.data.go.kr/data/15095682/openapi.do</t>
        </is>
      </c>
      <c r="K194" s="17" t="inlineStr">
        <is>
          <t>2026-07-06</t>
        </is>
      </c>
      <c r="L194" s="17" t="inlineStr">
        <is>
          <t>A</t>
        </is>
      </c>
      <c r="M194" s="17" t="inlineStr">
        <is>
          <t>공장 대표번호</t>
        </is>
      </c>
    </row>
    <row r="195">
      <c r="A195" s="17" t="inlineStr">
        <is>
          <t>C153</t>
        </is>
      </c>
      <c r="B195" s="17" t="inlineStr">
        <is>
          <t>펩트론</t>
        </is>
      </c>
      <c r="C195" s="17" t="inlineStr">
        <is>
          <t>(주)펩트론</t>
        </is>
      </c>
      <c r="D195" s="17" t="inlineStr">
        <is>
          <t>상장정보</t>
        </is>
      </c>
      <c r="E195" s="17" t="inlineStr">
        <is>
          <t>코스닥/087010</t>
        </is>
      </c>
      <c r="F195" s="17" t="inlineStr"/>
      <c r="G195" s="17" t="inlineStr">
        <is>
          <t>2026-07-06</t>
        </is>
      </c>
      <c r="H195" s="17" t="inlineStr">
        <is>
          <t>한국거래소 KIND</t>
        </is>
      </c>
      <c r="I195" s="17" t="inlineStr">
        <is>
          <t>상장법인목록</t>
        </is>
      </c>
      <c r="J195" s="17" t="inlineStr">
        <is>
          <t>https://kind.krx.co.kr</t>
        </is>
      </c>
      <c r="K195" s="17" t="inlineStr">
        <is>
          <t>2026-07-06</t>
        </is>
      </c>
      <c r="L195" s="17" t="inlineStr">
        <is>
          <t>A</t>
        </is>
      </c>
      <c r="M195" s="17" t="inlineStr"/>
    </row>
    <row r="196">
      <c r="A196" s="17" t="inlineStr">
        <is>
          <t>C153</t>
        </is>
      </c>
      <c r="B196" s="17" t="inlineStr">
        <is>
          <t>펩트론</t>
        </is>
      </c>
      <c r="C196" s="17" t="inlineStr">
        <is>
          <t>(주)펩트론</t>
        </is>
      </c>
      <c r="D196" s="17" t="inlineStr">
        <is>
          <t>홈페이지</t>
        </is>
      </c>
      <c r="E196" s="17" t="inlineStr">
        <is>
          <t>http://www.peptron.co.kr</t>
        </is>
      </c>
      <c r="F196" s="17" t="inlineStr"/>
      <c r="G196" s="17" t="inlineStr">
        <is>
          <t>2026-07-06</t>
        </is>
      </c>
      <c r="H196" s="17" t="inlineStr">
        <is>
          <t>한국거래소 KIND</t>
        </is>
      </c>
      <c r="I196" s="17" t="inlineStr">
        <is>
          <t>상장법인목록</t>
        </is>
      </c>
      <c r="J196" s="17" t="inlineStr">
        <is>
          <t>https://kind.krx.co.kr</t>
        </is>
      </c>
      <c r="K196" s="17" t="inlineStr">
        <is>
          <t>2026-07-06</t>
        </is>
      </c>
      <c r="L196" s="17" t="inlineStr">
        <is>
          <t>A</t>
        </is>
      </c>
      <c r="M196" s="17" t="inlineStr"/>
    </row>
    <row r="197">
      <c r="A197" s="17" t="inlineStr">
        <is>
          <t>C154</t>
        </is>
      </c>
      <c r="B197" s="17" t="inlineStr">
        <is>
          <t>초당약품공업</t>
        </is>
      </c>
      <c r="C197" s="17" t="inlineStr">
        <is>
          <t>초당약품공업(주)</t>
        </is>
      </c>
      <c r="D197" s="17" t="inlineStr">
        <is>
          <t>대표전화</t>
        </is>
      </c>
      <c r="E197" s="17" t="inlineStr">
        <is>
          <t>02-869-0181</t>
        </is>
      </c>
      <c r="F197" s="17" t="inlineStr"/>
      <c r="G197" s="17" t="inlineStr">
        <is>
          <t>2026-07-06</t>
        </is>
      </c>
      <c r="H197" s="17" t="inlineStr">
        <is>
          <t>식품의약품안전처</t>
        </is>
      </c>
      <c r="I197" s="17" t="inlineStr">
        <is>
          <t>의약품 등 업체허가현황(제조소상세)</t>
        </is>
      </c>
      <c r="J197" s="17" t="inlineStr">
        <is>
          <t>https://www.data.go.kr/data/15095682/openapi.do</t>
        </is>
      </c>
      <c r="K197" s="17" t="inlineStr">
        <is>
          <t>2026-07-06</t>
        </is>
      </c>
      <c r="L197" s="17" t="inlineStr">
        <is>
          <t>A</t>
        </is>
      </c>
      <c r="M197" s="17" t="inlineStr">
        <is>
          <t>공장 대표번호</t>
        </is>
      </c>
    </row>
    <row r="198">
      <c r="A198" s="17" t="inlineStr">
        <is>
          <t>C155</t>
        </is>
      </c>
      <c r="B198" s="17" t="inlineStr">
        <is>
          <t>일화</t>
        </is>
      </c>
      <c r="C198" s="17" t="inlineStr">
        <is>
          <t>(주)일화</t>
        </is>
      </c>
      <c r="D198" s="17" t="inlineStr">
        <is>
          <t>대표전화</t>
        </is>
      </c>
      <c r="E198" s="17" t="inlineStr">
        <is>
          <t>031-550-0477</t>
        </is>
      </c>
      <c r="F198" s="17" t="inlineStr"/>
      <c r="G198" s="17" t="inlineStr">
        <is>
          <t>2026-07-06</t>
        </is>
      </c>
      <c r="H198" s="17" t="inlineStr">
        <is>
          <t>식품의약품안전처</t>
        </is>
      </c>
      <c r="I198" s="17" t="inlineStr">
        <is>
          <t>의약품 등 업체허가현황(제조소상세)</t>
        </is>
      </c>
      <c r="J198" s="17" t="inlineStr">
        <is>
          <t>https://www.data.go.kr/data/15095682/openapi.do</t>
        </is>
      </c>
      <c r="K198" s="17" t="inlineStr">
        <is>
          <t>2026-07-06</t>
        </is>
      </c>
      <c r="L198" s="17" t="inlineStr">
        <is>
          <t>A</t>
        </is>
      </c>
      <c r="M198" s="17" t="inlineStr">
        <is>
          <t>공장 대표번호</t>
        </is>
      </c>
    </row>
    <row r="199">
      <c r="A199" s="17" t="inlineStr">
        <is>
          <t>C156</t>
        </is>
      </c>
      <c r="B199" s="17" t="inlineStr">
        <is>
          <t>삼덕가스공업</t>
        </is>
      </c>
      <c r="C199" s="17" t="inlineStr">
        <is>
          <t>삼덕가스공업(주)</t>
        </is>
      </c>
      <c r="D199" s="17" t="inlineStr">
        <is>
          <t>대표전화</t>
        </is>
      </c>
      <c r="E199" s="17" t="inlineStr">
        <is>
          <t>031-983-5584</t>
        </is>
      </c>
      <c r="F199" s="17" t="inlineStr"/>
      <c r="G199" s="17" t="inlineStr">
        <is>
          <t>2026-07-06</t>
        </is>
      </c>
      <c r="H199" s="17" t="inlineStr">
        <is>
          <t>식품의약품안전처</t>
        </is>
      </c>
      <c r="I199" s="17" t="inlineStr">
        <is>
          <t>의약품 등 업체허가현황(제조소상세)</t>
        </is>
      </c>
      <c r="J199" s="17" t="inlineStr">
        <is>
          <t>https://www.data.go.kr/data/15095682/openapi.do</t>
        </is>
      </c>
      <c r="K199" s="17" t="inlineStr">
        <is>
          <t>2026-07-06</t>
        </is>
      </c>
      <c r="L199" s="17" t="inlineStr">
        <is>
          <t>A</t>
        </is>
      </c>
      <c r="M199" s="17" t="inlineStr">
        <is>
          <t>공장 대표번호</t>
        </is>
      </c>
    </row>
    <row r="200">
      <c r="A200" s="17" t="inlineStr">
        <is>
          <t>C158</t>
        </is>
      </c>
      <c r="B200" s="17" t="inlineStr">
        <is>
          <t>한국비엔씨</t>
        </is>
      </c>
      <c r="C200" s="17" t="inlineStr">
        <is>
          <t>(주)한국비엔씨</t>
        </is>
      </c>
      <c r="D200" s="17" t="inlineStr">
        <is>
          <t>대표전화</t>
        </is>
      </c>
      <c r="E200" s="17" t="inlineStr">
        <is>
          <t>044-715-5101</t>
        </is>
      </c>
      <c r="F200" s="17" t="inlineStr"/>
      <c r="G200" s="17" t="inlineStr">
        <is>
          <t>2026-07-06</t>
        </is>
      </c>
      <c r="H200" s="17" t="inlineStr">
        <is>
          <t>식품의약품안전처</t>
        </is>
      </c>
      <c r="I200" s="17" t="inlineStr">
        <is>
          <t>의약품 등 업체허가현황(제조소상세)</t>
        </is>
      </c>
      <c r="J200" s="17" t="inlineStr">
        <is>
          <t>https://www.data.go.kr/data/15095682/openapi.do</t>
        </is>
      </c>
      <c r="K200" s="17" t="inlineStr">
        <is>
          <t>2026-07-06</t>
        </is>
      </c>
      <c r="L200" s="17" t="inlineStr">
        <is>
          <t>A</t>
        </is>
      </c>
      <c r="M200" s="17" t="inlineStr">
        <is>
          <t>공장 대표번호</t>
        </is>
      </c>
    </row>
    <row r="201">
      <c r="A201" s="17" t="inlineStr">
        <is>
          <t>C158</t>
        </is>
      </c>
      <c r="B201" s="17" t="inlineStr">
        <is>
          <t>한국비엔씨</t>
        </is>
      </c>
      <c r="C201" s="17" t="inlineStr">
        <is>
          <t>(주)한국비엔씨</t>
        </is>
      </c>
      <c r="D201" s="17" t="inlineStr">
        <is>
          <t>상장정보</t>
        </is>
      </c>
      <c r="E201" s="17" t="inlineStr">
        <is>
          <t>코스닥/256840</t>
        </is>
      </c>
      <c r="F201" s="17" t="inlineStr"/>
      <c r="G201" s="17" t="inlineStr">
        <is>
          <t>2026-07-06</t>
        </is>
      </c>
      <c r="H201" s="17" t="inlineStr">
        <is>
          <t>한국거래소 KIND</t>
        </is>
      </c>
      <c r="I201" s="17" t="inlineStr">
        <is>
          <t>상장법인목록</t>
        </is>
      </c>
      <c r="J201" s="17" t="inlineStr">
        <is>
          <t>https://kind.krx.co.kr</t>
        </is>
      </c>
      <c r="K201" s="17" t="inlineStr">
        <is>
          <t>2026-07-06</t>
        </is>
      </c>
      <c r="L201" s="17" t="inlineStr">
        <is>
          <t>A</t>
        </is>
      </c>
      <c r="M201" s="17" t="inlineStr"/>
    </row>
    <row r="202">
      <c r="A202" s="17" t="inlineStr">
        <is>
          <t>C158</t>
        </is>
      </c>
      <c r="B202" s="17" t="inlineStr">
        <is>
          <t>한국비엔씨</t>
        </is>
      </c>
      <c r="C202" s="17" t="inlineStr">
        <is>
          <t>(주)한국비엔씨</t>
        </is>
      </c>
      <c r="D202" s="17" t="inlineStr">
        <is>
          <t>홈페이지</t>
        </is>
      </c>
      <c r="E202" s="17" t="inlineStr">
        <is>
          <t>http://www.bnckorea.co.kr</t>
        </is>
      </c>
      <c r="F202" s="17" t="inlineStr"/>
      <c r="G202" s="17" t="inlineStr">
        <is>
          <t>2026-07-06</t>
        </is>
      </c>
      <c r="H202" s="17" t="inlineStr">
        <is>
          <t>한국거래소 KIND</t>
        </is>
      </c>
      <c r="I202" s="17" t="inlineStr">
        <is>
          <t>상장법인목록</t>
        </is>
      </c>
      <c r="J202" s="17" t="inlineStr">
        <is>
          <t>https://kind.krx.co.kr</t>
        </is>
      </c>
      <c r="K202" s="17" t="inlineStr">
        <is>
          <t>2026-07-06</t>
        </is>
      </c>
      <c r="L202" s="17" t="inlineStr">
        <is>
          <t>A</t>
        </is>
      </c>
      <c r="M202" s="17" t="inlineStr"/>
    </row>
    <row r="203">
      <c r="A203" s="17" t="inlineStr">
        <is>
          <t>C159</t>
        </is>
      </c>
      <c r="B203" s="17" t="inlineStr">
        <is>
          <t>삼흥에너지</t>
        </is>
      </c>
      <c r="C203" s="17" t="inlineStr">
        <is>
          <t>(주)삼흥에너지</t>
        </is>
      </c>
      <c r="D203" s="17" t="inlineStr">
        <is>
          <t>대표전화</t>
        </is>
      </c>
      <c r="E203" s="17" t="inlineStr">
        <is>
          <t>055-338-7618</t>
        </is>
      </c>
      <c r="F203" s="17" t="inlineStr"/>
      <c r="G203" s="17" t="inlineStr">
        <is>
          <t>2026-07-06</t>
        </is>
      </c>
      <c r="H203" s="17" t="inlineStr">
        <is>
          <t>식품의약품안전처</t>
        </is>
      </c>
      <c r="I203" s="17" t="inlineStr">
        <is>
          <t>의약품 등 업체허가현황(제조소상세)</t>
        </is>
      </c>
      <c r="J203" s="17" t="inlineStr">
        <is>
          <t>https://www.data.go.kr/data/15095682/openapi.do</t>
        </is>
      </c>
      <c r="K203" s="17" t="inlineStr">
        <is>
          <t>2026-07-06</t>
        </is>
      </c>
      <c r="L203" s="17" t="inlineStr">
        <is>
          <t>A</t>
        </is>
      </c>
      <c r="M203" s="17" t="inlineStr">
        <is>
          <t>공장 대표번호</t>
        </is>
      </c>
    </row>
    <row r="204">
      <c r="A204" s="17" t="inlineStr">
        <is>
          <t>C160</t>
        </is>
      </c>
      <c r="B204" s="17" t="inlineStr">
        <is>
          <t>대상</t>
        </is>
      </c>
      <c r="C204" s="17" t="inlineStr">
        <is>
          <t>대상(주)</t>
        </is>
      </c>
      <c r="D204" s="17" t="inlineStr">
        <is>
          <t>상장정보</t>
        </is>
      </c>
      <c r="E204" s="17" t="inlineStr">
        <is>
          <t>유가/001680</t>
        </is>
      </c>
      <c r="F204" s="17" t="inlineStr"/>
      <c r="G204" s="17" t="inlineStr">
        <is>
          <t>2026-07-06</t>
        </is>
      </c>
      <c r="H204" s="17" t="inlineStr">
        <is>
          <t>한국거래소 KIND</t>
        </is>
      </c>
      <c r="I204" s="17" t="inlineStr">
        <is>
          <t>상장법인목록</t>
        </is>
      </c>
      <c r="J204" s="17" t="inlineStr">
        <is>
          <t>https://kind.krx.co.kr</t>
        </is>
      </c>
      <c r="K204" s="17" t="inlineStr">
        <is>
          <t>2026-07-06</t>
        </is>
      </c>
      <c r="L204" s="17" t="inlineStr">
        <is>
          <t>A</t>
        </is>
      </c>
      <c r="M204" s="17" t="inlineStr"/>
    </row>
    <row r="205">
      <c r="A205" s="17" t="inlineStr">
        <is>
          <t>C160</t>
        </is>
      </c>
      <c r="B205" s="17" t="inlineStr">
        <is>
          <t>대상</t>
        </is>
      </c>
      <c r="C205" s="17" t="inlineStr">
        <is>
          <t>대상(주)</t>
        </is>
      </c>
      <c r="D205" s="17" t="inlineStr">
        <is>
          <t>홈페이지</t>
        </is>
      </c>
      <c r="E205" s="17" t="inlineStr">
        <is>
          <t>http://www.daesang.co.kr</t>
        </is>
      </c>
      <c r="F205" s="17" t="inlineStr"/>
      <c r="G205" s="17" t="inlineStr">
        <is>
          <t>2026-07-06</t>
        </is>
      </c>
      <c r="H205" s="17" t="inlineStr">
        <is>
          <t>한국거래소 KIND</t>
        </is>
      </c>
      <c r="I205" s="17" t="inlineStr">
        <is>
          <t>상장법인목록</t>
        </is>
      </c>
      <c r="J205" s="17" t="inlineStr">
        <is>
          <t>https://kind.krx.co.kr</t>
        </is>
      </c>
      <c r="K205" s="17" t="inlineStr">
        <is>
          <t>2026-07-06</t>
        </is>
      </c>
      <c r="L205" s="17" t="inlineStr">
        <is>
          <t>A</t>
        </is>
      </c>
      <c r="M205" s="17" t="inlineStr"/>
    </row>
    <row r="206">
      <c r="A206" s="17" t="inlineStr">
        <is>
          <t>C161</t>
        </is>
      </c>
      <c r="B206" s="17" t="inlineStr">
        <is>
          <t>한미약품</t>
        </is>
      </c>
      <c r="C206" s="17" t="inlineStr">
        <is>
          <t>한미약품(주)</t>
        </is>
      </c>
      <c r="D206" s="17" t="inlineStr">
        <is>
          <t>대표전화</t>
        </is>
      </c>
      <c r="E206" s="17" t="inlineStr">
        <is>
          <t>02-410-9114</t>
        </is>
      </c>
      <c r="F206" s="17" t="inlineStr"/>
      <c r="G206" s="17" t="inlineStr">
        <is>
          <t>2026-07-06</t>
        </is>
      </c>
      <c r="H206" s="17" t="inlineStr">
        <is>
          <t>식품의약품안전처</t>
        </is>
      </c>
      <c r="I206" s="17" t="inlineStr">
        <is>
          <t>의약품 등 업체허가현황(제조소상세)</t>
        </is>
      </c>
      <c r="J206" s="17" t="inlineStr">
        <is>
          <t>https://www.data.go.kr/data/15095682/openapi.do</t>
        </is>
      </c>
      <c r="K206" s="17" t="inlineStr">
        <is>
          <t>2026-07-06</t>
        </is>
      </c>
      <c r="L206" s="17" t="inlineStr">
        <is>
          <t>A</t>
        </is>
      </c>
      <c r="M206" s="17" t="inlineStr">
        <is>
          <t>공장 대표번호</t>
        </is>
      </c>
    </row>
    <row r="207">
      <c r="A207" s="17" t="inlineStr">
        <is>
          <t>C161</t>
        </is>
      </c>
      <c r="B207" s="17" t="inlineStr">
        <is>
          <t>한미약품</t>
        </is>
      </c>
      <c r="C207" s="17" t="inlineStr">
        <is>
          <t>한미약품(주)</t>
        </is>
      </c>
      <c r="D207" s="17" t="inlineStr">
        <is>
          <t>상장정보</t>
        </is>
      </c>
      <c r="E207" s="17" t="inlineStr">
        <is>
          <t>유가/128940</t>
        </is>
      </c>
      <c r="F207" s="17" t="inlineStr"/>
      <c r="G207" s="17" t="inlineStr">
        <is>
          <t>2026-07-06</t>
        </is>
      </c>
      <c r="H207" s="17" t="inlineStr">
        <is>
          <t>한국거래소 KIND</t>
        </is>
      </c>
      <c r="I207" s="17" t="inlineStr">
        <is>
          <t>상장법인목록</t>
        </is>
      </c>
      <c r="J207" s="17" t="inlineStr">
        <is>
          <t>https://kind.krx.co.kr</t>
        </is>
      </c>
      <c r="K207" s="17" t="inlineStr">
        <is>
          <t>2026-07-06</t>
        </is>
      </c>
      <c r="L207" s="17" t="inlineStr">
        <is>
          <t>A</t>
        </is>
      </c>
      <c r="M207" s="17" t="inlineStr"/>
    </row>
    <row r="208">
      <c r="A208" s="17" t="inlineStr">
        <is>
          <t>C162</t>
        </is>
      </c>
      <c r="B208" s="17" t="inlineStr">
        <is>
          <t>휴메딕스</t>
        </is>
      </c>
      <c r="C208" s="17" t="inlineStr">
        <is>
          <t>(주)휴메딕스</t>
        </is>
      </c>
      <c r="D208" s="17" t="inlineStr">
        <is>
          <t>대표전화</t>
        </is>
      </c>
      <c r="E208" s="17" t="inlineStr">
        <is>
          <t>043-648-6450</t>
        </is>
      </c>
      <c r="F208" s="17" t="inlineStr"/>
      <c r="G208" s="17" t="inlineStr">
        <is>
          <t>2026-07-06</t>
        </is>
      </c>
      <c r="H208" s="17" t="inlineStr">
        <is>
          <t>식품의약품안전처</t>
        </is>
      </c>
      <c r="I208" s="17" t="inlineStr">
        <is>
          <t>의약품 등 업체허가현황(제조소상세)</t>
        </is>
      </c>
      <c r="J208" s="17" t="inlineStr">
        <is>
          <t>https://www.data.go.kr/data/15095682/openapi.do</t>
        </is>
      </c>
      <c r="K208" s="17" t="inlineStr">
        <is>
          <t>2026-07-06</t>
        </is>
      </c>
      <c r="L208" s="17" t="inlineStr">
        <is>
          <t>A</t>
        </is>
      </c>
      <c r="M208" s="17" t="inlineStr">
        <is>
          <t>공장 대표번호</t>
        </is>
      </c>
    </row>
    <row r="209">
      <c r="A209" s="17" t="inlineStr">
        <is>
          <t>C162</t>
        </is>
      </c>
      <c r="B209" s="17" t="inlineStr">
        <is>
          <t>휴메딕스</t>
        </is>
      </c>
      <c r="C209" s="17" t="inlineStr">
        <is>
          <t>(주)휴메딕스</t>
        </is>
      </c>
      <c r="D209" s="17" t="inlineStr">
        <is>
          <t>상장정보</t>
        </is>
      </c>
      <c r="E209" s="17" t="inlineStr">
        <is>
          <t>코스닥/200670</t>
        </is>
      </c>
      <c r="F209" s="17" t="inlineStr"/>
      <c r="G209" s="17" t="inlineStr">
        <is>
          <t>2026-07-06</t>
        </is>
      </c>
      <c r="H209" s="17" t="inlineStr">
        <is>
          <t>한국거래소 KIND</t>
        </is>
      </c>
      <c r="I209" s="17" t="inlineStr">
        <is>
          <t>상장법인목록</t>
        </is>
      </c>
      <c r="J209" s="17" t="inlineStr">
        <is>
          <t>https://kind.krx.co.kr</t>
        </is>
      </c>
      <c r="K209" s="17" t="inlineStr">
        <is>
          <t>2026-07-06</t>
        </is>
      </c>
      <c r="L209" s="17" t="inlineStr">
        <is>
          <t>A</t>
        </is>
      </c>
      <c r="M209" s="17" t="inlineStr"/>
    </row>
    <row r="210">
      <c r="A210" s="17" t="inlineStr">
        <is>
          <t>C162</t>
        </is>
      </c>
      <c r="B210" s="17" t="inlineStr">
        <is>
          <t>휴메딕스</t>
        </is>
      </c>
      <c r="C210" s="17" t="inlineStr">
        <is>
          <t>(주)휴메딕스</t>
        </is>
      </c>
      <c r="D210" s="17" t="inlineStr">
        <is>
          <t>홈페이지</t>
        </is>
      </c>
      <c r="E210" s="17" t="inlineStr">
        <is>
          <t>http://www.humedix.com</t>
        </is>
      </c>
      <c r="F210" s="17" t="inlineStr"/>
      <c r="G210" s="17" t="inlineStr">
        <is>
          <t>2026-07-06</t>
        </is>
      </c>
      <c r="H210" s="17" t="inlineStr">
        <is>
          <t>한국거래소 KIND</t>
        </is>
      </c>
      <c r="I210" s="17" t="inlineStr">
        <is>
          <t>상장법인목록</t>
        </is>
      </c>
      <c r="J210" s="17" t="inlineStr">
        <is>
          <t>https://kind.krx.co.kr</t>
        </is>
      </c>
      <c r="K210" s="17" t="inlineStr">
        <is>
          <t>2026-07-06</t>
        </is>
      </c>
      <c r="L210" s="17" t="inlineStr">
        <is>
          <t>A</t>
        </is>
      </c>
      <c r="M210" s="17" t="inlineStr"/>
    </row>
    <row r="211">
      <c r="A211" s="17" t="inlineStr">
        <is>
          <t>C163</t>
        </is>
      </c>
      <c r="B211" s="17" t="inlineStr">
        <is>
          <t>경동제약</t>
        </is>
      </c>
      <c r="C211" s="17" t="inlineStr">
        <is>
          <t>경동제약(주)</t>
        </is>
      </c>
      <c r="D211" s="17" t="inlineStr">
        <is>
          <t>대표전화</t>
        </is>
      </c>
      <c r="E211" s="17" t="inlineStr">
        <is>
          <t>02-576-6123</t>
        </is>
      </c>
      <c r="F211" s="17" t="inlineStr"/>
      <c r="G211" s="17" t="inlineStr">
        <is>
          <t>2026-07-06</t>
        </is>
      </c>
      <c r="H211" s="17" t="inlineStr">
        <is>
          <t>식품의약품안전처</t>
        </is>
      </c>
      <c r="I211" s="17" t="inlineStr">
        <is>
          <t>의약품 등 업체허가현황(제조소상세)</t>
        </is>
      </c>
      <c r="J211" s="17" t="inlineStr">
        <is>
          <t>https://www.data.go.kr/data/15095682/openapi.do</t>
        </is>
      </c>
      <c r="K211" s="17" t="inlineStr">
        <is>
          <t>2026-07-06</t>
        </is>
      </c>
      <c r="L211" s="17" t="inlineStr">
        <is>
          <t>A</t>
        </is>
      </c>
      <c r="M211" s="17" t="inlineStr">
        <is>
          <t>공장 대표번호</t>
        </is>
      </c>
    </row>
    <row r="212">
      <c r="A212" s="17" t="inlineStr">
        <is>
          <t>C163</t>
        </is>
      </c>
      <c r="B212" s="17" t="inlineStr">
        <is>
          <t>경동제약</t>
        </is>
      </c>
      <c r="C212" s="17" t="inlineStr">
        <is>
          <t>경동제약(주)</t>
        </is>
      </c>
      <c r="D212" s="17" t="inlineStr">
        <is>
          <t>상장정보</t>
        </is>
      </c>
      <c r="E212" s="17" t="inlineStr">
        <is>
          <t>코스닥/011040</t>
        </is>
      </c>
      <c r="F212" s="17" t="inlineStr"/>
      <c r="G212" s="17" t="inlineStr">
        <is>
          <t>2026-07-06</t>
        </is>
      </c>
      <c r="H212" s="17" t="inlineStr">
        <is>
          <t>한국거래소 KIND</t>
        </is>
      </c>
      <c r="I212" s="17" t="inlineStr">
        <is>
          <t>상장법인목록</t>
        </is>
      </c>
      <c r="J212" s="17" t="inlineStr">
        <is>
          <t>https://kind.krx.co.kr</t>
        </is>
      </c>
      <c r="K212" s="17" t="inlineStr">
        <is>
          <t>2026-07-06</t>
        </is>
      </c>
      <c r="L212" s="17" t="inlineStr">
        <is>
          <t>A</t>
        </is>
      </c>
      <c r="M212" s="17" t="inlineStr"/>
    </row>
    <row r="213">
      <c r="A213" s="17" t="inlineStr">
        <is>
          <t>C163</t>
        </is>
      </c>
      <c r="B213" s="17" t="inlineStr">
        <is>
          <t>경동제약</t>
        </is>
      </c>
      <c r="C213" s="17" t="inlineStr">
        <is>
          <t>경동제약(주)</t>
        </is>
      </c>
      <c r="D213" s="17" t="inlineStr">
        <is>
          <t>홈페이지</t>
        </is>
      </c>
      <c r="E213" s="17" t="inlineStr">
        <is>
          <t>http://www.kdpharma.co.kr</t>
        </is>
      </c>
      <c r="F213" s="17" t="inlineStr"/>
      <c r="G213" s="17" t="inlineStr">
        <is>
          <t>2026-07-06</t>
        </is>
      </c>
      <c r="H213" s="17" t="inlineStr">
        <is>
          <t>한국거래소 KIND</t>
        </is>
      </c>
      <c r="I213" s="17" t="inlineStr">
        <is>
          <t>상장법인목록</t>
        </is>
      </c>
      <c r="J213" s="17" t="inlineStr">
        <is>
          <t>https://kind.krx.co.kr</t>
        </is>
      </c>
      <c r="K213" s="17" t="inlineStr">
        <is>
          <t>2026-07-06</t>
        </is>
      </c>
      <c r="L213" s="17" t="inlineStr">
        <is>
          <t>A</t>
        </is>
      </c>
      <c r="M213" s="17" t="inlineStr"/>
    </row>
    <row r="214">
      <c r="A214" s="17" t="inlineStr">
        <is>
          <t>C164</t>
        </is>
      </c>
      <c r="B214" s="17" t="inlineStr">
        <is>
          <t>조아제약</t>
        </is>
      </c>
      <c r="C214" s="17" t="inlineStr">
        <is>
          <t>조아제약(주)</t>
        </is>
      </c>
      <c r="D214" s="17" t="inlineStr">
        <is>
          <t>대표전화</t>
        </is>
      </c>
      <c r="E214" s="17" t="inlineStr">
        <is>
          <t>055-580-5302</t>
        </is>
      </c>
      <c r="F214" s="17" t="inlineStr"/>
      <c r="G214" s="17" t="inlineStr">
        <is>
          <t>2026-07-06</t>
        </is>
      </c>
      <c r="H214" s="17" t="inlineStr">
        <is>
          <t>식품의약품안전처</t>
        </is>
      </c>
      <c r="I214" s="17" t="inlineStr">
        <is>
          <t>의약품 등 업체허가현황(제조소상세)</t>
        </is>
      </c>
      <c r="J214" s="17" t="inlineStr">
        <is>
          <t>https://www.data.go.kr/data/15095682/openapi.do</t>
        </is>
      </c>
      <c r="K214" s="17" t="inlineStr">
        <is>
          <t>2026-07-06</t>
        </is>
      </c>
      <c r="L214" s="17" t="inlineStr">
        <is>
          <t>A</t>
        </is>
      </c>
      <c r="M214" s="17" t="inlineStr">
        <is>
          <t>공장 대표번호</t>
        </is>
      </c>
    </row>
    <row r="215">
      <c r="A215" s="17" t="inlineStr">
        <is>
          <t>C164</t>
        </is>
      </c>
      <c r="B215" s="17" t="inlineStr">
        <is>
          <t>조아제약</t>
        </is>
      </c>
      <c r="C215" s="17" t="inlineStr">
        <is>
          <t>조아제약(주)</t>
        </is>
      </c>
      <c r="D215" s="17" t="inlineStr">
        <is>
          <t>상장정보</t>
        </is>
      </c>
      <c r="E215" s="17" t="inlineStr">
        <is>
          <t>코스닥/034940</t>
        </is>
      </c>
      <c r="F215" s="17" t="inlineStr"/>
      <c r="G215" s="17" t="inlineStr">
        <is>
          <t>2026-07-06</t>
        </is>
      </c>
      <c r="H215" s="17" t="inlineStr">
        <is>
          <t>한국거래소 KIND</t>
        </is>
      </c>
      <c r="I215" s="17" t="inlineStr">
        <is>
          <t>상장법인목록</t>
        </is>
      </c>
      <c r="J215" s="17" t="inlineStr">
        <is>
          <t>https://kind.krx.co.kr</t>
        </is>
      </c>
      <c r="K215" s="17" t="inlineStr">
        <is>
          <t>2026-07-06</t>
        </is>
      </c>
      <c r="L215" s="17" t="inlineStr">
        <is>
          <t>A</t>
        </is>
      </c>
      <c r="M215" s="17" t="inlineStr"/>
    </row>
    <row r="216">
      <c r="A216" s="17" t="inlineStr">
        <is>
          <t>C164</t>
        </is>
      </c>
      <c r="B216" s="17" t="inlineStr">
        <is>
          <t>조아제약</t>
        </is>
      </c>
      <c r="C216" s="17" t="inlineStr">
        <is>
          <t>조아제약(주)</t>
        </is>
      </c>
      <c r="D216" s="17" t="inlineStr">
        <is>
          <t>홈페이지</t>
        </is>
      </c>
      <c r="E216" s="17" t="inlineStr">
        <is>
          <t>http://www.choa.co.kr</t>
        </is>
      </c>
      <c r="F216" s="17" t="inlineStr"/>
      <c r="G216" s="17" t="inlineStr">
        <is>
          <t>2026-07-06</t>
        </is>
      </c>
      <c r="H216" s="17" t="inlineStr">
        <is>
          <t>한국거래소 KIND</t>
        </is>
      </c>
      <c r="I216" s="17" t="inlineStr">
        <is>
          <t>상장법인목록</t>
        </is>
      </c>
      <c r="J216" s="17" t="inlineStr">
        <is>
          <t>https://kind.krx.co.kr</t>
        </is>
      </c>
      <c r="K216" s="17" t="inlineStr">
        <is>
          <t>2026-07-06</t>
        </is>
      </c>
      <c r="L216" s="17" t="inlineStr">
        <is>
          <t>A</t>
        </is>
      </c>
      <c r="M216" s="17" t="inlineStr"/>
    </row>
    <row r="217">
      <c r="A217" s="17" t="inlineStr">
        <is>
          <t>C165</t>
        </is>
      </c>
      <c r="B217" s="17" t="inlineStr">
        <is>
          <t>이니스트에스티</t>
        </is>
      </c>
      <c r="C217" s="17" t="inlineStr">
        <is>
          <t>이니스트에스티(주)</t>
        </is>
      </c>
      <c r="D217" s="17" t="inlineStr">
        <is>
          <t>대표전화</t>
        </is>
      </c>
      <c r="E217" s="17" t="inlineStr">
        <is>
          <t>031-669-9515</t>
        </is>
      </c>
      <c r="F217" s="17" t="inlineStr"/>
      <c r="G217" s="17" t="inlineStr">
        <is>
          <t>2026-07-06</t>
        </is>
      </c>
      <c r="H217" s="17" t="inlineStr">
        <is>
          <t>식품의약품안전처</t>
        </is>
      </c>
      <c r="I217" s="17" t="inlineStr">
        <is>
          <t>의약품 등 업체허가현황(제조소상세)</t>
        </is>
      </c>
      <c r="J217" s="17" t="inlineStr">
        <is>
          <t>https://www.data.go.kr/data/15095682/openapi.do</t>
        </is>
      </c>
      <c r="K217" s="17" t="inlineStr">
        <is>
          <t>2026-07-06</t>
        </is>
      </c>
      <c r="L217" s="17" t="inlineStr">
        <is>
          <t>A</t>
        </is>
      </c>
      <c r="M217" s="17" t="inlineStr">
        <is>
          <t>공장 대표번호</t>
        </is>
      </c>
    </row>
    <row r="218">
      <c r="A218" s="17" t="inlineStr">
        <is>
          <t>C167</t>
        </is>
      </c>
      <c r="B218" s="17" t="inlineStr">
        <is>
          <t>대창가스</t>
        </is>
      </c>
      <c r="C218" s="17" t="inlineStr">
        <is>
          <t>(주)대창가스</t>
        </is>
      </c>
      <c r="D218" s="17" t="inlineStr">
        <is>
          <t>대표전화</t>
        </is>
      </c>
      <c r="E218" s="17" t="inlineStr">
        <is>
          <t>055-752-3330</t>
        </is>
      </c>
      <c r="F218" s="17" t="inlineStr"/>
      <c r="G218" s="17" t="inlineStr">
        <is>
          <t>2026-07-06</t>
        </is>
      </c>
      <c r="H218" s="17" t="inlineStr">
        <is>
          <t>식품의약품안전처</t>
        </is>
      </c>
      <c r="I218" s="17" t="inlineStr">
        <is>
          <t>의약품 등 업체허가현황(제조소상세)</t>
        </is>
      </c>
      <c r="J218" s="17" t="inlineStr">
        <is>
          <t>https://www.data.go.kr/data/15095682/openapi.do</t>
        </is>
      </c>
      <c r="K218" s="17" t="inlineStr">
        <is>
          <t>2026-07-06</t>
        </is>
      </c>
      <c r="L218" s="17" t="inlineStr">
        <is>
          <t>A</t>
        </is>
      </c>
      <c r="M218" s="17" t="inlineStr">
        <is>
          <t>공장 대표번호</t>
        </is>
      </c>
    </row>
    <row r="219">
      <c r="A219" s="17" t="inlineStr">
        <is>
          <t>C168</t>
        </is>
      </c>
      <c r="B219" s="17" t="inlineStr">
        <is>
          <t>중부산업가스</t>
        </is>
      </c>
      <c r="C219" s="17" t="inlineStr">
        <is>
          <t>중부산업가스(주)</t>
        </is>
      </c>
      <c r="D219" s="17" t="inlineStr">
        <is>
          <t>대표전화</t>
        </is>
      </c>
      <c r="E219" s="17" t="inlineStr">
        <is>
          <t>044-2752-3878</t>
        </is>
      </c>
      <c r="F219" s="17" t="inlineStr"/>
      <c r="G219" s="17" t="inlineStr">
        <is>
          <t>2026-07-06</t>
        </is>
      </c>
      <c r="H219" s="17" t="inlineStr">
        <is>
          <t>식품의약품안전처</t>
        </is>
      </c>
      <c r="I219" s="17" t="inlineStr">
        <is>
          <t>의약품 등 업체허가현황(제조소상세)</t>
        </is>
      </c>
      <c r="J219" s="17" t="inlineStr">
        <is>
          <t>https://www.data.go.kr/data/15095682/openapi.do</t>
        </is>
      </c>
      <c r="K219" s="17" t="inlineStr">
        <is>
          <t>2026-07-06</t>
        </is>
      </c>
      <c r="L219" s="17" t="inlineStr">
        <is>
          <t>A</t>
        </is>
      </c>
      <c r="M219" s="17" t="inlineStr">
        <is>
          <t>공장 대표번호</t>
        </is>
      </c>
    </row>
    <row r="220">
      <c r="A220" s="17" t="inlineStr">
        <is>
          <t>C169</t>
        </is>
      </c>
      <c r="B220" s="17" t="inlineStr">
        <is>
          <t>한국한의약진흥원</t>
        </is>
      </c>
      <c r="C220" s="17" t="inlineStr">
        <is>
          <t>한국한의약진흥원</t>
        </is>
      </c>
      <c r="D220" s="17" t="inlineStr">
        <is>
          <t>대표전화</t>
        </is>
      </c>
      <c r="E220" s="17" t="inlineStr">
        <is>
          <t>053-810-0374</t>
        </is>
      </c>
      <c r="F220" s="17" t="inlineStr"/>
      <c r="G220" s="17" t="inlineStr">
        <is>
          <t>2026-07-06</t>
        </is>
      </c>
      <c r="H220" s="17" t="inlineStr">
        <is>
          <t>식품의약품안전처</t>
        </is>
      </c>
      <c r="I220" s="17" t="inlineStr">
        <is>
          <t>의약품 등 업체허가현황(제조소상세)</t>
        </is>
      </c>
      <c r="J220" s="17" t="inlineStr">
        <is>
          <t>https://www.data.go.kr/data/15095682/openapi.do</t>
        </is>
      </c>
      <c r="K220" s="17" t="inlineStr">
        <is>
          <t>2026-07-06</t>
        </is>
      </c>
      <c r="L220" s="17" t="inlineStr">
        <is>
          <t>A</t>
        </is>
      </c>
      <c r="M220" s="17" t="inlineStr">
        <is>
          <t>공장 대표번호</t>
        </is>
      </c>
    </row>
    <row r="221">
      <c r="A221" s="17" t="inlineStr">
        <is>
          <t>C170</t>
        </is>
      </c>
      <c r="B221" s="17" t="inlineStr">
        <is>
          <t>제이더블유생명과학</t>
        </is>
      </c>
      <c r="C221" s="17" t="inlineStr">
        <is>
          <t>제이더블유생명과학(주)</t>
        </is>
      </c>
      <c r="D221" s="17" t="inlineStr">
        <is>
          <t>대표전화</t>
        </is>
      </c>
      <c r="E221" s="17" t="inlineStr">
        <is>
          <t>02-840-6828</t>
        </is>
      </c>
      <c r="F221" s="17" t="inlineStr"/>
      <c r="G221" s="17" t="inlineStr">
        <is>
          <t>2026-07-06</t>
        </is>
      </c>
      <c r="H221" s="17" t="inlineStr">
        <is>
          <t>식품의약품안전처</t>
        </is>
      </c>
      <c r="I221" s="17" t="inlineStr">
        <is>
          <t>의약품 등 업체허가현황(제조소상세)</t>
        </is>
      </c>
      <c r="J221" s="17" t="inlineStr">
        <is>
          <t>https://www.data.go.kr/data/15095682/openapi.do</t>
        </is>
      </c>
      <c r="K221" s="17" t="inlineStr">
        <is>
          <t>2026-07-06</t>
        </is>
      </c>
      <c r="L221" s="17" t="inlineStr">
        <is>
          <t>A</t>
        </is>
      </c>
      <c r="M221" s="17" t="inlineStr">
        <is>
          <t>공장 대표번호</t>
        </is>
      </c>
    </row>
    <row r="222">
      <c r="A222" s="17" t="inlineStr">
        <is>
          <t>C171</t>
        </is>
      </c>
      <c r="B222" s="17" t="inlineStr">
        <is>
          <t>일동제약</t>
        </is>
      </c>
      <c r="C222" s="17" t="inlineStr">
        <is>
          <t>일동제약(주)</t>
        </is>
      </c>
      <c r="D222" s="17" t="inlineStr">
        <is>
          <t>대표전화</t>
        </is>
      </c>
      <c r="E222" s="17" t="inlineStr">
        <is>
          <t>02-526-3388</t>
        </is>
      </c>
      <c r="F222" s="17" t="inlineStr"/>
      <c r="G222" s="17" t="inlineStr">
        <is>
          <t>2026-07-06</t>
        </is>
      </c>
      <c r="H222" s="17" t="inlineStr">
        <is>
          <t>식품의약품안전처</t>
        </is>
      </c>
      <c r="I222" s="17" t="inlineStr">
        <is>
          <t>의약품 등 업체허가현황(제조소상세)</t>
        </is>
      </c>
      <c r="J222" s="17" t="inlineStr">
        <is>
          <t>https://www.data.go.kr/data/15095682/openapi.do</t>
        </is>
      </c>
      <c r="K222" s="17" t="inlineStr">
        <is>
          <t>2026-07-06</t>
        </is>
      </c>
      <c r="L222" s="17" t="inlineStr">
        <is>
          <t>A</t>
        </is>
      </c>
      <c r="M222" s="17" t="inlineStr">
        <is>
          <t>공장 대표번호</t>
        </is>
      </c>
    </row>
    <row r="223">
      <c r="A223" s="17" t="inlineStr">
        <is>
          <t>C171</t>
        </is>
      </c>
      <c r="B223" s="17" t="inlineStr">
        <is>
          <t>일동제약</t>
        </is>
      </c>
      <c r="C223" s="17" t="inlineStr">
        <is>
          <t>일동제약(주)</t>
        </is>
      </c>
      <c r="D223" s="17" t="inlineStr">
        <is>
          <t>상장정보</t>
        </is>
      </c>
      <c r="E223" s="17" t="inlineStr">
        <is>
          <t>유가/249420</t>
        </is>
      </c>
      <c r="F223" s="17" t="inlineStr"/>
      <c r="G223" s="17" t="inlineStr">
        <is>
          <t>2026-07-06</t>
        </is>
      </c>
      <c r="H223" s="17" t="inlineStr">
        <is>
          <t>한국거래소 KIND</t>
        </is>
      </c>
      <c r="I223" s="17" t="inlineStr">
        <is>
          <t>상장법인목록</t>
        </is>
      </c>
      <c r="J223" s="17" t="inlineStr">
        <is>
          <t>https://kind.krx.co.kr</t>
        </is>
      </c>
      <c r="K223" s="17" t="inlineStr">
        <is>
          <t>2026-07-06</t>
        </is>
      </c>
      <c r="L223" s="17" t="inlineStr">
        <is>
          <t>A</t>
        </is>
      </c>
      <c r="M223" s="17" t="inlineStr"/>
    </row>
    <row r="224">
      <c r="A224" s="17" t="inlineStr">
        <is>
          <t>C171</t>
        </is>
      </c>
      <c r="B224" s="17" t="inlineStr">
        <is>
          <t>일동제약</t>
        </is>
      </c>
      <c r="C224" s="17" t="inlineStr">
        <is>
          <t>일동제약(주)</t>
        </is>
      </c>
      <c r="D224" s="17" t="inlineStr">
        <is>
          <t>홈페이지</t>
        </is>
      </c>
      <c r="E224" s="17" t="inlineStr">
        <is>
          <t>http://www.ildong.com</t>
        </is>
      </c>
      <c r="F224" s="17" t="inlineStr"/>
      <c r="G224" s="17" t="inlineStr">
        <is>
          <t>2026-07-06</t>
        </is>
      </c>
      <c r="H224" s="17" t="inlineStr">
        <is>
          <t>한국거래소 KIND</t>
        </is>
      </c>
      <c r="I224" s="17" t="inlineStr">
        <is>
          <t>상장법인목록</t>
        </is>
      </c>
      <c r="J224" s="17" t="inlineStr">
        <is>
          <t>https://kind.krx.co.kr</t>
        </is>
      </c>
      <c r="K224" s="17" t="inlineStr">
        <is>
          <t>2026-07-06</t>
        </is>
      </c>
      <c r="L224" s="17" t="inlineStr">
        <is>
          <t>A</t>
        </is>
      </c>
      <c r="M224" s="17" t="inlineStr"/>
    </row>
    <row r="225">
      <c r="A225" s="17" t="inlineStr">
        <is>
          <t>C172</t>
        </is>
      </c>
      <c r="B225" s="17" t="inlineStr">
        <is>
          <t>린데코리아</t>
        </is>
      </c>
      <c r="C225" s="17" t="inlineStr">
        <is>
          <t>린데코리아주식회사</t>
        </is>
      </c>
      <c r="D225" s="17" t="inlineStr">
        <is>
          <t>대표전화</t>
        </is>
      </c>
      <c r="E225" s="17" t="inlineStr">
        <is>
          <t>041-537-7300</t>
        </is>
      </c>
      <c r="F225" s="17" t="inlineStr"/>
      <c r="G225" s="17" t="inlineStr">
        <is>
          <t>2026-07-06</t>
        </is>
      </c>
      <c r="H225" s="17" t="inlineStr">
        <is>
          <t>식품의약품안전처</t>
        </is>
      </c>
      <c r="I225" s="17" t="inlineStr">
        <is>
          <t>의약품 등 업체허가현황(제조소상세)</t>
        </is>
      </c>
      <c r="J225" s="17" t="inlineStr">
        <is>
          <t>https://www.data.go.kr/data/15095682/openapi.do</t>
        </is>
      </c>
      <c r="K225" s="17" t="inlineStr">
        <is>
          <t>2026-07-06</t>
        </is>
      </c>
      <c r="L225" s="17" t="inlineStr">
        <is>
          <t>A</t>
        </is>
      </c>
      <c r="M225" s="17" t="inlineStr">
        <is>
          <t>공장 대표번호</t>
        </is>
      </c>
    </row>
    <row r="226">
      <c r="A226" s="17" t="inlineStr">
        <is>
          <t>C173</t>
        </is>
      </c>
      <c r="B226" s="17" t="inlineStr">
        <is>
          <t>이화산소</t>
        </is>
      </c>
      <c r="C226" s="17" t="inlineStr">
        <is>
          <t>이화산소(주)</t>
        </is>
      </c>
      <c r="D226" s="17" t="inlineStr">
        <is>
          <t>대표전화</t>
        </is>
      </c>
      <c r="E226" s="17" t="inlineStr">
        <is>
          <t>032-575-4747</t>
        </is>
      </c>
      <c r="F226" s="17" t="inlineStr"/>
      <c r="G226" s="17" t="inlineStr">
        <is>
          <t>2026-07-06</t>
        </is>
      </c>
      <c r="H226" s="17" t="inlineStr">
        <is>
          <t>식품의약품안전처</t>
        </is>
      </c>
      <c r="I226" s="17" t="inlineStr">
        <is>
          <t>의약품 등 업체허가현황(제조소상세)</t>
        </is>
      </c>
      <c r="J226" s="17" t="inlineStr">
        <is>
          <t>https://www.data.go.kr/data/15095682/openapi.do</t>
        </is>
      </c>
      <c r="K226" s="17" t="inlineStr">
        <is>
          <t>2026-07-06</t>
        </is>
      </c>
      <c r="L226" s="17" t="inlineStr">
        <is>
          <t>A</t>
        </is>
      </c>
      <c r="M226" s="17" t="inlineStr">
        <is>
          <t>공장 대표번호</t>
        </is>
      </c>
    </row>
    <row r="227">
      <c r="A227" s="17" t="inlineStr">
        <is>
          <t>C174</t>
        </is>
      </c>
      <c r="B227" s="17" t="inlineStr">
        <is>
          <t>루텍</t>
        </is>
      </c>
      <c r="C227" s="17" t="inlineStr">
        <is>
          <t>(주)루텍</t>
        </is>
      </c>
      <c r="D227" s="17" t="inlineStr">
        <is>
          <t>대표전화</t>
        </is>
      </c>
      <c r="E227" s="17" t="inlineStr">
        <is>
          <t>043-264-7038</t>
        </is>
      </c>
      <c r="F227" s="17" t="inlineStr"/>
      <c r="G227" s="17" t="inlineStr">
        <is>
          <t>2026-07-06</t>
        </is>
      </c>
      <c r="H227" s="17" t="inlineStr">
        <is>
          <t>식품의약품안전처</t>
        </is>
      </c>
      <c r="I227" s="17" t="inlineStr">
        <is>
          <t>의약품 등 업체허가현황(제조소상세)</t>
        </is>
      </c>
      <c r="J227" s="17" t="inlineStr">
        <is>
          <t>https://www.data.go.kr/data/15095682/openapi.do</t>
        </is>
      </c>
      <c r="K227" s="17" t="inlineStr">
        <is>
          <t>2026-07-06</t>
        </is>
      </c>
      <c r="L227" s="17" t="inlineStr">
        <is>
          <t>A</t>
        </is>
      </c>
      <c r="M227" s="17" t="inlineStr">
        <is>
          <t>공장 대표번호</t>
        </is>
      </c>
    </row>
    <row r="228">
      <c r="A228" s="17" t="inlineStr">
        <is>
          <t>C175</t>
        </is>
      </c>
      <c r="B228" s="17" t="inlineStr">
        <is>
          <t>일성아이에스</t>
        </is>
      </c>
      <c r="C228" s="17" t="inlineStr">
        <is>
          <t>일성아이에스(주)</t>
        </is>
      </c>
      <c r="D228" s="17" t="inlineStr">
        <is>
          <t>대표전화</t>
        </is>
      </c>
      <c r="E228" s="17" t="inlineStr">
        <is>
          <t>031-490-3400</t>
        </is>
      </c>
      <c r="F228" s="17" t="inlineStr"/>
      <c r="G228" s="17" t="inlineStr">
        <is>
          <t>2026-07-06</t>
        </is>
      </c>
      <c r="H228" s="17" t="inlineStr">
        <is>
          <t>식품의약품안전처</t>
        </is>
      </c>
      <c r="I228" s="17" t="inlineStr">
        <is>
          <t>의약품 등 업체허가현황(제조소상세)</t>
        </is>
      </c>
      <c r="J228" s="17" t="inlineStr">
        <is>
          <t>https://www.data.go.kr/data/15095682/openapi.do</t>
        </is>
      </c>
      <c r="K228" s="17" t="inlineStr">
        <is>
          <t>2026-07-06</t>
        </is>
      </c>
      <c r="L228" s="17" t="inlineStr">
        <is>
          <t>A</t>
        </is>
      </c>
      <c r="M228" s="17" t="inlineStr">
        <is>
          <t>공장 대표번호</t>
        </is>
      </c>
    </row>
    <row r="229">
      <c r="A229" s="17" t="inlineStr">
        <is>
          <t>C175</t>
        </is>
      </c>
      <c r="B229" s="17" t="inlineStr">
        <is>
          <t>일성아이에스</t>
        </is>
      </c>
      <c r="C229" s="17" t="inlineStr">
        <is>
          <t>일성아이에스(주)</t>
        </is>
      </c>
      <c r="D229" s="17" t="inlineStr">
        <is>
          <t>상장정보</t>
        </is>
      </c>
      <c r="E229" s="17" t="inlineStr">
        <is>
          <t>유가/003120</t>
        </is>
      </c>
      <c r="F229" s="17" t="inlineStr"/>
      <c r="G229" s="17" t="inlineStr">
        <is>
          <t>2026-07-06</t>
        </is>
      </c>
      <c r="H229" s="17" t="inlineStr">
        <is>
          <t>한국거래소 KIND</t>
        </is>
      </c>
      <c r="I229" s="17" t="inlineStr">
        <is>
          <t>상장법인목록</t>
        </is>
      </c>
      <c r="J229" s="17" t="inlineStr">
        <is>
          <t>https://kind.krx.co.kr</t>
        </is>
      </c>
      <c r="K229" s="17" t="inlineStr">
        <is>
          <t>2026-07-06</t>
        </is>
      </c>
      <c r="L229" s="17" t="inlineStr">
        <is>
          <t>A</t>
        </is>
      </c>
      <c r="M229" s="17" t="inlineStr"/>
    </row>
    <row r="230">
      <c r="A230" s="17" t="inlineStr">
        <is>
          <t>C175</t>
        </is>
      </c>
      <c r="B230" s="17" t="inlineStr">
        <is>
          <t>일성아이에스</t>
        </is>
      </c>
      <c r="C230" s="17" t="inlineStr">
        <is>
          <t>일성아이에스(주)</t>
        </is>
      </c>
      <c r="D230" s="17" t="inlineStr">
        <is>
          <t>홈페이지</t>
        </is>
      </c>
      <c r="E230" s="17" t="inlineStr">
        <is>
          <t>http://www.ilsungis.com</t>
        </is>
      </c>
      <c r="F230" s="17" t="inlineStr"/>
      <c r="G230" s="17" t="inlineStr">
        <is>
          <t>2026-07-06</t>
        </is>
      </c>
      <c r="H230" s="17" t="inlineStr">
        <is>
          <t>한국거래소 KIND</t>
        </is>
      </c>
      <c r="I230" s="17" t="inlineStr">
        <is>
          <t>상장법인목록</t>
        </is>
      </c>
      <c r="J230" s="17" t="inlineStr">
        <is>
          <t>https://kind.krx.co.kr</t>
        </is>
      </c>
      <c r="K230" s="17" t="inlineStr">
        <is>
          <t>2026-07-06</t>
        </is>
      </c>
      <c r="L230" s="17" t="inlineStr">
        <is>
          <t>A</t>
        </is>
      </c>
      <c r="M230" s="17" t="inlineStr"/>
    </row>
    <row r="231">
      <c r="A231" s="17" t="inlineStr">
        <is>
          <t>C176</t>
        </is>
      </c>
      <c r="B231" s="17" t="inlineStr">
        <is>
          <t>씨에이치디제약</t>
        </is>
      </c>
      <c r="C231" s="17" t="inlineStr">
        <is>
          <t>씨에이치디제약주식회사</t>
        </is>
      </c>
      <c r="D231" s="17" t="inlineStr">
        <is>
          <t>대표전화</t>
        </is>
      </c>
      <c r="E231" s="17" t="inlineStr">
        <is>
          <t>032-675-5561</t>
        </is>
      </c>
      <c r="F231" s="17" t="inlineStr"/>
      <c r="G231" s="17" t="inlineStr">
        <is>
          <t>2026-07-06</t>
        </is>
      </c>
      <c r="H231" s="17" t="inlineStr">
        <is>
          <t>식품의약품안전처</t>
        </is>
      </c>
      <c r="I231" s="17" t="inlineStr">
        <is>
          <t>의약품 등 업체허가현황(제조소상세)</t>
        </is>
      </c>
      <c r="J231" s="17" t="inlineStr">
        <is>
          <t>https://www.data.go.kr/data/15095682/openapi.do</t>
        </is>
      </c>
      <c r="K231" s="17" t="inlineStr">
        <is>
          <t>2026-07-06</t>
        </is>
      </c>
      <c r="L231" s="17" t="inlineStr">
        <is>
          <t>A</t>
        </is>
      </c>
      <c r="M231" s="17" t="inlineStr">
        <is>
          <t>공장 대표번호</t>
        </is>
      </c>
    </row>
    <row r="232">
      <c r="A232" s="17" t="inlineStr">
        <is>
          <t>C177</t>
        </is>
      </c>
      <c r="B232" s="17" t="inlineStr">
        <is>
          <t>제뉴파마</t>
        </is>
      </c>
      <c r="C232" s="17" t="inlineStr">
        <is>
          <t>(주)제뉴파마</t>
        </is>
      </c>
      <c r="D232" s="17" t="inlineStr">
        <is>
          <t>대표전화</t>
        </is>
      </c>
      <c r="E232" s="17" t="inlineStr">
        <is>
          <t>080-640-0088</t>
        </is>
      </c>
      <c r="F232" s="17" t="inlineStr"/>
      <c r="G232" s="17" t="inlineStr">
        <is>
          <t>2026-07-06</t>
        </is>
      </c>
      <c r="H232" s="17" t="inlineStr">
        <is>
          <t>식품의약품안전처</t>
        </is>
      </c>
      <c r="I232" s="17" t="inlineStr">
        <is>
          <t>의약품 등 업체허가현황(제조소상세)</t>
        </is>
      </c>
      <c r="J232" s="17" t="inlineStr">
        <is>
          <t>https://www.data.go.kr/data/15095682/openapi.do</t>
        </is>
      </c>
      <c r="K232" s="17" t="inlineStr">
        <is>
          <t>2026-07-06</t>
        </is>
      </c>
      <c r="L232" s="17" t="inlineStr">
        <is>
          <t>A</t>
        </is>
      </c>
      <c r="M232" s="17" t="inlineStr">
        <is>
          <t>공장 대표번호</t>
        </is>
      </c>
    </row>
    <row r="233">
      <c r="A233" s="17" t="inlineStr">
        <is>
          <t>C178</t>
        </is>
      </c>
      <c r="B233" s="17" t="inlineStr">
        <is>
          <t>에어가스코리아</t>
        </is>
      </c>
      <c r="C233" s="17" t="inlineStr">
        <is>
          <t>주식회사에어가스코리아</t>
        </is>
      </c>
      <c r="D233" s="17" t="inlineStr">
        <is>
          <t>대표전화</t>
        </is>
      </c>
      <c r="E233" s="17" t="inlineStr">
        <is>
          <t>032-573-4001</t>
        </is>
      </c>
      <c r="F233" s="17" t="inlineStr"/>
      <c r="G233" s="17" t="inlineStr">
        <is>
          <t>2026-07-06</t>
        </is>
      </c>
      <c r="H233" s="17" t="inlineStr">
        <is>
          <t>식품의약품안전처</t>
        </is>
      </c>
      <c r="I233" s="17" t="inlineStr">
        <is>
          <t>의약품 등 업체허가현황(제조소상세)</t>
        </is>
      </c>
      <c r="J233" s="17" t="inlineStr">
        <is>
          <t>https://www.data.go.kr/data/15095682/openapi.do</t>
        </is>
      </c>
      <c r="K233" s="17" t="inlineStr">
        <is>
          <t>2026-07-06</t>
        </is>
      </c>
      <c r="L233" s="17" t="inlineStr">
        <is>
          <t>A</t>
        </is>
      </c>
      <c r="M233" s="17" t="inlineStr">
        <is>
          <t>공장 대표번호</t>
        </is>
      </c>
    </row>
    <row r="234">
      <c r="A234" s="17" t="inlineStr">
        <is>
          <t>C179</t>
        </is>
      </c>
      <c r="B234" s="17" t="inlineStr">
        <is>
          <t>오스템파마</t>
        </is>
      </c>
      <c r="C234" s="17" t="inlineStr">
        <is>
          <t>오스템파마주식회사</t>
        </is>
      </c>
      <c r="D234" s="17" t="inlineStr">
        <is>
          <t>대표전화</t>
        </is>
      </c>
      <c r="E234" s="17" t="inlineStr">
        <is>
          <t>070-4394-1482</t>
        </is>
      </c>
      <c r="F234" s="17" t="inlineStr"/>
      <c r="G234" s="17" t="inlineStr">
        <is>
          <t>2026-07-06</t>
        </is>
      </c>
      <c r="H234" s="17" t="inlineStr">
        <is>
          <t>식품의약품안전처</t>
        </is>
      </c>
      <c r="I234" s="17" t="inlineStr">
        <is>
          <t>의약품 등 업체허가현황(제조소상세)</t>
        </is>
      </c>
      <c r="J234" s="17" t="inlineStr">
        <is>
          <t>https://www.data.go.kr/data/15095682/openapi.do</t>
        </is>
      </c>
      <c r="K234" s="17" t="inlineStr">
        <is>
          <t>2026-07-06</t>
        </is>
      </c>
      <c r="L234" s="17" t="inlineStr">
        <is>
          <t>A</t>
        </is>
      </c>
      <c r="M234" s="17" t="inlineStr">
        <is>
          <t>공장 대표번호</t>
        </is>
      </c>
    </row>
    <row r="235">
      <c r="A235" s="17" t="inlineStr">
        <is>
          <t>C180</t>
        </is>
      </c>
      <c r="B235" s="17" t="inlineStr">
        <is>
          <t>동국제약</t>
        </is>
      </c>
      <c r="C235" s="17" t="inlineStr">
        <is>
          <t>동국제약(주)</t>
        </is>
      </c>
      <c r="D235" s="17" t="inlineStr">
        <is>
          <t>대표전화</t>
        </is>
      </c>
      <c r="E235" s="17" t="inlineStr">
        <is>
          <t>02-2191-9856</t>
        </is>
      </c>
      <c r="F235" s="17" t="inlineStr"/>
      <c r="G235" s="17" t="inlineStr">
        <is>
          <t>2026-07-06</t>
        </is>
      </c>
      <c r="H235" s="17" t="inlineStr">
        <is>
          <t>식품의약품안전처</t>
        </is>
      </c>
      <c r="I235" s="17" t="inlineStr">
        <is>
          <t>의약품 등 업체허가현황(제조소상세)</t>
        </is>
      </c>
      <c r="J235" s="17" t="inlineStr">
        <is>
          <t>https://www.data.go.kr/data/15095682/openapi.do</t>
        </is>
      </c>
      <c r="K235" s="17" t="inlineStr">
        <is>
          <t>2026-07-06</t>
        </is>
      </c>
      <c r="L235" s="17" t="inlineStr">
        <is>
          <t>A</t>
        </is>
      </c>
      <c r="M235" s="17" t="inlineStr">
        <is>
          <t>공장 대표번호</t>
        </is>
      </c>
    </row>
    <row r="236">
      <c r="A236" s="17" t="inlineStr">
        <is>
          <t>C180</t>
        </is>
      </c>
      <c r="B236" s="17" t="inlineStr">
        <is>
          <t>동국제약</t>
        </is>
      </c>
      <c r="C236" s="17" t="inlineStr">
        <is>
          <t>동국제약(주)</t>
        </is>
      </c>
      <c r="D236" s="17" t="inlineStr">
        <is>
          <t>상장정보</t>
        </is>
      </c>
      <c r="E236" s="17" t="inlineStr">
        <is>
          <t>코스닥/086450</t>
        </is>
      </c>
      <c r="F236" s="17" t="inlineStr"/>
      <c r="G236" s="17" t="inlineStr">
        <is>
          <t>2026-07-06</t>
        </is>
      </c>
      <c r="H236" s="17" t="inlineStr">
        <is>
          <t>한국거래소 KIND</t>
        </is>
      </c>
      <c r="I236" s="17" t="inlineStr">
        <is>
          <t>상장법인목록</t>
        </is>
      </c>
      <c r="J236" s="17" t="inlineStr">
        <is>
          <t>https://kind.krx.co.kr</t>
        </is>
      </c>
      <c r="K236" s="17" t="inlineStr">
        <is>
          <t>2026-07-06</t>
        </is>
      </c>
      <c r="L236" s="17" t="inlineStr">
        <is>
          <t>A</t>
        </is>
      </c>
      <c r="M236" s="17" t="inlineStr"/>
    </row>
    <row r="237">
      <c r="A237" s="17" t="inlineStr">
        <is>
          <t>C180</t>
        </is>
      </c>
      <c r="B237" s="17" t="inlineStr">
        <is>
          <t>동국제약</t>
        </is>
      </c>
      <c r="C237" s="17" t="inlineStr">
        <is>
          <t>동국제약(주)</t>
        </is>
      </c>
      <c r="D237" s="17" t="inlineStr">
        <is>
          <t>홈페이지</t>
        </is>
      </c>
      <c r="E237" s="17" t="inlineStr">
        <is>
          <t>http://www.dkpharm.co.kr</t>
        </is>
      </c>
      <c r="F237" s="17" t="inlineStr"/>
      <c r="G237" s="17" t="inlineStr">
        <is>
          <t>2026-07-06</t>
        </is>
      </c>
      <c r="H237" s="17" t="inlineStr">
        <is>
          <t>한국거래소 KIND</t>
        </is>
      </c>
      <c r="I237" s="17" t="inlineStr">
        <is>
          <t>상장법인목록</t>
        </is>
      </c>
      <c r="J237" s="17" t="inlineStr">
        <is>
          <t>https://kind.krx.co.kr</t>
        </is>
      </c>
      <c r="K237" s="17" t="inlineStr">
        <is>
          <t>2026-07-06</t>
        </is>
      </c>
      <c r="L237" s="17" t="inlineStr">
        <is>
          <t>A</t>
        </is>
      </c>
      <c r="M237" s="17" t="inlineStr"/>
    </row>
    <row r="238">
      <c r="A238" s="17" t="inlineStr">
        <is>
          <t>C181</t>
        </is>
      </c>
      <c r="B238" s="17" t="inlineStr">
        <is>
          <t>나이벡</t>
        </is>
      </c>
      <c r="C238" s="17" t="inlineStr">
        <is>
          <t>(주)나이벡</t>
        </is>
      </c>
      <c r="D238" s="17" t="inlineStr">
        <is>
          <t>대표전화</t>
        </is>
      </c>
      <c r="E238" s="17" t="inlineStr">
        <is>
          <t>070-5006-8811</t>
        </is>
      </c>
      <c r="F238" s="17" t="inlineStr"/>
      <c r="G238" s="17" t="inlineStr">
        <is>
          <t>2026-07-06</t>
        </is>
      </c>
      <c r="H238" s="17" t="inlineStr">
        <is>
          <t>식품의약품안전처</t>
        </is>
      </c>
      <c r="I238" s="17" t="inlineStr">
        <is>
          <t>의약품 등 업체허가현황(제조소상세)</t>
        </is>
      </c>
      <c r="J238" s="17" t="inlineStr">
        <is>
          <t>https://www.data.go.kr/data/15095682/openapi.do</t>
        </is>
      </c>
      <c r="K238" s="17" t="inlineStr">
        <is>
          <t>2026-07-06</t>
        </is>
      </c>
      <c r="L238" s="17" t="inlineStr">
        <is>
          <t>A</t>
        </is>
      </c>
      <c r="M238" s="17" t="inlineStr">
        <is>
          <t>공장 대표번호</t>
        </is>
      </c>
    </row>
    <row r="239">
      <c r="A239" s="17" t="inlineStr">
        <is>
          <t>C181</t>
        </is>
      </c>
      <c r="B239" s="17" t="inlineStr">
        <is>
          <t>나이벡</t>
        </is>
      </c>
      <c r="C239" s="17" t="inlineStr">
        <is>
          <t>(주)나이벡</t>
        </is>
      </c>
      <c r="D239" s="17" t="inlineStr">
        <is>
          <t>상장정보</t>
        </is>
      </c>
      <c r="E239" s="17" t="inlineStr">
        <is>
          <t>코스닥/138610</t>
        </is>
      </c>
      <c r="F239" s="17" t="inlineStr"/>
      <c r="G239" s="17" t="inlineStr">
        <is>
          <t>2026-07-06</t>
        </is>
      </c>
      <c r="H239" s="17" t="inlineStr">
        <is>
          <t>한국거래소 KIND</t>
        </is>
      </c>
      <c r="I239" s="17" t="inlineStr">
        <is>
          <t>상장법인목록</t>
        </is>
      </c>
      <c r="J239" s="17" t="inlineStr">
        <is>
          <t>https://kind.krx.co.kr</t>
        </is>
      </c>
      <c r="K239" s="17" t="inlineStr">
        <is>
          <t>2026-07-06</t>
        </is>
      </c>
      <c r="L239" s="17" t="inlineStr">
        <is>
          <t>A</t>
        </is>
      </c>
      <c r="M239" s="17" t="inlineStr"/>
    </row>
    <row r="240">
      <c r="A240" s="17" t="inlineStr">
        <is>
          <t>C182</t>
        </is>
      </c>
      <c r="B240" s="17" t="inlineStr">
        <is>
          <t>한림제약</t>
        </is>
      </c>
      <c r="C240" s="17" t="inlineStr">
        <is>
          <t>한림제약(주)</t>
        </is>
      </c>
      <c r="D240" s="17" t="inlineStr">
        <is>
          <t>대표전화</t>
        </is>
      </c>
      <c r="E240" s="17" t="inlineStr">
        <is>
          <t>02-3489-6000</t>
        </is>
      </c>
      <c r="F240" s="17" t="inlineStr"/>
      <c r="G240" s="17" t="inlineStr">
        <is>
          <t>2026-07-06</t>
        </is>
      </c>
      <c r="H240" s="17" t="inlineStr">
        <is>
          <t>식품의약품안전처</t>
        </is>
      </c>
      <c r="I240" s="17" t="inlineStr">
        <is>
          <t>의약품 등 업체허가현황(제조소상세)</t>
        </is>
      </c>
      <c r="J240" s="17" t="inlineStr">
        <is>
          <t>https://www.data.go.kr/data/15095682/openapi.do</t>
        </is>
      </c>
      <c r="K240" s="17" t="inlineStr">
        <is>
          <t>2026-07-06</t>
        </is>
      </c>
      <c r="L240" s="17" t="inlineStr">
        <is>
          <t>A</t>
        </is>
      </c>
      <c r="M240" s="17" t="inlineStr">
        <is>
          <t>공장 대표번호</t>
        </is>
      </c>
    </row>
    <row r="241">
      <c r="A241" s="17" t="inlineStr">
        <is>
          <t>C183</t>
        </is>
      </c>
      <c r="B241" s="17" t="inlineStr">
        <is>
          <t>엘지화학</t>
        </is>
      </c>
      <c r="C241" s="17" t="inlineStr">
        <is>
          <t>(주)엘지화학</t>
        </is>
      </c>
      <c r="D241" s="17" t="inlineStr">
        <is>
          <t>대표전화</t>
        </is>
      </c>
      <c r="E241" s="17" t="inlineStr">
        <is>
          <t>02-3773-3131</t>
        </is>
      </c>
      <c r="F241" s="17" t="inlineStr"/>
      <c r="G241" s="17" t="inlineStr">
        <is>
          <t>2026-07-06</t>
        </is>
      </c>
      <c r="H241" s="17" t="inlineStr">
        <is>
          <t>식품의약품안전처</t>
        </is>
      </c>
      <c r="I241" s="17" t="inlineStr">
        <is>
          <t>의약품 등 업체허가현황(제조소상세)</t>
        </is>
      </c>
      <c r="J241" s="17" t="inlineStr">
        <is>
          <t>https://www.data.go.kr/data/15095682/openapi.do</t>
        </is>
      </c>
      <c r="K241" s="17" t="inlineStr">
        <is>
          <t>2026-07-06</t>
        </is>
      </c>
      <c r="L241" s="17" t="inlineStr">
        <is>
          <t>A</t>
        </is>
      </c>
      <c r="M241" s="17" t="inlineStr">
        <is>
          <t>공장 대표번호</t>
        </is>
      </c>
    </row>
    <row r="242">
      <c r="A242" s="17" t="inlineStr">
        <is>
          <t>C184</t>
        </is>
      </c>
      <c r="B242" s="17" t="inlineStr">
        <is>
          <t>유앤생명과학</t>
        </is>
      </c>
      <c r="C242" s="17" t="inlineStr">
        <is>
          <t>(주)유앤생명과학</t>
        </is>
      </c>
      <c r="D242" s="17" t="inlineStr">
        <is>
          <t>대표전화</t>
        </is>
      </c>
      <c r="E242" s="17" t="inlineStr">
        <is>
          <t>02-6952-8838</t>
        </is>
      </c>
      <c r="F242" s="17" t="inlineStr"/>
      <c r="G242" s="17" t="inlineStr">
        <is>
          <t>2026-07-06</t>
        </is>
      </c>
      <c r="H242" s="17" t="inlineStr">
        <is>
          <t>식품의약품안전처</t>
        </is>
      </c>
      <c r="I242" s="17" t="inlineStr">
        <is>
          <t>의약품 등 업체허가현황(제조소상세)</t>
        </is>
      </c>
      <c r="J242" s="17" t="inlineStr">
        <is>
          <t>https://www.data.go.kr/data/15095682/openapi.do</t>
        </is>
      </c>
      <c r="K242" s="17" t="inlineStr">
        <is>
          <t>2026-07-06</t>
        </is>
      </c>
      <c r="L242" s="17" t="inlineStr">
        <is>
          <t>A</t>
        </is>
      </c>
      <c r="M242" s="17" t="inlineStr">
        <is>
          <t>공장 대표번호</t>
        </is>
      </c>
    </row>
    <row r="243">
      <c r="A243" s="17" t="inlineStr">
        <is>
          <t>C185</t>
        </is>
      </c>
      <c r="B243" s="17" t="inlineStr">
        <is>
          <t>한국파마</t>
        </is>
      </c>
      <c r="C243" s="17" t="inlineStr">
        <is>
          <t>(주)한국파마</t>
        </is>
      </c>
      <c r="D243" s="17" t="inlineStr">
        <is>
          <t>대표전화</t>
        </is>
      </c>
      <c r="E243" s="17" t="inlineStr">
        <is>
          <t>02-558-1277</t>
        </is>
      </c>
      <c r="F243" s="17" t="inlineStr"/>
      <c r="G243" s="17" t="inlineStr">
        <is>
          <t>2026-07-06</t>
        </is>
      </c>
      <c r="H243" s="17" t="inlineStr">
        <is>
          <t>식품의약품안전처</t>
        </is>
      </c>
      <c r="I243" s="17" t="inlineStr">
        <is>
          <t>의약품 등 업체허가현황(제조소상세)</t>
        </is>
      </c>
      <c r="J243" s="17" t="inlineStr">
        <is>
          <t>https://www.data.go.kr/data/15095682/openapi.do</t>
        </is>
      </c>
      <c r="K243" s="17" t="inlineStr">
        <is>
          <t>2026-07-06</t>
        </is>
      </c>
      <c r="L243" s="17" t="inlineStr">
        <is>
          <t>A</t>
        </is>
      </c>
      <c r="M243" s="17" t="inlineStr">
        <is>
          <t>공장 대표번호</t>
        </is>
      </c>
    </row>
    <row r="244">
      <c r="A244" s="17" t="inlineStr">
        <is>
          <t>C185</t>
        </is>
      </c>
      <c r="B244" s="17" t="inlineStr">
        <is>
          <t>한국파마</t>
        </is>
      </c>
      <c r="C244" s="17" t="inlineStr">
        <is>
          <t>(주)한국파마</t>
        </is>
      </c>
      <c r="D244" s="17" t="inlineStr">
        <is>
          <t>상장정보</t>
        </is>
      </c>
      <c r="E244" s="17" t="inlineStr">
        <is>
          <t>코스닥/032300</t>
        </is>
      </c>
      <c r="F244" s="17" t="inlineStr"/>
      <c r="G244" s="17" t="inlineStr">
        <is>
          <t>2026-07-06</t>
        </is>
      </c>
      <c r="H244" s="17" t="inlineStr">
        <is>
          <t>한국거래소 KIND</t>
        </is>
      </c>
      <c r="I244" s="17" t="inlineStr">
        <is>
          <t>상장법인목록</t>
        </is>
      </c>
      <c r="J244" s="17" t="inlineStr">
        <is>
          <t>https://kind.krx.co.kr</t>
        </is>
      </c>
      <c r="K244" s="17" t="inlineStr">
        <is>
          <t>2026-07-06</t>
        </is>
      </c>
      <c r="L244" s="17" t="inlineStr">
        <is>
          <t>A</t>
        </is>
      </c>
      <c r="M244" s="17" t="inlineStr"/>
    </row>
    <row r="245">
      <c r="A245" s="17" t="inlineStr">
        <is>
          <t>C185</t>
        </is>
      </c>
      <c r="B245" s="17" t="inlineStr">
        <is>
          <t>한국파마</t>
        </is>
      </c>
      <c r="C245" s="17" t="inlineStr">
        <is>
          <t>(주)한국파마</t>
        </is>
      </c>
      <c r="D245" s="17" t="inlineStr">
        <is>
          <t>홈페이지</t>
        </is>
      </c>
      <c r="E245" s="17" t="inlineStr">
        <is>
          <t>http://koreapharma.co.kr</t>
        </is>
      </c>
      <c r="F245" s="17" t="inlineStr"/>
      <c r="G245" s="17" t="inlineStr">
        <is>
          <t>2026-07-06</t>
        </is>
      </c>
      <c r="H245" s="17" t="inlineStr">
        <is>
          <t>한국거래소 KIND</t>
        </is>
      </c>
      <c r="I245" s="17" t="inlineStr">
        <is>
          <t>상장법인목록</t>
        </is>
      </c>
      <c r="J245" s="17" t="inlineStr">
        <is>
          <t>https://kind.krx.co.kr</t>
        </is>
      </c>
      <c r="K245" s="17" t="inlineStr">
        <is>
          <t>2026-07-06</t>
        </is>
      </c>
      <c r="L245" s="17" t="inlineStr">
        <is>
          <t>A</t>
        </is>
      </c>
      <c r="M245" s="17" t="inlineStr"/>
    </row>
    <row r="246">
      <c r="A246" s="17" t="inlineStr">
        <is>
          <t>C186</t>
        </is>
      </c>
      <c r="B246" s="17" t="inlineStr">
        <is>
          <t>켐트로스</t>
        </is>
      </c>
      <c r="C246" s="17" t="inlineStr">
        <is>
          <t>(주)켐트로스</t>
        </is>
      </c>
      <c r="D246" s="17" t="inlineStr">
        <is>
          <t>대표전화</t>
        </is>
      </c>
      <c r="E246" s="17" t="inlineStr">
        <is>
          <t>031-4910-6534</t>
        </is>
      </c>
      <c r="F246" s="17" t="inlineStr"/>
      <c r="G246" s="17" t="inlineStr">
        <is>
          <t>2026-07-06</t>
        </is>
      </c>
      <c r="H246" s="17" t="inlineStr">
        <is>
          <t>식품의약품안전처</t>
        </is>
      </c>
      <c r="I246" s="17" t="inlineStr">
        <is>
          <t>의약품 등 업체허가현황(제조소상세)</t>
        </is>
      </c>
      <c r="J246" s="17" t="inlineStr">
        <is>
          <t>https://www.data.go.kr/data/15095682/openapi.do</t>
        </is>
      </c>
      <c r="K246" s="17" t="inlineStr">
        <is>
          <t>2026-07-06</t>
        </is>
      </c>
      <c r="L246" s="17" t="inlineStr">
        <is>
          <t>A</t>
        </is>
      </c>
      <c r="M246" s="17" t="inlineStr">
        <is>
          <t>공장 대표번호</t>
        </is>
      </c>
    </row>
    <row r="247">
      <c r="A247" s="17" t="inlineStr">
        <is>
          <t>C186</t>
        </is>
      </c>
      <c r="B247" s="17" t="inlineStr">
        <is>
          <t>켐트로스</t>
        </is>
      </c>
      <c r="C247" s="17" t="inlineStr">
        <is>
          <t>(주)켐트로스</t>
        </is>
      </c>
      <c r="D247" s="17" t="inlineStr">
        <is>
          <t>상장정보</t>
        </is>
      </c>
      <c r="E247" s="17" t="inlineStr">
        <is>
          <t>코스닥/220260</t>
        </is>
      </c>
      <c r="F247" s="17" t="inlineStr"/>
      <c r="G247" s="17" t="inlineStr">
        <is>
          <t>2026-07-06</t>
        </is>
      </c>
      <c r="H247" s="17" t="inlineStr">
        <is>
          <t>한국거래소 KIND</t>
        </is>
      </c>
      <c r="I247" s="17" t="inlineStr">
        <is>
          <t>상장법인목록</t>
        </is>
      </c>
      <c r="J247" s="17" t="inlineStr">
        <is>
          <t>https://kind.krx.co.kr</t>
        </is>
      </c>
      <c r="K247" s="17" t="inlineStr">
        <is>
          <t>2026-07-06</t>
        </is>
      </c>
      <c r="L247" s="17" t="inlineStr">
        <is>
          <t>A</t>
        </is>
      </c>
      <c r="M247" s="17" t="inlineStr"/>
    </row>
    <row r="248">
      <c r="A248" s="17" t="inlineStr">
        <is>
          <t>C186</t>
        </is>
      </c>
      <c r="B248" s="17" t="inlineStr">
        <is>
          <t>켐트로스</t>
        </is>
      </c>
      <c r="C248" s="17" t="inlineStr">
        <is>
          <t>(주)켐트로스</t>
        </is>
      </c>
      <c r="D248" s="17" t="inlineStr">
        <is>
          <t>홈페이지</t>
        </is>
      </c>
      <c r="E248" s="17" t="inlineStr">
        <is>
          <t>http://chemtros.com</t>
        </is>
      </c>
      <c r="F248" s="17" t="inlineStr"/>
      <c r="G248" s="17" t="inlineStr">
        <is>
          <t>2026-07-06</t>
        </is>
      </c>
      <c r="H248" s="17" t="inlineStr">
        <is>
          <t>한국거래소 KIND</t>
        </is>
      </c>
      <c r="I248" s="17" t="inlineStr">
        <is>
          <t>상장법인목록</t>
        </is>
      </c>
      <c r="J248" s="17" t="inlineStr">
        <is>
          <t>https://kind.krx.co.kr</t>
        </is>
      </c>
      <c r="K248" s="17" t="inlineStr">
        <is>
          <t>2026-07-06</t>
        </is>
      </c>
      <c r="L248" s="17" t="inlineStr">
        <is>
          <t>A</t>
        </is>
      </c>
      <c r="M248" s="17" t="inlineStr"/>
    </row>
    <row r="249">
      <c r="A249" s="17" t="inlineStr">
        <is>
          <t>C188</t>
        </is>
      </c>
      <c r="B249" s="17" t="inlineStr">
        <is>
          <t>동화약품</t>
        </is>
      </c>
      <c r="C249" s="17" t="inlineStr">
        <is>
          <t>동화약품(주)</t>
        </is>
      </c>
      <c r="D249" s="17" t="inlineStr">
        <is>
          <t>대표전화</t>
        </is>
      </c>
      <c r="E249" s="17" t="inlineStr">
        <is>
          <t>080-023-1897</t>
        </is>
      </c>
      <c r="F249" s="17" t="inlineStr"/>
      <c r="G249" s="17" t="inlineStr">
        <is>
          <t>2026-07-06</t>
        </is>
      </c>
      <c r="H249" s="17" t="inlineStr">
        <is>
          <t>식품의약품안전처</t>
        </is>
      </c>
      <c r="I249" s="17" t="inlineStr">
        <is>
          <t>의약품 등 업체허가현황(제조소상세)</t>
        </is>
      </c>
      <c r="J249" s="17" t="inlineStr">
        <is>
          <t>https://www.data.go.kr/data/15095682/openapi.do</t>
        </is>
      </c>
      <c r="K249" s="17" t="inlineStr">
        <is>
          <t>2026-07-06</t>
        </is>
      </c>
      <c r="L249" s="17" t="inlineStr">
        <is>
          <t>A</t>
        </is>
      </c>
      <c r="M249" s="17" t="inlineStr">
        <is>
          <t>공장 대표번호</t>
        </is>
      </c>
    </row>
    <row r="250">
      <c r="A250" s="17" t="inlineStr">
        <is>
          <t>C188</t>
        </is>
      </c>
      <c r="B250" s="17" t="inlineStr">
        <is>
          <t>동화약품</t>
        </is>
      </c>
      <c r="C250" s="17" t="inlineStr">
        <is>
          <t>동화약품(주)</t>
        </is>
      </c>
      <c r="D250" s="17" t="inlineStr">
        <is>
          <t>상장정보</t>
        </is>
      </c>
      <c r="E250" s="17" t="inlineStr">
        <is>
          <t>유가/000020</t>
        </is>
      </c>
      <c r="F250" s="17" t="inlineStr"/>
      <c r="G250" s="17" t="inlineStr">
        <is>
          <t>2026-07-06</t>
        </is>
      </c>
      <c r="H250" s="17" t="inlineStr">
        <is>
          <t>한국거래소 KIND</t>
        </is>
      </c>
      <c r="I250" s="17" t="inlineStr">
        <is>
          <t>상장법인목록</t>
        </is>
      </c>
      <c r="J250" s="17" t="inlineStr">
        <is>
          <t>https://kind.krx.co.kr</t>
        </is>
      </c>
      <c r="K250" s="17" t="inlineStr">
        <is>
          <t>2026-07-06</t>
        </is>
      </c>
      <c r="L250" s="17" t="inlineStr">
        <is>
          <t>A</t>
        </is>
      </c>
      <c r="M250" s="17" t="inlineStr"/>
    </row>
    <row r="251">
      <c r="A251" s="17" t="inlineStr">
        <is>
          <t>C188</t>
        </is>
      </c>
      <c r="B251" s="17" t="inlineStr">
        <is>
          <t>동화약품</t>
        </is>
      </c>
      <c r="C251" s="17" t="inlineStr">
        <is>
          <t>동화약품(주)</t>
        </is>
      </c>
      <c r="D251" s="17" t="inlineStr">
        <is>
          <t>홈페이지</t>
        </is>
      </c>
      <c r="E251" s="17" t="inlineStr">
        <is>
          <t>http://www.dong-wha.co.kr</t>
        </is>
      </c>
      <c r="F251" s="17" t="inlineStr"/>
      <c r="G251" s="17" t="inlineStr">
        <is>
          <t>2026-07-06</t>
        </is>
      </c>
      <c r="H251" s="17" t="inlineStr">
        <is>
          <t>한국거래소 KIND</t>
        </is>
      </c>
      <c r="I251" s="17" t="inlineStr">
        <is>
          <t>상장법인목록</t>
        </is>
      </c>
      <c r="J251" s="17" t="inlineStr">
        <is>
          <t>https://kind.krx.co.kr</t>
        </is>
      </c>
      <c r="K251" s="17" t="inlineStr">
        <is>
          <t>2026-07-06</t>
        </is>
      </c>
      <c r="L251" s="17" t="inlineStr">
        <is>
          <t>A</t>
        </is>
      </c>
      <c r="M251" s="17" t="inlineStr"/>
    </row>
    <row r="252">
      <c r="A252" s="17" t="inlineStr">
        <is>
          <t>C189</t>
        </is>
      </c>
      <c r="B252" s="17" t="inlineStr">
        <is>
          <t>대평</t>
        </is>
      </c>
      <c r="C252" s="17" t="inlineStr">
        <is>
          <t>(주)대평</t>
        </is>
      </c>
      <c r="D252" s="17" t="inlineStr">
        <is>
          <t>대표전화</t>
        </is>
      </c>
      <c r="E252" s="17" t="inlineStr">
        <is>
          <t>054-541-9005</t>
        </is>
      </c>
      <c r="F252" s="17" t="inlineStr"/>
      <c r="G252" s="17" t="inlineStr">
        <is>
          <t>2026-07-06</t>
        </is>
      </c>
      <c r="H252" s="17" t="inlineStr">
        <is>
          <t>식품의약품안전처</t>
        </is>
      </c>
      <c r="I252" s="17" t="inlineStr">
        <is>
          <t>의약품 등 업체허가현황(제조소상세)</t>
        </is>
      </c>
      <c r="J252" s="17" t="inlineStr">
        <is>
          <t>https://www.data.go.kr/data/15095682/openapi.do</t>
        </is>
      </c>
      <c r="K252" s="17" t="inlineStr">
        <is>
          <t>2026-07-06</t>
        </is>
      </c>
      <c r="L252" s="17" t="inlineStr">
        <is>
          <t>A</t>
        </is>
      </c>
      <c r="M252" s="17" t="inlineStr">
        <is>
          <t>공장 대표번호</t>
        </is>
      </c>
    </row>
    <row r="253">
      <c r="A253" s="17" t="inlineStr">
        <is>
          <t>C190</t>
        </is>
      </c>
      <c r="B253" s="17" t="inlineStr">
        <is>
          <t>하이텍팜</t>
        </is>
      </c>
      <c r="C253" s="17" t="inlineStr">
        <is>
          <t>(주)하이텍팜</t>
        </is>
      </c>
      <c r="D253" s="17" t="inlineStr">
        <is>
          <t>대표전화</t>
        </is>
      </c>
      <c r="E253" s="17" t="inlineStr">
        <is>
          <t>043-883-0012</t>
        </is>
      </c>
      <c r="F253" s="17" t="inlineStr"/>
      <c r="G253" s="17" t="inlineStr">
        <is>
          <t>2026-07-06</t>
        </is>
      </c>
      <c r="H253" s="17" t="inlineStr">
        <is>
          <t>식품의약품안전처</t>
        </is>
      </c>
      <c r="I253" s="17" t="inlineStr">
        <is>
          <t>의약품 등 업체허가현황(제조소상세)</t>
        </is>
      </c>
      <c r="J253" s="17" t="inlineStr">
        <is>
          <t>https://www.data.go.kr/data/15095682/openapi.do</t>
        </is>
      </c>
      <c r="K253" s="17" t="inlineStr">
        <is>
          <t>2026-07-06</t>
        </is>
      </c>
      <c r="L253" s="17" t="inlineStr">
        <is>
          <t>A</t>
        </is>
      </c>
      <c r="M253" s="17" t="inlineStr">
        <is>
          <t>공장 대표번호</t>
        </is>
      </c>
    </row>
    <row r="254">
      <c r="A254" s="17" t="inlineStr">
        <is>
          <t>C190</t>
        </is>
      </c>
      <c r="B254" s="17" t="inlineStr">
        <is>
          <t>하이텍팜</t>
        </is>
      </c>
      <c r="C254" s="17" t="inlineStr">
        <is>
          <t>(주)하이텍팜</t>
        </is>
      </c>
      <c r="D254" s="17" t="inlineStr">
        <is>
          <t>상장정보</t>
        </is>
      </c>
      <c r="E254" s="17" t="inlineStr">
        <is>
          <t>코스닥/106190</t>
        </is>
      </c>
      <c r="F254" s="17" t="inlineStr"/>
      <c r="G254" s="17" t="inlineStr">
        <is>
          <t>2026-07-06</t>
        </is>
      </c>
      <c r="H254" s="17" t="inlineStr">
        <is>
          <t>한국거래소 KIND</t>
        </is>
      </c>
      <c r="I254" s="17" t="inlineStr">
        <is>
          <t>상장법인목록</t>
        </is>
      </c>
      <c r="J254" s="17" t="inlineStr">
        <is>
          <t>https://kind.krx.co.kr</t>
        </is>
      </c>
      <c r="K254" s="17" t="inlineStr">
        <is>
          <t>2026-07-06</t>
        </is>
      </c>
      <c r="L254" s="17" t="inlineStr">
        <is>
          <t>A</t>
        </is>
      </c>
      <c r="M254" s="17" t="inlineStr"/>
    </row>
    <row r="255">
      <c r="A255" s="17" t="inlineStr">
        <is>
          <t>C190</t>
        </is>
      </c>
      <c r="B255" s="17" t="inlineStr">
        <is>
          <t>하이텍팜</t>
        </is>
      </c>
      <c r="C255" s="17" t="inlineStr">
        <is>
          <t>(주)하이텍팜</t>
        </is>
      </c>
      <c r="D255" s="17" t="inlineStr">
        <is>
          <t>홈페이지</t>
        </is>
      </c>
      <c r="E255" s="17" t="inlineStr">
        <is>
          <t>http://www.htpharm.com</t>
        </is>
      </c>
      <c r="F255" s="17" t="inlineStr"/>
      <c r="G255" s="17" t="inlineStr">
        <is>
          <t>2026-07-06</t>
        </is>
      </c>
      <c r="H255" s="17" t="inlineStr">
        <is>
          <t>한국거래소 KIND</t>
        </is>
      </c>
      <c r="I255" s="17" t="inlineStr">
        <is>
          <t>상장법인목록</t>
        </is>
      </c>
      <c r="J255" s="17" t="inlineStr">
        <is>
          <t>https://kind.krx.co.kr</t>
        </is>
      </c>
      <c r="K255" s="17" t="inlineStr">
        <is>
          <t>2026-07-06</t>
        </is>
      </c>
      <c r="L255" s="17" t="inlineStr">
        <is>
          <t>A</t>
        </is>
      </c>
      <c r="M255" s="17" t="inlineStr"/>
    </row>
    <row r="256">
      <c r="A256" s="17" t="inlineStr">
        <is>
          <t>C191</t>
        </is>
      </c>
      <c r="B256" s="17" t="inlineStr">
        <is>
          <t>국제약품</t>
        </is>
      </c>
      <c r="C256" s="17" t="inlineStr">
        <is>
          <t>국제약품(주)</t>
        </is>
      </c>
      <c r="D256" s="17" t="inlineStr">
        <is>
          <t>대표전화</t>
        </is>
      </c>
      <c r="E256" s="17" t="inlineStr">
        <is>
          <t>031-4919-4114</t>
        </is>
      </c>
      <c r="F256" s="17" t="inlineStr"/>
      <c r="G256" s="17" t="inlineStr">
        <is>
          <t>2026-07-06</t>
        </is>
      </c>
      <c r="H256" s="17" t="inlineStr">
        <is>
          <t>식품의약품안전처</t>
        </is>
      </c>
      <c r="I256" s="17" t="inlineStr">
        <is>
          <t>의약품 등 업체허가현황(제조소상세)</t>
        </is>
      </c>
      <c r="J256" s="17" t="inlineStr">
        <is>
          <t>https://www.data.go.kr/data/15095682/openapi.do</t>
        </is>
      </c>
      <c r="K256" s="17" t="inlineStr">
        <is>
          <t>2026-07-06</t>
        </is>
      </c>
      <c r="L256" s="17" t="inlineStr">
        <is>
          <t>A</t>
        </is>
      </c>
      <c r="M256" s="17" t="inlineStr">
        <is>
          <t>공장 대표번호</t>
        </is>
      </c>
    </row>
    <row r="257">
      <c r="A257" s="17" t="inlineStr">
        <is>
          <t>C191</t>
        </is>
      </c>
      <c r="B257" s="17" t="inlineStr">
        <is>
          <t>국제약품</t>
        </is>
      </c>
      <c r="C257" s="17" t="inlineStr">
        <is>
          <t>국제약품(주)</t>
        </is>
      </c>
      <c r="D257" s="17" t="inlineStr">
        <is>
          <t>상장정보</t>
        </is>
      </c>
      <c r="E257" s="17" t="inlineStr">
        <is>
          <t>유가/002720</t>
        </is>
      </c>
      <c r="F257" s="17" t="inlineStr"/>
      <c r="G257" s="17" t="inlineStr">
        <is>
          <t>2026-07-06</t>
        </is>
      </c>
      <c r="H257" s="17" t="inlineStr">
        <is>
          <t>한국거래소 KIND</t>
        </is>
      </c>
      <c r="I257" s="17" t="inlineStr">
        <is>
          <t>상장법인목록</t>
        </is>
      </c>
      <c r="J257" s="17" t="inlineStr">
        <is>
          <t>https://kind.krx.co.kr</t>
        </is>
      </c>
      <c r="K257" s="17" t="inlineStr">
        <is>
          <t>2026-07-06</t>
        </is>
      </c>
      <c r="L257" s="17" t="inlineStr">
        <is>
          <t>A</t>
        </is>
      </c>
      <c r="M257" s="17" t="inlineStr"/>
    </row>
    <row r="258">
      <c r="A258" s="17" t="inlineStr">
        <is>
          <t>C191</t>
        </is>
      </c>
      <c r="B258" s="17" t="inlineStr">
        <is>
          <t>국제약품</t>
        </is>
      </c>
      <c r="C258" s="17" t="inlineStr">
        <is>
          <t>국제약품(주)</t>
        </is>
      </c>
      <c r="D258" s="17" t="inlineStr">
        <is>
          <t>홈페이지</t>
        </is>
      </c>
      <c r="E258" s="17" t="inlineStr">
        <is>
          <t>http://www.kukjepharm.co.kr</t>
        </is>
      </c>
      <c r="F258" s="17" t="inlineStr"/>
      <c r="G258" s="17" t="inlineStr">
        <is>
          <t>2026-07-06</t>
        </is>
      </c>
      <c r="H258" s="17" t="inlineStr">
        <is>
          <t>한국거래소 KIND</t>
        </is>
      </c>
      <c r="I258" s="17" t="inlineStr">
        <is>
          <t>상장법인목록</t>
        </is>
      </c>
      <c r="J258" s="17" t="inlineStr">
        <is>
          <t>https://kind.krx.co.kr</t>
        </is>
      </c>
      <c r="K258" s="17" t="inlineStr">
        <is>
          <t>2026-07-06</t>
        </is>
      </c>
      <c r="L258" s="17" t="inlineStr">
        <is>
          <t>A</t>
        </is>
      </c>
      <c r="M258" s="17" t="inlineStr"/>
    </row>
    <row r="259">
      <c r="A259" s="17" t="inlineStr">
        <is>
          <t>C192</t>
        </is>
      </c>
      <c r="B259" s="17" t="inlineStr">
        <is>
          <t>진양제약</t>
        </is>
      </c>
      <c r="C259" s="17" t="inlineStr">
        <is>
          <t>진양제약(주)</t>
        </is>
      </c>
      <c r="D259" s="17" t="inlineStr">
        <is>
          <t>상장정보</t>
        </is>
      </c>
      <c r="E259" s="17" t="inlineStr">
        <is>
          <t>코스닥/007370</t>
        </is>
      </c>
      <c r="F259" s="17" t="inlineStr"/>
      <c r="G259" s="17" t="inlineStr">
        <is>
          <t>2026-07-06</t>
        </is>
      </c>
      <c r="H259" s="17" t="inlineStr">
        <is>
          <t>한국거래소 KIND</t>
        </is>
      </c>
      <c r="I259" s="17" t="inlineStr">
        <is>
          <t>상장법인목록</t>
        </is>
      </c>
      <c r="J259" s="17" t="inlineStr">
        <is>
          <t>https://kind.krx.co.kr</t>
        </is>
      </c>
      <c r="K259" s="17" t="inlineStr">
        <is>
          <t>2026-07-06</t>
        </is>
      </c>
      <c r="L259" s="17" t="inlineStr">
        <is>
          <t>A</t>
        </is>
      </c>
      <c r="M259" s="17" t="inlineStr"/>
    </row>
    <row r="260">
      <c r="A260" s="17" t="inlineStr">
        <is>
          <t>C192</t>
        </is>
      </c>
      <c r="B260" s="17" t="inlineStr">
        <is>
          <t>진양제약</t>
        </is>
      </c>
      <c r="C260" s="17" t="inlineStr">
        <is>
          <t>진양제약(주)</t>
        </is>
      </c>
      <c r="D260" s="17" t="inlineStr">
        <is>
          <t>홈페이지</t>
        </is>
      </c>
      <c r="E260" s="17" t="inlineStr">
        <is>
          <t>http://www.jinyangpharm.co.kr</t>
        </is>
      </c>
      <c r="F260" s="17" t="inlineStr"/>
      <c r="G260" s="17" t="inlineStr">
        <is>
          <t>2026-07-06</t>
        </is>
      </c>
      <c r="H260" s="17" t="inlineStr">
        <is>
          <t>한국거래소 KIND</t>
        </is>
      </c>
      <c r="I260" s="17" t="inlineStr">
        <is>
          <t>상장법인목록</t>
        </is>
      </c>
      <c r="J260" s="17" t="inlineStr">
        <is>
          <t>https://kind.krx.co.kr</t>
        </is>
      </c>
      <c r="K260" s="17" t="inlineStr">
        <is>
          <t>2026-07-06</t>
        </is>
      </c>
      <c r="L260" s="17" t="inlineStr">
        <is>
          <t>A</t>
        </is>
      </c>
      <c r="M260" s="17" t="inlineStr"/>
    </row>
    <row r="261">
      <c r="A261" s="17" t="inlineStr">
        <is>
          <t>C193</t>
        </is>
      </c>
      <c r="B261" s="17" t="inlineStr">
        <is>
          <t>밀성산업가스</t>
        </is>
      </c>
      <c r="C261" s="17" t="inlineStr">
        <is>
          <t>(주)밀성산업가스</t>
        </is>
      </c>
      <c r="D261" s="17" t="inlineStr">
        <is>
          <t>대표전화</t>
        </is>
      </c>
      <c r="E261" s="17" t="inlineStr">
        <is>
          <t>031-8059-5950</t>
        </is>
      </c>
      <c r="F261" s="17" t="inlineStr"/>
      <c r="G261" s="17" t="inlineStr">
        <is>
          <t>2026-07-06</t>
        </is>
      </c>
      <c r="H261" s="17" t="inlineStr">
        <is>
          <t>식품의약품안전처</t>
        </is>
      </c>
      <c r="I261" s="17" t="inlineStr">
        <is>
          <t>의약품 등 업체허가현황(제조소상세)</t>
        </is>
      </c>
      <c r="J261" s="17" t="inlineStr">
        <is>
          <t>https://www.data.go.kr/data/15095682/openapi.do</t>
        </is>
      </c>
      <c r="K261" s="17" t="inlineStr">
        <is>
          <t>2026-07-06</t>
        </is>
      </c>
      <c r="L261" s="17" t="inlineStr">
        <is>
          <t>A</t>
        </is>
      </c>
      <c r="M261" s="17" t="inlineStr">
        <is>
          <t>공장 대표번호</t>
        </is>
      </c>
    </row>
    <row r="262">
      <c r="A262" s="17" t="inlineStr">
        <is>
          <t>C194</t>
        </is>
      </c>
      <c r="B262" s="17" t="inlineStr">
        <is>
          <t>신풍제약</t>
        </is>
      </c>
      <c r="C262" s="17" t="inlineStr">
        <is>
          <t>신풍제약(주)</t>
        </is>
      </c>
      <c r="D262" s="17" t="inlineStr">
        <is>
          <t>대표전화</t>
        </is>
      </c>
      <c r="E262" s="17" t="inlineStr">
        <is>
          <t>031-491-6191</t>
        </is>
      </c>
      <c r="F262" s="17" t="inlineStr"/>
      <c r="G262" s="17" t="inlineStr">
        <is>
          <t>2026-07-06</t>
        </is>
      </c>
      <c r="H262" s="17" t="inlineStr">
        <is>
          <t>식품의약품안전처</t>
        </is>
      </c>
      <c r="I262" s="17" t="inlineStr">
        <is>
          <t>의약품 등 업체허가현황(제조소상세)</t>
        </is>
      </c>
      <c r="J262" s="17" t="inlineStr">
        <is>
          <t>https://www.data.go.kr/data/15095682/openapi.do</t>
        </is>
      </c>
      <c r="K262" s="17" t="inlineStr">
        <is>
          <t>2026-07-06</t>
        </is>
      </c>
      <c r="L262" s="17" t="inlineStr">
        <is>
          <t>A</t>
        </is>
      </c>
      <c r="M262" s="17" t="inlineStr">
        <is>
          <t>공장 대표번호</t>
        </is>
      </c>
    </row>
    <row r="263">
      <c r="A263" s="17" t="inlineStr">
        <is>
          <t>C194</t>
        </is>
      </c>
      <c r="B263" s="17" t="inlineStr">
        <is>
          <t>신풍제약</t>
        </is>
      </c>
      <c r="C263" s="17" t="inlineStr">
        <is>
          <t>신풍제약(주)</t>
        </is>
      </c>
      <c r="D263" s="17" t="inlineStr">
        <is>
          <t>상장정보</t>
        </is>
      </c>
      <c r="E263" s="17" t="inlineStr">
        <is>
          <t>유가/019170</t>
        </is>
      </c>
      <c r="F263" s="17" t="inlineStr"/>
      <c r="G263" s="17" t="inlineStr">
        <is>
          <t>2026-07-06</t>
        </is>
      </c>
      <c r="H263" s="17" t="inlineStr">
        <is>
          <t>한국거래소 KIND</t>
        </is>
      </c>
      <c r="I263" s="17" t="inlineStr">
        <is>
          <t>상장법인목록</t>
        </is>
      </c>
      <c r="J263" s="17" t="inlineStr">
        <is>
          <t>https://kind.krx.co.kr</t>
        </is>
      </c>
      <c r="K263" s="17" t="inlineStr">
        <is>
          <t>2026-07-06</t>
        </is>
      </c>
      <c r="L263" s="17" t="inlineStr">
        <is>
          <t>A</t>
        </is>
      </c>
      <c r="M263" s="17" t="inlineStr"/>
    </row>
    <row r="264">
      <c r="A264" s="17" t="inlineStr">
        <is>
          <t>C194</t>
        </is>
      </c>
      <c r="B264" s="17" t="inlineStr">
        <is>
          <t>신풍제약</t>
        </is>
      </c>
      <c r="C264" s="17" t="inlineStr">
        <is>
          <t>신풍제약(주)</t>
        </is>
      </c>
      <c r="D264" s="17" t="inlineStr">
        <is>
          <t>홈페이지</t>
        </is>
      </c>
      <c r="E264" s="17" t="inlineStr">
        <is>
          <t>http://www.shinpoong.co.kr</t>
        </is>
      </c>
      <c r="F264" s="17" t="inlineStr"/>
      <c r="G264" s="17" t="inlineStr">
        <is>
          <t>2026-07-06</t>
        </is>
      </c>
      <c r="H264" s="17" t="inlineStr">
        <is>
          <t>한국거래소 KIND</t>
        </is>
      </c>
      <c r="I264" s="17" t="inlineStr">
        <is>
          <t>상장법인목록</t>
        </is>
      </c>
      <c r="J264" s="17" t="inlineStr">
        <is>
          <t>https://kind.krx.co.kr</t>
        </is>
      </c>
      <c r="K264" s="17" t="inlineStr">
        <is>
          <t>2026-07-06</t>
        </is>
      </c>
      <c r="L264" s="17" t="inlineStr">
        <is>
          <t>A</t>
        </is>
      </c>
      <c r="M264" s="17" t="inlineStr"/>
    </row>
    <row r="265">
      <c r="A265" s="17" t="inlineStr">
        <is>
          <t>C195</t>
        </is>
      </c>
      <c r="B265" s="17" t="inlineStr">
        <is>
          <t>한국신텍스제약</t>
        </is>
      </c>
      <c r="C265" s="17" t="inlineStr">
        <is>
          <t>한국신텍스제약(주)</t>
        </is>
      </c>
      <c r="D265" s="17" t="inlineStr">
        <is>
          <t>대표전화</t>
        </is>
      </c>
      <c r="E265" s="17" t="inlineStr">
        <is>
          <t>063-853-8110</t>
        </is>
      </c>
      <c r="F265" s="17" t="inlineStr"/>
      <c r="G265" s="17" t="inlineStr">
        <is>
          <t>2026-07-06</t>
        </is>
      </c>
      <c r="H265" s="17" t="inlineStr">
        <is>
          <t>식품의약품안전처</t>
        </is>
      </c>
      <c r="I265" s="17" t="inlineStr">
        <is>
          <t>의약품 등 업체허가현황(제조소상세)</t>
        </is>
      </c>
      <c r="J265" s="17" t="inlineStr">
        <is>
          <t>https://www.data.go.kr/data/15095682/openapi.do</t>
        </is>
      </c>
      <c r="K265" s="17" t="inlineStr">
        <is>
          <t>2026-07-06</t>
        </is>
      </c>
      <c r="L265" s="17" t="inlineStr">
        <is>
          <t>A</t>
        </is>
      </c>
      <c r="M265" s="17" t="inlineStr">
        <is>
          <t>공장 대표번호</t>
        </is>
      </c>
    </row>
    <row r="266">
      <c r="A266" s="17" t="inlineStr">
        <is>
          <t>C197</t>
        </is>
      </c>
      <c r="B266" s="17" t="inlineStr">
        <is>
          <t>한국팜비오</t>
        </is>
      </c>
      <c r="C266" s="17" t="inlineStr">
        <is>
          <t>(주)한국팜비오</t>
        </is>
      </c>
      <c r="D266" s="17" t="inlineStr">
        <is>
          <t>대표전화</t>
        </is>
      </c>
      <c r="E266" s="17" t="inlineStr">
        <is>
          <t>02-587-2551</t>
        </is>
      </c>
      <c r="F266" s="17" t="inlineStr"/>
      <c r="G266" s="17" t="inlineStr">
        <is>
          <t>2026-07-06</t>
        </is>
      </c>
      <c r="H266" s="17" t="inlineStr">
        <is>
          <t>식품의약품안전처</t>
        </is>
      </c>
      <c r="I266" s="17" t="inlineStr">
        <is>
          <t>의약품 등 업체허가현황(제조소상세)</t>
        </is>
      </c>
      <c r="J266" s="17" t="inlineStr">
        <is>
          <t>https://www.data.go.kr/data/15095682/openapi.do</t>
        </is>
      </c>
      <c r="K266" s="17" t="inlineStr">
        <is>
          <t>2026-07-06</t>
        </is>
      </c>
      <c r="L266" s="17" t="inlineStr">
        <is>
          <t>A</t>
        </is>
      </c>
      <c r="M266" s="17" t="inlineStr">
        <is>
          <t>공장 대표번호</t>
        </is>
      </c>
    </row>
    <row r="267">
      <c r="A267" s="17" t="inlineStr">
        <is>
          <t>C198</t>
        </is>
      </c>
      <c r="B267" s="17" t="inlineStr">
        <is>
          <t>동구바이오제약</t>
        </is>
      </c>
      <c r="C267" s="17" t="inlineStr">
        <is>
          <t>(주)동구바이오제약</t>
        </is>
      </c>
      <c r="D267" s="17" t="inlineStr">
        <is>
          <t>대표전화</t>
        </is>
      </c>
      <c r="E267" s="17" t="inlineStr">
        <is>
          <t>031-3535-4115</t>
        </is>
      </c>
      <c r="F267" s="17" t="inlineStr"/>
      <c r="G267" s="17" t="inlineStr">
        <is>
          <t>2026-07-06</t>
        </is>
      </c>
      <c r="H267" s="17" t="inlineStr">
        <is>
          <t>식품의약품안전처</t>
        </is>
      </c>
      <c r="I267" s="17" t="inlineStr">
        <is>
          <t>의약품 등 업체허가현황(제조소상세)</t>
        </is>
      </c>
      <c r="J267" s="17" t="inlineStr">
        <is>
          <t>https://www.data.go.kr/data/15095682/openapi.do</t>
        </is>
      </c>
      <c r="K267" s="17" t="inlineStr">
        <is>
          <t>2026-07-06</t>
        </is>
      </c>
      <c r="L267" s="17" t="inlineStr">
        <is>
          <t>A</t>
        </is>
      </c>
      <c r="M267" s="17" t="inlineStr">
        <is>
          <t>공장 대표번호</t>
        </is>
      </c>
    </row>
    <row r="268">
      <c r="A268" s="17" t="inlineStr">
        <is>
          <t>C198</t>
        </is>
      </c>
      <c r="B268" s="17" t="inlineStr">
        <is>
          <t>동구바이오제약</t>
        </is>
      </c>
      <c r="C268" s="17" t="inlineStr">
        <is>
          <t>(주)동구바이오제약</t>
        </is>
      </c>
      <c r="D268" s="17" t="inlineStr">
        <is>
          <t>상장정보</t>
        </is>
      </c>
      <c r="E268" s="17" t="inlineStr">
        <is>
          <t>코스닥/006620</t>
        </is>
      </c>
      <c r="F268" s="17" t="inlineStr"/>
      <c r="G268" s="17" t="inlineStr">
        <is>
          <t>2026-07-06</t>
        </is>
      </c>
      <c r="H268" s="17" t="inlineStr">
        <is>
          <t>한국거래소 KIND</t>
        </is>
      </c>
      <c r="I268" s="17" t="inlineStr">
        <is>
          <t>상장법인목록</t>
        </is>
      </c>
      <c r="J268" s="17" t="inlineStr">
        <is>
          <t>https://kind.krx.co.kr</t>
        </is>
      </c>
      <c r="K268" s="17" t="inlineStr">
        <is>
          <t>2026-07-06</t>
        </is>
      </c>
      <c r="L268" s="17" t="inlineStr">
        <is>
          <t>A</t>
        </is>
      </c>
      <c r="M268" s="17" t="inlineStr"/>
    </row>
    <row r="269">
      <c r="A269" s="17" t="inlineStr">
        <is>
          <t>C198</t>
        </is>
      </c>
      <c r="B269" s="17" t="inlineStr">
        <is>
          <t>동구바이오제약</t>
        </is>
      </c>
      <c r="C269" s="17" t="inlineStr">
        <is>
          <t>(주)동구바이오제약</t>
        </is>
      </c>
      <c r="D269" s="17" t="inlineStr">
        <is>
          <t>홈페이지</t>
        </is>
      </c>
      <c r="E269" s="17" t="inlineStr">
        <is>
          <t>http://www.dongkoo.com</t>
        </is>
      </c>
      <c r="F269" s="17" t="inlineStr"/>
      <c r="G269" s="17" t="inlineStr">
        <is>
          <t>2026-07-06</t>
        </is>
      </c>
      <c r="H269" s="17" t="inlineStr">
        <is>
          <t>한국거래소 KIND</t>
        </is>
      </c>
      <c r="I269" s="17" t="inlineStr">
        <is>
          <t>상장법인목록</t>
        </is>
      </c>
      <c r="J269" s="17" t="inlineStr">
        <is>
          <t>https://kind.krx.co.kr</t>
        </is>
      </c>
      <c r="K269" s="17" t="inlineStr">
        <is>
          <t>2026-07-06</t>
        </is>
      </c>
      <c r="L269" s="17" t="inlineStr">
        <is>
          <t>A</t>
        </is>
      </c>
      <c r="M269" s="17" t="inlineStr"/>
    </row>
    <row r="270">
      <c r="A270" s="17" t="inlineStr">
        <is>
          <t>C200</t>
        </is>
      </c>
      <c r="B270" s="17" t="inlineStr">
        <is>
          <t>새한가스공업</t>
        </is>
      </c>
      <c r="C270" s="17" t="inlineStr">
        <is>
          <t>새한가스공업</t>
        </is>
      </c>
      <c r="D270" s="17" t="inlineStr">
        <is>
          <t>대표전화</t>
        </is>
      </c>
      <c r="E270" s="17" t="inlineStr">
        <is>
          <t>064-755-2827</t>
        </is>
      </c>
      <c r="F270" s="17" t="inlineStr"/>
      <c r="G270" s="17" t="inlineStr">
        <is>
          <t>2026-07-06</t>
        </is>
      </c>
      <c r="H270" s="17" t="inlineStr">
        <is>
          <t>식품의약품안전처</t>
        </is>
      </c>
      <c r="I270" s="17" t="inlineStr">
        <is>
          <t>의약품 등 업체허가현황(제조소상세)</t>
        </is>
      </c>
      <c r="J270" s="17" t="inlineStr">
        <is>
          <t>https://www.data.go.kr/data/15095682/openapi.do</t>
        </is>
      </c>
      <c r="K270" s="17" t="inlineStr">
        <is>
          <t>2026-07-06</t>
        </is>
      </c>
      <c r="L270" s="17" t="inlineStr">
        <is>
          <t>A</t>
        </is>
      </c>
      <c r="M270" s="17" t="inlineStr">
        <is>
          <t>공장 대표번호</t>
        </is>
      </c>
    </row>
    <row r="271">
      <c r="A271" s="17" t="inlineStr">
        <is>
          <t>C201</t>
        </is>
      </c>
      <c r="B271" s="17" t="inlineStr">
        <is>
          <t>대동가스텍</t>
        </is>
      </c>
      <c r="C271" s="17" t="inlineStr">
        <is>
          <t>(주)대동가스텍</t>
        </is>
      </c>
      <c r="D271" s="17" t="inlineStr">
        <is>
          <t>대표전화</t>
        </is>
      </c>
      <c r="E271" s="17" t="inlineStr">
        <is>
          <t>053-856-5142</t>
        </is>
      </c>
      <c r="F271" s="17" t="inlineStr"/>
      <c r="G271" s="17" t="inlineStr">
        <is>
          <t>2026-07-06</t>
        </is>
      </c>
      <c r="H271" s="17" t="inlineStr">
        <is>
          <t>식품의약품안전처</t>
        </is>
      </c>
      <c r="I271" s="17" t="inlineStr">
        <is>
          <t>의약품 등 업체허가현황(제조소상세)</t>
        </is>
      </c>
      <c r="J271" s="17" t="inlineStr">
        <is>
          <t>https://www.data.go.kr/data/15095682/openapi.do</t>
        </is>
      </c>
      <c r="K271" s="17" t="inlineStr">
        <is>
          <t>2026-07-06</t>
        </is>
      </c>
      <c r="L271" s="17" t="inlineStr">
        <is>
          <t>A</t>
        </is>
      </c>
      <c r="M271" s="17" t="inlineStr">
        <is>
          <t>공장 대표번호</t>
        </is>
      </c>
    </row>
    <row r="272">
      <c r="A272" s="17" t="inlineStr">
        <is>
          <t>C202</t>
        </is>
      </c>
      <c r="B272" s="17" t="inlineStr">
        <is>
          <t>에어퍼스트</t>
        </is>
      </c>
      <c r="C272" s="17" t="inlineStr">
        <is>
          <t>(주)에어퍼스트</t>
        </is>
      </c>
      <c r="D272" s="17" t="inlineStr">
        <is>
          <t>대표전화</t>
        </is>
      </c>
      <c r="E272" s="17" t="inlineStr">
        <is>
          <t>02-780-9331</t>
        </is>
      </c>
      <c r="F272" s="17" t="inlineStr"/>
      <c r="G272" s="17" t="inlineStr">
        <is>
          <t>2026-07-06</t>
        </is>
      </c>
      <c r="H272" s="17" t="inlineStr">
        <is>
          <t>식품의약품안전처</t>
        </is>
      </c>
      <c r="I272" s="17" t="inlineStr">
        <is>
          <t>의약품 등 업체허가현황(제조소상세)</t>
        </is>
      </c>
      <c r="J272" s="17" t="inlineStr">
        <is>
          <t>https://www.data.go.kr/data/15095682/openapi.do</t>
        </is>
      </c>
      <c r="K272" s="17" t="inlineStr">
        <is>
          <t>2026-07-06</t>
        </is>
      </c>
      <c r="L272" s="17" t="inlineStr">
        <is>
          <t>A</t>
        </is>
      </c>
      <c r="M272" s="17" t="inlineStr">
        <is>
          <t>공장 대표번호</t>
        </is>
      </c>
    </row>
    <row r="273">
      <c r="A273" s="17" t="inlineStr">
        <is>
          <t>C205</t>
        </is>
      </c>
      <c r="B273" s="17" t="inlineStr">
        <is>
          <t>천우신약</t>
        </is>
      </c>
      <c r="C273" s="17" t="inlineStr">
        <is>
          <t>천우신약(주)</t>
        </is>
      </c>
      <c r="D273" s="17" t="inlineStr">
        <is>
          <t>대표전화</t>
        </is>
      </c>
      <c r="E273" s="17" t="inlineStr">
        <is>
          <t>070-4618-5862</t>
        </is>
      </c>
      <c r="F273" s="17" t="inlineStr"/>
      <c r="G273" s="17" t="inlineStr">
        <is>
          <t>2026-07-06</t>
        </is>
      </c>
      <c r="H273" s="17" t="inlineStr">
        <is>
          <t>식품의약품안전처</t>
        </is>
      </c>
      <c r="I273" s="17" t="inlineStr">
        <is>
          <t>의약품 등 업체허가현황(제조소상세)</t>
        </is>
      </c>
      <c r="J273" s="17" t="inlineStr">
        <is>
          <t>https://www.data.go.kr/data/15095682/openapi.do</t>
        </is>
      </c>
      <c r="K273" s="17" t="inlineStr">
        <is>
          <t>2026-07-06</t>
        </is>
      </c>
      <c r="L273" s="17" t="inlineStr">
        <is>
          <t>A</t>
        </is>
      </c>
      <c r="M273" s="17" t="inlineStr">
        <is>
          <t>공장 대표번호</t>
        </is>
      </c>
    </row>
    <row r="274">
      <c r="A274" s="17" t="inlineStr">
        <is>
          <t>C206</t>
        </is>
      </c>
      <c r="B274" s="17" t="inlineStr">
        <is>
          <t>에이프로젠바이오로직스</t>
        </is>
      </c>
      <c r="C274" s="17" t="inlineStr">
        <is>
          <t>(주)에이프로젠바이오로직스</t>
        </is>
      </c>
      <c r="D274" s="17" t="inlineStr">
        <is>
          <t>상장정보</t>
        </is>
      </c>
      <c r="E274" s="17" t="inlineStr">
        <is>
          <t>유가/003060</t>
        </is>
      </c>
      <c r="F274" s="17" t="inlineStr"/>
      <c r="G274" s="17" t="inlineStr">
        <is>
          <t>2026-07-06</t>
        </is>
      </c>
      <c r="H274" s="17" t="inlineStr">
        <is>
          <t>한국거래소 KIND</t>
        </is>
      </c>
      <c r="I274" s="17" t="inlineStr">
        <is>
          <t>상장법인목록</t>
        </is>
      </c>
      <c r="J274" s="17" t="inlineStr">
        <is>
          <t>https://kind.krx.co.kr</t>
        </is>
      </c>
      <c r="K274" s="17" t="inlineStr">
        <is>
          <t>2026-07-06</t>
        </is>
      </c>
      <c r="L274" s="17" t="inlineStr">
        <is>
          <t>A</t>
        </is>
      </c>
      <c r="M274" s="17" t="inlineStr"/>
    </row>
    <row r="275">
      <c r="A275" s="17" t="inlineStr">
        <is>
          <t>C206</t>
        </is>
      </c>
      <c r="B275" s="17" t="inlineStr">
        <is>
          <t>에이프로젠바이오로직스</t>
        </is>
      </c>
      <c r="C275" s="17" t="inlineStr">
        <is>
          <t>(주)에이프로젠바이오로직스</t>
        </is>
      </c>
      <c r="D275" s="17" t="inlineStr">
        <is>
          <t>홈페이지</t>
        </is>
      </c>
      <c r="E275" s="17" t="inlineStr">
        <is>
          <t>http://www.aprogen-pharm.com</t>
        </is>
      </c>
      <c r="F275" s="17" t="inlineStr"/>
      <c r="G275" s="17" t="inlineStr">
        <is>
          <t>2026-07-06</t>
        </is>
      </c>
      <c r="H275" s="17" t="inlineStr">
        <is>
          <t>한국거래소 KIND</t>
        </is>
      </c>
      <c r="I275" s="17" t="inlineStr">
        <is>
          <t>상장법인목록</t>
        </is>
      </c>
      <c r="J275" s="17" t="inlineStr">
        <is>
          <t>https://kind.krx.co.kr</t>
        </is>
      </c>
      <c r="K275" s="17" t="inlineStr">
        <is>
          <t>2026-07-06</t>
        </is>
      </c>
      <c r="L275" s="17" t="inlineStr">
        <is>
          <t>A</t>
        </is>
      </c>
      <c r="M275" s="17" t="inlineStr"/>
    </row>
    <row r="276">
      <c r="A276" s="17" t="inlineStr">
        <is>
          <t>C207</t>
        </is>
      </c>
      <c r="B276" s="17" t="inlineStr">
        <is>
          <t>경남산소</t>
        </is>
      </c>
      <c r="C276" s="17" t="inlineStr">
        <is>
          <t>경남산소</t>
        </is>
      </c>
      <c r="D276" s="17" t="inlineStr">
        <is>
          <t>대표전화</t>
        </is>
      </c>
      <c r="E276" s="17" t="inlineStr">
        <is>
          <t>055-2956-0202</t>
        </is>
      </c>
      <c r="F276" s="17" t="inlineStr"/>
      <c r="G276" s="17" t="inlineStr">
        <is>
          <t>2026-07-06</t>
        </is>
      </c>
      <c r="H276" s="17" t="inlineStr">
        <is>
          <t>식품의약품안전처</t>
        </is>
      </c>
      <c r="I276" s="17" t="inlineStr">
        <is>
          <t>의약품 등 업체허가현황(제조소상세)</t>
        </is>
      </c>
      <c r="J276" s="17" t="inlineStr">
        <is>
          <t>https://www.data.go.kr/data/15095682/openapi.do</t>
        </is>
      </c>
      <c r="K276" s="17" t="inlineStr">
        <is>
          <t>2026-07-06</t>
        </is>
      </c>
      <c r="L276" s="17" t="inlineStr">
        <is>
          <t>A</t>
        </is>
      </c>
      <c r="M276" s="17" t="inlineStr">
        <is>
          <t>공장 대표번호</t>
        </is>
      </c>
    </row>
    <row r="277">
      <c r="A277" s="17" t="inlineStr">
        <is>
          <t>C208</t>
        </is>
      </c>
      <c r="B277" s="17" t="inlineStr">
        <is>
          <t>신진가스텍</t>
        </is>
      </c>
      <c r="C277" s="17" t="inlineStr">
        <is>
          <t>신진가스텍(주)</t>
        </is>
      </c>
      <c r="D277" s="17" t="inlineStr">
        <is>
          <t>대표전화</t>
        </is>
      </c>
      <c r="E277" s="17" t="inlineStr">
        <is>
          <t>054-463-8600</t>
        </is>
      </c>
      <c r="F277" s="17" t="inlineStr"/>
      <c r="G277" s="17" t="inlineStr">
        <is>
          <t>2026-07-06</t>
        </is>
      </c>
      <c r="H277" s="17" t="inlineStr">
        <is>
          <t>식품의약품안전처</t>
        </is>
      </c>
      <c r="I277" s="17" t="inlineStr">
        <is>
          <t>의약품 등 업체허가현황(제조소상세)</t>
        </is>
      </c>
      <c r="J277" s="17" t="inlineStr">
        <is>
          <t>https://www.data.go.kr/data/15095682/openapi.do</t>
        </is>
      </c>
      <c r="K277" s="17" t="inlineStr">
        <is>
          <t>2026-07-06</t>
        </is>
      </c>
      <c r="L277" s="17" t="inlineStr">
        <is>
          <t>A</t>
        </is>
      </c>
      <c r="M277" s="17" t="inlineStr">
        <is>
          <t>공장 대표번호</t>
        </is>
      </c>
    </row>
    <row r="278">
      <c r="A278" s="17" t="inlineStr">
        <is>
          <t>C209</t>
        </is>
      </c>
      <c r="B278" s="17" t="inlineStr">
        <is>
          <t>대한적십자사혈장분획센터</t>
        </is>
      </c>
      <c r="C278" s="17" t="inlineStr">
        <is>
          <t>대한적십자사혈장분획센터</t>
        </is>
      </c>
      <c r="D278" s="17" t="inlineStr">
        <is>
          <t>대표전화</t>
        </is>
      </c>
      <c r="E278" s="17" t="inlineStr">
        <is>
          <t>04387912341365</t>
        </is>
      </c>
      <c r="F278" s="17" t="inlineStr"/>
      <c r="G278" s="17" t="inlineStr">
        <is>
          <t>2026-07-06</t>
        </is>
      </c>
      <c r="H278" s="17" t="inlineStr">
        <is>
          <t>식품의약품안전처</t>
        </is>
      </c>
      <c r="I278" s="17" t="inlineStr">
        <is>
          <t>의약품 등 업체허가현황(제조소상세)</t>
        </is>
      </c>
      <c r="J278" s="17" t="inlineStr">
        <is>
          <t>https://www.data.go.kr/data/15095682/openapi.do</t>
        </is>
      </c>
      <c r="K278" s="17" t="inlineStr">
        <is>
          <t>2026-07-06</t>
        </is>
      </c>
      <c r="L278" s="17" t="inlineStr">
        <is>
          <t>A</t>
        </is>
      </c>
      <c r="M278" s="17" t="inlineStr">
        <is>
          <t>공장 대표번호</t>
        </is>
      </c>
    </row>
    <row r="279">
      <c r="A279" s="17" t="inlineStr">
        <is>
          <t>C210</t>
        </is>
      </c>
      <c r="B279" s="17" t="inlineStr">
        <is>
          <t>제이더블유중외제약</t>
        </is>
      </c>
      <c r="C279" s="17" t="inlineStr">
        <is>
          <t>제이더블유중외제약(주)</t>
        </is>
      </c>
      <c r="D279" s="17" t="inlineStr">
        <is>
          <t>대표전화</t>
        </is>
      </c>
      <c r="E279" s="17" t="inlineStr">
        <is>
          <t>02-840-6986</t>
        </is>
      </c>
      <c r="F279" s="17" t="inlineStr"/>
      <c r="G279" s="17" t="inlineStr">
        <is>
          <t>2026-07-06</t>
        </is>
      </c>
      <c r="H279" s="17" t="inlineStr">
        <is>
          <t>식품의약품안전처</t>
        </is>
      </c>
      <c r="I279" s="17" t="inlineStr">
        <is>
          <t>의약품 등 업체허가현황(제조소상세)</t>
        </is>
      </c>
      <c r="J279" s="17" t="inlineStr">
        <is>
          <t>https://www.data.go.kr/data/15095682/openapi.do</t>
        </is>
      </c>
      <c r="K279" s="17" t="inlineStr">
        <is>
          <t>2026-07-06</t>
        </is>
      </c>
      <c r="L279" s="17" t="inlineStr">
        <is>
          <t>A</t>
        </is>
      </c>
      <c r="M279" s="17" t="inlineStr">
        <is>
          <t>공장 대표번호</t>
        </is>
      </c>
    </row>
    <row r="280">
      <c r="A280" s="17" t="inlineStr">
        <is>
          <t>C211</t>
        </is>
      </c>
      <c r="B280" s="17" t="inlineStr">
        <is>
          <t>천일가스</t>
        </is>
      </c>
      <c r="C280" s="17" t="inlineStr">
        <is>
          <t>(주)천일가스</t>
        </is>
      </c>
      <c r="D280" s="17" t="inlineStr">
        <is>
          <t>대표전화</t>
        </is>
      </c>
      <c r="E280" s="17" t="inlineStr">
        <is>
          <t>054-277-1001</t>
        </is>
      </c>
      <c r="F280" s="17" t="inlineStr"/>
      <c r="G280" s="17" t="inlineStr">
        <is>
          <t>2026-07-06</t>
        </is>
      </c>
      <c r="H280" s="17" t="inlineStr">
        <is>
          <t>식품의약품안전처</t>
        </is>
      </c>
      <c r="I280" s="17" t="inlineStr">
        <is>
          <t>의약품 등 업체허가현황(제조소상세)</t>
        </is>
      </c>
      <c r="J280" s="17" t="inlineStr">
        <is>
          <t>https://www.data.go.kr/data/15095682/openapi.do</t>
        </is>
      </c>
      <c r="K280" s="17" t="inlineStr">
        <is>
          <t>2026-07-06</t>
        </is>
      </c>
      <c r="L280" s="17" t="inlineStr">
        <is>
          <t>A</t>
        </is>
      </c>
      <c r="M280" s="17" t="inlineStr">
        <is>
          <t>공장 대표번호</t>
        </is>
      </c>
    </row>
    <row r="281">
      <c r="A281" s="17" t="inlineStr">
        <is>
          <t>C212</t>
        </is>
      </c>
      <c r="B281" s="17" t="inlineStr">
        <is>
          <t>한국수소</t>
        </is>
      </c>
      <c r="C281" s="17" t="inlineStr">
        <is>
          <t>한국수소(주)</t>
        </is>
      </c>
      <c r="D281" s="17" t="inlineStr">
        <is>
          <t>대표전화</t>
        </is>
      </c>
      <c r="E281" s="17" t="inlineStr">
        <is>
          <t>032-673-6223</t>
        </is>
      </c>
      <c r="F281" s="17" t="inlineStr"/>
      <c r="G281" s="17" t="inlineStr">
        <is>
          <t>2026-07-06</t>
        </is>
      </c>
      <c r="H281" s="17" t="inlineStr">
        <is>
          <t>식품의약품안전처</t>
        </is>
      </c>
      <c r="I281" s="17" t="inlineStr">
        <is>
          <t>의약품 등 업체허가현황(제조소상세)</t>
        </is>
      </c>
      <c r="J281" s="17" t="inlineStr">
        <is>
          <t>https://www.data.go.kr/data/15095682/openapi.do</t>
        </is>
      </c>
      <c r="K281" s="17" t="inlineStr">
        <is>
          <t>2026-07-06</t>
        </is>
      </c>
      <c r="L281" s="17" t="inlineStr">
        <is>
          <t>A</t>
        </is>
      </c>
      <c r="M281" s="17" t="inlineStr">
        <is>
          <t>공장 대표번호</t>
        </is>
      </c>
    </row>
    <row r="282">
      <c r="A282" s="17" t="inlineStr">
        <is>
          <t>C213</t>
        </is>
      </c>
      <c r="B282" s="17" t="inlineStr">
        <is>
          <t>명인제약</t>
        </is>
      </c>
      <c r="C282" s="17" t="inlineStr">
        <is>
          <t>명인제약(주)</t>
        </is>
      </c>
      <c r="D282" s="17" t="inlineStr">
        <is>
          <t>대표전화</t>
        </is>
      </c>
      <c r="E282" s="17" t="inlineStr">
        <is>
          <t>02-587-9060</t>
        </is>
      </c>
      <c r="F282" s="17" t="inlineStr"/>
      <c r="G282" s="17" t="inlineStr">
        <is>
          <t>2026-07-06</t>
        </is>
      </c>
      <c r="H282" s="17" t="inlineStr">
        <is>
          <t>식품의약품안전처</t>
        </is>
      </c>
      <c r="I282" s="17" t="inlineStr">
        <is>
          <t>의약품 등 업체허가현황(제조소상세)</t>
        </is>
      </c>
      <c r="J282" s="17" t="inlineStr">
        <is>
          <t>https://www.data.go.kr/data/15095682/openapi.do</t>
        </is>
      </c>
      <c r="K282" s="17" t="inlineStr">
        <is>
          <t>2026-07-06</t>
        </is>
      </c>
      <c r="L282" s="17" t="inlineStr">
        <is>
          <t>A</t>
        </is>
      </c>
      <c r="M282" s="17" t="inlineStr">
        <is>
          <t>공장 대표번호</t>
        </is>
      </c>
    </row>
    <row r="283">
      <c r="A283" s="17" t="inlineStr">
        <is>
          <t>C213</t>
        </is>
      </c>
      <c r="B283" s="17" t="inlineStr">
        <is>
          <t>명인제약</t>
        </is>
      </c>
      <c r="C283" s="17" t="inlineStr">
        <is>
          <t>명인제약(주)</t>
        </is>
      </c>
      <c r="D283" s="17" t="inlineStr">
        <is>
          <t>상장정보</t>
        </is>
      </c>
      <c r="E283" s="17" t="inlineStr">
        <is>
          <t>유가/317450</t>
        </is>
      </c>
      <c r="F283" s="17" t="inlineStr"/>
      <c r="G283" s="17" t="inlineStr">
        <is>
          <t>2026-07-06</t>
        </is>
      </c>
      <c r="H283" s="17" t="inlineStr">
        <is>
          <t>한국거래소 KIND</t>
        </is>
      </c>
      <c r="I283" s="17" t="inlineStr">
        <is>
          <t>상장법인목록</t>
        </is>
      </c>
      <c r="J283" s="17" t="inlineStr">
        <is>
          <t>https://kind.krx.co.kr</t>
        </is>
      </c>
      <c r="K283" s="17" t="inlineStr">
        <is>
          <t>2026-07-06</t>
        </is>
      </c>
      <c r="L283" s="17" t="inlineStr">
        <is>
          <t>A</t>
        </is>
      </c>
      <c r="M283" s="17" t="inlineStr"/>
    </row>
    <row r="284">
      <c r="A284" s="17" t="inlineStr">
        <is>
          <t>C213</t>
        </is>
      </c>
      <c r="B284" s="17" t="inlineStr">
        <is>
          <t>명인제약</t>
        </is>
      </c>
      <c r="C284" s="17" t="inlineStr">
        <is>
          <t>명인제약(주)</t>
        </is>
      </c>
      <c r="D284" s="17" t="inlineStr">
        <is>
          <t>홈페이지</t>
        </is>
      </c>
      <c r="E284" s="17" t="inlineStr">
        <is>
          <t>http://www.myunginph.co.kr</t>
        </is>
      </c>
      <c r="F284" s="17" t="inlineStr"/>
      <c r="G284" s="17" t="inlineStr">
        <is>
          <t>2026-07-06</t>
        </is>
      </c>
      <c r="H284" s="17" t="inlineStr">
        <is>
          <t>한국거래소 KIND</t>
        </is>
      </c>
      <c r="I284" s="17" t="inlineStr">
        <is>
          <t>상장법인목록</t>
        </is>
      </c>
      <c r="J284" s="17" t="inlineStr">
        <is>
          <t>https://kind.krx.co.kr</t>
        </is>
      </c>
      <c r="K284" s="17" t="inlineStr">
        <is>
          <t>2026-07-06</t>
        </is>
      </c>
      <c r="L284" s="17" t="inlineStr">
        <is>
          <t>A</t>
        </is>
      </c>
      <c r="M284" s="17" t="inlineStr"/>
    </row>
    <row r="285">
      <c r="A285" s="17" t="inlineStr">
        <is>
          <t>C215</t>
        </is>
      </c>
      <c r="B285" s="17" t="inlineStr">
        <is>
          <t>삼진제약</t>
        </is>
      </c>
      <c r="C285" s="17" t="inlineStr">
        <is>
          <t>삼진제약(주)</t>
        </is>
      </c>
      <c r="D285" s="17" t="inlineStr">
        <is>
          <t>대표전화</t>
        </is>
      </c>
      <c r="E285" s="17" t="inlineStr">
        <is>
          <t>031-3531-7126</t>
        </is>
      </c>
      <c r="F285" s="17" t="inlineStr"/>
      <c r="G285" s="17" t="inlineStr">
        <is>
          <t>2026-07-06</t>
        </is>
      </c>
      <c r="H285" s="17" t="inlineStr">
        <is>
          <t>식품의약품안전처</t>
        </is>
      </c>
      <c r="I285" s="17" t="inlineStr">
        <is>
          <t>의약품 등 업체허가현황(제조소상세)</t>
        </is>
      </c>
      <c r="J285" s="17" t="inlineStr">
        <is>
          <t>https://www.data.go.kr/data/15095682/openapi.do</t>
        </is>
      </c>
      <c r="K285" s="17" t="inlineStr">
        <is>
          <t>2026-07-06</t>
        </is>
      </c>
      <c r="L285" s="17" t="inlineStr">
        <is>
          <t>A</t>
        </is>
      </c>
      <c r="M285" s="17" t="inlineStr">
        <is>
          <t>공장 대표번호</t>
        </is>
      </c>
    </row>
    <row r="286">
      <c r="A286" s="17" t="inlineStr">
        <is>
          <t>C215</t>
        </is>
      </c>
      <c r="B286" s="17" t="inlineStr">
        <is>
          <t>삼진제약</t>
        </is>
      </c>
      <c r="C286" s="17" t="inlineStr">
        <is>
          <t>삼진제약(주)</t>
        </is>
      </c>
      <c r="D286" s="17" t="inlineStr">
        <is>
          <t>상장정보</t>
        </is>
      </c>
      <c r="E286" s="17" t="inlineStr">
        <is>
          <t>유가/005500</t>
        </is>
      </c>
      <c r="F286" s="17" t="inlineStr"/>
      <c r="G286" s="17" t="inlineStr">
        <is>
          <t>2026-07-06</t>
        </is>
      </c>
      <c r="H286" s="17" t="inlineStr">
        <is>
          <t>한국거래소 KIND</t>
        </is>
      </c>
      <c r="I286" s="17" t="inlineStr">
        <is>
          <t>상장법인목록</t>
        </is>
      </c>
      <c r="J286" s="17" t="inlineStr">
        <is>
          <t>https://kind.krx.co.kr</t>
        </is>
      </c>
      <c r="K286" s="17" t="inlineStr">
        <is>
          <t>2026-07-06</t>
        </is>
      </c>
      <c r="L286" s="17" t="inlineStr">
        <is>
          <t>A</t>
        </is>
      </c>
      <c r="M286" s="17" t="inlineStr"/>
    </row>
    <row r="287">
      <c r="A287" s="17" t="inlineStr">
        <is>
          <t>C215</t>
        </is>
      </c>
      <c r="B287" s="17" t="inlineStr">
        <is>
          <t>삼진제약</t>
        </is>
      </c>
      <c r="C287" s="17" t="inlineStr">
        <is>
          <t>삼진제약(주)</t>
        </is>
      </c>
      <c r="D287" s="17" t="inlineStr">
        <is>
          <t>홈페이지</t>
        </is>
      </c>
      <c r="E287" s="17" t="inlineStr">
        <is>
          <t>http://www.samjinpharm.co.kr</t>
        </is>
      </c>
      <c r="F287" s="17" t="inlineStr"/>
      <c r="G287" s="17" t="inlineStr">
        <is>
          <t>2026-07-06</t>
        </is>
      </c>
      <c r="H287" s="17" t="inlineStr">
        <is>
          <t>한국거래소 KIND</t>
        </is>
      </c>
      <c r="I287" s="17" t="inlineStr">
        <is>
          <t>상장법인목록</t>
        </is>
      </c>
      <c r="J287" s="17" t="inlineStr">
        <is>
          <t>https://kind.krx.co.kr</t>
        </is>
      </c>
      <c r="K287" s="17" t="inlineStr">
        <is>
          <t>2026-07-06</t>
        </is>
      </c>
      <c r="L287" s="17" t="inlineStr">
        <is>
          <t>A</t>
        </is>
      </c>
      <c r="M287" s="17" t="inlineStr"/>
    </row>
    <row r="288">
      <c r="A288" s="17" t="inlineStr">
        <is>
          <t>C216</t>
        </is>
      </c>
      <c r="B288" s="17" t="inlineStr">
        <is>
          <t>바이넥스</t>
        </is>
      </c>
      <c r="C288" s="17" t="inlineStr">
        <is>
          <t>(주)바이넥스</t>
        </is>
      </c>
      <c r="D288" s="17" t="inlineStr">
        <is>
          <t>대표전화</t>
        </is>
      </c>
      <c r="E288" s="17" t="inlineStr">
        <is>
          <t>032-850-3013</t>
        </is>
      </c>
      <c r="F288" s="17" t="inlineStr"/>
      <c r="G288" s="17" t="inlineStr">
        <is>
          <t>2026-07-06</t>
        </is>
      </c>
      <c r="H288" s="17" t="inlineStr">
        <is>
          <t>식품의약품안전처</t>
        </is>
      </c>
      <c r="I288" s="17" t="inlineStr">
        <is>
          <t>의약품 등 업체허가현황(제조소상세)</t>
        </is>
      </c>
      <c r="J288" s="17" t="inlineStr">
        <is>
          <t>https://www.data.go.kr/data/15095682/openapi.do</t>
        </is>
      </c>
      <c r="K288" s="17" t="inlineStr">
        <is>
          <t>2026-07-06</t>
        </is>
      </c>
      <c r="L288" s="17" t="inlineStr">
        <is>
          <t>A</t>
        </is>
      </c>
      <c r="M288" s="17" t="inlineStr">
        <is>
          <t>공장 대표번호</t>
        </is>
      </c>
    </row>
    <row r="289">
      <c r="A289" s="17" t="inlineStr">
        <is>
          <t>C216</t>
        </is>
      </c>
      <c r="B289" s="17" t="inlineStr">
        <is>
          <t>바이넥스</t>
        </is>
      </c>
      <c r="C289" s="17" t="inlineStr">
        <is>
          <t>(주)바이넥스</t>
        </is>
      </c>
      <c r="D289" s="17" t="inlineStr">
        <is>
          <t>상장정보</t>
        </is>
      </c>
      <c r="E289" s="17" t="inlineStr">
        <is>
          <t>코스닥/053030</t>
        </is>
      </c>
      <c r="F289" s="17" t="inlineStr"/>
      <c r="G289" s="17" t="inlineStr">
        <is>
          <t>2026-07-06</t>
        </is>
      </c>
      <c r="H289" s="17" t="inlineStr">
        <is>
          <t>한국거래소 KIND</t>
        </is>
      </c>
      <c r="I289" s="17" t="inlineStr">
        <is>
          <t>상장법인목록</t>
        </is>
      </c>
      <c r="J289" s="17" t="inlineStr">
        <is>
          <t>https://kind.krx.co.kr</t>
        </is>
      </c>
      <c r="K289" s="17" t="inlineStr">
        <is>
          <t>2026-07-06</t>
        </is>
      </c>
      <c r="L289" s="17" t="inlineStr">
        <is>
          <t>A</t>
        </is>
      </c>
      <c r="M289" s="17" t="inlineStr"/>
    </row>
    <row r="290">
      <c r="A290" s="17" t="inlineStr">
        <is>
          <t>C216</t>
        </is>
      </c>
      <c r="B290" s="17" t="inlineStr">
        <is>
          <t>바이넥스</t>
        </is>
      </c>
      <c r="C290" s="17" t="inlineStr">
        <is>
          <t>(주)바이넥스</t>
        </is>
      </c>
      <c r="D290" s="17" t="inlineStr">
        <is>
          <t>홈페이지</t>
        </is>
      </c>
      <c r="E290" s="17" t="inlineStr">
        <is>
          <t>http://www.bi-nex.co.kr</t>
        </is>
      </c>
      <c r="F290" s="17" t="inlineStr"/>
      <c r="G290" s="17" t="inlineStr">
        <is>
          <t>2026-07-06</t>
        </is>
      </c>
      <c r="H290" s="17" t="inlineStr">
        <is>
          <t>한국거래소 KIND</t>
        </is>
      </c>
      <c r="I290" s="17" t="inlineStr">
        <is>
          <t>상장법인목록</t>
        </is>
      </c>
      <c r="J290" s="17" t="inlineStr">
        <is>
          <t>https://kind.krx.co.kr</t>
        </is>
      </c>
      <c r="K290" s="17" t="inlineStr">
        <is>
          <t>2026-07-06</t>
        </is>
      </c>
      <c r="L290" s="17" t="inlineStr">
        <is>
          <t>A</t>
        </is>
      </c>
      <c r="M290" s="17" t="inlineStr"/>
    </row>
    <row r="291">
      <c r="A291" s="17" t="inlineStr">
        <is>
          <t>C217</t>
        </is>
      </c>
      <c r="B291" s="17" t="inlineStr">
        <is>
          <t>삼전순약공업</t>
        </is>
      </c>
      <c r="C291" s="17" t="inlineStr">
        <is>
          <t>삼전순약공업(주)</t>
        </is>
      </c>
      <c r="D291" s="17" t="inlineStr">
        <is>
          <t>대표전화</t>
        </is>
      </c>
      <c r="E291" s="17" t="inlineStr">
        <is>
          <t>031-6680-7004</t>
        </is>
      </c>
      <c r="F291" s="17" t="inlineStr"/>
      <c r="G291" s="17" t="inlineStr">
        <is>
          <t>2026-07-06</t>
        </is>
      </c>
      <c r="H291" s="17" t="inlineStr">
        <is>
          <t>식품의약품안전처</t>
        </is>
      </c>
      <c r="I291" s="17" t="inlineStr">
        <is>
          <t>의약품 등 업체허가현황(제조소상세)</t>
        </is>
      </c>
      <c r="J291" s="17" t="inlineStr">
        <is>
          <t>https://www.data.go.kr/data/15095682/openapi.do</t>
        </is>
      </c>
      <c r="K291" s="17" t="inlineStr">
        <is>
          <t>2026-07-06</t>
        </is>
      </c>
      <c r="L291" s="17" t="inlineStr">
        <is>
          <t>A</t>
        </is>
      </c>
      <c r="M291" s="17" t="inlineStr">
        <is>
          <t>공장 대표번호</t>
        </is>
      </c>
    </row>
    <row r="292">
      <c r="A292" s="17" t="inlineStr">
        <is>
          <t>C218</t>
        </is>
      </c>
      <c r="B292" s="17" t="inlineStr">
        <is>
          <t>국제산업가스</t>
        </is>
      </c>
      <c r="C292" s="17" t="inlineStr">
        <is>
          <t>국제산업가스(주)</t>
        </is>
      </c>
      <c r="D292" s="17" t="inlineStr">
        <is>
          <t>대표전화</t>
        </is>
      </c>
      <c r="E292" s="17" t="inlineStr">
        <is>
          <t>031-452-1533</t>
        </is>
      </c>
      <c r="F292" s="17" t="inlineStr"/>
      <c r="G292" s="17" t="inlineStr">
        <is>
          <t>2026-07-06</t>
        </is>
      </c>
      <c r="H292" s="17" t="inlineStr">
        <is>
          <t>식품의약품안전처</t>
        </is>
      </c>
      <c r="I292" s="17" t="inlineStr">
        <is>
          <t>의약품 등 업체허가현황(제조소상세)</t>
        </is>
      </c>
      <c r="J292" s="17" t="inlineStr">
        <is>
          <t>https://www.data.go.kr/data/15095682/openapi.do</t>
        </is>
      </c>
      <c r="K292" s="17" t="inlineStr">
        <is>
          <t>2026-07-06</t>
        </is>
      </c>
      <c r="L292" s="17" t="inlineStr">
        <is>
          <t>A</t>
        </is>
      </c>
      <c r="M292" s="17" t="inlineStr">
        <is>
          <t>공장 대표번호</t>
        </is>
      </c>
    </row>
    <row r="293">
      <c r="A293" s="17" t="inlineStr">
        <is>
          <t>C219</t>
        </is>
      </c>
      <c r="B293" s="17" t="inlineStr">
        <is>
          <t>아주산소</t>
        </is>
      </c>
      <c r="C293" s="17" t="inlineStr">
        <is>
          <t>아주산소(주)</t>
        </is>
      </c>
      <c r="D293" s="17" t="inlineStr">
        <is>
          <t>대표전화</t>
        </is>
      </c>
      <c r="E293" s="17" t="inlineStr">
        <is>
          <t>062-674-2684</t>
        </is>
      </c>
      <c r="F293" s="17" t="inlineStr"/>
      <c r="G293" s="17" t="inlineStr">
        <is>
          <t>2026-07-06</t>
        </is>
      </c>
      <c r="H293" s="17" t="inlineStr">
        <is>
          <t>식품의약품안전처</t>
        </is>
      </c>
      <c r="I293" s="17" t="inlineStr">
        <is>
          <t>의약품 등 업체허가현황(제조소상세)</t>
        </is>
      </c>
      <c r="J293" s="17" t="inlineStr">
        <is>
          <t>https://www.data.go.kr/data/15095682/openapi.do</t>
        </is>
      </c>
      <c r="K293" s="17" t="inlineStr">
        <is>
          <t>2026-07-06</t>
        </is>
      </c>
      <c r="L293" s="17" t="inlineStr">
        <is>
          <t>A</t>
        </is>
      </c>
      <c r="M293" s="17" t="inlineStr">
        <is>
          <t>공장 대표번호</t>
        </is>
      </c>
    </row>
    <row r="294">
      <c r="A294" s="17" t="inlineStr">
        <is>
          <t>C220</t>
        </is>
      </c>
      <c r="B294" s="17" t="inlineStr">
        <is>
          <t>선도화학</t>
        </is>
      </c>
      <c r="C294" s="17" t="inlineStr">
        <is>
          <t>선도화학주식회사</t>
        </is>
      </c>
      <c r="D294" s="17" t="inlineStr">
        <is>
          <t>대표전화</t>
        </is>
      </c>
      <c r="E294" s="17" t="inlineStr">
        <is>
          <t>041-663-6465</t>
        </is>
      </c>
      <c r="F294" s="17" t="inlineStr"/>
      <c r="G294" s="17" t="inlineStr">
        <is>
          <t>2026-07-06</t>
        </is>
      </c>
      <c r="H294" s="17" t="inlineStr">
        <is>
          <t>식품의약품안전처</t>
        </is>
      </c>
      <c r="I294" s="17" t="inlineStr">
        <is>
          <t>의약품 등 업체허가현황(제조소상세)</t>
        </is>
      </c>
      <c r="J294" s="17" t="inlineStr">
        <is>
          <t>https://www.data.go.kr/data/15095682/openapi.do</t>
        </is>
      </c>
      <c r="K294" s="17" t="inlineStr">
        <is>
          <t>2026-07-06</t>
        </is>
      </c>
      <c r="L294" s="17" t="inlineStr">
        <is>
          <t>A</t>
        </is>
      </c>
      <c r="M294" s="17" t="inlineStr">
        <is>
          <t>공장 대표번호</t>
        </is>
      </c>
    </row>
    <row r="295">
      <c r="A295" s="17" t="inlineStr">
        <is>
          <t>C221</t>
        </is>
      </c>
      <c r="B295" s="17" t="inlineStr">
        <is>
          <t>영진약품</t>
        </is>
      </c>
      <c r="C295" s="17" t="inlineStr">
        <is>
          <t>영진약품(주)</t>
        </is>
      </c>
      <c r="D295" s="17" t="inlineStr">
        <is>
          <t>상장정보</t>
        </is>
      </c>
      <c r="E295" s="17" t="inlineStr">
        <is>
          <t>유가/003520</t>
        </is>
      </c>
      <c r="F295" s="17" t="inlineStr"/>
      <c r="G295" s="17" t="inlineStr">
        <is>
          <t>2026-07-06</t>
        </is>
      </c>
      <c r="H295" s="17" t="inlineStr">
        <is>
          <t>한국거래소 KIND</t>
        </is>
      </c>
      <c r="I295" s="17" t="inlineStr">
        <is>
          <t>상장법인목록</t>
        </is>
      </c>
      <c r="J295" s="17" t="inlineStr">
        <is>
          <t>https://kind.krx.co.kr</t>
        </is>
      </c>
      <c r="K295" s="17" t="inlineStr">
        <is>
          <t>2026-07-06</t>
        </is>
      </c>
      <c r="L295" s="17" t="inlineStr">
        <is>
          <t>A</t>
        </is>
      </c>
      <c r="M295" s="17" t="inlineStr"/>
    </row>
    <row r="296">
      <c r="A296" s="17" t="inlineStr">
        <is>
          <t>C221</t>
        </is>
      </c>
      <c r="B296" s="17" t="inlineStr">
        <is>
          <t>영진약품</t>
        </is>
      </c>
      <c r="C296" s="17" t="inlineStr">
        <is>
          <t>영진약품(주)</t>
        </is>
      </c>
      <c r="D296" s="17" t="inlineStr">
        <is>
          <t>홈페이지</t>
        </is>
      </c>
      <c r="E296" s="17" t="inlineStr">
        <is>
          <t>http://www.yungjin.co.kr</t>
        </is>
      </c>
      <c r="F296" s="17" t="inlineStr"/>
      <c r="G296" s="17" t="inlineStr">
        <is>
          <t>2026-07-06</t>
        </is>
      </c>
      <c r="H296" s="17" t="inlineStr">
        <is>
          <t>한국거래소 KIND</t>
        </is>
      </c>
      <c r="I296" s="17" t="inlineStr">
        <is>
          <t>상장법인목록</t>
        </is>
      </c>
      <c r="J296" s="17" t="inlineStr">
        <is>
          <t>https://kind.krx.co.kr</t>
        </is>
      </c>
      <c r="K296" s="17" t="inlineStr">
        <is>
          <t>2026-07-06</t>
        </is>
      </c>
      <c r="L296" s="17" t="inlineStr">
        <is>
          <t>A</t>
        </is>
      </c>
      <c r="M296" s="17" t="inlineStr"/>
    </row>
    <row r="297">
      <c r="A297" s="17" t="inlineStr">
        <is>
          <t>C222</t>
        </is>
      </c>
      <c r="B297" s="17" t="inlineStr">
        <is>
          <t>팜젠사이언스</t>
        </is>
      </c>
      <c r="C297" s="17" t="inlineStr">
        <is>
          <t>(주)팜젠사이언스</t>
        </is>
      </c>
      <c r="D297" s="17" t="inlineStr">
        <is>
          <t>대표전화</t>
        </is>
      </c>
      <c r="E297" s="17" t="inlineStr">
        <is>
          <t>02-2194-3590</t>
        </is>
      </c>
      <c r="F297" s="17" t="inlineStr"/>
      <c r="G297" s="17" t="inlineStr">
        <is>
          <t>2026-07-06</t>
        </is>
      </c>
      <c r="H297" s="17" t="inlineStr">
        <is>
          <t>식품의약품안전처</t>
        </is>
      </c>
      <c r="I297" s="17" t="inlineStr">
        <is>
          <t>의약품 등 업체허가현황(제조소상세)</t>
        </is>
      </c>
      <c r="J297" s="17" t="inlineStr">
        <is>
          <t>https://www.data.go.kr/data/15095682/openapi.do</t>
        </is>
      </c>
      <c r="K297" s="17" t="inlineStr">
        <is>
          <t>2026-07-06</t>
        </is>
      </c>
      <c r="L297" s="17" t="inlineStr">
        <is>
          <t>A</t>
        </is>
      </c>
      <c r="M297" s="17" t="inlineStr">
        <is>
          <t>공장 대표번호</t>
        </is>
      </c>
    </row>
    <row r="298">
      <c r="A298" s="17" t="inlineStr">
        <is>
          <t>C222</t>
        </is>
      </c>
      <c r="B298" s="17" t="inlineStr">
        <is>
          <t>팜젠사이언스</t>
        </is>
      </c>
      <c r="C298" s="17" t="inlineStr">
        <is>
          <t>(주)팜젠사이언스</t>
        </is>
      </c>
      <c r="D298" s="17" t="inlineStr">
        <is>
          <t>상장정보</t>
        </is>
      </c>
      <c r="E298" s="17" t="inlineStr">
        <is>
          <t>유가/004720</t>
        </is>
      </c>
      <c r="F298" s="17" t="inlineStr"/>
      <c r="G298" s="17" t="inlineStr">
        <is>
          <t>2026-07-06</t>
        </is>
      </c>
      <c r="H298" s="17" t="inlineStr">
        <is>
          <t>한국거래소 KIND</t>
        </is>
      </c>
      <c r="I298" s="17" t="inlineStr">
        <is>
          <t>상장법인목록</t>
        </is>
      </c>
      <c r="J298" s="17" t="inlineStr">
        <is>
          <t>https://kind.krx.co.kr</t>
        </is>
      </c>
      <c r="K298" s="17" t="inlineStr">
        <is>
          <t>2026-07-06</t>
        </is>
      </c>
      <c r="L298" s="17" t="inlineStr">
        <is>
          <t>A</t>
        </is>
      </c>
      <c r="M298" s="17" t="inlineStr"/>
    </row>
    <row r="299">
      <c r="A299" s="17" t="inlineStr">
        <is>
          <t>C222</t>
        </is>
      </c>
      <c r="B299" s="17" t="inlineStr">
        <is>
          <t>팜젠사이언스</t>
        </is>
      </c>
      <c r="C299" s="17" t="inlineStr">
        <is>
          <t>(주)팜젠사이언스</t>
        </is>
      </c>
      <c r="D299" s="17" t="inlineStr">
        <is>
          <t>홈페이지</t>
        </is>
      </c>
      <c r="E299" s="17" t="inlineStr">
        <is>
          <t>http://www.pharmgenscience.com</t>
        </is>
      </c>
      <c r="F299" s="17" t="inlineStr"/>
      <c r="G299" s="17" t="inlineStr">
        <is>
          <t>2026-07-06</t>
        </is>
      </c>
      <c r="H299" s="17" t="inlineStr">
        <is>
          <t>한국거래소 KIND</t>
        </is>
      </c>
      <c r="I299" s="17" t="inlineStr">
        <is>
          <t>상장법인목록</t>
        </is>
      </c>
      <c r="J299" s="17" t="inlineStr">
        <is>
          <t>https://kind.krx.co.kr</t>
        </is>
      </c>
      <c r="K299" s="17" t="inlineStr">
        <is>
          <t>2026-07-06</t>
        </is>
      </c>
      <c r="L299" s="17" t="inlineStr">
        <is>
          <t>A</t>
        </is>
      </c>
      <c r="M299" s="17" t="inlineStr"/>
    </row>
    <row r="300">
      <c r="A300" s="17" t="inlineStr">
        <is>
          <t>C223</t>
        </is>
      </c>
      <c r="B300" s="17" t="inlineStr">
        <is>
          <t>알보젠코리아</t>
        </is>
      </c>
      <c r="C300" s="17" t="inlineStr">
        <is>
          <t>알보젠코리아(주)</t>
        </is>
      </c>
      <c r="D300" s="17" t="inlineStr">
        <is>
          <t>대표전화</t>
        </is>
      </c>
      <c r="E300" s="17" t="inlineStr">
        <is>
          <t>041-840-5300</t>
        </is>
      </c>
      <c r="F300" s="17" t="inlineStr"/>
      <c r="G300" s="17" t="inlineStr">
        <is>
          <t>2026-07-06</t>
        </is>
      </c>
      <c r="H300" s="17" t="inlineStr">
        <is>
          <t>식품의약품안전처</t>
        </is>
      </c>
      <c r="I300" s="17" t="inlineStr">
        <is>
          <t>의약품 등 업체허가현황(제조소상세)</t>
        </is>
      </c>
      <c r="J300" s="17" t="inlineStr">
        <is>
          <t>https://www.data.go.kr/data/15095682/openapi.do</t>
        </is>
      </c>
      <c r="K300" s="17" t="inlineStr">
        <is>
          <t>2026-07-06</t>
        </is>
      </c>
      <c r="L300" s="17" t="inlineStr">
        <is>
          <t>A</t>
        </is>
      </c>
      <c r="M300" s="17" t="inlineStr">
        <is>
          <t>공장 대표번호</t>
        </is>
      </c>
    </row>
    <row r="301">
      <c r="A301" s="17" t="inlineStr">
        <is>
          <t>C224</t>
        </is>
      </c>
      <c r="B301" s="17" t="inlineStr">
        <is>
          <t>신화제약</t>
        </is>
      </c>
      <c r="C301" s="17" t="inlineStr">
        <is>
          <t>신화제약(주)</t>
        </is>
      </c>
      <c r="D301" s="17" t="inlineStr">
        <is>
          <t>대표전화</t>
        </is>
      </c>
      <c r="E301" s="17" t="inlineStr">
        <is>
          <t>053-581-7668</t>
        </is>
      </c>
      <c r="F301" s="17" t="inlineStr"/>
      <c r="G301" s="17" t="inlineStr">
        <is>
          <t>2026-07-06</t>
        </is>
      </c>
      <c r="H301" s="17" t="inlineStr">
        <is>
          <t>식품의약품안전처</t>
        </is>
      </c>
      <c r="I301" s="17" t="inlineStr">
        <is>
          <t>의약품 등 업체허가현황(제조소상세)</t>
        </is>
      </c>
      <c r="J301" s="17" t="inlineStr">
        <is>
          <t>https://www.data.go.kr/data/15095682/openapi.do</t>
        </is>
      </c>
      <c r="K301" s="17" t="inlineStr">
        <is>
          <t>2026-07-06</t>
        </is>
      </c>
      <c r="L301" s="17" t="inlineStr">
        <is>
          <t>A</t>
        </is>
      </c>
      <c r="M301" s="17" t="inlineStr">
        <is>
          <t>공장 대표번호</t>
        </is>
      </c>
    </row>
    <row r="302">
      <c r="A302" s="17" t="inlineStr">
        <is>
          <t>C225</t>
        </is>
      </c>
      <c r="B302" s="17" t="inlineStr">
        <is>
          <t>비씨월드제약</t>
        </is>
      </c>
      <c r="C302" s="17" t="inlineStr">
        <is>
          <t>(주)비씨월드제약</t>
        </is>
      </c>
      <c r="D302" s="17" t="inlineStr">
        <is>
          <t>대표전화</t>
        </is>
      </c>
      <c r="E302" s="17" t="inlineStr">
        <is>
          <t>031-881-6146</t>
        </is>
      </c>
      <c r="F302" s="17" t="inlineStr"/>
      <c r="G302" s="17" t="inlineStr">
        <is>
          <t>2026-07-06</t>
        </is>
      </c>
      <c r="H302" s="17" t="inlineStr">
        <is>
          <t>식품의약품안전처</t>
        </is>
      </c>
      <c r="I302" s="17" t="inlineStr">
        <is>
          <t>의약품 등 업체허가현황(제조소상세)</t>
        </is>
      </c>
      <c r="J302" s="17" t="inlineStr">
        <is>
          <t>https://www.data.go.kr/data/15095682/openapi.do</t>
        </is>
      </c>
      <c r="K302" s="17" t="inlineStr">
        <is>
          <t>2026-07-06</t>
        </is>
      </c>
      <c r="L302" s="17" t="inlineStr">
        <is>
          <t>A</t>
        </is>
      </c>
      <c r="M302" s="17" t="inlineStr">
        <is>
          <t>공장 대표번호</t>
        </is>
      </c>
    </row>
    <row r="303">
      <c r="A303" s="17" t="inlineStr">
        <is>
          <t>C225</t>
        </is>
      </c>
      <c r="B303" s="17" t="inlineStr">
        <is>
          <t>비씨월드제약</t>
        </is>
      </c>
      <c r="C303" s="17" t="inlineStr">
        <is>
          <t>(주)비씨월드제약</t>
        </is>
      </c>
      <c r="D303" s="17" t="inlineStr">
        <is>
          <t>상장정보</t>
        </is>
      </c>
      <c r="E303" s="17" t="inlineStr">
        <is>
          <t>코스닥/200780</t>
        </is>
      </c>
      <c r="F303" s="17" t="inlineStr"/>
      <c r="G303" s="17" t="inlineStr">
        <is>
          <t>2026-07-06</t>
        </is>
      </c>
      <c r="H303" s="17" t="inlineStr">
        <is>
          <t>한국거래소 KIND</t>
        </is>
      </c>
      <c r="I303" s="17" t="inlineStr">
        <is>
          <t>상장법인목록</t>
        </is>
      </c>
      <c r="J303" s="17" t="inlineStr">
        <is>
          <t>https://kind.krx.co.kr</t>
        </is>
      </c>
      <c r="K303" s="17" t="inlineStr">
        <is>
          <t>2026-07-06</t>
        </is>
      </c>
      <c r="L303" s="17" t="inlineStr">
        <is>
          <t>A</t>
        </is>
      </c>
      <c r="M303" s="17" t="inlineStr"/>
    </row>
    <row r="304">
      <c r="A304" s="17" t="inlineStr">
        <is>
          <t>C225</t>
        </is>
      </c>
      <c r="B304" s="17" t="inlineStr">
        <is>
          <t>비씨월드제약</t>
        </is>
      </c>
      <c r="C304" s="17" t="inlineStr">
        <is>
          <t>(주)비씨월드제약</t>
        </is>
      </c>
      <c r="D304" s="17" t="inlineStr">
        <is>
          <t>홈페이지</t>
        </is>
      </c>
      <c r="E304" s="17" t="inlineStr">
        <is>
          <t>http://www.bcwp.co.kr</t>
        </is>
      </c>
      <c r="F304" s="17" t="inlineStr"/>
      <c r="G304" s="17" t="inlineStr">
        <is>
          <t>2026-07-06</t>
        </is>
      </c>
      <c r="H304" s="17" t="inlineStr">
        <is>
          <t>한국거래소 KIND</t>
        </is>
      </c>
      <c r="I304" s="17" t="inlineStr">
        <is>
          <t>상장법인목록</t>
        </is>
      </c>
      <c r="J304" s="17" t="inlineStr">
        <is>
          <t>https://kind.krx.co.kr</t>
        </is>
      </c>
      <c r="K304" s="17" t="inlineStr">
        <is>
          <t>2026-07-06</t>
        </is>
      </c>
      <c r="L304" s="17" t="inlineStr">
        <is>
          <t>A</t>
        </is>
      </c>
      <c r="M304" s="17" t="inlineStr"/>
    </row>
    <row r="305">
      <c r="A305" s="17" t="inlineStr">
        <is>
          <t>C226</t>
        </is>
      </c>
      <c r="B305" s="17" t="inlineStr">
        <is>
          <t>아이티켐</t>
        </is>
      </c>
      <c r="C305" s="17" t="inlineStr">
        <is>
          <t>(주)아이티켐</t>
        </is>
      </c>
      <c r="D305" s="17" t="inlineStr">
        <is>
          <t>대표전화</t>
        </is>
      </c>
      <c r="E305" s="17" t="inlineStr">
        <is>
          <t>043217702807075461932</t>
        </is>
      </c>
      <c r="F305" s="17" t="inlineStr"/>
      <c r="G305" s="17" t="inlineStr">
        <is>
          <t>2026-07-06</t>
        </is>
      </c>
      <c r="H305" s="17" t="inlineStr">
        <is>
          <t>식품의약품안전처</t>
        </is>
      </c>
      <c r="I305" s="17" t="inlineStr">
        <is>
          <t>의약품 등 업체허가현황(제조소상세)</t>
        </is>
      </c>
      <c r="J305" s="17" t="inlineStr">
        <is>
          <t>https://www.data.go.kr/data/15095682/openapi.do</t>
        </is>
      </c>
      <c r="K305" s="17" t="inlineStr">
        <is>
          <t>2026-07-06</t>
        </is>
      </c>
      <c r="L305" s="17" t="inlineStr">
        <is>
          <t>A</t>
        </is>
      </c>
      <c r="M305" s="17" t="inlineStr">
        <is>
          <t>공장 대표번호</t>
        </is>
      </c>
    </row>
    <row r="306">
      <c r="A306" s="17" t="inlineStr">
        <is>
          <t>C226</t>
        </is>
      </c>
      <c r="B306" s="17" t="inlineStr">
        <is>
          <t>아이티켐</t>
        </is>
      </c>
      <c r="C306" s="17" t="inlineStr">
        <is>
          <t>(주)아이티켐</t>
        </is>
      </c>
      <c r="D306" s="17" t="inlineStr">
        <is>
          <t>상장정보</t>
        </is>
      </c>
      <c r="E306" s="17" t="inlineStr">
        <is>
          <t>코스닥/309710</t>
        </is>
      </c>
      <c r="F306" s="17" t="inlineStr"/>
      <c r="G306" s="17" t="inlineStr">
        <is>
          <t>2026-07-06</t>
        </is>
      </c>
      <c r="H306" s="17" t="inlineStr">
        <is>
          <t>한국거래소 KIND</t>
        </is>
      </c>
      <c r="I306" s="17" t="inlineStr">
        <is>
          <t>상장법인목록</t>
        </is>
      </c>
      <c r="J306" s="17" t="inlineStr">
        <is>
          <t>https://kind.krx.co.kr</t>
        </is>
      </c>
      <c r="K306" s="17" t="inlineStr">
        <is>
          <t>2026-07-06</t>
        </is>
      </c>
      <c r="L306" s="17" t="inlineStr">
        <is>
          <t>A</t>
        </is>
      </c>
      <c r="M306" s="17" t="inlineStr"/>
    </row>
    <row r="307">
      <c r="A307" s="17" t="inlineStr">
        <is>
          <t>C226</t>
        </is>
      </c>
      <c r="B307" s="17" t="inlineStr">
        <is>
          <t>아이티켐</t>
        </is>
      </c>
      <c r="C307" s="17" t="inlineStr">
        <is>
          <t>(주)아이티켐</t>
        </is>
      </c>
      <c r="D307" s="17" t="inlineStr">
        <is>
          <t>홈페이지</t>
        </is>
      </c>
      <c r="E307" s="17" t="inlineStr">
        <is>
          <t>http://itchem.co.kr/home/main.php</t>
        </is>
      </c>
      <c r="F307" s="17" t="inlineStr"/>
      <c r="G307" s="17" t="inlineStr">
        <is>
          <t>2026-07-06</t>
        </is>
      </c>
      <c r="H307" s="17" t="inlineStr">
        <is>
          <t>한국거래소 KIND</t>
        </is>
      </c>
      <c r="I307" s="17" t="inlineStr">
        <is>
          <t>상장법인목록</t>
        </is>
      </c>
      <c r="J307" s="17" t="inlineStr">
        <is>
          <t>https://kind.krx.co.kr</t>
        </is>
      </c>
      <c r="K307" s="17" t="inlineStr">
        <is>
          <t>2026-07-06</t>
        </is>
      </c>
      <c r="L307" s="17" t="inlineStr">
        <is>
          <t>A</t>
        </is>
      </c>
      <c r="M307" s="17" t="inlineStr"/>
    </row>
    <row r="308">
      <c r="A308" s="17" t="inlineStr">
        <is>
          <t>C228</t>
        </is>
      </c>
      <c r="B308" s="17" t="inlineStr">
        <is>
          <t>신일가스-영암</t>
        </is>
      </c>
      <c r="C308" s="17" t="inlineStr">
        <is>
          <t>신일가스(주)-영암</t>
        </is>
      </c>
      <c r="D308" s="17" t="inlineStr">
        <is>
          <t>대표전화</t>
        </is>
      </c>
      <c r="E308" s="17" t="inlineStr">
        <is>
          <t>061-462-8981</t>
        </is>
      </c>
      <c r="F308" s="17" t="inlineStr"/>
      <c r="G308" s="17" t="inlineStr">
        <is>
          <t>2026-07-06</t>
        </is>
      </c>
      <c r="H308" s="17" t="inlineStr">
        <is>
          <t>식품의약품안전처</t>
        </is>
      </c>
      <c r="I308" s="17" t="inlineStr">
        <is>
          <t>의약품 등 업체허가현황(제조소상세)</t>
        </is>
      </c>
      <c r="J308" s="17" t="inlineStr">
        <is>
          <t>https://www.data.go.kr/data/15095682/openapi.do</t>
        </is>
      </c>
      <c r="K308" s="17" t="inlineStr">
        <is>
          <t>2026-07-06</t>
        </is>
      </c>
      <c r="L308" s="17" t="inlineStr">
        <is>
          <t>A</t>
        </is>
      </c>
      <c r="M308" s="17" t="inlineStr">
        <is>
          <t>공장 대표번호</t>
        </is>
      </c>
    </row>
    <row r="309">
      <c r="A309" s="17" t="inlineStr">
        <is>
          <t>C229</t>
        </is>
      </c>
      <c r="B309" s="17" t="inlineStr">
        <is>
          <t>삼양산업</t>
        </is>
      </c>
      <c r="C309" s="17" t="inlineStr">
        <is>
          <t>삼양산업(주)</t>
        </is>
      </c>
      <c r="D309" s="17" t="inlineStr">
        <is>
          <t>대표전화</t>
        </is>
      </c>
      <c r="E309" s="17" t="inlineStr">
        <is>
          <t>054-262-0033</t>
        </is>
      </c>
      <c r="F309" s="17" t="inlineStr"/>
      <c r="G309" s="17" t="inlineStr">
        <is>
          <t>2026-07-06</t>
        </is>
      </c>
      <c r="H309" s="17" t="inlineStr">
        <is>
          <t>식품의약품안전처</t>
        </is>
      </c>
      <c r="I309" s="17" t="inlineStr">
        <is>
          <t>의약품 등 업체허가현황(제조소상세)</t>
        </is>
      </c>
      <c r="J309" s="17" t="inlineStr">
        <is>
          <t>https://www.data.go.kr/data/15095682/openapi.do</t>
        </is>
      </c>
      <c r="K309" s="17" t="inlineStr">
        <is>
          <t>2026-07-06</t>
        </is>
      </c>
      <c r="L309" s="17" t="inlineStr">
        <is>
          <t>A</t>
        </is>
      </c>
      <c r="M309" s="17" t="inlineStr">
        <is>
          <t>공장 대표번호</t>
        </is>
      </c>
    </row>
    <row r="310">
      <c r="A310" s="17" t="inlineStr">
        <is>
          <t>C230</t>
        </is>
      </c>
      <c r="B310" s="17" t="inlineStr">
        <is>
          <t>경남제약</t>
        </is>
      </c>
      <c r="C310" s="17" t="inlineStr">
        <is>
          <t>경남제약(주)</t>
        </is>
      </c>
      <c r="D310" s="17" t="inlineStr">
        <is>
          <t>대표전화</t>
        </is>
      </c>
      <c r="E310" s="17" t="inlineStr">
        <is>
          <t>055-5728-7002</t>
        </is>
      </c>
      <c r="F310" s="17" t="inlineStr"/>
      <c r="G310" s="17" t="inlineStr">
        <is>
          <t>2026-07-06</t>
        </is>
      </c>
      <c r="H310" s="17" t="inlineStr">
        <is>
          <t>식품의약품안전처</t>
        </is>
      </c>
      <c r="I310" s="17" t="inlineStr">
        <is>
          <t>의약품 등 업체허가현황(제조소상세)</t>
        </is>
      </c>
      <c r="J310" s="17" t="inlineStr">
        <is>
          <t>https://www.data.go.kr/data/15095682/openapi.do</t>
        </is>
      </c>
      <c r="K310" s="17" t="inlineStr">
        <is>
          <t>2026-07-06</t>
        </is>
      </c>
      <c r="L310" s="17" t="inlineStr">
        <is>
          <t>A</t>
        </is>
      </c>
      <c r="M310" s="17" t="inlineStr">
        <is>
          <t>공장 대표번호</t>
        </is>
      </c>
    </row>
    <row r="311">
      <c r="A311" s="17" t="inlineStr">
        <is>
          <t>C230</t>
        </is>
      </c>
      <c r="B311" s="17" t="inlineStr">
        <is>
          <t>경남제약</t>
        </is>
      </c>
      <c r="C311" s="17" t="inlineStr">
        <is>
          <t>경남제약(주)</t>
        </is>
      </c>
      <c r="D311" s="17" t="inlineStr">
        <is>
          <t>상장정보</t>
        </is>
      </c>
      <c r="E311" s="17" t="inlineStr">
        <is>
          <t>코스닥/053950</t>
        </is>
      </c>
      <c r="F311" s="17" t="inlineStr"/>
      <c r="G311" s="17" t="inlineStr">
        <is>
          <t>2026-07-06</t>
        </is>
      </c>
      <c r="H311" s="17" t="inlineStr">
        <is>
          <t>한국거래소 KIND</t>
        </is>
      </c>
      <c r="I311" s="17" t="inlineStr">
        <is>
          <t>상장법인목록</t>
        </is>
      </c>
      <c r="J311" s="17" t="inlineStr">
        <is>
          <t>https://kind.krx.co.kr</t>
        </is>
      </c>
      <c r="K311" s="17" t="inlineStr">
        <is>
          <t>2026-07-06</t>
        </is>
      </c>
      <c r="L311" s="17" t="inlineStr">
        <is>
          <t>A</t>
        </is>
      </c>
      <c r="M311" s="17" t="inlineStr"/>
    </row>
    <row r="312">
      <c r="A312" s="17" t="inlineStr">
        <is>
          <t>C230</t>
        </is>
      </c>
      <c r="B312" s="17" t="inlineStr">
        <is>
          <t>경남제약</t>
        </is>
      </c>
      <c r="C312" s="17" t="inlineStr">
        <is>
          <t>경남제약(주)</t>
        </is>
      </c>
      <c r="D312" s="17" t="inlineStr">
        <is>
          <t>홈페이지</t>
        </is>
      </c>
      <c r="E312" s="17" t="inlineStr">
        <is>
          <t>http://www.kyungnampharm.com</t>
        </is>
      </c>
      <c r="F312" s="17" t="inlineStr"/>
      <c r="G312" s="17" t="inlineStr">
        <is>
          <t>2026-07-06</t>
        </is>
      </c>
      <c r="H312" s="17" t="inlineStr">
        <is>
          <t>한국거래소 KIND</t>
        </is>
      </c>
      <c r="I312" s="17" t="inlineStr">
        <is>
          <t>상장법인목록</t>
        </is>
      </c>
      <c r="J312" s="17" t="inlineStr">
        <is>
          <t>https://kind.krx.co.kr</t>
        </is>
      </c>
      <c r="K312" s="17" t="inlineStr">
        <is>
          <t>2026-07-06</t>
        </is>
      </c>
      <c r="L312" s="17" t="inlineStr">
        <is>
          <t>A</t>
        </is>
      </c>
      <c r="M312" s="17" t="inlineStr"/>
    </row>
    <row r="313">
      <c r="A313" s="17" t="inlineStr">
        <is>
          <t>C231</t>
        </is>
      </c>
      <c r="B313" s="17" t="inlineStr">
        <is>
          <t>삼일제약</t>
        </is>
      </c>
      <c r="C313" s="17" t="inlineStr">
        <is>
          <t>삼일제약(주)</t>
        </is>
      </c>
      <c r="D313" s="17" t="inlineStr">
        <is>
          <t>대표전화</t>
        </is>
      </c>
      <c r="E313" s="17" t="inlineStr">
        <is>
          <t>031-492-4066</t>
        </is>
      </c>
      <c r="F313" s="17" t="inlineStr"/>
      <c r="G313" s="17" t="inlineStr">
        <is>
          <t>2026-07-06</t>
        </is>
      </c>
      <c r="H313" s="17" t="inlineStr">
        <is>
          <t>식품의약품안전처</t>
        </is>
      </c>
      <c r="I313" s="17" t="inlineStr">
        <is>
          <t>의약품 등 업체허가현황(제조소상세)</t>
        </is>
      </c>
      <c r="J313" s="17" t="inlineStr">
        <is>
          <t>https://www.data.go.kr/data/15095682/openapi.do</t>
        </is>
      </c>
      <c r="K313" s="17" t="inlineStr">
        <is>
          <t>2026-07-06</t>
        </is>
      </c>
      <c r="L313" s="17" t="inlineStr">
        <is>
          <t>A</t>
        </is>
      </c>
      <c r="M313" s="17" t="inlineStr">
        <is>
          <t>공장 대표번호</t>
        </is>
      </c>
    </row>
    <row r="314">
      <c r="A314" s="17" t="inlineStr">
        <is>
          <t>C231</t>
        </is>
      </c>
      <c r="B314" s="17" t="inlineStr">
        <is>
          <t>삼일제약</t>
        </is>
      </c>
      <c r="C314" s="17" t="inlineStr">
        <is>
          <t>삼일제약(주)</t>
        </is>
      </c>
      <c r="D314" s="17" t="inlineStr">
        <is>
          <t>상장정보</t>
        </is>
      </c>
      <c r="E314" s="17" t="inlineStr">
        <is>
          <t>유가/000520</t>
        </is>
      </c>
      <c r="F314" s="17" t="inlineStr"/>
      <c r="G314" s="17" t="inlineStr">
        <is>
          <t>2026-07-06</t>
        </is>
      </c>
      <c r="H314" s="17" t="inlineStr">
        <is>
          <t>한국거래소 KIND</t>
        </is>
      </c>
      <c r="I314" s="17" t="inlineStr">
        <is>
          <t>상장법인목록</t>
        </is>
      </c>
      <c r="J314" s="17" t="inlineStr">
        <is>
          <t>https://kind.krx.co.kr</t>
        </is>
      </c>
      <c r="K314" s="17" t="inlineStr">
        <is>
          <t>2026-07-06</t>
        </is>
      </c>
      <c r="L314" s="17" t="inlineStr">
        <is>
          <t>A</t>
        </is>
      </c>
      <c r="M314" s="17" t="inlineStr"/>
    </row>
    <row r="315">
      <c r="A315" s="17" t="inlineStr">
        <is>
          <t>C231</t>
        </is>
      </c>
      <c r="B315" s="17" t="inlineStr">
        <is>
          <t>삼일제약</t>
        </is>
      </c>
      <c r="C315" s="17" t="inlineStr">
        <is>
          <t>삼일제약(주)</t>
        </is>
      </c>
      <c r="D315" s="17" t="inlineStr">
        <is>
          <t>홈페이지</t>
        </is>
      </c>
      <c r="E315" s="17" t="inlineStr">
        <is>
          <t>http://www.samil-pharm.com</t>
        </is>
      </c>
      <c r="F315" s="17" t="inlineStr"/>
      <c r="G315" s="17" t="inlineStr">
        <is>
          <t>2026-07-06</t>
        </is>
      </c>
      <c r="H315" s="17" t="inlineStr">
        <is>
          <t>한국거래소 KIND</t>
        </is>
      </c>
      <c r="I315" s="17" t="inlineStr">
        <is>
          <t>상장법인목록</t>
        </is>
      </c>
      <c r="J315" s="17" t="inlineStr">
        <is>
          <t>https://kind.krx.co.kr</t>
        </is>
      </c>
      <c r="K315" s="17" t="inlineStr">
        <is>
          <t>2026-07-06</t>
        </is>
      </c>
      <c r="L315" s="17" t="inlineStr">
        <is>
          <t>A</t>
        </is>
      </c>
      <c r="M315" s="17" t="inlineStr"/>
    </row>
    <row r="316">
      <c r="A316" s="17" t="inlineStr">
        <is>
          <t>C232</t>
        </is>
      </c>
      <c r="B316" s="17" t="inlineStr">
        <is>
          <t>대창가스공업사</t>
        </is>
      </c>
      <c r="C316" s="17" t="inlineStr">
        <is>
          <t>대창가스공업사</t>
        </is>
      </c>
      <c r="D316" s="17" t="inlineStr">
        <is>
          <t>대표전화</t>
        </is>
      </c>
      <c r="E316" s="17" t="inlineStr">
        <is>
          <t>062-674-3331</t>
        </is>
      </c>
      <c r="F316" s="17" t="inlineStr"/>
      <c r="G316" s="17" t="inlineStr">
        <is>
          <t>2026-07-06</t>
        </is>
      </c>
      <c r="H316" s="17" t="inlineStr">
        <is>
          <t>식품의약품안전처</t>
        </is>
      </c>
      <c r="I316" s="17" t="inlineStr">
        <is>
          <t>의약품 등 업체허가현황(제조소상세)</t>
        </is>
      </c>
      <c r="J316" s="17" t="inlineStr">
        <is>
          <t>https://www.data.go.kr/data/15095682/openapi.do</t>
        </is>
      </c>
      <c r="K316" s="17" t="inlineStr">
        <is>
          <t>2026-07-06</t>
        </is>
      </c>
      <c r="L316" s="17" t="inlineStr">
        <is>
          <t>A</t>
        </is>
      </c>
      <c r="M316" s="17" t="inlineStr">
        <is>
          <t>공장 대표번호</t>
        </is>
      </c>
    </row>
    <row r="317">
      <c r="A317" s="17" t="inlineStr">
        <is>
          <t>C233</t>
        </is>
      </c>
      <c r="B317" s="17" t="inlineStr">
        <is>
          <t>한성산업</t>
        </is>
      </c>
      <c r="C317" s="17" t="inlineStr">
        <is>
          <t>한성산업(주)</t>
        </is>
      </c>
      <c r="D317" s="17" t="inlineStr">
        <is>
          <t>대표전화</t>
        </is>
      </c>
      <c r="E317" s="17" t="inlineStr">
        <is>
          <t>054-776-0001</t>
        </is>
      </c>
      <c r="F317" s="17" t="inlineStr"/>
      <c r="G317" s="17" t="inlineStr">
        <is>
          <t>2026-07-06</t>
        </is>
      </c>
      <c r="H317" s="17" t="inlineStr">
        <is>
          <t>식품의약품안전처</t>
        </is>
      </c>
      <c r="I317" s="17" t="inlineStr">
        <is>
          <t>의약품 등 업체허가현황(제조소상세)</t>
        </is>
      </c>
      <c r="J317" s="17" t="inlineStr">
        <is>
          <t>https://www.data.go.kr/data/15095682/openapi.do</t>
        </is>
      </c>
      <c r="K317" s="17" t="inlineStr">
        <is>
          <t>2026-07-06</t>
        </is>
      </c>
      <c r="L317" s="17" t="inlineStr">
        <is>
          <t>A</t>
        </is>
      </c>
      <c r="M317" s="17" t="inlineStr">
        <is>
          <t>공장 대표번호</t>
        </is>
      </c>
    </row>
    <row r="318">
      <c r="A318" s="17" t="inlineStr">
        <is>
          <t>C235</t>
        </is>
      </c>
      <c r="B318" s="17" t="inlineStr">
        <is>
          <t>삼익제약</t>
        </is>
      </c>
      <c r="C318" s="17" t="inlineStr">
        <is>
          <t>삼익제약(주)</t>
        </is>
      </c>
      <c r="D318" s="17" t="inlineStr">
        <is>
          <t>대표전화</t>
        </is>
      </c>
      <c r="E318" s="17" t="inlineStr">
        <is>
          <t>032-519-6061</t>
        </is>
      </c>
      <c r="F318" s="17" t="inlineStr"/>
      <c r="G318" s="17" t="inlineStr">
        <is>
          <t>2026-07-06</t>
        </is>
      </c>
      <c r="H318" s="17" t="inlineStr">
        <is>
          <t>식품의약품안전처</t>
        </is>
      </c>
      <c r="I318" s="17" t="inlineStr">
        <is>
          <t>의약품 등 업체허가현황(제조소상세)</t>
        </is>
      </c>
      <c r="J318" s="17" t="inlineStr">
        <is>
          <t>https://www.data.go.kr/data/15095682/openapi.do</t>
        </is>
      </c>
      <c r="K318" s="17" t="inlineStr">
        <is>
          <t>2026-07-06</t>
        </is>
      </c>
      <c r="L318" s="17" t="inlineStr">
        <is>
          <t>A</t>
        </is>
      </c>
      <c r="M318" s="17" t="inlineStr">
        <is>
          <t>공장 대표번호</t>
        </is>
      </c>
    </row>
    <row r="319">
      <c r="A319" s="17" t="inlineStr">
        <is>
          <t>C235</t>
        </is>
      </c>
      <c r="B319" s="17" t="inlineStr">
        <is>
          <t>삼익제약</t>
        </is>
      </c>
      <c r="C319" s="17" t="inlineStr">
        <is>
          <t>삼익제약(주)</t>
        </is>
      </c>
      <c r="D319" s="17" t="inlineStr">
        <is>
          <t>상장정보</t>
        </is>
      </c>
      <c r="E319" s="17" t="inlineStr">
        <is>
          <t>코스닥/014950</t>
        </is>
      </c>
      <c r="F319" s="17" t="inlineStr"/>
      <c r="G319" s="17" t="inlineStr">
        <is>
          <t>2026-07-06</t>
        </is>
      </c>
      <c r="H319" s="17" t="inlineStr">
        <is>
          <t>한국거래소 KIND</t>
        </is>
      </c>
      <c r="I319" s="17" t="inlineStr">
        <is>
          <t>상장법인목록</t>
        </is>
      </c>
      <c r="J319" s="17" t="inlineStr">
        <is>
          <t>https://kind.krx.co.kr</t>
        </is>
      </c>
      <c r="K319" s="17" t="inlineStr">
        <is>
          <t>2026-07-06</t>
        </is>
      </c>
      <c r="L319" s="17" t="inlineStr">
        <is>
          <t>A</t>
        </is>
      </c>
      <c r="M319" s="17" t="inlineStr"/>
    </row>
    <row r="320">
      <c r="A320" s="17" t="inlineStr">
        <is>
          <t>C235</t>
        </is>
      </c>
      <c r="B320" s="17" t="inlineStr">
        <is>
          <t>삼익제약</t>
        </is>
      </c>
      <c r="C320" s="17" t="inlineStr">
        <is>
          <t>삼익제약(주)</t>
        </is>
      </c>
      <c r="D320" s="17" t="inlineStr">
        <is>
          <t>홈페이지</t>
        </is>
      </c>
      <c r="E320" s="17" t="inlineStr">
        <is>
          <t>http://www.samik.co.kr</t>
        </is>
      </c>
      <c r="F320" s="17" t="inlineStr"/>
      <c r="G320" s="17" t="inlineStr">
        <is>
          <t>2026-07-06</t>
        </is>
      </c>
      <c r="H320" s="17" t="inlineStr">
        <is>
          <t>한국거래소 KIND</t>
        </is>
      </c>
      <c r="I320" s="17" t="inlineStr">
        <is>
          <t>상장법인목록</t>
        </is>
      </c>
      <c r="J320" s="17" t="inlineStr">
        <is>
          <t>https://kind.krx.co.kr</t>
        </is>
      </c>
      <c r="K320" s="17" t="inlineStr">
        <is>
          <t>2026-07-06</t>
        </is>
      </c>
      <c r="L320" s="17" t="inlineStr">
        <is>
          <t>A</t>
        </is>
      </c>
      <c r="M320" s="17" t="inlineStr"/>
    </row>
    <row r="321">
      <c r="A321" s="17" t="inlineStr">
        <is>
          <t>C236</t>
        </is>
      </c>
      <c r="B321" s="17" t="inlineStr">
        <is>
          <t>삼아제약</t>
        </is>
      </c>
      <c r="C321" s="17" t="inlineStr">
        <is>
          <t>삼아제약(주)</t>
        </is>
      </c>
      <c r="D321" s="17" t="inlineStr">
        <is>
          <t>대표전화</t>
        </is>
      </c>
      <c r="E321" s="17" t="inlineStr">
        <is>
          <t>2056-7200</t>
        </is>
      </c>
      <c r="F321" s="17" t="inlineStr"/>
      <c r="G321" s="17" t="inlineStr">
        <is>
          <t>2026-07-06</t>
        </is>
      </c>
      <c r="H321" s="17" t="inlineStr">
        <is>
          <t>식품의약품안전처</t>
        </is>
      </c>
      <c r="I321" s="17" t="inlineStr">
        <is>
          <t>의약품 등 업체허가현황(제조소상세)</t>
        </is>
      </c>
      <c r="J321" s="17" t="inlineStr">
        <is>
          <t>https://www.data.go.kr/data/15095682/openapi.do</t>
        </is>
      </c>
      <c r="K321" s="17" t="inlineStr">
        <is>
          <t>2026-07-06</t>
        </is>
      </c>
      <c r="L321" s="17" t="inlineStr">
        <is>
          <t>A</t>
        </is>
      </c>
      <c r="M321" s="17" t="inlineStr">
        <is>
          <t>공장 대표번호</t>
        </is>
      </c>
    </row>
    <row r="322">
      <c r="A322" s="17" t="inlineStr">
        <is>
          <t>C236</t>
        </is>
      </c>
      <c r="B322" s="17" t="inlineStr">
        <is>
          <t>삼아제약</t>
        </is>
      </c>
      <c r="C322" s="17" t="inlineStr">
        <is>
          <t>삼아제약(주)</t>
        </is>
      </c>
      <c r="D322" s="17" t="inlineStr">
        <is>
          <t>상장정보</t>
        </is>
      </c>
      <c r="E322" s="17" t="inlineStr">
        <is>
          <t>코스닥/009300</t>
        </is>
      </c>
      <c r="F322" s="17" t="inlineStr"/>
      <c r="G322" s="17" t="inlineStr">
        <is>
          <t>2026-07-06</t>
        </is>
      </c>
      <c r="H322" s="17" t="inlineStr">
        <is>
          <t>한국거래소 KIND</t>
        </is>
      </c>
      <c r="I322" s="17" t="inlineStr">
        <is>
          <t>상장법인목록</t>
        </is>
      </c>
      <c r="J322" s="17" t="inlineStr">
        <is>
          <t>https://kind.krx.co.kr</t>
        </is>
      </c>
      <c r="K322" s="17" t="inlineStr">
        <is>
          <t>2026-07-06</t>
        </is>
      </c>
      <c r="L322" s="17" t="inlineStr">
        <is>
          <t>A</t>
        </is>
      </c>
      <c r="M322" s="17" t="inlineStr"/>
    </row>
    <row r="323">
      <c r="A323" s="17" t="inlineStr">
        <is>
          <t>C236</t>
        </is>
      </c>
      <c r="B323" s="17" t="inlineStr">
        <is>
          <t>삼아제약</t>
        </is>
      </c>
      <c r="C323" s="17" t="inlineStr">
        <is>
          <t>삼아제약(주)</t>
        </is>
      </c>
      <c r="D323" s="17" t="inlineStr">
        <is>
          <t>홈페이지</t>
        </is>
      </c>
      <c r="E323" s="17" t="inlineStr">
        <is>
          <t>http://www.samapharm.co.kr</t>
        </is>
      </c>
      <c r="F323" s="17" t="inlineStr"/>
      <c r="G323" s="17" t="inlineStr">
        <is>
          <t>2026-07-06</t>
        </is>
      </c>
      <c r="H323" s="17" t="inlineStr">
        <is>
          <t>한국거래소 KIND</t>
        </is>
      </c>
      <c r="I323" s="17" t="inlineStr">
        <is>
          <t>상장법인목록</t>
        </is>
      </c>
      <c r="J323" s="17" t="inlineStr">
        <is>
          <t>https://kind.krx.co.kr</t>
        </is>
      </c>
      <c r="K323" s="17" t="inlineStr">
        <is>
          <t>2026-07-06</t>
        </is>
      </c>
      <c r="L323" s="17" t="inlineStr">
        <is>
          <t>A</t>
        </is>
      </c>
      <c r="M323" s="17" t="inlineStr"/>
    </row>
    <row r="324">
      <c r="A324" s="17" t="inlineStr">
        <is>
          <t>C239</t>
        </is>
      </c>
      <c r="B324" s="17" t="inlineStr">
        <is>
          <t>제일가스</t>
        </is>
      </c>
      <c r="C324" s="17" t="inlineStr">
        <is>
          <t>(주)제일가스</t>
        </is>
      </c>
      <c r="D324" s="17" t="inlineStr">
        <is>
          <t>대표전화</t>
        </is>
      </c>
      <c r="E324" s="17" t="inlineStr">
        <is>
          <t>032-567-6050</t>
        </is>
      </c>
      <c r="F324" s="17" t="inlineStr"/>
      <c r="G324" s="17" t="inlineStr">
        <is>
          <t>2026-07-06</t>
        </is>
      </c>
      <c r="H324" s="17" t="inlineStr">
        <is>
          <t>식품의약품안전처</t>
        </is>
      </c>
      <c r="I324" s="17" t="inlineStr">
        <is>
          <t>의약품 등 업체허가현황(제조소상세)</t>
        </is>
      </c>
      <c r="J324" s="17" t="inlineStr">
        <is>
          <t>https://www.data.go.kr/data/15095682/openapi.do</t>
        </is>
      </c>
      <c r="K324" s="17" t="inlineStr">
        <is>
          <t>2026-07-06</t>
        </is>
      </c>
      <c r="L324" s="17" t="inlineStr">
        <is>
          <t>A</t>
        </is>
      </c>
      <c r="M324" s="17" t="inlineStr">
        <is>
          <t>공장 대표번호</t>
        </is>
      </c>
    </row>
    <row r="325">
      <c r="A325" s="17" t="inlineStr">
        <is>
          <t>C240</t>
        </is>
      </c>
      <c r="B325" s="17" t="inlineStr">
        <is>
          <t>케이에스테크</t>
        </is>
      </c>
      <c r="C325" s="17" t="inlineStr">
        <is>
          <t>주식회사 케이에스테크</t>
        </is>
      </c>
      <c r="D325" s="17" t="inlineStr">
        <is>
          <t>대표전화</t>
        </is>
      </c>
      <c r="E325" s="17" t="inlineStr">
        <is>
          <t>031-658-7440</t>
        </is>
      </c>
      <c r="F325" s="17" t="inlineStr"/>
      <c r="G325" s="17" t="inlineStr">
        <is>
          <t>2026-07-06</t>
        </is>
      </c>
      <c r="H325" s="17" t="inlineStr">
        <is>
          <t>식품의약품안전처</t>
        </is>
      </c>
      <c r="I325" s="17" t="inlineStr">
        <is>
          <t>의약품 등 업체허가현황(제조소상세)</t>
        </is>
      </c>
      <c r="J325" s="17" t="inlineStr">
        <is>
          <t>https://www.data.go.kr/data/15095682/openapi.do</t>
        </is>
      </c>
      <c r="K325" s="17" t="inlineStr">
        <is>
          <t>2026-07-06</t>
        </is>
      </c>
      <c r="L325" s="17" t="inlineStr">
        <is>
          <t>A</t>
        </is>
      </c>
      <c r="M325" s="17" t="inlineStr">
        <is>
          <t>공장 대표번호</t>
        </is>
      </c>
    </row>
    <row r="326">
      <c r="A326" s="17" t="inlineStr">
        <is>
          <t>C241</t>
        </is>
      </c>
      <c r="B326" s="17" t="inlineStr">
        <is>
          <t>영풍제약</t>
        </is>
      </c>
      <c r="C326" s="17" t="inlineStr">
        <is>
          <t>영풍제약(주)</t>
        </is>
      </c>
      <c r="D326" s="17" t="inlineStr">
        <is>
          <t>대표전화</t>
        </is>
      </c>
      <c r="E326" s="17" t="inlineStr">
        <is>
          <t>032-812-8356</t>
        </is>
      </c>
      <c r="F326" s="17" t="inlineStr"/>
      <c r="G326" s="17" t="inlineStr">
        <is>
          <t>2026-07-06</t>
        </is>
      </c>
      <c r="H326" s="17" t="inlineStr">
        <is>
          <t>식품의약품안전처</t>
        </is>
      </c>
      <c r="I326" s="17" t="inlineStr">
        <is>
          <t>의약품 등 업체허가현황(제조소상세)</t>
        </is>
      </c>
      <c r="J326" s="17" t="inlineStr">
        <is>
          <t>https://www.data.go.kr/data/15095682/openapi.do</t>
        </is>
      </c>
      <c r="K326" s="17" t="inlineStr">
        <is>
          <t>2026-07-06</t>
        </is>
      </c>
      <c r="L326" s="17" t="inlineStr">
        <is>
          <t>A</t>
        </is>
      </c>
      <c r="M326" s="17" t="inlineStr">
        <is>
          <t>공장 대표번호</t>
        </is>
      </c>
    </row>
    <row r="327">
      <c r="A327" s="17" t="inlineStr">
        <is>
          <t>C242</t>
        </is>
      </c>
      <c r="B327" s="17" t="inlineStr">
        <is>
          <t>아이큐어</t>
        </is>
      </c>
      <c r="C327" s="17" t="inlineStr">
        <is>
          <t>아이큐어(주)</t>
        </is>
      </c>
      <c r="D327" s="17" t="inlineStr">
        <is>
          <t>상장정보</t>
        </is>
      </c>
      <c r="E327" s="17" t="inlineStr">
        <is>
          <t>코스닥/175250</t>
        </is>
      </c>
      <c r="F327" s="17" t="inlineStr"/>
      <c r="G327" s="17" t="inlineStr">
        <is>
          <t>2026-07-06</t>
        </is>
      </c>
      <c r="H327" s="17" t="inlineStr">
        <is>
          <t>한국거래소 KIND</t>
        </is>
      </c>
      <c r="I327" s="17" t="inlineStr">
        <is>
          <t>상장법인목록</t>
        </is>
      </c>
      <c r="J327" s="17" t="inlineStr">
        <is>
          <t>https://kind.krx.co.kr</t>
        </is>
      </c>
      <c r="K327" s="17" t="inlineStr">
        <is>
          <t>2026-07-06</t>
        </is>
      </c>
      <c r="L327" s="17" t="inlineStr">
        <is>
          <t>A</t>
        </is>
      </c>
      <c r="M327" s="17" t="inlineStr"/>
    </row>
    <row r="328">
      <c r="A328" s="17" t="inlineStr">
        <is>
          <t>C242</t>
        </is>
      </c>
      <c r="B328" s="17" t="inlineStr">
        <is>
          <t>아이큐어</t>
        </is>
      </c>
      <c r="C328" s="17" t="inlineStr">
        <is>
          <t>아이큐어(주)</t>
        </is>
      </c>
      <c r="D328" s="17" t="inlineStr">
        <is>
          <t>홈페이지</t>
        </is>
      </c>
      <c r="E328" s="17" t="inlineStr">
        <is>
          <t>http://icure.co.kr</t>
        </is>
      </c>
      <c r="F328" s="17" t="inlineStr"/>
      <c r="G328" s="17" t="inlineStr">
        <is>
          <t>2026-07-06</t>
        </is>
      </c>
      <c r="H328" s="17" t="inlineStr">
        <is>
          <t>한국거래소 KIND</t>
        </is>
      </c>
      <c r="I328" s="17" t="inlineStr">
        <is>
          <t>상장법인목록</t>
        </is>
      </c>
      <c r="J328" s="17" t="inlineStr">
        <is>
          <t>https://kind.krx.co.kr</t>
        </is>
      </c>
      <c r="K328" s="17" t="inlineStr">
        <is>
          <t>2026-07-06</t>
        </is>
      </c>
      <c r="L328" s="17" t="inlineStr">
        <is>
          <t>A</t>
        </is>
      </c>
      <c r="M328" s="17" t="inlineStr"/>
    </row>
    <row r="329">
      <c r="A329" s="17" t="inlineStr">
        <is>
          <t>C244</t>
        </is>
      </c>
      <c r="B329" s="17" t="inlineStr">
        <is>
          <t>한국휴텍스제약</t>
        </is>
      </c>
      <c r="C329" s="17" t="inlineStr">
        <is>
          <t>한국휴텍스제약(주)</t>
        </is>
      </c>
      <c r="D329" s="17" t="inlineStr">
        <is>
          <t>대표전화</t>
        </is>
      </c>
      <c r="E329" s="17" t="inlineStr">
        <is>
          <t>031-377-7901</t>
        </is>
      </c>
      <c r="F329" s="17" t="inlineStr"/>
      <c r="G329" s="17" t="inlineStr">
        <is>
          <t>2026-07-06</t>
        </is>
      </c>
      <c r="H329" s="17" t="inlineStr">
        <is>
          <t>식품의약품안전처</t>
        </is>
      </c>
      <c r="I329" s="17" t="inlineStr">
        <is>
          <t>의약품 등 업체허가현황(제조소상세)</t>
        </is>
      </c>
      <c r="J329" s="17" t="inlineStr">
        <is>
          <t>https://www.data.go.kr/data/15095682/openapi.do</t>
        </is>
      </c>
      <c r="K329" s="17" t="inlineStr">
        <is>
          <t>2026-07-06</t>
        </is>
      </c>
      <c r="L329" s="17" t="inlineStr">
        <is>
          <t>A</t>
        </is>
      </c>
      <c r="M329" s="17" t="inlineStr">
        <is>
          <t>공장 대표번호</t>
        </is>
      </c>
    </row>
    <row r="330">
      <c r="A330" s="17" t="inlineStr">
        <is>
          <t>C245</t>
        </is>
      </c>
      <c r="B330" s="17" t="inlineStr">
        <is>
          <t>큐엘파마</t>
        </is>
      </c>
      <c r="C330" s="17" t="inlineStr">
        <is>
          <t>주식회사큐엘파마</t>
        </is>
      </c>
      <c r="D330" s="17" t="inlineStr">
        <is>
          <t>대표전화</t>
        </is>
      </c>
      <c r="E330" s="17" t="inlineStr">
        <is>
          <t>070-8858-7353</t>
        </is>
      </c>
      <c r="F330" s="17" t="inlineStr"/>
      <c r="G330" s="17" t="inlineStr">
        <is>
          <t>2026-07-06</t>
        </is>
      </c>
      <c r="H330" s="17" t="inlineStr">
        <is>
          <t>식품의약품안전처</t>
        </is>
      </c>
      <c r="I330" s="17" t="inlineStr">
        <is>
          <t>의약품 등 업체허가현황(제조소상세)</t>
        </is>
      </c>
      <c r="J330" s="17" t="inlineStr">
        <is>
          <t>https://www.data.go.kr/data/15095682/openapi.do</t>
        </is>
      </c>
      <c r="K330" s="17" t="inlineStr">
        <is>
          <t>2026-07-06</t>
        </is>
      </c>
      <c r="L330" s="17" t="inlineStr">
        <is>
          <t>A</t>
        </is>
      </c>
      <c r="M330" s="17" t="inlineStr">
        <is>
          <t>공장 대표번호</t>
        </is>
      </c>
    </row>
    <row r="331">
      <c r="A331" s="17" t="inlineStr">
        <is>
          <t>C246</t>
        </is>
      </c>
      <c r="B331" s="17" t="inlineStr">
        <is>
          <t>폴라리스에이아이파마</t>
        </is>
      </c>
      <c r="C331" s="17" t="inlineStr">
        <is>
          <t>(주)폴라리스에이아이파마</t>
        </is>
      </c>
      <c r="D331" s="17" t="inlineStr">
        <is>
          <t>대표전화</t>
        </is>
      </c>
      <c r="E331" s="17" t="inlineStr">
        <is>
          <t>031-831-4800</t>
        </is>
      </c>
      <c r="F331" s="17" t="inlineStr"/>
      <c r="G331" s="17" t="inlineStr">
        <is>
          <t>2026-07-06</t>
        </is>
      </c>
      <c r="H331" s="17" t="inlineStr">
        <is>
          <t>식품의약품안전처</t>
        </is>
      </c>
      <c r="I331" s="17" t="inlineStr">
        <is>
          <t>의약품 등 업체허가현황(제조소상세)</t>
        </is>
      </c>
      <c r="J331" s="17" t="inlineStr">
        <is>
          <t>https://www.data.go.kr/data/15095682/openapi.do</t>
        </is>
      </c>
      <c r="K331" s="17" t="inlineStr">
        <is>
          <t>2026-07-06</t>
        </is>
      </c>
      <c r="L331" s="17" t="inlineStr">
        <is>
          <t>A</t>
        </is>
      </c>
      <c r="M331" s="17" t="inlineStr">
        <is>
          <t>공장 대표번호</t>
        </is>
      </c>
    </row>
    <row r="332">
      <c r="A332" s="17" t="inlineStr">
        <is>
          <t>C249</t>
        </is>
      </c>
      <c r="B332" s="17" t="inlineStr">
        <is>
          <t>위더스제약</t>
        </is>
      </c>
      <c r="C332" s="17" t="inlineStr">
        <is>
          <t>위더스제약(주)</t>
        </is>
      </c>
      <c r="D332" s="17" t="inlineStr">
        <is>
          <t>상장정보</t>
        </is>
      </c>
      <c r="E332" s="17" t="inlineStr">
        <is>
          <t>코스닥/330350</t>
        </is>
      </c>
      <c r="F332" s="17" t="inlineStr"/>
      <c r="G332" s="17" t="inlineStr">
        <is>
          <t>2026-07-06</t>
        </is>
      </c>
      <c r="H332" s="17" t="inlineStr">
        <is>
          <t>한국거래소 KIND</t>
        </is>
      </c>
      <c r="I332" s="17" t="inlineStr">
        <is>
          <t>상장법인목록</t>
        </is>
      </c>
      <c r="J332" s="17" t="inlineStr">
        <is>
          <t>https://kind.krx.co.kr</t>
        </is>
      </c>
      <c r="K332" s="17" t="inlineStr">
        <is>
          <t>2026-07-06</t>
        </is>
      </c>
      <c r="L332" s="17" t="inlineStr">
        <is>
          <t>A</t>
        </is>
      </c>
      <c r="M332" s="17" t="inlineStr"/>
    </row>
    <row r="333">
      <c r="A333" s="17" t="inlineStr">
        <is>
          <t>C249</t>
        </is>
      </c>
      <c r="B333" s="17" t="inlineStr">
        <is>
          <t>위더스제약</t>
        </is>
      </c>
      <c r="C333" s="17" t="inlineStr">
        <is>
          <t>위더스제약(주)</t>
        </is>
      </c>
      <c r="D333" s="17" t="inlineStr">
        <is>
          <t>홈페이지</t>
        </is>
      </c>
      <c r="E333" s="17" t="inlineStr">
        <is>
          <t>http://withuspharm.com</t>
        </is>
      </c>
      <c r="F333" s="17" t="inlineStr"/>
      <c r="G333" s="17" t="inlineStr">
        <is>
          <t>2026-07-06</t>
        </is>
      </c>
      <c r="H333" s="17" t="inlineStr">
        <is>
          <t>한국거래소 KIND</t>
        </is>
      </c>
      <c r="I333" s="17" t="inlineStr">
        <is>
          <t>상장법인목록</t>
        </is>
      </c>
      <c r="J333" s="17" t="inlineStr">
        <is>
          <t>https://kind.krx.co.kr</t>
        </is>
      </c>
      <c r="K333" s="17" t="inlineStr">
        <is>
          <t>2026-07-06</t>
        </is>
      </c>
      <c r="L333" s="17" t="inlineStr">
        <is>
          <t>A</t>
        </is>
      </c>
      <c r="M333" s="17" t="inlineStr"/>
    </row>
    <row r="334">
      <c r="A334" s="17" t="inlineStr">
        <is>
          <t>C250</t>
        </is>
      </c>
      <c r="B334" s="17" t="inlineStr">
        <is>
          <t>대구경북첨단의료산업진흥재단</t>
        </is>
      </c>
      <c r="C334" s="17" t="inlineStr">
        <is>
          <t>대구경북첨단의료산업진흥재단</t>
        </is>
      </c>
      <c r="D334" s="17" t="inlineStr">
        <is>
          <t>대표전화</t>
        </is>
      </c>
      <c r="E334" s="17" t="inlineStr">
        <is>
          <t>053-790-5822</t>
        </is>
      </c>
      <c r="F334" s="17" t="inlineStr"/>
      <c r="G334" s="17" t="inlineStr">
        <is>
          <t>2026-07-06</t>
        </is>
      </c>
      <c r="H334" s="17" t="inlineStr">
        <is>
          <t>식품의약품안전처</t>
        </is>
      </c>
      <c r="I334" s="17" t="inlineStr">
        <is>
          <t>의약품 등 업체허가현황(제조소상세)</t>
        </is>
      </c>
      <c r="J334" s="17" t="inlineStr">
        <is>
          <t>https://www.data.go.kr/data/15095682/openapi.do</t>
        </is>
      </c>
      <c r="K334" s="17" t="inlineStr">
        <is>
          <t>2026-07-06</t>
        </is>
      </c>
      <c r="L334" s="17" t="inlineStr">
        <is>
          <t>A</t>
        </is>
      </c>
      <c r="M334" s="17" t="inlineStr">
        <is>
          <t>공장 대표번호</t>
        </is>
      </c>
    </row>
    <row r="335">
      <c r="A335" s="17" t="inlineStr">
        <is>
          <t>C251</t>
        </is>
      </c>
      <c r="B335" s="17" t="inlineStr">
        <is>
          <t>셀트리온</t>
        </is>
      </c>
      <c r="C335" s="17" t="inlineStr">
        <is>
          <t>(주)셀트리온</t>
        </is>
      </c>
      <c r="D335" s="17" t="inlineStr">
        <is>
          <t>상장정보</t>
        </is>
      </c>
      <c r="E335" s="17" t="inlineStr">
        <is>
          <t>유가/068270</t>
        </is>
      </c>
      <c r="F335" s="17" t="inlineStr"/>
      <c r="G335" s="17" t="inlineStr">
        <is>
          <t>2026-07-06</t>
        </is>
      </c>
      <c r="H335" s="17" t="inlineStr">
        <is>
          <t>한국거래소 KIND</t>
        </is>
      </c>
      <c r="I335" s="17" t="inlineStr">
        <is>
          <t>상장법인목록</t>
        </is>
      </c>
      <c r="J335" s="17" t="inlineStr">
        <is>
          <t>https://kind.krx.co.kr</t>
        </is>
      </c>
      <c r="K335" s="17" t="inlineStr">
        <is>
          <t>2026-07-06</t>
        </is>
      </c>
      <c r="L335" s="17" t="inlineStr">
        <is>
          <t>A</t>
        </is>
      </c>
      <c r="M335" s="17" t="inlineStr"/>
    </row>
    <row r="336">
      <c r="A336" s="17" t="inlineStr">
        <is>
          <t>C251</t>
        </is>
      </c>
      <c r="B336" s="17" t="inlineStr">
        <is>
          <t>셀트리온</t>
        </is>
      </c>
      <c r="C336" s="17" t="inlineStr">
        <is>
          <t>(주)셀트리온</t>
        </is>
      </c>
      <c r="D336" s="17" t="inlineStr">
        <is>
          <t>홈페이지</t>
        </is>
      </c>
      <c r="E336" s="17" t="inlineStr">
        <is>
          <t>http://www.celltrion.com</t>
        </is>
      </c>
      <c r="F336" s="17" t="inlineStr"/>
      <c r="G336" s="17" t="inlineStr">
        <is>
          <t>2026-07-06</t>
        </is>
      </c>
      <c r="H336" s="17" t="inlineStr">
        <is>
          <t>한국거래소 KIND</t>
        </is>
      </c>
      <c r="I336" s="17" t="inlineStr">
        <is>
          <t>상장법인목록</t>
        </is>
      </c>
      <c r="J336" s="17" t="inlineStr">
        <is>
          <t>https://kind.krx.co.kr</t>
        </is>
      </c>
      <c r="K336" s="17" t="inlineStr">
        <is>
          <t>2026-07-06</t>
        </is>
      </c>
      <c r="L336" s="17" t="inlineStr">
        <is>
          <t>A</t>
        </is>
      </c>
      <c r="M336" s="17" t="inlineStr"/>
    </row>
    <row r="337">
      <c r="A337" s="17" t="inlineStr">
        <is>
          <t>C252</t>
        </is>
      </c>
      <c r="B337" s="17" t="inlineStr">
        <is>
          <t>중헌제약</t>
        </is>
      </c>
      <c r="C337" s="17" t="inlineStr">
        <is>
          <t>(주)중헌제약</t>
        </is>
      </c>
      <c r="D337" s="17" t="inlineStr">
        <is>
          <t>대표전화</t>
        </is>
      </c>
      <c r="E337" s="17" t="inlineStr">
        <is>
          <t>04371120000269293605</t>
        </is>
      </c>
      <c r="F337" s="17" t="inlineStr"/>
      <c r="G337" s="17" t="inlineStr">
        <is>
          <t>2026-07-06</t>
        </is>
      </c>
      <c r="H337" s="17" t="inlineStr">
        <is>
          <t>식품의약품안전처</t>
        </is>
      </c>
      <c r="I337" s="17" t="inlineStr">
        <is>
          <t>의약품 등 업체허가현황(제조소상세)</t>
        </is>
      </c>
      <c r="J337" s="17" t="inlineStr">
        <is>
          <t>https://www.data.go.kr/data/15095682/openapi.do</t>
        </is>
      </c>
      <c r="K337" s="17" t="inlineStr">
        <is>
          <t>2026-07-06</t>
        </is>
      </c>
      <c r="L337" s="17" t="inlineStr">
        <is>
          <t>A</t>
        </is>
      </c>
      <c r="M337" s="17" t="inlineStr">
        <is>
          <t>공장 대표번호</t>
        </is>
      </c>
    </row>
    <row r="338">
      <c r="A338" s="17" t="inlineStr">
        <is>
          <t>C254</t>
        </is>
      </c>
      <c r="B338" s="17" t="inlineStr">
        <is>
          <t>성우화학</t>
        </is>
      </c>
      <c r="C338" s="17" t="inlineStr">
        <is>
          <t>성우화학(주)</t>
        </is>
      </c>
      <c r="D338" s="17" t="inlineStr">
        <is>
          <t>대표전화</t>
        </is>
      </c>
      <c r="E338" s="17" t="inlineStr">
        <is>
          <t>031-353-7251</t>
        </is>
      </c>
      <c r="F338" s="17" t="inlineStr"/>
      <c r="G338" s="17" t="inlineStr">
        <is>
          <t>2026-07-06</t>
        </is>
      </c>
      <c r="H338" s="17" t="inlineStr">
        <is>
          <t>식품의약품안전처</t>
        </is>
      </c>
      <c r="I338" s="17" t="inlineStr">
        <is>
          <t>의약품 등 업체허가현황(제조소상세)</t>
        </is>
      </c>
      <c r="J338" s="17" t="inlineStr">
        <is>
          <t>https://www.data.go.kr/data/15095682/openapi.do</t>
        </is>
      </c>
      <c r="K338" s="17" t="inlineStr">
        <is>
          <t>2026-07-06</t>
        </is>
      </c>
      <c r="L338" s="17" t="inlineStr">
        <is>
          <t>A</t>
        </is>
      </c>
      <c r="M338" s="17" t="inlineStr">
        <is>
          <t>공장 대표번호</t>
        </is>
      </c>
    </row>
    <row r="339">
      <c r="A339" s="17" t="inlineStr">
        <is>
          <t>C255</t>
        </is>
      </c>
      <c r="B339" s="17" t="inlineStr">
        <is>
          <t>호남고압가스</t>
        </is>
      </c>
      <c r="C339" s="17" t="inlineStr">
        <is>
          <t>호남고압가스</t>
        </is>
      </c>
      <c r="D339" s="17" t="inlineStr">
        <is>
          <t>대표전화</t>
        </is>
      </c>
      <c r="E339" s="17" t="inlineStr">
        <is>
          <t>062-951-4147</t>
        </is>
      </c>
      <c r="F339" s="17" t="inlineStr"/>
      <c r="G339" s="17" t="inlineStr">
        <is>
          <t>2026-07-06</t>
        </is>
      </c>
      <c r="H339" s="17" t="inlineStr">
        <is>
          <t>식품의약품안전처</t>
        </is>
      </c>
      <c r="I339" s="17" t="inlineStr">
        <is>
          <t>의약품 등 업체허가현황(제조소상세)</t>
        </is>
      </c>
      <c r="J339" s="17" t="inlineStr">
        <is>
          <t>https://www.data.go.kr/data/15095682/openapi.do</t>
        </is>
      </c>
      <c r="K339" s="17" t="inlineStr">
        <is>
          <t>2026-07-06</t>
        </is>
      </c>
      <c r="L339" s="17" t="inlineStr">
        <is>
          <t>A</t>
        </is>
      </c>
      <c r="M339" s="17" t="inlineStr">
        <is>
          <t>공장 대표번호</t>
        </is>
      </c>
    </row>
    <row r="340">
      <c r="A340" s="17" t="inlineStr">
        <is>
          <t>C256</t>
        </is>
      </c>
      <c r="B340" s="17" t="inlineStr">
        <is>
          <t>창신</t>
        </is>
      </c>
      <c r="C340" s="17" t="inlineStr">
        <is>
          <t>(주)창신</t>
        </is>
      </c>
      <c r="D340" s="17" t="inlineStr">
        <is>
          <t>대표전화</t>
        </is>
      </c>
      <c r="E340" s="17" t="inlineStr">
        <is>
          <t>055-232-2000</t>
        </is>
      </c>
      <c r="F340" s="17" t="inlineStr"/>
      <c r="G340" s="17" t="inlineStr">
        <is>
          <t>2026-07-06</t>
        </is>
      </c>
      <c r="H340" s="17" t="inlineStr">
        <is>
          <t>식품의약품안전처</t>
        </is>
      </c>
      <c r="I340" s="17" t="inlineStr">
        <is>
          <t>의약품 등 업체허가현황(제조소상세)</t>
        </is>
      </c>
      <c r="J340" s="17" t="inlineStr">
        <is>
          <t>https://www.data.go.kr/data/15095682/openapi.do</t>
        </is>
      </c>
      <c r="K340" s="17" t="inlineStr">
        <is>
          <t>2026-07-06</t>
        </is>
      </c>
      <c r="L340" s="17" t="inlineStr">
        <is>
          <t>A</t>
        </is>
      </c>
      <c r="M340" s="17" t="inlineStr">
        <is>
          <t>공장 대표번호</t>
        </is>
      </c>
    </row>
    <row r="341">
      <c r="A341" s="17" t="inlineStr">
        <is>
          <t>C257</t>
        </is>
      </c>
      <c r="B341" s="17" t="inlineStr">
        <is>
          <t>파미셀</t>
        </is>
      </c>
      <c r="C341" s="17" t="inlineStr">
        <is>
          <t>파미셀주식회사</t>
        </is>
      </c>
      <c r="D341" s="17" t="inlineStr">
        <is>
          <t>상장정보</t>
        </is>
      </c>
      <c r="E341" s="17" t="inlineStr">
        <is>
          <t>유가/005690</t>
        </is>
      </c>
      <c r="F341" s="17" t="inlineStr"/>
      <c r="G341" s="17" t="inlineStr">
        <is>
          <t>2026-07-06</t>
        </is>
      </c>
      <c r="H341" s="17" t="inlineStr">
        <is>
          <t>한국거래소 KIND</t>
        </is>
      </c>
      <c r="I341" s="17" t="inlineStr">
        <is>
          <t>상장법인목록</t>
        </is>
      </c>
      <c r="J341" s="17" t="inlineStr">
        <is>
          <t>https://kind.krx.co.kr</t>
        </is>
      </c>
      <c r="K341" s="17" t="inlineStr">
        <is>
          <t>2026-07-06</t>
        </is>
      </c>
      <c r="L341" s="17" t="inlineStr">
        <is>
          <t>A</t>
        </is>
      </c>
      <c r="M341" s="17" t="inlineStr"/>
    </row>
    <row r="342">
      <c r="A342" s="17" t="inlineStr">
        <is>
          <t>C257</t>
        </is>
      </c>
      <c r="B342" s="17" t="inlineStr">
        <is>
          <t>파미셀</t>
        </is>
      </c>
      <c r="C342" s="17" t="inlineStr">
        <is>
          <t>파미셀주식회사</t>
        </is>
      </c>
      <c r="D342" s="17" t="inlineStr">
        <is>
          <t>홈페이지</t>
        </is>
      </c>
      <c r="E342" s="17" t="inlineStr">
        <is>
          <t>http://www.pharmicell.com</t>
        </is>
      </c>
      <c r="F342" s="17" t="inlineStr"/>
      <c r="G342" s="17" t="inlineStr">
        <is>
          <t>2026-07-06</t>
        </is>
      </c>
      <c r="H342" s="17" t="inlineStr">
        <is>
          <t>한국거래소 KIND</t>
        </is>
      </c>
      <c r="I342" s="17" t="inlineStr">
        <is>
          <t>상장법인목록</t>
        </is>
      </c>
      <c r="J342" s="17" t="inlineStr">
        <is>
          <t>https://kind.krx.co.kr</t>
        </is>
      </c>
      <c r="K342" s="17" t="inlineStr">
        <is>
          <t>2026-07-06</t>
        </is>
      </c>
      <c r="L342" s="17" t="inlineStr">
        <is>
          <t>A</t>
        </is>
      </c>
      <c r="M342" s="17" t="inlineStr"/>
    </row>
    <row r="343">
      <c r="A343" s="17" t="inlineStr">
        <is>
          <t>C258</t>
        </is>
      </c>
      <c r="B343" s="17" t="inlineStr">
        <is>
          <t>대흥산업가스</t>
        </is>
      </c>
      <c r="C343" s="17" t="inlineStr">
        <is>
          <t>대흥산업가스주식회사</t>
        </is>
      </c>
      <c r="D343" s="17" t="inlineStr">
        <is>
          <t>대표전화</t>
        </is>
      </c>
      <c r="E343" s="17" t="inlineStr">
        <is>
          <t>063-468-2626</t>
        </is>
      </c>
      <c r="F343" s="17" t="inlineStr"/>
      <c r="G343" s="17" t="inlineStr">
        <is>
          <t>2026-07-06</t>
        </is>
      </c>
      <c r="H343" s="17" t="inlineStr">
        <is>
          <t>식품의약품안전처</t>
        </is>
      </c>
      <c r="I343" s="17" t="inlineStr">
        <is>
          <t>의약품 등 업체허가현황(제조소상세)</t>
        </is>
      </c>
      <c r="J343" s="17" t="inlineStr">
        <is>
          <t>https://www.data.go.kr/data/15095682/openapi.do</t>
        </is>
      </c>
      <c r="K343" s="17" t="inlineStr">
        <is>
          <t>2026-07-06</t>
        </is>
      </c>
      <c r="L343" s="17" t="inlineStr">
        <is>
          <t>A</t>
        </is>
      </c>
      <c r="M343" s="17" t="inlineStr">
        <is>
          <t>공장 대표번호</t>
        </is>
      </c>
    </row>
    <row r="344">
      <c r="A344" s="17" t="inlineStr">
        <is>
          <t>C260</t>
        </is>
      </c>
      <c r="B344" s="17" t="inlineStr">
        <is>
          <t>한국바스프</t>
        </is>
      </c>
      <c r="C344" s="17" t="inlineStr">
        <is>
          <t>한국바스프(주)</t>
        </is>
      </c>
      <c r="D344" s="17" t="inlineStr">
        <is>
          <t>대표전화</t>
        </is>
      </c>
      <c r="E344" s="17" t="inlineStr">
        <is>
          <t>063-469-2500</t>
        </is>
      </c>
      <c r="F344" s="17" t="inlineStr"/>
      <c r="G344" s="17" t="inlineStr">
        <is>
          <t>2026-07-06</t>
        </is>
      </c>
      <c r="H344" s="17" t="inlineStr">
        <is>
          <t>식품의약품안전처</t>
        </is>
      </c>
      <c r="I344" s="17" t="inlineStr">
        <is>
          <t>의약품 등 업체허가현황(제조소상세)</t>
        </is>
      </c>
      <c r="J344" s="17" t="inlineStr">
        <is>
          <t>https://www.data.go.kr/data/15095682/openapi.do</t>
        </is>
      </c>
      <c r="K344" s="17" t="inlineStr">
        <is>
          <t>2026-07-06</t>
        </is>
      </c>
      <c r="L344" s="17" t="inlineStr">
        <is>
          <t>A</t>
        </is>
      </c>
      <c r="M344" s="17" t="inlineStr">
        <is>
          <t>공장 대표번호</t>
        </is>
      </c>
    </row>
    <row r="345">
      <c r="A345" s="17" t="inlineStr">
        <is>
          <t>C261</t>
        </is>
      </c>
      <c r="B345" s="17" t="inlineStr">
        <is>
          <t>태극제약</t>
        </is>
      </c>
      <c r="C345" s="17" t="inlineStr">
        <is>
          <t>태극제약(주)</t>
        </is>
      </c>
      <c r="D345" s="17" t="inlineStr">
        <is>
          <t>대표전화</t>
        </is>
      </c>
      <c r="E345" s="17" t="inlineStr">
        <is>
          <t>02-3474-7761</t>
        </is>
      </c>
      <c r="F345" s="17" t="inlineStr"/>
      <c r="G345" s="17" t="inlineStr">
        <is>
          <t>2026-07-06</t>
        </is>
      </c>
      <c r="H345" s="17" t="inlineStr">
        <is>
          <t>식품의약품안전처</t>
        </is>
      </c>
      <c r="I345" s="17" t="inlineStr">
        <is>
          <t>의약품 등 업체허가현황(제조소상세)</t>
        </is>
      </c>
      <c r="J345" s="17" t="inlineStr">
        <is>
          <t>https://www.data.go.kr/data/15095682/openapi.do</t>
        </is>
      </c>
      <c r="K345" s="17" t="inlineStr">
        <is>
          <t>2026-07-06</t>
        </is>
      </c>
      <c r="L345" s="17" t="inlineStr">
        <is>
          <t>A</t>
        </is>
      </c>
      <c r="M345" s="17" t="inlineStr">
        <is>
          <t>공장 대표번호</t>
        </is>
      </c>
    </row>
    <row r="346">
      <c r="A346" s="17" t="inlineStr">
        <is>
          <t>C262</t>
        </is>
      </c>
      <c r="B346" s="17" t="inlineStr">
        <is>
          <t>중앙산업가스</t>
        </is>
      </c>
      <c r="C346" s="17" t="inlineStr">
        <is>
          <t>중앙산업가스(주)</t>
        </is>
      </c>
      <c r="D346" s="17" t="inlineStr">
        <is>
          <t>대표전화</t>
        </is>
      </c>
      <c r="E346" s="17" t="inlineStr">
        <is>
          <t>042-623-2201</t>
        </is>
      </c>
      <c r="F346" s="17" t="inlineStr"/>
      <c r="G346" s="17" t="inlineStr">
        <is>
          <t>2026-07-06</t>
        </is>
      </c>
      <c r="H346" s="17" t="inlineStr">
        <is>
          <t>식품의약품안전처</t>
        </is>
      </c>
      <c r="I346" s="17" t="inlineStr">
        <is>
          <t>의약품 등 업체허가현황(제조소상세)</t>
        </is>
      </c>
      <c r="J346" s="17" t="inlineStr">
        <is>
          <t>https://www.data.go.kr/data/15095682/openapi.do</t>
        </is>
      </c>
      <c r="K346" s="17" t="inlineStr">
        <is>
          <t>2026-07-06</t>
        </is>
      </c>
      <c r="L346" s="17" t="inlineStr">
        <is>
          <t>A</t>
        </is>
      </c>
      <c r="M346" s="17" t="inlineStr">
        <is>
          <t>공장 대표번호</t>
        </is>
      </c>
    </row>
    <row r="347">
      <c r="A347" s="17" t="inlineStr">
        <is>
          <t>C263</t>
        </is>
      </c>
      <c r="B347" s="17" t="inlineStr">
        <is>
          <t>제일가스산업</t>
        </is>
      </c>
      <c r="C347" s="17" t="inlineStr">
        <is>
          <t>(주)제일가스산업</t>
        </is>
      </c>
      <c r="D347" s="17" t="inlineStr">
        <is>
          <t>대표전화</t>
        </is>
      </c>
      <c r="E347" s="17" t="inlineStr">
        <is>
          <t>044-268-4001</t>
        </is>
      </c>
      <c r="F347" s="17" t="inlineStr"/>
      <c r="G347" s="17" t="inlineStr">
        <is>
          <t>2026-07-06</t>
        </is>
      </c>
      <c r="H347" s="17" t="inlineStr">
        <is>
          <t>식품의약품안전처</t>
        </is>
      </c>
      <c r="I347" s="17" t="inlineStr">
        <is>
          <t>의약품 등 업체허가현황(제조소상세)</t>
        </is>
      </c>
      <c r="J347" s="17" t="inlineStr">
        <is>
          <t>https://www.data.go.kr/data/15095682/openapi.do</t>
        </is>
      </c>
      <c r="K347" s="17" t="inlineStr">
        <is>
          <t>2026-07-06</t>
        </is>
      </c>
      <c r="L347" s="17" t="inlineStr">
        <is>
          <t>A</t>
        </is>
      </c>
      <c r="M347" s="17" t="inlineStr">
        <is>
          <t>공장 대표번호</t>
        </is>
      </c>
    </row>
    <row r="348">
      <c r="A348" s="17" t="inlineStr">
        <is>
          <t>C264</t>
        </is>
      </c>
      <c r="B348" s="17" t="inlineStr">
        <is>
          <t>신일가스</t>
        </is>
      </c>
      <c r="C348" s="17" t="inlineStr">
        <is>
          <t>신일가스(주)</t>
        </is>
      </c>
      <c r="D348" s="17" t="inlineStr">
        <is>
          <t>대표전화</t>
        </is>
      </c>
      <c r="E348" s="17" t="inlineStr">
        <is>
          <t>062-951-0011</t>
        </is>
      </c>
      <c r="F348" s="17" t="inlineStr"/>
      <c r="G348" s="17" t="inlineStr">
        <is>
          <t>2026-07-06</t>
        </is>
      </c>
      <c r="H348" s="17" t="inlineStr">
        <is>
          <t>식품의약품안전처</t>
        </is>
      </c>
      <c r="I348" s="17" t="inlineStr">
        <is>
          <t>의약품 등 업체허가현황(제조소상세)</t>
        </is>
      </c>
      <c r="J348" s="17" t="inlineStr">
        <is>
          <t>https://www.data.go.kr/data/15095682/openapi.do</t>
        </is>
      </c>
      <c r="K348" s="17" t="inlineStr">
        <is>
          <t>2026-07-06</t>
        </is>
      </c>
      <c r="L348" s="17" t="inlineStr">
        <is>
          <t>A</t>
        </is>
      </c>
      <c r="M348" s="17" t="inlineStr">
        <is>
          <t>공장 대표번호</t>
        </is>
      </c>
    </row>
    <row r="349">
      <c r="A349" s="17" t="inlineStr">
        <is>
          <t>C265</t>
        </is>
      </c>
      <c r="B349" s="17" t="inlineStr">
        <is>
          <t>킴스제약</t>
        </is>
      </c>
      <c r="C349" s="17" t="inlineStr">
        <is>
          <t>(주)킴스제약</t>
        </is>
      </c>
      <c r="D349" s="17" t="inlineStr">
        <is>
          <t>대표전화</t>
        </is>
      </c>
      <c r="E349" s="17" t="inlineStr">
        <is>
          <t>043-714-3509</t>
        </is>
      </c>
      <c r="F349" s="17" t="inlineStr"/>
      <c r="G349" s="17" t="inlineStr">
        <is>
          <t>2026-07-06</t>
        </is>
      </c>
      <c r="H349" s="17" t="inlineStr">
        <is>
          <t>식품의약품안전처</t>
        </is>
      </c>
      <c r="I349" s="17" t="inlineStr">
        <is>
          <t>의약품 등 업체허가현황(제조소상세)</t>
        </is>
      </c>
      <c r="J349" s="17" t="inlineStr">
        <is>
          <t>https://www.data.go.kr/data/15095682/openapi.do</t>
        </is>
      </c>
      <c r="K349" s="17" t="inlineStr">
        <is>
          <t>2026-07-06</t>
        </is>
      </c>
      <c r="L349" s="17" t="inlineStr">
        <is>
          <t>A</t>
        </is>
      </c>
      <c r="M349" s="17" t="inlineStr">
        <is>
          <t>공장 대표번호</t>
        </is>
      </c>
    </row>
    <row r="350">
      <c r="A350" s="17" t="inlineStr">
        <is>
          <t>C267</t>
        </is>
      </c>
      <c r="B350" s="17" t="inlineStr">
        <is>
          <t>코미팜</t>
        </is>
      </c>
      <c r="C350" s="17" t="inlineStr">
        <is>
          <t>(주)코미팜</t>
        </is>
      </c>
      <c r="D350" s="17" t="inlineStr">
        <is>
          <t>대표전화</t>
        </is>
      </c>
      <c r="E350" s="17" t="inlineStr">
        <is>
          <t>043-238-8800</t>
        </is>
      </c>
      <c r="F350" s="17" t="inlineStr"/>
      <c r="G350" s="17" t="inlineStr">
        <is>
          <t>2026-07-06</t>
        </is>
      </c>
      <c r="H350" s="17" t="inlineStr">
        <is>
          <t>식품의약품안전처</t>
        </is>
      </c>
      <c r="I350" s="17" t="inlineStr">
        <is>
          <t>의약품 등 업체허가현황(제조소상세)</t>
        </is>
      </c>
      <c r="J350" s="17" t="inlineStr">
        <is>
          <t>https://www.data.go.kr/data/15095682/openapi.do</t>
        </is>
      </c>
      <c r="K350" s="17" t="inlineStr">
        <is>
          <t>2026-07-06</t>
        </is>
      </c>
      <c r="L350" s="17" t="inlineStr">
        <is>
          <t>A</t>
        </is>
      </c>
      <c r="M350" s="17" t="inlineStr">
        <is>
          <t>공장 대표번호</t>
        </is>
      </c>
    </row>
    <row r="351">
      <c r="A351" s="17" t="inlineStr">
        <is>
          <t>C267</t>
        </is>
      </c>
      <c r="B351" s="17" t="inlineStr">
        <is>
          <t>코미팜</t>
        </is>
      </c>
      <c r="C351" s="17" t="inlineStr">
        <is>
          <t>(주)코미팜</t>
        </is>
      </c>
      <c r="D351" s="17" t="inlineStr">
        <is>
          <t>상장정보</t>
        </is>
      </c>
      <c r="E351" s="17" t="inlineStr">
        <is>
          <t>코스닥/041960</t>
        </is>
      </c>
      <c r="F351" s="17" t="inlineStr"/>
      <c r="G351" s="17" t="inlineStr">
        <is>
          <t>2026-07-06</t>
        </is>
      </c>
      <c r="H351" s="17" t="inlineStr">
        <is>
          <t>한국거래소 KIND</t>
        </is>
      </c>
      <c r="I351" s="17" t="inlineStr">
        <is>
          <t>상장법인목록</t>
        </is>
      </c>
      <c r="J351" s="17" t="inlineStr">
        <is>
          <t>https://kind.krx.co.kr</t>
        </is>
      </c>
      <c r="K351" s="17" t="inlineStr">
        <is>
          <t>2026-07-06</t>
        </is>
      </c>
      <c r="L351" s="17" t="inlineStr">
        <is>
          <t>A</t>
        </is>
      </c>
      <c r="M351" s="17" t="inlineStr"/>
    </row>
    <row r="352">
      <c r="A352" s="17" t="inlineStr">
        <is>
          <t>C267</t>
        </is>
      </c>
      <c r="B352" s="17" t="inlineStr">
        <is>
          <t>코미팜</t>
        </is>
      </c>
      <c r="C352" s="17" t="inlineStr">
        <is>
          <t>(주)코미팜</t>
        </is>
      </c>
      <c r="D352" s="17" t="inlineStr">
        <is>
          <t>홈페이지</t>
        </is>
      </c>
      <c r="E352" s="17" t="inlineStr">
        <is>
          <t>http://www.komipharm.com</t>
        </is>
      </c>
      <c r="F352" s="17" t="inlineStr"/>
      <c r="G352" s="17" t="inlineStr">
        <is>
          <t>2026-07-06</t>
        </is>
      </c>
      <c r="H352" s="17" t="inlineStr">
        <is>
          <t>한국거래소 KIND</t>
        </is>
      </c>
      <c r="I352" s="17" t="inlineStr">
        <is>
          <t>상장법인목록</t>
        </is>
      </c>
      <c r="J352" s="17" t="inlineStr">
        <is>
          <t>https://kind.krx.co.kr</t>
        </is>
      </c>
      <c r="K352" s="17" t="inlineStr">
        <is>
          <t>2026-07-06</t>
        </is>
      </c>
      <c r="L352" s="17" t="inlineStr">
        <is>
          <t>A</t>
        </is>
      </c>
      <c r="M352" s="17" t="inlineStr"/>
    </row>
    <row r="353">
      <c r="A353" s="17" t="inlineStr">
        <is>
          <t>C268</t>
        </is>
      </c>
      <c r="B353" s="17" t="inlineStr">
        <is>
          <t>건영특수가스</t>
        </is>
      </c>
      <c r="C353" s="17" t="inlineStr">
        <is>
          <t>(주)건영특수가스</t>
        </is>
      </c>
      <c r="D353" s="17" t="inlineStr">
        <is>
          <t>대표전화</t>
        </is>
      </c>
      <c r="E353" s="17" t="inlineStr">
        <is>
          <t>062-954-0050</t>
        </is>
      </c>
      <c r="F353" s="17" t="inlineStr"/>
      <c r="G353" s="17" t="inlineStr">
        <is>
          <t>2026-07-06</t>
        </is>
      </c>
      <c r="H353" s="17" t="inlineStr">
        <is>
          <t>식품의약품안전처</t>
        </is>
      </c>
      <c r="I353" s="17" t="inlineStr">
        <is>
          <t>의약품 등 업체허가현황(제조소상세)</t>
        </is>
      </c>
      <c r="J353" s="17" t="inlineStr">
        <is>
          <t>https://www.data.go.kr/data/15095682/openapi.do</t>
        </is>
      </c>
      <c r="K353" s="17" t="inlineStr">
        <is>
          <t>2026-07-06</t>
        </is>
      </c>
      <c r="L353" s="17" t="inlineStr">
        <is>
          <t>A</t>
        </is>
      </c>
      <c r="M353" s="17" t="inlineStr">
        <is>
          <t>공장 대표번호</t>
        </is>
      </c>
    </row>
    <row r="354">
      <c r="A354" s="17" t="inlineStr">
        <is>
          <t>C269</t>
        </is>
      </c>
      <c r="B354" s="17" t="inlineStr">
        <is>
          <t>평화산소공업</t>
        </is>
      </c>
      <c r="C354" s="17" t="inlineStr">
        <is>
          <t>(주)평화산소공업</t>
        </is>
      </c>
      <c r="D354" s="17" t="inlineStr">
        <is>
          <t>대표전화</t>
        </is>
      </c>
      <c r="E354" s="17" t="inlineStr">
        <is>
          <t>051-313-4631</t>
        </is>
      </c>
      <c r="F354" s="17" t="inlineStr"/>
      <c r="G354" s="17" t="inlineStr">
        <is>
          <t>2026-07-06</t>
        </is>
      </c>
      <c r="H354" s="17" t="inlineStr">
        <is>
          <t>식품의약품안전처</t>
        </is>
      </c>
      <c r="I354" s="17" t="inlineStr">
        <is>
          <t>의약품 등 업체허가현황(제조소상세)</t>
        </is>
      </c>
      <c r="J354" s="17" t="inlineStr">
        <is>
          <t>https://www.data.go.kr/data/15095682/openapi.do</t>
        </is>
      </c>
      <c r="K354" s="17" t="inlineStr">
        <is>
          <t>2026-07-06</t>
        </is>
      </c>
      <c r="L354" s="17" t="inlineStr">
        <is>
          <t>A</t>
        </is>
      </c>
      <c r="M354" s="17" t="inlineStr">
        <is>
          <t>공장 대표번호</t>
        </is>
      </c>
    </row>
    <row r="355">
      <c r="A355" s="17" t="inlineStr">
        <is>
          <t>C270</t>
        </is>
      </c>
      <c r="B355" s="17" t="inlineStr">
        <is>
          <t>세종가스산업</t>
        </is>
      </c>
      <c r="C355" s="17" t="inlineStr">
        <is>
          <t>주식회사 세종가스산업</t>
        </is>
      </c>
      <c r="D355" s="17" t="inlineStr">
        <is>
          <t>대표전화</t>
        </is>
      </c>
      <c r="E355" s="17" t="inlineStr">
        <is>
          <t>05579500010102011</t>
        </is>
      </c>
      <c r="F355" s="17" t="inlineStr"/>
      <c r="G355" s="17" t="inlineStr">
        <is>
          <t>2026-07-06</t>
        </is>
      </c>
      <c r="H355" s="17" t="inlineStr">
        <is>
          <t>식품의약품안전처</t>
        </is>
      </c>
      <c r="I355" s="17" t="inlineStr">
        <is>
          <t>의약품 등 업체허가현황(제조소상세)</t>
        </is>
      </c>
      <c r="J355" s="17" t="inlineStr">
        <is>
          <t>https://www.data.go.kr/data/15095682/openapi.do</t>
        </is>
      </c>
      <c r="K355" s="17" t="inlineStr">
        <is>
          <t>2026-07-06</t>
        </is>
      </c>
      <c r="L355" s="17" t="inlineStr">
        <is>
          <t>A</t>
        </is>
      </c>
      <c r="M355" s="17" t="inlineStr">
        <is>
          <t>공장 대표번호</t>
        </is>
      </c>
    </row>
    <row r="356">
      <c r="A356" s="17" t="inlineStr">
        <is>
          <t>C271</t>
        </is>
      </c>
      <c r="B356" s="17" t="inlineStr">
        <is>
          <t>건일바이오팜</t>
        </is>
      </c>
      <c r="C356" s="17" t="inlineStr">
        <is>
          <t>건일바이오팜주식회사</t>
        </is>
      </c>
      <c r="D356" s="17" t="inlineStr">
        <is>
          <t>대표전화</t>
        </is>
      </c>
      <c r="E356" s="17" t="inlineStr">
        <is>
          <t>041-415-2550</t>
        </is>
      </c>
      <c r="F356" s="17" t="inlineStr"/>
      <c r="G356" s="17" t="inlineStr">
        <is>
          <t>2026-07-06</t>
        </is>
      </c>
      <c r="H356" s="17" t="inlineStr">
        <is>
          <t>식품의약품안전처</t>
        </is>
      </c>
      <c r="I356" s="17" t="inlineStr">
        <is>
          <t>의약품 등 업체허가현황(제조소상세)</t>
        </is>
      </c>
      <c r="J356" s="17" t="inlineStr">
        <is>
          <t>https://www.data.go.kr/data/15095682/openapi.do</t>
        </is>
      </c>
      <c r="K356" s="17" t="inlineStr">
        <is>
          <t>2026-07-06</t>
        </is>
      </c>
      <c r="L356" s="17" t="inlineStr">
        <is>
          <t>A</t>
        </is>
      </c>
      <c r="M356" s="17" t="inlineStr">
        <is>
          <t>공장 대표번호</t>
        </is>
      </c>
    </row>
    <row r="357">
      <c r="A357" s="17" t="inlineStr">
        <is>
          <t>C272</t>
        </is>
      </c>
      <c r="B357" s="17" t="inlineStr">
        <is>
          <t>바이오솔루션</t>
        </is>
      </c>
      <c r="C357" s="17" t="inlineStr">
        <is>
          <t>(주)바이오솔루션</t>
        </is>
      </c>
      <c r="D357" s="17" t="inlineStr">
        <is>
          <t>상장정보</t>
        </is>
      </c>
      <c r="E357" s="17" t="inlineStr">
        <is>
          <t>코스닥/086820</t>
        </is>
      </c>
      <c r="F357" s="17" t="inlineStr"/>
      <c r="G357" s="17" t="inlineStr">
        <is>
          <t>2026-07-06</t>
        </is>
      </c>
      <c r="H357" s="17" t="inlineStr">
        <is>
          <t>한국거래소 KIND</t>
        </is>
      </c>
      <c r="I357" s="17" t="inlineStr">
        <is>
          <t>상장법인목록</t>
        </is>
      </c>
      <c r="J357" s="17" t="inlineStr">
        <is>
          <t>https://kind.krx.co.kr</t>
        </is>
      </c>
      <c r="K357" s="17" t="inlineStr">
        <is>
          <t>2026-07-06</t>
        </is>
      </c>
      <c r="L357" s="17" t="inlineStr">
        <is>
          <t>A</t>
        </is>
      </c>
      <c r="M357" s="17" t="inlineStr"/>
    </row>
    <row r="358">
      <c r="A358" s="17" t="inlineStr">
        <is>
          <t>C272</t>
        </is>
      </c>
      <c r="B358" s="17" t="inlineStr">
        <is>
          <t>바이오솔루션</t>
        </is>
      </c>
      <c r="C358" s="17" t="inlineStr">
        <is>
          <t>(주)바이오솔루션</t>
        </is>
      </c>
      <c r="D358" s="17" t="inlineStr">
        <is>
          <t>홈페이지</t>
        </is>
      </c>
      <c r="E358" s="17" t="inlineStr">
        <is>
          <t>http://www.biosolutions.co.kr/</t>
        </is>
      </c>
      <c r="F358" s="17" t="inlineStr"/>
      <c r="G358" s="17" t="inlineStr">
        <is>
          <t>2026-07-06</t>
        </is>
      </c>
      <c r="H358" s="17" t="inlineStr">
        <is>
          <t>한국거래소 KIND</t>
        </is>
      </c>
      <c r="I358" s="17" t="inlineStr">
        <is>
          <t>상장법인목록</t>
        </is>
      </c>
      <c r="J358" s="17" t="inlineStr">
        <is>
          <t>https://kind.krx.co.kr</t>
        </is>
      </c>
      <c r="K358" s="17" t="inlineStr">
        <is>
          <t>2026-07-06</t>
        </is>
      </c>
      <c r="L358" s="17" t="inlineStr">
        <is>
          <t>A</t>
        </is>
      </c>
      <c r="M358" s="17" t="inlineStr"/>
    </row>
    <row r="359">
      <c r="A359" s="17" t="inlineStr">
        <is>
          <t>C273</t>
        </is>
      </c>
      <c r="B359" s="17" t="inlineStr">
        <is>
          <t>안트로젠</t>
        </is>
      </c>
      <c r="C359" s="17" t="inlineStr">
        <is>
          <t>(주)안트로젠</t>
        </is>
      </c>
      <c r="D359" s="17" t="inlineStr">
        <is>
          <t>상장정보</t>
        </is>
      </c>
      <c r="E359" s="17" t="inlineStr">
        <is>
          <t>코스닥/065660</t>
        </is>
      </c>
      <c r="F359" s="17" t="inlineStr"/>
      <c r="G359" s="17" t="inlineStr">
        <is>
          <t>2026-07-06</t>
        </is>
      </c>
      <c r="H359" s="17" t="inlineStr">
        <is>
          <t>한국거래소 KIND</t>
        </is>
      </c>
      <c r="I359" s="17" t="inlineStr">
        <is>
          <t>상장법인목록</t>
        </is>
      </c>
      <c r="J359" s="17" t="inlineStr">
        <is>
          <t>https://kind.krx.co.kr</t>
        </is>
      </c>
      <c r="K359" s="17" t="inlineStr">
        <is>
          <t>2026-07-06</t>
        </is>
      </c>
      <c r="L359" s="17" t="inlineStr">
        <is>
          <t>A</t>
        </is>
      </c>
      <c r="M359" s="17" t="inlineStr"/>
    </row>
    <row r="360">
      <c r="A360" s="17" t="inlineStr">
        <is>
          <t>C273</t>
        </is>
      </c>
      <c r="B360" s="17" t="inlineStr">
        <is>
          <t>안트로젠</t>
        </is>
      </c>
      <c r="C360" s="17" t="inlineStr">
        <is>
          <t>(주)안트로젠</t>
        </is>
      </c>
      <c r="D360" s="17" t="inlineStr">
        <is>
          <t>홈페이지</t>
        </is>
      </c>
      <c r="E360" s="17" t="inlineStr">
        <is>
          <t>http://www.anterogen.com</t>
        </is>
      </c>
      <c r="F360" s="17" t="inlineStr"/>
      <c r="G360" s="17" t="inlineStr">
        <is>
          <t>2026-07-06</t>
        </is>
      </c>
      <c r="H360" s="17" t="inlineStr">
        <is>
          <t>한국거래소 KIND</t>
        </is>
      </c>
      <c r="I360" s="17" t="inlineStr">
        <is>
          <t>상장법인목록</t>
        </is>
      </c>
      <c r="J360" s="17" t="inlineStr">
        <is>
          <t>https://kind.krx.co.kr</t>
        </is>
      </c>
      <c r="K360" s="17" t="inlineStr">
        <is>
          <t>2026-07-06</t>
        </is>
      </c>
      <c r="L360" s="17" t="inlineStr">
        <is>
          <t>A</t>
        </is>
      </c>
      <c r="M360" s="17" t="inlineStr"/>
    </row>
    <row r="361">
      <c r="A361" s="17" t="inlineStr">
        <is>
          <t>C274</t>
        </is>
      </c>
      <c r="B361" s="17" t="inlineStr">
        <is>
          <t>에니웨이</t>
        </is>
      </c>
      <c r="C361" s="17" t="inlineStr">
        <is>
          <t>(주)에니웨이</t>
        </is>
      </c>
      <c r="D361" s="17" t="inlineStr">
        <is>
          <t>대표전화</t>
        </is>
      </c>
      <c r="E361" s="17" t="inlineStr">
        <is>
          <t>055-587-4121</t>
        </is>
      </c>
      <c r="F361" s="17" t="inlineStr"/>
      <c r="G361" s="17" t="inlineStr">
        <is>
          <t>2026-07-06</t>
        </is>
      </c>
      <c r="H361" s="17" t="inlineStr">
        <is>
          <t>식품의약품안전처</t>
        </is>
      </c>
      <c r="I361" s="17" t="inlineStr">
        <is>
          <t>의약품 등 업체허가현황(제조소상세)</t>
        </is>
      </c>
      <c r="J361" s="17" t="inlineStr">
        <is>
          <t>https://www.data.go.kr/data/15095682/openapi.do</t>
        </is>
      </c>
      <c r="K361" s="17" t="inlineStr">
        <is>
          <t>2026-07-06</t>
        </is>
      </c>
      <c r="L361" s="17" t="inlineStr">
        <is>
          <t>A</t>
        </is>
      </c>
      <c r="M361" s="17" t="inlineStr">
        <is>
          <t>공장 대표번호</t>
        </is>
      </c>
    </row>
    <row r="362">
      <c r="A362" s="17" t="inlineStr">
        <is>
          <t>C275</t>
        </is>
      </c>
      <c r="B362" s="17" t="inlineStr">
        <is>
          <t>큐라티스</t>
        </is>
      </c>
      <c r="C362" s="17" t="inlineStr">
        <is>
          <t>주식회사큐라티스</t>
        </is>
      </c>
      <c r="D362" s="17" t="inlineStr">
        <is>
          <t>대표전화</t>
        </is>
      </c>
      <c r="E362" s="17" t="inlineStr">
        <is>
          <t>043-904-7002</t>
        </is>
      </c>
      <c r="F362" s="17" t="inlineStr"/>
      <c r="G362" s="17" t="inlineStr">
        <is>
          <t>2026-07-06</t>
        </is>
      </c>
      <c r="H362" s="17" t="inlineStr">
        <is>
          <t>식품의약품안전처</t>
        </is>
      </c>
      <c r="I362" s="17" t="inlineStr">
        <is>
          <t>의약품 등 업체허가현황(제조소상세)</t>
        </is>
      </c>
      <c r="J362" s="17" t="inlineStr">
        <is>
          <t>https://www.data.go.kr/data/15095682/openapi.do</t>
        </is>
      </c>
      <c r="K362" s="17" t="inlineStr">
        <is>
          <t>2026-07-06</t>
        </is>
      </c>
      <c r="L362" s="17" t="inlineStr">
        <is>
          <t>A</t>
        </is>
      </c>
      <c r="M362" s="17" t="inlineStr">
        <is>
          <t>공장 대표번호</t>
        </is>
      </c>
    </row>
    <row r="363">
      <c r="A363" s="17" t="inlineStr">
        <is>
          <t>C275</t>
        </is>
      </c>
      <c r="B363" s="17" t="inlineStr">
        <is>
          <t>큐라티스</t>
        </is>
      </c>
      <c r="C363" s="17" t="inlineStr">
        <is>
          <t>주식회사큐라티스</t>
        </is>
      </c>
      <c r="D363" s="17" t="inlineStr">
        <is>
          <t>상장정보</t>
        </is>
      </c>
      <c r="E363" s="17" t="inlineStr">
        <is>
          <t>코스닥/348080</t>
        </is>
      </c>
      <c r="F363" s="17" t="inlineStr"/>
      <c r="G363" s="17" t="inlineStr">
        <is>
          <t>2026-07-06</t>
        </is>
      </c>
      <c r="H363" s="17" t="inlineStr">
        <is>
          <t>한국거래소 KIND</t>
        </is>
      </c>
      <c r="I363" s="17" t="inlineStr">
        <is>
          <t>상장법인목록</t>
        </is>
      </c>
      <c r="J363" s="17" t="inlineStr">
        <is>
          <t>https://kind.krx.co.kr</t>
        </is>
      </c>
      <c r="K363" s="17" t="inlineStr">
        <is>
          <t>2026-07-06</t>
        </is>
      </c>
      <c r="L363" s="17" t="inlineStr">
        <is>
          <t>A</t>
        </is>
      </c>
      <c r="M363" s="17" t="inlineStr"/>
    </row>
    <row r="364">
      <c r="A364" s="17" t="inlineStr">
        <is>
          <t>C275</t>
        </is>
      </c>
      <c r="B364" s="17" t="inlineStr">
        <is>
          <t>큐라티스</t>
        </is>
      </c>
      <c r="C364" s="17" t="inlineStr">
        <is>
          <t>주식회사큐라티스</t>
        </is>
      </c>
      <c r="D364" s="17" t="inlineStr">
        <is>
          <t>홈페이지</t>
        </is>
      </c>
      <c r="E364" s="17" t="inlineStr">
        <is>
          <t>http://quratis.com</t>
        </is>
      </c>
      <c r="F364" s="17" t="inlineStr"/>
      <c r="G364" s="17" t="inlineStr">
        <is>
          <t>2026-07-06</t>
        </is>
      </c>
      <c r="H364" s="17" t="inlineStr">
        <is>
          <t>한국거래소 KIND</t>
        </is>
      </c>
      <c r="I364" s="17" t="inlineStr">
        <is>
          <t>상장법인목록</t>
        </is>
      </c>
      <c r="J364" s="17" t="inlineStr">
        <is>
          <t>https://kind.krx.co.kr</t>
        </is>
      </c>
      <c r="K364" s="17" t="inlineStr">
        <is>
          <t>2026-07-06</t>
        </is>
      </c>
      <c r="L364" s="17" t="inlineStr">
        <is>
          <t>A</t>
        </is>
      </c>
      <c r="M364" s="17" t="inlineStr"/>
    </row>
    <row r="365">
      <c r="A365" s="17" t="inlineStr">
        <is>
          <t>C276</t>
        </is>
      </c>
      <c r="B365" s="17" t="inlineStr">
        <is>
          <t>단일가스켐</t>
        </is>
      </c>
      <c r="C365" s="17" t="inlineStr">
        <is>
          <t>단일가스켐(주)</t>
        </is>
      </c>
      <c r="D365" s="17" t="inlineStr">
        <is>
          <t>대표전화</t>
        </is>
      </c>
      <c r="E365" s="17" t="inlineStr">
        <is>
          <t>043-241-0070</t>
        </is>
      </c>
      <c r="F365" s="17" t="inlineStr"/>
      <c r="G365" s="17" t="inlineStr">
        <is>
          <t>2026-07-06</t>
        </is>
      </c>
      <c r="H365" s="17" t="inlineStr">
        <is>
          <t>식품의약품안전처</t>
        </is>
      </c>
      <c r="I365" s="17" t="inlineStr">
        <is>
          <t>의약품 등 업체허가현황(제조소상세)</t>
        </is>
      </c>
      <c r="J365" s="17" t="inlineStr">
        <is>
          <t>https://www.data.go.kr/data/15095682/openapi.do</t>
        </is>
      </c>
      <c r="K365" s="17" t="inlineStr">
        <is>
          <t>2026-07-06</t>
        </is>
      </c>
      <c r="L365" s="17" t="inlineStr">
        <is>
          <t>A</t>
        </is>
      </c>
      <c r="M365" s="17" t="inlineStr">
        <is>
          <t>공장 대표번호</t>
        </is>
      </c>
    </row>
    <row r="366">
      <c r="A366" s="17" t="inlineStr">
        <is>
          <t>C277</t>
        </is>
      </c>
      <c r="B366" s="17" t="inlineStr">
        <is>
          <t>셀트리온제약</t>
        </is>
      </c>
      <c r="C366" s="17" t="inlineStr">
        <is>
          <t>(주)셀트리온제약</t>
        </is>
      </c>
      <c r="D366" s="17" t="inlineStr">
        <is>
          <t>대표전화</t>
        </is>
      </c>
      <c r="E366" s="17" t="inlineStr">
        <is>
          <t>4083611</t>
        </is>
      </c>
      <c r="F366" s="17" t="inlineStr"/>
      <c r="G366" s="17" t="inlineStr">
        <is>
          <t>2026-07-06</t>
        </is>
      </c>
      <c r="H366" s="17" t="inlineStr">
        <is>
          <t>식품의약품안전처</t>
        </is>
      </c>
      <c r="I366" s="17" t="inlineStr">
        <is>
          <t>의약품 등 업체허가현황(제조소상세)</t>
        </is>
      </c>
      <c r="J366" s="17" t="inlineStr">
        <is>
          <t>https://www.data.go.kr/data/15095682/openapi.do</t>
        </is>
      </c>
      <c r="K366" s="17" t="inlineStr">
        <is>
          <t>2026-07-06</t>
        </is>
      </c>
      <c r="L366" s="17" t="inlineStr">
        <is>
          <t>A</t>
        </is>
      </c>
      <c r="M366" s="17" t="inlineStr">
        <is>
          <t>공장 대표번호</t>
        </is>
      </c>
    </row>
    <row r="367">
      <c r="A367" s="17" t="inlineStr">
        <is>
          <t>C277</t>
        </is>
      </c>
      <c r="B367" s="17" t="inlineStr">
        <is>
          <t>셀트리온제약</t>
        </is>
      </c>
      <c r="C367" s="17" t="inlineStr">
        <is>
          <t>(주)셀트리온제약</t>
        </is>
      </c>
      <c r="D367" s="17" t="inlineStr">
        <is>
          <t>상장정보</t>
        </is>
      </c>
      <c r="E367" s="17" t="inlineStr">
        <is>
          <t>코스닥/068760</t>
        </is>
      </c>
      <c r="F367" s="17" t="inlineStr"/>
      <c r="G367" s="17" t="inlineStr">
        <is>
          <t>2026-07-06</t>
        </is>
      </c>
      <c r="H367" s="17" t="inlineStr">
        <is>
          <t>한국거래소 KIND</t>
        </is>
      </c>
      <c r="I367" s="17" t="inlineStr">
        <is>
          <t>상장법인목록</t>
        </is>
      </c>
      <c r="J367" s="17" t="inlineStr">
        <is>
          <t>https://kind.krx.co.kr</t>
        </is>
      </c>
      <c r="K367" s="17" t="inlineStr">
        <is>
          <t>2026-07-06</t>
        </is>
      </c>
      <c r="L367" s="17" t="inlineStr">
        <is>
          <t>A</t>
        </is>
      </c>
      <c r="M367" s="17" t="inlineStr"/>
    </row>
    <row r="368">
      <c r="A368" s="17" t="inlineStr">
        <is>
          <t>C277</t>
        </is>
      </c>
      <c r="B368" s="17" t="inlineStr">
        <is>
          <t>셀트리온제약</t>
        </is>
      </c>
      <c r="C368" s="17" t="inlineStr">
        <is>
          <t>(주)셀트리온제약</t>
        </is>
      </c>
      <c r="D368" s="17" t="inlineStr">
        <is>
          <t>홈페이지</t>
        </is>
      </c>
      <c r="E368" s="17" t="inlineStr">
        <is>
          <t>http://www.celltrionph.com</t>
        </is>
      </c>
      <c r="F368" s="17" t="inlineStr"/>
      <c r="G368" s="17" t="inlineStr">
        <is>
          <t>2026-07-06</t>
        </is>
      </c>
      <c r="H368" s="17" t="inlineStr">
        <is>
          <t>한국거래소 KIND</t>
        </is>
      </c>
      <c r="I368" s="17" t="inlineStr">
        <is>
          <t>상장법인목록</t>
        </is>
      </c>
      <c r="J368" s="17" t="inlineStr">
        <is>
          <t>https://kind.krx.co.kr</t>
        </is>
      </c>
      <c r="K368" s="17" t="inlineStr">
        <is>
          <t>2026-07-06</t>
        </is>
      </c>
      <c r="L368" s="17" t="inlineStr">
        <is>
          <t>A</t>
        </is>
      </c>
      <c r="M368" s="17" t="inlineStr"/>
    </row>
    <row r="369">
      <c r="A369" s="17" t="inlineStr">
        <is>
          <t>C278</t>
        </is>
      </c>
      <c r="B369" s="17" t="inlineStr">
        <is>
          <t>한성신약</t>
        </is>
      </c>
      <c r="C369" s="17" t="inlineStr">
        <is>
          <t>한성신약주식회사</t>
        </is>
      </c>
      <c r="D369" s="17" t="inlineStr">
        <is>
          <t>대표전화</t>
        </is>
      </c>
      <c r="E369" s="17" t="inlineStr">
        <is>
          <t>031-988-0353</t>
        </is>
      </c>
      <c r="F369" s="17" t="inlineStr"/>
      <c r="G369" s="17" t="inlineStr">
        <is>
          <t>2026-07-06</t>
        </is>
      </c>
      <c r="H369" s="17" t="inlineStr">
        <is>
          <t>식품의약품안전처</t>
        </is>
      </c>
      <c r="I369" s="17" t="inlineStr">
        <is>
          <t>의약품 등 업체허가현황(제조소상세)</t>
        </is>
      </c>
      <c r="J369" s="17" t="inlineStr">
        <is>
          <t>https://www.data.go.kr/data/15095682/openapi.do</t>
        </is>
      </c>
      <c r="K369" s="17" t="inlineStr">
        <is>
          <t>2026-07-06</t>
        </is>
      </c>
      <c r="L369" s="17" t="inlineStr">
        <is>
          <t>A</t>
        </is>
      </c>
      <c r="M369" s="17" t="inlineStr">
        <is>
          <t>공장 대표번호</t>
        </is>
      </c>
    </row>
    <row r="370">
      <c r="A370" s="17" t="inlineStr">
        <is>
          <t>C279</t>
        </is>
      </c>
      <c r="B370" s="17" t="inlineStr">
        <is>
          <t>보령바이오파마</t>
        </is>
      </c>
      <c r="C370" s="17" t="inlineStr">
        <is>
          <t>(주)보령바이오파마</t>
        </is>
      </c>
      <c r="D370" s="17" t="inlineStr">
        <is>
          <t>대표전화</t>
        </is>
      </c>
      <c r="E370" s="17" t="inlineStr">
        <is>
          <t>02-740-4204</t>
        </is>
      </c>
      <c r="F370" s="17" t="inlineStr"/>
      <c r="G370" s="17" t="inlineStr">
        <is>
          <t>2026-07-06</t>
        </is>
      </c>
      <c r="H370" s="17" t="inlineStr">
        <is>
          <t>식품의약품안전처</t>
        </is>
      </c>
      <c r="I370" s="17" t="inlineStr">
        <is>
          <t>의약품 등 업체허가현황(제조소상세)</t>
        </is>
      </c>
      <c r="J370" s="17" t="inlineStr">
        <is>
          <t>https://www.data.go.kr/data/15095682/openapi.do</t>
        </is>
      </c>
      <c r="K370" s="17" t="inlineStr">
        <is>
          <t>2026-07-06</t>
        </is>
      </c>
      <c r="L370" s="17" t="inlineStr">
        <is>
          <t>A</t>
        </is>
      </c>
      <c r="M370" s="17" t="inlineStr">
        <is>
          <t>공장 대표번호</t>
        </is>
      </c>
    </row>
    <row r="371">
      <c r="A371" s="17" t="inlineStr">
        <is>
          <t>C280</t>
        </is>
      </c>
      <c r="B371" s="17" t="inlineStr">
        <is>
          <t>동광제약</t>
        </is>
      </c>
      <c r="C371" s="17" t="inlineStr">
        <is>
          <t>동광제약(주)</t>
        </is>
      </c>
      <c r="D371" s="17" t="inlineStr">
        <is>
          <t>대표전화</t>
        </is>
      </c>
      <c r="E371" s="17" t="inlineStr">
        <is>
          <t>02-776-7641</t>
        </is>
      </c>
      <c r="F371" s="17" t="inlineStr"/>
      <c r="G371" s="17" t="inlineStr">
        <is>
          <t>2026-07-06</t>
        </is>
      </c>
      <c r="H371" s="17" t="inlineStr">
        <is>
          <t>식품의약품안전처</t>
        </is>
      </c>
      <c r="I371" s="17" t="inlineStr">
        <is>
          <t>의약품 등 업체허가현황(제조소상세)</t>
        </is>
      </c>
      <c r="J371" s="17" t="inlineStr">
        <is>
          <t>https://www.data.go.kr/data/15095682/openapi.do</t>
        </is>
      </c>
      <c r="K371" s="17" t="inlineStr">
        <is>
          <t>2026-07-06</t>
        </is>
      </c>
      <c r="L371" s="17" t="inlineStr">
        <is>
          <t>A</t>
        </is>
      </c>
      <c r="M371" s="17" t="inlineStr">
        <is>
          <t>공장 대표번호</t>
        </is>
      </c>
    </row>
    <row r="372">
      <c r="A372" s="17" t="inlineStr">
        <is>
          <t>C281</t>
        </is>
      </c>
      <c r="B372" s="17" t="inlineStr">
        <is>
          <t>진바이오팜</t>
        </is>
      </c>
      <c r="C372" s="17" t="inlineStr">
        <is>
          <t>주식회사진바이오팜</t>
        </is>
      </c>
      <c r="D372" s="17" t="inlineStr">
        <is>
          <t>대표전화</t>
        </is>
      </c>
      <c r="E372" s="17" t="inlineStr">
        <is>
          <t>031-686-7736</t>
        </is>
      </c>
      <c r="F372" s="17" t="inlineStr"/>
      <c r="G372" s="17" t="inlineStr">
        <is>
          <t>2026-07-06</t>
        </is>
      </c>
      <c r="H372" s="17" t="inlineStr">
        <is>
          <t>식품의약품안전처</t>
        </is>
      </c>
      <c r="I372" s="17" t="inlineStr">
        <is>
          <t>의약품 등 업체허가현황(제조소상세)</t>
        </is>
      </c>
      <c r="J372" s="17" t="inlineStr">
        <is>
          <t>https://www.data.go.kr/data/15095682/openapi.do</t>
        </is>
      </c>
      <c r="K372" s="17" t="inlineStr">
        <is>
          <t>2026-07-06</t>
        </is>
      </c>
      <c r="L372" s="17" t="inlineStr">
        <is>
          <t>A</t>
        </is>
      </c>
      <c r="M372" s="17" t="inlineStr">
        <is>
          <t>공장 대표번호</t>
        </is>
      </c>
    </row>
    <row r="373">
      <c r="A373" s="17" t="inlineStr">
        <is>
          <t>C282</t>
        </is>
      </c>
      <c r="B373" s="17" t="inlineStr">
        <is>
          <t>지씨셀</t>
        </is>
      </c>
      <c r="C373" s="17" t="inlineStr">
        <is>
          <t>주식회사지씨셀</t>
        </is>
      </c>
      <c r="D373" s="17" t="inlineStr">
        <is>
          <t>상장정보</t>
        </is>
      </c>
      <c r="E373" s="17" t="inlineStr">
        <is>
          <t>코스닥/144510</t>
        </is>
      </c>
      <c r="F373" s="17" t="inlineStr"/>
      <c r="G373" s="17" t="inlineStr">
        <is>
          <t>2026-07-06</t>
        </is>
      </c>
      <c r="H373" s="17" t="inlineStr">
        <is>
          <t>한국거래소 KIND</t>
        </is>
      </c>
      <c r="I373" s="17" t="inlineStr">
        <is>
          <t>상장법인목록</t>
        </is>
      </c>
      <c r="J373" s="17" t="inlineStr">
        <is>
          <t>https://kind.krx.co.kr</t>
        </is>
      </c>
      <c r="K373" s="17" t="inlineStr">
        <is>
          <t>2026-07-06</t>
        </is>
      </c>
      <c r="L373" s="17" t="inlineStr">
        <is>
          <t>A</t>
        </is>
      </c>
      <c r="M373" s="17" t="inlineStr"/>
    </row>
    <row r="374">
      <c r="A374" s="17" t="inlineStr">
        <is>
          <t>C282</t>
        </is>
      </c>
      <c r="B374" s="17" t="inlineStr">
        <is>
          <t>지씨셀</t>
        </is>
      </c>
      <c r="C374" s="17" t="inlineStr">
        <is>
          <t>주식회사지씨셀</t>
        </is>
      </c>
      <c r="D374" s="17" t="inlineStr">
        <is>
          <t>홈페이지</t>
        </is>
      </c>
      <c r="E374" s="17" t="inlineStr">
        <is>
          <t>http://www.gclabcell.com</t>
        </is>
      </c>
      <c r="F374" s="17" t="inlineStr"/>
      <c r="G374" s="17" t="inlineStr">
        <is>
          <t>2026-07-06</t>
        </is>
      </c>
      <c r="H374" s="17" t="inlineStr">
        <is>
          <t>한국거래소 KIND</t>
        </is>
      </c>
      <c r="I374" s="17" t="inlineStr">
        <is>
          <t>상장법인목록</t>
        </is>
      </c>
      <c r="J374" s="17" t="inlineStr">
        <is>
          <t>https://kind.krx.co.kr</t>
        </is>
      </c>
      <c r="K374" s="17" t="inlineStr">
        <is>
          <t>2026-07-06</t>
        </is>
      </c>
      <c r="L374" s="17" t="inlineStr">
        <is>
          <t>A</t>
        </is>
      </c>
      <c r="M374" s="17" t="inlineStr"/>
    </row>
    <row r="375">
      <c r="A375" s="17" t="inlineStr">
        <is>
          <t>C283</t>
        </is>
      </c>
      <c r="B375" s="17" t="inlineStr">
        <is>
          <t>라이트팜텍</t>
        </is>
      </c>
      <c r="C375" s="17" t="inlineStr">
        <is>
          <t>(주)라이트팜텍</t>
        </is>
      </c>
      <c r="D375" s="17" t="inlineStr">
        <is>
          <t>대표전화</t>
        </is>
      </c>
      <c r="E375" s="17" t="inlineStr">
        <is>
          <t>02-801-8570</t>
        </is>
      </c>
      <c r="F375" s="17" t="inlineStr"/>
      <c r="G375" s="17" t="inlineStr">
        <is>
          <t>2026-07-06</t>
        </is>
      </c>
      <c r="H375" s="17" t="inlineStr">
        <is>
          <t>식품의약품안전처</t>
        </is>
      </c>
      <c r="I375" s="17" t="inlineStr">
        <is>
          <t>의약품 등 업체허가현황(제조소상세)</t>
        </is>
      </c>
      <c r="J375" s="17" t="inlineStr">
        <is>
          <t>https://www.data.go.kr/data/15095682/openapi.do</t>
        </is>
      </c>
      <c r="K375" s="17" t="inlineStr">
        <is>
          <t>2026-07-06</t>
        </is>
      </c>
      <c r="L375" s="17" t="inlineStr">
        <is>
          <t>A</t>
        </is>
      </c>
      <c r="M375" s="17" t="inlineStr">
        <is>
          <t>공장 대표번호</t>
        </is>
      </c>
    </row>
    <row r="376">
      <c r="A376" s="17" t="inlineStr">
        <is>
          <t>C285</t>
        </is>
      </c>
      <c r="B376" s="17" t="inlineStr">
        <is>
          <t>넥스팜코리아</t>
        </is>
      </c>
      <c r="C376" s="17" t="inlineStr">
        <is>
          <t>(주)넥스팜코리아</t>
        </is>
      </c>
      <c r="D376" s="17" t="inlineStr">
        <is>
          <t>대표전화</t>
        </is>
      </c>
      <c r="E376" s="17" t="inlineStr">
        <is>
          <t>070-4346-1209</t>
        </is>
      </c>
      <c r="F376" s="17" t="inlineStr"/>
      <c r="G376" s="17" t="inlineStr">
        <is>
          <t>2026-07-06</t>
        </is>
      </c>
      <c r="H376" s="17" t="inlineStr">
        <is>
          <t>식품의약품안전처</t>
        </is>
      </c>
      <c r="I376" s="17" t="inlineStr">
        <is>
          <t>의약품 등 업체허가현황(제조소상세)</t>
        </is>
      </c>
      <c r="J376" s="17" t="inlineStr">
        <is>
          <t>https://www.data.go.kr/data/15095682/openapi.do</t>
        </is>
      </c>
      <c r="K376" s="17" t="inlineStr">
        <is>
          <t>2026-07-06</t>
        </is>
      </c>
      <c r="L376" s="17" t="inlineStr">
        <is>
          <t>A</t>
        </is>
      </c>
      <c r="M376" s="17" t="inlineStr">
        <is>
          <t>공장 대표번호</t>
        </is>
      </c>
    </row>
    <row r="377">
      <c r="A377" s="17" t="inlineStr">
        <is>
          <t>C286</t>
        </is>
      </c>
      <c r="B377" s="17" t="inlineStr">
        <is>
          <t>한창메딕</t>
        </is>
      </c>
      <c r="C377" s="17" t="inlineStr">
        <is>
          <t>(주)한창메딕</t>
        </is>
      </c>
      <c r="D377" s="17" t="inlineStr">
        <is>
          <t>대표전화</t>
        </is>
      </c>
      <c r="E377" s="17" t="inlineStr">
        <is>
          <t>041-547-8805</t>
        </is>
      </c>
      <c r="F377" s="17" t="inlineStr"/>
      <c r="G377" s="17" t="inlineStr">
        <is>
          <t>2026-07-06</t>
        </is>
      </c>
      <c r="H377" s="17" t="inlineStr">
        <is>
          <t>식품의약품안전처</t>
        </is>
      </c>
      <c r="I377" s="17" t="inlineStr">
        <is>
          <t>의약품 등 업체허가현황(제조소상세)</t>
        </is>
      </c>
      <c r="J377" s="17" t="inlineStr">
        <is>
          <t>https://www.data.go.kr/data/15095682/openapi.do</t>
        </is>
      </c>
      <c r="K377" s="17" t="inlineStr">
        <is>
          <t>2026-07-06</t>
        </is>
      </c>
      <c r="L377" s="17" t="inlineStr">
        <is>
          <t>A</t>
        </is>
      </c>
      <c r="M377" s="17" t="inlineStr">
        <is>
          <t>공장 대표번호</t>
        </is>
      </c>
    </row>
    <row r="378">
      <c r="A378" s="17" t="inlineStr">
        <is>
          <t>C287</t>
        </is>
      </c>
      <c r="B378" s="17" t="inlineStr">
        <is>
          <t>알파제약</t>
        </is>
      </c>
      <c r="C378" s="17" t="inlineStr">
        <is>
          <t>알파제약(주)</t>
        </is>
      </c>
      <c r="D378" s="17" t="inlineStr">
        <is>
          <t>대표전화</t>
        </is>
      </c>
      <c r="E378" s="17" t="inlineStr">
        <is>
          <t>054-552-5381</t>
        </is>
      </c>
      <c r="F378" s="17" t="inlineStr"/>
      <c r="G378" s="17" t="inlineStr">
        <is>
          <t>2026-07-06</t>
        </is>
      </c>
      <c r="H378" s="17" t="inlineStr">
        <is>
          <t>식품의약품안전처</t>
        </is>
      </c>
      <c r="I378" s="17" t="inlineStr">
        <is>
          <t>의약품 등 업체허가현황(제조소상세)</t>
        </is>
      </c>
      <c r="J378" s="17" t="inlineStr">
        <is>
          <t>https://www.data.go.kr/data/15095682/openapi.do</t>
        </is>
      </c>
      <c r="K378" s="17" t="inlineStr">
        <is>
          <t>2026-07-06</t>
        </is>
      </c>
      <c r="L378" s="17" t="inlineStr">
        <is>
          <t>A</t>
        </is>
      </c>
      <c r="M378" s="17" t="inlineStr">
        <is>
          <t>공장 대표번호</t>
        </is>
      </c>
    </row>
    <row r="379">
      <c r="A379" s="17" t="inlineStr">
        <is>
          <t>C288</t>
        </is>
      </c>
      <c r="B379" s="17" t="inlineStr">
        <is>
          <t>원풍약품상사</t>
        </is>
      </c>
      <c r="C379" s="17" t="inlineStr">
        <is>
          <t>(주)원풍약품상사</t>
        </is>
      </c>
      <c r="D379" s="17" t="inlineStr">
        <is>
          <t>대표전화</t>
        </is>
      </c>
      <c r="E379" s="17" t="inlineStr">
        <is>
          <t>3768-1009</t>
        </is>
      </c>
      <c r="F379" s="17" t="inlineStr"/>
      <c r="G379" s="17" t="inlineStr">
        <is>
          <t>2026-07-06</t>
        </is>
      </c>
      <c r="H379" s="17" t="inlineStr">
        <is>
          <t>식품의약품안전처</t>
        </is>
      </c>
      <c r="I379" s="17" t="inlineStr">
        <is>
          <t>의약품 등 업체허가현황(제조소상세)</t>
        </is>
      </c>
      <c r="J379" s="17" t="inlineStr">
        <is>
          <t>https://www.data.go.kr/data/15095682/openapi.do</t>
        </is>
      </c>
      <c r="K379" s="17" t="inlineStr">
        <is>
          <t>2026-07-06</t>
        </is>
      </c>
      <c r="L379" s="17" t="inlineStr">
        <is>
          <t>A</t>
        </is>
      </c>
      <c r="M379" s="17" t="inlineStr">
        <is>
          <t>공장 대표번호</t>
        </is>
      </c>
    </row>
    <row r="380">
      <c r="A380" s="17" t="inlineStr">
        <is>
          <t>C289</t>
        </is>
      </c>
      <c r="B380" s="17" t="inlineStr">
        <is>
          <t>한국바이오켐제약</t>
        </is>
      </c>
      <c r="C380" s="17" t="inlineStr">
        <is>
          <t>한국바이오켐제약(주)</t>
        </is>
      </c>
      <c r="D380" s="17" t="inlineStr">
        <is>
          <t>대표전화</t>
        </is>
      </c>
      <c r="E380" s="17" t="inlineStr">
        <is>
          <t>044-865-5030</t>
        </is>
      </c>
      <c r="F380" s="17" t="inlineStr"/>
      <c r="G380" s="17" t="inlineStr">
        <is>
          <t>2026-07-06</t>
        </is>
      </c>
      <c r="H380" s="17" t="inlineStr">
        <is>
          <t>식품의약품안전처</t>
        </is>
      </c>
      <c r="I380" s="17" t="inlineStr">
        <is>
          <t>의약품 등 업체허가현황(제조소상세)</t>
        </is>
      </c>
      <c r="J380" s="17" t="inlineStr">
        <is>
          <t>https://www.data.go.kr/data/15095682/openapi.do</t>
        </is>
      </c>
      <c r="K380" s="17" t="inlineStr">
        <is>
          <t>2026-07-06</t>
        </is>
      </c>
      <c r="L380" s="17" t="inlineStr">
        <is>
          <t>A</t>
        </is>
      </c>
      <c r="M380" s="17" t="inlineStr">
        <is>
          <t>공장 대표번호</t>
        </is>
      </c>
    </row>
    <row r="381">
      <c r="A381" s="17" t="inlineStr">
        <is>
          <t>C290</t>
        </is>
      </c>
      <c r="B381" s="17" t="inlineStr">
        <is>
          <t>화일약품</t>
        </is>
      </c>
      <c r="C381" s="17" t="inlineStr">
        <is>
          <t>화일약품(주)</t>
        </is>
      </c>
      <c r="D381" s="17" t="inlineStr">
        <is>
          <t>대표전화</t>
        </is>
      </c>
      <c r="E381" s="17" t="inlineStr">
        <is>
          <t>031-491-4042</t>
        </is>
      </c>
      <c r="F381" s="17" t="inlineStr"/>
      <c r="G381" s="17" t="inlineStr">
        <is>
          <t>2026-07-06</t>
        </is>
      </c>
      <c r="H381" s="17" t="inlineStr">
        <is>
          <t>식품의약품안전처</t>
        </is>
      </c>
      <c r="I381" s="17" t="inlineStr">
        <is>
          <t>의약품 등 업체허가현황(제조소상세)</t>
        </is>
      </c>
      <c r="J381" s="17" t="inlineStr">
        <is>
          <t>https://www.data.go.kr/data/15095682/openapi.do</t>
        </is>
      </c>
      <c r="K381" s="17" t="inlineStr">
        <is>
          <t>2026-07-06</t>
        </is>
      </c>
      <c r="L381" s="17" t="inlineStr">
        <is>
          <t>A</t>
        </is>
      </c>
      <c r="M381" s="17" t="inlineStr">
        <is>
          <t>공장 대표번호</t>
        </is>
      </c>
    </row>
    <row r="382">
      <c r="A382" s="17" t="inlineStr">
        <is>
          <t>C290</t>
        </is>
      </c>
      <c r="B382" s="17" t="inlineStr">
        <is>
          <t>화일약품</t>
        </is>
      </c>
      <c r="C382" s="17" t="inlineStr">
        <is>
          <t>화일약품(주)</t>
        </is>
      </c>
      <c r="D382" s="17" t="inlineStr">
        <is>
          <t>상장정보</t>
        </is>
      </c>
      <c r="E382" s="17" t="inlineStr">
        <is>
          <t>코스닥/061250</t>
        </is>
      </c>
      <c r="F382" s="17" t="inlineStr"/>
      <c r="G382" s="17" t="inlineStr">
        <is>
          <t>2026-07-06</t>
        </is>
      </c>
      <c r="H382" s="17" t="inlineStr">
        <is>
          <t>한국거래소 KIND</t>
        </is>
      </c>
      <c r="I382" s="17" t="inlineStr">
        <is>
          <t>상장법인목록</t>
        </is>
      </c>
      <c r="J382" s="17" t="inlineStr">
        <is>
          <t>https://kind.krx.co.kr</t>
        </is>
      </c>
      <c r="K382" s="17" t="inlineStr">
        <is>
          <t>2026-07-06</t>
        </is>
      </c>
      <c r="L382" s="17" t="inlineStr">
        <is>
          <t>A</t>
        </is>
      </c>
      <c r="M382" s="17" t="inlineStr"/>
    </row>
    <row r="383">
      <c r="A383" s="17" t="inlineStr">
        <is>
          <t>C290</t>
        </is>
      </c>
      <c r="B383" s="17" t="inlineStr">
        <is>
          <t>화일약품</t>
        </is>
      </c>
      <c r="C383" s="17" t="inlineStr">
        <is>
          <t>화일약품(주)</t>
        </is>
      </c>
      <c r="D383" s="17" t="inlineStr">
        <is>
          <t>홈페이지</t>
        </is>
      </c>
      <c r="E383" s="17" t="inlineStr">
        <is>
          <t>http://www.hwail.com</t>
        </is>
      </c>
      <c r="F383" s="17" t="inlineStr"/>
      <c r="G383" s="17" t="inlineStr">
        <is>
          <t>2026-07-06</t>
        </is>
      </c>
      <c r="H383" s="17" t="inlineStr">
        <is>
          <t>한국거래소 KIND</t>
        </is>
      </c>
      <c r="I383" s="17" t="inlineStr">
        <is>
          <t>상장법인목록</t>
        </is>
      </c>
      <c r="J383" s="17" t="inlineStr">
        <is>
          <t>https://kind.krx.co.kr</t>
        </is>
      </c>
      <c r="K383" s="17" t="inlineStr">
        <is>
          <t>2026-07-06</t>
        </is>
      </c>
      <c r="L383" s="17" t="inlineStr">
        <is>
          <t>A</t>
        </is>
      </c>
      <c r="M383" s="17" t="inlineStr"/>
    </row>
    <row r="384">
      <c r="A384" s="17" t="inlineStr">
        <is>
          <t>C291</t>
        </is>
      </c>
      <c r="B384" s="17" t="inlineStr">
        <is>
          <t>아이엠씨디코리아</t>
        </is>
      </c>
      <c r="C384" s="17" t="inlineStr">
        <is>
          <t>아이엠씨디코리아주식회사</t>
        </is>
      </c>
      <c r="D384" s="17" t="inlineStr">
        <is>
          <t>대표전화</t>
        </is>
      </c>
      <c r="E384" s="17" t="inlineStr">
        <is>
          <t>02-573-1858</t>
        </is>
      </c>
      <c r="F384" s="17" t="inlineStr"/>
      <c r="G384" s="17" t="inlineStr">
        <is>
          <t>2026-07-06</t>
        </is>
      </c>
      <c r="H384" s="17" t="inlineStr">
        <is>
          <t>식품의약품안전처</t>
        </is>
      </c>
      <c r="I384" s="17" t="inlineStr">
        <is>
          <t>의약품 등 업체허가현황(제조소상세)</t>
        </is>
      </c>
      <c r="J384" s="17" t="inlineStr">
        <is>
          <t>https://www.data.go.kr/data/15095682/openapi.do</t>
        </is>
      </c>
      <c r="K384" s="17" t="inlineStr">
        <is>
          <t>2026-07-06</t>
        </is>
      </c>
      <c r="L384" s="17" t="inlineStr">
        <is>
          <t>A</t>
        </is>
      </c>
      <c r="M384" s="17" t="inlineStr">
        <is>
          <t>공장 대표번호</t>
        </is>
      </c>
    </row>
    <row r="385">
      <c r="A385" s="17" t="inlineStr">
        <is>
          <t>C292</t>
        </is>
      </c>
      <c r="B385" s="17" t="inlineStr">
        <is>
          <t>한국에스이엠</t>
        </is>
      </c>
      <c r="C385" s="17" t="inlineStr">
        <is>
          <t>한국에스이엠(주)</t>
        </is>
      </c>
      <c r="D385" s="17" t="inlineStr">
        <is>
          <t>대표전화</t>
        </is>
      </c>
      <c r="E385" s="17" t="inlineStr">
        <is>
          <t>055-375-1214</t>
        </is>
      </c>
      <c r="F385" s="17" t="inlineStr"/>
      <c r="G385" s="17" t="inlineStr">
        <is>
          <t>2026-07-06</t>
        </is>
      </c>
      <c r="H385" s="17" t="inlineStr">
        <is>
          <t>식품의약품안전처</t>
        </is>
      </c>
      <c r="I385" s="17" t="inlineStr">
        <is>
          <t>의약품 등 업체허가현황(제조소상세)</t>
        </is>
      </c>
      <c r="J385" s="17" t="inlineStr">
        <is>
          <t>https://www.data.go.kr/data/15095682/openapi.do</t>
        </is>
      </c>
      <c r="K385" s="17" t="inlineStr">
        <is>
          <t>2026-07-06</t>
        </is>
      </c>
      <c r="L385" s="17" t="inlineStr">
        <is>
          <t>A</t>
        </is>
      </c>
      <c r="M385" s="17" t="inlineStr">
        <is>
          <t>공장 대표번호</t>
        </is>
      </c>
    </row>
    <row r="386">
      <c r="A386" s="17" t="inlineStr">
        <is>
          <t>C293</t>
        </is>
      </c>
      <c r="B386" s="17" t="inlineStr">
        <is>
          <t>국전</t>
        </is>
      </c>
      <c r="C386" s="17" t="inlineStr">
        <is>
          <t>(주)국전</t>
        </is>
      </c>
      <c r="D386" s="17" t="inlineStr">
        <is>
          <t>대표전화</t>
        </is>
      </c>
      <c r="E386" s="17" t="inlineStr">
        <is>
          <t>031-352-8179</t>
        </is>
      </c>
      <c r="F386" s="17" t="inlineStr"/>
      <c r="G386" s="17" t="inlineStr">
        <is>
          <t>2026-07-06</t>
        </is>
      </c>
      <c r="H386" s="17" t="inlineStr">
        <is>
          <t>식품의약품안전처</t>
        </is>
      </c>
      <c r="I386" s="17" t="inlineStr">
        <is>
          <t>의약품 등 업체허가현황(제조소상세)</t>
        </is>
      </c>
      <c r="J386" s="17" t="inlineStr">
        <is>
          <t>https://www.data.go.kr/data/15095682/openapi.do</t>
        </is>
      </c>
      <c r="K386" s="17" t="inlineStr">
        <is>
          <t>2026-07-06</t>
        </is>
      </c>
      <c r="L386" s="17" t="inlineStr">
        <is>
          <t>A</t>
        </is>
      </c>
      <c r="M386" s="17" t="inlineStr">
        <is>
          <t>공장 대표번호</t>
        </is>
      </c>
    </row>
    <row r="387">
      <c r="A387" s="17" t="inlineStr">
        <is>
          <t>C293</t>
        </is>
      </c>
      <c r="B387" s="17" t="inlineStr">
        <is>
          <t>국전</t>
        </is>
      </c>
      <c r="C387" s="17" t="inlineStr">
        <is>
          <t>(주)국전</t>
        </is>
      </c>
      <c r="D387" s="17" t="inlineStr">
        <is>
          <t>상장정보</t>
        </is>
      </c>
      <c r="E387" s="17" t="inlineStr">
        <is>
          <t>코스닥/307750</t>
        </is>
      </c>
      <c r="F387" s="17" t="inlineStr"/>
      <c r="G387" s="17" t="inlineStr">
        <is>
          <t>2026-07-06</t>
        </is>
      </c>
      <c r="H387" s="17" t="inlineStr">
        <is>
          <t>한국거래소 KIND</t>
        </is>
      </c>
      <c r="I387" s="17" t="inlineStr">
        <is>
          <t>상장법인목록</t>
        </is>
      </c>
      <c r="J387" s="17" t="inlineStr">
        <is>
          <t>https://kind.krx.co.kr</t>
        </is>
      </c>
      <c r="K387" s="17" t="inlineStr">
        <is>
          <t>2026-07-06</t>
        </is>
      </c>
      <c r="L387" s="17" t="inlineStr">
        <is>
          <t>A</t>
        </is>
      </c>
      <c r="M387" s="17" t="inlineStr"/>
    </row>
    <row r="388">
      <c r="A388" s="17" t="inlineStr">
        <is>
          <t>C294</t>
        </is>
      </c>
      <c r="B388" s="17" t="inlineStr">
        <is>
          <t>뉴큐어엠</t>
        </is>
      </c>
      <c r="C388" s="17" t="inlineStr">
        <is>
          <t>주식회사뉴큐어엠</t>
        </is>
      </c>
      <c r="D388" s="17" t="inlineStr">
        <is>
          <t>대표전화</t>
        </is>
      </c>
      <c r="E388" s="17" t="inlineStr">
        <is>
          <t>032-460-9032</t>
        </is>
      </c>
      <c r="F388" s="17" t="inlineStr"/>
      <c r="G388" s="17" t="inlineStr">
        <is>
          <t>2026-07-06</t>
        </is>
      </c>
      <c r="H388" s="17" t="inlineStr">
        <is>
          <t>식품의약품안전처</t>
        </is>
      </c>
      <c r="I388" s="17" t="inlineStr">
        <is>
          <t>의약품 등 업체허가현황(제조소상세)</t>
        </is>
      </c>
      <c r="J388" s="17" t="inlineStr">
        <is>
          <t>https://www.data.go.kr/data/15095682/openapi.do</t>
        </is>
      </c>
      <c r="K388" s="17" t="inlineStr">
        <is>
          <t>2026-07-06</t>
        </is>
      </c>
      <c r="L388" s="17" t="inlineStr">
        <is>
          <t>A</t>
        </is>
      </c>
      <c r="M388" s="17" t="inlineStr">
        <is>
          <t>공장 대표번호</t>
        </is>
      </c>
    </row>
    <row r="389">
      <c r="A389" s="17" t="inlineStr">
        <is>
          <t>C295</t>
        </is>
      </c>
      <c r="B389" s="17" t="inlineStr">
        <is>
          <t>케이엠에스제약</t>
        </is>
      </c>
      <c r="C389" s="17" t="inlineStr">
        <is>
          <t>케이엠에스제약(주)</t>
        </is>
      </c>
      <c r="D389" s="17" t="inlineStr">
        <is>
          <t>대표전화</t>
        </is>
      </c>
      <c r="E389" s="17" t="inlineStr">
        <is>
          <t>031-215-5456</t>
        </is>
      </c>
      <c r="F389" s="17" t="inlineStr"/>
      <c r="G389" s="17" t="inlineStr">
        <is>
          <t>2026-07-06</t>
        </is>
      </c>
      <c r="H389" s="17" t="inlineStr">
        <is>
          <t>식품의약품안전처</t>
        </is>
      </c>
      <c r="I389" s="17" t="inlineStr">
        <is>
          <t>의약품 등 업체허가현황(제조소상세)</t>
        </is>
      </c>
      <c r="J389" s="17" t="inlineStr">
        <is>
          <t>https://www.data.go.kr/data/15095682/openapi.do</t>
        </is>
      </c>
      <c r="K389" s="17" t="inlineStr">
        <is>
          <t>2026-07-06</t>
        </is>
      </c>
      <c r="L389" s="17" t="inlineStr">
        <is>
          <t>A</t>
        </is>
      </c>
      <c r="M389" s="17" t="inlineStr">
        <is>
          <t>공장 대표번호</t>
        </is>
      </c>
    </row>
    <row r="390">
      <c r="A390" s="17" t="inlineStr">
        <is>
          <t>C296</t>
        </is>
      </c>
      <c r="B390" s="17" t="inlineStr">
        <is>
          <t>유유제약</t>
        </is>
      </c>
      <c r="C390" s="17" t="inlineStr">
        <is>
          <t>(주)유유제약</t>
        </is>
      </c>
      <c r="D390" s="17" t="inlineStr">
        <is>
          <t>대표전화</t>
        </is>
      </c>
      <c r="E390" s="17" t="inlineStr">
        <is>
          <t>02-2253-6600</t>
        </is>
      </c>
      <c r="F390" s="17" t="inlineStr"/>
      <c r="G390" s="17" t="inlineStr">
        <is>
          <t>2026-07-06</t>
        </is>
      </c>
      <c r="H390" s="17" t="inlineStr">
        <is>
          <t>식품의약품안전처</t>
        </is>
      </c>
      <c r="I390" s="17" t="inlineStr">
        <is>
          <t>의약품 등 업체허가현황(제조소상세)</t>
        </is>
      </c>
      <c r="J390" s="17" t="inlineStr">
        <is>
          <t>https://www.data.go.kr/data/15095682/openapi.do</t>
        </is>
      </c>
      <c r="K390" s="17" t="inlineStr">
        <is>
          <t>2026-07-06</t>
        </is>
      </c>
      <c r="L390" s="17" t="inlineStr">
        <is>
          <t>A</t>
        </is>
      </c>
      <c r="M390" s="17" t="inlineStr">
        <is>
          <t>공장 대표번호</t>
        </is>
      </c>
    </row>
    <row r="391">
      <c r="A391" s="17" t="inlineStr">
        <is>
          <t>C296</t>
        </is>
      </c>
      <c r="B391" s="17" t="inlineStr">
        <is>
          <t>유유제약</t>
        </is>
      </c>
      <c r="C391" s="17" t="inlineStr">
        <is>
          <t>(주)유유제약</t>
        </is>
      </c>
      <c r="D391" s="17" t="inlineStr">
        <is>
          <t>상장정보</t>
        </is>
      </c>
      <c r="E391" s="17" t="inlineStr">
        <is>
          <t>유가/000220</t>
        </is>
      </c>
      <c r="F391" s="17" t="inlineStr"/>
      <c r="G391" s="17" t="inlineStr">
        <is>
          <t>2026-07-06</t>
        </is>
      </c>
      <c r="H391" s="17" t="inlineStr">
        <is>
          <t>한국거래소 KIND</t>
        </is>
      </c>
      <c r="I391" s="17" t="inlineStr">
        <is>
          <t>상장법인목록</t>
        </is>
      </c>
      <c r="J391" s="17" t="inlineStr">
        <is>
          <t>https://kind.krx.co.kr</t>
        </is>
      </c>
      <c r="K391" s="17" t="inlineStr">
        <is>
          <t>2026-07-06</t>
        </is>
      </c>
      <c r="L391" s="17" t="inlineStr">
        <is>
          <t>A</t>
        </is>
      </c>
      <c r="M391" s="17" t="inlineStr"/>
    </row>
    <row r="392">
      <c r="A392" s="17" t="inlineStr">
        <is>
          <t>C296</t>
        </is>
      </c>
      <c r="B392" s="17" t="inlineStr">
        <is>
          <t>유유제약</t>
        </is>
      </c>
      <c r="C392" s="17" t="inlineStr">
        <is>
          <t>(주)유유제약</t>
        </is>
      </c>
      <c r="D392" s="17" t="inlineStr">
        <is>
          <t>홈페이지</t>
        </is>
      </c>
      <c r="E392" s="17" t="inlineStr">
        <is>
          <t>http://www.yuyu.co.kr</t>
        </is>
      </c>
      <c r="F392" s="17" t="inlineStr"/>
      <c r="G392" s="17" t="inlineStr">
        <is>
          <t>2026-07-06</t>
        </is>
      </c>
      <c r="H392" s="17" t="inlineStr">
        <is>
          <t>한국거래소 KIND</t>
        </is>
      </c>
      <c r="I392" s="17" t="inlineStr">
        <is>
          <t>상장법인목록</t>
        </is>
      </c>
      <c r="J392" s="17" t="inlineStr">
        <is>
          <t>https://kind.krx.co.kr</t>
        </is>
      </c>
      <c r="K392" s="17" t="inlineStr">
        <is>
          <t>2026-07-06</t>
        </is>
      </c>
      <c r="L392" s="17" t="inlineStr">
        <is>
          <t>A</t>
        </is>
      </c>
      <c r="M392" s="17" t="inlineStr"/>
    </row>
    <row r="393">
      <c r="A393" s="17" t="inlineStr">
        <is>
          <t>C297</t>
        </is>
      </c>
      <c r="B393" s="17" t="inlineStr">
        <is>
          <t>군포가스</t>
        </is>
      </c>
      <c r="C393" s="17" t="inlineStr">
        <is>
          <t>주식회사군포가스</t>
        </is>
      </c>
      <c r="D393" s="17" t="inlineStr">
        <is>
          <t>대표전화</t>
        </is>
      </c>
      <c r="E393" s="17" t="inlineStr">
        <is>
          <t>031-454-4001</t>
        </is>
      </c>
      <c r="F393" s="17" t="inlineStr"/>
      <c r="G393" s="17" t="inlineStr">
        <is>
          <t>2026-07-06</t>
        </is>
      </c>
      <c r="H393" s="17" t="inlineStr">
        <is>
          <t>식품의약품안전처</t>
        </is>
      </c>
      <c r="I393" s="17" t="inlineStr">
        <is>
          <t>의약품 등 업체허가현황(제조소상세)</t>
        </is>
      </c>
      <c r="J393" s="17" t="inlineStr">
        <is>
          <t>https://www.data.go.kr/data/15095682/openapi.do</t>
        </is>
      </c>
      <c r="K393" s="17" t="inlineStr">
        <is>
          <t>2026-07-06</t>
        </is>
      </c>
      <c r="L393" s="17" t="inlineStr">
        <is>
          <t>A</t>
        </is>
      </c>
      <c r="M393" s="17" t="inlineStr">
        <is>
          <t>공장 대표번호</t>
        </is>
      </c>
    </row>
    <row r="394">
      <c r="A394" s="17" t="inlineStr">
        <is>
          <t>C298</t>
        </is>
      </c>
      <c r="B394" s="17" t="inlineStr">
        <is>
          <t>새한제약</t>
        </is>
      </c>
      <c r="C394" s="17" t="inlineStr">
        <is>
          <t>(주)새한제약</t>
        </is>
      </c>
      <c r="D394" s="17" t="inlineStr">
        <is>
          <t>대표전화</t>
        </is>
      </c>
      <c r="E394" s="17" t="inlineStr">
        <is>
          <t>031-673-3132</t>
        </is>
      </c>
      <c r="F394" s="17" t="inlineStr"/>
      <c r="G394" s="17" t="inlineStr">
        <is>
          <t>2026-07-06</t>
        </is>
      </c>
      <c r="H394" s="17" t="inlineStr">
        <is>
          <t>식품의약품안전처</t>
        </is>
      </c>
      <c r="I394" s="17" t="inlineStr">
        <is>
          <t>의약품 등 업체허가현황(제조소상세)</t>
        </is>
      </c>
      <c r="J394" s="17" t="inlineStr">
        <is>
          <t>https://www.data.go.kr/data/15095682/openapi.do</t>
        </is>
      </c>
      <c r="K394" s="17" t="inlineStr">
        <is>
          <t>2026-07-06</t>
        </is>
      </c>
      <c r="L394" s="17" t="inlineStr">
        <is>
          <t>A</t>
        </is>
      </c>
      <c r="M394" s="17" t="inlineStr">
        <is>
          <t>공장 대표번호</t>
        </is>
      </c>
    </row>
    <row r="395">
      <c r="A395" s="17" t="inlineStr">
        <is>
          <t>C299</t>
        </is>
      </c>
      <c r="B395" s="17" t="inlineStr">
        <is>
          <t>코오롱생명과학</t>
        </is>
      </c>
      <c r="C395" s="17" t="inlineStr">
        <is>
          <t>코오롱생명과학(주)</t>
        </is>
      </c>
      <c r="D395" s="17" t="inlineStr">
        <is>
          <t>대표전화</t>
        </is>
      </c>
      <c r="E395" s="17" t="inlineStr">
        <is>
          <t>043-880-3336</t>
        </is>
      </c>
      <c r="F395" s="17" t="inlineStr"/>
      <c r="G395" s="17" t="inlineStr">
        <is>
          <t>2026-07-06</t>
        </is>
      </c>
      <c r="H395" s="17" t="inlineStr">
        <is>
          <t>식품의약품안전처</t>
        </is>
      </c>
      <c r="I395" s="17" t="inlineStr">
        <is>
          <t>의약품 등 업체허가현황(제조소상세)</t>
        </is>
      </c>
      <c r="J395" s="17" t="inlineStr">
        <is>
          <t>https://www.data.go.kr/data/15095682/openapi.do</t>
        </is>
      </c>
      <c r="K395" s="17" t="inlineStr">
        <is>
          <t>2026-07-06</t>
        </is>
      </c>
      <c r="L395" s="17" t="inlineStr">
        <is>
          <t>A</t>
        </is>
      </c>
      <c r="M395" s="17" t="inlineStr">
        <is>
          <t>공장 대표번호</t>
        </is>
      </c>
    </row>
    <row r="396">
      <c r="A396" s="17" t="inlineStr">
        <is>
          <t>C299</t>
        </is>
      </c>
      <c r="B396" s="17" t="inlineStr">
        <is>
          <t>코오롱생명과학</t>
        </is>
      </c>
      <c r="C396" s="17" t="inlineStr">
        <is>
          <t>코오롱생명과학(주)</t>
        </is>
      </c>
      <c r="D396" s="17" t="inlineStr">
        <is>
          <t>상장정보</t>
        </is>
      </c>
      <c r="E396" s="17" t="inlineStr">
        <is>
          <t>코스닥/102940</t>
        </is>
      </c>
      <c r="F396" s="17" t="inlineStr"/>
      <c r="G396" s="17" t="inlineStr">
        <is>
          <t>2026-07-06</t>
        </is>
      </c>
      <c r="H396" s="17" t="inlineStr">
        <is>
          <t>한국거래소 KIND</t>
        </is>
      </c>
      <c r="I396" s="17" t="inlineStr">
        <is>
          <t>상장법인목록</t>
        </is>
      </c>
      <c r="J396" s="17" t="inlineStr">
        <is>
          <t>https://kind.krx.co.kr</t>
        </is>
      </c>
      <c r="K396" s="17" t="inlineStr">
        <is>
          <t>2026-07-06</t>
        </is>
      </c>
      <c r="L396" s="17" t="inlineStr">
        <is>
          <t>A</t>
        </is>
      </c>
      <c r="M396" s="17" t="inlineStr"/>
    </row>
    <row r="397">
      <c r="A397" s="17" t="inlineStr">
        <is>
          <t>C300</t>
        </is>
      </c>
      <c r="B397" s="17" t="inlineStr">
        <is>
          <t>그린생명과학</t>
        </is>
      </c>
      <c r="C397" s="17" t="inlineStr">
        <is>
          <t>그린생명과학(주)</t>
        </is>
      </c>
      <c r="D397" s="17" t="inlineStr">
        <is>
          <t>대표전화</t>
        </is>
      </c>
      <c r="E397" s="17" t="inlineStr">
        <is>
          <t>061-688-4840</t>
        </is>
      </c>
      <c r="F397" s="17" t="inlineStr"/>
      <c r="G397" s="17" t="inlineStr">
        <is>
          <t>2026-07-06</t>
        </is>
      </c>
      <c r="H397" s="17" t="inlineStr">
        <is>
          <t>식품의약품안전처</t>
        </is>
      </c>
      <c r="I397" s="17" t="inlineStr">
        <is>
          <t>의약품 등 업체허가현황(제조소상세)</t>
        </is>
      </c>
      <c r="J397" s="17" t="inlineStr">
        <is>
          <t>https://www.data.go.kr/data/15095682/openapi.do</t>
        </is>
      </c>
      <c r="K397" s="17" t="inlineStr">
        <is>
          <t>2026-07-06</t>
        </is>
      </c>
      <c r="L397" s="17" t="inlineStr">
        <is>
          <t>A</t>
        </is>
      </c>
      <c r="M397" s="17" t="inlineStr">
        <is>
          <t>공장 대표번호</t>
        </is>
      </c>
    </row>
    <row r="398">
      <c r="A398" s="17" t="inlineStr">
        <is>
          <t>C300</t>
        </is>
      </c>
      <c r="B398" s="17" t="inlineStr">
        <is>
          <t>그린생명과학</t>
        </is>
      </c>
      <c r="C398" s="17" t="inlineStr">
        <is>
          <t>그린생명과학(주)</t>
        </is>
      </c>
      <c r="D398" s="17" t="inlineStr">
        <is>
          <t>상장정보</t>
        </is>
      </c>
      <c r="E398" s="17" t="inlineStr">
        <is>
          <t>코스닥/114450</t>
        </is>
      </c>
      <c r="F398" s="17" t="inlineStr"/>
      <c r="G398" s="17" t="inlineStr">
        <is>
          <t>2026-07-06</t>
        </is>
      </c>
      <c r="H398" s="17" t="inlineStr">
        <is>
          <t>한국거래소 KIND</t>
        </is>
      </c>
      <c r="I398" s="17" t="inlineStr">
        <is>
          <t>상장법인목록</t>
        </is>
      </c>
      <c r="J398" s="17" t="inlineStr">
        <is>
          <t>https://kind.krx.co.kr</t>
        </is>
      </c>
      <c r="K398" s="17" t="inlineStr">
        <is>
          <t>2026-07-06</t>
        </is>
      </c>
      <c r="L398" s="17" t="inlineStr">
        <is>
          <t>A</t>
        </is>
      </c>
      <c r="M398" s="17" t="inlineStr"/>
    </row>
    <row r="399">
      <c r="A399" s="17" t="inlineStr">
        <is>
          <t>C300</t>
        </is>
      </c>
      <c r="B399" s="17" t="inlineStr">
        <is>
          <t>그린생명과학</t>
        </is>
      </c>
      <c r="C399" s="17" t="inlineStr">
        <is>
          <t>그린생명과학(주)</t>
        </is>
      </c>
      <c r="D399" s="17" t="inlineStr">
        <is>
          <t>홈페이지</t>
        </is>
      </c>
      <c r="E399" s="17" t="inlineStr">
        <is>
          <t>http://www.kpxls.com/</t>
        </is>
      </c>
      <c r="F399" s="17" t="inlineStr"/>
      <c r="G399" s="17" t="inlineStr">
        <is>
          <t>2026-07-06</t>
        </is>
      </c>
      <c r="H399" s="17" t="inlineStr">
        <is>
          <t>한국거래소 KIND</t>
        </is>
      </c>
      <c r="I399" s="17" t="inlineStr">
        <is>
          <t>상장법인목록</t>
        </is>
      </c>
      <c r="J399" s="17" t="inlineStr">
        <is>
          <t>https://kind.krx.co.kr</t>
        </is>
      </c>
      <c r="K399" s="17" t="inlineStr">
        <is>
          <t>2026-07-06</t>
        </is>
      </c>
      <c r="L399" s="17" t="inlineStr">
        <is>
          <t>A</t>
        </is>
      </c>
      <c r="M399" s="17" t="inlineStr"/>
    </row>
    <row r="400">
      <c r="A400" s="17" t="inlineStr">
        <is>
          <t>C301</t>
        </is>
      </c>
      <c r="B400" s="17" t="inlineStr">
        <is>
          <t>씨엠에스제약</t>
        </is>
      </c>
      <c r="C400" s="17" t="inlineStr">
        <is>
          <t>씨엠에스제약(주)</t>
        </is>
      </c>
      <c r="D400" s="17" t="inlineStr">
        <is>
          <t>대표전화</t>
        </is>
      </c>
      <c r="E400" s="17" t="inlineStr">
        <is>
          <t>043-238-5000</t>
        </is>
      </c>
      <c r="F400" s="17" t="inlineStr"/>
      <c r="G400" s="17" t="inlineStr">
        <is>
          <t>2026-07-06</t>
        </is>
      </c>
      <c r="H400" s="17" t="inlineStr">
        <is>
          <t>식품의약품안전처</t>
        </is>
      </c>
      <c r="I400" s="17" t="inlineStr">
        <is>
          <t>의약품 등 업체허가현황(제조소상세)</t>
        </is>
      </c>
      <c r="J400" s="17" t="inlineStr">
        <is>
          <t>https://www.data.go.kr/data/15095682/openapi.do</t>
        </is>
      </c>
      <c r="K400" s="17" t="inlineStr">
        <is>
          <t>2026-07-06</t>
        </is>
      </c>
      <c r="L400" s="17" t="inlineStr">
        <is>
          <t>A</t>
        </is>
      </c>
      <c r="M400" s="17" t="inlineStr">
        <is>
          <t>공장 대표번호</t>
        </is>
      </c>
    </row>
    <row r="401">
      <c r="A401" s="17" t="inlineStr">
        <is>
          <t>C302</t>
        </is>
      </c>
      <c r="B401" s="17" t="inlineStr">
        <is>
          <t>구주제약</t>
        </is>
      </c>
      <c r="C401" s="17" t="inlineStr">
        <is>
          <t>구주제약(주)</t>
        </is>
      </c>
      <c r="D401" s="17" t="inlineStr">
        <is>
          <t>대표전화</t>
        </is>
      </c>
      <c r="E401" s="17" t="inlineStr">
        <is>
          <t>6721096</t>
        </is>
      </c>
      <c r="F401" s="17" t="inlineStr"/>
      <c r="G401" s="17" t="inlineStr">
        <is>
          <t>2026-07-06</t>
        </is>
      </c>
      <c r="H401" s="17" t="inlineStr">
        <is>
          <t>식품의약품안전처</t>
        </is>
      </c>
      <c r="I401" s="17" t="inlineStr">
        <is>
          <t>의약품 등 업체허가현황(제조소상세)</t>
        </is>
      </c>
      <c r="J401" s="17" t="inlineStr">
        <is>
          <t>https://www.data.go.kr/data/15095682/openapi.do</t>
        </is>
      </c>
      <c r="K401" s="17" t="inlineStr">
        <is>
          <t>2026-07-06</t>
        </is>
      </c>
      <c r="L401" s="17" t="inlineStr">
        <is>
          <t>A</t>
        </is>
      </c>
      <c r="M401" s="17" t="inlineStr">
        <is>
          <t>공장 대표번호</t>
        </is>
      </c>
    </row>
    <row r="402">
      <c r="A402" s="17" t="inlineStr">
        <is>
          <t>C303</t>
        </is>
      </c>
      <c r="B402" s="17" t="inlineStr">
        <is>
          <t>건일제약</t>
        </is>
      </c>
      <c r="C402" s="17" t="inlineStr">
        <is>
          <t>건일제약(주)</t>
        </is>
      </c>
      <c r="D402" s="17" t="inlineStr">
        <is>
          <t>대표전화</t>
        </is>
      </c>
      <c r="E402" s="17" t="inlineStr">
        <is>
          <t>02-2175-9751</t>
        </is>
      </c>
      <c r="F402" s="17" t="inlineStr"/>
      <c r="G402" s="17" t="inlineStr">
        <is>
          <t>2026-07-06</t>
        </is>
      </c>
      <c r="H402" s="17" t="inlineStr">
        <is>
          <t>식품의약품안전처</t>
        </is>
      </c>
      <c r="I402" s="17" t="inlineStr">
        <is>
          <t>의약품 등 업체허가현황(제조소상세)</t>
        </is>
      </c>
      <c r="J402" s="17" t="inlineStr">
        <is>
          <t>https://www.data.go.kr/data/15095682/openapi.do</t>
        </is>
      </c>
      <c r="K402" s="17" t="inlineStr">
        <is>
          <t>2026-07-06</t>
        </is>
      </c>
      <c r="L402" s="17" t="inlineStr">
        <is>
          <t>A</t>
        </is>
      </c>
      <c r="M402" s="17" t="inlineStr">
        <is>
          <t>공장 대표번호</t>
        </is>
      </c>
    </row>
    <row r="403">
      <c r="A403" s="17" t="inlineStr">
        <is>
          <t>C304</t>
        </is>
      </c>
      <c r="B403" s="17" t="inlineStr">
        <is>
          <t>파마리서치바이오</t>
        </is>
      </c>
      <c r="C403" s="17" t="inlineStr">
        <is>
          <t>(주)파마리서치바이오</t>
        </is>
      </c>
      <c r="D403" s="17" t="inlineStr">
        <is>
          <t>상장정보</t>
        </is>
      </c>
      <c r="E403" s="17" t="inlineStr">
        <is>
          <t>코넥스/217950</t>
        </is>
      </c>
      <c r="F403" s="17" t="inlineStr"/>
      <c r="G403" s="17" t="inlineStr">
        <is>
          <t>2026-07-06</t>
        </is>
      </c>
      <c r="H403" s="17" t="inlineStr">
        <is>
          <t>한국거래소 KIND</t>
        </is>
      </c>
      <c r="I403" s="17" t="inlineStr">
        <is>
          <t>상장법인목록</t>
        </is>
      </c>
      <c r="J403" s="17" t="inlineStr">
        <is>
          <t>https://kind.krx.co.kr</t>
        </is>
      </c>
      <c r="K403" s="17" t="inlineStr">
        <is>
          <t>2026-07-06</t>
        </is>
      </c>
      <c r="L403" s="17" t="inlineStr">
        <is>
          <t>A</t>
        </is>
      </c>
      <c r="M403" s="17" t="inlineStr"/>
    </row>
    <row r="404">
      <c r="A404" s="17" t="inlineStr">
        <is>
          <t>C304</t>
        </is>
      </c>
      <c r="B404" s="17" t="inlineStr">
        <is>
          <t>파마리서치바이오</t>
        </is>
      </c>
      <c r="C404" s="17" t="inlineStr">
        <is>
          <t>(주)파마리서치바이오</t>
        </is>
      </c>
      <c r="D404" s="17" t="inlineStr">
        <is>
          <t>홈페이지</t>
        </is>
      </c>
      <c r="E404" s="17" t="inlineStr">
        <is>
          <t>http://www.pr-bio.co.kr</t>
        </is>
      </c>
      <c r="F404" s="17" t="inlineStr"/>
      <c r="G404" s="17" t="inlineStr">
        <is>
          <t>2026-07-06</t>
        </is>
      </c>
      <c r="H404" s="17" t="inlineStr">
        <is>
          <t>한국거래소 KIND</t>
        </is>
      </c>
      <c r="I404" s="17" t="inlineStr">
        <is>
          <t>상장법인목록</t>
        </is>
      </c>
      <c r="J404" s="17" t="inlineStr">
        <is>
          <t>https://kind.krx.co.kr</t>
        </is>
      </c>
      <c r="K404" s="17" t="inlineStr">
        <is>
          <t>2026-07-06</t>
        </is>
      </c>
      <c r="L404" s="17" t="inlineStr">
        <is>
          <t>A</t>
        </is>
      </c>
      <c r="M404" s="17" t="inlineStr"/>
    </row>
    <row r="405">
      <c r="A405" s="17" t="inlineStr">
        <is>
          <t>C305</t>
        </is>
      </c>
      <c r="B405" s="17" t="inlineStr">
        <is>
          <t>삼영유니텍</t>
        </is>
      </c>
      <c r="C405" s="17" t="inlineStr">
        <is>
          <t>(주)삼영유니텍</t>
        </is>
      </c>
      <c r="D405" s="17" t="inlineStr">
        <is>
          <t>대표전화</t>
        </is>
      </c>
      <c r="E405" s="17" t="inlineStr">
        <is>
          <t>042-863-8982</t>
        </is>
      </c>
      <c r="F405" s="17" t="inlineStr"/>
      <c r="G405" s="17" t="inlineStr">
        <is>
          <t>2026-07-06</t>
        </is>
      </c>
      <c r="H405" s="17" t="inlineStr">
        <is>
          <t>식품의약품안전처</t>
        </is>
      </c>
      <c r="I405" s="17" t="inlineStr">
        <is>
          <t>의약품 등 업체허가현황(제조소상세)</t>
        </is>
      </c>
      <c r="J405" s="17" t="inlineStr">
        <is>
          <t>https://www.data.go.kr/data/15095682/openapi.do</t>
        </is>
      </c>
      <c r="K405" s="17" t="inlineStr">
        <is>
          <t>2026-07-06</t>
        </is>
      </c>
      <c r="L405" s="17" t="inlineStr">
        <is>
          <t>A</t>
        </is>
      </c>
      <c r="M405" s="17" t="inlineStr">
        <is>
          <t>공장 대표번호</t>
        </is>
      </c>
    </row>
    <row r="406">
      <c r="A406" s="17" t="inlineStr">
        <is>
          <t>C306</t>
        </is>
      </c>
      <c r="B406" s="17" t="inlineStr">
        <is>
          <t>한서켐</t>
        </is>
      </c>
      <c r="C406" s="17" t="inlineStr">
        <is>
          <t>(주)한서켐</t>
        </is>
      </c>
      <c r="D406" s="17" t="inlineStr">
        <is>
          <t>대표전화</t>
        </is>
      </c>
      <c r="E406" s="17" t="inlineStr">
        <is>
          <t>031-682-8655</t>
        </is>
      </c>
      <c r="F406" s="17" t="inlineStr"/>
      <c r="G406" s="17" t="inlineStr">
        <is>
          <t>2026-07-06</t>
        </is>
      </c>
      <c r="H406" s="17" t="inlineStr">
        <is>
          <t>식품의약품안전처</t>
        </is>
      </c>
      <c r="I406" s="17" t="inlineStr">
        <is>
          <t>의약품 등 업체허가현황(제조소상세)</t>
        </is>
      </c>
      <c r="J406" s="17" t="inlineStr">
        <is>
          <t>https://www.data.go.kr/data/15095682/openapi.do</t>
        </is>
      </c>
      <c r="K406" s="17" t="inlineStr">
        <is>
          <t>2026-07-06</t>
        </is>
      </c>
      <c r="L406" s="17" t="inlineStr">
        <is>
          <t>A</t>
        </is>
      </c>
      <c r="M406" s="17" t="inlineStr">
        <is>
          <t>공장 대표번호</t>
        </is>
      </c>
    </row>
    <row r="407">
      <c r="A407" s="17" t="inlineStr">
        <is>
          <t>C307</t>
        </is>
      </c>
      <c r="B407" s="17" t="inlineStr">
        <is>
          <t>구미제약</t>
        </is>
      </c>
      <c r="C407" s="17" t="inlineStr">
        <is>
          <t>구미제약(주)</t>
        </is>
      </c>
      <c r="D407" s="17" t="inlineStr">
        <is>
          <t>대표전화</t>
        </is>
      </c>
      <c r="E407" s="17" t="inlineStr">
        <is>
          <t>031-989-8226</t>
        </is>
      </c>
      <c r="F407" s="17" t="inlineStr"/>
      <c r="G407" s="17" t="inlineStr">
        <is>
          <t>2026-07-06</t>
        </is>
      </c>
      <c r="H407" s="17" t="inlineStr">
        <is>
          <t>식품의약품안전처</t>
        </is>
      </c>
      <c r="I407" s="17" t="inlineStr">
        <is>
          <t>의약품 등 업체허가현황(제조소상세)</t>
        </is>
      </c>
      <c r="J407" s="17" t="inlineStr">
        <is>
          <t>https://www.data.go.kr/data/15095682/openapi.do</t>
        </is>
      </c>
      <c r="K407" s="17" t="inlineStr">
        <is>
          <t>2026-07-06</t>
        </is>
      </c>
      <c r="L407" s="17" t="inlineStr">
        <is>
          <t>A</t>
        </is>
      </c>
      <c r="M407" s="17" t="inlineStr">
        <is>
          <t>공장 대표번호</t>
        </is>
      </c>
    </row>
    <row r="408">
      <c r="A408" s="17" t="inlineStr">
        <is>
          <t>C308</t>
        </is>
      </c>
      <c r="B408" s="17" t="inlineStr">
        <is>
          <t>삼오제약</t>
        </is>
      </c>
      <c r="C408" s="17" t="inlineStr">
        <is>
          <t>(주)삼오제약</t>
        </is>
      </c>
      <c r="D408" s="17" t="inlineStr">
        <is>
          <t>대표전화</t>
        </is>
      </c>
      <c r="E408" s="17" t="inlineStr">
        <is>
          <t>031-498-0355</t>
        </is>
      </c>
      <c r="F408" s="17" t="inlineStr"/>
      <c r="G408" s="17" t="inlineStr">
        <is>
          <t>2026-07-06</t>
        </is>
      </c>
      <c r="H408" s="17" t="inlineStr">
        <is>
          <t>식품의약품안전처</t>
        </is>
      </c>
      <c r="I408" s="17" t="inlineStr">
        <is>
          <t>의약품 등 업체허가현황(제조소상세)</t>
        </is>
      </c>
      <c r="J408" s="17" t="inlineStr">
        <is>
          <t>https://www.data.go.kr/data/15095682/openapi.do</t>
        </is>
      </c>
      <c r="K408" s="17" t="inlineStr">
        <is>
          <t>2026-07-06</t>
        </is>
      </c>
      <c r="L408" s="17" t="inlineStr">
        <is>
          <t>A</t>
        </is>
      </c>
      <c r="M408" s="17" t="inlineStr">
        <is>
          <t>공장 대표번호</t>
        </is>
      </c>
    </row>
    <row r="409">
      <c r="A409" s="17" t="inlineStr">
        <is>
          <t>C309</t>
        </is>
      </c>
      <c r="B409" s="17" t="inlineStr">
        <is>
          <t>제론셀베인</t>
        </is>
      </c>
      <c r="C409" s="17" t="inlineStr">
        <is>
          <t>주식회사 제론셀베인</t>
        </is>
      </c>
      <c r="D409" s="17" t="inlineStr">
        <is>
          <t>대표전화</t>
        </is>
      </c>
      <c r="E409" s="17" t="inlineStr">
        <is>
          <t>041-533-9889</t>
        </is>
      </c>
      <c r="F409" s="17" t="inlineStr"/>
      <c r="G409" s="17" t="inlineStr">
        <is>
          <t>2026-07-06</t>
        </is>
      </c>
      <c r="H409" s="17" t="inlineStr">
        <is>
          <t>식품의약품안전처</t>
        </is>
      </c>
      <c r="I409" s="17" t="inlineStr">
        <is>
          <t>의약품 등 업체허가현황(제조소상세)</t>
        </is>
      </c>
      <c r="J409" s="17" t="inlineStr">
        <is>
          <t>https://www.data.go.kr/data/15095682/openapi.do</t>
        </is>
      </c>
      <c r="K409" s="17" t="inlineStr">
        <is>
          <t>2026-07-06</t>
        </is>
      </c>
      <c r="L409" s="17" t="inlineStr">
        <is>
          <t>A</t>
        </is>
      </c>
      <c r="M409" s="17" t="inlineStr">
        <is>
          <t>공장 대표번호</t>
        </is>
      </c>
    </row>
    <row r="410">
      <c r="A410" s="17" t="inlineStr">
        <is>
          <t>C310</t>
        </is>
      </c>
      <c r="B410" s="17" t="inlineStr">
        <is>
          <t>단일에이피</t>
        </is>
      </c>
      <c r="C410" s="17" t="inlineStr">
        <is>
          <t>단일에이피(주)</t>
        </is>
      </c>
      <c r="D410" s="17" t="inlineStr">
        <is>
          <t>대표전화</t>
        </is>
      </c>
      <c r="E410" s="17" t="inlineStr">
        <is>
          <t>031-563-3379</t>
        </is>
      </c>
      <c r="F410" s="17" t="inlineStr"/>
      <c r="G410" s="17" t="inlineStr">
        <is>
          <t>2026-07-06</t>
        </is>
      </c>
      <c r="H410" s="17" t="inlineStr">
        <is>
          <t>식품의약품안전처</t>
        </is>
      </c>
      <c r="I410" s="17" t="inlineStr">
        <is>
          <t>의약품 등 업체허가현황(제조소상세)</t>
        </is>
      </c>
      <c r="J410" s="17" t="inlineStr">
        <is>
          <t>https://www.data.go.kr/data/15095682/openapi.do</t>
        </is>
      </c>
      <c r="K410" s="17" t="inlineStr">
        <is>
          <t>2026-07-06</t>
        </is>
      </c>
      <c r="L410" s="17" t="inlineStr">
        <is>
          <t>A</t>
        </is>
      </c>
      <c r="M410" s="17" t="inlineStr">
        <is>
          <t>공장 대표번호</t>
        </is>
      </c>
    </row>
    <row r="411">
      <c r="A411" s="17" t="inlineStr">
        <is>
          <t>C311</t>
        </is>
      </c>
      <c r="B411" s="17" t="inlineStr">
        <is>
          <t>동인화학</t>
        </is>
      </c>
      <c r="C411" s="17" t="inlineStr">
        <is>
          <t>(주)동인화학</t>
        </is>
      </c>
      <c r="D411" s="17" t="inlineStr">
        <is>
          <t>대표전화</t>
        </is>
      </c>
      <c r="E411" s="17" t="inlineStr">
        <is>
          <t>031-665-0972</t>
        </is>
      </c>
      <c r="F411" s="17" t="inlineStr"/>
      <c r="G411" s="17" t="inlineStr">
        <is>
          <t>2026-07-06</t>
        </is>
      </c>
      <c r="H411" s="17" t="inlineStr">
        <is>
          <t>식품의약품안전처</t>
        </is>
      </c>
      <c r="I411" s="17" t="inlineStr">
        <is>
          <t>의약품 등 업체허가현황(제조소상세)</t>
        </is>
      </c>
      <c r="J411" s="17" t="inlineStr">
        <is>
          <t>https://www.data.go.kr/data/15095682/openapi.do</t>
        </is>
      </c>
      <c r="K411" s="17" t="inlineStr">
        <is>
          <t>2026-07-06</t>
        </is>
      </c>
      <c r="L411" s="17" t="inlineStr">
        <is>
          <t>A</t>
        </is>
      </c>
      <c r="M411" s="17" t="inlineStr">
        <is>
          <t>공장 대표번호</t>
        </is>
      </c>
    </row>
    <row r="412">
      <c r="A412" s="17" t="inlineStr">
        <is>
          <t>C312</t>
        </is>
      </c>
      <c r="B412" s="17" t="inlineStr">
        <is>
          <t>명문제약</t>
        </is>
      </c>
      <c r="C412" s="17" t="inlineStr">
        <is>
          <t>명문제약(주)</t>
        </is>
      </c>
      <c r="D412" s="17" t="inlineStr">
        <is>
          <t>상장정보</t>
        </is>
      </c>
      <c r="E412" s="17" t="inlineStr">
        <is>
          <t>유가/017180</t>
        </is>
      </c>
      <c r="F412" s="17" t="inlineStr"/>
      <c r="G412" s="17" t="inlineStr">
        <is>
          <t>2026-07-06</t>
        </is>
      </c>
      <c r="H412" s="17" t="inlineStr">
        <is>
          <t>한국거래소 KIND</t>
        </is>
      </c>
      <c r="I412" s="17" t="inlineStr">
        <is>
          <t>상장법인목록</t>
        </is>
      </c>
      <c r="J412" s="17" t="inlineStr">
        <is>
          <t>https://kind.krx.co.kr</t>
        </is>
      </c>
      <c r="K412" s="17" t="inlineStr">
        <is>
          <t>2026-07-06</t>
        </is>
      </c>
      <c r="L412" s="17" t="inlineStr">
        <is>
          <t>A</t>
        </is>
      </c>
      <c r="M412" s="17" t="inlineStr"/>
    </row>
    <row r="413">
      <c r="A413" s="17" t="inlineStr">
        <is>
          <t>C312</t>
        </is>
      </c>
      <c r="B413" s="17" t="inlineStr">
        <is>
          <t>명문제약</t>
        </is>
      </c>
      <c r="C413" s="17" t="inlineStr">
        <is>
          <t>명문제약(주)</t>
        </is>
      </c>
      <c r="D413" s="17" t="inlineStr">
        <is>
          <t>홈페이지</t>
        </is>
      </c>
      <c r="E413" s="17" t="inlineStr">
        <is>
          <t>http://www.mmpharm.co.kr</t>
        </is>
      </c>
      <c r="F413" s="17" t="inlineStr"/>
      <c r="G413" s="17" t="inlineStr">
        <is>
          <t>2026-07-06</t>
        </is>
      </c>
      <c r="H413" s="17" t="inlineStr">
        <is>
          <t>한국거래소 KIND</t>
        </is>
      </c>
      <c r="I413" s="17" t="inlineStr">
        <is>
          <t>상장법인목록</t>
        </is>
      </c>
      <c r="J413" s="17" t="inlineStr">
        <is>
          <t>https://kind.krx.co.kr</t>
        </is>
      </c>
      <c r="K413" s="17" t="inlineStr">
        <is>
          <t>2026-07-06</t>
        </is>
      </c>
      <c r="L413" s="17" t="inlineStr">
        <is>
          <t>A</t>
        </is>
      </c>
      <c r="M413" s="17" t="inlineStr"/>
    </row>
    <row r="414">
      <c r="A414" s="17" t="inlineStr">
        <is>
          <t>C314</t>
        </is>
      </c>
      <c r="B414" s="17" t="inlineStr">
        <is>
          <t>나노팜</t>
        </is>
      </c>
      <c r="C414" s="17" t="inlineStr">
        <is>
          <t>(주)나노팜</t>
        </is>
      </c>
      <c r="D414" s="17" t="inlineStr">
        <is>
          <t>대표전화</t>
        </is>
      </c>
      <c r="E414" s="17" t="inlineStr">
        <is>
          <t>043-5337-7804</t>
        </is>
      </c>
      <c r="F414" s="17" t="inlineStr"/>
      <c r="G414" s="17" t="inlineStr">
        <is>
          <t>2026-07-06</t>
        </is>
      </c>
      <c r="H414" s="17" t="inlineStr">
        <is>
          <t>식품의약품안전처</t>
        </is>
      </c>
      <c r="I414" s="17" t="inlineStr">
        <is>
          <t>의약품 등 업체허가현황(제조소상세)</t>
        </is>
      </c>
      <c r="J414" s="17" t="inlineStr">
        <is>
          <t>https://www.data.go.kr/data/15095682/openapi.do</t>
        </is>
      </c>
      <c r="K414" s="17" t="inlineStr">
        <is>
          <t>2026-07-06</t>
        </is>
      </c>
      <c r="L414" s="17" t="inlineStr">
        <is>
          <t>A</t>
        </is>
      </c>
      <c r="M414" s="17" t="inlineStr">
        <is>
          <t>공장 대표번호</t>
        </is>
      </c>
    </row>
    <row r="415">
      <c r="A415" s="17" t="inlineStr">
        <is>
          <t>C315</t>
        </is>
      </c>
      <c r="B415" s="17" t="inlineStr">
        <is>
          <t>덕양가스</t>
        </is>
      </c>
      <c r="C415" s="17" t="inlineStr">
        <is>
          <t>(주)덕양가스</t>
        </is>
      </c>
      <c r="D415" s="17" t="inlineStr">
        <is>
          <t>대표전화</t>
        </is>
      </c>
      <c r="E415" s="17" t="inlineStr">
        <is>
          <t>052-282-8100</t>
        </is>
      </c>
      <c r="F415" s="17" t="inlineStr"/>
      <c r="G415" s="17" t="inlineStr">
        <is>
          <t>2026-07-06</t>
        </is>
      </c>
      <c r="H415" s="17" t="inlineStr">
        <is>
          <t>식품의약품안전처</t>
        </is>
      </c>
      <c r="I415" s="17" t="inlineStr">
        <is>
          <t>의약품 등 업체허가현황(제조소상세)</t>
        </is>
      </c>
      <c r="J415" s="17" t="inlineStr">
        <is>
          <t>https://www.data.go.kr/data/15095682/openapi.do</t>
        </is>
      </c>
      <c r="K415" s="17" t="inlineStr">
        <is>
          <t>2026-07-06</t>
        </is>
      </c>
      <c r="L415" s="17" t="inlineStr">
        <is>
          <t>A</t>
        </is>
      </c>
      <c r="M415" s="17" t="inlineStr">
        <is>
          <t>공장 대표번호</t>
        </is>
      </c>
    </row>
    <row r="416">
      <c r="A416" s="17" t="inlineStr">
        <is>
          <t>C317</t>
        </is>
      </c>
      <c r="B416" s="17" t="inlineStr">
        <is>
          <t>하이플생명과학</t>
        </is>
      </c>
      <c r="C416" s="17" t="inlineStr">
        <is>
          <t>하이플생명과학(주)</t>
        </is>
      </c>
      <c r="D416" s="17" t="inlineStr">
        <is>
          <t>대표전화</t>
        </is>
      </c>
      <c r="E416" s="17" t="inlineStr">
        <is>
          <t>031-319-1990</t>
        </is>
      </c>
      <c r="F416" s="17" t="inlineStr"/>
      <c r="G416" s="17" t="inlineStr">
        <is>
          <t>2026-07-06</t>
        </is>
      </c>
      <c r="H416" s="17" t="inlineStr">
        <is>
          <t>식품의약품안전처</t>
        </is>
      </c>
      <c r="I416" s="17" t="inlineStr">
        <is>
          <t>의약품 등 업체허가현황(제조소상세)</t>
        </is>
      </c>
      <c r="J416" s="17" t="inlineStr">
        <is>
          <t>https://www.data.go.kr/data/15095682/openapi.do</t>
        </is>
      </c>
      <c r="K416" s="17" t="inlineStr">
        <is>
          <t>2026-07-06</t>
        </is>
      </c>
      <c r="L416" s="17" t="inlineStr">
        <is>
          <t>A</t>
        </is>
      </c>
      <c r="M416" s="17" t="inlineStr">
        <is>
          <t>공장 대표번호</t>
        </is>
      </c>
    </row>
    <row r="417">
      <c r="A417" s="17" t="inlineStr">
        <is>
          <t>C318</t>
        </is>
      </c>
      <c r="B417" s="17" t="inlineStr">
        <is>
          <t>덕산약품공업</t>
        </is>
      </c>
      <c r="C417" s="17" t="inlineStr">
        <is>
          <t>덕산약품공업(주)</t>
        </is>
      </c>
      <c r="D417" s="17" t="inlineStr">
        <is>
          <t>대표전화</t>
        </is>
      </c>
      <c r="E417" s="17" t="inlineStr">
        <is>
          <t>031-495-4055</t>
        </is>
      </c>
      <c r="F417" s="17" t="inlineStr"/>
      <c r="G417" s="17" t="inlineStr">
        <is>
          <t>2026-07-06</t>
        </is>
      </c>
      <c r="H417" s="17" t="inlineStr">
        <is>
          <t>식품의약품안전처</t>
        </is>
      </c>
      <c r="I417" s="17" t="inlineStr">
        <is>
          <t>의약품 등 업체허가현황(제조소상세)</t>
        </is>
      </c>
      <c r="J417" s="17" t="inlineStr">
        <is>
          <t>https://www.data.go.kr/data/15095682/openapi.do</t>
        </is>
      </c>
      <c r="K417" s="17" t="inlineStr">
        <is>
          <t>2026-07-06</t>
        </is>
      </c>
      <c r="L417" s="17" t="inlineStr">
        <is>
          <t>A</t>
        </is>
      </c>
      <c r="M417" s="17" t="inlineStr">
        <is>
          <t>공장 대표번호</t>
        </is>
      </c>
    </row>
    <row r="418">
      <c r="A418" s="17" t="inlineStr">
        <is>
          <t>C320</t>
        </is>
      </c>
      <c r="B418" s="17" t="inlineStr">
        <is>
          <t>큐앤큐팜</t>
        </is>
      </c>
      <c r="C418" s="17" t="inlineStr">
        <is>
          <t>큐앤큐팜(주)</t>
        </is>
      </c>
      <c r="D418" s="17" t="inlineStr">
        <is>
          <t>대표전화</t>
        </is>
      </c>
      <c r="E418" s="17" t="inlineStr">
        <is>
          <t>044-867-6400</t>
        </is>
      </c>
      <c r="F418" s="17" t="inlineStr"/>
      <c r="G418" s="17" t="inlineStr">
        <is>
          <t>2026-07-06</t>
        </is>
      </c>
      <c r="H418" s="17" t="inlineStr">
        <is>
          <t>식품의약품안전처</t>
        </is>
      </c>
      <c r="I418" s="17" t="inlineStr">
        <is>
          <t>의약품 등 업체허가현황(제조소상세)</t>
        </is>
      </c>
      <c r="J418" s="17" t="inlineStr">
        <is>
          <t>https://www.data.go.kr/data/15095682/openapi.do</t>
        </is>
      </c>
      <c r="K418" s="17" t="inlineStr">
        <is>
          <t>2026-07-06</t>
        </is>
      </c>
      <c r="L418" s="17" t="inlineStr">
        <is>
          <t>A</t>
        </is>
      </c>
      <c r="M418" s="17" t="inlineStr">
        <is>
          <t>공장 대표번호</t>
        </is>
      </c>
    </row>
    <row r="419">
      <c r="A419" s="17" t="inlineStr">
        <is>
          <t>C321</t>
        </is>
      </c>
      <c r="B419" s="17" t="inlineStr">
        <is>
          <t>대신무약</t>
        </is>
      </c>
      <c r="C419" s="17" t="inlineStr">
        <is>
          <t>대신무약(주)</t>
        </is>
      </c>
      <c r="D419" s="17" t="inlineStr">
        <is>
          <t>대표전화</t>
        </is>
      </c>
      <c r="E419" s="17" t="inlineStr">
        <is>
          <t>5725841</t>
        </is>
      </c>
      <c r="F419" s="17" t="inlineStr"/>
      <c r="G419" s="17" t="inlineStr">
        <is>
          <t>2026-07-06</t>
        </is>
      </c>
      <c r="H419" s="17" t="inlineStr">
        <is>
          <t>식품의약품안전처</t>
        </is>
      </c>
      <c r="I419" s="17" t="inlineStr">
        <is>
          <t>의약품 등 업체허가현황(제조소상세)</t>
        </is>
      </c>
      <c r="J419" s="17" t="inlineStr">
        <is>
          <t>https://www.data.go.kr/data/15095682/openapi.do</t>
        </is>
      </c>
      <c r="K419" s="17" t="inlineStr">
        <is>
          <t>2026-07-06</t>
        </is>
      </c>
      <c r="L419" s="17" t="inlineStr">
        <is>
          <t>A</t>
        </is>
      </c>
      <c r="M419" s="17" t="inlineStr">
        <is>
          <t>공장 대표번호</t>
        </is>
      </c>
    </row>
    <row r="420">
      <c r="A420" s="17" t="inlineStr">
        <is>
          <t>C322</t>
        </is>
      </c>
      <c r="B420" s="17" t="inlineStr">
        <is>
          <t>에어젠</t>
        </is>
      </c>
      <c r="C420" s="17" t="inlineStr">
        <is>
          <t>에어젠</t>
        </is>
      </c>
      <c r="D420" s="17" t="inlineStr">
        <is>
          <t>대표전화</t>
        </is>
      </c>
      <c r="E420" s="17" t="inlineStr">
        <is>
          <t>053-424-1312</t>
        </is>
      </c>
      <c r="F420" s="17" t="inlineStr"/>
      <c r="G420" s="17" t="inlineStr">
        <is>
          <t>2026-07-06</t>
        </is>
      </c>
      <c r="H420" s="17" t="inlineStr">
        <is>
          <t>식품의약품안전처</t>
        </is>
      </c>
      <c r="I420" s="17" t="inlineStr">
        <is>
          <t>의약품 등 업체허가현황(제조소상세)</t>
        </is>
      </c>
      <c r="J420" s="17" t="inlineStr">
        <is>
          <t>https://www.data.go.kr/data/15095682/openapi.do</t>
        </is>
      </c>
      <c r="K420" s="17" t="inlineStr">
        <is>
          <t>2026-07-06</t>
        </is>
      </c>
      <c r="L420" s="17" t="inlineStr">
        <is>
          <t>A</t>
        </is>
      </c>
      <c r="M420" s="17" t="inlineStr">
        <is>
          <t>공장 대표번호</t>
        </is>
      </c>
    </row>
    <row r="421">
      <c r="A421" s="17" t="inlineStr">
        <is>
          <t>C323</t>
        </is>
      </c>
      <c r="B421" s="17" t="inlineStr">
        <is>
          <t>이화산업가스</t>
        </is>
      </c>
      <c r="C421" s="17" t="inlineStr">
        <is>
          <t>이화산업가스주식회사</t>
        </is>
      </c>
      <c r="D421" s="17" t="inlineStr">
        <is>
          <t>대표전화</t>
        </is>
      </c>
      <c r="E421" s="17" t="inlineStr">
        <is>
          <t>032-578-2345</t>
        </is>
      </c>
      <c r="F421" s="17" t="inlineStr"/>
      <c r="G421" s="17" t="inlineStr">
        <is>
          <t>2026-07-06</t>
        </is>
      </c>
      <c r="H421" s="17" t="inlineStr">
        <is>
          <t>식품의약품안전처</t>
        </is>
      </c>
      <c r="I421" s="17" t="inlineStr">
        <is>
          <t>의약품 등 업체허가현황(제조소상세)</t>
        </is>
      </c>
      <c r="J421" s="17" t="inlineStr">
        <is>
          <t>https://www.data.go.kr/data/15095682/openapi.do</t>
        </is>
      </c>
      <c r="K421" s="17" t="inlineStr">
        <is>
          <t>2026-07-06</t>
        </is>
      </c>
      <c r="L421" s="17" t="inlineStr">
        <is>
          <t>A</t>
        </is>
      </c>
      <c r="M421" s="17" t="inlineStr">
        <is>
          <t>공장 대표번호</t>
        </is>
      </c>
    </row>
    <row r="422">
      <c r="A422" s="17" t="inlineStr">
        <is>
          <t>C324</t>
        </is>
      </c>
      <c r="B422" s="17" t="inlineStr">
        <is>
          <t>일양바이오팜</t>
        </is>
      </c>
      <c r="C422" s="17" t="inlineStr">
        <is>
          <t>일양바이오팜(주)</t>
        </is>
      </c>
      <c r="D422" s="17" t="inlineStr">
        <is>
          <t>대표전화</t>
        </is>
      </c>
      <c r="E422" s="17" t="inlineStr">
        <is>
          <t>02-570-3972</t>
        </is>
      </c>
      <c r="F422" s="17" t="inlineStr"/>
      <c r="G422" s="17" t="inlineStr">
        <is>
          <t>2026-07-06</t>
        </is>
      </c>
      <c r="H422" s="17" t="inlineStr">
        <is>
          <t>식품의약품안전처</t>
        </is>
      </c>
      <c r="I422" s="17" t="inlineStr">
        <is>
          <t>의약품 등 업체허가현황(제조소상세)</t>
        </is>
      </c>
      <c r="J422" s="17" t="inlineStr">
        <is>
          <t>https://www.data.go.kr/data/15095682/openapi.do</t>
        </is>
      </c>
      <c r="K422" s="17" t="inlineStr">
        <is>
          <t>2026-07-06</t>
        </is>
      </c>
      <c r="L422" s="17" t="inlineStr">
        <is>
          <t>A</t>
        </is>
      </c>
      <c r="M422" s="17" t="inlineStr">
        <is>
          <t>공장 대표번호</t>
        </is>
      </c>
    </row>
    <row r="423">
      <c r="A423" s="17" t="inlineStr">
        <is>
          <t>C325</t>
        </is>
      </c>
      <c r="B423" s="17" t="inlineStr">
        <is>
          <t>씨엘팜</t>
        </is>
      </c>
      <c r="C423" s="17" t="inlineStr">
        <is>
          <t>(주)씨엘팜</t>
        </is>
      </c>
      <c r="D423" s="17" t="inlineStr">
        <is>
          <t>대표전화</t>
        </is>
      </c>
      <c r="E423" s="17" t="inlineStr">
        <is>
          <t>041-546-1661</t>
        </is>
      </c>
      <c r="F423" s="17" t="inlineStr"/>
      <c r="G423" s="17" t="inlineStr">
        <is>
          <t>2026-07-06</t>
        </is>
      </c>
      <c r="H423" s="17" t="inlineStr">
        <is>
          <t>식품의약품안전처</t>
        </is>
      </c>
      <c r="I423" s="17" t="inlineStr">
        <is>
          <t>의약품 등 업체허가현황(제조소상세)</t>
        </is>
      </c>
      <c r="J423" s="17" t="inlineStr">
        <is>
          <t>https://www.data.go.kr/data/15095682/openapi.do</t>
        </is>
      </c>
      <c r="K423" s="17" t="inlineStr">
        <is>
          <t>2026-07-06</t>
        </is>
      </c>
      <c r="L423" s="17" t="inlineStr">
        <is>
          <t>A</t>
        </is>
      </c>
      <c r="M423" s="17" t="inlineStr">
        <is>
          <t>공장 대표번호</t>
        </is>
      </c>
    </row>
    <row r="424">
      <c r="A424" s="17" t="inlineStr">
        <is>
          <t>C326</t>
        </is>
      </c>
      <c r="B424" s="17" t="inlineStr">
        <is>
          <t>미래바이오제약</t>
        </is>
      </c>
      <c r="C424" s="17" t="inlineStr">
        <is>
          <t>미래바이오제약(주)</t>
        </is>
      </c>
      <c r="D424" s="17" t="inlineStr">
        <is>
          <t>대표전화</t>
        </is>
      </c>
      <c r="E424" s="17" t="inlineStr">
        <is>
          <t>031-672-0221</t>
        </is>
      </c>
      <c r="F424" s="17" t="inlineStr"/>
      <c r="G424" s="17" t="inlineStr">
        <is>
          <t>2026-07-06</t>
        </is>
      </c>
      <c r="H424" s="17" t="inlineStr">
        <is>
          <t>식품의약품안전처</t>
        </is>
      </c>
      <c r="I424" s="17" t="inlineStr">
        <is>
          <t>의약품 등 업체허가현황(제조소상세)</t>
        </is>
      </c>
      <c r="J424" s="17" t="inlineStr">
        <is>
          <t>https://www.data.go.kr/data/15095682/openapi.do</t>
        </is>
      </c>
      <c r="K424" s="17" t="inlineStr">
        <is>
          <t>2026-07-06</t>
        </is>
      </c>
      <c r="L424" s="17" t="inlineStr">
        <is>
          <t>A</t>
        </is>
      </c>
      <c r="M424" s="17" t="inlineStr">
        <is>
          <t>공장 대표번호</t>
        </is>
      </c>
    </row>
    <row r="425">
      <c r="A425" s="17" t="inlineStr">
        <is>
          <t>C327</t>
        </is>
      </c>
      <c r="B425" s="17" t="inlineStr">
        <is>
          <t>휴젤</t>
        </is>
      </c>
      <c r="C425" s="17" t="inlineStr">
        <is>
          <t>휴젤주식회사</t>
        </is>
      </c>
      <c r="D425" s="17" t="inlineStr">
        <is>
          <t>대표전화</t>
        </is>
      </c>
      <c r="E425" s="17" t="inlineStr">
        <is>
          <t>033-255-3882</t>
        </is>
      </c>
      <c r="F425" s="17" t="inlineStr"/>
      <c r="G425" s="17" t="inlineStr">
        <is>
          <t>2026-07-06</t>
        </is>
      </c>
      <c r="H425" s="17" t="inlineStr">
        <is>
          <t>식품의약품안전처</t>
        </is>
      </c>
      <c r="I425" s="17" t="inlineStr">
        <is>
          <t>의약품 등 업체허가현황(제조소상세)</t>
        </is>
      </c>
      <c r="J425" s="17" t="inlineStr">
        <is>
          <t>https://www.data.go.kr/data/15095682/openapi.do</t>
        </is>
      </c>
      <c r="K425" s="17" t="inlineStr">
        <is>
          <t>2026-07-06</t>
        </is>
      </c>
      <c r="L425" s="17" t="inlineStr">
        <is>
          <t>A</t>
        </is>
      </c>
      <c r="M425" s="17" t="inlineStr">
        <is>
          <t>공장 대표번호</t>
        </is>
      </c>
    </row>
    <row r="426">
      <c r="A426" s="17" t="inlineStr">
        <is>
          <t>C327</t>
        </is>
      </c>
      <c r="B426" s="17" t="inlineStr">
        <is>
          <t>휴젤</t>
        </is>
      </c>
      <c r="C426" s="17" t="inlineStr">
        <is>
          <t>휴젤주식회사</t>
        </is>
      </c>
      <c r="D426" s="17" t="inlineStr">
        <is>
          <t>상장정보</t>
        </is>
      </c>
      <c r="E426" s="17" t="inlineStr">
        <is>
          <t>코스닥/145020</t>
        </is>
      </c>
      <c r="F426" s="17" t="inlineStr"/>
      <c r="G426" s="17" t="inlineStr">
        <is>
          <t>2026-07-06</t>
        </is>
      </c>
      <c r="H426" s="17" t="inlineStr">
        <is>
          <t>한국거래소 KIND</t>
        </is>
      </c>
      <c r="I426" s="17" t="inlineStr">
        <is>
          <t>상장법인목록</t>
        </is>
      </c>
      <c r="J426" s="17" t="inlineStr">
        <is>
          <t>https://kind.krx.co.kr</t>
        </is>
      </c>
      <c r="K426" s="17" t="inlineStr">
        <is>
          <t>2026-07-06</t>
        </is>
      </c>
      <c r="L426" s="17" t="inlineStr">
        <is>
          <t>A</t>
        </is>
      </c>
      <c r="M426" s="17" t="inlineStr"/>
    </row>
    <row r="427">
      <c r="A427" s="17" t="inlineStr">
        <is>
          <t>C327</t>
        </is>
      </c>
      <c r="B427" s="17" t="inlineStr">
        <is>
          <t>휴젤</t>
        </is>
      </c>
      <c r="C427" s="17" t="inlineStr">
        <is>
          <t>휴젤주식회사</t>
        </is>
      </c>
      <c r="D427" s="17" t="inlineStr">
        <is>
          <t>홈페이지</t>
        </is>
      </c>
      <c r="E427" s="17" t="inlineStr">
        <is>
          <t>http://www.hugel.co.kr</t>
        </is>
      </c>
      <c r="F427" s="17" t="inlineStr"/>
      <c r="G427" s="17" t="inlineStr">
        <is>
          <t>2026-07-06</t>
        </is>
      </c>
      <c r="H427" s="17" t="inlineStr">
        <is>
          <t>한국거래소 KIND</t>
        </is>
      </c>
      <c r="I427" s="17" t="inlineStr">
        <is>
          <t>상장법인목록</t>
        </is>
      </c>
      <c r="J427" s="17" t="inlineStr">
        <is>
          <t>https://kind.krx.co.kr</t>
        </is>
      </c>
      <c r="K427" s="17" t="inlineStr">
        <is>
          <t>2026-07-06</t>
        </is>
      </c>
      <c r="L427" s="17" t="inlineStr">
        <is>
          <t>A</t>
        </is>
      </c>
      <c r="M427" s="17" t="inlineStr"/>
    </row>
    <row r="428">
      <c r="A428" s="17" t="inlineStr">
        <is>
          <t>C328</t>
        </is>
      </c>
      <c r="B428" s="17" t="inlineStr">
        <is>
          <t>하원정밀화학</t>
        </is>
      </c>
      <c r="C428" s="17" t="inlineStr">
        <is>
          <t>(주)하원정밀화학</t>
        </is>
      </c>
      <c r="D428" s="17" t="inlineStr">
        <is>
          <t>대표전화</t>
        </is>
      </c>
      <c r="E428" s="17" t="inlineStr">
        <is>
          <t>044-862-2681</t>
        </is>
      </c>
      <c r="F428" s="17" t="inlineStr"/>
      <c r="G428" s="17" t="inlineStr">
        <is>
          <t>2026-07-06</t>
        </is>
      </c>
      <c r="H428" s="17" t="inlineStr">
        <is>
          <t>식품의약품안전처</t>
        </is>
      </c>
      <c r="I428" s="17" t="inlineStr">
        <is>
          <t>의약품 등 업체허가현황(제조소상세)</t>
        </is>
      </c>
      <c r="J428" s="17" t="inlineStr">
        <is>
          <t>https://www.data.go.kr/data/15095682/openapi.do</t>
        </is>
      </c>
      <c r="K428" s="17" t="inlineStr">
        <is>
          <t>2026-07-06</t>
        </is>
      </c>
      <c r="L428" s="17" t="inlineStr">
        <is>
          <t>A</t>
        </is>
      </c>
      <c r="M428" s="17" t="inlineStr">
        <is>
          <t>공장 대표번호</t>
        </is>
      </c>
    </row>
    <row r="429">
      <c r="A429" s="17" t="inlineStr">
        <is>
          <t>C329</t>
        </is>
      </c>
      <c r="B429" s="17" t="inlineStr">
        <is>
          <t>이수앱지스</t>
        </is>
      </c>
      <c r="C429" s="17" t="inlineStr">
        <is>
          <t>(주)이수앱지스</t>
        </is>
      </c>
      <c r="D429" s="17" t="inlineStr">
        <is>
          <t>상장정보</t>
        </is>
      </c>
      <c r="E429" s="17" t="inlineStr">
        <is>
          <t>코스닥/086890</t>
        </is>
      </c>
      <c r="F429" s="17" t="inlineStr"/>
      <c r="G429" s="17" t="inlineStr">
        <is>
          <t>2026-07-06</t>
        </is>
      </c>
      <c r="H429" s="17" t="inlineStr">
        <is>
          <t>한국거래소 KIND</t>
        </is>
      </c>
      <c r="I429" s="17" t="inlineStr">
        <is>
          <t>상장법인목록</t>
        </is>
      </c>
      <c r="J429" s="17" t="inlineStr">
        <is>
          <t>https://kind.krx.co.kr</t>
        </is>
      </c>
      <c r="K429" s="17" t="inlineStr">
        <is>
          <t>2026-07-06</t>
        </is>
      </c>
      <c r="L429" s="17" t="inlineStr">
        <is>
          <t>A</t>
        </is>
      </c>
      <c r="M429" s="17" t="inlineStr"/>
    </row>
    <row r="430">
      <c r="A430" s="17" t="inlineStr">
        <is>
          <t>C329</t>
        </is>
      </c>
      <c r="B430" s="17" t="inlineStr">
        <is>
          <t>이수앱지스</t>
        </is>
      </c>
      <c r="C430" s="17" t="inlineStr">
        <is>
          <t>(주)이수앱지스</t>
        </is>
      </c>
      <c r="D430" s="17" t="inlineStr">
        <is>
          <t>홈페이지</t>
        </is>
      </c>
      <c r="E430" s="17" t="inlineStr">
        <is>
          <t>http://www.abxis.com</t>
        </is>
      </c>
      <c r="F430" s="17" t="inlineStr"/>
      <c r="G430" s="17" t="inlineStr">
        <is>
          <t>2026-07-06</t>
        </is>
      </c>
      <c r="H430" s="17" t="inlineStr">
        <is>
          <t>한국거래소 KIND</t>
        </is>
      </c>
      <c r="I430" s="17" t="inlineStr">
        <is>
          <t>상장법인목록</t>
        </is>
      </c>
      <c r="J430" s="17" t="inlineStr">
        <is>
          <t>https://kind.krx.co.kr</t>
        </is>
      </c>
      <c r="K430" s="17" t="inlineStr">
        <is>
          <t>2026-07-06</t>
        </is>
      </c>
      <c r="L430" s="17" t="inlineStr">
        <is>
          <t>A</t>
        </is>
      </c>
      <c r="M430" s="17" t="inlineStr"/>
    </row>
    <row r="431">
      <c r="A431" s="17" t="inlineStr">
        <is>
          <t>C330</t>
        </is>
      </c>
      <c r="B431" s="17" t="inlineStr">
        <is>
          <t>대원바이오텍</t>
        </is>
      </c>
      <c r="C431" s="17" t="inlineStr">
        <is>
          <t>대원바이오텍주식회사</t>
        </is>
      </c>
      <c r="D431" s="17" t="inlineStr">
        <is>
          <t>대표전화</t>
        </is>
      </c>
      <c r="E431" s="17" t="inlineStr">
        <is>
          <t>070-4327-0447</t>
        </is>
      </c>
      <c r="F431" s="17" t="inlineStr"/>
      <c r="G431" s="17" t="inlineStr">
        <is>
          <t>2026-07-06</t>
        </is>
      </c>
      <c r="H431" s="17" t="inlineStr">
        <is>
          <t>식품의약품안전처</t>
        </is>
      </c>
      <c r="I431" s="17" t="inlineStr">
        <is>
          <t>의약품 등 업체허가현황(제조소상세)</t>
        </is>
      </c>
      <c r="J431" s="17" t="inlineStr">
        <is>
          <t>https://www.data.go.kr/data/15095682/openapi.do</t>
        </is>
      </c>
      <c r="K431" s="17" t="inlineStr">
        <is>
          <t>2026-07-06</t>
        </is>
      </c>
      <c r="L431" s="17" t="inlineStr">
        <is>
          <t>A</t>
        </is>
      </c>
      <c r="M431" s="17" t="inlineStr">
        <is>
          <t>공장 대표번호</t>
        </is>
      </c>
    </row>
    <row r="432">
      <c r="A432" s="17" t="inlineStr">
        <is>
          <t>C331</t>
        </is>
      </c>
      <c r="B432" s="17" t="inlineStr">
        <is>
          <t>밸리</t>
        </is>
      </c>
      <c r="C432" s="17" t="inlineStr">
        <is>
          <t>주식회사 밸리</t>
        </is>
      </c>
      <c r="D432" s="17" t="inlineStr">
        <is>
          <t>대표전화</t>
        </is>
      </c>
      <c r="E432" s="17" t="inlineStr">
        <is>
          <t>1566-2723</t>
        </is>
      </c>
      <c r="F432" s="17" t="inlineStr"/>
      <c r="G432" s="17" t="inlineStr">
        <is>
          <t>2026-07-06</t>
        </is>
      </c>
      <c r="H432" s="17" t="inlineStr">
        <is>
          <t>식품의약품안전처</t>
        </is>
      </c>
      <c r="I432" s="17" t="inlineStr">
        <is>
          <t>의약품 등 업체허가현황(제조소상세)</t>
        </is>
      </c>
      <c r="J432" s="17" t="inlineStr">
        <is>
          <t>https://www.data.go.kr/data/15095682/openapi.do</t>
        </is>
      </c>
      <c r="K432" s="17" t="inlineStr">
        <is>
          <t>2026-07-06</t>
        </is>
      </c>
      <c r="L432" s="17" t="inlineStr">
        <is>
          <t>A</t>
        </is>
      </c>
      <c r="M432" s="17" t="inlineStr">
        <is>
          <t>공장 대표번호</t>
        </is>
      </c>
    </row>
    <row r="433">
      <c r="A433" s="17" t="inlineStr">
        <is>
          <t>C332</t>
        </is>
      </c>
      <c r="B433" s="17" t="inlineStr">
        <is>
          <t>넥스제너</t>
        </is>
      </c>
      <c r="C433" s="17" t="inlineStr">
        <is>
          <t>주식회사넥스제너</t>
        </is>
      </c>
      <c r="D433" s="17" t="inlineStr">
        <is>
          <t>대표전화</t>
        </is>
      </c>
      <c r="E433" s="17" t="inlineStr">
        <is>
          <t>031-376-1676</t>
        </is>
      </c>
      <c r="F433" s="17" t="inlineStr"/>
      <c r="G433" s="17" t="inlineStr">
        <is>
          <t>2026-07-06</t>
        </is>
      </c>
      <c r="H433" s="17" t="inlineStr">
        <is>
          <t>식품의약품안전처</t>
        </is>
      </c>
      <c r="I433" s="17" t="inlineStr">
        <is>
          <t>의약품 등 업체허가현황(제조소상세)</t>
        </is>
      </c>
      <c r="J433" s="17" t="inlineStr">
        <is>
          <t>https://www.data.go.kr/data/15095682/openapi.do</t>
        </is>
      </c>
      <c r="K433" s="17" t="inlineStr">
        <is>
          <t>2026-07-06</t>
        </is>
      </c>
      <c r="L433" s="17" t="inlineStr">
        <is>
          <t>A</t>
        </is>
      </c>
      <c r="M433" s="17" t="inlineStr">
        <is>
          <t>공장 대표번호</t>
        </is>
      </c>
    </row>
    <row r="434">
      <c r="A434" s="17" t="inlineStr">
        <is>
          <t>C333</t>
        </is>
      </c>
      <c r="B434" s="17" t="inlineStr">
        <is>
          <t>녹십자</t>
        </is>
      </c>
      <c r="C434" s="17" t="inlineStr">
        <is>
          <t>(주)녹십자</t>
        </is>
      </c>
      <c r="D434" s="17" t="inlineStr">
        <is>
          <t>대표전화</t>
        </is>
      </c>
      <c r="E434" s="17" t="inlineStr">
        <is>
          <t>031-260-9300</t>
        </is>
      </c>
      <c r="F434" s="17" t="inlineStr"/>
      <c r="G434" s="17" t="inlineStr">
        <is>
          <t>2026-07-06</t>
        </is>
      </c>
      <c r="H434" s="17" t="inlineStr">
        <is>
          <t>식품의약품안전처</t>
        </is>
      </c>
      <c r="I434" s="17" t="inlineStr">
        <is>
          <t>의약품 등 업체허가현황(제조소상세)</t>
        </is>
      </c>
      <c r="J434" s="17" t="inlineStr">
        <is>
          <t>https://www.data.go.kr/data/15095682/openapi.do</t>
        </is>
      </c>
      <c r="K434" s="17" t="inlineStr">
        <is>
          <t>2026-07-06</t>
        </is>
      </c>
      <c r="L434" s="17" t="inlineStr">
        <is>
          <t>A</t>
        </is>
      </c>
      <c r="M434" s="17" t="inlineStr">
        <is>
          <t>공장 대표번호</t>
        </is>
      </c>
    </row>
    <row r="435">
      <c r="A435" s="17" t="inlineStr">
        <is>
          <t>C333</t>
        </is>
      </c>
      <c r="B435" s="17" t="inlineStr">
        <is>
          <t>녹십자</t>
        </is>
      </c>
      <c r="C435" s="17" t="inlineStr">
        <is>
          <t>(주)녹십자</t>
        </is>
      </c>
      <c r="D435" s="17" t="inlineStr">
        <is>
          <t>상장정보</t>
        </is>
      </c>
      <c r="E435" s="17" t="inlineStr">
        <is>
          <t>유가/006280</t>
        </is>
      </c>
      <c r="F435" s="17" t="inlineStr"/>
      <c r="G435" s="17" t="inlineStr">
        <is>
          <t>2026-07-06</t>
        </is>
      </c>
      <c r="H435" s="17" t="inlineStr">
        <is>
          <t>한국거래소 KIND</t>
        </is>
      </c>
      <c r="I435" s="17" t="inlineStr">
        <is>
          <t>상장법인목록</t>
        </is>
      </c>
      <c r="J435" s="17" t="inlineStr">
        <is>
          <t>https://kind.krx.co.kr</t>
        </is>
      </c>
      <c r="K435" s="17" t="inlineStr">
        <is>
          <t>2026-07-06</t>
        </is>
      </c>
      <c r="L435" s="17" t="inlineStr">
        <is>
          <t>A</t>
        </is>
      </c>
      <c r="M435" s="17" t="inlineStr"/>
    </row>
    <row r="436">
      <c r="A436" s="17" t="inlineStr">
        <is>
          <t>C333</t>
        </is>
      </c>
      <c r="B436" s="17" t="inlineStr">
        <is>
          <t>녹십자</t>
        </is>
      </c>
      <c r="C436" s="17" t="inlineStr">
        <is>
          <t>(주)녹십자</t>
        </is>
      </c>
      <c r="D436" s="17" t="inlineStr">
        <is>
          <t>홈페이지</t>
        </is>
      </c>
      <c r="E436" s="17" t="inlineStr">
        <is>
          <t>http://www.gcbiopharma.com</t>
        </is>
      </c>
      <c r="F436" s="17" t="inlineStr"/>
      <c r="G436" s="17" t="inlineStr">
        <is>
          <t>2026-07-06</t>
        </is>
      </c>
      <c r="H436" s="17" t="inlineStr">
        <is>
          <t>한국거래소 KIND</t>
        </is>
      </c>
      <c r="I436" s="17" t="inlineStr">
        <is>
          <t>상장법인목록</t>
        </is>
      </c>
      <c r="J436" s="17" t="inlineStr">
        <is>
          <t>https://kind.krx.co.kr</t>
        </is>
      </c>
      <c r="K436" s="17" t="inlineStr">
        <is>
          <t>2026-07-06</t>
        </is>
      </c>
      <c r="L436" s="17" t="inlineStr">
        <is>
          <t>A</t>
        </is>
      </c>
      <c r="M436" s="17" t="inlineStr"/>
    </row>
    <row r="437">
      <c r="A437" s="17" t="inlineStr">
        <is>
          <t>C335</t>
        </is>
      </c>
      <c r="B437" s="17" t="inlineStr">
        <is>
          <t>휴온스생명과학</t>
        </is>
      </c>
      <c r="C437" s="17" t="inlineStr">
        <is>
          <t>(주)휴온스생명과학</t>
        </is>
      </c>
      <c r="D437" s="17" t="inlineStr">
        <is>
          <t>대표전화</t>
        </is>
      </c>
      <c r="E437" s="17" t="inlineStr">
        <is>
          <t>070-4659-3131</t>
        </is>
      </c>
      <c r="F437" s="17" t="inlineStr"/>
      <c r="G437" s="17" t="inlineStr">
        <is>
          <t>2026-07-06</t>
        </is>
      </c>
      <c r="H437" s="17" t="inlineStr">
        <is>
          <t>식품의약품안전처</t>
        </is>
      </c>
      <c r="I437" s="17" t="inlineStr">
        <is>
          <t>의약품 등 업체허가현황(제조소상세)</t>
        </is>
      </c>
      <c r="J437" s="17" t="inlineStr">
        <is>
          <t>https://www.data.go.kr/data/15095682/openapi.do</t>
        </is>
      </c>
      <c r="K437" s="17" t="inlineStr">
        <is>
          <t>2026-07-06</t>
        </is>
      </c>
      <c r="L437" s="17" t="inlineStr">
        <is>
          <t>A</t>
        </is>
      </c>
      <c r="M437" s="17" t="inlineStr">
        <is>
          <t>공장 대표번호</t>
        </is>
      </c>
    </row>
    <row r="438">
      <c r="A438" s="17" t="inlineStr">
        <is>
          <t>C336</t>
        </is>
      </c>
      <c r="B438" s="17" t="inlineStr">
        <is>
          <t>대정화금</t>
        </is>
      </c>
      <c r="C438" s="17" t="inlineStr">
        <is>
          <t>대정화금(주)</t>
        </is>
      </c>
      <c r="D438" s="17" t="inlineStr">
        <is>
          <t>대표전화</t>
        </is>
      </c>
      <c r="E438" s="17" t="inlineStr">
        <is>
          <t>031-488-8821</t>
        </is>
      </c>
      <c r="F438" s="17" t="inlineStr"/>
      <c r="G438" s="17" t="inlineStr">
        <is>
          <t>2026-07-06</t>
        </is>
      </c>
      <c r="H438" s="17" t="inlineStr">
        <is>
          <t>식품의약품안전처</t>
        </is>
      </c>
      <c r="I438" s="17" t="inlineStr">
        <is>
          <t>의약품 등 업체허가현황(제조소상세)</t>
        </is>
      </c>
      <c r="J438" s="17" t="inlineStr">
        <is>
          <t>https://www.data.go.kr/data/15095682/openapi.do</t>
        </is>
      </c>
      <c r="K438" s="17" t="inlineStr">
        <is>
          <t>2026-07-06</t>
        </is>
      </c>
      <c r="L438" s="17" t="inlineStr">
        <is>
          <t>A</t>
        </is>
      </c>
      <c r="M438" s="17" t="inlineStr">
        <is>
          <t>공장 대표번호</t>
        </is>
      </c>
    </row>
    <row r="439">
      <c r="A439" s="17" t="inlineStr">
        <is>
          <t>C336</t>
        </is>
      </c>
      <c r="B439" s="17" t="inlineStr">
        <is>
          <t>대정화금</t>
        </is>
      </c>
      <c r="C439" s="17" t="inlineStr">
        <is>
          <t>대정화금(주)</t>
        </is>
      </c>
      <c r="D439" s="17" t="inlineStr">
        <is>
          <t>상장정보</t>
        </is>
      </c>
      <c r="E439" s="17" t="inlineStr">
        <is>
          <t>코스닥/120240</t>
        </is>
      </c>
      <c r="F439" s="17" t="inlineStr"/>
      <c r="G439" s="17" t="inlineStr">
        <is>
          <t>2026-07-06</t>
        </is>
      </c>
      <c r="H439" s="17" t="inlineStr">
        <is>
          <t>한국거래소 KIND</t>
        </is>
      </c>
      <c r="I439" s="17" t="inlineStr">
        <is>
          <t>상장법인목록</t>
        </is>
      </c>
      <c r="J439" s="17" t="inlineStr">
        <is>
          <t>https://kind.krx.co.kr</t>
        </is>
      </c>
      <c r="K439" s="17" t="inlineStr">
        <is>
          <t>2026-07-06</t>
        </is>
      </c>
      <c r="L439" s="17" t="inlineStr">
        <is>
          <t>A</t>
        </is>
      </c>
      <c r="M439" s="17" t="inlineStr"/>
    </row>
    <row r="440">
      <c r="A440" s="17" t="inlineStr">
        <is>
          <t>C336</t>
        </is>
      </c>
      <c r="B440" s="17" t="inlineStr">
        <is>
          <t>대정화금</t>
        </is>
      </c>
      <c r="C440" s="17" t="inlineStr">
        <is>
          <t>대정화금(주)</t>
        </is>
      </c>
      <c r="D440" s="17" t="inlineStr">
        <is>
          <t>홈페이지</t>
        </is>
      </c>
      <c r="E440" s="17" t="inlineStr">
        <is>
          <t>http://www.daejung.kr</t>
        </is>
      </c>
      <c r="F440" s="17" t="inlineStr"/>
      <c r="G440" s="17" t="inlineStr">
        <is>
          <t>2026-07-06</t>
        </is>
      </c>
      <c r="H440" s="17" t="inlineStr">
        <is>
          <t>한국거래소 KIND</t>
        </is>
      </c>
      <c r="I440" s="17" t="inlineStr">
        <is>
          <t>상장법인목록</t>
        </is>
      </c>
      <c r="J440" s="17" t="inlineStr">
        <is>
          <t>https://kind.krx.co.kr</t>
        </is>
      </c>
      <c r="K440" s="17" t="inlineStr">
        <is>
          <t>2026-07-06</t>
        </is>
      </c>
      <c r="L440" s="17" t="inlineStr">
        <is>
          <t>A</t>
        </is>
      </c>
      <c r="M440" s="17" t="inlineStr"/>
    </row>
    <row r="441">
      <c r="A441" s="17" t="inlineStr">
        <is>
          <t>C337</t>
        </is>
      </c>
      <c r="B441" s="17" t="inlineStr">
        <is>
          <t>파마코스텍</t>
        </is>
      </c>
      <c r="C441" s="17" t="inlineStr">
        <is>
          <t>(주)파마코스텍</t>
        </is>
      </c>
      <c r="D441" s="17" t="inlineStr">
        <is>
          <t>대표전화</t>
        </is>
      </c>
      <c r="E441" s="17" t="inlineStr">
        <is>
          <t>031-359-9969</t>
        </is>
      </c>
      <c r="F441" s="17" t="inlineStr"/>
      <c r="G441" s="17" t="inlineStr">
        <is>
          <t>2026-07-06</t>
        </is>
      </c>
      <c r="H441" s="17" t="inlineStr">
        <is>
          <t>식품의약품안전처</t>
        </is>
      </c>
      <c r="I441" s="17" t="inlineStr">
        <is>
          <t>의약품 등 업체허가현황(제조소상세)</t>
        </is>
      </c>
      <c r="J441" s="17" t="inlineStr">
        <is>
          <t>https://www.data.go.kr/data/15095682/openapi.do</t>
        </is>
      </c>
      <c r="K441" s="17" t="inlineStr">
        <is>
          <t>2026-07-06</t>
        </is>
      </c>
      <c r="L441" s="17" t="inlineStr">
        <is>
          <t>A</t>
        </is>
      </c>
      <c r="M441" s="17" t="inlineStr">
        <is>
          <t>공장 대표번호</t>
        </is>
      </c>
    </row>
    <row r="442">
      <c r="A442" s="17" t="inlineStr">
        <is>
          <t>C338</t>
        </is>
      </c>
      <c r="B442" s="17" t="inlineStr">
        <is>
          <t>종근당</t>
        </is>
      </c>
      <c r="C442" s="17" t="inlineStr">
        <is>
          <t>(주)종근당</t>
        </is>
      </c>
      <c r="D442" s="17" t="inlineStr">
        <is>
          <t>대표전화</t>
        </is>
      </c>
      <c r="E442" s="17" t="inlineStr">
        <is>
          <t>02-2194-0429</t>
        </is>
      </c>
      <c r="F442" s="17" t="inlineStr"/>
      <c r="G442" s="17" t="inlineStr">
        <is>
          <t>2026-07-06</t>
        </is>
      </c>
      <c r="H442" s="17" t="inlineStr">
        <is>
          <t>식품의약품안전처</t>
        </is>
      </c>
      <c r="I442" s="17" t="inlineStr">
        <is>
          <t>의약품 등 업체허가현황(제조소상세)</t>
        </is>
      </c>
      <c r="J442" s="17" t="inlineStr">
        <is>
          <t>https://www.data.go.kr/data/15095682/openapi.do</t>
        </is>
      </c>
      <c r="K442" s="17" t="inlineStr">
        <is>
          <t>2026-07-06</t>
        </is>
      </c>
      <c r="L442" s="17" t="inlineStr">
        <is>
          <t>A</t>
        </is>
      </c>
      <c r="M442" s="17" t="inlineStr">
        <is>
          <t>공장 대표번호</t>
        </is>
      </c>
    </row>
    <row r="443">
      <c r="A443" s="17" t="inlineStr">
        <is>
          <t>C338</t>
        </is>
      </c>
      <c r="B443" s="17" t="inlineStr">
        <is>
          <t>종근당</t>
        </is>
      </c>
      <c r="C443" s="17" t="inlineStr">
        <is>
          <t>(주)종근당</t>
        </is>
      </c>
      <c r="D443" s="17" t="inlineStr">
        <is>
          <t>상장정보</t>
        </is>
      </c>
      <c r="E443" s="17" t="inlineStr">
        <is>
          <t>유가/185750</t>
        </is>
      </c>
      <c r="F443" s="17" t="inlineStr"/>
      <c r="G443" s="17" t="inlineStr">
        <is>
          <t>2026-07-06</t>
        </is>
      </c>
      <c r="H443" s="17" t="inlineStr">
        <is>
          <t>한국거래소 KIND</t>
        </is>
      </c>
      <c r="I443" s="17" t="inlineStr">
        <is>
          <t>상장법인목록</t>
        </is>
      </c>
      <c r="J443" s="17" t="inlineStr">
        <is>
          <t>https://kind.krx.co.kr</t>
        </is>
      </c>
      <c r="K443" s="17" t="inlineStr">
        <is>
          <t>2026-07-06</t>
        </is>
      </c>
      <c r="L443" s="17" t="inlineStr">
        <is>
          <t>A</t>
        </is>
      </c>
      <c r="M443" s="17" t="inlineStr"/>
    </row>
    <row r="444">
      <c r="A444" s="17" t="inlineStr">
        <is>
          <t>C338</t>
        </is>
      </c>
      <c r="B444" s="17" t="inlineStr">
        <is>
          <t>종근당</t>
        </is>
      </c>
      <c r="C444" s="17" t="inlineStr">
        <is>
          <t>(주)종근당</t>
        </is>
      </c>
      <c r="D444" s="17" t="inlineStr">
        <is>
          <t>홈페이지</t>
        </is>
      </c>
      <c r="E444" s="17" t="inlineStr">
        <is>
          <t>http://www.ckdpharm.com</t>
        </is>
      </c>
      <c r="F444" s="17" t="inlineStr"/>
      <c r="G444" s="17" t="inlineStr">
        <is>
          <t>2026-07-06</t>
        </is>
      </c>
      <c r="H444" s="17" t="inlineStr">
        <is>
          <t>한국거래소 KIND</t>
        </is>
      </c>
      <c r="I444" s="17" t="inlineStr">
        <is>
          <t>상장법인목록</t>
        </is>
      </c>
      <c r="J444" s="17" t="inlineStr">
        <is>
          <t>https://kind.krx.co.kr</t>
        </is>
      </c>
      <c r="K444" s="17" t="inlineStr">
        <is>
          <t>2026-07-06</t>
        </is>
      </c>
      <c r="L444" s="17" t="inlineStr">
        <is>
          <t>A</t>
        </is>
      </c>
      <c r="M444" s="17" t="inlineStr"/>
    </row>
    <row r="445">
      <c r="A445" s="17" t="inlineStr">
        <is>
          <t>C339</t>
        </is>
      </c>
      <c r="B445" s="17" t="inlineStr">
        <is>
          <t>광동제약</t>
        </is>
      </c>
      <c r="C445" s="17" t="inlineStr">
        <is>
          <t>광동제약(주)</t>
        </is>
      </c>
      <c r="D445" s="17" t="inlineStr">
        <is>
          <t>대표전화</t>
        </is>
      </c>
      <c r="E445" s="17" t="inlineStr">
        <is>
          <t>031-612-1111</t>
        </is>
      </c>
      <c r="F445" s="17" t="inlineStr"/>
      <c r="G445" s="17" t="inlineStr">
        <is>
          <t>2026-07-06</t>
        </is>
      </c>
      <c r="H445" s="17" t="inlineStr">
        <is>
          <t>식품의약품안전처</t>
        </is>
      </c>
      <c r="I445" s="17" t="inlineStr">
        <is>
          <t>의약품 등 업체허가현황(제조소상세)</t>
        </is>
      </c>
      <c r="J445" s="17" t="inlineStr">
        <is>
          <t>https://www.data.go.kr/data/15095682/openapi.do</t>
        </is>
      </c>
      <c r="K445" s="17" t="inlineStr">
        <is>
          <t>2026-07-06</t>
        </is>
      </c>
      <c r="L445" s="17" t="inlineStr">
        <is>
          <t>A</t>
        </is>
      </c>
      <c r="M445" s="17" t="inlineStr">
        <is>
          <t>공장 대표번호</t>
        </is>
      </c>
    </row>
    <row r="446">
      <c r="A446" s="17" t="inlineStr">
        <is>
          <t>C339</t>
        </is>
      </c>
      <c r="B446" s="17" t="inlineStr">
        <is>
          <t>광동제약</t>
        </is>
      </c>
      <c r="C446" s="17" t="inlineStr">
        <is>
          <t>광동제약(주)</t>
        </is>
      </c>
      <c r="D446" s="17" t="inlineStr">
        <is>
          <t>상장정보</t>
        </is>
      </c>
      <c r="E446" s="17" t="inlineStr">
        <is>
          <t>유가/009290</t>
        </is>
      </c>
      <c r="F446" s="17" t="inlineStr"/>
      <c r="G446" s="17" t="inlineStr">
        <is>
          <t>2026-07-06</t>
        </is>
      </c>
      <c r="H446" s="17" t="inlineStr">
        <is>
          <t>한국거래소 KIND</t>
        </is>
      </c>
      <c r="I446" s="17" t="inlineStr">
        <is>
          <t>상장법인목록</t>
        </is>
      </c>
      <c r="J446" s="17" t="inlineStr">
        <is>
          <t>https://kind.krx.co.kr</t>
        </is>
      </c>
      <c r="K446" s="17" t="inlineStr">
        <is>
          <t>2026-07-06</t>
        </is>
      </c>
      <c r="L446" s="17" t="inlineStr">
        <is>
          <t>A</t>
        </is>
      </c>
      <c r="M446" s="17" t="inlineStr"/>
    </row>
    <row r="447">
      <c r="A447" s="17" t="inlineStr">
        <is>
          <t>C339</t>
        </is>
      </c>
      <c r="B447" s="17" t="inlineStr">
        <is>
          <t>광동제약</t>
        </is>
      </c>
      <c r="C447" s="17" t="inlineStr">
        <is>
          <t>광동제약(주)</t>
        </is>
      </c>
      <c r="D447" s="17" t="inlineStr">
        <is>
          <t>홈페이지</t>
        </is>
      </c>
      <c r="E447" s="17" t="inlineStr">
        <is>
          <t>http://www.ekdp.com</t>
        </is>
      </c>
      <c r="F447" s="17" t="inlineStr"/>
      <c r="G447" s="17" t="inlineStr">
        <is>
          <t>2026-07-06</t>
        </is>
      </c>
      <c r="H447" s="17" t="inlineStr">
        <is>
          <t>한국거래소 KIND</t>
        </is>
      </c>
      <c r="I447" s="17" t="inlineStr">
        <is>
          <t>상장법인목록</t>
        </is>
      </c>
      <c r="J447" s="17" t="inlineStr">
        <is>
          <t>https://kind.krx.co.kr</t>
        </is>
      </c>
      <c r="K447" s="17" t="inlineStr">
        <is>
          <t>2026-07-06</t>
        </is>
      </c>
      <c r="L447" s="17" t="inlineStr">
        <is>
          <t>A</t>
        </is>
      </c>
      <c r="M447" s="17" t="inlineStr"/>
    </row>
    <row r="448">
      <c r="A448" s="17" t="inlineStr">
        <is>
          <t>C340</t>
        </is>
      </c>
      <c r="B448" s="17" t="inlineStr">
        <is>
          <t>오스틴제약</t>
        </is>
      </c>
      <c r="C448" s="17" t="inlineStr">
        <is>
          <t>오스틴제약(주)</t>
        </is>
      </c>
      <c r="D448" s="17" t="inlineStr">
        <is>
          <t>대표전화</t>
        </is>
      </c>
      <c r="E448" s="17" t="inlineStr">
        <is>
          <t>031-494-9681</t>
        </is>
      </c>
      <c r="F448" s="17" t="inlineStr"/>
      <c r="G448" s="17" t="inlineStr">
        <is>
          <t>2026-07-06</t>
        </is>
      </c>
      <c r="H448" s="17" t="inlineStr">
        <is>
          <t>식품의약품안전처</t>
        </is>
      </c>
      <c r="I448" s="17" t="inlineStr">
        <is>
          <t>의약품 등 업체허가현황(제조소상세)</t>
        </is>
      </c>
      <c r="J448" s="17" t="inlineStr">
        <is>
          <t>https://www.data.go.kr/data/15095682/openapi.do</t>
        </is>
      </c>
      <c r="K448" s="17" t="inlineStr">
        <is>
          <t>2026-07-06</t>
        </is>
      </c>
      <c r="L448" s="17" t="inlineStr">
        <is>
          <t>A</t>
        </is>
      </c>
      <c r="M448" s="17" t="inlineStr">
        <is>
          <t>공장 대표번호</t>
        </is>
      </c>
    </row>
    <row r="449">
      <c r="A449" s="17" t="inlineStr">
        <is>
          <t>C341</t>
        </is>
      </c>
      <c r="B449" s="17" t="inlineStr">
        <is>
          <t>세종산업가스</t>
        </is>
      </c>
      <c r="C449" s="17" t="inlineStr">
        <is>
          <t>(주)세종산업가스</t>
        </is>
      </c>
      <c r="D449" s="17" t="inlineStr">
        <is>
          <t>대표전화</t>
        </is>
      </c>
      <c r="E449" s="17" t="inlineStr">
        <is>
          <t>044-865-9505</t>
        </is>
      </c>
      <c r="F449" s="17" t="inlineStr"/>
      <c r="G449" s="17" t="inlineStr">
        <is>
          <t>2026-07-06</t>
        </is>
      </c>
      <c r="H449" s="17" t="inlineStr">
        <is>
          <t>식품의약품안전처</t>
        </is>
      </c>
      <c r="I449" s="17" t="inlineStr">
        <is>
          <t>의약품 등 업체허가현황(제조소상세)</t>
        </is>
      </c>
      <c r="J449" s="17" t="inlineStr">
        <is>
          <t>https://www.data.go.kr/data/15095682/openapi.do</t>
        </is>
      </c>
      <c r="K449" s="17" t="inlineStr">
        <is>
          <t>2026-07-06</t>
        </is>
      </c>
      <c r="L449" s="17" t="inlineStr">
        <is>
          <t>A</t>
        </is>
      </c>
      <c r="M449" s="17" t="inlineStr">
        <is>
          <t>공장 대표번호</t>
        </is>
      </c>
    </row>
    <row r="450">
      <c r="A450" s="17" t="inlineStr">
        <is>
          <t>C342</t>
        </is>
      </c>
      <c r="B450" s="17" t="inlineStr">
        <is>
          <t>신일제약</t>
        </is>
      </c>
      <c r="C450" s="17" t="inlineStr">
        <is>
          <t>신일제약(주)</t>
        </is>
      </c>
      <c r="D450" s="17" t="inlineStr">
        <is>
          <t>대표전화</t>
        </is>
      </c>
      <c r="E450" s="17" t="inlineStr">
        <is>
          <t>043-855-3944</t>
        </is>
      </c>
      <c r="F450" s="17" t="inlineStr"/>
      <c r="G450" s="17" t="inlineStr">
        <is>
          <t>2026-07-06</t>
        </is>
      </c>
      <c r="H450" s="17" t="inlineStr">
        <is>
          <t>식품의약품안전처</t>
        </is>
      </c>
      <c r="I450" s="17" t="inlineStr">
        <is>
          <t>의약품 등 업체허가현황(제조소상세)</t>
        </is>
      </c>
      <c r="J450" s="17" t="inlineStr">
        <is>
          <t>https://www.data.go.kr/data/15095682/openapi.do</t>
        </is>
      </c>
      <c r="K450" s="17" t="inlineStr">
        <is>
          <t>2026-07-06</t>
        </is>
      </c>
      <c r="L450" s="17" t="inlineStr">
        <is>
          <t>A</t>
        </is>
      </c>
      <c r="M450" s="17" t="inlineStr">
        <is>
          <t>공장 대표번호</t>
        </is>
      </c>
    </row>
    <row r="451">
      <c r="A451" s="17" t="inlineStr">
        <is>
          <t>C342</t>
        </is>
      </c>
      <c r="B451" s="17" t="inlineStr">
        <is>
          <t>신일제약</t>
        </is>
      </c>
      <c r="C451" s="17" t="inlineStr">
        <is>
          <t>신일제약(주)</t>
        </is>
      </c>
      <c r="D451" s="17" t="inlineStr">
        <is>
          <t>상장정보</t>
        </is>
      </c>
      <c r="E451" s="17" t="inlineStr">
        <is>
          <t>코스닥/012790</t>
        </is>
      </c>
      <c r="F451" s="17" t="inlineStr"/>
      <c r="G451" s="17" t="inlineStr">
        <is>
          <t>2026-07-06</t>
        </is>
      </c>
      <c r="H451" s="17" t="inlineStr">
        <is>
          <t>한국거래소 KIND</t>
        </is>
      </c>
      <c r="I451" s="17" t="inlineStr">
        <is>
          <t>상장법인목록</t>
        </is>
      </c>
      <c r="J451" s="17" t="inlineStr">
        <is>
          <t>https://kind.krx.co.kr</t>
        </is>
      </c>
      <c r="K451" s="17" t="inlineStr">
        <is>
          <t>2026-07-06</t>
        </is>
      </c>
      <c r="L451" s="17" t="inlineStr">
        <is>
          <t>A</t>
        </is>
      </c>
      <c r="M451" s="17" t="inlineStr"/>
    </row>
    <row r="452">
      <c r="A452" s="17" t="inlineStr">
        <is>
          <t>C342</t>
        </is>
      </c>
      <c r="B452" s="17" t="inlineStr">
        <is>
          <t>신일제약</t>
        </is>
      </c>
      <c r="C452" s="17" t="inlineStr">
        <is>
          <t>신일제약(주)</t>
        </is>
      </c>
      <c r="D452" s="17" t="inlineStr">
        <is>
          <t>홈페이지</t>
        </is>
      </c>
      <c r="E452" s="17" t="inlineStr">
        <is>
          <t>http://www.sinilpharm.com</t>
        </is>
      </c>
      <c r="F452" s="17" t="inlineStr"/>
      <c r="G452" s="17" t="inlineStr">
        <is>
          <t>2026-07-06</t>
        </is>
      </c>
      <c r="H452" s="17" t="inlineStr">
        <is>
          <t>한국거래소 KIND</t>
        </is>
      </c>
      <c r="I452" s="17" t="inlineStr">
        <is>
          <t>상장법인목록</t>
        </is>
      </c>
      <c r="J452" s="17" t="inlineStr">
        <is>
          <t>https://kind.krx.co.kr</t>
        </is>
      </c>
      <c r="K452" s="17" t="inlineStr">
        <is>
          <t>2026-07-06</t>
        </is>
      </c>
      <c r="L452" s="17" t="inlineStr">
        <is>
          <t>A</t>
        </is>
      </c>
      <c r="M452" s="17" t="inlineStr"/>
    </row>
    <row r="453">
      <c r="A453" s="17" t="inlineStr">
        <is>
          <t>C344</t>
        </is>
      </c>
      <c r="B453" s="17" t="inlineStr">
        <is>
          <t>경진제약</t>
        </is>
      </c>
      <c r="C453" s="17" t="inlineStr">
        <is>
          <t>경진제약(주)</t>
        </is>
      </c>
      <c r="D453" s="17" t="inlineStr">
        <is>
          <t>대표전화</t>
        </is>
      </c>
      <c r="E453" s="17" t="inlineStr">
        <is>
          <t>02-2612-0714</t>
        </is>
      </c>
      <c r="F453" s="17" t="inlineStr"/>
      <c r="G453" s="17" t="inlineStr">
        <is>
          <t>2026-07-06</t>
        </is>
      </c>
      <c r="H453" s="17" t="inlineStr">
        <is>
          <t>식품의약품안전처</t>
        </is>
      </c>
      <c r="I453" s="17" t="inlineStr">
        <is>
          <t>의약품 등 업체허가현황(제조소상세)</t>
        </is>
      </c>
      <c r="J453" s="17" t="inlineStr">
        <is>
          <t>https://www.data.go.kr/data/15095682/openapi.do</t>
        </is>
      </c>
      <c r="K453" s="17" t="inlineStr">
        <is>
          <t>2026-07-06</t>
        </is>
      </c>
      <c r="L453" s="17" t="inlineStr">
        <is>
          <t>A</t>
        </is>
      </c>
      <c r="M453" s="17" t="inlineStr">
        <is>
          <t>공장 대표번호</t>
        </is>
      </c>
    </row>
    <row r="454">
      <c r="A454" s="17" t="inlineStr">
        <is>
          <t>C345</t>
        </is>
      </c>
      <c r="B454" s="17" t="inlineStr">
        <is>
          <t>고려제약</t>
        </is>
      </c>
      <c r="C454" s="17" t="inlineStr">
        <is>
          <t>고려제약(주)</t>
        </is>
      </c>
      <c r="D454" s="17" t="inlineStr">
        <is>
          <t>대표전화</t>
        </is>
      </c>
      <c r="E454" s="17" t="inlineStr">
        <is>
          <t>031-634-7100</t>
        </is>
      </c>
      <c r="F454" s="17" t="inlineStr"/>
      <c r="G454" s="17" t="inlineStr">
        <is>
          <t>2026-07-06</t>
        </is>
      </c>
      <c r="H454" s="17" t="inlineStr">
        <is>
          <t>식품의약품안전처</t>
        </is>
      </c>
      <c r="I454" s="17" t="inlineStr">
        <is>
          <t>의약품 등 업체허가현황(제조소상세)</t>
        </is>
      </c>
      <c r="J454" s="17" t="inlineStr">
        <is>
          <t>https://www.data.go.kr/data/15095682/openapi.do</t>
        </is>
      </c>
      <c r="K454" s="17" t="inlineStr">
        <is>
          <t>2026-07-06</t>
        </is>
      </c>
      <c r="L454" s="17" t="inlineStr">
        <is>
          <t>A</t>
        </is>
      </c>
      <c r="M454" s="17" t="inlineStr">
        <is>
          <t>공장 대표번호</t>
        </is>
      </c>
    </row>
    <row r="455">
      <c r="A455" s="17" t="inlineStr">
        <is>
          <t>C345</t>
        </is>
      </c>
      <c r="B455" s="17" t="inlineStr">
        <is>
          <t>고려제약</t>
        </is>
      </c>
      <c r="C455" s="17" t="inlineStr">
        <is>
          <t>고려제약(주)</t>
        </is>
      </c>
      <c r="D455" s="17" t="inlineStr">
        <is>
          <t>상장정보</t>
        </is>
      </c>
      <c r="E455" s="17" t="inlineStr">
        <is>
          <t>코스닥/014570</t>
        </is>
      </c>
      <c r="F455" s="17" t="inlineStr"/>
      <c r="G455" s="17" t="inlineStr">
        <is>
          <t>2026-07-06</t>
        </is>
      </c>
      <c r="H455" s="17" t="inlineStr">
        <is>
          <t>한국거래소 KIND</t>
        </is>
      </c>
      <c r="I455" s="17" t="inlineStr">
        <is>
          <t>상장법인목록</t>
        </is>
      </c>
      <c r="J455" s="17" t="inlineStr">
        <is>
          <t>https://kind.krx.co.kr</t>
        </is>
      </c>
      <c r="K455" s="17" t="inlineStr">
        <is>
          <t>2026-07-06</t>
        </is>
      </c>
      <c r="L455" s="17" t="inlineStr">
        <is>
          <t>A</t>
        </is>
      </c>
      <c r="M455" s="17" t="inlineStr"/>
    </row>
    <row r="456">
      <c r="A456" s="17" t="inlineStr">
        <is>
          <t>C345</t>
        </is>
      </c>
      <c r="B456" s="17" t="inlineStr">
        <is>
          <t>고려제약</t>
        </is>
      </c>
      <c r="C456" s="17" t="inlineStr">
        <is>
          <t>고려제약(주)</t>
        </is>
      </c>
      <c r="D456" s="17" t="inlineStr">
        <is>
          <t>홈페이지</t>
        </is>
      </c>
      <c r="E456" s="17" t="inlineStr">
        <is>
          <t>http://www.nicepharma.com</t>
        </is>
      </c>
      <c r="F456" s="17" t="inlineStr"/>
      <c r="G456" s="17" t="inlineStr">
        <is>
          <t>2026-07-06</t>
        </is>
      </c>
      <c r="H456" s="17" t="inlineStr">
        <is>
          <t>한국거래소 KIND</t>
        </is>
      </c>
      <c r="I456" s="17" t="inlineStr">
        <is>
          <t>상장법인목록</t>
        </is>
      </c>
      <c r="J456" s="17" t="inlineStr">
        <is>
          <t>https://kind.krx.co.kr</t>
        </is>
      </c>
      <c r="K456" s="17" t="inlineStr">
        <is>
          <t>2026-07-06</t>
        </is>
      </c>
      <c r="L456" s="17" t="inlineStr">
        <is>
          <t>A</t>
        </is>
      </c>
      <c r="M456" s="17" t="inlineStr"/>
    </row>
    <row r="457">
      <c r="A457" s="17" t="inlineStr">
        <is>
          <t>C346</t>
        </is>
      </c>
      <c r="B457" s="17" t="inlineStr">
        <is>
          <t>태경케미컬</t>
        </is>
      </c>
      <c r="C457" s="17" t="inlineStr">
        <is>
          <t>태경케미컬(주)</t>
        </is>
      </c>
      <c r="D457" s="17" t="inlineStr">
        <is>
          <t>대표전화</t>
        </is>
      </c>
      <c r="E457" s="17" t="inlineStr">
        <is>
          <t>041-681-3191</t>
        </is>
      </c>
      <c r="F457" s="17" t="inlineStr"/>
      <c r="G457" s="17" t="inlineStr">
        <is>
          <t>2026-07-06</t>
        </is>
      </c>
      <c r="H457" s="17" t="inlineStr">
        <is>
          <t>식품의약품안전처</t>
        </is>
      </c>
      <c r="I457" s="17" t="inlineStr">
        <is>
          <t>의약품 등 업체허가현황(제조소상세)</t>
        </is>
      </c>
      <c r="J457" s="17" t="inlineStr">
        <is>
          <t>https://www.data.go.kr/data/15095682/openapi.do</t>
        </is>
      </c>
      <c r="K457" s="17" t="inlineStr">
        <is>
          <t>2026-07-06</t>
        </is>
      </c>
      <c r="L457" s="17" t="inlineStr">
        <is>
          <t>A</t>
        </is>
      </c>
      <c r="M457" s="17" t="inlineStr">
        <is>
          <t>공장 대표번호</t>
        </is>
      </c>
    </row>
    <row r="458">
      <c r="A458" s="17" t="inlineStr">
        <is>
          <t>C346</t>
        </is>
      </c>
      <c r="B458" s="17" t="inlineStr">
        <is>
          <t>태경케미컬</t>
        </is>
      </c>
      <c r="C458" s="17" t="inlineStr">
        <is>
          <t>태경케미컬(주)</t>
        </is>
      </c>
      <c r="D458" s="17" t="inlineStr">
        <is>
          <t>상장정보</t>
        </is>
      </c>
      <c r="E458" s="17" t="inlineStr">
        <is>
          <t>유가/006890</t>
        </is>
      </c>
      <c r="F458" s="17" t="inlineStr"/>
      <c r="G458" s="17" t="inlineStr">
        <is>
          <t>2026-07-06</t>
        </is>
      </c>
      <c r="H458" s="17" t="inlineStr">
        <is>
          <t>한국거래소 KIND</t>
        </is>
      </c>
      <c r="I458" s="17" t="inlineStr">
        <is>
          <t>상장법인목록</t>
        </is>
      </c>
      <c r="J458" s="17" t="inlineStr">
        <is>
          <t>https://kind.krx.co.kr</t>
        </is>
      </c>
      <c r="K458" s="17" t="inlineStr">
        <is>
          <t>2026-07-06</t>
        </is>
      </c>
      <c r="L458" s="17" t="inlineStr">
        <is>
          <t>A</t>
        </is>
      </c>
      <c r="M458" s="17" t="inlineStr"/>
    </row>
    <row r="459">
      <c r="A459" s="17" t="inlineStr">
        <is>
          <t>C346</t>
        </is>
      </c>
      <c r="B459" s="17" t="inlineStr">
        <is>
          <t>태경케미컬</t>
        </is>
      </c>
      <c r="C459" s="17" t="inlineStr">
        <is>
          <t>태경케미컬(주)</t>
        </is>
      </c>
      <c r="D459" s="17" t="inlineStr">
        <is>
          <t>홈페이지</t>
        </is>
      </c>
      <c r="E459" s="17" t="inlineStr">
        <is>
          <t>http://www.taekyungchem.co.kr</t>
        </is>
      </c>
      <c r="F459" s="17" t="inlineStr"/>
      <c r="G459" s="17" t="inlineStr">
        <is>
          <t>2026-07-06</t>
        </is>
      </c>
      <c r="H459" s="17" t="inlineStr">
        <is>
          <t>한국거래소 KIND</t>
        </is>
      </c>
      <c r="I459" s="17" t="inlineStr">
        <is>
          <t>상장법인목록</t>
        </is>
      </c>
      <c r="J459" s="17" t="inlineStr">
        <is>
          <t>https://kind.krx.co.kr</t>
        </is>
      </c>
      <c r="K459" s="17" t="inlineStr">
        <is>
          <t>2026-07-06</t>
        </is>
      </c>
      <c r="L459" s="17" t="inlineStr">
        <is>
          <t>A</t>
        </is>
      </c>
      <c r="M459" s="17" t="inlineStr"/>
    </row>
    <row r="460">
      <c r="A460" s="17" t="inlineStr">
        <is>
          <t>C347</t>
        </is>
      </c>
      <c r="B460" s="17" t="inlineStr">
        <is>
          <t>와이에스생명과학</t>
        </is>
      </c>
      <c r="C460" s="17" t="inlineStr">
        <is>
          <t>(주)와이에스생명과학</t>
        </is>
      </c>
      <c r="D460" s="17" t="inlineStr">
        <is>
          <t>대표전화</t>
        </is>
      </c>
      <c r="E460" s="17" t="inlineStr">
        <is>
          <t>070-4754-7383</t>
        </is>
      </c>
      <c r="F460" s="17" t="inlineStr"/>
      <c r="G460" s="17" t="inlineStr">
        <is>
          <t>2026-07-06</t>
        </is>
      </c>
      <c r="H460" s="17" t="inlineStr">
        <is>
          <t>식품의약품안전처</t>
        </is>
      </c>
      <c r="I460" s="17" t="inlineStr">
        <is>
          <t>의약품 등 업체허가현황(제조소상세)</t>
        </is>
      </c>
      <c r="J460" s="17" t="inlineStr">
        <is>
          <t>https://www.data.go.kr/data/15095682/openapi.do</t>
        </is>
      </c>
      <c r="K460" s="17" t="inlineStr">
        <is>
          <t>2026-07-06</t>
        </is>
      </c>
      <c r="L460" s="17" t="inlineStr">
        <is>
          <t>A</t>
        </is>
      </c>
      <c r="M460" s="17" t="inlineStr">
        <is>
          <t>공장 대표번호</t>
        </is>
      </c>
    </row>
    <row r="461">
      <c r="A461" s="17" t="inlineStr">
        <is>
          <t>C348</t>
        </is>
      </c>
      <c r="B461" s="17" t="inlineStr">
        <is>
          <t>대봉엘에스</t>
        </is>
      </c>
      <c r="C461" s="17" t="inlineStr">
        <is>
          <t>대봉엘에스(주)</t>
        </is>
      </c>
      <c r="D461" s="17" t="inlineStr">
        <is>
          <t>대표전화</t>
        </is>
      </c>
      <c r="E461" s="17" t="inlineStr">
        <is>
          <t>032-817-8805</t>
        </is>
      </c>
      <c r="F461" s="17" t="inlineStr"/>
      <c r="G461" s="17" t="inlineStr">
        <is>
          <t>2026-07-06</t>
        </is>
      </c>
      <c r="H461" s="17" t="inlineStr">
        <is>
          <t>식품의약품안전처</t>
        </is>
      </c>
      <c r="I461" s="17" t="inlineStr">
        <is>
          <t>의약품 등 업체허가현황(제조소상세)</t>
        </is>
      </c>
      <c r="J461" s="17" t="inlineStr">
        <is>
          <t>https://www.data.go.kr/data/15095682/openapi.do</t>
        </is>
      </c>
      <c r="K461" s="17" t="inlineStr">
        <is>
          <t>2026-07-06</t>
        </is>
      </c>
      <c r="L461" s="17" t="inlineStr">
        <is>
          <t>A</t>
        </is>
      </c>
      <c r="M461" s="17" t="inlineStr">
        <is>
          <t>공장 대표번호</t>
        </is>
      </c>
    </row>
    <row r="462">
      <c r="A462" s="17" t="inlineStr">
        <is>
          <t>C348</t>
        </is>
      </c>
      <c r="B462" s="17" t="inlineStr">
        <is>
          <t>대봉엘에스</t>
        </is>
      </c>
      <c r="C462" s="17" t="inlineStr">
        <is>
          <t>대봉엘에스(주)</t>
        </is>
      </c>
      <c r="D462" s="17" t="inlineStr">
        <is>
          <t>상장정보</t>
        </is>
      </c>
      <c r="E462" s="17" t="inlineStr">
        <is>
          <t>코스닥/078140</t>
        </is>
      </c>
      <c r="F462" s="17" t="inlineStr"/>
      <c r="G462" s="17" t="inlineStr">
        <is>
          <t>2026-07-06</t>
        </is>
      </c>
      <c r="H462" s="17" t="inlineStr">
        <is>
          <t>한국거래소 KIND</t>
        </is>
      </c>
      <c r="I462" s="17" t="inlineStr">
        <is>
          <t>상장법인목록</t>
        </is>
      </c>
      <c r="J462" s="17" t="inlineStr">
        <is>
          <t>https://kind.krx.co.kr</t>
        </is>
      </c>
      <c r="K462" s="17" t="inlineStr">
        <is>
          <t>2026-07-06</t>
        </is>
      </c>
      <c r="L462" s="17" t="inlineStr">
        <is>
          <t>A</t>
        </is>
      </c>
      <c r="M462" s="17" t="inlineStr"/>
    </row>
    <row r="463">
      <c r="A463" s="17" t="inlineStr">
        <is>
          <t>C348</t>
        </is>
      </c>
      <c r="B463" s="17" t="inlineStr">
        <is>
          <t>대봉엘에스</t>
        </is>
      </c>
      <c r="C463" s="17" t="inlineStr">
        <is>
          <t>대봉엘에스(주)</t>
        </is>
      </c>
      <c r="D463" s="17" t="inlineStr">
        <is>
          <t>홈페이지</t>
        </is>
      </c>
      <c r="E463" s="17" t="inlineStr">
        <is>
          <t>http://www.daebongls.co.kr</t>
        </is>
      </c>
      <c r="F463" s="17" t="inlineStr"/>
      <c r="G463" s="17" t="inlineStr">
        <is>
          <t>2026-07-06</t>
        </is>
      </c>
      <c r="H463" s="17" t="inlineStr">
        <is>
          <t>한국거래소 KIND</t>
        </is>
      </c>
      <c r="I463" s="17" t="inlineStr">
        <is>
          <t>상장법인목록</t>
        </is>
      </c>
      <c r="J463" s="17" t="inlineStr">
        <is>
          <t>https://kind.krx.co.kr</t>
        </is>
      </c>
      <c r="K463" s="17" t="inlineStr">
        <is>
          <t>2026-07-06</t>
        </is>
      </c>
      <c r="L463" s="17" t="inlineStr">
        <is>
          <t>A</t>
        </is>
      </c>
      <c r="M463" s="17" t="inlineStr"/>
    </row>
    <row r="464">
      <c r="A464" s="17" t="inlineStr">
        <is>
          <t>C349</t>
        </is>
      </c>
      <c r="B464" s="17" t="inlineStr">
        <is>
          <t>에스케이에어플러스</t>
        </is>
      </c>
      <c r="C464" s="17" t="inlineStr">
        <is>
          <t>에스케이에어플러스 주식회사</t>
        </is>
      </c>
      <c r="D464" s="17" t="inlineStr">
        <is>
          <t>대표전화</t>
        </is>
      </c>
      <c r="E464" s="17" t="inlineStr">
        <is>
          <t>052-256-1641</t>
        </is>
      </c>
      <c r="F464" s="17" t="inlineStr"/>
      <c r="G464" s="17" t="inlineStr">
        <is>
          <t>2026-07-06</t>
        </is>
      </c>
      <c r="H464" s="17" t="inlineStr">
        <is>
          <t>식품의약품안전처</t>
        </is>
      </c>
      <c r="I464" s="17" t="inlineStr">
        <is>
          <t>의약품 등 업체허가현황(제조소상세)</t>
        </is>
      </c>
      <c r="J464" s="17" t="inlineStr">
        <is>
          <t>https://www.data.go.kr/data/15095682/openapi.do</t>
        </is>
      </c>
      <c r="K464" s="17" t="inlineStr">
        <is>
          <t>2026-07-06</t>
        </is>
      </c>
      <c r="L464" s="17" t="inlineStr">
        <is>
          <t>A</t>
        </is>
      </c>
      <c r="M464" s="17" t="inlineStr">
        <is>
          <t>공장 대표번호</t>
        </is>
      </c>
    </row>
    <row r="465">
      <c r="A465" s="17" t="inlineStr">
        <is>
          <t>C350</t>
        </is>
      </c>
      <c r="B465" s="17" t="inlineStr">
        <is>
          <t>테고사이언스</t>
        </is>
      </c>
      <c r="C465" s="17" t="inlineStr">
        <is>
          <t>테고사이언스(주)</t>
        </is>
      </c>
      <c r="D465" s="17" t="inlineStr">
        <is>
          <t>대표전화</t>
        </is>
      </c>
      <c r="E465" s="17" t="inlineStr">
        <is>
          <t>02-818-2927</t>
        </is>
      </c>
      <c r="F465" s="17" t="inlineStr"/>
      <c r="G465" s="17" t="inlineStr">
        <is>
          <t>2026-07-06</t>
        </is>
      </c>
      <c r="H465" s="17" t="inlineStr">
        <is>
          <t>식품의약품안전처</t>
        </is>
      </c>
      <c r="I465" s="17" t="inlineStr">
        <is>
          <t>의약품 등 업체허가현황(제조소상세)</t>
        </is>
      </c>
      <c r="J465" s="17" t="inlineStr">
        <is>
          <t>https://www.data.go.kr/data/15095682/openapi.do</t>
        </is>
      </c>
      <c r="K465" s="17" t="inlineStr">
        <is>
          <t>2026-07-06</t>
        </is>
      </c>
      <c r="L465" s="17" t="inlineStr">
        <is>
          <t>A</t>
        </is>
      </c>
      <c r="M465" s="17" t="inlineStr">
        <is>
          <t>공장 대표번호</t>
        </is>
      </c>
    </row>
    <row r="466">
      <c r="A466" s="17" t="inlineStr">
        <is>
          <t>C350</t>
        </is>
      </c>
      <c r="B466" s="17" t="inlineStr">
        <is>
          <t>테고사이언스</t>
        </is>
      </c>
      <c r="C466" s="17" t="inlineStr">
        <is>
          <t>테고사이언스(주)</t>
        </is>
      </c>
      <c r="D466" s="17" t="inlineStr">
        <is>
          <t>상장정보</t>
        </is>
      </c>
      <c r="E466" s="17" t="inlineStr">
        <is>
          <t>코스닥/191420</t>
        </is>
      </c>
      <c r="F466" s="17" t="inlineStr"/>
      <c r="G466" s="17" t="inlineStr">
        <is>
          <t>2026-07-06</t>
        </is>
      </c>
      <c r="H466" s="17" t="inlineStr">
        <is>
          <t>한국거래소 KIND</t>
        </is>
      </c>
      <c r="I466" s="17" t="inlineStr">
        <is>
          <t>상장법인목록</t>
        </is>
      </c>
      <c r="J466" s="17" t="inlineStr">
        <is>
          <t>https://kind.krx.co.kr</t>
        </is>
      </c>
      <c r="K466" s="17" t="inlineStr">
        <is>
          <t>2026-07-06</t>
        </is>
      </c>
      <c r="L466" s="17" t="inlineStr">
        <is>
          <t>A</t>
        </is>
      </c>
      <c r="M466" s="17" t="inlineStr"/>
    </row>
    <row r="467">
      <c r="A467" s="17" t="inlineStr">
        <is>
          <t>C350</t>
        </is>
      </c>
      <c r="B467" s="17" t="inlineStr">
        <is>
          <t>테고사이언스</t>
        </is>
      </c>
      <c r="C467" s="17" t="inlineStr">
        <is>
          <t>테고사이언스(주)</t>
        </is>
      </c>
      <c r="D467" s="17" t="inlineStr">
        <is>
          <t>홈페이지</t>
        </is>
      </c>
      <c r="E467" s="17" t="inlineStr">
        <is>
          <t>http://www.tegoscience.com</t>
        </is>
      </c>
      <c r="F467" s="17" t="inlineStr"/>
      <c r="G467" s="17" t="inlineStr">
        <is>
          <t>2026-07-06</t>
        </is>
      </c>
      <c r="H467" s="17" t="inlineStr">
        <is>
          <t>한국거래소 KIND</t>
        </is>
      </c>
      <c r="I467" s="17" t="inlineStr">
        <is>
          <t>상장법인목록</t>
        </is>
      </c>
      <c r="J467" s="17" t="inlineStr">
        <is>
          <t>https://kind.krx.co.kr</t>
        </is>
      </c>
      <c r="K467" s="17" t="inlineStr">
        <is>
          <t>2026-07-06</t>
        </is>
      </c>
      <c r="L467" s="17" t="inlineStr">
        <is>
          <t>A</t>
        </is>
      </c>
      <c r="M467" s="17" t="inlineStr"/>
    </row>
    <row r="468">
      <c r="A468" s="17" t="inlineStr">
        <is>
          <t>C351</t>
        </is>
      </c>
      <c r="B468" s="17" t="inlineStr">
        <is>
          <t>코오롱제약</t>
        </is>
      </c>
      <c r="C468" s="17" t="inlineStr">
        <is>
          <t>코오롱제약(주)</t>
        </is>
      </c>
      <c r="D468" s="17" t="inlineStr">
        <is>
          <t>대표전화</t>
        </is>
      </c>
      <c r="E468" s="17" t="inlineStr">
        <is>
          <t>042-930-5710</t>
        </is>
      </c>
      <c r="F468" s="17" t="inlineStr"/>
      <c r="G468" s="17" t="inlineStr">
        <is>
          <t>2026-07-06</t>
        </is>
      </c>
      <c r="H468" s="17" t="inlineStr">
        <is>
          <t>식품의약품안전처</t>
        </is>
      </c>
      <c r="I468" s="17" t="inlineStr">
        <is>
          <t>의약품 등 업체허가현황(제조소상세)</t>
        </is>
      </c>
      <c r="J468" s="17" t="inlineStr">
        <is>
          <t>https://www.data.go.kr/data/15095682/openapi.do</t>
        </is>
      </c>
      <c r="K468" s="17" t="inlineStr">
        <is>
          <t>2026-07-06</t>
        </is>
      </c>
      <c r="L468" s="17" t="inlineStr">
        <is>
          <t>A</t>
        </is>
      </c>
      <c r="M468" s="17" t="inlineStr">
        <is>
          <t>공장 대표번호</t>
        </is>
      </c>
    </row>
    <row r="469">
      <c r="A469" s="17" t="inlineStr">
        <is>
          <t>C352</t>
        </is>
      </c>
      <c r="B469" s="17" t="inlineStr">
        <is>
          <t>지엘파마</t>
        </is>
      </c>
      <c r="C469" s="17" t="inlineStr">
        <is>
          <t>지엘파마(주)</t>
        </is>
      </c>
      <c r="D469" s="17" t="inlineStr">
        <is>
          <t>대표전화</t>
        </is>
      </c>
      <c r="E469" s="17" t="inlineStr">
        <is>
          <t>031-4433-9212</t>
        </is>
      </c>
      <c r="F469" s="17" t="inlineStr"/>
      <c r="G469" s="17" t="inlineStr">
        <is>
          <t>2026-07-06</t>
        </is>
      </c>
      <c r="H469" s="17" t="inlineStr">
        <is>
          <t>식품의약품안전처</t>
        </is>
      </c>
      <c r="I469" s="17" t="inlineStr">
        <is>
          <t>의약품 등 업체허가현황(제조소상세)</t>
        </is>
      </c>
      <c r="J469" s="17" t="inlineStr">
        <is>
          <t>https://www.data.go.kr/data/15095682/openapi.do</t>
        </is>
      </c>
      <c r="K469" s="17" t="inlineStr">
        <is>
          <t>2026-07-06</t>
        </is>
      </c>
      <c r="L469" s="17" t="inlineStr">
        <is>
          <t>A</t>
        </is>
      </c>
      <c r="M469" s="17" t="inlineStr">
        <is>
          <t>공장 대표번호</t>
        </is>
      </c>
    </row>
    <row r="470">
      <c r="A470" s="17" t="inlineStr">
        <is>
          <t>C353</t>
        </is>
      </c>
      <c r="B470" s="17" t="inlineStr">
        <is>
          <t>우진비앤지</t>
        </is>
      </c>
      <c r="C470" s="17" t="inlineStr">
        <is>
          <t>우진비앤지(주)</t>
        </is>
      </c>
      <c r="D470" s="17" t="inlineStr">
        <is>
          <t>대표전화</t>
        </is>
      </c>
      <c r="E470" s="17" t="inlineStr">
        <is>
          <t>031-352-0185</t>
        </is>
      </c>
      <c r="F470" s="17" t="inlineStr"/>
      <c r="G470" s="17" t="inlineStr">
        <is>
          <t>2026-07-06</t>
        </is>
      </c>
      <c r="H470" s="17" t="inlineStr">
        <is>
          <t>식품의약품안전처</t>
        </is>
      </c>
      <c r="I470" s="17" t="inlineStr">
        <is>
          <t>의약품 등 업체허가현황(제조소상세)</t>
        </is>
      </c>
      <c r="J470" s="17" t="inlineStr">
        <is>
          <t>https://www.data.go.kr/data/15095682/openapi.do</t>
        </is>
      </c>
      <c r="K470" s="17" t="inlineStr">
        <is>
          <t>2026-07-06</t>
        </is>
      </c>
      <c r="L470" s="17" t="inlineStr">
        <is>
          <t>A</t>
        </is>
      </c>
      <c r="M470" s="17" t="inlineStr">
        <is>
          <t>공장 대표번호</t>
        </is>
      </c>
    </row>
    <row r="471">
      <c r="A471" s="17" t="inlineStr">
        <is>
          <t>C353</t>
        </is>
      </c>
      <c r="B471" s="17" t="inlineStr">
        <is>
          <t>우진비앤지</t>
        </is>
      </c>
      <c r="C471" s="17" t="inlineStr">
        <is>
          <t>우진비앤지(주)</t>
        </is>
      </c>
      <c r="D471" s="17" t="inlineStr">
        <is>
          <t>상장정보</t>
        </is>
      </c>
      <c r="E471" s="17" t="inlineStr">
        <is>
          <t>코스닥/018620</t>
        </is>
      </c>
      <c r="F471" s="17" t="inlineStr"/>
      <c r="G471" s="17" t="inlineStr">
        <is>
          <t>2026-07-06</t>
        </is>
      </c>
      <c r="H471" s="17" t="inlineStr">
        <is>
          <t>한국거래소 KIND</t>
        </is>
      </c>
      <c r="I471" s="17" t="inlineStr">
        <is>
          <t>상장법인목록</t>
        </is>
      </c>
      <c r="J471" s="17" t="inlineStr">
        <is>
          <t>https://kind.krx.co.kr</t>
        </is>
      </c>
      <c r="K471" s="17" t="inlineStr">
        <is>
          <t>2026-07-06</t>
        </is>
      </c>
      <c r="L471" s="17" t="inlineStr">
        <is>
          <t>A</t>
        </is>
      </c>
      <c r="M471" s="17" t="inlineStr"/>
    </row>
    <row r="472">
      <c r="A472" s="17" t="inlineStr">
        <is>
          <t>C353</t>
        </is>
      </c>
      <c r="B472" s="17" t="inlineStr">
        <is>
          <t>우진비앤지</t>
        </is>
      </c>
      <c r="C472" s="17" t="inlineStr">
        <is>
          <t>우진비앤지(주)</t>
        </is>
      </c>
      <c r="D472" s="17" t="inlineStr">
        <is>
          <t>홈페이지</t>
        </is>
      </c>
      <c r="E472" s="17" t="inlineStr">
        <is>
          <t>http://www.woogenebng.com</t>
        </is>
      </c>
      <c r="F472" s="17" t="inlineStr"/>
      <c r="G472" s="17" t="inlineStr">
        <is>
          <t>2026-07-06</t>
        </is>
      </c>
      <c r="H472" s="17" t="inlineStr">
        <is>
          <t>한국거래소 KIND</t>
        </is>
      </c>
      <c r="I472" s="17" t="inlineStr">
        <is>
          <t>상장법인목록</t>
        </is>
      </c>
      <c r="J472" s="17" t="inlineStr">
        <is>
          <t>https://kind.krx.co.kr</t>
        </is>
      </c>
      <c r="K472" s="17" t="inlineStr">
        <is>
          <t>2026-07-06</t>
        </is>
      </c>
      <c r="L472" s="17" t="inlineStr">
        <is>
          <t>A</t>
        </is>
      </c>
      <c r="M472" s="17" t="inlineStr"/>
    </row>
    <row r="473">
      <c r="A473" s="17" t="inlineStr">
        <is>
          <t>C355</t>
        </is>
      </c>
      <c r="B473" s="17" t="inlineStr">
        <is>
          <t>제일제약</t>
        </is>
      </c>
      <c r="C473" s="17" t="inlineStr">
        <is>
          <t>(주)제일제약</t>
        </is>
      </c>
      <c r="D473" s="17" t="inlineStr">
        <is>
          <t>대표전화</t>
        </is>
      </c>
      <c r="E473" s="17" t="inlineStr">
        <is>
          <t>053-5836-2268</t>
        </is>
      </c>
      <c r="F473" s="17" t="inlineStr"/>
      <c r="G473" s="17" t="inlineStr">
        <is>
          <t>2026-07-06</t>
        </is>
      </c>
      <c r="H473" s="17" t="inlineStr">
        <is>
          <t>식품의약품안전처</t>
        </is>
      </c>
      <c r="I473" s="17" t="inlineStr">
        <is>
          <t>의약품 등 업체허가현황(제조소상세)</t>
        </is>
      </c>
      <c r="J473" s="17" t="inlineStr">
        <is>
          <t>https://www.data.go.kr/data/15095682/openapi.do</t>
        </is>
      </c>
      <c r="K473" s="17" t="inlineStr">
        <is>
          <t>2026-07-06</t>
        </is>
      </c>
      <c r="L473" s="17" t="inlineStr">
        <is>
          <t>A</t>
        </is>
      </c>
      <c r="M473" s="17" t="inlineStr">
        <is>
          <t>공장 대표번호</t>
        </is>
      </c>
    </row>
    <row r="474">
      <c r="A474" s="17" t="inlineStr">
        <is>
          <t>C356</t>
        </is>
      </c>
      <c r="B474" s="17" t="inlineStr">
        <is>
          <t>코리아에어텍</t>
        </is>
      </c>
      <c r="C474" s="17" t="inlineStr">
        <is>
          <t>주식회사 코리아에어텍</t>
        </is>
      </c>
      <c r="D474" s="17" t="inlineStr">
        <is>
          <t>대표전화</t>
        </is>
      </c>
      <c r="E474" s="17" t="inlineStr">
        <is>
          <t>052-278-6782</t>
        </is>
      </c>
      <c r="F474" s="17" t="inlineStr"/>
      <c r="G474" s="17" t="inlineStr">
        <is>
          <t>2026-07-06</t>
        </is>
      </c>
      <c r="H474" s="17" t="inlineStr">
        <is>
          <t>식품의약품안전처</t>
        </is>
      </c>
      <c r="I474" s="17" t="inlineStr">
        <is>
          <t>의약품 등 업체허가현황(제조소상세)</t>
        </is>
      </c>
      <c r="J474" s="17" t="inlineStr">
        <is>
          <t>https://www.data.go.kr/data/15095682/openapi.do</t>
        </is>
      </c>
      <c r="K474" s="17" t="inlineStr">
        <is>
          <t>2026-07-06</t>
        </is>
      </c>
      <c r="L474" s="17" t="inlineStr">
        <is>
          <t>A</t>
        </is>
      </c>
      <c r="M474" s="17" t="inlineStr">
        <is>
          <t>공장 대표번호</t>
        </is>
      </c>
    </row>
    <row r="475">
      <c r="A475" s="17" t="inlineStr">
        <is>
          <t>C357</t>
        </is>
      </c>
      <c r="B475" s="17" t="inlineStr">
        <is>
          <t>엔지켐생명과학</t>
        </is>
      </c>
      <c r="C475" s="17" t="inlineStr">
        <is>
          <t>(주)엔지켐생명과학</t>
        </is>
      </c>
      <c r="D475" s="17" t="inlineStr">
        <is>
          <t>대표전화</t>
        </is>
      </c>
      <c r="E475" s="17" t="inlineStr">
        <is>
          <t>043-652-2846</t>
        </is>
      </c>
      <c r="F475" s="17" t="inlineStr"/>
      <c r="G475" s="17" t="inlineStr">
        <is>
          <t>2026-07-06</t>
        </is>
      </c>
      <c r="H475" s="17" t="inlineStr">
        <is>
          <t>식품의약품안전처</t>
        </is>
      </c>
      <c r="I475" s="17" t="inlineStr">
        <is>
          <t>의약품 등 업체허가현황(제조소상세)</t>
        </is>
      </c>
      <c r="J475" s="17" t="inlineStr">
        <is>
          <t>https://www.data.go.kr/data/15095682/openapi.do</t>
        </is>
      </c>
      <c r="K475" s="17" t="inlineStr">
        <is>
          <t>2026-07-06</t>
        </is>
      </c>
      <c r="L475" s="17" t="inlineStr">
        <is>
          <t>A</t>
        </is>
      </c>
      <c r="M475" s="17" t="inlineStr">
        <is>
          <t>공장 대표번호</t>
        </is>
      </c>
    </row>
    <row r="476">
      <c r="A476" s="17" t="inlineStr">
        <is>
          <t>C357</t>
        </is>
      </c>
      <c r="B476" s="17" t="inlineStr">
        <is>
          <t>엔지켐생명과학</t>
        </is>
      </c>
      <c r="C476" s="17" t="inlineStr">
        <is>
          <t>(주)엔지켐생명과학</t>
        </is>
      </c>
      <c r="D476" s="17" t="inlineStr">
        <is>
          <t>상장정보</t>
        </is>
      </c>
      <c r="E476" s="17" t="inlineStr">
        <is>
          <t>코스닥/183490</t>
        </is>
      </c>
      <c r="F476" s="17" t="inlineStr"/>
      <c r="G476" s="17" t="inlineStr">
        <is>
          <t>2026-07-06</t>
        </is>
      </c>
      <c r="H476" s="17" t="inlineStr">
        <is>
          <t>한국거래소 KIND</t>
        </is>
      </c>
      <c r="I476" s="17" t="inlineStr">
        <is>
          <t>상장법인목록</t>
        </is>
      </c>
      <c r="J476" s="17" t="inlineStr">
        <is>
          <t>https://kind.krx.co.kr</t>
        </is>
      </c>
      <c r="K476" s="17" t="inlineStr">
        <is>
          <t>2026-07-06</t>
        </is>
      </c>
      <c r="L476" s="17" t="inlineStr">
        <is>
          <t>A</t>
        </is>
      </c>
      <c r="M476" s="17" t="inlineStr"/>
    </row>
    <row r="477">
      <c r="A477" s="17" t="inlineStr">
        <is>
          <t>C357</t>
        </is>
      </c>
      <c r="B477" s="17" t="inlineStr">
        <is>
          <t>엔지켐생명과학</t>
        </is>
      </c>
      <c r="C477" s="17" t="inlineStr">
        <is>
          <t>(주)엔지켐생명과학</t>
        </is>
      </c>
      <c r="D477" s="17" t="inlineStr">
        <is>
          <t>홈페이지</t>
        </is>
      </c>
      <c r="E477" s="17" t="inlineStr">
        <is>
          <t>http://www.enzychem.co.kr</t>
        </is>
      </c>
      <c r="F477" s="17" t="inlineStr"/>
      <c r="G477" s="17" t="inlineStr">
        <is>
          <t>2026-07-06</t>
        </is>
      </c>
      <c r="H477" s="17" t="inlineStr">
        <is>
          <t>한국거래소 KIND</t>
        </is>
      </c>
      <c r="I477" s="17" t="inlineStr">
        <is>
          <t>상장법인목록</t>
        </is>
      </c>
      <c r="J477" s="17" t="inlineStr">
        <is>
          <t>https://kind.krx.co.kr</t>
        </is>
      </c>
      <c r="K477" s="17" t="inlineStr">
        <is>
          <t>2026-07-06</t>
        </is>
      </c>
      <c r="L477" s="17" t="inlineStr">
        <is>
          <t>A</t>
        </is>
      </c>
      <c r="M477" s="17" t="inlineStr"/>
    </row>
    <row r="478">
      <c r="A478" s="17" t="inlineStr">
        <is>
          <t>C358</t>
        </is>
      </c>
      <c r="B478" s="17" t="inlineStr">
        <is>
          <t>씨티씨바이오</t>
        </is>
      </c>
      <c r="C478" s="17" t="inlineStr">
        <is>
          <t>(주)씨티씨바이오</t>
        </is>
      </c>
      <c r="D478" s="17" t="inlineStr">
        <is>
          <t>상장정보</t>
        </is>
      </c>
      <c r="E478" s="17" t="inlineStr">
        <is>
          <t>코스닥/060590</t>
        </is>
      </c>
      <c r="F478" s="17" t="inlineStr"/>
      <c r="G478" s="17" t="inlineStr">
        <is>
          <t>2026-07-06</t>
        </is>
      </c>
      <c r="H478" s="17" t="inlineStr">
        <is>
          <t>한국거래소 KIND</t>
        </is>
      </c>
      <c r="I478" s="17" t="inlineStr">
        <is>
          <t>상장법인목록</t>
        </is>
      </c>
      <c r="J478" s="17" t="inlineStr">
        <is>
          <t>https://kind.krx.co.kr</t>
        </is>
      </c>
      <c r="K478" s="17" t="inlineStr">
        <is>
          <t>2026-07-06</t>
        </is>
      </c>
      <c r="L478" s="17" t="inlineStr">
        <is>
          <t>A</t>
        </is>
      </c>
      <c r="M478" s="17" t="inlineStr"/>
    </row>
    <row r="479">
      <c r="A479" s="17" t="inlineStr">
        <is>
          <t>C358</t>
        </is>
      </c>
      <c r="B479" s="17" t="inlineStr">
        <is>
          <t>씨티씨바이오</t>
        </is>
      </c>
      <c r="C479" s="17" t="inlineStr">
        <is>
          <t>(주)씨티씨바이오</t>
        </is>
      </c>
      <c r="D479" s="17" t="inlineStr">
        <is>
          <t>홈페이지</t>
        </is>
      </c>
      <c r="E479" s="17" t="inlineStr">
        <is>
          <t>http://www.ctcbio.com</t>
        </is>
      </c>
      <c r="F479" s="17" t="inlineStr"/>
      <c r="G479" s="17" t="inlineStr">
        <is>
          <t>2026-07-06</t>
        </is>
      </c>
      <c r="H479" s="17" t="inlineStr">
        <is>
          <t>한국거래소 KIND</t>
        </is>
      </c>
      <c r="I479" s="17" t="inlineStr">
        <is>
          <t>상장법인목록</t>
        </is>
      </c>
      <c r="J479" s="17" t="inlineStr">
        <is>
          <t>https://kind.krx.co.kr</t>
        </is>
      </c>
      <c r="K479" s="17" t="inlineStr">
        <is>
          <t>2026-07-06</t>
        </is>
      </c>
      <c r="L479" s="17" t="inlineStr">
        <is>
          <t>A</t>
        </is>
      </c>
      <c r="M479" s="17" t="inlineStr"/>
    </row>
    <row r="480">
      <c r="A480" s="17" t="inlineStr">
        <is>
          <t>C360</t>
        </is>
      </c>
      <c r="B480" s="17" t="inlineStr">
        <is>
          <t>알리코제약</t>
        </is>
      </c>
      <c r="C480" s="17" t="inlineStr">
        <is>
          <t>알리코제약(주)</t>
        </is>
      </c>
      <c r="D480" s="17" t="inlineStr">
        <is>
          <t>대표전화</t>
        </is>
      </c>
      <c r="E480" s="17" t="inlineStr">
        <is>
          <t>043-535-8877</t>
        </is>
      </c>
      <c r="F480" s="17" t="inlineStr"/>
      <c r="G480" s="17" t="inlineStr">
        <is>
          <t>2026-07-06</t>
        </is>
      </c>
      <c r="H480" s="17" t="inlineStr">
        <is>
          <t>식품의약품안전처</t>
        </is>
      </c>
      <c r="I480" s="17" t="inlineStr">
        <is>
          <t>의약품 등 업체허가현황(제조소상세)</t>
        </is>
      </c>
      <c r="J480" s="17" t="inlineStr">
        <is>
          <t>https://www.data.go.kr/data/15095682/openapi.do</t>
        </is>
      </c>
      <c r="K480" s="17" t="inlineStr">
        <is>
          <t>2026-07-06</t>
        </is>
      </c>
      <c r="L480" s="17" t="inlineStr">
        <is>
          <t>A</t>
        </is>
      </c>
      <c r="M480" s="17" t="inlineStr">
        <is>
          <t>공장 대표번호</t>
        </is>
      </c>
    </row>
    <row r="481">
      <c r="A481" s="17" t="inlineStr">
        <is>
          <t>C360</t>
        </is>
      </c>
      <c r="B481" s="17" t="inlineStr">
        <is>
          <t>알리코제약</t>
        </is>
      </c>
      <c r="C481" s="17" t="inlineStr">
        <is>
          <t>알리코제약(주)</t>
        </is>
      </c>
      <c r="D481" s="17" t="inlineStr">
        <is>
          <t>상장정보</t>
        </is>
      </c>
      <c r="E481" s="17" t="inlineStr">
        <is>
          <t>코스닥/260660</t>
        </is>
      </c>
      <c r="F481" s="17" t="inlineStr"/>
      <c r="G481" s="17" t="inlineStr">
        <is>
          <t>2026-07-06</t>
        </is>
      </c>
      <c r="H481" s="17" t="inlineStr">
        <is>
          <t>한국거래소 KIND</t>
        </is>
      </c>
      <c r="I481" s="17" t="inlineStr">
        <is>
          <t>상장법인목록</t>
        </is>
      </c>
      <c r="J481" s="17" t="inlineStr">
        <is>
          <t>https://kind.krx.co.kr</t>
        </is>
      </c>
      <c r="K481" s="17" t="inlineStr">
        <is>
          <t>2026-07-06</t>
        </is>
      </c>
      <c r="L481" s="17" t="inlineStr">
        <is>
          <t>A</t>
        </is>
      </c>
      <c r="M481" s="17" t="inlineStr"/>
    </row>
    <row r="482">
      <c r="A482" s="17" t="inlineStr">
        <is>
          <t>C360</t>
        </is>
      </c>
      <c r="B482" s="17" t="inlineStr">
        <is>
          <t>알리코제약</t>
        </is>
      </c>
      <c r="C482" s="17" t="inlineStr">
        <is>
          <t>알리코제약(주)</t>
        </is>
      </c>
      <c r="D482" s="17" t="inlineStr">
        <is>
          <t>홈페이지</t>
        </is>
      </c>
      <c r="E482" s="17" t="inlineStr">
        <is>
          <t>http://www.arlico.co.kr</t>
        </is>
      </c>
      <c r="F482" s="17" t="inlineStr"/>
      <c r="G482" s="17" t="inlineStr">
        <is>
          <t>2026-07-06</t>
        </is>
      </c>
      <c r="H482" s="17" t="inlineStr">
        <is>
          <t>한국거래소 KIND</t>
        </is>
      </c>
      <c r="I482" s="17" t="inlineStr">
        <is>
          <t>상장법인목록</t>
        </is>
      </c>
      <c r="J482" s="17" t="inlineStr">
        <is>
          <t>https://kind.krx.co.kr</t>
        </is>
      </c>
      <c r="K482" s="17" t="inlineStr">
        <is>
          <t>2026-07-06</t>
        </is>
      </c>
      <c r="L482" s="17" t="inlineStr">
        <is>
          <t>A</t>
        </is>
      </c>
      <c r="M482" s="17" t="inlineStr"/>
    </row>
    <row r="483">
      <c r="A483" s="17" t="inlineStr">
        <is>
          <t>C361</t>
        </is>
      </c>
      <c r="B483" s="17" t="inlineStr">
        <is>
          <t>성원애드콕제약</t>
        </is>
      </c>
      <c r="C483" s="17" t="inlineStr">
        <is>
          <t>성원애드콕제약(주)</t>
        </is>
      </c>
      <c r="D483" s="17" t="inlineStr">
        <is>
          <t>대표전화</t>
        </is>
      </c>
      <c r="E483" s="17" t="inlineStr">
        <is>
          <t>031-982-2982</t>
        </is>
      </c>
      <c r="F483" s="17" t="inlineStr"/>
      <c r="G483" s="17" t="inlineStr">
        <is>
          <t>2026-07-06</t>
        </is>
      </c>
      <c r="H483" s="17" t="inlineStr">
        <is>
          <t>식품의약품안전처</t>
        </is>
      </c>
      <c r="I483" s="17" t="inlineStr">
        <is>
          <t>의약품 등 업체허가현황(제조소상세)</t>
        </is>
      </c>
      <c r="J483" s="17" t="inlineStr">
        <is>
          <t>https://www.data.go.kr/data/15095682/openapi.do</t>
        </is>
      </c>
      <c r="K483" s="17" t="inlineStr">
        <is>
          <t>2026-07-06</t>
        </is>
      </c>
      <c r="L483" s="17" t="inlineStr">
        <is>
          <t>A</t>
        </is>
      </c>
      <c r="M483" s="17" t="inlineStr">
        <is>
          <t>공장 대표번호</t>
        </is>
      </c>
    </row>
    <row r="484">
      <c r="A484" s="17" t="inlineStr">
        <is>
          <t>C362</t>
        </is>
      </c>
      <c r="B484" s="17" t="inlineStr">
        <is>
          <t>(재)전남바이오진흥원그린바이오본부천연센터</t>
        </is>
      </c>
      <c r="C484" s="17" t="inlineStr">
        <is>
          <t>(재)전남바이오진흥원 그린바이오본부 천연센터</t>
        </is>
      </c>
      <c r="D484" s="17" t="inlineStr">
        <is>
          <t>대표전화</t>
        </is>
      </c>
      <c r="E484" s="17" t="inlineStr">
        <is>
          <t>061-375-6805</t>
        </is>
      </c>
      <c r="F484" s="17" t="inlineStr"/>
      <c r="G484" s="17" t="inlineStr">
        <is>
          <t>2026-07-06</t>
        </is>
      </c>
      <c r="H484" s="17" t="inlineStr">
        <is>
          <t>식품의약품안전처</t>
        </is>
      </c>
      <c r="I484" s="17" t="inlineStr">
        <is>
          <t>의약품 등 업체허가현황(제조소상세)</t>
        </is>
      </c>
      <c r="J484" s="17" t="inlineStr">
        <is>
          <t>https://www.data.go.kr/data/15095682/openapi.do</t>
        </is>
      </c>
      <c r="K484" s="17" t="inlineStr">
        <is>
          <t>2026-07-06</t>
        </is>
      </c>
      <c r="L484" s="17" t="inlineStr">
        <is>
          <t>A</t>
        </is>
      </c>
      <c r="M484" s="17" t="inlineStr">
        <is>
          <t>공장 대표번호</t>
        </is>
      </c>
    </row>
    <row r="485">
      <c r="A485" s="17" t="inlineStr">
        <is>
          <t>C363</t>
        </is>
      </c>
      <c r="B485" s="17" t="inlineStr">
        <is>
          <t>삼정바이오솔루션</t>
        </is>
      </c>
      <c r="C485" s="17" t="inlineStr">
        <is>
          <t>삼정바이오솔루션(주)</t>
        </is>
      </c>
      <c r="D485" s="17" t="inlineStr">
        <is>
          <t>대표전화</t>
        </is>
      </c>
      <c r="E485" s="17" t="inlineStr">
        <is>
          <t>031-8059-3244</t>
        </is>
      </c>
      <c r="F485" s="17" t="inlineStr"/>
      <c r="G485" s="17" t="inlineStr">
        <is>
          <t>2026-07-06</t>
        </is>
      </c>
      <c r="H485" s="17" t="inlineStr">
        <is>
          <t>식품의약품안전처</t>
        </is>
      </c>
      <c r="I485" s="17" t="inlineStr">
        <is>
          <t>의약품 등 업체허가현황(제조소상세)</t>
        </is>
      </c>
      <c r="J485" s="17" t="inlineStr">
        <is>
          <t>https://www.data.go.kr/data/15095682/openapi.do</t>
        </is>
      </c>
      <c r="K485" s="17" t="inlineStr">
        <is>
          <t>2026-07-06</t>
        </is>
      </c>
      <c r="L485" s="17" t="inlineStr">
        <is>
          <t>A</t>
        </is>
      </c>
      <c r="M485" s="17" t="inlineStr">
        <is>
          <t>공장 대표번호</t>
        </is>
      </c>
    </row>
    <row r="486">
      <c r="A486" s="17" t="inlineStr">
        <is>
          <t>C364</t>
        </is>
      </c>
      <c r="B486" s="17" t="inlineStr">
        <is>
          <t>한국백신</t>
        </is>
      </c>
      <c r="C486" s="17" t="inlineStr">
        <is>
          <t>(주)한국백신</t>
        </is>
      </c>
      <c r="D486" s="17" t="inlineStr">
        <is>
          <t>대표전화</t>
        </is>
      </c>
      <c r="E486" s="17" t="inlineStr">
        <is>
          <t>031-495-6397</t>
        </is>
      </c>
      <c r="F486" s="17" t="inlineStr"/>
      <c r="G486" s="17" t="inlineStr">
        <is>
          <t>2026-07-06</t>
        </is>
      </c>
      <c r="H486" s="17" t="inlineStr">
        <is>
          <t>식품의약품안전처</t>
        </is>
      </c>
      <c r="I486" s="17" t="inlineStr">
        <is>
          <t>의약품 등 업체허가현황(제조소상세)</t>
        </is>
      </c>
      <c r="J486" s="17" t="inlineStr">
        <is>
          <t>https://www.data.go.kr/data/15095682/openapi.do</t>
        </is>
      </c>
      <c r="K486" s="17" t="inlineStr">
        <is>
          <t>2026-07-06</t>
        </is>
      </c>
      <c r="L486" s="17" t="inlineStr">
        <is>
          <t>A</t>
        </is>
      </c>
      <c r="M486" s="17" t="inlineStr">
        <is>
          <t>공장 대표번호</t>
        </is>
      </c>
    </row>
    <row r="487">
      <c r="A487" s="17" t="inlineStr">
        <is>
          <t>C365</t>
        </is>
      </c>
      <c r="B487" s="17" t="inlineStr">
        <is>
          <t>부광약품</t>
        </is>
      </c>
      <c r="C487" s="17" t="inlineStr">
        <is>
          <t>부광약품(주)</t>
        </is>
      </c>
      <c r="D487" s="17" t="inlineStr">
        <is>
          <t>대표전화</t>
        </is>
      </c>
      <c r="E487" s="17" t="inlineStr">
        <is>
          <t>031-492-0908</t>
        </is>
      </c>
      <c r="F487" s="17" t="inlineStr"/>
      <c r="G487" s="17" t="inlineStr">
        <is>
          <t>2026-07-06</t>
        </is>
      </c>
      <c r="H487" s="17" t="inlineStr">
        <is>
          <t>식품의약품안전처</t>
        </is>
      </c>
      <c r="I487" s="17" t="inlineStr">
        <is>
          <t>의약품 등 업체허가현황(제조소상세)</t>
        </is>
      </c>
      <c r="J487" s="17" t="inlineStr">
        <is>
          <t>https://www.data.go.kr/data/15095682/openapi.do</t>
        </is>
      </c>
      <c r="K487" s="17" t="inlineStr">
        <is>
          <t>2026-07-06</t>
        </is>
      </c>
      <c r="L487" s="17" t="inlineStr">
        <is>
          <t>A</t>
        </is>
      </c>
      <c r="M487" s="17" t="inlineStr">
        <is>
          <t>공장 대표번호</t>
        </is>
      </c>
    </row>
    <row r="488">
      <c r="A488" s="17" t="inlineStr">
        <is>
          <t>C365</t>
        </is>
      </c>
      <c r="B488" s="17" t="inlineStr">
        <is>
          <t>부광약품</t>
        </is>
      </c>
      <c r="C488" s="17" t="inlineStr">
        <is>
          <t>부광약품(주)</t>
        </is>
      </c>
      <c r="D488" s="17" t="inlineStr">
        <is>
          <t>상장정보</t>
        </is>
      </c>
      <c r="E488" s="17" t="inlineStr">
        <is>
          <t>유가/003000</t>
        </is>
      </c>
      <c r="F488" s="17" t="inlineStr"/>
      <c r="G488" s="17" t="inlineStr">
        <is>
          <t>2026-07-06</t>
        </is>
      </c>
      <c r="H488" s="17" t="inlineStr">
        <is>
          <t>한국거래소 KIND</t>
        </is>
      </c>
      <c r="I488" s="17" t="inlineStr">
        <is>
          <t>상장법인목록</t>
        </is>
      </c>
      <c r="J488" s="17" t="inlineStr">
        <is>
          <t>https://kind.krx.co.kr</t>
        </is>
      </c>
      <c r="K488" s="17" t="inlineStr">
        <is>
          <t>2026-07-06</t>
        </is>
      </c>
      <c r="L488" s="17" t="inlineStr">
        <is>
          <t>A</t>
        </is>
      </c>
      <c r="M488" s="17" t="inlineStr"/>
    </row>
    <row r="489">
      <c r="A489" s="17" t="inlineStr">
        <is>
          <t>C365</t>
        </is>
      </c>
      <c r="B489" s="17" t="inlineStr">
        <is>
          <t>부광약품</t>
        </is>
      </c>
      <c r="C489" s="17" t="inlineStr">
        <is>
          <t>부광약품(주)</t>
        </is>
      </c>
      <c r="D489" s="17" t="inlineStr">
        <is>
          <t>홈페이지</t>
        </is>
      </c>
      <c r="E489" s="17" t="inlineStr">
        <is>
          <t>http://www.bukwang.co.kr</t>
        </is>
      </c>
      <c r="F489" s="17" t="inlineStr"/>
      <c r="G489" s="17" t="inlineStr">
        <is>
          <t>2026-07-06</t>
        </is>
      </c>
      <c r="H489" s="17" t="inlineStr">
        <is>
          <t>한국거래소 KIND</t>
        </is>
      </c>
      <c r="I489" s="17" t="inlineStr">
        <is>
          <t>상장법인목록</t>
        </is>
      </c>
      <c r="J489" s="17" t="inlineStr">
        <is>
          <t>https://kind.krx.co.kr</t>
        </is>
      </c>
      <c r="K489" s="17" t="inlineStr">
        <is>
          <t>2026-07-06</t>
        </is>
      </c>
      <c r="L489" s="17" t="inlineStr">
        <is>
          <t>A</t>
        </is>
      </c>
      <c r="M489" s="17" t="inlineStr"/>
    </row>
    <row r="490">
      <c r="A490" s="17" t="inlineStr">
        <is>
          <t>C367</t>
        </is>
      </c>
      <c r="B490" s="17" t="inlineStr">
        <is>
          <t>한국유나이티드제약</t>
        </is>
      </c>
      <c r="C490" s="17" t="inlineStr">
        <is>
          <t>한국유나이티드제약(주)</t>
        </is>
      </c>
      <c r="D490" s="17" t="inlineStr">
        <is>
          <t>대표전화</t>
        </is>
      </c>
      <c r="E490" s="17" t="inlineStr">
        <is>
          <t>041-862-6856</t>
        </is>
      </c>
      <c r="F490" s="17" t="inlineStr"/>
      <c r="G490" s="17" t="inlineStr">
        <is>
          <t>2026-07-06</t>
        </is>
      </c>
      <c r="H490" s="17" t="inlineStr">
        <is>
          <t>식품의약품안전처</t>
        </is>
      </c>
      <c r="I490" s="17" t="inlineStr">
        <is>
          <t>의약품 등 업체허가현황(제조소상세)</t>
        </is>
      </c>
      <c r="J490" s="17" t="inlineStr">
        <is>
          <t>https://www.data.go.kr/data/15095682/openapi.do</t>
        </is>
      </c>
      <c r="K490" s="17" t="inlineStr">
        <is>
          <t>2026-07-06</t>
        </is>
      </c>
      <c r="L490" s="17" t="inlineStr">
        <is>
          <t>A</t>
        </is>
      </c>
      <c r="M490" s="17" t="inlineStr">
        <is>
          <t>공장 대표번호</t>
        </is>
      </c>
    </row>
    <row r="491">
      <c r="A491" s="17" t="inlineStr">
        <is>
          <t>C369</t>
        </is>
      </c>
      <c r="B491" s="17" t="inlineStr">
        <is>
          <t>국립암센터</t>
        </is>
      </c>
      <c r="C491" s="17" t="inlineStr">
        <is>
          <t>국립암센터</t>
        </is>
      </c>
      <c r="D491" s="17" t="inlineStr">
        <is>
          <t>대표전화</t>
        </is>
      </c>
      <c r="E491" s="17" t="inlineStr">
        <is>
          <t>031-920-0114</t>
        </is>
      </c>
      <c r="F491" s="17" t="inlineStr"/>
      <c r="G491" s="17" t="inlineStr">
        <is>
          <t>2026-07-06</t>
        </is>
      </c>
      <c r="H491" s="17" t="inlineStr">
        <is>
          <t>식품의약품안전처</t>
        </is>
      </c>
      <c r="I491" s="17" t="inlineStr">
        <is>
          <t>의약품 등 업체허가현황(제조소상세)</t>
        </is>
      </c>
      <c r="J491" s="17" t="inlineStr">
        <is>
          <t>https://www.data.go.kr/data/15095682/openapi.do</t>
        </is>
      </c>
      <c r="K491" s="17" t="inlineStr">
        <is>
          <t>2026-07-06</t>
        </is>
      </c>
      <c r="L491" s="17" t="inlineStr">
        <is>
          <t>A</t>
        </is>
      </c>
      <c r="M491" s="17" t="inlineStr">
        <is>
          <t>공장 대표번호</t>
        </is>
      </c>
    </row>
    <row r="492">
      <c r="A492" s="17" t="inlineStr">
        <is>
          <t>C370</t>
        </is>
      </c>
      <c r="B492" s="17" t="inlineStr">
        <is>
          <t>휴온스</t>
        </is>
      </c>
      <c r="C492" s="17" t="inlineStr">
        <is>
          <t>(주)휴온스</t>
        </is>
      </c>
      <c r="D492" s="17" t="inlineStr">
        <is>
          <t>상장정보</t>
        </is>
      </c>
      <c r="E492" s="17" t="inlineStr">
        <is>
          <t>코스닥/243070</t>
        </is>
      </c>
      <c r="F492" s="17" t="inlineStr"/>
      <c r="G492" s="17" t="inlineStr">
        <is>
          <t>2026-07-06</t>
        </is>
      </c>
      <c r="H492" s="17" t="inlineStr">
        <is>
          <t>한국거래소 KIND</t>
        </is>
      </c>
      <c r="I492" s="17" t="inlineStr">
        <is>
          <t>상장법인목록</t>
        </is>
      </c>
      <c r="J492" s="17" t="inlineStr">
        <is>
          <t>https://kind.krx.co.kr</t>
        </is>
      </c>
      <c r="K492" s="17" t="inlineStr">
        <is>
          <t>2026-07-06</t>
        </is>
      </c>
      <c r="L492" s="17" t="inlineStr">
        <is>
          <t>A</t>
        </is>
      </c>
      <c r="M492" s="17" t="inlineStr"/>
    </row>
    <row r="493">
      <c r="A493" s="17" t="inlineStr">
        <is>
          <t>C370</t>
        </is>
      </c>
      <c r="B493" s="17" t="inlineStr">
        <is>
          <t>휴온스</t>
        </is>
      </c>
      <c r="C493" s="17" t="inlineStr">
        <is>
          <t>(주)휴온스</t>
        </is>
      </c>
      <c r="D493" s="17" t="inlineStr">
        <is>
          <t>홈페이지</t>
        </is>
      </c>
      <c r="E493" s="17" t="inlineStr">
        <is>
          <t>http://www.huons.com</t>
        </is>
      </c>
      <c r="F493" s="17" t="inlineStr"/>
      <c r="G493" s="17" t="inlineStr">
        <is>
          <t>2026-07-06</t>
        </is>
      </c>
      <c r="H493" s="17" t="inlineStr">
        <is>
          <t>한국거래소 KIND</t>
        </is>
      </c>
      <c r="I493" s="17" t="inlineStr">
        <is>
          <t>상장법인목록</t>
        </is>
      </c>
      <c r="J493" s="17" t="inlineStr">
        <is>
          <t>https://kind.krx.co.kr</t>
        </is>
      </c>
      <c r="K493" s="17" t="inlineStr">
        <is>
          <t>2026-07-06</t>
        </is>
      </c>
      <c r="L493" s="17" t="inlineStr">
        <is>
          <t>A</t>
        </is>
      </c>
      <c r="M493" s="17" t="inlineStr"/>
    </row>
    <row r="494">
      <c r="A494" s="17" t="inlineStr">
        <is>
          <t>C371</t>
        </is>
      </c>
      <c r="B494" s="17" t="inlineStr">
        <is>
          <t>노바엠헬스케어</t>
        </is>
      </c>
      <c r="C494" s="17" t="inlineStr">
        <is>
          <t>주식회사 노바엠헬스케어</t>
        </is>
      </c>
      <c r="D494" s="17" t="inlineStr">
        <is>
          <t>대표전화</t>
        </is>
      </c>
      <c r="E494" s="17" t="inlineStr">
        <is>
          <t>053-217-0033</t>
        </is>
      </c>
      <c r="F494" s="17" t="inlineStr"/>
      <c r="G494" s="17" t="inlineStr">
        <is>
          <t>2026-07-06</t>
        </is>
      </c>
      <c r="H494" s="17" t="inlineStr">
        <is>
          <t>식품의약품안전처</t>
        </is>
      </c>
      <c r="I494" s="17" t="inlineStr">
        <is>
          <t>의약품 등 업체허가현황(제조소상세)</t>
        </is>
      </c>
      <c r="J494" s="17" t="inlineStr">
        <is>
          <t>https://www.data.go.kr/data/15095682/openapi.do</t>
        </is>
      </c>
      <c r="K494" s="17" t="inlineStr">
        <is>
          <t>2026-07-06</t>
        </is>
      </c>
      <c r="L494" s="17" t="inlineStr">
        <is>
          <t>A</t>
        </is>
      </c>
      <c r="M494" s="17" t="inlineStr">
        <is>
          <t>공장 대표번호</t>
        </is>
      </c>
    </row>
    <row r="495">
      <c r="A495" s="17" t="inlineStr">
        <is>
          <t>C372</t>
        </is>
      </c>
      <c r="B495" s="17" t="inlineStr">
        <is>
          <t>신라충전소</t>
        </is>
      </c>
      <c r="C495" s="17" t="inlineStr">
        <is>
          <t>(주)신라충전소</t>
        </is>
      </c>
      <c r="D495" s="17" t="inlineStr">
        <is>
          <t>대표전화</t>
        </is>
      </c>
      <c r="E495" s="17" t="inlineStr">
        <is>
          <t>054-453-0405</t>
        </is>
      </c>
      <c r="F495" s="17" t="inlineStr"/>
      <c r="G495" s="17" t="inlineStr">
        <is>
          <t>2026-07-06</t>
        </is>
      </c>
      <c r="H495" s="17" t="inlineStr">
        <is>
          <t>식품의약품안전처</t>
        </is>
      </c>
      <c r="I495" s="17" t="inlineStr">
        <is>
          <t>의약품 등 업체허가현황(제조소상세)</t>
        </is>
      </c>
      <c r="J495" s="17" t="inlineStr">
        <is>
          <t>https://www.data.go.kr/data/15095682/openapi.do</t>
        </is>
      </c>
      <c r="K495" s="17" t="inlineStr">
        <is>
          <t>2026-07-06</t>
        </is>
      </c>
      <c r="L495" s="17" t="inlineStr">
        <is>
          <t>A</t>
        </is>
      </c>
      <c r="M495" s="17" t="inlineStr">
        <is>
          <t>공장 대표번호</t>
        </is>
      </c>
    </row>
    <row r="496">
      <c r="A496" s="17" t="inlineStr">
        <is>
          <t>C373</t>
        </is>
      </c>
      <c r="B496" s="17" t="inlineStr">
        <is>
          <t>펜믹스</t>
        </is>
      </c>
      <c r="C496" s="17" t="inlineStr">
        <is>
          <t>(주)펜믹스</t>
        </is>
      </c>
      <c r="D496" s="17" t="inlineStr">
        <is>
          <t>대표전화</t>
        </is>
      </c>
      <c r="E496" s="17" t="inlineStr">
        <is>
          <t>041-580-5890</t>
        </is>
      </c>
      <c r="F496" s="17" t="inlineStr"/>
      <c r="G496" s="17" t="inlineStr">
        <is>
          <t>2026-07-06</t>
        </is>
      </c>
      <c r="H496" s="17" t="inlineStr">
        <is>
          <t>식품의약품안전처</t>
        </is>
      </c>
      <c r="I496" s="17" t="inlineStr">
        <is>
          <t>의약품 등 업체허가현황(제조소상세)</t>
        </is>
      </c>
      <c r="J496" s="17" t="inlineStr">
        <is>
          <t>https://www.data.go.kr/data/15095682/openapi.do</t>
        </is>
      </c>
      <c r="K496" s="17" t="inlineStr">
        <is>
          <t>2026-07-06</t>
        </is>
      </c>
      <c r="L496" s="17" t="inlineStr">
        <is>
          <t>A</t>
        </is>
      </c>
      <c r="M496" s="17" t="inlineStr">
        <is>
          <t>공장 대표번호</t>
        </is>
      </c>
    </row>
    <row r="497">
      <c r="A497" s="17" t="inlineStr">
        <is>
          <t>C374</t>
        </is>
      </c>
      <c r="B497" s="17" t="inlineStr">
        <is>
          <t>코아팜바이오</t>
        </is>
      </c>
      <c r="C497" s="17" t="inlineStr">
        <is>
          <t>(주)코아팜바이오</t>
        </is>
      </c>
      <c r="D497" s="17" t="inlineStr">
        <is>
          <t>대표전화</t>
        </is>
      </c>
      <c r="E497" s="17" t="inlineStr">
        <is>
          <t>02-927-8220</t>
        </is>
      </c>
      <c r="F497" s="17" t="inlineStr"/>
      <c r="G497" s="17" t="inlineStr">
        <is>
          <t>2026-07-06</t>
        </is>
      </c>
      <c r="H497" s="17" t="inlineStr">
        <is>
          <t>식품의약품안전처</t>
        </is>
      </c>
      <c r="I497" s="17" t="inlineStr">
        <is>
          <t>의약품 등 업체허가현황(제조소상세)</t>
        </is>
      </c>
      <c r="J497" s="17" t="inlineStr">
        <is>
          <t>https://www.data.go.kr/data/15095682/openapi.do</t>
        </is>
      </c>
      <c r="K497" s="17" t="inlineStr">
        <is>
          <t>2026-07-06</t>
        </is>
      </c>
      <c r="L497" s="17" t="inlineStr">
        <is>
          <t>A</t>
        </is>
      </c>
      <c r="M497" s="17" t="inlineStr">
        <is>
          <t>공장 대표번호</t>
        </is>
      </c>
    </row>
    <row r="498">
      <c r="A498" s="17" t="inlineStr">
        <is>
          <t>C375</t>
        </is>
      </c>
      <c r="B498" s="17" t="inlineStr">
        <is>
          <t>휴온스바이오파마</t>
        </is>
      </c>
      <c r="C498" s="17" t="inlineStr">
        <is>
          <t>(주)휴온스바이오파마</t>
        </is>
      </c>
      <c r="D498" s="17" t="inlineStr">
        <is>
          <t>대표전화</t>
        </is>
      </c>
      <c r="E498" s="17" t="inlineStr">
        <is>
          <t>070-7492-3131</t>
        </is>
      </c>
      <c r="F498" s="17" t="inlineStr"/>
      <c r="G498" s="17" t="inlineStr">
        <is>
          <t>2026-07-06</t>
        </is>
      </c>
      <c r="H498" s="17" t="inlineStr">
        <is>
          <t>식품의약품안전처</t>
        </is>
      </c>
      <c r="I498" s="17" t="inlineStr">
        <is>
          <t>의약품 등 업체허가현황(제조소상세)</t>
        </is>
      </c>
      <c r="J498" s="17" t="inlineStr">
        <is>
          <t>https://www.data.go.kr/data/15095682/openapi.do</t>
        </is>
      </c>
      <c r="K498" s="17" t="inlineStr">
        <is>
          <t>2026-07-06</t>
        </is>
      </c>
      <c r="L498" s="17" t="inlineStr">
        <is>
          <t>A</t>
        </is>
      </c>
      <c r="M498" s="17" t="inlineStr">
        <is>
          <t>공장 대표번호</t>
        </is>
      </c>
    </row>
    <row r="499">
      <c r="A499" s="17" t="inlineStr">
        <is>
          <t>C376</t>
        </is>
      </c>
      <c r="B499" s="17" t="inlineStr">
        <is>
          <t>비보존제약</t>
        </is>
      </c>
      <c r="C499" s="17" t="inlineStr">
        <is>
          <t>(주)비보존제약</t>
        </is>
      </c>
      <c r="D499" s="17" t="inlineStr">
        <is>
          <t>대표전화</t>
        </is>
      </c>
      <c r="E499" s="17" t="inlineStr">
        <is>
          <t>031-3536-5513</t>
        </is>
      </c>
      <c r="F499" s="17" t="inlineStr"/>
      <c r="G499" s="17" t="inlineStr">
        <is>
          <t>2026-07-06</t>
        </is>
      </c>
      <c r="H499" s="17" t="inlineStr">
        <is>
          <t>식품의약품안전처</t>
        </is>
      </c>
      <c r="I499" s="17" t="inlineStr">
        <is>
          <t>의약품 등 업체허가현황(제조소상세)</t>
        </is>
      </c>
      <c r="J499" s="17" t="inlineStr">
        <is>
          <t>https://www.data.go.kr/data/15095682/openapi.do</t>
        </is>
      </c>
      <c r="K499" s="17" t="inlineStr">
        <is>
          <t>2026-07-06</t>
        </is>
      </c>
      <c r="L499" s="17" t="inlineStr">
        <is>
          <t>A</t>
        </is>
      </c>
      <c r="M499" s="17" t="inlineStr">
        <is>
          <t>공장 대표번호</t>
        </is>
      </c>
    </row>
    <row r="500">
      <c r="A500" s="17" t="inlineStr">
        <is>
          <t>C376</t>
        </is>
      </c>
      <c r="B500" s="17" t="inlineStr">
        <is>
          <t>비보존제약</t>
        </is>
      </c>
      <c r="C500" s="17" t="inlineStr">
        <is>
          <t>(주)비보존제약</t>
        </is>
      </c>
      <c r="D500" s="17" t="inlineStr">
        <is>
          <t>상장정보</t>
        </is>
      </c>
      <c r="E500" s="17" t="inlineStr">
        <is>
          <t>코스닥/082800</t>
        </is>
      </c>
      <c r="F500" s="17" t="inlineStr"/>
      <c r="G500" s="17" t="inlineStr">
        <is>
          <t>2026-07-06</t>
        </is>
      </c>
      <c r="H500" s="17" t="inlineStr">
        <is>
          <t>한국거래소 KIND</t>
        </is>
      </c>
      <c r="I500" s="17" t="inlineStr">
        <is>
          <t>상장법인목록</t>
        </is>
      </c>
      <c r="J500" s="17" t="inlineStr">
        <is>
          <t>https://kind.krx.co.kr</t>
        </is>
      </c>
      <c r="K500" s="17" t="inlineStr">
        <is>
          <t>2026-07-06</t>
        </is>
      </c>
      <c r="L500" s="17" t="inlineStr">
        <is>
          <t>A</t>
        </is>
      </c>
      <c r="M500" s="17" t="inlineStr"/>
    </row>
    <row r="501">
      <c r="A501" s="17" t="inlineStr">
        <is>
          <t>C376</t>
        </is>
      </c>
      <c r="B501" s="17" t="inlineStr">
        <is>
          <t>비보존제약</t>
        </is>
      </c>
      <c r="C501" s="17" t="inlineStr">
        <is>
          <t>(주)비보존제약</t>
        </is>
      </c>
      <c r="D501" s="17" t="inlineStr">
        <is>
          <t>홈페이지</t>
        </is>
      </c>
      <c r="E501" s="17" t="inlineStr">
        <is>
          <t>http://www.vivozonpharm.com</t>
        </is>
      </c>
      <c r="F501" s="17" t="inlineStr"/>
      <c r="G501" s="17" t="inlineStr">
        <is>
          <t>2026-07-06</t>
        </is>
      </c>
      <c r="H501" s="17" t="inlineStr">
        <is>
          <t>한국거래소 KIND</t>
        </is>
      </c>
      <c r="I501" s="17" t="inlineStr">
        <is>
          <t>상장법인목록</t>
        </is>
      </c>
      <c r="J501" s="17" t="inlineStr">
        <is>
          <t>https://kind.krx.co.kr</t>
        </is>
      </c>
      <c r="K501" s="17" t="inlineStr">
        <is>
          <t>2026-07-06</t>
        </is>
      </c>
      <c r="L501" s="17" t="inlineStr">
        <is>
          <t>A</t>
        </is>
      </c>
      <c r="M501" s="17" t="inlineStr"/>
    </row>
    <row r="502">
      <c r="A502" s="17" t="inlineStr">
        <is>
          <t>C379</t>
        </is>
      </c>
      <c r="B502" s="17" t="inlineStr">
        <is>
          <t>대화제약</t>
        </is>
      </c>
      <c r="C502" s="17" t="inlineStr">
        <is>
          <t>대화제약(주)</t>
        </is>
      </c>
      <c r="D502" s="17" t="inlineStr">
        <is>
          <t>대표전화</t>
        </is>
      </c>
      <c r="E502" s="17" t="inlineStr">
        <is>
          <t>033-342-5140</t>
        </is>
      </c>
      <c r="F502" s="17" t="inlineStr"/>
      <c r="G502" s="17" t="inlineStr">
        <is>
          <t>2026-07-06</t>
        </is>
      </c>
      <c r="H502" s="17" t="inlineStr">
        <is>
          <t>식품의약품안전처</t>
        </is>
      </c>
      <c r="I502" s="17" t="inlineStr">
        <is>
          <t>의약품 등 업체허가현황(제조소상세)</t>
        </is>
      </c>
      <c r="J502" s="17" t="inlineStr">
        <is>
          <t>https://www.data.go.kr/data/15095682/openapi.do</t>
        </is>
      </c>
      <c r="K502" s="17" t="inlineStr">
        <is>
          <t>2026-07-06</t>
        </is>
      </c>
      <c r="L502" s="17" t="inlineStr">
        <is>
          <t>A</t>
        </is>
      </c>
      <c r="M502" s="17" t="inlineStr">
        <is>
          <t>공장 대표번호</t>
        </is>
      </c>
    </row>
    <row r="503">
      <c r="A503" s="17" t="inlineStr">
        <is>
          <t>C379</t>
        </is>
      </c>
      <c r="B503" s="17" t="inlineStr">
        <is>
          <t>대화제약</t>
        </is>
      </c>
      <c r="C503" s="17" t="inlineStr">
        <is>
          <t>대화제약(주)</t>
        </is>
      </c>
      <c r="D503" s="17" t="inlineStr">
        <is>
          <t>상장정보</t>
        </is>
      </c>
      <c r="E503" s="17" t="inlineStr">
        <is>
          <t>코스닥/067080</t>
        </is>
      </c>
      <c r="F503" s="17" t="inlineStr"/>
      <c r="G503" s="17" t="inlineStr">
        <is>
          <t>2026-07-06</t>
        </is>
      </c>
      <c r="H503" s="17" t="inlineStr">
        <is>
          <t>한국거래소 KIND</t>
        </is>
      </c>
      <c r="I503" s="17" t="inlineStr">
        <is>
          <t>상장법인목록</t>
        </is>
      </c>
      <c r="J503" s="17" t="inlineStr">
        <is>
          <t>https://kind.krx.co.kr</t>
        </is>
      </c>
      <c r="K503" s="17" t="inlineStr">
        <is>
          <t>2026-07-06</t>
        </is>
      </c>
      <c r="L503" s="17" t="inlineStr">
        <is>
          <t>A</t>
        </is>
      </c>
      <c r="M503" s="17" t="inlineStr"/>
    </row>
    <row r="504">
      <c r="A504" s="17" t="inlineStr">
        <is>
          <t>C379</t>
        </is>
      </c>
      <c r="B504" s="17" t="inlineStr">
        <is>
          <t>대화제약</t>
        </is>
      </c>
      <c r="C504" s="17" t="inlineStr">
        <is>
          <t>대화제약(주)</t>
        </is>
      </c>
      <c r="D504" s="17" t="inlineStr">
        <is>
          <t>홈페이지</t>
        </is>
      </c>
      <c r="E504" s="17" t="inlineStr">
        <is>
          <t>http://www.dhpharm.co.kr</t>
        </is>
      </c>
      <c r="F504" s="17" t="inlineStr"/>
      <c r="G504" s="17" t="inlineStr">
        <is>
          <t>2026-07-06</t>
        </is>
      </c>
      <c r="H504" s="17" t="inlineStr">
        <is>
          <t>한국거래소 KIND</t>
        </is>
      </c>
      <c r="I504" s="17" t="inlineStr">
        <is>
          <t>상장법인목록</t>
        </is>
      </c>
      <c r="J504" s="17" t="inlineStr">
        <is>
          <t>https://kind.krx.co.kr</t>
        </is>
      </c>
      <c r="K504" s="17" t="inlineStr">
        <is>
          <t>2026-07-06</t>
        </is>
      </c>
      <c r="L504" s="17" t="inlineStr">
        <is>
          <t>A</t>
        </is>
      </c>
      <c r="M504" s="17" t="inlineStr"/>
    </row>
    <row r="505">
      <c r="A505" s="17" t="inlineStr">
        <is>
          <t>C380</t>
        </is>
      </c>
      <c r="B505" s="17" t="inlineStr">
        <is>
          <t>성이바이오제약</t>
        </is>
      </c>
      <c r="C505" s="17" t="inlineStr">
        <is>
          <t>성이바이오제약주식회사</t>
        </is>
      </c>
      <c r="D505" s="17" t="inlineStr">
        <is>
          <t>대표전화</t>
        </is>
      </c>
      <c r="E505" s="17" t="inlineStr">
        <is>
          <t>033-734-3360</t>
        </is>
      </c>
      <c r="F505" s="17" t="inlineStr"/>
      <c r="G505" s="17" t="inlineStr">
        <is>
          <t>2026-07-06</t>
        </is>
      </c>
      <c r="H505" s="17" t="inlineStr">
        <is>
          <t>식품의약품안전처</t>
        </is>
      </c>
      <c r="I505" s="17" t="inlineStr">
        <is>
          <t>의약품 등 업체허가현황(제조소상세)</t>
        </is>
      </c>
      <c r="J505" s="17" t="inlineStr">
        <is>
          <t>https://www.data.go.kr/data/15095682/openapi.do</t>
        </is>
      </c>
      <c r="K505" s="17" t="inlineStr">
        <is>
          <t>2026-07-06</t>
        </is>
      </c>
      <c r="L505" s="17" t="inlineStr">
        <is>
          <t>A</t>
        </is>
      </c>
      <c r="M505" s="17" t="inlineStr">
        <is>
          <t>공장 대표번호</t>
        </is>
      </c>
    </row>
    <row r="506">
      <c r="A506" s="17" t="inlineStr">
        <is>
          <t>C381</t>
        </is>
      </c>
      <c r="B506" s="17" t="inlineStr">
        <is>
          <t>서울제약</t>
        </is>
      </c>
      <c r="C506" s="17" t="inlineStr">
        <is>
          <t>(주)서울제약</t>
        </is>
      </c>
      <c r="D506" s="17" t="inlineStr">
        <is>
          <t>대표전화</t>
        </is>
      </c>
      <c r="E506" s="17" t="inlineStr">
        <is>
          <t>02-3470-2382</t>
        </is>
      </c>
      <c r="F506" s="17" t="inlineStr"/>
      <c r="G506" s="17" t="inlineStr">
        <is>
          <t>2026-07-06</t>
        </is>
      </c>
      <c r="H506" s="17" t="inlineStr">
        <is>
          <t>식품의약품안전처</t>
        </is>
      </c>
      <c r="I506" s="17" t="inlineStr">
        <is>
          <t>의약품 등 업체허가현황(제조소상세)</t>
        </is>
      </c>
      <c r="J506" s="17" t="inlineStr">
        <is>
          <t>https://www.data.go.kr/data/15095682/openapi.do</t>
        </is>
      </c>
      <c r="K506" s="17" t="inlineStr">
        <is>
          <t>2026-07-06</t>
        </is>
      </c>
      <c r="L506" s="17" t="inlineStr">
        <is>
          <t>A</t>
        </is>
      </c>
      <c r="M506" s="17" t="inlineStr">
        <is>
          <t>공장 대표번호</t>
        </is>
      </c>
    </row>
    <row r="507">
      <c r="A507" s="17" t="inlineStr">
        <is>
          <t>C381</t>
        </is>
      </c>
      <c r="B507" s="17" t="inlineStr">
        <is>
          <t>서울제약</t>
        </is>
      </c>
      <c r="C507" s="17" t="inlineStr">
        <is>
          <t>(주)서울제약</t>
        </is>
      </c>
      <c r="D507" s="17" t="inlineStr">
        <is>
          <t>상장정보</t>
        </is>
      </c>
      <c r="E507" s="17" t="inlineStr">
        <is>
          <t>코스닥/018680</t>
        </is>
      </c>
      <c r="F507" s="17" t="inlineStr"/>
      <c r="G507" s="17" t="inlineStr">
        <is>
          <t>2026-07-06</t>
        </is>
      </c>
      <c r="H507" s="17" t="inlineStr">
        <is>
          <t>한국거래소 KIND</t>
        </is>
      </c>
      <c r="I507" s="17" t="inlineStr">
        <is>
          <t>상장법인목록</t>
        </is>
      </c>
      <c r="J507" s="17" t="inlineStr">
        <is>
          <t>https://kind.krx.co.kr</t>
        </is>
      </c>
      <c r="K507" s="17" t="inlineStr">
        <is>
          <t>2026-07-06</t>
        </is>
      </c>
      <c r="L507" s="17" t="inlineStr">
        <is>
          <t>A</t>
        </is>
      </c>
      <c r="M507" s="17" t="inlineStr"/>
    </row>
    <row r="508">
      <c r="A508" s="17" t="inlineStr">
        <is>
          <t>C381</t>
        </is>
      </c>
      <c r="B508" s="17" t="inlineStr">
        <is>
          <t>서울제약</t>
        </is>
      </c>
      <c r="C508" s="17" t="inlineStr">
        <is>
          <t>(주)서울제약</t>
        </is>
      </c>
      <c r="D508" s="17" t="inlineStr">
        <is>
          <t>홈페이지</t>
        </is>
      </c>
      <c r="E508" s="17" t="inlineStr">
        <is>
          <t>http://www.seoulpharma.com</t>
        </is>
      </c>
      <c r="F508" s="17" t="inlineStr"/>
      <c r="G508" s="17" t="inlineStr">
        <is>
          <t>2026-07-06</t>
        </is>
      </c>
      <c r="H508" s="17" t="inlineStr">
        <is>
          <t>한국거래소 KIND</t>
        </is>
      </c>
      <c r="I508" s="17" t="inlineStr">
        <is>
          <t>상장법인목록</t>
        </is>
      </c>
      <c r="J508" s="17" t="inlineStr">
        <is>
          <t>https://kind.krx.co.kr</t>
        </is>
      </c>
      <c r="K508" s="17" t="inlineStr">
        <is>
          <t>2026-07-06</t>
        </is>
      </c>
      <c r="L508" s="17" t="inlineStr">
        <is>
          <t>A</t>
        </is>
      </c>
      <c r="M508" s="17" t="inlineStr"/>
    </row>
    <row r="509">
      <c r="A509" s="17" t="inlineStr">
        <is>
          <t>C383</t>
        </is>
      </c>
      <c r="B509" s="17" t="inlineStr">
        <is>
          <t>삼양바이오팜</t>
        </is>
      </c>
      <c r="C509" s="17" t="inlineStr">
        <is>
          <t>(주)삼양바이오팜</t>
        </is>
      </c>
      <c r="D509" s="17" t="inlineStr">
        <is>
          <t>대표전화</t>
        </is>
      </c>
      <c r="E509" s="17" t="inlineStr">
        <is>
          <t>042-930-3127</t>
        </is>
      </c>
      <c r="F509" s="17" t="inlineStr"/>
      <c r="G509" s="17" t="inlineStr">
        <is>
          <t>2026-07-06</t>
        </is>
      </c>
      <c r="H509" s="17" t="inlineStr">
        <is>
          <t>식품의약품안전처</t>
        </is>
      </c>
      <c r="I509" s="17" t="inlineStr">
        <is>
          <t>의약품 등 업체허가현황(제조소상세)</t>
        </is>
      </c>
      <c r="J509" s="17" t="inlineStr">
        <is>
          <t>https://www.data.go.kr/data/15095682/openapi.do</t>
        </is>
      </c>
      <c r="K509" s="17" t="inlineStr">
        <is>
          <t>2026-07-06</t>
        </is>
      </c>
      <c r="L509" s="17" t="inlineStr">
        <is>
          <t>A</t>
        </is>
      </c>
      <c r="M509" s="17" t="inlineStr">
        <is>
          <t>공장 대표번호</t>
        </is>
      </c>
    </row>
    <row r="510">
      <c r="A510" s="17" t="inlineStr">
        <is>
          <t>C383</t>
        </is>
      </c>
      <c r="B510" s="17" t="inlineStr">
        <is>
          <t>삼양바이오팜</t>
        </is>
      </c>
      <c r="C510" s="17" t="inlineStr">
        <is>
          <t>(주)삼양바이오팜</t>
        </is>
      </c>
      <c r="D510" s="17" t="inlineStr">
        <is>
          <t>상장정보</t>
        </is>
      </c>
      <c r="E510" s="17" t="inlineStr">
        <is>
          <t>유가/0120G0</t>
        </is>
      </c>
      <c r="F510" s="17" t="inlineStr"/>
      <c r="G510" s="17" t="inlineStr">
        <is>
          <t>2026-07-06</t>
        </is>
      </c>
      <c r="H510" s="17" t="inlineStr">
        <is>
          <t>한국거래소 KIND</t>
        </is>
      </c>
      <c r="I510" s="17" t="inlineStr">
        <is>
          <t>상장법인목록</t>
        </is>
      </c>
      <c r="J510" s="17" t="inlineStr">
        <is>
          <t>https://kind.krx.co.kr</t>
        </is>
      </c>
      <c r="K510" s="17" t="inlineStr">
        <is>
          <t>2026-07-06</t>
        </is>
      </c>
      <c r="L510" s="17" t="inlineStr">
        <is>
          <t>A</t>
        </is>
      </c>
      <c r="M510" s="17" t="inlineStr"/>
    </row>
    <row r="511">
      <c r="A511" s="17" t="inlineStr">
        <is>
          <t>C383</t>
        </is>
      </c>
      <c r="B511" s="17" t="inlineStr">
        <is>
          <t>삼양바이오팜</t>
        </is>
      </c>
      <c r="C511" s="17" t="inlineStr">
        <is>
          <t>(주)삼양바이오팜</t>
        </is>
      </c>
      <c r="D511" s="17" t="inlineStr">
        <is>
          <t>홈페이지</t>
        </is>
      </c>
      <c r="E511" s="17" t="inlineStr">
        <is>
          <t>http://www.samyangbiopharm.com</t>
        </is>
      </c>
      <c r="F511" s="17" t="inlineStr"/>
      <c r="G511" s="17" t="inlineStr">
        <is>
          <t>2026-07-06</t>
        </is>
      </c>
      <c r="H511" s="17" t="inlineStr">
        <is>
          <t>한국거래소 KIND</t>
        </is>
      </c>
      <c r="I511" s="17" t="inlineStr">
        <is>
          <t>상장법인목록</t>
        </is>
      </c>
      <c r="J511" s="17" t="inlineStr">
        <is>
          <t>https://kind.krx.co.kr</t>
        </is>
      </c>
      <c r="K511" s="17" t="inlineStr">
        <is>
          <t>2026-07-06</t>
        </is>
      </c>
      <c r="L511" s="17" t="inlineStr">
        <is>
          <t>A</t>
        </is>
      </c>
      <c r="M511" s="17" t="inlineStr"/>
    </row>
    <row r="512">
      <c r="A512" s="17" t="inlineStr">
        <is>
          <t>C384</t>
        </is>
      </c>
      <c r="B512" s="17" t="inlineStr">
        <is>
          <t>에이치엘지노믹스</t>
        </is>
      </c>
      <c r="C512" s="17" t="inlineStr">
        <is>
          <t>에이치엘지노믹스(주)</t>
        </is>
      </c>
      <c r="D512" s="17" t="inlineStr">
        <is>
          <t>대표전화</t>
        </is>
      </c>
      <c r="E512" s="17" t="inlineStr">
        <is>
          <t>031-335-2080</t>
        </is>
      </c>
      <c r="F512" s="17" t="inlineStr"/>
      <c r="G512" s="17" t="inlineStr">
        <is>
          <t>2026-07-06</t>
        </is>
      </c>
      <c r="H512" s="17" t="inlineStr">
        <is>
          <t>식품의약품안전처</t>
        </is>
      </c>
      <c r="I512" s="17" t="inlineStr">
        <is>
          <t>의약품 등 업체허가현황(제조소상세)</t>
        </is>
      </c>
      <c r="J512" s="17" t="inlineStr">
        <is>
          <t>https://www.data.go.kr/data/15095682/openapi.do</t>
        </is>
      </c>
      <c r="K512" s="17" t="inlineStr">
        <is>
          <t>2026-07-06</t>
        </is>
      </c>
      <c r="L512" s="17" t="inlineStr">
        <is>
          <t>A</t>
        </is>
      </c>
      <c r="M512" s="17" t="inlineStr">
        <is>
          <t>공장 대표번호</t>
        </is>
      </c>
    </row>
    <row r="513">
      <c r="A513" s="17" t="inlineStr">
        <is>
          <t>C385</t>
        </is>
      </c>
      <c r="B513" s="17" t="inlineStr">
        <is>
          <t>유영제약</t>
        </is>
      </c>
      <c r="C513" s="17" t="inlineStr">
        <is>
          <t>(주)유영제약</t>
        </is>
      </c>
      <c r="D513" s="17" t="inlineStr">
        <is>
          <t>대표전화</t>
        </is>
      </c>
      <c r="E513" s="17" t="inlineStr">
        <is>
          <t>043-535-2976</t>
        </is>
      </c>
      <c r="F513" s="17" t="inlineStr"/>
      <c r="G513" s="17" t="inlineStr">
        <is>
          <t>2026-07-06</t>
        </is>
      </c>
      <c r="H513" s="17" t="inlineStr">
        <is>
          <t>식품의약품안전처</t>
        </is>
      </c>
      <c r="I513" s="17" t="inlineStr">
        <is>
          <t>의약품 등 업체허가현황(제조소상세)</t>
        </is>
      </c>
      <c r="J513" s="17" t="inlineStr">
        <is>
          <t>https://www.data.go.kr/data/15095682/openapi.do</t>
        </is>
      </c>
      <c r="K513" s="17" t="inlineStr">
        <is>
          <t>2026-07-06</t>
        </is>
      </c>
      <c r="L513" s="17" t="inlineStr">
        <is>
          <t>A</t>
        </is>
      </c>
      <c r="M513" s="17" t="inlineStr">
        <is>
          <t>공장 대표번호</t>
        </is>
      </c>
    </row>
    <row r="514">
      <c r="A514" s="17" t="inlineStr">
        <is>
          <t>C386</t>
        </is>
      </c>
      <c r="B514" s="17" t="inlineStr">
        <is>
          <t>팬젠</t>
        </is>
      </c>
      <c r="C514" s="17" t="inlineStr">
        <is>
          <t>(주)팬젠</t>
        </is>
      </c>
      <c r="D514" s="17" t="inlineStr">
        <is>
          <t>대표전화</t>
        </is>
      </c>
      <c r="E514" s="17" t="inlineStr">
        <is>
          <t>031-733-9165</t>
        </is>
      </c>
      <c r="F514" s="17" t="inlineStr"/>
      <c r="G514" s="17" t="inlineStr">
        <is>
          <t>2026-07-06</t>
        </is>
      </c>
      <c r="H514" s="17" t="inlineStr">
        <is>
          <t>식품의약품안전처</t>
        </is>
      </c>
      <c r="I514" s="17" t="inlineStr">
        <is>
          <t>의약품 등 업체허가현황(제조소상세)</t>
        </is>
      </c>
      <c r="J514" s="17" t="inlineStr">
        <is>
          <t>https://www.data.go.kr/data/15095682/openapi.do</t>
        </is>
      </c>
      <c r="K514" s="17" t="inlineStr">
        <is>
          <t>2026-07-06</t>
        </is>
      </c>
      <c r="L514" s="17" t="inlineStr">
        <is>
          <t>A</t>
        </is>
      </c>
      <c r="M514" s="17" t="inlineStr">
        <is>
          <t>공장 대표번호</t>
        </is>
      </c>
    </row>
    <row r="515">
      <c r="A515" s="17" t="inlineStr">
        <is>
          <t>C386</t>
        </is>
      </c>
      <c r="B515" s="17" t="inlineStr">
        <is>
          <t>팬젠</t>
        </is>
      </c>
      <c r="C515" s="17" t="inlineStr">
        <is>
          <t>(주)팬젠</t>
        </is>
      </c>
      <c r="D515" s="17" t="inlineStr">
        <is>
          <t>상장정보</t>
        </is>
      </c>
      <c r="E515" s="17" t="inlineStr">
        <is>
          <t>코스닥/222110</t>
        </is>
      </c>
      <c r="F515" s="17" t="inlineStr"/>
      <c r="G515" s="17" t="inlineStr">
        <is>
          <t>2026-07-06</t>
        </is>
      </c>
      <c r="H515" s="17" t="inlineStr">
        <is>
          <t>한국거래소 KIND</t>
        </is>
      </c>
      <c r="I515" s="17" t="inlineStr">
        <is>
          <t>상장법인목록</t>
        </is>
      </c>
      <c r="J515" s="17" t="inlineStr">
        <is>
          <t>https://kind.krx.co.kr</t>
        </is>
      </c>
      <c r="K515" s="17" t="inlineStr">
        <is>
          <t>2026-07-06</t>
        </is>
      </c>
      <c r="L515" s="17" t="inlineStr">
        <is>
          <t>A</t>
        </is>
      </c>
      <c r="M515" s="17" t="inlineStr"/>
    </row>
    <row r="516">
      <c r="A516" s="17" t="inlineStr">
        <is>
          <t>C386</t>
        </is>
      </c>
      <c r="B516" s="17" t="inlineStr">
        <is>
          <t>팬젠</t>
        </is>
      </c>
      <c r="C516" s="17" t="inlineStr">
        <is>
          <t>(주)팬젠</t>
        </is>
      </c>
      <c r="D516" s="17" t="inlineStr">
        <is>
          <t>홈페이지</t>
        </is>
      </c>
      <c r="E516" s="17" t="inlineStr">
        <is>
          <t>http://www.pangen.com</t>
        </is>
      </c>
      <c r="F516" s="17" t="inlineStr"/>
      <c r="G516" s="17" t="inlineStr">
        <is>
          <t>2026-07-06</t>
        </is>
      </c>
      <c r="H516" s="17" t="inlineStr">
        <is>
          <t>한국거래소 KIND</t>
        </is>
      </c>
      <c r="I516" s="17" t="inlineStr">
        <is>
          <t>상장법인목록</t>
        </is>
      </c>
      <c r="J516" s="17" t="inlineStr">
        <is>
          <t>https://kind.krx.co.kr</t>
        </is>
      </c>
      <c r="K516" s="17" t="inlineStr">
        <is>
          <t>2026-07-06</t>
        </is>
      </c>
      <c r="L516" s="17" t="inlineStr">
        <is>
          <t>A</t>
        </is>
      </c>
      <c r="M516" s="17" t="inlineStr"/>
    </row>
    <row r="517">
      <c r="A517" s="17" t="inlineStr">
        <is>
          <t>C387</t>
        </is>
      </c>
      <c r="B517" s="17" t="inlineStr">
        <is>
          <t>경북산업가스충전소</t>
        </is>
      </c>
      <c r="C517" s="17" t="inlineStr">
        <is>
          <t>경북산업가스충전소</t>
        </is>
      </c>
      <c r="D517" s="17" t="inlineStr">
        <is>
          <t>대표전화</t>
        </is>
      </c>
      <c r="E517" s="17" t="inlineStr">
        <is>
          <t>054-443-0331</t>
        </is>
      </c>
      <c r="F517" s="17" t="inlineStr"/>
      <c r="G517" s="17" t="inlineStr">
        <is>
          <t>2026-07-06</t>
        </is>
      </c>
      <c r="H517" s="17" t="inlineStr">
        <is>
          <t>식품의약품안전처</t>
        </is>
      </c>
      <c r="I517" s="17" t="inlineStr">
        <is>
          <t>의약품 등 업체허가현황(제조소상세)</t>
        </is>
      </c>
      <c r="J517" s="17" t="inlineStr">
        <is>
          <t>https://www.data.go.kr/data/15095682/openapi.do</t>
        </is>
      </c>
      <c r="K517" s="17" t="inlineStr">
        <is>
          <t>2026-07-06</t>
        </is>
      </c>
      <c r="L517" s="17" t="inlineStr">
        <is>
          <t>A</t>
        </is>
      </c>
      <c r="M517" s="17" t="inlineStr">
        <is>
          <t>공장 대표번호</t>
        </is>
      </c>
    </row>
    <row r="518">
      <c r="A518" s="17" t="inlineStr">
        <is>
          <t>C390</t>
        </is>
      </c>
      <c r="B518" s="17" t="inlineStr">
        <is>
          <t>삼남제약</t>
        </is>
      </c>
      <c r="C518" s="17" t="inlineStr">
        <is>
          <t>삼남제약(주)</t>
        </is>
      </c>
      <c r="D518" s="17" t="inlineStr">
        <is>
          <t>대표전화</t>
        </is>
      </c>
      <c r="E518" s="17" t="inlineStr">
        <is>
          <t>041-754-3771</t>
        </is>
      </c>
      <c r="F518" s="17" t="inlineStr"/>
      <c r="G518" s="17" t="inlineStr">
        <is>
          <t>2026-07-06</t>
        </is>
      </c>
      <c r="H518" s="17" t="inlineStr">
        <is>
          <t>식품의약품안전처</t>
        </is>
      </c>
      <c r="I518" s="17" t="inlineStr">
        <is>
          <t>의약품 등 업체허가현황(제조소상세)</t>
        </is>
      </c>
      <c r="J518" s="17" t="inlineStr">
        <is>
          <t>https://www.data.go.kr/data/15095682/openapi.do</t>
        </is>
      </c>
      <c r="K518" s="17" t="inlineStr">
        <is>
          <t>2026-07-06</t>
        </is>
      </c>
      <c r="L518" s="17" t="inlineStr">
        <is>
          <t>A</t>
        </is>
      </c>
      <c r="M518" s="17" t="inlineStr">
        <is>
          <t>공장 대표번호</t>
        </is>
      </c>
    </row>
    <row r="519">
      <c r="A519" s="17" t="inlineStr">
        <is>
          <t>C391</t>
        </is>
      </c>
      <c r="B519" s="17" t="inlineStr">
        <is>
          <t>애경바이오팜</t>
        </is>
      </c>
      <c r="C519" s="17" t="inlineStr">
        <is>
          <t>애경바이오팜 주식회사</t>
        </is>
      </c>
      <c r="D519" s="17" t="inlineStr">
        <is>
          <t>대표전화</t>
        </is>
      </c>
      <c r="E519" s="17" t="inlineStr">
        <is>
          <t>052-259-4500</t>
        </is>
      </c>
      <c r="F519" s="17" t="inlineStr"/>
      <c r="G519" s="17" t="inlineStr">
        <is>
          <t>2026-07-06</t>
        </is>
      </c>
      <c r="H519" s="17" t="inlineStr">
        <is>
          <t>식품의약품안전처</t>
        </is>
      </c>
      <c r="I519" s="17" t="inlineStr">
        <is>
          <t>의약품 등 업체허가현황(제조소상세)</t>
        </is>
      </c>
      <c r="J519" s="17" t="inlineStr">
        <is>
          <t>https://www.data.go.kr/data/15095682/openapi.do</t>
        </is>
      </c>
      <c r="K519" s="17" t="inlineStr">
        <is>
          <t>2026-07-06</t>
        </is>
      </c>
      <c r="L519" s="17" t="inlineStr">
        <is>
          <t>A</t>
        </is>
      </c>
      <c r="M519" s="17" t="inlineStr">
        <is>
          <t>공장 대표번호</t>
        </is>
      </c>
    </row>
    <row r="520">
      <c r="A520" s="17" t="inlineStr">
        <is>
          <t>C392</t>
        </is>
      </c>
      <c r="B520" s="17" t="inlineStr">
        <is>
          <t>유일팜테크</t>
        </is>
      </c>
      <c r="C520" s="17" t="inlineStr">
        <is>
          <t>(주)유일팜테크</t>
        </is>
      </c>
      <c r="D520" s="17" t="inlineStr">
        <is>
          <t>대표전화</t>
        </is>
      </c>
      <c r="E520" s="17" t="inlineStr">
        <is>
          <t>043-537-2162</t>
        </is>
      </c>
      <c r="F520" s="17" t="inlineStr"/>
      <c r="G520" s="17" t="inlineStr">
        <is>
          <t>2026-07-06</t>
        </is>
      </c>
      <c r="H520" s="17" t="inlineStr">
        <is>
          <t>식품의약품안전처</t>
        </is>
      </c>
      <c r="I520" s="17" t="inlineStr">
        <is>
          <t>의약품 등 업체허가현황(제조소상세)</t>
        </is>
      </c>
      <c r="J520" s="17" t="inlineStr">
        <is>
          <t>https://www.data.go.kr/data/15095682/openapi.do</t>
        </is>
      </c>
      <c r="K520" s="17" t="inlineStr">
        <is>
          <t>2026-07-06</t>
        </is>
      </c>
      <c r="L520" s="17" t="inlineStr">
        <is>
          <t>A</t>
        </is>
      </c>
      <c r="M520" s="17" t="inlineStr">
        <is>
          <t>공장 대표번호</t>
        </is>
      </c>
    </row>
    <row r="521">
      <c r="A521" s="17" t="inlineStr">
        <is>
          <t>C393</t>
        </is>
      </c>
      <c r="B521" s="17" t="inlineStr">
        <is>
          <t>서진산업가스</t>
        </is>
      </c>
      <c r="C521" s="17" t="inlineStr">
        <is>
          <t>서진산업가스(주)</t>
        </is>
      </c>
      <c r="D521" s="17" t="inlineStr">
        <is>
          <t>대표전화</t>
        </is>
      </c>
      <c r="E521" s="17" t="inlineStr">
        <is>
          <t>041-353-3400</t>
        </is>
      </c>
      <c r="F521" s="17" t="inlineStr"/>
      <c r="G521" s="17" t="inlineStr">
        <is>
          <t>2026-07-06</t>
        </is>
      </c>
      <c r="H521" s="17" t="inlineStr">
        <is>
          <t>식품의약품안전처</t>
        </is>
      </c>
      <c r="I521" s="17" t="inlineStr">
        <is>
          <t>의약품 등 업체허가현황(제조소상세)</t>
        </is>
      </c>
      <c r="J521" s="17" t="inlineStr">
        <is>
          <t>https://www.data.go.kr/data/15095682/openapi.do</t>
        </is>
      </c>
      <c r="K521" s="17" t="inlineStr">
        <is>
          <t>2026-07-06</t>
        </is>
      </c>
      <c r="L521" s="17" t="inlineStr">
        <is>
          <t>A</t>
        </is>
      </c>
      <c r="M521" s="17" t="inlineStr">
        <is>
          <t>공장 대표번호</t>
        </is>
      </c>
    </row>
    <row r="522">
      <c r="A522" s="17" t="inlineStr">
        <is>
          <t>C394</t>
        </is>
      </c>
      <c r="B522" s="17" t="inlineStr">
        <is>
          <t>평화산소</t>
        </is>
      </c>
      <c r="C522" s="17" t="inlineStr">
        <is>
          <t>(주)평화산소</t>
        </is>
      </c>
      <c r="D522" s="17" t="inlineStr">
        <is>
          <t>대표전화</t>
        </is>
      </c>
      <c r="E522" s="17" t="inlineStr">
        <is>
          <t>055-255-9211</t>
        </is>
      </c>
      <c r="F522" s="17" t="inlineStr"/>
      <c r="G522" s="17" t="inlineStr">
        <is>
          <t>2026-07-06</t>
        </is>
      </c>
      <c r="H522" s="17" t="inlineStr">
        <is>
          <t>식품의약품안전처</t>
        </is>
      </c>
      <c r="I522" s="17" t="inlineStr">
        <is>
          <t>의약품 등 업체허가현황(제조소상세)</t>
        </is>
      </c>
      <c r="J522" s="17" t="inlineStr">
        <is>
          <t>https://www.data.go.kr/data/15095682/openapi.do</t>
        </is>
      </c>
      <c r="K522" s="17" t="inlineStr">
        <is>
          <t>2026-07-06</t>
        </is>
      </c>
      <c r="L522" s="17" t="inlineStr">
        <is>
          <t>A</t>
        </is>
      </c>
      <c r="M522" s="17" t="inlineStr">
        <is>
          <t>공장 대표번호</t>
        </is>
      </c>
    </row>
    <row r="523">
      <c r="A523" s="17" t="inlineStr">
        <is>
          <t>C395</t>
        </is>
      </c>
      <c r="B523" s="17" t="inlineStr">
        <is>
          <t>한국신약</t>
        </is>
      </c>
      <c r="C523" s="17" t="inlineStr">
        <is>
          <t>(주)한국신약</t>
        </is>
      </c>
      <c r="D523" s="17" t="inlineStr">
        <is>
          <t>대표전화</t>
        </is>
      </c>
      <c r="E523" s="17" t="inlineStr">
        <is>
          <t>041-740-8830</t>
        </is>
      </c>
      <c r="F523" s="17" t="inlineStr"/>
      <c r="G523" s="17" t="inlineStr">
        <is>
          <t>2026-07-06</t>
        </is>
      </c>
      <c r="H523" s="17" t="inlineStr">
        <is>
          <t>식품의약품안전처</t>
        </is>
      </c>
      <c r="I523" s="17" t="inlineStr">
        <is>
          <t>의약품 등 업체허가현황(제조소상세)</t>
        </is>
      </c>
      <c r="J523" s="17" t="inlineStr">
        <is>
          <t>https://www.data.go.kr/data/15095682/openapi.do</t>
        </is>
      </c>
      <c r="K523" s="17" t="inlineStr">
        <is>
          <t>2026-07-06</t>
        </is>
      </c>
      <c r="L523" s="17" t="inlineStr">
        <is>
          <t>A</t>
        </is>
      </c>
      <c r="M523" s="17" t="inlineStr">
        <is>
          <t>공장 대표번호</t>
        </is>
      </c>
    </row>
    <row r="524">
      <c r="A524" s="17" t="inlineStr">
        <is>
          <t>C397</t>
        </is>
      </c>
      <c r="B524" s="17" t="inlineStr">
        <is>
          <t>우진가스텍</t>
        </is>
      </c>
      <c r="C524" s="17" t="inlineStr">
        <is>
          <t>(주)우진가스텍</t>
        </is>
      </c>
      <c r="D524" s="17" t="inlineStr">
        <is>
          <t>대표전화</t>
        </is>
      </c>
      <c r="E524" s="17" t="inlineStr">
        <is>
          <t>055-3361-2612</t>
        </is>
      </c>
      <c r="F524" s="17" t="inlineStr"/>
      <c r="G524" s="17" t="inlineStr">
        <is>
          <t>2026-07-06</t>
        </is>
      </c>
      <c r="H524" s="17" t="inlineStr">
        <is>
          <t>식품의약품안전처</t>
        </is>
      </c>
      <c r="I524" s="17" t="inlineStr">
        <is>
          <t>의약품 등 업체허가현황(제조소상세)</t>
        </is>
      </c>
      <c r="J524" s="17" t="inlineStr">
        <is>
          <t>https://www.data.go.kr/data/15095682/openapi.do</t>
        </is>
      </c>
      <c r="K524" s="17" t="inlineStr">
        <is>
          <t>2026-07-06</t>
        </is>
      </c>
      <c r="L524" s="17" t="inlineStr">
        <is>
          <t>A</t>
        </is>
      </c>
      <c r="M524" s="17" t="inlineStr">
        <is>
          <t>공장 대표번호</t>
        </is>
      </c>
    </row>
    <row r="525">
      <c r="A525" s="17" t="inlineStr">
        <is>
          <t>C399</t>
        </is>
      </c>
      <c r="B525" s="17" t="inlineStr">
        <is>
          <t>안국약품</t>
        </is>
      </c>
      <c r="C525" s="17" t="inlineStr">
        <is>
          <t>안국약품(주)</t>
        </is>
      </c>
      <c r="D525" s="17" t="inlineStr">
        <is>
          <t>대표전화</t>
        </is>
      </c>
      <c r="E525" s="17" t="inlineStr">
        <is>
          <t>02-3289-4292</t>
        </is>
      </c>
      <c r="F525" s="17" t="inlineStr"/>
      <c r="G525" s="17" t="inlineStr">
        <is>
          <t>2026-07-06</t>
        </is>
      </c>
      <c r="H525" s="17" t="inlineStr">
        <is>
          <t>식품의약품안전처</t>
        </is>
      </c>
      <c r="I525" s="17" t="inlineStr">
        <is>
          <t>의약품 등 업체허가현황(제조소상세)</t>
        </is>
      </c>
      <c r="J525" s="17" t="inlineStr">
        <is>
          <t>https://www.data.go.kr/data/15095682/openapi.do</t>
        </is>
      </c>
      <c r="K525" s="17" t="inlineStr">
        <is>
          <t>2026-07-06</t>
        </is>
      </c>
      <c r="L525" s="17" t="inlineStr">
        <is>
          <t>A</t>
        </is>
      </c>
      <c r="M525" s="17" t="inlineStr">
        <is>
          <t>공장 대표번호</t>
        </is>
      </c>
    </row>
    <row r="526">
      <c r="A526" s="17" t="inlineStr">
        <is>
          <t>C399</t>
        </is>
      </c>
      <c r="B526" s="17" t="inlineStr">
        <is>
          <t>안국약품</t>
        </is>
      </c>
      <c r="C526" s="17" t="inlineStr">
        <is>
          <t>안국약품(주)</t>
        </is>
      </c>
      <c r="D526" s="17" t="inlineStr">
        <is>
          <t>상장정보</t>
        </is>
      </c>
      <c r="E526" s="17" t="inlineStr">
        <is>
          <t>코스닥/001540</t>
        </is>
      </c>
      <c r="F526" s="17" t="inlineStr"/>
      <c r="G526" s="17" t="inlineStr">
        <is>
          <t>2026-07-06</t>
        </is>
      </c>
      <c r="H526" s="17" t="inlineStr">
        <is>
          <t>한국거래소 KIND</t>
        </is>
      </c>
      <c r="I526" s="17" t="inlineStr">
        <is>
          <t>상장법인목록</t>
        </is>
      </c>
      <c r="J526" s="17" t="inlineStr">
        <is>
          <t>https://kind.krx.co.kr</t>
        </is>
      </c>
      <c r="K526" s="17" t="inlineStr">
        <is>
          <t>2026-07-06</t>
        </is>
      </c>
      <c r="L526" s="17" t="inlineStr">
        <is>
          <t>A</t>
        </is>
      </c>
      <c r="M526" s="17" t="inlineStr"/>
    </row>
    <row r="527">
      <c r="A527" s="17" t="inlineStr">
        <is>
          <t>C399</t>
        </is>
      </c>
      <c r="B527" s="17" t="inlineStr">
        <is>
          <t>안국약품</t>
        </is>
      </c>
      <c r="C527" s="17" t="inlineStr">
        <is>
          <t>안국약품(주)</t>
        </is>
      </c>
      <c r="D527" s="17" t="inlineStr">
        <is>
          <t>홈페이지</t>
        </is>
      </c>
      <c r="E527" s="17" t="inlineStr">
        <is>
          <t>http://www.ahn-gook.com</t>
        </is>
      </c>
      <c r="F527" s="17" t="inlineStr"/>
      <c r="G527" s="17" t="inlineStr">
        <is>
          <t>2026-07-06</t>
        </is>
      </c>
      <c r="H527" s="17" t="inlineStr">
        <is>
          <t>한국거래소 KIND</t>
        </is>
      </c>
      <c r="I527" s="17" t="inlineStr">
        <is>
          <t>상장법인목록</t>
        </is>
      </c>
      <c r="J527" s="17" t="inlineStr">
        <is>
          <t>https://kind.krx.co.kr</t>
        </is>
      </c>
      <c r="K527" s="17" t="inlineStr">
        <is>
          <t>2026-07-06</t>
        </is>
      </c>
      <c r="L527" s="17" t="inlineStr">
        <is>
          <t>A</t>
        </is>
      </c>
      <c r="M527" s="17" t="inlineStr"/>
    </row>
    <row r="528">
      <c r="A528" s="17" t="inlineStr">
        <is>
          <t>C400</t>
        </is>
      </c>
      <c r="B528" s="17" t="inlineStr">
        <is>
          <t>엔비케이제약</t>
        </is>
      </c>
      <c r="C528" s="17" t="inlineStr">
        <is>
          <t>엔비케이제약(주)</t>
        </is>
      </c>
      <c r="D528" s="17" t="inlineStr">
        <is>
          <t>대표전화</t>
        </is>
      </c>
      <c r="E528" s="17" t="inlineStr">
        <is>
          <t>041-578-7490</t>
        </is>
      </c>
      <c r="F528" s="17" t="inlineStr"/>
      <c r="G528" s="17" t="inlineStr">
        <is>
          <t>2026-07-06</t>
        </is>
      </c>
      <c r="H528" s="17" t="inlineStr">
        <is>
          <t>식품의약품안전처</t>
        </is>
      </c>
      <c r="I528" s="17" t="inlineStr">
        <is>
          <t>의약품 등 업체허가현황(제조소상세)</t>
        </is>
      </c>
      <c r="J528" s="17" t="inlineStr">
        <is>
          <t>https://www.data.go.kr/data/15095682/openapi.do</t>
        </is>
      </c>
      <c r="K528" s="17" t="inlineStr">
        <is>
          <t>2026-07-06</t>
        </is>
      </c>
      <c r="L528" s="17" t="inlineStr">
        <is>
          <t>A</t>
        </is>
      </c>
      <c r="M528" s="17" t="inlineStr">
        <is>
          <t>공장 대표번호</t>
        </is>
      </c>
    </row>
    <row r="529">
      <c r="A529" s="17" t="inlineStr">
        <is>
          <t>C401</t>
        </is>
      </c>
      <c r="B529" s="17" t="inlineStr">
        <is>
          <t>화승가스테크</t>
        </is>
      </c>
      <c r="C529" s="17" t="inlineStr">
        <is>
          <t>(주)화승가스테크</t>
        </is>
      </c>
      <c r="D529" s="17" t="inlineStr">
        <is>
          <t>대표전화</t>
        </is>
      </c>
      <c r="E529" s="17" t="inlineStr">
        <is>
          <t>051-264-2080</t>
        </is>
      </c>
      <c r="F529" s="17" t="inlineStr"/>
      <c r="G529" s="17" t="inlineStr">
        <is>
          <t>2026-07-06</t>
        </is>
      </c>
      <c r="H529" s="17" t="inlineStr">
        <is>
          <t>식품의약품안전처</t>
        </is>
      </c>
      <c r="I529" s="17" t="inlineStr">
        <is>
          <t>의약품 등 업체허가현황(제조소상세)</t>
        </is>
      </c>
      <c r="J529" s="17" t="inlineStr">
        <is>
          <t>https://www.data.go.kr/data/15095682/openapi.do</t>
        </is>
      </c>
      <c r="K529" s="17" t="inlineStr">
        <is>
          <t>2026-07-06</t>
        </is>
      </c>
      <c r="L529" s="17" t="inlineStr">
        <is>
          <t>A</t>
        </is>
      </c>
      <c r="M529" s="17" t="inlineStr">
        <is>
          <t>공장 대표번호</t>
        </is>
      </c>
    </row>
    <row r="530">
      <c r="A530" s="17" t="inlineStr">
        <is>
          <t>C402</t>
        </is>
      </c>
      <c r="B530" s="17" t="inlineStr">
        <is>
          <t>이든파마</t>
        </is>
      </c>
      <c r="C530" s="17" t="inlineStr">
        <is>
          <t>(주)이든파마</t>
        </is>
      </c>
      <c r="D530" s="17" t="inlineStr">
        <is>
          <t>대표전화</t>
        </is>
      </c>
      <c r="E530" s="17" t="inlineStr">
        <is>
          <t>043-534-9100</t>
        </is>
      </c>
      <c r="F530" s="17" t="inlineStr"/>
      <c r="G530" s="17" t="inlineStr">
        <is>
          <t>2026-07-06</t>
        </is>
      </c>
      <c r="H530" s="17" t="inlineStr">
        <is>
          <t>식품의약품안전처</t>
        </is>
      </c>
      <c r="I530" s="17" t="inlineStr">
        <is>
          <t>의약품 등 업체허가현황(제조소상세)</t>
        </is>
      </c>
      <c r="J530" s="17" t="inlineStr">
        <is>
          <t>https://www.data.go.kr/data/15095682/openapi.do</t>
        </is>
      </c>
      <c r="K530" s="17" t="inlineStr">
        <is>
          <t>2026-07-06</t>
        </is>
      </c>
      <c r="L530" s="17" t="inlineStr">
        <is>
          <t>A</t>
        </is>
      </c>
      <c r="M530" s="17" t="inlineStr">
        <is>
          <t>공장 대표번호</t>
        </is>
      </c>
    </row>
    <row r="531">
      <c r="A531" s="17" t="inlineStr">
        <is>
          <t>C403</t>
        </is>
      </c>
      <c r="B531" s="17" t="inlineStr">
        <is>
          <t>크로다코리아</t>
        </is>
      </c>
      <c r="C531" s="17" t="inlineStr">
        <is>
          <t>크로다코리아주식회사</t>
        </is>
      </c>
      <c r="D531" s="17" t="inlineStr">
        <is>
          <t>대표전화</t>
        </is>
      </c>
      <c r="E531" s="17" t="inlineStr">
        <is>
          <t>063-830-8911</t>
        </is>
      </c>
      <c r="F531" s="17" t="inlineStr"/>
      <c r="G531" s="17" t="inlineStr">
        <is>
          <t>2026-07-06</t>
        </is>
      </c>
      <c r="H531" s="17" t="inlineStr">
        <is>
          <t>식품의약품안전처</t>
        </is>
      </c>
      <c r="I531" s="17" t="inlineStr">
        <is>
          <t>의약품 등 업체허가현황(제조소상세)</t>
        </is>
      </c>
      <c r="J531" s="17" t="inlineStr">
        <is>
          <t>https://www.data.go.kr/data/15095682/openapi.do</t>
        </is>
      </c>
      <c r="K531" s="17" t="inlineStr">
        <is>
          <t>2026-07-06</t>
        </is>
      </c>
      <c r="L531" s="17" t="inlineStr">
        <is>
          <t>A</t>
        </is>
      </c>
      <c r="M531" s="17" t="inlineStr">
        <is>
          <t>공장 대표번호</t>
        </is>
      </c>
    </row>
    <row r="532">
      <c r="A532" s="17" t="inlineStr">
        <is>
          <t>C404</t>
        </is>
      </c>
      <c r="B532" s="17" t="inlineStr">
        <is>
          <t>엠에프씨</t>
        </is>
      </c>
      <c r="C532" s="17" t="inlineStr">
        <is>
          <t>엠에프씨주식회사</t>
        </is>
      </c>
      <c r="D532" s="17" t="inlineStr">
        <is>
          <t>상장정보</t>
        </is>
      </c>
      <c r="E532" s="17" t="inlineStr">
        <is>
          <t>코스닥/432980</t>
        </is>
      </c>
      <c r="F532" s="17" t="inlineStr"/>
      <c r="G532" s="17" t="inlineStr">
        <is>
          <t>2026-07-06</t>
        </is>
      </c>
      <c r="H532" s="17" t="inlineStr">
        <is>
          <t>한국거래소 KIND</t>
        </is>
      </c>
      <c r="I532" s="17" t="inlineStr">
        <is>
          <t>상장법인목록</t>
        </is>
      </c>
      <c r="J532" s="17" t="inlineStr">
        <is>
          <t>https://kind.krx.co.kr</t>
        </is>
      </c>
      <c r="K532" s="17" t="inlineStr">
        <is>
          <t>2026-07-06</t>
        </is>
      </c>
      <c r="L532" s="17" t="inlineStr">
        <is>
          <t>A</t>
        </is>
      </c>
      <c r="M532" s="17" t="inlineStr"/>
    </row>
    <row r="533">
      <c r="A533" s="17" t="inlineStr">
        <is>
          <t>C404</t>
        </is>
      </c>
      <c r="B533" s="17" t="inlineStr">
        <is>
          <t>엠에프씨</t>
        </is>
      </c>
      <c r="C533" s="17" t="inlineStr">
        <is>
          <t>엠에프씨주식회사</t>
        </is>
      </c>
      <c r="D533" s="17" t="inlineStr">
        <is>
          <t>홈페이지</t>
        </is>
      </c>
      <c r="E533" s="17" t="inlineStr">
        <is>
          <t>http://www.mfcglobal.co.kr</t>
        </is>
      </c>
      <c r="F533" s="17" t="inlineStr"/>
      <c r="G533" s="17" t="inlineStr">
        <is>
          <t>2026-07-06</t>
        </is>
      </c>
      <c r="H533" s="17" t="inlineStr">
        <is>
          <t>한국거래소 KIND</t>
        </is>
      </c>
      <c r="I533" s="17" t="inlineStr">
        <is>
          <t>상장법인목록</t>
        </is>
      </c>
      <c r="J533" s="17" t="inlineStr">
        <is>
          <t>https://kind.krx.co.kr</t>
        </is>
      </c>
      <c r="K533" s="17" t="inlineStr">
        <is>
          <t>2026-07-06</t>
        </is>
      </c>
      <c r="L533" s="17" t="inlineStr">
        <is>
          <t>A</t>
        </is>
      </c>
      <c r="M533" s="17" t="inlineStr"/>
    </row>
    <row r="534">
      <c r="A534" s="17" t="inlineStr">
        <is>
          <t>C405</t>
        </is>
      </c>
      <c r="B534" s="17" t="inlineStr">
        <is>
          <t>(유한)동아가스산업</t>
        </is>
      </c>
      <c r="C534" s="17" t="inlineStr">
        <is>
          <t>(유한)동아가스산업</t>
        </is>
      </c>
      <c r="D534" s="17" t="inlineStr">
        <is>
          <t>대표전화</t>
        </is>
      </c>
      <c r="E534" s="17" t="inlineStr">
        <is>
          <t>055-834-3688</t>
        </is>
      </c>
      <c r="F534" s="17" t="inlineStr"/>
      <c r="G534" s="17" t="inlineStr">
        <is>
          <t>2026-07-06</t>
        </is>
      </c>
      <c r="H534" s="17" t="inlineStr">
        <is>
          <t>식품의약품안전처</t>
        </is>
      </c>
      <c r="I534" s="17" t="inlineStr">
        <is>
          <t>의약품 등 업체허가현황(제조소상세)</t>
        </is>
      </c>
      <c r="J534" s="17" t="inlineStr">
        <is>
          <t>https://www.data.go.kr/data/15095682/openapi.do</t>
        </is>
      </c>
      <c r="K534" s="17" t="inlineStr">
        <is>
          <t>2026-07-06</t>
        </is>
      </c>
      <c r="L534" s="17" t="inlineStr">
        <is>
          <t>A</t>
        </is>
      </c>
      <c r="M534" s="17" t="inlineStr">
        <is>
          <t>공장 대표번호</t>
        </is>
      </c>
    </row>
    <row r="535">
      <c r="A535" s="17" t="inlineStr">
        <is>
          <t>C406</t>
        </is>
      </c>
      <c r="B535" s="17" t="inlineStr">
        <is>
          <t>엠에스종합가스</t>
        </is>
      </c>
      <c r="C535" s="17" t="inlineStr">
        <is>
          <t>엠에스종합가스(주)</t>
        </is>
      </c>
      <c r="D535" s="17" t="inlineStr">
        <is>
          <t>대표전화</t>
        </is>
      </c>
      <c r="E535" s="17" t="inlineStr">
        <is>
          <t>055-366-5522</t>
        </is>
      </c>
      <c r="F535" s="17" t="inlineStr"/>
      <c r="G535" s="17" t="inlineStr">
        <is>
          <t>2026-07-06</t>
        </is>
      </c>
      <c r="H535" s="17" t="inlineStr">
        <is>
          <t>식품의약품안전처</t>
        </is>
      </c>
      <c r="I535" s="17" t="inlineStr">
        <is>
          <t>의약품 등 업체허가현황(제조소상세)</t>
        </is>
      </c>
      <c r="J535" s="17" t="inlineStr">
        <is>
          <t>https://www.data.go.kr/data/15095682/openapi.do</t>
        </is>
      </c>
      <c r="K535" s="17" t="inlineStr">
        <is>
          <t>2026-07-06</t>
        </is>
      </c>
      <c r="L535" s="17" t="inlineStr">
        <is>
          <t>A</t>
        </is>
      </c>
      <c r="M535" s="17" t="inlineStr">
        <is>
          <t>공장 대표번호</t>
        </is>
      </c>
    </row>
    <row r="536">
      <c r="A536" s="17" t="inlineStr">
        <is>
          <t>C407</t>
        </is>
      </c>
      <c r="B536" s="17" t="inlineStr">
        <is>
          <t>삼천당제약</t>
        </is>
      </c>
      <c r="C536" s="17" t="inlineStr">
        <is>
          <t>삼천당제약(주)</t>
        </is>
      </c>
      <c r="D536" s="17" t="inlineStr">
        <is>
          <t>대표전화</t>
        </is>
      </c>
      <c r="E536" s="17" t="inlineStr">
        <is>
          <t>031-350-7300</t>
        </is>
      </c>
      <c r="F536" s="17" t="inlineStr"/>
      <c r="G536" s="17" t="inlineStr">
        <is>
          <t>2026-07-06</t>
        </is>
      </c>
      <c r="H536" s="17" t="inlineStr">
        <is>
          <t>식품의약품안전처</t>
        </is>
      </c>
      <c r="I536" s="17" t="inlineStr">
        <is>
          <t>의약품 등 업체허가현황(제조소상세)</t>
        </is>
      </c>
      <c r="J536" s="17" t="inlineStr">
        <is>
          <t>https://www.data.go.kr/data/15095682/openapi.do</t>
        </is>
      </c>
      <c r="K536" s="17" t="inlineStr">
        <is>
          <t>2026-07-06</t>
        </is>
      </c>
      <c r="L536" s="17" t="inlineStr">
        <is>
          <t>A</t>
        </is>
      </c>
      <c r="M536" s="17" t="inlineStr">
        <is>
          <t>공장 대표번호</t>
        </is>
      </c>
    </row>
    <row r="537">
      <c r="A537" s="17" t="inlineStr">
        <is>
          <t>C407</t>
        </is>
      </c>
      <c r="B537" s="17" t="inlineStr">
        <is>
          <t>삼천당제약</t>
        </is>
      </c>
      <c r="C537" s="17" t="inlineStr">
        <is>
          <t>삼천당제약(주)</t>
        </is>
      </c>
      <c r="D537" s="17" t="inlineStr">
        <is>
          <t>상장정보</t>
        </is>
      </c>
      <c r="E537" s="17" t="inlineStr">
        <is>
          <t>코스닥/000250</t>
        </is>
      </c>
      <c r="F537" s="17" t="inlineStr"/>
      <c r="G537" s="17" t="inlineStr">
        <is>
          <t>2026-07-06</t>
        </is>
      </c>
      <c r="H537" s="17" t="inlineStr">
        <is>
          <t>한국거래소 KIND</t>
        </is>
      </c>
      <c r="I537" s="17" t="inlineStr">
        <is>
          <t>상장법인목록</t>
        </is>
      </c>
      <c r="J537" s="17" t="inlineStr">
        <is>
          <t>https://kind.krx.co.kr</t>
        </is>
      </c>
      <c r="K537" s="17" t="inlineStr">
        <is>
          <t>2026-07-06</t>
        </is>
      </c>
      <c r="L537" s="17" t="inlineStr">
        <is>
          <t>A</t>
        </is>
      </c>
      <c r="M537" s="17" t="inlineStr"/>
    </row>
    <row r="538">
      <c r="A538" s="17" t="inlineStr">
        <is>
          <t>C407</t>
        </is>
      </c>
      <c r="B538" s="17" t="inlineStr">
        <is>
          <t>삼천당제약</t>
        </is>
      </c>
      <c r="C538" s="17" t="inlineStr">
        <is>
          <t>삼천당제약(주)</t>
        </is>
      </c>
      <c r="D538" s="17" t="inlineStr">
        <is>
          <t>홈페이지</t>
        </is>
      </c>
      <c r="E538" s="17" t="inlineStr">
        <is>
          <t>http://www.scd.co.kr</t>
        </is>
      </c>
      <c r="F538" s="17" t="inlineStr"/>
      <c r="G538" s="17" t="inlineStr">
        <is>
          <t>2026-07-06</t>
        </is>
      </c>
      <c r="H538" s="17" t="inlineStr">
        <is>
          <t>한국거래소 KIND</t>
        </is>
      </c>
      <c r="I538" s="17" t="inlineStr">
        <is>
          <t>상장법인목록</t>
        </is>
      </c>
      <c r="J538" s="17" t="inlineStr">
        <is>
          <t>https://kind.krx.co.kr</t>
        </is>
      </c>
      <c r="K538" s="17" t="inlineStr">
        <is>
          <t>2026-07-06</t>
        </is>
      </c>
      <c r="L538" s="17" t="inlineStr">
        <is>
          <t>A</t>
        </is>
      </c>
      <c r="M538" s="17" t="inlineStr"/>
    </row>
    <row r="539">
      <c r="A539" s="17" t="inlineStr">
        <is>
          <t>C408</t>
        </is>
      </c>
      <c r="B539" s="17" t="inlineStr">
        <is>
          <t>에이치에스바이오</t>
        </is>
      </c>
      <c r="C539" s="17" t="inlineStr">
        <is>
          <t>(주)에이치에스바이오</t>
        </is>
      </c>
      <c r="D539" s="17" t="inlineStr">
        <is>
          <t>대표전화</t>
        </is>
      </c>
      <c r="E539" s="17" t="inlineStr">
        <is>
          <t>043-536-5780</t>
        </is>
      </c>
      <c r="F539" s="17" t="inlineStr"/>
      <c r="G539" s="17" t="inlineStr">
        <is>
          <t>2026-07-06</t>
        </is>
      </c>
      <c r="H539" s="17" t="inlineStr">
        <is>
          <t>식품의약품안전처</t>
        </is>
      </c>
      <c r="I539" s="17" t="inlineStr">
        <is>
          <t>의약품 등 업체허가현황(제조소상세)</t>
        </is>
      </c>
      <c r="J539" s="17" t="inlineStr">
        <is>
          <t>https://www.data.go.kr/data/15095682/openapi.do</t>
        </is>
      </c>
      <c r="K539" s="17" t="inlineStr">
        <is>
          <t>2026-07-06</t>
        </is>
      </c>
      <c r="L539" s="17" t="inlineStr">
        <is>
          <t>A</t>
        </is>
      </c>
      <c r="M539" s="17" t="inlineStr">
        <is>
          <t>공장 대표번호</t>
        </is>
      </c>
    </row>
    <row r="540">
      <c r="A540" s="17" t="inlineStr">
        <is>
          <t>C409</t>
        </is>
      </c>
      <c r="B540" s="17" t="inlineStr">
        <is>
          <t>한국원자력의학원</t>
        </is>
      </c>
      <c r="C540" s="17" t="inlineStr">
        <is>
          <t>한국원자력의학원</t>
        </is>
      </c>
      <c r="D540" s="17" t="inlineStr">
        <is>
          <t>대표전화</t>
        </is>
      </c>
      <c r="E540" s="17" t="inlineStr">
        <is>
          <t>02-970-2114</t>
        </is>
      </c>
      <c r="F540" s="17" t="inlineStr"/>
      <c r="G540" s="17" t="inlineStr">
        <is>
          <t>2026-07-06</t>
        </is>
      </c>
      <c r="H540" s="17" t="inlineStr">
        <is>
          <t>식품의약품안전처</t>
        </is>
      </c>
      <c r="I540" s="17" t="inlineStr">
        <is>
          <t>의약품 등 업체허가현황(제조소상세)</t>
        </is>
      </c>
      <c r="J540" s="17" t="inlineStr">
        <is>
          <t>https://www.data.go.kr/data/15095682/openapi.do</t>
        </is>
      </c>
      <c r="K540" s="17" t="inlineStr">
        <is>
          <t>2026-07-06</t>
        </is>
      </c>
      <c r="L540" s="17" t="inlineStr">
        <is>
          <t>A</t>
        </is>
      </c>
      <c r="M540" s="17" t="inlineStr">
        <is>
          <t>공장 대표번호</t>
        </is>
      </c>
    </row>
  </sheetData>
  <autoFilter ref="A1:M54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8" customWidth="1" min="4" max="4"/>
    <col width="9" customWidth="1" min="5" max="5"/>
    <col width="20" customWidth="1" min="6" max="6"/>
    <col width="20" customWidth="1" min="7" max="7"/>
    <col width="30" customWidth="1" min="8" max="8"/>
    <col width="30" customWidth="1" min="9" max="9"/>
    <col width="12" customWidth="1" min="10" max="10"/>
    <col width="10" customWidth="1" min="11" max="11"/>
    <col width="22" customWidth="1" min="12" max="12"/>
    <col width="22" customWidth="1" min="13" max="13"/>
    <col width="12" customWidth="1" min="14" max="14"/>
    <col width="9" customWidth="1" min="15" max="15"/>
    <col width="11" customWidth="1" min="16" max="16"/>
  </cols>
  <sheetData>
    <row r="1">
      <c r="A1" s="19" t="inlineStr">
        <is>
          <t>검토번호</t>
        </is>
      </c>
      <c r="B1" s="19" t="inlineStr">
        <is>
          <t>원본시트</t>
        </is>
      </c>
      <c r="C1" s="19" t="inlineStr">
        <is>
          <t>원본행번호</t>
        </is>
      </c>
      <c r="D1" s="19" t="inlineStr">
        <is>
          <t>SITE_ID</t>
        </is>
      </c>
      <c r="E1" s="19" t="inlineStr">
        <is>
          <t>COMPANY_ID</t>
        </is>
      </c>
      <c r="F1" s="19" t="inlineStr">
        <is>
          <t>원본 업체명</t>
        </is>
      </c>
      <c r="G1" s="19" t="inlineStr">
        <is>
          <t>후보 업체명</t>
        </is>
      </c>
      <c r="H1" s="19" t="inlineStr">
        <is>
          <t>원본주소</t>
        </is>
      </c>
      <c r="I1" s="19" t="inlineStr">
        <is>
          <t>후보주소</t>
        </is>
      </c>
      <c r="J1" s="19" t="inlineStr">
        <is>
          <t>매칭방법</t>
        </is>
      </c>
      <c r="K1" s="19" t="inlineStr">
        <is>
          <t>매칭신뢰도</t>
        </is>
      </c>
      <c r="L1" s="19" t="inlineStr">
        <is>
          <t>충돌내용</t>
        </is>
      </c>
      <c r="M1" s="19" t="inlineStr">
        <is>
          <t>권장조치</t>
        </is>
      </c>
      <c r="N1" s="19" t="inlineStr">
        <is>
          <t>검토완료여부</t>
        </is>
      </c>
      <c r="O1" s="19" t="inlineStr">
        <is>
          <t>검토자</t>
        </is>
      </c>
      <c r="P1" s="19" t="inlineStr">
        <is>
          <t>검토일</t>
        </is>
      </c>
    </row>
    <row r="2">
      <c r="A2" s="17" t="n">
        <v>1</v>
      </c>
      <c r="B2" s="17" t="inlineStr">
        <is>
          <t>05_SITE_정제</t>
        </is>
      </c>
      <c r="C2" s="17" t="inlineStr">
        <is>
          <t>S014</t>
        </is>
      </c>
      <c r="D2" s="17" t="inlineStr">
        <is>
          <t>S014</t>
        </is>
      </c>
      <c r="E2" s="17" t="inlineStr">
        <is>
          <t>C011</t>
        </is>
      </c>
      <c r="F2" s="17" t="inlineStr">
        <is>
          <t>주식회사 제이비케이랩</t>
        </is>
      </c>
      <c r="G2" s="17" t="inlineStr">
        <is>
          <t>주식회사 제이비케이랩</t>
        </is>
      </c>
      <c r="H2" s="17" t="inlineStr">
        <is>
          <t>전라남도 화순군 동면 동농공길 17 (동면농공단지)</t>
        </is>
      </c>
      <c r="I2" s="17" t="inlineStr"/>
      <c r="J2" s="17" t="inlineStr">
        <is>
          <t>무매칭</t>
        </is>
      </c>
      <c r="K2" s="17" t="n">
        <v>0</v>
      </c>
      <c r="L2" s="17" t="inlineStr">
        <is>
          <t>제조소상세 무매칭</t>
        </is>
      </c>
      <c r="M2" s="17" t="inlineStr">
        <is>
          <t>수기 주소 확인 후 확정</t>
        </is>
      </c>
      <c r="N2" s="17" t="inlineStr"/>
      <c r="O2" s="17" t="inlineStr"/>
      <c r="P2" s="17" t="inlineStr"/>
    </row>
    <row r="3">
      <c r="A3" s="17" t="n">
        <v>2</v>
      </c>
      <c r="B3" s="17" t="inlineStr">
        <is>
          <t>05_SITE_정제</t>
        </is>
      </c>
      <c r="C3" s="17" t="inlineStr">
        <is>
          <t>S042</t>
        </is>
      </c>
      <c r="D3" s="17" t="inlineStr">
        <is>
          <t>S042</t>
        </is>
      </c>
      <c r="E3" s="17" t="inlineStr">
        <is>
          <t>C037</t>
        </is>
      </c>
      <c r="F3" s="17" t="inlineStr">
        <is>
          <t>주식회사 큐로셀</t>
        </is>
      </c>
      <c r="G3" s="17" t="inlineStr">
        <is>
          <t>주식회사 큐로셀</t>
        </is>
      </c>
      <c r="H3" s="17" t="inlineStr">
        <is>
          <t>대전광역시 유성구 국제과학16로 11</t>
        </is>
      </c>
      <c r="I3" s="17" t="inlineStr"/>
      <c r="J3" s="17" t="inlineStr">
        <is>
          <t>무매칭</t>
        </is>
      </c>
      <c r="K3" s="17" t="n">
        <v>0</v>
      </c>
      <c r="L3" s="17" t="inlineStr">
        <is>
          <t>제조소상세 무매칭</t>
        </is>
      </c>
      <c r="M3" s="17" t="inlineStr">
        <is>
          <t>수기 주소 확인 후 확정</t>
        </is>
      </c>
      <c r="N3" s="17" t="inlineStr"/>
      <c r="O3" s="17" t="inlineStr"/>
      <c r="P3" s="17" t="inlineStr"/>
    </row>
    <row r="4">
      <c r="A4" s="17" t="n">
        <v>3</v>
      </c>
      <c r="B4" s="17" t="inlineStr">
        <is>
          <t>05_SITE_정제</t>
        </is>
      </c>
      <c r="C4" s="17" t="inlineStr">
        <is>
          <t>S066</t>
        </is>
      </c>
      <c r="D4" s="17" t="inlineStr">
        <is>
          <t>S066</t>
        </is>
      </c>
      <c r="E4" s="17" t="inlineStr">
        <is>
          <t>C058</t>
        </is>
      </c>
      <c r="F4" s="17" t="inlineStr">
        <is>
          <t>메디포스트(주)</t>
        </is>
      </c>
      <c r="G4" s="17" t="inlineStr">
        <is>
          <t>메디포스트(주)</t>
        </is>
      </c>
      <c r="H4" s="17" t="inlineStr">
        <is>
          <t>서울특별시 구로구 디지털로 306 9층 901~907호, 911호, 5층 501호(일부),B1층 B101호, B106호, B111호, B121~123호, B128호, B129호(구로동, 대륭포스트타워 2차)</t>
        </is>
      </c>
      <c r="I4" s="17" t="inlineStr"/>
      <c r="J4" s="17" t="inlineStr">
        <is>
          <t>무매칭</t>
        </is>
      </c>
      <c r="K4" s="17" t="n">
        <v>0</v>
      </c>
      <c r="L4" s="17" t="inlineStr">
        <is>
          <t>제조소상세 무매칭</t>
        </is>
      </c>
      <c r="M4" s="17" t="inlineStr">
        <is>
          <t>수기 주소 확인 후 확정</t>
        </is>
      </c>
      <c r="N4" s="17" t="inlineStr"/>
      <c r="O4" s="17" t="inlineStr"/>
      <c r="P4" s="17" t="inlineStr"/>
    </row>
    <row r="5">
      <c r="A5" s="17" t="n">
        <v>4</v>
      </c>
      <c r="B5" s="17" t="inlineStr">
        <is>
          <t>05_SITE_정제</t>
        </is>
      </c>
      <c r="C5" s="17" t="inlineStr">
        <is>
          <t>S067</t>
        </is>
      </c>
      <c r="D5" s="17" t="inlineStr">
        <is>
          <t>S067</t>
        </is>
      </c>
      <c r="E5" s="17" t="inlineStr">
        <is>
          <t>C059</t>
        </is>
      </c>
      <c r="F5" s="17" t="inlineStr">
        <is>
          <t>한국프라임제약(주)</t>
        </is>
      </c>
      <c r="G5" s="17" t="inlineStr">
        <is>
          <t>한국프라임제약(주)</t>
        </is>
      </c>
      <c r="H5" s="17" t="inlineStr">
        <is>
          <t>전북특별자치도 완주군 봉동읍 완주산단9로 100</t>
        </is>
      </c>
      <c r="I5" s="17" t="inlineStr"/>
      <c r="J5" s="17" t="inlineStr">
        <is>
          <t>무매칭</t>
        </is>
      </c>
      <c r="K5" s="17" t="n">
        <v>0</v>
      </c>
      <c r="L5" s="17" t="inlineStr">
        <is>
          <t>제조소상세 무매칭</t>
        </is>
      </c>
      <c r="M5" s="17" t="inlineStr">
        <is>
          <t>수기 주소 확인 후 확정</t>
        </is>
      </c>
      <c r="N5" s="17" t="inlineStr"/>
      <c r="O5" s="17" t="inlineStr"/>
      <c r="P5" s="17" t="inlineStr"/>
    </row>
    <row r="6">
      <c r="A6" s="17" t="n">
        <v>5</v>
      </c>
      <c r="B6" s="17" t="inlineStr">
        <is>
          <t>05_SITE_정제</t>
        </is>
      </c>
      <c r="C6" s="17" t="inlineStr">
        <is>
          <t>S096</t>
        </is>
      </c>
      <c r="D6" s="17" t="inlineStr">
        <is>
          <t>S096</t>
        </is>
      </c>
      <c r="E6" s="17" t="inlineStr">
        <is>
          <t>C085</t>
        </is>
      </c>
      <c r="F6" s="17" t="inlineStr">
        <is>
          <t>대덕가스(주)</t>
        </is>
      </c>
      <c r="G6" s="17" t="inlineStr">
        <is>
          <t>대덕가스(주)</t>
        </is>
      </c>
      <c r="H6" s="17" t="inlineStr">
        <is>
          <t>충청남도 서산시 고북면 고북1로 343-12</t>
        </is>
      </c>
      <c r="I6" s="17" t="inlineStr"/>
      <c r="J6" s="17" t="inlineStr">
        <is>
          <t>무매칭</t>
        </is>
      </c>
      <c r="K6" s="17" t="n">
        <v>0</v>
      </c>
      <c r="L6" s="17" t="inlineStr">
        <is>
          <t>제조소상세 무매칭</t>
        </is>
      </c>
      <c r="M6" s="17" t="inlineStr">
        <is>
          <t>수기 주소 확인 후 확정</t>
        </is>
      </c>
      <c r="N6" s="17" t="inlineStr"/>
      <c r="O6" s="17" t="inlineStr"/>
      <c r="P6" s="17" t="inlineStr"/>
    </row>
    <row r="7">
      <c r="A7" s="17" t="n">
        <v>6</v>
      </c>
      <c r="B7" s="17" t="inlineStr">
        <is>
          <t>05_SITE_정제</t>
        </is>
      </c>
      <c r="C7" s="17" t="inlineStr">
        <is>
          <t>S134</t>
        </is>
      </c>
      <c r="D7" s="17" t="inlineStr">
        <is>
          <t>S134</t>
        </is>
      </c>
      <c r="E7" s="17" t="inlineStr">
        <is>
          <t>C114</t>
        </is>
      </c>
      <c r="F7" s="17" t="inlineStr">
        <is>
          <t>삼양화학공업(주)</t>
        </is>
      </c>
      <c r="G7" s="17" t="inlineStr">
        <is>
          <t>삼양화학공업(주)</t>
        </is>
      </c>
      <c r="H7" s="17" t="inlineStr">
        <is>
          <t>경상남도 양산시 회현1길 125</t>
        </is>
      </c>
      <c r="I7" s="17" t="inlineStr"/>
      <c r="J7" s="17" t="inlineStr">
        <is>
          <t>무매칭</t>
        </is>
      </c>
      <c r="K7" s="17" t="n">
        <v>0</v>
      </c>
      <c r="L7" s="17" t="inlineStr">
        <is>
          <t>제조소상세 무매칭</t>
        </is>
      </c>
      <c r="M7" s="17" t="inlineStr">
        <is>
          <t>수기 주소 확인 후 확정</t>
        </is>
      </c>
      <c r="N7" s="17" t="inlineStr"/>
      <c r="O7" s="17" t="inlineStr"/>
      <c r="P7" s="17" t="inlineStr"/>
    </row>
    <row r="8">
      <c r="A8" s="17" t="n">
        <v>7</v>
      </c>
      <c r="B8" s="17" t="inlineStr">
        <is>
          <t>05_SITE_정제</t>
        </is>
      </c>
      <c r="C8" s="17" t="inlineStr">
        <is>
          <t>S156</t>
        </is>
      </c>
      <c r="D8" s="17" t="inlineStr">
        <is>
          <t>S156</t>
        </is>
      </c>
      <c r="E8" s="17" t="inlineStr">
        <is>
          <t>C134</t>
        </is>
      </c>
      <c r="F8" s="17" t="inlineStr">
        <is>
          <t>(주)한국비엠아이</t>
        </is>
      </c>
      <c r="G8" s="17" t="inlineStr">
        <is>
          <t>(주)한국비엠아이</t>
        </is>
      </c>
      <c r="H8" s="17" t="inlineStr">
        <is>
          <t>제주특별자치도 제주시 첨단로7길 11</t>
        </is>
      </c>
      <c r="I8" s="17" t="inlineStr"/>
      <c r="J8" s="17" t="inlineStr">
        <is>
          <t>무매칭</t>
        </is>
      </c>
      <c r="K8" s="17" t="n">
        <v>0</v>
      </c>
      <c r="L8" s="17" t="inlineStr">
        <is>
          <t>제조소상세 무매칭</t>
        </is>
      </c>
      <c r="M8" s="17" t="inlineStr">
        <is>
          <t>수기 주소 확인 후 확정</t>
        </is>
      </c>
      <c r="N8" s="17" t="inlineStr"/>
      <c r="O8" s="17" t="inlineStr"/>
      <c r="P8" s="17" t="inlineStr"/>
    </row>
    <row r="9">
      <c r="A9" s="17" t="n">
        <v>8</v>
      </c>
      <c r="B9" s="17" t="inlineStr">
        <is>
          <t>05_SITE_정제</t>
        </is>
      </c>
      <c r="C9" s="17" t="inlineStr">
        <is>
          <t>S157</t>
        </is>
      </c>
      <c r="D9" s="17" t="inlineStr">
        <is>
          <t>S157</t>
        </is>
      </c>
      <c r="E9" s="17" t="inlineStr">
        <is>
          <t>C134</t>
        </is>
      </c>
      <c r="F9" s="17" t="inlineStr">
        <is>
          <t>(주)한국비엠아이</t>
        </is>
      </c>
      <c r="G9" s="17" t="inlineStr">
        <is>
          <t>(주)한국비엠아이</t>
        </is>
      </c>
      <c r="H9" s="17" t="inlineStr">
        <is>
          <t>제주특별자치도 제주시 첨단로7길 11</t>
        </is>
      </c>
      <c r="I9" s="17" t="inlineStr"/>
      <c r="J9" s="17" t="inlineStr">
        <is>
          <t>무매칭</t>
        </is>
      </c>
      <c r="K9" s="17" t="n">
        <v>0</v>
      </c>
      <c r="L9" s="17" t="inlineStr">
        <is>
          <t>제조소상세 무매칭</t>
        </is>
      </c>
      <c r="M9" s="17" t="inlineStr">
        <is>
          <t>수기 주소 확인 후 확정</t>
        </is>
      </c>
      <c r="N9" s="17" t="inlineStr"/>
      <c r="O9" s="17" t="inlineStr"/>
      <c r="P9" s="17" t="inlineStr"/>
    </row>
    <row r="10">
      <c r="A10" s="17" t="n">
        <v>9</v>
      </c>
      <c r="B10" s="17" t="inlineStr">
        <is>
          <t>05_SITE_정제</t>
        </is>
      </c>
      <c r="C10" s="17" t="inlineStr">
        <is>
          <t>S158</t>
        </is>
      </c>
      <c r="D10" s="17" t="inlineStr">
        <is>
          <t>S158</t>
        </is>
      </c>
      <c r="E10" s="17" t="inlineStr">
        <is>
          <t>C135</t>
        </is>
      </c>
      <c r="F10" s="17" t="inlineStr">
        <is>
          <t>(주)바스칸바이오제약</t>
        </is>
      </c>
      <c r="G10" s="17" t="inlineStr">
        <is>
          <t>(주)바스칸바이오제약</t>
        </is>
      </c>
      <c r="H10" s="17" t="inlineStr">
        <is>
          <t>경기도 안성시 원곡면 원당로 354</t>
        </is>
      </c>
      <c r="I10" s="17" t="inlineStr"/>
      <c r="J10" s="17" t="inlineStr">
        <is>
          <t>무매칭</t>
        </is>
      </c>
      <c r="K10" s="17" t="n">
        <v>0</v>
      </c>
      <c r="L10" s="17" t="inlineStr">
        <is>
          <t>제조소상세 무매칭</t>
        </is>
      </c>
      <c r="M10" s="17" t="inlineStr">
        <is>
          <t>수기 주소 확인 후 확정</t>
        </is>
      </c>
      <c r="N10" s="17" t="inlineStr"/>
      <c r="O10" s="17" t="inlineStr"/>
      <c r="P10" s="17" t="inlineStr"/>
    </row>
    <row r="11">
      <c r="A11" s="17" t="n">
        <v>10</v>
      </c>
      <c r="B11" s="17" t="inlineStr">
        <is>
          <t>05_SITE_정제</t>
        </is>
      </c>
      <c r="C11" s="17" t="inlineStr">
        <is>
          <t>S177</t>
        </is>
      </c>
      <c r="D11" s="17" t="inlineStr">
        <is>
          <t>S177</t>
        </is>
      </c>
      <c r="E11" s="17" t="inlineStr">
        <is>
          <t>C147</t>
        </is>
      </c>
      <c r="F11" s="17" t="inlineStr">
        <is>
          <t>태경에코(주)</t>
        </is>
      </c>
      <c r="G11" s="17" t="inlineStr">
        <is>
          <t>태경에코(주)</t>
        </is>
      </c>
      <c r="H11" s="17" t="inlineStr">
        <is>
          <t>경기도 안산시 단원구 동산로27번길 86-6</t>
        </is>
      </c>
      <c r="I11" s="17" t="inlineStr"/>
      <c r="J11" s="17" t="inlineStr">
        <is>
          <t>무매칭</t>
        </is>
      </c>
      <c r="K11" s="17" t="n">
        <v>0</v>
      </c>
      <c r="L11" s="17" t="inlineStr">
        <is>
          <t>제조소상세 무매칭</t>
        </is>
      </c>
      <c r="M11" s="17" t="inlineStr">
        <is>
          <t>수기 주소 확인 후 확정</t>
        </is>
      </c>
      <c r="N11" s="17" t="inlineStr"/>
      <c r="O11" s="17" t="inlineStr"/>
      <c r="P11" s="17" t="inlineStr"/>
    </row>
    <row r="12">
      <c r="A12" s="17" t="n">
        <v>11</v>
      </c>
      <c r="B12" s="17" t="inlineStr">
        <is>
          <t>05_SITE_정제</t>
        </is>
      </c>
      <c r="C12" s="17" t="inlineStr">
        <is>
          <t>S190</t>
        </is>
      </c>
      <c r="D12" s="17" t="inlineStr">
        <is>
          <t>S190</t>
        </is>
      </c>
      <c r="E12" s="17" t="inlineStr">
        <is>
          <t>C157</t>
        </is>
      </c>
      <c r="F12" s="17" t="inlineStr">
        <is>
          <t>신원산업(주)</t>
        </is>
      </c>
      <c r="G12" s="17" t="inlineStr">
        <is>
          <t>신원산업(주)</t>
        </is>
      </c>
      <c r="H12" s="17" t="inlineStr">
        <is>
          <t>충청북도 음성군 삼성면 덕호로 189</t>
        </is>
      </c>
      <c r="I12" s="17" t="inlineStr"/>
      <c r="J12" s="17" t="inlineStr">
        <is>
          <t>무매칭</t>
        </is>
      </c>
      <c r="K12" s="17" t="n">
        <v>0</v>
      </c>
      <c r="L12" s="17" t="inlineStr">
        <is>
          <t>제조소상세 무매칭</t>
        </is>
      </c>
      <c r="M12" s="17" t="inlineStr">
        <is>
          <t>수기 주소 확인 후 확정</t>
        </is>
      </c>
      <c r="N12" s="17" t="inlineStr"/>
      <c r="O12" s="17" t="inlineStr"/>
      <c r="P12" s="17" t="inlineStr"/>
    </row>
    <row r="13">
      <c r="A13" s="17" t="n">
        <v>12</v>
      </c>
      <c r="B13" s="17" t="inlineStr">
        <is>
          <t>05_SITE_정제</t>
        </is>
      </c>
      <c r="C13" s="17" t="inlineStr">
        <is>
          <t>S194</t>
        </is>
      </c>
      <c r="D13" s="17" t="inlineStr">
        <is>
          <t>S194</t>
        </is>
      </c>
      <c r="E13" s="17" t="inlineStr">
        <is>
          <t>C160</t>
        </is>
      </c>
      <c r="F13" s="17" t="inlineStr">
        <is>
          <t>대상(주)</t>
        </is>
      </c>
      <c r="G13" s="17" t="inlineStr">
        <is>
          <t>대상(주)</t>
        </is>
      </c>
      <c r="H13" s="17" t="inlineStr">
        <is>
          <t>전북특별자치도 군산시 외항1길 208 GMP동, 사무동 3층(시험실)</t>
        </is>
      </c>
      <c r="I13" s="17" t="inlineStr"/>
      <c r="J13" s="17" t="inlineStr">
        <is>
          <t>무매칭</t>
        </is>
      </c>
      <c r="K13" s="17" t="n">
        <v>0</v>
      </c>
      <c r="L13" s="17" t="inlineStr">
        <is>
          <t>제조소상세 무매칭</t>
        </is>
      </c>
      <c r="M13" s="17" t="inlineStr">
        <is>
          <t>수기 주소 확인 후 확정</t>
        </is>
      </c>
      <c r="N13" s="17" t="inlineStr"/>
      <c r="O13" s="17" t="inlineStr"/>
      <c r="P13" s="17" t="inlineStr"/>
    </row>
    <row r="14">
      <c r="A14" s="17" t="n">
        <v>13</v>
      </c>
      <c r="B14" s="17" t="inlineStr">
        <is>
          <t>05_SITE_정제</t>
        </is>
      </c>
      <c r="C14" s="17" t="inlineStr">
        <is>
          <t>S203</t>
        </is>
      </c>
      <c r="D14" s="17" t="inlineStr">
        <is>
          <t>S203</t>
        </is>
      </c>
      <c r="E14" s="17" t="inlineStr">
        <is>
          <t>C166</t>
        </is>
      </c>
      <c r="F14" s="17" t="inlineStr">
        <is>
          <t>태을산업가스(주)</t>
        </is>
      </c>
      <c r="G14" s="17" t="inlineStr">
        <is>
          <t>태을산업가스(주)</t>
        </is>
      </c>
      <c r="H14" s="17" t="inlineStr">
        <is>
          <t>충청남도 아산시 영인면 영인산로 494</t>
        </is>
      </c>
      <c r="I14" s="17" t="inlineStr"/>
      <c r="J14" s="17" t="inlineStr">
        <is>
          <t>무매칭</t>
        </is>
      </c>
      <c r="K14" s="17" t="n">
        <v>0</v>
      </c>
      <c r="L14" s="17" t="inlineStr">
        <is>
          <t>제조소상세 무매칭</t>
        </is>
      </c>
      <c r="M14" s="17" t="inlineStr">
        <is>
          <t>수기 주소 확인 후 확정</t>
        </is>
      </c>
      <c r="N14" s="17" t="inlineStr"/>
      <c r="O14" s="17" t="inlineStr"/>
      <c r="P14" s="17" t="inlineStr"/>
    </row>
    <row r="15">
      <c r="A15" s="17" t="n">
        <v>14</v>
      </c>
      <c r="B15" s="17" t="inlineStr">
        <is>
          <t>05_SITE_정제</t>
        </is>
      </c>
      <c r="C15" s="17" t="inlineStr">
        <is>
          <t>S267</t>
        </is>
      </c>
      <c r="D15" s="17" t="inlineStr">
        <is>
          <t>S267</t>
        </is>
      </c>
      <c r="E15" s="17" t="inlineStr">
        <is>
          <t>C085</t>
        </is>
      </c>
      <c r="F15" s="17" t="inlineStr">
        <is>
          <t>대덕가스(주)</t>
        </is>
      </c>
      <c r="G15" s="17" t="inlineStr">
        <is>
          <t>대덕가스(주)</t>
        </is>
      </c>
      <c r="H15" s="17" t="inlineStr">
        <is>
          <t>충청남도 천안시 서북구 직산읍 직산로 186</t>
        </is>
      </c>
      <c r="I15" s="17" t="inlineStr"/>
      <c r="J15" s="17" t="inlineStr">
        <is>
          <t>무매칭</t>
        </is>
      </c>
      <c r="K15" s="17" t="n">
        <v>0</v>
      </c>
      <c r="L15" s="17" t="inlineStr">
        <is>
          <t>제조소상세 무매칭</t>
        </is>
      </c>
      <c r="M15" s="17" t="inlineStr">
        <is>
          <t>수기 주소 확인 후 확정</t>
        </is>
      </c>
      <c r="N15" s="17" t="inlineStr"/>
      <c r="O15" s="17" t="inlineStr"/>
      <c r="P15" s="17" t="inlineStr"/>
    </row>
    <row r="16">
      <c r="A16" s="17" t="n">
        <v>15</v>
      </c>
      <c r="B16" s="17" t="inlineStr">
        <is>
          <t>05_SITE_정제</t>
        </is>
      </c>
      <c r="C16" s="17" t="inlineStr">
        <is>
          <t>S276</t>
        </is>
      </c>
      <c r="D16" s="17" t="inlineStr">
        <is>
          <t>S276</t>
        </is>
      </c>
      <c r="E16" s="17" t="inlineStr">
        <is>
          <t>C221</t>
        </is>
      </c>
      <c r="F16" s="17" t="inlineStr">
        <is>
          <t>영진약품(주)</t>
        </is>
      </c>
      <c r="G16" s="17" t="inlineStr">
        <is>
          <t>영진약품(주)</t>
        </is>
      </c>
      <c r="H16" s="17" t="inlineStr">
        <is>
          <t>경기도 화성시 만세구 남양읍 무하로 66</t>
        </is>
      </c>
      <c r="I16" s="17" t="inlineStr"/>
      <c r="J16" s="17" t="inlineStr">
        <is>
          <t>무매칭</t>
        </is>
      </c>
      <c r="K16" s="17" t="n">
        <v>0</v>
      </c>
      <c r="L16" s="17" t="inlineStr">
        <is>
          <t>제조소상세 무매칭</t>
        </is>
      </c>
      <c r="M16" s="17" t="inlineStr">
        <is>
          <t>수기 주소 확인 후 확정</t>
        </is>
      </c>
      <c r="N16" s="17" t="inlineStr"/>
      <c r="O16" s="17" t="inlineStr"/>
      <c r="P16" s="17" t="inlineStr"/>
    </row>
    <row r="17">
      <c r="A17" s="17" t="n">
        <v>16</v>
      </c>
      <c r="B17" s="17" t="inlineStr">
        <is>
          <t>05_SITE_정제</t>
        </is>
      </c>
      <c r="C17" s="17" t="inlineStr">
        <is>
          <t>S294</t>
        </is>
      </c>
      <c r="D17" s="17" t="inlineStr">
        <is>
          <t>S294</t>
        </is>
      </c>
      <c r="E17" s="17" t="inlineStr">
        <is>
          <t>C059</t>
        </is>
      </c>
      <c r="F17" s="17" t="inlineStr">
        <is>
          <t>한국프라임제약(주)</t>
        </is>
      </c>
      <c r="G17" s="17" t="inlineStr">
        <is>
          <t>한국프라임제약(주)</t>
        </is>
      </c>
      <c r="H17" s="17" t="inlineStr">
        <is>
          <t>전북특별자치도 완주군 봉동읍 완주산단6로 209</t>
        </is>
      </c>
      <c r="I17" s="17" t="inlineStr"/>
      <c r="J17" s="17" t="inlineStr">
        <is>
          <t>무매칭</t>
        </is>
      </c>
      <c r="K17" s="17" t="n">
        <v>0</v>
      </c>
      <c r="L17" s="17" t="inlineStr">
        <is>
          <t>제조소상세 무매칭</t>
        </is>
      </c>
      <c r="M17" s="17" t="inlineStr">
        <is>
          <t>수기 주소 확인 후 확정</t>
        </is>
      </c>
      <c r="N17" s="17" t="inlineStr"/>
      <c r="O17" s="17" t="inlineStr"/>
      <c r="P17" s="17" t="inlineStr"/>
    </row>
    <row r="18">
      <c r="A18" s="17" t="n">
        <v>17</v>
      </c>
      <c r="B18" s="17" t="inlineStr">
        <is>
          <t>05_SITE_정제</t>
        </is>
      </c>
      <c r="C18" s="17" t="inlineStr">
        <is>
          <t>S319</t>
        </is>
      </c>
      <c r="D18" s="17" t="inlineStr">
        <is>
          <t>S319</t>
        </is>
      </c>
      <c r="E18" s="17" t="inlineStr">
        <is>
          <t>C247</t>
        </is>
      </c>
      <c r="F18" s="17" t="inlineStr">
        <is>
          <t>(주)피에스지</t>
        </is>
      </c>
      <c r="G18" s="17" t="inlineStr">
        <is>
          <t>(주)피에스지</t>
        </is>
      </c>
      <c r="H18" s="17" t="inlineStr">
        <is>
          <t>경상남도 김해시 주촌면 서부로1637번길 364</t>
        </is>
      </c>
      <c r="I18" s="17" t="inlineStr"/>
      <c r="J18" s="17" t="inlineStr">
        <is>
          <t>무매칭</t>
        </is>
      </c>
      <c r="K18" s="17" t="n">
        <v>0</v>
      </c>
      <c r="L18" s="17" t="inlineStr">
        <is>
          <t>제조소상세 무매칭</t>
        </is>
      </c>
      <c r="M18" s="17" t="inlineStr">
        <is>
          <t>수기 주소 확인 후 확정</t>
        </is>
      </c>
      <c r="N18" s="17" t="inlineStr"/>
      <c r="O18" s="17" t="inlineStr"/>
      <c r="P18" s="17" t="inlineStr"/>
    </row>
    <row r="19">
      <c r="A19" s="17" t="n">
        <v>18</v>
      </c>
      <c r="B19" s="17" t="inlineStr">
        <is>
          <t>05_SITE_정제</t>
        </is>
      </c>
      <c r="C19" s="17" t="inlineStr">
        <is>
          <t>S338</t>
        </is>
      </c>
      <c r="D19" s="17" t="inlineStr">
        <is>
          <t>S338</t>
        </is>
      </c>
      <c r="E19" s="17" t="inlineStr">
        <is>
          <t>C257</t>
        </is>
      </c>
      <c r="F19" s="17" t="inlineStr">
        <is>
          <t>파미셀주식회사</t>
        </is>
      </c>
      <c r="G19" s="17" t="inlineStr">
        <is>
          <t>파미셀주식회사</t>
        </is>
      </c>
      <c r="H19" s="17" t="inlineStr">
        <is>
          <t>경기도 성남시 중원구 둔촌대로 484 시콕스타워 901 902 911 920 921 922 923 515 516 517 518 519 520 521 522 523(상대원동)</t>
        </is>
      </c>
      <c r="I19" s="17" t="inlineStr"/>
      <c r="J19" s="17" t="inlineStr">
        <is>
          <t>무매칭</t>
        </is>
      </c>
      <c r="K19" s="17" t="n">
        <v>0</v>
      </c>
      <c r="L19" s="17" t="inlineStr">
        <is>
          <t>제조소상세 무매칭</t>
        </is>
      </c>
      <c r="M19" s="17" t="inlineStr">
        <is>
          <t>수기 주소 확인 후 확정</t>
        </is>
      </c>
      <c r="N19" s="17" t="inlineStr"/>
      <c r="O19" s="17" t="inlineStr"/>
      <c r="P19" s="17" t="inlineStr"/>
    </row>
    <row r="20">
      <c r="A20" s="17" t="n">
        <v>19</v>
      </c>
      <c r="B20" s="17" t="inlineStr">
        <is>
          <t>05_SITE_정제</t>
        </is>
      </c>
      <c r="C20" s="17" t="inlineStr">
        <is>
          <t>S352</t>
        </is>
      </c>
      <c r="D20" s="17" t="inlineStr">
        <is>
          <t>S352</t>
        </is>
      </c>
      <c r="E20" s="17" t="inlineStr">
        <is>
          <t>C266</t>
        </is>
      </c>
      <c r="F20" s="17" t="inlineStr">
        <is>
          <t>(주)돌나라한농제약</t>
        </is>
      </c>
      <c r="G20" s="17" t="inlineStr">
        <is>
          <t>(주)돌나라한농제약</t>
        </is>
      </c>
      <c r="H20" s="17" t="inlineStr">
        <is>
          <t>경상북도 상주시 외서면 낙원동길 147</t>
        </is>
      </c>
      <c r="I20" s="17" t="inlineStr"/>
      <c r="J20" s="17" t="inlineStr">
        <is>
          <t>무매칭</t>
        </is>
      </c>
      <c r="K20" s="17" t="n">
        <v>0</v>
      </c>
      <c r="L20" s="17" t="inlineStr">
        <is>
          <t>제조소상세 무매칭</t>
        </is>
      </c>
      <c r="M20" s="17" t="inlineStr">
        <is>
          <t>수기 주소 확인 후 확정</t>
        </is>
      </c>
      <c r="N20" s="17" t="inlineStr"/>
      <c r="O20" s="17" t="inlineStr"/>
      <c r="P20" s="17" t="inlineStr"/>
    </row>
    <row r="21">
      <c r="A21" s="17" t="n">
        <v>20</v>
      </c>
      <c r="B21" s="17" t="inlineStr">
        <is>
          <t>05_SITE_정제</t>
        </is>
      </c>
      <c r="C21" s="17" t="inlineStr">
        <is>
          <t>S353</t>
        </is>
      </c>
      <c r="D21" s="17" t="inlineStr">
        <is>
          <t>S353</t>
        </is>
      </c>
      <c r="E21" s="17" t="inlineStr">
        <is>
          <t>C266</t>
        </is>
      </c>
      <c r="F21" s="17" t="inlineStr">
        <is>
          <t>(주)돌나라한농제약</t>
        </is>
      </c>
      <c r="G21" s="17" t="inlineStr">
        <is>
          <t>(주)돌나라한농제약</t>
        </is>
      </c>
      <c r="H21" s="17" t="inlineStr">
        <is>
          <t>경상북도 상주시 외서면 하나동2길 19-14</t>
        </is>
      </c>
      <c r="I21" s="17" t="inlineStr"/>
      <c r="J21" s="17" t="inlineStr">
        <is>
          <t>무매칭</t>
        </is>
      </c>
      <c r="K21" s="17" t="n">
        <v>0</v>
      </c>
      <c r="L21" s="17" t="inlineStr">
        <is>
          <t>제조소상세 무매칭</t>
        </is>
      </c>
      <c r="M21" s="17" t="inlineStr">
        <is>
          <t>수기 주소 확인 후 확정</t>
        </is>
      </c>
      <c r="N21" s="17" t="inlineStr"/>
      <c r="O21" s="17" t="inlineStr"/>
      <c r="P21" s="17" t="inlineStr"/>
    </row>
    <row r="22">
      <c r="A22" s="17" t="n">
        <v>21</v>
      </c>
      <c r="B22" s="17" t="inlineStr">
        <is>
          <t>05_SITE_정제</t>
        </is>
      </c>
      <c r="C22" s="17" t="inlineStr">
        <is>
          <t>S354</t>
        </is>
      </c>
      <c r="D22" s="17" t="inlineStr">
        <is>
          <t>S354</t>
        </is>
      </c>
      <c r="E22" s="17" t="inlineStr">
        <is>
          <t>C247</t>
        </is>
      </c>
      <c r="F22" s="17" t="inlineStr">
        <is>
          <t>(주)피에스지</t>
        </is>
      </c>
      <c r="G22" s="17" t="inlineStr">
        <is>
          <t>(주)피에스지</t>
        </is>
      </c>
      <c r="H22" s="17" t="inlineStr">
        <is>
          <t>전라남도 보성군 벌교읍 녹색로 5695-13</t>
        </is>
      </c>
      <c r="I22" s="17" t="inlineStr"/>
      <c r="J22" s="17" t="inlineStr">
        <is>
          <t>무매칭</t>
        </is>
      </c>
      <c r="K22" s="17" t="n">
        <v>0</v>
      </c>
      <c r="L22" s="17" t="inlineStr">
        <is>
          <t>제조소상세 무매칭</t>
        </is>
      </c>
      <c r="M22" s="17" t="inlineStr">
        <is>
          <t>수기 주소 확인 후 확정</t>
        </is>
      </c>
      <c r="N22" s="17" t="inlineStr"/>
      <c r="O22" s="17" t="inlineStr"/>
      <c r="P22" s="17" t="inlineStr"/>
    </row>
    <row r="23">
      <c r="A23" s="17" t="n">
        <v>22</v>
      </c>
      <c r="B23" s="17" t="inlineStr">
        <is>
          <t>05_SITE_정제</t>
        </is>
      </c>
      <c r="C23" s="17" t="inlineStr">
        <is>
          <t>S365</t>
        </is>
      </c>
      <c r="D23" s="17" t="inlineStr">
        <is>
          <t>S365</t>
        </is>
      </c>
      <c r="E23" s="17" t="inlineStr">
        <is>
          <t>C272</t>
        </is>
      </c>
      <c r="F23" s="17" t="inlineStr">
        <is>
          <t>(주)바이오솔루션</t>
        </is>
      </c>
      <c r="G23" s="17" t="inlineStr">
        <is>
          <t>(주)바이오솔루션</t>
        </is>
      </c>
      <c r="H23" s="17" t="inlineStr">
        <is>
          <t>서울특별시 노원구 공릉로 232 서울테크노파크 1층 101호, 102호, 5층 501~504호, 513호, (원료보관소)506호, (자재보관소)514호</t>
        </is>
      </c>
      <c r="I23" s="17" t="inlineStr"/>
      <c r="J23" s="17" t="inlineStr">
        <is>
          <t>무매칭</t>
        </is>
      </c>
      <c r="K23" s="17" t="n">
        <v>0</v>
      </c>
      <c r="L23" s="17" t="inlineStr">
        <is>
          <t>제조소상세 무매칭</t>
        </is>
      </c>
      <c r="M23" s="17" t="inlineStr">
        <is>
          <t>수기 주소 확인 후 확정</t>
        </is>
      </c>
      <c r="N23" s="17" t="inlineStr"/>
      <c r="O23" s="17" t="inlineStr"/>
      <c r="P23" s="17" t="inlineStr"/>
    </row>
    <row r="24">
      <c r="A24" s="17" t="n">
        <v>23</v>
      </c>
      <c r="B24" s="17" t="inlineStr">
        <is>
          <t>05_SITE_정제</t>
        </is>
      </c>
      <c r="C24" s="17" t="inlineStr">
        <is>
          <t>S368</t>
        </is>
      </c>
      <c r="D24" s="17" t="inlineStr">
        <is>
          <t>S368</t>
        </is>
      </c>
      <c r="E24" s="17" t="inlineStr">
        <is>
          <t>C273</t>
        </is>
      </c>
      <c r="F24" s="17" t="inlineStr">
        <is>
          <t>(주)안트로젠</t>
        </is>
      </c>
      <c r="G24" s="17" t="inlineStr">
        <is>
          <t>(주)안트로젠</t>
        </is>
      </c>
      <c r="H24" s="17" t="inlineStr">
        <is>
          <t>서울특별시 금천구 디지털로 130 남성프라자(에이스9차) 404~407호, 610호 일부</t>
        </is>
      </c>
      <c r="I24" s="17" t="inlineStr"/>
      <c r="J24" s="17" t="inlineStr">
        <is>
          <t>무매칭</t>
        </is>
      </c>
      <c r="K24" s="17" t="n">
        <v>0</v>
      </c>
      <c r="L24" s="17" t="inlineStr">
        <is>
          <t>제조소상세 무매칭</t>
        </is>
      </c>
      <c r="M24" s="17" t="inlineStr">
        <is>
          <t>수기 주소 확인 후 확정</t>
        </is>
      </c>
      <c r="N24" s="17" t="inlineStr"/>
      <c r="O24" s="17" t="inlineStr"/>
      <c r="P24" s="17" t="inlineStr"/>
    </row>
    <row r="25">
      <c r="A25" s="17" t="n">
        <v>24</v>
      </c>
      <c r="B25" s="17" t="inlineStr">
        <is>
          <t>05_SITE_정제</t>
        </is>
      </c>
      <c r="C25" s="17" t="inlineStr">
        <is>
          <t>S380</t>
        </is>
      </c>
      <c r="D25" s="17" t="inlineStr">
        <is>
          <t>S380</t>
        </is>
      </c>
      <c r="E25" s="17" t="inlineStr">
        <is>
          <t>C282</t>
        </is>
      </c>
      <c r="F25" s="17" t="inlineStr">
        <is>
          <t>주식회사지씨셀</t>
        </is>
      </c>
      <c r="G25" s="17" t="inlineStr">
        <is>
          <t>주식회사지씨셀</t>
        </is>
      </c>
      <c r="H25" s="17" t="inlineStr">
        <is>
          <t>경기도 용인시 기흥구 이현로30번길 107 셀센터 지하2층(일부), 지하1층(일부) , 1층, 2층</t>
        </is>
      </c>
      <c r="I25" s="17" t="inlineStr"/>
      <c r="J25" s="17" t="inlineStr">
        <is>
          <t>무매칭</t>
        </is>
      </c>
      <c r="K25" s="17" t="n">
        <v>0</v>
      </c>
      <c r="L25" s="17" t="inlineStr">
        <is>
          <t>제조소상세 무매칭</t>
        </is>
      </c>
      <c r="M25" s="17" t="inlineStr">
        <is>
          <t>수기 주소 확인 후 확정</t>
        </is>
      </c>
      <c r="N25" s="17" t="inlineStr"/>
      <c r="O25" s="17" t="inlineStr"/>
      <c r="P25" s="17" t="inlineStr"/>
    </row>
    <row r="26">
      <c r="A26" s="17" t="n">
        <v>25</v>
      </c>
      <c r="B26" s="17" t="inlineStr">
        <is>
          <t>05_SITE_정제</t>
        </is>
      </c>
      <c r="C26" s="17" t="inlineStr">
        <is>
          <t>S389</t>
        </is>
      </c>
      <c r="D26" s="17" t="inlineStr">
        <is>
          <t>S389</t>
        </is>
      </c>
      <c r="E26" s="17" t="inlineStr">
        <is>
          <t>C085</t>
        </is>
      </c>
      <c r="F26" s="17" t="inlineStr">
        <is>
          <t>대덕가스(주)</t>
        </is>
      </c>
      <c r="G26" s="17" t="inlineStr">
        <is>
          <t>대덕가스(주)</t>
        </is>
      </c>
      <c r="H26" s="17" t="inlineStr">
        <is>
          <t>인천광역시 남동구 남촌동 622-2 12블럭 3로트</t>
        </is>
      </c>
      <c r="I26" s="17" t="inlineStr"/>
      <c r="J26" s="17" t="inlineStr">
        <is>
          <t>무매칭</t>
        </is>
      </c>
      <c r="K26" s="17" t="n">
        <v>0</v>
      </c>
      <c r="L26" s="17" t="inlineStr">
        <is>
          <t>제조소상세 무매칭</t>
        </is>
      </c>
      <c r="M26" s="17" t="inlineStr">
        <is>
          <t>수기 주소 확인 후 확정</t>
        </is>
      </c>
      <c r="N26" s="17" t="inlineStr"/>
      <c r="O26" s="17" t="inlineStr"/>
      <c r="P26" s="17" t="inlineStr"/>
    </row>
    <row r="27">
      <c r="A27" s="17" t="n">
        <v>26</v>
      </c>
      <c r="B27" s="17" t="inlineStr">
        <is>
          <t>05_SITE_정제</t>
        </is>
      </c>
      <c r="C27" s="17" t="inlineStr">
        <is>
          <t>S430</t>
        </is>
      </c>
      <c r="D27" s="17" t="inlineStr">
        <is>
          <t>S430</t>
        </is>
      </c>
      <c r="E27" s="17" t="inlineStr">
        <is>
          <t>C316</t>
        </is>
      </c>
      <c r="F27" s="17" t="inlineStr">
        <is>
          <t>(주)유니온가스</t>
        </is>
      </c>
      <c r="G27" s="17" t="inlineStr">
        <is>
          <t>(주)유니온가스</t>
        </is>
      </c>
      <c r="H27" s="17" t="inlineStr">
        <is>
          <t>경기도 용인시 처인구 남사면 원암로 370-1</t>
        </is>
      </c>
      <c r="I27" s="17" t="inlineStr"/>
      <c r="J27" s="17" t="inlineStr">
        <is>
          <t>무매칭</t>
        </is>
      </c>
      <c r="K27" s="17" t="n">
        <v>0</v>
      </c>
      <c r="L27" s="17" t="inlineStr">
        <is>
          <t>제조소상세 무매칭</t>
        </is>
      </c>
      <c r="M27" s="17" t="inlineStr">
        <is>
          <t>수기 주소 확인 후 확정</t>
        </is>
      </c>
      <c r="N27" s="17" t="inlineStr"/>
      <c r="O27" s="17" t="inlineStr"/>
      <c r="P27" s="17" t="inlineStr"/>
    </row>
    <row r="28">
      <c r="A28" s="17" t="n">
        <v>27</v>
      </c>
      <c r="B28" s="17" t="inlineStr">
        <is>
          <t>05_SITE_정제</t>
        </is>
      </c>
      <c r="C28" s="17" t="inlineStr">
        <is>
          <t>S491</t>
        </is>
      </c>
      <c r="D28" s="17" t="inlineStr">
        <is>
          <t>S491</t>
        </is>
      </c>
      <c r="E28" s="17" t="inlineStr">
        <is>
          <t>C134</t>
        </is>
      </c>
      <c r="F28" s="17" t="inlineStr">
        <is>
          <t>(주)한국비엠아이</t>
        </is>
      </c>
      <c r="G28" s="17" t="inlineStr">
        <is>
          <t>(주)한국비엠아이</t>
        </is>
      </c>
      <c r="H28" s="17" t="inlineStr">
        <is>
          <t>충청북도 청주시 흥덕구 오송읍 오송생명14로 90</t>
        </is>
      </c>
      <c r="I28" s="17" t="inlineStr"/>
      <c r="J28" s="17" t="inlineStr">
        <is>
          <t>무매칭</t>
        </is>
      </c>
      <c r="K28" s="17" t="n">
        <v>0</v>
      </c>
      <c r="L28" s="17" t="inlineStr">
        <is>
          <t>제조소상세 무매칭</t>
        </is>
      </c>
      <c r="M28" s="17" t="inlineStr">
        <is>
          <t>수기 주소 확인 후 확정</t>
        </is>
      </c>
      <c r="N28" s="17" t="inlineStr"/>
      <c r="O28" s="17" t="inlineStr"/>
      <c r="P28" s="17" t="inlineStr"/>
    </row>
    <row r="29">
      <c r="A29" s="17" t="n">
        <v>28</v>
      </c>
      <c r="B29" s="17" t="inlineStr">
        <is>
          <t>05_SITE_정제</t>
        </is>
      </c>
      <c r="C29" s="17" t="inlineStr">
        <is>
          <t>S492</t>
        </is>
      </c>
      <c r="D29" s="17" t="inlineStr">
        <is>
          <t>S492</t>
        </is>
      </c>
      <c r="E29" s="17" t="inlineStr">
        <is>
          <t>C359</t>
        </is>
      </c>
      <c r="F29" s="17" t="inlineStr">
        <is>
          <t>유니온산업가스(주)</t>
        </is>
      </c>
      <c r="G29" s="17" t="inlineStr">
        <is>
          <t>유니온산업가스(주)</t>
        </is>
      </c>
      <c r="H29" s="17" t="inlineStr">
        <is>
          <t>경기도 화성시 정남면 시청로 1732-69</t>
        </is>
      </c>
      <c r="I29" s="17" t="inlineStr"/>
      <c r="J29" s="17" t="inlineStr">
        <is>
          <t>무매칭</t>
        </is>
      </c>
      <c r="K29" s="17" t="n">
        <v>0</v>
      </c>
      <c r="L29" s="17" t="inlineStr">
        <is>
          <t>제조소상세 무매칭</t>
        </is>
      </c>
      <c r="M29" s="17" t="inlineStr">
        <is>
          <t>수기 주소 확인 후 확정</t>
        </is>
      </c>
      <c r="N29" s="17" t="inlineStr"/>
      <c r="O29" s="17" t="inlineStr"/>
      <c r="P29" s="17" t="inlineStr"/>
    </row>
    <row r="30">
      <c r="A30" s="17" t="n">
        <v>29</v>
      </c>
      <c r="B30" s="17" t="inlineStr">
        <is>
          <t>05_SITE_정제</t>
        </is>
      </c>
      <c r="C30" s="17" t="inlineStr">
        <is>
          <t>S505</t>
        </is>
      </c>
      <c r="D30" s="17" t="inlineStr">
        <is>
          <t>S505</t>
        </is>
      </c>
      <c r="E30" s="17" t="inlineStr">
        <is>
          <t>C368</t>
        </is>
      </c>
      <c r="F30" s="17" t="inlineStr">
        <is>
          <t>태광산업가스(주)</t>
        </is>
      </c>
      <c r="G30" s="17" t="inlineStr">
        <is>
          <t>태광산업가스(주)</t>
        </is>
      </c>
      <c r="H30" s="17" t="inlineStr">
        <is>
          <t>경기도 이천시 진상미로 2315</t>
        </is>
      </c>
      <c r="I30" s="17" t="inlineStr"/>
      <c r="J30" s="17" t="inlineStr">
        <is>
          <t>무매칭</t>
        </is>
      </c>
      <c r="K30" s="17" t="n">
        <v>0</v>
      </c>
      <c r="L30" s="17" t="inlineStr">
        <is>
          <t>제조소상세 무매칭</t>
        </is>
      </c>
      <c r="M30" s="17" t="inlineStr">
        <is>
          <t>수기 주소 확인 후 확정</t>
        </is>
      </c>
      <c r="N30" s="17" t="inlineStr"/>
      <c r="O30" s="17" t="inlineStr"/>
      <c r="P30" s="17" t="inlineStr"/>
    </row>
    <row r="31">
      <c r="A31" s="17" t="n">
        <v>30</v>
      </c>
      <c r="B31" s="17" t="inlineStr">
        <is>
          <t>05_SITE_정제</t>
        </is>
      </c>
      <c r="C31" s="17" t="inlineStr">
        <is>
          <t>S522</t>
        </is>
      </c>
      <c r="D31" s="17" t="inlineStr">
        <is>
          <t>S522</t>
        </is>
      </c>
      <c r="E31" s="17" t="inlineStr">
        <is>
          <t>C378</t>
        </is>
      </c>
      <c r="F31" s="17" t="inlineStr">
        <is>
          <t>주식회사삼현제약</t>
        </is>
      </c>
      <c r="G31" s="17" t="inlineStr">
        <is>
          <t>주식회사삼현제약</t>
        </is>
      </c>
      <c r="H31" s="17" t="inlineStr">
        <is>
          <t>인천광역시 강화군 하점면 강화대로967번길 22 1층 일부, 2층(시험실)</t>
        </is>
      </c>
      <c r="I31" s="17" t="inlineStr"/>
      <c r="J31" s="17" t="inlineStr">
        <is>
          <t>무매칭</t>
        </is>
      </c>
      <c r="K31" s="17" t="n">
        <v>0</v>
      </c>
      <c r="L31" s="17" t="inlineStr">
        <is>
          <t>제조소상세 무매칭</t>
        </is>
      </c>
      <c r="M31" s="17" t="inlineStr">
        <is>
          <t>수기 주소 확인 후 확정</t>
        </is>
      </c>
      <c r="N31" s="17" t="inlineStr"/>
      <c r="O31" s="17" t="inlineStr"/>
      <c r="P31" s="17" t="inlineStr"/>
    </row>
    <row r="32">
      <c r="A32" s="17" t="n">
        <v>31</v>
      </c>
      <c r="B32" s="17" t="inlineStr">
        <is>
          <t>05_SITE_정제</t>
        </is>
      </c>
      <c r="C32" s="17" t="inlineStr">
        <is>
          <t>S526</t>
        </is>
      </c>
      <c r="D32" s="17" t="inlineStr">
        <is>
          <t>S526</t>
        </is>
      </c>
      <c r="E32" s="17" t="inlineStr">
        <is>
          <t>C247</t>
        </is>
      </c>
      <c r="F32" s="17" t="inlineStr">
        <is>
          <t>(주)피에스지</t>
        </is>
      </c>
      <c r="G32" s="17" t="inlineStr">
        <is>
          <t>(주)피에스지</t>
        </is>
      </c>
      <c r="H32" s="17" t="inlineStr">
        <is>
          <t>부산광역시 영도구 해양로135번길 11</t>
        </is>
      </c>
      <c r="I32" s="17" t="inlineStr"/>
      <c r="J32" s="17" t="inlineStr">
        <is>
          <t>무매칭</t>
        </is>
      </c>
      <c r="K32" s="17" t="n">
        <v>0</v>
      </c>
      <c r="L32" s="17" t="inlineStr">
        <is>
          <t>제조소상세 무매칭</t>
        </is>
      </c>
      <c r="M32" s="17" t="inlineStr">
        <is>
          <t>수기 주소 확인 후 확정</t>
        </is>
      </c>
      <c r="N32" s="17" t="inlineStr"/>
      <c r="O32" s="17" t="inlineStr"/>
      <c r="P32" s="17" t="inlineStr"/>
    </row>
    <row r="33">
      <c r="A33" s="17" t="n">
        <v>32</v>
      </c>
      <c r="B33" s="17" t="inlineStr">
        <is>
          <t>05_SITE_정제</t>
        </is>
      </c>
      <c r="C33" s="17" t="inlineStr">
        <is>
          <t>S534</t>
        </is>
      </c>
      <c r="D33" s="17" t="inlineStr">
        <is>
          <t>S534</t>
        </is>
      </c>
      <c r="E33" s="17" t="inlineStr">
        <is>
          <t>C221</t>
        </is>
      </c>
      <c r="F33" s="17" t="inlineStr">
        <is>
          <t>영진약품(주)</t>
        </is>
      </c>
      <c r="G33" s="17" t="inlineStr">
        <is>
          <t>영진약품(주)</t>
        </is>
      </c>
      <c r="H33" s="17" t="inlineStr">
        <is>
          <t>전북특별자치도 완주군 봉동읍 완주산단5로 21</t>
        </is>
      </c>
      <c r="I33" s="17" t="inlineStr"/>
      <c r="J33" s="17" t="inlineStr">
        <is>
          <t>무매칭</t>
        </is>
      </c>
      <c r="K33" s="17" t="n">
        <v>0</v>
      </c>
      <c r="L33" s="17" t="inlineStr">
        <is>
          <t>제조소상세 무매칭</t>
        </is>
      </c>
      <c r="M33" s="17" t="inlineStr">
        <is>
          <t>수기 주소 확인 후 확정</t>
        </is>
      </c>
      <c r="N33" s="17" t="inlineStr"/>
      <c r="O33" s="17" t="inlineStr"/>
      <c r="P33" s="17" t="inlineStr"/>
    </row>
    <row r="34">
      <c r="A34" s="17" t="n">
        <v>33</v>
      </c>
      <c r="B34" s="17" t="inlineStr">
        <is>
          <t>05_SITE_정제</t>
        </is>
      </c>
      <c r="C34" s="17" t="inlineStr">
        <is>
          <t>S541</t>
        </is>
      </c>
      <c r="D34" s="17" t="inlineStr">
        <is>
          <t>S541</t>
        </is>
      </c>
      <c r="E34" s="17" t="inlineStr">
        <is>
          <t>C389</t>
        </is>
      </c>
      <c r="F34" s="17" t="inlineStr">
        <is>
          <t>대성가스텍(주)</t>
        </is>
      </c>
      <c r="G34" s="17" t="inlineStr">
        <is>
          <t>대성가스텍(주)</t>
        </is>
      </c>
      <c r="H34" s="17" t="inlineStr">
        <is>
          <t>경기도 화성시 향남읍 서봉로 739</t>
        </is>
      </c>
      <c r="I34" s="17" t="inlineStr"/>
      <c r="J34" s="17" t="inlineStr">
        <is>
          <t>무매칭</t>
        </is>
      </c>
      <c r="K34" s="17" t="n">
        <v>0</v>
      </c>
      <c r="L34" s="17" t="inlineStr">
        <is>
          <t>제조소상세 무매칭</t>
        </is>
      </c>
      <c r="M34" s="17" t="inlineStr">
        <is>
          <t>수기 주소 확인 후 확정</t>
        </is>
      </c>
      <c r="N34" s="17" t="inlineStr"/>
      <c r="O34" s="17" t="inlineStr"/>
      <c r="P34" s="17" t="inlineStr"/>
    </row>
    <row r="35">
      <c r="A35" s="17" t="n">
        <v>34</v>
      </c>
      <c r="B35" s="17" t="inlineStr">
        <is>
          <t>05_SITE_정제</t>
        </is>
      </c>
      <c r="C35" s="17" t="inlineStr">
        <is>
          <t>S553</t>
        </is>
      </c>
      <c r="D35" s="17" t="inlineStr">
        <is>
          <t>S553</t>
        </is>
      </c>
      <c r="E35" s="17" t="inlineStr">
        <is>
          <t>C398</t>
        </is>
      </c>
      <c r="F35" s="17" t="inlineStr">
        <is>
          <t>의료법인한라의료재단</t>
        </is>
      </c>
      <c r="G35" s="17" t="inlineStr">
        <is>
          <t>의료법인한라의료재단</t>
        </is>
      </c>
      <c r="H35" s="17" t="inlineStr">
        <is>
          <t>제주특별자치도 제주시 도령로 65</t>
        </is>
      </c>
      <c r="I35" s="17" t="inlineStr"/>
      <c r="J35" s="17" t="inlineStr">
        <is>
          <t>무매칭</t>
        </is>
      </c>
      <c r="K35" s="17" t="n">
        <v>0</v>
      </c>
      <c r="L35" s="17" t="inlineStr">
        <is>
          <t>제조소상세 무매칭</t>
        </is>
      </c>
      <c r="M35" s="17" t="inlineStr">
        <is>
          <t>수기 주소 확인 후 확정</t>
        </is>
      </c>
      <c r="N35" s="17" t="inlineStr"/>
      <c r="O35" s="17" t="inlineStr"/>
      <c r="P35" s="17" t="inlineStr"/>
    </row>
  </sheetData>
  <autoFilter ref="A1:P3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20" customWidth="1" min="3" max="3"/>
    <col width="12" customWidth="1" min="4" max="4"/>
    <col width="14" customWidth="1" min="5" max="5"/>
    <col width="9" customWidth="1" min="6" max="6"/>
    <col width="24" customWidth="1" min="7" max="7"/>
    <col width="10" customWidth="1" min="8" max="8"/>
    <col width="18" customWidth="1" min="9" max="9"/>
    <col width="24" customWidth="1" min="10" max="10"/>
    <col width="9" customWidth="1" min="11" max="11"/>
    <col width="11" customWidth="1" min="12" max="12"/>
  </cols>
  <sheetData>
    <row r="1">
      <c r="A1" s="19" t="inlineStr">
        <is>
          <t>COMPANY_ID</t>
        </is>
      </c>
      <c r="B1" s="19" t="inlineStr">
        <is>
          <t>SITE_ID</t>
        </is>
      </c>
      <c r="C1" s="19" t="inlineStr">
        <is>
          <t>대표 업체명</t>
        </is>
      </c>
      <c r="D1" s="19" t="inlineStr">
        <is>
          <t>공장명</t>
        </is>
      </c>
      <c r="E1" s="19" t="inlineStr">
        <is>
          <t>누락필드</t>
        </is>
      </c>
      <c r="F1" s="19" t="inlineStr">
        <is>
          <t>현재값</t>
        </is>
      </c>
      <c r="G1" s="19" t="inlineStr">
        <is>
          <t>누락사유</t>
        </is>
      </c>
      <c r="H1" s="19" t="inlineStr">
        <is>
          <t>조사시도여부</t>
        </is>
      </c>
      <c r="I1" s="19" t="inlineStr">
        <is>
          <t>조사출처</t>
        </is>
      </c>
      <c r="J1" s="19" t="inlineStr">
        <is>
          <t>권장추가조사</t>
        </is>
      </c>
      <c r="K1" s="19" t="inlineStr">
        <is>
          <t>우선순위</t>
        </is>
      </c>
      <c r="L1" s="19" t="inlineStr">
        <is>
          <t>최종확인일</t>
        </is>
      </c>
    </row>
    <row r="2">
      <c r="A2" s="17" t="inlineStr">
        <is>
          <t>C001</t>
        </is>
      </c>
      <c r="B2" s="17" t="inlineStr"/>
      <c r="C2" s="17" t="inlineStr">
        <is>
          <t>이연제약(주)</t>
        </is>
      </c>
      <c r="D2" s="17" t="inlineStr"/>
      <c r="E2" s="17" t="inlineStr">
        <is>
          <t>최근매출(억원)</t>
        </is>
      </c>
      <c r="F2" s="17" t="inlineStr">
        <is>
          <t>미확인</t>
        </is>
      </c>
      <c r="G2" s="17" t="inlineStr">
        <is>
          <t>웹조사 자동화 실패(세션한도)</t>
        </is>
      </c>
      <c r="H2" s="17" t="inlineStr">
        <is>
          <t>N</t>
        </is>
      </c>
      <c r="I2" s="17" t="inlineStr">
        <is>
          <t>DART 사업보고서</t>
        </is>
      </c>
      <c r="J2" s="17" t="inlineStr">
        <is>
          <t>DART 사업보고서에서 확인</t>
        </is>
      </c>
      <c r="K2" s="17" t="inlineStr">
        <is>
          <t>낮음</t>
        </is>
      </c>
      <c r="L2" s="17" t="inlineStr"/>
    </row>
    <row r="3">
      <c r="A3" s="17" t="inlineStr">
        <is>
          <t>C001</t>
        </is>
      </c>
      <c r="B3" s="17" t="inlineStr"/>
      <c r="C3" s="17" t="inlineStr">
        <is>
          <t>이연제약(주)</t>
        </is>
      </c>
      <c r="D3" s="17" t="inlineStr"/>
      <c r="E3" s="17" t="inlineStr">
        <is>
          <t>종업원수</t>
        </is>
      </c>
      <c r="F3" s="17" t="inlineStr">
        <is>
          <t>미확인</t>
        </is>
      </c>
      <c r="G3" s="17" t="inlineStr">
        <is>
          <t>웹조사 자동화 실패(세션한도)</t>
        </is>
      </c>
      <c r="H3" s="17" t="inlineStr">
        <is>
          <t>N</t>
        </is>
      </c>
      <c r="I3" s="17" t="inlineStr">
        <is>
          <t>DART/채용</t>
        </is>
      </c>
      <c r="J3" s="17" t="inlineStr">
        <is>
          <t>DART/채용에서 확인</t>
        </is>
      </c>
      <c r="K3" s="17" t="inlineStr">
        <is>
          <t>낮음</t>
        </is>
      </c>
      <c r="L3" s="17" t="inlineStr"/>
    </row>
    <row r="4">
      <c r="A4" s="17" t="inlineStr">
        <is>
          <t>C001</t>
        </is>
      </c>
      <c r="B4" s="17" t="inlineStr"/>
      <c r="C4" s="17" t="inlineStr">
        <is>
          <t>이연제약(주)</t>
        </is>
      </c>
      <c r="D4" s="17" t="inlineStr"/>
      <c r="E4" s="17" t="inlineStr">
        <is>
          <t>수출여부</t>
        </is>
      </c>
      <c r="F4" s="17" t="inlineStr">
        <is>
          <t>미확인</t>
        </is>
      </c>
      <c r="G4" s="17" t="inlineStr">
        <is>
          <t>웹조사 자동화 실패(세션한도)</t>
        </is>
      </c>
      <c r="H4" s="17" t="inlineStr">
        <is>
          <t>N</t>
        </is>
      </c>
      <c r="I4" s="17" t="inlineStr">
        <is>
          <t>회사 공시·홈페이지</t>
        </is>
      </c>
      <c r="J4" s="17" t="inlineStr">
        <is>
          <t>회사 공시·홈페이지에서 확인</t>
        </is>
      </c>
      <c r="K4" s="17" t="inlineStr">
        <is>
          <t>낮음</t>
        </is>
      </c>
      <c r="L4" s="17" t="inlineStr"/>
    </row>
    <row r="5">
      <c r="A5" s="17" t="inlineStr">
        <is>
          <t>C001</t>
        </is>
      </c>
      <c r="B5" s="17" t="inlineStr"/>
      <c r="C5" s="17" t="inlineStr">
        <is>
          <t>이연제약(주)</t>
        </is>
      </c>
      <c r="D5" s="17" t="inlineStr"/>
      <c r="E5" s="17" t="inlineStr">
        <is>
          <t>FDA·EMA 실사</t>
        </is>
      </c>
      <c r="F5" s="17" t="inlineStr">
        <is>
          <t>미확인</t>
        </is>
      </c>
      <c r="G5" s="17" t="inlineStr">
        <is>
          <t>웹조사 자동화 실패(세션한도)</t>
        </is>
      </c>
      <c r="H5" s="17" t="inlineStr">
        <is>
          <t>N</t>
        </is>
      </c>
      <c r="I5" s="17" t="inlineStr">
        <is>
          <t>FDA Inspection DB</t>
        </is>
      </c>
      <c r="J5" s="17" t="inlineStr">
        <is>
          <t>FDA Inspection DB에서 확인</t>
        </is>
      </c>
      <c r="K5" s="17" t="inlineStr">
        <is>
          <t>낮음</t>
        </is>
      </c>
      <c r="L5" s="17" t="inlineStr"/>
    </row>
    <row r="6">
      <c r="A6" s="17" t="inlineStr">
        <is>
          <t>C001</t>
        </is>
      </c>
      <c r="B6" s="17" t="inlineStr"/>
      <c r="C6" s="17" t="inlineStr">
        <is>
          <t>이연제약(주)</t>
        </is>
      </c>
      <c r="D6" s="17" t="inlineStr"/>
      <c r="E6" s="17" t="inlineStr">
        <is>
          <t>CMO·CDMO</t>
        </is>
      </c>
      <c r="F6" s="17" t="inlineStr">
        <is>
          <t>미확인</t>
        </is>
      </c>
      <c r="G6" s="17" t="inlineStr">
        <is>
          <t>웹조사 자동화 실패(세션한도)</t>
        </is>
      </c>
      <c r="H6" s="17" t="inlineStr">
        <is>
          <t>N</t>
        </is>
      </c>
      <c r="I6" s="17" t="inlineStr">
        <is>
          <t>회사 홈페이지</t>
        </is>
      </c>
      <c r="J6" s="17" t="inlineStr">
        <is>
          <t>회사 홈페이지에서 확인</t>
        </is>
      </c>
      <c r="K6" s="17" t="inlineStr">
        <is>
          <t>낮음</t>
        </is>
      </c>
      <c r="L6" s="17" t="inlineStr"/>
    </row>
    <row r="7">
      <c r="A7" s="17" t="inlineStr">
        <is>
          <t>C001</t>
        </is>
      </c>
      <c r="B7" s="17" t="inlineStr"/>
      <c r="C7" s="17" t="inlineStr">
        <is>
          <t>이연제약(주)</t>
        </is>
      </c>
      <c r="D7" s="17" t="inlineStr"/>
      <c r="E7" s="17" t="inlineStr">
        <is>
          <t>신공장·증설</t>
        </is>
      </c>
      <c r="F7" s="17" t="inlineStr">
        <is>
          <t>미확인</t>
        </is>
      </c>
      <c r="G7" s="17" t="inlineStr">
        <is>
          <t>웹조사 자동화 실패(세션한도)</t>
        </is>
      </c>
      <c r="H7" s="17" t="inlineStr">
        <is>
          <t>N</t>
        </is>
      </c>
      <c r="I7" s="17" t="inlineStr">
        <is>
          <t>언론·지자체 발표</t>
        </is>
      </c>
      <c r="J7" s="17" t="inlineStr">
        <is>
          <t>언론·지자체 발표에서 확인</t>
        </is>
      </c>
      <c r="K7" s="17" t="inlineStr">
        <is>
          <t>낮음</t>
        </is>
      </c>
      <c r="L7" s="17" t="inlineStr"/>
    </row>
    <row r="8">
      <c r="A8" s="17" t="inlineStr">
        <is>
          <t>C002</t>
        </is>
      </c>
      <c r="B8" s="17" t="inlineStr"/>
      <c r="C8" s="17" t="inlineStr">
        <is>
          <t>한국원자력연구원</t>
        </is>
      </c>
      <c r="D8" s="17" t="inlineStr"/>
      <c r="E8" s="17" t="inlineStr">
        <is>
          <t>최근매출(억원)</t>
        </is>
      </c>
      <c r="F8" s="17" t="inlineStr">
        <is>
          <t>미확인</t>
        </is>
      </c>
      <c r="G8" s="17" t="inlineStr">
        <is>
          <t>웹조사 자동화 실패(세션한도)</t>
        </is>
      </c>
      <c r="H8" s="17" t="inlineStr">
        <is>
          <t>N</t>
        </is>
      </c>
      <c r="I8" s="17" t="inlineStr">
        <is>
          <t>DART 사업보고서</t>
        </is>
      </c>
      <c r="J8" s="17" t="inlineStr">
        <is>
          <t>DART 사업보고서에서 확인</t>
        </is>
      </c>
      <c r="K8" s="17" t="inlineStr">
        <is>
          <t>낮음</t>
        </is>
      </c>
      <c r="L8" s="17" t="inlineStr"/>
    </row>
    <row r="9">
      <c r="A9" s="17" t="inlineStr">
        <is>
          <t>C002</t>
        </is>
      </c>
      <c r="B9" s="17" t="inlineStr"/>
      <c r="C9" s="17" t="inlineStr">
        <is>
          <t>한국원자력연구원</t>
        </is>
      </c>
      <c r="D9" s="17" t="inlineStr"/>
      <c r="E9" s="17" t="inlineStr">
        <is>
          <t>종업원수</t>
        </is>
      </c>
      <c r="F9" s="17" t="inlineStr">
        <is>
          <t>미확인</t>
        </is>
      </c>
      <c r="G9" s="17" t="inlineStr">
        <is>
          <t>웹조사 자동화 실패(세션한도)</t>
        </is>
      </c>
      <c r="H9" s="17" t="inlineStr">
        <is>
          <t>N</t>
        </is>
      </c>
      <c r="I9" s="17" t="inlineStr">
        <is>
          <t>DART/채용</t>
        </is>
      </c>
      <c r="J9" s="17" t="inlineStr">
        <is>
          <t>DART/채용에서 확인</t>
        </is>
      </c>
      <c r="K9" s="17" t="inlineStr">
        <is>
          <t>낮음</t>
        </is>
      </c>
      <c r="L9" s="17" t="inlineStr"/>
    </row>
    <row r="10">
      <c r="A10" s="17" t="inlineStr">
        <is>
          <t>C002</t>
        </is>
      </c>
      <c r="B10" s="17" t="inlineStr"/>
      <c r="C10" s="17" t="inlineStr">
        <is>
          <t>한국원자력연구원</t>
        </is>
      </c>
      <c r="D10" s="17" t="inlineStr"/>
      <c r="E10" s="17" t="inlineStr">
        <is>
          <t>수출여부</t>
        </is>
      </c>
      <c r="F10" s="17" t="inlineStr">
        <is>
          <t>미확인</t>
        </is>
      </c>
      <c r="G10" s="17" t="inlineStr">
        <is>
          <t>웹조사 자동화 실패(세션한도)</t>
        </is>
      </c>
      <c r="H10" s="17" t="inlineStr">
        <is>
          <t>N</t>
        </is>
      </c>
      <c r="I10" s="17" t="inlineStr">
        <is>
          <t>회사 공시·홈페이지</t>
        </is>
      </c>
      <c r="J10" s="17" t="inlineStr">
        <is>
          <t>회사 공시·홈페이지에서 확인</t>
        </is>
      </c>
      <c r="K10" s="17" t="inlineStr">
        <is>
          <t>낮음</t>
        </is>
      </c>
      <c r="L10" s="17" t="inlineStr"/>
    </row>
    <row r="11">
      <c r="A11" s="17" t="inlineStr">
        <is>
          <t>C002</t>
        </is>
      </c>
      <c r="B11" s="17" t="inlineStr"/>
      <c r="C11" s="17" t="inlineStr">
        <is>
          <t>한국원자력연구원</t>
        </is>
      </c>
      <c r="D11" s="17" t="inlineStr"/>
      <c r="E11" s="17" t="inlineStr">
        <is>
          <t>FDA·EMA 실사</t>
        </is>
      </c>
      <c r="F11" s="17" t="inlineStr">
        <is>
          <t>미확인</t>
        </is>
      </c>
      <c r="G11" s="17" t="inlineStr">
        <is>
          <t>웹조사 자동화 실패(세션한도)</t>
        </is>
      </c>
      <c r="H11" s="17" t="inlineStr">
        <is>
          <t>N</t>
        </is>
      </c>
      <c r="I11" s="17" t="inlineStr">
        <is>
          <t>FDA Inspection DB</t>
        </is>
      </c>
      <c r="J11" s="17" t="inlineStr">
        <is>
          <t>FDA Inspection DB에서 확인</t>
        </is>
      </c>
      <c r="K11" s="17" t="inlineStr">
        <is>
          <t>낮음</t>
        </is>
      </c>
      <c r="L11" s="17" t="inlineStr"/>
    </row>
    <row r="12">
      <c r="A12" s="17" t="inlineStr">
        <is>
          <t>C002</t>
        </is>
      </c>
      <c r="B12" s="17" t="inlineStr"/>
      <c r="C12" s="17" t="inlineStr">
        <is>
          <t>한국원자력연구원</t>
        </is>
      </c>
      <c r="D12" s="17" t="inlineStr"/>
      <c r="E12" s="17" t="inlineStr">
        <is>
          <t>CMO·CDMO</t>
        </is>
      </c>
      <c r="F12" s="17" t="inlineStr">
        <is>
          <t>미확인</t>
        </is>
      </c>
      <c r="G12" s="17" t="inlineStr">
        <is>
          <t>웹조사 자동화 실패(세션한도)</t>
        </is>
      </c>
      <c r="H12" s="17" t="inlineStr">
        <is>
          <t>N</t>
        </is>
      </c>
      <c r="I12" s="17" t="inlineStr">
        <is>
          <t>회사 홈페이지</t>
        </is>
      </c>
      <c r="J12" s="17" t="inlineStr">
        <is>
          <t>회사 홈페이지에서 확인</t>
        </is>
      </c>
      <c r="K12" s="17" t="inlineStr">
        <is>
          <t>낮음</t>
        </is>
      </c>
      <c r="L12" s="17" t="inlineStr"/>
    </row>
    <row r="13">
      <c r="A13" s="17" t="inlineStr">
        <is>
          <t>C002</t>
        </is>
      </c>
      <c r="B13" s="17" t="inlineStr"/>
      <c r="C13" s="17" t="inlineStr">
        <is>
          <t>한국원자력연구원</t>
        </is>
      </c>
      <c r="D13" s="17" t="inlineStr"/>
      <c r="E13" s="17" t="inlineStr">
        <is>
          <t>신공장·증설</t>
        </is>
      </c>
      <c r="F13" s="17" t="inlineStr">
        <is>
          <t>미확인</t>
        </is>
      </c>
      <c r="G13" s="17" t="inlineStr">
        <is>
          <t>웹조사 자동화 실패(세션한도)</t>
        </is>
      </c>
      <c r="H13" s="17" t="inlineStr">
        <is>
          <t>N</t>
        </is>
      </c>
      <c r="I13" s="17" t="inlineStr">
        <is>
          <t>언론·지자체 발표</t>
        </is>
      </c>
      <c r="J13" s="17" t="inlineStr">
        <is>
          <t>언론·지자체 발표에서 확인</t>
        </is>
      </c>
      <c r="K13" s="17" t="inlineStr">
        <is>
          <t>낮음</t>
        </is>
      </c>
      <c r="L13" s="17" t="inlineStr"/>
    </row>
    <row r="14">
      <c r="A14" s="17" t="inlineStr">
        <is>
          <t>C003</t>
        </is>
      </c>
      <c r="B14" s="17" t="inlineStr"/>
      <c r="C14" s="17" t="inlineStr">
        <is>
          <t>(주)엔바이로코리아</t>
        </is>
      </c>
      <c r="D14" s="17" t="inlineStr"/>
      <c r="E14" s="17" t="inlineStr">
        <is>
          <t>최근매출(억원)</t>
        </is>
      </c>
      <c r="F14" s="17" t="inlineStr">
        <is>
          <t>미확인</t>
        </is>
      </c>
      <c r="G14" s="17" t="inlineStr">
        <is>
          <t>웹조사 자동화 실패(세션한도)</t>
        </is>
      </c>
      <c r="H14" s="17" t="inlineStr">
        <is>
          <t>N</t>
        </is>
      </c>
      <c r="I14" s="17" t="inlineStr">
        <is>
          <t>DART 사업보고서</t>
        </is>
      </c>
      <c r="J14" s="17" t="inlineStr">
        <is>
          <t>DART 사업보고서에서 확인</t>
        </is>
      </c>
      <c r="K14" s="17" t="inlineStr">
        <is>
          <t>낮음</t>
        </is>
      </c>
      <c r="L14" s="17" t="inlineStr"/>
    </row>
    <row r="15">
      <c r="A15" s="17" t="inlineStr">
        <is>
          <t>C003</t>
        </is>
      </c>
      <c r="B15" s="17" t="inlineStr"/>
      <c r="C15" s="17" t="inlineStr">
        <is>
          <t>(주)엔바이로코리아</t>
        </is>
      </c>
      <c r="D15" s="17" t="inlineStr"/>
      <c r="E15" s="17" t="inlineStr">
        <is>
          <t>종업원수</t>
        </is>
      </c>
      <c r="F15" s="17" t="inlineStr">
        <is>
          <t>미확인</t>
        </is>
      </c>
      <c r="G15" s="17" t="inlineStr">
        <is>
          <t>웹조사 자동화 실패(세션한도)</t>
        </is>
      </c>
      <c r="H15" s="17" t="inlineStr">
        <is>
          <t>N</t>
        </is>
      </c>
      <c r="I15" s="17" t="inlineStr">
        <is>
          <t>DART/채용</t>
        </is>
      </c>
      <c r="J15" s="17" t="inlineStr">
        <is>
          <t>DART/채용에서 확인</t>
        </is>
      </c>
      <c r="K15" s="17" t="inlineStr">
        <is>
          <t>낮음</t>
        </is>
      </c>
      <c r="L15" s="17" t="inlineStr"/>
    </row>
    <row r="16">
      <c r="A16" s="17" t="inlineStr">
        <is>
          <t>C003</t>
        </is>
      </c>
      <c r="B16" s="17" t="inlineStr"/>
      <c r="C16" s="17" t="inlineStr">
        <is>
          <t>(주)엔바이로코리아</t>
        </is>
      </c>
      <c r="D16" s="17" t="inlineStr"/>
      <c r="E16" s="17" t="inlineStr">
        <is>
          <t>수출여부</t>
        </is>
      </c>
      <c r="F16" s="17" t="inlineStr">
        <is>
          <t>미확인</t>
        </is>
      </c>
      <c r="G16" s="17" t="inlineStr">
        <is>
          <t>웹조사 자동화 실패(세션한도)</t>
        </is>
      </c>
      <c r="H16" s="17" t="inlineStr">
        <is>
          <t>N</t>
        </is>
      </c>
      <c r="I16" s="17" t="inlineStr">
        <is>
          <t>회사 공시·홈페이지</t>
        </is>
      </c>
      <c r="J16" s="17" t="inlineStr">
        <is>
          <t>회사 공시·홈페이지에서 확인</t>
        </is>
      </c>
      <c r="K16" s="17" t="inlineStr">
        <is>
          <t>낮음</t>
        </is>
      </c>
      <c r="L16" s="17" t="inlineStr"/>
    </row>
    <row r="17">
      <c r="A17" s="17" t="inlineStr">
        <is>
          <t>C003</t>
        </is>
      </c>
      <c r="B17" s="17" t="inlineStr"/>
      <c r="C17" s="17" t="inlineStr">
        <is>
          <t>(주)엔바이로코리아</t>
        </is>
      </c>
      <c r="D17" s="17" t="inlineStr"/>
      <c r="E17" s="17" t="inlineStr">
        <is>
          <t>FDA·EMA 실사</t>
        </is>
      </c>
      <c r="F17" s="17" t="inlineStr">
        <is>
          <t>미확인</t>
        </is>
      </c>
      <c r="G17" s="17" t="inlineStr">
        <is>
          <t>웹조사 자동화 실패(세션한도)</t>
        </is>
      </c>
      <c r="H17" s="17" t="inlineStr">
        <is>
          <t>N</t>
        </is>
      </c>
      <c r="I17" s="17" t="inlineStr">
        <is>
          <t>FDA Inspection DB</t>
        </is>
      </c>
      <c r="J17" s="17" t="inlineStr">
        <is>
          <t>FDA Inspection DB에서 확인</t>
        </is>
      </c>
      <c r="K17" s="17" t="inlineStr">
        <is>
          <t>낮음</t>
        </is>
      </c>
      <c r="L17" s="17" t="inlineStr"/>
    </row>
    <row r="18">
      <c r="A18" s="17" t="inlineStr">
        <is>
          <t>C003</t>
        </is>
      </c>
      <c r="B18" s="17" t="inlineStr"/>
      <c r="C18" s="17" t="inlineStr">
        <is>
          <t>(주)엔바이로코리아</t>
        </is>
      </c>
      <c r="D18" s="17" t="inlineStr"/>
      <c r="E18" s="17" t="inlineStr">
        <is>
          <t>CMO·CDMO</t>
        </is>
      </c>
      <c r="F18" s="17" t="inlineStr">
        <is>
          <t>미확인</t>
        </is>
      </c>
      <c r="G18" s="17" t="inlineStr">
        <is>
          <t>웹조사 자동화 실패(세션한도)</t>
        </is>
      </c>
      <c r="H18" s="17" t="inlineStr">
        <is>
          <t>N</t>
        </is>
      </c>
      <c r="I18" s="17" t="inlineStr">
        <is>
          <t>회사 홈페이지</t>
        </is>
      </c>
      <c r="J18" s="17" t="inlineStr">
        <is>
          <t>회사 홈페이지에서 확인</t>
        </is>
      </c>
      <c r="K18" s="17" t="inlineStr">
        <is>
          <t>낮음</t>
        </is>
      </c>
      <c r="L18" s="17" t="inlineStr"/>
    </row>
    <row r="19">
      <c r="A19" s="17" t="inlineStr">
        <is>
          <t>C003</t>
        </is>
      </c>
      <c r="B19" s="17" t="inlineStr"/>
      <c r="C19" s="17" t="inlineStr">
        <is>
          <t>(주)엔바이로코리아</t>
        </is>
      </c>
      <c r="D19" s="17" t="inlineStr"/>
      <c r="E19" s="17" t="inlineStr">
        <is>
          <t>신공장·증설</t>
        </is>
      </c>
      <c r="F19" s="17" t="inlineStr">
        <is>
          <t>미확인</t>
        </is>
      </c>
      <c r="G19" s="17" t="inlineStr">
        <is>
          <t>웹조사 자동화 실패(세션한도)</t>
        </is>
      </c>
      <c r="H19" s="17" t="inlineStr">
        <is>
          <t>N</t>
        </is>
      </c>
      <c r="I19" s="17" t="inlineStr">
        <is>
          <t>언론·지자체 발표</t>
        </is>
      </c>
      <c r="J19" s="17" t="inlineStr">
        <is>
          <t>언론·지자체 발표에서 확인</t>
        </is>
      </c>
      <c r="K19" s="17" t="inlineStr">
        <is>
          <t>낮음</t>
        </is>
      </c>
      <c r="L19" s="17" t="inlineStr"/>
    </row>
    <row r="20">
      <c r="A20" s="17" t="inlineStr">
        <is>
          <t>C004</t>
        </is>
      </c>
      <c r="B20" s="17" t="inlineStr"/>
      <c r="C20" s="17" t="inlineStr">
        <is>
          <t>보란파마</t>
        </is>
      </c>
      <c r="D20" s="17" t="inlineStr"/>
      <c r="E20" s="17" t="inlineStr">
        <is>
          <t>최근매출(억원)</t>
        </is>
      </c>
      <c r="F20" s="17" t="inlineStr">
        <is>
          <t>미확인</t>
        </is>
      </c>
      <c r="G20" s="17" t="inlineStr">
        <is>
          <t>웹조사 자동화 실패(세션한도)</t>
        </is>
      </c>
      <c r="H20" s="17" t="inlineStr">
        <is>
          <t>N</t>
        </is>
      </c>
      <c r="I20" s="17" t="inlineStr">
        <is>
          <t>DART 사업보고서</t>
        </is>
      </c>
      <c r="J20" s="17" t="inlineStr">
        <is>
          <t>DART 사업보고서에서 확인</t>
        </is>
      </c>
      <c r="K20" s="17" t="inlineStr">
        <is>
          <t>낮음</t>
        </is>
      </c>
      <c r="L20" s="17" t="inlineStr"/>
    </row>
    <row r="21">
      <c r="A21" s="17" t="inlineStr">
        <is>
          <t>C004</t>
        </is>
      </c>
      <c r="B21" s="17" t="inlineStr"/>
      <c r="C21" s="17" t="inlineStr">
        <is>
          <t>보란파마</t>
        </is>
      </c>
      <c r="D21" s="17" t="inlineStr"/>
      <c r="E21" s="17" t="inlineStr">
        <is>
          <t>종업원수</t>
        </is>
      </c>
      <c r="F21" s="17" t="inlineStr">
        <is>
          <t>미확인</t>
        </is>
      </c>
      <c r="G21" s="17" t="inlineStr">
        <is>
          <t>웹조사 자동화 실패(세션한도)</t>
        </is>
      </c>
      <c r="H21" s="17" t="inlineStr">
        <is>
          <t>N</t>
        </is>
      </c>
      <c r="I21" s="17" t="inlineStr">
        <is>
          <t>DART/채용</t>
        </is>
      </c>
      <c r="J21" s="17" t="inlineStr">
        <is>
          <t>DART/채용에서 확인</t>
        </is>
      </c>
      <c r="K21" s="17" t="inlineStr">
        <is>
          <t>낮음</t>
        </is>
      </c>
      <c r="L21" s="17" t="inlineStr"/>
    </row>
    <row r="22">
      <c r="A22" s="17" t="inlineStr">
        <is>
          <t>C004</t>
        </is>
      </c>
      <c r="B22" s="17" t="inlineStr"/>
      <c r="C22" s="17" t="inlineStr">
        <is>
          <t>보란파마</t>
        </is>
      </c>
      <c r="D22" s="17" t="inlineStr"/>
      <c r="E22" s="17" t="inlineStr">
        <is>
          <t>수출여부</t>
        </is>
      </c>
      <c r="F22" s="17" t="inlineStr">
        <is>
          <t>미확인</t>
        </is>
      </c>
      <c r="G22" s="17" t="inlineStr">
        <is>
          <t>웹조사 자동화 실패(세션한도)</t>
        </is>
      </c>
      <c r="H22" s="17" t="inlineStr">
        <is>
          <t>N</t>
        </is>
      </c>
      <c r="I22" s="17" t="inlineStr">
        <is>
          <t>회사 공시·홈페이지</t>
        </is>
      </c>
      <c r="J22" s="17" t="inlineStr">
        <is>
          <t>회사 공시·홈페이지에서 확인</t>
        </is>
      </c>
      <c r="K22" s="17" t="inlineStr">
        <is>
          <t>낮음</t>
        </is>
      </c>
      <c r="L22" s="17" t="inlineStr"/>
    </row>
    <row r="23">
      <c r="A23" s="17" t="inlineStr">
        <is>
          <t>C004</t>
        </is>
      </c>
      <c r="B23" s="17" t="inlineStr"/>
      <c r="C23" s="17" t="inlineStr">
        <is>
          <t>보란파마</t>
        </is>
      </c>
      <c r="D23" s="17" t="inlineStr"/>
      <c r="E23" s="17" t="inlineStr">
        <is>
          <t>FDA·EMA 실사</t>
        </is>
      </c>
      <c r="F23" s="17" t="inlineStr">
        <is>
          <t>미확인</t>
        </is>
      </c>
      <c r="G23" s="17" t="inlineStr">
        <is>
          <t>웹조사 자동화 실패(세션한도)</t>
        </is>
      </c>
      <c r="H23" s="17" t="inlineStr">
        <is>
          <t>N</t>
        </is>
      </c>
      <c r="I23" s="17" t="inlineStr">
        <is>
          <t>FDA Inspection DB</t>
        </is>
      </c>
      <c r="J23" s="17" t="inlineStr">
        <is>
          <t>FDA Inspection DB에서 확인</t>
        </is>
      </c>
      <c r="K23" s="17" t="inlineStr">
        <is>
          <t>낮음</t>
        </is>
      </c>
      <c r="L23" s="17" t="inlineStr"/>
    </row>
    <row r="24">
      <c r="A24" s="17" t="inlineStr">
        <is>
          <t>C004</t>
        </is>
      </c>
      <c r="B24" s="17" t="inlineStr"/>
      <c r="C24" s="17" t="inlineStr">
        <is>
          <t>보란파마</t>
        </is>
      </c>
      <c r="D24" s="17" t="inlineStr"/>
      <c r="E24" s="17" t="inlineStr">
        <is>
          <t>CMO·CDMO</t>
        </is>
      </c>
      <c r="F24" s="17" t="inlineStr">
        <is>
          <t>미확인</t>
        </is>
      </c>
      <c r="G24" s="17" t="inlineStr">
        <is>
          <t>웹조사 자동화 실패(세션한도)</t>
        </is>
      </c>
      <c r="H24" s="17" t="inlineStr">
        <is>
          <t>N</t>
        </is>
      </c>
      <c r="I24" s="17" t="inlineStr">
        <is>
          <t>회사 홈페이지</t>
        </is>
      </c>
      <c r="J24" s="17" t="inlineStr">
        <is>
          <t>회사 홈페이지에서 확인</t>
        </is>
      </c>
      <c r="K24" s="17" t="inlineStr">
        <is>
          <t>낮음</t>
        </is>
      </c>
      <c r="L24" s="17" t="inlineStr"/>
    </row>
    <row r="25">
      <c r="A25" s="17" t="inlineStr">
        <is>
          <t>C004</t>
        </is>
      </c>
      <c r="B25" s="17" t="inlineStr"/>
      <c r="C25" s="17" t="inlineStr">
        <is>
          <t>보란파마</t>
        </is>
      </c>
      <c r="D25" s="17" t="inlineStr"/>
      <c r="E25" s="17" t="inlineStr">
        <is>
          <t>신공장·증설</t>
        </is>
      </c>
      <c r="F25" s="17" t="inlineStr">
        <is>
          <t>미확인</t>
        </is>
      </c>
      <c r="G25" s="17" t="inlineStr">
        <is>
          <t>웹조사 자동화 실패(세션한도)</t>
        </is>
      </c>
      <c r="H25" s="17" t="inlineStr">
        <is>
          <t>N</t>
        </is>
      </c>
      <c r="I25" s="17" t="inlineStr">
        <is>
          <t>언론·지자체 발표</t>
        </is>
      </c>
      <c r="J25" s="17" t="inlineStr">
        <is>
          <t>언론·지자체 발표에서 확인</t>
        </is>
      </c>
      <c r="K25" s="17" t="inlineStr">
        <is>
          <t>낮음</t>
        </is>
      </c>
      <c r="L25" s="17" t="inlineStr"/>
    </row>
    <row r="26">
      <c r="A26" s="17" t="inlineStr">
        <is>
          <t>C005</t>
        </is>
      </c>
      <c r="B26" s="17" t="inlineStr"/>
      <c r="C26" s="17" t="inlineStr">
        <is>
          <t>(주)애거슨바이오</t>
        </is>
      </c>
      <c r="D26" s="17" t="inlineStr"/>
      <c r="E26" s="17" t="inlineStr">
        <is>
          <t>최근매출(억원)</t>
        </is>
      </c>
      <c r="F26" s="17" t="inlineStr">
        <is>
          <t>미확인</t>
        </is>
      </c>
      <c r="G26" s="17" t="inlineStr">
        <is>
          <t>웹조사 자동화 실패(세션한도)</t>
        </is>
      </c>
      <c r="H26" s="17" t="inlineStr">
        <is>
          <t>N</t>
        </is>
      </c>
      <c r="I26" s="17" t="inlineStr">
        <is>
          <t>DART 사업보고서</t>
        </is>
      </c>
      <c r="J26" s="17" t="inlineStr">
        <is>
          <t>DART 사업보고서에서 확인</t>
        </is>
      </c>
      <c r="K26" s="17" t="inlineStr">
        <is>
          <t>낮음</t>
        </is>
      </c>
      <c r="L26" s="17" t="inlineStr"/>
    </row>
    <row r="27">
      <c r="A27" s="17" t="inlineStr">
        <is>
          <t>C005</t>
        </is>
      </c>
      <c r="B27" s="17" t="inlineStr"/>
      <c r="C27" s="17" t="inlineStr">
        <is>
          <t>(주)애거슨바이오</t>
        </is>
      </c>
      <c r="D27" s="17" t="inlineStr"/>
      <c r="E27" s="17" t="inlineStr">
        <is>
          <t>종업원수</t>
        </is>
      </c>
      <c r="F27" s="17" t="inlineStr">
        <is>
          <t>미확인</t>
        </is>
      </c>
      <c r="G27" s="17" t="inlineStr">
        <is>
          <t>웹조사 자동화 실패(세션한도)</t>
        </is>
      </c>
      <c r="H27" s="17" t="inlineStr">
        <is>
          <t>N</t>
        </is>
      </c>
      <c r="I27" s="17" t="inlineStr">
        <is>
          <t>DART/채용</t>
        </is>
      </c>
      <c r="J27" s="17" t="inlineStr">
        <is>
          <t>DART/채용에서 확인</t>
        </is>
      </c>
      <c r="K27" s="17" t="inlineStr">
        <is>
          <t>낮음</t>
        </is>
      </c>
      <c r="L27" s="17" t="inlineStr"/>
    </row>
    <row r="28">
      <c r="A28" s="17" t="inlineStr">
        <is>
          <t>C005</t>
        </is>
      </c>
      <c r="B28" s="17" t="inlineStr"/>
      <c r="C28" s="17" t="inlineStr">
        <is>
          <t>(주)애거슨바이오</t>
        </is>
      </c>
      <c r="D28" s="17" t="inlineStr"/>
      <c r="E28" s="17" t="inlineStr">
        <is>
          <t>수출여부</t>
        </is>
      </c>
      <c r="F28" s="17" t="inlineStr">
        <is>
          <t>미확인</t>
        </is>
      </c>
      <c r="G28" s="17" t="inlineStr">
        <is>
          <t>웹조사 자동화 실패(세션한도)</t>
        </is>
      </c>
      <c r="H28" s="17" t="inlineStr">
        <is>
          <t>N</t>
        </is>
      </c>
      <c r="I28" s="17" t="inlineStr">
        <is>
          <t>회사 공시·홈페이지</t>
        </is>
      </c>
      <c r="J28" s="17" t="inlineStr">
        <is>
          <t>회사 공시·홈페이지에서 확인</t>
        </is>
      </c>
      <c r="K28" s="17" t="inlineStr">
        <is>
          <t>낮음</t>
        </is>
      </c>
      <c r="L28" s="17" t="inlineStr"/>
    </row>
    <row r="29">
      <c r="A29" s="17" t="inlineStr">
        <is>
          <t>C005</t>
        </is>
      </c>
      <c r="B29" s="17" t="inlineStr"/>
      <c r="C29" s="17" t="inlineStr">
        <is>
          <t>(주)애거슨바이오</t>
        </is>
      </c>
      <c r="D29" s="17" t="inlineStr"/>
      <c r="E29" s="17" t="inlineStr">
        <is>
          <t>FDA·EMA 실사</t>
        </is>
      </c>
      <c r="F29" s="17" t="inlineStr">
        <is>
          <t>미확인</t>
        </is>
      </c>
      <c r="G29" s="17" t="inlineStr">
        <is>
          <t>웹조사 자동화 실패(세션한도)</t>
        </is>
      </c>
      <c r="H29" s="17" t="inlineStr">
        <is>
          <t>N</t>
        </is>
      </c>
      <c r="I29" s="17" t="inlineStr">
        <is>
          <t>FDA Inspection DB</t>
        </is>
      </c>
      <c r="J29" s="17" t="inlineStr">
        <is>
          <t>FDA Inspection DB에서 확인</t>
        </is>
      </c>
      <c r="K29" s="17" t="inlineStr">
        <is>
          <t>낮음</t>
        </is>
      </c>
      <c r="L29" s="17" t="inlineStr"/>
    </row>
    <row r="30">
      <c r="A30" s="17" t="inlineStr">
        <is>
          <t>C005</t>
        </is>
      </c>
      <c r="B30" s="17" t="inlineStr"/>
      <c r="C30" s="17" t="inlineStr">
        <is>
          <t>(주)애거슨바이오</t>
        </is>
      </c>
      <c r="D30" s="17" t="inlineStr"/>
      <c r="E30" s="17" t="inlineStr">
        <is>
          <t>CMO·CDMO</t>
        </is>
      </c>
      <c r="F30" s="17" t="inlineStr">
        <is>
          <t>미확인</t>
        </is>
      </c>
      <c r="G30" s="17" t="inlineStr">
        <is>
          <t>웹조사 자동화 실패(세션한도)</t>
        </is>
      </c>
      <c r="H30" s="17" t="inlineStr">
        <is>
          <t>N</t>
        </is>
      </c>
      <c r="I30" s="17" t="inlineStr">
        <is>
          <t>회사 홈페이지</t>
        </is>
      </c>
      <c r="J30" s="17" t="inlineStr">
        <is>
          <t>회사 홈페이지에서 확인</t>
        </is>
      </c>
      <c r="K30" s="17" t="inlineStr">
        <is>
          <t>낮음</t>
        </is>
      </c>
      <c r="L30" s="17" t="inlineStr"/>
    </row>
    <row r="31">
      <c r="A31" s="17" t="inlineStr">
        <is>
          <t>C005</t>
        </is>
      </c>
      <c r="B31" s="17" t="inlineStr"/>
      <c r="C31" s="17" t="inlineStr">
        <is>
          <t>(주)애거슨바이오</t>
        </is>
      </c>
      <c r="D31" s="17" t="inlineStr"/>
      <c r="E31" s="17" t="inlineStr">
        <is>
          <t>신공장·증설</t>
        </is>
      </c>
      <c r="F31" s="17" t="inlineStr">
        <is>
          <t>미확인</t>
        </is>
      </c>
      <c r="G31" s="17" t="inlineStr">
        <is>
          <t>웹조사 자동화 실패(세션한도)</t>
        </is>
      </c>
      <c r="H31" s="17" t="inlineStr">
        <is>
          <t>N</t>
        </is>
      </c>
      <c r="I31" s="17" t="inlineStr">
        <is>
          <t>언론·지자체 발표</t>
        </is>
      </c>
      <c r="J31" s="17" t="inlineStr">
        <is>
          <t>언론·지자체 발표에서 확인</t>
        </is>
      </c>
      <c r="K31" s="17" t="inlineStr">
        <is>
          <t>낮음</t>
        </is>
      </c>
      <c r="L31" s="17" t="inlineStr"/>
    </row>
    <row r="32">
      <c r="A32" s="17" t="inlineStr">
        <is>
          <t>C006</t>
        </is>
      </c>
      <c r="B32" s="17" t="inlineStr"/>
      <c r="C32" s="17" t="inlineStr">
        <is>
          <t>에스피씨(주)</t>
        </is>
      </c>
      <c r="D32" s="17" t="inlineStr"/>
      <c r="E32" s="17" t="inlineStr">
        <is>
          <t>최근매출(억원)</t>
        </is>
      </c>
      <c r="F32" s="17" t="inlineStr">
        <is>
          <t>미확인</t>
        </is>
      </c>
      <c r="G32" s="17" t="inlineStr">
        <is>
          <t>웹조사 자동화 실패(세션한도)</t>
        </is>
      </c>
      <c r="H32" s="17" t="inlineStr">
        <is>
          <t>N</t>
        </is>
      </c>
      <c r="I32" s="17" t="inlineStr">
        <is>
          <t>DART 사업보고서</t>
        </is>
      </c>
      <c r="J32" s="17" t="inlineStr">
        <is>
          <t>DART 사업보고서에서 확인</t>
        </is>
      </c>
      <c r="K32" s="17" t="inlineStr">
        <is>
          <t>낮음</t>
        </is>
      </c>
      <c r="L32" s="17" t="inlineStr"/>
    </row>
    <row r="33">
      <c r="A33" s="17" t="inlineStr">
        <is>
          <t>C006</t>
        </is>
      </c>
      <c r="B33" s="17" t="inlineStr"/>
      <c r="C33" s="17" t="inlineStr">
        <is>
          <t>에스피씨(주)</t>
        </is>
      </c>
      <c r="D33" s="17" t="inlineStr"/>
      <c r="E33" s="17" t="inlineStr">
        <is>
          <t>종업원수</t>
        </is>
      </c>
      <c r="F33" s="17" t="inlineStr">
        <is>
          <t>미확인</t>
        </is>
      </c>
      <c r="G33" s="17" t="inlineStr">
        <is>
          <t>웹조사 자동화 실패(세션한도)</t>
        </is>
      </c>
      <c r="H33" s="17" t="inlineStr">
        <is>
          <t>N</t>
        </is>
      </c>
      <c r="I33" s="17" t="inlineStr">
        <is>
          <t>DART/채용</t>
        </is>
      </c>
      <c r="J33" s="17" t="inlineStr">
        <is>
          <t>DART/채용에서 확인</t>
        </is>
      </c>
      <c r="K33" s="17" t="inlineStr">
        <is>
          <t>낮음</t>
        </is>
      </c>
      <c r="L33" s="17" t="inlineStr"/>
    </row>
    <row r="34">
      <c r="A34" s="17" t="inlineStr">
        <is>
          <t>C006</t>
        </is>
      </c>
      <c r="B34" s="17" t="inlineStr"/>
      <c r="C34" s="17" t="inlineStr">
        <is>
          <t>에스피씨(주)</t>
        </is>
      </c>
      <c r="D34" s="17" t="inlineStr"/>
      <c r="E34" s="17" t="inlineStr">
        <is>
          <t>수출여부</t>
        </is>
      </c>
      <c r="F34" s="17" t="inlineStr">
        <is>
          <t>미확인</t>
        </is>
      </c>
      <c r="G34" s="17" t="inlineStr">
        <is>
          <t>웹조사 자동화 실패(세션한도)</t>
        </is>
      </c>
      <c r="H34" s="17" t="inlineStr">
        <is>
          <t>N</t>
        </is>
      </c>
      <c r="I34" s="17" t="inlineStr">
        <is>
          <t>회사 공시·홈페이지</t>
        </is>
      </c>
      <c r="J34" s="17" t="inlineStr">
        <is>
          <t>회사 공시·홈페이지에서 확인</t>
        </is>
      </c>
      <c r="K34" s="17" t="inlineStr">
        <is>
          <t>낮음</t>
        </is>
      </c>
      <c r="L34" s="17" t="inlineStr"/>
    </row>
    <row r="35">
      <c r="A35" s="17" t="inlineStr">
        <is>
          <t>C006</t>
        </is>
      </c>
      <c r="B35" s="17" t="inlineStr"/>
      <c r="C35" s="17" t="inlineStr">
        <is>
          <t>에스피씨(주)</t>
        </is>
      </c>
      <c r="D35" s="17" t="inlineStr"/>
      <c r="E35" s="17" t="inlineStr">
        <is>
          <t>FDA·EMA 실사</t>
        </is>
      </c>
      <c r="F35" s="17" t="inlineStr">
        <is>
          <t>미확인</t>
        </is>
      </c>
      <c r="G35" s="17" t="inlineStr">
        <is>
          <t>웹조사 자동화 실패(세션한도)</t>
        </is>
      </c>
      <c r="H35" s="17" t="inlineStr">
        <is>
          <t>N</t>
        </is>
      </c>
      <c r="I35" s="17" t="inlineStr">
        <is>
          <t>FDA Inspection DB</t>
        </is>
      </c>
      <c r="J35" s="17" t="inlineStr">
        <is>
          <t>FDA Inspection DB에서 확인</t>
        </is>
      </c>
      <c r="K35" s="17" t="inlineStr">
        <is>
          <t>낮음</t>
        </is>
      </c>
      <c r="L35" s="17" t="inlineStr"/>
    </row>
    <row r="36">
      <c r="A36" s="17" t="inlineStr">
        <is>
          <t>C006</t>
        </is>
      </c>
      <c r="B36" s="17" t="inlineStr"/>
      <c r="C36" s="17" t="inlineStr">
        <is>
          <t>에스피씨(주)</t>
        </is>
      </c>
      <c r="D36" s="17" t="inlineStr"/>
      <c r="E36" s="17" t="inlineStr">
        <is>
          <t>CMO·CDMO</t>
        </is>
      </c>
      <c r="F36" s="17" t="inlineStr">
        <is>
          <t>미확인</t>
        </is>
      </c>
      <c r="G36" s="17" t="inlineStr">
        <is>
          <t>웹조사 자동화 실패(세션한도)</t>
        </is>
      </c>
      <c r="H36" s="17" t="inlineStr">
        <is>
          <t>N</t>
        </is>
      </c>
      <c r="I36" s="17" t="inlineStr">
        <is>
          <t>회사 홈페이지</t>
        </is>
      </c>
      <c r="J36" s="17" t="inlineStr">
        <is>
          <t>회사 홈페이지에서 확인</t>
        </is>
      </c>
      <c r="K36" s="17" t="inlineStr">
        <is>
          <t>낮음</t>
        </is>
      </c>
      <c r="L36" s="17" t="inlineStr"/>
    </row>
    <row r="37">
      <c r="A37" s="17" t="inlineStr">
        <is>
          <t>C006</t>
        </is>
      </c>
      <c r="B37" s="17" t="inlineStr"/>
      <c r="C37" s="17" t="inlineStr">
        <is>
          <t>에스피씨(주)</t>
        </is>
      </c>
      <c r="D37" s="17" t="inlineStr"/>
      <c r="E37" s="17" t="inlineStr">
        <is>
          <t>신공장·증설</t>
        </is>
      </c>
      <c r="F37" s="17" t="inlineStr">
        <is>
          <t>미확인</t>
        </is>
      </c>
      <c r="G37" s="17" t="inlineStr">
        <is>
          <t>웹조사 자동화 실패(세션한도)</t>
        </is>
      </c>
      <c r="H37" s="17" t="inlineStr">
        <is>
          <t>N</t>
        </is>
      </c>
      <c r="I37" s="17" t="inlineStr">
        <is>
          <t>언론·지자체 발표</t>
        </is>
      </c>
      <c r="J37" s="17" t="inlineStr">
        <is>
          <t>언론·지자체 발표에서 확인</t>
        </is>
      </c>
      <c r="K37" s="17" t="inlineStr">
        <is>
          <t>낮음</t>
        </is>
      </c>
      <c r="L37" s="17" t="inlineStr"/>
    </row>
    <row r="38">
      <c r="A38" s="17" t="inlineStr">
        <is>
          <t>C007</t>
        </is>
      </c>
      <c r="B38" s="17" t="inlineStr"/>
      <c r="C38" s="17" t="inlineStr">
        <is>
          <t>대성의료종합가스(주)</t>
        </is>
      </c>
      <c r="D38" s="17" t="inlineStr"/>
      <c r="E38" s="17" t="inlineStr">
        <is>
          <t>최근매출(억원)</t>
        </is>
      </c>
      <c r="F38" s="17" t="inlineStr">
        <is>
          <t>미확인</t>
        </is>
      </c>
      <c r="G38" s="17" t="inlineStr">
        <is>
          <t>웹조사 자동화 실패(세션한도)</t>
        </is>
      </c>
      <c r="H38" s="17" t="inlineStr">
        <is>
          <t>N</t>
        </is>
      </c>
      <c r="I38" s="17" t="inlineStr">
        <is>
          <t>DART 사업보고서</t>
        </is>
      </c>
      <c r="J38" s="17" t="inlineStr">
        <is>
          <t>DART 사업보고서에서 확인</t>
        </is>
      </c>
      <c r="K38" s="17" t="inlineStr">
        <is>
          <t>낮음</t>
        </is>
      </c>
      <c r="L38" s="17" t="inlineStr"/>
    </row>
    <row r="39">
      <c r="A39" s="17" t="inlineStr">
        <is>
          <t>C007</t>
        </is>
      </c>
      <c r="B39" s="17" t="inlineStr"/>
      <c r="C39" s="17" t="inlineStr">
        <is>
          <t>대성의료종합가스(주)</t>
        </is>
      </c>
      <c r="D39" s="17" t="inlineStr"/>
      <c r="E39" s="17" t="inlineStr">
        <is>
          <t>종업원수</t>
        </is>
      </c>
      <c r="F39" s="17" t="inlineStr">
        <is>
          <t>미확인</t>
        </is>
      </c>
      <c r="G39" s="17" t="inlineStr">
        <is>
          <t>웹조사 자동화 실패(세션한도)</t>
        </is>
      </c>
      <c r="H39" s="17" t="inlineStr">
        <is>
          <t>N</t>
        </is>
      </c>
      <c r="I39" s="17" t="inlineStr">
        <is>
          <t>DART/채용</t>
        </is>
      </c>
      <c r="J39" s="17" t="inlineStr">
        <is>
          <t>DART/채용에서 확인</t>
        </is>
      </c>
      <c r="K39" s="17" t="inlineStr">
        <is>
          <t>낮음</t>
        </is>
      </c>
      <c r="L39" s="17" t="inlineStr"/>
    </row>
    <row r="40">
      <c r="A40" s="17" t="inlineStr">
        <is>
          <t>C007</t>
        </is>
      </c>
      <c r="B40" s="17" t="inlineStr"/>
      <c r="C40" s="17" t="inlineStr">
        <is>
          <t>대성의료종합가스(주)</t>
        </is>
      </c>
      <c r="D40" s="17" t="inlineStr"/>
      <c r="E40" s="17" t="inlineStr">
        <is>
          <t>수출여부</t>
        </is>
      </c>
      <c r="F40" s="17" t="inlineStr">
        <is>
          <t>미확인</t>
        </is>
      </c>
      <c r="G40" s="17" t="inlineStr">
        <is>
          <t>웹조사 자동화 실패(세션한도)</t>
        </is>
      </c>
      <c r="H40" s="17" t="inlineStr">
        <is>
          <t>N</t>
        </is>
      </c>
      <c r="I40" s="17" t="inlineStr">
        <is>
          <t>회사 공시·홈페이지</t>
        </is>
      </c>
      <c r="J40" s="17" t="inlineStr">
        <is>
          <t>회사 공시·홈페이지에서 확인</t>
        </is>
      </c>
      <c r="K40" s="17" t="inlineStr">
        <is>
          <t>낮음</t>
        </is>
      </c>
      <c r="L40" s="17" t="inlineStr"/>
    </row>
    <row r="41">
      <c r="A41" s="17" t="inlineStr">
        <is>
          <t>C007</t>
        </is>
      </c>
      <c r="B41" s="17" t="inlineStr"/>
      <c r="C41" s="17" t="inlineStr">
        <is>
          <t>대성의료종합가스(주)</t>
        </is>
      </c>
      <c r="D41" s="17" t="inlineStr"/>
      <c r="E41" s="17" t="inlineStr">
        <is>
          <t>FDA·EMA 실사</t>
        </is>
      </c>
      <c r="F41" s="17" t="inlineStr">
        <is>
          <t>미확인</t>
        </is>
      </c>
      <c r="G41" s="17" t="inlineStr">
        <is>
          <t>웹조사 자동화 실패(세션한도)</t>
        </is>
      </c>
      <c r="H41" s="17" t="inlineStr">
        <is>
          <t>N</t>
        </is>
      </c>
      <c r="I41" s="17" t="inlineStr">
        <is>
          <t>FDA Inspection DB</t>
        </is>
      </c>
      <c r="J41" s="17" t="inlineStr">
        <is>
          <t>FDA Inspection DB에서 확인</t>
        </is>
      </c>
      <c r="K41" s="17" t="inlineStr">
        <is>
          <t>낮음</t>
        </is>
      </c>
      <c r="L41" s="17" t="inlineStr"/>
    </row>
    <row r="42">
      <c r="A42" s="17" t="inlineStr">
        <is>
          <t>C007</t>
        </is>
      </c>
      <c r="B42" s="17" t="inlineStr"/>
      <c r="C42" s="17" t="inlineStr">
        <is>
          <t>대성의료종합가스(주)</t>
        </is>
      </c>
      <c r="D42" s="17" t="inlineStr"/>
      <c r="E42" s="17" t="inlineStr">
        <is>
          <t>CMO·CDMO</t>
        </is>
      </c>
      <c r="F42" s="17" t="inlineStr">
        <is>
          <t>미확인</t>
        </is>
      </c>
      <c r="G42" s="17" t="inlineStr">
        <is>
          <t>웹조사 자동화 실패(세션한도)</t>
        </is>
      </c>
      <c r="H42" s="17" t="inlineStr">
        <is>
          <t>N</t>
        </is>
      </c>
      <c r="I42" s="17" t="inlineStr">
        <is>
          <t>회사 홈페이지</t>
        </is>
      </c>
      <c r="J42" s="17" t="inlineStr">
        <is>
          <t>회사 홈페이지에서 확인</t>
        </is>
      </c>
      <c r="K42" s="17" t="inlineStr">
        <is>
          <t>낮음</t>
        </is>
      </c>
      <c r="L42" s="17" t="inlineStr"/>
    </row>
    <row r="43">
      <c r="A43" s="17" t="inlineStr">
        <is>
          <t>C007</t>
        </is>
      </c>
      <c r="B43" s="17" t="inlineStr"/>
      <c r="C43" s="17" t="inlineStr">
        <is>
          <t>대성의료종합가스(주)</t>
        </is>
      </c>
      <c r="D43" s="17" t="inlineStr"/>
      <c r="E43" s="17" t="inlineStr">
        <is>
          <t>신공장·증설</t>
        </is>
      </c>
      <c r="F43" s="17" t="inlineStr">
        <is>
          <t>미확인</t>
        </is>
      </c>
      <c r="G43" s="17" t="inlineStr">
        <is>
          <t>웹조사 자동화 실패(세션한도)</t>
        </is>
      </c>
      <c r="H43" s="17" t="inlineStr">
        <is>
          <t>N</t>
        </is>
      </c>
      <c r="I43" s="17" t="inlineStr">
        <is>
          <t>언론·지자체 발표</t>
        </is>
      </c>
      <c r="J43" s="17" t="inlineStr">
        <is>
          <t>언론·지자체 발표에서 확인</t>
        </is>
      </c>
      <c r="K43" s="17" t="inlineStr">
        <is>
          <t>낮음</t>
        </is>
      </c>
      <c r="L43" s="17" t="inlineStr"/>
    </row>
    <row r="44">
      <c r="A44" s="17" t="inlineStr">
        <is>
          <t>C008</t>
        </is>
      </c>
      <c r="B44" s="17" t="inlineStr"/>
      <c r="C44" s="17" t="inlineStr">
        <is>
          <t>에스에스팜(주)</t>
        </is>
      </c>
      <c r="D44" s="17" t="inlineStr"/>
      <c r="E44" s="17" t="inlineStr">
        <is>
          <t>최근매출(억원)</t>
        </is>
      </c>
      <c r="F44" s="17" t="inlineStr">
        <is>
          <t>미확인</t>
        </is>
      </c>
      <c r="G44" s="17" t="inlineStr">
        <is>
          <t>웹조사 자동화 실패(세션한도)</t>
        </is>
      </c>
      <c r="H44" s="17" t="inlineStr">
        <is>
          <t>N</t>
        </is>
      </c>
      <c r="I44" s="17" t="inlineStr">
        <is>
          <t>DART 사업보고서</t>
        </is>
      </c>
      <c r="J44" s="17" t="inlineStr">
        <is>
          <t>DART 사업보고서에서 확인</t>
        </is>
      </c>
      <c r="K44" s="17" t="inlineStr">
        <is>
          <t>낮음</t>
        </is>
      </c>
      <c r="L44" s="17" t="inlineStr"/>
    </row>
    <row r="45">
      <c r="A45" s="17" t="inlineStr">
        <is>
          <t>C008</t>
        </is>
      </c>
      <c r="B45" s="17" t="inlineStr"/>
      <c r="C45" s="17" t="inlineStr">
        <is>
          <t>에스에스팜(주)</t>
        </is>
      </c>
      <c r="D45" s="17" t="inlineStr"/>
      <c r="E45" s="17" t="inlineStr">
        <is>
          <t>종업원수</t>
        </is>
      </c>
      <c r="F45" s="17" t="inlineStr">
        <is>
          <t>미확인</t>
        </is>
      </c>
      <c r="G45" s="17" t="inlineStr">
        <is>
          <t>웹조사 자동화 실패(세션한도)</t>
        </is>
      </c>
      <c r="H45" s="17" t="inlineStr">
        <is>
          <t>N</t>
        </is>
      </c>
      <c r="I45" s="17" t="inlineStr">
        <is>
          <t>DART/채용</t>
        </is>
      </c>
      <c r="J45" s="17" t="inlineStr">
        <is>
          <t>DART/채용에서 확인</t>
        </is>
      </c>
      <c r="K45" s="17" t="inlineStr">
        <is>
          <t>낮음</t>
        </is>
      </c>
      <c r="L45" s="17" t="inlineStr"/>
    </row>
    <row r="46">
      <c r="A46" s="17" t="inlineStr">
        <is>
          <t>C008</t>
        </is>
      </c>
      <c r="B46" s="17" t="inlineStr"/>
      <c r="C46" s="17" t="inlineStr">
        <is>
          <t>에스에스팜(주)</t>
        </is>
      </c>
      <c r="D46" s="17" t="inlineStr"/>
      <c r="E46" s="17" t="inlineStr">
        <is>
          <t>수출여부</t>
        </is>
      </c>
      <c r="F46" s="17" t="inlineStr">
        <is>
          <t>미확인</t>
        </is>
      </c>
      <c r="G46" s="17" t="inlineStr">
        <is>
          <t>웹조사 자동화 실패(세션한도)</t>
        </is>
      </c>
      <c r="H46" s="17" t="inlineStr">
        <is>
          <t>N</t>
        </is>
      </c>
      <c r="I46" s="17" t="inlineStr">
        <is>
          <t>회사 공시·홈페이지</t>
        </is>
      </c>
      <c r="J46" s="17" t="inlineStr">
        <is>
          <t>회사 공시·홈페이지에서 확인</t>
        </is>
      </c>
      <c r="K46" s="17" t="inlineStr">
        <is>
          <t>낮음</t>
        </is>
      </c>
      <c r="L46" s="17" t="inlineStr"/>
    </row>
    <row r="47">
      <c r="A47" s="17" t="inlineStr">
        <is>
          <t>C008</t>
        </is>
      </c>
      <c r="B47" s="17" t="inlineStr"/>
      <c r="C47" s="17" t="inlineStr">
        <is>
          <t>에스에스팜(주)</t>
        </is>
      </c>
      <c r="D47" s="17" t="inlineStr"/>
      <c r="E47" s="17" t="inlineStr">
        <is>
          <t>FDA·EMA 실사</t>
        </is>
      </c>
      <c r="F47" s="17" t="inlineStr">
        <is>
          <t>미확인</t>
        </is>
      </c>
      <c r="G47" s="17" t="inlineStr">
        <is>
          <t>웹조사 자동화 실패(세션한도)</t>
        </is>
      </c>
      <c r="H47" s="17" t="inlineStr">
        <is>
          <t>N</t>
        </is>
      </c>
      <c r="I47" s="17" t="inlineStr">
        <is>
          <t>FDA Inspection DB</t>
        </is>
      </c>
      <c r="J47" s="17" t="inlineStr">
        <is>
          <t>FDA Inspection DB에서 확인</t>
        </is>
      </c>
      <c r="K47" s="17" t="inlineStr">
        <is>
          <t>낮음</t>
        </is>
      </c>
      <c r="L47" s="17" t="inlineStr"/>
    </row>
    <row r="48">
      <c r="A48" s="17" t="inlineStr">
        <is>
          <t>C008</t>
        </is>
      </c>
      <c r="B48" s="17" t="inlineStr"/>
      <c r="C48" s="17" t="inlineStr">
        <is>
          <t>에스에스팜(주)</t>
        </is>
      </c>
      <c r="D48" s="17" t="inlineStr"/>
      <c r="E48" s="17" t="inlineStr">
        <is>
          <t>CMO·CDMO</t>
        </is>
      </c>
      <c r="F48" s="17" t="inlineStr">
        <is>
          <t>미확인</t>
        </is>
      </c>
      <c r="G48" s="17" t="inlineStr">
        <is>
          <t>웹조사 자동화 실패(세션한도)</t>
        </is>
      </c>
      <c r="H48" s="17" t="inlineStr">
        <is>
          <t>N</t>
        </is>
      </c>
      <c r="I48" s="17" t="inlineStr">
        <is>
          <t>회사 홈페이지</t>
        </is>
      </c>
      <c r="J48" s="17" t="inlineStr">
        <is>
          <t>회사 홈페이지에서 확인</t>
        </is>
      </c>
      <c r="K48" s="17" t="inlineStr">
        <is>
          <t>낮음</t>
        </is>
      </c>
      <c r="L48" s="17" t="inlineStr"/>
    </row>
    <row r="49">
      <c r="A49" s="17" t="inlineStr">
        <is>
          <t>C008</t>
        </is>
      </c>
      <c r="B49" s="17" t="inlineStr"/>
      <c r="C49" s="17" t="inlineStr">
        <is>
          <t>에스에스팜(주)</t>
        </is>
      </c>
      <c r="D49" s="17" t="inlineStr"/>
      <c r="E49" s="17" t="inlineStr">
        <is>
          <t>신공장·증설</t>
        </is>
      </c>
      <c r="F49" s="17" t="inlineStr">
        <is>
          <t>미확인</t>
        </is>
      </c>
      <c r="G49" s="17" t="inlineStr">
        <is>
          <t>웹조사 자동화 실패(세션한도)</t>
        </is>
      </c>
      <c r="H49" s="17" t="inlineStr">
        <is>
          <t>N</t>
        </is>
      </c>
      <c r="I49" s="17" t="inlineStr">
        <is>
          <t>언론·지자체 발표</t>
        </is>
      </c>
      <c r="J49" s="17" t="inlineStr">
        <is>
          <t>언론·지자체 발표에서 확인</t>
        </is>
      </c>
      <c r="K49" s="17" t="inlineStr">
        <is>
          <t>낮음</t>
        </is>
      </c>
      <c r="L49" s="17" t="inlineStr"/>
    </row>
    <row r="50">
      <c r="A50" s="17" t="inlineStr">
        <is>
          <t>C009</t>
        </is>
      </c>
      <c r="B50" s="17" t="inlineStr"/>
      <c r="C50" s="17" t="inlineStr">
        <is>
          <t>지에이치(주)</t>
        </is>
      </c>
      <c r="D50" s="17" t="inlineStr"/>
      <c r="E50" s="17" t="inlineStr">
        <is>
          <t>최근매출(억원)</t>
        </is>
      </c>
      <c r="F50" s="17" t="inlineStr">
        <is>
          <t>미확인</t>
        </is>
      </c>
      <c r="G50" s="17" t="inlineStr">
        <is>
          <t>웹조사 자동화 실패(세션한도)</t>
        </is>
      </c>
      <c r="H50" s="17" t="inlineStr">
        <is>
          <t>N</t>
        </is>
      </c>
      <c r="I50" s="17" t="inlineStr">
        <is>
          <t>DART 사업보고서</t>
        </is>
      </c>
      <c r="J50" s="17" t="inlineStr">
        <is>
          <t>DART 사업보고서에서 확인</t>
        </is>
      </c>
      <c r="K50" s="17" t="inlineStr">
        <is>
          <t>낮음</t>
        </is>
      </c>
      <c r="L50" s="17" t="inlineStr"/>
    </row>
    <row r="51">
      <c r="A51" s="17" t="inlineStr">
        <is>
          <t>C009</t>
        </is>
      </c>
      <c r="B51" s="17" t="inlineStr"/>
      <c r="C51" s="17" t="inlineStr">
        <is>
          <t>지에이치(주)</t>
        </is>
      </c>
      <c r="D51" s="17" t="inlineStr"/>
      <c r="E51" s="17" t="inlineStr">
        <is>
          <t>종업원수</t>
        </is>
      </c>
      <c r="F51" s="17" t="inlineStr">
        <is>
          <t>미확인</t>
        </is>
      </c>
      <c r="G51" s="17" t="inlineStr">
        <is>
          <t>웹조사 자동화 실패(세션한도)</t>
        </is>
      </c>
      <c r="H51" s="17" t="inlineStr">
        <is>
          <t>N</t>
        </is>
      </c>
      <c r="I51" s="17" t="inlineStr">
        <is>
          <t>DART/채용</t>
        </is>
      </c>
      <c r="J51" s="17" t="inlineStr">
        <is>
          <t>DART/채용에서 확인</t>
        </is>
      </c>
      <c r="K51" s="17" t="inlineStr">
        <is>
          <t>낮음</t>
        </is>
      </c>
      <c r="L51" s="17" t="inlineStr"/>
    </row>
    <row r="52">
      <c r="A52" s="17" t="inlineStr">
        <is>
          <t>C009</t>
        </is>
      </c>
      <c r="B52" s="17" t="inlineStr"/>
      <c r="C52" s="17" t="inlineStr">
        <is>
          <t>지에이치(주)</t>
        </is>
      </c>
      <c r="D52" s="17" t="inlineStr"/>
      <c r="E52" s="17" t="inlineStr">
        <is>
          <t>수출여부</t>
        </is>
      </c>
      <c r="F52" s="17" t="inlineStr">
        <is>
          <t>미확인</t>
        </is>
      </c>
      <c r="G52" s="17" t="inlineStr">
        <is>
          <t>웹조사 자동화 실패(세션한도)</t>
        </is>
      </c>
      <c r="H52" s="17" t="inlineStr">
        <is>
          <t>N</t>
        </is>
      </c>
      <c r="I52" s="17" t="inlineStr">
        <is>
          <t>회사 공시·홈페이지</t>
        </is>
      </c>
      <c r="J52" s="17" t="inlineStr">
        <is>
          <t>회사 공시·홈페이지에서 확인</t>
        </is>
      </c>
      <c r="K52" s="17" t="inlineStr">
        <is>
          <t>낮음</t>
        </is>
      </c>
      <c r="L52" s="17" t="inlineStr"/>
    </row>
    <row r="53">
      <c r="A53" s="17" t="inlineStr">
        <is>
          <t>C009</t>
        </is>
      </c>
      <c r="B53" s="17" t="inlineStr"/>
      <c r="C53" s="17" t="inlineStr">
        <is>
          <t>지에이치(주)</t>
        </is>
      </c>
      <c r="D53" s="17" t="inlineStr"/>
      <c r="E53" s="17" t="inlineStr">
        <is>
          <t>FDA·EMA 실사</t>
        </is>
      </c>
      <c r="F53" s="17" t="inlineStr">
        <is>
          <t>미확인</t>
        </is>
      </c>
      <c r="G53" s="17" t="inlineStr">
        <is>
          <t>웹조사 자동화 실패(세션한도)</t>
        </is>
      </c>
      <c r="H53" s="17" t="inlineStr">
        <is>
          <t>N</t>
        </is>
      </c>
      <c r="I53" s="17" t="inlineStr">
        <is>
          <t>FDA Inspection DB</t>
        </is>
      </c>
      <c r="J53" s="17" t="inlineStr">
        <is>
          <t>FDA Inspection DB에서 확인</t>
        </is>
      </c>
      <c r="K53" s="17" t="inlineStr">
        <is>
          <t>낮음</t>
        </is>
      </c>
      <c r="L53" s="17" t="inlineStr"/>
    </row>
    <row r="54">
      <c r="A54" s="17" t="inlineStr">
        <is>
          <t>C009</t>
        </is>
      </c>
      <c r="B54" s="17" t="inlineStr"/>
      <c r="C54" s="17" t="inlineStr">
        <is>
          <t>지에이치(주)</t>
        </is>
      </c>
      <c r="D54" s="17" t="inlineStr"/>
      <c r="E54" s="17" t="inlineStr">
        <is>
          <t>CMO·CDMO</t>
        </is>
      </c>
      <c r="F54" s="17" t="inlineStr">
        <is>
          <t>미확인</t>
        </is>
      </c>
      <c r="G54" s="17" t="inlineStr">
        <is>
          <t>웹조사 자동화 실패(세션한도)</t>
        </is>
      </c>
      <c r="H54" s="17" t="inlineStr">
        <is>
          <t>N</t>
        </is>
      </c>
      <c r="I54" s="17" t="inlineStr">
        <is>
          <t>회사 홈페이지</t>
        </is>
      </c>
      <c r="J54" s="17" t="inlineStr">
        <is>
          <t>회사 홈페이지에서 확인</t>
        </is>
      </c>
      <c r="K54" s="17" t="inlineStr">
        <is>
          <t>낮음</t>
        </is>
      </c>
      <c r="L54" s="17" t="inlineStr"/>
    </row>
    <row r="55">
      <c r="A55" s="17" t="inlineStr">
        <is>
          <t>C009</t>
        </is>
      </c>
      <c r="B55" s="17" t="inlineStr"/>
      <c r="C55" s="17" t="inlineStr">
        <is>
          <t>지에이치(주)</t>
        </is>
      </c>
      <c r="D55" s="17" t="inlineStr"/>
      <c r="E55" s="17" t="inlineStr">
        <is>
          <t>신공장·증설</t>
        </is>
      </c>
      <c r="F55" s="17" t="inlineStr">
        <is>
          <t>미확인</t>
        </is>
      </c>
      <c r="G55" s="17" t="inlineStr">
        <is>
          <t>웹조사 자동화 실패(세션한도)</t>
        </is>
      </c>
      <c r="H55" s="17" t="inlineStr">
        <is>
          <t>N</t>
        </is>
      </c>
      <c r="I55" s="17" t="inlineStr">
        <is>
          <t>언론·지자체 발표</t>
        </is>
      </c>
      <c r="J55" s="17" t="inlineStr">
        <is>
          <t>언론·지자체 발표에서 확인</t>
        </is>
      </c>
      <c r="K55" s="17" t="inlineStr">
        <is>
          <t>낮음</t>
        </is>
      </c>
      <c r="L55" s="17" t="inlineStr"/>
    </row>
    <row r="56">
      <c r="A56" s="17" t="inlineStr">
        <is>
          <t>C010</t>
        </is>
      </c>
      <c r="B56" s="17" t="inlineStr"/>
      <c r="C56" s="17" t="inlineStr">
        <is>
          <t>경방신약(주)</t>
        </is>
      </c>
      <c r="D56" s="17" t="inlineStr"/>
      <c r="E56" s="17" t="inlineStr">
        <is>
          <t>최근매출(억원)</t>
        </is>
      </c>
      <c r="F56" s="17" t="inlineStr">
        <is>
          <t>미확인</t>
        </is>
      </c>
      <c r="G56" s="17" t="inlineStr">
        <is>
          <t>웹조사 자동화 실패(세션한도)</t>
        </is>
      </c>
      <c r="H56" s="17" t="inlineStr">
        <is>
          <t>N</t>
        </is>
      </c>
      <c r="I56" s="17" t="inlineStr">
        <is>
          <t>DART 사업보고서</t>
        </is>
      </c>
      <c r="J56" s="17" t="inlineStr">
        <is>
          <t>DART 사업보고서에서 확인</t>
        </is>
      </c>
      <c r="K56" s="17" t="inlineStr">
        <is>
          <t>낮음</t>
        </is>
      </c>
      <c r="L56" s="17" t="inlineStr"/>
    </row>
    <row r="57">
      <c r="A57" s="17" t="inlineStr">
        <is>
          <t>C010</t>
        </is>
      </c>
      <c r="B57" s="17" t="inlineStr"/>
      <c r="C57" s="17" t="inlineStr">
        <is>
          <t>경방신약(주)</t>
        </is>
      </c>
      <c r="D57" s="17" t="inlineStr"/>
      <c r="E57" s="17" t="inlineStr">
        <is>
          <t>종업원수</t>
        </is>
      </c>
      <c r="F57" s="17" t="inlineStr">
        <is>
          <t>미확인</t>
        </is>
      </c>
      <c r="G57" s="17" t="inlineStr">
        <is>
          <t>웹조사 자동화 실패(세션한도)</t>
        </is>
      </c>
      <c r="H57" s="17" t="inlineStr">
        <is>
          <t>N</t>
        </is>
      </c>
      <c r="I57" s="17" t="inlineStr">
        <is>
          <t>DART/채용</t>
        </is>
      </c>
      <c r="J57" s="17" t="inlineStr">
        <is>
          <t>DART/채용에서 확인</t>
        </is>
      </c>
      <c r="K57" s="17" t="inlineStr">
        <is>
          <t>낮음</t>
        </is>
      </c>
      <c r="L57" s="17" t="inlineStr"/>
    </row>
    <row r="58">
      <c r="A58" s="17" t="inlineStr">
        <is>
          <t>C010</t>
        </is>
      </c>
      <c r="B58" s="17" t="inlineStr"/>
      <c r="C58" s="17" t="inlineStr">
        <is>
          <t>경방신약(주)</t>
        </is>
      </c>
      <c r="D58" s="17" t="inlineStr"/>
      <c r="E58" s="17" t="inlineStr">
        <is>
          <t>수출여부</t>
        </is>
      </c>
      <c r="F58" s="17" t="inlineStr">
        <is>
          <t>미확인</t>
        </is>
      </c>
      <c r="G58" s="17" t="inlineStr">
        <is>
          <t>웹조사 자동화 실패(세션한도)</t>
        </is>
      </c>
      <c r="H58" s="17" t="inlineStr">
        <is>
          <t>N</t>
        </is>
      </c>
      <c r="I58" s="17" t="inlineStr">
        <is>
          <t>회사 공시·홈페이지</t>
        </is>
      </c>
      <c r="J58" s="17" t="inlineStr">
        <is>
          <t>회사 공시·홈페이지에서 확인</t>
        </is>
      </c>
      <c r="K58" s="17" t="inlineStr">
        <is>
          <t>낮음</t>
        </is>
      </c>
      <c r="L58" s="17" t="inlineStr"/>
    </row>
    <row r="59">
      <c r="A59" s="17" t="inlineStr">
        <is>
          <t>C010</t>
        </is>
      </c>
      <c r="B59" s="17" t="inlineStr"/>
      <c r="C59" s="17" t="inlineStr">
        <is>
          <t>경방신약(주)</t>
        </is>
      </c>
      <c r="D59" s="17" t="inlineStr"/>
      <c r="E59" s="17" t="inlineStr">
        <is>
          <t>FDA·EMA 실사</t>
        </is>
      </c>
      <c r="F59" s="17" t="inlineStr">
        <is>
          <t>미확인</t>
        </is>
      </c>
      <c r="G59" s="17" t="inlineStr">
        <is>
          <t>웹조사 자동화 실패(세션한도)</t>
        </is>
      </c>
      <c r="H59" s="17" t="inlineStr">
        <is>
          <t>N</t>
        </is>
      </c>
      <c r="I59" s="17" t="inlineStr">
        <is>
          <t>FDA Inspection DB</t>
        </is>
      </c>
      <c r="J59" s="17" t="inlineStr">
        <is>
          <t>FDA Inspection DB에서 확인</t>
        </is>
      </c>
      <c r="K59" s="17" t="inlineStr">
        <is>
          <t>낮음</t>
        </is>
      </c>
      <c r="L59" s="17" t="inlineStr"/>
    </row>
    <row r="60">
      <c r="A60" s="17" t="inlineStr">
        <is>
          <t>C010</t>
        </is>
      </c>
      <c r="B60" s="17" t="inlineStr"/>
      <c r="C60" s="17" t="inlineStr">
        <is>
          <t>경방신약(주)</t>
        </is>
      </c>
      <c r="D60" s="17" t="inlineStr"/>
      <c r="E60" s="17" t="inlineStr">
        <is>
          <t>CMO·CDMO</t>
        </is>
      </c>
      <c r="F60" s="17" t="inlineStr">
        <is>
          <t>미확인</t>
        </is>
      </c>
      <c r="G60" s="17" t="inlineStr">
        <is>
          <t>웹조사 자동화 실패(세션한도)</t>
        </is>
      </c>
      <c r="H60" s="17" t="inlineStr">
        <is>
          <t>N</t>
        </is>
      </c>
      <c r="I60" s="17" t="inlineStr">
        <is>
          <t>회사 홈페이지</t>
        </is>
      </c>
      <c r="J60" s="17" t="inlineStr">
        <is>
          <t>회사 홈페이지에서 확인</t>
        </is>
      </c>
      <c r="K60" s="17" t="inlineStr">
        <is>
          <t>낮음</t>
        </is>
      </c>
      <c r="L60" s="17" t="inlineStr"/>
    </row>
    <row r="61">
      <c r="A61" s="17" t="inlineStr">
        <is>
          <t>C010</t>
        </is>
      </c>
      <c r="B61" s="17" t="inlineStr"/>
      <c r="C61" s="17" t="inlineStr">
        <is>
          <t>경방신약(주)</t>
        </is>
      </c>
      <c r="D61" s="17" t="inlineStr"/>
      <c r="E61" s="17" t="inlineStr">
        <is>
          <t>신공장·증설</t>
        </is>
      </c>
      <c r="F61" s="17" t="inlineStr">
        <is>
          <t>미확인</t>
        </is>
      </c>
      <c r="G61" s="17" t="inlineStr">
        <is>
          <t>웹조사 자동화 실패(세션한도)</t>
        </is>
      </c>
      <c r="H61" s="17" t="inlineStr">
        <is>
          <t>N</t>
        </is>
      </c>
      <c r="I61" s="17" t="inlineStr">
        <is>
          <t>언론·지자체 발표</t>
        </is>
      </c>
      <c r="J61" s="17" t="inlineStr">
        <is>
          <t>언론·지자체 발표에서 확인</t>
        </is>
      </c>
      <c r="K61" s="17" t="inlineStr">
        <is>
          <t>낮음</t>
        </is>
      </c>
      <c r="L61" s="17" t="inlineStr"/>
    </row>
    <row r="62">
      <c r="A62" s="17" t="inlineStr">
        <is>
          <t>C011</t>
        </is>
      </c>
      <c r="B62" s="17" t="inlineStr"/>
      <c r="C62" s="17" t="inlineStr">
        <is>
          <t>주식회사 제이비케이랩</t>
        </is>
      </c>
      <c r="D62" s="17" t="inlineStr"/>
      <c r="E62" s="17" t="inlineStr">
        <is>
          <t>최근매출(억원)</t>
        </is>
      </c>
      <c r="F62" s="17" t="inlineStr">
        <is>
          <t>미확인</t>
        </is>
      </c>
      <c r="G62" s="17" t="inlineStr">
        <is>
          <t>웹조사 자동화 실패(세션한도)</t>
        </is>
      </c>
      <c r="H62" s="17" t="inlineStr">
        <is>
          <t>N</t>
        </is>
      </c>
      <c r="I62" s="17" t="inlineStr">
        <is>
          <t>DART 사업보고서</t>
        </is>
      </c>
      <c r="J62" s="17" t="inlineStr">
        <is>
          <t>DART 사업보고서에서 확인</t>
        </is>
      </c>
      <c r="K62" s="17" t="inlineStr">
        <is>
          <t>낮음</t>
        </is>
      </c>
      <c r="L62" s="17" t="inlineStr"/>
    </row>
    <row r="63">
      <c r="A63" s="17" t="inlineStr">
        <is>
          <t>C011</t>
        </is>
      </c>
      <c r="B63" s="17" t="inlineStr"/>
      <c r="C63" s="17" t="inlineStr">
        <is>
          <t>주식회사 제이비케이랩</t>
        </is>
      </c>
      <c r="D63" s="17" t="inlineStr"/>
      <c r="E63" s="17" t="inlineStr">
        <is>
          <t>종업원수</t>
        </is>
      </c>
      <c r="F63" s="17" t="inlineStr">
        <is>
          <t>미확인</t>
        </is>
      </c>
      <c r="G63" s="17" t="inlineStr">
        <is>
          <t>웹조사 자동화 실패(세션한도)</t>
        </is>
      </c>
      <c r="H63" s="17" t="inlineStr">
        <is>
          <t>N</t>
        </is>
      </c>
      <c r="I63" s="17" t="inlineStr">
        <is>
          <t>DART/채용</t>
        </is>
      </c>
      <c r="J63" s="17" t="inlineStr">
        <is>
          <t>DART/채용에서 확인</t>
        </is>
      </c>
      <c r="K63" s="17" t="inlineStr">
        <is>
          <t>낮음</t>
        </is>
      </c>
      <c r="L63" s="17" t="inlineStr"/>
    </row>
    <row r="64">
      <c r="A64" s="17" t="inlineStr">
        <is>
          <t>C011</t>
        </is>
      </c>
      <c r="B64" s="17" t="inlineStr"/>
      <c r="C64" s="17" t="inlineStr">
        <is>
          <t>주식회사 제이비케이랩</t>
        </is>
      </c>
      <c r="D64" s="17" t="inlineStr"/>
      <c r="E64" s="17" t="inlineStr">
        <is>
          <t>수출여부</t>
        </is>
      </c>
      <c r="F64" s="17" t="inlineStr">
        <is>
          <t>미확인</t>
        </is>
      </c>
      <c r="G64" s="17" t="inlineStr">
        <is>
          <t>웹조사 자동화 실패(세션한도)</t>
        </is>
      </c>
      <c r="H64" s="17" t="inlineStr">
        <is>
          <t>N</t>
        </is>
      </c>
      <c r="I64" s="17" t="inlineStr">
        <is>
          <t>회사 공시·홈페이지</t>
        </is>
      </c>
      <c r="J64" s="17" t="inlineStr">
        <is>
          <t>회사 공시·홈페이지에서 확인</t>
        </is>
      </c>
      <c r="K64" s="17" t="inlineStr">
        <is>
          <t>낮음</t>
        </is>
      </c>
      <c r="L64" s="17" t="inlineStr"/>
    </row>
    <row r="65">
      <c r="A65" s="17" t="inlineStr">
        <is>
          <t>C011</t>
        </is>
      </c>
      <c r="B65" s="17" t="inlineStr"/>
      <c r="C65" s="17" t="inlineStr">
        <is>
          <t>주식회사 제이비케이랩</t>
        </is>
      </c>
      <c r="D65" s="17" t="inlineStr"/>
      <c r="E65" s="17" t="inlineStr">
        <is>
          <t>FDA·EMA 실사</t>
        </is>
      </c>
      <c r="F65" s="17" t="inlineStr">
        <is>
          <t>미확인</t>
        </is>
      </c>
      <c r="G65" s="17" t="inlineStr">
        <is>
          <t>웹조사 자동화 실패(세션한도)</t>
        </is>
      </c>
      <c r="H65" s="17" t="inlineStr">
        <is>
          <t>N</t>
        </is>
      </c>
      <c r="I65" s="17" t="inlineStr">
        <is>
          <t>FDA Inspection DB</t>
        </is>
      </c>
      <c r="J65" s="17" t="inlineStr">
        <is>
          <t>FDA Inspection DB에서 확인</t>
        </is>
      </c>
      <c r="K65" s="17" t="inlineStr">
        <is>
          <t>낮음</t>
        </is>
      </c>
      <c r="L65" s="17" t="inlineStr"/>
    </row>
    <row r="66">
      <c r="A66" s="17" t="inlineStr">
        <is>
          <t>C011</t>
        </is>
      </c>
      <c r="B66" s="17" t="inlineStr"/>
      <c r="C66" s="17" t="inlineStr">
        <is>
          <t>주식회사 제이비케이랩</t>
        </is>
      </c>
      <c r="D66" s="17" t="inlineStr"/>
      <c r="E66" s="17" t="inlineStr">
        <is>
          <t>CMO·CDMO</t>
        </is>
      </c>
      <c r="F66" s="17" t="inlineStr">
        <is>
          <t>미확인</t>
        </is>
      </c>
      <c r="G66" s="17" t="inlineStr">
        <is>
          <t>웹조사 자동화 실패(세션한도)</t>
        </is>
      </c>
      <c r="H66" s="17" t="inlineStr">
        <is>
          <t>N</t>
        </is>
      </c>
      <c r="I66" s="17" t="inlineStr">
        <is>
          <t>회사 홈페이지</t>
        </is>
      </c>
      <c r="J66" s="17" t="inlineStr">
        <is>
          <t>회사 홈페이지에서 확인</t>
        </is>
      </c>
      <c r="K66" s="17" t="inlineStr">
        <is>
          <t>낮음</t>
        </is>
      </c>
      <c r="L66" s="17" t="inlineStr"/>
    </row>
    <row r="67">
      <c r="A67" s="17" t="inlineStr">
        <is>
          <t>C011</t>
        </is>
      </c>
      <c r="B67" s="17" t="inlineStr"/>
      <c r="C67" s="17" t="inlineStr">
        <is>
          <t>주식회사 제이비케이랩</t>
        </is>
      </c>
      <c r="D67" s="17" t="inlineStr"/>
      <c r="E67" s="17" t="inlineStr">
        <is>
          <t>신공장·증설</t>
        </is>
      </c>
      <c r="F67" s="17" t="inlineStr">
        <is>
          <t>미확인</t>
        </is>
      </c>
      <c r="G67" s="17" t="inlineStr">
        <is>
          <t>웹조사 자동화 실패(세션한도)</t>
        </is>
      </c>
      <c r="H67" s="17" t="inlineStr">
        <is>
          <t>N</t>
        </is>
      </c>
      <c r="I67" s="17" t="inlineStr">
        <is>
          <t>언론·지자체 발표</t>
        </is>
      </c>
      <c r="J67" s="17" t="inlineStr">
        <is>
          <t>언론·지자체 발표에서 확인</t>
        </is>
      </c>
      <c r="K67" s="17" t="inlineStr">
        <is>
          <t>낮음</t>
        </is>
      </c>
      <c r="L67" s="17" t="inlineStr"/>
    </row>
    <row r="68">
      <c r="A68" s="17" t="inlineStr">
        <is>
          <t>C011</t>
        </is>
      </c>
      <c r="B68" s="17" t="inlineStr"/>
      <c r="C68" s="17" t="inlineStr">
        <is>
          <t>주식회사 제이비케이랩</t>
        </is>
      </c>
      <c r="D68" s="17" t="inlineStr"/>
      <c r="E68" s="17" t="inlineStr">
        <is>
          <t>대표전화</t>
        </is>
      </c>
      <c r="F68" s="17" t="inlineStr">
        <is>
          <t>미확인</t>
        </is>
      </c>
      <c r="G68" s="17" t="inlineStr">
        <is>
          <t>제조소상세 미매칭</t>
        </is>
      </c>
      <c r="H68" s="17" t="inlineStr">
        <is>
          <t>Y</t>
        </is>
      </c>
      <c r="I68" s="17" t="inlineStr">
        <is>
          <t>회사 홈페이지</t>
        </is>
      </c>
      <c r="J68" s="17" t="inlineStr">
        <is>
          <t>홈페이지에서 대표번호 확인</t>
        </is>
      </c>
      <c r="K68" s="17" t="inlineStr">
        <is>
          <t>낮음</t>
        </is>
      </c>
      <c r="L68" s="17" t="inlineStr"/>
    </row>
    <row r="69">
      <c r="A69" s="17" t="inlineStr">
        <is>
          <t>C012</t>
        </is>
      </c>
      <c r="B69" s="17" t="inlineStr"/>
      <c r="C69" s="17" t="inlineStr">
        <is>
          <t>(주)대일가스</t>
        </is>
      </c>
      <c r="D69" s="17" t="inlineStr"/>
      <c r="E69" s="17" t="inlineStr">
        <is>
          <t>최근매출(억원)</t>
        </is>
      </c>
      <c r="F69" s="17" t="inlineStr">
        <is>
          <t>미확인</t>
        </is>
      </c>
      <c r="G69" s="17" t="inlineStr">
        <is>
          <t>웹조사 자동화 실패(세션한도)</t>
        </is>
      </c>
      <c r="H69" s="17" t="inlineStr">
        <is>
          <t>N</t>
        </is>
      </c>
      <c r="I69" s="17" t="inlineStr">
        <is>
          <t>DART 사업보고서</t>
        </is>
      </c>
      <c r="J69" s="17" t="inlineStr">
        <is>
          <t>DART 사업보고서에서 확인</t>
        </is>
      </c>
      <c r="K69" s="17" t="inlineStr">
        <is>
          <t>낮음</t>
        </is>
      </c>
      <c r="L69" s="17" t="inlineStr"/>
    </row>
    <row r="70">
      <c r="A70" s="17" t="inlineStr">
        <is>
          <t>C012</t>
        </is>
      </c>
      <c r="B70" s="17" t="inlineStr"/>
      <c r="C70" s="17" t="inlineStr">
        <is>
          <t>(주)대일가스</t>
        </is>
      </c>
      <c r="D70" s="17" t="inlineStr"/>
      <c r="E70" s="17" t="inlineStr">
        <is>
          <t>종업원수</t>
        </is>
      </c>
      <c r="F70" s="17" t="inlineStr">
        <is>
          <t>미확인</t>
        </is>
      </c>
      <c r="G70" s="17" t="inlineStr">
        <is>
          <t>웹조사 자동화 실패(세션한도)</t>
        </is>
      </c>
      <c r="H70" s="17" t="inlineStr">
        <is>
          <t>N</t>
        </is>
      </c>
      <c r="I70" s="17" t="inlineStr">
        <is>
          <t>DART/채용</t>
        </is>
      </c>
      <c r="J70" s="17" t="inlineStr">
        <is>
          <t>DART/채용에서 확인</t>
        </is>
      </c>
      <c r="K70" s="17" t="inlineStr">
        <is>
          <t>낮음</t>
        </is>
      </c>
      <c r="L70" s="17" t="inlineStr"/>
    </row>
    <row r="71">
      <c r="A71" s="17" t="inlineStr">
        <is>
          <t>C012</t>
        </is>
      </c>
      <c r="B71" s="17" t="inlineStr"/>
      <c r="C71" s="17" t="inlineStr">
        <is>
          <t>(주)대일가스</t>
        </is>
      </c>
      <c r="D71" s="17" t="inlineStr"/>
      <c r="E71" s="17" t="inlineStr">
        <is>
          <t>수출여부</t>
        </is>
      </c>
      <c r="F71" s="17" t="inlineStr">
        <is>
          <t>미확인</t>
        </is>
      </c>
      <c r="G71" s="17" t="inlineStr">
        <is>
          <t>웹조사 자동화 실패(세션한도)</t>
        </is>
      </c>
      <c r="H71" s="17" t="inlineStr">
        <is>
          <t>N</t>
        </is>
      </c>
      <c r="I71" s="17" t="inlineStr">
        <is>
          <t>회사 공시·홈페이지</t>
        </is>
      </c>
      <c r="J71" s="17" t="inlineStr">
        <is>
          <t>회사 공시·홈페이지에서 확인</t>
        </is>
      </c>
      <c r="K71" s="17" t="inlineStr">
        <is>
          <t>낮음</t>
        </is>
      </c>
      <c r="L71" s="17" t="inlineStr"/>
    </row>
    <row r="72">
      <c r="A72" s="17" t="inlineStr">
        <is>
          <t>C012</t>
        </is>
      </c>
      <c r="B72" s="17" t="inlineStr"/>
      <c r="C72" s="17" t="inlineStr">
        <is>
          <t>(주)대일가스</t>
        </is>
      </c>
      <c r="D72" s="17" t="inlineStr"/>
      <c r="E72" s="17" t="inlineStr">
        <is>
          <t>FDA·EMA 실사</t>
        </is>
      </c>
      <c r="F72" s="17" t="inlineStr">
        <is>
          <t>미확인</t>
        </is>
      </c>
      <c r="G72" s="17" t="inlineStr">
        <is>
          <t>웹조사 자동화 실패(세션한도)</t>
        </is>
      </c>
      <c r="H72" s="17" t="inlineStr">
        <is>
          <t>N</t>
        </is>
      </c>
      <c r="I72" s="17" t="inlineStr">
        <is>
          <t>FDA Inspection DB</t>
        </is>
      </c>
      <c r="J72" s="17" t="inlineStr">
        <is>
          <t>FDA Inspection DB에서 확인</t>
        </is>
      </c>
      <c r="K72" s="17" t="inlineStr">
        <is>
          <t>낮음</t>
        </is>
      </c>
      <c r="L72" s="17" t="inlineStr"/>
    </row>
    <row r="73">
      <c r="A73" s="17" t="inlineStr">
        <is>
          <t>C012</t>
        </is>
      </c>
      <c r="B73" s="17" t="inlineStr"/>
      <c r="C73" s="17" t="inlineStr">
        <is>
          <t>(주)대일가스</t>
        </is>
      </c>
      <c r="D73" s="17" t="inlineStr"/>
      <c r="E73" s="17" t="inlineStr">
        <is>
          <t>CMO·CDMO</t>
        </is>
      </c>
      <c r="F73" s="17" t="inlineStr">
        <is>
          <t>미확인</t>
        </is>
      </c>
      <c r="G73" s="17" t="inlineStr">
        <is>
          <t>웹조사 자동화 실패(세션한도)</t>
        </is>
      </c>
      <c r="H73" s="17" t="inlineStr">
        <is>
          <t>N</t>
        </is>
      </c>
      <c r="I73" s="17" t="inlineStr">
        <is>
          <t>회사 홈페이지</t>
        </is>
      </c>
      <c r="J73" s="17" t="inlineStr">
        <is>
          <t>회사 홈페이지에서 확인</t>
        </is>
      </c>
      <c r="K73" s="17" t="inlineStr">
        <is>
          <t>낮음</t>
        </is>
      </c>
      <c r="L73" s="17" t="inlineStr"/>
    </row>
    <row r="74">
      <c r="A74" s="17" t="inlineStr">
        <is>
          <t>C012</t>
        </is>
      </c>
      <c r="B74" s="17" t="inlineStr"/>
      <c r="C74" s="17" t="inlineStr">
        <is>
          <t>(주)대일가스</t>
        </is>
      </c>
      <c r="D74" s="17" t="inlineStr"/>
      <c r="E74" s="17" t="inlineStr">
        <is>
          <t>신공장·증설</t>
        </is>
      </c>
      <c r="F74" s="17" t="inlineStr">
        <is>
          <t>미확인</t>
        </is>
      </c>
      <c r="G74" s="17" t="inlineStr">
        <is>
          <t>웹조사 자동화 실패(세션한도)</t>
        </is>
      </c>
      <c r="H74" s="17" t="inlineStr">
        <is>
          <t>N</t>
        </is>
      </c>
      <c r="I74" s="17" t="inlineStr">
        <is>
          <t>언론·지자체 발표</t>
        </is>
      </c>
      <c r="J74" s="17" t="inlineStr">
        <is>
          <t>언론·지자체 발표에서 확인</t>
        </is>
      </c>
      <c r="K74" s="17" t="inlineStr">
        <is>
          <t>낮음</t>
        </is>
      </c>
      <c r="L74" s="17" t="inlineStr"/>
    </row>
    <row r="75">
      <c r="A75" s="17" t="inlineStr">
        <is>
          <t>C013</t>
        </is>
      </c>
      <c r="B75" s="17" t="inlineStr"/>
      <c r="C75" s="17" t="inlineStr">
        <is>
          <t>동방산업가스</t>
        </is>
      </c>
      <c r="D75" s="17" t="inlineStr"/>
      <c r="E75" s="17" t="inlineStr">
        <is>
          <t>최근매출(억원)</t>
        </is>
      </c>
      <c r="F75" s="17" t="inlineStr">
        <is>
          <t>미확인</t>
        </is>
      </c>
      <c r="G75" s="17" t="inlineStr">
        <is>
          <t>웹조사 자동화 실패(세션한도)</t>
        </is>
      </c>
      <c r="H75" s="17" t="inlineStr">
        <is>
          <t>N</t>
        </is>
      </c>
      <c r="I75" s="17" t="inlineStr">
        <is>
          <t>DART 사업보고서</t>
        </is>
      </c>
      <c r="J75" s="17" t="inlineStr">
        <is>
          <t>DART 사업보고서에서 확인</t>
        </is>
      </c>
      <c r="K75" s="17" t="inlineStr">
        <is>
          <t>낮음</t>
        </is>
      </c>
      <c r="L75" s="17" t="inlineStr"/>
    </row>
    <row r="76">
      <c r="A76" s="17" t="inlineStr">
        <is>
          <t>C013</t>
        </is>
      </c>
      <c r="B76" s="17" t="inlineStr"/>
      <c r="C76" s="17" t="inlineStr">
        <is>
          <t>동방산업가스</t>
        </is>
      </c>
      <c r="D76" s="17" t="inlineStr"/>
      <c r="E76" s="17" t="inlineStr">
        <is>
          <t>종업원수</t>
        </is>
      </c>
      <c r="F76" s="17" t="inlineStr">
        <is>
          <t>미확인</t>
        </is>
      </c>
      <c r="G76" s="17" t="inlineStr">
        <is>
          <t>웹조사 자동화 실패(세션한도)</t>
        </is>
      </c>
      <c r="H76" s="17" t="inlineStr">
        <is>
          <t>N</t>
        </is>
      </c>
      <c r="I76" s="17" t="inlineStr">
        <is>
          <t>DART/채용</t>
        </is>
      </c>
      <c r="J76" s="17" t="inlineStr">
        <is>
          <t>DART/채용에서 확인</t>
        </is>
      </c>
      <c r="K76" s="17" t="inlineStr">
        <is>
          <t>낮음</t>
        </is>
      </c>
      <c r="L76" s="17" t="inlineStr"/>
    </row>
    <row r="77">
      <c r="A77" s="17" t="inlineStr">
        <is>
          <t>C013</t>
        </is>
      </c>
      <c r="B77" s="17" t="inlineStr"/>
      <c r="C77" s="17" t="inlineStr">
        <is>
          <t>동방산업가스</t>
        </is>
      </c>
      <c r="D77" s="17" t="inlineStr"/>
      <c r="E77" s="17" t="inlineStr">
        <is>
          <t>수출여부</t>
        </is>
      </c>
      <c r="F77" s="17" t="inlineStr">
        <is>
          <t>미확인</t>
        </is>
      </c>
      <c r="G77" s="17" t="inlineStr">
        <is>
          <t>웹조사 자동화 실패(세션한도)</t>
        </is>
      </c>
      <c r="H77" s="17" t="inlineStr">
        <is>
          <t>N</t>
        </is>
      </c>
      <c r="I77" s="17" t="inlineStr">
        <is>
          <t>회사 공시·홈페이지</t>
        </is>
      </c>
      <c r="J77" s="17" t="inlineStr">
        <is>
          <t>회사 공시·홈페이지에서 확인</t>
        </is>
      </c>
      <c r="K77" s="17" t="inlineStr">
        <is>
          <t>낮음</t>
        </is>
      </c>
      <c r="L77" s="17" t="inlineStr"/>
    </row>
    <row r="78">
      <c r="A78" s="17" t="inlineStr">
        <is>
          <t>C013</t>
        </is>
      </c>
      <c r="B78" s="17" t="inlineStr"/>
      <c r="C78" s="17" t="inlineStr">
        <is>
          <t>동방산업가스</t>
        </is>
      </c>
      <c r="D78" s="17" t="inlineStr"/>
      <c r="E78" s="17" t="inlineStr">
        <is>
          <t>FDA·EMA 실사</t>
        </is>
      </c>
      <c r="F78" s="17" t="inlineStr">
        <is>
          <t>미확인</t>
        </is>
      </c>
      <c r="G78" s="17" t="inlineStr">
        <is>
          <t>웹조사 자동화 실패(세션한도)</t>
        </is>
      </c>
      <c r="H78" s="17" t="inlineStr">
        <is>
          <t>N</t>
        </is>
      </c>
      <c r="I78" s="17" t="inlineStr">
        <is>
          <t>FDA Inspection DB</t>
        </is>
      </c>
      <c r="J78" s="17" t="inlineStr">
        <is>
          <t>FDA Inspection DB에서 확인</t>
        </is>
      </c>
      <c r="K78" s="17" t="inlineStr">
        <is>
          <t>낮음</t>
        </is>
      </c>
      <c r="L78" s="17" t="inlineStr"/>
    </row>
    <row r="79">
      <c r="A79" s="17" t="inlineStr">
        <is>
          <t>C013</t>
        </is>
      </c>
      <c r="B79" s="17" t="inlineStr"/>
      <c r="C79" s="17" t="inlineStr">
        <is>
          <t>동방산업가스</t>
        </is>
      </c>
      <c r="D79" s="17" t="inlineStr"/>
      <c r="E79" s="17" t="inlineStr">
        <is>
          <t>CMO·CDMO</t>
        </is>
      </c>
      <c r="F79" s="17" t="inlineStr">
        <is>
          <t>미확인</t>
        </is>
      </c>
      <c r="G79" s="17" t="inlineStr">
        <is>
          <t>웹조사 자동화 실패(세션한도)</t>
        </is>
      </c>
      <c r="H79" s="17" t="inlineStr">
        <is>
          <t>N</t>
        </is>
      </c>
      <c r="I79" s="17" t="inlineStr">
        <is>
          <t>회사 홈페이지</t>
        </is>
      </c>
      <c r="J79" s="17" t="inlineStr">
        <is>
          <t>회사 홈페이지에서 확인</t>
        </is>
      </c>
      <c r="K79" s="17" t="inlineStr">
        <is>
          <t>낮음</t>
        </is>
      </c>
      <c r="L79" s="17" t="inlineStr"/>
    </row>
    <row r="80">
      <c r="A80" s="17" t="inlineStr">
        <is>
          <t>C013</t>
        </is>
      </c>
      <c r="B80" s="17" t="inlineStr"/>
      <c r="C80" s="17" t="inlineStr">
        <is>
          <t>동방산업가스</t>
        </is>
      </c>
      <c r="D80" s="17" t="inlineStr"/>
      <c r="E80" s="17" t="inlineStr">
        <is>
          <t>신공장·증설</t>
        </is>
      </c>
      <c r="F80" s="17" t="inlineStr">
        <is>
          <t>미확인</t>
        </is>
      </c>
      <c r="G80" s="17" t="inlineStr">
        <is>
          <t>웹조사 자동화 실패(세션한도)</t>
        </is>
      </c>
      <c r="H80" s="17" t="inlineStr">
        <is>
          <t>N</t>
        </is>
      </c>
      <c r="I80" s="17" t="inlineStr">
        <is>
          <t>언론·지자체 발표</t>
        </is>
      </c>
      <c r="J80" s="17" t="inlineStr">
        <is>
          <t>언론·지자체 발표에서 확인</t>
        </is>
      </c>
      <c r="K80" s="17" t="inlineStr">
        <is>
          <t>낮음</t>
        </is>
      </c>
      <c r="L80" s="17" t="inlineStr"/>
    </row>
    <row r="81">
      <c r="A81" s="17" t="inlineStr">
        <is>
          <t>C014</t>
        </is>
      </c>
      <c r="B81" s="17" t="inlineStr"/>
      <c r="C81" s="17" t="inlineStr">
        <is>
          <t>에어코리아(주)</t>
        </is>
      </c>
      <c r="D81" s="17" t="inlineStr"/>
      <c r="E81" s="17" t="inlineStr">
        <is>
          <t>최근매출(억원)</t>
        </is>
      </c>
      <c r="F81" s="17" t="inlineStr">
        <is>
          <t>미확인</t>
        </is>
      </c>
      <c r="G81" s="17" t="inlineStr">
        <is>
          <t>웹조사 자동화 실패(세션한도)</t>
        </is>
      </c>
      <c r="H81" s="17" t="inlineStr">
        <is>
          <t>N</t>
        </is>
      </c>
      <c r="I81" s="17" t="inlineStr">
        <is>
          <t>DART 사업보고서</t>
        </is>
      </c>
      <c r="J81" s="17" t="inlineStr">
        <is>
          <t>DART 사업보고서에서 확인</t>
        </is>
      </c>
      <c r="K81" s="17" t="inlineStr">
        <is>
          <t>낮음</t>
        </is>
      </c>
      <c r="L81" s="17" t="inlineStr"/>
    </row>
    <row r="82">
      <c r="A82" s="17" t="inlineStr">
        <is>
          <t>C014</t>
        </is>
      </c>
      <c r="B82" s="17" t="inlineStr"/>
      <c r="C82" s="17" t="inlineStr">
        <is>
          <t>에어코리아(주)</t>
        </is>
      </c>
      <c r="D82" s="17" t="inlineStr"/>
      <c r="E82" s="17" t="inlineStr">
        <is>
          <t>종업원수</t>
        </is>
      </c>
      <c r="F82" s="17" t="inlineStr">
        <is>
          <t>미확인</t>
        </is>
      </c>
      <c r="G82" s="17" t="inlineStr">
        <is>
          <t>웹조사 자동화 실패(세션한도)</t>
        </is>
      </c>
      <c r="H82" s="17" t="inlineStr">
        <is>
          <t>N</t>
        </is>
      </c>
      <c r="I82" s="17" t="inlineStr">
        <is>
          <t>DART/채용</t>
        </is>
      </c>
      <c r="J82" s="17" t="inlineStr">
        <is>
          <t>DART/채용에서 확인</t>
        </is>
      </c>
      <c r="K82" s="17" t="inlineStr">
        <is>
          <t>낮음</t>
        </is>
      </c>
      <c r="L82" s="17" t="inlineStr"/>
    </row>
    <row r="83">
      <c r="A83" s="17" t="inlineStr">
        <is>
          <t>C014</t>
        </is>
      </c>
      <c r="B83" s="17" t="inlineStr"/>
      <c r="C83" s="17" t="inlineStr">
        <is>
          <t>에어코리아(주)</t>
        </is>
      </c>
      <c r="D83" s="17" t="inlineStr"/>
      <c r="E83" s="17" t="inlineStr">
        <is>
          <t>수출여부</t>
        </is>
      </c>
      <c r="F83" s="17" t="inlineStr">
        <is>
          <t>미확인</t>
        </is>
      </c>
      <c r="G83" s="17" t="inlineStr">
        <is>
          <t>웹조사 자동화 실패(세션한도)</t>
        </is>
      </c>
      <c r="H83" s="17" t="inlineStr">
        <is>
          <t>N</t>
        </is>
      </c>
      <c r="I83" s="17" t="inlineStr">
        <is>
          <t>회사 공시·홈페이지</t>
        </is>
      </c>
      <c r="J83" s="17" t="inlineStr">
        <is>
          <t>회사 공시·홈페이지에서 확인</t>
        </is>
      </c>
      <c r="K83" s="17" t="inlineStr">
        <is>
          <t>낮음</t>
        </is>
      </c>
      <c r="L83" s="17" t="inlineStr"/>
    </row>
    <row r="84">
      <c r="A84" s="17" t="inlineStr">
        <is>
          <t>C014</t>
        </is>
      </c>
      <c r="B84" s="17" t="inlineStr"/>
      <c r="C84" s="17" t="inlineStr">
        <is>
          <t>에어코리아(주)</t>
        </is>
      </c>
      <c r="D84" s="17" t="inlineStr"/>
      <c r="E84" s="17" t="inlineStr">
        <is>
          <t>FDA·EMA 실사</t>
        </is>
      </c>
      <c r="F84" s="17" t="inlineStr">
        <is>
          <t>미확인</t>
        </is>
      </c>
      <c r="G84" s="17" t="inlineStr">
        <is>
          <t>웹조사 자동화 실패(세션한도)</t>
        </is>
      </c>
      <c r="H84" s="17" t="inlineStr">
        <is>
          <t>N</t>
        </is>
      </c>
      <c r="I84" s="17" t="inlineStr">
        <is>
          <t>FDA Inspection DB</t>
        </is>
      </c>
      <c r="J84" s="17" t="inlineStr">
        <is>
          <t>FDA Inspection DB에서 확인</t>
        </is>
      </c>
      <c r="K84" s="17" t="inlineStr">
        <is>
          <t>낮음</t>
        </is>
      </c>
      <c r="L84" s="17" t="inlineStr"/>
    </row>
    <row r="85">
      <c r="A85" s="17" t="inlineStr">
        <is>
          <t>C014</t>
        </is>
      </c>
      <c r="B85" s="17" t="inlineStr"/>
      <c r="C85" s="17" t="inlineStr">
        <is>
          <t>에어코리아(주)</t>
        </is>
      </c>
      <c r="D85" s="17" t="inlineStr"/>
      <c r="E85" s="17" t="inlineStr">
        <is>
          <t>CMO·CDMO</t>
        </is>
      </c>
      <c r="F85" s="17" t="inlineStr">
        <is>
          <t>미확인</t>
        </is>
      </c>
      <c r="G85" s="17" t="inlineStr">
        <is>
          <t>웹조사 자동화 실패(세션한도)</t>
        </is>
      </c>
      <c r="H85" s="17" t="inlineStr">
        <is>
          <t>N</t>
        </is>
      </c>
      <c r="I85" s="17" t="inlineStr">
        <is>
          <t>회사 홈페이지</t>
        </is>
      </c>
      <c r="J85" s="17" t="inlineStr">
        <is>
          <t>회사 홈페이지에서 확인</t>
        </is>
      </c>
      <c r="K85" s="17" t="inlineStr">
        <is>
          <t>낮음</t>
        </is>
      </c>
      <c r="L85" s="17" t="inlineStr"/>
    </row>
    <row r="86">
      <c r="A86" s="17" t="inlineStr">
        <is>
          <t>C014</t>
        </is>
      </c>
      <c r="B86" s="17" t="inlineStr"/>
      <c r="C86" s="17" t="inlineStr">
        <is>
          <t>에어코리아(주)</t>
        </is>
      </c>
      <c r="D86" s="17" t="inlineStr"/>
      <c r="E86" s="17" t="inlineStr">
        <is>
          <t>신공장·증설</t>
        </is>
      </c>
      <c r="F86" s="17" t="inlineStr">
        <is>
          <t>미확인</t>
        </is>
      </c>
      <c r="G86" s="17" t="inlineStr">
        <is>
          <t>웹조사 자동화 실패(세션한도)</t>
        </is>
      </c>
      <c r="H86" s="17" t="inlineStr">
        <is>
          <t>N</t>
        </is>
      </c>
      <c r="I86" s="17" t="inlineStr">
        <is>
          <t>언론·지자체 발표</t>
        </is>
      </c>
      <c r="J86" s="17" t="inlineStr">
        <is>
          <t>언론·지자체 발표에서 확인</t>
        </is>
      </c>
      <c r="K86" s="17" t="inlineStr">
        <is>
          <t>낮음</t>
        </is>
      </c>
      <c r="L86" s="17" t="inlineStr"/>
    </row>
    <row r="87">
      <c r="A87" s="17" t="inlineStr">
        <is>
          <t>C014</t>
        </is>
      </c>
      <c r="B87" s="17" t="inlineStr"/>
      <c r="C87" s="17" t="inlineStr">
        <is>
          <t>에어코리아(주)</t>
        </is>
      </c>
      <c r="D87" s="17" t="inlineStr"/>
      <c r="E87" s="17" t="inlineStr">
        <is>
          <t>대표전화</t>
        </is>
      </c>
      <c r="F87" s="17" t="inlineStr">
        <is>
          <t>미확인</t>
        </is>
      </c>
      <c r="G87" s="17" t="inlineStr">
        <is>
          <t>제조소상세 미매칭</t>
        </is>
      </c>
      <c r="H87" s="17" t="inlineStr">
        <is>
          <t>Y</t>
        </is>
      </c>
      <c r="I87" s="17" t="inlineStr">
        <is>
          <t>회사 홈페이지</t>
        </is>
      </c>
      <c r="J87" s="17" t="inlineStr">
        <is>
          <t>홈페이지에서 대표번호 확인</t>
        </is>
      </c>
      <c r="K87" s="17" t="inlineStr">
        <is>
          <t>낮음</t>
        </is>
      </c>
      <c r="L87" s="17" t="inlineStr"/>
    </row>
    <row r="88">
      <c r="A88" s="17" t="inlineStr">
        <is>
          <t>C015</t>
        </is>
      </c>
      <c r="B88" s="17" t="inlineStr"/>
      <c r="C88" s="17" t="inlineStr">
        <is>
          <t>(주)유케이케미팜</t>
        </is>
      </c>
      <c r="D88" s="17" t="inlineStr"/>
      <c r="E88" s="17" t="inlineStr">
        <is>
          <t>최근매출(억원)</t>
        </is>
      </c>
      <c r="F88" s="17" t="inlineStr">
        <is>
          <t>미확인</t>
        </is>
      </c>
      <c r="G88" s="17" t="inlineStr">
        <is>
          <t>웹조사 자동화 실패(세션한도)</t>
        </is>
      </c>
      <c r="H88" s="17" t="inlineStr">
        <is>
          <t>N</t>
        </is>
      </c>
      <c r="I88" s="17" t="inlineStr">
        <is>
          <t>DART 사업보고서</t>
        </is>
      </c>
      <c r="J88" s="17" t="inlineStr">
        <is>
          <t>DART 사업보고서에서 확인</t>
        </is>
      </c>
      <c r="K88" s="17" t="inlineStr">
        <is>
          <t>낮음</t>
        </is>
      </c>
      <c r="L88" s="17" t="inlineStr"/>
    </row>
    <row r="89">
      <c r="A89" s="17" t="inlineStr">
        <is>
          <t>C015</t>
        </is>
      </c>
      <c r="B89" s="17" t="inlineStr"/>
      <c r="C89" s="17" t="inlineStr">
        <is>
          <t>(주)유케이케미팜</t>
        </is>
      </c>
      <c r="D89" s="17" t="inlineStr"/>
      <c r="E89" s="17" t="inlineStr">
        <is>
          <t>종업원수</t>
        </is>
      </c>
      <c r="F89" s="17" t="inlineStr">
        <is>
          <t>미확인</t>
        </is>
      </c>
      <c r="G89" s="17" t="inlineStr">
        <is>
          <t>웹조사 자동화 실패(세션한도)</t>
        </is>
      </c>
      <c r="H89" s="17" t="inlineStr">
        <is>
          <t>N</t>
        </is>
      </c>
      <c r="I89" s="17" t="inlineStr">
        <is>
          <t>DART/채용</t>
        </is>
      </c>
      <c r="J89" s="17" t="inlineStr">
        <is>
          <t>DART/채용에서 확인</t>
        </is>
      </c>
      <c r="K89" s="17" t="inlineStr">
        <is>
          <t>낮음</t>
        </is>
      </c>
      <c r="L89" s="17" t="inlineStr"/>
    </row>
    <row r="90">
      <c r="A90" s="17" t="inlineStr">
        <is>
          <t>C015</t>
        </is>
      </c>
      <c r="B90" s="17" t="inlineStr"/>
      <c r="C90" s="17" t="inlineStr">
        <is>
          <t>(주)유케이케미팜</t>
        </is>
      </c>
      <c r="D90" s="17" t="inlineStr"/>
      <c r="E90" s="17" t="inlineStr">
        <is>
          <t>수출여부</t>
        </is>
      </c>
      <c r="F90" s="17" t="inlineStr">
        <is>
          <t>미확인</t>
        </is>
      </c>
      <c r="G90" s="17" t="inlineStr">
        <is>
          <t>웹조사 자동화 실패(세션한도)</t>
        </is>
      </c>
      <c r="H90" s="17" t="inlineStr">
        <is>
          <t>N</t>
        </is>
      </c>
      <c r="I90" s="17" t="inlineStr">
        <is>
          <t>회사 공시·홈페이지</t>
        </is>
      </c>
      <c r="J90" s="17" t="inlineStr">
        <is>
          <t>회사 공시·홈페이지에서 확인</t>
        </is>
      </c>
      <c r="K90" s="17" t="inlineStr">
        <is>
          <t>낮음</t>
        </is>
      </c>
      <c r="L90" s="17" t="inlineStr"/>
    </row>
    <row r="91">
      <c r="A91" s="17" t="inlineStr">
        <is>
          <t>C015</t>
        </is>
      </c>
      <c r="B91" s="17" t="inlineStr"/>
      <c r="C91" s="17" t="inlineStr">
        <is>
          <t>(주)유케이케미팜</t>
        </is>
      </c>
      <c r="D91" s="17" t="inlineStr"/>
      <c r="E91" s="17" t="inlineStr">
        <is>
          <t>FDA·EMA 실사</t>
        </is>
      </c>
      <c r="F91" s="17" t="inlineStr">
        <is>
          <t>미확인</t>
        </is>
      </c>
      <c r="G91" s="17" t="inlineStr">
        <is>
          <t>웹조사 자동화 실패(세션한도)</t>
        </is>
      </c>
      <c r="H91" s="17" t="inlineStr">
        <is>
          <t>N</t>
        </is>
      </c>
      <c r="I91" s="17" t="inlineStr">
        <is>
          <t>FDA Inspection DB</t>
        </is>
      </c>
      <c r="J91" s="17" t="inlineStr">
        <is>
          <t>FDA Inspection DB에서 확인</t>
        </is>
      </c>
      <c r="K91" s="17" t="inlineStr">
        <is>
          <t>낮음</t>
        </is>
      </c>
      <c r="L91" s="17" t="inlineStr"/>
    </row>
    <row r="92">
      <c r="A92" s="17" t="inlineStr">
        <is>
          <t>C015</t>
        </is>
      </c>
      <c r="B92" s="17" t="inlineStr"/>
      <c r="C92" s="17" t="inlineStr">
        <is>
          <t>(주)유케이케미팜</t>
        </is>
      </c>
      <c r="D92" s="17" t="inlineStr"/>
      <c r="E92" s="17" t="inlineStr">
        <is>
          <t>CMO·CDMO</t>
        </is>
      </c>
      <c r="F92" s="17" t="inlineStr">
        <is>
          <t>미확인</t>
        </is>
      </c>
      <c r="G92" s="17" t="inlineStr">
        <is>
          <t>웹조사 자동화 실패(세션한도)</t>
        </is>
      </c>
      <c r="H92" s="17" t="inlineStr">
        <is>
          <t>N</t>
        </is>
      </c>
      <c r="I92" s="17" t="inlineStr">
        <is>
          <t>회사 홈페이지</t>
        </is>
      </c>
      <c r="J92" s="17" t="inlineStr">
        <is>
          <t>회사 홈페이지에서 확인</t>
        </is>
      </c>
      <c r="K92" s="17" t="inlineStr">
        <is>
          <t>낮음</t>
        </is>
      </c>
      <c r="L92" s="17" t="inlineStr"/>
    </row>
    <row r="93">
      <c r="A93" s="17" t="inlineStr">
        <is>
          <t>C015</t>
        </is>
      </c>
      <c r="B93" s="17" t="inlineStr"/>
      <c r="C93" s="17" t="inlineStr">
        <is>
          <t>(주)유케이케미팜</t>
        </is>
      </c>
      <c r="D93" s="17" t="inlineStr"/>
      <c r="E93" s="17" t="inlineStr">
        <is>
          <t>신공장·증설</t>
        </is>
      </c>
      <c r="F93" s="17" t="inlineStr">
        <is>
          <t>미확인</t>
        </is>
      </c>
      <c r="G93" s="17" t="inlineStr">
        <is>
          <t>웹조사 자동화 실패(세션한도)</t>
        </is>
      </c>
      <c r="H93" s="17" t="inlineStr">
        <is>
          <t>N</t>
        </is>
      </c>
      <c r="I93" s="17" t="inlineStr">
        <is>
          <t>언론·지자체 발표</t>
        </is>
      </c>
      <c r="J93" s="17" t="inlineStr">
        <is>
          <t>언론·지자체 발표에서 확인</t>
        </is>
      </c>
      <c r="K93" s="17" t="inlineStr">
        <is>
          <t>낮음</t>
        </is>
      </c>
      <c r="L93" s="17" t="inlineStr"/>
    </row>
    <row r="94">
      <c r="A94" s="17" t="inlineStr">
        <is>
          <t>C015</t>
        </is>
      </c>
      <c r="B94" s="17" t="inlineStr"/>
      <c r="C94" s="17" t="inlineStr">
        <is>
          <t>(주)유케이케미팜</t>
        </is>
      </c>
      <c r="D94" s="17" t="inlineStr"/>
      <c r="E94" s="17" t="inlineStr">
        <is>
          <t>대표전화</t>
        </is>
      </c>
      <c r="F94" s="17" t="inlineStr">
        <is>
          <t>미확인</t>
        </is>
      </c>
      <c r="G94" s="17" t="inlineStr">
        <is>
          <t>제조소상세 미매칭</t>
        </is>
      </c>
      <c r="H94" s="17" t="inlineStr">
        <is>
          <t>Y</t>
        </is>
      </c>
      <c r="I94" s="17" t="inlineStr">
        <is>
          <t>회사 홈페이지</t>
        </is>
      </c>
      <c r="J94" s="17" t="inlineStr">
        <is>
          <t>홈페이지에서 대표번호 확인</t>
        </is>
      </c>
      <c r="K94" s="17" t="inlineStr">
        <is>
          <t>낮음</t>
        </is>
      </c>
      <c r="L94" s="17" t="inlineStr"/>
    </row>
    <row r="95">
      <c r="A95" s="17" t="inlineStr">
        <is>
          <t>C016</t>
        </is>
      </c>
      <c r="B95" s="17" t="inlineStr"/>
      <c r="C95" s="17" t="inlineStr">
        <is>
          <t>금오가스(주)</t>
        </is>
      </c>
      <c r="D95" s="17" t="inlineStr"/>
      <c r="E95" s="17" t="inlineStr">
        <is>
          <t>최근매출(억원)</t>
        </is>
      </c>
      <c r="F95" s="17" t="inlineStr">
        <is>
          <t>미확인</t>
        </is>
      </c>
      <c r="G95" s="17" t="inlineStr">
        <is>
          <t>웹조사 자동화 실패(세션한도)</t>
        </is>
      </c>
      <c r="H95" s="17" t="inlineStr">
        <is>
          <t>N</t>
        </is>
      </c>
      <c r="I95" s="17" t="inlineStr">
        <is>
          <t>DART 사업보고서</t>
        </is>
      </c>
      <c r="J95" s="17" t="inlineStr">
        <is>
          <t>DART 사업보고서에서 확인</t>
        </is>
      </c>
      <c r="K95" s="17" t="inlineStr">
        <is>
          <t>낮음</t>
        </is>
      </c>
      <c r="L95" s="17" t="inlineStr"/>
    </row>
    <row r="96">
      <c r="A96" s="17" t="inlineStr">
        <is>
          <t>C016</t>
        </is>
      </c>
      <c r="B96" s="17" t="inlineStr"/>
      <c r="C96" s="17" t="inlineStr">
        <is>
          <t>금오가스(주)</t>
        </is>
      </c>
      <c r="D96" s="17" t="inlineStr"/>
      <c r="E96" s="17" t="inlineStr">
        <is>
          <t>종업원수</t>
        </is>
      </c>
      <c r="F96" s="17" t="inlineStr">
        <is>
          <t>미확인</t>
        </is>
      </c>
      <c r="G96" s="17" t="inlineStr">
        <is>
          <t>웹조사 자동화 실패(세션한도)</t>
        </is>
      </c>
      <c r="H96" s="17" t="inlineStr">
        <is>
          <t>N</t>
        </is>
      </c>
      <c r="I96" s="17" t="inlineStr">
        <is>
          <t>DART/채용</t>
        </is>
      </c>
      <c r="J96" s="17" t="inlineStr">
        <is>
          <t>DART/채용에서 확인</t>
        </is>
      </c>
      <c r="K96" s="17" t="inlineStr">
        <is>
          <t>낮음</t>
        </is>
      </c>
      <c r="L96" s="17" t="inlineStr"/>
    </row>
    <row r="97">
      <c r="A97" s="17" t="inlineStr">
        <is>
          <t>C016</t>
        </is>
      </c>
      <c r="B97" s="17" t="inlineStr"/>
      <c r="C97" s="17" t="inlineStr">
        <is>
          <t>금오가스(주)</t>
        </is>
      </c>
      <c r="D97" s="17" t="inlineStr"/>
      <c r="E97" s="17" t="inlineStr">
        <is>
          <t>수출여부</t>
        </is>
      </c>
      <c r="F97" s="17" t="inlineStr">
        <is>
          <t>미확인</t>
        </is>
      </c>
      <c r="G97" s="17" t="inlineStr">
        <is>
          <t>웹조사 자동화 실패(세션한도)</t>
        </is>
      </c>
      <c r="H97" s="17" t="inlineStr">
        <is>
          <t>N</t>
        </is>
      </c>
      <c r="I97" s="17" t="inlineStr">
        <is>
          <t>회사 공시·홈페이지</t>
        </is>
      </c>
      <c r="J97" s="17" t="inlineStr">
        <is>
          <t>회사 공시·홈페이지에서 확인</t>
        </is>
      </c>
      <c r="K97" s="17" t="inlineStr">
        <is>
          <t>낮음</t>
        </is>
      </c>
      <c r="L97" s="17" t="inlineStr"/>
    </row>
    <row r="98">
      <c r="A98" s="17" t="inlineStr">
        <is>
          <t>C016</t>
        </is>
      </c>
      <c r="B98" s="17" t="inlineStr"/>
      <c r="C98" s="17" t="inlineStr">
        <is>
          <t>금오가스(주)</t>
        </is>
      </c>
      <c r="D98" s="17" t="inlineStr"/>
      <c r="E98" s="17" t="inlineStr">
        <is>
          <t>FDA·EMA 실사</t>
        </is>
      </c>
      <c r="F98" s="17" t="inlineStr">
        <is>
          <t>미확인</t>
        </is>
      </c>
      <c r="G98" s="17" t="inlineStr">
        <is>
          <t>웹조사 자동화 실패(세션한도)</t>
        </is>
      </c>
      <c r="H98" s="17" t="inlineStr">
        <is>
          <t>N</t>
        </is>
      </c>
      <c r="I98" s="17" t="inlineStr">
        <is>
          <t>FDA Inspection DB</t>
        </is>
      </c>
      <c r="J98" s="17" t="inlineStr">
        <is>
          <t>FDA Inspection DB에서 확인</t>
        </is>
      </c>
      <c r="K98" s="17" t="inlineStr">
        <is>
          <t>낮음</t>
        </is>
      </c>
      <c r="L98" s="17" t="inlineStr"/>
    </row>
    <row r="99">
      <c r="A99" s="17" t="inlineStr">
        <is>
          <t>C016</t>
        </is>
      </c>
      <c r="B99" s="17" t="inlineStr"/>
      <c r="C99" s="17" t="inlineStr">
        <is>
          <t>금오가스(주)</t>
        </is>
      </c>
      <c r="D99" s="17" t="inlineStr"/>
      <c r="E99" s="17" t="inlineStr">
        <is>
          <t>CMO·CDMO</t>
        </is>
      </c>
      <c r="F99" s="17" t="inlineStr">
        <is>
          <t>미확인</t>
        </is>
      </c>
      <c r="G99" s="17" t="inlineStr">
        <is>
          <t>웹조사 자동화 실패(세션한도)</t>
        </is>
      </c>
      <c r="H99" s="17" t="inlineStr">
        <is>
          <t>N</t>
        </is>
      </c>
      <c r="I99" s="17" t="inlineStr">
        <is>
          <t>회사 홈페이지</t>
        </is>
      </c>
      <c r="J99" s="17" t="inlineStr">
        <is>
          <t>회사 홈페이지에서 확인</t>
        </is>
      </c>
      <c r="K99" s="17" t="inlineStr">
        <is>
          <t>낮음</t>
        </is>
      </c>
      <c r="L99" s="17" t="inlineStr"/>
    </row>
    <row r="100">
      <c r="A100" s="17" t="inlineStr">
        <is>
          <t>C016</t>
        </is>
      </c>
      <c r="B100" s="17" t="inlineStr"/>
      <c r="C100" s="17" t="inlineStr">
        <is>
          <t>금오가스(주)</t>
        </is>
      </c>
      <c r="D100" s="17" t="inlineStr"/>
      <c r="E100" s="17" t="inlineStr">
        <is>
          <t>신공장·증설</t>
        </is>
      </c>
      <c r="F100" s="17" t="inlineStr">
        <is>
          <t>미확인</t>
        </is>
      </c>
      <c r="G100" s="17" t="inlineStr">
        <is>
          <t>웹조사 자동화 실패(세션한도)</t>
        </is>
      </c>
      <c r="H100" s="17" t="inlineStr">
        <is>
          <t>N</t>
        </is>
      </c>
      <c r="I100" s="17" t="inlineStr">
        <is>
          <t>언론·지자체 발표</t>
        </is>
      </c>
      <c r="J100" s="17" t="inlineStr">
        <is>
          <t>언론·지자체 발표에서 확인</t>
        </is>
      </c>
      <c r="K100" s="17" t="inlineStr">
        <is>
          <t>낮음</t>
        </is>
      </c>
      <c r="L100" s="17" t="inlineStr"/>
    </row>
    <row r="101">
      <c r="A101" s="17" t="inlineStr">
        <is>
          <t>C017</t>
        </is>
      </c>
      <c r="B101" s="17" t="inlineStr"/>
      <c r="C101" s="17" t="inlineStr">
        <is>
          <t>정우신약(주)</t>
        </is>
      </c>
      <c r="D101" s="17" t="inlineStr"/>
      <c r="E101" s="17" t="inlineStr">
        <is>
          <t>최근매출(억원)</t>
        </is>
      </c>
      <c r="F101" s="17" t="inlineStr">
        <is>
          <t>미확인</t>
        </is>
      </c>
      <c r="G101" s="17" t="inlineStr">
        <is>
          <t>웹조사 자동화 실패(세션한도)</t>
        </is>
      </c>
      <c r="H101" s="17" t="inlineStr">
        <is>
          <t>N</t>
        </is>
      </c>
      <c r="I101" s="17" t="inlineStr">
        <is>
          <t>DART 사업보고서</t>
        </is>
      </c>
      <c r="J101" s="17" t="inlineStr">
        <is>
          <t>DART 사업보고서에서 확인</t>
        </is>
      </c>
      <c r="K101" s="17" t="inlineStr">
        <is>
          <t>낮음</t>
        </is>
      </c>
      <c r="L101" s="17" t="inlineStr"/>
    </row>
    <row r="102">
      <c r="A102" s="17" t="inlineStr">
        <is>
          <t>C017</t>
        </is>
      </c>
      <c r="B102" s="17" t="inlineStr"/>
      <c r="C102" s="17" t="inlineStr">
        <is>
          <t>정우신약(주)</t>
        </is>
      </c>
      <c r="D102" s="17" t="inlineStr"/>
      <c r="E102" s="17" t="inlineStr">
        <is>
          <t>종업원수</t>
        </is>
      </c>
      <c r="F102" s="17" t="inlineStr">
        <is>
          <t>미확인</t>
        </is>
      </c>
      <c r="G102" s="17" t="inlineStr">
        <is>
          <t>웹조사 자동화 실패(세션한도)</t>
        </is>
      </c>
      <c r="H102" s="17" t="inlineStr">
        <is>
          <t>N</t>
        </is>
      </c>
      <c r="I102" s="17" t="inlineStr">
        <is>
          <t>DART/채용</t>
        </is>
      </c>
      <c r="J102" s="17" t="inlineStr">
        <is>
          <t>DART/채용에서 확인</t>
        </is>
      </c>
      <c r="K102" s="17" t="inlineStr">
        <is>
          <t>낮음</t>
        </is>
      </c>
      <c r="L102" s="17" t="inlineStr"/>
    </row>
    <row r="103">
      <c r="A103" s="17" t="inlineStr">
        <is>
          <t>C017</t>
        </is>
      </c>
      <c r="B103" s="17" t="inlineStr"/>
      <c r="C103" s="17" t="inlineStr">
        <is>
          <t>정우신약(주)</t>
        </is>
      </c>
      <c r="D103" s="17" t="inlineStr"/>
      <c r="E103" s="17" t="inlineStr">
        <is>
          <t>수출여부</t>
        </is>
      </c>
      <c r="F103" s="17" t="inlineStr">
        <is>
          <t>미확인</t>
        </is>
      </c>
      <c r="G103" s="17" t="inlineStr">
        <is>
          <t>웹조사 자동화 실패(세션한도)</t>
        </is>
      </c>
      <c r="H103" s="17" t="inlineStr">
        <is>
          <t>N</t>
        </is>
      </c>
      <c r="I103" s="17" t="inlineStr">
        <is>
          <t>회사 공시·홈페이지</t>
        </is>
      </c>
      <c r="J103" s="17" t="inlineStr">
        <is>
          <t>회사 공시·홈페이지에서 확인</t>
        </is>
      </c>
      <c r="K103" s="17" t="inlineStr">
        <is>
          <t>낮음</t>
        </is>
      </c>
      <c r="L103" s="17" t="inlineStr"/>
    </row>
    <row r="104">
      <c r="A104" s="17" t="inlineStr">
        <is>
          <t>C017</t>
        </is>
      </c>
      <c r="B104" s="17" t="inlineStr"/>
      <c r="C104" s="17" t="inlineStr">
        <is>
          <t>정우신약(주)</t>
        </is>
      </c>
      <c r="D104" s="17" t="inlineStr"/>
      <c r="E104" s="17" t="inlineStr">
        <is>
          <t>FDA·EMA 실사</t>
        </is>
      </c>
      <c r="F104" s="17" t="inlineStr">
        <is>
          <t>미확인</t>
        </is>
      </c>
      <c r="G104" s="17" t="inlineStr">
        <is>
          <t>웹조사 자동화 실패(세션한도)</t>
        </is>
      </c>
      <c r="H104" s="17" t="inlineStr">
        <is>
          <t>N</t>
        </is>
      </c>
      <c r="I104" s="17" t="inlineStr">
        <is>
          <t>FDA Inspection DB</t>
        </is>
      </c>
      <c r="J104" s="17" t="inlineStr">
        <is>
          <t>FDA Inspection DB에서 확인</t>
        </is>
      </c>
      <c r="K104" s="17" t="inlineStr">
        <is>
          <t>낮음</t>
        </is>
      </c>
      <c r="L104" s="17" t="inlineStr"/>
    </row>
    <row r="105">
      <c r="A105" s="17" t="inlineStr">
        <is>
          <t>C017</t>
        </is>
      </c>
      <c r="B105" s="17" t="inlineStr"/>
      <c r="C105" s="17" t="inlineStr">
        <is>
          <t>정우신약(주)</t>
        </is>
      </c>
      <c r="D105" s="17" t="inlineStr"/>
      <c r="E105" s="17" t="inlineStr">
        <is>
          <t>CMO·CDMO</t>
        </is>
      </c>
      <c r="F105" s="17" t="inlineStr">
        <is>
          <t>미확인</t>
        </is>
      </c>
      <c r="G105" s="17" t="inlineStr">
        <is>
          <t>웹조사 자동화 실패(세션한도)</t>
        </is>
      </c>
      <c r="H105" s="17" t="inlineStr">
        <is>
          <t>N</t>
        </is>
      </c>
      <c r="I105" s="17" t="inlineStr">
        <is>
          <t>회사 홈페이지</t>
        </is>
      </c>
      <c r="J105" s="17" t="inlineStr">
        <is>
          <t>회사 홈페이지에서 확인</t>
        </is>
      </c>
      <c r="K105" s="17" t="inlineStr">
        <is>
          <t>낮음</t>
        </is>
      </c>
      <c r="L105" s="17" t="inlineStr"/>
    </row>
    <row r="106">
      <c r="A106" s="17" t="inlineStr">
        <is>
          <t>C017</t>
        </is>
      </c>
      <c r="B106" s="17" t="inlineStr"/>
      <c r="C106" s="17" t="inlineStr">
        <is>
          <t>정우신약(주)</t>
        </is>
      </c>
      <c r="D106" s="17" t="inlineStr"/>
      <c r="E106" s="17" t="inlineStr">
        <is>
          <t>신공장·증설</t>
        </is>
      </c>
      <c r="F106" s="17" t="inlineStr">
        <is>
          <t>미확인</t>
        </is>
      </c>
      <c r="G106" s="17" t="inlineStr">
        <is>
          <t>웹조사 자동화 실패(세션한도)</t>
        </is>
      </c>
      <c r="H106" s="17" t="inlineStr">
        <is>
          <t>N</t>
        </is>
      </c>
      <c r="I106" s="17" t="inlineStr">
        <is>
          <t>언론·지자체 발표</t>
        </is>
      </c>
      <c r="J106" s="17" t="inlineStr">
        <is>
          <t>언론·지자체 발표에서 확인</t>
        </is>
      </c>
      <c r="K106" s="17" t="inlineStr">
        <is>
          <t>낮음</t>
        </is>
      </c>
      <c r="L106" s="17" t="inlineStr"/>
    </row>
    <row r="107">
      <c r="A107" s="17" t="inlineStr">
        <is>
          <t>C018</t>
        </is>
      </c>
      <c r="B107" s="17" t="inlineStr"/>
      <c r="C107" s="17" t="inlineStr">
        <is>
          <t>(주)퍼슨</t>
        </is>
      </c>
      <c r="D107" s="17" t="inlineStr"/>
      <c r="E107" s="17" t="inlineStr">
        <is>
          <t>최근매출(억원)</t>
        </is>
      </c>
      <c r="F107" s="17" t="inlineStr">
        <is>
          <t>미확인</t>
        </is>
      </c>
      <c r="G107" s="17" t="inlineStr">
        <is>
          <t>웹조사 자동화 실패(세션한도)</t>
        </is>
      </c>
      <c r="H107" s="17" t="inlineStr">
        <is>
          <t>N</t>
        </is>
      </c>
      <c r="I107" s="17" t="inlineStr">
        <is>
          <t>DART 사업보고서</t>
        </is>
      </c>
      <c r="J107" s="17" t="inlineStr">
        <is>
          <t>DART 사업보고서에서 확인</t>
        </is>
      </c>
      <c r="K107" s="17" t="inlineStr">
        <is>
          <t>낮음</t>
        </is>
      </c>
      <c r="L107" s="17" t="inlineStr"/>
    </row>
    <row r="108">
      <c r="A108" s="17" t="inlineStr">
        <is>
          <t>C018</t>
        </is>
      </c>
      <c r="B108" s="17" t="inlineStr"/>
      <c r="C108" s="17" t="inlineStr">
        <is>
          <t>(주)퍼슨</t>
        </is>
      </c>
      <c r="D108" s="17" t="inlineStr"/>
      <c r="E108" s="17" t="inlineStr">
        <is>
          <t>종업원수</t>
        </is>
      </c>
      <c r="F108" s="17" t="inlineStr">
        <is>
          <t>미확인</t>
        </is>
      </c>
      <c r="G108" s="17" t="inlineStr">
        <is>
          <t>웹조사 자동화 실패(세션한도)</t>
        </is>
      </c>
      <c r="H108" s="17" t="inlineStr">
        <is>
          <t>N</t>
        </is>
      </c>
      <c r="I108" s="17" t="inlineStr">
        <is>
          <t>DART/채용</t>
        </is>
      </c>
      <c r="J108" s="17" t="inlineStr">
        <is>
          <t>DART/채용에서 확인</t>
        </is>
      </c>
      <c r="K108" s="17" t="inlineStr">
        <is>
          <t>낮음</t>
        </is>
      </c>
      <c r="L108" s="17" t="inlineStr"/>
    </row>
    <row r="109">
      <c r="A109" s="17" t="inlineStr">
        <is>
          <t>C018</t>
        </is>
      </c>
      <c r="B109" s="17" t="inlineStr"/>
      <c r="C109" s="17" t="inlineStr">
        <is>
          <t>(주)퍼슨</t>
        </is>
      </c>
      <c r="D109" s="17" t="inlineStr"/>
      <c r="E109" s="17" t="inlineStr">
        <is>
          <t>수출여부</t>
        </is>
      </c>
      <c r="F109" s="17" t="inlineStr">
        <is>
          <t>미확인</t>
        </is>
      </c>
      <c r="G109" s="17" t="inlineStr">
        <is>
          <t>웹조사 자동화 실패(세션한도)</t>
        </is>
      </c>
      <c r="H109" s="17" t="inlineStr">
        <is>
          <t>N</t>
        </is>
      </c>
      <c r="I109" s="17" t="inlineStr">
        <is>
          <t>회사 공시·홈페이지</t>
        </is>
      </c>
      <c r="J109" s="17" t="inlineStr">
        <is>
          <t>회사 공시·홈페이지에서 확인</t>
        </is>
      </c>
      <c r="K109" s="17" t="inlineStr">
        <is>
          <t>낮음</t>
        </is>
      </c>
      <c r="L109" s="17" t="inlineStr"/>
    </row>
    <row r="110">
      <c r="A110" s="17" t="inlineStr">
        <is>
          <t>C018</t>
        </is>
      </c>
      <c r="B110" s="17" t="inlineStr"/>
      <c r="C110" s="17" t="inlineStr">
        <is>
          <t>(주)퍼슨</t>
        </is>
      </c>
      <c r="D110" s="17" t="inlineStr"/>
      <c r="E110" s="17" t="inlineStr">
        <is>
          <t>FDA·EMA 실사</t>
        </is>
      </c>
      <c r="F110" s="17" t="inlineStr">
        <is>
          <t>미확인</t>
        </is>
      </c>
      <c r="G110" s="17" t="inlineStr">
        <is>
          <t>웹조사 자동화 실패(세션한도)</t>
        </is>
      </c>
      <c r="H110" s="17" t="inlineStr">
        <is>
          <t>N</t>
        </is>
      </c>
      <c r="I110" s="17" t="inlineStr">
        <is>
          <t>FDA Inspection DB</t>
        </is>
      </c>
      <c r="J110" s="17" t="inlineStr">
        <is>
          <t>FDA Inspection DB에서 확인</t>
        </is>
      </c>
      <c r="K110" s="17" t="inlineStr">
        <is>
          <t>낮음</t>
        </is>
      </c>
      <c r="L110" s="17" t="inlineStr"/>
    </row>
    <row r="111">
      <c r="A111" s="17" t="inlineStr">
        <is>
          <t>C018</t>
        </is>
      </c>
      <c r="B111" s="17" t="inlineStr"/>
      <c r="C111" s="17" t="inlineStr">
        <is>
          <t>(주)퍼슨</t>
        </is>
      </c>
      <c r="D111" s="17" t="inlineStr"/>
      <c r="E111" s="17" t="inlineStr">
        <is>
          <t>CMO·CDMO</t>
        </is>
      </c>
      <c r="F111" s="17" t="inlineStr">
        <is>
          <t>미확인</t>
        </is>
      </c>
      <c r="G111" s="17" t="inlineStr">
        <is>
          <t>웹조사 자동화 실패(세션한도)</t>
        </is>
      </c>
      <c r="H111" s="17" t="inlineStr">
        <is>
          <t>N</t>
        </is>
      </c>
      <c r="I111" s="17" t="inlineStr">
        <is>
          <t>회사 홈페이지</t>
        </is>
      </c>
      <c r="J111" s="17" t="inlineStr">
        <is>
          <t>회사 홈페이지에서 확인</t>
        </is>
      </c>
      <c r="K111" s="17" t="inlineStr">
        <is>
          <t>낮음</t>
        </is>
      </c>
      <c r="L111" s="17" t="inlineStr"/>
    </row>
    <row r="112">
      <c r="A112" s="17" t="inlineStr">
        <is>
          <t>C018</t>
        </is>
      </c>
      <c r="B112" s="17" t="inlineStr"/>
      <c r="C112" s="17" t="inlineStr">
        <is>
          <t>(주)퍼슨</t>
        </is>
      </c>
      <c r="D112" s="17" t="inlineStr"/>
      <c r="E112" s="17" t="inlineStr">
        <is>
          <t>신공장·증설</t>
        </is>
      </c>
      <c r="F112" s="17" t="inlineStr">
        <is>
          <t>미확인</t>
        </is>
      </c>
      <c r="G112" s="17" t="inlineStr">
        <is>
          <t>웹조사 자동화 실패(세션한도)</t>
        </is>
      </c>
      <c r="H112" s="17" t="inlineStr">
        <is>
          <t>N</t>
        </is>
      </c>
      <c r="I112" s="17" t="inlineStr">
        <is>
          <t>언론·지자체 발표</t>
        </is>
      </c>
      <c r="J112" s="17" t="inlineStr">
        <is>
          <t>언론·지자체 발표에서 확인</t>
        </is>
      </c>
      <c r="K112" s="17" t="inlineStr">
        <is>
          <t>낮음</t>
        </is>
      </c>
      <c r="L112" s="17" t="inlineStr"/>
    </row>
    <row r="113">
      <c r="A113" s="17" t="inlineStr">
        <is>
          <t>C019</t>
        </is>
      </c>
      <c r="B113" s="17" t="inlineStr"/>
      <c r="C113" s="17" t="inlineStr">
        <is>
          <t>(주)셀비온</t>
        </is>
      </c>
      <c r="D113" s="17" t="inlineStr"/>
      <c r="E113" s="17" t="inlineStr">
        <is>
          <t>최근매출(억원)</t>
        </is>
      </c>
      <c r="F113" s="17" t="inlineStr">
        <is>
          <t>미확인</t>
        </is>
      </c>
      <c r="G113" s="17" t="inlineStr">
        <is>
          <t>웹조사 자동화 실패(세션한도)</t>
        </is>
      </c>
      <c r="H113" s="17" t="inlineStr">
        <is>
          <t>N</t>
        </is>
      </c>
      <c r="I113" s="17" t="inlineStr">
        <is>
          <t>DART 사업보고서</t>
        </is>
      </c>
      <c r="J113" s="17" t="inlineStr">
        <is>
          <t>DART 사업보고서에서 확인</t>
        </is>
      </c>
      <c r="K113" s="17" t="inlineStr">
        <is>
          <t>낮음</t>
        </is>
      </c>
      <c r="L113" s="17" t="inlineStr"/>
    </row>
    <row r="114">
      <c r="A114" s="17" t="inlineStr">
        <is>
          <t>C019</t>
        </is>
      </c>
      <c r="B114" s="17" t="inlineStr"/>
      <c r="C114" s="17" t="inlineStr">
        <is>
          <t>(주)셀비온</t>
        </is>
      </c>
      <c r="D114" s="17" t="inlineStr"/>
      <c r="E114" s="17" t="inlineStr">
        <is>
          <t>종업원수</t>
        </is>
      </c>
      <c r="F114" s="17" t="inlineStr">
        <is>
          <t>미확인</t>
        </is>
      </c>
      <c r="G114" s="17" t="inlineStr">
        <is>
          <t>웹조사 자동화 실패(세션한도)</t>
        </is>
      </c>
      <c r="H114" s="17" t="inlineStr">
        <is>
          <t>N</t>
        </is>
      </c>
      <c r="I114" s="17" t="inlineStr">
        <is>
          <t>DART/채용</t>
        </is>
      </c>
      <c r="J114" s="17" t="inlineStr">
        <is>
          <t>DART/채용에서 확인</t>
        </is>
      </c>
      <c r="K114" s="17" t="inlineStr">
        <is>
          <t>낮음</t>
        </is>
      </c>
      <c r="L114" s="17" t="inlineStr"/>
    </row>
    <row r="115">
      <c r="A115" s="17" t="inlineStr">
        <is>
          <t>C019</t>
        </is>
      </c>
      <c r="B115" s="17" t="inlineStr"/>
      <c r="C115" s="17" t="inlineStr">
        <is>
          <t>(주)셀비온</t>
        </is>
      </c>
      <c r="D115" s="17" t="inlineStr"/>
      <c r="E115" s="17" t="inlineStr">
        <is>
          <t>수출여부</t>
        </is>
      </c>
      <c r="F115" s="17" t="inlineStr">
        <is>
          <t>미확인</t>
        </is>
      </c>
      <c r="G115" s="17" t="inlineStr">
        <is>
          <t>웹조사 자동화 실패(세션한도)</t>
        </is>
      </c>
      <c r="H115" s="17" t="inlineStr">
        <is>
          <t>N</t>
        </is>
      </c>
      <c r="I115" s="17" t="inlineStr">
        <is>
          <t>회사 공시·홈페이지</t>
        </is>
      </c>
      <c r="J115" s="17" t="inlineStr">
        <is>
          <t>회사 공시·홈페이지에서 확인</t>
        </is>
      </c>
      <c r="K115" s="17" t="inlineStr">
        <is>
          <t>낮음</t>
        </is>
      </c>
      <c r="L115" s="17" t="inlineStr"/>
    </row>
    <row r="116">
      <c r="A116" s="17" t="inlineStr">
        <is>
          <t>C019</t>
        </is>
      </c>
      <c r="B116" s="17" t="inlineStr"/>
      <c r="C116" s="17" t="inlineStr">
        <is>
          <t>(주)셀비온</t>
        </is>
      </c>
      <c r="D116" s="17" t="inlineStr"/>
      <c r="E116" s="17" t="inlineStr">
        <is>
          <t>FDA·EMA 실사</t>
        </is>
      </c>
      <c r="F116" s="17" t="inlineStr">
        <is>
          <t>미확인</t>
        </is>
      </c>
      <c r="G116" s="17" t="inlineStr">
        <is>
          <t>웹조사 자동화 실패(세션한도)</t>
        </is>
      </c>
      <c r="H116" s="17" t="inlineStr">
        <is>
          <t>N</t>
        </is>
      </c>
      <c r="I116" s="17" t="inlineStr">
        <is>
          <t>FDA Inspection DB</t>
        </is>
      </c>
      <c r="J116" s="17" t="inlineStr">
        <is>
          <t>FDA Inspection DB에서 확인</t>
        </is>
      </c>
      <c r="K116" s="17" t="inlineStr">
        <is>
          <t>낮음</t>
        </is>
      </c>
      <c r="L116" s="17" t="inlineStr"/>
    </row>
    <row r="117">
      <c r="A117" s="17" t="inlineStr">
        <is>
          <t>C019</t>
        </is>
      </c>
      <c r="B117" s="17" t="inlineStr"/>
      <c r="C117" s="17" t="inlineStr">
        <is>
          <t>(주)셀비온</t>
        </is>
      </c>
      <c r="D117" s="17" t="inlineStr"/>
      <c r="E117" s="17" t="inlineStr">
        <is>
          <t>CMO·CDMO</t>
        </is>
      </c>
      <c r="F117" s="17" t="inlineStr">
        <is>
          <t>미확인</t>
        </is>
      </c>
      <c r="G117" s="17" t="inlineStr">
        <is>
          <t>웹조사 자동화 실패(세션한도)</t>
        </is>
      </c>
      <c r="H117" s="17" t="inlineStr">
        <is>
          <t>N</t>
        </is>
      </c>
      <c r="I117" s="17" t="inlineStr">
        <is>
          <t>회사 홈페이지</t>
        </is>
      </c>
      <c r="J117" s="17" t="inlineStr">
        <is>
          <t>회사 홈페이지에서 확인</t>
        </is>
      </c>
      <c r="K117" s="17" t="inlineStr">
        <is>
          <t>낮음</t>
        </is>
      </c>
      <c r="L117" s="17" t="inlineStr"/>
    </row>
    <row r="118">
      <c r="A118" s="17" t="inlineStr">
        <is>
          <t>C019</t>
        </is>
      </c>
      <c r="B118" s="17" t="inlineStr"/>
      <c r="C118" s="17" t="inlineStr">
        <is>
          <t>(주)셀비온</t>
        </is>
      </c>
      <c r="D118" s="17" t="inlineStr"/>
      <c r="E118" s="17" t="inlineStr">
        <is>
          <t>신공장·증설</t>
        </is>
      </c>
      <c r="F118" s="17" t="inlineStr">
        <is>
          <t>미확인</t>
        </is>
      </c>
      <c r="G118" s="17" t="inlineStr">
        <is>
          <t>웹조사 자동화 실패(세션한도)</t>
        </is>
      </c>
      <c r="H118" s="17" t="inlineStr">
        <is>
          <t>N</t>
        </is>
      </c>
      <c r="I118" s="17" t="inlineStr">
        <is>
          <t>언론·지자체 발표</t>
        </is>
      </c>
      <c r="J118" s="17" t="inlineStr">
        <is>
          <t>언론·지자체 발표에서 확인</t>
        </is>
      </c>
      <c r="K118" s="17" t="inlineStr">
        <is>
          <t>낮음</t>
        </is>
      </c>
      <c r="L118" s="17" t="inlineStr"/>
    </row>
    <row r="119">
      <c r="A119" s="17" t="inlineStr">
        <is>
          <t>C019</t>
        </is>
      </c>
      <c r="B119" s="17" t="inlineStr"/>
      <c r="C119" s="17" t="inlineStr">
        <is>
          <t>(주)셀비온</t>
        </is>
      </c>
      <c r="D119" s="17" t="inlineStr"/>
      <c r="E119" s="17" t="inlineStr">
        <is>
          <t>대표전화</t>
        </is>
      </c>
      <c r="F119" s="17" t="inlineStr">
        <is>
          <t>미확인</t>
        </is>
      </c>
      <c r="G119" s="17" t="inlineStr">
        <is>
          <t>제조소상세 미매칭</t>
        </is>
      </c>
      <c r="H119" s="17" t="inlineStr">
        <is>
          <t>Y</t>
        </is>
      </c>
      <c r="I119" s="17" t="inlineStr">
        <is>
          <t>회사 홈페이지</t>
        </is>
      </c>
      <c r="J119" s="17" t="inlineStr">
        <is>
          <t>홈페이지에서 대표번호 확인</t>
        </is>
      </c>
      <c r="K119" s="17" t="inlineStr">
        <is>
          <t>낮음</t>
        </is>
      </c>
      <c r="L119" s="17" t="inlineStr"/>
    </row>
    <row r="120">
      <c r="A120" s="17" t="inlineStr">
        <is>
          <t>C020</t>
        </is>
      </c>
      <c r="B120" s="17" t="inlineStr"/>
      <c r="C120" s="17" t="inlineStr">
        <is>
          <t>석전의료공업(주)</t>
        </is>
      </c>
      <c r="D120" s="17" t="inlineStr"/>
      <c r="E120" s="17" t="inlineStr">
        <is>
          <t>최근매출(억원)</t>
        </is>
      </c>
      <c r="F120" s="17" t="inlineStr">
        <is>
          <t>미확인</t>
        </is>
      </c>
      <c r="G120" s="17" t="inlineStr">
        <is>
          <t>웹조사 자동화 실패(세션한도)</t>
        </is>
      </c>
      <c r="H120" s="17" t="inlineStr">
        <is>
          <t>N</t>
        </is>
      </c>
      <c r="I120" s="17" t="inlineStr">
        <is>
          <t>DART 사업보고서</t>
        </is>
      </c>
      <c r="J120" s="17" t="inlineStr">
        <is>
          <t>DART 사업보고서에서 확인</t>
        </is>
      </c>
      <c r="K120" s="17" t="inlineStr">
        <is>
          <t>낮음</t>
        </is>
      </c>
      <c r="L120" s="17" t="inlineStr"/>
    </row>
    <row r="121">
      <c r="A121" s="17" t="inlineStr">
        <is>
          <t>C020</t>
        </is>
      </c>
      <c r="B121" s="17" t="inlineStr"/>
      <c r="C121" s="17" t="inlineStr">
        <is>
          <t>석전의료공업(주)</t>
        </is>
      </c>
      <c r="D121" s="17" t="inlineStr"/>
      <c r="E121" s="17" t="inlineStr">
        <is>
          <t>종업원수</t>
        </is>
      </c>
      <c r="F121" s="17" t="inlineStr">
        <is>
          <t>미확인</t>
        </is>
      </c>
      <c r="G121" s="17" t="inlineStr">
        <is>
          <t>웹조사 자동화 실패(세션한도)</t>
        </is>
      </c>
      <c r="H121" s="17" t="inlineStr">
        <is>
          <t>N</t>
        </is>
      </c>
      <c r="I121" s="17" t="inlineStr">
        <is>
          <t>DART/채용</t>
        </is>
      </c>
      <c r="J121" s="17" t="inlineStr">
        <is>
          <t>DART/채용에서 확인</t>
        </is>
      </c>
      <c r="K121" s="17" t="inlineStr">
        <is>
          <t>낮음</t>
        </is>
      </c>
      <c r="L121" s="17" t="inlineStr"/>
    </row>
    <row r="122">
      <c r="A122" s="17" t="inlineStr">
        <is>
          <t>C020</t>
        </is>
      </c>
      <c r="B122" s="17" t="inlineStr"/>
      <c r="C122" s="17" t="inlineStr">
        <is>
          <t>석전의료공업(주)</t>
        </is>
      </c>
      <c r="D122" s="17" t="inlineStr"/>
      <c r="E122" s="17" t="inlineStr">
        <is>
          <t>수출여부</t>
        </is>
      </c>
      <c r="F122" s="17" t="inlineStr">
        <is>
          <t>미확인</t>
        </is>
      </c>
      <c r="G122" s="17" t="inlineStr">
        <is>
          <t>웹조사 자동화 실패(세션한도)</t>
        </is>
      </c>
      <c r="H122" s="17" t="inlineStr">
        <is>
          <t>N</t>
        </is>
      </c>
      <c r="I122" s="17" t="inlineStr">
        <is>
          <t>회사 공시·홈페이지</t>
        </is>
      </c>
      <c r="J122" s="17" t="inlineStr">
        <is>
          <t>회사 공시·홈페이지에서 확인</t>
        </is>
      </c>
      <c r="K122" s="17" t="inlineStr">
        <is>
          <t>낮음</t>
        </is>
      </c>
      <c r="L122" s="17" t="inlineStr"/>
    </row>
    <row r="123">
      <c r="A123" s="17" t="inlineStr">
        <is>
          <t>C020</t>
        </is>
      </c>
      <c r="B123" s="17" t="inlineStr"/>
      <c r="C123" s="17" t="inlineStr">
        <is>
          <t>석전의료공업(주)</t>
        </is>
      </c>
      <c r="D123" s="17" t="inlineStr"/>
      <c r="E123" s="17" t="inlineStr">
        <is>
          <t>FDA·EMA 실사</t>
        </is>
      </c>
      <c r="F123" s="17" t="inlineStr">
        <is>
          <t>미확인</t>
        </is>
      </c>
      <c r="G123" s="17" t="inlineStr">
        <is>
          <t>웹조사 자동화 실패(세션한도)</t>
        </is>
      </c>
      <c r="H123" s="17" t="inlineStr">
        <is>
          <t>N</t>
        </is>
      </c>
      <c r="I123" s="17" t="inlineStr">
        <is>
          <t>FDA Inspection DB</t>
        </is>
      </c>
      <c r="J123" s="17" t="inlineStr">
        <is>
          <t>FDA Inspection DB에서 확인</t>
        </is>
      </c>
      <c r="K123" s="17" t="inlineStr">
        <is>
          <t>낮음</t>
        </is>
      </c>
      <c r="L123" s="17" t="inlineStr"/>
    </row>
    <row r="124">
      <c r="A124" s="17" t="inlineStr">
        <is>
          <t>C020</t>
        </is>
      </c>
      <c r="B124" s="17" t="inlineStr"/>
      <c r="C124" s="17" t="inlineStr">
        <is>
          <t>석전의료공업(주)</t>
        </is>
      </c>
      <c r="D124" s="17" t="inlineStr"/>
      <c r="E124" s="17" t="inlineStr">
        <is>
          <t>CMO·CDMO</t>
        </is>
      </c>
      <c r="F124" s="17" t="inlineStr">
        <is>
          <t>미확인</t>
        </is>
      </c>
      <c r="G124" s="17" t="inlineStr">
        <is>
          <t>웹조사 자동화 실패(세션한도)</t>
        </is>
      </c>
      <c r="H124" s="17" t="inlineStr">
        <is>
          <t>N</t>
        </is>
      </c>
      <c r="I124" s="17" t="inlineStr">
        <is>
          <t>회사 홈페이지</t>
        </is>
      </c>
      <c r="J124" s="17" t="inlineStr">
        <is>
          <t>회사 홈페이지에서 확인</t>
        </is>
      </c>
      <c r="K124" s="17" t="inlineStr">
        <is>
          <t>낮음</t>
        </is>
      </c>
      <c r="L124" s="17" t="inlineStr"/>
    </row>
    <row r="125">
      <c r="A125" s="17" t="inlineStr">
        <is>
          <t>C020</t>
        </is>
      </c>
      <c r="B125" s="17" t="inlineStr"/>
      <c r="C125" s="17" t="inlineStr">
        <is>
          <t>석전의료공업(주)</t>
        </is>
      </c>
      <c r="D125" s="17" t="inlineStr"/>
      <c r="E125" s="17" t="inlineStr">
        <is>
          <t>신공장·증설</t>
        </is>
      </c>
      <c r="F125" s="17" t="inlineStr">
        <is>
          <t>미확인</t>
        </is>
      </c>
      <c r="G125" s="17" t="inlineStr">
        <is>
          <t>웹조사 자동화 실패(세션한도)</t>
        </is>
      </c>
      <c r="H125" s="17" t="inlineStr">
        <is>
          <t>N</t>
        </is>
      </c>
      <c r="I125" s="17" t="inlineStr">
        <is>
          <t>언론·지자체 발표</t>
        </is>
      </c>
      <c r="J125" s="17" t="inlineStr">
        <is>
          <t>언론·지자체 발표에서 확인</t>
        </is>
      </c>
      <c r="K125" s="17" t="inlineStr">
        <is>
          <t>낮음</t>
        </is>
      </c>
      <c r="L125" s="17" t="inlineStr"/>
    </row>
    <row r="126">
      <c r="A126" s="17" t="inlineStr">
        <is>
          <t>C021</t>
        </is>
      </c>
      <c r="B126" s="17" t="inlineStr"/>
      <c r="C126" s="17" t="inlineStr">
        <is>
          <t>에이치디엑스(주)</t>
        </is>
      </c>
      <c r="D126" s="17" t="inlineStr"/>
      <c r="E126" s="17" t="inlineStr">
        <is>
          <t>최근매출(억원)</t>
        </is>
      </c>
      <c r="F126" s="17" t="inlineStr">
        <is>
          <t>미확인</t>
        </is>
      </c>
      <c r="G126" s="17" t="inlineStr">
        <is>
          <t>웹조사 자동화 실패(세션한도)</t>
        </is>
      </c>
      <c r="H126" s="17" t="inlineStr">
        <is>
          <t>N</t>
        </is>
      </c>
      <c r="I126" s="17" t="inlineStr">
        <is>
          <t>DART 사업보고서</t>
        </is>
      </c>
      <c r="J126" s="17" t="inlineStr">
        <is>
          <t>DART 사업보고서에서 확인</t>
        </is>
      </c>
      <c r="K126" s="17" t="inlineStr">
        <is>
          <t>낮음</t>
        </is>
      </c>
      <c r="L126" s="17" t="inlineStr"/>
    </row>
    <row r="127">
      <c r="A127" s="17" t="inlineStr">
        <is>
          <t>C021</t>
        </is>
      </c>
      <c r="B127" s="17" t="inlineStr"/>
      <c r="C127" s="17" t="inlineStr">
        <is>
          <t>에이치디엑스(주)</t>
        </is>
      </c>
      <c r="D127" s="17" t="inlineStr"/>
      <c r="E127" s="17" t="inlineStr">
        <is>
          <t>종업원수</t>
        </is>
      </c>
      <c r="F127" s="17" t="inlineStr">
        <is>
          <t>미확인</t>
        </is>
      </c>
      <c r="G127" s="17" t="inlineStr">
        <is>
          <t>웹조사 자동화 실패(세션한도)</t>
        </is>
      </c>
      <c r="H127" s="17" t="inlineStr">
        <is>
          <t>N</t>
        </is>
      </c>
      <c r="I127" s="17" t="inlineStr">
        <is>
          <t>DART/채용</t>
        </is>
      </c>
      <c r="J127" s="17" t="inlineStr">
        <is>
          <t>DART/채용에서 확인</t>
        </is>
      </c>
      <c r="K127" s="17" t="inlineStr">
        <is>
          <t>낮음</t>
        </is>
      </c>
      <c r="L127" s="17" t="inlineStr"/>
    </row>
    <row r="128">
      <c r="A128" s="17" t="inlineStr">
        <is>
          <t>C021</t>
        </is>
      </c>
      <c r="B128" s="17" t="inlineStr"/>
      <c r="C128" s="17" t="inlineStr">
        <is>
          <t>에이치디엑스(주)</t>
        </is>
      </c>
      <c r="D128" s="17" t="inlineStr"/>
      <c r="E128" s="17" t="inlineStr">
        <is>
          <t>수출여부</t>
        </is>
      </c>
      <c r="F128" s="17" t="inlineStr">
        <is>
          <t>미확인</t>
        </is>
      </c>
      <c r="G128" s="17" t="inlineStr">
        <is>
          <t>웹조사 자동화 실패(세션한도)</t>
        </is>
      </c>
      <c r="H128" s="17" t="inlineStr">
        <is>
          <t>N</t>
        </is>
      </c>
      <c r="I128" s="17" t="inlineStr">
        <is>
          <t>회사 공시·홈페이지</t>
        </is>
      </c>
      <c r="J128" s="17" t="inlineStr">
        <is>
          <t>회사 공시·홈페이지에서 확인</t>
        </is>
      </c>
      <c r="K128" s="17" t="inlineStr">
        <is>
          <t>낮음</t>
        </is>
      </c>
      <c r="L128" s="17" t="inlineStr"/>
    </row>
    <row r="129">
      <c r="A129" s="17" t="inlineStr">
        <is>
          <t>C021</t>
        </is>
      </c>
      <c r="B129" s="17" t="inlineStr"/>
      <c r="C129" s="17" t="inlineStr">
        <is>
          <t>에이치디엑스(주)</t>
        </is>
      </c>
      <c r="D129" s="17" t="inlineStr"/>
      <c r="E129" s="17" t="inlineStr">
        <is>
          <t>FDA·EMA 실사</t>
        </is>
      </c>
      <c r="F129" s="17" t="inlineStr">
        <is>
          <t>미확인</t>
        </is>
      </c>
      <c r="G129" s="17" t="inlineStr">
        <is>
          <t>웹조사 자동화 실패(세션한도)</t>
        </is>
      </c>
      <c r="H129" s="17" t="inlineStr">
        <is>
          <t>N</t>
        </is>
      </c>
      <c r="I129" s="17" t="inlineStr">
        <is>
          <t>FDA Inspection DB</t>
        </is>
      </c>
      <c r="J129" s="17" t="inlineStr">
        <is>
          <t>FDA Inspection DB에서 확인</t>
        </is>
      </c>
      <c r="K129" s="17" t="inlineStr">
        <is>
          <t>낮음</t>
        </is>
      </c>
      <c r="L129" s="17" t="inlineStr"/>
    </row>
    <row r="130">
      <c r="A130" s="17" t="inlineStr">
        <is>
          <t>C021</t>
        </is>
      </c>
      <c r="B130" s="17" t="inlineStr"/>
      <c r="C130" s="17" t="inlineStr">
        <is>
          <t>에이치디엑스(주)</t>
        </is>
      </c>
      <c r="D130" s="17" t="inlineStr"/>
      <c r="E130" s="17" t="inlineStr">
        <is>
          <t>CMO·CDMO</t>
        </is>
      </c>
      <c r="F130" s="17" t="inlineStr">
        <is>
          <t>미확인</t>
        </is>
      </c>
      <c r="G130" s="17" t="inlineStr">
        <is>
          <t>웹조사 자동화 실패(세션한도)</t>
        </is>
      </c>
      <c r="H130" s="17" t="inlineStr">
        <is>
          <t>N</t>
        </is>
      </c>
      <c r="I130" s="17" t="inlineStr">
        <is>
          <t>회사 홈페이지</t>
        </is>
      </c>
      <c r="J130" s="17" t="inlineStr">
        <is>
          <t>회사 홈페이지에서 확인</t>
        </is>
      </c>
      <c r="K130" s="17" t="inlineStr">
        <is>
          <t>낮음</t>
        </is>
      </c>
      <c r="L130" s="17" t="inlineStr"/>
    </row>
    <row r="131">
      <c r="A131" s="17" t="inlineStr">
        <is>
          <t>C021</t>
        </is>
      </c>
      <c r="B131" s="17" t="inlineStr"/>
      <c r="C131" s="17" t="inlineStr">
        <is>
          <t>에이치디엑스(주)</t>
        </is>
      </c>
      <c r="D131" s="17" t="inlineStr"/>
      <c r="E131" s="17" t="inlineStr">
        <is>
          <t>신공장·증설</t>
        </is>
      </c>
      <c r="F131" s="17" t="inlineStr">
        <is>
          <t>미확인</t>
        </is>
      </c>
      <c r="G131" s="17" t="inlineStr">
        <is>
          <t>웹조사 자동화 실패(세션한도)</t>
        </is>
      </c>
      <c r="H131" s="17" t="inlineStr">
        <is>
          <t>N</t>
        </is>
      </c>
      <c r="I131" s="17" t="inlineStr">
        <is>
          <t>언론·지자체 발표</t>
        </is>
      </c>
      <c r="J131" s="17" t="inlineStr">
        <is>
          <t>언론·지자체 발표에서 확인</t>
        </is>
      </c>
      <c r="K131" s="17" t="inlineStr">
        <is>
          <t>낮음</t>
        </is>
      </c>
      <c r="L131" s="17" t="inlineStr"/>
    </row>
    <row r="132">
      <c r="A132" s="17" t="inlineStr">
        <is>
          <t>C022</t>
        </is>
      </c>
      <c r="B132" s="17" t="inlineStr"/>
      <c r="C132" s="17" t="inlineStr">
        <is>
          <t>(주)이니바이오</t>
        </is>
      </c>
      <c r="D132" s="17" t="inlineStr"/>
      <c r="E132" s="17" t="inlineStr">
        <is>
          <t>최근매출(억원)</t>
        </is>
      </c>
      <c r="F132" s="17" t="inlineStr">
        <is>
          <t>미확인</t>
        </is>
      </c>
      <c r="G132" s="17" t="inlineStr">
        <is>
          <t>웹조사 자동화 실패(세션한도)</t>
        </is>
      </c>
      <c r="H132" s="17" t="inlineStr">
        <is>
          <t>N</t>
        </is>
      </c>
      <c r="I132" s="17" t="inlineStr">
        <is>
          <t>DART 사업보고서</t>
        </is>
      </c>
      <c r="J132" s="17" t="inlineStr">
        <is>
          <t>DART 사업보고서에서 확인</t>
        </is>
      </c>
      <c r="K132" s="17" t="inlineStr">
        <is>
          <t>낮음</t>
        </is>
      </c>
      <c r="L132" s="17" t="inlineStr"/>
    </row>
    <row r="133">
      <c r="A133" s="17" t="inlineStr">
        <is>
          <t>C022</t>
        </is>
      </c>
      <c r="B133" s="17" t="inlineStr"/>
      <c r="C133" s="17" t="inlineStr">
        <is>
          <t>(주)이니바이오</t>
        </is>
      </c>
      <c r="D133" s="17" t="inlineStr"/>
      <c r="E133" s="17" t="inlineStr">
        <is>
          <t>종업원수</t>
        </is>
      </c>
      <c r="F133" s="17" t="inlineStr">
        <is>
          <t>미확인</t>
        </is>
      </c>
      <c r="G133" s="17" t="inlineStr">
        <is>
          <t>웹조사 자동화 실패(세션한도)</t>
        </is>
      </c>
      <c r="H133" s="17" t="inlineStr">
        <is>
          <t>N</t>
        </is>
      </c>
      <c r="I133" s="17" t="inlineStr">
        <is>
          <t>DART/채용</t>
        </is>
      </c>
      <c r="J133" s="17" t="inlineStr">
        <is>
          <t>DART/채용에서 확인</t>
        </is>
      </c>
      <c r="K133" s="17" t="inlineStr">
        <is>
          <t>낮음</t>
        </is>
      </c>
      <c r="L133" s="17" t="inlineStr"/>
    </row>
    <row r="134">
      <c r="A134" s="17" t="inlineStr">
        <is>
          <t>C022</t>
        </is>
      </c>
      <c r="B134" s="17" t="inlineStr"/>
      <c r="C134" s="17" t="inlineStr">
        <is>
          <t>(주)이니바이오</t>
        </is>
      </c>
      <c r="D134" s="17" t="inlineStr"/>
      <c r="E134" s="17" t="inlineStr">
        <is>
          <t>수출여부</t>
        </is>
      </c>
      <c r="F134" s="17" t="inlineStr">
        <is>
          <t>미확인</t>
        </is>
      </c>
      <c r="G134" s="17" t="inlineStr">
        <is>
          <t>웹조사 자동화 실패(세션한도)</t>
        </is>
      </c>
      <c r="H134" s="17" t="inlineStr">
        <is>
          <t>N</t>
        </is>
      </c>
      <c r="I134" s="17" t="inlineStr">
        <is>
          <t>회사 공시·홈페이지</t>
        </is>
      </c>
      <c r="J134" s="17" t="inlineStr">
        <is>
          <t>회사 공시·홈페이지에서 확인</t>
        </is>
      </c>
      <c r="K134" s="17" t="inlineStr">
        <is>
          <t>낮음</t>
        </is>
      </c>
      <c r="L134" s="17" t="inlineStr"/>
    </row>
    <row r="135">
      <c r="A135" s="17" t="inlineStr">
        <is>
          <t>C022</t>
        </is>
      </c>
      <c r="B135" s="17" t="inlineStr"/>
      <c r="C135" s="17" t="inlineStr">
        <is>
          <t>(주)이니바이오</t>
        </is>
      </c>
      <c r="D135" s="17" t="inlineStr"/>
      <c r="E135" s="17" t="inlineStr">
        <is>
          <t>FDA·EMA 실사</t>
        </is>
      </c>
      <c r="F135" s="17" t="inlineStr">
        <is>
          <t>미확인</t>
        </is>
      </c>
      <c r="G135" s="17" t="inlineStr">
        <is>
          <t>웹조사 자동화 실패(세션한도)</t>
        </is>
      </c>
      <c r="H135" s="17" t="inlineStr">
        <is>
          <t>N</t>
        </is>
      </c>
      <c r="I135" s="17" t="inlineStr">
        <is>
          <t>FDA Inspection DB</t>
        </is>
      </c>
      <c r="J135" s="17" t="inlineStr">
        <is>
          <t>FDA Inspection DB에서 확인</t>
        </is>
      </c>
      <c r="K135" s="17" t="inlineStr">
        <is>
          <t>낮음</t>
        </is>
      </c>
      <c r="L135" s="17" t="inlineStr"/>
    </row>
    <row r="136">
      <c r="A136" s="17" t="inlineStr">
        <is>
          <t>C022</t>
        </is>
      </c>
      <c r="B136" s="17" t="inlineStr"/>
      <c r="C136" s="17" t="inlineStr">
        <is>
          <t>(주)이니바이오</t>
        </is>
      </c>
      <c r="D136" s="17" t="inlineStr"/>
      <c r="E136" s="17" t="inlineStr">
        <is>
          <t>CMO·CDMO</t>
        </is>
      </c>
      <c r="F136" s="17" t="inlineStr">
        <is>
          <t>미확인</t>
        </is>
      </c>
      <c r="G136" s="17" t="inlineStr">
        <is>
          <t>웹조사 자동화 실패(세션한도)</t>
        </is>
      </c>
      <c r="H136" s="17" t="inlineStr">
        <is>
          <t>N</t>
        </is>
      </c>
      <c r="I136" s="17" t="inlineStr">
        <is>
          <t>회사 홈페이지</t>
        </is>
      </c>
      <c r="J136" s="17" t="inlineStr">
        <is>
          <t>회사 홈페이지에서 확인</t>
        </is>
      </c>
      <c r="K136" s="17" t="inlineStr">
        <is>
          <t>낮음</t>
        </is>
      </c>
      <c r="L136" s="17" t="inlineStr"/>
    </row>
    <row r="137">
      <c r="A137" s="17" t="inlineStr">
        <is>
          <t>C022</t>
        </is>
      </c>
      <c r="B137" s="17" t="inlineStr"/>
      <c r="C137" s="17" t="inlineStr">
        <is>
          <t>(주)이니바이오</t>
        </is>
      </c>
      <c r="D137" s="17" t="inlineStr"/>
      <c r="E137" s="17" t="inlineStr">
        <is>
          <t>신공장·증설</t>
        </is>
      </c>
      <c r="F137" s="17" t="inlineStr">
        <is>
          <t>미확인</t>
        </is>
      </c>
      <c r="G137" s="17" t="inlineStr">
        <is>
          <t>웹조사 자동화 실패(세션한도)</t>
        </is>
      </c>
      <c r="H137" s="17" t="inlineStr">
        <is>
          <t>N</t>
        </is>
      </c>
      <c r="I137" s="17" t="inlineStr">
        <is>
          <t>언론·지자체 발표</t>
        </is>
      </c>
      <c r="J137" s="17" t="inlineStr">
        <is>
          <t>언론·지자체 발표에서 확인</t>
        </is>
      </c>
      <c r="K137" s="17" t="inlineStr">
        <is>
          <t>낮음</t>
        </is>
      </c>
      <c r="L137" s="17" t="inlineStr"/>
    </row>
    <row r="138">
      <c r="A138" s="17" t="inlineStr">
        <is>
          <t>C022</t>
        </is>
      </c>
      <c r="B138" s="17" t="inlineStr"/>
      <c r="C138" s="17" t="inlineStr">
        <is>
          <t>(주)이니바이오</t>
        </is>
      </c>
      <c r="D138" s="17" t="inlineStr"/>
      <c r="E138" s="17" t="inlineStr">
        <is>
          <t>대표전화</t>
        </is>
      </c>
      <c r="F138" s="17" t="inlineStr">
        <is>
          <t>미확인</t>
        </is>
      </c>
      <c r="G138" s="17" t="inlineStr">
        <is>
          <t>제조소상세 미매칭</t>
        </is>
      </c>
      <c r="H138" s="17" t="inlineStr">
        <is>
          <t>Y</t>
        </is>
      </c>
      <c r="I138" s="17" t="inlineStr">
        <is>
          <t>회사 홈페이지</t>
        </is>
      </c>
      <c r="J138" s="17" t="inlineStr">
        <is>
          <t>홈페이지에서 대표번호 확인</t>
        </is>
      </c>
      <c r="K138" s="17" t="inlineStr">
        <is>
          <t>낮음</t>
        </is>
      </c>
      <c r="L138" s="17" t="inlineStr"/>
    </row>
    <row r="139">
      <c r="A139" s="17" t="inlineStr">
        <is>
          <t>C023</t>
        </is>
      </c>
      <c r="B139" s="17" t="inlineStr"/>
      <c r="C139" s="17" t="inlineStr">
        <is>
          <t>주식회사제노스</t>
        </is>
      </c>
      <c r="D139" s="17" t="inlineStr"/>
      <c r="E139" s="17" t="inlineStr">
        <is>
          <t>최근매출(억원)</t>
        </is>
      </c>
      <c r="F139" s="17" t="inlineStr">
        <is>
          <t>미확인</t>
        </is>
      </c>
      <c r="G139" s="17" t="inlineStr">
        <is>
          <t>웹조사 자동화 실패(세션한도)</t>
        </is>
      </c>
      <c r="H139" s="17" t="inlineStr">
        <is>
          <t>N</t>
        </is>
      </c>
      <c r="I139" s="17" t="inlineStr">
        <is>
          <t>DART 사업보고서</t>
        </is>
      </c>
      <c r="J139" s="17" t="inlineStr">
        <is>
          <t>DART 사업보고서에서 확인</t>
        </is>
      </c>
      <c r="K139" s="17" t="inlineStr">
        <is>
          <t>낮음</t>
        </is>
      </c>
      <c r="L139" s="17" t="inlineStr"/>
    </row>
    <row r="140">
      <c r="A140" s="17" t="inlineStr">
        <is>
          <t>C023</t>
        </is>
      </c>
      <c r="B140" s="17" t="inlineStr"/>
      <c r="C140" s="17" t="inlineStr">
        <is>
          <t>주식회사제노스</t>
        </is>
      </c>
      <c r="D140" s="17" t="inlineStr"/>
      <c r="E140" s="17" t="inlineStr">
        <is>
          <t>종업원수</t>
        </is>
      </c>
      <c r="F140" s="17" t="inlineStr">
        <is>
          <t>미확인</t>
        </is>
      </c>
      <c r="G140" s="17" t="inlineStr">
        <is>
          <t>웹조사 자동화 실패(세션한도)</t>
        </is>
      </c>
      <c r="H140" s="17" t="inlineStr">
        <is>
          <t>N</t>
        </is>
      </c>
      <c r="I140" s="17" t="inlineStr">
        <is>
          <t>DART/채용</t>
        </is>
      </c>
      <c r="J140" s="17" t="inlineStr">
        <is>
          <t>DART/채용에서 확인</t>
        </is>
      </c>
      <c r="K140" s="17" t="inlineStr">
        <is>
          <t>낮음</t>
        </is>
      </c>
      <c r="L140" s="17" t="inlineStr"/>
    </row>
    <row r="141">
      <c r="A141" s="17" t="inlineStr">
        <is>
          <t>C023</t>
        </is>
      </c>
      <c r="B141" s="17" t="inlineStr"/>
      <c r="C141" s="17" t="inlineStr">
        <is>
          <t>주식회사제노스</t>
        </is>
      </c>
      <c r="D141" s="17" t="inlineStr"/>
      <c r="E141" s="17" t="inlineStr">
        <is>
          <t>수출여부</t>
        </is>
      </c>
      <c r="F141" s="17" t="inlineStr">
        <is>
          <t>미확인</t>
        </is>
      </c>
      <c r="G141" s="17" t="inlineStr">
        <is>
          <t>웹조사 자동화 실패(세션한도)</t>
        </is>
      </c>
      <c r="H141" s="17" t="inlineStr">
        <is>
          <t>N</t>
        </is>
      </c>
      <c r="I141" s="17" t="inlineStr">
        <is>
          <t>회사 공시·홈페이지</t>
        </is>
      </c>
      <c r="J141" s="17" t="inlineStr">
        <is>
          <t>회사 공시·홈페이지에서 확인</t>
        </is>
      </c>
      <c r="K141" s="17" t="inlineStr">
        <is>
          <t>낮음</t>
        </is>
      </c>
      <c r="L141" s="17" t="inlineStr"/>
    </row>
    <row r="142">
      <c r="A142" s="17" t="inlineStr">
        <is>
          <t>C023</t>
        </is>
      </c>
      <c r="B142" s="17" t="inlineStr"/>
      <c r="C142" s="17" t="inlineStr">
        <is>
          <t>주식회사제노스</t>
        </is>
      </c>
      <c r="D142" s="17" t="inlineStr"/>
      <c r="E142" s="17" t="inlineStr">
        <is>
          <t>FDA·EMA 실사</t>
        </is>
      </c>
      <c r="F142" s="17" t="inlineStr">
        <is>
          <t>미확인</t>
        </is>
      </c>
      <c r="G142" s="17" t="inlineStr">
        <is>
          <t>웹조사 자동화 실패(세션한도)</t>
        </is>
      </c>
      <c r="H142" s="17" t="inlineStr">
        <is>
          <t>N</t>
        </is>
      </c>
      <c r="I142" s="17" t="inlineStr">
        <is>
          <t>FDA Inspection DB</t>
        </is>
      </c>
      <c r="J142" s="17" t="inlineStr">
        <is>
          <t>FDA Inspection DB에서 확인</t>
        </is>
      </c>
      <c r="K142" s="17" t="inlineStr">
        <is>
          <t>낮음</t>
        </is>
      </c>
      <c r="L142" s="17" t="inlineStr"/>
    </row>
    <row r="143">
      <c r="A143" s="17" t="inlineStr">
        <is>
          <t>C023</t>
        </is>
      </c>
      <c r="B143" s="17" t="inlineStr"/>
      <c r="C143" s="17" t="inlineStr">
        <is>
          <t>주식회사제노스</t>
        </is>
      </c>
      <c r="D143" s="17" t="inlineStr"/>
      <c r="E143" s="17" t="inlineStr">
        <is>
          <t>CMO·CDMO</t>
        </is>
      </c>
      <c r="F143" s="17" t="inlineStr">
        <is>
          <t>미확인</t>
        </is>
      </c>
      <c r="G143" s="17" t="inlineStr">
        <is>
          <t>웹조사 자동화 실패(세션한도)</t>
        </is>
      </c>
      <c r="H143" s="17" t="inlineStr">
        <is>
          <t>N</t>
        </is>
      </c>
      <c r="I143" s="17" t="inlineStr">
        <is>
          <t>회사 홈페이지</t>
        </is>
      </c>
      <c r="J143" s="17" t="inlineStr">
        <is>
          <t>회사 홈페이지에서 확인</t>
        </is>
      </c>
      <c r="K143" s="17" t="inlineStr">
        <is>
          <t>낮음</t>
        </is>
      </c>
      <c r="L143" s="17" t="inlineStr"/>
    </row>
    <row r="144">
      <c r="A144" s="17" t="inlineStr">
        <is>
          <t>C023</t>
        </is>
      </c>
      <c r="B144" s="17" t="inlineStr"/>
      <c r="C144" s="17" t="inlineStr">
        <is>
          <t>주식회사제노스</t>
        </is>
      </c>
      <c r="D144" s="17" t="inlineStr"/>
      <c r="E144" s="17" t="inlineStr">
        <is>
          <t>신공장·증설</t>
        </is>
      </c>
      <c r="F144" s="17" t="inlineStr">
        <is>
          <t>미확인</t>
        </is>
      </c>
      <c r="G144" s="17" t="inlineStr">
        <is>
          <t>웹조사 자동화 실패(세션한도)</t>
        </is>
      </c>
      <c r="H144" s="17" t="inlineStr">
        <is>
          <t>N</t>
        </is>
      </c>
      <c r="I144" s="17" t="inlineStr">
        <is>
          <t>언론·지자체 발표</t>
        </is>
      </c>
      <c r="J144" s="17" t="inlineStr">
        <is>
          <t>언론·지자체 발표에서 확인</t>
        </is>
      </c>
      <c r="K144" s="17" t="inlineStr">
        <is>
          <t>낮음</t>
        </is>
      </c>
      <c r="L144" s="17" t="inlineStr"/>
    </row>
    <row r="145">
      <c r="A145" s="17" t="inlineStr">
        <is>
          <t>C024</t>
        </is>
      </c>
      <c r="B145" s="17" t="inlineStr"/>
      <c r="C145" s="17" t="inlineStr">
        <is>
          <t>(주)비앤씨코리아</t>
        </is>
      </c>
      <c r="D145" s="17" t="inlineStr"/>
      <c r="E145" s="17" t="inlineStr">
        <is>
          <t>최근매출(억원)</t>
        </is>
      </c>
      <c r="F145" s="17" t="inlineStr">
        <is>
          <t>미확인</t>
        </is>
      </c>
      <c r="G145" s="17" t="inlineStr">
        <is>
          <t>웹조사 자동화 실패(세션한도)</t>
        </is>
      </c>
      <c r="H145" s="17" t="inlineStr">
        <is>
          <t>N</t>
        </is>
      </c>
      <c r="I145" s="17" t="inlineStr">
        <is>
          <t>DART 사업보고서</t>
        </is>
      </c>
      <c r="J145" s="17" t="inlineStr">
        <is>
          <t>DART 사업보고서에서 확인</t>
        </is>
      </c>
      <c r="K145" s="17" t="inlineStr">
        <is>
          <t>낮음</t>
        </is>
      </c>
      <c r="L145" s="17" t="inlineStr"/>
    </row>
    <row r="146">
      <c r="A146" s="17" t="inlineStr">
        <is>
          <t>C024</t>
        </is>
      </c>
      <c r="B146" s="17" t="inlineStr"/>
      <c r="C146" s="17" t="inlineStr">
        <is>
          <t>(주)비앤씨코리아</t>
        </is>
      </c>
      <c r="D146" s="17" t="inlineStr"/>
      <c r="E146" s="17" t="inlineStr">
        <is>
          <t>종업원수</t>
        </is>
      </c>
      <c r="F146" s="17" t="inlineStr">
        <is>
          <t>미확인</t>
        </is>
      </c>
      <c r="G146" s="17" t="inlineStr">
        <is>
          <t>웹조사 자동화 실패(세션한도)</t>
        </is>
      </c>
      <c r="H146" s="17" t="inlineStr">
        <is>
          <t>N</t>
        </is>
      </c>
      <c r="I146" s="17" t="inlineStr">
        <is>
          <t>DART/채용</t>
        </is>
      </c>
      <c r="J146" s="17" t="inlineStr">
        <is>
          <t>DART/채용에서 확인</t>
        </is>
      </c>
      <c r="K146" s="17" t="inlineStr">
        <is>
          <t>낮음</t>
        </is>
      </c>
      <c r="L146" s="17" t="inlineStr"/>
    </row>
    <row r="147">
      <c r="A147" s="17" t="inlineStr">
        <is>
          <t>C024</t>
        </is>
      </c>
      <c r="B147" s="17" t="inlineStr"/>
      <c r="C147" s="17" t="inlineStr">
        <is>
          <t>(주)비앤씨코리아</t>
        </is>
      </c>
      <c r="D147" s="17" t="inlineStr"/>
      <c r="E147" s="17" t="inlineStr">
        <is>
          <t>수출여부</t>
        </is>
      </c>
      <c r="F147" s="17" t="inlineStr">
        <is>
          <t>미확인</t>
        </is>
      </c>
      <c r="G147" s="17" t="inlineStr">
        <is>
          <t>웹조사 자동화 실패(세션한도)</t>
        </is>
      </c>
      <c r="H147" s="17" t="inlineStr">
        <is>
          <t>N</t>
        </is>
      </c>
      <c r="I147" s="17" t="inlineStr">
        <is>
          <t>회사 공시·홈페이지</t>
        </is>
      </c>
      <c r="J147" s="17" t="inlineStr">
        <is>
          <t>회사 공시·홈페이지에서 확인</t>
        </is>
      </c>
      <c r="K147" s="17" t="inlineStr">
        <is>
          <t>낮음</t>
        </is>
      </c>
      <c r="L147" s="17" t="inlineStr"/>
    </row>
    <row r="148">
      <c r="A148" s="17" t="inlineStr">
        <is>
          <t>C024</t>
        </is>
      </c>
      <c r="B148" s="17" t="inlineStr"/>
      <c r="C148" s="17" t="inlineStr">
        <is>
          <t>(주)비앤씨코리아</t>
        </is>
      </c>
      <c r="D148" s="17" t="inlineStr"/>
      <c r="E148" s="17" t="inlineStr">
        <is>
          <t>FDA·EMA 실사</t>
        </is>
      </c>
      <c r="F148" s="17" t="inlineStr">
        <is>
          <t>미확인</t>
        </is>
      </c>
      <c r="G148" s="17" t="inlineStr">
        <is>
          <t>웹조사 자동화 실패(세션한도)</t>
        </is>
      </c>
      <c r="H148" s="17" t="inlineStr">
        <is>
          <t>N</t>
        </is>
      </c>
      <c r="I148" s="17" t="inlineStr">
        <is>
          <t>FDA Inspection DB</t>
        </is>
      </c>
      <c r="J148" s="17" t="inlineStr">
        <is>
          <t>FDA Inspection DB에서 확인</t>
        </is>
      </c>
      <c r="K148" s="17" t="inlineStr">
        <is>
          <t>낮음</t>
        </is>
      </c>
      <c r="L148" s="17" t="inlineStr"/>
    </row>
    <row r="149">
      <c r="A149" s="17" t="inlineStr">
        <is>
          <t>C024</t>
        </is>
      </c>
      <c r="B149" s="17" t="inlineStr"/>
      <c r="C149" s="17" t="inlineStr">
        <is>
          <t>(주)비앤씨코리아</t>
        </is>
      </c>
      <c r="D149" s="17" t="inlineStr"/>
      <c r="E149" s="17" t="inlineStr">
        <is>
          <t>CMO·CDMO</t>
        </is>
      </c>
      <c r="F149" s="17" t="inlineStr">
        <is>
          <t>미확인</t>
        </is>
      </c>
      <c r="G149" s="17" t="inlineStr">
        <is>
          <t>웹조사 자동화 실패(세션한도)</t>
        </is>
      </c>
      <c r="H149" s="17" t="inlineStr">
        <is>
          <t>N</t>
        </is>
      </c>
      <c r="I149" s="17" t="inlineStr">
        <is>
          <t>회사 홈페이지</t>
        </is>
      </c>
      <c r="J149" s="17" t="inlineStr">
        <is>
          <t>회사 홈페이지에서 확인</t>
        </is>
      </c>
      <c r="K149" s="17" t="inlineStr">
        <is>
          <t>낮음</t>
        </is>
      </c>
      <c r="L149" s="17" t="inlineStr"/>
    </row>
    <row r="150">
      <c r="A150" s="17" t="inlineStr">
        <is>
          <t>C024</t>
        </is>
      </c>
      <c r="B150" s="17" t="inlineStr"/>
      <c r="C150" s="17" t="inlineStr">
        <is>
          <t>(주)비앤씨코리아</t>
        </is>
      </c>
      <c r="D150" s="17" t="inlineStr"/>
      <c r="E150" s="17" t="inlineStr">
        <is>
          <t>신공장·증설</t>
        </is>
      </c>
      <c r="F150" s="17" t="inlineStr">
        <is>
          <t>미확인</t>
        </is>
      </c>
      <c r="G150" s="17" t="inlineStr">
        <is>
          <t>웹조사 자동화 실패(세션한도)</t>
        </is>
      </c>
      <c r="H150" s="17" t="inlineStr">
        <is>
          <t>N</t>
        </is>
      </c>
      <c r="I150" s="17" t="inlineStr">
        <is>
          <t>언론·지자체 발표</t>
        </is>
      </c>
      <c r="J150" s="17" t="inlineStr">
        <is>
          <t>언론·지자체 발표에서 확인</t>
        </is>
      </c>
      <c r="K150" s="17" t="inlineStr">
        <is>
          <t>낮음</t>
        </is>
      </c>
      <c r="L150" s="17" t="inlineStr"/>
    </row>
    <row r="151">
      <c r="A151" s="17" t="inlineStr">
        <is>
          <t>C025</t>
        </is>
      </c>
      <c r="B151" s="17" t="inlineStr"/>
      <c r="C151" s="17" t="inlineStr">
        <is>
          <t>삼성산소(주)</t>
        </is>
      </c>
      <c r="D151" s="17" t="inlineStr"/>
      <c r="E151" s="17" t="inlineStr">
        <is>
          <t>최근매출(억원)</t>
        </is>
      </c>
      <c r="F151" s="17" t="inlineStr">
        <is>
          <t>미확인</t>
        </is>
      </c>
      <c r="G151" s="17" t="inlineStr">
        <is>
          <t>웹조사 자동화 실패(세션한도)</t>
        </is>
      </c>
      <c r="H151" s="17" t="inlineStr">
        <is>
          <t>N</t>
        </is>
      </c>
      <c r="I151" s="17" t="inlineStr">
        <is>
          <t>DART 사업보고서</t>
        </is>
      </c>
      <c r="J151" s="17" t="inlineStr">
        <is>
          <t>DART 사업보고서에서 확인</t>
        </is>
      </c>
      <c r="K151" s="17" t="inlineStr">
        <is>
          <t>낮음</t>
        </is>
      </c>
      <c r="L151" s="17" t="inlineStr"/>
    </row>
    <row r="152">
      <c r="A152" s="17" t="inlineStr">
        <is>
          <t>C025</t>
        </is>
      </c>
      <c r="B152" s="17" t="inlineStr"/>
      <c r="C152" s="17" t="inlineStr">
        <is>
          <t>삼성산소(주)</t>
        </is>
      </c>
      <c r="D152" s="17" t="inlineStr"/>
      <c r="E152" s="17" t="inlineStr">
        <is>
          <t>종업원수</t>
        </is>
      </c>
      <c r="F152" s="17" t="inlineStr">
        <is>
          <t>미확인</t>
        </is>
      </c>
      <c r="G152" s="17" t="inlineStr">
        <is>
          <t>웹조사 자동화 실패(세션한도)</t>
        </is>
      </c>
      <c r="H152" s="17" t="inlineStr">
        <is>
          <t>N</t>
        </is>
      </c>
      <c r="I152" s="17" t="inlineStr">
        <is>
          <t>DART/채용</t>
        </is>
      </c>
      <c r="J152" s="17" t="inlineStr">
        <is>
          <t>DART/채용에서 확인</t>
        </is>
      </c>
      <c r="K152" s="17" t="inlineStr">
        <is>
          <t>낮음</t>
        </is>
      </c>
      <c r="L152" s="17" t="inlineStr"/>
    </row>
    <row r="153">
      <c r="A153" s="17" t="inlineStr">
        <is>
          <t>C025</t>
        </is>
      </c>
      <c r="B153" s="17" t="inlineStr"/>
      <c r="C153" s="17" t="inlineStr">
        <is>
          <t>삼성산소(주)</t>
        </is>
      </c>
      <c r="D153" s="17" t="inlineStr"/>
      <c r="E153" s="17" t="inlineStr">
        <is>
          <t>수출여부</t>
        </is>
      </c>
      <c r="F153" s="17" t="inlineStr">
        <is>
          <t>미확인</t>
        </is>
      </c>
      <c r="G153" s="17" t="inlineStr">
        <is>
          <t>웹조사 자동화 실패(세션한도)</t>
        </is>
      </c>
      <c r="H153" s="17" t="inlineStr">
        <is>
          <t>N</t>
        </is>
      </c>
      <c r="I153" s="17" t="inlineStr">
        <is>
          <t>회사 공시·홈페이지</t>
        </is>
      </c>
      <c r="J153" s="17" t="inlineStr">
        <is>
          <t>회사 공시·홈페이지에서 확인</t>
        </is>
      </c>
      <c r="K153" s="17" t="inlineStr">
        <is>
          <t>낮음</t>
        </is>
      </c>
      <c r="L153" s="17" t="inlineStr"/>
    </row>
    <row r="154">
      <c r="A154" s="17" t="inlineStr">
        <is>
          <t>C025</t>
        </is>
      </c>
      <c r="B154" s="17" t="inlineStr"/>
      <c r="C154" s="17" t="inlineStr">
        <is>
          <t>삼성산소(주)</t>
        </is>
      </c>
      <c r="D154" s="17" t="inlineStr"/>
      <c r="E154" s="17" t="inlineStr">
        <is>
          <t>FDA·EMA 실사</t>
        </is>
      </c>
      <c r="F154" s="17" t="inlineStr">
        <is>
          <t>미확인</t>
        </is>
      </c>
      <c r="G154" s="17" t="inlineStr">
        <is>
          <t>웹조사 자동화 실패(세션한도)</t>
        </is>
      </c>
      <c r="H154" s="17" t="inlineStr">
        <is>
          <t>N</t>
        </is>
      </c>
      <c r="I154" s="17" t="inlineStr">
        <is>
          <t>FDA Inspection DB</t>
        </is>
      </c>
      <c r="J154" s="17" t="inlineStr">
        <is>
          <t>FDA Inspection DB에서 확인</t>
        </is>
      </c>
      <c r="K154" s="17" t="inlineStr">
        <is>
          <t>낮음</t>
        </is>
      </c>
      <c r="L154" s="17" t="inlineStr"/>
    </row>
    <row r="155">
      <c r="A155" s="17" t="inlineStr">
        <is>
          <t>C025</t>
        </is>
      </c>
      <c r="B155" s="17" t="inlineStr"/>
      <c r="C155" s="17" t="inlineStr">
        <is>
          <t>삼성산소(주)</t>
        </is>
      </c>
      <c r="D155" s="17" t="inlineStr"/>
      <c r="E155" s="17" t="inlineStr">
        <is>
          <t>CMO·CDMO</t>
        </is>
      </c>
      <c r="F155" s="17" t="inlineStr">
        <is>
          <t>미확인</t>
        </is>
      </c>
      <c r="G155" s="17" t="inlineStr">
        <is>
          <t>웹조사 자동화 실패(세션한도)</t>
        </is>
      </c>
      <c r="H155" s="17" t="inlineStr">
        <is>
          <t>N</t>
        </is>
      </c>
      <c r="I155" s="17" t="inlineStr">
        <is>
          <t>회사 홈페이지</t>
        </is>
      </c>
      <c r="J155" s="17" t="inlineStr">
        <is>
          <t>회사 홈페이지에서 확인</t>
        </is>
      </c>
      <c r="K155" s="17" t="inlineStr">
        <is>
          <t>낮음</t>
        </is>
      </c>
      <c r="L155" s="17" t="inlineStr"/>
    </row>
    <row r="156">
      <c r="A156" s="17" t="inlineStr">
        <is>
          <t>C025</t>
        </is>
      </c>
      <c r="B156" s="17" t="inlineStr"/>
      <c r="C156" s="17" t="inlineStr">
        <is>
          <t>삼성산소(주)</t>
        </is>
      </c>
      <c r="D156" s="17" t="inlineStr"/>
      <c r="E156" s="17" t="inlineStr">
        <is>
          <t>신공장·증설</t>
        </is>
      </c>
      <c r="F156" s="17" t="inlineStr">
        <is>
          <t>미확인</t>
        </is>
      </c>
      <c r="G156" s="17" t="inlineStr">
        <is>
          <t>웹조사 자동화 실패(세션한도)</t>
        </is>
      </c>
      <c r="H156" s="17" t="inlineStr">
        <is>
          <t>N</t>
        </is>
      </c>
      <c r="I156" s="17" t="inlineStr">
        <is>
          <t>언론·지자체 발표</t>
        </is>
      </c>
      <c r="J156" s="17" t="inlineStr">
        <is>
          <t>언론·지자체 발표에서 확인</t>
        </is>
      </c>
      <c r="K156" s="17" t="inlineStr">
        <is>
          <t>낮음</t>
        </is>
      </c>
      <c r="L156" s="17" t="inlineStr"/>
    </row>
    <row r="157">
      <c r="A157" s="17" t="inlineStr">
        <is>
          <t>C026</t>
        </is>
      </c>
      <c r="B157" s="17" t="inlineStr"/>
      <c r="C157" s="17" t="inlineStr">
        <is>
          <t>유니메드제약(주)</t>
        </is>
      </c>
      <c r="D157" s="17" t="inlineStr"/>
      <c r="E157" s="17" t="inlineStr">
        <is>
          <t>최근매출(억원)</t>
        </is>
      </c>
      <c r="F157" s="17" t="inlineStr">
        <is>
          <t>미확인</t>
        </is>
      </c>
      <c r="G157" s="17" t="inlineStr">
        <is>
          <t>웹조사 자동화 실패(세션한도)</t>
        </is>
      </c>
      <c r="H157" s="17" t="inlineStr">
        <is>
          <t>N</t>
        </is>
      </c>
      <c r="I157" s="17" t="inlineStr">
        <is>
          <t>DART 사업보고서</t>
        </is>
      </c>
      <c r="J157" s="17" t="inlineStr">
        <is>
          <t>DART 사업보고서에서 확인</t>
        </is>
      </c>
      <c r="K157" s="17" t="inlineStr">
        <is>
          <t>낮음</t>
        </is>
      </c>
      <c r="L157" s="17" t="inlineStr"/>
    </row>
    <row r="158">
      <c r="A158" s="17" t="inlineStr">
        <is>
          <t>C026</t>
        </is>
      </c>
      <c r="B158" s="17" t="inlineStr"/>
      <c r="C158" s="17" t="inlineStr">
        <is>
          <t>유니메드제약(주)</t>
        </is>
      </c>
      <c r="D158" s="17" t="inlineStr"/>
      <c r="E158" s="17" t="inlineStr">
        <is>
          <t>종업원수</t>
        </is>
      </c>
      <c r="F158" s="17" t="inlineStr">
        <is>
          <t>미확인</t>
        </is>
      </c>
      <c r="G158" s="17" t="inlineStr">
        <is>
          <t>웹조사 자동화 실패(세션한도)</t>
        </is>
      </c>
      <c r="H158" s="17" t="inlineStr">
        <is>
          <t>N</t>
        </is>
      </c>
      <c r="I158" s="17" t="inlineStr">
        <is>
          <t>DART/채용</t>
        </is>
      </c>
      <c r="J158" s="17" t="inlineStr">
        <is>
          <t>DART/채용에서 확인</t>
        </is>
      </c>
      <c r="K158" s="17" t="inlineStr">
        <is>
          <t>낮음</t>
        </is>
      </c>
      <c r="L158" s="17" t="inlineStr"/>
    </row>
    <row r="159">
      <c r="A159" s="17" t="inlineStr">
        <is>
          <t>C026</t>
        </is>
      </c>
      <c r="B159" s="17" t="inlineStr"/>
      <c r="C159" s="17" t="inlineStr">
        <is>
          <t>유니메드제약(주)</t>
        </is>
      </c>
      <c r="D159" s="17" t="inlineStr"/>
      <c r="E159" s="17" t="inlineStr">
        <is>
          <t>수출여부</t>
        </is>
      </c>
      <c r="F159" s="17" t="inlineStr">
        <is>
          <t>미확인</t>
        </is>
      </c>
      <c r="G159" s="17" t="inlineStr">
        <is>
          <t>웹조사 자동화 실패(세션한도)</t>
        </is>
      </c>
      <c r="H159" s="17" t="inlineStr">
        <is>
          <t>N</t>
        </is>
      </c>
      <c r="I159" s="17" t="inlineStr">
        <is>
          <t>회사 공시·홈페이지</t>
        </is>
      </c>
      <c r="J159" s="17" t="inlineStr">
        <is>
          <t>회사 공시·홈페이지에서 확인</t>
        </is>
      </c>
      <c r="K159" s="17" t="inlineStr">
        <is>
          <t>낮음</t>
        </is>
      </c>
      <c r="L159" s="17" t="inlineStr"/>
    </row>
    <row r="160">
      <c r="A160" s="17" t="inlineStr">
        <is>
          <t>C026</t>
        </is>
      </c>
      <c r="B160" s="17" t="inlineStr"/>
      <c r="C160" s="17" t="inlineStr">
        <is>
          <t>유니메드제약(주)</t>
        </is>
      </c>
      <c r="D160" s="17" t="inlineStr"/>
      <c r="E160" s="17" t="inlineStr">
        <is>
          <t>FDA·EMA 실사</t>
        </is>
      </c>
      <c r="F160" s="17" t="inlineStr">
        <is>
          <t>미확인</t>
        </is>
      </c>
      <c r="G160" s="17" t="inlineStr">
        <is>
          <t>웹조사 자동화 실패(세션한도)</t>
        </is>
      </c>
      <c r="H160" s="17" t="inlineStr">
        <is>
          <t>N</t>
        </is>
      </c>
      <c r="I160" s="17" t="inlineStr">
        <is>
          <t>FDA Inspection DB</t>
        </is>
      </c>
      <c r="J160" s="17" t="inlineStr">
        <is>
          <t>FDA Inspection DB에서 확인</t>
        </is>
      </c>
      <c r="K160" s="17" t="inlineStr">
        <is>
          <t>낮음</t>
        </is>
      </c>
      <c r="L160" s="17" t="inlineStr"/>
    </row>
    <row r="161">
      <c r="A161" s="17" t="inlineStr">
        <is>
          <t>C026</t>
        </is>
      </c>
      <c r="B161" s="17" t="inlineStr"/>
      <c r="C161" s="17" t="inlineStr">
        <is>
          <t>유니메드제약(주)</t>
        </is>
      </c>
      <c r="D161" s="17" t="inlineStr"/>
      <c r="E161" s="17" t="inlineStr">
        <is>
          <t>CMO·CDMO</t>
        </is>
      </c>
      <c r="F161" s="17" t="inlineStr">
        <is>
          <t>미확인</t>
        </is>
      </c>
      <c r="G161" s="17" t="inlineStr">
        <is>
          <t>웹조사 자동화 실패(세션한도)</t>
        </is>
      </c>
      <c r="H161" s="17" t="inlineStr">
        <is>
          <t>N</t>
        </is>
      </c>
      <c r="I161" s="17" t="inlineStr">
        <is>
          <t>회사 홈페이지</t>
        </is>
      </c>
      <c r="J161" s="17" t="inlineStr">
        <is>
          <t>회사 홈페이지에서 확인</t>
        </is>
      </c>
      <c r="K161" s="17" t="inlineStr">
        <is>
          <t>낮음</t>
        </is>
      </c>
      <c r="L161" s="17" t="inlineStr"/>
    </row>
    <row r="162">
      <c r="A162" s="17" t="inlineStr">
        <is>
          <t>C026</t>
        </is>
      </c>
      <c r="B162" s="17" t="inlineStr"/>
      <c r="C162" s="17" t="inlineStr">
        <is>
          <t>유니메드제약(주)</t>
        </is>
      </c>
      <c r="D162" s="17" t="inlineStr"/>
      <c r="E162" s="17" t="inlineStr">
        <is>
          <t>신공장·증설</t>
        </is>
      </c>
      <c r="F162" s="17" t="inlineStr">
        <is>
          <t>미확인</t>
        </is>
      </c>
      <c r="G162" s="17" t="inlineStr">
        <is>
          <t>웹조사 자동화 실패(세션한도)</t>
        </is>
      </c>
      <c r="H162" s="17" t="inlineStr">
        <is>
          <t>N</t>
        </is>
      </c>
      <c r="I162" s="17" t="inlineStr">
        <is>
          <t>언론·지자체 발표</t>
        </is>
      </c>
      <c r="J162" s="17" t="inlineStr">
        <is>
          <t>언론·지자체 발표에서 확인</t>
        </is>
      </c>
      <c r="K162" s="17" t="inlineStr">
        <is>
          <t>낮음</t>
        </is>
      </c>
      <c r="L162" s="17" t="inlineStr"/>
    </row>
    <row r="163">
      <c r="A163" s="17" t="inlineStr">
        <is>
          <t>C027</t>
        </is>
      </c>
      <c r="B163" s="17" t="inlineStr"/>
      <c r="C163" s="17" t="inlineStr">
        <is>
          <t>(주)카이바이오텍</t>
        </is>
      </c>
      <c r="D163" s="17" t="inlineStr"/>
      <c r="E163" s="17" t="inlineStr">
        <is>
          <t>최근매출(억원)</t>
        </is>
      </c>
      <c r="F163" s="17" t="inlineStr">
        <is>
          <t>미확인</t>
        </is>
      </c>
      <c r="G163" s="17" t="inlineStr">
        <is>
          <t>웹조사 자동화 실패(세션한도)</t>
        </is>
      </c>
      <c r="H163" s="17" t="inlineStr">
        <is>
          <t>N</t>
        </is>
      </c>
      <c r="I163" s="17" t="inlineStr">
        <is>
          <t>DART 사업보고서</t>
        </is>
      </c>
      <c r="J163" s="17" t="inlineStr">
        <is>
          <t>DART 사업보고서에서 확인</t>
        </is>
      </c>
      <c r="K163" s="17" t="inlineStr">
        <is>
          <t>낮음</t>
        </is>
      </c>
      <c r="L163" s="17" t="inlineStr"/>
    </row>
    <row r="164">
      <c r="A164" s="17" t="inlineStr">
        <is>
          <t>C027</t>
        </is>
      </c>
      <c r="B164" s="17" t="inlineStr"/>
      <c r="C164" s="17" t="inlineStr">
        <is>
          <t>(주)카이바이오텍</t>
        </is>
      </c>
      <c r="D164" s="17" t="inlineStr"/>
      <c r="E164" s="17" t="inlineStr">
        <is>
          <t>종업원수</t>
        </is>
      </c>
      <c r="F164" s="17" t="inlineStr">
        <is>
          <t>미확인</t>
        </is>
      </c>
      <c r="G164" s="17" t="inlineStr">
        <is>
          <t>웹조사 자동화 실패(세션한도)</t>
        </is>
      </c>
      <c r="H164" s="17" t="inlineStr">
        <is>
          <t>N</t>
        </is>
      </c>
      <c r="I164" s="17" t="inlineStr">
        <is>
          <t>DART/채용</t>
        </is>
      </c>
      <c r="J164" s="17" t="inlineStr">
        <is>
          <t>DART/채용에서 확인</t>
        </is>
      </c>
      <c r="K164" s="17" t="inlineStr">
        <is>
          <t>낮음</t>
        </is>
      </c>
      <c r="L164" s="17" t="inlineStr"/>
    </row>
    <row r="165">
      <c r="A165" s="17" t="inlineStr">
        <is>
          <t>C027</t>
        </is>
      </c>
      <c r="B165" s="17" t="inlineStr"/>
      <c r="C165" s="17" t="inlineStr">
        <is>
          <t>(주)카이바이오텍</t>
        </is>
      </c>
      <c r="D165" s="17" t="inlineStr"/>
      <c r="E165" s="17" t="inlineStr">
        <is>
          <t>수출여부</t>
        </is>
      </c>
      <c r="F165" s="17" t="inlineStr">
        <is>
          <t>미확인</t>
        </is>
      </c>
      <c r="G165" s="17" t="inlineStr">
        <is>
          <t>웹조사 자동화 실패(세션한도)</t>
        </is>
      </c>
      <c r="H165" s="17" t="inlineStr">
        <is>
          <t>N</t>
        </is>
      </c>
      <c r="I165" s="17" t="inlineStr">
        <is>
          <t>회사 공시·홈페이지</t>
        </is>
      </c>
      <c r="J165" s="17" t="inlineStr">
        <is>
          <t>회사 공시·홈페이지에서 확인</t>
        </is>
      </c>
      <c r="K165" s="17" t="inlineStr">
        <is>
          <t>낮음</t>
        </is>
      </c>
      <c r="L165" s="17" t="inlineStr"/>
    </row>
    <row r="166">
      <c r="A166" s="17" t="inlineStr">
        <is>
          <t>C027</t>
        </is>
      </c>
      <c r="B166" s="17" t="inlineStr"/>
      <c r="C166" s="17" t="inlineStr">
        <is>
          <t>(주)카이바이오텍</t>
        </is>
      </c>
      <c r="D166" s="17" t="inlineStr"/>
      <c r="E166" s="17" t="inlineStr">
        <is>
          <t>FDA·EMA 실사</t>
        </is>
      </c>
      <c r="F166" s="17" t="inlineStr">
        <is>
          <t>미확인</t>
        </is>
      </c>
      <c r="G166" s="17" t="inlineStr">
        <is>
          <t>웹조사 자동화 실패(세션한도)</t>
        </is>
      </c>
      <c r="H166" s="17" t="inlineStr">
        <is>
          <t>N</t>
        </is>
      </c>
      <c r="I166" s="17" t="inlineStr">
        <is>
          <t>FDA Inspection DB</t>
        </is>
      </c>
      <c r="J166" s="17" t="inlineStr">
        <is>
          <t>FDA Inspection DB에서 확인</t>
        </is>
      </c>
      <c r="K166" s="17" t="inlineStr">
        <is>
          <t>낮음</t>
        </is>
      </c>
      <c r="L166" s="17" t="inlineStr"/>
    </row>
    <row r="167">
      <c r="A167" s="17" t="inlineStr">
        <is>
          <t>C027</t>
        </is>
      </c>
      <c r="B167" s="17" t="inlineStr"/>
      <c r="C167" s="17" t="inlineStr">
        <is>
          <t>(주)카이바이오텍</t>
        </is>
      </c>
      <c r="D167" s="17" t="inlineStr"/>
      <c r="E167" s="17" t="inlineStr">
        <is>
          <t>CMO·CDMO</t>
        </is>
      </c>
      <c r="F167" s="17" t="inlineStr">
        <is>
          <t>미확인</t>
        </is>
      </c>
      <c r="G167" s="17" t="inlineStr">
        <is>
          <t>웹조사 자동화 실패(세션한도)</t>
        </is>
      </c>
      <c r="H167" s="17" t="inlineStr">
        <is>
          <t>N</t>
        </is>
      </c>
      <c r="I167" s="17" t="inlineStr">
        <is>
          <t>회사 홈페이지</t>
        </is>
      </c>
      <c r="J167" s="17" t="inlineStr">
        <is>
          <t>회사 홈페이지에서 확인</t>
        </is>
      </c>
      <c r="K167" s="17" t="inlineStr">
        <is>
          <t>낮음</t>
        </is>
      </c>
      <c r="L167" s="17" t="inlineStr"/>
    </row>
    <row r="168">
      <c r="A168" s="17" t="inlineStr">
        <is>
          <t>C027</t>
        </is>
      </c>
      <c r="B168" s="17" t="inlineStr"/>
      <c r="C168" s="17" t="inlineStr">
        <is>
          <t>(주)카이바이오텍</t>
        </is>
      </c>
      <c r="D168" s="17" t="inlineStr"/>
      <c r="E168" s="17" t="inlineStr">
        <is>
          <t>신공장·증설</t>
        </is>
      </c>
      <c r="F168" s="17" t="inlineStr">
        <is>
          <t>미확인</t>
        </is>
      </c>
      <c r="G168" s="17" t="inlineStr">
        <is>
          <t>웹조사 자동화 실패(세션한도)</t>
        </is>
      </c>
      <c r="H168" s="17" t="inlineStr">
        <is>
          <t>N</t>
        </is>
      </c>
      <c r="I168" s="17" t="inlineStr">
        <is>
          <t>언론·지자체 발표</t>
        </is>
      </c>
      <c r="J168" s="17" t="inlineStr">
        <is>
          <t>언론·지자체 발표에서 확인</t>
        </is>
      </c>
      <c r="K168" s="17" t="inlineStr">
        <is>
          <t>낮음</t>
        </is>
      </c>
      <c r="L168" s="17" t="inlineStr"/>
    </row>
    <row r="169">
      <c r="A169" s="17" t="inlineStr">
        <is>
          <t>C027</t>
        </is>
      </c>
      <c r="B169" s="17" t="inlineStr"/>
      <c r="C169" s="17" t="inlineStr">
        <is>
          <t>(주)카이바이오텍</t>
        </is>
      </c>
      <c r="D169" s="17" t="inlineStr"/>
      <c r="E169" s="17" t="inlineStr">
        <is>
          <t>대표전화</t>
        </is>
      </c>
      <c r="F169" s="17" t="inlineStr">
        <is>
          <t>미확인</t>
        </is>
      </c>
      <c r="G169" s="17" t="inlineStr">
        <is>
          <t>제조소상세 미매칭</t>
        </is>
      </c>
      <c r="H169" s="17" t="inlineStr">
        <is>
          <t>Y</t>
        </is>
      </c>
      <c r="I169" s="17" t="inlineStr">
        <is>
          <t>회사 홈페이지</t>
        </is>
      </c>
      <c r="J169" s="17" t="inlineStr">
        <is>
          <t>홈페이지에서 대표번호 확인</t>
        </is>
      </c>
      <c r="K169" s="17" t="inlineStr">
        <is>
          <t>낮음</t>
        </is>
      </c>
      <c r="L169" s="17" t="inlineStr"/>
    </row>
    <row r="170">
      <c r="A170" s="17" t="inlineStr">
        <is>
          <t>C028</t>
        </is>
      </c>
      <c r="B170" s="17" t="inlineStr"/>
      <c r="C170" s="17" t="inlineStr">
        <is>
          <t>(주)셀릭스</t>
        </is>
      </c>
      <c r="D170" s="17" t="inlineStr"/>
      <c r="E170" s="17" t="inlineStr">
        <is>
          <t>최근매출(억원)</t>
        </is>
      </c>
      <c r="F170" s="17" t="inlineStr">
        <is>
          <t>미확인</t>
        </is>
      </c>
      <c r="G170" s="17" t="inlineStr">
        <is>
          <t>웹조사 자동화 실패(세션한도)</t>
        </is>
      </c>
      <c r="H170" s="17" t="inlineStr">
        <is>
          <t>N</t>
        </is>
      </c>
      <c r="I170" s="17" t="inlineStr">
        <is>
          <t>DART 사업보고서</t>
        </is>
      </c>
      <c r="J170" s="17" t="inlineStr">
        <is>
          <t>DART 사업보고서에서 확인</t>
        </is>
      </c>
      <c r="K170" s="17" t="inlineStr">
        <is>
          <t>낮음</t>
        </is>
      </c>
      <c r="L170" s="17" t="inlineStr"/>
    </row>
    <row r="171">
      <c r="A171" s="17" t="inlineStr">
        <is>
          <t>C028</t>
        </is>
      </c>
      <c r="B171" s="17" t="inlineStr"/>
      <c r="C171" s="17" t="inlineStr">
        <is>
          <t>(주)셀릭스</t>
        </is>
      </c>
      <c r="D171" s="17" t="inlineStr"/>
      <c r="E171" s="17" t="inlineStr">
        <is>
          <t>종업원수</t>
        </is>
      </c>
      <c r="F171" s="17" t="inlineStr">
        <is>
          <t>미확인</t>
        </is>
      </c>
      <c r="G171" s="17" t="inlineStr">
        <is>
          <t>웹조사 자동화 실패(세션한도)</t>
        </is>
      </c>
      <c r="H171" s="17" t="inlineStr">
        <is>
          <t>N</t>
        </is>
      </c>
      <c r="I171" s="17" t="inlineStr">
        <is>
          <t>DART/채용</t>
        </is>
      </c>
      <c r="J171" s="17" t="inlineStr">
        <is>
          <t>DART/채용에서 확인</t>
        </is>
      </c>
      <c r="K171" s="17" t="inlineStr">
        <is>
          <t>낮음</t>
        </is>
      </c>
      <c r="L171" s="17" t="inlineStr"/>
    </row>
    <row r="172">
      <c r="A172" s="17" t="inlineStr">
        <is>
          <t>C028</t>
        </is>
      </c>
      <c r="B172" s="17" t="inlineStr"/>
      <c r="C172" s="17" t="inlineStr">
        <is>
          <t>(주)셀릭스</t>
        </is>
      </c>
      <c r="D172" s="17" t="inlineStr"/>
      <c r="E172" s="17" t="inlineStr">
        <is>
          <t>수출여부</t>
        </is>
      </c>
      <c r="F172" s="17" t="inlineStr">
        <is>
          <t>미확인</t>
        </is>
      </c>
      <c r="G172" s="17" t="inlineStr">
        <is>
          <t>웹조사 자동화 실패(세션한도)</t>
        </is>
      </c>
      <c r="H172" s="17" t="inlineStr">
        <is>
          <t>N</t>
        </is>
      </c>
      <c r="I172" s="17" t="inlineStr">
        <is>
          <t>회사 공시·홈페이지</t>
        </is>
      </c>
      <c r="J172" s="17" t="inlineStr">
        <is>
          <t>회사 공시·홈페이지에서 확인</t>
        </is>
      </c>
      <c r="K172" s="17" t="inlineStr">
        <is>
          <t>낮음</t>
        </is>
      </c>
      <c r="L172" s="17" t="inlineStr"/>
    </row>
    <row r="173">
      <c r="A173" s="17" t="inlineStr">
        <is>
          <t>C028</t>
        </is>
      </c>
      <c r="B173" s="17" t="inlineStr"/>
      <c r="C173" s="17" t="inlineStr">
        <is>
          <t>(주)셀릭스</t>
        </is>
      </c>
      <c r="D173" s="17" t="inlineStr"/>
      <c r="E173" s="17" t="inlineStr">
        <is>
          <t>FDA·EMA 실사</t>
        </is>
      </c>
      <c r="F173" s="17" t="inlineStr">
        <is>
          <t>미확인</t>
        </is>
      </c>
      <c r="G173" s="17" t="inlineStr">
        <is>
          <t>웹조사 자동화 실패(세션한도)</t>
        </is>
      </c>
      <c r="H173" s="17" t="inlineStr">
        <is>
          <t>N</t>
        </is>
      </c>
      <c r="I173" s="17" t="inlineStr">
        <is>
          <t>FDA Inspection DB</t>
        </is>
      </c>
      <c r="J173" s="17" t="inlineStr">
        <is>
          <t>FDA Inspection DB에서 확인</t>
        </is>
      </c>
      <c r="K173" s="17" t="inlineStr">
        <is>
          <t>낮음</t>
        </is>
      </c>
      <c r="L173" s="17" t="inlineStr"/>
    </row>
    <row r="174">
      <c r="A174" s="17" t="inlineStr">
        <is>
          <t>C028</t>
        </is>
      </c>
      <c r="B174" s="17" t="inlineStr"/>
      <c r="C174" s="17" t="inlineStr">
        <is>
          <t>(주)셀릭스</t>
        </is>
      </c>
      <c r="D174" s="17" t="inlineStr"/>
      <c r="E174" s="17" t="inlineStr">
        <is>
          <t>CMO·CDMO</t>
        </is>
      </c>
      <c r="F174" s="17" t="inlineStr">
        <is>
          <t>미확인</t>
        </is>
      </c>
      <c r="G174" s="17" t="inlineStr">
        <is>
          <t>웹조사 자동화 실패(세션한도)</t>
        </is>
      </c>
      <c r="H174" s="17" t="inlineStr">
        <is>
          <t>N</t>
        </is>
      </c>
      <c r="I174" s="17" t="inlineStr">
        <is>
          <t>회사 홈페이지</t>
        </is>
      </c>
      <c r="J174" s="17" t="inlineStr">
        <is>
          <t>회사 홈페이지에서 확인</t>
        </is>
      </c>
      <c r="K174" s="17" t="inlineStr">
        <is>
          <t>낮음</t>
        </is>
      </c>
      <c r="L174" s="17" t="inlineStr"/>
    </row>
    <row r="175">
      <c r="A175" s="17" t="inlineStr">
        <is>
          <t>C028</t>
        </is>
      </c>
      <c r="B175" s="17" t="inlineStr"/>
      <c r="C175" s="17" t="inlineStr">
        <is>
          <t>(주)셀릭스</t>
        </is>
      </c>
      <c r="D175" s="17" t="inlineStr"/>
      <c r="E175" s="17" t="inlineStr">
        <is>
          <t>신공장·증설</t>
        </is>
      </c>
      <c r="F175" s="17" t="inlineStr">
        <is>
          <t>미확인</t>
        </is>
      </c>
      <c r="G175" s="17" t="inlineStr">
        <is>
          <t>웹조사 자동화 실패(세션한도)</t>
        </is>
      </c>
      <c r="H175" s="17" t="inlineStr">
        <is>
          <t>N</t>
        </is>
      </c>
      <c r="I175" s="17" t="inlineStr">
        <is>
          <t>언론·지자체 발표</t>
        </is>
      </c>
      <c r="J175" s="17" t="inlineStr">
        <is>
          <t>언론·지자체 발표에서 확인</t>
        </is>
      </c>
      <c r="K175" s="17" t="inlineStr">
        <is>
          <t>낮음</t>
        </is>
      </c>
      <c r="L175" s="17" t="inlineStr"/>
    </row>
    <row r="176">
      <c r="A176" s="17" t="inlineStr">
        <is>
          <t>C029</t>
        </is>
      </c>
      <c r="B176" s="17" t="inlineStr"/>
      <c r="C176" s="17" t="inlineStr">
        <is>
          <t>(주)아이월드제약</t>
        </is>
      </c>
      <c r="D176" s="17" t="inlineStr"/>
      <c r="E176" s="17" t="inlineStr">
        <is>
          <t>최근매출(억원)</t>
        </is>
      </c>
      <c r="F176" s="17" t="inlineStr">
        <is>
          <t>미확인</t>
        </is>
      </c>
      <c r="G176" s="17" t="inlineStr">
        <is>
          <t>웹조사 자동화 실패(세션한도)</t>
        </is>
      </c>
      <c r="H176" s="17" t="inlineStr">
        <is>
          <t>N</t>
        </is>
      </c>
      <c r="I176" s="17" t="inlineStr">
        <is>
          <t>DART 사업보고서</t>
        </is>
      </c>
      <c r="J176" s="17" t="inlineStr">
        <is>
          <t>DART 사업보고서에서 확인</t>
        </is>
      </c>
      <c r="K176" s="17" t="inlineStr">
        <is>
          <t>낮음</t>
        </is>
      </c>
      <c r="L176" s="17" t="inlineStr"/>
    </row>
    <row r="177">
      <c r="A177" s="17" t="inlineStr">
        <is>
          <t>C029</t>
        </is>
      </c>
      <c r="B177" s="17" t="inlineStr"/>
      <c r="C177" s="17" t="inlineStr">
        <is>
          <t>(주)아이월드제약</t>
        </is>
      </c>
      <c r="D177" s="17" t="inlineStr"/>
      <c r="E177" s="17" t="inlineStr">
        <is>
          <t>종업원수</t>
        </is>
      </c>
      <c r="F177" s="17" t="inlineStr">
        <is>
          <t>미확인</t>
        </is>
      </c>
      <c r="G177" s="17" t="inlineStr">
        <is>
          <t>웹조사 자동화 실패(세션한도)</t>
        </is>
      </c>
      <c r="H177" s="17" t="inlineStr">
        <is>
          <t>N</t>
        </is>
      </c>
      <c r="I177" s="17" t="inlineStr">
        <is>
          <t>DART/채용</t>
        </is>
      </c>
      <c r="J177" s="17" t="inlineStr">
        <is>
          <t>DART/채용에서 확인</t>
        </is>
      </c>
      <c r="K177" s="17" t="inlineStr">
        <is>
          <t>낮음</t>
        </is>
      </c>
      <c r="L177" s="17" t="inlineStr"/>
    </row>
    <row r="178">
      <c r="A178" s="17" t="inlineStr">
        <is>
          <t>C029</t>
        </is>
      </c>
      <c r="B178" s="17" t="inlineStr"/>
      <c r="C178" s="17" t="inlineStr">
        <is>
          <t>(주)아이월드제약</t>
        </is>
      </c>
      <c r="D178" s="17" t="inlineStr"/>
      <c r="E178" s="17" t="inlineStr">
        <is>
          <t>수출여부</t>
        </is>
      </c>
      <c r="F178" s="17" t="inlineStr">
        <is>
          <t>미확인</t>
        </is>
      </c>
      <c r="G178" s="17" t="inlineStr">
        <is>
          <t>웹조사 자동화 실패(세션한도)</t>
        </is>
      </c>
      <c r="H178" s="17" t="inlineStr">
        <is>
          <t>N</t>
        </is>
      </c>
      <c r="I178" s="17" t="inlineStr">
        <is>
          <t>회사 공시·홈페이지</t>
        </is>
      </c>
      <c r="J178" s="17" t="inlineStr">
        <is>
          <t>회사 공시·홈페이지에서 확인</t>
        </is>
      </c>
      <c r="K178" s="17" t="inlineStr">
        <is>
          <t>낮음</t>
        </is>
      </c>
      <c r="L178" s="17" t="inlineStr"/>
    </row>
    <row r="179">
      <c r="A179" s="17" t="inlineStr">
        <is>
          <t>C029</t>
        </is>
      </c>
      <c r="B179" s="17" t="inlineStr"/>
      <c r="C179" s="17" t="inlineStr">
        <is>
          <t>(주)아이월드제약</t>
        </is>
      </c>
      <c r="D179" s="17" t="inlineStr"/>
      <c r="E179" s="17" t="inlineStr">
        <is>
          <t>FDA·EMA 실사</t>
        </is>
      </c>
      <c r="F179" s="17" t="inlineStr">
        <is>
          <t>미확인</t>
        </is>
      </c>
      <c r="G179" s="17" t="inlineStr">
        <is>
          <t>웹조사 자동화 실패(세션한도)</t>
        </is>
      </c>
      <c r="H179" s="17" t="inlineStr">
        <is>
          <t>N</t>
        </is>
      </c>
      <c r="I179" s="17" t="inlineStr">
        <is>
          <t>FDA Inspection DB</t>
        </is>
      </c>
      <c r="J179" s="17" t="inlineStr">
        <is>
          <t>FDA Inspection DB에서 확인</t>
        </is>
      </c>
      <c r="K179" s="17" t="inlineStr">
        <is>
          <t>낮음</t>
        </is>
      </c>
      <c r="L179" s="17" t="inlineStr"/>
    </row>
    <row r="180">
      <c r="A180" s="17" t="inlineStr">
        <is>
          <t>C029</t>
        </is>
      </c>
      <c r="B180" s="17" t="inlineStr"/>
      <c r="C180" s="17" t="inlineStr">
        <is>
          <t>(주)아이월드제약</t>
        </is>
      </c>
      <c r="D180" s="17" t="inlineStr"/>
      <c r="E180" s="17" t="inlineStr">
        <is>
          <t>CMO·CDMO</t>
        </is>
      </c>
      <c r="F180" s="17" t="inlineStr">
        <is>
          <t>미확인</t>
        </is>
      </c>
      <c r="G180" s="17" t="inlineStr">
        <is>
          <t>웹조사 자동화 실패(세션한도)</t>
        </is>
      </c>
      <c r="H180" s="17" t="inlineStr">
        <is>
          <t>N</t>
        </is>
      </c>
      <c r="I180" s="17" t="inlineStr">
        <is>
          <t>회사 홈페이지</t>
        </is>
      </c>
      <c r="J180" s="17" t="inlineStr">
        <is>
          <t>회사 홈페이지에서 확인</t>
        </is>
      </c>
      <c r="K180" s="17" t="inlineStr">
        <is>
          <t>낮음</t>
        </is>
      </c>
      <c r="L180" s="17" t="inlineStr"/>
    </row>
    <row r="181">
      <c r="A181" s="17" t="inlineStr">
        <is>
          <t>C029</t>
        </is>
      </c>
      <c r="B181" s="17" t="inlineStr"/>
      <c r="C181" s="17" t="inlineStr">
        <is>
          <t>(주)아이월드제약</t>
        </is>
      </c>
      <c r="D181" s="17" t="inlineStr"/>
      <c r="E181" s="17" t="inlineStr">
        <is>
          <t>신공장·증설</t>
        </is>
      </c>
      <c r="F181" s="17" t="inlineStr">
        <is>
          <t>미확인</t>
        </is>
      </c>
      <c r="G181" s="17" t="inlineStr">
        <is>
          <t>웹조사 자동화 실패(세션한도)</t>
        </is>
      </c>
      <c r="H181" s="17" t="inlineStr">
        <is>
          <t>N</t>
        </is>
      </c>
      <c r="I181" s="17" t="inlineStr">
        <is>
          <t>언론·지자체 발표</t>
        </is>
      </c>
      <c r="J181" s="17" t="inlineStr">
        <is>
          <t>언론·지자체 발표에서 확인</t>
        </is>
      </c>
      <c r="K181" s="17" t="inlineStr">
        <is>
          <t>낮음</t>
        </is>
      </c>
      <c r="L181" s="17" t="inlineStr"/>
    </row>
    <row r="182">
      <c r="A182" s="17" t="inlineStr">
        <is>
          <t>C030</t>
        </is>
      </c>
      <c r="B182" s="17" t="inlineStr"/>
      <c r="C182" s="17" t="inlineStr">
        <is>
          <t>(주)프로톡스</t>
        </is>
      </c>
      <c r="D182" s="17" t="inlineStr"/>
      <c r="E182" s="17" t="inlineStr">
        <is>
          <t>최근매출(억원)</t>
        </is>
      </c>
      <c r="F182" s="17" t="inlineStr">
        <is>
          <t>미확인</t>
        </is>
      </c>
      <c r="G182" s="17" t="inlineStr">
        <is>
          <t>웹조사 자동화 실패(세션한도)</t>
        </is>
      </c>
      <c r="H182" s="17" t="inlineStr">
        <is>
          <t>N</t>
        </is>
      </c>
      <c r="I182" s="17" t="inlineStr">
        <is>
          <t>DART 사업보고서</t>
        </is>
      </c>
      <c r="J182" s="17" t="inlineStr">
        <is>
          <t>DART 사업보고서에서 확인</t>
        </is>
      </c>
      <c r="K182" s="17" t="inlineStr">
        <is>
          <t>낮음</t>
        </is>
      </c>
      <c r="L182" s="17" t="inlineStr"/>
    </row>
    <row r="183">
      <c r="A183" s="17" t="inlineStr">
        <is>
          <t>C030</t>
        </is>
      </c>
      <c r="B183" s="17" t="inlineStr"/>
      <c r="C183" s="17" t="inlineStr">
        <is>
          <t>(주)프로톡스</t>
        </is>
      </c>
      <c r="D183" s="17" t="inlineStr"/>
      <c r="E183" s="17" t="inlineStr">
        <is>
          <t>종업원수</t>
        </is>
      </c>
      <c r="F183" s="17" t="inlineStr">
        <is>
          <t>미확인</t>
        </is>
      </c>
      <c r="G183" s="17" t="inlineStr">
        <is>
          <t>웹조사 자동화 실패(세션한도)</t>
        </is>
      </c>
      <c r="H183" s="17" t="inlineStr">
        <is>
          <t>N</t>
        </is>
      </c>
      <c r="I183" s="17" t="inlineStr">
        <is>
          <t>DART/채용</t>
        </is>
      </c>
      <c r="J183" s="17" t="inlineStr">
        <is>
          <t>DART/채용에서 확인</t>
        </is>
      </c>
      <c r="K183" s="17" t="inlineStr">
        <is>
          <t>낮음</t>
        </is>
      </c>
      <c r="L183" s="17" t="inlineStr"/>
    </row>
    <row r="184">
      <c r="A184" s="17" t="inlineStr">
        <is>
          <t>C030</t>
        </is>
      </c>
      <c r="B184" s="17" t="inlineStr"/>
      <c r="C184" s="17" t="inlineStr">
        <is>
          <t>(주)프로톡스</t>
        </is>
      </c>
      <c r="D184" s="17" t="inlineStr"/>
      <c r="E184" s="17" t="inlineStr">
        <is>
          <t>수출여부</t>
        </is>
      </c>
      <c r="F184" s="17" t="inlineStr">
        <is>
          <t>미확인</t>
        </is>
      </c>
      <c r="G184" s="17" t="inlineStr">
        <is>
          <t>웹조사 자동화 실패(세션한도)</t>
        </is>
      </c>
      <c r="H184" s="17" t="inlineStr">
        <is>
          <t>N</t>
        </is>
      </c>
      <c r="I184" s="17" t="inlineStr">
        <is>
          <t>회사 공시·홈페이지</t>
        </is>
      </c>
      <c r="J184" s="17" t="inlineStr">
        <is>
          <t>회사 공시·홈페이지에서 확인</t>
        </is>
      </c>
      <c r="K184" s="17" t="inlineStr">
        <is>
          <t>낮음</t>
        </is>
      </c>
      <c r="L184" s="17" t="inlineStr"/>
    </row>
    <row r="185">
      <c r="A185" s="17" t="inlineStr">
        <is>
          <t>C030</t>
        </is>
      </c>
      <c r="B185" s="17" t="inlineStr"/>
      <c r="C185" s="17" t="inlineStr">
        <is>
          <t>(주)프로톡스</t>
        </is>
      </c>
      <c r="D185" s="17" t="inlineStr"/>
      <c r="E185" s="17" t="inlineStr">
        <is>
          <t>FDA·EMA 실사</t>
        </is>
      </c>
      <c r="F185" s="17" t="inlineStr">
        <is>
          <t>미확인</t>
        </is>
      </c>
      <c r="G185" s="17" t="inlineStr">
        <is>
          <t>웹조사 자동화 실패(세션한도)</t>
        </is>
      </c>
      <c r="H185" s="17" t="inlineStr">
        <is>
          <t>N</t>
        </is>
      </c>
      <c r="I185" s="17" t="inlineStr">
        <is>
          <t>FDA Inspection DB</t>
        </is>
      </c>
      <c r="J185" s="17" t="inlineStr">
        <is>
          <t>FDA Inspection DB에서 확인</t>
        </is>
      </c>
      <c r="K185" s="17" t="inlineStr">
        <is>
          <t>낮음</t>
        </is>
      </c>
      <c r="L185" s="17" t="inlineStr"/>
    </row>
    <row r="186">
      <c r="A186" s="17" t="inlineStr">
        <is>
          <t>C030</t>
        </is>
      </c>
      <c r="B186" s="17" t="inlineStr"/>
      <c r="C186" s="17" t="inlineStr">
        <is>
          <t>(주)프로톡스</t>
        </is>
      </c>
      <c r="D186" s="17" t="inlineStr"/>
      <c r="E186" s="17" t="inlineStr">
        <is>
          <t>CMO·CDMO</t>
        </is>
      </c>
      <c r="F186" s="17" t="inlineStr">
        <is>
          <t>미확인</t>
        </is>
      </c>
      <c r="G186" s="17" t="inlineStr">
        <is>
          <t>웹조사 자동화 실패(세션한도)</t>
        </is>
      </c>
      <c r="H186" s="17" t="inlineStr">
        <is>
          <t>N</t>
        </is>
      </c>
      <c r="I186" s="17" t="inlineStr">
        <is>
          <t>회사 홈페이지</t>
        </is>
      </c>
      <c r="J186" s="17" t="inlineStr">
        <is>
          <t>회사 홈페이지에서 확인</t>
        </is>
      </c>
      <c r="K186" s="17" t="inlineStr">
        <is>
          <t>낮음</t>
        </is>
      </c>
      <c r="L186" s="17" t="inlineStr"/>
    </row>
    <row r="187">
      <c r="A187" s="17" t="inlineStr">
        <is>
          <t>C030</t>
        </is>
      </c>
      <c r="B187" s="17" t="inlineStr"/>
      <c r="C187" s="17" t="inlineStr">
        <is>
          <t>(주)프로톡스</t>
        </is>
      </c>
      <c r="D187" s="17" t="inlineStr"/>
      <c r="E187" s="17" t="inlineStr">
        <is>
          <t>신공장·증설</t>
        </is>
      </c>
      <c r="F187" s="17" t="inlineStr">
        <is>
          <t>미확인</t>
        </is>
      </c>
      <c r="G187" s="17" t="inlineStr">
        <is>
          <t>웹조사 자동화 실패(세션한도)</t>
        </is>
      </c>
      <c r="H187" s="17" t="inlineStr">
        <is>
          <t>N</t>
        </is>
      </c>
      <c r="I187" s="17" t="inlineStr">
        <is>
          <t>언론·지자체 발표</t>
        </is>
      </c>
      <c r="J187" s="17" t="inlineStr">
        <is>
          <t>언론·지자체 발표에서 확인</t>
        </is>
      </c>
      <c r="K187" s="17" t="inlineStr">
        <is>
          <t>낮음</t>
        </is>
      </c>
      <c r="L187" s="17" t="inlineStr"/>
    </row>
    <row r="188">
      <c r="A188" s="17" t="inlineStr">
        <is>
          <t>C030</t>
        </is>
      </c>
      <c r="B188" s="17" t="inlineStr"/>
      <c r="C188" s="17" t="inlineStr">
        <is>
          <t>(주)프로톡스</t>
        </is>
      </c>
      <c r="D188" s="17" t="inlineStr"/>
      <c r="E188" s="17" t="inlineStr">
        <is>
          <t>대표전화</t>
        </is>
      </c>
      <c r="F188" s="17" t="inlineStr">
        <is>
          <t>미확인</t>
        </is>
      </c>
      <c r="G188" s="17" t="inlineStr">
        <is>
          <t>제조소상세 미매칭</t>
        </is>
      </c>
      <c r="H188" s="17" t="inlineStr">
        <is>
          <t>Y</t>
        </is>
      </c>
      <c r="I188" s="17" t="inlineStr">
        <is>
          <t>회사 홈페이지</t>
        </is>
      </c>
      <c r="J188" s="17" t="inlineStr">
        <is>
          <t>홈페이지에서 대표번호 확인</t>
        </is>
      </c>
      <c r="K188" s="17" t="inlineStr">
        <is>
          <t>낮음</t>
        </is>
      </c>
      <c r="L188" s="17" t="inlineStr"/>
    </row>
    <row r="189">
      <c r="A189" s="17" t="inlineStr">
        <is>
          <t>C031</t>
        </is>
      </c>
      <c r="B189" s="17" t="inlineStr"/>
      <c r="C189" s="17" t="inlineStr">
        <is>
          <t>라이프슈티컬</t>
        </is>
      </c>
      <c r="D189" s="17" t="inlineStr"/>
      <c r="E189" s="17" t="inlineStr">
        <is>
          <t>최근매출(억원)</t>
        </is>
      </c>
      <c r="F189" s="17" t="inlineStr">
        <is>
          <t>미확인</t>
        </is>
      </c>
      <c r="G189" s="17" t="inlineStr">
        <is>
          <t>웹조사 자동화 실패(세션한도)</t>
        </is>
      </c>
      <c r="H189" s="17" t="inlineStr">
        <is>
          <t>N</t>
        </is>
      </c>
      <c r="I189" s="17" t="inlineStr">
        <is>
          <t>DART 사업보고서</t>
        </is>
      </c>
      <c r="J189" s="17" t="inlineStr">
        <is>
          <t>DART 사업보고서에서 확인</t>
        </is>
      </c>
      <c r="K189" s="17" t="inlineStr">
        <is>
          <t>낮음</t>
        </is>
      </c>
      <c r="L189" s="17" t="inlineStr"/>
    </row>
    <row r="190">
      <c r="A190" s="17" t="inlineStr">
        <is>
          <t>C031</t>
        </is>
      </c>
      <c r="B190" s="17" t="inlineStr"/>
      <c r="C190" s="17" t="inlineStr">
        <is>
          <t>라이프슈티컬</t>
        </is>
      </c>
      <c r="D190" s="17" t="inlineStr"/>
      <c r="E190" s="17" t="inlineStr">
        <is>
          <t>종업원수</t>
        </is>
      </c>
      <c r="F190" s="17" t="inlineStr">
        <is>
          <t>미확인</t>
        </is>
      </c>
      <c r="G190" s="17" t="inlineStr">
        <is>
          <t>웹조사 자동화 실패(세션한도)</t>
        </is>
      </c>
      <c r="H190" s="17" t="inlineStr">
        <is>
          <t>N</t>
        </is>
      </c>
      <c r="I190" s="17" t="inlineStr">
        <is>
          <t>DART/채용</t>
        </is>
      </c>
      <c r="J190" s="17" t="inlineStr">
        <is>
          <t>DART/채용에서 확인</t>
        </is>
      </c>
      <c r="K190" s="17" t="inlineStr">
        <is>
          <t>낮음</t>
        </is>
      </c>
      <c r="L190" s="17" t="inlineStr"/>
    </row>
    <row r="191">
      <c r="A191" s="17" t="inlineStr">
        <is>
          <t>C031</t>
        </is>
      </c>
      <c r="B191" s="17" t="inlineStr"/>
      <c r="C191" s="17" t="inlineStr">
        <is>
          <t>라이프슈티컬</t>
        </is>
      </c>
      <c r="D191" s="17" t="inlineStr"/>
      <c r="E191" s="17" t="inlineStr">
        <is>
          <t>수출여부</t>
        </is>
      </c>
      <c r="F191" s="17" t="inlineStr">
        <is>
          <t>미확인</t>
        </is>
      </c>
      <c r="G191" s="17" t="inlineStr">
        <is>
          <t>웹조사 자동화 실패(세션한도)</t>
        </is>
      </c>
      <c r="H191" s="17" t="inlineStr">
        <is>
          <t>N</t>
        </is>
      </c>
      <c r="I191" s="17" t="inlineStr">
        <is>
          <t>회사 공시·홈페이지</t>
        </is>
      </c>
      <c r="J191" s="17" t="inlineStr">
        <is>
          <t>회사 공시·홈페이지에서 확인</t>
        </is>
      </c>
      <c r="K191" s="17" t="inlineStr">
        <is>
          <t>낮음</t>
        </is>
      </c>
      <c r="L191" s="17" t="inlineStr"/>
    </row>
    <row r="192">
      <c r="A192" s="17" t="inlineStr">
        <is>
          <t>C031</t>
        </is>
      </c>
      <c r="B192" s="17" t="inlineStr"/>
      <c r="C192" s="17" t="inlineStr">
        <is>
          <t>라이프슈티컬</t>
        </is>
      </c>
      <c r="D192" s="17" t="inlineStr"/>
      <c r="E192" s="17" t="inlineStr">
        <is>
          <t>FDA·EMA 실사</t>
        </is>
      </c>
      <c r="F192" s="17" t="inlineStr">
        <is>
          <t>미확인</t>
        </is>
      </c>
      <c r="G192" s="17" t="inlineStr">
        <is>
          <t>웹조사 자동화 실패(세션한도)</t>
        </is>
      </c>
      <c r="H192" s="17" t="inlineStr">
        <is>
          <t>N</t>
        </is>
      </c>
      <c r="I192" s="17" t="inlineStr">
        <is>
          <t>FDA Inspection DB</t>
        </is>
      </c>
      <c r="J192" s="17" t="inlineStr">
        <is>
          <t>FDA Inspection DB에서 확인</t>
        </is>
      </c>
      <c r="K192" s="17" t="inlineStr">
        <is>
          <t>낮음</t>
        </is>
      </c>
      <c r="L192" s="17" t="inlineStr"/>
    </row>
    <row r="193">
      <c r="A193" s="17" t="inlineStr">
        <is>
          <t>C031</t>
        </is>
      </c>
      <c r="B193" s="17" t="inlineStr"/>
      <c r="C193" s="17" t="inlineStr">
        <is>
          <t>라이프슈티컬</t>
        </is>
      </c>
      <c r="D193" s="17" t="inlineStr"/>
      <c r="E193" s="17" t="inlineStr">
        <is>
          <t>CMO·CDMO</t>
        </is>
      </c>
      <c r="F193" s="17" t="inlineStr">
        <is>
          <t>미확인</t>
        </is>
      </c>
      <c r="G193" s="17" t="inlineStr">
        <is>
          <t>웹조사 자동화 실패(세션한도)</t>
        </is>
      </c>
      <c r="H193" s="17" t="inlineStr">
        <is>
          <t>N</t>
        </is>
      </c>
      <c r="I193" s="17" t="inlineStr">
        <is>
          <t>회사 홈페이지</t>
        </is>
      </c>
      <c r="J193" s="17" t="inlineStr">
        <is>
          <t>회사 홈페이지에서 확인</t>
        </is>
      </c>
      <c r="K193" s="17" t="inlineStr">
        <is>
          <t>낮음</t>
        </is>
      </c>
      <c r="L193" s="17" t="inlineStr"/>
    </row>
    <row r="194">
      <c r="A194" s="17" t="inlineStr">
        <is>
          <t>C031</t>
        </is>
      </c>
      <c r="B194" s="17" t="inlineStr"/>
      <c r="C194" s="17" t="inlineStr">
        <is>
          <t>라이프슈티컬</t>
        </is>
      </c>
      <c r="D194" s="17" t="inlineStr"/>
      <c r="E194" s="17" t="inlineStr">
        <is>
          <t>신공장·증설</t>
        </is>
      </c>
      <c r="F194" s="17" t="inlineStr">
        <is>
          <t>미확인</t>
        </is>
      </c>
      <c r="G194" s="17" t="inlineStr">
        <is>
          <t>웹조사 자동화 실패(세션한도)</t>
        </is>
      </c>
      <c r="H194" s="17" t="inlineStr">
        <is>
          <t>N</t>
        </is>
      </c>
      <c r="I194" s="17" t="inlineStr">
        <is>
          <t>언론·지자체 발표</t>
        </is>
      </c>
      <c r="J194" s="17" t="inlineStr">
        <is>
          <t>언론·지자체 발표에서 확인</t>
        </is>
      </c>
      <c r="K194" s="17" t="inlineStr">
        <is>
          <t>낮음</t>
        </is>
      </c>
      <c r="L194" s="17" t="inlineStr"/>
    </row>
    <row r="195">
      <c r="A195" s="17" t="inlineStr">
        <is>
          <t>C032</t>
        </is>
      </c>
      <c r="B195" s="17" t="inlineStr"/>
      <c r="C195" s="17" t="inlineStr">
        <is>
          <t>제주대학교병원</t>
        </is>
      </c>
      <c r="D195" s="17" t="inlineStr"/>
      <c r="E195" s="17" t="inlineStr">
        <is>
          <t>최근매출(억원)</t>
        </is>
      </c>
      <c r="F195" s="17" t="inlineStr">
        <is>
          <t>미확인</t>
        </is>
      </c>
      <c r="G195" s="17" t="inlineStr">
        <is>
          <t>웹조사 자동화 실패(세션한도)</t>
        </is>
      </c>
      <c r="H195" s="17" t="inlineStr">
        <is>
          <t>N</t>
        </is>
      </c>
      <c r="I195" s="17" t="inlineStr">
        <is>
          <t>DART 사업보고서</t>
        </is>
      </c>
      <c r="J195" s="17" t="inlineStr">
        <is>
          <t>DART 사업보고서에서 확인</t>
        </is>
      </c>
      <c r="K195" s="17" t="inlineStr">
        <is>
          <t>낮음</t>
        </is>
      </c>
      <c r="L195" s="17" t="inlineStr"/>
    </row>
    <row r="196">
      <c r="A196" s="17" t="inlineStr">
        <is>
          <t>C032</t>
        </is>
      </c>
      <c r="B196" s="17" t="inlineStr"/>
      <c r="C196" s="17" t="inlineStr">
        <is>
          <t>제주대학교병원</t>
        </is>
      </c>
      <c r="D196" s="17" t="inlineStr"/>
      <c r="E196" s="17" t="inlineStr">
        <is>
          <t>종업원수</t>
        </is>
      </c>
      <c r="F196" s="17" t="inlineStr">
        <is>
          <t>미확인</t>
        </is>
      </c>
      <c r="G196" s="17" t="inlineStr">
        <is>
          <t>웹조사 자동화 실패(세션한도)</t>
        </is>
      </c>
      <c r="H196" s="17" t="inlineStr">
        <is>
          <t>N</t>
        </is>
      </c>
      <c r="I196" s="17" t="inlineStr">
        <is>
          <t>DART/채용</t>
        </is>
      </c>
      <c r="J196" s="17" t="inlineStr">
        <is>
          <t>DART/채용에서 확인</t>
        </is>
      </c>
      <c r="K196" s="17" t="inlineStr">
        <is>
          <t>낮음</t>
        </is>
      </c>
      <c r="L196" s="17" t="inlineStr"/>
    </row>
    <row r="197">
      <c r="A197" s="17" t="inlineStr">
        <is>
          <t>C032</t>
        </is>
      </c>
      <c r="B197" s="17" t="inlineStr"/>
      <c r="C197" s="17" t="inlineStr">
        <is>
          <t>제주대학교병원</t>
        </is>
      </c>
      <c r="D197" s="17" t="inlineStr"/>
      <c r="E197" s="17" t="inlineStr">
        <is>
          <t>수출여부</t>
        </is>
      </c>
      <c r="F197" s="17" t="inlineStr">
        <is>
          <t>미확인</t>
        </is>
      </c>
      <c r="G197" s="17" t="inlineStr">
        <is>
          <t>웹조사 자동화 실패(세션한도)</t>
        </is>
      </c>
      <c r="H197" s="17" t="inlineStr">
        <is>
          <t>N</t>
        </is>
      </c>
      <c r="I197" s="17" t="inlineStr">
        <is>
          <t>회사 공시·홈페이지</t>
        </is>
      </c>
      <c r="J197" s="17" t="inlineStr">
        <is>
          <t>회사 공시·홈페이지에서 확인</t>
        </is>
      </c>
      <c r="K197" s="17" t="inlineStr">
        <is>
          <t>낮음</t>
        </is>
      </c>
      <c r="L197" s="17" t="inlineStr"/>
    </row>
    <row r="198">
      <c r="A198" s="17" t="inlineStr">
        <is>
          <t>C032</t>
        </is>
      </c>
      <c r="B198" s="17" t="inlineStr"/>
      <c r="C198" s="17" t="inlineStr">
        <is>
          <t>제주대학교병원</t>
        </is>
      </c>
      <c r="D198" s="17" t="inlineStr"/>
      <c r="E198" s="17" t="inlineStr">
        <is>
          <t>FDA·EMA 실사</t>
        </is>
      </c>
      <c r="F198" s="17" t="inlineStr">
        <is>
          <t>미확인</t>
        </is>
      </c>
      <c r="G198" s="17" t="inlineStr">
        <is>
          <t>웹조사 자동화 실패(세션한도)</t>
        </is>
      </c>
      <c r="H198" s="17" t="inlineStr">
        <is>
          <t>N</t>
        </is>
      </c>
      <c r="I198" s="17" t="inlineStr">
        <is>
          <t>FDA Inspection DB</t>
        </is>
      </c>
      <c r="J198" s="17" t="inlineStr">
        <is>
          <t>FDA Inspection DB에서 확인</t>
        </is>
      </c>
      <c r="K198" s="17" t="inlineStr">
        <is>
          <t>낮음</t>
        </is>
      </c>
      <c r="L198" s="17" t="inlineStr"/>
    </row>
    <row r="199">
      <c r="A199" s="17" t="inlineStr">
        <is>
          <t>C032</t>
        </is>
      </c>
      <c r="B199" s="17" t="inlineStr"/>
      <c r="C199" s="17" t="inlineStr">
        <is>
          <t>제주대학교병원</t>
        </is>
      </c>
      <c r="D199" s="17" t="inlineStr"/>
      <c r="E199" s="17" t="inlineStr">
        <is>
          <t>CMO·CDMO</t>
        </is>
      </c>
      <c r="F199" s="17" t="inlineStr">
        <is>
          <t>미확인</t>
        </is>
      </c>
      <c r="G199" s="17" t="inlineStr">
        <is>
          <t>웹조사 자동화 실패(세션한도)</t>
        </is>
      </c>
      <c r="H199" s="17" t="inlineStr">
        <is>
          <t>N</t>
        </is>
      </c>
      <c r="I199" s="17" t="inlineStr">
        <is>
          <t>회사 홈페이지</t>
        </is>
      </c>
      <c r="J199" s="17" t="inlineStr">
        <is>
          <t>회사 홈페이지에서 확인</t>
        </is>
      </c>
      <c r="K199" s="17" t="inlineStr">
        <is>
          <t>낮음</t>
        </is>
      </c>
      <c r="L199" s="17" t="inlineStr"/>
    </row>
    <row r="200">
      <c r="A200" s="17" t="inlineStr">
        <is>
          <t>C032</t>
        </is>
      </c>
      <c r="B200" s="17" t="inlineStr"/>
      <c r="C200" s="17" t="inlineStr">
        <is>
          <t>제주대학교병원</t>
        </is>
      </c>
      <c r="D200" s="17" t="inlineStr"/>
      <c r="E200" s="17" t="inlineStr">
        <is>
          <t>신공장·증설</t>
        </is>
      </c>
      <c r="F200" s="17" t="inlineStr">
        <is>
          <t>미확인</t>
        </is>
      </c>
      <c r="G200" s="17" t="inlineStr">
        <is>
          <t>웹조사 자동화 실패(세션한도)</t>
        </is>
      </c>
      <c r="H200" s="17" t="inlineStr">
        <is>
          <t>N</t>
        </is>
      </c>
      <c r="I200" s="17" t="inlineStr">
        <is>
          <t>언론·지자체 발표</t>
        </is>
      </c>
      <c r="J200" s="17" t="inlineStr">
        <is>
          <t>언론·지자체 발표에서 확인</t>
        </is>
      </c>
      <c r="K200" s="17" t="inlineStr">
        <is>
          <t>낮음</t>
        </is>
      </c>
      <c r="L200" s="17" t="inlineStr"/>
    </row>
    <row r="201">
      <c r="A201" s="17" t="inlineStr">
        <is>
          <t>C033</t>
        </is>
      </c>
      <c r="B201" s="17" t="inlineStr"/>
      <c r="C201" s="17" t="inlineStr">
        <is>
          <t>삼성서울병원</t>
        </is>
      </c>
      <c r="D201" s="17" t="inlineStr"/>
      <c r="E201" s="17" t="inlineStr">
        <is>
          <t>최근매출(억원)</t>
        </is>
      </c>
      <c r="F201" s="17" t="inlineStr">
        <is>
          <t>미확인</t>
        </is>
      </c>
      <c r="G201" s="17" t="inlineStr">
        <is>
          <t>웹조사 자동화 실패(세션한도)</t>
        </is>
      </c>
      <c r="H201" s="17" t="inlineStr">
        <is>
          <t>N</t>
        </is>
      </c>
      <c r="I201" s="17" t="inlineStr">
        <is>
          <t>DART 사업보고서</t>
        </is>
      </c>
      <c r="J201" s="17" t="inlineStr">
        <is>
          <t>DART 사업보고서에서 확인</t>
        </is>
      </c>
      <c r="K201" s="17" t="inlineStr">
        <is>
          <t>낮음</t>
        </is>
      </c>
      <c r="L201" s="17" t="inlineStr"/>
    </row>
    <row r="202">
      <c r="A202" s="17" t="inlineStr">
        <is>
          <t>C033</t>
        </is>
      </c>
      <c r="B202" s="17" t="inlineStr"/>
      <c r="C202" s="17" t="inlineStr">
        <is>
          <t>삼성서울병원</t>
        </is>
      </c>
      <c r="D202" s="17" t="inlineStr"/>
      <c r="E202" s="17" t="inlineStr">
        <is>
          <t>종업원수</t>
        </is>
      </c>
      <c r="F202" s="17" t="inlineStr">
        <is>
          <t>미확인</t>
        </is>
      </c>
      <c r="G202" s="17" t="inlineStr">
        <is>
          <t>웹조사 자동화 실패(세션한도)</t>
        </is>
      </c>
      <c r="H202" s="17" t="inlineStr">
        <is>
          <t>N</t>
        </is>
      </c>
      <c r="I202" s="17" t="inlineStr">
        <is>
          <t>DART/채용</t>
        </is>
      </c>
      <c r="J202" s="17" t="inlineStr">
        <is>
          <t>DART/채용에서 확인</t>
        </is>
      </c>
      <c r="K202" s="17" t="inlineStr">
        <is>
          <t>낮음</t>
        </is>
      </c>
      <c r="L202" s="17" t="inlineStr"/>
    </row>
    <row r="203">
      <c r="A203" s="17" t="inlineStr">
        <is>
          <t>C033</t>
        </is>
      </c>
      <c r="B203" s="17" t="inlineStr"/>
      <c r="C203" s="17" t="inlineStr">
        <is>
          <t>삼성서울병원</t>
        </is>
      </c>
      <c r="D203" s="17" t="inlineStr"/>
      <c r="E203" s="17" t="inlineStr">
        <is>
          <t>수출여부</t>
        </is>
      </c>
      <c r="F203" s="17" t="inlineStr">
        <is>
          <t>미확인</t>
        </is>
      </c>
      <c r="G203" s="17" t="inlineStr">
        <is>
          <t>웹조사 자동화 실패(세션한도)</t>
        </is>
      </c>
      <c r="H203" s="17" t="inlineStr">
        <is>
          <t>N</t>
        </is>
      </c>
      <c r="I203" s="17" t="inlineStr">
        <is>
          <t>회사 공시·홈페이지</t>
        </is>
      </c>
      <c r="J203" s="17" t="inlineStr">
        <is>
          <t>회사 공시·홈페이지에서 확인</t>
        </is>
      </c>
      <c r="K203" s="17" t="inlineStr">
        <is>
          <t>낮음</t>
        </is>
      </c>
      <c r="L203" s="17" t="inlineStr"/>
    </row>
    <row r="204">
      <c r="A204" s="17" t="inlineStr">
        <is>
          <t>C033</t>
        </is>
      </c>
      <c r="B204" s="17" t="inlineStr"/>
      <c r="C204" s="17" t="inlineStr">
        <is>
          <t>삼성서울병원</t>
        </is>
      </c>
      <c r="D204" s="17" t="inlineStr"/>
      <c r="E204" s="17" t="inlineStr">
        <is>
          <t>FDA·EMA 실사</t>
        </is>
      </c>
      <c r="F204" s="17" t="inlineStr">
        <is>
          <t>미확인</t>
        </is>
      </c>
      <c r="G204" s="17" t="inlineStr">
        <is>
          <t>웹조사 자동화 실패(세션한도)</t>
        </is>
      </c>
      <c r="H204" s="17" t="inlineStr">
        <is>
          <t>N</t>
        </is>
      </c>
      <c r="I204" s="17" t="inlineStr">
        <is>
          <t>FDA Inspection DB</t>
        </is>
      </c>
      <c r="J204" s="17" t="inlineStr">
        <is>
          <t>FDA Inspection DB에서 확인</t>
        </is>
      </c>
      <c r="K204" s="17" t="inlineStr">
        <is>
          <t>낮음</t>
        </is>
      </c>
      <c r="L204" s="17" t="inlineStr"/>
    </row>
    <row r="205">
      <c r="A205" s="17" t="inlineStr">
        <is>
          <t>C033</t>
        </is>
      </c>
      <c r="B205" s="17" t="inlineStr"/>
      <c r="C205" s="17" t="inlineStr">
        <is>
          <t>삼성서울병원</t>
        </is>
      </c>
      <c r="D205" s="17" t="inlineStr"/>
      <c r="E205" s="17" t="inlineStr">
        <is>
          <t>CMO·CDMO</t>
        </is>
      </c>
      <c r="F205" s="17" t="inlineStr">
        <is>
          <t>미확인</t>
        </is>
      </c>
      <c r="G205" s="17" t="inlineStr">
        <is>
          <t>웹조사 자동화 실패(세션한도)</t>
        </is>
      </c>
      <c r="H205" s="17" t="inlineStr">
        <is>
          <t>N</t>
        </is>
      </c>
      <c r="I205" s="17" t="inlineStr">
        <is>
          <t>회사 홈페이지</t>
        </is>
      </c>
      <c r="J205" s="17" t="inlineStr">
        <is>
          <t>회사 홈페이지에서 확인</t>
        </is>
      </c>
      <c r="K205" s="17" t="inlineStr">
        <is>
          <t>낮음</t>
        </is>
      </c>
      <c r="L205" s="17" t="inlineStr"/>
    </row>
    <row r="206">
      <c r="A206" s="17" t="inlineStr">
        <is>
          <t>C033</t>
        </is>
      </c>
      <c r="B206" s="17" t="inlineStr"/>
      <c r="C206" s="17" t="inlineStr">
        <is>
          <t>삼성서울병원</t>
        </is>
      </c>
      <c r="D206" s="17" t="inlineStr"/>
      <c r="E206" s="17" t="inlineStr">
        <is>
          <t>신공장·증설</t>
        </is>
      </c>
      <c r="F206" s="17" t="inlineStr">
        <is>
          <t>미확인</t>
        </is>
      </c>
      <c r="G206" s="17" t="inlineStr">
        <is>
          <t>웹조사 자동화 실패(세션한도)</t>
        </is>
      </c>
      <c r="H206" s="17" t="inlineStr">
        <is>
          <t>N</t>
        </is>
      </c>
      <c r="I206" s="17" t="inlineStr">
        <is>
          <t>언론·지자체 발표</t>
        </is>
      </c>
      <c r="J206" s="17" t="inlineStr">
        <is>
          <t>언론·지자체 발표에서 확인</t>
        </is>
      </c>
      <c r="K206" s="17" t="inlineStr">
        <is>
          <t>낮음</t>
        </is>
      </c>
      <c r="L206" s="17" t="inlineStr"/>
    </row>
    <row r="207">
      <c r="A207" s="17" t="inlineStr">
        <is>
          <t>C033</t>
        </is>
      </c>
      <c r="B207" s="17" t="inlineStr"/>
      <c r="C207" s="17" t="inlineStr">
        <is>
          <t>삼성서울병원</t>
        </is>
      </c>
      <c r="D207" s="17" t="inlineStr"/>
      <c r="E207" s="17" t="inlineStr">
        <is>
          <t>대표전화</t>
        </is>
      </c>
      <c r="F207" s="17" t="inlineStr">
        <is>
          <t>미확인</t>
        </is>
      </c>
      <c r="G207" s="17" t="inlineStr">
        <is>
          <t>제조소상세 미매칭</t>
        </is>
      </c>
      <c r="H207" s="17" t="inlineStr">
        <is>
          <t>Y</t>
        </is>
      </c>
      <c r="I207" s="17" t="inlineStr">
        <is>
          <t>회사 홈페이지</t>
        </is>
      </c>
      <c r="J207" s="17" t="inlineStr">
        <is>
          <t>홈페이지에서 대표번호 확인</t>
        </is>
      </c>
      <c r="K207" s="17" t="inlineStr">
        <is>
          <t>낮음</t>
        </is>
      </c>
      <c r="L207" s="17" t="inlineStr"/>
    </row>
    <row r="208">
      <c r="A208" s="17" t="inlineStr">
        <is>
          <t>C034</t>
        </is>
      </c>
      <c r="B208" s="17" t="inlineStr"/>
      <c r="C208" s="17" t="inlineStr">
        <is>
          <t>동아제약(주)</t>
        </is>
      </c>
      <c r="D208" s="17" t="inlineStr"/>
      <c r="E208" s="17" t="inlineStr">
        <is>
          <t>최근매출(억원)</t>
        </is>
      </c>
      <c r="F208" s="17" t="inlineStr">
        <is>
          <t>미확인</t>
        </is>
      </c>
      <c r="G208" s="17" t="inlineStr">
        <is>
          <t>웹조사 자동화 실패(세션한도)</t>
        </is>
      </c>
      <c r="H208" s="17" t="inlineStr">
        <is>
          <t>N</t>
        </is>
      </c>
      <c r="I208" s="17" t="inlineStr">
        <is>
          <t>DART 사업보고서</t>
        </is>
      </c>
      <c r="J208" s="17" t="inlineStr">
        <is>
          <t>DART 사업보고서에서 확인</t>
        </is>
      </c>
      <c r="K208" s="17" t="inlineStr">
        <is>
          <t>낮음</t>
        </is>
      </c>
      <c r="L208" s="17" t="inlineStr"/>
    </row>
    <row r="209">
      <c r="A209" s="17" t="inlineStr">
        <is>
          <t>C034</t>
        </is>
      </c>
      <c r="B209" s="17" t="inlineStr"/>
      <c r="C209" s="17" t="inlineStr">
        <is>
          <t>동아제약(주)</t>
        </is>
      </c>
      <c r="D209" s="17" t="inlineStr"/>
      <c r="E209" s="17" t="inlineStr">
        <is>
          <t>종업원수</t>
        </is>
      </c>
      <c r="F209" s="17" t="inlineStr">
        <is>
          <t>미확인</t>
        </is>
      </c>
      <c r="G209" s="17" t="inlineStr">
        <is>
          <t>웹조사 자동화 실패(세션한도)</t>
        </is>
      </c>
      <c r="H209" s="17" t="inlineStr">
        <is>
          <t>N</t>
        </is>
      </c>
      <c r="I209" s="17" t="inlineStr">
        <is>
          <t>DART/채용</t>
        </is>
      </c>
      <c r="J209" s="17" t="inlineStr">
        <is>
          <t>DART/채용에서 확인</t>
        </is>
      </c>
      <c r="K209" s="17" t="inlineStr">
        <is>
          <t>낮음</t>
        </is>
      </c>
      <c r="L209" s="17" t="inlineStr"/>
    </row>
    <row r="210">
      <c r="A210" s="17" t="inlineStr">
        <is>
          <t>C034</t>
        </is>
      </c>
      <c r="B210" s="17" t="inlineStr"/>
      <c r="C210" s="17" t="inlineStr">
        <is>
          <t>동아제약(주)</t>
        </is>
      </c>
      <c r="D210" s="17" t="inlineStr"/>
      <c r="E210" s="17" t="inlineStr">
        <is>
          <t>수출여부</t>
        </is>
      </c>
      <c r="F210" s="17" t="inlineStr">
        <is>
          <t>미확인</t>
        </is>
      </c>
      <c r="G210" s="17" t="inlineStr">
        <is>
          <t>웹조사 자동화 실패(세션한도)</t>
        </is>
      </c>
      <c r="H210" s="17" t="inlineStr">
        <is>
          <t>N</t>
        </is>
      </c>
      <c r="I210" s="17" t="inlineStr">
        <is>
          <t>회사 공시·홈페이지</t>
        </is>
      </c>
      <c r="J210" s="17" t="inlineStr">
        <is>
          <t>회사 공시·홈페이지에서 확인</t>
        </is>
      </c>
      <c r="K210" s="17" t="inlineStr">
        <is>
          <t>낮음</t>
        </is>
      </c>
      <c r="L210" s="17" t="inlineStr"/>
    </row>
    <row r="211">
      <c r="A211" s="17" t="inlineStr">
        <is>
          <t>C034</t>
        </is>
      </c>
      <c r="B211" s="17" t="inlineStr"/>
      <c r="C211" s="17" t="inlineStr">
        <is>
          <t>동아제약(주)</t>
        </is>
      </c>
      <c r="D211" s="17" t="inlineStr"/>
      <c r="E211" s="17" t="inlineStr">
        <is>
          <t>FDA·EMA 실사</t>
        </is>
      </c>
      <c r="F211" s="17" t="inlineStr">
        <is>
          <t>미확인</t>
        </is>
      </c>
      <c r="G211" s="17" t="inlineStr">
        <is>
          <t>웹조사 자동화 실패(세션한도)</t>
        </is>
      </c>
      <c r="H211" s="17" t="inlineStr">
        <is>
          <t>N</t>
        </is>
      </c>
      <c r="I211" s="17" t="inlineStr">
        <is>
          <t>FDA Inspection DB</t>
        </is>
      </c>
      <c r="J211" s="17" t="inlineStr">
        <is>
          <t>FDA Inspection DB에서 확인</t>
        </is>
      </c>
      <c r="K211" s="17" t="inlineStr">
        <is>
          <t>낮음</t>
        </is>
      </c>
      <c r="L211" s="17" t="inlineStr"/>
    </row>
    <row r="212">
      <c r="A212" s="17" t="inlineStr">
        <is>
          <t>C034</t>
        </is>
      </c>
      <c r="B212" s="17" t="inlineStr"/>
      <c r="C212" s="17" t="inlineStr">
        <is>
          <t>동아제약(주)</t>
        </is>
      </c>
      <c r="D212" s="17" t="inlineStr"/>
      <c r="E212" s="17" t="inlineStr">
        <is>
          <t>CMO·CDMO</t>
        </is>
      </c>
      <c r="F212" s="17" t="inlineStr">
        <is>
          <t>미확인</t>
        </is>
      </c>
      <c r="G212" s="17" t="inlineStr">
        <is>
          <t>웹조사 자동화 실패(세션한도)</t>
        </is>
      </c>
      <c r="H212" s="17" t="inlineStr">
        <is>
          <t>N</t>
        </is>
      </c>
      <c r="I212" s="17" t="inlineStr">
        <is>
          <t>회사 홈페이지</t>
        </is>
      </c>
      <c r="J212" s="17" t="inlineStr">
        <is>
          <t>회사 홈페이지에서 확인</t>
        </is>
      </c>
      <c r="K212" s="17" t="inlineStr">
        <is>
          <t>낮음</t>
        </is>
      </c>
      <c r="L212" s="17" t="inlineStr"/>
    </row>
    <row r="213">
      <c r="A213" s="17" t="inlineStr">
        <is>
          <t>C034</t>
        </is>
      </c>
      <c r="B213" s="17" t="inlineStr"/>
      <c r="C213" s="17" t="inlineStr">
        <is>
          <t>동아제약(주)</t>
        </is>
      </c>
      <c r="D213" s="17" t="inlineStr"/>
      <c r="E213" s="17" t="inlineStr">
        <is>
          <t>신공장·증설</t>
        </is>
      </c>
      <c r="F213" s="17" t="inlineStr">
        <is>
          <t>미확인</t>
        </is>
      </c>
      <c r="G213" s="17" t="inlineStr">
        <is>
          <t>웹조사 자동화 실패(세션한도)</t>
        </is>
      </c>
      <c r="H213" s="17" t="inlineStr">
        <is>
          <t>N</t>
        </is>
      </c>
      <c r="I213" s="17" t="inlineStr">
        <is>
          <t>언론·지자체 발표</t>
        </is>
      </c>
      <c r="J213" s="17" t="inlineStr">
        <is>
          <t>언론·지자체 발표에서 확인</t>
        </is>
      </c>
      <c r="K213" s="17" t="inlineStr">
        <is>
          <t>낮음</t>
        </is>
      </c>
      <c r="L213" s="17" t="inlineStr"/>
    </row>
    <row r="214">
      <c r="A214" s="17" t="inlineStr">
        <is>
          <t>C034</t>
        </is>
      </c>
      <c r="B214" s="17" t="inlineStr"/>
      <c r="C214" s="17" t="inlineStr">
        <is>
          <t>동아제약(주)</t>
        </is>
      </c>
      <c r="D214" s="17" t="inlineStr"/>
      <c r="E214" s="17" t="inlineStr">
        <is>
          <t>대표전화</t>
        </is>
      </c>
      <c r="F214" s="17" t="inlineStr">
        <is>
          <t>미확인</t>
        </is>
      </c>
      <c r="G214" s="17" t="inlineStr">
        <is>
          <t>제조소상세 미매칭</t>
        </is>
      </c>
      <c r="H214" s="17" t="inlineStr">
        <is>
          <t>Y</t>
        </is>
      </c>
      <c r="I214" s="17" t="inlineStr">
        <is>
          <t>회사 홈페이지</t>
        </is>
      </c>
      <c r="J214" s="17" t="inlineStr">
        <is>
          <t>홈페이지에서 대표번호 확인</t>
        </is>
      </c>
      <c r="K214" s="17" t="inlineStr">
        <is>
          <t>낮음</t>
        </is>
      </c>
      <c r="L214" s="17" t="inlineStr"/>
    </row>
    <row r="215">
      <c r="A215" s="17" t="inlineStr">
        <is>
          <t>C035</t>
        </is>
      </c>
      <c r="B215" s="17" t="inlineStr"/>
      <c r="C215" s="17" t="inlineStr">
        <is>
          <t>화순전남대학병원</t>
        </is>
      </c>
      <c r="D215" s="17" t="inlineStr"/>
      <c r="E215" s="17" t="inlineStr">
        <is>
          <t>최근매출(억원)</t>
        </is>
      </c>
      <c r="F215" s="17" t="inlineStr">
        <is>
          <t>미확인</t>
        </is>
      </c>
      <c r="G215" s="17" t="inlineStr">
        <is>
          <t>웹조사 자동화 실패(세션한도)</t>
        </is>
      </c>
      <c r="H215" s="17" t="inlineStr">
        <is>
          <t>N</t>
        </is>
      </c>
      <c r="I215" s="17" t="inlineStr">
        <is>
          <t>DART 사업보고서</t>
        </is>
      </c>
      <c r="J215" s="17" t="inlineStr">
        <is>
          <t>DART 사업보고서에서 확인</t>
        </is>
      </c>
      <c r="K215" s="17" t="inlineStr">
        <is>
          <t>낮음</t>
        </is>
      </c>
      <c r="L215" s="17" t="inlineStr"/>
    </row>
    <row r="216">
      <c r="A216" s="17" t="inlineStr">
        <is>
          <t>C035</t>
        </is>
      </c>
      <c r="B216" s="17" t="inlineStr"/>
      <c r="C216" s="17" t="inlineStr">
        <is>
          <t>화순전남대학병원</t>
        </is>
      </c>
      <c r="D216" s="17" t="inlineStr"/>
      <c r="E216" s="17" t="inlineStr">
        <is>
          <t>종업원수</t>
        </is>
      </c>
      <c r="F216" s="17" t="inlineStr">
        <is>
          <t>미확인</t>
        </is>
      </c>
      <c r="G216" s="17" t="inlineStr">
        <is>
          <t>웹조사 자동화 실패(세션한도)</t>
        </is>
      </c>
      <c r="H216" s="17" t="inlineStr">
        <is>
          <t>N</t>
        </is>
      </c>
      <c r="I216" s="17" t="inlineStr">
        <is>
          <t>DART/채용</t>
        </is>
      </c>
      <c r="J216" s="17" t="inlineStr">
        <is>
          <t>DART/채용에서 확인</t>
        </is>
      </c>
      <c r="K216" s="17" t="inlineStr">
        <is>
          <t>낮음</t>
        </is>
      </c>
      <c r="L216" s="17" t="inlineStr"/>
    </row>
    <row r="217">
      <c r="A217" s="17" t="inlineStr">
        <is>
          <t>C035</t>
        </is>
      </c>
      <c r="B217" s="17" t="inlineStr"/>
      <c r="C217" s="17" t="inlineStr">
        <is>
          <t>화순전남대학병원</t>
        </is>
      </c>
      <c r="D217" s="17" t="inlineStr"/>
      <c r="E217" s="17" t="inlineStr">
        <is>
          <t>수출여부</t>
        </is>
      </c>
      <c r="F217" s="17" t="inlineStr">
        <is>
          <t>미확인</t>
        </is>
      </c>
      <c r="G217" s="17" t="inlineStr">
        <is>
          <t>웹조사 자동화 실패(세션한도)</t>
        </is>
      </c>
      <c r="H217" s="17" t="inlineStr">
        <is>
          <t>N</t>
        </is>
      </c>
      <c r="I217" s="17" t="inlineStr">
        <is>
          <t>회사 공시·홈페이지</t>
        </is>
      </c>
      <c r="J217" s="17" t="inlineStr">
        <is>
          <t>회사 공시·홈페이지에서 확인</t>
        </is>
      </c>
      <c r="K217" s="17" t="inlineStr">
        <is>
          <t>낮음</t>
        </is>
      </c>
      <c r="L217" s="17" t="inlineStr"/>
    </row>
    <row r="218">
      <c r="A218" s="17" t="inlineStr">
        <is>
          <t>C035</t>
        </is>
      </c>
      <c r="B218" s="17" t="inlineStr"/>
      <c r="C218" s="17" t="inlineStr">
        <is>
          <t>화순전남대학병원</t>
        </is>
      </c>
      <c r="D218" s="17" t="inlineStr"/>
      <c r="E218" s="17" t="inlineStr">
        <is>
          <t>FDA·EMA 실사</t>
        </is>
      </c>
      <c r="F218" s="17" t="inlineStr">
        <is>
          <t>미확인</t>
        </is>
      </c>
      <c r="G218" s="17" t="inlineStr">
        <is>
          <t>웹조사 자동화 실패(세션한도)</t>
        </is>
      </c>
      <c r="H218" s="17" t="inlineStr">
        <is>
          <t>N</t>
        </is>
      </c>
      <c r="I218" s="17" t="inlineStr">
        <is>
          <t>FDA Inspection DB</t>
        </is>
      </c>
      <c r="J218" s="17" t="inlineStr">
        <is>
          <t>FDA Inspection DB에서 확인</t>
        </is>
      </c>
      <c r="K218" s="17" t="inlineStr">
        <is>
          <t>낮음</t>
        </is>
      </c>
      <c r="L218" s="17" t="inlineStr"/>
    </row>
    <row r="219">
      <c r="A219" s="17" t="inlineStr">
        <is>
          <t>C035</t>
        </is>
      </c>
      <c r="B219" s="17" t="inlineStr"/>
      <c r="C219" s="17" t="inlineStr">
        <is>
          <t>화순전남대학병원</t>
        </is>
      </c>
      <c r="D219" s="17" t="inlineStr"/>
      <c r="E219" s="17" t="inlineStr">
        <is>
          <t>CMO·CDMO</t>
        </is>
      </c>
      <c r="F219" s="17" t="inlineStr">
        <is>
          <t>미확인</t>
        </is>
      </c>
      <c r="G219" s="17" t="inlineStr">
        <is>
          <t>웹조사 자동화 실패(세션한도)</t>
        </is>
      </c>
      <c r="H219" s="17" t="inlineStr">
        <is>
          <t>N</t>
        </is>
      </c>
      <c r="I219" s="17" t="inlineStr">
        <is>
          <t>회사 홈페이지</t>
        </is>
      </c>
      <c r="J219" s="17" t="inlineStr">
        <is>
          <t>회사 홈페이지에서 확인</t>
        </is>
      </c>
      <c r="K219" s="17" t="inlineStr">
        <is>
          <t>낮음</t>
        </is>
      </c>
      <c r="L219" s="17" t="inlineStr"/>
    </row>
    <row r="220">
      <c r="A220" s="17" t="inlineStr">
        <is>
          <t>C035</t>
        </is>
      </c>
      <c r="B220" s="17" t="inlineStr"/>
      <c r="C220" s="17" t="inlineStr">
        <is>
          <t>화순전남대학병원</t>
        </is>
      </c>
      <c r="D220" s="17" t="inlineStr"/>
      <c r="E220" s="17" t="inlineStr">
        <is>
          <t>신공장·증설</t>
        </is>
      </c>
      <c r="F220" s="17" t="inlineStr">
        <is>
          <t>미확인</t>
        </is>
      </c>
      <c r="G220" s="17" t="inlineStr">
        <is>
          <t>웹조사 자동화 실패(세션한도)</t>
        </is>
      </c>
      <c r="H220" s="17" t="inlineStr">
        <is>
          <t>N</t>
        </is>
      </c>
      <c r="I220" s="17" t="inlineStr">
        <is>
          <t>언론·지자체 발표</t>
        </is>
      </c>
      <c r="J220" s="17" t="inlineStr">
        <is>
          <t>언론·지자체 발표에서 확인</t>
        </is>
      </c>
      <c r="K220" s="17" t="inlineStr">
        <is>
          <t>낮음</t>
        </is>
      </c>
      <c r="L220" s="17" t="inlineStr"/>
    </row>
    <row r="221">
      <c r="A221" s="17" t="inlineStr">
        <is>
          <t>C036</t>
        </is>
      </c>
      <c r="B221" s="17" t="inlineStr"/>
      <c r="C221" s="17" t="inlineStr">
        <is>
          <t>한국특수가스(주)</t>
        </is>
      </c>
      <c r="D221" s="17" t="inlineStr"/>
      <c r="E221" s="17" t="inlineStr">
        <is>
          <t>최근매출(억원)</t>
        </is>
      </c>
      <c r="F221" s="17" t="inlineStr">
        <is>
          <t>미확인</t>
        </is>
      </c>
      <c r="G221" s="17" t="inlineStr">
        <is>
          <t>웹조사 자동화 실패(세션한도)</t>
        </is>
      </c>
      <c r="H221" s="17" t="inlineStr">
        <is>
          <t>N</t>
        </is>
      </c>
      <c r="I221" s="17" t="inlineStr">
        <is>
          <t>DART 사업보고서</t>
        </is>
      </c>
      <c r="J221" s="17" t="inlineStr">
        <is>
          <t>DART 사업보고서에서 확인</t>
        </is>
      </c>
      <c r="K221" s="17" t="inlineStr">
        <is>
          <t>낮음</t>
        </is>
      </c>
      <c r="L221" s="17" t="inlineStr"/>
    </row>
    <row r="222">
      <c r="A222" s="17" t="inlineStr">
        <is>
          <t>C036</t>
        </is>
      </c>
      <c r="B222" s="17" t="inlineStr"/>
      <c r="C222" s="17" t="inlineStr">
        <is>
          <t>한국특수가스(주)</t>
        </is>
      </c>
      <c r="D222" s="17" t="inlineStr"/>
      <c r="E222" s="17" t="inlineStr">
        <is>
          <t>종업원수</t>
        </is>
      </c>
      <c r="F222" s="17" t="inlineStr">
        <is>
          <t>미확인</t>
        </is>
      </c>
      <c r="G222" s="17" t="inlineStr">
        <is>
          <t>웹조사 자동화 실패(세션한도)</t>
        </is>
      </c>
      <c r="H222" s="17" t="inlineStr">
        <is>
          <t>N</t>
        </is>
      </c>
      <c r="I222" s="17" t="inlineStr">
        <is>
          <t>DART/채용</t>
        </is>
      </c>
      <c r="J222" s="17" t="inlineStr">
        <is>
          <t>DART/채용에서 확인</t>
        </is>
      </c>
      <c r="K222" s="17" t="inlineStr">
        <is>
          <t>낮음</t>
        </is>
      </c>
      <c r="L222" s="17" t="inlineStr"/>
    </row>
    <row r="223">
      <c r="A223" s="17" t="inlineStr">
        <is>
          <t>C036</t>
        </is>
      </c>
      <c r="B223" s="17" t="inlineStr"/>
      <c r="C223" s="17" t="inlineStr">
        <is>
          <t>한국특수가스(주)</t>
        </is>
      </c>
      <c r="D223" s="17" t="inlineStr"/>
      <c r="E223" s="17" t="inlineStr">
        <is>
          <t>수출여부</t>
        </is>
      </c>
      <c r="F223" s="17" t="inlineStr">
        <is>
          <t>미확인</t>
        </is>
      </c>
      <c r="G223" s="17" t="inlineStr">
        <is>
          <t>웹조사 자동화 실패(세션한도)</t>
        </is>
      </c>
      <c r="H223" s="17" t="inlineStr">
        <is>
          <t>N</t>
        </is>
      </c>
      <c r="I223" s="17" t="inlineStr">
        <is>
          <t>회사 공시·홈페이지</t>
        </is>
      </c>
      <c r="J223" s="17" t="inlineStr">
        <is>
          <t>회사 공시·홈페이지에서 확인</t>
        </is>
      </c>
      <c r="K223" s="17" t="inlineStr">
        <is>
          <t>낮음</t>
        </is>
      </c>
      <c r="L223" s="17" t="inlineStr"/>
    </row>
    <row r="224">
      <c r="A224" s="17" t="inlineStr">
        <is>
          <t>C036</t>
        </is>
      </c>
      <c r="B224" s="17" t="inlineStr"/>
      <c r="C224" s="17" t="inlineStr">
        <is>
          <t>한국특수가스(주)</t>
        </is>
      </c>
      <c r="D224" s="17" t="inlineStr"/>
      <c r="E224" s="17" t="inlineStr">
        <is>
          <t>FDA·EMA 실사</t>
        </is>
      </c>
      <c r="F224" s="17" t="inlineStr">
        <is>
          <t>미확인</t>
        </is>
      </c>
      <c r="G224" s="17" t="inlineStr">
        <is>
          <t>웹조사 자동화 실패(세션한도)</t>
        </is>
      </c>
      <c r="H224" s="17" t="inlineStr">
        <is>
          <t>N</t>
        </is>
      </c>
      <c r="I224" s="17" t="inlineStr">
        <is>
          <t>FDA Inspection DB</t>
        </is>
      </c>
      <c r="J224" s="17" t="inlineStr">
        <is>
          <t>FDA Inspection DB에서 확인</t>
        </is>
      </c>
      <c r="K224" s="17" t="inlineStr">
        <is>
          <t>낮음</t>
        </is>
      </c>
      <c r="L224" s="17" t="inlineStr"/>
    </row>
    <row r="225">
      <c r="A225" s="17" t="inlineStr">
        <is>
          <t>C036</t>
        </is>
      </c>
      <c r="B225" s="17" t="inlineStr"/>
      <c r="C225" s="17" t="inlineStr">
        <is>
          <t>한국특수가스(주)</t>
        </is>
      </c>
      <c r="D225" s="17" t="inlineStr"/>
      <c r="E225" s="17" t="inlineStr">
        <is>
          <t>CMO·CDMO</t>
        </is>
      </c>
      <c r="F225" s="17" t="inlineStr">
        <is>
          <t>미확인</t>
        </is>
      </c>
      <c r="G225" s="17" t="inlineStr">
        <is>
          <t>웹조사 자동화 실패(세션한도)</t>
        </is>
      </c>
      <c r="H225" s="17" t="inlineStr">
        <is>
          <t>N</t>
        </is>
      </c>
      <c r="I225" s="17" t="inlineStr">
        <is>
          <t>회사 홈페이지</t>
        </is>
      </c>
      <c r="J225" s="17" t="inlineStr">
        <is>
          <t>회사 홈페이지에서 확인</t>
        </is>
      </c>
      <c r="K225" s="17" t="inlineStr">
        <is>
          <t>낮음</t>
        </is>
      </c>
      <c r="L225" s="17" t="inlineStr"/>
    </row>
    <row r="226">
      <c r="A226" s="17" t="inlineStr">
        <is>
          <t>C036</t>
        </is>
      </c>
      <c r="B226" s="17" t="inlineStr"/>
      <c r="C226" s="17" t="inlineStr">
        <is>
          <t>한국특수가스(주)</t>
        </is>
      </c>
      <c r="D226" s="17" t="inlineStr"/>
      <c r="E226" s="17" t="inlineStr">
        <is>
          <t>신공장·증설</t>
        </is>
      </c>
      <c r="F226" s="17" t="inlineStr">
        <is>
          <t>미확인</t>
        </is>
      </c>
      <c r="G226" s="17" t="inlineStr">
        <is>
          <t>웹조사 자동화 실패(세션한도)</t>
        </is>
      </c>
      <c r="H226" s="17" t="inlineStr">
        <is>
          <t>N</t>
        </is>
      </c>
      <c r="I226" s="17" t="inlineStr">
        <is>
          <t>언론·지자체 발표</t>
        </is>
      </c>
      <c r="J226" s="17" t="inlineStr">
        <is>
          <t>언론·지자체 발표에서 확인</t>
        </is>
      </c>
      <c r="K226" s="17" t="inlineStr">
        <is>
          <t>낮음</t>
        </is>
      </c>
      <c r="L226" s="17" t="inlineStr"/>
    </row>
    <row r="227">
      <c r="A227" s="17" t="inlineStr">
        <is>
          <t>C037</t>
        </is>
      </c>
      <c r="B227" s="17" t="inlineStr"/>
      <c r="C227" s="17" t="inlineStr">
        <is>
          <t>주식회사 큐로셀</t>
        </is>
      </c>
      <c r="D227" s="17" t="inlineStr"/>
      <c r="E227" s="17" t="inlineStr">
        <is>
          <t>최근매출(억원)</t>
        </is>
      </c>
      <c r="F227" s="17" t="inlineStr">
        <is>
          <t>미확인</t>
        </is>
      </c>
      <c r="G227" s="17" t="inlineStr">
        <is>
          <t>웹조사 자동화 실패(세션한도)</t>
        </is>
      </c>
      <c r="H227" s="17" t="inlineStr">
        <is>
          <t>N</t>
        </is>
      </c>
      <c r="I227" s="17" t="inlineStr">
        <is>
          <t>DART 사업보고서</t>
        </is>
      </c>
      <c r="J227" s="17" t="inlineStr">
        <is>
          <t>DART 사업보고서에서 확인</t>
        </is>
      </c>
      <c r="K227" s="17" t="inlineStr">
        <is>
          <t>낮음</t>
        </is>
      </c>
      <c r="L227" s="17" t="inlineStr"/>
    </row>
    <row r="228">
      <c r="A228" s="17" t="inlineStr">
        <is>
          <t>C037</t>
        </is>
      </c>
      <c r="B228" s="17" t="inlineStr"/>
      <c r="C228" s="17" t="inlineStr">
        <is>
          <t>주식회사 큐로셀</t>
        </is>
      </c>
      <c r="D228" s="17" t="inlineStr"/>
      <c r="E228" s="17" t="inlineStr">
        <is>
          <t>종업원수</t>
        </is>
      </c>
      <c r="F228" s="17" t="inlineStr">
        <is>
          <t>미확인</t>
        </is>
      </c>
      <c r="G228" s="17" t="inlineStr">
        <is>
          <t>웹조사 자동화 실패(세션한도)</t>
        </is>
      </c>
      <c r="H228" s="17" t="inlineStr">
        <is>
          <t>N</t>
        </is>
      </c>
      <c r="I228" s="17" t="inlineStr">
        <is>
          <t>DART/채용</t>
        </is>
      </c>
      <c r="J228" s="17" t="inlineStr">
        <is>
          <t>DART/채용에서 확인</t>
        </is>
      </c>
      <c r="K228" s="17" t="inlineStr">
        <is>
          <t>낮음</t>
        </is>
      </c>
      <c r="L228" s="17" t="inlineStr"/>
    </row>
    <row r="229">
      <c r="A229" s="17" t="inlineStr">
        <is>
          <t>C037</t>
        </is>
      </c>
      <c r="B229" s="17" t="inlineStr"/>
      <c r="C229" s="17" t="inlineStr">
        <is>
          <t>주식회사 큐로셀</t>
        </is>
      </c>
      <c r="D229" s="17" t="inlineStr"/>
      <c r="E229" s="17" t="inlineStr">
        <is>
          <t>수출여부</t>
        </is>
      </c>
      <c r="F229" s="17" t="inlineStr">
        <is>
          <t>미확인</t>
        </is>
      </c>
      <c r="G229" s="17" t="inlineStr">
        <is>
          <t>웹조사 자동화 실패(세션한도)</t>
        </is>
      </c>
      <c r="H229" s="17" t="inlineStr">
        <is>
          <t>N</t>
        </is>
      </c>
      <c r="I229" s="17" t="inlineStr">
        <is>
          <t>회사 공시·홈페이지</t>
        </is>
      </c>
      <c r="J229" s="17" t="inlineStr">
        <is>
          <t>회사 공시·홈페이지에서 확인</t>
        </is>
      </c>
      <c r="K229" s="17" t="inlineStr">
        <is>
          <t>낮음</t>
        </is>
      </c>
      <c r="L229" s="17" t="inlineStr"/>
    </row>
    <row r="230">
      <c r="A230" s="17" t="inlineStr">
        <is>
          <t>C037</t>
        </is>
      </c>
      <c r="B230" s="17" t="inlineStr"/>
      <c r="C230" s="17" t="inlineStr">
        <is>
          <t>주식회사 큐로셀</t>
        </is>
      </c>
      <c r="D230" s="17" t="inlineStr"/>
      <c r="E230" s="17" t="inlineStr">
        <is>
          <t>FDA·EMA 실사</t>
        </is>
      </c>
      <c r="F230" s="17" t="inlineStr">
        <is>
          <t>미확인</t>
        </is>
      </c>
      <c r="G230" s="17" t="inlineStr">
        <is>
          <t>웹조사 자동화 실패(세션한도)</t>
        </is>
      </c>
      <c r="H230" s="17" t="inlineStr">
        <is>
          <t>N</t>
        </is>
      </c>
      <c r="I230" s="17" t="inlineStr">
        <is>
          <t>FDA Inspection DB</t>
        </is>
      </c>
      <c r="J230" s="17" t="inlineStr">
        <is>
          <t>FDA Inspection DB에서 확인</t>
        </is>
      </c>
      <c r="K230" s="17" t="inlineStr">
        <is>
          <t>낮음</t>
        </is>
      </c>
      <c r="L230" s="17" t="inlineStr"/>
    </row>
    <row r="231">
      <c r="A231" s="17" t="inlineStr">
        <is>
          <t>C037</t>
        </is>
      </c>
      <c r="B231" s="17" t="inlineStr"/>
      <c r="C231" s="17" t="inlineStr">
        <is>
          <t>주식회사 큐로셀</t>
        </is>
      </c>
      <c r="D231" s="17" t="inlineStr"/>
      <c r="E231" s="17" t="inlineStr">
        <is>
          <t>CMO·CDMO</t>
        </is>
      </c>
      <c r="F231" s="17" t="inlineStr">
        <is>
          <t>미확인</t>
        </is>
      </c>
      <c r="G231" s="17" t="inlineStr">
        <is>
          <t>웹조사 자동화 실패(세션한도)</t>
        </is>
      </c>
      <c r="H231" s="17" t="inlineStr">
        <is>
          <t>N</t>
        </is>
      </c>
      <c r="I231" s="17" t="inlineStr">
        <is>
          <t>회사 홈페이지</t>
        </is>
      </c>
      <c r="J231" s="17" t="inlineStr">
        <is>
          <t>회사 홈페이지에서 확인</t>
        </is>
      </c>
      <c r="K231" s="17" t="inlineStr">
        <is>
          <t>낮음</t>
        </is>
      </c>
      <c r="L231" s="17" t="inlineStr"/>
    </row>
    <row r="232">
      <c r="A232" s="17" t="inlineStr">
        <is>
          <t>C037</t>
        </is>
      </c>
      <c r="B232" s="17" t="inlineStr"/>
      <c r="C232" s="17" t="inlineStr">
        <is>
          <t>주식회사 큐로셀</t>
        </is>
      </c>
      <c r="D232" s="17" t="inlineStr"/>
      <c r="E232" s="17" t="inlineStr">
        <is>
          <t>신공장·증설</t>
        </is>
      </c>
      <c r="F232" s="17" t="inlineStr">
        <is>
          <t>미확인</t>
        </is>
      </c>
      <c r="G232" s="17" t="inlineStr">
        <is>
          <t>웹조사 자동화 실패(세션한도)</t>
        </is>
      </c>
      <c r="H232" s="17" t="inlineStr">
        <is>
          <t>N</t>
        </is>
      </c>
      <c r="I232" s="17" t="inlineStr">
        <is>
          <t>언론·지자체 발표</t>
        </is>
      </c>
      <c r="J232" s="17" t="inlineStr">
        <is>
          <t>언론·지자체 발표에서 확인</t>
        </is>
      </c>
      <c r="K232" s="17" t="inlineStr">
        <is>
          <t>낮음</t>
        </is>
      </c>
      <c r="L232" s="17" t="inlineStr"/>
    </row>
    <row r="233">
      <c r="A233" s="17" t="inlineStr">
        <is>
          <t>C037</t>
        </is>
      </c>
      <c r="B233" s="17" t="inlineStr"/>
      <c r="C233" s="17" t="inlineStr">
        <is>
          <t>주식회사 큐로셀</t>
        </is>
      </c>
      <c r="D233" s="17" t="inlineStr"/>
      <c r="E233" s="17" t="inlineStr">
        <is>
          <t>대표전화</t>
        </is>
      </c>
      <c r="F233" s="17" t="inlineStr">
        <is>
          <t>미확인</t>
        </is>
      </c>
      <c r="G233" s="17" t="inlineStr">
        <is>
          <t>제조소상세 미매칭</t>
        </is>
      </c>
      <c r="H233" s="17" t="inlineStr">
        <is>
          <t>Y</t>
        </is>
      </c>
      <c r="I233" s="17" t="inlineStr">
        <is>
          <t>회사 홈페이지</t>
        </is>
      </c>
      <c r="J233" s="17" t="inlineStr">
        <is>
          <t>홈페이지에서 대표번호 확인</t>
        </is>
      </c>
      <c r="K233" s="17" t="inlineStr">
        <is>
          <t>낮음</t>
        </is>
      </c>
      <c r="L233" s="17" t="inlineStr"/>
    </row>
    <row r="234">
      <c r="A234" s="17" t="inlineStr">
        <is>
          <t>C038</t>
        </is>
      </c>
      <c r="B234" s="17" t="inlineStr"/>
      <c r="C234" s="17" t="inlineStr">
        <is>
          <t>한국코러스(주)</t>
        </is>
      </c>
      <c r="D234" s="17" t="inlineStr"/>
      <c r="E234" s="17" t="inlineStr">
        <is>
          <t>최근매출(억원)</t>
        </is>
      </c>
      <c r="F234" s="17" t="inlineStr">
        <is>
          <t>미확인</t>
        </is>
      </c>
      <c r="G234" s="17" t="inlineStr">
        <is>
          <t>웹조사 자동화 실패(세션한도)</t>
        </is>
      </c>
      <c r="H234" s="17" t="inlineStr">
        <is>
          <t>N</t>
        </is>
      </c>
      <c r="I234" s="17" t="inlineStr">
        <is>
          <t>DART 사업보고서</t>
        </is>
      </c>
      <c r="J234" s="17" t="inlineStr">
        <is>
          <t>DART 사업보고서에서 확인</t>
        </is>
      </c>
      <c r="K234" s="17" t="inlineStr">
        <is>
          <t>낮음</t>
        </is>
      </c>
      <c r="L234" s="17" t="inlineStr"/>
    </row>
    <row r="235">
      <c r="A235" s="17" t="inlineStr">
        <is>
          <t>C038</t>
        </is>
      </c>
      <c r="B235" s="17" t="inlineStr"/>
      <c r="C235" s="17" t="inlineStr">
        <is>
          <t>한국코러스(주)</t>
        </is>
      </c>
      <c r="D235" s="17" t="inlineStr"/>
      <c r="E235" s="17" t="inlineStr">
        <is>
          <t>종업원수</t>
        </is>
      </c>
      <c r="F235" s="17" t="inlineStr">
        <is>
          <t>미확인</t>
        </is>
      </c>
      <c r="G235" s="17" t="inlineStr">
        <is>
          <t>웹조사 자동화 실패(세션한도)</t>
        </is>
      </c>
      <c r="H235" s="17" t="inlineStr">
        <is>
          <t>N</t>
        </is>
      </c>
      <c r="I235" s="17" t="inlineStr">
        <is>
          <t>DART/채용</t>
        </is>
      </c>
      <c r="J235" s="17" t="inlineStr">
        <is>
          <t>DART/채용에서 확인</t>
        </is>
      </c>
      <c r="K235" s="17" t="inlineStr">
        <is>
          <t>낮음</t>
        </is>
      </c>
      <c r="L235" s="17" t="inlineStr"/>
    </row>
    <row r="236">
      <c r="A236" s="17" t="inlineStr">
        <is>
          <t>C038</t>
        </is>
      </c>
      <c r="B236" s="17" t="inlineStr"/>
      <c r="C236" s="17" t="inlineStr">
        <is>
          <t>한국코러스(주)</t>
        </is>
      </c>
      <c r="D236" s="17" t="inlineStr"/>
      <c r="E236" s="17" t="inlineStr">
        <is>
          <t>수출여부</t>
        </is>
      </c>
      <c r="F236" s="17" t="inlineStr">
        <is>
          <t>미확인</t>
        </is>
      </c>
      <c r="G236" s="17" t="inlineStr">
        <is>
          <t>웹조사 자동화 실패(세션한도)</t>
        </is>
      </c>
      <c r="H236" s="17" t="inlineStr">
        <is>
          <t>N</t>
        </is>
      </c>
      <c r="I236" s="17" t="inlineStr">
        <is>
          <t>회사 공시·홈페이지</t>
        </is>
      </c>
      <c r="J236" s="17" t="inlineStr">
        <is>
          <t>회사 공시·홈페이지에서 확인</t>
        </is>
      </c>
      <c r="K236" s="17" t="inlineStr">
        <is>
          <t>낮음</t>
        </is>
      </c>
      <c r="L236" s="17" t="inlineStr"/>
    </row>
    <row r="237">
      <c r="A237" s="17" t="inlineStr">
        <is>
          <t>C038</t>
        </is>
      </c>
      <c r="B237" s="17" t="inlineStr"/>
      <c r="C237" s="17" t="inlineStr">
        <is>
          <t>한국코러스(주)</t>
        </is>
      </c>
      <c r="D237" s="17" t="inlineStr"/>
      <c r="E237" s="17" t="inlineStr">
        <is>
          <t>FDA·EMA 실사</t>
        </is>
      </c>
      <c r="F237" s="17" t="inlineStr">
        <is>
          <t>미확인</t>
        </is>
      </c>
      <c r="G237" s="17" t="inlineStr">
        <is>
          <t>웹조사 자동화 실패(세션한도)</t>
        </is>
      </c>
      <c r="H237" s="17" t="inlineStr">
        <is>
          <t>N</t>
        </is>
      </c>
      <c r="I237" s="17" t="inlineStr">
        <is>
          <t>FDA Inspection DB</t>
        </is>
      </c>
      <c r="J237" s="17" t="inlineStr">
        <is>
          <t>FDA Inspection DB에서 확인</t>
        </is>
      </c>
      <c r="K237" s="17" t="inlineStr">
        <is>
          <t>낮음</t>
        </is>
      </c>
      <c r="L237" s="17" t="inlineStr"/>
    </row>
    <row r="238">
      <c r="A238" s="17" t="inlineStr">
        <is>
          <t>C038</t>
        </is>
      </c>
      <c r="B238" s="17" t="inlineStr"/>
      <c r="C238" s="17" t="inlineStr">
        <is>
          <t>한국코러스(주)</t>
        </is>
      </c>
      <c r="D238" s="17" t="inlineStr"/>
      <c r="E238" s="17" t="inlineStr">
        <is>
          <t>CMO·CDMO</t>
        </is>
      </c>
      <c r="F238" s="17" t="inlineStr">
        <is>
          <t>미확인</t>
        </is>
      </c>
      <c r="G238" s="17" t="inlineStr">
        <is>
          <t>웹조사 자동화 실패(세션한도)</t>
        </is>
      </c>
      <c r="H238" s="17" t="inlineStr">
        <is>
          <t>N</t>
        </is>
      </c>
      <c r="I238" s="17" t="inlineStr">
        <is>
          <t>회사 홈페이지</t>
        </is>
      </c>
      <c r="J238" s="17" t="inlineStr">
        <is>
          <t>회사 홈페이지에서 확인</t>
        </is>
      </c>
      <c r="K238" s="17" t="inlineStr">
        <is>
          <t>낮음</t>
        </is>
      </c>
      <c r="L238" s="17" t="inlineStr"/>
    </row>
    <row r="239">
      <c r="A239" s="17" t="inlineStr">
        <is>
          <t>C038</t>
        </is>
      </c>
      <c r="B239" s="17" t="inlineStr"/>
      <c r="C239" s="17" t="inlineStr">
        <is>
          <t>한국코러스(주)</t>
        </is>
      </c>
      <c r="D239" s="17" t="inlineStr"/>
      <c r="E239" s="17" t="inlineStr">
        <is>
          <t>신공장·증설</t>
        </is>
      </c>
      <c r="F239" s="17" t="inlineStr">
        <is>
          <t>미확인</t>
        </is>
      </c>
      <c r="G239" s="17" t="inlineStr">
        <is>
          <t>웹조사 자동화 실패(세션한도)</t>
        </is>
      </c>
      <c r="H239" s="17" t="inlineStr">
        <is>
          <t>N</t>
        </is>
      </c>
      <c r="I239" s="17" t="inlineStr">
        <is>
          <t>언론·지자체 발표</t>
        </is>
      </c>
      <c r="J239" s="17" t="inlineStr">
        <is>
          <t>언론·지자체 발표에서 확인</t>
        </is>
      </c>
      <c r="K239" s="17" t="inlineStr">
        <is>
          <t>낮음</t>
        </is>
      </c>
      <c r="L239" s="17" t="inlineStr"/>
    </row>
    <row r="240">
      <c r="A240" s="17" t="inlineStr">
        <is>
          <t>C039</t>
        </is>
      </c>
      <c r="B240" s="17" t="inlineStr"/>
      <c r="C240" s="17" t="inlineStr">
        <is>
          <t>선도산업(주)</t>
        </is>
      </c>
      <c r="D240" s="17" t="inlineStr"/>
      <c r="E240" s="17" t="inlineStr">
        <is>
          <t>최근매출(억원)</t>
        </is>
      </c>
      <c r="F240" s="17" t="inlineStr">
        <is>
          <t>미확인</t>
        </is>
      </c>
      <c r="G240" s="17" t="inlineStr">
        <is>
          <t>웹조사 자동화 실패(세션한도)</t>
        </is>
      </c>
      <c r="H240" s="17" t="inlineStr">
        <is>
          <t>N</t>
        </is>
      </c>
      <c r="I240" s="17" t="inlineStr">
        <is>
          <t>DART 사업보고서</t>
        </is>
      </c>
      <c r="J240" s="17" t="inlineStr">
        <is>
          <t>DART 사업보고서에서 확인</t>
        </is>
      </c>
      <c r="K240" s="17" t="inlineStr">
        <is>
          <t>낮음</t>
        </is>
      </c>
      <c r="L240" s="17" t="inlineStr"/>
    </row>
    <row r="241">
      <c r="A241" s="17" t="inlineStr">
        <is>
          <t>C039</t>
        </is>
      </c>
      <c r="B241" s="17" t="inlineStr"/>
      <c r="C241" s="17" t="inlineStr">
        <is>
          <t>선도산업(주)</t>
        </is>
      </c>
      <c r="D241" s="17" t="inlineStr"/>
      <c r="E241" s="17" t="inlineStr">
        <is>
          <t>종업원수</t>
        </is>
      </c>
      <c r="F241" s="17" t="inlineStr">
        <is>
          <t>미확인</t>
        </is>
      </c>
      <c r="G241" s="17" t="inlineStr">
        <is>
          <t>웹조사 자동화 실패(세션한도)</t>
        </is>
      </c>
      <c r="H241" s="17" t="inlineStr">
        <is>
          <t>N</t>
        </is>
      </c>
      <c r="I241" s="17" t="inlineStr">
        <is>
          <t>DART/채용</t>
        </is>
      </c>
      <c r="J241" s="17" t="inlineStr">
        <is>
          <t>DART/채용에서 확인</t>
        </is>
      </c>
      <c r="K241" s="17" t="inlineStr">
        <is>
          <t>낮음</t>
        </is>
      </c>
      <c r="L241" s="17" t="inlineStr"/>
    </row>
    <row r="242">
      <c r="A242" s="17" t="inlineStr">
        <is>
          <t>C039</t>
        </is>
      </c>
      <c r="B242" s="17" t="inlineStr"/>
      <c r="C242" s="17" t="inlineStr">
        <is>
          <t>선도산업(주)</t>
        </is>
      </c>
      <c r="D242" s="17" t="inlineStr"/>
      <c r="E242" s="17" t="inlineStr">
        <is>
          <t>수출여부</t>
        </is>
      </c>
      <c r="F242" s="17" t="inlineStr">
        <is>
          <t>미확인</t>
        </is>
      </c>
      <c r="G242" s="17" t="inlineStr">
        <is>
          <t>웹조사 자동화 실패(세션한도)</t>
        </is>
      </c>
      <c r="H242" s="17" t="inlineStr">
        <is>
          <t>N</t>
        </is>
      </c>
      <c r="I242" s="17" t="inlineStr">
        <is>
          <t>회사 공시·홈페이지</t>
        </is>
      </c>
      <c r="J242" s="17" t="inlineStr">
        <is>
          <t>회사 공시·홈페이지에서 확인</t>
        </is>
      </c>
      <c r="K242" s="17" t="inlineStr">
        <is>
          <t>낮음</t>
        </is>
      </c>
      <c r="L242" s="17" t="inlineStr"/>
    </row>
    <row r="243">
      <c r="A243" s="17" t="inlineStr">
        <is>
          <t>C039</t>
        </is>
      </c>
      <c r="B243" s="17" t="inlineStr"/>
      <c r="C243" s="17" t="inlineStr">
        <is>
          <t>선도산업(주)</t>
        </is>
      </c>
      <c r="D243" s="17" t="inlineStr"/>
      <c r="E243" s="17" t="inlineStr">
        <is>
          <t>FDA·EMA 실사</t>
        </is>
      </c>
      <c r="F243" s="17" t="inlineStr">
        <is>
          <t>미확인</t>
        </is>
      </c>
      <c r="G243" s="17" t="inlineStr">
        <is>
          <t>웹조사 자동화 실패(세션한도)</t>
        </is>
      </c>
      <c r="H243" s="17" t="inlineStr">
        <is>
          <t>N</t>
        </is>
      </c>
      <c r="I243" s="17" t="inlineStr">
        <is>
          <t>FDA Inspection DB</t>
        </is>
      </c>
      <c r="J243" s="17" t="inlineStr">
        <is>
          <t>FDA Inspection DB에서 확인</t>
        </is>
      </c>
      <c r="K243" s="17" t="inlineStr">
        <is>
          <t>낮음</t>
        </is>
      </c>
      <c r="L243" s="17" t="inlineStr"/>
    </row>
    <row r="244">
      <c r="A244" s="17" t="inlineStr">
        <is>
          <t>C039</t>
        </is>
      </c>
      <c r="B244" s="17" t="inlineStr"/>
      <c r="C244" s="17" t="inlineStr">
        <is>
          <t>선도산업(주)</t>
        </is>
      </c>
      <c r="D244" s="17" t="inlineStr"/>
      <c r="E244" s="17" t="inlineStr">
        <is>
          <t>CMO·CDMO</t>
        </is>
      </c>
      <c r="F244" s="17" t="inlineStr">
        <is>
          <t>미확인</t>
        </is>
      </c>
      <c r="G244" s="17" t="inlineStr">
        <is>
          <t>웹조사 자동화 실패(세션한도)</t>
        </is>
      </c>
      <c r="H244" s="17" t="inlineStr">
        <is>
          <t>N</t>
        </is>
      </c>
      <c r="I244" s="17" t="inlineStr">
        <is>
          <t>회사 홈페이지</t>
        </is>
      </c>
      <c r="J244" s="17" t="inlineStr">
        <is>
          <t>회사 홈페이지에서 확인</t>
        </is>
      </c>
      <c r="K244" s="17" t="inlineStr">
        <is>
          <t>낮음</t>
        </is>
      </c>
      <c r="L244" s="17" t="inlineStr"/>
    </row>
    <row r="245">
      <c r="A245" s="17" t="inlineStr">
        <is>
          <t>C039</t>
        </is>
      </c>
      <c r="B245" s="17" t="inlineStr"/>
      <c r="C245" s="17" t="inlineStr">
        <is>
          <t>선도산업(주)</t>
        </is>
      </c>
      <c r="D245" s="17" t="inlineStr"/>
      <c r="E245" s="17" t="inlineStr">
        <is>
          <t>신공장·증설</t>
        </is>
      </c>
      <c r="F245" s="17" t="inlineStr">
        <is>
          <t>미확인</t>
        </is>
      </c>
      <c r="G245" s="17" t="inlineStr">
        <is>
          <t>웹조사 자동화 실패(세션한도)</t>
        </is>
      </c>
      <c r="H245" s="17" t="inlineStr">
        <is>
          <t>N</t>
        </is>
      </c>
      <c r="I245" s="17" t="inlineStr">
        <is>
          <t>언론·지자체 발표</t>
        </is>
      </c>
      <c r="J245" s="17" t="inlineStr">
        <is>
          <t>언론·지자체 발표에서 확인</t>
        </is>
      </c>
      <c r="K245" s="17" t="inlineStr">
        <is>
          <t>낮음</t>
        </is>
      </c>
      <c r="L245" s="17" t="inlineStr"/>
    </row>
    <row r="246">
      <c r="A246" s="17" t="inlineStr">
        <is>
          <t>C039</t>
        </is>
      </c>
      <c r="B246" s="17" t="inlineStr"/>
      <c r="C246" s="17" t="inlineStr">
        <is>
          <t>선도산업(주)</t>
        </is>
      </c>
      <c r="D246" s="17" t="inlineStr"/>
      <c r="E246" s="17" t="inlineStr">
        <is>
          <t>대표전화</t>
        </is>
      </c>
      <c r="F246" s="17" t="inlineStr">
        <is>
          <t>미확인</t>
        </is>
      </c>
      <c r="G246" s="17" t="inlineStr">
        <is>
          <t>제조소상세 미매칭</t>
        </is>
      </c>
      <c r="H246" s="17" t="inlineStr">
        <is>
          <t>Y</t>
        </is>
      </c>
      <c r="I246" s="17" t="inlineStr">
        <is>
          <t>회사 홈페이지</t>
        </is>
      </c>
      <c r="J246" s="17" t="inlineStr">
        <is>
          <t>홈페이지에서 대표번호 확인</t>
        </is>
      </c>
      <c r="K246" s="17" t="inlineStr">
        <is>
          <t>낮음</t>
        </is>
      </c>
      <c r="L246" s="17" t="inlineStr"/>
    </row>
    <row r="247">
      <c r="A247" s="17" t="inlineStr">
        <is>
          <t>C040</t>
        </is>
      </c>
      <c r="B247" s="17" t="inlineStr"/>
      <c r="C247" s="17" t="inlineStr">
        <is>
          <t>(주)엘앤씨바이오</t>
        </is>
      </c>
      <c r="D247" s="17" t="inlineStr"/>
      <c r="E247" s="17" t="inlineStr">
        <is>
          <t>최근매출(억원)</t>
        </is>
      </c>
      <c r="F247" s="17" t="inlineStr">
        <is>
          <t>미확인</t>
        </is>
      </c>
      <c r="G247" s="17" t="inlineStr">
        <is>
          <t>웹조사 자동화 실패(세션한도)</t>
        </is>
      </c>
      <c r="H247" s="17" t="inlineStr">
        <is>
          <t>N</t>
        </is>
      </c>
      <c r="I247" s="17" t="inlineStr">
        <is>
          <t>DART 사업보고서</t>
        </is>
      </c>
      <c r="J247" s="17" t="inlineStr">
        <is>
          <t>DART 사업보고서에서 확인</t>
        </is>
      </c>
      <c r="K247" s="17" t="inlineStr">
        <is>
          <t>낮음</t>
        </is>
      </c>
      <c r="L247" s="17" t="inlineStr"/>
    </row>
    <row r="248">
      <c r="A248" s="17" t="inlineStr">
        <is>
          <t>C040</t>
        </is>
      </c>
      <c r="B248" s="17" t="inlineStr"/>
      <c r="C248" s="17" t="inlineStr">
        <is>
          <t>(주)엘앤씨바이오</t>
        </is>
      </c>
      <c r="D248" s="17" t="inlineStr"/>
      <c r="E248" s="17" t="inlineStr">
        <is>
          <t>종업원수</t>
        </is>
      </c>
      <c r="F248" s="17" t="inlineStr">
        <is>
          <t>미확인</t>
        </is>
      </c>
      <c r="G248" s="17" t="inlineStr">
        <is>
          <t>웹조사 자동화 실패(세션한도)</t>
        </is>
      </c>
      <c r="H248" s="17" t="inlineStr">
        <is>
          <t>N</t>
        </is>
      </c>
      <c r="I248" s="17" t="inlineStr">
        <is>
          <t>DART/채용</t>
        </is>
      </c>
      <c r="J248" s="17" t="inlineStr">
        <is>
          <t>DART/채용에서 확인</t>
        </is>
      </c>
      <c r="K248" s="17" t="inlineStr">
        <is>
          <t>낮음</t>
        </is>
      </c>
      <c r="L248" s="17" t="inlineStr"/>
    </row>
    <row r="249">
      <c r="A249" s="17" t="inlineStr">
        <is>
          <t>C040</t>
        </is>
      </c>
      <c r="B249" s="17" t="inlineStr"/>
      <c r="C249" s="17" t="inlineStr">
        <is>
          <t>(주)엘앤씨바이오</t>
        </is>
      </c>
      <c r="D249" s="17" t="inlineStr"/>
      <c r="E249" s="17" t="inlineStr">
        <is>
          <t>수출여부</t>
        </is>
      </c>
      <c r="F249" s="17" t="inlineStr">
        <is>
          <t>미확인</t>
        </is>
      </c>
      <c r="G249" s="17" t="inlineStr">
        <is>
          <t>웹조사 자동화 실패(세션한도)</t>
        </is>
      </c>
      <c r="H249" s="17" t="inlineStr">
        <is>
          <t>N</t>
        </is>
      </c>
      <c r="I249" s="17" t="inlineStr">
        <is>
          <t>회사 공시·홈페이지</t>
        </is>
      </c>
      <c r="J249" s="17" t="inlineStr">
        <is>
          <t>회사 공시·홈페이지에서 확인</t>
        </is>
      </c>
      <c r="K249" s="17" t="inlineStr">
        <is>
          <t>낮음</t>
        </is>
      </c>
      <c r="L249" s="17" t="inlineStr"/>
    </row>
    <row r="250">
      <c r="A250" s="17" t="inlineStr">
        <is>
          <t>C040</t>
        </is>
      </c>
      <c r="B250" s="17" t="inlineStr"/>
      <c r="C250" s="17" t="inlineStr">
        <is>
          <t>(주)엘앤씨바이오</t>
        </is>
      </c>
      <c r="D250" s="17" t="inlineStr"/>
      <c r="E250" s="17" t="inlineStr">
        <is>
          <t>FDA·EMA 실사</t>
        </is>
      </c>
      <c r="F250" s="17" t="inlineStr">
        <is>
          <t>미확인</t>
        </is>
      </c>
      <c r="G250" s="17" t="inlineStr">
        <is>
          <t>웹조사 자동화 실패(세션한도)</t>
        </is>
      </c>
      <c r="H250" s="17" t="inlineStr">
        <is>
          <t>N</t>
        </is>
      </c>
      <c r="I250" s="17" t="inlineStr">
        <is>
          <t>FDA Inspection DB</t>
        </is>
      </c>
      <c r="J250" s="17" t="inlineStr">
        <is>
          <t>FDA Inspection DB에서 확인</t>
        </is>
      </c>
      <c r="K250" s="17" t="inlineStr">
        <is>
          <t>낮음</t>
        </is>
      </c>
      <c r="L250" s="17" t="inlineStr"/>
    </row>
    <row r="251">
      <c r="A251" s="17" t="inlineStr">
        <is>
          <t>C040</t>
        </is>
      </c>
      <c r="B251" s="17" t="inlineStr"/>
      <c r="C251" s="17" t="inlineStr">
        <is>
          <t>(주)엘앤씨바이오</t>
        </is>
      </c>
      <c r="D251" s="17" t="inlineStr"/>
      <c r="E251" s="17" t="inlineStr">
        <is>
          <t>CMO·CDMO</t>
        </is>
      </c>
      <c r="F251" s="17" t="inlineStr">
        <is>
          <t>미확인</t>
        </is>
      </c>
      <c r="G251" s="17" t="inlineStr">
        <is>
          <t>웹조사 자동화 실패(세션한도)</t>
        </is>
      </c>
      <c r="H251" s="17" t="inlineStr">
        <is>
          <t>N</t>
        </is>
      </c>
      <c r="I251" s="17" t="inlineStr">
        <is>
          <t>회사 홈페이지</t>
        </is>
      </c>
      <c r="J251" s="17" t="inlineStr">
        <is>
          <t>회사 홈페이지에서 확인</t>
        </is>
      </c>
      <c r="K251" s="17" t="inlineStr">
        <is>
          <t>낮음</t>
        </is>
      </c>
      <c r="L251" s="17" t="inlineStr"/>
    </row>
    <row r="252">
      <c r="A252" s="17" t="inlineStr">
        <is>
          <t>C040</t>
        </is>
      </c>
      <c r="B252" s="17" t="inlineStr"/>
      <c r="C252" s="17" t="inlineStr">
        <is>
          <t>(주)엘앤씨바이오</t>
        </is>
      </c>
      <c r="D252" s="17" t="inlineStr"/>
      <c r="E252" s="17" t="inlineStr">
        <is>
          <t>신공장·증설</t>
        </is>
      </c>
      <c r="F252" s="17" t="inlineStr">
        <is>
          <t>미확인</t>
        </is>
      </c>
      <c r="G252" s="17" t="inlineStr">
        <is>
          <t>웹조사 자동화 실패(세션한도)</t>
        </is>
      </c>
      <c r="H252" s="17" t="inlineStr">
        <is>
          <t>N</t>
        </is>
      </c>
      <c r="I252" s="17" t="inlineStr">
        <is>
          <t>언론·지자체 발표</t>
        </is>
      </c>
      <c r="J252" s="17" t="inlineStr">
        <is>
          <t>언론·지자체 발표에서 확인</t>
        </is>
      </c>
      <c r="K252" s="17" t="inlineStr">
        <is>
          <t>낮음</t>
        </is>
      </c>
      <c r="L252" s="17" t="inlineStr"/>
    </row>
    <row r="253">
      <c r="A253" s="17" t="inlineStr">
        <is>
          <t>C041</t>
        </is>
      </c>
      <c r="B253" s="17" t="inlineStr"/>
      <c r="C253" s="17" t="inlineStr">
        <is>
          <t>(주)퓨쳐켐</t>
        </is>
      </c>
      <c r="D253" s="17" t="inlineStr"/>
      <c r="E253" s="17" t="inlineStr">
        <is>
          <t>최근매출(억원)</t>
        </is>
      </c>
      <c r="F253" s="17" t="inlineStr">
        <is>
          <t>미확인</t>
        </is>
      </c>
      <c r="G253" s="17" t="inlineStr">
        <is>
          <t>웹조사 자동화 실패(세션한도)</t>
        </is>
      </c>
      <c r="H253" s="17" t="inlineStr">
        <is>
          <t>N</t>
        </is>
      </c>
      <c r="I253" s="17" t="inlineStr">
        <is>
          <t>DART 사업보고서</t>
        </is>
      </c>
      <c r="J253" s="17" t="inlineStr">
        <is>
          <t>DART 사업보고서에서 확인</t>
        </is>
      </c>
      <c r="K253" s="17" t="inlineStr">
        <is>
          <t>낮음</t>
        </is>
      </c>
      <c r="L253" s="17" t="inlineStr"/>
    </row>
    <row r="254">
      <c r="A254" s="17" t="inlineStr">
        <is>
          <t>C041</t>
        </is>
      </c>
      <c r="B254" s="17" t="inlineStr"/>
      <c r="C254" s="17" t="inlineStr">
        <is>
          <t>(주)퓨쳐켐</t>
        </is>
      </c>
      <c r="D254" s="17" t="inlineStr"/>
      <c r="E254" s="17" t="inlineStr">
        <is>
          <t>종업원수</t>
        </is>
      </c>
      <c r="F254" s="17" t="inlineStr">
        <is>
          <t>미확인</t>
        </is>
      </c>
      <c r="G254" s="17" t="inlineStr">
        <is>
          <t>웹조사 자동화 실패(세션한도)</t>
        </is>
      </c>
      <c r="H254" s="17" t="inlineStr">
        <is>
          <t>N</t>
        </is>
      </c>
      <c r="I254" s="17" t="inlineStr">
        <is>
          <t>DART/채용</t>
        </is>
      </c>
      <c r="J254" s="17" t="inlineStr">
        <is>
          <t>DART/채용에서 확인</t>
        </is>
      </c>
      <c r="K254" s="17" t="inlineStr">
        <is>
          <t>낮음</t>
        </is>
      </c>
      <c r="L254" s="17" t="inlineStr"/>
    </row>
    <row r="255">
      <c r="A255" s="17" t="inlineStr">
        <is>
          <t>C041</t>
        </is>
      </c>
      <c r="B255" s="17" t="inlineStr"/>
      <c r="C255" s="17" t="inlineStr">
        <is>
          <t>(주)퓨쳐켐</t>
        </is>
      </c>
      <c r="D255" s="17" t="inlineStr"/>
      <c r="E255" s="17" t="inlineStr">
        <is>
          <t>수출여부</t>
        </is>
      </c>
      <c r="F255" s="17" t="inlineStr">
        <is>
          <t>미확인</t>
        </is>
      </c>
      <c r="G255" s="17" t="inlineStr">
        <is>
          <t>웹조사 자동화 실패(세션한도)</t>
        </is>
      </c>
      <c r="H255" s="17" t="inlineStr">
        <is>
          <t>N</t>
        </is>
      </c>
      <c r="I255" s="17" t="inlineStr">
        <is>
          <t>회사 공시·홈페이지</t>
        </is>
      </c>
      <c r="J255" s="17" t="inlineStr">
        <is>
          <t>회사 공시·홈페이지에서 확인</t>
        </is>
      </c>
      <c r="K255" s="17" t="inlineStr">
        <is>
          <t>낮음</t>
        </is>
      </c>
      <c r="L255" s="17" t="inlineStr"/>
    </row>
    <row r="256">
      <c r="A256" s="17" t="inlineStr">
        <is>
          <t>C041</t>
        </is>
      </c>
      <c r="B256" s="17" t="inlineStr"/>
      <c r="C256" s="17" t="inlineStr">
        <is>
          <t>(주)퓨쳐켐</t>
        </is>
      </c>
      <c r="D256" s="17" t="inlineStr"/>
      <c r="E256" s="17" t="inlineStr">
        <is>
          <t>FDA·EMA 실사</t>
        </is>
      </c>
      <c r="F256" s="17" t="inlineStr">
        <is>
          <t>미확인</t>
        </is>
      </c>
      <c r="G256" s="17" t="inlineStr">
        <is>
          <t>웹조사 자동화 실패(세션한도)</t>
        </is>
      </c>
      <c r="H256" s="17" t="inlineStr">
        <is>
          <t>N</t>
        </is>
      </c>
      <c r="I256" s="17" t="inlineStr">
        <is>
          <t>FDA Inspection DB</t>
        </is>
      </c>
      <c r="J256" s="17" t="inlineStr">
        <is>
          <t>FDA Inspection DB에서 확인</t>
        </is>
      </c>
      <c r="K256" s="17" t="inlineStr">
        <is>
          <t>낮음</t>
        </is>
      </c>
      <c r="L256" s="17" t="inlineStr"/>
    </row>
    <row r="257">
      <c r="A257" s="17" t="inlineStr">
        <is>
          <t>C041</t>
        </is>
      </c>
      <c r="B257" s="17" t="inlineStr"/>
      <c r="C257" s="17" t="inlineStr">
        <is>
          <t>(주)퓨쳐켐</t>
        </is>
      </c>
      <c r="D257" s="17" t="inlineStr"/>
      <c r="E257" s="17" t="inlineStr">
        <is>
          <t>CMO·CDMO</t>
        </is>
      </c>
      <c r="F257" s="17" t="inlineStr">
        <is>
          <t>미확인</t>
        </is>
      </c>
      <c r="G257" s="17" t="inlineStr">
        <is>
          <t>웹조사 자동화 실패(세션한도)</t>
        </is>
      </c>
      <c r="H257" s="17" t="inlineStr">
        <is>
          <t>N</t>
        </is>
      </c>
      <c r="I257" s="17" t="inlineStr">
        <is>
          <t>회사 홈페이지</t>
        </is>
      </c>
      <c r="J257" s="17" t="inlineStr">
        <is>
          <t>회사 홈페이지에서 확인</t>
        </is>
      </c>
      <c r="K257" s="17" t="inlineStr">
        <is>
          <t>낮음</t>
        </is>
      </c>
      <c r="L257" s="17" t="inlineStr"/>
    </row>
    <row r="258">
      <c r="A258" s="17" t="inlineStr">
        <is>
          <t>C041</t>
        </is>
      </c>
      <c r="B258" s="17" t="inlineStr"/>
      <c r="C258" s="17" t="inlineStr">
        <is>
          <t>(주)퓨쳐켐</t>
        </is>
      </c>
      <c r="D258" s="17" t="inlineStr"/>
      <c r="E258" s="17" t="inlineStr">
        <is>
          <t>신공장·증설</t>
        </is>
      </c>
      <c r="F258" s="17" t="inlineStr">
        <is>
          <t>미확인</t>
        </is>
      </c>
      <c r="G258" s="17" t="inlineStr">
        <is>
          <t>웹조사 자동화 실패(세션한도)</t>
        </is>
      </c>
      <c r="H258" s="17" t="inlineStr">
        <is>
          <t>N</t>
        </is>
      </c>
      <c r="I258" s="17" t="inlineStr">
        <is>
          <t>언론·지자체 발표</t>
        </is>
      </c>
      <c r="J258" s="17" t="inlineStr">
        <is>
          <t>언론·지자체 발표에서 확인</t>
        </is>
      </c>
      <c r="K258" s="17" t="inlineStr">
        <is>
          <t>낮음</t>
        </is>
      </c>
      <c r="L258" s="17" t="inlineStr"/>
    </row>
    <row r="259">
      <c r="A259" s="17" t="inlineStr">
        <is>
          <t>C042</t>
        </is>
      </c>
      <c r="B259" s="17" t="inlineStr"/>
      <c r="C259" s="17" t="inlineStr">
        <is>
          <t>동성제약(주)</t>
        </is>
      </c>
      <c r="D259" s="17" t="inlineStr"/>
      <c r="E259" s="17" t="inlineStr">
        <is>
          <t>최근매출(억원)</t>
        </is>
      </c>
      <c r="F259" s="17" t="inlineStr">
        <is>
          <t>미확인</t>
        </is>
      </c>
      <c r="G259" s="17" t="inlineStr">
        <is>
          <t>웹조사 자동화 실패(세션한도)</t>
        </is>
      </c>
      <c r="H259" s="17" t="inlineStr">
        <is>
          <t>N</t>
        </is>
      </c>
      <c r="I259" s="17" t="inlineStr">
        <is>
          <t>DART 사업보고서</t>
        </is>
      </c>
      <c r="J259" s="17" t="inlineStr">
        <is>
          <t>DART 사업보고서에서 확인</t>
        </is>
      </c>
      <c r="K259" s="17" t="inlineStr">
        <is>
          <t>낮음</t>
        </is>
      </c>
      <c r="L259" s="17" t="inlineStr"/>
    </row>
    <row r="260">
      <c r="A260" s="17" t="inlineStr">
        <is>
          <t>C042</t>
        </is>
      </c>
      <c r="B260" s="17" t="inlineStr"/>
      <c r="C260" s="17" t="inlineStr">
        <is>
          <t>동성제약(주)</t>
        </is>
      </c>
      <c r="D260" s="17" t="inlineStr"/>
      <c r="E260" s="17" t="inlineStr">
        <is>
          <t>종업원수</t>
        </is>
      </c>
      <c r="F260" s="17" t="inlineStr">
        <is>
          <t>미확인</t>
        </is>
      </c>
      <c r="G260" s="17" t="inlineStr">
        <is>
          <t>웹조사 자동화 실패(세션한도)</t>
        </is>
      </c>
      <c r="H260" s="17" t="inlineStr">
        <is>
          <t>N</t>
        </is>
      </c>
      <c r="I260" s="17" t="inlineStr">
        <is>
          <t>DART/채용</t>
        </is>
      </c>
      <c r="J260" s="17" t="inlineStr">
        <is>
          <t>DART/채용에서 확인</t>
        </is>
      </c>
      <c r="K260" s="17" t="inlineStr">
        <is>
          <t>낮음</t>
        </is>
      </c>
      <c r="L260" s="17" t="inlineStr"/>
    </row>
    <row r="261">
      <c r="A261" s="17" t="inlineStr">
        <is>
          <t>C042</t>
        </is>
      </c>
      <c r="B261" s="17" t="inlineStr"/>
      <c r="C261" s="17" t="inlineStr">
        <is>
          <t>동성제약(주)</t>
        </is>
      </c>
      <c r="D261" s="17" t="inlineStr"/>
      <c r="E261" s="17" t="inlineStr">
        <is>
          <t>수출여부</t>
        </is>
      </c>
      <c r="F261" s="17" t="inlineStr">
        <is>
          <t>미확인</t>
        </is>
      </c>
      <c r="G261" s="17" t="inlineStr">
        <is>
          <t>웹조사 자동화 실패(세션한도)</t>
        </is>
      </c>
      <c r="H261" s="17" t="inlineStr">
        <is>
          <t>N</t>
        </is>
      </c>
      <c r="I261" s="17" t="inlineStr">
        <is>
          <t>회사 공시·홈페이지</t>
        </is>
      </c>
      <c r="J261" s="17" t="inlineStr">
        <is>
          <t>회사 공시·홈페이지에서 확인</t>
        </is>
      </c>
      <c r="K261" s="17" t="inlineStr">
        <is>
          <t>낮음</t>
        </is>
      </c>
      <c r="L261" s="17" t="inlineStr"/>
    </row>
    <row r="262">
      <c r="A262" s="17" t="inlineStr">
        <is>
          <t>C042</t>
        </is>
      </c>
      <c r="B262" s="17" t="inlineStr"/>
      <c r="C262" s="17" t="inlineStr">
        <is>
          <t>동성제약(주)</t>
        </is>
      </c>
      <c r="D262" s="17" t="inlineStr"/>
      <c r="E262" s="17" t="inlineStr">
        <is>
          <t>FDA·EMA 실사</t>
        </is>
      </c>
      <c r="F262" s="17" t="inlineStr">
        <is>
          <t>미확인</t>
        </is>
      </c>
      <c r="G262" s="17" t="inlineStr">
        <is>
          <t>웹조사 자동화 실패(세션한도)</t>
        </is>
      </c>
      <c r="H262" s="17" t="inlineStr">
        <is>
          <t>N</t>
        </is>
      </c>
      <c r="I262" s="17" t="inlineStr">
        <is>
          <t>FDA Inspection DB</t>
        </is>
      </c>
      <c r="J262" s="17" t="inlineStr">
        <is>
          <t>FDA Inspection DB에서 확인</t>
        </is>
      </c>
      <c r="K262" s="17" t="inlineStr">
        <is>
          <t>낮음</t>
        </is>
      </c>
      <c r="L262" s="17" t="inlineStr"/>
    </row>
    <row r="263">
      <c r="A263" s="17" t="inlineStr">
        <is>
          <t>C042</t>
        </is>
      </c>
      <c r="B263" s="17" t="inlineStr"/>
      <c r="C263" s="17" t="inlineStr">
        <is>
          <t>동성제약(주)</t>
        </is>
      </c>
      <c r="D263" s="17" t="inlineStr"/>
      <c r="E263" s="17" t="inlineStr">
        <is>
          <t>CMO·CDMO</t>
        </is>
      </c>
      <c r="F263" s="17" t="inlineStr">
        <is>
          <t>미확인</t>
        </is>
      </c>
      <c r="G263" s="17" t="inlineStr">
        <is>
          <t>웹조사 자동화 실패(세션한도)</t>
        </is>
      </c>
      <c r="H263" s="17" t="inlineStr">
        <is>
          <t>N</t>
        </is>
      </c>
      <c r="I263" s="17" t="inlineStr">
        <is>
          <t>회사 홈페이지</t>
        </is>
      </c>
      <c r="J263" s="17" t="inlineStr">
        <is>
          <t>회사 홈페이지에서 확인</t>
        </is>
      </c>
      <c r="K263" s="17" t="inlineStr">
        <is>
          <t>낮음</t>
        </is>
      </c>
      <c r="L263" s="17" t="inlineStr"/>
    </row>
    <row r="264">
      <c r="A264" s="17" t="inlineStr">
        <is>
          <t>C042</t>
        </is>
      </c>
      <c r="B264" s="17" t="inlineStr"/>
      <c r="C264" s="17" t="inlineStr">
        <is>
          <t>동성제약(주)</t>
        </is>
      </c>
      <c r="D264" s="17" t="inlineStr"/>
      <c r="E264" s="17" t="inlineStr">
        <is>
          <t>신공장·증설</t>
        </is>
      </c>
      <c r="F264" s="17" t="inlineStr">
        <is>
          <t>미확인</t>
        </is>
      </c>
      <c r="G264" s="17" t="inlineStr">
        <is>
          <t>웹조사 자동화 실패(세션한도)</t>
        </is>
      </c>
      <c r="H264" s="17" t="inlineStr">
        <is>
          <t>N</t>
        </is>
      </c>
      <c r="I264" s="17" t="inlineStr">
        <is>
          <t>언론·지자체 발표</t>
        </is>
      </c>
      <c r="J264" s="17" t="inlineStr">
        <is>
          <t>언론·지자체 발표에서 확인</t>
        </is>
      </c>
      <c r="K264" s="17" t="inlineStr">
        <is>
          <t>낮음</t>
        </is>
      </c>
      <c r="L264" s="17" t="inlineStr"/>
    </row>
    <row r="265">
      <c r="A265" s="17" t="inlineStr">
        <is>
          <t>C043</t>
        </is>
      </c>
      <c r="B265" s="17" t="inlineStr"/>
      <c r="C265" s="17" t="inlineStr">
        <is>
          <t>대한약품공업(주)</t>
        </is>
      </c>
      <c r="D265" s="17" t="inlineStr"/>
      <c r="E265" s="17" t="inlineStr">
        <is>
          <t>최근매출(억원)</t>
        </is>
      </c>
      <c r="F265" s="17" t="inlineStr">
        <is>
          <t>미확인</t>
        </is>
      </c>
      <c r="G265" s="17" t="inlineStr">
        <is>
          <t>웹조사 자동화 실패(세션한도)</t>
        </is>
      </c>
      <c r="H265" s="17" t="inlineStr">
        <is>
          <t>N</t>
        </is>
      </c>
      <c r="I265" s="17" t="inlineStr">
        <is>
          <t>DART 사업보고서</t>
        </is>
      </c>
      <c r="J265" s="17" t="inlineStr">
        <is>
          <t>DART 사업보고서에서 확인</t>
        </is>
      </c>
      <c r="K265" s="17" t="inlineStr">
        <is>
          <t>낮음</t>
        </is>
      </c>
      <c r="L265" s="17" t="inlineStr"/>
    </row>
    <row r="266">
      <c r="A266" s="17" t="inlineStr">
        <is>
          <t>C043</t>
        </is>
      </c>
      <c r="B266" s="17" t="inlineStr"/>
      <c r="C266" s="17" t="inlineStr">
        <is>
          <t>대한약품공업(주)</t>
        </is>
      </c>
      <c r="D266" s="17" t="inlineStr"/>
      <c r="E266" s="17" t="inlineStr">
        <is>
          <t>종업원수</t>
        </is>
      </c>
      <c r="F266" s="17" t="inlineStr">
        <is>
          <t>미확인</t>
        </is>
      </c>
      <c r="G266" s="17" t="inlineStr">
        <is>
          <t>웹조사 자동화 실패(세션한도)</t>
        </is>
      </c>
      <c r="H266" s="17" t="inlineStr">
        <is>
          <t>N</t>
        </is>
      </c>
      <c r="I266" s="17" t="inlineStr">
        <is>
          <t>DART/채용</t>
        </is>
      </c>
      <c r="J266" s="17" t="inlineStr">
        <is>
          <t>DART/채용에서 확인</t>
        </is>
      </c>
      <c r="K266" s="17" t="inlineStr">
        <is>
          <t>낮음</t>
        </is>
      </c>
      <c r="L266" s="17" t="inlineStr"/>
    </row>
    <row r="267">
      <c r="A267" s="17" t="inlineStr">
        <is>
          <t>C043</t>
        </is>
      </c>
      <c r="B267" s="17" t="inlineStr"/>
      <c r="C267" s="17" t="inlineStr">
        <is>
          <t>대한약품공업(주)</t>
        </is>
      </c>
      <c r="D267" s="17" t="inlineStr"/>
      <c r="E267" s="17" t="inlineStr">
        <is>
          <t>수출여부</t>
        </is>
      </c>
      <c r="F267" s="17" t="inlineStr">
        <is>
          <t>미확인</t>
        </is>
      </c>
      <c r="G267" s="17" t="inlineStr">
        <is>
          <t>웹조사 자동화 실패(세션한도)</t>
        </is>
      </c>
      <c r="H267" s="17" t="inlineStr">
        <is>
          <t>N</t>
        </is>
      </c>
      <c r="I267" s="17" t="inlineStr">
        <is>
          <t>회사 공시·홈페이지</t>
        </is>
      </c>
      <c r="J267" s="17" t="inlineStr">
        <is>
          <t>회사 공시·홈페이지에서 확인</t>
        </is>
      </c>
      <c r="K267" s="17" t="inlineStr">
        <is>
          <t>낮음</t>
        </is>
      </c>
      <c r="L267" s="17" t="inlineStr"/>
    </row>
    <row r="268">
      <c r="A268" s="17" t="inlineStr">
        <is>
          <t>C043</t>
        </is>
      </c>
      <c r="B268" s="17" t="inlineStr"/>
      <c r="C268" s="17" t="inlineStr">
        <is>
          <t>대한약품공업(주)</t>
        </is>
      </c>
      <c r="D268" s="17" t="inlineStr"/>
      <c r="E268" s="17" t="inlineStr">
        <is>
          <t>FDA·EMA 실사</t>
        </is>
      </c>
      <c r="F268" s="17" t="inlineStr">
        <is>
          <t>미확인</t>
        </is>
      </c>
      <c r="G268" s="17" t="inlineStr">
        <is>
          <t>웹조사 자동화 실패(세션한도)</t>
        </is>
      </c>
      <c r="H268" s="17" t="inlineStr">
        <is>
          <t>N</t>
        </is>
      </c>
      <c r="I268" s="17" t="inlineStr">
        <is>
          <t>FDA Inspection DB</t>
        </is>
      </c>
      <c r="J268" s="17" t="inlineStr">
        <is>
          <t>FDA Inspection DB에서 확인</t>
        </is>
      </c>
      <c r="K268" s="17" t="inlineStr">
        <is>
          <t>낮음</t>
        </is>
      </c>
      <c r="L268" s="17" t="inlineStr"/>
    </row>
    <row r="269">
      <c r="A269" s="17" t="inlineStr">
        <is>
          <t>C043</t>
        </is>
      </c>
      <c r="B269" s="17" t="inlineStr"/>
      <c r="C269" s="17" t="inlineStr">
        <is>
          <t>대한약품공업(주)</t>
        </is>
      </c>
      <c r="D269" s="17" t="inlineStr"/>
      <c r="E269" s="17" t="inlineStr">
        <is>
          <t>CMO·CDMO</t>
        </is>
      </c>
      <c r="F269" s="17" t="inlineStr">
        <is>
          <t>미확인</t>
        </is>
      </c>
      <c r="G269" s="17" t="inlineStr">
        <is>
          <t>웹조사 자동화 실패(세션한도)</t>
        </is>
      </c>
      <c r="H269" s="17" t="inlineStr">
        <is>
          <t>N</t>
        </is>
      </c>
      <c r="I269" s="17" t="inlineStr">
        <is>
          <t>회사 홈페이지</t>
        </is>
      </c>
      <c r="J269" s="17" t="inlineStr">
        <is>
          <t>회사 홈페이지에서 확인</t>
        </is>
      </c>
      <c r="K269" s="17" t="inlineStr">
        <is>
          <t>낮음</t>
        </is>
      </c>
      <c r="L269" s="17" t="inlineStr"/>
    </row>
    <row r="270">
      <c r="A270" s="17" t="inlineStr">
        <is>
          <t>C043</t>
        </is>
      </c>
      <c r="B270" s="17" t="inlineStr"/>
      <c r="C270" s="17" t="inlineStr">
        <is>
          <t>대한약품공업(주)</t>
        </is>
      </c>
      <c r="D270" s="17" t="inlineStr"/>
      <c r="E270" s="17" t="inlineStr">
        <is>
          <t>신공장·증설</t>
        </is>
      </c>
      <c r="F270" s="17" t="inlineStr">
        <is>
          <t>미확인</t>
        </is>
      </c>
      <c r="G270" s="17" t="inlineStr">
        <is>
          <t>웹조사 자동화 실패(세션한도)</t>
        </is>
      </c>
      <c r="H270" s="17" t="inlineStr">
        <is>
          <t>N</t>
        </is>
      </c>
      <c r="I270" s="17" t="inlineStr">
        <is>
          <t>언론·지자체 발표</t>
        </is>
      </c>
      <c r="J270" s="17" t="inlineStr">
        <is>
          <t>언론·지자체 발표에서 확인</t>
        </is>
      </c>
      <c r="K270" s="17" t="inlineStr">
        <is>
          <t>낮음</t>
        </is>
      </c>
      <c r="L270" s="17" t="inlineStr"/>
    </row>
    <row r="271">
      <c r="A271" s="17" t="inlineStr">
        <is>
          <t>C043</t>
        </is>
      </c>
      <c r="B271" s="17" t="inlineStr"/>
      <c r="C271" s="17" t="inlineStr">
        <is>
          <t>대한약품공업(주)</t>
        </is>
      </c>
      <c r="D271" s="17" t="inlineStr"/>
      <c r="E271" s="17" t="inlineStr">
        <is>
          <t>대표전화</t>
        </is>
      </c>
      <c r="F271" s="17" t="inlineStr">
        <is>
          <t>미확인</t>
        </is>
      </c>
      <c r="G271" s="17" t="inlineStr">
        <is>
          <t>제조소상세 미매칭</t>
        </is>
      </c>
      <c r="H271" s="17" t="inlineStr">
        <is>
          <t>Y</t>
        </is>
      </c>
      <c r="I271" s="17" t="inlineStr">
        <is>
          <t>회사 홈페이지</t>
        </is>
      </c>
      <c r="J271" s="17" t="inlineStr">
        <is>
          <t>홈페이지에서 대표번호 확인</t>
        </is>
      </c>
      <c r="K271" s="17" t="inlineStr">
        <is>
          <t>낮음</t>
        </is>
      </c>
      <c r="L271" s="17" t="inlineStr"/>
    </row>
    <row r="272">
      <c r="A272" s="17" t="inlineStr">
        <is>
          <t>C044</t>
        </is>
      </c>
      <c r="B272" s="17" t="inlineStr"/>
      <c r="C272" s="17" t="inlineStr">
        <is>
          <t>대우제약(주)</t>
        </is>
      </c>
      <c r="D272" s="17" t="inlineStr"/>
      <c r="E272" s="17" t="inlineStr">
        <is>
          <t>최근매출(억원)</t>
        </is>
      </c>
      <c r="F272" s="17" t="inlineStr">
        <is>
          <t>미확인</t>
        </is>
      </c>
      <c r="G272" s="17" t="inlineStr">
        <is>
          <t>웹조사 자동화 실패(세션한도)</t>
        </is>
      </c>
      <c r="H272" s="17" t="inlineStr">
        <is>
          <t>N</t>
        </is>
      </c>
      <c r="I272" s="17" t="inlineStr">
        <is>
          <t>DART 사업보고서</t>
        </is>
      </c>
      <c r="J272" s="17" t="inlineStr">
        <is>
          <t>DART 사업보고서에서 확인</t>
        </is>
      </c>
      <c r="K272" s="17" t="inlineStr">
        <is>
          <t>낮음</t>
        </is>
      </c>
      <c r="L272" s="17" t="inlineStr"/>
    </row>
    <row r="273">
      <c r="A273" s="17" t="inlineStr">
        <is>
          <t>C044</t>
        </is>
      </c>
      <c r="B273" s="17" t="inlineStr"/>
      <c r="C273" s="17" t="inlineStr">
        <is>
          <t>대우제약(주)</t>
        </is>
      </c>
      <c r="D273" s="17" t="inlineStr"/>
      <c r="E273" s="17" t="inlineStr">
        <is>
          <t>종업원수</t>
        </is>
      </c>
      <c r="F273" s="17" t="inlineStr">
        <is>
          <t>미확인</t>
        </is>
      </c>
      <c r="G273" s="17" t="inlineStr">
        <is>
          <t>웹조사 자동화 실패(세션한도)</t>
        </is>
      </c>
      <c r="H273" s="17" t="inlineStr">
        <is>
          <t>N</t>
        </is>
      </c>
      <c r="I273" s="17" t="inlineStr">
        <is>
          <t>DART/채용</t>
        </is>
      </c>
      <c r="J273" s="17" t="inlineStr">
        <is>
          <t>DART/채용에서 확인</t>
        </is>
      </c>
      <c r="K273" s="17" t="inlineStr">
        <is>
          <t>낮음</t>
        </is>
      </c>
      <c r="L273" s="17" t="inlineStr"/>
    </row>
    <row r="274">
      <c r="A274" s="17" t="inlineStr">
        <is>
          <t>C044</t>
        </is>
      </c>
      <c r="B274" s="17" t="inlineStr"/>
      <c r="C274" s="17" t="inlineStr">
        <is>
          <t>대우제약(주)</t>
        </is>
      </c>
      <c r="D274" s="17" t="inlineStr"/>
      <c r="E274" s="17" t="inlineStr">
        <is>
          <t>수출여부</t>
        </is>
      </c>
      <c r="F274" s="17" t="inlineStr">
        <is>
          <t>미확인</t>
        </is>
      </c>
      <c r="G274" s="17" t="inlineStr">
        <is>
          <t>웹조사 자동화 실패(세션한도)</t>
        </is>
      </c>
      <c r="H274" s="17" t="inlineStr">
        <is>
          <t>N</t>
        </is>
      </c>
      <c r="I274" s="17" t="inlineStr">
        <is>
          <t>회사 공시·홈페이지</t>
        </is>
      </c>
      <c r="J274" s="17" t="inlineStr">
        <is>
          <t>회사 공시·홈페이지에서 확인</t>
        </is>
      </c>
      <c r="K274" s="17" t="inlineStr">
        <is>
          <t>낮음</t>
        </is>
      </c>
      <c r="L274" s="17" t="inlineStr"/>
    </row>
    <row r="275">
      <c r="A275" s="17" t="inlineStr">
        <is>
          <t>C044</t>
        </is>
      </c>
      <c r="B275" s="17" t="inlineStr"/>
      <c r="C275" s="17" t="inlineStr">
        <is>
          <t>대우제약(주)</t>
        </is>
      </c>
      <c r="D275" s="17" t="inlineStr"/>
      <c r="E275" s="17" t="inlineStr">
        <is>
          <t>FDA·EMA 실사</t>
        </is>
      </c>
      <c r="F275" s="17" t="inlineStr">
        <is>
          <t>미확인</t>
        </is>
      </c>
      <c r="G275" s="17" t="inlineStr">
        <is>
          <t>웹조사 자동화 실패(세션한도)</t>
        </is>
      </c>
      <c r="H275" s="17" t="inlineStr">
        <is>
          <t>N</t>
        </is>
      </c>
      <c r="I275" s="17" t="inlineStr">
        <is>
          <t>FDA Inspection DB</t>
        </is>
      </c>
      <c r="J275" s="17" t="inlineStr">
        <is>
          <t>FDA Inspection DB에서 확인</t>
        </is>
      </c>
      <c r="K275" s="17" t="inlineStr">
        <is>
          <t>낮음</t>
        </is>
      </c>
      <c r="L275" s="17" t="inlineStr"/>
    </row>
    <row r="276">
      <c r="A276" s="17" t="inlineStr">
        <is>
          <t>C044</t>
        </is>
      </c>
      <c r="B276" s="17" t="inlineStr"/>
      <c r="C276" s="17" t="inlineStr">
        <is>
          <t>대우제약(주)</t>
        </is>
      </c>
      <c r="D276" s="17" t="inlineStr"/>
      <c r="E276" s="17" t="inlineStr">
        <is>
          <t>CMO·CDMO</t>
        </is>
      </c>
      <c r="F276" s="17" t="inlineStr">
        <is>
          <t>미확인</t>
        </is>
      </c>
      <c r="G276" s="17" t="inlineStr">
        <is>
          <t>웹조사 자동화 실패(세션한도)</t>
        </is>
      </c>
      <c r="H276" s="17" t="inlineStr">
        <is>
          <t>N</t>
        </is>
      </c>
      <c r="I276" s="17" t="inlineStr">
        <is>
          <t>회사 홈페이지</t>
        </is>
      </c>
      <c r="J276" s="17" t="inlineStr">
        <is>
          <t>회사 홈페이지에서 확인</t>
        </is>
      </c>
      <c r="K276" s="17" t="inlineStr">
        <is>
          <t>낮음</t>
        </is>
      </c>
      <c r="L276" s="17" t="inlineStr"/>
    </row>
    <row r="277">
      <c r="A277" s="17" t="inlineStr">
        <is>
          <t>C044</t>
        </is>
      </c>
      <c r="B277" s="17" t="inlineStr"/>
      <c r="C277" s="17" t="inlineStr">
        <is>
          <t>대우제약(주)</t>
        </is>
      </c>
      <c r="D277" s="17" t="inlineStr"/>
      <c r="E277" s="17" t="inlineStr">
        <is>
          <t>신공장·증설</t>
        </is>
      </c>
      <c r="F277" s="17" t="inlineStr">
        <is>
          <t>미확인</t>
        </is>
      </c>
      <c r="G277" s="17" t="inlineStr">
        <is>
          <t>웹조사 자동화 실패(세션한도)</t>
        </is>
      </c>
      <c r="H277" s="17" t="inlineStr">
        <is>
          <t>N</t>
        </is>
      </c>
      <c r="I277" s="17" t="inlineStr">
        <is>
          <t>언론·지자체 발표</t>
        </is>
      </c>
      <c r="J277" s="17" t="inlineStr">
        <is>
          <t>언론·지자체 발표에서 확인</t>
        </is>
      </c>
      <c r="K277" s="17" t="inlineStr">
        <is>
          <t>낮음</t>
        </is>
      </c>
      <c r="L277" s="17" t="inlineStr"/>
    </row>
    <row r="278">
      <c r="A278" s="17" t="inlineStr">
        <is>
          <t>C045</t>
        </is>
      </c>
      <c r="B278" s="17" t="inlineStr"/>
      <c r="C278" s="17" t="inlineStr">
        <is>
          <t>삼성제약(주)</t>
        </is>
      </c>
      <c r="D278" s="17" t="inlineStr"/>
      <c r="E278" s="17" t="inlineStr">
        <is>
          <t>최근매출(억원)</t>
        </is>
      </c>
      <c r="F278" s="17" t="inlineStr">
        <is>
          <t>미확인</t>
        </is>
      </c>
      <c r="G278" s="17" t="inlineStr">
        <is>
          <t>웹조사 자동화 실패(세션한도)</t>
        </is>
      </c>
      <c r="H278" s="17" t="inlineStr">
        <is>
          <t>N</t>
        </is>
      </c>
      <c r="I278" s="17" t="inlineStr">
        <is>
          <t>DART 사업보고서</t>
        </is>
      </c>
      <c r="J278" s="17" t="inlineStr">
        <is>
          <t>DART 사업보고서에서 확인</t>
        </is>
      </c>
      <c r="K278" s="17" t="inlineStr">
        <is>
          <t>낮음</t>
        </is>
      </c>
      <c r="L278" s="17" t="inlineStr"/>
    </row>
    <row r="279">
      <c r="A279" s="17" t="inlineStr">
        <is>
          <t>C045</t>
        </is>
      </c>
      <c r="B279" s="17" t="inlineStr"/>
      <c r="C279" s="17" t="inlineStr">
        <is>
          <t>삼성제약(주)</t>
        </is>
      </c>
      <c r="D279" s="17" t="inlineStr"/>
      <c r="E279" s="17" t="inlineStr">
        <is>
          <t>종업원수</t>
        </is>
      </c>
      <c r="F279" s="17" t="inlineStr">
        <is>
          <t>미확인</t>
        </is>
      </c>
      <c r="G279" s="17" t="inlineStr">
        <is>
          <t>웹조사 자동화 실패(세션한도)</t>
        </is>
      </c>
      <c r="H279" s="17" t="inlineStr">
        <is>
          <t>N</t>
        </is>
      </c>
      <c r="I279" s="17" t="inlineStr">
        <is>
          <t>DART/채용</t>
        </is>
      </c>
      <c r="J279" s="17" t="inlineStr">
        <is>
          <t>DART/채용에서 확인</t>
        </is>
      </c>
      <c r="K279" s="17" t="inlineStr">
        <is>
          <t>낮음</t>
        </is>
      </c>
      <c r="L279" s="17" t="inlineStr"/>
    </row>
    <row r="280">
      <c r="A280" s="17" t="inlineStr">
        <is>
          <t>C045</t>
        </is>
      </c>
      <c r="B280" s="17" t="inlineStr"/>
      <c r="C280" s="17" t="inlineStr">
        <is>
          <t>삼성제약(주)</t>
        </is>
      </c>
      <c r="D280" s="17" t="inlineStr"/>
      <c r="E280" s="17" t="inlineStr">
        <is>
          <t>수출여부</t>
        </is>
      </c>
      <c r="F280" s="17" t="inlineStr">
        <is>
          <t>미확인</t>
        </is>
      </c>
      <c r="G280" s="17" t="inlineStr">
        <is>
          <t>웹조사 자동화 실패(세션한도)</t>
        </is>
      </c>
      <c r="H280" s="17" t="inlineStr">
        <is>
          <t>N</t>
        </is>
      </c>
      <c r="I280" s="17" t="inlineStr">
        <is>
          <t>회사 공시·홈페이지</t>
        </is>
      </c>
      <c r="J280" s="17" t="inlineStr">
        <is>
          <t>회사 공시·홈페이지에서 확인</t>
        </is>
      </c>
      <c r="K280" s="17" t="inlineStr">
        <is>
          <t>낮음</t>
        </is>
      </c>
      <c r="L280" s="17" t="inlineStr"/>
    </row>
    <row r="281">
      <c r="A281" s="17" t="inlineStr">
        <is>
          <t>C045</t>
        </is>
      </c>
      <c r="B281" s="17" t="inlineStr"/>
      <c r="C281" s="17" t="inlineStr">
        <is>
          <t>삼성제약(주)</t>
        </is>
      </c>
      <c r="D281" s="17" t="inlineStr"/>
      <c r="E281" s="17" t="inlineStr">
        <is>
          <t>FDA·EMA 실사</t>
        </is>
      </c>
      <c r="F281" s="17" t="inlineStr">
        <is>
          <t>미확인</t>
        </is>
      </c>
      <c r="G281" s="17" t="inlineStr">
        <is>
          <t>웹조사 자동화 실패(세션한도)</t>
        </is>
      </c>
      <c r="H281" s="17" t="inlineStr">
        <is>
          <t>N</t>
        </is>
      </c>
      <c r="I281" s="17" t="inlineStr">
        <is>
          <t>FDA Inspection DB</t>
        </is>
      </c>
      <c r="J281" s="17" t="inlineStr">
        <is>
          <t>FDA Inspection DB에서 확인</t>
        </is>
      </c>
      <c r="K281" s="17" t="inlineStr">
        <is>
          <t>낮음</t>
        </is>
      </c>
      <c r="L281" s="17" t="inlineStr"/>
    </row>
    <row r="282">
      <c r="A282" s="17" t="inlineStr">
        <is>
          <t>C045</t>
        </is>
      </c>
      <c r="B282" s="17" t="inlineStr"/>
      <c r="C282" s="17" t="inlineStr">
        <is>
          <t>삼성제약(주)</t>
        </is>
      </c>
      <c r="D282" s="17" t="inlineStr"/>
      <c r="E282" s="17" t="inlineStr">
        <is>
          <t>CMO·CDMO</t>
        </is>
      </c>
      <c r="F282" s="17" t="inlineStr">
        <is>
          <t>미확인</t>
        </is>
      </c>
      <c r="G282" s="17" t="inlineStr">
        <is>
          <t>웹조사 자동화 실패(세션한도)</t>
        </is>
      </c>
      <c r="H282" s="17" t="inlineStr">
        <is>
          <t>N</t>
        </is>
      </c>
      <c r="I282" s="17" t="inlineStr">
        <is>
          <t>회사 홈페이지</t>
        </is>
      </c>
      <c r="J282" s="17" t="inlineStr">
        <is>
          <t>회사 홈페이지에서 확인</t>
        </is>
      </c>
      <c r="K282" s="17" t="inlineStr">
        <is>
          <t>낮음</t>
        </is>
      </c>
      <c r="L282" s="17" t="inlineStr"/>
    </row>
    <row r="283">
      <c r="A283" s="17" t="inlineStr">
        <is>
          <t>C045</t>
        </is>
      </c>
      <c r="B283" s="17" t="inlineStr"/>
      <c r="C283" s="17" t="inlineStr">
        <is>
          <t>삼성제약(주)</t>
        </is>
      </c>
      <c r="D283" s="17" t="inlineStr"/>
      <c r="E283" s="17" t="inlineStr">
        <is>
          <t>신공장·증설</t>
        </is>
      </c>
      <c r="F283" s="17" t="inlineStr">
        <is>
          <t>미확인</t>
        </is>
      </c>
      <c r="G283" s="17" t="inlineStr">
        <is>
          <t>웹조사 자동화 실패(세션한도)</t>
        </is>
      </c>
      <c r="H283" s="17" t="inlineStr">
        <is>
          <t>N</t>
        </is>
      </c>
      <c r="I283" s="17" t="inlineStr">
        <is>
          <t>언론·지자체 발표</t>
        </is>
      </c>
      <c r="J283" s="17" t="inlineStr">
        <is>
          <t>언론·지자체 발표에서 확인</t>
        </is>
      </c>
      <c r="K283" s="17" t="inlineStr">
        <is>
          <t>낮음</t>
        </is>
      </c>
      <c r="L283" s="17" t="inlineStr"/>
    </row>
    <row r="284">
      <c r="A284" s="17" t="inlineStr">
        <is>
          <t>C045</t>
        </is>
      </c>
      <c r="B284" s="17" t="inlineStr"/>
      <c r="C284" s="17" t="inlineStr">
        <is>
          <t>삼성제약(주)</t>
        </is>
      </c>
      <c r="D284" s="17" t="inlineStr"/>
      <c r="E284" s="17" t="inlineStr">
        <is>
          <t>대표전화</t>
        </is>
      </c>
      <c r="F284" s="17" t="inlineStr">
        <is>
          <t>미확인</t>
        </is>
      </c>
      <c r="G284" s="17" t="inlineStr">
        <is>
          <t>제조소상세 미매칭</t>
        </is>
      </c>
      <c r="H284" s="17" t="inlineStr">
        <is>
          <t>Y</t>
        </is>
      </c>
      <c r="I284" s="17" t="inlineStr">
        <is>
          <t>회사 홈페이지</t>
        </is>
      </c>
      <c r="J284" s="17" t="inlineStr">
        <is>
          <t>홈페이지에서 대표번호 확인</t>
        </is>
      </c>
      <c r="K284" s="17" t="inlineStr">
        <is>
          <t>낮음</t>
        </is>
      </c>
      <c r="L284" s="17" t="inlineStr"/>
    </row>
    <row r="285">
      <c r="A285" s="17" t="inlineStr">
        <is>
          <t>C046</t>
        </is>
      </c>
      <c r="B285" s="17" t="inlineStr"/>
      <c r="C285" s="17" t="inlineStr">
        <is>
          <t>(주)티디에스팜</t>
        </is>
      </c>
      <c r="D285" s="17" t="inlineStr"/>
      <c r="E285" s="17" t="inlineStr">
        <is>
          <t>최근매출(억원)</t>
        </is>
      </c>
      <c r="F285" s="17" t="inlineStr">
        <is>
          <t>미확인</t>
        </is>
      </c>
      <c r="G285" s="17" t="inlineStr">
        <is>
          <t>웹조사 자동화 실패(세션한도)</t>
        </is>
      </c>
      <c r="H285" s="17" t="inlineStr">
        <is>
          <t>N</t>
        </is>
      </c>
      <c r="I285" s="17" t="inlineStr">
        <is>
          <t>DART 사업보고서</t>
        </is>
      </c>
      <c r="J285" s="17" t="inlineStr">
        <is>
          <t>DART 사업보고서에서 확인</t>
        </is>
      </c>
      <c r="K285" s="17" t="inlineStr">
        <is>
          <t>낮음</t>
        </is>
      </c>
      <c r="L285" s="17" t="inlineStr"/>
    </row>
    <row r="286">
      <c r="A286" s="17" t="inlineStr">
        <is>
          <t>C046</t>
        </is>
      </c>
      <c r="B286" s="17" t="inlineStr"/>
      <c r="C286" s="17" t="inlineStr">
        <is>
          <t>(주)티디에스팜</t>
        </is>
      </c>
      <c r="D286" s="17" t="inlineStr"/>
      <c r="E286" s="17" t="inlineStr">
        <is>
          <t>종업원수</t>
        </is>
      </c>
      <c r="F286" s="17" t="inlineStr">
        <is>
          <t>미확인</t>
        </is>
      </c>
      <c r="G286" s="17" t="inlineStr">
        <is>
          <t>웹조사 자동화 실패(세션한도)</t>
        </is>
      </c>
      <c r="H286" s="17" t="inlineStr">
        <is>
          <t>N</t>
        </is>
      </c>
      <c r="I286" s="17" t="inlineStr">
        <is>
          <t>DART/채용</t>
        </is>
      </c>
      <c r="J286" s="17" t="inlineStr">
        <is>
          <t>DART/채용에서 확인</t>
        </is>
      </c>
      <c r="K286" s="17" t="inlineStr">
        <is>
          <t>낮음</t>
        </is>
      </c>
      <c r="L286" s="17" t="inlineStr"/>
    </row>
    <row r="287">
      <c r="A287" s="17" t="inlineStr">
        <is>
          <t>C046</t>
        </is>
      </c>
      <c r="B287" s="17" t="inlineStr"/>
      <c r="C287" s="17" t="inlineStr">
        <is>
          <t>(주)티디에스팜</t>
        </is>
      </c>
      <c r="D287" s="17" t="inlineStr"/>
      <c r="E287" s="17" t="inlineStr">
        <is>
          <t>수출여부</t>
        </is>
      </c>
      <c r="F287" s="17" t="inlineStr">
        <is>
          <t>미확인</t>
        </is>
      </c>
      <c r="G287" s="17" t="inlineStr">
        <is>
          <t>웹조사 자동화 실패(세션한도)</t>
        </is>
      </c>
      <c r="H287" s="17" t="inlineStr">
        <is>
          <t>N</t>
        </is>
      </c>
      <c r="I287" s="17" t="inlineStr">
        <is>
          <t>회사 공시·홈페이지</t>
        </is>
      </c>
      <c r="J287" s="17" t="inlineStr">
        <is>
          <t>회사 공시·홈페이지에서 확인</t>
        </is>
      </c>
      <c r="K287" s="17" t="inlineStr">
        <is>
          <t>낮음</t>
        </is>
      </c>
      <c r="L287" s="17" t="inlineStr"/>
    </row>
    <row r="288">
      <c r="A288" s="17" t="inlineStr">
        <is>
          <t>C046</t>
        </is>
      </c>
      <c r="B288" s="17" t="inlineStr"/>
      <c r="C288" s="17" t="inlineStr">
        <is>
          <t>(주)티디에스팜</t>
        </is>
      </c>
      <c r="D288" s="17" t="inlineStr"/>
      <c r="E288" s="17" t="inlineStr">
        <is>
          <t>FDA·EMA 실사</t>
        </is>
      </c>
      <c r="F288" s="17" t="inlineStr">
        <is>
          <t>미확인</t>
        </is>
      </c>
      <c r="G288" s="17" t="inlineStr">
        <is>
          <t>웹조사 자동화 실패(세션한도)</t>
        </is>
      </c>
      <c r="H288" s="17" t="inlineStr">
        <is>
          <t>N</t>
        </is>
      </c>
      <c r="I288" s="17" t="inlineStr">
        <is>
          <t>FDA Inspection DB</t>
        </is>
      </c>
      <c r="J288" s="17" t="inlineStr">
        <is>
          <t>FDA Inspection DB에서 확인</t>
        </is>
      </c>
      <c r="K288" s="17" t="inlineStr">
        <is>
          <t>낮음</t>
        </is>
      </c>
      <c r="L288" s="17" t="inlineStr"/>
    </row>
    <row r="289">
      <c r="A289" s="17" t="inlineStr">
        <is>
          <t>C046</t>
        </is>
      </c>
      <c r="B289" s="17" t="inlineStr"/>
      <c r="C289" s="17" t="inlineStr">
        <is>
          <t>(주)티디에스팜</t>
        </is>
      </c>
      <c r="D289" s="17" t="inlineStr"/>
      <c r="E289" s="17" t="inlineStr">
        <is>
          <t>CMO·CDMO</t>
        </is>
      </c>
      <c r="F289" s="17" t="inlineStr">
        <is>
          <t>미확인</t>
        </is>
      </c>
      <c r="G289" s="17" t="inlineStr">
        <is>
          <t>웹조사 자동화 실패(세션한도)</t>
        </is>
      </c>
      <c r="H289" s="17" t="inlineStr">
        <is>
          <t>N</t>
        </is>
      </c>
      <c r="I289" s="17" t="inlineStr">
        <is>
          <t>회사 홈페이지</t>
        </is>
      </c>
      <c r="J289" s="17" t="inlineStr">
        <is>
          <t>회사 홈페이지에서 확인</t>
        </is>
      </c>
      <c r="K289" s="17" t="inlineStr">
        <is>
          <t>낮음</t>
        </is>
      </c>
      <c r="L289" s="17" t="inlineStr"/>
    </row>
    <row r="290">
      <c r="A290" s="17" t="inlineStr">
        <is>
          <t>C046</t>
        </is>
      </c>
      <c r="B290" s="17" t="inlineStr"/>
      <c r="C290" s="17" t="inlineStr">
        <is>
          <t>(주)티디에스팜</t>
        </is>
      </c>
      <c r="D290" s="17" t="inlineStr"/>
      <c r="E290" s="17" t="inlineStr">
        <is>
          <t>신공장·증설</t>
        </is>
      </c>
      <c r="F290" s="17" t="inlineStr">
        <is>
          <t>미확인</t>
        </is>
      </c>
      <c r="G290" s="17" t="inlineStr">
        <is>
          <t>웹조사 자동화 실패(세션한도)</t>
        </is>
      </c>
      <c r="H290" s="17" t="inlineStr">
        <is>
          <t>N</t>
        </is>
      </c>
      <c r="I290" s="17" t="inlineStr">
        <is>
          <t>언론·지자체 발표</t>
        </is>
      </c>
      <c r="J290" s="17" t="inlineStr">
        <is>
          <t>언론·지자체 발표에서 확인</t>
        </is>
      </c>
      <c r="K290" s="17" t="inlineStr">
        <is>
          <t>낮음</t>
        </is>
      </c>
      <c r="L290" s="17" t="inlineStr"/>
    </row>
    <row r="291">
      <c r="A291" s="17" t="inlineStr">
        <is>
          <t>C047</t>
        </is>
      </c>
      <c r="B291" s="17" t="inlineStr"/>
      <c r="C291" s="17" t="inlineStr">
        <is>
          <t>주식회사제이투가스</t>
        </is>
      </c>
      <c r="D291" s="17" t="inlineStr"/>
      <c r="E291" s="17" t="inlineStr">
        <is>
          <t>최근매출(억원)</t>
        </is>
      </c>
      <c r="F291" s="17" t="inlineStr">
        <is>
          <t>미확인</t>
        </is>
      </c>
      <c r="G291" s="17" t="inlineStr">
        <is>
          <t>웹조사 자동화 실패(세션한도)</t>
        </is>
      </c>
      <c r="H291" s="17" t="inlineStr">
        <is>
          <t>N</t>
        </is>
      </c>
      <c r="I291" s="17" t="inlineStr">
        <is>
          <t>DART 사업보고서</t>
        </is>
      </c>
      <c r="J291" s="17" t="inlineStr">
        <is>
          <t>DART 사업보고서에서 확인</t>
        </is>
      </c>
      <c r="K291" s="17" t="inlineStr">
        <is>
          <t>낮음</t>
        </is>
      </c>
      <c r="L291" s="17" t="inlineStr"/>
    </row>
    <row r="292">
      <c r="A292" s="17" t="inlineStr">
        <is>
          <t>C047</t>
        </is>
      </c>
      <c r="B292" s="17" t="inlineStr"/>
      <c r="C292" s="17" t="inlineStr">
        <is>
          <t>주식회사제이투가스</t>
        </is>
      </c>
      <c r="D292" s="17" t="inlineStr"/>
      <c r="E292" s="17" t="inlineStr">
        <is>
          <t>종업원수</t>
        </is>
      </c>
      <c r="F292" s="17" t="inlineStr">
        <is>
          <t>미확인</t>
        </is>
      </c>
      <c r="G292" s="17" t="inlineStr">
        <is>
          <t>웹조사 자동화 실패(세션한도)</t>
        </is>
      </c>
      <c r="H292" s="17" t="inlineStr">
        <is>
          <t>N</t>
        </is>
      </c>
      <c r="I292" s="17" t="inlineStr">
        <is>
          <t>DART/채용</t>
        </is>
      </c>
      <c r="J292" s="17" t="inlineStr">
        <is>
          <t>DART/채용에서 확인</t>
        </is>
      </c>
      <c r="K292" s="17" t="inlineStr">
        <is>
          <t>낮음</t>
        </is>
      </c>
      <c r="L292" s="17" t="inlineStr"/>
    </row>
    <row r="293">
      <c r="A293" s="17" t="inlineStr">
        <is>
          <t>C047</t>
        </is>
      </c>
      <c r="B293" s="17" t="inlineStr"/>
      <c r="C293" s="17" t="inlineStr">
        <is>
          <t>주식회사제이투가스</t>
        </is>
      </c>
      <c r="D293" s="17" t="inlineStr"/>
      <c r="E293" s="17" t="inlineStr">
        <is>
          <t>수출여부</t>
        </is>
      </c>
      <c r="F293" s="17" t="inlineStr">
        <is>
          <t>미확인</t>
        </is>
      </c>
      <c r="G293" s="17" t="inlineStr">
        <is>
          <t>웹조사 자동화 실패(세션한도)</t>
        </is>
      </c>
      <c r="H293" s="17" t="inlineStr">
        <is>
          <t>N</t>
        </is>
      </c>
      <c r="I293" s="17" t="inlineStr">
        <is>
          <t>회사 공시·홈페이지</t>
        </is>
      </c>
      <c r="J293" s="17" t="inlineStr">
        <is>
          <t>회사 공시·홈페이지에서 확인</t>
        </is>
      </c>
      <c r="K293" s="17" t="inlineStr">
        <is>
          <t>낮음</t>
        </is>
      </c>
      <c r="L293" s="17" t="inlineStr"/>
    </row>
    <row r="294">
      <c r="A294" s="17" t="inlineStr">
        <is>
          <t>C047</t>
        </is>
      </c>
      <c r="B294" s="17" t="inlineStr"/>
      <c r="C294" s="17" t="inlineStr">
        <is>
          <t>주식회사제이투가스</t>
        </is>
      </c>
      <c r="D294" s="17" t="inlineStr"/>
      <c r="E294" s="17" t="inlineStr">
        <is>
          <t>FDA·EMA 실사</t>
        </is>
      </c>
      <c r="F294" s="17" t="inlineStr">
        <is>
          <t>미확인</t>
        </is>
      </c>
      <c r="G294" s="17" t="inlineStr">
        <is>
          <t>웹조사 자동화 실패(세션한도)</t>
        </is>
      </c>
      <c r="H294" s="17" t="inlineStr">
        <is>
          <t>N</t>
        </is>
      </c>
      <c r="I294" s="17" t="inlineStr">
        <is>
          <t>FDA Inspection DB</t>
        </is>
      </c>
      <c r="J294" s="17" t="inlineStr">
        <is>
          <t>FDA Inspection DB에서 확인</t>
        </is>
      </c>
      <c r="K294" s="17" t="inlineStr">
        <is>
          <t>낮음</t>
        </is>
      </c>
      <c r="L294" s="17" t="inlineStr"/>
    </row>
    <row r="295">
      <c r="A295" s="17" t="inlineStr">
        <is>
          <t>C047</t>
        </is>
      </c>
      <c r="B295" s="17" t="inlineStr"/>
      <c r="C295" s="17" t="inlineStr">
        <is>
          <t>주식회사제이투가스</t>
        </is>
      </c>
      <c r="D295" s="17" t="inlineStr"/>
      <c r="E295" s="17" t="inlineStr">
        <is>
          <t>CMO·CDMO</t>
        </is>
      </c>
      <c r="F295" s="17" t="inlineStr">
        <is>
          <t>미확인</t>
        </is>
      </c>
      <c r="G295" s="17" t="inlineStr">
        <is>
          <t>웹조사 자동화 실패(세션한도)</t>
        </is>
      </c>
      <c r="H295" s="17" t="inlineStr">
        <is>
          <t>N</t>
        </is>
      </c>
      <c r="I295" s="17" t="inlineStr">
        <is>
          <t>회사 홈페이지</t>
        </is>
      </c>
      <c r="J295" s="17" t="inlineStr">
        <is>
          <t>회사 홈페이지에서 확인</t>
        </is>
      </c>
      <c r="K295" s="17" t="inlineStr">
        <is>
          <t>낮음</t>
        </is>
      </c>
      <c r="L295" s="17" t="inlineStr"/>
    </row>
    <row r="296">
      <c r="A296" s="17" t="inlineStr">
        <is>
          <t>C047</t>
        </is>
      </c>
      <c r="B296" s="17" t="inlineStr"/>
      <c r="C296" s="17" t="inlineStr">
        <is>
          <t>주식회사제이투가스</t>
        </is>
      </c>
      <c r="D296" s="17" t="inlineStr"/>
      <c r="E296" s="17" t="inlineStr">
        <is>
          <t>신공장·증설</t>
        </is>
      </c>
      <c r="F296" s="17" t="inlineStr">
        <is>
          <t>미확인</t>
        </is>
      </c>
      <c r="G296" s="17" t="inlineStr">
        <is>
          <t>웹조사 자동화 실패(세션한도)</t>
        </is>
      </c>
      <c r="H296" s="17" t="inlineStr">
        <is>
          <t>N</t>
        </is>
      </c>
      <c r="I296" s="17" t="inlineStr">
        <is>
          <t>언론·지자체 발표</t>
        </is>
      </c>
      <c r="J296" s="17" t="inlineStr">
        <is>
          <t>언론·지자체 발표에서 확인</t>
        </is>
      </c>
      <c r="K296" s="17" t="inlineStr">
        <is>
          <t>낮음</t>
        </is>
      </c>
      <c r="L296" s="17" t="inlineStr"/>
    </row>
    <row r="297">
      <c r="A297" s="17" t="inlineStr">
        <is>
          <t>C048</t>
        </is>
      </c>
      <c r="B297" s="17" t="inlineStr"/>
      <c r="C297" s="17" t="inlineStr">
        <is>
          <t>(주)휴비스트제약</t>
        </is>
      </c>
      <c r="D297" s="17" t="inlineStr"/>
      <c r="E297" s="17" t="inlineStr">
        <is>
          <t>최근매출(억원)</t>
        </is>
      </c>
      <c r="F297" s="17" t="inlineStr">
        <is>
          <t>미확인</t>
        </is>
      </c>
      <c r="G297" s="17" t="inlineStr">
        <is>
          <t>웹조사 자동화 실패(세션한도)</t>
        </is>
      </c>
      <c r="H297" s="17" t="inlineStr">
        <is>
          <t>N</t>
        </is>
      </c>
      <c r="I297" s="17" t="inlineStr">
        <is>
          <t>DART 사업보고서</t>
        </is>
      </c>
      <c r="J297" s="17" t="inlineStr">
        <is>
          <t>DART 사업보고서에서 확인</t>
        </is>
      </c>
      <c r="K297" s="17" t="inlineStr">
        <is>
          <t>낮음</t>
        </is>
      </c>
      <c r="L297" s="17" t="inlineStr"/>
    </row>
    <row r="298">
      <c r="A298" s="17" t="inlineStr">
        <is>
          <t>C048</t>
        </is>
      </c>
      <c r="B298" s="17" t="inlineStr"/>
      <c r="C298" s="17" t="inlineStr">
        <is>
          <t>(주)휴비스트제약</t>
        </is>
      </c>
      <c r="D298" s="17" t="inlineStr"/>
      <c r="E298" s="17" t="inlineStr">
        <is>
          <t>종업원수</t>
        </is>
      </c>
      <c r="F298" s="17" t="inlineStr">
        <is>
          <t>미확인</t>
        </is>
      </c>
      <c r="G298" s="17" t="inlineStr">
        <is>
          <t>웹조사 자동화 실패(세션한도)</t>
        </is>
      </c>
      <c r="H298" s="17" t="inlineStr">
        <is>
          <t>N</t>
        </is>
      </c>
      <c r="I298" s="17" t="inlineStr">
        <is>
          <t>DART/채용</t>
        </is>
      </c>
      <c r="J298" s="17" t="inlineStr">
        <is>
          <t>DART/채용에서 확인</t>
        </is>
      </c>
      <c r="K298" s="17" t="inlineStr">
        <is>
          <t>낮음</t>
        </is>
      </c>
      <c r="L298" s="17" t="inlineStr"/>
    </row>
    <row r="299">
      <c r="A299" s="17" t="inlineStr">
        <is>
          <t>C048</t>
        </is>
      </c>
      <c r="B299" s="17" t="inlineStr"/>
      <c r="C299" s="17" t="inlineStr">
        <is>
          <t>(주)휴비스트제약</t>
        </is>
      </c>
      <c r="D299" s="17" t="inlineStr"/>
      <c r="E299" s="17" t="inlineStr">
        <is>
          <t>수출여부</t>
        </is>
      </c>
      <c r="F299" s="17" t="inlineStr">
        <is>
          <t>미확인</t>
        </is>
      </c>
      <c r="G299" s="17" t="inlineStr">
        <is>
          <t>웹조사 자동화 실패(세션한도)</t>
        </is>
      </c>
      <c r="H299" s="17" t="inlineStr">
        <is>
          <t>N</t>
        </is>
      </c>
      <c r="I299" s="17" t="inlineStr">
        <is>
          <t>회사 공시·홈페이지</t>
        </is>
      </c>
      <c r="J299" s="17" t="inlineStr">
        <is>
          <t>회사 공시·홈페이지에서 확인</t>
        </is>
      </c>
      <c r="K299" s="17" t="inlineStr">
        <is>
          <t>낮음</t>
        </is>
      </c>
      <c r="L299" s="17" t="inlineStr"/>
    </row>
    <row r="300">
      <c r="A300" s="17" t="inlineStr">
        <is>
          <t>C048</t>
        </is>
      </c>
      <c r="B300" s="17" t="inlineStr"/>
      <c r="C300" s="17" t="inlineStr">
        <is>
          <t>(주)휴비스트제약</t>
        </is>
      </c>
      <c r="D300" s="17" t="inlineStr"/>
      <c r="E300" s="17" t="inlineStr">
        <is>
          <t>FDA·EMA 실사</t>
        </is>
      </c>
      <c r="F300" s="17" t="inlineStr">
        <is>
          <t>미확인</t>
        </is>
      </c>
      <c r="G300" s="17" t="inlineStr">
        <is>
          <t>웹조사 자동화 실패(세션한도)</t>
        </is>
      </c>
      <c r="H300" s="17" t="inlineStr">
        <is>
          <t>N</t>
        </is>
      </c>
      <c r="I300" s="17" t="inlineStr">
        <is>
          <t>FDA Inspection DB</t>
        </is>
      </c>
      <c r="J300" s="17" t="inlineStr">
        <is>
          <t>FDA Inspection DB에서 확인</t>
        </is>
      </c>
      <c r="K300" s="17" t="inlineStr">
        <is>
          <t>낮음</t>
        </is>
      </c>
      <c r="L300" s="17" t="inlineStr"/>
    </row>
    <row r="301">
      <c r="A301" s="17" t="inlineStr">
        <is>
          <t>C048</t>
        </is>
      </c>
      <c r="B301" s="17" t="inlineStr"/>
      <c r="C301" s="17" t="inlineStr">
        <is>
          <t>(주)휴비스트제약</t>
        </is>
      </c>
      <c r="D301" s="17" t="inlineStr"/>
      <c r="E301" s="17" t="inlineStr">
        <is>
          <t>CMO·CDMO</t>
        </is>
      </c>
      <c r="F301" s="17" t="inlineStr">
        <is>
          <t>미확인</t>
        </is>
      </c>
      <c r="G301" s="17" t="inlineStr">
        <is>
          <t>웹조사 자동화 실패(세션한도)</t>
        </is>
      </c>
      <c r="H301" s="17" t="inlineStr">
        <is>
          <t>N</t>
        </is>
      </c>
      <c r="I301" s="17" t="inlineStr">
        <is>
          <t>회사 홈페이지</t>
        </is>
      </c>
      <c r="J301" s="17" t="inlineStr">
        <is>
          <t>회사 홈페이지에서 확인</t>
        </is>
      </c>
      <c r="K301" s="17" t="inlineStr">
        <is>
          <t>낮음</t>
        </is>
      </c>
      <c r="L301" s="17" t="inlineStr"/>
    </row>
    <row r="302">
      <c r="A302" s="17" t="inlineStr">
        <is>
          <t>C048</t>
        </is>
      </c>
      <c r="B302" s="17" t="inlineStr"/>
      <c r="C302" s="17" t="inlineStr">
        <is>
          <t>(주)휴비스트제약</t>
        </is>
      </c>
      <c r="D302" s="17" t="inlineStr"/>
      <c r="E302" s="17" t="inlineStr">
        <is>
          <t>신공장·증설</t>
        </is>
      </c>
      <c r="F302" s="17" t="inlineStr">
        <is>
          <t>미확인</t>
        </is>
      </c>
      <c r="G302" s="17" t="inlineStr">
        <is>
          <t>웹조사 자동화 실패(세션한도)</t>
        </is>
      </c>
      <c r="H302" s="17" t="inlineStr">
        <is>
          <t>N</t>
        </is>
      </c>
      <c r="I302" s="17" t="inlineStr">
        <is>
          <t>언론·지자체 발표</t>
        </is>
      </c>
      <c r="J302" s="17" t="inlineStr">
        <is>
          <t>언론·지자체 발표에서 확인</t>
        </is>
      </c>
      <c r="K302" s="17" t="inlineStr">
        <is>
          <t>낮음</t>
        </is>
      </c>
      <c r="L302" s="17" t="inlineStr"/>
    </row>
    <row r="303">
      <c r="A303" s="17" t="inlineStr">
        <is>
          <t>C049</t>
        </is>
      </c>
      <c r="B303" s="17" t="inlineStr"/>
      <c r="C303" s="17" t="inlineStr">
        <is>
          <t>동아에스티(주)</t>
        </is>
      </c>
      <c r="D303" s="17" t="inlineStr"/>
      <c r="E303" s="17" t="inlineStr">
        <is>
          <t>최근매출(억원)</t>
        </is>
      </c>
      <c r="F303" s="17" t="inlineStr">
        <is>
          <t>미확인</t>
        </is>
      </c>
      <c r="G303" s="17" t="inlineStr">
        <is>
          <t>웹조사 자동화 실패(세션한도)</t>
        </is>
      </c>
      <c r="H303" s="17" t="inlineStr">
        <is>
          <t>N</t>
        </is>
      </c>
      <c r="I303" s="17" t="inlineStr">
        <is>
          <t>DART 사업보고서</t>
        </is>
      </c>
      <c r="J303" s="17" t="inlineStr">
        <is>
          <t>DART 사업보고서에서 확인</t>
        </is>
      </c>
      <c r="K303" s="17" t="inlineStr">
        <is>
          <t>중간</t>
        </is>
      </c>
      <c r="L303" s="17" t="inlineStr"/>
    </row>
    <row r="304">
      <c r="A304" s="17" t="inlineStr">
        <is>
          <t>C049</t>
        </is>
      </c>
      <c r="B304" s="17" t="inlineStr"/>
      <c r="C304" s="17" t="inlineStr">
        <is>
          <t>동아에스티(주)</t>
        </is>
      </c>
      <c r="D304" s="17" t="inlineStr"/>
      <c r="E304" s="17" t="inlineStr">
        <is>
          <t>종업원수</t>
        </is>
      </c>
      <c r="F304" s="17" t="inlineStr">
        <is>
          <t>미확인</t>
        </is>
      </c>
      <c r="G304" s="17" t="inlineStr">
        <is>
          <t>웹조사 자동화 실패(세션한도)</t>
        </is>
      </c>
      <c r="H304" s="17" t="inlineStr">
        <is>
          <t>N</t>
        </is>
      </c>
      <c r="I304" s="17" t="inlineStr">
        <is>
          <t>DART/채용</t>
        </is>
      </c>
      <c r="J304" s="17" t="inlineStr">
        <is>
          <t>DART/채용에서 확인</t>
        </is>
      </c>
      <c r="K304" s="17" t="inlineStr">
        <is>
          <t>중간</t>
        </is>
      </c>
      <c r="L304" s="17" t="inlineStr"/>
    </row>
    <row r="305">
      <c r="A305" s="17" t="inlineStr">
        <is>
          <t>C049</t>
        </is>
      </c>
      <c r="B305" s="17" t="inlineStr"/>
      <c r="C305" s="17" t="inlineStr">
        <is>
          <t>동아에스티(주)</t>
        </is>
      </c>
      <c r="D305" s="17" t="inlineStr"/>
      <c r="E305" s="17" t="inlineStr">
        <is>
          <t>수출여부</t>
        </is>
      </c>
      <c r="F305" s="17" t="inlineStr">
        <is>
          <t>미확인</t>
        </is>
      </c>
      <c r="G305" s="17" t="inlineStr">
        <is>
          <t>웹조사 자동화 실패(세션한도)</t>
        </is>
      </c>
      <c r="H305" s="17" t="inlineStr">
        <is>
          <t>N</t>
        </is>
      </c>
      <c r="I305" s="17" t="inlineStr">
        <is>
          <t>회사 공시·홈페이지</t>
        </is>
      </c>
      <c r="J305" s="17" t="inlineStr">
        <is>
          <t>회사 공시·홈페이지에서 확인</t>
        </is>
      </c>
      <c r="K305" s="17" t="inlineStr">
        <is>
          <t>중간</t>
        </is>
      </c>
      <c r="L305" s="17" t="inlineStr"/>
    </row>
    <row r="306">
      <c r="A306" s="17" t="inlineStr">
        <is>
          <t>C049</t>
        </is>
      </c>
      <c r="B306" s="17" t="inlineStr"/>
      <c r="C306" s="17" t="inlineStr">
        <is>
          <t>동아에스티(주)</t>
        </is>
      </c>
      <c r="D306" s="17" t="inlineStr"/>
      <c r="E306" s="17" t="inlineStr">
        <is>
          <t>FDA·EMA 실사</t>
        </is>
      </c>
      <c r="F306" s="17" t="inlineStr">
        <is>
          <t>미확인</t>
        </is>
      </c>
      <c r="G306" s="17" t="inlineStr">
        <is>
          <t>웹조사 자동화 실패(세션한도)</t>
        </is>
      </c>
      <c r="H306" s="17" t="inlineStr">
        <is>
          <t>N</t>
        </is>
      </c>
      <c r="I306" s="17" t="inlineStr">
        <is>
          <t>FDA Inspection DB</t>
        </is>
      </c>
      <c r="J306" s="17" t="inlineStr">
        <is>
          <t>FDA Inspection DB에서 확인</t>
        </is>
      </c>
      <c r="K306" s="17" t="inlineStr">
        <is>
          <t>중간</t>
        </is>
      </c>
      <c r="L306" s="17" t="inlineStr"/>
    </row>
    <row r="307">
      <c r="A307" s="17" t="inlineStr">
        <is>
          <t>C049</t>
        </is>
      </c>
      <c r="B307" s="17" t="inlineStr"/>
      <c r="C307" s="17" t="inlineStr">
        <is>
          <t>동아에스티(주)</t>
        </is>
      </c>
      <c r="D307" s="17" t="inlineStr"/>
      <c r="E307" s="17" t="inlineStr">
        <is>
          <t>CMO·CDMO</t>
        </is>
      </c>
      <c r="F307" s="17" t="inlineStr">
        <is>
          <t>미확인</t>
        </is>
      </c>
      <c r="G307" s="17" t="inlineStr">
        <is>
          <t>웹조사 자동화 실패(세션한도)</t>
        </is>
      </c>
      <c r="H307" s="17" t="inlineStr">
        <is>
          <t>N</t>
        </is>
      </c>
      <c r="I307" s="17" t="inlineStr">
        <is>
          <t>회사 홈페이지</t>
        </is>
      </c>
      <c r="J307" s="17" t="inlineStr">
        <is>
          <t>회사 홈페이지에서 확인</t>
        </is>
      </c>
      <c r="K307" s="17" t="inlineStr">
        <is>
          <t>중간</t>
        </is>
      </c>
      <c r="L307" s="17" t="inlineStr"/>
    </row>
    <row r="308">
      <c r="A308" s="17" t="inlineStr">
        <is>
          <t>C049</t>
        </is>
      </c>
      <c r="B308" s="17" t="inlineStr"/>
      <c r="C308" s="17" t="inlineStr">
        <is>
          <t>동아에스티(주)</t>
        </is>
      </c>
      <c r="D308" s="17" t="inlineStr"/>
      <c r="E308" s="17" t="inlineStr">
        <is>
          <t>신공장·증설</t>
        </is>
      </c>
      <c r="F308" s="17" t="inlineStr">
        <is>
          <t>미확인</t>
        </is>
      </c>
      <c r="G308" s="17" t="inlineStr">
        <is>
          <t>웹조사 자동화 실패(세션한도)</t>
        </is>
      </c>
      <c r="H308" s="17" t="inlineStr">
        <is>
          <t>N</t>
        </is>
      </c>
      <c r="I308" s="17" t="inlineStr">
        <is>
          <t>언론·지자체 발표</t>
        </is>
      </c>
      <c r="J308" s="17" t="inlineStr">
        <is>
          <t>언론·지자체 발표에서 확인</t>
        </is>
      </c>
      <c r="K308" s="17" t="inlineStr">
        <is>
          <t>중간</t>
        </is>
      </c>
      <c r="L308" s="17" t="inlineStr"/>
    </row>
    <row r="309">
      <c r="A309" s="17" t="inlineStr">
        <is>
          <t>C050</t>
        </is>
      </c>
      <c r="B309" s="17" t="inlineStr"/>
      <c r="C309" s="17" t="inlineStr">
        <is>
          <t>(주)유바이오로직스</t>
        </is>
      </c>
      <c r="D309" s="17" t="inlineStr"/>
      <c r="E309" s="17" t="inlineStr">
        <is>
          <t>최근매출(억원)</t>
        </is>
      </c>
      <c r="F309" s="17" t="inlineStr">
        <is>
          <t>미확인</t>
        </is>
      </c>
      <c r="G309" s="17" t="inlineStr">
        <is>
          <t>웹조사 자동화 실패(세션한도)</t>
        </is>
      </c>
      <c r="H309" s="17" t="inlineStr">
        <is>
          <t>N</t>
        </is>
      </c>
      <c r="I309" s="17" t="inlineStr">
        <is>
          <t>DART 사업보고서</t>
        </is>
      </c>
      <c r="J309" s="17" t="inlineStr">
        <is>
          <t>DART 사업보고서에서 확인</t>
        </is>
      </c>
      <c r="K309" s="17" t="inlineStr">
        <is>
          <t>낮음</t>
        </is>
      </c>
      <c r="L309" s="17" t="inlineStr"/>
    </row>
    <row r="310">
      <c r="A310" s="17" t="inlineStr">
        <is>
          <t>C050</t>
        </is>
      </c>
      <c r="B310" s="17" t="inlineStr"/>
      <c r="C310" s="17" t="inlineStr">
        <is>
          <t>(주)유바이오로직스</t>
        </is>
      </c>
      <c r="D310" s="17" t="inlineStr"/>
      <c r="E310" s="17" t="inlineStr">
        <is>
          <t>종업원수</t>
        </is>
      </c>
      <c r="F310" s="17" t="inlineStr">
        <is>
          <t>미확인</t>
        </is>
      </c>
      <c r="G310" s="17" t="inlineStr">
        <is>
          <t>웹조사 자동화 실패(세션한도)</t>
        </is>
      </c>
      <c r="H310" s="17" t="inlineStr">
        <is>
          <t>N</t>
        </is>
      </c>
      <c r="I310" s="17" t="inlineStr">
        <is>
          <t>DART/채용</t>
        </is>
      </c>
      <c r="J310" s="17" t="inlineStr">
        <is>
          <t>DART/채용에서 확인</t>
        </is>
      </c>
      <c r="K310" s="17" t="inlineStr">
        <is>
          <t>낮음</t>
        </is>
      </c>
      <c r="L310" s="17" t="inlineStr"/>
    </row>
    <row r="311">
      <c r="A311" s="17" t="inlineStr">
        <is>
          <t>C050</t>
        </is>
      </c>
      <c r="B311" s="17" t="inlineStr"/>
      <c r="C311" s="17" t="inlineStr">
        <is>
          <t>(주)유바이오로직스</t>
        </is>
      </c>
      <c r="D311" s="17" t="inlineStr"/>
      <c r="E311" s="17" t="inlineStr">
        <is>
          <t>수출여부</t>
        </is>
      </c>
      <c r="F311" s="17" t="inlineStr">
        <is>
          <t>미확인</t>
        </is>
      </c>
      <c r="G311" s="17" t="inlineStr">
        <is>
          <t>웹조사 자동화 실패(세션한도)</t>
        </is>
      </c>
      <c r="H311" s="17" t="inlineStr">
        <is>
          <t>N</t>
        </is>
      </c>
      <c r="I311" s="17" t="inlineStr">
        <is>
          <t>회사 공시·홈페이지</t>
        </is>
      </c>
      <c r="J311" s="17" t="inlineStr">
        <is>
          <t>회사 공시·홈페이지에서 확인</t>
        </is>
      </c>
      <c r="K311" s="17" t="inlineStr">
        <is>
          <t>낮음</t>
        </is>
      </c>
      <c r="L311" s="17" t="inlineStr"/>
    </row>
    <row r="312">
      <c r="A312" s="17" t="inlineStr">
        <is>
          <t>C050</t>
        </is>
      </c>
      <c r="B312" s="17" t="inlineStr"/>
      <c r="C312" s="17" t="inlineStr">
        <is>
          <t>(주)유바이오로직스</t>
        </is>
      </c>
      <c r="D312" s="17" t="inlineStr"/>
      <c r="E312" s="17" t="inlineStr">
        <is>
          <t>FDA·EMA 실사</t>
        </is>
      </c>
      <c r="F312" s="17" t="inlineStr">
        <is>
          <t>미확인</t>
        </is>
      </c>
      <c r="G312" s="17" t="inlineStr">
        <is>
          <t>웹조사 자동화 실패(세션한도)</t>
        </is>
      </c>
      <c r="H312" s="17" t="inlineStr">
        <is>
          <t>N</t>
        </is>
      </c>
      <c r="I312" s="17" t="inlineStr">
        <is>
          <t>FDA Inspection DB</t>
        </is>
      </c>
      <c r="J312" s="17" t="inlineStr">
        <is>
          <t>FDA Inspection DB에서 확인</t>
        </is>
      </c>
      <c r="K312" s="17" t="inlineStr">
        <is>
          <t>낮음</t>
        </is>
      </c>
      <c r="L312" s="17" t="inlineStr"/>
    </row>
    <row r="313">
      <c r="A313" s="17" t="inlineStr">
        <is>
          <t>C050</t>
        </is>
      </c>
      <c r="B313" s="17" t="inlineStr"/>
      <c r="C313" s="17" t="inlineStr">
        <is>
          <t>(주)유바이오로직스</t>
        </is>
      </c>
      <c r="D313" s="17" t="inlineStr"/>
      <c r="E313" s="17" t="inlineStr">
        <is>
          <t>CMO·CDMO</t>
        </is>
      </c>
      <c r="F313" s="17" t="inlineStr">
        <is>
          <t>미확인</t>
        </is>
      </c>
      <c r="G313" s="17" t="inlineStr">
        <is>
          <t>웹조사 자동화 실패(세션한도)</t>
        </is>
      </c>
      <c r="H313" s="17" t="inlineStr">
        <is>
          <t>N</t>
        </is>
      </c>
      <c r="I313" s="17" t="inlineStr">
        <is>
          <t>회사 홈페이지</t>
        </is>
      </c>
      <c r="J313" s="17" t="inlineStr">
        <is>
          <t>회사 홈페이지에서 확인</t>
        </is>
      </c>
      <c r="K313" s="17" t="inlineStr">
        <is>
          <t>낮음</t>
        </is>
      </c>
      <c r="L313" s="17" t="inlineStr"/>
    </row>
    <row r="314">
      <c r="A314" s="17" t="inlineStr">
        <is>
          <t>C050</t>
        </is>
      </c>
      <c r="B314" s="17" t="inlineStr"/>
      <c r="C314" s="17" t="inlineStr">
        <is>
          <t>(주)유바이오로직스</t>
        </is>
      </c>
      <c r="D314" s="17" t="inlineStr"/>
      <c r="E314" s="17" t="inlineStr">
        <is>
          <t>신공장·증설</t>
        </is>
      </c>
      <c r="F314" s="17" t="inlineStr">
        <is>
          <t>미확인</t>
        </is>
      </c>
      <c r="G314" s="17" t="inlineStr">
        <is>
          <t>웹조사 자동화 실패(세션한도)</t>
        </is>
      </c>
      <c r="H314" s="17" t="inlineStr">
        <is>
          <t>N</t>
        </is>
      </c>
      <c r="I314" s="17" t="inlineStr">
        <is>
          <t>언론·지자체 발표</t>
        </is>
      </c>
      <c r="J314" s="17" t="inlineStr">
        <is>
          <t>언론·지자체 발표에서 확인</t>
        </is>
      </c>
      <c r="K314" s="17" t="inlineStr">
        <is>
          <t>낮음</t>
        </is>
      </c>
      <c r="L314" s="17" t="inlineStr"/>
    </row>
    <row r="315">
      <c r="A315" s="17" t="inlineStr">
        <is>
          <t>C051</t>
        </is>
      </c>
      <c r="B315" s="17" t="inlineStr"/>
      <c r="C315" s="17" t="inlineStr">
        <is>
          <t>(주)성일바이오엑스</t>
        </is>
      </c>
      <c r="D315" s="17" t="inlineStr"/>
      <c r="E315" s="17" t="inlineStr">
        <is>
          <t>최근매출(억원)</t>
        </is>
      </c>
      <c r="F315" s="17" t="inlineStr">
        <is>
          <t>미확인</t>
        </is>
      </c>
      <c r="G315" s="17" t="inlineStr">
        <is>
          <t>웹조사 자동화 실패(세션한도)</t>
        </is>
      </c>
      <c r="H315" s="17" t="inlineStr">
        <is>
          <t>N</t>
        </is>
      </c>
      <c r="I315" s="17" t="inlineStr">
        <is>
          <t>DART 사업보고서</t>
        </is>
      </c>
      <c r="J315" s="17" t="inlineStr">
        <is>
          <t>DART 사업보고서에서 확인</t>
        </is>
      </c>
      <c r="K315" s="17" t="inlineStr">
        <is>
          <t>낮음</t>
        </is>
      </c>
      <c r="L315" s="17" t="inlineStr"/>
    </row>
    <row r="316">
      <c r="A316" s="17" t="inlineStr">
        <is>
          <t>C051</t>
        </is>
      </c>
      <c r="B316" s="17" t="inlineStr"/>
      <c r="C316" s="17" t="inlineStr">
        <is>
          <t>(주)성일바이오엑스</t>
        </is>
      </c>
      <c r="D316" s="17" t="inlineStr"/>
      <c r="E316" s="17" t="inlineStr">
        <is>
          <t>종업원수</t>
        </is>
      </c>
      <c r="F316" s="17" t="inlineStr">
        <is>
          <t>미확인</t>
        </is>
      </c>
      <c r="G316" s="17" t="inlineStr">
        <is>
          <t>웹조사 자동화 실패(세션한도)</t>
        </is>
      </c>
      <c r="H316" s="17" t="inlineStr">
        <is>
          <t>N</t>
        </is>
      </c>
      <c r="I316" s="17" t="inlineStr">
        <is>
          <t>DART/채용</t>
        </is>
      </c>
      <c r="J316" s="17" t="inlineStr">
        <is>
          <t>DART/채용에서 확인</t>
        </is>
      </c>
      <c r="K316" s="17" t="inlineStr">
        <is>
          <t>낮음</t>
        </is>
      </c>
      <c r="L316" s="17" t="inlineStr"/>
    </row>
    <row r="317">
      <c r="A317" s="17" t="inlineStr">
        <is>
          <t>C051</t>
        </is>
      </c>
      <c r="B317" s="17" t="inlineStr"/>
      <c r="C317" s="17" t="inlineStr">
        <is>
          <t>(주)성일바이오엑스</t>
        </is>
      </c>
      <c r="D317" s="17" t="inlineStr"/>
      <c r="E317" s="17" t="inlineStr">
        <is>
          <t>수출여부</t>
        </is>
      </c>
      <c r="F317" s="17" t="inlineStr">
        <is>
          <t>미확인</t>
        </is>
      </c>
      <c r="G317" s="17" t="inlineStr">
        <is>
          <t>웹조사 자동화 실패(세션한도)</t>
        </is>
      </c>
      <c r="H317" s="17" t="inlineStr">
        <is>
          <t>N</t>
        </is>
      </c>
      <c r="I317" s="17" t="inlineStr">
        <is>
          <t>회사 공시·홈페이지</t>
        </is>
      </c>
      <c r="J317" s="17" t="inlineStr">
        <is>
          <t>회사 공시·홈페이지에서 확인</t>
        </is>
      </c>
      <c r="K317" s="17" t="inlineStr">
        <is>
          <t>낮음</t>
        </is>
      </c>
      <c r="L317" s="17" t="inlineStr"/>
    </row>
    <row r="318">
      <c r="A318" s="17" t="inlineStr">
        <is>
          <t>C051</t>
        </is>
      </c>
      <c r="B318" s="17" t="inlineStr"/>
      <c r="C318" s="17" t="inlineStr">
        <is>
          <t>(주)성일바이오엑스</t>
        </is>
      </c>
      <c r="D318" s="17" t="inlineStr"/>
      <c r="E318" s="17" t="inlineStr">
        <is>
          <t>FDA·EMA 실사</t>
        </is>
      </c>
      <c r="F318" s="17" t="inlineStr">
        <is>
          <t>미확인</t>
        </is>
      </c>
      <c r="G318" s="17" t="inlineStr">
        <is>
          <t>웹조사 자동화 실패(세션한도)</t>
        </is>
      </c>
      <c r="H318" s="17" t="inlineStr">
        <is>
          <t>N</t>
        </is>
      </c>
      <c r="I318" s="17" t="inlineStr">
        <is>
          <t>FDA Inspection DB</t>
        </is>
      </c>
      <c r="J318" s="17" t="inlineStr">
        <is>
          <t>FDA Inspection DB에서 확인</t>
        </is>
      </c>
      <c r="K318" s="17" t="inlineStr">
        <is>
          <t>낮음</t>
        </is>
      </c>
      <c r="L318" s="17" t="inlineStr"/>
    </row>
    <row r="319">
      <c r="A319" s="17" t="inlineStr">
        <is>
          <t>C051</t>
        </is>
      </c>
      <c r="B319" s="17" t="inlineStr"/>
      <c r="C319" s="17" t="inlineStr">
        <is>
          <t>(주)성일바이오엑스</t>
        </is>
      </c>
      <c r="D319" s="17" t="inlineStr"/>
      <c r="E319" s="17" t="inlineStr">
        <is>
          <t>CMO·CDMO</t>
        </is>
      </c>
      <c r="F319" s="17" t="inlineStr">
        <is>
          <t>미확인</t>
        </is>
      </c>
      <c r="G319" s="17" t="inlineStr">
        <is>
          <t>웹조사 자동화 실패(세션한도)</t>
        </is>
      </c>
      <c r="H319" s="17" t="inlineStr">
        <is>
          <t>N</t>
        </is>
      </c>
      <c r="I319" s="17" t="inlineStr">
        <is>
          <t>회사 홈페이지</t>
        </is>
      </c>
      <c r="J319" s="17" t="inlineStr">
        <is>
          <t>회사 홈페이지에서 확인</t>
        </is>
      </c>
      <c r="K319" s="17" t="inlineStr">
        <is>
          <t>낮음</t>
        </is>
      </c>
      <c r="L319" s="17" t="inlineStr"/>
    </row>
    <row r="320">
      <c r="A320" s="17" t="inlineStr">
        <is>
          <t>C051</t>
        </is>
      </c>
      <c r="B320" s="17" t="inlineStr"/>
      <c r="C320" s="17" t="inlineStr">
        <is>
          <t>(주)성일바이오엑스</t>
        </is>
      </c>
      <c r="D320" s="17" t="inlineStr"/>
      <c r="E320" s="17" t="inlineStr">
        <is>
          <t>신공장·증설</t>
        </is>
      </c>
      <c r="F320" s="17" t="inlineStr">
        <is>
          <t>미확인</t>
        </is>
      </c>
      <c r="G320" s="17" t="inlineStr">
        <is>
          <t>웹조사 자동화 실패(세션한도)</t>
        </is>
      </c>
      <c r="H320" s="17" t="inlineStr">
        <is>
          <t>N</t>
        </is>
      </c>
      <c r="I320" s="17" t="inlineStr">
        <is>
          <t>언론·지자체 발표</t>
        </is>
      </c>
      <c r="J320" s="17" t="inlineStr">
        <is>
          <t>언론·지자체 발표에서 확인</t>
        </is>
      </c>
      <c r="K320" s="17" t="inlineStr">
        <is>
          <t>낮음</t>
        </is>
      </c>
      <c r="L320" s="17" t="inlineStr"/>
    </row>
    <row r="321">
      <c r="A321" s="17" t="inlineStr">
        <is>
          <t>C052</t>
        </is>
      </c>
      <c r="B321" s="17" t="inlineStr"/>
      <c r="C321" s="17" t="inlineStr">
        <is>
          <t>영일제약(주)</t>
        </is>
      </c>
      <c r="D321" s="17" t="inlineStr"/>
      <c r="E321" s="17" t="inlineStr">
        <is>
          <t>최근매출(억원)</t>
        </is>
      </c>
      <c r="F321" s="17" t="inlineStr">
        <is>
          <t>미확인</t>
        </is>
      </c>
      <c r="G321" s="17" t="inlineStr">
        <is>
          <t>웹조사 자동화 실패(세션한도)</t>
        </is>
      </c>
      <c r="H321" s="17" t="inlineStr">
        <is>
          <t>N</t>
        </is>
      </c>
      <c r="I321" s="17" t="inlineStr">
        <is>
          <t>DART 사업보고서</t>
        </is>
      </c>
      <c r="J321" s="17" t="inlineStr">
        <is>
          <t>DART 사업보고서에서 확인</t>
        </is>
      </c>
      <c r="K321" s="17" t="inlineStr">
        <is>
          <t>낮음</t>
        </is>
      </c>
      <c r="L321" s="17" t="inlineStr"/>
    </row>
    <row r="322">
      <c r="A322" s="17" t="inlineStr">
        <is>
          <t>C052</t>
        </is>
      </c>
      <c r="B322" s="17" t="inlineStr"/>
      <c r="C322" s="17" t="inlineStr">
        <is>
          <t>영일제약(주)</t>
        </is>
      </c>
      <c r="D322" s="17" t="inlineStr"/>
      <c r="E322" s="17" t="inlineStr">
        <is>
          <t>종업원수</t>
        </is>
      </c>
      <c r="F322" s="17" t="inlineStr">
        <is>
          <t>미확인</t>
        </is>
      </c>
      <c r="G322" s="17" t="inlineStr">
        <is>
          <t>웹조사 자동화 실패(세션한도)</t>
        </is>
      </c>
      <c r="H322" s="17" t="inlineStr">
        <is>
          <t>N</t>
        </is>
      </c>
      <c r="I322" s="17" t="inlineStr">
        <is>
          <t>DART/채용</t>
        </is>
      </c>
      <c r="J322" s="17" t="inlineStr">
        <is>
          <t>DART/채용에서 확인</t>
        </is>
      </c>
      <c r="K322" s="17" t="inlineStr">
        <is>
          <t>낮음</t>
        </is>
      </c>
      <c r="L322" s="17" t="inlineStr"/>
    </row>
    <row r="323">
      <c r="A323" s="17" t="inlineStr">
        <is>
          <t>C052</t>
        </is>
      </c>
      <c r="B323" s="17" t="inlineStr"/>
      <c r="C323" s="17" t="inlineStr">
        <is>
          <t>영일제약(주)</t>
        </is>
      </c>
      <c r="D323" s="17" t="inlineStr"/>
      <c r="E323" s="17" t="inlineStr">
        <is>
          <t>수출여부</t>
        </is>
      </c>
      <c r="F323" s="17" t="inlineStr">
        <is>
          <t>미확인</t>
        </is>
      </c>
      <c r="G323" s="17" t="inlineStr">
        <is>
          <t>웹조사 자동화 실패(세션한도)</t>
        </is>
      </c>
      <c r="H323" s="17" t="inlineStr">
        <is>
          <t>N</t>
        </is>
      </c>
      <c r="I323" s="17" t="inlineStr">
        <is>
          <t>회사 공시·홈페이지</t>
        </is>
      </c>
      <c r="J323" s="17" t="inlineStr">
        <is>
          <t>회사 공시·홈페이지에서 확인</t>
        </is>
      </c>
      <c r="K323" s="17" t="inlineStr">
        <is>
          <t>낮음</t>
        </is>
      </c>
      <c r="L323" s="17" t="inlineStr"/>
    </row>
    <row r="324">
      <c r="A324" s="17" t="inlineStr">
        <is>
          <t>C052</t>
        </is>
      </c>
      <c r="B324" s="17" t="inlineStr"/>
      <c r="C324" s="17" t="inlineStr">
        <is>
          <t>영일제약(주)</t>
        </is>
      </c>
      <c r="D324" s="17" t="inlineStr"/>
      <c r="E324" s="17" t="inlineStr">
        <is>
          <t>FDA·EMA 실사</t>
        </is>
      </c>
      <c r="F324" s="17" t="inlineStr">
        <is>
          <t>미확인</t>
        </is>
      </c>
      <c r="G324" s="17" t="inlineStr">
        <is>
          <t>웹조사 자동화 실패(세션한도)</t>
        </is>
      </c>
      <c r="H324" s="17" t="inlineStr">
        <is>
          <t>N</t>
        </is>
      </c>
      <c r="I324" s="17" t="inlineStr">
        <is>
          <t>FDA Inspection DB</t>
        </is>
      </c>
      <c r="J324" s="17" t="inlineStr">
        <is>
          <t>FDA Inspection DB에서 확인</t>
        </is>
      </c>
      <c r="K324" s="17" t="inlineStr">
        <is>
          <t>낮음</t>
        </is>
      </c>
      <c r="L324" s="17" t="inlineStr"/>
    </row>
    <row r="325">
      <c r="A325" s="17" t="inlineStr">
        <is>
          <t>C052</t>
        </is>
      </c>
      <c r="B325" s="17" t="inlineStr"/>
      <c r="C325" s="17" t="inlineStr">
        <is>
          <t>영일제약(주)</t>
        </is>
      </c>
      <c r="D325" s="17" t="inlineStr"/>
      <c r="E325" s="17" t="inlineStr">
        <is>
          <t>CMO·CDMO</t>
        </is>
      </c>
      <c r="F325" s="17" t="inlineStr">
        <is>
          <t>미확인</t>
        </is>
      </c>
      <c r="G325" s="17" t="inlineStr">
        <is>
          <t>웹조사 자동화 실패(세션한도)</t>
        </is>
      </c>
      <c r="H325" s="17" t="inlineStr">
        <is>
          <t>N</t>
        </is>
      </c>
      <c r="I325" s="17" t="inlineStr">
        <is>
          <t>회사 홈페이지</t>
        </is>
      </c>
      <c r="J325" s="17" t="inlineStr">
        <is>
          <t>회사 홈페이지에서 확인</t>
        </is>
      </c>
      <c r="K325" s="17" t="inlineStr">
        <is>
          <t>낮음</t>
        </is>
      </c>
      <c r="L325" s="17" t="inlineStr"/>
    </row>
    <row r="326">
      <c r="A326" s="17" t="inlineStr">
        <is>
          <t>C052</t>
        </is>
      </c>
      <c r="B326" s="17" t="inlineStr"/>
      <c r="C326" s="17" t="inlineStr">
        <is>
          <t>영일제약(주)</t>
        </is>
      </c>
      <c r="D326" s="17" t="inlineStr"/>
      <c r="E326" s="17" t="inlineStr">
        <is>
          <t>신공장·증설</t>
        </is>
      </c>
      <c r="F326" s="17" t="inlineStr">
        <is>
          <t>미확인</t>
        </is>
      </c>
      <c r="G326" s="17" t="inlineStr">
        <is>
          <t>웹조사 자동화 실패(세션한도)</t>
        </is>
      </c>
      <c r="H326" s="17" t="inlineStr">
        <is>
          <t>N</t>
        </is>
      </c>
      <c r="I326" s="17" t="inlineStr">
        <is>
          <t>언론·지자체 발표</t>
        </is>
      </c>
      <c r="J326" s="17" t="inlineStr">
        <is>
          <t>언론·지자체 발표에서 확인</t>
        </is>
      </c>
      <c r="K326" s="17" t="inlineStr">
        <is>
          <t>낮음</t>
        </is>
      </c>
      <c r="L326" s="17" t="inlineStr"/>
    </row>
    <row r="327">
      <c r="A327" s="17" t="inlineStr">
        <is>
          <t>C053</t>
        </is>
      </c>
      <c r="B327" s="17" t="inlineStr"/>
      <c r="C327" s="17" t="inlineStr">
        <is>
          <t>(주)퓨쳐켐헬스케어</t>
        </is>
      </c>
      <c r="D327" s="17" t="inlineStr"/>
      <c r="E327" s="17" t="inlineStr">
        <is>
          <t>최근매출(억원)</t>
        </is>
      </c>
      <c r="F327" s="17" t="inlineStr">
        <is>
          <t>미확인</t>
        </is>
      </c>
      <c r="G327" s="17" t="inlineStr">
        <is>
          <t>웹조사 자동화 실패(세션한도)</t>
        </is>
      </c>
      <c r="H327" s="17" t="inlineStr">
        <is>
          <t>N</t>
        </is>
      </c>
      <c r="I327" s="17" t="inlineStr">
        <is>
          <t>DART 사업보고서</t>
        </is>
      </c>
      <c r="J327" s="17" t="inlineStr">
        <is>
          <t>DART 사업보고서에서 확인</t>
        </is>
      </c>
      <c r="K327" s="17" t="inlineStr">
        <is>
          <t>낮음</t>
        </is>
      </c>
      <c r="L327" s="17" t="inlineStr"/>
    </row>
    <row r="328">
      <c r="A328" s="17" t="inlineStr">
        <is>
          <t>C053</t>
        </is>
      </c>
      <c r="B328" s="17" t="inlineStr"/>
      <c r="C328" s="17" t="inlineStr">
        <is>
          <t>(주)퓨쳐켐헬스케어</t>
        </is>
      </c>
      <c r="D328" s="17" t="inlineStr"/>
      <c r="E328" s="17" t="inlineStr">
        <is>
          <t>종업원수</t>
        </is>
      </c>
      <c r="F328" s="17" t="inlineStr">
        <is>
          <t>미확인</t>
        </is>
      </c>
      <c r="G328" s="17" t="inlineStr">
        <is>
          <t>웹조사 자동화 실패(세션한도)</t>
        </is>
      </c>
      <c r="H328" s="17" t="inlineStr">
        <is>
          <t>N</t>
        </is>
      </c>
      <c r="I328" s="17" t="inlineStr">
        <is>
          <t>DART/채용</t>
        </is>
      </c>
      <c r="J328" s="17" t="inlineStr">
        <is>
          <t>DART/채용에서 확인</t>
        </is>
      </c>
      <c r="K328" s="17" t="inlineStr">
        <is>
          <t>낮음</t>
        </is>
      </c>
      <c r="L328" s="17" t="inlineStr"/>
    </row>
    <row r="329">
      <c r="A329" s="17" t="inlineStr">
        <is>
          <t>C053</t>
        </is>
      </c>
      <c r="B329" s="17" t="inlineStr"/>
      <c r="C329" s="17" t="inlineStr">
        <is>
          <t>(주)퓨쳐켐헬스케어</t>
        </is>
      </c>
      <c r="D329" s="17" t="inlineStr"/>
      <c r="E329" s="17" t="inlineStr">
        <is>
          <t>수출여부</t>
        </is>
      </c>
      <c r="F329" s="17" t="inlineStr">
        <is>
          <t>미확인</t>
        </is>
      </c>
      <c r="G329" s="17" t="inlineStr">
        <is>
          <t>웹조사 자동화 실패(세션한도)</t>
        </is>
      </c>
      <c r="H329" s="17" t="inlineStr">
        <is>
          <t>N</t>
        </is>
      </c>
      <c r="I329" s="17" t="inlineStr">
        <is>
          <t>회사 공시·홈페이지</t>
        </is>
      </c>
      <c r="J329" s="17" t="inlineStr">
        <is>
          <t>회사 공시·홈페이지에서 확인</t>
        </is>
      </c>
      <c r="K329" s="17" t="inlineStr">
        <is>
          <t>낮음</t>
        </is>
      </c>
      <c r="L329" s="17" t="inlineStr"/>
    </row>
    <row r="330">
      <c r="A330" s="17" t="inlineStr">
        <is>
          <t>C053</t>
        </is>
      </c>
      <c r="B330" s="17" t="inlineStr"/>
      <c r="C330" s="17" t="inlineStr">
        <is>
          <t>(주)퓨쳐켐헬스케어</t>
        </is>
      </c>
      <c r="D330" s="17" t="inlineStr"/>
      <c r="E330" s="17" t="inlineStr">
        <is>
          <t>FDA·EMA 실사</t>
        </is>
      </c>
      <c r="F330" s="17" t="inlineStr">
        <is>
          <t>미확인</t>
        </is>
      </c>
      <c r="G330" s="17" t="inlineStr">
        <is>
          <t>웹조사 자동화 실패(세션한도)</t>
        </is>
      </c>
      <c r="H330" s="17" t="inlineStr">
        <is>
          <t>N</t>
        </is>
      </c>
      <c r="I330" s="17" t="inlineStr">
        <is>
          <t>FDA Inspection DB</t>
        </is>
      </c>
      <c r="J330" s="17" t="inlineStr">
        <is>
          <t>FDA Inspection DB에서 확인</t>
        </is>
      </c>
      <c r="K330" s="17" t="inlineStr">
        <is>
          <t>낮음</t>
        </is>
      </c>
      <c r="L330" s="17" t="inlineStr"/>
    </row>
    <row r="331">
      <c r="A331" s="17" t="inlineStr">
        <is>
          <t>C053</t>
        </is>
      </c>
      <c r="B331" s="17" t="inlineStr"/>
      <c r="C331" s="17" t="inlineStr">
        <is>
          <t>(주)퓨쳐켐헬스케어</t>
        </is>
      </c>
      <c r="D331" s="17" t="inlineStr"/>
      <c r="E331" s="17" t="inlineStr">
        <is>
          <t>CMO·CDMO</t>
        </is>
      </c>
      <c r="F331" s="17" t="inlineStr">
        <is>
          <t>미확인</t>
        </is>
      </c>
      <c r="G331" s="17" t="inlineStr">
        <is>
          <t>웹조사 자동화 실패(세션한도)</t>
        </is>
      </c>
      <c r="H331" s="17" t="inlineStr">
        <is>
          <t>N</t>
        </is>
      </c>
      <c r="I331" s="17" t="inlineStr">
        <is>
          <t>회사 홈페이지</t>
        </is>
      </c>
      <c r="J331" s="17" t="inlineStr">
        <is>
          <t>회사 홈페이지에서 확인</t>
        </is>
      </c>
      <c r="K331" s="17" t="inlineStr">
        <is>
          <t>낮음</t>
        </is>
      </c>
      <c r="L331" s="17" t="inlineStr"/>
    </row>
    <row r="332">
      <c r="A332" s="17" t="inlineStr">
        <is>
          <t>C053</t>
        </is>
      </c>
      <c r="B332" s="17" t="inlineStr"/>
      <c r="C332" s="17" t="inlineStr">
        <is>
          <t>(주)퓨쳐켐헬스케어</t>
        </is>
      </c>
      <c r="D332" s="17" t="inlineStr"/>
      <c r="E332" s="17" t="inlineStr">
        <is>
          <t>신공장·증설</t>
        </is>
      </c>
      <c r="F332" s="17" t="inlineStr">
        <is>
          <t>미확인</t>
        </is>
      </c>
      <c r="G332" s="17" t="inlineStr">
        <is>
          <t>웹조사 자동화 실패(세션한도)</t>
        </is>
      </c>
      <c r="H332" s="17" t="inlineStr">
        <is>
          <t>N</t>
        </is>
      </c>
      <c r="I332" s="17" t="inlineStr">
        <is>
          <t>언론·지자체 발표</t>
        </is>
      </c>
      <c r="J332" s="17" t="inlineStr">
        <is>
          <t>언론·지자체 발표에서 확인</t>
        </is>
      </c>
      <c r="K332" s="17" t="inlineStr">
        <is>
          <t>낮음</t>
        </is>
      </c>
      <c r="L332" s="17" t="inlineStr"/>
    </row>
    <row r="333">
      <c r="A333" s="17" t="inlineStr">
        <is>
          <t>C054</t>
        </is>
      </c>
      <c r="B333" s="17" t="inlineStr"/>
      <c r="C333" s="17" t="inlineStr">
        <is>
          <t>에스티팜주식회사</t>
        </is>
      </c>
      <c r="D333" s="17" t="inlineStr"/>
      <c r="E333" s="17" t="inlineStr">
        <is>
          <t>최근매출(억원)</t>
        </is>
      </c>
      <c r="F333" s="17" t="inlineStr">
        <is>
          <t>미확인</t>
        </is>
      </c>
      <c r="G333" s="17" t="inlineStr">
        <is>
          <t>웹조사 자동화 실패(세션한도)</t>
        </is>
      </c>
      <c r="H333" s="17" t="inlineStr">
        <is>
          <t>N</t>
        </is>
      </c>
      <c r="I333" s="17" t="inlineStr">
        <is>
          <t>DART 사업보고서</t>
        </is>
      </c>
      <c r="J333" s="17" t="inlineStr">
        <is>
          <t>DART 사업보고서에서 확인</t>
        </is>
      </c>
      <c r="K333" s="17" t="inlineStr">
        <is>
          <t>낮음</t>
        </is>
      </c>
      <c r="L333" s="17" t="inlineStr"/>
    </row>
    <row r="334">
      <c r="A334" s="17" t="inlineStr">
        <is>
          <t>C054</t>
        </is>
      </c>
      <c r="B334" s="17" t="inlineStr"/>
      <c r="C334" s="17" t="inlineStr">
        <is>
          <t>에스티팜주식회사</t>
        </is>
      </c>
      <c r="D334" s="17" t="inlineStr"/>
      <c r="E334" s="17" t="inlineStr">
        <is>
          <t>종업원수</t>
        </is>
      </c>
      <c r="F334" s="17" t="inlineStr">
        <is>
          <t>미확인</t>
        </is>
      </c>
      <c r="G334" s="17" t="inlineStr">
        <is>
          <t>웹조사 자동화 실패(세션한도)</t>
        </is>
      </c>
      <c r="H334" s="17" t="inlineStr">
        <is>
          <t>N</t>
        </is>
      </c>
      <c r="I334" s="17" t="inlineStr">
        <is>
          <t>DART/채용</t>
        </is>
      </c>
      <c r="J334" s="17" t="inlineStr">
        <is>
          <t>DART/채용에서 확인</t>
        </is>
      </c>
      <c r="K334" s="17" t="inlineStr">
        <is>
          <t>낮음</t>
        </is>
      </c>
      <c r="L334" s="17" t="inlineStr"/>
    </row>
    <row r="335">
      <c r="A335" s="17" t="inlineStr">
        <is>
          <t>C054</t>
        </is>
      </c>
      <c r="B335" s="17" t="inlineStr"/>
      <c r="C335" s="17" t="inlineStr">
        <is>
          <t>에스티팜주식회사</t>
        </is>
      </c>
      <c r="D335" s="17" t="inlineStr"/>
      <c r="E335" s="17" t="inlineStr">
        <is>
          <t>수출여부</t>
        </is>
      </c>
      <c r="F335" s="17" t="inlineStr">
        <is>
          <t>미확인</t>
        </is>
      </c>
      <c r="G335" s="17" t="inlineStr">
        <is>
          <t>웹조사 자동화 실패(세션한도)</t>
        </is>
      </c>
      <c r="H335" s="17" t="inlineStr">
        <is>
          <t>N</t>
        </is>
      </c>
      <c r="I335" s="17" t="inlineStr">
        <is>
          <t>회사 공시·홈페이지</t>
        </is>
      </c>
      <c r="J335" s="17" t="inlineStr">
        <is>
          <t>회사 공시·홈페이지에서 확인</t>
        </is>
      </c>
      <c r="K335" s="17" t="inlineStr">
        <is>
          <t>낮음</t>
        </is>
      </c>
      <c r="L335" s="17" t="inlineStr"/>
    </row>
    <row r="336">
      <c r="A336" s="17" t="inlineStr">
        <is>
          <t>C054</t>
        </is>
      </c>
      <c r="B336" s="17" t="inlineStr"/>
      <c r="C336" s="17" t="inlineStr">
        <is>
          <t>에스티팜주식회사</t>
        </is>
      </c>
      <c r="D336" s="17" t="inlineStr"/>
      <c r="E336" s="17" t="inlineStr">
        <is>
          <t>FDA·EMA 실사</t>
        </is>
      </c>
      <c r="F336" s="17" t="inlineStr">
        <is>
          <t>미확인</t>
        </is>
      </c>
      <c r="G336" s="17" t="inlineStr">
        <is>
          <t>웹조사 자동화 실패(세션한도)</t>
        </is>
      </c>
      <c r="H336" s="17" t="inlineStr">
        <is>
          <t>N</t>
        </is>
      </c>
      <c r="I336" s="17" t="inlineStr">
        <is>
          <t>FDA Inspection DB</t>
        </is>
      </c>
      <c r="J336" s="17" t="inlineStr">
        <is>
          <t>FDA Inspection DB에서 확인</t>
        </is>
      </c>
      <c r="K336" s="17" t="inlineStr">
        <is>
          <t>낮음</t>
        </is>
      </c>
      <c r="L336" s="17" t="inlineStr"/>
    </row>
    <row r="337">
      <c r="A337" s="17" t="inlineStr">
        <is>
          <t>C054</t>
        </is>
      </c>
      <c r="B337" s="17" t="inlineStr"/>
      <c r="C337" s="17" t="inlineStr">
        <is>
          <t>에스티팜주식회사</t>
        </is>
      </c>
      <c r="D337" s="17" t="inlineStr"/>
      <c r="E337" s="17" t="inlineStr">
        <is>
          <t>CMO·CDMO</t>
        </is>
      </c>
      <c r="F337" s="17" t="inlineStr">
        <is>
          <t>미확인</t>
        </is>
      </c>
      <c r="G337" s="17" t="inlineStr">
        <is>
          <t>웹조사 자동화 실패(세션한도)</t>
        </is>
      </c>
      <c r="H337" s="17" t="inlineStr">
        <is>
          <t>N</t>
        </is>
      </c>
      <c r="I337" s="17" t="inlineStr">
        <is>
          <t>회사 홈페이지</t>
        </is>
      </c>
      <c r="J337" s="17" t="inlineStr">
        <is>
          <t>회사 홈페이지에서 확인</t>
        </is>
      </c>
      <c r="K337" s="17" t="inlineStr">
        <is>
          <t>낮음</t>
        </is>
      </c>
      <c r="L337" s="17" t="inlineStr"/>
    </row>
    <row r="338">
      <c r="A338" s="17" t="inlineStr">
        <is>
          <t>C054</t>
        </is>
      </c>
      <c r="B338" s="17" t="inlineStr"/>
      <c r="C338" s="17" t="inlineStr">
        <is>
          <t>에스티팜주식회사</t>
        </is>
      </c>
      <c r="D338" s="17" t="inlineStr"/>
      <c r="E338" s="17" t="inlineStr">
        <is>
          <t>신공장·증설</t>
        </is>
      </c>
      <c r="F338" s="17" t="inlineStr">
        <is>
          <t>미확인</t>
        </is>
      </c>
      <c r="G338" s="17" t="inlineStr">
        <is>
          <t>웹조사 자동화 실패(세션한도)</t>
        </is>
      </c>
      <c r="H338" s="17" t="inlineStr">
        <is>
          <t>N</t>
        </is>
      </c>
      <c r="I338" s="17" t="inlineStr">
        <is>
          <t>언론·지자체 발표</t>
        </is>
      </c>
      <c r="J338" s="17" t="inlineStr">
        <is>
          <t>언론·지자체 발표에서 확인</t>
        </is>
      </c>
      <c r="K338" s="17" t="inlineStr">
        <is>
          <t>낮음</t>
        </is>
      </c>
      <c r="L338" s="17" t="inlineStr"/>
    </row>
    <row r="339">
      <c r="A339" s="17" t="inlineStr">
        <is>
          <t>C054</t>
        </is>
      </c>
      <c r="B339" s="17" t="inlineStr"/>
      <c r="C339" s="17" t="inlineStr">
        <is>
          <t>에스티팜주식회사</t>
        </is>
      </c>
      <c r="D339" s="17" t="inlineStr"/>
      <c r="E339" s="17" t="inlineStr">
        <is>
          <t>대표전화</t>
        </is>
      </c>
      <c r="F339" s="17" t="inlineStr">
        <is>
          <t>미확인</t>
        </is>
      </c>
      <c r="G339" s="17" t="inlineStr">
        <is>
          <t>제조소상세 미매칭</t>
        </is>
      </c>
      <c r="H339" s="17" t="inlineStr">
        <is>
          <t>Y</t>
        </is>
      </c>
      <c r="I339" s="17" t="inlineStr">
        <is>
          <t>회사 홈페이지</t>
        </is>
      </c>
      <c r="J339" s="17" t="inlineStr">
        <is>
          <t>홈페이지에서 대표번호 확인</t>
        </is>
      </c>
      <c r="K339" s="17" t="inlineStr">
        <is>
          <t>낮음</t>
        </is>
      </c>
      <c r="L339" s="17" t="inlineStr"/>
    </row>
    <row r="340">
      <c r="A340" s="17" t="inlineStr">
        <is>
          <t>C055</t>
        </is>
      </c>
      <c r="B340" s="17" t="inlineStr"/>
      <c r="C340" s="17" t="inlineStr">
        <is>
          <t>나주신일가스주식회사</t>
        </is>
      </c>
      <c r="D340" s="17" t="inlineStr"/>
      <c r="E340" s="17" t="inlineStr">
        <is>
          <t>최근매출(억원)</t>
        </is>
      </c>
      <c r="F340" s="17" t="inlineStr">
        <is>
          <t>미확인</t>
        </is>
      </c>
      <c r="G340" s="17" t="inlineStr">
        <is>
          <t>웹조사 자동화 실패(세션한도)</t>
        </is>
      </c>
      <c r="H340" s="17" t="inlineStr">
        <is>
          <t>N</t>
        </is>
      </c>
      <c r="I340" s="17" t="inlineStr">
        <is>
          <t>DART 사업보고서</t>
        </is>
      </c>
      <c r="J340" s="17" t="inlineStr">
        <is>
          <t>DART 사업보고서에서 확인</t>
        </is>
      </c>
      <c r="K340" s="17" t="inlineStr">
        <is>
          <t>낮음</t>
        </is>
      </c>
      <c r="L340" s="17" t="inlineStr"/>
    </row>
    <row r="341">
      <c r="A341" s="17" t="inlineStr">
        <is>
          <t>C055</t>
        </is>
      </c>
      <c r="B341" s="17" t="inlineStr"/>
      <c r="C341" s="17" t="inlineStr">
        <is>
          <t>나주신일가스주식회사</t>
        </is>
      </c>
      <c r="D341" s="17" t="inlineStr"/>
      <c r="E341" s="17" t="inlineStr">
        <is>
          <t>종업원수</t>
        </is>
      </c>
      <c r="F341" s="17" t="inlineStr">
        <is>
          <t>미확인</t>
        </is>
      </c>
      <c r="G341" s="17" t="inlineStr">
        <is>
          <t>웹조사 자동화 실패(세션한도)</t>
        </is>
      </c>
      <c r="H341" s="17" t="inlineStr">
        <is>
          <t>N</t>
        </is>
      </c>
      <c r="I341" s="17" t="inlineStr">
        <is>
          <t>DART/채용</t>
        </is>
      </c>
      <c r="J341" s="17" t="inlineStr">
        <is>
          <t>DART/채용에서 확인</t>
        </is>
      </c>
      <c r="K341" s="17" t="inlineStr">
        <is>
          <t>낮음</t>
        </is>
      </c>
      <c r="L341" s="17" t="inlineStr"/>
    </row>
    <row r="342">
      <c r="A342" s="17" t="inlineStr">
        <is>
          <t>C055</t>
        </is>
      </c>
      <c r="B342" s="17" t="inlineStr"/>
      <c r="C342" s="17" t="inlineStr">
        <is>
          <t>나주신일가스주식회사</t>
        </is>
      </c>
      <c r="D342" s="17" t="inlineStr"/>
      <c r="E342" s="17" t="inlineStr">
        <is>
          <t>수출여부</t>
        </is>
      </c>
      <c r="F342" s="17" t="inlineStr">
        <is>
          <t>미확인</t>
        </is>
      </c>
      <c r="G342" s="17" t="inlineStr">
        <is>
          <t>웹조사 자동화 실패(세션한도)</t>
        </is>
      </c>
      <c r="H342" s="17" t="inlineStr">
        <is>
          <t>N</t>
        </is>
      </c>
      <c r="I342" s="17" t="inlineStr">
        <is>
          <t>회사 공시·홈페이지</t>
        </is>
      </c>
      <c r="J342" s="17" t="inlineStr">
        <is>
          <t>회사 공시·홈페이지에서 확인</t>
        </is>
      </c>
      <c r="K342" s="17" t="inlineStr">
        <is>
          <t>낮음</t>
        </is>
      </c>
      <c r="L342" s="17" t="inlineStr"/>
    </row>
    <row r="343">
      <c r="A343" s="17" t="inlineStr">
        <is>
          <t>C055</t>
        </is>
      </c>
      <c r="B343" s="17" t="inlineStr"/>
      <c r="C343" s="17" t="inlineStr">
        <is>
          <t>나주신일가스주식회사</t>
        </is>
      </c>
      <c r="D343" s="17" t="inlineStr"/>
      <c r="E343" s="17" t="inlineStr">
        <is>
          <t>FDA·EMA 실사</t>
        </is>
      </c>
      <c r="F343" s="17" t="inlineStr">
        <is>
          <t>미확인</t>
        </is>
      </c>
      <c r="G343" s="17" t="inlineStr">
        <is>
          <t>웹조사 자동화 실패(세션한도)</t>
        </is>
      </c>
      <c r="H343" s="17" t="inlineStr">
        <is>
          <t>N</t>
        </is>
      </c>
      <c r="I343" s="17" t="inlineStr">
        <is>
          <t>FDA Inspection DB</t>
        </is>
      </c>
      <c r="J343" s="17" t="inlineStr">
        <is>
          <t>FDA Inspection DB에서 확인</t>
        </is>
      </c>
      <c r="K343" s="17" t="inlineStr">
        <is>
          <t>낮음</t>
        </is>
      </c>
      <c r="L343" s="17" t="inlineStr"/>
    </row>
    <row r="344">
      <c r="A344" s="17" t="inlineStr">
        <is>
          <t>C055</t>
        </is>
      </c>
      <c r="B344" s="17" t="inlineStr"/>
      <c r="C344" s="17" t="inlineStr">
        <is>
          <t>나주신일가스주식회사</t>
        </is>
      </c>
      <c r="D344" s="17" t="inlineStr"/>
      <c r="E344" s="17" t="inlineStr">
        <is>
          <t>CMO·CDMO</t>
        </is>
      </c>
      <c r="F344" s="17" t="inlineStr">
        <is>
          <t>미확인</t>
        </is>
      </c>
      <c r="G344" s="17" t="inlineStr">
        <is>
          <t>웹조사 자동화 실패(세션한도)</t>
        </is>
      </c>
      <c r="H344" s="17" t="inlineStr">
        <is>
          <t>N</t>
        </is>
      </c>
      <c r="I344" s="17" t="inlineStr">
        <is>
          <t>회사 홈페이지</t>
        </is>
      </c>
      <c r="J344" s="17" t="inlineStr">
        <is>
          <t>회사 홈페이지에서 확인</t>
        </is>
      </c>
      <c r="K344" s="17" t="inlineStr">
        <is>
          <t>낮음</t>
        </is>
      </c>
      <c r="L344" s="17" t="inlineStr"/>
    </row>
    <row r="345">
      <c r="A345" s="17" t="inlineStr">
        <is>
          <t>C055</t>
        </is>
      </c>
      <c r="B345" s="17" t="inlineStr"/>
      <c r="C345" s="17" t="inlineStr">
        <is>
          <t>나주신일가스주식회사</t>
        </is>
      </c>
      <c r="D345" s="17" t="inlineStr"/>
      <c r="E345" s="17" t="inlineStr">
        <is>
          <t>신공장·증설</t>
        </is>
      </c>
      <c r="F345" s="17" t="inlineStr">
        <is>
          <t>미확인</t>
        </is>
      </c>
      <c r="G345" s="17" t="inlineStr">
        <is>
          <t>웹조사 자동화 실패(세션한도)</t>
        </is>
      </c>
      <c r="H345" s="17" t="inlineStr">
        <is>
          <t>N</t>
        </is>
      </c>
      <c r="I345" s="17" t="inlineStr">
        <is>
          <t>언론·지자체 발표</t>
        </is>
      </c>
      <c r="J345" s="17" t="inlineStr">
        <is>
          <t>언론·지자체 발표에서 확인</t>
        </is>
      </c>
      <c r="K345" s="17" t="inlineStr">
        <is>
          <t>낮음</t>
        </is>
      </c>
      <c r="L345" s="17" t="inlineStr"/>
    </row>
    <row r="346">
      <c r="A346" s="17" t="inlineStr">
        <is>
          <t>C056</t>
        </is>
      </c>
      <c r="B346" s="17" t="inlineStr"/>
      <c r="C346" s="17" t="inlineStr">
        <is>
          <t>(주)그린제약</t>
        </is>
      </c>
      <c r="D346" s="17" t="inlineStr"/>
      <c r="E346" s="17" t="inlineStr">
        <is>
          <t>최근매출(억원)</t>
        </is>
      </c>
      <c r="F346" s="17" t="inlineStr">
        <is>
          <t>미확인</t>
        </is>
      </c>
      <c r="G346" s="17" t="inlineStr">
        <is>
          <t>웹조사 자동화 실패(세션한도)</t>
        </is>
      </c>
      <c r="H346" s="17" t="inlineStr">
        <is>
          <t>N</t>
        </is>
      </c>
      <c r="I346" s="17" t="inlineStr">
        <is>
          <t>DART 사업보고서</t>
        </is>
      </c>
      <c r="J346" s="17" t="inlineStr">
        <is>
          <t>DART 사업보고서에서 확인</t>
        </is>
      </c>
      <c r="K346" s="17" t="inlineStr">
        <is>
          <t>낮음</t>
        </is>
      </c>
      <c r="L346" s="17" t="inlineStr"/>
    </row>
    <row r="347">
      <c r="A347" s="17" t="inlineStr">
        <is>
          <t>C056</t>
        </is>
      </c>
      <c r="B347" s="17" t="inlineStr"/>
      <c r="C347" s="17" t="inlineStr">
        <is>
          <t>(주)그린제약</t>
        </is>
      </c>
      <c r="D347" s="17" t="inlineStr"/>
      <c r="E347" s="17" t="inlineStr">
        <is>
          <t>종업원수</t>
        </is>
      </c>
      <c r="F347" s="17" t="inlineStr">
        <is>
          <t>미확인</t>
        </is>
      </c>
      <c r="G347" s="17" t="inlineStr">
        <is>
          <t>웹조사 자동화 실패(세션한도)</t>
        </is>
      </c>
      <c r="H347" s="17" t="inlineStr">
        <is>
          <t>N</t>
        </is>
      </c>
      <c r="I347" s="17" t="inlineStr">
        <is>
          <t>DART/채용</t>
        </is>
      </c>
      <c r="J347" s="17" t="inlineStr">
        <is>
          <t>DART/채용에서 확인</t>
        </is>
      </c>
      <c r="K347" s="17" t="inlineStr">
        <is>
          <t>낮음</t>
        </is>
      </c>
      <c r="L347" s="17" t="inlineStr"/>
    </row>
    <row r="348">
      <c r="A348" s="17" t="inlineStr">
        <is>
          <t>C056</t>
        </is>
      </c>
      <c r="B348" s="17" t="inlineStr"/>
      <c r="C348" s="17" t="inlineStr">
        <is>
          <t>(주)그린제약</t>
        </is>
      </c>
      <c r="D348" s="17" t="inlineStr"/>
      <c r="E348" s="17" t="inlineStr">
        <is>
          <t>수출여부</t>
        </is>
      </c>
      <c r="F348" s="17" t="inlineStr">
        <is>
          <t>미확인</t>
        </is>
      </c>
      <c r="G348" s="17" t="inlineStr">
        <is>
          <t>웹조사 자동화 실패(세션한도)</t>
        </is>
      </c>
      <c r="H348" s="17" t="inlineStr">
        <is>
          <t>N</t>
        </is>
      </c>
      <c r="I348" s="17" t="inlineStr">
        <is>
          <t>회사 공시·홈페이지</t>
        </is>
      </c>
      <c r="J348" s="17" t="inlineStr">
        <is>
          <t>회사 공시·홈페이지에서 확인</t>
        </is>
      </c>
      <c r="K348" s="17" t="inlineStr">
        <is>
          <t>낮음</t>
        </is>
      </c>
      <c r="L348" s="17" t="inlineStr"/>
    </row>
    <row r="349">
      <c r="A349" s="17" t="inlineStr">
        <is>
          <t>C056</t>
        </is>
      </c>
      <c r="B349" s="17" t="inlineStr"/>
      <c r="C349" s="17" t="inlineStr">
        <is>
          <t>(주)그린제약</t>
        </is>
      </c>
      <c r="D349" s="17" t="inlineStr"/>
      <c r="E349" s="17" t="inlineStr">
        <is>
          <t>FDA·EMA 실사</t>
        </is>
      </c>
      <c r="F349" s="17" t="inlineStr">
        <is>
          <t>미확인</t>
        </is>
      </c>
      <c r="G349" s="17" t="inlineStr">
        <is>
          <t>웹조사 자동화 실패(세션한도)</t>
        </is>
      </c>
      <c r="H349" s="17" t="inlineStr">
        <is>
          <t>N</t>
        </is>
      </c>
      <c r="I349" s="17" t="inlineStr">
        <is>
          <t>FDA Inspection DB</t>
        </is>
      </c>
      <c r="J349" s="17" t="inlineStr">
        <is>
          <t>FDA Inspection DB에서 확인</t>
        </is>
      </c>
      <c r="K349" s="17" t="inlineStr">
        <is>
          <t>낮음</t>
        </is>
      </c>
      <c r="L349" s="17" t="inlineStr"/>
    </row>
    <row r="350">
      <c r="A350" s="17" t="inlineStr">
        <is>
          <t>C056</t>
        </is>
      </c>
      <c r="B350" s="17" t="inlineStr"/>
      <c r="C350" s="17" t="inlineStr">
        <is>
          <t>(주)그린제약</t>
        </is>
      </c>
      <c r="D350" s="17" t="inlineStr"/>
      <c r="E350" s="17" t="inlineStr">
        <is>
          <t>CMO·CDMO</t>
        </is>
      </c>
      <c r="F350" s="17" t="inlineStr">
        <is>
          <t>미확인</t>
        </is>
      </c>
      <c r="G350" s="17" t="inlineStr">
        <is>
          <t>웹조사 자동화 실패(세션한도)</t>
        </is>
      </c>
      <c r="H350" s="17" t="inlineStr">
        <is>
          <t>N</t>
        </is>
      </c>
      <c r="I350" s="17" t="inlineStr">
        <is>
          <t>회사 홈페이지</t>
        </is>
      </c>
      <c r="J350" s="17" t="inlineStr">
        <is>
          <t>회사 홈페이지에서 확인</t>
        </is>
      </c>
      <c r="K350" s="17" t="inlineStr">
        <is>
          <t>낮음</t>
        </is>
      </c>
      <c r="L350" s="17" t="inlineStr"/>
    </row>
    <row r="351">
      <c r="A351" s="17" t="inlineStr">
        <is>
          <t>C056</t>
        </is>
      </c>
      <c r="B351" s="17" t="inlineStr"/>
      <c r="C351" s="17" t="inlineStr">
        <is>
          <t>(주)그린제약</t>
        </is>
      </c>
      <c r="D351" s="17" t="inlineStr"/>
      <c r="E351" s="17" t="inlineStr">
        <is>
          <t>신공장·증설</t>
        </is>
      </c>
      <c r="F351" s="17" t="inlineStr">
        <is>
          <t>미확인</t>
        </is>
      </c>
      <c r="G351" s="17" t="inlineStr">
        <is>
          <t>웹조사 자동화 실패(세션한도)</t>
        </is>
      </c>
      <c r="H351" s="17" t="inlineStr">
        <is>
          <t>N</t>
        </is>
      </c>
      <c r="I351" s="17" t="inlineStr">
        <is>
          <t>언론·지자체 발표</t>
        </is>
      </c>
      <c r="J351" s="17" t="inlineStr">
        <is>
          <t>언론·지자체 발표에서 확인</t>
        </is>
      </c>
      <c r="K351" s="17" t="inlineStr">
        <is>
          <t>낮음</t>
        </is>
      </c>
      <c r="L351" s="17" t="inlineStr"/>
    </row>
    <row r="352">
      <c r="A352" s="17" t="inlineStr">
        <is>
          <t>C057</t>
        </is>
      </c>
      <c r="B352" s="17" t="inlineStr"/>
      <c r="C352" s="17" t="inlineStr">
        <is>
          <t>(주)보락</t>
        </is>
      </c>
      <c r="D352" s="17" t="inlineStr"/>
      <c r="E352" s="17" t="inlineStr">
        <is>
          <t>최근매출(억원)</t>
        </is>
      </c>
      <c r="F352" s="17" t="inlineStr">
        <is>
          <t>미확인</t>
        </is>
      </c>
      <c r="G352" s="17" t="inlineStr">
        <is>
          <t>웹조사 자동화 실패(세션한도)</t>
        </is>
      </c>
      <c r="H352" s="17" t="inlineStr">
        <is>
          <t>N</t>
        </is>
      </c>
      <c r="I352" s="17" t="inlineStr">
        <is>
          <t>DART 사업보고서</t>
        </is>
      </c>
      <c r="J352" s="17" t="inlineStr">
        <is>
          <t>DART 사업보고서에서 확인</t>
        </is>
      </c>
      <c r="K352" s="17" t="inlineStr">
        <is>
          <t>낮음</t>
        </is>
      </c>
      <c r="L352" s="17" t="inlineStr"/>
    </row>
    <row r="353">
      <c r="A353" s="17" t="inlineStr">
        <is>
          <t>C057</t>
        </is>
      </c>
      <c r="B353" s="17" t="inlineStr"/>
      <c r="C353" s="17" t="inlineStr">
        <is>
          <t>(주)보락</t>
        </is>
      </c>
      <c r="D353" s="17" t="inlineStr"/>
      <c r="E353" s="17" t="inlineStr">
        <is>
          <t>종업원수</t>
        </is>
      </c>
      <c r="F353" s="17" t="inlineStr">
        <is>
          <t>미확인</t>
        </is>
      </c>
      <c r="G353" s="17" t="inlineStr">
        <is>
          <t>웹조사 자동화 실패(세션한도)</t>
        </is>
      </c>
      <c r="H353" s="17" t="inlineStr">
        <is>
          <t>N</t>
        </is>
      </c>
      <c r="I353" s="17" t="inlineStr">
        <is>
          <t>DART/채용</t>
        </is>
      </c>
      <c r="J353" s="17" t="inlineStr">
        <is>
          <t>DART/채용에서 확인</t>
        </is>
      </c>
      <c r="K353" s="17" t="inlineStr">
        <is>
          <t>낮음</t>
        </is>
      </c>
      <c r="L353" s="17" t="inlineStr"/>
    </row>
    <row r="354">
      <c r="A354" s="17" t="inlineStr">
        <is>
          <t>C057</t>
        </is>
      </c>
      <c r="B354" s="17" t="inlineStr"/>
      <c r="C354" s="17" t="inlineStr">
        <is>
          <t>(주)보락</t>
        </is>
      </c>
      <c r="D354" s="17" t="inlineStr"/>
      <c r="E354" s="17" t="inlineStr">
        <is>
          <t>수출여부</t>
        </is>
      </c>
      <c r="F354" s="17" t="inlineStr">
        <is>
          <t>미확인</t>
        </is>
      </c>
      <c r="G354" s="17" t="inlineStr">
        <is>
          <t>웹조사 자동화 실패(세션한도)</t>
        </is>
      </c>
      <c r="H354" s="17" t="inlineStr">
        <is>
          <t>N</t>
        </is>
      </c>
      <c r="I354" s="17" t="inlineStr">
        <is>
          <t>회사 공시·홈페이지</t>
        </is>
      </c>
      <c r="J354" s="17" t="inlineStr">
        <is>
          <t>회사 공시·홈페이지에서 확인</t>
        </is>
      </c>
      <c r="K354" s="17" t="inlineStr">
        <is>
          <t>낮음</t>
        </is>
      </c>
      <c r="L354" s="17" t="inlineStr"/>
    </row>
    <row r="355">
      <c r="A355" s="17" t="inlineStr">
        <is>
          <t>C057</t>
        </is>
      </c>
      <c r="B355" s="17" t="inlineStr"/>
      <c r="C355" s="17" t="inlineStr">
        <is>
          <t>(주)보락</t>
        </is>
      </c>
      <c r="D355" s="17" t="inlineStr"/>
      <c r="E355" s="17" t="inlineStr">
        <is>
          <t>FDA·EMA 실사</t>
        </is>
      </c>
      <c r="F355" s="17" t="inlineStr">
        <is>
          <t>미확인</t>
        </is>
      </c>
      <c r="G355" s="17" t="inlineStr">
        <is>
          <t>웹조사 자동화 실패(세션한도)</t>
        </is>
      </c>
      <c r="H355" s="17" t="inlineStr">
        <is>
          <t>N</t>
        </is>
      </c>
      <c r="I355" s="17" t="inlineStr">
        <is>
          <t>FDA Inspection DB</t>
        </is>
      </c>
      <c r="J355" s="17" t="inlineStr">
        <is>
          <t>FDA Inspection DB에서 확인</t>
        </is>
      </c>
      <c r="K355" s="17" t="inlineStr">
        <is>
          <t>낮음</t>
        </is>
      </c>
      <c r="L355" s="17" t="inlineStr"/>
    </row>
    <row r="356">
      <c r="A356" s="17" t="inlineStr">
        <is>
          <t>C057</t>
        </is>
      </c>
      <c r="B356" s="17" t="inlineStr"/>
      <c r="C356" s="17" t="inlineStr">
        <is>
          <t>(주)보락</t>
        </is>
      </c>
      <c r="D356" s="17" t="inlineStr"/>
      <c r="E356" s="17" t="inlineStr">
        <is>
          <t>CMO·CDMO</t>
        </is>
      </c>
      <c r="F356" s="17" t="inlineStr">
        <is>
          <t>미확인</t>
        </is>
      </c>
      <c r="G356" s="17" t="inlineStr">
        <is>
          <t>웹조사 자동화 실패(세션한도)</t>
        </is>
      </c>
      <c r="H356" s="17" t="inlineStr">
        <is>
          <t>N</t>
        </is>
      </c>
      <c r="I356" s="17" t="inlineStr">
        <is>
          <t>회사 홈페이지</t>
        </is>
      </c>
      <c r="J356" s="17" t="inlineStr">
        <is>
          <t>회사 홈페이지에서 확인</t>
        </is>
      </c>
      <c r="K356" s="17" t="inlineStr">
        <is>
          <t>낮음</t>
        </is>
      </c>
      <c r="L356" s="17" t="inlineStr"/>
    </row>
    <row r="357">
      <c r="A357" s="17" t="inlineStr">
        <is>
          <t>C057</t>
        </is>
      </c>
      <c r="B357" s="17" t="inlineStr"/>
      <c r="C357" s="17" t="inlineStr">
        <is>
          <t>(주)보락</t>
        </is>
      </c>
      <c r="D357" s="17" t="inlineStr"/>
      <c r="E357" s="17" t="inlineStr">
        <is>
          <t>신공장·증설</t>
        </is>
      </c>
      <c r="F357" s="17" t="inlineStr">
        <is>
          <t>미확인</t>
        </is>
      </c>
      <c r="G357" s="17" t="inlineStr">
        <is>
          <t>웹조사 자동화 실패(세션한도)</t>
        </is>
      </c>
      <c r="H357" s="17" t="inlineStr">
        <is>
          <t>N</t>
        </is>
      </c>
      <c r="I357" s="17" t="inlineStr">
        <is>
          <t>언론·지자체 발표</t>
        </is>
      </c>
      <c r="J357" s="17" t="inlineStr">
        <is>
          <t>언론·지자체 발표에서 확인</t>
        </is>
      </c>
      <c r="K357" s="17" t="inlineStr">
        <is>
          <t>낮음</t>
        </is>
      </c>
      <c r="L357" s="17" t="inlineStr"/>
    </row>
    <row r="358">
      <c r="A358" s="17" t="inlineStr">
        <is>
          <t>C057</t>
        </is>
      </c>
      <c r="B358" s="17" t="inlineStr"/>
      <c r="C358" s="17" t="inlineStr">
        <is>
          <t>(주)보락</t>
        </is>
      </c>
      <c r="D358" s="17" t="inlineStr"/>
      <c r="E358" s="17" t="inlineStr">
        <is>
          <t>대표전화</t>
        </is>
      </c>
      <c r="F358" s="17" t="inlineStr">
        <is>
          <t>미확인</t>
        </is>
      </c>
      <c r="G358" s="17" t="inlineStr">
        <is>
          <t>제조소상세 미매칭</t>
        </is>
      </c>
      <c r="H358" s="17" t="inlineStr">
        <is>
          <t>Y</t>
        </is>
      </c>
      <c r="I358" s="17" t="inlineStr">
        <is>
          <t>회사 홈페이지</t>
        </is>
      </c>
      <c r="J358" s="17" t="inlineStr">
        <is>
          <t>홈페이지에서 대표번호 확인</t>
        </is>
      </c>
      <c r="K358" s="17" t="inlineStr">
        <is>
          <t>낮음</t>
        </is>
      </c>
      <c r="L358" s="17" t="inlineStr"/>
    </row>
    <row r="359">
      <c r="A359" s="17" t="inlineStr">
        <is>
          <t>C058</t>
        </is>
      </c>
      <c r="B359" s="17" t="inlineStr"/>
      <c r="C359" s="17" t="inlineStr">
        <is>
          <t>메디포스트(주)</t>
        </is>
      </c>
      <c r="D359" s="17" t="inlineStr"/>
      <c r="E359" s="17" t="inlineStr">
        <is>
          <t>최근매출(억원)</t>
        </is>
      </c>
      <c r="F359" s="17" t="inlineStr">
        <is>
          <t>미확인</t>
        </is>
      </c>
      <c r="G359" s="17" t="inlineStr">
        <is>
          <t>웹조사 자동화 실패(세션한도)</t>
        </is>
      </c>
      <c r="H359" s="17" t="inlineStr">
        <is>
          <t>N</t>
        </is>
      </c>
      <c r="I359" s="17" t="inlineStr">
        <is>
          <t>DART 사업보고서</t>
        </is>
      </c>
      <c r="J359" s="17" t="inlineStr">
        <is>
          <t>DART 사업보고서에서 확인</t>
        </is>
      </c>
      <c r="K359" s="17" t="inlineStr">
        <is>
          <t>낮음</t>
        </is>
      </c>
      <c r="L359" s="17" t="inlineStr"/>
    </row>
    <row r="360">
      <c r="A360" s="17" t="inlineStr">
        <is>
          <t>C058</t>
        </is>
      </c>
      <c r="B360" s="17" t="inlineStr"/>
      <c r="C360" s="17" t="inlineStr">
        <is>
          <t>메디포스트(주)</t>
        </is>
      </c>
      <c r="D360" s="17" t="inlineStr"/>
      <c r="E360" s="17" t="inlineStr">
        <is>
          <t>종업원수</t>
        </is>
      </c>
      <c r="F360" s="17" t="inlineStr">
        <is>
          <t>미확인</t>
        </is>
      </c>
      <c r="G360" s="17" t="inlineStr">
        <is>
          <t>웹조사 자동화 실패(세션한도)</t>
        </is>
      </c>
      <c r="H360" s="17" t="inlineStr">
        <is>
          <t>N</t>
        </is>
      </c>
      <c r="I360" s="17" t="inlineStr">
        <is>
          <t>DART/채용</t>
        </is>
      </c>
      <c r="J360" s="17" t="inlineStr">
        <is>
          <t>DART/채용에서 확인</t>
        </is>
      </c>
      <c r="K360" s="17" t="inlineStr">
        <is>
          <t>낮음</t>
        </is>
      </c>
      <c r="L360" s="17" t="inlineStr"/>
    </row>
    <row r="361">
      <c r="A361" s="17" t="inlineStr">
        <is>
          <t>C058</t>
        </is>
      </c>
      <c r="B361" s="17" t="inlineStr"/>
      <c r="C361" s="17" t="inlineStr">
        <is>
          <t>메디포스트(주)</t>
        </is>
      </c>
      <c r="D361" s="17" t="inlineStr"/>
      <c r="E361" s="17" t="inlineStr">
        <is>
          <t>수출여부</t>
        </is>
      </c>
      <c r="F361" s="17" t="inlineStr">
        <is>
          <t>미확인</t>
        </is>
      </c>
      <c r="G361" s="17" t="inlineStr">
        <is>
          <t>웹조사 자동화 실패(세션한도)</t>
        </is>
      </c>
      <c r="H361" s="17" t="inlineStr">
        <is>
          <t>N</t>
        </is>
      </c>
      <c r="I361" s="17" t="inlineStr">
        <is>
          <t>회사 공시·홈페이지</t>
        </is>
      </c>
      <c r="J361" s="17" t="inlineStr">
        <is>
          <t>회사 공시·홈페이지에서 확인</t>
        </is>
      </c>
      <c r="K361" s="17" t="inlineStr">
        <is>
          <t>낮음</t>
        </is>
      </c>
      <c r="L361" s="17" t="inlineStr"/>
    </row>
    <row r="362">
      <c r="A362" s="17" t="inlineStr">
        <is>
          <t>C058</t>
        </is>
      </c>
      <c r="B362" s="17" t="inlineStr"/>
      <c r="C362" s="17" t="inlineStr">
        <is>
          <t>메디포스트(주)</t>
        </is>
      </c>
      <c r="D362" s="17" t="inlineStr"/>
      <c r="E362" s="17" t="inlineStr">
        <is>
          <t>FDA·EMA 실사</t>
        </is>
      </c>
      <c r="F362" s="17" t="inlineStr">
        <is>
          <t>미확인</t>
        </is>
      </c>
      <c r="G362" s="17" t="inlineStr">
        <is>
          <t>웹조사 자동화 실패(세션한도)</t>
        </is>
      </c>
      <c r="H362" s="17" t="inlineStr">
        <is>
          <t>N</t>
        </is>
      </c>
      <c r="I362" s="17" t="inlineStr">
        <is>
          <t>FDA Inspection DB</t>
        </is>
      </c>
      <c r="J362" s="17" t="inlineStr">
        <is>
          <t>FDA Inspection DB에서 확인</t>
        </is>
      </c>
      <c r="K362" s="17" t="inlineStr">
        <is>
          <t>낮음</t>
        </is>
      </c>
      <c r="L362" s="17" t="inlineStr"/>
    </row>
    <row r="363">
      <c r="A363" s="17" t="inlineStr">
        <is>
          <t>C058</t>
        </is>
      </c>
      <c r="B363" s="17" t="inlineStr"/>
      <c r="C363" s="17" t="inlineStr">
        <is>
          <t>메디포스트(주)</t>
        </is>
      </c>
      <c r="D363" s="17" t="inlineStr"/>
      <c r="E363" s="17" t="inlineStr">
        <is>
          <t>CMO·CDMO</t>
        </is>
      </c>
      <c r="F363" s="17" t="inlineStr">
        <is>
          <t>미확인</t>
        </is>
      </c>
      <c r="G363" s="17" t="inlineStr">
        <is>
          <t>웹조사 자동화 실패(세션한도)</t>
        </is>
      </c>
      <c r="H363" s="17" t="inlineStr">
        <is>
          <t>N</t>
        </is>
      </c>
      <c r="I363" s="17" t="inlineStr">
        <is>
          <t>회사 홈페이지</t>
        </is>
      </c>
      <c r="J363" s="17" t="inlineStr">
        <is>
          <t>회사 홈페이지에서 확인</t>
        </is>
      </c>
      <c r="K363" s="17" t="inlineStr">
        <is>
          <t>낮음</t>
        </is>
      </c>
      <c r="L363" s="17" t="inlineStr"/>
    </row>
    <row r="364">
      <c r="A364" s="17" t="inlineStr">
        <is>
          <t>C058</t>
        </is>
      </c>
      <c r="B364" s="17" t="inlineStr"/>
      <c r="C364" s="17" t="inlineStr">
        <is>
          <t>메디포스트(주)</t>
        </is>
      </c>
      <c r="D364" s="17" t="inlineStr"/>
      <c r="E364" s="17" t="inlineStr">
        <is>
          <t>신공장·증설</t>
        </is>
      </c>
      <c r="F364" s="17" t="inlineStr">
        <is>
          <t>미확인</t>
        </is>
      </c>
      <c r="G364" s="17" t="inlineStr">
        <is>
          <t>웹조사 자동화 실패(세션한도)</t>
        </is>
      </c>
      <c r="H364" s="17" t="inlineStr">
        <is>
          <t>N</t>
        </is>
      </c>
      <c r="I364" s="17" t="inlineStr">
        <is>
          <t>언론·지자체 발표</t>
        </is>
      </c>
      <c r="J364" s="17" t="inlineStr">
        <is>
          <t>언론·지자체 발표에서 확인</t>
        </is>
      </c>
      <c r="K364" s="17" t="inlineStr">
        <is>
          <t>낮음</t>
        </is>
      </c>
      <c r="L364" s="17" t="inlineStr"/>
    </row>
    <row r="365">
      <c r="A365" s="17" t="inlineStr">
        <is>
          <t>C058</t>
        </is>
      </c>
      <c r="B365" s="17" t="inlineStr"/>
      <c r="C365" s="17" t="inlineStr">
        <is>
          <t>메디포스트(주)</t>
        </is>
      </c>
      <c r="D365" s="17" t="inlineStr"/>
      <c r="E365" s="17" t="inlineStr">
        <is>
          <t>대표전화</t>
        </is>
      </c>
      <c r="F365" s="17" t="inlineStr">
        <is>
          <t>미확인</t>
        </is>
      </c>
      <c r="G365" s="17" t="inlineStr">
        <is>
          <t>제조소상세 미매칭</t>
        </is>
      </c>
      <c r="H365" s="17" t="inlineStr">
        <is>
          <t>Y</t>
        </is>
      </c>
      <c r="I365" s="17" t="inlineStr">
        <is>
          <t>회사 홈페이지</t>
        </is>
      </c>
      <c r="J365" s="17" t="inlineStr">
        <is>
          <t>홈페이지에서 대표번호 확인</t>
        </is>
      </c>
      <c r="K365" s="17" t="inlineStr">
        <is>
          <t>낮음</t>
        </is>
      </c>
      <c r="L365" s="17" t="inlineStr"/>
    </row>
    <row r="366">
      <c r="A366" s="17" t="inlineStr">
        <is>
          <t>C059</t>
        </is>
      </c>
      <c r="B366" s="17" t="inlineStr"/>
      <c r="C366" s="17" t="inlineStr">
        <is>
          <t>한국프라임제약(주)</t>
        </is>
      </c>
      <c r="D366" s="17" t="inlineStr"/>
      <c r="E366" s="17" t="inlineStr">
        <is>
          <t>최근매출(억원)</t>
        </is>
      </c>
      <c r="F366" s="17" t="inlineStr">
        <is>
          <t>미확인</t>
        </is>
      </c>
      <c r="G366" s="17" t="inlineStr">
        <is>
          <t>웹조사 자동화 실패(세션한도)</t>
        </is>
      </c>
      <c r="H366" s="17" t="inlineStr">
        <is>
          <t>N</t>
        </is>
      </c>
      <c r="I366" s="17" t="inlineStr">
        <is>
          <t>DART 사업보고서</t>
        </is>
      </c>
      <c r="J366" s="17" t="inlineStr">
        <is>
          <t>DART 사업보고서에서 확인</t>
        </is>
      </c>
      <c r="K366" s="17" t="inlineStr">
        <is>
          <t>낮음</t>
        </is>
      </c>
      <c r="L366" s="17" t="inlineStr"/>
    </row>
    <row r="367">
      <c r="A367" s="17" t="inlineStr">
        <is>
          <t>C059</t>
        </is>
      </c>
      <c r="B367" s="17" t="inlineStr"/>
      <c r="C367" s="17" t="inlineStr">
        <is>
          <t>한국프라임제약(주)</t>
        </is>
      </c>
      <c r="D367" s="17" t="inlineStr"/>
      <c r="E367" s="17" t="inlineStr">
        <is>
          <t>종업원수</t>
        </is>
      </c>
      <c r="F367" s="17" t="inlineStr">
        <is>
          <t>미확인</t>
        </is>
      </c>
      <c r="G367" s="17" t="inlineStr">
        <is>
          <t>웹조사 자동화 실패(세션한도)</t>
        </is>
      </c>
      <c r="H367" s="17" t="inlineStr">
        <is>
          <t>N</t>
        </is>
      </c>
      <c r="I367" s="17" t="inlineStr">
        <is>
          <t>DART/채용</t>
        </is>
      </c>
      <c r="J367" s="17" t="inlineStr">
        <is>
          <t>DART/채용에서 확인</t>
        </is>
      </c>
      <c r="K367" s="17" t="inlineStr">
        <is>
          <t>낮음</t>
        </is>
      </c>
      <c r="L367" s="17" t="inlineStr"/>
    </row>
    <row r="368">
      <c r="A368" s="17" t="inlineStr">
        <is>
          <t>C059</t>
        </is>
      </c>
      <c r="B368" s="17" t="inlineStr"/>
      <c r="C368" s="17" t="inlineStr">
        <is>
          <t>한국프라임제약(주)</t>
        </is>
      </c>
      <c r="D368" s="17" t="inlineStr"/>
      <c r="E368" s="17" t="inlineStr">
        <is>
          <t>수출여부</t>
        </is>
      </c>
      <c r="F368" s="17" t="inlineStr">
        <is>
          <t>미확인</t>
        </is>
      </c>
      <c r="G368" s="17" t="inlineStr">
        <is>
          <t>웹조사 자동화 실패(세션한도)</t>
        </is>
      </c>
      <c r="H368" s="17" t="inlineStr">
        <is>
          <t>N</t>
        </is>
      </c>
      <c r="I368" s="17" t="inlineStr">
        <is>
          <t>회사 공시·홈페이지</t>
        </is>
      </c>
      <c r="J368" s="17" t="inlineStr">
        <is>
          <t>회사 공시·홈페이지에서 확인</t>
        </is>
      </c>
      <c r="K368" s="17" t="inlineStr">
        <is>
          <t>낮음</t>
        </is>
      </c>
      <c r="L368" s="17" t="inlineStr"/>
    </row>
    <row r="369">
      <c r="A369" s="17" t="inlineStr">
        <is>
          <t>C059</t>
        </is>
      </c>
      <c r="B369" s="17" t="inlineStr"/>
      <c r="C369" s="17" t="inlineStr">
        <is>
          <t>한국프라임제약(주)</t>
        </is>
      </c>
      <c r="D369" s="17" t="inlineStr"/>
      <c r="E369" s="17" t="inlineStr">
        <is>
          <t>FDA·EMA 실사</t>
        </is>
      </c>
      <c r="F369" s="17" t="inlineStr">
        <is>
          <t>미확인</t>
        </is>
      </c>
      <c r="G369" s="17" t="inlineStr">
        <is>
          <t>웹조사 자동화 실패(세션한도)</t>
        </is>
      </c>
      <c r="H369" s="17" t="inlineStr">
        <is>
          <t>N</t>
        </is>
      </c>
      <c r="I369" s="17" t="inlineStr">
        <is>
          <t>FDA Inspection DB</t>
        </is>
      </c>
      <c r="J369" s="17" t="inlineStr">
        <is>
          <t>FDA Inspection DB에서 확인</t>
        </is>
      </c>
      <c r="K369" s="17" t="inlineStr">
        <is>
          <t>낮음</t>
        </is>
      </c>
      <c r="L369" s="17" t="inlineStr"/>
    </row>
    <row r="370">
      <c r="A370" s="17" t="inlineStr">
        <is>
          <t>C059</t>
        </is>
      </c>
      <c r="B370" s="17" t="inlineStr"/>
      <c r="C370" s="17" t="inlineStr">
        <is>
          <t>한국프라임제약(주)</t>
        </is>
      </c>
      <c r="D370" s="17" t="inlineStr"/>
      <c r="E370" s="17" t="inlineStr">
        <is>
          <t>CMO·CDMO</t>
        </is>
      </c>
      <c r="F370" s="17" t="inlineStr">
        <is>
          <t>미확인</t>
        </is>
      </c>
      <c r="G370" s="17" t="inlineStr">
        <is>
          <t>웹조사 자동화 실패(세션한도)</t>
        </is>
      </c>
      <c r="H370" s="17" t="inlineStr">
        <is>
          <t>N</t>
        </is>
      </c>
      <c r="I370" s="17" t="inlineStr">
        <is>
          <t>회사 홈페이지</t>
        </is>
      </c>
      <c r="J370" s="17" t="inlineStr">
        <is>
          <t>회사 홈페이지에서 확인</t>
        </is>
      </c>
      <c r="K370" s="17" t="inlineStr">
        <is>
          <t>낮음</t>
        </is>
      </c>
      <c r="L370" s="17" t="inlineStr"/>
    </row>
    <row r="371">
      <c r="A371" s="17" t="inlineStr">
        <is>
          <t>C059</t>
        </is>
      </c>
      <c r="B371" s="17" t="inlineStr"/>
      <c r="C371" s="17" t="inlineStr">
        <is>
          <t>한국프라임제약(주)</t>
        </is>
      </c>
      <c r="D371" s="17" t="inlineStr"/>
      <c r="E371" s="17" t="inlineStr">
        <is>
          <t>신공장·증설</t>
        </is>
      </c>
      <c r="F371" s="17" t="inlineStr">
        <is>
          <t>미확인</t>
        </is>
      </c>
      <c r="G371" s="17" t="inlineStr">
        <is>
          <t>웹조사 자동화 실패(세션한도)</t>
        </is>
      </c>
      <c r="H371" s="17" t="inlineStr">
        <is>
          <t>N</t>
        </is>
      </c>
      <c r="I371" s="17" t="inlineStr">
        <is>
          <t>언론·지자체 발표</t>
        </is>
      </c>
      <c r="J371" s="17" t="inlineStr">
        <is>
          <t>언론·지자체 발표에서 확인</t>
        </is>
      </c>
      <c r="K371" s="17" t="inlineStr">
        <is>
          <t>낮음</t>
        </is>
      </c>
      <c r="L371" s="17" t="inlineStr"/>
    </row>
    <row r="372">
      <c r="A372" s="17" t="inlineStr">
        <is>
          <t>C059</t>
        </is>
      </c>
      <c r="B372" s="17" t="inlineStr"/>
      <c r="C372" s="17" t="inlineStr">
        <is>
          <t>한국프라임제약(주)</t>
        </is>
      </c>
      <c r="D372" s="17" t="inlineStr"/>
      <c r="E372" s="17" t="inlineStr">
        <is>
          <t>대표전화</t>
        </is>
      </c>
      <c r="F372" s="17" t="inlineStr">
        <is>
          <t>미확인</t>
        </is>
      </c>
      <c r="G372" s="17" t="inlineStr">
        <is>
          <t>제조소상세 미매칭</t>
        </is>
      </c>
      <c r="H372" s="17" t="inlineStr">
        <is>
          <t>Y</t>
        </is>
      </c>
      <c r="I372" s="17" t="inlineStr">
        <is>
          <t>회사 홈페이지</t>
        </is>
      </c>
      <c r="J372" s="17" t="inlineStr">
        <is>
          <t>홈페이지에서 대표번호 확인</t>
        </is>
      </c>
      <c r="K372" s="17" t="inlineStr">
        <is>
          <t>낮음</t>
        </is>
      </c>
      <c r="L372" s="17" t="inlineStr"/>
    </row>
    <row r="373">
      <c r="A373" s="17" t="inlineStr">
        <is>
          <t>C060</t>
        </is>
      </c>
      <c r="B373" s="17" t="inlineStr"/>
      <c r="C373" s="17" t="inlineStr">
        <is>
          <t>(주)제테마</t>
        </is>
      </c>
      <c r="D373" s="17" t="inlineStr"/>
      <c r="E373" s="17" t="inlineStr">
        <is>
          <t>최근매출(억원)</t>
        </is>
      </c>
      <c r="F373" s="17" t="inlineStr">
        <is>
          <t>미확인</t>
        </is>
      </c>
      <c r="G373" s="17" t="inlineStr">
        <is>
          <t>웹조사 자동화 실패(세션한도)</t>
        </is>
      </c>
      <c r="H373" s="17" t="inlineStr">
        <is>
          <t>N</t>
        </is>
      </c>
      <c r="I373" s="17" t="inlineStr">
        <is>
          <t>DART 사업보고서</t>
        </is>
      </c>
      <c r="J373" s="17" t="inlineStr">
        <is>
          <t>DART 사업보고서에서 확인</t>
        </is>
      </c>
      <c r="K373" s="17" t="inlineStr">
        <is>
          <t>낮음</t>
        </is>
      </c>
      <c r="L373" s="17" t="inlineStr"/>
    </row>
    <row r="374">
      <c r="A374" s="17" t="inlineStr">
        <is>
          <t>C060</t>
        </is>
      </c>
      <c r="B374" s="17" t="inlineStr"/>
      <c r="C374" s="17" t="inlineStr">
        <is>
          <t>(주)제테마</t>
        </is>
      </c>
      <c r="D374" s="17" t="inlineStr"/>
      <c r="E374" s="17" t="inlineStr">
        <is>
          <t>종업원수</t>
        </is>
      </c>
      <c r="F374" s="17" t="inlineStr">
        <is>
          <t>미확인</t>
        </is>
      </c>
      <c r="G374" s="17" t="inlineStr">
        <is>
          <t>웹조사 자동화 실패(세션한도)</t>
        </is>
      </c>
      <c r="H374" s="17" t="inlineStr">
        <is>
          <t>N</t>
        </is>
      </c>
      <c r="I374" s="17" t="inlineStr">
        <is>
          <t>DART/채용</t>
        </is>
      </c>
      <c r="J374" s="17" t="inlineStr">
        <is>
          <t>DART/채용에서 확인</t>
        </is>
      </c>
      <c r="K374" s="17" t="inlineStr">
        <is>
          <t>낮음</t>
        </is>
      </c>
      <c r="L374" s="17" t="inlineStr"/>
    </row>
    <row r="375">
      <c r="A375" s="17" t="inlineStr">
        <is>
          <t>C060</t>
        </is>
      </c>
      <c r="B375" s="17" t="inlineStr"/>
      <c r="C375" s="17" t="inlineStr">
        <is>
          <t>(주)제테마</t>
        </is>
      </c>
      <c r="D375" s="17" t="inlineStr"/>
      <c r="E375" s="17" t="inlineStr">
        <is>
          <t>수출여부</t>
        </is>
      </c>
      <c r="F375" s="17" t="inlineStr">
        <is>
          <t>미확인</t>
        </is>
      </c>
      <c r="G375" s="17" t="inlineStr">
        <is>
          <t>웹조사 자동화 실패(세션한도)</t>
        </is>
      </c>
      <c r="H375" s="17" t="inlineStr">
        <is>
          <t>N</t>
        </is>
      </c>
      <c r="I375" s="17" t="inlineStr">
        <is>
          <t>회사 공시·홈페이지</t>
        </is>
      </c>
      <c r="J375" s="17" t="inlineStr">
        <is>
          <t>회사 공시·홈페이지에서 확인</t>
        </is>
      </c>
      <c r="K375" s="17" t="inlineStr">
        <is>
          <t>낮음</t>
        </is>
      </c>
      <c r="L375" s="17" t="inlineStr"/>
    </row>
    <row r="376">
      <c r="A376" s="17" t="inlineStr">
        <is>
          <t>C060</t>
        </is>
      </c>
      <c r="B376" s="17" t="inlineStr"/>
      <c r="C376" s="17" t="inlineStr">
        <is>
          <t>(주)제테마</t>
        </is>
      </c>
      <c r="D376" s="17" t="inlineStr"/>
      <c r="E376" s="17" t="inlineStr">
        <is>
          <t>FDA·EMA 실사</t>
        </is>
      </c>
      <c r="F376" s="17" t="inlineStr">
        <is>
          <t>미확인</t>
        </is>
      </c>
      <c r="G376" s="17" t="inlineStr">
        <is>
          <t>웹조사 자동화 실패(세션한도)</t>
        </is>
      </c>
      <c r="H376" s="17" t="inlineStr">
        <is>
          <t>N</t>
        </is>
      </c>
      <c r="I376" s="17" t="inlineStr">
        <is>
          <t>FDA Inspection DB</t>
        </is>
      </c>
      <c r="J376" s="17" t="inlineStr">
        <is>
          <t>FDA Inspection DB에서 확인</t>
        </is>
      </c>
      <c r="K376" s="17" t="inlineStr">
        <is>
          <t>낮음</t>
        </is>
      </c>
      <c r="L376" s="17" t="inlineStr"/>
    </row>
    <row r="377">
      <c r="A377" s="17" t="inlineStr">
        <is>
          <t>C060</t>
        </is>
      </c>
      <c r="B377" s="17" t="inlineStr"/>
      <c r="C377" s="17" t="inlineStr">
        <is>
          <t>(주)제테마</t>
        </is>
      </c>
      <c r="D377" s="17" t="inlineStr"/>
      <c r="E377" s="17" t="inlineStr">
        <is>
          <t>CMO·CDMO</t>
        </is>
      </c>
      <c r="F377" s="17" t="inlineStr">
        <is>
          <t>미확인</t>
        </is>
      </c>
      <c r="G377" s="17" t="inlineStr">
        <is>
          <t>웹조사 자동화 실패(세션한도)</t>
        </is>
      </c>
      <c r="H377" s="17" t="inlineStr">
        <is>
          <t>N</t>
        </is>
      </c>
      <c r="I377" s="17" t="inlineStr">
        <is>
          <t>회사 홈페이지</t>
        </is>
      </c>
      <c r="J377" s="17" t="inlineStr">
        <is>
          <t>회사 홈페이지에서 확인</t>
        </is>
      </c>
      <c r="K377" s="17" t="inlineStr">
        <is>
          <t>낮음</t>
        </is>
      </c>
      <c r="L377" s="17" t="inlineStr"/>
    </row>
    <row r="378">
      <c r="A378" s="17" t="inlineStr">
        <is>
          <t>C060</t>
        </is>
      </c>
      <c r="B378" s="17" t="inlineStr"/>
      <c r="C378" s="17" t="inlineStr">
        <is>
          <t>(주)제테마</t>
        </is>
      </c>
      <c r="D378" s="17" t="inlineStr"/>
      <c r="E378" s="17" t="inlineStr">
        <is>
          <t>신공장·증설</t>
        </is>
      </c>
      <c r="F378" s="17" t="inlineStr">
        <is>
          <t>미확인</t>
        </is>
      </c>
      <c r="G378" s="17" t="inlineStr">
        <is>
          <t>웹조사 자동화 실패(세션한도)</t>
        </is>
      </c>
      <c r="H378" s="17" t="inlineStr">
        <is>
          <t>N</t>
        </is>
      </c>
      <c r="I378" s="17" t="inlineStr">
        <is>
          <t>언론·지자체 발표</t>
        </is>
      </c>
      <c r="J378" s="17" t="inlineStr">
        <is>
          <t>언론·지자체 발표에서 확인</t>
        </is>
      </c>
      <c r="K378" s="17" t="inlineStr">
        <is>
          <t>낮음</t>
        </is>
      </c>
      <c r="L378" s="17" t="inlineStr"/>
    </row>
    <row r="379">
      <c r="A379" s="17" t="inlineStr">
        <is>
          <t>C060</t>
        </is>
      </c>
      <c r="B379" s="17" t="inlineStr"/>
      <c r="C379" s="17" t="inlineStr">
        <is>
          <t>(주)제테마</t>
        </is>
      </c>
      <c r="D379" s="17" t="inlineStr"/>
      <c r="E379" s="17" t="inlineStr">
        <is>
          <t>대표전화</t>
        </is>
      </c>
      <c r="F379" s="17" t="inlineStr">
        <is>
          <t>미확인</t>
        </is>
      </c>
      <c r="G379" s="17" t="inlineStr">
        <is>
          <t>제조소상세 미매칭</t>
        </is>
      </c>
      <c r="H379" s="17" t="inlineStr">
        <is>
          <t>Y</t>
        </is>
      </c>
      <c r="I379" s="17" t="inlineStr">
        <is>
          <t>회사 홈페이지</t>
        </is>
      </c>
      <c r="J379" s="17" t="inlineStr">
        <is>
          <t>홈페이지에서 대표번호 확인</t>
        </is>
      </c>
      <c r="K379" s="17" t="inlineStr">
        <is>
          <t>낮음</t>
        </is>
      </c>
      <c r="L379" s="17" t="inlineStr"/>
    </row>
    <row r="380">
      <c r="A380" s="17" t="inlineStr">
        <is>
          <t>C061</t>
        </is>
      </c>
      <c r="B380" s="17" t="inlineStr"/>
      <c r="C380" s="17" t="inlineStr">
        <is>
          <t>(주)시어스제약</t>
        </is>
      </c>
      <c r="D380" s="17" t="inlineStr"/>
      <c r="E380" s="17" t="inlineStr">
        <is>
          <t>최근매출(억원)</t>
        </is>
      </c>
      <c r="F380" s="17" t="inlineStr">
        <is>
          <t>미확인</t>
        </is>
      </c>
      <c r="G380" s="17" t="inlineStr">
        <is>
          <t>웹조사 자동화 실패(세션한도)</t>
        </is>
      </c>
      <c r="H380" s="17" t="inlineStr">
        <is>
          <t>N</t>
        </is>
      </c>
      <c r="I380" s="17" t="inlineStr">
        <is>
          <t>DART 사업보고서</t>
        </is>
      </c>
      <c r="J380" s="17" t="inlineStr">
        <is>
          <t>DART 사업보고서에서 확인</t>
        </is>
      </c>
      <c r="K380" s="17" t="inlineStr">
        <is>
          <t>낮음</t>
        </is>
      </c>
      <c r="L380" s="17" t="inlineStr"/>
    </row>
    <row r="381">
      <c r="A381" s="17" t="inlineStr">
        <is>
          <t>C061</t>
        </is>
      </c>
      <c r="B381" s="17" t="inlineStr"/>
      <c r="C381" s="17" t="inlineStr">
        <is>
          <t>(주)시어스제약</t>
        </is>
      </c>
      <c r="D381" s="17" t="inlineStr"/>
      <c r="E381" s="17" t="inlineStr">
        <is>
          <t>종업원수</t>
        </is>
      </c>
      <c r="F381" s="17" t="inlineStr">
        <is>
          <t>미확인</t>
        </is>
      </c>
      <c r="G381" s="17" t="inlineStr">
        <is>
          <t>웹조사 자동화 실패(세션한도)</t>
        </is>
      </c>
      <c r="H381" s="17" t="inlineStr">
        <is>
          <t>N</t>
        </is>
      </c>
      <c r="I381" s="17" t="inlineStr">
        <is>
          <t>DART/채용</t>
        </is>
      </c>
      <c r="J381" s="17" t="inlineStr">
        <is>
          <t>DART/채용에서 확인</t>
        </is>
      </c>
      <c r="K381" s="17" t="inlineStr">
        <is>
          <t>낮음</t>
        </is>
      </c>
      <c r="L381" s="17" t="inlineStr"/>
    </row>
    <row r="382">
      <c r="A382" s="17" t="inlineStr">
        <is>
          <t>C061</t>
        </is>
      </c>
      <c r="B382" s="17" t="inlineStr"/>
      <c r="C382" s="17" t="inlineStr">
        <is>
          <t>(주)시어스제약</t>
        </is>
      </c>
      <c r="D382" s="17" t="inlineStr"/>
      <c r="E382" s="17" t="inlineStr">
        <is>
          <t>수출여부</t>
        </is>
      </c>
      <c r="F382" s="17" t="inlineStr">
        <is>
          <t>미확인</t>
        </is>
      </c>
      <c r="G382" s="17" t="inlineStr">
        <is>
          <t>웹조사 자동화 실패(세션한도)</t>
        </is>
      </c>
      <c r="H382" s="17" t="inlineStr">
        <is>
          <t>N</t>
        </is>
      </c>
      <c r="I382" s="17" t="inlineStr">
        <is>
          <t>회사 공시·홈페이지</t>
        </is>
      </c>
      <c r="J382" s="17" t="inlineStr">
        <is>
          <t>회사 공시·홈페이지에서 확인</t>
        </is>
      </c>
      <c r="K382" s="17" t="inlineStr">
        <is>
          <t>낮음</t>
        </is>
      </c>
      <c r="L382" s="17" t="inlineStr"/>
    </row>
    <row r="383">
      <c r="A383" s="17" t="inlineStr">
        <is>
          <t>C061</t>
        </is>
      </c>
      <c r="B383" s="17" t="inlineStr"/>
      <c r="C383" s="17" t="inlineStr">
        <is>
          <t>(주)시어스제약</t>
        </is>
      </c>
      <c r="D383" s="17" t="inlineStr"/>
      <c r="E383" s="17" t="inlineStr">
        <is>
          <t>FDA·EMA 실사</t>
        </is>
      </c>
      <c r="F383" s="17" t="inlineStr">
        <is>
          <t>미확인</t>
        </is>
      </c>
      <c r="G383" s="17" t="inlineStr">
        <is>
          <t>웹조사 자동화 실패(세션한도)</t>
        </is>
      </c>
      <c r="H383" s="17" t="inlineStr">
        <is>
          <t>N</t>
        </is>
      </c>
      <c r="I383" s="17" t="inlineStr">
        <is>
          <t>FDA Inspection DB</t>
        </is>
      </c>
      <c r="J383" s="17" t="inlineStr">
        <is>
          <t>FDA Inspection DB에서 확인</t>
        </is>
      </c>
      <c r="K383" s="17" t="inlineStr">
        <is>
          <t>낮음</t>
        </is>
      </c>
      <c r="L383" s="17" t="inlineStr"/>
    </row>
    <row r="384">
      <c r="A384" s="17" t="inlineStr">
        <is>
          <t>C061</t>
        </is>
      </c>
      <c r="B384" s="17" t="inlineStr"/>
      <c r="C384" s="17" t="inlineStr">
        <is>
          <t>(주)시어스제약</t>
        </is>
      </c>
      <c r="D384" s="17" t="inlineStr"/>
      <c r="E384" s="17" t="inlineStr">
        <is>
          <t>CMO·CDMO</t>
        </is>
      </c>
      <c r="F384" s="17" t="inlineStr">
        <is>
          <t>미확인</t>
        </is>
      </c>
      <c r="G384" s="17" t="inlineStr">
        <is>
          <t>웹조사 자동화 실패(세션한도)</t>
        </is>
      </c>
      <c r="H384" s="17" t="inlineStr">
        <is>
          <t>N</t>
        </is>
      </c>
      <c r="I384" s="17" t="inlineStr">
        <is>
          <t>회사 홈페이지</t>
        </is>
      </c>
      <c r="J384" s="17" t="inlineStr">
        <is>
          <t>회사 홈페이지에서 확인</t>
        </is>
      </c>
      <c r="K384" s="17" t="inlineStr">
        <is>
          <t>낮음</t>
        </is>
      </c>
      <c r="L384" s="17" t="inlineStr"/>
    </row>
    <row r="385">
      <c r="A385" s="17" t="inlineStr">
        <is>
          <t>C061</t>
        </is>
      </c>
      <c r="B385" s="17" t="inlineStr"/>
      <c r="C385" s="17" t="inlineStr">
        <is>
          <t>(주)시어스제약</t>
        </is>
      </c>
      <c r="D385" s="17" t="inlineStr"/>
      <c r="E385" s="17" t="inlineStr">
        <is>
          <t>신공장·증설</t>
        </is>
      </c>
      <c r="F385" s="17" t="inlineStr">
        <is>
          <t>미확인</t>
        </is>
      </c>
      <c r="G385" s="17" t="inlineStr">
        <is>
          <t>웹조사 자동화 실패(세션한도)</t>
        </is>
      </c>
      <c r="H385" s="17" t="inlineStr">
        <is>
          <t>N</t>
        </is>
      </c>
      <c r="I385" s="17" t="inlineStr">
        <is>
          <t>언론·지자체 발표</t>
        </is>
      </c>
      <c r="J385" s="17" t="inlineStr">
        <is>
          <t>언론·지자체 발표에서 확인</t>
        </is>
      </c>
      <c r="K385" s="17" t="inlineStr">
        <is>
          <t>낮음</t>
        </is>
      </c>
      <c r="L385" s="17" t="inlineStr"/>
    </row>
    <row r="386">
      <c r="A386" s="17" t="inlineStr">
        <is>
          <t>C062</t>
        </is>
      </c>
      <c r="B386" s="17" t="inlineStr"/>
      <c r="C386" s="17" t="inlineStr">
        <is>
          <t>동국생명과학(주)</t>
        </is>
      </c>
      <c r="D386" s="17" t="inlineStr"/>
      <c r="E386" s="17" t="inlineStr">
        <is>
          <t>최근매출(억원)</t>
        </is>
      </c>
      <c r="F386" s="17" t="inlineStr">
        <is>
          <t>미확인</t>
        </is>
      </c>
      <c r="G386" s="17" t="inlineStr">
        <is>
          <t>웹조사 자동화 실패(세션한도)</t>
        </is>
      </c>
      <c r="H386" s="17" t="inlineStr">
        <is>
          <t>N</t>
        </is>
      </c>
      <c r="I386" s="17" t="inlineStr">
        <is>
          <t>DART 사업보고서</t>
        </is>
      </c>
      <c r="J386" s="17" t="inlineStr">
        <is>
          <t>DART 사업보고서에서 확인</t>
        </is>
      </c>
      <c r="K386" s="17" t="inlineStr">
        <is>
          <t>낮음</t>
        </is>
      </c>
      <c r="L386" s="17" t="inlineStr"/>
    </row>
    <row r="387">
      <c r="A387" s="17" t="inlineStr">
        <is>
          <t>C062</t>
        </is>
      </c>
      <c r="B387" s="17" t="inlineStr"/>
      <c r="C387" s="17" t="inlineStr">
        <is>
          <t>동국생명과학(주)</t>
        </is>
      </c>
      <c r="D387" s="17" t="inlineStr"/>
      <c r="E387" s="17" t="inlineStr">
        <is>
          <t>종업원수</t>
        </is>
      </c>
      <c r="F387" s="17" t="inlineStr">
        <is>
          <t>미확인</t>
        </is>
      </c>
      <c r="G387" s="17" t="inlineStr">
        <is>
          <t>웹조사 자동화 실패(세션한도)</t>
        </is>
      </c>
      <c r="H387" s="17" t="inlineStr">
        <is>
          <t>N</t>
        </is>
      </c>
      <c r="I387" s="17" t="inlineStr">
        <is>
          <t>DART/채용</t>
        </is>
      </c>
      <c r="J387" s="17" t="inlineStr">
        <is>
          <t>DART/채용에서 확인</t>
        </is>
      </c>
      <c r="K387" s="17" t="inlineStr">
        <is>
          <t>낮음</t>
        </is>
      </c>
      <c r="L387" s="17" t="inlineStr"/>
    </row>
    <row r="388">
      <c r="A388" s="17" t="inlineStr">
        <is>
          <t>C062</t>
        </is>
      </c>
      <c r="B388" s="17" t="inlineStr"/>
      <c r="C388" s="17" t="inlineStr">
        <is>
          <t>동국생명과학(주)</t>
        </is>
      </c>
      <c r="D388" s="17" t="inlineStr"/>
      <c r="E388" s="17" t="inlineStr">
        <is>
          <t>수출여부</t>
        </is>
      </c>
      <c r="F388" s="17" t="inlineStr">
        <is>
          <t>미확인</t>
        </is>
      </c>
      <c r="G388" s="17" t="inlineStr">
        <is>
          <t>웹조사 자동화 실패(세션한도)</t>
        </is>
      </c>
      <c r="H388" s="17" t="inlineStr">
        <is>
          <t>N</t>
        </is>
      </c>
      <c r="I388" s="17" t="inlineStr">
        <is>
          <t>회사 공시·홈페이지</t>
        </is>
      </c>
      <c r="J388" s="17" t="inlineStr">
        <is>
          <t>회사 공시·홈페이지에서 확인</t>
        </is>
      </c>
      <c r="K388" s="17" t="inlineStr">
        <is>
          <t>낮음</t>
        </is>
      </c>
      <c r="L388" s="17" t="inlineStr"/>
    </row>
    <row r="389">
      <c r="A389" s="17" t="inlineStr">
        <is>
          <t>C062</t>
        </is>
      </c>
      <c r="B389" s="17" t="inlineStr"/>
      <c r="C389" s="17" t="inlineStr">
        <is>
          <t>동국생명과학(주)</t>
        </is>
      </c>
      <c r="D389" s="17" t="inlineStr"/>
      <c r="E389" s="17" t="inlineStr">
        <is>
          <t>FDA·EMA 실사</t>
        </is>
      </c>
      <c r="F389" s="17" t="inlineStr">
        <is>
          <t>미확인</t>
        </is>
      </c>
      <c r="G389" s="17" t="inlineStr">
        <is>
          <t>웹조사 자동화 실패(세션한도)</t>
        </is>
      </c>
      <c r="H389" s="17" t="inlineStr">
        <is>
          <t>N</t>
        </is>
      </c>
      <c r="I389" s="17" t="inlineStr">
        <is>
          <t>FDA Inspection DB</t>
        </is>
      </c>
      <c r="J389" s="17" t="inlineStr">
        <is>
          <t>FDA Inspection DB에서 확인</t>
        </is>
      </c>
      <c r="K389" s="17" t="inlineStr">
        <is>
          <t>낮음</t>
        </is>
      </c>
      <c r="L389" s="17" t="inlineStr"/>
    </row>
    <row r="390">
      <c r="A390" s="17" t="inlineStr">
        <is>
          <t>C062</t>
        </is>
      </c>
      <c r="B390" s="17" t="inlineStr"/>
      <c r="C390" s="17" t="inlineStr">
        <is>
          <t>동국생명과학(주)</t>
        </is>
      </c>
      <c r="D390" s="17" t="inlineStr"/>
      <c r="E390" s="17" t="inlineStr">
        <is>
          <t>CMO·CDMO</t>
        </is>
      </c>
      <c r="F390" s="17" t="inlineStr">
        <is>
          <t>미확인</t>
        </is>
      </c>
      <c r="G390" s="17" t="inlineStr">
        <is>
          <t>웹조사 자동화 실패(세션한도)</t>
        </is>
      </c>
      <c r="H390" s="17" t="inlineStr">
        <is>
          <t>N</t>
        </is>
      </c>
      <c r="I390" s="17" t="inlineStr">
        <is>
          <t>회사 홈페이지</t>
        </is>
      </c>
      <c r="J390" s="17" t="inlineStr">
        <is>
          <t>회사 홈페이지에서 확인</t>
        </is>
      </c>
      <c r="K390" s="17" t="inlineStr">
        <is>
          <t>낮음</t>
        </is>
      </c>
      <c r="L390" s="17" t="inlineStr"/>
    </row>
    <row r="391">
      <c r="A391" s="17" t="inlineStr">
        <is>
          <t>C062</t>
        </is>
      </c>
      <c r="B391" s="17" t="inlineStr"/>
      <c r="C391" s="17" t="inlineStr">
        <is>
          <t>동국생명과학(주)</t>
        </is>
      </c>
      <c r="D391" s="17" t="inlineStr"/>
      <c r="E391" s="17" t="inlineStr">
        <is>
          <t>신공장·증설</t>
        </is>
      </c>
      <c r="F391" s="17" t="inlineStr">
        <is>
          <t>미확인</t>
        </is>
      </c>
      <c r="G391" s="17" t="inlineStr">
        <is>
          <t>웹조사 자동화 실패(세션한도)</t>
        </is>
      </c>
      <c r="H391" s="17" t="inlineStr">
        <is>
          <t>N</t>
        </is>
      </c>
      <c r="I391" s="17" t="inlineStr">
        <is>
          <t>언론·지자체 발표</t>
        </is>
      </c>
      <c r="J391" s="17" t="inlineStr">
        <is>
          <t>언론·지자체 발표에서 확인</t>
        </is>
      </c>
      <c r="K391" s="17" t="inlineStr">
        <is>
          <t>낮음</t>
        </is>
      </c>
      <c r="L391" s="17" t="inlineStr"/>
    </row>
    <row r="392">
      <c r="A392" s="17" t="inlineStr">
        <is>
          <t>C062</t>
        </is>
      </c>
      <c r="B392" s="17" t="inlineStr"/>
      <c r="C392" s="17" t="inlineStr">
        <is>
          <t>동국생명과학(주)</t>
        </is>
      </c>
      <c r="D392" s="17" t="inlineStr"/>
      <c r="E392" s="17" t="inlineStr">
        <is>
          <t>대표전화</t>
        </is>
      </c>
      <c r="F392" s="17" t="inlineStr">
        <is>
          <t>미확인</t>
        </is>
      </c>
      <c r="G392" s="17" t="inlineStr">
        <is>
          <t>제조소상세 미매칭</t>
        </is>
      </c>
      <c r="H392" s="17" t="inlineStr">
        <is>
          <t>Y</t>
        </is>
      </c>
      <c r="I392" s="17" t="inlineStr">
        <is>
          <t>회사 홈페이지</t>
        </is>
      </c>
      <c r="J392" s="17" t="inlineStr">
        <is>
          <t>홈페이지에서 대표번호 확인</t>
        </is>
      </c>
      <c r="K392" s="17" t="inlineStr">
        <is>
          <t>낮음</t>
        </is>
      </c>
      <c r="L392" s="17" t="inlineStr"/>
    </row>
    <row r="393">
      <c r="A393" s="17" t="inlineStr">
        <is>
          <t>C063</t>
        </is>
      </c>
      <c r="B393" s="17" t="inlineStr"/>
      <c r="C393" s="17" t="inlineStr">
        <is>
          <t>단일시스켐(주)</t>
        </is>
      </c>
      <c r="D393" s="17" t="inlineStr"/>
      <c r="E393" s="17" t="inlineStr">
        <is>
          <t>최근매출(억원)</t>
        </is>
      </c>
      <c r="F393" s="17" t="inlineStr">
        <is>
          <t>미확인</t>
        </is>
      </c>
      <c r="G393" s="17" t="inlineStr">
        <is>
          <t>웹조사 자동화 실패(세션한도)</t>
        </is>
      </c>
      <c r="H393" s="17" t="inlineStr">
        <is>
          <t>N</t>
        </is>
      </c>
      <c r="I393" s="17" t="inlineStr">
        <is>
          <t>DART 사업보고서</t>
        </is>
      </c>
      <c r="J393" s="17" t="inlineStr">
        <is>
          <t>DART 사업보고서에서 확인</t>
        </is>
      </c>
      <c r="K393" s="17" t="inlineStr">
        <is>
          <t>낮음</t>
        </is>
      </c>
      <c r="L393" s="17" t="inlineStr"/>
    </row>
    <row r="394">
      <c r="A394" s="17" t="inlineStr">
        <is>
          <t>C063</t>
        </is>
      </c>
      <c r="B394" s="17" t="inlineStr"/>
      <c r="C394" s="17" t="inlineStr">
        <is>
          <t>단일시스켐(주)</t>
        </is>
      </c>
      <c r="D394" s="17" t="inlineStr"/>
      <c r="E394" s="17" t="inlineStr">
        <is>
          <t>종업원수</t>
        </is>
      </c>
      <c r="F394" s="17" t="inlineStr">
        <is>
          <t>미확인</t>
        </is>
      </c>
      <c r="G394" s="17" t="inlineStr">
        <is>
          <t>웹조사 자동화 실패(세션한도)</t>
        </is>
      </c>
      <c r="H394" s="17" t="inlineStr">
        <is>
          <t>N</t>
        </is>
      </c>
      <c r="I394" s="17" t="inlineStr">
        <is>
          <t>DART/채용</t>
        </is>
      </c>
      <c r="J394" s="17" t="inlineStr">
        <is>
          <t>DART/채용에서 확인</t>
        </is>
      </c>
      <c r="K394" s="17" t="inlineStr">
        <is>
          <t>낮음</t>
        </is>
      </c>
      <c r="L394" s="17" t="inlineStr"/>
    </row>
    <row r="395">
      <c r="A395" s="17" t="inlineStr">
        <is>
          <t>C063</t>
        </is>
      </c>
      <c r="B395" s="17" t="inlineStr"/>
      <c r="C395" s="17" t="inlineStr">
        <is>
          <t>단일시스켐(주)</t>
        </is>
      </c>
      <c r="D395" s="17" t="inlineStr"/>
      <c r="E395" s="17" t="inlineStr">
        <is>
          <t>수출여부</t>
        </is>
      </c>
      <c r="F395" s="17" t="inlineStr">
        <is>
          <t>미확인</t>
        </is>
      </c>
      <c r="G395" s="17" t="inlineStr">
        <is>
          <t>웹조사 자동화 실패(세션한도)</t>
        </is>
      </c>
      <c r="H395" s="17" t="inlineStr">
        <is>
          <t>N</t>
        </is>
      </c>
      <c r="I395" s="17" t="inlineStr">
        <is>
          <t>회사 공시·홈페이지</t>
        </is>
      </c>
      <c r="J395" s="17" t="inlineStr">
        <is>
          <t>회사 공시·홈페이지에서 확인</t>
        </is>
      </c>
      <c r="K395" s="17" t="inlineStr">
        <is>
          <t>낮음</t>
        </is>
      </c>
      <c r="L395" s="17" t="inlineStr"/>
    </row>
    <row r="396">
      <c r="A396" s="17" t="inlineStr">
        <is>
          <t>C063</t>
        </is>
      </c>
      <c r="B396" s="17" t="inlineStr"/>
      <c r="C396" s="17" t="inlineStr">
        <is>
          <t>단일시스켐(주)</t>
        </is>
      </c>
      <c r="D396" s="17" t="inlineStr"/>
      <c r="E396" s="17" t="inlineStr">
        <is>
          <t>FDA·EMA 실사</t>
        </is>
      </c>
      <c r="F396" s="17" t="inlineStr">
        <is>
          <t>미확인</t>
        </is>
      </c>
      <c r="G396" s="17" t="inlineStr">
        <is>
          <t>웹조사 자동화 실패(세션한도)</t>
        </is>
      </c>
      <c r="H396" s="17" t="inlineStr">
        <is>
          <t>N</t>
        </is>
      </c>
      <c r="I396" s="17" t="inlineStr">
        <is>
          <t>FDA Inspection DB</t>
        </is>
      </c>
      <c r="J396" s="17" t="inlineStr">
        <is>
          <t>FDA Inspection DB에서 확인</t>
        </is>
      </c>
      <c r="K396" s="17" t="inlineStr">
        <is>
          <t>낮음</t>
        </is>
      </c>
      <c r="L396" s="17" t="inlineStr"/>
    </row>
    <row r="397">
      <c r="A397" s="17" t="inlineStr">
        <is>
          <t>C063</t>
        </is>
      </c>
      <c r="B397" s="17" t="inlineStr"/>
      <c r="C397" s="17" t="inlineStr">
        <is>
          <t>단일시스켐(주)</t>
        </is>
      </c>
      <c r="D397" s="17" t="inlineStr"/>
      <c r="E397" s="17" t="inlineStr">
        <is>
          <t>CMO·CDMO</t>
        </is>
      </c>
      <c r="F397" s="17" t="inlineStr">
        <is>
          <t>미확인</t>
        </is>
      </c>
      <c r="G397" s="17" t="inlineStr">
        <is>
          <t>웹조사 자동화 실패(세션한도)</t>
        </is>
      </c>
      <c r="H397" s="17" t="inlineStr">
        <is>
          <t>N</t>
        </is>
      </c>
      <c r="I397" s="17" t="inlineStr">
        <is>
          <t>회사 홈페이지</t>
        </is>
      </c>
      <c r="J397" s="17" t="inlineStr">
        <is>
          <t>회사 홈페이지에서 확인</t>
        </is>
      </c>
      <c r="K397" s="17" t="inlineStr">
        <is>
          <t>낮음</t>
        </is>
      </c>
      <c r="L397" s="17" t="inlineStr"/>
    </row>
    <row r="398">
      <c r="A398" s="17" t="inlineStr">
        <is>
          <t>C063</t>
        </is>
      </c>
      <c r="B398" s="17" t="inlineStr"/>
      <c r="C398" s="17" t="inlineStr">
        <is>
          <t>단일시스켐(주)</t>
        </is>
      </c>
      <c r="D398" s="17" t="inlineStr"/>
      <c r="E398" s="17" t="inlineStr">
        <is>
          <t>신공장·증설</t>
        </is>
      </c>
      <c r="F398" s="17" t="inlineStr">
        <is>
          <t>미확인</t>
        </is>
      </c>
      <c r="G398" s="17" t="inlineStr">
        <is>
          <t>웹조사 자동화 실패(세션한도)</t>
        </is>
      </c>
      <c r="H398" s="17" t="inlineStr">
        <is>
          <t>N</t>
        </is>
      </c>
      <c r="I398" s="17" t="inlineStr">
        <is>
          <t>언론·지자체 발표</t>
        </is>
      </c>
      <c r="J398" s="17" t="inlineStr">
        <is>
          <t>언론·지자체 발표에서 확인</t>
        </is>
      </c>
      <c r="K398" s="17" t="inlineStr">
        <is>
          <t>낮음</t>
        </is>
      </c>
      <c r="L398" s="17" t="inlineStr"/>
    </row>
    <row r="399">
      <c r="A399" s="17" t="inlineStr">
        <is>
          <t>C064</t>
        </is>
      </c>
      <c r="B399" s="17" t="inlineStr"/>
      <c r="C399" s="17" t="inlineStr">
        <is>
          <t>경원산소(주)</t>
        </is>
      </c>
      <c r="D399" s="17" t="inlineStr"/>
      <c r="E399" s="17" t="inlineStr">
        <is>
          <t>최근매출(억원)</t>
        </is>
      </c>
      <c r="F399" s="17" t="inlineStr">
        <is>
          <t>미확인</t>
        </is>
      </c>
      <c r="G399" s="17" t="inlineStr">
        <is>
          <t>웹조사 자동화 실패(세션한도)</t>
        </is>
      </c>
      <c r="H399" s="17" t="inlineStr">
        <is>
          <t>N</t>
        </is>
      </c>
      <c r="I399" s="17" t="inlineStr">
        <is>
          <t>DART 사업보고서</t>
        </is>
      </c>
      <c r="J399" s="17" t="inlineStr">
        <is>
          <t>DART 사업보고서에서 확인</t>
        </is>
      </c>
      <c r="K399" s="17" t="inlineStr">
        <is>
          <t>낮음</t>
        </is>
      </c>
      <c r="L399" s="17" t="inlineStr"/>
    </row>
    <row r="400">
      <c r="A400" s="17" t="inlineStr">
        <is>
          <t>C064</t>
        </is>
      </c>
      <c r="B400" s="17" t="inlineStr"/>
      <c r="C400" s="17" t="inlineStr">
        <is>
          <t>경원산소(주)</t>
        </is>
      </c>
      <c r="D400" s="17" t="inlineStr"/>
      <c r="E400" s="17" t="inlineStr">
        <is>
          <t>종업원수</t>
        </is>
      </c>
      <c r="F400" s="17" t="inlineStr">
        <is>
          <t>미확인</t>
        </is>
      </c>
      <c r="G400" s="17" t="inlineStr">
        <is>
          <t>웹조사 자동화 실패(세션한도)</t>
        </is>
      </c>
      <c r="H400" s="17" t="inlineStr">
        <is>
          <t>N</t>
        </is>
      </c>
      <c r="I400" s="17" t="inlineStr">
        <is>
          <t>DART/채용</t>
        </is>
      </c>
      <c r="J400" s="17" t="inlineStr">
        <is>
          <t>DART/채용에서 확인</t>
        </is>
      </c>
      <c r="K400" s="17" t="inlineStr">
        <is>
          <t>낮음</t>
        </is>
      </c>
      <c r="L400" s="17" t="inlineStr"/>
    </row>
    <row r="401">
      <c r="A401" s="17" t="inlineStr">
        <is>
          <t>C064</t>
        </is>
      </c>
      <c r="B401" s="17" t="inlineStr"/>
      <c r="C401" s="17" t="inlineStr">
        <is>
          <t>경원산소(주)</t>
        </is>
      </c>
      <c r="D401" s="17" t="inlineStr"/>
      <c r="E401" s="17" t="inlineStr">
        <is>
          <t>수출여부</t>
        </is>
      </c>
      <c r="F401" s="17" t="inlineStr">
        <is>
          <t>미확인</t>
        </is>
      </c>
      <c r="G401" s="17" t="inlineStr">
        <is>
          <t>웹조사 자동화 실패(세션한도)</t>
        </is>
      </c>
      <c r="H401" s="17" t="inlineStr">
        <is>
          <t>N</t>
        </is>
      </c>
      <c r="I401" s="17" t="inlineStr">
        <is>
          <t>회사 공시·홈페이지</t>
        </is>
      </c>
      <c r="J401" s="17" t="inlineStr">
        <is>
          <t>회사 공시·홈페이지에서 확인</t>
        </is>
      </c>
      <c r="K401" s="17" t="inlineStr">
        <is>
          <t>낮음</t>
        </is>
      </c>
      <c r="L401" s="17" t="inlineStr"/>
    </row>
    <row r="402">
      <c r="A402" s="17" t="inlineStr">
        <is>
          <t>C064</t>
        </is>
      </c>
      <c r="B402" s="17" t="inlineStr"/>
      <c r="C402" s="17" t="inlineStr">
        <is>
          <t>경원산소(주)</t>
        </is>
      </c>
      <c r="D402" s="17" t="inlineStr"/>
      <c r="E402" s="17" t="inlineStr">
        <is>
          <t>FDA·EMA 실사</t>
        </is>
      </c>
      <c r="F402" s="17" t="inlineStr">
        <is>
          <t>미확인</t>
        </is>
      </c>
      <c r="G402" s="17" t="inlineStr">
        <is>
          <t>웹조사 자동화 실패(세션한도)</t>
        </is>
      </c>
      <c r="H402" s="17" t="inlineStr">
        <is>
          <t>N</t>
        </is>
      </c>
      <c r="I402" s="17" t="inlineStr">
        <is>
          <t>FDA Inspection DB</t>
        </is>
      </c>
      <c r="J402" s="17" t="inlineStr">
        <is>
          <t>FDA Inspection DB에서 확인</t>
        </is>
      </c>
      <c r="K402" s="17" t="inlineStr">
        <is>
          <t>낮음</t>
        </is>
      </c>
      <c r="L402" s="17" t="inlineStr"/>
    </row>
    <row r="403">
      <c r="A403" s="17" t="inlineStr">
        <is>
          <t>C064</t>
        </is>
      </c>
      <c r="B403" s="17" t="inlineStr"/>
      <c r="C403" s="17" t="inlineStr">
        <is>
          <t>경원산소(주)</t>
        </is>
      </c>
      <c r="D403" s="17" t="inlineStr"/>
      <c r="E403" s="17" t="inlineStr">
        <is>
          <t>CMO·CDMO</t>
        </is>
      </c>
      <c r="F403" s="17" t="inlineStr">
        <is>
          <t>미확인</t>
        </is>
      </c>
      <c r="G403" s="17" t="inlineStr">
        <is>
          <t>웹조사 자동화 실패(세션한도)</t>
        </is>
      </c>
      <c r="H403" s="17" t="inlineStr">
        <is>
          <t>N</t>
        </is>
      </c>
      <c r="I403" s="17" t="inlineStr">
        <is>
          <t>회사 홈페이지</t>
        </is>
      </c>
      <c r="J403" s="17" t="inlineStr">
        <is>
          <t>회사 홈페이지에서 확인</t>
        </is>
      </c>
      <c r="K403" s="17" t="inlineStr">
        <is>
          <t>낮음</t>
        </is>
      </c>
      <c r="L403" s="17" t="inlineStr"/>
    </row>
    <row r="404">
      <c r="A404" s="17" t="inlineStr">
        <is>
          <t>C064</t>
        </is>
      </c>
      <c r="B404" s="17" t="inlineStr"/>
      <c r="C404" s="17" t="inlineStr">
        <is>
          <t>경원산소(주)</t>
        </is>
      </c>
      <c r="D404" s="17" t="inlineStr"/>
      <c r="E404" s="17" t="inlineStr">
        <is>
          <t>신공장·증설</t>
        </is>
      </c>
      <c r="F404" s="17" t="inlineStr">
        <is>
          <t>미확인</t>
        </is>
      </c>
      <c r="G404" s="17" t="inlineStr">
        <is>
          <t>웹조사 자동화 실패(세션한도)</t>
        </is>
      </c>
      <c r="H404" s="17" t="inlineStr">
        <is>
          <t>N</t>
        </is>
      </c>
      <c r="I404" s="17" t="inlineStr">
        <is>
          <t>언론·지자체 발표</t>
        </is>
      </c>
      <c r="J404" s="17" t="inlineStr">
        <is>
          <t>언론·지자체 발표에서 확인</t>
        </is>
      </c>
      <c r="K404" s="17" t="inlineStr">
        <is>
          <t>낮음</t>
        </is>
      </c>
      <c r="L404" s="17" t="inlineStr"/>
    </row>
    <row r="405">
      <c r="A405" s="17" t="inlineStr">
        <is>
          <t>C065</t>
        </is>
      </c>
      <c r="B405" s="17" t="inlineStr"/>
      <c r="C405" s="17" t="inlineStr">
        <is>
          <t>춘천종합가스</t>
        </is>
      </c>
      <c r="D405" s="17" t="inlineStr"/>
      <c r="E405" s="17" t="inlineStr">
        <is>
          <t>최근매출(억원)</t>
        </is>
      </c>
      <c r="F405" s="17" t="inlineStr">
        <is>
          <t>미확인</t>
        </is>
      </c>
      <c r="G405" s="17" t="inlineStr">
        <is>
          <t>웹조사 자동화 실패(세션한도)</t>
        </is>
      </c>
      <c r="H405" s="17" t="inlineStr">
        <is>
          <t>N</t>
        </is>
      </c>
      <c r="I405" s="17" t="inlineStr">
        <is>
          <t>DART 사업보고서</t>
        </is>
      </c>
      <c r="J405" s="17" t="inlineStr">
        <is>
          <t>DART 사업보고서에서 확인</t>
        </is>
      </c>
      <c r="K405" s="17" t="inlineStr">
        <is>
          <t>낮음</t>
        </is>
      </c>
      <c r="L405" s="17" t="inlineStr"/>
    </row>
    <row r="406">
      <c r="A406" s="17" t="inlineStr">
        <is>
          <t>C065</t>
        </is>
      </c>
      <c r="B406" s="17" t="inlineStr"/>
      <c r="C406" s="17" t="inlineStr">
        <is>
          <t>춘천종합가스</t>
        </is>
      </c>
      <c r="D406" s="17" t="inlineStr"/>
      <c r="E406" s="17" t="inlineStr">
        <is>
          <t>종업원수</t>
        </is>
      </c>
      <c r="F406" s="17" t="inlineStr">
        <is>
          <t>미확인</t>
        </is>
      </c>
      <c r="G406" s="17" t="inlineStr">
        <is>
          <t>웹조사 자동화 실패(세션한도)</t>
        </is>
      </c>
      <c r="H406" s="17" t="inlineStr">
        <is>
          <t>N</t>
        </is>
      </c>
      <c r="I406" s="17" t="inlineStr">
        <is>
          <t>DART/채용</t>
        </is>
      </c>
      <c r="J406" s="17" t="inlineStr">
        <is>
          <t>DART/채용에서 확인</t>
        </is>
      </c>
      <c r="K406" s="17" t="inlineStr">
        <is>
          <t>낮음</t>
        </is>
      </c>
      <c r="L406" s="17" t="inlineStr"/>
    </row>
    <row r="407">
      <c r="A407" s="17" t="inlineStr">
        <is>
          <t>C065</t>
        </is>
      </c>
      <c r="B407" s="17" t="inlineStr"/>
      <c r="C407" s="17" t="inlineStr">
        <is>
          <t>춘천종합가스</t>
        </is>
      </c>
      <c r="D407" s="17" t="inlineStr"/>
      <c r="E407" s="17" t="inlineStr">
        <is>
          <t>수출여부</t>
        </is>
      </c>
      <c r="F407" s="17" t="inlineStr">
        <is>
          <t>미확인</t>
        </is>
      </c>
      <c r="G407" s="17" t="inlineStr">
        <is>
          <t>웹조사 자동화 실패(세션한도)</t>
        </is>
      </c>
      <c r="H407" s="17" t="inlineStr">
        <is>
          <t>N</t>
        </is>
      </c>
      <c r="I407" s="17" t="inlineStr">
        <is>
          <t>회사 공시·홈페이지</t>
        </is>
      </c>
      <c r="J407" s="17" t="inlineStr">
        <is>
          <t>회사 공시·홈페이지에서 확인</t>
        </is>
      </c>
      <c r="K407" s="17" t="inlineStr">
        <is>
          <t>낮음</t>
        </is>
      </c>
      <c r="L407" s="17" t="inlineStr"/>
    </row>
    <row r="408">
      <c r="A408" s="17" t="inlineStr">
        <is>
          <t>C065</t>
        </is>
      </c>
      <c r="B408" s="17" t="inlineStr"/>
      <c r="C408" s="17" t="inlineStr">
        <is>
          <t>춘천종합가스</t>
        </is>
      </c>
      <c r="D408" s="17" t="inlineStr"/>
      <c r="E408" s="17" t="inlineStr">
        <is>
          <t>FDA·EMA 실사</t>
        </is>
      </c>
      <c r="F408" s="17" t="inlineStr">
        <is>
          <t>미확인</t>
        </is>
      </c>
      <c r="G408" s="17" t="inlineStr">
        <is>
          <t>웹조사 자동화 실패(세션한도)</t>
        </is>
      </c>
      <c r="H408" s="17" t="inlineStr">
        <is>
          <t>N</t>
        </is>
      </c>
      <c r="I408" s="17" t="inlineStr">
        <is>
          <t>FDA Inspection DB</t>
        </is>
      </c>
      <c r="J408" s="17" t="inlineStr">
        <is>
          <t>FDA Inspection DB에서 확인</t>
        </is>
      </c>
      <c r="K408" s="17" t="inlineStr">
        <is>
          <t>낮음</t>
        </is>
      </c>
      <c r="L408" s="17" t="inlineStr"/>
    </row>
    <row r="409">
      <c r="A409" s="17" t="inlineStr">
        <is>
          <t>C065</t>
        </is>
      </c>
      <c r="B409" s="17" t="inlineStr"/>
      <c r="C409" s="17" t="inlineStr">
        <is>
          <t>춘천종합가스</t>
        </is>
      </c>
      <c r="D409" s="17" t="inlineStr"/>
      <c r="E409" s="17" t="inlineStr">
        <is>
          <t>CMO·CDMO</t>
        </is>
      </c>
      <c r="F409" s="17" t="inlineStr">
        <is>
          <t>미확인</t>
        </is>
      </c>
      <c r="G409" s="17" t="inlineStr">
        <is>
          <t>웹조사 자동화 실패(세션한도)</t>
        </is>
      </c>
      <c r="H409" s="17" t="inlineStr">
        <is>
          <t>N</t>
        </is>
      </c>
      <c r="I409" s="17" t="inlineStr">
        <is>
          <t>회사 홈페이지</t>
        </is>
      </c>
      <c r="J409" s="17" t="inlineStr">
        <is>
          <t>회사 홈페이지에서 확인</t>
        </is>
      </c>
      <c r="K409" s="17" t="inlineStr">
        <is>
          <t>낮음</t>
        </is>
      </c>
      <c r="L409" s="17" t="inlineStr"/>
    </row>
    <row r="410">
      <c r="A410" s="17" t="inlineStr">
        <is>
          <t>C065</t>
        </is>
      </c>
      <c r="B410" s="17" t="inlineStr"/>
      <c r="C410" s="17" t="inlineStr">
        <is>
          <t>춘천종합가스</t>
        </is>
      </c>
      <c r="D410" s="17" t="inlineStr"/>
      <c r="E410" s="17" t="inlineStr">
        <is>
          <t>신공장·증설</t>
        </is>
      </c>
      <c r="F410" s="17" t="inlineStr">
        <is>
          <t>미확인</t>
        </is>
      </c>
      <c r="G410" s="17" t="inlineStr">
        <is>
          <t>웹조사 자동화 실패(세션한도)</t>
        </is>
      </c>
      <c r="H410" s="17" t="inlineStr">
        <is>
          <t>N</t>
        </is>
      </c>
      <c r="I410" s="17" t="inlineStr">
        <is>
          <t>언론·지자체 발표</t>
        </is>
      </c>
      <c r="J410" s="17" t="inlineStr">
        <is>
          <t>언론·지자체 발표에서 확인</t>
        </is>
      </c>
      <c r="K410" s="17" t="inlineStr">
        <is>
          <t>낮음</t>
        </is>
      </c>
      <c r="L410" s="17" t="inlineStr"/>
    </row>
    <row r="411">
      <c r="A411" s="17" t="inlineStr">
        <is>
          <t>C066</t>
        </is>
      </c>
      <c r="B411" s="17" t="inlineStr"/>
      <c r="C411" s="17" t="inlineStr">
        <is>
          <t>(주)녹십자엠에스</t>
        </is>
      </c>
      <c r="D411" s="17" t="inlineStr"/>
      <c r="E411" s="17" t="inlineStr">
        <is>
          <t>최근매출(억원)</t>
        </is>
      </c>
      <c r="F411" s="17" t="inlineStr">
        <is>
          <t>미확인</t>
        </is>
      </c>
      <c r="G411" s="17" t="inlineStr">
        <is>
          <t>웹조사 자동화 실패(세션한도)</t>
        </is>
      </c>
      <c r="H411" s="17" t="inlineStr">
        <is>
          <t>N</t>
        </is>
      </c>
      <c r="I411" s="17" t="inlineStr">
        <is>
          <t>DART 사업보고서</t>
        </is>
      </c>
      <c r="J411" s="17" t="inlineStr">
        <is>
          <t>DART 사업보고서에서 확인</t>
        </is>
      </c>
      <c r="K411" s="17" t="inlineStr">
        <is>
          <t>낮음</t>
        </is>
      </c>
      <c r="L411" s="17" t="inlineStr"/>
    </row>
    <row r="412">
      <c r="A412" s="17" t="inlineStr">
        <is>
          <t>C066</t>
        </is>
      </c>
      <c r="B412" s="17" t="inlineStr"/>
      <c r="C412" s="17" t="inlineStr">
        <is>
          <t>(주)녹십자엠에스</t>
        </is>
      </c>
      <c r="D412" s="17" t="inlineStr"/>
      <c r="E412" s="17" t="inlineStr">
        <is>
          <t>종업원수</t>
        </is>
      </c>
      <c r="F412" s="17" t="inlineStr">
        <is>
          <t>미확인</t>
        </is>
      </c>
      <c r="G412" s="17" t="inlineStr">
        <is>
          <t>웹조사 자동화 실패(세션한도)</t>
        </is>
      </c>
      <c r="H412" s="17" t="inlineStr">
        <is>
          <t>N</t>
        </is>
      </c>
      <c r="I412" s="17" t="inlineStr">
        <is>
          <t>DART/채용</t>
        </is>
      </c>
      <c r="J412" s="17" t="inlineStr">
        <is>
          <t>DART/채용에서 확인</t>
        </is>
      </c>
      <c r="K412" s="17" t="inlineStr">
        <is>
          <t>낮음</t>
        </is>
      </c>
      <c r="L412" s="17" t="inlineStr"/>
    </row>
    <row r="413">
      <c r="A413" s="17" t="inlineStr">
        <is>
          <t>C066</t>
        </is>
      </c>
      <c r="B413" s="17" t="inlineStr"/>
      <c r="C413" s="17" t="inlineStr">
        <is>
          <t>(주)녹십자엠에스</t>
        </is>
      </c>
      <c r="D413" s="17" t="inlineStr"/>
      <c r="E413" s="17" t="inlineStr">
        <is>
          <t>수출여부</t>
        </is>
      </c>
      <c r="F413" s="17" t="inlineStr">
        <is>
          <t>미확인</t>
        </is>
      </c>
      <c r="G413" s="17" t="inlineStr">
        <is>
          <t>웹조사 자동화 실패(세션한도)</t>
        </is>
      </c>
      <c r="H413" s="17" t="inlineStr">
        <is>
          <t>N</t>
        </is>
      </c>
      <c r="I413" s="17" t="inlineStr">
        <is>
          <t>회사 공시·홈페이지</t>
        </is>
      </c>
      <c r="J413" s="17" t="inlineStr">
        <is>
          <t>회사 공시·홈페이지에서 확인</t>
        </is>
      </c>
      <c r="K413" s="17" t="inlineStr">
        <is>
          <t>낮음</t>
        </is>
      </c>
      <c r="L413" s="17" t="inlineStr"/>
    </row>
    <row r="414">
      <c r="A414" s="17" t="inlineStr">
        <is>
          <t>C066</t>
        </is>
      </c>
      <c r="B414" s="17" t="inlineStr"/>
      <c r="C414" s="17" t="inlineStr">
        <is>
          <t>(주)녹십자엠에스</t>
        </is>
      </c>
      <c r="D414" s="17" t="inlineStr"/>
      <c r="E414" s="17" t="inlineStr">
        <is>
          <t>FDA·EMA 실사</t>
        </is>
      </c>
      <c r="F414" s="17" t="inlineStr">
        <is>
          <t>미확인</t>
        </is>
      </c>
      <c r="G414" s="17" t="inlineStr">
        <is>
          <t>웹조사 자동화 실패(세션한도)</t>
        </is>
      </c>
      <c r="H414" s="17" t="inlineStr">
        <is>
          <t>N</t>
        </is>
      </c>
      <c r="I414" s="17" t="inlineStr">
        <is>
          <t>FDA Inspection DB</t>
        </is>
      </c>
      <c r="J414" s="17" t="inlineStr">
        <is>
          <t>FDA Inspection DB에서 확인</t>
        </is>
      </c>
      <c r="K414" s="17" t="inlineStr">
        <is>
          <t>낮음</t>
        </is>
      </c>
      <c r="L414" s="17" t="inlineStr"/>
    </row>
    <row r="415">
      <c r="A415" s="17" t="inlineStr">
        <is>
          <t>C066</t>
        </is>
      </c>
      <c r="B415" s="17" t="inlineStr"/>
      <c r="C415" s="17" t="inlineStr">
        <is>
          <t>(주)녹십자엠에스</t>
        </is>
      </c>
      <c r="D415" s="17" t="inlineStr"/>
      <c r="E415" s="17" t="inlineStr">
        <is>
          <t>CMO·CDMO</t>
        </is>
      </c>
      <c r="F415" s="17" t="inlineStr">
        <is>
          <t>미확인</t>
        </is>
      </c>
      <c r="G415" s="17" t="inlineStr">
        <is>
          <t>웹조사 자동화 실패(세션한도)</t>
        </is>
      </c>
      <c r="H415" s="17" t="inlineStr">
        <is>
          <t>N</t>
        </is>
      </c>
      <c r="I415" s="17" t="inlineStr">
        <is>
          <t>회사 홈페이지</t>
        </is>
      </c>
      <c r="J415" s="17" t="inlineStr">
        <is>
          <t>회사 홈페이지에서 확인</t>
        </is>
      </c>
      <c r="K415" s="17" t="inlineStr">
        <is>
          <t>낮음</t>
        </is>
      </c>
      <c r="L415" s="17" t="inlineStr"/>
    </row>
    <row r="416">
      <c r="A416" s="17" t="inlineStr">
        <is>
          <t>C066</t>
        </is>
      </c>
      <c r="B416" s="17" t="inlineStr"/>
      <c r="C416" s="17" t="inlineStr">
        <is>
          <t>(주)녹십자엠에스</t>
        </is>
      </c>
      <c r="D416" s="17" t="inlineStr"/>
      <c r="E416" s="17" t="inlineStr">
        <is>
          <t>신공장·증설</t>
        </is>
      </c>
      <c r="F416" s="17" t="inlineStr">
        <is>
          <t>미확인</t>
        </is>
      </c>
      <c r="G416" s="17" t="inlineStr">
        <is>
          <t>웹조사 자동화 실패(세션한도)</t>
        </is>
      </c>
      <c r="H416" s="17" t="inlineStr">
        <is>
          <t>N</t>
        </is>
      </c>
      <c r="I416" s="17" t="inlineStr">
        <is>
          <t>언론·지자체 발표</t>
        </is>
      </c>
      <c r="J416" s="17" t="inlineStr">
        <is>
          <t>언론·지자체 발표에서 확인</t>
        </is>
      </c>
      <c r="K416" s="17" t="inlineStr">
        <is>
          <t>낮음</t>
        </is>
      </c>
      <c r="L416" s="17" t="inlineStr"/>
    </row>
    <row r="417">
      <c r="A417" s="17" t="inlineStr">
        <is>
          <t>C067</t>
        </is>
      </c>
      <c r="B417" s="17" t="inlineStr"/>
      <c r="C417" s="17" t="inlineStr">
        <is>
          <t>재단법인아산사회복지재단서울아산병원</t>
        </is>
      </c>
      <c r="D417" s="17" t="inlineStr"/>
      <c r="E417" s="17" t="inlineStr">
        <is>
          <t>최근매출(억원)</t>
        </is>
      </c>
      <c r="F417" s="17" t="inlineStr">
        <is>
          <t>미확인</t>
        </is>
      </c>
      <c r="G417" s="17" t="inlineStr">
        <is>
          <t>웹조사 자동화 실패(세션한도)</t>
        </is>
      </c>
      <c r="H417" s="17" t="inlineStr">
        <is>
          <t>N</t>
        </is>
      </c>
      <c r="I417" s="17" t="inlineStr">
        <is>
          <t>DART 사업보고서</t>
        </is>
      </c>
      <c r="J417" s="17" t="inlineStr">
        <is>
          <t>DART 사업보고서에서 확인</t>
        </is>
      </c>
      <c r="K417" s="17" t="inlineStr">
        <is>
          <t>낮음</t>
        </is>
      </c>
      <c r="L417" s="17" t="inlineStr"/>
    </row>
    <row r="418">
      <c r="A418" s="17" t="inlineStr">
        <is>
          <t>C067</t>
        </is>
      </c>
      <c r="B418" s="17" t="inlineStr"/>
      <c r="C418" s="17" t="inlineStr">
        <is>
          <t>재단법인아산사회복지재단서울아산병원</t>
        </is>
      </c>
      <c r="D418" s="17" t="inlineStr"/>
      <c r="E418" s="17" t="inlineStr">
        <is>
          <t>종업원수</t>
        </is>
      </c>
      <c r="F418" s="17" t="inlineStr">
        <is>
          <t>미확인</t>
        </is>
      </c>
      <c r="G418" s="17" t="inlineStr">
        <is>
          <t>웹조사 자동화 실패(세션한도)</t>
        </is>
      </c>
      <c r="H418" s="17" t="inlineStr">
        <is>
          <t>N</t>
        </is>
      </c>
      <c r="I418" s="17" t="inlineStr">
        <is>
          <t>DART/채용</t>
        </is>
      </c>
      <c r="J418" s="17" t="inlineStr">
        <is>
          <t>DART/채용에서 확인</t>
        </is>
      </c>
      <c r="K418" s="17" t="inlineStr">
        <is>
          <t>낮음</t>
        </is>
      </c>
      <c r="L418" s="17" t="inlineStr"/>
    </row>
    <row r="419">
      <c r="A419" s="17" t="inlineStr">
        <is>
          <t>C067</t>
        </is>
      </c>
      <c r="B419" s="17" t="inlineStr"/>
      <c r="C419" s="17" t="inlineStr">
        <is>
          <t>재단법인아산사회복지재단서울아산병원</t>
        </is>
      </c>
      <c r="D419" s="17" t="inlineStr"/>
      <c r="E419" s="17" t="inlineStr">
        <is>
          <t>수출여부</t>
        </is>
      </c>
      <c r="F419" s="17" t="inlineStr">
        <is>
          <t>미확인</t>
        </is>
      </c>
      <c r="G419" s="17" t="inlineStr">
        <is>
          <t>웹조사 자동화 실패(세션한도)</t>
        </is>
      </c>
      <c r="H419" s="17" t="inlineStr">
        <is>
          <t>N</t>
        </is>
      </c>
      <c r="I419" s="17" t="inlineStr">
        <is>
          <t>회사 공시·홈페이지</t>
        </is>
      </c>
      <c r="J419" s="17" t="inlineStr">
        <is>
          <t>회사 공시·홈페이지에서 확인</t>
        </is>
      </c>
      <c r="K419" s="17" t="inlineStr">
        <is>
          <t>낮음</t>
        </is>
      </c>
      <c r="L419" s="17" t="inlineStr"/>
    </row>
    <row r="420">
      <c r="A420" s="17" t="inlineStr">
        <is>
          <t>C067</t>
        </is>
      </c>
      <c r="B420" s="17" t="inlineStr"/>
      <c r="C420" s="17" t="inlineStr">
        <is>
          <t>재단법인아산사회복지재단서울아산병원</t>
        </is>
      </c>
      <c r="D420" s="17" t="inlineStr"/>
      <c r="E420" s="17" t="inlineStr">
        <is>
          <t>FDA·EMA 실사</t>
        </is>
      </c>
      <c r="F420" s="17" t="inlineStr">
        <is>
          <t>미확인</t>
        </is>
      </c>
      <c r="G420" s="17" t="inlineStr">
        <is>
          <t>웹조사 자동화 실패(세션한도)</t>
        </is>
      </c>
      <c r="H420" s="17" t="inlineStr">
        <is>
          <t>N</t>
        </is>
      </c>
      <c r="I420" s="17" t="inlineStr">
        <is>
          <t>FDA Inspection DB</t>
        </is>
      </c>
      <c r="J420" s="17" t="inlineStr">
        <is>
          <t>FDA Inspection DB에서 확인</t>
        </is>
      </c>
      <c r="K420" s="17" t="inlineStr">
        <is>
          <t>낮음</t>
        </is>
      </c>
      <c r="L420" s="17" t="inlineStr"/>
    </row>
    <row r="421">
      <c r="A421" s="17" t="inlineStr">
        <is>
          <t>C067</t>
        </is>
      </c>
      <c r="B421" s="17" t="inlineStr"/>
      <c r="C421" s="17" t="inlineStr">
        <is>
          <t>재단법인아산사회복지재단서울아산병원</t>
        </is>
      </c>
      <c r="D421" s="17" t="inlineStr"/>
      <c r="E421" s="17" t="inlineStr">
        <is>
          <t>CMO·CDMO</t>
        </is>
      </c>
      <c r="F421" s="17" t="inlineStr">
        <is>
          <t>미확인</t>
        </is>
      </c>
      <c r="G421" s="17" t="inlineStr">
        <is>
          <t>웹조사 자동화 실패(세션한도)</t>
        </is>
      </c>
      <c r="H421" s="17" t="inlineStr">
        <is>
          <t>N</t>
        </is>
      </c>
      <c r="I421" s="17" t="inlineStr">
        <is>
          <t>회사 홈페이지</t>
        </is>
      </c>
      <c r="J421" s="17" t="inlineStr">
        <is>
          <t>회사 홈페이지에서 확인</t>
        </is>
      </c>
      <c r="K421" s="17" t="inlineStr">
        <is>
          <t>낮음</t>
        </is>
      </c>
      <c r="L421" s="17" t="inlineStr"/>
    </row>
    <row r="422">
      <c r="A422" s="17" t="inlineStr">
        <is>
          <t>C067</t>
        </is>
      </c>
      <c r="B422" s="17" t="inlineStr"/>
      <c r="C422" s="17" t="inlineStr">
        <is>
          <t>재단법인아산사회복지재단서울아산병원</t>
        </is>
      </c>
      <c r="D422" s="17" t="inlineStr"/>
      <c r="E422" s="17" t="inlineStr">
        <is>
          <t>신공장·증설</t>
        </is>
      </c>
      <c r="F422" s="17" t="inlineStr">
        <is>
          <t>미확인</t>
        </is>
      </c>
      <c r="G422" s="17" t="inlineStr">
        <is>
          <t>웹조사 자동화 실패(세션한도)</t>
        </is>
      </c>
      <c r="H422" s="17" t="inlineStr">
        <is>
          <t>N</t>
        </is>
      </c>
      <c r="I422" s="17" t="inlineStr">
        <is>
          <t>언론·지자체 발표</t>
        </is>
      </c>
      <c r="J422" s="17" t="inlineStr">
        <is>
          <t>언론·지자체 발표에서 확인</t>
        </is>
      </c>
      <c r="K422" s="17" t="inlineStr">
        <is>
          <t>낮음</t>
        </is>
      </c>
      <c r="L422" s="17" t="inlineStr"/>
    </row>
    <row r="423">
      <c r="A423" s="17" t="inlineStr">
        <is>
          <t>C067</t>
        </is>
      </c>
      <c r="B423" s="17" t="inlineStr"/>
      <c r="C423" s="17" t="inlineStr">
        <is>
          <t>재단법인아산사회복지재단서울아산병원</t>
        </is>
      </c>
      <c r="D423" s="17" t="inlineStr"/>
      <c r="E423" s="17" t="inlineStr">
        <is>
          <t>대표전화</t>
        </is>
      </c>
      <c r="F423" s="17" t="inlineStr">
        <is>
          <t>미확인</t>
        </is>
      </c>
      <c r="G423" s="17" t="inlineStr">
        <is>
          <t>제조소상세 미매칭</t>
        </is>
      </c>
      <c r="H423" s="17" t="inlineStr">
        <is>
          <t>Y</t>
        </is>
      </c>
      <c r="I423" s="17" t="inlineStr">
        <is>
          <t>회사 홈페이지</t>
        </is>
      </c>
      <c r="J423" s="17" t="inlineStr">
        <is>
          <t>홈페이지에서 대표번호 확인</t>
        </is>
      </c>
      <c r="K423" s="17" t="inlineStr">
        <is>
          <t>낮음</t>
        </is>
      </c>
      <c r="L423" s="17" t="inlineStr"/>
    </row>
    <row r="424">
      <c r="A424" s="17" t="inlineStr">
        <is>
          <t>C068</t>
        </is>
      </c>
      <c r="B424" s="17" t="inlineStr"/>
      <c r="C424" s="17" t="inlineStr">
        <is>
          <t>아주약품(주)</t>
        </is>
      </c>
      <c r="D424" s="17" t="inlineStr"/>
      <c r="E424" s="17" t="inlineStr">
        <is>
          <t>최근매출(억원)</t>
        </is>
      </c>
      <c r="F424" s="17" t="inlineStr">
        <is>
          <t>미확인</t>
        </is>
      </c>
      <c r="G424" s="17" t="inlineStr">
        <is>
          <t>웹조사 자동화 실패(세션한도)</t>
        </is>
      </c>
      <c r="H424" s="17" t="inlineStr">
        <is>
          <t>N</t>
        </is>
      </c>
      <c r="I424" s="17" t="inlineStr">
        <is>
          <t>DART 사업보고서</t>
        </is>
      </c>
      <c r="J424" s="17" t="inlineStr">
        <is>
          <t>DART 사업보고서에서 확인</t>
        </is>
      </c>
      <c r="K424" s="17" t="inlineStr">
        <is>
          <t>낮음</t>
        </is>
      </c>
      <c r="L424" s="17" t="inlineStr"/>
    </row>
    <row r="425">
      <c r="A425" s="17" t="inlineStr">
        <is>
          <t>C068</t>
        </is>
      </c>
      <c r="B425" s="17" t="inlineStr"/>
      <c r="C425" s="17" t="inlineStr">
        <is>
          <t>아주약품(주)</t>
        </is>
      </c>
      <c r="D425" s="17" t="inlineStr"/>
      <c r="E425" s="17" t="inlineStr">
        <is>
          <t>종업원수</t>
        </is>
      </c>
      <c r="F425" s="17" t="inlineStr">
        <is>
          <t>미확인</t>
        </is>
      </c>
      <c r="G425" s="17" t="inlineStr">
        <is>
          <t>웹조사 자동화 실패(세션한도)</t>
        </is>
      </c>
      <c r="H425" s="17" t="inlineStr">
        <is>
          <t>N</t>
        </is>
      </c>
      <c r="I425" s="17" t="inlineStr">
        <is>
          <t>DART/채용</t>
        </is>
      </c>
      <c r="J425" s="17" t="inlineStr">
        <is>
          <t>DART/채용에서 확인</t>
        </is>
      </c>
      <c r="K425" s="17" t="inlineStr">
        <is>
          <t>낮음</t>
        </is>
      </c>
      <c r="L425" s="17" t="inlineStr"/>
    </row>
    <row r="426">
      <c r="A426" s="17" t="inlineStr">
        <is>
          <t>C068</t>
        </is>
      </c>
      <c r="B426" s="17" t="inlineStr"/>
      <c r="C426" s="17" t="inlineStr">
        <is>
          <t>아주약품(주)</t>
        </is>
      </c>
      <c r="D426" s="17" t="inlineStr"/>
      <c r="E426" s="17" t="inlineStr">
        <is>
          <t>수출여부</t>
        </is>
      </c>
      <c r="F426" s="17" t="inlineStr">
        <is>
          <t>미확인</t>
        </is>
      </c>
      <c r="G426" s="17" t="inlineStr">
        <is>
          <t>웹조사 자동화 실패(세션한도)</t>
        </is>
      </c>
      <c r="H426" s="17" t="inlineStr">
        <is>
          <t>N</t>
        </is>
      </c>
      <c r="I426" s="17" t="inlineStr">
        <is>
          <t>회사 공시·홈페이지</t>
        </is>
      </c>
      <c r="J426" s="17" t="inlineStr">
        <is>
          <t>회사 공시·홈페이지에서 확인</t>
        </is>
      </c>
      <c r="K426" s="17" t="inlineStr">
        <is>
          <t>낮음</t>
        </is>
      </c>
      <c r="L426" s="17" t="inlineStr"/>
    </row>
    <row r="427">
      <c r="A427" s="17" t="inlineStr">
        <is>
          <t>C068</t>
        </is>
      </c>
      <c r="B427" s="17" t="inlineStr"/>
      <c r="C427" s="17" t="inlineStr">
        <is>
          <t>아주약품(주)</t>
        </is>
      </c>
      <c r="D427" s="17" t="inlineStr"/>
      <c r="E427" s="17" t="inlineStr">
        <is>
          <t>FDA·EMA 실사</t>
        </is>
      </c>
      <c r="F427" s="17" t="inlineStr">
        <is>
          <t>미확인</t>
        </is>
      </c>
      <c r="G427" s="17" t="inlineStr">
        <is>
          <t>웹조사 자동화 실패(세션한도)</t>
        </is>
      </c>
      <c r="H427" s="17" t="inlineStr">
        <is>
          <t>N</t>
        </is>
      </c>
      <c r="I427" s="17" t="inlineStr">
        <is>
          <t>FDA Inspection DB</t>
        </is>
      </c>
      <c r="J427" s="17" t="inlineStr">
        <is>
          <t>FDA Inspection DB에서 확인</t>
        </is>
      </c>
      <c r="K427" s="17" t="inlineStr">
        <is>
          <t>낮음</t>
        </is>
      </c>
      <c r="L427" s="17" t="inlineStr"/>
    </row>
    <row r="428">
      <c r="A428" s="17" t="inlineStr">
        <is>
          <t>C068</t>
        </is>
      </c>
      <c r="B428" s="17" t="inlineStr"/>
      <c r="C428" s="17" t="inlineStr">
        <is>
          <t>아주약품(주)</t>
        </is>
      </c>
      <c r="D428" s="17" t="inlineStr"/>
      <c r="E428" s="17" t="inlineStr">
        <is>
          <t>CMO·CDMO</t>
        </is>
      </c>
      <c r="F428" s="17" t="inlineStr">
        <is>
          <t>미확인</t>
        </is>
      </c>
      <c r="G428" s="17" t="inlineStr">
        <is>
          <t>웹조사 자동화 실패(세션한도)</t>
        </is>
      </c>
      <c r="H428" s="17" t="inlineStr">
        <is>
          <t>N</t>
        </is>
      </c>
      <c r="I428" s="17" t="inlineStr">
        <is>
          <t>회사 홈페이지</t>
        </is>
      </c>
      <c r="J428" s="17" t="inlineStr">
        <is>
          <t>회사 홈페이지에서 확인</t>
        </is>
      </c>
      <c r="K428" s="17" t="inlineStr">
        <is>
          <t>낮음</t>
        </is>
      </c>
      <c r="L428" s="17" t="inlineStr"/>
    </row>
    <row r="429">
      <c r="A429" s="17" t="inlineStr">
        <is>
          <t>C068</t>
        </is>
      </c>
      <c r="B429" s="17" t="inlineStr"/>
      <c r="C429" s="17" t="inlineStr">
        <is>
          <t>아주약품(주)</t>
        </is>
      </c>
      <c r="D429" s="17" t="inlineStr"/>
      <c r="E429" s="17" t="inlineStr">
        <is>
          <t>신공장·증설</t>
        </is>
      </c>
      <c r="F429" s="17" t="inlineStr">
        <is>
          <t>미확인</t>
        </is>
      </c>
      <c r="G429" s="17" t="inlineStr">
        <is>
          <t>웹조사 자동화 실패(세션한도)</t>
        </is>
      </c>
      <c r="H429" s="17" t="inlineStr">
        <is>
          <t>N</t>
        </is>
      </c>
      <c r="I429" s="17" t="inlineStr">
        <is>
          <t>언론·지자체 발표</t>
        </is>
      </c>
      <c r="J429" s="17" t="inlineStr">
        <is>
          <t>언론·지자체 발표에서 확인</t>
        </is>
      </c>
      <c r="K429" s="17" t="inlineStr">
        <is>
          <t>낮음</t>
        </is>
      </c>
      <c r="L429" s="17" t="inlineStr"/>
    </row>
    <row r="430">
      <c r="A430" s="17" t="inlineStr">
        <is>
          <t>C069</t>
        </is>
      </c>
      <c r="B430" s="17" t="inlineStr"/>
      <c r="C430" s="17" t="inlineStr">
        <is>
          <t>환인제약(주)</t>
        </is>
      </c>
      <c r="D430" s="17" t="inlineStr"/>
      <c r="E430" s="17" t="inlineStr">
        <is>
          <t>최근매출(억원)</t>
        </is>
      </c>
      <c r="F430" s="17" t="inlineStr">
        <is>
          <t>미확인</t>
        </is>
      </c>
      <c r="G430" s="17" t="inlineStr">
        <is>
          <t>웹조사 자동화 실패(세션한도)</t>
        </is>
      </c>
      <c r="H430" s="17" t="inlineStr">
        <is>
          <t>N</t>
        </is>
      </c>
      <c r="I430" s="17" t="inlineStr">
        <is>
          <t>DART 사업보고서</t>
        </is>
      </c>
      <c r="J430" s="17" t="inlineStr">
        <is>
          <t>DART 사업보고서에서 확인</t>
        </is>
      </c>
      <c r="K430" s="17" t="inlineStr">
        <is>
          <t>낮음</t>
        </is>
      </c>
      <c r="L430" s="17" t="inlineStr"/>
    </row>
    <row r="431">
      <c r="A431" s="17" t="inlineStr">
        <is>
          <t>C069</t>
        </is>
      </c>
      <c r="B431" s="17" t="inlineStr"/>
      <c r="C431" s="17" t="inlineStr">
        <is>
          <t>환인제약(주)</t>
        </is>
      </c>
      <c r="D431" s="17" t="inlineStr"/>
      <c r="E431" s="17" t="inlineStr">
        <is>
          <t>종업원수</t>
        </is>
      </c>
      <c r="F431" s="17" t="inlineStr">
        <is>
          <t>미확인</t>
        </is>
      </c>
      <c r="G431" s="17" t="inlineStr">
        <is>
          <t>웹조사 자동화 실패(세션한도)</t>
        </is>
      </c>
      <c r="H431" s="17" t="inlineStr">
        <is>
          <t>N</t>
        </is>
      </c>
      <c r="I431" s="17" t="inlineStr">
        <is>
          <t>DART/채용</t>
        </is>
      </c>
      <c r="J431" s="17" t="inlineStr">
        <is>
          <t>DART/채용에서 확인</t>
        </is>
      </c>
      <c r="K431" s="17" t="inlineStr">
        <is>
          <t>낮음</t>
        </is>
      </c>
      <c r="L431" s="17" t="inlineStr"/>
    </row>
    <row r="432">
      <c r="A432" s="17" t="inlineStr">
        <is>
          <t>C069</t>
        </is>
      </c>
      <c r="B432" s="17" t="inlineStr"/>
      <c r="C432" s="17" t="inlineStr">
        <is>
          <t>환인제약(주)</t>
        </is>
      </c>
      <c r="D432" s="17" t="inlineStr"/>
      <c r="E432" s="17" t="inlineStr">
        <is>
          <t>수출여부</t>
        </is>
      </c>
      <c r="F432" s="17" t="inlineStr">
        <is>
          <t>미확인</t>
        </is>
      </c>
      <c r="G432" s="17" t="inlineStr">
        <is>
          <t>웹조사 자동화 실패(세션한도)</t>
        </is>
      </c>
      <c r="H432" s="17" t="inlineStr">
        <is>
          <t>N</t>
        </is>
      </c>
      <c r="I432" s="17" t="inlineStr">
        <is>
          <t>회사 공시·홈페이지</t>
        </is>
      </c>
      <c r="J432" s="17" t="inlineStr">
        <is>
          <t>회사 공시·홈페이지에서 확인</t>
        </is>
      </c>
      <c r="K432" s="17" t="inlineStr">
        <is>
          <t>낮음</t>
        </is>
      </c>
      <c r="L432" s="17" t="inlineStr"/>
    </row>
    <row r="433">
      <c r="A433" s="17" t="inlineStr">
        <is>
          <t>C069</t>
        </is>
      </c>
      <c r="B433" s="17" t="inlineStr"/>
      <c r="C433" s="17" t="inlineStr">
        <is>
          <t>환인제약(주)</t>
        </is>
      </c>
      <c r="D433" s="17" t="inlineStr"/>
      <c r="E433" s="17" t="inlineStr">
        <is>
          <t>FDA·EMA 실사</t>
        </is>
      </c>
      <c r="F433" s="17" t="inlineStr">
        <is>
          <t>미확인</t>
        </is>
      </c>
      <c r="G433" s="17" t="inlineStr">
        <is>
          <t>웹조사 자동화 실패(세션한도)</t>
        </is>
      </c>
      <c r="H433" s="17" t="inlineStr">
        <is>
          <t>N</t>
        </is>
      </c>
      <c r="I433" s="17" t="inlineStr">
        <is>
          <t>FDA Inspection DB</t>
        </is>
      </c>
      <c r="J433" s="17" t="inlineStr">
        <is>
          <t>FDA Inspection DB에서 확인</t>
        </is>
      </c>
      <c r="K433" s="17" t="inlineStr">
        <is>
          <t>낮음</t>
        </is>
      </c>
      <c r="L433" s="17" t="inlineStr"/>
    </row>
    <row r="434">
      <c r="A434" s="17" t="inlineStr">
        <is>
          <t>C069</t>
        </is>
      </c>
      <c r="B434" s="17" t="inlineStr"/>
      <c r="C434" s="17" t="inlineStr">
        <is>
          <t>환인제약(주)</t>
        </is>
      </c>
      <c r="D434" s="17" t="inlineStr"/>
      <c r="E434" s="17" t="inlineStr">
        <is>
          <t>CMO·CDMO</t>
        </is>
      </c>
      <c r="F434" s="17" t="inlineStr">
        <is>
          <t>미확인</t>
        </is>
      </c>
      <c r="G434" s="17" t="inlineStr">
        <is>
          <t>웹조사 자동화 실패(세션한도)</t>
        </is>
      </c>
      <c r="H434" s="17" t="inlineStr">
        <is>
          <t>N</t>
        </is>
      </c>
      <c r="I434" s="17" t="inlineStr">
        <is>
          <t>회사 홈페이지</t>
        </is>
      </c>
      <c r="J434" s="17" t="inlineStr">
        <is>
          <t>회사 홈페이지에서 확인</t>
        </is>
      </c>
      <c r="K434" s="17" t="inlineStr">
        <is>
          <t>낮음</t>
        </is>
      </c>
      <c r="L434" s="17" t="inlineStr"/>
    </row>
    <row r="435">
      <c r="A435" s="17" t="inlineStr">
        <is>
          <t>C069</t>
        </is>
      </c>
      <c r="B435" s="17" t="inlineStr"/>
      <c r="C435" s="17" t="inlineStr">
        <is>
          <t>환인제약(주)</t>
        </is>
      </c>
      <c r="D435" s="17" t="inlineStr"/>
      <c r="E435" s="17" t="inlineStr">
        <is>
          <t>신공장·증설</t>
        </is>
      </c>
      <c r="F435" s="17" t="inlineStr">
        <is>
          <t>미확인</t>
        </is>
      </c>
      <c r="G435" s="17" t="inlineStr">
        <is>
          <t>웹조사 자동화 실패(세션한도)</t>
        </is>
      </c>
      <c r="H435" s="17" t="inlineStr">
        <is>
          <t>N</t>
        </is>
      </c>
      <c r="I435" s="17" t="inlineStr">
        <is>
          <t>언론·지자체 발표</t>
        </is>
      </c>
      <c r="J435" s="17" t="inlineStr">
        <is>
          <t>언론·지자체 발표에서 확인</t>
        </is>
      </c>
      <c r="K435" s="17" t="inlineStr">
        <is>
          <t>낮음</t>
        </is>
      </c>
      <c r="L435" s="17" t="inlineStr"/>
    </row>
    <row r="436">
      <c r="A436" s="17" t="inlineStr">
        <is>
          <t>C070</t>
        </is>
      </c>
      <c r="B436" s="17" t="inlineStr"/>
      <c r="C436" s="17" t="inlineStr">
        <is>
          <t>에어프로덕츠코리아(주)</t>
        </is>
      </c>
      <c r="D436" s="17" t="inlineStr"/>
      <c r="E436" s="17" t="inlineStr">
        <is>
          <t>최근매출(억원)</t>
        </is>
      </c>
      <c r="F436" s="17" t="inlineStr">
        <is>
          <t>미확인</t>
        </is>
      </c>
      <c r="G436" s="17" t="inlineStr">
        <is>
          <t>웹조사 자동화 실패(세션한도)</t>
        </is>
      </c>
      <c r="H436" s="17" t="inlineStr">
        <is>
          <t>N</t>
        </is>
      </c>
      <c r="I436" s="17" t="inlineStr">
        <is>
          <t>DART 사업보고서</t>
        </is>
      </c>
      <c r="J436" s="17" t="inlineStr">
        <is>
          <t>DART 사업보고서에서 확인</t>
        </is>
      </c>
      <c r="K436" s="17" t="inlineStr">
        <is>
          <t>낮음</t>
        </is>
      </c>
      <c r="L436" s="17" t="inlineStr"/>
    </row>
    <row r="437">
      <c r="A437" s="17" t="inlineStr">
        <is>
          <t>C070</t>
        </is>
      </c>
      <c r="B437" s="17" t="inlineStr"/>
      <c r="C437" s="17" t="inlineStr">
        <is>
          <t>에어프로덕츠코리아(주)</t>
        </is>
      </c>
      <c r="D437" s="17" t="inlineStr"/>
      <c r="E437" s="17" t="inlineStr">
        <is>
          <t>종업원수</t>
        </is>
      </c>
      <c r="F437" s="17" t="inlineStr">
        <is>
          <t>미확인</t>
        </is>
      </c>
      <c r="G437" s="17" t="inlineStr">
        <is>
          <t>웹조사 자동화 실패(세션한도)</t>
        </is>
      </c>
      <c r="H437" s="17" t="inlineStr">
        <is>
          <t>N</t>
        </is>
      </c>
      <c r="I437" s="17" t="inlineStr">
        <is>
          <t>DART/채용</t>
        </is>
      </c>
      <c r="J437" s="17" t="inlineStr">
        <is>
          <t>DART/채용에서 확인</t>
        </is>
      </c>
      <c r="K437" s="17" t="inlineStr">
        <is>
          <t>낮음</t>
        </is>
      </c>
      <c r="L437" s="17" t="inlineStr"/>
    </row>
    <row r="438">
      <c r="A438" s="17" t="inlineStr">
        <is>
          <t>C070</t>
        </is>
      </c>
      <c r="B438" s="17" t="inlineStr"/>
      <c r="C438" s="17" t="inlineStr">
        <is>
          <t>에어프로덕츠코리아(주)</t>
        </is>
      </c>
      <c r="D438" s="17" t="inlineStr"/>
      <c r="E438" s="17" t="inlineStr">
        <is>
          <t>수출여부</t>
        </is>
      </c>
      <c r="F438" s="17" t="inlineStr">
        <is>
          <t>미확인</t>
        </is>
      </c>
      <c r="G438" s="17" t="inlineStr">
        <is>
          <t>웹조사 자동화 실패(세션한도)</t>
        </is>
      </c>
      <c r="H438" s="17" t="inlineStr">
        <is>
          <t>N</t>
        </is>
      </c>
      <c r="I438" s="17" t="inlineStr">
        <is>
          <t>회사 공시·홈페이지</t>
        </is>
      </c>
      <c r="J438" s="17" t="inlineStr">
        <is>
          <t>회사 공시·홈페이지에서 확인</t>
        </is>
      </c>
      <c r="K438" s="17" t="inlineStr">
        <is>
          <t>낮음</t>
        </is>
      </c>
      <c r="L438" s="17" t="inlineStr"/>
    </row>
    <row r="439">
      <c r="A439" s="17" t="inlineStr">
        <is>
          <t>C070</t>
        </is>
      </c>
      <c r="B439" s="17" t="inlineStr"/>
      <c r="C439" s="17" t="inlineStr">
        <is>
          <t>에어프로덕츠코리아(주)</t>
        </is>
      </c>
      <c r="D439" s="17" t="inlineStr"/>
      <c r="E439" s="17" t="inlineStr">
        <is>
          <t>FDA·EMA 실사</t>
        </is>
      </c>
      <c r="F439" s="17" t="inlineStr">
        <is>
          <t>미확인</t>
        </is>
      </c>
      <c r="G439" s="17" t="inlineStr">
        <is>
          <t>웹조사 자동화 실패(세션한도)</t>
        </is>
      </c>
      <c r="H439" s="17" t="inlineStr">
        <is>
          <t>N</t>
        </is>
      </c>
      <c r="I439" s="17" t="inlineStr">
        <is>
          <t>FDA Inspection DB</t>
        </is>
      </c>
      <c r="J439" s="17" t="inlineStr">
        <is>
          <t>FDA Inspection DB에서 확인</t>
        </is>
      </c>
      <c r="K439" s="17" t="inlineStr">
        <is>
          <t>낮음</t>
        </is>
      </c>
      <c r="L439" s="17" t="inlineStr"/>
    </row>
    <row r="440">
      <c r="A440" s="17" t="inlineStr">
        <is>
          <t>C070</t>
        </is>
      </c>
      <c r="B440" s="17" t="inlineStr"/>
      <c r="C440" s="17" t="inlineStr">
        <is>
          <t>에어프로덕츠코리아(주)</t>
        </is>
      </c>
      <c r="D440" s="17" t="inlineStr"/>
      <c r="E440" s="17" t="inlineStr">
        <is>
          <t>CMO·CDMO</t>
        </is>
      </c>
      <c r="F440" s="17" t="inlineStr">
        <is>
          <t>미확인</t>
        </is>
      </c>
      <c r="G440" s="17" t="inlineStr">
        <is>
          <t>웹조사 자동화 실패(세션한도)</t>
        </is>
      </c>
      <c r="H440" s="17" t="inlineStr">
        <is>
          <t>N</t>
        </is>
      </c>
      <c r="I440" s="17" t="inlineStr">
        <is>
          <t>회사 홈페이지</t>
        </is>
      </c>
      <c r="J440" s="17" t="inlineStr">
        <is>
          <t>회사 홈페이지에서 확인</t>
        </is>
      </c>
      <c r="K440" s="17" t="inlineStr">
        <is>
          <t>낮음</t>
        </is>
      </c>
      <c r="L440" s="17" t="inlineStr"/>
    </row>
    <row r="441">
      <c r="A441" s="17" t="inlineStr">
        <is>
          <t>C070</t>
        </is>
      </c>
      <c r="B441" s="17" t="inlineStr"/>
      <c r="C441" s="17" t="inlineStr">
        <is>
          <t>에어프로덕츠코리아(주)</t>
        </is>
      </c>
      <c r="D441" s="17" t="inlineStr"/>
      <c r="E441" s="17" t="inlineStr">
        <is>
          <t>신공장·증설</t>
        </is>
      </c>
      <c r="F441" s="17" t="inlineStr">
        <is>
          <t>미확인</t>
        </is>
      </c>
      <c r="G441" s="17" t="inlineStr">
        <is>
          <t>웹조사 자동화 실패(세션한도)</t>
        </is>
      </c>
      <c r="H441" s="17" t="inlineStr">
        <is>
          <t>N</t>
        </is>
      </c>
      <c r="I441" s="17" t="inlineStr">
        <is>
          <t>언론·지자체 발표</t>
        </is>
      </c>
      <c r="J441" s="17" t="inlineStr">
        <is>
          <t>언론·지자체 발표에서 확인</t>
        </is>
      </c>
      <c r="K441" s="17" t="inlineStr">
        <is>
          <t>낮음</t>
        </is>
      </c>
      <c r="L441" s="17" t="inlineStr"/>
    </row>
    <row r="442">
      <c r="A442" s="17" t="inlineStr">
        <is>
          <t>C071</t>
        </is>
      </c>
      <c r="B442" s="17" t="inlineStr"/>
      <c r="C442" s="17" t="inlineStr">
        <is>
          <t>(주)서흥</t>
        </is>
      </c>
      <c r="D442" s="17" t="inlineStr"/>
      <c r="E442" s="17" t="inlineStr">
        <is>
          <t>최근매출(억원)</t>
        </is>
      </c>
      <c r="F442" s="17" t="inlineStr">
        <is>
          <t>미확인</t>
        </is>
      </c>
      <c r="G442" s="17" t="inlineStr">
        <is>
          <t>웹조사 자동화 실패(세션한도)</t>
        </is>
      </c>
      <c r="H442" s="17" t="inlineStr">
        <is>
          <t>N</t>
        </is>
      </c>
      <c r="I442" s="17" t="inlineStr">
        <is>
          <t>DART 사업보고서</t>
        </is>
      </c>
      <c r="J442" s="17" t="inlineStr">
        <is>
          <t>DART 사업보고서에서 확인</t>
        </is>
      </c>
      <c r="K442" s="17" t="inlineStr">
        <is>
          <t>낮음</t>
        </is>
      </c>
      <c r="L442" s="17" t="inlineStr"/>
    </row>
    <row r="443">
      <c r="A443" s="17" t="inlineStr">
        <is>
          <t>C071</t>
        </is>
      </c>
      <c r="B443" s="17" t="inlineStr"/>
      <c r="C443" s="17" t="inlineStr">
        <is>
          <t>(주)서흥</t>
        </is>
      </c>
      <c r="D443" s="17" t="inlineStr"/>
      <c r="E443" s="17" t="inlineStr">
        <is>
          <t>종업원수</t>
        </is>
      </c>
      <c r="F443" s="17" t="inlineStr">
        <is>
          <t>미확인</t>
        </is>
      </c>
      <c r="G443" s="17" t="inlineStr">
        <is>
          <t>웹조사 자동화 실패(세션한도)</t>
        </is>
      </c>
      <c r="H443" s="17" t="inlineStr">
        <is>
          <t>N</t>
        </is>
      </c>
      <c r="I443" s="17" t="inlineStr">
        <is>
          <t>DART/채용</t>
        </is>
      </c>
      <c r="J443" s="17" t="inlineStr">
        <is>
          <t>DART/채용에서 확인</t>
        </is>
      </c>
      <c r="K443" s="17" t="inlineStr">
        <is>
          <t>낮음</t>
        </is>
      </c>
      <c r="L443" s="17" t="inlineStr"/>
    </row>
    <row r="444">
      <c r="A444" s="17" t="inlineStr">
        <is>
          <t>C071</t>
        </is>
      </c>
      <c r="B444" s="17" t="inlineStr"/>
      <c r="C444" s="17" t="inlineStr">
        <is>
          <t>(주)서흥</t>
        </is>
      </c>
      <c r="D444" s="17" t="inlineStr"/>
      <c r="E444" s="17" t="inlineStr">
        <is>
          <t>수출여부</t>
        </is>
      </c>
      <c r="F444" s="17" t="inlineStr">
        <is>
          <t>미확인</t>
        </is>
      </c>
      <c r="G444" s="17" t="inlineStr">
        <is>
          <t>웹조사 자동화 실패(세션한도)</t>
        </is>
      </c>
      <c r="H444" s="17" t="inlineStr">
        <is>
          <t>N</t>
        </is>
      </c>
      <c r="I444" s="17" t="inlineStr">
        <is>
          <t>회사 공시·홈페이지</t>
        </is>
      </c>
      <c r="J444" s="17" t="inlineStr">
        <is>
          <t>회사 공시·홈페이지에서 확인</t>
        </is>
      </c>
      <c r="K444" s="17" t="inlineStr">
        <is>
          <t>낮음</t>
        </is>
      </c>
      <c r="L444" s="17" t="inlineStr"/>
    </row>
    <row r="445">
      <c r="A445" s="17" t="inlineStr">
        <is>
          <t>C071</t>
        </is>
      </c>
      <c r="B445" s="17" t="inlineStr"/>
      <c r="C445" s="17" t="inlineStr">
        <is>
          <t>(주)서흥</t>
        </is>
      </c>
      <c r="D445" s="17" t="inlineStr"/>
      <c r="E445" s="17" t="inlineStr">
        <is>
          <t>FDA·EMA 실사</t>
        </is>
      </c>
      <c r="F445" s="17" t="inlineStr">
        <is>
          <t>미확인</t>
        </is>
      </c>
      <c r="G445" s="17" t="inlineStr">
        <is>
          <t>웹조사 자동화 실패(세션한도)</t>
        </is>
      </c>
      <c r="H445" s="17" t="inlineStr">
        <is>
          <t>N</t>
        </is>
      </c>
      <c r="I445" s="17" t="inlineStr">
        <is>
          <t>FDA Inspection DB</t>
        </is>
      </c>
      <c r="J445" s="17" t="inlineStr">
        <is>
          <t>FDA Inspection DB에서 확인</t>
        </is>
      </c>
      <c r="K445" s="17" t="inlineStr">
        <is>
          <t>낮음</t>
        </is>
      </c>
      <c r="L445" s="17" t="inlineStr"/>
    </row>
    <row r="446">
      <c r="A446" s="17" t="inlineStr">
        <is>
          <t>C071</t>
        </is>
      </c>
      <c r="B446" s="17" t="inlineStr"/>
      <c r="C446" s="17" t="inlineStr">
        <is>
          <t>(주)서흥</t>
        </is>
      </c>
      <c r="D446" s="17" t="inlineStr"/>
      <c r="E446" s="17" t="inlineStr">
        <is>
          <t>CMO·CDMO</t>
        </is>
      </c>
      <c r="F446" s="17" t="inlineStr">
        <is>
          <t>미확인</t>
        </is>
      </c>
      <c r="G446" s="17" t="inlineStr">
        <is>
          <t>웹조사 자동화 실패(세션한도)</t>
        </is>
      </c>
      <c r="H446" s="17" t="inlineStr">
        <is>
          <t>N</t>
        </is>
      </c>
      <c r="I446" s="17" t="inlineStr">
        <is>
          <t>회사 홈페이지</t>
        </is>
      </c>
      <c r="J446" s="17" t="inlineStr">
        <is>
          <t>회사 홈페이지에서 확인</t>
        </is>
      </c>
      <c r="K446" s="17" t="inlineStr">
        <is>
          <t>낮음</t>
        </is>
      </c>
      <c r="L446" s="17" t="inlineStr"/>
    </row>
    <row r="447">
      <c r="A447" s="17" t="inlineStr">
        <is>
          <t>C071</t>
        </is>
      </c>
      <c r="B447" s="17" t="inlineStr"/>
      <c r="C447" s="17" t="inlineStr">
        <is>
          <t>(주)서흥</t>
        </is>
      </c>
      <c r="D447" s="17" t="inlineStr"/>
      <c r="E447" s="17" t="inlineStr">
        <is>
          <t>신공장·증설</t>
        </is>
      </c>
      <c r="F447" s="17" t="inlineStr">
        <is>
          <t>미확인</t>
        </is>
      </c>
      <c r="G447" s="17" t="inlineStr">
        <is>
          <t>웹조사 자동화 실패(세션한도)</t>
        </is>
      </c>
      <c r="H447" s="17" t="inlineStr">
        <is>
          <t>N</t>
        </is>
      </c>
      <c r="I447" s="17" t="inlineStr">
        <is>
          <t>언론·지자체 발표</t>
        </is>
      </c>
      <c r="J447" s="17" t="inlineStr">
        <is>
          <t>언론·지자체 발표에서 확인</t>
        </is>
      </c>
      <c r="K447" s="17" t="inlineStr">
        <is>
          <t>낮음</t>
        </is>
      </c>
      <c r="L447" s="17" t="inlineStr"/>
    </row>
    <row r="448">
      <c r="A448" s="17" t="inlineStr">
        <is>
          <t>C072</t>
        </is>
      </c>
      <c r="B448" s="17" t="inlineStr"/>
      <c r="C448" s="17" t="inlineStr">
        <is>
          <t>디아이지에어가스(주)</t>
        </is>
      </c>
      <c r="D448" s="17" t="inlineStr"/>
      <c r="E448" s="17" t="inlineStr">
        <is>
          <t>최근매출(억원)</t>
        </is>
      </c>
      <c r="F448" s="17" t="inlineStr">
        <is>
          <t>미확인</t>
        </is>
      </c>
      <c r="G448" s="17" t="inlineStr">
        <is>
          <t>웹조사 자동화 실패(세션한도)</t>
        </is>
      </c>
      <c r="H448" s="17" t="inlineStr">
        <is>
          <t>N</t>
        </is>
      </c>
      <c r="I448" s="17" t="inlineStr">
        <is>
          <t>DART 사업보고서</t>
        </is>
      </c>
      <c r="J448" s="17" t="inlineStr">
        <is>
          <t>DART 사업보고서에서 확인</t>
        </is>
      </c>
      <c r="K448" s="17" t="inlineStr">
        <is>
          <t>낮음</t>
        </is>
      </c>
      <c r="L448" s="17" t="inlineStr"/>
    </row>
    <row r="449">
      <c r="A449" s="17" t="inlineStr">
        <is>
          <t>C072</t>
        </is>
      </c>
      <c r="B449" s="17" t="inlineStr"/>
      <c r="C449" s="17" t="inlineStr">
        <is>
          <t>디아이지에어가스(주)</t>
        </is>
      </c>
      <c r="D449" s="17" t="inlineStr"/>
      <c r="E449" s="17" t="inlineStr">
        <is>
          <t>종업원수</t>
        </is>
      </c>
      <c r="F449" s="17" t="inlineStr">
        <is>
          <t>미확인</t>
        </is>
      </c>
      <c r="G449" s="17" t="inlineStr">
        <is>
          <t>웹조사 자동화 실패(세션한도)</t>
        </is>
      </c>
      <c r="H449" s="17" t="inlineStr">
        <is>
          <t>N</t>
        </is>
      </c>
      <c r="I449" s="17" t="inlineStr">
        <is>
          <t>DART/채용</t>
        </is>
      </c>
      <c r="J449" s="17" t="inlineStr">
        <is>
          <t>DART/채용에서 확인</t>
        </is>
      </c>
      <c r="K449" s="17" t="inlineStr">
        <is>
          <t>낮음</t>
        </is>
      </c>
      <c r="L449" s="17" t="inlineStr"/>
    </row>
    <row r="450">
      <c r="A450" s="17" t="inlineStr">
        <is>
          <t>C072</t>
        </is>
      </c>
      <c r="B450" s="17" t="inlineStr"/>
      <c r="C450" s="17" t="inlineStr">
        <is>
          <t>디아이지에어가스(주)</t>
        </is>
      </c>
      <c r="D450" s="17" t="inlineStr"/>
      <c r="E450" s="17" t="inlineStr">
        <is>
          <t>수출여부</t>
        </is>
      </c>
      <c r="F450" s="17" t="inlineStr">
        <is>
          <t>미확인</t>
        </is>
      </c>
      <c r="G450" s="17" t="inlineStr">
        <is>
          <t>웹조사 자동화 실패(세션한도)</t>
        </is>
      </c>
      <c r="H450" s="17" t="inlineStr">
        <is>
          <t>N</t>
        </is>
      </c>
      <c r="I450" s="17" t="inlineStr">
        <is>
          <t>회사 공시·홈페이지</t>
        </is>
      </c>
      <c r="J450" s="17" t="inlineStr">
        <is>
          <t>회사 공시·홈페이지에서 확인</t>
        </is>
      </c>
      <c r="K450" s="17" t="inlineStr">
        <is>
          <t>낮음</t>
        </is>
      </c>
      <c r="L450" s="17" t="inlineStr"/>
    </row>
    <row r="451">
      <c r="A451" s="17" t="inlineStr">
        <is>
          <t>C072</t>
        </is>
      </c>
      <c r="B451" s="17" t="inlineStr"/>
      <c r="C451" s="17" t="inlineStr">
        <is>
          <t>디아이지에어가스(주)</t>
        </is>
      </c>
      <c r="D451" s="17" t="inlineStr"/>
      <c r="E451" s="17" t="inlineStr">
        <is>
          <t>FDA·EMA 실사</t>
        </is>
      </c>
      <c r="F451" s="17" t="inlineStr">
        <is>
          <t>미확인</t>
        </is>
      </c>
      <c r="G451" s="17" t="inlineStr">
        <is>
          <t>웹조사 자동화 실패(세션한도)</t>
        </is>
      </c>
      <c r="H451" s="17" t="inlineStr">
        <is>
          <t>N</t>
        </is>
      </c>
      <c r="I451" s="17" t="inlineStr">
        <is>
          <t>FDA Inspection DB</t>
        </is>
      </c>
      <c r="J451" s="17" t="inlineStr">
        <is>
          <t>FDA Inspection DB에서 확인</t>
        </is>
      </c>
      <c r="K451" s="17" t="inlineStr">
        <is>
          <t>낮음</t>
        </is>
      </c>
      <c r="L451" s="17" t="inlineStr"/>
    </row>
    <row r="452">
      <c r="A452" s="17" t="inlineStr">
        <is>
          <t>C072</t>
        </is>
      </c>
      <c r="B452" s="17" t="inlineStr"/>
      <c r="C452" s="17" t="inlineStr">
        <is>
          <t>디아이지에어가스(주)</t>
        </is>
      </c>
      <c r="D452" s="17" t="inlineStr"/>
      <c r="E452" s="17" t="inlineStr">
        <is>
          <t>CMO·CDMO</t>
        </is>
      </c>
      <c r="F452" s="17" t="inlineStr">
        <is>
          <t>미확인</t>
        </is>
      </c>
      <c r="G452" s="17" t="inlineStr">
        <is>
          <t>웹조사 자동화 실패(세션한도)</t>
        </is>
      </c>
      <c r="H452" s="17" t="inlineStr">
        <is>
          <t>N</t>
        </is>
      </c>
      <c r="I452" s="17" t="inlineStr">
        <is>
          <t>회사 홈페이지</t>
        </is>
      </c>
      <c r="J452" s="17" t="inlineStr">
        <is>
          <t>회사 홈페이지에서 확인</t>
        </is>
      </c>
      <c r="K452" s="17" t="inlineStr">
        <is>
          <t>낮음</t>
        </is>
      </c>
      <c r="L452" s="17" t="inlineStr"/>
    </row>
    <row r="453">
      <c r="A453" s="17" t="inlineStr">
        <is>
          <t>C072</t>
        </is>
      </c>
      <c r="B453" s="17" t="inlineStr"/>
      <c r="C453" s="17" t="inlineStr">
        <is>
          <t>디아이지에어가스(주)</t>
        </is>
      </c>
      <c r="D453" s="17" t="inlineStr"/>
      <c r="E453" s="17" t="inlineStr">
        <is>
          <t>신공장·증설</t>
        </is>
      </c>
      <c r="F453" s="17" t="inlineStr">
        <is>
          <t>미확인</t>
        </is>
      </c>
      <c r="G453" s="17" t="inlineStr">
        <is>
          <t>웹조사 자동화 실패(세션한도)</t>
        </is>
      </c>
      <c r="H453" s="17" t="inlineStr">
        <is>
          <t>N</t>
        </is>
      </c>
      <c r="I453" s="17" t="inlineStr">
        <is>
          <t>언론·지자체 발표</t>
        </is>
      </c>
      <c r="J453" s="17" t="inlineStr">
        <is>
          <t>언론·지자체 발표에서 확인</t>
        </is>
      </c>
      <c r="K453" s="17" t="inlineStr">
        <is>
          <t>낮음</t>
        </is>
      </c>
      <c r="L453" s="17" t="inlineStr"/>
    </row>
    <row r="454">
      <c r="A454" s="17" t="inlineStr">
        <is>
          <t>C073</t>
        </is>
      </c>
      <c r="B454" s="17" t="inlineStr"/>
      <c r="C454" s="17" t="inlineStr">
        <is>
          <t>(주)텔콘알에프제약</t>
        </is>
      </c>
      <c r="D454" s="17" t="inlineStr"/>
      <c r="E454" s="17" t="inlineStr">
        <is>
          <t>최근매출(억원)</t>
        </is>
      </c>
      <c r="F454" s="17" t="inlineStr">
        <is>
          <t>미확인</t>
        </is>
      </c>
      <c r="G454" s="17" t="inlineStr">
        <is>
          <t>웹조사 자동화 실패(세션한도)</t>
        </is>
      </c>
      <c r="H454" s="17" t="inlineStr">
        <is>
          <t>N</t>
        </is>
      </c>
      <c r="I454" s="17" t="inlineStr">
        <is>
          <t>DART 사업보고서</t>
        </is>
      </c>
      <c r="J454" s="17" t="inlineStr">
        <is>
          <t>DART 사업보고서에서 확인</t>
        </is>
      </c>
      <c r="K454" s="17" t="inlineStr">
        <is>
          <t>낮음</t>
        </is>
      </c>
      <c r="L454" s="17" t="inlineStr"/>
    </row>
    <row r="455">
      <c r="A455" s="17" t="inlineStr">
        <is>
          <t>C073</t>
        </is>
      </c>
      <c r="B455" s="17" t="inlineStr"/>
      <c r="C455" s="17" t="inlineStr">
        <is>
          <t>(주)텔콘알에프제약</t>
        </is>
      </c>
      <c r="D455" s="17" t="inlineStr"/>
      <c r="E455" s="17" t="inlineStr">
        <is>
          <t>종업원수</t>
        </is>
      </c>
      <c r="F455" s="17" t="inlineStr">
        <is>
          <t>미확인</t>
        </is>
      </c>
      <c r="G455" s="17" t="inlineStr">
        <is>
          <t>웹조사 자동화 실패(세션한도)</t>
        </is>
      </c>
      <c r="H455" s="17" t="inlineStr">
        <is>
          <t>N</t>
        </is>
      </c>
      <c r="I455" s="17" t="inlineStr">
        <is>
          <t>DART/채용</t>
        </is>
      </c>
      <c r="J455" s="17" t="inlineStr">
        <is>
          <t>DART/채용에서 확인</t>
        </is>
      </c>
      <c r="K455" s="17" t="inlineStr">
        <is>
          <t>낮음</t>
        </is>
      </c>
      <c r="L455" s="17" t="inlineStr"/>
    </row>
    <row r="456">
      <c r="A456" s="17" t="inlineStr">
        <is>
          <t>C073</t>
        </is>
      </c>
      <c r="B456" s="17" t="inlineStr"/>
      <c r="C456" s="17" t="inlineStr">
        <is>
          <t>(주)텔콘알에프제약</t>
        </is>
      </c>
      <c r="D456" s="17" t="inlineStr"/>
      <c r="E456" s="17" t="inlineStr">
        <is>
          <t>수출여부</t>
        </is>
      </c>
      <c r="F456" s="17" t="inlineStr">
        <is>
          <t>미확인</t>
        </is>
      </c>
      <c r="G456" s="17" t="inlineStr">
        <is>
          <t>웹조사 자동화 실패(세션한도)</t>
        </is>
      </c>
      <c r="H456" s="17" t="inlineStr">
        <is>
          <t>N</t>
        </is>
      </c>
      <c r="I456" s="17" t="inlineStr">
        <is>
          <t>회사 공시·홈페이지</t>
        </is>
      </c>
      <c r="J456" s="17" t="inlineStr">
        <is>
          <t>회사 공시·홈페이지에서 확인</t>
        </is>
      </c>
      <c r="K456" s="17" t="inlineStr">
        <is>
          <t>낮음</t>
        </is>
      </c>
      <c r="L456" s="17" t="inlineStr"/>
    </row>
    <row r="457">
      <c r="A457" s="17" t="inlineStr">
        <is>
          <t>C073</t>
        </is>
      </c>
      <c r="B457" s="17" t="inlineStr"/>
      <c r="C457" s="17" t="inlineStr">
        <is>
          <t>(주)텔콘알에프제약</t>
        </is>
      </c>
      <c r="D457" s="17" t="inlineStr"/>
      <c r="E457" s="17" t="inlineStr">
        <is>
          <t>FDA·EMA 실사</t>
        </is>
      </c>
      <c r="F457" s="17" t="inlineStr">
        <is>
          <t>미확인</t>
        </is>
      </c>
      <c r="G457" s="17" t="inlineStr">
        <is>
          <t>웹조사 자동화 실패(세션한도)</t>
        </is>
      </c>
      <c r="H457" s="17" t="inlineStr">
        <is>
          <t>N</t>
        </is>
      </c>
      <c r="I457" s="17" t="inlineStr">
        <is>
          <t>FDA Inspection DB</t>
        </is>
      </c>
      <c r="J457" s="17" t="inlineStr">
        <is>
          <t>FDA Inspection DB에서 확인</t>
        </is>
      </c>
      <c r="K457" s="17" t="inlineStr">
        <is>
          <t>낮음</t>
        </is>
      </c>
      <c r="L457" s="17" t="inlineStr"/>
    </row>
    <row r="458">
      <c r="A458" s="17" t="inlineStr">
        <is>
          <t>C073</t>
        </is>
      </c>
      <c r="B458" s="17" t="inlineStr"/>
      <c r="C458" s="17" t="inlineStr">
        <is>
          <t>(주)텔콘알에프제약</t>
        </is>
      </c>
      <c r="D458" s="17" t="inlineStr"/>
      <c r="E458" s="17" t="inlineStr">
        <is>
          <t>CMO·CDMO</t>
        </is>
      </c>
      <c r="F458" s="17" t="inlineStr">
        <is>
          <t>미확인</t>
        </is>
      </c>
      <c r="G458" s="17" t="inlineStr">
        <is>
          <t>웹조사 자동화 실패(세션한도)</t>
        </is>
      </c>
      <c r="H458" s="17" t="inlineStr">
        <is>
          <t>N</t>
        </is>
      </c>
      <c r="I458" s="17" t="inlineStr">
        <is>
          <t>회사 홈페이지</t>
        </is>
      </c>
      <c r="J458" s="17" t="inlineStr">
        <is>
          <t>회사 홈페이지에서 확인</t>
        </is>
      </c>
      <c r="K458" s="17" t="inlineStr">
        <is>
          <t>낮음</t>
        </is>
      </c>
      <c r="L458" s="17" t="inlineStr"/>
    </row>
    <row r="459">
      <c r="A459" s="17" t="inlineStr">
        <is>
          <t>C073</t>
        </is>
      </c>
      <c r="B459" s="17" t="inlineStr"/>
      <c r="C459" s="17" t="inlineStr">
        <is>
          <t>(주)텔콘알에프제약</t>
        </is>
      </c>
      <c r="D459" s="17" t="inlineStr"/>
      <c r="E459" s="17" t="inlineStr">
        <is>
          <t>신공장·증설</t>
        </is>
      </c>
      <c r="F459" s="17" t="inlineStr">
        <is>
          <t>미확인</t>
        </is>
      </c>
      <c r="G459" s="17" t="inlineStr">
        <is>
          <t>웹조사 자동화 실패(세션한도)</t>
        </is>
      </c>
      <c r="H459" s="17" t="inlineStr">
        <is>
          <t>N</t>
        </is>
      </c>
      <c r="I459" s="17" t="inlineStr">
        <is>
          <t>언론·지자체 발표</t>
        </is>
      </c>
      <c r="J459" s="17" t="inlineStr">
        <is>
          <t>언론·지자체 발표에서 확인</t>
        </is>
      </c>
      <c r="K459" s="17" t="inlineStr">
        <is>
          <t>낮음</t>
        </is>
      </c>
      <c r="L459" s="17" t="inlineStr"/>
    </row>
    <row r="460">
      <c r="A460" s="17" t="inlineStr">
        <is>
          <t>C074</t>
        </is>
      </c>
      <c r="B460" s="17" t="inlineStr"/>
      <c r="C460" s="17" t="inlineStr">
        <is>
          <t>한솔신약(주)</t>
        </is>
      </c>
      <c r="D460" s="17" t="inlineStr"/>
      <c r="E460" s="17" t="inlineStr">
        <is>
          <t>최근매출(억원)</t>
        </is>
      </c>
      <c r="F460" s="17" t="inlineStr">
        <is>
          <t>미확인</t>
        </is>
      </c>
      <c r="G460" s="17" t="inlineStr">
        <is>
          <t>웹조사 자동화 실패(세션한도)</t>
        </is>
      </c>
      <c r="H460" s="17" t="inlineStr">
        <is>
          <t>N</t>
        </is>
      </c>
      <c r="I460" s="17" t="inlineStr">
        <is>
          <t>DART 사업보고서</t>
        </is>
      </c>
      <c r="J460" s="17" t="inlineStr">
        <is>
          <t>DART 사업보고서에서 확인</t>
        </is>
      </c>
      <c r="K460" s="17" t="inlineStr">
        <is>
          <t>낮음</t>
        </is>
      </c>
      <c r="L460" s="17" t="inlineStr"/>
    </row>
    <row r="461">
      <c r="A461" s="17" t="inlineStr">
        <is>
          <t>C074</t>
        </is>
      </c>
      <c r="B461" s="17" t="inlineStr"/>
      <c r="C461" s="17" t="inlineStr">
        <is>
          <t>한솔신약(주)</t>
        </is>
      </c>
      <c r="D461" s="17" t="inlineStr"/>
      <c r="E461" s="17" t="inlineStr">
        <is>
          <t>종업원수</t>
        </is>
      </c>
      <c r="F461" s="17" t="inlineStr">
        <is>
          <t>미확인</t>
        </is>
      </c>
      <c r="G461" s="17" t="inlineStr">
        <is>
          <t>웹조사 자동화 실패(세션한도)</t>
        </is>
      </c>
      <c r="H461" s="17" t="inlineStr">
        <is>
          <t>N</t>
        </is>
      </c>
      <c r="I461" s="17" t="inlineStr">
        <is>
          <t>DART/채용</t>
        </is>
      </c>
      <c r="J461" s="17" t="inlineStr">
        <is>
          <t>DART/채용에서 확인</t>
        </is>
      </c>
      <c r="K461" s="17" t="inlineStr">
        <is>
          <t>낮음</t>
        </is>
      </c>
      <c r="L461" s="17" t="inlineStr"/>
    </row>
    <row r="462">
      <c r="A462" s="17" t="inlineStr">
        <is>
          <t>C074</t>
        </is>
      </c>
      <c r="B462" s="17" t="inlineStr"/>
      <c r="C462" s="17" t="inlineStr">
        <is>
          <t>한솔신약(주)</t>
        </is>
      </c>
      <c r="D462" s="17" t="inlineStr"/>
      <c r="E462" s="17" t="inlineStr">
        <is>
          <t>수출여부</t>
        </is>
      </c>
      <c r="F462" s="17" t="inlineStr">
        <is>
          <t>미확인</t>
        </is>
      </c>
      <c r="G462" s="17" t="inlineStr">
        <is>
          <t>웹조사 자동화 실패(세션한도)</t>
        </is>
      </c>
      <c r="H462" s="17" t="inlineStr">
        <is>
          <t>N</t>
        </is>
      </c>
      <c r="I462" s="17" t="inlineStr">
        <is>
          <t>회사 공시·홈페이지</t>
        </is>
      </c>
      <c r="J462" s="17" t="inlineStr">
        <is>
          <t>회사 공시·홈페이지에서 확인</t>
        </is>
      </c>
      <c r="K462" s="17" t="inlineStr">
        <is>
          <t>낮음</t>
        </is>
      </c>
      <c r="L462" s="17" t="inlineStr"/>
    </row>
    <row r="463">
      <c r="A463" s="17" t="inlineStr">
        <is>
          <t>C074</t>
        </is>
      </c>
      <c r="B463" s="17" t="inlineStr"/>
      <c r="C463" s="17" t="inlineStr">
        <is>
          <t>한솔신약(주)</t>
        </is>
      </c>
      <c r="D463" s="17" t="inlineStr"/>
      <c r="E463" s="17" t="inlineStr">
        <is>
          <t>FDA·EMA 실사</t>
        </is>
      </c>
      <c r="F463" s="17" t="inlineStr">
        <is>
          <t>미확인</t>
        </is>
      </c>
      <c r="G463" s="17" t="inlineStr">
        <is>
          <t>웹조사 자동화 실패(세션한도)</t>
        </is>
      </c>
      <c r="H463" s="17" t="inlineStr">
        <is>
          <t>N</t>
        </is>
      </c>
      <c r="I463" s="17" t="inlineStr">
        <is>
          <t>FDA Inspection DB</t>
        </is>
      </c>
      <c r="J463" s="17" t="inlineStr">
        <is>
          <t>FDA Inspection DB에서 확인</t>
        </is>
      </c>
      <c r="K463" s="17" t="inlineStr">
        <is>
          <t>낮음</t>
        </is>
      </c>
      <c r="L463" s="17" t="inlineStr"/>
    </row>
    <row r="464">
      <c r="A464" s="17" t="inlineStr">
        <is>
          <t>C074</t>
        </is>
      </c>
      <c r="B464" s="17" t="inlineStr"/>
      <c r="C464" s="17" t="inlineStr">
        <is>
          <t>한솔신약(주)</t>
        </is>
      </c>
      <c r="D464" s="17" t="inlineStr"/>
      <c r="E464" s="17" t="inlineStr">
        <is>
          <t>CMO·CDMO</t>
        </is>
      </c>
      <c r="F464" s="17" t="inlineStr">
        <is>
          <t>미확인</t>
        </is>
      </c>
      <c r="G464" s="17" t="inlineStr">
        <is>
          <t>웹조사 자동화 실패(세션한도)</t>
        </is>
      </c>
      <c r="H464" s="17" t="inlineStr">
        <is>
          <t>N</t>
        </is>
      </c>
      <c r="I464" s="17" t="inlineStr">
        <is>
          <t>회사 홈페이지</t>
        </is>
      </c>
      <c r="J464" s="17" t="inlineStr">
        <is>
          <t>회사 홈페이지에서 확인</t>
        </is>
      </c>
      <c r="K464" s="17" t="inlineStr">
        <is>
          <t>낮음</t>
        </is>
      </c>
      <c r="L464" s="17" t="inlineStr"/>
    </row>
    <row r="465">
      <c r="A465" s="17" t="inlineStr">
        <is>
          <t>C074</t>
        </is>
      </c>
      <c r="B465" s="17" t="inlineStr"/>
      <c r="C465" s="17" t="inlineStr">
        <is>
          <t>한솔신약(주)</t>
        </is>
      </c>
      <c r="D465" s="17" t="inlineStr"/>
      <c r="E465" s="17" t="inlineStr">
        <is>
          <t>신공장·증설</t>
        </is>
      </c>
      <c r="F465" s="17" t="inlineStr">
        <is>
          <t>미확인</t>
        </is>
      </c>
      <c r="G465" s="17" t="inlineStr">
        <is>
          <t>웹조사 자동화 실패(세션한도)</t>
        </is>
      </c>
      <c r="H465" s="17" t="inlineStr">
        <is>
          <t>N</t>
        </is>
      </c>
      <c r="I465" s="17" t="inlineStr">
        <is>
          <t>언론·지자체 발표</t>
        </is>
      </c>
      <c r="J465" s="17" t="inlineStr">
        <is>
          <t>언론·지자체 발표에서 확인</t>
        </is>
      </c>
      <c r="K465" s="17" t="inlineStr">
        <is>
          <t>낮음</t>
        </is>
      </c>
      <c r="L465" s="17" t="inlineStr"/>
    </row>
    <row r="466">
      <c r="A466" s="17" t="inlineStr">
        <is>
          <t>C075</t>
        </is>
      </c>
      <c r="B466" s="17" t="inlineStr"/>
      <c r="C466" s="17" t="inlineStr">
        <is>
          <t>(주)유한양행</t>
        </is>
      </c>
      <c r="D466" s="17" t="inlineStr"/>
      <c r="E466" s="17" t="inlineStr">
        <is>
          <t>최근매출(억원)</t>
        </is>
      </c>
      <c r="F466" s="17" t="inlineStr">
        <is>
          <t>미확인</t>
        </is>
      </c>
      <c r="G466" s="17" t="inlineStr">
        <is>
          <t>웹조사 자동화 실패(세션한도)</t>
        </is>
      </c>
      <c r="H466" s="17" t="inlineStr">
        <is>
          <t>N</t>
        </is>
      </c>
      <c r="I466" s="17" t="inlineStr">
        <is>
          <t>DART 사업보고서</t>
        </is>
      </c>
      <c r="J466" s="17" t="inlineStr">
        <is>
          <t>DART 사업보고서에서 확인</t>
        </is>
      </c>
      <c r="K466" s="17" t="inlineStr">
        <is>
          <t>낮음</t>
        </is>
      </c>
      <c r="L466" s="17" t="inlineStr"/>
    </row>
    <row r="467">
      <c r="A467" s="17" t="inlineStr">
        <is>
          <t>C075</t>
        </is>
      </c>
      <c r="B467" s="17" t="inlineStr"/>
      <c r="C467" s="17" t="inlineStr">
        <is>
          <t>(주)유한양행</t>
        </is>
      </c>
      <c r="D467" s="17" t="inlineStr"/>
      <c r="E467" s="17" t="inlineStr">
        <is>
          <t>종업원수</t>
        </is>
      </c>
      <c r="F467" s="17" t="inlineStr">
        <is>
          <t>미확인</t>
        </is>
      </c>
      <c r="G467" s="17" t="inlineStr">
        <is>
          <t>웹조사 자동화 실패(세션한도)</t>
        </is>
      </c>
      <c r="H467" s="17" t="inlineStr">
        <is>
          <t>N</t>
        </is>
      </c>
      <c r="I467" s="17" t="inlineStr">
        <is>
          <t>DART/채용</t>
        </is>
      </c>
      <c r="J467" s="17" t="inlineStr">
        <is>
          <t>DART/채용에서 확인</t>
        </is>
      </c>
      <c r="K467" s="17" t="inlineStr">
        <is>
          <t>낮음</t>
        </is>
      </c>
      <c r="L467" s="17" t="inlineStr"/>
    </row>
    <row r="468">
      <c r="A468" s="17" t="inlineStr">
        <is>
          <t>C075</t>
        </is>
      </c>
      <c r="B468" s="17" t="inlineStr"/>
      <c r="C468" s="17" t="inlineStr">
        <is>
          <t>(주)유한양행</t>
        </is>
      </c>
      <c r="D468" s="17" t="inlineStr"/>
      <c r="E468" s="17" t="inlineStr">
        <is>
          <t>수출여부</t>
        </is>
      </c>
      <c r="F468" s="17" t="inlineStr">
        <is>
          <t>미확인</t>
        </is>
      </c>
      <c r="G468" s="17" t="inlineStr">
        <is>
          <t>웹조사 자동화 실패(세션한도)</t>
        </is>
      </c>
      <c r="H468" s="17" t="inlineStr">
        <is>
          <t>N</t>
        </is>
      </c>
      <c r="I468" s="17" t="inlineStr">
        <is>
          <t>회사 공시·홈페이지</t>
        </is>
      </c>
      <c r="J468" s="17" t="inlineStr">
        <is>
          <t>회사 공시·홈페이지에서 확인</t>
        </is>
      </c>
      <c r="K468" s="17" t="inlineStr">
        <is>
          <t>낮음</t>
        </is>
      </c>
      <c r="L468" s="17" t="inlineStr"/>
    </row>
    <row r="469">
      <c r="A469" s="17" t="inlineStr">
        <is>
          <t>C075</t>
        </is>
      </c>
      <c r="B469" s="17" t="inlineStr"/>
      <c r="C469" s="17" t="inlineStr">
        <is>
          <t>(주)유한양행</t>
        </is>
      </c>
      <c r="D469" s="17" t="inlineStr"/>
      <c r="E469" s="17" t="inlineStr">
        <is>
          <t>FDA·EMA 실사</t>
        </is>
      </c>
      <c r="F469" s="17" t="inlineStr">
        <is>
          <t>미확인</t>
        </is>
      </c>
      <c r="G469" s="17" t="inlineStr">
        <is>
          <t>웹조사 자동화 실패(세션한도)</t>
        </is>
      </c>
      <c r="H469" s="17" t="inlineStr">
        <is>
          <t>N</t>
        </is>
      </c>
      <c r="I469" s="17" t="inlineStr">
        <is>
          <t>FDA Inspection DB</t>
        </is>
      </c>
      <c r="J469" s="17" t="inlineStr">
        <is>
          <t>FDA Inspection DB에서 확인</t>
        </is>
      </c>
      <c r="K469" s="17" t="inlineStr">
        <is>
          <t>낮음</t>
        </is>
      </c>
      <c r="L469" s="17" t="inlineStr"/>
    </row>
    <row r="470">
      <c r="A470" s="17" t="inlineStr">
        <is>
          <t>C075</t>
        </is>
      </c>
      <c r="B470" s="17" t="inlineStr"/>
      <c r="C470" s="17" t="inlineStr">
        <is>
          <t>(주)유한양행</t>
        </is>
      </c>
      <c r="D470" s="17" t="inlineStr"/>
      <c r="E470" s="17" t="inlineStr">
        <is>
          <t>CMO·CDMO</t>
        </is>
      </c>
      <c r="F470" s="17" t="inlineStr">
        <is>
          <t>미확인</t>
        </is>
      </c>
      <c r="G470" s="17" t="inlineStr">
        <is>
          <t>웹조사 자동화 실패(세션한도)</t>
        </is>
      </c>
      <c r="H470" s="17" t="inlineStr">
        <is>
          <t>N</t>
        </is>
      </c>
      <c r="I470" s="17" t="inlineStr">
        <is>
          <t>회사 홈페이지</t>
        </is>
      </c>
      <c r="J470" s="17" t="inlineStr">
        <is>
          <t>회사 홈페이지에서 확인</t>
        </is>
      </c>
      <c r="K470" s="17" t="inlineStr">
        <is>
          <t>낮음</t>
        </is>
      </c>
      <c r="L470" s="17" t="inlineStr"/>
    </row>
    <row r="471">
      <c r="A471" s="17" t="inlineStr">
        <is>
          <t>C075</t>
        </is>
      </c>
      <c r="B471" s="17" t="inlineStr"/>
      <c r="C471" s="17" t="inlineStr">
        <is>
          <t>(주)유한양행</t>
        </is>
      </c>
      <c r="D471" s="17" t="inlineStr"/>
      <c r="E471" s="17" t="inlineStr">
        <is>
          <t>신공장·증설</t>
        </is>
      </c>
      <c r="F471" s="17" t="inlineStr">
        <is>
          <t>미확인</t>
        </is>
      </c>
      <c r="G471" s="17" t="inlineStr">
        <is>
          <t>웹조사 자동화 실패(세션한도)</t>
        </is>
      </c>
      <c r="H471" s="17" t="inlineStr">
        <is>
          <t>N</t>
        </is>
      </c>
      <c r="I471" s="17" t="inlineStr">
        <is>
          <t>언론·지자체 발표</t>
        </is>
      </c>
      <c r="J471" s="17" t="inlineStr">
        <is>
          <t>언론·지자체 발표에서 확인</t>
        </is>
      </c>
      <c r="K471" s="17" t="inlineStr">
        <is>
          <t>낮음</t>
        </is>
      </c>
      <c r="L471" s="17" t="inlineStr"/>
    </row>
    <row r="472">
      <c r="A472" s="17" t="inlineStr">
        <is>
          <t>C075</t>
        </is>
      </c>
      <c r="B472" s="17" t="inlineStr"/>
      <c r="C472" s="17" t="inlineStr">
        <is>
          <t>(주)유한양행</t>
        </is>
      </c>
      <c r="D472" s="17" t="inlineStr"/>
      <c r="E472" s="17" t="inlineStr">
        <is>
          <t>대표전화</t>
        </is>
      </c>
      <c r="F472" s="17" t="inlineStr">
        <is>
          <t>미확인</t>
        </is>
      </c>
      <c r="G472" s="17" t="inlineStr">
        <is>
          <t>제조소상세 미매칭</t>
        </is>
      </c>
      <c r="H472" s="17" t="inlineStr">
        <is>
          <t>Y</t>
        </is>
      </c>
      <c r="I472" s="17" t="inlineStr">
        <is>
          <t>회사 홈페이지</t>
        </is>
      </c>
      <c r="J472" s="17" t="inlineStr">
        <is>
          <t>홈페이지에서 대표번호 확인</t>
        </is>
      </c>
      <c r="K472" s="17" t="inlineStr">
        <is>
          <t>낮음</t>
        </is>
      </c>
      <c r="L472" s="17" t="inlineStr"/>
    </row>
    <row r="473">
      <c r="A473" s="17" t="inlineStr">
        <is>
          <t>C076</t>
        </is>
      </c>
      <c r="B473" s="17" t="inlineStr"/>
      <c r="C473" s="17" t="inlineStr">
        <is>
          <t>(주)종근당바이오</t>
        </is>
      </c>
      <c r="D473" s="17" t="inlineStr"/>
      <c r="E473" s="17" t="inlineStr">
        <is>
          <t>최근매출(억원)</t>
        </is>
      </c>
      <c r="F473" s="17" t="inlineStr">
        <is>
          <t>미확인</t>
        </is>
      </c>
      <c r="G473" s="17" t="inlineStr">
        <is>
          <t>웹조사 자동화 실패(세션한도)</t>
        </is>
      </c>
      <c r="H473" s="17" t="inlineStr">
        <is>
          <t>N</t>
        </is>
      </c>
      <c r="I473" s="17" t="inlineStr">
        <is>
          <t>DART 사업보고서</t>
        </is>
      </c>
      <c r="J473" s="17" t="inlineStr">
        <is>
          <t>DART 사업보고서에서 확인</t>
        </is>
      </c>
      <c r="K473" s="17" t="inlineStr">
        <is>
          <t>중간</t>
        </is>
      </c>
      <c r="L473" s="17" t="inlineStr"/>
    </row>
    <row r="474">
      <c r="A474" s="17" t="inlineStr">
        <is>
          <t>C076</t>
        </is>
      </c>
      <c r="B474" s="17" t="inlineStr"/>
      <c r="C474" s="17" t="inlineStr">
        <is>
          <t>(주)종근당바이오</t>
        </is>
      </c>
      <c r="D474" s="17" t="inlineStr"/>
      <c r="E474" s="17" t="inlineStr">
        <is>
          <t>종업원수</t>
        </is>
      </c>
      <c r="F474" s="17" t="inlineStr">
        <is>
          <t>미확인</t>
        </is>
      </c>
      <c r="G474" s="17" t="inlineStr">
        <is>
          <t>웹조사 자동화 실패(세션한도)</t>
        </is>
      </c>
      <c r="H474" s="17" t="inlineStr">
        <is>
          <t>N</t>
        </is>
      </c>
      <c r="I474" s="17" t="inlineStr">
        <is>
          <t>DART/채용</t>
        </is>
      </c>
      <c r="J474" s="17" t="inlineStr">
        <is>
          <t>DART/채용에서 확인</t>
        </is>
      </c>
      <c r="K474" s="17" t="inlineStr">
        <is>
          <t>중간</t>
        </is>
      </c>
      <c r="L474" s="17" t="inlineStr"/>
    </row>
    <row r="475">
      <c r="A475" s="17" t="inlineStr">
        <is>
          <t>C076</t>
        </is>
      </c>
      <c r="B475" s="17" t="inlineStr"/>
      <c r="C475" s="17" t="inlineStr">
        <is>
          <t>(주)종근당바이오</t>
        </is>
      </c>
      <c r="D475" s="17" t="inlineStr"/>
      <c r="E475" s="17" t="inlineStr">
        <is>
          <t>수출여부</t>
        </is>
      </c>
      <c r="F475" s="17" t="inlineStr">
        <is>
          <t>미확인</t>
        </is>
      </c>
      <c r="G475" s="17" t="inlineStr">
        <is>
          <t>웹조사 자동화 실패(세션한도)</t>
        </is>
      </c>
      <c r="H475" s="17" t="inlineStr">
        <is>
          <t>N</t>
        </is>
      </c>
      <c r="I475" s="17" t="inlineStr">
        <is>
          <t>회사 공시·홈페이지</t>
        </is>
      </c>
      <c r="J475" s="17" t="inlineStr">
        <is>
          <t>회사 공시·홈페이지에서 확인</t>
        </is>
      </c>
      <c r="K475" s="17" t="inlineStr">
        <is>
          <t>중간</t>
        </is>
      </c>
      <c r="L475" s="17" t="inlineStr"/>
    </row>
    <row r="476">
      <c r="A476" s="17" t="inlineStr">
        <is>
          <t>C076</t>
        </is>
      </c>
      <c r="B476" s="17" t="inlineStr"/>
      <c r="C476" s="17" t="inlineStr">
        <is>
          <t>(주)종근당바이오</t>
        </is>
      </c>
      <c r="D476" s="17" t="inlineStr"/>
      <c r="E476" s="17" t="inlineStr">
        <is>
          <t>FDA·EMA 실사</t>
        </is>
      </c>
      <c r="F476" s="17" t="inlineStr">
        <is>
          <t>미확인</t>
        </is>
      </c>
      <c r="G476" s="17" t="inlineStr">
        <is>
          <t>웹조사 자동화 실패(세션한도)</t>
        </is>
      </c>
      <c r="H476" s="17" t="inlineStr">
        <is>
          <t>N</t>
        </is>
      </c>
      <c r="I476" s="17" t="inlineStr">
        <is>
          <t>FDA Inspection DB</t>
        </is>
      </c>
      <c r="J476" s="17" t="inlineStr">
        <is>
          <t>FDA Inspection DB에서 확인</t>
        </is>
      </c>
      <c r="K476" s="17" t="inlineStr">
        <is>
          <t>중간</t>
        </is>
      </c>
      <c r="L476" s="17" t="inlineStr"/>
    </row>
    <row r="477">
      <c r="A477" s="17" t="inlineStr">
        <is>
          <t>C076</t>
        </is>
      </c>
      <c r="B477" s="17" t="inlineStr"/>
      <c r="C477" s="17" t="inlineStr">
        <is>
          <t>(주)종근당바이오</t>
        </is>
      </c>
      <c r="D477" s="17" t="inlineStr"/>
      <c r="E477" s="17" t="inlineStr">
        <is>
          <t>CMO·CDMO</t>
        </is>
      </c>
      <c r="F477" s="17" t="inlineStr">
        <is>
          <t>미확인</t>
        </is>
      </c>
      <c r="G477" s="17" t="inlineStr">
        <is>
          <t>웹조사 자동화 실패(세션한도)</t>
        </is>
      </c>
      <c r="H477" s="17" t="inlineStr">
        <is>
          <t>N</t>
        </is>
      </c>
      <c r="I477" s="17" t="inlineStr">
        <is>
          <t>회사 홈페이지</t>
        </is>
      </c>
      <c r="J477" s="17" t="inlineStr">
        <is>
          <t>회사 홈페이지에서 확인</t>
        </is>
      </c>
      <c r="K477" s="17" t="inlineStr">
        <is>
          <t>중간</t>
        </is>
      </c>
      <c r="L477" s="17" t="inlineStr"/>
    </row>
    <row r="478">
      <c r="A478" s="17" t="inlineStr">
        <is>
          <t>C076</t>
        </is>
      </c>
      <c r="B478" s="17" t="inlineStr"/>
      <c r="C478" s="17" t="inlineStr">
        <is>
          <t>(주)종근당바이오</t>
        </is>
      </c>
      <c r="D478" s="17" t="inlineStr"/>
      <c r="E478" s="17" t="inlineStr">
        <is>
          <t>신공장·증설</t>
        </is>
      </c>
      <c r="F478" s="17" t="inlineStr">
        <is>
          <t>미확인</t>
        </is>
      </c>
      <c r="G478" s="17" t="inlineStr">
        <is>
          <t>웹조사 자동화 실패(세션한도)</t>
        </is>
      </c>
      <c r="H478" s="17" t="inlineStr">
        <is>
          <t>N</t>
        </is>
      </c>
      <c r="I478" s="17" t="inlineStr">
        <is>
          <t>언론·지자체 발표</t>
        </is>
      </c>
      <c r="J478" s="17" t="inlineStr">
        <is>
          <t>언론·지자체 발표에서 확인</t>
        </is>
      </c>
      <c r="K478" s="17" t="inlineStr">
        <is>
          <t>중간</t>
        </is>
      </c>
      <c r="L478" s="17" t="inlineStr"/>
    </row>
    <row r="479">
      <c r="A479" s="17" t="inlineStr">
        <is>
          <t>C077</t>
        </is>
      </c>
      <c r="B479" s="17" t="inlineStr"/>
      <c r="C479" s="17" t="inlineStr">
        <is>
          <t>(주)와이즈메디</t>
        </is>
      </c>
      <c r="D479" s="17" t="inlineStr"/>
      <c r="E479" s="17" t="inlineStr">
        <is>
          <t>최근매출(억원)</t>
        </is>
      </c>
      <c r="F479" s="17" t="inlineStr">
        <is>
          <t>미확인</t>
        </is>
      </c>
      <c r="G479" s="17" t="inlineStr">
        <is>
          <t>웹조사 자동화 실패(세션한도)</t>
        </is>
      </c>
      <c r="H479" s="17" t="inlineStr">
        <is>
          <t>N</t>
        </is>
      </c>
      <c r="I479" s="17" t="inlineStr">
        <is>
          <t>DART 사업보고서</t>
        </is>
      </c>
      <c r="J479" s="17" t="inlineStr">
        <is>
          <t>DART 사업보고서에서 확인</t>
        </is>
      </c>
      <c r="K479" s="17" t="inlineStr">
        <is>
          <t>낮음</t>
        </is>
      </c>
      <c r="L479" s="17" t="inlineStr"/>
    </row>
    <row r="480">
      <c r="A480" s="17" t="inlineStr">
        <is>
          <t>C077</t>
        </is>
      </c>
      <c r="B480" s="17" t="inlineStr"/>
      <c r="C480" s="17" t="inlineStr">
        <is>
          <t>(주)와이즈메디</t>
        </is>
      </c>
      <c r="D480" s="17" t="inlineStr"/>
      <c r="E480" s="17" t="inlineStr">
        <is>
          <t>종업원수</t>
        </is>
      </c>
      <c r="F480" s="17" t="inlineStr">
        <is>
          <t>미확인</t>
        </is>
      </c>
      <c r="G480" s="17" t="inlineStr">
        <is>
          <t>웹조사 자동화 실패(세션한도)</t>
        </is>
      </c>
      <c r="H480" s="17" t="inlineStr">
        <is>
          <t>N</t>
        </is>
      </c>
      <c r="I480" s="17" t="inlineStr">
        <is>
          <t>DART/채용</t>
        </is>
      </c>
      <c r="J480" s="17" t="inlineStr">
        <is>
          <t>DART/채용에서 확인</t>
        </is>
      </c>
      <c r="K480" s="17" t="inlineStr">
        <is>
          <t>낮음</t>
        </is>
      </c>
      <c r="L480" s="17" t="inlineStr"/>
    </row>
    <row r="481">
      <c r="A481" s="17" t="inlineStr">
        <is>
          <t>C077</t>
        </is>
      </c>
      <c r="B481" s="17" t="inlineStr"/>
      <c r="C481" s="17" t="inlineStr">
        <is>
          <t>(주)와이즈메디</t>
        </is>
      </c>
      <c r="D481" s="17" t="inlineStr"/>
      <c r="E481" s="17" t="inlineStr">
        <is>
          <t>수출여부</t>
        </is>
      </c>
      <c r="F481" s="17" t="inlineStr">
        <is>
          <t>미확인</t>
        </is>
      </c>
      <c r="G481" s="17" t="inlineStr">
        <is>
          <t>웹조사 자동화 실패(세션한도)</t>
        </is>
      </c>
      <c r="H481" s="17" t="inlineStr">
        <is>
          <t>N</t>
        </is>
      </c>
      <c r="I481" s="17" t="inlineStr">
        <is>
          <t>회사 공시·홈페이지</t>
        </is>
      </c>
      <c r="J481" s="17" t="inlineStr">
        <is>
          <t>회사 공시·홈페이지에서 확인</t>
        </is>
      </c>
      <c r="K481" s="17" t="inlineStr">
        <is>
          <t>낮음</t>
        </is>
      </c>
      <c r="L481" s="17" t="inlineStr"/>
    </row>
    <row r="482">
      <c r="A482" s="17" t="inlineStr">
        <is>
          <t>C077</t>
        </is>
      </c>
      <c r="B482" s="17" t="inlineStr"/>
      <c r="C482" s="17" t="inlineStr">
        <is>
          <t>(주)와이즈메디</t>
        </is>
      </c>
      <c r="D482" s="17" t="inlineStr"/>
      <c r="E482" s="17" t="inlineStr">
        <is>
          <t>FDA·EMA 실사</t>
        </is>
      </c>
      <c r="F482" s="17" t="inlineStr">
        <is>
          <t>미확인</t>
        </is>
      </c>
      <c r="G482" s="17" t="inlineStr">
        <is>
          <t>웹조사 자동화 실패(세션한도)</t>
        </is>
      </c>
      <c r="H482" s="17" t="inlineStr">
        <is>
          <t>N</t>
        </is>
      </c>
      <c r="I482" s="17" t="inlineStr">
        <is>
          <t>FDA Inspection DB</t>
        </is>
      </c>
      <c r="J482" s="17" t="inlineStr">
        <is>
          <t>FDA Inspection DB에서 확인</t>
        </is>
      </c>
      <c r="K482" s="17" t="inlineStr">
        <is>
          <t>낮음</t>
        </is>
      </c>
      <c r="L482" s="17" t="inlineStr"/>
    </row>
    <row r="483">
      <c r="A483" s="17" t="inlineStr">
        <is>
          <t>C077</t>
        </is>
      </c>
      <c r="B483" s="17" t="inlineStr"/>
      <c r="C483" s="17" t="inlineStr">
        <is>
          <t>(주)와이즈메디</t>
        </is>
      </c>
      <c r="D483" s="17" t="inlineStr"/>
      <c r="E483" s="17" t="inlineStr">
        <is>
          <t>CMO·CDMO</t>
        </is>
      </c>
      <c r="F483" s="17" t="inlineStr">
        <is>
          <t>미확인</t>
        </is>
      </c>
      <c r="G483" s="17" t="inlineStr">
        <is>
          <t>웹조사 자동화 실패(세션한도)</t>
        </is>
      </c>
      <c r="H483" s="17" t="inlineStr">
        <is>
          <t>N</t>
        </is>
      </c>
      <c r="I483" s="17" t="inlineStr">
        <is>
          <t>회사 홈페이지</t>
        </is>
      </c>
      <c r="J483" s="17" t="inlineStr">
        <is>
          <t>회사 홈페이지에서 확인</t>
        </is>
      </c>
      <c r="K483" s="17" t="inlineStr">
        <is>
          <t>낮음</t>
        </is>
      </c>
      <c r="L483" s="17" t="inlineStr"/>
    </row>
    <row r="484">
      <c r="A484" s="17" t="inlineStr">
        <is>
          <t>C077</t>
        </is>
      </c>
      <c r="B484" s="17" t="inlineStr"/>
      <c r="C484" s="17" t="inlineStr">
        <is>
          <t>(주)와이즈메디</t>
        </is>
      </c>
      <c r="D484" s="17" t="inlineStr"/>
      <c r="E484" s="17" t="inlineStr">
        <is>
          <t>신공장·증설</t>
        </is>
      </c>
      <c r="F484" s="17" t="inlineStr">
        <is>
          <t>미확인</t>
        </is>
      </c>
      <c r="G484" s="17" t="inlineStr">
        <is>
          <t>웹조사 자동화 실패(세션한도)</t>
        </is>
      </c>
      <c r="H484" s="17" t="inlineStr">
        <is>
          <t>N</t>
        </is>
      </c>
      <c r="I484" s="17" t="inlineStr">
        <is>
          <t>언론·지자체 발표</t>
        </is>
      </c>
      <c r="J484" s="17" t="inlineStr">
        <is>
          <t>언론·지자체 발표에서 확인</t>
        </is>
      </c>
      <c r="K484" s="17" t="inlineStr">
        <is>
          <t>낮음</t>
        </is>
      </c>
      <c r="L484" s="17" t="inlineStr"/>
    </row>
    <row r="485">
      <c r="A485" s="17" t="inlineStr">
        <is>
          <t>C077</t>
        </is>
      </c>
      <c r="B485" s="17" t="inlineStr"/>
      <c r="C485" s="17" t="inlineStr">
        <is>
          <t>(주)와이즈메디</t>
        </is>
      </c>
      <c r="D485" s="17" t="inlineStr"/>
      <c r="E485" s="17" t="inlineStr">
        <is>
          <t>대표전화</t>
        </is>
      </c>
      <c r="F485" s="17" t="inlineStr">
        <is>
          <t>미확인</t>
        </is>
      </c>
      <c r="G485" s="17" t="inlineStr">
        <is>
          <t>제조소상세 미매칭</t>
        </is>
      </c>
      <c r="H485" s="17" t="inlineStr">
        <is>
          <t>Y</t>
        </is>
      </c>
      <c r="I485" s="17" t="inlineStr">
        <is>
          <t>회사 홈페이지</t>
        </is>
      </c>
      <c r="J485" s="17" t="inlineStr">
        <is>
          <t>홈페이지에서 대표번호 확인</t>
        </is>
      </c>
      <c r="K485" s="17" t="inlineStr">
        <is>
          <t>낮음</t>
        </is>
      </c>
      <c r="L485" s="17" t="inlineStr"/>
    </row>
    <row r="486">
      <c r="A486" s="17" t="inlineStr">
        <is>
          <t>C078</t>
        </is>
      </c>
      <c r="B486" s="17" t="inlineStr"/>
      <c r="C486" s="17" t="inlineStr">
        <is>
          <t>(주)화이트생명과학</t>
        </is>
      </c>
      <c r="D486" s="17" t="inlineStr"/>
      <c r="E486" s="17" t="inlineStr">
        <is>
          <t>최근매출(억원)</t>
        </is>
      </c>
      <c r="F486" s="17" t="inlineStr">
        <is>
          <t>미확인</t>
        </is>
      </c>
      <c r="G486" s="17" t="inlineStr">
        <is>
          <t>웹조사 자동화 실패(세션한도)</t>
        </is>
      </c>
      <c r="H486" s="17" t="inlineStr">
        <is>
          <t>N</t>
        </is>
      </c>
      <c r="I486" s="17" t="inlineStr">
        <is>
          <t>DART 사업보고서</t>
        </is>
      </c>
      <c r="J486" s="17" t="inlineStr">
        <is>
          <t>DART 사업보고서에서 확인</t>
        </is>
      </c>
      <c r="K486" s="17" t="inlineStr">
        <is>
          <t>낮음</t>
        </is>
      </c>
      <c r="L486" s="17" t="inlineStr"/>
    </row>
    <row r="487">
      <c r="A487" s="17" t="inlineStr">
        <is>
          <t>C078</t>
        </is>
      </c>
      <c r="B487" s="17" t="inlineStr"/>
      <c r="C487" s="17" t="inlineStr">
        <is>
          <t>(주)화이트생명과학</t>
        </is>
      </c>
      <c r="D487" s="17" t="inlineStr"/>
      <c r="E487" s="17" t="inlineStr">
        <is>
          <t>종업원수</t>
        </is>
      </c>
      <c r="F487" s="17" t="inlineStr">
        <is>
          <t>미확인</t>
        </is>
      </c>
      <c r="G487" s="17" t="inlineStr">
        <is>
          <t>웹조사 자동화 실패(세션한도)</t>
        </is>
      </c>
      <c r="H487" s="17" t="inlineStr">
        <is>
          <t>N</t>
        </is>
      </c>
      <c r="I487" s="17" t="inlineStr">
        <is>
          <t>DART/채용</t>
        </is>
      </c>
      <c r="J487" s="17" t="inlineStr">
        <is>
          <t>DART/채용에서 확인</t>
        </is>
      </c>
      <c r="K487" s="17" t="inlineStr">
        <is>
          <t>낮음</t>
        </is>
      </c>
      <c r="L487" s="17" t="inlineStr"/>
    </row>
    <row r="488">
      <c r="A488" s="17" t="inlineStr">
        <is>
          <t>C078</t>
        </is>
      </c>
      <c r="B488" s="17" t="inlineStr"/>
      <c r="C488" s="17" t="inlineStr">
        <is>
          <t>(주)화이트생명과학</t>
        </is>
      </c>
      <c r="D488" s="17" t="inlineStr"/>
      <c r="E488" s="17" t="inlineStr">
        <is>
          <t>수출여부</t>
        </is>
      </c>
      <c r="F488" s="17" t="inlineStr">
        <is>
          <t>미확인</t>
        </is>
      </c>
      <c r="G488" s="17" t="inlineStr">
        <is>
          <t>웹조사 자동화 실패(세션한도)</t>
        </is>
      </c>
      <c r="H488" s="17" t="inlineStr">
        <is>
          <t>N</t>
        </is>
      </c>
      <c r="I488" s="17" t="inlineStr">
        <is>
          <t>회사 공시·홈페이지</t>
        </is>
      </c>
      <c r="J488" s="17" t="inlineStr">
        <is>
          <t>회사 공시·홈페이지에서 확인</t>
        </is>
      </c>
      <c r="K488" s="17" t="inlineStr">
        <is>
          <t>낮음</t>
        </is>
      </c>
      <c r="L488" s="17" t="inlineStr"/>
    </row>
    <row r="489">
      <c r="A489" s="17" t="inlineStr">
        <is>
          <t>C078</t>
        </is>
      </c>
      <c r="B489" s="17" t="inlineStr"/>
      <c r="C489" s="17" t="inlineStr">
        <is>
          <t>(주)화이트생명과학</t>
        </is>
      </c>
      <c r="D489" s="17" t="inlineStr"/>
      <c r="E489" s="17" t="inlineStr">
        <is>
          <t>FDA·EMA 실사</t>
        </is>
      </c>
      <c r="F489" s="17" t="inlineStr">
        <is>
          <t>미확인</t>
        </is>
      </c>
      <c r="G489" s="17" t="inlineStr">
        <is>
          <t>웹조사 자동화 실패(세션한도)</t>
        </is>
      </c>
      <c r="H489" s="17" t="inlineStr">
        <is>
          <t>N</t>
        </is>
      </c>
      <c r="I489" s="17" t="inlineStr">
        <is>
          <t>FDA Inspection DB</t>
        </is>
      </c>
      <c r="J489" s="17" t="inlineStr">
        <is>
          <t>FDA Inspection DB에서 확인</t>
        </is>
      </c>
      <c r="K489" s="17" t="inlineStr">
        <is>
          <t>낮음</t>
        </is>
      </c>
      <c r="L489" s="17" t="inlineStr"/>
    </row>
    <row r="490">
      <c r="A490" s="17" t="inlineStr">
        <is>
          <t>C078</t>
        </is>
      </c>
      <c r="B490" s="17" t="inlineStr"/>
      <c r="C490" s="17" t="inlineStr">
        <is>
          <t>(주)화이트생명과학</t>
        </is>
      </c>
      <c r="D490" s="17" t="inlineStr"/>
      <c r="E490" s="17" t="inlineStr">
        <is>
          <t>CMO·CDMO</t>
        </is>
      </c>
      <c r="F490" s="17" t="inlineStr">
        <is>
          <t>미확인</t>
        </is>
      </c>
      <c r="G490" s="17" t="inlineStr">
        <is>
          <t>웹조사 자동화 실패(세션한도)</t>
        </is>
      </c>
      <c r="H490" s="17" t="inlineStr">
        <is>
          <t>N</t>
        </is>
      </c>
      <c r="I490" s="17" t="inlineStr">
        <is>
          <t>회사 홈페이지</t>
        </is>
      </c>
      <c r="J490" s="17" t="inlineStr">
        <is>
          <t>회사 홈페이지에서 확인</t>
        </is>
      </c>
      <c r="K490" s="17" t="inlineStr">
        <is>
          <t>낮음</t>
        </is>
      </c>
      <c r="L490" s="17" t="inlineStr"/>
    </row>
    <row r="491">
      <c r="A491" s="17" t="inlineStr">
        <is>
          <t>C078</t>
        </is>
      </c>
      <c r="B491" s="17" t="inlineStr"/>
      <c r="C491" s="17" t="inlineStr">
        <is>
          <t>(주)화이트생명과학</t>
        </is>
      </c>
      <c r="D491" s="17" t="inlineStr"/>
      <c r="E491" s="17" t="inlineStr">
        <is>
          <t>신공장·증설</t>
        </is>
      </c>
      <c r="F491" s="17" t="inlineStr">
        <is>
          <t>미확인</t>
        </is>
      </c>
      <c r="G491" s="17" t="inlineStr">
        <is>
          <t>웹조사 자동화 실패(세션한도)</t>
        </is>
      </c>
      <c r="H491" s="17" t="inlineStr">
        <is>
          <t>N</t>
        </is>
      </c>
      <c r="I491" s="17" t="inlineStr">
        <is>
          <t>언론·지자체 발표</t>
        </is>
      </c>
      <c r="J491" s="17" t="inlineStr">
        <is>
          <t>언론·지자체 발표에서 확인</t>
        </is>
      </c>
      <c r="K491" s="17" t="inlineStr">
        <is>
          <t>낮음</t>
        </is>
      </c>
      <c r="L491" s="17" t="inlineStr"/>
    </row>
    <row r="492">
      <c r="A492" s="17" t="inlineStr">
        <is>
          <t>C078</t>
        </is>
      </c>
      <c r="B492" s="17" t="inlineStr"/>
      <c r="C492" s="17" t="inlineStr">
        <is>
          <t>(주)화이트생명과학</t>
        </is>
      </c>
      <c r="D492" s="17" t="inlineStr"/>
      <c r="E492" s="17" t="inlineStr">
        <is>
          <t>대표전화</t>
        </is>
      </c>
      <c r="F492" s="17" t="inlineStr">
        <is>
          <t>미확인</t>
        </is>
      </c>
      <c r="G492" s="17" t="inlineStr">
        <is>
          <t>제조소상세 미매칭</t>
        </is>
      </c>
      <c r="H492" s="17" t="inlineStr">
        <is>
          <t>Y</t>
        </is>
      </c>
      <c r="I492" s="17" t="inlineStr">
        <is>
          <t>회사 홈페이지</t>
        </is>
      </c>
      <c r="J492" s="17" t="inlineStr">
        <is>
          <t>홈페이지에서 대표번호 확인</t>
        </is>
      </c>
      <c r="K492" s="17" t="inlineStr">
        <is>
          <t>낮음</t>
        </is>
      </c>
      <c r="L492" s="17" t="inlineStr"/>
    </row>
    <row r="493">
      <c r="A493" s="17" t="inlineStr">
        <is>
          <t>C079</t>
        </is>
      </c>
      <c r="B493" s="17" t="inlineStr"/>
      <c r="C493" s="17" t="inlineStr">
        <is>
          <t>에리슨제약(주)</t>
        </is>
      </c>
      <c r="D493" s="17" t="inlineStr"/>
      <c r="E493" s="17" t="inlineStr">
        <is>
          <t>최근매출(억원)</t>
        </is>
      </c>
      <c r="F493" s="17" t="inlineStr">
        <is>
          <t>미확인</t>
        </is>
      </c>
      <c r="G493" s="17" t="inlineStr">
        <is>
          <t>웹조사 자동화 실패(세션한도)</t>
        </is>
      </c>
      <c r="H493" s="17" t="inlineStr">
        <is>
          <t>N</t>
        </is>
      </c>
      <c r="I493" s="17" t="inlineStr">
        <is>
          <t>DART 사업보고서</t>
        </is>
      </c>
      <c r="J493" s="17" t="inlineStr">
        <is>
          <t>DART 사업보고서에서 확인</t>
        </is>
      </c>
      <c r="K493" s="17" t="inlineStr">
        <is>
          <t>낮음</t>
        </is>
      </c>
      <c r="L493" s="17" t="inlineStr"/>
    </row>
    <row r="494">
      <c r="A494" s="17" t="inlineStr">
        <is>
          <t>C079</t>
        </is>
      </c>
      <c r="B494" s="17" t="inlineStr"/>
      <c r="C494" s="17" t="inlineStr">
        <is>
          <t>에리슨제약(주)</t>
        </is>
      </c>
      <c r="D494" s="17" t="inlineStr"/>
      <c r="E494" s="17" t="inlineStr">
        <is>
          <t>종업원수</t>
        </is>
      </c>
      <c r="F494" s="17" t="inlineStr">
        <is>
          <t>미확인</t>
        </is>
      </c>
      <c r="G494" s="17" t="inlineStr">
        <is>
          <t>웹조사 자동화 실패(세션한도)</t>
        </is>
      </c>
      <c r="H494" s="17" t="inlineStr">
        <is>
          <t>N</t>
        </is>
      </c>
      <c r="I494" s="17" t="inlineStr">
        <is>
          <t>DART/채용</t>
        </is>
      </c>
      <c r="J494" s="17" t="inlineStr">
        <is>
          <t>DART/채용에서 확인</t>
        </is>
      </c>
      <c r="K494" s="17" t="inlineStr">
        <is>
          <t>낮음</t>
        </is>
      </c>
      <c r="L494" s="17" t="inlineStr"/>
    </row>
    <row r="495">
      <c r="A495" s="17" t="inlineStr">
        <is>
          <t>C079</t>
        </is>
      </c>
      <c r="B495" s="17" t="inlineStr"/>
      <c r="C495" s="17" t="inlineStr">
        <is>
          <t>에리슨제약(주)</t>
        </is>
      </c>
      <c r="D495" s="17" t="inlineStr"/>
      <c r="E495" s="17" t="inlineStr">
        <is>
          <t>수출여부</t>
        </is>
      </c>
      <c r="F495" s="17" t="inlineStr">
        <is>
          <t>미확인</t>
        </is>
      </c>
      <c r="G495" s="17" t="inlineStr">
        <is>
          <t>웹조사 자동화 실패(세션한도)</t>
        </is>
      </c>
      <c r="H495" s="17" t="inlineStr">
        <is>
          <t>N</t>
        </is>
      </c>
      <c r="I495" s="17" t="inlineStr">
        <is>
          <t>회사 공시·홈페이지</t>
        </is>
      </c>
      <c r="J495" s="17" t="inlineStr">
        <is>
          <t>회사 공시·홈페이지에서 확인</t>
        </is>
      </c>
      <c r="K495" s="17" t="inlineStr">
        <is>
          <t>낮음</t>
        </is>
      </c>
      <c r="L495" s="17" t="inlineStr"/>
    </row>
    <row r="496">
      <c r="A496" s="17" t="inlineStr">
        <is>
          <t>C079</t>
        </is>
      </c>
      <c r="B496" s="17" t="inlineStr"/>
      <c r="C496" s="17" t="inlineStr">
        <is>
          <t>에리슨제약(주)</t>
        </is>
      </c>
      <c r="D496" s="17" t="inlineStr"/>
      <c r="E496" s="17" t="inlineStr">
        <is>
          <t>FDA·EMA 실사</t>
        </is>
      </c>
      <c r="F496" s="17" t="inlineStr">
        <is>
          <t>미확인</t>
        </is>
      </c>
      <c r="G496" s="17" t="inlineStr">
        <is>
          <t>웹조사 자동화 실패(세션한도)</t>
        </is>
      </c>
      <c r="H496" s="17" t="inlineStr">
        <is>
          <t>N</t>
        </is>
      </c>
      <c r="I496" s="17" t="inlineStr">
        <is>
          <t>FDA Inspection DB</t>
        </is>
      </c>
      <c r="J496" s="17" t="inlineStr">
        <is>
          <t>FDA Inspection DB에서 확인</t>
        </is>
      </c>
      <c r="K496" s="17" t="inlineStr">
        <is>
          <t>낮음</t>
        </is>
      </c>
      <c r="L496" s="17" t="inlineStr"/>
    </row>
    <row r="497">
      <c r="A497" s="17" t="inlineStr">
        <is>
          <t>C079</t>
        </is>
      </c>
      <c r="B497" s="17" t="inlineStr"/>
      <c r="C497" s="17" t="inlineStr">
        <is>
          <t>에리슨제약(주)</t>
        </is>
      </c>
      <c r="D497" s="17" t="inlineStr"/>
      <c r="E497" s="17" t="inlineStr">
        <is>
          <t>CMO·CDMO</t>
        </is>
      </c>
      <c r="F497" s="17" t="inlineStr">
        <is>
          <t>미확인</t>
        </is>
      </c>
      <c r="G497" s="17" t="inlineStr">
        <is>
          <t>웹조사 자동화 실패(세션한도)</t>
        </is>
      </c>
      <c r="H497" s="17" t="inlineStr">
        <is>
          <t>N</t>
        </is>
      </c>
      <c r="I497" s="17" t="inlineStr">
        <is>
          <t>회사 홈페이지</t>
        </is>
      </c>
      <c r="J497" s="17" t="inlineStr">
        <is>
          <t>회사 홈페이지에서 확인</t>
        </is>
      </c>
      <c r="K497" s="17" t="inlineStr">
        <is>
          <t>낮음</t>
        </is>
      </c>
      <c r="L497" s="17" t="inlineStr"/>
    </row>
    <row r="498">
      <c r="A498" s="17" t="inlineStr">
        <is>
          <t>C079</t>
        </is>
      </c>
      <c r="B498" s="17" t="inlineStr"/>
      <c r="C498" s="17" t="inlineStr">
        <is>
          <t>에리슨제약(주)</t>
        </is>
      </c>
      <c r="D498" s="17" t="inlineStr"/>
      <c r="E498" s="17" t="inlineStr">
        <is>
          <t>신공장·증설</t>
        </is>
      </c>
      <c r="F498" s="17" t="inlineStr">
        <is>
          <t>미확인</t>
        </is>
      </c>
      <c r="G498" s="17" t="inlineStr">
        <is>
          <t>웹조사 자동화 실패(세션한도)</t>
        </is>
      </c>
      <c r="H498" s="17" t="inlineStr">
        <is>
          <t>N</t>
        </is>
      </c>
      <c r="I498" s="17" t="inlineStr">
        <is>
          <t>언론·지자체 발표</t>
        </is>
      </c>
      <c r="J498" s="17" t="inlineStr">
        <is>
          <t>언론·지자체 발표에서 확인</t>
        </is>
      </c>
      <c r="K498" s="17" t="inlineStr">
        <is>
          <t>낮음</t>
        </is>
      </c>
      <c r="L498" s="17" t="inlineStr"/>
    </row>
    <row r="499">
      <c r="A499" s="17" t="inlineStr">
        <is>
          <t>C079</t>
        </is>
      </c>
      <c r="B499" s="17" t="inlineStr"/>
      <c r="C499" s="17" t="inlineStr">
        <is>
          <t>에리슨제약(주)</t>
        </is>
      </c>
      <c r="D499" s="17" t="inlineStr"/>
      <c r="E499" s="17" t="inlineStr">
        <is>
          <t>대표전화</t>
        </is>
      </c>
      <c r="F499" s="17" t="inlineStr">
        <is>
          <t>미확인</t>
        </is>
      </c>
      <c r="G499" s="17" t="inlineStr">
        <is>
          <t>제조소상세 미매칭</t>
        </is>
      </c>
      <c r="H499" s="17" t="inlineStr">
        <is>
          <t>Y</t>
        </is>
      </c>
      <c r="I499" s="17" t="inlineStr">
        <is>
          <t>회사 홈페이지</t>
        </is>
      </c>
      <c r="J499" s="17" t="inlineStr">
        <is>
          <t>홈페이지에서 대표번호 확인</t>
        </is>
      </c>
      <c r="K499" s="17" t="inlineStr">
        <is>
          <t>낮음</t>
        </is>
      </c>
      <c r="L499" s="17" t="inlineStr"/>
    </row>
    <row r="500">
      <c r="A500" s="17" t="inlineStr">
        <is>
          <t>C080</t>
        </is>
      </c>
      <c r="B500" s="17" t="inlineStr"/>
      <c r="C500" s="17" t="inlineStr">
        <is>
          <t>서울대학교병원</t>
        </is>
      </c>
      <c r="D500" s="17" t="inlineStr"/>
      <c r="E500" s="17" t="inlineStr">
        <is>
          <t>최근매출(억원)</t>
        </is>
      </c>
      <c r="F500" s="17" t="inlineStr">
        <is>
          <t>미확인</t>
        </is>
      </c>
      <c r="G500" s="17" t="inlineStr">
        <is>
          <t>웹조사 자동화 실패(세션한도)</t>
        </is>
      </c>
      <c r="H500" s="17" t="inlineStr">
        <is>
          <t>N</t>
        </is>
      </c>
      <c r="I500" s="17" t="inlineStr">
        <is>
          <t>DART 사업보고서</t>
        </is>
      </c>
      <c r="J500" s="17" t="inlineStr">
        <is>
          <t>DART 사업보고서에서 확인</t>
        </is>
      </c>
      <c r="K500" s="17" t="inlineStr">
        <is>
          <t>낮음</t>
        </is>
      </c>
      <c r="L500" s="17" t="inlineStr"/>
    </row>
    <row r="501">
      <c r="A501" s="17" t="inlineStr">
        <is>
          <t>C080</t>
        </is>
      </c>
      <c r="B501" s="17" t="inlineStr"/>
      <c r="C501" s="17" t="inlineStr">
        <is>
          <t>서울대학교병원</t>
        </is>
      </c>
      <c r="D501" s="17" t="inlineStr"/>
      <c r="E501" s="17" t="inlineStr">
        <is>
          <t>종업원수</t>
        </is>
      </c>
      <c r="F501" s="17" t="inlineStr">
        <is>
          <t>미확인</t>
        </is>
      </c>
      <c r="G501" s="17" t="inlineStr">
        <is>
          <t>웹조사 자동화 실패(세션한도)</t>
        </is>
      </c>
      <c r="H501" s="17" t="inlineStr">
        <is>
          <t>N</t>
        </is>
      </c>
      <c r="I501" s="17" t="inlineStr">
        <is>
          <t>DART/채용</t>
        </is>
      </c>
      <c r="J501" s="17" t="inlineStr">
        <is>
          <t>DART/채용에서 확인</t>
        </is>
      </c>
      <c r="K501" s="17" t="inlineStr">
        <is>
          <t>낮음</t>
        </is>
      </c>
      <c r="L501" s="17" t="inlineStr"/>
    </row>
    <row r="502">
      <c r="A502" s="17" t="inlineStr">
        <is>
          <t>C080</t>
        </is>
      </c>
      <c r="B502" s="17" t="inlineStr"/>
      <c r="C502" s="17" t="inlineStr">
        <is>
          <t>서울대학교병원</t>
        </is>
      </c>
      <c r="D502" s="17" t="inlineStr"/>
      <c r="E502" s="17" t="inlineStr">
        <is>
          <t>수출여부</t>
        </is>
      </c>
      <c r="F502" s="17" t="inlineStr">
        <is>
          <t>미확인</t>
        </is>
      </c>
      <c r="G502" s="17" t="inlineStr">
        <is>
          <t>웹조사 자동화 실패(세션한도)</t>
        </is>
      </c>
      <c r="H502" s="17" t="inlineStr">
        <is>
          <t>N</t>
        </is>
      </c>
      <c r="I502" s="17" t="inlineStr">
        <is>
          <t>회사 공시·홈페이지</t>
        </is>
      </c>
      <c r="J502" s="17" t="inlineStr">
        <is>
          <t>회사 공시·홈페이지에서 확인</t>
        </is>
      </c>
      <c r="K502" s="17" t="inlineStr">
        <is>
          <t>낮음</t>
        </is>
      </c>
      <c r="L502" s="17" t="inlineStr"/>
    </row>
    <row r="503">
      <c r="A503" s="17" t="inlineStr">
        <is>
          <t>C080</t>
        </is>
      </c>
      <c r="B503" s="17" t="inlineStr"/>
      <c r="C503" s="17" t="inlineStr">
        <is>
          <t>서울대학교병원</t>
        </is>
      </c>
      <c r="D503" s="17" t="inlineStr"/>
      <c r="E503" s="17" t="inlineStr">
        <is>
          <t>FDA·EMA 실사</t>
        </is>
      </c>
      <c r="F503" s="17" t="inlineStr">
        <is>
          <t>미확인</t>
        </is>
      </c>
      <c r="G503" s="17" t="inlineStr">
        <is>
          <t>웹조사 자동화 실패(세션한도)</t>
        </is>
      </c>
      <c r="H503" s="17" t="inlineStr">
        <is>
          <t>N</t>
        </is>
      </c>
      <c r="I503" s="17" t="inlineStr">
        <is>
          <t>FDA Inspection DB</t>
        </is>
      </c>
      <c r="J503" s="17" t="inlineStr">
        <is>
          <t>FDA Inspection DB에서 확인</t>
        </is>
      </c>
      <c r="K503" s="17" t="inlineStr">
        <is>
          <t>낮음</t>
        </is>
      </c>
      <c r="L503" s="17" t="inlineStr"/>
    </row>
    <row r="504">
      <c r="A504" s="17" t="inlineStr">
        <is>
          <t>C080</t>
        </is>
      </c>
      <c r="B504" s="17" t="inlineStr"/>
      <c r="C504" s="17" t="inlineStr">
        <is>
          <t>서울대학교병원</t>
        </is>
      </c>
      <c r="D504" s="17" t="inlineStr"/>
      <c r="E504" s="17" t="inlineStr">
        <is>
          <t>CMO·CDMO</t>
        </is>
      </c>
      <c r="F504" s="17" t="inlineStr">
        <is>
          <t>미확인</t>
        </is>
      </c>
      <c r="G504" s="17" t="inlineStr">
        <is>
          <t>웹조사 자동화 실패(세션한도)</t>
        </is>
      </c>
      <c r="H504" s="17" t="inlineStr">
        <is>
          <t>N</t>
        </is>
      </c>
      <c r="I504" s="17" t="inlineStr">
        <is>
          <t>회사 홈페이지</t>
        </is>
      </c>
      <c r="J504" s="17" t="inlineStr">
        <is>
          <t>회사 홈페이지에서 확인</t>
        </is>
      </c>
      <c r="K504" s="17" t="inlineStr">
        <is>
          <t>낮음</t>
        </is>
      </c>
      <c r="L504" s="17" t="inlineStr"/>
    </row>
    <row r="505">
      <c r="A505" s="17" t="inlineStr">
        <is>
          <t>C080</t>
        </is>
      </c>
      <c r="B505" s="17" t="inlineStr"/>
      <c r="C505" s="17" t="inlineStr">
        <is>
          <t>서울대학교병원</t>
        </is>
      </c>
      <c r="D505" s="17" t="inlineStr"/>
      <c r="E505" s="17" t="inlineStr">
        <is>
          <t>신공장·증설</t>
        </is>
      </c>
      <c r="F505" s="17" t="inlineStr">
        <is>
          <t>미확인</t>
        </is>
      </c>
      <c r="G505" s="17" t="inlineStr">
        <is>
          <t>웹조사 자동화 실패(세션한도)</t>
        </is>
      </c>
      <c r="H505" s="17" t="inlineStr">
        <is>
          <t>N</t>
        </is>
      </c>
      <c r="I505" s="17" t="inlineStr">
        <is>
          <t>언론·지자체 발표</t>
        </is>
      </c>
      <c r="J505" s="17" t="inlineStr">
        <is>
          <t>언론·지자체 발표에서 확인</t>
        </is>
      </c>
      <c r="K505" s="17" t="inlineStr">
        <is>
          <t>낮음</t>
        </is>
      </c>
      <c r="L505" s="17" t="inlineStr"/>
    </row>
    <row r="506">
      <c r="A506" s="17" t="inlineStr">
        <is>
          <t>C081</t>
        </is>
      </c>
      <c r="B506" s="17" t="inlineStr"/>
      <c r="C506" s="17" t="inlineStr">
        <is>
          <t>(주)한국피엠지제약</t>
        </is>
      </c>
      <c r="D506" s="17" t="inlineStr"/>
      <c r="E506" s="17" t="inlineStr">
        <is>
          <t>최근매출(억원)</t>
        </is>
      </c>
      <c r="F506" s="17" t="inlineStr">
        <is>
          <t>미확인</t>
        </is>
      </c>
      <c r="G506" s="17" t="inlineStr">
        <is>
          <t>웹조사 자동화 실패(세션한도)</t>
        </is>
      </c>
      <c r="H506" s="17" t="inlineStr">
        <is>
          <t>N</t>
        </is>
      </c>
      <c r="I506" s="17" t="inlineStr">
        <is>
          <t>DART 사업보고서</t>
        </is>
      </c>
      <c r="J506" s="17" t="inlineStr">
        <is>
          <t>DART 사업보고서에서 확인</t>
        </is>
      </c>
      <c r="K506" s="17" t="inlineStr">
        <is>
          <t>낮음</t>
        </is>
      </c>
      <c r="L506" s="17" t="inlineStr"/>
    </row>
    <row r="507">
      <c r="A507" s="17" t="inlineStr">
        <is>
          <t>C081</t>
        </is>
      </c>
      <c r="B507" s="17" t="inlineStr"/>
      <c r="C507" s="17" t="inlineStr">
        <is>
          <t>(주)한국피엠지제약</t>
        </is>
      </c>
      <c r="D507" s="17" t="inlineStr"/>
      <c r="E507" s="17" t="inlineStr">
        <is>
          <t>종업원수</t>
        </is>
      </c>
      <c r="F507" s="17" t="inlineStr">
        <is>
          <t>미확인</t>
        </is>
      </c>
      <c r="G507" s="17" t="inlineStr">
        <is>
          <t>웹조사 자동화 실패(세션한도)</t>
        </is>
      </c>
      <c r="H507" s="17" t="inlineStr">
        <is>
          <t>N</t>
        </is>
      </c>
      <c r="I507" s="17" t="inlineStr">
        <is>
          <t>DART/채용</t>
        </is>
      </c>
      <c r="J507" s="17" t="inlineStr">
        <is>
          <t>DART/채용에서 확인</t>
        </is>
      </c>
      <c r="K507" s="17" t="inlineStr">
        <is>
          <t>낮음</t>
        </is>
      </c>
      <c r="L507" s="17" t="inlineStr"/>
    </row>
    <row r="508">
      <c r="A508" s="17" t="inlineStr">
        <is>
          <t>C081</t>
        </is>
      </c>
      <c r="B508" s="17" t="inlineStr"/>
      <c r="C508" s="17" t="inlineStr">
        <is>
          <t>(주)한국피엠지제약</t>
        </is>
      </c>
      <c r="D508" s="17" t="inlineStr"/>
      <c r="E508" s="17" t="inlineStr">
        <is>
          <t>수출여부</t>
        </is>
      </c>
      <c r="F508" s="17" t="inlineStr">
        <is>
          <t>미확인</t>
        </is>
      </c>
      <c r="G508" s="17" t="inlineStr">
        <is>
          <t>웹조사 자동화 실패(세션한도)</t>
        </is>
      </c>
      <c r="H508" s="17" t="inlineStr">
        <is>
          <t>N</t>
        </is>
      </c>
      <c r="I508" s="17" t="inlineStr">
        <is>
          <t>회사 공시·홈페이지</t>
        </is>
      </c>
      <c r="J508" s="17" t="inlineStr">
        <is>
          <t>회사 공시·홈페이지에서 확인</t>
        </is>
      </c>
      <c r="K508" s="17" t="inlineStr">
        <is>
          <t>낮음</t>
        </is>
      </c>
      <c r="L508" s="17" t="inlineStr"/>
    </row>
    <row r="509">
      <c r="A509" s="17" t="inlineStr">
        <is>
          <t>C081</t>
        </is>
      </c>
      <c r="B509" s="17" t="inlineStr"/>
      <c r="C509" s="17" t="inlineStr">
        <is>
          <t>(주)한국피엠지제약</t>
        </is>
      </c>
      <c r="D509" s="17" t="inlineStr"/>
      <c r="E509" s="17" t="inlineStr">
        <is>
          <t>FDA·EMA 실사</t>
        </is>
      </c>
      <c r="F509" s="17" t="inlineStr">
        <is>
          <t>미확인</t>
        </is>
      </c>
      <c r="G509" s="17" t="inlineStr">
        <is>
          <t>웹조사 자동화 실패(세션한도)</t>
        </is>
      </c>
      <c r="H509" s="17" t="inlineStr">
        <is>
          <t>N</t>
        </is>
      </c>
      <c r="I509" s="17" t="inlineStr">
        <is>
          <t>FDA Inspection DB</t>
        </is>
      </c>
      <c r="J509" s="17" t="inlineStr">
        <is>
          <t>FDA Inspection DB에서 확인</t>
        </is>
      </c>
      <c r="K509" s="17" t="inlineStr">
        <is>
          <t>낮음</t>
        </is>
      </c>
      <c r="L509" s="17" t="inlineStr"/>
    </row>
    <row r="510">
      <c r="A510" s="17" t="inlineStr">
        <is>
          <t>C081</t>
        </is>
      </c>
      <c r="B510" s="17" t="inlineStr"/>
      <c r="C510" s="17" t="inlineStr">
        <is>
          <t>(주)한국피엠지제약</t>
        </is>
      </c>
      <c r="D510" s="17" t="inlineStr"/>
      <c r="E510" s="17" t="inlineStr">
        <is>
          <t>CMO·CDMO</t>
        </is>
      </c>
      <c r="F510" s="17" t="inlineStr">
        <is>
          <t>미확인</t>
        </is>
      </c>
      <c r="G510" s="17" t="inlineStr">
        <is>
          <t>웹조사 자동화 실패(세션한도)</t>
        </is>
      </c>
      <c r="H510" s="17" t="inlineStr">
        <is>
          <t>N</t>
        </is>
      </c>
      <c r="I510" s="17" t="inlineStr">
        <is>
          <t>회사 홈페이지</t>
        </is>
      </c>
      <c r="J510" s="17" t="inlineStr">
        <is>
          <t>회사 홈페이지에서 확인</t>
        </is>
      </c>
      <c r="K510" s="17" t="inlineStr">
        <is>
          <t>낮음</t>
        </is>
      </c>
      <c r="L510" s="17" t="inlineStr"/>
    </row>
    <row r="511">
      <c r="A511" s="17" t="inlineStr">
        <is>
          <t>C081</t>
        </is>
      </c>
      <c r="B511" s="17" t="inlineStr"/>
      <c r="C511" s="17" t="inlineStr">
        <is>
          <t>(주)한국피엠지제약</t>
        </is>
      </c>
      <c r="D511" s="17" t="inlineStr"/>
      <c r="E511" s="17" t="inlineStr">
        <is>
          <t>신공장·증설</t>
        </is>
      </c>
      <c r="F511" s="17" t="inlineStr">
        <is>
          <t>미확인</t>
        </is>
      </c>
      <c r="G511" s="17" t="inlineStr">
        <is>
          <t>웹조사 자동화 실패(세션한도)</t>
        </is>
      </c>
      <c r="H511" s="17" t="inlineStr">
        <is>
          <t>N</t>
        </is>
      </c>
      <c r="I511" s="17" t="inlineStr">
        <is>
          <t>언론·지자체 발표</t>
        </is>
      </c>
      <c r="J511" s="17" t="inlineStr">
        <is>
          <t>언론·지자체 발표에서 확인</t>
        </is>
      </c>
      <c r="K511" s="17" t="inlineStr">
        <is>
          <t>낮음</t>
        </is>
      </c>
      <c r="L511" s="17" t="inlineStr"/>
    </row>
    <row r="512">
      <c r="A512" s="17" t="inlineStr">
        <is>
          <t>C082</t>
        </is>
      </c>
      <c r="B512" s="17" t="inlineStr"/>
      <c r="C512" s="17" t="inlineStr">
        <is>
          <t>(주)엠에스가스</t>
        </is>
      </c>
      <c r="D512" s="17" t="inlineStr"/>
      <c r="E512" s="17" t="inlineStr">
        <is>
          <t>최근매출(억원)</t>
        </is>
      </c>
      <c r="F512" s="17" t="inlineStr">
        <is>
          <t>미확인</t>
        </is>
      </c>
      <c r="G512" s="17" t="inlineStr">
        <is>
          <t>웹조사 자동화 실패(세션한도)</t>
        </is>
      </c>
      <c r="H512" s="17" t="inlineStr">
        <is>
          <t>N</t>
        </is>
      </c>
      <c r="I512" s="17" t="inlineStr">
        <is>
          <t>DART 사업보고서</t>
        </is>
      </c>
      <c r="J512" s="17" t="inlineStr">
        <is>
          <t>DART 사업보고서에서 확인</t>
        </is>
      </c>
      <c r="K512" s="17" t="inlineStr">
        <is>
          <t>낮음</t>
        </is>
      </c>
      <c r="L512" s="17" t="inlineStr"/>
    </row>
    <row r="513">
      <c r="A513" s="17" t="inlineStr">
        <is>
          <t>C082</t>
        </is>
      </c>
      <c r="B513" s="17" t="inlineStr"/>
      <c r="C513" s="17" t="inlineStr">
        <is>
          <t>(주)엠에스가스</t>
        </is>
      </c>
      <c r="D513" s="17" t="inlineStr"/>
      <c r="E513" s="17" t="inlineStr">
        <is>
          <t>종업원수</t>
        </is>
      </c>
      <c r="F513" s="17" t="inlineStr">
        <is>
          <t>미확인</t>
        </is>
      </c>
      <c r="G513" s="17" t="inlineStr">
        <is>
          <t>웹조사 자동화 실패(세션한도)</t>
        </is>
      </c>
      <c r="H513" s="17" t="inlineStr">
        <is>
          <t>N</t>
        </is>
      </c>
      <c r="I513" s="17" t="inlineStr">
        <is>
          <t>DART/채용</t>
        </is>
      </c>
      <c r="J513" s="17" t="inlineStr">
        <is>
          <t>DART/채용에서 확인</t>
        </is>
      </c>
      <c r="K513" s="17" t="inlineStr">
        <is>
          <t>낮음</t>
        </is>
      </c>
      <c r="L513" s="17" t="inlineStr"/>
    </row>
    <row r="514">
      <c r="A514" s="17" t="inlineStr">
        <is>
          <t>C082</t>
        </is>
      </c>
      <c r="B514" s="17" t="inlineStr"/>
      <c r="C514" s="17" t="inlineStr">
        <is>
          <t>(주)엠에스가스</t>
        </is>
      </c>
      <c r="D514" s="17" t="inlineStr"/>
      <c r="E514" s="17" t="inlineStr">
        <is>
          <t>수출여부</t>
        </is>
      </c>
      <c r="F514" s="17" t="inlineStr">
        <is>
          <t>미확인</t>
        </is>
      </c>
      <c r="G514" s="17" t="inlineStr">
        <is>
          <t>웹조사 자동화 실패(세션한도)</t>
        </is>
      </c>
      <c r="H514" s="17" t="inlineStr">
        <is>
          <t>N</t>
        </is>
      </c>
      <c r="I514" s="17" t="inlineStr">
        <is>
          <t>회사 공시·홈페이지</t>
        </is>
      </c>
      <c r="J514" s="17" t="inlineStr">
        <is>
          <t>회사 공시·홈페이지에서 확인</t>
        </is>
      </c>
      <c r="K514" s="17" t="inlineStr">
        <is>
          <t>낮음</t>
        </is>
      </c>
      <c r="L514" s="17" t="inlineStr"/>
    </row>
    <row r="515">
      <c r="A515" s="17" t="inlineStr">
        <is>
          <t>C082</t>
        </is>
      </c>
      <c r="B515" s="17" t="inlineStr"/>
      <c r="C515" s="17" t="inlineStr">
        <is>
          <t>(주)엠에스가스</t>
        </is>
      </c>
      <c r="D515" s="17" t="inlineStr"/>
      <c r="E515" s="17" t="inlineStr">
        <is>
          <t>FDA·EMA 실사</t>
        </is>
      </c>
      <c r="F515" s="17" t="inlineStr">
        <is>
          <t>미확인</t>
        </is>
      </c>
      <c r="G515" s="17" t="inlineStr">
        <is>
          <t>웹조사 자동화 실패(세션한도)</t>
        </is>
      </c>
      <c r="H515" s="17" t="inlineStr">
        <is>
          <t>N</t>
        </is>
      </c>
      <c r="I515" s="17" t="inlineStr">
        <is>
          <t>FDA Inspection DB</t>
        </is>
      </c>
      <c r="J515" s="17" t="inlineStr">
        <is>
          <t>FDA Inspection DB에서 확인</t>
        </is>
      </c>
      <c r="K515" s="17" t="inlineStr">
        <is>
          <t>낮음</t>
        </is>
      </c>
      <c r="L515" s="17" t="inlineStr"/>
    </row>
    <row r="516">
      <c r="A516" s="17" t="inlineStr">
        <is>
          <t>C082</t>
        </is>
      </c>
      <c r="B516" s="17" t="inlineStr"/>
      <c r="C516" s="17" t="inlineStr">
        <is>
          <t>(주)엠에스가스</t>
        </is>
      </c>
      <c r="D516" s="17" t="inlineStr"/>
      <c r="E516" s="17" t="inlineStr">
        <is>
          <t>CMO·CDMO</t>
        </is>
      </c>
      <c r="F516" s="17" t="inlineStr">
        <is>
          <t>미확인</t>
        </is>
      </c>
      <c r="G516" s="17" t="inlineStr">
        <is>
          <t>웹조사 자동화 실패(세션한도)</t>
        </is>
      </c>
      <c r="H516" s="17" t="inlineStr">
        <is>
          <t>N</t>
        </is>
      </c>
      <c r="I516" s="17" t="inlineStr">
        <is>
          <t>회사 홈페이지</t>
        </is>
      </c>
      <c r="J516" s="17" t="inlineStr">
        <is>
          <t>회사 홈페이지에서 확인</t>
        </is>
      </c>
      <c r="K516" s="17" t="inlineStr">
        <is>
          <t>낮음</t>
        </is>
      </c>
      <c r="L516" s="17" t="inlineStr"/>
    </row>
    <row r="517">
      <c r="A517" s="17" t="inlineStr">
        <is>
          <t>C082</t>
        </is>
      </c>
      <c r="B517" s="17" t="inlineStr"/>
      <c r="C517" s="17" t="inlineStr">
        <is>
          <t>(주)엠에스가스</t>
        </is>
      </c>
      <c r="D517" s="17" t="inlineStr"/>
      <c r="E517" s="17" t="inlineStr">
        <is>
          <t>신공장·증설</t>
        </is>
      </c>
      <c r="F517" s="17" t="inlineStr">
        <is>
          <t>미확인</t>
        </is>
      </c>
      <c r="G517" s="17" t="inlineStr">
        <is>
          <t>웹조사 자동화 실패(세션한도)</t>
        </is>
      </c>
      <c r="H517" s="17" t="inlineStr">
        <is>
          <t>N</t>
        </is>
      </c>
      <c r="I517" s="17" t="inlineStr">
        <is>
          <t>언론·지자체 발표</t>
        </is>
      </c>
      <c r="J517" s="17" t="inlineStr">
        <is>
          <t>언론·지자체 발표에서 확인</t>
        </is>
      </c>
      <c r="K517" s="17" t="inlineStr">
        <is>
          <t>낮음</t>
        </is>
      </c>
      <c r="L517" s="17" t="inlineStr"/>
    </row>
    <row r="518">
      <c r="A518" s="17" t="inlineStr">
        <is>
          <t>C082</t>
        </is>
      </c>
      <c r="B518" s="17" t="inlineStr"/>
      <c r="C518" s="17" t="inlineStr">
        <is>
          <t>(주)엠에스가스</t>
        </is>
      </c>
      <c r="D518" s="17" t="inlineStr"/>
      <c r="E518" s="17" t="inlineStr">
        <is>
          <t>대표전화</t>
        </is>
      </c>
      <c r="F518" s="17" t="inlineStr">
        <is>
          <t>미확인</t>
        </is>
      </c>
      <c r="G518" s="17" t="inlineStr">
        <is>
          <t>제조소상세 미매칭</t>
        </is>
      </c>
      <c r="H518" s="17" t="inlineStr">
        <is>
          <t>Y</t>
        </is>
      </c>
      <c r="I518" s="17" t="inlineStr">
        <is>
          <t>회사 홈페이지</t>
        </is>
      </c>
      <c r="J518" s="17" t="inlineStr">
        <is>
          <t>홈페이지에서 대표번호 확인</t>
        </is>
      </c>
      <c r="K518" s="17" t="inlineStr">
        <is>
          <t>낮음</t>
        </is>
      </c>
      <c r="L518" s="17" t="inlineStr"/>
    </row>
    <row r="519">
      <c r="A519" s="17" t="inlineStr">
        <is>
          <t>C083</t>
        </is>
      </c>
      <c r="B519" s="17" t="inlineStr"/>
      <c r="C519" s="17" t="inlineStr">
        <is>
          <t>(주)경보제약</t>
        </is>
      </c>
      <c r="D519" s="17" t="inlineStr"/>
      <c r="E519" s="17" t="inlineStr">
        <is>
          <t>최근매출(억원)</t>
        </is>
      </c>
      <c r="F519" s="17" t="inlineStr">
        <is>
          <t>미확인</t>
        </is>
      </c>
      <c r="G519" s="17" t="inlineStr">
        <is>
          <t>웹조사 자동화 실패(세션한도)</t>
        </is>
      </c>
      <c r="H519" s="17" t="inlineStr">
        <is>
          <t>N</t>
        </is>
      </c>
      <c r="I519" s="17" t="inlineStr">
        <is>
          <t>DART 사업보고서</t>
        </is>
      </c>
      <c r="J519" s="17" t="inlineStr">
        <is>
          <t>DART 사업보고서에서 확인</t>
        </is>
      </c>
      <c r="K519" s="17" t="inlineStr">
        <is>
          <t>낮음</t>
        </is>
      </c>
      <c r="L519" s="17" t="inlineStr"/>
    </row>
    <row r="520">
      <c r="A520" s="17" t="inlineStr">
        <is>
          <t>C083</t>
        </is>
      </c>
      <c r="B520" s="17" t="inlineStr"/>
      <c r="C520" s="17" t="inlineStr">
        <is>
          <t>(주)경보제약</t>
        </is>
      </c>
      <c r="D520" s="17" t="inlineStr"/>
      <c r="E520" s="17" t="inlineStr">
        <is>
          <t>종업원수</t>
        </is>
      </c>
      <c r="F520" s="17" t="inlineStr">
        <is>
          <t>미확인</t>
        </is>
      </c>
      <c r="G520" s="17" t="inlineStr">
        <is>
          <t>웹조사 자동화 실패(세션한도)</t>
        </is>
      </c>
      <c r="H520" s="17" t="inlineStr">
        <is>
          <t>N</t>
        </is>
      </c>
      <c r="I520" s="17" t="inlineStr">
        <is>
          <t>DART/채용</t>
        </is>
      </c>
      <c r="J520" s="17" t="inlineStr">
        <is>
          <t>DART/채용에서 확인</t>
        </is>
      </c>
      <c r="K520" s="17" t="inlineStr">
        <is>
          <t>낮음</t>
        </is>
      </c>
      <c r="L520" s="17" t="inlineStr"/>
    </row>
    <row r="521">
      <c r="A521" s="17" t="inlineStr">
        <is>
          <t>C083</t>
        </is>
      </c>
      <c r="B521" s="17" t="inlineStr"/>
      <c r="C521" s="17" t="inlineStr">
        <is>
          <t>(주)경보제약</t>
        </is>
      </c>
      <c r="D521" s="17" t="inlineStr"/>
      <c r="E521" s="17" t="inlineStr">
        <is>
          <t>수출여부</t>
        </is>
      </c>
      <c r="F521" s="17" t="inlineStr">
        <is>
          <t>미확인</t>
        </is>
      </c>
      <c r="G521" s="17" t="inlineStr">
        <is>
          <t>웹조사 자동화 실패(세션한도)</t>
        </is>
      </c>
      <c r="H521" s="17" t="inlineStr">
        <is>
          <t>N</t>
        </is>
      </c>
      <c r="I521" s="17" t="inlineStr">
        <is>
          <t>회사 공시·홈페이지</t>
        </is>
      </c>
      <c r="J521" s="17" t="inlineStr">
        <is>
          <t>회사 공시·홈페이지에서 확인</t>
        </is>
      </c>
      <c r="K521" s="17" t="inlineStr">
        <is>
          <t>낮음</t>
        </is>
      </c>
      <c r="L521" s="17" t="inlineStr"/>
    </row>
    <row r="522">
      <c r="A522" s="17" t="inlineStr">
        <is>
          <t>C083</t>
        </is>
      </c>
      <c r="B522" s="17" t="inlineStr"/>
      <c r="C522" s="17" t="inlineStr">
        <is>
          <t>(주)경보제약</t>
        </is>
      </c>
      <c r="D522" s="17" t="inlineStr"/>
      <c r="E522" s="17" t="inlineStr">
        <is>
          <t>FDA·EMA 실사</t>
        </is>
      </c>
      <c r="F522" s="17" t="inlineStr">
        <is>
          <t>미확인</t>
        </is>
      </c>
      <c r="G522" s="17" t="inlineStr">
        <is>
          <t>웹조사 자동화 실패(세션한도)</t>
        </is>
      </c>
      <c r="H522" s="17" t="inlineStr">
        <is>
          <t>N</t>
        </is>
      </c>
      <c r="I522" s="17" t="inlineStr">
        <is>
          <t>FDA Inspection DB</t>
        </is>
      </c>
      <c r="J522" s="17" t="inlineStr">
        <is>
          <t>FDA Inspection DB에서 확인</t>
        </is>
      </c>
      <c r="K522" s="17" t="inlineStr">
        <is>
          <t>낮음</t>
        </is>
      </c>
      <c r="L522" s="17" t="inlineStr"/>
    </row>
    <row r="523">
      <c r="A523" s="17" t="inlineStr">
        <is>
          <t>C083</t>
        </is>
      </c>
      <c r="B523" s="17" t="inlineStr"/>
      <c r="C523" s="17" t="inlineStr">
        <is>
          <t>(주)경보제약</t>
        </is>
      </c>
      <c r="D523" s="17" t="inlineStr"/>
      <c r="E523" s="17" t="inlineStr">
        <is>
          <t>CMO·CDMO</t>
        </is>
      </c>
      <c r="F523" s="17" t="inlineStr">
        <is>
          <t>미확인</t>
        </is>
      </c>
      <c r="G523" s="17" t="inlineStr">
        <is>
          <t>웹조사 자동화 실패(세션한도)</t>
        </is>
      </c>
      <c r="H523" s="17" t="inlineStr">
        <is>
          <t>N</t>
        </is>
      </c>
      <c r="I523" s="17" t="inlineStr">
        <is>
          <t>회사 홈페이지</t>
        </is>
      </c>
      <c r="J523" s="17" t="inlineStr">
        <is>
          <t>회사 홈페이지에서 확인</t>
        </is>
      </c>
      <c r="K523" s="17" t="inlineStr">
        <is>
          <t>낮음</t>
        </is>
      </c>
      <c r="L523" s="17" t="inlineStr"/>
    </row>
    <row r="524">
      <c r="A524" s="17" t="inlineStr">
        <is>
          <t>C083</t>
        </is>
      </c>
      <c r="B524" s="17" t="inlineStr"/>
      <c r="C524" s="17" t="inlineStr">
        <is>
          <t>(주)경보제약</t>
        </is>
      </c>
      <c r="D524" s="17" t="inlineStr"/>
      <c r="E524" s="17" t="inlineStr">
        <is>
          <t>신공장·증설</t>
        </is>
      </c>
      <c r="F524" s="17" t="inlineStr">
        <is>
          <t>미확인</t>
        </is>
      </c>
      <c r="G524" s="17" t="inlineStr">
        <is>
          <t>웹조사 자동화 실패(세션한도)</t>
        </is>
      </c>
      <c r="H524" s="17" t="inlineStr">
        <is>
          <t>N</t>
        </is>
      </c>
      <c r="I524" s="17" t="inlineStr">
        <is>
          <t>언론·지자체 발표</t>
        </is>
      </c>
      <c r="J524" s="17" t="inlineStr">
        <is>
          <t>언론·지자체 발표에서 확인</t>
        </is>
      </c>
      <c r="K524" s="17" t="inlineStr">
        <is>
          <t>낮음</t>
        </is>
      </c>
      <c r="L524" s="17" t="inlineStr"/>
    </row>
    <row r="525">
      <c r="A525" s="17" t="inlineStr">
        <is>
          <t>C084</t>
        </is>
      </c>
      <c r="B525" s="17" t="inlineStr"/>
      <c r="C525" s="17" t="inlineStr">
        <is>
          <t>타나베파마코리아주식회사</t>
        </is>
      </c>
      <c r="D525" s="17" t="inlineStr"/>
      <c r="E525" s="17" t="inlineStr">
        <is>
          <t>최근매출(억원)</t>
        </is>
      </c>
      <c r="F525" s="17" t="inlineStr">
        <is>
          <t>미확인</t>
        </is>
      </c>
      <c r="G525" s="17" t="inlineStr">
        <is>
          <t>웹조사 자동화 실패(세션한도)</t>
        </is>
      </c>
      <c r="H525" s="17" t="inlineStr">
        <is>
          <t>N</t>
        </is>
      </c>
      <c r="I525" s="17" t="inlineStr">
        <is>
          <t>DART 사업보고서</t>
        </is>
      </c>
      <c r="J525" s="17" t="inlineStr">
        <is>
          <t>DART 사업보고서에서 확인</t>
        </is>
      </c>
      <c r="K525" s="17" t="inlineStr">
        <is>
          <t>낮음</t>
        </is>
      </c>
      <c r="L525" s="17" t="inlineStr"/>
    </row>
    <row r="526">
      <c r="A526" s="17" t="inlineStr">
        <is>
          <t>C084</t>
        </is>
      </c>
      <c r="B526" s="17" t="inlineStr"/>
      <c r="C526" s="17" t="inlineStr">
        <is>
          <t>타나베파마코리아주식회사</t>
        </is>
      </c>
      <c r="D526" s="17" t="inlineStr"/>
      <c r="E526" s="17" t="inlineStr">
        <is>
          <t>종업원수</t>
        </is>
      </c>
      <c r="F526" s="17" t="inlineStr">
        <is>
          <t>미확인</t>
        </is>
      </c>
      <c r="G526" s="17" t="inlineStr">
        <is>
          <t>웹조사 자동화 실패(세션한도)</t>
        </is>
      </c>
      <c r="H526" s="17" t="inlineStr">
        <is>
          <t>N</t>
        </is>
      </c>
      <c r="I526" s="17" t="inlineStr">
        <is>
          <t>DART/채용</t>
        </is>
      </c>
      <c r="J526" s="17" t="inlineStr">
        <is>
          <t>DART/채용에서 확인</t>
        </is>
      </c>
      <c r="K526" s="17" t="inlineStr">
        <is>
          <t>낮음</t>
        </is>
      </c>
      <c r="L526" s="17" t="inlineStr"/>
    </row>
    <row r="527">
      <c r="A527" s="17" t="inlineStr">
        <is>
          <t>C084</t>
        </is>
      </c>
      <c r="B527" s="17" t="inlineStr"/>
      <c r="C527" s="17" t="inlineStr">
        <is>
          <t>타나베파마코리아주식회사</t>
        </is>
      </c>
      <c r="D527" s="17" t="inlineStr"/>
      <c r="E527" s="17" t="inlineStr">
        <is>
          <t>수출여부</t>
        </is>
      </c>
      <c r="F527" s="17" t="inlineStr">
        <is>
          <t>미확인</t>
        </is>
      </c>
      <c r="G527" s="17" t="inlineStr">
        <is>
          <t>웹조사 자동화 실패(세션한도)</t>
        </is>
      </c>
      <c r="H527" s="17" t="inlineStr">
        <is>
          <t>N</t>
        </is>
      </c>
      <c r="I527" s="17" t="inlineStr">
        <is>
          <t>회사 공시·홈페이지</t>
        </is>
      </c>
      <c r="J527" s="17" t="inlineStr">
        <is>
          <t>회사 공시·홈페이지에서 확인</t>
        </is>
      </c>
      <c r="K527" s="17" t="inlineStr">
        <is>
          <t>낮음</t>
        </is>
      </c>
      <c r="L527" s="17" t="inlineStr"/>
    </row>
    <row r="528">
      <c r="A528" s="17" t="inlineStr">
        <is>
          <t>C084</t>
        </is>
      </c>
      <c r="B528" s="17" t="inlineStr"/>
      <c r="C528" s="17" t="inlineStr">
        <is>
          <t>타나베파마코리아주식회사</t>
        </is>
      </c>
      <c r="D528" s="17" t="inlineStr"/>
      <c r="E528" s="17" t="inlineStr">
        <is>
          <t>FDA·EMA 실사</t>
        </is>
      </c>
      <c r="F528" s="17" t="inlineStr">
        <is>
          <t>미확인</t>
        </is>
      </c>
      <c r="G528" s="17" t="inlineStr">
        <is>
          <t>웹조사 자동화 실패(세션한도)</t>
        </is>
      </c>
      <c r="H528" s="17" t="inlineStr">
        <is>
          <t>N</t>
        </is>
      </c>
      <c r="I528" s="17" t="inlineStr">
        <is>
          <t>FDA Inspection DB</t>
        </is>
      </c>
      <c r="J528" s="17" t="inlineStr">
        <is>
          <t>FDA Inspection DB에서 확인</t>
        </is>
      </c>
      <c r="K528" s="17" t="inlineStr">
        <is>
          <t>낮음</t>
        </is>
      </c>
      <c r="L528" s="17" t="inlineStr"/>
    </row>
    <row r="529">
      <c r="A529" s="17" t="inlineStr">
        <is>
          <t>C084</t>
        </is>
      </c>
      <c r="B529" s="17" t="inlineStr"/>
      <c r="C529" s="17" t="inlineStr">
        <is>
          <t>타나베파마코리아주식회사</t>
        </is>
      </c>
      <c r="D529" s="17" t="inlineStr"/>
      <c r="E529" s="17" t="inlineStr">
        <is>
          <t>CMO·CDMO</t>
        </is>
      </c>
      <c r="F529" s="17" t="inlineStr">
        <is>
          <t>미확인</t>
        </is>
      </c>
      <c r="G529" s="17" t="inlineStr">
        <is>
          <t>웹조사 자동화 실패(세션한도)</t>
        </is>
      </c>
      <c r="H529" s="17" t="inlineStr">
        <is>
          <t>N</t>
        </is>
      </c>
      <c r="I529" s="17" t="inlineStr">
        <is>
          <t>회사 홈페이지</t>
        </is>
      </c>
      <c r="J529" s="17" t="inlineStr">
        <is>
          <t>회사 홈페이지에서 확인</t>
        </is>
      </c>
      <c r="K529" s="17" t="inlineStr">
        <is>
          <t>낮음</t>
        </is>
      </c>
      <c r="L529" s="17" t="inlineStr"/>
    </row>
    <row r="530">
      <c r="A530" s="17" t="inlineStr">
        <is>
          <t>C084</t>
        </is>
      </c>
      <c r="B530" s="17" t="inlineStr"/>
      <c r="C530" s="17" t="inlineStr">
        <is>
          <t>타나베파마코리아주식회사</t>
        </is>
      </c>
      <c r="D530" s="17" t="inlineStr"/>
      <c r="E530" s="17" t="inlineStr">
        <is>
          <t>신공장·증설</t>
        </is>
      </c>
      <c r="F530" s="17" t="inlineStr">
        <is>
          <t>미확인</t>
        </is>
      </c>
      <c r="G530" s="17" t="inlineStr">
        <is>
          <t>웹조사 자동화 실패(세션한도)</t>
        </is>
      </c>
      <c r="H530" s="17" t="inlineStr">
        <is>
          <t>N</t>
        </is>
      </c>
      <c r="I530" s="17" t="inlineStr">
        <is>
          <t>언론·지자체 발표</t>
        </is>
      </c>
      <c r="J530" s="17" t="inlineStr">
        <is>
          <t>언론·지자체 발표에서 확인</t>
        </is>
      </c>
      <c r="K530" s="17" t="inlineStr">
        <is>
          <t>낮음</t>
        </is>
      </c>
      <c r="L530" s="17" t="inlineStr"/>
    </row>
    <row r="531">
      <c r="A531" s="17" t="inlineStr">
        <is>
          <t>C085</t>
        </is>
      </c>
      <c r="B531" s="17" t="inlineStr"/>
      <c r="C531" s="17" t="inlineStr">
        <is>
          <t>대덕가스(주)</t>
        </is>
      </c>
      <c r="D531" s="17" t="inlineStr"/>
      <c r="E531" s="17" t="inlineStr">
        <is>
          <t>최근매출(억원)</t>
        </is>
      </c>
      <c r="F531" s="17" t="inlineStr">
        <is>
          <t>미확인</t>
        </is>
      </c>
      <c r="G531" s="17" t="inlineStr">
        <is>
          <t>웹조사 자동화 실패(세션한도)</t>
        </is>
      </c>
      <c r="H531" s="17" t="inlineStr">
        <is>
          <t>N</t>
        </is>
      </c>
      <c r="I531" s="17" t="inlineStr">
        <is>
          <t>DART 사업보고서</t>
        </is>
      </c>
      <c r="J531" s="17" t="inlineStr">
        <is>
          <t>DART 사업보고서에서 확인</t>
        </is>
      </c>
      <c r="K531" s="17" t="inlineStr">
        <is>
          <t>낮음</t>
        </is>
      </c>
      <c r="L531" s="17" t="inlineStr"/>
    </row>
    <row r="532">
      <c r="A532" s="17" t="inlineStr">
        <is>
          <t>C085</t>
        </is>
      </c>
      <c r="B532" s="17" t="inlineStr"/>
      <c r="C532" s="17" t="inlineStr">
        <is>
          <t>대덕가스(주)</t>
        </is>
      </c>
      <c r="D532" s="17" t="inlineStr"/>
      <c r="E532" s="17" t="inlineStr">
        <is>
          <t>종업원수</t>
        </is>
      </c>
      <c r="F532" s="17" t="inlineStr">
        <is>
          <t>미확인</t>
        </is>
      </c>
      <c r="G532" s="17" t="inlineStr">
        <is>
          <t>웹조사 자동화 실패(세션한도)</t>
        </is>
      </c>
      <c r="H532" s="17" t="inlineStr">
        <is>
          <t>N</t>
        </is>
      </c>
      <c r="I532" s="17" t="inlineStr">
        <is>
          <t>DART/채용</t>
        </is>
      </c>
      <c r="J532" s="17" t="inlineStr">
        <is>
          <t>DART/채용에서 확인</t>
        </is>
      </c>
      <c r="K532" s="17" t="inlineStr">
        <is>
          <t>낮음</t>
        </is>
      </c>
      <c r="L532" s="17" t="inlineStr"/>
    </row>
    <row r="533">
      <c r="A533" s="17" t="inlineStr">
        <is>
          <t>C085</t>
        </is>
      </c>
      <c r="B533" s="17" t="inlineStr"/>
      <c r="C533" s="17" t="inlineStr">
        <is>
          <t>대덕가스(주)</t>
        </is>
      </c>
      <c r="D533" s="17" t="inlineStr"/>
      <c r="E533" s="17" t="inlineStr">
        <is>
          <t>수출여부</t>
        </is>
      </c>
      <c r="F533" s="17" t="inlineStr">
        <is>
          <t>미확인</t>
        </is>
      </c>
      <c r="G533" s="17" t="inlineStr">
        <is>
          <t>웹조사 자동화 실패(세션한도)</t>
        </is>
      </c>
      <c r="H533" s="17" t="inlineStr">
        <is>
          <t>N</t>
        </is>
      </c>
      <c r="I533" s="17" t="inlineStr">
        <is>
          <t>회사 공시·홈페이지</t>
        </is>
      </c>
      <c r="J533" s="17" t="inlineStr">
        <is>
          <t>회사 공시·홈페이지에서 확인</t>
        </is>
      </c>
      <c r="K533" s="17" t="inlineStr">
        <is>
          <t>낮음</t>
        </is>
      </c>
      <c r="L533" s="17" t="inlineStr"/>
    </row>
    <row r="534">
      <c r="A534" s="17" t="inlineStr">
        <is>
          <t>C085</t>
        </is>
      </c>
      <c r="B534" s="17" t="inlineStr"/>
      <c r="C534" s="17" t="inlineStr">
        <is>
          <t>대덕가스(주)</t>
        </is>
      </c>
      <c r="D534" s="17" t="inlineStr"/>
      <c r="E534" s="17" t="inlineStr">
        <is>
          <t>FDA·EMA 실사</t>
        </is>
      </c>
      <c r="F534" s="17" t="inlineStr">
        <is>
          <t>미확인</t>
        </is>
      </c>
      <c r="G534" s="17" t="inlineStr">
        <is>
          <t>웹조사 자동화 실패(세션한도)</t>
        </is>
      </c>
      <c r="H534" s="17" t="inlineStr">
        <is>
          <t>N</t>
        </is>
      </c>
      <c r="I534" s="17" t="inlineStr">
        <is>
          <t>FDA Inspection DB</t>
        </is>
      </c>
      <c r="J534" s="17" t="inlineStr">
        <is>
          <t>FDA Inspection DB에서 확인</t>
        </is>
      </c>
      <c r="K534" s="17" t="inlineStr">
        <is>
          <t>낮음</t>
        </is>
      </c>
      <c r="L534" s="17" t="inlineStr"/>
    </row>
    <row r="535">
      <c r="A535" s="17" t="inlineStr">
        <is>
          <t>C085</t>
        </is>
      </c>
      <c r="B535" s="17" t="inlineStr"/>
      <c r="C535" s="17" t="inlineStr">
        <is>
          <t>대덕가스(주)</t>
        </is>
      </c>
      <c r="D535" s="17" t="inlineStr"/>
      <c r="E535" s="17" t="inlineStr">
        <is>
          <t>CMO·CDMO</t>
        </is>
      </c>
      <c r="F535" s="17" t="inlineStr">
        <is>
          <t>미확인</t>
        </is>
      </c>
      <c r="G535" s="17" t="inlineStr">
        <is>
          <t>웹조사 자동화 실패(세션한도)</t>
        </is>
      </c>
      <c r="H535" s="17" t="inlineStr">
        <is>
          <t>N</t>
        </is>
      </c>
      <c r="I535" s="17" t="inlineStr">
        <is>
          <t>회사 홈페이지</t>
        </is>
      </c>
      <c r="J535" s="17" t="inlineStr">
        <is>
          <t>회사 홈페이지에서 확인</t>
        </is>
      </c>
      <c r="K535" s="17" t="inlineStr">
        <is>
          <t>낮음</t>
        </is>
      </c>
      <c r="L535" s="17" t="inlineStr"/>
    </row>
    <row r="536">
      <c r="A536" s="17" t="inlineStr">
        <is>
          <t>C085</t>
        </is>
      </c>
      <c r="B536" s="17" t="inlineStr"/>
      <c r="C536" s="17" t="inlineStr">
        <is>
          <t>대덕가스(주)</t>
        </is>
      </c>
      <c r="D536" s="17" t="inlineStr"/>
      <c r="E536" s="17" t="inlineStr">
        <is>
          <t>신공장·증설</t>
        </is>
      </c>
      <c r="F536" s="17" t="inlineStr">
        <is>
          <t>미확인</t>
        </is>
      </c>
      <c r="G536" s="17" t="inlineStr">
        <is>
          <t>웹조사 자동화 실패(세션한도)</t>
        </is>
      </c>
      <c r="H536" s="17" t="inlineStr">
        <is>
          <t>N</t>
        </is>
      </c>
      <c r="I536" s="17" t="inlineStr">
        <is>
          <t>언론·지자체 발표</t>
        </is>
      </c>
      <c r="J536" s="17" t="inlineStr">
        <is>
          <t>언론·지자체 발표에서 확인</t>
        </is>
      </c>
      <c r="K536" s="17" t="inlineStr">
        <is>
          <t>낮음</t>
        </is>
      </c>
      <c r="L536" s="17" t="inlineStr"/>
    </row>
    <row r="537">
      <c r="A537" s="17" t="inlineStr">
        <is>
          <t>C085</t>
        </is>
      </c>
      <c r="B537" s="17" t="inlineStr"/>
      <c r="C537" s="17" t="inlineStr">
        <is>
          <t>대덕가스(주)</t>
        </is>
      </c>
      <c r="D537" s="17" t="inlineStr"/>
      <c r="E537" s="17" t="inlineStr">
        <is>
          <t>대표전화</t>
        </is>
      </c>
      <c r="F537" s="17" t="inlineStr">
        <is>
          <t>미확인</t>
        </is>
      </c>
      <c r="G537" s="17" t="inlineStr">
        <is>
          <t>제조소상세 미매칭</t>
        </is>
      </c>
      <c r="H537" s="17" t="inlineStr">
        <is>
          <t>Y</t>
        </is>
      </c>
      <c r="I537" s="17" t="inlineStr">
        <is>
          <t>회사 홈페이지</t>
        </is>
      </c>
      <c r="J537" s="17" t="inlineStr">
        <is>
          <t>홈페이지에서 대표번호 확인</t>
        </is>
      </c>
      <c r="K537" s="17" t="inlineStr">
        <is>
          <t>낮음</t>
        </is>
      </c>
      <c r="L537" s="17" t="inlineStr"/>
    </row>
    <row r="538">
      <c r="A538" s="17" t="inlineStr">
        <is>
          <t>C086</t>
        </is>
      </c>
      <c r="B538" s="17" t="inlineStr"/>
      <c r="C538" s="17" t="inlineStr">
        <is>
          <t>에이치케이이노엔(주)</t>
        </is>
      </c>
      <c r="D538" s="17" t="inlineStr"/>
      <c r="E538" s="17" t="inlineStr">
        <is>
          <t>최근매출(억원)</t>
        </is>
      </c>
      <c r="F538" s="17" t="inlineStr">
        <is>
          <t>미확인</t>
        </is>
      </c>
      <c r="G538" s="17" t="inlineStr">
        <is>
          <t>웹조사 자동화 실패(세션한도)</t>
        </is>
      </c>
      <c r="H538" s="17" t="inlineStr">
        <is>
          <t>N</t>
        </is>
      </c>
      <c r="I538" s="17" t="inlineStr">
        <is>
          <t>DART 사업보고서</t>
        </is>
      </c>
      <c r="J538" s="17" t="inlineStr">
        <is>
          <t>DART 사업보고서에서 확인</t>
        </is>
      </c>
      <c r="K538" s="17" t="inlineStr">
        <is>
          <t>낮음</t>
        </is>
      </c>
      <c r="L538" s="17" t="inlineStr"/>
    </row>
    <row r="539">
      <c r="A539" s="17" t="inlineStr">
        <is>
          <t>C086</t>
        </is>
      </c>
      <c r="B539" s="17" t="inlineStr"/>
      <c r="C539" s="17" t="inlineStr">
        <is>
          <t>에이치케이이노엔(주)</t>
        </is>
      </c>
      <c r="D539" s="17" t="inlineStr"/>
      <c r="E539" s="17" t="inlineStr">
        <is>
          <t>종업원수</t>
        </is>
      </c>
      <c r="F539" s="17" t="inlineStr">
        <is>
          <t>미확인</t>
        </is>
      </c>
      <c r="G539" s="17" t="inlineStr">
        <is>
          <t>웹조사 자동화 실패(세션한도)</t>
        </is>
      </c>
      <c r="H539" s="17" t="inlineStr">
        <is>
          <t>N</t>
        </is>
      </c>
      <c r="I539" s="17" t="inlineStr">
        <is>
          <t>DART/채용</t>
        </is>
      </c>
      <c r="J539" s="17" t="inlineStr">
        <is>
          <t>DART/채용에서 확인</t>
        </is>
      </c>
      <c r="K539" s="17" t="inlineStr">
        <is>
          <t>낮음</t>
        </is>
      </c>
      <c r="L539" s="17" t="inlineStr"/>
    </row>
    <row r="540">
      <c r="A540" s="17" t="inlineStr">
        <is>
          <t>C086</t>
        </is>
      </c>
      <c r="B540" s="17" t="inlineStr"/>
      <c r="C540" s="17" t="inlineStr">
        <is>
          <t>에이치케이이노엔(주)</t>
        </is>
      </c>
      <c r="D540" s="17" t="inlineStr"/>
      <c r="E540" s="17" t="inlineStr">
        <is>
          <t>수출여부</t>
        </is>
      </c>
      <c r="F540" s="17" t="inlineStr">
        <is>
          <t>미확인</t>
        </is>
      </c>
      <c r="G540" s="17" t="inlineStr">
        <is>
          <t>웹조사 자동화 실패(세션한도)</t>
        </is>
      </c>
      <c r="H540" s="17" t="inlineStr">
        <is>
          <t>N</t>
        </is>
      </c>
      <c r="I540" s="17" t="inlineStr">
        <is>
          <t>회사 공시·홈페이지</t>
        </is>
      </c>
      <c r="J540" s="17" t="inlineStr">
        <is>
          <t>회사 공시·홈페이지에서 확인</t>
        </is>
      </c>
      <c r="K540" s="17" t="inlineStr">
        <is>
          <t>낮음</t>
        </is>
      </c>
      <c r="L540" s="17" t="inlineStr"/>
    </row>
    <row r="541">
      <c r="A541" s="17" t="inlineStr">
        <is>
          <t>C086</t>
        </is>
      </c>
      <c r="B541" s="17" t="inlineStr"/>
      <c r="C541" s="17" t="inlineStr">
        <is>
          <t>에이치케이이노엔(주)</t>
        </is>
      </c>
      <c r="D541" s="17" t="inlineStr"/>
      <c r="E541" s="17" t="inlineStr">
        <is>
          <t>FDA·EMA 실사</t>
        </is>
      </c>
      <c r="F541" s="17" t="inlineStr">
        <is>
          <t>미확인</t>
        </is>
      </c>
      <c r="G541" s="17" t="inlineStr">
        <is>
          <t>웹조사 자동화 실패(세션한도)</t>
        </is>
      </c>
      <c r="H541" s="17" t="inlineStr">
        <is>
          <t>N</t>
        </is>
      </c>
      <c r="I541" s="17" t="inlineStr">
        <is>
          <t>FDA Inspection DB</t>
        </is>
      </c>
      <c r="J541" s="17" t="inlineStr">
        <is>
          <t>FDA Inspection DB에서 확인</t>
        </is>
      </c>
      <c r="K541" s="17" t="inlineStr">
        <is>
          <t>낮음</t>
        </is>
      </c>
      <c r="L541" s="17" t="inlineStr"/>
    </row>
    <row r="542">
      <c r="A542" s="17" t="inlineStr">
        <is>
          <t>C086</t>
        </is>
      </c>
      <c r="B542" s="17" t="inlineStr"/>
      <c r="C542" s="17" t="inlineStr">
        <is>
          <t>에이치케이이노엔(주)</t>
        </is>
      </c>
      <c r="D542" s="17" t="inlineStr"/>
      <c r="E542" s="17" t="inlineStr">
        <is>
          <t>CMO·CDMO</t>
        </is>
      </c>
      <c r="F542" s="17" t="inlineStr">
        <is>
          <t>미확인</t>
        </is>
      </c>
      <c r="G542" s="17" t="inlineStr">
        <is>
          <t>웹조사 자동화 실패(세션한도)</t>
        </is>
      </c>
      <c r="H542" s="17" t="inlineStr">
        <is>
          <t>N</t>
        </is>
      </c>
      <c r="I542" s="17" t="inlineStr">
        <is>
          <t>회사 홈페이지</t>
        </is>
      </c>
      <c r="J542" s="17" t="inlineStr">
        <is>
          <t>회사 홈페이지에서 확인</t>
        </is>
      </c>
      <c r="K542" s="17" t="inlineStr">
        <is>
          <t>낮음</t>
        </is>
      </c>
      <c r="L542" s="17" t="inlineStr"/>
    </row>
    <row r="543">
      <c r="A543" s="17" t="inlineStr">
        <is>
          <t>C086</t>
        </is>
      </c>
      <c r="B543" s="17" t="inlineStr"/>
      <c r="C543" s="17" t="inlineStr">
        <is>
          <t>에이치케이이노엔(주)</t>
        </is>
      </c>
      <c r="D543" s="17" t="inlineStr"/>
      <c r="E543" s="17" t="inlineStr">
        <is>
          <t>신공장·증설</t>
        </is>
      </c>
      <c r="F543" s="17" t="inlineStr">
        <is>
          <t>미확인</t>
        </is>
      </c>
      <c r="G543" s="17" t="inlineStr">
        <is>
          <t>웹조사 자동화 실패(세션한도)</t>
        </is>
      </c>
      <c r="H543" s="17" t="inlineStr">
        <is>
          <t>N</t>
        </is>
      </c>
      <c r="I543" s="17" t="inlineStr">
        <is>
          <t>언론·지자체 발표</t>
        </is>
      </c>
      <c r="J543" s="17" t="inlineStr">
        <is>
          <t>언론·지자체 발표에서 확인</t>
        </is>
      </c>
      <c r="K543" s="17" t="inlineStr">
        <is>
          <t>낮음</t>
        </is>
      </c>
      <c r="L543" s="17" t="inlineStr"/>
    </row>
    <row r="544">
      <c r="A544" s="17" t="inlineStr">
        <is>
          <t>C087</t>
        </is>
      </c>
      <c r="B544" s="17" t="inlineStr"/>
      <c r="C544" s="17" t="inlineStr">
        <is>
          <t>주식회사 유한화학</t>
        </is>
      </c>
      <c r="D544" s="17" t="inlineStr"/>
      <c r="E544" s="17" t="inlineStr">
        <is>
          <t>최근매출(억원)</t>
        </is>
      </c>
      <c r="F544" s="17" t="inlineStr">
        <is>
          <t>미확인</t>
        </is>
      </c>
      <c r="G544" s="17" t="inlineStr">
        <is>
          <t>웹조사 자동화 실패(세션한도)</t>
        </is>
      </c>
      <c r="H544" s="17" t="inlineStr">
        <is>
          <t>N</t>
        </is>
      </c>
      <c r="I544" s="17" t="inlineStr">
        <is>
          <t>DART 사업보고서</t>
        </is>
      </c>
      <c r="J544" s="17" t="inlineStr">
        <is>
          <t>DART 사업보고서에서 확인</t>
        </is>
      </c>
      <c r="K544" s="17" t="inlineStr">
        <is>
          <t>낮음</t>
        </is>
      </c>
      <c r="L544" s="17" t="inlineStr"/>
    </row>
    <row r="545">
      <c r="A545" s="17" t="inlineStr">
        <is>
          <t>C087</t>
        </is>
      </c>
      <c r="B545" s="17" t="inlineStr"/>
      <c r="C545" s="17" t="inlineStr">
        <is>
          <t>주식회사 유한화학</t>
        </is>
      </c>
      <c r="D545" s="17" t="inlineStr"/>
      <c r="E545" s="17" t="inlineStr">
        <is>
          <t>종업원수</t>
        </is>
      </c>
      <c r="F545" s="17" t="inlineStr">
        <is>
          <t>미확인</t>
        </is>
      </c>
      <c r="G545" s="17" t="inlineStr">
        <is>
          <t>웹조사 자동화 실패(세션한도)</t>
        </is>
      </c>
      <c r="H545" s="17" t="inlineStr">
        <is>
          <t>N</t>
        </is>
      </c>
      <c r="I545" s="17" t="inlineStr">
        <is>
          <t>DART/채용</t>
        </is>
      </c>
      <c r="J545" s="17" t="inlineStr">
        <is>
          <t>DART/채용에서 확인</t>
        </is>
      </c>
      <c r="K545" s="17" t="inlineStr">
        <is>
          <t>낮음</t>
        </is>
      </c>
      <c r="L545" s="17" t="inlineStr"/>
    </row>
    <row r="546">
      <c r="A546" s="17" t="inlineStr">
        <is>
          <t>C087</t>
        </is>
      </c>
      <c r="B546" s="17" t="inlineStr"/>
      <c r="C546" s="17" t="inlineStr">
        <is>
          <t>주식회사 유한화학</t>
        </is>
      </c>
      <c r="D546" s="17" t="inlineStr"/>
      <c r="E546" s="17" t="inlineStr">
        <is>
          <t>수출여부</t>
        </is>
      </c>
      <c r="F546" s="17" t="inlineStr">
        <is>
          <t>미확인</t>
        </is>
      </c>
      <c r="G546" s="17" t="inlineStr">
        <is>
          <t>웹조사 자동화 실패(세션한도)</t>
        </is>
      </c>
      <c r="H546" s="17" t="inlineStr">
        <is>
          <t>N</t>
        </is>
      </c>
      <c r="I546" s="17" t="inlineStr">
        <is>
          <t>회사 공시·홈페이지</t>
        </is>
      </c>
      <c r="J546" s="17" t="inlineStr">
        <is>
          <t>회사 공시·홈페이지에서 확인</t>
        </is>
      </c>
      <c r="K546" s="17" t="inlineStr">
        <is>
          <t>낮음</t>
        </is>
      </c>
      <c r="L546" s="17" t="inlineStr"/>
    </row>
    <row r="547">
      <c r="A547" s="17" t="inlineStr">
        <is>
          <t>C087</t>
        </is>
      </c>
      <c r="B547" s="17" t="inlineStr"/>
      <c r="C547" s="17" t="inlineStr">
        <is>
          <t>주식회사 유한화학</t>
        </is>
      </c>
      <c r="D547" s="17" t="inlineStr"/>
      <c r="E547" s="17" t="inlineStr">
        <is>
          <t>FDA·EMA 실사</t>
        </is>
      </c>
      <c r="F547" s="17" t="inlineStr">
        <is>
          <t>미확인</t>
        </is>
      </c>
      <c r="G547" s="17" t="inlineStr">
        <is>
          <t>웹조사 자동화 실패(세션한도)</t>
        </is>
      </c>
      <c r="H547" s="17" t="inlineStr">
        <is>
          <t>N</t>
        </is>
      </c>
      <c r="I547" s="17" t="inlineStr">
        <is>
          <t>FDA Inspection DB</t>
        </is>
      </c>
      <c r="J547" s="17" t="inlineStr">
        <is>
          <t>FDA Inspection DB에서 확인</t>
        </is>
      </c>
      <c r="K547" s="17" t="inlineStr">
        <is>
          <t>낮음</t>
        </is>
      </c>
      <c r="L547" s="17" t="inlineStr"/>
    </row>
    <row r="548">
      <c r="A548" s="17" t="inlineStr">
        <is>
          <t>C087</t>
        </is>
      </c>
      <c r="B548" s="17" t="inlineStr"/>
      <c r="C548" s="17" t="inlineStr">
        <is>
          <t>주식회사 유한화학</t>
        </is>
      </c>
      <c r="D548" s="17" t="inlineStr"/>
      <c r="E548" s="17" t="inlineStr">
        <is>
          <t>CMO·CDMO</t>
        </is>
      </c>
      <c r="F548" s="17" t="inlineStr">
        <is>
          <t>미확인</t>
        </is>
      </c>
      <c r="G548" s="17" t="inlineStr">
        <is>
          <t>웹조사 자동화 실패(세션한도)</t>
        </is>
      </c>
      <c r="H548" s="17" t="inlineStr">
        <is>
          <t>N</t>
        </is>
      </c>
      <c r="I548" s="17" t="inlineStr">
        <is>
          <t>회사 홈페이지</t>
        </is>
      </c>
      <c r="J548" s="17" t="inlineStr">
        <is>
          <t>회사 홈페이지에서 확인</t>
        </is>
      </c>
      <c r="K548" s="17" t="inlineStr">
        <is>
          <t>낮음</t>
        </is>
      </c>
      <c r="L548" s="17" t="inlineStr"/>
    </row>
    <row r="549">
      <c r="A549" s="17" t="inlineStr">
        <is>
          <t>C087</t>
        </is>
      </c>
      <c r="B549" s="17" t="inlineStr"/>
      <c r="C549" s="17" t="inlineStr">
        <is>
          <t>주식회사 유한화학</t>
        </is>
      </c>
      <c r="D549" s="17" t="inlineStr"/>
      <c r="E549" s="17" t="inlineStr">
        <is>
          <t>신공장·증설</t>
        </is>
      </c>
      <c r="F549" s="17" t="inlineStr">
        <is>
          <t>미확인</t>
        </is>
      </c>
      <c r="G549" s="17" t="inlineStr">
        <is>
          <t>웹조사 자동화 실패(세션한도)</t>
        </is>
      </c>
      <c r="H549" s="17" t="inlineStr">
        <is>
          <t>N</t>
        </is>
      </c>
      <c r="I549" s="17" t="inlineStr">
        <is>
          <t>언론·지자체 발표</t>
        </is>
      </c>
      <c r="J549" s="17" t="inlineStr">
        <is>
          <t>언론·지자체 발표에서 확인</t>
        </is>
      </c>
      <c r="K549" s="17" t="inlineStr">
        <is>
          <t>낮음</t>
        </is>
      </c>
      <c r="L549" s="17" t="inlineStr"/>
    </row>
    <row r="550">
      <c r="A550" s="17" t="inlineStr">
        <is>
          <t>C088</t>
        </is>
      </c>
      <c r="B550" s="17" t="inlineStr"/>
      <c r="C550" s="17" t="inlineStr">
        <is>
          <t>한국탄산화학(주)</t>
        </is>
      </c>
      <c r="D550" s="17" t="inlineStr"/>
      <c r="E550" s="17" t="inlineStr">
        <is>
          <t>최근매출(억원)</t>
        </is>
      </c>
      <c r="F550" s="17" t="inlineStr">
        <is>
          <t>미확인</t>
        </is>
      </c>
      <c r="G550" s="17" t="inlineStr">
        <is>
          <t>웹조사 자동화 실패(세션한도)</t>
        </is>
      </c>
      <c r="H550" s="17" t="inlineStr">
        <is>
          <t>N</t>
        </is>
      </c>
      <c r="I550" s="17" t="inlineStr">
        <is>
          <t>DART 사업보고서</t>
        </is>
      </c>
      <c r="J550" s="17" t="inlineStr">
        <is>
          <t>DART 사업보고서에서 확인</t>
        </is>
      </c>
      <c r="K550" s="17" t="inlineStr">
        <is>
          <t>낮음</t>
        </is>
      </c>
      <c r="L550" s="17" t="inlineStr"/>
    </row>
    <row r="551">
      <c r="A551" s="17" t="inlineStr">
        <is>
          <t>C088</t>
        </is>
      </c>
      <c r="B551" s="17" t="inlineStr"/>
      <c r="C551" s="17" t="inlineStr">
        <is>
          <t>한국탄산화학(주)</t>
        </is>
      </c>
      <c r="D551" s="17" t="inlineStr"/>
      <c r="E551" s="17" t="inlineStr">
        <is>
          <t>종업원수</t>
        </is>
      </c>
      <c r="F551" s="17" t="inlineStr">
        <is>
          <t>미확인</t>
        </is>
      </c>
      <c r="G551" s="17" t="inlineStr">
        <is>
          <t>웹조사 자동화 실패(세션한도)</t>
        </is>
      </c>
      <c r="H551" s="17" t="inlineStr">
        <is>
          <t>N</t>
        </is>
      </c>
      <c r="I551" s="17" t="inlineStr">
        <is>
          <t>DART/채용</t>
        </is>
      </c>
      <c r="J551" s="17" t="inlineStr">
        <is>
          <t>DART/채용에서 확인</t>
        </is>
      </c>
      <c r="K551" s="17" t="inlineStr">
        <is>
          <t>낮음</t>
        </is>
      </c>
      <c r="L551" s="17" t="inlineStr"/>
    </row>
    <row r="552">
      <c r="A552" s="17" t="inlineStr">
        <is>
          <t>C088</t>
        </is>
      </c>
      <c r="B552" s="17" t="inlineStr"/>
      <c r="C552" s="17" t="inlineStr">
        <is>
          <t>한국탄산화학(주)</t>
        </is>
      </c>
      <c r="D552" s="17" t="inlineStr"/>
      <c r="E552" s="17" t="inlineStr">
        <is>
          <t>수출여부</t>
        </is>
      </c>
      <c r="F552" s="17" t="inlineStr">
        <is>
          <t>미확인</t>
        </is>
      </c>
      <c r="G552" s="17" t="inlineStr">
        <is>
          <t>웹조사 자동화 실패(세션한도)</t>
        </is>
      </c>
      <c r="H552" s="17" t="inlineStr">
        <is>
          <t>N</t>
        </is>
      </c>
      <c r="I552" s="17" t="inlineStr">
        <is>
          <t>회사 공시·홈페이지</t>
        </is>
      </c>
      <c r="J552" s="17" t="inlineStr">
        <is>
          <t>회사 공시·홈페이지에서 확인</t>
        </is>
      </c>
      <c r="K552" s="17" t="inlineStr">
        <is>
          <t>낮음</t>
        </is>
      </c>
      <c r="L552" s="17" t="inlineStr"/>
    </row>
    <row r="553">
      <c r="A553" s="17" t="inlineStr">
        <is>
          <t>C088</t>
        </is>
      </c>
      <c r="B553" s="17" t="inlineStr"/>
      <c r="C553" s="17" t="inlineStr">
        <is>
          <t>한국탄산화학(주)</t>
        </is>
      </c>
      <c r="D553" s="17" t="inlineStr"/>
      <c r="E553" s="17" t="inlineStr">
        <is>
          <t>FDA·EMA 실사</t>
        </is>
      </c>
      <c r="F553" s="17" t="inlineStr">
        <is>
          <t>미확인</t>
        </is>
      </c>
      <c r="G553" s="17" t="inlineStr">
        <is>
          <t>웹조사 자동화 실패(세션한도)</t>
        </is>
      </c>
      <c r="H553" s="17" t="inlineStr">
        <is>
          <t>N</t>
        </is>
      </c>
      <c r="I553" s="17" t="inlineStr">
        <is>
          <t>FDA Inspection DB</t>
        </is>
      </c>
      <c r="J553" s="17" t="inlineStr">
        <is>
          <t>FDA Inspection DB에서 확인</t>
        </is>
      </c>
      <c r="K553" s="17" t="inlineStr">
        <is>
          <t>낮음</t>
        </is>
      </c>
      <c r="L553" s="17" t="inlineStr"/>
    </row>
    <row r="554">
      <c r="A554" s="17" t="inlineStr">
        <is>
          <t>C088</t>
        </is>
      </c>
      <c r="B554" s="17" t="inlineStr"/>
      <c r="C554" s="17" t="inlineStr">
        <is>
          <t>한국탄산화학(주)</t>
        </is>
      </c>
      <c r="D554" s="17" t="inlineStr"/>
      <c r="E554" s="17" t="inlineStr">
        <is>
          <t>CMO·CDMO</t>
        </is>
      </c>
      <c r="F554" s="17" t="inlineStr">
        <is>
          <t>미확인</t>
        </is>
      </c>
      <c r="G554" s="17" t="inlineStr">
        <is>
          <t>웹조사 자동화 실패(세션한도)</t>
        </is>
      </c>
      <c r="H554" s="17" t="inlineStr">
        <is>
          <t>N</t>
        </is>
      </c>
      <c r="I554" s="17" t="inlineStr">
        <is>
          <t>회사 홈페이지</t>
        </is>
      </c>
      <c r="J554" s="17" t="inlineStr">
        <is>
          <t>회사 홈페이지에서 확인</t>
        </is>
      </c>
      <c r="K554" s="17" t="inlineStr">
        <is>
          <t>낮음</t>
        </is>
      </c>
      <c r="L554" s="17" t="inlineStr"/>
    </row>
    <row r="555">
      <c r="A555" s="17" t="inlineStr">
        <is>
          <t>C088</t>
        </is>
      </c>
      <c r="B555" s="17" t="inlineStr"/>
      <c r="C555" s="17" t="inlineStr">
        <is>
          <t>한국탄산화학(주)</t>
        </is>
      </c>
      <c r="D555" s="17" t="inlineStr"/>
      <c r="E555" s="17" t="inlineStr">
        <is>
          <t>신공장·증설</t>
        </is>
      </c>
      <c r="F555" s="17" t="inlineStr">
        <is>
          <t>미확인</t>
        </is>
      </c>
      <c r="G555" s="17" t="inlineStr">
        <is>
          <t>웹조사 자동화 실패(세션한도)</t>
        </is>
      </c>
      <c r="H555" s="17" t="inlineStr">
        <is>
          <t>N</t>
        </is>
      </c>
      <c r="I555" s="17" t="inlineStr">
        <is>
          <t>언론·지자체 발표</t>
        </is>
      </c>
      <c r="J555" s="17" t="inlineStr">
        <is>
          <t>언론·지자체 발표에서 확인</t>
        </is>
      </c>
      <c r="K555" s="17" t="inlineStr">
        <is>
          <t>낮음</t>
        </is>
      </c>
      <c r="L555" s="17" t="inlineStr"/>
    </row>
    <row r="556">
      <c r="A556" s="17" t="inlineStr">
        <is>
          <t>C089</t>
        </is>
      </c>
      <c r="B556" s="17" t="inlineStr"/>
      <c r="C556" s="17" t="inlineStr">
        <is>
          <t>(주)녹십자웰빙</t>
        </is>
      </c>
      <c r="D556" s="17" t="inlineStr"/>
      <c r="E556" s="17" t="inlineStr">
        <is>
          <t>최근매출(억원)</t>
        </is>
      </c>
      <c r="F556" s="17" t="inlineStr">
        <is>
          <t>미확인</t>
        </is>
      </c>
      <c r="G556" s="17" t="inlineStr">
        <is>
          <t>웹조사 자동화 실패(세션한도)</t>
        </is>
      </c>
      <c r="H556" s="17" t="inlineStr">
        <is>
          <t>N</t>
        </is>
      </c>
      <c r="I556" s="17" t="inlineStr">
        <is>
          <t>DART 사업보고서</t>
        </is>
      </c>
      <c r="J556" s="17" t="inlineStr">
        <is>
          <t>DART 사업보고서에서 확인</t>
        </is>
      </c>
      <c r="K556" s="17" t="inlineStr">
        <is>
          <t>낮음</t>
        </is>
      </c>
      <c r="L556" s="17" t="inlineStr"/>
    </row>
    <row r="557">
      <c r="A557" s="17" t="inlineStr">
        <is>
          <t>C089</t>
        </is>
      </c>
      <c r="B557" s="17" t="inlineStr"/>
      <c r="C557" s="17" t="inlineStr">
        <is>
          <t>(주)녹십자웰빙</t>
        </is>
      </c>
      <c r="D557" s="17" t="inlineStr"/>
      <c r="E557" s="17" t="inlineStr">
        <is>
          <t>종업원수</t>
        </is>
      </c>
      <c r="F557" s="17" t="inlineStr">
        <is>
          <t>미확인</t>
        </is>
      </c>
      <c r="G557" s="17" t="inlineStr">
        <is>
          <t>웹조사 자동화 실패(세션한도)</t>
        </is>
      </c>
      <c r="H557" s="17" t="inlineStr">
        <is>
          <t>N</t>
        </is>
      </c>
      <c r="I557" s="17" t="inlineStr">
        <is>
          <t>DART/채용</t>
        </is>
      </c>
      <c r="J557" s="17" t="inlineStr">
        <is>
          <t>DART/채용에서 확인</t>
        </is>
      </c>
      <c r="K557" s="17" t="inlineStr">
        <is>
          <t>낮음</t>
        </is>
      </c>
      <c r="L557" s="17" t="inlineStr"/>
    </row>
    <row r="558">
      <c r="A558" s="17" t="inlineStr">
        <is>
          <t>C089</t>
        </is>
      </c>
      <c r="B558" s="17" t="inlineStr"/>
      <c r="C558" s="17" t="inlineStr">
        <is>
          <t>(주)녹십자웰빙</t>
        </is>
      </c>
      <c r="D558" s="17" t="inlineStr"/>
      <c r="E558" s="17" t="inlineStr">
        <is>
          <t>수출여부</t>
        </is>
      </c>
      <c r="F558" s="17" t="inlineStr">
        <is>
          <t>미확인</t>
        </is>
      </c>
      <c r="G558" s="17" t="inlineStr">
        <is>
          <t>웹조사 자동화 실패(세션한도)</t>
        </is>
      </c>
      <c r="H558" s="17" t="inlineStr">
        <is>
          <t>N</t>
        </is>
      </c>
      <c r="I558" s="17" t="inlineStr">
        <is>
          <t>회사 공시·홈페이지</t>
        </is>
      </c>
      <c r="J558" s="17" t="inlineStr">
        <is>
          <t>회사 공시·홈페이지에서 확인</t>
        </is>
      </c>
      <c r="K558" s="17" t="inlineStr">
        <is>
          <t>낮음</t>
        </is>
      </c>
      <c r="L558" s="17" t="inlineStr"/>
    </row>
    <row r="559">
      <c r="A559" s="17" t="inlineStr">
        <is>
          <t>C089</t>
        </is>
      </c>
      <c r="B559" s="17" t="inlineStr"/>
      <c r="C559" s="17" t="inlineStr">
        <is>
          <t>(주)녹십자웰빙</t>
        </is>
      </c>
      <c r="D559" s="17" t="inlineStr"/>
      <c r="E559" s="17" t="inlineStr">
        <is>
          <t>FDA·EMA 실사</t>
        </is>
      </c>
      <c r="F559" s="17" t="inlineStr">
        <is>
          <t>미확인</t>
        </is>
      </c>
      <c r="G559" s="17" t="inlineStr">
        <is>
          <t>웹조사 자동화 실패(세션한도)</t>
        </is>
      </c>
      <c r="H559" s="17" t="inlineStr">
        <is>
          <t>N</t>
        </is>
      </c>
      <c r="I559" s="17" t="inlineStr">
        <is>
          <t>FDA Inspection DB</t>
        </is>
      </c>
      <c r="J559" s="17" t="inlineStr">
        <is>
          <t>FDA Inspection DB에서 확인</t>
        </is>
      </c>
      <c r="K559" s="17" t="inlineStr">
        <is>
          <t>낮음</t>
        </is>
      </c>
      <c r="L559" s="17" t="inlineStr"/>
    </row>
    <row r="560">
      <c r="A560" s="17" t="inlineStr">
        <is>
          <t>C089</t>
        </is>
      </c>
      <c r="B560" s="17" t="inlineStr"/>
      <c r="C560" s="17" t="inlineStr">
        <is>
          <t>(주)녹십자웰빙</t>
        </is>
      </c>
      <c r="D560" s="17" t="inlineStr"/>
      <c r="E560" s="17" t="inlineStr">
        <is>
          <t>CMO·CDMO</t>
        </is>
      </c>
      <c r="F560" s="17" t="inlineStr">
        <is>
          <t>미확인</t>
        </is>
      </c>
      <c r="G560" s="17" t="inlineStr">
        <is>
          <t>웹조사 자동화 실패(세션한도)</t>
        </is>
      </c>
      <c r="H560" s="17" t="inlineStr">
        <is>
          <t>N</t>
        </is>
      </c>
      <c r="I560" s="17" t="inlineStr">
        <is>
          <t>회사 홈페이지</t>
        </is>
      </c>
      <c r="J560" s="17" t="inlineStr">
        <is>
          <t>회사 홈페이지에서 확인</t>
        </is>
      </c>
      <c r="K560" s="17" t="inlineStr">
        <is>
          <t>낮음</t>
        </is>
      </c>
      <c r="L560" s="17" t="inlineStr"/>
    </row>
    <row r="561">
      <c r="A561" s="17" t="inlineStr">
        <is>
          <t>C089</t>
        </is>
      </c>
      <c r="B561" s="17" t="inlineStr"/>
      <c r="C561" s="17" t="inlineStr">
        <is>
          <t>(주)녹십자웰빙</t>
        </is>
      </c>
      <c r="D561" s="17" t="inlineStr"/>
      <c r="E561" s="17" t="inlineStr">
        <is>
          <t>신공장·증설</t>
        </is>
      </c>
      <c r="F561" s="17" t="inlineStr">
        <is>
          <t>미확인</t>
        </is>
      </c>
      <c r="G561" s="17" t="inlineStr">
        <is>
          <t>웹조사 자동화 실패(세션한도)</t>
        </is>
      </c>
      <c r="H561" s="17" t="inlineStr">
        <is>
          <t>N</t>
        </is>
      </c>
      <c r="I561" s="17" t="inlineStr">
        <is>
          <t>언론·지자체 발표</t>
        </is>
      </c>
      <c r="J561" s="17" t="inlineStr">
        <is>
          <t>언론·지자체 발표에서 확인</t>
        </is>
      </c>
      <c r="K561" s="17" t="inlineStr">
        <is>
          <t>낮음</t>
        </is>
      </c>
      <c r="L561" s="17" t="inlineStr"/>
    </row>
    <row r="562">
      <c r="A562" s="17" t="inlineStr">
        <is>
          <t>C090</t>
        </is>
      </c>
      <c r="B562" s="17" t="inlineStr"/>
      <c r="C562" s="17" t="inlineStr">
        <is>
          <t>대웅바이오(주)</t>
        </is>
      </c>
      <c r="D562" s="17" t="inlineStr"/>
      <c r="E562" s="17" t="inlineStr">
        <is>
          <t>최근매출(억원)</t>
        </is>
      </c>
      <c r="F562" s="17" t="inlineStr">
        <is>
          <t>미확인</t>
        </is>
      </c>
      <c r="G562" s="17" t="inlineStr">
        <is>
          <t>웹조사 자동화 실패(세션한도)</t>
        </is>
      </c>
      <c r="H562" s="17" t="inlineStr">
        <is>
          <t>N</t>
        </is>
      </c>
      <c r="I562" s="17" t="inlineStr">
        <is>
          <t>DART 사업보고서</t>
        </is>
      </c>
      <c r="J562" s="17" t="inlineStr">
        <is>
          <t>DART 사업보고서에서 확인</t>
        </is>
      </c>
      <c r="K562" s="17" t="inlineStr">
        <is>
          <t>낮음</t>
        </is>
      </c>
      <c r="L562" s="17" t="inlineStr"/>
    </row>
    <row r="563">
      <c r="A563" s="17" t="inlineStr">
        <is>
          <t>C090</t>
        </is>
      </c>
      <c r="B563" s="17" t="inlineStr"/>
      <c r="C563" s="17" t="inlineStr">
        <is>
          <t>대웅바이오(주)</t>
        </is>
      </c>
      <c r="D563" s="17" t="inlineStr"/>
      <c r="E563" s="17" t="inlineStr">
        <is>
          <t>종업원수</t>
        </is>
      </c>
      <c r="F563" s="17" t="inlineStr">
        <is>
          <t>미확인</t>
        </is>
      </c>
      <c r="G563" s="17" t="inlineStr">
        <is>
          <t>웹조사 자동화 실패(세션한도)</t>
        </is>
      </c>
      <c r="H563" s="17" t="inlineStr">
        <is>
          <t>N</t>
        </is>
      </c>
      <c r="I563" s="17" t="inlineStr">
        <is>
          <t>DART/채용</t>
        </is>
      </c>
      <c r="J563" s="17" t="inlineStr">
        <is>
          <t>DART/채용에서 확인</t>
        </is>
      </c>
      <c r="K563" s="17" t="inlineStr">
        <is>
          <t>낮음</t>
        </is>
      </c>
      <c r="L563" s="17" t="inlineStr"/>
    </row>
    <row r="564">
      <c r="A564" s="17" t="inlineStr">
        <is>
          <t>C090</t>
        </is>
      </c>
      <c r="B564" s="17" t="inlineStr"/>
      <c r="C564" s="17" t="inlineStr">
        <is>
          <t>대웅바이오(주)</t>
        </is>
      </c>
      <c r="D564" s="17" t="inlineStr"/>
      <c r="E564" s="17" t="inlineStr">
        <is>
          <t>수출여부</t>
        </is>
      </c>
      <c r="F564" s="17" t="inlineStr">
        <is>
          <t>미확인</t>
        </is>
      </c>
      <c r="G564" s="17" t="inlineStr">
        <is>
          <t>웹조사 자동화 실패(세션한도)</t>
        </is>
      </c>
      <c r="H564" s="17" t="inlineStr">
        <is>
          <t>N</t>
        </is>
      </c>
      <c r="I564" s="17" t="inlineStr">
        <is>
          <t>회사 공시·홈페이지</t>
        </is>
      </c>
      <c r="J564" s="17" t="inlineStr">
        <is>
          <t>회사 공시·홈페이지에서 확인</t>
        </is>
      </c>
      <c r="K564" s="17" t="inlineStr">
        <is>
          <t>낮음</t>
        </is>
      </c>
      <c r="L564" s="17" t="inlineStr"/>
    </row>
    <row r="565">
      <c r="A565" s="17" t="inlineStr">
        <is>
          <t>C090</t>
        </is>
      </c>
      <c r="B565" s="17" t="inlineStr"/>
      <c r="C565" s="17" t="inlineStr">
        <is>
          <t>대웅바이오(주)</t>
        </is>
      </c>
      <c r="D565" s="17" t="inlineStr"/>
      <c r="E565" s="17" t="inlineStr">
        <is>
          <t>FDA·EMA 실사</t>
        </is>
      </c>
      <c r="F565" s="17" t="inlineStr">
        <is>
          <t>미확인</t>
        </is>
      </c>
      <c r="G565" s="17" t="inlineStr">
        <is>
          <t>웹조사 자동화 실패(세션한도)</t>
        </is>
      </c>
      <c r="H565" s="17" t="inlineStr">
        <is>
          <t>N</t>
        </is>
      </c>
      <c r="I565" s="17" t="inlineStr">
        <is>
          <t>FDA Inspection DB</t>
        </is>
      </c>
      <c r="J565" s="17" t="inlineStr">
        <is>
          <t>FDA Inspection DB에서 확인</t>
        </is>
      </c>
      <c r="K565" s="17" t="inlineStr">
        <is>
          <t>낮음</t>
        </is>
      </c>
      <c r="L565" s="17" t="inlineStr"/>
    </row>
    <row r="566">
      <c r="A566" s="17" t="inlineStr">
        <is>
          <t>C090</t>
        </is>
      </c>
      <c r="B566" s="17" t="inlineStr"/>
      <c r="C566" s="17" t="inlineStr">
        <is>
          <t>대웅바이오(주)</t>
        </is>
      </c>
      <c r="D566" s="17" t="inlineStr"/>
      <c r="E566" s="17" t="inlineStr">
        <is>
          <t>CMO·CDMO</t>
        </is>
      </c>
      <c r="F566" s="17" t="inlineStr">
        <is>
          <t>미확인</t>
        </is>
      </c>
      <c r="G566" s="17" t="inlineStr">
        <is>
          <t>웹조사 자동화 실패(세션한도)</t>
        </is>
      </c>
      <c r="H566" s="17" t="inlineStr">
        <is>
          <t>N</t>
        </is>
      </c>
      <c r="I566" s="17" t="inlineStr">
        <is>
          <t>회사 홈페이지</t>
        </is>
      </c>
      <c r="J566" s="17" t="inlineStr">
        <is>
          <t>회사 홈페이지에서 확인</t>
        </is>
      </c>
      <c r="K566" s="17" t="inlineStr">
        <is>
          <t>낮음</t>
        </is>
      </c>
      <c r="L566" s="17" t="inlineStr"/>
    </row>
    <row r="567">
      <c r="A567" s="17" t="inlineStr">
        <is>
          <t>C090</t>
        </is>
      </c>
      <c r="B567" s="17" t="inlineStr"/>
      <c r="C567" s="17" t="inlineStr">
        <is>
          <t>대웅바이오(주)</t>
        </is>
      </c>
      <c r="D567" s="17" t="inlineStr"/>
      <c r="E567" s="17" t="inlineStr">
        <is>
          <t>신공장·증설</t>
        </is>
      </c>
      <c r="F567" s="17" t="inlineStr">
        <is>
          <t>미확인</t>
        </is>
      </c>
      <c r="G567" s="17" t="inlineStr">
        <is>
          <t>웹조사 자동화 실패(세션한도)</t>
        </is>
      </c>
      <c r="H567" s="17" t="inlineStr">
        <is>
          <t>N</t>
        </is>
      </c>
      <c r="I567" s="17" t="inlineStr">
        <is>
          <t>언론·지자체 발표</t>
        </is>
      </c>
      <c r="J567" s="17" t="inlineStr">
        <is>
          <t>언론·지자체 발표에서 확인</t>
        </is>
      </c>
      <c r="K567" s="17" t="inlineStr">
        <is>
          <t>낮음</t>
        </is>
      </c>
      <c r="L567" s="17" t="inlineStr"/>
    </row>
    <row r="568">
      <c r="A568" s="17" t="inlineStr">
        <is>
          <t>C091</t>
        </is>
      </c>
      <c r="B568" s="17" t="inlineStr"/>
      <c r="C568" s="17" t="inlineStr">
        <is>
          <t>(주)대유코아</t>
        </is>
      </c>
      <c r="D568" s="17" t="inlineStr"/>
      <c r="E568" s="17" t="inlineStr">
        <is>
          <t>최근매출(억원)</t>
        </is>
      </c>
      <c r="F568" s="17" t="inlineStr">
        <is>
          <t>미확인</t>
        </is>
      </c>
      <c r="G568" s="17" t="inlineStr">
        <is>
          <t>웹조사 자동화 실패(세션한도)</t>
        </is>
      </c>
      <c r="H568" s="17" t="inlineStr">
        <is>
          <t>N</t>
        </is>
      </c>
      <c r="I568" s="17" t="inlineStr">
        <is>
          <t>DART 사업보고서</t>
        </is>
      </c>
      <c r="J568" s="17" t="inlineStr">
        <is>
          <t>DART 사업보고서에서 확인</t>
        </is>
      </c>
      <c r="K568" s="17" t="inlineStr">
        <is>
          <t>낮음</t>
        </is>
      </c>
      <c r="L568" s="17" t="inlineStr"/>
    </row>
    <row r="569">
      <c r="A569" s="17" t="inlineStr">
        <is>
          <t>C091</t>
        </is>
      </c>
      <c r="B569" s="17" t="inlineStr"/>
      <c r="C569" s="17" t="inlineStr">
        <is>
          <t>(주)대유코아</t>
        </is>
      </c>
      <c r="D569" s="17" t="inlineStr"/>
      <c r="E569" s="17" t="inlineStr">
        <is>
          <t>종업원수</t>
        </is>
      </c>
      <c r="F569" s="17" t="inlineStr">
        <is>
          <t>미확인</t>
        </is>
      </c>
      <c r="G569" s="17" t="inlineStr">
        <is>
          <t>웹조사 자동화 실패(세션한도)</t>
        </is>
      </c>
      <c r="H569" s="17" t="inlineStr">
        <is>
          <t>N</t>
        </is>
      </c>
      <c r="I569" s="17" t="inlineStr">
        <is>
          <t>DART/채용</t>
        </is>
      </c>
      <c r="J569" s="17" t="inlineStr">
        <is>
          <t>DART/채용에서 확인</t>
        </is>
      </c>
      <c r="K569" s="17" t="inlineStr">
        <is>
          <t>낮음</t>
        </is>
      </c>
      <c r="L569" s="17" t="inlineStr"/>
    </row>
    <row r="570">
      <c r="A570" s="17" t="inlineStr">
        <is>
          <t>C091</t>
        </is>
      </c>
      <c r="B570" s="17" t="inlineStr"/>
      <c r="C570" s="17" t="inlineStr">
        <is>
          <t>(주)대유코아</t>
        </is>
      </c>
      <c r="D570" s="17" t="inlineStr"/>
      <c r="E570" s="17" t="inlineStr">
        <is>
          <t>수출여부</t>
        </is>
      </c>
      <c r="F570" s="17" t="inlineStr">
        <is>
          <t>미확인</t>
        </is>
      </c>
      <c r="G570" s="17" t="inlineStr">
        <is>
          <t>웹조사 자동화 실패(세션한도)</t>
        </is>
      </c>
      <c r="H570" s="17" t="inlineStr">
        <is>
          <t>N</t>
        </is>
      </c>
      <c r="I570" s="17" t="inlineStr">
        <is>
          <t>회사 공시·홈페이지</t>
        </is>
      </c>
      <c r="J570" s="17" t="inlineStr">
        <is>
          <t>회사 공시·홈페이지에서 확인</t>
        </is>
      </c>
      <c r="K570" s="17" t="inlineStr">
        <is>
          <t>낮음</t>
        </is>
      </c>
      <c r="L570" s="17" t="inlineStr"/>
    </row>
    <row r="571">
      <c r="A571" s="17" t="inlineStr">
        <is>
          <t>C091</t>
        </is>
      </c>
      <c r="B571" s="17" t="inlineStr"/>
      <c r="C571" s="17" t="inlineStr">
        <is>
          <t>(주)대유코아</t>
        </is>
      </c>
      <c r="D571" s="17" t="inlineStr"/>
      <c r="E571" s="17" t="inlineStr">
        <is>
          <t>FDA·EMA 실사</t>
        </is>
      </c>
      <c r="F571" s="17" t="inlineStr">
        <is>
          <t>미확인</t>
        </is>
      </c>
      <c r="G571" s="17" t="inlineStr">
        <is>
          <t>웹조사 자동화 실패(세션한도)</t>
        </is>
      </c>
      <c r="H571" s="17" t="inlineStr">
        <is>
          <t>N</t>
        </is>
      </c>
      <c r="I571" s="17" t="inlineStr">
        <is>
          <t>FDA Inspection DB</t>
        </is>
      </c>
      <c r="J571" s="17" t="inlineStr">
        <is>
          <t>FDA Inspection DB에서 확인</t>
        </is>
      </c>
      <c r="K571" s="17" t="inlineStr">
        <is>
          <t>낮음</t>
        </is>
      </c>
      <c r="L571" s="17" t="inlineStr"/>
    </row>
    <row r="572">
      <c r="A572" s="17" t="inlineStr">
        <is>
          <t>C091</t>
        </is>
      </c>
      <c r="B572" s="17" t="inlineStr"/>
      <c r="C572" s="17" t="inlineStr">
        <is>
          <t>(주)대유코아</t>
        </is>
      </c>
      <c r="D572" s="17" t="inlineStr"/>
      <c r="E572" s="17" t="inlineStr">
        <is>
          <t>CMO·CDMO</t>
        </is>
      </c>
      <c r="F572" s="17" t="inlineStr">
        <is>
          <t>미확인</t>
        </is>
      </c>
      <c r="G572" s="17" t="inlineStr">
        <is>
          <t>웹조사 자동화 실패(세션한도)</t>
        </is>
      </c>
      <c r="H572" s="17" t="inlineStr">
        <is>
          <t>N</t>
        </is>
      </c>
      <c r="I572" s="17" t="inlineStr">
        <is>
          <t>회사 홈페이지</t>
        </is>
      </c>
      <c r="J572" s="17" t="inlineStr">
        <is>
          <t>회사 홈페이지에서 확인</t>
        </is>
      </c>
      <c r="K572" s="17" t="inlineStr">
        <is>
          <t>낮음</t>
        </is>
      </c>
      <c r="L572" s="17" t="inlineStr"/>
    </row>
    <row r="573">
      <c r="A573" s="17" t="inlineStr">
        <is>
          <t>C091</t>
        </is>
      </c>
      <c r="B573" s="17" t="inlineStr"/>
      <c r="C573" s="17" t="inlineStr">
        <is>
          <t>(주)대유코아</t>
        </is>
      </c>
      <c r="D573" s="17" t="inlineStr"/>
      <c r="E573" s="17" t="inlineStr">
        <is>
          <t>신공장·증설</t>
        </is>
      </c>
      <c r="F573" s="17" t="inlineStr">
        <is>
          <t>미확인</t>
        </is>
      </c>
      <c r="G573" s="17" t="inlineStr">
        <is>
          <t>웹조사 자동화 실패(세션한도)</t>
        </is>
      </c>
      <c r="H573" s="17" t="inlineStr">
        <is>
          <t>N</t>
        </is>
      </c>
      <c r="I573" s="17" t="inlineStr">
        <is>
          <t>언론·지자체 발표</t>
        </is>
      </c>
      <c r="J573" s="17" t="inlineStr">
        <is>
          <t>언론·지자체 발표에서 확인</t>
        </is>
      </c>
      <c r="K573" s="17" t="inlineStr">
        <is>
          <t>낮음</t>
        </is>
      </c>
      <c r="L573" s="17" t="inlineStr"/>
    </row>
    <row r="574">
      <c r="A574" s="17" t="inlineStr">
        <is>
          <t>C092</t>
        </is>
      </c>
      <c r="B574" s="17" t="inlineStr"/>
      <c r="C574" s="17" t="inlineStr">
        <is>
          <t>동방에프티엘(주)</t>
        </is>
      </c>
      <c r="D574" s="17" t="inlineStr"/>
      <c r="E574" s="17" t="inlineStr">
        <is>
          <t>최근매출(억원)</t>
        </is>
      </c>
      <c r="F574" s="17" t="inlineStr">
        <is>
          <t>미확인</t>
        </is>
      </c>
      <c r="G574" s="17" t="inlineStr">
        <is>
          <t>웹조사 자동화 실패(세션한도)</t>
        </is>
      </c>
      <c r="H574" s="17" t="inlineStr">
        <is>
          <t>N</t>
        </is>
      </c>
      <c r="I574" s="17" t="inlineStr">
        <is>
          <t>DART 사업보고서</t>
        </is>
      </c>
      <c r="J574" s="17" t="inlineStr">
        <is>
          <t>DART 사업보고서에서 확인</t>
        </is>
      </c>
      <c r="K574" s="17" t="inlineStr">
        <is>
          <t>낮음</t>
        </is>
      </c>
      <c r="L574" s="17" t="inlineStr"/>
    </row>
    <row r="575">
      <c r="A575" s="17" t="inlineStr">
        <is>
          <t>C092</t>
        </is>
      </c>
      <c r="B575" s="17" t="inlineStr"/>
      <c r="C575" s="17" t="inlineStr">
        <is>
          <t>동방에프티엘(주)</t>
        </is>
      </c>
      <c r="D575" s="17" t="inlineStr"/>
      <c r="E575" s="17" t="inlineStr">
        <is>
          <t>종업원수</t>
        </is>
      </c>
      <c r="F575" s="17" t="inlineStr">
        <is>
          <t>미확인</t>
        </is>
      </c>
      <c r="G575" s="17" t="inlineStr">
        <is>
          <t>웹조사 자동화 실패(세션한도)</t>
        </is>
      </c>
      <c r="H575" s="17" t="inlineStr">
        <is>
          <t>N</t>
        </is>
      </c>
      <c r="I575" s="17" t="inlineStr">
        <is>
          <t>DART/채용</t>
        </is>
      </c>
      <c r="J575" s="17" t="inlineStr">
        <is>
          <t>DART/채용에서 확인</t>
        </is>
      </c>
      <c r="K575" s="17" t="inlineStr">
        <is>
          <t>낮음</t>
        </is>
      </c>
      <c r="L575" s="17" t="inlineStr"/>
    </row>
    <row r="576">
      <c r="A576" s="17" t="inlineStr">
        <is>
          <t>C092</t>
        </is>
      </c>
      <c r="B576" s="17" t="inlineStr"/>
      <c r="C576" s="17" t="inlineStr">
        <is>
          <t>동방에프티엘(주)</t>
        </is>
      </c>
      <c r="D576" s="17" t="inlineStr"/>
      <c r="E576" s="17" t="inlineStr">
        <is>
          <t>수출여부</t>
        </is>
      </c>
      <c r="F576" s="17" t="inlineStr">
        <is>
          <t>미확인</t>
        </is>
      </c>
      <c r="G576" s="17" t="inlineStr">
        <is>
          <t>웹조사 자동화 실패(세션한도)</t>
        </is>
      </c>
      <c r="H576" s="17" t="inlineStr">
        <is>
          <t>N</t>
        </is>
      </c>
      <c r="I576" s="17" t="inlineStr">
        <is>
          <t>회사 공시·홈페이지</t>
        </is>
      </c>
      <c r="J576" s="17" t="inlineStr">
        <is>
          <t>회사 공시·홈페이지에서 확인</t>
        </is>
      </c>
      <c r="K576" s="17" t="inlineStr">
        <is>
          <t>낮음</t>
        </is>
      </c>
      <c r="L576" s="17" t="inlineStr"/>
    </row>
    <row r="577">
      <c r="A577" s="17" t="inlineStr">
        <is>
          <t>C092</t>
        </is>
      </c>
      <c r="B577" s="17" t="inlineStr"/>
      <c r="C577" s="17" t="inlineStr">
        <is>
          <t>동방에프티엘(주)</t>
        </is>
      </c>
      <c r="D577" s="17" t="inlineStr"/>
      <c r="E577" s="17" t="inlineStr">
        <is>
          <t>FDA·EMA 실사</t>
        </is>
      </c>
      <c r="F577" s="17" t="inlineStr">
        <is>
          <t>미확인</t>
        </is>
      </c>
      <c r="G577" s="17" t="inlineStr">
        <is>
          <t>웹조사 자동화 실패(세션한도)</t>
        </is>
      </c>
      <c r="H577" s="17" t="inlineStr">
        <is>
          <t>N</t>
        </is>
      </c>
      <c r="I577" s="17" t="inlineStr">
        <is>
          <t>FDA Inspection DB</t>
        </is>
      </c>
      <c r="J577" s="17" t="inlineStr">
        <is>
          <t>FDA Inspection DB에서 확인</t>
        </is>
      </c>
      <c r="K577" s="17" t="inlineStr">
        <is>
          <t>낮음</t>
        </is>
      </c>
      <c r="L577" s="17" t="inlineStr"/>
    </row>
    <row r="578">
      <c r="A578" s="17" t="inlineStr">
        <is>
          <t>C092</t>
        </is>
      </c>
      <c r="B578" s="17" t="inlineStr"/>
      <c r="C578" s="17" t="inlineStr">
        <is>
          <t>동방에프티엘(주)</t>
        </is>
      </c>
      <c r="D578" s="17" t="inlineStr"/>
      <c r="E578" s="17" t="inlineStr">
        <is>
          <t>CMO·CDMO</t>
        </is>
      </c>
      <c r="F578" s="17" t="inlineStr">
        <is>
          <t>미확인</t>
        </is>
      </c>
      <c r="G578" s="17" t="inlineStr">
        <is>
          <t>웹조사 자동화 실패(세션한도)</t>
        </is>
      </c>
      <c r="H578" s="17" t="inlineStr">
        <is>
          <t>N</t>
        </is>
      </c>
      <c r="I578" s="17" t="inlineStr">
        <is>
          <t>회사 홈페이지</t>
        </is>
      </c>
      <c r="J578" s="17" t="inlineStr">
        <is>
          <t>회사 홈페이지에서 확인</t>
        </is>
      </c>
      <c r="K578" s="17" t="inlineStr">
        <is>
          <t>낮음</t>
        </is>
      </c>
      <c r="L578" s="17" t="inlineStr"/>
    </row>
    <row r="579">
      <c r="A579" s="17" t="inlineStr">
        <is>
          <t>C092</t>
        </is>
      </c>
      <c r="B579" s="17" t="inlineStr"/>
      <c r="C579" s="17" t="inlineStr">
        <is>
          <t>동방에프티엘(주)</t>
        </is>
      </c>
      <c r="D579" s="17" t="inlineStr"/>
      <c r="E579" s="17" t="inlineStr">
        <is>
          <t>신공장·증설</t>
        </is>
      </c>
      <c r="F579" s="17" t="inlineStr">
        <is>
          <t>미확인</t>
        </is>
      </c>
      <c r="G579" s="17" t="inlineStr">
        <is>
          <t>웹조사 자동화 실패(세션한도)</t>
        </is>
      </c>
      <c r="H579" s="17" t="inlineStr">
        <is>
          <t>N</t>
        </is>
      </c>
      <c r="I579" s="17" t="inlineStr">
        <is>
          <t>언론·지자체 발표</t>
        </is>
      </c>
      <c r="J579" s="17" t="inlineStr">
        <is>
          <t>언론·지자체 발표에서 확인</t>
        </is>
      </c>
      <c r="K579" s="17" t="inlineStr">
        <is>
          <t>낮음</t>
        </is>
      </c>
      <c r="L579" s="17" t="inlineStr"/>
    </row>
    <row r="580">
      <c r="A580" s="17" t="inlineStr">
        <is>
          <t>C093</t>
        </is>
      </c>
      <c r="B580" s="17" t="inlineStr"/>
      <c r="C580" s="17" t="inlineStr">
        <is>
          <t>에이치엘비제약(주)</t>
        </is>
      </c>
      <c r="D580" s="17" t="inlineStr"/>
      <c r="E580" s="17" t="inlineStr">
        <is>
          <t>최근매출(억원)</t>
        </is>
      </c>
      <c r="F580" s="17" t="inlineStr">
        <is>
          <t>미확인</t>
        </is>
      </c>
      <c r="G580" s="17" t="inlineStr">
        <is>
          <t>웹조사 자동화 실패(세션한도)</t>
        </is>
      </c>
      <c r="H580" s="17" t="inlineStr">
        <is>
          <t>N</t>
        </is>
      </c>
      <c r="I580" s="17" t="inlineStr">
        <is>
          <t>DART 사업보고서</t>
        </is>
      </c>
      <c r="J580" s="17" t="inlineStr">
        <is>
          <t>DART 사업보고서에서 확인</t>
        </is>
      </c>
      <c r="K580" s="17" t="inlineStr">
        <is>
          <t>낮음</t>
        </is>
      </c>
      <c r="L580" s="17" t="inlineStr"/>
    </row>
    <row r="581">
      <c r="A581" s="17" t="inlineStr">
        <is>
          <t>C093</t>
        </is>
      </c>
      <c r="B581" s="17" t="inlineStr"/>
      <c r="C581" s="17" t="inlineStr">
        <is>
          <t>에이치엘비제약(주)</t>
        </is>
      </c>
      <c r="D581" s="17" t="inlineStr"/>
      <c r="E581" s="17" t="inlineStr">
        <is>
          <t>종업원수</t>
        </is>
      </c>
      <c r="F581" s="17" t="inlineStr">
        <is>
          <t>미확인</t>
        </is>
      </c>
      <c r="G581" s="17" t="inlineStr">
        <is>
          <t>웹조사 자동화 실패(세션한도)</t>
        </is>
      </c>
      <c r="H581" s="17" t="inlineStr">
        <is>
          <t>N</t>
        </is>
      </c>
      <c r="I581" s="17" t="inlineStr">
        <is>
          <t>DART/채용</t>
        </is>
      </c>
      <c r="J581" s="17" t="inlineStr">
        <is>
          <t>DART/채용에서 확인</t>
        </is>
      </c>
      <c r="K581" s="17" t="inlineStr">
        <is>
          <t>낮음</t>
        </is>
      </c>
      <c r="L581" s="17" t="inlineStr"/>
    </row>
    <row r="582">
      <c r="A582" s="17" t="inlineStr">
        <is>
          <t>C093</t>
        </is>
      </c>
      <c r="B582" s="17" t="inlineStr"/>
      <c r="C582" s="17" t="inlineStr">
        <is>
          <t>에이치엘비제약(주)</t>
        </is>
      </c>
      <c r="D582" s="17" t="inlineStr"/>
      <c r="E582" s="17" t="inlineStr">
        <is>
          <t>수출여부</t>
        </is>
      </c>
      <c r="F582" s="17" t="inlineStr">
        <is>
          <t>미확인</t>
        </is>
      </c>
      <c r="G582" s="17" t="inlineStr">
        <is>
          <t>웹조사 자동화 실패(세션한도)</t>
        </is>
      </c>
      <c r="H582" s="17" t="inlineStr">
        <is>
          <t>N</t>
        </is>
      </c>
      <c r="I582" s="17" t="inlineStr">
        <is>
          <t>회사 공시·홈페이지</t>
        </is>
      </c>
      <c r="J582" s="17" t="inlineStr">
        <is>
          <t>회사 공시·홈페이지에서 확인</t>
        </is>
      </c>
      <c r="K582" s="17" t="inlineStr">
        <is>
          <t>낮음</t>
        </is>
      </c>
      <c r="L582" s="17" t="inlineStr"/>
    </row>
    <row r="583">
      <c r="A583" s="17" t="inlineStr">
        <is>
          <t>C093</t>
        </is>
      </c>
      <c r="B583" s="17" t="inlineStr"/>
      <c r="C583" s="17" t="inlineStr">
        <is>
          <t>에이치엘비제약(주)</t>
        </is>
      </c>
      <c r="D583" s="17" t="inlineStr"/>
      <c r="E583" s="17" t="inlineStr">
        <is>
          <t>FDA·EMA 실사</t>
        </is>
      </c>
      <c r="F583" s="17" t="inlineStr">
        <is>
          <t>미확인</t>
        </is>
      </c>
      <c r="G583" s="17" t="inlineStr">
        <is>
          <t>웹조사 자동화 실패(세션한도)</t>
        </is>
      </c>
      <c r="H583" s="17" t="inlineStr">
        <is>
          <t>N</t>
        </is>
      </c>
      <c r="I583" s="17" t="inlineStr">
        <is>
          <t>FDA Inspection DB</t>
        </is>
      </c>
      <c r="J583" s="17" t="inlineStr">
        <is>
          <t>FDA Inspection DB에서 확인</t>
        </is>
      </c>
      <c r="K583" s="17" t="inlineStr">
        <is>
          <t>낮음</t>
        </is>
      </c>
      <c r="L583" s="17" t="inlineStr"/>
    </row>
    <row r="584">
      <c r="A584" s="17" t="inlineStr">
        <is>
          <t>C093</t>
        </is>
      </c>
      <c r="B584" s="17" t="inlineStr"/>
      <c r="C584" s="17" t="inlineStr">
        <is>
          <t>에이치엘비제약(주)</t>
        </is>
      </c>
      <c r="D584" s="17" t="inlineStr"/>
      <c r="E584" s="17" t="inlineStr">
        <is>
          <t>CMO·CDMO</t>
        </is>
      </c>
      <c r="F584" s="17" t="inlineStr">
        <is>
          <t>미확인</t>
        </is>
      </c>
      <c r="G584" s="17" t="inlineStr">
        <is>
          <t>웹조사 자동화 실패(세션한도)</t>
        </is>
      </c>
      <c r="H584" s="17" t="inlineStr">
        <is>
          <t>N</t>
        </is>
      </c>
      <c r="I584" s="17" t="inlineStr">
        <is>
          <t>회사 홈페이지</t>
        </is>
      </c>
      <c r="J584" s="17" t="inlineStr">
        <is>
          <t>회사 홈페이지에서 확인</t>
        </is>
      </c>
      <c r="K584" s="17" t="inlineStr">
        <is>
          <t>낮음</t>
        </is>
      </c>
      <c r="L584" s="17" t="inlineStr"/>
    </row>
    <row r="585">
      <c r="A585" s="17" t="inlineStr">
        <is>
          <t>C093</t>
        </is>
      </c>
      <c r="B585" s="17" t="inlineStr"/>
      <c r="C585" s="17" t="inlineStr">
        <is>
          <t>에이치엘비제약(주)</t>
        </is>
      </c>
      <c r="D585" s="17" t="inlineStr"/>
      <c r="E585" s="17" t="inlineStr">
        <is>
          <t>신공장·증설</t>
        </is>
      </c>
      <c r="F585" s="17" t="inlineStr">
        <is>
          <t>미확인</t>
        </is>
      </c>
      <c r="G585" s="17" t="inlineStr">
        <is>
          <t>웹조사 자동화 실패(세션한도)</t>
        </is>
      </c>
      <c r="H585" s="17" t="inlineStr">
        <is>
          <t>N</t>
        </is>
      </c>
      <c r="I585" s="17" t="inlineStr">
        <is>
          <t>언론·지자체 발표</t>
        </is>
      </c>
      <c r="J585" s="17" t="inlineStr">
        <is>
          <t>언론·지자체 발표에서 확인</t>
        </is>
      </c>
      <c r="K585" s="17" t="inlineStr">
        <is>
          <t>낮음</t>
        </is>
      </c>
      <c r="L585" s="17" t="inlineStr"/>
    </row>
    <row r="586">
      <c r="A586" s="17" t="inlineStr">
        <is>
          <t>C094</t>
        </is>
      </c>
      <c r="B586" s="17" t="inlineStr"/>
      <c r="C586" s="17" t="inlineStr">
        <is>
          <t>(주)다림바이오텍</t>
        </is>
      </c>
      <c r="D586" s="17" t="inlineStr"/>
      <c r="E586" s="17" t="inlineStr">
        <is>
          <t>최근매출(억원)</t>
        </is>
      </c>
      <c r="F586" s="17" t="inlineStr">
        <is>
          <t>미확인</t>
        </is>
      </c>
      <c r="G586" s="17" t="inlineStr">
        <is>
          <t>웹조사 자동화 실패(세션한도)</t>
        </is>
      </c>
      <c r="H586" s="17" t="inlineStr">
        <is>
          <t>N</t>
        </is>
      </c>
      <c r="I586" s="17" t="inlineStr">
        <is>
          <t>DART 사업보고서</t>
        </is>
      </c>
      <c r="J586" s="17" t="inlineStr">
        <is>
          <t>DART 사업보고서에서 확인</t>
        </is>
      </c>
      <c r="K586" s="17" t="inlineStr">
        <is>
          <t>낮음</t>
        </is>
      </c>
      <c r="L586" s="17" t="inlineStr"/>
    </row>
    <row r="587">
      <c r="A587" s="17" t="inlineStr">
        <is>
          <t>C094</t>
        </is>
      </c>
      <c r="B587" s="17" t="inlineStr"/>
      <c r="C587" s="17" t="inlineStr">
        <is>
          <t>(주)다림바이오텍</t>
        </is>
      </c>
      <c r="D587" s="17" t="inlineStr"/>
      <c r="E587" s="17" t="inlineStr">
        <is>
          <t>종업원수</t>
        </is>
      </c>
      <c r="F587" s="17" t="inlineStr">
        <is>
          <t>미확인</t>
        </is>
      </c>
      <c r="G587" s="17" t="inlineStr">
        <is>
          <t>웹조사 자동화 실패(세션한도)</t>
        </is>
      </c>
      <c r="H587" s="17" t="inlineStr">
        <is>
          <t>N</t>
        </is>
      </c>
      <c r="I587" s="17" t="inlineStr">
        <is>
          <t>DART/채용</t>
        </is>
      </c>
      <c r="J587" s="17" t="inlineStr">
        <is>
          <t>DART/채용에서 확인</t>
        </is>
      </c>
      <c r="K587" s="17" t="inlineStr">
        <is>
          <t>낮음</t>
        </is>
      </c>
      <c r="L587" s="17" t="inlineStr"/>
    </row>
    <row r="588">
      <c r="A588" s="17" t="inlineStr">
        <is>
          <t>C094</t>
        </is>
      </c>
      <c r="B588" s="17" t="inlineStr"/>
      <c r="C588" s="17" t="inlineStr">
        <is>
          <t>(주)다림바이오텍</t>
        </is>
      </c>
      <c r="D588" s="17" t="inlineStr"/>
      <c r="E588" s="17" t="inlineStr">
        <is>
          <t>수출여부</t>
        </is>
      </c>
      <c r="F588" s="17" t="inlineStr">
        <is>
          <t>미확인</t>
        </is>
      </c>
      <c r="G588" s="17" t="inlineStr">
        <is>
          <t>웹조사 자동화 실패(세션한도)</t>
        </is>
      </c>
      <c r="H588" s="17" t="inlineStr">
        <is>
          <t>N</t>
        </is>
      </c>
      <c r="I588" s="17" t="inlineStr">
        <is>
          <t>회사 공시·홈페이지</t>
        </is>
      </c>
      <c r="J588" s="17" t="inlineStr">
        <is>
          <t>회사 공시·홈페이지에서 확인</t>
        </is>
      </c>
      <c r="K588" s="17" t="inlineStr">
        <is>
          <t>낮음</t>
        </is>
      </c>
      <c r="L588" s="17" t="inlineStr"/>
    </row>
    <row r="589">
      <c r="A589" s="17" t="inlineStr">
        <is>
          <t>C094</t>
        </is>
      </c>
      <c r="B589" s="17" t="inlineStr"/>
      <c r="C589" s="17" t="inlineStr">
        <is>
          <t>(주)다림바이오텍</t>
        </is>
      </c>
      <c r="D589" s="17" t="inlineStr"/>
      <c r="E589" s="17" t="inlineStr">
        <is>
          <t>FDA·EMA 실사</t>
        </is>
      </c>
      <c r="F589" s="17" t="inlineStr">
        <is>
          <t>미확인</t>
        </is>
      </c>
      <c r="G589" s="17" t="inlineStr">
        <is>
          <t>웹조사 자동화 실패(세션한도)</t>
        </is>
      </c>
      <c r="H589" s="17" t="inlineStr">
        <is>
          <t>N</t>
        </is>
      </c>
      <c r="I589" s="17" t="inlineStr">
        <is>
          <t>FDA Inspection DB</t>
        </is>
      </c>
      <c r="J589" s="17" t="inlineStr">
        <is>
          <t>FDA Inspection DB에서 확인</t>
        </is>
      </c>
      <c r="K589" s="17" t="inlineStr">
        <is>
          <t>낮음</t>
        </is>
      </c>
      <c r="L589" s="17" t="inlineStr"/>
    </row>
    <row r="590">
      <c r="A590" s="17" t="inlineStr">
        <is>
          <t>C094</t>
        </is>
      </c>
      <c r="B590" s="17" t="inlineStr"/>
      <c r="C590" s="17" t="inlineStr">
        <is>
          <t>(주)다림바이오텍</t>
        </is>
      </c>
      <c r="D590" s="17" t="inlineStr"/>
      <c r="E590" s="17" t="inlineStr">
        <is>
          <t>CMO·CDMO</t>
        </is>
      </c>
      <c r="F590" s="17" t="inlineStr">
        <is>
          <t>미확인</t>
        </is>
      </c>
      <c r="G590" s="17" t="inlineStr">
        <is>
          <t>웹조사 자동화 실패(세션한도)</t>
        </is>
      </c>
      <c r="H590" s="17" t="inlineStr">
        <is>
          <t>N</t>
        </is>
      </c>
      <c r="I590" s="17" t="inlineStr">
        <is>
          <t>회사 홈페이지</t>
        </is>
      </c>
      <c r="J590" s="17" t="inlineStr">
        <is>
          <t>회사 홈페이지에서 확인</t>
        </is>
      </c>
      <c r="K590" s="17" t="inlineStr">
        <is>
          <t>낮음</t>
        </is>
      </c>
      <c r="L590" s="17" t="inlineStr"/>
    </row>
    <row r="591">
      <c r="A591" s="17" t="inlineStr">
        <is>
          <t>C094</t>
        </is>
      </c>
      <c r="B591" s="17" t="inlineStr"/>
      <c r="C591" s="17" t="inlineStr">
        <is>
          <t>(주)다림바이오텍</t>
        </is>
      </c>
      <c r="D591" s="17" t="inlineStr"/>
      <c r="E591" s="17" t="inlineStr">
        <is>
          <t>신공장·증설</t>
        </is>
      </c>
      <c r="F591" s="17" t="inlineStr">
        <is>
          <t>미확인</t>
        </is>
      </c>
      <c r="G591" s="17" t="inlineStr">
        <is>
          <t>웹조사 자동화 실패(세션한도)</t>
        </is>
      </c>
      <c r="H591" s="17" t="inlineStr">
        <is>
          <t>N</t>
        </is>
      </c>
      <c r="I591" s="17" t="inlineStr">
        <is>
          <t>언론·지자체 발표</t>
        </is>
      </c>
      <c r="J591" s="17" t="inlineStr">
        <is>
          <t>언론·지자체 발표에서 확인</t>
        </is>
      </c>
      <c r="K591" s="17" t="inlineStr">
        <is>
          <t>낮음</t>
        </is>
      </c>
      <c r="L591" s="17" t="inlineStr"/>
    </row>
    <row r="592">
      <c r="A592" s="17" t="inlineStr">
        <is>
          <t>C094</t>
        </is>
      </c>
      <c r="B592" s="17" t="inlineStr"/>
      <c r="C592" s="17" t="inlineStr">
        <is>
          <t>(주)다림바이오텍</t>
        </is>
      </c>
      <c r="D592" s="17" t="inlineStr"/>
      <c r="E592" s="17" t="inlineStr">
        <is>
          <t>대표전화</t>
        </is>
      </c>
      <c r="F592" s="17" t="inlineStr">
        <is>
          <t>미확인</t>
        </is>
      </c>
      <c r="G592" s="17" t="inlineStr">
        <is>
          <t>제조소상세 미매칭</t>
        </is>
      </c>
      <c r="H592" s="17" t="inlineStr">
        <is>
          <t>Y</t>
        </is>
      </c>
      <c r="I592" s="17" t="inlineStr">
        <is>
          <t>회사 홈페이지</t>
        </is>
      </c>
      <c r="J592" s="17" t="inlineStr">
        <is>
          <t>홈페이지에서 대표번호 확인</t>
        </is>
      </c>
      <c r="K592" s="17" t="inlineStr">
        <is>
          <t>낮음</t>
        </is>
      </c>
      <c r="L592" s="17" t="inlineStr"/>
    </row>
    <row r="593">
      <c r="A593" s="17" t="inlineStr">
        <is>
          <t>C095</t>
        </is>
      </c>
      <c r="B593" s="17" t="inlineStr"/>
      <c r="C593" s="17" t="inlineStr">
        <is>
          <t>대한뉴팜(주)</t>
        </is>
      </c>
      <c r="D593" s="17" t="inlineStr"/>
      <c r="E593" s="17" t="inlineStr">
        <is>
          <t>최근매출(억원)</t>
        </is>
      </c>
      <c r="F593" s="17" t="inlineStr">
        <is>
          <t>미확인</t>
        </is>
      </c>
      <c r="G593" s="17" t="inlineStr">
        <is>
          <t>웹조사 자동화 실패(세션한도)</t>
        </is>
      </c>
      <c r="H593" s="17" t="inlineStr">
        <is>
          <t>N</t>
        </is>
      </c>
      <c r="I593" s="17" t="inlineStr">
        <is>
          <t>DART 사업보고서</t>
        </is>
      </c>
      <c r="J593" s="17" t="inlineStr">
        <is>
          <t>DART 사업보고서에서 확인</t>
        </is>
      </c>
      <c r="K593" s="17" t="inlineStr">
        <is>
          <t>낮음</t>
        </is>
      </c>
      <c r="L593" s="17" t="inlineStr"/>
    </row>
    <row r="594">
      <c r="A594" s="17" t="inlineStr">
        <is>
          <t>C095</t>
        </is>
      </c>
      <c r="B594" s="17" t="inlineStr"/>
      <c r="C594" s="17" t="inlineStr">
        <is>
          <t>대한뉴팜(주)</t>
        </is>
      </c>
      <c r="D594" s="17" t="inlineStr"/>
      <c r="E594" s="17" t="inlineStr">
        <is>
          <t>종업원수</t>
        </is>
      </c>
      <c r="F594" s="17" t="inlineStr">
        <is>
          <t>미확인</t>
        </is>
      </c>
      <c r="G594" s="17" t="inlineStr">
        <is>
          <t>웹조사 자동화 실패(세션한도)</t>
        </is>
      </c>
      <c r="H594" s="17" t="inlineStr">
        <is>
          <t>N</t>
        </is>
      </c>
      <c r="I594" s="17" t="inlineStr">
        <is>
          <t>DART/채용</t>
        </is>
      </c>
      <c r="J594" s="17" t="inlineStr">
        <is>
          <t>DART/채용에서 확인</t>
        </is>
      </c>
      <c r="K594" s="17" t="inlineStr">
        <is>
          <t>낮음</t>
        </is>
      </c>
      <c r="L594" s="17" t="inlineStr"/>
    </row>
    <row r="595">
      <c r="A595" s="17" t="inlineStr">
        <is>
          <t>C095</t>
        </is>
      </c>
      <c r="B595" s="17" t="inlineStr"/>
      <c r="C595" s="17" t="inlineStr">
        <is>
          <t>대한뉴팜(주)</t>
        </is>
      </c>
      <c r="D595" s="17" t="inlineStr"/>
      <c r="E595" s="17" t="inlineStr">
        <is>
          <t>수출여부</t>
        </is>
      </c>
      <c r="F595" s="17" t="inlineStr">
        <is>
          <t>미확인</t>
        </is>
      </c>
      <c r="G595" s="17" t="inlineStr">
        <is>
          <t>웹조사 자동화 실패(세션한도)</t>
        </is>
      </c>
      <c r="H595" s="17" t="inlineStr">
        <is>
          <t>N</t>
        </is>
      </c>
      <c r="I595" s="17" t="inlineStr">
        <is>
          <t>회사 공시·홈페이지</t>
        </is>
      </c>
      <c r="J595" s="17" t="inlineStr">
        <is>
          <t>회사 공시·홈페이지에서 확인</t>
        </is>
      </c>
      <c r="K595" s="17" t="inlineStr">
        <is>
          <t>낮음</t>
        </is>
      </c>
      <c r="L595" s="17" t="inlineStr"/>
    </row>
    <row r="596">
      <c r="A596" s="17" t="inlineStr">
        <is>
          <t>C095</t>
        </is>
      </c>
      <c r="B596" s="17" t="inlineStr"/>
      <c r="C596" s="17" t="inlineStr">
        <is>
          <t>대한뉴팜(주)</t>
        </is>
      </c>
      <c r="D596" s="17" t="inlineStr"/>
      <c r="E596" s="17" t="inlineStr">
        <is>
          <t>FDA·EMA 실사</t>
        </is>
      </c>
      <c r="F596" s="17" t="inlineStr">
        <is>
          <t>미확인</t>
        </is>
      </c>
      <c r="G596" s="17" t="inlineStr">
        <is>
          <t>웹조사 자동화 실패(세션한도)</t>
        </is>
      </c>
      <c r="H596" s="17" t="inlineStr">
        <is>
          <t>N</t>
        </is>
      </c>
      <c r="I596" s="17" t="inlineStr">
        <is>
          <t>FDA Inspection DB</t>
        </is>
      </c>
      <c r="J596" s="17" t="inlineStr">
        <is>
          <t>FDA Inspection DB에서 확인</t>
        </is>
      </c>
      <c r="K596" s="17" t="inlineStr">
        <is>
          <t>낮음</t>
        </is>
      </c>
      <c r="L596" s="17" t="inlineStr"/>
    </row>
    <row r="597">
      <c r="A597" s="17" t="inlineStr">
        <is>
          <t>C095</t>
        </is>
      </c>
      <c r="B597" s="17" t="inlineStr"/>
      <c r="C597" s="17" t="inlineStr">
        <is>
          <t>대한뉴팜(주)</t>
        </is>
      </c>
      <c r="D597" s="17" t="inlineStr"/>
      <c r="E597" s="17" t="inlineStr">
        <is>
          <t>CMO·CDMO</t>
        </is>
      </c>
      <c r="F597" s="17" t="inlineStr">
        <is>
          <t>미확인</t>
        </is>
      </c>
      <c r="G597" s="17" t="inlineStr">
        <is>
          <t>웹조사 자동화 실패(세션한도)</t>
        </is>
      </c>
      <c r="H597" s="17" t="inlineStr">
        <is>
          <t>N</t>
        </is>
      </c>
      <c r="I597" s="17" t="inlineStr">
        <is>
          <t>회사 홈페이지</t>
        </is>
      </c>
      <c r="J597" s="17" t="inlineStr">
        <is>
          <t>회사 홈페이지에서 확인</t>
        </is>
      </c>
      <c r="K597" s="17" t="inlineStr">
        <is>
          <t>낮음</t>
        </is>
      </c>
      <c r="L597" s="17" t="inlineStr"/>
    </row>
    <row r="598">
      <c r="A598" s="17" t="inlineStr">
        <is>
          <t>C095</t>
        </is>
      </c>
      <c r="B598" s="17" t="inlineStr"/>
      <c r="C598" s="17" t="inlineStr">
        <is>
          <t>대한뉴팜(주)</t>
        </is>
      </c>
      <c r="D598" s="17" t="inlineStr"/>
      <c r="E598" s="17" t="inlineStr">
        <is>
          <t>신공장·증설</t>
        </is>
      </c>
      <c r="F598" s="17" t="inlineStr">
        <is>
          <t>미확인</t>
        </is>
      </c>
      <c r="G598" s="17" t="inlineStr">
        <is>
          <t>웹조사 자동화 실패(세션한도)</t>
        </is>
      </c>
      <c r="H598" s="17" t="inlineStr">
        <is>
          <t>N</t>
        </is>
      </c>
      <c r="I598" s="17" t="inlineStr">
        <is>
          <t>언론·지자체 발표</t>
        </is>
      </c>
      <c r="J598" s="17" t="inlineStr">
        <is>
          <t>언론·지자체 발표에서 확인</t>
        </is>
      </c>
      <c r="K598" s="17" t="inlineStr">
        <is>
          <t>낮음</t>
        </is>
      </c>
      <c r="L598" s="17" t="inlineStr"/>
    </row>
    <row r="599">
      <c r="A599" s="17" t="inlineStr">
        <is>
          <t>C095</t>
        </is>
      </c>
      <c r="B599" s="17" t="inlineStr"/>
      <c r="C599" s="17" t="inlineStr">
        <is>
          <t>대한뉴팜(주)</t>
        </is>
      </c>
      <c r="D599" s="17" t="inlineStr"/>
      <c r="E599" s="17" t="inlineStr">
        <is>
          <t>대표전화</t>
        </is>
      </c>
      <c r="F599" s="17" t="inlineStr">
        <is>
          <t>미확인</t>
        </is>
      </c>
      <c r="G599" s="17" t="inlineStr">
        <is>
          <t>제조소상세 미매칭</t>
        </is>
      </c>
      <c r="H599" s="17" t="inlineStr">
        <is>
          <t>Y</t>
        </is>
      </c>
      <c r="I599" s="17" t="inlineStr">
        <is>
          <t>회사 홈페이지</t>
        </is>
      </c>
      <c r="J599" s="17" t="inlineStr">
        <is>
          <t>홈페이지에서 대표번호 확인</t>
        </is>
      </c>
      <c r="K599" s="17" t="inlineStr">
        <is>
          <t>낮음</t>
        </is>
      </c>
      <c r="L599" s="17" t="inlineStr"/>
    </row>
    <row r="600">
      <c r="A600" s="17" t="inlineStr">
        <is>
          <t>C096</t>
        </is>
      </c>
      <c r="B600" s="17" t="inlineStr"/>
      <c r="C600" s="17" t="inlineStr">
        <is>
          <t>(주)알피바이오</t>
        </is>
      </c>
      <c r="D600" s="17" t="inlineStr"/>
      <c r="E600" s="17" t="inlineStr">
        <is>
          <t>최근매출(억원)</t>
        </is>
      </c>
      <c r="F600" s="17" t="inlineStr">
        <is>
          <t>미확인</t>
        </is>
      </c>
      <c r="G600" s="17" t="inlineStr">
        <is>
          <t>웹조사 자동화 실패(세션한도)</t>
        </is>
      </c>
      <c r="H600" s="17" t="inlineStr">
        <is>
          <t>N</t>
        </is>
      </c>
      <c r="I600" s="17" t="inlineStr">
        <is>
          <t>DART 사업보고서</t>
        </is>
      </c>
      <c r="J600" s="17" t="inlineStr">
        <is>
          <t>DART 사업보고서에서 확인</t>
        </is>
      </c>
      <c r="K600" s="17" t="inlineStr">
        <is>
          <t>낮음</t>
        </is>
      </c>
      <c r="L600" s="17" t="inlineStr"/>
    </row>
    <row r="601">
      <c r="A601" s="17" t="inlineStr">
        <is>
          <t>C096</t>
        </is>
      </c>
      <c r="B601" s="17" t="inlineStr"/>
      <c r="C601" s="17" t="inlineStr">
        <is>
          <t>(주)알피바이오</t>
        </is>
      </c>
      <c r="D601" s="17" t="inlineStr"/>
      <c r="E601" s="17" t="inlineStr">
        <is>
          <t>종업원수</t>
        </is>
      </c>
      <c r="F601" s="17" t="inlineStr">
        <is>
          <t>미확인</t>
        </is>
      </c>
      <c r="G601" s="17" t="inlineStr">
        <is>
          <t>웹조사 자동화 실패(세션한도)</t>
        </is>
      </c>
      <c r="H601" s="17" t="inlineStr">
        <is>
          <t>N</t>
        </is>
      </c>
      <c r="I601" s="17" t="inlineStr">
        <is>
          <t>DART/채용</t>
        </is>
      </c>
      <c r="J601" s="17" t="inlineStr">
        <is>
          <t>DART/채용에서 확인</t>
        </is>
      </c>
      <c r="K601" s="17" t="inlineStr">
        <is>
          <t>낮음</t>
        </is>
      </c>
      <c r="L601" s="17" t="inlineStr"/>
    </row>
    <row r="602">
      <c r="A602" s="17" t="inlineStr">
        <is>
          <t>C096</t>
        </is>
      </c>
      <c r="B602" s="17" t="inlineStr"/>
      <c r="C602" s="17" t="inlineStr">
        <is>
          <t>(주)알피바이오</t>
        </is>
      </c>
      <c r="D602" s="17" t="inlineStr"/>
      <c r="E602" s="17" t="inlineStr">
        <is>
          <t>수출여부</t>
        </is>
      </c>
      <c r="F602" s="17" t="inlineStr">
        <is>
          <t>미확인</t>
        </is>
      </c>
      <c r="G602" s="17" t="inlineStr">
        <is>
          <t>웹조사 자동화 실패(세션한도)</t>
        </is>
      </c>
      <c r="H602" s="17" t="inlineStr">
        <is>
          <t>N</t>
        </is>
      </c>
      <c r="I602" s="17" t="inlineStr">
        <is>
          <t>회사 공시·홈페이지</t>
        </is>
      </c>
      <c r="J602" s="17" t="inlineStr">
        <is>
          <t>회사 공시·홈페이지에서 확인</t>
        </is>
      </c>
      <c r="K602" s="17" t="inlineStr">
        <is>
          <t>낮음</t>
        </is>
      </c>
      <c r="L602" s="17" t="inlineStr"/>
    </row>
    <row r="603">
      <c r="A603" s="17" t="inlineStr">
        <is>
          <t>C096</t>
        </is>
      </c>
      <c r="B603" s="17" t="inlineStr"/>
      <c r="C603" s="17" t="inlineStr">
        <is>
          <t>(주)알피바이오</t>
        </is>
      </c>
      <c r="D603" s="17" t="inlineStr"/>
      <c r="E603" s="17" t="inlineStr">
        <is>
          <t>FDA·EMA 실사</t>
        </is>
      </c>
      <c r="F603" s="17" t="inlineStr">
        <is>
          <t>미확인</t>
        </is>
      </c>
      <c r="G603" s="17" t="inlineStr">
        <is>
          <t>웹조사 자동화 실패(세션한도)</t>
        </is>
      </c>
      <c r="H603" s="17" t="inlineStr">
        <is>
          <t>N</t>
        </is>
      </c>
      <c r="I603" s="17" t="inlineStr">
        <is>
          <t>FDA Inspection DB</t>
        </is>
      </c>
      <c r="J603" s="17" t="inlineStr">
        <is>
          <t>FDA Inspection DB에서 확인</t>
        </is>
      </c>
      <c r="K603" s="17" t="inlineStr">
        <is>
          <t>낮음</t>
        </is>
      </c>
      <c r="L603" s="17" t="inlineStr"/>
    </row>
    <row r="604">
      <c r="A604" s="17" t="inlineStr">
        <is>
          <t>C096</t>
        </is>
      </c>
      <c r="B604" s="17" t="inlineStr"/>
      <c r="C604" s="17" t="inlineStr">
        <is>
          <t>(주)알피바이오</t>
        </is>
      </c>
      <c r="D604" s="17" t="inlineStr"/>
      <c r="E604" s="17" t="inlineStr">
        <is>
          <t>CMO·CDMO</t>
        </is>
      </c>
      <c r="F604" s="17" t="inlineStr">
        <is>
          <t>미확인</t>
        </is>
      </c>
      <c r="G604" s="17" t="inlineStr">
        <is>
          <t>웹조사 자동화 실패(세션한도)</t>
        </is>
      </c>
      <c r="H604" s="17" t="inlineStr">
        <is>
          <t>N</t>
        </is>
      </c>
      <c r="I604" s="17" t="inlineStr">
        <is>
          <t>회사 홈페이지</t>
        </is>
      </c>
      <c r="J604" s="17" t="inlineStr">
        <is>
          <t>회사 홈페이지에서 확인</t>
        </is>
      </c>
      <c r="K604" s="17" t="inlineStr">
        <is>
          <t>낮음</t>
        </is>
      </c>
      <c r="L604" s="17" t="inlineStr"/>
    </row>
    <row r="605">
      <c r="A605" s="17" t="inlineStr">
        <is>
          <t>C096</t>
        </is>
      </c>
      <c r="B605" s="17" t="inlineStr"/>
      <c r="C605" s="17" t="inlineStr">
        <is>
          <t>(주)알피바이오</t>
        </is>
      </c>
      <c r="D605" s="17" t="inlineStr"/>
      <c r="E605" s="17" t="inlineStr">
        <is>
          <t>신공장·증설</t>
        </is>
      </c>
      <c r="F605" s="17" t="inlineStr">
        <is>
          <t>미확인</t>
        </is>
      </c>
      <c r="G605" s="17" t="inlineStr">
        <is>
          <t>웹조사 자동화 실패(세션한도)</t>
        </is>
      </c>
      <c r="H605" s="17" t="inlineStr">
        <is>
          <t>N</t>
        </is>
      </c>
      <c r="I605" s="17" t="inlineStr">
        <is>
          <t>언론·지자체 발표</t>
        </is>
      </c>
      <c r="J605" s="17" t="inlineStr">
        <is>
          <t>언론·지자체 발표에서 확인</t>
        </is>
      </c>
      <c r="K605" s="17" t="inlineStr">
        <is>
          <t>낮음</t>
        </is>
      </c>
      <c r="L605" s="17" t="inlineStr"/>
    </row>
    <row r="606">
      <c r="A606" s="17" t="inlineStr">
        <is>
          <t>C096</t>
        </is>
      </c>
      <c r="B606" s="17" t="inlineStr"/>
      <c r="C606" s="17" t="inlineStr">
        <is>
          <t>(주)알피바이오</t>
        </is>
      </c>
      <c r="D606" s="17" t="inlineStr"/>
      <c r="E606" s="17" t="inlineStr">
        <is>
          <t>대표전화</t>
        </is>
      </c>
      <c r="F606" s="17" t="inlineStr">
        <is>
          <t>미확인</t>
        </is>
      </c>
      <c r="G606" s="17" t="inlineStr">
        <is>
          <t>제조소상세 미매칭</t>
        </is>
      </c>
      <c r="H606" s="17" t="inlineStr">
        <is>
          <t>Y</t>
        </is>
      </c>
      <c r="I606" s="17" t="inlineStr">
        <is>
          <t>회사 홈페이지</t>
        </is>
      </c>
      <c r="J606" s="17" t="inlineStr">
        <is>
          <t>홈페이지에서 대표번호 확인</t>
        </is>
      </c>
      <c r="K606" s="17" t="inlineStr">
        <is>
          <t>낮음</t>
        </is>
      </c>
      <c r="L606" s="17" t="inlineStr"/>
    </row>
    <row r="607">
      <c r="A607" s="17" t="inlineStr">
        <is>
          <t>C097</t>
        </is>
      </c>
      <c r="B607" s="17" t="inlineStr"/>
      <c r="C607" s="17" t="inlineStr">
        <is>
          <t>제이더블유신약(주)</t>
        </is>
      </c>
      <c r="D607" s="17" t="inlineStr"/>
      <c r="E607" s="17" t="inlineStr">
        <is>
          <t>최근매출(억원)</t>
        </is>
      </c>
      <c r="F607" s="17" t="inlineStr">
        <is>
          <t>미확인</t>
        </is>
      </c>
      <c r="G607" s="17" t="inlineStr">
        <is>
          <t>웹조사 자동화 실패(세션한도)</t>
        </is>
      </c>
      <c r="H607" s="17" t="inlineStr">
        <is>
          <t>N</t>
        </is>
      </c>
      <c r="I607" s="17" t="inlineStr">
        <is>
          <t>DART 사업보고서</t>
        </is>
      </c>
      <c r="J607" s="17" t="inlineStr">
        <is>
          <t>DART 사업보고서에서 확인</t>
        </is>
      </c>
      <c r="K607" s="17" t="inlineStr">
        <is>
          <t>낮음</t>
        </is>
      </c>
      <c r="L607" s="17" t="inlineStr"/>
    </row>
    <row r="608">
      <c r="A608" s="17" t="inlineStr">
        <is>
          <t>C097</t>
        </is>
      </c>
      <c r="B608" s="17" t="inlineStr"/>
      <c r="C608" s="17" t="inlineStr">
        <is>
          <t>제이더블유신약(주)</t>
        </is>
      </c>
      <c r="D608" s="17" t="inlineStr"/>
      <c r="E608" s="17" t="inlineStr">
        <is>
          <t>종업원수</t>
        </is>
      </c>
      <c r="F608" s="17" t="inlineStr">
        <is>
          <t>미확인</t>
        </is>
      </c>
      <c r="G608" s="17" t="inlineStr">
        <is>
          <t>웹조사 자동화 실패(세션한도)</t>
        </is>
      </c>
      <c r="H608" s="17" t="inlineStr">
        <is>
          <t>N</t>
        </is>
      </c>
      <c r="I608" s="17" t="inlineStr">
        <is>
          <t>DART/채용</t>
        </is>
      </c>
      <c r="J608" s="17" t="inlineStr">
        <is>
          <t>DART/채용에서 확인</t>
        </is>
      </c>
      <c r="K608" s="17" t="inlineStr">
        <is>
          <t>낮음</t>
        </is>
      </c>
      <c r="L608" s="17" t="inlineStr"/>
    </row>
    <row r="609">
      <c r="A609" s="17" t="inlineStr">
        <is>
          <t>C097</t>
        </is>
      </c>
      <c r="B609" s="17" t="inlineStr"/>
      <c r="C609" s="17" t="inlineStr">
        <is>
          <t>제이더블유신약(주)</t>
        </is>
      </c>
      <c r="D609" s="17" t="inlineStr"/>
      <c r="E609" s="17" t="inlineStr">
        <is>
          <t>수출여부</t>
        </is>
      </c>
      <c r="F609" s="17" t="inlineStr">
        <is>
          <t>미확인</t>
        </is>
      </c>
      <c r="G609" s="17" t="inlineStr">
        <is>
          <t>웹조사 자동화 실패(세션한도)</t>
        </is>
      </c>
      <c r="H609" s="17" t="inlineStr">
        <is>
          <t>N</t>
        </is>
      </c>
      <c r="I609" s="17" t="inlineStr">
        <is>
          <t>회사 공시·홈페이지</t>
        </is>
      </c>
      <c r="J609" s="17" t="inlineStr">
        <is>
          <t>회사 공시·홈페이지에서 확인</t>
        </is>
      </c>
      <c r="K609" s="17" t="inlineStr">
        <is>
          <t>낮음</t>
        </is>
      </c>
      <c r="L609" s="17" t="inlineStr"/>
    </row>
    <row r="610">
      <c r="A610" s="17" t="inlineStr">
        <is>
          <t>C097</t>
        </is>
      </c>
      <c r="B610" s="17" t="inlineStr"/>
      <c r="C610" s="17" t="inlineStr">
        <is>
          <t>제이더블유신약(주)</t>
        </is>
      </c>
      <c r="D610" s="17" t="inlineStr"/>
      <c r="E610" s="17" t="inlineStr">
        <is>
          <t>FDA·EMA 실사</t>
        </is>
      </c>
      <c r="F610" s="17" t="inlineStr">
        <is>
          <t>미확인</t>
        </is>
      </c>
      <c r="G610" s="17" t="inlineStr">
        <is>
          <t>웹조사 자동화 실패(세션한도)</t>
        </is>
      </c>
      <c r="H610" s="17" t="inlineStr">
        <is>
          <t>N</t>
        </is>
      </c>
      <c r="I610" s="17" t="inlineStr">
        <is>
          <t>FDA Inspection DB</t>
        </is>
      </c>
      <c r="J610" s="17" t="inlineStr">
        <is>
          <t>FDA Inspection DB에서 확인</t>
        </is>
      </c>
      <c r="K610" s="17" t="inlineStr">
        <is>
          <t>낮음</t>
        </is>
      </c>
      <c r="L610" s="17" t="inlineStr"/>
    </row>
    <row r="611">
      <c r="A611" s="17" t="inlineStr">
        <is>
          <t>C097</t>
        </is>
      </c>
      <c r="B611" s="17" t="inlineStr"/>
      <c r="C611" s="17" t="inlineStr">
        <is>
          <t>제이더블유신약(주)</t>
        </is>
      </c>
      <c r="D611" s="17" t="inlineStr"/>
      <c r="E611" s="17" t="inlineStr">
        <is>
          <t>CMO·CDMO</t>
        </is>
      </c>
      <c r="F611" s="17" t="inlineStr">
        <is>
          <t>미확인</t>
        </is>
      </c>
      <c r="G611" s="17" t="inlineStr">
        <is>
          <t>웹조사 자동화 실패(세션한도)</t>
        </is>
      </c>
      <c r="H611" s="17" t="inlineStr">
        <is>
          <t>N</t>
        </is>
      </c>
      <c r="I611" s="17" t="inlineStr">
        <is>
          <t>회사 홈페이지</t>
        </is>
      </c>
      <c r="J611" s="17" t="inlineStr">
        <is>
          <t>회사 홈페이지에서 확인</t>
        </is>
      </c>
      <c r="K611" s="17" t="inlineStr">
        <is>
          <t>낮음</t>
        </is>
      </c>
      <c r="L611" s="17" t="inlineStr"/>
    </row>
    <row r="612">
      <c r="A612" s="17" t="inlineStr">
        <is>
          <t>C097</t>
        </is>
      </c>
      <c r="B612" s="17" t="inlineStr"/>
      <c r="C612" s="17" t="inlineStr">
        <is>
          <t>제이더블유신약(주)</t>
        </is>
      </c>
      <c r="D612" s="17" t="inlineStr"/>
      <c r="E612" s="17" t="inlineStr">
        <is>
          <t>신공장·증설</t>
        </is>
      </c>
      <c r="F612" s="17" t="inlineStr">
        <is>
          <t>미확인</t>
        </is>
      </c>
      <c r="G612" s="17" t="inlineStr">
        <is>
          <t>웹조사 자동화 실패(세션한도)</t>
        </is>
      </c>
      <c r="H612" s="17" t="inlineStr">
        <is>
          <t>N</t>
        </is>
      </c>
      <c r="I612" s="17" t="inlineStr">
        <is>
          <t>언론·지자체 발표</t>
        </is>
      </c>
      <c r="J612" s="17" t="inlineStr">
        <is>
          <t>언론·지자체 발표에서 확인</t>
        </is>
      </c>
      <c r="K612" s="17" t="inlineStr">
        <is>
          <t>낮음</t>
        </is>
      </c>
      <c r="L612" s="17" t="inlineStr"/>
    </row>
    <row r="613">
      <c r="A613" s="17" t="inlineStr">
        <is>
          <t>C098</t>
        </is>
      </c>
      <c r="B613" s="17" t="inlineStr"/>
      <c r="C613" s="17" t="inlineStr">
        <is>
          <t>(주)파마리서치</t>
        </is>
      </c>
      <c r="D613" s="17" t="inlineStr"/>
      <c r="E613" s="17" t="inlineStr">
        <is>
          <t>최근매출(억원)</t>
        </is>
      </c>
      <c r="F613" s="17" t="inlineStr">
        <is>
          <t>미확인</t>
        </is>
      </c>
      <c r="G613" s="17" t="inlineStr">
        <is>
          <t>웹조사 자동화 실패(세션한도)</t>
        </is>
      </c>
      <c r="H613" s="17" t="inlineStr">
        <is>
          <t>N</t>
        </is>
      </c>
      <c r="I613" s="17" t="inlineStr">
        <is>
          <t>DART 사업보고서</t>
        </is>
      </c>
      <c r="J613" s="17" t="inlineStr">
        <is>
          <t>DART 사업보고서에서 확인</t>
        </is>
      </c>
      <c r="K613" s="17" t="inlineStr">
        <is>
          <t>낮음</t>
        </is>
      </c>
      <c r="L613" s="17" t="inlineStr"/>
    </row>
    <row r="614">
      <c r="A614" s="17" t="inlineStr">
        <is>
          <t>C098</t>
        </is>
      </c>
      <c r="B614" s="17" t="inlineStr"/>
      <c r="C614" s="17" t="inlineStr">
        <is>
          <t>(주)파마리서치</t>
        </is>
      </c>
      <c r="D614" s="17" t="inlineStr"/>
      <c r="E614" s="17" t="inlineStr">
        <is>
          <t>종업원수</t>
        </is>
      </c>
      <c r="F614" s="17" t="inlineStr">
        <is>
          <t>미확인</t>
        </is>
      </c>
      <c r="G614" s="17" t="inlineStr">
        <is>
          <t>웹조사 자동화 실패(세션한도)</t>
        </is>
      </c>
      <c r="H614" s="17" t="inlineStr">
        <is>
          <t>N</t>
        </is>
      </c>
      <c r="I614" s="17" t="inlineStr">
        <is>
          <t>DART/채용</t>
        </is>
      </c>
      <c r="J614" s="17" t="inlineStr">
        <is>
          <t>DART/채용에서 확인</t>
        </is>
      </c>
      <c r="K614" s="17" t="inlineStr">
        <is>
          <t>낮음</t>
        </is>
      </c>
      <c r="L614" s="17" t="inlineStr"/>
    </row>
    <row r="615">
      <c r="A615" s="17" t="inlineStr">
        <is>
          <t>C098</t>
        </is>
      </c>
      <c r="B615" s="17" t="inlineStr"/>
      <c r="C615" s="17" t="inlineStr">
        <is>
          <t>(주)파마리서치</t>
        </is>
      </c>
      <c r="D615" s="17" t="inlineStr"/>
      <c r="E615" s="17" t="inlineStr">
        <is>
          <t>수출여부</t>
        </is>
      </c>
      <c r="F615" s="17" t="inlineStr">
        <is>
          <t>미확인</t>
        </is>
      </c>
      <c r="G615" s="17" t="inlineStr">
        <is>
          <t>웹조사 자동화 실패(세션한도)</t>
        </is>
      </c>
      <c r="H615" s="17" t="inlineStr">
        <is>
          <t>N</t>
        </is>
      </c>
      <c r="I615" s="17" t="inlineStr">
        <is>
          <t>회사 공시·홈페이지</t>
        </is>
      </c>
      <c r="J615" s="17" t="inlineStr">
        <is>
          <t>회사 공시·홈페이지에서 확인</t>
        </is>
      </c>
      <c r="K615" s="17" t="inlineStr">
        <is>
          <t>낮음</t>
        </is>
      </c>
      <c r="L615" s="17" t="inlineStr"/>
    </row>
    <row r="616">
      <c r="A616" s="17" t="inlineStr">
        <is>
          <t>C098</t>
        </is>
      </c>
      <c r="B616" s="17" t="inlineStr"/>
      <c r="C616" s="17" t="inlineStr">
        <is>
          <t>(주)파마리서치</t>
        </is>
      </c>
      <c r="D616" s="17" t="inlineStr"/>
      <c r="E616" s="17" t="inlineStr">
        <is>
          <t>FDA·EMA 실사</t>
        </is>
      </c>
      <c r="F616" s="17" t="inlineStr">
        <is>
          <t>미확인</t>
        </is>
      </c>
      <c r="G616" s="17" t="inlineStr">
        <is>
          <t>웹조사 자동화 실패(세션한도)</t>
        </is>
      </c>
      <c r="H616" s="17" t="inlineStr">
        <is>
          <t>N</t>
        </is>
      </c>
      <c r="I616" s="17" t="inlineStr">
        <is>
          <t>FDA Inspection DB</t>
        </is>
      </c>
      <c r="J616" s="17" t="inlineStr">
        <is>
          <t>FDA Inspection DB에서 확인</t>
        </is>
      </c>
      <c r="K616" s="17" t="inlineStr">
        <is>
          <t>낮음</t>
        </is>
      </c>
      <c r="L616" s="17" t="inlineStr"/>
    </row>
    <row r="617">
      <c r="A617" s="17" t="inlineStr">
        <is>
          <t>C098</t>
        </is>
      </c>
      <c r="B617" s="17" t="inlineStr"/>
      <c r="C617" s="17" t="inlineStr">
        <is>
          <t>(주)파마리서치</t>
        </is>
      </c>
      <c r="D617" s="17" t="inlineStr"/>
      <c r="E617" s="17" t="inlineStr">
        <is>
          <t>CMO·CDMO</t>
        </is>
      </c>
      <c r="F617" s="17" t="inlineStr">
        <is>
          <t>미확인</t>
        </is>
      </c>
      <c r="G617" s="17" t="inlineStr">
        <is>
          <t>웹조사 자동화 실패(세션한도)</t>
        </is>
      </c>
      <c r="H617" s="17" t="inlineStr">
        <is>
          <t>N</t>
        </is>
      </c>
      <c r="I617" s="17" t="inlineStr">
        <is>
          <t>회사 홈페이지</t>
        </is>
      </c>
      <c r="J617" s="17" t="inlineStr">
        <is>
          <t>회사 홈페이지에서 확인</t>
        </is>
      </c>
      <c r="K617" s="17" t="inlineStr">
        <is>
          <t>낮음</t>
        </is>
      </c>
      <c r="L617" s="17" t="inlineStr"/>
    </row>
    <row r="618">
      <c r="A618" s="17" t="inlineStr">
        <is>
          <t>C098</t>
        </is>
      </c>
      <c r="B618" s="17" t="inlineStr"/>
      <c r="C618" s="17" t="inlineStr">
        <is>
          <t>(주)파마리서치</t>
        </is>
      </c>
      <c r="D618" s="17" t="inlineStr"/>
      <c r="E618" s="17" t="inlineStr">
        <is>
          <t>신공장·증설</t>
        </is>
      </c>
      <c r="F618" s="17" t="inlineStr">
        <is>
          <t>미확인</t>
        </is>
      </c>
      <c r="G618" s="17" t="inlineStr">
        <is>
          <t>웹조사 자동화 실패(세션한도)</t>
        </is>
      </c>
      <c r="H618" s="17" t="inlineStr">
        <is>
          <t>N</t>
        </is>
      </c>
      <c r="I618" s="17" t="inlineStr">
        <is>
          <t>언론·지자체 발표</t>
        </is>
      </c>
      <c r="J618" s="17" t="inlineStr">
        <is>
          <t>언론·지자체 발표에서 확인</t>
        </is>
      </c>
      <c r="K618" s="17" t="inlineStr">
        <is>
          <t>낮음</t>
        </is>
      </c>
      <c r="L618" s="17" t="inlineStr"/>
    </row>
    <row r="619">
      <c r="A619" s="17" t="inlineStr">
        <is>
          <t>C098</t>
        </is>
      </c>
      <c r="B619" s="17" t="inlineStr"/>
      <c r="C619" s="17" t="inlineStr">
        <is>
          <t>(주)파마리서치</t>
        </is>
      </c>
      <c r="D619" s="17" t="inlineStr"/>
      <c r="E619" s="17" t="inlineStr">
        <is>
          <t>대표전화</t>
        </is>
      </c>
      <c r="F619" s="17" t="inlineStr">
        <is>
          <t>미확인</t>
        </is>
      </c>
      <c r="G619" s="17" t="inlineStr">
        <is>
          <t>제조소상세 미매칭</t>
        </is>
      </c>
      <c r="H619" s="17" t="inlineStr">
        <is>
          <t>Y</t>
        </is>
      </c>
      <c r="I619" s="17" t="inlineStr">
        <is>
          <t>회사 홈페이지</t>
        </is>
      </c>
      <c r="J619" s="17" t="inlineStr">
        <is>
          <t>홈페이지에서 대표번호 확인</t>
        </is>
      </c>
      <c r="K619" s="17" t="inlineStr">
        <is>
          <t>낮음</t>
        </is>
      </c>
      <c r="L619" s="17" t="inlineStr"/>
    </row>
    <row r="620">
      <c r="A620" s="17" t="inlineStr">
        <is>
          <t>C099</t>
        </is>
      </c>
      <c r="B620" s="17" t="inlineStr"/>
      <c r="C620" s="17" t="inlineStr">
        <is>
          <t>한국유니온제약(주)</t>
        </is>
      </c>
      <c r="D620" s="17" t="inlineStr"/>
      <c r="E620" s="17" t="inlineStr">
        <is>
          <t>최근매출(억원)</t>
        </is>
      </c>
      <c r="F620" s="17" t="inlineStr">
        <is>
          <t>미확인</t>
        </is>
      </c>
      <c r="G620" s="17" t="inlineStr">
        <is>
          <t>웹조사 자동화 실패(세션한도)</t>
        </is>
      </c>
      <c r="H620" s="17" t="inlineStr">
        <is>
          <t>N</t>
        </is>
      </c>
      <c r="I620" s="17" t="inlineStr">
        <is>
          <t>DART 사업보고서</t>
        </is>
      </c>
      <c r="J620" s="17" t="inlineStr">
        <is>
          <t>DART 사업보고서에서 확인</t>
        </is>
      </c>
      <c r="K620" s="17" t="inlineStr">
        <is>
          <t>낮음</t>
        </is>
      </c>
      <c r="L620" s="17" t="inlineStr"/>
    </row>
    <row r="621">
      <c r="A621" s="17" t="inlineStr">
        <is>
          <t>C099</t>
        </is>
      </c>
      <c r="B621" s="17" t="inlineStr"/>
      <c r="C621" s="17" t="inlineStr">
        <is>
          <t>한국유니온제약(주)</t>
        </is>
      </c>
      <c r="D621" s="17" t="inlineStr"/>
      <c r="E621" s="17" t="inlineStr">
        <is>
          <t>종업원수</t>
        </is>
      </c>
      <c r="F621" s="17" t="inlineStr">
        <is>
          <t>미확인</t>
        </is>
      </c>
      <c r="G621" s="17" t="inlineStr">
        <is>
          <t>웹조사 자동화 실패(세션한도)</t>
        </is>
      </c>
      <c r="H621" s="17" t="inlineStr">
        <is>
          <t>N</t>
        </is>
      </c>
      <c r="I621" s="17" t="inlineStr">
        <is>
          <t>DART/채용</t>
        </is>
      </c>
      <c r="J621" s="17" t="inlineStr">
        <is>
          <t>DART/채용에서 확인</t>
        </is>
      </c>
      <c r="K621" s="17" t="inlineStr">
        <is>
          <t>낮음</t>
        </is>
      </c>
      <c r="L621" s="17" t="inlineStr"/>
    </row>
    <row r="622">
      <c r="A622" s="17" t="inlineStr">
        <is>
          <t>C099</t>
        </is>
      </c>
      <c r="B622" s="17" t="inlineStr"/>
      <c r="C622" s="17" t="inlineStr">
        <is>
          <t>한국유니온제약(주)</t>
        </is>
      </c>
      <c r="D622" s="17" t="inlineStr"/>
      <c r="E622" s="17" t="inlineStr">
        <is>
          <t>수출여부</t>
        </is>
      </c>
      <c r="F622" s="17" t="inlineStr">
        <is>
          <t>미확인</t>
        </is>
      </c>
      <c r="G622" s="17" t="inlineStr">
        <is>
          <t>웹조사 자동화 실패(세션한도)</t>
        </is>
      </c>
      <c r="H622" s="17" t="inlineStr">
        <is>
          <t>N</t>
        </is>
      </c>
      <c r="I622" s="17" t="inlineStr">
        <is>
          <t>회사 공시·홈페이지</t>
        </is>
      </c>
      <c r="J622" s="17" t="inlineStr">
        <is>
          <t>회사 공시·홈페이지에서 확인</t>
        </is>
      </c>
      <c r="K622" s="17" t="inlineStr">
        <is>
          <t>낮음</t>
        </is>
      </c>
      <c r="L622" s="17" t="inlineStr"/>
    </row>
    <row r="623">
      <c r="A623" s="17" t="inlineStr">
        <is>
          <t>C099</t>
        </is>
      </c>
      <c r="B623" s="17" t="inlineStr"/>
      <c r="C623" s="17" t="inlineStr">
        <is>
          <t>한국유니온제약(주)</t>
        </is>
      </c>
      <c r="D623" s="17" t="inlineStr"/>
      <c r="E623" s="17" t="inlineStr">
        <is>
          <t>FDA·EMA 실사</t>
        </is>
      </c>
      <c r="F623" s="17" t="inlineStr">
        <is>
          <t>미확인</t>
        </is>
      </c>
      <c r="G623" s="17" t="inlineStr">
        <is>
          <t>웹조사 자동화 실패(세션한도)</t>
        </is>
      </c>
      <c r="H623" s="17" t="inlineStr">
        <is>
          <t>N</t>
        </is>
      </c>
      <c r="I623" s="17" t="inlineStr">
        <is>
          <t>FDA Inspection DB</t>
        </is>
      </c>
      <c r="J623" s="17" t="inlineStr">
        <is>
          <t>FDA Inspection DB에서 확인</t>
        </is>
      </c>
      <c r="K623" s="17" t="inlineStr">
        <is>
          <t>낮음</t>
        </is>
      </c>
      <c r="L623" s="17" t="inlineStr"/>
    </row>
    <row r="624">
      <c r="A624" s="17" t="inlineStr">
        <is>
          <t>C099</t>
        </is>
      </c>
      <c r="B624" s="17" t="inlineStr"/>
      <c r="C624" s="17" t="inlineStr">
        <is>
          <t>한국유니온제약(주)</t>
        </is>
      </c>
      <c r="D624" s="17" t="inlineStr"/>
      <c r="E624" s="17" t="inlineStr">
        <is>
          <t>CMO·CDMO</t>
        </is>
      </c>
      <c r="F624" s="17" t="inlineStr">
        <is>
          <t>미확인</t>
        </is>
      </c>
      <c r="G624" s="17" t="inlineStr">
        <is>
          <t>웹조사 자동화 실패(세션한도)</t>
        </is>
      </c>
      <c r="H624" s="17" t="inlineStr">
        <is>
          <t>N</t>
        </is>
      </c>
      <c r="I624" s="17" t="inlineStr">
        <is>
          <t>회사 홈페이지</t>
        </is>
      </c>
      <c r="J624" s="17" t="inlineStr">
        <is>
          <t>회사 홈페이지에서 확인</t>
        </is>
      </c>
      <c r="K624" s="17" t="inlineStr">
        <is>
          <t>낮음</t>
        </is>
      </c>
      <c r="L624" s="17" t="inlineStr"/>
    </row>
    <row r="625">
      <c r="A625" s="17" t="inlineStr">
        <is>
          <t>C099</t>
        </is>
      </c>
      <c r="B625" s="17" t="inlineStr"/>
      <c r="C625" s="17" t="inlineStr">
        <is>
          <t>한국유니온제약(주)</t>
        </is>
      </c>
      <c r="D625" s="17" t="inlineStr"/>
      <c r="E625" s="17" t="inlineStr">
        <is>
          <t>신공장·증설</t>
        </is>
      </c>
      <c r="F625" s="17" t="inlineStr">
        <is>
          <t>미확인</t>
        </is>
      </c>
      <c r="G625" s="17" t="inlineStr">
        <is>
          <t>웹조사 자동화 실패(세션한도)</t>
        </is>
      </c>
      <c r="H625" s="17" t="inlineStr">
        <is>
          <t>N</t>
        </is>
      </c>
      <c r="I625" s="17" t="inlineStr">
        <is>
          <t>언론·지자체 발표</t>
        </is>
      </c>
      <c r="J625" s="17" t="inlineStr">
        <is>
          <t>언론·지자체 발표에서 확인</t>
        </is>
      </c>
      <c r="K625" s="17" t="inlineStr">
        <is>
          <t>낮음</t>
        </is>
      </c>
      <c r="L625" s="17" t="inlineStr"/>
    </row>
    <row r="626">
      <c r="A626" s="17" t="inlineStr">
        <is>
          <t>C099</t>
        </is>
      </c>
      <c r="B626" s="17" t="inlineStr"/>
      <c r="C626" s="17" t="inlineStr">
        <is>
          <t>한국유니온제약(주)</t>
        </is>
      </c>
      <c r="D626" s="17" t="inlineStr"/>
      <c r="E626" s="17" t="inlineStr">
        <is>
          <t>대표전화</t>
        </is>
      </c>
      <c r="F626" s="17" t="inlineStr">
        <is>
          <t>미확인</t>
        </is>
      </c>
      <c r="G626" s="17" t="inlineStr">
        <is>
          <t>제조소상세 미매칭</t>
        </is>
      </c>
      <c r="H626" s="17" t="inlineStr">
        <is>
          <t>Y</t>
        </is>
      </c>
      <c r="I626" s="17" t="inlineStr">
        <is>
          <t>회사 홈페이지</t>
        </is>
      </c>
      <c r="J626" s="17" t="inlineStr">
        <is>
          <t>홈페이지에서 대표번호 확인</t>
        </is>
      </c>
      <c r="K626" s="17" t="inlineStr">
        <is>
          <t>낮음</t>
        </is>
      </c>
      <c r="L626" s="17" t="inlineStr"/>
    </row>
    <row r="627">
      <c r="A627" s="17" t="inlineStr">
        <is>
          <t>C100</t>
        </is>
      </c>
      <c r="B627" s="17" t="inlineStr"/>
      <c r="C627" s="17" t="inlineStr">
        <is>
          <t>풍림무약(주)</t>
        </is>
      </c>
      <c r="D627" s="17" t="inlineStr"/>
      <c r="E627" s="17" t="inlineStr">
        <is>
          <t>최근매출(억원)</t>
        </is>
      </c>
      <c r="F627" s="17" t="inlineStr">
        <is>
          <t>미확인</t>
        </is>
      </c>
      <c r="G627" s="17" t="inlineStr">
        <is>
          <t>웹조사 자동화 실패(세션한도)</t>
        </is>
      </c>
      <c r="H627" s="17" t="inlineStr">
        <is>
          <t>N</t>
        </is>
      </c>
      <c r="I627" s="17" t="inlineStr">
        <is>
          <t>DART 사업보고서</t>
        </is>
      </c>
      <c r="J627" s="17" t="inlineStr">
        <is>
          <t>DART 사업보고서에서 확인</t>
        </is>
      </c>
      <c r="K627" s="17" t="inlineStr">
        <is>
          <t>낮음</t>
        </is>
      </c>
      <c r="L627" s="17" t="inlineStr"/>
    </row>
    <row r="628">
      <c r="A628" s="17" t="inlineStr">
        <is>
          <t>C100</t>
        </is>
      </c>
      <c r="B628" s="17" t="inlineStr"/>
      <c r="C628" s="17" t="inlineStr">
        <is>
          <t>풍림무약(주)</t>
        </is>
      </c>
      <c r="D628" s="17" t="inlineStr"/>
      <c r="E628" s="17" t="inlineStr">
        <is>
          <t>종업원수</t>
        </is>
      </c>
      <c r="F628" s="17" t="inlineStr">
        <is>
          <t>미확인</t>
        </is>
      </c>
      <c r="G628" s="17" t="inlineStr">
        <is>
          <t>웹조사 자동화 실패(세션한도)</t>
        </is>
      </c>
      <c r="H628" s="17" t="inlineStr">
        <is>
          <t>N</t>
        </is>
      </c>
      <c r="I628" s="17" t="inlineStr">
        <is>
          <t>DART/채용</t>
        </is>
      </c>
      <c r="J628" s="17" t="inlineStr">
        <is>
          <t>DART/채용에서 확인</t>
        </is>
      </c>
      <c r="K628" s="17" t="inlineStr">
        <is>
          <t>낮음</t>
        </is>
      </c>
      <c r="L628" s="17" t="inlineStr"/>
    </row>
    <row r="629">
      <c r="A629" s="17" t="inlineStr">
        <is>
          <t>C100</t>
        </is>
      </c>
      <c r="B629" s="17" t="inlineStr"/>
      <c r="C629" s="17" t="inlineStr">
        <is>
          <t>풍림무약(주)</t>
        </is>
      </c>
      <c r="D629" s="17" t="inlineStr"/>
      <c r="E629" s="17" t="inlineStr">
        <is>
          <t>수출여부</t>
        </is>
      </c>
      <c r="F629" s="17" t="inlineStr">
        <is>
          <t>미확인</t>
        </is>
      </c>
      <c r="G629" s="17" t="inlineStr">
        <is>
          <t>웹조사 자동화 실패(세션한도)</t>
        </is>
      </c>
      <c r="H629" s="17" t="inlineStr">
        <is>
          <t>N</t>
        </is>
      </c>
      <c r="I629" s="17" t="inlineStr">
        <is>
          <t>회사 공시·홈페이지</t>
        </is>
      </c>
      <c r="J629" s="17" t="inlineStr">
        <is>
          <t>회사 공시·홈페이지에서 확인</t>
        </is>
      </c>
      <c r="K629" s="17" t="inlineStr">
        <is>
          <t>낮음</t>
        </is>
      </c>
      <c r="L629" s="17" t="inlineStr"/>
    </row>
    <row r="630">
      <c r="A630" s="17" t="inlineStr">
        <is>
          <t>C100</t>
        </is>
      </c>
      <c r="B630" s="17" t="inlineStr"/>
      <c r="C630" s="17" t="inlineStr">
        <is>
          <t>풍림무약(주)</t>
        </is>
      </c>
      <c r="D630" s="17" t="inlineStr"/>
      <c r="E630" s="17" t="inlineStr">
        <is>
          <t>FDA·EMA 실사</t>
        </is>
      </c>
      <c r="F630" s="17" t="inlineStr">
        <is>
          <t>미확인</t>
        </is>
      </c>
      <c r="G630" s="17" t="inlineStr">
        <is>
          <t>웹조사 자동화 실패(세션한도)</t>
        </is>
      </c>
      <c r="H630" s="17" t="inlineStr">
        <is>
          <t>N</t>
        </is>
      </c>
      <c r="I630" s="17" t="inlineStr">
        <is>
          <t>FDA Inspection DB</t>
        </is>
      </c>
      <c r="J630" s="17" t="inlineStr">
        <is>
          <t>FDA Inspection DB에서 확인</t>
        </is>
      </c>
      <c r="K630" s="17" t="inlineStr">
        <is>
          <t>낮음</t>
        </is>
      </c>
      <c r="L630" s="17" t="inlineStr"/>
    </row>
    <row r="631">
      <c r="A631" s="17" t="inlineStr">
        <is>
          <t>C100</t>
        </is>
      </c>
      <c r="B631" s="17" t="inlineStr"/>
      <c r="C631" s="17" t="inlineStr">
        <is>
          <t>풍림무약(주)</t>
        </is>
      </c>
      <c r="D631" s="17" t="inlineStr"/>
      <c r="E631" s="17" t="inlineStr">
        <is>
          <t>CMO·CDMO</t>
        </is>
      </c>
      <c r="F631" s="17" t="inlineStr">
        <is>
          <t>미확인</t>
        </is>
      </c>
      <c r="G631" s="17" t="inlineStr">
        <is>
          <t>웹조사 자동화 실패(세션한도)</t>
        </is>
      </c>
      <c r="H631" s="17" t="inlineStr">
        <is>
          <t>N</t>
        </is>
      </c>
      <c r="I631" s="17" t="inlineStr">
        <is>
          <t>회사 홈페이지</t>
        </is>
      </c>
      <c r="J631" s="17" t="inlineStr">
        <is>
          <t>회사 홈페이지에서 확인</t>
        </is>
      </c>
      <c r="K631" s="17" t="inlineStr">
        <is>
          <t>낮음</t>
        </is>
      </c>
      <c r="L631" s="17" t="inlineStr"/>
    </row>
    <row r="632">
      <c r="A632" s="17" t="inlineStr">
        <is>
          <t>C100</t>
        </is>
      </c>
      <c r="B632" s="17" t="inlineStr"/>
      <c r="C632" s="17" t="inlineStr">
        <is>
          <t>풍림무약(주)</t>
        </is>
      </c>
      <c r="D632" s="17" t="inlineStr"/>
      <c r="E632" s="17" t="inlineStr">
        <is>
          <t>신공장·증설</t>
        </is>
      </c>
      <c r="F632" s="17" t="inlineStr">
        <is>
          <t>미확인</t>
        </is>
      </c>
      <c r="G632" s="17" t="inlineStr">
        <is>
          <t>웹조사 자동화 실패(세션한도)</t>
        </is>
      </c>
      <c r="H632" s="17" t="inlineStr">
        <is>
          <t>N</t>
        </is>
      </c>
      <c r="I632" s="17" t="inlineStr">
        <is>
          <t>언론·지자체 발표</t>
        </is>
      </c>
      <c r="J632" s="17" t="inlineStr">
        <is>
          <t>언론·지자체 발표에서 확인</t>
        </is>
      </c>
      <c r="K632" s="17" t="inlineStr">
        <is>
          <t>낮음</t>
        </is>
      </c>
      <c r="L632" s="17" t="inlineStr"/>
    </row>
    <row r="633">
      <c r="A633" s="17" t="inlineStr">
        <is>
          <t>C100</t>
        </is>
      </c>
      <c r="B633" s="17" t="inlineStr"/>
      <c r="C633" s="17" t="inlineStr">
        <is>
          <t>풍림무약(주)</t>
        </is>
      </c>
      <c r="D633" s="17" t="inlineStr"/>
      <c r="E633" s="17" t="inlineStr">
        <is>
          <t>대표전화</t>
        </is>
      </c>
      <c r="F633" s="17" t="inlineStr">
        <is>
          <t>미확인</t>
        </is>
      </c>
      <c r="G633" s="17" t="inlineStr">
        <is>
          <t>제조소상세 미매칭</t>
        </is>
      </c>
      <c r="H633" s="17" t="inlineStr">
        <is>
          <t>Y</t>
        </is>
      </c>
      <c r="I633" s="17" t="inlineStr">
        <is>
          <t>회사 홈페이지</t>
        </is>
      </c>
      <c r="J633" s="17" t="inlineStr">
        <is>
          <t>홈페이지에서 대표번호 확인</t>
        </is>
      </c>
      <c r="K633" s="17" t="inlineStr">
        <is>
          <t>낮음</t>
        </is>
      </c>
      <c r="L633" s="17" t="inlineStr"/>
    </row>
    <row r="634">
      <c r="A634" s="17" t="inlineStr">
        <is>
          <t>C101</t>
        </is>
      </c>
      <c r="B634" s="17" t="inlineStr"/>
      <c r="C634" s="17" t="inlineStr">
        <is>
          <t>(주)에이치피앤씨</t>
        </is>
      </c>
      <c r="D634" s="17" t="inlineStr"/>
      <c r="E634" s="17" t="inlineStr">
        <is>
          <t>최근매출(억원)</t>
        </is>
      </c>
      <c r="F634" s="17" t="inlineStr">
        <is>
          <t>미확인</t>
        </is>
      </c>
      <c r="G634" s="17" t="inlineStr">
        <is>
          <t>웹조사 자동화 실패(세션한도)</t>
        </is>
      </c>
      <c r="H634" s="17" t="inlineStr">
        <is>
          <t>N</t>
        </is>
      </c>
      <c r="I634" s="17" t="inlineStr">
        <is>
          <t>DART 사업보고서</t>
        </is>
      </c>
      <c r="J634" s="17" t="inlineStr">
        <is>
          <t>DART 사업보고서에서 확인</t>
        </is>
      </c>
      <c r="K634" s="17" t="inlineStr">
        <is>
          <t>낮음</t>
        </is>
      </c>
      <c r="L634" s="17" t="inlineStr"/>
    </row>
    <row r="635">
      <c r="A635" s="17" t="inlineStr">
        <is>
          <t>C101</t>
        </is>
      </c>
      <c r="B635" s="17" t="inlineStr"/>
      <c r="C635" s="17" t="inlineStr">
        <is>
          <t>(주)에이치피앤씨</t>
        </is>
      </c>
      <c r="D635" s="17" t="inlineStr"/>
      <c r="E635" s="17" t="inlineStr">
        <is>
          <t>종업원수</t>
        </is>
      </c>
      <c r="F635" s="17" t="inlineStr">
        <is>
          <t>미확인</t>
        </is>
      </c>
      <c r="G635" s="17" t="inlineStr">
        <is>
          <t>웹조사 자동화 실패(세션한도)</t>
        </is>
      </c>
      <c r="H635" s="17" t="inlineStr">
        <is>
          <t>N</t>
        </is>
      </c>
      <c r="I635" s="17" t="inlineStr">
        <is>
          <t>DART/채용</t>
        </is>
      </c>
      <c r="J635" s="17" t="inlineStr">
        <is>
          <t>DART/채용에서 확인</t>
        </is>
      </c>
      <c r="K635" s="17" t="inlineStr">
        <is>
          <t>낮음</t>
        </is>
      </c>
      <c r="L635" s="17" t="inlineStr"/>
    </row>
    <row r="636">
      <c r="A636" s="17" t="inlineStr">
        <is>
          <t>C101</t>
        </is>
      </c>
      <c r="B636" s="17" t="inlineStr"/>
      <c r="C636" s="17" t="inlineStr">
        <is>
          <t>(주)에이치피앤씨</t>
        </is>
      </c>
      <c r="D636" s="17" t="inlineStr"/>
      <c r="E636" s="17" t="inlineStr">
        <is>
          <t>수출여부</t>
        </is>
      </c>
      <c r="F636" s="17" t="inlineStr">
        <is>
          <t>미확인</t>
        </is>
      </c>
      <c r="G636" s="17" t="inlineStr">
        <is>
          <t>웹조사 자동화 실패(세션한도)</t>
        </is>
      </c>
      <c r="H636" s="17" t="inlineStr">
        <is>
          <t>N</t>
        </is>
      </c>
      <c r="I636" s="17" t="inlineStr">
        <is>
          <t>회사 공시·홈페이지</t>
        </is>
      </c>
      <c r="J636" s="17" t="inlineStr">
        <is>
          <t>회사 공시·홈페이지에서 확인</t>
        </is>
      </c>
      <c r="K636" s="17" t="inlineStr">
        <is>
          <t>낮음</t>
        </is>
      </c>
      <c r="L636" s="17" t="inlineStr"/>
    </row>
    <row r="637">
      <c r="A637" s="17" t="inlineStr">
        <is>
          <t>C101</t>
        </is>
      </c>
      <c r="B637" s="17" t="inlineStr"/>
      <c r="C637" s="17" t="inlineStr">
        <is>
          <t>(주)에이치피앤씨</t>
        </is>
      </c>
      <c r="D637" s="17" t="inlineStr"/>
      <c r="E637" s="17" t="inlineStr">
        <is>
          <t>FDA·EMA 실사</t>
        </is>
      </c>
      <c r="F637" s="17" t="inlineStr">
        <is>
          <t>미확인</t>
        </is>
      </c>
      <c r="G637" s="17" t="inlineStr">
        <is>
          <t>웹조사 자동화 실패(세션한도)</t>
        </is>
      </c>
      <c r="H637" s="17" t="inlineStr">
        <is>
          <t>N</t>
        </is>
      </c>
      <c r="I637" s="17" t="inlineStr">
        <is>
          <t>FDA Inspection DB</t>
        </is>
      </c>
      <c r="J637" s="17" t="inlineStr">
        <is>
          <t>FDA Inspection DB에서 확인</t>
        </is>
      </c>
      <c r="K637" s="17" t="inlineStr">
        <is>
          <t>낮음</t>
        </is>
      </c>
      <c r="L637" s="17" t="inlineStr"/>
    </row>
    <row r="638">
      <c r="A638" s="17" t="inlineStr">
        <is>
          <t>C101</t>
        </is>
      </c>
      <c r="B638" s="17" t="inlineStr"/>
      <c r="C638" s="17" t="inlineStr">
        <is>
          <t>(주)에이치피앤씨</t>
        </is>
      </c>
      <c r="D638" s="17" t="inlineStr"/>
      <c r="E638" s="17" t="inlineStr">
        <is>
          <t>CMO·CDMO</t>
        </is>
      </c>
      <c r="F638" s="17" t="inlineStr">
        <is>
          <t>미확인</t>
        </is>
      </c>
      <c r="G638" s="17" t="inlineStr">
        <is>
          <t>웹조사 자동화 실패(세션한도)</t>
        </is>
      </c>
      <c r="H638" s="17" t="inlineStr">
        <is>
          <t>N</t>
        </is>
      </c>
      <c r="I638" s="17" t="inlineStr">
        <is>
          <t>회사 홈페이지</t>
        </is>
      </c>
      <c r="J638" s="17" t="inlineStr">
        <is>
          <t>회사 홈페이지에서 확인</t>
        </is>
      </c>
      <c r="K638" s="17" t="inlineStr">
        <is>
          <t>낮음</t>
        </is>
      </c>
      <c r="L638" s="17" t="inlineStr"/>
    </row>
    <row r="639">
      <c r="A639" s="17" t="inlineStr">
        <is>
          <t>C101</t>
        </is>
      </c>
      <c r="B639" s="17" t="inlineStr"/>
      <c r="C639" s="17" t="inlineStr">
        <is>
          <t>(주)에이치피앤씨</t>
        </is>
      </c>
      <c r="D639" s="17" t="inlineStr"/>
      <c r="E639" s="17" t="inlineStr">
        <is>
          <t>신공장·증설</t>
        </is>
      </c>
      <c r="F639" s="17" t="inlineStr">
        <is>
          <t>미확인</t>
        </is>
      </c>
      <c r="G639" s="17" t="inlineStr">
        <is>
          <t>웹조사 자동화 실패(세션한도)</t>
        </is>
      </c>
      <c r="H639" s="17" t="inlineStr">
        <is>
          <t>N</t>
        </is>
      </c>
      <c r="I639" s="17" t="inlineStr">
        <is>
          <t>언론·지자체 발표</t>
        </is>
      </c>
      <c r="J639" s="17" t="inlineStr">
        <is>
          <t>언론·지자체 발표에서 확인</t>
        </is>
      </c>
      <c r="K639" s="17" t="inlineStr">
        <is>
          <t>낮음</t>
        </is>
      </c>
      <c r="L639" s="17" t="inlineStr"/>
    </row>
    <row r="640">
      <c r="A640" s="17" t="inlineStr">
        <is>
          <t>C102</t>
        </is>
      </c>
      <c r="B640" s="17" t="inlineStr"/>
      <c r="C640" s="17" t="inlineStr">
        <is>
          <t>복지종합가스(주)</t>
        </is>
      </c>
      <c r="D640" s="17" t="inlineStr"/>
      <c r="E640" s="17" t="inlineStr">
        <is>
          <t>최근매출(억원)</t>
        </is>
      </c>
      <c r="F640" s="17" t="inlineStr">
        <is>
          <t>미확인</t>
        </is>
      </c>
      <c r="G640" s="17" t="inlineStr">
        <is>
          <t>웹조사 자동화 실패(세션한도)</t>
        </is>
      </c>
      <c r="H640" s="17" t="inlineStr">
        <is>
          <t>N</t>
        </is>
      </c>
      <c r="I640" s="17" t="inlineStr">
        <is>
          <t>DART 사업보고서</t>
        </is>
      </c>
      <c r="J640" s="17" t="inlineStr">
        <is>
          <t>DART 사업보고서에서 확인</t>
        </is>
      </c>
      <c r="K640" s="17" t="inlineStr">
        <is>
          <t>낮음</t>
        </is>
      </c>
      <c r="L640" s="17" t="inlineStr"/>
    </row>
    <row r="641">
      <c r="A641" s="17" t="inlineStr">
        <is>
          <t>C102</t>
        </is>
      </c>
      <c r="B641" s="17" t="inlineStr"/>
      <c r="C641" s="17" t="inlineStr">
        <is>
          <t>복지종합가스(주)</t>
        </is>
      </c>
      <c r="D641" s="17" t="inlineStr"/>
      <c r="E641" s="17" t="inlineStr">
        <is>
          <t>종업원수</t>
        </is>
      </c>
      <c r="F641" s="17" t="inlineStr">
        <is>
          <t>미확인</t>
        </is>
      </c>
      <c r="G641" s="17" t="inlineStr">
        <is>
          <t>웹조사 자동화 실패(세션한도)</t>
        </is>
      </c>
      <c r="H641" s="17" t="inlineStr">
        <is>
          <t>N</t>
        </is>
      </c>
      <c r="I641" s="17" t="inlineStr">
        <is>
          <t>DART/채용</t>
        </is>
      </c>
      <c r="J641" s="17" t="inlineStr">
        <is>
          <t>DART/채용에서 확인</t>
        </is>
      </c>
      <c r="K641" s="17" t="inlineStr">
        <is>
          <t>낮음</t>
        </is>
      </c>
      <c r="L641" s="17" t="inlineStr"/>
    </row>
    <row r="642">
      <c r="A642" s="17" t="inlineStr">
        <is>
          <t>C102</t>
        </is>
      </c>
      <c r="B642" s="17" t="inlineStr"/>
      <c r="C642" s="17" t="inlineStr">
        <is>
          <t>복지종합가스(주)</t>
        </is>
      </c>
      <c r="D642" s="17" t="inlineStr"/>
      <c r="E642" s="17" t="inlineStr">
        <is>
          <t>수출여부</t>
        </is>
      </c>
      <c r="F642" s="17" t="inlineStr">
        <is>
          <t>미확인</t>
        </is>
      </c>
      <c r="G642" s="17" t="inlineStr">
        <is>
          <t>웹조사 자동화 실패(세션한도)</t>
        </is>
      </c>
      <c r="H642" s="17" t="inlineStr">
        <is>
          <t>N</t>
        </is>
      </c>
      <c r="I642" s="17" t="inlineStr">
        <is>
          <t>회사 공시·홈페이지</t>
        </is>
      </c>
      <c r="J642" s="17" t="inlineStr">
        <is>
          <t>회사 공시·홈페이지에서 확인</t>
        </is>
      </c>
      <c r="K642" s="17" t="inlineStr">
        <is>
          <t>낮음</t>
        </is>
      </c>
      <c r="L642" s="17" t="inlineStr"/>
    </row>
    <row r="643">
      <c r="A643" s="17" t="inlineStr">
        <is>
          <t>C102</t>
        </is>
      </c>
      <c r="B643" s="17" t="inlineStr"/>
      <c r="C643" s="17" t="inlineStr">
        <is>
          <t>복지종합가스(주)</t>
        </is>
      </c>
      <c r="D643" s="17" t="inlineStr"/>
      <c r="E643" s="17" t="inlineStr">
        <is>
          <t>FDA·EMA 실사</t>
        </is>
      </c>
      <c r="F643" s="17" t="inlineStr">
        <is>
          <t>미확인</t>
        </is>
      </c>
      <c r="G643" s="17" t="inlineStr">
        <is>
          <t>웹조사 자동화 실패(세션한도)</t>
        </is>
      </c>
      <c r="H643" s="17" t="inlineStr">
        <is>
          <t>N</t>
        </is>
      </c>
      <c r="I643" s="17" t="inlineStr">
        <is>
          <t>FDA Inspection DB</t>
        </is>
      </c>
      <c r="J643" s="17" t="inlineStr">
        <is>
          <t>FDA Inspection DB에서 확인</t>
        </is>
      </c>
      <c r="K643" s="17" t="inlineStr">
        <is>
          <t>낮음</t>
        </is>
      </c>
      <c r="L643" s="17" t="inlineStr"/>
    </row>
    <row r="644">
      <c r="A644" s="17" t="inlineStr">
        <is>
          <t>C102</t>
        </is>
      </c>
      <c r="B644" s="17" t="inlineStr"/>
      <c r="C644" s="17" t="inlineStr">
        <is>
          <t>복지종합가스(주)</t>
        </is>
      </c>
      <c r="D644" s="17" t="inlineStr"/>
      <c r="E644" s="17" t="inlineStr">
        <is>
          <t>CMO·CDMO</t>
        </is>
      </c>
      <c r="F644" s="17" t="inlineStr">
        <is>
          <t>미확인</t>
        </is>
      </c>
      <c r="G644" s="17" t="inlineStr">
        <is>
          <t>웹조사 자동화 실패(세션한도)</t>
        </is>
      </c>
      <c r="H644" s="17" t="inlineStr">
        <is>
          <t>N</t>
        </is>
      </c>
      <c r="I644" s="17" t="inlineStr">
        <is>
          <t>회사 홈페이지</t>
        </is>
      </c>
      <c r="J644" s="17" t="inlineStr">
        <is>
          <t>회사 홈페이지에서 확인</t>
        </is>
      </c>
      <c r="K644" s="17" t="inlineStr">
        <is>
          <t>낮음</t>
        </is>
      </c>
      <c r="L644" s="17" t="inlineStr"/>
    </row>
    <row r="645">
      <c r="A645" s="17" t="inlineStr">
        <is>
          <t>C102</t>
        </is>
      </c>
      <c r="B645" s="17" t="inlineStr"/>
      <c r="C645" s="17" t="inlineStr">
        <is>
          <t>복지종합가스(주)</t>
        </is>
      </c>
      <c r="D645" s="17" t="inlineStr"/>
      <c r="E645" s="17" t="inlineStr">
        <is>
          <t>신공장·증설</t>
        </is>
      </c>
      <c r="F645" s="17" t="inlineStr">
        <is>
          <t>미확인</t>
        </is>
      </c>
      <c r="G645" s="17" t="inlineStr">
        <is>
          <t>웹조사 자동화 실패(세션한도)</t>
        </is>
      </c>
      <c r="H645" s="17" t="inlineStr">
        <is>
          <t>N</t>
        </is>
      </c>
      <c r="I645" s="17" t="inlineStr">
        <is>
          <t>언론·지자체 발표</t>
        </is>
      </c>
      <c r="J645" s="17" t="inlineStr">
        <is>
          <t>언론·지자체 발표에서 확인</t>
        </is>
      </c>
      <c r="K645" s="17" t="inlineStr">
        <is>
          <t>낮음</t>
        </is>
      </c>
      <c r="L645" s="17" t="inlineStr"/>
    </row>
    <row r="646">
      <c r="A646" s="17" t="inlineStr">
        <is>
          <t>C103</t>
        </is>
      </c>
      <c r="B646" s="17" t="inlineStr"/>
      <c r="C646" s="17" t="inlineStr">
        <is>
          <t>대원제약(주)</t>
        </is>
      </c>
      <c r="D646" s="17" t="inlineStr"/>
      <c r="E646" s="17" t="inlineStr">
        <is>
          <t>최근매출(억원)</t>
        </is>
      </c>
      <c r="F646" s="17" t="inlineStr">
        <is>
          <t>미확인</t>
        </is>
      </c>
      <c r="G646" s="17" t="inlineStr">
        <is>
          <t>웹조사 자동화 실패(세션한도)</t>
        </is>
      </c>
      <c r="H646" s="17" t="inlineStr">
        <is>
          <t>N</t>
        </is>
      </c>
      <c r="I646" s="17" t="inlineStr">
        <is>
          <t>DART 사업보고서</t>
        </is>
      </c>
      <c r="J646" s="17" t="inlineStr">
        <is>
          <t>DART 사업보고서에서 확인</t>
        </is>
      </c>
      <c r="K646" s="17" t="inlineStr">
        <is>
          <t>낮음</t>
        </is>
      </c>
      <c r="L646" s="17" t="inlineStr"/>
    </row>
    <row r="647">
      <c r="A647" s="17" t="inlineStr">
        <is>
          <t>C103</t>
        </is>
      </c>
      <c r="B647" s="17" t="inlineStr"/>
      <c r="C647" s="17" t="inlineStr">
        <is>
          <t>대원제약(주)</t>
        </is>
      </c>
      <c r="D647" s="17" t="inlineStr"/>
      <c r="E647" s="17" t="inlineStr">
        <is>
          <t>종업원수</t>
        </is>
      </c>
      <c r="F647" s="17" t="inlineStr">
        <is>
          <t>미확인</t>
        </is>
      </c>
      <c r="G647" s="17" t="inlineStr">
        <is>
          <t>웹조사 자동화 실패(세션한도)</t>
        </is>
      </c>
      <c r="H647" s="17" t="inlineStr">
        <is>
          <t>N</t>
        </is>
      </c>
      <c r="I647" s="17" t="inlineStr">
        <is>
          <t>DART/채용</t>
        </is>
      </c>
      <c r="J647" s="17" t="inlineStr">
        <is>
          <t>DART/채용에서 확인</t>
        </is>
      </c>
      <c r="K647" s="17" t="inlineStr">
        <is>
          <t>낮음</t>
        </is>
      </c>
      <c r="L647" s="17" t="inlineStr"/>
    </row>
    <row r="648">
      <c r="A648" s="17" t="inlineStr">
        <is>
          <t>C103</t>
        </is>
      </c>
      <c r="B648" s="17" t="inlineStr"/>
      <c r="C648" s="17" t="inlineStr">
        <is>
          <t>대원제약(주)</t>
        </is>
      </c>
      <c r="D648" s="17" t="inlineStr"/>
      <c r="E648" s="17" t="inlineStr">
        <is>
          <t>수출여부</t>
        </is>
      </c>
      <c r="F648" s="17" t="inlineStr">
        <is>
          <t>미확인</t>
        </is>
      </c>
      <c r="G648" s="17" t="inlineStr">
        <is>
          <t>웹조사 자동화 실패(세션한도)</t>
        </is>
      </c>
      <c r="H648" s="17" t="inlineStr">
        <is>
          <t>N</t>
        </is>
      </c>
      <c r="I648" s="17" t="inlineStr">
        <is>
          <t>회사 공시·홈페이지</t>
        </is>
      </c>
      <c r="J648" s="17" t="inlineStr">
        <is>
          <t>회사 공시·홈페이지에서 확인</t>
        </is>
      </c>
      <c r="K648" s="17" t="inlineStr">
        <is>
          <t>낮음</t>
        </is>
      </c>
      <c r="L648" s="17" t="inlineStr"/>
    </row>
    <row r="649">
      <c r="A649" s="17" t="inlineStr">
        <is>
          <t>C103</t>
        </is>
      </c>
      <c r="B649" s="17" t="inlineStr"/>
      <c r="C649" s="17" t="inlineStr">
        <is>
          <t>대원제약(주)</t>
        </is>
      </c>
      <c r="D649" s="17" t="inlineStr"/>
      <c r="E649" s="17" t="inlineStr">
        <is>
          <t>FDA·EMA 실사</t>
        </is>
      </c>
      <c r="F649" s="17" t="inlineStr">
        <is>
          <t>미확인</t>
        </is>
      </c>
      <c r="G649" s="17" t="inlineStr">
        <is>
          <t>웹조사 자동화 실패(세션한도)</t>
        </is>
      </c>
      <c r="H649" s="17" t="inlineStr">
        <is>
          <t>N</t>
        </is>
      </c>
      <c r="I649" s="17" t="inlineStr">
        <is>
          <t>FDA Inspection DB</t>
        </is>
      </c>
      <c r="J649" s="17" t="inlineStr">
        <is>
          <t>FDA Inspection DB에서 확인</t>
        </is>
      </c>
      <c r="K649" s="17" t="inlineStr">
        <is>
          <t>낮음</t>
        </is>
      </c>
      <c r="L649" s="17" t="inlineStr"/>
    </row>
    <row r="650">
      <c r="A650" s="17" t="inlineStr">
        <is>
          <t>C103</t>
        </is>
      </c>
      <c r="B650" s="17" t="inlineStr"/>
      <c r="C650" s="17" t="inlineStr">
        <is>
          <t>대원제약(주)</t>
        </is>
      </c>
      <c r="D650" s="17" t="inlineStr"/>
      <c r="E650" s="17" t="inlineStr">
        <is>
          <t>CMO·CDMO</t>
        </is>
      </c>
      <c r="F650" s="17" t="inlineStr">
        <is>
          <t>미확인</t>
        </is>
      </c>
      <c r="G650" s="17" t="inlineStr">
        <is>
          <t>웹조사 자동화 실패(세션한도)</t>
        </is>
      </c>
      <c r="H650" s="17" t="inlineStr">
        <is>
          <t>N</t>
        </is>
      </c>
      <c r="I650" s="17" t="inlineStr">
        <is>
          <t>회사 홈페이지</t>
        </is>
      </c>
      <c r="J650" s="17" t="inlineStr">
        <is>
          <t>회사 홈페이지에서 확인</t>
        </is>
      </c>
      <c r="K650" s="17" t="inlineStr">
        <is>
          <t>낮음</t>
        </is>
      </c>
      <c r="L650" s="17" t="inlineStr"/>
    </row>
    <row r="651">
      <c r="A651" s="17" t="inlineStr">
        <is>
          <t>C103</t>
        </is>
      </c>
      <c r="B651" s="17" t="inlineStr"/>
      <c r="C651" s="17" t="inlineStr">
        <is>
          <t>대원제약(주)</t>
        </is>
      </c>
      <c r="D651" s="17" t="inlineStr"/>
      <c r="E651" s="17" t="inlineStr">
        <is>
          <t>신공장·증설</t>
        </is>
      </c>
      <c r="F651" s="17" t="inlineStr">
        <is>
          <t>미확인</t>
        </is>
      </c>
      <c r="G651" s="17" t="inlineStr">
        <is>
          <t>웹조사 자동화 실패(세션한도)</t>
        </is>
      </c>
      <c r="H651" s="17" t="inlineStr">
        <is>
          <t>N</t>
        </is>
      </c>
      <c r="I651" s="17" t="inlineStr">
        <is>
          <t>언론·지자체 발표</t>
        </is>
      </c>
      <c r="J651" s="17" t="inlineStr">
        <is>
          <t>언론·지자체 발표에서 확인</t>
        </is>
      </c>
      <c r="K651" s="17" t="inlineStr">
        <is>
          <t>낮음</t>
        </is>
      </c>
      <c r="L651" s="17" t="inlineStr"/>
    </row>
    <row r="652">
      <c r="A652" s="17" t="inlineStr">
        <is>
          <t>C104</t>
        </is>
      </c>
      <c r="B652" s="17" t="inlineStr"/>
      <c r="C652" s="17" t="inlineStr">
        <is>
          <t>(주)대웅제약</t>
        </is>
      </c>
      <c r="D652" s="17" t="inlineStr"/>
      <c r="E652" s="17" t="inlineStr">
        <is>
          <t>최근매출(억원)</t>
        </is>
      </c>
      <c r="F652" s="17" t="inlineStr">
        <is>
          <t>미확인</t>
        </is>
      </c>
      <c r="G652" s="17" t="inlineStr">
        <is>
          <t>웹조사 자동화 실패(세션한도)</t>
        </is>
      </c>
      <c r="H652" s="17" t="inlineStr">
        <is>
          <t>N</t>
        </is>
      </c>
      <c r="I652" s="17" t="inlineStr">
        <is>
          <t>DART 사업보고서</t>
        </is>
      </c>
      <c r="J652" s="17" t="inlineStr">
        <is>
          <t>DART 사업보고서에서 확인</t>
        </is>
      </c>
      <c r="K652" s="17" t="inlineStr">
        <is>
          <t>중간</t>
        </is>
      </c>
      <c r="L652" s="17" t="inlineStr"/>
    </row>
    <row r="653">
      <c r="A653" s="17" t="inlineStr">
        <is>
          <t>C104</t>
        </is>
      </c>
      <c r="B653" s="17" t="inlineStr"/>
      <c r="C653" s="17" t="inlineStr">
        <is>
          <t>(주)대웅제약</t>
        </is>
      </c>
      <c r="D653" s="17" t="inlineStr"/>
      <c r="E653" s="17" t="inlineStr">
        <is>
          <t>종업원수</t>
        </is>
      </c>
      <c r="F653" s="17" t="inlineStr">
        <is>
          <t>미확인</t>
        </is>
      </c>
      <c r="G653" s="17" t="inlineStr">
        <is>
          <t>웹조사 자동화 실패(세션한도)</t>
        </is>
      </c>
      <c r="H653" s="17" t="inlineStr">
        <is>
          <t>N</t>
        </is>
      </c>
      <c r="I653" s="17" t="inlineStr">
        <is>
          <t>DART/채용</t>
        </is>
      </c>
      <c r="J653" s="17" t="inlineStr">
        <is>
          <t>DART/채용에서 확인</t>
        </is>
      </c>
      <c r="K653" s="17" t="inlineStr">
        <is>
          <t>중간</t>
        </is>
      </c>
      <c r="L653" s="17" t="inlineStr"/>
    </row>
    <row r="654">
      <c r="A654" s="17" t="inlineStr">
        <is>
          <t>C104</t>
        </is>
      </c>
      <c r="B654" s="17" t="inlineStr"/>
      <c r="C654" s="17" t="inlineStr">
        <is>
          <t>(주)대웅제약</t>
        </is>
      </c>
      <c r="D654" s="17" t="inlineStr"/>
      <c r="E654" s="17" t="inlineStr">
        <is>
          <t>수출여부</t>
        </is>
      </c>
      <c r="F654" s="17" t="inlineStr">
        <is>
          <t>미확인</t>
        </is>
      </c>
      <c r="G654" s="17" t="inlineStr">
        <is>
          <t>웹조사 자동화 실패(세션한도)</t>
        </is>
      </c>
      <c r="H654" s="17" t="inlineStr">
        <is>
          <t>N</t>
        </is>
      </c>
      <c r="I654" s="17" t="inlineStr">
        <is>
          <t>회사 공시·홈페이지</t>
        </is>
      </c>
      <c r="J654" s="17" t="inlineStr">
        <is>
          <t>회사 공시·홈페이지에서 확인</t>
        </is>
      </c>
      <c r="K654" s="17" t="inlineStr">
        <is>
          <t>중간</t>
        </is>
      </c>
      <c r="L654" s="17" t="inlineStr"/>
    </row>
    <row r="655">
      <c r="A655" s="17" t="inlineStr">
        <is>
          <t>C104</t>
        </is>
      </c>
      <c r="B655" s="17" t="inlineStr"/>
      <c r="C655" s="17" t="inlineStr">
        <is>
          <t>(주)대웅제약</t>
        </is>
      </c>
      <c r="D655" s="17" t="inlineStr"/>
      <c r="E655" s="17" t="inlineStr">
        <is>
          <t>FDA·EMA 실사</t>
        </is>
      </c>
      <c r="F655" s="17" t="inlineStr">
        <is>
          <t>미확인</t>
        </is>
      </c>
      <c r="G655" s="17" t="inlineStr">
        <is>
          <t>웹조사 자동화 실패(세션한도)</t>
        </is>
      </c>
      <c r="H655" s="17" t="inlineStr">
        <is>
          <t>N</t>
        </is>
      </c>
      <c r="I655" s="17" t="inlineStr">
        <is>
          <t>FDA Inspection DB</t>
        </is>
      </c>
      <c r="J655" s="17" t="inlineStr">
        <is>
          <t>FDA Inspection DB에서 확인</t>
        </is>
      </c>
      <c r="K655" s="17" t="inlineStr">
        <is>
          <t>중간</t>
        </is>
      </c>
      <c r="L655" s="17" t="inlineStr"/>
    </row>
    <row r="656">
      <c r="A656" s="17" t="inlineStr">
        <is>
          <t>C104</t>
        </is>
      </c>
      <c r="B656" s="17" t="inlineStr"/>
      <c r="C656" s="17" t="inlineStr">
        <is>
          <t>(주)대웅제약</t>
        </is>
      </c>
      <c r="D656" s="17" t="inlineStr"/>
      <c r="E656" s="17" t="inlineStr">
        <is>
          <t>CMO·CDMO</t>
        </is>
      </c>
      <c r="F656" s="17" t="inlineStr">
        <is>
          <t>미확인</t>
        </is>
      </c>
      <c r="G656" s="17" t="inlineStr">
        <is>
          <t>웹조사 자동화 실패(세션한도)</t>
        </is>
      </c>
      <c r="H656" s="17" t="inlineStr">
        <is>
          <t>N</t>
        </is>
      </c>
      <c r="I656" s="17" t="inlineStr">
        <is>
          <t>회사 홈페이지</t>
        </is>
      </c>
      <c r="J656" s="17" t="inlineStr">
        <is>
          <t>회사 홈페이지에서 확인</t>
        </is>
      </c>
      <c r="K656" s="17" t="inlineStr">
        <is>
          <t>중간</t>
        </is>
      </c>
      <c r="L656" s="17" t="inlineStr"/>
    </row>
    <row r="657">
      <c r="A657" s="17" t="inlineStr">
        <is>
          <t>C104</t>
        </is>
      </c>
      <c r="B657" s="17" t="inlineStr"/>
      <c r="C657" s="17" t="inlineStr">
        <is>
          <t>(주)대웅제약</t>
        </is>
      </c>
      <c r="D657" s="17" t="inlineStr"/>
      <c r="E657" s="17" t="inlineStr">
        <is>
          <t>신공장·증설</t>
        </is>
      </c>
      <c r="F657" s="17" t="inlineStr">
        <is>
          <t>미확인</t>
        </is>
      </c>
      <c r="G657" s="17" t="inlineStr">
        <is>
          <t>웹조사 자동화 실패(세션한도)</t>
        </is>
      </c>
      <c r="H657" s="17" t="inlineStr">
        <is>
          <t>N</t>
        </is>
      </c>
      <c r="I657" s="17" t="inlineStr">
        <is>
          <t>언론·지자체 발표</t>
        </is>
      </c>
      <c r="J657" s="17" t="inlineStr">
        <is>
          <t>언론·지자체 발표에서 확인</t>
        </is>
      </c>
      <c r="K657" s="17" t="inlineStr">
        <is>
          <t>중간</t>
        </is>
      </c>
      <c r="L657" s="17" t="inlineStr"/>
    </row>
    <row r="658">
      <c r="A658" s="17" t="inlineStr">
        <is>
          <t>C105</t>
        </is>
      </c>
      <c r="B658" s="17" t="inlineStr"/>
      <c r="C658" s="17" t="inlineStr">
        <is>
          <t>코스맥스파마(주)</t>
        </is>
      </c>
      <c r="D658" s="17" t="inlineStr"/>
      <c r="E658" s="17" t="inlineStr">
        <is>
          <t>최근매출(억원)</t>
        </is>
      </c>
      <c r="F658" s="17" t="inlineStr">
        <is>
          <t>미확인</t>
        </is>
      </c>
      <c r="G658" s="17" t="inlineStr">
        <is>
          <t>웹조사 자동화 실패(세션한도)</t>
        </is>
      </c>
      <c r="H658" s="17" t="inlineStr">
        <is>
          <t>N</t>
        </is>
      </c>
      <c r="I658" s="17" t="inlineStr">
        <is>
          <t>DART 사업보고서</t>
        </is>
      </c>
      <c r="J658" s="17" t="inlineStr">
        <is>
          <t>DART 사업보고서에서 확인</t>
        </is>
      </c>
      <c r="K658" s="17" t="inlineStr">
        <is>
          <t>낮음</t>
        </is>
      </c>
      <c r="L658" s="17" t="inlineStr"/>
    </row>
    <row r="659">
      <c r="A659" s="17" t="inlineStr">
        <is>
          <t>C105</t>
        </is>
      </c>
      <c r="B659" s="17" t="inlineStr"/>
      <c r="C659" s="17" t="inlineStr">
        <is>
          <t>코스맥스파마(주)</t>
        </is>
      </c>
      <c r="D659" s="17" t="inlineStr"/>
      <c r="E659" s="17" t="inlineStr">
        <is>
          <t>종업원수</t>
        </is>
      </c>
      <c r="F659" s="17" t="inlineStr">
        <is>
          <t>미확인</t>
        </is>
      </c>
      <c r="G659" s="17" t="inlineStr">
        <is>
          <t>웹조사 자동화 실패(세션한도)</t>
        </is>
      </c>
      <c r="H659" s="17" t="inlineStr">
        <is>
          <t>N</t>
        </is>
      </c>
      <c r="I659" s="17" t="inlineStr">
        <is>
          <t>DART/채용</t>
        </is>
      </c>
      <c r="J659" s="17" t="inlineStr">
        <is>
          <t>DART/채용에서 확인</t>
        </is>
      </c>
      <c r="K659" s="17" t="inlineStr">
        <is>
          <t>낮음</t>
        </is>
      </c>
      <c r="L659" s="17" t="inlineStr"/>
    </row>
    <row r="660">
      <c r="A660" s="17" t="inlineStr">
        <is>
          <t>C105</t>
        </is>
      </c>
      <c r="B660" s="17" t="inlineStr"/>
      <c r="C660" s="17" t="inlineStr">
        <is>
          <t>코스맥스파마(주)</t>
        </is>
      </c>
      <c r="D660" s="17" t="inlineStr"/>
      <c r="E660" s="17" t="inlineStr">
        <is>
          <t>수출여부</t>
        </is>
      </c>
      <c r="F660" s="17" t="inlineStr">
        <is>
          <t>미확인</t>
        </is>
      </c>
      <c r="G660" s="17" t="inlineStr">
        <is>
          <t>웹조사 자동화 실패(세션한도)</t>
        </is>
      </c>
      <c r="H660" s="17" t="inlineStr">
        <is>
          <t>N</t>
        </is>
      </c>
      <c r="I660" s="17" t="inlineStr">
        <is>
          <t>회사 공시·홈페이지</t>
        </is>
      </c>
      <c r="J660" s="17" t="inlineStr">
        <is>
          <t>회사 공시·홈페이지에서 확인</t>
        </is>
      </c>
      <c r="K660" s="17" t="inlineStr">
        <is>
          <t>낮음</t>
        </is>
      </c>
      <c r="L660" s="17" t="inlineStr"/>
    </row>
    <row r="661">
      <c r="A661" s="17" t="inlineStr">
        <is>
          <t>C105</t>
        </is>
      </c>
      <c r="B661" s="17" t="inlineStr"/>
      <c r="C661" s="17" t="inlineStr">
        <is>
          <t>코스맥스파마(주)</t>
        </is>
      </c>
      <c r="D661" s="17" t="inlineStr"/>
      <c r="E661" s="17" t="inlineStr">
        <is>
          <t>FDA·EMA 실사</t>
        </is>
      </c>
      <c r="F661" s="17" t="inlineStr">
        <is>
          <t>미확인</t>
        </is>
      </c>
      <c r="G661" s="17" t="inlineStr">
        <is>
          <t>웹조사 자동화 실패(세션한도)</t>
        </is>
      </c>
      <c r="H661" s="17" t="inlineStr">
        <is>
          <t>N</t>
        </is>
      </c>
      <c r="I661" s="17" t="inlineStr">
        <is>
          <t>FDA Inspection DB</t>
        </is>
      </c>
      <c r="J661" s="17" t="inlineStr">
        <is>
          <t>FDA Inspection DB에서 확인</t>
        </is>
      </c>
      <c r="K661" s="17" t="inlineStr">
        <is>
          <t>낮음</t>
        </is>
      </c>
      <c r="L661" s="17" t="inlineStr"/>
    </row>
    <row r="662">
      <c r="A662" s="17" t="inlineStr">
        <is>
          <t>C105</t>
        </is>
      </c>
      <c r="B662" s="17" t="inlineStr"/>
      <c r="C662" s="17" t="inlineStr">
        <is>
          <t>코스맥스파마(주)</t>
        </is>
      </c>
      <c r="D662" s="17" t="inlineStr"/>
      <c r="E662" s="17" t="inlineStr">
        <is>
          <t>CMO·CDMO</t>
        </is>
      </c>
      <c r="F662" s="17" t="inlineStr">
        <is>
          <t>미확인</t>
        </is>
      </c>
      <c r="G662" s="17" t="inlineStr">
        <is>
          <t>웹조사 자동화 실패(세션한도)</t>
        </is>
      </c>
      <c r="H662" s="17" t="inlineStr">
        <is>
          <t>N</t>
        </is>
      </c>
      <c r="I662" s="17" t="inlineStr">
        <is>
          <t>회사 홈페이지</t>
        </is>
      </c>
      <c r="J662" s="17" t="inlineStr">
        <is>
          <t>회사 홈페이지에서 확인</t>
        </is>
      </c>
      <c r="K662" s="17" t="inlineStr">
        <is>
          <t>낮음</t>
        </is>
      </c>
      <c r="L662" s="17" t="inlineStr"/>
    </row>
    <row r="663">
      <c r="A663" s="17" t="inlineStr">
        <is>
          <t>C105</t>
        </is>
      </c>
      <c r="B663" s="17" t="inlineStr"/>
      <c r="C663" s="17" t="inlineStr">
        <is>
          <t>코스맥스파마(주)</t>
        </is>
      </c>
      <c r="D663" s="17" t="inlineStr"/>
      <c r="E663" s="17" t="inlineStr">
        <is>
          <t>신공장·증설</t>
        </is>
      </c>
      <c r="F663" s="17" t="inlineStr">
        <is>
          <t>미확인</t>
        </is>
      </c>
      <c r="G663" s="17" t="inlineStr">
        <is>
          <t>웹조사 자동화 실패(세션한도)</t>
        </is>
      </c>
      <c r="H663" s="17" t="inlineStr">
        <is>
          <t>N</t>
        </is>
      </c>
      <c r="I663" s="17" t="inlineStr">
        <is>
          <t>언론·지자체 발표</t>
        </is>
      </c>
      <c r="J663" s="17" t="inlineStr">
        <is>
          <t>언론·지자체 발표에서 확인</t>
        </is>
      </c>
      <c r="K663" s="17" t="inlineStr">
        <is>
          <t>낮음</t>
        </is>
      </c>
      <c r="L663" s="17" t="inlineStr"/>
    </row>
    <row r="664">
      <c r="A664" s="17" t="inlineStr">
        <is>
          <t>C106</t>
        </is>
      </c>
      <c r="B664" s="17" t="inlineStr"/>
      <c r="C664" s="17" t="inlineStr">
        <is>
          <t>현대약품(주)</t>
        </is>
      </c>
      <c r="D664" s="17" t="inlineStr"/>
      <c r="E664" s="17" t="inlineStr">
        <is>
          <t>최근매출(억원)</t>
        </is>
      </c>
      <c r="F664" s="17" t="inlineStr">
        <is>
          <t>미확인</t>
        </is>
      </c>
      <c r="G664" s="17" t="inlineStr">
        <is>
          <t>웹조사 자동화 실패(세션한도)</t>
        </is>
      </c>
      <c r="H664" s="17" t="inlineStr">
        <is>
          <t>N</t>
        </is>
      </c>
      <c r="I664" s="17" t="inlineStr">
        <is>
          <t>DART 사업보고서</t>
        </is>
      </c>
      <c r="J664" s="17" t="inlineStr">
        <is>
          <t>DART 사업보고서에서 확인</t>
        </is>
      </c>
      <c r="K664" s="17" t="inlineStr">
        <is>
          <t>낮음</t>
        </is>
      </c>
      <c r="L664" s="17" t="inlineStr"/>
    </row>
    <row r="665">
      <c r="A665" s="17" t="inlineStr">
        <is>
          <t>C106</t>
        </is>
      </c>
      <c r="B665" s="17" t="inlineStr"/>
      <c r="C665" s="17" t="inlineStr">
        <is>
          <t>현대약품(주)</t>
        </is>
      </c>
      <c r="D665" s="17" t="inlineStr"/>
      <c r="E665" s="17" t="inlineStr">
        <is>
          <t>종업원수</t>
        </is>
      </c>
      <c r="F665" s="17" t="inlineStr">
        <is>
          <t>미확인</t>
        </is>
      </c>
      <c r="G665" s="17" t="inlineStr">
        <is>
          <t>웹조사 자동화 실패(세션한도)</t>
        </is>
      </c>
      <c r="H665" s="17" t="inlineStr">
        <is>
          <t>N</t>
        </is>
      </c>
      <c r="I665" s="17" t="inlineStr">
        <is>
          <t>DART/채용</t>
        </is>
      </c>
      <c r="J665" s="17" t="inlineStr">
        <is>
          <t>DART/채용에서 확인</t>
        </is>
      </c>
      <c r="K665" s="17" t="inlineStr">
        <is>
          <t>낮음</t>
        </is>
      </c>
      <c r="L665" s="17" t="inlineStr"/>
    </row>
    <row r="666">
      <c r="A666" s="17" t="inlineStr">
        <is>
          <t>C106</t>
        </is>
      </c>
      <c r="B666" s="17" t="inlineStr"/>
      <c r="C666" s="17" t="inlineStr">
        <is>
          <t>현대약품(주)</t>
        </is>
      </c>
      <c r="D666" s="17" t="inlineStr"/>
      <c r="E666" s="17" t="inlineStr">
        <is>
          <t>수출여부</t>
        </is>
      </c>
      <c r="F666" s="17" t="inlineStr">
        <is>
          <t>미확인</t>
        </is>
      </c>
      <c r="G666" s="17" t="inlineStr">
        <is>
          <t>웹조사 자동화 실패(세션한도)</t>
        </is>
      </c>
      <c r="H666" s="17" t="inlineStr">
        <is>
          <t>N</t>
        </is>
      </c>
      <c r="I666" s="17" t="inlineStr">
        <is>
          <t>회사 공시·홈페이지</t>
        </is>
      </c>
      <c r="J666" s="17" t="inlineStr">
        <is>
          <t>회사 공시·홈페이지에서 확인</t>
        </is>
      </c>
      <c r="K666" s="17" t="inlineStr">
        <is>
          <t>낮음</t>
        </is>
      </c>
      <c r="L666" s="17" t="inlineStr"/>
    </row>
    <row r="667">
      <c r="A667" s="17" t="inlineStr">
        <is>
          <t>C106</t>
        </is>
      </c>
      <c r="B667" s="17" t="inlineStr"/>
      <c r="C667" s="17" t="inlineStr">
        <is>
          <t>현대약품(주)</t>
        </is>
      </c>
      <c r="D667" s="17" t="inlineStr"/>
      <c r="E667" s="17" t="inlineStr">
        <is>
          <t>FDA·EMA 실사</t>
        </is>
      </c>
      <c r="F667" s="17" t="inlineStr">
        <is>
          <t>미확인</t>
        </is>
      </c>
      <c r="G667" s="17" t="inlineStr">
        <is>
          <t>웹조사 자동화 실패(세션한도)</t>
        </is>
      </c>
      <c r="H667" s="17" t="inlineStr">
        <is>
          <t>N</t>
        </is>
      </c>
      <c r="I667" s="17" t="inlineStr">
        <is>
          <t>FDA Inspection DB</t>
        </is>
      </c>
      <c r="J667" s="17" t="inlineStr">
        <is>
          <t>FDA Inspection DB에서 확인</t>
        </is>
      </c>
      <c r="K667" s="17" t="inlineStr">
        <is>
          <t>낮음</t>
        </is>
      </c>
      <c r="L667" s="17" t="inlineStr"/>
    </row>
    <row r="668">
      <c r="A668" s="17" t="inlineStr">
        <is>
          <t>C106</t>
        </is>
      </c>
      <c r="B668" s="17" t="inlineStr"/>
      <c r="C668" s="17" t="inlineStr">
        <is>
          <t>현대약품(주)</t>
        </is>
      </c>
      <c r="D668" s="17" t="inlineStr"/>
      <c r="E668" s="17" t="inlineStr">
        <is>
          <t>CMO·CDMO</t>
        </is>
      </c>
      <c r="F668" s="17" t="inlineStr">
        <is>
          <t>미확인</t>
        </is>
      </c>
      <c r="G668" s="17" t="inlineStr">
        <is>
          <t>웹조사 자동화 실패(세션한도)</t>
        </is>
      </c>
      <c r="H668" s="17" t="inlineStr">
        <is>
          <t>N</t>
        </is>
      </c>
      <c r="I668" s="17" t="inlineStr">
        <is>
          <t>회사 홈페이지</t>
        </is>
      </c>
      <c r="J668" s="17" t="inlineStr">
        <is>
          <t>회사 홈페이지에서 확인</t>
        </is>
      </c>
      <c r="K668" s="17" t="inlineStr">
        <is>
          <t>낮음</t>
        </is>
      </c>
      <c r="L668" s="17" t="inlineStr"/>
    </row>
    <row r="669">
      <c r="A669" s="17" t="inlineStr">
        <is>
          <t>C106</t>
        </is>
      </c>
      <c r="B669" s="17" t="inlineStr"/>
      <c r="C669" s="17" t="inlineStr">
        <is>
          <t>현대약품(주)</t>
        </is>
      </c>
      <c r="D669" s="17" t="inlineStr"/>
      <c r="E669" s="17" t="inlineStr">
        <is>
          <t>신공장·증설</t>
        </is>
      </c>
      <c r="F669" s="17" t="inlineStr">
        <is>
          <t>미확인</t>
        </is>
      </c>
      <c r="G669" s="17" t="inlineStr">
        <is>
          <t>웹조사 자동화 실패(세션한도)</t>
        </is>
      </c>
      <c r="H669" s="17" t="inlineStr">
        <is>
          <t>N</t>
        </is>
      </c>
      <c r="I669" s="17" t="inlineStr">
        <is>
          <t>언론·지자체 발표</t>
        </is>
      </c>
      <c r="J669" s="17" t="inlineStr">
        <is>
          <t>언론·지자체 발표에서 확인</t>
        </is>
      </c>
      <c r="K669" s="17" t="inlineStr">
        <is>
          <t>낮음</t>
        </is>
      </c>
      <c r="L669" s="17" t="inlineStr"/>
    </row>
    <row r="670">
      <c r="A670" s="17" t="inlineStr">
        <is>
          <t>C107</t>
        </is>
      </c>
      <c r="B670" s="17" t="inlineStr"/>
      <c r="C670" s="17" t="inlineStr">
        <is>
          <t>(주)비씨월드헬스케어</t>
        </is>
      </c>
      <c r="D670" s="17" t="inlineStr"/>
      <c r="E670" s="17" t="inlineStr">
        <is>
          <t>최근매출(억원)</t>
        </is>
      </c>
      <c r="F670" s="17" t="inlineStr">
        <is>
          <t>미확인</t>
        </is>
      </c>
      <c r="G670" s="17" t="inlineStr">
        <is>
          <t>웹조사 자동화 실패(세션한도)</t>
        </is>
      </c>
      <c r="H670" s="17" t="inlineStr">
        <is>
          <t>N</t>
        </is>
      </c>
      <c r="I670" s="17" t="inlineStr">
        <is>
          <t>DART 사업보고서</t>
        </is>
      </c>
      <c r="J670" s="17" t="inlineStr">
        <is>
          <t>DART 사업보고서에서 확인</t>
        </is>
      </c>
      <c r="K670" s="17" t="inlineStr">
        <is>
          <t>낮음</t>
        </is>
      </c>
      <c r="L670" s="17" t="inlineStr"/>
    </row>
    <row r="671">
      <c r="A671" s="17" t="inlineStr">
        <is>
          <t>C107</t>
        </is>
      </c>
      <c r="B671" s="17" t="inlineStr"/>
      <c r="C671" s="17" t="inlineStr">
        <is>
          <t>(주)비씨월드헬스케어</t>
        </is>
      </c>
      <c r="D671" s="17" t="inlineStr"/>
      <c r="E671" s="17" t="inlineStr">
        <is>
          <t>종업원수</t>
        </is>
      </c>
      <c r="F671" s="17" t="inlineStr">
        <is>
          <t>미확인</t>
        </is>
      </c>
      <c r="G671" s="17" t="inlineStr">
        <is>
          <t>웹조사 자동화 실패(세션한도)</t>
        </is>
      </c>
      <c r="H671" s="17" t="inlineStr">
        <is>
          <t>N</t>
        </is>
      </c>
      <c r="I671" s="17" t="inlineStr">
        <is>
          <t>DART/채용</t>
        </is>
      </c>
      <c r="J671" s="17" t="inlineStr">
        <is>
          <t>DART/채용에서 확인</t>
        </is>
      </c>
      <c r="K671" s="17" t="inlineStr">
        <is>
          <t>낮음</t>
        </is>
      </c>
      <c r="L671" s="17" t="inlineStr"/>
    </row>
    <row r="672">
      <c r="A672" s="17" t="inlineStr">
        <is>
          <t>C107</t>
        </is>
      </c>
      <c r="B672" s="17" t="inlineStr"/>
      <c r="C672" s="17" t="inlineStr">
        <is>
          <t>(주)비씨월드헬스케어</t>
        </is>
      </c>
      <c r="D672" s="17" t="inlineStr"/>
      <c r="E672" s="17" t="inlineStr">
        <is>
          <t>수출여부</t>
        </is>
      </c>
      <c r="F672" s="17" t="inlineStr">
        <is>
          <t>미확인</t>
        </is>
      </c>
      <c r="G672" s="17" t="inlineStr">
        <is>
          <t>웹조사 자동화 실패(세션한도)</t>
        </is>
      </c>
      <c r="H672" s="17" t="inlineStr">
        <is>
          <t>N</t>
        </is>
      </c>
      <c r="I672" s="17" t="inlineStr">
        <is>
          <t>회사 공시·홈페이지</t>
        </is>
      </c>
      <c r="J672" s="17" t="inlineStr">
        <is>
          <t>회사 공시·홈페이지에서 확인</t>
        </is>
      </c>
      <c r="K672" s="17" t="inlineStr">
        <is>
          <t>낮음</t>
        </is>
      </c>
      <c r="L672" s="17" t="inlineStr"/>
    </row>
    <row r="673">
      <c r="A673" s="17" t="inlineStr">
        <is>
          <t>C107</t>
        </is>
      </c>
      <c r="B673" s="17" t="inlineStr"/>
      <c r="C673" s="17" t="inlineStr">
        <is>
          <t>(주)비씨월드헬스케어</t>
        </is>
      </c>
      <c r="D673" s="17" t="inlineStr"/>
      <c r="E673" s="17" t="inlineStr">
        <is>
          <t>FDA·EMA 실사</t>
        </is>
      </c>
      <c r="F673" s="17" t="inlineStr">
        <is>
          <t>미확인</t>
        </is>
      </c>
      <c r="G673" s="17" t="inlineStr">
        <is>
          <t>웹조사 자동화 실패(세션한도)</t>
        </is>
      </c>
      <c r="H673" s="17" t="inlineStr">
        <is>
          <t>N</t>
        </is>
      </c>
      <c r="I673" s="17" t="inlineStr">
        <is>
          <t>FDA Inspection DB</t>
        </is>
      </c>
      <c r="J673" s="17" t="inlineStr">
        <is>
          <t>FDA Inspection DB에서 확인</t>
        </is>
      </c>
      <c r="K673" s="17" t="inlineStr">
        <is>
          <t>낮음</t>
        </is>
      </c>
      <c r="L673" s="17" t="inlineStr"/>
    </row>
    <row r="674">
      <c r="A674" s="17" t="inlineStr">
        <is>
          <t>C107</t>
        </is>
      </c>
      <c r="B674" s="17" t="inlineStr"/>
      <c r="C674" s="17" t="inlineStr">
        <is>
          <t>(주)비씨월드헬스케어</t>
        </is>
      </c>
      <c r="D674" s="17" t="inlineStr"/>
      <c r="E674" s="17" t="inlineStr">
        <is>
          <t>CMO·CDMO</t>
        </is>
      </c>
      <c r="F674" s="17" t="inlineStr">
        <is>
          <t>미확인</t>
        </is>
      </c>
      <c r="G674" s="17" t="inlineStr">
        <is>
          <t>웹조사 자동화 실패(세션한도)</t>
        </is>
      </c>
      <c r="H674" s="17" t="inlineStr">
        <is>
          <t>N</t>
        </is>
      </c>
      <c r="I674" s="17" t="inlineStr">
        <is>
          <t>회사 홈페이지</t>
        </is>
      </c>
      <c r="J674" s="17" t="inlineStr">
        <is>
          <t>회사 홈페이지에서 확인</t>
        </is>
      </c>
      <c r="K674" s="17" t="inlineStr">
        <is>
          <t>낮음</t>
        </is>
      </c>
      <c r="L674" s="17" t="inlineStr"/>
    </row>
    <row r="675">
      <c r="A675" s="17" t="inlineStr">
        <is>
          <t>C107</t>
        </is>
      </c>
      <c r="B675" s="17" t="inlineStr"/>
      <c r="C675" s="17" t="inlineStr">
        <is>
          <t>(주)비씨월드헬스케어</t>
        </is>
      </c>
      <c r="D675" s="17" t="inlineStr"/>
      <c r="E675" s="17" t="inlineStr">
        <is>
          <t>신공장·증설</t>
        </is>
      </c>
      <c r="F675" s="17" t="inlineStr">
        <is>
          <t>미확인</t>
        </is>
      </c>
      <c r="G675" s="17" t="inlineStr">
        <is>
          <t>웹조사 자동화 실패(세션한도)</t>
        </is>
      </c>
      <c r="H675" s="17" t="inlineStr">
        <is>
          <t>N</t>
        </is>
      </c>
      <c r="I675" s="17" t="inlineStr">
        <is>
          <t>언론·지자체 발표</t>
        </is>
      </c>
      <c r="J675" s="17" t="inlineStr">
        <is>
          <t>언론·지자체 발표에서 확인</t>
        </is>
      </c>
      <c r="K675" s="17" t="inlineStr">
        <is>
          <t>낮음</t>
        </is>
      </c>
      <c r="L675" s="17" t="inlineStr"/>
    </row>
    <row r="676">
      <c r="A676" s="17" t="inlineStr">
        <is>
          <t>C108</t>
        </is>
      </c>
      <c r="B676" s="17" t="inlineStr"/>
      <c r="C676" s="17" t="inlineStr">
        <is>
          <t>제일약품(주)</t>
        </is>
      </c>
      <c r="D676" s="17" t="inlineStr"/>
      <c r="E676" s="17" t="inlineStr">
        <is>
          <t>최근매출(억원)</t>
        </is>
      </c>
      <c r="F676" s="17" t="inlineStr">
        <is>
          <t>미확인</t>
        </is>
      </c>
      <c r="G676" s="17" t="inlineStr">
        <is>
          <t>웹조사 자동화 실패(세션한도)</t>
        </is>
      </c>
      <c r="H676" s="17" t="inlineStr">
        <is>
          <t>N</t>
        </is>
      </c>
      <c r="I676" s="17" t="inlineStr">
        <is>
          <t>DART 사업보고서</t>
        </is>
      </c>
      <c r="J676" s="17" t="inlineStr">
        <is>
          <t>DART 사업보고서에서 확인</t>
        </is>
      </c>
      <c r="K676" s="17" t="inlineStr">
        <is>
          <t>낮음</t>
        </is>
      </c>
      <c r="L676" s="17" t="inlineStr"/>
    </row>
    <row r="677">
      <c r="A677" s="17" t="inlineStr">
        <is>
          <t>C108</t>
        </is>
      </c>
      <c r="B677" s="17" t="inlineStr"/>
      <c r="C677" s="17" t="inlineStr">
        <is>
          <t>제일약품(주)</t>
        </is>
      </c>
      <c r="D677" s="17" t="inlineStr"/>
      <c r="E677" s="17" t="inlineStr">
        <is>
          <t>종업원수</t>
        </is>
      </c>
      <c r="F677" s="17" t="inlineStr">
        <is>
          <t>미확인</t>
        </is>
      </c>
      <c r="G677" s="17" t="inlineStr">
        <is>
          <t>웹조사 자동화 실패(세션한도)</t>
        </is>
      </c>
      <c r="H677" s="17" t="inlineStr">
        <is>
          <t>N</t>
        </is>
      </c>
      <c r="I677" s="17" t="inlineStr">
        <is>
          <t>DART/채용</t>
        </is>
      </c>
      <c r="J677" s="17" t="inlineStr">
        <is>
          <t>DART/채용에서 확인</t>
        </is>
      </c>
      <c r="K677" s="17" t="inlineStr">
        <is>
          <t>낮음</t>
        </is>
      </c>
      <c r="L677" s="17" t="inlineStr"/>
    </row>
    <row r="678">
      <c r="A678" s="17" t="inlineStr">
        <is>
          <t>C108</t>
        </is>
      </c>
      <c r="B678" s="17" t="inlineStr"/>
      <c r="C678" s="17" t="inlineStr">
        <is>
          <t>제일약품(주)</t>
        </is>
      </c>
      <c r="D678" s="17" t="inlineStr"/>
      <c r="E678" s="17" t="inlineStr">
        <is>
          <t>수출여부</t>
        </is>
      </c>
      <c r="F678" s="17" t="inlineStr">
        <is>
          <t>미확인</t>
        </is>
      </c>
      <c r="G678" s="17" t="inlineStr">
        <is>
          <t>웹조사 자동화 실패(세션한도)</t>
        </is>
      </c>
      <c r="H678" s="17" t="inlineStr">
        <is>
          <t>N</t>
        </is>
      </c>
      <c r="I678" s="17" t="inlineStr">
        <is>
          <t>회사 공시·홈페이지</t>
        </is>
      </c>
      <c r="J678" s="17" t="inlineStr">
        <is>
          <t>회사 공시·홈페이지에서 확인</t>
        </is>
      </c>
      <c r="K678" s="17" t="inlineStr">
        <is>
          <t>낮음</t>
        </is>
      </c>
      <c r="L678" s="17" t="inlineStr"/>
    </row>
    <row r="679">
      <c r="A679" s="17" t="inlineStr">
        <is>
          <t>C108</t>
        </is>
      </c>
      <c r="B679" s="17" t="inlineStr"/>
      <c r="C679" s="17" t="inlineStr">
        <is>
          <t>제일약품(주)</t>
        </is>
      </c>
      <c r="D679" s="17" t="inlineStr"/>
      <c r="E679" s="17" t="inlineStr">
        <is>
          <t>FDA·EMA 실사</t>
        </is>
      </c>
      <c r="F679" s="17" t="inlineStr">
        <is>
          <t>미확인</t>
        </is>
      </c>
      <c r="G679" s="17" t="inlineStr">
        <is>
          <t>웹조사 자동화 실패(세션한도)</t>
        </is>
      </c>
      <c r="H679" s="17" t="inlineStr">
        <is>
          <t>N</t>
        </is>
      </c>
      <c r="I679" s="17" t="inlineStr">
        <is>
          <t>FDA Inspection DB</t>
        </is>
      </c>
      <c r="J679" s="17" t="inlineStr">
        <is>
          <t>FDA Inspection DB에서 확인</t>
        </is>
      </c>
      <c r="K679" s="17" t="inlineStr">
        <is>
          <t>낮음</t>
        </is>
      </c>
      <c r="L679" s="17" t="inlineStr"/>
    </row>
    <row r="680">
      <c r="A680" s="17" t="inlineStr">
        <is>
          <t>C108</t>
        </is>
      </c>
      <c r="B680" s="17" t="inlineStr"/>
      <c r="C680" s="17" t="inlineStr">
        <is>
          <t>제일약품(주)</t>
        </is>
      </c>
      <c r="D680" s="17" t="inlineStr"/>
      <c r="E680" s="17" t="inlineStr">
        <is>
          <t>CMO·CDMO</t>
        </is>
      </c>
      <c r="F680" s="17" t="inlineStr">
        <is>
          <t>미확인</t>
        </is>
      </c>
      <c r="G680" s="17" t="inlineStr">
        <is>
          <t>웹조사 자동화 실패(세션한도)</t>
        </is>
      </c>
      <c r="H680" s="17" t="inlineStr">
        <is>
          <t>N</t>
        </is>
      </c>
      <c r="I680" s="17" t="inlineStr">
        <is>
          <t>회사 홈페이지</t>
        </is>
      </c>
      <c r="J680" s="17" t="inlineStr">
        <is>
          <t>회사 홈페이지에서 확인</t>
        </is>
      </c>
      <c r="K680" s="17" t="inlineStr">
        <is>
          <t>낮음</t>
        </is>
      </c>
      <c r="L680" s="17" t="inlineStr"/>
    </row>
    <row r="681">
      <c r="A681" s="17" t="inlineStr">
        <is>
          <t>C108</t>
        </is>
      </c>
      <c r="B681" s="17" t="inlineStr"/>
      <c r="C681" s="17" t="inlineStr">
        <is>
          <t>제일약품(주)</t>
        </is>
      </c>
      <c r="D681" s="17" t="inlineStr"/>
      <c r="E681" s="17" t="inlineStr">
        <is>
          <t>신공장·증설</t>
        </is>
      </c>
      <c r="F681" s="17" t="inlineStr">
        <is>
          <t>미확인</t>
        </is>
      </c>
      <c r="G681" s="17" t="inlineStr">
        <is>
          <t>웹조사 자동화 실패(세션한도)</t>
        </is>
      </c>
      <c r="H681" s="17" t="inlineStr">
        <is>
          <t>N</t>
        </is>
      </c>
      <c r="I681" s="17" t="inlineStr">
        <is>
          <t>언론·지자체 발표</t>
        </is>
      </c>
      <c r="J681" s="17" t="inlineStr">
        <is>
          <t>언론·지자체 발표에서 확인</t>
        </is>
      </c>
      <c r="K681" s="17" t="inlineStr">
        <is>
          <t>낮음</t>
        </is>
      </c>
      <c r="L681" s="17" t="inlineStr"/>
    </row>
    <row r="682">
      <c r="A682" s="17" t="inlineStr">
        <is>
          <t>C108</t>
        </is>
      </c>
      <c r="B682" s="17" t="inlineStr"/>
      <c r="C682" s="17" t="inlineStr">
        <is>
          <t>제일약품(주)</t>
        </is>
      </c>
      <c r="D682" s="17" t="inlineStr"/>
      <c r="E682" s="17" t="inlineStr">
        <is>
          <t>대표전화</t>
        </is>
      </c>
      <c r="F682" s="17" t="inlineStr">
        <is>
          <t>미확인</t>
        </is>
      </c>
      <c r="G682" s="17" t="inlineStr">
        <is>
          <t>제조소상세 미매칭</t>
        </is>
      </c>
      <c r="H682" s="17" t="inlineStr">
        <is>
          <t>Y</t>
        </is>
      </c>
      <c r="I682" s="17" t="inlineStr">
        <is>
          <t>회사 홈페이지</t>
        </is>
      </c>
      <c r="J682" s="17" t="inlineStr">
        <is>
          <t>홈페이지에서 대표번호 확인</t>
        </is>
      </c>
      <c r="K682" s="17" t="inlineStr">
        <is>
          <t>낮음</t>
        </is>
      </c>
      <c r="L682" s="17" t="inlineStr"/>
    </row>
    <row r="683">
      <c r="A683" s="17" t="inlineStr">
        <is>
          <t>C109</t>
        </is>
      </c>
      <c r="B683" s="17" t="inlineStr"/>
      <c r="C683" s="17" t="inlineStr">
        <is>
          <t>신신제약(주)</t>
        </is>
      </c>
      <c r="D683" s="17" t="inlineStr"/>
      <c r="E683" s="17" t="inlineStr">
        <is>
          <t>최근매출(억원)</t>
        </is>
      </c>
      <c r="F683" s="17" t="inlineStr">
        <is>
          <t>미확인</t>
        </is>
      </c>
      <c r="G683" s="17" t="inlineStr">
        <is>
          <t>웹조사 자동화 실패(세션한도)</t>
        </is>
      </c>
      <c r="H683" s="17" t="inlineStr">
        <is>
          <t>N</t>
        </is>
      </c>
      <c r="I683" s="17" t="inlineStr">
        <is>
          <t>DART 사업보고서</t>
        </is>
      </c>
      <c r="J683" s="17" t="inlineStr">
        <is>
          <t>DART 사업보고서에서 확인</t>
        </is>
      </c>
      <c r="K683" s="17" t="inlineStr">
        <is>
          <t>낮음</t>
        </is>
      </c>
      <c r="L683" s="17" t="inlineStr"/>
    </row>
    <row r="684">
      <c r="A684" s="17" t="inlineStr">
        <is>
          <t>C109</t>
        </is>
      </c>
      <c r="B684" s="17" t="inlineStr"/>
      <c r="C684" s="17" t="inlineStr">
        <is>
          <t>신신제약(주)</t>
        </is>
      </c>
      <c r="D684" s="17" t="inlineStr"/>
      <c r="E684" s="17" t="inlineStr">
        <is>
          <t>종업원수</t>
        </is>
      </c>
      <c r="F684" s="17" t="inlineStr">
        <is>
          <t>미확인</t>
        </is>
      </c>
      <c r="G684" s="17" t="inlineStr">
        <is>
          <t>웹조사 자동화 실패(세션한도)</t>
        </is>
      </c>
      <c r="H684" s="17" t="inlineStr">
        <is>
          <t>N</t>
        </is>
      </c>
      <c r="I684" s="17" t="inlineStr">
        <is>
          <t>DART/채용</t>
        </is>
      </c>
      <c r="J684" s="17" t="inlineStr">
        <is>
          <t>DART/채용에서 확인</t>
        </is>
      </c>
      <c r="K684" s="17" t="inlineStr">
        <is>
          <t>낮음</t>
        </is>
      </c>
      <c r="L684" s="17" t="inlineStr"/>
    </row>
    <row r="685">
      <c r="A685" s="17" t="inlineStr">
        <is>
          <t>C109</t>
        </is>
      </c>
      <c r="B685" s="17" t="inlineStr"/>
      <c r="C685" s="17" t="inlineStr">
        <is>
          <t>신신제약(주)</t>
        </is>
      </c>
      <c r="D685" s="17" t="inlineStr"/>
      <c r="E685" s="17" t="inlineStr">
        <is>
          <t>수출여부</t>
        </is>
      </c>
      <c r="F685" s="17" t="inlineStr">
        <is>
          <t>미확인</t>
        </is>
      </c>
      <c r="G685" s="17" t="inlineStr">
        <is>
          <t>웹조사 자동화 실패(세션한도)</t>
        </is>
      </c>
      <c r="H685" s="17" t="inlineStr">
        <is>
          <t>N</t>
        </is>
      </c>
      <c r="I685" s="17" t="inlineStr">
        <is>
          <t>회사 공시·홈페이지</t>
        </is>
      </c>
      <c r="J685" s="17" t="inlineStr">
        <is>
          <t>회사 공시·홈페이지에서 확인</t>
        </is>
      </c>
      <c r="K685" s="17" t="inlineStr">
        <is>
          <t>낮음</t>
        </is>
      </c>
      <c r="L685" s="17" t="inlineStr"/>
    </row>
    <row r="686">
      <c r="A686" s="17" t="inlineStr">
        <is>
          <t>C109</t>
        </is>
      </c>
      <c r="B686" s="17" t="inlineStr"/>
      <c r="C686" s="17" t="inlineStr">
        <is>
          <t>신신제약(주)</t>
        </is>
      </c>
      <c r="D686" s="17" t="inlineStr"/>
      <c r="E686" s="17" t="inlineStr">
        <is>
          <t>FDA·EMA 실사</t>
        </is>
      </c>
      <c r="F686" s="17" t="inlineStr">
        <is>
          <t>미확인</t>
        </is>
      </c>
      <c r="G686" s="17" t="inlineStr">
        <is>
          <t>웹조사 자동화 실패(세션한도)</t>
        </is>
      </c>
      <c r="H686" s="17" t="inlineStr">
        <is>
          <t>N</t>
        </is>
      </c>
      <c r="I686" s="17" t="inlineStr">
        <is>
          <t>FDA Inspection DB</t>
        </is>
      </c>
      <c r="J686" s="17" t="inlineStr">
        <is>
          <t>FDA Inspection DB에서 확인</t>
        </is>
      </c>
      <c r="K686" s="17" t="inlineStr">
        <is>
          <t>낮음</t>
        </is>
      </c>
      <c r="L686" s="17" t="inlineStr"/>
    </row>
    <row r="687">
      <c r="A687" s="17" t="inlineStr">
        <is>
          <t>C109</t>
        </is>
      </c>
      <c r="B687" s="17" t="inlineStr"/>
      <c r="C687" s="17" t="inlineStr">
        <is>
          <t>신신제약(주)</t>
        </is>
      </c>
      <c r="D687" s="17" t="inlineStr"/>
      <c r="E687" s="17" t="inlineStr">
        <is>
          <t>CMO·CDMO</t>
        </is>
      </c>
      <c r="F687" s="17" t="inlineStr">
        <is>
          <t>미확인</t>
        </is>
      </c>
      <c r="G687" s="17" t="inlineStr">
        <is>
          <t>웹조사 자동화 실패(세션한도)</t>
        </is>
      </c>
      <c r="H687" s="17" t="inlineStr">
        <is>
          <t>N</t>
        </is>
      </c>
      <c r="I687" s="17" t="inlineStr">
        <is>
          <t>회사 홈페이지</t>
        </is>
      </c>
      <c r="J687" s="17" t="inlineStr">
        <is>
          <t>회사 홈페이지에서 확인</t>
        </is>
      </c>
      <c r="K687" s="17" t="inlineStr">
        <is>
          <t>낮음</t>
        </is>
      </c>
      <c r="L687" s="17" t="inlineStr"/>
    </row>
    <row r="688">
      <c r="A688" s="17" t="inlineStr">
        <is>
          <t>C109</t>
        </is>
      </c>
      <c r="B688" s="17" t="inlineStr"/>
      <c r="C688" s="17" t="inlineStr">
        <is>
          <t>신신제약(주)</t>
        </is>
      </c>
      <c r="D688" s="17" t="inlineStr"/>
      <c r="E688" s="17" t="inlineStr">
        <is>
          <t>신공장·증설</t>
        </is>
      </c>
      <c r="F688" s="17" t="inlineStr">
        <is>
          <t>미확인</t>
        </is>
      </c>
      <c r="G688" s="17" t="inlineStr">
        <is>
          <t>웹조사 자동화 실패(세션한도)</t>
        </is>
      </c>
      <c r="H688" s="17" t="inlineStr">
        <is>
          <t>N</t>
        </is>
      </c>
      <c r="I688" s="17" t="inlineStr">
        <is>
          <t>언론·지자체 발표</t>
        </is>
      </c>
      <c r="J688" s="17" t="inlineStr">
        <is>
          <t>언론·지자체 발표에서 확인</t>
        </is>
      </c>
      <c r="K688" s="17" t="inlineStr">
        <is>
          <t>낮음</t>
        </is>
      </c>
      <c r="L688" s="17" t="inlineStr"/>
    </row>
    <row r="689">
      <c r="A689" s="17" t="inlineStr">
        <is>
          <t>C110</t>
        </is>
      </c>
      <c r="B689" s="17" t="inlineStr"/>
      <c r="C689" s="17" t="inlineStr">
        <is>
          <t>제네톡스(주)</t>
        </is>
      </c>
      <c r="D689" s="17" t="inlineStr"/>
      <c r="E689" s="17" t="inlineStr">
        <is>
          <t>최근매출(억원)</t>
        </is>
      </c>
      <c r="F689" s="17" t="inlineStr">
        <is>
          <t>미확인</t>
        </is>
      </c>
      <c r="G689" s="17" t="inlineStr">
        <is>
          <t>웹조사 자동화 실패(세션한도)</t>
        </is>
      </c>
      <c r="H689" s="17" t="inlineStr">
        <is>
          <t>N</t>
        </is>
      </c>
      <c r="I689" s="17" t="inlineStr">
        <is>
          <t>DART 사업보고서</t>
        </is>
      </c>
      <c r="J689" s="17" t="inlineStr">
        <is>
          <t>DART 사업보고서에서 확인</t>
        </is>
      </c>
      <c r="K689" s="17" t="inlineStr">
        <is>
          <t>낮음</t>
        </is>
      </c>
      <c r="L689" s="17" t="inlineStr"/>
    </row>
    <row r="690">
      <c r="A690" s="17" t="inlineStr">
        <is>
          <t>C110</t>
        </is>
      </c>
      <c r="B690" s="17" t="inlineStr"/>
      <c r="C690" s="17" t="inlineStr">
        <is>
          <t>제네톡스(주)</t>
        </is>
      </c>
      <c r="D690" s="17" t="inlineStr"/>
      <c r="E690" s="17" t="inlineStr">
        <is>
          <t>종업원수</t>
        </is>
      </c>
      <c r="F690" s="17" t="inlineStr">
        <is>
          <t>미확인</t>
        </is>
      </c>
      <c r="G690" s="17" t="inlineStr">
        <is>
          <t>웹조사 자동화 실패(세션한도)</t>
        </is>
      </c>
      <c r="H690" s="17" t="inlineStr">
        <is>
          <t>N</t>
        </is>
      </c>
      <c r="I690" s="17" t="inlineStr">
        <is>
          <t>DART/채용</t>
        </is>
      </c>
      <c r="J690" s="17" t="inlineStr">
        <is>
          <t>DART/채용에서 확인</t>
        </is>
      </c>
      <c r="K690" s="17" t="inlineStr">
        <is>
          <t>낮음</t>
        </is>
      </c>
      <c r="L690" s="17" t="inlineStr"/>
    </row>
    <row r="691">
      <c r="A691" s="17" t="inlineStr">
        <is>
          <t>C110</t>
        </is>
      </c>
      <c r="B691" s="17" t="inlineStr"/>
      <c r="C691" s="17" t="inlineStr">
        <is>
          <t>제네톡스(주)</t>
        </is>
      </c>
      <c r="D691" s="17" t="inlineStr"/>
      <c r="E691" s="17" t="inlineStr">
        <is>
          <t>수출여부</t>
        </is>
      </c>
      <c r="F691" s="17" t="inlineStr">
        <is>
          <t>미확인</t>
        </is>
      </c>
      <c r="G691" s="17" t="inlineStr">
        <is>
          <t>웹조사 자동화 실패(세션한도)</t>
        </is>
      </c>
      <c r="H691" s="17" t="inlineStr">
        <is>
          <t>N</t>
        </is>
      </c>
      <c r="I691" s="17" t="inlineStr">
        <is>
          <t>회사 공시·홈페이지</t>
        </is>
      </c>
      <c r="J691" s="17" t="inlineStr">
        <is>
          <t>회사 공시·홈페이지에서 확인</t>
        </is>
      </c>
      <c r="K691" s="17" t="inlineStr">
        <is>
          <t>낮음</t>
        </is>
      </c>
      <c r="L691" s="17" t="inlineStr"/>
    </row>
    <row r="692">
      <c r="A692" s="17" t="inlineStr">
        <is>
          <t>C110</t>
        </is>
      </c>
      <c r="B692" s="17" t="inlineStr"/>
      <c r="C692" s="17" t="inlineStr">
        <is>
          <t>제네톡스(주)</t>
        </is>
      </c>
      <c r="D692" s="17" t="inlineStr"/>
      <c r="E692" s="17" t="inlineStr">
        <is>
          <t>FDA·EMA 실사</t>
        </is>
      </c>
      <c r="F692" s="17" t="inlineStr">
        <is>
          <t>미확인</t>
        </is>
      </c>
      <c r="G692" s="17" t="inlineStr">
        <is>
          <t>웹조사 자동화 실패(세션한도)</t>
        </is>
      </c>
      <c r="H692" s="17" t="inlineStr">
        <is>
          <t>N</t>
        </is>
      </c>
      <c r="I692" s="17" t="inlineStr">
        <is>
          <t>FDA Inspection DB</t>
        </is>
      </c>
      <c r="J692" s="17" t="inlineStr">
        <is>
          <t>FDA Inspection DB에서 확인</t>
        </is>
      </c>
      <c r="K692" s="17" t="inlineStr">
        <is>
          <t>낮음</t>
        </is>
      </c>
      <c r="L692" s="17" t="inlineStr"/>
    </row>
    <row r="693">
      <c r="A693" s="17" t="inlineStr">
        <is>
          <t>C110</t>
        </is>
      </c>
      <c r="B693" s="17" t="inlineStr"/>
      <c r="C693" s="17" t="inlineStr">
        <is>
          <t>제네톡스(주)</t>
        </is>
      </c>
      <c r="D693" s="17" t="inlineStr"/>
      <c r="E693" s="17" t="inlineStr">
        <is>
          <t>CMO·CDMO</t>
        </is>
      </c>
      <c r="F693" s="17" t="inlineStr">
        <is>
          <t>미확인</t>
        </is>
      </c>
      <c r="G693" s="17" t="inlineStr">
        <is>
          <t>웹조사 자동화 실패(세션한도)</t>
        </is>
      </c>
      <c r="H693" s="17" t="inlineStr">
        <is>
          <t>N</t>
        </is>
      </c>
      <c r="I693" s="17" t="inlineStr">
        <is>
          <t>회사 홈페이지</t>
        </is>
      </c>
      <c r="J693" s="17" t="inlineStr">
        <is>
          <t>회사 홈페이지에서 확인</t>
        </is>
      </c>
      <c r="K693" s="17" t="inlineStr">
        <is>
          <t>낮음</t>
        </is>
      </c>
      <c r="L693" s="17" t="inlineStr"/>
    </row>
    <row r="694">
      <c r="A694" s="17" t="inlineStr">
        <is>
          <t>C110</t>
        </is>
      </c>
      <c r="B694" s="17" t="inlineStr"/>
      <c r="C694" s="17" t="inlineStr">
        <is>
          <t>제네톡스(주)</t>
        </is>
      </c>
      <c r="D694" s="17" t="inlineStr"/>
      <c r="E694" s="17" t="inlineStr">
        <is>
          <t>신공장·증설</t>
        </is>
      </c>
      <c r="F694" s="17" t="inlineStr">
        <is>
          <t>미확인</t>
        </is>
      </c>
      <c r="G694" s="17" t="inlineStr">
        <is>
          <t>웹조사 자동화 실패(세션한도)</t>
        </is>
      </c>
      <c r="H694" s="17" t="inlineStr">
        <is>
          <t>N</t>
        </is>
      </c>
      <c r="I694" s="17" t="inlineStr">
        <is>
          <t>언론·지자체 발표</t>
        </is>
      </c>
      <c r="J694" s="17" t="inlineStr">
        <is>
          <t>언론·지자체 발표에서 확인</t>
        </is>
      </c>
      <c r="K694" s="17" t="inlineStr">
        <is>
          <t>낮음</t>
        </is>
      </c>
      <c r="L694" s="17" t="inlineStr"/>
    </row>
    <row r="695">
      <c r="A695" s="17" t="inlineStr">
        <is>
          <t>C111</t>
        </is>
      </c>
      <c r="B695" s="17" t="inlineStr"/>
      <c r="C695" s="17" t="inlineStr">
        <is>
          <t>(주)한국호넥스</t>
        </is>
      </c>
      <c r="D695" s="17" t="inlineStr"/>
      <c r="E695" s="17" t="inlineStr">
        <is>
          <t>최근매출(억원)</t>
        </is>
      </c>
      <c r="F695" s="17" t="inlineStr">
        <is>
          <t>미확인</t>
        </is>
      </c>
      <c r="G695" s="17" t="inlineStr">
        <is>
          <t>웹조사 자동화 실패(세션한도)</t>
        </is>
      </c>
      <c r="H695" s="17" t="inlineStr">
        <is>
          <t>N</t>
        </is>
      </c>
      <c r="I695" s="17" t="inlineStr">
        <is>
          <t>DART 사업보고서</t>
        </is>
      </c>
      <c r="J695" s="17" t="inlineStr">
        <is>
          <t>DART 사업보고서에서 확인</t>
        </is>
      </c>
      <c r="K695" s="17" t="inlineStr">
        <is>
          <t>낮음</t>
        </is>
      </c>
      <c r="L695" s="17" t="inlineStr"/>
    </row>
    <row r="696">
      <c r="A696" s="17" t="inlineStr">
        <is>
          <t>C111</t>
        </is>
      </c>
      <c r="B696" s="17" t="inlineStr"/>
      <c r="C696" s="17" t="inlineStr">
        <is>
          <t>(주)한국호넥스</t>
        </is>
      </c>
      <c r="D696" s="17" t="inlineStr"/>
      <c r="E696" s="17" t="inlineStr">
        <is>
          <t>종업원수</t>
        </is>
      </c>
      <c r="F696" s="17" t="inlineStr">
        <is>
          <t>미확인</t>
        </is>
      </c>
      <c r="G696" s="17" t="inlineStr">
        <is>
          <t>웹조사 자동화 실패(세션한도)</t>
        </is>
      </c>
      <c r="H696" s="17" t="inlineStr">
        <is>
          <t>N</t>
        </is>
      </c>
      <c r="I696" s="17" t="inlineStr">
        <is>
          <t>DART/채용</t>
        </is>
      </c>
      <c r="J696" s="17" t="inlineStr">
        <is>
          <t>DART/채용에서 확인</t>
        </is>
      </c>
      <c r="K696" s="17" t="inlineStr">
        <is>
          <t>낮음</t>
        </is>
      </c>
      <c r="L696" s="17" t="inlineStr"/>
    </row>
    <row r="697">
      <c r="A697" s="17" t="inlineStr">
        <is>
          <t>C111</t>
        </is>
      </c>
      <c r="B697" s="17" t="inlineStr"/>
      <c r="C697" s="17" t="inlineStr">
        <is>
          <t>(주)한국호넥스</t>
        </is>
      </c>
      <c r="D697" s="17" t="inlineStr"/>
      <c r="E697" s="17" t="inlineStr">
        <is>
          <t>수출여부</t>
        </is>
      </c>
      <c r="F697" s="17" t="inlineStr">
        <is>
          <t>미확인</t>
        </is>
      </c>
      <c r="G697" s="17" t="inlineStr">
        <is>
          <t>웹조사 자동화 실패(세션한도)</t>
        </is>
      </c>
      <c r="H697" s="17" t="inlineStr">
        <is>
          <t>N</t>
        </is>
      </c>
      <c r="I697" s="17" t="inlineStr">
        <is>
          <t>회사 공시·홈페이지</t>
        </is>
      </c>
      <c r="J697" s="17" t="inlineStr">
        <is>
          <t>회사 공시·홈페이지에서 확인</t>
        </is>
      </c>
      <c r="K697" s="17" t="inlineStr">
        <is>
          <t>낮음</t>
        </is>
      </c>
      <c r="L697" s="17" t="inlineStr"/>
    </row>
    <row r="698">
      <c r="A698" s="17" t="inlineStr">
        <is>
          <t>C111</t>
        </is>
      </c>
      <c r="B698" s="17" t="inlineStr"/>
      <c r="C698" s="17" t="inlineStr">
        <is>
          <t>(주)한국호넥스</t>
        </is>
      </c>
      <c r="D698" s="17" t="inlineStr"/>
      <c r="E698" s="17" t="inlineStr">
        <is>
          <t>FDA·EMA 실사</t>
        </is>
      </c>
      <c r="F698" s="17" t="inlineStr">
        <is>
          <t>미확인</t>
        </is>
      </c>
      <c r="G698" s="17" t="inlineStr">
        <is>
          <t>웹조사 자동화 실패(세션한도)</t>
        </is>
      </c>
      <c r="H698" s="17" t="inlineStr">
        <is>
          <t>N</t>
        </is>
      </c>
      <c r="I698" s="17" t="inlineStr">
        <is>
          <t>FDA Inspection DB</t>
        </is>
      </c>
      <c r="J698" s="17" t="inlineStr">
        <is>
          <t>FDA Inspection DB에서 확인</t>
        </is>
      </c>
      <c r="K698" s="17" t="inlineStr">
        <is>
          <t>낮음</t>
        </is>
      </c>
      <c r="L698" s="17" t="inlineStr"/>
    </row>
    <row r="699">
      <c r="A699" s="17" t="inlineStr">
        <is>
          <t>C111</t>
        </is>
      </c>
      <c r="B699" s="17" t="inlineStr"/>
      <c r="C699" s="17" t="inlineStr">
        <is>
          <t>(주)한국호넥스</t>
        </is>
      </c>
      <c r="D699" s="17" t="inlineStr"/>
      <c r="E699" s="17" t="inlineStr">
        <is>
          <t>CMO·CDMO</t>
        </is>
      </c>
      <c r="F699" s="17" t="inlineStr">
        <is>
          <t>미확인</t>
        </is>
      </c>
      <c r="G699" s="17" t="inlineStr">
        <is>
          <t>웹조사 자동화 실패(세션한도)</t>
        </is>
      </c>
      <c r="H699" s="17" t="inlineStr">
        <is>
          <t>N</t>
        </is>
      </c>
      <c r="I699" s="17" t="inlineStr">
        <is>
          <t>회사 홈페이지</t>
        </is>
      </c>
      <c r="J699" s="17" t="inlineStr">
        <is>
          <t>회사 홈페이지에서 확인</t>
        </is>
      </c>
      <c r="K699" s="17" t="inlineStr">
        <is>
          <t>낮음</t>
        </is>
      </c>
      <c r="L699" s="17" t="inlineStr"/>
    </row>
    <row r="700">
      <c r="A700" s="17" t="inlineStr">
        <is>
          <t>C111</t>
        </is>
      </c>
      <c r="B700" s="17" t="inlineStr"/>
      <c r="C700" s="17" t="inlineStr">
        <is>
          <t>(주)한국호넥스</t>
        </is>
      </c>
      <c r="D700" s="17" t="inlineStr"/>
      <c r="E700" s="17" t="inlineStr">
        <is>
          <t>신공장·증설</t>
        </is>
      </c>
      <c r="F700" s="17" t="inlineStr">
        <is>
          <t>미확인</t>
        </is>
      </c>
      <c r="G700" s="17" t="inlineStr">
        <is>
          <t>웹조사 자동화 실패(세션한도)</t>
        </is>
      </c>
      <c r="H700" s="17" t="inlineStr">
        <is>
          <t>N</t>
        </is>
      </c>
      <c r="I700" s="17" t="inlineStr">
        <is>
          <t>언론·지자체 발표</t>
        </is>
      </c>
      <c r="J700" s="17" t="inlineStr">
        <is>
          <t>언론·지자체 발표에서 확인</t>
        </is>
      </c>
      <c r="K700" s="17" t="inlineStr">
        <is>
          <t>낮음</t>
        </is>
      </c>
      <c r="L700" s="17" t="inlineStr"/>
    </row>
    <row r="701">
      <c r="A701" s="17" t="inlineStr">
        <is>
          <t>C112</t>
        </is>
      </c>
      <c r="B701" s="17" t="inlineStr"/>
      <c r="C701" s="17" t="inlineStr">
        <is>
          <t>(주)제이에스산업가스</t>
        </is>
      </c>
      <c r="D701" s="17" t="inlineStr"/>
      <c r="E701" s="17" t="inlineStr">
        <is>
          <t>최근매출(억원)</t>
        </is>
      </c>
      <c r="F701" s="17" t="inlineStr">
        <is>
          <t>미확인</t>
        </is>
      </c>
      <c r="G701" s="17" t="inlineStr">
        <is>
          <t>웹조사 자동화 실패(세션한도)</t>
        </is>
      </c>
      <c r="H701" s="17" t="inlineStr">
        <is>
          <t>N</t>
        </is>
      </c>
      <c r="I701" s="17" t="inlineStr">
        <is>
          <t>DART 사업보고서</t>
        </is>
      </c>
      <c r="J701" s="17" t="inlineStr">
        <is>
          <t>DART 사업보고서에서 확인</t>
        </is>
      </c>
      <c r="K701" s="17" t="inlineStr">
        <is>
          <t>낮음</t>
        </is>
      </c>
      <c r="L701" s="17" t="inlineStr"/>
    </row>
    <row r="702">
      <c r="A702" s="17" t="inlineStr">
        <is>
          <t>C112</t>
        </is>
      </c>
      <c r="B702" s="17" t="inlineStr"/>
      <c r="C702" s="17" t="inlineStr">
        <is>
          <t>(주)제이에스산업가스</t>
        </is>
      </c>
      <c r="D702" s="17" t="inlineStr"/>
      <c r="E702" s="17" t="inlineStr">
        <is>
          <t>종업원수</t>
        </is>
      </c>
      <c r="F702" s="17" t="inlineStr">
        <is>
          <t>미확인</t>
        </is>
      </c>
      <c r="G702" s="17" t="inlineStr">
        <is>
          <t>웹조사 자동화 실패(세션한도)</t>
        </is>
      </c>
      <c r="H702" s="17" t="inlineStr">
        <is>
          <t>N</t>
        </is>
      </c>
      <c r="I702" s="17" t="inlineStr">
        <is>
          <t>DART/채용</t>
        </is>
      </c>
      <c r="J702" s="17" t="inlineStr">
        <is>
          <t>DART/채용에서 확인</t>
        </is>
      </c>
      <c r="K702" s="17" t="inlineStr">
        <is>
          <t>낮음</t>
        </is>
      </c>
      <c r="L702" s="17" t="inlineStr"/>
    </row>
    <row r="703">
      <c r="A703" s="17" t="inlineStr">
        <is>
          <t>C112</t>
        </is>
      </c>
      <c r="B703" s="17" t="inlineStr"/>
      <c r="C703" s="17" t="inlineStr">
        <is>
          <t>(주)제이에스산업가스</t>
        </is>
      </c>
      <c r="D703" s="17" t="inlineStr"/>
      <c r="E703" s="17" t="inlineStr">
        <is>
          <t>수출여부</t>
        </is>
      </c>
      <c r="F703" s="17" t="inlineStr">
        <is>
          <t>미확인</t>
        </is>
      </c>
      <c r="G703" s="17" t="inlineStr">
        <is>
          <t>웹조사 자동화 실패(세션한도)</t>
        </is>
      </c>
      <c r="H703" s="17" t="inlineStr">
        <is>
          <t>N</t>
        </is>
      </c>
      <c r="I703" s="17" t="inlineStr">
        <is>
          <t>회사 공시·홈페이지</t>
        </is>
      </c>
      <c r="J703" s="17" t="inlineStr">
        <is>
          <t>회사 공시·홈페이지에서 확인</t>
        </is>
      </c>
      <c r="K703" s="17" t="inlineStr">
        <is>
          <t>낮음</t>
        </is>
      </c>
      <c r="L703" s="17" t="inlineStr"/>
    </row>
    <row r="704">
      <c r="A704" s="17" t="inlineStr">
        <is>
          <t>C112</t>
        </is>
      </c>
      <c r="B704" s="17" t="inlineStr"/>
      <c r="C704" s="17" t="inlineStr">
        <is>
          <t>(주)제이에스산업가스</t>
        </is>
      </c>
      <c r="D704" s="17" t="inlineStr"/>
      <c r="E704" s="17" t="inlineStr">
        <is>
          <t>FDA·EMA 실사</t>
        </is>
      </c>
      <c r="F704" s="17" t="inlineStr">
        <is>
          <t>미확인</t>
        </is>
      </c>
      <c r="G704" s="17" t="inlineStr">
        <is>
          <t>웹조사 자동화 실패(세션한도)</t>
        </is>
      </c>
      <c r="H704" s="17" t="inlineStr">
        <is>
          <t>N</t>
        </is>
      </c>
      <c r="I704" s="17" t="inlineStr">
        <is>
          <t>FDA Inspection DB</t>
        </is>
      </c>
      <c r="J704" s="17" t="inlineStr">
        <is>
          <t>FDA Inspection DB에서 확인</t>
        </is>
      </c>
      <c r="K704" s="17" t="inlineStr">
        <is>
          <t>낮음</t>
        </is>
      </c>
      <c r="L704" s="17" t="inlineStr"/>
    </row>
    <row r="705">
      <c r="A705" s="17" t="inlineStr">
        <is>
          <t>C112</t>
        </is>
      </c>
      <c r="B705" s="17" t="inlineStr"/>
      <c r="C705" s="17" t="inlineStr">
        <is>
          <t>(주)제이에스산업가스</t>
        </is>
      </c>
      <c r="D705" s="17" t="inlineStr"/>
      <c r="E705" s="17" t="inlineStr">
        <is>
          <t>CMO·CDMO</t>
        </is>
      </c>
      <c r="F705" s="17" t="inlineStr">
        <is>
          <t>미확인</t>
        </is>
      </c>
      <c r="G705" s="17" t="inlineStr">
        <is>
          <t>웹조사 자동화 실패(세션한도)</t>
        </is>
      </c>
      <c r="H705" s="17" t="inlineStr">
        <is>
          <t>N</t>
        </is>
      </c>
      <c r="I705" s="17" t="inlineStr">
        <is>
          <t>회사 홈페이지</t>
        </is>
      </c>
      <c r="J705" s="17" t="inlineStr">
        <is>
          <t>회사 홈페이지에서 확인</t>
        </is>
      </c>
      <c r="K705" s="17" t="inlineStr">
        <is>
          <t>낮음</t>
        </is>
      </c>
      <c r="L705" s="17" t="inlineStr"/>
    </row>
    <row r="706">
      <c r="A706" s="17" t="inlineStr">
        <is>
          <t>C112</t>
        </is>
      </c>
      <c r="B706" s="17" t="inlineStr"/>
      <c r="C706" s="17" t="inlineStr">
        <is>
          <t>(주)제이에스산업가스</t>
        </is>
      </c>
      <c r="D706" s="17" t="inlineStr"/>
      <c r="E706" s="17" t="inlineStr">
        <is>
          <t>신공장·증설</t>
        </is>
      </c>
      <c r="F706" s="17" t="inlineStr">
        <is>
          <t>미확인</t>
        </is>
      </c>
      <c r="G706" s="17" t="inlineStr">
        <is>
          <t>웹조사 자동화 실패(세션한도)</t>
        </is>
      </c>
      <c r="H706" s="17" t="inlineStr">
        <is>
          <t>N</t>
        </is>
      </c>
      <c r="I706" s="17" t="inlineStr">
        <is>
          <t>언론·지자체 발표</t>
        </is>
      </c>
      <c r="J706" s="17" t="inlineStr">
        <is>
          <t>언론·지자체 발표에서 확인</t>
        </is>
      </c>
      <c r="K706" s="17" t="inlineStr">
        <is>
          <t>낮음</t>
        </is>
      </c>
      <c r="L706" s="17" t="inlineStr"/>
    </row>
    <row r="707">
      <c r="A707" s="17" t="inlineStr">
        <is>
          <t>C113</t>
        </is>
      </c>
      <c r="B707" s="17" t="inlineStr"/>
      <c r="C707" s="17" t="inlineStr">
        <is>
          <t>㈜비알팜</t>
        </is>
      </c>
      <c r="D707" s="17" t="inlineStr"/>
      <c r="E707" s="17" t="inlineStr">
        <is>
          <t>최근매출(억원)</t>
        </is>
      </c>
      <c r="F707" s="17" t="inlineStr">
        <is>
          <t>미확인</t>
        </is>
      </c>
      <c r="G707" s="17" t="inlineStr">
        <is>
          <t>웹조사 자동화 실패(세션한도)</t>
        </is>
      </c>
      <c r="H707" s="17" t="inlineStr">
        <is>
          <t>N</t>
        </is>
      </c>
      <c r="I707" s="17" t="inlineStr">
        <is>
          <t>DART 사업보고서</t>
        </is>
      </c>
      <c r="J707" s="17" t="inlineStr">
        <is>
          <t>DART 사업보고서에서 확인</t>
        </is>
      </c>
      <c r="K707" s="17" t="inlineStr">
        <is>
          <t>낮음</t>
        </is>
      </c>
      <c r="L707" s="17" t="inlineStr"/>
    </row>
    <row r="708">
      <c r="A708" s="17" t="inlineStr">
        <is>
          <t>C113</t>
        </is>
      </c>
      <c r="B708" s="17" t="inlineStr"/>
      <c r="C708" s="17" t="inlineStr">
        <is>
          <t>㈜비알팜</t>
        </is>
      </c>
      <c r="D708" s="17" t="inlineStr"/>
      <c r="E708" s="17" t="inlineStr">
        <is>
          <t>종업원수</t>
        </is>
      </c>
      <c r="F708" s="17" t="inlineStr">
        <is>
          <t>미확인</t>
        </is>
      </c>
      <c r="G708" s="17" t="inlineStr">
        <is>
          <t>웹조사 자동화 실패(세션한도)</t>
        </is>
      </c>
      <c r="H708" s="17" t="inlineStr">
        <is>
          <t>N</t>
        </is>
      </c>
      <c r="I708" s="17" t="inlineStr">
        <is>
          <t>DART/채용</t>
        </is>
      </c>
      <c r="J708" s="17" t="inlineStr">
        <is>
          <t>DART/채용에서 확인</t>
        </is>
      </c>
      <c r="K708" s="17" t="inlineStr">
        <is>
          <t>낮음</t>
        </is>
      </c>
      <c r="L708" s="17" t="inlineStr"/>
    </row>
    <row r="709">
      <c r="A709" s="17" t="inlineStr">
        <is>
          <t>C113</t>
        </is>
      </c>
      <c r="B709" s="17" t="inlineStr"/>
      <c r="C709" s="17" t="inlineStr">
        <is>
          <t>㈜비알팜</t>
        </is>
      </c>
      <c r="D709" s="17" t="inlineStr"/>
      <c r="E709" s="17" t="inlineStr">
        <is>
          <t>수출여부</t>
        </is>
      </c>
      <c r="F709" s="17" t="inlineStr">
        <is>
          <t>미확인</t>
        </is>
      </c>
      <c r="G709" s="17" t="inlineStr">
        <is>
          <t>웹조사 자동화 실패(세션한도)</t>
        </is>
      </c>
      <c r="H709" s="17" t="inlineStr">
        <is>
          <t>N</t>
        </is>
      </c>
      <c r="I709" s="17" t="inlineStr">
        <is>
          <t>회사 공시·홈페이지</t>
        </is>
      </c>
      <c r="J709" s="17" t="inlineStr">
        <is>
          <t>회사 공시·홈페이지에서 확인</t>
        </is>
      </c>
      <c r="K709" s="17" t="inlineStr">
        <is>
          <t>낮음</t>
        </is>
      </c>
      <c r="L709" s="17" t="inlineStr"/>
    </row>
    <row r="710">
      <c r="A710" s="17" t="inlineStr">
        <is>
          <t>C113</t>
        </is>
      </c>
      <c r="B710" s="17" t="inlineStr"/>
      <c r="C710" s="17" t="inlineStr">
        <is>
          <t>㈜비알팜</t>
        </is>
      </c>
      <c r="D710" s="17" t="inlineStr"/>
      <c r="E710" s="17" t="inlineStr">
        <is>
          <t>FDA·EMA 실사</t>
        </is>
      </c>
      <c r="F710" s="17" t="inlineStr">
        <is>
          <t>미확인</t>
        </is>
      </c>
      <c r="G710" s="17" t="inlineStr">
        <is>
          <t>웹조사 자동화 실패(세션한도)</t>
        </is>
      </c>
      <c r="H710" s="17" t="inlineStr">
        <is>
          <t>N</t>
        </is>
      </c>
      <c r="I710" s="17" t="inlineStr">
        <is>
          <t>FDA Inspection DB</t>
        </is>
      </c>
      <c r="J710" s="17" t="inlineStr">
        <is>
          <t>FDA Inspection DB에서 확인</t>
        </is>
      </c>
      <c r="K710" s="17" t="inlineStr">
        <is>
          <t>낮음</t>
        </is>
      </c>
      <c r="L710" s="17" t="inlineStr"/>
    </row>
    <row r="711">
      <c r="A711" s="17" t="inlineStr">
        <is>
          <t>C113</t>
        </is>
      </c>
      <c r="B711" s="17" t="inlineStr"/>
      <c r="C711" s="17" t="inlineStr">
        <is>
          <t>㈜비알팜</t>
        </is>
      </c>
      <c r="D711" s="17" t="inlineStr"/>
      <c r="E711" s="17" t="inlineStr">
        <is>
          <t>CMO·CDMO</t>
        </is>
      </c>
      <c r="F711" s="17" t="inlineStr">
        <is>
          <t>미확인</t>
        </is>
      </c>
      <c r="G711" s="17" t="inlineStr">
        <is>
          <t>웹조사 자동화 실패(세션한도)</t>
        </is>
      </c>
      <c r="H711" s="17" t="inlineStr">
        <is>
          <t>N</t>
        </is>
      </c>
      <c r="I711" s="17" t="inlineStr">
        <is>
          <t>회사 홈페이지</t>
        </is>
      </c>
      <c r="J711" s="17" t="inlineStr">
        <is>
          <t>회사 홈페이지에서 확인</t>
        </is>
      </c>
      <c r="K711" s="17" t="inlineStr">
        <is>
          <t>낮음</t>
        </is>
      </c>
      <c r="L711" s="17" t="inlineStr"/>
    </row>
    <row r="712">
      <c r="A712" s="17" t="inlineStr">
        <is>
          <t>C113</t>
        </is>
      </c>
      <c r="B712" s="17" t="inlineStr"/>
      <c r="C712" s="17" t="inlineStr">
        <is>
          <t>㈜비알팜</t>
        </is>
      </c>
      <c r="D712" s="17" t="inlineStr"/>
      <c r="E712" s="17" t="inlineStr">
        <is>
          <t>신공장·증설</t>
        </is>
      </c>
      <c r="F712" s="17" t="inlineStr">
        <is>
          <t>미확인</t>
        </is>
      </c>
      <c r="G712" s="17" t="inlineStr">
        <is>
          <t>웹조사 자동화 실패(세션한도)</t>
        </is>
      </c>
      <c r="H712" s="17" t="inlineStr">
        <is>
          <t>N</t>
        </is>
      </c>
      <c r="I712" s="17" t="inlineStr">
        <is>
          <t>언론·지자체 발표</t>
        </is>
      </c>
      <c r="J712" s="17" t="inlineStr">
        <is>
          <t>언론·지자체 발표에서 확인</t>
        </is>
      </c>
      <c r="K712" s="17" t="inlineStr">
        <is>
          <t>낮음</t>
        </is>
      </c>
      <c r="L712" s="17" t="inlineStr"/>
    </row>
    <row r="713">
      <c r="A713" s="17" t="inlineStr">
        <is>
          <t>C113</t>
        </is>
      </c>
      <c r="B713" s="17" t="inlineStr"/>
      <c r="C713" s="17" t="inlineStr">
        <is>
          <t>㈜비알팜</t>
        </is>
      </c>
      <c r="D713" s="17" t="inlineStr"/>
      <c r="E713" s="17" t="inlineStr">
        <is>
          <t>대표전화</t>
        </is>
      </c>
      <c r="F713" s="17" t="inlineStr">
        <is>
          <t>미확인</t>
        </is>
      </c>
      <c r="G713" s="17" t="inlineStr">
        <is>
          <t>제조소상세 미매칭</t>
        </is>
      </c>
      <c r="H713" s="17" t="inlineStr">
        <is>
          <t>Y</t>
        </is>
      </c>
      <c r="I713" s="17" t="inlineStr">
        <is>
          <t>회사 홈페이지</t>
        </is>
      </c>
      <c r="J713" s="17" t="inlineStr">
        <is>
          <t>홈페이지에서 대표번호 확인</t>
        </is>
      </c>
      <c r="K713" s="17" t="inlineStr">
        <is>
          <t>낮음</t>
        </is>
      </c>
      <c r="L713" s="17" t="inlineStr"/>
    </row>
    <row r="714">
      <c r="A714" s="17" t="inlineStr">
        <is>
          <t>C114</t>
        </is>
      </c>
      <c r="B714" s="17" t="inlineStr"/>
      <c r="C714" s="17" t="inlineStr">
        <is>
          <t>삼양화학공업(주)</t>
        </is>
      </c>
      <c r="D714" s="17" t="inlineStr"/>
      <c r="E714" s="17" t="inlineStr">
        <is>
          <t>최근매출(억원)</t>
        </is>
      </c>
      <c r="F714" s="17" t="inlineStr">
        <is>
          <t>미확인</t>
        </is>
      </c>
      <c r="G714" s="17" t="inlineStr">
        <is>
          <t>웹조사 자동화 실패(세션한도)</t>
        </is>
      </c>
      <c r="H714" s="17" t="inlineStr">
        <is>
          <t>N</t>
        </is>
      </c>
      <c r="I714" s="17" t="inlineStr">
        <is>
          <t>DART 사업보고서</t>
        </is>
      </c>
      <c r="J714" s="17" t="inlineStr">
        <is>
          <t>DART 사업보고서에서 확인</t>
        </is>
      </c>
      <c r="K714" s="17" t="inlineStr">
        <is>
          <t>낮음</t>
        </is>
      </c>
      <c r="L714" s="17" t="inlineStr"/>
    </row>
    <row r="715">
      <c r="A715" s="17" t="inlineStr">
        <is>
          <t>C114</t>
        </is>
      </c>
      <c r="B715" s="17" t="inlineStr"/>
      <c r="C715" s="17" t="inlineStr">
        <is>
          <t>삼양화학공업(주)</t>
        </is>
      </c>
      <c r="D715" s="17" t="inlineStr"/>
      <c r="E715" s="17" t="inlineStr">
        <is>
          <t>종업원수</t>
        </is>
      </c>
      <c r="F715" s="17" t="inlineStr">
        <is>
          <t>미확인</t>
        </is>
      </c>
      <c r="G715" s="17" t="inlineStr">
        <is>
          <t>웹조사 자동화 실패(세션한도)</t>
        </is>
      </c>
      <c r="H715" s="17" t="inlineStr">
        <is>
          <t>N</t>
        </is>
      </c>
      <c r="I715" s="17" t="inlineStr">
        <is>
          <t>DART/채용</t>
        </is>
      </c>
      <c r="J715" s="17" t="inlineStr">
        <is>
          <t>DART/채용에서 확인</t>
        </is>
      </c>
      <c r="K715" s="17" t="inlineStr">
        <is>
          <t>낮음</t>
        </is>
      </c>
      <c r="L715" s="17" t="inlineStr"/>
    </row>
    <row r="716">
      <c r="A716" s="17" t="inlineStr">
        <is>
          <t>C114</t>
        </is>
      </c>
      <c r="B716" s="17" t="inlineStr"/>
      <c r="C716" s="17" t="inlineStr">
        <is>
          <t>삼양화학공업(주)</t>
        </is>
      </c>
      <c r="D716" s="17" t="inlineStr"/>
      <c r="E716" s="17" t="inlineStr">
        <is>
          <t>수출여부</t>
        </is>
      </c>
      <c r="F716" s="17" t="inlineStr">
        <is>
          <t>미확인</t>
        </is>
      </c>
      <c r="G716" s="17" t="inlineStr">
        <is>
          <t>웹조사 자동화 실패(세션한도)</t>
        </is>
      </c>
      <c r="H716" s="17" t="inlineStr">
        <is>
          <t>N</t>
        </is>
      </c>
      <c r="I716" s="17" t="inlineStr">
        <is>
          <t>회사 공시·홈페이지</t>
        </is>
      </c>
      <c r="J716" s="17" t="inlineStr">
        <is>
          <t>회사 공시·홈페이지에서 확인</t>
        </is>
      </c>
      <c r="K716" s="17" t="inlineStr">
        <is>
          <t>낮음</t>
        </is>
      </c>
      <c r="L716" s="17" t="inlineStr"/>
    </row>
    <row r="717">
      <c r="A717" s="17" t="inlineStr">
        <is>
          <t>C114</t>
        </is>
      </c>
      <c r="B717" s="17" t="inlineStr"/>
      <c r="C717" s="17" t="inlineStr">
        <is>
          <t>삼양화학공업(주)</t>
        </is>
      </c>
      <c r="D717" s="17" t="inlineStr"/>
      <c r="E717" s="17" t="inlineStr">
        <is>
          <t>FDA·EMA 실사</t>
        </is>
      </c>
      <c r="F717" s="17" t="inlineStr">
        <is>
          <t>미확인</t>
        </is>
      </c>
      <c r="G717" s="17" t="inlineStr">
        <is>
          <t>웹조사 자동화 실패(세션한도)</t>
        </is>
      </c>
      <c r="H717" s="17" t="inlineStr">
        <is>
          <t>N</t>
        </is>
      </c>
      <c r="I717" s="17" t="inlineStr">
        <is>
          <t>FDA Inspection DB</t>
        </is>
      </c>
      <c r="J717" s="17" t="inlineStr">
        <is>
          <t>FDA Inspection DB에서 확인</t>
        </is>
      </c>
      <c r="K717" s="17" t="inlineStr">
        <is>
          <t>낮음</t>
        </is>
      </c>
      <c r="L717" s="17" t="inlineStr"/>
    </row>
    <row r="718">
      <c r="A718" s="17" t="inlineStr">
        <is>
          <t>C114</t>
        </is>
      </c>
      <c r="B718" s="17" t="inlineStr"/>
      <c r="C718" s="17" t="inlineStr">
        <is>
          <t>삼양화학공업(주)</t>
        </is>
      </c>
      <c r="D718" s="17" t="inlineStr"/>
      <c r="E718" s="17" t="inlineStr">
        <is>
          <t>CMO·CDMO</t>
        </is>
      </c>
      <c r="F718" s="17" t="inlineStr">
        <is>
          <t>미확인</t>
        </is>
      </c>
      <c r="G718" s="17" t="inlineStr">
        <is>
          <t>웹조사 자동화 실패(세션한도)</t>
        </is>
      </c>
      <c r="H718" s="17" t="inlineStr">
        <is>
          <t>N</t>
        </is>
      </c>
      <c r="I718" s="17" t="inlineStr">
        <is>
          <t>회사 홈페이지</t>
        </is>
      </c>
      <c r="J718" s="17" t="inlineStr">
        <is>
          <t>회사 홈페이지에서 확인</t>
        </is>
      </c>
      <c r="K718" s="17" t="inlineStr">
        <is>
          <t>낮음</t>
        </is>
      </c>
      <c r="L718" s="17" t="inlineStr"/>
    </row>
    <row r="719">
      <c r="A719" s="17" t="inlineStr">
        <is>
          <t>C114</t>
        </is>
      </c>
      <c r="B719" s="17" t="inlineStr"/>
      <c r="C719" s="17" t="inlineStr">
        <is>
          <t>삼양화학공업(주)</t>
        </is>
      </c>
      <c r="D719" s="17" t="inlineStr"/>
      <c r="E719" s="17" t="inlineStr">
        <is>
          <t>신공장·증설</t>
        </is>
      </c>
      <c r="F719" s="17" t="inlineStr">
        <is>
          <t>미확인</t>
        </is>
      </c>
      <c r="G719" s="17" t="inlineStr">
        <is>
          <t>웹조사 자동화 실패(세션한도)</t>
        </is>
      </c>
      <c r="H719" s="17" t="inlineStr">
        <is>
          <t>N</t>
        </is>
      </c>
      <c r="I719" s="17" t="inlineStr">
        <is>
          <t>언론·지자체 발표</t>
        </is>
      </c>
      <c r="J719" s="17" t="inlineStr">
        <is>
          <t>언론·지자체 발표에서 확인</t>
        </is>
      </c>
      <c r="K719" s="17" t="inlineStr">
        <is>
          <t>낮음</t>
        </is>
      </c>
      <c r="L719" s="17" t="inlineStr"/>
    </row>
    <row r="720">
      <c r="A720" s="17" t="inlineStr">
        <is>
          <t>C114</t>
        </is>
      </c>
      <c r="B720" s="17" t="inlineStr"/>
      <c r="C720" s="17" t="inlineStr">
        <is>
          <t>삼양화학공업(주)</t>
        </is>
      </c>
      <c r="D720" s="17" t="inlineStr"/>
      <c r="E720" s="17" t="inlineStr">
        <is>
          <t>대표전화</t>
        </is>
      </c>
      <c r="F720" s="17" t="inlineStr">
        <is>
          <t>미확인</t>
        </is>
      </c>
      <c r="G720" s="17" t="inlineStr">
        <is>
          <t>제조소상세 미매칭</t>
        </is>
      </c>
      <c r="H720" s="17" t="inlineStr">
        <is>
          <t>Y</t>
        </is>
      </c>
      <c r="I720" s="17" t="inlineStr">
        <is>
          <t>회사 홈페이지</t>
        </is>
      </c>
      <c r="J720" s="17" t="inlineStr">
        <is>
          <t>홈페이지에서 대표번호 확인</t>
        </is>
      </c>
      <c r="K720" s="17" t="inlineStr">
        <is>
          <t>낮음</t>
        </is>
      </c>
      <c r="L720" s="17" t="inlineStr"/>
    </row>
    <row r="721">
      <c r="A721" s="17" t="inlineStr">
        <is>
          <t>C115</t>
        </is>
      </c>
      <c r="B721" s="17" t="inlineStr"/>
      <c r="C721" s="17" t="inlineStr">
        <is>
          <t>에스케이바이오사이언스(주)</t>
        </is>
      </c>
      <c r="D721" s="17" t="inlineStr"/>
      <c r="E721" s="17" t="inlineStr">
        <is>
          <t>최근매출(억원)</t>
        </is>
      </c>
      <c r="F721" s="17" t="inlineStr">
        <is>
          <t>미확인</t>
        </is>
      </c>
      <c r="G721" s="17" t="inlineStr">
        <is>
          <t>웹조사 자동화 실패(세션한도)</t>
        </is>
      </c>
      <c r="H721" s="17" t="inlineStr">
        <is>
          <t>N</t>
        </is>
      </c>
      <c r="I721" s="17" t="inlineStr">
        <is>
          <t>DART 사업보고서</t>
        </is>
      </c>
      <c r="J721" s="17" t="inlineStr">
        <is>
          <t>DART 사업보고서에서 확인</t>
        </is>
      </c>
      <c r="K721" s="17" t="inlineStr">
        <is>
          <t>낮음</t>
        </is>
      </c>
      <c r="L721" s="17" t="inlineStr"/>
    </row>
    <row r="722">
      <c r="A722" s="17" t="inlineStr">
        <is>
          <t>C115</t>
        </is>
      </c>
      <c r="B722" s="17" t="inlineStr"/>
      <c r="C722" s="17" t="inlineStr">
        <is>
          <t>에스케이바이오사이언스(주)</t>
        </is>
      </c>
      <c r="D722" s="17" t="inlineStr"/>
      <c r="E722" s="17" t="inlineStr">
        <is>
          <t>종업원수</t>
        </is>
      </c>
      <c r="F722" s="17" t="inlineStr">
        <is>
          <t>미확인</t>
        </is>
      </c>
      <c r="G722" s="17" t="inlineStr">
        <is>
          <t>웹조사 자동화 실패(세션한도)</t>
        </is>
      </c>
      <c r="H722" s="17" t="inlineStr">
        <is>
          <t>N</t>
        </is>
      </c>
      <c r="I722" s="17" t="inlineStr">
        <is>
          <t>DART/채용</t>
        </is>
      </c>
      <c r="J722" s="17" t="inlineStr">
        <is>
          <t>DART/채용에서 확인</t>
        </is>
      </c>
      <c r="K722" s="17" t="inlineStr">
        <is>
          <t>낮음</t>
        </is>
      </c>
      <c r="L722" s="17" t="inlineStr"/>
    </row>
    <row r="723">
      <c r="A723" s="17" t="inlineStr">
        <is>
          <t>C115</t>
        </is>
      </c>
      <c r="B723" s="17" t="inlineStr"/>
      <c r="C723" s="17" t="inlineStr">
        <is>
          <t>에스케이바이오사이언스(주)</t>
        </is>
      </c>
      <c r="D723" s="17" t="inlineStr"/>
      <c r="E723" s="17" t="inlineStr">
        <is>
          <t>수출여부</t>
        </is>
      </c>
      <c r="F723" s="17" t="inlineStr">
        <is>
          <t>미확인</t>
        </is>
      </c>
      <c r="G723" s="17" t="inlineStr">
        <is>
          <t>웹조사 자동화 실패(세션한도)</t>
        </is>
      </c>
      <c r="H723" s="17" t="inlineStr">
        <is>
          <t>N</t>
        </is>
      </c>
      <c r="I723" s="17" t="inlineStr">
        <is>
          <t>회사 공시·홈페이지</t>
        </is>
      </c>
      <c r="J723" s="17" t="inlineStr">
        <is>
          <t>회사 공시·홈페이지에서 확인</t>
        </is>
      </c>
      <c r="K723" s="17" t="inlineStr">
        <is>
          <t>낮음</t>
        </is>
      </c>
      <c r="L723" s="17" t="inlineStr"/>
    </row>
    <row r="724">
      <c r="A724" s="17" t="inlineStr">
        <is>
          <t>C115</t>
        </is>
      </c>
      <c r="B724" s="17" t="inlineStr"/>
      <c r="C724" s="17" t="inlineStr">
        <is>
          <t>에스케이바이오사이언스(주)</t>
        </is>
      </c>
      <c r="D724" s="17" t="inlineStr"/>
      <c r="E724" s="17" t="inlineStr">
        <is>
          <t>FDA·EMA 실사</t>
        </is>
      </c>
      <c r="F724" s="17" t="inlineStr">
        <is>
          <t>미확인</t>
        </is>
      </c>
      <c r="G724" s="17" t="inlineStr">
        <is>
          <t>웹조사 자동화 실패(세션한도)</t>
        </is>
      </c>
      <c r="H724" s="17" t="inlineStr">
        <is>
          <t>N</t>
        </is>
      </c>
      <c r="I724" s="17" t="inlineStr">
        <is>
          <t>FDA Inspection DB</t>
        </is>
      </c>
      <c r="J724" s="17" t="inlineStr">
        <is>
          <t>FDA Inspection DB에서 확인</t>
        </is>
      </c>
      <c r="K724" s="17" t="inlineStr">
        <is>
          <t>낮음</t>
        </is>
      </c>
      <c r="L724" s="17" t="inlineStr"/>
    </row>
    <row r="725">
      <c r="A725" s="17" t="inlineStr">
        <is>
          <t>C115</t>
        </is>
      </c>
      <c r="B725" s="17" t="inlineStr"/>
      <c r="C725" s="17" t="inlineStr">
        <is>
          <t>에스케이바이오사이언스(주)</t>
        </is>
      </c>
      <c r="D725" s="17" t="inlineStr"/>
      <c r="E725" s="17" t="inlineStr">
        <is>
          <t>CMO·CDMO</t>
        </is>
      </c>
      <c r="F725" s="17" t="inlineStr">
        <is>
          <t>미확인</t>
        </is>
      </c>
      <c r="G725" s="17" t="inlineStr">
        <is>
          <t>웹조사 자동화 실패(세션한도)</t>
        </is>
      </c>
      <c r="H725" s="17" t="inlineStr">
        <is>
          <t>N</t>
        </is>
      </c>
      <c r="I725" s="17" t="inlineStr">
        <is>
          <t>회사 홈페이지</t>
        </is>
      </c>
      <c r="J725" s="17" t="inlineStr">
        <is>
          <t>회사 홈페이지에서 확인</t>
        </is>
      </c>
      <c r="K725" s="17" t="inlineStr">
        <is>
          <t>낮음</t>
        </is>
      </c>
      <c r="L725" s="17" t="inlineStr"/>
    </row>
    <row r="726">
      <c r="A726" s="17" t="inlineStr">
        <is>
          <t>C115</t>
        </is>
      </c>
      <c r="B726" s="17" t="inlineStr"/>
      <c r="C726" s="17" t="inlineStr">
        <is>
          <t>에스케이바이오사이언스(주)</t>
        </is>
      </c>
      <c r="D726" s="17" t="inlineStr"/>
      <c r="E726" s="17" t="inlineStr">
        <is>
          <t>신공장·증설</t>
        </is>
      </c>
      <c r="F726" s="17" t="inlineStr">
        <is>
          <t>미확인</t>
        </is>
      </c>
      <c r="G726" s="17" t="inlineStr">
        <is>
          <t>웹조사 자동화 실패(세션한도)</t>
        </is>
      </c>
      <c r="H726" s="17" t="inlineStr">
        <is>
          <t>N</t>
        </is>
      </c>
      <c r="I726" s="17" t="inlineStr">
        <is>
          <t>언론·지자체 발표</t>
        </is>
      </c>
      <c r="J726" s="17" t="inlineStr">
        <is>
          <t>언론·지자체 발표에서 확인</t>
        </is>
      </c>
      <c r="K726" s="17" t="inlineStr">
        <is>
          <t>낮음</t>
        </is>
      </c>
      <c r="L726" s="17" t="inlineStr"/>
    </row>
    <row r="727">
      <c r="A727" s="17" t="inlineStr">
        <is>
          <t>C115</t>
        </is>
      </c>
      <c r="B727" s="17" t="inlineStr"/>
      <c r="C727" s="17" t="inlineStr">
        <is>
          <t>에스케이바이오사이언스(주)</t>
        </is>
      </c>
      <c r="D727" s="17" t="inlineStr"/>
      <c r="E727" s="17" t="inlineStr">
        <is>
          <t>대표전화</t>
        </is>
      </c>
      <c r="F727" s="17" t="inlineStr">
        <is>
          <t>미확인</t>
        </is>
      </c>
      <c r="G727" s="17" t="inlineStr">
        <is>
          <t>제조소상세 미매칭</t>
        </is>
      </c>
      <c r="H727" s="17" t="inlineStr">
        <is>
          <t>Y</t>
        </is>
      </c>
      <c r="I727" s="17" t="inlineStr">
        <is>
          <t>회사 홈페이지</t>
        </is>
      </c>
      <c r="J727" s="17" t="inlineStr">
        <is>
          <t>홈페이지에서 대표번호 확인</t>
        </is>
      </c>
      <c r="K727" s="17" t="inlineStr">
        <is>
          <t>낮음</t>
        </is>
      </c>
      <c r="L727" s="17" t="inlineStr"/>
    </row>
    <row r="728">
      <c r="A728" s="17" t="inlineStr">
        <is>
          <t>C116</t>
        </is>
      </c>
      <c r="B728" s="17" t="inlineStr"/>
      <c r="C728" s="17" t="inlineStr">
        <is>
          <t>(주)파마킹</t>
        </is>
      </c>
      <c r="D728" s="17" t="inlineStr"/>
      <c r="E728" s="17" t="inlineStr">
        <is>
          <t>최근매출(억원)</t>
        </is>
      </c>
      <c r="F728" s="17" t="inlineStr">
        <is>
          <t>미확인</t>
        </is>
      </c>
      <c r="G728" s="17" t="inlineStr">
        <is>
          <t>웹조사 자동화 실패(세션한도)</t>
        </is>
      </c>
      <c r="H728" s="17" t="inlineStr">
        <is>
          <t>N</t>
        </is>
      </c>
      <c r="I728" s="17" t="inlineStr">
        <is>
          <t>DART 사업보고서</t>
        </is>
      </c>
      <c r="J728" s="17" t="inlineStr">
        <is>
          <t>DART 사업보고서에서 확인</t>
        </is>
      </c>
      <c r="K728" s="17" t="inlineStr">
        <is>
          <t>낮음</t>
        </is>
      </c>
      <c r="L728" s="17" t="inlineStr"/>
    </row>
    <row r="729">
      <c r="A729" s="17" t="inlineStr">
        <is>
          <t>C116</t>
        </is>
      </c>
      <c r="B729" s="17" t="inlineStr"/>
      <c r="C729" s="17" t="inlineStr">
        <is>
          <t>(주)파마킹</t>
        </is>
      </c>
      <c r="D729" s="17" t="inlineStr"/>
      <c r="E729" s="17" t="inlineStr">
        <is>
          <t>종업원수</t>
        </is>
      </c>
      <c r="F729" s="17" t="inlineStr">
        <is>
          <t>미확인</t>
        </is>
      </c>
      <c r="G729" s="17" t="inlineStr">
        <is>
          <t>웹조사 자동화 실패(세션한도)</t>
        </is>
      </c>
      <c r="H729" s="17" t="inlineStr">
        <is>
          <t>N</t>
        </is>
      </c>
      <c r="I729" s="17" t="inlineStr">
        <is>
          <t>DART/채용</t>
        </is>
      </c>
      <c r="J729" s="17" t="inlineStr">
        <is>
          <t>DART/채용에서 확인</t>
        </is>
      </c>
      <c r="K729" s="17" t="inlineStr">
        <is>
          <t>낮음</t>
        </is>
      </c>
      <c r="L729" s="17" t="inlineStr"/>
    </row>
    <row r="730">
      <c r="A730" s="17" t="inlineStr">
        <is>
          <t>C116</t>
        </is>
      </c>
      <c r="B730" s="17" t="inlineStr"/>
      <c r="C730" s="17" t="inlineStr">
        <is>
          <t>(주)파마킹</t>
        </is>
      </c>
      <c r="D730" s="17" t="inlineStr"/>
      <c r="E730" s="17" t="inlineStr">
        <is>
          <t>수출여부</t>
        </is>
      </c>
      <c r="F730" s="17" t="inlineStr">
        <is>
          <t>미확인</t>
        </is>
      </c>
      <c r="G730" s="17" t="inlineStr">
        <is>
          <t>웹조사 자동화 실패(세션한도)</t>
        </is>
      </c>
      <c r="H730" s="17" t="inlineStr">
        <is>
          <t>N</t>
        </is>
      </c>
      <c r="I730" s="17" t="inlineStr">
        <is>
          <t>회사 공시·홈페이지</t>
        </is>
      </c>
      <c r="J730" s="17" t="inlineStr">
        <is>
          <t>회사 공시·홈페이지에서 확인</t>
        </is>
      </c>
      <c r="K730" s="17" t="inlineStr">
        <is>
          <t>낮음</t>
        </is>
      </c>
      <c r="L730" s="17" t="inlineStr"/>
    </row>
    <row r="731">
      <c r="A731" s="17" t="inlineStr">
        <is>
          <t>C116</t>
        </is>
      </c>
      <c r="B731" s="17" t="inlineStr"/>
      <c r="C731" s="17" t="inlineStr">
        <is>
          <t>(주)파마킹</t>
        </is>
      </c>
      <c r="D731" s="17" t="inlineStr"/>
      <c r="E731" s="17" t="inlineStr">
        <is>
          <t>FDA·EMA 실사</t>
        </is>
      </c>
      <c r="F731" s="17" t="inlineStr">
        <is>
          <t>미확인</t>
        </is>
      </c>
      <c r="G731" s="17" t="inlineStr">
        <is>
          <t>웹조사 자동화 실패(세션한도)</t>
        </is>
      </c>
      <c r="H731" s="17" t="inlineStr">
        <is>
          <t>N</t>
        </is>
      </c>
      <c r="I731" s="17" t="inlineStr">
        <is>
          <t>FDA Inspection DB</t>
        </is>
      </c>
      <c r="J731" s="17" t="inlineStr">
        <is>
          <t>FDA Inspection DB에서 확인</t>
        </is>
      </c>
      <c r="K731" s="17" t="inlineStr">
        <is>
          <t>낮음</t>
        </is>
      </c>
      <c r="L731" s="17" t="inlineStr"/>
    </row>
    <row r="732">
      <c r="A732" s="17" t="inlineStr">
        <is>
          <t>C116</t>
        </is>
      </c>
      <c r="B732" s="17" t="inlineStr"/>
      <c r="C732" s="17" t="inlineStr">
        <is>
          <t>(주)파마킹</t>
        </is>
      </c>
      <c r="D732" s="17" t="inlineStr"/>
      <c r="E732" s="17" t="inlineStr">
        <is>
          <t>CMO·CDMO</t>
        </is>
      </c>
      <c r="F732" s="17" t="inlineStr">
        <is>
          <t>미확인</t>
        </is>
      </c>
      <c r="G732" s="17" t="inlineStr">
        <is>
          <t>웹조사 자동화 실패(세션한도)</t>
        </is>
      </c>
      <c r="H732" s="17" t="inlineStr">
        <is>
          <t>N</t>
        </is>
      </c>
      <c r="I732" s="17" t="inlineStr">
        <is>
          <t>회사 홈페이지</t>
        </is>
      </c>
      <c r="J732" s="17" t="inlineStr">
        <is>
          <t>회사 홈페이지에서 확인</t>
        </is>
      </c>
      <c r="K732" s="17" t="inlineStr">
        <is>
          <t>낮음</t>
        </is>
      </c>
      <c r="L732" s="17" t="inlineStr"/>
    </row>
    <row r="733">
      <c r="A733" s="17" t="inlineStr">
        <is>
          <t>C116</t>
        </is>
      </c>
      <c r="B733" s="17" t="inlineStr"/>
      <c r="C733" s="17" t="inlineStr">
        <is>
          <t>(주)파마킹</t>
        </is>
      </c>
      <c r="D733" s="17" t="inlineStr"/>
      <c r="E733" s="17" t="inlineStr">
        <is>
          <t>신공장·증설</t>
        </is>
      </c>
      <c r="F733" s="17" t="inlineStr">
        <is>
          <t>미확인</t>
        </is>
      </c>
      <c r="G733" s="17" t="inlineStr">
        <is>
          <t>웹조사 자동화 실패(세션한도)</t>
        </is>
      </c>
      <c r="H733" s="17" t="inlineStr">
        <is>
          <t>N</t>
        </is>
      </c>
      <c r="I733" s="17" t="inlineStr">
        <is>
          <t>언론·지자체 발표</t>
        </is>
      </c>
      <c r="J733" s="17" t="inlineStr">
        <is>
          <t>언론·지자체 발표에서 확인</t>
        </is>
      </c>
      <c r="K733" s="17" t="inlineStr">
        <is>
          <t>낮음</t>
        </is>
      </c>
      <c r="L733" s="17" t="inlineStr"/>
    </row>
    <row r="734">
      <c r="A734" s="17" t="inlineStr">
        <is>
          <t>C117</t>
        </is>
      </c>
      <c r="B734" s="17" t="inlineStr"/>
      <c r="C734" s="17" t="inlineStr">
        <is>
          <t>원광제약(주)</t>
        </is>
      </c>
      <c r="D734" s="17" t="inlineStr"/>
      <c r="E734" s="17" t="inlineStr">
        <is>
          <t>최근매출(억원)</t>
        </is>
      </c>
      <c r="F734" s="17" t="inlineStr">
        <is>
          <t>미확인</t>
        </is>
      </c>
      <c r="G734" s="17" t="inlineStr">
        <is>
          <t>웹조사 자동화 실패(세션한도)</t>
        </is>
      </c>
      <c r="H734" s="17" t="inlineStr">
        <is>
          <t>N</t>
        </is>
      </c>
      <c r="I734" s="17" t="inlineStr">
        <is>
          <t>DART 사업보고서</t>
        </is>
      </c>
      <c r="J734" s="17" t="inlineStr">
        <is>
          <t>DART 사업보고서에서 확인</t>
        </is>
      </c>
      <c r="K734" s="17" t="inlineStr">
        <is>
          <t>낮음</t>
        </is>
      </c>
      <c r="L734" s="17" t="inlineStr"/>
    </row>
    <row r="735">
      <c r="A735" s="17" t="inlineStr">
        <is>
          <t>C117</t>
        </is>
      </c>
      <c r="B735" s="17" t="inlineStr"/>
      <c r="C735" s="17" t="inlineStr">
        <is>
          <t>원광제약(주)</t>
        </is>
      </c>
      <c r="D735" s="17" t="inlineStr"/>
      <c r="E735" s="17" t="inlineStr">
        <is>
          <t>종업원수</t>
        </is>
      </c>
      <c r="F735" s="17" t="inlineStr">
        <is>
          <t>미확인</t>
        </is>
      </c>
      <c r="G735" s="17" t="inlineStr">
        <is>
          <t>웹조사 자동화 실패(세션한도)</t>
        </is>
      </c>
      <c r="H735" s="17" t="inlineStr">
        <is>
          <t>N</t>
        </is>
      </c>
      <c r="I735" s="17" t="inlineStr">
        <is>
          <t>DART/채용</t>
        </is>
      </c>
      <c r="J735" s="17" t="inlineStr">
        <is>
          <t>DART/채용에서 확인</t>
        </is>
      </c>
      <c r="K735" s="17" t="inlineStr">
        <is>
          <t>낮음</t>
        </is>
      </c>
      <c r="L735" s="17" t="inlineStr"/>
    </row>
    <row r="736">
      <c r="A736" s="17" t="inlineStr">
        <is>
          <t>C117</t>
        </is>
      </c>
      <c r="B736" s="17" t="inlineStr"/>
      <c r="C736" s="17" t="inlineStr">
        <is>
          <t>원광제약(주)</t>
        </is>
      </c>
      <c r="D736" s="17" t="inlineStr"/>
      <c r="E736" s="17" t="inlineStr">
        <is>
          <t>수출여부</t>
        </is>
      </c>
      <c r="F736" s="17" t="inlineStr">
        <is>
          <t>미확인</t>
        </is>
      </c>
      <c r="G736" s="17" t="inlineStr">
        <is>
          <t>웹조사 자동화 실패(세션한도)</t>
        </is>
      </c>
      <c r="H736" s="17" t="inlineStr">
        <is>
          <t>N</t>
        </is>
      </c>
      <c r="I736" s="17" t="inlineStr">
        <is>
          <t>회사 공시·홈페이지</t>
        </is>
      </c>
      <c r="J736" s="17" t="inlineStr">
        <is>
          <t>회사 공시·홈페이지에서 확인</t>
        </is>
      </c>
      <c r="K736" s="17" t="inlineStr">
        <is>
          <t>낮음</t>
        </is>
      </c>
      <c r="L736" s="17" t="inlineStr"/>
    </row>
    <row r="737">
      <c r="A737" s="17" t="inlineStr">
        <is>
          <t>C117</t>
        </is>
      </c>
      <c r="B737" s="17" t="inlineStr"/>
      <c r="C737" s="17" t="inlineStr">
        <is>
          <t>원광제약(주)</t>
        </is>
      </c>
      <c r="D737" s="17" t="inlineStr"/>
      <c r="E737" s="17" t="inlineStr">
        <is>
          <t>FDA·EMA 실사</t>
        </is>
      </c>
      <c r="F737" s="17" t="inlineStr">
        <is>
          <t>미확인</t>
        </is>
      </c>
      <c r="G737" s="17" t="inlineStr">
        <is>
          <t>웹조사 자동화 실패(세션한도)</t>
        </is>
      </c>
      <c r="H737" s="17" t="inlineStr">
        <is>
          <t>N</t>
        </is>
      </c>
      <c r="I737" s="17" t="inlineStr">
        <is>
          <t>FDA Inspection DB</t>
        </is>
      </c>
      <c r="J737" s="17" t="inlineStr">
        <is>
          <t>FDA Inspection DB에서 확인</t>
        </is>
      </c>
      <c r="K737" s="17" t="inlineStr">
        <is>
          <t>낮음</t>
        </is>
      </c>
      <c r="L737" s="17" t="inlineStr"/>
    </row>
    <row r="738">
      <c r="A738" s="17" t="inlineStr">
        <is>
          <t>C117</t>
        </is>
      </c>
      <c r="B738" s="17" t="inlineStr"/>
      <c r="C738" s="17" t="inlineStr">
        <is>
          <t>원광제약(주)</t>
        </is>
      </c>
      <c r="D738" s="17" t="inlineStr"/>
      <c r="E738" s="17" t="inlineStr">
        <is>
          <t>CMO·CDMO</t>
        </is>
      </c>
      <c r="F738" s="17" t="inlineStr">
        <is>
          <t>미확인</t>
        </is>
      </c>
      <c r="G738" s="17" t="inlineStr">
        <is>
          <t>웹조사 자동화 실패(세션한도)</t>
        </is>
      </c>
      <c r="H738" s="17" t="inlineStr">
        <is>
          <t>N</t>
        </is>
      </c>
      <c r="I738" s="17" t="inlineStr">
        <is>
          <t>회사 홈페이지</t>
        </is>
      </c>
      <c r="J738" s="17" t="inlineStr">
        <is>
          <t>회사 홈페이지에서 확인</t>
        </is>
      </c>
      <c r="K738" s="17" t="inlineStr">
        <is>
          <t>낮음</t>
        </is>
      </c>
      <c r="L738" s="17" t="inlineStr"/>
    </row>
    <row r="739">
      <c r="A739" s="17" t="inlineStr">
        <is>
          <t>C117</t>
        </is>
      </c>
      <c r="B739" s="17" t="inlineStr"/>
      <c r="C739" s="17" t="inlineStr">
        <is>
          <t>원광제약(주)</t>
        </is>
      </c>
      <c r="D739" s="17" t="inlineStr"/>
      <c r="E739" s="17" t="inlineStr">
        <is>
          <t>신공장·증설</t>
        </is>
      </c>
      <c r="F739" s="17" t="inlineStr">
        <is>
          <t>미확인</t>
        </is>
      </c>
      <c r="G739" s="17" t="inlineStr">
        <is>
          <t>웹조사 자동화 실패(세션한도)</t>
        </is>
      </c>
      <c r="H739" s="17" t="inlineStr">
        <is>
          <t>N</t>
        </is>
      </c>
      <c r="I739" s="17" t="inlineStr">
        <is>
          <t>언론·지자체 발표</t>
        </is>
      </c>
      <c r="J739" s="17" t="inlineStr">
        <is>
          <t>언론·지자체 발표에서 확인</t>
        </is>
      </c>
      <c r="K739" s="17" t="inlineStr">
        <is>
          <t>낮음</t>
        </is>
      </c>
      <c r="L739" s="17" t="inlineStr"/>
    </row>
    <row r="740">
      <c r="A740" s="17" t="inlineStr">
        <is>
          <t>C118</t>
        </is>
      </c>
      <c r="B740" s="17" t="inlineStr"/>
      <c r="C740" s="17" t="inlineStr">
        <is>
          <t>주식회사케이에스제약</t>
        </is>
      </c>
      <c r="D740" s="17" t="inlineStr"/>
      <c r="E740" s="17" t="inlineStr">
        <is>
          <t>최근매출(억원)</t>
        </is>
      </c>
      <c r="F740" s="17" t="inlineStr">
        <is>
          <t>미확인</t>
        </is>
      </c>
      <c r="G740" s="17" t="inlineStr">
        <is>
          <t>웹조사 자동화 실패(세션한도)</t>
        </is>
      </c>
      <c r="H740" s="17" t="inlineStr">
        <is>
          <t>N</t>
        </is>
      </c>
      <c r="I740" s="17" t="inlineStr">
        <is>
          <t>DART 사업보고서</t>
        </is>
      </c>
      <c r="J740" s="17" t="inlineStr">
        <is>
          <t>DART 사업보고서에서 확인</t>
        </is>
      </c>
      <c r="K740" s="17" t="inlineStr">
        <is>
          <t>낮음</t>
        </is>
      </c>
      <c r="L740" s="17" t="inlineStr"/>
    </row>
    <row r="741">
      <c r="A741" s="17" t="inlineStr">
        <is>
          <t>C118</t>
        </is>
      </c>
      <c r="B741" s="17" t="inlineStr"/>
      <c r="C741" s="17" t="inlineStr">
        <is>
          <t>주식회사케이에스제약</t>
        </is>
      </c>
      <c r="D741" s="17" t="inlineStr"/>
      <c r="E741" s="17" t="inlineStr">
        <is>
          <t>종업원수</t>
        </is>
      </c>
      <c r="F741" s="17" t="inlineStr">
        <is>
          <t>미확인</t>
        </is>
      </c>
      <c r="G741" s="17" t="inlineStr">
        <is>
          <t>웹조사 자동화 실패(세션한도)</t>
        </is>
      </c>
      <c r="H741" s="17" t="inlineStr">
        <is>
          <t>N</t>
        </is>
      </c>
      <c r="I741" s="17" t="inlineStr">
        <is>
          <t>DART/채용</t>
        </is>
      </c>
      <c r="J741" s="17" t="inlineStr">
        <is>
          <t>DART/채용에서 확인</t>
        </is>
      </c>
      <c r="K741" s="17" t="inlineStr">
        <is>
          <t>낮음</t>
        </is>
      </c>
      <c r="L741" s="17" t="inlineStr"/>
    </row>
    <row r="742">
      <c r="A742" s="17" t="inlineStr">
        <is>
          <t>C118</t>
        </is>
      </c>
      <c r="B742" s="17" t="inlineStr"/>
      <c r="C742" s="17" t="inlineStr">
        <is>
          <t>주식회사케이에스제약</t>
        </is>
      </c>
      <c r="D742" s="17" t="inlineStr"/>
      <c r="E742" s="17" t="inlineStr">
        <is>
          <t>수출여부</t>
        </is>
      </c>
      <c r="F742" s="17" t="inlineStr">
        <is>
          <t>미확인</t>
        </is>
      </c>
      <c r="G742" s="17" t="inlineStr">
        <is>
          <t>웹조사 자동화 실패(세션한도)</t>
        </is>
      </c>
      <c r="H742" s="17" t="inlineStr">
        <is>
          <t>N</t>
        </is>
      </c>
      <c r="I742" s="17" t="inlineStr">
        <is>
          <t>회사 공시·홈페이지</t>
        </is>
      </c>
      <c r="J742" s="17" t="inlineStr">
        <is>
          <t>회사 공시·홈페이지에서 확인</t>
        </is>
      </c>
      <c r="K742" s="17" t="inlineStr">
        <is>
          <t>낮음</t>
        </is>
      </c>
      <c r="L742" s="17" t="inlineStr"/>
    </row>
    <row r="743">
      <c r="A743" s="17" t="inlineStr">
        <is>
          <t>C118</t>
        </is>
      </c>
      <c r="B743" s="17" t="inlineStr"/>
      <c r="C743" s="17" t="inlineStr">
        <is>
          <t>주식회사케이에스제약</t>
        </is>
      </c>
      <c r="D743" s="17" t="inlineStr"/>
      <c r="E743" s="17" t="inlineStr">
        <is>
          <t>FDA·EMA 실사</t>
        </is>
      </c>
      <c r="F743" s="17" t="inlineStr">
        <is>
          <t>미확인</t>
        </is>
      </c>
      <c r="G743" s="17" t="inlineStr">
        <is>
          <t>웹조사 자동화 실패(세션한도)</t>
        </is>
      </c>
      <c r="H743" s="17" t="inlineStr">
        <is>
          <t>N</t>
        </is>
      </c>
      <c r="I743" s="17" t="inlineStr">
        <is>
          <t>FDA Inspection DB</t>
        </is>
      </c>
      <c r="J743" s="17" t="inlineStr">
        <is>
          <t>FDA Inspection DB에서 확인</t>
        </is>
      </c>
      <c r="K743" s="17" t="inlineStr">
        <is>
          <t>낮음</t>
        </is>
      </c>
      <c r="L743" s="17" t="inlineStr"/>
    </row>
    <row r="744">
      <c r="A744" s="17" t="inlineStr">
        <is>
          <t>C118</t>
        </is>
      </c>
      <c r="B744" s="17" t="inlineStr"/>
      <c r="C744" s="17" t="inlineStr">
        <is>
          <t>주식회사케이에스제약</t>
        </is>
      </c>
      <c r="D744" s="17" t="inlineStr"/>
      <c r="E744" s="17" t="inlineStr">
        <is>
          <t>CMO·CDMO</t>
        </is>
      </c>
      <c r="F744" s="17" t="inlineStr">
        <is>
          <t>미확인</t>
        </is>
      </c>
      <c r="G744" s="17" t="inlineStr">
        <is>
          <t>웹조사 자동화 실패(세션한도)</t>
        </is>
      </c>
      <c r="H744" s="17" t="inlineStr">
        <is>
          <t>N</t>
        </is>
      </c>
      <c r="I744" s="17" t="inlineStr">
        <is>
          <t>회사 홈페이지</t>
        </is>
      </c>
      <c r="J744" s="17" t="inlineStr">
        <is>
          <t>회사 홈페이지에서 확인</t>
        </is>
      </c>
      <c r="K744" s="17" t="inlineStr">
        <is>
          <t>낮음</t>
        </is>
      </c>
      <c r="L744" s="17" t="inlineStr"/>
    </row>
    <row r="745">
      <c r="A745" s="17" t="inlineStr">
        <is>
          <t>C118</t>
        </is>
      </c>
      <c r="B745" s="17" t="inlineStr"/>
      <c r="C745" s="17" t="inlineStr">
        <is>
          <t>주식회사케이에스제약</t>
        </is>
      </c>
      <c r="D745" s="17" t="inlineStr"/>
      <c r="E745" s="17" t="inlineStr">
        <is>
          <t>신공장·증설</t>
        </is>
      </c>
      <c r="F745" s="17" t="inlineStr">
        <is>
          <t>미확인</t>
        </is>
      </c>
      <c r="G745" s="17" t="inlineStr">
        <is>
          <t>웹조사 자동화 실패(세션한도)</t>
        </is>
      </c>
      <c r="H745" s="17" t="inlineStr">
        <is>
          <t>N</t>
        </is>
      </c>
      <c r="I745" s="17" t="inlineStr">
        <is>
          <t>언론·지자체 발표</t>
        </is>
      </c>
      <c r="J745" s="17" t="inlineStr">
        <is>
          <t>언론·지자체 발표에서 확인</t>
        </is>
      </c>
      <c r="K745" s="17" t="inlineStr">
        <is>
          <t>낮음</t>
        </is>
      </c>
      <c r="L745" s="17" t="inlineStr"/>
    </row>
    <row r="746">
      <c r="A746" s="17" t="inlineStr">
        <is>
          <t>C118</t>
        </is>
      </c>
      <c r="B746" s="17" t="inlineStr"/>
      <c r="C746" s="17" t="inlineStr">
        <is>
          <t>주식회사케이에스제약</t>
        </is>
      </c>
      <c r="D746" s="17" t="inlineStr"/>
      <c r="E746" s="17" t="inlineStr">
        <is>
          <t>대표전화</t>
        </is>
      </c>
      <c r="F746" s="17" t="inlineStr">
        <is>
          <t>미확인</t>
        </is>
      </c>
      <c r="G746" s="17" t="inlineStr">
        <is>
          <t>제조소상세 미매칭</t>
        </is>
      </c>
      <c r="H746" s="17" t="inlineStr">
        <is>
          <t>Y</t>
        </is>
      </c>
      <c r="I746" s="17" t="inlineStr">
        <is>
          <t>회사 홈페이지</t>
        </is>
      </c>
      <c r="J746" s="17" t="inlineStr">
        <is>
          <t>홈페이지에서 대표번호 확인</t>
        </is>
      </c>
      <c r="K746" s="17" t="inlineStr">
        <is>
          <t>낮음</t>
        </is>
      </c>
      <c r="L746" s="17" t="inlineStr"/>
    </row>
    <row r="747">
      <c r="A747" s="17" t="inlineStr">
        <is>
          <t>C119</t>
        </is>
      </c>
      <c r="B747" s="17" t="inlineStr"/>
      <c r="C747" s="17" t="inlineStr">
        <is>
          <t>가스켐테크놀로지(주)</t>
        </is>
      </c>
      <c r="D747" s="17" t="inlineStr"/>
      <c r="E747" s="17" t="inlineStr">
        <is>
          <t>최근매출(억원)</t>
        </is>
      </c>
      <c r="F747" s="17" t="inlineStr">
        <is>
          <t>미확인</t>
        </is>
      </c>
      <c r="G747" s="17" t="inlineStr">
        <is>
          <t>웹조사 자동화 실패(세션한도)</t>
        </is>
      </c>
      <c r="H747" s="17" t="inlineStr">
        <is>
          <t>N</t>
        </is>
      </c>
      <c r="I747" s="17" t="inlineStr">
        <is>
          <t>DART 사업보고서</t>
        </is>
      </c>
      <c r="J747" s="17" t="inlineStr">
        <is>
          <t>DART 사업보고서에서 확인</t>
        </is>
      </c>
      <c r="K747" s="17" t="inlineStr">
        <is>
          <t>낮음</t>
        </is>
      </c>
      <c r="L747" s="17" t="inlineStr"/>
    </row>
    <row r="748">
      <c r="A748" s="17" t="inlineStr">
        <is>
          <t>C119</t>
        </is>
      </c>
      <c r="B748" s="17" t="inlineStr"/>
      <c r="C748" s="17" t="inlineStr">
        <is>
          <t>가스켐테크놀로지(주)</t>
        </is>
      </c>
      <c r="D748" s="17" t="inlineStr"/>
      <c r="E748" s="17" t="inlineStr">
        <is>
          <t>종업원수</t>
        </is>
      </c>
      <c r="F748" s="17" t="inlineStr">
        <is>
          <t>미확인</t>
        </is>
      </c>
      <c r="G748" s="17" t="inlineStr">
        <is>
          <t>웹조사 자동화 실패(세션한도)</t>
        </is>
      </c>
      <c r="H748" s="17" t="inlineStr">
        <is>
          <t>N</t>
        </is>
      </c>
      <c r="I748" s="17" t="inlineStr">
        <is>
          <t>DART/채용</t>
        </is>
      </c>
      <c r="J748" s="17" t="inlineStr">
        <is>
          <t>DART/채용에서 확인</t>
        </is>
      </c>
      <c r="K748" s="17" t="inlineStr">
        <is>
          <t>낮음</t>
        </is>
      </c>
      <c r="L748" s="17" t="inlineStr"/>
    </row>
    <row r="749">
      <c r="A749" s="17" t="inlineStr">
        <is>
          <t>C119</t>
        </is>
      </c>
      <c r="B749" s="17" t="inlineStr"/>
      <c r="C749" s="17" t="inlineStr">
        <is>
          <t>가스켐테크놀로지(주)</t>
        </is>
      </c>
      <c r="D749" s="17" t="inlineStr"/>
      <c r="E749" s="17" t="inlineStr">
        <is>
          <t>수출여부</t>
        </is>
      </c>
      <c r="F749" s="17" t="inlineStr">
        <is>
          <t>미확인</t>
        </is>
      </c>
      <c r="G749" s="17" t="inlineStr">
        <is>
          <t>웹조사 자동화 실패(세션한도)</t>
        </is>
      </c>
      <c r="H749" s="17" t="inlineStr">
        <is>
          <t>N</t>
        </is>
      </c>
      <c r="I749" s="17" t="inlineStr">
        <is>
          <t>회사 공시·홈페이지</t>
        </is>
      </c>
      <c r="J749" s="17" t="inlineStr">
        <is>
          <t>회사 공시·홈페이지에서 확인</t>
        </is>
      </c>
      <c r="K749" s="17" t="inlineStr">
        <is>
          <t>낮음</t>
        </is>
      </c>
      <c r="L749" s="17" t="inlineStr"/>
    </row>
    <row r="750">
      <c r="A750" s="17" t="inlineStr">
        <is>
          <t>C119</t>
        </is>
      </c>
      <c r="B750" s="17" t="inlineStr"/>
      <c r="C750" s="17" t="inlineStr">
        <is>
          <t>가스켐테크놀로지(주)</t>
        </is>
      </c>
      <c r="D750" s="17" t="inlineStr"/>
      <c r="E750" s="17" t="inlineStr">
        <is>
          <t>FDA·EMA 실사</t>
        </is>
      </c>
      <c r="F750" s="17" t="inlineStr">
        <is>
          <t>미확인</t>
        </is>
      </c>
      <c r="G750" s="17" t="inlineStr">
        <is>
          <t>웹조사 자동화 실패(세션한도)</t>
        </is>
      </c>
      <c r="H750" s="17" t="inlineStr">
        <is>
          <t>N</t>
        </is>
      </c>
      <c r="I750" s="17" t="inlineStr">
        <is>
          <t>FDA Inspection DB</t>
        </is>
      </c>
      <c r="J750" s="17" t="inlineStr">
        <is>
          <t>FDA Inspection DB에서 확인</t>
        </is>
      </c>
      <c r="K750" s="17" t="inlineStr">
        <is>
          <t>낮음</t>
        </is>
      </c>
      <c r="L750" s="17" t="inlineStr"/>
    </row>
    <row r="751">
      <c r="A751" s="17" t="inlineStr">
        <is>
          <t>C119</t>
        </is>
      </c>
      <c r="B751" s="17" t="inlineStr"/>
      <c r="C751" s="17" t="inlineStr">
        <is>
          <t>가스켐테크놀로지(주)</t>
        </is>
      </c>
      <c r="D751" s="17" t="inlineStr"/>
      <c r="E751" s="17" t="inlineStr">
        <is>
          <t>CMO·CDMO</t>
        </is>
      </c>
      <c r="F751" s="17" t="inlineStr">
        <is>
          <t>미확인</t>
        </is>
      </c>
      <c r="G751" s="17" t="inlineStr">
        <is>
          <t>웹조사 자동화 실패(세션한도)</t>
        </is>
      </c>
      <c r="H751" s="17" t="inlineStr">
        <is>
          <t>N</t>
        </is>
      </c>
      <c r="I751" s="17" t="inlineStr">
        <is>
          <t>회사 홈페이지</t>
        </is>
      </c>
      <c r="J751" s="17" t="inlineStr">
        <is>
          <t>회사 홈페이지에서 확인</t>
        </is>
      </c>
      <c r="K751" s="17" t="inlineStr">
        <is>
          <t>낮음</t>
        </is>
      </c>
      <c r="L751" s="17" t="inlineStr"/>
    </row>
    <row r="752">
      <c r="A752" s="17" t="inlineStr">
        <is>
          <t>C119</t>
        </is>
      </c>
      <c r="B752" s="17" t="inlineStr"/>
      <c r="C752" s="17" t="inlineStr">
        <is>
          <t>가스켐테크놀로지(주)</t>
        </is>
      </c>
      <c r="D752" s="17" t="inlineStr"/>
      <c r="E752" s="17" t="inlineStr">
        <is>
          <t>신공장·증설</t>
        </is>
      </c>
      <c r="F752" s="17" t="inlineStr">
        <is>
          <t>미확인</t>
        </is>
      </c>
      <c r="G752" s="17" t="inlineStr">
        <is>
          <t>웹조사 자동화 실패(세션한도)</t>
        </is>
      </c>
      <c r="H752" s="17" t="inlineStr">
        <is>
          <t>N</t>
        </is>
      </c>
      <c r="I752" s="17" t="inlineStr">
        <is>
          <t>언론·지자체 발표</t>
        </is>
      </c>
      <c r="J752" s="17" t="inlineStr">
        <is>
          <t>언론·지자체 발표에서 확인</t>
        </is>
      </c>
      <c r="K752" s="17" t="inlineStr">
        <is>
          <t>낮음</t>
        </is>
      </c>
      <c r="L752" s="17" t="inlineStr"/>
    </row>
    <row r="753">
      <c r="A753" s="17" t="inlineStr">
        <is>
          <t>C119</t>
        </is>
      </c>
      <c r="B753" s="17" t="inlineStr"/>
      <c r="C753" s="17" t="inlineStr">
        <is>
          <t>가스켐테크놀로지(주)</t>
        </is>
      </c>
      <c r="D753" s="17" t="inlineStr"/>
      <c r="E753" s="17" t="inlineStr">
        <is>
          <t>대표전화</t>
        </is>
      </c>
      <c r="F753" s="17" t="inlineStr">
        <is>
          <t>미확인</t>
        </is>
      </c>
      <c r="G753" s="17" t="inlineStr">
        <is>
          <t>제조소상세 미매칭</t>
        </is>
      </c>
      <c r="H753" s="17" t="inlineStr">
        <is>
          <t>Y</t>
        </is>
      </c>
      <c r="I753" s="17" t="inlineStr">
        <is>
          <t>회사 홈페이지</t>
        </is>
      </c>
      <c r="J753" s="17" t="inlineStr">
        <is>
          <t>홈페이지에서 대표번호 확인</t>
        </is>
      </c>
      <c r="K753" s="17" t="inlineStr">
        <is>
          <t>낮음</t>
        </is>
      </c>
      <c r="L753" s="17" t="inlineStr"/>
    </row>
    <row r="754">
      <c r="A754" s="17" t="inlineStr">
        <is>
          <t>C120</t>
        </is>
      </c>
      <c r="B754" s="17" t="inlineStr"/>
      <c r="C754" s="17" t="inlineStr">
        <is>
          <t>(주)다산제약</t>
        </is>
      </c>
      <c r="D754" s="17" t="inlineStr"/>
      <c r="E754" s="17" t="inlineStr">
        <is>
          <t>최근매출(억원)</t>
        </is>
      </c>
      <c r="F754" s="17" t="inlineStr">
        <is>
          <t>미확인</t>
        </is>
      </c>
      <c r="G754" s="17" t="inlineStr">
        <is>
          <t>웹조사 자동화 실패(세션한도)</t>
        </is>
      </c>
      <c r="H754" s="17" t="inlineStr">
        <is>
          <t>N</t>
        </is>
      </c>
      <c r="I754" s="17" t="inlineStr">
        <is>
          <t>DART 사업보고서</t>
        </is>
      </c>
      <c r="J754" s="17" t="inlineStr">
        <is>
          <t>DART 사업보고서에서 확인</t>
        </is>
      </c>
      <c r="K754" s="17" t="inlineStr">
        <is>
          <t>낮음</t>
        </is>
      </c>
      <c r="L754" s="17" t="inlineStr"/>
    </row>
    <row r="755">
      <c r="A755" s="17" t="inlineStr">
        <is>
          <t>C120</t>
        </is>
      </c>
      <c r="B755" s="17" t="inlineStr"/>
      <c r="C755" s="17" t="inlineStr">
        <is>
          <t>(주)다산제약</t>
        </is>
      </c>
      <c r="D755" s="17" t="inlineStr"/>
      <c r="E755" s="17" t="inlineStr">
        <is>
          <t>종업원수</t>
        </is>
      </c>
      <c r="F755" s="17" t="inlineStr">
        <is>
          <t>미확인</t>
        </is>
      </c>
      <c r="G755" s="17" t="inlineStr">
        <is>
          <t>웹조사 자동화 실패(세션한도)</t>
        </is>
      </c>
      <c r="H755" s="17" t="inlineStr">
        <is>
          <t>N</t>
        </is>
      </c>
      <c r="I755" s="17" t="inlineStr">
        <is>
          <t>DART/채용</t>
        </is>
      </c>
      <c r="J755" s="17" t="inlineStr">
        <is>
          <t>DART/채용에서 확인</t>
        </is>
      </c>
      <c r="K755" s="17" t="inlineStr">
        <is>
          <t>낮음</t>
        </is>
      </c>
      <c r="L755" s="17" t="inlineStr"/>
    </row>
    <row r="756">
      <c r="A756" s="17" t="inlineStr">
        <is>
          <t>C120</t>
        </is>
      </c>
      <c r="B756" s="17" t="inlineStr"/>
      <c r="C756" s="17" t="inlineStr">
        <is>
          <t>(주)다산제약</t>
        </is>
      </c>
      <c r="D756" s="17" t="inlineStr"/>
      <c r="E756" s="17" t="inlineStr">
        <is>
          <t>수출여부</t>
        </is>
      </c>
      <c r="F756" s="17" t="inlineStr">
        <is>
          <t>미확인</t>
        </is>
      </c>
      <c r="G756" s="17" t="inlineStr">
        <is>
          <t>웹조사 자동화 실패(세션한도)</t>
        </is>
      </c>
      <c r="H756" s="17" t="inlineStr">
        <is>
          <t>N</t>
        </is>
      </c>
      <c r="I756" s="17" t="inlineStr">
        <is>
          <t>회사 공시·홈페이지</t>
        </is>
      </c>
      <c r="J756" s="17" t="inlineStr">
        <is>
          <t>회사 공시·홈페이지에서 확인</t>
        </is>
      </c>
      <c r="K756" s="17" t="inlineStr">
        <is>
          <t>낮음</t>
        </is>
      </c>
      <c r="L756" s="17" t="inlineStr"/>
    </row>
    <row r="757">
      <c r="A757" s="17" t="inlineStr">
        <is>
          <t>C120</t>
        </is>
      </c>
      <c r="B757" s="17" t="inlineStr"/>
      <c r="C757" s="17" t="inlineStr">
        <is>
          <t>(주)다산제약</t>
        </is>
      </c>
      <c r="D757" s="17" t="inlineStr"/>
      <c r="E757" s="17" t="inlineStr">
        <is>
          <t>FDA·EMA 실사</t>
        </is>
      </c>
      <c r="F757" s="17" t="inlineStr">
        <is>
          <t>미확인</t>
        </is>
      </c>
      <c r="G757" s="17" t="inlineStr">
        <is>
          <t>웹조사 자동화 실패(세션한도)</t>
        </is>
      </c>
      <c r="H757" s="17" t="inlineStr">
        <is>
          <t>N</t>
        </is>
      </c>
      <c r="I757" s="17" t="inlineStr">
        <is>
          <t>FDA Inspection DB</t>
        </is>
      </c>
      <c r="J757" s="17" t="inlineStr">
        <is>
          <t>FDA Inspection DB에서 확인</t>
        </is>
      </c>
      <c r="K757" s="17" t="inlineStr">
        <is>
          <t>낮음</t>
        </is>
      </c>
      <c r="L757" s="17" t="inlineStr"/>
    </row>
    <row r="758">
      <c r="A758" s="17" t="inlineStr">
        <is>
          <t>C120</t>
        </is>
      </c>
      <c r="B758" s="17" t="inlineStr"/>
      <c r="C758" s="17" t="inlineStr">
        <is>
          <t>(주)다산제약</t>
        </is>
      </c>
      <c r="D758" s="17" t="inlineStr"/>
      <c r="E758" s="17" t="inlineStr">
        <is>
          <t>CMO·CDMO</t>
        </is>
      </c>
      <c r="F758" s="17" t="inlineStr">
        <is>
          <t>미확인</t>
        </is>
      </c>
      <c r="G758" s="17" t="inlineStr">
        <is>
          <t>웹조사 자동화 실패(세션한도)</t>
        </is>
      </c>
      <c r="H758" s="17" t="inlineStr">
        <is>
          <t>N</t>
        </is>
      </c>
      <c r="I758" s="17" t="inlineStr">
        <is>
          <t>회사 홈페이지</t>
        </is>
      </c>
      <c r="J758" s="17" t="inlineStr">
        <is>
          <t>회사 홈페이지에서 확인</t>
        </is>
      </c>
      <c r="K758" s="17" t="inlineStr">
        <is>
          <t>낮음</t>
        </is>
      </c>
      <c r="L758" s="17" t="inlineStr"/>
    </row>
    <row r="759">
      <c r="A759" s="17" t="inlineStr">
        <is>
          <t>C120</t>
        </is>
      </c>
      <c r="B759" s="17" t="inlineStr"/>
      <c r="C759" s="17" t="inlineStr">
        <is>
          <t>(주)다산제약</t>
        </is>
      </c>
      <c r="D759" s="17" t="inlineStr"/>
      <c r="E759" s="17" t="inlineStr">
        <is>
          <t>신공장·증설</t>
        </is>
      </c>
      <c r="F759" s="17" t="inlineStr">
        <is>
          <t>미확인</t>
        </is>
      </c>
      <c r="G759" s="17" t="inlineStr">
        <is>
          <t>웹조사 자동화 실패(세션한도)</t>
        </is>
      </c>
      <c r="H759" s="17" t="inlineStr">
        <is>
          <t>N</t>
        </is>
      </c>
      <c r="I759" s="17" t="inlineStr">
        <is>
          <t>언론·지자체 발표</t>
        </is>
      </c>
      <c r="J759" s="17" t="inlineStr">
        <is>
          <t>언론·지자체 발표에서 확인</t>
        </is>
      </c>
      <c r="K759" s="17" t="inlineStr">
        <is>
          <t>낮음</t>
        </is>
      </c>
      <c r="L759" s="17" t="inlineStr"/>
    </row>
    <row r="760">
      <c r="A760" s="17" t="inlineStr">
        <is>
          <t>C121</t>
        </is>
      </c>
      <c r="B760" s="17" t="inlineStr"/>
      <c r="C760" s="17" t="inlineStr">
        <is>
          <t>(주)킵스바이오파마</t>
        </is>
      </c>
      <c r="D760" s="17" t="inlineStr"/>
      <c r="E760" s="17" t="inlineStr">
        <is>
          <t>최근매출(억원)</t>
        </is>
      </c>
      <c r="F760" s="17" t="inlineStr">
        <is>
          <t>미확인</t>
        </is>
      </c>
      <c r="G760" s="17" t="inlineStr">
        <is>
          <t>웹조사 자동화 실패(세션한도)</t>
        </is>
      </c>
      <c r="H760" s="17" t="inlineStr">
        <is>
          <t>N</t>
        </is>
      </c>
      <c r="I760" s="17" t="inlineStr">
        <is>
          <t>DART 사업보고서</t>
        </is>
      </c>
      <c r="J760" s="17" t="inlineStr">
        <is>
          <t>DART 사업보고서에서 확인</t>
        </is>
      </c>
      <c r="K760" s="17" t="inlineStr">
        <is>
          <t>낮음</t>
        </is>
      </c>
      <c r="L760" s="17" t="inlineStr"/>
    </row>
    <row r="761">
      <c r="A761" s="17" t="inlineStr">
        <is>
          <t>C121</t>
        </is>
      </c>
      <c r="B761" s="17" t="inlineStr"/>
      <c r="C761" s="17" t="inlineStr">
        <is>
          <t>(주)킵스바이오파마</t>
        </is>
      </c>
      <c r="D761" s="17" t="inlineStr"/>
      <c r="E761" s="17" t="inlineStr">
        <is>
          <t>종업원수</t>
        </is>
      </c>
      <c r="F761" s="17" t="inlineStr">
        <is>
          <t>미확인</t>
        </is>
      </c>
      <c r="G761" s="17" t="inlineStr">
        <is>
          <t>웹조사 자동화 실패(세션한도)</t>
        </is>
      </c>
      <c r="H761" s="17" t="inlineStr">
        <is>
          <t>N</t>
        </is>
      </c>
      <c r="I761" s="17" t="inlineStr">
        <is>
          <t>DART/채용</t>
        </is>
      </c>
      <c r="J761" s="17" t="inlineStr">
        <is>
          <t>DART/채용에서 확인</t>
        </is>
      </c>
      <c r="K761" s="17" t="inlineStr">
        <is>
          <t>낮음</t>
        </is>
      </c>
      <c r="L761" s="17" t="inlineStr"/>
    </row>
    <row r="762">
      <c r="A762" s="17" t="inlineStr">
        <is>
          <t>C121</t>
        </is>
      </c>
      <c r="B762" s="17" t="inlineStr"/>
      <c r="C762" s="17" t="inlineStr">
        <is>
          <t>(주)킵스바이오파마</t>
        </is>
      </c>
      <c r="D762" s="17" t="inlineStr"/>
      <c r="E762" s="17" t="inlineStr">
        <is>
          <t>수출여부</t>
        </is>
      </c>
      <c r="F762" s="17" t="inlineStr">
        <is>
          <t>미확인</t>
        </is>
      </c>
      <c r="G762" s="17" t="inlineStr">
        <is>
          <t>웹조사 자동화 실패(세션한도)</t>
        </is>
      </c>
      <c r="H762" s="17" t="inlineStr">
        <is>
          <t>N</t>
        </is>
      </c>
      <c r="I762" s="17" t="inlineStr">
        <is>
          <t>회사 공시·홈페이지</t>
        </is>
      </c>
      <c r="J762" s="17" t="inlineStr">
        <is>
          <t>회사 공시·홈페이지에서 확인</t>
        </is>
      </c>
      <c r="K762" s="17" t="inlineStr">
        <is>
          <t>낮음</t>
        </is>
      </c>
      <c r="L762" s="17" t="inlineStr"/>
    </row>
    <row r="763">
      <c r="A763" s="17" t="inlineStr">
        <is>
          <t>C121</t>
        </is>
      </c>
      <c r="B763" s="17" t="inlineStr"/>
      <c r="C763" s="17" t="inlineStr">
        <is>
          <t>(주)킵스바이오파마</t>
        </is>
      </c>
      <c r="D763" s="17" t="inlineStr"/>
      <c r="E763" s="17" t="inlineStr">
        <is>
          <t>FDA·EMA 실사</t>
        </is>
      </c>
      <c r="F763" s="17" t="inlineStr">
        <is>
          <t>미확인</t>
        </is>
      </c>
      <c r="G763" s="17" t="inlineStr">
        <is>
          <t>웹조사 자동화 실패(세션한도)</t>
        </is>
      </c>
      <c r="H763" s="17" t="inlineStr">
        <is>
          <t>N</t>
        </is>
      </c>
      <c r="I763" s="17" t="inlineStr">
        <is>
          <t>FDA Inspection DB</t>
        </is>
      </c>
      <c r="J763" s="17" t="inlineStr">
        <is>
          <t>FDA Inspection DB에서 확인</t>
        </is>
      </c>
      <c r="K763" s="17" t="inlineStr">
        <is>
          <t>낮음</t>
        </is>
      </c>
      <c r="L763" s="17" t="inlineStr"/>
    </row>
    <row r="764">
      <c r="A764" s="17" t="inlineStr">
        <is>
          <t>C121</t>
        </is>
      </c>
      <c r="B764" s="17" t="inlineStr"/>
      <c r="C764" s="17" t="inlineStr">
        <is>
          <t>(주)킵스바이오파마</t>
        </is>
      </c>
      <c r="D764" s="17" t="inlineStr"/>
      <c r="E764" s="17" t="inlineStr">
        <is>
          <t>CMO·CDMO</t>
        </is>
      </c>
      <c r="F764" s="17" t="inlineStr">
        <is>
          <t>미확인</t>
        </is>
      </c>
      <c r="G764" s="17" t="inlineStr">
        <is>
          <t>웹조사 자동화 실패(세션한도)</t>
        </is>
      </c>
      <c r="H764" s="17" t="inlineStr">
        <is>
          <t>N</t>
        </is>
      </c>
      <c r="I764" s="17" t="inlineStr">
        <is>
          <t>회사 홈페이지</t>
        </is>
      </c>
      <c r="J764" s="17" t="inlineStr">
        <is>
          <t>회사 홈페이지에서 확인</t>
        </is>
      </c>
      <c r="K764" s="17" t="inlineStr">
        <is>
          <t>낮음</t>
        </is>
      </c>
      <c r="L764" s="17" t="inlineStr"/>
    </row>
    <row r="765">
      <c r="A765" s="17" t="inlineStr">
        <is>
          <t>C121</t>
        </is>
      </c>
      <c r="B765" s="17" t="inlineStr"/>
      <c r="C765" s="17" t="inlineStr">
        <is>
          <t>(주)킵스바이오파마</t>
        </is>
      </c>
      <c r="D765" s="17" t="inlineStr"/>
      <c r="E765" s="17" t="inlineStr">
        <is>
          <t>신공장·증설</t>
        </is>
      </c>
      <c r="F765" s="17" t="inlineStr">
        <is>
          <t>미확인</t>
        </is>
      </c>
      <c r="G765" s="17" t="inlineStr">
        <is>
          <t>웹조사 자동화 실패(세션한도)</t>
        </is>
      </c>
      <c r="H765" s="17" t="inlineStr">
        <is>
          <t>N</t>
        </is>
      </c>
      <c r="I765" s="17" t="inlineStr">
        <is>
          <t>언론·지자체 발표</t>
        </is>
      </c>
      <c r="J765" s="17" t="inlineStr">
        <is>
          <t>언론·지자체 발표에서 확인</t>
        </is>
      </c>
      <c r="K765" s="17" t="inlineStr">
        <is>
          <t>낮음</t>
        </is>
      </c>
      <c r="L765" s="17" t="inlineStr"/>
    </row>
    <row r="766">
      <c r="A766" s="17" t="inlineStr">
        <is>
          <t>C122</t>
        </is>
      </c>
      <c r="B766" s="17" t="inlineStr"/>
      <c r="C766" s="17" t="inlineStr">
        <is>
          <t>제일헬스사이언스(주)</t>
        </is>
      </c>
      <c r="D766" s="17" t="inlineStr"/>
      <c r="E766" s="17" t="inlineStr">
        <is>
          <t>최근매출(억원)</t>
        </is>
      </c>
      <c r="F766" s="17" t="inlineStr">
        <is>
          <t>미확인</t>
        </is>
      </c>
      <c r="G766" s="17" t="inlineStr">
        <is>
          <t>웹조사 자동화 실패(세션한도)</t>
        </is>
      </c>
      <c r="H766" s="17" t="inlineStr">
        <is>
          <t>N</t>
        </is>
      </c>
      <c r="I766" s="17" t="inlineStr">
        <is>
          <t>DART 사업보고서</t>
        </is>
      </c>
      <c r="J766" s="17" t="inlineStr">
        <is>
          <t>DART 사업보고서에서 확인</t>
        </is>
      </c>
      <c r="K766" s="17" t="inlineStr">
        <is>
          <t>낮음</t>
        </is>
      </c>
      <c r="L766" s="17" t="inlineStr"/>
    </row>
    <row r="767">
      <c r="A767" s="17" t="inlineStr">
        <is>
          <t>C122</t>
        </is>
      </c>
      <c r="B767" s="17" t="inlineStr"/>
      <c r="C767" s="17" t="inlineStr">
        <is>
          <t>제일헬스사이언스(주)</t>
        </is>
      </c>
      <c r="D767" s="17" t="inlineStr"/>
      <c r="E767" s="17" t="inlineStr">
        <is>
          <t>종업원수</t>
        </is>
      </c>
      <c r="F767" s="17" t="inlineStr">
        <is>
          <t>미확인</t>
        </is>
      </c>
      <c r="G767" s="17" t="inlineStr">
        <is>
          <t>웹조사 자동화 실패(세션한도)</t>
        </is>
      </c>
      <c r="H767" s="17" t="inlineStr">
        <is>
          <t>N</t>
        </is>
      </c>
      <c r="I767" s="17" t="inlineStr">
        <is>
          <t>DART/채용</t>
        </is>
      </c>
      <c r="J767" s="17" t="inlineStr">
        <is>
          <t>DART/채용에서 확인</t>
        </is>
      </c>
      <c r="K767" s="17" t="inlineStr">
        <is>
          <t>낮음</t>
        </is>
      </c>
      <c r="L767" s="17" t="inlineStr"/>
    </row>
    <row r="768">
      <c r="A768" s="17" t="inlineStr">
        <is>
          <t>C122</t>
        </is>
      </c>
      <c r="B768" s="17" t="inlineStr"/>
      <c r="C768" s="17" t="inlineStr">
        <is>
          <t>제일헬스사이언스(주)</t>
        </is>
      </c>
      <c r="D768" s="17" t="inlineStr"/>
      <c r="E768" s="17" t="inlineStr">
        <is>
          <t>수출여부</t>
        </is>
      </c>
      <c r="F768" s="17" t="inlineStr">
        <is>
          <t>미확인</t>
        </is>
      </c>
      <c r="G768" s="17" t="inlineStr">
        <is>
          <t>웹조사 자동화 실패(세션한도)</t>
        </is>
      </c>
      <c r="H768" s="17" t="inlineStr">
        <is>
          <t>N</t>
        </is>
      </c>
      <c r="I768" s="17" t="inlineStr">
        <is>
          <t>회사 공시·홈페이지</t>
        </is>
      </c>
      <c r="J768" s="17" t="inlineStr">
        <is>
          <t>회사 공시·홈페이지에서 확인</t>
        </is>
      </c>
      <c r="K768" s="17" t="inlineStr">
        <is>
          <t>낮음</t>
        </is>
      </c>
      <c r="L768" s="17" t="inlineStr"/>
    </row>
    <row r="769">
      <c r="A769" s="17" t="inlineStr">
        <is>
          <t>C122</t>
        </is>
      </c>
      <c r="B769" s="17" t="inlineStr"/>
      <c r="C769" s="17" t="inlineStr">
        <is>
          <t>제일헬스사이언스(주)</t>
        </is>
      </c>
      <c r="D769" s="17" t="inlineStr"/>
      <c r="E769" s="17" t="inlineStr">
        <is>
          <t>FDA·EMA 실사</t>
        </is>
      </c>
      <c r="F769" s="17" t="inlineStr">
        <is>
          <t>미확인</t>
        </is>
      </c>
      <c r="G769" s="17" t="inlineStr">
        <is>
          <t>웹조사 자동화 실패(세션한도)</t>
        </is>
      </c>
      <c r="H769" s="17" t="inlineStr">
        <is>
          <t>N</t>
        </is>
      </c>
      <c r="I769" s="17" t="inlineStr">
        <is>
          <t>FDA Inspection DB</t>
        </is>
      </c>
      <c r="J769" s="17" t="inlineStr">
        <is>
          <t>FDA Inspection DB에서 확인</t>
        </is>
      </c>
      <c r="K769" s="17" t="inlineStr">
        <is>
          <t>낮음</t>
        </is>
      </c>
      <c r="L769" s="17" t="inlineStr"/>
    </row>
    <row r="770">
      <c r="A770" s="17" t="inlineStr">
        <is>
          <t>C122</t>
        </is>
      </c>
      <c r="B770" s="17" t="inlineStr"/>
      <c r="C770" s="17" t="inlineStr">
        <is>
          <t>제일헬스사이언스(주)</t>
        </is>
      </c>
      <c r="D770" s="17" t="inlineStr"/>
      <c r="E770" s="17" t="inlineStr">
        <is>
          <t>CMO·CDMO</t>
        </is>
      </c>
      <c r="F770" s="17" t="inlineStr">
        <is>
          <t>미확인</t>
        </is>
      </c>
      <c r="G770" s="17" t="inlineStr">
        <is>
          <t>웹조사 자동화 실패(세션한도)</t>
        </is>
      </c>
      <c r="H770" s="17" t="inlineStr">
        <is>
          <t>N</t>
        </is>
      </c>
      <c r="I770" s="17" t="inlineStr">
        <is>
          <t>회사 홈페이지</t>
        </is>
      </c>
      <c r="J770" s="17" t="inlineStr">
        <is>
          <t>회사 홈페이지에서 확인</t>
        </is>
      </c>
      <c r="K770" s="17" t="inlineStr">
        <is>
          <t>낮음</t>
        </is>
      </c>
      <c r="L770" s="17" t="inlineStr"/>
    </row>
    <row r="771">
      <c r="A771" s="17" t="inlineStr">
        <is>
          <t>C122</t>
        </is>
      </c>
      <c r="B771" s="17" t="inlineStr"/>
      <c r="C771" s="17" t="inlineStr">
        <is>
          <t>제일헬스사이언스(주)</t>
        </is>
      </c>
      <c r="D771" s="17" t="inlineStr"/>
      <c r="E771" s="17" t="inlineStr">
        <is>
          <t>신공장·증설</t>
        </is>
      </c>
      <c r="F771" s="17" t="inlineStr">
        <is>
          <t>미확인</t>
        </is>
      </c>
      <c r="G771" s="17" t="inlineStr">
        <is>
          <t>웹조사 자동화 실패(세션한도)</t>
        </is>
      </c>
      <c r="H771" s="17" t="inlineStr">
        <is>
          <t>N</t>
        </is>
      </c>
      <c r="I771" s="17" t="inlineStr">
        <is>
          <t>언론·지자체 발표</t>
        </is>
      </c>
      <c r="J771" s="17" t="inlineStr">
        <is>
          <t>언론·지자체 발표에서 확인</t>
        </is>
      </c>
      <c r="K771" s="17" t="inlineStr">
        <is>
          <t>낮음</t>
        </is>
      </c>
      <c r="L771" s="17" t="inlineStr"/>
    </row>
    <row r="772">
      <c r="A772" s="17" t="inlineStr">
        <is>
          <t>C123</t>
        </is>
      </c>
      <c r="B772" s="17" t="inlineStr"/>
      <c r="C772" s="17" t="inlineStr">
        <is>
          <t>일양약품(주)</t>
        </is>
      </c>
      <c r="D772" s="17" t="inlineStr"/>
      <c r="E772" s="17" t="inlineStr">
        <is>
          <t>최근매출(억원)</t>
        </is>
      </c>
      <c r="F772" s="17" t="inlineStr">
        <is>
          <t>미확인</t>
        </is>
      </c>
      <c r="G772" s="17" t="inlineStr">
        <is>
          <t>웹조사 자동화 실패(세션한도)</t>
        </is>
      </c>
      <c r="H772" s="17" t="inlineStr">
        <is>
          <t>N</t>
        </is>
      </c>
      <c r="I772" s="17" t="inlineStr">
        <is>
          <t>DART 사업보고서</t>
        </is>
      </c>
      <c r="J772" s="17" t="inlineStr">
        <is>
          <t>DART 사업보고서에서 확인</t>
        </is>
      </c>
      <c r="K772" s="17" t="inlineStr">
        <is>
          <t>낮음</t>
        </is>
      </c>
      <c r="L772" s="17" t="inlineStr"/>
    </row>
    <row r="773">
      <c r="A773" s="17" t="inlineStr">
        <is>
          <t>C123</t>
        </is>
      </c>
      <c r="B773" s="17" t="inlineStr"/>
      <c r="C773" s="17" t="inlineStr">
        <is>
          <t>일양약품(주)</t>
        </is>
      </c>
      <c r="D773" s="17" t="inlineStr"/>
      <c r="E773" s="17" t="inlineStr">
        <is>
          <t>종업원수</t>
        </is>
      </c>
      <c r="F773" s="17" t="inlineStr">
        <is>
          <t>미확인</t>
        </is>
      </c>
      <c r="G773" s="17" t="inlineStr">
        <is>
          <t>웹조사 자동화 실패(세션한도)</t>
        </is>
      </c>
      <c r="H773" s="17" t="inlineStr">
        <is>
          <t>N</t>
        </is>
      </c>
      <c r="I773" s="17" t="inlineStr">
        <is>
          <t>DART/채용</t>
        </is>
      </c>
      <c r="J773" s="17" t="inlineStr">
        <is>
          <t>DART/채용에서 확인</t>
        </is>
      </c>
      <c r="K773" s="17" t="inlineStr">
        <is>
          <t>낮음</t>
        </is>
      </c>
      <c r="L773" s="17" t="inlineStr"/>
    </row>
    <row r="774">
      <c r="A774" s="17" t="inlineStr">
        <is>
          <t>C123</t>
        </is>
      </c>
      <c r="B774" s="17" t="inlineStr"/>
      <c r="C774" s="17" t="inlineStr">
        <is>
          <t>일양약품(주)</t>
        </is>
      </c>
      <c r="D774" s="17" t="inlineStr"/>
      <c r="E774" s="17" t="inlineStr">
        <is>
          <t>수출여부</t>
        </is>
      </c>
      <c r="F774" s="17" t="inlineStr">
        <is>
          <t>미확인</t>
        </is>
      </c>
      <c r="G774" s="17" t="inlineStr">
        <is>
          <t>웹조사 자동화 실패(세션한도)</t>
        </is>
      </c>
      <c r="H774" s="17" t="inlineStr">
        <is>
          <t>N</t>
        </is>
      </c>
      <c r="I774" s="17" t="inlineStr">
        <is>
          <t>회사 공시·홈페이지</t>
        </is>
      </c>
      <c r="J774" s="17" t="inlineStr">
        <is>
          <t>회사 공시·홈페이지에서 확인</t>
        </is>
      </c>
      <c r="K774" s="17" t="inlineStr">
        <is>
          <t>낮음</t>
        </is>
      </c>
      <c r="L774" s="17" t="inlineStr"/>
    </row>
    <row r="775">
      <c r="A775" s="17" t="inlineStr">
        <is>
          <t>C123</t>
        </is>
      </c>
      <c r="B775" s="17" t="inlineStr"/>
      <c r="C775" s="17" t="inlineStr">
        <is>
          <t>일양약품(주)</t>
        </is>
      </c>
      <c r="D775" s="17" t="inlineStr"/>
      <c r="E775" s="17" t="inlineStr">
        <is>
          <t>FDA·EMA 실사</t>
        </is>
      </c>
      <c r="F775" s="17" t="inlineStr">
        <is>
          <t>미확인</t>
        </is>
      </c>
      <c r="G775" s="17" t="inlineStr">
        <is>
          <t>웹조사 자동화 실패(세션한도)</t>
        </is>
      </c>
      <c r="H775" s="17" t="inlineStr">
        <is>
          <t>N</t>
        </is>
      </c>
      <c r="I775" s="17" t="inlineStr">
        <is>
          <t>FDA Inspection DB</t>
        </is>
      </c>
      <c r="J775" s="17" t="inlineStr">
        <is>
          <t>FDA Inspection DB에서 확인</t>
        </is>
      </c>
      <c r="K775" s="17" t="inlineStr">
        <is>
          <t>낮음</t>
        </is>
      </c>
      <c r="L775" s="17" t="inlineStr"/>
    </row>
    <row r="776">
      <c r="A776" s="17" t="inlineStr">
        <is>
          <t>C123</t>
        </is>
      </c>
      <c r="B776" s="17" t="inlineStr"/>
      <c r="C776" s="17" t="inlineStr">
        <is>
          <t>일양약품(주)</t>
        </is>
      </c>
      <c r="D776" s="17" t="inlineStr"/>
      <c r="E776" s="17" t="inlineStr">
        <is>
          <t>CMO·CDMO</t>
        </is>
      </c>
      <c r="F776" s="17" t="inlineStr">
        <is>
          <t>미확인</t>
        </is>
      </c>
      <c r="G776" s="17" t="inlineStr">
        <is>
          <t>웹조사 자동화 실패(세션한도)</t>
        </is>
      </c>
      <c r="H776" s="17" t="inlineStr">
        <is>
          <t>N</t>
        </is>
      </c>
      <c r="I776" s="17" t="inlineStr">
        <is>
          <t>회사 홈페이지</t>
        </is>
      </c>
      <c r="J776" s="17" t="inlineStr">
        <is>
          <t>회사 홈페이지에서 확인</t>
        </is>
      </c>
      <c r="K776" s="17" t="inlineStr">
        <is>
          <t>낮음</t>
        </is>
      </c>
      <c r="L776" s="17" t="inlineStr"/>
    </row>
    <row r="777">
      <c r="A777" s="17" t="inlineStr">
        <is>
          <t>C123</t>
        </is>
      </c>
      <c r="B777" s="17" t="inlineStr"/>
      <c r="C777" s="17" t="inlineStr">
        <is>
          <t>일양약품(주)</t>
        </is>
      </c>
      <c r="D777" s="17" t="inlineStr"/>
      <c r="E777" s="17" t="inlineStr">
        <is>
          <t>신공장·증설</t>
        </is>
      </c>
      <c r="F777" s="17" t="inlineStr">
        <is>
          <t>미확인</t>
        </is>
      </c>
      <c r="G777" s="17" t="inlineStr">
        <is>
          <t>웹조사 자동화 실패(세션한도)</t>
        </is>
      </c>
      <c r="H777" s="17" t="inlineStr">
        <is>
          <t>N</t>
        </is>
      </c>
      <c r="I777" s="17" t="inlineStr">
        <is>
          <t>언론·지자체 발표</t>
        </is>
      </c>
      <c r="J777" s="17" t="inlineStr">
        <is>
          <t>언론·지자체 발표에서 확인</t>
        </is>
      </c>
      <c r="K777" s="17" t="inlineStr">
        <is>
          <t>낮음</t>
        </is>
      </c>
      <c r="L777" s="17" t="inlineStr"/>
    </row>
    <row r="778">
      <c r="A778" s="17" t="inlineStr">
        <is>
          <t>C124</t>
        </is>
      </c>
      <c r="B778" s="17" t="inlineStr"/>
      <c r="C778" s="17" t="inlineStr">
        <is>
          <t>(주)한독</t>
        </is>
      </c>
      <c r="D778" s="17" t="inlineStr"/>
      <c r="E778" s="17" t="inlineStr">
        <is>
          <t>최근매출(억원)</t>
        </is>
      </c>
      <c r="F778" s="17" t="inlineStr">
        <is>
          <t>미확인</t>
        </is>
      </c>
      <c r="G778" s="17" t="inlineStr">
        <is>
          <t>웹조사 자동화 실패(세션한도)</t>
        </is>
      </c>
      <c r="H778" s="17" t="inlineStr">
        <is>
          <t>N</t>
        </is>
      </c>
      <c r="I778" s="17" t="inlineStr">
        <is>
          <t>DART 사업보고서</t>
        </is>
      </c>
      <c r="J778" s="17" t="inlineStr">
        <is>
          <t>DART 사업보고서에서 확인</t>
        </is>
      </c>
      <c r="K778" s="17" t="inlineStr">
        <is>
          <t>낮음</t>
        </is>
      </c>
      <c r="L778" s="17" t="inlineStr"/>
    </row>
    <row r="779">
      <c r="A779" s="17" t="inlineStr">
        <is>
          <t>C124</t>
        </is>
      </c>
      <c r="B779" s="17" t="inlineStr"/>
      <c r="C779" s="17" t="inlineStr">
        <is>
          <t>(주)한독</t>
        </is>
      </c>
      <c r="D779" s="17" t="inlineStr"/>
      <c r="E779" s="17" t="inlineStr">
        <is>
          <t>종업원수</t>
        </is>
      </c>
      <c r="F779" s="17" t="inlineStr">
        <is>
          <t>미확인</t>
        </is>
      </c>
      <c r="G779" s="17" t="inlineStr">
        <is>
          <t>웹조사 자동화 실패(세션한도)</t>
        </is>
      </c>
      <c r="H779" s="17" t="inlineStr">
        <is>
          <t>N</t>
        </is>
      </c>
      <c r="I779" s="17" t="inlineStr">
        <is>
          <t>DART/채용</t>
        </is>
      </c>
      <c r="J779" s="17" t="inlineStr">
        <is>
          <t>DART/채용에서 확인</t>
        </is>
      </c>
      <c r="K779" s="17" t="inlineStr">
        <is>
          <t>낮음</t>
        </is>
      </c>
      <c r="L779" s="17" t="inlineStr"/>
    </row>
    <row r="780">
      <c r="A780" s="17" t="inlineStr">
        <is>
          <t>C124</t>
        </is>
      </c>
      <c r="B780" s="17" t="inlineStr"/>
      <c r="C780" s="17" t="inlineStr">
        <is>
          <t>(주)한독</t>
        </is>
      </c>
      <c r="D780" s="17" t="inlineStr"/>
      <c r="E780" s="17" t="inlineStr">
        <is>
          <t>수출여부</t>
        </is>
      </c>
      <c r="F780" s="17" t="inlineStr">
        <is>
          <t>미확인</t>
        </is>
      </c>
      <c r="G780" s="17" t="inlineStr">
        <is>
          <t>웹조사 자동화 실패(세션한도)</t>
        </is>
      </c>
      <c r="H780" s="17" t="inlineStr">
        <is>
          <t>N</t>
        </is>
      </c>
      <c r="I780" s="17" t="inlineStr">
        <is>
          <t>회사 공시·홈페이지</t>
        </is>
      </c>
      <c r="J780" s="17" t="inlineStr">
        <is>
          <t>회사 공시·홈페이지에서 확인</t>
        </is>
      </c>
      <c r="K780" s="17" t="inlineStr">
        <is>
          <t>낮음</t>
        </is>
      </c>
      <c r="L780" s="17" t="inlineStr"/>
    </row>
    <row r="781">
      <c r="A781" s="17" t="inlineStr">
        <is>
          <t>C124</t>
        </is>
      </c>
      <c r="B781" s="17" t="inlineStr"/>
      <c r="C781" s="17" t="inlineStr">
        <is>
          <t>(주)한독</t>
        </is>
      </c>
      <c r="D781" s="17" t="inlineStr"/>
      <c r="E781" s="17" t="inlineStr">
        <is>
          <t>FDA·EMA 실사</t>
        </is>
      </c>
      <c r="F781" s="17" t="inlineStr">
        <is>
          <t>미확인</t>
        </is>
      </c>
      <c r="G781" s="17" t="inlineStr">
        <is>
          <t>웹조사 자동화 실패(세션한도)</t>
        </is>
      </c>
      <c r="H781" s="17" t="inlineStr">
        <is>
          <t>N</t>
        </is>
      </c>
      <c r="I781" s="17" t="inlineStr">
        <is>
          <t>FDA Inspection DB</t>
        </is>
      </c>
      <c r="J781" s="17" t="inlineStr">
        <is>
          <t>FDA Inspection DB에서 확인</t>
        </is>
      </c>
      <c r="K781" s="17" t="inlineStr">
        <is>
          <t>낮음</t>
        </is>
      </c>
      <c r="L781" s="17" t="inlineStr"/>
    </row>
    <row r="782">
      <c r="A782" s="17" t="inlineStr">
        <is>
          <t>C124</t>
        </is>
      </c>
      <c r="B782" s="17" t="inlineStr"/>
      <c r="C782" s="17" t="inlineStr">
        <is>
          <t>(주)한독</t>
        </is>
      </c>
      <c r="D782" s="17" t="inlineStr"/>
      <c r="E782" s="17" t="inlineStr">
        <is>
          <t>CMO·CDMO</t>
        </is>
      </c>
      <c r="F782" s="17" t="inlineStr">
        <is>
          <t>미확인</t>
        </is>
      </c>
      <c r="G782" s="17" t="inlineStr">
        <is>
          <t>웹조사 자동화 실패(세션한도)</t>
        </is>
      </c>
      <c r="H782" s="17" t="inlineStr">
        <is>
          <t>N</t>
        </is>
      </c>
      <c r="I782" s="17" t="inlineStr">
        <is>
          <t>회사 홈페이지</t>
        </is>
      </c>
      <c r="J782" s="17" t="inlineStr">
        <is>
          <t>회사 홈페이지에서 확인</t>
        </is>
      </c>
      <c r="K782" s="17" t="inlineStr">
        <is>
          <t>낮음</t>
        </is>
      </c>
      <c r="L782" s="17" t="inlineStr"/>
    </row>
    <row r="783">
      <c r="A783" s="17" t="inlineStr">
        <is>
          <t>C124</t>
        </is>
      </c>
      <c r="B783" s="17" t="inlineStr"/>
      <c r="C783" s="17" t="inlineStr">
        <is>
          <t>(주)한독</t>
        </is>
      </c>
      <c r="D783" s="17" t="inlineStr"/>
      <c r="E783" s="17" t="inlineStr">
        <is>
          <t>신공장·증설</t>
        </is>
      </c>
      <c r="F783" s="17" t="inlineStr">
        <is>
          <t>미확인</t>
        </is>
      </c>
      <c r="G783" s="17" t="inlineStr">
        <is>
          <t>웹조사 자동화 실패(세션한도)</t>
        </is>
      </c>
      <c r="H783" s="17" t="inlineStr">
        <is>
          <t>N</t>
        </is>
      </c>
      <c r="I783" s="17" t="inlineStr">
        <is>
          <t>언론·지자체 발표</t>
        </is>
      </c>
      <c r="J783" s="17" t="inlineStr">
        <is>
          <t>언론·지자체 발표에서 확인</t>
        </is>
      </c>
      <c r="K783" s="17" t="inlineStr">
        <is>
          <t>낮음</t>
        </is>
      </c>
      <c r="L783" s="17" t="inlineStr"/>
    </row>
    <row r="784">
      <c r="A784" s="17" t="inlineStr">
        <is>
          <t>C125</t>
        </is>
      </c>
      <c r="B784" s="17" t="inlineStr"/>
      <c r="C784" s="17" t="inlineStr">
        <is>
          <t>신양메디슨(주)</t>
        </is>
      </c>
      <c r="D784" s="17" t="inlineStr"/>
      <c r="E784" s="17" t="inlineStr">
        <is>
          <t>최근매출(억원)</t>
        </is>
      </c>
      <c r="F784" s="17" t="inlineStr">
        <is>
          <t>미확인</t>
        </is>
      </c>
      <c r="G784" s="17" t="inlineStr">
        <is>
          <t>웹조사 자동화 실패(세션한도)</t>
        </is>
      </c>
      <c r="H784" s="17" t="inlineStr">
        <is>
          <t>N</t>
        </is>
      </c>
      <c r="I784" s="17" t="inlineStr">
        <is>
          <t>DART 사업보고서</t>
        </is>
      </c>
      <c r="J784" s="17" t="inlineStr">
        <is>
          <t>DART 사업보고서에서 확인</t>
        </is>
      </c>
      <c r="K784" s="17" t="inlineStr">
        <is>
          <t>낮음</t>
        </is>
      </c>
      <c r="L784" s="17" t="inlineStr"/>
    </row>
    <row r="785">
      <c r="A785" s="17" t="inlineStr">
        <is>
          <t>C125</t>
        </is>
      </c>
      <c r="B785" s="17" t="inlineStr"/>
      <c r="C785" s="17" t="inlineStr">
        <is>
          <t>신양메디슨(주)</t>
        </is>
      </c>
      <c r="D785" s="17" t="inlineStr"/>
      <c r="E785" s="17" t="inlineStr">
        <is>
          <t>종업원수</t>
        </is>
      </c>
      <c r="F785" s="17" t="inlineStr">
        <is>
          <t>미확인</t>
        </is>
      </c>
      <c r="G785" s="17" t="inlineStr">
        <is>
          <t>웹조사 자동화 실패(세션한도)</t>
        </is>
      </c>
      <c r="H785" s="17" t="inlineStr">
        <is>
          <t>N</t>
        </is>
      </c>
      <c r="I785" s="17" t="inlineStr">
        <is>
          <t>DART/채용</t>
        </is>
      </c>
      <c r="J785" s="17" t="inlineStr">
        <is>
          <t>DART/채용에서 확인</t>
        </is>
      </c>
      <c r="K785" s="17" t="inlineStr">
        <is>
          <t>낮음</t>
        </is>
      </c>
      <c r="L785" s="17" t="inlineStr"/>
    </row>
    <row r="786">
      <c r="A786" s="17" t="inlineStr">
        <is>
          <t>C125</t>
        </is>
      </c>
      <c r="B786" s="17" t="inlineStr"/>
      <c r="C786" s="17" t="inlineStr">
        <is>
          <t>신양메디슨(주)</t>
        </is>
      </c>
      <c r="D786" s="17" t="inlineStr"/>
      <c r="E786" s="17" t="inlineStr">
        <is>
          <t>수출여부</t>
        </is>
      </c>
      <c r="F786" s="17" t="inlineStr">
        <is>
          <t>미확인</t>
        </is>
      </c>
      <c r="G786" s="17" t="inlineStr">
        <is>
          <t>웹조사 자동화 실패(세션한도)</t>
        </is>
      </c>
      <c r="H786" s="17" t="inlineStr">
        <is>
          <t>N</t>
        </is>
      </c>
      <c r="I786" s="17" t="inlineStr">
        <is>
          <t>회사 공시·홈페이지</t>
        </is>
      </c>
      <c r="J786" s="17" t="inlineStr">
        <is>
          <t>회사 공시·홈페이지에서 확인</t>
        </is>
      </c>
      <c r="K786" s="17" t="inlineStr">
        <is>
          <t>낮음</t>
        </is>
      </c>
      <c r="L786" s="17" t="inlineStr"/>
    </row>
    <row r="787">
      <c r="A787" s="17" t="inlineStr">
        <is>
          <t>C125</t>
        </is>
      </c>
      <c r="B787" s="17" t="inlineStr"/>
      <c r="C787" s="17" t="inlineStr">
        <is>
          <t>신양메디슨(주)</t>
        </is>
      </c>
      <c r="D787" s="17" t="inlineStr"/>
      <c r="E787" s="17" t="inlineStr">
        <is>
          <t>FDA·EMA 실사</t>
        </is>
      </c>
      <c r="F787" s="17" t="inlineStr">
        <is>
          <t>미확인</t>
        </is>
      </c>
      <c r="G787" s="17" t="inlineStr">
        <is>
          <t>웹조사 자동화 실패(세션한도)</t>
        </is>
      </c>
      <c r="H787" s="17" t="inlineStr">
        <is>
          <t>N</t>
        </is>
      </c>
      <c r="I787" s="17" t="inlineStr">
        <is>
          <t>FDA Inspection DB</t>
        </is>
      </c>
      <c r="J787" s="17" t="inlineStr">
        <is>
          <t>FDA Inspection DB에서 확인</t>
        </is>
      </c>
      <c r="K787" s="17" t="inlineStr">
        <is>
          <t>낮음</t>
        </is>
      </c>
      <c r="L787" s="17" t="inlineStr"/>
    </row>
    <row r="788">
      <c r="A788" s="17" t="inlineStr">
        <is>
          <t>C125</t>
        </is>
      </c>
      <c r="B788" s="17" t="inlineStr"/>
      <c r="C788" s="17" t="inlineStr">
        <is>
          <t>신양메디슨(주)</t>
        </is>
      </c>
      <c r="D788" s="17" t="inlineStr"/>
      <c r="E788" s="17" t="inlineStr">
        <is>
          <t>CMO·CDMO</t>
        </is>
      </c>
      <c r="F788" s="17" t="inlineStr">
        <is>
          <t>미확인</t>
        </is>
      </c>
      <c r="G788" s="17" t="inlineStr">
        <is>
          <t>웹조사 자동화 실패(세션한도)</t>
        </is>
      </c>
      <c r="H788" s="17" t="inlineStr">
        <is>
          <t>N</t>
        </is>
      </c>
      <c r="I788" s="17" t="inlineStr">
        <is>
          <t>회사 홈페이지</t>
        </is>
      </c>
      <c r="J788" s="17" t="inlineStr">
        <is>
          <t>회사 홈페이지에서 확인</t>
        </is>
      </c>
      <c r="K788" s="17" t="inlineStr">
        <is>
          <t>낮음</t>
        </is>
      </c>
      <c r="L788" s="17" t="inlineStr"/>
    </row>
    <row r="789">
      <c r="A789" s="17" t="inlineStr">
        <is>
          <t>C125</t>
        </is>
      </c>
      <c r="B789" s="17" t="inlineStr"/>
      <c r="C789" s="17" t="inlineStr">
        <is>
          <t>신양메디슨(주)</t>
        </is>
      </c>
      <c r="D789" s="17" t="inlineStr"/>
      <c r="E789" s="17" t="inlineStr">
        <is>
          <t>신공장·증설</t>
        </is>
      </c>
      <c r="F789" s="17" t="inlineStr">
        <is>
          <t>미확인</t>
        </is>
      </c>
      <c r="G789" s="17" t="inlineStr">
        <is>
          <t>웹조사 자동화 실패(세션한도)</t>
        </is>
      </c>
      <c r="H789" s="17" t="inlineStr">
        <is>
          <t>N</t>
        </is>
      </c>
      <c r="I789" s="17" t="inlineStr">
        <is>
          <t>언론·지자체 발표</t>
        </is>
      </c>
      <c r="J789" s="17" t="inlineStr">
        <is>
          <t>언론·지자체 발표에서 확인</t>
        </is>
      </c>
      <c r="K789" s="17" t="inlineStr">
        <is>
          <t>낮음</t>
        </is>
      </c>
      <c r="L789" s="17" t="inlineStr"/>
    </row>
    <row r="790">
      <c r="A790" s="17" t="inlineStr">
        <is>
          <t>C126</t>
        </is>
      </c>
      <c r="B790" s="17" t="inlineStr"/>
      <c r="C790" s="17" t="inlineStr">
        <is>
          <t>하나제약(주)</t>
        </is>
      </c>
      <c r="D790" s="17" t="inlineStr"/>
      <c r="E790" s="17" t="inlineStr">
        <is>
          <t>최근매출(억원)</t>
        </is>
      </c>
      <c r="F790" s="17" t="inlineStr">
        <is>
          <t>미확인</t>
        </is>
      </c>
      <c r="G790" s="17" t="inlineStr">
        <is>
          <t>웹조사 자동화 실패(세션한도)</t>
        </is>
      </c>
      <c r="H790" s="17" t="inlineStr">
        <is>
          <t>N</t>
        </is>
      </c>
      <c r="I790" s="17" t="inlineStr">
        <is>
          <t>DART 사업보고서</t>
        </is>
      </c>
      <c r="J790" s="17" t="inlineStr">
        <is>
          <t>DART 사업보고서에서 확인</t>
        </is>
      </c>
      <c r="K790" s="17" t="inlineStr">
        <is>
          <t>낮음</t>
        </is>
      </c>
      <c r="L790" s="17" t="inlineStr"/>
    </row>
    <row r="791">
      <c r="A791" s="17" t="inlineStr">
        <is>
          <t>C126</t>
        </is>
      </c>
      <c r="B791" s="17" t="inlineStr"/>
      <c r="C791" s="17" t="inlineStr">
        <is>
          <t>하나제약(주)</t>
        </is>
      </c>
      <c r="D791" s="17" t="inlineStr"/>
      <c r="E791" s="17" t="inlineStr">
        <is>
          <t>종업원수</t>
        </is>
      </c>
      <c r="F791" s="17" t="inlineStr">
        <is>
          <t>미확인</t>
        </is>
      </c>
      <c r="G791" s="17" t="inlineStr">
        <is>
          <t>웹조사 자동화 실패(세션한도)</t>
        </is>
      </c>
      <c r="H791" s="17" t="inlineStr">
        <is>
          <t>N</t>
        </is>
      </c>
      <c r="I791" s="17" t="inlineStr">
        <is>
          <t>DART/채용</t>
        </is>
      </c>
      <c r="J791" s="17" t="inlineStr">
        <is>
          <t>DART/채용에서 확인</t>
        </is>
      </c>
      <c r="K791" s="17" t="inlineStr">
        <is>
          <t>낮음</t>
        </is>
      </c>
      <c r="L791" s="17" t="inlineStr"/>
    </row>
    <row r="792">
      <c r="A792" s="17" t="inlineStr">
        <is>
          <t>C126</t>
        </is>
      </c>
      <c r="B792" s="17" t="inlineStr"/>
      <c r="C792" s="17" t="inlineStr">
        <is>
          <t>하나제약(주)</t>
        </is>
      </c>
      <c r="D792" s="17" t="inlineStr"/>
      <c r="E792" s="17" t="inlineStr">
        <is>
          <t>수출여부</t>
        </is>
      </c>
      <c r="F792" s="17" t="inlineStr">
        <is>
          <t>미확인</t>
        </is>
      </c>
      <c r="G792" s="17" t="inlineStr">
        <is>
          <t>웹조사 자동화 실패(세션한도)</t>
        </is>
      </c>
      <c r="H792" s="17" t="inlineStr">
        <is>
          <t>N</t>
        </is>
      </c>
      <c r="I792" s="17" t="inlineStr">
        <is>
          <t>회사 공시·홈페이지</t>
        </is>
      </c>
      <c r="J792" s="17" t="inlineStr">
        <is>
          <t>회사 공시·홈페이지에서 확인</t>
        </is>
      </c>
      <c r="K792" s="17" t="inlineStr">
        <is>
          <t>낮음</t>
        </is>
      </c>
      <c r="L792" s="17" t="inlineStr"/>
    </row>
    <row r="793">
      <c r="A793" s="17" t="inlineStr">
        <is>
          <t>C126</t>
        </is>
      </c>
      <c r="B793" s="17" t="inlineStr"/>
      <c r="C793" s="17" t="inlineStr">
        <is>
          <t>하나제약(주)</t>
        </is>
      </c>
      <c r="D793" s="17" t="inlineStr"/>
      <c r="E793" s="17" t="inlineStr">
        <is>
          <t>FDA·EMA 실사</t>
        </is>
      </c>
      <c r="F793" s="17" t="inlineStr">
        <is>
          <t>미확인</t>
        </is>
      </c>
      <c r="G793" s="17" t="inlineStr">
        <is>
          <t>웹조사 자동화 실패(세션한도)</t>
        </is>
      </c>
      <c r="H793" s="17" t="inlineStr">
        <is>
          <t>N</t>
        </is>
      </c>
      <c r="I793" s="17" t="inlineStr">
        <is>
          <t>FDA Inspection DB</t>
        </is>
      </c>
      <c r="J793" s="17" t="inlineStr">
        <is>
          <t>FDA Inspection DB에서 확인</t>
        </is>
      </c>
      <c r="K793" s="17" t="inlineStr">
        <is>
          <t>낮음</t>
        </is>
      </c>
      <c r="L793" s="17" t="inlineStr"/>
    </row>
    <row r="794">
      <c r="A794" s="17" t="inlineStr">
        <is>
          <t>C126</t>
        </is>
      </c>
      <c r="B794" s="17" t="inlineStr"/>
      <c r="C794" s="17" t="inlineStr">
        <is>
          <t>하나제약(주)</t>
        </is>
      </c>
      <c r="D794" s="17" t="inlineStr"/>
      <c r="E794" s="17" t="inlineStr">
        <is>
          <t>CMO·CDMO</t>
        </is>
      </c>
      <c r="F794" s="17" t="inlineStr">
        <is>
          <t>미확인</t>
        </is>
      </c>
      <c r="G794" s="17" t="inlineStr">
        <is>
          <t>웹조사 자동화 실패(세션한도)</t>
        </is>
      </c>
      <c r="H794" s="17" t="inlineStr">
        <is>
          <t>N</t>
        </is>
      </c>
      <c r="I794" s="17" t="inlineStr">
        <is>
          <t>회사 홈페이지</t>
        </is>
      </c>
      <c r="J794" s="17" t="inlineStr">
        <is>
          <t>회사 홈페이지에서 확인</t>
        </is>
      </c>
      <c r="K794" s="17" t="inlineStr">
        <is>
          <t>낮음</t>
        </is>
      </c>
      <c r="L794" s="17" t="inlineStr"/>
    </row>
    <row r="795">
      <c r="A795" s="17" t="inlineStr">
        <is>
          <t>C126</t>
        </is>
      </c>
      <c r="B795" s="17" t="inlineStr"/>
      <c r="C795" s="17" t="inlineStr">
        <is>
          <t>하나제약(주)</t>
        </is>
      </c>
      <c r="D795" s="17" t="inlineStr"/>
      <c r="E795" s="17" t="inlineStr">
        <is>
          <t>신공장·증설</t>
        </is>
      </c>
      <c r="F795" s="17" t="inlineStr">
        <is>
          <t>미확인</t>
        </is>
      </c>
      <c r="G795" s="17" t="inlineStr">
        <is>
          <t>웹조사 자동화 실패(세션한도)</t>
        </is>
      </c>
      <c r="H795" s="17" t="inlineStr">
        <is>
          <t>N</t>
        </is>
      </c>
      <c r="I795" s="17" t="inlineStr">
        <is>
          <t>언론·지자체 발표</t>
        </is>
      </c>
      <c r="J795" s="17" t="inlineStr">
        <is>
          <t>언론·지자체 발표에서 확인</t>
        </is>
      </c>
      <c r="K795" s="17" t="inlineStr">
        <is>
          <t>낮음</t>
        </is>
      </c>
      <c r="L795" s="17" t="inlineStr"/>
    </row>
    <row r="796">
      <c r="A796" s="17" t="inlineStr">
        <is>
          <t>C127</t>
        </is>
      </c>
      <c r="B796" s="17" t="inlineStr"/>
      <c r="C796" s="17" t="inlineStr">
        <is>
          <t>맥널티제약(주)</t>
        </is>
      </c>
      <c r="D796" s="17" t="inlineStr"/>
      <c r="E796" s="17" t="inlineStr">
        <is>
          <t>최근매출(억원)</t>
        </is>
      </c>
      <c r="F796" s="17" t="inlineStr">
        <is>
          <t>미확인</t>
        </is>
      </c>
      <c r="G796" s="17" t="inlineStr">
        <is>
          <t>웹조사 자동화 실패(세션한도)</t>
        </is>
      </c>
      <c r="H796" s="17" t="inlineStr">
        <is>
          <t>N</t>
        </is>
      </c>
      <c r="I796" s="17" t="inlineStr">
        <is>
          <t>DART 사업보고서</t>
        </is>
      </c>
      <c r="J796" s="17" t="inlineStr">
        <is>
          <t>DART 사업보고서에서 확인</t>
        </is>
      </c>
      <c r="K796" s="17" t="inlineStr">
        <is>
          <t>낮음</t>
        </is>
      </c>
      <c r="L796" s="17" t="inlineStr"/>
    </row>
    <row r="797">
      <c r="A797" s="17" t="inlineStr">
        <is>
          <t>C127</t>
        </is>
      </c>
      <c r="B797" s="17" t="inlineStr"/>
      <c r="C797" s="17" t="inlineStr">
        <is>
          <t>맥널티제약(주)</t>
        </is>
      </c>
      <c r="D797" s="17" t="inlineStr"/>
      <c r="E797" s="17" t="inlineStr">
        <is>
          <t>종업원수</t>
        </is>
      </c>
      <c r="F797" s="17" t="inlineStr">
        <is>
          <t>미확인</t>
        </is>
      </c>
      <c r="G797" s="17" t="inlineStr">
        <is>
          <t>웹조사 자동화 실패(세션한도)</t>
        </is>
      </c>
      <c r="H797" s="17" t="inlineStr">
        <is>
          <t>N</t>
        </is>
      </c>
      <c r="I797" s="17" t="inlineStr">
        <is>
          <t>DART/채용</t>
        </is>
      </c>
      <c r="J797" s="17" t="inlineStr">
        <is>
          <t>DART/채용에서 확인</t>
        </is>
      </c>
      <c r="K797" s="17" t="inlineStr">
        <is>
          <t>낮음</t>
        </is>
      </c>
      <c r="L797" s="17" t="inlineStr"/>
    </row>
    <row r="798">
      <c r="A798" s="17" t="inlineStr">
        <is>
          <t>C127</t>
        </is>
      </c>
      <c r="B798" s="17" t="inlineStr"/>
      <c r="C798" s="17" t="inlineStr">
        <is>
          <t>맥널티제약(주)</t>
        </is>
      </c>
      <c r="D798" s="17" t="inlineStr"/>
      <c r="E798" s="17" t="inlineStr">
        <is>
          <t>수출여부</t>
        </is>
      </c>
      <c r="F798" s="17" t="inlineStr">
        <is>
          <t>미확인</t>
        </is>
      </c>
      <c r="G798" s="17" t="inlineStr">
        <is>
          <t>웹조사 자동화 실패(세션한도)</t>
        </is>
      </c>
      <c r="H798" s="17" t="inlineStr">
        <is>
          <t>N</t>
        </is>
      </c>
      <c r="I798" s="17" t="inlineStr">
        <is>
          <t>회사 공시·홈페이지</t>
        </is>
      </c>
      <c r="J798" s="17" t="inlineStr">
        <is>
          <t>회사 공시·홈페이지에서 확인</t>
        </is>
      </c>
      <c r="K798" s="17" t="inlineStr">
        <is>
          <t>낮음</t>
        </is>
      </c>
      <c r="L798" s="17" t="inlineStr"/>
    </row>
    <row r="799">
      <c r="A799" s="17" t="inlineStr">
        <is>
          <t>C127</t>
        </is>
      </c>
      <c r="B799" s="17" t="inlineStr"/>
      <c r="C799" s="17" t="inlineStr">
        <is>
          <t>맥널티제약(주)</t>
        </is>
      </c>
      <c r="D799" s="17" t="inlineStr"/>
      <c r="E799" s="17" t="inlineStr">
        <is>
          <t>FDA·EMA 실사</t>
        </is>
      </c>
      <c r="F799" s="17" t="inlineStr">
        <is>
          <t>미확인</t>
        </is>
      </c>
      <c r="G799" s="17" t="inlineStr">
        <is>
          <t>웹조사 자동화 실패(세션한도)</t>
        </is>
      </c>
      <c r="H799" s="17" t="inlineStr">
        <is>
          <t>N</t>
        </is>
      </c>
      <c r="I799" s="17" t="inlineStr">
        <is>
          <t>FDA Inspection DB</t>
        </is>
      </c>
      <c r="J799" s="17" t="inlineStr">
        <is>
          <t>FDA Inspection DB에서 확인</t>
        </is>
      </c>
      <c r="K799" s="17" t="inlineStr">
        <is>
          <t>낮음</t>
        </is>
      </c>
      <c r="L799" s="17" t="inlineStr"/>
    </row>
    <row r="800">
      <c r="A800" s="17" t="inlineStr">
        <is>
          <t>C127</t>
        </is>
      </c>
      <c r="B800" s="17" t="inlineStr"/>
      <c r="C800" s="17" t="inlineStr">
        <is>
          <t>맥널티제약(주)</t>
        </is>
      </c>
      <c r="D800" s="17" t="inlineStr"/>
      <c r="E800" s="17" t="inlineStr">
        <is>
          <t>CMO·CDMO</t>
        </is>
      </c>
      <c r="F800" s="17" t="inlineStr">
        <is>
          <t>미확인</t>
        </is>
      </c>
      <c r="G800" s="17" t="inlineStr">
        <is>
          <t>웹조사 자동화 실패(세션한도)</t>
        </is>
      </c>
      <c r="H800" s="17" t="inlineStr">
        <is>
          <t>N</t>
        </is>
      </c>
      <c r="I800" s="17" t="inlineStr">
        <is>
          <t>회사 홈페이지</t>
        </is>
      </c>
      <c r="J800" s="17" t="inlineStr">
        <is>
          <t>회사 홈페이지에서 확인</t>
        </is>
      </c>
      <c r="K800" s="17" t="inlineStr">
        <is>
          <t>낮음</t>
        </is>
      </c>
      <c r="L800" s="17" t="inlineStr"/>
    </row>
    <row r="801">
      <c r="A801" s="17" t="inlineStr">
        <is>
          <t>C127</t>
        </is>
      </c>
      <c r="B801" s="17" t="inlineStr"/>
      <c r="C801" s="17" t="inlineStr">
        <is>
          <t>맥널티제약(주)</t>
        </is>
      </c>
      <c r="D801" s="17" t="inlineStr"/>
      <c r="E801" s="17" t="inlineStr">
        <is>
          <t>신공장·증설</t>
        </is>
      </c>
      <c r="F801" s="17" t="inlineStr">
        <is>
          <t>미확인</t>
        </is>
      </c>
      <c r="G801" s="17" t="inlineStr">
        <is>
          <t>웹조사 자동화 실패(세션한도)</t>
        </is>
      </c>
      <c r="H801" s="17" t="inlineStr">
        <is>
          <t>N</t>
        </is>
      </c>
      <c r="I801" s="17" t="inlineStr">
        <is>
          <t>언론·지자체 발표</t>
        </is>
      </c>
      <c r="J801" s="17" t="inlineStr">
        <is>
          <t>언론·지자체 발표에서 확인</t>
        </is>
      </c>
      <c r="K801" s="17" t="inlineStr">
        <is>
          <t>낮음</t>
        </is>
      </c>
      <c r="L801" s="17" t="inlineStr"/>
    </row>
    <row r="802">
      <c r="A802" s="17" t="inlineStr">
        <is>
          <t>C128</t>
        </is>
      </c>
      <c r="B802" s="17" t="inlineStr"/>
      <c r="C802" s="17" t="inlineStr">
        <is>
          <t>(주)대한특수가스</t>
        </is>
      </c>
      <c r="D802" s="17" t="inlineStr"/>
      <c r="E802" s="17" t="inlineStr">
        <is>
          <t>최근매출(억원)</t>
        </is>
      </c>
      <c r="F802" s="17" t="inlineStr">
        <is>
          <t>미확인</t>
        </is>
      </c>
      <c r="G802" s="17" t="inlineStr">
        <is>
          <t>웹조사 자동화 실패(세션한도)</t>
        </is>
      </c>
      <c r="H802" s="17" t="inlineStr">
        <is>
          <t>N</t>
        </is>
      </c>
      <c r="I802" s="17" t="inlineStr">
        <is>
          <t>DART 사업보고서</t>
        </is>
      </c>
      <c r="J802" s="17" t="inlineStr">
        <is>
          <t>DART 사업보고서에서 확인</t>
        </is>
      </c>
      <c r="K802" s="17" t="inlineStr">
        <is>
          <t>낮음</t>
        </is>
      </c>
      <c r="L802" s="17" t="inlineStr"/>
    </row>
    <row r="803">
      <c r="A803" s="17" t="inlineStr">
        <is>
          <t>C128</t>
        </is>
      </c>
      <c r="B803" s="17" t="inlineStr"/>
      <c r="C803" s="17" t="inlineStr">
        <is>
          <t>(주)대한특수가스</t>
        </is>
      </c>
      <c r="D803" s="17" t="inlineStr"/>
      <c r="E803" s="17" t="inlineStr">
        <is>
          <t>종업원수</t>
        </is>
      </c>
      <c r="F803" s="17" t="inlineStr">
        <is>
          <t>미확인</t>
        </is>
      </c>
      <c r="G803" s="17" t="inlineStr">
        <is>
          <t>웹조사 자동화 실패(세션한도)</t>
        </is>
      </c>
      <c r="H803" s="17" t="inlineStr">
        <is>
          <t>N</t>
        </is>
      </c>
      <c r="I803" s="17" t="inlineStr">
        <is>
          <t>DART/채용</t>
        </is>
      </c>
      <c r="J803" s="17" t="inlineStr">
        <is>
          <t>DART/채용에서 확인</t>
        </is>
      </c>
      <c r="K803" s="17" t="inlineStr">
        <is>
          <t>낮음</t>
        </is>
      </c>
      <c r="L803" s="17" t="inlineStr"/>
    </row>
    <row r="804">
      <c r="A804" s="17" t="inlineStr">
        <is>
          <t>C128</t>
        </is>
      </c>
      <c r="B804" s="17" t="inlineStr"/>
      <c r="C804" s="17" t="inlineStr">
        <is>
          <t>(주)대한특수가스</t>
        </is>
      </c>
      <c r="D804" s="17" t="inlineStr"/>
      <c r="E804" s="17" t="inlineStr">
        <is>
          <t>수출여부</t>
        </is>
      </c>
      <c r="F804" s="17" t="inlineStr">
        <is>
          <t>미확인</t>
        </is>
      </c>
      <c r="G804" s="17" t="inlineStr">
        <is>
          <t>웹조사 자동화 실패(세션한도)</t>
        </is>
      </c>
      <c r="H804" s="17" t="inlineStr">
        <is>
          <t>N</t>
        </is>
      </c>
      <c r="I804" s="17" t="inlineStr">
        <is>
          <t>회사 공시·홈페이지</t>
        </is>
      </c>
      <c r="J804" s="17" t="inlineStr">
        <is>
          <t>회사 공시·홈페이지에서 확인</t>
        </is>
      </c>
      <c r="K804" s="17" t="inlineStr">
        <is>
          <t>낮음</t>
        </is>
      </c>
      <c r="L804" s="17" t="inlineStr"/>
    </row>
    <row r="805">
      <c r="A805" s="17" t="inlineStr">
        <is>
          <t>C128</t>
        </is>
      </c>
      <c r="B805" s="17" t="inlineStr"/>
      <c r="C805" s="17" t="inlineStr">
        <is>
          <t>(주)대한특수가스</t>
        </is>
      </c>
      <c r="D805" s="17" t="inlineStr"/>
      <c r="E805" s="17" t="inlineStr">
        <is>
          <t>FDA·EMA 실사</t>
        </is>
      </c>
      <c r="F805" s="17" t="inlineStr">
        <is>
          <t>미확인</t>
        </is>
      </c>
      <c r="G805" s="17" t="inlineStr">
        <is>
          <t>웹조사 자동화 실패(세션한도)</t>
        </is>
      </c>
      <c r="H805" s="17" t="inlineStr">
        <is>
          <t>N</t>
        </is>
      </c>
      <c r="I805" s="17" t="inlineStr">
        <is>
          <t>FDA Inspection DB</t>
        </is>
      </c>
      <c r="J805" s="17" t="inlineStr">
        <is>
          <t>FDA Inspection DB에서 확인</t>
        </is>
      </c>
      <c r="K805" s="17" t="inlineStr">
        <is>
          <t>낮음</t>
        </is>
      </c>
      <c r="L805" s="17" t="inlineStr"/>
    </row>
    <row r="806">
      <c r="A806" s="17" t="inlineStr">
        <is>
          <t>C128</t>
        </is>
      </c>
      <c r="B806" s="17" t="inlineStr"/>
      <c r="C806" s="17" t="inlineStr">
        <is>
          <t>(주)대한특수가스</t>
        </is>
      </c>
      <c r="D806" s="17" t="inlineStr"/>
      <c r="E806" s="17" t="inlineStr">
        <is>
          <t>CMO·CDMO</t>
        </is>
      </c>
      <c r="F806" s="17" t="inlineStr">
        <is>
          <t>미확인</t>
        </is>
      </c>
      <c r="G806" s="17" t="inlineStr">
        <is>
          <t>웹조사 자동화 실패(세션한도)</t>
        </is>
      </c>
      <c r="H806" s="17" t="inlineStr">
        <is>
          <t>N</t>
        </is>
      </c>
      <c r="I806" s="17" t="inlineStr">
        <is>
          <t>회사 홈페이지</t>
        </is>
      </c>
      <c r="J806" s="17" t="inlineStr">
        <is>
          <t>회사 홈페이지에서 확인</t>
        </is>
      </c>
      <c r="K806" s="17" t="inlineStr">
        <is>
          <t>낮음</t>
        </is>
      </c>
      <c r="L806" s="17" t="inlineStr"/>
    </row>
    <row r="807">
      <c r="A807" s="17" t="inlineStr">
        <is>
          <t>C128</t>
        </is>
      </c>
      <c r="B807" s="17" t="inlineStr"/>
      <c r="C807" s="17" t="inlineStr">
        <is>
          <t>(주)대한특수가스</t>
        </is>
      </c>
      <c r="D807" s="17" t="inlineStr"/>
      <c r="E807" s="17" t="inlineStr">
        <is>
          <t>신공장·증설</t>
        </is>
      </c>
      <c r="F807" s="17" t="inlineStr">
        <is>
          <t>미확인</t>
        </is>
      </c>
      <c r="G807" s="17" t="inlineStr">
        <is>
          <t>웹조사 자동화 실패(세션한도)</t>
        </is>
      </c>
      <c r="H807" s="17" t="inlineStr">
        <is>
          <t>N</t>
        </is>
      </c>
      <c r="I807" s="17" t="inlineStr">
        <is>
          <t>언론·지자체 발표</t>
        </is>
      </c>
      <c r="J807" s="17" t="inlineStr">
        <is>
          <t>언론·지자체 발표에서 확인</t>
        </is>
      </c>
      <c r="K807" s="17" t="inlineStr">
        <is>
          <t>낮음</t>
        </is>
      </c>
      <c r="L807" s="17" t="inlineStr"/>
    </row>
    <row r="808">
      <c r="A808" s="17" t="inlineStr">
        <is>
          <t>C129</t>
        </is>
      </c>
      <c r="B808" s="17" t="inlineStr"/>
      <c r="C808" s="17" t="inlineStr">
        <is>
          <t>에스케이바이오텍(주)</t>
        </is>
      </c>
      <c r="D808" s="17" t="inlineStr"/>
      <c r="E808" s="17" t="inlineStr">
        <is>
          <t>최근매출(억원)</t>
        </is>
      </c>
      <c r="F808" s="17" t="inlineStr">
        <is>
          <t>미확인</t>
        </is>
      </c>
      <c r="G808" s="17" t="inlineStr">
        <is>
          <t>웹조사 자동화 실패(세션한도)</t>
        </is>
      </c>
      <c r="H808" s="17" t="inlineStr">
        <is>
          <t>N</t>
        </is>
      </c>
      <c r="I808" s="17" t="inlineStr">
        <is>
          <t>DART 사업보고서</t>
        </is>
      </c>
      <c r="J808" s="17" t="inlineStr">
        <is>
          <t>DART 사업보고서에서 확인</t>
        </is>
      </c>
      <c r="K808" s="17" t="inlineStr">
        <is>
          <t>낮음</t>
        </is>
      </c>
      <c r="L808" s="17" t="inlineStr"/>
    </row>
    <row r="809">
      <c r="A809" s="17" t="inlineStr">
        <is>
          <t>C129</t>
        </is>
      </c>
      <c r="B809" s="17" t="inlineStr"/>
      <c r="C809" s="17" t="inlineStr">
        <is>
          <t>에스케이바이오텍(주)</t>
        </is>
      </c>
      <c r="D809" s="17" t="inlineStr"/>
      <c r="E809" s="17" t="inlineStr">
        <is>
          <t>종업원수</t>
        </is>
      </c>
      <c r="F809" s="17" t="inlineStr">
        <is>
          <t>미확인</t>
        </is>
      </c>
      <c r="G809" s="17" t="inlineStr">
        <is>
          <t>웹조사 자동화 실패(세션한도)</t>
        </is>
      </c>
      <c r="H809" s="17" t="inlineStr">
        <is>
          <t>N</t>
        </is>
      </c>
      <c r="I809" s="17" t="inlineStr">
        <is>
          <t>DART/채용</t>
        </is>
      </c>
      <c r="J809" s="17" t="inlineStr">
        <is>
          <t>DART/채용에서 확인</t>
        </is>
      </c>
      <c r="K809" s="17" t="inlineStr">
        <is>
          <t>낮음</t>
        </is>
      </c>
      <c r="L809" s="17" t="inlineStr"/>
    </row>
    <row r="810">
      <c r="A810" s="17" t="inlineStr">
        <is>
          <t>C129</t>
        </is>
      </c>
      <c r="B810" s="17" t="inlineStr"/>
      <c r="C810" s="17" t="inlineStr">
        <is>
          <t>에스케이바이오텍(주)</t>
        </is>
      </c>
      <c r="D810" s="17" t="inlineStr"/>
      <c r="E810" s="17" t="inlineStr">
        <is>
          <t>수출여부</t>
        </is>
      </c>
      <c r="F810" s="17" t="inlineStr">
        <is>
          <t>미확인</t>
        </is>
      </c>
      <c r="G810" s="17" t="inlineStr">
        <is>
          <t>웹조사 자동화 실패(세션한도)</t>
        </is>
      </c>
      <c r="H810" s="17" t="inlineStr">
        <is>
          <t>N</t>
        </is>
      </c>
      <c r="I810" s="17" t="inlineStr">
        <is>
          <t>회사 공시·홈페이지</t>
        </is>
      </c>
      <c r="J810" s="17" t="inlineStr">
        <is>
          <t>회사 공시·홈페이지에서 확인</t>
        </is>
      </c>
      <c r="K810" s="17" t="inlineStr">
        <is>
          <t>낮음</t>
        </is>
      </c>
      <c r="L810" s="17" t="inlineStr"/>
    </row>
    <row r="811">
      <c r="A811" s="17" t="inlineStr">
        <is>
          <t>C129</t>
        </is>
      </c>
      <c r="B811" s="17" t="inlineStr"/>
      <c r="C811" s="17" t="inlineStr">
        <is>
          <t>에스케이바이오텍(주)</t>
        </is>
      </c>
      <c r="D811" s="17" t="inlineStr"/>
      <c r="E811" s="17" t="inlineStr">
        <is>
          <t>FDA·EMA 실사</t>
        </is>
      </c>
      <c r="F811" s="17" t="inlineStr">
        <is>
          <t>미확인</t>
        </is>
      </c>
      <c r="G811" s="17" t="inlineStr">
        <is>
          <t>웹조사 자동화 실패(세션한도)</t>
        </is>
      </c>
      <c r="H811" s="17" t="inlineStr">
        <is>
          <t>N</t>
        </is>
      </c>
      <c r="I811" s="17" t="inlineStr">
        <is>
          <t>FDA Inspection DB</t>
        </is>
      </c>
      <c r="J811" s="17" t="inlineStr">
        <is>
          <t>FDA Inspection DB에서 확인</t>
        </is>
      </c>
      <c r="K811" s="17" t="inlineStr">
        <is>
          <t>낮음</t>
        </is>
      </c>
      <c r="L811" s="17" t="inlineStr"/>
    </row>
    <row r="812">
      <c r="A812" s="17" t="inlineStr">
        <is>
          <t>C129</t>
        </is>
      </c>
      <c r="B812" s="17" t="inlineStr"/>
      <c r="C812" s="17" t="inlineStr">
        <is>
          <t>에스케이바이오텍(주)</t>
        </is>
      </c>
      <c r="D812" s="17" t="inlineStr"/>
      <c r="E812" s="17" t="inlineStr">
        <is>
          <t>CMO·CDMO</t>
        </is>
      </c>
      <c r="F812" s="17" t="inlineStr">
        <is>
          <t>미확인</t>
        </is>
      </c>
      <c r="G812" s="17" t="inlineStr">
        <is>
          <t>웹조사 자동화 실패(세션한도)</t>
        </is>
      </c>
      <c r="H812" s="17" t="inlineStr">
        <is>
          <t>N</t>
        </is>
      </c>
      <c r="I812" s="17" t="inlineStr">
        <is>
          <t>회사 홈페이지</t>
        </is>
      </c>
      <c r="J812" s="17" t="inlineStr">
        <is>
          <t>회사 홈페이지에서 확인</t>
        </is>
      </c>
      <c r="K812" s="17" t="inlineStr">
        <is>
          <t>낮음</t>
        </is>
      </c>
      <c r="L812" s="17" t="inlineStr"/>
    </row>
    <row r="813">
      <c r="A813" s="17" t="inlineStr">
        <is>
          <t>C129</t>
        </is>
      </c>
      <c r="B813" s="17" t="inlineStr"/>
      <c r="C813" s="17" t="inlineStr">
        <is>
          <t>에스케이바이오텍(주)</t>
        </is>
      </c>
      <c r="D813" s="17" t="inlineStr"/>
      <c r="E813" s="17" t="inlineStr">
        <is>
          <t>신공장·증설</t>
        </is>
      </c>
      <c r="F813" s="17" t="inlineStr">
        <is>
          <t>미확인</t>
        </is>
      </c>
      <c r="G813" s="17" t="inlineStr">
        <is>
          <t>웹조사 자동화 실패(세션한도)</t>
        </is>
      </c>
      <c r="H813" s="17" t="inlineStr">
        <is>
          <t>N</t>
        </is>
      </c>
      <c r="I813" s="17" t="inlineStr">
        <is>
          <t>언론·지자체 발표</t>
        </is>
      </c>
      <c r="J813" s="17" t="inlineStr">
        <is>
          <t>언론·지자체 발표에서 확인</t>
        </is>
      </c>
      <c r="K813" s="17" t="inlineStr">
        <is>
          <t>낮음</t>
        </is>
      </c>
      <c r="L813" s="17" t="inlineStr"/>
    </row>
    <row r="814">
      <c r="A814" s="17" t="inlineStr">
        <is>
          <t>C130</t>
        </is>
      </c>
      <c r="B814" s="17" t="inlineStr"/>
      <c r="C814" s="17" t="inlineStr">
        <is>
          <t>(주)메디톡스</t>
        </is>
      </c>
      <c r="D814" s="17" t="inlineStr"/>
      <c r="E814" s="17" t="inlineStr">
        <is>
          <t>최근매출(억원)</t>
        </is>
      </c>
      <c r="F814" s="17" t="inlineStr">
        <is>
          <t>미확인</t>
        </is>
      </c>
      <c r="G814" s="17" t="inlineStr">
        <is>
          <t>웹조사 자동화 실패(세션한도)</t>
        </is>
      </c>
      <c r="H814" s="17" t="inlineStr">
        <is>
          <t>N</t>
        </is>
      </c>
      <c r="I814" s="17" t="inlineStr">
        <is>
          <t>DART 사업보고서</t>
        </is>
      </c>
      <c r="J814" s="17" t="inlineStr">
        <is>
          <t>DART 사업보고서에서 확인</t>
        </is>
      </c>
      <c r="K814" s="17" t="inlineStr">
        <is>
          <t>중간</t>
        </is>
      </c>
      <c r="L814" s="17" t="inlineStr"/>
    </row>
    <row r="815">
      <c r="A815" s="17" t="inlineStr">
        <is>
          <t>C130</t>
        </is>
      </c>
      <c r="B815" s="17" t="inlineStr"/>
      <c r="C815" s="17" t="inlineStr">
        <is>
          <t>(주)메디톡스</t>
        </is>
      </c>
      <c r="D815" s="17" t="inlineStr"/>
      <c r="E815" s="17" t="inlineStr">
        <is>
          <t>종업원수</t>
        </is>
      </c>
      <c r="F815" s="17" t="inlineStr">
        <is>
          <t>미확인</t>
        </is>
      </c>
      <c r="G815" s="17" t="inlineStr">
        <is>
          <t>웹조사 자동화 실패(세션한도)</t>
        </is>
      </c>
      <c r="H815" s="17" t="inlineStr">
        <is>
          <t>N</t>
        </is>
      </c>
      <c r="I815" s="17" t="inlineStr">
        <is>
          <t>DART/채용</t>
        </is>
      </c>
      <c r="J815" s="17" t="inlineStr">
        <is>
          <t>DART/채용에서 확인</t>
        </is>
      </c>
      <c r="K815" s="17" t="inlineStr">
        <is>
          <t>중간</t>
        </is>
      </c>
      <c r="L815" s="17" t="inlineStr"/>
    </row>
    <row r="816">
      <c r="A816" s="17" t="inlineStr">
        <is>
          <t>C130</t>
        </is>
      </c>
      <c r="B816" s="17" t="inlineStr"/>
      <c r="C816" s="17" t="inlineStr">
        <is>
          <t>(주)메디톡스</t>
        </is>
      </c>
      <c r="D816" s="17" t="inlineStr"/>
      <c r="E816" s="17" t="inlineStr">
        <is>
          <t>수출여부</t>
        </is>
      </c>
      <c r="F816" s="17" t="inlineStr">
        <is>
          <t>미확인</t>
        </is>
      </c>
      <c r="G816" s="17" t="inlineStr">
        <is>
          <t>웹조사 자동화 실패(세션한도)</t>
        </is>
      </c>
      <c r="H816" s="17" t="inlineStr">
        <is>
          <t>N</t>
        </is>
      </c>
      <c r="I816" s="17" t="inlineStr">
        <is>
          <t>회사 공시·홈페이지</t>
        </is>
      </c>
      <c r="J816" s="17" t="inlineStr">
        <is>
          <t>회사 공시·홈페이지에서 확인</t>
        </is>
      </c>
      <c r="K816" s="17" t="inlineStr">
        <is>
          <t>중간</t>
        </is>
      </c>
      <c r="L816" s="17" t="inlineStr"/>
    </row>
    <row r="817">
      <c r="A817" s="17" t="inlineStr">
        <is>
          <t>C130</t>
        </is>
      </c>
      <c r="B817" s="17" t="inlineStr"/>
      <c r="C817" s="17" t="inlineStr">
        <is>
          <t>(주)메디톡스</t>
        </is>
      </c>
      <c r="D817" s="17" t="inlineStr"/>
      <c r="E817" s="17" t="inlineStr">
        <is>
          <t>FDA·EMA 실사</t>
        </is>
      </c>
      <c r="F817" s="17" t="inlineStr">
        <is>
          <t>미확인</t>
        </is>
      </c>
      <c r="G817" s="17" t="inlineStr">
        <is>
          <t>웹조사 자동화 실패(세션한도)</t>
        </is>
      </c>
      <c r="H817" s="17" t="inlineStr">
        <is>
          <t>N</t>
        </is>
      </c>
      <c r="I817" s="17" t="inlineStr">
        <is>
          <t>FDA Inspection DB</t>
        </is>
      </c>
      <c r="J817" s="17" t="inlineStr">
        <is>
          <t>FDA Inspection DB에서 확인</t>
        </is>
      </c>
      <c r="K817" s="17" t="inlineStr">
        <is>
          <t>중간</t>
        </is>
      </c>
      <c r="L817" s="17" t="inlineStr"/>
    </row>
    <row r="818">
      <c r="A818" s="17" t="inlineStr">
        <is>
          <t>C130</t>
        </is>
      </c>
      <c r="B818" s="17" t="inlineStr"/>
      <c r="C818" s="17" t="inlineStr">
        <is>
          <t>(주)메디톡스</t>
        </is>
      </c>
      <c r="D818" s="17" t="inlineStr"/>
      <c r="E818" s="17" t="inlineStr">
        <is>
          <t>CMO·CDMO</t>
        </is>
      </c>
      <c r="F818" s="17" t="inlineStr">
        <is>
          <t>미확인</t>
        </is>
      </c>
      <c r="G818" s="17" t="inlineStr">
        <is>
          <t>웹조사 자동화 실패(세션한도)</t>
        </is>
      </c>
      <c r="H818" s="17" t="inlineStr">
        <is>
          <t>N</t>
        </is>
      </c>
      <c r="I818" s="17" t="inlineStr">
        <is>
          <t>회사 홈페이지</t>
        </is>
      </c>
      <c r="J818" s="17" t="inlineStr">
        <is>
          <t>회사 홈페이지에서 확인</t>
        </is>
      </c>
      <c r="K818" s="17" t="inlineStr">
        <is>
          <t>중간</t>
        </is>
      </c>
      <c r="L818" s="17" t="inlineStr"/>
    </row>
    <row r="819">
      <c r="A819" s="17" t="inlineStr">
        <is>
          <t>C130</t>
        </is>
      </c>
      <c r="B819" s="17" t="inlineStr"/>
      <c r="C819" s="17" t="inlineStr">
        <is>
          <t>(주)메디톡스</t>
        </is>
      </c>
      <c r="D819" s="17" t="inlineStr"/>
      <c r="E819" s="17" t="inlineStr">
        <is>
          <t>신공장·증설</t>
        </is>
      </c>
      <c r="F819" s="17" t="inlineStr">
        <is>
          <t>미확인</t>
        </is>
      </c>
      <c r="G819" s="17" t="inlineStr">
        <is>
          <t>웹조사 자동화 실패(세션한도)</t>
        </is>
      </c>
      <c r="H819" s="17" t="inlineStr">
        <is>
          <t>N</t>
        </is>
      </c>
      <c r="I819" s="17" t="inlineStr">
        <is>
          <t>언론·지자체 발표</t>
        </is>
      </c>
      <c r="J819" s="17" t="inlineStr">
        <is>
          <t>언론·지자체 발표에서 확인</t>
        </is>
      </c>
      <c r="K819" s="17" t="inlineStr">
        <is>
          <t>중간</t>
        </is>
      </c>
      <c r="L819" s="17" t="inlineStr"/>
    </row>
    <row r="820">
      <c r="A820" s="17" t="inlineStr">
        <is>
          <t>C131</t>
        </is>
      </c>
      <c r="B820" s="17" t="inlineStr"/>
      <c r="C820" s="17" t="inlineStr">
        <is>
          <t>한올바이오파마(주)</t>
        </is>
      </c>
      <c r="D820" s="17" t="inlineStr"/>
      <c r="E820" s="17" t="inlineStr">
        <is>
          <t>최근매출(억원)</t>
        </is>
      </c>
      <c r="F820" s="17" t="inlineStr">
        <is>
          <t>미확인</t>
        </is>
      </c>
      <c r="G820" s="17" t="inlineStr">
        <is>
          <t>웹조사 자동화 실패(세션한도)</t>
        </is>
      </c>
      <c r="H820" s="17" t="inlineStr">
        <is>
          <t>N</t>
        </is>
      </c>
      <c r="I820" s="17" t="inlineStr">
        <is>
          <t>DART 사업보고서</t>
        </is>
      </c>
      <c r="J820" s="17" t="inlineStr">
        <is>
          <t>DART 사업보고서에서 확인</t>
        </is>
      </c>
      <c r="K820" s="17" t="inlineStr">
        <is>
          <t>낮음</t>
        </is>
      </c>
      <c r="L820" s="17" t="inlineStr"/>
    </row>
    <row r="821">
      <c r="A821" s="17" t="inlineStr">
        <is>
          <t>C131</t>
        </is>
      </c>
      <c r="B821" s="17" t="inlineStr"/>
      <c r="C821" s="17" t="inlineStr">
        <is>
          <t>한올바이오파마(주)</t>
        </is>
      </c>
      <c r="D821" s="17" t="inlineStr"/>
      <c r="E821" s="17" t="inlineStr">
        <is>
          <t>종업원수</t>
        </is>
      </c>
      <c r="F821" s="17" t="inlineStr">
        <is>
          <t>미확인</t>
        </is>
      </c>
      <c r="G821" s="17" t="inlineStr">
        <is>
          <t>웹조사 자동화 실패(세션한도)</t>
        </is>
      </c>
      <c r="H821" s="17" t="inlineStr">
        <is>
          <t>N</t>
        </is>
      </c>
      <c r="I821" s="17" t="inlineStr">
        <is>
          <t>DART/채용</t>
        </is>
      </c>
      <c r="J821" s="17" t="inlineStr">
        <is>
          <t>DART/채용에서 확인</t>
        </is>
      </c>
      <c r="K821" s="17" t="inlineStr">
        <is>
          <t>낮음</t>
        </is>
      </c>
      <c r="L821" s="17" t="inlineStr"/>
    </row>
    <row r="822">
      <c r="A822" s="17" t="inlineStr">
        <is>
          <t>C131</t>
        </is>
      </c>
      <c r="B822" s="17" t="inlineStr"/>
      <c r="C822" s="17" t="inlineStr">
        <is>
          <t>한올바이오파마(주)</t>
        </is>
      </c>
      <c r="D822" s="17" t="inlineStr"/>
      <c r="E822" s="17" t="inlineStr">
        <is>
          <t>수출여부</t>
        </is>
      </c>
      <c r="F822" s="17" t="inlineStr">
        <is>
          <t>미확인</t>
        </is>
      </c>
      <c r="G822" s="17" t="inlineStr">
        <is>
          <t>웹조사 자동화 실패(세션한도)</t>
        </is>
      </c>
      <c r="H822" s="17" t="inlineStr">
        <is>
          <t>N</t>
        </is>
      </c>
      <c r="I822" s="17" t="inlineStr">
        <is>
          <t>회사 공시·홈페이지</t>
        </is>
      </c>
      <c r="J822" s="17" t="inlineStr">
        <is>
          <t>회사 공시·홈페이지에서 확인</t>
        </is>
      </c>
      <c r="K822" s="17" t="inlineStr">
        <is>
          <t>낮음</t>
        </is>
      </c>
      <c r="L822" s="17" t="inlineStr"/>
    </row>
    <row r="823">
      <c r="A823" s="17" t="inlineStr">
        <is>
          <t>C131</t>
        </is>
      </c>
      <c r="B823" s="17" t="inlineStr"/>
      <c r="C823" s="17" t="inlineStr">
        <is>
          <t>한올바이오파마(주)</t>
        </is>
      </c>
      <c r="D823" s="17" t="inlineStr"/>
      <c r="E823" s="17" t="inlineStr">
        <is>
          <t>FDA·EMA 실사</t>
        </is>
      </c>
      <c r="F823" s="17" t="inlineStr">
        <is>
          <t>미확인</t>
        </is>
      </c>
      <c r="G823" s="17" t="inlineStr">
        <is>
          <t>웹조사 자동화 실패(세션한도)</t>
        </is>
      </c>
      <c r="H823" s="17" t="inlineStr">
        <is>
          <t>N</t>
        </is>
      </c>
      <c r="I823" s="17" t="inlineStr">
        <is>
          <t>FDA Inspection DB</t>
        </is>
      </c>
      <c r="J823" s="17" t="inlineStr">
        <is>
          <t>FDA Inspection DB에서 확인</t>
        </is>
      </c>
      <c r="K823" s="17" t="inlineStr">
        <is>
          <t>낮음</t>
        </is>
      </c>
      <c r="L823" s="17" t="inlineStr"/>
    </row>
    <row r="824">
      <c r="A824" s="17" t="inlineStr">
        <is>
          <t>C131</t>
        </is>
      </c>
      <c r="B824" s="17" t="inlineStr"/>
      <c r="C824" s="17" t="inlineStr">
        <is>
          <t>한올바이오파마(주)</t>
        </is>
      </c>
      <c r="D824" s="17" t="inlineStr"/>
      <c r="E824" s="17" t="inlineStr">
        <is>
          <t>CMO·CDMO</t>
        </is>
      </c>
      <c r="F824" s="17" t="inlineStr">
        <is>
          <t>미확인</t>
        </is>
      </c>
      <c r="G824" s="17" t="inlineStr">
        <is>
          <t>웹조사 자동화 실패(세션한도)</t>
        </is>
      </c>
      <c r="H824" s="17" t="inlineStr">
        <is>
          <t>N</t>
        </is>
      </c>
      <c r="I824" s="17" t="inlineStr">
        <is>
          <t>회사 홈페이지</t>
        </is>
      </c>
      <c r="J824" s="17" t="inlineStr">
        <is>
          <t>회사 홈페이지에서 확인</t>
        </is>
      </c>
      <c r="K824" s="17" t="inlineStr">
        <is>
          <t>낮음</t>
        </is>
      </c>
      <c r="L824" s="17" t="inlineStr"/>
    </row>
    <row r="825">
      <c r="A825" s="17" t="inlineStr">
        <is>
          <t>C131</t>
        </is>
      </c>
      <c r="B825" s="17" t="inlineStr"/>
      <c r="C825" s="17" t="inlineStr">
        <is>
          <t>한올바이오파마(주)</t>
        </is>
      </c>
      <c r="D825" s="17" t="inlineStr"/>
      <c r="E825" s="17" t="inlineStr">
        <is>
          <t>신공장·증설</t>
        </is>
      </c>
      <c r="F825" s="17" t="inlineStr">
        <is>
          <t>미확인</t>
        </is>
      </c>
      <c r="G825" s="17" t="inlineStr">
        <is>
          <t>웹조사 자동화 실패(세션한도)</t>
        </is>
      </c>
      <c r="H825" s="17" t="inlineStr">
        <is>
          <t>N</t>
        </is>
      </c>
      <c r="I825" s="17" t="inlineStr">
        <is>
          <t>언론·지자체 발표</t>
        </is>
      </c>
      <c r="J825" s="17" t="inlineStr">
        <is>
          <t>언론·지자체 발표에서 확인</t>
        </is>
      </c>
      <c r="K825" s="17" t="inlineStr">
        <is>
          <t>낮음</t>
        </is>
      </c>
      <c r="L825" s="17" t="inlineStr"/>
    </row>
    <row r="826">
      <c r="A826" s="17" t="inlineStr">
        <is>
          <t>C132</t>
        </is>
      </c>
      <c r="B826" s="17" t="inlineStr"/>
      <c r="C826" s="17" t="inlineStr">
        <is>
          <t>(주)하원제약</t>
        </is>
      </c>
      <c r="D826" s="17" t="inlineStr"/>
      <c r="E826" s="17" t="inlineStr">
        <is>
          <t>최근매출(억원)</t>
        </is>
      </c>
      <c r="F826" s="17" t="inlineStr">
        <is>
          <t>미확인</t>
        </is>
      </c>
      <c r="G826" s="17" t="inlineStr">
        <is>
          <t>웹조사 자동화 실패(세션한도)</t>
        </is>
      </c>
      <c r="H826" s="17" t="inlineStr">
        <is>
          <t>N</t>
        </is>
      </c>
      <c r="I826" s="17" t="inlineStr">
        <is>
          <t>DART 사업보고서</t>
        </is>
      </c>
      <c r="J826" s="17" t="inlineStr">
        <is>
          <t>DART 사업보고서에서 확인</t>
        </is>
      </c>
      <c r="K826" s="17" t="inlineStr">
        <is>
          <t>낮음</t>
        </is>
      </c>
      <c r="L826" s="17" t="inlineStr"/>
    </row>
    <row r="827">
      <c r="A827" s="17" t="inlineStr">
        <is>
          <t>C132</t>
        </is>
      </c>
      <c r="B827" s="17" t="inlineStr"/>
      <c r="C827" s="17" t="inlineStr">
        <is>
          <t>(주)하원제약</t>
        </is>
      </c>
      <c r="D827" s="17" t="inlineStr"/>
      <c r="E827" s="17" t="inlineStr">
        <is>
          <t>종업원수</t>
        </is>
      </c>
      <c r="F827" s="17" t="inlineStr">
        <is>
          <t>미확인</t>
        </is>
      </c>
      <c r="G827" s="17" t="inlineStr">
        <is>
          <t>웹조사 자동화 실패(세션한도)</t>
        </is>
      </c>
      <c r="H827" s="17" t="inlineStr">
        <is>
          <t>N</t>
        </is>
      </c>
      <c r="I827" s="17" t="inlineStr">
        <is>
          <t>DART/채용</t>
        </is>
      </c>
      <c r="J827" s="17" t="inlineStr">
        <is>
          <t>DART/채용에서 확인</t>
        </is>
      </c>
      <c r="K827" s="17" t="inlineStr">
        <is>
          <t>낮음</t>
        </is>
      </c>
      <c r="L827" s="17" t="inlineStr"/>
    </row>
    <row r="828">
      <c r="A828" s="17" t="inlineStr">
        <is>
          <t>C132</t>
        </is>
      </c>
      <c r="B828" s="17" t="inlineStr"/>
      <c r="C828" s="17" t="inlineStr">
        <is>
          <t>(주)하원제약</t>
        </is>
      </c>
      <c r="D828" s="17" t="inlineStr"/>
      <c r="E828" s="17" t="inlineStr">
        <is>
          <t>수출여부</t>
        </is>
      </c>
      <c r="F828" s="17" t="inlineStr">
        <is>
          <t>미확인</t>
        </is>
      </c>
      <c r="G828" s="17" t="inlineStr">
        <is>
          <t>웹조사 자동화 실패(세션한도)</t>
        </is>
      </c>
      <c r="H828" s="17" t="inlineStr">
        <is>
          <t>N</t>
        </is>
      </c>
      <c r="I828" s="17" t="inlineStr">
        <is>
          <t>회사 공시·홈페이지</t>
        </is>
      </c>
      <c r="J828" s="17" t="inlineStr">
        <is>
          <t>회사 공시·홈페이지에서 확인</t>
        </is>
      </c>
      <c r="K828" s="17" t="inlineStr">
        <is>
          <t>낮음</t>
        </is>
      </c>
      <c r="L828" s="17" t="inlineStr"/>
    </row>
    <row r="829">
      <c r="A829" s="17" t="inlineStr">
        <is>
          <t>C132</t>
        </is>
      </c>
      <c r="B829" s="17" t="inlineStr"/>
      <c r="C829" s="17" t="inlineStr">
        <is>
          <t>(주)하원제약</t>
        </is>
      </c>
      <c r="D829" s="17" t="inlineStr"/>
      <c r="E829" s="17" t="inlineStr">
        <is>
          <t>FDA·EMA 실사</t>
        </is>
      </c>
      <c r="F829" s="17" t="inlineStr">
        <is>
          <t>미확인</t>
        </is>
      </c>
      <c r="G829" s="17" t="inlineStr">
        <is>
          <t>웹조사 자동화 실패(세션한도)</t>
        </is>
      </c>
      <c r="H829" s="17" t="inlineStr">
        <is>
          <t>N</t>
        </is>
      </c>
      <c r="I829" s="17" t="inlineStr">
        <is>
          <t>FDA Inspection DB</t>
        </is>
      </c>
      <c r="J829" s="17" t="inlineStr">
        <is>
          <t>FDA Inspection DB에서 확인</t>
        </is>
      </c>
      <c r="K829" s="17" t="inlineStr">
        <is>
          <t>낮음</t>
        </is>
      </c>
      <c r="L829" s="17" t="inlineStr"/>
    </row>
    <row r="830">
      <c r="A830" s="17" t="inlineStr">
        <is>
          <t>C132</t>
        </is>
      </c>
      <c r="B830" s="17" t="inlineStr"/>
      <c r="C830" s="17" t="inlineStr">
        <is>
          <t>(주)하원제약</t>
        </is>
      </c>
      <c r="D830" s="17" t="inlineStr"/>
      <c r="E830" s="17" t="inlineStr">
        <is>
          <t>CMO·CDMO</t>
        </is>
      </c>
      <c r="F830" s="17" t="inlineStr">
        <is>
          <t>미확인</t>
        </is>
      </c>
      <c r="G830" s="17" t="inlineStr">
        <is>
          <t>웹조사 자동화 실패(세션한도)</t>
        </is>
      </c>
      <c r="H830" s="17" t="inlineStr">
        <is>
          <t>N</t>
        </is>
      </c>
      <c r="I830" s="17" t="inlineStr">
        <is>
          <t>회사 홈페이지</t>
        </is>
      </c>
      <c r="J830" s="17" t="inlineStr">
        <is>
          <t>회사 홈페이지에서 확인</t>
        </is>
      </c>
      <c r="K830" s="17" t="inlineStr">
        <is>
          <t>낮음</t>
        </is>
      </c>
      <c r="L830" s="17" t="inlineStr"/>
    </row>
    <row r="831">
      <c r="A831" s="17" t="inlineStr">
        <is>
          <t>C132</t>
        </is>
      </c>
      <c r="B831" s="17" t="inlineStr"/>
      <c r="C831" s="17" t="inlineStr">
        <is>
          <t>(주)하원제약</t>
        </is>
      </c>
      <c r="D831" s="17" t="inlineStr"/>
      <c r="E831" s="17" t="inlineStr">
        <is>
          <t>신공장·증설</t>
        </is>
      </c>
      <c r="F831" s="17" t="inlineStr">
        <is>
          <t>미확인</t>
        </is>
      </c>
      <c r="G831" s="17" t="inlineStr">
        <is>
          <t>웹조사 자동화 실패(세션한도)</t>
        </is>
      </c>
      <c r="H831" s="17" t="inlineStr">
        <is>
          <t>N</t>
        </is>
      </c>
      <c r="I831" s="17" t="inlineStr">
        <is>
          <t>언론·지자체 발표</t>
        </is>
      </c>
      <c r="J831" s="17" t="inlineStr">
        <is>
          <t>언론·지자체 발표에서 확인</t>
        </is>
      </c>
      <c r="K831" s="17" t="inlineStr">
        <is>
          <t>낮음</t>
        </is>
      </c>
      <c r="L831" s="17" t="inlineStr"/>
    </row>
    <row r="832">
      <c r="A832" s="17" t="inlineStr">
        <is>
          <t>C133</t>
        </is>
      </c>
      <c r="B832" s="17" t="inlineStr"/>
      <c r="C832" s="17" t="inlineStr">
        <is>
          <t>(주)옵투스제약</t>
        </is>
      </c>
      <c r="D832" s="17" t="inlineStr"/>
      <c r="E832" s="17" t="inlineStr">
        <is>
          <t>최근매출(억원)</t>
        </is>
      </c>
      <c r="F832" s="17" t="inlineStr">
        <is>
          <t>미확인</t>
        </is>
      </c>
      <c r="G832" s="17" t="inlineStr">
        <is>
          <t>웹조사 자동화 실패(세션한도)</t>
        </is>
      </c>
      <c r="H832" s="17" t="inlineStr">
        <is>
          <t>N</t>
        </is>
      </c>
      <c r="I832" s="17" t="inlineStr">
        <is>
          <t>DART 사업보고서</t>
        </is>
      </c>
      <c r="J832" s="17" t="inlineStr">
        <is>
          <t>DART 사업보고서에서 확인</t>
        </is>
      </c>
      <c r="K832" s="17" t="inlineStr">
        <is>
          <t>낮음</t>
        </is>
      </c>
      <c r="L832" s="17" t="inlineStr"/>
    </row>
    <row r="833">
      <c r="A833" s="17" t="inlineStr">
        <is>
          <t>C133</t>
        </is>
      </c>
      <c r="B833" s="17" t="inlineStr"/>
      <c r="C833" s="17" t="inlineStr">
        <is>
          <t>(주)옵투스제약</t>
        </is>
      </c>
      <c r="D833" s="17" t="inlineStr"/>
      <c r="E833" s="17" t="inlineStr">
        <is>
          <t>종업원수</t>
        </is>
      </c>
      <c r="F833" s="17" t="inlineStr">
        <is>
          <t>미확인</t>
        </is>
      </c>
      <c r="G833" s="17" t="inlineStr">
        <is>
          <t>웹조사 자동화 실패(세션한도)</t>
        </is>
      </c>
      <c r="H833" s="17" t="inlineStr">
        <is>
          <t>N</t>
        </is>
      </c>
      <c r="I833" s="17" t="inlineStr">
        <is>
          <t>DART/채용</t>
        </is>
      </c>
      <c r="J833" s="17" t="inlineStr">
        <is>
          <t>DART/채용에서 확인</t>
        </is>
      </c>
      <c r="K833" s="17" t="inlineStr">
        <is>
          <t>낮음</t>
        </is>
      </c>
      <c r="L833" s="17" t="inlineStr"/>
    </row>
    <row r="834">
      <c r="A834" s="17" t="inlineStr">
        <is>
          <t>C133</t>
        </is>
      </c>
      <c r="B834" s="17" t="inlineStr"/>
      <c r="C834" s="17" t="inlineStr">
        <is>
          <t>(주)옵투스제약</t>
        </is>
      </c>
      <c r="D834" s="17" t="inlineStr"/>
      <c r="E834" s="17" t="inlineStr">
        <is>
          <t>수출여부</t>
        </is>
      </c>
      <c r="F834" s="17" t="inlineStr">
        <is>
          <t>미확인</t>
        </is>
      </c>
      <c r="G834" s="17" t="inlineStr">
        <is>
          <t>웹조사 자동화 실패(세션한도)</t>
        </is>
      </c>
      <c r="H834" s="17" t="inlineStr">
        <is>
          <t>N</t>
        </is>
      </c>
      <c r="I834" s="17" t="inlineStr">
        <is>
          <t>회사 공시·홈페이지</t>
        </is>
      </c>
      <c r="J834" s="17" t="inlineStr">
        <is>
          <t>회사 공시·홈페이지에서 확인</t>
        </is>
      </c>
      <c r="K834" s="17" t="inlineStr">
        <is>
          <t>낮음</t>
        </is>
      </c>
      <c r="L834" s="17" t="inlineStr"/>
    </row>
    <row r="835">
      <c r="A835" s="17" t="inlineStr">
        <is>
          <t>C133</t>
        </is>
      </c>
      <c r="B835" s="17" t="inlineStr"/>
      <c r="C835" s="17" t="inlineStr">
        <is>
          <t>(주)옵투스제약</t>
        </is>
      </c>
      <c r="D835" s="17" t="inlineStr"/>
      <c r="E835" s="17" t="inlineStr">
        <is>
          <t>FDA·EMA 실사</t>
        </is>
      </c>
      <c r="F835" s="17" t="inlineStr">
        <is>
          <t>미확인</t>
        </is>
      </c>
      <c r="G835" s="17" t="inlineStr">
        <is>
          <t>웹조사 자동화 실패(세션한도)</t>
        </is>
      </c>
      <c r="H835" s="17" t="inlineStr">
        <is>
          <t>N</t>
        </is>
      </c>
      <c r="I835" s="17" t="inlineStr">
        <is>
          <t>FDA Inspection DB</t>
        </is>
      </c>
      <c r="J835" s="17" t="inlineStr">
        <is>
          <t>FDA Inspection DB에서 확인</t>
        </is>
      </c>
      <c r="K835" s="17" t="inlineStr">
        <is>
          <t>낮음</t>
        </is>
      </c>
      <c r="L835" s="17" t="inlineStr"/>
    </row>
    <row r="836">
      <c r="A836" s="17" t="inlineStr">
        <is>
          <t>C133</t>
        </is>
      </c>
      <c r="B836" s="17" t="inlineStr"/>
      <c r="C836" s="17" t="inlineStr">
        <is>
          <t>(주)옵투스제약</t>
        </is>
      </c>
      <c r="D836" s="17" t="inlineStr"/>
      <c r="E836" s="17" t="inlineStr">
        <is>
          <t>CMO·CDMO</t>
        </is>
      </c>
      <c r="F836" s="17" t="inlineStr">
        <is>
          <t>미확인</t>
        </is>
      </c>
      <c r="G836" s="17" t="inlineStr">
        <is>
          <t>웹조사 자동화 실패(세션한도)</t>
        </is>
      </c>
      <c r="H836" s="17" t="inlineStr">
        <is>
          <t>N</t>
        </is>
      </c>
      <c r="I836" s="17" t="inlineStr">
        <is>
          <t>회사 홈페이지</t>
        </is>
      </c>
      <c r="J836" s="17" t="inlineStr">
        <is>
          <t>회사 홈페이지에서 확인</t>
        </is>
      </c>
      <c r="K836" s="17" t="inlineStr">
        <is>
          <t>낮음</t>
        </is>
      </c>
      <c r="L836" s="17" t="inlineStr"/>
    </row>
    <row r="837">
      <c r="A837" s="17" t="inlineStr">
        <is>
          <t>C133</t>
        </is>
      </c>
      <c r="B837" s="17" t="inlineStr"/>
      <c r="C837" s="17" t="inlineStr">
        <is>
          <t>(주)옵투스제약</t>
        </is>
      </c>
      <c r="D837" s="17" t="inlineStr"/>
      <c r="E837" s="17" t="inlineStr">
        <is>
          <t>신공장·증설</t>
        </is>
      </c>
      <c r="F837" s="17" t="inlineStr">
        <is>
          <t>미확인</t>
        </is>
      </c>
      <c r="G837" s="17" t="inlineStr">
        <is>
          <t>웹조사 자동화 실패(세션한도)</t>
        </is>
      </c>
      <c r="H837" s="17" t="inlineStr">
        <is>
          <t>N</t>
        </is>
      </c>
      <c r="I837" s="17" t="inlineStr">
        <is>
          <t>언론·지자체 발표</t>
        </is>
      </c>
      <c r="J837" s="17" t="inlineStr">
        <is>
          <t>언론·지자체 발표에서 확인</t>
        </is>
      </c>
      <c r="K837" s="17" t="inlineStr">
        <is>
          <t>낮음</t>
        </is>
      </c>
      <c r="L837" s="17" t="inlineStr"/>
    </row>
    <row r="838">
      <c r="A838" s="17" t="inlineStr">
        <is>
          <t>C134</t>
        </is>
      </c>
      <c r="B838" s="17" t="inlineStr"/>
      <c r="C838" s="17" t="inlineStr">
        <is>
          <t>(주)한국비엠아이</t>
        </is>
      </c>
      <c r="D838" s="17" t="inlineStr"/>
      <c r="E838" s="17" t="inlineStr">
        <is>
          <t>최근매출(억원)</t>
        </is>
      </c>
      <c r="F838" s="17" t="inlineStr">
        <is>
          <t>미확인</t>
        </is>
      </c>
      <c r="G838" s="17" t="inlineStr">
        <is>
          <t>웹조사 자동화 실패(세션한도)</t>
        </is>
      </c>
      <c r="H838" s="17" t="inlineStr">
        <is>
          <t>N</t>
        </is>
      </c>
      <c r="I838" s="17" t="inlineStr">
        <is>
          <t>DART 사업보고서</t>
        </is>
      </c>
      <c r="J838" s="17" t="inlineStr">
        <is>
          <t>DART 사업보고서에서 확인</t>
        </is>
      </c>
      <c r="K838" s="17" t="inlineStr">
        <is>
          <t>낮음</t>
        </is>
      </c>
      <c r="L838" s="17" t="inlineStr"/>
    </row>
    <row r="839">
      <c r="A839" s="17" t="inlineStr">
        <is>
          <t>C134</t>
        </is>
      </c>
      <c r="B839" s="17" t="inlineStr"/>
      <c r="C839" s="17" t="inlineStr">
        <is>
          <t>(주)한국비엠아이</t>
        </is>
      </c>
      <c r="D839" s="17" t="inlineStr"/>
      <c r="E839" s="17" t="inlineStr">
        <is>
          <t>종업원수</t>
        </is>
      </c>
      <c r="F839" s="17" t="inlineStr">
        <is>
          <t>미확인</t>
        </is>
      </c>
      <c r="G839" s="17" t="inlineStr">
        <is>
          <t>웹조사 자동화 실패(세션한도)</t>
        </is>
      </c>
      <c r="H839" s="17" t="inlineStr">
        <is>
          <t>N</t>
        </is>
      </c>
      <c r="I839" s="17" t="inlineStr">
        <is>
          <t>DART/채용</t>
        </is>
      </c>
      <c r="J839" s="17" t="inlineStr">
        <is>
          <t>DART/채용에서 확인</t>
        </is>
      </c>
      <c r="K839" s="17" t="inlineStr">
        <is>
          <t>낮음</t>
        </is>
      </c>
      <c r="L839" s="17" t="inlineStr"/>
    </row>
    <row r="840">
      <c r="A840" s="17" t="inlineStr">
        <is>
          <t>C134</t>
        </is>
      </c>
      <c r="B840" s="17" t="inlineStr"/>
      <c r="C840" s="17" t="inlineStr">
        <is>
          <t>(주)한국비엠아이</t>
        </is>
      </c>
      <c r="D840" s="17" t="inlineStr"/>
      <c r="E840" s="17" t="inlineStr">
        <is>
          <t>수출여부</t>
        </is>
      </c>
      <c r="F840" s="17" t="inlineStr">
        <is>
          <t>미확인</t>
        </is>
      </c>
      <c r="G840" s="17" t="inlineStr">
        <is>
          <t>웹조사 자동화 실패(세션한도)</t>
        </is>
      </c>
      <c r="H840" s="17" t="inlineStr">
        <is>
          <t>N</t>
        </is>
      </c>
      <c r="I840" s="17" t="inlineStr">
        <is>
          <t>회사 공시·홈페이지</t>
        </is>
      </c>
      <c r="J840" s="17" t="inlineStr">
        <is>
          <t>회사 공시·홈페이지에서 확인</t>
        </is>
      </c>
      <c r="K840" s="17" t="inlineStr">
        <is>
          <t>낮음</t>
        </is>
      </c>
      <c r="L840" s="17" t="inlineStr"/>
    </row>
    <row r="841">
      <c r="A841" s="17" t="inlineStr">
        <is>
          <t>C134</t>
        </is>
      </c>
      <c r="B841" s="17" t="inlineStr"/>
      <c r="C841" s="17" t="inlineStr">
        <is>
          <t>(주)한국비엠아이</t>
        </is>
      </c>
      <c r="D841" s="17" t="inlineStr"/>
      <c r="E841" s="17" t="inlineStr">
        <is>
          <t>FDA·EMA 실사</t>
        </is>
      </c>
      <c r="F841" s="17" t="inlineStr">
        <is>
          <t>미확인</t>
        </is>
      </c>
      <c r="G841" s="17" t="inlineStr">
        <is>
          <t>웹조사 자동화 실패(세션한도)</t>
        </is>
      </c>
      <c r="H841" s="17" t="inlineStr">
        <is>
          <t>N</t>
        </is>
      </c>
      <c r="I841" s="17" t="inlineStr">
        <is>
          <t>FDA Inspection DB</t>
        </is>
      </c>
      <c r="J841" s="17" t="inlineStr">
        <is>
          <t>FDA Inspection DB에서 확인</t>
        </is>
      </c>
      <c r="K841" s="17" t="inlineStr">
        <is>
          <t>낮음</t>
        </is>
      </c>
      <c r="L841" s="17" t="inlineStr"/>
    </row>
    <row r="842">
      <c r="A842" s="17" t="inlineStr">
        <is>
          <t>C134</t>
        </is>
      </c>
      <c r="B842" s="17" t="inlineStr"/>
      <c r="C842" s="17" t="inlineStr">
        <is>
          <t>(주)한국비엠아이</t>
        </is>
      </c>
      <c r="D842" s="17" t="inlineStr"/>
      <c r="E842" s="17" t="inlineStr">
        <is>
          <t>CMO·CDMO</t>
        </is>
      </c>
      <c r="F842" s="17" t="inlineStr">
        <is>
          <t>미확인</t>
        </is>
      </c>
      <c r="G842" s="17" t="inlineStr">
        <is>
          <t>웹조사 자동화 실패(세션한도)</t>
        </is>
      </c>
      <c r="H842" s="17" t="inlineStr">
        <is>
          <t>N</t>
        </is>
      </c>
      <c r="I842" s="17" t="inlineStr">
        <is>
          <t>회사 홈페이지</t>
        </is>
      </c>
      <c r="J842" s="17" t="inlineStr">
        <is>
          <t>회사 홈페이지에서 확인</t>
        </is>
      </c>
      <c r="K842" s="17" t="inlineStr">
        <is>
          <t>낮음</t>
        </is>
      </c>
      <c r="L842" s="17" t="inlineStr"/>
    </row>
    <row r="843">
      <c r="A843" s="17" t="inlineStr">
        <is>
          <t>C134</t>
        </is>
      </c>
      <c r="B843" s="17" t="inlineStr"/>
      <c r="C843" s="17" t="inlineStr">
        <is>
          <t>(주)한국비엠아이</t>
        </is>
      </c>
      <c r="D843" s="17" t="inlineStr"/>
      <c r="E843" s="17" t="inlineStr">
        <is>
          <t>신공장·증설</t>
        </is>
      </c>
      <c r="F843" s="17" t="inlineStr">
        <is>
          <t>미확인</t>
        </is>
      </c>
      <c r="G843" s="17" t="inlineStr">
        <is>
          <t>웹조사 자동화 실패(세션한도)</t>
        </is>
      </c>
      <c r="H843" s="17" t="inlineStr">
        <is>
          <t>N</t>
        </is>
      </c>
      <c r="I843" s="17" t="inlineStr">
        <is>
          <t>언론·지자체 발표</t>
        </is>
      </c>
      <c r="J843" s="17" t="inlineStr">
        <is>
          <t>언론·지자체 발표에서 확인</t>
        </is>
      </c>
      <c r="K843" s="17" t="inlineStr">
        <is>
          <t>낮음</t>
        </is>
      </c>
      <c r="L843" s="17" t="inlineStr"/>
    </row>
    <row r="844">
      <c r="A844" s="17" t="inlineStr">
        <is>
          <t>C134</t>
        </is>
      </c>
      <c r="B844" s="17" t="inlineStr"/>
      <c r="C844" s="17" t="inlineStr">
        <is>
          <t>(주)한국비엠아이</t>
        </is>
      </c>
      <c r="D844" s="17" t="inlineStr"/>
      <c r="E844" s="17" t="inlineStr">
        <is>
          <t>대표전화</t>
        </is>
      </c>
      <c r="F844" s="17" t="inlineStr">
        <is>
          <t>미확인</t>
        </is>
      </c>
      <c r="G844" s="17" t="inlineStr">
        <is>
          <t>제조소상세 미매칭</t>
        </is>
      </c>
      <c r="H844" s="17" t="inlineStr">
        <is>
          <t>Y</t>
        </is>
      </c>
      <c r="I844" s="17" t="inlineStr">
        <is>
          <t>회사 홈페이지</t>
        </is>
      </c>
      <c r="J844" s="17" t="inlineStr">
        <is>
          <t>홈페이지에서 대표번호 확인</t>
        </is>
      </c>
      <c r="K844" s="17" t="inlineStr">
        <is>
          <t>낮음</t>
        </is>
      </c>
      <c r="L844" s="17" t="inlineStr"/>
    </row>
    <row r="845">
      <c r="A845" s="17" t="inlineStr">
        <is>
          <t>C135</t>
        </is>
      </c>
      <c r="B845" s="17" t="inlineStr"/>
      <c r="C845" s="17" t="inlineStr">
        <is>
          <t>(주)바스칸바이오제약</t>
        </is>
      </c>
      <c r="D845" s="17" t="inlineStr"/>
      <c r="E845" s="17" t="inlineStr">
        <is>
          <t>최근매출(억원)</t>
        </is>
      </c>
      <c r="F845" s="17" t="inlineStr">
        <is>
          <t>미확인</t>
        </is>
      </c>
      <c r="G845" s="17" t="inlineStr">
        <is>
          <t>웹조사 자동화 실패(세션한도)</t>
        </is>
      </c>
      <c r="H845" s="17" t="inlineStr">
        <is>
          <t>N</t>
        </is>
      </c>
      <c r="I845" s="17" t="inlineStr">
        <is>
          <t>DART 사업보고서</t>
        </is>
      </c>
      <c r="J845" s="17" t="inlineStr">
        <is>
          <t>DART 사업보고서에서 확인</t>
        </is>
      </c>
      <c r="K845" s="17" t="inlineStr">
        <is>
          <t>낮음</t>
        </is>
      </c>
      <c r="L845" s="17" t="inlineStr"/>
    </row>
    <row r="846">
      <c r="A846" s="17" t="inlineStr">
        <is>
          <t>C135</t>
        </is>
      </c>
      <c r="B846" s="17" t="inlineStr"/>
      <c r="C846" s="17" t="inlineStr">
        <is>
          <t>(주)바스칸바이오제약</t>
        </is>
      </c>
      <c r="D846" s="17" t="inlineStr"/>
      <c r="E846" s="17" t="inlineStr">
        <is>
          <t>종업원수</t>
        </is>
      </c>
      <c r="F846" s="17" t="inlineStr">
        <is>
          <t>미확인</t>
        </is>
      </c>
      <c r="G846" s="17" t="inlineStr">
        <is>
          <t>웹조사 자동화 실패(세션한도)</t>
        </is>
      </c>
      <c r="H846" s="17" t="inlineStr">
        <is>
          <t>N</t>
        </is>
      </c>
      <c r="I846" s="17" t="inlineStr">
        <is>
          <t>DART/채용</t>
        </is>
      </c>
      <c r="J846" s="17" t="inlineStr">
        <is>
          <t>DART/채용에서 확인</t>
        </is>
      </c>
      <c r="K846" s="17" t="inlineStr">
        <is>
          <t>낮음</t>
        </is>
      </c>
      <c r="L846" s="17" t="inlineStr"/>
    </row>
    <row r="847">
      <c r="A847" s="17" t="inlineStr">
        <is>
          <t>C135</t>
        </is>
      </c>
      <c r="B847" s="17" t="inlineStr"/>
      <c r="C847" s="17" t="inlineStr">
        <is>
          <t>(주)바스칸바이오제약</t>
        </is>
      </c>
      <c r="D847" s="17" t="inlineStr"/>
      <c r="E847" s="17" t="inlineStr">
        <is>
          <t>수출여부</t>
        </is>
      </c>
      <c r="F847" s="17" t="inlineStr">
        <is>
          <t>미확인</t>
        </is>
      </c>
      <c r="G847" s="17" t="inlineStr">
        <is>
          <t>웹조사 자동화 실패(세션한도)</t>
        </is>
      </c>
      <c r="H847" s="17" t="inlineStr">
        <is>
          <t>N</t>
        </is>
      </c>
      <c r="I847" s="17" t="inlineStr">
        <is>
          <t>회사 공시·홈페이지</t>
        </is>
      </c>
      <c r="J847" s="17" t="inlineStr">
        <is>
          <t>회사 공시·홈페이지에서 확인</t>
        </is>
      </c>
      <c r="K847" s="17" t="inlineStr">
        <is>
          <t>낮음</t>
        </is>
      </c>
      <c r="L847" s="17" t="inlineStr"/>
    </row>
    <row r="848">
      <c r="A848" s="17" t="inlineStr">
        <is>
          <t>C135</t>
        </is>
      </c>
      <c r="B848" s="17" t="inlineStr"/>
      <c r="C848" s="17" t="inlineStr">
        <is>
          <t>(주)바스칸바이오제약</t>
        </is>
      </c>
      <c r="D848" s="17" t="inlineStr"/>
      <c r="E848" s="17" t="inlineStr">
        <is>
          <t>FDA·EMA 실사</t>
        </is>
      </c>
      <c r="F848" s="17" t="inlineStr">
        <is>
          <t>미확인</t>
        </is>
      </c>
      <c r="G848" s="17" t="inlineStr">
        <is>
          <t>웹조사 자동화 실패(세션한도)</t>
        </is>
      </c>
      <c r="H848" s="17" t="inlineStr">
        <is>
          <t>N</t>
        </is>
      </c>
      <c r="I848" s="17" t="inlineStr">
        <is>
          <t>FDA Inspection DB</t>
        </is>
      </c>
      <c r="J848" s="17" t="inlineStr">
        <is>
          <t>FDA Inspection DB에서 확인</t>
        </is>
      </c>
      <c r="K848" s="17" t="inlineStr">
        <is>
          <t>낮음</t>
        </is>
      </c>
      <c r="L848" s="17" t="inlineStr"/>
    </row>
    <row r="849">
      <c r="A849" s="17" t="inlineStr">
        <is>
          <t>C135</t>
        </is>
      </c>
      <c r="B849" s="17" t="inlineStr"/>
      <c r="C849" s="17" t="inlineStr">
        <is>
          <t>(주)바스칸바이오제약</t>
        </is>
      </c>
      <c r="D849" s="17" t="inlineStr"/>
      <c r="E849" s="17" t="inlineStr">
        <is>
          <t>CMO·CDMO</t>
        </is>
      </c>
      <c r="F849" s="17" t="inlineStr">
        <is>
          <t>미확인</t>
        </is>
      </c>
      <c r="G849" s="17" t="inlineStr">
        <is>
          <t>웹조사 자동화 실패(세션한도)</t>
        </is>
      </c>
      <c r="H849" s="17" t="inlineStr">
        <is>
          <t>N</t>
        </is>
      </c>
      <c r="I849" s="17" t="inlineStr">
        <is>
          <t>회사 홈페이지</t>
        </is>
      </c>
      <c r="J849" s="17" t="inlineStr">
        <is>
          <t>회사 홈페이지에서 확인</t>
        </is>
      </c>
      <c r="K849" s="17" t="inlineStr">
        <is>
          <t>낮음</t>
        </is>
      </c>
      <c r="L849" s="17" t="inlineStr"/>
    </row>
    <row r="850">
      <c r="A850" s="17" t="inlineStr">
        <is>
          <t>C135</t>
        </is>
      </c>
      <c r="B850" s="17" t="inlineStr"/>
      <c r="C850" s="17" t="inlineStr">
        <is>
          <t>(주)바스칸바이오제약</t>
        </is>
      </c>
      <c r="D850" s="17" t="inlineStr"/>
      <c r="E850" s="17" t="inlineStr">
        <is>
          <t>신공장·증설</t>
        </is>
      </c>
      <c r="F850" s="17" t="inlineStr">
        <is>
          <t>미확인</t>
        </is>
      </c>
      <c r="G850" s="17" t="inlineStr">
        <is>
          <t>웹조사 자동화 실패(세션한도)</t>
        </is>
      </c>
      <c r="H850" s="17" t="inlineStr">
        <is>
          <t>N</t>
        </is>
      </c>
      <c r="I850" s="17" t="inlineStr">
        <is>
          <t>언론·지자체 발표</t>
        </is>
      </c>
      <c r="J850" s="17" t="inlineStr">
        <is>
          <t>언론·지자체 발표에서 확인</t>
        </is>
      </c>
      <c r="K850" s="17" t="inlineStr">
        <is>
          <t>낮음</t>
        </is>
      </c>
      <c r="L850" s="17" t="inlineStr"/>
    </row>
    <row r="851">
      <c r="A851" s="17" t="inlineStr">
        <is>
          <t>C135</t>
        </is>
      </c>
      <c r="B851" s="17" t="inlineStr"/>
      <c r="C851" s="17" t="inlineStr">
        <is>
          <t>(주)바스칸바이오제약</t>
        </is>
      </c>
      <c r="D851" s="17" t="inlineStr"/>
      <c r="E851" s="17" t="inlineStr">
        <is>
          <t>대표전화</t>
        </is>
      </c>
      <c r="F851" s="17" t="inlineStr">
        <is>
          <t>미확인</t>
        </is>
      </c>
      <c r="G851" s="17" t="inlineStr">
        <is>
          <t>제조소상세 미매칭</t>
        </is>
      </c>
      <c r="H851" s="17" t="inlineStr">
        <is>
          <t>Y</t>
        </is>
      </c>
      <c r="I851" s="17" t="inlineStr">
        <is>
          <t>회사 홈페이지</t>
        </is>
      </c>
      <c r="J851" s="17" t="inlineStr">
        <is>
          <t>홈페이지에서 대표번호 확인</t>
        </is>
      </c>
      <c r="K851" s="17" t="inlineStr">
        <is>
          <t>낮음</t>
        </is>
      </c>
      <c r="L851" s="17" t="inlineStr"/>
    </row>
    <row r="852">
      <c r="A852" s="17" t="inlineStr">
        <is>
          <t>C136</t>
        </is>
      </c>
      <c r="B852" s="17" t="inlineStr"/>
      <c r="C852" s="17" t="inlineStr">
        <is>
          <t>(주)듀켐바이오</t>
        </is>
      </c>
      <c r="D852" s="17" t="inlineStr"/>
      <c r="E852" s="17" t="inlineStr">
        <is>
          <t>최근매출(억원)</t>
        </is>
      </c>
      <c r="F852" s="17" t="inlineStr">
        <is>
          <t>미확인</t>
        </is>
      </c>
      <c r="G852" s="17" t="inlineStr">
        <is>
          <t>웹조사 자동화 실패(세션한도)</t>
        </is>
      </c>
      <c r="H852" s="17" t="inlineStr">
        <is>
          <t>N</t>
        </is>
      </c>
      <c r="I852" s="17" t="inlineStr">
        <is>
          <t>DART 사업보고서</t>
        </is>
      </c>
      <c r="J852" s="17" t="inlineStr">
        <is>
          <t>DART 사업보고서에서 확인</t>
        </is>
      </c>
      <c r="K852" s="17" t="inlineStr">
        <is>
          <t>중간</t>
        </is>
      </c>
      <c r="L852" s="17" t="inlineStr"/>
    </row>
    <row r="853">
      <c r="A853" s="17" t="inlineStr">
        <is>
          <t>C136</t>
        </is>
      </c>
      <c r="B853" s="17" t="inlineStr"/>
      <c r="C853" s="17" t="inlineStr">
        <is>
          <t>(주)듀켐바이오</t>
        </is>
      </c>
      <c r="D853" s="17" t="inlineStr"/>
      <c r="E853" s="17" t="inlineStr">
        <is>
          <t>종업원수</t>
        </is>
      </c>
      <c r="F853" s="17" t="inlineStr">
        <is>
          <t>미확인</t>
        </is>
      </c>
      <c r="G853" s="17" t="inlineStr">
        <is>
          <t>웹조사 자동화 실패(세션한도)</t>
        </is>
      </c>
      <c r="H853" s="17" t="inlineStr">
        <is>
          <t>N</t>
        </is>
      </c>
      <c r="I853" s="17" t="inlineStr">
        <is>
          <t>DART/채용</t>
        </is>
      </c>
      <c r="J853" s="17" t="inlineStr">
        <is>
          <t>DART/채용에서 확인</t>
        </is>
      </c>
      <c r="K853" s="17" t="inlineStr">
        <is>
          <t>중간</t>
        </is>
      </c>
      <c r="L853" s="17" t="inlineStr"/>
    </row>
    <row r="854">
      <c r="A854" s="17" t="inlineStr">
        <is>
          <t>C136</t>
        </is>
      </c>
      <c r="B854" s="17" t="inlineStr"/>
      <c r="C854" s="17" t="inlineStr">
        <is>
          <t>(주)듀켐바이오</t>
        </is>
      </c>
      <c r="D854" s="17" t="inlineStr"/>
      <c r="E854" s="17" t="inlineStr">
        <is>
          <t>수출여부</t>
        </is>
      </c>
      <c r="F854" s="17" t="inlineStr">
        <is>
          <t>미확인</t>
        </is>
      </c>
      <c r="G854" s="17" t="inlineStr">
        <is>
          <t>웹조사 자동화 실패(세션한도)</t>
        </is>
      </c>
      <c r="H854" s="17" t="inlineStr">
        <is>
          <t>N</t>
        </is>
      </c>
      <c r="I854" s="17" t="inlineStr">
        <is>
          <t>회사 공시·홈페이지</t>
        </is>
      </c>
      <c r="J854" s="17" t="inlineStr">
        <is>
          <t>회사 공시·홈페이지에서 확인</t>
        </is>
      </c>
      <c r="K854" s="17" t="inlineStr">
        <is>
          <t>중간</t>
        </is>
      </c>
      <c r="L854" s="17" t="inlineStr"/>
    </row>
    <row r="855">
      <c r="A855" s="17" t="inlineStr">
        <is>
          <t>C136</t>
        </is>
      </c>
      <c r="B855" s="17" t="inlineStr"/>
      <c r="C855" s="17" t="inlineStr">
        <is>
          <t>(주)듀켐바이오</t>
        </is>
      </c>
      <c r="D855" s="17" t="inlineStr"/>
      <c r="E855" s="17" t="inlineStr">
        <is>
          <t>FDA·EMA 실사</t>
        </is>
      </c>
      <c r="F855" s="17" t="inlineStr">
        <is>
          <t>미확인</t>
        </is>
      </c>
      <c r="G855" s="17" t="inlineStr">
        <is>
          <t>웹조사 자동화 실패(세션한도)</t>
        </is>
      </c>
      <c r="H855" s="17" t="inlineStr">
        <is>
          <t>N</t>
        </is>
      </c>
      <c r="I855" s="17" t="inlineStr">
        <is>
          <t>FDA Inspection DB</t>
        </is>
      </c>
      <c r="J855" s="17" t="inlineStr">
        <is>
          <t>FDA Inspection DB에서 확인</t>
        </is>
      </c>
      <c r="K855" s="17" t="inlineStr">
        <is>
          <t>중간</t>
        </is>
      </c>
      <c r="L855" s="17" t="inlineStr"/>
    </row>
    <row r="856">
      <c r="A856" s="17" t="inlineStr">
        <is>
          <t>C136</t>
        </is>
      </c>
      <c r="B856" s="17" t="inlineStr"/>
      <c r="C856" s="17" t="inlineStr">
        <is>
          <t>(주)듀켐바이오</t>
        </is>
      </c>
      <c r="D856" s="17" t="inlineStr"/>
      <c r="E856" s="17" t="inlineStr">
        <is>
          <t>CMO·CDMO</t>
        </is>
      </c>
      <c r="F856" s="17" t="inlineStr">
        <is>
          <t>미확인</t>
        </is>
      </c>
      <c r="G856" s="17" t="inlineStr">
        <is>
          <t>웹조사 자동화 실패(세션한도)</t>
        </is>
      </c>
      <c r="H856" s="17" t="inlineStr">
        <is>
          <t>N</t>
        </is>
      </c>
      <c r="I856" s="17" t="inlineStr">
        <is>
          <t>회사 홈페이지</t>
        </is>
      </c>
      <c r="J856" s="17" t="inlineStr">
        <is>
          <t>회사 홈페이지에서 확인</t>
        </is>
      </c>
      <c r="K856" s="17" t="inlineStr">
        <is>
          <t>중간</t>
        </is>
      </c>
      <c r="L856" s="17" t="inlineStr"/>
    </row>
    <row r="857">
      <c r="A857" s="17" t="inlineStr">
        <is>
          <t>C136</t>
        </is>
      </c>
      <c r="B857" s="17" t="inlineStr"/>
      <c r="C857" s="17" t="inlineStr">
        <is>
          <t>(주)듀켐바이오</t>
        </is>
      </c>
      <c r="D857" s="17" t="inlineStr"/>
      <c r="E857" s="17" t="inlineStr">
        <is>
          <t>신공장·증설</t>
        </is>
      </c>
      <c r="F857" s="17" t="inlineStr">
        <is>
          <t>미확인</t>
        </is>
      </c>
      <c r="G857" s="17" t="inlineStr">
        <is>
          <t>웹조사 자동화 실패(세션한도)</t>
        </is>
      </c>
      <c r="H857" s="17" t="inlineStr">
        <is>
          <t>N</t>
        </is>
      </c>
      <c r="I857" s="17" t="inlineStr">
        <is>
          <t>언론·지자체 발표</t>
        </is>
      </c>
      <c r="J857" s="17" t="inlineStr">
        <is>
          <t>언론·지자체 발표에서 확인</t>
        </is>
      </c>
      <c r="K857" s="17" t="inlineStr">
        <is>
          <t>중간</t>
        </is>
      </c>
      <c r="L857" s="17" t="inlineStr"/>
    </row>
    <row r="858">
      <c r="A858" s="17" t="inlineStr">
        <is>
          <t>C137</t>
        </is>
      </c>
      <c r="B858" s="17" t="inlineStr"/>
      <c r="C858" s="17" t="inlineStr">
        <is>
          <t>(주)켐포트</t>
        </is>
      </c>
      <c r="D858" s="17" t="inlineStr"/>
      <c r="E858" s="17" t="inlineStr">
        <is>
          <t>최근매출(억원)</t>
        </is>
      </c>
      <c r="F858" s="17" t="inlineStr">
        <is>
          <t>미확인</t>
        </is>
      </c>
      <c r="G858" s="17" t="inlineStr">
        <is>
          <t>웹조사 자동화 실패(세션한도)</t>
        </is>
      </c>
      <c r="H858" s="17" t="inlineStr">
        <is>
          <t>N</t>
        </is>
      </c>
      <c r="I858" s="17" t="inlineStr">
        <is>
          <t>DART 사업보고서</t>
        </is>
      </c>
      <c r="J858" s="17" t="inlineStr">
        <is>
          <t>DART 사업보고서에서 확인</t>
        </is>
      </c>
      <c r="K858" s="17" t="inlineStr">
        <is>
          <t>낮음</t>
        </is>
      </c>
      <c r="L858" s="17" t="inlineStr"/>
    </row>
    <row r="859">
      <c r="A859" s="17" t="inlineStr">
        <is>
          <t>C137</t>
        </is>
      </c>
      <c r="B859" s="17" t="inlineStr"/>
      <c r="C859" s="17" t="inlineStr">
        <is>
          <t>(주)켐포트</t>
        </is>
      </c>
      <c r="D859" s="17" t="inlineStr"/>
      <c r="E859" s="17" t="inlineStr">
        <is>
          <t>종업원수</t>
        </is>
      </c>
      <c r="F859" s="17" t="inlineStr">
        <is>
          <t>미확인</t>
        </is>
      </c>
      <c r="G859" s="17" t="inlineStr">
        <is>
          <t>웹조사 자동화 실패(세션한도)</t>
        </is>
      </c>
      <c r="H859" s="17" t="inlineStr">
        <is>
          <t>N</t>
        </is>
      </c>
      <c r="I859" s="17" t="inlineStr">
        <is>
          <t>DART/채용</t>
        </is>
      </c>
      <c r="J859" s="17" t="inlineStr">
        <is>
          <t>DART/채용에서 확인</t>
        </is>
      </c>
      <c r="K859" s="17" t="inlineStr">
        <is>
          <t>낮음</t>
        </is>
      </c>
      <c r="L859" s="17" t="inlineStr"/>
    </row>
    <row r="860">
      <c r="A860" s="17" t="inlineStr">
        <is>
          <t>C137</t>
        </is>
      </c>
      <c r="B860" s="17" t="inlineStr"/>
      <c r="C860" s="17" t="inlineStr">
        <is>
          <t>(주)켐포트</t>
        </is>
      </c>
      <c r="D860" s="17" t="inlineStr"/>
      <c r="E860" s="17" t="inlineStr">
        <is>
          <t>수출여부</t>
        </is>
      </c>
      <c r="F860" s="17" t="inlineStr">
        <is>
          <t>미확인</t>
        </is>
      </c>
      <c r="G860" s="17" t="inlineStr">
        <is>
          <t>웹조사 자동화 실패(세션한도)</t>
        </is>
      </c>
      <c r="H860" s="17" t="inlineStr">
        <is>
          <t>N</t>
        </is>
      </c>
      <c r="I860" s="17" t="inlineStr">
        <is>
          <t>회사 공시·홈페이지</t>
        </is>
      </c>
      <c r="J860" s="17" t="inlineStr">
        <is>
          <t>회사 공시·홈페이지에서 확인</t>
        </is>
      </c>
      <c r="K860" s="17" t="inlineStr">
        <is>
          <t>낮음</t>
        </is>
      </c>
      <c r="L860" s="17" t="inlineStr"/>
    </row>
    <row r="861">
      <c r="A861" s="17" t="inlineStr">
        <is>
          <t>C137</t>
        </is>
      </c>
      <c r="B861" s="17" t="inlineStr"/>
      <c r="C861" s="17" t="inlineStr">
        <is>
          <t>(주)켐포트</t>
        </is>
      </c>
      <c r="D861" s="17" t="inlineStr"/>
      <c r="E861" s="17" t="inlineStr">
        <is>
          <t>FDA·EMA 실사</t>
        </is>
      </c>
      <c r="F861" s="17" t="inlineStr">
        <is>
          <t>미확인</t>
        </is>
      </c>
      <c r="G861" s="17" t="inlineStr">
        <is>
          <t>웹조사 자동화 실패(세션한도)</t>
        </is>
      </c>
      <c r="H861" s="17" t="inlineStr">
        <is>
          <t>N</t>
        </is>
      </c>
      <c r="I861" s="17" t="inlineStr">
        <is>
          <t>FDA Inspection DB</t>
        </is>
      </c>
      <c r="J861" s="17" t="inlineStr">
        <is>
          <t>FDA Inspection DB에서 확인</t>
        </is>
      </c>
      <c r="K861" s="17" t="inlineStr">
        <is>
          <t>낮음</t>
        </is>
      </c>
      <c r="L861" s="17" t="inlineStr"/>
    </row>
    <row r="862">
      <c r="A862" s="17" t="inlineStr">
        <is>
          <t>C137</t>
        </is>
      </c>
      <c r="B862" s="17" t="inlineStr"/>
      <c r="C862" s="17" t="inlineStr">
        <is>
          <t>(주)켐포트</t>
        </is>
      </c>
      <c r="D862" s="17" t="inlineStr"/>
      <c r="E862" s="17" t="inlineStr">
        <is>
          <t>CMO·CDMO</t>
        </is>
      </c>
      <c r="F862" s="17" t="inlineStr">
        <is>
          <t>미확인</t>
        </is>
      </c>
      <c r="G862" s="17" t="inlineStr">
        <is>
          <t>웹조사 자동화 실패(세션한도)</t>
        </is>
      </c>
      <c r="H862" s="17" t="inlineStr">
        <is>
          <t>N</t>
        </is>
      </c>
      <c r="I862" s="17" t="inlineStr">
        <is>
          <t>회사 홈페이지</t>
        </is>
      </c>
      <c r="J862" s="17" t="inlineStr">
        <is>
          <t>회사 홈페이지에서 확인</t>
        </is>
      </c>
      <c r="K862" s="17" t="inlineStr">
        <is>
          <t>낮음</t>
        </is>
      </c>
      <c r="L862" s="17" t="inlineStr"/>
    </row>
    <row r="863">
      <c r="A863" s="17" t="inlineStr">
        <is>
          <t>C137</t>
        </is>
      </c>
      <c r="B863" s="17" t="inlineStr"/>
      <c r="C863" s="17" t="inlineStr">
        <is>
          <t>(주)켐포트</t>
        </is>
      </c>
      <c r="D863" s="17" t="inlineStr"/>
      <c r="E863" s="17" t="inlineStr">
        <is>
          <t>신공장·증설</t>
        </is>
      </c>
      <c r="F863" s="17" t="inlineStr">
        <is>
          <t>미확인</t>
        </is>
      </c>
      <c r="G863" s="17" t="inlineStr">
        <is>
          <t>웹조사 자동화 실패(세션한도)</t>
        </is>
      </c>
      <c r="H863" s="17" t="inlineStr">
        <is>
          <t>N</t>
        </is>
      </c>
      <c r="I863" s="17" t="inlineStr">
        <is>
          <t>언론·지자체 발표</t>
        </is>
      </c>
      <c r="J863" s="17" t="inlineStr">
        <is>
          <t>언론·지자체 발표에서 확인</t>
        </is>
      </c>
      <c r="K863" s="17" t="inlineStr">
        <is>
          <t>낮음</t>
        </is>
      </c>
      <c r="L863" s="17" t="inlineStr"/>
    </row>
    <row r="864">
      <c r="A864" s="17" t="inlineStr">
        <is>
          <t>C137</t>
        </is>
      </c>
      <c r="B864" s="17" t="inlineStr"/>
      <c r="C864" s="17" t="inlineStr">
        <is>
          <t>(주)켐포트</t>
        </is>
      </c>
      <c r="D864" s="17" t="inlineStr"/>
      <c r="E864" s="17" t="inlineStr">
        <is>
          <t>대표전화</t>
        </is>
      </c>
      <c r="F864" s="17" t="inlineStr">
        <is>
          <t>미확인</t>
        </is>
      </c>
      <c r="G864" s="17" t="inlineStr">
        <is>
          <t>제조소상세 미매칭</t>
        </is>
      </c>
      <c r="H864" s="17" t="inlineStr">
        <is>
          <t>Y</t>
        </is>
      </c>
      <c r="I864" s="17" t="inlineStr">
        <is>
          <t>회사 홈페이지</t>
        </is>
      </c>
      <c r="J864" s="17" t="inlineStr">
        <is>
          <t>홈페이지에서 대표번호 확인</t>
        </is>
      </c>
      <c r="K864" s="17" t="inlineStr">
        <is>
          <t>낮음</t>
        </is>
      </c>
      <c r="L864" s="17" t="inlineStr"/>
    </row>
    <row r="865">
      <c r="A865" s="17" t="inlineStr">
        <is>
          <t>C138</t>
        </is>
      </c>
      <c r="B865" s="17" t="inlineStr"/>
      <c r="C865" s="17" t="inlineStr">
        <is>
          <t>한국오츠카제약(주)</t>
        </is>
      </c>
      <c r="D865" s="17" t="inlineStr"/>
      <c r="E865" s="17" t="inlineStr">
        <is>
          <t>최근매출(억원)</t>
        </is>
      </c>
      <c r="F865" s="17" t="inlineStr">
        <is>
          <t>미확인</t>
        </is>
      </c>
      <c r="G865" s="17" t="inlineStr">
        <is>
          <t>웹조사 자동화 실패(세션한도)</t>
        </is>
      </c>
      <c r="H865" s="17" t="inlineStr">
        <is>
          <t>N</t>
        </is>
      </c>
      <c r="I865" s="17" t="inlineStr">
        <is>
          <t>DART 사업보고서</t>
        </is>
      </c>
      <c r="J865" s="17" t="inlineStr">
        <is>
          <t>DART 사업보고서에서 확인</t>
        </is>
      </c>
      <c r="K865" s="17" t="inlineStr">
        <is>
          <t>낮음</t>
        </is>
      </c>
      <c r="L865" s="17" t="inlineStr"/>
    </row>
    <row r="866">
      <c r="A866" s="17" t="inlineStr">
        <is>
          <t>C138</t>
        </is>
      </c>
      <c r="B866" s="17" t="inlineStr"/>
      <c r="C866" s="17" t="inlineStr">
        <is>
          <t>한국오츠카제약(주)</t>
        </is>
      </c>
      <c r="D866" s="17" t="inlineStr"/>
      <c r="E866" s="17" t="inlineStr">
        <is>
          <t>종업원수</t>
        </is>
      </c>
      <c r="F866" s="17" t="inlineStr">
        <is>
          <t>미확인</t>
        </is>
      </c>
      <c r="G866" s="17" t="inlineStr">
        <is>
          <t>웹조사 자동화 실패(세션한도)</t>
        </is>
      </c>
      <c r="H866" s="17" t="inlineStr">
        <is>
          <t>N</t>
        </is>
      </c>
      <c r="I866" s="17" t="inlineStr">
        <is>
          <t>DART/채용</t>
        </is>
      </c>
      <c r="J866" s="17" t="inlineStr">
        <is>
          <t>DART/채용에서 확인</t>
        </is>
      </c>
      <c r="K866" s="17" t="inlineStr">
        <is>
          <t>낮음</t>
        </is>
      </c>
      <c r="L866" s="17" t="inlineStr"/>
    </row>
    <row r="867">
      <c r="A867" s="17" t="inlineStr">
        <is>
          <t>C138</t>
        </is>
      </c>
      <c r="B867" s="17" t="inlineStr"/>
      <c r="C867" s="17" t="inlineStr">
        <is>
          <t>한국오츠카제약(주)</t>
        </is>
      </c>
      <c r="D867" s="17" t="inlineStr"/>
      <c r="E867" s="17" t="inlineStr">
        <is>
          <t>수출여부</t>
        </is>
      </c>
      <c r="F867" s="17" t="inlineStr">
        <is>
          <t>미확인</t>
        </is>
      </c>
      <c r="G867" s="17" t="inlineStr">
        <is>
          <t>웹조사 자동화 실패(세션한도)</t>
        </is>
      </c>
      <c r="H867" s="17" t="inlineStr">
        <is>
          <t>N</t>
        </is>
      </c>
      <c r="I867" s="17" t="inlineStr">
        <is>
          <t>회사 공시·홈페이지</t>
        </is>
      </c>
      <c r="J867" s="17" t="inlineStr">
        <is>
          <t>회사 공시·홈페이지에서 확인</t>
        </is>
      </c>
      <c r="K867" s="17" t="inlineStr">
        <is>
          <t>낮음</t>
        </is>
      </c>
      <c r="L867" s="17" t="inlineStr"/>
    </row>
    <row r="868">
      <c r="A868" s="17" t="inlineStr">
        <is>
          <t>C138</t>
        </is>
      </c>
      <c r="B868" s="17" t="inlineStr"/>
      <c r="C868" s="17" t="inlineStr">
        <is>
          <t>한국오츠카제약(주)</t>
        </is>
      </c>
      <c r="D868" s="17" t="inlineStr"/>
      <c r="E868" s="17" t="inlineStr">
        <is>
          <t>FDA·EMA 실사</t>
        </is>
      </c>
      <c r="F868" s="17" t="inlineStr">
        <is>
          <t>미확인</t>
        </is>
      </c>
      <c r="G868" s="17" t="inlineStr">
        <is>
          <t>웹조사 자동화 실패(세션한도)</t>
        </is>
      </c>
      <c r="H868" s="17" t="inlineStr">
        <is>
          <t>N</t>
        </is>
      </c>
      <c r="I868" s="17" t="inlineStr">
        <is>
          <t>FDA Inspection DB</t>
        </is>
      </c>
      <c r="J868" s="17" t="inlineStr">
        <is>
          <t>FDA Inspection DB에서 확인</t>
        </is>
      </c>
      <c r="K868" s="17" t="inlineStr">
        <is>
          <t>낮음</t>
        </is>
      </c>
      <c r="L868" s="17" t="inlineStr"/>
    </row>
    <row r="869">
      <c r="A869" s="17" t="inlineStr">
        <is>
          <t>C138</t>
        </is>
      </c>
      <c r="B869" s="17" t="inlineStr"/>
      <c r="C869" s="17" t="inlineStr">
        <is>
          <t>한국오츠카제약(주)</t>
        </is>
      </c>
      <c r="D869" s="17" t="inlineStr"/>
      <c r="E869" s="17" t="inlineStr">
        <is>
          <t>CMO·CDMO</t>
        </is>
      </c>
      <c r="F869" s="17" t="inlineStr">
        <is>
          <t>미확인</t>
        </is>
      </c>
      <c r="G869" s="17" t="inlineStr">
        <is>
          <t>웹조사 자동화 실패(세션한도)</t>
        </is>
      </c>
      <c r="H869" s="17" t="inlineStr">
        <is>
          <t>N</t>
        </is>
      </c>
      <c r="I869" s="17" t="inlineStr">
        <is>
          <t>회사 홈페이지</t>
        </is>
      </c>
      <c r="J869" s="17" t="inlineStr">
        <is>
          <t>회사 홈페이지에서 확인</t>
        </is>
      </c>
      <c r="K869" s="17" t="inlineStr">
        <is>
          <t>낮음</t>
        </is>
      </c>
      <c r="L869" s="17" t="inlineStr"/>
    </row>
    <row r="870">
      <c r="A870" s="17" t="inlineStr">
        <is>
          <t>C138</t>
        </is>
      </c>
      <c r="B870" s="17" t="inlineStr"/>
      <c r="C870" s="17" t="inlineStr">
        <is>
          <t>한국오츠카제약(주)</t>
        </is>
      </c>
      <c r="D870" s="17" t="inlineStr"/>
      <c r="E870" s="17" t="inlineStr">
        <is>
          <t>신공장·증설</t>
        </is>
      </c>
      <c r="F870" s="17" t="inlineStr">
        <is>
          <t>미확인</t>
        </is>
      </c>
      <c r="G870" s="17" t="inlineStr">
        <is>
          <t>웹조사 자동화 실패(세션한도)</t>
        </is>
      </c>
      <c r="H870" s="17" t="inlineStr">
        <is>
          <t>N</t>
        </is>
      </c>
      <c r="I870" s="17" t="inlineStr">
        <is>
          <t>언론·지자체 발표</t>
        </is>
      </c>
      <c r="J870" s="17" t="inlineStr">
        <is>
          <t>언론·지자체 발표에서 확인</t>
        </is>
      </c>
      <c r="K870" s="17" t="inlineStr">
        <is>
          <t>낮음</t>
        </is>
      </c>
      <c r="L870" s="17" t="inlineStr"/>
    </row>
    <row r="871">
      <c r="A871" s="17" t="inlineStr">
        <is>
          <t>C139</t>
        </is>
      </c>
      <c r="B871" s="17" t="inlineStr"/>
      <c r="C871" s="17" t="inlineStr">
        <is>
          <t>(주)테라젠이텍스</t>
        </is>
      </c>
      <c r="D871" s="17" t="inlineStr"/>
      <c r="E871" s="17" t="inlineStr">
        <is>
          <t>최근매출(억원)</t>
        </is>
      </c>
      <c r="F871" s="17" t="inlineStr">
        <is>
          <t>미확인</t>
        </is>
      </c>
      <c r="G871" s="17" t="inlineStr">
        <is>
          <t>웹조사 자동화 실패(세션한도)</t>
        </is>
      </c>
      <c r="H871" s="17" t="inlineStr">
        <is>
          <t>N</t>
        </is>
      </c>
      <c r="I871" s="17" t="inlineStr">
        <is>
          <t>DART 사업보고서</t>
        </is>
      </c>
      <c r="J871" s="17" t="inlineStr">
        <is>
          <t>DART 사업보고서에서 확인</t>
        </is>
      </c>
      <c r="K871" s="17" t="inlineStr">
        <is>
          <t>낮음</t>
        </is>
      </c>
      <c r="L871" s="17" t="inlineStr"/>
    </row>
    <row r="872">
      <c r="A872" s="17" t="inlineStr">
        <is>
          <t>C139</t>
        </is>
      </c>
      <c r="B872" s="17" t="inlineStr"/>
      <c r="C872" s="17" t="inlineStr">
        <is>
          <t>(주)테라젠이텍스</t>
        </is>
      </c>
      <c r="D872" s="17" t="inlineStr"/>
      <c r="E872" s="17" t="inlineStr">
        <is>
          <t>종업원수</t>
        </is>
      </c>
      <c r="F872" s="17" t="inlineStr">
        <is>
          <t>미확인</t>
        </is>
      </c>
      <c r="G872" s="17" t="inlineStr">
        <is>
          <t>웹조사 자동화 실패(세션한도)</t>
        </is>
      </c>
      <c r="H872" s="17" t="inlineStr">
        <is>
          <t>N</t>
        </is>
      </c>
      <c r="I872" s="17" t="inlineStr">
        <is>
          <t>DART/채용</t>
        </is>
      </c>
      <c r="J872" s="17" t="inlineStr">
        <is>
          <t>DART/채용에서 확인</t>
        </is>
      </c>
      <c r="K872" s="17" t="inlineStr">
        <is>
          <t>낮음</t>
        </is>
      </c>
      <c r="L872" s="17" t="inlineStr"/>
    </row>
    <row r="873">
      <c r="A873" s="17" t="inlineStr">
        <is>
          <t>C139</t>
        </is>
      </c>
      <c r="B873" s="17" t="inlineStr"/>
      <c r="C873" s="17" t="inlineStr">
        <is>
          <t>(주)테라젠이텍스</t>
        </is>
      </c>
      <c r="D873" s="17" t="inlineStr"/>
      <c r="E873" s="17" t="inlineStr">
        <is>
          <t>수출여부</t>
        </is>
      </c>
      <c r="F873" s="17" t="inlineStr">
        <is>
          <t>미확인</t>
        </is>
      </c>
      <c r="G873" s="17" t="inlineStr">
        <is>
          <t>웹조사 자동화 실패(세션한도)</t>
        </is>
      </c>
      <c r="H873" s="17" t="inlineStr">
        <is>
          <t>N</t>
        </is>
      </c>
      <c r="I873" s="17" t="inlineStr">
        <is>
          <t>회사 공시·홈페이지</t>
        </is>
      </c>
      <c r="J873" s="17" t="inlineStr">
        <is>
          <t>회사 공시·홈페이지에서 확인</t>
        </is>
      </c>
      <c r="K873" s="17" t="inlineStr">
        <is>
          <t>낮음</t>
        </is>
      </c>
      <c r="L873" s="17" t="inlineStr"/>
    </row>
    <row r="874">
      <c r="A874" s="17" t="inlineStr">
        <is>
          <t>C139</t>
        </is>
      </c>
      <c r="B874" s="17" t="inlineStr"/>
      <c r="C874" s="17" t="inlineStr">
        <is>
          <t>(주)테라젠이텍스</t>
        </is>
      </c>
      <c r="D874" s="17" t="inlineStr"/>
      <c r="E874" s="17" t="inlineStr">
        <is>
          <t>FDA·EMA 실사</t>
        </is>
      </c>
      <c r="F874" s="17" t="inlineStr">
        <is>
          <t>미확인</t>
        </is>
      </c>
      <c r="G874" s="17" t="inlineStr">
        <is>
          <t>웹조사 자동화 실패(세션한도)</t>
        </is>
      </c>
      <c r="H874" s="17" t="inlineStr">
        <is>
          <t>N</t>
        </is>
      </c>
      <c r="I874" s="17" t="inlineStr">
        <is>
          <t>FDA Inspection DB</t>
        </is>
      </c>
      <c r="J874" s="17" t="inlineStr">
        <is>
          <t>FDA Inspection DB에서 확인</t>
        </is>
      </c>
      <c r="K874" s="17" t="inlineStr">
        <is>
          <t>낮음</t>
        </is>
      </c>
      <c r="L874" s="17" t="inlineStr"/>
    </row>
    <row r="875">
      <c r="A875" s="17" t="inlineStr">
        <is>
          <t>C139</t>
        </is>
      </c>
      <c r="B875" s="17" t="inlineStr"/>
      <c r="C875" s="17" t="inlineStr">
        <is>
          <t>(주)테라젠이텍스</t>
        </is>
      </c>
      <c r="D875" s="17" t="inlineStr"/>
      <c r="E875" s="17" t="inlineStr">
        <is>
          <t>CMO·CDMO</t>
        </is>
      </c>
      <c r="F875" s="17" t="inlineStr">
        <is>
          <t>미확인</t>
        </is>
      </c>
      <c r="G875" s="17" t="inlineStr">
        <is>
          <t>웹조사 자동화 실패(세션한도)</t>
        </is>
      </c>
      <c r="H875" s="17" t="inlineStr">
        <is>
          <t>N</t>
        </is>
      </c>
      <c r="I875" s="17" t="inlineStr">
        <is>
          <t>회사 홈페이지</t>
        </is>
      </c>
      <c r="J875" s="17" t="inlineStr">
        <is>
          <t>회사 홈페이지에서 확인</t>
        </is>
      </c>
      <c r="K875" s="17" t="inlineStr">
        <is>
          <t>낮음</t>
        </is>
      </c>
      <c r="L875" s="17" t="inlineStr"/>
    </row>
    <row r="876">
      <c r="A876" s="17" t="inlineStr">
        <is>
          <t>C139</t>
        </is>
      </c>
      <c r="B876" s="17" t="inlineStr"/>
      <c r="C876" s="17" t="inlineStr">
        <is>
          <t>(주)테라젠이텍스</t>
        </is>
      </c>
      <c r="D876" s="17" t="inlineStr"/>
      <c r="E876" s="17" t="inlineStr">
        <is>
          <t>신공장·증설</t>
        </is>
      </c>
      <c r="F876" s="17" t="inlineStr">
        <is>
          <t>미확인</t>
        </is>
      </c>
      <c r="G876" s="17" t="inlineStr">
        <is>
          <t>웹조사 자동화 실패(세션한도)</t>
        </is>
      </c>
      <c r="H876" s="17" t="inlineStr">
        <is>
          <t>N</t>
        </is>
      </c>
      <c r="I876" s="17" t="inlineStr">
        <is>
          <t>언론·지자체 발표</t>
        </is>
      </c>
      <c r="J876" s="17" t="inlineStr">
        <is>
          <t>언론·지자체 발표에서 확인</t>
        </is>
      </c>
      <c r="K876" s="17" t="inlineStr">
        <is>
          <t>낮음</t>
        </is>
      </c>
      <c r="L876" s="17" t="inlineStr"/>
    </row>
    <row r="877">
      <c r="A877" s="17" t="inlineStr">
        <is>
          <t>C140</t>
        </is>
      </c>
      <c r="B877" s="17" t="inlineStr"/>
      <c r="C877" s="17" t="inlineStr">
        <is>
          <t>한국넬슨제약(주)</t>
        </is>
      </c>
      <c r="D877" s="17" t="inlineStr"/>
      <c r="E877" s="17" t="inlineStr">
        <is>
          <t>최근매출(억원)</t>
        </is>
      </c>
      <c r="F877" s="17" t="inlineStr">
        <is>
          <t>미확인</t>
        </is>
      </c>
      <c r="G877" s="17" t="inlineStr">
        <is>
          <t>웹조사 자동화 실패(세션한도)</t>
        </is>
      </c>
      <c r="H877" s="17" t="inlineStr">
        <is>
          <t>N</t>
        </is>
      </c>
      <c r="I877" s="17" t="inlineStr">
        <is>
          <t>DART 사업보고서</t>
        </is>
      </c>
      <c r="J877" s="17" t="inlineStr">
        <is>
          <t>DART 사업보고서에서 확인</t>
        </is>
      </c>
      <c r="K877" s="17" t="inlineStr">
        <is>
          <t>낮음</t>
        </is>
      </c>
      <c r="L877" s="17" t="inlineStr"/>
    </row>
    <row r="878">
      <c r="A878" s="17" t="inlineStr">
        <is>
          <t>C140</t>
        </is>
      </c>
      <c r="B878" s="17" t="inlineStr"/>
      <c r="C878" s="17" t="inlineStr">
        <is>
          <t>한국넬슨제약(주)</t>
        </is>
      </c>
      <c r="D878" s="17" t="inlineStr"/>
      <c r="E878" s="17" t="inlineStr">
        <is>
          <t>종업원수</t>
        </is>
      </c>
      <c r="F878" s="17" t="inlineStr">
        <is>
          <t>미확인</t>
        </is>
      </c>
      <c r="G878" s="17" t="inlineStr">
        <is>
          <t>웹조사 자동화 실패(세션한도)</t>
        </is>
      </c>
      <c r="H878" s="17" t="inlineStr">
        <is>
          <t>N</t>
        </is>
      </c>
      <c r="I878" s="17" t="inlineStr">
        <is>
          <t>DART/채용</t>
        </is>
      </c>
      <c r="J878" s="17" t="inlineStr">
        <is>
          <t>DART/채용에서 확인</t>
        </is>
      </c>
      <c r="K878" s="17" t="inlineStr">
        <is>
          <t>낮음</t>
        </is>
      </c>
      <c r="L878" s="17" t="inlineStr"/>
    </row>
    <row r="879">
      <c r="A879" s="17" t="inlineStr">
        <is>
          <t>C140</t>
        </is>
      </c>
      <c r="B879" s="17" t="inlineStr"/>
      <c r="C879" s="17" t="inlineStr">
        <is>
          <t>한국넬슨제약(주)</t>
        </is>
      </c>
      <c r="D879" s="17" t="inlineStr"/>
      <c r="E879" s="17" t="inlineStr">
        <is>
          <t>수출여부</t>
        </is>
      </c>
      <c r="F879" s="17" t="inlineStr">
        <is>
          <t>미확인</t>
        </is>
      </c>
      <c r="G879" s="17" t="inlineStr">
        <is>
          <t>웹조사 자동화 실패(세션한도)</t>
        </is>
      </c>
      <c r="H879" s="17" t="inlineStr">
        <is>
          <t>N</t>
        </is>
      </c>
      <c r="I879" s="17" t="inlineStr">
        <is>
          <t>회사 공시·홈페이지</t>
        </is>
      </c>
      <c r="J879" s="17" t="inlineStr">
        <is>
          <t>회사 공시·홈페이지에서 확인</t>
        </is>
      </c>
      <c r="K879" s="17" t="inlineStr">
        <is>
          <t>낮음</t>
        </is>
      </c>
      <c r="L879" s="17" t="inlineStr"/>
    </row>
    <row r="880">
      <c r="A880" s="17" t="inlineStr">
        <is>
          <t>C140</t>
        </is>
      </c>
      <c r="B880" s="17" t="inlineStr"/>
      <c r="C880" s="17" t="inlineStr">
        <is>
          <t>한국넬슨제약(주)</t>
        </is>
      </c>
      <c r="D880" s="17" t="inlineStr"/>
      <c r="E880" s="17" t="inlineStr">
        <is>
          <t>FDA·EMA 실사</t>
        </is>
      </c>
      <c r="F880" s="17" t="inlineStr">
        <is>
          <t>미확인</t>
        </is>
      </c>
      <c r="G880" s="17" t="inlineStr">
        <is>
          <t>웹조사 자동화 실패(세션한도)</t>
        </is>
      </c>
      <c r="H880" s="17" t="inlineStr">
        <is>
          <t>N</t>
        </is>
      </c>
      <c r="I880" s="17" t="inlineStr">
        <is>
          <t>FDA Inspection DB</t>
        </is>
      </c>
      <c r="J880" s="17" t="inlineStr">
        <is>
          <t>FDA Inspection DB에서 확인</t>
        </is>
      </c>
      <c r="K880" s="17" t="inlineStr">
        <is>
          <t>낮음</t>
        </is>
      </c>
      <c r="L880" s="17" t="inlineStr"/>
    </row>
    <row r="881">
      <c r="A881" s="17" t="inlineStr">
        <is>
          <t>C140</t>
        </is>
      </c>
      <c r="B881" s="17" t="inlineStr"/>
      <c r="C881" s="17" t="inlineStr">
        <is>
          <t>한국넬슨제약(주)</t>
        </is>
      </c>
      <c r="D881" s="17" t="inlineStr"/>
      <c r="E881" s="17" t="inlineStr">
        <is>
          <t>CMO·CDMO</t>
        </is>
      </c>
      <c r="F881" s="17" t="inlineStr">
        <is>
          <t>미확인</t>
        </is>
      </c>
      <c r="G881" s="17" t="inlineStr">
        <is>
          <t>웹조사 자동화 실패(세션한도)</t>
        </is>
      </c>
      <c r="H881" s="17" t="inlineStr">
        <is>
          <t>N</t>
        </is>
      </c>
      <c r="I881" s="17" t="inlineStr">
        <is>
          <t>회사 홈페이지</t>
        </is>
      </c>
      <c r="J881" s="17" t="inlineStr">
        <is>
          <t>회사 홈페이지에서 확인</t>
        </is>
      </c>
      <c r="K881" s="17" t="inlineStr">
        <is>
          <t>낮음</t>
        </is>
      </c>
      <c r="L881" s="17" t="inlineStr"/>
    </row>
    <row r="882">
      <c r="A882" s="17" t="inlineStr">
        <is>
          <t>C140</t>
        </is>
      </c>
      <c r="B882" s="17" t="inlineStr"/>
      <c r="C882" s="17" t="inlineStr">
        <is>
          <t>한국넬슨제약(주)</t>
        </is>
      </c>
      <c r="D882" s="17" t="inlineStr"/>
      <c r="E882" s="17" t="inlineStr">
        <is>
          <t>신공장·증설</t>
        </is>
      </c>
      <c r="F882" s="17" t="inlineStr">
        <is>
          <t>미확인</t>
        </is>
      </c>
      <c r="G882" s="17" t="inlineStr">
        <is>
          <t>웹조사 자동화 실패(세션한도)</t>
        </is>
      </c>
      <c r="H882" s="17" t="inlineStr">
        <is>
          <t>N</t>
        </is>
      </c>
      <c r="I882" s="17" t="inlineStr">
        <is>
          <t>언론·지자체 발표</t>
        </is>
      </c>
      <c r="J882" s="17" t="inlineStr">
        <is>
          <t>언론·지자체 발표에서 확인</t>
        </is>
      </c>
      <c r="K882" s="17" t="inlineStr">
        <is>
          <t>낮음</t>
        </is>
      </c>
      <c r="L882" s="17" t="inlineStr"/>
    </row>
    <row r="883">
      <c r="A883" s="17" t="inlineStr">
        <is>
          <t>C141</t>
        </is>
      </c>
      <c r="B883" s="17" t="inlineStr"/>
      <c r="C883" s="17" t="inlineStr">
        <is>
          <t>전남대학교병원</t>
        </is>
      </c>
      <c r="D883" s="17" t="inlineStr"/>
      <c r="E883" s="17" t="inlineStr">
        <is>
          <t>최근매출(억원)</t>
        </is>
      </c>
      <c r="F883" s="17" t="inlineStr">
        <is>
          <t>미확인</t>
        </is>
      </c>
      <c r="G883" s="17" t="inlineStr">
        <is>
          <t>웹조사 자동화 실패(세션한도)</t>
        </is>
      </c>
      <c r="H883" s="17" t="inlineStr">
        <is>
          <t>N</t>
        </is>
      </c>
      <c r="I883" s="17" t="inlineStr">
        <is>
          <t>DART 사업보고서</t>
        </is>
      </c>
      <c r="J883" s="17" t="inlineStr">
        <is>
          <t>DART 사업보고서에서 확인</t>
        </is>
      </c>
      <c r="K883" s="17" t="inlineStr">
        <is>
          <t>낮음</t>
        </is>
      </c>
      <c r="L883" s="17" t="inlineStr"/>
    </row>
    <row r="884">
      <c r="A884" s="17" t="inlineStr">
        <is>
          <t>C141</t>
        </is>
      </c>
      <c r="B884" s="17" t="inlineStr"/>
      <c r="C884" s="17" t="inlineStr">
        <is>
          <t>전남대학교병원</t>
        </is>
      </c>
      <c r="D884" s="17" t="inlineStr"/>
      <c r="E884" s="17" t="inlineStr">
        <is>
          <t>종업원수</t>
        </is>
      </c>
      <c r="F884" s="17" t="inlineStr">
        <is>
          <t>미확인</t>
        </is>
      </c>
      <c r="G884" s="17" t="inlineStr">
        <is>
          <t>웹조사 자동화 실패(세션한도)</t>
        </is>
      </c>
      <c r="H884" s="17" t="inlineStr">
        <is>
          <t>N</t>
        </is>
      </c>
      <c r="I884" s="17" t="inlineStr">
        <is>
          <t>DART/채용</t>
        </is>
      </c>
      <c r="J884" s="17" t="inlineStr">
        <is>
          <t>DART/채용에서 확인</t>
        </is>
      </c>
      <c r="K884" s="17" t="inlineStr">
        <is>
          <t>낮음</t>
        </is>
      </c>
      <c r="L884" s="17" t="inlineStr"/>
    </row>
    <row r="885">
      <c r="A885" s="17" t="inlineStr">
        <is>
          <t>C141</t>
        </is>
      </c>
      <c r="B885" s="17" t="inlineStr"/>
      <c r="C885" s="17" t="inlineStr">
        <is>
          <t>전남대학교병원</t>
        </is>
      </c>
      <c r="D885" s="17" t="inlineStr"/>
      <c r="E885" s="17" t="inlineStr">
        <is>
          <t>수출여부</t>
        </is>
      </c>
      <c r="F885" s="17" t="inlineStr">
        <is>
          <t>미확인</t>
        </is>
      </c>
      <c r="G885" s="17" t="inlineStr">
        <is>
          <t>웹조사 자동화 실패(세션한도)</t>
        </is>
      </c>
      <c r="H885" s="17" t="inlineStr">
        <is>
          <t>N</t>
        </is>
      </c>
      <c r="I885" s="17" t="inlineStr">
        <is>
          <t>회사 공시·홈페이지</t>
        </is>
      </c>
      <c r="J885" s="17" t="inlineStr">
        <is>
          <t>회사 공시·홈페이지에서 확인</t>
        </is>
      </c>
      <c r="K885" s="17" t="inlineStr">
        <is>
          <t>낮음</t>
        </is>
      </c>
      <c r="L885" s="17" t="inlineStr"/>
    </row>
    <row r="886">
      <c r="A886" s="17" t="inlineStr">
        <is>
          <t>C141</t>
        </is>
      </c>
      <c r="B886" s="17" t="inlineStr"/>
      <c r="C886" s="17" t="inlineStr">
        <is>
          <t>전남대학교병원</t>
        </is>
      </c>
      <c r="D886" s="17" t="inlineStr"/>
      <c r="E886" s="17" t="inlineStr">
        <is>
          <t>FDA·EMA 실사</t>
        </is>
      </c>
      <c r="F886" s="17" t="inlineStr">
        <is>
          <t>미확인</t>
        </is>
      </c>
      <c r="G886" s="17" t="inlineStr">
        <is>
          <t>웹조사 자동화 실패(세션한도)</t>
        </is>
      </c>
      <c r="H886" s="17" t="inlineStr">
        <is>
          <t>N</t>
        </is>
      </c>
      <c r="I886" s="17" t="inlineStr">
        <is>
          <t>FDA Inspection DB</t>
        </is>
      </c>
      <c r="J886" s="17" t="inlineStr">
        <is>
          <t>FDA Inspection DB에서 확인</t>
        </is>
      </c>
      <c r="K886" s="17" t="inlineStr">
        <is>
          <t>낮음</t>
        </is>
      </c>
      <c r="L886" s="17" t="inlineStr"/>
    </row>
    <row r="887">
      <c r="A887" s="17" t="inlineStr">
        <is>
          <t>C141</t>
        </is>
      </c>
      <c r="B887" s="17" t="inlineStr"/>
      <c r="C887" s="17" t="inlineStr">
        <is>
          <t>전남대학교병원</t>
        </is>
      </c>
      <c r="D887" s="17" t="inlineStr"/>
      <c r="E887" s="17" t="inlineStr">
        <is>
          <t>CMO·CDMO</t>
        </is>
      </c>
      <c r="F887" s="17" t="inlineStr">
        <is>
          <t>미확인</t>
        </is>
      </c>
      <c r="G887" s="17" t="inlineStr">
        <is>
          <t>웹조사 자동화 실패(세션한도)</t>
        </is>
      </c>
      <c r="H887" s="17" t="inlineStr">
        <is>
          <t>N</t>
        </is>
      </c>
      <c r="I887" s="17" t="inlineStr">
        <is>
          <t>회사 홈페이지</t>
        </is>
      </c>
      <c r="J887" s="17" t="inlineStr">
        <is>
          <t>회사 홈페이지에서 확인</t>
        </is>
      </c>
      <c r="K887" s="17" t="inlineStr">
        <is>
          <t>낮음</t>
        </is>
      </c>
      <c r="L887" s="17" t="inlineStr"/>
    </row>
    <row r="888">
      <c r="A888" s="17" t="inlineStr">
        <is>
          <t>C141</t>
        </is>
      </c>
      <c r="B888" s="17" t="inlineStr"/>
      <c r="C888" s="17" t="inlineStr">
        <is>
          <t>전남대학교병원</t>
        </is>
      </c>
      <c r="D888" s="17" t="inlineStr"/>
      <c r="E888" s="17" t="inlineStr">
        <is>
          <t>신공장·증설</t>
        </is>
      </c>
      <c r="F888" s="17" t="inlineStr">
        <is>
          <t>미확인</t>
        </is>
      </c>
      <c r="G888" s="17" t="inlineStr">
        <is>
          <t>웹조사 자동화 실패(세션한도)</t>
        </is>
      </c>
      <c r="H888" s="17" t="inlineStr">
        <is>
          <t>N</t>
        </is>
      </c>
      <c r="I888" s="17" t="inlineStr">
        <is>
          <t>언론·지자체 발표</t>
        </is>
      </c>
      <c r="J888" s="17" t="inlineStr">
        <is>
          <t>언론·지자체 발표에서 확인</t>
        </is>
      </c>
      <c r="K888" s="17" t="inlineStr">
        <is>
          <t>낮음</t>
        </is>
      </c>
      <c r="L888" s="17" t="inlineStr"/>
    </row>
    <row r="889">
      <c r="A889" s="17" t="inlineStr">
        <is>
          <t>C142</t>
        </is>
      </c>
      <c r="B889" s="17" t="inlineStr"/>
      <c r="C889" s="17" t="inlineStr">
        <is>
          <t>(주)프로라젠</t>
        </is>
      </c>
      <c r="D889" s="17" t="inlineStr"/>
      <c r="E889" s="17" t="inlineStr">
        <is>
          <t>최근매출(억원)</t>
        </is>
      </c>
      <c r="F889" s="17" t="inlineStr">
        <is>
          <t>미확인</t>
        </is>
      </c>
      <c r="G889" s="17" t="inlineStr">
        <is>
          <t>웹조사 자동화 실패(세션한도)</t>
        </is>
      </c>
      <c r="H889" s="17" t="inlineStr">
        <is>
          <t>N</t>
        </is>
      </c>
      <c r="I889" s="17" t="inlineStr">
        <is>
          <t>DART 사업보고서</t>
        </is>
      </c>
      <c r="J889" s="17" t="inlineStr">
        <is>
          <t>DART 사업보고서에서 확인</t>
        </is>
      </c>
      <c r="K889" s="17" t="inlineStr">
        <is>
          <t>낮음</t>
        </is>
      </c>
      <c r="L889" s="17" t="inlineStr"/>
    </row>
    <row r="890">
      <c r="A890" s="17" t="inlineStr">
        <is>
          <t>C142</t>
        </is>
      </c>
      <c r="B890" s="17" t="inlineStr"/>
      <c r="C890" s="17" t="inlineStr">
        <is>
          <t>(주)프로라젠</t>
        </is>
      </c>
      <c r="D890" s="17" t="inlineStr"/>
      <c r="E890" s="17" t="inlineStr">
        <is>
          <t>종업원수</t>
        </is>
      </c>
      <c r="F890" s="17" t="inlineStr">
        <is>
          <t>미확인</t>
        </is>
      </c>
      <c r="G890" s="17" t="inlineStr">
        <is>
          <t>웹조사 자동화 실패(세션한도)</t>
        </is>
      </c>
      <c r="H890" s="17" t="inlineStr">
        <is>
          <t>N</t>
        </is>
      </c>
      <c r="I890" s="17" t="inlineStr">
        <is>
          <t>DART/채용</t>
        </is>
      </c>
      <c r="J890" s="17" t="inlineStr">
        <is>
          <t>DART/채용에서 확인</t>
        </is>
      </c>
      <c r="K890" s="17" t="inlineStr">
        <is>
          <t>낮음</t>
        </is>
      </c>
      <c r="L890" s="17" t="inlineStr"/>
    </row>
    <row r="891">
      <c r="A891" s="17" t="inlineStr">
        <is>
          <t>C142</t>
        </is>
      </c>
      <c r="B891" s="17" t="inlineStr"/>
      <c r="C891" s="17" t="inlineStr">
        <is>
          <t>(주)프로라젠</t>
        </is>
      </c>
      <c r="D891" s="17" t="inlineStr"/>
      <c r="E891" s="17" t="inlineStr">
        <is>
          <t>수출여부</t>
        </is>
      </c>
      <c r="F891" s="17" t="inlineStr">
        <is>
          <t>미확인</t>
        </is>
      </c>
      <c r="G891" s="17" t="inlineStr">
        <is>
          <t>웹조사 자동화 실패(세션한도)</t>
        </is>
      </c>
      <c r="H891" s="17" t="inlineStr">
        <is>
          <t>N</t>
        </is>
      </c>
      <c r="I891" s="17" t="inlineStr">
        <is>
          <t>회사 공시·홈페이지</t>
        </is>
      </c>
      <c r="J891" s="17" t="inlineStr">
        <is>
          <t>회사 공시·홈페이지에서 확인</t>
        </is>
      </c>
      <c r="K891" s="17" t="inlineStr">
        <is>
          <t>낮음</t>
        </is>
      </c>
      <c r="L891" s="17" t="inlineStr"/>
    </row>
    <row r="892">
      <c r="A892" s="17" t="inlineStr">
        <is>
          <t>C142</t>
        </is>
      </c>
      <c r="B892" s="17" t="inlineStr"/>
      <c r="C892" s="17" t="inlineStr">
        <is>
          <t>(주)프로라젠</t>
        </is>
      </c>
      <c r="D892" s="17" t="inlineStr"/>
      <c r="E892" s="17" t="inlineStr">
        <is>
          <t>FDA·EMA 실사</t>
        </is>
      </c>
      <c r="F892" s="17" t="inlineStr">
        <is>
          <t>미확인</t>
        </is>
      </c>
      <c r="G892" s="17" t="inlineStr">
        <is>
          <t>웹조사 자동화 실패(세션한도)</t>
        </is>
      </c>
      <c r="H892" s="17" t="inlineStr">
        <is>
          <t>N</t>
        </is>
      </c>
      <c r="I892" s="17" t="inlineStr">
        <is>
          <t>FDA Inspection DB</t>
        </is>
      </c>
      <c r="J892" s="17" t="inlineStr">
        <is>
          <t>FDA Inspection DB에서 확인</t>
        </is>
      </c>
      <c r="K892" s="17" t="inlineStr">
        <is>
          <t>낮음</t>
        </is>
      </c>
      <c r="L892" s="17" t="inlineStr"/>
    </row>
    <row r="893">
      <c r="A893" s="17" t="inlineStr">
        <is>
          <t>C142</t>
        </is>
      </c>
      <c r="B893" s="17" t="inlineStr"/>
      <c r="C893" s="17" t="inlineStr">
        <is>
          <t>(주)프로라젠</t>
        </is>
      </c>
      <c r="D893" s="17" t="inlineStr"/>
      <c r="E893" s="17" t="inlineStr">
        <is>
          <t>CMO·CDMO</t>
        </is>
      </c>
      <c r="F893" s="17" t="inlineStr">
        <is>
          <t>미확인</t>
        </is>
      </c>
      <c r="G893" s="17" t="inlineStr">
        <is>
          <t>웹조사 자동화 실패(세션한도)</t>
        </is>
      </c>
      <c r="H893" s="17" t="inlineStr">
        <is>
          <t>N</t>
        </is>
      </c>
      <c r="I893" s="17" t="inlineStr">
        <is>
          <t>회사 홈페이지</t>
        </is>
      </c>
      <c r="J893" s="17" t="inlineStr">
        <is>
          <t>회사 홈페이지에서 확인</t>
        </is>
      </c>
      <c r="K893" s="17" t="inlineStr">
        <is>
          <t>낮음</t>
        </is>
      </c>
      <c r="L893" s="17" t="inlineStr"/>
    </row>
    <row r="894">
      <c r="A894" s="17" t="inlineStr">
        <is>
          <t>C142</t>
        </is>
      </c>
      <c r="B894" s="17" t="inlineStr"/>
      <c r="C894" s="17" t="inlineStr">
        <is>
          <t>(주)프로라젠</t>
        </is>
      </c>
      <c r="D894" s="17" t="inlineStr"/>
      <c r="E894" s="17" t="inlineStr">
        <is>
          <t>신공장·증설</t>
        </is>
      </c>
      <c r="F894" s="17" t="inlineStr">
        <is>
          <t>미확인</t>
        </is>
      </c>
      <c r="G894" s="17" t="inlineStr">
        <is>
          <t>웹조사 자동화 실패(세션한도)</t>
        </is>
      </c>
      <c r="H894" s="17" t="inlineStr">
        <is>
          <t>N</t>
        </is>
      </c>
      <c r="I894" s="17" t="inlineStr">
        <is>
          <t>언론·지자체 발표</t>
        </is>
      </c>
      <c r="J894" s="17" t="inlineStr">
        <is>
          <t>언론·지자체 발표에서 확인</t>
        </is>
      </c>
      <c r="K894" s="17" t="inlineStr">
        <is>
          <t>낮음</t>
        </is>
      </c>
      <c r="L894" s="17" t="inlineStr"/>
    </row>
    <row r="895">
      <c r="A895" s="17" t="inlineStr">
        <is>
          <t>C143</t>
        </is>
      </c>
      <c r="B895" s="17" t="inlineStr"/>
      <c r="C895" s="17" t="inlineStr">
        <is>
          <t>(주)휴온스메디텍</t>
        </is>
      </c>
      <c r="D895" s="17" t="inlineStr"/>
      <c r="E895" s="17" t="inlineStr">
        <is>
          <t>최근매출(억원)</t>
        </is>
      </c>
      <c r="F895" s="17" t="inlineStr">
        <is>
          <t>미확인</t>
        </is>
      </c>
      <c r="G895" s="17" t="inlineStr">
        <is>
          <t>웹조사 자동화 실패(세션한도)</t>
        </is>
      </c>
      <c r="H895" s="17" t="inlineStr">
        <is>
          <t>N</t>
        </is>
      </c>
      <c r="I895" s="17" t="inlineStr">
        <is>
          <t>DART 사업보고서</t>
        </is>
      </c>
      <c r="J895" s="17" t="inlineStr">
        <is>
          <t>DART 사업보고서에서 확인</t>
        </is>
      </c>
      <c r="K895" s="17" t="inlineStr">
        <is>
          <t>낮음</t>
        </is>
      </c>
      <c r="L895" s="17" t="inlineStr"/>
    </row>
    <row r="896">
      <c r="A896" s="17" t="inlineStr">
        <is>
          <t>C143</t>
        </is>
      </c>
      <c r="B896" s="17" t="inlineStr"/>
      <c r="C896" s="17" t="inlineStr">
        <is>
          <t>(주)휴온스메디텍</t>
        </is>
      </c>
      <c r="D896" s="17" t="inlineStr"/>
      <c r="E896" s="17" t="inlineStr">
        <is>
          <t>종업원수</t>
        </is>
      </c>
      <c r="F896" s="17" t="inlineStr">
        <is>
          <t>미확인</t>
        </is>
      </c>
      <c r="G896" s="17" t="inlineStr">
        <is>
          <t>웹조사 자동화 실패(세션한도)</t>
        </is>
      </c>
      <c r="H896" s="17" t="inlineStr">
        <is>
          <t>N</t>
        </is>
      </c>
      <c r="I896" s="17" t="inlineStr">
        <is>
          <t>DART/채용</t>
        </is>
      </c>
      <c r="J896" s="17" t="inlineStr">
        <is>
          <t>DART/채용에서 확인</t>
        </is>
      </c>
      <c r="K896" s="17" t="inlineStr">
        <is>
          <t>낮음</t>
        </is>
      </c>
      <c r="L896" s="17" t="inlineStr"/>
    </row>
    <row r="897">
      <c r="A897" s="17" t="inlineStr">
        <is>
          <t>C143</t>
        </is>
      </c>
      <c r="B897" s="17" t="inlineStr"/>
      <c r="C897" s="17" t="inlineStr">
        <is>
          <t>(주)휴온스메디텍</t>
        </is>
      </c>
      <c r="D897" s="17" t="inlineStr"/>
      <c r="E897" s="17" t="inlineStr">
        <is>
          <t>수출여부</t>
        </is>
      </c>
      <c r="F897" s="17" t="inlineStr">
        <is>
          <t>미확인</t>
        </is>
      </c>
      <c r="G897" s="17" t="inlineStr">
        <is>
          <t>웹조사 자동화 실패(세션한도)</t>
        </is>
      </c>
      <c r="H897" s="17" t="inlineStr">
        <is>
          <t>N</t>
        </is>
      </c>
      <c r="I897" s="17" t="inlineStr">
        <is>
          <t>회사 공시·홈페이지</t>
        </is>
      </c>
      <c r="J897" s="17" t="inlineStr">
        <is>
          <t>회사 공시·홈페이지에서 확인</t>
        </is>
      </c>
      <c r="K897" s="17" t="inlineStr">
        <is>
          <t>낮음</t>
        </is>
      </c>
      <c r="L897" s="17" t="inlineStr"/>
    </row>
    <row r="898">
      <c r="A898" s="17" t="inlineStr">
        <is>
          <t>C143</t>
        </is>
      </c>
      <c r="B898" s="17" t="inlineStr"/>
      <c r="C898" s="17" t="inlineStr">
        <is>
          <t>(주)휴온스메디텍</t>
        </is>
      </c>
      <c r="D898" s="17" t="inlineStr"/>
      <c r="E898" s="17" t="inlineStr">
        <is>
          <t>FDA·EMA 실사</t>
        </is>
      </c>
      <c r="F898" s="17" t="inlineStr">
        <is>
          <t>미확인</t>
        </is>
      </c>
      <c r="G898" s="17" t="inlineStr">
        <is>
          <t>웹조사 자동화 실패(세션한도)</t>
        </is>
      </c>
      <c r="H898" s="17" t="inlineStr">
        <is>
          <t>N</t>
        </is>
      </c>
      <c r="I898" s="17" t="inlineStr">
        <is>
          <t>FDA Inspection DB</t>
        </is>
      </c>
      <c r="J898" s="17" t="inlineStr">
        <is>
          <t>FDA Inspection DB에서 확인</t>
        </is>
      </c>
      <c r="K898" s="17" t="inlineStr">
        <is>
          <t>낮음</t>
        </is>
      </c>
      <c r="L898" s="17" t="inlineStr"/>
    </row>
    <row r="899">
      <c r="A899" s="17" t="inlineStr">
        <is>
          <t>C143</t>
        </is>
      </c>
      <c r="B899" s="17" t="inlineStr"/>
      <c r="C899" s="17" t="inlineStr">
        <is>
          <t>(주)휴온스메디텍</t>
        </is>
      </c>
      <c r="D899" s="17" t="inlineStr"/>
      <c r="E899" s="17" t="inlineStr">
        <is>
          <t>CMO·CDMO</t>
        </is>
      </c>
      <c r="F899" s="17" t="inlineStr">
        <is>
          <t>미확인</t>
        </is>
      </c>
      <c r="G899" s="17" t="inlineStr">
        <is>
          <t>웹조사 자동화 실패(세션한도)</t>
        </is>
      </c>
      <c r="H899" s="17" t="inlineStr">
        <is>
          <t>N</t>
        </is>
      </c>
      <c r="I899" s="17" t="inlineStr">
        <is>
          <t>회사 홈페이지</t>
        </is>
      </c>
      <c r="J899" s="17" t="inlineStr">
        <is>
          <t>회사 홈페이지에서 확인</t>
        </is>
      </c>
      <c r="K899" s="17" t="inlineStr">
        <is>
          <t>낮음</t>
        </is>
      </c>
      <c r="L899" s="17" t="inlineStr"/>
    </row>
    <row r="900">
      <c r="A900" s="17" t="inlineStr">
        <is>
          <t>C143</t>
        </is>
      </c>
      <c r="B900" s="17" t="inlineStr"/>
      <c r="C900" s="17" t="inlineStr">
        <is>
          <t>(주)휴온스메디텍</t>
        </is>
      </c>
      <c r="D900" s="17" t="inlineStr"/>
      <c r="E900" s="17" t="inlineStr">
        <is>
          <t>신공장·증설</t>
        </is>
      </c>
      <c r="F900" s="17" t="inlineStr">
        <is>
          <t>미확인</t>
        </is>
      </c>
      <c r="G900" s="17" t="inlineStr">
        <is>
          <t>웹조사 자동화 실패(세션한도)</t>
        </is>
      </c>
      <c r="H900" s="17" t="inlineStr">
        <is>
          <t>N</t>
        </is>
      </c>
      <c r="I900" s="17" t="inlineStr">
        <is>
          <t>언론·지자체 발표</t>
        </is>
      </c>
      <c r="J900" s="17" t="inlineStr">
        <is>
          <t>언론·지자체 발표에서 확인</t>
        </is>
      </c>
      <c r="K900" s="17" t="inlineStr">
        <is>
          <t>낮음</t>
        </is>
      </c>
      <c r="L900" s="17" t="inlineStr"/>
    </row>
    <row r="901">
      <c r="A901" s="17" t="inlineStr">
        <is>
          <t>C144</t>
        </is>
      </c>
      <c r="B901" s="17" t="inlineStr"/>
      <c r="C901" s="17" t="inlineStr">
        <is>
          <t>(주)오스코리아제약</t>
        </is>
      </c>
      <c r="D901" s="17" t="inlineStr"/>
      <c r="E901" s="17" t="inlineStr">
        <is>
          <t>최근매출(억원)</t>
        </is>
      </c>
      <c r="F901" s="17" t="inlineStr">
        <is>
          <t>미확인</t>
        </is>
      </c>
      <c r="G901" s="17" t="inlineStr">
        <is>
          <t>웹조사 자동화 실패(세션한도)</t>
        </is>
      </c>
      <c r="H901" s="17" t="inlineStr">
        <is>
          <t>N</t>
        </is>
      </c>
      <c r="I901" s="17" t="inlineStr">
        <is>
          <t>DART 사업보고서</t>
        </is>
      </c>
      <c r="J901" s="17" t="inlineStr">
        <is>
          <t>DART 사업보고서에서 확인</t>
        </is>
      </c>
      <c r="K901" s="17" t="inlineStr">
        <is>
          <t>낮음</t>
        </is>
      </c>
      <c r="L901" s="17" t="inlineStr"/>
    </row>
    <row r="902">
      <c r="A902" s="17" t="inlineStr">
        <is>
          <t>C144</t>
        </is>
      </c>
      <c r="B902" s="17" t="inlineStr"/>
      <c r="C902" s="17" t="inlineStr">
        <is>
          <t>(주)오스코리아제약</t>
        </is>
      </c>
      <c r="D902" s="17" t="inlineStr"/>
      <c r="E902" s="17" t="inlineStr">
        <is>
          <t>종업원수</t>
        </is>
      </c>
      <c r="F902" s="17" t="inlineStr">
        <is>
          <t>미확인</t>
        </is>
      </c>
      <c r="G902" s="17" t="inlineStr">
        <is>
          <t>웹조사 자동화 실패(세션한도)</t>
        </is>
      </c>
      <c r="H902" s="17" t="inlineStr">
        <is>
          <t>N</t>
        </is>
      </c>
      <c r="I902" s="17" t="inlineStr">
        <is>
          <t>DART/채용</t>
        </is>
      </c>
      <c r="J902" s="17" t="inlineStr">
        <is>
          <t>DART/채용에서 확인</t>
        </is>
      </c>
      <c r="K902" s="17" t="inlineStr">
        <is>
          <t>낮음</t>
        </is>
      </c>
      <c r="L902" s="17" t="inlineStr"/>
    </row>
    <row r="903">
      <c r="A903" s="17" t="inlineStr">
        <is>
          <t>C144</t>
        </is>
      </c>
      <c r="B903" s="17" t="inlineStr"/>
      <c r="C903" s="17" t="inlineStr">
        <is>
          <t>(주)오스코리아제약</t>
        </is>
      </c>
      <c r="D903" s="17" t="inlineStr"/>
      <c r="E903" s="17" t="inlineStr">
        <is>
          <t>수출여부</t>
        </is>
      </c>
      <c r="F903" s="17" t="inlineStr">
        <is>
          <t>미확인</t>
        </is>
      </c>
      <c r="G903" s="17" t="inlineStr">
        <is>
          <t>웹조사 자동화 실패(세션한도)</t>
        </is>
      </c>
      <c r="H903" s="17" t="inlineStr">
        <is>
          <t>N</t>
        </is>
      </c>
      <c r="I903" s="17" t="inlineStr">
        <is>
          <t>회사 공시·홈페이지</t>
        </is>
      </c>
      <c r="J903" s="17" t="inlineStr">
        <is>
          <t>회사 공시·홈페이지에서 확인</t>
        </is>
      </c>
      <c r="K903" s="17" t="inlineStr">
        <is>
          <t>낮음</t>
        </is>
      </c>
      <c r="L903" s="17" t="inlineStr"/>
    </row>
    <row r="904">
      <c r="A904" s="17" t="inlineStr">
        <is>
          <t>C144</t>
        </is>
      </c>
      <c r="B904" s="17" t="inlineStr"/>
      <c r="C904" s="17" t="inlineStr">
        <is>
          <t>(주)오스코리아제약</t>
        </is>
      </c>
      <c r="D904" s="17" t="inlineStr"/>
      <c r="E904" s="17" t="inlineStr">
        <is>
          <t>FDA·EMA 실사</t>
        </is>
      </c>
      <c r="F904" s="17" t="inlineStr">
        <is>
          <t>미확인</t>
        </is>
      </c>
      <c r="G904" s="17" t="inlineStr">
        <is>
          <t>웹조사 자동화 실패(세션한도)</t>
        </is>
      </c>
      <c r="H904" s="17" t="inlineStr">
        <is>
          <t>N</t>
        </is>
      </c>
      <c r="I904" s="17" t="inlineStr">
        <is>
          <t>FDA Inspection DB</t>
        </is>
      </c>
      <c r="J904" s="17" t="inlineStr">
        <is>
          <t>FDA Inspection DB에서 확인</t>
        </is>
      </c>
      <c r="K904" s="17" t="inlineStr">
        <is>
          <t>낮음</t>
        </is>
      </c>
      <c r="L904" s="17" t="inlineStr"/>
    </row>
    <row r="905">
      <c r="A905" s="17" t="inlineStr">
        <is>
          <t>C144</t>
        </is>
      </c>
      <c r="B905" s="17" t="inlineStr"/>
      <c r="C905" s="17" t="inlineStr">
        <is>
          <t>(주)오스코리아제약</t>
        </is>
      </c>
      <c r="D905" s="17" t="inlineStr"/>
      <c r="E905" s="17" t="inlineStr">
        <is>
          <t>CMO·CDMO</t>
        </is>
      </c>
      <c r="F905" s="17" t="inlineStr">
        <is>
          <t>미확인</t>
        </is>
      </c>
      <c r="G905" s="17" t="inlineStr">
        <is>
          <t>웹조사 자동화 실패(세션한도)</t>
        </is>
      </c>
      <c r="H905" s="17" t="inlineStr">
        <is>
          <t>N</t>
        </is>
      </c>
      <c r="I905" s="17" t="inlineStr">
        <is>
          <t>회사 홈페이지</t>
        </is>
      </c>
      <c r="J905" s="17" t="inlineStr">
        <is>
          <t>회사 홈페이지에서 확인</t>
        </is>
      </c>
      <c r="K905" s="17" t="inlineStr">
        <is>
          <t>낮음</t>
        </is>
      </c>
      <c r="L905" s="17" t="inlineStr"/>
    </row>
    <row r="906">
      <c r="A906" s="17" t="inlineStr">
        <is>
          <t>C144</t>
        </is>
      </c>
      <c r="B906" s="17" t="inlineStr"/>
      <c r="C906" s="17" t="inlineStr">
        <is>
          <t>(주)오스코리아제약</t>
        </is>
      </c>
      <c r="D906" s="17" t="inlineStr"/>
      <c r="E906" s="17" t="inlineStr">
        <is>
          <t>신공장·증설</t>
        </is>
      </c>
      <c r="F906" s="17" t="inlineStr">
        <is>
          <t>미확인</t>
        </is>
      </c>
      <c r="G906" s="17" t="inlineStr">
        <is>
          <t>웹조사 자동화 실패(세션한도)</t>
        </is>
      </c>
      <c r="H906" s="17" t="inlineStr">
        <is>
          <t>N</t>
        </is>
      </c>
      <c r="I906" s="17" t="inlineStr">
        <is>
          <t>언론·지자체 발표</t>
        </is>
      </c>
      <c r="J906" s="17" t="inlineStr">
        <is>
          <t>언론·지자체 발표에서 확인</t>
        </is>
      </c>
      <c r="K906" s="17" t="inlineStr">
        <is>
          <t>낮음</t>
        </is>
      </c>
      <c r="L906" s="17" t="inlineStr"/>
    </row>
    <row r="907">
      <c r="A907" s="17" t="inlineStr">
        <is>
          <t>C145</t>
        </is>
      </c>
      <c r="B907" s="17" t="inlineStr"/>
      <c r="C907" s="17" t="inlineStr">
        <is>
          <t>주식회사현대바이오랜드</t>
        </is>
      </c>
      <c r="D907" s="17" t="inlineStr"/>
      <c r="E907" s="17" t="inlineStr">
        <is>
          <t>최근매출(억원)</t>
        </is>
      </c>
      <c r="F907" s="17" t="inlineStr">
        <is>
          <t>미확인</t>
        </is>
      </c>
      <c r="G907" s="17" t="inlineStr">
        <is>
          <t>웹조사 자동화 실패(세션한도)</t>
        </is>
      </c>
      <c r="H907" s="17" t="inlineStr">
        <is>
          <t>N</t>
        </is>
      </c>
      <c r="I907" s="17" t="inlineStr">
        <is>
          <t>DART 사업보고서</t>
        </is>
      </c>
      <c r="J907" s="17" t="inlineStr">
        <is>
          <t>DART 사업보고서에서 확인</t>
        </is>
      </c>
      <c r="K907" s="17" t="inlineStr">
        <is>
          <t>낮음</t>
        </is>
      </c>
      <c r="L907" s="17" t="inlineStr"/>
    </row>
    <row r="908">
      <c r="A908" s="17" t="inlineStr">
        <is>
          <t>C145</t>
        </is>
      </c>
      <c r="B908" s="17" t="inlineStr"/>
      <c r="C908" s="17" t="inlineStr">
        <is>
          <t>주식회사현대바이오랜드</t>
        </is>
      </c>
      <c r="D908" s="17" t="inlineStr"/>
      <c r="E908" s="17" t="inlineStr">
        <is>
          <t>종업원수</t>
        </is>
      </c>
      <c r="F908" s="17" t="inlineStr">
        <is>
          <t>미확인</t>
        </is>
      </c>
      <c r="G908" s="17" t="inlineStr">
        <is>
          <t>웹조사 자동화 실패(세션한도)</t>
        </is>
      </c>
      <c r="H908" s="17" t="inlineStr">
        <is>
          <t>N</t>
        </is>
      </c>
      <c r="I908" s="17" t="inlineStr">
        <is>
          <t>DART/채용</t>
        </is>
      </c>
      <c r="J908" s="17" t="inlineStr">
        <is>
          <t>DART/채용에서 확인</t>
        </is>
      </c>
      <c r="K908" s="17" t="inlineStr">
        <is>
          <t>낮음</t>
        </is>
      </c>
      <c r="L908" s="17" t="inlineStr"/>
    </row>
    <row r="909">
      <c r="A909" s="17" t="inlineStr">
        <is>
          <t>C145</t>
        </is>
      </c>
      <c r="B909" s="17" t="inlineStr"/>
      <c r="C909" s="17" t="inlineStr">
        <is>
          <t>주식회사현대바이오랜드</t>
        </is>
      </c>
      <c r="D909" s="17" t="inlineStr"/>
      <c r="E909" s="17" t="inlineStr">
        <is>
          <t>수출여부</t>
        </is>
      </c>
      <c r="F909" s="17" t="inlineStr">
        <is>
          <t>미확인</t>
        </is>
      </c>
      <c r="G909" s="17" t="inlineStr">
        <is>
          <t>웹조사 자동화 실패(세션한도)</t>
        </is>
      </c>
      <c r="H909" s="17" t="inlineStr">
        <is>
          <t>N</t>
        </is>
      </c>
      <c r="I909" s="17" t="inlineStr">
        <is>
          <t>회사 공시·홈페이지</t>
        </is>
      </c>
      <c r="J909" s="17" t="inlineStr">
        <is>
          <t>회사 공시·홈페이지에서 확인</t>
        </is>
      </c>
      <c r="K909" s="17" t="inlineStr">
        <is>
          <t>낮음</t>
        </is>
      </c>
      <c r="L909" s="17" t="inlineStr"/>
    </row>
    <row r="910">
      <c r="A910" s="17" t="inlineStr">
        <is>
          <t>C145</t>
        </is>
      </c>
      <c r="B910" s="17" t="inlineStr"/>
      <c r="C910" s="17" t="inlineStr">
        <is>
          <t>주식회사현대바이오랜드</t>
        </is>
      </c>
      <c r="D910" s="17" t="inlineStr"/>
      <c r="E910" s="17" t="inlineStr">
        <is>
          <t>FDA·EMA 실사</t>
        </is>
      </c>
      <c r="F910" s="17" t="inlineStr">
        <is>
          <t>미확인</t>
        </is>
      </c>
      <c r="G910" s="17" t="inlineStr">
        <is>
          <t>웹조사 자동화 실패(세션한도)</t>
        </is>
      </c>
      <c r="H910" s="17" t="inlineStr">
        <is>
          <t>N</t>
        </is>
      </c>
      <c r="I910" s="17" t="inlineStr">
        <is>
          <t>FDA Inspection DB</t>
        </is>
      </c>
      <c r="J910" s="17" t="inlineStr">
        <is>
          <t>FDA Inspection DB에서 확인</t>
        </is>
      </c>
      <c r="K910" s="17" t="inlineStr">
        <is>
          <t>낮음</t>
        </is>
      </c>
      <c r="L910" s="17" t="inlineStr"/>
    </row>
    <row r="911">
      <c r="A911" s="17" t="inlineStr">
        <is>
          <t>C145</t>
        </is>
      </c>
      <c r="B911" s="17" t="inlineStr"/>
      <c r="C911" s="17" t="inlineStr">
        <is>
          <t>주식회사현대바이오랜드</t>
        </is>
      </c>
      <c r="D911" s="17" t="inlineStr"/>
      <c r="E911" s="17" t="inlineStr">
        <is>
          <t>CMO·CDMO</t>
        </is>
      </c>
      <c r="F911" s="17" t="inlineStr">
        <is>
          <t>미확인</t>
        </is>
      </c>
      <c r="G911" s="17" t="inlineStr">
        <is>
          <t>웹조사 자동화 실패(세션한도)</t>
        </is>
      </c>
      <c r="H911" s="17" t="inlineStr">
        <is>
          <t>N</t>
        </is>
      </c>
      <c r="I911" s="17" t="inlineStr">
        <is>
          <t>회사 홈페이지</t>
        </is>
      </c>
      <c r="J911" s="17" t="inlineStr">
        <is>
          <t>회사 홈페이지에서 확인</t>
        </is>
      </c>
      <c r="K911" s="17" t="inlineStr">
        <is>
          <t>낮음</t>
        </is>
      </c>
      <c r="L911" s="17" t="inlineStr"/>
    </row>
    <row r="912">
      <c r="A912" s="17" t="inlineStr">
        <is>
          <t>C145</t>
        </is>
      </c>
      <c r="B912" s="17" t="inlineStr"/>
      <c r="C912" s="17" t="inlineStr">
        <is>
          <t>주식회사현대바이오랜드</t>
        </is>
      </c>
      <c r="D912" s="17" t="inlineStr"/>
      <c r="E912" s="17" t="inlineStr">
        <is>
          <t>신공장·증설</t>
        </is>
      </c>
      <c r="F912" s="17" t="inlineStr">
        <is>
          <t>미확인</t>
        </is>
      </c>
      <c r="G912" s="17" t="inlineStr">
        <is>
          <t>웹조사 자동화 실패(세션한도)</t>
        </is>
      </c>
      <c r="H912" s="17" t="inlineStr">
        <is>
          <t>N</t>
        </is>
      </c>
      <c r="I912" s="17" t="inlineStr">
        <is>
          <t>언론·지자체 발표</t>
        </is>
      </c>
      <c r="J912" s="17" t="inlineStr">
        <is>
          <t>언론·지자체 발표에서 확인</t>
        </is>
      </c>
      <c r="K912" s="17" t="inlineStr">
        <is>
          <t>낮음</t>
        </is>
      </c>
      <c r="L912" s="17" t="inlineStr"/>
    </row>
    <row r="913">
      <c r="A913" s="17" t="inlineStr">
        <is>
          <t>C146</t>
        </is>
      </c>
      <c r="B913" s="17" t="inlineStr"/>
      <c r="C913" s="17" t="inlineStr">
        <is>
          <t>(주)팩슨</t>
        </is>
      </c>
      <c r="D913" s="17" t="inlineStr"/>
      <c r="E913" s="17" t="inlineStr">
        <is>
          <t>최근매출(억원)</t>
        </is>
      </c>
      <c r="F913" s="17" t="inlineStr">
        <is>
          <t>미확인</t>
        </is>
      </c>
      <c r="G913" s="17" t="inlineStr">
        <is>
          <t>웹조사 자동화 실패(세션한도)</t>
        </is>
      </c>
      <c r="H913" s="17" t="inlineStr">
        <is>
          <t>N</t>
        </is>
      </c>
      <c r="I913" s="17" t="inlineStr">
        <is>
          <t>DART 사업보고서</t>
        </is>
      </c>
      <c r="J913" s="17" t="inlineStr">
        <is>
          <t>DART 사업보고서에서 확인</t>
        </is>
      </c>
      <c r="K913" s="17" t="inlineStr">
        <is>
          <t>낮음</t>
        </is>
      </c>
      <c r="L913" s="17" t="inlineStr"/>
    </row>
    <row r="914">
      <c r="A914" s="17" t="inlineStr">
        <is>
          <t>C146</t>
        </is>
      </c>
      <c r="B914" s="17" t="inlineStr"/>
      <c r="C914" s="17" t="inlineStr">
        <is>
          <t>(주)팩슨</t>
        </is>
      </c>
      <c r="D914" s="17" t="inlineStr"/>
      <c r="E914" s="17" t="inlineStr">
        <is>
          <t>종업원수</t>
        </is>
      </c>
      <c r="F914" s="17" t="inlineStr">
        <is>
          <t>미확인</t>
        </is>
      </c>
      <c r="G914" s="17" t="inlineStr">
        <is>
          <t>웹조사 자동화 실패(세션한도)</t>
        </is>
      </c>
      <c r="H914" s="17" t="inlineStr">
        <is>
          <t>N</t>
        </is>
      </c>
      <c r="I914" s="17" t="inlineStr">
        <is>
          <t>DART/채용</t>
        </is>
      </c>
      <c r="J914" s="17" t="inlineStr">
        <is>
          <t>DART/채용에서 확인</t>
        </is>
      </c>
      <c r="K914" s="17" t="inlineStr">
        <is>
          <t>낮음</t>
        </is>
      </c>
      <c r="L914" s="17" t="inlineStr"/>
    </row>
    <row r="915">
      <c r="A915" s="17" t="inlineStr">
        <is>
          <t>C146</t>
        </is>
      </c>
      <c r="B915" s="17" t="inlineStr"/>
      <c r="C915" s="17" t="inlineStr">
        <is>
          <t>(주)팩슨</t>
        </is>
      </c>
      <c r="D915" s="17" t="inlineStr"/>
      <c r="E915" s="17" t="inlineStr">
        <is>
          <t>수출여부</t>
        </is>
      </c>
      <c r="F915" s="17" t="inlineStr">
        <is>
          <t>미확인</t>
        </is>
      </c>
      <c r="G915" s="17" t="inlineStr">
        <is>
          <t>웹조사 자동화 실패(세션한도)</t>
        </is>
      </c>
      <c r="H915" s="17" t="inlineStr">
        <is>
          <t>N</t>
        </is>
      </c>
      <c r="I915" s="17" t="inlineStr">
        <is>
          <t>회사 공시·홈페이지</t>
        </is>
      </c>
      <c r="J915" s="17" t="inlineStr">
        <is>
          <t>회사 공시·홈페이지에서 확인</t>
        </is>
      </c>
      <c r="K915" s="17" t="inlineStr">
        <is>
          <t>낮음</t>
        </is>
      </c>
      <c r="L915" s="17" t="inlineStr"/>
    </row>
    <row r="916">
      <c r="A916" s="17" t="inlineStr">
        <is>
          <t>C146</t>
        </is>
      </c>
      <c r="B916" s="17" t="inlineStr"/>
      <c r="C916" s="17" t="inlineStr">
        <is>
          <t>(주)팩슨</t>
        </is>
      </c>
      <c r="D916" s="17" t="inlineStr"/>
      <c r="E916" s="17" t="inlineStr">
        <is>
          <t>FDA·EMA 실사</t>
        </is>
      </c>
      <c r="F916" s="17" t="inlineStr">
        <is>
          <t>미확인</t>
        </is>
      </c>
      <c r="G916" s="17" t="inlineStr">
        <is>
          <t>웹조사 자동화 실패(세션한도)</t>
        </is>
      </c>
      <c r="H916" s="17" t="inlineStr">
        <is>
          <t>N</t>
        </is>
      </c>
      <c r="I916" s="17" t="inlineStr">
        <is>
          <t>FDA Inspection DB</t>
        </is>
      </c>
      <c r="J916" s="17" t="inlineStr">
        <is>
          <t>FDA Inspection DB에서 확인</t>
        </is>
      </c>
      <c r="K916" s="17" t="inlineStr">
        <is>
          <t>낮음</t>
        </is>
      </c>
      <c r="L916" s="17" t="inlineStr"/>
    </row>
    <row r="917">
      <c r="A917" s="17" t="inlineStr">
        <is>
          <t>C146</t>
        </is>
      </c>
      <c r="B917" s="17" t="inlineStr"/>
      <c r="C917" s="17" t="inlineStr">
        <is>
          <t>(주)팩슨</t>
        </is>
      </c>
      <c r="D917" s="17" t="inlineStr"/>
      <c r="E917" s="17" t="inlineStr">
        <is>
          <t>CMO·CDMO</t>
        </is>
      </c>
      <c r="F917" s="17" t="inlineStr">
        <is>
          <t>미확인</t>
        </is>
      </c>
      <c r="G917" s="17" t="inlineStr">
        <is>
          <t>웹조사 자동화 실패(세션한도)</t>
        </is>
      </c>
      <c r="H917" s="17" t="inlineStr">
        <is>
          <t>N</t>
        </is>
      </c>
      <c r="I917" s="17" t="inlineStr">
        <is>
          <t>회사 홈페이지</t>
        </is>
      </c>
      <c r="J917" s="17" t="inlineStr">
        <is>
          <t>회사 홈페이지에서 확인</t>
        </is>
      </c>
      <c r="K917" s="17" t="inlineStr">
        <is>
          <t>낮음</t>
        </is>
      </c>
      <c r="L917" s="17" t="inlineStr"/>
    </row>
    <row r="918">
      <c r="A918" s="17" t="inlineStr">
        <is>
          <t>C146</t>
        </is>
      </c>
      <c r="B918" s="17" t="inlineStr"/>
      <c r="C918" s="17" t="inlineStr">
        <is>
          <t>(주)팩슨</t>
        </is>
      </c>
      <c r="D918" s="17" t="inlineStr"/>
      <c r="E918" s="17" t="inlineStr">
        <is>
          <t>신공장·증설</t>
        </is>
      </c>
      <c r="F918" s="17" t="inlineStr">
        <is>
          <t>미확인</t>
        </is>
      </c>
      <c r="G918" s="17" t="inlineStr">
        <is>
          <t>웹조사 자동화 실패(세션한도)</t>
        </is>
      </c>
      <c r="H918" s="17" t="inlineStr">
        <is>
          <t>N</t>
        </is>
      </c>
      <c r="I918" s="17" t="inlineStr">
        <is>
          <t>언론·지자체 발표</t>
        </is>
      </c>
      <c r="J918" s="17" t="inlineStr">
        <is>
          <t>언론·지자체 발표에서 확인</t>
        </is>
      </c>
      <c r="K918" s="17" t="inlineStr">
        <is>
          <t>낮음</t>
        </is>
      </c>
      <c r="L918" s="17" t="inlineStr"/>
    </row>
    <row r="919">
      <c r="A919" s="17" t="inlineStr">
        <is>
          <t>C147</t>
        </is>
      </c>
      <c r="B919" s="17" t="inlineStr"/>
      <c r="C919" s="17" t="inlineStr">
        <is>
          <t>태경에코(주)</t>
        </is>
      </c>
      <c r="D919" s="17" t="inlineStr"/>
      <c r="E919" s="17" t="inlineStr">
        <is>
          <t>최근매출(억원)</t>
        </is>
      </c>
      <c r="F919" s="17" t="inlineStr">
        <is>
          <t>미확인</t>
        </is>
      </c>
      <c r="G919" s="17" t="inlineStr">
        <is>
          <t>웹조사 자동화 실패(세션한도)</t>
        </is>
      </c>
      <c r="H919" s="17" t="inlineStr">
        <is>
          <t>N</t>
        </is>
      </c>
      <c r="I919" s="17" t="inlineStr">
        <is>
          <t>DART 사업보고서</t>
        </is>
      </c>
      <c r="J919" s="17" t="inlineStr">
        <is>
          <t>DART 사업보고서에서 확인</t>
        </is>
      </c>
      <c r="K919" s="17" t="inlineStr">
        <is>
          <t>낮음</t>
        </is>
      </c>
      <c r="L919" s="17" t="inlineStr"/>
    </row>
    <row r="920">
      <c r="A920" s="17" t="inlineStr">
        <is>
          <t>C147</t>
        </is>
      </c>
      <c r="B920" s="17" t="inlineStr"/>
      <c r="C920" s="17" t="inlineStr">
        <is>
          <t>태경에코(주)</t>
        </is>
      </c>
      <c r="D920" s="17" t="inlineStr"/>
      <c r="E920" s="17" t="inlineStr">
        <is>
          <t>종업원수</t>
        </is>
      </c>
      <c r="F920" s="17" t="inlineStr">
        <is>
          <t>미확인</t>
        </is>
      </c>
      <c r="G920" s="17" t="inlineStr">
        <is>
          <t>웹조사 자동화 실패(세션한도)</t>
        </is>
      </c>
      <c r="H920" s="17" t="inlineStr">
        <is>
          <t>N</t>
        </is>
      </c>
      <c r="I920" s="17" t="inlineStr">
        <is>
          <t>DART/채용</t>
        </is>
      </c>
      <c r="J920" s="17" t="inlineStr">
        <is>
          <t>DART/채용에서 확인</t>
        </is>
      </c>
      <c r="K920" s="17" t="inlineStr">
        <is>
          <t>낮음</t>
        </is>
      </c>
      <c r="L920" s="17" t="inlineStr"/>
    </row>
    <row r="921">
      <c r="A921" s="17" t="inlineStr">
        <is>
          <t>C147</t>
        </is>
      </c>
      <c r="B921" s="17" t="inlineStr"/>
      <c r="C921" s="17" t="inlineStr">
        <is>
          <t>태경에코(주)</t>
        </is>
      </c>
      <c r="D921" s="17" t="inlineStr"/>
      <c r="E921" s="17" t="inlineStr">
        <is>
          <t>수출여부</t>
        </is>
      </c>
      <c r="F921" s="17" t="inlineStr">
        <is>
          <t>미확인</t>
        </is>
      </c>
      <c r="G921" s="17" t="inlineStr">
        <is>
          <t>웹조사 자동화 실패(세션한도)</t>
        </is>
      </c>
      <c r="H921" s="17" t="inlineStr">
        <is>
          <t>N</t>
        </is>
      </c>
      <c r="I921" s="17" t="inlineStr">
        <is>
          <t>회사 공시·홈페이지</t>
        </is>
      </c>
      <c r="J921" s="17" t="inlineStr">
        <is>
          <t>회사 공시·홈페이지에서 확인</t>
        </is>
      </c>
      <c r="K921" s="17" t="inlineStr">
        <is>
          <t>낮음</t>
        </is>
      </c>
      <c r="L921" s="17" t="inlineStr"/>
    </row>
    <row r="922">
      <c r="A922" s="17" t="inlineStr">
        <is>
          <t>C147</t>
        </is>
      </c>
      <c r="B922" s="17" t="inlineStr"/>
      <c r="C922" s="17" t="inlineStr">
        <is>
          <t>태경에코(주)</t>
        </is>
      </c>
      <c r="D922" s="17" t="inlineStr"/>
      <c r="E922" s="17" t="inlineStr">
        <is>
          <t>FDA·EMA 실사</t>
        </is>
      </c>
      <c r="F922" s="17" t="inlineStr">
        <is>
          <t>미확인</t>
        </is>
      </c>
      <c r="G922" s="17" t="inlineStr">
        <is>
          <t>웹조사 자동화 실패(세션한도)</t>
        </is>
      </c>
      <c r="H922" s="17" t="inlineStr">
        <is>
          <t>N</t>
        </is>
      </c>
      <c r="I922" s="17" t="inlineStr">
        <is>
          <t>FDA Inspection DB</t>
        </is>
      </c>
      <c r="J922" s="17" t="inlineStr">
        <is>
          <t>FDA Inspection DB에서 확인</t>
        </is>
      </c>
      <c r="K922" s="17" t="inlineStr">
        <is>
          <t>낮음</t>
        </is>
      </c>
      <c r="L922" s="17" t="inlineStr"/>
    </row>
    <row r="923">
      <c r="A923" s="17" t="inlineStr">
        <is>
          <t>C147</t>
        </is>
      </c>
      <c r="B923" s="17" t="inlineStr"/>
      <c r="C923" s="17" t="inlineStr">
        <is>
          <t>태경에코(주)</t>
        </is>
      </c>
      <c r="D923" s="17" t="inlineStr"/>
      <c r="E923" s="17" t="inlineStr">
        <is>
          <t>CMO·CDMO</t>
        </is>
      </c>
      <c r="F923" s="17" t="inlineStr">
        <is>
          <t>미확인</t>
        </is>
      </c>
      <c r="G923" s="17" t="inlineStr">
        <is>
          <t>웹조사 자동화 실패(세션한도)</t>
        </is>
      </c>
      <c r="H923" s="17" t="inlineStr">
        <is>
          <t>N</t>
        </is>
      </c>
      <c r="I923" s="17" t="inlineStr">
        <is>
          <t>회사 홈페이지</t>
        </is>
      </c>
      <c r="J923" s="17" t="inlineStr">
        <is>
          <t>회사 홈페이지에서 확인</t>
        </is>
      </c>
      <c r="K923" s="17" t="inlineStr">
        <is>
          <t>낮음</t>
        </is>
      </c>
      <c r="L923" s="17" t="inlineStr"/>
    </row>
    <row r="924">
      <c r="A924" s="17" t="inlineStr">
        <is>
          <t>C147</t>
        </is>
      </c>
      <c r="B924" s="17" t="inlineStr"/>
      <c r="C924" s="17" t="inlineStr">
        <is>
          <t>태경에코(주)</t>
        </is>
      </c>
      <c r="D924" s="17" t="inlineStr"/>
      <c r="E924" s="17" t="inlineStr">
        <is>
          <t>신공장·증설</t>
        </is>
      </c>
      <c r="F924" s="17" t="inlineStr">
        <is>
          <t>미확인</t>
        </is>
      </c>
      <c r="G924" s="17" t="inlineStr">
        <is>
          <t>웹조사 자동화 실패(세션한도)</t>
        </is>
      </c>
      <c r="H924" s="17" t="inlineStr">
        <is>
          <t>N</t>
        </is>
      </c>
      <c r="I924" s="17" t="inlineStr">
        <is>
          <t>언론·지자체 발표</t>
        </is>
      </c>
      <c r="J924" s="17" t="inlineStr">
        <is>
          <t>언론·지자체 발표에서 확인</t>
        </is>
      </c>
      <c r="K924" s="17" t="inlineStr">
        <is>
          <t>낮음</t>
        </is>
      </c>
      <c r="L924" s="17" t="inlineStr"/>
    </row>
    <row r="925">
      <c r="A925" s="17" t="inlineStr">
        <is>
          <t>C147</t>
        </is>
      </c>
      <c r="B925" s="17" t="inlineStr"/>
      <c r="C925" s="17" t="inlineStr">
        <is>
          <t>태경에코(주)</t>
        </is>
      </c>
      <c r="D925" s="17" t="inlineStr"/>
      <c r="E925" s="17" t="inlineStr">
        <is>
          <t>대표전화</t>
        </is>
      </c>
      <c r="F925" s="17" t="inlineStr">
        <is>
          <t>미확인</t>
        </is>
      </c>
      <c r="G925" s="17" t="inlineStr">
        <is>
          <t>제조소상세 미매칭</t>
        </is>
      </c>
      <c r="H925" s="17" t="inlineStr">
        <is>
          <t>Y</t>
        </is>
      </c>
      <c r="I925" s="17" t="inlineStr">
        <is>
          <t>회사 홈페이지</t>
        </is>
      </c>
      <c r="J925" s="17" t="inlineStr">
        <is>
          <t>홈페이지에서 대표번호 확인</t>
        </is>
      </c>
      <c r="K925" s="17" t="inlineStr">
        <is>
          <t>낮음</t>
        </is>
      </c>
      <c r="L925" s="17" t="inlineStr"/>
    </row>
    <row r="926">
      <c r="A926" s="17" t="inlineStr">
        <is>
          <t>C148</t>
        </is>
      </c>
      <c r="B926" s="17" t="inlineStr"/>
      <c r="C926" s="17" t="inlineStr">
        <is>
          <t>주식회사제뉴원사이언스</t>
        </is>
      </c>
      <c r="D926" s="17" t="inlineStr"/>
      <c r="E926" s="17" t="inlineStr">
        <is>
          <t>최근매출(억원)</t>
        </is>
      </c>
      <c r="F926" s="17" t="inlineStr">
        <is>
          <t>미확인</t>
        </is>
      </c>
      <c r="G926" s="17" t="inlineStr">
        <is>
          <t>웹조사 자동화 실패(세션한도)</t>
        </is>
      </c>
      <c r="H926" s="17" t="inlineStr">
        <is>
          <t>N</t>
        </is>
      </c>
      <c r="I926" s="17" t="inlineStr">
        <is>
          <t>DART 사업보고서</t>
        </is>
      </c>
      <c r="J926" s="17" t="inlineStr">
        <is>
          <t>DART 사업보고서에서 확인</t>
        </is>
      </c>
      <c r="K926" s="17" t="inlineStr">
        <is>
          <t>낮음</t>
        </is>
      </c>
      <c r="L926" s="17" t="inlineStr"/>
    </row>
    <row r="927">
      <c r="A927" s="17" t="inlineStr">
        <is>
          <t>C148</t>
        </is>
      </c>
      <c r="B927" s="17" t="inlineStr"/>
      <c r="C927" s="17" t="inlineStr">
        <is>
          <t>주식회사제뉴원사이언스</t>
        </is>
      </c>
      <c r="D927" s="17" t="inlineStr"/>
      <c r="E927" s="17" t="inlineStr">
        <is>
          <t>종업원수</t>
        </is>
      </c>
      <c r="F927" s="17" t="inlineStr">
        <is>
          <t>미확인</t>
        </is>
      </c>
      <c r="G927" s="17" t="inlineStr">
        <is>
          <t>웹조사 자동화 실패(세션한도)</t>
        </is>
      </c>
      <c r="H927" s="17" t="inlineStr">
        <is>
          <t>N</t>
        </is>
      </c>
      <c r="I927" s="17" t="inlineStr">
        <is>
          <t>DART/채용</t>
        </is>
      </c>
      <c r="J927" s="17" t="inlineStr">
        <is>
          <t>DART/채용에서 확인</t>
        </is>
      </c>
      <c r="K927" s="17" t="inlineStr">
        <is>
          <t>낮음</t>
        </is>
      </c>
      <c r="L927" s="17" t="inlineStr"/>
    </row>
    <row r="928">
      <c r="A928" s="17" t="inlineStr">
        <is>
          <t>C148</t>
        </is>
      </c>
      <c r="B928" s="17" t="inlineStr"/>
      <c r="C928" s="17" t="inlineStr">
        <is>
          <t>주식회사제뉴원사이언스</t>
        </is>
      </c>
      <c r="D928" s="17" t="inlineStr"/>
      <c r="E928" s="17" t="inlineStr">
        <is>
          <t>수출여부</t>
        </is>
      </c>
      <c r="F928" s="17" t="inlineStr">
        <is>
          <t>미확인</t>
        </is>
      </c>
      <c r="G928" s="17" t="inlineStr">
        <is>
          <t>웹조사 자동화 실패(세션한도)</t>
        </is>
      </c>
      <c r="H928" s="17" t="inlineStr">
        <is>
          <t>N</t>
        </is>
      </c>
      <c r="I928" s="17" t="inlineStr">
        <is>
          <t>회사 공시·홈페이지</t>
        </is>
      </c>
      <c r="J928" s="17" t="inlineStr">
        <is>
          <t>회사 공시·홈페이지에서 확인</t>
        </is>
      </c>
      <c r="K928" s="17" t="inlineStr">
        <is>
          <t>낮음</t>
        </is>
      </c>
      <c r="L928" s="17" t="inlineStr"/>
    </row>
    <row r="929">
      <c r="A929" s="17" t="inlineStr">
        <is>
          <t>C148</t>
        </is>
      </c>
      <c r="B929" s="17" t="inlineStr"/>
      <c r="C929" s="17" t="inlineStr">
        <is>
          <t>주식회사제뉴원사이언스</t>
        </is>
      </c>
      <c r="D929" s="17" t="inlineStr"/>
      <c r="E929" s="17" t="inlineStr">
        <is>
          <t>FDA·EMA 실사</t>
        </is>
      </c>
      <c r="F929" s="17" t="inlineStr">
        <is>
          <t>미확인</t>
        </is>
      </c>
      <c r="G929" s="17" t="inlineStr">
        <is>
          <t>웹조사 자동화 실패(세션한도)</t>
        </is>
      </c>
      <c r="H929" s="17" t="inlineStr">
        <is>
          <t>N</t>
        </is>
      </c>
      <c r="I929" s="17" t="inlineStr">
        <is>
          <t>FDA Inspection DB</t>
        </is>
      </c>
      <c r="J929" s="17" t="inlineStr">
        <is>
          <t>FDA Inspection DB에서 확인</t>
        </is>
      </c>
      <c r="K929" s="17" t="inlineStr">
        <is>
          <t>낮음</t>
        </is>
      </c>
      <c r="L929" s="17" t="inlineStr"/>
    </row>
    <row r="930">
      <c r="A930" s="17" t="inlineStr">
        <is>
          <t>C148</t>
        </is>
      </c>
      <c r="B930" s="17" t="inlineStr"/>
      <c r="C930" s="17" t="inlineStr">
        <is>
          <t>주식회사제뉴원사이언스</t>
        </is>
      </c>
      <c r="D930" s="17" t="inlineStr"/>
      <c r="E930" s="17" t="inlineStr">
        <is>
          <t>CMO·CDMO</t>
        </is>
      </c>
      <c r="F930" s="17" t="inlineStr">
        <is>
          <t>미확인</t>
        </is>
      </c>
      <c r="G930" s="17" t="inlineStr">
        <is>
          <t>웹조사 자동화 실패(세션한도)</t>
        </is>
      </c>
      <c r="H930" s="17" t="inlineStr">
        <is>
          <t>N</t>
        </is>
      </c>
      <c r="I930" s="17" t="inlineStr">
        <is>
          <t>회사 홈페이지</t>
        </is>
      </c>
      <c r="J930" s="17" t="inlineStr">
        <is>
          <t>회사 홈페이지에서 확인</t>
        </is>
      </c>
      <c r="K930" s="17" t="inlineStr">
        <is>
          <t>낮음</t>
        </is>
      </c>
      <c r="L930" s="17" t="inlineStr"/>
    </row>
    <row r="931">
      <c r="A931" s="17" t="inlineStr">
        <is>
          <t>C148</t>
        </is>
      </c>
      <c r="B931" s="17" t="inlineStr"/>
      <c r="C931" s="17" t="inlineStr">
        <is>
          <t>주식회사제뉴원사이언스</t>
        </is>
      </c>
      <c r="D931" s="17" t="inlineStr"/>
      <c r="E931" s="17" t="inlineStr">
        <is>
          <t>신공장·증설</t>
        </is>
      </c>
      <c r="F931" s="17" t="inlineStr">
        <is>
          <t>미확인</t>
        </is>
      </c>
      <c r="G931" s="17" t="inlineStr">
        <is>
          <t>웹조사 자동화 실패(세션한도)</t>
        </is>
      </c>
      <c r="H931" s="17" t="inlineStr">
        <is>
          <t>N</t>
        </is>
      </c>
      <c r="I931" s="17" t="inlineStr">
        <is>
          <t>언론·지자체 발표</t>
        </is>
      </c>
      <c r="J931" s="17" t="inlineStr">
        <is>
          <t>언론·지자체 발표에서 확인</t>
        </is>
      </c>
      <c r="K931" s="17" t="inlineStr">
        <is>
          <t>낮음</t>
        </is>
      </c>
      <c r="L931" s="17" t="inlineStr"/>
    </row>
    <row r="932">
      <c r="A932" s="17" t="inlineStr">
        <is>
          <t>C149</t>
        </is>
      </c>
      <c r="B932" s="17" t="inlineStr"/>
      <c r="C932" s="17" t="inlineStr">
        <is>
          <t>한영기업(주)</t>
        </is>
      </c>
      <c r="D932" s="17" t="inlineStr"/>
      <c r="E932" s="17" t="inlineStr">
        <is>
          <t>최근매출(억원)</t>
        </is>
      </c>
      <c r="F932" s="17" t="inlineStr">
        <is>
          <t>미확인</t>
        </is>
      </c>
      <c r="G932" s="17" t="inlineStr">
        <is>
          <t>웹조사 자동화 실패(세션한도)</t>
        </is>
      </c>
      <c r="H932" s="17" t="inlineStr">
        <is>
          <t>N</t>
        </is>
      </c>
      <c r="I932" s="17" t="inlineStr">
        <is>
          <t>DART 사업보고서</t>
        </is>
      </c>
      <c r="J932" s="17" t="inlineStr">
        <is>
          <t>DART 사업보고서에서 확인</t>
        </is>
      </c>
      <c r="K932" s="17" t="inlineStr">
        <is>
          <t>낮음</t>
        </is>
      </c>
      <c r="L932" s="17" t="inlineStr"/>
    </row>
    <row r="933">
      <c r="A933" s="17" t="inlineStr">
        <is>
          <t>C149</t>
        </is>
      </c>
      <c r="B933" s="17" t="inlineStr"/>
      <c r="C933" s="17" t="inlineStr">
        <is>
          <t>한영기업(주)</t>
        </is>
      </c>
      <c r="D933" s="17" t="inlineStr"/>
      <c r="E933" s="17" t="inlineStr">
        <is>
          <t>종업원수</t>
        </is>
      </c>
      <c r="F933" s="17" t="inlineStr">
        <is>
          <t>미확인</t>
        </is>
      </c>
      <c r="G933" s="17" t="inlineStr">
        <is>
          <t>웹조사 자동화 실패(세션한도)</t>
        </is>
      </c>
      <c r="H933" s="17" t="inlineStr">
        <is>
          <t>N</t>
        </is>
      </c>
      <c r="I933" s="17" t="inlineStr">
        <is>
          <t>DART/채용</t>
        </is>
      </c>
      <c r="J933" s="17" t="inlineStr">
        <is>
          <t>DART/채용에서 확인</t>
        </is>
      </c>
      <c r="K933" s="17" t="inlineStr">
        <is>
          <t>낮음</t>
        </is>
      </c>
      <c r="L933" s="17" t="inlineStr"/>
    </row>
    <row r="934">
      <c r="A934" s="17" t="inlineStr">
        <is>
          <t>C149</t>
        </is>
      </c>
      <c r="B934" s="17" t="inlineStr"/>
      <c r="C934" s="17" t="inlineStr">
        <is>
          <t>한영기업(주)</t>
        </is>
      </c>
      <c r="D934" s="17" t="inlineStr"/>
      <c r="E934" s="17" t="inlineStr">
        <is>
          <t>수출여부</t>
        </is>
      </c>
      <c r="F934" s="17" t="inlineStr">
        <is>
          <t>미확인</t>
        </is>
      </c>
      <c r="G934" s="17" t="inlineStr">
        <is>
          <t>웹조사 자동화 실패(세션한도)</t>
        </is>
      </c>
      <c r="H934" s="17" t="inlineStr">
        <is>
          <t>N</t>
        </is>
      </c>
      <c r="I934" s="17" t="inlineStr">
        <is>
          <t>회사 공시·홈페이지</t>
        </is>
      </c>
      <c r="J934" s="17" t="inlineStr">
        <is>
          <t>회사 공시·홈페이지에서 확인</t>
        </is>
      </c>
      <c r="K934" s="17" t="inlineStr">
        <is>
          <t>낮음</t>
        </is>
      </c>
      <c r="L934" s="17" t="inlineStr"/>
    </row>
    <row r="935">
      <c r="A935" s="17" t="inlineStr">
        <is>
          <t>C149</t>
        </is>
      </c>
      <c r="B935" s="17" t="inlineStr"/>
      <c r="C935" s="17" t="inlineStr">
        <is>
          <t>한영기업(주)</t>
        </is>
      </c>
      <c r="D935" s="17" t="inlineStr"/>
      <c r="E935" s="17" t="inlineStr">
        <is>
          <t>FDA·EMA 실사</t>
        </is>
      </c>
      <c r="F935" s="17" t="inlineStr">
        <is>
          <t>미확인</t>
        </is>
      </c>
      <c r="G935" s="17" t="inlineStr">
        <is>
          <t>웹조사 자동화 실패(세션한도)</t>
        </is>
      </c>
      <c r="H935" s="17" t="inlineStr">
        <is>
          <t>N</t>
        </is>
      </c>
      <c r="I935" s="17" t="inlineStr">
        <is>
          <t>FDA Inspection DB</t>
        </is>
      </c>
      <c r="J935" s="17" t="inlineStr">
        <is>
          <t>FDA Inspection DB에서 확인</t>
        </is>
      </c>
      <c r="K935" s="17" t="inlineStr">
        <is>
          <t>낮음</t>
        </is>
      </c>
      <c r="L935" s="17" t="inlineStr"/>
    </row>
    <row r="936">
      <c r="A936" s="17" t="inlineStr">
        <is>
          <t>C149</t>
        </is>
      </c>
      <c r="B936" s="17" t="inlineStr"/>
      <c r="C936" s="17" t="inlineStr">
        <is>
          <t>한영기업(주)</t>
        </is>
      </c>
      <c r="D936" s="17" t="inlineStr"/>
      <c r="E936" s="17" t="inlineStr">
        <is>
          <t>CMO·CDMO</t>
        </is>
      </c>
      <c r="F936" s="17" t="inlineStr">
        <is>
          <t>미확인</t>
        </is>
      </c>
      <c r="G936" s="17" t="inlineStr">
        <is>
          <t>웹조사 자동화 실패(세션한도)</t>
        </is>
      </c>
      <c r="H936" s="17" t="inlineStr">
        <is>
          <t>N</t>
        </is>
      </c>
      <c r="I936" s="17" t="inlineStr">
        <is>
          <t>회사 홈페이지</t>
        </is>
      </c>
      <c r="J936" s="17" t="inlineStr">
        <is>
          <t>회사 홈페이지에서 확인</t>
        </is>
      </c>
      <c r="K936" s="17" t="inlineStr">
        <is>
          <t>낮음</t>
        </is>
      </c>
      <c r="L936" s="17" t="inlineStr"/>
    </row>
    <row r="937">
      <c r="A937" s="17" t="inlineStr">
        <is>
          <t>C149</t>
        </is>
      </c>
      <c r="B937" s="17" t="inlineStr"/>
      <c r="C937" s="17" t="inlineStr">
        <is>
          <t>한영기업(주)</t>
        </is>
      </c>
      <c r="D937" s="17" t="inlineStr"/>
      <c r="E937" s="17" t="inlineStr">
        <is>
          <t>신공장·증설</t>
        </is>
      </c>
      <c r="F937" s="17" t="inlineStr">
        <is>
          <t>미확인</t>
        </is>
      </c>
      <c r="G937" s="17" t="inlineStr">
        <is>
          <t>웹조사 자동화 실패(세션한도)</t>
        </is>
      </c>
      <c r="H937" s="17" t="inlineStr">
        <is>
          <t>N</t>
        </is>
      </c>
      <c r="I937" s="17" t="inlineStr">
        <is>
          <t>언론·지자체 발표</t>
        </is>
      </c>
      <c r="J937" s="17" t="inlineStr">
        <is>
          <t>언론·지자체 발표에서 확인</t>
        </is>
      </c>
      <c r="K937" s="17" t="inlineStr">
        <is>
          <t>낮음</t>
        </is>
      </c>
      <c r="L937" s="17" t="inlineStr"/>
    </row>
    <row r="938">
      <c r="A938" s="17" t="inlineStr">
        <is>
          <t>C150</t>
        </is>
      </c>
      <c r="B938" s="17" t="inlineStr"/>
      <c r="C938" s="17" t="inlineStr">
        <is>
          <t>(주)보령</t>
        </is>
      </c>
      <c r="D938" s="17" t="inlineStr"/>
      <c r="E938" s="17" t="inlineStr">
        <is>
          <t>최근매출(억원)</t>
        </is>
      </c>
      <c r="F938" s="17" t="inlineStr">
        <is>
          <t>미확인</t>
        </is>
      </c>
      <c r="G938" s="17" t="inlineStr">
        <is>
          <t>웹조사 자동화 실패(세션한도)</t>
        </is>
      </c>
      <c r="H938" s="17" t="inlineStr">
        <is>
          <t>N</t>
        </is>
      </c>
      <c r="I938" s="17" t="inlineStr">
        <is>
          <t>DART 사업보고서</t>
        </is>
      </c>
      <c r="J938" s="17" t="inlineStr">
        <is>
          <t>DART 사업보고서에서 확인</t>
        </is>
      </c>
      <c r="K938" s="17" t="inlineStr">
        <is>
          <t>낮음</t>
        </is>
      </c>
      <c r="L938" s="17" t="inlineStr"/>
    </row>
    <row r="939">
      <c r="A939" s="17" t="inlineStr">
        <is>
          <t>C150</t>
        </is>
      </c>
      <c r="B939" s="17" t="inlineStr"/>
      <c r="C939" s="17" t="inlineStr">
        <is>
          <t>(주)보령</t>
        </is>
      </c>
      <c r="D939" s="17" t="inlineStr"/>
      <c r="E939" s="17" t="inlineStr">
        <is>
          <t>종업원수</t>
        </is>
      </c>
      <c r="F939" s="17" t="inlineStr">
        <is>
          <t>미확인</t>
        </is>
      </c>
      <c r="G939" s="17" t="inlineStr">
        <is>
          <t>웹조사 자동화 실패(세션한도)</t>
        </is>
      </c>
      <c r="H939" s="17" t="inlineStr">
        <is>
          <t>N</t>
        </is>
      </c>
      <c r="I939" s="17" t="inlineStr">
        <is>
          <t>DART/채용</t>
        </is>
      </c>
      <c r="J939" s="17" t="inlineStr">
        <is>
          <t>DART/채용에서 확인</t>
        </is>
      </c>
      <c r="K939" s="17" t="inlineStr">
        <is>
          <t>낮음</t>
        </is>
      </c>
      <c r="L939" s="17" t="inlineStr"/>
    </row>
    <row r="940">
      <c r="A940" s="17" t="inlineStr">
        <is>
          <t>C150</t>
        </is>
      </c>
      <c r="B940" s="17" t="inlineStr"/>
      <c r="C940" s="17" t="inlineStr">
        <is>
          <t>(주)보령</t>
        </is>
      </c>
      <c r="D940" s="17" t="inlineStr"/>
      <c r="E940" s="17" t="inlineStr">
        <is>
          <t>수출여부</t>
        </is>
      </c>
      <c r="F940" s="17" t="inlineStr">
        <is>
          <t>미확인</t>
        </is>
      </c>
      <c r="G940" s="17" t="inlineStr">
        <is>
          <t>웹조사 자동화 실패(세션한도)</t>
        </is>
      </c>
      <c r="H940" s="17" t="inlineStr">
        <is>
          <t>N</t>
        </is>
      </c>
      <c r="I940" s="17" t="inlineStr">
        <is>
          <t>회사 공시·홈페이지</t>
        </is>
      </c>
      <c r="J940" s="17" t="inlineStr">
        <is>
          <t>회사 공시·홈페이지에서 확인</t>
        </is>
      </c>
      <c r="K940" s="17" t="inlineStr">
        <is>
          <t>낮음</t>
        </is>
      </c>
      <c r="L940" s="17" t="inlineStr"/>
    </row>
    <row r="941">
      <c r="A941" s="17" t="inlineStr">
        <is>
          <t>C150</t>
        </is>
      </c>
      <c r="B941" s="17" t="inlineStr"/>
      <c r="C941" s="17" t="inlineStr">
        <is>
          <t>(주)보령</t>
        </is>
      </c>
      <c r="D941" s="17" t="inlineStr"/>
      <c r="E941" s="17" t="inlineStr">
        <is>
          <t>FDA·EMA 실사</t>
        </is>
      </c>
      <c r="F941" s="17" t="inlineStr">
        <is>
          <t>미확인</t>
        </is>
      </c>
      <c r="G941" s="17" t="inlineStr">
        <is>
          <t>웹조사 자동화 실패(세션한도)</t>
        </is>
      </c>
      <c r="H941" s="17" t="inlineStr">
        <is>
          <t>N</t>
        </is>
      </c>
      <c r="I941" s="17" t="inlineStr">
        <is>
          <t>FDA Inspection DB</t>
        </is>
      </c>
      <c r="J941" s="17" t="inlineStr">
        <is>
          <t>FDA Inspection DB에서 확인</t>
        </is>
      </c>
      <c r="K941" s="17" t="inlineStr">
        <is>
          <t>낮음</t>
        </is>
      </c>
      <c r="L941" s="17" t="inlineStr"/>
    </row>
    <row r="942">
      <c r="A942" s="17" t="inlineStr">
        <is>
          <t>C150</t>
        </is>
      </c>
      <c r="B942" s="17" t="inlineStr"/>
      <c r="C942" s="17" t="inlineStr">
        <is>
          <t>(주)보령</t>
        </is>
      </c>
      <c r="D942" s="17" t="inlineStr"/>
      <c r="E942" s="17" t="inlineStr">
        <is>
          <t>CMO·CDMO</t>
        </is>
      </c>
      <c r="F942" s="17" t="inlineStr">
        <is>
          <t>미확인</t>
        </is>
      </c>
      <c r="G942" s="17" t="inlineStr">
        <is>
          <t>웹조사 자동화 실패(세션한도)</t>
        </is>
      </c>
      <c r="H942" s="17" t="inlineStr">
        <is>
          <t>N</t>
        </is>
      </c>
      <c r="I942" s="17" t="inlineStr">
        <is>
          <t>회사 홈페이지</t>
        </is>
      </c>
      <c r="J942" s="17" t="inlineStr">
        <is>
          <t>회사 홈페이지에서 확인</t>
        </is>
      </c>
      <c r="K942" s="17" t="inlineStr">
        <is>
          <t>낮음</t>
        </is>
      </c>
      <c r="L942" s="17" t="inlineStr"/>
    </row>
    <row r="943">
      <c r="A943" s="17" t="inlineStr">
        <is>
          <t>C150</t>
        </is>
      </c>
      <c r="B943" s="17" t="inlineStr"/>
      <c r="C943" s="17" t="inlineStr">
        <is>
          <t>(주)보령</t>
        </is>
      </c>
      <c r="D943" s="17" t="inlineStr"/>
      <c r="E943" s="17" t="inlineStr">
        <is>
          <t>신공장·증설</t>
        </is>
      </c>
      <c r="F943" s="17" t="inlineStr">
        <is>
          <t>미확인</t>
        </is>
      </c>
      <c r="G943" s="17" t="inlineStr">
        <is>
          <t>웹조사 자동화 실패(세션한도)</t>
        </is>
      </c>
      <c r="H943" s="17" t="inlineStr">
        <is>
          <t>N</t>
        </is>
      </c>
      <c r="I943" s="17" t="inlineStr">
        <is>
          <t>언론·지자체 발표</t>
        </is>
      </c>
      <c r="J943" s="17" t="inlineStr">
        <is>
          <t>언론·지자체 발표에서 확인</t>
        </is>
      </c>
      <c r="K943" s="17" t="inlineStr">
        <is>
          <t>낮음</t>
        </is>
      </c>
      <c r="L943" s="17" t="inlineStr"/>
    </row>
    <row r="944">
      <c r="A944" s="17" t="inlineStr">
        <is>
          <t>C151</t>
        </is>
      </c>
      <c r="B944" s="17" t="inlineStr"/>
      <c r="C944" s="17" t="inlineStr">
        <is>
          <t>에이치엘비펩(주)</t>
        </is>
      </c>
      <c r="D944" s="17" t="inlineStr"/>
      <c r="E944" s="17" t="inlineStr">
        <is>
          <t>최근매출(억원)</t>
        </is>
      </c>
      <c r="F944" s="17" t="inlineStr">
        <is>
          <t>미확인</t>
        </is>
      </c>
      <c r="G944" s="17" t="inlineStr">
        <is>
          <t>웹조사 자동화 실패(세션한도)</t>
        </is>
      </c>
      <c r="H944" s="17" t="inlineStr">
        <is>
          <t>N</t>
        </is>
      </c>
      <c r="I944" s="17" t="inlineStr">
        <is>
          <t>DART 사업보고서</t>
        </is>
      </c>
      <c r="J944" s="17" t="inlineStr">
        <is>
          <t>DART 사업보고서에서 확인</t>
        </is>
      </c>
      <c r="K944" s="17" t="inlineStr">
        <is>
          <t>낮음</t>
        </is>
      </c>
      <c r="L944" s="17" t="inlineStr"/>
    </row>
    <row r="945">
      <c r="A945" s="17" t="inlineStr">
        <is>
          <t>C151</t>
        </is>
      </c>
      <c r="B945" s="17" t="inlineStr"/>
      <c r="C945" s="17" t="inlineStr">
        <is>
          <t>에이치엘비펩(주)</t>
        </is>
      </c>
      <c r="D945" s="17" t="inlineStr"/>
      <c r="E945" s="17" t="inlineStr">
        <is>
          <t>종업원수</t>
        </is>
      </c>
      <c r="F945" s="17" t="inlineStr">
        <is>
          <t>미확인</t>
        </is>
      </c>
      <c r="G945" s="17" t="inlineStr">
        <is>
          <t>웹조사 자동화 실패(세션한도)</t>
        </is>
      </c>
      <c r="H945" s="17" t="inlineStr">
        <is>
          <t>N</t>
        </is>
      </c>
      <c r="I945" s="17" t="inlineStr">
        <is>
          <t>DART/채용</t>
        </is>
      </c>
      <c r="J945" s="17" t="inlineStr">
        <is>
          <t>DART/채용에서 확인</t>
        </is>
      </c>
      <c r="K945" s="17" t="inlineStr">
        <is>
          <t>낮음</t>
        </is>
      </c>
      <c r="L945" s="17" t="inlineStr"/>
    </row>
    <row r="946">
      <c r="A946" s="17" t="inlineStr">
        <is>
          <t>C151</t>
        </is>
      </c>
      <c r="B946" s="17" t="inlineStr"/>
      <c r="C946" s="17" t="inlineStr">
        <is>
          <t>에이치엘비펩(주)</t>
        </is>
      </c>
      <c r="D946" s="17" t="inlineStr"/>
      <c r="E946" s="17" t="inlineStr">
        <is>
          <t>수출여부</t>
        </is>
      </c>
      <c r="F946" s="17" t="inlineStr">
        <is>
          <t>미확인</t>
        </is>
      </c>
      <c r="G946" s="17" t="inlineStr">
        <is>
          <t>웹조사 자동화 실패(세션한도)</t>
        </is>
      </c>
      <c r="H946" s="17" t="inlineStr">
        <is>
          <t>N</t>
        </is>
      </c>
      <c r="I946" s="17" t="inlineStr">
        <is>
          <t>회사 공시·홈페이지</t>
        </is>
      </c>
      <c r="J946" s="17" t="inlineStr">
        <is>
          <t>회사 공시·홈페이지에서 확인</t>
        </is>
      </c>
      <c r="K946" s="17" t="inlineStr">
        <is>
          <t>낮음</t>
        </is>
      </c>
      <c r="L946" s="17" t="inlineStr"/>
    </row>
    <row r="947">
      <c r="A947" s="17" t="inlineStr">
        <is>
          <t>C151</t>
        </is>
      </c>
      <c r="B947" s="17" t="inlineStr"/>
      <c r="C947" s="17" t="inlineStr">
        <is>
          <t>에이치엘비펩(주)</t>
        </is>
      </c>
      <c r="D947" s="17" t="inlineStr"/>
      <c r="E947" s="17" t="inlineStr">
        <is>
          <t>FDA·EMA 실사</t>
        </is>
      </c>
      <c r="F947" s="17" t="inlineStr">
        <is>
          <t>미확인</t>
        </is>
      </c>
      <c r="G947" s="17" t="inlineStr">
        <is>
          <t>웹조사 자동화 실패(세션한도)</t>
        </is>
      </c>
      <c r="H947" s="17" t="inlineStr">
        <is>
          <t>N</t>
        </is>
      </c>
      <c r="I947" s="17" t="inlineStr">
        <is>
          <t>FDA Inspection DB</t>
        </is>
      </c>
      <c r="J947" s="17" t="inlineStr">
        <is>
          <t>FDA Inspection DB에서 확인</t>
        </is>
      </c>
      <c r="K947" s="17" t="inlineStr">
        <is>
          <t>낮음</t>
        </is>
      </c>
      <c r="L947" s="17" t="inlineStr"/>
    </row>
    <row r="948">
      <c r="A948" s="17" t="inlineStr">
        <is>
          <t>C151</t>
        </is>
      </c>
      <c r="B948" s="17" t="inlineStr"/>
      <c r="C948" s="17" t="inlineStr">
        <is>
          <t>에이치엘비펩(주)</t>
        </is>
      </c>
      <c r="D948" s="17" t="inlineStr"/>
      <c r="E948" s="17" t="inlineStr">
        <is>
          <t>CMO·CDMO</t>
        </is>
      </c>
      <c r="F948" s="17" t="inlineStr">
        <is>
          <t>미확인</t>
        </is>
      </c>
      <c r="G948" s="17" t="inlineStr">
        <is>
          <t>웹조사 자동화 실패(세션한도)</t>
        </is>
      </c>
      <c r="H948" s="17" t="inlineStr">
        <is>
          <t>N</t>
        </is>
      </c>
      <c r="I948" s="17" t="inlineStr">
        <is>
          <t>회사 홈페이지</t>
        </is>
      </c>
      <c r="J948" s="17" t="inlineStr">
        <is>
          <t>회사 홈페이지에서 확인</t>
        </is>
      </c>
      <c r="K948" s="17" t="inlineStr">
        <is>
          <t>낮음</t>
        </is>
      </c>
      <c r="L948" s="17" t="inlineStr"/>
    </row>
    <row r="949">
      <c r="A949" s="17" t="inlineStr">
        <is>
          <t>C151</t>
        </is>
      </c>
      <c r="B949" s="17" t="inlineStr"/>
      <c r="C949" s="17" t="inlineStr">
        <is>
          <t>에이치엘비펩(주)</t>
        </is>
      </c>
      <c r="D949" s="17" t="inlineStr"/>
      <c r="E949" s="17" t="inlineStr">
        <is>
          <t>신공장·증설</t>
        </is>
      </c>
      <c r="F949" s="17" t="inlineStr">
        <is>
          <t>미확인</t>
        </is>
      </c>
      <c r="G949" s="17" t="inlineStr">
        <is>
          <t>웹조사 자동화 실패(세션한도)</t>
        </is>
      </c>
      <c r="H949" s="17" t="inlineStr">
        <is>
          <t>N</t>
        </is>
      </c>
      <c r="I949" s="17" t="inlineStr">
        <is>
          <t>언론·지자체 발표</t>
        </is>
      </c>
      <c r="J949" s="17" t="inlineStr">
        <is>
          <t>언론·지자체 발표에서 확인</t>
        </is>
      </c>
      <c r="K949" s="17" t="inlineStr">
        <is>
          <t>낮음</t>
        </is>
      </c>
      <c r="L949" s="17" t="inlineStr"/>
    </row>
    <row r="950">
      <c r="A950" s="17" t="inlineStr">
        <is>
          <t>C152</t>
        </is>
      </c>
      <c r="B950" s="17" t="inlineStr"/>
      <c r="C950" s="17" t="inlineStr">
        <is>
          <t>대한의산(주)</t>
        </is>
      </c>
      <c r="D950" s="17" t="inlineStr"/>
      <c r="E950" s="17" t="inlineStr">
        <is>
          <t>최근매출(억원)</t>
        </is>
      </c>
      <c r="F950" s="17" t="inlineStr">
        <is>
          <t>미확인</t>
        </is>
      </c>
      <c r="G950" s="17" t="inlineStr">
        <is>
          <t>웹조사 자동화 실패(세션한도)</t>
        </is>
      </c>
      <c r="H950" s="17" t="inlineStr">
        <is>
          <t>N</t>
        </is>
      </c>
      <c r="I950" s="17" t="inlineStr">
        <is>
          <t>DART 사업보고서</t>
        </is>
      </c>
      <c r="J950" s="17" t="inlineStr">
        <is>
          <t>DART 사업보고서에서 확인</t>
        </is>
      </c>
      <c r="K950" s="17" t="inlineStr">
        <is>
          <t>낮음</t>
        </is>
      </c>
      <c r="L950" s="17" t="inlineStr"/>
    </row>
    <row r="951">
      <c r="A951" s="17" t="inlineStr">
        <is>
          <t>C152</t>
        </is>
      </c>
      <c r="B951" s="17" t="inlineStr"/>
      <c r="C951" s="17" t="inlineStr">
        <is>
          <t>대한의산(주)</t>
        </is>
      </c>
      <c r="D951" s="17" t="inlineStr"/>
      <c r="E951" s="17" t="inlineStr">
        <is>
          <t>종업원수</t>
        </is>
      </c>
      <c r="F951" s="17" t="inlineStr">
        <is>
          <t>미확인</t>
        </is>
      </c>
      <c r="G951" s="17" t="inlineStr">
        <is>
          <t>웹조사 자동화 실패(세션한도)</t>
        </is>
      </c>
      <c r="H951" s="17" t="inlineStr">
        <is>
          <t>N</t>
        </is>
      </c>
      <c r="I951" s="17" t="inlineStr">
        <is>
          <t>DART/채용</t>
        </is>
      </c>
      <c r="J951" s="17" t="inlineStr">
        <is>
          <t>DART/채용에서 확인</t>
        </is>
      </c>
      <c r="K951" s="17" t="inlineStr">
        <is>
          <t>낮음</t>
        </is>
      </c>
      <c r="L951" s="17" t="inlineStr"/>
    </row>
    <row r="952">
      <c r="A952" s="17" t="inlineStr">
        <is>
          <t>C152</t>
        </is>
      </c>
      <c r="B952" s="17" t="inlineStr"/>
      <c r="C952" s="17" t="inlineStr">
        <is>
          <t>대한의산(주)</t>
        </is>
      </c>
      <c r="D952" s="17" t="inlineStr"/>
      <c r="E952" s="17" t="inlineStr">
        <is>
          <t>수출여부</t>
        </is>
      </c>
      <c r="F952" s="17" t="inlineStr">
        <is>
          <t>미확인</t>
        </is>
      </c>
      <c r="G952" s="17" t="inlineStr">
        <is>
          <t>웹조사 자동화 실패(세션한도)</t>
        </is>
      </c>
      <c r="H952" s="17" t="inlineStr">
        <is>
          <t>N</t>
        </is>
      </c>
      <c r="I952" s="17" t="inlineStr">
        <is>
          <t>회사 공시·홈페이지</t>
        </is>
      </c>
      <c r="J952" s="17" t="inlineStr">
        <is>
          <t>회사 공시·홈페이지에서 확인</t>
        </is>
      </c>
      <c r="K952" s="17" t="inlineStr">
        <is>
          <t>낮음</t>
        </is>
      </c>
      <c r="L952" s="17" t="inlineStr"/>
    </row>
    <row r="953">
      <c r="A953" s="17" t="inlineStr">
        <is>
          <t>C152</t>
        </is>
      </c>
      <c r="B953" s="17" t="inlineStr"/>
      <c r="C953" s="17" t="inlineStr">
        <is>
          <t>대한의산(주)</t>
        </is>
      </c>
      <c r="D953" s="17" t="inlineStr"/>
      <c r="E953" s="17" t="inlineStr">
        <is>
          <t>FDA·EMA 실사</t>
        </is>
      </c>
      <c r="F953" s="17" t="inlineStr">
        <is>
          <t>미확인</t>
        </is>
      </c>
      <c r="G953" s="17" t="inlineStr">
        <is>
          <t>웹조사 자동화 실패(세션한도)</t>
        </is>
      </c>
      <c r="H953" s="17" t="inlineStr">
        <is>
          <t>N</t>
        </is>
      </c>
      <c r="I953" s="17" t="inlineStr">
        <is>
          <t>FDA Inspection DB</t>
        </is>
      </c>
      <c r="J953" s="17" t="inlineStr">
        <is>
          <t>FDA Inspection DB에서 확인</t>
        </is>
      </c>
      <c r="K953" s="17" t="inlineStr">
        <is>
          <t>낮음</t>
        </is>
      </c>
      <c r="L953" s="17" t="inlineStr"/>
    </row>
    <row r="954">
      <c r="A954" s="17" t="inlineStr">
        <is>
          <t>C152</t>
        </is>
      </c>
      <c r="B954" s="17" t="inlineStr"/>
      <c r="C954" s="17" t="inlineStr">
        <is>
          <t>대한의산(주)</t>
        </is>
      </c>
      <c r="D954" s="17" t="inlineStr"/>
      <c r="E954" s="17" t="inlineStr">
        <is>
          <t>CMO·CDMO</t>
        </is>
      </c>
      <c r="F954" s="17" t="inlineStr">
        <is>
          <t>미확인</t>
        </is>
      </c>
      <c r="G954" s="17" t="inlineStr">
        <is>
          <t>웹조사 자동화 실패(세션한도)</t>
        </is>
      </c>
      <c r="H954" s="17" t="inlineStr">
        <is>
          <t>N</t>
        </is>
      </c>
      <c r="I954" s="17" t="inlineStr">
        <is>
          <t>회사 홈페이지</t>
        </is>
      </c>
      <c r="J954" s="17" t="inlineStr">
        <is>
          <t>회사 홈페이지에서 확인</t>
        </is>
      </c>
      <c r="K954" s="17" t="inlineStr">
        <is>
          <t>낮음</t>
        </is>
      </c>
      <c r="L954" s="17" t="inlineStr"/>
    </row>
    <row r="955">
      <c r="A955" s="17" t="inlineStr">
        <is>
          <t>C152</t>
        </is>
      </c>
      <c r="B955" s="17" t="inlineStr"/>
      <c r="C955" s="17" t="inlineStr">
        <is>
          <t>대한의산(주)</t>
        </is>
      </c>
      <c r="D955" s="17" t="inlineStr"/>
      <c r="E955" s="17" t="inlineStr">
        <is>
          <t>신공장·증설</t>
        </is>
      </c>
      <c r="F955" s="17" t="inlineStr">
        <is>
          <t>미확인</t>
        </is>
      </c>
      <c r="G955" s="17" t="inlineStr">
        <is>
          <t>웹조사 자동화 실패(세션한도)</t>
        </is>
      </c>
      <c r="H955" s="17" t="inlineStr">
        <is>
          <t>N</t>
        </is>
      </c>
      <c r="I955" s="17" t="inlineStr">
        <is>
          <t>언론·지자체 발표</t>
        </is>
      </c>
      <c r="J955" s="17" t="inlineStr">
        <is>
          <t>언론·지자체 발표에서 확인</t>
        </is>
      </c>
      <c r="K955" s="17" t="inlineStr">
        <is>
          <t>낮음</t>
        </is>
      </c>
      <c r="L955" s="17" t="inlineStr"/>
    </row>
    <row r="956">
      <c r="A956" s="17" t="inlineStr">
        <is>
          <t>C153</t>
        </is>
      </c>
      <c r="B956" s="17" t="inlineStr"/>
      <c r="C956" s="17" t="inlineStr">
        <is>
          <t>(주)펩트론</t>
        </is>
      </c>
      <c r="D956" s="17" t="inlineStr"/>
      <c r="E956" s="17" t="inlineStr">
        <is>
          <t>최근매출(억원)</t>
        </is>
      </c>
      <c r="F956" s="17" t="inlineStr">
        <is>
          <t>미확인</t>
        </is>
      </c>
      <c r="G956" s="17" t="inlineStr">
        <is>
          <t>웹조사 자동화 실패(세션한도)</t>
        </is>
      </c>
      <c r="H956" s="17" t="inlineStr">
        <is>
          <t>N</t>
        </is>
      </c>
      <c r="I956" s="17" t="inlineStr">
        <is>
          <t>DART 사업보고서</t>
        </is>
      </c>
      <c r="J956" s="17" t="inlineStr">
        <is>
          <t>DART 사업보고서에서 확인</t>
        </is>
      </c>
      <c r="K956" s="17" t="inlineStr">
        <is>
          <t>낮음</t>
        </is>
      </c>
      <c r="L956" s="17" t="inlineStr"/>
    </row>
    <row r="957">
      <c r="A957" s="17" t="inlineStr">
        <is>
          <t>C153</t>
        </is>
      </c>
      <c r="B957" s="17" t="inlineStr"/>
      <c r="C957" s="17" t="inlineStr">
        <is>
          <t>(주)펩트론</t>
        </is>
      </c>
      <c r="D957" s="17" t="inlineStr"/>
      <c r="E957" s="17" t="inlineStr">
        <is>
          <t>종업원수</t>
        </is>
      </c>
      <c r="F957" s="17" t="inlineStr">
        <is>
          <t>미확인</t>
        </is>
      </c>
      <c r="G957" s="17" t="inlineStr">
        <is>
          <t>웹조사 자동화 실패(세션한도)</t>
        </is>
      </c>
      <c r="H957" s="17" t="inlineStr">
        <is>
          <t>N</t>
        </is>
      </c>
      <c r="I957" s="17" t="inlineStr">
        <is>
          <t>DART/채용</t>
        </is>
      </c>
      <c r="J957" s="17" t="inlineStr">
        <is>
          <t>DART/채용에서 확인</t>
        </is>
      </c>
      <c r="K957" s="17" t="inlineStr">
        <is>
          <t>낮음</t>
        </is>
      </c>
      <c r="L957" s="17" t="inlineStr"/>
    </row>
    <row r="958">
      <c r="A958" s="17" t="inlineStr">
        <is>
          <t>C153</t>
        </is>
      </c>
      <c r="B958" s="17" t="inlineStr"/>
      <c r="C958" s="17" t="inlineStr">
        <is>
          <t>(주)펩트론</t>
        </is>
      </c>
      <c r="D958" s="17" t="inlineStr"/>
      <c r="E958" s="17" t="inlineStr">
        <is>
          <t>수출여부</t>
        </is>
      </c>
      <c r="F958" s="17" t="inlineStr">
        <is>
          <t>미확인</t>
        </is>
      </c>
      <c r="G958" s="17" t="inlineStr">
        <is>
          <t>웹조사 자동화 실패(세션한도)</t>
        </is>
      </c>
      <c r="H958" s="17" t="inlineStr">
        <is>
          <t>N</t>
        </is>
      </c>
      <c r="I958" s="17" t="inlineStr">
        <is>
          <t>회사 공시·홈페이지</t>
        </is>
      </c>
      <c r="J958" s="17" t="inlineStr">
        <is>
          <t>회사 공시·홈페이지에서 확인</t>
        </is>
      </c>
      <c r="K958" s="17" t="inlineStr">
        <is>
          <t>낮음</t>
        </is>
      </c>
      <c r="L958" s="17" t="inlineStr"/>
    </row>
    <row r="959">
      <c r="A959" s="17" t="inlineStr">
        <is>
          <t>C153</t>
        </is>
      </c>
      <c r="B959" s="17" t="inlineStr"/>
      <c r="C959" s="17" t="inlineStr">
        <is>
          <t>(주)펩트론</t>
        </is>
      </c>
      <c r="D959" s="17" t="inlineStr"/>
      <c r="E959" s="17" t="inlineStr">
        <is>
          <t>FDA·EMA 실사</t>
        </is>
      </c>
      <c r="F959" s="17" t="inlineStr">
        <is>
          <t>미확인</t>
        </is>
      </c>
      <c r="G959" s="17" t="inlineStr">
        <is>
          <t>웹조사 자동화 실패(세션한도)</t>
        </is>
      </c>
      <c r="H959" s="17" t="inlineStr">
        <is>
          <t>N</t>
        </is>
      </c>
      <c r="I959" s="17" t="inlineStr">
        <is>
          <t>FDA Inspection DB</t>
        </is>
      </c>
      <c r="J959" s="17" t="inlineStr">
        <is>
          <t>FDA Inspection DB에서 확인</t>
        </is>
      </c>
      <c r="K959" s="17" t="inlineStr">
        <is>
          <t>낮음</t>
        </is>
      </c>
      <c r="L959" s="17" t="inlineStr"/>
    </row>
    <row r="960">
      <c r="A960" s="17" t="inlineStr">
        <is>
          <t>C153</t>
        </is>
      </c>
      <c r="B960" s="17" t="inlineStr"/>
      <c r="C960" s="17" t="inlineStr">
        <is>
          <t>(주)펩트론</t>
        </is>
      </c>
      <c r="D960" s="17" t="inlineStr"/>
      <c r="E960" s="17" t="inlineStr">
        <is>
          <t>CMO·CDMO</t>
        </is>
      </c>
      <c r="F960" s="17" t="inlineStr">
        <is>
          <t>미확인</t>
        </is>
      </c>
      <c r="G960" s="17" t="inlineStr">
        <is>
          <t>웹조사 자동화 실패(세션한도)</t>
        </is>
      </c>
      <c r="H960" s="17" t="inlineStr">
        <is>
          <t>N</t>
        </is>
      </c>
      <c r="I960" s="17" t="inlineStr">
        <is>
          <t>회사 홈페이지</t>
        </is>
      </c>
      <c r="J960" s="17" t="inlineStr">
        <is>
          <t>회사 홈페이지에서 확인</t>
        </is>
      </c>
      <c r="K960" s="17" t="inlineStr">
        <is>
          <t>낮음</t>
        </is>
      </c>
      <c r="L960" s="17" t="inlineStr"/>
    </row>
    <row r="961">
      <c r="A961" s="17" t="inlineStr">
        <is>
          <t>C153</t>
        </is>
      </c>
      <c r="B961" s="17" t="inlineStr"/>
      <c r="C961" s="17" t="inlineStr">
        <is>
          <t>(주)펩트론</t>
        </is>
      </c>
      <c r="D961" s="17" t="inlineStr"/>
      <c r="E961" s="17" t="inlineStr">
        <is>
          <t>신공장·증설</t>
        </is>
      </c>
      <c r="F961" s="17" t="inlineStr">
        <is>
          <t>미확인</t>
        </is>
      </c>
      <c r="G961" s="17" t="inlineStr">
        <is>
          <t>웹조사 자동화 실패(세션한도)</t>
        </is>
      </c>
      <c r="H961" s="17" t="inlineStr">
        <is>
          <t>N</t>
        </is>
      </c>
      <c r="I961" s="17" t="inlineStr">
        <is>
          <t>언론·지자체 발표</t>
        </is>
      </c>
      <c r="J961" s="17" t="inlineStr">
        <is>
          <t>언론·지자체 발표에서 확인</t>
        </is>
      </c>
      <c r="K961" s="17" t="inlineStr">
        <is>
          <t>낮음</t>
        </is>
      </c>
      <c r="L961" s="17" t="inlineStr"/>
    </row>
    <row r="962">
      <c r="A962" s="17" t="inlineStr">
        <is>
          <t>C153</t>
        </is>
      </c>
      <c r="B962" s="17" t="inlineStr"/>
      <c r="C962" s="17" t="inlineStr">
        <is>
          <t>(주)펩트론</t>
        </is>
      </c>
      <c r="D962" s="17" t="inlineStr"/>
      <c r="E962" s="17" t="inlineStr">
        <is>
          <t>대표전화</t>
        </is>
      </c>
      <c r="F962" s="17" t="inlineStr">
        <is>
          <t>미확인</t>
        </is>
      </c>
      <c r="G962" s="17" t="inlineStr">
        <is>
          <t>제조소상세 미매칭</t>
        </is>
      </c>
      <c r="H962" s="17" t="inlineStr">
        <is>
          <t>Y</t>
        </is>
      </c>
      <c r="I962" s="17" t="inlineStr">
        <is>
          <t>회사 홈페이지</t>
        </is>
      </c>
      <c r="J962" s="17" t="inlineStr">
        <is>
          <t>홈페이지에서 대표번호 확인</t>
        </is>
      </c>
      <c r="K962" s="17" t="inlineStr">
        <is>
          <t>낮음</t>
        </is>
      </c>
      <c r="L962" s="17" t="inlineStr"/>
    </row>
    <row r="963">
      <c r="A963" s="17" t="inlineStr">
        <is>
          <t>C154</t>
        </is>
      </c>
      <c r="B963" s="17" t="inlineStr"/>
      <c r="C963" s="17" t="inlineStr">
        <is>
          <t>초당약품공업(주)</t>
        </is>
      </c>
      <c r="D963" s="17" t="inlineStr"/>
      <c r="E963" s="17" t="inlineStr">
        <is>
          <t>최근매출(억원)</t>
        </is>
      </c>
      <c r="F963" s="17" t="inlineStr">
        <is>
          <t>미확인</t>
        </is>
      </c>
      <c r="G963" s="17" t="inlineStr">
        <is>
          <t>웹조사 자동화 실패(세션한도)</t>
        </is>
      </c>
      <c r="H963" s="17" t="inlineStr">
        <is>
          <t>N</t>
        </is>
      </c>
      <c r="I963" s="17" t="inlineStr">
        <is>
          <t>DART 사업보고서</t>
        </is>
      </c>
      <c r="J963" s="17" t="inlineStr">
        <is>
          <t>DART 사업보고서에서 확인</t>
        </is>
      </c>
      <c r="K963" s="17" t="inlineStr">
        <is>
          <t>낮음</t>
        </is>
      </c>
      <c r="L963" s="17" t="inlineStr"/>
    </row>
    <row r="964">
      <c r="A964" s="17" t="inlineStr">
        <is>
          <t>C154</t>
        </is>
      </c>
      <c r="B964" s="17" t="inlineStr"/>
      <c r="C964" s="17" t="inlineStr">
        <is>
          <t>초당약품공업(주)</t>
        </is>
      </c>
      <c r="D964" s="17" t="inlineStr"/>
      <c r="E964" s="17" t="inlineStr">
        <is>
          <t>종업원수</t>
        </is>
      </c>
      <c r="F964" s="17" t="inlineStr">
        <is>
          <t>미확인</t>
        </is>
      </c>
      <c r="G964" s="17" t="inlineStr">
        <is>
          <t>웹조사 자동화 실패(세션한도)</t>
        </is>
      </c>
      <c r="H964" s="17" t="inlineStr">
        <is>
          <t>N</t>
        </is>
      </c>
      <c r="I964" s="17" t="inlineStr">
        <is>
          <t>DART/채용</t>
        </is>
      </c>
      <c r="J964" s="17" t="inlineStr">
        <is>
          <t>DART/채용에서 확인</t>
        </is>
      </c>
      <c r="K964" s="17" t="inlineStr">
        <is>
          <t>낮음</t>
        </is>
      </c>
      <c r="L964" s="17" t="inlineStr"/>
    </row>
    <row r="965">
      <c r="A965" s="17" t="inlineStr">
        <is>
          <t>C154</t>
        </is>
      </c>
      <c r="B965" s="17" t="inlineStr"/>
      <c r="C965" s="17" t="inlineStr">
        <is>
          <t>초당약품공업(주)</t>
        </is>
      </c>
      <c r="D965" s="17" t="inlineStr"/>
      <c r="E965" s="17" t="inlineStr">
        <is>
          <t>수출여부</t>
        </is>
      </c>
      <c r="F965" s="17" t="inlineStr">
        <is>
          <t>미확인</t>
        </is>
      </c>
      <c r="G965" s="17" t="inlineStr">
        <is>
          <t>웹조사 자동화 실패(세션한도)</t>
        </is>
      </c>
      <c r="H965" s="17" t="inlineStr">
        <is>
          <t>N</t>
        </is>
      </c>
      <c r="I965" s="17" t="inlineStr">
        <is>
          <t>회사 공시·홈페이지</t>
        </is>
      </c>
      <c r="J965" s="17" t="inlineStr">
        <is>
          <t>회사 공시·홈페이지에서 확인</t>
        </is>
      </c>
      <c r="K965" s="17" t="inlineStr">
        <is>
          <t>낮음</t>
        </is>
      </c>
      <c r="L965" s="17" t="inlineStr"/>
    </row>
    <row r="966">
      <c r="A966" s="17" t="inlineStr">
        <is>
          <t>C154</t>
        </is>
      </c>
      <c r="B966" s="17" t="inlineStr"/>
      <c r="C966" s="17" t="inlineStr">
        <is>
          <t>초당약품공업(주)</t>
        </is>
      </c>
      <c r="D966" s="17" t="inlineStr"/>
      <c r="E966" s="17" t="inlineStr">
        <is>
          <t>FDA·EMA 실사</t>
        </is>
      </c>
      <c r="F966" s="17" t="inlineStr">
        <is>
          <t>미확인</t>
        </is>
      </c>
      <c r="G966" s="17" t="inlineStr">
        <is>
          <t>웹조사 자동화 실패(세션한도)</t>
        </is>
      </c>
      <c r="H966" s="17" t="inlineStr">
        <is>
          <t>N</t>
        </is>
      </c>
      <c r="I966" s="17" t="inlineStr">
        <is>
          <t>FDA Inspection DB</t>
        </is>
      </c>
      <c r="J966" s="17" t="inlineStr">
        <is>
          <t>FDA Inspection DB에서 확인</t>
        </is>
      </c>
      <c r="K966" s="17" t="inlineStr">
        <is>
          <t>낮음</t>
        </is>
      </c>
      <c r="L966" s="17" t="inlineStr"/>
    </row>
    <row r="967">
      <c r="A967" s="17" t="inlineStr">
        <is>
          <t>C154</t>
        </is>
      </c>
      <c r="B967" s="17" t="inlineStr"/>
      <c r="C967" s="17" t="inlineStr">
        <is>
          <t>초당약품공업(주)</t>
        </is>
      </c>
      <c r="D967" s="17" t="inlineStr"/>
      <c r="E967" s="17" t="inlineStr">
        <is>
          <t>CMO·CDMO</t>
        </is>
      </c>
      <c r="F967" s="17" t="inlineStr">
        <is>
          <t>미확인</t>
        </is>
      </c>
      <c r="G967" s="17" t="inlineStr">
        <is>
          <t>웹조사 자동화 실패(세션한도)</t>
        </is>
      </c>
      <c r="H967" s="17" t="inlineStr">
        <is>
          <t>N</t>
        </is>
      </c>
      <c r="I967" s="17" t="inlineStr">
        <is>
          <t>회사 홈페이지</t>
        </is>
      </c>
      <c r="J967" s="17" t="inlineStr">
        <is>
          <t>회사 홈페이지에서 확인</t>
        </is>
      </c>
      <c r="K967" s="17" t="inlineStr">
        <is>
          <t>낮음</t>
        </is>
      </c>
      <c r="L967" s="17" t="inlineStr"/>
    </row>
    <row r="968">
      <c r="A968" s="17" t="inlineStr">
        <is>
          <t>C154</t>
        </is>
      </c>
      <c r="B968" s="17" t="inlineStr"/>
      <c r="C968" s="17" t="inlineStr">
        <is>
          <t>초당약품공업(주)</t>
        </is>
      </c>
      <c r="D968" s="17" t="inlineStr"/>
      <c r="E968" s="17" t="inlineStr">
        <is>
          <t>신공장·증설</t>
        </is>
      </c>
      <c r="F968" s="17" t="inlineStr">
        <is>
          <t>미확인</t>
        </is>
      </c>
      <c r="G968" s="17" t="inlineStr">
        <is>
          <t>웹조사 자동화 실패(세션한도)</t>
        </is>
      </c>
      <c r="H968" s="17" t="inlineStr">
        <is>
          <t>N</t>
        </is>
      </c>
      <c r="I968" s="17" t="inlineStr">
        <is>
          <t>언론·지자체 발표</t>
        </is>
      </c>
      <c r="J968" s="17" t="inlineStr">
        <is>
          <t>언론·지자체 발표에서 확인</t>
        </is>
      </c>
      <c r="K968" s="17" t="inlineStr">
        <is>
          <t>낮음</t>
        </is>
      </c>
      <c r="L968" s="17" t="inlineStr"/>
    </row>
    <row r="969">
      <c r="A969" s="17" t="inlineStr">
        <is>
          <t>C155</t>
        </is>
      </c>
      <c r="B969" s="17" t="inlineStr"/>
      <c r="C969" s="17" t="inlineStr">
        <is>
          <t>(주)일화</t>
        </is>
      </c>
      <c r="D969" s="17" t="inlineStr"/>
      <c r="E969" s="17" t="inlineStr">
        <is>
          <t>최근매출(억원)</t>
        </is>
      </c>
      <c r="F969" s="17" t="inlineStr">
        <is>
          <t>미확인</t>
        </is>
      </c>
      <c r="G969" s="17" t="inlineStr">
        <is>
          <t>웹조사 자동화 실패(세션한도)</t>
        </is>
      </c>
      <c r="H969" s="17" t="inlineStr">
        <is>
          <t>N</t>
        </is>
      </c>
      <c r="I969" s="17" t="inlineStr">
        <is>
          <t>DART 사업보고서</t>
        </is>
      </c>
      <c r="J969" s="17" t="inlineStr">
        <is>
          <t>DART 사업보고서에서 확인</t>
        </is>
      </c>
      <c r="K969" s="17" t="inlineStr">
        <is>
          <t>낮음</t>
        </is>
      </c>
      <c r="L969" s="17" t="inlineStr"/>
    </row>
    <row r="970">
      <c r="A970" s="17" t="inlineStr">
        <is>
          <t>C155</t>
        </is>
      </c>
      <c r="B970" s="17" t="inlineStr"/>
      <c r="C970" s="17" t="inlineStr">
        <is>
          <t>(주)일화</t>
        </is>
      </c>
      <c r="D970" s="17" t="inlineStr"/>
      <c r="E970" s="17" t="inlineStr">
        <is>
          <t>종업원수</t>
        </is>
      </c>
      <c r="F970" s="17" t="inlineStr">
        <is>
          <t>미확인</t>
        </is>
      </c>
      <c r="G970" s="17" t="inlineStr">
        <is>
          <t>웹조사 자동화 실패(세션한도)</t>
        </is>
      </c>
      <c r="H970" s="17" t="inlineStr">
        <is>
          <t>N</t>
        </is>
      </c>
      <c r="I970" s="17" t="inlineStr">
        <is>
          <t>DART/채용</t>
        </is>
      </c>
      <c r="J970" s="17" t="inlineStr">
        <is>
          <t>DART/채용에서 확인</t>
        </is>
      </c>
      <c r="K970" s="17" t="inlineStr">
        <is>
          <t>낮음</t>
        </is>
      </c>
      <c r="L970" s="17" t="inlineStr"/>
    </row>
    <row r="971">
      <c r="A971" s="17" t="inlineStr">
        <is>
          <t>C155</t>
        </is>
      </c>
      <c r="B971" s="17" t="inlineStr"/>
      <c r="C971" s="17" t="inlineStr">
        <is>
          <t>(주)일화</t>
        </is>
      </c>
      <c r="D971" s="17" t="inlineStr"/>
      <c r="E971" s="17" t="inlineStr">
        <is>
          <t>수출여부</t>
        </is>
      </c>
      <c r="F971" s="17" t="inlineStr">
        <is>
          <t>미확인</t>
        </is>
      </c>
      <c r="G971" s="17" t="inlineStr">
        <is>
          <t>웹조사 자동화 실패(세션한도)</t>
        </is>
      </c>
      <c r="H971" s="17" t="inlineStr">
        <is>
          <t>N</t>
        </is>
      </c>
      <c r="I971" s="17" t="inlineStr">
        <is>
          <t>회사 공시·홈페이지</t>
        </is>
      </c>
      <c r="J971" s="17" t="inlineStr">
        <is>
          <t>회사 공시·홈페이지에서 확인</t>
        </is>
      </c>
      <c r="K971" s="17" t="inlineStr">
        <is>
          <t>낮음</t>
        </is>
      </c>
      <c r="L971" s="17" t="inlineStr"/>
    </row>
    <row r="972">
      <c r="A972" s="17" t="inlineStr">
        <is>
          <t>C155</t>
        </is>
      </c>
      <c r="B972" s="17" t="inlineStr"/>
      <c r="C972" s="17" t="inlineStr">
        <is>
          <t>(주)일화</t>
        </is>
      </c>
      <c r="D972" s="17" t="inlineStr"/>
      <c r="E972" s="17" t="inlineStr">
        <is>
          <t>FDA·EMA 실사</t>
        </is>
      </c>
      <c r="F972" s="17" t="inlineStr">
        <is>
          <t>미확인</t>
        </is>
      </c>
      <c r="G972" s="17" t="inlineStr">
        <is>
          <t>웹조사 자동화 실패(세션한도)</t>
        </is>
      </c>
      <c r="H972" s="17" t="inlineStr">
        <is>
          <t>N</t>
        </is>
      </c>
      <c r="I972" s="17" t="inlineStr">
        <is>
          <t>FDA Inspection DB</t>
        </is>
      </c>
      <c r="J972" s="17" t="inlineStr">
        <is>
          <t>FDA Inspection DB에서 확인</t>
        </is>
      </c>
      <c r="K972" s="17" t="inlineStr">
        <is>
          <t>낮음</t>
        </is>
      </c>
      <c r="L972" s="17" t="inlineStr"/>
    </row>
    <row r="973">
      <c r="A973" s="17" t="inlineStr">
        <is>
          <t>C155</t>
        </is>
      </c>
      <c r="B973" s="17" t="inlineStr"/>
      <c r="C973" s="17" t="inlineStr">
        <is>
          <t>(주)일화</t>
        </is>
      </c>
      <c r="D973" s="17" t="inlineStr"/>
      <c r="E973" s="17" t="inlineStr">
        <is>
          <t>CMO·CDMO</t>
        </is>
      </c>
      <c r="F973" s="17" t="inlineStr">
        <is>
          <t>미확인</t>
        </is>
      </c>
      <c r="G973" s="17" t="inlineStr">
        <is>
          <t>웹조사 자동화 실패(세션한도)</t>
        </is>
      </c>
      <c r="H973" s="17" t="inlineStr">
        <is>
          <t>N</t>
        </is>
      </c>
      <c r="I973" s="17" t="inlineStr">
        <is>
          <t>회사 홈페이지</t>
        </is>
      </c>
      <c r="J973" s="17" t="inlineStr">
        <is>
          <t>회사 홈페이지에서 확인</t>
        </is>
      </c>
      <c r="K973" s="17" t="inlineStr">
        <is>
          <t>낮음</t>
        </is>
      </c>
      <c r="L973" s="17" t="inlineStr"/>
    </row>
    <row r="974">
      <c r="A974" s="17" t="inlineStr">
        <is>
          <t>C155</t>
        </is>
      </c>
      <c r="B974" s="17" t="inlineStr"/>
      <c r="C974" s="17" t="inlineStr">
        <is>
          <t>(주)일화</t>
        </is>
      </c>
      <c r="D974" s="17" t="inlineStr"/>
      <c r="E974" s="17" t="inlineStr">
        <is>
          <t>신공장·증설</t>
        </is>
      </c>
      <c r="F974" s="17" t="inlineStr">
        <is>
          <t>미확인</t>
        </is>
      </c>
      <c r="G974" s="17" t="inlineStr">
        <is>
          <t>웹조사 자동화 실패(세션한도)</t>
        </is>
      </c>
      <c r="H974" s="17" t="inlineStr">
        <is>
          <t>N</t>
        </is>
      </c>
      <c r="I974" s="17" t="inlineStr">
        <is>
          <t>언론·지자체 발표</t>
        </is>
      </c>
      <c r="J974" s="17" t="inlineStr">
        <is>
          <t>언론·지자체 발표에서 확인</t>
        </is>
      </c>
      <c r="K974" s="17" t="inlineStr">
        <is>
          <t>낮음</t>
        </is>
      </c>
      <c r="L974" s="17" t="inlineStr"/>
    </row>
    <row r="975">
      <c r="A975" s="17" t="inlineStr">
        <is>
          <t>C156</t>
        </is>
      </c>
      <c r="B975" s="17" t="inlineStr"/>
      <c r="C975" s="17" t="inlineStr">
        <is>
          <t>삼덕가스공업(주)</t>
        </is>
      </c>
      <c r="D975" s="17" t="inlineStr"/>
      <c r="E975" s="17" t="inlineStr">
        <is>
          <t>최근매출(억원)</t>
        </is>
      </c>
      <c r="F975" s="17" t="inlineStr">
        <is>
          <t>미확인</t>
        </is>
      </c>
      <c r="G975" s="17" t="inlineStr">
        <is>
          <t>웹조사 자동화 실패(세션한도)</t>
        </is>
      </c>
      <c r="H975" s="17" t="inlineStr">
        <is>
          <t>N</t>
        </is>
      </c>
      <c r="I975" s="17" t="inlineStr">
        <is>
          <t>DART 사업보고서</t>
        </is>
      </c>
      <c r="J975" s="17" t="inlineStr">
        <is>
          <t>DART 사업보고서에서 확인</t>
        </is>
      </c>
      <c r="K975" s="17" t="inlineStr">
        <is>
          <t>낮음</t>
        </is>
      </c>
      <c r="L975" s="17" t="inlineStr"/>
    </row>
    <row r="976">
      <c r="A976" s="17" t="inlineStr">
        <is>
          <t>C156</t>
        </is>
      </c>
      <c r="B976" s="17" t="inlineStr"/>
      <c r="C976" s="17" t="inlineStr">
        <is>
          <t>삼덕가스공업(주)</t>
        </is>
      </c>
      <c r="D976" s="17" t="inlineStr"/>
      <c r="E976" s="17" t="inlineStr">
        <is>
          <t>종업원수</t>
        </is>
      </c>
      <c r="F976" s="17" t="inlineStr">
        <is>
          <t>미확인</t>
        </is>
      </c>
      <c r="G976" s="17" t="inlineStr">
        <is>
          <t>웹조사 자동화 실패(세션한도)</t>
        </is>
      </c>
      <c r="H976" s="17" t="inlineStr">
        <is>
          <t>N</t>
        </is>
      </c>
      <c r="I976" s="17" t="inlineStr">
        <is>
          <t>DART/채용</t>
        </is>
      </c>
      <c r="J976" s="17" t="inlineStr">
        <is>
          <t>DART/채용에서 확인</t>
        </is>
      </c>
      <c r="K976" s="17" t="inlineStr">
        <is>
          <t>낮음</t>
        </is>
      </c>
      <c r="L976" s="17" t="inlineStr"/>
    </row>
    <row r="977">
      <c r="A977" s="17" t="inlineStr">
        <is>
          <t>C156</t>
        </is>
      </c>
      <c r="B977" s="17" t="inlineStr"/>
      <c r="C977" s="17" t="inlineStr">
        <is>
          <t>삼덕가스공업(주)</t>
        </is>
      </c>
      <c r="D977" s="17" t="inlineStr"/>
      <c r="E977" s="17" t="inlineStr">
        <is>
          <t>수출여부</t>
        </is>
      </c>
      <c r="F977" s="17" t="inlineStr">
        <is>
          <t>미확인</t>
        </is>
      </c>
      <c r="G977" s="17" t="inlineStr">
        <is>
          <t>웹조사 자동화 실패(세션한도)</t>
        </is>
      </c>
      <c r="H977" s="17" t="inlineStr">
        <is>
          <t>N</t>
        </is>
      </c>
      <c r="I977" s="17" t="inlineStr">
        <is>
          <t>회사 공시·홈페이지</t>
        </is>
      </c>
      <c r="J977" s="17" t="inlineStr">
        <is>
          <t>회사 공시·홈페이지에서 확인</t>
        </is>
      </c>
      <c r="K977" s="17" t="inlineStr">
        <is>
          <t>낮음</t>
        </is>
      </c>
      <c r="L977" s="17" t="inlineStr"/>
    </row>
    <row r="978">
      <c r="A978" s="17" t="inlineStr">
        <is>
          <t>C156</t>
        </is>
      </c>
      <c r="B978" s="17" t="inlineStr"/>
      <c r="C978" s="17" t="inlineStr">
        <is>
          <t>삼덕가스공업(주)</t>
        </is>
      </c>
      <c r="D978" s="17" t="inlineStr"/>
      <c r="E978" s="17" t="inlineStr">
        <is>
          <t>FDA·EMA 실사</t>
        </is>
      </c>
      <c r="F978" s="17" t="inlineStr">
        <is>
          <t>미확인</t>
        </is>
      </c>
      <c r="G978" s="17" t="inlineStr">
        <is>
          <t>웹조사 자동화 실패(세션한도)</t>
        </is>
      </c>
      <c r="H978" s="17" t="inlineStr">
        <is>
          <t>N</t>
        </is>
      </c>
      <c r="I978" s="17" t="inlineStr">
        <is>
          <t>FDA Inspection DB</t>
        </is>
      </c>
      <c r="J978" s="17" t="inlineStr">
        <is>
          <t>FDA Inspection DB에서 확인</t>
        </is>
      </c>
      <c r="K978" s="17" t="inlineStr">
        <is>
          <t>낮음</t>
        </is>
      </c>
      <c r="L978" s="17" t="inlineStr"/>
    </row>
    <row r="979">
      <c r="A979" s="17" t="inlineStr">
        <is>
          <t>C156</t>
        </is>
      </c>
      <c r="B979" s="17" t="inlineStr"/>
      <c r="C979" s="17" t="inlineStr">
        <is>
          <t>삼덕가스공업(주)</t>
        </is>
      </c>
      <c r="D979" s="17" t="inlineStr"/>
      <c r="E979" s="17" t="inlineStr">
        <is>
          <t>CMO·CDMO</t>
        </is>
      </c>
      <c r="F979" s="17" t="inlineStr">
        <is>
          <t>미확인</t>
        </is>
      </c>
      <c r="G979" s="17" t="inlineStr">
        <is>
          <t>웹조사 자동화 실패(세션한도)</t>
        </is>
      </c>
      <c r="H979" s="17" t="inlineStr">
        <is>
          <t>N</t>
        </is>
      </c>
      <c r="I979" s="17" t="inlineStr">
        <is>
          <t>회사 홈페이지</t>
        </is>
      </c>
      <c r="J979" s="17" t="inlineStr">
        <is>
          <t>회사 홈페이지에서 확인</t>
        </is>
      </c>
      <c r="K979" s="17" t="inlineStr">
        <is>
          <t>낮음</t>
        </is>
      </c>
      <c r="L979" s="17" t="inlineStr"/>
    </row>
    <row r="980">
      <c r="A980" s="17" t="inlineStr">
        <is>
          <t>C156</t>
        </is>
      </c>
      <c r="B980" s="17" t="inlineStr"/>
      <c r="C980" s="17" t="inlineStr">
        <is>
          <t>삼덕가스공업(주)</t>
        </is>
      </c>
      <c r="D980" s="17" t="inlineStr"/>
      <c r="E980" s="17" t="inlineStr">
        <is>
          <t>신공장·증설</t>
        </is>
      </c>
      <c r="F980" s="17" t="inlineStr">
        <is>
          <t>미확인</t>
        </is>
      </c>
      <c r="G980" s="17" t="inlineStr">
        <is>
          <t>웹조사 자동화 실패(세션한도)</t>
        </is>
      </c>
      <c r="H980" s="17" t="inlineStr">
        <is>
          <t>N</t>
        </is>
      </c>
      <c r="I980" s="17" t="inlineStr">
        <is>
          <t>언론·지자체 발표</t>
        </is>
      </c>
      <c r="J980" s="17" t="inlineStr">
        <is>
          <t>언론·지자체 발표에서 확인</t>
        </is>
      </c>
      <c r="K980" s="17" t="inlineStr">
        <is>
          <t>낮음</t>
        </is>
      </c>
      <c r="L980" s="17" t="inlineStr"/>
    </row>
    <row r="981">
      <c r="A981" s="17" t="inlineStr">
        <is>
          <t>C157</t>
        </is>
      </c>
      <c r="B981" s="17" t="inlineStr"/>
      <c r="C981" s="17" t="inlineStr">
        <is>
          <t>신원산업(주)</t>
        </is>
      </c>
      <c r="D981" s="17" t="inlineStr"/>
      <c r="E981" s="17" t="inlineStr">
        <is>
          <t>최근매출(억원)</t>
        </is>
      </c>
      <c r="F981" s="17" t="inlineStr">
        <is>
          <t>미확인</t>
        </is>
      </c>
      <c r="G981" s="17" t="inlineStr">
        <is>
          <t>웹조사 자동화 실패(세션한도)</t>
        </is>
      </c>
      <c r="H981" s="17" t="inlineStr">
        <is>
          <t>N</t>
        </is>
      </c>
      <c r="I981" s="17" t="inlineStr">
        <is>
          <t>DART 사업보고서</t>
        </is>
      </c>
      <c r="J981" s="17" t="inlineStr">
        <is>
          <t>DART 사업보고서에서 확인</t>
        </is>
      </c>
      <c r="K981" s="17" t="inlineStr">
        <is>
          <t>낮음</t>
        </is>
      </c>
      <c r="L981" s="17" t="inlineStr"/>
    </row>
    <row r="982">
      <c r="A982" s="17" t="inlineStr">
        <is>
          <t>C157</t>
        </is>
      </c>
      <c r="B982" s="17" t="inlineStr"/>
      <c r="C982" s="17" t="inlineStr">
        <is>
          <t>신원산업(주)</t>
        </is>
      </c>
      <c r="D982" s="17" t="inlineStr"/>
      <c r="E982" s="17" t="inlineStr">
        <is>
          <t>종업원수</t>
        </is>
      </c>
      <c r="F982" s="17" t="inlineStr">
        <is>
          <t>미확인</t>
        </is>
      </c>
      <c r="G982" s="17" t="inlineStr">
        <is>
          <t>웹조사 자동화 실패(세션한도)</t>
        </is>
      </c>
      <c r="H982" s="17" t="inlineStr">
        <is>
          <t>N</t>
        </is>
      </c>
      <c r="I982" s="17" t="inlineStr">
        <is>
          <t>DART/채용</t>
        </is>
      </c>
      <c r="J982" s="17" t="inlineStr">
        <is>
          <t>DART/채용에서 확인</t>
        </is>
      </c>
      <c r="K982" s="17" t="inlineStr">
        <is>
          <t>낮음</t>
        </is>
      </c>
      <c r="L982" s="17" t="inlineStr"/>
    </row>
    <row r="983">
      <c r="A983" s="17" t="inlineStr">
        <is>
          <t>C157</t>
        </is>
      </c>
      <c r="B983" s="17" t="inlineStr"/>
      <c r="C983" s="17" t="inlineStr">
        <is>
          <t>신원산업(주)</t>
        </is>
      </c>
      <c r="D983" s="17" t="inlineStr"/>
      <c r="E983" s="17" t="inlineStr">
        <is>
          <t>수출여부</t>
        </is>
      </c>
      <c r="F983" s="17" t="inlineStr">
        <is>
          <t>미확인</t>
        </is>
      </c>
      <c r="G983" s="17" t="inlineStr">
        <is>
          <t>웹조사 자동화 실패(세션한도)</t>
        </is>
      </c>
      <c r="H983" s="17" t="inlineStr">
        <is>
          <t>N</t>
        </is>
      </c>
      <c r="I983" s="17" t="inlineStr">
        <is>
          <t>회사 공시·홈페이지</t>
        </is>
      </c>
      <c r="J983" s="17" t="inlineStr">
        <is>
          <t>회사 공시·홈페이지에서 확인</t>
        </is>
      </c>
      <c r="K983" s="17" t="inlineStr">
        <is>
          <t>낮음</t>
        </is>
      </c>
      <c r="L983" s="17" t="inlineStr"/>
    </row>
    <row r="984">
      <c r="A984" s="17" t="inlineStr">
        <is>
          <t>C157</t>
        </is>
      </c>
      <c r="B984" s="17" t="inlineStr"/>
      <c r="C984" s="17" t="inlineStr">
        <is>
          <t>신원산업(주)</t>
        </is>
      </c>
      <c r="D984" s="17" t="inlineStr"/>
      <c r="E984" s="17" t="inlineStr">
        <is>
          <t>FDA·EMA 실사</t>
        </is>
      </c>
      <c r="F984" s="17" t="inlineStr">
        <is>
          <t>미확인</t>
        </is>
      </c>
      <c r="G984" s="17" t="inlineStr">
        <is>
          <t>웹조사 자동화 실패(세션한도)</t>
        </is>
      </c>
      <c r="H984" s="17" t="inlineStr">
        <is>
          <t>N</t>
        </is>
      </c>
      <c r="I984" s="17" t="inlineStr">
        <is>
          <t>FDA Inspection DB</t>
        </is>
      </c>
      <c r="J984" s="17" t="inlineStr">
        <is>
          <t>FDA Inspection DB에서 확인</t>
        </is>
      </c>
      <c r="K984" s="17" t="inlineStr">
        <is>
          <t>낮음</t>
        </is>
      </c>
      <c r="L984" s="17" t="inlineStr"/>
    </row>
    <row r="985">
      <c r="A985" s="17" t="inlineStr">
        <is>
          <t>C157</t>
        </is>
      </c>
      <c r="B985" s="17" t="inlineStr"/>
      <c r="C985" s="17" t="inlineStr">
        <is>
          <t>신원산업(주)</t>
        </is>
      </c>
      <c r="D985" s="17" t="inlineStr"/>
      <c r="E985" s="17" t="inlineStr">
        <is>
          <t>CMO·CDMO</t>
        </is>
      </c>
      <c r="F985" s="17" t="inlineStr">
        <is>
          <t>미확인</t>
        </is>
      </c>
      <c r="G985" s="17" t="inlineStr">
        <is>
          <t>웹조사 자동화 실패(세션한도)</t>
        </is>
      </c>
      <c r="H985" s="17" t="inlineStr">
        <is>
          <t>N</t>
        </is>
      </c>
      <c r="I985" s="17" t="inlineStr">
        <is>
          <t>회사 홈페이지</t>
        </is>
      </c>
      <c r="J985" s="17" t="inlineStr">
        <is>
          <t>회사 홈페이지에서 확인</t>
        </is>
      </c>
      <c r="K985" s="17" t="inlineStr">
        <is>
          <t>낮음</t>
        </is>
      </c>
      <c r="L985" s="17" t="inlineStr"/>
    </row>
    <row r="986">
      <c r="A986" s="17" t="inlineStr">
        <is>
          <t>C157</t>
        </is>
      </c>
      <c r="B986" s="17" t="inlineStr"/>
      <c r="C986" s="17" t="inlineStr">
        <is>
          <t>신원산업(주)</t>
        </is>
      </c>
      <c r="D986" s="17" t="inlineStr"/>
      <c r="E986" s="17" t="inlineStr">
        <is>
          <t>신공장·증설</t>
        </is>
      </c>
      <c r="F986" s="17" t="inlineStr">
        <is>
          <t>미확인</t>
        </is>
      </c>
      <c r="G986" s="17" t="inlineStr">
        <is>
          <t>웹조사 자동화 실패(세션한도)</t>
        </is>
      </c>
      <c r="H986" s="17" t="inlineStr">
        <is>
          <t>N</t>
        </is>
      </c>
      <c r="I986" s="17" t="inlineStr">
        <is>
          <t>언론·지자체 발표</t>
        </is>
      </c>
      <c r="J986" s="17" t="inlineStr">
        <is>
          <t>언론·지자체 발표에서 확인</t>
        </is>
      </c>
      <c r="K986" s="17" t="inlineStr">
        <is>
          <t>낮음</t>
        </is>
      </c>
      <c r="L986" s="17" t="inlineStr"/>
    </row>
    <row r="987">
      <c r="A987" s="17" t="inlineStr">
        <is>
          <t>C157</t>
        </is>
      </c>
      <c r="B987" s="17" t="inlineStr"/>
      <c r="C987" s="17" t="inlineStr">
        <is>
          <t>신원산업(주)</t>
        </is>
      </c>
      <c r="D987" s="17" t="inlineStr"/>
      <c r="E987" s="17" t="inlineStr">
        <is>
          <t>대표전화</t>
        </is>
      </c>
      <c r="F987" s="17" t="inlineStr">
        <is>
          <t>미확인</t>
        </is>
      </c>
      <c r="G987" s="17" t="inlineStr">
        <is>
          <t>제조소상세 미매칭</t>
        </is>
      </c>
      <c r="H987" s="17" t="inlineStr">
        <is>
          <t>Y</t>
        </is>
      </c>
      <c r="I987" s="17" t="inlineStr">
        <is>
          <t>회사 홈페이지</t>
        </is>
      </c>
      <c r="J987" s="17" t="inlineStr">
        <is>
          <t>홈페이지에서 대표번호 확인</t>
        </is>
      </c>
      <c r="K987" s="17" t="inlineStr">
        <is>
          <t>낮음</t>
        </is>
      </c>
      <c r="L987" s="17" t="inlineStr"/>
    </row>
    <row r="988">
      <c r="A988" s="17" t="inlineStr">
        <is>
          <t>C158</t>
        </is>
      </c>
      <c r="B988" s="17" t="inlineStr"/>
      <c r="C988" s="17" t="inlineStr">
        <is>
          <t>(주)한국비엔씨</t>
        </is>
      </c>
      <c r="D988" s="17" t="inlineStr"/>
      <c r="E988" s="17" t="inlineStr">
        <is>
          <t>최근매출(억원)</t>
        </is>
      </c>
      <c r="F988" s="17" t="inlineStr">
        <is>
          <t>미확인</t>
        </is>
      </c>
      <c r="G988" s="17" t="inlineStr">
        <is>
          <t>웹조사 자동화 실패(세션한도)</t>
        </is>
      </c>
      <c r="H988" s="17" t="inlineStr">
        <is>
          <t>N</t>
        </is>
      </c>
      <c r="I988" s="17" t="inlineStr">
        <is>
          <t>DART 사업보고서</t>
        </is>
      </c>
      <c r="J988" s="17" t="inlineStr">
        <is>
          <t>DART 사업보고서에서 확인</t>
        </is>
      </c>
      <c r="K988" s="17" t="inlineStr">
        <is>
          <t>낮음</t>
        </is>
      </c>
      <c r="L988" s="17" t="inlineStr"/>
    </row>
    <row r="989">
      <c r="A989" s="17" t="inlineStr">
        <is>
          <t>C158</t>
        </is>
      </c>
      <c r="B989" s="17" t="inlineStr"/>
      <c r="C989" s="17" t="inlineStr">
        <is>
          <t>(주)한국비엔씨</t>
        </is>
      </c>
      <c r="D989" s="17" t="inlineStr"/>
      <c r="E989" s="17" t="inlineStr">
        <is>
          <t>종업원수</t>
        </is>
      </c>
      <c r="F989" s="17" t="inlineStr">
        <is>
          <t>미확인</t>
        </is>
      </c>
      <c r="G989" s="17" t="inlineStr">
        <is>
          <t>웹조사 자동화 실패(세션한도)</t>
        </is>
      </c>
      <c r="H989" s="17" t="inlineStr">
        <is>
          <t>N</t>
        </is>
      </c>
      <c r="I989" s="17" t="inlineStr">
        <is>
          <t>DART/채용</t>
        </is>
      </c>
      <c r="J989" s="17" t="inlineStr">
        <is>
          <t>DART/채용에서 확인</t>
        </is>
      </c>
      <c r="K989" s="17" t="inlineStr">
        <is>
          <t>낮음</t>
        </is>
      </c>
      <c r="L989" s="17" t="inlineStr"/>
    </row>
    <row r="990">
      <c r="A990" s="17" t="inlineStr">
        <is>
          <t>C158</t>
        </is>
      </c>
      <c r="B990" s="17" t="inlineStr"/>
      <c r="C990" s="17" t="inlineStr">
        <is>
          <t>(주)한국비엔씨</t>
        </is>
      </c>
      <c r="D990" s="17" t="inlineStr"/>
      <c r="E990" s="17" t="inlineStr">
        <is>
          <t>수출여부</t>
        </is>
      </c>
      <c r="F990" s="17" t="inlineStr">
        <is>
          <t>미확인</t>
        </is>
      </c>
      <c r="G990" s="17" t="inlineStr">
        <is>
          <t>웹조사 자동화 실패(세션한도)</t>
        </is>
      </c>
      <c r="H990" s="17" t="inlineStr">
        <is>
          <t>N</t>
        </is>
      </c>
      <c r="I990" s="17" t="inlineStr">
        <is>
          <t>회사 공시·홈페이지</t>
        </is>
      </c>
      <c r="J990" s="17" t="inlineStr">
        <is>
          <t>회사 공시·홈페이지에서 확인</t>
        </is>
      </c>
      <c r="K990" s="17" t="inlineStr">
        <is>
          <t>낮음</t>
        </is>
      </c>
      <c r="L990" s="17" t="inlineStr"/>
    </row>
    <row r="991">
      <c r="A991" s="17" t="inlineStr">
        <is>
          <t>C158</t>
        </is>
      </c>
      <c r="B991" s="17" t="inlineStr"/>
      <c r="C991" s="17" t="inlineStr">
        <is>
          <t>(주)한국비엔씨</t>
        </is>
      </c>
      <c r="D991" s="17" t="inlineStr"/>
      <c r="E991" s="17" t="inlineStr">
        <is>
          <t>FDA·EMA 실사</t>
        </is>
      </c>
      <c r="F991" s="17" t="inlineStr">
        <is>
          <t>미확인</t>
        </is>
      </c>
      <c r="G991" s="17" t="inlineStr">
        <is>
          <t>웹조사 자동화 실패(세션한도)</t>
        </is>
      </c>
      <c r="H991" s="17" t="inlineStr">
        <is>
          <t>N</t>
        </is>
      </c>
      <c r="I991" s="17" t="inlineStr">
        <is>
          <t>FDA Inspection DB</t>
        </is>
      </c>
      <c r="J991" s="17" t="inlineStr">
        <is>
          <t>FDA Inspection DB에서 확인</t>
        </is>
      </c>
      <c r="K991" s="17" t="inlineStr">
        <is>
          <t>낮음</t>
        </is>
      </c>
      <c r="L991" s="17" t="inlineStr"/>
    </row>
    <row r="992">
      <c r="A992" s="17" t="inlineStr">
        <is>
          <t>C158</t>
        </is>
      </c>
      <c r="B992" s="17" t="inlineStr"/>
      <c r="C992" s="17" t="inlineStr">
        <is>
          <t>(주)한국비엔씨</t>
        </is>
      </c>
      <c r="D992" s="17" t="inlineStr"/>
      <c r="E992" s="17" t="inlineStr">
        <is>
          <t>CMO·CDMO</t>
        </is>
      </c>
      <c r="F992" s="17" t="inlineStr">
        <is>
          <t>미확인</t>
        </is>
      </c>
      <c r="G992" s="17" t="inlineStr">
        <is>
          <t>웹조사 자동화 실패(세션한도)</t>
        </is>
      </c>
      <c r="H992" s="17" t="inlineStr">
        <is>
          <t>N</t>
        </is>
      </c>
      <c r="I992" s="17" t="inlineStr">
        <is>
          <t>회사 홈페이지</t>
        </is>
      </c>
      <c r="J992" s="17" t="inlineStr">
        <is>
          <t>회사 홈페이지에서 확인</t>
        </is>
      </c>
      <c r="K992" s="17" t="inlineStr">
        <is>
          <t>낮음</t>
        </is>
      </c>
      <c r="L992" s="17" t="inlineStr"/>
    </row>
    <row r="993">
      <c r="A993" s="17" t="inlineStr">
        <is>
          <t>C158</t>
        </is>
      </c>
      <c r="B993" s="17" t="inlineStr"/>
      <c r="C993" s="17" t="inlineStr">
        <is>
          <t>(주)한국비엔씨</t>
        </is>
      </c>
      <c r="D993" s="17" t="inlineStr"/>
      <c r="E993" s="17" t="inlineStr">
        <is>
          <t>신공장·증설</t>
        </is>
      </c>
      <c r="F993" s="17" t="inlineStr">
        <is>
          <t>미확인</t>
        </is>
      </c>
      <c r="G993" s="17" t="inlineStr">
        <is>
          <t>웹조사 자동화 실패(세션한도)</t>
        </is>
      </c>
      <c r="H993" s="17" t="inlineStr">
        <is>
          <t>N</t>
        </is>
      </c>
      <c r="I993" s="17" t="inlineStr">
        <is>
          <t>언론·지자체 발표</t>
        </is>
      </c>
      <c r="J993" s="17" t="inlineStr">
        <is>
          <t>언론·지자체 발표에서 확인</t>
        </is>
      </c>
      <c r="K993" s="17" t="inlineStr">
        <is>
          <t>낮음</t>
        </is>
      </c>
      <c r="L993" s="17" t="inlineStr"/>
    </row>
    <row r="994">
      <c r="A994" s="17" t="inlineStr">
        <is>
          <t>C159</t>
        </is>
      </c>
      <c r="B994" s="17" t="inlineStr"/>
      <c r="C994" s="17" t="inlineStr">
        <is>
          <t>(주)삼흥에너지</t>
        </is>
      </c>
      <c r="D994" s="17" t="inlineStr"/>
      <c r="E994" s="17" t="inlineStr">
        <is>
          <t>최근매출(억원)</t>
        </is>
      </c>
      <c r="F994" s="17" t="inlineStr">
        <is>
          <t>미확인</t>
        </is>
      </c>
      <c r="G994" s="17" t="inlineStr">
        <is>
          <t>웹조사 자동화 실패(세션한도)</t>
        </is>
      </c>
      <c r="H994" s="17" t="inlineStr">
        <is>
          <t>N</t>
        </is>
      </c>
      <c r="I994" s="17" t="inlineStr">
        <is>
          <t>DART 사업보고서</t>
        </is>
      </c>
      <c r="J994" s="17" t="inlineStr">
        <is>
          <t>DART 사업보고서에서 확인</t>
        </is>
      </c>
      <c r="K994" s="17" t="inlineStr">
        <is>
          <t>낮음</t>
        </is>
      </c>
      <c r="L994" s="17" t="inlineStr"/>
    </row>
    <row r="995">
      <c r="A995" s="17" t="inlineStr">
        <is>
          <t>C159</t>
        </is>
      </c>
      <c r="B995" s="17" t="inlineStr"/>
      <c r="C995" s="17" t="inlineStr">
        <is>
          <t>(주)삼흥에너지</t>
        </is>
      </c>
      <c r="D995" s="17" t="inlineStr"/>
      <c r="E995" s="17" t="inlineStr">
        <is>
          <t>종업원수</t>
        </is>
      </c>
      <c r="F995" s="17" t="inlineStr">
        <is>
          <t>미확인</t>
        </is>
      </c>
      <c r="G995" s="17" t="inlineStr">
        <is>
          <t>웹조사 자동화 실패(세션한도)</t>
        </is>
      </c>
      <c r="H995" s="17" t="inlineStr">
        <is>
          <t>N</t>
        </is>
      </c>
      <c r="I995" s="17" t="inlineStr">
        <is>
          <t>DART/채용</t>
        </is>
      </c>
      <c r="J995" s="17" t="inlineStr">
        <is>
          <t>DART/채용에서 확인</t>
        </is>
      </c>
      <c r="K995" s="17" t="inlineStr">
        <is>
          <t>낮음</t>
        </is>
      </c>
      <c r="L995" s="17" t="inlineStr"/>
    </row>
    <row r="996">
      <c r="A996" s="17" t="inlineStr">
        <is>
          <t>C159</t>
        </is>
      </c>
      <c r="B996" s="17" t="inlineStr"/>
      <c r="C996" s="17" t="inlineStr">
        <is>
          <t>(주)삼흥에너지</t>
        </is>
      </c>
      <c r="D996" s="17" t="inlineStr"/>
      <c r="E996" s="17" t="inlineStr">
        <is>
          <t>수출여부</t>
        </is>
      </c>
      <c r="F996" s="17" t="inlineStr">
        <is>
          <t>미확인</t>
        </is>
      </c>
      <c r="G996" s="17" t="inlineStr">
        <is>
          <t>웹조사 자동화 실패(세션한도)</t>
        </is>
      </c>
      <c r="H996" s="17" t="inlineStr">
        <is>
          <t>N</t>
        </is>
      </c>
      <c r="I996" s="17" t="inlineStr">
        <is>
          <t>회사 공시·홈페이지</t>
        </is>
      </c>
      <c r="J996" s="17" t="inlineStr">
        <is>
          <t>회사 공시·홈페이지에서 확인</t>
        </is>
      </c>
      <c r="K996" s="17" t="inlineStr">
        <is>
          <t>낮음</t>
        </is>
      </c>
      <c r="L996" s="17" t="inlineStr"/>
    </row>
    <row r="997">
      <c r="A997" s="17" t="inlineStr">
        <is>
          <t>C159</t>
        </is>
      </c>
      <c r="B997" s="17" t="inlineStr"/>
      <c r="C997" s="17" t="inlineStr">
        <is>
          <t>(주)삼흥에너지</t>
        </is>
      </c>
      <c r="D997" s="17" t="inlineStr"/>
      <c r="E997" s="17" t="inlineStr">
        <is>
          <t>FDA·EMA 실사</t>
        </is>
      </c>
      <c r="F997" s="17" t="inlineStr">
        <is>
          <t>미확인</t>
        </is>
      </c>
      <c r="G997" s="17" t="inlineStr">
        <is>
          <t>웹조사 자동화 실패(세션한도)</t>
        </is>
      </c>
      <c r="H997" s="17" t="inlineStr">
        <is>
          <t>N</t>
        </is>
      </c>
      <c r="I997" s="17" t="inlineStr">
        <is>
          <t>FDA Inspection DB</t>
        </is>
      </c>
      <c r="J997" s="17" t="inlineStr">
        <is>
          <t>FDA Inspection DB에서 확인</t>
        </is>
      </c>
      <c r="K997" s="17" t="inlineStr">
        <is>
          <t>낮음</t>
        </is>
      </c>
      <c r="L997" s="17" t="inlineStr"/>
    </row>
    <row r="998">
      <c r="A998" s="17" t="inlineStr">
        <is>
          <t>C159</t>
        </is>
      </c>
      <c r="B998" s="17" t="inlineStr"/>
      <c r="C998" s="17" t="inlineStr">
        <is>
          <t>(주)삼흥에너지</t>
        </is>
      </c>
      <c r="D998" s="17" t="inlineStr"/>
      <c r="E998" s="17" t="inlineStr">
        <is>
          <t>CMO·CDMO</t>
        </is>
      </c>
      <c r="F998" s="17" t="inlineStr">
        <is>
          <t>미확인</t>
        </is>
      </c>
      <c r="G998" s="17" t="inlineStr">
        <is>
          <t>웹조사 자동화 실패(세션한도)</t>
        </is>
      </c>
      <c r="H998" s="17" t="inlineStr">
        <is>
          <t>N</t>
        </is>
      </c>
      <c r="I998" s="17" t="inlineStr">
        <is>
          <t>회사 홈페이지</t>
        </is>
      </c>
      <c r="J998" s="17" t="inlineStr">
        <is>
          <t>회사 홈페이지에서 확인</t>
        </is>
      </c>
      <c r="K998" s="17" t="inlineStr">
        <is>
          <t>낮음</t>
        </is>
      </c>
      <c r="L998" s="17" t="inlineStr"/>
    </row>
    <row r="999">
      <c r="A999" s="17" t="inlineStr">
        <is>
          <t>C159</t>
        </is>
      </c>
      <c r="B999" s="17" t="inlineStr"/>
      <c r="C999" s="17" t="inlineStr">
        <is>
          <t>(주)삼흥에너지</t>
        </is>
      </c>
      <c r="D999" s="17" t="inlineStr"/>
      <c r="E999" s="17" t="inlineStr">
        <is>
          <t>신공장·증설</t>
        </is>
      </c>
      <c r="F999" s="17" t="inlineStr">
        <is>
          <t>미확인</t>
        </is>
      </c>
      <c r="G999" s="17" t="inlineStr">
        <is>
          <t>웹조사 자동화 실패(세션한도)</t>
        </is>
      </c>
      <c r="H999" s="17" t="inlineStr">
        <is>
          <t>N</t>
        </is>
      </c>
      <c r="I999" s="17" t="inlineStr">
        <is>
          <t>언론·지자체 발표</t>
        </is>
      </c>
      <c r="J999" s="17" t="inlineStr">
        <is>
          <t>언론·지자체 발표에서 확인</t>
        </is>
      </c>
      <c r="K999" s="17" t="inlineStr">
        <is>
          <t>낮음</t>
        </is>
      </c>
      <c r="L999" s="17" t="inlineStr"/>
    </row>
    <row r="1000">
      <c r="A1000" s="17" t="inlineStr">
        <is>
          <t>C160</t>
        </is>
      </c>
      <c r="B1000" s="17" t="inlineStr"/>
      <c r="C1000" s="17" t="inlineStr">
        <is>
          <t>대상(주)</t>
        </is>
      </c>
      <c r="D1000" s="17" t="inlineStr"/>
      <c r="E1000" s="17" t="inlineStr">
        <is>
          <t>최근매출(억원)</t>
        </is>
      </c>
      <c r="F1000" s="17" t="inlineStr">
        <is>
          <t>미확인</t>
        </is>
      </c>
      <c r="G1000" s="17" t="inlineStr">
        <is>
          <t>웹조사 자동화 실패(세션한도)</t>
        </is>
      </c>
      <c r="H1000" s="17" t="inlineStr">
        <is>
          <t>N</t>
        </is>
      </c>
      <c r="I1000" s="17" t="inlineStr">
        <is>
          <t>DART 사업보고서</t>
        </is>
      </c>
      <c r="J1000" s="17" t="inlineStr">
        <is>
          <t>DART 사업보고서에서 확인</t>
        </is>
      </c>
      <c r="K1000" s="17" t="inlineStr">
        <is>
          <t>낮음</t>
        </is>
      </c>
      <c r="L1000" s="17" t="inlineStr"/>
    </row>
    <row r="1001">
      <c r="A1001" s="17" t="inlineStr">
        <is>
          <t>C160</t>
        </is>
      </c>
      <c r="B1001" s="17" t="inlineStr"/>
      <c r="C1001" s="17" t="inlineStr">
        <is>
          <t>대상(주)</t>
        </is>
      </c>
      <c r="D1001" s="17" t="inlineStr"/>
      <c r="E1001" s="17" t="inlineStr">
        <is>
          <t>종업원수</t>
        </is>
      </c>
      <c r="F1001" s="17" t="inlineStr">
        <is>
          <t>미확인</t>
        </is>
      </c>
      <c r="G1001" s="17" t="inlineStr">
        <is>
          <t>웹조사 자동화 실패(세션한도)</t>
        </is>
      </c>
      <c r="H1001" s="17" t="inlineStr">
        <is>
          <t>N</t>
        </is>
      </c>
      <c r="I1001" s="17" t="inlineStr">
        <is>
          <t>DART/채용</t>
        </is>
      </c>
      <c r="J1001" s="17" t="inlineStr">
        <is>
          <t>DART/채용에서 확인</t>
        </is>
      </c>
      <c r="K1001" s="17" t="inlineStr">
        <is>
          <t>낮음</t>
        </is>
      </c>
      <c r="L1001" s="17" t="inlineStr"/>
    </row>
    <row r="1002">
      <c r="A1002" s="17" t="inlineStr">
        <is>
          <t>C160</t>
        </is>
      </c>
      <c r="B1002" s="17" t="inlineStr"/>
      <c r="C1002" s="17" t="inlineStr">
        <is>
          <t>대상(주)</t>
        </is>
      </c>
      <c r="D1002" s="17" t="inlineStr"/>
      <c r="E1002" s="17" t="inlineStr">
        <is>
          <t>수출여부</t>
        </is>
      </c>
      <c r="F1002" s="17" t="inlineStr">
        <is>
          <t>미확인</t>
        </is>
      </c>
      <c r="G1002" s="17" t="inlineStr">
        <is>
          <t>웹조사 자동화 실패(세션한도)</t>
        </is>
      </c>
      <c r="H1002" s="17" t="inlineStr">
        <is>
          <t>N</t>
        </is>
      </c>
      <c r="I1002" s="17" t="inlineStr">
        <is>
          <t>회사 공시·홈페이지</t>
        </is>
      </c>
      <c r="J1002" s="17" t="inlineStr">
        <is>
          <t>회사 공시·홈페이지에서 확인</t>
        </is>
      </c>
      <c r="K1002" s="17" t="inlineStr">
        <is>
          <t>낮음</t>
        </is>
      </c>
      <c r="L1002" s="17" t="inlineStr"/>
    </row>
    <row r="1003">
      <c r="A1003" s="17" t="inlineStr">
        <is>
          <t>C160</t>
        </is>
      </c>
      <c r="B1003" s="17" t="inlineStr"/>
      <c r="C1003" s="17" t="inlineStr">
        <is>
          <t>대상(주)</t>
        </is>
      </c>
      <c r="D1003" s="17" t="inlineStr"/>
      <c r="E1003" s="17" t="inlineStr">
        <is>
          <t>FDA·EMA 실사</t>
        </is>
      </c>
      <c r="F1003" s="17" t="inlineStr">
        <is>
          <t>미확인</t>
        </is>
      </c>
      <c r="G1003" s="17" t="inlineStr">
        <is>
          <t>웹조사 자동화 실패(세션한도)</t>
        </is>
      </c>
      <c r="H1003" s="17" t="inlineStr">
        <is>
          <t>N</t>
        </is>
      </c>
      <c r="I1003" s="17" t="inlineStr">
        <is>
          <t>FDA Inspection DB</t>
        </is>
      </c>
      <c r="J1003" s="17" t="inlineStr">
        <is>
          <t>FDA Inspection DB에서 확인</t>
        </is>
      </c>
      <c r="K1003" s="17" t="inlineStr">
        <is>
          <t>낮음</t>
        </is>
      </c>
      <c r="L1003" s="17" t="inlineStr"/>
    </row>
    <row r="1004">
      <c r="A1004" s="17" t="inlineStr">
        <is>
          <t>C160</t>
        </is>
      </c>
      <c r="B1004" s="17" t="inlineStr"/>
      <c r="C1004" s="17" t="inlineStr">
        <is>
          <t>대상(주)</t>
        </is>
      </c>
      <c r="D1004" s="17" t="inlineStr"/>
      <c r="E1004" s="17" t="inlineStr">
        <is>
          <t>CMO·CDMO</t>
        </is>
      </c>
      <c r="F1004" s="17" t="inlineStr">
        <is>
          <t>미확인</t>
        </is>
      </c>
      <c r="G1004" s="17" t="inlineStr">
        <is>
          <t>웹조사 자동화 실패(세션한도)</t>
        </is>
      </c>
      <c r="H1004" s="17" t="inlineStr">
        <is>
          <t>N</t>
        </is>
      </c>
      <c r="I1004" s="17" t="inlineStr">
        <is>
          <t>회사 홈페이지</t>
        </is>
      </c>
      <c r="J1004" s="17" t="inlineStr">
        <is>
          <t>회사 홈페이지에서 확인</t>
        </is>
      </c>
      <c r="K1004" s="17" t="inlineStr">
        <is>
          <t>낮음</t>
        </is>
      </c>
      <c r="L1004" s="17" t="inlineStr"/>
    </row>
    <row r="1005">
      <c r="A1005" s="17" t="inlineStr">
        <is>
          <t>C160</t>
        </is>
      </c>
      <c r="B1005" s="17" t="inlineStr"/>
      <c r="C1005" s="17" t="inlineStr">
        <is>
          <t>대상(주)</t>
        </is>
      </c>
      <c r="D1005" s="17" t="inlineStr"/>
      <c r="E1005" s="17" t="inlineStr">
        <is>
          <t>신공장·증설</t>
        </is>
      </c>
      <c r="F1005" s="17" t="inlineStr">
        <is>
          <t>미확인</t>
        </is>
      </c>
      <c r="G1005" s="17" t="inlineStr">
        <is>
          <t>웹조사 자동화 실패(세션한도)</t>
        </is>
      </c>
      <c r="H1005" s="17" t="inlineStr">
        <is>
          <t>N</t>
        </is>
      </c>
      <c r="I1005" s="17" t="inlineStr">
        <is>
          <t>언론·지자체 발표</t>
        </is>
      </c>
      <c r="J1005" s="17" t="inlineStr">
        <is>
          <t>언론·지자체 발표에서 확인</t>
        </is>
      </c>
      <c r="K1005" s="17" t="inlineStr">
        <is>
          <t>낮음</t>
        </is>
      </c>
      <c r="L1005" s="17" t="inlineStr"/>
    </row>
    <row r="1006">
      <c r="A1006" s="17" t="inlineStr">
        <is>
          <t>C160</t>
        </is>
      </c>
      <c r="B1006" s="17" t="inlineStr"/>
      <c r="C1006" s="17" t="inlineStr">
        <is>
          <t>대상(주)</t>
        </is>
      </c>
      <c r="D1006" s="17" t="inlineStr"/>
      <c r="E1006" s="17" t="inlineStr">
        <is>
          <t>대표전화</t>
        </is>
      </c>
      <c r="F1006" s="17" t="inlineStr">
        <is>
          <t>미확인</t>
        </is>
      </c>
      <c r="G1006" s="17" t="inlineStr">
        <is>
          <t>제조소상세 미매칭</t>
        </is>
      </c>
      <c r="H1006" s="17" t="inlineStr">
        <is>
          <t>Y</t>
        </is>
      </c>
      <c r="I1006" s="17" t="inlineStr">
        <is>
          <t>회사 홈페이지</t>
        </is>
      </c>
      <c r="J1006" s="17" t="inlineStr">
        <is>
          <t>홈페이지에서 대표번호 확인</t>
        </is>
      </c>
      <c r="K1006" s="17" t="inlineStr">
        <is>
          <t>낮음</t>
        </is>
      </c>
      <c r="L1006" s="17" t="inlineStr"/>
    </row>
    <row r="1007">
      <c r="A1007" s="17" t="inlineStr">
        <is>
          <t>C161</t>
        </is>
      </c>
      <c r="B1007" s="17" t="inlineStr"/>
      <c r="C1007" s="17" t="inlineStr">
        <is>
          <t>한미약품(주)</t>
        </is>
      </c>
      <c r="D1007" s="17" t="inlineStr"/>
      <c r="E1007" s="17" t="inlineStr">
        <is>
          <t>최근매출(억원)</t>
        </is>
      </c>
      <c r="F1007" s="17" t="inlineStr">
        <is>
          <t>미확인</t>
        </is>
      </c>
      <c r="G1007" s="17" t="inlineStr">
        <is>
          <t>웹조사 자동화 실패(세션한도)</t>
        </is>
      </c>
      <c r="H1007" s="17" t="inlineStr">
        <is>
          <t>N</t>
        </is>
      </c>
      <c r="I1007" s="17" t="inlineStr">
        <is>
          <t>DART 사업보고서</t>
        </is>
      </c>
      <c r="J1007" s="17" t="inlineStr">
        <is>
          <t>DART 사업보고서에서 확인</t>
        </is>
      </c>
      <c r="K1007" s="17" t="inlineStr">
        <is>
          <t>낮음</t>
        </is>
      </c>
      <c r="L1007" s="17" t="inlineStr"/>
    </row>
    <row r="1008">
      <c r="A1008" s="17" t="inlineStr">
        <is>
          <t>C161</t>
        </is>
      </c>
      <c r="B1008" s="17" t="inlineStr"/>
      <c r="C1008" s="17" t="inlineStr">
        <is>
          <t>한미약품(주)</t>
        </is>
      </c>
      <c r="D1008" s="17" t="inlineStr"/>
      <c r="E1008" s="17" t="inlineStr">
        <is>
          <t>종업원수</t>
        </is>
      </c>
      <c r="F1008" s="17" t="inlineStr">
        <is>
          <t>미확인</t>
        </is>
      </c>
      <c r="G1008" s="17" t="inlineStr">
        <is>
          <t>웹조사 자동화 실패(세션한도)</t>
        </is>
      </c>
      <c r="H1008" s="17" t="inlineStr">
        <is>
          <t>N</t>
        </is>
      </c>
      <c r="I1008" s="17" t="inlineStr">
        <is>
          <t>DART/채용</t>
        </is>
      </c>
      <c r="J1008" s="17" t="inlineStr">
        <is>
          <t>DART/채용에서 확인</t>
        </is>
      </c>
      <c r="K1008" s="17" t="inlineStr">
        <is>
          <t>낮음</t>
        </is>
      </c>
      <c r="L1008" s="17" t="inlineStr"/>
    </row>
    <row r="1009">
      <c r="A1009" s="17" t="inlineStr">
        <is>
          <t>C161</t>
        </is>
      </c>
      <c r="B1009" s="17" t="inlineStr"/>
      <c r="C1009" s="17" t="inlineStr">
        <is>
          <t>한미약품(주)</t>
        </is>
      </c>
      <c r="D1009" s="17" t="inlineStr"/>
      <c r="E1009" s="17" t="inlineStr">
        <is>
          <t>수출여부</t>
        </is>
      </c>
      <c r="F1009" s="17" t="inlineStr">
        <is>
          <t>미확인</t>
        </is>
      </c>
      <c r="G1009" s="17" t="inlineStr">
        <is>
          <t>웹조사 자동화 실패(세션한도)</t>
        </is>
      </c>
      <c r="H1009" s="17" t="inlineStr">
        <is>
          <t>N</t>
        </is>
      </c>
      <c r="I1009" s="17" t="inlineStr">
        <is>
          <t>회사 공시·홈페이지</t>
        </is>
      </c>
      <c r="J1009" s="17" t="inlineStr">
        <is>
          <t>회사 공시·홈페이지에서 확인</t>
        </is>
      </c>
      <c r="K1009" s="17" t="inlineStr">
        <is>
          <t>낮음</t>
        </is>
      </c>
      <c r="L1009" s="17" t="inlineStr"/>
    </row>
    <row r="1010">
      <c r="A1010" s="17" t="inlineStr">
        <is>
          <t>C161</t>
        </is>
      </c>
      <c r="B1010" s="17" t="inlineStr"/>
      <c r="C1010" s="17" t="inlineStr">
        <is>
          <t>한미약품(주)</t>
        </is>
      </c>
      <c r="D1010" s="17" t="inlineStr"/>
      <c r="E1010" s="17" t="inlineStr">
        <is>
          <t>FDA·EMA 실사</t>
        </is>
      </c>
      <c r="F1010" s="17" t="inlineStr">
        <is>
          <t>미확인</t>
        </is>
      </c>
      <c r="G1010" s="17" t="inlineStr">
        <is>
          <t>웹조사 자동화 실패(세션한도)</t>
        </is>
      </c>
      <c r="H1010" s="17" t="inlineStr">
        <is>
          <t>N</t>
        </is>
      </c>
      <c r="I1010" s="17" t="inlineStr">
        <is>
          <t>FDA Inspection DB</t>
        </is>
      </c>
      <c r="J1010" s="17" t="inlineStr">
        <is>
          <t>FDA Inspection DB에서 확인</t>
        </is>
      </c>
      <c r="K1010" s="17" t="inlineStr">
        <is>
          <t>낮음</t>
        </is>
      </c>
      <c r="L1010" s="17" t="inlineStr"/>
    </row>
    <row r="1011">
      <c r="A1011" s="17" t="inlineStr">
        <is>
          <t>C161</t>
        </is>
      </c>
      <c r="B1011" s="17" t="inlineStr"/>
      <c r="C1011" s="17" t="inlineStr">
        <is>
          <t>한미약품(주)</t>
        </is>
      </c>
      <c r="D1011" s="17" t="inlineStr"/>
      <c r="E1011" s="17" t="inlineStr">
        <is>
          <t>CMO·CDMO</t>
        </is>
      </c>
      <c r="F1011" s="17" t="inlineStr">
        <is>
          <t>미확인</t>
        </is>
      </c>
      <c r="G1011" s="17" t="inlineStr">
        <is>
          <t>웹조사 자동화 실패(세션한도)</t>
        </is>
      </c>
      <c r="H1011" s="17" t="inlineStr">
        <is>
          <t>N</t>
        </is>
      </c>
      <c r="I1011" s="17" t="inlineStr">
        <is>
          <t>회사 홈페이지</t>
        </is>
      </c>
      <c r="J1011" s="17" t="inlineStr">
        <is>
          <t>회사 홈페이지에서 확인</t>
        </is>
      </c>
      <c r="K1011" s="17" t="inlineStr">
        <is>
          <t>낮음</t>
        </is>
      </c>
      <c r="L1011" s="17" t="inlineStr"/>
    </row>
    <row r="1012">
      <c r="A1012" s="17" t="inlineStr">
        <is>
          <t>C161</t>
        </is>
      </c>
      <c r="B1012" s="17" t="inlineStr"/>
      <c r="C1012" s="17" t="inlineStr">
        <is>
          <t>한미약품(주)</t>
        </is>
      </c>
      <c r="D1012" s="17" t="inlineStr"/>
      <c r="E1012" s="17" t="inlineStr">
        <is>
          <t>신공장·증설</t>
        </is>
      </c>
      <c r="F1012" s="17" t="inlineStr">
        <is>
          <t>미확인</t>
        </is>
      </c>
      <c r="G1012" s="17" t="inlineStr">
        <is>
          <t>웹조사 자동화 실패(세션한도)</t>
        </is>
      </c>
      <c r="H1012" s="17" t="inlineStr">
        <is>
          <t>N</t>
        </is>
      </c>
      <c r="I1012" s="17" t="inlineStr">
        <is>
          <t>언론·지자체 발표</t>
        </is>
      </c>
      <c r="J1012" s="17" t="inlineStr">
        <is>
          <t>언론·지자체 발표에서 확인</t>
        </is>
      </c>
      <c r="K1012" s="17" t="inlineStr">
        <is>
          <t>낮음</t>
        </is>
      </c>
      <c r="L1012" s="17" t="inlineStr"/>
    </row>
    <row r="1013">
      <c r="A1013" s="17" t="inlineStr">
        <is>
          <t>C162</t>
        </is>
      </c>
      <c r="B1013" s="17" t="inlineStr"/>
      <c r="C1013" s="17" t="inlineStr">
        <is>
          <t>(주)휴메딕스</t>
        </is>
      </c>
      <c r="D1013" s="17" t="inlineStr"/>
      <c r="E1013" s="17" t="inlineStr">
        <is>
          <t>최근매출(억원)</t>
        </is>
      </c>
      <c r="F1013" s="17" t="inlineStr">
        <is>
          <t>미확인</t>
        </is>
      </c>
      <c r="G1013" s="17" t="inlineStr">
        <is>
          <t>웹조사 자동화 실패(세션한도)</t>
        </is>
      </c>
      <c r="H1013" s="17" t="inlineStr">
        <is>
          <t>N</t>
        </is>
      </c>
      <c r="I1013" s="17" t="inlineStr">
        <is>
          <t>DART 사업보고서</t>
        </is>
      </c>
      <c r="J1013" s="17" t="inlineStr">
        <is>
          <t>DART 사업보고서에서 확인</t>
        </is>
      </c>
      <c r="K1013" s="17" t="inlineStr">
        <is>
          <t>낮음</t>
        </is>
      </c>
      <c r="L1013" s="17" t="inlineStr"/>
    </row>
    <row r="1014">
      <c r="A1014" s="17" t="inlineStr">
        <is>
          <t>C162</t>
        </is>
      </c>
      <c r="B1014" s="17" t="inlineStr"/>
      <c r="C1014" s="17" t="inlineStr">
        <is>
          <t>(주)휴메딕스</t>
        </is>
      </c>
      <c r="D1014" s="17" t="inlineStr"/>
      <c r="E1014" s="17" t="inlineStr">
        <is>
          <t>종업원수</t>
        </is>
      </c>
      <c r="F1014" s="17" t="inlineStr">
        <is>
          <t>미확인</t>
        </is>
      </c>
      <c r="G1014" s="17" t="inlineStr">
        <is>
          <t>웹조사 자동화 실패(세션한도)</t>
        </is>
      </c>
      <c r="H1014" s="17" t="inlineStr">
        <is>
          <t>N</t>
        </is>
      </c>
      <c r="I1014" s="17" t="inlineStr">
        <is>
          <t>DART/채용</t>
        </is>
      </c>
      <c r="J1014" s="17" t="inlineStr">
        <is>
          <t>DART/채용에서 확인</t>
        </is>
      </c>
      <c r="K1014" s="17" t="inlineStr">
        <is>
          <t>낮음</t>
        </is>
      </c>
      <c r="L1014" s="17" t="inlineStr"/>
    </row>
    <row r="1015">
      <c r="A1015" s="17" t="inlineStr">
        <is>
          <t>C162</t>
        </is>
      </c>
      <c r="B1015" s="17" t="inlineStr"/>
      <c r="C1015" s="17" t="inlineStr">
        <is>
          <t>(주)휴메딕스</t>
        </is>
      </c>
      <c r="D1015" s="17" t="inlineStr"/>
      <c r="E1015" s="17" t="inlineStr">
        <is>
          <t>수출여부</t>
        </is>
      </c>
      <c r="F1015" s="17" t="inlineStr">
        <is>
          <t>미확인</t>
        </is>
      </c>
      <c r="G1015" s="17" t="inlineStr">
        <is>
          <t>웹조사 자동화 실패(세션한도)</t>
        </is>
      </c>
      <c r="H1015" s="17" t="inlineStr">
        <is>
          <t>N</t>
        </is>
      </c>
      <c r="I1015" s="17" t="inlineStr">
        <is>
          <t>회사 공시·홈페이지</t>
        </is>
      </c>
      <c r="J1015" s="17" t="inlineStr">
        <is>
          <t>회사 공시·홈페이지에서 확인</t>
        </is>
      </c>
      <c r="K1015" s="17" t="inlineStr">
        <is>
          <t>낮음</t>
        </is>
      </c>
      <c r="L1015" s="17" t="inlineStr"/>
    </row>
    <row r="1016">
      <c r="A1016" s="17" t="inlineStr">
        <is>
          <t>C162</t>
        </is>
      </c>
      <c r="B1016" s="17" t="inlineStr"/>
      <c r="C1016" s="17" t="inlineStr">
        <is>
          <t>(주)휴메딕스</t>
        </is>
      </c>
      <c r="D1016" s="17" t="inlineStr"/>
      <c r="E1016" s="17" t="inlineStr">
        <is>
          <t>FDA·EMA 실사</t>
        </is>
      </c>
      <c r="F1016" s="17" t="inlineStr">
        <is>
          <t>미확인</t>
        </is>
      </c>
      <c r="G1016" s="17" t="inlineStr">
        <is>
          <t>웹조사 자동화 실패(세션한도)</t>
        </is>
      </c>
      <c r="H1016" s="17" t="inlineStr">
        <is>
          <t>N</t>
        </is>
      </c>
      <c r="I1016" s="17" t="inlineStr">
        <is>
          <t>FDA Inspection DB</t>
        </is>
      </c>
      <c r="J1016" s="17" t="inlineStr">
        <is>
          <t>FDA Inspection DB에서 확인</t>
        </is>
      </c>
      <c r="K1016" s="17" t="inlineStr">
        <is>
          <t>낮음</t>
        </is>
      </c>
      <c r="L1016" s="17" t="inlineStr"/>
    </row>
    <row r="1017">
      <c r="A1017" s="17" t="inlineStr">
        <is>
          <t>C162</t>
        </is>
      </c>
      <c r="B1017" s="17" t="inlineStr"/>
      <c r="C1017" s="17" t="inlineStr">
        <is>
          <t>(주)휴메딕스</t>
        </is>
      </c>
      <c r="D1017" s="17" t="inlineStr"/>
      <c r="E1017" s="17" t="inlineStr">
        <is>
          <t>CMO·CDMO</t>
        </is>
      </c>
      <c r="F1017" s="17" t="inlineStr">
        <is>
          <t>미확인</t>
        </is>
      </c>
      <c r="G1017" s="17" t="inlineStr">
        <is>
          <t>웹조사 자동화 실패(세션한도)</t>
        </is>
      </c>
      <c r="H1017" s="17" t="inlineStr">
        <is>
          <t>N</t>
        </is>
      </c>
      <c r="I1017" s="17" t="inlineStr">
        <is>
          <t>회사 홈페이지</t>
        </is>
      </c>
      <c r="J1017" s="17" t="inlineStr">
        <is>
          <t>회사 홈페이지에서 확인</t>
        </is>
      </c>
      <c r="K1017" s="17" t="inlineStr">
        <is>
          <t>낮음</t>
        </is>
      </c>
      <c r="L1017" s="17" t="inlineStr"/>
    </row>
    <row r="1018">
      <c r="A1018" s="17" t="inlineStr">
        <is>
          <t>C162</t>
        </is>
      </c>
      <c r="B1018" s="17" t="inlineStr"/>
      <c r="C1018" s="17" t="inlineStr">
        <is>
          <t>(주)휴메딕스</t>
        </is>
      </c>
      <c r="D1018" s="17" t="inlineStr"/>
      <c r="E1018" s="17" t="inlineStr">
        <is>
          <t>신공장·증설</t>
        </is>
      </c>
      <c r="F1018" s="17" t="inlineStr">
        <is>
          <t>미확인</t>
        </is>
      </c>
      <c r="G1018" s="17" t="inlineStr">
        <is>
          <t>웹조사 자동화 실패(세션한도)</t>
        </is>
      </c>
      <c r="H1018" s="17" t="inlineStr">
        <is>
          <t>N</t>
        </is>
      </c>
      <c r="I1018" s="17" t="inlineStr">
        <is>
          <t>언론·지자체 발표</t>
        </is>
      </c>
      <c r="J1018" s="17" t="inlineStr">
        <is>
          <t>언론·지자체 발표에서 확인</t>
        </is>
      </c>
      <c r="K1018" s="17" t="inlineStr">
        <is>
          <t>낮음</t>
        </is>
      </c>
      <c r="L1018" s="17" t="inlineStr"/>
    </row>
    <row r="1019">
      <c r="A1019" s="17" t="inlineStr">
        <is>
          <t>C163</t>
        </is>
      </c>
      <c r="B1019" s="17" t="inlineStr"/>
      <c r="C1019" s="17" t="inlineStr">
        <is>
          <t>경동제약(주)</t>
        </is>
      </c>
      <c r="D1019" s="17" t="inlineStr"/>
      <c r="E1019" s="17" t="inlineStr">
        <is>
          <t>최근매출(억원)</t>
        </is>
      </c>
      <c r="F1019" s="17" t="inlineStr">
        <is>
          <t>미확인</t>
        </is>
      </c>
      <c r="G1019" s="17" t="inlineStr">
        <is>
          <t>웹조사 자동화 실패(세션한도)</t>
        </is>
      </c>
      <c r="H1019" s="17" t="inlineStr">
        <is>
          <t>N</t>
        </is>
      </c>
      <c r="I1019" s="17" t="inlineStr">
        <is>
          <t>DART 사업보고서</t>
        </is>
      </c>
      <c r="J1019" s="17" t="inlineStr">
        <is>
          <t>DART 사업보고서에서 확인</t>
        </is>
      </c>
      <c r="K1019" s="17" t="inlineStr">
        <is>
          <t>낮음</t>
        </is>
      </c>
      <c r="L1019" s="17" t="inlineStr"/>
    </row>
    <row r="1020">
      <c r="A1020" s="17" t="inlineStr">
        <is>
          <t>C163</t>
        </is>
      </c>
      <c r="B1020" s="17" t="inlineStr"/>
      <c r="C1020" s="17" t="inlineStr">
        <is>
          <t>경동제약(주)</t>
        </is>
      </c>
      <c r="D1020" s="17" t="inlineStr"/>
      <c r="E1020" s="17" t="inlineStr">
        <is>
          <t>종업원수</t>
        </is>
      </c>
      <c r="F1020" s="17" t="inlineStr">
        <is>
          <t>미확인</t>
        </is>
      </c>
      <c r="G1020" s="17" t="inlineStr">
        <is>
          <t>웹조사 자동화 실패(세션한도)</t>
        </is>
      </c>
      <c r="H1020" s="17" t="inlineStr">
        <is>
          <t>N</t>
        </is>
      </c>
      <c r="I1020" s="17" t="inlineStr">
        <is>
          <t>DART/채용</t>
        </is>
      </c>
      <c r="J1020" s="17" t="inlineStr">
        <is>
          <t>DART/채용에서 확인</t>
        </is>
      </c>
      <c r="K1020" s="17" t="inlineStr">
        <is>
          <t>낮음</t>
        </is>
      </c>
      <c r="L1020" s="17" t="inlineStr"/>
    </row>
    <row r="1021">
      <c r="A1021" s="17" t="inlineStr">
        <is>
          <t>C163</t>
        </is>
      </c>
      <c r="B1021" s="17" t="inlineStr"/>
      <c r="C1021" s="17" t="inlineStr">
        <is>
          <t>경동제약(주)</t>
        </is>
      </c>
      <c r="D1021" s="17" t="inlineStr"/>
      <c r="E1021" s="17" t="inlineStr">
        <is>
          <t>수출여부</t>
        </is>
      </c>
      <c r="F1021" s="17" t="inlineStr">
        <is>
          <t>미확인</t>
        </is>
      </c>
      <c r="G1021" s="17" t="inlineStr">
        <is>
          <t>웹조사 자동화 실패(세션한도)</t>
        </is>
      </c>
      <c r="H1021" s="17" t="inlineStr">
        <is>
          <t>N</t>
        </is>
      </c>
      <c r="I1021" s="17" t="inlineStr">
        <is>
          <t>회사 공시·홈페이지</t>
        </is>
      </c>
      <c r="J1021" s="17" t="inlineStr">
        <is>
          <t>회사 공시·홈페이지에서 확인</t>
        </is>
      </c>
      <c r="K1021" s="17" t="inlineStr">
        <is>
          <t>낮음</t>
        </is>
      </c>
      <c r="L1021" s="17" t="inlineStr"/>
    </row>
    <row r="1022">
      <c r="A1022" s="17" t="inlineStr">
        <is>
          <t>C163</t>
        </is>
      </c>
      <c r="B1022" s="17" t="inlineStr"/>
      <c r="C1022" s="17" t="inlineStr">
        <is>
          <t>경동제약(주)</t>
        </is>
      </c>
      <c r="D1022" s="17" t="inlineStr"/>
      <c r="E1022" s="17" t="inlineStr">
        <is>
          <t>FDA·EMA 실사</t>
        </is>
      </c>
      <c r="F1022" s="17" t="inlineStr">
        <is>
          <t>미확인</t>
        </is>
      </c>
      <c r="G1022" s="17" t="inlineStr">
        <is>
          <t>웹조사 자동화 실패(세션한도)</t>
        </is>
      </c>
      <c r="H1022" s="17" t="inlineStr">
        <is>
          <t>N</t>
        </is>
      </c>
      <c r="I1022" s="17" t="inlineStr">
        <is>
          <t>FDA Inspection DB</t>
        </is>
      </c>
      <c r="J1022" s="17" t="inlineStr">
        <is>
          <t>FDA Inspection DB에서 확인</t>
        </is>
      </c>
      <c r="K1022" s="17" t="inlineStr">
        <is>
          <t>낮음</t>
        </is>
      </c>
      <c r="L1022" s="17" t="inlineStr"/>
    </row>
    <row r="1023">
      <c r="A1023" s="17" t="inlineStr">
        <is>
          <t>C163</t>
        </is>
      </c>
      <c r="B1023" s="17" t="inlineStr"/>
      <c r="C1023" s="17" t="inlineStr">
        <is>
          <t>경동제약(주)</t>
        </is>
      </c>
      <c r="D1023" s="17" t="inlineStr"/>
      <c r="E1023" s="17" t="inlineStr">
        <is>
          <t>CMO·CDMO</t>
        </is>
      </c>
      <c r="F1023" s="17" t="inlineStr">
        <is>
          <t>미확인</t>
        </is>
      </c>
      <c r="G1023" s="17" t="inlineStr">
        <is>
          <t>웹조사 자동화 실패(세션한도)</t>
        </is>
      </c>
      <c r="H1023" s="17" t="inlineStr">
        <is>
          <t>N</t>
        </is>
      </c>
      <c r="I1023" s="17" t="inlineStr">
        <is>
          <t>회사 홈페이지</t>
        </is>
      </c>
      <c r="J1023" s="17" t="inlineStr">
        <is>
          <t>회사 홈페이지에서 확인</t>
        </is>
      </c>
      <c r="K1023" s="17" t="inlineStr">
        <is>
          <t>낮음</t>
        </is>
      </c>
      <c r="L1023" s="17" t="inlineStr"/>
    </row>
    <row r="1024">
      <c r="A1024" s="17" t="inlineStr">
        <is>
          <t>C163</t>
        </is>
      </c>
      <c r="B1024" s="17" t="inlineStr"/>
      <c r="C1024" s="17" t="inlineStr">
        <is>
          <t>경동제약(주)</t>
        </is>
      </c>
      <c r="D1024" s="17" t="inlineStr"/>
      <c r="E1024" s="17" t="inlineStr">
        <is>
          <t>신공장·증설</t>
        </is>
      </c>
      <c r="F1024" s="17" t="inlineStr">
        <is>
          <t>미확인</t>
        </is>
      </c>
      <c r="G1024" s="17" t="inlineStr">
        <is>
          <t>웹조사 자동화 실패(세션한도)</t>
        </is>
      </c>
      <c r="H1024" s="17" t="inlineStr">
        <is>
          <t>N</t>
        </is>
      </c>
      <c r="I1024" s="17" t="inlineStr">
        <is>
          <t>언론·지자체 발표</t>
        </is>
      </c>
      <c r="J1024" s="17" t="inlineStr">
        <is>
          <t>언론·지자체 발표에서 확인</t>
        </is>
      </c>
      <c r="K1024" s="17" t="inlineStr">
        <is>
          <t>낮음</t>
        </is>
      </c>
      <c r="L1024" s="17" t="inlineStr"/>
    </row>
    <row r="1025">
      <c r="A1025" s="17" t="inlineStr">
        <is>
          <t>C164</t>
        </is>
      </c>
      <c r="B1025" s="17" t="inlineStr"/>
      <c r="C1025" s="17" t="inlineStr">
        <is>
          <t>조아제약(주)</t>
        </is>
      </c>
      <c r="D1025" s="17" t="inlineStr"/>
      <c r="E1025" s="17" t="inlineStr">
        <is>
          <t>최근매출(억원)</t>
        </is>
      </c>
      <c r="F1025" s="17" t="inlineStr">
        <is>
          <t>미확인</t>
        </is>
      </c>
      <c r="G1025" s="17" t="inlineStr">
        <is>
          <t>웹조사 자동화 실패(세션한도)</t>
        </is>
      </c>
      <c r="H1025" s="17" t="inlineStr">
        <is>
          <t>N</t>
        </is>
      </c>
      <c r="I1025" s="17" t="inlineStr">
        <is>
          <t>DART 사업보고서</t>
        </is>
      </c>
      <c r="J1025" s="17" t="inlineStr">
        <is>
          <t>DART 사업보고서에서 확인</t>
        </is>
      </c>
      <c r="K1025" s="17" t="inlineStr">
        <is>
          <t>낮음</t>
        </is>
      </c>
      <c r="L1025" s="17" t="inlineStr"/>
    </row>
    <row r="1026">
      <c r="A1026" s="17" t="inlineStr">
        <is>
          <t>C164</t>
        </is>
      </c>
      <c r="B1026" s="17" t="inlineStr"/>
      <c r="C1026" s="17" t="inlineStr">
        <is>
          <t>조아제약(주)</t>
        </is>
      </c>
      <c r="D1026" s="17" t="inlineStr"/>
      <c r="E1026" s="17" t="inlineStr">
        <is>
          <t>종업원수</t>
        </is>
      </c>
      <c r="F1026" s="17" t="inlineStr">
        <is>
          <t>미확인</t>
        </is>
      </c>
      <c r="G1026" s="17" t="inlineStr">
        <is>
          <t>웹조사 자동화 실패(세션한도)</t>
        </is>
      </c>
      <c r="H1026" s="17" t="inlineStr">
        <is>
          <t>N</t>
        </is>
      </c>
      <c r="I1026" s="17" t="inlineStr">
        <is>
          <t>DART/채용</t>
        </is>
      </c>
      <c r="J1026" s="17" t="inlineStr">
        <is>
          <t>DART/채용에서 확인</t>
        </is>
      </c>
      <c r="K1026" s="17" t="inlineStr">
        <is>
          <t>낮음</t>
        </is>
      </c>
      <c r="L1026" s="17" t="inlineStr"/>
    </row>
    <row r="1027">
      <c r="A1027" s="17" t="inlineStr">
        <is>
          <t>C164</t>
        </is>
      </c>
      <c r="B1027" s="17" t="inlineStr"/>
      <c r="C1027" s="17" t="inlineStr">
        <is>
          <t>조아제약(주)</t>
        </is>
      </c>
      <c r="D1027" s="17" t="inlineStr"/>
      <c r="E1027" s="17" t="inlineStr">
        <is>
          <t>수출여부</t>
        </is>
      </c>
      <c r="F1027" s="17" t="inlineStr">
        <is>
          <t>미확인</t>
        </is>
      </c>
      <c r="G1027" s="17" t="inlineStr">
        <is>
          <t>웹조사 자동화 실패(세션한도)</t>
        </is>
      </c>
      <c r="H1027" s="17" t="inlineStr">
        <is>
          <t>N</t>
        </is>
      </c>
      <c r="I1027" s="17" t="inlineStr">
        <is>
          <t>회사 공시·홈페이지</t>
        </is>
      </c>
      <c r="J1027" s="17" t="inlineStr">
        <is>
          <t>회사 공시·홈페이지에서 확인</t>
        </is>
      </c>
      <c r="K1027" s="17" t="inlineStr">
        <is>
          <t>낮음</t>
        </is>
      </c>
      <c r="L1027" s="17" t="inlineStr"/>
    </row>
    <row r="1028">
      <c r="A1028" s="17" t="inlineStr">
        <is>
          <t>C164</t>
        </is>
      </c>
      <c r="B1028" s="17" t="inlineStr"/>
      <c r="C1028" s="17" t="inlineStr">
        <is>
          <t>조아제약(주)</t>
        </is>
      </c>
      <c r="D1028" s="17" t="inlineStr"/>
      <c r="E1028" s="17" t="inlineStr">
        <is>
          <t>FDA·EMA 실사</t>
        </is>
      </c>
      <c r="F1028" s="17" t="inlineStr">
        <is>
          <t>미확인</t>
        </is>
      </c>
      <c r="G1028" s="17" t="inlineStr">
        <is>
          <t>웹조사 자동화 실패(세션한도)</t>
        </is>
      </c>
      <c r="H1028" s="17" t="inlineStr">
        <is>
          <t>N</t>
        </is>
      </c>
      <c r="I1028" s="17" t="inlineStr">
        <is>
          <t>FDA Inspection DB</t>
        </is>
      </c>
      <c r="J1028" s="17" t="inlineStr">
        <is>
          <t>FDA Inspection DB에서 확인</t>
        </is>
      </c>
      <c r="K1028" s="17" t="inlineStr">
        <is>
          <t>낮음</t>
        </is>
      </c>
      <c r="L1028" s="17" t="inlineStr"/>
    </row>
    <row r="1029">
      <c r="A1029" s="17" t="inlineStr">
        <is>
          <t>C164</t>
        </is>
      </c>
      <c r="B1029" s="17" t="inlineStr"/>
      <c r="C1029" s="17" t="inlineStr">
        <is>
          <t>조아제약(주)</t>
        </is>
      </c>
      <c r="D1029" s="17" t="inlineStr"/>
      <c r="E1029" s="17" t="inlineStr">
        <is>
          <t>CMO·CDMO</t>
        </is>
      </c>
      <c r="F1029" s="17" t="inlineStr">
        <is>
          <t>미확인</t>
        </is>
      </c>
      <c r="G1029" s="17" t="inlineStr">
        <is>
          <t>웹조사 자동화 실패(세션한도)</t>
        </is>
      </c>
      <c r="H1029" s="17" t="inlineStr">
        <is>
          <t>N</t>
        </is>
      </c>
      <c r="I1029" s="17" t="inlineStr">
        <is>
          <t>회사 홈페이지</t>
        </is>
      </c>
      <c r="J1029" s="17" t="inlineStr">
        <is>
          <t>회사 홈페이지에서 확인</t>
        </is>
      </c>
      <c r="K1029" s="17" t="inlineStr">
        <is>
          <t>낮음</t>
        </is>
      </c>
      <c r="L1029" s="17" t="inlineStr"/>
    </row>
    <row r="1030">
      <c r="A1030" s="17" t="inlineStr">
        <is>
          <t>C164</t>
        </is>
      </c>
      <c r="B1030" s="17" t="inlineStr"/>
      <c r="C1030" s="17" t="inlineStr">
        <is>
          <t>조아제약(주)</t>
        </is>
      </c>
      <c r="D1030" s="17" t="inlineStr"/>
      <c r="E1030" s="17" t="inlineStr">
        <is>
          <t>신공장·증설</t>
        </is>
      </c>
      <c r="F1030" s="17" t="inlineStr">
        <is>
          <t>미확인</t>
        </is>
      </c>
      <c r="G1030" s="17" t="inlineStr">
        <is>
          <t>웹조사 자동화 실패(세션한도)</t>
        </is>
      </c>
      <c r="H1030" s="17" t="inlineStr">
        <is>
          <t>N</t>
        </is>
      </c>
      <c r="I1030" s="17" t="inlineStr">
        <is>
          <t>언론·지자체 발표</t>
        </is>
      </c>
      <c r="J1030" s="17" t="inlineStr">
        <is>
          <t>언론·지자체 발표에서 확인</t>
        </is>
      </c>
      <c r="K1030" s="17" t="inlineStr">
        <is>
          <t>낮음</t>
        </is>
      </c>
      <c r="L1030" s="17" t="inlineStr"/>
    </row>
    <row r="1031">
      <c r="A1031" s="17" t="inlineStr">
        <is>
          <t>C165</t>
        </is>
      </c>
      <c r="B1031" s="17" t="inlineStr"/>
      <c r="C1031" s="17" t="inlineStr">
        <is>
          <t>이니스트에스티(주)</t>
        </is>
      </c>
      <c r="D1031" s="17" t="inlineStr"/>
      <c r="E1031" s="17" t="inlineStr">
        <is>
          <t>최근매출(억원)</t>
        </is>
      </c>
      <c r="F1031" s="17" t="inlineStr">
        <is>
          <t>미확인</t>
        </is>
      </c>
      <c r="G1031" s="17" t="inlineStr">
        <is>
          <t>웹조사 자동화 실패(세션한도)</t>
        </is>
      </c>
      <c r="H1031" s="17" t="inlineStr">
        <is>
          <t>N</t>
        </is>
      </c>
      <c r="I1031" s="17" t="inlineStr">
        <is>
          <t>DART 사업보고서</t>
        </is>
      </c>
      <c r="J1031" s="17" t="inlineStr">
        <is>
          <t>DART 사업보고서에서 확인</t>
        </is>
      </c>
      <c r="K1031" s="17" t="inlineStr">
        <is>
          <t>낮음</t>
        </is>
      </c>
      <c r="L1031" s="17" t="inlineStr"/>
    </row>
    <row r="1032">
      <c r="A1032" s="17" t="inlineStr">
        <is>
          <t>C165</t>
        </is>
      </c>
      <c r="B1032" s="17" t="inlineStr"/>
      <c r="C1032" s="17" t="inlineStr">
        <is>
          <t>이니스트에스티(주)</t>
        </is>
      </c>
      <c r="D1032" s="17" t="inlineStr"/>
      <c r="E1032" s="17" t="inlineStr">
        <is>
          <t>종업원수</t>
        </is>
      </c>
      <c r="F1032" s="17" t="inlineStr">
        <is>
          <t>미확인</t>
        </is>
      </c>
      <c r="G1032" s="17" t="inlineStr">
        <is>
          <t>웹조사 자동화 실패(세션한도)</t>
        </is>
      </c>
      <c r="H1032" s="17" t="inlineStr">
        <is>
          <t>N</t>
        </is>
      </c>
      <c r="I1032" s="17" t="inlineStr">
        <is>
          <t>DART/채용</t>
        </is>
      </c>
      <c r="J1032" s="17" t="inlineStr">
        <is>
          <t>DART/채용에서 확인</t>
        </is>
      </c>
      <c r="K1032" s="17" t="inlineStr">
        <is>
          <t>낮음</t>
        </is>
      </c>
      <c r="L1032" s="17" t="inlineStr"/>
    </row>
    <row r="1033">
      <c r="A1033" s="17" t="inlineStr">
        <is>
          <t>C165</t>
        </is>
      </c>
      <c r="B1033" s="17" t="inlineStr"/>
      <c r="C1033" s="17" t="inlineStr">
        <is>
          <t>이니스트에스티(주)</t>
        </is>
      </c>
      <c r="D1033" s="17" t="inlineStr"/>
      <c r="E1033" s="17" t="inlineStr">
        <is>
          <t>수출여부</t>
        </is>
      </c>
      <c r="F1033" s="17" t="inlineStr">
        <is>
          <t>미확인</t>
        </is>
      </c>
      <c r="G1033" s="17" t="inlineStr">
        <is>
          <t>웹조사 자동화 실패(세션한도)</t>
        </is>
      </c>
      <c r="H1033" s="17" t="inlineStr">
        <is>
          <t>N</t>
        </is>
      </c>
      <c r="I1033" s="17" t="inlineStr">
        <is>
          <t>회사 공시·홈페이지</t>
        </is>
      </c>
      <c r="J1033" s="17" t="inlineStr">
        <is>
          <t>회사 공시·홈페이지에서 확인</t>
        </is>
      </c>
      <c r="K1033" s="17" t="inlineStr">
        <is>
          <t>낮음</t>
        </is>
      </c>
      <c r="L1033" s="17" t="inlineStr"/>
    </row>
    <row r="1034">
      <c r="A1034" s="17" t="inlineStr">
        <is>
          <t>C165</t>
        </is>
      </c>
      <c r="B1034" s="17" t="inlineStr"/>
      <c r="C1034" s="17" t="inlineStr">
        <is>
          <t>이니스트에스티(주)</t>
        </is>
      </c>
      <c r="D1034" s="17" t="inlineStr"/>
      <c r="E1034" s="17" t="inlineStr">
        <is>
          <t>FDA·EMA 실사</t>
        </is>
      </c>
      <c r="F1034" s="17" t="inlineStr">
        <is>
          <t>미확인</t>
        </is>
      </c>
      <c r="G1034" s="17" t="inlineStr">
        <is>
          <t>웹조사 자동화 실패(세션한도)</t>
        </is>
      </c>
      <c r="H1034" s="17" t="inlineStr">
        <is>
          <t>N</t>
        </is>
      </c>
      <c r="I1034" s="17" t="inlineStr">
        <is>
          <t>FDA Inspection DB</t>
        </is>
      </c>
      <c r="J1034" s="17" t="inlineStr">
        <is>
          <t>FDA Inspection DB에서 확인</t>
        </is>
      </c>
      <c r="K1034" s="17" t="inlineStr">
        <is>
          <t>낮음</t>
        </is>
      </c>
      <c r="L1034" s="17" t="inlineStr"/>
    </row>
    <row r="1035">
      <c r="A1035" s="17" t="inlineStr">
        <is>
          <t>C165</t>
        </is>
      </c>
      <c r="B1035" s="17" t="inlineStr"/>
      <c r="C1035" s="17" t="inlineStr">
        <is>
          <t>이니스트에스티(주)</t>
        </is>
      </c>
      <c r="D1035" s="17" t="inlineStr"/>
      <c r="E1035" s="17" t="inlineStr">
        <is>
          <t>CMO·CDMO</t>
        </is>
      </c>
      <c r="F1035" s="17" t="inlineStr">
        <is>
          <t>미확인</t>
        </is>
      </c>
      <c r="G1035" s="17" t="inlineStr">
        <is>
          <t>웹조사 자동화 실패(세션한도)</t>
        </is>
      </c>
      <c r="H1035" s="17" t="inlineStr">
        <is>
          <t>N</t>
        </is>
      </c>
      <c r="I1035" s="17" t="inlineStr">
        <is>
          <t>회사 홈페이지</t>
        </is>
      </c>
      <c r="J1035" s="17" t="inlineStr">
        <is>
          <t>회사 홈페이지에서 확인</t>
        </is>
      </c>
      <c r="K1035" s="17" t="inlineStr">
        <is>
          <t>낮음</t>
        </is>
      </c>
      <c r="L1035" s="17" t="inlineStr"/>
    </row>
    <row r="1036">
      <c r="A1036" s="17" t="inlineStr">
        <is>
          <t>C165</t>
        </is>
      </c>
      <c r="B1036" s="17" t="inlineStr"/>
      <c r="C1036" s="17" t="inlineStr">
        <is>
          <t>이니스트에스티(주)</t>
        </is>
      </c>
      <c r="D1036" s="17" t="inlineStr"/>
      <c r="E1036" s="17" t="inlineStr">
        <is>
          <t>신공장·증설</t>
        </is>
      </c>
      <c r="F1036" s="17" t="inlineStr">
        <is>
          <t>미확인</t>
        </is>
      </c>
      <c r="G1036" s="17" t="inlineStr">
        <is>
          <t>웹조사 자동화 실패(세션한도)</t>
        </is>
      </c>
      <c r="H1036" s="17" t="inlineStr">
        <is>
          <t>N</t>
        </is>
      </c>
      <c r="I1036" s="17" t="inlineStr">
        <is>
          <t>언론·지자체 발표</t>
        </is>
      </c>
      <c r="J1036" s="17" t="inlineStr">
        <is>
          <t>언론·지자체 발표에서 확인</t>
        </is>
      </c>
      <c r="K1036" s="17" t="inlineStr">
        <is>
          <t>낮음</t>
        </is>
      </c>
      <c r="L1036" s="17" t="inlineStr"/>
    </row>
    <row r="1037">
      <c r="A1037" s="17" t="inlineStr">
        <is>
          <t>C166</t>
        </is>
      </c>
      <c r="B1037" s="17" t="inlineStr"/>
      <c r="C1037" s="17" t="inlineStr">
        <is>
          <t>태을산업가스(주)</t>
        </is>
      </c>
      <c r="D1037" s="17" t="inlineStr"/>
      <c r="E1037" s="17" t="inlineStr">
        <is>
          <t>최근매출(억원)</t>
        </is>
      </c>
      <c r="F1037" s="17" t="inlineStr">
        <is>
          <t>미확인</t>
        </is>
      </c>
      <c r="G1037" s="17" t="inlineStr">
        <is>
          <t>웹조사 자동화 실패(세션한도)</t>
        </is>
      </c>
      <c r="H1037" s="17" t="inlineStr">
        <is>
          <t>N</t>
        </is>
      </c>
      <c r="I1037" s="17" t="inlineStr">
        <is>
          <t>DART 사업보고서</t>
        </is>
      </c>
      <c r="J1037" s="17" t="inlineStr">
        <is>
          <t>DART 사업보고서에서 확인</t>
        </is>
      </c>
      <c r="K1037" s="17" t="inlineStr">
        <is>
          <t>낮음</t>
        </is>
      </c>
      <c r="L1037" s="17" t="inlineStr"/>
    </row>
    <row r="1038">
      <c r="A1038" s="17" t="inlineStr">
        <is>
          <t>C166</t>
        </is>
      </c>
      <c r="B1038" s="17" t="inlineStr"/>
      <c r="C1038" s="17" t="inlineStr">
        <is>
          <t>태을산업가스(주)</t>
        </is>
      </c>
      <c r="D1038" s="17" t="inlineStr"/>
      <c r="E1038" s="17" t="inlineStr">
        <is>
          <t>종업원수</t>
        </is>
      </c>
      <c r="F1038" s="17" t="inlineStr">
        <is>
          <t>미확인</t>
        </is>
      </c>
      <c r="G1038" s="17" t="inlineStr">
        <is>
          <t>웹조사 자동화 실패(세션한도)</t>
        </is>
      </c>
      <c r="H1038" s="17" t="inlineStr">
        <is>
          <t>N</t>
        </is>
      </c>
      <c r="I1038" s="17" t="inlineStr">
        <is>
          <t>DART/채용</t>
        </is>
      </c>
      <c r="J1038" s="17" t="inlineStr">
        <is>
          <t>DART/채용에서 확인</t>
        </is>
      </c>
      <c r="K1038" s="17" t="inlineStr">
        <is>
          <t>낮음</t>
        </is>
      </c>
      <c r="L1038" s="17" t="inlineStr"/>
    </row>
    <row r="1039">
      <c r="A1039" s="17" t="inlineStr">
        <is>
          <t>C166</t>
        </is>
      </c>
      <c r="B1039" s="17" t="inlineStr"/>
      <c r="C1039" s="17" t="inlineStr">
        <is>
          <t>태을산업가스(주)</t>
        </is>
      </c>
      <c r="D1039" s="17" t="inlineStr"/>
      <c r="E1039" s="17" t="inlineStr">
        <is>
          <t>수출여부</t>
        </is>
      </c>
      <c r="F1039" s="17" t="inlineStr">
        <is>
          <t>미확인</t>
        </is>
      </c>
      <c r="G1039" s="17" t="inlineStr">
        <is>
          <t>웹조사 자동화 실패(세션한도)</t>
        </is>
      </c>
      <c r="H1039" s="17" t="inlineStr">
        <is>
          <t>N</t>
        </is>
      </c>
      <c r="I1039" s="17" t="inlineStr">
        <is>
          <t>회사 공시·홈페이지</t>
        </is>
      </c>
      <c r="J1039" s="17" t="inlineStr">
        <is>
          <t>회사 공시·홈페이지에서 확인</t>
        </is>
      </c>
      <c r="K1039" s="17" t="inlineStr">
        <is>
          <t>낮음</t>
        </is>
      </c>
      <c r="L1039" s="17" t="inlineStr"/>
    </row>
    <row r="1040">
      <c r="A1040" s="17" t="inlineStr">
        <is>
          <t>C166</t>
        </is>
      </c>
      <c r="B1040" s="17" t="inlineStr"/>
      <c r="C1040" s="17" t="inlineStr">
        <is>
          <t>태을산업가스(주)</t>
        </is>
      </c>
      <c r="D1040" s="17" t="inlineStr"/>
      <c r="E1040" s="17" t="inlineStr">
        <is>
          <t>FDA·EMA 실사</t>
        </is>
      </c>
      <c r="F1040" s="17" t="inlineStr">
        <is>
          <t>미확인</t>
        </is>
      </c>
      <c r="G1040" s="17" t="inlineStr">
        <is>
          <t>웹조사 자동화 실패(세션한도)</t>
        </is>
      </c>
      <c r="H1040" s="17" t="inlineStr">
        <is>
          <t>N</t>
        </is>
      </c>
      <c r="I1040" s="17" t="inlineStr">
        <is>
          <t>FDA Inspection DB</t>
        </is>
      </c>
      <c r="J1040" s="17" t="inlineStr">
        <is>
          <t>FDA Inspection DB에서 확인</t>
        </is>
      </c>
      <c r="K1040" s="17" t="inlineStr">
        <is>
          <t>낮음</t>
        </is>
      </c>
      <c r="L1040" s="17" t="inlineStr"/>
    </row>
    <row r="1041">
      <c r="A1041" s="17" t="inlineStr">
        <is>
          <t>C166</t>
        </is>
      </c>
      <c r="B1041" s="17" t="inlineStr"/>
      <c r="C1041" s="17" t="inlineStr">
        <is>
          <t>태을산업가스(주)</t>
        </is>
      </c>
      <c r="D1041" s="17" t="inlineStr"/>
      <c r="E1041" s="17" t="inlineStr">
        <is>
          <t>CMO·CDMO</t>
        </is>
      </c>
      <c r="F1041" s="17" t="inlineStr">
        <is>
          <t>미확인</t>
        </is>
      </c>
      <c r="G1041" s="17" t="inlineStr">
        <is>
          <t>웹조사 자동화 실패(세션한도)</t>
        </is>
      </c>
      <c r="H1041" s="17" t="inlineStr">
        <is>
          <t>N</t>
        </is>
      </c>
      <c r="I1041" s="17" t="inlineStr">
        <is>
          <t>회사 홈페이지</t>
        </is>
      </c>
      <c r="J1041" s="17" t="inlineStr">
        <is>
          <t>회사 홈페이지에서 확인</t>
        </is>
      </c>
      <c r="K1041" s="17" t="inlineStr">
        <is>
          <t>낮음</t>
        </is>
      </c>
      <c r="L1041" s="17" t="inlineStr"/>
    </row>
    <row r="1042">
      <c r="A1042" s="17" t="inlineStr">
        <is>
          <t>C166</t>
        </is>
      </c>
      <c r="B1042" s="17" t="inlineStr"/>
      <c r="C1042" s="17" t="inlineStr">
        <is>
          <t>태을산업가스(주)</t>
        </is>
      </c>
      <c r="D1042" s="17" t="inlineStr"/>
      <c r="E1042" s="17" t="inlineStr">
        <is>
          <t>신공장·증설</t>
        </is>
      </c>
      <c r="F1042" s="17" t="inlineStr">
        <is>
          <t>미확인</t>
        </is>
      </c>
      <c r="G1042" s="17" t="inlineStr">
        <is>
          <t>웹조사 자동화 실패(세션한도)</t>
        </is>
      </c>
      <c r="H1042" s="17" t="inlineStr">
        <is>
          <t>N</t>
        </is>
      </c>
      <c r="I1042" s="17" t="inlineStr">
        <is>
          <t>언론·지자체 발표</t>
        </is>
      </c>
      <c r="J1042" s="17" t="inlineStr">
        <is>
          <t>언론·지자체 발표에서 확인</t>
        </is>
      </c>
      <c r="K1042" s="17" t="inlineStr">
        <is>
          <t>낮음</t>
        </is>
      </c>
      <c r="L1042" s="17" t="inlineStr"/>
    </row>
    <row r="1043">
      <c r="A1043" s="17" t="inlineStr">
        <is>
          <t>C166</t>
        </is>
      </c>
      <c r="B1043" s="17" t="inlineStr"/>
      <c r="C1043" s="17" t="inlineStr">
        <is>
          <t>태을산업가스(주)</t>
        </is>
      </c>
      <c r="D1043" s="17" t="inlineStr"/>
      <c r="E1043" s="17" t="inlineStr">
        <is>
          <t>대표전화</t>
        </is>
      </c>
      <c r="F1043" s="17" t="inlineStr">
        <is>
          <t>미확인</t>
        </is>
      </c>
      <c r="G1043" s="17" t="inlineStr">
        <is>
          <t>제조소상세 미매칭</t>
        </is>
      </c>
      <c r="H1043" s="17" t="inlineStr">
        <is>
          <t>Y</t>
        </is>
      </c>
      <c r="I1043" s="17" t="inlineStr">
        <is>
          <t>회사 홈페이지</t>
        </is>
      </c>
      <c r="J1043" s="17" t="inlineStr">
        <is>
          <t>홈페이지에서 대표번호 확인</t>
        </is>
      </c>
      <c r="K1043" s="17" t="inlineStr">
        <is>
          <t>낮음</t>
        </is>
      </c>
      <c r="L1043" s="17" t="inlineStr"/>
    </row>
    <row r="1044">
      <c r="A1044" s="17" t="inlineStr">
        <is>
          <t>C167</t>
        </is>
      </c>
      <c r="B1044" s="17" t="inlineStr"/>
      <c r="C1044" s="17" t="inlineStr">
        <is>
          <t>(주)대창가스</t>
        </is>
      </c>
      <c r="D1044" s="17" t="inlineStr"/>
      <c r="E1044" s="17" t="inlineStr">
        <is>
          <t>최근매출(억원)</t>
        </is>
      </c>
      <c r="F1044" s="17" t="inlineStr">
        <is>
          <t>미확인</t>
        </is>
      </c>
      <c r="G1044" s="17" t="inlineStr">
        <is>
          <t>웹조사 자동화 실패(세션한도)</t>
        </is>
      </c>
      <c r="H1044" s="17" t="inlineStr">
        <is>
          <t>N</t>
        </is>
      </c>
      <c r="I1044" s="17" t="inlineStr">
        <is>
          <t>DART 사업보고서</t>
        </is>
      </c>
      <c r="J1044" s="17" t="inlineStr">
        <is>
          <t>DART 사업보고서에서 확인</t>
        </is>
      </c>
      <c r="K1044" s="17" t="inlineStr">
        <is>
          <t>낮음</t>
        </is>
      </c>
      <c r="L1044" s="17" t="inlineStr"/>
    </row>
    <row r="1045">
      <c r="A1045" s="17" t="inlineStr">
        <is>
          <t>C167</t>
        </is>
      </c>
      <c r="B1045" s="17" t="inlineStr"/>
      <c r="C1045" s="17" t="inlineStr">
        <is>
          <t>(주)대창가스</t>
        </is>
      </c>
      <c r="D1045" s="17" t="inlineStr"/>
      <c r="E1045" s="17" t="inlineStr">
        <is>
          <t>종업원수</t>
        </is>
      </c>
      <c r="F1045" s="17" t="inlineStr">
        <is>
          <t>미확인</t>
        </is>
      </c>
      <c r="G1045" s="17" t="inlineStr">
        <is>
          <t>웹조사 자동화 실패(세션한도)</t>
        </is>
      </c>
      <c r="H1045" s="17" t="inlineStr">
        <is>
          <t>N</t>
        </is>
      </c>
      <c r="I1045" s="17" t="inlineStr">
        <is>
          <t>DART/채용</t>
        </is>
      </c>
      <c r="J1045" s="17" t="inlineStr">
        <is>
          <t>DART/채용에서 확인</t>
        </is>
      </c>
      <c r="K1045" s="17" t="inlineStr">
        <is>
          <t>낮음</t>
        </is>
      </c>
      <c r="L1045" s="17" t="inlineStr"/>
    </row>
    <row r="1046">
      <c r="A1046" s="17" t="inlineStr">
        <is>
          <t>C167</t>
        </is>
      </c>
      <c r="B1046" s="17" t="inlineStr"/>
      <c r="C1046" s="17" t="inlineStr">
        <is>
          <t>(주)대창가스</t>
        </is>
      </c>
      <c r="D1046" s="17" t="inlineStr"/>
      <c r="E1046" s="17" t="inlineStr">
        <is>
          <t>수출여부</t>
        </is>
      </c>
      <c r="F1046" s="17" t="inlineStr">
        <is>
          <t>미확인</t>
        </is>
      </c>
      <c r="G1046" s="17" t="inlineStr">
        <is>
          <t>웹조사 자동화 실패(세션한도)</t>
        </is>
      </c>
      <c r="H1046" s="17" t="inlineStr">
        <is>
          <t>N</t>
        </is>
      </c>
      <c r="I1046" s="17" t="inlineStr">
        <is>
          <t>회사 공시·홈페이지</t>
        </is>
      </c>
      <c r="J1046" s="17" t="inlineStr">
        <is>
          <t>회사 공시·홈페이지에서 확인</t>
        </is>
      </c>
      <c r="K1046" s="17" t="inlineStr">
        <is>
          <t>낮음</t>
        </is>
      </c>
      <c r="L1046" s="17" t="inlineStr"/>
    </row>
    <row r="1047">
      <c r="A1047" s="17" t="inlineStr">
        <is>
          <t>C167</t>
        </is>
      </c>
      <c r="B1047" s="17" t="inlineStr"/>
      <c r="C1047" s="17" t="inlineStr">
        <is>
          <t>(주)대창가스</t>
        </is>
      </c>
      <c r="D1047" s="17" t="inlineStr"/>
      <c r="E1047" s="17" t="inlineStr">
        <is>
          <t>FDA·EMA 실사</t>
        </is>
      </c>
      <c r="F1047" s="17" t="inlineStr">
        <is>
          <t>미확인</t>
        </is>
      </c>
      <c r="G1047" s="17" t="inlineStr">
        <is>
          <t>웹조사 자동화 실패(세션한도)</t>
        </is>
      </c>
      <c r="H1047" s="17" t="inlineStr">
        <is>
          <t>N</t>
        </is>
      </c>
      <c r="I1047" s="17" t="inlineStr">
        <is>
          <t>FDA Inspection DB</t>
        </is>
      </c>
      <c r="J1047" s="17" t="inlineStr">
        <is>
          <t>FDA Inspection DB에서 확인</t>
        </is>
      </c>
      <c r="K1047" s="17" t="inlineStr">
        <is>
          <t>낮음</t>
        </is>
      </c>
      <c r="L1047" s="17" t="inlineStr"/>
    </row>
    <row r="1048">
      <c r="A1048" s="17" t="inlineStr">
        <is>
          <t>C167</t>
        </is>
      </c>
      <c r="B1048" s="17" t="inlineStr"/>
      <c r="C1048" s="17" t="inlineStr">
        <is>
          <t>(주)대창가스</t>
        </is>
      </c>
      <c r="D1048" s="17" t="inlineStr"/>
      <c r="E1048" s="17" t="inlineStr">
        <is>
          <t>CMO·CDMO</t>
        </is>
      </c>
      <c r="F1048" s="17" t="inlineStr">
        <is>
          <t>미확인</t>
        </is>
      </c>
      <c r="G1048" s="17" t="inlineStr">
        <is>
          <t>웹조사 자동화 실패(세션한도)</t>
        </is>
      </c>
      <c r="H1048" s="17" t="inlineStr">
        <is>
          <t>N</t>
        </is>
      </c>
      <c r="I1048" s="17" t="inlineStr">
        <is>
          <t>회사 홈페이지</t>
        </is>
      </c>
      <c r="J1048" s="17" t="inlineStr">
        <is>
          <t>회사 홈페이지에서 확인</t>
        </is>
      </c>
      <c r="K1048" s="17" t="inlineStr">
        <is>
          <t>낮음</t>
        </is>
      </c>
      <c r="L1048" s="17" t="inlineStr"/>
    </row>
    <row r="1049">
      <c r="A1049" s="17" t="inlineStr">
        <is>
          <t>C167</t>
        </is>
      </c>
      <c r="B1049" s="17" t="inlineStr"/>
      <c r="C1049" s="17" t="inlineStr">
        <is>
          <t>(주)대창가스</t>
        </is>
      </c>
      <c r="D1049" s="17" t="inlineStr"/>
      <c r="E1049" s="17" t="inlineStr">
        <is>
          <t>신공장·증설</t>
        </is>
      </c>
      <c r="F1049" s="17" t="inlineStr">
        <is>
          <t>미확인</t>
        </is>
      </c>
      <c r="G1049" s="17" t="inlineStr">
        <is>
          <t>웹조사 자동화 실패(세션한도)</t>
        </is>
      </c>
      <c r="H1049" s="17" t="inlineStr">
        <is>
          <t>N</t>
        </is>
      </c>
      <c r="I1049" s="17" t="inlineStr">
        <is>
          <t>언론·지자체 발표</t>
        </is>
      </c>
      <c r="J1049" s="17" t="inlineStr">
        <is>
          <t>언론·지자체 발표에서 확인</t>
        </is>
      </c>
      <c r="K1049" s="17" t="inlineStr">
        <is>
          <t>낮음</t>
        </is>
      </c>
      <c r="L1049" s="17" t="inlineStr"/>
    </row>
    <row r="1050">
      <c r="A1050" s="17" t="inlineStr">
        <is>
          <t>C168</t>
        </is>
      </c>
      <c r="B1050" s="17" t="inlineStr"/>
      <c r="C1050" s="17" t="inlineStr">
        <is>
          <t>중부산업가스(주)</t>
        </is>
      </c>
      <c r="D1050" s="17" t="inlineStr"/>
      <c r="E1050" s="17" t="inlineStr">
        <is>
          <t>최근매출(억원)</t>
        </is>
      </c>
      <c r="F1050" s="17" t="inlineStr">
        <is>
          <t>미확인</t>
        </is>
      </c>
      <c r="G1050" s="17" t="inlineStr">
        <is>
          <t>웹조사 자동화 실패(세션한도)</t>
        </is>
      </c>
      <c r="H1050" s="17" t="inlineStr">
        <is>
          <t>N</t>
        </is>
      </c>
      <c r="I1050" s="17" t="inlineStr">
        <is>
          <t>DART 사업보고서</t>
        </is>
      </c>
      <c r="J1050" s="17" t="inlineStr">
        <is>
          <t>DART 사업보고서에서 확인</t>
        </is>
      </c>
      <c r="K1050" s="17" t="inlineStr">
        <is>
          <t>낮음</t>
        </is>
      </c>
      <c r="L1050" s="17" t="inlineStr"/>
    </row>
    <row r="1051">
      <c r="A1051" s="17" t="inlineStr">
        <is>
          <t>C168</t>
        </is>
      </c>
      <c r="B1051" s="17" t="inlineStr"/>
      <c r="C1051" s="17" t="inlineStr">
        <is>
          <t>중부산업가스(주)</t>
        </is>
      </c>
      <c r="D1051" s="17" t="inlineStr"/>
      <c r="E1051" s="17" t="inlineStr">
        <is>
          <t>종업원수</t>
        </is>
      </c>
      <c r="F1051" s="17" t="inlineStr">
        <is>
          <t>미확인</t>
        </is>
      </c>
      <c r="G1051" s="17" t="inlineStr">
        <is>
          <t>웹조사 자동화 실패(세션한도)</t>
        </is>
      </c>
      <c r="H1051" s="17" t="inlineStr">
        <is>
          <t>N</t>
        </is>
      </c>
      <c r="I1051" s="17" t="inlineStr">
        <is>
          <t>DART/채용</t>
        </is>
      </c>
      <c r="J1051" s="17" t="inlineStr">
        <is>
          <t>DART/채용에서 확인</t>
        </is>
      </c>
      <c r="K1051" s="17" t="inlineStr">
        <is>
          <t>낮음</t>
        </is>
      </c>
      <c r="L1051" s="17" t="inlineStr"/>
    </row>
    <row r="1052">
      <c r="A1052" s="17" t="inlineStr">
        <is>
          <t>C168</t>
        </is>
      </c>
      <c r="B1052" s="17" t="inlineStr"/>
      <c r="C1052" s="17" t="inlineStr">
        <is>
          <t>중부산업가스(주)</t>
        </is>
      </c>
      <c r="D1052" s="17" t="inlineStr"/>
      <c r="E1052" s="17" t="inlineStr">
        <is>
          <t>수출여부</t>
        </is>
      </c>
      <c r="F1052" s="17" t="inlineStr">
        <is>
          <t>미확인</t>
        </is>
      </c>
      <c r="G1052" s="17" t="inlineStr">
        <is>
          <t>웹조사 자동화 실패(세션한도)</t>
        </is>
      </c>
      <c r="H1052" s="17" t="inlineStr">
        <is>
          <t>N</t>
        </is>
      </c>
      <c r="I1052" s="17" t="inlineStr">
        <is>
          <t>회사 공시·홈페이지</t>
        </is>
      </c>
      <c r="J1052" s="17" t="inlineStr">
        <is>
          <t>회사 공시·홈페이지에서 확인</t>
        </is>
      </c>
      <c r="K1052" s="17" t="inlineStr">
        <is>
          <t>낮음</t>
        </is>
      </c>
      <c r="L1052" s="17" t="inlineStr"/>
    </row>
    <row r="1053">
      <c r="A1053" s="17" t="inlineStr">
        <is>
          <t>C168</t>
        </is>
      </c>
      <c r="B1053" s="17" t="inlineStr"/>
      <c r="C1053" s="17" t="inlineStr">
        <is>
          <t>중부산업가스(주)</t>
        </is>
      </c>
      <c r="D1053" s="17" t="inlineStr"/>
      <c r="E1053" s="17" t="inlineStr">
        <is>
          <t>FDA·EMA 실사</t>
        </is>
      </c>
      <c r="F1053" s="17" t="inlineStr">
        <is>
          <t>미확인</t>
        </is>
      </c>
      <c r="G1053" s="17" t="inlineStr">
        <is>
          <t>웹조사 자동화 실패(세션한도)</t>
        </is>
      </c>
      <c r="H1053" s="17" t="inlineStr">
        <is>
          <t>N</t>
        </is>
      </c>
      <c r="I1053" s="17" t="inlineStr">
        <is>
          <t>FDA Inspection DB</t>
        </is>
      </c>
      <c r="J1053" s="17" t="inlineStr">
        <is>
          <t>FDA Inspection DB에서 확인</t>
        </is>
      </c>
      <c r="K1053" s="17" t="inlineStr">
        <is>
          <t>낮음</t>
        </is>
      </c>
      <c r="L1053" s="17" t="inlineStr"/>
    </row>
    <row r="1054">
      <c r="A1054" s="17" t="inlineStr">
        <is>
          <t>C168</t>
        </is>
      </c>
      <c r="B1054" s="17" t="inlineStr"/>
      <c r="C1054" s="17" t="inlineStr">
        <is>
          <t>중부산업가스(주)</t>
        </is>
      </c>
      <c r="D1054" s="17" t="inlineStr"/>
      <c r="E1054" s="17" t="inlineStr">
        <is>
          <t>CMO·CDMO</t>
        </is>
      </c>
      <c r="F1054" s="17" t="inlineStr">
        <is>
          <t>미확인</t>
        </is>
      </c>
      <c r="G1054" s="17" t="inlineStr">
        <is>
          <t>웹조사 자동화 실패(세션한도)</t>
        </is>
      </c>
      <c r="H1054" s="17" t="inlineStr">
        <is>
          <t>N</t>
        </is>
      </c>
      <c r="I1054" s="17" t="inlineStr">
        <is>
          <t>회사 홈페이지</t>
        </is>
      </c>
      <c r="J1054" s="17" t="inlineStr">
        <is>
          <t>회사 홈페이지에서 확인</t>
        </is>
      </c>
      <c r="K1054" s="17" t="inlineStr">
        <is>
          <t>낮음</t>
        </is>
      </c>
      <c r="L1054" s="17" t="inlineStr"/>
    </row>
    <row r="1055">
      <c r="A1055" s="17" t="inlineStr">
        <is>
          <t>C168</t>
        </is>
      </c>
      <c r="B1055" s="17" t="inlineStr"/>
      <c r="C1055" s="17" t="inlineStr">
        <is>
          <t>중부산업가스(주)</t>
        </is>
      </c>
      <c r="D1055" s="17" t="inlineStr"/>
      <c r="E1055" s="17" t="inlineStr">
        <is>
          <t>신공장·증설</t>
        </is>
      </c>
      <c r="F1055" s="17" t="inlineStr">
        <is>
          <t>미확인</t>
        </is>
      </c>
      <c r="G1055" s="17" t="inlineStr">
        <is>
          <t>웹조사 자동화 실패(세션한도)</t>
        </is>
      </c>
      <c r="H1055" s="17" t="inlineStr">
        <is>
          <t>N</t>
        </is>
      </c>
      <c r="I1055" s="17" t="inlineStr">
        <is>
          <t>언론·지자체 발표</t>
        </is>
      </c>
      <c r="J1055" s="17" t="inlineStr">
        <is>
          <t>언론·지자체 발표에서 확인</t>
        </is>
      </c>
      <c r="K1055" s="17" t="inlineStr">
        <is>
          <t>낮음</t>
        </is>
      </c>
      <c r="L1055" s="17" t="inlineStr"/>
    </row>
    <row r="1056">
      <c r="A1056" s="17" t="inlineStr">
        <is>
          <t>C169</t>
        </is>
      </c>
      <c r="B1056" s="17" t="inlineStr"/>
      <c r="C1056" s="17" t="inlineStr">
        <is>
          <t>한국한의약진흥원</t>
        </is>
      </c>
      <c r="D1056" s="17" t="inlineStr"/>
      <c r="E1056" s="17" t="inlineStr">
        <is>
          <t>최근매출(억원)</t>
        </is>
      </c>
      <c r="F1056" s="17" t="inlineStr">
        <is>
          <t>미확인</t>
        </is>
      </c>
      <c r="G1056" s="17" t="inlineStr">
        <is>
          <t>웹조사 자동화 실패(세션한도)</t>
        </is>
      </c>
      <c r="H1056" s="17" t="inlineStr">
        <is>
          <t>N</t>
        </is>
      </c>
      <c r="I1056" s="17" t="inlineStr">
        <is>
          <t>DART 사업보고서</t>
        </is>
      </c>
      <c r="J1056" s="17" t="inlineStr">
        <is>
          <t>DART 사업보고서에서 확인</t>
        </is>
      </c>
      <c r="K1056" s="17" t="inlineStr">
        <is>
          <t>낮음</t>
        </is>
      </c>
      <c r="L1056" s="17" t="inlineStr"/>
    </row>
    <row r="1057">
      <c r="A1057" s="17" t="inlineStr">
        <is>
          <t>C169</t>
        </is>
      </c>
      <c r="B1057" s="17" t="inlineStr"/>
      <c r="C1057" s="17" t="inlineStr">
        <is>
          <t>한국한의약진흥원</t>
        </is>
      </c>
      <c r="D1057" s="17" t="inlineStr"/>
      <c r="E1057" s="17" t="inlineStr">
        <is>
          <t>종업원수</t>
        </is>
      </c>
      <c r="F1057" s="17" t="inlineStr">
        <is>
          <t>미확인</t>
        </is>
      </c>
      <c r="G1057" s="17" t="inlineStr">
        <is>
          <t>웹조사 자동화 실패(세션한도)</t>
        </is>
      </c>
      <c r="H1057" s="17" t="inlineStr">
        <is>
          <t>N</t>
        </is>
      </c>
      <c r="I1057" s="17" t="inlineStr">
        <is>
          <t>DART/채용</t>
        </is>
      </c>
      <c r="J1057" s="17" t="inlineStr">
        <is>
          <t>DART/채용에서 확인</t>
        </is>
      </c>
      <c r="K1057" s="17" t="inlineStr">
        <is>
          <t>낮음</t>
        </is>
      </c>
      <c r="L1057" s="17" t="inlineStr"/>
    </row>
    <row r="1058">
      <c r="A1058" s="17" t="inlineStr">
        <is>
          <t>C169</t>
        </is>
      </c>
      <c r="B1058" s="17" t="inlineStr"/>
      <c r="C1058" s="17" t="inlineStr">
        <is>
          <t>한국한의약진흥원</t>
        </is>
      </c>
      <c r="D1058" s="17" t="inlineStr"/>
      <c r="E1058" s="17" t="inlineStr">
        <is>
          <t>수출여부</t>
        </is>
      </c>
      <c r="F1058" s="17" t="inlineStr">
        <is>
          <t>미확인</t>
        </is>
      </c>
      <c r="G1058" s="17" t="inlineStr">
        <is>
          <t>웹조사 자동화 실패(세션한도)</t>
        </is>
      </c>
      <c r="H1058" s="17" t="inlineStr">
        <is>
          <t>N</t>
        </is>
      </c>
      <c r="I1058" s="17" t="inlineStr">
        <is>
          <t>회사 공시·홈페이지</t>
        </is>
      </c>
      <c r="J1058" s="17" t="inlineStr">
        <is>
          <t>회사 공시·홈페이지에서 확인</t>
        </is>
      </c>
      <c r="K1058" s="17" t="inlineStr">
        <is>
          <t>낮음</t>
        </is>
      </c>
      <c r="L1058" s="17" t="inlineStr"/>
    </row>
    <row r="1059">
      <c r="A1059" s="17" t="inlineStr">
        <is>
          <t>C169</t>
        </is>
      </c>
      <c r="B1059" s="17" t="inlineStr"/>
      <c r="C1059" s="17" t="inlineStr">
        <is>
          <t>한국한의약진흥원</t>
        </is>
      </c>
      <c r="D1059" s="17" t="inlineStr"/>
      <c r="E1059" s="17" t="inlineStr">
        <is>
          <t>FDA·EMA 실사</t>
        </is>
      </c>
      <c r="F1059" s="17" t="inlineStr">
        <is>
          <t>미확인</t>
        </is>
      </c>
      <c r="G1059" s="17" t="inlineStr">
        <is>
          <t>웹조사 자동화 실패(세션한도)</t>
        </is>
      </c>
      <c r="H1059" s="17" t="inlineStr">
        <is>
          <t>N</t>
        </is>
      </c>
      <c r="I1059" s="17" t="inlineStr">
        <is>
          <t>FDA Inspection DB</t>
        </is>
      </c>
      <c r="J1059" s="17" t="inlineStr">
        <is>
          <t>FDA Inspection DB에서 확인</t>
        </is>
      </c>
      <c r="K1059" s="17" t="inlineStr">
        <is>
          <t>낮음</t>
        </is>
      </c>
      <c r="L1059" s="17" t="inlineStr"/>
    </row>
    <row r="1060">
      <c r="A1060" s="17" t="inlineStr">
        <is>
          <t>C169</t>
        </is>
      </c>
      <c r="B1060" s="17" t="inlineStr"/>
      <c r="C1060" s="17" t="inlineStr">
        <is>
          <t>한국한의약진흥원</t>
        </is>
      </c>
      <c r="D1060" s="17" t="inlineStr"/>
      <c r="E1060" s="17" t="inlineStr">
        <is>
          <t>CMO·CDMO</t>
        </is>
      </c>
      <c r="F1060" s="17" t="inlineStr">
        <is>
          <t>미확인</t>
        </is>
      </c>
      <c r="G1060" s="17" t="inlineStr">
        <is>
          <t>웹조사 자동화 실패(세션한도)</t>
        </is>
      </c>
      <c r="H1060" s="17" t="inlineStr">
        <is>
          <t>N</t>
        </is>
      </c>
      <c r="I1060" s="17" t="inlineStr">
        <is>
          <t>회사 홈페이지</t>
        </is>
      </c>
      <c r="J1060" s="17" t="inlineStr">
        <is>
          <t>회사 홈페이지에서 확인</t>
        </is>
      </c>
      <c r="K1060" s="17" t="inlineStr">
        <is>
          <t>낮음</t>
        </is>
      </c>
      <c r="L1060" s="17" t="inlineStr"/>
    </row>
    <row r="1061">
      <c r="A1061" s="17" t="inlineStr">
        <is>
          <t>C169</t>
        </is>
      </c>
      <c r="B1061" s="17" t="inlineStr"/>
      <c r="C1061" s="17" t="inlineStr">
        <is>
          <t>한국한의약진흥원</t>
        </is>
      </c>
      <c r="D1061" s="17" t="inlineStr"/>
      <c r="E1061" s="17" t="inlineStr">
        <is>
          <t>신공장·증설</t>
        </is>
      </c>
      <c r="F1061" s="17" t="inlineStr">
        <is>
          <t>미확인</t>
        </is>
      </c>
      <c r="G1061" s="17" t="inlineStr">
        <is>
          <t>웹조사 자동화 실패(세션한도)</t>
        </is>
      </c>
      <c r="H1061" s="17" t="inlineStr">
        <is>
          <t>N</t>
        </is>
      </c>
      <c r="I1061" s="17" t="inlineStr">
        <is>
          <t>언론·지자체 발표</t>
        </is>
      </c>
      <c r="J1061" s="17" t="inlineStr">
        <is>
          <t>언론·지자체 발표에서 확인</t>
        </is>
      </c>
      <c r="K1061" s="17" t="inlineStr">
        <is>
          <t>낮음</t>
        </is>
      </c>
      <c r="L1061" s="17" t="inlineStr"/>
    </row>
    <row r="1062">
      <c r="A1062" s="17" t="inlineStr">
        <is>
          <t>C170</t>
        </is>
      </c>
      <c r="B1062" s="17" t="inlineStr"/>
      <c r="C1062" s="17" t="inlineStr">
        <is>
          <t>제이더블유생명과학(주)</t>
        </is>
      </c>
      <c r="D1062" s="17" t="inlineStr"/>
      <c r="E1062" s="17" t="inlineStr">
        <is>
          <t>최근매출(억원)</t>
        </is>
      </c>
      <c r="F1062" s="17" t="inlineStr">
        <is>
          <t>미확인</t>
        </is>
      </c>
      <c r="G1062" s="17" t="inlineStr">
        <is>
          <t>웹조사 자동화 실패(세션한도)</t>
        </is>
      </c>
      <c r="H1062" s="17" t="inlineStr">
        <is>
          <t>N</t>
        </is>
      </c>
      <c r="I1062" s="17" t="inlineStr">
        <is>
          <t>DART 사업보고서</t>
        </is>
      </c>
      <c r="J1062" s="17" t="inlineStr">
        <is>
          <t>DART 사업보고서에서 확인</t>
        </is>
      </c>
      <c r="K1062" s="17" t="inlineStr">
        <is>
          <t>낮음</t>
        </is>
      </c>
      <c r="L1062" s="17" t="inlineStr"/>
    </row>
    <row r="1063">
      <c r="A1063" s="17" t="inlineStr">
        <is>
          <t>C170</t>
        </is>
      </c>
      <c r="B1063" s="17" t="inlineStr"/>
      <c r="C1063" s="17" t="inlineStr">
        <is>
          <t>제이더블유생명과학(주)</t>
        </is>
      </c>
      <c r="D1063" s="17" t="inlineStr"/>
      <c r="E1063" s="17" t="inlineStr">
        <is>
          <t>종업원수</t>
        </is>
      </c>
      <c r="F1063" s="17" t="inlineStr">
        <is>
          <t>미확인</t>
        </is>
      </c>
      <c r="G1063" s="17" t="inlineStr">
        <is>
          <t>웹조사 자동화 실패(세션한도)</t>
        </is>
      </c>
      <c r="H1063" s="17" t="inlineStr">
        <is>
          <t>N</t>
        </is>
      </c>
      <c r="I1063" s="17" t="inlineStr">
        <is>
          <t>DART/채용</t>
        </is>
      </c>
      <c r="J1063" s="17" t="inlineStr">
        <is>
          <t>DART/채용에서 확인</t>
        </is>
      </c>
      <c r="K1063" s="17" t="inlineStr">
        <is>
          <t>낮음</t>
        </is>
      </c>
      <c r="L1063" s="17" t="inlineStr"/>
    </row>
    <row r="1064">
      <c r="A1064" s="17" t="inlineStr">
        <is>
          <t>C170</t>
        </is>
      </c>
      <c r="B1064" s="17" t="inlineStr"/>
      <c r="C1064" s="17" t="inlineStr">
        <is>
          <t>제이더블유생명과학(주)</t>
        </is>
      </c>
      <c r="D1064" s="17" t="inlineStr"/>
      <c r="E1064" s="17" t="inlineStr">
        <is>
          <t>수출여부</t>
        </is>
      </c>
      <c r="F1064" s="17" t="inlineStr">
        <is>
          <t>미확인</t>
        </is>
      </c>
      <c r="G1064" s="17" t="inlineStr">
        <is>
          <t>웹조사 자동화 실패(세션한도)</t>
        </is>
      </c>
      <c r="H1064" s="17" t="inlineStr">
        <is>
          <t>N</t>
        </is>
      </c>
      <c r="I1064" s="17" t="inlineStr">
        <is>
          <t>회사 공시·홈페이지</t>
        </is>
      </c>
      <c r="J1064" s="17" t="inlineStr">
        <is>
          <t>회사 공시·홈페이지에서 확인</t>
        </is>
      </c>
      <c r="K1064" s="17" t="inlineStr">
        <is>
          <t>낮음</t>
        </is>
      </c>
      <c r="L1064" s="17" t="inlineStr"/>
    </row>
    <row r="1065">
      <c r="A1065" s="17" t="inlineStr">
        <is>
          <t>C170</t>
        </is>
      </c>
      <c r="B1065" s="17" t="inlineStr"/>
      <c r="C1065" s="17" t="inlineStr">
        <is>
          <t>제이더블유생명과학(주)</t>
        </is>
      </c>
      <c r="D1065" s="17" t="inlineStr"/>
      <c r="E1065" s="17" t="inlineStr">
        <is>
          <t>FDA·EMA 실사</t>
        </is>
      </c>
      <c r="F1065" s="17" t="inlineStr">
        <is>
          <t>미확인</t>
        </is>
      </c>
      <c r="G1065" s="17" t="inlineStr">
        <is>
          <t>웹조사 자동화 실패(세션한도)</t>
        </is>
      </c>
      <c r="H1065" s="17" t="inlineStr">
        <is>
          <t>N</t>
        </is>
      </c>
      <c r="I1065" s="17" t="inlineStr">
        <is>
          <t>FDA Inspection DB</t>
        </is>
      </c>
      <c r="J1065" s="17" t="inlineStr">
        <is>
          <t>FDA Inspection DB에서 확인</t>
        </is>
      </c>
      <c r="K1065" s="17" t="inlineStr">
        <is>
          <t>낮음</t>
        </is>
      </c>
      <c r="L1065" s="17" t="inlineStr"/>
    </row>
    <row r="1066">
      <c r="A1066" s="17" t="inlineStr">
        <is>
          <t>C170</t>
        </is>
      </c>
      <c r="B1066" s="17" t="inlineStr"/>
      <c r="C1066" s="17" t="inlineStr">
        <is>
          <t>제이더블유생명과학(주)</t>
        </is>
      </c>
      <c r="D1066" s="17" t="inlineStr"/>
      <c r="E1066" s="17" t="inlineStr">
        <is>
          <t>CMO·CDMO</t>
        </is>
      </c>
      <c r="F1066" s="17" t="inlineStr">
        <is>
          <t>미확인</t>
        </is>
      </c>
      <c r="G1066" s="17" t="inlineStr">
        <is>
          <t>웹조사 자동화 실패(세션한도)</t>
        </is>
      </c>
      <c r="H1066" s="17" t="inlineStr">
        <is>
          <t>N</t>
        </is>
      </c>
      <c r="I1066" s="17" t="inlineStr">
        <is>
          <t>회사 홈페이지</t>
        </is>
      </c>
      <c r="J1066" s="17" t="inlineStr">
        <is>
          <t>회사 홈페이지에서 확인</t>
        </is>
      </c>
      <c r="K1066" s="17" t="inlineStr">
        <is>
          <t>낮음</t>
        </is>
      </c>
      <c r="L1066" s="17" t="inlineStr"/>
    </row>
    <row r="1067">
      <c r="A1067" s="17" t="inlineStr">
        <is>
          <t>C170</t>
        </is>
      </c>
      <c r="B1067" s="17" t="inlineStr"/>
      <c r="C1067" s="17" t="inlineStr">
        <is>
          <t>제이더블유생명과학(주)</t>
        </is>
      </c>
      <c r="D1067" s="17" t="inlineStr"/>
      <c r="E1067" s="17" t="inlineStr">
        <is>
          <t>신공장·증설</t>
        </is>
      </c>
      <c r="F1067" s="17" t="inlineStr">
        <is>
          <t>미확인</t>
        </is>
      </c>
      <c r="G1067" s="17" t="inlineStr">
        <is>
          <t>웹조사 자동화 실패(세션한도)</t>
        </is>
      </c>
      <c r="H1067" s="17" t="inlineStr">
        <is>
          <t>N</t>
        </is>
      </c>
      <c r="I1067" s="17" t="inlineStr">
        <is>
          <t>언론·지자체 발표</t>
        </is>
      </c>
      <c r="J1067" s="17" t="inlineStr">
        <is>
          <t>언론·지자체 발표에서 확인</t>
        </is>
      </c>
      <c r="K1067" s="17" t="inlineStr">
        <is>
          <t>낮음</t>
        </is>
      </c>
      <c r="L1067" s="17" t="inlineStr"/>
    </row>
    <row r="1068">
      <c r="A1068" s="17" t="inlineStr">
        <is>
          <t>C171</t>
        </is>
      </c>
      <c r="B1068" s="17" t="inlineStr"/>
      <c r="C1068" s="17" t="inlineStr">
        <is>
          <t>일동제약(주)</t>
        </is>
      </c>
      <c r="D1068" s="17" t="inlineStr"/>
      <c r="E1068" s="17" t="inlineStr">
        <is>
          <t>최근매출(억원)</t>
        </is>
      </c>
      <c r="F1068" s="17" t="inlineStr">
        <is>
          <t>미확인</t>
        </is>
      </c>
      <c r="G1068" s="17" t="inlineStr">
        <is>
          <t>웹조사 자동화 실패(세션한도)</t>
        </is>
      </c>
      <c r="H1068" s="17" t="inlineStr">
        <is>
          <t>N</t>
        </is>
      </c>
      <c r="I1068" s="17" t="inlineStr">
        <is>
          <t>DART 사업보고서</t>
        </is>
      </c>
      <c r="J1068" s="17" t="inlineStr">
        <is>
          <t>DART 사업보고서에서 확인</t>
        </is>
      </c>
      <c r="K1068" s="17" t="inlineStr">
        <is>
          <t>낮음</t>
        </is>
      </c>
      <c r="L1068" s="17" t="inlineStr"/>
    </row>
    <row r="1069">
      <c r="A1069" s="17" t="inlineStr">
        <is>
          <t>C171</t>
        </is>
      </c>
      <c r="B1069" s="17" t="inlineStr"/>
      <c r="C1069" s="17" t="inlineStr">
        <is>
          <t>일동제약(주)</t>
        </is>
      </c>
      <c r="D1069" s="17" t="inlineStr"/>
      <c r="E1069" s="17" t="inlineStr">
        <is>
          <t>종업원수</t>
        </is>
      </c>
      <c r="F1069" s="17" t="inlineStr">
        <is>
          <t>미확인</t>
        </is>
      </c>
      <c r="G1069" s="17" t="inlineStr">
        <is>
          <t>웹조사 자동화 실패(세션한도)</t>
        </is>
      </c>
      <c r="H1069" s="17" t="inlineStr">
        <is>
          <t>N</t>
        </is>
      </c>
      <c r="I1069" s="17" t="inlineStr">
        <is>
          <t>DART/채용</t>
        </is>
      </c>
      <c r="J1069" s="17" t="inlineStr">
        <is>
          <t>DART/채용에서 확인</t>
        </is>
      </c>
      <c r="K1069" s="17" t="inlineStr">
        <is>
          <t>낮음</t>
        </is>
      </c>
      <c r="L1069" s="17" t="inlineStr"/>
    </row>
    <row r="1070">
      <c r="A1070" s="17" t="inlineStr">
        <is>
          <t>C171</t>
        </is>
      </c>
      <c r="B1070" s="17" t="inlineStr"/>
      <c r="C1070" s="17" t="inlineStr">
        <is>
          <t>일동제약(주)</t>
        </is>
      </c>
      <c r="D1070" s="17" t="inlineStr"/>
      <c r="E1070" s="17" t="inlineStr">
        <is>
          <t>수출여부</t>
        </is>
      </c>
      <c r="F1070" s="17" t="inlineStr">
        <is>
          <t>미확인</t>
        </is>
      </c>
      <c r="G1070" s="17" t="inlineStr">
        <is>
          <t>웹조사 자동화 실패(세션한도)</t>
        </is>
      </c>
      <c r="H1070" s="17" t="inlineStr">
        <is>
          <t>N</t>
        </is>
      </c>
      <c r="I1070" s="17" t="inlineStr">
        <is>
          <t>회사 공시·홈페이지</t>
        </is>
      </c>
      <c r="J1070" s="17" t="inlineStr">
        <is>
          <t>회사 공시·홈페이지에서 확인</t>
        </is>
      </c>
      <c r="K1070" s="17" t="inlineStr">
        <is>
          <t>낮음</t>
        </is>
      </c>
      <c r="L1070" s="17" t="inlineStr"/>
    </row>
    <row r="1071">
      <c r="A1071" s="17" t="inlineStr">
        <is>
          <t>C171</t>
        </is>
      </c>
      <c r="B1071" s="17" t="inlineStr"/>
      <c r="C1071" s="17" t="inlineStr">
        <is>
          <t>일동제약(주)</t>
        </is>
      </c>
      <c r="D1071" s="17" t="inlineStr"/>
      <c r="E1071" s="17" t="inlineStr">
        <is>
          <t>FDA·EMA 실사</t>
        </is>
      </c>
      <c r="F1071" s="17" t="inlineStr">
        <is>
          <t>미확인</t>
        </is>
      </c>
      <c r="G1071" s="17" t="inlineStr">
        <is>
          <t>웹조사 자동화 실패(세션한도)</t>
        </is>
      </c>
      <c r="H1071" s="17" t="inlineStr">
        <is>
          <t>N</t>
        </is>
      </c>
      <c r="I1071" s="17" t="inlineStr">
        <is>
          <t>FDA Inspection DB</t>
        </is>
      </c>
      <c r="J1071" s="17" t="inlineStr">
        <is>
          <t>FDA Inspection DB에서 확인</t>
        </is>
      </c>
      <c r="K1071" s="17" t="inlineStr">
        <is>
          <t>낮음</t>
        </is>
      </c>
      <c r="L1071" s="17" t="inlineStr"/>
    </row>
    <row r="1072">
      <c r="A1072" s="17" t="inlineStr">
        <is>
          <t>C171</t>
        </is>
      </c>
      <c r="B1072" s="17" t="inlineStr"/>
      <c r="C1072" s="17" t="inlineStr">
        <is>
          <t>일동제약(주)</t>
        </is>
      </c>
      <c r="D1072" s="17" t="inlineStr"/>
      <c r="E1072" s="17" t="inlineStr">
        <is>
          <t>CMO·CDMO</t>
        </is>
      </c>
      <c r="F1072" s="17" t="inlineStr">
        <is>
          <t>미확인</t>
        </is>
      </c>
      <c r="G1072" s="17" t="inlineStr">
        <is>
          <t>웹조사 자동화 실패(세션한도)</t>
        </is>
      </c>
      <c r="H1072" s="17" t="inlineStr">
        <is>
          <t>N</t>
        </is>
      </c>
      <c r="I1072" s="17" t="inlineStr">
        <is>
          <t>회사 홈페이지</t>
        </is>
      </c>
      <c r="J1072" s="17" t="inlineStr">
        <is>
          <t>회사 홈페이지에서 확인</t>
        </is>
      </c>
      <c r="K1072" s="17" t="inlineStr">
        <is>
          <t>낮음</t>
        </is>
      </c>
      <c r="L1072" s="17" t="inlineStr"/>
    </row>
    <row r="1073">
      <c r="A1073" s="17" t="inlineStr">
        <is>
          <t>C171</t>
        </is>
      </c>
      <c r="B1073" s="17" t="inlineStr"/>
      <c r="C1073" s="17" t="inlineStr">
        <is>
          <t>일동제약(주)</t>
        </is>
      </c>
      <c r="D1073" s="17" t="inlineStr"/>
      <c r="E1073" s="17" t="inlineStr">
        <is>
          <t>신공장·증설</t>
        </is>
      </c>
      <c r="F1073" s="17" t="inlineStr">
        <is>
          <t>미확인</t>
        </is>
      </c>
      <c r="G1073" s="17" t="inlineStr">
        <is>
          <t>웹조사 자동화 실패(세션한도)</t>
        </is>
      </c>
      <c r="H1073" s="17" t="inlineStr">
        <is>
          <t>N</t>
        </is>
      </c>
      <c r="I1073" s="17" t="inlineStr">
        <is>
          <t>언론·지자체 발표</t>
        </is>
      </c>
      <c r="J1073" s="17" t="inlineStr">
        <is>
          <t>언론·지자체 발표에서 확인</t>
        </is>
      </c>
      <c r="K1073" s="17" t="inlineStr">
        <is>
          <t>낮음</t>
        </is>
      </c>
      <c r="L1073" s="17" t="inlineStr"/>
    </row>
    <row r="1074">
      <c r="A1074" s="17" t="inlineStr">
        <is>
          <t>C172</t>
        </is>
      </c>
      <c r="B1074" s="17" t="inlineStr"/>
      <c r="C1074" s="17" t="inlineStr">
        <is>
          <t>린데코리아주식회사</t>
        </is>
      </c>
      <c r="D1074" s="17" t="inlineStr"/>
      <c r="E1074" s="17" t="inlineStr">
        <is>
          <t>최근매출(억원)</t>
        </is>
      </c>
      <c r="F1074" s="17" t="inlineStr">
        <is>
          <t>미확인</t>
        </is>
      </c>
      <c r="G1074" s="17" t="inlineStr">
        <is>
          <t>웹조사 자동화 실패(세션한도)</t>
        </is>
      </c>
      <c r="H1074" s="17" t="inlineStr">
        <is>
          <t>N</t>
        </is>
      </c>
      <c r="I1074" s="17" t="inlineStr">
        <is>
          <t>DART 사업보고서</t>
        </is>
      </c>
      <c r="J1074" s="17" t="inlineStr">
        <is>
          <t>DART 사업보고서에서 확인</t>
        </is>
      </c>
      <c r="K1074" s="17" t="inlineStr">
        <is>
          <t>낮음</t>
        </is>
      </c>
      <c r="L1074" s="17" t="inlineStr"/>
    </row>
    <row r="1075">
      <c r="A1075" s="17" t="inlineStr">
        <is>
          <t>C172</t>
        </is>
      </c>
      <c r="B1075" s="17" t="inlineStr"/>
      <c r="C1075" s="17" t="inlineStr">
        <is>
          <t>린데코리아주식회사</t>
        </is>
      </c>
      <c r="D1075" s="17" t="inlineStr"/>
      <c r="E1075" s="17" t="inlineStr">
        <is>
          <t>종업원수</t>
        </is>
      </c>
      <c r="F1075" s="17" t="inlineStr">
        <is>
          <t>미확인</t>
        </is>
      </c>
      <c r="G1075" s="17" t="inlineStr">
        <is>
          <t>웹조사 자동화 실패(세션한도)</t>
        </is>
      </c>
      <c r="H1075" s="17" t="inlineStr">
        <is>
          <t>N</t>
        </is>
      </c>
      <c r="I1075" s="17" t="inlineStr">
        <is>
          <t>DART/채용</t>
        </is>
      </c>
      <c r="J1075" s="17" t="inlineStr">
        <is>
          <t>DART/채용에서 확인</t>
        </is>
      </c>
      <c r="K1075" s="17" t="inlineStr">
        <is>
          <t>낮음</t>
        </is>
      </c>
      <c r="L1075" s="17" t="inlineStr"/>
    </row>
    <row r="1076">
      <c r="A1076" s="17" t="inlineStr">
        <is>
          <t>C172</t>
        </is>
      </c>
      <c r="B1076" s="17" t="inlineStr"/>
      <c r="C1076" s="17" t="inlineStr">
        <is>
          <t>린데코리아주식회사</t>
        </is>
      </c>
      <c r="D1076" s="17" t="inlineStr"/>
      <c r="E1076" s="17" t="inlineStr">
        <is>
          <t>수출여부</t>
        </is>
      </c>
      <c r="F1076" s="17" t="inlineStr">
        <is>
          <t>미확인</t>
        </is>
      </c>
      <c r="G1076" s="17" t="inlineStr">
        <is>
          <t>웹조사 자동화 실패(세션한도)</t>
        </is>
      </c>
      <c r="H1076" s="17" t="inlineStr">
        <is>
          <t>N</t>
        </is>
      </c>
      <c r="I1076" s="17" t="inlineStr">
        <is>
          <t>회사 공시·홈페이지</t>
        </is>
      </c>
      <c r="J1076" s="17" t="inlineStr">
        <is>
          <t>회사 공시·홈페이지에서 확인</t>
        </is>
      </c>
      <c r="K1076" s="17" t="inlineStr">
        <is>
          <t>낮음</t>
        </is>
      </c>
      <c r="L1076" s="17" t="inlineStr"/>
    </row>
    <row r="1077">
      <c r="A1077" s="17" t="inlineStr">
        <is>
          <t>C172</t>
        </is>
      </c>
      <c r="B1077" s="17" t="inlineStr"/>
      <c r="C1077" s="17" t="inlineStr">
        <is>
          <t>린데코리아주식회사</t>
        </is>
      </c>
      <c r="D1077" s="17" t="inlineStr"/>
      <c r="E1077" s="17" t="inlineStr">
        <is>
          <t>FDA·EMA 실사</t>
        </is>
      </c>
      <c r="F1077" s="17" t="inlineStr">
        <is>
          <t>미확인</t>
        </is>
      </c>
      <c r="G1077" s="17" t="inlineStr">
        <is>
          <t>웹조사 자동화 실패(세션한도)</t>
        </is>
      </c>
      <c r="H1077" s="17" t="inlineStr">
        <is>
          <t>N</t>
        </is>
      </c>
      <c r="I1077" s="17" t="inlineStr">
        <is>
          <t>FDA Inspection DB</t>
        </is>
      </c>
      <c r="J1077" s="17" t="inlineStr">
        <is>
          <t>FDA Inspection DB에서 확인</t>
        </is>
      </c>
      <c r="K1077" s="17" t="inlineStr">
        <is>
          <t>낮음</t>
        </is>
      </c>
      <c r="L1077" s="17" t="inlineStr"/>
    </row>
    <row r="1078">
      <c r="A1078" s="17" t="inlineStr">
        <is>
          <t>C172</t>
        </is>
      </c>
      <c r="B1078" s="17" t="inlineStr"/>
      <c r="C1078" s="17" t="inlineStr">
        <is>
          <t>린데코리아주식회사</t>
        </is>
      </c>
      <c r="D1078" s="17" t="inlineStr"/>
      <c r="E1078" s="17" t="inlineStr">
        <is>
          <t>CMO·CDMO</t>
        </is>
      </c>
      <c r="F1078" s="17" t="inlineStr">
        <is>
          <t>미확인</t>
        </is>
      </c>
      <c r="G1078" s="17" t="inlineStr">
        <is>
          <t>웹조사 자동화 실패(세션한도)</t>
        </is>
      </c>
      <c r="H1078" s="17" t="inlineStr">
        <is>
          <t>N</t>
        </is>
      </c>
      <c r="I1078" s="17" t="inlineStr">
        <is>
          <t>회사 홈페이지</t>
        </is>
      </c>
      <c r="J1078" s="17" t="inlineStr">
        <is>
          <t>회사 홈페이지에서 확인</t>
        </is>
      </c>
      <c r="K1078" s="17" t="inlineStr">
        <is>
          <t>낮음</t>
        </is>
      </c>
      <c r="L1078" s="17" t="inlineStr"/>
    </row>
    <row r="1079">
      <c r="A1079" s="17" t="inlineStr">
        <is>
          <t>C172</t>
        </is>
      </c>
      <c r="B1079" s="17" t="inlineStr"/>
      <c r="C1079" s="17" t="inlineStr">
        <is>
          <t>린데코리아주식회사</t>
        </is>
      </c>
      <c r="D1079" s="17" t="inlineStr"/>
      <c r="E1079" s="17" t="inlineStr">
        <is>
          <t>신공장·증설</t>
        </is>
      </c>
      <c r="F1079" s="17" t="inlineStr">
        <is>
          <t>미확인</t>
        </is>
      </c>
      <c r="G1079" s="17" t="inlineStr">
        <is>
          <t>웹조사 자동화 실패(세션한도)</t>
        </is>
      </c>
      <c r="H1079" s="17" t="inlineStr">
        <is>
          <t>N</t>
        </is>
      </c>
      <c r="I1079" s="17" t="inlineStr">
        <is>
          <t>언론·지자체 발표</t>
        </is>
      </c>
      <c r="J1079" s="17" t="inlineStr">
        <is>
          <t>언론·지자체 발표에서 확인</t>
        </is>
      </c>
      <c r="K1079" s="17" t="inlineStr">
        <is>
          <t>낮음</t>
        </is>
      </c>
      <c r="L1079" s="17" t="inlineStr"/>
    </row>
    <row r="1080">
      <c r="A1080" s="17" t="inlineStr">
        <is>
          <t>C173</t>
        </is>
      </c>
      <c r="B1080" s="17" t="inlineStr"/>
      <c r="C1080" s="17" t="inlineStr">
        <is>
          <t>이화산소(주)</t>
        </is>
      </c>
      <c r="D1080" s="17" t="inlineStr"/>
      <c r="E1080" s="17" t="inlineStr">
        <is>
          <t>최근매출(억원)</t>
        </is>
      </c>
      <c r="F1080" s="17" t="inlineStr">
        <is>
          <t>미확인</t>
        </is>
      </c>
      <c r="G1080" s="17" t="inlineStr">
        <is>
          <t>웹조사 자동화 실패(세션한도)</t>
        </is>
      </c>
      <c r="H1080" s="17" t="inlineStr">
        <is>
          <t>N</t>
        </is>
      </c>
      <c r="I1080" s="17" t="inlineStr">
        <is>
          <t>DART 사업보고서</t>
        </is>
      </c>
      <c r="J1080" s="17" t="inlineStr">
        <is>
          <t>DART 사업보고서에서 확인</t>
        </is>
      </c>
      <c r="K1080" s="17" t="inlineStr">
        <is>
          <t>낮음</t>
        </is>
      </c>
      <c r="L1080" s="17" t="inlineStr"/>
    </row>
    <row r="1081">
      <c r="A1081" s="17" t="inlineStr">
        <is>
          <t>C173</t>
        </is>
      </c>
      <c r="B1081" s="17" t="inlineStr"/>
      <c r="C1081" s="17" t="inlineStr">
        <is>
          <t>이화산소(주)</t>
        </is>
      </c>
      <c r="D1081" s="17" t="inlineStr"/>
      <c r="E1081" s="17" t="inlineStr">
        <is>
          <t>종업원수</t>
        </is>
      </c>
      <c r="F1081" s="17" t="inlineStr">
        <is>
          <t>미확인</t>
        </is>
      </c>
      <c r="G1081" s="17" t="inlineStr">
        <is>
          <t>웹조사 자동화 실패(세션한도)</t>
        </is>
      </c>
      <c r="H1081" s="17" t="inlineStr">
        <is>
          <t>N</t>
        </is>
      </c>
      <c r="I1081" s="17" t="inlineStr">
        <is>
          <t>DART/채용</t>
        </is>
      </c>
      <c r="J1081" s="17" t="inlineStr">
        <is>
          <t>DART/채용에서 확인</t>
        </is>
      </c>
      <c r="K1081" s="17" t="inlineStr">
        <is>
          <t>낮음</t>
        </is>
      </c>
      <c r="L1081" s="17" t="inlineStr"/>
    </row>
    <row r="1082">
      <c r="A1082" s="17" t="inlineStr">
        <is>
          <t>C173</t>
        </is>
      </c>
      <c r="B1082" s="17" t="inlineStr"/>
      <c r="C1082" s="17" t="inlineStr">
        <is>
          <t>이화산소(주)</t>
        </is>
      </c>
      <c r="D1082" s="17" t="inlineStr"/>
      <c r="E1082" s="17" t="inlineStr">
        <is>
          <t>수출여부</t>
        </is>
      </c>
      <c r="F1082" s="17" t="inlineStr">
        <is>
          <t>미확인</t>
        </is>
      </c>
      <c r="G1082" s="17" t="inlineStr">
        <is>
          <t>웹조사 자동화 실패(세션한도)</t>
        </is>
      </c>
      <c r="H1082" s="17" t="inlineStr">
        <is>
          <t>N</t>
        </is>
      </c>
      <c r="I1082" s="17" t="inlineStr">
        <is>
          <t>회사 공시·홈페이지</t>
        </is>
      </c>
      <c r="J1082" s="17" t="inlineStr">
        <is>
          <t>회사 공시·홈페이지에서 확인</t>
        </is>
      </c>
      <c r="K1082" s="17" t="inlineStr">
        <is>
          <t>낮음</t>
        </is>
      </c>
      <c r="L1082" s="17" t="inlineStr"/>
    </row>
    <row r="1083">
      <c r="A1083" s="17" t="inlineStr">
        <is>
          <t>C173</t>
        </is>
      </c>
      <c r="B1083" s="17" t="inlineStr"/>
      <c r="C1083" s="17" t="inlineStr">
        <is>
          <t>이화산소(주)</t>
        </is>
      </c>
      <c r="D1083" s="17" t="inlineStr"/>
      <c r="E1083" s="17" t="inlineStr">
        <is>
          <t>FDA·EMA 실사</t>
        </is>
      </c>
      <c r="F1083" s="17" t="inlineStr">
        <is>
          <t>미확인</t>
        </is>
      </c>
      <c r="G1083" s="17" t="inlineStr">
        <is>
          <t>웹조사 자동화 실패(세션한도)</t>
        </is>
      </c>
      <c r="H1083" s="17" t="inlineStr">
        <is>
          <t>N</t>
        </is>
      </c>
      <c r="I1083" s="17" t="inlineStr">
        <is>
          <t>FDA Inspection DB</t>
        </is>
      </c>
      <c r="J1083" s="17" t="inlineStr">
        <is>
          <t>FDA Inspection DB에서 확인</t>
        </is>
      </c>
      <c r="K1083" s="17" t="inlineStr">
        <is>
          <t>낮음</t>
        </is>
      </c>
      <c r="L1083" s="17" t="inlineStr"/>
    </row>
    <row r="1084">
      <c r="A1084" s="17" t="inlineStr">
        <is>
          <t>C173</t>
        </is>
      </c>
      <c r="B1084" s="17" t="inlineStr"/>
      <c r="C1084" s="17" t="inlineStr">
        <is>
          <t>이화산소(주)</t>
        </is>
      </c>
      <c r="D1084" s="17" t="inlineStr"/>
      <c r="E1084" s="17" t="inlineStr">
        <is>
          <t>CMO·CDMO</t>
        </is>
      </c>
      <c r="F1084" s="17" t="inlineStr">
        <is>
          <t>미확인</t>
        </is>
      </c>
      <c r="G1084" s="17" t="inlineStr">
        <is>
          <t>웹조사 자동화 실패(세션한도)</t>
        </is>
      </c>
      <c r="H1084" s="17" t="inlineStr">
        <is>
          <t>N</t>
        </is>
      </c>
      <c r="I1084" s="17" t="inlineStr">
        <is>
          <t>회사 홈페이지</t>
        </is>
      </c>
      <c r="J1084" s="17" t="inlineStr">
        <is>
          <t>회사 홈페이지에서 확인</t>
        </is>
      </c>
      <c r="K1084" s="17" t="inlineStr">
        <is>
          <t>낮음</t>
        </is>
      </c>
      <c r="L1084" s="17" t="inlineStr"/>
    </row>
    <row r="1085">
      <c r="A1085" s="17" t="inlineStr">
        <is>
          <t>C173</t>
        </is>
      </c>
      <c r="B1085" s="17" t="inlineStr"/>
      <c r="C1085" s="17" t="inlineStr">
        <is>
          <t>이화산소(주)</t>
        </is>
      </c>
      <c r="D1085" s="17" t="inlineStr"/>
      <c r="E1085" s="17" t="inlineStr">
        <is>
          <t>신공장·증설</t>
        </is>
      </c>
      <c r="F1085" s="17" t="inlineStr">
        <is>
          <t>미확인</t>
        </is>
      </c>
      <c r="G1085" s="17" t="inlineStr">
        <is>
          <t>웹조사 자동화 실패(세션한도)</t>
        </is>
      </c>
      <c r="H1085" s="17" t="inlineStr">
        <is>
          <t>N</t>
        </is>
      </c>
      <c r="I1085" s="17" t="inlineStr">
        <is>
          <t>언론·지자체 발표</t>
        </is>
      </c>
      <c r="J1085" s="17" t="inlineStr">
        <is>
          <t>언론·지자체 발표에서 확인</t>
        </is>
      </c>
      <c r="K1085" s="17" t="inlineStr">
        <is>
          <t>낮음</t>
        </is>
      </c>
      <c r="L1085" s="17" t="inlineStr"/>
    </row>
    <row r="1086">
      <c r="A1086" s="17" t="inlineStr">
        <is>
          <t>C174</t>
        </is>
      </c>
      <c r="B1086" s="17" t="inlineStr"/>
      <c r="C1086" s="17" t="inlineStr">
        <is>
          <t>(주)루텍</t>
        </is>
      </c>
      <c r="D1086" s="17" t="inlineStr"/>
      <c r="E1086" s="17" t="inlineStr">
        <is>
          <t>최근매출(억원)</t>
        </is>
      </c>
      <c r="F1086" s="17" t="inlineStr">
        <is>
          <t>미확인</t>
        </is>
      </c>
      <c r="G1086" s="17" t="inlineStr">
        <is>
          <t>웹조사 자동화 실패(세션한도)</t>
        </is>
      </c>
      <c r="H1086" s="17" t="inlineStr">
        <is>
          <t>N</t>
        </is>
      </c>
      <c r="I1086" s="17" t="inlineStr">
        <is>
          <t>DART 사업보고서</t>
        </is>
      </c>
      <c r="J1086" s="17" t="inlineStr">
        <is>
          <t>DART 사업보고서에서 확인</t>
        </is>
      </c>
      <c r="K1086" s="17" t="inlineStr">
        <is>
          <t>낮음</t>
        </is>
      </c>
      <c r="L1086" s="17" t="inlineStr"/>
    </row>
    <row r="1087">
      <c r="A1087" s="17" t="inlineStr">
        <is>
          <t>C174</t>
        </is>
      </c>
      <c r="B1087" s="17" t="inlineStr"/>
      <c r="C1087" s="17" t="inlineStr">
        <is>
          <t>(주)루텍</t>
        </is>
      </c>
      <c r="D1087" s="17" t="inlineStr"/>
      <c r="E1087" s="17" t="inlineStr">
        <is>
          <t>종업원수</t>
        </is>
      </c>
      <c r="F1087" s="17" t="inlineStr">
        <is>
          <t>미확인</t>
        </is>
      </c>
      <c r="G1087" s="17" t="inlineStr">
        <is>
          <t>웹조사 자동화 실패(세션한도)</t>
        </is>
      </c>
      <c r="H1087" s="17" t="inlineStr">
        <is>
          <t>N</t>
        </is>
      </c>
      <c r="I1087" s="17" t="inlineStr">
        <is>
          <t>DART/채용</t>
        </is>
      </c>
      <c r="J1087" s="17" t="inlineStr">
        <is>
          <t>DART/채용에서 확인</t>
        </is>
      </c>
      <c r="K1087" s="17" t="inlineStr">
        <is>
          <t>낮음</t>
        </is>
      </c>
      <c r="L1087" s="17" t="inlineStr"/>
    </row>
    <row r="1088">
      <c r="A1088" s="17" t="inlineStr">
        <is>
          <t>C174</t>
        </is>
      </c>
      <c r="B1088" s="17" t="inlineStr"/>
      <c r="C1088" s="17" t="inlineStr">
        <is>
          <t>(주)루텍</t>
        </is>
      </c>
      <c r="D1088" s="17" t="inlineStr"/>
      <c r="E1088" s="17" t="inlineStr">
        <is>
          <t>수출여부</t>
        </is>
      </c>
      <c r="F1088" s="17" t="inlineStr">
        <is>
          <t>미확인</t>
        </is>
      </c>
      <c r="G1088" s="17" t="inlineStr">
        <is>
          <t>웹조사 자동화 실패(세션한도)</t>
        </is>
      </c>
      <c r="H1088" s="17" t="inlineStr">
        <is>
          <t>N</t>
        </is>
      </c>
      <c r="I1088" s="17" t="inlineStr">
        <is>
          <t>회사 공시·홈페이지</t>
        </is>
      </c>
      <c r="J1088" s="17" t="inlineStr">
        <is>
          <t>회사 공시·홈페이지에서 확인</t>
        </is>
      </c>
      <c r="K1088" s="17" t="inlineStr">
        <is>
          <t>낮음</t>
        </is>
      </c>
      <c r="L1088" s="17" t="inlineStr"/>
    </row>
    <row r="1089">
      <c r="A1089" s="17" t="inlineStr">
        <is>
          <t>C174</t>
        </is>
      </c>
      <c r="B1089" s="17" t="inlineStr"/>
      <c r="C1089" s="17" t="inlineStr">
        <is>
          <t>(주)루텍</t>
        </is>
      </c>
      <c r="D1089" s="17" t="inlineStr"/>
      <c r="E1089" s="17" t="inlineStr">
        <is>
          <t>FDA·EMA 실사</t>
        </is>
      </c>
      <c r="F1089" s="17" t="inlineStr">
        <is>
          <t>미확인</t>
        </is>
      </c>
      <c r="G1089" s="17" t="inlineStr">
        <is>
          <t>웹조사 자동화 실패(세션한도)</t>
        </is>
      </c>
      <c r="H1089" s="17" t="inlineStr">
        <is>
          <t>N</t>
        </is>
      </c>
      <c r="I1089" s="17" t="inlineStr">
        <is>
          <t>FDA Inspection DB</t>
        </is>
      </c>
      <c r="J1089" s="17" t="inlineStr">
        <is>
          <t>FDA Inspection DB에서 확인</t>
        </is>
      </c>
      <c r="K1089" s="17" t="inlineStr">
        <is>
          <t>낮음</t>
        </is>
      </c>
      <c r="L1089" s="17" t="inlineStr"/>
    </row>
    <row r="1090">
      <c r="A1090" s="17" t="inlineStr">
        <is>
          <t>C174</t>
        </is>
      </c>
      <c r="B1090" s="17" t="inlineStr"/>
      <c r="C1090" s="17" t="inlineStr">
        <is>
          <t>(주)루텍</t>
        </is>
      </c>
      <c r="D1090" s="17" t="inlineStr"/>
      <c r="E1090" s="17" t="inlineStr">
        <is>
          <t>CMO·CDMO</t>
        </is>
      </c>
      <c r="F1090" s="17" t="inlineStr">
        <is>
          <t>미확인</t>
        </is>
      </c>
      <c r="G1090" s="17" t="inlineStr">
        <is>
          <t>웹조사 자동화 실패(세션한도)</t>
        </is>
      </c>
      <c r="H1090" s="17" t="inlineStr">
        <is>
          <t>N</t>
        </is>
      </c>
      <c r="I1090" s="17" t="inlineStr">
        <is>
          <t>회사 홈페이지</t>
        </is>
      </c>
      <c r="J1090" s="17" t="inlineStr">
        <is>
          <t>회사 홈페이지에서 확인</t>
        </is>
      </c>
      <c r="K1090" s="17" t="inlineStr">
        <is>
          <t>낮음</t>
        </is>
      </c>
      <c r="L1090" s="17" t="inlineStr"/>
    </row>
    <row r="1091">
      <c r="A1091" s="17" t="inlineStr">
        <is>
          <t>C174</t>
        </is>
      </c>
      <c r="B1091" s="17" t="inlineStr"/>
      <c r="C1091" s="17" t="inlineStr">
        <is>
          <t>(주)루텍</t>
        </is>
      </c>
      <c r="D1091" s="17" t="inlineStr"/>
      <c r="E1091" s="17" t="inlineStr">
        <is>
          <t>신공장·증설</t>
        </is>
      </c>
      <c r="F1091" s="17" t="inlineStr">
        <is>
          <t>미확인</t>
        </is>
      </c>
      <c r="G1091" s="17" t="inlineStr">
        <is>
          <t>웹조사 자동화 실패(세션한도)</t>
        </is>
      </c>
      <c r="H1091" s="17" t="inlineStr">
        <is>
          <t>N</t>
        </is>
      </c>
      <c r="I1091" s="17" t="inlineStr">
        <is>
          <t>언론·지자체 발표</t>
        </is>
      </c>
      <c r="J1091" s="17" t="inlineStr">
        <is>
          <t>언론·지자체 발표에서 확인</t>
        </is>
      </c>
      <c r="K1091" s="17" t="inlineStr">
        <is>
          <t>낮음</t>
        </is>
      </c>
      <c r="L1091" s="17" t="inlineStr"/>
    </row>
    <row r="1092">
      <c r="A1092" s="17" t="inlineStr">
        <is>
          <t>C175</t>
        </is>
      </c>
      <c r="B1092" s="17" t="inlineStr"/>
      <c r="C1092" s="17" t="inlineStr">
        <is>
          <t>일성아이에스(주)</t>
        </is>
      </c>
      <c r="D1092" s="17" t="inlineStr"/>
      <c r="E1092" s="17" t="inlineStr">
        <is>
          <t>최근매출(억원)</t>
        </is>
      </c>
      <c r="F1092" s="17" t="inlineStr">
        <is>
          <t>미확인</t>
        </is>
      </c>
      <c r="G1092" s="17" t="inlineStr">
        <is>
          <t>웹조사 자동화 실패(세션한도)</t>
        </is>
      </c>
      <c r="H1092" s="17" t="inlineStr">
        <is>
          <t>N</t>
        </is>
      </c>
      <c r="I1092" s="17" t="inlineStr">
        <is>
          <t>DART 사업보고서</t>
        </is>
      </c>
      <c r="J1092" s="17" t="inlineStr">
        <is>
          <t>DART 사업보고서에서 확인</t>
        </is>
      </c>
      <c r="K1092" s="17" t="inlineStr">
        <is>
          <t>낮음</t>
        </is>
      </c>
      <c r="L1092" s="17" t="inlineStr"/>
    </row>
    <row r="1093">
      <c r="A1093" s="17" t="inlineStr">
        <is>
          <t>C175</t>
        </is>
      </c>
      <c r="B1093" s="17" t="inlineStr"/>
      <c r="C1093" s="17" t="inlineStr">
        <is>
          <t>일성아이에스(주)</t>
        </is>
      </c>
      <c r="D1093" s="17" t="inlineStr"/>
      <c r="E1093" s="17" t="inlineStr">
        <is>
          <t>종업원수</t>
        </is>
      </c>
      <c r="F1093" s="17" t="inlineStr">
        <is>
          <t>미확인</t>
        </is>
      </c>
      <c r="G1093" s="17" t="inlineStr">
        <is>
          <t>웹조사 자동화 실패(세션한도)</t>
        </is>
      </c>
      <c r="H1093" s="17" t="inlineStr">
        <is>
          <t>N</t>
        </is>
      </c>
      <c r="I1093" s="17" t="inlineStr">
        <is>
          <t>DART/채용</t>
        </is>
      </c>
      <c r="J1093" s="17" t="inlineStr">
        <is>
          <t>DART/채용에서 확인</t>
        </is>
      </c>
      <c r="K1093" s="17" t="inlineStr">
        <is>
          <t>낮음</t>
        </is>
      </c>
      <c r="L1093" s="17" t="inlineStr"/>
    </row>
    <row r="1094">
      <c r="A1094" s="17" t="inlineStr">
        <is>
          <t>C175</t>
        </is>
      </c>
      <c r="B1094" s="17" t="inlineStr"/>
      <c r="C1094" s="17" t="inlineStr">
        <is>
          <t>일성아이에스(주)</t>
        </is>
      </c>
      <c r="D1094" s="17" t="inlineStr"/>
      <c r="E1094" s="17" t="inlineStr">
        <is>
          <t>수출여부</t>
        </is>
      </c>
      <c r="F1094" s="17" t="inlineStr">
        <is>
          <t>미확인</t>
        </is>
      </c>
      <c r="G1094" s="17" t="inlineStr">
        <is>
          <t>웹조사 자동화 실패(세션한도)</t>
        </is>
      </c>
      <c r="H1094" s="17" t="inlineStr">
        <is>
          <t>N</t>
        </is>
      </c>
      <c r="I1094" s="17" t="inlineStr">
        <is>
          <t>회사 공시·홈페이지</t>
        </is>
      </c>
      <c r="J1094" s="17" t="inlineStr">
        <is>
          <t>회사 공시·홈페이지에서 확인</t>
        </is>
      </c>
      <c r="K1094" s="17" t="inlineStr">
        <is>
          <t>낮음</t>
        </is>
      </c>
      <c r="L1094" s="17" t="inlineStr"/>
    </row>
    <row r="1095">
      <c r="A1095" s="17" t="inlineStr">
        <is>
          <t>C175</t>
        </is>
      </c>
      <c r="B1095" s="17" t="inlineStr"/>
      <c r="C1095" s="17" t="inlineStr">
        <is>
          <t>일성아이에스(주)</t>
        </is>
      </c>
      <c r="D1095" s="17" t="inlineStr"/>
      <c r="E1095" s="17" t="inlineStr">
        <is>
          <t>FDA·EMA 실사</t>
        </is>
      </c>
      <c r="F1095" s="17" t="inlineStr">
        <is>
          <t>미확인</t>
        </is>
      </c>
      <c r="G1095" s="17" t="inlineStr">
        <is>
          <t>웹조사 자동화 실패(세션한도)</t>
        </is>
      </c>
      <c r="H1095" s="17" t="inlineStr">
        <is>
          <t>N</t>
        </is>
      </c>
      <c r="I1095" s="17" t="inlineStr">
        <is>
          <t>FDA Inspection DB</t>
        </is>
      </c>
      <c r="J1095" s="17" t="inlineStr">
        <is>
          <t>FDA Inspection DB에서 확인</t>
        </is>
      </c>
      <c r="K1095" s="17" t="inlineStr">
        <is>
          <t>낮음</t>
        </is>
      </c>
      <c r="L1095" s="17" t="inlineStr"/>
    </row>
    <row r="1096">
      <c r="A1096" s="17" t="inlineStr">
        <is>
          <t>C175</t>
        </is>
      </c>
      <c r="B1096" s="17" t="inlineStr"/>
      <c r="C1096" s="17" t="inlineStr">
        <is>
          <t>일성아이에스(주)</t>
        </is>
      </c>
      <c r="D1096" s="17" t="inlineStr"/>
      <c r="E1096" s="17" t="inlineStr">
        <is>
          <t>CMO·CDMO</t>
        </is>
      </c>
      <c r="F1096" s="17" t="inlineStr">
        <is>
          <t>미확인</t>
        </is>
      </c>
      <c r="G1096" s="17" t="inlineStr">
        <is>
          <t>웹조사 자동화 실패(세션한도)</t>
        </is>
      </c>
      <c r="H1096" s="17" t="inlineStr">
        <is>
          <t>N</t>
        </is>
      </c>
      <c r="I1096" s="17" t="inlineStr">
        <is>
          <t>회사 홈페이지</t>
        </is>
      </c>
      <c r="J1096" s="17" t="inlineStr">
        <is>
          <t>회사 홈페이지에서 확인</t>
        </is>
      </c>
      <c r="K1096" s="17" t="inlineStr">
        <is>
          <t>낮음</t>
        </is>
      </c>
      <c r="L1096" s="17" t="inlineStr"/>
    </row>
    <row r="1097">
      <c r="A1097" s="17" t="inlineStr">
        <is>
          <t>C175</t>
        </is>
      </c>
      <c r="B1097" s="17" t="inlineStr"/>
      <c r="C1097" s="17" t="inlineStr">
        <is>
          <t>일성아이에스(주)</t>
        </is>
      </c>
      <c r="D1097" s="17" t="inlineStr"/>
      <c r="E1097" s="17" t="inlineStr">
        <is>
          <t>신공장·증설</t>
        </is>
      </c>
      <c r="F1097" s="17" t="inlineStr">
        <is>
          <t>미확인</t>
        </is>
      </c>
      <c r="G1097" s="17" t="inlineStr">
        <is>
          <t>웹조사 자동화 실패(세션한도)</t>
        </is>
      </c>
      <c r="H1097" s="17" t="inlineStr">
        <is>
          <t>N</t>
        </is>
      </c>
      <c r="I1097" s="17" t="inlineStr">
        <is>
          <t>언론·지자체 발표</t>
        </is>
      </c>
      <c r="J1097" s="17" t="inlineStr">
        <is>
          <t>언론·지자체 발표에서 확인</t>
        </is>
      </c>
      <c r="K1097" s="17" t="inlineStr">
        <is>
          <t>낮음</t>
        </is>
      </c>
      <c r="L1097" s="17" t="inlineStr"/>
    </row>
    <row r="1098">
      <c r="A1098" s="17" t="inlineStr">
        <is>
          <t>C176</t>
        </is>
      </c>
      <c r="B1098" s="17" t="inlineStr"/>
      <c r="C1098" s="17" t="inlineStr">
        <is>
          <t>씨에이치디제약주식회사</t>
        </is>
      </c>
      <c r="D1098" s="17" t="inlineStr"/>
      <c r="E1098" s="17" t="inlineStr">
        <is>
          <t>최근매출(억원)</t>
        </is>
      </c>
      <c r="F1098" s="17" t="inlineStr">
        <is>
          <t>미확인</t>
        </is>
      </c>
      <c r="G1098" s="17" t="inlineStr">
        <is>
          <t>웹조사 자동화 실패(세션한도)</t>
        </is>
      </c>
      <c r="H1098" s="17" t="inlineStr">
        <is>
          <t>N</t>
        </is>
      </c>
      <c r="I1098" s="17" t="inlineStr">
        <is>
          <t>DART 사업보고서</t>
        </is>
      </c>
      <c r="J1098" s="17" t="inlineStr">
        <is>
          <t>DART 사업보고서에서 확인</t>
        </is>
      </c>
      <c r="K1098" s="17" t="inlineStr">
        <is>
          <t>낮음</t>
        </is>
      </c>
      <c r="L1098" s="17" t="inlineStr"/>
    </row>
    <row r="1099">
      <c r="A1099" s="17" t="inlineStr">
        <is>
          <t>C176</t>
        </is>
      </c>
      <c r="B1099" s="17" t="inlineStr"/>
      <c r="C1099" s="17" t="inlineStr">
        <is>
          <t>씨에이치디제약주식회사</t>
        </is>
      </c>
      <c r="D1099" s="17" t="inlineStr"/>
      <c r="E1099" s="17" t="inlineStr">
        <is>
          <t>종업원수</t>
        </is>
      </c>
      <c r="F1099" s="17" t="inlineStr">
        <is>
          <t>미확인</t>
        </is>
      </c>
      <c r="G1099" s="17" t="inlineStr">
        <is>
          <t>웹조사 자동화 실패(세션한도)</t>
        </is>
      </c>
      <c r="H1099" s="17" t="inlineStr">
        <is>
          <t>N</t>
        </is>
      </c>
      <c r="I1099" s="17" t="inlineStr">
        <is>
          <t>DART/채용</t>
        </is>
      </c>
      <c r="J1099" s="17" t="inlineStr">
        <is>
          <t>DART/채용에서 확인</t>
        </is>
      </c>
      <c r="K1099" s="17" t="inlineStr">
        <is>
          <t>낮음</t>
        </is>
      </c>
      <c r="L1099" s="17" t="inlineStr"/>
    </row>
    <row r="1100">
      <c r="A1100" s="17" t="inlineStr">
        <is>
          <t>C176</t>
        </is>
      </c>
      <c r="B1100" s="17" t="inlineStr"/>
      <c r="C1100" s="17" t="inlineStr">
        <is>
          <t>씨에이치디제약주식회사</t>
        </is>
      </c>
      <c r="D1100" s="17" t="inlineStr"/>
      <c r="E1100" s="17" t="inlineStr">
        <is>
          <t>수출여부</t>
        </is>
      </c>
      <c r="F1100" s="17" t="inlineStr">
        <is>
          <t>미확인</t>
        </is>
      </c>
      <c r="G1100" s="17" t="inlineStr">
        <is>
          <t>웹조사 자동화 실패(세션한도)</t>
        </is>
      </c>
      <c r="H1100" s="17" t="inlineStr">
        <is>
          <t>N</t>
        </is>
      </c>
      <c r="I1100" s="17" t="inlineStr">
        <is>
          <t>회사 공시·홈페이지</t>
        </is>
      </c>
      <c r="J1100" s="17" t="inlineStr">
        <is>
          <t>회사 공시·홈페이지에서 확인</t>
        </is>
      </c>
      <c r="K1100" s="17" t="inlineStr">
        <is>
          <t>낮음</t>
        </is>
      </c>
      <c r="L1100" s="17" t="inlineStr"/>
    </row>
    <row r="1101">
      <c r="A1101" s="17" t="inlineStr">
        <is>
          <t>C176</t>
        </is>
      </c>
      <c r="B1101" s="17" t="inlineStr"/>
      <c r="C1101" s="17" t="inlineStr">
        <is>
          <t>씨에이치디제약주식회사</t>
        </is>
      </c>
      <c r="D1101" s="17" t="inlineStr"/>
      <c r="E1101" s="17" t="inlineStr">
        <is>
          <t>FDA·EMA 실사</t>
        </is>
      </c>
      <c r="F1101" s="17" t="inlineStr">
        <is>
          <t>미확인</t>
        </is>
      </c>
      <c r="G1101" s="17" t="inlineStr">
        <is>
          <t>웹조사 자동화 실패(세션한도)</t>
        </is>
      </c>
      <c r="H1101" s="17" t="inlineStr">
        <is>
          <t>N</t>
        </is>
      </c>
      <c r="I1101" s="17" t="inlineStr">
        <is>
          <t>FDA Inspection DB</t>
        </is>
      </c>
      <c r="J1101" s="17" t="inlineStr">
        <is>
          <t>FDA Inspection DB에서 확인</t>
        </is>
      </c>
      <c r="K1101" s="17" t="inlineStr">
        <is>
          <t>낮음</t>
        </is>
      </c>
      <c r="L1101" s="17" t="inlineStr"/>
    </row>
    <row r="1102">
      <c r="A1102" s="17" t="inlineStr">
        <is>
          <t>C176</t>
        </is>
      </c>
      <c r="B1102" s="17" t="inlineStr"/>
      <c r="C1102" s="17" t="inlineStr">
        <is>
          <t>씨에이치디제약주식회사</t>
        </is>
      </c>
      <c r="D1102" s="17" t="inlineStr"/>
      <c r="E1102" s="17" t="inlineStr">
        <is>
          <t>CMO·CDMO</t>
        </is>
      </c>
      <c r="F1102" s="17" t="inlineStr">
        <is>
          <t>미확인</t>
        </is>
      </c>
      <c r="G1102" s="17" t="inlineStr">
        <is>
          <t>웹조사 자동화 실패(세션한도)</t>
        </is>
      </c>
      <c r="H1102" s="17" t="inlineStr">
        <is>
          <t>N</t>
        </is>
      </c>
      <c r="I1102" s="17" t="inlineStr">
        <is>
          <t>회사 홈페이지</t>
        </is>
      </c>
      <c r="J1102" s="17" t="inlineStr">
        <is>
          <t>회사 홈페이지에서 확인</t>
        </is>
      </c>
      <c r="K1102" s="17" t="inlineStr">
        <is>
          <t>낮음</t>
        </is>
      </c>
      <c r="L1102" s="17" t="inlineStr"/>
    </row>
    <row r="1103">
      <c r="A1103" s="17" t="inlineStr">
        <is>
          <t>C176</t>
        </is>
      </c>
      <c r="B1103" s="17" t="inlineStr"/>
      <c r="C1103" s="17" t="inlineStr">
        <is>
          <t>씨에이치디제약주식회사</t>
        </is>
      </c>
      <c r="D1103" s="17" t="inlineStr"/>
      <c r="E1103" s="17" t="inlineStr">
        <is>
          <t>신공장·증설</t>
        </is>
      </c>
      <c r="F1103" s="17" t="inlineStr">
        <is>
          <t>미확인</t>
        </is>
      </c>
      <c r="G1103" s="17" t="inlineStr">
        <is>
          <t>웹조사 자동화 실패(세션한도)</t>
        </is>
      </c>
      <c r="H1103" s="17" t="inlineStr">
        <is>
          <t>N</t>
        </is>
      </c>
      <c r="I1103" s="17" t="inlineStr">
        <is>
          <t>언론·지자체 발표</t>
        </is>
      </c>
      <c r="J1103" s="17" t="inlineStr">
        <is>
          <t>언론·지자체 발표에서 확인</t>
        </is>
      </c>
      <c r="K1103" s="17" t="inlineStr">
        <is>
          <t>낮음</t>
        </is>
      </c>
      <c r="L1103" s="17" t="inlineStr"/>
    </row>
    <row r="1104">
      <c r="A1104" s="17" t="inlineStr">
        <is>
          <t>C177</t>
        </is>
      </c>
      <c r="B1104" s="17" t="inlineStr"/>
      <c r="C1104" s="17" t="inlineStr">
        <is>
          <t>(주)제뉴파마</t>
        </is>
      </c>
      <c r="D1104" s="17" t="inlineStr"/>
      <c r="E1104" s="17" t="inlineStr">
        <is>
          <t>최근매출(억원)</t>
        </is>
      </c>
      <c r="F1104" s="17" t="inlineStr">
        <is>
          <t>미확인</t>
        </is>
      </c>
      <c r="G1104" s="17" t="inlineStr">
        <is>
          <t>웹조사 자동화 실패(세션한도)</t>
        </is>
      </c>
      <c r="H1104" s="17" t="inlineStr">
        <is>
          <t>N</t>
        </is>
      </c>
      <c r="I1104" s="17" t="inlineStr">
        <is>
          <t>DART 사업보고서</t>
        </is>
      </c>
      <c r="J1104" s="17" t="inlineStr">
        <is>
          <t>DART 사업보고서에서 확인</t>
        </is>
      </c>
      <c r="K1104" s="17" t="inlineStr">
        <is>
          <t>낮음</t>
        </is>
      </c>
      <c r="L1104" s="17" t="inlineStr"/>
    </row>
    <row r="1105">
      <c r="A1105" s="17" t="inlineStr">
        <is>
          <t>C177</t>
        </is>
      </c>
      <c r="B1105" s="17" t="inlineStr"/>
      <c r="C1105" s="17" t="inlineStr">
        <is>
          <t>(주)제뉴파마</t>
        </is>
      </c>
      <c r="D1105" s="17" t="inlineStr"/>
      <c r="E1105" s="17" t="inlineStr">
        <is>
          <t>종업원수</t>
        </is>
      </c>
      <c r="F1105" s="17" t="inlineStr">
        <is>
          <t>미확인</t>
        </is>
      </c>
      <c r="G1105" s="17" t="inlineStr">
        <is>
          <t>웹조사 자동화 실패(세션한도)</t>
        </is>
      </c>
      <c r="H1105" s="17" t="inlineStr">
        <is>
          <t>N</t>
        </is>
      </c>
      <c r="I1105" s="17" t="inlineStr">
        <is>
          <t>DART/채용</t>
        </is>
      </c>
      <c r="J1105" s="17" t="inlineStr">
        <is>
          <t>DART/채용에서 확인</t>
        </is>
      </c>
      <c r="K1105" s="17" t="inlineStr">
        <is>
          <t>낮음</t>
        </is>
      </c>
      <c r="L1105" s="17" t="inlineStr"/>
    </row>
    <row r="1106">
      <c r="A1106" s="17" t="inlineStr">
        <is>
          <t>C177</t>
        </is>
      </c>
      <c r="B1106" s="17" t="inlineStr"/>
      <c r="C1106" s="17" t="inlineStr">
        <is>
          <t>(주)제뉴파마</t>
        </is>
      </c>
      <c r="D1106" s="17" t="inlineStr"/>
      <c r="E1106" s="17" t="inlineStr">
        <is>
          <t>수출여부</t>
        </is>
      </c>
      <c r="F1106" s="17" t="inlineStr">
        <is>
          <t>미확인</t>
        </is>
      </c>
      <c r="G1106" s="17" t="inlineStr">
        <is>
          <t>웹조사 자동화 실패(세션한도)</t>
        </is>
      </c>
      <c r="H1106" s="17" t="inlineStr">
        <is>
          <t>N</t>
        </is>
      </c>
      <c r="I1106" s="17" t="inlineStr">
        <is>
          <t>회사 공시·홈페이지</t>
        </is>
      </c>
      <c r="J1106" s="17" t="inlineStr">
        <is>
          <t>회사 공시·홈페이지에서 확인</t>
        </is>
      </c>
      <c r="K1106" s="17" t="inlineStr">
        <is>
          <t>낮음</t>
        </is>
      </c>
      <c r="L1106" s="17" t="inlineStr"/>
    </row>
    <row r="1107">
      <c r="A1107" s="17" t="inlineStr">
        <is>
          <t>C177</t>
        </is>
      </c>
      <c r="B1107" s="17" t="inlineStr"/>
      <c r="C1107" s="17" t="inlineStr">
        <is>
          <t>(주)제뉴파마</t>
        </is>
      </c>
      <c r="D1107" s="17" t="inlineStr"/>
      <c r="E1107" s="17" t="inlineStr">
        <is>
          <t>FDA·EMA 실사</t>
        </is>
      </c>
      <c r="F1107" s="17" t="inlineStr">
        <is>
          <t>미확인</t>
        </is>
      </c>
      <c r="G1107" s="17" t="inlineStr">
        <is>
          <t>웹조사 자동화 실패(세션한도)</t>
        </is>
      </c>
      <c r="H1107" s="17" t="inlineStr">
        <is>
          <t>N</t>
        </is>
      </c>
      <c r="I1107" s="17" t="inlineStr">
        <is>
          <t>FDA Inspection DB</t>
        </is>
      </c>
      <c r="J1107" s="17" t="inlineStr">
        <is>
          <t>FDA Inspection DB에서 확인</t>
        </is>
      </c>
      <c r="K1107" s="17" t="inlineStr">
        <is>
          <t>낮음</t>
        </is>
      </c>
      <c r="L1107" s="17" t="inlineStr"/>
    </row>
    <row r="1108">
      <c r="A1108" s="17" t="inlineStr">
        <is>
          <t>C177</t>
        </is>
      </c>
      <c r="B1108" s="17" t="inlineStr"/>
      <c r="C1108" s="17" t="inlineStr">
        <is>
          <t>(주)제뉴파마</t>
        </is>
      </c>
      <c r="D1108" s="17" t="inlineStr"/>
      <c r="E1108" s="17" t="inlineStr">
        <is>
          <t>CMO·CDMO</t>
        </is>
      </c>
      <c r="F1108" s="17" t="inlineStr">
        <is>
          <t>미확인</t>
        </is>
      </c>
      <c r="G1108" s="17" t="inlineStr">
        <is>
          <t>웹조사 자동화 실패(세션한도)</t>
        </is>
      </c>
      <c r="H1108" s="17" t="inlineStr">
        <is>
          <t>N</t>
        </is>
      </c>
      <c r="I1108" s="17" t="inlineStr">
        <is>
          <t>회사 홈페이지</t>
        </is>
      </c>
      <c r="J1108" s="17" t="inlineStr">
        <is>
          <t>회사 홈페이지에서 확인</t>
        </is>
      </c>
      <c r="K1108" s="17" t="inlineStr">
        <is>
          <t>낮음</t>
        </is>
      </c>
      <c r="L1108" s="17" t="inlineStr"/>
    </row>
    <row r="1109">
      <c r="A1109" s="17" t="inlineStr">
        <is>
          <t>C177</t>
        </is>
      </c>
      <c r="B1109" s="17" t="inlineStr"/>
      <c r="C1109" s="17" t="inlineStr">
        <is>
          <t>(주)제뉴파마</t>
        </is>
      </c>
      <c r="D1109" s="17" t="inlineStr"/>
      <c r="E1109" s="17" t="inlineStr">
        <is>
          <t>신공장·증설</t>
        </is>
      </c>
      <c r="F1109" s="17" t="inlineStr">
        <is>
          <t>미확인</t>
        </is>
      </c>
      <c r="G1109" s="17" t="inlineStr">
        <is>
          <t>웹조사 자동화 실패(세션한도)</t>
        </is>
      </c>
      <c r="H1109" s="17" t="inlineStr">
        <is>
          <t>N</t>
        </is>
      </c>
      <c r="I1109" s="17" t="inlineStr">
        <is>
          <t>언론·지자체 발표</t>
        </is>
      </c>
      <c r="J1109" s="17" t="inlineStr">
        <is>
          <t>언론·지자체 발표에서 확인</t>
        </is>
      </c>
      <c r="K1109" s="17" t="inlineStr">
        <is>
          <t>낮음</t>
        </is>
      </c>
      <c r="L1109" s="17" t="inlineStr"/>
    </row>
    <row r="1110">
      <c r="A1110" s="17" t="inlineStr">
        <is>
          <t>C178</t>
        </is>
      </c>
      <c r="B1110" s="17" t="inlineStr"/>
      <c r="C1110" s="17" t="inlineStr">
        <is>
          <t>주식회사에어가스코리아</t>
        </is>
      </c>
      <c r="D1110" s="17" t="inlineStr"/>
      <c r="E1110" s="17" t="inlineStr">
        <is>
          <t>최근매출(억원)</t>
        </is>
      </c>
      <c r="F1110" s="17" t="inlineStr">
        <is>
          <t>미확인</t>
        </is>
      </c>
      <c r="G1110" s="17" t="inlineStr">
        <is>
          <t>웹조사 자동화 실패(세션한도)</t>
        </is>
      </c>
      <c r="H1110" s="17" t="inlineStr">
        <is>
          <t>N</t>
        </is>
      </c>
      <c r="I1110" s="17" t="inlineStr">
        <is>
          <t>DART 사업보고서</t>
        </is>
      </c>
      <c r="J1110" s="17" t="inlineStr">
        <is>
          <t>DART 사업보고서에서 확인</t>
        </is>
      </c>
      <c r="K1110" s="17" t="inlineStr">
        <is>
          <t>낮음</t>
        </is>
      </c>
      <c r="L1110" s="17" t="inlineStr"/>
    </row>
    <row r="1111">
      <c r="A1111" s="17" t="inlineStr">
        <is>
          <t>C178</t>
        </is>
      </c>
      <c r="B1111" s="17" t="inlineStr"/>
      <c r="C1111" s="17" t="inlineStr">
        <is>
          <t>주식회사에어가스코리아</t>
        </is>
      </c>
      <c r="D1111" s="17" t="inlineStr"/>
      <c r="E1111" s="17" t="inlineStr">
        <is>
          <t>종업원수</t>
        </is>
      </c>
      <c r="F1111" s="17" t="inlineStr">
        <is>
          <t>미확인</t>
        </is>
      </c>
      <c r="G1111" s="17" t="inlineStr">
        <is>
          <t>웹조사 자동화 실패(세션한도)</t>
        </is>
      </c>
      <c r="H1111" s="17" t="inlineStr">
        <is>
          <t>N</t>
        </is>
      </c>
      <c r="I1111" s="17" t="inlineStr">
        <is>
          <t>DART/채용</t>
        </is>
      </c>
      <c r="J1111" s="17" t="inlineStr">
        <is>
          <t>DART/채용에서 확인</t>
        </is>
      </c>
      <c r="K1111" s="17" t="inlineStr">
        <is>
          <t>낮음</t>
        </is>
      </c>
      <c r="L1111" s="17" t="inlineStr"/>
    </row>
    <row r="1112">
      <c r="A1112" s="17" t="inlineStr">
        <is>
          <t>C178</t>
        </is>
      </c>
      <c r="B1112" s="17" t="inlineStr"/>
      <c r="C1112" s="17" t="inlineStr">
        <is>
          <t>주식회사에어가스코리아</t>
        </is>
      </c>
      <c r="D1112" s="17" t="inlineStr"/>
      <c r="E1112" s="17" t="inlineStr">
        <is>
          <t>수출여부</t>
        </is>
      </c>
      <c r="F1112" s="17" t="inlineStr">
        <is>
          <t>미확인</t>
        </is>
      </c>
      <c r="G1112" s="17" t="inlineStr">
        <is>
          <t>웹조사 자동화 실패(세션한도)</t>
        </is>
      </c>
      <c r="H1112" s="17" t="inlineStr">
        <is>
          <t>N</t>
        </is>
      </c>
      <c r="I1112" s="17" t="inlineStr">
        <is>
          <t>회사 공시·홈페이지</t>
        </is>
      </c>
      <c r="J1112" s="17" t="inlineStr">
        <is>
          <t>회사 공시·홈페이지에서 확인</t>
        </is>
      </c>
      <c r="K1112" s="17" t="inlineStr">
        <is>
          <t>낮음</t>
        </is>
      </c>
      <c r="L1112" s="17" t="inlineStr"/>
    </row>
    <row r="1113">
      <c r="A1113" s="17" t="inlineStr">
        <is>
          <t>C178</t>
        </is>
      </c>
      <c r="B1113" s="17" t="inlineStr"/>
      <c r="C1113" s="17" t="inlineStr">
        <is>
          <t>주식회사에어가스코리아</t>
        </is>
      </c>
      <c r="D1113" s="17" t="inlineStr"/>
      <c r="E1113" s="17" t="inlineStr">
        <is>
          <t>FDA·EMA 실사</t>
        </is>
      </c>
      <c r="F1113" s="17" t="inlineStr">
        <is>
          <t>미확인</t>
        </is>
      </c>
      <c r="G1113" s="17" t="inlineStr">
        <is>
          <t>웹조사 자동화 실패(세션한도)</t>
        </is>
      </c>
      <c r="H1113" s="17" t="inlineStr">
        <is>
          <t>N</t>
        </is>
      </c>
      <c r="I1113" s="17" t="inlineStr">
        <is>
          <t>FDA Inspection DB</t>
        </is>
      </c>
      <c r="J1113" s="17" t="inlineStr">
        <is>
          <t>FDA Inspection DB에서 확인</t>
        </is>
      </c>
      <c r="K1113" s="17" t="inlineStr">
        <is>
          <t>낮음</t>
        </is>
      </c>
      <c r="L1113" s="17" t="inlineStr"/>
    </row>
    <row r="1114">
      <c r="A1114" s="17" t="inlineStr">
        <is>
          <t>C178</t>
        </is>
      </c>
      <c r="B1114" s="17" t="inlineStr"/>
      <c r="C1114" s="17" t="inlineStr">
        <is>
          <t>주식회사에어가스코리아</t>
        </is>
      </c>
      <c r="D1114" s="17" t="inlineStr"/>
      <c r="E1114" s="17" t="inlineStr">
        <is>
          <t>CMO·CDMO</t>
        </is>
      </c>
      <c r="F1114" s="17" t="inlineStr">
        <is>
          <t>미확인</t>
        </is>
      </c>
      <c r="G1114" s="17" t="inlineStr">
        <is>
          <t>웹조사 자동화 실패(세션한도)</t>
        </is>
      </c>
      <c r="H1114" s="17" t="inlineStr">
        <is>
          <t>N</t>
        </is>
      </c>
      <c r="I1114" s="17" t="inlineStr">
        <is>
          <t>회사 홈페이지</t>
        </is>
      </c>
      <c r="J1114" s="17" t="inlineStr">
        <is>
          <t>회사 홈페이지에서 확인</t>
        </is>
      </c>
      <c r="K1114" s="17" t="inlineStr">
        <is>
          <t>낮음</t>
        </is>
      </c>
      <c r="L1114" s="17" t="inlineStr"/>
    </row>
    <row r="1115">
      <c r="A1115" s="17" t="inlineStr">
        <is>
          <t>C178</t>
        </is>
      </c>
      <c r="B1115" s="17" t="inlineStr"/>
      <c r="C1115" s="17" t="inlineStr">
        <is>
          <t>주식회사에어가스코리아</t>
        </is>
      </c>
      <c r="D1115" s="17" t="inlineStr"/>
      <c r="E1115" s="17" t="inlineStr">
        <is>
          <t>신공장·증설</t>
        </is>
      </c>
      <c r="F1115" s="17" t="inlineStr">
        <is>
          <t>미확인</t>
        </is>
      </c>
      <c r="G1115" s="17" t="inlineStr">
        <is>
          <t>웹조사 자동화 실패(세션한도)</t>
        </is>
      </c>
      <c r="H1115" s="17" t="inlineStr">
        <is>
          <t>N</t>
        </is>
      </c>
      <c r="I1115" s="17" t="inlineStr">
        <is>
          <t>언론·지자체 발표</t>
        </is>
      </c>
      <c r="J1115" s="17" t="inlineStr">
        <is>
          <t>언론·지자체 발표에서 확인</t>
        </is>
      </c>
      <c r="K1115" s="17" t="inlineStr">
        <is>
          <t>낮음</t>
        </is>
      </c>
      <c r="L1115" s="17" t="inlineStr"/>
    </row>
    <row r="1116">
      <c r="A1116" s="17" t="inlineStr">
        <is>
          <t>C179</t>
        </is>
      </c>
      <c r="B1116" s="17" t="inlineStr"/>
      <c r="C1116" s="17" t="inlineStr">
        <is>
          <t>오스템파마주식회사</t>
        </is>
      </c>
      <c r="D1116" s="17" t="inlineStr"/>
      <c r="E1116" s="17" t="inlineStr">
        <is>
          <t>최근매출(억원)</t>
        </is>
      </c>
      <c r="F1116" s="17" t="inlineStr">
        <is>
          <t>미확인</t>
        </is>
      </c>
      <c r="G1116" s="17" t="inlineStr">
        <is>
          <t>웹조사 자동화 실패(세션한도)</t>
        </is>
      </c>
      <c r="H1116" s="17" t="inlineStr">
        <is>
          <t>N</t>
        </is>
      </c>
      <c r="I1116" s="17" t="inlineStr">
        <is>
          <t>DART 사업보고서</t>
        </is>
      </c>
      <c r="J1116" s="17" t="inlineStr">
        <is>
          <t>DART 사업보고서에서 확인</t>
        </is>
      </c>
      <c r="K1116" s="17" t="inlineStr">
        <is>
          <t>낮음</t>
        </is>
      </c>
      <c r="L1116" s="17" t="inlineStr"/>
    </row>
    <row r="1117">
      <c r="A1117" s="17" t="inlineStr">
        <is>
          <t>C179</t>
        </is>
      </c>
      <c r="B1117" s="17" t="inlineStr"/>
      <c r="C1117" s="17" t="inlineStr">
        <is>
          <t>오스템파마주식회사</t>
        </is>
      </c>
      <c r="D1117" s="17" t="inlineStr"/>
      <c r="E1117" s="17" t="inlineStr">
        <is>
          <t>종업원수</t>
        </is>
      </c>
      <c r="F1117" s="17" t="inlineStr">
        <is>
          <t>미확인</t>
        </is>
      </c>
      <c r="G1117" s="17" t="inlineStr">
        <is>
          <t>웹조사 자동화 실패(세션한도)</t>
        </is>
      </c>
      <c r="H1117" s="17" t="inlineStr">
        <is>
          <t>N</t>
        </is>
      </c>
      <c r="I1117" s="17" t="inlineStr">
        <is>
          <t>DART/채용</t>
        </is>
      </c>
      <c r="J1117" s="17" t="inlineStr">
        <is>
          <t>DART/채용에서 확인</t>
        </is>
      </c>
      <c r="K1117" s="17" t="inlineStr">
        <is>
          <t>낮음</t>
        </is>
      </c>
      <c r="L1117" s="17" t="inlineStr"/>
    </row>
    <row r="1118">
      <c r="A1118" s="17" t="inlineStr">
        <is>
          <t>C179</t>
        </is>
      </c>
      <c r="B1118" s="17" t="inlineStr"/>
      <c r="C1118" s="17" t="inlineStr">
        <is>
          <t>오스템파마주식회사</t>
        </is>
      </c>
      <c r="D1118" s="17" t="inlineStr"/>
      <c r="E1118" s="17" t="inlineStr">
        <is>
          <t>수출여부</t>
        </is>
      </c>
      <c r="F1118" s="17" t="inlineStr">
        <is>
          <t>미확인</t>
        </is>
      </c>
      <c r="G1118" s="17" t="inlineStr">
        <is>
          <t>웹조사 자동화 실패(세션한도)</t>
        </is>
      </c>
      <c r="H1118" s="17" t="inlineStr">
        <is>
          <t>N</t>
        </is>
      </c>
      <c r="I1118" s="17" t="inlineStr">
        <is>
          <t>회사 공시·홈페이지</t>
        </is>
      </c>
      <c r="J1118" s="17" t="inlineStr">
        <is>
          <t>회사 공시·홈페이지에서 확인</t>
        </is>
      </c>
      <c r="K1118" s="17" t="inlineStr">
        <is>
          <t>낮음</t>
        </is>
      </c>
      <c r="L1118" s="17" t="inlineStr"/>
    </row>
    <row r="1119">
      <c r="A1119" s="17" t="inlineStr">
        <is>
          <t>C179</t>
        </is>
      </c>
      <c r="B1119" s="17" t="inlineStr"/>
      <c r="C1119" s="17" t="inlineStr">
        <is>
          <t>오스템파마주식회사</t>
        </is>
      </c>
      <c r="D1119" s="17" t="inlineStr"/>
      <c r="E1119" s="17" t="inlineStr">
        <is>
          <t>FDA·EMA 실사</t>
        </is>
      </c>
      <c r="F1119" s="17" t="inlineStr">
        <is>
          <t>미확인</t>
        </is>
      </c>
      <c r="G1119" s="17" t="inlineStr">
        <is>
          <t>웹조사 자동화 실패(세션한도)</t>
        </is>
      </c>
      <c r="H1119" s="17" t="inlineStr">
        <is>
          <t>N</t>
        </is>
      </c>
      <c r="I1119" s="17" t="inlineStr">
        <is>
          <t>FDA Inspection DB</t>
        </is>
      </c>
      <c r="J1119" s="17" t="inlineStr">
        <is>
          <t>FDA Inspection DB에서 확인</t>
        </is>
      </c>
      <c r="K1119" s="17" t="inlineStr">
        <is>
          <t>낮음</t>
        </is>
      </c>
      <c r="L1119" s="17" t="inlineStr"/>
    </row>
    <row r="1120">
      <c r="A1120" s="17" t="inlineStr">
        <is>
          <t>C179</t>
        </is>
      </c>
      <c r="B1120" s="17" t="inlineStr"/>
      <c r="C1120" s="17" t="inlineStr">
        <is>
          <t>오스템파마주식회사</t>
        </is>
      </c>
      <c r="D1120" s="17" t="inlineStr"/>
      <c r="E1120" s="17" t="inlineStr">
        <is>
          <t>CMO·CDMO</t>
        </is>
      </c>
      <c r="F1120" s="17" t="inlineStr">
        <is>
          <t>미확인</t>
        </is>
      </c>
      <c r="G1120" s="17" t="inlineStr">
        <is>
          <t>웹조사 자동화 실패(세션한도)</t>
        </is>
      </c>
      <c r="H1120" s="17" t="inlineStr">
        <is>
          <t>N</t>
        </is>
      </c>
      <c r="I1120" s="17" t="inlineStr">
        <is>
          <t>회사 홈페이지</t>
        </is>
      </c>
      <c r="J1120" s="17" t="inlineStr">
        <is>
          <t>회사 홈페이지에서 확인</t>
        </is>
      </c>
      <c r="K1120" s="17" t="inlineStr">
        <is>
          <t>낮음</t>
        </is>
      </c>
      <c r="L1120" s="17" t="inlineStr"/>
    </row>
    <row r="1121">
      <c r="A1121" s="17" t="inlineStr">
        <is>
          <t>C179</t>
        </is>
      </c>
      <c r="B1121" s="17" t="inlineStr"/>
      <c r="C1121" s="17" t="inlineStr">
        <is>
          <t>오스템파마주식회사</t>
        </is>
      </c>
      <c r="D1121" s="17" t="inlineStr"/>
      <c r="E1121" s="17" t="inlineStr">
        <is>
          <t>신공장·증설</t>
        </is>
      </c>
      <c r="F1121" s="17" t="inlineStr">
        <is>
          <t>미확인</t>
        </is>
      </c>
      <c r="G1121" s="17" t="inlineStr">
        <is>
          <t>웹조사 자동화 실패(세션한도)</t>
        </is>
      </c>
      <c r="H1121" s="17" t="inlineStr">
        <is>
          <t>N</t>
        </is>
      </c>
      <c r="I1121" s="17" t="inlineStr">
        <is>
          <t>언론·지자체 발표</t>
        </is>
      </c>
      <c r="J1121" s="17" t="inlineStr">
        <is>
          <t>언론·지자체 발표에서 확인</t>
        </is>
      </c>
      <c r="K1121" s="17" t="inlineStr">
        <is>
          <t>낮음</t>
        </is>
      </c>
      <c r="L1121" s="17" t="inlineStr"/>
    </row>
    <row r="1122">
      <c r="A1122" s="17" t="inlineStr">
        <is>
          <t>C180</t>
        </is>
      </c>
      <c r="B1122" s="17" t="inlineStr"/>
      <c r="C1122" s="17" t="inlineStr">
        <is>
          <t>동국제약(주)</t>
        </is>
      </c>
      <c r="D1122" s="17" t="inlineStr"/>
      <c r="E1122" s="17" t="inlineStr">
        <is>
          <t>최근매출(억원)</t>
        </is>
      </c>
      <c r="F1122" s="17" t="inlineStr">
        <is>
          <t>미확인</t>
        </is>
      </c>
      <c r="G1122" s="17" t="inlineStr">
        <is>
          <t>웹조사 자동화 실패(세션한도)</t>
        </is>
      </c>
      <c r="H1122" s="17" t="inlineStr">
        <is>
          <t>N</t>
        </is>
      </c>
      <c r="I1122" s="17" t="inlineStr">
        <is>
          <t>DART 사업보고서</t>
        </is>
      </c>
      <c r="J1122" s="17" t="inlineStr">
        <is>
          <t>DART 사업보고서에서 확인</t>
        </is>
      </c>
      <c r="K1122" s="17" t="inlineStr">
        <is>
          <t>낮음</t>
        </is>
      </c>
      <c r="L1122" s="17" t="inlineStr"/>
    </row>
    <row r="1123">
      <c r="A1123" s="17" t="inlineStr">
        <is>
          <t>C180</t>
        </is>
      </c>
      <c r="B1123" s="17" t="inlineStr"/>
      <c r="C1123" s="17" t="inlineStr">
        <is>
          <t>동국제약(주)</t>
        </is>
      </c>
      <c r="D1123" s="17" t="inlineStr"/>
      <c r="E1123" s="17" t="inlineStr">
        <is>
          <t>종업원수</t>
        </is>
      </c>
      <c r="F1123" s="17" t="inlineStr">
        <is>
          <t>미확인</t>
        </is>
      </c>
      <c r="G1123" s="17" t="inlineStr">
        <is>
          <t>웹조사 자동화 실패(세션한도)</t>
        </is>
      </c>
      <c r="H1123" s="17" t="inlineStr">
        <is>
          <t>N</t>
        </is>
      </c>
      <c r="I1123" s="17" t="inlineStr">
        <is>
          <t>DART/채용</t>
        </is>
      </c>
      <c r="J1123" s="17" t="inlineStr">
        <is>
          <t>DART/채용에서 확인</t>
        </is>
      </c>
      <c r="K1123" s="17" t="inlineStr">
        <is>
          <t>낮음</t>
        </is>
      </c>
      <c r="L1123" s="17" t="inlineStr"/>
    </row>
    <row r="1124">
      <c r="A1124" s="17" t="inlineStr">
        <is>
          <t>C180</t>
        </is>
      </c>
      <c r="B1124" s="17" t="inlineStr"/>
      <c r="C1124" s="17" t="inlineStr">
        <is>
          <t>동국제약(주)</t>
        </is>
      </c>
      <c r="D1124" s="17" t="inlineStr"/>
      <c r="E1124" s="17" t="inlineStr">
        <is>
          <t>수출여부</t>
        </is>
      </c>
      <c r="F1124" s="17" t="inlineStr">
        <is>
          <t>미확인</t>
        </is>
      </c>
      <c r="G1124" s="17" t="inlineStr">
        <is>
          <t>웹조사 자동화 실패(세션한도)</t>
        </is>
      </c>
      <c r="H1124" s="17" t="inlineStr">
        <is>
          <t>N</t>
        </is>
      </c>
      <c r="I1124" s="17" t="inlineStr">
        <is>
          <t>회사 공시·홈페이지</t>
        </is>
      </c>
      <c r="J1124" s="17" t="inlineStr">
        <is>
          <t>회사 공시·홈페이지에서 확인</t>
        </is>
      </c>
      <c r="K1124" s="17" t="inlineStr">
        <is>
          <t>낮음</t>
        </is>
      </c>
      <c r="L1124" s="17" t="inlineStr"/>
    </row>
    <row r="1125">
      <c r="A1125" s="17" t="inlineStr">
        <is>
          <t>C180</t>
        </is>
      </c>
      <c r="B1125" s="17" t="inlineStr"/>
      <c r="C1125" s="17" t="inlineStr">
        <is>
          <t>동국제약(주)</t>
        </is>
      </c>
      <c r="D1125" s="17" t="inlineStr"/>
      <c r="E1125" s="17" t="inlineStr">
        <is>
          <t>FDA·EMA 실사</t>
        </is>
      </c>
      <c r="F1125" s="17" t="inlineStr">
        <is>
          <t>미확인</t>
        </is>
      </c>
      <c r="G1125" s="17" t="inlineStr">
        <is>
          <t>웹조사 자동화 실패(세션한도)</t>
        </is>
      </c>
      <c r="H1125" s="17" t="inlineStr">
        <is>
          <t>N</t>
        </is>
      </c>
      <c r="I1125" s="17" t="inlineStr">
        <is>
          <t>FDA Inspection DB</t>
        </is>
      </c>
      <c r="J1125" s="17" t="inlineStr">
        <is>
          <t>FDA Inspection DB에서 확인</t>
        </is>
      </c>
      <c r="K1125" s="17" t="inlineStr">
        <is>
          <t>낮음</t>
        </is>
      </c>
      <c r="L1125" s="17" t="inlineStr"/>
    </row>
    <row r="1126">
      <c r="A1126" s="17" t="inlineStr">
        <is>
          <t>C180</t>
        </is>
      </c>
      <c r="B1126" s="17" t="inlineStr"/>
      <c r="C1126" s="17" t="inlineStr">
        <is>
          <t>동국제약(주)</t>
        </is>
      </c>
      <c r="D1126" s="17" t="inlineStr"/>
      <c r="E1126" s="17" t="inlineStr">
        <is>
          <t>CMO·CDMO</t>
        </is>
      </c>
      <c r="F1126" s="17" t="inlineStr">
        <is>
          <t>미확인</t>
        </is>
      </c>
      <c r="G1126" s="17" t="inlineStr">
        <is>
          <t>웹조사 자동화 실패(세션한도)</t>
        </is>
      </c>
      <c r="H1126" s="17" t="inlineStr">
        <is>
          <t>N</t>
        </is>
      </c>
      <c r="I1126" s="17" t="inlineStr">
        <is>
          <t>회사 홈페이지</t>
        </is>
      </c>
      <c r="J1126" s="17" t="inlineStr">
        <is>
          <t>회사 홈페이지에서 확인</t>
        </is>
      </c>
      <c r="K1126" s="17" t="inlineStr">
        <is>
          <t>낮음</t>
        </is>
      </c>
      <c r="L1126" s="17" t="inlineStr"/>
    </row>
    <row r="1127">
      <c r="A1127" s="17" t="inlineStr">
        <is>
          <t>C180</t>
        </is>
      </c>
      <c r="B1127" s="17" t="inlineStr"/>
      <c r="C1127" s="17" t="inlineStr">
        <is>
          <t>동국제약(주)</t>
        </is>
      </c>
      <c r="D1127" s="17" t="inlineStr"/>
      <c r="E1127" s="17" t="inlineStr">
        <is>
          <t>신공장·증설</t>
        </is>
      </c>
      <c r="F1127" s="17" t="inlineStr">
        <is>
          <t>미확인</t>
        </is>
      </c>
      <c r="G1127" s="17" t="inlineStr">
        <is>
          <t>웹조사 자동화 실패(세션한도)</t>
        </is>
      </c>
      <c r="H1127" s="17" t="inlineStr">
        <is>
          <t>N</t>
        </is>
      </c>
      <c r="I1127" s="17" t="inlineStr">
        <is>
          <t>언론·지자체 발표</t>
        </is>
      </c>
      <c r="J1127" s="17" t="inlineStr">
        <is>
          <t>언론·지자체 발표에서 확인</t>
        </is>
      </c>
      <c r="K1127" s="17" t="inlineStr">
        <is>
          <t>낮음</t>
        </is>
      </c>
      <c r="L1127" s="17" t="inlineStr"/>
    </row>
    <row r="1128">
      <c r="A1128" s="17" t="inlineStr">
        <is>
          <t>C181</t>
        </is>
      </c>
      <c r="B1128" s="17" t="inlineStr"/>
      <c r="C1128" s="17" t="inlineStr">
        <is>
          <t>(주)나이벡</t>
        </is>
      </c>
      <c r="D1128" s="17" t="inlineStr"/>
      <c r="E1128" s="17" t="inlineStr">
        <is>
          <t>최근매출(억원)</t>
        </is>
      </c>
      <c r="F1128" s="17" t="inlineStr">
        <is>
          <t>미확인</t>
        </is>
      </c>
      <c r="G1128" s="17" t="inlineStr">
        <is>
          <t>웹조사 자동화 실패(세션한도)</t>
        </is>
      </c>
      <c r="H1128" s="17" t="inlineStr">
        <is>
          <t>N</t>
        </is>
      </c>
      <c r="I1128" s="17" t="inlineStr">
        <is>
          <t>DART 사업보고서</t>
        </is>
      </c>
      <c r="J1128" s="17" t="inlineStr">
        <is>
          <t>DART 사업보고서에서 확인</t>
        </is>
      </c>
      <c r="K1128" s="17" t="inlineStr">
        <is>
          <t>낮음</t>
        </is>
      </c>
      <c r="L1128" s="17" t="inlineStr"/>
    </row>
    <row r="1129">
      <c r="A1129" s="17" t="inlineStr">
        <is>
          <t>C181</t>
        </is>
      </c>
      <c r="B1129" s="17" t="inlineStr"/>
      <c r="C1129" s="17" t="inlineStr">
        <is>
          <t>(주)나이벡</t>
        </is>
      </c>
      <c r="D1129" s="17" t="inlineStr"/>
      <c r="E1129" s="17" t="inlineStr">
        <is>
          <t>종업원수</t>
        </is>
      </c>
      <c r="F1129" s="17" t="inlineStr">
        <is>
          <t>미확인</t>
        </is>
      </c>
      <c r="G1129" s="17" t="inlineStr">
        <is>
          <t>웹조사 자동화 실패(세션한도)</t>
        </is>
      </c>
      <c r="H1129" s="17" t="inlineStr">
        <is>
          <t>N</t>
        </is>
      </c>
      <c r="I1129" s="17" t="inlineStr">
        <is>
          <t>DART/채용</t>
        </is>
      </c>
      <c r="J1129" s="17" t="inlineStr">
        <is>
          <t>DART/채용에서 확인</t>
        </is>
      </c>
      <c r="K1129" s="17" t="inlineStr">
        <is>
          <t>낮음</t>
        </is>
      </c>
      <c r="L1129" s="17" t="inlineStr"/>
    </row>
    <row r="1130">
      <c r="A1130" s="17" t="inlineStr">
        <is>
          <t>C181</t>
        </is>
      </c>
      <c r="B1130" s="17" t="inlineStr"/>
      <c r="C1130" s="17" t="inlineStr">
        <is>
          <t>(주)나이벡</t>
        </is>
      </c>
      <c r="D1130" s="17" t="inlineStr"/>
      <c r="E1130" s="17" t="inlineStr">
        <is>
          <t>수출여부</t>
        </is>
      </c>
      <c r="F1130" s="17" t="inlineStr">
        <is>
          <t>미확인</t>
        </is>
      </c>
      <c r="G1130" s="17" t="inlineStr">
        <is>
          <t>웹조사 자동화 실패(세션한도)</t>
        </is>
      </c>
      <c r="H1130" s="17" t="inlineStr">
        <is>
          <t>N</t>
        </is>
      </c>
      <c r="I1130" s="17" t="inlineStr">
        <is>
          <t>회사 공시·홈페이지</t>
        </is>
      </c>
      <c r="J1130" s="17" t="inlineStr">
        <is>
          <t>회사 공시·홈페이지에서 확인</t>
        </is>
      </c>
      <c r="K1130" s="17" t="inlineStr">
        <is>
          <t>낮음</t>
        </is>
      </c>
      <c r="L1130" s="17" t="inlineStr"/>
    </row>
    <row r="1131">
      <c r="A1131" s="17" t="inlineStr">
        <is>
          <t>C181</t>
        </is>
      </c>
      <c r="B1131" s="17" t="inlineStr"/>
      <c r="C1131" s="17" t="inlineStr">
        <is>
          <t>(주)나이벡</t>
        </is>
      </c>
      <c r="D1131" s="17" t="inlineStr"/>
      <c r="E1131" s="17" t="inlineStr">
        <is>
          <t>FDA·EMA 실사</t>
        </is>
      </c>
      <c r="F1131" s="17" t="inlineStr">
        <is>
          <t>미확인</t>
        </is>
      </c>
      <c r="G1131" s="17" t="inlineStr">
        <is>
          <t>웹조사 자동화 실패(세션한도)</t>
        </is>
      </c>
      <c r="H1131" s="17" t="inlineStr">
        <is>
          <t>N</t>
        </is>
      </c>
      <c r="I1131" s="17" t="inlineStr">
        <is>
          <t>FDA Inspection DB</t>
        </is>
      </c>
      <c r="J1131" s="17" t="inlineStr">
        <is>
          <t>FDA Inspection DB에서 확인</t>
        </is>
      </c>
      <c r="K1131" s="17" t="inlineStr">
        <is>
          <t>낮음</t>
        </is>
      </c>
      <c r="L1131" s="17" t="inlineStr"/>
    </row>
    <row r="1132">
      <c r="A1132" s="17" t="inlineStr">
        <is>
          <t>C181</t>
        </is>
      </c>
      <c r="B1132" s="17" t="inlineStr"/>
      <c r="C1132" s="17" t="inlineStr">
        <is>
          <t>(주)나이벡</t>
        </is>
      </c>
      <c r="D1132" s="17" t="inlineStr"/>
      <c r="E1132" s="17" t="inlineStr">
        <is>
          <t>CMO·CDMO</t>
        </is>
      </c>
      <c r="F1132" s="17" t="inlineStr">
        <is>
          <t>미확인</t>
        </is>
      </c>
      <c r="G1132" s="17" t="inlineStr">
        <is>
          <t>웹조사 자동화 실패(세션한도)</t>
        </is>
      </c>
      <c r="H1132" s="17" t="inlineStr">
        <is>
          <t>N</t>
        </is>
      </c>
      <c r="I1132" s="17" t="inlineStr">
        <is>
          <t>회사 홈페이지</t>
        </is>
      </c>
      <c r="J1132" s="17" t="inlineStr">
        <is>
          <t>회사 홈페이지에서 확인</t>
        </is>
      </c>
      <c r="K1132" s="17" t="inlineStr">
        <is>
          <t>낮음</t>
        </is>
      </c>
      <c r="L1132" s="17" t="inlineStr"/>
    </row>
    <row r="1133">
      <c r="A1133" s="17" t="inlineStr">
        <is>
          <t>C181</t>
        </is>
      </c>
      <c r="B1133" s="17" t="inlineStr"/>
      <c r="C1133" s="17" t="inlineStr">
        <is>
          <t>(주)나이벡</t>
        </is>
      </c>
      <c r="D1133" s="17" t="inlineStr"/>
      <c r="E1133" s="17" t="inlineStr">
        <is>
          <t>신공장·증설</t>
        </is>
      </c>
      <c r="F1133" s="17" t="inlineStr">
        <is>
          <t>미확인</t>
        </is>
      </c>
      <c r="G1133" s="17" t="inlineStr">
        <is>
          <t>웹조사 자동화 실패(세션한도)</t>
        </is>
      </c>
      <c r="H1133" s="17" t="inlineStr">
        <is>
          <t>N</t>
        </is>
      </c>
      <c r="I1133" s="17" t="inlineStr">
        <is>
          <t>언론·지자체 발표</t>
        </is>
      </c>
      <c r="J1133" s="17" t="inlineStr">
        <is>
          <t>언론·지자체 발표에서 확인</t>
        </is>
      </c>
      <c r="K1133" s="17" t="inlineStr">
        <is>
          <t>낮음</t>
        </is>
      </c>
      <c r="L1133" s="17" t="inlineStr"/>
    </row>
    <row r="1134">
      <c r="A1134" s="17" t="inlineStr">
        <is>
          <t>C182</t>
        </is>
      </c>
      <c r="B1134" s="17" t="inlineStr"/>
      <c r="C1134" s="17" t="inlineStr">
        <is>
          <t>한림제약(주)</t>
        </is>
      </c>
      <c r="D1134" s="17" t="inlineStr"/>
      <c r="E1134" s="17" t="inlineStr">
        <is>
          <t>최근매출(억원)</t>
        </is>
      </c>
      <c r="F1134" s="17" t="inlineStr">
        <is>
          <t>미확인</t>
        </is>
      </c>
      <c r="G1134" s="17" t="inlineStr">
        <is>
          <t>웹조사 자동화 실패(세션한도)</t>
        </is>
      </c>
      <c r="H1134" s="17" t="inlineStr">
        <is>
          <t>N</t>
        </is>
      </c>
      <c r="I1134" s="17" t="inlineStr">
        <is>
          <t>DART 사업보고서</t>
        </is>
      </c>
      <c r="J1134" s="17" t="inlineStr">
        <is>
          <t>DART 사업보고서에서 확인</t>
        </is>
      </c>
      <c r="K1134" s="17" t="inlineStr">
        <is>
          <t>낮음</t>
        </is>
      </c>
      <c r="L1134" s="17" t="inlineStr"/>
    </row>
    <row r="1135">
      <c r="A1135" s="17" t="inlineStr">
        <is>
          <t>C182</t>
        </is>
      </c>
      <c r="B1135" s="17" t="inlineStr"/>
      <c r="C1135" s="17" t="inlineStr">
        <is>
          <t>한림제약(주)</t>
        </is>
      </c>
      <c r="D1135" s="17" t="inlineStr"/>
      <c r="E1135" s="17" t="inlineStr">
        <is>
          <t>종업원수</t>
        </is>
      </c>
      <c r="F1135" s="17" t="inlineStr">
        <is>
          <t>미확인</t>
        </is>
      </c>
      <c r="G1135" s="17" t="inlineStr">
        <is>
          <t>웹조사 자동화 실패(세션한도)</t>
        </is>
      </c>
      <c r="H1135" s="17" t="inlineStr">
        <is>
          <t>N</t>
        </is>
      </c>
      <c r="I1135" s="17" t="inlineStr">
        <is>
          <t>DART/채용</t>
        </is>
      </c>
      <c r="J1135" s="17" t="inlineStr">
        <is>
          <t>DART/채용에서 확인</t>
        </is>
      </c>
      <c r="K1135" s="17" t="inlineStr">
        <is>
          <t>낮음</t>
        </is>
      </c>
      <c r="L1135" s="17" t="inlineStr"/>
    </row>
    <row r="1136">
      <c r="A1136" s="17" t="inlineStr">
        <is>
          <t>C182</t>
        </is>
      </c>
      <c r="B1136" s="17" t="inlineStr"/>
      <c r="C1136" s="17" t="inlineStr">
        <is>
          <t>한림제약(주)</t>
        </is>
      </c>
      <c r="D1136" s="17" t="inlineStr"/>
      <c r="E1136" s="17" t="inlineStr">
        <is>
          <t>수출여부</t>
        </is>
      </c>
      <c r="F1136" s="17" t="inlineStr">
        <is>
          <t>미확인</t>
        </is>
      </c>
      <c r="G1136" s="17" t="inlineStr">
        <is>
          <t>웹조사 자동화 실패(세션한도)</t>
        </is>
      </c>
      <c r="H1136" s="17" t="inlineStr">
        <is>
          <t>N</t>
        </is>
      </c>
      <c r="I1136" s="17" t="inlineStr">
        <is>
          <t>회사 공시·홈페이지</t>
        </is>
      </c>
      <c r="J1136" s="17" t="inlineStr">
        <is>
          <t>회사 공시·홈페이지에서 확인</t>
        </is>
      </c>
      <c r="K1136" s="17" t="inlineStr">
        <is>
          <t>낮음</t>
        </is>
      </c>
      <c r="L1136" s="17" t="inlineStr"/>
    </row>
    <row r="1137">
      <c r="A1137" s="17" t="inlineStr">
        <is>
          <t>C182</t>
        </is>
      </c>
      <c r="B1137" s="17" t="inlineStr"/>
      <c r="C1137" s="17" t="inlineStr">
        <is>
          <t>한림제약(주)</t>
        </is>
      </c>
      <c r="D1137" s="17" t="inlineStr"/>
      <c r="E1137" s="17" t="inlineStr">
        <is>
          <t>FDA·EMA 실사</t>
        </is>
      </c>
      <c r="F1137" s="17" t="inlineStr">
        <is>
          <t>미확인</t>
        </is>
      </c>
      <c r="G1137" s="17" t="inlineStr">
        <is>
          <t>웹조사 자동화 실패(세션한도)</t>
        </is>
      </c>
      <c r="H1137" s="17" t="inlineStr">
        <is>
          <t>N</t>
        </is>
      </c>
      <c r="I1137" s="17" t="inlineStr">
        <is>
          <t>FDA Inspection DB</t>
        </is>
      </c>
      <c r="J1137" s="17" t="inlineStr">
        <is>
          <t>FDA Inspection DB에서 확인</t>
        </is>
      </c>
      <c r="K1137" s="17" t="inlineStr">
        <is>
          <t>낮음</t>
        </is>
      </c>
      <c r="L1137" s="17" t="inlineStr"/>
    </row>
    <row r="1138">
      <c r="A1138" s="17" t="inlineStr">
        <is>
          <t>C182</t>
        </is>
      </c>
      <c r="B1138" s="17" t="inlineStr"/>
      <c r="C1138" s="17" t="inlineStr">
        <is>
          <t>한림제약(주)</t>
        </is>
      </c>
      <c r="D1138" s="17" t="inlineStr"/>
      <c r="E1138" s="17" t="inlineStr">
        <is>
          <t>CMO·CDMO</t>
        </is>
      </c>
      <c r="F1138" s="17" t="inlineStr">
        <is>
          <t>미확인</t>
        </is>
      </c>
      <c r="G1138" s="17" t="inlineStr">
        <is>
          <t>웹조사 자동화 실패(세션한도)</t>
        </is>
      </c>
      <c r="H1138" s="17" t="inlineStr">
        <is>
          <t>N</t>
        </is>
      </c>
      <c r="I1138" s="17" t="inlineStr">
        <is>
          <t>회사 홈페이지</t>
        </is>
      </c>
      <c r="J1138" s="17" t="inlineStr">
        <is>
          <t>회사 홈페이지에서 확인</t>
        </is>
      </c>
      <c r="K1138" s="17" t="inlineStr">
        <is>
          <t>낮음</t>
        </is>
      </c>
      <c r="L1138" s="17" t="inlineStr"/>
    </row>
    <row r="1139">
      <c r="A1139" s="17" t="inlineStr">
        <is>
          <t>C182</t>
        </is>
      </c>
      <c r="B1139" s="17" t="inlineStr"/>
      <c r="C1139" s="17" t="inlineStr">
        <is>
          <t>한림제약(주)</t>
        </is>
      </c>
      <c r="D1139" s="17" t="inlineStr"/>
      <c r="E1139" s="17" t="inlineStr">
        <is>
          <t>신공장·증설</t>
        </is>
      </c>
      <c r="F1139" s="17" t="inlineStr">
        <is>
          <t>미확인</t>
        </is>
      </c>
      <c r="G1139" s="17" t="inlineStr">
        <is>
          <t>웹조사 자동화 실패(세션한도)</t>
        </is>
      </c>
      <c r="H1139" s="17" t="inlineStr">
        <is>
          <t>N</t>
        </is>
      </c>
      <c r="I1139" s="17" t="inlineStr">
        <is>
          <t>언론·지자체 발표</t>
        </is>
      </c>
      <c r="J1139" s="17" t="inlineStr">
        <is>
          <t>언론·지자체 발표에서 확인</t>
        </is>
      </c>
      <c r="K1139" s="17" t="inlineStr">
        <is>
          <t>낮음</t>
        </is>
      </c>
      <c r="L1139" s="17" t="inlineStr"/>
    </row>
    <row r="1140">
      <c r="A1140" s="17" t="inlineStr">
        <is>
          <t>C183</t>
        </is>
      </c>
      <c r="B1140" s="17" t="inlineStr"/>
      <c r="C1140" s="17" t="inlineStr">
        <is>
          <t>(주)엘지화학</t>
        </is>
      </c>
      <c r="D1140" s="17" t="inlineStr"/>
      <c r="E1140" s="17" t="inlineStr">
        <is>
          <t>최근매출(억원)</t>
        </is>
      </c>
      <c r="F1140" s="17" t="inlineStr">
        <is>
          <t>미확인</t>
        </is>
      </c>
      <c r="G1140" s="17" t="inlineStr">
        <is>
          <t>웹조사 자동화 실패(세션한도)</t>
        </is>
      </c>
      <c r="H1140" s="17" t="inlineStr">
        <is>
          <t>N</t>
        </is>
      </c>
      <c r="I1140" s="17" t="inlineStr">
        <is>
          <t>DART 사업보고서</t>
        </is>
      </c>
      <c r="J1140" s="17" t="inlineStr">
        <is>
          <t>DART 사업보고서에서 확인</t>
        </is>
      </c>
      <c r="K1140" s="17" t="inlineStr">
        <is>
          <t>중간</t>
        </is>
      </c>
      <c r="L1140" s="17" t="inlineStr"/>
    </row>
    <row r="1141">
      <c r="A1141" s="17" t="inlineStr">
        <is>
          <t>C183</t>
        </is>
      </c>
      <c r="B1141" s="17" t="inlineStr"/>
      <c r="C1141" s="17" t="inlineStr">
        <is>
          <t>(주)엘지화학</t>
        </is>
      </c>
      <c r="D1141" s="17" t="inlineStr"/>
      <c r="E1141" s="17" t="inlineStr">
        <is>
          <t>종업원수</t>
        </is>
      </c>
      <c r="F1141" s="17" t="inlineStr">
        <is>
          <t>미확인</t>
        </is>
      </c>
      <c r="G1141" s="17" t="inlineStr">
        <is>
          <t>웹조사 자동화 실패(세션한도)</t>
        </is>
      </c>
      <c r="H1141" s="17" t="inlineStr">
        <is>
          <t>N</t>
        </is>
      </c>
      <c r="I1141" s="17" t="inlineStr">
        <is>
          <t>DART/채용</t>
        </is>
      </c>
      <c r="J1141" s="17" t="inlineStr">
        <is>
          <t>DART/채용에서 확인</t>
        </is>
      </c>
      <c r="K1141" s="17" t="inlineStr">
        <is>
          <t>중간</t>
        </is>
      </c>
      <c r="L1141" s="17" t="inlineStr"/>
    </row>
    <row r="1142">
      <c r="A1142" s="17" t="inlineStr">
        <is>
          <t>C183</t>
        </is>
      </c>
      <c r="B1142" s="17" t="inlineStr"/>
      <c r="C1142" s="17" t="inlineStr">
        <is>
          <t>(주)엘지화학</t>
        </is>
      </c>
      <c r="D1142" s="17" t="inlineStr"/>
      <c r="E1142" s="17" t="inlineStr">
        <is>
          <t>수출여부</t>
        </is>
      </c>
      <c r="F1142" s="17" t="inlineStr">
        <is>
          <t>미확인</t>
        </is>
      </c>
      <c r="G1142" s="17" t="inlineStr">
        <is>
          <t>웹조사 자동화 실패(세션한도)</t>
        </is>
      </c>
      <c r="H1142" s="17" t="inlineStr">
        <is>
          <t>N</t>
        </is>
      </c>
      <c r="I1142" s="17" t="inlineStr">
        <is>
          <t>회사 공시·홈페이지</t>
        </is>
      </c>
      <c r="J1142" s="17" t="inlineStr">
        <is>
          <t>회사 공시·홈페이지에서 확인</t>
        </is>
      </c>
      <c r="K1142" s="17" t="inlineStr">
        <is>
          <t>중간</t>
        </is>
      </c>
      <c r="L1142" s="17" t="inlineStr"/>
    </row>
    <row r="1143">
      <c r="A1143" s="17" t="inlineStr">
        <is>
          <t>C183</t>
        </is>
      </c>
      <c r="B1143" s="17" t="inlineStr"/>
      <c r="C1143" s="17" t="inlineStr">
        <is>
          <t>(주)엘지화학</t>
        </is>
      </c>
      <c r="D1143" s="17" t="inlineStr"/>
      <c r="E1143" s="17" t="inlineStr">
        <is>
          <t>FDA·EMA 실사</t>
        </is>
      </c>
      <c r="F1143" s="17" t="inlineStr">
        <is>
          <t>미확인</t>
        </is>
      </c>
      <c r="G1143" s="17" t="inlineStr">
        <is>
          <t>웹조사 자동화 실패(세션한도)</t>
        </is>
      </c>
      <c r="H1143" s="17" t="inlineStr">
        <is>
          <t>N</t>
        </is>
      </c>
      <c r="I1143" s="17" t="inlineStr">
        <is>
          <t>FDA Inspection DB</t>
        </is>
      </c>
      <c r="J1143" s="17" t="inlineStr">
        <is>
          <t>FDA Inspection DB에서 확인</t>
        </is>
      </c>
      <c r="K1143" s="17" t="inlineStr">
        <is>
          <t>중간</t>
        </is>
      </c>
      <c r="L1143" s="17" t="inlineStr"/>
    </row>
    <row r="1144">
      <c r="A1144" s="17" t="inlineStr">
        <is>
          <t>C183</t>
        </is>
      </c>
      <c r="B1144" s="17" t="inlineStr"/>
      <c r="C1144" s="17" t="inlineStr">
        <is>
          <t>(주)엘지화학</t>
        </is>
      </c>
      <c r="D1144" s="17" t="inlineStr"/>
      <c r="E1144" s="17" t="inlineStr">
        <is>
          <t>CMO·CDMO</t>
        </is>
      </c>
      <c r="F1144" s="17" t="inlineStr">
        <is>
          <t>미확인</t>
        </is>
      </c>
      <c r="G1144" s="17" t="inlineStr">
        <is>
          <t>웹조사 자동화 실패(세션한도)</t>
        </is>
      </c>
      <c r="H1144" s="17" t="inlineStr">
        <is>
          <t>N</t>
        </is>
      </c>
      <c r="I1144" s="17" t="inlineStr">
        <is>
          <t>회사 홈페이지</t>
        </is>
      </c>
      <c r="J1144" s="17" t="inlineStr">
        <is>
          <t>회사 홈페이지에서 확인</t>
        </is>
      </c>
      <c r="K1144" s="17" t="inlineStr">
        <is>
          <t>중간</t>
        </is>
      </c>
      <c r="L1144" s="17" t="inlineStr"/>
    </row>
    <row r="1145">
      <c r="A1145" s="17" t="inlineStr">
        <is>
          <t>C183</t>
        </is>
      </c>
      <c r="B1145" s="17" t="inlineStr"/>
      <c r="C1145" s="17" t="inlineStr">
        <is>
          <t>(주)엘지화학</t>
        </is>
      </c>
      <c r="D1145" s="17" t="inlineStr"/>
      <c r="E1145" s="17" t="inlineStr">
        <is>
          <t>신공장·증설</t>
        </is>
      </c>
      <c r="F1145" s="17" t="inlineStr">
        <is>
          <t>미확인</t>
        </is>
      </c>
      <c r="G1145" s="17" t="inlineStr">
        <is>
          <t>웹조사 자동화 실패(세션한도)</t>
        </is>
      </c>
      <c r="H1145" s="17" t="inlineStr">
        <is>
          <t>N</t>
        </is>
      </c>
      <c r="I1145" s="17" t="inlineStr">
        <is>
          <t>언론·지자체 발표</t>
        </is>
      </c>
      <c r="J1145" s="17" t="inlineStr">
        <is>
          <t>언론·지자체 발표에서 확인</t>
        </is>
      </c>
      <c r="K1145" s="17" t="inlineStr">
        <is>
          <t>중간</t>
        </is>
      </c>
      <c r="L1145" s="17" t="inlineStr"/>
    </row>
    <row r="1146">
      <c r="A1146" s="17" t="inlineStr">
        <is>
          <t>C184</t>
        </is>
      </c>
      <c r="B1146" s="17" t="inlineStr"/>
      <c r="C1146" s="17" t="inlineStr">
        <is>
          <t>(주)유앤생명과학</t>
        </is>
      </c>
      <c r="D1146" s="17" t="inlineStr"/>
      <c r="E1146" s="17" t="inlineStr">
        <is>
          <t>최근매출(억원)</t>
        </is>
      </c>
      <c r="F1146" s="17" t="inlineStr">
        <is>
          <t>미확인</t>
        </is>
      </c>
      <c r="G1146" s="17" t="inlineStr">
        <is>
          <t>웹조사 자동화 실패(세션한도)</t>
        </is>
      </c>
      <c r="H1146" s="17" t="inlineStr">
        <is>
          <t>N</t>
        </is>
      </c>
      <c r="I1146" s="17" t="inlineStr">
        <is>
          <t>DART 사업보고서</t>
        </is>
      </c>
      <c r="J1146" s="17" t="inlineStr">
        <is>
          <t>DART 사업보고서에서 확인</t>
        </is>
      </c>
      <c r="K1146" s="17" t="inlineStr">
        <is>
          <t>낮음</t>
        </is>
      </c>
      <c r="L1146" s="17" t="inlineStr"/>
    </row>
    <row r="1147">
      <c r="A1147" s="17" t="inlineStr">
        <is>
          <t>C184</t>
        </is>
      </c>
      <c r="B1147" s="17" t="inlineStr"/>
      <c r="C1147" s="17" t="inlineStr">
        <is>
          <t>(주)유앤생명과학</t>
        </is>
      </c>
      <c r="D1147" s="17" t="inlineStr"/>
      <c r="E1147" s="17" t="inlineStr">
        <is>
          <t>종업원수</t>
        </is>
      </c>
      <c r="F1147" s="17" t="inlineStr">
        <is>
          <t>미확인</t>
        </is>
      </c>
      <c r="G1147" s="17" t="inlineStr">
        <is>
          <t>웹조사 자동화 실패(세션한도)</t>
        </is>
      </c>
      <c r="H1147" s="17" t="inlineStr">
        <is>
          <t>N</t>
        </is>
      </c>
      <c r="I1147" s="17" t="inlineStr">
        <is>
          <t>DART/채용</t>
        </is>
      </c>
      <c r="J1147" s="17" t="inlineStr">
        <is>
          <t>DART/채용에서 확인</t>
        </is>
      </c>
      <c r="K1147" s="17" t="inlineStr">
        <is>
          <t>낮음</t>
        </is>
      </c>
      <c r="L1147" s="17" t="inlineStr"/>
    </row>
    <row r="1148">
      <c r="A1148" s="17" t="inlineStr">
        <is>
          <t>C184</t>
        </is>
      </c>
      <c r="B1148" s="17" t="inlineStr"/>
      <c r="C1148" s="17" t="inlineStr">
        <is>
          <t>(주)유앤생명과학</t>
        </is>
      </c>
      <c r="D1148" s="17" t="inlineStr"/>
      <c r="E1148" s="17" t="inlineStr">
        <is>
          <t>수출여부</t>
        </is>
      </c>
      <c r="F1148" s="17" t="inlineStr">
        <is>
          <t>미확인</t>
        </is>
      </c>
      <c r="G1148" s="17" t="inlineStr">
        <is>
          <t>웹조사 자동화 실패(세션한도)</t>
        </is>
      </c>
      <c r="H1148" s="17" t="inlineStr">
        <is>
          <t>N</t>
        </is>
      </c>
      <c r="I1148" s="17" t="inlineStr">
        <is>
          <t>회사 공시·홈페이지</t>
        </is>
      </c>
      <c r="J1148" s="17" t="inlineStr">
        <is>
          <t>회사 공시·홈페이지에서 확인</t>
        </is>
      </c>
      <c r="K1148" s="17" t="inlineStr">
        <is>
          <t>낮음</t>
        </is>
      </c>
      <c r="L1148" s="17" t="inlineStr"/>
    </row>
    <row r="1149">
      <c r="A1149" s="17" t="inlineStr">
        <is>
          <t>C184</t>
        </is>
      </c>
      <c r="B1149" s="17" t="inlineStr"/>
      <c r="C1149" s="17" t="inlineStr">
        <is>
          <t>(주)유앤생명과학</t>
        </is>
      </c>
      <c r="D1149" s="17" t="inlineStr"/>
      <c r="E1149" s="17" t="inlineStr">
        <is>
          <t>FDA·EMA 실사</t>
        </is>
      </c>
      <c r="F1149" s="17" t="inlineStr">
        <is>
          <t>미확인</t>
        </is>
      </c>
      <c r="G1149" s="17" t="inlineStr">
        <is>
          <t>웹조사 자동화 실패(세션한도)</t>
        </is>
      </c>
      <c r="H1149" s="17" t="inlineStr">
        <is>
          <t>N</t>
        </is>
      </c>
      <c r="I1149" s="17" t="inlineStr">
        <is>
          <t>FDA Inspection DB</t>
        </is>
      </c>
      <c r="J1149" s="17" t="inlineStr">
        <is>
          <t>FDA Inspection DB에서 확인</t>
        </is>
      </c>
      <c r="K1149" s="17" t="inlineStr">
        <is>
          <t>낮음</t>
        </is>
      </c>
      <c r="L1149" s="17" t="inlineStr"/>
    </row>
    <row r="1150">
      <c r="A1150" s="17" t="inlineStr">
        <is>
          <t>C184</t>
        </is>
      </c>
      <c r="B1150" s="17" t="inlineStr"/>
      <c r="C1150" s="17" t="inlineStr">
        <is>
          <t>(주)유앤생명과학</t>
        </is>
      </c>
      <c r="D1150" s="17" t="inlineStr"/>
      <c r="E1150" s="17" t="inlineStr">
        <is>
          <t>CMO·CDMO</t>
        </is>
      </c>
      <c r="F1150" s="17" t="inlineStr">
        <is>
          <t>미확인</t>
        </is>
      </c>
      <c r="G1150" s="17" t="inlineStr">
        <is>
          <t>웹조사 자동화 실패(세션한도)</t>
        </is>
      </c>
      <c r="H1150" s="17" t="inlineStr">
        <is>
          <t>N</t>
        </is>
      </c>
      <c r="I1150" s="17" t="inlineStr">
        <is>
          <t>회사 홈페이지</t>
        </is>
      </c>
      <c r="J1150" s="17" t="inlineStr">
        <is>
          <t>회사 홈페이지에서 확인</t>
        </is>
      </c>
      <c r="K1150" s="17" t="inlineStr">
        <is>
          <t>낮음</t>
        </is>
      </c>
      <c r="L1150" s="17" t="inlineStr"/>
    </row>
    <row r="1151">
      <c r="A1151" s="17" t="inlineStr">
        <is>
          <t>C184</t>
        </is>
      </c>
      <c r="B1151" s="17" t="inlineStr"/>
      <c r="C1151" s="17" t="inlineStr">
        <is>
          <t>(주)유앤생명과학</t>
        </is>
      </c>
      <c r="D1151" s="17" t="inlineStr"/>
      <c r="E1151" s="17" t="inlineStr">
        <is>
          <t>신공장·증설</t>
        </is>
      </c>
      <c r="F1151" s="17" t="inlineStr">
        <is>
          <t>미확인</t>
        </is>
      </c>
      <c r="G1151" s="17" t="inlineStr">
        <is>
          <t>웹조사 자동화 실패(세션한도)</t>
        </is>
      </c>
      <c r="H1151" s="17" t="inlineStr">
        <is>
          <t>N</t>
        </is>
      </c>
      <c r="I1151" s="17" t="inlineStr">
        <is>
          <t>언론·지자체 발표</t>
        </is>
      </c>
      <c r="J1151" s="17" t="inlineStr">
        <is>
          <t>언론·지자체 발표에서 확인</t>
        </is>
      </c>
      <c r="K1151" s="17" t="inlineStr">
        <is>
          <t>낮음</t>
        </is>
      </c>
      <c r="L1151" s="17" t="inlineStr"/>
    </row>
    <row r="1152">
      <c r="A1152" s="17" t="inlineStr">
        <is>
          <t>C185</t>
        </is>
      </c>
      <c r="B1152" s="17" t="inlineStr"/>
      <c r="C1152" s="17" t="inlineStr">
        <is>
          <t>(주)한국파마</t>
        </is>
      </c>
      <c r="D1152" s="17" t="inlineStr"/>
      <c r="E1152" s="17" t="inlineStr">
        <is>
          <t>최근매출(억원)</t>
        </is>
      </c>
      <c r="F1152" s="17" t="inlineStr">
        <is>
          <t>미확인</t>
        </is>
      </c>
      <c r="G1152" s="17" t="inlineStr">
        <is>
          <t>웹조사 자동화 실패(세션한도)</t>
        </is>
      </c>
      <c r="H1152" s="17" t="inlineStr">
        <is>
          <t>N</t>
        </is>
      </c>
      <c r="I1152" s="17" t="inlineStr">
        <is>
          <t>DART 사업보고서</t>
        </is>
      </c>
      <c r="J1152" s="17" t="inlineStr">
        <is>
          <t>DART 사업보고서에서 확인</t>
        </is>
      </c>
      <c r="K1152" s="17" t="inlineStr">
        <is>
          <t>낮음</t>
        </is>
      </c>
      <c r="L1152" s="17" t="inlineStr"/>
    </row>
    <row r="1153">
      <c r="A1153" s="17" t="inlineStr">
        <is>
          <t>C185</t>
        </is>
      </c>
      <c r="B1153" s="17" t="inlineStr"/>
      <c r="C1153" s="17" t="inlineStr">
        <is>
          <t>(주)한국파마</t>
        </is>
      </c>
      <c r="D1153" s="17" t="inlineStr"/>
      <c r="E1153" s="17" t="inlineStr">
        <is>
          <t>종업원수</t>
        </is>
      </c>
      <c r="F1153" s="17" t="inlineStr">
        <is>
          <t>미확인</t>
        </is>
      </c>
      <c r="G1153" s="17" t="inlineStr">
        <is>
          <t>웹조사 자동화 실패(세션한도)</t>
        </is>
      </c>
      <c r="H1153" s="17" t="inlineStr">
        <is>
          <t>N</t>
        </is>
      </c>
      <c r="I1153" s="17" t="inlineStr">
        <is>
          <t>DART/채용</t>
        </is>
      </c>
      <c r="J1153" s="17" t="inlineStr">
        <is>
          <t>DART/채용에서 확인</t>
        </is>
      </c>
      <c r="K1153" s="17" t="inlineStr">
        <is>
          <t>낮음</t>
        </is>
      </c>
      <c r="L1153" s="17" t="inlineStr"/>
    </row>
    <row r="1154">
      <c r="A1154" s="17" t="inlineStr">
        <is>
          <t>C185</t>
        </is>
      </c>
      <c r="B1154" s="17" t="inlineStr"/>
      <c r="C1154" s="17" t="inlineStr">
        <is>
          <t>(주)한국파마</t>
        </is>
      </c>
      <c r="D1154" s="17" t="inlineStr"/>
      <c r="E1154" s="17" t="inlineStr">
        <is>
          <t>수출여부</t>
        </is>
      </c>
      <c r="F1154" s="17" t="inlineStr">
        <is>
          <t>미확인</t>
        </is>
      </c>
      <c r="G1154" s="17" t="inlineStr">
        <is>
          <t>웹조사 자동화 실패(세션한도)</t>
        </is>
      </c>
      <c r="H1154" s="17" t="inlineStr">
        <is>
          <t>N</t>
        </is>
      </c>
      <c r="I1154" s="17" t="inlineStr">
        <is>
          <t>회사 공시·홈페이지</t>
        </is>
      </c>
      <c r="J1154" s="17" t="inlineStr">
        <is>
          <t>회사 공시·홈페이지에서 확인</t>
        </is>
      </c>
      <c r="K1154" s="17" t="inlineStr">
        <is>
          <t>낮음</t>
        </is>
      </c>
      <c r="L1154" s="17" t="inlineStr"/>
    </row>
    <row r="1155">
      <c r="A1155" s="17" t="inlineStr">
        <is>
          <t>C185</t>
        </is>
      </c>
      <c r="B1155" s="17" t="inlineStr"/>
      <c r="C1155" s="17" t="inlineStr">
        <is>
          <t>(주)한국파마</t>
        </is>
      </c>
      <c r="D1155" s="17" t="inlineStr"/>
      <c r="E1155" s="17" t="inlineStr">
        <is>
          <t>FDA·EMA 실사</t>
        </is>
      </c>
      <c r="F1155" s="17" t="inlineStr">
        <is>
          <t>미확인</t>
        </is>
      </c>
      <c r="G1155" s="17" t="inlineStr">
        <is>
          <t>웹조사 자동화 실패(세션한도)</t>
        </is>
      </c>
      <c r="H1155" s="17" t="inlineStr">
        <is>
          <t>N</t>
        </is>
      </c>
      <c r="I1155" s="17" t="inlineStr">
        <is>
          <t>FDA Inspection DB</t>
        </is>
      </c>
      <c r="J1155" s="17" t="inlineStr">
        <is>
          <t>FDA Inspection DB에서 확인</t>
        </is>
      </c>
      <c r="K1155" s="17" t="inlineStr">
        <is>
          <t>낮음</t>
        </is>
      </c>
      <c r="L1155" s="17" t="inlineStr"/>
    </row>
    <row r="1156">
      <c r="A1156" s="17" t="inlineStr">
        <is>
          <t>C185</t>
        </is>
      </c>
      <c r="B1156" s="17" t="inlineStr"/>
      <c r="C1156" s="17" t="inlineStr">
        <is>
          <t>(주)한국파마</t>
        </is>
      </c>
      <c r="D1156" s="17" t="inlineStr"/>
      <c r="E1156" s="17" t="inlineStr">
        <is>
          <t>CMO·CDMO</t>
        </is>
      </c>
      <c r="F1156" s="17" t="inlineStr">
        <is>
          <t>미확인</t>
        </is>
      </c>
      <c r="G1156" s="17" t="inlineStr">
        <is>
          <t>웹조사 자동화 실패(세션한도)</t>
        </is>
      </c>
      <c r="H1156" s="17" t="inlineStr">
        <is>
          <t>N</t>
        </is>
      </c>
      <c r="I1156" s="17" t="inlineStr">
        <is>
          <t>회사 홈페이지</t>
        </is>
      </c>
      <c r="J1156" s="17" t="inlineStr">
        <is>
          <t>회사 홈페이지에서 확인</t>
        </is>
      </c>
      <c r="K1156" s="17" t="inlineStr">
        <is>
          <t>낮음</t>
        </is>
      </c>
      <c r="L1156" s="17" t="inlineStr"/>
    </row>
    <row r="1157">
      <c r="A1157" s="17" t="inlineStr">
        <is>
          <t>C185</t>
        </is>
      </c>
      <c r="B1157" s="17" t="inlineStr"/>
      <c r="C1157" s="17" t="inlineStr">
        <is>
          <t>(주)한국파마</t>
        </is>
      </c>
      <c r="D1157" s="17" t="inlineStr"/>
      <c r="E1157" s="17" t="inlineStr">
        <is>
          <t>신공장·증설</t>
        </is>
      </c>
      <c r="F1157" s="17" t="inlineStr">
        <is>
          <t>미확인</t>
        </is>
      </c>
      <c r="G1157" s="17" t="inlineStr">
        <is>
          <t>웹조사 자동화 실패(세션한도)</t>
        </is>
      </c>
      <c r="H1157" s="17" t="inlineStr">
        <is>
          <t>N</t>
        </is>
      </c>
      <c r="I1157" s="17" t="inlineStr">
        <is>
          <t>언론·지자체 발표</t>
        </is>
      </c>
      <c r="J1157" s="17" t="inlineStr">
        <is>
          <t>언론·지자체 발표에서 확인</t>
        </is>
      </c>
      <c r="K1157" s="17" t="inlineStr">
        <is>
          <t>낮음</t>
        </is>
      </c>
      <c r="L1157" s="17" t="inlineStr"/>
    </row>
    <row r="1158">
      <c r="A1158" s="17" t="inlineStr">
        <is>
          <t>C186</t>
        </is>
      </c>
      <c r="B1158" s="17" t="inlineStr"/>
      <c r="C1158" s="17" t="inlineStr">
        <is>
          <t>(주)켐트로스</t>
        </is>
      </c>
      <c r="D1158" s="17" t="inlineStr"/>
      <c r="E1158" s="17" t="inlineStr">
        <is>
          <t>최근매출(억원)</t>
        </is>
      </c>
      <c r="F1158" s="17" t="inlineStr">
        <is>
          <t>미확인</t>
        </is>
      </c>
      <c r="G1158" s="17" t="inlineStr">
        <is>
          <t>웹조사 자동화 실패(세션한도)</t>
        </is>
      </c>
      <c r="H1158" s="17" t="inlineStr">
        <is>
          <t>N</t>
        </is>
      </c>
      <c r="I1158" s="17" t="inlineStr">
        <is>
          <t>DART 사업보고서</t>
        </is>
      </c>
      <c r="J1158" s="17" t="inlineStr">
        <is>
          <t>DART 사업보고서에서 확인</t>
        </is>
      </c>
      <c r="K1158" s="17" t="inlineStr">
        <is>
          <t>낮음</t>
        </is>
      </c>
      <c r="L1158" s="17" t="inlineStr"/>
    </row>
    <row r="1159">
      <c r="A1159" s="17" t="inlineStr">
        <is>
          <t>C186</t>
        </is>
      </c>
      <c r="B1159" s="17" t="inlineStr"/>
      <c r="C1159" s="17" t="inlineStr">
        <is>
          <t>(주)켐트로스</t>
        </is>
      </c>
      <c r="D1159" s="17" t="inlineStr"/>
      <c r="E1159" s="17" t="inlineStr">
        <is>
          <t>종업원수</t>
        </is>
      </c>
      <c r="F1159" s="17" t="inlineStr">
        <is>
          <t>미확인</t>
        </is>
      </c>
      <c r="G1159" s="17" t="inlineStr">
        <is>
          <t>웹조사 자동화 실패(세션한도)</t>
        </is>
      </c>
      <c r="H1159" s="17" t="inlineStr">
        <is>
          <t>N</t>
        </is>
      </c>
      <c r="I1159" s="17" t="inlineStr">
        <is>
          <t>DART/채용</t>
        </is>
      </c>
      <c r="J1159" s="17" t="inlineStr">
        <is>
          <t>DART/채용에서 확인</t>
        </is>
      </c>
      <c r="K1159" s="17" t="inlineStr">
        <is>
          <t>낮음</t>
        </is>
      </c>
      <c r="L1159" s="17" t="inlineStr"/>
    </row>
    <row r="1160">
      <c r="A1160" s="17" t="inlineStr">
        <is>
          <t>C186</t>
        </is>
      </c>
      <c r="B1160" s="17" t="inlineStr"/>
      <c r="C1160" s="17" t="inlineStr">
        <is>
          <t>(주)켐트로스</t>
        </is>
      </c>
      <c r="D1160" s="17" t="inlineStr"/>
      <c r="E1160" s="17" t="inlineStr">
        <is>
          <t>수출여부</t>
        </is>
      </c>
      <c r="F1160" s="17" t="inlineStr">
        <is>
          <t>미확인</t>
        </is>
      </c>
      <c r="G1160" s="17" t="inlineStr">
        <is>
          <t>웹조사 자동화 실패(세션한도)</t>
        </is>
      </c>
      <c r="H1160" s="17" t="inlineStr">
        <is>
          <t>N</t>
        </is>
      </c>
      <c r="I1160" s="17" t="inlineStr">
        <is>
          <t>회사 공시·홈페이지</t>
        </is>
      </c>
      <c r="J1160" s="17" t="inlineStr">
        <is>
          <t>회사 공시·홈페이지에서 확인</t>
        </is>
      </c>
      <c r="K1160" s="17" t="inlineStr">
        <is>
          <t>낮음</t>
        </is>
      </c>
      <c r="L1160" s="17" t="inlineStr"/>
    </row>
    <row r="1161">
      <c r="A1161" s="17" t="inlineStr">
        <is>
          <t>C186</t>
        </is>
      </c>
      <c r="B1161" s="17" t="inlineStr"/>
      <c r="C1161" s="17" t="inlineStr">
        <is>
          <t>(주)켐트로스</t>
        </is>
      </c>
      <c r="D1161" s="17" t="inlineStr"/>
      <c r="E1161" s="17" t="inlineStr">
        <is>
          <t>FDA·EMA 실사</t>
        </is>
      </c>
      <c r="F1161" s="17" t="inlineStr">
        <is>
          <t>미확인</t>
        </is>
      </c>
      <c r="G1161" s="17" t="inlineStr">
        <is>
          <t>웹조사 자동화 실패(세션한도)</t>
        </is>
      </c>
      <c r="H1161" s="17" t="inlineStr">
        <is>
          <t>N</t>
        </is>
      </c>
      <c r="I1161" s="17" t="inlineStr">
        <is>
          <t>FDA Inspection DB</t>
        </is>
      </c>
      <c r="J1161" s="17" t="inlineStr">
        <is>
          <t>FDA Inspection DB에서 확인</t>
        </is>
      </c>
      <c r="K1161" s="17" t="inlineStr">
        <is>
          <t>낮음</t>
        </is>
      </c>
      <c r="L1161" s="17" t="inlineStr"/>
    </row>
    <row r="1162">
      <c r="A1162" s="17" t="inlineStr">
        <is>
          <t>C186</t>
        </is>
      </c>
      <c r="B1162" s="17" t="inlineStr"/>
      <c r="C1162" s="17" t="inlineStr">
        <is>
          <t>(주)켐트로스</t>
        </is>
      </c>
      <c r="D1162" s="17" t="inlineStr"/>
      <c r="E1162" s="17" t="inlineStr">
        <is>
          <t>CMO·CDMO</t>
        </is>
      </c>
      <c r="F1162" s="17" t="inlineStr">
        <is>
          <t>미확인</t>
        </is>
      </c>
      <c r="G1162" s="17" t="inlineStr">
        <is>
          <t>웹조사 자동화 실패(세션한도)</t>
        </is>
      </c>
      <c r="H1162" s="17" t="inlineStr">
        <is>
          <t>N</t>
        </is>
      </c>
      <c r="I1162" s="17" t="inlineStr">
        <is>
          <t>회사 홈페이지</t>
        </is>
      </c>
      <c r="J1162" s="17" t="inlineStr">
        <is>
          <t>회사 홈페이지에서 확인</t>
        </is>
      </c>
      <c r="K1162" s="17" t="inlineStr">
        <is>
          <t>낮음</t>
        </is>
      </c>
      <c r="L1162" s="17" t="inlineStr"/>
    </row>
    <row r="1163">
      <c r="A1163" s="17" t="inlineStr">
        <is>
          <t>C186</t>
        </is>
      </c>
      <c r="B1163" s="17" t="inlineStr"/>
      <c r="C1163" s="17" t="inlineStr">
        <is>
          <t>(주)켐트로스</t>
        </is>
      </c>
      <c r="D1163" s="17" t="inlineStr"/>
      <c r="E1163" s="17" t="inlineStr">
        <is>
          <t>신공장·증설</t>
        </is>
      </c>
      <c r="F1163" s="17" t="inlineStr">
        <is>
          <t>미확인</t>
        </is>
      </c>
      <c r="G1163" s="17" t="inlineStr">
        <is>
          <t>웹조사 자동화 실패(세션한도)</t>
        </is>
      </c>
      <c r="H1163" s="17" t="inlineStr">
        <is>
          <t>N</t>
        </is>
      </c>
      <c r="I1163" s="17" t="inlineStr">
        <is>
          <t>언론·지자체 발표</t>
        </is>
      </c>
      <c r="J1163" s="17" t="inlineStr">
        <is>
          <t>언론·지자체 발표에서 확인</t>
        </is>
      </c>
      <c r="K1163" s="17" t="inlineStr">
        <is>
          <t>낮음</t>
        </is>
      </c>
      <c r="L1163" s="17" t="inlineStr"/>
    </row>
    <row r="1164">
      <c r="A1164" s="17" t="inlineStr">
        <is>
          <t>C187</t>
        </is>
      </c>
      <c r="B1164" s="17" t="inlineStr"/>
      <c r="C1164" s="17" t="inlineStr">
        <is>
          <t>한화제약(주)</t>
        </is>
      </c>
      <c r="D1164" s="17" t="inlineStr"/>
      <c r="E1164" s="17" t="inlineStr">
        <is>
          <t>최근매출(억원)</t>
        </is>
      </c>
      <c r="F1164" s="17" t="inlineStr">
        <is>
          <t>미확인</t>
        </is>
      </c>
      <c r="G1164" s="17" t="inlineStr">
        <is>
          <t>웹조사 자동화 실패(세션한도)</t>
        </is>
      </c>
      <c r="H1164" s="17" t="inlineStr">
        <is>
          <t>N</t>
        </is>
      </c>
      <c r="I1164" s="17" t="inlineStr">
        <is>
          <t>DART 사업보고서</t>
        </is>
      </c>
      <c r="J1164" s="17" t="inlineStr">
        <is>
          <t>DART 사업보고서에서 확인</t>
        </is>
      </c>
      <c r="K1164" s="17" t="inlineStr">
        <is>
          <t>낮음</t>
        </is>
      </c>
      <c r="L1164" s="17" t="inlineStr"/>
    </row>
    <row r="1165">
      <c r="A1165" s="17" t="inlineStr">
        <is>
          <t>C187</t>
        </is>
      </c>
      <c r="B1165" s="17" t="inlineStr"/>
      <c r="C1165" s="17" t="inlineStr">
        <is>
          <t>한화제약(주)</t>
        </is>
      </c>
      <c r="D1165" s="17" t="inlineStr"/>
      <c r="E1165" s="17" t="inlineStr">
        <is>
          <t>종업원수</t>
        </is>
      </c>
      <c r="F1165" s="17" t="inlineStr">
        <is>
          <t>미확인</t>
        </is>
      </c>
      <c r="G1165" s="17" t="inlineStr">
        <is>
          <t>웹조사 자동화 실패(세션한도)</t>
        </is>
      </c>
      <c r="H1165" s="17" t="inlineStr">
        <is>
          <t>N</t>
        </is>
      </c>
      <c r="I1165" s="17" t="inlineStr">
        <is>
          <t>DART/채용</t>
        </is>
      </c>
      <c r="J1165" s="17" t="inlineStr">
        <is>
          <t>DART/채용에서 확인</t>
        </is>
      </c>
      <c r="K1165" s="17" t="inlineStr">
        <is>
          <t>낮음</t>
        </is>
      </c>
      <c r="L1165" s="17" t="inlineStr"/>
    </row>
    <row r="1166">
      <c r="A1166" s="17" t="inlineStr">
        <is>
          <t>C187</t>
        </is>
      </c>
      <c r="B1166" s="17" t="inlineStr"/>
      <c r="C1166" s="17" t="inlineStr">
        <is>
          <t>한화제약(주)</t>
        </is>
      </c>
      <c r="D1166" s="17" t="inlineStr"/>
      <c r="E1166" s="17" t="inlineStr">
        <is>
          <t>수출여부</t>
        </is>
      </c>
      <c r="F1166" s="17" t="inlineStr">
        <is>
          <t>미확인</t>
        </is>
      </c>
      <c r="G1166" s="17" t="inlineStr">
        <is>
          <t>웹조사 자동화 실패(세션한도)</t>
        </is>
      </c>
      <c r="H1166" s="17" t="inlineStr">
        <is>
          <t>N</t>
        </is>
      </c>
      <c r="I1166" s="17" t="inlineStr">
        <is>
          <t>회사 공시·홈페이지</t>
        </is>
      </c>
      <c r="J1166" s="17" t="inlineStr">
        <is>
          <t>회사 공시·홈페이지에서 확인</t>
        </is>
      </c>
      <c r="K1166" s="17" t="inlineStr">
        <is>
          <t>낮음</t>
        </is>
      </c>
      <c r="L1166" s="17" t="inlineStr"/>
    </row>
    <row r="1167">
      <c r="A1167" s="17" t="inlineStr">
        <is>
          <t>C187</t>
        </is>
      </c>
      <c r="B1167" s="17" t="inlineStr"/>
      <c r="C1167" s="17" t="inlineStr">
        <is>
          <t>한화제약(주)</t>
        </is>
      </c>
      <c r="D1167" s="17" t="inlineStr"/>
      <c r="E1167" s="17" t="inlineStr">
        <is>
          <t>FDA·EMA 실사</t>
        </is>
      </c>
      <c r="F1167" s="17" t="inlineStr">
        <is>
          <t>미확인</t>
        </is>
      </c>
      <c r="G1167" s="17" t="inlineStr">
        <is>
          <t>웹조사 자동화 실패(세션한도)</t>
        </is>
      </c>
      <c r="H1167" s="17" t="inlineStr">
        <is>
          <t>N</t>
        </is>
      </c>
      <c r="I1167" s="17" t="inlineStr">
        <is>
          <t>FDA Inspection DB</t>
        </is>
      </c>
      <c r="J1167" s="17" t="inlineStr">
        <is>
          <t>FDA Inspection DB에서 확인</t>
        </is>
      </c>
      <c r="K1167" s="17" t="inlineStr">
        <is>
          <t>낮음</t>
        </is>
      </c>
      <c r="L1167" s="17" t="inlineStr"/>
    </row>
    <row r="1168">
      <c r="A1168" s="17" t="inlineStr">
        <is>
          <t>C187</t>
        </is>
      </c>
      <c r="B1168" s="17" t="inlineStr"/>
      <c r="C1168" s="17" t="inlineStr">
        <is>
          <t>한화제약(주)</t>
        </is>
      </c>
      <c r="D1168" s="17" t="inlineStr"/>
      <c r="E1168" s="17" t="inlineStr">
        <is>
          <t>CMO·CDMO</t>
        </is>
      </c>
      <c r="F1168" s="17" t="inlineStr">
        <is>
          <t>미확인</t>
        </is>
      </c>
      <c r="G1168" s="17" t="inlineStr">
        <is>
          <t>웹조사 자동화 실패(세션한도)</t>
        </is>
      </c>
      <c r="H1168" s="17" t="inlineStr">
        <is>
          <t>N</t>
        </is>
      </c>
      <c r="I1168" s="17" t="inlineStr">
        <is>
          <t>회사 홈페이지</t>
        </is>
      </c>
      <c r="J1168" s="17" t="inlineStr">
        <is>
          <t>회사 홈페이지에서 확인</t>
        </is>
      </c>
      <c r="K1168" s="17" t="inlineStr">
        <is>
          <t>낮음</t>
        </is>
      </c>
      <c r="L1168" s="17" t="inlineStr"/>
    </row>
    <row r="1169">
      <c r="A1169" s="17" t="inlineStr">
        <is>
          <t>C187</t>
        </is>
      </c>
      <c r="B1169" s="17" t="inlineStr"/>
      <c r="C1169" s="17" t="inlineStr">
        <is>
          <t>한화제약(주)</t>
        </is>
      </c>
      <c r="D1169" s="17" t="inlineStr"/>
      <c r="E1169" s="17" t="inlineStr">
        <is>
          <t>신공장·증설</t>
        </is>
      </c>
      <c r="F1169" s="17" t="inlineStr">
        <is>
          <t>미확인</t>
        </is>
      </c>
      <c r="G1169" s="17" t="inlineStr">
        <is>
          <t>웹조사 자동화 실패(세션한도)</t>
        </is>
      </c>
      <c r="H1169" s="17" t="inlineStr">
        <is>
          <t>N</t>
        </is>
      </c>
      <c r="I1169" s="17" t="inlineStr">
        <is>
          <t>언론·지자체 발표</t>
        </is>
      </c>
      <c r="J1169" s="17" t="inlineStr">
        <is>
          <t>언론·지자체 발표에서 확인</t>
        </is>
      </c>
      <c r="K1169" s="17" t="inlineStr">
        <is>
          <t>낮음</t>
        </is>
      </c>
      <c r="L1169" s="17" t="inlineStr"/>
    </row>
    <row r="1170">
      <c r="A1170" s="17" t="inlineStr">
        <is>
          <t>C187</t>
        </is>
      </c>
      <c r="B1170" s="17" t="inlineStr"/>
      <c r="C1170" s="17" t="inlineStr">
        <is>
          <t>한화제약(주)</t>
        </is>
      </c>
      <c r="D1170" s="17" t="inlineStr"/>
      <c r="E1170" s="17" t="inlineStr">
        <is>
          <t>대표전화</t>
        </is>
      </c>
      <c r="F1170" s="17" t="inlineStr">
        <is>
          <t>미확인</t>
        </is>
      </c>
      <c r="G1170" s="17" t="inlineStr">
        <is>
          <t>제조소상세 미매칭</t>
        </is>
      </c>
      <c r="H1170" s="17" t="inlineStr">
        <is>
          <t>Y</t>
        </is>
      </c>
      <c r="I1170" s="17" t="inlineStr">
        <is>
          <t>회사 홈페이지</t>
        </is>
      </c>
      <c r="J1170" s="17" t="inlineStr">
        <is>
          <t>홈페이지에서 대표번호 확인</t>
        </is>
      </c>
      <c r="K1170" s="17" t="inlineStr">
        <is>
          <t>낮음</t>
        </is>
      </c>
      <c r="L1170" s="17" t="inlineStr"/>
    </row>
    <row r="1171">
      <c r="A1171" s="17" t="inlineStr">
        <is>
          <t>C188</t>
        </is>
      </c>
      <c r="B1171" s="17" t="inlineStr"/>
      <c r="C1171" s="17" t="inlineStr">
        <is>
          <t>동화약품(주)</t>
        </is>
      </c>
      <c r="D1171" s="17" t="inlineStr"/>
      <c r="E1171" s="17" t="inlineStr">
        <is>
          <t>최근매출(억원)</t>
        </is>
      </c>
      <c r="F1171" s="17" t="inlineStr">
        <is>
          <t>미확인</t>
        </is>
      </c>
      <c r="G1171" s="17" t="inlineStr">
        <is>
          <t>웹조사 자동화 실패(세션한도)</t>
        </is>
      </c>
      <c r="H1171" s="17" t="inlineStr">
        <is>
          <t>N</t>
        </is>
      </c>
      <c r="I1171" s="17" t="inlineStr">
        <is>
          <t>DART 사업보고서</t>
        </is>
      </c>
      <c r="J1171" s="17" t="inlineStr">
        <is>
          <t>DART 사업보고서에서 확인</t>
        </is>
      </c>
      <c r="K1171" s="17" t="inlineStr">
        <is>
          <t>낮음</t>
        </is>
      </c>
      <c r="L1171" s="17" t="inlineStr"/>
    </row>
    <row r="1172">
      <c r="A1172" s="17" t="inlineStr">
        <is>
          <t>C188</t>
        </is>
      </c>
      <c r="B1172" s="17" t="inlineStr"/>
      <c r="C1172" s="17" t="inlineStr">
        <is>
          <t>동화약품(주)</t>
        </is>
      </c>
      <c r="D1172" s="17" t="inlineStr"/>
      <c r="E1172" s="17" t="inlineStr">
        <is>
          <t>종업원수</t>
        </is>
      </c>
      <c r="F1172" s="17" t="inlineStr">
        <is>
          <t>미확인</t>
        </is>
      </c>
      <c r="G1172" s="17" t="inlineStr">
        <is>
          <t>웹조사 자동화 실패(세션한도)</t>
        </is>
      </c>
      <c r="H1172" s="17" t="inlineStr">
        <is>
          <t>N</t>
        </is>
      </c>
      <c r="I1172" s="17" t="inlineStr">
        <is>
          <t>DART/채용</t>
        </is>
      </c>
      <c r="J1172" s="17" t="inlineStr">
        <is>
          <t>DART/채용에서 확인</t>
        </is>
      </c>
      <c r="K1172" s="17" t="inlineStr">
        <is>
          <t>낮음</t>
        </is>
      </c>
      <c r="L1172" s="17" t="inlineStr"/>
    </row>
    <row r="1173">
      <c r="A1173" s="17" t="inlineStr">
        <is>
          <t>C188</t>
        </is>
      </c>
      <c r="B1173" s="17" t="inlineStr"/>
      <c r="C1173" s="17" t="inlineStr">
        <is>
          <t>동화약품(주)</t>
        </is>
      </c>
      <c r="D1173" s="17" t="inlineStr"/>
      <c r="E1173" s="17" t="inlineStr">
        <is>
          <t>수출여부</t>
        </is>
      </c>
      <c r="F1173" s="17" t="inlineStr">
        <is>
          <t>미확인</t>
        </is>
      </c>
      <c r="G1173" s="17" t="inlineStr">
        <is>
          <t>웹조사 자동화 실패(세션한도)</t>
        </is>
      </c>
      <c r="H1173" s="17" t="inlineStr">
        <is>
          <t>N</t>
        </is>
      </c>
      <c r="I1173" s="17" t="inlineStr">
        <is>
          <t>회사 공시·홈페이지</t>
        </is>
      </c>
      <c r="J1173" s="17" t="inlineStr">
        <is>
          <t>회사 공시·홈페이지에서 확인</t>
        </is>
      </c>
      <c r="K1173" s="17" t="inlineStr">
        <is>
          <t>낮음</t>
        </is>
      </c>
      <c r="L1173" s="17" t="inlineStr"/>
    </row>
    <row r="1174">
      <c r="A1174" s="17" t="inlineStr">
        <is>
          <t>C188</t>
        </is>
      </c>
      <c r="B1174" s="17" t="inlineStr"/>
      <c r="C1174" s="17" t="inlineStr">
        <is>
          <t>동화약품(주)</t>
        </is>
      </c>
      <c r="D1174" s="17" t="inlineStr"/>
      <c r="E1174" s="17" t="inlineStr">
        <is>
          <t>FDA·EMA 실사</t>
        </is>
      </c>
      <c r="F1174" s="17" t="inlineStr">
        <is>
          <t>미확인</t>
        </is>
      </c>
      <c r="G1174" s="17" t="inlineStr">
        <is>
          <t>웹조사 자동화 실패(세션한도)</t>
        </is>
      </c>
      <c r="H1174" s="17" t="inlineStr">
        <is>
          <t>N</t>
        </is>
      </c>
      <c r="I1174" s="17" t="inlineStr">
        <is>
          <t>FDA Inspection DB</t>
        </is>
      </c>
      <c r="J1174" s="17" t="inlineStr">
        <is>
          <t>FDA Inspection DB에서 확인</t>
        </is>
      </c>
      <c r="K1174" s="17" t="inlineStr">
        <is>
          <t>낮음</t>
        </is>
      </c>
      <c r="L1174" s="17" t="inlineStr"/>
    </row>
    <row r="1175">
      <c r="A1175" s="17" t="inlineStr">
        <is>
          <t>C188</t>
        </is>
      </c>
      <c r="B1175" s="17" t="inlineStr"/>
      <c r="C1175" s="17" t="inlineStr">
        <is>
          <t>동화약품(주)</t>
        </is>
      </c>
      <c r="D1175" s="17" t="inlineStr"/>
      <c r="E1175" s="17" t="inlineStr">
        <is>
          <t>CMO·CDMO</t>
        </is>
      </c>
      <c r="F1175" s="17" t="inlineStr">
        <is>
          <t>미확인</t>
        </is>
      </c>
      <c r="G1175" s="17" t="inlineStr">
        <is>
          <t>웹조사 자동화 실패(세션한도)</t>
        </is>
      </c>
      <c r="H1175" s="17" t="inlineStr">
        <is>
          <t>N</t>
        </is>
      </c>
      <c r="I1175" s="17" t="inlineStr">
        <is>
          <t>회사 홈페이지</t>
        </is>
      </c>
      <c r="J1175" s="17" t="inlineStr">
        <is>
          <t>회사 홈페이지에서 확인</t>
        </is>
      </c>
      <c r="K1175" s="17" t="inlineStr">
        <is>
          <t>낮음</t>
        </is>
      </c>
      <c r="L1175" s="17" t="inlineStr"/>
    </row>
    <row r="1176">
      <c r="A1176" s="17" t="inlineStr">
        <is>
          <t>C188</t>
        </is>
      </c>
      <c r="B1176" s="17" t="inlineStr"/>
      <c r="C1176" s="17" t="inlineStr">
        <is>
          <t>동화약품(주)</t>
        </is>
      </c>
      <c r="D1176" s="17" t="inlineStr"/>
      <c r="E1176" s="17" t="inlineStr">
        <is>
          <t>신공장·증설</t>
        </is>
      </c>
      <c r="F1176" s="17" t="inlineStr">
        <is>
          <t>미확인</t>
        </is>
      </c>
      <c r="G1176" s="17" t="inlineStr">
        <is>
          <t>웹조사 자동화 실패(세션한도)</t>
        </is>
      </c>
      <c r="H1176" s="17" t="inlineStr">
        <is>
          <t>N</t>
        </is>
      </c>
      <c r="I1176" s="17" t="inlineStr">
        <is>
          <t>언론·지자체 발표</t>
        </is>
      </c>
      <c r="J1176" s="17" t="inlineStr">
        <is>
          <t>언론·지자체 발표에서 확인</t>
        </is>
      </c>
      <c r="K1176" s="17" t="inlineStr">
        <is>
          <t>낮음</t>
        </is>
      </c>
      <c r="L1176" s="17" t="inlineStr"/>
    </row>
    <row r="1177">
      <c r="A1177" s="17" t="inlineStr">
        <is>
          <t>C189</t>
        </is>
      </c>
      <c r="B1177" s="17" t="inlineStr"/>
      <c r="C1177" s="17" t="inlineStr">
        <is>
          <t>(주)대평</t>
        </is>
      </c>
      <c r="D1177" s="17" t="inlineStr"/>
      <c r="E1177" s="17" t="inlineStr">
        <is>
          <t>최근매출(억원)</t>
        </is>
      </c>
      <c r="F1177" s="17" t="inlineStr">
        <is>
          <t>미확인</t>
        </is>
      </c>
      <c r="G1177" s="17" t="inlineStr">
        <is>
          <t>웹조사 자동화 실패(세션한도)</t>
        </is>
      </c>
      <c r="H1177" s="17" t="inlineStr">
        <is>
          <t>N</t>
        </is>
      </c>
      <c r="I1177" s="17" t="inlineStr">
        <is>
          <t>DART 사업보고서</t>
        </is>
      </c>
      <c r="J1177" s="17" t="inlineStr">
        <is>
          <t>DART 사업보고서에서 확인</t>
        </is>
      </c>
      <c r="K1177" s="17" t="inlineStr">
        <is>
          <t>낮음</t>
        </is>
      </c>
      <c r="L1177" s="17" t="inlineStr"/>
    </row>
    <row r="1178">
      <c r="A1178" s="17" t="inlineStr">
        <is>
          <t>C189</t>
        </is>
      </c>
      <c r="B1178" s="17" t="inlineStr"/>
      <c r="C1178" s="17" t="inlineStr">
        <is>
          <t>(주)대평</t>
        </is>
      </c>
      <c r="D1178" s="17" t="inlineStr"/>
      <c r="E1178" s="17" t="inlineStr">
        <is>
          <t>종업원수</t>
        </is>
      </c>
      <c r="F1178" s="17" t="inlineStr">
        <is>
          <t>미확인</t>
        </is>
      </c>
      <c r="G1178" s="17" t="inlineStr">
        <is>
          <t>웹조사 자동화 실패(세션한도)</t>
        </is>
      </c>
      <c r="H1178" s="17" t="inlineStr">
        <is>
          <t>N</t>
        </is>
      </c>
      <c r="I1178" s="17" t="inlineStr">
        <is>
          <t>DART/채용</t>
        </is>
      </c>
      <c r="J1178" s="17" t="inlineStr">
        <is>
          <t>DART/채용에서 확인</t>
        </is>
      </c>
      <c r="K1178" s="17" t="inlineStr">
        <is>
          <t>낮음</t>
        </is>
      </c>
      <c r="L1178" s="17" t="inlineStr"/>
    </row>
    <row r="1179">
      <c r="A1179" s="17" t="inlineStr">
        <is>
          <t>C189</t>
        </is>
      </c>
      <c r="B1179" s="17" t="inlineStr"/>
      <c r="C1179" s="17" t="inlineStr">
        <is>
          <t>(주)대평</t>
        </is>
      </c>
      <c r="D1179" s="17" t="inlineStr"/>
      <c r="E1179" s="17" t="inlineStr">
        <is>
          <t>수출여부</t>
        </is>
      </c>
      <c r="F1179" s="17" t="inlineStr">
        <is>
          <t>미확인</t>
        </is>
      </c>
      <c r="G1179" s="17" t="inlineStr">
        <is>
          <t>웹조사 자동화 실패(세션한도)</t>
        </is>
      </c>
      <c r="H1179" s="17" t="inlineStr">
        <is>
          <t>N</t>
        </is>
      </c>
      <c r="I1179" s="17" t="inlineStr">
        <is>
          <t>회사 공시·홈페이지</t>
        </is>
      </c>
      <c r="J1179" s="17" t="inlineStr">
        <is>
          <t>회사 공시·홈페이지에서 확인</t>
        </is>
      </c>
      <c r="K1179" s="17" t="inlineStr">
        <is>
          <t>낮음</t>
        </is>
      </c>
      <c r="L1179" s="17" t="inlineStr"/>
    </row>
    <row r="1180">
      <c r="A1180" s="17" t="inlineStr">
        <is>
          <t>C189</t>
        </is>
      </c>
      <c r="B1180" s="17" t="inlineStr"/>
      <c r="C1180" s="17" t="inlineStr">
        <is>
          <t>(주)대평</t>
        </is>
      </c>
      <c r="D1180" s="17" t="inlineStr"/>
      <c r="E1180" s="17" t="inlineStr">
        <is>
          <t>FDA·EMA 실사</t>
        </is>
      </c>
      <c r="F1180" s="17" t="inlineStr">
        <is>
          <t>미확인</t>
        </is>
      </c>
      <c r="G1180" s="17" t="inlineStr">
        <is>
          <t>웹조사 자동화 실패(세션한도)</t>
        </is>
      </c>
      <c r="H1180" s="17" t="inlineStr">
        <is>
          <t>N</t>
        </is>
      </c>
      <c r="I1180" s="17" t="inlineStr">
        <is>
          <t>FDA Inspection DB</t>
        </is>
      </c>
      <c r="J1180" s="17" t="inlineStr">
        <is>
          <t>FDA Inspection DB에서 확인</t>
        </is>
      </c>
      <c r="K1180" s="17" t="inlineStr">
        <is>
          <t>낮음</t>
        </is>
      </c>
      <c r="L1180" s="17" t="inlineStr"/>
    </row>
    <row r="1181">
      <c r="A1181" s="17" t="inlineStr">
        <is>
          <t>C189</t>
        </is>
      </c>
      <c r="B1181" s="17" t="inlineStr"/>
      <c r="C1181" s="17" t="inlineStr">
        <is>
          <t>(주)대평</t>
        </is>
      </c>
      <c r="D1181" s="17" t="inlineStr"/>
      <c r="E1181" s="17" t="inlineStr">
        <is>
          <t>CMO·CDMO</t>
        </is>
      </c>
      <c r="F1181" s="17" t="inlineStr">
        <is>
          <t>미확인</t>
        </is>
      </c>
      <c r="G1181" s="17" t="inlineStr">
        <is>
          <t>웹조사 자동화 실패(세션한도)</t>
        </is>
      </c>
      <c r="H1181" s="17" t="inlineStr">
        <is>
          <t>N</t>
        </is>
      </c>
      <c r="I1181" s="17" t="inlineStr">
        <is>
          <t>회사 홈페이지</t>
        </is>
      </c>
      <c r="J1181" s="17" t="inlineStr">
        <is>
          <t>회사 홈페이지에서 확인</t>
        </is>
      </c>
      <c r="K1181" s="17" t="inlineStr">
        <is>
          <t>낮음</t>
        </is>
      </c>
      <c r="L1181" s="17" t="inlineStr"/>
    </row>
    <row r="1182">
      <c r="A1182" s="17" t="inlineStr">
        <is>
          <t>C189</t>
        </is>
      </c>
      <c r="B1182" s="17" t="inlineStr"/>
      <c r="C1182" s="17" t="inlineStr">
        <is>
          <t>(주)대평</t>
        </is>
      </c>
      <c r="D1182" s="17" t="inlineStr"/>
      <c r="E1182" s="17" t="inlineStr">
        <is>
          <t>신공장·증설</t>
        </is>
      </c>
      <c r="F1182" s="17" t="inlineStr">
        <is>
          <t>미확인</t>
        </is>
      </c>
      <c r="G1182" s="17" t="inlineStr">
        <is>
          <t>웹조사 자동화 실패(세션한도)</t>
        </is>
      </c>
      <c r="H1182" s="17" t="inlineStr">
        <is>
          <t>N</t>
        </is>
      </c>
      <c r="I1182" s="17" t="inlineStr">
        <is>
          <t>언론·지자체 발표</t>
        </is>
      </c>
      <c r="J1182" s="17" t="inlineStr">
        <is>
          <t>언론·지자체 발표에서 확인</t>
        </is>
      </c>
      <c r="K1182" s="17" t="inlineStr">
        <is>
          <t>낮음</t>
        </is>
      </c>
      <c r="L1182" s="17" t="inlineStr"/>
    </row>
    <row r="1183">
      <c r="A1183" s="17" t="inlineStr">
        <is>
          <t>C190</t>
        </is>
      </c>
      <c r="B1183" s="17" t="inlineStr"/>
      <c r="C1183" s="17" t="inlineStr">
        <is>
          <t>(주)하이텍팜</t>
        </is>
      </c>
      <c r="D1183" s="17" t="inlineStr"/>
      <c r="E1183" s="17" t="inlineStr">
        <is>
          <t>최근매출(억원)</t>
        </is>
      </c>
      <c r="F1183" s="17" t="inlineStr">
        <is>
          <t>미확인</t>
        </is>
      </c>
      <c r="G1183" s="17" t="inlineStr">
        <is>
          <t>웹조사 자동화 실패(세션한도)</t>
        </is>
      </c>
      <c r="H1183" s="17" t="inlineStr">
        <is>
          <t>N</t>
        </is>
      </c>
      <c r="I1183" s="17" t="inlineStr">
        <is>
          <t>DART 사업보고서</t>
        </is>
      </c>
      <c r="J1183" s="17" t="inlineStr">
        <is>
          <t>DART 사업보고서에서 확인</t>
        </is>
      </c>
      <c r="K1183" s="17" t="inlineStr">
        <is>
          <t>낮음</t>
        </is>
      </c>
      <c r="L1183" s="17" t="inlineStr"/>
    </row>
    <row r="1184">
      <c r="A1184" s="17" t="inlineStr">
        <is>
          <t>C190</t>
        </is>
      </c>
      <c r="B1184" s="17" t="inlineStr"/>
      <c r="C1184" s="17" t="inlineStr">
        <is>
          <t>(주)하이텍팜</t>
        </is>
      </c>
      <c r="D1184" s="17" t="inlineStr"/>
      <c r="E1184" s="17" t="inlineStr">
        <is>
          <t>종업원수</t>
        </is>
      </c>
      <c r="F1184" s="17" t="inlineStr">
        <is>
          <t>미확인</t>
        </is>
      </c>
      <c r="G1184" s="17" t="inlineStr">
        <is>
          <t>웹조사 자동화 실패(세션한도)</t>
        </is>
      </c>
      <c r="H1184" s="17" t="inlineStr">
        <is>
          <t>N</t>
        </is>
      </c>
      <c r="I1184" s="17" t="inlineStr">
        <is>
          <t>DART/채용</t>
        </is>
      </c>
      <c r="J1184" s="17" t="inlineStr">
        <is>
          <t>DART/채용에서 확인</t>
        </is>
      </c>
      <c r="K1184" s="17" t="inlineStr">
        <is>
          <t>낮음</t>
        </is>
      </c>
      <c r="L1184" s="17" t="inlineStr"/>
    </row>
    <row r="1185">
      <c r="A1185" s="17" t="inlineStr">
        <is>
          <t>C190</t>
        </is>
      </c>
      <c r="B1185" s="17" t="inlineStr"/>
      <c r="C1185" s="17" t="inlineStr">
        <is>
          <t>(주)하이텍팜</t>
        </is>
      </c>
      <c r="D1185" s="17" t="inlineStr"/>
      <c r="E1185" s="17" t="inlineStr">
        <is>
          <t>수출여부</t>
        </is>
      </c>
      <c r="F1185" s="17" t="inlineStr">
        <is>
          <t>미확인</t>
        </is>
      </c>
      <c r="G1185" s="17" t="inlineStr">
        <is>
          <t>웹조사 자동화 실패(세션한도)</t>
        </is>
      </c>
      <c r="H1185" s="17" t="inlineStr">
        <is>
          <t>N</t>
        </is>
      </c>
      <c r="I1185" s="17" t="inlineStr">
        <is>
          <t>회사 공시·홈페이지</t>
        </is>
      </c>
      <c r="J1185" s="17" t="inlineStr">
        <is>
          <t>회사 공시·홈페이지에서 확인</t>
        </is>
      </c>
      <c r="K1185" s="17" t="inlineStr">
        <is>
          <t>낮음</t>
        </is>
      </c>
      <c r="L1185" s="17" t="inlineStr"/>
    </row>
    <row r="1186">
      <c r="A1186" s="17" t="inlineStr">
        <is>
          <t>C190</t>
        </is>
      </c>
      <c r="B1186" s="17" t="inlineStr"/>
      <c r="C1186" s="17" t="inlineStr">
        <is>
          <t>(주)하이텍팜</t>
        </is>
      </c>
      <c r="D1186" s="17" t="inlineStr"/>
      <c r="E1186" s="17" t="inlineStr">
        <is>
          <t>FDA·EMA 실사</t>
        </is>
      </c>
      <c r="F1186" s="17" t="inlineStr">
        <is>
          <t>미확인</t>
        </is>
      </c>
      <c r="G1186" s="17" t="inlineStr">
        <is>
          <t>웹조사 자동화 실패(세션한도)</t>
        </is>
      </c>
      <c r="H1186" s="17" t="inlineStr">
        <is>
          <t>N</t>
        </is>
      </c>
      <c r="I1186" s="17" t="inlineStr">
        <is>
          <t>FDA Inspection DB</t>
        </is>
      </c>
      <c r="J1186" s="17" t="inlineStr">
        <is>
          <t>FDA Inspection DB에서 확인</t>
        </is>
      </c>
      <c r="K1186" s="17" t="inlineStr">
        <is>
          <t>낮음</t>
        </is>
      </c>
      <c r="L1186" s="17" t="inlineStr"/>
    </row>
    <row r="1187">
      <c r="A1187" s="17" t="inlineStr">
        <is>
          <t>C190</t>
        </is>
      </c>
      <c r="B1187" s="17" t="inlineStr"/>
      <c r="C1187" s="17" t="inlineStr">
        <is>
          <t>(주)하이텍팜</t>
        </is>
      </c>
      <c r="D1187" s="17" t="inlineStr"/>
      <c r="E1187" s="17" t="inlineStr">
        <is>
          <t>CMO·CDMO</t>
        </is>
      </c>
      <c r="F1187" s="17" t="inlineStr">
        <is>
          <t>미확인</t>
        </is>
      </c>
      <c r="G1187" s="17" t="inlineStr">
        <is>
          <t>웹조사 자동화 실패(세션한도)</t>
        </is>
      </c>
      <c r="H1187" s="17" t="inlineStr">
        <is>
          <t>N</t>
        </is>
      </c>
      <c r="I1187" s="17" t="inlineStr">
        <is>
          <t>회사 홈페이지</t>
        </is>
      </c>
      <c r="J1187" s="17" t="inlineStr">
        <is>
          <t>회사 홈페이지에서 확인</t>
        </is>
      </c>
      <c r="K1187" s="17" t="inlineStr">
        <is>
          <t>낮음</t>
        </is>
      </c>
      <c r="L1187" s="17" t="inlineStr"/>
    </row>
    <row r="1188">
      <c r="A1188" s="17" t="inlineStr">
        <is>
          <t>C190</t>
        </is>
      </c>
      <c r="B1188" s="17" t="inlineStr"/>
      <c r="C1188" s="17" t="inlineStr">
        <is>
          <t>(주)하이텍팜</t>
        </is>
      </c>
      <c r="D1188" s="17" t="inlineStr"/>
      <c r="E1188" s="17" t="inlineStr">
        <is>
          <t>신공장·증설</t>
        </is>
      </c>
      <c r="F1188" s="17" t="inlineStr">
        <is>
          <t>미확인</t>
        </is>
      </c>
      <c r="G1188" s="17" t="inlineStr">
        <is>
          <t>웹조사 자동화 실패(세션한도)</t>
        </is>
      </c>
      <c r="H1188" s="17" t="inlineStr">
        <is>
          <t>N</t>
        </is>
      </c>
      <c r="I1188" s="17" t="inlineStr">
        <is>
          <t>언론·지자체 발표</t>
        </is>
      </c>
      <c r="J1188" s="17" t="inlineStr">
        <is>
          <t>언론·지자체 발표에서 확인</t>
        </is>
      </c>
      <c r="K1188" s="17" t="inlineStr">
        <is>
          <t>낮음</t>
        </is>
      </c>
      <c r="L1188" s="17" t="inlineStr"/>
    </row>
    <row r="1189">
      <c r="A1189" s="17" t="inlineStr">
        <is>
          <t>C191</t>
        </is>
      </c>
      <c r="B1189" s="17" t="inlineStr"/>
      <c r="C1189" s="17" t="inlineStr">
        <is>
          <t>국제약품(주)</t>
        </is>
      </c>
      <c r="D1189" s="17" t="inlineStr"/>
      <c r="E1189" s="17" t="inlineStr">
        <is>
          <t>최근매출(억원)</t>
        </is>
      </c>
      <c r="F1189" s="17" t="inlineStr">
        <is>
          <t>미확인</t>
        </is>
      </c>
      <c r="G1189" s="17" t="inlineStr">
        <is>
          <t>웹조사 자동화 실패(세션한도)</t>
        </is>
      </c>
      <c r="H1189" s="17" t="inlineStr">
        <is>
          <t>N</t>
        </is>
      </c>
      <c r="I1189" s="17" t="inlineStr">
        <is>
          <t>DART 사업보고서</t>
        </is>
      </c>
      <c r="J1189" s="17" t="inlineStr">
        <is>
          <t>DART 사업보고서에서 확인</t>
        </is>
      </c>
      <c r="K1189" s="17" t="inlineStr">
        <is>
          <t>낮음</t>
        </is>
      </c>
      <c r="L1189" s="17" t="inlineStr"/>
    </row>
    <row r="1190">
      <c r="A1190" s="17" t="inlineStr">
        <is>
          <t>C191</t>
        </is>
      </c>
      <c r="B1190" s="17" t="inlineStr"/>
      <c r="C1190" s="17" t="inlineStr">
        <is>
          <t>국제약품(주)</t>
        </is>
      </c>
      <c r="D1190" s="17" t="inlineStr"/>
      <c r="E1190" s="17" t="inlineStr">
        <is>
          <t>종업원수</t>
        </is>
      </c>
      <c r="F1190" s="17" t="inlineStr">
        <is>
          <t>미확인</t>
        </is>
      </c>
      <c r="G1190" s="17" t="inlineStr">
        <is>
          <t>웹조사 자동화 실패(세션한도)</t>
        </is>
      </c>
      <c r="H1190" s="17" t="inlineStr">
        <is>
          <t>N</t>
        </is>
      </c>
      <c r="I1190" s="17" t="inlineStr">
        <is>
          <t>DART/채용</t>
        </is>
      </c>
      <c r="J1190" s="17" t="inlineStr">
        <is>
          <t>DART/채용에서 확인</t>
        </is>
      </c>
      <c r="K1190" s="17" t="inlineStr">
        <is>
          <t>낮음</t>
        </is>
      </c>
      <c r="L1190" s="17" t="inlineStr"/>
    </row>
    <row r="1191">
      <c r="A1191" s="17" t="inlineStr">
        <is>
          <t>C191</t>
        </is>
      </c>
      <c r="B1191" s="17" t="inlineStr"/>
      <c r="C1191" s="17" t="inlineStr">
        <is>
          <t>국제약품(주)</t>
        </is>
      </c>
      <c r="D1191" s="17" t="inlineStr"/>
      <c r="E1191" s="17" t="inlineStr">
        <is>
          <t>수출여부</t>
        </is>
      </c>
      <c r="F1191" s="17" t="inlineStr">
        <is>
          <t>미확인</t>
        </is>
      </c>
      <c r="G1191" s="17" t="inlineStr">
        <is>
          <t>웹조사 자동화 실패(세션한도)</t>
        </is>
      </c>
      <c r="H1191" s="17" t="inlineStr">
        <is>
          <t>N</t>
        </is>
      </c>
      <c r="I1191" s="17" t="inlineStr">
        <is>
          <t>회사 공시·홈페이지</t>
        </is>
      </c>
      <c r="J1191" s="17" t="inlineStr">
        <is>
          <t>회사 공시·홈페이지에서 확인</t>
        </is>
      </c>
      <c r="K1191" s="17" t="inlineStr">
        <is>
          <t>낮음</t>
        </is>
      </c>
      <c r="L1191" s="17" t="inlineStr"/>
    </row>
    <row r="1192">
      <c r="A1192" s="17" t="inlineStr">
        <is>
          <t>C191</t>
        </is>
      </c>
      <c r="B1192" s="17" t="inlineStr"/>
      <c r="C1192" s="17" t="inlineStr">
        <is>
          <t>국제약품(주)</t>
        </is>
      </c>
      <c r="D1192" s="17" t="inlineStr"/>
      <c r="E1192" s="17" t="inlineStr">
        <is>
          <t>FDA·EMA 실사</t>
        </is>
      </c>
      <c r="F1192" s="17" t="inlineStr">
        <is>
          <t>미확인</t>
        </is>
      </c>
      <c r="G1192" s="17" t="inlineStr">
        <is>
          <t>웹조사 자동화 실패(세션한도)</t>
        </is>
      </c>
      <c r="H1192" s="17" t="inlineStr">
        <is>
          <t>N</t>
        </is>
      </c>
      <c r="I1192" s="17" t="inlineStr">
        <is>
          <t>FDA Inspection DB</t>
        </is>
      </c>
      <c r="J1192" s="17" t="inlineStr">
        <is>
          <t>FDA Inspection DB에서 확인</t>
        </is>
      </c>
      <c r="K1192" s="17" t="inlineStr">
        <is>
          <t>낮음</t>
        </is>
      </c>
      <c r="L1192" s="17" t="inlineStr"/>
    </row>
    <row r="1193">
      <c r="A1193" s="17" t="inlineStr">
        <is>
          <t>C191</t>
        </is>
      </c>
      <c r="B1193" s="17" t="inlineStr"/>
      <c r="C1193" s="17" t="inlineStr">
        <is>
          <t>국제약품(주)</t>
        </is>
      </c>
      <c r="D1193" s="17" t="inlineStr"/>
      <c r="E1193" s="17" t="inlineStr">
        <is>
          <t>CMO·CDMO</t>
        </is>
      </c>
      <c r="F1193" s="17" t="inlineStr">
        <is>
          <t>미확인</t>
        </is>
      </c>
      <c r="G1193" s="17" t="inlineStr">
        <is>
          <t>웹조사 자동화 실패(세션한도)</t>
        </is>
      </c>
      <c r="H1193" s="17" t="inlineStr">
        <is>
          <t>N</t>
        </is>
      </c>
      <c r="I1193" s="17" t="inlineStr">
        <is>
          <t>회사 홈페이지</t>
        </is>
      </c>
      <c r="J1193" s="17" t="inlineStr">
        <is>
          <t>회사 홈페이지에서 확인</t>
        </is>
      </c>
      <c r="K1193" s="17" t="inlineStr">
        <is>
          <t>낮음</t>
        </is>
      </c>
      <c r="L1193" s="17" t="inlineStr"/>
    </row>
    <row r="1194">
      <c r="A1194" s="17" t="inlineStr">
        <is>
          <t>C191</t>
        </is>
      </c>
      <c r="B1194" s="17" t="inlineStr"/>
      <c r="C1194" s="17" t="inlineStr">
        <is>
          <t>국제약품(주)</t>
        </is>
      </c>
      <c r="D1194" s="17" t="inlineStr"/>
      <c r="E1194" s="17" t="inlineStr">
        <is>
          <t>신공장·증설</t>
        </is>
      </c>
      <c r="F1194" s="17" t="inlineStr">
        <is>
          <t>미확인</t>
        </is>
      </c>
      <c r="G1194" s="17" t="inlineStr">
        <is>
          <t>웹조사 자동화 실패(세션한도)</t>
        </is>
      </c>
      <c r="H1194" s="17" t="inlineStr">
        <is>
          <t>N</t>
        </is>
      </c>
      <c r="I1194" s="17" t="inlineStr">
        <is>
          <t>언론·지자체 발표</t>
        </is>
      </c>
      <c r="J1194" s="17" t="inlineStr">
        <is>
          <t>언론·지자체 발표에서 확인</t>
        </is>
      </c>
      <c r="K1194" s="17" t="inlineStr">
        <is>
          <t>낮음</t>
        </is>
      </c>
      <c r="L1194" s="17" t="inlineStr"/>
    </row>
    <row r="1195">
      <c r="A1195" s="17" t="inlineStr">
        <is>
          <t>C192</t>
        </is>
      </c>
      <c r="B1195" s="17" t="inlineStr"/>
      <c r="C1195" s="17" t="inlineStr">
        <is>
          <t>진양제약(주)</t>
        </is>
      </c>
      <c r="D1195" s="17" t="inlineStr"/>
      <c r="E1195" s="17" t="inlineStr">
        <is>
          <t>최근매출(억원)</t>
        </is>
      </c>
      <c r="F1195" s="17" t="inlineStr">
        <is>
          <t>미확인</t>
        </is>
      </c>
      <c r="G1195" s="17" t="inlineStr">
        <is>
          <t>웹조사 자동화 실패(세션한도)</t>
        </is>
      </c>
      <c r="H1195" s="17" t="inlineStr">
        <is>
          <t>N</t>
        </is>
      </c>
      <c r="I1195" s="17" t="inlineStr">
        <is>
          <t>DART 사업보고서</t>
        </is>
      </c>
      <c r="J1195" s="17" t="inlineStr">
        <is>
          <t>DART 사업보고서에서 확인</t>
        </is>
      </c>
      <c r="K1195" s="17" t="inlineStr">
        <is>
          <t>낮음</t>
        </is>
      </c>
      <c r="L1195" s="17" t="inlineStr"/>
    </row>
    <row r="1196">
      <c r="A1196" s="17" t="inlineStr">
        <is>
          <t>C192</t>
        </is>
      </c>
      <c r="B1196" s="17" t="inlineStr"/>
      <c r="C1196" s="17" t="inlineStr">
        <is>
          <t>진양제약(주)</t>
        </is>
      </c>
      <c r="D1196" s="17" t="inlineStr"/>
      <c r="E1196" s="17" t="inlineStr">
        <is>
          <t>종업원수</t>
        </is>
      </c>
      <c r="F1196" s="17" t="inlineStr">
        <is>
          <t>미확인</t>
        </is>
      </c>
      <c r="G1196" s="17" t="inlineStr">
        <is>
          <t>웹조사 자동화 실패(세션한도)</t>
        </is>
      </c>
      <c r="H1196" s="17" t="inlineStr">
        <is>
          <t>N</t>
        </is>
      </c>
      <c r="I1196" s="17" t="inlineStr">
        <is>
          <t>DART/채용</t>
        </is>
      </c>
      <c r="J1196" s="17" t="inlineStr">
        <is>
          <t>DART/채용에서 확인</t>
        </is>
      </c>
      <c r="K1196" s="17" t="inlineStr">
        <is>
          <t>낮음</t>
        </is>
      </c>
      <c r="L1196" s="17" t="inlineStr"/>
    </row>
    <row r="1197">
      <c r="A1197" s="17" t="inlineStr">
        <is>
          <t>C192</t>
        </is>
      </c>
      <c r="B1197" s="17" t="inlineStr"/>
      <c r="C1197" s="17" t="inlineStr">
        <is>
          <t>진양제약(주)</t>
        </is>
      </c>
      <c r="D1197" s="17" t="inlineStr"/>
      <c r="E1197" s="17" t="inlineStr">
        <is>
          <t>수출여부</t>
        </is>
      </c>
      <c r="F1197" s="17" t="inlineStr">
        <is>
          <t>미확인</t>
        </is>
      </c>
      <c r="G1197" s="17" t="inlineStr">
        <is>
          <t>웹조사 자동화 실패(세션한도)</t>
        </is>
      </c>
      <c r="H1197" s="17" t="inlineStr">
        <is>
          <t>N</t>
        </is>
      </c>
      <c r="I1197" s="17" t="inlineStr">
        <is>
          <t>회사 공시·홈페이지</t>
        </is>
      </c>
      <c r="J1197" s="17" t="inlineStr">
        <is>
          <t>회사 공시·홈페이지에서 확인</t>
        </is>
      </c>
      <c r="K1197" s="17" t="inlineStr">
        <is>
          <t>낮음</t>
        </is>
      </c>
      <c r="L1197" s="17" t="inlineStr"/>
    </row>
    <row r="1198">
      <c r="A1198" s="17" t="inlineStr">
        <is>
          <t>C192</t>
        </is>
      </c>
      <c r="B1198" s="17" t="inlineStr"/>
      <c r="C1198" s="17" t="inlineStr">
        <is>
          <t>진양제약(주)</t>
        </is>
      </c>
      <c r="D1198" s="17" t="inlineStr"/>
      <c r="E1198" s="17" t="inlineStr">
        <is>
          <t>FDA·EMA 실사</t>
        </is>
      </c>
      <c r="F1198" s="17" t="inlineStr">
        <is>
          <t>미확인</t>
        </is>
      </c>
      <c r="G1198" s="17" t="inlineStr">
        <is>
          <t>웹조사 자동화 실패(세션한도)</t>
        </is>
      </c>
      <c r="H1198" s="17" t="inlineStr">
        <is>
          <t>N</t>
        </is>
      </c>
      <c r="I1198" s="17" t="inlineStr">
        <is>
          <t>FDA Inspection DB</t>
        </is>
      </c>
      <c r="J1198" s="17" t="inlineStr">
        <is>
          <t>FDA Inspection DB에서 확인</t>
        </is>
      </c>
      <c r="K1198" s="17" t="inlineStr">
        <is>
          <t>낮음</t>
        </is>
      </c>
      <c r="L1198" s="17" t="inlineStr"/>
    </row>
    <row r="1199">
      <c r="A1199" s="17" t="inlineStr">
        <is>
          <t>C192</t>
        </is>
      </c>
      <c r="B1199" s="17" t="inlineStr"/>
      <c r="C1199" s="17" t="inlineStr">
        <is>
          <t>진양제약(주)</t>
        </is>
      </c>
      <c r="D1199" s="17" t="inlineStr"/>
      <c r="E1199" s="17" t="inlineStr">
        <is>
          <t>CMO·CDMO</t>
        </is>
      </c>
      <c r="F1199" s="17" t="inlineStr">
        <is>
          <t>미확인</t>
        </is>
      </c>
      <c r="G1199" s="17" t="inlineStr">
        <is>
          <t>웹조사 자동화 실패(세션한도)</t>
        </is>
      </c>
      <c r="H1199" s="17" t="inlineStr">
        <is>
          <t>N</t>
        </is>
      </c>
      <c r="I1199" s="17" t="inlineStr">
        <is>
          <t>회사 홈페이지</t>
        </is>
      </c>
      <c r="J1199" s="17" t="inlineStr">
        <is>
          <t>회사 홈페이지에서 확인</t>
        </is>
      </c>
      <c r="K1199" s="17" t="inlineStr">
        <is>
          <t>낮음</t>
        </is>
      </c>
      <c r="L1199" s="17" t="inlineStr"/>
    </row>
    <row r="1200">
      <c r="A1200" s="17" t="inlineStr">
        <is>
          <t>C192</t>
        </is>
      </c>
      <c r="B1200" s="17" t="inlineStr"/>
      <c r="C1200" s="17" t="inlineStr">
        <is>
          <t>진양제약(주)</t>
        </is>
      </c>
      <c r="D1200" s="17" t="inlineStr"/>
      <c r="E1200" s="17" t="inlineStr">
        <is>
          <t>신공장·증설</t>
        </is>
      </c>
      <c r="F1200" s="17" t="inlineStr">
        <is>
          <t>미확인</t>
        </is>
      </c>
      <c r="G1200" s="17" t="inlineStr">
        <is>
          <t>웹조사 자동화 실패(세션한도)</t>
        </is>
      </c>
      <c r="H1200" s="17" t="inlineStr">
        <is>
          <t>N</t>
        </is>
      </c>
      <c r="I1200" s="17" t="inlineStr">
        <is>
          <t>언론·지자체 발표</t>
        </is>
      </c>
      <c r="J1200" s="17" t="inlineStr">
        <is>
          <t>언론·지자체 발표에서 확인</t>
        </is>
      </c>
      <c r="K1200" s="17" t="inlineStr">
        <is>
          <t>낮음</t>
        </is>
      </c>
      <c r="L1200" s="17" t="inlineStr"/>
    </row>
    <row r="1201">
      <c r="A1201" s="17" t="inlineStr">
        <is>
          <t>C192</t>
        </is>
      </c>
      <c r="B1201" s="17" t="inlineStr"/>
      <c r="C1201" s="17" t="inlineStr">
        <is>
          <t>진양제약(주)</t>
        </is>
      </c>
      <c r="D1201" s="17" t="inlineStr"/>
      <c r="E1201" s="17" t="inlineStr">
        <is>
          <t>대표전화</t>
        </is>
      </c>
      <c r="F1201" s="17" t="inlineStr">
        <is>
          <t>미확인</t>
        </is>
      </c>
      <c r="G1201" s="17" t="inlineStr">
        <is>
          <t>제조소상세 미매칭</t>
        </is>
      </c>
      <c r="H1201" s="17" t="inlineStr">
        <is>
          <t>Y</t>
        </is>
      </c>
      <c r="I1201" s="17" t="inlineStr">
        <is>
          <t>회사 홈페이지</t>
        </is>
      </c>
      <c r="J1201" s="17" t="inlineStr">
        <is>
          <t>홈페이지에서 대표번호 확인</t>
        </is>
      </c>
      <c r="K1201" s="17" t="inlineStr">
        <is>
          <t>낮음</t>
        </is>
      </c>
      <c r="L1201" s="17" t="inlineStr"/>
    </row>
    <row r="1202">
      <c r="A1202" s="17" t="inlineStr">
        <is>
          <t>C193</t>
        </is>
      </c>
      <c r="B1202" s="17" t="inlineStr"/>
      <c r="C1202" s="17" t="inlineStr">
        <is>
          <t>(주)밀성산업가스</t>
        </is>
      </c>
      <c r="D1202" s="17" t="inlineStr"/>
      <c r="E1202" s="17" t="inlineStr">
        <is>
          <t>최근매출(억원)</t>
        </is>
      </c>
      <c r="F1202" s="17" t="inlineStr">
        <is>
          <t>미확인</t>
        </is>
      </c>
      <c r="G1202" s="17" t="inlineStr">
        <is>
          <t>웹조사 자동화 실패(세션한도)</t>
        </is>
      </c>
      <c r="H1202" s="17" t="inlineStr">
        <is>
          <t>N</t>
        </is>
      </c>
      <c r="I1202" s="17" t="inlineStr">
        <is>
          <t>DART 사업보고서</t>
        </is>
      </c>
      <c r="J1202" s="17" t="inlineStr">
        <is>
          <t>DART 사업보고서에서 확인</t>
        </is>
      </c>
      <c r="K1202" s="17" t="inlineStr">
        <is>
          <t>낮음</t>
        </is>
      </c>
      <c r="L1202" s="17" t="inlineStr"/>
    </row>
    <row r="1203">
      <c r="A1203" s="17" t="inlineStr">
        <is>
          <t>C193</t>
        </is>
      </c>
      <c r="B1203" s="17" t="inlineStr"/>
      <c r="C1203" s="17" t="inlineStr">
        <is>
          <t>(주)밀성산업가스</t>
        </is>
      </c>
      <c r="D1203" s="17" t="inlineStr"/>
      <c r="E1203" s="17" t="inlineStr">
        <is>
          <t>종업원수</t>
        </is>
      </c>
      <c r="F1203" s="17" t="inlineStr">
        <is>
          <t>미확인</t>
        </is>
      </c>
      <c r="G1203" s="17" t="inlineStr">
        <is>
          <t>웹조사 자동화 실패(세션한도)</t>
        </is>
      </c>
      <c r="H1203" s="17" t="inlineStr">
        <is>
          <t>N</t>
        </is>
      </c>
      <c r="I1203" s="17" t="inlineStr">
        <is>
          <t>DART/채용</t>
        </is>
      </c>
      <c r="J1203" s="17" t="inlineStr">
        <is>
          <t>DART/채용에서 확인</t>
        </is>
      </c>
      <c r="K1203" s="17" t="inlineStr">
        <is>
          <t>낮음</t>
        </is>
      </c>
      <c r="L1203" s="17" t="inlineStr"/>
    </row>
    <row r="1204">
      <c r="A1204" s="17" t="inlineStr">
        <is>
          <t>C193</t>
        </is>
      </c>
      <c r="B1204" s="17" t="inlineStr"/>
      <c r="C1204" s="17" t="inlineStr">
        <is>
          <t>(주)밀성산업가스</t>
        </is>
      </c>
      <c r="D1204" s="17" t="inlineStr"/>
      <c r="E1204" s="17" t="inlineStr">
        <is>
          <t>수출여부</t>
        </is>
      </c>
      <c r="F1204" s="17" t="inlineStr">
        <is>
          <t>미확인</t>
        </is>
      </c>
      <c r="G1204" s="17" t="inlineStr">
        <is>
          <t>웹조사 자동화 실패(세션한도)</t>
        </is>
      </c>
      <c r="H1204" s="17" t="inlineStr">
        <is>
          <t>N</t>
        </is>
      </c>
      <c r="I1204" s="17" t="inlineStr">
        <is>
          <t>회사 공시·홈페이지</t>
        </is>
      </c>
      <c r="J1204" s="17" t="inlineStr">
        <is>
          <t>회사 공시·홈페이지에서 확인</t>
        </is>
      </c>
      <c r="K1204" s="17" t="inlineStr">
        <is>
          <t>낮음</t>
        </is>
      </c>
      <c r="L1204" s="17" t="inlineStr"/>
    </row>
    <row r="1205">
      <c r="A1205" s="17" t="inlineStr">
        <is>
          <t>C193</t>
        </is>
      </c>
      <c r="B1205" s="17" t="inlineStr"/>
      <c r="C1205" s="17" t="inlineStr">
        <is>
          <t>(주)밀성산업가스</t>
        </is>
      </c>
      <c r="D1205" s="17" t="inlineStr"/>
      <c r="E1205" s="17" t="inlineStr">
        <is>
          <t>FDA·EMA 실사</t>
        </is>
      </c>
      <c r="F1205" s="17" t="inlineStr">
        <is>
          <t>미확인</t>
        </is>
      </c>
      <c r="G1205" s="17" t="inlineStr">
        <is>
          <t>웹조사 자동화 실패(세션한도)</t>
        </is>
      </c>
      <c r="H1205" s="17" t="inlineStr">
        <is>
          <t>N</t>
        </is>
      </c>
      <c r="I1205" s="17" t="inlineStr">
        <is>
          <t>FDA Inspection DB</t>
        </is>
      </c>
      <c r="J1205" s="17" t="inlineStr">
        <is>
          <t>FDA Inspection DB에서 확인</t>
        </is>
      </c>
      <c r="K1205" s="17" t="inlineStr">
        <is>
          <t>낮음</t>
        </is>
      </c>
      <c r="L1205" s="17" t="inlineStr"/>
    </row>
    <row r="1206">
      <c r="A1206" s="17" t="inlineStr">
        <is>
          <t>C193</t>
        </is>
      </c>
      <c r="B1206" s="17" t="inlineStr"/>
      <c r="C1206" s="17" t="inlineStr">
        <is>
          <t>(주)밀성산업가스</t>
        </is>
      </c>
      <c r="D1206" s="17" t="inlineStr"/>
      <c r="E1206" s="17" t="inlineStr">
        <is>
          <t>CMO·CDMO</t>
        </is>
      </c>
      <c r="F1206" s="17" t="inlineStr">
        <is>
          <t>미확인</t>
        </is>
      </c>
      <c r="G1206" s="17" t="inlineStr">
        <is>
          <t>웹조사 자동화 실패(세션한도)</t>
        </is>
      </c>
      <c r="H1206" s="17" t="inlineStr">
        <is>
          <t>N</t>
        </is>
      </c>
      <c r="I1206" s="17" t="inlineStr">
        <is>
          <t>회사 홈페이지</t>
        </is>
      </c>
      <c r="J1206" s="17" t="inlineStr">
        <is>
          <t>회사 홈페이지에서 확인</t>
        </is>
      </c>
      <c r="K1206" s="17" t="inlineStr">
        <is>
          <t>낮음</t>
        </is>
      </c>
      <c r="L1206" s="17" t="inlineStr"/>
    </row>
    <row r="1207">
      <c r="A1207" s="17" t="inlineStr">
        <is>
          <t>C193</t>
        </is>
      </c>
      <c r="B1207" s="17" t="inlineStr"/>
      <c r="C1207" s="17" t="inlineStr">
        <is>
          <t>(주)밀성산업가스</t>
        </is>
      </c>
      <c r="D1207" s="17" t="inlineStr"/>
      <c r="E1207" s="17" t="inlineStr">
        <is>
          <t>신공장·증설</t>
        </is>
      </c>
      <c r="F1207" s="17" t="inlineStr">
        <is>
          <t>미확인</t>
        </is>
      </c>
      <c r="G1207" s="17" t="inlineStr">
        <is>
          <t>웹조사 자동화 실패(세션한도)</t>
        </is>
      </c>
      <c r="H1207" s="17" t="inlineStr">
        <is>
          <t>N</t>
        </is>
      </c>
      <c r="I1207" s="17" t="inlineStr">
        <is>
          <t>언론·지자체 발표</t>
        </is>
      </c>
      <c r="J1207" s="17" t="inlineStr">
        <is>
          <t>언론·지자체 발표에서 확인</t>
        </is>
      </c>
      <c r="K1207" s="17" t="inlineStr">
        <is>
          <t>낮음</t>
        </is>
      </c>
      <c r="L1207" s="17" t="inlineStr"/>
    </row>
    <row r="1208">
      <c r="A1208" s="17" t="inlineStr">
        <is>
          <t>C194</t>
        </is>
      </c>
      <c r="B1208" s="17" t="inlineStr"/>
      <c r="C1208" s="17" t="inlineStr">
        <is>
          <t>신풍제약(주)</t>
        </is>
      </c>
      <c r="D1208" s="17" t="inlineStr"/>
      <c r="E1208" s="17" t="inlineStr">
        <is>
          <t>최근매출(억원)</t>
        </is>
      </c>
      <c r="F1208" s="17" t="inlineStr">
        <is>
          <t>미확인</t>
        </is>
      </c>
      <c r="G1208" s="17" t="inlineStr">
        <is>
          <t>웹조사 자동화 실패(세션한도)</t>
        </is>
      </c>
      <c r="H1208" s="17" t="inlineStr">
        <is>
          <t>N</t>
        </is>
      </c>
      <c r="I1208" s="17" t="inlineStr">
        <is>
          <t>DART 사업보고서</t>
        </is>
      </c>
      <c r="J1208" s="17" t="inlineStr">
        <is>
          <t>DART 사업보고서에서 확인</t>
        </is>
      </c>
      <c r="K1208" s="17" t="inlineStr">
        <is>
          <t>낮음</t>
        </is>
      </c>
      <c r="L1208" s="17" t="inlineStr"/>
    </row>
    <row r="1209">
      <c r="A1209" s="17" t="inlineStr">
        <is>
          <t>C194</t>
        </is>
      </c>
      <c r="B1209" s="17" t="inlineStr"/>
      <c r="C1209" s="17" t="inlineStr">
        <is>
          <t>신풍제약(주)</t>
        </is>
      </c>
      <c r="D1209" s="17" t="inlineStr"/>
      <c r="E1209" s="17" t="inlineStr">
        <is>
          <t>종업원수</t>
        </is>
      </c>
      <c r="F1209" s="17" t="inlineStr">
        <is>
          <t>미확인</t>
        </is>
      </c>
      <c r="G1209" s="17" t="inlineStr">
        <is>
          <t>웹조사 자동화 실패(세션한도)</t>
        </is>
      </c>
      <c r="H1209" s="17" t="inlineStr">
        <is>
          <t>N</t>
        </is>
      </c>
      <c r="I1209" s="17" t="inlineStr">
        <is>
          <t>DART/채용</t>
        </is>
      </c>
      <c r="J1209" s="17" t="inlineStr">
        <is>
          <t>DART/채용에서 확인</t>
        </is>
      </c>
      <c r="K1209" s="17" t="inlineStr">
        <is>
          <t>낮음</t>
        </is>
      </c>
      <c r="L1209" s="17" t="inlineStr"/>
    </row>
    <row r="1210">
      <c r="A1210" s="17" t="inlineStr">
        <is>
          <t>C194</t>
        </is>
      </c>
      <c r="B1210" s="17" t="inlineStr"/>
      <c r="C1210" s="17" t="inlineStr">
        <is>
          <t>신풍제약(주)</t>
        </is>
      </c>
      <c r="D1210" s="17" t="inlineStr"/>
      <c r="E1210" s="17" t="inlineStr">
        <is>
          <t>수출여부</t>
        </is>
      </c>
      <c r="F1210" s="17" t="inlineStr">
        <is>
          <t>미확인</t>
        </is>
      </c>
      <c r="G1210" s="17" t="inlineStr">
        <is>
          <t>웹조사 자동화 실패(세션한도)</t>
        </is>
      </c>
      <c r="H1210" s="17" t="inlineStr">
        <is>
          <t>N</t>
        </is>
      </c>
      <c r="I1210" s="17" t="inlineStr">
        <is>
          <t>회사 공시·홈페이지</t>
        </is>
      </c>
      <c r="J1210" s="17" t="inlineStr">
        <is>
          <t>회사 공시·홈페이지에서 확인</t>
        </is>
      </c>
      <c r="K1210" s="17" t="inlineStr">
        <is>
          <t>낮음</t>
        </is>
      </c>
      <c r="L1210" s="17" t="inlineStr"/>
    </row>
    <row r="1211">
      <c r="A1211" s="17" t="inlineStr">
        <is>
          <t>C194</t>
        </is>
      </c>
      <c r="B1211" s="17" t="inlineStr"/>
      <c r="C1211" s="17" t="inlineStr">
        <is>
          <t>신풍제약(주)</t>
        </is>
      </c>
      <c r="D1211" s="17" t="inlineStr"/>
      <c r="E1211" s="17" t="inlineStr">
        <is>
          <t>FDA·EMA 실사</t>
        </is>
      </c>
      <c r="F1211" s="17" t="inlineStr">
        <is>
          <t>미확인</t>
        </is>
      </c>
      <c r="G1211" s="17" t="inlineStr">
        <is>
          <t>웹조사 자동화 실패(세션한도)</t>
        </is>
      </c>
      <c r="H1211" s="17" t="inlineStr">
        <is>
          <t>N</t>
        </is>
      </c>
      <c r="I1211" s="17" t="inlineStr">
        <is>
          <t>FDA Inspection DB</t>
        </is>
      </c>
      <c r="J1211" s="17" t="inlineStr">
        <is>
          <t>FDA Inspection DB에서 확인</t>
        </is>
      </c>
      <c r="K1211" s="17" t="inlineStr">
        <is>
          <t>낮음</t>
        </is>
      </c>
      <c r="L1211" s="17" t="inlineStr"/>
    </row>
    <row r="1212">
      <c r="A1212" s="17" t="inlineStr">
        <is>
          <t>C194</t>
        </is>
      </c>
      <c r="B1212" s="17" t="inlineStr"/>
      <c r="C1212" s="17" t="inlineStr">
        <is>
          <t>신풍제약(주)</t>
        </is>
      </c>
      <c r="D1212" s="17" t="inlineStr"/>
      <c r="E1212" s="17" t="inlineStr">
        <is>
          <t>CMO·CDMO</t>
        </is>
      </c>
      <c r="F1212" s="17" t="inlineStr">
        <is>
          <t>미확인</t>
        </is>
      </c>
      <c r="G1212" s="17" t="inlineStr">
        <is>
          <t>웹조사 자동화 실패(세션한도)</t>
        </is>
      </c>
      <c r="H1212" s="17" t="inlineStr">
        <is>
          <t>N</t>
        </is>
      </c>
      <c r="I1212" s="17" t="inlineStr">
        <is>
          <t>회사 홈페이지</t>
        </is>
      </c>
      <c r="J1212" s="17" t="inlineStr">
        <is>
          <t>회사 홈페이지에서 확인</t>
        </is>
      </c>
      <c r="K1212" s="17" t="inlineStr">
        <is>
          <t>낮음</t>
        </is>
      </c>
      <c r="L1212" s="17" t="inlineStr"/>
    </row>
    <row r="1213">
      <c r="A1213" s="17" t="inlineStr">
        <is>
          <t>C194</t>
        </is>
      </c>
      <c r="B1213" s="17" t="inlineStr"/>
      <c r="C1213" s="17" t="inlineStr">
        <is>
          <t>신풍제약(주)</t>
        </is>
      </c>
      <c r="D1213" s="17" t="inlineStr"/>
      <c r="E1213" s="17" t="inlineStr">
        <is>
          <t>신공장·증설</t>
        </is>
      </c>
      <c r="F1213" s="17" t="inlineStr">
        <is>
          <t>미확인</t>
        </is>
      </c>
      <c r="G1213" s="17" t="inlineStr">
        <is>
          <t>웹조사 자동화 실패(세션한도)</t>
        </is>
      </c>
      <c r="H1213" s="17" t="inlineStr">
        <is>
          <t>N</t>
        </is>
      </c>
      <c r="I1213" s="17" t="inlineStr">
        <is>
          <t>언론·지자체 발표</t>
        </is>
      </c>
      <c r="J1213" s="17" t="inlineStr">
        <is>
          <t>언론·지자체 발표에서 확인</t>
        </is>
      </c>
      <c r="K1213" s="17" t="inlineStr">
        <is>
          <t>낮음</t>
        </is>
      </c>
      <c r="L1213" s="17" t="inlineStr"/>
    </row>
    <row r="1214">
      <c r="A1214" s="17" t="inlineStr">
        <is>
          <t>C195</t>
        </is>
      </c>
      <c r="B1214" s="17" t="inlineStr"/>
      <c r="C1214" s="17" t="inlineStr">
        <is>
          <t>한국신텍스제약(주)</t>
        </is>
      </c>
      <c r="D1214" s="17" t="inlineStr"/>
      <c r="E1214" s="17" t="inlineStr">
        <is>
          <t>최근매출(억원)</t>
        </is>
      </c>
      <c r="F1214" s="17" t="inlineStr">
        <is>
          <t>미확인</t>
        </is>
      </c>
      <c r="G1214" s="17" t="inlineStr">
        <is>
          <t>웹조사 자동화 실패(세션한도)</t>
        </is>
      </c>
      <c r="H1214" s="17" t="inlineStr">
        <is>
          <t>N</t>
        </is>
      </c>
      <c r="I1214" s="17" t="inlineStr">
        <is>
          <t>DART 사업보고서</t>
        </is>
      </c>
      <c r="J1214" s="17" t="inlineStr">
        <is>
          <t>DART 사업보고서에서 확인</t>
        </is>
      </c>
      <c r="K1214" s="17" t="inlineStr">
        <is>
          <t>낮음</t>
        </is>
      </c>
      <c r="L1214" s="17" t="inlineStr"/>
    </row>
    <row r="1215">
      <c r="A1215" s="17" t="inlineStr">
        <is>
          <t>C195</t>
        </is>
      </c>
      <c r="B1215" s="17" t="inlineStr"/>
      <c r="C1215" s="17" t="inlineStr">
        <is>
          <t>한국신텍스제약(주)</t>
        </is>
      </c>
      <c r="D1215" s="17" t="inlineStr"/>
      <c r="E1215" s="17" t="inlineStr">
        <is>
          <t>종업원수</t>
        </is>
      </c>
      <c r="F1215" s="17" t="inlineStr">
        <is>
          <t>미확인</t>
        </is>
      </c>
      <c r="G1215" s="17" t="inlineStr">
        <is>
          <t>웹조사 자동화 실패(세션한도)</t>
        </is>
      </c>
      <c r="H1215" s="17" t="inlineStr">
        <is>
          <t>N</t>
        </is>
      </c>
      <c r="I1215" s="17" t="inlineStr">
        <is>
          <t>DART/채용</t>
        </is>
      </c>
      <c r="J1215" s="17" t="inlineStr">
        <is>
          <t>DART/채용에서 확인</t>
        </is>
      </c>
      <c r="K1215" s="17" t="inlineStr">
        <is>
          <t>낮음</t>
        </is>
      </c>
      <c r="L1215" s="17" t="inlineStr"/>
    </row>
    <row r="1216">
      <c r="A1216" s="17" t="inlineStr">
        <is>
          <t>C195</t>
        </is>
      </c>
      <c r="B1216" s="17" t="inlineStr"/>
      <c r="C1216" s="17" t="inlineStr">
        <is>
          <t>한국신텍스제약(주)</t>
        </is>
      </c>
      <c r="D1216" s="17" t="inlineStr"/>
      <c r="E1216" s="17" t="inlineStr">
        <is>
          <t>수출여부</t>
        </is>
      </c>
      <c r="F1216" s="17" t="inlineStr">
        <is>
          <t>미확인</t>
        </is>
      </c>
      <c r="G1216" s="17" t="inlineStr">
        <is>
          <t>웹조사 자동화 실패(세션한도)</t>
        </is>
      </c>
      <c r="H1216" s="17" t="inlineStr">
        <is>
          <t>N</t>
        </is>
      </c>
      <c r="I1216" s="17" t="inlineStr">
        <is>
          <t>회사 공시·홈페이지</t>
        </is>
      </c>
      <c r="J1216" s="17" t="inlineStr">
        <is>
          <t>회사 공시·홈페이지에서 확인</t>
        </is>
      </c>
      <c r="K1216" s="17" t="inlineStr">
        <is>
          <t>낮음</t>
        </is>
      </c>
      <c r="L1216" s="17" t="inlineStr"/>
    </row>
    <row r="1217">
      <c r="A1217" s="17" t="inlineStr">
        <is>
          <t>C195</t>
        </is>
      </c>
      <c r="B1217" s="17" t="inlineStr"/>
      <c r="C1217" s="17" t="inlineStr">
        <is>
          <t>한국신텍스제약(주)</t>
        </is>
      </c>
      <c r="D1217" s="17" t="inlineStr"/>
      <c r="E1217" s="17" t="inlineStr">
        <is>
          <t>FDA·EMA 실사</t>
        </is>
      </c>
      <c r="F1217" s="17" t="inlineStr">
        <is>
          <t>미확인</t>
        </is>
      </c>
      <c r="G1217" s="17" t="inlineStr">
        <is>
          <t>웹조사 자동화 실패(세션한도)</t>
        </is>
      </c>
      <c r="H1217" s="17" t="inlineStr">
        <is>
          <t>N</t>
        </is>
      </c>
      <c r="I1217" s="17" t="inlineStr">
        <is>
          <t>FDA Inspection DB</t>
        </is>
      </c>
      <c r="J1217" s="17" t="inlineStr">
        <is>
          <t>FDA Inspection DB에서 확인</t>
        </is>
      </c>
      <c r="K1217" s="17" t="inlineStr">
        <is>
          <t>낮음</t>
        </is>
      </c>
      <c r="L1217" s="17" t="inlineStr"/>
    </row>
    <row r="1218">
      <c r="A1218" s="17" t="inlineStr">
        <is>
          <t>C195</t>
        </is>
      </c>
      <c r="B1218" s="17" t="inlineStr"/>
      <c r="C1218" s="17" t="inlineStr">
        <is>
          <t>한국신텍스제약(주)</t>
        </is>
      </c>
      <c r="D1218" s="17" t="inlineStr"/>
      <c r="E1218" s="17" t="inlineStr">
        <is>
          <t>CMO·CDMO</t>
        </is>
      </c>
      <c r="F1218" s="17" t="inlineStr">
        <is>
          <t>미확인</t>
        </is>
      </c>
      <c r="G1218" s="17" t="inlineStr">
        <is>
          <t>웹조사 자동화 실패(세션한도)</t>
        </is>
      </c>
      <c r="H1218" s="17" t="inlineStr">
        <is>
          <t>N</t>
        </is>
      </c>
      <c r="I1218" s="17" t="inlineStr">
        <is>
          <t>회사 홈페이지</t>
        </is>
      </c>
      <c r="J1218" s="17" t="inlineStr">
        <is>
          <t>회사 홈페이지에서 확인</t>
        </is>
      </c>
      <c r="K1218" s="17" t="inlineStr">
        <is>
          <t>낮음</t>
        </is>
      </c>
      <c r="L1218" s="17" t="inlineStr"/>
    </row>
    <row r="1219">
      <c r="A1219" s="17" t="inlineStr">
        <is>
          <t>C195</t>
        </is>
      </c>
      <c r="B1219" s="17" t="inlineStr"/>
      <c r="C1219" s="17" t="inlineStr">
        <is>
          <t>한국신텍스제약(주)</t>
        </is>
      </c>
      <c r="D1219" s="17" t="inlineStr"/>
      <c r="E1219" s="17" t="inlineStr">
        <is>
          <t>신공장·증설</t>
        </is>
      </c>
      <c r="F1219" s="17" t="inlineStr">
        <is>
          <t>미확인</t>
        </is>
      </c>
      <c r="G1219" s="17" t="inlineStr">
        <is>
          <t>웹조사 자동화 실패(세션한도)</t>
        </is>
      </c>
      <c r="H1219" s="17" t="inlineStr">
        <is>
          <t>N</t>
        </is>
      </c>
      <c r="I1219" s="17" t="inlineStr">
        <is>
          <t>언론·지자체 발표</t>
        </is>
      </c>
      <c r="J1219" s="17" t="inlineStr">
        <is>
          <t>언론·지자체 발표에서 확인</t>
        </is>
      </c>
      <c r="K1219" s="17" t="inlineStr">
        <is>
          <t>낮음</t>
        </is>
      </c>
      <c r="L1219" s="17" t="inlineStr"/>
    </row>
    <row r="1220">
      <c r="A1220" s="17" t="inlineStr">
        <is>
          <t>C196</t>
        </is>
      </c>
      <c r="B1220" s="17" t="inlineStr"/>
      <c r="C1220" s="17" t="inlineStr">
        <is>
          <t>(주)마더스제약</t>
        </is>
      </c>
      <c r="D1220" s="17" t="inlineStr"/>
      <c r="E1220" s="17" t="inlineStr">
        <is>
          <t>최근매출(억원)</t>
        </is>
      </c>
      <c r="F1220" s="17" t="inlineStr">
        <is>
          <t>미확인</t>
        </is>
      </c>
      <c r="G1220" s="17" t="inlineStr">
        <is>
          <t>웹조사 자동화 실패(세션한도)</t>
        </is>
      </c>
      <c r="H1220" s="17" t="inlineStr">
        <is>
          <t>N</t>
        </is>
      </c>
      <c r="I1220" s="17" t="inlineStr">
        <is>
          <t>DART 사업보고서</t>
        </is>
      </c>
      <c r="J1220" s="17" t="inlineStr">
        <is>
          <t>DART 사업보고서에서 확인</t>
        </is>
      </c>
      <c r="K1220" s="17" t="inlineStr">
        <is>
          <t>낮음</t>
        </is>
      </c>
      <c r="L1220" s="17" t="inlineStr"/>
    </row>
    <row r="1221">
      <c r="A1221" s="17" t="inlineStr">
        <is>
          <t>C196</t>
        </is>
      </c>
      <c r="B1221" s="17" t="inlineStr"/>
      <c r="C1221" s="17" t="inlineStr">
        <is>
          <t>(주)마더스제약</t>
        </is>
      </c>
      <c r="D1221" s="17" t="inlineStr"/>
      <c r="E1221" s="17" t="inlineStr">
        <is>
          <t>종업원수</t>
        </is>
      </c>
      <c r="F1221" s="17" t="inlineStr">
        <is>
          <t>미확인</t>
        </is>
      </c>
      <c r="G1221" s="17" t="inlineStr">
        <is>
          <t>웹조사 자동화 실패(세션한도)</t>
        </is>
      </c>
      <c r="H1221" s="17" t="inlineStr">
        <is>
          <t>N</t>
        </is>
      </c>
      <c r="I1221" s="17" t="inlineStr">
        <is>
          <t>DART/채용</t>
        </is>
      </c>
      <c r="J1221" s="17" t="inlineStr">
        <is>
          <t>DART/채용에서 확인</t>
        </is>
      </c>
      <c r="K1221" s="17" t="inlineStr">
        <is>
          <t>낮음</t>
        </is>
      </c>
      <c r="L1221" s="17" t="inlineStr"/>
    </row>
    <row r="1222">
      <c r="A1222" s="17" t="inlineStr">
        <is>
          <t>C196</t>
        </is>
      </c>
      <c r="B1222" s="17" t="inlineStr"/>
      <c r="C1222" s="17" t="inlineStr">
        <is>
          <t>(주)마더스제약</t>
        </is>
      </c>
      <c r="D1222" s="17" t="inlineStr"/>
      <c r="E1222" s="17" t="inlineStr">
        <is>
          <t>수출여부</t>
        </is>
      </c>
      <c r="F1222" s="17" t="inlineStr">
        <is>
          <t>미확인</t>
        </is>
      </c>
      <c r="G1222" s="17" t="inlineStr">
        <is>
          <t>웹조사 자동화 실패(세션한도)</t>
        </is>
      </c>
      <c r="H1222" s="17" t="inlineStr">
        <is>
          <t>N</t>
        </is>
      </c>
      <c r="I1222" s="17" t="inlineStr">
        <is>
          <t>회사 공시·홈페이지</t>
        </is>
      </c>
      <c r="J1222" s="17" t="inlineStr">
        <is>
          <t>회사 공시·홈페이지에서 확인</t>
        </is>
      </c>
      <c r="K1222" s="17" t="inlineStr">
        <is>
          <t>낮음</t>
        </is>
      </c>
      <c r="L1222" s="17" t="inlineStr"/>
    </row>
    <row r="1223">
      <c r="A1223" s="17" t="inlineStr">
        <is>
          <t>C196</t>
        </is>
      </c>
      <c r="B1223" s="17" t="inlineStr"/>
      <c r="C1223" s="17" t="inlineStr">
        <is>
          <t>(주)마더스제약</t>
        </is>
      </c>
      <c r="D1223" s="17" t="inlineStr"/>
      <c r="E1223" s="17" t="inlineStr">
        <is>
          <t>FDA·EMA 실사</t>
        </is>
      </c>
      <c r="F1223" s="17" t="inlineStr">
        <is>
          <t>미확인</t>
        </is>
      </c>
      <c r="G1223" s="17" t="inlineStr">
        <is>
          <t>웹조사 자동화 실패(세션한도)</t>
        </is>
      </c>
      <c r="H1223" s="17" t="inlineStr">
        <is>
          <t>N</t>
        </is>
      </c>
      <c r="I1223" s="17" t="inlineStr">
        <is>
          <t>FDA Inspection DB</t>
        </is>
      </c>
      <c r="J1223" s="17" t="inlineStr">
        <is>
          <t>FDA Inspection DB에서 확인</t>
        </is>
      </c>
      <c r="K1223" s="17" t="inlineStr">
        <is>
          <t>낮음</t>
        </is>
      </c>
      <c r="L1223" s="17" t="inlineStr"/>
    </row>
    <row r="1224">
      <c r="A1224" s="17" t="inlineStr">
        <is>
          <t>C196</t>
        </is>
      </c>
      <c r="B1224" s="17" t="inlineStr"/>
      <c r="C1224" s="17" t="inlineStr">
        <is>
          <t>(주)마더스제약</t>
        </is>
      </c>
      <c r="D1224" s="17" t="inlineStr"/>
      <c r="E1224" s="17" t="inlineStr">
        <is>
          <t>CMO·CDMO</t>
        </is>
      </c>
      <c r="F1224" s="17" t="inlineStr">
        <is>
          <t>미확인</t>
        </is>
      </c>
      <c r="G1224" s="17" t="inlineStr">
        <is>
          <t>웹조사 자동화 실패(세션한도)</t>
        </is>
      </c>
      <c r="H1224" s="17" t="inlineStr">
        <is>
          <t>N</t>
        </is>
      </c>
      <c r="I1224" s="17" t="inlineStr">
        <is>
          <t>회사 홈페이지</t>
        </is>
      </c>
      <c r="J1224" s="17" t="inlineStr">
        <is>
          <t>회사 홈페이지에서 확인</t>
        </is>
      </c>
      <c r="K1224" s="17" t="inlineStr">
        <is>
          <t>낮음</t>
        </is>
      </c>
      <c r="L1224" s="17" t="inlineStr"/>
    </row>
    <row r="1225">
      <c r="A1225" s="17" t="inlineStr">
        <is>
          <t>C196</t>
        </is>
      </c>
      <c r="B1225" s="17" t="inlineStr"/>
      <c r="C1225" s="17" t="inlineStr">
        <is>
          <t>(주)마더스제약</t>
        </is>
      </c>
      <c r="D1225" s="17" t="inlineStr"/>
      <c r="E1225" s="17" t="inlineStr">
        <is>
          <t>신공장·증설</t>
        </is>
      </c>
      <c r="F1225" s="17" t="inlineStr">
        <is>
          <t>미확인</t>
        </is>
      </c>
      <c r="G1225" s="17" t="inlineStr">
        <is>
          <t>웹조사 자동화 실패(세션한도)</t>
        </is>
      </c>
      <c r="H1225" s="17" t="inlineStr">
        <is>
          <t>N</t>
        </is>
      </c>
      <c r="I1225" s="17" t="inlineStr">
        <is>
          <t>언론·지자체 발표</t>
        </is>
      </c>
      <c r="J1225" s="17" t="inlineStr">
        <is>
          <t>언론·지자체 발표에서 확인</t>
        </is>
      </c>
      <c r="K1225" s="17" t="inlineStr">
        <is>
          <t>낮음</t>
        </is>
      </c>
      <c r="L1225" s="17" t="inlineStr"/>
    </row>
    <row r="1226">
      <c r="A1226" s="17" t="inlineStr">
        <is>
          <t>C196</t>
        </is>
      </c>
      <c r="B1226" s="17" t="inlineStr"/>
      <c r="C1226" s="17" t="inlineStr">
        <is>
          <t>(주)마더스제약</t>
        </is>
      </c>
      <c r="D1226" s="17" t="inlineStr"/>
      <c r="E1226" s="17" t="inlineStr">
        <is>
          <t>대표전화</t>
        </is>
      </c>
      <c r="F1226" s="17" t="inlineStr">
        <is>
          <t>미확인</t>
        </is>
      </c>
      <c r="G1226" s="17" t="inlineStr">
        <is>
          <t>제조소상세 미매칭</t>
        </is>
      </c>
      <c r="H1226" s="17" t="inlineStr">
        <is>
          <t>Y</t>
        </is>
      </c>
      <c r="I1226" s="17" t="inlineStr">
        <is>
          <t>회사 홈페이지</t>
        </is>
      </c>
      <c r="J1226" s="17" t="inlineStr">
        <is>
          <t>홈페이지에서 대표번호 확인</t>
        </is>
      </c>
      <c r="K1226" s="17" t="inlineStr">
        <is>
          <t>낮음</t>
        </is>
      </c>
      <c r="L1226" s="17" t="inlineStr"/>
    </row>
    <row r="1227">
      <c r="A1227" s="17" t="inlineStr">
        <is>
          <t>C197</t>
        </is>
      </c>
      <c r="B1227" s="17" t="inlineStr"/>
      <c r="C1227" s="17" t="inlineStr">
        <is>
          <t>(주)한국팜비오</t>
        </is>
      </c>
      <c r="D1227" s="17" t="inlineStr"/>
      <c r="E1227" s="17" t="inlineStr">
        <is>
          <t>최근매출(억원)</t>
        </is>
      </c>
      <c r="F1227" s="17" t="inlineStr">
        <is>
          <t>미확인</t>
        </is>
      </c>
      <c r="G1227" s="17" t="inlineStr">
        <is>
          <t>웹조사 자동화 실패(세션한도)</t>
        </is>
      </c>
      <c r="H1227" s="17" t="inlineStr">
        <is>
          <t>N</t>
        </is>
      </c>
      <c r="I1227" s="17" t="inlineStr">
        <is>
          <t>DART 사업보고서</t>
        </is>
      </c>
      <c r="J1227" s="17" t="inlineStr">
        <is>
          <t>DART 사업보고서에서 확인</t>
        </is>
      </c>
      <c r="K1227" s="17" t="inlineStr">
        <is>
          <t>낮음</t>
        </is>
      </c>
      <c r="L1227" s="17" t="inlineStr"/>
    </row>
    <row r="1228">
      <c r="A1228" s="17" t="inlineStr">
        <is>
          <t>C197</t>
        </is>
      </c>
      <c r="B1228" s="17" t="inlineStr"/>
      <c r="C1228" s="17" t="inlineStr">
        <is>
          <t>(주)한국팜비오</t>
        </is>
      </c>
      <c r="D1228" s="17" t="inlineStr"/>
      <c r="E1228" s="17" t="inlineStr">
        <is>
          <t>종업원수</t>
        </is>
      </c>
      <c r="F1228" s="17" t="inlineStr">
        <is>
          <t>미확인</t>
        </is>
      </c>
      <c r="G1228" s="17" t="inlineStr">
        <is>
          <t>웹조사 자동화 실패(세션한도)</t>
        </is>
      </c>
      <c r="H1228" s="17" t="inlineStr">
        <is>
          <t>N</t>
        </is>
      </c>
      <c r="I1228" s="17" t="inlineStr">
        <is>
          <t>DART/채용</t>
        </is>
      </c>
      <c r="J1228" s="17" t="inlineStr">
        <is>
          <t>DART/채용에서 확인</t>
        </is>
      </c>
      <c r="K1228" s="17" t="inlineStr">
        <is>
          <t>낮음</t>
        </is>
      </c>
      <c r="L1228" s="17" t="inlineStr"/>
    </row>
    <row r="1229">
      <c r="A1229" s="17" t="inlineStr">
        <is>
          <t>C197</t>
        </is>
      </c>
      <c r="B1229" s="17" t="inlineStr"/>
      <c r="C1229" s="17" t="inlineStr">
        <is>
          <t>(주)한국팜비오</t>
        </is>
      </c>
      <c r="D1229" s="17" t="inlineStr"/>
      <c r="E1229" s="17" t="inlineStr">
        <is>
          <t>수출여부</t>
        </is>
      </c>
      <c r="F1229" s="17" t="inlineStr">
        <is>
          <t>미확인</t>
        </is>
      </c>
      <c r="G1229" s="17" t="inlineStr">
        <is>
          <t>웹조사 자동화 실패(세션한도)</t>
        </is>
      </c>
      <c r="H1229" s="17" t="inlineStr">
        <is>
          <t>N</t>
        </is>
      </c>
      <c r="I1229" s="17" t="inlineStr">
        <is>
          <t>회사 공시·홈페이지</t>
        </is>
      </c>
      <c r="J1229" s="17" t="inlineStr">
        <is>
          <t>회사 공시·홈페이지에서 확인</t>
        </is>
      </c>
      <c r="K1229" s="17" t="inlineStr">
        <is>
          <t>낮음</t>
        </is>
      </c>
      <c r="L1229" s="17" t="inlineStr"/>
    </row>
    <row r="1230">
      <c r="A1230" s="17" t="inlineStr">
        <is>
          <t>C197</t>
        </is>
      </c>
      <c r="B1230" s="17" t="inlineStr"/>
      <c r="C1230" s="17" t="inlineStr">
        <is>
          <t>(주)한국팜비오</t>
        </is>
      </c>
      <c r="D1230" s="17" t="inlineStr"/>
      <c r="E1230" s="17" t="inlineStr">
        <is>
          <t>FDA·EMA 실사</t>
        </is>
      </c>
      <c r="F1230" s="17" t="inlineStr">
        <is>
          <t>미확인</t>
        </is>
      </c>
      <c r="G1230" s="17" t="inlineStr">
        <is>
          <t>웹조사 자동화 실패(세션한도)</t>
        </is>
      </c>
      <c r="H1230" s="17" t="inlineStr">
        <is>
          <t>N</t>
        </is>
      </c>
      <c r="I1230" s="17" t="inlineStr">
        <is>
          <t>FDA Inspection DB</t>
        </is>
      </c>
      <c r="J1230" s="17" t="inlineStr">
        <is>
          <t>FDA Inspection DB에서 확인</t>
        </is>
      </c>
      <c r="K1230" s="17" t="inlineStr">
        <is>
          <t>낮음</t>
        </is>
      </c>
      <c r="L1230" s="17" t="inlineStr"/>
    </row>
    <row r="1231">
      <c r="A1231" s="17" t="inlineStr">
        <is>
          <t>C197</t>
        </is>
      </c>
      <c r="B1231" s="17" t="inlineStr"/>
      <c r="C1231" s="17" t="inlineStr">
        <is>
          <t>(주)한국팜비오</t>
        </is>
      </c>
      <c r="D1231" s="17" t="inlineStr"/>
      <c r="E1231" s="17" t="inlineStr">
        <is>
          <t>CMO·CDMO</t>
        </is>
      </c>
      <c r="F1231" s="17" t="inlineStr">
        <is>
          <t>미확인</t>
        </is>
      </c>
      <c r="G1231" s="17" t="inlineStr">
        <is>
          <t>웹조사 자동화 실패(세션한도)</t>
        </is>
      </c>
      <c r="H1231" s="17" t="inlineStr">
        <is>
          <t>N</t>
        </is>
      </c>
      <c r="I1231" s="17" t="inlineStr">
        <is>
          <t>회사 홈페이지</t>
        </is>
      </c>
      <c r="J1231" s="17" t="inlineStr">
        <is>
          <t>회사 홈페이지에서 확인</t>
        </is>
      </c>
      <c r="K1231" s="17" t="inlineStr">
        <is>
          <t>낮음</t>
        </is>
      </c>
      <c r="L1231" s="17" t="inlineStr"/>
    </row>
    <row r="1232">
      <c r="A1232" s="17" t="inlineStr">
        <is>
          <t>C197</t>
        </is>
      </c>
      <c r="B1232" s="17" t="inlineStr"/>
      <c r="C1232" s="17" t="inlineStr">
        <is>
          <t>(주)한국팜비오</t>
        </is>
      </c>
      <c r="D1232" s="17" t="inlineStr"/>
      <c r="E1232" s="17" t="inlineStr">
        <is>
          <t>신공장·증설</t>
        </is>
      </c>
      <c r="F1232" s="17" t="inlineStr">
        <is>
          <t>미확인</t>
        </is>
      </c>
      <c r="G1232" s="17" t="inlineStr">
        <is>
          <t>웹조사 자동화 실패(세션한도)</t>
        </is>
      </c>
      <c r="H1232" s="17" t="inlineStr">
        <is>
          <t>N</t>
        </is>
      </c>
      <c r="I1232" s="17" t="inlineStr">
        <is>
          <t>언론·지자체 발표</t>
        </is>
      </c>
      <c r="J1232" s="17" t="inlineStr">
        <is>
          <t>언론·지자체 발표에서 확인</t>
        </is>
      </c>
      <c r="K1232" s="17" t="inlineStr">
        <is>
          <t>낮음</t>
        </is>
      </c>
      <c r="L1232" s="17" t="inlineStr"/>
    </row>
    <row r="1233">
      <c r="A1233" s="17" t="inlineStr">
        <is>
          <t>C198</t>
        </is>
      </c>
      <c r="B1233" s="17" t="inlineStr"/>
      <c r="C1233" s="17" t="inlineStr">
        <is>
          <t>(주)동구바이오제약</t>
        </is>
      </c>
      <c r="D1233" s="17" t="inlineStr"/>
      <c r="E1233" s="17" t="inlineStr">
        <is>
          <t>최근매출(억원)</t>
        </is>
      </c>
      <c r="F1233" s="17" t="inlineStr">
        <is>
          <t>미확인</t>
        </is>
      </c>
      <c r="G1233" s="17" t="inlineStr">
        <is>
          <t>웹조사 자동화 실패(세션한도)</t>
        </is>
      </c>
      <c r="H1233" s="17" t="inlineStr">
        <is>
          <t>N</t>
        </is>
      </c>
      <c r="I1233" s="17" t="inlineStr">
        <is>
          <t>DART 사업보고서</t>
        </is>
      </c>
      <c r="J1233" s="17" t="inlineStr">
        <is>
          <t>DART 사업보고서에서 확인</t>
        </is>
      </c>
      <c r="K1233" s="17" t="inlineStr">
        <is>
          <t>낮음</t>
        </is>
      </c>
      <c r="L1233" s="17" t="inlineStr"/>
    </row>
    <row r="1234">
      <c r="A1234" s="17" t="inlineStr">
        <is>
          <t>C198</t>
        </is>
      </c>
      <c r="B1234" s="17" t="inlineStr"/>
      <c r="C1234" s="17" t="inlineStr">
        <is>
          <t>(주)동구바이오제약</t>
        </is>
      </c>
      <c r="D1234" s="17" t="inlineStr"/>
      <c r="E1234" s="17" t="inlineStr">
        <is>
          <t>종업원수</t>
        </is>
      </c>
      <c r="F1234" s="17" t="inlineStr">
        <is>
          <t>미확인</t>
        </is>
      </c>
      <c r="G1234" s="17" t="inlineStr">
        <is>
          <t>웹조사 자동화 실패(세션한도)</t>
        </is>
      </c>
      <c r="H1234" s="17" t="inlineStr">
        <is>
          <t>N</t>
        </is>
      </c>
      <c r="I1234" s="17" t="inlineStr">
        <is>
          <t>DART/채용</t>
        </is>
      </c>
      <c r="J1234" s="17" t="inlineStr">
        <is>
          <t>DART/채용에서 확인</t>
        </is>
      </c>
      <c r="K1234" s="17" t="inlineStr">
        <is>
          <t>낮음</t>
        </is>
      </c>
      <c r="L1234" s="17" t="inlineStr"/>
    </row>
    <row r="1235">
      <c r="A1235" s="17" t="inlineStr">
        <is>
          <t>C198</t>
        </is>
      </c>
      <c r="B1235" s="17" t="inlineStr"/>
      <c r="C1235" s="17" t="inlineStr">
        <is>
          <t>(주)동구바이오제약</t>
        </is>
      </c>
      <c r="D1235" s="17" t="inlineStr"/>
      <c r="E1235" s="17" t="inlineStr">
        <is>
          <t>수출여부</t>
        </is>
      </c>
      <c r="F1235" s="17" t="inlineStr">
        <is>
          <t>미확인</t>
        </is>
      </c>
      <c r="G1235" s="17" t="inlineStr">
        <is>
          <t>웹조사 자동화 실패(세션한도)</t>
        </is>
      </c>
      <c r="H1235" s="17" t="inlineStr">
        <is>
          <t>N</t>
        </is>
      </c>
      <c r="I1235" s="17" t="inlineStr">
        <is>
          <t>회사 공시·홈페이지</t>
        </is>
      </c>
      <c r="J1235" s="17" t="inlineStr">
        <is>
          <t>회사 공시·홈페이지에서 확인</t>
        </is>
      </c>
      <c r="K1235" s="17" t="inlineStr">
        <is>
          <t>낮음</t>
        </is>
      </c>
      <c r="L1235" s="17" t="inlineStr"/>
    </row>
    <row r="1236">
      <c r="A1236" s="17" t="inlineStr">
        <is>
          <t>C198</t>
        </is>
      </c>
      <c r="B1236" s="17" t="inlineStr"/>
      <c r="C1236" s="17" t="inlineStr">
        <is>
          <t>(주)동구바이오제약</t>
        </is>
      </c>
      <c r="D1236" s="17" t="inlineStr"/>
      <c r="E1236" s="17" t="inlineStr">
        <is>
          <t>FDA·EMA 실사</t>
        </is>
      </c>
      <c r="F1236" s="17" t="inlineStr">
        <is>
          <t>미확인</t>
        </is>
      </c>
      <c r="G1236" s="17" t="inlineStr">
        <is>
          <t>웹조사 자동화 실패(세션한도)</t>
        </is>
      </c>
      <c r="H1236" s="17" t="inlineStr">
        <is>
          <t>N</t>
        </is>
      </c>
      <c r="I1236" s="17" t="inlineStr">
        <is>
          <t>FDA Inspection DB</t>
        </is>
      </c>
      <c r="J1236" s="17" t="inlineStr">
        <is>
          <t>FDA Inspection DB에서 확인</t>
        </is>
      </c>
      <c r="K1236" s="17" t="inlineStr">
        <is>
          <t>낮음</t>
        </is>
      </c>
      <c r="L1236" s="17" t="inlineStr"/>
    </row>
    <row r="1237">
      <c r="A1237" s="17" t="inlineStr">
        <is>
          <t>C198</t>
        </is>
      </c>
      <c r="B1237" s="17" t="inlineStr"/>
      <c r="C1237" s="17" t="inlineStr">
        <is>
          <t>(주)동구바이오제약</t>
        </is>
      </c>
      <c r="D1237" s="17" t="inlineStr"/>
      <c r="E1237" s="17" t="inlineStr">
        <is>
          <t>CMO·CDMO</t>
        </is>
      </c>
      <c r="F1237" s="17" t="inlineStr">
        <is>
          <t>미확인</t>
        </is>
      </c>
      <c r="G1237" s="17" t="inlineStr">
        <is>
          <t>웹조사 자동화 실패(세션한도)</t>
        </is>
      </c>
      <c r="H1237" s="17" t="inlineStr">
        <is>
          <t>N</t>
        </is>
      </c>
      <c r="I1237" s="17" t="inlineStr">
        <is>
          <t>회사 홈페이지</t>
        </is>
      </c>
      <c r="J1237" s="17" t="inlineStr">
        <is>
          <t>회사 홈페이지에서 확인</t>
        </is>
      </c>
      <c r="K1237" s="17" t="inlineStr">
        <is>
          <t>낮음</t>
        </is>
      </c>
      <c r="L1237" s="17" t="inlineStr"/>
    </row>
    <row r="1238">
      <c r="A1238" s="17" t="inlineStr">
        <is>
          <t>C198</t>
        </is>
      </c>
      <c r="B1238" s="17" t="inlineStr"/>
      <c r="C1238" s="17" t="inlineStr">
        <is>
          <t>(주)동구바이오제약</t>
        </is>
      </c>
      <c r="D1238" s="17" t="inlineStr"/>
      <c r="E1238" s="17" t="inlineStr">
        <is>
          <t>신공장·증설</t>
        </is>
      </c>
      <c r="F1238" s="17" t="inlineStr">
        <is>
          <t>미확인</t>
        </is>
      </c>
      <c r="G1238" s="17" t="inlineStr">
        <is>
          <t>웹조사 자동화 실패(세션한도)</t>
        </is>
      </c>
      <c r="H1238" s="17" t="inlineStr">
        <is>
          <t>N</t>
        </is>
      </c>
      <c r="I1238" s="17" t="inlineStr">
        <is>
          <t>언론·지자체 발표</t>
        </is>
      </c>
      <c r="J1238" s="17" t="inlineStr">
        <is>
          <t>언론·지자체 발표에서 확인</t>
        </is>
      </c>
      <c r="K1238" s="17" t="inlineStr">
        <is>
          <t>낮음</t>
        </is>
      </c>
      <c r="L1238" s="17" t="inlineStr"/>
    </row>
    <row r="1239">
      <c r="A1239" s="17" t="inlineStr">
        <is>
          <t>C199</t>
        </is>
      </c>
      <c r="B1239" s="17" t="inlineStr"/>
      <c r="C1239" s="17" t="inlineStr">
        <is>
          <t>에스케이케미칼(주)</t>
        </is>
      </c>
      <c r="D1239" s="17" t="inlineStr"/>
      <c r="E1239" s="17" t="inlineStr">
        <is>
          <t>최근매출(억원)</t>
        </is>
      </c>
      <c r="F1239" s="17" t="inlineStr">
        <is>
          <t>미확인</t>
        </is>
      </c>
      <c r="G1239" s="17" t="inlineStr">
        <is>
          <t>웹조사 자동화 실패(세션한도)</t>
        </is>
      </c>
      <c r="H1239" s="17" t="inlineStr">
        <is>
          <t>N</t>
        </is>
      </c>
      <c r="I1239" s="17" t="inlineStr">
        <is>
          <t>DART 사업보고서</t>
        </is>
      </c>
      <c r="J1239" s="17" t="inlineStr">
        <is>
          <t>DART 사업보고서에서 확인</t>
        </is>
      </c>
      <c r="K1239" s="17" t="inlineStr">
        <is>
          <t>낮음</t>
        </is>
      </c>
      <c r="L1239" s="17" t="inlineStr"/>
    </row>
    <row r="1240">
      <c r="A1240" s="17" t="inlineStr">
        <is>
          <t>C199</t>
        </is>
      </c>
      <c r="B1240" s="17" t="inlineStr"/>
      <c r="C1240" s="17" t="inlineStr">
        <is>
          <t>에스케이케미칼(주)</t>
        </is>
      </c>
      <c r="D1240" s="17" t="inlineStr"/>
      <c r="E1240" s="17" t="inlineStr">
        <is>
          <t>종업원수</t>
        </is>
      </c>
      <c r="F1240" s="17" t="inlineStr">
        <is>
          <t>미확인</t>
        </is>
      </c>
      <c r="G1240" s="17" t="inlineStr">
        <is>
          <t>웹조사 자동화 실패(세션한도)</t>
        </is>
      </c>
      <c r="H1240" s="17" t="inlineStr">
        <is>
          <t>N</t>
        </is>
      </c>
      <c r="I1240" s="17" t="inlineStr">
        <is>
          <t>DART/채용</t>
        </is>
      </c>
      <c r="J1240" s="17" t="inlineStr">
        <is>
          <t>DART/채용에서 확인</t>
        </is>
      </c>
      <c r="K1240" s="17" t="inlineStr">
        <is>
          <t>낮음</t>
        </is>
      </c>
      <c r="L1240" s="17" t="inlineStr"/>
    </row>
    <row r="1241">
      <c r="A1241" s="17" t="inlineStr">
        <is>
          <t>C199</t>
        </is>
      </c>
      <c r="B1241" s="17" t="inlineStr"/>
      <c r="C1241" s="17" t="inlineStr">
        <is>
          <t>에스케이케미칼(주)</t>
        </is>
      </c>
      <c r="D1241" s="17" t="inlineStr"/>
      <c r="E1241" s="17" t="inlineStr">
        <is>
          <t>수출여부</t>
        </is>
      </c>
      <c r="F1241" s="17" t="inlineStr">
        <is>
          <t>미확인</t>
        </is>
      </c>
      <c r="G1241" s="17" t="inlineStr">
        <is>
          <t>웹조사 자동화 실패(세션한도)</t>
        </is>
      </c>
      <c r="H1241" s="17" t="inlineStr">
        <is>
          <t>N</t>
        </is>
      </c>
      <c r="I1241" s="17" t="inlineStr">
        <is>
          <t>회사 공시·홈페이지</t>
        </is>
      </c>
      <c r="J1241" s="17" t="inlineStr">
        <is>
          <t>회사 공시·홈페이지에서 확인</t>
        </is>
      </c>
      <c r="K1241" s="17" t="inlineStr">
        <is>
          <t>낮음</t>
        </is>
      </c>
      <c r="L1241" s="17" t="inlineStr"/>
    </row>
    <row r="1242">
      <c r="A1242" s="17" t="inlineStr">
        <is>
          <t>C199</t>
        </is>
      </c>
      <c r="B1242" s="17" t="inlineStr"/>
      <c r="C1242" s="17" t="inlineStr">
        <is>
          <t>에스케이케미칼(주)</t>
        </is>
      </c>
      <c r="D1242" s="17" t="inlineStr"/>
      <c r="E1242" s="17" t="inlineStr">
        <is>
          <t>FDA·EMA 실사</t>
        </is>
      </c>
      <c r="F1242" s="17" t="inlineStr">
        <is>
          <t>미확인</t>
        </is>
      </c>
      <c r="G1242" s="17" t="inlineStr">
        <is>
          <t>웹조사 자동화 실패(세션한도)</t>
        </is>
      </c>
      <c r="H1242" s="17" t="inlineStr">
        <is>
          <t>N</t>
        </is>
      </c>
      <c r="I1242" s="17" t="inlineStr">
        <is>
          <t>FDA Inspection DB</t>
        </is>
      </c>
      <c r="J1242" s="17" t="inlineStr">
        <is>
          <t>FDA Inspection DB에서 확인</t>
        </is>
      </c>
      <c r="K1242" s="17" t="inlineStr">
        <is>
          <t>낮음</t>
        </is>
      </c>
      <c r="L1242" s="17" t="inlineStr"/>
    </row>
    <row r="1243">
      <c r="A1243" s="17" t="inlineStr">
        <is>
          <t>C199</t>
        </is>
      </c>
      <c r="B1243" s="17" t="inlineStr"/>
      <c r="C1243" s="17" t="inlineStr">
        <is>
          <t>에스케이케미칼(주)</t>
        </is>
      </c>
      <c r="D1243" s="17" t="inlineStr"/>
      <c r="E1243" s="17" t="inlineStr">
        <is>
          <t>CMO·CDMO</t>
        </is>
      </c>
      <c r="F1243" s="17" t="inlineStr">
        <is>
          <t>미확인</t>
        </is>
      </c>
      <c r="G1243" s="17" t="inlineStr">
        <is>
          <t>웹조사 자동화 실패(세션한도)</t>
        </is>
      </c>
      <c r="H1243" s="17" t="inlineStr">
        <is>
          <t>N</t>
        </is>
      </c>
      <c r="I1243" s="17" t="inlineStr">
        <is>
          <t>회사 홈페이지</t>
        </is>
      </c>
      <c r="J1243" s="17" t="inlineStr">
        <is>
          <t>회사 홈페이지에서 확인</t>
        </is>
      </c>
      <c r="K1243" s="17" t="inlineStr">
        <is>
          <t>낮음</t>
        </is>
      </c>
      <c r="L1243" s="17" t="inlineStr"/>
    </row>
    <row r="1244">
      <c r="A1244" s="17" t="inlineStr">
        <is>
          <t>C199</t>
        </is>
      </c>
      <c r="B1244" s="17" t="inlineStr"/>
      <c r="C1244" s="17" t="inlineStr">
        <is>
          <t>에스케이케미칼(주)</t>
        </is>
      </c>
      <c r="D1244" s="17" t="inlineStr"/>
      <c r="E1244" s="17" t="inlineStr">
        <is>
          <t>신공장·증설</t>
        </is>
      </c>
      <c r="F1244" s="17" t="inlineStr">
        <is>
          <t>미확인</t>
        </is>
      </c>
      <c r="G1244" s="17" t="inlineStr">
        <is>
          <t>웹조사 자동화 실패(세션한도)</t>
        </is>
      </c>
      <c r="H1244" s="17" t="inlineStr">
        <is>
          <t>N</t>
        </is>
      </c>
      <c r="I1244" s="17" t="inlineStr">
        <is>
          <t>언론·지자체 발표</t>
        </is>
      </c>
      <c r="J1244" s="17" t="inlineStr">
        <is>
          <t>언론·지자체 발표에서 확인</t>
        </is>
      </c>
      <c r="K1244" s="17" t="inlineStr">
        <is>
          <t>낮음</t>
        </is>
      </c>
      <c r="L1244" s="17" t="inlineStr"/>
    </row>
    <row r="1245">
      <c r="A1245" s="17" t="inlineStr">
        <is>
          <t>C199</t>
        </is>
      </c>
      <c r="B1245" s="17" t="inlineStr"/>
      <c r="C1245" s="17" t="inlineStr">
        <is>
          <t>에스케이케미칼(주)</t>
        </is>
      </c>
      <c r="D1245" s="17" t="inlineStr"/>
      <c r="E1245" s="17" t="inlineStr">
        <is>
          <t>대표전화</t>
        </is>
      </c>
      <c r="F1245" s="17" t="inlineStr">
        <is>
          <t>미확인</t>
        </is>
      </c>
      <c r="G1245" s="17" t="inlineStr">
        <is>
          <t>제조소상세 미매칭</t>
        </is>
      </c>
      <c r="H1245" s="17" t="inlineStr">
        <is>
          <t>Y</t>
        </is>
      </c>
      <c r="I1245" s="17" t="inlineStr">
        <is>
          <t>회사 홈페이지</t>
        </is>
      </c>
      <c r="J1245" s="17" t="inlineStr">
        <is>
          <t>홈페이지에서 대표번호 확인</t>
        </is>
      </c>
      <c r="K1245" s="17" t="inlineStr">
        <is>
          <t>낮음</t>
        </is>
      </c>
      <c r="L1245" s="17" t="inlineStr"/>
    </row>
    <row r="1246">
      <c r="A1246" s="17" t="inlineStr">
        <is>
          <t>C200</t>
        </is>
      </c>
      <c r="B1246" s="17" t="inlineStr"/>
      <c r="C1246" s="17" t="inlineStr">
        <is>
          <t>새한가스공업</t>
        </is>
      </c>
      <c r="D1246" s="17" t="inlineStr"/>
      <c r="E1246" s="17" t="inlineStr">
        <is>
          <t>최근매출(억원)</t>
        </is>
      </c>
      <c r="F1246" s="17" t="inlineStr">
        <is>
          <t>미확인</t>
        </is>
      </c>
      <c r="G1246" s="17" t="inlineStr">
        <is>
          <t>웹조사 자동화 실패(세션한도)</t>
        </is>
      </c>
      <c r="H1246" s="17" t="inlineStr">
        <is>
          <t>N</t>
        </is>
      </c>
      <c r="I1246" s="17" t="inlineStr">
        <is>
          <t>DART 사업보고서</t>
        </is>
      </c>
      <c r="J1246" s="17" t="inlineStr">
        <is>
          <t>DART 사업보고서에서 확인</t>
        </is>
      </c>
      <c r="K1246" s="17" t="inlineStr">
        <is>
          <t>낮음</t>
        </is>
      </c>
      <c r="L1246" s="17" t="inlineStr"/>
    </row>
    <row r="1247">
      <c r="A1247" s="17" t="inlineStr">
        <is>
          <t>C200</t>
        </is>
      </c>
      <c r="B1247" s="17" t="inlineStr"/>
      <c r="C1247" s="17" t="inlineStr">
        <is>
          <t>새한가스공업</t>
        </is>
      </c>
      <c r="D1247" s="17" t="inlineStr"/>
      <c r="E1247" s="17" t="inlineStr">
        <is>
          <t>종업원수</t>
        </is>
      </c>
      <c r="F1247" s="17" t="inlineStr">
        <is>
          <t>미확인</t>
        </is>
      </c>
      <c r="G1247" s="17" t="inlineStr">
        <is>
          <t>웹조사 자동화 실패(세션한도)</t>
        </is>
      </c>
      <c r="H1247" s="17" t="inlineStr">
        <is>
          <t>N</t>
        </is>
      </c>
      <c r="I1247" s="17" t="inlineStr">
        <is>
          <t>DART/채용</t>
        </is>
      </c>
      <c r="J1247" s="17" t="inlineStr">
        <is>
          <t>DART/채용에서 확인</t>
        </is>
      </c>
      <c r="K1247" s="17" t="inlineStr">
        <is>
          <t>낮음</t>
        </is>
      </c>
      <c r="L1247" s="17" t="inlineStr"/>
    </row>
    <row r="1248">
      <c r="A1248" s="17" t="inlineStr">
        <is>
          <t>C200</t>
        </is>
      </c>
      <c r="B1248" s="17" t="inlineStr"/>
      <c r="C1248" s="17" t="inlineStr">
        <is>
          <t>새한가스공업</t>
        </is>
      </c>
      <c r="D1248" s="17" t="inlineStr"/>
      <c r="E1248" s="17" t="inlineStr">
        <is>
          <t>수출여부</t>
        </is>
      </c>
      <c r="F1248" s="17" t="inlineStr">
        <is>
          <t>미확인</t>
        </is>
      </c>
      <c r="G1248" s="17" t="inlineStr">
        <is>
          <t>웹조사 자동화 실패(세션한도)</t>
        </is>
      </c>
      <c r="H1248" s="17" t="inlineStr">
        <is>
          <t>N</t>
        </is>
      </c>
      <c r="I1248" s="17" t="inlineStr">
        <is>
          <t>회사 공시·홈페이지</t>
        </is>
      </c>
      <c r="J1248" s="17" t="inlineStr">
        <is>
          <t>회사 공시·홈페이지에서 확인</t>
        </is>
      </c>
      <c r="K1248" s="17" t="inlineStr">
        <is>
          <t>낮음</t>
        </is>
      </c>
      <c r="L1248" s="17" t="inlineStr"/>
    </row>
    <row r="1249">
      <c r="A1249" s="17" t="inlineStr">
        <is>
          <t>C200</t>
        </is>
      </c>
      <c r="B1249" s="17" t="inlineStr"/>
      <c r="C1249" s="17" t="inlineStr">
        <is>
          <t>새한가스공업</t>
        </is>
      </c>
      <c r="D1249" s="17" t="inlineStr"/>
      <c r="E1249" s="17" t="inlineStr">
        <is>
          <t>FDA·EMA 실사</t>
        </is>
      </c>
      <c r="F1249" s="17" t="inlineStr">
        <is>
          <t>미확인</t>
        </is>
      </c>
      <c r="G1249" s="17" t="inlineStr">
        <is>
          <t>웹조사 자동화 실패(세션한도)</t>
        </is>
      </c>
      <c r="H1249" s="17" t="inlineStr">
        <is>
          <t>N</t>
        </is>
      </c>
      <c r="I1249" s="17" t="inlineStr">
        <is>
          <t>FDA Inspection DB</t>
        </is>
      </c>
      <c r="J1249" s="17" t="inlineStr">
        <is>
          <t>FDA Inspection DB에서 확인</t>
        </is>
      </c>
      <c r="K1249" s="17" t="inlineStr">
        <is>
          <t>낮음</t>
        </is>
      </c>
      <c r="L1249" s="17" t="inlineStr"/>
    </row>
    <row r="1250">
      <c r="A1250" s="17" t="inlineStr">
        <is>
          <t>C200</t>
        </is>
      </c>
      <c r="B1250" s="17" t="inlineStr"/>
      <c r="C1250" s="17" t="inlineStr">
        <is>
          <t>새한가스공업</t>
        </is>
      </c>
      <c r="D1250" s="17" t="inlineStr"/>
      <c r="E1250" s="17" t="inlineStr">
        <is>
          <t>CMO·CDMO</t>
        </is>
      </c>
      <c r="F1250" s="17" t="inlineStr">
        <is>
          <t>미확인</t>
        </is>
      </c>
      <c r="G1250" s="17" t="inlineStr">
        <is>
          <t>웹조사 자동화 실패(세션한도)</t>
        </is>
      </c>
      <c r="H1250" s="17" t="inlineStr">
        <is>
          <t>N</t>
        </is>
      </c>
      <c r="I1250" s="17" t="inlineStr">
        <is>
          <t>회사 홈페이지</t>
        </is>
      </c>
      <c r="J1250" s="17" t="inlineStr">
        <is>
          <t>회사 홈페이지에서 확인</t>
        </is>
      </c>
      <c r="K1250" s="17" t="inlineStr">
        <is>
          <t>낮음</t>
        </is>
      </c>
      <c r="L1250" s="17" t="inlineStr"/>
    </row>
    <row r="1251">
      <c r="A1251" s="17" t="inlineStr">
        <is>
          <t>C200</t>
        </is>
      </c>
      <c r="B1251" s="17" t="inlineStr"/>
      <c r="C1251" s="17" t="inlineStr">
        <is>
          <t>새한가스공업</t>
        </is>
      </c>
      <c r="D1251" s="17" t="inlineStr"/>
      <c r="E1251" s="17" t="inlineStr">
        <is>
          <t>신공장·증설</t>
        </is>
      </c>
      <c r="F1251" s="17" t="inlineStr">
        <is>
          <t>미확인</t>
        </is>
      </c>
      <c r="G1251" s="17" t="inlineStr">
        <is>
          <t>웹조사 자동화 실패(세션한도)</t>
        </is>
      </c>
      <c r="H1251" s="17" t="inlineStr">
        <is>
          <t>N</t>
        </is>
      </c>
      <c r="I1251" s="17" t="inlineStr">
        <is>
          <t>언론·지자체 발표</t>
        </is>
      </c>
      <c r="J1251" s="17" t="inlineStr">
        <is>
          <t>언론·지자체 발표에서 확인</t>
        </is>
      </c>
      <c r="K1251" s="17" t="inlineStr">
        <is>
          <t>낮음</t>
        </is>
      </c>
      <c r="L1251" s="17" t="inlineStr"/>
    </row>
    <row r="1252">
      <c r="A1252" s="17" t="inlineStr">
        <is>
          <t>C201</t>
        </is>
      </c>
      <c r="B1252" s="17" t="inlineStr"/>
      <c r="C1252" s="17" t="inlineStr">
        <is>
          <t>(주)대동가스텍</t>
        </is>
      </c>
      <c r="D1252" s="17" t="inlineStr"/>
      <c r="E1252" s="17" t="inlineStr">
        <is>
          <t>최근매출(억원)</t>
        </is>
      </c>
      <c r="F1252" s="17" t="inlineStr">
        <is>
          <t>미확인</t>
        </is>
      </c>
      <c r="G1252" s="17" t="inlineStr">
        <is>
          <t>웹조사 자동화 실패(세션한도)</t>
        </is>
      </c>
      <c r="H1252" s="17" t="inlineStr">
        <is>
          <t>N</t>
        </is>
      </c>
      <c r="I1252" s="17" t="inlineStr">
        <is>
          <t>DART 사업보고서</t>
        </is>
      </c>
      <c r="J1252" s="17" t="inlineStr">
        <is>
          <t>DART 사업보고서에서 확인</t>
        </is>
      </c>
      <c r="K1252" s="17" t="inlineStr">
        <is>
          <t>낮음</t>
        </is>
      </c>
      <c r="L1252" s="17" t="inlineStr"/>
    </row>
    <row r="1253">
      <c r="A1253" s="17" t="inlineStr">
        <is>
          <t>C201</t>
        </is>
      </c>
      <c r="B1253" s="17" t="inlineStr"/>
      <c r="C1253" s="17" t="inlineStr">
        <is>
          <t>(주)대동가스텍</t>
        </is>
      </c>
      <c r="D1253" s="17" t="inlineStr"/>
      <c r="E1253" s="17" t="inlineStr">
        <is>
          <t>종업원수</t>
        </is>
      </c>
      <c r="F1253" s="17" t="inlineStr">
        <is>
          <t>미확인</t>
        </is>
      </c>
      <c r="G1253" s="17" t="inlineStr">
        <is>
          <t>웹조사 자동화 실패(세션한도)</t>
        </is>
      </c>
      <c r="H1253" s="17" t="inlineStr">
        <is>
          <t>N</t>
        </is>
      </c>
      <c r="I1253" s="17" t="inlineStr">
        <is>
          <t>DART/채용</t>
        </is>
      </c>
      <c r="J1253" s="17" t="inlineStr">
        <is>
          <t>DART/채용에서 확인</t>
        </is>
      </c>
      <c r="K1253" s="17" t="inlineStr">
        <is>
          <t>낮음</t>
        </is>
      </c>
      <c r="L1253" s="17" t="inlineStr"/>
    </row>
    <row r="1254">
      <c r="A1254" s="17" t="inlineStr">
        <is>
          <t>C201</t>
        </is>
      </c>
      <c r="B1254" s="17" t="inlineStr"/>
      <c r="C1254" s="17" t="inlineStr">
        <is>
          <t>(주)대동가스텍</t>
        </is>
      </c>
      <c r="D1254" s="17" t="inlineStr"/>
      <c r="E1254" s="17" t="inlineStr">
        <is>
          <t>수출여부</t>
        </is>
      </c>
      <c r="F1254" s="17" t="inlineStr">
        <is>
          <t>미확인</t>
        </is>
      </c>
      <c r="G1254" s="17" t="inlineStr">
        <is>
          <t>웹조사 자동화 실패(세션한도)</t>
        </is>
      </c>
      <c r="H1254" s="17" t="inlineStr">
        <is>
          <t>N</t>
        </is>
      </c>
      <c r="I1254" s="17" t="inlineStr">
        <is>
          <t>회사 공시·홈페이지</t>
        </is>
      </c>
      <c r="J1254" s="17" t="inlineStr">
        <is>
          <t>회사 공시·홈페이지에서 확인</t>
        </is>
      </c>
      <c r="K1254" s="17" t="inlineStr">
        <is>
          <t>낮음</t>
        </is>
      </c>
      <c r="L1254" s="17" t="inlineStr"/>
    </row>
    <row r="1255">
      <c r="A1255" s="17" t="inlineStr">
        <is>
          <t>C201</t>
        </is>
      </c>
      <c r="B1255" s="17" t="inlineStr"/>
      <c r="C1255" s="17" t="inlineStr">
        <is>
          <t>(주)대동가스텍</t>
        </is>
      </c>
      <c r="D1255" s="17" t="inlineStr"/>
      <c r="E1255" s="17" t="inlineStr">
        <is>
          <t>FDA·EMA 실사</t>
        </is>
      </c>
      <c r="F1255" s="17" t="inlineStr">
        <is>
          <t>미확인</t>
        </is>
      </c>
      <c r="G1255" s="17" t="inlineStr">
        <is>
          <t>웹조사 자동화 실패(세션한도)</t>
        </is>
      </c>
      <c r="H1255" s="17" t="inlineStr">
        <is>
          <t>N</t>
        </is>
      </c>
      <c r="I1255" s="17" t="inlineStr">
        <is>
          <t>FDA Inspection DB</t>
        </is>
      </c>
      <c r="J1255" s="17" t="inlineStr">
        <is>
          <t>FDA Inspection DB에서 확인</t>
        </is>
      </c>
      <c r="K1255" s="17" t="inlineStr">
        <is>
          <t>낮음</t>
        </is>
      </c>
      <c r="L1255" s="17" t="inlineStr"/>
    </row>
    <row r="1256">
      <c r="A1256" s="17" t="inlineStr">
        <is>
          <t>C201</t>
        </is>
      </c>
      <c r="B1256" s="17" t="inlineStr"/>
      <c r="C1256" s="17" t="inlineStr">
        <is>
          <t>(주)대동가스텍</t>
        </is>
      </c>
      <c r="D1256" s="17" t="inlineStr"/>
      <c r="E1256" s="17" t="inlineStr">
        <is>
          <t>CMO·CDMO</t>
        </is>
      </c>
      <c r="F1256" s="17" t="inlineStr">
        <is>
          <t>미확인</t>
        </is>
      </c>
      <c r="G1256" s="17" t="inlineStr">
        <is>
          <t>웹조사 자동화 실패(세션한도)</t>
        </is>
      </c>
      <c r="H1256" s="17" t="inlineStr">
        <is>
          <t>N</t>
        </is>
      </c>
      <c r="I1256" s="17" t="inlineStr">
        <is>
          <t>회사 홈페이지</t>
        </is>
      </c>
      <c r="J1256" s="17" t="inlineStr">
        <is>
          <t>회사 홈페이지에서 확인</t>
        </is>
      </c>
      <c r="K1256" s="17" t="inlineStr">
        <is>
          <t>낮음</t>
        </is>
      </c>
      <c r="L1256" s="17" t="inlineStr"/>
    </row>
    <row r="1257">
      <c r="A1257" s="17" t="inlineStr">
        <is>
          <t>C201</t>
        </is>
      </c>
      <c r="B1257" s="17" t="inlineStr"/>
      <c r="C1257" s="17" t="inlineStr">
        <is>
          <t>(주)대동가스텍</t>
        </is>
      </c>
      <c r="D1257" s="17" t="inlineStr"/>
      <c r="E1257" s="17" t="inlineStr">
        <is>
          <t>신공장·증설</t>
        </is>
      </c>
      <c r="F1257" s="17" t="inlineStr">
        <is>
          <t>미확인</t>
        </is>
      </c>
      <c r="G1257" s="17" t="inlineStr">
        <is>
          <t>웹조사 자동화 실패(세션한도)</t>
        </is>
      </c>
      <c r="H1257" s="17" t="inlineStr">
        <is>
          <t>N</t>
        </is>
      </c>
      <c r="I1257" s="17" t="inlineStr">
        <is>
          <t>언론·지자체 발표</t>
        </is>
      </c>
      <c r="J1257" s="17" t="inlineStr">
        <is>
          <t>언론·지자체 발표에서 확인</t>
        </is>
      </c>
      <c r="K1257" s="17" t="inlineStr">
        <is>
          <t>낮음</t>
        </is>
      </c>
      <c r="L1257" s="17" t="inlineStr"/>
    </row>
    <row r="1258">
      <c r="A1258" s="17" t="inlineStr">
        <is>
          <t>C202</t>
        </is>
      </c>
      <c r="B1258" s="17" t="inlineStr"/>
      <c r="C1258" s="17" t="inlineStr">
        <is>
          <t>(주)에어퍼스트</t>
        </is>
      </c>
      <c r="D1258" s="17" t="inlineStr"/>
      <c r="E1258" s="17" t="inlineStr">
        <is>
          <t>최근매출(억원)</t>
        </is>
      </c>
      <c r="F1258" s="17" t="inlineStr">
        <is>
          <t>미확인</t>
        </is>
      </c>
      <c r="G1258" s="17" t="inlineStr">
        <is>
          <t>웹조사 자동화 실패(세션한도)</t>
        </is>
      </c>
      <c r="H1258" s="17" t="inlineStr">
        <is>
          <t>N</t>
        </is>
      </c>
      <c r="I1258" s="17" t="inlineStr">
        <is>
          <t>DART 사업보고서</t>
        </is>
      </c>
      <c r="J1258" s="17" t="inlineStr">
        <is>
          <t>DART 사업보고서에서 확인</t>
        </is>
      </c>
      <c r="K1258" s="17" t="inlineStr">
        <is>
          <t>낮음</t>
        </is>
      </c>
      <c r="L1258" s="17" t="inlineStr"/>
    </row>
    <row r="1259">
      <c r="A1259" s="17" t="inlineStr">
        <is>
          <t>C202</t>
        </is>
      </c>
      <c r="B1259" s="17" t="inlineStr"/>
      <c r="C1259" s="17" t="inlineStr">
        <is>
          <t>(주)에어퍼스트</t>
        </is>
      </c>
      <c r="D1259" s="17" t="inlineStr"/>
      <c r="E1259" s="17" t="inlineStr">
        <is>
          <t>종업원수</t>
        </is>
      </c>
      <c r="F1259" s="17" t="inlineStr">
        <is>
          <t>미확인</t>
        </is>
      </c>
      <c r="G1259" s="17" t="inlineStr">
        <is>
          <t>웹조사 자동화 실패(세션한도)</t>
        </is>
      </c>
      <c r="H1259" s="17" t="inlineStr">
        <is>
          <t>N</t>
        </is>
      </c>
      <c r="I1259" s="17" t="inlineStr">
        <is>
          <t>DART/채용</t>
        </is>
      </c>
      <c r="J1259" s="17" t="inlineStr">
        <is>
          <t>DART/채용에서 확인</t>
        </is>
      </c>
      <c r="K1259" s="17" t="inlineStr">
        <is>
          <t>낮음</t>
        </is>
      </c>
      <c r="L1259" s="17" t="inlineStr"/>
    </row>
    <row r="1260">
      <c r="A1260" s="17" t="inlineStr">
        <is>
          <t>C202</t>
        </is>
      </c>
      <c r="B1260" s="17" t="inlineStr"/>
      <c r="C1260" s="17" t="inlineStr">
        <is>
          <t>(주)에어퍼스트</t>
        </is>
      </c>
      <c r="D1260" s="17" t="inlineStr"/>
      <c r="E1260" s="17" t="inlineStr">
        <is>
          <t>수출여부</t>
        </is>
      </c>
      <c r="F1260" s="17" t="inlineStr">
        <is>
          <t>미확인</t>
        </is>
      </c>
      <c r="G1260" s="17" t="inlineStr">
        <is>
          <t>웹조사 자동화 실패(세션한도)</t>
        </is>
      </c>
      <c r="H1260" s="17" t="inlineStr">
        <is>
          <t>N</t>
        </is>
      </c>
      <c r="I1260" s="17" t="inlineStr">
        <is>
          <t>회사 공시·홈페이지</t>
        </is>
      </c>
      <c r="J1260" s="17" t="inlineStr">
        <is>
          <t>회사 공시·홈페이지에서 확인</t>
        </is>
      </c>
      <c r="K1260" s="17" t="inlineStr">
        <is>
          <t>낮음</t>
        </is>
      </c>
      <c r="L1260" s="17" t="inlineStr"/>
    </row>
    <row r="1261">
      <c r="A1261" s="17" t="inlineStr">
        <is>
          <t>C202</t>
        </is>
      </c>
      <c r="B1261" s="17" t="inlineStr"/>
      <c r="C1261" s="17" t="inlineStr">
        <is>
          <t>(주)에어퍼스트</t>
        </is>
      </c>
      <c r="D1261" s="17" t="inlineStr"/>
      <c r="E1261" s="17" t="inlineStr">
        <is>
          <t>FDA·EMA 실사</t>
        </is>
      </c>
      <c r="F1261" s="17" t="inlineStr">
        <is>
          <t>미확인</t>
        </is>
      </c>
      <c r="G1261" s="17" t="inlineStr">
        <is>
          <t>웹조사 자동화 실패(세션한도)</t>
        </is>
      </c>
      <c r="H1261" s="17" t="inlineStr">
        <is>
          <t>N</t>
        </is>
      </c>
      <c r="I1261" s="17" t="inlineStr">
        <is>
          <t>FDA Inspection DB</t>
        </is>
      </c>
      <c r="J1261" s="17" t="inlineStr">
        <is>
          <t>FDA Inspection DB에서 확인</t>
        </is>
      </c>
      <c r="K1261" s="17" t="inlineStr">
        <is>
          <t>낮음</t>
        </is>
      </c>
      <c r="L1261" s="17" t="inlineStr"/>
    </row>
    <row r="1262">
      <c r="A1262" s="17" t="inlineStr">
        <is>
          <t>C202</t>
        </is>
      </c>
      <c r="B1262" s="17" t="inlineStr"/>
      <c r="C1262" s="17" t="inlineStr">
        <is>
          <t>(주)에어퍼스트</t>
        </is>
      </c>
      <c r="D1262" s="17" t="inlineStr"/>
      <c r="E1262" s="17" t="inlineStr">
        <is>
          <t>CMO·CDMO</t>
        </is>
      </c>
      <c r="F1262" s="17" t="inlineStr">
        <is>
          <t>미확인</t>
        </is>
      </c>
      <c r="G1262" s="17" t="inlineStr">
        <is>
          <t>웹조사 자동화 실패(세션한도)</t>
        </is>
      </c>
      <c r="H1262" s="17" t="inlineStr">
        <is>
          <t>N</t>
        </is>
      </c>
      <c r="I1262" s="17" t="inlineStr">
        <is>
          <t>회사 홈페이지</t>
        </is>
      </c>
      <c r="J1262" s="17" t="inlineStr">
        <is>
          <t>회사 홈페이지에서 확인</t>
        </is>
      </c>
      <c r="K1262" s="17" t="inlineStr">
        <is>
          <t>낮음</t>
        </is>
      </c>
      <c r="L1262" s="17" t="inlineStr"/>
    </row>
    <row r="1263">
      <c r="A1263" s="17" t="inlineStr">
        <is>
          <t>C202</t>
        </is>
      </c>
      <c r="B1263" s="17" t="inlineStr"/>
      <c r="C1263" s="17" t="inlineStr">
        <is>
          <t>(주)에어퍼스트</t>
        </is>
      </c>
      <c r="D1263" s="17" t="inlineStr"/>
      <c r="E1263" s="17" t="inlineStr">
        <is>
          <t>신공장·증설</t>
        </is>
      </c>
      <c r="F1263" s="17" t="inlineStr">
        <is>
          <t>미확인</t>
        </is>
      </c>
      <c r="G1263" s="17" t="inlineStr">
        <is>
          <t>웹조사 자동화 실패(세션한도)</t>
        </is>
      </c>
      <c r="H1263" s="17" t="inlineStr">
        <is>
          <t>N</t>
        </is>
      </c>
      <c r="I1263" s="17" t="inlineStr">
        <is>
          <t>언론·지자체 발표</t>
        </is>
      </c>
      <c r="J1263" s="17" t="inlineStr">
        <is>
          <t>언론·지자체 발표에서 확인</t>
        </is>
      </c>
      <c r="K1263" s="17" t="inlineStr">
        <is>
          <t>낮음</t>
        </is>
      </c>
      <c r="L1263" s="17" t="inlineStr"/>
    </row>
    <row r="1264">
      <c r="A1264" s="17" t="inlineStr">
        <is>
          <t>C203</t>
        </is>
      </c>
      <c r="B1264" s="17" t="inlineStr"/>
      <c r="C1264" s="17" t="inlineStr">
        <is>
          <t>안국뉴팜(주)</t>
        </is>
      </c>
      <c r="D1264" s="17" t="inlineStr"/>
      <c r="E1264" s="17" t="inlineStr">
        <is>
          <t>최근매출(억원)</t>
        </is>
      </c>
      <c r="F1264" s="17" t="inlineStr">
        <is>
          <t>미확인</t>
        </is>
      </c>
      <c r="G1264" s="17" t="inlineStr">
        <is>
          <t>웹조사 자동화 실패(세션한도)</t>
        </is>
      </c>
      <c r="H1264" s="17" t="inlineStr">
        <is>
          <t>N</t>
        </is>
      </c>
      <c r="I1264" s="17" t="inlineStr">
        <is>
          <t>DART 사업보고서</t>
        </is>
      </c>
      <c r="J1264" s="17" t="inlineStr">
        <is>
          <t>DART 사업보고서에서 확인</t>
        </is>
      </c>
      <c r="K1264" s="17" t="inlineStr">
        <is>
          <t>낮음</t>
        </is>
      </c>
      <c r="L1264" s="17" t="inlineStr"/>
    </row>
    <row r="1265">
      <c r="A1265" s="17" t="inlineStr">
        <is>
          <t>C203</t>
        </is>
      </c>
      <c r="B1265" s="17" t="inlineStr"/>
      <c r="C1265" s="17" t="inlineStr">
        <is>
          <t>안국뉴팜(주)</t>
        </is>
      </c>
      <c r="D1265" s="17" t="inlineStr"/>
      <c r="E1265" s="17" t="inlineStr">
        <is>
          <t>종업원수</t>
        </is>
      </c>
      <c r="F1265" s="17" t="inlineStr">
        <is>
          <t>미확인</t>
        </is>
      </c>
      <c r="G1265" s="17" t="inlineStr">
        <is>
          <t>웹조사 자동화 실패(세션한도)</t>
        </is>
      </c>
      <c r="H1265" s="17" t="inlineStr">
        <is>
          <t>N</t>
        </is>
      </c>
      <c r="I1265" s="17" t="inlineStr">
        <is>
          <t>DART/채용</t>
        </is>
      </c>
      <c r="J1265" s="17" t="inlineStr">
        <is>
          <t>DART/채용에서 확인</t>
        </is>
      </c>
      <c r="K1265" s="17" t="inlineStr">
        <is>
          <t>낮음</t>
        </is>
      </c>
      <c r="L1265" s="17" t="inlineStr"/>
    </row>
    <row r="1266">
      <c r="A1266" s="17" t="inlineStr">
        <is>
          <t>C203</t>
        </is>
      </c>
      <c r="B1266" s="17" t="inlineStr"/>
      <c r="C1266" s="17" t="inlineStr">
        <is>
          <t>안국뉴팜(주)</t>
        </is>
      </c>
      <c r="D1266" s="17" t="inlineStr"/>
      <c r="E1266" s="17" t="inlineStr">
        <is>
          <t>수출여부</t>
        </is>
      </c>
      <c r="F1266" s="17" t="inlineStr">
        <is>
          <t>미확인</t>
        </is>
      </c>
      <c r="G1266" s="17" t="inlineStr">
        <is>
          <t>웹조사 자동화 실패(세션한도)</t>
        </is>
      </c>
      <c r="H1266" s="17" t="inlineStr">
        <is>
          <t>N</t>
        </is>
      </c>
      <c r="I1266" s="17" t="inlineStr">
        <is>
          <t>회사 공시·홈페이지</t>
        </is>
      </c>
      <c r="J1266" s="17" t="inlineStr">
        <is>
          <t>회사 공시·홈페이지에서 확인</t>
        </is>
      </c>
      <c r="K1266" s="17" t="inlineStr">
        <is>
          <t>낮음</t>
        </is>
      </c>
      <c r="L1266" s="17" t="inlineStr"/>
    </row>
    <row r="1267">
      <c r="A1267" s="17" t="inlineStr">
        <is>
          <t>C203</t>
        </is>
      </c>
      <c r="B1267" s="17" t="inlineStr"/>
      <c r="C1267" s="17" t="inlineStr">
        <is>
          <t>안국뉴팜(주)</t>
        </is>
      </c>
      <c r="D1267" s="17" t="inlineStr"/>
      <c r="E1267" s="17" t="inlineStr">
        <is>
          <t>FDA·EMA 실사</t>
        </is>
      </c>
      <c r="F1267" s="17" t="inlineStr">
        <is>
          <t>미확인</t>
        </is>
      </c>
      <c r="G1267" s="17" t="inlineStr">
        <is>
          <t>웹조사 자동화 실패(세션한도)</t>
        </is>
      </c>
      <c r="H1267" s="17" t="inlineStr">
        <is>
          <t>N</t>
        </is>
      </c>
      <c r="I1267" s="17" t="inlineStr">
        <is>
          <t>FDA Inspection DB</t>
        </is>
      </c>
      <c r="J1267" s="17" t="inlineStr">
        <is>
          <t>FDA Inspection DB에서 확인</t>
        </is>
      </c>
      <c r="K1267" s="17" t="inlineStr">
        <is>
          <t>낮음</t>
        </is>
      </c>
      <c r="L1267" s="17" t="inlineStr"/>
    </row>
    <row r="1268">
      <c r="A1268" s="17" t="inlineStr">
        <is>
          <t>C203</t>
        </is>
      </c>
      <c r="B1268" s="17" t="inlineStr"/>
      <c r="C1268" s="17" t="inlineStr">
        <is>
          <t>안국뉴팜(주)</t>
        </is>
      </c>
      <c r="D1268" s="17" t="inlineStr"/>
      <c r="E1268" s="17" t="inlineStr">
        <is>
          <t>CMO·CDMO</t>
        </is>
      </c>
      <c r="F1268" s="17" t="inlineStr">
        <is>
          <t>미확인</t>
        </is>
      </c>
      <c r="G1268" s="17" t="inlineStr">
        <is>
          <t>웹조사 자동화 실패(세션한도)</t>
        </is>
      </c>
      <c r="H1268" s="17" t="inlineStr">
        <is>
          <t>N</t>
        </is>
      </c>
      <c r="I1268" s="17" t="inlineStr">
        <is>
          <t>회사 홈페이지</t>
        </is>
      </c>
      <c r="J1268" s="17" t="inlineStr">
        <is>
          <t>회사 홈페이지에서 확인</t>
        </is>
      </c>
      <c r="K1268" s="17" t="inlineStr">
        <is>
          <t>낮음</t>
        </is>
      </c>
      <c r="L1268" s="17" t="inlineStr"/>
    </row>
    <row r="1269">
      <c r="A1269" s="17" t="inlineStr">
        <is>
          <t>C203</t>
        </is>
      </c>
      <c r="B1269" s="17" t="inlineStr"/>
      <c r="C1269" s="17" t="inlineStr">
        <is>
          <t>안국뉴팜(주)</t>
        </is>
      </c>
      <c r="D1269" s="17" t="inlineStr"/>
      <c r="E1269" s="17" t="inlineStr">
        <is>
          <t>신공장·증설</t>
        </is>
      </c>
      <c r="F1269" s="17" t="inlineStr">
        <is>
          <t>미확인</t>
        </is>
      </c>
      <c r="G1269" s="17" t="inlineStr">
        <is>
          <t>웹조사 자동화 실패(세션한도)</t>
        </is>
      </c>
      <c r="H1269" s="17" t="inlineStr">
        <is>
          <t>N</t>
        </is>
      </c>
      <c r="I1269" s="17" t="inlineStr">
        <is>
          <t>언론·지자체 발표</t>
        </is>
      </c>
      <c r="J1269" s="17" t="inlineStr">
        <is>
          <t>언론·지자체 발표에서 확인</t>
        </is>
      </c>
      <c r="K1269" s="17" t="inlineStr">
        <is>
          <t>낮음</t>
        </is>
      </c>
      <c r="L1269" s="17" t="inlineStr"/>
    </row>
    <row r="1270">
      <c r="A1270" s="17" t="inlineStr">
        <is>
          <t>C203</t>
        </is>
      </c>
      <c r="B1270" s="17" t="inlineStr"/>
      <c r="C1270" s="17" t="inlineStr">
        <is>
          <t>안국뉴팜(주)</t>
        </is>
      </c>
      <c r="D1270" s="17" t="inlineStr"/>
      <c r="E1270" s="17" t="inlineStr">
        <is>
          <t>대표전화</t>
        </is>
      </c>
      <c r="F1270" s="17" t="inlineStr">
        <is>
          <t>미확인</t>
        </is>
      </c>
      <c r="G1270" s="17" t="inlineStr">
        <is>
          <t>제조소상세 미매칭</t>
        </is>
      </c>
      <c r="H1270" s="17" t="inlineStr">
        <is>
          <t>Y</t>
        </is>
      </c>
      <c r="I1270" s="17" t="inlineStr">
        <is>
          <t>회사 홈페이지</t>
        </is>
      </c>
      <c r="J1270" s="17" t="inlineStr">
        <is>
          <t>홈페이지에서 대표번호 확인</t>
        </is>
      </c>
      <c r="K1270" s="17" t="inlineStr">
        <is>
          <t>낮음</t>
        </is>
      </c>
      <c r="L1270" s="17" t="inlineStr"/>
    </row>
    <row r="1271">
      <c r="A1271" s="17" t="inlineStr">
        <is>
          <t>C204</t>
        </is>
      </c>
      <c r="B1271" s="17" t="inlineStr"/>
      <c r="C1271" s="17" t="inlineStr">
        <is>
          <t>제주종합가스(주)</t>
        </is>
      </c>
      <c r="D1271" s="17" t="inlineStr"/>
      <c r="E1271" s="17" t="inlineStr">
        <is>
          <t>최근매출(억원)</t>
        </is>
      </c>
      <c r="F1271" s="17" t="inlineStr">
        <is>
          <t>미확인</t>
        </is>
      </c>
      <c r="G1271" s="17" t="inlineStr">
        <is>
          <t>웹조사 자동화 실패(세션한도)</t>
        </is>
      </c>
      <c r="H1271" s="17" t="inlineStr">
        <is>
          <t>N</t>
        </is>
      </c>
      <c r="I1271" s="17" t="inlineStr">
        <is>
          <t>DART 사업보고서</t>
        </is>
      </c>
      <c r="J1271" s="17" t="inlineStr">
        <is>
          <t>DART 사업보고서에서 확인</t>
        </is>
      </c>
      <c r="K1271" s="17" t="inlineStr">
        <is>
          <t>낮음</t>
        </is>
      </c>
      <c r="L1271" s="17" t="inlineStr"/>
    </row>
    <row r="1272">
      <c r="A1272" s="17" t="inlineStr">
        <is>
          <t>C204</t>
        </is>
      </c>
      <c r="B1272" s="17" t="inlineStr"/>
      <c r="C1272" s="17" t="inlineStr">
        <is>
          <t>제주종합가스(주)</t>
        </is>
      </c>
      <c r="D1272" s="17" t="inlineStr"/>
      <c r="E1272" s="17" t="inlineStr">
        <is>
          <t>종업원수</t>
        </is>
      </c>
      <c r="F1272" s="17" t="inlineStr">
        <is>
          <t>미확인</t>
        </is>
      </c>
      <c r="G1272" s="17" t="inlineStr">
        <is>
          <t>웹조사 자동화 실패(세션한도)</t>
        </is>
      </c>
      <c r="H1272" s="17" t="inlineStr">
        <is>
          <t>N</t>
        </is>
      </c>
      <c r="I1272" s="17" t="inlineStr">
        <is>
          <t>DART/채용</t>
        </is>
      </c>
      <c r="J1272" s="17" t="inlineStr">
        <is>
          <t>DART/채용에서 확인</t>
        </is>
      </c>
      <c r="K1272" s="17" t="inlineStr">
        <is>
          <t>낮음</t>
        </is>
      </c>
      <c r="L1272" s="17" t="inlineStr"/>
    </row>
    <row r="1273">
      <c r="A1273" s="17" t="inlineStr">
        <is>
          <t>C204</t>
        </is>
      </c>
      <c r="B1273" s="17" t="inlineStr"/>
      <c r="C1273" s="17" t="inlineStr">
        <is>
          <t>제주종합가스(주)</t>
        </is>
      </c>
      <c r="D1273" s="17" t="inlineStr"/>
      <c r="E1273" s="17" t="inlineStr">
        <is>
          <t>수출여부</t>
        </is>
      </c>
      <c r="F1273" s="17" t="inlineStr">
        <is>
          <t>미확인</t>
        </is>
      </c>
      <c r="G1273" s="17" t="inlineStr">
        <is>
          <t>웹조사 자동화 실패(세션한도)</t>
        </is>
      </c>
      <c r="H1273" s="17" t="inlineStr">
        <is>
          <t>N</t>
        </is>
      </c>
      <c r="I1273" s="17" t="inlineStr">
        <is>
          <t>회사 공시·홈페이지</t>
        </is>
      </c>
      <c r="J1273" s="17" t="inlineStr">
        <is>
          <t>회사 공시·홈페이지에서 확인</t>
        </is>
      </c>
      <c r="K1273" s="17" t="inlineStr">
        <is>
          <t>낮음</t>
        </is>
      </c>
      <c r="L1273" s="17" t="inlineStr"/>
    </row>
    <row r="1274">
      <c r="A1274" s="17" t="inlineStr">
        <is>
          <t>C204</t>
        </is>
      </c>
      <c r="B1274" s="17" t="inlineStr"/>
      <c r="C1274" s="17" t="inlineStr">
        <is>
          <t>제주종합가스(주)</t>
        </is>
      </c>
      <c r="D1274" s="17" t="inlineStr"/>
      <c r="E1274" s="17" t="inlineStr">
        <is>
          <t>FDA·EMA 실사</t>
        </is>
      </c>
      <c r="F1274" s="17" t="inlineStr">
        <is>
          <t>미확인</t>
        </is>
      </c>
      <c r="G1274" s="17" t="inlineStr">
        <is>
          <t>웹조사 자동화 실패(세션한도)</t>
        </is>
      </c>
      <c r="H1274" s="17" t="inlineStr">
        <is>
          <t>N</t>
        </is>
      </c>
      <c r="I1274" s="17" t="inlineStr">
        <is>
          <t>FDA Inspection DB</t>
        </is>
      </c>
      <c r="J1274" s="17" t="inlineStr">
        <is>
          <t>FDA Inspection DB에서 확인</t>
        </is>
      </c>
      <c r="K1274" s="17" t="inlineStr">
        <is>
          <t>낮음</t>
        </is>
      </c>
      <c r="L1274" s="17" t="inlineStr"/>
    </row>
    <row r="1275">
      <c r="A1275" s="17" t="inlineStr">
        <is>
          <t>C204</t>
        </is>
      </c>
      <c r="B1275" s="17" t="inlineStr"/>
      <c r="C1275" s="17" t="inlineStr">
        <is>
          <t>제주종합가스(주)</t>
        </is>
      </c>
      <c r="D1275" s="17" t="inlineStr"/>
      <c r="E1275" s="17" t="inlineStr">
        <is>
          <t>CMO·CDMO</t>
        </is>
      </c>
      <c r="F1275" s="17" t="inlineStr">
        <is>
          <t>미확인</t>
        </is>
      </c>
      <c r="G1275" s="17" t="inlineStr">
        <is>
          <t>웹조사 자동화 실패(세션한도)</t>
        </is>
      </c>
      <c r="H1275" s="17" t="inlineStr">
        <is>
          <t>N</t>
        </is>
      </c>
      <c r="I1275" s="17" t="inlineStr">
        <is>
          <t>회사 홈페이지</t>
        </is>
      </c>
      <c r="J1275" s="17" t="inlineStr">
        <is>
          <t>회사 홈페이지에서 확인</t>
        </is>
      </c>
      <c r="K1275" s="17" t="inlineStr">
        <is>
          <t>낮음</t>
        </is>
      </c>
      <c r="L1275" s="17" t="inlineStr"/>
    </row>
    <row r="1276">
      <c r="A1276" s="17" t="inlineStr">
        <is>
          <t>C204</t>
        </is>
      </c>
      <c r="B1276" s="17" t="inlineStr"/>
      <c r="C1276" s="17" t="inlineStr">
        <is>
          <t>제주종합가스(주)</t>
        </is>
      </c>
      <c r="D1276" s="17" t="inlineStr"/>
      <c r="E1276" s="17" t="inlineStr">
        <is>
          <t>신공장·증설</t>
        </is>
      </c>
      <c r="F1276" s="17" t="inlineStr">
        <is>
          <t>미확인</t>
        </is>
      </c>
      <c r="G1276" s="17" t="inlineStr">
        <is>
          <t>웹조사 자동화 실패(세션한도)</t>
        </is>
      </c>
      <c r="H1276" s="17" t="inlineStr">
        <is>
          <t>N</t>
        </is>
      </c>
      <c r="I1276" s="17" t="inlineStr">
        <is>
          <t>언론·지자체 발표</t>
        </is>
      </c>
      <c r="J1276" s="17" t="inlineStr">
        <is>
          <t>언론·지자체 발표에서 확인</t>
        </is>
      </c>
      <c r="K1276" s="17" t="inlineStr">
        <is>
          <t>낮음</t>
        </is>
      </c>
      <c r="L1276" s="17" t="inlineStr"/>
    </row>
    <row r="1277">
      <c r="A1277" s="17" t="inlineStr">
        <is>
          <t>C204</t>
        </is>
      </c>
      <c r="B1277" s="17" t="inlineStr"/>
      <c r="C1277" s="17" t="inlineStr">
        <is>
          <t>제주종합가스(주)</t>
        </is>
      </c>
      <c r="D1277" s="17" t="inlineStr"/>
      <c r="E1277" s="17" t="inlineStr">
        <is>
          <t>대표전화</t>
        </is>
      </c>
      <c r="F1277" s="17" t="inlineStr">
        <is>
          <t>미확인</t>
        </is>
      </c>
      <c r="G1277" s="17" t="inlineStr">
        <is>
          <t>제조소상세 미매칭</t>
        </is>
      </c>
      <c r="H1277" s="17" t="inlineStr">
        <is>
          <t>Y</t>
        </is>
      </c>
      <c r="I1277" s="17" t="inlineStr">
        <is>
          <t>회사 홈페이지</t>
        </is>
      </c>
      <c r="J1277" s="17" t="inlineStr">
        <is>
          <t>홈페이지에서 대표번호 확인</t>
        </is>
      </c>
      <c r="K1277" s="17" t="inlineStr">
        <is>
          <t>낮음</t>
        </is>
      </c>
      <c r="L1277" s="17" t="inlineStr"/>
    </row>
    <row r="1278">
      <c r="A1278" s="17" t="inlineStr">
        <is>
          <t>C205</t>
        </is>
      </c>
      <c r="B1278" s="17" t="inlineStr"/>
      <c r="C1278" s="17" t="inlineStr">
        <is>
          <t>천우신약(주)</t>
        </is>
      </c>
      <c r="D1278" s="17" t="inlineStr"/>
      <c r="E1278" s="17" t="inlineStr">
        <is>
          <t>최근매출(억원)</t>
        </is>
      </c>
      <c r="F1278" s="17" t="inlineStr">
        <is>
          <t>미확인</t>
        </is>
      </c>
      <c r="G1278" s="17" t="inlineStr">
        <is>
          <t>웹조사 자동화 실패(세션한도)</t>
        </is>
      </c>
      <c r="H1278" s="17" t="inlineStr">
        <is>
          <t>N</t>
        </is>
      </c>
      <c r="I1278" s="17" t="inlineStr">
        <is>
          <t>DART 사업보고서</t>
        </is>
      </c>
      <c r="J1278" s="17" t="inlineStr">
        <is>
          <t>DART 사업보고서에서 확인</t>
        </is>
      </c>
      <c r="K1278" s="17" t="inlineStr">
        <is>
          <t>낮음</t>
        </is>
      </c>
      <c r="L1278" s="17" t="inlineStr"/>
    </row>
    <row r="1279">
      <c r="A1279" s="17" t="inlineStr">
        <is>
          <t>C205</t>
        </is>
      </c>
      <c r="B1279" s="17" t="inlineStr"/>
      <c r="C1279" s="17" t="inlineStr">
        <is>
          <t>천우신약(주)</t>
        </is>
      </c>
      <c r="D1279" s="17" t="inlineStr"/>
      <c r="E1279" s="17" t="inlineStr">
        <is>
          <t>종업원수</t>
        </is>
      </c>
      <c r="F1279" s="17" t="inlineStr">
        <is>
          <t>미확인</t>
        </is>
      </c>
      <c r="G1279" s="17" t="inlineStr">
        <is>
          <t>웹조사 자동화 실패(세션한도)</t>
        </is>
      </c>
      <c r="H1279" s="17" t="inlineStr">
        <is>
          <t>N</t>
        </is>
      </c>
      <c r="I1279" s="17" t="inlineStr">
        <is>
          <t>DART/채용</t>
        </is>
      </c>
      <c r="J1279" s="17" t="inlineStr">
        <is>
          <t>DART/채용에서 확인</t>
        </is>
      </c>
      <c r="K1279" s="17" t="inlineStr">
        <is>
          <t>낮음</t>
        </is>
      </c>
      <c r="L1279" s="17" t="inlineStr"/>
    </row>
    <row r="1280">
      <c r="A1280" s="17" t="inlineStr">
        <is>
          <t>C205</t>
        </is>
      </c>
      <c r="B1280" s="17" t="inlineStr"/>
      <c r="C1280" s="17" t="inlineStr">
        <is>
          <t>천우신약(주)</t>
        </is>
      </c>
      <c r="D1280" s="17" t="inlineStr"/>
      <c r="E1280" s="17" t="inlineStr">
        <is>
          <t>수출여부</t>
        </is>
      </c>
      <c r="F1280" s="17" t="inlineStr">
        <is>
          <t>미확인</t>
        </is>
      </c>
      <c r="G1280" s="17" t="inlineStr">
        <is>
          <t>웹조사 자동화 실패(세션한도)</t>
        </is>
      </c>
      <c r="H1280" s="17" t="inlineStr">
        <is>
          <t>N</t>
        </is>
      </c>
      <c r="I1280" s="17" t="inlineStr">
        <is>
          <t>회사 공시·홈페이지</t>
        </is>
      </c>
      <c r="J1280" s="17" t="inlineStr">
        <is>
          <t>회사 공시·홈페이지에서 확인</t>
        </is>
      </c>
      <c r="K1280" s="17" t="inlineStr">
        <is>
          <t>낮음</t>
        </is>
      </c>
      <c r="L1280" s="17" t="inlineStr"/>
    </row>
    <row r="1281">
      <c r="A1281" s="17" t="inlineStr">
        <is>
          <t>C205</t>
        </is>
      </c>
      <c r="B1281" s="17" t="inlineStr"/>
      <c r="C1281" s="17" t="inlineStr">
        <is>
          <t>천우신약(주)</t>
        </is>
      </c>
      <c r="D1281" s="17" t="inlineStr"/>
      <c r="E1281" s="17" t="inlineStr">
        <is>
          <t>FDA·EMA 실사</t>
        </is>
      </c>
      <c r="F1281" s="17" t="inlineStr">
        <is>
          <t>미확인</t>
        </is>
      </c>
      <c r="G1281" s="17" t="inlineStr">
        <is>
          <t>웹조사 자동화 실패(세션한도)</t>
        </is>
      </c>
      <c r="H1281" s="17" t="inlineStr">
        <is>
          <t>N</t>
        </is>
      </c>
      <c r="I1281" s="17" t="inlineStr">
        <is>
          <t>FDA Inspection DB</t>
        </is>
      </c>
      <c r="J1281" s="17" t="inlineStr">
        <is>
          <t>FDA Inspection DB에서 확인</t>
        </is>
      </c>
      <c r="K1281" s="17" t="inlineStr">
        <is>
          <t>낮음</t>
        </is>
      </c>
      <c r="L1281" s="17" t="inlineStr"/>
    </row>
    <row r="1282">
      <c r="A1282" s="17" t="inlineStr">
        <is>
          <t>C205</t>
        </is>
      </c>
      <c r="B1282" s="17" t="inlineStr"/>
      <c r="C1282" s="17" t="inlineStr">
        <is>
          <t>천우신약(주)</t>
        </is>
      </c>
      <c r="D1282" s="17" t="inlineStr"/>
      <c r="E1282" s="17" t="inlineStr">
        <is>
          <t>CMO·CDMO</t>
        </is>
      </c>
      <c r="F1282" s="17" t="inlineStr">
        <is>
          <t>미확인</t>
        </is>
      </c>
      <c r="G1282" s="17" t="inlineStr">
        <is>
          <t>웹조사 자동화 실패(세션한도)</t>
        </is>
      </c>
      <c r="H1282" s="17" t="inlineStr">
        <is>
          <t>N</t>
        </is>
      </c>
      <c r="I1282" s="17" t="inlineStr">
        <is>
          <t>회사 홈페이지</t>
        </is>
      </c>
      <c r="J1282" s="17" t="inlineStr">
        <is>
          <t>회사 홈페이지에서 확인</t>
        </is>
      </c>
      <c r="K1282" s="17" t="inlineStr">
        <is>
          <t>낮음</t>
        </is>
      </c>
      <c r="L1282" s="17" t="inlineStr"/>
    </row>
    <row r="1283">
      <c r="A1283" s="17" t="inlineStr">
        <is>
          <t>C205</t>
        </is>
      </c>
      <c r="B1283" s="17" t="inlineStr"/>
      <c r="C1283" s="17" t="inlineStr">
        <is>
          <t>천우신약(주)</t>
        </is>
      </c>
      <c r="D1283" s="17" t="inlineStr"/>
      <c r="E1283" s="17" t="inlineStr">
        <is>
          <t>신공장·증설</t>
        </is>
      </c>
      <c r="F1283" s="17" t="inlineStr">
        <is>
          <t>미확인</t>
        </is>
      </c>
      <c r="G1283" s="17" t="inlineStr">
        <is>
          <t>웹조사 자동화 실패(세션한도)</t>
        </is>
      </c>
      <c r="H1283" s="17" t="inlineStr">
        <is>
          <t>N</t>
        </is>
      </c>
      <c r="I1283" s="17" t="inlineStr">
        <is>
          <t>언론·지자체 발표</t>
        </is>
      </c>
      <c r="J1283" s="17" t="inlineStr">
        <is>
          <t>언론·지자체 발표에서 확인</t>
        </is>
      </c>
      <c r="K1283" s="17" t="inlineStr">
        <is>
          <t>낮음</t>
        </is>
      </c>
      <c r="L1283" s="17" t="inlineStr"/>
    </row>
    <row r="1284">
      <c r="A1284" s="17" t="inlineStr">
        <is>
          <t>C206</t>
        </is>
      </c>
      <c r="B1284" s="17" t="inlineStr"/>
      <c r="C1284" s="17" t="inlineStr">
        <is>
          <t>(주)에이프로젠바이오로직스</t>
        </is>
      </c>
      <c r="D1284" s="17" t="inlineStr"/>
      <c r="E1284" s="17" t="inlineStr">
        <is>
          <t>최근매출(억원)</t>
        </is>
      </c>
      <c r="F1284" s="17" t="inlineStr">
        <is>
          <t>미확인</t>
        </is>
      </c>
      <c r="G1284" s="17" t="inlineStr">
        <is>
          <t>웹조사 자동화 실패(세션한도)</t>
        </is>
      </c>
      <c r="H1284" s="17" t="inlineStr">
        <is>
          <t>N</t>
        </is>
      </c>
      <c r="I1284" s="17" t="inlineStr">
        <is>
          <t>DART 사업보고서</t>
        </is>
      </c>
      <c r="J1284" s="17" t="inlineStr">
        <is>
          <t>DART 사업보고서에서 확인</t>
        </is>
      </c>
      <c r="K1284" s="17" t="inlineStr">
        <is>
          <t>낮음</t>
        </is>
      </c>
      <c r="L1284" s="17" t="inlineStr"/>
    </row>
    <row r="1285">
      <c r="A1285" s="17" t="inlineStr">
        <is>
          <t>C206</t>
        </is>
      </c>
      <c r="B1285" s="17" t="inlineStr"/>
      <c r="C1285" s="17" t="inlineStr">
        <is>
          <t>(주)에이프로젠바이오로직스</t>
        </is>
      </c>
      <c r="D1285" s="17" t="inlineStr"/>
      <c r="E1285" s="17" t="inlineStr">
        <is>
          <t>종업원수</t>
        </is>
      </c>
      <c r="F1285" s="17" t="inlineStr">
        <is>
          <t>미확인</t>
        </is>
      </c>
      <c r="G1285" s="17" t="inlineStr">
        <is>
          <t>웹조사 자동화 실패(세션한도)</t>
        </is>
      </c>
      <c r="H1285" s="17" t="inlineStr">
        <is>
          <t>N</t>
        </is>
      </c>
      <c r="I1285" s="17" t="inlineStr">
        <is>
          <t>DART/채용</t>
        </is>
      </c>
      <c r="J1285" s="17" t="inlineStr">
        <is>
          <t>DART/채용에서 확인</t>
        </is>
      </c>
      <c r="K1285" s="17" t="inlineStr">
        <is>
          <t>낮음</t>
        </is>
      </c>
      <c r="L1285" s="17" t="inlineStr"/>
    </row>
    <row r="1286">
      <c r="A1286" s="17" t="inlineStr">
        <is>
          <t>C206</t>
        </is>
      </c>
      <c r="B1286" s="17" t="inlineStr"/>
      <c r="C1286" s="17" t="inlineStr">
        <is>
          <t>(주)에이프로젠바이오로직스</t>
        </is>
      </c>
      <c r="D1286" s="17" t="inlineStr"/>
      <c r="E1286" s="17" t="inlineStr">
        <is>
          <t>수출여부</t>
        </is>
      </c>
      <c r="F1286" s="17" t="inlineStr">
        <is>
          <t>미확인</t>
        </is>
      </c>
      <c r="G1286" s="17" t="inlineStr">
        <is>
          <t>웹조사 자동화 실패(세션한도)</t>
        </is>
      </c>
      <c r="H1286" s="17" t="inlineStr">
        <is>
          <t>N</t>
        </is>
      </c>
      <c r="I1286" s="17" t="inlineStr">
        <is>
          <t>회사 공시·홈페이지</t>
        </is>
      </c>
      <c r="J1286" s="17" t="inlineStr">
        <is>
          <t>회사 공시·홈페이지에서 확인</t>
        </is>
      </c>
      <c r="K1286" s="17" t="inlineStr">
        <is>
          <t>낮음</t>
        </is>
      </c>
      <c r="L1286" s="17" t="inlineStr"/>
    </row>
    <row r="1287">
      <c r="A1287" s="17" t="inlineStr">
        <is>
          <t>C206</t>
        </is>
      </c>
      <c r="B1287" s="17" t="inlineStr"/>
      <c r="C1287" s="17" t="inlineStr">
        <is>
          <t>(주)에이프로젠바이오로직스</t>
        </is>
      </c>
      <c r="D1287" s="17" t="inlineStr"/>
      <c r="E1287" s="17" t="inlineStr">
        <is>
          <t>FDA·EMA 실사</t>
        </is>
      </c>
      <c r="F1287" s="17" t="inlineStr">
        <is>
          <t>미확인</t>
        </is>
      </c>
      <c r="G1287" s="17" t="inlineStr">
        <is>
          <t>웹조사 자동화 실패(세션한도)</t>
        </is>
      </c>
      <c r="H1287" s="17" t="inlineStr">
        <is>
          <t>N</t>
        </is>
      </c>
      <c r="I1287" s="17" t="inlineStr">
        <is>
          <t>FDA Inspection DB</t>
        </is>
      </c>
      <c r="J1287" s="17" t="inlineStr">
        <is>
          <t>FDA Inspection DB에서 확인</t>
        </is>
      </c>
      <c r="K1287" s="17" t="inlineStr">
        <is>
          <t>낮음</t>
        </is>
      </c>
      <c r="L1287" s="17" t="inlineStr"/>
    </row>
    <row r="1288">
      <c r="A1288" s="17" t="inlineStr">
        <is>
          <t>C206</t>
        </is>
      </c>
      <c r="B1288" s="17" t="inlineStr"/>
      <c r="C1288" s="17" t="inlineStr">
        <is>
          <t>(주)에이프로젠바이오로직스</t>
        </is>
      </c>
      <c r="D1288" s="17" t="inlineStr"/>
      <c r="E1288" s="17" t="inlineStr">
        <is>
          <t>CMO·CDMO</t>
        </is>
      </c>
      <c r="F1288" s="17" t="inlineStr">
        <is>
          <t>미확인</t>
        </is>
      </c>
      <c r="G1288" s="17" t="inlineStr">
        <is>
          <t>웹조사 자동화 실패(세션한도)</t>
        </is>
      </c>
      <c r="H1288" s="17" t="inlineStr">
        <is>
          <t>N</t>
        </is>
      </c>
      <c r="I1288" s="17" t="inlineStr">
        <is>
          <t>회사 홈페이지</t>
        </is>
      </c>
      <c r="J1288" s="17" t="inlineStr">
        <is>
          <t>회사 홈페이지에서 확인</t>
        </is>
      </c>
      <c r="K1288" s="17" t="inlineStr">
        <is>
          <t>낮음</t>
        </is>
      </c>
      <c r="L1288" s="17" t="inlineStr"/>
    </row>
    <row r="1289">
      <c r="A1289" s="17" t="inlineStr">
        <is>
          <t>C206</t>
        </is>
      </c>
      <c r="B1289" s="17" t="inlineStr"/>
      <c r="C1289" s="17" t="inlineStr">
        <is>
          <t>(주)에이프로젠바이오로직스</t>
        </is>
      </c>
      <c r="D1289" s="17" t="inlineStr"/>
      <c r="E1289" s="17" t="inlineStr">
        <is>
          <t>신공장·증설</t>
        </is>
      </c>
      <c r="F1289" s="17" t="inlineStr">
        <is>
          <t>미확인</t>
        </is>
      </c>
      <c r="G1289" s="17" t="inlineStr">
        <is>
          <t>웹조사 자동화 실패(세션한도)</t>
        </is>
      </c>
      <c r="H1289" s="17" t="inlineStr">
        <is>
          <t>N</t>
        </is>
      </c>
      <c r="I1289" s="17" t="inlineStr">
        <is>
          <t>언론·지자체 발표</t>
        </is>
      </c>
      <c r="J1289" s="17" t="inlineStr">
        <is>
          <t>언론·지자체 발표에서 확인</t>
        </is>
      </c>
      <c r="K1289" s="17" t="inlineStr">
        <is>
          <t>낮음</t>
        </is>
      </c>
      <c r="L1289" s="17" t="inlineStr"/>
    </row>
    <row r="1290">
      <c r="A1290" s="17" t="inlineStr">
        <is>
          <t>C206</t>
        </is>
      </c>
      <c r="B1290" s="17" t="inlineStr"/>
      <c r="C1290" s="17" t="inlineStr">
        <is>
          <t>(주)에이프로젠바이오로직스</t>
        </is>
      </c>
      <c r="D1290" s="17" t="inlineStr"/>
      <c r="E1290" s="17" t="inlineStr">
        <is>
          <t>대표전화</t>
        </is>
      </c>
      <c r="F1290" s="17" t="inlineStr">
        <is>
          <t>미확인</t>
        </is>
      </c>
      <c r="G1290" s="17" t="inlineStr">
        <is>
          <t>제조소상세 미매칭</t>
        </is>
      </c>
      <c r="H1290" s="17" t="inlineStr">
        <is>
          <t>Y</t>
        </is>
      </c>
      <c r="I1290" s="17" t="inlineStr">
        <is>
          <t>회사 홈페이지</t>
        </is>
      </c>
      <c r="J1290" s="17" t="inlineStr">
        <is>
          <t>홈페이지에서 대표번호 확인</t>
        </is>
      </c>
      <c r="K1290" s="17" t="inlineStr">
        <is>
          <t>낮음</t>
        </is>
      </c>
      <c r="L1290" s="17" t="inlineStr"/>
    </row>
    <row r="1291">
      <c r="A1291" s="17" t="inlineStr">
        <is>
          <t>C207</t>
        </is>
      </c>
      <c r="B1291" s="17" t="inlineStr"/>
      <c r="C1291" s="17" t="inlineStr">
        <is>
          <t>경남산소</t>
        </is>
      </c>
      <c r="D1291" s="17" t="inlineStr"/>
      <c r="E1291" s="17" t="inlineStr">
        <is>
          <t>최근매출(억원)</t>
        </is>
      </c>
      <c r="F1291" s="17" t="inlineStr">
        <is>
          <t>미확인</t>
        </is>
      </c>
      <c r="G1291" s="17" t="inlineStr">
        <is>
          <t>웹조사 자동화 실패(세션한도)</t>
        </is>
      </c>
      <c r="H1291" s="17" t="inlineStr">
        <is>
          <t>N</t>
        </is>
      </c>
      <c r="I1291" s="17" t="inlineStr">
        <is>
          <t>DART 사업보고서</t>
        </is>
      </c>
      <c r="J1291" s="17" t="inlineStr">
        <is>
          <t>DART 사업보고서에서 확인</t>
        </is>
      </c>
      <c r="K1291" s="17" t="inlineStr">
        <is>
          <t>낮음</t>
        </is>
      </c>
      <c r="L1291" s="17" t="inlineStr"/>
    </row>
    <row r="1292">
      <c r="A1292" s="17" t="inlineStr">
        <is>
          <t>C207</t>
        </is>
      </c>
      <c r="B1292" s="17" t="inlineStr"/>
      <c r="C1292" s="17" t="inlineStr">
        <is>
          <t>경남산소</t>
        </is>
      </c>
      <c r="D1292" s="17" t="inlineStr"/>
      <c r="E1292" s="17" t="inlineStr">
        <is>
          <t>종업원수</t>
        </is>
      </c>
      <c r="F1292" s="17" t="inlineStr">
        <is>
          <t>미확인</t>
        </is>
      </c>
      <c r="G1292" s="17" t="inlineStr">
        <is>
          <t>웹조사 자동화 실패(세션한도)</t>
        </is>
      </c>
      <c r="H1292" s="17" t="inlineStr">
        <is>
          <t>N</t>
        </is>
      </c>
      <c r="I1292" s="17" t="inlineStr">
        <is>
          <t>DART/채용</t>
        </is>
      </c>
      <c r="J1292" s="17" t="inlineStr">
        <is>
          <t>DART/채용에서 확인</t>
        </is>
      </c>
      <c r="K1292" s="17" t="inlineStr">
        <is>
          <t>낮음</t>
        </is>
      </c>
      <c r="L1292" s="17" t="inlineStr"/>
    </row>
    <row r="1293">
      <c r="A1293" s="17" t="inlineStr">
        <is>
          <t>C207</t>
        </is>
      </c>
      <c r="B1293" s="17" t="inlineStr"/>
      <c r="C1293" s="17" t="inlineStr">
        <is>
          <t>경남산소</t>
        </is>
      </c>
      <c r="D1293" s="17" t="inlineStr"/>
      <c r="E1293" s="17" t="inlineStr">
        <is>
          <t>수출여부</t>
        </is>
      </c>
      <c r="F1293" s="17" t="inlineStr">
        <is>
          <t>미확인</t>
        </is>
      </c>
      <c r="G1293" s="17" t="inlineStr">
        <is>
          <t>웹조사 자동화 실패(세션한도)</t>
        </is>
      </c>
      <c r="H1293" s="17" t="inlineStr">
        <is>
          <t>N</t>
        </is>
      </c>
      <c r="I1293" s="17" t="inlineStr">
        <is>
          <t>회사 공시·홈페이지</t>
        </is>
      </c>
      <c r="J1293" s="17" t="inlineStr">
        <is>
          <t>회사 공시·홈페이지에서 확인</t>
        </is>
      </c>
      <c r="K1293" s="17" t="inlineStr">
        <is>
          <t>낮음</t>
        </is>
      </c>
      <c r="L1293" s="17" t="inlineStr"/>
    </row>
    <row r="1294">
      <c r="A1294" s="17" t="inlineStr">
        <is>
          <t>C207</t>
        </is>
      </c>
      <c r="B1294" s="17" t="inlineStr"/>
      <c r="C1294" s="17" t="inlineStr">
        <is>
          <t>경남산소</t>
        </is>
      </c>
      <c r="D1294" s="17" t="inlineStr"/>
      <c r="E1294" s="17" t="inlineStr">
        <is>
          <t>FDA·EMA 실사</t>
        </is>
      </c>
      <c r="F1294" s="17" t="inlineStr">
        <is>
          <t>미확인</t>
        </is>
      </c>
      <c r="G1294" s="17" t="inlineStr">
        <is>
          <t>웹조사 자동화 실패(세션한도)</t>
        </is>
      </c>
      <c r="H1294" s="17" t="inlineStr">
        <is>
          <t>N</t>
        </is>
      </c>
      <c r="I1294" s="17" t="inlineStr">
        <is>
          <t>FDA Inspection DB</t>
        </is>
      </c>
      <c r="J1294" s="17" t="inlineStr">
        <is>
          <t>FDA Inspection DB에서 확인</t>
        </is>
      </c>
      <c r="K1294" s="17" t="inlineStr">
        <is>
          <t>낮음</t>
        </is>
      </c>
      <c r="L1294" s="17" t="inlineStr"/>
    </row>
    <row r="1295">
      <c r="A1295" s="17" t="inlineStr">
        <is>
          <t>C207</t>
        </is>
      </c>
      <c r="B1295" s="17" t="inlineStr"/>
      <c r="C1295" s="17" t="inlineStr">
        <is>
          <t>경남산소</t>
        </is>
      </c>
      <c r="D1295" s="17" t="inlineStr"/>
      <c r="E1295" s="17" t="inlineStr">
        <is>
          <t>CMO·CDMO</t>
        </is>
      </c>
      <c r="F1295" s="17" t="inlineStr">
        <is>
          <t>미확인</t>
        </is>
      </c>
      <c r="G1295" s="17" t="inlineStr">
        <is>
          <t>웹조사 자동화 실패(세션한도)</t>
        </is>
      </c>
      <c r="H1295" s="17" t="inlineStr">
        <is>
          <t>N</t>
        </is>
      </c>
      <c r="I1295" s="17" t="inlineStr">
        <is>
          <t>회사 홈페이지</t>
        </is>
      </c>
      <c r="J1295" s="17" t="inlineStr">
        <is>
          <t>회사 홈페이지에서 확인</t>
        </is>
      </c>
      <c r="K1295" s="17" t="inlineStr">
        <is>
          <t>낮음</t>
        </is>
      </c>
      <c r="L1295" s="17" t="inlineStr"/>
    </row>
    <row r="1296">
      <c r="A1296" s="17" t="inlineStr">
        <is>
          <t>C207</t>
        </is>
      </c>
      <c r="B1296" s="17" t="inlineStr"/>
      <c r="C1296" s="17" t="inlineStr">
        <is>
          <t>경남산소</t>
        </is>
      </c>
      <c r="D1296" s="17" t="inlineStr"/>
      <c r="E1296" s="17" t="inlineStr">
        <is>
          <t>신공장·증설</t>
        </is>
      </c>
      <c r="F1296" s="17" t="inlineStr">
        <is>
          <t>미확인</t>
        </is>
      </c>
      <c r="G1296" s="17" t="inlineStr">
        <is>
          <t>웹조사 자동화 실패(세션한도)</t>
        </is>
      </c>
      <c r="H1296" s="17" t="inlineStr">
        <is>
          <t>N</t>
        </is>
      </c>
      <c r="I1296" s="17" t="inlineStr">
        <is>
          <t>언론·지자체 발표</t>
        </is>
      </c>
      <c r="J1296" s="17" t="inlineStr">
        <is>
          <t>언론·지자체 발표에서 확인</t>
        </is>
      </c>
      <c r="K1296" s="17" t="inlineStr">
        <is>
          <t>낮음</t>
        </is>
      </c>
      <c r="L1296" s="17" t="inlineStr"/>
    </row>
    <row r="1297">
      <c r="A1297" s="17" t="inlineStr">
        <is>
          <t>C208</t>
        </is>
      </c>
      <c r="B1297" s="17" t="inlineStr"/>
      <c r="C1297" s="17" t="inlineStr">
        <is>
          <t>신진가스텍(주)</t>
        </is>
      </c>
      <c r="D1297" s="17" t="inlineStr"/>
      <c r="E1297" s="17" t="inlineStr">
        <is>
          <t>최근매출(억원)</t>
        </is>
      </c>
      <c r="F1297" s="17" t="inlineStr">
        <is>
          <t>미확인</t>
        </is>
      </c>
      <c r="G1297" s="17" t="inlineStr">
        <is>
          <t>웹조사 자동화 실패(세션한도)</t>
        </is>
      </c>
      <c r="H1297" s="17" t="inlineStr">
        <is>
          <t>N</t>
        </is>
      </c>
      <c r="I1297" s="17" t="inlineStr">
        <is>
          <t>DART 사업보고서</t>
        </is>
      </c>
      <c r="J1297" s="17" t="inlineStr">
        <is>
          <t>DART 사업보고서에서 확인</t>
        </is>
      </c>
      <c r="K1297" s="17" t="inlineStr">
        <is>
          <t>낮음</t>
        </is>
      </c>
      <c r="L1297" s="17" t="inlineStr"/>
    </row>
    <row r="1298">
      <c r="A1298" s="17" t="inlineStr">
        <is>
          <t>C208</t>
        </is>
      </c>
      <c r="B1298" s="17" t="inlineStr"/>
      <c r="C1298" s="17" t="inlineStr">
        <is>
          <t>신진가스텍(주)</t>
        </is>
      </c>
      <c r="D1298" s="17" t="inlineStr"/>
      <c r="E1298" s="17" t="inlineStr">
        <is>
          <t>종업원수</t>
        </is>
      </c>
      <c r="F1298" s="17" t="inlineStr">
        <is>
          <t>미확인</t>
        </is>
      </c>
      <c r="G1298" s="17" t="inlineStr">
        <is>
          <t>웹조사 자동화 실패(세션한도)</t>
        </is>
      </c>
      <c r="H1298" s="17" t="inlineStr">
        <is>
          <t>N</t>
        </is>
      </c>
      <c r="I1298" s="17" t="inlineStr">
        <is>
          <t>DART/채용</t>
        </is>
      </c>
      <c r="J1298" s="17" t="inlineStr">
        <is>
          <t>DART/채용에서 확인</t>
        </is>
      </c>
      <c r="K1298" s="17" t="inlineStr">
        <is>
          <t>낮음</t>
        </is>
      </c>
      <c r="L1298" s="17" t="inlineStr"/>
    </row>
    <row r="1299">
      <c r="A1299" s="17" t="inlineStr">
        <is>
          <t>C208</t>
        </is>
      </c>
      <c r="B1299" s="17" t="inlineStr"/>
      <c r="C1299" s="17" t="inlineStr">
        <is>
          <t>신진가스텍(주)</t>
        </is>
      </c>
      <c r="D1299" s="17" t="inlineStr"/>
      <c r="E1299" s="17" t="inlineStr">
        <is>
          <t>수출여부</t>
        </is>
      </c>
      <c r="F1299" s="17" t="inlineStr">
        <is>
          <t>미확인</t>
        </is>
      </c>
      <c r="G1299" s="17" t="inlineStr">
        <is>
          <t>웹조사 자동화 실패(세션한도)</t>
        </is>
      </c>
      <c r="H1299" s="17" t="inlineStr">
        <is>
          <t>N</t>
        </is>
      </c>
      <c r="I1299" s="17" t="inlineStr">
        <is>
          <t>회사 공시·홈페이지</t>
        </is>
      </c>
      <c r="J1299" s="17" t="inlineStr">
        <is>
          <t>회사 공시·홈페이지에서 확인</t>
        </is>
      </c>
      <c r="K1299" s="17" t="inlineStr">
        <is>
          <t>낮음</t>
        </is>
      </c>
      <c r="L1299" s="17" t="inlineStr"/>
    </row>
    <row r="1300">
      <c r="A1300" s="17" t="inlineStr">
        <is>
          <t>C208</t>
        </is>
      </c>
      <c r="B1300" s="17" t="inlineStr"/>
      <c r="C1300" s="17" t="inlineStr">
        <is>
          <t>신진가스텍(주)</t>
        </is>
      </c>
      <c r="D1300" s="17" t="inlineStr"/>
      <c r="E1300" s="17" t="inlineStr">
        <is>
          <t>FDA·EMA 실사</t>
        </is>
      </c>
      <c r="F1300" s="17" t="inlineStr">
        <is>
          <t>미확인</t>
        </is>
      </c>
      <c r="G1300" s="17" t="inlineStr">
        <is>
          <t>웹조사 자동화 실패(세션한도)</t>
        </is>
      </c>
      <c r="H1300" s="17" t="inlineStr">
        <is>
          <t>N</t>
        </is>
      </c>
      <c r="I1300" s="17" t="inlineStr">
        <is>
          <t>FDA Inspection DB</t>
        </is>
      </c>
      <c r="J1300" s="17" t="inlineStr">
        <is>
          <t>FDA Inspection DB에서 확인</t>
        </is>
      </c>
      <c r="K1300" s="17" t="inlineStr">
        <is>
          <t>낮음</t>
        </is>
      </c>
      <c r="L1300" s="17" t="inlineStr"/>
    </row>
    <row r="1301">
      <c r="A1301" s="17" t="inlineStr">
        <is>
          <t>C208</t>
        </is>
      </c>
      <c r="B1301" s="17" t="inlineStr"/>
      <c r="C1301" s="17" t="inlineStr">
        <is>
          <t>신진가스텍(주)</t>
        </is>
      </c>
      <c r="D1301" s="17" t="inlineStr"/>
      <c r="E1301" s="17" t="inlineStr">
        <is>
          <t>CMO·CDMO</t>
        </is>
      </c>
      <c r="F1301" s="17" t="inlineStr">
        <is>
          <t>미확인</t>
        </is>
      </c>
      <c r="G1301" s="17" t="inlineStr">
        <is>
          <t>웹조사 자동화 실패(세션한도)</t>
        </is>
      </c>
      <c r="H1301" s="17" t="inlineStr">
        <is>
          <t>N</t>
        </is>
      </c>
      <c r="I1301" s="17" t="inlineStr">
        <is>
          <t>회사 홈페이지</t>
        </is>
      </c>
      <c r="J1301" s="17" t="inlineStr">
        <is>
          <t>회사 홈페이지에서 확인</t>
        </is>
      </c>
      <c r="K1301" s="17" t="inlineStr">
        <is>
          <t>낮음</t>
        </is>
      </c>
      <c r="L1301" s="17" t="inlineStr"/>
    </row>
    <row r="1302">
      <c r="A1302" s="17" t="inlineStr">
        <is>
          <t>C208</t>
        </is>
      </c>
      <c r="B1302" s="17" t="inlineStr"/>
      <c r="C1302" s="17" t="inlineStr">
        <is>
          <t>신진가스텍(주)</t>
        </is>
      </c>
      <c r="D1302" s="17" t="inlineStr"/>
      <c r="E1302" s="17" t="inlineStr">
        <is>
          <t>신공장·증설</t>
        </is>
      </c>
      <c r="F1302" s="17" t="inlineStr">
        <is>
          <t>미확인</t>
        </is>
      </c>
      <c r="G1302" s="17" t="inlineStr">
        <is>
          <t>웹조사 자동화 실패(세션한도)</t>
        </is>
      </c>
      <c r="H1302" s="17" t="inlineStr">
        <is>
          <t>N</t>
        </is>
      </c>
      <c r="I1302" s="17" t="inlineStr">
        <is>
          <t>언론·지자체 발표</t>
        </is>
      </c>
      <c r="J1302" s="17" t="inlineStr">
        <is>
          <t>언론·지자체 발표에서 확인</t>
        </is>
      </c>
      <c r="K1302" s="17" t="inlineStr">
        <is>
          <t>낮음</t>
        </is>
      </c>
      <c r="L1302" s="17" t="inlineStr"/>
    </row>
    <row r="1303">
      <c r="A1303" s="17" t="inlineStr">
        <is>
          <t>C209</t>
        </is>
      </c>
      <c r="B1303" s="17" t="inlineStr"/>
      <c r="C1303" s="17" t="inlineStr">
        <is>
          <t>대한적십자사혈장분획센터</t>
        </is>
      </c>
      <c r="D1303" s="17" t="inlineStr"/>
      <c r="E1303" s="17" t="inlineStr">
        <is>
          <t>최근매출(억원)</t>
        </is>
      </c>
      <c r="F1303" s="17" t="inlineStr">
        <is>
          <t>미확인</t>
        </is>
      </c>
      <c r="G1303" s="17" t="inlineStr">
        <is>
          <t>웹조사 자동화 실패(세션한도)</t>
        </is>
      </c>
      <c r="H1303" s="17" t="inlineStr">
        <is>
          <t>N</t>
        </is>
      </c>
      <c r="I1303" s="17" t="inlineStr">
        <is>
          <t>DART 사업보고서</t>
        </is>
      </c>
      <c r="J1303" s="17" t="inlineStr">
        <is>
          <t>DART 사업보고서에서 확인</t>
        </is>
      </c>
      <c r="K1303" s="17" t="inlineStr">
        <is>
          <t>낮음</t>
        </is>
      </c>
      <c r="L1303" s="17" t="inlineStr"/>
    </row>
    <row r="1304">
      <c r="A1304" s="17" t="inlineStr">
        <is>
          <t>C209</t>
        </is>
      </c>
      <c r="B1304" s="17" t="inlineStr"/>
      <c r="C1304" s="17" t="inlineStr">
        <is>
          <t>대한적십자사혈장분획센터</t>
        </is>
      </c>
      <c r="D1304" s="17" t="inlineStr"/>
      <c r="E1304" s="17" t="inlineStr">
        <is>
          <t>종업원수</t>
        </is>
      </c>
      <c r="F1304" s="17" t="inlineStr">
        <is>
          <t>미확인</t>
        </is>
      </c>
      <c r="G1304" s="17" t="inlineStr">
        <is>
          <t>웹조사 자동화 실패(세션한도)</t>
        </is>
      </c>
      <c r="H1304" s="17" t="inlineStr">
        <is>
          <t>N</t>
        </is>
      </c>
      <c r="I1304" s="17" t="inlineStr">
        <is>
          <t>DART/채용</t>
        </is>
      </c>
      <c r="J1304" s="17" t="inlineStr">
        <is>
          <t>DART/채용에서 확인</t>
        </is>
      </c>
      <c r="K1304" s="17" t="inlineStr">
        <is>
          <t>낮음</t>
        </is>
      </c>
      <c r="L1304" s="17" t="inlineStr"/>
    </row>
    <row r="1305">
      <c r="A1305" s="17" t="inlineStr">
        <is>
          <t>C209</t>
        </is>
      </c>
      <c r="B1305" s="17" t="inlineStr"/>
      <c r="C1305" s="17" t="inlineStr">
        <is>
          <t>대한적십자사혈장분획센터</t>
        </is>
      </c>
      <c r="D1305" s="17" t="inlineStr"/>
      <c r="E1305" s="17" t="inlineStr">
        <is>
          <t>수출여부</t>
        </is>
      </c>
      <c r="F1305" s="17" t="inlineStr">
        <is>
          <t>미확인</t>
        </is>
      </c>
      <c r="G1305" s="17" t="inlineStr">
        <is>
          <t>웹조사 자동화 실패(세션한도)</t>
        </is>
      </c>
      <c r="H1305" s="17" t="inlineStr">
        <is>
          <t>N</t>
        </is>
      </c>
      <c r="I1305" s="17" t="inlineStr">
        <is>
          <t>회사 공시·홈페이지</t>
        </is>
      </c>
      <c r="J1305" s="17" t="inlineStr">
        <is>
          <t>회사 공시·홈페이지에서 확인</t>
        </is>
      </c>
      <c r="K1305" s="17" t="inlineStr">
        <is>
          <t>낮음</t>
        </is>
      </c>
      <c r="L1305" s="17" t="inlineStr"/>
    </row>
    <row r="1306">
      <c r="A1306" s="17" t="inlineStr">
        <is>
          <t>C209</t>
        </is>
      </c>
      <c r="B1306" s="17" t="inlineStr"/>
      <c r="C1306" s="17" t="inlineStr">
        <is>
          <t>대한적십자사혈장분획센터</t>
        </is>
      </c>
      <c r="D1306" s="17" t="inlineStr"/>
      <c r="E1306" s="17" t="inlineStr">
        <is>
          <t>FDA·EMA 실사</t>
        </is>
      </c>
      <c r="F1306" s="17" t="inlineStr">
        <is>
          <t>미확인</t>
        </is>
      </c>
      <c r="G1306" s="17" t="inlineStr">
        <is>
          <t>웹조사 자동화 실패(세션한도)</t>
        </is>
      </c>
      <c r="H1306" s="17" t="inlineStr">
        <is>
          <t>N</t>
        </is>
      </c>
      <c r="I1306" s="17" t="inlineStr">
        <is>
          <t>FDA Inspection DB</t>
        </is>
      </c>
      <c r="J1306" s="17" t="inlineStr">
        <is>
          <t>FDA Inspection DB에서 확인</t>
        </is>
      </c>
      <c r="K1306" s="17" t="inlineStr">
        <is>
          <t>낮음</t>
        </is>
      </c>
      <c r="L1306" s="17" t="inlineStr"/>
    </row>
    <row r="1307">
      <c r="A1307" s="17" t="inlineStr">
        <is>
          <t>C209</t>
        </is>
      </c>
      <c r="B1307" s="17" t="inlineStr"/>
      <c r="C1307" s="17" t="inlineStr">
        <is>
          <t>대한적십자사혈장분획센터</t>
        </is>
      </c>
      <c r="D1307" s="17" t="inlineStr"/>
      <c r="E1307" s="17" t="inlineStr">
        <is>
          <t>CMO·CDMO</t>
        </is>
      </c>
      <c r="F1307" s="17" t="inlineStr">
        <is>
          <t>미확인</t>
        </is>
      </c>
      <c r="G1307" s="17" t="inlineStr">
        <is>
          <t>웹조사 자동화 실패(세션한도)</t>
        </is>
      </c>
      <c r="H1307" s="17" t="inlineStr">
        <is>
          <t>N</t>
        </is>
      </c>
      <c r="I1307" s="17" t="inlineStr">
        <is>
          <t>회사 홈페이지</t>
        </is>
      </c>
      <c r="J1307" s="17" t="inlineStr">
        <is>
          <t>회사 홈페이지에서 확인</t>
        </is>
      </c>
      <c r="K1307" s="17" t="inlineStr">
        <is>
          <t>낮음</t>
        </is>
      </c>
      <c r="L1307" s="17" t="inlineStr"/>
    </row>
    <row r="1308">
      <c r="A1308" s="17" t="inlineStr">
        <is>
          <t>C209</t>
        </is>
      </c>
      <c r="B1308" s="17" t="inlineStr"/>
      <c r="C1308" s="17" t="inlineStr">
        <is>
          <t>대한적십자사혈장분획센터</t>
        </is>
      </c>
      <c r="D1308" s="17" t="inlineStr"/>
      <c r="E1308" s="17" t="inlineStr">
        <is>
          <t>신공장·증설</t>
        </is>
      </c>
      <c r="F1308" s="17" t="inlineStr">
        <is>
          <t>미확인</t>
        </is>
      </c>
      <c r="G1308" s="17" t="inlineStr">
        <is>
          <t>웹조사 자동화 실패(세션한도)</t>
        </is>
      </c>
      <c r="H1308" s="17" t="inlineStr">
        <is>
          <t>N</t>
        </is>
      </c>
      <c r="I1308" s="17" t="inlineStr">
        <is>
          <t>언론·지자체 발표</t>
        </is>
      </c>
      <c r="J1308" s="17" t="inlineStr">
        <is>
          <t>언론·지자체 발표에서 확인</t>
        </is>
      </c>
      <c r="K1308" s="17" t="inlineStr">
        <is>
          <t>낮음</t>
        </is>
      </c>
      <c r="L1308" s="17" t="inlineStr"/>
    </row>
    <row r="1309">
      <c r="A1309" s="17" t="inlineStr">
        <is>
          <t>C210</t>
        </is>
      </c>
      <c r="B1309" s="17" t="inlineStr"/>
      <c r="C1309" s="17" t="inlineStr">
        <is>
          <t>제이더블유중외제약(주)</t>
        </is>
      </c>
      <c r="D1309" s="17" t="inlineStr"/>
      <c r="E1309" s="17" t="inlineStr">
        <is>
          <t>최근매출(억원)</t>
        </is>
      </c>
      <c r="F1309" s="17" t="inlineStr">
        <is>
          <t>미확인</t>
        </is>
      </c>
      <c r="G1309" s="17" t="inlineStr">
        <is>
          <t>웹조사 자동화 실패(세션한도)</t>
        </is>
      </c>
      <c r="H1309" s="17" t="inlineStr">
        <is>
          <t>N</t>
        </is>
      </c>
      <c r="I1309" s="17" t="inlineStr">
        <is>
          <t>DART 사업보고서</t>
        </is>
      </c>
      <c r="J1309" s="17" t="inlineStr">
        <is>
          <t>DART 사업보고서에서 확인</t>
        </is>
      </c>
      <c r="K1309" s="17" t="inlineStr">
        <is>
          <t>낮음</t>
        </is>
      </c>
      <c r="L1309" s="17" t="inlineStr"/>
    </row>
    <row r="1310">
      <c r="A1310" s="17" t="inlineStr">
        <is>
          <t>C210</t>
        </is>
      </c>
      <c r="B1310" s="17" t="inlineStr"/>
      <c r="C1310" s="17" t="inlineStr">
        <is>
          <t>제이더블유중외제약(주)</t>
        </is>
      </c>
      <c r="D1310" s="17" t="inlineStr"/>
      <c r="E1310" s="17" t="inlineStr">
        <is>
          <t>종업원수</t>
        </is>
      </c>
      <c r="F1310" s="17" t="inlineStr">
        <is>
          <t>미확인</t>
        </is>
      </c>
      <c r="G1310" s="17" t="inlineStr">
        <is>
          <t>웹조사 자동화 실패(세션한도)</t>
        </is>
      </c>
      <c r="H1310" s="17" t="inlineStr">
        <is>
          <t>N</t>
        </is>
      </c>
      <c r="I1310" s="17" t="inlineStr">
        <is>
          <t>DART/채용</t>
        </is>
      </c>
      <c r="J1310" s="17" t="inlineStr">
        <is>
          <t>DART/채용에서 확인</t>
        </is>
      </c>
      <c r="K1310" s="17" t="inlineStr">
        <is>
          <t>낮음</t>
        </is>
      </c>
      <c r="L1310" s="17" t="inlineStr"/>
    </row>
    <row r="1311">
      <c r="A1311" s="17" t="inlineStr">
        <is>
          <t>C210</t>
        </is>
      </c>
      <c r="B1311" s="17" t="inlineStr"/>
      <c r="C1311" s="17" t="inlineStr">
        <is>
          <t>제이더블유중외제약(주)</t>
        </is>
      </c>
      <c r="D1311" s="17" t="inlineStr"/>
      <c r="E1311" s="17" t="inlineStr">
        <is>
          <t>수출여부</t>
        </is>
      </c>
      <c r="F1311" s="17" t="inlineStr">
        <is>
          <t>미확인</t>
        </is>
      </c>
      <c r="G1311" s="17" t="inlineStr">
        <is>
          <t>웹조사 자동화 실패(세션한도)</t>
        </is>
      </c>
      <c r="H1311" s="17" t="inlineStr">
        <is>
          <t>N</t>
        </is>
      </c>
      <c r="I1311" s="17" t="inlineStr">
        <is>
          <t>회사 공시·홈페이지</t>
        </is>
      </c>
      <c r="J1311" s="17" t="inlineStr">
        <is>
          <t>회사 공시·홈페이지에서 확인</t>
        </is>
      </c>
      <c r="K1311" s="17" t="inlineStr">
        <is>
          <t>낮음</t>
        </is>
      </c>
      <c r="L1311" s="17" t="inlineStr"/>
    </row>
    <row r="1312">
      <c r="A1312" s="17" t="inlineStr">
        <is>
          <t>C210</t>
        </is>
      </c>
      <c r="B1312" s="17" t="inlineStr"/>
      <c r="C1312" s="17" t="inlineStr">
        <is>
          <t>제이더블유중외제약(주)</t>
        </is>
      </c>
      <c r="D1312" s="17" t="inlineStr"/>
      <c r="E1312" s="17" t="inlineStr">
        <is>
          <t>FDA·EMA 실사</t>
        </is>
      </c>
      <c r="F1312" s="17" t="inlineStr">
        <is>
          <t>미확인</t>
        </is>
      </c>
      <c r="G1312" s="17" t="inlineStr">
        <is>
          <t>웹조사 자동화 실패(세션한도)</t>
        </is>
      </c>
      <c r="H1312" s="17" t="inlineStr">
        <is>
          <t>N</t>
        </is>
      </c>
      <c r="I1312" s="17" t="inlineStr">
        <is>
          <t>FDA Inspection DB</t>
        </is>
      </c>
      <c r="J1312" s="17" t="inlineStr">
        <is>
          <t>FDA Inspection DB에서 확인</t>
        </is>
      </c>
      <c r="K1312" s="17" t="inlineStr">
        <is>
          <t>낮음</t>
        </is>
      </c>
      <c r="L1312" s="17" t="inlineStr"/>
    </row>
    <row r="1313">
      <c r="A1313" s="17" t="inlineStr">
        <is>
          <t>C210</t>
        </is>
      </c>
      <c r="B1313" s="17" t="inlineStr"/>
      <c r="C1313" s="17" t="inlineStr">
        <is>
          <t>제이더블유중외제약(주)</t>
        </is>
      </c>
      <c r="D1313" s="17" t="inlineStr"/>
      <c r="E1313" s="17" t="inlineStr">
        <is>
          <t>CMO·CDMO</t>
        </is>
      </c>
      <c r="F1313" s="17" t="inlineStr">
        <is>
          <t>미확인</t>
        </is>
      </c>
      <c r="G1313" s="17" t="inlineStr">
        <is>
          <t>웹조사 자동화 실패(세션한도)</t>
        </is>
      </c>
      <c r="H1313" s="17" t="inlineStr">
        <is>
          <t>N</t>
        </is>
      </c>
      <c r="I1313" s="17" t="inlineStr">
        <is>
          <t>회사 홈페이지</t>
        </is>
      </c>
      <c r="J1313" s="17" t="inlineStr">
        <is>
          <t>회사 홈페이지에서 확인</t>
        </is>
      </c>
      <c r="K1313" s="17" t="inlineStr">
        <is>
          <t>낮음</t>
        </is>
      </c>
      <c r="L1313" s="17" t="inlineStr"/>
    </row>
    <row r="1314">
      <c r="A1314" s="17" t="inlineStr">
        <is>
          <t>C210</t>
        </is>
      </c>
      <c r="B1314" s="17" t="inlineStr"/>
      <c r="C1314" s="17" t="inlineStr">
        <is>
          <t>제이더블유중외제약(주)</t>
        </is>
      </c>
      <c r="D1314" s="17" t="inlineStr"/>
      <c r="E1314" s="17" t="inlineStr">
        <is>
          <t>신공장·증설</t>
        </is>
      </c>
      <c r="F1314" s="17" t="inlineStr">
        <is>
          <t>미확인</t>
        </is>
      </c>
      <c r="G1314" s="17" t="inlineStr">
        <is>
          <t>웹조사 자동화 실패(세션한도)</t>
        </is>
      </c>
      <c r="H1314" s="17" t="inlineStr">
        <is>
          <t>N</t>
        </is>
      </c>
      <c r="I1314" s="17" t="inlineStr">
        <is>
          <t>언론·지자체 발표</t>
        </is>
      </c>
      <c r="J1314" s="17" t="inlineStr">
        <is>
          <t>언론·지자체 발표에서 확인</t>
        </is>
      </c>
      <c r="K1314" s="17" t="inlineStr">
        <is>
          <t>낮음</t>
        </is>
      </c>
      <c r="L1314" s="17" t="inlineStr"/>
    </row>
    <row r="1315">
      <c r="A1315" s="17" t="inlineStr">
        <is>
          <t>C211</t>
        </is>
      </c>
      <c r="B1315" s="17" t="inlineStr"/>
      <c r="C1315" s="17" t="inlineStr">
        <is>
          <t>(주)천일가스</t>
        </is>
      </c>
      <c r="D1315" s="17" t="inlineStr"/>
      <c r="E1315" s="17" t="inlineStr">
        <is>
          <t>최근매출(억원)</t>
        </is>
      </c>
      <c r="F1315" s="17" t="inlineStr">
        <is>
          <t>미확인</t>
        </is>
      </c>
      <c r="G1315" s="17" t="inlineStr">
        <is>
          <t>웹조사 자동화 실패(세션한도)</t>
        </is>
      </c>
      <c r="H1315" s="17" t="inlineStr">
        <is>
          <t>N</t>
        </is>
      </c>
      <c r="I1315" s="17" t="inlineStr">
        <is>
          <t>DART 사업보고서</t>
        </is>
      </c>
      <c r="J1315" s="17" t="inlineStr">
        <is>
          <t>DART 사업보고서에서 확인</t>
        </is>
      </c>
      <c r="K1315" s="17" t="inlineStr">
        <is>
          <t>낮음</t>
        </is>
      </c>
      <c r="L1315" s="17" t="inlineStr"/>
    </row>
    <row r="1316">
      <c r="A1316" s="17" t="inlineStr">
        <is>
          <t>C211</t>
        </is>
      </c>
      <c r="B1316" s="17" t="inlineStr"/>
      <c r="C1316" s="17" t="inlineStr">
        <is>
          <t>(주)천일가스</t>
        </is>
      </c>
      <c r="D1316" s="17" t="inlineStr"/>
      <c r="E1316" s="17" t="inlineStr">
        <is>
          <t>종업원수</t>
        </is>
      </c>
      <c r="F1316" s="17" t="inlineStr">
        <is>
          <t>미확인</t>
        </is>
      </c>
      <c r="G1316" s="17" t="inlineStr">
        <is>
          <t>웹조사 자동화 실패(세션한도)</t>
        </is>
      </c>
      <c r="H1316" s="17" t="inlineStr">
        <is>
          <t>N</t>
        </is>
      </c>
      <c r="I1316" s="17" t="inlineStr">
        <is>
          <t>DART/채용</t>
        </is>
      </c>
      <c r="J1316" s="17" t="inlineStr">
        <is>
          <t>DART/채용에서 확인</t>
        </is>
      </c>
      <c r="K1316" s="17" t="inlineStr">
        <is>
          <t>낮음</t>
        </is>
      </c>
      <c r="L1316" s="17" t="inlineStr"/>
    </row>
    <row r="1317">
      <c r="A1317" s="17" t="inlineStr">
        <is>
          <t>C211</t>
        </is>
      </c>
      <c r="B1317" s="17" t="inlineStr"/>
      <c r="C1317" s="17" t="inlineStr">
        <is>
          <t>(주)천일가스</t>
        </is>
      </c>
      <c r="D1317" s="17" t="inlineStr"/>
      <c r="E1317" s="17" t="inlineStr">
        <is>
          <t>수출여부</t>
        </is>
      </c>
      <c r="F1317" s="17" t="inlineStr">
        <is>
          <t>미확인</t>
        </is>
      </c>
      <c r="G1317" s="17" t="inlineStr">
        <is>
          <t>웹조사 자동화 실패(세션한도)</t>
        </is>
      </c>
      <c r="H1317" s="17" t="inlineStr">
        <is>
          <t>N</t>
        </is>
      </c>
      <c r="I1317" s="17" t="inlineStr">
        <is>
          <t>회사 공시·홈페이지</t>
        </is>
      </c>
      <c r="J1317" s="17" t="inlineStr">
        <is>
          <t>회사 공시·홈페이지에서 확인</t>
        </is>
      </c>
      <c r="K1317" s="17" t="inlineStr">
        <is>
          <t>낮음</t>
        </is>
      </c>
      <c r="L1317" s="17" t="inlineStr"/>
    </row>
    <row r="1318">
      <c r="A1318" s="17" t="inlineStr">
        <is>
          <t>C211</t>
        </is>
      </c>
      <c r="B1318" s="17" t="inlineStr"/>
      <c r="C1318" s="17" t="inlineStr">
        <is>
          <t>(주)천일가스</t>
        </is>
      </c>
      <c r="D1318" s="17" t="inlineStr"/>
      <c r="E1318" s="17" t="inlineStr">
        <is>
          <t>FDA·EMA 실사</t>
        </is>
      </c>
      <c r="F1318" s="17" t="inlineStr">
        <is>
          <t>미확인</t>
        </is>
      </c>
      <c r="G1318" s="17" t="inlineStr">
        <is>
          <t>웹조사 자동화 실패(세션한도)</t>
        </is>
      </c>
      <c r="H1318" s="17" t="inlineStr">
        <is>
          <t>N</t>
        </is>
      </c>
      <c r="I1318" s="17" t="inlineStr">
        <is>
          <t>FDA Inspection DB</t>
        </is>
      </c>
      <c r="J1318" s="17" t="inlineStr">
        <is>
          <t>FDA Inspection DB에서 확인</t>
        </is>
      </c>
      <c r="K1318" s="17" t="inlineStr">
        <is>
          <t>낮음</t>
        </is>
      </c>
      <c r="L1318" s="17" t="inlineStr"/>
    </row>
    <row r="1319">
      <c r="A1319" s="17" t="inlineStr">
        <is>
          <t>C211</t>
        </is>
      </c>
      <c r="B1319" s="17" t="inlineStr"/>
      <c r="C1319" s="17" t="inlineStr">
        <is>
          <t>(주)천일가스</t>
        </is>
      </c>
      <c r="D1319" s="17" t="inlineStr"/>
      <c r="E1319" s="17" t="inlineStr">
        <is>
          <t>CMO·CDMO</t>
        </is>
      </c>
      <c r="F1319" s="17" t="inlineStr">
        <is>
          <t>미확인</t>
        </is>
      </c>
      <c r="G1319" s="17" t="inlineStr">
        <is>
          <t>웹조사 자동화 실패(세션한도)</t>
        </is>
      </c>
      <c r="H1319" s="17" t="inlineStr">
        <is>
          <t>N</t>
        </is>
      </c>
      <c r="I1319" s="17" t="inlineStr">
        <is>
          <t>회사 홈페이지</t>
        </is>
      </c>
      <c r="J1319" s="17" t="inlineStr">
        <is>
          <t>회사 홈페이지에서 확인</t>
        </is>
      </c>
      <c r="K1319" s="17" t="inlineStr">
        <is>
          <t>낮음</t>
        </is>
      </c>
      <c r="L1319" s="17" t="inlineStr"/>
    </row>
    <row r="1320">
      <c r="A1320" s="17" t="inlineStr">
        <is>
          <t>C211</t>
        </is>
      </c>
      <c r="B1320" s="17" t="inlineStr"/>
      <c r="C1320" s="17" t="inlineStr">
        <is>
          <t>(주)천일가스</t>
        </is>
      </c>
      <c r="D1320" s="17" t="inlineStr"/>
      <c r="E1320" s="17" t="inlineStr">
        <is>
          <t>신공장·증설</t>
        </is>
      </c>
      <c r="F1320" s="17" t="inlineStr">
        <is>
          <t>미확인</t>
        </is>
      </c>
      <c r="G1320" s="17" t="inlineStr">
        <is>
          <t>웹조사 자동화 실패(세션한도)</t>
        </is>
      </c>
      <c r="H1320" s="17" t="inlineStr">
        <is>
          <t>N</t>
        </is>
      </c>
      <c r="I1320" s="17" t="inlineStr">
        <is>
          <t>언론·지자체 발표</t>
        </is>
      </c>
      <c r="J1320" s="17" t="inlineStr">
        <is>
          <t>언론·지자체 발표에서 확인</t>
        </is>
      </c>
      <c r="K1320" s="17" t="inlineStr">
        <is>
          <t>낮음</t>
        </is>
      </c>
      <c r="L1320" s="17" t="inlineStr"/>
    </row>
    <row r="1321">
      <c r="A1321" s="17" t="inlineStr">
        <is>
          <t>C212</t>
        </is>
      </c>
      <c r="B1321" s="17" t="inlineStr"/>
      <c r="C1321" s="17" t="inlineStr">
        <is>
          <t>한국수소(주)</t>
        </is>
      </c>
      <c r="D1321" s="17" t="inlineStr"/>
      <c r="E1321" s="17" t="inlineStr">
        <is>
          <t>최근매출(억원)</t>
        </is>
      </c>
      <c r="F1321" s="17" t="inlineStr">
        <is>
          <t>미확인</t>
        </is>
      </c>
      <c r="G1321" s="17" t="inlineStr">
        <is>
          <t>웹조사 자동화 실패(세션한도)</t>
        </is>
      </c>
      <c r="H1321" s="17" t="inlineStr">
        <is>
          <t>N</t>
        </is>
      </c>
      <c r="I1321" s="17" t="inlineStr">
        <is>
          <t>DART 사업보고서</t>
        </is>
      </c>
      <c r="J1321" s="17" t="inlineStr">
        <is>
          <t>DART 사업보고서에서 확인</t>
        </is>
      </c>
      <c r="K1321" s="17" t="inlineStr">
        <is>
          <t>낮음</t>
        </is>
      </c>
      <c r="L1321" s="17" t="inlineStr"/>
    </row>
    <row r="1322">
      <c r="A1322" s="17" t="inlineStr">
        <is>
          <t>C212</t>
        </is>
      </c>
      <c r="B1322" s="17" t="inlineStr"/>
      <c r="C1322" s="17" t="inlineStr">
        <is>
          <t>한국수소(주)</t>
        </is>
      </c>
      <c r="D1322" s="17" t="inlineStr"/>
      <c r="E1322" s="17" t="inlineStr">
        <is>
          <t>종업원수</t>
        </is>
      </c>
      <c r="F1322" s="17" t="inlineStr">
        <is>
          <t>미확인</t>
        </is>
      </c>
      <c r="G1322" s="17" t="inlineStr">
        <is>
          <t>웹조사 자동화 실패(세션한도)</t>
        </is>
      </c>
      <c r="H1322" s="17" t="inlineStr">
        <is>
          <t>N</t>
        </is>
      </c>
      <c r="I1322" s="17" t="inlineStr">
        <is>
          <t>DART/채용</t>
        </is>
      </c>
      <c r="J1322" s="17" t="inlineStr">
        <is>
          <t>DART/채용에서 확인</t>
        </is>
      </c>
      <c r="K1322" s="17" t="inlineStr">
        <is>
          <t>낮음</t>
        </is>
      </c>
      <c r="L1322" s="17" t="inlineStr"/>
    </row>
    <row r="1323">
      <c r="A1323" s="17" t="inlineStr">
        <is>
          <t>C212</t>
        </is>
      </c>
      <c r="B1323" s="17" t="inlineStr"/>
      <c r="C1323" s="17" t="inlineStr">
        <is>
          <t>한국수소(주)</t>
        </is>
      </c>
      <c r="D1323" s="17" t="inlineStr"/>
      <c r="E1323" s="17" t="inlineStr">
        <is>
          <t>수출여부</t>
        </is>
      </c>
      <c r="F1323" s="17" t="inlineStr">
        <is>
          <t>미확인</t>
        </is>
      </c>
      <c r="G1323" s="17" t="inlineStr">
        <is>
          <t>웹조사 자동화 실패(세션한도)</t>
        </is>
      </c>
      <c r="H1323" s="17" t="inlineStr">
        <is>
          <t>N</t>
        </is>
      </c>
      <c r="I1323" s="17" t="inlineStr">
        <is>
          <t>회사 공시·홈페이지</t>
        </is>
      </c>
      <c r="J1323" s="17" t="inlineStr">
        <is>
          <t>회사 공시·홈페이지에서 확인</t>
        </is>
      </c>
      <c r="K1323" s="17" t="inlineStr">
        <is>
          <t>낮음</t>
        </is>
      </c>
      <c r="L1323" s="17" t="inlineStr"/>
    </row>
    <row r="1324">
      <c r="A1324" s="17" t="inlineStr">
        <is>
          <t>C212</t>
        </is>
      </c>
      <c r="B1324" s="17" t="inlineStr"/>
      <c r="C1324" s="17" t="inlineStr">
        <is>
          <t>한국수소(주)</t>
        </is>
      </c>
      <c r="D1324" s="17" t="inlineStr"/>
      <c r="E1324" s="17" t="inlineStr">
        <is>
          <t>FDA·EMA 실사</t>
        </is>
      </c>
      <c r="F1324" s="17" t="inlineStr">
        <is>
          <t>미확인</t>
        </is>
      </c>
      <c r="G1324" s="17" t="inlineStr">
        <is>
          <t>웹조사 자동화 실패(세션한도)</t>
        </is>
      </c>
      <c r="H1324" s="17" t="inlineStr">
        <is>
          <t>N</t>
        </is>
      </c>
      <c r="I1324" s="17" t="inlineStr">
        <is>
          <t>FDA Inspection DB</t>
        </is>
      </c>
      <c r="J1324" s="17" t="inlineStr">
        <is>
          <t>FDA Inspection DB에서 확인</t>
        </is>
      </c>
      <c r="K1324" s="17" t="inlineStr">
        <is>
          <t>낮음</t>
        </is>
      </c>
      <c r="L1324" s="17" t="inlineStr"/>
    </row>
    <row r="1325">
      <c r="A1325" s="17" t="inlineStr">
        <is>
          <t>C212</t>
        </is>
      </c>
      <c r="B1325" s="17" t="inlineStr"/>
      <c r="C1325" s="17" t="inlineStr">
        <is>
          <t>한국수소(주)</t>
        </is>
      </c>
      <c r="D1325" s="17" t="inlineStr"/>
      <c r="E1325" s="17" t="inlineStr">
        <is>
          <t>CMO·CDMO</t>
        </is>
      </c>
      <c r="F1325" s="17" t="inlineStr">
        <is>
          <t>미확인</t>
        </is>
      </c>
      <c r="G1325" s="17" t="inlineStr">
        <is>
          <t>웹조사 자동화 실패(세션한도)</t>
        </is>
      </c>
      <c r="H1325" s="17" t="inlineStr">
        <is>
          <t>N</t>
        </is>
      </c>
      <c r="I1325" s="17" t="inlineStr">
        <is>
          <t>회사 홈페이지</t>
        </is>
      </c>
      <c r="J1325" s="17" t="inlineStr">
        <is>
          <t>회사 홈페이지에서 확인</t>
        </is>
      </c>
      <c r="K1325" s="17" t="inlineStr">
        <is>
          <t>낮음</t>
        </is>
      </c>
      <c r="L1325" s="17" t="inlineStr"/>
    </row>
    <row r="1326">
      <c r="A1326" s="17" t="inlineStr">
        <is>
          <t>C212</t>
        </is>
      </c>
      <c r="B1326" s="17" t="inlineStr"/>
      <c r="C1326" s="17" t="inlineStr">
        <is>
          <t>한국수소(주)</t>
        </is>
      </c>
      <c r="D1326" s="17" t="inlineStr"/>
      <c r="E1326" s="17" t="inlineStr">
        <is>
          <t>신공장·증설</t>
        </is>
      </c>
      <c r="F1326" s="17" t="inlineStr">
        <is>
          <t>미확인</t>
        </is>
      </c>
      <c r="G1326" s="17" t="inlineStr">
        <is>
          <t>웹조사 자동화 실패(세션한도)</t>
        </is>
      </c>
      <c r="H1326" s="17" t="inlineStr">
        <is>
          <t>N</t>
        </is>
      </c>
      <c r="I1326" s="17" t="inlineStr">
        <is>
          <t>언론·지자체 발표</t>
        </is>
      </c>
      <c r="J1326" s="17" t="inlineStr">
        <is>
          <t>언론·지자체 발표에서 확인</t>
        </is>
      </c>
      <c r="K1326" s="17" t="inlineStr">
        <is>
          <t>낮음</t>
        </is>
      </c>
      <c r="L1326" s="17" t="inlineStr"/>
    </row>
    <row r="1327">
      <c r="A1327" s="17" t="inlineStr">
        <is>
          <t>C213</t>
        </is>
      </c>
      <c r="B1327" s="17" t="inlineStr"/>
      <c r="C1327" s="17" t="inlineStr">
        <is>
          <t>명인제약(주)</t>
        </is>
      </c>
      <c r="D1327" s="17" t="inlineStr"/>
      <c r="E1327" s="17" t="inlineStr">
        <is>
          <t>최근매출(억원)</t>
        </is>
      </c>
      <c r="F1327" s="17" t="inlineStr">
        <is>
          <t>미확인</t>
        </is>
      </c>
      <c r="G1327" s="17" t="inlineStr">
        <is>
          <t>웹조사 자동화 실패(세션한도)</t>
        </is>
      </c>
      <c r="H1327" s="17" t="inlineStr">
        <is>
          <t>N</t>
        </is>
      </c>
      <c r="I1327" s="17" t="inlineStr">
        <is>
          <t>DART 사업보고서</t>
        </is>
      </c>
      <c r="J1327" s="17" t="inlineStr">
        <is>
          <t>DART 사업보고서에서 확인</t>
        </is>
      </c>
      <c r="K1327" s="17" t="inlineStr">
        <is>
          <t>낮음</t>
        </is>
      </c>
      <c r="L1327" s="17" t="inlineStr"/>
    </row>
    <row r="1328">
      <c r="A1328" s="17" t="inlineStr">
        <is>
          <t>C213</t>
        </is>
      </c>
      <c r="B1328" s="17" t="inlineStr"/>
      <c r="C1328" s="17" t="inlineStr">
        <is>
          <t>명인제약(주)</t>
        </is>
      </c>
      <c r="D1328" s="17" t="inlineStr"/>
      <c r="E1328" s="17" t="inlineStr">
        <is>
          <t>종업원수</t>
        </is>
      </c>
      <c r="F1328" s="17" t="inlineStr">
        <is>
          <t>미확인</t>
        </is>
      </c>
      <c r="G1328" s="17" t="inlineStr">
        <is>
          <t>웹조사 자동화 실패(세션한도)</t>
        </is>
      </c>
      <c r="H1328" s="17" t="inlineStr">
        <is>
          <t>N</t>
        </is>
      </c>
      <c r="I1328" s="17" t="inlineStr">
        <is>
          <t>DART/채용</t>
        </is>
      </c>
      <c r="J1328" s="17" t="inlineStr">
        <is>
          <t>DART/채용에서 확인</t>
        </is>
      </c>
      <c r="K1328" s="17" t="inlineStr">
        <is>
          <t>낮음</t>
        </is>
      </c>
      <c r="L1328" s="17" t="inlineStr"/>
    </row>
    <row r="1329">
      <c r="A1329" s="17" t="inlineStr">
        <is>
          <t>C213</t>
        </is>
      </c>
      <c r="B1329" s="17" t="inlineStr"/>
      <c r="C1329" s="17" t="inlineStr">
        <is>
          <t>명인제약(주)</t>
        </is>
      </c>
      <c r="D1329" s="17" t="inlineStr"/>
      <c r="E1329" s="17" t="inlineStr">
        <is>
          <t>수출여부</t>
        </is>
      </c>
      <c r="F1329" s="17" t="inlineStr">
        <is>
          <t>미확인</t>
        </is>
      </c>
      <c r="G1329" s="17" t="inlineStr">
        <is>
          <t>웹조사 자동화 실패(세션한도)</t>
        </is>
      </c>
      <c r="H1329" s="17" t="inlineStr">
        <is>
          <t>N</t>
        </is>
      </c>
      <c r="I1329" s="17" t="inlineStr">
        <is>
          <t>회사 공시·홈페이지</t>
        </is>
      </c>
      <c r="J1329" s="17" t="inlineStr">
        <is>
          <t>회사 공시·홈페이지에서 확인</t>
        </is>
      </c>
      <c r="K1329" s="17" t="inlineStr">
        <is>
          <t>낮음</t>
        </is>
      </c>
      <c r="L1329" s="17" t="inlineStr"/>
    </row>
    <row r="1330">
      <c r="A1330" s="17" t="inlineStr">
        <is>
          <t>C213</t>
        </is>
      </c>
      <c r="B1330" s="17" t="inlineStr"/>
      <c r="C1330" s="17" t="inlineStr">
        <is>
          <t>명인제약(주)</t>
        </is>
      </c>
      <c r="D1330" s="17" t="inlineStr"/>
      <c r="E1330" s="17" t="inlineStr">
        <is>
          <t>FDA·EMA 실사</t>
        </is>
      </c>
      <c r="F1330" s="17" t="inlineStr">
        <is>
          <t>미확인</t>
        </is>
      </c>
      <c r="G1330" s="17" t="inlineStr">
        <is>
          <t>웹조사 자동화 실패(세션한도)</t>
        </is>
      </c>
      <c r="H1330" s="17" t="inlineStr">
        <is>
          <t>N</t>
        </is>
      </c>
      <c r="I1330" s="17" t="inlineStr">
        <is>
          <t>FDA Inspection DB</t>
        </is>
      </c>
      <c r="J1330" s="17" t="inlineStr">
        <is>
          <t>FDA Inspection DB에서 확인</t>
        </is>
      </c>
      <c r="K1330" s="17" t="inlineStr">
        <is>
          <t>낮음</t>
        </is>
      </c>
      <c r="L1330" s="17" t="inlineStr"/>
    </row>
    <row r="1331">
      <c r="A1331" s="17" t="inlineStr">
        <is>
          <t>C213</t>
        </is>
      </c>
      <c r="B1331" s="17" t="inlineStr"/>
      <c r="C1331" s="17" t="inlineStr">
        <is>
          <t>명인제약(주)</t>
        </is>
      </c>
      <c r="D1331" s="17" t="inlineStr"/>
      <c r="E1331" s="17" t="inlineStr">
        <is>
          <t>CMO·CDMO</t>
        </is>
      </c>
      <c r="F1331" s="17" t="inlineStr">
        <is>
          <t>미확인</t>
        </is>
      </c>
      <c r="G1331" s="17" t="inlineStr">
        <is>
          <t>웹조사 자동화 실패(세션한도)</t>
        </is>
      </c>
      <c r="H1331" s="17" t="inlineStr">
        <is>
          <t>N</t>
        </is>
      </c>
      <c r="I1331" s="17" t="inlineStr">
        <is>
          <t>회사 홈페이지</t>
        </is>
      </c>
      <c r="J1331" s="17" t="inlineStr">
        <is>
          <t>회사 홈페이지에서 확인</t>
        </is>
      </c>
      <c r="K1331" s="17" t="inlineStr">
        <is>
          <t>낮음</t>
        </is>
      </c>
      <c r="L1331" s="17" t="inlineStr"/>
    </row>
    <row r="1332">
      <c r="A1332" s="17" t="inlineStr">
        <is>
          <t>C213</t>
        </is>
      </c>
      <c r="B1332" s="17" t="inlineStr"/>
      <c r="C1332" s="17" t="inlineStr">
        <is>
          <t>명인제약(주)</t>
        </is>
      </c>
      <c r="D1332" s="17" t="inlineStr"/>
      <c r="E1332" s="17" t="inlineStr">
        <is>
          <t>신공장·증설</t>
        </is>
      </c>
      <c r="F1332" s="17" t="inlineStr">
        <is>
          <t>미확인</t>
        </is>
      </c>
      <c r="G1332" s="17" t="inlineStr">
        <is>
          <t>웹조사 자동화 실패(세션한도)</t>
        </is>
      </c>
      <c r="H1332" s="17" t="inlineStr">
        <is>
          <t>N</t>
        </is>
      </c>
      <c r="I1332" s="17" t="inlineStr">
        <is>
          <t>언론·지자체 발표</t>
        </is>
      </c>
      <c r="J1332" s="17" t="inlineStr">
        <is>
          <t>언론·지자체 발표에서 확인</t>
        </is>
      </c>
      <c r="K1332" s="17" t="inlineStr">
        <is>
          <t>낮음</t>
        </is>
      </c>
      <c r="L1332" s="17" t="inlineStr"/>
    </row>
    <row r="1333">
      <c r="A1333" s="17" t="inlineStr">
        <is>
          <t>C214</t>
        </is>
      </c>
      <c r="B1333" s="17" t="inlineStr"/>
      <c r="C1333" s="17" t="inlineStr">
        <is>
          <t>제이투에이치바이오텍(주)</t>
        </is>
      </c>
      <c r="D1333" s="17" t="inlineStr"/>
      <c r="E1333" s="17" t="inlineStr">
        <is>
          <t>최근매출(억원)</t>
        </is>
      </c>
      <c r="F1333" s="17" t="inlineStr">
        <is>
          <t>미확인</t>
        </is>
      </c>
      <c r="G1333" s="17" t="inlineStr">
        <is>
          <t>웹조사 자동화 실패(세션한도)</t>
        </is>
      </c>
      <c r="H1333" s="17" t="inlineStr">
        <is>
          <t>N</t>
        </is>
      </c>
      <c r="I1333" s="17" t="inlineStr">
        <is>
          <t>DART 사업보고서</t>
        </is>
      </c>
      <c r="J1333" s="17" t="inlineStr">
        <is>
          <t>DART 사업보고서에서 확인</t>
        </is>
      </c>
      <c r="K1333" s="17" t="inlineStr">
        <is>
          <t>낮음</t>
        </is>
      </c>
      <c r="L1333" s="17" t="inlineStr"/>
    </row>
    <row r="1334">
      <c r="A1334" s="17" t="inlineStr">
        <is>
          <t>C214</t>
        </is>
      </c>
      <c r="B1334" s="17" t="inlineStr"/>
      <c r="C1334" s="17" t="inlineStr">
        <is>
          <t>제이투에이치바이오텍(주)</t>
        </is>
      </c>
      <c r="D1334" s="17" t="inlineStr"/>
      <c r="E1334" s="17" t="inlineStr">
        <is>
          <t>종업원수</t>
        </is>
      </c>
      <c r="F1334" s="17" t="inlineStr">
        <is>
          <t>미확인</t>
        </is>
      </c>
      <c r="G1334" s="17" t="inlineStr">
        <is>
          <t>웹조사 자동화 실패(세션한도)</t>
        </is>
      </c>
      <c r="H1334" s="17" t="inlineStr">
        <is>
          <t>N</t>
        </is>
      </c>
      <c r="I1334" s="17" t="inlineStr">
        <is>
          <t>DART/채용</t>
        </is>
      </c>
      <c r="J1334" s="17" t="inlineStr">
        <is>
          <t>DART/채용에서 확인</t>
        </is>
      </c>
      <c r="K1334" s="17" t="inlineStr">
        <is>
          <t>낮음</t>
        </is>
      </c>
      <c r="L1334" s="17" t="inlineStr"/>
    </row>
    <row r="1335">
      <c r="A1335" s="17" t="inlineStr">
        <is>
          <t>C214</t>
        </is>
      </c>
      <c r="B1335" s="17" t="inlineStr"/>
      <c r="C1335" s="17" t="inlineStr">
        <is>
          <t>제이투에이치바이오텍(주)</t>
        </is>
      </c>
      <c r="D1335" s="17" t="inlineStr"/>
      <c r="E1335" s="17" t="inlineStr">
        <is>
          <t>수출여부</t>
        </is>
      </c>
      <c r="F1335" s="17" t="inlineStr">
        <is>
          <t>미확인</t>
        </is>
      </c>
      <c r="G1335" s="17" t="inlineStr">
        <is>
          <t>웹조사 자동화 실패(세션한도)</t>
        </is>
      </c>
      <c r="H1335" s="17" t="inlineStr">
        <is>
          <t>N</t>
        </is>
      </c>
      <c r="I1335" s="17" t="inlineStr">
        <is>
          <t>회사 공시·홈페이지</t>
        </is>
      </c>
      <c r="J1335" s="17" t="inlineStr">
        <is>
          <t>회사 공시·홈페이지에서 확인</t>
        </is>
      </c>
      <c r="K1335" s="17" t="inlineStr">
        <is>
          <t>낮음</t>
        </is>
      </c>
      <c r="L1335" s="17" t="inlineStr"/>
    </row>
    <row r="1336">
      <c r="A1336" s="17" t="inlineStr">
        <is>
          <t>C214</t>
        </is>
      </c>
      <c r="B1336" s="17" t="inlineStr"/>
      <c r="C1336" s="17" t="inlineStr">
        <is>
          <t>제이투에이치바이오텍(주)</t>
        </is>
      </c>
      <c r="D1336" s="17" t="inlineStr"/>
      <c r="E1336" s="17" t="inlineStr">
        <is>
          <t>FDA·EMA 실사</t>
        </is>
      </c>
      <c r="F1336" s="17" t="inlineStr">
        <is>
          <t>미확인</t>
        </is>
      </c>
      <c r="G1336" s="17" t="inlineStr">
        <is>
          <t>웹조사 자동화 실패(세션한도)</t>
        </is>
      </c>
      <c r="H1336" s="17" t="inlineStr">
        <is>
          <t>N</t>
        </is>
      </c>
      <c r="I1336" s="17" t="inlineStr">
        <is>
          <t>FDA Inspection DB</t>
        </is>
      </c>
      <c r="J1336" s="17" t="inlineStr">
        <is>
          <t>FDA Inspection DB에서 확인</t>
        </is>
      </c>
      <c r="K1336" s="17" t="inlineStr">
        <is>
          <t>낮음</t>
        </is>
      </c>
      <c r="L1336" s="17" t="inlineStr"/>
    </row>
    <row r="1337">
      <c r="A1337" s="17" t="inlineStr">
        <is>
          <t>C214</t>
        </is>
      </c>
      <c r="B1337" s="17" t="inlineStr"/>
      <c r="C1337" s="17" t="inlineStr">
        <is>
          <t>제이투에이치바이오텍(주)</t>
        </is>
      </c>
      <c r="D1337" s="17" t="inlineStr"/>
      <c r="E1337" s="17" t="inlineStr">
        <is>
          <t>CMO·CDMO</t>
        </is>
      </c>
      <c r="F1337" s="17" t="inlineStr">
        <is>
          <t>미확인</t>
        </is>
      </c>
      <c r="G1337" s="17" t="inlineStr">
        <is>
          <t>웹조사 자동화 실패(세션한도)</t>
        </is>
      </c>
      <c r="H1337" s="17" t="inlineStr">
        <is>
          <t>N</t>
        </is>
      </c>
      <c r="I1337" s="17" t="inlineStr">
        <is>
          <t>회사 홈페이지</t>
        </is>
      </c>
      <c r="J1337" s="17" t="inlineStr">
        <is>
          <t>회사 홈페이지에서 확인</t>
        </is>
      </c>
      <c r="K1337" s="17" t="inlineStr">
        <is>
          <t>낮음</t>
        </is>
      </c>
      <c r="L1337" s="17" t="inlineStr"/>
    </row>
    <row r="1338">
      <c r="A1338" s="17" t="inlineStr">
        <is>
          <t>C214</t>
        </is>
      </c>
      <c r="B1338" s="17" t="inlineStr"/>
      <c r="C1338" s="17" t="inlineStr">
        <is>
          <t>제이투에이치바이오텍(주)</t>
        </is>
      </c>
      <c r="D1338" s="17" t="inlineStr"/>
      <c r="E1338" s="17" t="inlineStr">
        <is>
          <t>신공장·증설</t>
        </is>
      </c>
      <c r="F1338" s="17" t="inlineStr">
        <is>
          <t>미확인</t>
        </is>
      </c>
      <c r="G1338" s="17" t="inlineStr">
        <is>
          <t>웹조사 자동화 실패(세션한도)</t>
        </is>
      </c>
      <c r="H1338" s="17" t="inlineStr">
        <is>
          <t>N</t>
        </is>
      </c>
      <c r="I1338" s="17" t="inlineStr">
        <is>
          <t>언론·지자체 발표</t>
        </is>
      </c>
      <c r="J1338" s="17" t="inlineStr">
        <is>
          <t>언론·지자체 발표에서 확인</t>
        </is>
      </c>
      <c r="K1338" s="17" t="inlineStr">
        <is>
          <t>낮음</t>
        </is>
      </c>
      <c r="L1338" s="17" t="inlineStr"/>
    </row>
    <row r="1339">
      <c r="A1339" s="17" t="inlineStr">
        <is>
          <t>C214</t>
        </is>
      </c>
      <c r="B1339" s="17" t="inlineStr"/>
      <c r="C1339" s="17" t="inlineStr">
        <is>
          <t>제이투에이치바이오텍(주)</t>
        </is>
      </c>
      <c r="D1339" s="17" t="inlineStr"/>
      <c r="E1339" s="17" t="inlineStr">
        <is>
          <t>대표전화</t>
        </is>
      </c>
      <c r="F1339" s="17" t="inlineStr">
        <is>
          <t>미확인</t>
        </is>
      </c>
      <c r="G1339" s="17" t="inlineStr">
        <is>
          <t>제조소상세 미매칭</t>
        </is>
      </c>
      <c r="H1339" s="17" t="inlineStr">
        <is>
          <t>Y</t>
        </is>
      </c>
      <c r="I1339" s="17" t="inlineStr">
        <is>
          <t>회사 홈페이지</t>
        </is>
      </c>
      <c r="J1339" s="17" t="inlineStr">
        <is>
          <t>홈페이지에서 대표번호 확인</t>
        </is>
      </c>
      <c r="K1339" s="17" t="inlineStr">
        <is>
          <t>낮음</t>
        </is>
      </c>
      <c r="L1339" s="17" t="inlineStr"/>
    </row>
    <row r="1340">
      <c r="A1340" s="17" t="inlineStr">
        <is>
          <t>C215</t>
        </is>
      </c>
      <c r="B1340" s="17" t="inlineStr"/>
      <c r="C1340" s="17" t="inlineStr">
        <is>
          <t>삼진제약(주)</t>
        </is>
      </c>
      <c r="D1340" s="17" t="inlineStr"/>
      <c r="E1340" s="17" t="inlineStr">
        <is>
          <t>최근매출(억원)</t>
        </is>
      </c>
      <c r="F1340" s="17" t="inlineStr">
        <is>
          <t>미확인</t>
        </is>
      </c>
      <c r="G1340" s="17" t="inlineStr">
        <is>
          <t>웹조사 자동화 실패(세션한도)</t>
        </is>
      </c>
      <c r="H1340" s="17" t="inlineStr">
        <is>
          <t>N</t>
        </is>
      </c>
      <c r="I1340" s="17" t="inlineStr">
        <is>
          <t>DART 사업보고서</t>
        </is>
      </c>
      <c r="J1340" s="17" t="inlineStr">
        <is>
          <t>DART 사업보고서에서 확인</t>
        </is>
      </c>
      <c r="K1340" s="17" t="inlineStr">
        <is>
          <t>낮음</t>
        </is>
      </c>
      <c r="L1340" s="17" t="inlineStr"/>
    </row>
    <row r="1341">
      <c r="A1341" s="17" t="inlineStr">
        <is>
          <t>C215</t>
        </is>
      </c>
      <c r="B1341" s="17" t="inlineStr"/>
      <c r="C1341" s="17" t="inlineStr">
        <is>
          <t>삼진제약(주)</t>
        </is>
      </c>
      <c r="D1341" s="17" t="inlineStr"/>
      <c r="E1341" s="17" t="inlineStr">
        <is>
          <t>종업원수</t>
        </is>
      </c>
      <c r="F1341" s="17" t="inlineStr">
        <is>
          <t>미확인</t>
        </is>
      </c>
      <c r="G1341" s="17" t="inlineStr">
        <is>
          <t>웹조사 자동화 실패(세션한도)</t>
        </is>
      </c>
      <c r="H1341" s="17" t="inlineStr">
        <is>
          <t>N</t>
        </is>
      </c>
      <c r="I1341" s="17" t="inlineStr">
        <is>
          <t>DART/채용</t>
        </is>
      </c>
      <c r="J1341" s="17" t="inlineStr">
        <is>
          <t>DART/채용에서 확인</t>
        </is>
      </c>
      <c r="K1341" s="17" t="inlineStr">
        <is>
          <t>낮음</t>
        </is>
      </c>
      <c r="L1341" s="17" t="inlineStr"/>
    </row>
    <row r="1342">
      <c r="A1342" s="17" t="inlineStr">
        <is>
          <t>C215</t>
        </is>
      </c>
      <c r="B1342" s="17" t="inlineStr"/>
      <c r="C1342" s="17" t="inlineStr">
        <is>
          <t>삼진제약(주)</t>
        </is>
      </c>
      <c r="D1342" s="17" t="inlineStr"/>
      <c r="E1342" s="17" t="inlineStr">
        <is>
          <t>수출여부</t>
        </is>
      </c>
      <c r="F1342" s="17" t="inlineStr">
        <is>
          <t>미확인</t>
        </is>
      </c>
      <c r="G1342" s="17" t="inlineStr">
        <is>
          <t>웹조사 자동화 실패(세션한도)</t>
        </is>
      </c>
      <c r="H1342" s="17" t="inlineStr">
        <is>
          <t>N</t>
        </is>
      </c>
      <c r="I1342" s="17" t="inlineStr">
        <is>
          <t>회사 공시·홈페이지</t>
        </is>
      </c>
      <c r="J1342" s="17" t="inlineStr">
        <is>
          <t>회사 공시·홈페이지에서 확인</t>
        </is>
      </c>
      <c r="K1342" s="17" t="inlineStr">
        <is>
          <t>낮음</t>
        </is>
      </c>
      <c r="L1342" s="17" t="inlineStr"/>
    </row>
    <row r="1343">
      <c r="A1343" s="17" t="inlineStr">
        <is>
          <t>C215</t>
        </is>
      </c>
      <c r="B1343" s="17" t="inlineStr"/>
      <c r="C1343" s="17" t="inlineStr">
        <is>
          <t>삼진제약(주)</t>
        </is>
      </c>
      <c r="D1343" s="17" t="inlineStr"/>
      <c r="E1343" s="17" t="inlineStr">
        <is>
          <t>FDA·EMA 실사</t>
        </is>
      </c>
      <c r="F1343" s="17" t="inlineStr">
        <is>
          <t>미확인</t>
        </is>
      </c>
      <c r="G1343" s="17" t="inlineStr">
        <is>
          <t>웹조사 자동화 실패(세션한도)</t>
        </is>
      </c>
      <c r="H1343" s="17" t="inlineStr">
        <is>
          <t>N</t>
        </is>
      </c>
      <c r="I1343" s="17" t="inlineStr">
        <is>
          <t>FDA Inspection DB</t>
        </is>
      </c>
      <c r="J1343" s="17" t="inlineStr">
        <is>
          <t>FDA Inspection DB에서 확인</t>
        </is>
      </c>
      <c r="K1343" s="17" t="inlineStr">
        <is>
          <t>낮음</t>
        </is>
      </c>
      <c r="L1343" s="17" t="inlineStr"/>
    </row>
    <row r="1344">
      <c r="A1344" s="17" t="inlineStr">
        <is>
          <t>C215</t>
        </is>
      </c>
      <c r="B1344" s="17" t="inlineStr"/>
      <c r="C1344" s="17" t="inlineStr">
        <is>
          <t>삼진제약(주)</t>
        </is>
      </c>
      <c r="D1344" s="17" t="inlineStr"/>
      <c r="E1344" s="17" t="inlineStr">
        <is>
          <t>CMO·CDMO</t>
        </is>
      </c>
      <c r="F1344" s="17" t="inlineStr">
        <is>
          <t>미확인</t>
        </is>
      </c>
      <c r="G1344" s="17" t="inlineStr">
        <is>
          <t>웹조사 자동화 실패(세션한도)</t>
        </is>
      </c>
      <c r="H1344" s="17" t="inlineStr">
        <is>
          <t>N</t>
        </is>
      </c>
      <c r="I1344" s="17" t="inlineStr">
        <is>
          <t>회사 홈페이지</t>
        </is>
      </c>
      <c r="J1344" s="17" t="inlineStr">
        <is>
          <t>회사 홈페이지에서 확인</t>
        </is>
      </c>
      <c r="K1344" s="17" t="inlineStr">
        <is>
          <t>낮음</t>
        </is>
      </c>
      <c r="L1344" s="17" t="inlineStr"/>
    </row>
    <row r="1345">
      <c r="A1345" s="17" t="inlineStr">
        <is>
          <t>C215</t>
        </is>
      </c>
      <c r="B1345" s="17" t="inlineStr"/>
      <c r="C1345" s="17" t="inlineStr">
        <is>
          <t>삼진제약(주)</t>
        </is>
      </c>
      <c r="D1345" s="17" t="inlineStr"/>
      <c r="E1345" s="17" t="inlineStr">
        <is>
          <t>신공장·증설</t>
        </is>
      </c>
      <c r="F1345" s="17" t="inlineStr">
        <is>
          <t>미확인</t>
        </is>
      </c>
      <c r="G1345" s="17" t="inlineStr">
        <is>
          <t>웹조사 자동화 실패(세션한도)</t>
        </is>
      </c>
      <c r="H1345" s="17" t="inlineStr">
        <is>
          <t>N</t>
        </is>
      </c>
      <c r="I1345" s="17" t="inlineStr">
        <is>
          <t>언론·지자체 발표</t>
        </is>
      </c>
      <c r="J1345" s="17" t="inlineStr">
        <is>
          <t>언론·지자체 발표에서 확인</t>
        </is>
      </c>
      <c r="K1345" s="17" t="inlineStr">
        <is>
          <t>낮음</t>
        </is>
      </c>
      <c r="L1345" s="17" t="inlineStr"/>
    </row>
    <row r="1346">
      <c r="A1346" s="17" t="inlineStr">
        <is>
          <t>C216</t>
        </is>
      </c>
      <c r="B1346" s="17" t="inlineStr"/>
      <c r="C1346" s="17" t="inlineStr">
        <is>
          <t>(주)바이넥스</t>
        </is>
      </c>
      <c r="D1346" s="17" t="inlineStr"/>
      <c r="E1346" s="17" t="inlineStr">
        <is>
          <t>최근매출(억원)</t>
        </is>
      </c>
      <c r="F1346" s="17" t="inlineStr">
        <is>
          <t>미확인</t>
        </is>
      </c>
      <c r="G1346" s="17" t="inlineStr">
        <is>
          <t>웹조사 자동화 실패(세션한도)</t>
        </is>
      </c>
      <c r="H1346" s="17" t="inlineStr">
        <is>
          <t>N</t>
        </is>
      </c>
      <c r="I1346" s="17" t="inlineStr">
        <is>
          <t>DART 사업보고서</t>
        </is>
      </c>
      <c r="J1346" s="17" t="inlineStr">
        <is>
          <t>DART 사업보고서에서 확인</t>
        </is>
      </c>
      <c r="K1346" s="17" t="inlineStr">
        <is>
          <t>낮음</t>
        </is>
      </c>
      <c r="L1346" s="17" t="inlineStr"/>
    </row>
    <row r="1347">
      <c r="A1347" s="17" t="inlineStr">
        <is>
          <t>C216</t>
        </is>
      </c>
      <c r="B1347" s="17" t="inlineStr"/>
      <c r="C1347" s="17" t="inlineStr">
        <is>
          <t>(주)바이넥스</t>
        </is>
      </c>
      <c r="D1347" s="17" t="inlineStr"/>
      <c r="E1347" s="17" t="inlineStr">
        <is>
          <t>종업원수</t>
        </is>
      </c>
      <c r="F1347" s="17" t="inlineStr">
        <is>
          <t>미확인</t>
        </is>
      </c>
      <c r="G1347" s="17" t="inlineStr">
        <is>
          <t>웹조사 자동화 실패(세션한도)</t>
        </is>
      </c>
      <c r="H1347" s="17" t="inlineStr">
        <is>
          <t>N</t>
        </is>
      </c>
      <c r="I1347" s="17" t="inlineStr">
        <is>
          <t>DART/채용</t>
        </is>
      </c>
      <c r="J1347" s="17" t="inlineStr">
        <is>
          <t>DART/채용에서 확인</t>
        </is>
      </c>
      <c r="K1347" s="17" t="inlineStr">
        <is>
          <t>낮음</t>
        </is>
      </c>
      <c r="L1347" s="17" t="inlineStr"/>
    </row>
    <row r="1348">
      <c r="A1348" s="17" t="inlineStr">
        <is>
          <t>C216</t>
        </is>
      </c>
      <c r="B1348" s="17" t="inlineStr"/>
      <c r="C1348" s="17" t="inlineStr">
        <is>
          <t>(주)바이넥스</t>
        </is>
      </c>
      <c r="D1348" s="17" t="inlineStr"/>
      <c r="E1348" s="17" t="inlineStr">
        <is>
          <t>수출여부</t>
        </is>
      </c>
      <c r="F1348" s="17" t="inlineStr">
        <is>
          <t>미확인</t>
        </is>
      </c>
      <c r="G1348" s="17" t="inlineStr">
        <is>
          <t>웹조사 자동화 실패(세션한도)</t>
        </is>
      </c>
      <c r="H1348" s="17" t="inlineStr">
        <is>
          <t>N</t>
        </is>
      </c>
      <c r="I1348" s="17" t="inlineStr">
        <is>
          <t>회사 공시·홈페이지</t>
        </is>
      </c>
      <c r="J1348" s="17" t="inlineStr">
        <is>
          <t>회사 공시·홈페이지에서 확인</t>
        </is>
      </c>
      <c r="K1348" s="17" t="inlineStr">
        <is>
          <t>낮음</t>
        </is>
      </c>
      <c r="L1348" s="17" t="inlineStr"/>
    </row>
    <row r="1349">
      <c r="A1349" s="17" t="inlineStr">
        <is>
          <t>C216</t>
        </is>
      </c>
      <c r="B1349" s="17" t="inlineStr"/>
      <c r="C1349" s="17" t="inlineStr">
        <is>
          <t>(주)바이넥스</t>
        </is>
      </c>
      <c r="D1349" s="17" t="inlineStr"/>
      <c r="E1349" s="17" t="inlineStr">
        <is>
          <t>FDA·EMA 실사</t>
        </is>
      </c>
      <c r="F1349" s="17" t="inlineStr">
        <is>
          <t>미확인</t>
        </is>
      </c>
      <c r="G1349" s="17" t="inlineStr">
        <is>
          <t>웹조사 자동화 실패(세션한도)</t>
        </is>
      </c>
      <c r="H1349" s="17" t="inlineStr">
        <is>
          <t>N</t>
        </is>
      </c>
      <c r="I1349" s="17" t="inlineStr">
        <is>
          <t>FDA Inspection DB</t>
        </is>
      </c>
      <c r="J1349" s="17" t="inlineStr">
        <is>
          <t>FDA Inspection DB에서 확인</t>
        </is>
      </c>
      <c r="K1349" s="17" t="inlineStr">
        <is>
          <t>낮음</t>
        </is>
      </c>
      <c r="L1349" s="17" t="inlineStr"/>
    </row>
    <row r="1350">
      <c r="A1350" s="17" t="inlineStr">
        <is>
          <t>C216</t>
        </is>
      </c>
      <c r="B1350" s="17" t="inlineStr"/>
      <c r="C1350" s="17" t="inlineStr">
        <is>
          <t>(주)바이넥스</t>
        </is>
      </c>
      <c r="D1350" s="17" t="inlineStr"/>
      <c r="E1350" s="17" t="inlineStr">
        <is>
          <t>CMO·CDMO</t>
        </is>
      </c>
      <c r="F1350" s="17" t="inlineStr">
        <is>
          <t>미확인</t>
        </is>
      </c>
      <c r="G1350" s="17" t="inlineStr">
        <is>
          <t>웹조사 자동화 실패(세션한도)</t>
        </is>
      </c>
      <c r="H1350" s="17" t="inlineStr">
        <is>
          <t>N</t>
        </is>
      </c>
      <c r="I1350" s="17" t="inlineStr">
        <is>
          <t>회사 홈페이지</t>
        </is>
      </c>
      <c r="J1350" s="17" t="inlineStr">
        <is>
          <t>회사 홈페이지에서 확인</t>
        </is>
      </c>
      <c r="K1350" s="17" t="inlineStr">
        <is>
          <t>낮음</t>
        </is>
      </c>
      <c r="L1350" s="17" t="inlineStr"/>
    </row>
    <row r="1351">
      <c r="A1351" s="17" t="inlineStr">
        <is>
          <t>C216</t>
        </is>
      </c>
      <c r="B1351" s="17" t="inlineStr"/>
      <c r="C1351" s="17" t="inlineStr">
        <is>
          <t>(주)바이넥스</t>
        </is>
      </c>
      <c r="D1351" s="17" t="inlineStr"/>
      <c r="E1351" s="17" t="inlineStr">
        <is>
          <t>신공장·증설</t>
        </is>
      </c>
      <c r="F1351" s="17" t="inlineStr">
        <is>
          <t>미확인</t>
        </is>
      </c>
      <c r="G1351" s="17" t="inlineStr">
        <is>
          <t>웹조사 자동화 실패(세션한도)</t>
        </is>
      </c>
      <c r="H1351" s="17" t="inlineStr">
        <is>
          <t>N</t>
        </is>
      </c>
      <c r="I1351" s="17" t="inlineStr">
        <is>
          <t>언론·지자체 발표</t>
        </is>
      </c>
      <c r="J1351" s="17" t="inlineStr">
        <is>
          <t>언론·지자체 발표에서 확인</t>
        </is>
      </c>
      <c r="K1351" s="17" t="inlineStr">
        <is>
          <t>낮음</t>
        </is>
      </c>
      <c r="L1351" s="17" t="inlineStr"/>
    </row>
    <row r="1352">
      <c r="A1352" s="17" t="inlineStr">
        <is>
          <t>C217</t>
        </is>
      </c>
      <c r="B1352" s="17" t="inlineStr"/>
      <c r="C1352" s="17" t="inlineStr">
        <is>
          <t>삼전순약공업(주)</t>
        </is>
      </c>
      <c r="D1352" s="17" t="inlineStr"/>
      <c r="E1352" s="17" t="inlineStr">
        <is>
          <t>최근매출(억원)</t>
        </is>
      </c>
      <c r="F1352" s="17" t="inlineStr">
        <is>
          <t>미확인</t>
        </is>
      </c>
      <c r="G1352" s="17" t="inlineStr">
        <is>
          <t>웹조사 자동화 실패(세션한도)</t>
        </is>
      </c>
      <c r="H1352" s="17" t="inlineStr">
        <is>
          <t>N</t>
        </is>
      </c>
      <c r="I1352" s="17" t="inlineStr">
        <is>
          <t>DART 사업보고서</t>
        </is>
      </c>
      <c r="J1352" s="17" t="inlineStr">
        <is>
          <t>DART 사업보고서에서 확인</t>
        </is>
      </c>
      <c r="K1352" s="17" t="inlineStr">
        <is>
          <t>낮음</t>
        </is>
      </c>
      <c r="L1352" s="17" t="inlineStr"/>
    </row>
    <row r="1353">
      <c r="A1353" s="17" t="inlineStr">
        <is>
          <t>C217</t>
        </is>
      </c>
      <c r="B1353" s="17" t="inlineStr"/>
      <c r="C1353" s="17" t="inlineStr">
        <is>
          <t>삼전순약공업(주)</t>
        </is>
      </c>
      <c r="D1353" s="17" t="inlineStr"/>
      <c r="E1353" s="17" t="inlineStr">
        <is>
          <t>종업원수</t>
        </is>
      </c>
      <c r="F1353" s="17" t="inlineStr">
        <is>
          <t>미확인</t>
        </is>
      </c>
      <c r="G1353" s="17" t="inlineStr">
        <is>
          <t>웹조사 자동화 실패(세션한도)</t>
        </is>
      </c>
      <c r="H1353" s="17" t="inlineStr">
        <is>
          <t>N</t>
        </is>
      </c>
      <c r="I1353" s="17" t="inlineStr">
        <is>
          <t>DART/채용</t>
        </is>
      </c>
      <c r="J1353" s="17" t="inlineStr">
        <is>
          <t>DART/채용에서 확인</t>
        </is>
      </c>
      <c r="K1353" s="17" t="inlineStr">
        <is>
          <t>낮음</t>
        </is>
      </c>
      <c r="L1353" s="17" t="inlineStr"/>
    </row>
    <row r="1354">
      <c r="A1354" s="17" t="inlineStr">
        <is>
          <t>C217</t>
        </is>
      </c>
      <c r="B1354" s="17" t="inlineStr"/>
      <c r="C1354" s="17" t="inlineStr">
        <is>
          <t>삼전순약공업(주)</t>
        </is>
      </c>
      <c r="D1354" s="17" t="inlineStr"/>
      <c r="E1354" s="17" t="inlineStr">
        <is>
          <t>수출여부</t>
        </is>
      </c>
      <c r="F1354" s="17" t="inlineStr">
        <is>
          <t>미확인</t>
        </is>
      </c>
      <c r="G1354" s="17" t="inlineStr">
        <is>
          <t>웹조사 자동화 실패(세션한도)</t>
        </is>
      </c>
      <c r="H1354" s="17" t="inlineStr">
        <is>
          <t>N</t>
        </is>
      </c>
      <c r="I1354" s="17" t="inlineStr">
        <is>
          <t>회사 공시·홈페이지</t>
        </is>
      </c>
      <c r="J1354" s="17" t="inlineStr">
        <is>
          <t>회사 공시·홈페이지에서 확인</t>
        </is>
      </c>
      <c r="K1354" s="17" t="inlineStr">
        <is>
          <t>낮음</t>
        </is>
      </c>
      <c r="L1354" s="17" t="inlineStr"/>
    </row>
    <row r="1355">
      <c r="A1355" s="17" t="inlineStr">
        <is>
          <t>C217</t>
        </is>
      </c>
      <c r="B1355" s="17" t="inlineStr"/>
      <c r="C1355" s="17" t="inlineStr">
        <is>
          <t>삼전순약공업(주)</t>
        </is>
      </c>
      <c r="D1355" s="17" t="inlineStr"/>
      <c r="E1355" s="17" t="inlineStr">
        <is>
          <t>FDA·EMA 실사</t>
        </is>
      </c>
      <c r="F1355" s="17" t="inlineStr">
        <is>
          <t>미확인</t>
        </is>
      </c>
      <c r="G1355" s="17" t="inlineStr">
        <is>
          <t>웹조사 자동화 실패(세션한도)</t>
        </is>
      </c>
      <c r="H1355" s="17" t="inlineStr">
        <is>
          <t>N</t>
        </is>
      </c>
      <c r="I1355" s="17" t="inlineStr">
        <is>
          <t>FDA Inspection DB</t>
        </is>
      </c>
      <c r="J1355" s="17" t="inlineStr">
        <is>
          <t>FDA Inspection DB에서 확인</t>
        </is>
      </c>
      <c r="K1355" s="17" t="inlineStr">
        <is>
          <t>낮음</t>
        </is>
      </c>
      <c r="L1355" s="17" t="inlineStr"/>
    </row>
    <row r="1356">
      <c r="A1356" s="17" t="inlineStr">
        <is>
          <t>C217</t>
        </is>
      </c>
      <c r="B1356" s="17" t="inlineStr"/>
      <c r="C1356" s="17" t="inlineStr">
        <is>
          <t>삼전순약공업(주)</t>
        </is>
      </c>
      <c r="D1356" s="17" t="inlineStr"/>
      <c r="E1356" s="17" t="inlineStr">
        <is>
          <t>CMO·CDMO</t>
        </is>
      </c>
      <c r="F1356" s="17" t="inlineStr">
        <is>
          <t>미확인</t>
        </is>
      </c>
      <c r="G1356" s="17" t="inlineStr">
        <is>
          <t>웹조사 자동화 실패(세션한도)</t>
        </is>
      </c>
      <c r="H1356" s="17" t="inlineStr">
        <is>
          <t>N</t>
        </is>
      </c>
      <c r="I1356" s="17" t="inlineStr">
        <is>
          <t>회사 홈페이지</t>
        </is>
      </c>
      <c r="J1356" s="17" t="inlineStr">
        <is>
          <t>회사 홈페이지에서 확인</t>
        </is>
      </c>
      <c r="K1356" s="17" t="inlineStr">
        <is>
          <t>낮음</t>
        </is>
      </c>
      <c r="L1356" s="17" t="inlineStr"/>
    </row>
    <row r="1357">
      <c r="A1357" s="17" t="inlineStr">
        <is>
          <t>C217</t>
        </is>
      </c>
      <c r="B1357" s="17" t="inlineStr"/>
      <c r="C1357" s="17" t="inlineStr">
        <is>
          <t>삼전순약공업(주)</t>
        </is>
      </c>
      <c r="D1357" s="17" t="inlineStr"/>
      <c r="E1357" s="17" t="inlineStr">
        <is>
          <t>신공장·증설</t>
        </is>
      </c>
      <c r="F1357" s="17" t="inlineStr">
        <is>
          <t>미확인</t>
        </is>
      </c>
      <c r="G1357" s="17" t="inlineStr">
        <is>
          <t>웹조사 자동화 실패(세션한도)</t>
        </is>
      </c>
      <c r="H1357" s="17" t="inlineStr">
        <is>
          <t>N</t>
        </is>
      </c>
      <c r="I1357" s="17" t="inlineStr">
        <is>
          <t>언론·지자체 발표</t>
        </is>
      </c>
      <c r="J1357" s="17" t="inlineStr">
        <is>
          <t>언론·지자체 발표에서 확인</t>
        </is>
      </c>
      <c r="K1357" s="17" t="inlineStr">
        <is>
          <t>낮음</t>
        </is>
      </c>
      <c r="L1357" s="17" t="inlineStr"/>
    </row>
    <row r="1358">
      <c r="A1358" s="17" t="inlineStr">
        <is>
          <t>C218</t>
        </is>
      </c>
      <c r="B1358" s="17" t="inlineStr"/>
      <c r="C1358" s="17" t="inlineStr">
        <is>
          <t>국제산업가스(주)</t>
        </is>
      </c>
      <c r="D1358" s="17" t="inlineStr"/>
      <c r="E1358" s="17" t="inlineStr">
        <is>
          <t>최근매출(억원)</t>
        </is>
      </c>
      <c r="F1358" s="17" t="inlineStr">
        <is>
          <t>미확인</t>
        </is>
      </c>
      <c r="G1358" s="17" t="inlineStr">
        <is>
          <t>웹조사 자동화 실패(세션한도)</t>
        </is>
      </c>
      <c r="H1358" s="17" t="inlineStr">
        <is>
          <t>N</t>
        </is>
      </c>
      <c r="I1358" s="17" t="inlineStr">
        <is>
          <t>DART 사업보고서</t>
        </is>
      </c>
      <c r="J1358" s="17" t="inlineStr">
        <is>
          <t>DART 사업보고서에서 확인</t>
        </is>
      </c>
      <c r="K1358" s="17" t="inlineStr">
        <is>
          <t>낮음</t>
        </is>
      </c>
      <c r="L1358" s="17" t="inlineStr"/>
    </row>
    <row r="1359">
      <c r="A1359" s="17" t="inlineStr">
        <is>
          <t>C218</t>
        </is>
      </c>
      <c r="B1359" s="17" t="inlineStr"/>
      <c r="C1359" s="17" t="inlineStr">
        <is>
          <t>국제산업가스(주)</t>
        </is>
      </c>
      <c r="D1359" s="17" t="inlineStr"/>
      <c r="E1359" s="17" t="inlineStr">
        <is>
          <t>종업원수</t>
        </is>
      </c>
      <c r="F1359" s="17" t="inlineStr">
        <is>
          <t>미확인</t>
        </is>
      </c>
      <c r="G1359" s="17" t="inlineStr">
        <is>
          <t>웹조사 자동화 실패(세션한도)</t>
        </is>
      </c>
      <c r="H1359" s="17" t="inlineStr">
        <is>
          <t>N</t>
        </is>
      </c>
      <c r="I1359" s="17" t="inlineStr">
        <is>
          <t>DART/채용</t>
        </is>
      </c>
      <c r="J1359" s="17" t="inlineStr">
        <is>
          <t>DART/채용에서 확인</t>
        </is>
      </c>
      <c r="K1359" s="17" t="inlineStr">
        <is>
          <t>낮음</t>
        </is>
      </c>
      <c r="L1359" s="17" t="inlineStr"/>
    </row>
    <row r="1360">
      <c r="A1360" s="17" t="inlineStr">
        <is>
          <t>C218</t>
        </is>
      </c>
      <c r="B1360" s="17" t="inlineStr"/>
      <c r="C1360" s="17" t="inlineStr">
        <is>
          <t>국제산업가스(주)</t>
        </is>
      </c>
      <c r="D1360" s="17" t="inlineStr"/>
      <c r="E1360" s="17" t="inlineStr">
        <is>
          <t>수출여부</t>
        </is>
      </c>
      <c r="F1360" s="17" t="inlineStr">
        <is>
          <t>미확인</t>
        </is>
      </c>
      <c r="G1360" s="17" t="inlineStr">
        <is>
          <t>웹조사 자동화 실패(세션한도)</t>
        </is>
      </c>
      <c r="H1360" s="17" t="inlineStr">
        <is>
          <t>N</t>
        </is>
      </c>
      <c r="I1360" s="17" t="inlineStr">
        <is>
          <t>회사 공시·홈페이지</t>
        </is>
      </c>
      <c r="J1360" s="17" t="inlineStr">
        <is>
          <t>회사 공시·홈페이지에서 확인</t>
        </is>
      </c>
      <c r="K1360" s="17" t="inlineStr">
        <is>
          <t>낮음</t>
        </is>
      </c>
      <c r="L1360" s="17" t="inlineStr"/>
    </row>
    <row r="1361">
      <c r="A1361" s="17" t="inlineStr">
        <is>
          <t>C218</t>
        </is>
      </c>
      <c r="B1361" s="17" t="inlineStr"/>
      <c r="C1361" s="17" t="inlineStr">
        <is>
          <t>국제산업가스(주)</t>
        </is>
      </c>
      <c r="D1361" s="17" t="inlineStr"/>
      <c r="E1361" s="17" t="inlineStr">
        <is>
          <t>FDA·EMA 실사</t>
        </is>
      </c>
      <c r="F1361" s="17" t="inlineStr">
        <is>
          <t>미확인</t>
        </is>
      </c>
      <c r="G1361" s="17" t="inlineStr">
        <is>
          <t>웹조사 자동화 실패(세션한도)</t>
        </is>
      </c>
      <c r="H1361" s="17" t="inlineStr">
        <is>
          <t>N</t>
        </is>
      </c>
      <c r="I1361" s="17" t="inlineStr">
        <is>
          <t>FDA Inspection DB</t>
        </is>
      </c>
      <c r="J1361" s="17" t="inlineStr">
        <is>
          <t>FDA Inspection DB에서 확인</t>
        </is>
      </c>
      <c r="K1361" s="17" t="inlineStr">
        <is>
          <t>낮음</t>
        </is>
      </c>
      <c r="L1361" s="17" t="inlineStr"/>
    </row>
    <row r="1362">
      <c r="A1362" s="17" t="inlineStr">
        <is>
          <t>C218</t>
        </is>
      </c>
      <c r="B1362" s="17" t="inlineStr"/>
      <c r="C1362" s="17" t="inlineStr">
        <is>
          <t>국제산업가스(주)</t>
        </is>
      </c>
      <c r="D1362" s="17" t="inlineStr"/>
      <c r="E1362" s="17" t="inlineStr">
        <is>
          <t>CMO·CDMO</t>
        </is>
      </c>
      <c r="F1362" s="17" t="inlineStr">
        <is>
          <t>미확인</t>
        </is>
      </c>
      <c r="G1362" s="17" t="inlineStr">
        <is>
          <t>웹조사 자동화 실패(세션한도)</t>
        </is>
      </c>
      <c r="H1362" s="17" t="inlineStr">
        <is>
          <t>N</t>
        </is>
      </c>
      <c r="I1362" s="17" t="inlineStr">
        <is>
          <t>회사 홈페이지</t>
        </is>
      </c>
      <c r="J1362" s="17" t="inlineStr">
        <is>
          <t>회사 홈페이지에서 확인</t>
        </is>
      </c>
      <c r="K1362" s="17" t="inlineStr">
        <is>
          <t>낮음</t>
        </is>
      </c>
      <c r="L1362" s="17" t="inlineStr"/>
    </row>
    <row r="1363">
      <c r="A1363" s="17" t="inlineStr">
        <is>
          <t>C218</t>
        </is>
      </c>
      <c r="B1363" s="17" t="inlineStr"/>
      <c r="C1363" s="17" t="inlineStr">
        <is>
          <t>국제산업가스(주)</t>
        </is>
      </c>
      <c r="D1363" s="17" t="inlineStr"/>
      <c r="E1363" s="17" t="inlineStr">
        <is>
          <t>신공장·증설</t>
        </is>
      </c>
      <c r="F1363" s="17" t="inlineStr">
        <is>
          <t>미확인</t>
        </is>
      </c>
      <c r="G1363" s="17" t="inlineStr">
        <is>
          <t>웹조사 자동화 실패(세션한도)</t>
        </is>
      </c>
      <c r="H1363" s="17" t="inlineStr">
        <is>
          <t>N</t>
        </is>
      </c>
      <c r="I1363" s="17" t="inlineStr">
        <is>
          <t>언론·지자체 발표</t>
        </is>
      </c>
      <c r="J1363" s="17" t="inlineStr">
        <is>
          <t>언론·지자체 발표에서 확인</t>
        </is>
      </c>
      <c r="K1363" s="17" t="inlineStr">
        <is>
          <t>낮음</t>
        </is>
      </c>
      <c r="L1363" s="17" t="inlineStr"/>
    </row>
    <row r="1364">
      <c r="A1364" s="17" t="inlineStr">
        <is>
          <t>C219</t>
        </is>
      </c>
      <c r="B1364" s="17" t="inlineStr"/>
      <c r="C1364" s="17" t="inlineStr">
        <is>
          <t>아주산소(주)</t>
        </is>
      </c>
      <c r="D1364" s="17" t="inlineStr"/>
      <c r="E1364" s="17" t="inlineStr">
        <is>
          <t>최근매출(억원)</t>
        </is>
      </c>
      <c r="F1364" s="17" t="inlineStr">
        <is>
          <t>미확인</t>
        </is>
      </c>
      <c r="G1364" s="17" t="inlineStr">
        <is>
          <t>웹조사 자동화 실패(세션한도)</t>
        </is>
      </c>
      <c r="H1364" s="17" t="inlineStr">
        <is>
          <t>N</t>
        </is>
      </c>
      <c r="I1364" s="17" t="inlineStr">
        <is>
          <t>DART 사업보고서</t>
        </is>
      </c>
      <c r="J1364" s="17" t="inlineStr">
        <is>
          <t>DART 사업보고서에서 확인</t>
        </is>
      </c>
      <c r="K1364" s="17" t="inlineStr">
        <is>
          <t>낮음</t>
        </is>
      </c>
      <c r="L1364" s="17" t="inlineStr"/>
    </row>
    <row r="1365">
      <c r="A1365" s="17" t="inlineStr">
        <is>
          <t>C219</t>
        </is>
      </c>
      <c r="B1365" s="17" t="inlineStr"/>
      <c r="C1365" s="17" t="inlineStr">
        <is>
          <t>아주산소(주)</t>
        </is>
      </c>
      <c r="D1365" s="17" t="inlineStr"/>
      <c r="E1365" s="17" t="inlineStr">
        <is>
          <t>종업원수</t>
        </is>
      </c>
      <c r="F1365" s="17" t="inlineStr">
        <is>
          <t>미확인</t>
        </is>
      </c>
      <c r="G1365" s="17" t="inlineStr">
        <is>
          <t>웹조사 자동화 실패(세션한도)</t>
        </is>
      </c>
      <c r="H1365" s="17" t="inlineStr">
        <is>
          <t>N</t>
        </is>
      </c>
      <c r="I1365" s="17" t="inlineStr">
        <is>
          <t>DART/채용</t>
        </is>
      </c>
      <c r="J1365" s="17" t="inlineStr">
        <is>
          <t>DART/채용에서 확인</t>
        </is>
      </c>
      <c r="K1365" s="17" t="inlineStr">
        <is>
          <t>낮음</t>
        </is>
      </c>
      <c r="L1365" s="17" t="inlineStr"/>
    </row>
    <row r="1366">
      <c r="A1366" s="17" t="inlineStr">
        <is>
          <t>C219</t>
        </is>
      </c>
      <c r="B1366" s="17" t="inlineStr"/>
      <c r="C1366" s="17" t="inlineStr">
        <is>
          <t>아주산소(주)</t>
        </is>
      </c>
      <c r="D1366" s="17" t="inlineStr"/>
      <c r="E1366" s="17" t="inlineStr">
        <is>
          <t>수출여부</t>
        </is>
      </c>
      <c r="F1366" s="17" t="inlineStr">
        <is>
          <t>미확인</t>
        </is>
      </c>
      <c r="G1366" s="17" t="inlineStr">
        <is>
          <t>웹조사 자동화 실패(세션한도)</t>
        </is>
      </c>
      <c r="H1366" s="17" t="inlineStr">
        <is>
          <t>N</t>
        </is>
      </c>
      <c r="I1366" s="17" t="inlineStr">
        <is>
          <t>회사 공시·홈페이지</t>
        </is>
      </c>
      <c r="J1366" s="17" t="inlineStr">
        <is>
          <t>회사 공시·홈페이지에서 확인</t>
        </is>
      </c>
      <c r="K1366" s="17" t="inlineStr">
        <is>
          <t>낮음</t>
        </is>
      </c>
      <c r="L1366" s="17" t="inlineStr"/>
    </row>
    <row r="1367">
      <c r="A1367" s="17" t="inlineStr">
        <is>
          <t>C219</t>
        </is>
      </c>
      <c r="B1367" s="17" t="inlineStr"/>
      <c r="C1367" s="17" t="inlineStr">
        <is>
          <t>아주산소(주)</t>
        </is>
      </c>
      <c r="D1367" s="17" t="inlineStr"/>
      <c r="E1367" s="17" t="inlineStr">
        <is>
          <t>FDA·EMA 실사</t>
        </is>
      </c>
      <c r="F1367" s="17" t="inlineStr">
        <is>
          <t>미확인</t>
        </is>
      </c>
      <c r="G1367" s="17" t="inlineStr">
        <is>
          <t>웹조사 자동화 실패(세션한도)</t>
        </is>
      </c>
      <c r="H1367" s="17" t="inlineStr">
        <is>
          <t>N</t>
        </is>
      </c>
      <c r="I1367" s="17" t="inlineStr">
        <is>
          <t>FDA Inspection DB</t>
        </is>
      </c>
      <c r="J1367" s="17" t="inlineStr">
        <is>
          <t>FDA Inspection DB에서 확인</t>
        </is>
      </c>
      <c r="K1367" s="17" t="inlineStr">
        <is>
          <t>낮음</t>
        </is>
      </c>
      <c r="L1367" s="17" t="inlineStr"/>
    </row>
    <row r="1368">
      <c r="A1368" s="17" t="inlineStr">
        <is>
          <t>C219</t>
        </is>
      </c>
      <c r="B1368" s="17" t="inlineStr"/>
      <c r="C1368" s="17" t="inlineStr">
        <is>
          <t>아주산소(주)</t>
        </is>
      </c>
      <c r="D1368" s="17" t="inlineStr"/>
      <c r="E1368" s="17" t="inlineStr">
        <is>
          <t>CMO·CDMO</t>
        </is>
      </c>
      <c r="F1368" s="17" t="inlineStr">
        <is>
          <t>미확인</t>
        </is>
      </c>
      <c r="G1368" s="17" t="inlineStr">
        <is>
          <t>웹조사 자동화 실패(세션한도)</t>
        </is>
      </c>
      <c r="H1368" s="17" t="inlineStr">
        <is>
          <t>N</t>
        </is>
      </c>
      <c r="I1368" s="17" t="inlineStr">
        <is>
          <t>회사 홈페이지</t>
        </is>
      </c>
      <c r="J1368" s="17" t="inlineStr">
        <is>
          <t>회사 홈페이지에서 확인</t>
        </is>
      </c>
      <c r="K1368" s="17" t="inlineStr">
        <is>
          <t>낮음</t>
        </is>
      </c>
      <c r="L1368" s="17" t="inlineStr"/>
    </row>
    <row r="1369">
      <c r="A1369" s="17" t="inlineStr">
        <is>
          <t>C219</t>
        </is>
      </c>
      <c r="B1369" s="17" t="inlineStr"/>
      <c r="C1369" s="17" t="inlineStr">
        <is>
          <t>아주산소(주)</t>
        </is>
      </c>
      <c r="D1369" s="17" t="inlineStr"/>
      <c r="E1369" s="17" t="inlineStr">
        <is>
          <t>신공장·증설</t>
        </is>
      </c>
      <c r="F1369" s="17" t="inlineStr">
        <is>
          <t>미확인</t>
        </is>
      </c>
      <c r="G1369" s="17" t="inlineStr">
        <is>
          <t>웹조사 자동화 실패(세션한도)</t>
        </is>
      </c>
      <c r="H1369" s="17" t="inlineStr">
        <is>
          <t>N</t>
        </is>
      </c>
      <c r="I1369" s="17" t="inlineStr">
        <is>
          <t>언론·지자체 발표</t>
        </is>
      </c>
      <c r="J1369" s="17" t="inlineStr">
        <is>
          <t>언론·지자체 발표에서 확인</t>
        </is>
      </c>
      <c r="K1369" s="17" t="inlineStr">
        <is>
          <t>낮음</t>
        </is>
      </c>
      <c r="L1369" s="17" t="inlineStr"/>
    </row>
    <row r="1370">
      <c r="A1370" s="17" t="inlineStr">
        <is>
          <t>C220</t>
        </is>
      </c>
      <c r="B1370" s="17" t="inlineStr"/>
      <c r="C1370" s="17" t="inlineStr">
        <is>
          <t>선도화학주식회사</t>
        </is>
      </c>
      <c r="D1370" s="17" t="inlineStr"/>
      <c r="E1370" s="17" t="inlineStr">
        <is>
          <t>최근매출(억원)</t>
        </is>
      </c>
      <c r="F1370" s="17" t="inlineStr">
        <is>
          <t>미확인</t>
        </is>
      </c>
      <c r="G1370" s="17" t="inlineStr">
        <is>
          <t>웹조사 자동화 실패(세션한도)</t>
        </is>
      </c>
      <c r="H1370" s="17" t="inlineStr">
        <is>
          <t>N</t>
        </is>
      </c>
      <c r="I1370" s="17" t="inlineStr">
        <is>
          <t>DART 사업보고서</t>
        </is>
      </c>
      <c r="J1370" s="17" t="inlineStr">
        <is>
          <t>DART 사업보고서에서 확인</t>
        </is>
      </c>
      <c r="K1370" s="17" t="inlineStr">
        <is>
          <t>낮음</t>
        </is>
      </c>
      <c r="L1370" s="17" t="inlineStr"/>
    </row>
    <row r="1371">
      <c r="A1371" s="17" t="inlineStr">
        <is>
          <t>C220</t>
        </is>
      </c>
      <c r="B1371" s="17" t="inlineStr"/>
      <c r="C1371" s="17" t="inlineStr">
        <is>
          <t>선도화학주식회사</t>
        </is>
      </c>
      <c r="D1371" s="17" t="inlineStr"/>
      <c r="E1371" s="17" t="inlineStr">
        <is>
          <t>종업원수</t>
        </is>
      </c>
      <c r="F1371" s="17" t="inlineStr">
        <is>
          <t>미확인</t>
        </is>
      </c>
      <c r="G1371" s="17" t="inlineStr">
        <is>
          <t>웹조사 자동화 실패(세션한도)</t>
        </is>
      </c>
      <c r="H1371" s="17" t="inlineStr">
        <is>
          <t>N</t>
        </is>
      </c>
      <c r="I1371" s="17" t="inlineStr">
        <is>
          <t>DART/채용</t>
        </is>
      </c>
      <c r="J1371" s="17" t="inlineStr">
        <is>
          <t>DART/채용에서 확인</t>
        </is>
      </c>
      <c r="K1371" s="17" t="inlineStr">
        <is>
          <t>낮음</t>
        </is>
      </c>
      <c r="L1371" s="17" t="inlineStr"/>
    </row>
    <row r="1372">
      <c r="A1372" s="17" t="inlineStr">
        <is>
          <t>C220</t>
        </is>
      </c>
      <c r="B1372" s="17" t="inlineStr"/>
      <c r="C1372" s="17" t="inlineStr">
        <is>
          <t>선도화학주식회사</t>
        </is>
      </c>
      <c r="D1372" s="17" t="inlineStr"/>
      <c r="E1372" s="17" t="inlineStr">
        <is>
          <t>수출여부</t>
        </is>
      </c>
      <c r="F1372" s="17" t="inlineStr">
        <is>
          <t>미확인</t>
        </is>
      </c>
      <c r="G1372" s="17" t="inlineStr">
        <is>
          <t>웹조사 자동화 실패(세션한도)</t>
        </is>
      </c>
      <c r="H1372" s="17" t="inlineStr">
        <is>
          <t>N</t>
        </is>
      </c>
      <c r="I1372" s="17" t="inlineStr">
        <is>
          <t>회사 공시·홈페이지</t>
        </is>
      </c>
      <c r="J1372" s="17" t="inlineStr">
        <is>
          <t>회사 공시·홈페이지에서 확인</t>
        </is>
      </c>
      <c r="K1372" s="17" t="inlineStr">
        <is>
          <t>낮음</t>
        </is>
      </c>
      <c r="L1372" s="17" t="inlineStr"/>
    </row>
    <row r="1373">
      <c r="A1373" s="17" t="inlineStr">
        <is>
          <t>C220</t>
        </is>
      </c>
      <c r="B1373" s="17" t="inlineStr"/>
      <c r="C1373" s="17" t="inlineStr">
        <is>
          <t>선도화학주식회사</t>
        </is>
      </c>
      <c r="D1373" s="17" t="inlineStr"/>
      <c r="E1373" s="17" t="inlineStr">
        <is>
          <t>FDA·EMA 실사</t>
        </is>
      </c>
      <c r="F1373" s="17" t="inlineStr">
        <is>
          <t>미확인</t>
        </is>
      </c>
      <c r="G1373" s="17" t="inlineStr">
        <is>
          <t>웹조사 자동화 실패(세션한도)</t>
        </is>
      </c>
      <c r="H1373" s="17" t="inlineStr">
        <is>
          <t>N</t>
        </is>
      </c>
      <c r="I1373" s="17" t="inlineStr">
        <is>
          <t>FDA Inspection DB</t>
        </is>
      </c>
      <c r="J1373" s="17" t="inlineStr">
        <is>
          <t>FDA Inspection DB에서 확인</t>
        </is>
      </c>
      <c r="K1373" s="17" t="inlineStr">
        <is>
          <t>낮음</t>
        </is>
      </c>
      <c r="L1373" s="17" t="inlineStr"/>
    </row>
    <row r="1374">
      <c r="A1374" s="17" t="inlineStr">
        <is>
          <t>C220</t>
        </is>
      </c>
      <c r="B1374" s="17" t="inlineStr"/>
      <c r="C1374" s="17" t="inlineStr">
        <is>
          <t>선도화학주식회사</t>
        </is>
      </c>
      <c r="D1374" s="17" t="inlineStr"/>
      <c r="E1374" s="17" t="inlineStr">
        <is>
          <t>CMO·CDMO</t>
        </is>
      </c>
      <c r="F1374" s="17" t="inlineStr">
        <is>
          <t>미확인</t>
        </is>
      </c>
      <c r="G1374" s="17" t="inlineStr">
        <is>
          <t>웹조사 자동화 실패(세션한도)</t>
        </is>
      </c>
      <c r="H1374" s="17" t="inlineStr">
        <is>
          <t>N</t>
        </is>
      </c>
      <c r="I1374" s="17" t="inlineStr">
        <is>
          <t>회사 홈페이지</t>
        </is>
      </c>
      <c r="J1374" s="17" t="inlineStr">
        <is>
          <t>회사 홈페이지에서 확인</t>
        </is>
      </c>
      <c r="K1374" s="17" t="inlineStr">
        <is>
          <t>낮음</t>
        </is>
      </c>
      <c r="L1374" s="17" t="inlineStr"/>
    </row>
    <row r="1375">
      <c r="A1375" s="17" t="inlineStr">
        <is>
          <t>C220</t>
        </is>
      </c>
      <c r="B1375" s="17" t="inlineStr"/>
      <c r="C1375" s="17" t="inlineStr">
        <is>
          <t>선도화학주식회사</t>
        </is>
      </c>
      <c r="D1375" s="17" t="inlineStr"/>
      <c r="E1375" s="17" t="inlineStr">
        <is>
          <t>신공장·증설</t>
        </is>
      </c>
      <c r="F1375" s="17" t="inlineStr">
        <is>
          <t>미확인</t>
        </is>
      </c>
      <c r="G1375" s="17" t="inlineStr">
        <is>
          <t>웹조사 자동화 실패(세션한도)</t>
        </is>
      </c>
      <c r="H1375" s="17" t="inlineStr">
        <is>
          <t>N</t>
        </is>
      </c>
      <c r="I1375" s="17" t="inlineStr">
        <is>
          <t>언론·지자체 발표</t>
        </is>
      </c>
      <c r="J1375" s="17" t="inlineStr">
        <is>
          <t>언론·지자체 발표에서 확인</t>
        </is>
      </c>
      <c r="K1375" s="17" t="inlineStr">
        <is>
          <t>낮음</t>
        </is>
      </c>
      <c r="L1375" s="17" t="inlineStr"/>
    </row>
    <row r="1376">
      <c r="A1376" s="17" t="inlineStr">
        <is>
          <t>C221</t>
        </is>
      </c>
      <c r="B1376" s="17" t="inlineStr"/>
      <c r="C1376" s="17" t="inlineStr">
        <is>
          <t>영진약품(주)</t>
        </is>
      </c>
      <c r="D1376" s="17" t="inlineStr"/>
      <c r="E1376" s="17" t="inlineStr">
        <is>
          <t>최근매출(억원)</t>
        </is>
      </c>
      <c r="F1376" s="17" t="inlineStr">
        <is>
          <t>미확인</t>
        </is>
      </c>
      <c r="G1376" s="17" t="inlineStr">
        <is>
          <t>웹조사 자동화 실패(세션한도)</t>
        </is>
      </c>
      <c r="H1376" s="17" t="inlineStr">
        <is>
          <t>N</t>
        </is>
      </c>
      <c r="I1376" s="17" t="inlineStr">
        <is>
          <t>DART 사업보고서</t>
        </is>
      </c>
      <c r="J1376" s="17" t="inlineStr">
        <is>
          <t>DART 사업보고서에서 확인</t>
        </is>
      </c>
      <c r="K1376" s="17" t="inlineStr">
        <is>
          <t>낮음</t>
        </is>
      </c>
      <c r="L1376" s="17" t="inlineStr"/>
    </row>
    <row r="1377">
      <c r="A1377" s="17" t="inlineStr">
        <is>
          <t>C221</t>
        </is>
      </c>
      <c r="B1377" s="17" t="inlineStr"/>
      <c r="C1377" s="17" t="inlineStr">
        <is>
          <t>영진약품(주)</t>
        </is>
      </c>
      <c r="D1377" s="17" t="inlineStr"/>
      <c r="E1377" s="17" t="inlineStr">
        <is>
          <t>종업원수</t>
        </is>
      </c>
      <c r="F1377" s="17" t="inlineStr">
        <is>
          <t>미확인</t>
        </is>
      </c>
      <c r="G1377" s="17" t="inlineStr">
        <is>
          <t>웹조사 자동화 실패(세션한도)</t>
        </is>
      </c>
      <c r="H1377" s="17" t="inlineStr">
        <is>
          <t>N</t>
        </is>
      </c>
      <c r="I1377" s="17" t="inlineStr">
        <is>
          <t>DART/채용</t>
        </is>
      </c>
      <c r="J1377" s="17" t="inlineStr">
        <is>
          <t>DART/채용에서 확인</t>
        </is>
      </c>
      <c r="K1377" s="17" t="inlineStr">
        <is>
          <t>낮음</t>
        </is>
      </c>
      <c r="L1377" s="17" t="inlineStr"/>
    </row>
    <row r="1378">
      <c r="A1378" s="17" t="inlineStr">
        <is>
          <t>C221</t>
        </is>
      </c>
      <c r="B1378" s="17" t="inlineStr"/>
      <c r="C1378" s="17" t="inlineStr">
        <is>
          <t>영진약품(주)</t>
        </is>
      </c>
      <c r="D1378" s="17" t="inlineStr"/>
      <c r="E1378" s="17" t="inlineStr">
        <is>
          <t>수출여부</t>
        </is>
      </c>
      <c r="F1378" s="17" t="inlineStr">
        <is>
          <t>미확인</t>
        </is>
      </c>
      <c r="G1378" s="17" t="inlineStr">
        <is>
          <t>웹조사 자동화 실패(세션한도)</t>
        </is>
      </c>
      <c r="H1378" s="17" t="inlineStr">
        <is>
          <t>N</t>
        </is>
      </c>
      <c r="I1378" s="17" t="inlineStr">
        <is>
          <t>회사 공시·홈페이지</t>
        </is>
      </c>
      <c r="J1378" s="17" t="inlineStr">
        <is>
          <t>회사 공시·홈페이지에서 확인</t>
        </is>
      </c>
      <c r="K1378" s="17" t="inlineStr">
        <is>
          <t>낮음</t>
        </is>
      </c>
      <c r="L1378" s="17" t="inlineStr"/>
    </row>
    <row r="1379">
      <c r="A1379" s="17" t="inlineStr">
        <is>
          <t>C221</t>
        </is>
      </c>
      <c r="B1379" s="17" t="inlineStr"/>
      <c r="C1379" s="17" t="inlineStr">
        <is>
          <t>영진약품(주)</t>
        </is>
      </c>
      <c r="D1379" s="17" t="inlineStr"/>
      <c r="E1379" s="17" t="inlineStr">
        <is>
          <t>FDA·EMA 실사</t>
        </is>
      </c>
      <c r="F1379" s="17" t="inlineStr">
        <is>
          <t>미확인</t>
        </is>
      </c>
      <c r="G1379" s="17" t="inlineStr">
        <is>
          <t>웹조사 자동화 실패(세션한도)</t>
        </is>
      </c>
      <c r="H1379" s="17" t="inlineStr">
        <is>
          <t>N</t>
        </is>
      </c>
      <c r="I1379" s="17" t="inlineStr">
        <is>
          <t>FDA Inspection DB</t>
        </is>
      </c>
      <c r="J1379" s="17" t="inlineStr">
        <is>
          <t>FDA Inspection DB에서 확인</t>
        </is>
      </c>
      <c r="K1379" s="17" t="inlineStr">
        <is>
          <t>낮음</t>
        </is>
      </c>
      <c r="L1379" s="17" t="inlineStr"/>
    </row>
    <row r="1380">
      <c r="A1380" s="17" t="inlineStr">
        <is>
          <t>C221</t>
        </is>
      </c>
      <c r="B1380" s="17" t="inlineStr"/>
      <c r="C1380" s="17" t="inlineStr">
        <is>
          <t>영진약품(주)</t>
        </is>
      </c>
      <c r="D1380" s="17" t="inlineStr"/>
      <c r="E1380" s="17" t="inlineStr">
        <is>
          <t>CMO·CDMO</t>
        </is>
      </c>
      <c r="F1380" s="17" t="inlineStr">
        <is>
          <t>미확인</t>
        </is>
      </c>
      <c r="G1380" s="17" t="inlineStr">
        <is>
          <t>웹조사 자동화 실패(세션한도)</t>
        </is>
      </c>
      <c r="H1380" s="17" t="inlineStr">
        <is>
          <t>N</t>
        </is>
      </c>
      <c r="I1380" s="17" t="inlineStr">
        <is>
          <t>회사 홈페이지</t>
        </is>
      </c>
      <c r="J1380" s="17" t="inlineStr">
        <is>
          <t>회사 홈페이지에서 확인</t>
        </is>
      </c>
      <c r="K1380" s="17" t="inlineStr">
        <is>
          <t>낮음</t>
        </is>
      </c>
      <c r="L1380" s="17" t="inlineStr"/>
    </row>
    <row r="1381">
      <c r="A1381" s="17" t="inlineStr">
        <is>
          <t>C221</t>
        </is>
      </c>
      <c r="B1381" s="17" t="inlineStr"/>
      <c r="C1381" s="17" t="inlineStr">
        <is>
          <t>영진약품(주)</t>
        </is>
      </c>
      <c r="D1381" s="17" t="inlineStr"/>
      <c r="E1381" s="17" t="inlineStr">
        <is>
          <t>신공장·증설</t>
        </is>
      </c>
      <c r="F1381" s="17" t="inlineStr">
        <is>
          <t>미확인</t>
        </is>
      </c>
      <c r="G1381" s="17" t="inlineStr">
        <is>
          <t>웹조사 자동화 실패(세션한도)</t>
        </is>
      </c>
      <c r="H1381" s="17" t="inlineStr">
        <is>
          <t>N</t>
        </is>
      </c>
      <c r="I1381" s="17" t="inlineStr">
        <is>
          <t>언론·지자체 발표</t>
        </is>
      </c>
      <c r="J1381" s="17" t="inlineStr">
        <is>
          <t>언론·지자체 발표에서 확인</t>
        </is>
      </c>
      <c r="K1381" s="17" t="inlineStr">
        <is>
          <t>낮음</t>
        </is>
      </c>
      <c r="L1381" s="17" t="inlineStr"/>
    </row>
    <row r="1382">
      <c r="A1382" s="17" t="inlineStr">
        <is>
          <t>C221</t>
        </is>
      </c>
      <c r="B1382" s="17" t="inlineStr"/>
      <c r="C1382" s="17" t="inlineStr">
        <is>
          <t>영진약품(주)</t>
        </is>
      </c>
      <c r="D1382" s="17" t="inlineStr"/>
      <c r="E1382" s="17" t="inlineStr">
        <is>
          <t>대표전화</t>
        </is>
      </c>
      <c r="F1382" s="17" t="inlineStr">
        <is>
          <t>미확인</t>
        </is>
      </c>
      <c r="G1382" s="17" t="inlineStr">
        <is>
          <t>제조소상세 미매칭</t>
        </is>
      </c>
      <c r="H1382" s="17" t="inlineStr">
        <is>
          <t>Y</t>
        </is>
      </c>
      <c r="I1382" s="17" t="inlineStr">
        <is>
          <t>회사 홈페이지</t>
        </is>
      </c>
      <c r="J1382" s="17" t="inlineStr">
        <is>
          <t>홈페이지에서 대표번호 확인</t>
        </is>
      </c>
      <c r="K1382" s="17" t="inlineStr">
        <is>
          <t>낮음</t>
        </is>
      </c>
      <c r="L1382" s="17" t="inlineStr"/>
    </row>
    <row r="1383">
      <c r="A1383" s="17" t="inlineStr">
        <is>
          <t>C222</t>
        </is>
      </c>
      <c r="B1383" s="17" t="inlineStr"/>
      <c r="C1383" s="17" t="inlineStr">
        <is>
          <t>(주)팜젠사이언스</t>
        </is>
      </c>
      <c r="D1383" s="17" t="inlineStr"/>
      <c r="E1383" s="17" t="inlineStr">
        <is>
          <t>최근매출(억원)</t>
        </is>
      </c>
      <c r="F1383" s="17" t="inlineStr">
        <is>
          <t>미확인</t>
        </is>
      </c>
      <c r="G1383" s="17" t="inlineStr">
        <is>
          <t>웹조사 자동화 실패(세션한도)</t>
        </is>
      </c>
      <c r="H1383" s="17" t="inlineStr">
        <is>
          <t>N</t>
        </is>
      </c>
      <c r="I1383" s="17" t="inlineStr">
        <is>
          <t>DART 사업보고서</t>
        </is>
      </c>
      <c r="J1383" s="17" t="inlineStr">
        <is>
          <t>DART 사업보고서에서 확인</t>
        </is>
      </c>
      <c r="K1383" s="17" t="inlineStr">
        <is>
          <t>낮음</t>
        </is>
      </c>
      <c r="L1383" s="17" t="inlineStr"/>
    </row>
    <row r="1384">
      <c r="A1384" s="17" t="inlineStr">
        <is>
          <t>C222</t>
        </is>
      </c>
      <c r="B1384" s="17" t="inlineStr"/>
      <c r="C1384" s="17" t="inlineStr">
        <is>
          <t>(주)팜젠사이언스</t>
        </is>
      </c>
      <c r="D1384" s="17" t="inlineStr"/>
      <c r="E1384" s="17" t="inlineStr">
        <is>
          <t>종업원수</t>
        </is>
      </c>
      <c r="F1384" s="17" t="inlineStr">
        <is>
          <t>미확인</t>
        </is>
      </c>
      <c r="G1384" s="17" t="inlineStr">
        <is>
          <t>웹조사 자동화 실패(세션한도)</t>
        </is>
      </c>
      <c r="H1384" s="17" t="inlineStr">
        <is>
          <t>N</t>
        </is>
      </c>
      <c r="I1384" s="17" t="inlineStr">
        <is>
          <t>DART/채용</t>
        </is>
      </c>
      <c r="J1384" s="17" t="inlineStr">
        <is>
          <t>DART/채용에서 확인</t>
        </is>
      </c>
      <c r="K1384" s="17" t="inlineStr">
        <is>
          <t>낮음</t>
        </is>
      </c>
      <c r="L1384" s="17" t="inlineStr"/>
    </row>
    <row r="1385">
      <c r="A1385" s="17" t="inlineStr">
        <is>
          <t>C222</t>
        </is>
      </c>
      <c r="B1385" s="17" t="inlineStr"/>
      <c r="C1385" s="17" t="inlineStr">
        <is>
          <t>(주)팜젠사이언스</t>
        </is>
      </c>
      <c r="D1385" s="17" t="inlineStr"/>
      <c r="E1385" s="17" t="inlineStr">
        <is>
          <t>수출여부</t>
        </is>
      </c>
      <c r="F1385" s="17" t="inlineStr">
        <is>
          <t>미확인</t>
        </is>
      </c>
      <c r="G1385" s="17" t="inlineStr">
        <is>
          <t>웹조사 자동화 실패(세션한도)</t>
        </is>
      </c>
      <c r="H1385" s="17" t="inlineStr">
        <is>
          <t>N</t>
        </is>
      </c>
      <c r="I1385" s="17" t="inlineStr">
        <is>
          <t>회사 공시·홈페이지</t>
        </is>
      </c>
      <c r="J1385" s="17" t="inlineStr">
        <is>
          <t>회사 공시·홈페이지에서 확인</t>
        </is>
      </c>
      <c r="K1385" s="17" t="inlineStr">
        <is>
          <t>낮음</t>
        </is>
      </c>
      <c r="L1385" s="17" t="inlineStr"/>
    </row>
    <row r="1386">
      <c r="A1386" s="17" t="inlineStr">
        <is>
          <t>C222</t>
        </is>
      </c>
      <c r="B1386" s="17" t="inlineStr"/>
      <c r="C1386" s="17" t="inlineStr">
        <is>
          <t>(주)팜젠사이언스</t>
        </is>
      </c>
      <c r="D1386" s="17" t="inlineStr"/>
      <c r="E1386" s="17" t="inlineStr">
        <is>
          <t>FDA·EMA 실사</t>
        </is>
      </c>
      <c r="F1386" s="17" t="inlineStr">
        <is>
          <t>미확인</t>
        </is>
      </c>
      <c r="G1386" s="17" t="inlineStr">
        <is>
          <t>웹조사 자동화 실패(세션한도)</t>
        </is>
      </c>
      <c r="H1386" s="17" t="inlineStr">
        <is>
          <t>N</t>
        </is>
      </c>
      <c r="I1386" s="17" t="inlineStr">
        <is>
          <t>FDA Inspection DB</t>
        </is>
      </c>
      <c r="J1386" s="17" t="inlineStr">
        <is>
          <t>FDA Inspection DB에서 확인</t>
        </is>
      </c>
      <c r="K1386" s="17" t="inlineStr">
        <is>
          <t>낮음</t>
        </is>
      </c>
      <c r="L1386" s="17" t="inlineStr"/>
    </row>
    <row r="1387">
      <c r="A1387" s="17" t="inlineStr">
        <is>
          <t>C222</t>
        </is>
      </c>
      <c r="B1387" s="17" t="inlineStr"/>
      <c r="C1387" s="17" t="inlineStr">
        <is>
          <t>(주)팜젠사이언스</t>
        </is>
      </c>
      <c r="D1387" s="17" t="inlineStr"/>
      <c r="E1387" s="17" t="inlineStr">
        <is>
          <t>CMO·CDMO</t>
        </is>
      </c>
      <c r="F1387" s="17" t="inlineStr">
        <is>
          <t>미확인</t>
        </is>
      </c>
      <c r="G1387" s="17" t="inlineStr">
        <is>
          <t>웹조사 자동화 실패(세션한도)</t>
        </is>
      </c>
      <c r="H1387" s="17" t="inlineStr">
        <is>
          <t>N</t>
        </is>
      </c>
      <c r="I1387" s="17" t="inlineStr">
        <is>
          <t>회사 홈페이지</t>
        </is>
      </c>
      <c r="J1387" s="17" t="inlineStr">
        <is>
          <t>회사 홈페이지에서 확인</t>
        </is>
      </c>
      <c r="K1387" s="17" t="inlineStr">
        <is>
          <t>낮음</t>
        </is>
      </c>
      <c r="L1387" s="17" t="inlineStr"/>
    </row>
    <row r="1388">
      <c r="A1388" s="17" t="inlineStr">
        <is>
          <t>C222</t>
        </is>
      </c>
      <c r="B1388" s="17" t="inlineStr"/>
      <c r="C1388" s="17" t="inlineStr">
        <is>
          <t>(주)팜젠사이언스</t>
        </is>
      </c>
      <c r="D1388" s="17" t="inlineStr"/>
      <c r="E1388" s="17" t="inlineStr">
        <is>
          <t>신공장·증설</t>
        </is>
      </c>
      <c r="F1388" s="17" t="inlineStr">
        <is>
          <t>미확인</t>
        </is>
      </c>
      <c r="G1388" s="17" t="inlineStr">
        <is>
          <t>웹조사 자동화 실패(세션한도)</t>
        </is>
      </c>
      <c r="H1388" s="17" t="inlineStr">
        <is>
          <t>N</t>
        </is>
      </c>
      <c r="I1388" s="17" t="inlineStr">
        <is>
          <t>언론·지자체 발표</t>
        </is>
      </c>
      <c r="J1388" s="17" t="inlineStr">
        <is>
          <t>언론·지자체 발표에서 확인</t>
        </is>
      </c>
      <c r="K1388" s="17" t="inlineStr">
        <is>
          <t>낮음</t>
        </is>
      </c>
      <c r="L1388" s="17" t="inlineStr"/>
    </row>
    <row r="1389">
      <c r="A1389" s="17" t="inlineStr">
        <is>
          <t>C223</t>
        </is>
      </c>
      <c r="B1389" s="17" t="inlineStr"/>
      <c r="C1389" s="17" t="inlineStr">
        <is>
          <t>알보젠코리아(주)</t>
        </is>
      </c>
      <c r="D1389" s="17" t="inlineStr"/>
      <c r="E1389" s="17" t="inlineStr">
        <is>
          <t>최근매출(억원)</t>
        </is>
      </c>
      <c r="F1389" s="17" t="inlineStr">
        <is>
          <t>미확인</t>
        </is>
      </c>
      <c r="G1389" s="17" t="inlineStr">
        <is>
          <t>웹조사 자동화 실패(세션한도)</t>
        </is>
      </c>
      <c r="H1389" s="17" t="inlineStr">
        <is>
          <t>N</t>
        </is>
      </c>
      <c r="I1389" s="17" t="inlineStr">
        <is>
          <t>DART 사업보고서</t>
        </is>
      </c>
      <c r="J1389" s="17" t="inlineStr">
        <is>
          <t>DART 사업보고서에서 확인</t>
        </is>
      </c>
      <c r="K1389" s="17" t="inlineStr">
        <is>
          <t>낮음</t>
        </is>
      </c>
      <c r="L1389" s="17" t="inlineStr"/>
    </row>
    <row r="1390">
      <c r="A1390" s="17" t="inlineStr">
        <is>
          <t>C223</t>
        </is>
      </c>
      <c r="B1390" s="17" t="inlineStr"/>
      <c r="C1390" s="17" t="inlineStr">
        <is>
          <t>알보젠코리아(주)</t>
        </is>
      </c>
      <c r="D1390" s="17" t="inlineStr"/>
      <c r="E1390" s="17" t="inlineStr">
        <is>
          <t>종업원수</t>
        </is>
      </c>
      <c r="F1390" s="17" t="inlineStr">
        <is>
          <t>미확인</t>
        </is>
      </c>
      <c r="G1390" s="17" t="inlineStr">
        <is>
          <t>웹조사 자동화 실패(세션한도)</t>
        </is>
      </c>
      <c r="H1390" s="17" t="inlineStr">
        <is>
          <t>N</t>
        </is>
      </c>
      <c r="I1390" s="17" t="inlineStr">
        <is>
          <t>DART/채용</t>
        </is>
      </c>
      <c r="J1390" s="17" t="inlineStr">
        <is>
          <t>DART/채용에서 확인</t>
        </is>
      </c>
      <c r="K1390" s="17" t="inlineStr">
        <is>
          <t>낮음</t>
        </is>
      </c>
      <c r="L1390" s="17" t="inlineStr"/>
    </row>
    <row r="1391">
      <c r="A1391" s="17" t="inlineStr">
        <is>
          <t>C223</t>
        </is>
      </c>
      <c r="B1391" s="17" t="inlineStr"/>
      <c r="C1391" s="17" t="inlineStr">
        <is>
          <t>알보젠코리아(주)</t>
        </is>
      </c>
      <c r="D1391" s="17" t="inlineStr"/>
      <c r="E1391" s="17" t="inlineStr">
        <is>
          <t>수출여부</t>
        </is>
      </c>
      <c r="F1391" s="17" t="inlineStr">
        <is>
          <t>미확인</t>
        </is>
      </c>
      <c r="G1391" s="17" t="inlineStr">
        <is>
          <t>웹조사 자동화 실패(세션한도)</t>
        </is>
      </c>
      <c r="H1391" s="17" t="inlineStr">
        <is>
          <t>N</t>
        </is>
      </c>
      <c r="I1391" s="17" t="inlineStr">
        <is>
          <t>회사 공시·홈페이지</t>
        </is>
      </c>
      <c r="J1391" s="17" t="inlineStr">
        <is>
          <t>회사 공시·홈페이지에서 확인</t>
        </is>
      </c>
      <c r="K1391" s="17" t="inlineStr">
        <is>
          <t>낮음</t>
        </is>
      </c>
      <c r="L1391" s="17" t="inlineStr"/>
    </row>
    <row r="1392">
      <c r="A1392" s="17" t="inlineStr">
        <is>
          <t>C223</t>
        </is>
      </c>
      <c r="B1392" s="17" t="inlineStr"/>
      <c r="C1392" s="17" t="inlineStr">
        <is>
          <t>알보젠코리아(주)</t>
        </is>
      </c>
      <c r="D1392" s="17" t="inlineStr"/>
      <c r="E1392" s="17" t="inlineStr">
        <is>
          <t>FDA·EMA 실사</t>
        </is>
      </c>
      <c r="F1392" s="17" t="inlineStr">
        <is>
          <t>미확인</t>
        </is>
      </c>
      <c r="G1392" s="17" t="inlineStr">
        <is>
          <t>웹조사 자동화 실패(세션한도)</t>
        </is>
      </c>
      <c r="H1392" s="17" t="inlineStr">
        <is>
          <t>N</t>
        </is>
      </c>
      <c r="I1392" s="17" t="inlineStr">
        <is>
          <t>FDA Inspection DB</t>
        </is>
      </c>
      <c r="J1392" s="17" t="inlineStr">
        <is>
          <t>FDA Inspection DB에서 확인</t>
        </is>
      </c>
      <c r="K1392" s="17" t="inlineStr">
        <is>
          <t>낮음</t>
        </is>
      </c>
      <c r="L1392" s="17" t="inlineStr"/>
    </row>
    <row r="1393">
      <c r="A1393" s="17" t="inlineStr">
        <is>
          <t>C223</t>
        </is>
      </c>
      <c r="B1393" s="17" t="inlineStr"/>
      <c r="C1393" s="17" t="inlineStr">
        <is>
          <t>알보젠코리아(주)</t>
        </is>
      </c>
      <c r="D1393" s="17" t="inlineStr"/>
      <c r="E1393" s="17" t="inlineStr">
        <is>
          <t>CMO·CDMO</t>
        </is>
      </c>
      <c r="F1393" s="17" t="inlineStr">
        <is>
          <t>미확인</t>
        </is>
      </c>
      <c r="G1393" s="17" t="inlineStr">
        <is>
          <t>웹조사 자동화 실패(세션한도)</t>
        </is>
      </c>
      <c r="H1393" s="17" t="inlineStr">
        <is>
          <t>N</t>
        </is>
      </c>
      <c r="I1393" s="17" t="inlineStr">
        <is>
          <t>회사 홈페이지</t>
        </is>
      </c>
      <c r="J1393" s="17" t="inlineStr">
        <is>
          <t>회사 홈페이지에서 확인</t>
        </is>
      </c>
      <c r="K1393" s="17" t="inlineStr">
        <is>
          <t>낮음</t>
        </is>
      </c>
      <c r="L1393" s="17" t="inlineStr"/>
    </row>
    <row r="1394">
      <c r="A1394" s="17" t="inlineStr">
        <is>
          <t>C223</t>
        </is>
      </c>
      <c r="B1394" s="17" t="inlineStr"/>
      <c r="C1394" s="17" t="inlineStr">
        <is>
          <t>알보젠코리아(주)</t>
        </is>
      </c>
      <c r="D1394" s="17" t="inlineStr"/>
      <c r="E1394" s="17" t="inlineStr">
        <is>
          <t>신공장·증설</t>
        </is>
      </c>
      <c r="F1394" s="17" t="inlineStr">
        <is>
          <t>미확인</t>
        </is>
      </c>
      <c r="G1394" s="17" t="inlineStr">
        <is>
          <t>웹조사 자동화 실패(세션한도)</t>
        </is>
      </c>
      <c r="H1394" s="17" t="inlineStr">
        <is>
          <t>N</t>
        </is>
      </c>
      <c r="I1394" s="17" t="inlineStr">
        <is>
          <t>언론·지자체 발표</t>
        </is>
      </c>
      <c r="J1394" s="17" t="inlineStr">
        <is>
          <t>언론·지자체 발표에서 확인</t>
        </is>
      </c>
      <c r="K1394" s="17" t="inlineStr">
        <is>
          <t>낮음</t>
        </is>
      </c>
      <c r="L1394" s="17" t="inlineStr"/>
    </row>
    <row r="1395">
      <c r="A1395" s="17" t="inlineStr">
        <is>
          <t>C224</t>
        </is>
      </c>
      <c r="B1395" s="17" t="inlineStr"/>
      <c r="C1395" s="17" t="inlineStr">
        <is>
          <t>신화제약(주)</t>
        </is>
      </c>
      <c r="D1395" s="17" t="inlineStr"/>
      <c r="E1395" s="17" t="inlineStr">
        <is>
          <t>최근매출(억원)</t>
        </is>
      </c>
      <c r="F1395" s="17" t="inlineStr">
        <is>
          <t>미확인</t>
        </is>
      </c>
      <c r="G1395" s="17" t="inlineStr">
        <is>
          <t>웹조사 자동화 실패(세션한도)</t>
        </is>
      </c>
      <c r="H1395" s="17" t="inlineStr">
        <is>
          <t>N</t>
        </is>
      </c>
      <c r="I1395" s="17" t="inlineStr">
        <is>
          <t>DART 사업보고서</t>
        </is>
      </c>
      <c r="J1395" s="17" t="inlineStr">
        <is>
          <t>DART 사업보고서에서 확인</t>
        </is>
      </c>
      <c r="K1395" s="17" t="inlineStr">
        <is>
          <t>낮음</t>
        </is>
      </c>
      <c r="L1395" s="17" t="inlineStr"/>
    </row>
    <row r="1396">
      <c r="A1396" s="17" t="inlineStr">
        <is>
          <t>C224</t>
        </is>
      </c>
      <c r="B1396" s="17" t="inlineStr"/>
      <c r="C1396" s="17" t="inlineStr">
        <is>
          <t>신화제약(주)</t>
        </is>
      </c>
      <c r="D1396" s="17" t="inlineStr"/>
      <c r="E1396" s="17" t="inlineStr">
        <is>
          <t>종업원수</t>
        </is>
      </c>
      <c r="F1396" s="17" t="inlineStr">
        <is>
          <t>미확인</t>
        </is>
      </c>
      <c r="G1396" s="17" t="inlineStr">
        <is>
          <t>웹조사 자동화 실패(세션한도)</t>
        </is>
      </c>
      <c r="H1396" s="17" t="inlineStr">
        <is>
          <t>N</t>
        </is>
      </c>
      <c r="I1396" s="17" t="inlineStr">
        <is>
          <t>DART/채용</t>
        </is>
      </c>
      <c r="J1396" s="17" t="inlineStr">
        <is>
          <t>DART/채용에서 확인</t>
        </is>
      </c>
      <c r="K1396" s="17" t="inlineStr">
        <is>
          <t>낮음</t>
        </is>
      </c>
      <c r="L1396" s="17" t="inlineStr"/>
    </row>
    <row r="1397">
      <c r="A1397" s="17" t="inlineStr">
        <is>
          <t>C224</t>
        </is>
      </c>
      <c r="B1397" s="17" t="inlineStr"/>
      <c r="C1397" s="17" t="inlineStr">
        <is>
          <t>신화제약(주)</t>
        </is>
      </c>
      <c r="D1397" s="17" t="inlineStr"/>
      <c r="E1397" s="17" t="inlineStr">
        <is>
          <t>수출여부</t>
        </is>
      </c>
      <c r="F1397" s="17" t="inlineStr">
        <is>
          <t>미확인</t>
        </is>
      </c>
      <c r="G1397" s="17" t="inlineStr">
        <is>
          <t>웹조사 자동화 실패(세션한도)</t>
        </is>
      </c>
      <c r="H1397" s="17" t="inlineStr">
        <is>
          <t>N</t>
        </is>
      </c>
      <c r="I1397" s="17" t="inlineStr">
        <is>
          <t>회사 공시·홈페이지</t>
        </is>
      </c>
      <c r="J1397" s="17" t="inlineStr">
        <is>
          <t>회사 공시·홈페이지에서 확인</t>
        </is>
      </c>
      <c r="K1397" s="17" t="inlineStr">
        <is>
          <t>낮음</t>
        </is>
      </c>
      <c r="L1397" s="17" t="inlineStr"/>
    </row>
    <row r="1398">
      <c r="A1398" s="17" t="inlineStr">
        <is>
          <t>C224</t>
        </is>
      </c>
      <c r="B1398" s="17" t="inlineStr"/>
      <c r="C1398" s="17" t="inlineStr">
        <is>
          <t>신화제약(주)</t>
        </is>
      </c>
      <c r="D1398" s="17" t="inlineStr"/>
      <c r="E1398" s="17" t="inlineStr">
        <is>
          <t>FDA·EMA 실사</t>
        </is>
      </c>
      <c r="F1398" s="17" t="inlineStr">
        <is>
          <t>미확인</t>
        </is>
      </c>
      <c r="G1398" s="17" t="inlineStr">
        <is>
          <t>웹조사 자동화 실패(세션한도)</t>
        </is>
      </c>
      <c r="H1398" s="17" t="inlineStr">
        <is>
          <t>N</t>
        </is>
      </c>
      <c r="I1398" s="17" t="inlineStr">
        <is>
          <t>FDA Inspection DB</t>
        </is>
      </c>
      <c r="J1398" s="17" t="inlineStr">
        <is>
          <t>FDA Inspection DB에서 확인</t>
        </is>
      </c>
      <c r="K1398" s="17" t="inlineStr">
        <is>
          <t>낮음</t>
        </is>
      </c>
      <c r="L1398" s="17" t="inlineStr"/>
    </row>
    <row r="1399">
      <c r="A1399" s="17" t="inlineStr">
        <is>
          <t>C224</t>
        </is>
      </c>
      <c r="B1399" s="17" t="inlineStr"/>
      <c r="C1399" s="17" t="inlineStr">
        <is>
          <t>신화제약(주)</t>
        </is>
      </c>
      <c r="D1399" s="17" t="inlineStr"/>
      <c r="E1399" s="17" t="inlineStr">
        <is>
          <t>CMO·CDMO</t>
        </is>
      </c>
      <c r="F1399" s="17" t="inlineStr">
        <is>
          <t>미확인</t>
        </is>
      </c>
      <c r="G1399" s="17" t="inlineStr">
        <is>
          <t>웹조사 자동화 실패(세션한도)</t>
        </is>
      </c>
      <c r="H1399" s="17" t="inlineStr">
        <is>
          <t>N</t>
        </is>
      </c>
      <c r="I1399" s="17" t="inlineStr">
        <is>
          <t>회사 홈페이지</t>
        </is>
      </c>
      <c r="J1399" s="17" t="inlineStr">
        <is>
          <t>회사 홈페이지에서 확인</t>
        </is>
      </c>
      <c r="K1399" s="17" t="inlineStr">
        <is>
          <t>낮음</t>
        </is>
      </c>
      <c r="L1399" s="17" t="inlineStr"/>
    </row>
    <row r="1400">
      <c r="A1400" s="17" t="inlineStr">
        <is>
          <t>C224</t>
        </is>
      </c>
      <c r="B1400" s="17" t="inlineStr"/>
      <c r="C1400" s="17" t="inlineStr">
        <is>
          <t>신화제약(주)</t>
        </is>
      </c>
      <c r="D1400" s="17" t="inlineStr"/>
      <c r="E1400" s="17" t="inlineStr">
        <is>
          <t>신공장·증설</t>
        </is>
      </c>
      <c r="F1400" s="17" t="inlineStr">
        <is>
          <t>미확인</t>
        </is>
      </c>
      <c r="G1400" s="17" t="inlineStr">
        <is>
          <t>웹조사 자동화 실패(세션한도)</t>
        </is>
      </c>
      <c r="H1400" s="17" t="inlineStr">
        <is>
          <t>N</t>
        </is>
      </c>
      <c r="I1400" s="17" t="inlineStr">
        <is>
          <t>언론·지자체 발표</t>
        </is>
      </c>
      <c r="J1400" s="17" t="inlineStr">
        <is>
          <t>언론·지자체 발표에서 확인</t>
        </is>
      </c>
      <c r="K1400" s="17" t="inlineStr">
        <is>
          <t>낮음</t>
        </is>
      </c>
      <c r="L1400" s="17" t="inlineStr"/>
    </row>
    <row r="1401">
      <c r="A1401" s="17" t="inlineStr">
        <is>
          <t>C225</t>
        </is>
      </c>
      <c r="B1401" s="17" t="inlineStr"/>
      <c r="C1401" s="17" t="inlineStr">
        <is>
          <t>(주)비씨월드제약</t>
        </is>
      </c>
      <c r="D1401" s="17" t="inlineStr"/>
      <c r="E1401" s="17" t="inlineStr">
        <is>
          <t>최근매출(억원)</t>
        </is>
      </c>
      <c r="F1401" s="17" t="inlineStr">
        <is>
          <t>미확인</t>
        </is>
      </c>
      <c r="G1401" s="17" t="inlineStr">
        <is>
          <t>웹조사 자동화 실패(세션한도)</t>
        </is>
      </c>
      <c r="H1401" s="17" t="inlineStr">
        <is>
          <t>N</t>
        </is>
      </c>
      <c r="I1401" s="17" t="inlineStr">
        <is>
          <t>DART 사업보고서</t>
        </is>
      </c>
      <c r="J1401" s="17" t="inlineStr">
        <is>
          <t>DART 사업보고서에서 확인</t>
        </is>
      </c>
      <c r="K1401" s="17" t="inlineStr">
        <is>
          <t>낮음</t>
        </is>
      </c>
      <c r="L1401" s="17" t="inlineStr"/>
    </row>
    <row r="1402">
      <c r="A1402" s="17" t="inlineStr">
        <is>
          <t>C225</t>
        </is>
      </c>
      <c r="B1402" s="17" t="inlineStr"/>
      <c r="C1402" s="17" t="inlineStr">
        <is>
          <t>(주)비씨월드제약</t>
        </is>
      </c>
      <c r="D1402" s="17" t="inlineStr"/>
      <c r="E1402" s="17" t="inlineStr">
        <is>
          <t>종업원수</t>
        </is>
      </c>
      <c r="F1402" s="17" t="inlineStr">
        <is>
          <t>미확인</t>
        </is>
      </c>
      <c r="G1402" s="17" t="inlineStr">
        <is>
          <t>웹조사 자동화 실패(세션한도)</t>
        </is>
      </c>
      <c r="H1402" s="17" t="inlineStr">
        <is>
          <t>N</t>
        </is>
      </c>
      <c r="I1402" s="17" t="inlineStr">
        <is>
          <t>DART/채용</t>
        </is>
      </c>
      <c r="J1402" s="17" t="inlineStr">
        <is>
          <t>DART/채용에서 확인</t>
        </is>
      </c>
      <c r="K1402" s="17" t="inlineStr">
        <is>
          <t>낮음</t>
        </is>
      </c>
      <c r="L1402" s="17" t="inlineStr"/>
    </row>
    <row r="1403">
      <c r="A1403" s="17" t="inlineStr">
        <is>
          <t>C225</t>
        </is>
      </c>
      <c r="B1403" s="17" t="inlineStr"/>
      <c r="C1403" s="17" t="inlineStr">
        <is>
          <t>(주)비씨월드제약</t>
        </is>
      </c>
      <c r="D1403" s="17" t="inlineStr"/>
      <c r="E1403" s="17" t="inlineStr">
        <is>
          <t>수출여부</t>
        </is>
      </c>
      <c r="F1403" s="17" t="inlineStr">
        <is>
          <t>미확인</t>
        </is>
      </c>
      <c r="G1403" s="17" t="inlineStr">
        <is>
          <t>웹조사 자동화 실패(세션한도)</t>
        </is>
      </c>
      <c r="H1403" s="17" t="inlineStr">
        <is>
          <t>N</t>
        </is>
      </c>
      <c r="I1403" s="17" t="inlineStr">
        <is>
          <t>회사 공시·홈페이지</t>
        </is>
      </c>
      <c r="J1403" s="17" t="inlineStr">
        <is>
          <t>회사 공시·홈페이지에서 확인</t>
        </is>
      </c>
      <c r="K1403" s="17" t="inlineStr">
        <is>
          <t>낮음</t>
        </is>
      </c>
      <c r="L1403" s="17" t="inlineStr"/>
    </row>
    <row r="1404">
      <c r="A1404" s="17" t="inlineStr">
        <is>
          <t>C225</t>
        </is>
      </c>
      <c r="B1404" s="17" t="inlineStr"/>
      <c r="C1404" s="17" t="inlineStr">
        <is>
          <t>(주)비씨월드제약</t>
        </is>
      </c>
      <c r="D1404" s="17" t="inlineStr"/>
      <c r="E1404" s="17" t="inlineStr">
        <is>
          <t>FDA·EMA 실사</t>
        </is>
      </c>
      <c r="F1404" s="17" t="inlineStr">
        <is>
          <t>미확인</t>
        </is>
      </c>
      <c r="G1404" s="17" t="inlineStr">
        <is>
          <t>웹조사 자동화 실패(세션한도)</t>
        </is>
      </c>
      <c r="H1404" s="17" t="inlineStr">
        <is>
          <t>N</t>
        </is>
      </c>
      <c r="I1404" s="17" t="inlineStr">
        <is>
          <t>FDA Inspection DB</t>
        </is>
      </c>
      <c r="J1404" s="17" t="inlineStr">
        <is>
          <t>FDA Inspection DB에서 확인</t>
        </is>
      </c>
      <c r="K1404" s="17" t="inlineStr">
        <is>
          <t>낮음</t>
        </is>
      </c>
      <c r="L1404" s="17" t="inlineStr"/>
    </row>
    <row r="1405">
      <c r="A1405" s="17" t="inlineStr">
        <is>
          <t>C225</t>
        </is>
      </c>
      <c r="B1405" s="17" t="inlineStr"/>
      <c r="C1405" s="17" t="inlineStr">
        <is>
          <t>(주)비씨월드제약</t>
        </is>
      </c>
      <c r="D1405" s="17" t="inlineStr"/>
      <c r="E1405" s="17" t="inlineStr">
        <is>
          <t>CMO·CDMO</t>
        </is>
      </c>
      <c r="F1405" s="17" t="inlineStr">
        <is>
          <t>미확인</t>
        </is>
      </c>
      <c r="G1405" s="17" t="inlineStr">
        <is>
          <t>웹조사 자동화 실패(세션한도)</t>
        </is>
      </c>
      <c r="H1405" s="17" t="inlineStr">
        <is>
          <t>N</t>
        </is>
      </c>
      <c r="I1405" s="17" t="inlineStr">
        <is>
          <t>회사 홈페이지</t>
        </is>
      </c>
      <c r="J1405" s="17" t="inlineStr">
        <is>
          <t>회사 홈페이지에서 확인</t>
        </is>
      </c>
      <c r="K1405" s="17" t="inlineStr">
        <is>
          <t>낮음</t>
        </is>
      </c>
      <c r="L1405" s="17" t="inlineStr"/>
    </row>
    <row r="1406">
      <c r="A1406" s="17" t="inlineStr">
        <is>
          <t>C225</t>
        </is>
      </c>
      <c r="B1406" s="17" t="inlineStr"/>
      <c r="C1406" s="17" t="inlineStr">
        <is>
          <t>(주)비씨월드제약</t>
        </is>
      </c>
      <c r="D1406" s="17" t="inlineStr"/>
      <c r="E1406" s="17" t="inlineStr">
        <is>
          <t>신공장·증설</t>
        </is>
      </c>
      <c r="F1406" s="17" t="inlineStr">
        <is>
          <t>미확인</t>
        </is>
      </c>
      <c r="G1406" s="17" t="inlineStr">
        <is>
          <t>웹조사 자동화 실패(세션한도)</t>
        </is>
      </c>
      <c r="H1406" s="17" t="inlineStr">
        <is>
          <t>N</t>
        </is>
      </c>
      <c r="I1406" s="17" t="inlineStr">
        <is>
          <t>언론·지자체 발표</t>
        </is>
      </c>
      <c r="J1406" s="17" t="inlineStr">
        <is>
          <t>언론·지자체 발표에서 확인</t>
        </is>
      </c>
      <c r="K1406" s="17" t="inlineStr">
        <is>
          <t>낮음</t>
        </is>
      </c>
      <c r="L1406" s="17" t="inlineStr"/>
    </row>
    <row r="1407">
      <c r="A1407" s="17" t="inlineStr">
        <is>
          <t>C226</t>
        </is>
      </c>
      <c r="B1407" s="17" t="inlineStr"/>
      <c r="C1407" s="17" t="inlineStr">
        <is>
          <t>(주)아이티켐</t>
        </is>
      </c>
      <c r="D1407" s="17" t="inlineStr"/>
      <c r="E1407" s="17" t="inlineStr">
        <is>
          <t>최근매출(억원)</t>
        </is>
      </c>
      <c r="F1407" s="17" t="inlineStr">
        <is>
          <t>미확인</t>
        </is>
      </c>
      <c r="G1407" s="17" t="inlineStr">
        <is>
          <t>웹조사 자동화 실패(세션한도)</t>
        </is>
      </c>
      <c r="H1407" s="17" t="inlineStr">
        <is>
          <t>N</t>
        </is>
      </c>
      <c r="I1407" s="17" t="inlineStr">
        <is>
          <t>DART 사업보고서</t>
        </is>
      </c>
      <c r="J1407" s="17" t="inlineStr">
        <is>
          <t>DART 사업보고서에서 확인</t>
        </is>
      </c>
      <c r="K1407" s="17" t="inlineStr">
        <is>
          <t>낮음</t>
        </is>
      </c>
      <c r="L1407" s="17" t="inlineStr"/>
    </row>
    <row r="1408">
      <c r="A1408" s="17" t="inlineStr">
        <is>
          <t>C226</t>
        </is>
      </c>
      <c r="B1408" s="17" t="inlineStr"/>
      <c r="C1408" s="17" t="inlineStr">
        <is>
          <t>(주)아이티켐</t>
        </is>
      </c>
      <c r="D1408" s="17" t="inlineStr"/>
      <c r="E1408" s="17" t="inlineStr">
        <is>
          <t>종업원수</t>
        </is>
      </c>
      <c r="F1408" s="17" t="inlineStr">
        <is>
          <t>미확인</t>
        </is>
      </c>
      <c r="G1408" s="17" t="inlineStr">
        <is>
          <t>웹조사 자동화 실패(세션한도)</t>
        </is>
      </c>
      <c r="H1408" s="17" t="inlineStr">
        <is>
          <t>N</t>
        </is>
      </c>
      <c r="I1408" s="17" t="inlineStr">
        <is>
          <t>DART/채용</t>
        </is>
      </c>
      <c r="J1408" s="17" t="inlineStr">
        <is>
          <t>DART/채용에서 확인</t>
        </is>
      </c>
      <c r="K1408" s="17" t="inlineStr">
        <is>
          <t>낮음</t>
        </is>
      </c>
      <c r="L1408" s="17" t="inlineStr"/>
    </row>
    <row r="1409">
      <c r="A1409" s="17" t="inlineStr">
        <is>
          <t>C226</t>
        </is>
      </c>
      <c r="B1409" s="17" t="inlineStr"/>
      <c r="C1409" s="17" t="inlineStr">
        <is>
          <t>(주)아이티켐</t>
        </is>
      </c>
      <c r="D1409" s="17" t="inlineStr"/>
      <c r="E1409" s="17" t="inlineStr">
        <is>
          <t>수출여부</t>
        </is>
      </c>
      <c r="F1409" s="17" t="inlineStr">
        <is>
          <t>미확인</t>
        </is>
      </c>
      <c r="G1409" s="17" t="inlineStr">
        <is>
          <t>웹조사 자동화 실패(세션한도)</t>
        </is>
      </c>
      <c r="H1409" s="17" t="inlineStr">
        <is>
          <t>N</t>
        </is>
      </c>
      <c r="I1409" s="17" t="inlineStr">
        <is>
          <t>회사 공시·홈페이지</t>
        </is>
      </c>
      <c r="J1409" s="17" t="inlineStr">
        <is>
          <t>회사 공시·홈페이지에서 확인</t>
        </is>
      </c>
      <c r="K1409" s="17" t="inlineStr">
        <is>
          <t>낮음</t>
        </is>
      </c>
      <c r="L1409" s="17" t="inlineStr"/>
    </row>
    <row r="1410">
      <c r="A1410" s="17" t="inlineStr">
        <is>
          <t>C226</t>
        </is>
      </c>
      <c r="B1410" s="17" t="inlineStr"/>
      <c r="C1410" s="17" t="inlineStr">
        <is>
          <t>(주)아이티켐</t>
        </is>
      </c>
      <c r="D1410" s="17" t="inlineStr"/>
      <c r="E1410" s="17" t="inlineStr">
        <is>
          <t>FDA·EMA 실사</t>
        </is>
      </c>
      <c r="F1410" s="17" t="inlineStr">
        <is>
          <t>미확인</t>
        </is>
      </c>
      <c r="G1410" s="17" t="inlineStr">
        <is>
          <t>웹조사 자동화 실패(세션한도)</t>
        </is>
      </c>
      <c r="H1410" s="17" t="inlineStr">
        <is>
          <t>N</t>
        </is>
      </c>
      <c r="I1410" s="17" t="inlineStr">
        <is>
          <t>FDA Inspection DB</t>
        </is>
      </c>
      <c r="J1410" s="17" t="inlineStr">
        <is>
          <t>FDA Inspection DB에서 확인</t>
        </is>
      </c>
      <c r="K1410" s="17" t="inlineStr">
        <is>
          <t>낮음</t>
        </is>
      </c>
      <c r="L1410" s="17" t="inlineStr"/>
    </row>
    <row r="1411">
      <c r="A1411" s="17" t="inlineStr">
        <is>
          <t>C226</t>
        </is>
      </c>
      <c r="B1411" s="17" t="inlineStr"/>
      <c r="C1411" s="17" t="inlineStr">
        <is>
          <t>(주)아이티켐</t>
        </is>
      </c>
      <c r="D1411" s="17" t="inlineStr"/>
      <c r="E1411" s="17" t="inlineStr">
        <is>
          <t>CMO·CDMO</t>
        </is>
      </c>
      <c r="F1411" s="17" t="inlineStr">
        <is>
          <t>미확인</t>
        </is>
      </c>
      <c r="G1411" s="17" t="inlineStr">
        <is>
          <t>웹조사 자동화 실패(세션한도)</t>
        </is>
      </c>
      <c r="H1411" s="17" t="inlineStr">
        <is>
          <t>N</t>
        </is>
      </c>
      <c r="I1411" s="17" t="inlineStr">
        <is>
          <t>회사 홈페이지</t>
        </is>
      </c>
      <c r="J1411" s="17" t="inlineStr">
        <is>
          <t>회사 홈페이지에서 확인</t>
        </is>
      </c>
      <c r="K1411" s="17" t="inlineStr">
        <is>
          <t>낮음</t>
        </is>
      </c>
      <c r="L1411" s="17" t="inlineStr"/>
    </row>
    <row r="1412">
      <c r="A1412" s="17" t="inlineStr">
        <is>
          <t>C226</t>
        </is>
      </c>
      <c r="B1412" s="17" t="inlineStr"/>
      <c r="C1412" s="17" t="inlineStr">
        <is>
          <t>(주)아이티켐</t>
        </is>
      </c>
      <c r="D1412" s="17" t="inlineStr"/>
      <c r="E1412" s="17" t="inlineStr">
        <is>
          <t>신공장·증설</t>
        </is>
      </c>
      <c r="F1412" s="17" t="inlineStr">
        <is>
          <t>미확인</t>
        </is>
      </c>
      <c r="G1412" s="17" t="inlineStr">
        <is>
          <t>웹조사 자동화 실패(세션한도)</t>
        </is>
      </c>
      <c r="H1412" s="17" t="inlineStr">
        <is>
          <t>N</t>
        </is>
      </c>
      <c r="I1412" s="17" t="inlineStr">
        <is>
          <t>언론·지자체 발표</t>
        </is>
      </c>
      <c r="J1412" s="17" t="inlineStr">
        <is>
          <t>언론·지자체 발표에서 확인</t>
        </is>
      </c>
      <c r="K1412" s="17" t="inlineStr">
        <is>
          <t>낮음</t>
        </is>
      </c>
      <c r="L1412" s="17" t="inlineStr"/>
    </row>
    <row r="1413">
      <c r="A1413" s="17" t="inlineStr">
        <is>
          <t>C227</t>
        </is>
      </c>
      <c r="B1413" s="17" t="inlineStr"/>
      <c r="C1413" s="17" t="inlineStr">
        <is>
          <t>동양산업가스(주)</t>
        </is>
      </c>
      <c r="D1413" s="17" t="inlineStr"/>
      <c r="E1413" s="17" t="inlineStr">
        <is>
          <t>최근매출(억원)</t>
        </is>
      </c>
      <c r="F1413" s="17" t="inlineStr">
        <is>
          <t>미확인</t>
        </is>
      </c>
      <c r="G1413" s="17" t="inlineStr">
        <is>
          <t>웹조사 자동화 실패(세션한도)</t>
        </is>
      </c>
      <c r="H1413" s="17" t="inlineStr">
        <is>
          <t>N</t>
        </is>
      </c>
      <c r="I1413" s="17" t="inlineStr">
        <is>
          <t>DART 사업보고서</t>
        </is>
      </c>
      <c r="J1413" s="17" t="inlineStr">
        <is>
          <t>DART 사업보고서에서 확인</t>
        </is>
      </c>
      <c r="K1413" s="17" t="inlineStr">
        <is>
          <t>낮음</t>
        </is>
      </c>
      <c r="L1413" s="17" t="inlineStr"/>
    </row>
    <row r="1414">
      <c r="A1414" s="17" t="inlineStr">
        <is>
          <t>C227</t>
        </is>
      </c>
      <c r="B1414" s="17" t="inlineStr"/>
      <c r="C1414" s="17" t="inlineStr">
        <is>
          <t>동양산업가스(주)</t>
        </is>
      </c>
      <c r="D1414" s="17" t="inlineStr"/>
      <c r="E1414" s="17" t="inlineStr">
        <is>
          <t>종업원수</t>
        </is>
      </c>
      <c r="F1414" s="17" t="inlineStr">
        <is>
          <t>미확인</t>
        </is>
      </c>
      <c r="G1414" s="17" t="inlineStr">
        <is>
          <t>웹조사 자동화 실패(세션한도)</t>
        </is>
      </c>
      <c r="H1414" s="17" t="inlineStr">
        <is>
          <t>N</t>
        </is>
      </c>
      <c r="I1414" s="17" t="inlineStr">
        <is>
          <t>DART/채용</t>
        </is>
      </c>
      <c r="J1414" s="17" t="inlineStr">
        <is>
          <t>DART/채용에서 확인</t>
        </is>
      </c>
      <c r="K1414" s="17" t="inlineStr">
        <is>
          <t>낮음</t>
        </is>
      </c>
      <c r="L1414" s="17" t="inlineStr"/>
    </row>
    <row r="1415">
      <c r="A1415" s="17" t="inlineStr">
        <is>
          <t>C227</t>
        </is>
      </c>
      <c r="B1415" s="17" t="inlineStr"/>
      <c r="C1415" s="17" t="inlineStr">
        <is>
          <t>동양산업가스(주)</t>
        </is>
      </c>
      <c r="D1415" s="17" t="inlineStr"/>
      <c r="E1415" s="17" t="inlineStr">
        <is>
          <t>수출여부</t>
        </is>
      </c>
      <c r="F1415" s="17" t="inlineStr">
        <is>
          <t>미확인</t>
        </is>
      </c>
      <c r="G1415" s="17" t="inlineStr">
        <is>
          <t>웹조사 자동화 실패(세션한도)</t>
        </is>
      </c>
      <c r="H1415" s="17" t="inlineStr">
        <is>
          <t>N</t>
        </is>
      </c>
      <c r="I1415" s="17" t="inlineStr">
        <is>
          <t>회사 공시·홈페이지</t>
        </is>
      </c>
      <c r="J1415" s="17" t="inlineStr">
        <is>
          <t>회사 공시·홈페이지에서 확인</t>
        </is>
      </c>
      <c r="K1415" s="17" t="inlineStr">
        <is>
          <t>낮음</t>
        </is>
      </c>
      <c r="L1415" s="17" t="inlineStr"/>
    </row>
    <row r="1416">
      <c r="A1416" s="17" t="inlineStr">
        <is>
          <t>C227</t>
        </is>
      </c>
      <c r="B1416" s="17" t="inlineStr"/>
      <c r="C1416" s="17" t="inlineStr">
        <is>
          <t>동양산업가스(주)</t>
        </is>
      </c>
      <c r="D1416" s="17" t="inlineStr"/>
      <c r="E1416" s="17" t="inlineStr">
        <is>
          <t>FDA·EMA 실사</t>
        </is>
      </c>
      <c r="F1416" s="17" t="inlineStr">
        <is>
          <t>미확인</t>
        </is>
      </c>
      <c r="G1416" s="17" t="inlineStr">
        <is>
          <t>웹조사 자동화 실패(세션한도)</t>
        </is>
      </c>
      <c r="H1416" s="17" t="inlineStr">
        <is>
          <t>N</t>
        </is>
      </c>
      <c r="I1416" s="17" t="inlineStr">
        <is>
          <t>FDA Inspection DB</t>
        </is>
      </c>
      <c r="J1416" s="17" t="inlineStr">
        <is>
          <t>FDA Inspection DB에서 확인</t>
        </is>
      </c>
      <c r="K1416" s="17" t="inlineStr">
        <is>
          <t>낮음</t>
        </is>
      </c>
      <c r="L1416" s="17" t="inlineStr"/>
    </row>
    <row r="1417">
      <c r="A1417" s="17" t="inlineStr">
        <is>
          <t>C227</t>
        </is>
      </c>
      <c r="B1417" s="17" t="inlineStr"/>
      <c r="C1417" s="17" t="inlineStr">
        <is>
          <t>동양산업가스(주)</t>
        </is>
      </c>
      <c r="D1417" s="17" t="inlineStr"/>
      <c r="E1417" s="17" t="inlineStr">
        <is>
          <t>CMO·CDMO</t>
        </is>
      </c>
      <c r="F1417" s="17" t="inlineStr">
        <is>
          <t>미확인</t>
        </is>
      </c>
      <c r="G1417" s="17" t="inlineStr">
        <is>
          <t>웹조사 자동화 실패(세션한도)</t>
        </is>
      </c>
      <c r="H1417" s="17" t="inlineStr">
        <is>
          <t>N</t>
        </is>
      </c>
      <c r="I1417" s="17" t="inlineStr">
        <is>
          <t>회사 홈페이지</t>
        </is>
      </c>
      <c r="J1417" s="17" t="inlineStr">
        <is>
          <t>회사 홈페이지에서 확인</t>
        </is>
      </c>
      <c r="K1417" s="17" t="inlineStr">
        <is>
          <t>낮음</t>
        </is>
      </c>
      <c r="L1417" s="17" t="inlineStr"/>
    </row>
    <row r="1418">
      <c r="A1418" s="17" t="inlineStr">
        <is>
          <t>C227</t>
        </is>
      </c>
      <c r="B1418" s="17" t="inlineStr"/>
      <c r="C1418" s="17" t="inlineStr">
        <is>
          <t>동양산업가스(주)</t>
        </is>
      </c>
      <c r="D1418" s="17" t="inlineStr"/>
      <c r="E1418" s="17" t="inlineStr">
        <is>
          <t>신공장·증설</t>
        </is>
      </c>
      <c r="F1418" s="17" t="inlineStr">
        <is>
          <t>미확인</t>
        </is>
      </c>
      <c r="G1418" s="17" t="inlineStr">
        <is>
          <t>웹조사 자동화 실패(세션한도)</t>
        </is>
      </c>
      <c r="H1418" s="17" t="inlineStr">
        <is>
          <t>N</t>
        </is>
      </c>
      <c r="I1418" s="17" t="inlineStr">
        <is>
          <t>언론·지자체 발표</t>
        </is>
      </c>
      <c r="J1418" s="17" t="inlineStr">
        <is>
          <t>언론·지자체 발표에서 확인</t>
        </is>
      </c>
      <c r="K1418" s="17" t="inlineStr">
        <is>
          <t>낮음</t>
        </is>
      </c>
      <c r="L1418" s="17" t="inlineStr"/>
    </row>
    <row r="1419">
      <c r="A1419" s="17" t="inlineStr">
        <is>
          <t>C227</t>
        </is>
      </c>
      <c r="B1419" s="17" t="inlineStr"/>
      <c r="C1419" s="17" t="inlineStr">
        <is>
          <t>동양산업가스(주)</t>
        </is>
      </c>
      <c r="D1419" s="17" t="inlineStr"/>
      <c r="E1419" s="17" t="inlineStr">
        <is>
          <t>대표전화</t>
        </is>
      </c>
      <c r="F1419" s="17" t="inlineStr">
        <is>
          <t>미확인</t>
        </is>
      </c>
      <c r="G1419" s="17" t="inlineStr">
        <is>
          <t>제조소상세 미매칭</t>
        </is>
      </c>
      <c r="H1419" s="17" t="inlineStr">
        <is>
          <t>Y</t>
        </is>
      </c>
      <c r="I1419" s="17" t="inlineStr">
        <is>
          <t>회사 홈페이지</t>
        </is>
      </c>
      <c r="J1419" s="17" t="inlineStr">
        <is>
          <t>홈페이지에서 대표번호 확인</t>
        </is>
      </c>
      <c r="K1419" s="17" t="inlineStr">
        <is>
          <t>낮음</t>
        </is>
      </c>
      <c r="L1419" s="17" t="inlineStr"/>
    </row>
    <row r="1420">
      <c r="A1420" s="17" t="inlineStr">
        <is>
          <t>C228</t>
        </is>
      </c>
      <c r="B1420" s="17" t="inlineStr"/>
      <c r="C1420" s="17" t="inlineStr">
        <is>
          <t>신일가스(주)-영암</t>
        </is>
      </c>
      <c r="D1420" s="17" t="inlineStr"/>
      <c r="E1420" s="17" t="inlineStr">
        <is>
          <t>최근매출(억원)</t>
        </is>
      </c>
      <c r="F1420" s="17" t="inlineStr">
        <is>
          <t>미확인</t>
        </is>
      </c>
      <c r="G1420" s="17" t="inlineStr">
        <is>
          <t>웹조사 자동화 실패(세션한도)</t>
        </is>
      </c>
      <c r="H1420" s="17" t="inlineStr">
        <is>
          <t>N</t>
        </is>
      </c>
      <c r="I1420" s="17" t="inlineStr">
        <is>
          <t>DART 사업보고서</t>
        </is>
      </c>
      <c r="J1420" s="17" t="inlineStr">
        <is>
          <t>DART 사업보고서에서 확인</t>
        </is>
      </c>
      <c r="K1420" s="17" t="inlineStr">
        <is>
          <t>낮음</t>
        </is>
      </c>
      <c r="L1420" s="17" t="inlineStr"/>
    </row>
    <row r="1421">
      <c r="A1421" s="17" t="inlineStr">
        <is>
          <t>C228</t>
        </is>
      </c>
      <c r="B1421" s="17" t="inlineStr"/>
      <c r="C1421" s="17" t="inlineStr">
        <is>
          <t>신일가스(주)-영암</t>
        </is>
      </c>
      <c r="D1421" s="17" t="inlineStr"/>
      <c r="E1421" s="17" t="inlineStr">
        <is>
          <t>종업원수</t>
        </is>
      </c>
      <c r="F1421" s="17" t="inlineStr">
        <is>
          <t>미확인</t>
        </is>
      </c>
      <c r="G1421" s="17" t="inlineStr">
        <is>
          <t>웹조사 자동화 실패(세션한도)</t>
        </is>
      </c>
      <c r="H1421" s="17" t="inlineStr">
        <is>
          <t>N</t>
        </is>
      </c>
      <c r="I1421" s="17" t="inlineStr">
        <is>
          <t>DART/채용</t>
        </is>
      </c>
      <c r="J1421" s="17" t="inlineStr">
        <is>
          <t>DART/채용에서 확인</t>
        </is>
      </c>
      <c r="K1421" s="17" t="inlineStr">
        <is>
          <t>낮음</t>
        </is>
      </c>
      <c r="L1421" s="17" t="inlineStr"/>
    </row>
    <row r="1422">
      <c r="A1422" s="17" t="inlineStr">
        <is>
          <t>C228</t>
        </is>
      </c>
      <c r="B1422" s="17" t="inlineStr"/>
      <c r="C1422" s="17" t="inlineStr">
        <is>
          <t>신일가스(주)-영암</t>
        </is>
      </c>
      <c r="D1422" s="17" t="inlineStr"/>
      <c r="E1422" s="17" t="inlineStr">
        <is>
          <t>수출여부</t>
        </is>
      </c>
      <c r="F1422" s="17" t="inlineStr">
        <is>
          <t>미확인</t>
        </is>
      </c>
      <c r="G1422" s="17" t="inlineStr">
        <is>
          <t>웹조사 자동화 실패(세션한도)</t>
        </is>
      </c>
      <c r="H1422" s="17" t="inlineStr">
        <is>
          <t>N</t>
        </is>
      </c>
      <c r="I1422" s="17" t="inlineStr">
        <is>
          <t>회사 공시·홈페이지</t>
        </is>
      </c>
      <c r="J1422" s="17" t="inlineStr">
        <is>
          <t>회사 공시·홈페이지에서 확인</t>
        </is>
      </c>
      <c r="K1422" s="17" t="inlineStr">
        <is>
          <t>낮음</t>
        </is>
      </c>
      <c r="L1422" s="17" t="inlineStr"/>
    </row>
    <row r="1423">
      <c r="A1423" s="17" t="inlineStr">
        <is>
          <t>C228</t>
        </is>
      </c>
      <c r="B1423" s="17" t="inlineStr"/>
      <c r="C1423" s="17" t="inlineStr">
        <is>
          <t>신일가스(주)-영암</t>
        </is>
      </c>
      <c r="D1423" s="17" t="inlineStr"/>
      <c r="E1423" s="17" t="inlineStr">
        <is>
          <t>FDA·EMA 실사</t>
        </is>
      </c>
      <c r="F1423" s="17" t="inlineStr">
        <is>
          <t>미확인</t>
        </is>
      </c>
      <c r="G1423" s="17" t="inlineStr">
        <is>
          <t>웹조사 자동화 실패(세션한도)</t>
        </is>
      </c>
      <c r="H1423" s="17" t="inlineStr">
        <is>
          <t>N</t>
        </is>
      </c>
      <c r="I1423" s="17" t="inlineStr">
        <is>
          <t>FDA Inspection DB</t>
        </is>
      </c>
      <c r="J1423" s="17" t="inlineStr">
        <is>
          <t>FDA Inspection DB에서 확인</t>
        </is>
      </c>
      <c r="K1423" s="17" t="inlineStr">
        <is>
          <t>낮음</t>
        </is>
      </c>
      <c r="L1423" s="17" t="inlineStr"/>
    </row>
    <row r="1424">
      <c r="A1424" s="17" t="inlineStr">
        <is>
          <t>C228</t>
        </is>
      </c>
      <c r="B1424" s="17" t="inlineStr"/>
      <c r="C1424" s="17" t="inlineStr">
        <is>
          <t>신일가스(주)-영암</t>
        </is>
      </c>
      <c r="D1424" s="17" t="inlineStr"/>
      <c r="E1424" s="17" t="inlineStr">
        <is>
          <t>CMO·CDMO</t>
        </is>
      </c>
      <c r="F1424" s="17" t="inlineStr">
        <is>
          <t>미확인</t>
        </is>
      </c>
      <c r="G1424" s="17" t="inlineStr">
        <is>
          <t>웹조사 자동화 실패(세션한도)</t>
        </is>
      </c>
      <c r="H1424" s="17" t="inlineStr">
        <is>
          <t>N</t>
        </is>
      </c>
      <c r="I1424" s="17" t="inlineStr">
        <is>
          <t>회사 홈페이지</t>
        </is>
      </c>
      <c r="J1424" s="17" t="inlineStr">
        <is>
          <t>회사 홈페이지에서 확인</t>
        </is>
      </c>
      <c r="K1424" s="17" t="inlineStr">
        <is>
          <t>낮음</t>
        </is>
      </c>
      <c r="L1424" s="17" t="inlineStr"/>
    </row>
    <row r="1425">
      <c r="A1425" s="17" t="inlineStr">
        <is>
          <t>C228</t>
        </is>
      </c>
      <c r="B1425" s="17" t="inlineStr"/>
      <c r="C1425" s="17" t="inlineStr">
        <is>
          <t>신일가스(주)-영암</t>
        </is>
      </c>
      <c r="D1425" s="17" t="inlineStr"/>
      <c r="E1425" s="17" t="inlineStr">
        <is>
          <t>신공장·증설</t>
        </is>
      </c>
      <c r="F1425" s="17" t="inlineStr">
        <is>
          <t>미확인</t>
        </is>
      </c>
      <c r="G1425" s="17" t="inlineStr">
        <is>
          <t>웹조사 자동화 실패(세션한도)</t>
        </is>
      </c>
      <c r="H1425" s="17" t="inlineStr">
        <is>
          <t>N</t>
        </is>
      </c>
      <c r="I1425" s="17" t="inlineStr">
        <is>
          <t>언론·지자체 발표</t>
        </is>
      </c>
      <c r="J1425" s="17" t="inlineStr">
        <is>
          <t>언론·지자체 발표에서 확인</t>
        </is>
      </c>
      <c r="K1425" s="17" t="inlineStr">
        <is>
          <t>낮음</t>
        </is>
      </c>
      <c r="L1425" s="17" t="inlineStr"/>
    </row>
    <row r="1426">
      <c r="A1426" s="17" t="inlineStr">
        <is>
          <t>C229</t>
        </is>
      </c>
      <c r="B1426" s="17" t="inlineStr"/>
      <c r="C1426" s="17" t="inlineStr">
        <is>
          <t>삼양산업(주)</t>
        </is>
      </c>
      <c r="D1426" s="17" t="inlineStr"/>
      <c r="E1426" s="17" t="inlineStr">
        <is>
          <t>최근매출(억원)</t>
        </is>
      </c>
      <c r="F1426" s="17" t="inlineStr">
        <is>
          <t>미확인</t>
        </is>
      </c>
      <c r="G1426" s="17" t="inlineStr">
        <is>
          <t>웹조사 자동화 실패(세션한도)</t>
        </is>
      </c>
      <c r="H1426" s="17" t="inlineStr">
        <is>
          <t>N</t>
        </is>
      </c>
      <c r="I1426" s="17" t="inlineStr">
        <is>
          <t>DART 사업보고서</t>
        </is>
      </c>
      <c r="J1426" s="17" t="inlineStr">
        <is>
          <t>DART 사업보고서에서 확인</t>
        </is>
      </c>
      <c r="K1426" s="17" t="inlineStr">
        <is>
          <t>낮음</t>
        </is>
      </c>
      <c r="L1426" s="17" t="inlineStr"/>
    </row>
    <row r="1427">
      <c r="A1427" s="17" t="inlineStr">
        <is>
          <t>C229</t>
        </is>
      </c>
      <c r="B1427" s="17" t="inlineStr"/>
      <c r="C1427" s="17" t="inlineStr">
        <is>
          <t>삼양산업(주)</t>
        </is>
      </c>
      <c r="D1427" s="17" t="inlineStr"/>
      <c r="E1427" s="17" t="inlineStr">
        <is>
          <t>종업원수</t>
        </is>
      </c>
      <c r="F1427" s="17" t="inlineStr">
        <is>
          <t>미확인</t>
        </is>
      </c>
      <c r="G1427" s="17" t="inlineStr">
        <is>
          <t>웹조사 자동화 실패(세션한도)</t>
        </is>
      </c>
      <c r="H1427" s="17" t="inlineStr">
        <is>
          <t>N</t>
        </is>
      </c>
      <c r="I1427" s="17" t="inlineStr">
        <is>
          <t>DART/채용</t>
        </is>
      </c>
      <c r="J1427" s="17" t="inlineStr">
        <is>
          <t>DART/채용에서 확인</t>
        </is>
      </c>
      <c r="K1427" s="17" t="inlineStr">
        <is>
          <t>낮음</t>
        </is>
      </c>
      <c r="L1427" s="17" t="inlineStr"/>
    </row>
    <row r="1428">
      <c r="A1428" s="17" t="inlineStr">
        <is>
          <t>C229</t>
        </is>
      </c>
      <c r="B1428" s="17" t="inlineStr"/>
      <c r="C1428" s="17" t="inlineStr">
        <is>
          <t>삼양산업(주)</t>
        </is>
      </c>
      <c r="D1428" s="17" t="inlineStr"/>
      <c r="E1428" s="17" t="inlineStr">
        <is>
          <t>수출여부</t>
        </is>
      </c>
      <c r="F1428" s="17" t="inlineStr">
        <is>
          <t>미확인</t>
        </is>
      </c>
      <c r="G1428" s="17" t="inlineStr">
        <is>
          <t>웹조사 자동화 실패(세션한도)</t>
        </is>
      </c>
      <c r="H1428" s="17" t="inlineStr">
        <is>
          <t>N</t>
        </is>
      </c>
      <c r="I1428" s="17" t="inlineStr">
        <is>
          <t>회사 공시·홈페이지</t>
        </is>
      </c>
      <c r="J1428" s="17" t="inlineStr">
        <is>
          <t>회사 공시·홈페이지에서 확인</t>
        </is>
      </c>
      <c r="K1428" s="17" t="inlineStr">
        <is>
          <t>낮음</t>
        </is>
      </c>
      <c r="L1428" s="17" t="inlineStr"/>
    </row>
    <row r="1429">
      <c r="A1429" s="17" t="inlineStr">
        <is>
          <t>C229</t>
        </is>
      </c>
      <c r="B1429" s="17" t="inlineStr"/>
      <c r="C1429" s="17" t="inlineStr">
        <is>
          <t>삼양산업(주)</t>
        </is>
      </c>
      <c r="D1429" s="17" t="inlineStr"/>
      <c r="E1429" s="17" t="inlineStr">
        <is>
          <t>FDA·EMA 실사</t>
        </is>
      </c>
      <c r="F1429" s="17" t="inlineStr">
        <is>
          <t>미확인</t>
        </is>
      </c>
      <c r="G1429" s="17" t="inlineStr">
        <is>
          <t>웹조사 자동화 실패(세션한도)</t>
        </is>
      </c>
      <c r="H1429" s="17" t="inlineStr">
        <is>
          <t>N</t>
        </is>
      </c>
      <c r="I1429" s="17" t="inlineStr">
        <is>
          <t>FDA Inspection DB</t>
        </is>
      </c>
      <c r="J1429" s="17" t="inlineStr">
        <is>
          <t>FDA Inspection DB에서 확인</t>
        </is>
      </c>
      <c r="K1429" s="17" t="inlineStr">
        <is>
          <t>낮음</t>
        </is>
      </c>
      <c r="L1429" s="17" t="inlineStr"/>
    </row>
    <row r="1430">
      <c r="A1430" s="17" t="inlineStr">
        <is>
          <t>C229</t>
        </is>
      </c>
      <c r="B1430" s="17" t="inlineStr"/>
      <c r="C1430" s="17" t="inlineStr">
        <is>
          <t>삼양산업(주)</t>
        </is>
      </c>
      <c r="D1430" s="17" t="inlineStr"/>
      <c r="E1430" s="17" t="inlineStr">
        <is>
          <t>CMO·CDMO</t>
        </is>
      </c>
      <c r="F1430" s="17" t="inlineStr">
        <is>
          <t>미확인</t>
        </is>
      </c>
      <c r="G1430" s="17" t="inlineStr">
        <is>
          <t>웹조사 자동화 실패(세션한도)</t>
        </is>
      </c>
      <c r="H1430" s="17" t="inlineStr">
        <is>
          <t>N</t>
        </is>
      </c>
      <c r="I1430" s="17" t="inlineStr">
        <is>
          <t>회사 홈페이지</t>
        </is>
      </c>
      <c r="J1430" s="17" t="inlineStr">
        <is>
          <t>회사 홈페이지에서 확인</t>
        </is>
      </c>
      <c r="K1430" s="17" t="inlineStr">
        <is>
          <t>낮음</t>
        </is>
      </c>
      <c r="L1430" s="17" t="inlineStr"/>
    </row>
    <row r="1431">
      <c r="A1431" s="17" t="inlineStr">
        <is>
          <t>C229</t>
        </is>
      </c>
      <c r="B1431" s="17" t="inlineStr"/>
      <c r="C1431" s="17" t="inlineStr">
        <is>
          <t>삼양산업(주)</t>
        </is>
      </c>
      <c r="D1431" s="17" t="inlineStr"/>
      <c r="E1431" s="17" t="inlineStr">
        <is>
          <t>신공장·증설</t>
        </is>
      </c>
      <c r="F1431" s="17" t="inlineStr">
        <is>
          <t>미확인</t>
        </is>
      </c>
      <c r="G1431" s="17" t="inlineStr">
        <is>
          <t>웹조사 자동화 실패(세션한도)</t>
        </is>
      </c>
      <c r="H1431" s="17" t="inlineStr">
        <is>
          <t>N</t>
        </is>
      </c>
      <c r="I1431" s="17" t="inlineStr">
        <is>
          <t>언론·지자체 발표</t>
        </is>
      </c>
      <c r="J1431" s="17" t="inlineStr">
        <is>
          <t>언론·지자체 발표에서 확인</t>
        </is>
      </c>
      <c r="K1431" s="17" t="inlineStr">
        <is>
          <t>낮음</t>
        </is>
      </c>
      <c r="L1431" s="17" t="inlineStr"/>
    </row>
    <row r="1432">
      <c r="A1432" s="17" t="inlineStr">
        <is>
          <t>C230</t>
        </is>
      </c>
      <c r="B1432" s="17" t="inlineStr"/>
      <c r="C1432" s="17" t="inlineStr">
        <is>
          <t>경남제약(주)</t>
        </is>
      </c>
      <c r="D1432" s="17" t="inlineStr"/>
      <c r="E1432" s="17" t="inlineStr">
        <is>
          <t>최근매출(억원)</t>
        </is>
      </c>
      <c r="F1432" s="17" t="inlineStr">
        <is>
          <t>미확인</t>
        </is>
      </c>
      <c r="G1432" s="17" t="inlineStr">
        <is>
          <t>웹조사 자동화 실패(세션한도)</t>
        </is>
      </c>
      <c r="H1432" s="17" t="inlineStr">
        <is>
          <t>N</t>
        </is>
      </c>
      <c r="I1432" s="17" t="inlineStr">
        <is>
          <t>DART 사업보고서</t>
        </is>
      </c>
      <c r="J1432" s="17" t="inlineStr">
        <is>
          <t>DART 사업보고서에서 확인</t>
        </is>
      </c>
      <c r="K1432" s="17" t="inlineStr">
        <is>
          <t>낮음</t>
        </is>
      </c>
      <c r="L1432" s="17" t="inlineStr"/>
    </row>
    <row r="1433">
      <c r="A1433" s="17" t="inlineStr">
        <is>
          <t>C230</t>
        </is>
      </c>
      <c r="B1433" s="17" t="inlineStr"/>
      <c r="C1433" s="17" t="inlineStr">
        <is>
          <t>경남제약(주)</t>
        </is>
      </c>
      <c r="D1433" s="17" t="inlineStr"/>
      <c r="E1433" s="17" t="inlineStr">
        <is>
          <t>종업원수</t>
        </is>
      </c>
      <c r="F1433" s="17" t="inlineStr">
        <is>
          <t>미확인</t>
        </is>
      </c>
      <c r="G1433" s="17" t="inlineStr">
        <is>
          <t>웹조사 자동화 실패(세션한도)</t>
        </is>
      </c>
      <c r="H1433" s="17" t="inlineStr">
        <is>
          <t>N</t>
        </is>
      </c>
      <c r="I1433" s="17" t="inlineStr">
        <is>
          <t>DART/채용</t>
        </is>
      </c>
      <c r="J1433" s="17" t="inlineStr">
        <is>
          <t>DART/채용에서 확인</t>
        </is>
      </c>
      <c r="K1433" s="17" t="inlineStr">
        <is>
          <t>낮음</t>
        </is>
      </c>
      <c r="L1433" s="17" t="inlineStr"/>
    </row>
    <row r="1434">
      <c r="A1434" s="17" t="inlineStr">
        <is>
          <t>C230</t>
        </is>
      </c>
      <c r="B1434" s="17" t="inlineStr"/>
      <c r="C1434" s="17" t="inlineStr">
        <is>
          <t>경남제약(주)</t>
        </is>
      </c>
      <c r="D1434" s="17" t="inlineStr"/>
      <c r="E1434" s="17" t="inlineStr">
        <is>
          <t>수출여부</t>
        </is>
      </c>
      <c r="F1434" s="17" t="inlineStr">
        <is>
          <t>미확인</t>
        </is>
      </c>
      <c r="G1434" s="17" t="inlineStr">
        <is>
          <t>웹조사 자동화 실패(세션한도)</t>
        </is>
      </c>
      <c r="H1434" s="17" t="inlineStr">
        <is>
          <t>N</t>
        </is>
      </c>
      <c r="I1434" s="17" t="inlineStr">
        <is>
          <t>회사 공시·홈페이지</t>
        </is>
      </c>
      <c r="J1434" s="17" t="inlineStr">
        <is>
          <t>회사 공시·홈페이지에서 확인</t>
        </is>
      </c>
      <c r="K1434" s="17" t="inlineStr">
        <is>
          <t>낮음</t>
        </is>
      </c>
      <c r="L1434" s="17" t="inlineStr"/>
    </row>
    <row r="1435">
      <c r="A1435" s="17" t="inlineStr">
        <is>
          <t>C230</t>
        </is>
      </c>
      <c r="B1435" s="17" t="inlineStr"/>
      <c r="C1435" s="17" t="inlineStr">
        <is>
          <t>경남제약(주)</t>
        </is>
      </c>
      <c r="D1435" s="17" t="inlineStr"/>
      <c r="E1435" s="17" t="inlineStr">
        <is>
          <t>FDA·EMA 실사</t>
        </is>
      </c>
      <c r="F1435" s="17" t="inlineStr">
        <is>
          <t>미확인</t>
        </is>
      </c>
      <c r="G1435" s="17" t="inlineStr">
        <is>
          <t>웹조사 자동화 실패(세션한도)</t>
        </is>
      </c>
      <c r="H1435" s="17" t="inlineStr">
        <is>
          <t>N</t>
        </is>
      </c>
      <c r="I1435" s="17" t="inlineStr">
        <is>
          <t>FDA Inspection DB</t>
        </is>
      </c>
      <c r="J1435" s="17" t="inlineStr">
        <is>
          <t>FDA Inspection DB에서 확인</t>
        </is>
      </c>
      <c r="K1435" s="17" t="inlineStr">
        <is>
          <t>낮음</t>
        </is>
      </c>
      <c r="L1435" s="17" t="inlineStr"/>
    </row>
    <row r="1436">
      <c r="A1436" s="17" t="inlineStr">
        <is>
          <t>C230</t>
        </is>
      </c>
      <c r="B1436" s="17" t="inlineStr"/>
      <c r="C1436" s="17" t="inlineStr">
        <is>
          <t>경남제약(주)</t>
        </is>
      </c>
      <c r="D1436" s="17" t="inlineStr"/>
      <c r="E1436" s="17" t="inlineStr">
        <is>
          <t>CMO·CDMO</t>
        </is>
      </c>
      <c r="F1436" s="17" t="inlineStr">
        <is>
          <t>미확인</t>
        </is>
      </c>
      <c r="G1436" s="17" t="inlineStr">
        <is>
          <t>웹조사 자동화 실패(세션한도)</t>
        </is>
      </c>
      <c r="H1436" s="17" t="inlineStr">
        <is>
          <t>N</t>
        </is>
      </c>
      <c r="I1436" s="17" t="inlineStr">
        <is>
          <t>회사 홈페이지</t>
        </is>
      </c>
      <c r="J1436" s="17" t="inlineStr">
        <is>
          <t>회사 홈페이지에서 확인</t>
        </is>
      </c>
      <c r="K1436" s="17" t="inlineStr">
        <is>
          <t>낮음</t>
        </is>
      </c>
      <c r="L1436" s="17" t="inlineStr"/>
    </row>
    <row r="1437">
      <c r="A1437" s="17" t="inlineStr">
        <is>
          <t>C230</t>
        </is>
      </c>
      <c r="B1437" s="17" t="inlineStr"/>
      <c r="C1437" s="17" t="inlineStr">
        <is>
          <t>경남제약(주)</t>
        </is>
      </c>
      <c r="D1437" s="17" t="inlineStr"/>
      <c r="E1437" s="17" t="inlineStr">
        <is>
          <t>신공장·증설</t>
        </is>
      </c>
      <c r="F1437" s="17" t="inlineStr">
        <is>
          <t>미확인</t>
        </is>
      </c>
      <c r="G1437" s="17" t="inlineStr">
        <is>
          <t>웹조사 자동화 실패(세션한도)</t>
        </is>
      </c>
      <c r="H1437" s="17" t="inlineStr">
        <is>
          <t>N</t>
        </is>
      </c>
      <c r="I1437" s="17" t="inlineStr">
        <is>
          <t>언론·지자체 발표</t>
        </is>
      </c>
      <c r="J1437" s="17" t="inlineStr">
        <is>
          <t>언론·지자체 발표에서 확인</t>
        </is>
      </c>
      <c r="K1437" s="17" t="inlineStr">
        <is>
          <t>낮음</t>
        </is>
      </c>
      <c r="L1437" s="17" t="inlineStr"/>
    </row>
    <row r="1438">
      <c r="A1438" s="17" t="inlineStr">
        <is>
          <t>C231</t>
        </is>
      </c>
      <c r="B1438" s="17" t="inlineStr"/>
      <c r="C1438" s="17" t="inlineStr">
        <is>
          <t>삼일제약(주)</t>
        </is>
      </c>
      <c r="D1438" s="17" t="inlineStr"/>
      <c r="E1438" s="17" t="inlineStr">
        <is>
          <t>최근매출(억원)</t>
        </is>
      </c>
      <c r="F1438" s="17" t="inlineStr">
        <is>
          <t>미확인</t>
        </is>
      </c>
      <c r="G1438" s="17" t="inlineStr">
        <is>
          <t>웹조사 자동화 실패(세션한도)</t>
        </is>
      </c>
      <c r="H1438" s="17" t="inlineStr">
        <is>
          <t>N</t>
        </is>
      </c>
      <c r="I1438" s="17" t="inlineStr">
        <is>
          <t>DART 사업보고서</t>
        </is>
      </c>
      <c r="J1438" s="17" t="inlineStr">
        <is>
          <t>DART 사업보고서에서 확인</t>
        </is>
      </c>
      <c r="K1438" s="17" t="inlineStr">
        <is>
          <t>낮음</t>
        </is>
      </c>
      <c r="L1438" s="17" t="inlineStr"/>
    </row>
    <row r="1439">
      <c r="A1439" s="17" t="inlineStr">
        <is>
          <t>C231</t>
        </is>
      </c>
      <c r="B1439" s="17" t="inlineStr"/>
      <c r="C1439" s="17" t="inlineStr">
        <is>
          <t>삼일제약(주)</t>
        </is>
      </c>
      <c r="D1439" s="17" t="inlineStr"/>
      <c r="E1439" s="17" t="inlineStr">
        <is>
          <t>종업원수</t>
        </is>
      </c>
      <c r="F1439" s="17" t="inlineStr">
        <is>
          <t>미확인</t>
        </is>
      </c>
      <c r="G1439" s="17" t="inlineStr">
        <is>
          <t>웹조사 자동화 실패(세션한도)</t>
        </is>
      </c>
      <c r="H1439" s="17" t="inlineStr">
        <is>
          <t>N</t>
        </is>
      </c>
      <c r="I1439" s="17" t="inlineStr">
        <is>
          <t>DART/채용</t>
        </is>
      </c>
      <c r="J1439" s="17" t="inlineStr">
        <is>
          <t>DART/채용에서 확인</t>
        </is>
      </c>
      <c r="K1439" s="17" t="inlineStr">
        <is>
          <t>낮음</t>
        </is>
      </c>
      <c r="L1439" s="17" t="inlineStr"/>
    </row>
    <row r="1440">
      <c r="A1440" s="17" t="inlineStr">
        <is>
          <t>C231</t>
        </is>
      </c>
      <c r="B1440" s="17" t="inlineStr"/>
      <c r="C1440" s="17" t="inlineStr">
        <is>
          <t>삼일제약(주)</t>
        </is>
      </c>
      <c r="D1440" s="17" t="inlineStr"/>
      <c r="E1440" s="17" t="inlineStr">
        <is>
          <t>수출여부</t>
        </is>
      </c>
      <c r="F1440" s="17" t="inlineStr">
        <is>
          <t>미확인</t>
        </is>
      </c>
      <c r="G1440" s="17" t="inlineStr">
        <is>
          <t>웹조사 자동화 실패(세션한도)</t>
        </is>
      </c>
      <c r="H1440" s="17" t="inlineStr">
        <is>
          <t>N</t>
        </is>
      </c>
      <c r="I1440" s="17" t="inlineStr">
        <is>
          <t>회사 공시·홈페이지</t>
        </is>
      </c>
      <c r="J1440" s="17" t="inlineStr">
        <is>
          <t>회사 공시·홈페이지에서 확인</t>
        </is>
      </c>
      <c r="K1440" s="17" t="inlineStr">
        <is>
          <t>낮음</t>
        </is>
      </c>
      <c r="L1440" s="17" t="inlineStr"/>
    </row>
    <row r="1441">
      <c r="A1441" s="17" t="inlineStr">
        <is>
          <t>C231</t>
        </is>
      </c>
      <c r="B1441" s="17" t="inlineStr"/>
      <c r="C1441" s="17" t="inlineStr">
        <is>
          <t>삼일제약(주)</t>
        </is>
      </c>
      <c r="D1441" s="17" t="inlineStr"/>
      <c r="E1441" s="17" t="inlineStr">
        <is>
          <t>FDA·EMA 실사</t>
        </is>
      </c>
      <c r="F1441" s="17" t="inlineStr">
        <is>
          <t>미확인</t>
        </is>
      </c>
      <c r="G1441" s="17" t="inlineStr">
        <is>
          <t>웹조사 자동화 실패(세션한도)</t>
        </is>
      </c>
      <c r="H1441" s="17" t="inlineStr">
        <is>
          <t>N</t>
        </is>
      </c>
      <c r="I1441" s="17" t="inlineStr">
        <is>
          <t>FDA Inspection DB</t>
        </is>
      </c>
      <c r="J1441" s="17" t="inlineStr">
        <is>
          <t>FDA Inspection DB에서 확인</t>
        </is>
      </c>
      <c r="K1441" s="17" t="inlineStr">
        <is>
          <t>낮음</t>
        </is>
      </c>
      <c r="L1441" s="17" t="inlineStr"/>
    </row>
    <row r="1442">
      <c r="A1442" s="17" t="inlineStr">
        <is>
          <t>C231</t>
        </is>
      </c>
      <c r="B1442" s="17" t="inlineStr"/>
      <c r="C1442" s="17" t="inlineStr">
        <is>
          <t>삼일제약(주)</t>
        </is>
      </c>
      <c r="D1442" s="17" t="inlineStr"/>
      <c r="E1442" s="17" t="inlineStr">
        <is>
          <t>CMO·CDMO</t>
        </is>
      </c>
      <c r="F1442" s="17" t="inlineStr">
        <is>
          <t>미확인</t>
        </is>
      </c>
      <c r="G1442" s="17" t="inlineStr">
        <is>
          <t>웹조사 자동화 실패(세션한도)</t>
        </is>
      </c>
      <c r="H1442" s="17" t="inlineStr">
        <is>
          <t>N</t>
        </is>
      </c>
      <c r="I1442" s="17" t="inlineStr">
        <is>
          <t>회사 홈페이지</t>
        </is>
      </c>
      <c r="J1442" s="17" t="inlineStr">
        <is>
          <t>회사 홈페이지에서 확인</t>
        </is>
      </c>
      <c r="K1442" s="17" t="inlineStr">
        <is>
          <t>낮음</t>
        </is>
      </c>
      <c r="L1442" s="17" t="inlineStr"/>
    </row>
    <row r="1443">
      <c r="A1443" s="17" t="inlineStr">
        <is>
          <t>C231</t>
        </is>
      </c>
      <c r="B1443" s="17" t="inlineStr"/>
      <c r="C1443" s="17" t="inlineStr">
        <is>
          <t>삼일제약(주)</t>
        </is>
      </c>
      <c r="D1443" s="17" t="inlineStr"/>
      <c r="E1443" s="17" t="inlineStr">
        <is>
          <t>신공장·증설</t>
        </is>
      </c>
      <c r="F1443" s="17" t="inlineStr">
        <is>
          <t>미확인</t>
        </is>
      </c>
      <c r="G1443" s="17" t="inlineStr">
        <is>
          <t>웹조사 자동화 실패(세션한도)</t>
        </is>
      </c>
      <c r="H1443" s="17" t="inlineStr">
        <is>
          <t>N</t>
        </is>
      </c>
      <c r="I1443" s="17" t="inlineStr">
        <is>
          <t>언론·지자체 발표</t>
        </is>
      </c>
      <c r="J1443" s="17" t="inlineStr">
        <is>
          <t>언론·지자체 발표에서 확인</t>
        </is>
      </c>
      <c r="K1443" s="17" t="inlineStr">
        <is>
          <t>낮음</t>
        </is>
      </c>
      <c r="L1443" s="17" t="inlineStr"/>
    </row>
    <row r="1444">
      <c r="A1444" s="17" t="inlineStr">
        <is>
          <t>C232</t>
        </is>
      </c>
      <c r="B1444" s="17" t="inlineStr"/>
      <c r="C1444" s="17" t="inlineStr">
        <is>
          <t>대창가스공업사</t>
        </is>
      </c>
      <c r="D1444" s="17" t="inlineStr"/>
      <c r="E1444" s="17" t="inlineStr">
        <is>
          <t>최근매출(억원)</t>
        </is>
      </c>
      <c r="F1444" s="17" t="inlineStr">
        <is>
          <t>미확인</t>
        </is>
      </c>
      <c r="G1444" s="17" t="inlineStr">
        <is>
          <t>웹조사 자동화 실패(세션한도)</t>
        </is>
      </c>
      <c r="H1444" s="17" t="inlineStr">
        <is>
          <t>N</t>
        </is>
      </c>
      <c r="I1444" s="17" t="inlineStr">
        <is>
          <t>DART 사업보고서</t>
        </is>
      </c>
      <c r="J1444" s="17" t="inlineStr">
        <is>
          <t>DART 사업보고서에서 확인</t>
        </is>
      </c>
      <c r="K1444" s="17" t="inlineStr">
        <is>
          <t>낮음</t>
        </is>
      </c>
      <c r="L1444" s="17" t="inlineStr"/>
    </row>
    <row r="1445">
      <c r="A1445" s="17" t="inlineStr">
        <is>
          <t>C232</t>
        </is>
      </c>
      <c r="B1445" s="17" t="inlineStr"/>
      <c r="C1445" s="17" t="inlineStr">
        <is>
          <t>대창가스공업사</t>
        </is>
      </c>
      <c r="D1445" s="17" t="inlineStr"/>
      <c r="E1445" s="17" t="inlineStr">
        <is>
          <t>종업원수</t>
        </is>
      </c>
      <c r="F1445" s="17" t="inlineStr">
        <is>
          <t>미확인</t>
        </is>
      </c>
      <c r="G1445" s="17" t="inlineStr">
        <is>
          <t>웹조사 자동화 실패(세션한도)</t>
        </is>
      </c>
      <c r="H1445" s="17" t="inlineStr">
        <is>
          <t>N</t>
        </is>
      </c>
      <c r="I1445" s="17" t="inlineStr">
        <is>
          <t>DART/채용</t>
        </is>
      </c>
      <c r="J1445" s="17" t="inlineStr">
        <is>
          <t>DART/채용에서 확인</t>
        </is>
      </c>
      <c r="K1445" s="17" t="inlineStr">
        <is>
          <t>낮음</t>
        </is>
      </c>
      <c r="L1445" s="17" t="inlineStr"/>
    </row>
    <row r="1446">
      <c r="A1446" s="17" t="inlineStr">
        <is>
          <t>C232</t>
        </is>
      </c>
      <c r="B1446" s="17" t="inlineStr"/>
      <c r="C1446" s="17" t="inlineStr">
        <is>
          <t>대창가스공업사</t>
        </is>
      </c>
      <c r="D1446" s="17" t="inlineStr"/>
      <c r="E1446" s="17" t="inlineStr">
        <is>
          <t>수출여부</t>
        </is>
      </c>
      <c r="F1446" s="17" t="inlineStr">
        <is>
          <t>미확인</t>
        </is>
      </c>
      <c r="G1446" s="17" t="inlineStr">
        <is>
          <t>웹조사 자동화 실패(세션한도)</t>
        </is>
      </c>
      <c r="H1446" s="17" t="inlineStr">
        <is>
          <t>N</t>
        </is>
      </c>
      <c r="I1446" s="17" t="inlineStr">
        <is>
          <t>회사 공시·홈페이지</t>
        </is>
      </c>
      <c r="J1446" s="17" t="inlineStr">
        <is>
          <t>회사 공시·홈페이지에서 확인</t>
        </is>
      </c>
      <c r="K1446" s="17" t="inlineStr">
        <is>
          <t>낮음</t>
        </is>
      </c>
      <c r="L1446" s="17" t="inlineStr"/>
    </row>
    <row r="1447">
      <c r="A1447" s="17" t="inlineStr">
        <is>
          <t>C232</t>
        </is>
      </c>
      <c r="B1447" s="17" t="inlineStr"/>
      <c r="C1447" s="17" t="inlineStr">
        <is>
          <t>대창가스공업사</t>
        </is>
      </c>
      <c r="D1447" s="17" t="inlineStr"/>
      <c r="E1447" s="17" t="inlineStr">
        <is>
          <t>FDA·EMA 실사</t>
        </is>
      </c>
      <c r="F1447" s="17" t="inlineStr">
        <is>
          <t>미확인</t>
        </is>
      </c>
      <c r="G1447" s="17" t="inlineStr">
        <is>
          <t>웹조사 자동화 실패(세션한도)</t>
        </is>
      </c>
      <c r="H1447" s="17" t="inlineStr">
        <is>
          <t>N</t>
        </is>
      </c>
      <c r="I1447" s="17" t="inlineStr">
        <is>
          <t>FDA Inspection DB</t>
        </is>
      </c>
      <c r="J1447" s="17" t="inlineStr">
        <is>
          <t>FDA Inspection DB에서 확인</t>
        </is>
      </c>
      <c r="K1447" s="17" t="inlineStr">
        <is>
          <t>낮음</t>
        </is>
      </c>
      <c r="L1447" s="17" t="inlineStr"/>
    </row>
    <row r="1448">
      <c r="A1448" s="17" t="inlineStr">
        <is>
          <t>C232</t>
        </is>
      </c>
      <c r="B1448" s="17" t="inlineStr"/>
      <c r="C1448" s="17" t="inlineStr">
        <is>
          <t>대창가스공업사</t>
        </is>
      </c>
      <c r="D1448" s="17" t="inlineStr"/>
      <c r="E1448" s="17" t="inlineStr">
        <is>
          <t>CMO·CDMO</t>
        </is>
      </c>
      <c r="F1448" s="17" t="inlineStr">
        <is>
          <t>미확인</t>
        </is>
      </c>
      <c r="G1448" s="17" t="inlineStr">
        <is>
          <t>웹조사 자동화 실패(세션한도)</t>
        </is>
      </c>
      <c r="H1448" s="17" t="inlineStr">
        <is>
          <t>N</t>
        </is>
      </c>
      <c r="I1448" s="17" t="inlineStr">
        <is>
          <t>회사 홈페이지</t>
        </is>
      </c>
      <c r="J1448" s="17" t="inlineStr">
        <is>
          <t>회사 홈페이지에서 확인</t>
        </is>
      </c>
      <c r="K1448" s="17" t="inlineStr">
        <is>
          <t>낮음</t>
        </is>
      </c>
      <c r="L1448" s="17" t="inlineStr"/>
    </row>
    <row r="1449">
      <c r="A1449" s="17" t="inlineStr">
        <is>
          <t>C232</t>
        </is>
      </c>
      <c r="B1449" s="17" t="inlineStr"/>
      <c r="C1449" s="17" t="inlineStr">
        <is>
          <t>대창가스공업사</t>
        </is>
      </c>
      <c r="D1449" s="17" t="inlineStr"/>
      <c r="E1449" s="17" t="inlineStr">
        <is>
          <t>신공장·증설</t>
        </is>
      </c>
      <c r="F1449" s="17" t="inlineStr">
        <is>
          <t>미확인</t>
        </is>
      </c>
      <c r="G1449" s="17" t="inlineStr">
        <is>
          <t>웹조사 자동화 실패(세션한도)</t>
        </is>
      </c>
      <c r="H1449" s="17" t="inlineStr">
        <is>
          <t>N</t>
        </is>
      </c>
      <c r="I1449" s="17" t="inlineStr">
        <is>
          <t>언론·지자체 발표</t>
        </is>
      </c>
      <c r="J1449" s="17" t="inlineStr">
        <is>
          <t>언론·지자체 발표에서 확인</t>
        </is>
      </c>
      <c r="K1449" s="17" t="inlineStr">
        <is>
          <t>낮음</t>
        </is>
      </c>
      <c r="L1449" s="17" t="inlineStr"/>
    </row>
    <row r="1450">
      <c r="A1450" s="17" t="inlineStr">
        <is>
          <t>C233</t>
        </is>
      </c>
      <c r="B1450" s="17" t="inlineStr"/>
      <c r="C1450" s="17" t="inlineStr">
        <is>
          <t>한성산업(주)</t>
        </is>
      </c>
      <c r="D1450" s="17" t="inlineStr"/>
      <c r="E1450" s="17" t="inlineStr">
        <is>
          <t>최근매출(억원)</t>
        </is>
      </c>
      <c r="F1450" s="17" t="inlineStr">
        <is>
          <t>미확인</t>
        </is>
      </c>
      <c r="G1450" s="17" t="inlineStr">
        <is>
          <t>웹조사 자동화 실패(세션한도)</t>
        </is>
      </c>
      <c r="H1450" s="17" t="inlineStr">
        <is>
          <t>N</t>
        </is>
      </c>
      <c r="I1450" s="17" t="inlineStr">
        <is>
          <t>DART 사업보고서</t>
        </is>
      </c>
      <c r="J1450" s="17" t="inlineStr">
        <is>
          <t>DART 사업보고서에서 확인</t>
        </is>
      </c>
      <c r="K1450" s="17" t="inlineStr">
        <is>
          <t>낮음</t>
        </is>
      </c>
      <c r="L1450" s="17" t="inlineStr"/>
    </row>
    <row r="1451">
      <c r="A1451" s="17" t="inlineStr">
        <is>
          <t>C233</t>
        </is>
      </c>
      <c r="B1451" s="17" t="inlineStr"/>
      <c r="C1451" s="17" t="inlineStr">
        <is>
          <t>한성산업(주)</t>
        </is>
      </c>
      <c r="D1451" s="17" t="inlineStr"/>
      <c r="E1451" s="17" t="inlineStr">
        <is>
          <t>종업원수</t>
        </is>
      </c>
      <c r="F1451" s="17" t="inlineStr">
        <is>
          <t>미확인</t>
        </is>
      </c>
      <c r="G1451" s="17" t="inlineStr">
        <is>
          <t>웹조사 자동화 실패(세션한도)</t>
        </is>
      </c>
      <c r="H1451" s="17" t="inlineStr">
        <is>
          <t>N</t>
        </is>
      </c>
      <c r="I1451" s="17" t="inlineStr">
        <is>
          <t>DART/채용</t>
        </is>
      </c>
      <c r="J1451" s="17" t="inlineStr">
        <is>
          <t>DART/채용에서 확인</t>
        </is>
      </c>
      <c r="K1451" s="17" t="inlineStr">
        <is>
          <t>낮음</t>
        </is>
      </c>
      <c r="L1451" s="17" t="inlineStr"/>
    </row>
    <row r="1452">
      <c r="A1452" s="17" t="inlineStr">
        <is>
          <t>C233</t>
        </is>
      </c>
      <c r="B1452" s="17" t="inlineStr"/>
      <c r="C1452" s="17" t="inlineStr">
        <is>
          <t>한성산업(주)</t>
        </is>
      </c>
      <c r="D1452" s="17" t="inlineStr"/>
      <c r="E1452" s="17" t="inlineStr">
        <is>
          <t>수출여부</t>
        </is>
      </c>
      <c r="F1452" s="17" t="inlineStr">
        <is>
          <t>미확인</t>
        </is>
      </c>
      <c r="G1452" s="17" t="inlineStr">
        <is>
          <t>웹조사 자동화 실패(세션한도)</t>
        </is>
      </c>
      <c r="H1452" s="17" t="inlineStr">
        <is>
          <t>N</t>
        </is>
      </c>
      <c r="I1452" s="17" t="inlineStr">
        <is>
          <t>회사 공시·홈페이지</t>
        </is>
      </c>
      <c r="J1452" s="17" t="inlineStr">
        <is>
          <t>회사 공시·홈페이지에서 확인</t>
        </is>
      </c>
      <c r="K1452" s="17" t="inlineStr">
        <is>
          <t>낮음</t>
        </is>
      </c>
      <c r="L1452" s="17" t="inlineStr"/>
    </row>
    <row r="1453">
      <c r="A1453" s="17" t="inlineStr">
        <is>
          <t>C233</t>
        </is>
      </c>
      <c r="B1453" s="17" t="inlineStr"/>
      <c r="C1453" s="17" t="inlineStr">
        <is>
          <t>한성산업(주)</t>
        </is>
      </c>
      <c r="D1453" s="17" t="inlineStr"/>
      <c r="E1453" s="17" t="inlineStr">
        <is>
          <t>FDA·EMA 실사</t>
        </is>
      </c>
      <c r="F1453" s="17" t="inlineStr">
        <is>
          <t>미확인</t>
        </is>
      </c>
      <c r="G1453" s="17" t="inlineStr">
        <is>
          <t>웹조사 자동화 실패(세션한도)</t>
        </is>
      </c>
      <c r="H1453" s="17" t="inlineStr">
        <is>
          <t>N</t>
        </is>
      </c>
      <c r="I1453" s="17" t="inlineStr">
        <is>
          <t>FDA Inspection DB</t>
        </is>
      </c>
      <c r="J1453" s="17" t="inlineStr">
        <is>
          <t>FDA Inspection DB에서 확인</t>
        </is>
      </c>
      <c r="K1453" s="17" t="inlineStr">
        <is>
          <t>낮음</t>
        </is>
      </c>
      <c r="L1453" s="17" t="inlineStr"/>
    </row>
    <row r="1454">
      <c r="A1454" s="17" t="inlineStr">
        <is>
          <t>C233</t>
        </is>
      </c>
      <c r="B1454" s="17" t="inlineStr"/>
      <c r="C1454" s="17" t="inlineStr">
        <is>
          <t>한성산업(주)</t>
        </is>
      </c>
      <c r="D1454" s="17" t="inlineStr"/>
      <c r="E1454" s="17" t="inlineStr">
        <is>
          <t>CMO·CDMO</t>
        </is>
      </c>
      <c r="F1454" s="17" t="inlineStr">
        <is>
          <t>미확인</t>
        </is>
      </c>
      <c r="G1454" s="17" t="inlineStr">
        <is>
          <t>웹조사 자동화 실패(세션한도)</t>
        </is>
      </c>
      <c r="H1454" s="17" t="inlineStr">
        <is>
          <t>N</t>
        </is>
      </c>
      <c r="I1454" s="17" t="inlineStr">
        <is>
          <t>회사 홈페이지</t>
        </is>
      </c>
      <c r="J1454" s="17" t="inlineStr">
        <is>
          <t>회사 홈페이지에서 확인</t>
        </is>
      </c>
      <c r="K1454" s="17" t="inlineStr">
        <is>
          <t>낮음</t>
        </is>
      </c>
      <c r="L1454" s="17" t="inlineStr"/>
    </row>
    <row r="1455">
      <c r="A1455" s="17" t="inlineStr">
        <is>
          <t>C233</t>
        </is>
      </c>
      <c r="B1455" s="17" t="inlineStr"/>
      <c r="C1455" s="17" t="inlineStr">
        <is>
          <t>한성산업(주)</t>
        </is>
      </c>
      <c r="D1455" s="17" t="inlineStr"/>
      <c r="E1455" s="17" t="inlineStr">
        <is>
          <t>신공장·증설</t>
        </is>
      </c>
      <c r="F1455" s="17" t="inlineStr">
        <is>
          <t>미확인</t>
        </is>
      </c>
      <c r="G1455" s="17" t="inlineStr">
        <is>
          <t>웹조사 자동화 실패(세션한도)</t>
        </is>
      </c>
      <c r="H1455" s="17" t="inlineStr">
        <is>
          <t>N</t>
        </is>
      </c>
      <c r="I1455" s="17" t="inlineStr">
        <is>
          <t>언론·지자체 발표</t>
        </is>
      </c>
      <c r="J1455" s="17" t="inlineStr">
        <is>
          <t>언론·지자체 발표에서 확인</t>
        </is>
      </c>
      <c r="K1455" s="17" t="inlineStr">
        <is>
          <t>낮음</t>
        </is>
      </c>
      <c r="L1455" s="17" t="inlineStr"/>
    </row>
    <row r="1456">
      <c r="A1456" s="17" t="inlineStr">
        <is>
          <t>C234</t>
        </is>
      </c>
      <c r="B1456" s="17" t="inlineStr"/>
      <c r="C1456" s="17" t="inlineStr">
        <is>
          <t>피케이씨 주식회사</t>
        </is>
      </c>
      <c r="D1456" s="17" t="inlineStr"/>
      <c r="E1456" s="17" t="inlineStr">
        <is>
          <t>최근매출(억원)</t>
        </is>
      </c>
      <c r="F1456" s="17" t="inlineStr">
        <is>
          <t>미확인</t>
        </is>
      </c>
      <c r="G1456" s="17" t="inlineStr">
        <is>
          <t>웹조사 자동화 실패(세션한도)</t>
        </is>
      </c>
      <c r="H1456" s="17" t="inlineStr">
        <is>
          <t>N</t>
        </is>
      </c>
      <c r="I1456" s="17" t="inlineStr">
        <is>
          <t>DART 사업보고서</t>
        </is>
      </c>
      <c r="J1456" s="17" t="inlineStr">
        <is>
          <t>DART 사업보고서에서 확인</t>
        </is>
      </c>
      <c r="K1456" s="17" t="inlineStr">
        <is>
          <t>낮음</t>
        </is>
      </c>
      <c r="L1456" s="17" t="inlineStr"/>
    </row>
    <row r="1457">
      <c r="A1457" s="17" t="inlineStr">
        <is>
          <t>C234</t>
        </is>
      </c>
      <c r="B1457" s="17" t="inlineStr"/>
      <c r="C1457" s="17" t="inlineStr">
        <is>
          <t>피케이씨 주식회사</t>
        </is>
      </c>
      <c r="D1457" s="17" t="inlineStr"/>
      <c r="E1457" s="17" t="inlineStr">
        <is>
          <t>종업원수</t>
        </is>
      </c>
      <c r="F1457" s="17" t="inlineStr">
        <is>
          <t>미확인</t>
        </is>
      </c>
      <c r="G1457" s="17" t="inlineStr">
        <is>
          <t>웹조사 자동화 실패(세션한도)</t>
        </is>
      </c>
      <c r="H1457" s="17" t="inlineStr">
        <is>
          <t>N</t>
        </is>
      </c>
      <c r="I1457" s="17" t="inlineStr">
        <is>
          <t>DART/채용</t>
        </is>
      </c>
      <c r="J1457" s="17" t="inlineStr">
        <is>
          <t>DART/채용에서 확인</t>
        </is>
      </c>
      <c r="K1457" s="17" t="inlineStr">
        <is>
          <t>낮음</t>
        </is>
      </c>
      <c r="L1457" s="17" t="inlineStr"/>
    </row>
    <row r="1458">
      <c r="A1458" s="17" t="inlineStr">
        <is>
          <t>C234</t>
        </is>
      </c>
      <c r="B1458" s="17" t="inlineStr"/>
      <c r="C1458" s="17" t="inlineStr">
        <is>
          <t>피케이씨 주식회사</t>
        </is>
      </c>
      <c r="D1458" s="17" t="inlineStr"/>
      <c r="E1458" s="17" t="inlineStr">
        <is>
          <t>수출여부</t>
        </is>
      </c>
      <c r="F1458" s="17" t="inlineStr">
        <is>
          <t>미확인</t>
        </is>
      </c>
      <c r="G1458" s="17" t="inlineStr">
        <is>
          <t>웹조사 자동화 실패(세션한도)</t>
        </is>
      </c>
      <c r="H1458" s="17" t="inlineStr">
        <is>
          <t>N</t>
        </is>
      </c>
      <c r="I1458" s="17" t="inlineStr">
        <is>
          <t>회사 공시·홈페이지</t>
        </is>
      </c>
      <c r="J1458" s="17" t="inlineStr">
        <is>
          <t>회사 공시·홈페이지에서 확인</t>
        </is>
      </c>
      <c r="K1458" s="17" t="inlineStr">
        <is>
          <t>낮음</t>
        </is>
      </c>
      <c r="L1458" s="17" t="inlineStr"/>
    </row>
    <row r="1459">
      <c r="A1459" s="17" t="inlineStr">
        <is>
          <t>C234</t>
        </is>
      </c>
      <c r="B1459" s="17" t="inlineStr"/>
      <c r="C1459" s="17" t="inlineStr">
        <is>
          <t>피케이씨 주식회사</t>
        </is>
      </c>
      <c r="D1459" s="17" t="inlineStr"/>
      <c r="E1459" s="17" t="inlineStr">
        <is>
          <t>FDA·EMA 실사</t>
        </is>
      </c>
      <c r="F1459" s="17" t="inlineStr">
        <is>
          <t>미확인</t>
        </is>
      </c>
      <c r="G1459" s="17" t="inlineStr">
        <is>
          <t>웹조사 자동화 실패(세션한도)</t>
        </is>
      </c>
      <c r="H1459" s="17" t="inlineStr">
        <is>
          <t>N</t>
        </is>
      </c>
      <c r="I1459" s="17" t="inlineStr">
        <is>
          <t>FDA Inspection DB</t>
        </is>
      </c>
      <c r="J1459" s="17" t="inlineStr">
        <is>
          <t>FDA Inspection DB에서 확인</t>
        </is>
      </c>
      <c r="K1459" s="17" t="inlineStr">
        <is>
          <t>낮음</t>
        </is>
      </c>
      <c r="L1459" s="17" t="inlineStr"/>
    </row>
    <row r="1460">
      <c r="A1460" s="17" t="inlineStr">
        <is>
          <t>C234</t>
        </is>
      </c>
      <c r="B1460" s="17" t="inlineStr"/>
      <c r="C1460" s="17" t="inlineStr">
        <is>
          <t>피케이씨 주식회사</t>
        </is>
      </c>
      <c r="D1460" s="17" t="inlineStr"/>
      <c r="E1460" s="17" t="inlineStr">
        <is>
          <t>CMO·CDMO</t>
        </is>
      </c>
      <c r="F1460" s="17" t="inlineStr">
        <is>
          <t>미확인</t>
        </is>
      </c>
      <c r="G1460" s="17" t="inlineStr">
        <is>
          <t>웹조사 자동화 실패(세션한도)</t>
        </is>
      </c>
      <c r="H1460" s="17" t="inlineStr">
        <is>
          <t>N</t>
        </is>
      </c>
      <c r="I1460" s="17" t="inlineStr">
        <is>
          <t>회사 홈페이지</t>
        </is>
      </c>
      <c r="J1460" s="17" t="inlineStr">
        <is>
          <t>회사 홈페이지에서 확인</t>
        </is>
      </c>
      <c r="K1460" s="17" t="inlineStr">
        <is>
          <t>낮음</t>
        </is>
      </c>
      <c r="L1460" s="17" t="inlineStr"/>
    </row>
    <row r="1461">
      <c r="A1461" s="17" t="inlineStr">
        <is>
          <t>C234</t>
        </is>
      </c>
      <c r="B1461" s="17" t="inlineStr"/>
      <c r="C1461" s="17" t="inlineStr">
        <is>
          <t>피케이씨 주식회사</t>
        </is>
      </c>
      <c r="D1461" s="17" t="inlineStr"/>
      <c r="E1461" s="17" t="inlineStr">
        <is>
          <t>신공장·증설</t>
        </is>
      </c>
      <c r="F1461" s="17" t="inlineStr">
        <is>
          <t>미확인</t>
        </is>
      </c>
      <c r="G1461" s="17" t="inlineStr">
        <is>
          <t>웹조사 자동화 실패(세션한도)</t>
        </is>
      </c>
      <c r="H1461" s="17" t="inlineStr">
        <is>
          <t>N</t>
        </is>
      </c>
      <c r="I1461" s="17" t="inlineStr">
        <is>
          <t>언론·지자체 발표</t>
        </is>
      </c>
      <c r="J1461" s="17" t="inlineStr">
        <is>
          <t>언론·지자체 발표에서 확인</t>
        </is>
      </c>
      <c r="K1461" s="17" t="inlineStr">
        <is>
          <t>낮음</t>
        </is>
      </c>
      <c r="L1461" s="17" t="inlineStr"/>
    </row>
    <row r="1462">
      <c r="A1462" s="17" t="inlineStr">
        <is>
          <t>C234</t>
        </is>
      </c>
      <c r="B1462" s="17" t="inlineStr"/>
      <c r="C1462" s="17" t="inlineStr">
        <is>
          <t>피케이씨 주식회사</t>
        </is>
      </c>
      <c r="D1462" s="17" t="inlineStr"/>
      <c r="E1462" s="17" t="inlineStr">
        <is>
          <t>대표전화</t>
        </is>
      </c>
      <c r="F1462" s="17" t="inlineStr">
        <is>
          <t>미확인</t>
        </is>
      </c>
      <c r="G1462" s="17" t="inlineStr">
        <is>
          <t>제조소상세 미매칭</t>
        </is>
      </c>
      <c r="H1462" s="17" t="inlineStr">
        <is>
          <t>Y</t>
        </is>
      </c>
      <c r="I1462" s="17" t="inlineStr">
        <is>
          <t>회사 홈페이지</t>
        </is>
      </c>
      <c r="J1462" s="17" t="inlineStr">
        <is>
          <t>홈페이지에서 대표번호 확인</t>
        </is>
      </c>
      <c r="K1462" s="17" t="inlineStr">
        <is>
          <t>낮음</t>
        </is>
      </c>
      <c r="L1462" s="17" t="inlineStr"/>
    </row>
    <row r="1463">
      <c r="A1463" s="17" t="inlineStr">
        <is>
          <t>C235</t>
        </is>
      </c>
      <c r="B1463" s="17" t="inlineStr"/>
      <c r="C1463" s="17" t="inlineStr">
        <is>
          <t>삼익제약(주)</t>
        </is>
      </c>
      <c r="D1463" s="17" t="inlineStr"/>
      <c r="E1463" s="17" t="inlineStr">
        <is>
          <t>최근매출(억원)</t>
        </is>
      </c>
      <c r="F1463" s="17" t="inlineStr">
        <is>
          <t>미확인</t>
        </is>
      </c>
      <c r="G1463" s="17" t="inlineStr">
        <is>
          <t>웹조사 자동화 실패(세션한도)</t>
        </is>
      </c>
      <c r="H1463" s="17" t="inlineStr">
        <is>
          <t>N</t>
        </is>
      </c>
      <c r="I1463" s="17" t="inlineStr">
        <is>
          <t>DART 사업보고서</t>
        </is>
      </c>
      <c r="J1463" s="17" t="inlineStr">
        <is>
          <t>DART 사업보고서에서 확인</t>
        </is>
      </c>
      <c r="K1463" s="17" t="inlineStr">
        <is>
          <t>낮음</t>
        </is>
      </c>
      <c r="L1463" s="17" t="inlineStr"/>
    </row>
    <row r="1464">
      <c r="A1464" s="17" t="inlineStr">
        <is>
          <t>C235</t>
        </is>
      </c>
      <c r="B1464" s="17" t="inlineStr"/>
      <c r="C1464" s="17" t="inlineStr">
        <is>
          <t>삼익제약(주)</t>
        </is>
      </c>
      <c r="D1464" s="17" t="inlineStr"/>
      <c r="E1464" s="17" t="inlineStr">
        <is>
          <t>종업원수</t>
        </is>
      </c>
      <c r="F1464" s="17" t="inlineStr">
        <is>
          <t>미확인</t>
        </is>
      </c>
      <c r="G1464" s="17" t="inlineStr">
        <is>
          <t>웹조사 자동화 실패(세션한도)</t>
        </is>
      </c>
      <c r="H1464" s="17" t="inlineStr">
        <is>
          <t>N</t>
        </is>
      </c>
      <c r="I1464" s="17" t="inlineStr">
        <is>
          <t>DART/채용</t>
        </is>
      </c>
      <c r="J1464" s="17" t="inlineStr">
        <is>
          <t>DART/채용에서 확인</t>
        </is>
      </c>
      <c r="K1464" s="17" t="inlineStr">
        <is>
          <t>낮음</t>
        </is>
      </c>
      <c r="L1464" s="17" t="inlineStr"/>
    </row>
    <row r="1465">
      <c r="A1465" s="17" t="inlineStr">
        <is>
          <t>C235</t>
        </is>
      </c>
      <c r="B1465" s="17" t="inlineStr"/>
      <c r="C1465" s="17" t="inlineStr">
        <is>
          <t>삼익제약(주)</t>
        </is>
      </c>
      <c r="D1465" s="17" t="inlineStr"/>
      <c r="E1465" s="17" t="inlineStr">
        <is>
          <t>수출여부</t>
        </is>
      </c>
      <c r="F1465" s="17" t="inlineStr">
        <is>
          <t>미확인</t>
        </is>
      </c>
      <c r="G1465" s="17" t="inlineStr">
        <is>
          <t>웹조사 자동화 실패(세션한도)</t>
        </is>
      </c>
      <c r="H1465" s="17" t="inlineStr">
        <is>
          <t>N</t>
        </is>
      </c>
      <c r="I1465" s="17" t="inlineStr">
        <is>
          <t>회사 공시·홈페이지</t>
        </is>
      </c>
      <c r="J1465" s="17" t="inlineStr">
        <is>
          <t>회사 공시·홈페이지에서 확인</t>
        </is>
      </c>
      <c r="K1465" s="17" t="inlineStr">
        <is>
          <t>낮음</t>
        </is>
      </c>
      <c r="L1465" s="17" t="inlineStr"/>
    </row>
    <row r="1466">
      <c r="A1466" s="17" t="inlineStr">
        <is>
          <t>C235</t>
        </is>
      </c>
      <c r="B1466" s="17" t="inlineStr"/>
      <c r="C1466" s="17" t="inlineStr">
        <is>
          <t>삼익제약(주)</t>
        </is>
      </c>
      <c r="D1466" s="17" t="inlineStr"/>
      <c r="E1466" s="17" t="inlineStr">
        <is>
          <t>FDA·EMA 실사</t>
        </is>
      </c>
      <c r="F1466" s="17" t="inlineStr">
        <is>
          <t>미확인</t>
        </is>
      </c>
      <c r="G1466" s="17" t="inlineStr">
        <is>
          <t>웹조사 자동화 실패(세션한도)</t>
        </is>
      </c>
      <c r="H1466" s="17" t="inlineStr">
        <is>
          <t>N</t>
        </is>
      </c>
      <c r="I1466" s="17" t="inlineStr">
        <is>
          <t>FDA Inspection DB</t>
        </is>
      </c>
      <c r="J1466" s="17" t="inlineStr">
        <is>
          <t>FDA Inspection DB에서 확인</t>
        </is>
      </c>
      <c r="K1466" s="17" t="inlineStr">
        <is>
          <t>낮음</t>
        </is>
      </c>
      <c r="L1466" s="17" t="inlineStr"/>
    </row>
    <row r="1467">
      <c r="A1467" s="17" t="inlineStr">
        <is>
          <t>C235</t>
        </is>
      </c>
      <c r="B1467" s="17" t="inlineStr"/>
      <c r="C1467" s="17" t="inlineStr">
        <is>
          <t>삼익제약(주)</t>
        </is>
      </c>
      <c r="D1467" s="17" t="inlineStr"/>
      <c r="E1467" s="17" t="inlineStr">
        <is>
          <t>CMO·CDMO</t>
        </is>
      </c>
      <c r="F1467" s="17" t="inlineStr">
        <is>
          <t>미확인</t>
        </is>
      </c>
      <c r="G1467" s="17" t="inlineStr">
        <is>
          <t>웹조사 자동화 실패(세션한도)</t>
        </is>
      </c>
      <c r="H1467" s="17" t="inlineStr">
        <is>
          <t>N</t>
        </is>
      </c>
      <c r="I1467" s="17" t="inlineStr">
        <is>
          <t>회사 홈페이지</t>
        </is>
      </c>
      <c r="J1467" s="17" t="inlineStr">
        <is>
          <t>회사 홈페이지에서 확인</t>
        </is>
      </c>
      <c r="K1467" s="17" t="inlineStr">
        <is>
          <t>낮음</t>
        </is>
      </c>
      <c r="L1467" s="17" t="inlineStr"/>
    </row>
    <row r="1468">
      <c r="A1468" s="17" t="inlineStr">
        <is>
          <t>C235</t>
        </is>
      </c>
      <c r="B1468" s="17" t="inlineStr"/>
      <c r="C1468" s="17" t="inlineStr">
        <is>
          <t>삼익제약(주)</t>
        </is>
      </c>
      <c r="D1468" s="17" t="inlineStr"/>
      <c r="E1468" s="17" t="inlineStr">
        <is>
          <t>신공장·증설</t>
        </is>
      </c>
      <c r="F1468" s="17" t="inlineStr">
        <is>
          <t>미확인</t>
        </is>
      </c>
      <c r="G1468" s="17" t="inlineStr">
        <is>
          <t>웹조사 자동화 실패(세션한도)</t>
        </is>
      </c>
      <c r="H1468" s="17" t="inlineStr">
        <is>
          <t>N</t>
        </is>
      </c>
      <c r="I1468" s="17" t="inlineStr">
        <is>
          <t>언론·지자체 발표</t>
        </is>
      </c>
      <c r="J1468" s="17" t="inlineStr">
        <is>
          <t>언론·지자체 발표에서 확인</t>
        </is>
      </c>
      <c r="K1468" s="17" t="inlineStr">
        <is>
          <t>낮음</t>
        </is>
      </c>
      <c r="L1468" s="17" t="inlineStr"/>
    </row>
    <row r="1469">
      <c r="A1469" s="17" t="inlineStr">
        <is>
          <t>C236</t>
        </is>
      </c>
      <c r="B1469" s="17" t="inlineStr"/>
      <c r="C1469" s="17" t="inlineStr">
        <is>
          <t>삼아제약(주)</t>
        </is>
      </c>
      <c r="D1469" s="17" t="inlineStr"/>
      <c r="E1469" s="17" t="inlineStr">
        <is>
          <t>최근매출(억원)</t>
        </is>
      </c>
      <c r="F1469" s="17" t="inlineStr">
        <is>
          <t>미확인</t>
        </is>
      </c>
      <c r="G1469" s="17" t="inlineStr">
        <is>
          <t>웹조사 자동화 실패(세션한도)</t>
        </is>
      </c>
      <c r="H1469" s="17" t="inlineStr">
        <is>
          <t>N</t>
        </is>
      </c>
      <c r="I1469" s="17" t="inlineStr">
        <is>
          <t>DART 사업보고서</t>
        </is>
      </c>
      <c r="J1469" s="17" t="inlineStr">
        <is>
          <t>DART 사업보고서에서 확인</t>
        </is>
      </c>
      <c r="K1469" s="17" t="inlineStr">
        <is>
          <t>낮음</t>
        </is>
      </c>
      <c r="L1469" s="17" t="inlineStr"/>
    </row>
    <row r="1470">
      <c r="A1470" s="17" t="inlineStr">
        <is>
          <t>C236</t>
        </is>
      </c>
      <c r="B1470" s="17" t="inlineStr"/>
      <c r="C1470" s="17" t="inlineStr">
        <is>
          <t>삼아제약(주)</t>
        </is>
      </c>
      <c r="D1470" s="17" t="inlineStr"/>
      <c r="E1470" s="17" t="inlineStr">
        <is>
          <t>종업원수</t>
        </is>
      </c>
      <c r="F1470" s="17" t="inlineStr">
        <is>
          <t>미확인</t>
        </is>
      </c>
      <c r="G1470" s="17" t="inlineStr">
        <is>
          <t>웹조사 자동화 실패(세션한도)</t>
        </is>
      </c>
      <c r="H1470" s="17" t="inlineStr">
        <is>
          <t>N</t>
        </is>
      </c>
      <c r="I1470" s="17" t="inlineStr">
        <is>
          <t>DART/채용</t>
        </is>
      </c>
      <c r="J1470" s="17" t="inlineStr">
        <is>
          <t>DART/채용에서 확인</t>
        </is>
      </c>
      <c r="K1470" s="17" t="inlineStr">
        <is>
          <t>낮음</t>
        </is>
      </c>
      <c r="L1470" s="17" t="inlineStr"/>
    </row>
    <row r="1471">
      <c r="A1471" s="17" t="inlineStr">
        <is>
          <t>C236</t>
        </is>
      </c>
      <c r="B1471" s="17" t="inlineStr"/>
      <c r="C1471" s="17" t="inlineStr">
        <is>
          <t>삼아제약(주)</t>
        </is>
      </c>
      <c r="D1471" s="17" t="inlineStr"/>
      <c r="E1471" s="17" t="inlineStr">
        <is>
          <t>수출여부</t>
        </is>
      </c>
      <c r="F1471" s="17" t="inlineStr">
        <is>
          <t>미확인</t>
        </is>
      </c>
      <c r="G1471" s="17" t="inlineStr">
        <is>
          <t>웹조사 자동화 실패(세션한도)</t>
        </is>
      </c>
      <c r="H1471" s="17" t="inlineStr">
        <is>
          <t>N</t>
        </is>
      </c>
      <c r="I1471" s="17" t="inlineStr">
        <is>
          <t>회사 공시·홈페이지</t>
        </is>
      </c>
      <c r="J1471" s="17" t="inlineStr">
        <is>
          <t>회사 공시·홈페이지에서 확인</t>
        </is>
      </c>
      <c r="K1471" s="17" t="inlineStr">
        <is>
          <t>낮음</t>
        </is>
      </c>
      <c r="L1471" s="17" t="inlineStr"/>
    </row>
    <row r="1472">
      <c r="A1472" s="17" t="inlineStr">
        <is>
          <t>C236</t>
        </is>
      </c>
      <c r="B1472" s="17" t="inlineStr"/>
      <c r="C1472" s="17" t="inlineStr">
        <is>
          <t>삼아제약(주)</t>
        </is>
      </c>
      <c r="D1472" s="17" t="inlineStr"/>
      <c r="E1472" s="17" t="inlineStr">
        <is>
          <t>FDA·EMA 실사</t>
        </is>
      </c>
      <c r="F1472" s="17" t="inlineStr">
        <is>
          <t>미확인</t>
        </is>
      </c>
      <c r="G1472" s="17" t="inlineStr">
        <is>
          <t>웹조사 자동화 실패(세션한도)</t>
        </is>
      </c>
      <c r="H1472" s="17" t="inlineStr">
        <is>
          <t>N</t>
        </is>
      </c>
      <c r="I1472" s="17" t="inlineStr">
        <is>
          <t>FDA Inspection DB</t>
        </is>
      </c>
      <c r="J1472" s="17" t="inlineStr">
        <is>
          <t>FDA Inspection DB에서 확인</t>
        </is>
      </c>
      <c r="K1472" s="17" t="inlineStr">
        <is>
          <t>낮음</t>
        </is>
      </c>
      <c r="L1472" s="17" t="inlineStr"/>
    </row>
    <row r="1473">
      <c r="A1473" s="17" t="inlineStr">
        <is>
          <t>C236</t>
        </is>
      </c>
      <c r="B1473" s="17" t="inlineStr"/>
      <c r="C1473" s="17" t="inlineStr">
        <is>
          <t>삼아제약(주)</t>
        </is>
      </c>
      <c r="D1473" s="17" t="inlineStr"/>
      <c r="E1473" s="17" t="inlineStr">
        <is>
          <t>CMO·CDMO</t>
        </is>
      </c>
      <c r="F1473" s="17" t="inlineStr">
        <is>
          <t>미확인</t>
        </is>
      </c>
      <c r="G1473" s="17" t="inlineStr">
        <is>
          <t>웹조사 자동화 실패(세션한도)</t>
        </is>
      </c>
      <c r="H1473" s="17" t="inlineStr">
        <is>
          <t>N</t>
        </is>
      </c>
      <c r="I1473" s="17" t="inlineStr">
        <is>
          <t>회사 홈페이지</t>
        </is>
      </c>
      <c r="J1473" s="17" t="inlineStr">
        <is>
          <t>회사 홈페이지에서 확인</t>
        </is>
      </c>
      <c r="K1473" s="17" t="inlineStr">
        <is>
          <t>낮음</t>
        </is>
      </c>
      <c r="L1473" s="17" t="inlineStr"/>
    </row>
    <row r="1474">
      <c r="A1474" s="17" t="inlineStr">
        <is>
          <t>C236</t>
        </is>
      </c>
      <c r="B1474" s="17" t="inlineStr"/>
      <c r="C1474" s="17" t="inlineStr">
        <is>
          <t>삼아제약(주)</t>
        </is>
      </c>
      <c r="D1474" s="17" t="inlineStr"/>
      <c r="E1474" s="17" t="inlineStr">
        <is>
          <t>신공장·증설</t>
        </is>
      </c>
      <c r="F1474" s="17" t="inlineStr">
        <is>
          <t>미확인</t>
        </is>
      </c>
      <c r="G1474" s="17" t="inlineStr">
        <is>
          <t>웹조사 자동화 실패(세션한도)</t>
        </is>
      </c>
      <c r="H1474" s="17" t="inlineStr">
        <is>
          <t>N</t>
        </is>
      </c>
      <c r="I1474" s="17" t="inlineStr">
        <is>
          <t>언론·지자체 발표</t>
        </is>
      </c>
      <c r="J1474" s="17" t="inlineStr">
        <is>
          <t>언론·지자체 발표에서 확인</t>
        </is>
      </c>
      <c r="K1474" s="17" t="inlineStr">
        <is>
          <t>낮음</t>
        </is>
      </c>
      <c r="L1474" s="17" t="inlineStr"/>
    </row>
    <row r="1475">
      <c r="A1475" s="17" t="inlineStr">
        <is>
          <t>C237</t>
        </is>
      </c>
      <c r="B1475" s="17" t="inlineStr"/>
      <c r="C1475" s="17" t="inlineStr">
        <is>
          <t>(주)아리제약</t>
        </is>
      </c>
      <c r="D1475" s="17" t="inlineStr"/>
      <c r="E1475" s="17" t="inlineStr">
        <is>
          <t>최근매출(억원)</t>
        </is>
      </c>
      <c r="F1475" s="17" t="inlineStr">
        <is>
          <t>미확인</t>
        </is>
      </c>
      <c r="G1475" s="17" t="inlineStr">
        <is>
          <t>웹조사 자동화 실패(세션한도)</t>
        </is>
      </c>
      <c r="H1475" s="17" t="inlineStr">
        <is>
          <t>N</t>
        </is>
      </c>
      <c r="I1475" s="17" t="inlineStr">
        <is>
          <t>DART 사업보고서</t>
        </is>
      </c>
      <c r="J1475" s="17" t="inlineStr">
        <is>
          <t>DART 사업보고서에서 확인</t>
        </is>
      </c>
      <c r="K1475" s="17" t="inlineStr">
        <is>
          <t>낮음</t>
        </is>
      </c>
      <c r="L1475" s="17" t="inlineStr"/>
    </row>
    <row r="1476">
      <c r="A1476" s="17" t="inlineStr">
        <is>
          <t>C237</t>
        </is>
      </c>
      <c r="B1476" s="17" t="inlineStr"/>
      <c r="C1476" s="17" t="inlineStr">
        <is>
          <t>(주)아리제약</t>
        </is>
      </c>
      <c r="D1476" s="17" t="inlineStr"/>
      <c r="E1476" s="17" t="inlineStr">
        <is>
          <t>종업원수</t>
        </is>
      </c>
      <c r="F1476" s="17" t="inlineStr">
        <is>
          <t>미확인</t>
        </is>
      </c>
      <c r="G1476" s="17" t="inlineStr">
        <is>
          <t>웹조사 자동화 실패(세션한도)</t>
        </is>
      </c>
      <c r="H1476" s="17" t="inlineStr">
        <is>
          <t>N</t>
        </is>
      </c>
      <c r="I1476" s="17" t="inlineStr">
        <is>
          <t>DART/채용</t>
        </is>
      </c>
      <c r="J1476" s="17" t="inlineStr">
        <is>
          <t>DART/채용에서 확인</t>
        </is>
      </c>
      <c r="K1476" s="17" t="inlineStr">
        <is>
          <t>낮음</t>
        </is>
      </c>
      <c r="L1476" s="17" t="inlineStr"/>
    </row>
    <row r="1477">
      <c r="A1477" s="17" t="inlineStr">
        <is>
          <t>C237</t>
        </is>
      </c>
      <c r="B1477" s="17" t="inlineStr"/>
      <c r="C1477" s="17" t="inlineStr">
        <is>
          <t>(주)아리제약</t>
        </is>
      </c>
      <c r="D1477" s="17" t="inlineStr"/>
      <c r="E1477" s="17" t="inlineStr">
        <is>
          <t>수출여부</t>
        </is>
      </c>
      <c r="F1477" s="17" t="inlineStr">
        <is>
          <t>미확인</t>
        </is>
      </c>
      <c r="G1477" s="17" t="inlineStr">
        <is>
          <t>웹조사 자동화 실패(세션한도)</t>
        </is>
      </c>
      <c r="H1477" s="17" t="inlineStr">
        <is>
          <t>N</t>
        </is>
      </c>
      <c r="I1477" s="17" t="inlineStr">
        <is>
          <t>회사 공시·홈페이지</t>
        </is>
      </c>
      <c r="J1477" s="17" t="inlineStr">
        <is>
          <t>회사 공시·홈페이지에서 확인</t>
        </is>
      </c>
      <c r="K1477" s="17" t="inlineStr">
        <is>
          <t>낮음</t>
        </is>
      </c>
      <c r="L1477" s="17" t="inlineStr"/>
    </row>
    <row r="1478">
      <c r="A1478" s="17" t="inlineStr">
        <is>
          <t>C237</t>
        </is>
      </c>
      <c r="B1478" s="17" t="inlineStr"/>
      <c r="C1478" s="17" t="inlineStr">
        <is>
          <t>(주)아리제약</t>
        </is>
      </c>
      <c r="D1478" s="17" t="inlineStr"/>
      <c r="E1478" s="17" t="inlineStr">
        <is>
          <t>FDA·EMA 실사</t>
        </is>
      </c>
      <c r="F1478" s="17" t="inlineStr">
        <is>
          <t>미확인</t>
        </is>
      </c>
      <c r="G1478" s="17" t="inlineStr">
        <is>
          <t>웹조사 자동화 실패(세션한도)</t>
        </is>
      </c>
      <c r="H1478" s="17" t="inlineStr">
        <is>
          <t>N</t>
        </is>
      </c>
      <c r="I1478" s="17" t="inlineStr">
        <is>
          <t>FDA Inspection DB</t>
        </is>
      </c>
      <c r="J1478" s="17" t="inlineStr">
        <is>
          <t>FDA Inspection DB에서 확인</t>
        </is>
      </c>
      <c r="K1478" s="17" t="inlineStr">
        <is>
          <t>낮음</t>
        </is>
      </c>
      <c r="L1478" s="17" t="inlineStr"/>
    </row>
    <row r="1479">
      <c r="A1479" s="17" t="inlineStr">
        <is>
          <t>C237</t>
        </is>
      </c>
      <c r="B1479" s="17" t="inlineStr"/>
      <c r="C1479" s="17" t="inlineStr">
        <is>
          <t>(주)아리제약</t>
        </is>
      </c>
      <c r="D1479" s="17" t="inlineStr"/>
      <c r="E1479" s="17" t="inlineStr">
        <is>
          <t>CMO·CDMO</t>
        </is>
      </c>
      <c r="F1479" s="17" t="inlineStr">
        <is>
          <t>미확인</t>
        </is>
      </c>
      <c r="G1479" s="17" t="inlineStr">
        <is>
          <t>웹조사 자동화 실패(세션한도)</t>
        </is>
      </c>
      <c r="H1479" s="17" t="inlineStr">
        <is>
          <t>N</t>
        </is>
      </c>
      <c r="I1479" s="17" t="inlineStr">
        <is>
          <t>회사 홈페이지</t>
        </is>
      </c>
      <c r="J1479" s="17" t="inlineStr">
        <is>
          <t>회사 홈페이지에서 확인</t>
        </is>
      </c>
      <c r="K1479" s="17" t="inlineStr">
        <is>
          <t>낮음</t>
        </is>
      </c>
      <c r="L1479" s="17" t="inlineStr"/>
    </row>
    <row r="1480">
      <c r="A1480" s="17" t="inlineStr">
        <is>
          <t>C237</t>
        </is>
      </c>
      <c r="B1480" s="17" t="inlineStr"/>
      <c r="C1480" s="17" t="inlineStr">
        <is>
          <t>(주)아리제약</t>
        </is>
      </c>
      <c r="D1480" s="17" t="inlineStr"/>
      <c r="E1480" s="17" t="inlineStr">
        <is>
          <t>신공장·증설</t>
        </is>
      </c>
      <c r="F1480" s="17" t="inlineStr">
        <is>
          <t>미확인</t>
        </is>
      </c>
      <c r="G1480" s="17" t="inlineStr">
        <is>
          <t>웹조사 자동화 실패(세션한도)</t>
        </is>
      </c>
      <c r="H1480" s="17" t="inlineStr">
        <is>
          <t>N</t>
        </is>
      </c>
      <c r="I1480" s="17" t="inlineStr">
        <is>
          <t>언론·지자체 발표</t>
        </is>
      </c>
      <c r="J1480" s="17" t="inlineStr">
        <is>
          <t>언론·지자체 발표에서 확인</t>
        </is>
      </c>
      <c r="K1480" s="17" t="inlineStr">
        <is>
          <t>낮음</t>
        </is>
      </c>
      <c r="L1480" s="17" t="inlineStr"/>
    </row>
    <row r="1481">
      <c r="A1481" s="17" t="inlineStr">
        <is>
          <t>C237</t>
        </is>
      </c>
      <c r="B1481" s="17" t="inlineStr"/>
      <c r="C1481" s="17" t="inlineStr">
        <is>
          <t>(주)아리제약</t>
        </is>
      </c>
      <c r="D1481" s="17" t="inlineStr"/>
      <c r="E1481" s="17" t="inlineStr">
        <is>
          <t>대표전화</t>
        </is>
      </c>
      <c r="F1481" s="17" t="inlineStr">
        <is>
          <t>미확인</t>
        </is>
      </c>
      <c r="G1481" s="17" t="inlineStr">
        <is>
          <t>제조소상세 미매칭</t>
        </is>
      </c>
      <c r="H1481" s="17" t="inlineStr">
        <is>
          <t>Y</t>
        </is>
      </c>
      <c r="I1481" s="17" t="inlineStr">
        <is>
          <t>회사 홈페이지</t>
        </is>
      </c>
      <c r="J1481" s="17" t="inlineStr">
        <is>
          <t>홈페이지에서 대표번호 확인</t>
        </is>
      </c>
      <c r="K1481" s="17" t="inlineStr">
        <is>
          <t>낮음</t>
        </is>
      </c>
      <c r="L1481" s="17" t="inlineStr"/>
    </row>
    <row r="1482">
      <c r="A1482" s="17" t="inlineStr">
        <is>
          <t>C238</t>
        </is>
      </c>
      <c r="B1482" s="17" t="inlineStr"/>
      <c r="C1482" s="17" t="inlineStr">
        <is>
          <t>(주)한국파비스제약</t>
        </is>
      </c>
      <c r="D1482" s="17" t="inlineStr"/>
      <c r="E1482" s="17" t="inlineStr">
        <is>
          <t>최근매출(억원)</t>
        </is>
      </c>
      <c r="F1482" s="17" t="inlineStr">
        <is>
          <t>미확인</t>
        </is>
      </c>
      <c r="G1482" s="17" t="inlineStr">
        <is>
          <t>웹조사 자동화 실패(세션한도)</t>
        </is>
      </c>
      <c r="H1482" s="17" t="inlineStr">
        <is>
          <t>N</t>
        </is>
      </c>
      <c r="I1482" s="17" t="inlineStr">
        <is>
          <t>DART 사업보고서</t>
        </is>
      </c>
      <c r="J1482" s="17" t="inlineStr">
        <is>
          <t>DART 사업보고서에서 확인</t>
        </is>
      </c>
      <c r="K1482" s="17" t="inlineStr">
        <is>
          <t>낮음</t>
        </is>
      </c>
      <c r="L1482" s="17" t="inlineStr"/>
    </row>
    <row r="1483">
      <c r="A1483" s="17" t="inlineStr">
        <is>
          <t>C238</t>
        </is>
      </c>
      <c r="B1483" s="17" t="inlineStr"/>
      <c r="C1483" s="17" t="inlineStr">
        <is>
          <t>(주)한국파비스제약</t>
        </is>
      </c>
      <c r="D1483" s="17" t="inlineStr"/>
      <c r="E1483" s="17" t="inlineStr">
        <is>
          <t>종업원수</t>
        </is>
      </c>
      <c r="F1483" s="17" t="inlineStr">
        <is>
          <t>미확인</t>
        </is>
      </c>
      <c r="G1483" s="17" t="inlineStr">
        <is>
          <t>웹조사 자동화 실패(세션한도)</t>
        </is>
      </c>
      <c r="H1483" s="17" t="inlineStr">
        <is>
          <t>N</t>
        </is>
      </c>
      <c r="I1483" s="17" t="inlineStr">
        <is>
          <t>DART/채용</t>
        </is>
      </c>
      <c r="J1483" s="17" t="inlineStr">
        <is>
          <t>DART/채용에서 확인</t>
        </is>
      </c>
      <c r="K1483" s="17" t="inlineStr">
        <is>
          <t>낮음</t>
        </is>
      </c>
      <c r="L1483" s="17" t="inlineStr"/>
    </row>
    <row r="1484">
      <c r="A1484" s="17" t="inlineStr">
        <is>
          <t>C238</t>
        </is>
      </c>
      <c r="B1484" s="17" t="inlineStr"/>
      <c r="C1484" s="17" t="inlineStr">
        <is>
          <t>(주)한국파비스제약</t>
        </is>
      </c>
      <c r="D1484" s="17" t="inlineStr"/>
      <c r="E1484" s="17" t="inlineStr">
        <is>
          <t>수출여부</t>
        </is>
      </c>
      <c r="F1484" s="17" t="inlineStr">
        <is>
          <t>미확인</t>
        </is>
      </c>
      <c r="G1484" s="17" t="inlineStr">
        <is>
          <t>웹조사 자동화 실패(세션한도)</t>
        </is>
      </c>
      <c r="H1484" s="17" t="inlineStr">
        <is>
          <t>N</t>
        </is>
      </c>
      <c r="I1484" s="17" t="inlineStr">
        <is>
          <t>회사 공시·홈페이지</t>
        </is>
      </c>
      <c r="J1484" s="17" t="inlineStr">
        <is>
          <t>회사 공시·홈페이지에서 확인</t>
        </is>
      </c>
      <c r="K1484" s="17" t="inlineStr">
        <is>
          <t>낮음</t>
        </is>
      </c>
      <c r="L1484" s="17" t="inlineStr"/>
    </row>
    <row r="1485">
      <c r="A1485" s="17" t="inlineStr">
        <is>
          <t>C238</t>
        </is>
      </c>
      <c r="B1485" s="17" t="inlineStr"/>
      <c r="C1485" s="17" t="inlineStr">
        <is>
          <t>(주)한국파비스제약</t>
        </is>
      </c>
      <c r="D1485" s="17" t="inlineStr"/>
      <c r="E1485" s="17" t="inlineStr">
        <is>
          <t>FDA·EMA 실사</t>
        </is>
      </c>
      <c r="F1485" s="17" t="inlineStr">
        <is>
          <t>미확인</t>
        </is>
      </c>
      <c r="G1485" s="17" t="inlineStr">
        <is>
          <t>웹조사 자동화 실패(세션한도)</t>
        </is>
      </c>
      <c r="H1485" s="17" t="inlineStr">
        <is>
          <t>N</t>
        </is>
      </c>
      <c r="I1485" s="17" t="inlineStr">
        <is>
          <t>FDA Inspection DB</t>
        </is>
      </c>
      <c r="J1485" s="17" t="inlineStr">
        <is>
          <t>FDA Inspection DB에서 확인</t>
        </is>
      </c>
      <c r="K1485" s="17" t="inlineStr">
        <is>
          <t>낮음</t>
        </is>
      </c>
      <c r="L1485" s="17" t="inlineStr"/>
    </row>
    <row r="1486">
      <c r="A1486" s="17" t="inlineStr">
        <is>
          <t>C238</t>
        </is>
      </c>
      <c r="B1486" s="17" t="inlineStr"/>
      <c r="C1486" s="17" t="inlineStr">
        <is>
          <t>(주)한국파비스제약</t>
        </is>
      </c>
      <c r="D1486" s="17" t="inlineStr"/>
      <c r="E1486" s="17" t="inlineStr">
        <is>
          <t>CMO·CDMO</t>
        </is>
      </c>
      <c r="F1486" s="17" t="inlineStr">
        <is>
          <t>미확인</t>
        </is>
      </c>
      <c r="G1486" s="17" t="inlineStr">
        <is>
          <t>웹조사 자동화 실패(세션한도)</t>
        </is>
      </c>
      <c r="H1486" s="17" t="inlineStr">
        <is>
          <t>N</t>
        </is>
      </c>
      <c r="I1486" s="17" t="inlineStr">
        <is>
          <t>회사 홈페이지</t>
        </is>
      </c>
      <c r="J1486" s="17" t="inlineStr">
        <is>
          <t>회사 홈페이지에서 확인</t>
        </is>
      </c>
      <c r="K1486" s="17" t="inlineStr">
        <is>
          <t>낮음</t>
        </is>
      </c>
      <c r="L1486" s="17" t="inlineStr"/>
    </row>
    <row r="1487">
      <c r="A1487" s="17" t="inlineStr">
        <is>
          <t>C238</t>
        </is>
      </c>
      <c r="B1487" s="17" t="inlineStr"/>
      <c r="C1487" s="17" t="inlineStr">
        <is>
          <t>(주)한국파비스제약</t>
        </is>
      </c>
      <c r="D1487" s="17" t="inlineStr"/>
      <c r="E1487" s="17" t="inlineStr">
        <is>
          <t>신공장·증설</t>
        </is>
      </c>
      <c r="F1487" s="17" t="inlineStr">
        <is>
          <t>미확인</t>
        </is>
      </c>
      <c r="G1487" s="17" t="inlineStr">
        <is>
          <t>웹조사 자동화 실패(세션한도)</t>
        </is>
      </c>
      <c r="H1487" s="17" t="inlineStr">
        <is>
          <t>N</t>
        </is>
      </c>
      <c r="I1487" s="17" t="inlineStr">
        <is>
          <t>언론·지자체 발표</t>
        </is>
      </c>
      <c r="J1487" s="17" t="inlineStr">
        <is>
          <t>언론·지자체 발표에서 확인</t>
        </is>
      </c>
      <c r="K1487" s="17" t="inlineStr">
        <is>
          <t>낮음</t>
        </is>
      </c>
      <c r="L1487" s="17" t="inlineStr"/>
    </row>
    <row r="1488">
      <c r="A1488" s="17" t="inlineStr">
        <is>
          <t>C238</t>
        </is>
      </c>
      <c r="B1488" s="17" t="inlineStr"/>
      <c r="C1488" s="17" t="inlineStr">
        <is>
          <t>(주)한국파비스제약</t>
        </is>
      </c>
      <c r="D1488" s="17" t="inlineStr"/>
      <c r="E1488" s="17" t="inlineStr">
        <is>
          <t>대표전화</t>
        </is>
      </c>
      <c r="F1488" s="17" t="inlineStr">
        <is>
          <t>미확인</t>
        </is>
      </c>
      <c r="G1488" s="17" t="inlineStr">
        <is>
          <t>제조소상세 미매칭</t>
        </is>
      </c>
      <c r="H1488" s="17" t="inlineStr">
        <is>
          <t>Y</t>
        </is>
      </c>
      <c r="I1488" s="17" t="inlineStr">
        <is>
          <t>회사 홈페이지</t>
        </is>
      </c>
      <c r="J1488" s="17" t="inlineStr">
        <is>
          <t>홈페이지에서 대표번호 확인</t>
        </is>
      </c>
      <c r="K1488" s="17" t="inlineStr">
        <is>
          <t>낮음</t>
        </is>
      </c>
      <c r="L1488" s="17" t="inlineStr"/>
    </row>
    <row r="1489">
      <c r="A1489" s="17" t="inlineStr">
        <is>
          <t>C239</t>
        </is>
      </c>
      <c r="B1489" s="17" t="inlineStr"/>
      <c r="C1489" s="17" t="inlineStr">
        <is>
          <t>(주)제일가스</t>
        </is>
      </c>
      <c r="D1489" s="17" t="inlineStr"/>
      <c r="E1489" s="17" t="inlineStr">
        <is>
          <t>최근매출(억원)</t>
        </is>
      </c>
      <c r="F1489" s="17" t="inlineStr">
        <is>
          <t>미확인</t>
        </is>
      </c>
      <c r="G1489" s="17" t="inlineStr">
        <is>
          <t>웹조사 자동화 실패(세션한도)</t>
        </is>
      </c>
      <c r="H1489" s="17" t="inlineStr">
        <is>
          <t>N</t>
        </is>
      </c>
      <c r="I1489" s="17" t="inlineStr">
        <is>
          <t>DART 사업보고서</t>
        </is>
      </c>
      <c r="J1489" s="17" t="inlineStr">
        <is>
          <t>DART 사업보고서에서 확인</t>
        </is>
      </c>
      <c r="K1489" s="17" t="inlineStr">
        <is>
          <t>낮음</t>
        </is>
      </c>
      <c r="L1489" s="17" t="inlineStr"/>
    </row>
    <row r="1490">
      <c r="A1490" s="17" t="inlineStr">
        <is>
          <t>C239</t>
        </is>
      </c>
      <c r="B1490" s="17" t="inlineStr"/>
      <c r="C1490" s="17" t="inlineStr">
        <is>
          <t>(주)제일가스</t>
        </is>
      </c>
      <c r="D1490" s="17" t="inlineStr"/>
      <c r="E1490" s="17" t="inlineStr">
        <is>
          <t>종업원수</t>
        </is>
      </c>
      <c r="F1490" s="17" t="inlineStr">
        <is>
          <t>미확인</t>
        </is>
      </c>
      <c r="G1490" s="17" t="inlineStr">
        <is>
          <t>웹조사 자동화 실패(세션한도)</t>
        </is>
      </c>
      <c r="H1490" s="17" t="inlineStr">
        <is>
          <t>N</t>
        </is>
      </c>
      <c r="I1490" s="17" t="inlineStr">
        <is>
          <t>DART/채용</t>
        </is>
      </c>
      <c r="J1490" s="17" t="inlineStr">
        <is>
          <t>DART/채용에서 확인</t>
        </is>
      </c>
      <c r="K1490" s="17" t="inlineStr">
        <is>
          <t>낮음</t>
        </is>
      </c>
      <c r="L1490" s="17" t="inlineStr"/>
    </row>
    <row r="1491">
      <c r="A1491" s="17" t="inlineStr">
        <is>
          <t>C239</t>
        </is>
      </c>
      <c r="B1491" s="17" t="inlineStr"/>
      <c r="C1491" s="17" t="inlineStr">
        <is>
          <t>(주)제일가스</t>
        </is>
      </c>
      <c r="D1491" s="17" t="inlineStr"/>
      <c r="E1491" s="17" t="inlineStr">
        <is>
          <t>수출여부</t>
        </is>
      </c>
      <c r="F1491" s="17" t="inlineStr">
        <is>
          <t>미확인</t>
        </is>
      </c>
      <c r="G1491" s="17" t="inlineStr">
        <is>
          <t>웹조사 자동화 실패(세션한도)</t>
        </is>
      </c>
      <c r="H1491" s="17" t="inlineStr">
        <is>
          <t>N</t>
        </is>
      </c>
      <c r="I1491" s="17" t="inlineStr">
        <is>
          <t>회사 공시·홈페이지</t>
        </is>
      </c>
      <c r="J1491" s="17" t="inlineStr">
        <is>
          <t>회사 공시·홈페이지에서 확인</t>
        </is>
      </c>
      <c r="K1491" s="17" t="inlineStr">
        <is>
          <t>낮음</t>
        </is>
      </c>
      <c r="L1491" s="17" t="inlineStr"/>
    </row>
    <row r="1492">
      <c r="A1492" s="17" t="inlineStr">
        <is>
          <t>C239</t>
        </is>
      </c>
      <c r="B1492" s="17" t="inlineStr"/>
      <c r="C1492" s="17" t="inlineStr">
        <is>
          <t>(주)제일가스</t>
        </is>
      </c>
      <c r="D1492" s="17" t="inlineStr"/>
      <c r="E1492" s="17" t="inlineStr">
        <is>
          <t>FDA·EMA 실사</t>
        </is>
      </c>
      <c r="F1492" s="17" t="inlineStr">
        <is>
          <t>미확인</t>
        </is>
      </c>
      <c r="G1492" s="17" t="inlineStr">
        <is>
          <t>웹조사 자동화 실패(세션한도)</t>
        </is>
      </c>
      <c r="H1492" s="17" t="inlineStr">
        <is>
          <t>N</t>
        </is>
      </c>
      <c r="I1492" s="17" t="inlineStr">
        <is>
          <t>FDA Inspection DB</t>
        </is>
      </c>
      <c r="J1492" s="17" t="inlineStr">
        <is>
          <t>FDA Inspection DB에서 확인</t>
        </is>
      </c>
      <c r="K1492" s="17" t="inlineStr">
        <is>
          <t>낮음</t>
        </is>
      </c>
      <c r="L1492" s="17" t="inlineStr"/>
    </row>
    <row r="1493">
      <c r="A1493" s="17" t="inlineStr">
        <is>
          <t>C239</t>
        </is>
      </c>
      <c r="B1493" s="17" t="inlineStr"/>
      <c r="C1493" s="17" t="inlineStr">
        <is>
          <t>(주)제일가스</t>
        </is>
      </c>
      <c r="D1493" s="17" t="inlineStr"/>
      <c r="E1493" s="17" t="inlineStr">
        <is>
          <t>CMO·CDMO</t>
        </is>
      </c>
      <c r="F1493" s="17" t="inlineStr">
        <is>
          <t>미확인</t>
        </is>
      </c>
      <c r="G1493" s="17" t="inlineStr">
        <is>
          <t>웹조사 자동화 실패(세션한도)</t>
        </is>
      </c>
      <c r="H1493" s="17" t="inlineStr">
        <is>
          <t>N</t>
        </is>
      </c>
      <c r="I1493" s="17" t="inlineStr">
        <is>
          <t>회사 홈페이지</t>
        </is>
      </c>
      <c r="J1493" s="17" t="inlineStr">
        <is>
          <t>회사 홈페이지에서 확인</t>
        </is>
      </c>
      <c r="K1493" s="17" t="inlineStr">
        <is>
          <t>낮음</t>
        </is>
      </c>
      <c r="L1493" s="17" t="inlineStr"/>
    </row>
    <row r="1494">
      <c r="A1494" s="17" t="inlineStr">
        <is>
          <t>C239</t>
        </is>
      </c>
      <c r="B1494" s="17" t="inlineStr"/>
      <c r="C1494" s="17" t="inlineStr">
        <is>
          <t>(주)제일가스</t>
        </is>
      </c>
      <c r="D1494" s="17" t="inlineStr"/>
      <c r="E1494" s="17" t="inlineStr">
        <is>
          <t>신공장·증설</t>
        </is>
      </c>
      <c r="F1494" s="17" t="inlineStr">
        <is>
          <t>미확인</t>
        </is>
      </c>
      <c r="G1494" s="17" t="inlineStr">
        <is>
          <t>웹조사 자동화 실패(세션한도)</t>
        </is>
      </c>
      <c r="H1494" s="17" t="inlineStr">
        <is>
          <t>N</t>
        </is>
      </c>
      <c r="I1494" s="17" t="inlineStr">
        <is>
          <t>언론·지자체 발표</t>
        </is>
      </c>
      <c r="J1494" s="17" t="inlineStr">
        <is>
          <t>언론·지자체 발표에서 확인</t>
        </is>
      </c>
      <c r="K1494" s="17" t="inlineStr">
        <is>
          <t>낮음</t>
        </is>
      </c>
      <c r="L1494" s="17" t="inlineStr"/>
    </row>
    <row r="1495">
      <c r="A1495" s="17" t="inlineStr">
        <is>
          <t>C240</t>
        </is>
      </c>
      <c r="B1495" s="17" t="inlineStr"/>
      <c r="C1495" s="17" t="inlineStr">
        <is>
          <t>주식회사 케이에스테크</t>
        </is>
      </c>
      <c r="D1495" s="17" t="inlineStr"/>
      <c r="E1495" s="17" t="inlineStr">
        <is>
          <t>최근매출(억원)</t>
        </is>
      </c>
      <c r="F1495" s="17" t="inlineStr">
        <is>
          <t>미확인</t>
        </is>
      </c>
      <c r="G1495" s="17" t="inlineStr">
        <is>
          <t>웹조사 자동화 실패(세션한도)</t>
        </is>
      </c>
      <c r="H1495" s="17" t="inlineStr">
        <is>
          <t>N</t>
        </is>
      </c>
      <c r="I1495" s="17" t="inlineStr">
        <is>
          <t>DART 사업보고서</t>
        </is>
      </c>
      <c r="J1495" s="17" t="inlineStr">
        <is>
          <t>DART 사업보고서에서 확인</t>
        </is>
      </c>
      <c r="K1495" s="17" t="inlineStr">
        <is>
          <t>낮음</t>
        </is>
      </c>
      <c r="L1495" s="17" t="inlineStr"/>
    </row>
    <row r="1496">
      <c r="A1496" s="17" t="inlineStr">
        <is>
          <t>C240</t>
        </is>
      </c>
      <c r="B1496" s="17" t="inlineStr"/>
      <c r="C1496" s="17" t="inlineStr">
        <is>
          <t>주식회사 케이에스테크</t>
        </is>
      </c>
      <c r="D1496" s="17" t="inlineStr"/>
      <c r="E1496" s="17" t="inlineStr">
        <is>
          <t>종업원수</t>
        </is>
      </c>
      <c r="F1496" s="17" t="inlineStr">
        <is>
          <t>미확인</t>
        </is>
      </c>
      <c r="G1496" s="17" t="inlineStr">
        <is>
          <t>웹조사 자동화 실패(세션한도)</t>
        </is>
      </c>
      <c r="H1496" s="17" t="inlineStr">
        <is>
          <t>N</t>
        </is>
      </c>
      <c r="I1496" s="17" t="inlineStr">
        <is>
          <t>DART/채용</t>
        </is>
      </c>
      <c r="J1496" s="17" t="inlineStr">
        <is>
          <t>DART/채용에서 확인</t>
        </is>
      </c>
      <c r="K1496" s="17" t="inlineStr">
        <is>
          <t>낮음</t>
        </is>
      </c>
      <c r="L1496" s="17" t="inlineStr"/>
    </row>
    <row r="1497">
      <c r="A1497" s="17" t="inlineStr">
        <is>
          <t>C240</t>
        </is>
      </c>
      <c r="B1497" s="17" t="inlineStr"/>
      <c r="C1497" s="17" t="inlineStr">
        <is>
          <t>주식회사 케이에스테크</t>
        </is>
      </c>
      <c r="D1497" s="17" t="inlineStr"/>
      <c r="E1497" s="17" t="inlineStr">
        <is>
          <t>수출여부</t>
        </is>
      </c>
      <c r="F1497" s="17" t="inlineStr">
        <is>
          <t>미확인</t>
        </is>
      </c>
      <c r="G1497" s="17" t="inlineStr">
        <is>
          <t>웹조사 자동화 실패(세션한도)</t>
        </is>
      </c>
      <c r="H1497" s="17" t="inlineStr">
        <is>
          <t>N</t>
        </is>
      </c>
      <c r="I1497" s="17" t="inlineStr">
        <is>
          <t>회사 공시·홈페이지</t>
        </is>
      </c>
      <c r="J1497" s="17" t="inlineStr">
        <is>
          <t>회사 공시·홈페이지에서 확인</t>
        </is>
      </c>
      <c r="K1497" s="17" t="inlineStr">
        <is>
          <t>낮음</t>
        </is>
      </c>
      <c r="L1497" s="17" t="inlineStr"/>
    </row>
    <row r="1498">
      <c r="A1498" s="17" t="inlineStr">
        <is>
          <t>C240</t>
        </is>
      </c>
      <c r="B1498" s="17" t="inlineStr"/>
      <c r="C1498" s="17" t="inlineStr">
        <is>
          <t>주식회사 케이에스테크</t>
        </is>
      </c>
      <c r="D1498" s="17" t="inlineStr"/>
      <c r="E1498" s="17" t="inlineStr">
        <is>
          <t>FDA·EMA 실사</t>
        </is>
      </c>
      <c r="F1498" s="17" t="inlineStr">
        <is>
          <t>미확인</t>
        </is>
      </c>
      <c r="G1498" s="17" t="inlineStr">
        <is>
          <t>웹조사 자동화 실패(세션한도)</t>
        </is>
      </c>
      <c r="H1498" s="17" t="inlineStr">
        <is>
          <t>N</t>
        </is>
      </c>
      <c r="I1498" s="17" t="inlineStr">
        <is>
          <t>FDA Inspection DB</t>
        </is>
      </c>
      <c r="J1498" s="17" t="inlineStr">
        <is>
          <t>FDA Inspection DB에서 확인</t>
        </is>
      </c>
      <c r="K1498" s="17" t="inlineStr">
        <is>
          <t>낮음</t>
        </is>
      </c>
      <c r="L1498" s="17" t="inlineStr"/>
    </row>
    <row r="1499">
      <c r="A1499" s="17" t="inlineStr">
        <is>
          <t>C240</t>
        </is>
      </c>
      <c r="B1499" s="17" t="inlineStr"/>
      <c r="C1499" s="17" t="inlineStr">
        <is>
          <t>주식회사 케이에스테크</t>
        </is>
      </c>
      <c r="D1499" s="17" t="inlineStr"/>
      <c r="E1499" s="17" t="inlineStr">
        <is>
          <t>CMO·CDMO</t>
        </is>
      </c>
      <c r="F1499" s="17" t="inlineStr">
        <is>
          <t>미확인</t>
        </is>
      </c>
      <c r="G1499" s="17" t="inlineStr">
        <is>
          <t>웹조사 자동화 실패(세션한도)</t>
        </is>
      </c>
      <c r="H1499" s="17" t="inlineStr">
        <is>
          <t>N</t>
        </is>
      </c>
      <c r="I1499" s="17" t="inlineStr">
        <is>
          <t>회사 홈페이지</t>
        </is>
      </c>
      <c r="J1499" s="17" t="inlineStr">
        <is>
          <t>회사 홈페이지에서 확인</t>
        </is>
      </c>
      <c r="K1499" s="17" t="inlineStr">
        <is>
          <t>낮음</t>
        </is>
      </c>
      <c r="L1499" s="17" t="inlineStr"/>
    </row>
    <row r="1500">
      <c r="A1500" s="17" t="inlineStr">
        <is>
          <t>C240</t>
        </is>
      </c>
      <c r="B1500" s="17" t="inlineStr"/>
      <c r="C1500" s="17" t="inlineStr">
        <is>
          <t>주식회사 케이에스테크</t>
        </is>
      </c>
      <c r="D1500" s="17" t="inlineStr"/>
      <c r="E1500" s="17" t="inlineStr">
        <is>
          <t>신공장·증설</t>
        </is>
      </c>
      <c r="F1500" s="17" t="inlineStr">
        <is>
          <t>미확인</t>
        </is>
      </c>
      <c r="G1500" s="17" t="inlineStr">
        <is>
          <t>웹조사 자동화 실패(세션한도)</t>
        </is>
      </c>
      <c r="H1500" s="17" t="inlineStr">
        <is>
          <t>N</t>
        </is>
      </c>
      <c r="I1500" s="17" t="inlineStr">
        <is>
          <t>언론·지자체 발표</t>
        </is>
      </c>
      <c r="J1500" s="17" t="inlineStr">
        <is>
          <t>언론·지자체 발표에서 확인</t>
        </is>
      </c>
      <c r="K1500" s="17" t="inlineStr">
        <is>
          <t>낮음</t>
        </is>
      </c>
      <c r="L1500" s="17" t="inlineStr"/>
    </row>
    <row r="1501">
      <c r="A1501" s="17" t="inlineStr">
        <is>
          <t>C241</t>
        </is>
      </c>
      <c r="B1501" s="17" t="inlineStr"/>
      <c r="C1501" s="17" t="inlineStr">
        <is>
          <t>영풍제약(주)</t>
        </is>
      </c>
      <c r="D1501" s="17" t="inlineStr"/>
      <c r="E1501" s="17" t="inlineStr">
        <is>
          <t>최근매출(억원)</t>
        </is>
      </c>
      <c r="F1501" s="17" t="inlineStr">
        <is>
          <t>미확인</t>
        </is>
      </c>
      <c r="G1501" s="17" t="inlineStr">
        <is>
          <t>웹조사 자동화 실패(세션한도)</t>
        </is>
      </c>
      <c r="H1501" s="17" t="inlineStr">
        <is>
          <t>N</t>
        </is>
      </c>
      <c r="I1501" s="17" t="inlineStr">
        <is>
          <t>DART 사업보고서</t>
        </is>
      </c>
      <c r="J1501" s="17" t="inlineStr">
        <is>
          <t>DART 사업보고서에서 확인</t>
        </is>
      </c>
      <c r="K1501" s="17" t="inlineStr">
        <is>
          <t>낮음</t>
        </is>
      </c>
      <c r="L1501" s="17" t="inlineStr"/>
    </row>
    <row r="1502">
      <c r="A1502" s="17" t="inlineStr">
        <is>
          <t>C241</t>
        </is>
      </c>
      <c r="B1502" s="17" t="inlineStr"/>
      <c r="C1502" s="17" t="inlineStr">
        <is>
          <t>영풍제약(주)</t>
        </is>
      </c>
      <c r="D1502" s="17" t="inlineStr"/>
      <c r="E1502" s="17" t="inlineStr">
        <is>
          <t>종업원수</t>
        </is>
      </c>
      <c r="F1502" s="17" t="inlineStr">
        <is>
          <t>미확인</t>
        </is>
      </c>
      <c r="G1502" s="17" t="inlineStr">
        <is>
          <t>웹조사 자동화 실패(세션한도)</t>
        </is>
      </c>
      <c r="H1502" s="17" t="inlineStr">
        <is>
          <t>N</t>
        </is>
      </c>
      <c r="I1502" s="17" t="inlineStr">
        <is>
          <t>DART/채용</t>
        </is>
      </c>
      <c r="J1502" s="17" t="inlineStr">
        <is>
          <t>DART/채용에서 확인</t>
        </is>
      </c>
      <c r="K1502" s="17" t="inlineStr">
        <is>
          <t>낮음</t>
        </is>
      </c>
      <c r="L1502" s="17" t="inlineStr"/>
    </row>
    <row r="1503">
      <c r="A1503" s="17" t="inlineStr">
        <is>
          <t>C241</t>
        </is>
      </c>
      <c r="B1503" s="17" t="inlineStr"/>
      <c r="C1503" s="17" t="inlineStr">
        <is>
          <t>영풍제약(주)</t>
        </is>
      </c>
      <c r="D1503" s="17" t="inlineStr"/>
      <c r="E1503" s="17" t="inlineStr">
        <is>
          <t>수출여부</t>
        </is>
      </c>
      <c r="F1503" s="17" t="inlineStr">
        <is>
          <t>미확인</t>
        </is>
      </c>
      <c r="G1503" s="17" t="inlineStr">
        <is>
          <t>웹조사 자동화 실패(세션한도)</t>
        </is>
      </c>
      <c r="H1503" s="17" t="inlineStr">
        <is>
          <t>N</t>
        </is>
      </c>
      <c r="I1503" s="17" t="inlineStr">
        <is>
          <t>회사 공시·홈페이지</t>
        </is>
      </c>
      <c r="J1503" s="17" t="inlineStr">
        <is>
          <t>회사 공시·홈페이지에서 확인</t>
        </is>
      </c>
      <c r="K1503" s="17" t="inlineStr">
        <is>
          <t>낮음</t>
        </is>
      </c>
      <c r="L1503" s="17" t="inlineStr"/>
    </row>
    <row r="1504">
      <c r="A1504" s="17" t="inlineStr">
        <is>
          <t>C241</t>
        </is>
      </c>
      <c r="B1504" s="17" t="inlineStr"/>
      <c r="C1504" s="17" t="inlineStr">
        <is>
          <t>영풍제약(주)</t>
        </is>
      </c>
      <c r="D1504" s="17" t="inlineStr"/>
      <c r="E1504" s="17" t="inlineStr">
        <is>
          <t>FDA·EMA 실사</t>
        </is>
      </c>
      <c r="F1504" s="17" t="inlineStr">
        <is>
          <t>미확인</t>
        </is>
      </c>
      <c r="G1504" s="17" t="inlineStr">
        <is>
          <t>웹조사 자동화 실패(세션한도)</t>
        </is>
      </c>
      <c r="H1504" s="17" t="inlineStr">
        <is>
          <t>N</t>
        </is>
      </c>
      <c r="I1504" s="17" t="inlineStr">
        <is>
          <t>FDA Inspection DB</t>
        </is>
      </c>
      <c r="J1504" s="17" t="inlineStr">
        <is>
          <t>FDA Inspection DB에서 확인</t>
        </is>
      </c>
      <c r="K1504" s="17" t="inlineStr">
        <is>
          <t>낮음</t>
        </is>
      </c>
      <c r="L1504" s="17" t="inlineStr"/>
    </row>
    <row r="1505">
      <c r="A1505" s="17" t="inlineStr">
        <is>
          <t>C241</t>
        </is>
      </c>
      <c r="B1505" s="17" t="inlineStr"/>
      <c r="C1505" s="17" t="inlineStr">
        <is>
          <t>영풍제약(주)</t>
        </is>
      </c>
      <c r="D1505" s="17" t="inlineStr"/>
      <c r="E1505" s="17" t="inlineStr">
        <is>
          <t>CMO·CDMO</t>
        </is>
      </c>
      <c r="F1505" s="17" t="inlineStr">
        <is>
          <t>미확인</t>
        </is>
      </c>
      <c r="G1505" s="17" t="inlineStr">
        <is>
          <t>웹조사 자동화 실패(세션한도)</t>
        </is>
      </c>
      <c r="H1505" s="17" t="inlineStr">
        <is>
          <t>N</t>
        </is>
      </c>
      <c r="I1505" s="17" t="inlineStr">
        <is>
          <t>회사 홈페이지</t>
        </is>
      </c>
      <c r="J1505" s="17" t="inlineStr">
        <is>
          <t>회사 홈페이지에서 확인</t>
        </is>
      </c>
      <c r="K1505" s="17" t="inlineStr">
        <is>
          <t>낮음</t>
        </is>
      </c>
      <c r="L1505" s="17" t="inlineStr"/>
    </row>
    <row r="1506">
      <c r="A1506" s="17" t="inlineStr">
        <is>
          <t>C241</t>
        </is>
      </c>
      <c r="B1506" s="17" t="inlineStr"/>
      <c r="C1506" s="17" t="inlineStr">
        <is>
          <t>영풍제약(주)</t>
        </is>
      </c>
      <c r="D1506" s="17" t="inlineStr"/>
      <c r="E1506" s="17" t="inlineStr">
        <is>
          <t>신공장·증설</t>
        </is>
      </c>
      <c r="F1506" s="17" t="inlineStr">
        <is>
          <t>미확인</t>
        </is>
      </c>
      <c r="G1506" s="17" t="inlineStr">
        <is>
          <t>웹조사 자동화 실패(세션한도)</t>
        </is>
      </c>
      <c r="H1506" s="17" t="inlineStr">
        <is>
          <t>N</t>
        </is>
      </c>
      <c r="I1506" s="17" t="inlineStr">
        <is>
          <t>언론·지자체 발표</t>
        </is>
      </c>
      <c r="J1506" s="17" t="inlineStr">
        <is>
          <t>언론·지자체 발표에서 확인</t>
        </is>
      </c>
      <c r="K1506" s="17" t="inlineStr">
        <is>
          <t>낮음</t>
        </is>
      </c>
      <c r="L1506" s="17" t="inlineStr"/>
    </row>
    <row r="1507">
      <c r="A1507" s="17" t="inlineStr">
        <is>
          <t>C242</t>
        </is>
      </c>
      <c r="B1507" s="17" t="inlineStr"/>
      <c r="C1507" s="17" t="inlineStr">
        <is>
          <t>아이큐어(주)</t>
        </is>
      </c>
      <c r="D1507" s="17" t="inlineStr"/>
      <c r="E1507" s="17" t="inlineStr">
        <is>
          <t>최근매출(억원)</t>
        </is>
      </c>
      <c r="F1507" s="17" t="inlineStr">
        <is>
          <t>미확인</t>
        </is>
      </c>
      <c r="G1507" s="17" t="inlineStr">
        <is>
          <t>웹조사 자동화 실패(세션한도)</t>
        </is>
      </c>
      <c r="H1507" s="17" t="inlineStr">
        <is>
          <t>N</t>
        </is>
      </c>
      <c r="I1507" s="17" t="inlineStr">
        <is>
          <t>DART 사업보고서</t>
        </is>
      </c>
      <c r="J1507" s="17" t="inlineStr">
        <is>
          <t>DART 사업보고서에서 확인</t>
        </is>
      </c>
      <c r="K1507" s="17" t="inlineStr">
        <is>
          <t>낮음</t>
        </is>
      </c>
      <c r="L1507" s="17" t="inlineStr"/>
    </row>
    <row r="1508">
      <c r="A1508" s="17" t="inlineStr">
        <is>
          <t>C242</t>
        </is>
      </c>
      <c r="B1508" s="17" t="inlineStr"/>
      <c r="C1508" s="17" t="inlineStr">
        <is>
          <t>아이큐어(주)</t>
        </is>
      </c>
      <c r="D1508" s="17" t="inlineStr"/>
      <c r="E1508" s="17" t="inlineStr">
        <is>
          <t>종업원수</t>
        </is>
      </c>
      <c r="F1508" s="17" t="inlineStr">
        <is>
          <t>미확인</t>
        </is>
      </c>
      <c r="G1508" s="17" t="inlineStr">
        <is>
          <t>웹조사 자동화 실패(세션한도)</t>
        </is>
      </c>
      <c r="H1508" s="17" t="inlineStr">
        <is>
          <t>N</t>
        </is>
      </c>
      <c r="I1508" s="17" t="inlineStr">
        <is>
          <t>DART/채용</t>
        </is>
      </c>
      <c r="J1508" s="17" t="inlineStr">
        <is>
          <t>DART/채용에서 확인</t>
        </is>
      </c>
      <c r="K1508" s="17" t="inlineStr">
        <is>
          <t>낮음</t>
        </is>
      </c>
      <c r="L1508" s="17" t="inlineStr"/>
    </row>
    <row r="1509">
      <c r="A1509" s="17" t="inlineStr">
        <is>
          <t>C242</t>
        </is>
      </c>
      <c r="B1509" s="17" t="inlineStr"/>
      <c r="C1509" s="17" t="inlineStr">
        <is>
          <t>아이큐어(주)</t>
        </is>
      </c>
      <c r="D1509" s="17" t="inlineStr"/>
      <c r="E1509" s="17" t="inlineStr">
        <is>
          <t>수출여부</t>
        </is>
      </c>
      <c r="F1509" s="17" t="inlineStr">
        <is>
          <t>미확인</t>
        </is>
      </c>
      <c r="G1509" s="17" t="inlineStr">
        <is>
          <t>웹조사 자동화 실패(세션한도)</t>
        </is>
      </c>
      <c r="H1509" s="17" t="inlineStr">
        <is>
          <t>N</t>
        </is>
      </c>
      <c r="I1509" s="17" t="inlineStr">
        <is>
          <t>회사 공시·홈페이지</t>
        </is>
      </c>
      <c r="J1509" s="17" t="inlineStr">
        <is>
          <t>회사 공시·홈페이지에서 확인</t>
        </is>
      </c>
      <c r="K1509" s="17" t="inlineStr">
        <is>
          <t>낮음</t>
        </is>
      </c>
      <c r="L1509" s="17" t="inlineStr"/>
    </row>
    <row r="1510">
      <c r="A1510" s="17" t="inlineStr">
        <is>
          <t>C242</t>
        </is>
      </c>
      <c r="B1510" s="17" t="inlineStr"/>
      <c r="C1510" s="17" t="inlineStr">
        <is>
          <t>아이큐어(주)</t>
        </is>
      </c>
      <c r="D1510" s="17" t="inlineStr"/>
      <c r="E1510" s="17" t="inlineStr">
        <is>
          <t>FDA·EMA 실사</t>
        </is>
      </c>
      <c r="F1510" s="17" t="inlineStr">
        <is>
          <t>미확인</t>
        </is>
      </c>
      <c r="G1510" s="17" t="inlineStr">
        <is>
          <t>웹조사 자동화 실패(세션한도)</t>
        </is>
      </c>
      <c r="H1510" s="17" t="inlineStr">
        <is>
          <t>N</t>
        </is>
      </c>
      <c r="I1510" s="17" t="inlineStr">
        <is>
          <t>FDA Inspection DB</t>
        </is>
      </c>
      <c r="J1510" s="17" t="inlineStr">
        <is>
          <t>FDA Inspection DB에서 확인</t>
        </is>
      </c>
      <c r="K1510" s="17" t="inlineStr">
        <is>
          <t>낮음</t>
        </is>
      </c>
      <c r="L1510" s="17" t="inlineStr"/>
    </row>
    <row r="1511">
      <c r="A1511" s="17" t="inlineStr">
        <is>
          <t>C242</t>
        </is>
      </c>
      <c r="B1511" s="17" t="inlineStr"/>
      <c r="C1511" s="17" t="inlineStr">
        <is>
          <t>아이큐어(주)</t>
        </is>
      </c>
      <c r="D1511" s="17" t="inlineStr"/>
      <c r="E1511" s="17" t="inlineStr">
        <is>
          <t>CMO·CDMO</t>
        </is>
      </c>
      <c r="F1511" s="17" t="inlineStr">
        <is>
          <t>미확인</t>
        </is>
      </c>
      <c r="G1511" s="17" t="inlineStr">
        <is>
          <t>웹조사 자동화 실패(세션한도)</t>
        </is>
      </c>
      <c r="H1511" s="17" t="inlineStr">
        <is>
          <t>N</t>
        </is>
      </c>
      <c r="I1511" s="17" t="inlineStr">
        <is>
          <t>회사 홈페이지</t>
        </is>
      </c>
      <c r="J1511" s="17" t="inlineStr">
        <is>
          <t>회사 홈페이지에서 확인</t>
        </is>
      </c>
      <c r="K1511" s="17" t="inlineStr">
        <is>
          <t>낮음</t>
        </is>
      </c>
      <c r="L1511" s="17" t="inlineStr"/>
    </row>
    <row r="1512">
      <c r="A1512" s="17" t="inlineStr">
        <is>
          <t>C242</t>
        </is>
      </c>
      <c r="B1512" s="17" t="inlineStr"/>
      <c r="C1512" s="17" t="inlineStr">
        <is>
          <t>아이큐어(주)</t>
        </is>
      </c>
      <c r="D1512" s="17" t="inlineStr"/>
      <c r="E1512" s="17" t="inlineStr">
        <is>
          <t>신공장·증설</t>
        </is>
      </c>
      <c r="F1512" s="17" t="inlineStr">
        <is>
          <t>미확인</t>
        </is>
      </c>
      <c r="G1512" s="17" t="inlineStr">
        <is>
          <t>웹조사 자동화 실패(세션한도)</t>
        </is>
      </c>
      <c r="H1512" s="17" t="inlineStr">
        <is>
          <t>N</t>
        </is>
      </c>
      <c r="I1512" s="17" t="inlineStr">
        <is>
          <t>언론·지자체 발표</t>
        </is>
      </c>
      <c r="J1512" s="17" t="inlineStr">
        <is>
          <t>언론·지자체 발표에서 확인</t>
        </is>
      </c>
      <c r="K1512" s="17" t="inlineStr">
        <is>
          <t>낮음</t>
        </is>
      </c>
      <c r="L1512" s="17" t="inlineStr"/>
    </row>
    <row r="1513">
      <c r="A1513" s="17" t="inlineStr">
        <is>
          <t>C242</t>
        </is>
      </c>
      <c r="B1513" s="17" t="inlineStr"/>
      <c r="C1513" s="17" t="inlineStr">
        <is>
          <t>아이큐어(주)</t>
        </is>
      </c>
      <c r="D1513" s="17" t="inlineStr"/>
      <c r="E1513" s="17" t="inlineStr">
        <is>
          <t>대표전화</t>
        </is>
      </c>
      <c r="F1513" s="17" t="inlineStr">
        <is>
          <t>미확인</t>
        </is>
      </c>
      <c r="G1513" s="17" t="inlineStr">
        <is>
          <t>제조소상세 미매칭</t>
        </is>
      </c>
      <c r="H1513" s="17" t="inlineStr">
        <is>
          <t>Y</t>
        </is>
      </c>
      <c r="I1513" s="17" t="inlineStr">
        <is>
          <t>회사 홈페이지</t>
        </is>
      </c>
      <c r="J1513" s="17" t="inlineStr">
        <is>
          <t>홈페이지에서 대표번호 확인</t>
        </is>
      </c>
      <c r="K1513" s="17" t="inlineStr">
        <is>
          <t>낮음</t>
        </is>
      </c>
      <c r="L1513" s="17" t="inlineStr"/>
    </row>
    <row r="1514">
      <c r="A1514" s="17" t="inlineStr">
        <is>
          <t>C243</t>
        </is>
      </c>
      <c r="B1514" s="17" t="inlineStr"/>
      <c r="C1514" s="17" t="inlineStr">
        <is>
          <t>익수제약(주)</t>
        </is>
      </c>
      <c r="D1514" s="17" t="inlineStr"/>
      <c r="E1514" s="17" t="inlineStr">
        <is>
          <t>최근매출(억원)</t>
        </is>
      </c>
      <c r="F1514" s="17" t="inlineStr">
        <is>
          <t>미확인</t>
        </is>
      </c>
      <c r="G1514" s="17" t="inlineStr">
        <is>
          <t>웹조사 자동화 실패(세션한도)</t>
        </is>
      </c>
      <c r="H1514" s="17" t="inlineStr">
        <is>
          <t>N</t>
        </is>
      </c>
      <c r="I1514" s="17" t="inlineStr">
        <is>
          <t>DART 사업보고서</t>
        </is>
      </c>
      <c r="J1514" s="17" t="inlineStr">
        <is>
          <t>DART 사업보고서에서 확인</t>
        </is>
      </c>
      <c r="K1514" s="17" t="inlineStr">
        <is>
          <t>낮음</t>
        </is>
      </c>
      <c r="L1514" s="17" t="inlineStr"/>
    </row>
    <row r="1515">
      <c r="A1515" s="17" t="inlineStr">
        <is>
          <t>C243</t>
        </is>
      </c>
      <c r="B1515" s="17" t="inlineStr"/>
      <c r="C1515" s="17" t="inlineStr">
        <is>
          <t>익수제약(주)</t>
        </is>
      </c>
      <c r="D1515" s="17" t="inlineStr"/>
      <c r="E1515" s="17" t="inlineStr">
        <is>
          <t>종업원수</t>
        </is>
      </c>
      <c r="F1515" s="17" t="inlineStr">
        <is>
          <t>미확인</t>
        </is>
      </c>
      <c r="G1515" s="17" t="inlineStr">
        <is>
          <t>웹조사 자동화 실패(세션한도)</t>
        </is>
      </c>
      <c r="H1515" s="17" t="inlineStr">
        <is>
          <t>N</t>
        </is>
      </c>
      <c r="I1515" s="17" t="inlineStr">
        <is>
          <t>DART/채용</t>
        </is>
      </c>
      <c r="J1515" s="17" t="inlineStr">
        <is>
          <t>DART/채용에서 확인</t>
        </is>
      </c>
      <c r="K1515" s="17" t="inlineStr">
        <is>
          <t>낮음</t>
        </is>
      </c>
      <c r="L1515" s="17" t="inlineStr"/>
    </row>
    <row r="1516">
      <c r="A1516" s="17" t="inlineStr">
        <is>
          <t>C243</t>
        </is>
      </c>
      <c r="B1516" s="17" t="inlineStr"/>
      <c r="C1516" s="17" t="inlineStr">
        <is>
          <t>익수제약(주)</t>
        </is>
      </c>
      <c r="D1516" s="17" t="inlineStr"/>
      <c r="E1516" s="17" t="inlineStr">
        <is>
          <t>수출여부</t>
        </is>
      </c>
      <c r="F1516" s="17" t="inlineStr">
        <is>
          <t>미확인</t>
        </is>
      </c>
      <c r="G1516" s="17" t="inlineStr">
        <is>
          <t>웹조사 자동화 실패(세션한도)</t>
        </is>
      </c>
      <c r="H1516" s="17" t="inlineStr">
        <is>
          <t>N</t>
        </is>
      </c>
      <c r="I1516" s="17" t="inlineStr">
        <is>
          <t>회사 공시·홈페이지</t>
        </is>
      </c>
      <c r="J1516" s="17" t="inlineStr">
        <is>
          <t>회사 공시·홈페이지에서 확인</t>
        </is>
      </c>
      <c r="K1516" s="17" t="inlineStr">
        <is>
          <t>낮음</t>
        </is>
      </c>
      <c r="L1516" s="17" t="inlineStr"/>
    </row>
    <row r="1517">
      <c r="A1517" s="17" t="inlineStr">
        <is>
          <t>C243</t>
        </is>
      </c>
      <c r="B1517" s="17" t="inlineStr"/>
      <c r="C1517" s="17" t="inlineStr">
        <is>
          <t>익수제약(주)</t>
        </is>
      </c>
      <c r="D1517" s="17" t="inlineStr"/>
      <c r="E1517" s="17" t="inlineStr">
        <is>
          <t>FDA·EMA 실사</t>
        </is>
      </c>
      <c r="F1517" s="17" t="inlineStr">
        <is>
          <t>미확인</t>
        </is>
      </c>
      <c r="G1517" s="17" t="inlineStr">
        <is>
          <t>웹조사 자동화 실패(세션한도)</t>
        </is>
      </c>
      <c r="H1517" s="17" t="inlineStr">
        <is>
          <t>N</t>
        </is>
      </c>
      <c r="I1517" s="17" t="inlineStr">
        <is>
          <t>FDA Inspection DB</t>
        </is>
      </c>
      <c r="J1517" s="17" t="inlineStr">
        <is>
          <t>FDA Inspection DB에서 확인</t>
        </is>
      </c>
      <c r="K1517" s="17" t="inlineStr">
        <is>
          <t>낮음</t>
        </is>
      </c>
      <c r="L1517" s="17" t="inlineStr"/>
    </row>
    <row r="1518">
      <c r="A1518" s="17" t="inlineStr">
        <is>
          <t>C243</t>
        </is>
      </c>
      <c r="B1518" s="17" t="inlineStr"/>
      <c r="C1518" s="17" t="inlineStr">
        <is>
          <t>익수제약(주)</t>
        </is>
      </c>
      <c r="D1518" s="17" t="inlineStr"/>
      <c r="E1518" s="17" t="inlineStr">
        <is>
          <t>CMO·CDMO</t>
        </is>
      </c>
      <c r="F1518" s="17" t="inlineStr">
        <is>
          <t>미확인</t>
        </is>
      </c>
      <c r="G1518" s="17" t="inlineStr">
        <is>
          <t>웹조사 자동화 실패(세션한도)</t>
        </is>
      </c>
      <c r="H1518" s="17" t="inlineStr">
        <is>
          <t>N</t>
        </is>
      </c>
      <c r="I1518" s="17" t="inlineStr">
        <is>
          <t>회사 홈페이지</t>
        </is>
      </c>
      <c r="J1518" s="17" t="inlineStr">
        <is>
          <t>회사 홈페이지에서 확인</t>
        </is>
      </c>
      <c r="K1518" s="17" t="inlineStr">
        <is>
          <t>낮음</t>
        </is>
      </c>
      <c r="L1518" s="17" t="inlineStr"/>
    </row>
    <row r="1519">
      <c r="A1519" s="17" t="inlineStr">
        <is>
          <t>C243</t>
        </is>
      </c>
      <c r="B1519" s="17" t="inlineStr"/>
      <c r="C1519" s="17" t="inlineStr">
        <is>
          <t>익수제약(주)</t>
        </is>
      </c>
      <c r="D1519" s="17" t="inlineStr"/>
      <c r="E1519" s="17" t="inlineStr">
        <is>
          <t>신공장·증설</t>
        </is>
      </c>
      <c r="F1519" s="17" t="inlineStr">
        <is>
          <t>미확인</t>
        </is>
      </c>
      <c r="G1519" s="17" t="inlineStr">
        <is>
          <t>웹조사 자동화 실패(세션한도)</t>
        </is>
      </c>
      <c r="H1519" s="17" t="inlineStr">
        <is>
          <t>N</t>
        </is>
      </c>
      <c r="I1519" s="17" t="inlineStr">
        <is>
          <t>언론·지자체 발표</t>
        </is>
      </c>
      <c r="J1519" s="17" t="inlineStr">
        <is>
          <t>언론·지자체 발표에서 확인</t>
        </is>
      </c>
      <c r="K1519" s="17" t="inlineStr">
        <is>
          <t>낮음</t>
        </is>
      </c>
      <c r="L1519" s="17" t="inlineStr"/>
    </row>
    <row r="1520">
      <c r="A1520" s="17" t="inlineStr">
        <is>
          <t>C243</t>
        </is>
      </c>
      <c r="B1520" s="17" t="inlineStr"/>
      <c r="C1520" s="17" t="inlineStr">
        <is>
          <t>익수제약(주)</t>
        </is>
      </c>
      <c r="D1520" s="17" t="inlineStr"/>
      <c r="E1520" s="17" t="inlineStr">
        <is>
          <t>대표전화</t>
        </is>
      </c>
      <c r="F1520" s="17" t="inlineStr">
        <is>
          <t>미확인</t>
        </is>
      </c>
      <c r="G1520" s="17" t="inlineStr">
        <is>
          <t>제조소상세 미매칭</t>
        </is>
      </c>
      <c r="H1520" s="17" t="inlineStr">
        <is>
          <t>Y</t>
        </is>
      </c>
      <c r="I1520" s="17" t="inlineStr">
        <is>
          <t>회사 홈페이지</t>
        </is>
      </c>
      <c r="J1520" s="17" t="inlineStr">
        <is>
          <t>홈페이지에서 대표번호 확인</t>
        </is>
      </c>
      <c r="K1520" s="17" t="inlineStr">
        <is>
          <t>낮음</t>
        </is>
      </c>
      <c r="L1520" s="17" t="inlineStr"/>
    </row>
    <row r="1521">
      <c r="A1521" s="17" t="inlineStr">
        <is>
          <t>C244</t>
        </is>
      </c>
      <c r="B1521" s="17" t="inlineStr"/>
      <c r="C1521" s="17" t="inlineStr">
        <is>
          <t>한국휴텍스제약(주)</t>
        </is>
      </c>
      <c r="D1521" s="17" t="inlineStr"/>
      <c r="E1521" s="17" t="inlineStr">
        <is>
          <t>최근매출(억원)</t>
        </is>
      </c>
      <c r="F1521" s="17" t="inlineStr">
        <is>
          <t>미확인</t>
        </is>
      </c>
      <c r="G1521" s="17" t="inlineStr">
        <is>
          <t>웹조사 자동화 실패(세션한도)</t>
        </is>
      </c>
      <c r="H1521" s="17" t="inlineStr">
        <is>
          <t>N</t>
        </is>
      </c>
      <c r="I1521" s="17" t="inlineStr">
        <is>
          <t>DART 사업보고서</t>
        </is>
      </c>
      <c r="J1521" s="17" t="inlineStr">
        <is>
          <t>DART 사업보고서에서 확인</t>
        </is>
      </c>
      <c r="K1521" s="17" t="inlineStr">
        <is>
          <t>낮음</t>
        </is>
      </c>
      <c r="L1521" s="17" t="inlineStr"/>
    </row>
    <row r="1522">
      <c r="A1522" s="17" t="inlineStr">
        <is>
          <t>C244</t>
        </is>
      </c>
      <c r="B1522" s="17" t="inlineStr"/>
      <c r="C1522" s="17" t="inlineStr">
        <is>
          <t>한국휴텍스제약(주)</t>
        </is>
      </c>
      <c r="D1522" s="17" t="inlineStr"/>
      <c r="E1522" s="17" t="inlineStr">
        <is>
          <t>종업원수</t>
        </is>
      </c>
      <c r="F1522" s="17" t="inlineStr">
        <is>
          <t>미확인</t>
        </is>
      </c>
      <c r="G1522" s="17" t="inlineStr">
        <is>
          <t>웹조사 자동화 실패(세션한도)</t>
        </is>
      </c>
      <c r="H1522" s="17" t="inlineStr">
        <is>
          <t>N</t>
        </is>
      </c>
      <c r="I1522" s="17" t="inlineStr">
        <is>
          <t>DART/채용</t>
        </is>
      </c>
      <c r="J1522" s="17" t="inlineStr">
        <is>
          <t>DART/채용에서 확인</t>
        </is>
      </c>
      <c r="K1522" s="17" t="inlineStr">
        <is>
          <t>낮음</t>
        </is>
      </c>
      <c r="L1522" s="17" t="inlineStr"/>
    </row>
    <row r="1523">
      <c r="A1523" s="17" t="inlineStr">
        <is>
          <t>C244</t>
        </is>
      </c>
      <c r="B1523" s="17" t="inlineStr"/>
      <c r="C1523" s="17" t="inlineStr">
        <is>
          <t>한국휴텍스제약(주)</t>
        </is>
      </c>
      <c r="D1523" s="17" t="inlineStr"/>
      <c r="E1523" s="17" t="inlineStr">
        <is>
          <t>수출여부</t>
        </is>
      </c>
      <c r="F1523" s="17" t="inlineStr">
        <is>
          <t>미확인</t>
        </is>
      </c>
      <c r="G1523" s="17" t="inlineStr">
        <is>
          <t>웹조사 자동화 실패(세션한도)</t>
        </is>
      </c>
      <c r="H1523" s="17" t="inlineStr">
        <is>
          <t>N</t>
        </is>
      </c>
      <c r="I1523" s="17" t="inlineStr">
        <is>
          <t>회사 공시·홈페이지</t>
        </is>
      </c>
      <c r="J1523" s="17" t="inlineStr">
        <is>
          <t>회사 공시·홈페이지에서 확인</t>
        </is>
      </c>
      <c r="K1523" s="17" t="inlineStr">
        <is>
          <t>낮음</t>
        </is>
      </c>
      <c r="L1523" s="17" t="inlineStr"/>
    </row>
    <row r="1524">
      <c r="A1524" s="17" t="inlineStr">
        <is>
          <t>C244</t>
        </is>
      </c>
      <c r="B1524" s="17" t="inlineStr"/>
      <c r="C1524" s="17" t="inlineStr">
        <is>
          <t>한국휴텍스제약(주)</t>
        </is>
      </c>
      <c r="D1524" s="17" t="inlineStr"/>
      <c r="E1524" s="17" t="inlineStr">
        <is>
          <t>FDA·EMA 실사</t>
        </is>
      </c>
      <c r="F1524" s="17" t="inlineStr">
        <is>
          <t>미확인</t>
        </is>
      </c>
      <c r="G1524" s="17" t="inlineStr">
        <is>
          <t>웹조사 자동화 실패(세션한도)</t>
        </is>
      </c>
      <c r="H1524" s="17" t="inlineStr">
        <is>
          <t>N</t>
        </is>
      </c>
      <c r="I1524" s="17" t="inlineStr">
        <is>
          <t>FDA Inspection DB</t>
        </is>
      </c>
      <c r="J1524" s="17" t="inlineStr">
        <is>
          <t>FDA Inspection DB에서 확인</t>
        </is>
      </c>
      <c r="K1524" s="17" t="inlineStr">
        <is>
          <t>낮음</t>
        </is>
      </c>
      <c r="L1524" s="17" t="inlineStr"/>
    </row>
    <row r="1525">
      <c r="A1525" s="17" t="inlineStr">
        <is>
          <t>C244</t>
        </is>
      </c>
      <c r="B1525" s="17" t="inlineStr"/>
      <c r="C1525" s="17" t="inlineStr">
        <is>
          <t>한국휴텍스제약(주)</t>
        </is>
      </c>
      <c r="D1525" s="17" t="inlineStr"/>
      <c r="E1525" s="17" t="inlineStr">
        <is>
          <t>CMO·CDMO</t>
        </is>
      </c>
      <c r="F1525" s="17" t="inlineStr">
        <is>
          <t>미확인</t>
        </is>
      </c>
      <c r="G1525" s="17" t="inlineStr">
        <is>
          <t>웹조사 자동화 실패(세션한도)</t>
        </is>
      </c>
      <c r="H1525" s="17" t="inlineStr">
        <is>
          <t>N</t>
        </is>
      </c>
      <c r="I1525" s="17" t="inlineStr">
        <is>
          <t>회사 홈페이지</t>
        </is>
      </c>
      <c r="J1525" s="17" t="inlineStr">
        <is>
          <t>회사 홈페이지에서 확인</t>
        </is>
      </c>
      <c r="K1525" s="17" t="inlineStr">
        <is>
          <t>낮음</t>
        </is>
      </c>
      <c r="L1525" s="17" t="inlineStr"/>
    </row>
    <row r="1526">
      <c r="A1526" s="17" t="inlineStr">
        <is>
          <t>C244</t>
        </is>
      </c>
      <c r="B1526" s="17" t="inlineStr"/>
      <c r="C1526" s="17" t="inlineStr">
        <is>
          <t>한국휴텍스제약(주)</t>
        </is>
      </c>
      <c r="D1526" s="17" t="inlineStr"/>
      <c r="E1526" s="17" t="inlineStr">
        <is>
          <t>신공장·증설</t>
        </is>
      </c>
      <c r="F1526" s="17" t="inlineStr">
        <is>
          <t>미확인</t>
        </is>
      </c>
      <c r="G1526" s="17" t="inlineStr">
        <is>
          <t>웹조사 자동화 실패(세션한도)</t>
        </is>
      </c>
      <c r="H1526" s="17" t="inlineStr">
        <is>
          <t>N</t>
        </is>
      </c>
      <c r="I1526" s="17" t="inlineStr">
        <is>
          <t>언론·지자체 발표</t>
        </is>
      </c>
      <c r="J1526" s="17" t="inlineStr">
        <is>
          <t>언론·지자체 발표에서 확인</t>
        </is>
      </c>
      <c r="K1526" s="17" t="inlineStr">
        <is>
          <t>낮음</t>
        </is>
      </c>
      <c r="L1526" s="17" t="inlineStr"/>
    </row>
    <row r="1527">
      <c r="A1527" s="17" t="inlineStr">
        <is>
          <t>C245</t>
        </is>
      </c>
      <c r="B1527" s="17" t="inlineStr"/>
      <c r="C1527" s="17" t="inlineStr">
        <is>
          <t>주식회사큐엘파마</t>
        </is>
      </c>
      <c r="D1527" s="17" t="inlineStr"/>
      <c r="E1527" s="17" t="inlineStr">
        <is>
          <t>최근매출(억원)</t>
        </is>
      </c>
      <c r="F1527" s="17" t="inlineStr">
        <is>
          <t>미확인</t>
        </is>
      </c>
      <c r="G1527" s="17" t="inlineStr">
        <is>
          <t>웹조사 자동화 실패(세션한도)</t>
        </is>
      </c>
      <c r="H1527" s="17" t="inlineStr">
        <is>
          <t>N</t>
        </is>
      </c>
      <c r="I1527" s="17" t="inlineStr">
        <is>
          <t>DART 사업보고서</t>
        </is>
      </c>
      <c r="J1527" s="17" t="inlineStr">
        <is>
          <t>DART 사업보고서에서 확인</t>
        </is>
      </c>
      <c r="K1527" s="17" t="inlineStr">
        <is>
          <t>낮음</t>
        </is>
      </c>
      <c r="L1527" s="17" t="inlineStr"/>
    </row>
    <row r="1528">
      <c r="A1528" s="17" t="inlineStr">
        <is>
          <t>C245</t>
        </is>
      </c>
      <c r="B1528" s="17" t="inlineStr"/>
      <c r="C1528" s="17" t="inlineStr">
        <is>
          <t>주식회사큐엘파마</t>
        </is>
      </c>
      <c r="D1528" s="17" t="inlineStr"/>
      <c r="E1528" s="17" t="inlineStr">
        <is>
          <t>종업원수</t>
        </is>
      </c>
      <c r="F1528" s="17" t="inlineStr">
        <is>
          <t>미확인</t>
        </is>
      </c>
      <c r="G1528" s="17" t="inlineStr">
        <is>
          <t>웹조사 자동화 실패(세션한도)</t>
        </is>
      </c>
      <c r="H1528" s="17" t="inlineStr">
        <is>
          <t>N</t>
        </is>
      </c>
      <c r="I1528" s="17" t="inlineStr">
        <is>
          <t>DART/채용</t>
        </is>
      </c>
      <c r="J1528" s="17" t="inlineStr">
        <is>
          <t>DART/채용에서 확인</t>
        </is>
      </c>
      <c r="K1528" s="17" t="inlineStr">
        <is>
          <t>낮음</t>
        </is>
      </c>
      <c r="L1528" s="17" t="inlineStr"/>
    </row>
    <row r="1529">
      <c r="A1529" s="17" t="inlineStr">
        <is>
          <t>C245</t>
        </is>
      </c>
      <c r="B1529" s="17" t="inlineStr"/>
      <c r="C1529" s="17" t="inlineStr">
        <is>
          <t>주식회사큐엘파마</t>
        </is>
      </c>
      <c r="D1529" s="17" t="inlineStr"/>
      <c r="E1529" s="17" t="inlineStr">
        <is>
          <t>수출여부</t>
        </is>
      </c>
      <c r="F1529" s="17" t="inlineStr">
        <is>
          <t>미확인</t>
        </is>
      </c>
      <c r="G1529" s="17" t="inlineStr">
        <is>
          <t>웹조사 자동화 실패(세션한도)</t>
        </is>
      </c>
      <c r="H1529" s="17" t="inlineStr">
        <is>
          <t>N</t>
        </is>
      </c>
      <c r="I1529" s="17" t="inlineStr">
        <is>
          <t>회사 공시·홈페이지</t>
        </is>
      </c>
      <c r="J1529" s="17" t="inlineStr">
        <is>
          <t>회사 공시·홈페이지에서 확인</t>
        </is>
      </c>
      <c r="K1529" s="17" t="inlineStr">
        <is>
          <t>낮음</t>
        </is>
      </c>
      <c r="L1529" s="17" t="inlineStr"/>
    </row>
    <row r="1530">
      <c r="A1530" s="17" t="inlineStr">
        <is>
          <t>C245</t>
        </is>
      </c>
      <c r="B1530" s="17" t="inlineStr"/>
      <c r="C1530" s="17" t="inlineStr">
        <is>
          <t>주식회사큐엘파마</t>
        </is>
      </c>
      <c r="D1530" s="17" t="inlineStr"/>
      <c r="E1530" s="17" t="inlineStr">
        <is>
          <t>FDA·EMA 실사</t>
        </is>
      </c>
      <c r="F1530" s="17" t="inlineStr">
        <is>
          <t>미확인</t>
        </is>
      </c>
      <c r="G1530" s="17" t="inlineStr">
        <is>
          <t>웹조사 자동화 실패(세션한도)</t>
        </is>
      </c>
      <c r="H1530" s="17" t="inlineStr">
        <is>
          <t>N</t>
        </is>
      </c>
      <c r="I1530" s="17" t="inlineStr">
        <is>
          <t>FDA Inspection DB</t>
        </is>
      </c>
      <c r="J1530" s="17" t="inlineStr">
        <is>
          <t>FDA Inspection DB에서 확인</t>
        </is>
      </c>
      <c r="K1530" s="17" t="inlineStr">
        <is>
          <t>낮음</t>
        </is>
      </c>
      <c r="L1530" s="17" t="inlineStr"/>
    </row>
    <row r="1531">
      <c r="A1531" s="17" t="inlineStr">
        <is>
          <t>C245</t>
        </is>
      </c>
      <c r="B1531" s="17" t="inlineStr"/>
      <c r="C1531" s="17" t="inlineStr">
        <is>
          <t>주식회사큐엘파마</t>
        </is>
      </c>
      <c r="D1531" s="17" t="inlineStr"/>
      <c r="E1531" s="17" t="inlineStr">
        <is>
          <t>CMO·CDMO</t>
        </is>
      </c>
      <c r="F1531" s="17" t="inlineStr">
        <is>
          <t>미확인</t>
        </is>
      </c>
      <c r="G1531" s="17" t="inlineStr">
        <is>
          <t>웹조사 자동화 실패(세션한도)</t>
        </is>
      </c>
      <c r="H1531" s="17" t="inlineStr">
        <is>
          <t>N</t>
        </is>
      </c>
      <c r="I1531" s="17" t="inlineStr">
        <is>
          <t>회사 홈페이지</t>
        </is>
      </c>
      <c r="J1531" s="17" t="inlineStr">
        <is>
          <t>회사 홈페이지에서 확인</t>
        </is>
      </c>
      <c r="K1531" s="17" t="inlineStr">
        <is>
          <t>낮음</t>
        </is>
      </c>
      <c r="L1531" s="17" t="inlineStr"/>
    </row>
    <row r="1532">
      <c r="A1532" s="17" t="inlineStr">
        <is>
          <t>C245</t>
        </is>
      </c>
      <c r="B1532" s="17" t="inlineStr"/>
      <c r="C1532" s="17" t="inlineStr">
        <is>
          <t>주식회사큐엘파마</t>
        </is>
      </c>
      <c r="D1532" s="17" t="inlineStr"/>
      <c r="E1532" s="17" t="inlineStr">
        <is>
          <t>신공장·증설</t>
        </is>
      </c>
      <c r="F1532" s="17" t="inlineStr">
        <is>
          <t>미확인</t>
        </is>
      </c>
      <c r="G1532" s="17" t="inlineStr">
        <is>
          <t>웹조사 자동화 실패(세션한도)</t>
        </is>
      </c>
      <c r="H1532" s="17" t="inlineStr">
        <is>
          <t>N</t>
        </is>
      </c>
      <c r="I1532" s="17" t="inlineStr">
        <is>
          <t>언론·지자체 발표</t>
        </is>
      </c>
      <c r="J1532" s="17" t="inlineStr">
        <is>
          <t>언론·지자체 발표에서 확인</t>
        </is>
      </c>
      <c r="K1532" s="17" t="inlineStr">
        <is>
          <t>낮음</t>
        </is>
      </c>
      <c r="L1532" s="17" t="inlineStr"/>
    </row>
    <row r="1533">
      <c r="A1533" s="17" t="inlineStr">
        <is>
          <t>C246</t>
        </is>
      </c>
      <c r="B1533" s="17" t="inlineStr"/>
      <c r="C1533" s="17" t="inlineStr">
        <is>
          <t>(주)폴라리스에이아이파마</t>
        </is>
      </c>
      <c r="D1533" s="17" t="inlineStr"/>
      <c r="E1533" s="17" t="inlineStr">
        <is>
          <t>최근매출(억원)</t>
        </is>
      </c>
      <c r="F1533" s="17" t="inlineStr">
        <is>
          <t>미확인</t>
        </is>
      </c>
      <c r="G1533" s="17" t="inlineStr">
        <is>
          <t>웹조사 자동화 실패(세션한도)</t>
        </is>
      </c>
      <c r="H1533" s="17" t="inlineStr">
        <is>
          <t>N</t>
        </is>
      </c>
      <c r="I1533" s="17" t="inlineStr">
        <is>
          <t>DART 사업보고서</t>
        </is>
      </c>
      <c r="J1533" s="17" t="inlineStr">
        <is>
          <t>DART 사업보고서에서 확인</t>
        </is>
      </c>
      <c r="K1533" s="17" t="inlineStr">
        <is>
          <t>낮음</t>
        </is>
      </c>
      <c r="L1533" s="17" t="inlineStr"/>
    </row>
    <row r="1534">
      <c r="A1534" s="17" t="inlineStr">
        <is>
          <t>C246</t>
        </is>
      </c>
      <c r="B1534" s="17" t="inlineStr"/>
      <c r="C1534" s="17" t="inlineStr">
        <is>
          <t>(주)폴라리스에이아이파마</t>
        </is>
      </c>
      <c r="D1534" s="17" t="inlineStr"/>
      <c r="E1534" s="17" t="inlineStr">
        <is>
          <t>종업원수</t>
        </is>
      </c>
      <c r="F1534" s="17" t="inlineStr">
        <is>
          <t>미확인</t>
        </is>
      </c>
      <c r="G1534" s="17" t="inlineStr">
        <is>
          <t>웹조사 자동화 실패(세션한도)</t>
        </is>
      </c>
      <c r="H1534" s="17" t="inlineStr">
        <is>
          <t>N</t>
        </is>
      </c>
      <c r="I1534" s="17" t="inlineStr">
        <is>
          <t>DART/채용</t>
        </is>
      </c>
      <c r="J1534" s="17" t="inlineStr">
        <is>
          <t>DART/채용에서 확인</t>
        </is>
      </c>
      <c r="K1534" s="17" t="inlineStr">
        <is>
          <t>낮음</t>
        </is>
      </c>
      <c r="L1534" s="17" t="inlineStr"/>
    </row>
    <row r="1535">
      <c r="A1535" s="17" t="inlineStr">
        <is>
          <t>C246</t>
        </is>
      </c>
      <c r="B1535" s="17" t="inlineStr"/>
      <c r="C1535" s="17" t="inlineStr">
        <is>
          <t>(주)폴라리스에이아이파마</t>
        </is>
      </c>
      <c r="D1535" s="17" t="inlineStr"/>
      <c r="E1535" s="17" t="inlineStr">
        <is>
          <t>수출여부</t>
        </is>
      </c>
      <c r="F1535" s="17" t="inlineStr">
        <is>
          <t>미확인</t>
        </is>
      </c>
      <c r="G1535" s="17" t="inlineStr">
        <is>
          <t>웹조사 자동화 실패(세션한도)</t>
        </is>
      </c>
      <c r="H1535" s="17" t="inlineStr">
        <is>
          <t>N</t>
        </is>
      </c>
      <c r="I1535" s="17" t="inlineStr">
        <is>
          <t>회사 공시·홈페이지</t>
        </is>
      </c>
      <c r="J1535" s="17" t="inlineStr">
        <is>
          <t>회사 공시·홈페이지에서 확인</t>
        </is>
      </c>
      <c r="K1535" s="17" t="inlineStr">
        <is>
          <t>낮음</t>
        </is>
      </c>
      <c r="L1535" s="17" t="inlineStr"/>
    </row>
    <row r="1536">
      <c r="A1536" s="17" t="inlineStr">
        <is>
          <t>C246</t>
        </is>
      </c>
      <c r="B1536" s="17" t="inlineStr"/>
      <c r="C1536" s="17" t="inlineStr">
        <is>
          <t>(주)폴라리스에이아이파마</t>
        </is>
      </c>
      <c r="D1536" s="17" t="inlineStr"/>
      <c r="E1536" s="17" t="inlineStr">
        <is>
          <t>FDA·EMA 실사</t>
        </is>
      </c>
      <c r="F1536" s="17" t="inlineStr">
        <is>
          <t>미확인</t>
        </is>
      </c>
      <c r="G1536" s="17" t="inlineStr">
        <is>
          <t>웹조사 자동화 실패(세션한도)</t>
        </is>
      </c>
      <c r="H1536" s="17" t="inlineStr">
        <is>
          <t>N</t>
        </is>
      </c>
      <c r="I1536" s="17" t="inlineStr">
        <is>
          <t>FDA Inspection DB</t>
        </is>
      </c>
      <c r="J1536" s="17" t="inlineStr">
        <is>
          <t>FDA Inspection DB에서 확인</t>
        </is>
      </c>
      <c r="K1536" s="17" t="inlineStr">
        <is>
          <t>낮음</t>
        </is>
      </c>
      <c r="L1536" s="17" t="inlineStr"/>
    </row>
    <row r="1537">
      <c r="A1537" s="17" t="inlineStr">
        <is>
          <t>C246</t>
        </is>
      </c>
      <c r="B1537" s="17" t="inlineStr"/>
      <c r="C1537" s="17" t="inlineStr">
        <is>
          <t>(주)폴라리스에이아이파마</t>
        </is>
      </c>
      <c r="D1537" s="17" t="inlineStr"/>
      <c r="E1537" s="17" t="inlineStr">
        <is>
          <t>CMO·CDMO</t>
        </is>
      </c>
      <c r="F1537" s="17" t="inlineStr">
        <is>
          <t>미확인</t>
        </is>
      </c>
      <c r="G1537" s="17" t="inlineStr">
        <is>
          <t>웹조사 자동화 실패(세션한도)</t>
        </is>
      </c>
      <c r="H1537" s="17" t="inlineStr">
        <is>
          <t>N</t>
        </is>
      </c>
      <c r="I1537" s="17" t="inlineStr">
        <is>
          <t>회사 홈페이지</t>
        </is>
      </c>
      <c r="J1537" s="17" t="inlineStr">
        <is>
          <t>회사 홈페이지에서 확인</t>
        </is>
      </c>
      <c r="K1537" s="17" t="inlineStr">
        <is>
          <t>낮음</t>
        </is>
      </c>
      <c r="L1537" s="17" t="inlineStr"/>
    </row>
    <row r="1538">
      <c r="A1538" s="17" t="inlineStr">
        <is>
          <t>C246</t>
        </is>
      </c>
      <c r="B1538" s="17" t="inlineStr"/>
      <c r="C1538" s="17" t="inlineStr">
        <is>
          <t>(주)폴라리스에이아이파마</t>
        </is>
      </c>
      <c r="D1538" s="17" t="inlineStr"/>
      <c r="E1538" s="17" t="inlineStr">
        <is>
          <t>신공장·증설</t>
        </is>
      </c>
      <c r="F1538" s="17" t="inlineStr">
        <is>
          <t>미확인</t>
        </is>
      </c>
      <c r="G1538" s="17" t="inlineStr">
        <is>
          <t>웹조사 자동화 실패(세션한도)</t>
        </is>
      </c>
      <c r="H1538" s="17" t="inlineStr">
        <is>
          <t>N</t>
        </is>
      </c>
      <c r="I1538" s="17" t="inlineStr">
        <is>
          <t>언론·지자체 발표</t>
        </is>
      </c>
      <c r="J1538" s="17" t="inlineStr">
        <is>
          <t>언론·지자체 발표에서 확인</t>
        </is>
      </c>
      <c r="K1538" s="17" t="inlineStr">
        <is>
          <t>낮음</t>
        </is>
      </c>
      <c r="L1538" s="17" t="inlineStr"/>
    </row>
    <row r="1539">
      <c r="A1539" s="17" t="inlineStr">
        <is>
          <t>C247</t>
        </is>
      </c>
      <c r="B1539" s="17" t="inlineStr"/>
      <c r="C1539" s="17" t="inlineStr">
        <is>
          <t>(주)피에스지</t>
        </is>
      </c>
      <c r="D1539" s="17" t="inlineStr"/>
      <c r="E1539" s="17" t="inlineStr">
        <is>
          <t>최근매출(억원)</t>
        </is>
      </c>
      <c r="F1539" s="17" t="inlineStr">
        <is>
          <t>미확인</t>
        </is>
      </c>
      <c r="G1539" s="17" t="inlineStr">
        <is>
          <t>웹조사 자동화 실패(세션한도)</t>
        </is>
      </c>
      <c r="H1539" s="17" t="inlineStr">
        <is>
          <t>N</t>
        </is>
      </c>
      <c r="I1539" s="17" t="inlineStr">
        <is>
          <t>DART 사업보고서</t>
        </is>
      </c>
      <c r="J1539" s="17" t="inlineStr">
        <is>
          <t>DART 사업보고서에서 확인</t>
        </is>
      </c>
      <c r="K1539" s="17" t="inlineStr">
        <is>
          <t>낮음</t>
        </is>
      </c>
      <c r="L1539" s="17" t="inlineStr"/>
    </row>
    <row r="1540">
      <c r="A1540" s="17" t="inlineStr">
        <is>
          <t>C247</t>
        </is>
      </c>
      <c r="B1540" s="17" t="inlineStr"/>
      <c r="C1540" s="17" t="inlineStr">
        <is>
          <t>(주)피에스지</t>
        </is>
      </c>
      <c r="D1540" s="17" t="inlineStr"/>
      <c r="E1540" s="17" t="inlineStr">
        <is>
          <t>종업원수</t>
        </is>
      </c>
      <c r="F1540" s="17" t="inlineStr">
        <is>
          <t>미확인</t>
        </is>
      </c>
      <c r="G1540" s="17" t="inlineStr">
        <is>
          <t>웹조사 자동화 실패(세션한도)</t>
        </is>
      </c>
      <c r="H1540" s="17" t="inlineStr">
        <is>
          <t>N</t>
        </is>
      </c>
      <c r="I1540" s="17" t="inlineStr">
        <is>
          <t>DART/채용</t>
        </is>
      </c>
      <c r="J1540" s="17" t="inlineStr">
        <is>
          <t>DART/채용에서 확인</t>
        </is>
      </c>
      <c r="K1540" s="17" t="inlineStr">
        <is>
          <t>낮음</t>
        </is>
      </c>
      <c r="L1540" s="17" t="inlineStr"/>
    </row>
    <row r="1541">
      <c r="A1541" s="17" t="inlineStr">
        <is>
          <t>C247</t>
        </is>
      </c>
      <c r="B1541" s="17" t="inlineStr"/>
      <c r="C1541" s="17" t="inlineStr">
        <is>
          <t>(주)피에스지</t>
        </is>
      </c>
      <c r="D1541" s="17" t="inlineStr"/>
      <c r="E1541" s="17" t="inlineStr">
        <is>
          <t>수출여부</t>
        </is>
      </c>
      <c r="F1541" s="17" t="inlineStr">
        <is>
          <t>미확인</t>
        </is>
      </c>
      <c r="G1541" s="17" t="inlineStr">
        <is>
          <t>웹조사 자동화 실패(세션한도)</t>
        </is>
      </c>
      <c r="H1541" s="17" t="inlineStr">
        <is>
          <t>N</t>
        </is>
      </c>
      <c r="I1541" s="17" t="inlineStr">
        <is>
          <t>회사 공시·홈페이지</t>
        </is>
      </c>
      <c r="J1541" s="17" t="inlineStr">
        <is>
          <t>회사 공시·홈페이지에서 확인</t>
        </is>
      </c>
      <c r="K1541" s="17" t="inlineStr">
        <is>
          <t>낮음</t>
        </is>
      </c>
      <c r="L1541" s="17" t="inlineStr"/>
    </row>
    <row r="1542">
      <c r="A1542" s="17" t="inlineStr">
        <is>
          <t>C247</t>
        </is>
      </c>
      <c r="B1542" s="17" t="inlineStr"/>
      <c r="C1542" s="17" t="inlineStr">
        <is>
          <t>(주)피에스지</t>
        </is>
      </c>
      <c r="D1542" s="17" t="inlineStr"/>
      <c r="E1542" s="17" t="inlineStr">
        <is>
          <t>FDA·EMA 실사</t>
        </is>
      </c>
      <c r="F1542" s="17" t="inlineStr">
        <is>
          <t>미확인</t>
        </is>
      </c>
      <c r="G1542" s="17" t="inlineStr">
        <is>
          <t>웹조사 자동화 실패(세션한도)</t>
        </is>
      </c>
      <c r="H1542" s="17" t="inlineStr">
        <is>
          <t>N</t>
        </is>
      </c>
      <c r="I1542" s="17" t="inlineStr">
        <is>
          <t>FDA Inspection DB</t>
        </is>
      </c>
      <c r="J1542" s="17" t="inlineStr">
        <is>
          <t>FDA Inspection DB에서 확인</t>
        </is>
      </c>
      <c r="K1542" s="17" t="inlineStr">
        <is>
          <t>낮음</t>
        </is>
      </c>
      <c r="L1542" s="17" t="inlineStr"/>
    </row>
    <row r="1543">
      <c r="A1543" s="17" t="inlineStr">
        <is>
          <t>C247</t>
        </is>
      </c>
      <c r="B1543" s="17" t="inlineStr"/>
      <c r="C1543" s="17" t="inlineStr">
        <is>
          <t>(주)피에스지</t>
        </is>
      </c>
      <c r="D1543" s="17" t="inlineStr"/>
      <c r="E1543" s="17" t="inlineStr">
        <is>
          <t>CMO·CDMO</t>
        </is>
      </c>
      <c r="F1543" s="17" t="inlineStr">
        <is>
          <t>미확인</t>
        </is>
      </c>
      <c r="G1543" s="17" t="inlineStr">
        <is>
          <t>웹조사 자동화 실패(세션한도)</t>
        </is>
      </c>
      <c r="H1543" s="17" t="inlineStr">
        <is>
          <t>N</t>
        </is>
      </c>
      <c r="I1543" s="17" t="inlineStr">
        <is>
          <t>회사 홈페이지</t>
        </is>
      </c>
      <c r="J1543" s="17" t="inlineStr">
        <is>
          <t>회사 홈페이지에서 확인</t>
        </is>
      </c>
      <c r="K1543" s="17" t="inlineStr">
        <is>
          <t>낮음</t>
        </is>
      </c>
      <c r="L1543" s="17" t="inlineStr"/>
    </row>
    <row r="1544">
      <c r="A1544" s="17" t="inlineStr">
        <is>
          <t>C247</t>
        </is>
      </c>
      <c r="B1544" s="17" t="inlineStr"/>
      <c r="C1544" s="17" t="inlineStr">
        <is>
          <t>(주)피에스지</t>
        </is>
      </c>
      <c r="D1544" s="17" t="inlineStr"/>
      <c r="E1544" s="17" t="inlineStr">
        <is>
          <t>신공장·증설</t>
        </is>
      </c>
      <c r="F1544" s="17" t="inlineStr">
        <is>
          <t>미확인</t>
        </is>
      </c>
      <c r="G1544" s="17" t="inlineStr">
        <is>
          <t>웹조사 자동화 실패(세션한도)</t>
        </is>
      </c>
      <c r="H1544" s="17" t="inlineStr">
        <is>
          <t>N</t>
        </is>
      </c>
      <c r="I1544" s="17" t="inlineStr">
        <is>
          <t>언론·지자체 발표</t>
        </is>
      </c>
      <c r="J1544" s="17" t="inlineStr">
        <is>
          <t>언론·지자체 발표에서 확인</t>
        </is>
      </c>
      <c r="K1544" s="17" t="inlineStr">
        <is>
          <t>낮음</t>
        </is>
      </c>
      <c r="L1544" s="17" t="inlineStr"/>
    </row>
    <row r="1545">
      <c r="A1545" s="17" t="inlineStr">
        <is>
          <t>C247</t>
        </is>
      </c>
      <c r="B1545" s="17" t="inlineStr"/>
      <c r="C1545" s="17" t="inlineStr">
        <is>
          <t>(주)피에스지</t>
        </is>
      </c>
      <c r="D1545" s="17" t="inlineStr"/>
      <c r="E1545" s="17" t="inlineStr">
        <is>
          <t>대표전화</t>
        </is>
      </c>
      <c r="F1545" s="17" t="inlineStr">
        <is>
          <t>미확인</t>
        </is>
      </c>
      <c r="G1545" s="17" t="inlineStr">
        <is>
          <t>제조소상세 미매칭</t>
        </is>
      </c>
      <c r="H1545" s="17" t="inlineStr">
        <is>
          <t>Y</t>
        </is>
      </c>
      <c r="I1545" s="17" t="inlineStr">
        <is>
          <t>회사 홈페이지</t>
        </is>
      </c>
      <c r="J1545" s="17" t="inlineStr">
        <is>
          <t>홈페이지에서 대표번호 확인</t>
        </is>
      </c>
      <c r="K1545" s="17" t="inlineStr">
        <is>
          <t>낮음</t>
        </is>
      </c>
      <c r="L1545" s="17" t="inlineStr"/>
    </row>
    <row r="1546">
      <c r="A1546" s="17" t="inlineStr">
        <is>
          <t>C248</t>
        </is>
      </c>
      <c r="B1546" s="17" t="inlineStr"/>
      <c r="C1546" s="17" t="inlineStr">
        <is>
          <t>(주)메디카코리아</t>
        </is>
      </c>
      <c r="D1546" s="17" t="inlineStr"/>
      <c r="E1546" s="17" t="inlineStr">
        <is>
          <t>최근매출(억원)</t>
        </is>
      </c>
      <c r="F1546" s="17" t="inlineStr">
        <is>
          <t>미확인</t>
        </is>
      </c>
      <c r="G1546" s="17" t="inlineStr">
        <is>
          <t>웹조사 자동화 실패(세션한도)</t>
        </is>
      </c>
      <c r="H1546" s="17" t="inlineStr">
        <is>
          <t>N</t>
        </is>
      </c>
      <c r="I1546" s="17" t="inlineStr">
        <is>
          <t>DART 사업보고서</t>
        </is>
      </c>
      <c r="J1546" s="17" t="inlineStr">
        <is>
          <t>DART 사업보고서에서 확인</t>
        </is>
      </c>
      <c r="K1546" s="17" t="inlineStr">
        <is>
          <t>낮음</t>
        </is>
      </c>
      <c r="L1546" s="17" t="inlineStr"/>
    </row>
    <row r="1547">
      <c r="A1547" s="17" t="inlineStr">
        <is>
          <t>C248</t>
        </is>
      </c>
      <c r="B1547" s="17" t="inlineStr"/>
      <c r="C1547" s="17" t="inlineStr">
        <is>
          <t>(주)메디카코리아</t>
        </is>
      </c>
      <c r="D1547" s="17" t="inlineStr"/>
      <c r="E1547" s="17" t="inlineStr">
        <is>
          <t>종업원수</t>
        </is>
      </c>
      <c r="F1547" s="17" t="inlineStr">
        <is>
          <t>미확인</t>
        </is>
      </c>
      <c r="G1547" s="17" t="inlineStr">
        <is>
          <t>웹조사 자동화 실패(세션한도)</t>
        </is>
      </c>
      <c r="H1547" s="17" t="inlineStr">
        <is>
          <t>N</t>
        </is>
      </c>
      <c r="I1547" s="17" t="inlineStr">
        <is>
          <t>DART/채용</t>
        </is>
      </c>
      <c r="J1547" s="17" t="inlineStr">
        <is>
          <t>DART/채용에서 확인</t>
        </is>
      </c>
      <c r="K1547" s="17" t="inlineStr">
        <is>
          <t>낮음</t>
        </is>
      </c>
      <c r="L1547" s="17" t="inlineStr"/>
    </row>
    <row r="1548">
      <c r="A1548" s="17" t="inlineStr">
        <is>
          <t>C248</t>
        </is>
      </c>
      <c r="B1548" s="17" t="inlineStr"/>
      <c r="C1548" s="17" t="inlineStr">
        <is>
          <t>(주)메디카코리아</t>
        </is>
      </c>
      <c r="D1548" s="17" t="inlineStr"/>
      <c r="E1548" s="17" t="inlineStr">
        <is>
          <t>수출여부</t>
        </is>
      </c>
      <c r="F1548" s="17" t="inlineStr">
        <is>
          <t>미확인</t>
        </is>
      </c>
      <c r="G1548" s="17" t="inlineStr">
        <is>
          <t>웹조사 자동화 실패(세션한도)</t>
        </is>
      </c>
      <c r="H1548" s="17" t="inlineStr">
        <is>
          <t>N</t>
        </is>
      </c>
      <c r="I1548" s="17" t="inlineStr">
        <is>
          <t>회사 공시·홈페이지</t>
        </is>
      </c>
      <c r="J1548" s="17" t="inlineStr">
        <is>
          <t>회사 공시·홈페이지에서 확인</t>
        </is>
      </c>
      <c r="K1548" s="17" t="inlineStr">
        <is>
          <t>낮음</t>
        </is>
      </c>
      <c r="L1548" s="17" t="inlineStr"/>
    </row>
    <row r="1549">
      <c r="A1549" s="17" t="inlineStr">
        <is>
          <t>C248</t>
        </is>
      </c>
      <c r="B1549" s="17" t="inlineStr"/>
      <c r="C1549" s="17" t="inlineStr">
        <is>
          <t>(주)메디카코리아</t>
        </is>
      </c>
      <c r="D1549" s="17" t="inlineStr"/>
      <c r="E1549" s="17" t="inlineStr">
        <is>
          <t>FDA·EMA 실사</t>
        </is>
      </c>
      <c r="F1549" s="17" t="inlineStr">
        <is>
          <t>미확인</t>
        </is>
      </c>
      <c r="G1549" s="17" t="inlineStr">
        <is>
          <t>웹조사 자동화 실패(세션한도)</t>
        </is>
      </c>
      <c r="H1549" s="17" t="inlineStr">
        <is>
          <t>N</t>
        </is>
      </c>
      <c r="I1549" s="17" t="inlineStr">
        <is>
          <t>FDA Inspection DB</t>
        </is>
      </c>
      <c r="J1549" s="17" t="inlineStr">
        <is>
          <t>FDA Inspection DB에서 확인</t>
        </is>
      </c>
      <c r="K1549" s="17" t="inlineStr">
        <is>
          <t>낮음</t>
        </is>
      </c>
      <c r="L1549" s="17" t="inlineStr"/>
    </row>
    <row r="1550">
      <c r="A1550" s="17" t="inlineStr">
        <is>
          <t>C248</t>
        </is>
      </c>
      <c r="B1550" s="17" t="inlineStr"/>
      <c r="C1550" s="17" t="inlineStr">
        <is>
          <t>(주)메디카코리아</t>
        </is>
      </c>
      <c r="D1550" s="17" t="inlineStr"/>
      <c r="E1550" s="17" t="inlineStr">
        <is>
          <t>CMO·CDMO</t>
        </is>
      </c>
      <c r="F1550" s="17" t="inlineStr">
        <is>
          <t>미확인</t>
        </is>
      </c>
      <c r="G1550" s="17" t="inlineStr">
        <is>
          <t>웹조사 자동화 실패(세션한도)</t>
        </is>
      </c>
      <c r="H1550" s="17" t="inlineStr">
        <is>
          <t>N</t>
        </is>
      </c>
      <c r="I1550" s="17" t="inlineStr">
        <is>
          <t>회사 홈페이지</t>
        </is>
      </c>
      <c r="J1550" s="17" t="inlineStr">
        <is>
          <t>회사 홈페이지에서 확인</t>
        </is>
      </c>
      <c r="K1550" s="17" t="inlineStr">
        <is>
          <t>낮음</t>
        </is>
      </c>
      <c r="L1550" s="17" t="inlineStr"/>
    </row>
    <row r="1551">
      <c r="A1551" s="17" t="inlineStr">
        <is>
          <t>C248</t>
        </is>
      </c>
      <c r="B1551" s="17" t="inlineStr"/>
      <c r="C1551" s="17" t="inlineStr">
        <is>
          <t>(주)메디카코리아</t>
        </is>
      </c>
      <c r="D1551" s="17" t="inlineStr"/>
      <c r="E1551" s="17" t="inlineStr">
        <is>
          <t>신공장·증설</t>
        </is>
      </c>
      <c r="F1551" s="17" t="inlineStr">
        <is>
          <t>미확인</t>
        </is>
      </c>
      <c r="G1551" s="17" t="inlineStr">
        <is>
          <t>웹조사 자동화 실패(세션한도)</t>
        </is>
      </c>
      <c r="H1551" s="17" t="inlineStr">
        <is>
          <t>N</t>
        </is>
      </c>
      <c r="I1551" s="17" t="inlineStr">
        <is>
          <t>언론·지자체 발표</t>
        </is>
      </c>
      <c r="J1551" s="17" t="inlineStr">
        <is>
          <t>언론·지자체 발표에서 확인</t>
        </is>
      </c>
      <c r="K1551" s="17" t="inlineStr">
        <is>
          <t>낮음</t>
        </is>
      </c>
      <c r="L1551" s="17" t="inlineStr"/>
    </row>
    <row r="1552">
      <c r="A1552" s="17" t="inlineStr">
        <is>
          <t>C248</t>
        </is>
      </c>
      <c r="B1552" s="17" t="inlineStr"/>
      <c r="C1552" s="17" t="inlineStr">
        <is>
          <t>(주)메디카코리아</t>
        </is>
      </c>
      <c r="D1552" s="17" t="inlineStr"/>
      <c r="E1552" s="17" t="inlineStr">
        <is>
          <t>대표전화</t>
        </is>
      </c>
      <c r="F1552" s="17" t="inlineStr">
        <is>
          <t>미확인</t>
        </is>
      </c>
      <c r="G1552" s="17" t="inlineStr">
        <is>
          <t>제조소상세 미매칭</t>
        </is>
      </c>
      <c r="H1552" s="17" t="inlineStr">
        <is>
          <t>Y</t>
        </is>
      </c>
      <c r="I1552" s="17" t="inlineStr">
        <is>
          <t>회사 홈페이지</t>
        </is>
      </c>
      <c r="J1552" s="17" t="inlineStr">
        <is>
          <t>홈페이지에서 대표번호 확인</t>
        </is>
      </c>
      <c r="K1552" s="17" t="inlineStr">
        <is>
          <t>낮음</t>
        </is>
      </c>
      <c r="L1552" s="17" t="inlineStr"/>
    </row>
    <row r="1553">
      <c r="A1553" s="17" t="inlineStr">
        <is>
          <t>C249</t>
        </is>
      </c>
      <c r="B1553" s="17" t="inlineStr"/>
      <c r="C1553" s="17" t="inlineStr">
        <is>
          <t>위더스제약(주)</t>
        </is>
      </c>
      <c r="D1553" s="17" t="inlineStr"/>
      <c r="E1553" s="17" t="inlineStr">
        <is>
          <t>최근매출(억원)</t>
        </is>
      </c>
      <c r="F1553" s="17" t="inlineStr">
        <is>
          <t>미확인</t>
        </is>
      </c>
      <c r="G1553" s="17" t="inlineStr">
        <is>
          <t>웹조사 자동화 실패(세션한도)</t>
        </is>
      </c>
      <c r="H1553" s="17" t="inlineStr">
        <is>
          <t>N</t>
        </is>
      </c>
      <c r="I1553" s="17" t="inlineStr">
        <is>
          <t>DART 사업보고서</t>
        </is>
      </c>
      <c r="J1553" s="17" t="inlineStr">
        <is>
          <t>DART 사업보고서에서 확인</t>
        </is>
      </c>
      <c r="K1553" s="17" t="inlineStr">
        <is>
          <t>낮음</t>
        </is>
      </c>
      <c r="L1553" s="17" t="inlineStr"/>
    </row>
    <row r="1554">
      <c r="A1554" s="17" t="inlineStr">
        <is>
          <t>C249</t>
        </is>
      </c>
      <c r="B1554" s="17" t="inlineStr"/>
      <c r="C1554" s="17" t="inlineStr">
        <is>
          <t>위더스제약(주)</t>
        </is>
      </c>
      <c r="D1554" s="17" t="inlineStr"/>
      <c r="E1554" s="17" t="inlineStr">
        <is>
          <t>종업원수</t>
        </is>
      </c>
      <c r="F1554" s="17" t="inlineStr">
        <is>
          <t>미확인</t>
        </is>
      </c>
      <c r="G1554" s="17" t="inlineStr">
        <is>
          <t>웹조사 자동화 실패(세션한도)</t>
        </is>
      </c>
      <c r="H1554" s="17" t="inlineStr">
        <is>
          <t>N</t>
        </is>
      </c>
      <c r="I1554" s="17" t="inlineStr">
        <is>
          <t>DART/채용</t>
        </is>
      </c>
      <c r="J1554" s="17" t="inlineStr">
        <is>
          <t>DART/채용에서 확인</t>
        </is>
      </c>
      <c r="K1554" s="17" t="inlineStr">
        <is>
          <t>낮음</t>
        </is>
      </c>
      <c r="L1554" s="17" t="inlineStr"/>
    </row>
    <row r="1555">
      <c r="A1555" s="17" t="inlineStr">
        <is>
          <t>C249</t>
        </is>
      </c>
      <c r="B1555" s="17" t="inlineStr"/>
      <c r="C1555" s="17" t="inlineStr">
        <is>
          <t>위더스제약(주)</t>
        </is>
      </c>
      <c r="D1555" s="17" t="inlineStr"/>
      <c r="E1555" s="17" t="inlineStr">
        <is>
          <t>수출여부</t>
        </is>
      </c>
      <c r="F1555" s="17" t="inlineStr">
        <is>
          <t>미확인</t>
        </is>
      </c>
      <c r="G1555" s="17" t="inlineStr">
        <is>
          <t>웹조사 자동화 실패(세션한도)</t>
        </is>
      </c>
      <c r="H1555" s="17" t="inlineStr">
        <is>
          <t>N</t>
        </is>
      </c>
      <c r="I1555" s="17" t="inlineStr">
        <is>
          <t>회사 공시·홈페이지</t>
        </is>
      </c>
      <c r="J1555" s="17" t="inlineStr">
        <is>
          <t>회사 공시·홈페이지에서 확인</t>
        </is>
      </c>
      <c r="K1555" s="17" t="inlineStr">
        <is>
          <t>낮음</t>
        </is>
      </c>
      <c r="L1555" s="17" t="inlineStr"/>
    </row>
    <row r="1556">
      <c r="A1556" s="17" t="inlineStr">
        <is>
          <t>C249</t>
        </is>
      </c>
      <c r="B1556" s="17" t="inlineStr"/>
      <c r="C1556" s="17" t="inlineStr">
        <is>
          <t>위더스제약(주)</t>
        </is>
      </c>
      <c r="D1556" s="17" t="inlineStr"/>
      <c r="E1556" s="17" t="inlineStr">
        <is>
          <t>FDA·EMA 실사</t>
        </is>
      </c>
      <c r="F1556" s="17" t="inlineStr">
        <is>
          <t>미확인</t>
        </is>
      </c>
      <c r="G1556" s="17" t="inlineStr">
        <is>
          <t>웹조사 자동화 실패(세션한도)</t>
        </is>
      </c>
      <c r="H1556" s="17" t="inlineStr">
        <is>
          <t>N</t>
        </is>
      </c>
      <c r="I1556" s="17" t="inlineStr">
        <is>
          <t>FDA Inspection DB</t>
        </is>
      </c>
      <c r="J1556" s="17" t="inlineStr">
        <is>
          <t>FDA Inspection DB에서 확인</t>
        </is>
      </c>
      <c r="K1556" s="17" t="inlineStr">
        <is>
          <t>낮음</t>
        </is>
      </c>
      <c r="L1556" s="17" t="inlineStr"/>
    </row>
    <row r="1557">
      <c r="A1557" s="17" t="inlineStr">
        <is>
          <t>C249</t>
        </is>
      </c>
      <c r="B1557" s="17" t="inlineStr"/>
      <c r="C1557" s="17" t="inlineStr">
        <is>
          <t>위더스제약(주)</t>
        </is>
      </c>
      <c r="D1557" s="17" t="inlineStr"/>
      <c r="E1557" s="17" t="inlineStr">
        <is>
          <t>CMO·CDMO</t>
        </is>
      </c>
      <c r="F1557" s="17" t="inlineStr">
        <is>
          <t>미확인</t>
        </is>
      </c>
      <c r="G1557" s="17" t="inlineStr">
        <is>
          <t>웹조사 자동화 실패(세션한도)</t>
        </is>
      </c>
      <c r="H1557" s="17" t="inlineStr">
        <is>
          <t>N</t>
        </is>
      </c>
      <c r="I1557" s="17" t="inlineStr">
        <is>
          <t>회사 홈페이지</t>
        </is>
      </c>
      <c r="J1557" s="17" t="inlineStr">
        <is>
          <t>회사 홈페이지에서 확인</t>
        </is>
      </c>
      <c r="K1557" s="17" t="inlineStr">
        <is>
          <t>낮음</t>
        </is>
      </c>
      <c r="L1557" s="17" t="inlineStr"/>
    </row>
    <row r="1558">
      <c r="A1558" s="17" t="inlineStr">
        <is>
          <t>C249</t>
        </is>
      </c>
      <c r="B1558" s="17" t="inlineStr"/>
      <c r="C1558" s="17" t="inlineStr">
        <is>
          <t>위더스제약(주)</t>
        </is>
      </c>
      <c r="D1558" s="17" t="inlineStr"/>
      <c r="E1558" s="17" t="inlineStr">
        <is>
          <t>신공장·증설</t>
        </is>
      </c>
      <c r="F1558" s="17" t="inlineStr">
        <is>
          <t>미확인</t>
        </is>
      </c>
      <c r="G1558" s="17" t="inlineStr">
        <is>
          <t>웹조사 자동화 실패(세션한도)</t>
        </is>
      </c>
      <c r="H1558" s="17" t="inlineStr">
        <is>
          <t>N</t>
        </is>
      </c>
      <c r="I1558" s="17" t="inlineStr">
        <is>
          <t>언론·지자체 발표</t>
        </is>
      </c>
      <c r="J1558" s="17" t="inlineStr">
        <is>
          <t>언론·지자체 발표에서 확인</t>
        </is>
      </c>
      <c r="K1558" s="17" t="inlineStr">
        <is>
          <t>낮음</t>
        </is>
      </c>
      <c r="L1558" s="17" t="inlineStr"/>
    </row>
    <row r="1559">
      <c r="A1559" s="17" t="inlineStr">
        <is>
          <t>C249</t>
        </is>
      </c>
      <c r="B1559" s="17" t="inlineStr"/>
      <c r="C1559" s="17" t="inlineStr">
        <is>
          <t>위더스제약(주)</t>
        </is>
      </c>
      <c r="D1559" s="17" t="inlineStr"/>
      <c r="E1559" s="17" t="inlineStr">
        <is>
          <t>대표전화</t>
        </is>
      </c>
      <c r="F1559" s="17" t="inlineStr">
        <is>
          <t>미확인</t>
        </is>
      </c>
      <c r="G1559" s="17" t="inlineStr">
        <is>
          <t>제조소상세 미매칭</t>
        </is>
      </c>
      <c r="H1559" s="17" t="inlineStr">
        <is>
          <t>Y</t>
        </is>
      </c>
      <c r="I1559" s="17" t="inlineStr">
        <is>
          <t>회사 홈페이지</t>
        </is>
      </c>
      <c r="J1559" s="17" t="inlineStr">
        <is>
          <t>홈페이지에서 대표번호 확인</t>
        </is>
      </c>
      <c r="K1559" s="17" t="inlineStr">
        <is>
          <t>낮음</t>
        </is>
      </c>
      <c r="L1559" s="17" t="inlineStr"/>
    </row>
    <row r="1560">
      <c r="A1560" s="17" t="inlineStr">
        <is>
          <t>C250</t>
        </is>
      </c>
      <c r="B1560" s="17" t="inlineStr"/>
      <c r="C1560" s="17" t="inlineStr">
        <is>
          <t>대구경북첨단의료산업진흥재단</t>
        </is>
      </c>
      <c r="D1560" s="17" t="inlineStr"/>
      <c r="E1560" s="17" t="inlineStr">
        <is>
          <t>최근매출(억원)</t>
        </is>
      </c>
      <c r="F1560" s="17" t="inlineStr">
        <is>
          <t>미확인</t>
        </is>
      </c>
      <c r="G1560" s="17" t="inlineStr">
        <is>
          <t>웹조사 자동화 실패(세션한도)</t>
        </is>
      </c>
      <c r="H1560" s="17" t="inlineStr">
        <is>
          <t>N</t>
        </is>
      </c>
      <c r="I1560" s="17" t="inlineStr">
        <is>
          <t>DART 사업보고서</t>
        </is>
      </c>
      <c r="J1560" s="17" t="inlineStr">
        <is>
          <t>DART 사업보고서에서 확인</t>
        </is>
      </c>
      <c r="K1560" s="17" t="inlineStr">
        <is>
          <t>낮음</t>
        </is>
      </c>
      <c r="L1560" s="17" t="inlineStr"/>
    </row>
    <row r="1561">
      <c r="A1561" s="17" t="inlineStr">
        <is>
          <t>C250</t>
        </is>
      </c>
      <c r="B1561" s="17" t="inlineStr"/>
      <c r="C1561" s="17" t="inlineStr">
        <is>
          <t>대구경북첨단의료산업진흥재단</t>
        </is>
      </c>
      <c r="D1561" s="17" t="inlineStr"/>
      <c r="E1561" s="17" t="inlineStr">
        <is>
          <t>종업원수</t>
        </is>
      </c>
      <c r="F1561" s="17" t="inlineStr">
        <is>
          <t>미확인</t>
        </is>
      </c>
      <c r="G1561" s="17" t="inlineStr">
        <is>
          <t>웹조사 자동화 실패(세션한도)</t>
        </is>
      </c>
      <c r="H1561" s="17" t="inlineStr">
        <is>
          <t>N</t>
        </is>
      </c>
      <c r="I1561" s="17" t="inlineStr">
        <is>
          <t>DART/채용</t>
        </is>
      </c>
      <c r="J1561" s="17" t="inlineStr">
        <is>
          <t>DART/채용에서 확인</t>
        </is>
      </c>
      <c r="K1561" s="17" t="inlineStr">
        <is>
          <t>낮음</t>
        </is>
      </c>
      <c r="L1561" s="17" t="inlineStr"/>
    </row>
    <row r="1562">
      <c r="A1562" s="17" t="inlineStr">
        <is>
          <t>C250</t>
        </is>
      </c>
      <c r="B1562" s="17" t="inlineStr"/>
      <c r="C1562" s="17" t="inlineStr">
        <is>
          <t>대구경북첨단의료산업진흥재단</t>
        </is>
      </c>
      <c r="D1562" s="17" t="inlineStr"/>
      <c r="E1562" s="17" t="inlineStr">
        <is>
          <t>수출여부</t>
        </is>
      </c>
      <c r="F1562" s="17" t="inlineStr">
        <is>
          <t>미확인</t>
        </is>
      </c>
      <c r="G1562" s="17" t="inlineStr">
        <is>
          <t>웹조사 자동화 실패(세션한도)</t>
        </is>
      </c>
      <c r="H1562" s="17" t="inlineStr">
        <is>
          <t>N</t>
        </is>
      </c>
      <c r="I1562" s="17" t="inlineStr">
        <is>
          <t>회사 공시·홈페이지</t>
        </is>
      </c>
      <c r="J1562" s="17" t="inlineStr">
        <is>
          <t>회사 공시·홈페이지에서 확인</t>
        </is>
      </c>
      <c r="K1562" s="17" t="inlineStr">
        <is>
          <t>낮음</t>
        </is>
      </c>
      <c r="L1562" s="17" t="inlineStr"/>
    </row>
    <row r="1563">
      <c r="A1563" s="17" t="inlineStr">
        <is>
          <t>C250</t>
        </is>
      </c>
      <c r="B1563" s="17" t="inlineStr"/>
      <c r="C1563" s="17" t="inlineStr">
        <is>
          <t>대구경북첨단의료산업진흥재단</t>
        </is>
      </c>
      <c r="D1563" s="17" t="inlineStr"/>
      <c r="E1563" s="17" t="inlineStr">
        <is>
          <t>FDA·EMA 실사</t>
        </is>
      </c>
      <c r="F1563" s="17" t="inlineStr">
        <is>
          <t>미확인</t>
        </is>
      </c>
      <c r="G1563" s="17" t="inlineStr">
        <is>
          <t>웹조사 자동화 실패(세션한도)</t>
        </is>
      </c>
      <c r="H1563" s="17" t="inlineStr">
        <is>
          <t>N</t>
        </is>
      </c>
      <c r="I1563" s="17" t="inlineStr">
        <is>
          <t>FDA Inspection DB</t>
        </is>
      </c>
      <c r="J1563" s="17" t="inlineStr">
        <is>
          <t>FDA Inspection DB에서 확인</t>
        </is>
      </c>
      <c r="K1563" s="17" t="inlineStr">
        <is>
          <t>낮음</t>
        </is>
      </c>
      <c r="L1563" s="17" t="inlineStr"/>
    </row>
    <row r="1564">
      <c r="A1564" s="17" t="inlineStr">
        <is>
          <t>C250</t>
        </is>
      </c>
      <c r="B1564" s="17" t="inlineStr"/>
      <c r="C1564" s="17" t="inlineStr">
        <is>
          <t>대구경북첨단의료산업진흥재단</t>
        </is>
      </c>
      <c r="D1564" s="17" t="inlineStr"/>
      <c r="E1564" s="17" t="inlineStr">
        <is>
          <t>CMO·CDMO</t>
        </is>
      </c>
      <c r="F1564" s="17" t="inlineStr">
        <is>
          <t>미확인</t>
        </is>
      </c>
      <c r="G1564" s="17" t="inlineStr">
        <is>
          <t>웹조사 자동화 실패(세션한도)</t>
        </is>
      </c>
      <c r="H1564" s="17" t="inlineStr">
        <is>
          <t>N</t>
        </is>
      </c>
      <c r="I1564" s="17" t="inlineStr">
        <is>
          <t>회사 홈페이지</t>
        </is>
      </c>
      <c r="J1564" s="17" t="inlineStr">
        <is>
          <t>회사 홈페이지에서 확인</t>
        </is>
      </c>
      <c r="K1564" s="17" t="inlineStr">
        <is>
          <t>낮음</t>
        </is>
      </c>
      <c r="L1564" s="17" t="inlineStr"/>
    </row>
    <row r="1565">
      <c r="A1565" s="17" t="inlineStr">
        <is>
          <t>C250</t>
        </is>
      </c>
      <c r="B1565" s="17" t="inlineStr"/>
      <c r="C1565" s="17" t="inlineStr">
        <is>
          <t>대구경북첨단의료산업진흥재단</t>
        </is>
      </c>
      <c r="D1565" s="17" t="inlineStr"/>
      <c r="E1565" s="17" t="inlineStr">
        <is>
          <t>신공장·증설</t>
        </is>
      </c>
      <c r="F1565" s="17" t="inlineStr">
        <is>
          <t>미확인</t>
        </is>
      </c>
      <c r="G1565" s="17" t="inlineStr">
        <is>
          <t>웹조사 자동화 실패(세션한도)</t>
        </is>
      </c>
      <c r="H1565" s="17" t="inlineStr">
        <is>
          <t>N</t>
        </is>
      </c>
      <c r="I1565" s="17" t="inlineStr">
        <is>
          <t>언론·지자체 발표</t>
        </is>
      </c>
      <c r="J1565" s="17" t="inlineStr">
        <is>
          <t>언론·지자체 발표에서 확인</t>
        </is>
      </c>
      <c r="K1565" s="17" t="inlineStr">
        <is>
          <t>낮음</t>
        </is>
      </c>
      <c r="L1565" s="17" t="inlineStr"/>
    </row>
    <row r="1566">
      <c r="A1566" s="17" t="inlineStr">
        <is>
          <t>C251</t>
        </is>
      </c>
      <c r="B1566" s="17" t="inlineStr"/>
      <c r="C1566" s="17" t="inlineStr">
        <is>
          <t>(주)셀트리온</t>
        </is>
      </c>
      <c r="D1566" s="17" t="inlineStr"/>
      <c r="E1566" s="17" t="inlineStr">
        <is>
          <t>최근매출(억원)</t>
        </is>
      </c>
      <c r="F1566" s="17" t="inlineStr">
        <is>
          <t>미확인</t>
        </is>
      </c>
      <c r="G1566" s="17" t="inlineStr">
        <is>
          <t>웹조사 자동화 실패(세션한도)</t>
        </is>
      </c>
      <c r="H1566" s="17" t="inlineStr">
        <is>
          <t>N</t>
        </is>
      </c>
      <c r="I1566" s="17" t="inlineStr">
        <is>
          <t>DART 사업보고서</t>
        </is>
      </c>
      <c r="J1566" s="17" t="inlineStr">
        <is>
          <t>DART 사업보고서에서 확인</t>
        </is>
      </c>
      <c r="K1566" s="17" t="inlineStr">
        <is>
          <t>낮음</t>
        </is>
      </c>
      <c r="L1566" s="17" t="inlineStr"/>
    </row>
    <row r="1567">
      <c r="A1567" s="17" t="inlineStr">
        <is>
          <t>C251</t>
        </is>
      </c>
      <c r="B1567" s="17" t="inlineStr"/>
      <c r="C1567" s="17" t="inlineStr">
        <is>
          <t>(주)셀트리온</t>
        </is>
      </c>
      <c r="D1567" s="17" t="inlineStr"/>
      <c r="E1567" s="17" t="inlineStr">
        <is>
          <t>종업원수</t>
        </is>
      </c>
      <c r="F1567" s="17" t="inlineStr">
        <is>
          <t>미확인</t>
        </is>
      </c>
      <c r="G1567" s="17" t="inlineStr">
        <is>
          <t>웹조사 자동화 실패(세션한도)</t>
        </is>
      </c>
      <c r="H1567" s="17" t="inlineStr">
        <is>
          <t>N</t>
        </is>
      </c>
      <c r="I1567" s="17" t="inlineStr">
        <is>
          <t>DART/채용</t>
        </is>
      </c>
      <c r="J1567" s="17" t="inlineStr">
        <is>
          <t>DART/채용에서 확인</t>
        </is>
      </c>
      <c r="K1567" s="17" t="inlineStr">
        <is>
          <t>낮음</t>
        </is>
      </c>
      <c r="L1567" s="17" t="inlineStr"/>
    </row>
    <row r="1568">
      <c r="A1568" s="17" t="inlineStr">
        <is>
          <t>C251</t>
        </is>
      </c>
      <c r="B1568" s="17" t="inlineStr"/>
      <c r="C1568" s="17" t="inlineStr">
        <is>
          <t>(주)셀트리온</t>
        </is>
      </c>
      <c r="D1568" s="17" t="inlineStr"/>
      <c r="E1568" s="17" t="inlineStr">
        <is>
          <t>수출여부</t>
        </is>
      </c>
      <c r="F1568" s="17" t="inlineStr">
        <is>
          <t>미확인</t>
        </is>
      </c>
      <c r="G1568" s="17" t="inlineStr">
        <is>
          <t>웹조사 자동화 실패(세션한도)</t>
        </is>
      </c>
      <c r="H1568" s="17" t="inlineStr">
        <is>
          <t>N</t>
        </is>
      </c>
      <c r="I1568" s="17" t="inlineStr">
        <is>
          <t>회사 공시·홈페이지</t>
        </is>
      </c>
      <c r="J1568" s="17" t="inlineStr">
        <is>
          <t>회사 공시·홈페이지에서 확인</t>
        </is>
      </c>
      <c r="K1568" s="17" t="inlineStr">
        <is>
          <t>낮음</t>
        </is>
      </c>
      <c r="L1568" s="17" t="inlineStr"/>
    </row>
    <row r="1569">
      <c r="A1569" s="17" t="inlineStr">
        <is>
          <t>C251</t>
        </is>
      </c>
      <c r="B1569" s="17" t="inlineStr"/>
      <c r="C1569" s="17" t="inlineStr">
        <is>
          <t>(주)셀트리온</t>
        </is>
      </c>
      <c r="D1569" s="17" t="inlineStr"/>
      <c r="E1569" s="17" t="inlineStr">
        <is>
          <t>FDA·EMA 실사</t>
        </is>
      </c>
      <c r="F1569" s="17" t="inlineStr">
        <is>
          <t>미확인</t>
        </is>
      </c>
      <c r="G1569" s="17" t="inlineStr">
        <is>
          <t>웹조사 자동화 실패(세션한도)</t>
        </is>
      </c>
      <c r="H1569" s="17" t="inlineStr">
        <is>
          <t>N</t>
        </is>
      </c>
      <c r="I1569" s="17" t="inlineStr">
        <is>
          <t>FDA Inspection DB</t>
        </is>
      </c>
      <c r="J1569" s="17" t="inlineStr">
        <is>
          <t>FDA Inspection DB에서 확인</t>
        </is>
      </c>
      <c r="K1569" s="17" t="inlineStr">
        <is>
          <t>낮음</t>
        </is>
      </c>
      <c r="L1569" s="17" t="inlineStr"/>
    </row>
    <row r="1570">
      <c r="A1570" s="17" t="inlineStr">
        <is>
          <t>C251</t>
        </is>
      </c>
      <c r="B1570" s="17" t="inlineStr"/>
      <c r="C1570" s="17" t="inlineStr">
        <is>
          <t>(주)셀트리온</t>
        </is>
      </c>
      <c r="D1570" s="17" t="inlineStr"/>
      <c r="E1570" s="17" t="inlineStr">
        <is>
          <t>CMO·CDMO</t>
        </is>
      </c>
      <c r="F1570" s="17" t="inlineStr">
        <is>
          <t>미확인</t>
        </is>
      </c>
      <c r="G1570" s="17" t="inlineStr">
        <is>
          <t>웹조사 자동화 실패(세션한도)</t>
        </is>
      </c>
      <c r="H1570" s="17" t="inlineStr">
        <is>
          <t>N</t>
        </is>
      </c>
      <c r="I1570" s="17" t="inlineStr">
        <is>
          <t>회사 홈페이지</t>
        </is>
      </c>
      <c r="J1570" s="17" t="inlineStr">
        <is>
          <t>회사 홈페이지에서 확인</t>
        </is>
      </c>
      <c r="K1570" s="17" t="inlineStr">
        <is>
          <t>낮음</t>
        </is>
      </c>
      <c r="L1570" s="17" t="inlineStr"/>
    </row>
    <row r="1571">
      <c r="A1571" s="17" t="inlineStr">
        <is>
          <t>C251</t>
        </is>
      </c>
      <c r="B1571" s="17" t="inlineStr"/>
      <c r="C1571" s="17" t="inlineStr">
        <is>
          <t>(주)셀트리온</t>
        </is>
      </c>
      <c r="D1571" s="17" t="inlineStr"/>
      <c r="E1571" s="17" t="inlineStr">
        <is>
          <t>신공장·증설</t>
        </is>
      </c>
      <c r="F1571" s="17" t="inlineStr">
        <is>
          <t>미확인</t>
        </is>
      </c>
      <c r="G1571" s="17" t="inlineStr">
        <is>
          <t>웹조사 자동화 실패(세션한도)</t>
        </is>
      </c>
      <c r="H1571" s="17" t="inlineStr">
        <is>
          <t>N</t>
        </is>
      </c>
      <c r="I1571" s="17" t="inlineStr">
        <is>
          <t>언론·지자체 발표</t>
        </is>
      </c>
      <c r="J1571" s="17" t="inlineStr">
        <is>
          <t>언론·지자체 발표에서 확인</t>
        </is>
      </c>
      <c r="K1571" s="17" t="inlineStr">
        <is>
          <t>낮음</t>
        </is>
      </c>
      <c r="L1571" s="17" t="inlineStr"/>
    </row>
    <row r="1572">
      <c r="A1572" s="17" t="inlineStr">
        <is>
          <t>C251</t>
        </is>
      </c>
      <c r="B1572" s="17" t="inlineStr"/>
      <c r="C1572" s="17" t="inlineStr">
        <is>
          <t>(주)셀트리온</t>
        </is>
      </c>
      <c r="D1572" s="17" t="inlineStr"/>
      <c r="E1572" s="17" t="inlineStr">
        <is>
          <t>대표전화</t>
        </is>
      </c>
      <c r="F1572" s="17" t="inlineStr">
        <is>
          <t>미확인</t>
        </is>
      </c>
      <c r="G1572" s="17" t="inlineStr">
        <is>
          <t>제조소상세 미매칭</t>
        </is>
      </c>
      <c r="H1572" s="17" t="inlineStr">
        <is>
          <t>Y</t>
        </is>
      </c>
      <c r="I1572" s="17" t="inlineStr">
        <is>
          <t>회사 홈페이지</t>
        </is>
      </c>
      <c r="J1572" s="17" t="inlineStr">
        <is>
          <t>홈페이지에서 대표번호 확인</t>
        </is>
      </c>
      <c r="K1572" s="17" t="inlineStr">
        <is>
          <t>낮음</t>
        </is>
      </c>
      <c r="L1572" s="17" t="inlineStr"/>
    </row>
    <row r="1573">
      <c r="A1573" s="17" t="inlineStr">
        <is>
          <t>C252</t>
        </is>
      </c>
      <c r="B1573" s="17" t="inlineStr"/>
      <c r="C1573" s="17" t="inlineStr">
        <is>
          <t>(주)중헌제약</t>
        </is>
      </c>
      <c r="D1573" s="17" t="inlineStr"/>
      <c r="E1573" s="17" t="inlineStr">
        <is>
          <t>최근매출(억원)</t>
        </is>
      </c>
      <c r="F1573" s="17" t="inlineStr">
        <is>
          <t>미확인</t>
        </is>
      </c>
      <c r="G1573" s="17" t="inlineStr">
        <is>
          <t>웹조사 자동화 실패(세션한도)</t>
        </is>
      </c>
      <c r="H1573" s="17" t="inlineStr">
        <is>
          <t>N</t>
        </is>
      </c>
      <c r="I1573" s="17" t="inlineStr">
        <is>
          <t>DART 사업보고서</t>
        </is>
      </c>
      <c r="J1573" s="17" t="inlineStr">
        <is>
          <t>DART 사업보고서에서 확인</t>
        </is>
      </c>
      <c r="K1573" s="17" t="inlineStr">
        <is>
          <t>낮음</t>
        </is>
      </c>
      <c r="L1573" s="17" t="inlineStr"/>
    </row>
    <row r="1574">
      <c r="A1574" s="17" t="inlineStr">
        <is>
          <t>C252</t>
        </is>
      </c>
      <c r="B1574" s="17" t="inlineStr"/>
      <c r="C1574" s="17" t="inlineStr">
        <is>
          <t>(주)중헌제약</t>
        </is>
      </c>
      <c r="D1574" s="17" t="inlineStr"/>
      <c r="E1574" s="17" t="inlineStr">
        <is>
          <t>종업원수</t>
        </is>
      </c>
      <c r="F1574" s="17" t="inlineStr">
        <is>
          <t>미확인</t>
        </is>
      </c>
      <c r="G1574" s="17" t="inlineStr">
        <is>
          <t>웹조사 자동화 실패(세션한도)</t>
        </is>
      </c>
      <c r="H1574" s="17" t="inlineStr">
        <is>
          <t>N</t>
        </is>
      </c>
      <c r="I1574" s="17" t="inlineStr">
        <is>
          <t>DART/채용</t>
        </is>
      </c>
      <c r="J1574" s="17" t="inlineStr">
        <is>
          <t>DART/채용에서 확인</t>
        </is>
      </c>
      <c r="K1574" s="17" t="inlineStr">
        <is>
          <t>낮음</t>
        </is>
      </c>
      <c r="L1574" s="17" t="inlineStr"/>
    </row>
    <row r="1575">
      <c r="A1575" s="17" t="inlineStr">
        <is>
          <t>C252</t>
        </is>
      </c>
      <c r="B1575" s="17" t="inlineStr"/>
      <c r="C1575" s="17" t="inlineStr">
        <is>
          <t>(주)중헌제약</t>
        </is>
      </c>
      <c r="D1575" s="17" t="inlineStr"/>
      <c r="E1575" s="17" t="inlineStr">
        <is>
          <t>수출여부</t>
        </is>
      </c>
      <c r="F1575" s="17" t="inlineStr">
        <is>
          <t>미확인</t>
        </is>
      </c>
      <c r="G1575" s="17" t="inlineStr">
        <is>
          <t>웹조사 자동화 실패(세션한도)</t>
        </is>
      </c>
      <c r="H1575" s="17" t="inlineStr">
        <is>
          <t>N</t>
        </is>
      </c>
      <c r="I1575" s="17" t="inlineStr">
        <is>
          <t>회사 공시·홈페이지</t>
        </is>
      </c>
      <c r="J1575" s="17" t="inlineStr">
        <is>
          <t>회사 공시·홈페이지에서 확인</t>
        </is>
      </c>
      <c r="K1575" s="17" t="inlineStr">
        <is>
          <t>낮음</t>
        </is>
      </c>
      <c r="L1575" s="17" t="inlineStr"/>
    </row>
    <row r="1576">
      <c r="A1576" s="17" t="inlineStr">
        <is>
          <t>C252</t>
        </is>
      </c>
      <c r="B1576" s="17" t="inlineStr"/>
      <c r="C1576" s="17" t="inlineStr">
        <is>
          <t>(주)중헌제약</t>
        </is>
      </c>
      <c r="D1576" s="17" t="inlineStr"/>
      <c r="E1576" s="17" t="inlineStr">
        <is>
          <t>FDA·EMA 실사</t>
        </is>
      </c>
      <c r="F1576" s="17" t="inlineStr">
        <is>
          <t>미확인</t>
        </is>
      </c>
      <c r="G1576" s="17" t="inlineStr">
        <is>
          <t>웹조사 자동화 실패(세션한도)</t>
        </is>
      </c>
      <c r="H1576" s="17" t="inlineStr">
        <is>
          <t>N</t>
        </is>
      </c>
      <c r="I1576" s="17" t="inlineStr">
        <is>
          <t>FDA Inspection DB</t>
        </is>
      </c>
      <c r="J1576" s="17" t="inlineStr">
        <is>
          <t>FDA Inspection DB에서 확인</t>
        </is>
      </c>
      <c r="K1576" s="17" t="inlineStr">
        <is>
          <t>낮음</t>
        </is>
      </c>
      <c r="L1576" s="17" t="inlineStr"/>
    </row>
    <row r="1577">
      <c r="A1577" s="17" t="inlineStr">
        <is>
          <t>C252</t>
        </is>
      </c>
      <c r="B1577" s="17" t="inlineStr"/>
      <c r="C1577" s="17" t="inlineStr">
        <is>
          <t>(주)중헌제약</t>
        </is>
      </c>
      <c r="D1577" s="17" t="inlineStr"/>
      <c r="E1577" s="17" t="inlineStr">
        <is>
          <t>CMO·CDMO</t>
        </is>
      </c>
      <c r="F1577" s="17" t="inlineStr">
        <is>
          <t>미확인</t>
        </is>
      </c>
      <c r="G1577" s="17" t="inlineStr">
        <is>
          <t>웹조사 자동화 실패(세션한도)</t>
        </is>
      </c>
      <c r="H1577" s="17" t="inlineStr">
        <is>
          <t>N</t>
        </is>
      </c>
      <c r="I1577" s="17" t="inlineStr">
        <is>
          <t>회사 홈페이지</t>
        </is>
      </c>
      <c r="J1577" s="17" t="inlineStr">
        <is>
          <t>회사 홈페이지에서 확인</t>
        </is>
      </c>
      <c r="K1577" s="17" t="inlineStr">
        <is>
          <t>낮음</t>
        </is>
      </c>
      <c r="L1577" s="17" t="inlineStr"/>
    </row>
    <row r="1578">
      <c r="A1578" s="17" t="inlineStr">
        <is>
          <t>C252</t>
        </is>
      </c>
      <c r="B1578" s="17" t="inlineStr"/>
      <c r="C1578" s="17" t="inlineStr">
        <is>
          <t>(주)중헌제약</t>
        </is>
      </c>
      <c r="D1578" s="17" t="inlineStr"/>
      <c r="E1578" s="17" t="inlineStr">
        <is>
          <t>신공장·증설</t>
        </is>
      </c>
      <c r="F1578" s="17" t="inlineStr">
        <is>
          <t>미확인</t>
        </is>
      </c>
      <c r="G1578" s="17" t="inlineStr">
        <is>
          <t>웹조사 자동화 실패(세션한도)</t>
        </is>
      </c>
      <c r="H1578" s="17" t="inlineStr">
        <is>
          <t>N</t>
        </is>
      </c>
      <c r="I1578" s="17" t="inlineStr">
        <is>
          <t>언론·지자체 발표</t>
        </is>
      </c>
      <c r="J1578" s="17" t="inlineStr">
        <is>
          <t>언론·지자체 발표에서 확인</t>
        </is>
      </c>
      <c r="K1578" s="17" t="inlineStr">
        <is>
          <t>낮음</t>
        </is>
      </c>
      <c r="L1578" s="17" t="inlineStr"/>
    </row>
    <row r="1579">
      <c r="A1579" s="17" t="inlineStr">
        <is>
          <t>C253</t>
        </is>
      </c>
      <c r="B1579" s="17" t="inlineStr"/>
      <c r="C1579" s="17" t="inlineStr">
        <is>
          <t>(주)한풍제약</t>
        </is>
      </c>
      <c r="D1579" s="17" t="inlineStr"/>
      <c r="E1579" s="17" t="inlineStr">
        <is>
          <t>최근매출(억원)</t>
        </is>
      </c>
      <c r="F1579" s="17" t="inlineStr">
        <is>
          <t>미확인</t>
        </is>
      </c>
      <c r="G1579" s="17" t="inlineStr">
        <is>
          <t>웹조사 자동화 실패(세션한도)</t>
        </is>
      </c>
      <c r="H1579" s="17" t="inlineStr">
        <is>
          <t>N</t>
        </is>
      </c>
      <c r="I1579" s="17" t="inlineStr">
        <is>
          <t>DART 사업보고서</t>
        </is>
      </c>
      <c r="J1579" s="17" t="inlineStr">
        <is>
          <t>DART 사업보고서에서 확인</t>
        </is>
      </c>
      <c r="K1579" s="17" t="inlineStr">
        <is>
          <t>낮음</t>
        </is>
      </c>
      <c r="L1579" s="17" t="inlineStr"/>
    </row>
    <row r="1580">
      <c r="A1580" s="17" t="inlineStr">
        <is>
          <t>C253</t>
        </is>
      </c>
      <c r="B1580" s="17" t="inlineStr"/>
      <c r="C1580" s="17" t="inlineStr">
        <is>
          <t>(주)한풍제약</t>
        </is>
      </c>
      <c r="D1580" s="17" t="inlineStr"/>
      <c r="E1580" s="17" t="inlineStr">
        <is>
          <t>종업원수</t>
        </is>
      </c>
      <c r="F1580" s="17" t="inlineStr">
        <is>
          <t>미확인</t>
        </is>
      </c>
      <c r="G1580" s="17" t="inlineStr">
        <is>
          <t>웹조사 자동화 실패(세션한도)</t>
        </is>
      </c>
      <c r="H1580" s="17" t="inlineStr">
        <is>
          <t>N</t>
        </is>
      </c>
      <c r="I1580" s="17" t="inlineStr">
        <is>
          <t>DART/채용</t>
        </is>
      </c>
      <c r="J1580" s="17" t="inlineStr">
        <is>
          <t>DART/채용에서 확인</t>
        </is>
      </c>
      <c r="K1580" s="17" t="inlineStr">
        <is>
          <t>낮음</t>
        </is>
      </c>
      <c r="L1580" s="17" t="inlineStr"/>
    </row>
    <row r="1581">
      <c r="A1581" s="17" t="inlineStr">
        <is>
          <t>C253</t>
        </is>
      </c>
      <c r="B1581" s="17" t="inlineStr"/>
      <c r="C1581" s="17" t="inlineStr">
        <is>
          <t>(주)한풍제약</t>
        </is>
      </c>
      <c r="D1581" s="17" t="inlineStr"/>
      <c r="E1581" s="17" t="inlineStr">
        <is>
          <t>수출여부</t>
        </is>
      </c>
      <c r="F1581" s="17" t="inlineStr">
        <is>
          <t>미확인</t>
        </is>
      </c>
      <c r="G1581" s="17" t="inlineStr">
        <is>
          <t>웹조사 자동화 실패(세션한도)</t>
        </is>
      </c>
      <c r="H1581" s="17" t="inlineStr">
        <is>
          <t>N</t>
        </is>
      </c>
      <c r="I1581" s="17" t="inlineStr">
        <is>
          <t>회사 공시·홈페이지</t>
        </is>
      </c>
      <c r="J1581" s="17" t="inlineStr">
        <is>
          <t>회사 공시·홈페이지에서 확인</t>
        </is>
      </c>
      <c r="K1581" s="17" t="inlineStr">
        <is>
          <t>낮음</t>
        </is>
      </c>
      <c r="L1581" s="17" t="inlineStr"/>
    </row>
    <row r="1582">
      <c r="A1582" s="17" t="inlineStr">
        <is>
          <t>C253</t>
        </is>
      </c>
      <c r="B1582" s="17" t="inlineStr"/>
      <c r="C1582" s="17" t="inlineStr">
        <is>
          <t>(주)한풍제약</t>
        </is>
      </c>
      <c r="D1582" s="17" t="inlineStr"/>
      <c r="E1582" s="17" t="inlineStr">
        <is>
          <t>FDA·EMA 실사</t>
        </is>
      </c>
      <c r="F1582" s="17" t="inlineStr">
        <is>
          <t>미확인</t>
        </is>
      </c>
      <c r="G1582" s="17" t="inlineStr">
        <is>
          <t>웹조사 자동화 실패(세션한도)</t>
        </is>
      </c>
      <c r="H1582" s="17" t="inlineStr">
        <is>
          <t>N</t>
        </is>
      </c>
      <c r="I1582" s="17" t="inlineStr">
        <is>
          <t>FDA Inspection DB</t>
        </is>
      </c>
      <c r="J1582" s="17" t="inlineStr">
        <is>
          <t>FDA Inspection DB에서 확인</t>
        </is>
      </c>
      <c r="K1582" s="17" t="inlineStr">
        <is>
          <t>낮음</t>
        </is>
      </c>
      <c r="L1582" s="17" t="inlineStr"/>
    </row>
    <row r="1583">
      <c r="A1583" s="17" t="inlineStr">
        <is>
          <t>C253</t>
        </is>
      </c>
      <c r="B1583" s="17" t="inlineStr"/>
      <c r="C1583" s="17" t="inlineStr">
        <is>
          <t>(주)한풍제약</t>
        </is>
      </c>
      <c r="D1583" s="17" t="inlineStr"/>
      <c r="E1583" s="17" t="inlineStr">
        <is>
          <t>CMO·CDMO</t>
        </is>
      </c>
      <c r="F1583" s="17" t="inlineStr">
        <is>
          <t>미확인</t>
        </is>
      </c>
      <c r="G1583" s="17" t="inlineStr">
        <is>
          <t>웹조사 자동화 실패(세션한도)</t>
        </is>
      </c>
      <c r="H1583" s="17" t="inlineStr">
        <is>
          <t>N</t>
        </is>
      </c>
      <c r="I1583" s="17" t="inlineStr">
        <is>
          <t>회사 홈페이지</t>
        </is>
      </c>
      <c r="J1583" s="17" t="inlineStr">
        <is>
          <t>회사 홈페이지에서 확인</t>
        </is>
      </c>
      <c r="K1583" s="17" t="inlineStr">
        <is>
          <t>낮음</t>
        </is>
      </c>
      <c r="L1583" s="17" t="inlineStr"/>
    </row>
    <row r="1584">
      <c r="A1584" s="17" t="inlineStr">
        <is>
          <t>C253</t>
        </is>
      </c>
      <c r="B1584" s="17" t="inlineStr"/>
      <c r="C1584" s="17" t="inlineStr">
        <is>
          <t>(주)한풍제약</t>
        </is>
      </c>
      <c r="D1584" s="17" t="inlineStr"/>
      <c r="E1584" s="17" t="inlineStr">
        <is>
          <t>신공장·증설</t>
        </is>
      </c>
      <c r="F1584" s="17" t="inlineStr">
        <is>
          <t>미확인</t>
        </is>
      </c>
      <c r="G1584" s="17" t="inlineStr">
        <is>
          <t>웹조사 자동화 실패(세션한도)</t>
        </is>
      </c>
      <c r="H1584" s="17" t="inlineStr">
        <is>
          <t>N</t>
        </is>
      </c>
      <c r="I1584" s="17" t="inlineStr">
        <is>
          <t>언론·지자체 발표</t>
        </is>
      </c>
      <c r="J1584" s="17" t="inlineStr">
        <is>
          <t>언론·지자체 발표에서 확인</t>
        </is>
      </c>
      <c r="K1584" s="17" t="inlineStr">
        <is>
          <t>낮음</t>
        </is>
      </c>
      <c r="L1584" s="17" t="inlineStr"/>
    </row>
    <row r="1585">
      <c r="A1585" s="17" t="inlineStr">
        <is>
          <t>C253</t>
        </is>
      </c>
      <c r="B1585" s="17" t="inlineStr"/>
      <c r="C1585" s="17" t="inlineStr">
        <is>
          <t>(주)한풍제약</t>
        </is>
      </c>
      <c r="D1585" s="17" t="inlineStr"/>
      <c r="E1585" s="17" t="inlineStr">
        <is>
          <t>대표전화</t>
        </is>
      </c>
      <c r="F1585" s="17" t="inlineStr">
        <is>
          <t>미확인</t>
        </is>
      </c>
      <c r="G1585" s="17" t="inlineStr">
        <is>
          <t>제조소상세 미매칭</t>
        </is>
      </c>
      <c r="H1585" s="17" t="inlineStr">
        <is>
          <t>Y</t>
        </is>
      </c>
      <c r="I1585" s="17" t="inlineStr">
        <is>
          <t>회사 홈페이지</t>
        </is>
      </c>
      <c r="J1585" s="17" t="inlineStr">
        <is>
          <t>홈페이지에서 대표번호 확인</t>
        </is>
      </c>
      <c r="K1585" s="17" t="inlineStr">
        <is>
          <t>낮음</t>
        </is>
      </c>
      <c r="L1585" s="17" t="inlineStr"/>
    </row>
    <row r="1586">
      <c r="A1586" s="17" t="inlineStr">
        <is>
          <t>C254</t>
        </is>
      </c>
      <c r="B1586" s="17" t="inlineStr"/>
      <c r="C1586" s="17" t="inlineStr">
        <is>
          <t>성우화학(주)</t>
        </is>
      </c>
      <c r="D1586" s="17" t="inlineStr"/>
      <c r="E1586" s="17" t="inlineStr">
        <is>
          <t>최근매출(억원)</t>
        </is>
      </c>
      <c r="F1586" s="17" t="inlineStr">
        <is>
          <t>미확인</t>
        </is>
      </c>
      <c r="G1586" s="17" t="inlineStr">
        <is>
          <t>웹조사 자동화 실패(세션한도)</t>
        </is>
      </c>
      <c r="H1586" s="17" t="inlineStr">
        <is>
          <t>N</t>
        </is>
      </c>
      <c r="I1586" s="17" t="inlineStr">
        <is>
          <t>DART 사업보고서</t>
        </is>
      </c>
      <c r="J1586" s="17" t="inlineStr">
        <is>
          <t>DART 사업보고서에서 확인</t>
        </is>
      </c>
      <c r="K1586" s="17" t="inlineStr">
        <is>
          <t>낮음</t>
        </is>
      </c>
      <c r="L1586" s="17" t="inlineStr"/>
    </row>
    <row r="1587">
      <c r="A1587" s="17" t="inlineStr">
        <is>
          <t>C254</t>
        </is>
      </c>
      <c r="B1587" s="17" t="inlineStr"/>
      <c r="C1587" s="17" t="inlineStr">
        <is>
          <t>성우화학(주)</t>
        </is>
      </c>
      <c r="D1587" s="17" t="inlineStr"/>
      <c r="E1587" s="17" t="inlineStr">
        <is>
          <t>종업원수</t>
        </is>
      </c>
      <c r="F1587" s="17" t="inlineStr">
        <is>
          <t>미확인</t>
        </is>
      </c>
      <c r="G1587" s="17" t="inlineStr">
        <is>
          <t>웹조사 자동화 실패(세션한도)</t>
        </is>
      </c>
      <c r="H1587" s="17" t="inlineStr">
        <is>
          <t>N</t>
        </is>
      </c>
      <c r="I1587" s="17" t="inlineStr">
        <is>
          <t>DART/채용</t>
        </is>
      </c>
      <c r="J1587" s="17" t="inlineStr">
        <is>
          <t>DART/채용에서 확인</t>
        </is>
      </c>
      <c r="K1587" s="17" t="inlineStr">
        <is>
          <t>낮음</t>
        </is>
      </c>
      <c r="L1587" s="17" t="inlineStr"/>
    </row>
    <row r="1588">
      <c r="A1588" s="17" t="inlineStr">
        <is>
          <t>C254</t>
        </is>
      </c>
      <c r="B1588" s="17" t="inlineStr"/>
      <c r="C1588" s="17" t="inlineStr">
        <is>
          <t>성우화학(주)</t>
        </is>
      </c>
      <c r="D1588" s="17" t="inlineStr"/>
      <c r="E1588" s="17" t="inlineStr">
        <is>
          <t>수출여부</t>
        </is>
      </c>
      <c r="F1588" s="17" t="inlineStr">
        <is>
          <t>미확인</t>
        </is>
      </c>
      <c r="G1588" s="17" t="inlineStr">
        <is>
          <t>웹조사 자동화 실패(세션한도)</t>
        </is>
      </c>
      <c r="H1588" s="17" t="inlineStr">
        <is>
          <t>N</t>
        </is>
      </c>
      <c r="I1588" s="17" t="inlineStr">
        <is>
          <t>회사 공시·홈페이지</t>
        </is>
      </c>
      <c r="J1588" s="17" t="inlineStr">
        <is>
          <t>회사 공시·홈페이지에서 확인</t>
        </is>
      </c>
      <c r="K1588" s="17" t="inlineStr">
        <is>
          <t>낮음</t>
        </is>
      </c>
      <c r="L1588" s="17" t="inlineStr"/>
    </row>
    <row r="1589">
      <c r="A1589" s="17" t="inlineStr">
        <is>
          <t>C254</t>
        </is>
      </c>
      <c r="B1589" s="17" t="inlineStr"/>
      <c r="C1589" s="17" t="inlineStr">
        <is>
          <t>성우화학(주)</t>
        </is>
      </c>
      <c r="D1589" s="17" t="inlineStr"/>
      <c r="E1589" s="17" t="inlineStr">
        <is>
          <t>FDA·EMA 실사</t>
        </is>
      </c>
      <c r="F1589" s="17" t="inlineStr">
        <is>
          <t>미확인</t>
        </is>
      </c>
      <c r="G1589" s="17" t="inlineStr">
        <is>
          <t>웹조사 자동화 실패(세션한도)</t>
        </is>
      </c>
      <c r="H1589" s="17" t="inlineStr">
        <is>
          <t>N</t>
        </is>
      </c>
      <c r="I1589" s="17" t="inlineStr">
        <is>
          <t>FDA Inspection DB</t>
        </is>
      </c>
      <c r="J1589" s="17" t="inlineStr">
        <is>
          <t>FDA Inspection DB에서 확인</t>
        </is>
      </c>
      <c r="K1589" s="17" t="inlineStr">
        <is>
          <t>낮음</t>
        </is>
      </c>
      <c r="L1589" s="17" t="inlineStr"/>
    </row>
    <row r="1590">
      <c r="A1590" s="17" t="inlineStr">
        <is>
          <t>C254</t>
        </is>
      </c>
      <c r="B1590" s="17" t="inlineStr"/>
      <c r="C1590" s="17" t="inlineStr">
        <is>
          <t>성우화학(주)</t>
        </is>
      </c>
      <c r="D1590" s="17" t="inlineStr"/>
      <c r="E1590" s="17" t="inlineStr">
        <is>
          <t>CMO·CDMO</t>
        </is>
      </c>
      <c r="F1590" s="17" t="inlineStr">
        <is>
          <t>미확인</t>
        </is>
      </c>
      <c r="G1590" s="17" t="inlineStr">
        <is>
          <t>웹조사 자동화 실패(세션한도)</t>
        </is>
      </c>
      <c r="H1590" s="17" t="inlineStr">
        <is>
          <t>N</t>
        </is>
      </c>
      <c r="I1590" s="17" t="inlineStr">
        <is>
          <t>회사 홈페이지</t>
        </is>
      </c>
      <c r="J1590" s="17" t="inlineStr">
        <is>
          <t>회사 홈페이지에서 확인</t>
        </is>
      </c>
      <c r="K1590" s="17" t="inlineStr">
        <is>
          <t>낮음</t>
        </is>
      </c>
      <c r="L1590" s="17" t="inlineStr"/>
    </row>
    <row r="1591">
      <c r="A1591" s="17" t="inlineStr">
        <is>
          <t>C254</t>
        </is>
      </c>
      <c r="B1591" s="17" t="inlineStr"/>
      <c r="C1591" s="17" t="inlineStr">
        <is>
          <t>성우화학(주)</t>
        </is>
      </c>
      <c r="D1591" s="17" t="inlineStr"/>
      <c r="E1591" s="17" t="inlineStr">
        <is>
          <t>신공장·증설</t>
        </is>
      </c>
      <c r="F1591" s="17" t="inlineStr">
        <is>
          <t>미확인</t>
        </is>
      </c>
      <c r="G1591" s="17" t="inlineStr">
        <is>
          <t>웹조사 자동화 실패(세션한도)</t>
        </is>
      </c>
      <c r="H1591" s="17" t="inlineStr">
        <is>
          <t>N</t>
        </is>
      </c>
      <c r="I1591" s="17" t="inlineStr">
        <is>
          <t>언론·지자체 발표</t>
        </is>
      </c>
      <c r="J1591" s="17" t="inlineStr">
        <is>
          <t>언론·지자체 발표에서 확인</t>
        </is>
      </c>
      <c r="K1591" s="17" t="inlineStr">
        <is>
          <t>낮음</t>
        </is>
      </c>
      <c r="L1591" s="17" t="inlineStr"/>
    </row>
    <row r="1592">
      <c r="A1592" s="17" t="inlineStr">
        <is>
          <t>C255</t>
        </is>
      </c>
      <c r="B1592" s="17" t="inlineStr"/>
      <c r="C1592" s="17" t="inlineStr">
        <is>
          <t>호남고압가스</t>
        </is>
      </c>
      <c r="D1592" s="17" t="inlineStr"/>
      <c r="E1592" s="17" t="inlineStr">
        <is>
          <t>최근매출(억원)</t>
        </is>
      </c>
      <c r="F1592" s="17" t="inlineStr">
        <is>
          <t>미확인</t>
        </is>
      </c>
      <c r="G1592" s="17" t="inlineStr">
        <is>
          <t>웹조사 자동화 실패(세션한도)</t>
        </is>
      </c>
      <c r="H1592" s="17" t="inlineStr">
        <is>
          <t>N</t>
        </is>
      </c>
      <c r="I1592" s="17" t="inlineStr">
        <is>
          <t>DART 사업보고서</t>
        </is>
      </c>
      <c r="J1592" s="17" t="inlineStr">
        <is>
          <t>DART 사업보고서에서 확인</t>
        </is>
      </c>
      <c r="K1592" s="17" t="inlineStr">
        <is>
          <t>낮음</t>
        </is>
      </c>
      <c r="L1592" s="17" t="inlineStr"/>
    </row>
    <row r="1593">
      <c r="A1593" s="17" t="inlineStr">
        <is>
          <t>C255</t>
        </is>
      </c>
      <c r="B1593" s="17" t="inlineStr"/>
      <c r="C1593" s="17" t="inlineStr">
        <is>
          <t>호남고압가스</t>
        </is>
      </c>
      <c r="D1593" s="17" t="inlineStr"/>
      <c r="E1593" s="17" t="inlineStr">
        <is>
          <t>종업원수</t>
        </is>
      </c>
      <c r="F1593" s="17" t="inlineStr">
        <is>
          <t>미확인</t>
        </is>
      </c>
      <c r="G1593" s="17" t="inlineStr">
        <is>
          <t>웹조사 자동화 실패(세션한도)</t>
        </is>
      </c>
      <c r="H1593" s="17" t="inlineStr">
        <is>
          <t>N</t>
        </is>
      </c>
      <c r="I1593" s="17" t="inlineStr">
        <is>
          <t>DART/채용</t>
        </is>
      </c>
      <c r="J1593" s="17" t="inlineStr">
        <is>
          <t>DART/채용에서 확인</t>
        </is>
      </c>
      <c r="K1593" s="17" t="inlineStr">
        <is>
          <t>낮음</t>
        </is>
      </c>
      <c r="L1593" s="17" t="inlineStr"/>
    </row>
    <row r="1594">
      <c r="A1594" s="17" t="inlineStr">
        <is>
          <t>C255</t>
        </is>
      </c>
      <c r="B1594" s="17" t="inlineStr"/>
      <c r="C1594" s="17" t="inlineStr">
        <is>
          <t>호남고압가스</t>
        </is>
      </c>
      <c r="D1594" s="17" t="inlineStr"/>
      <c r="E1594" s="17" t="inlineStr">
        <is>
          <t>수출여부</t>
        </is>
      </c>
      <c r="F1594" s="17" t="inlineStr">
        <is>
          <t>미확인</t>
        </is>
      </c>
      <c r="G1594" s="17" t="inlineStr">
        <is>
          <t>웹조사 자동화 실패(세션한도)</t>
        </is>
      </c>
      <c r="H1594" s="17" t="inlineStr">
        <is>
          <t>N</t>
        </is>
      </c>
      <c r="I1594" s="17" t="inlineStr">
        <is>
          <t>회사 공시·홈페이지</t>
        </is>
      </c>
      <c r="J1594" s="17" t="inlineStr">
        <is>
          <t>회사 공시·홈페이지에서 확인</t>
        </is>
      </c>
      <c r="K1594" s="17" t="inlineStr">
        <is>
          <t>낮음</t>
        </is>
      </c>
      <c r="L1594" s="17" t="inlineStr"/>
    </row>
    <row r="1595">
      <c r="A1595" s="17" t="inlineStr">
        <is>
          <t>C255</t>
        </is>
      </c>
      <c r="B1595" s="17" t="inlineStr"/>
      <c r="C1595" s="17" t="inlineStr">
        <is>
          <t>호남고압가스</t>
        </is>
      </c>
      <c r="D1595" s="17" t="inlineStr"/>
      <c r="E1595" s="17" t="inlineStr">
        <is>
          <t>FDA·EMA 실사</t>
        </is>
      </c>
      <c r="F1595" s="17" t="inlineStr">
        <is>
          <t>미확인</t>
        </is>
      </c>
      <c r="G1595" s="17" t="inlineStr">
        <is>
          <t>웹조사 자동화 실패(세션한도)</t>
        </is>
      </c>
      <c r="H1595" s="17" t="inlineStr">
        <is>
          <t>N</t>
        </is>
      </c>
      <c r="I1595" s="17" t="inlineStr">
        <is>
          <t>FDA Inspection DB</t>
        </is>
      </c>
      <c r="J1595" s="17" t="inlineStr">
        <is>
          <t>FDA Inspection DB에서 확인</t>
        </is>
      </c>
      <c r="K1595" s="17" t="inlineStr">
        <is>
          <t>낮음</t>
        </is>
      </c>
      <c r="L1595" s="17" t="inlineStr"/>
    </row>
    <row r="1596">
      <c r="A1596" s="17" t="inlineStr">
        <is>
          <t>C255</t>
        </is>
      </c>
      <c r="B1596" s="17" t="inlineStr"/>
      <c r="C1596" s="17" t="inlineStr">
        <is>
          <t>호남고압가스</t>
        </is>
      </c>
      <c r="D1596" s="17" t="inlineStr"/>
      <c r="E1596" s="17" t="inlineStr">
        <is>
          <t>CMO·CDMO</t>
        </is>
      </c>
      <c r="F1596" s="17" t="inlineStr">
        <is>
          <t>미확인</t>
        </is>
      </c>
      <c r="G1596" s="17" t="inlineStr">
        <is>
          <t>웹조사 자동화 실패(세션한도)</t>
        </is>
      </c>
      <c r="H1596" s="17" t="inlineStr">
        <is>
          <t>N</t>
        </is>
      </c>
      <c r="I1596" s="17" t="inlineStr">
        <is>
          <t>회사 홈페이지</t>
        </is>
      </c>
      <c r="J1596" s="17" t="inlineStr">
        <is>
          <t>회사 홈페이지에서 확인</t>
        </is>
      </c>
      <c r="K1596" s="17" t="inlineStr">
        <is>
          <t>낮음</t>
        </is>
      </c>
      <c r="L1596" s="17" t="inlineStr"/>
    </row>
    <row r="1597">
      <c r="A1597" s="17" t="inlineStr">
        <is>
          <t>C255</t>
        </is>
      </c>
      <c r="B1597" s="17" t="inlineStr"/>
      <c r="C1597" s="17" t="inlineStr">
        <is>
          <t>호남고압가스</t>
        </is>
      </c>
      <c r="D1597" s="17" t="inlineStr"/>
      <c r="E1597" s="17" t="inlineStr">
        <is>
          <t>신공장·증설</t>
        </is>
      </c>
      <c r="F1597" s="17" t="inlineStr">
        <is>
          <t>미확인</t>
        </is>
      </c>
      <c r="G1597" s="17" t="inlineStr">
        <is>
          <t>웹조사 자동화 실패(세션한도)</t>
        </is>
      </c>
      <c r="H1597" s="17" t="inlineStr">
        <is>
          <t>N</t>
        </is>
      </c>
      <c r="I1597" s="17" t="inlineStr">
        <is>
          <t>언론·지자체 발표</t>
        </is>
      </c>
      <c r="J1597" s="17" t="inlineStr">
        <is>
          <t>언론·지자체 발표에서 확인</t>
        </is>
      </c>
      <c r="K1597" s="17" t="inlineStr">
        <is>
          <t>낮음</t>
        </is>
      </c>
      <c r="L1597" s="17" t="inlineStr"/>
    </row>
    <row r="1598">
      <c r="A1598" s="17" t="inlineStr">
        <is>
          <t>C256</t>
        </is>
      </c>
      <c r="B1598" s="17" t="inlineStr"/>
      <c r="C1598" s="17" t="inlineStr">
        <is>
          <t>(주)창신</t>
        </is>
      </c>
      <c r="D1598" s="17" t="inlineStr"/>
      <c r="E1598" s="17" t="inlineStr">
        <is>
          <t>최근매출(억원)</t>
        </is>
      </c>
      <c r="F1598" s="17" t="inlineStr">
        <is>
          <t>미확인</t>
        </is>
      </c>
      <c r="G1598" s="17" t="inlineStr">
        <is>
          <t>웹조사 자동화 실패(세션한도)</t>
        </is>
      </c>
      <c r="H1598" s="17" t="inlineStr">
        <is>
          <t>N</t>
        </is>
      </c>
      <c r="I1598" s="17" t="inlineStr">
        <is>
          <t>DART 사업보고서</t>
        </is>
      </c>
      <c r="J1598" s="17" t="inlineStr">
        <is>
          <t>DART 사업보고서에서 확인</t>
        </is>
      </c>
      <c r="K1598" s="17" t="inlineStr">
        <is>
          <t>낮음</t>
        </is>
      </c>
      <c r="L1598" s="17" t="inlineStr"/>
    </row>
    <row r="1599">
      <c r="A1599" s="17" t="inlineStr">
        <is>
          <t>C256</t>
        </is>
      </c>
      <c r="B1599" s="17" t="inlineStr"/>
      <c r="C1599" s="17" t="inlineStr">
        <is>
          <t>(주)창신</t>
        </is>
      </c>
      <c r="D1599" s="17" t="inlineStr"/>
      <c r="E1599" s="17" t="inlineStr">
        <is>
          <t>종업원수</t>
        </is>
      </c>
      <c r="F1599" s="17" t="inlineStr">
        <is>
          <t>미확인</t>
        </is>
      </c>
      <c r="G1599" s="17" t="inlineStr">
        <is>
          <t>웹조사 자동화 실패(세션한도)</t>
        </is>
      </c>
      <c r="H1599" s="17" t="inlineStr">
        <is>
          <t>N</t>
        </is>
      </c>
      <c r="I1599" s="17" t="inlineStr">
        <is>
          <t>DART/채용</t>
        </is>
      </c>
      <c r="J1599" s="17" t="inlineStr">
        <is>
          <t>DART/채용에서 확인</t>
        </is>
      </c>
      <c r="K1599" s="17" t="inlineStr">
        <is>
          <t>낮음</t>
        </is>
      </c>
      <c r="L1599" s="17" t="inlineStr"/>
    </row>
    <row r="1600">
      <c r="A1600" s="17" t="inlineStr">
        <is>
          <t>C256</t>
        </is>
      </c>
      <c r="B1600" s="17" t="inlineStr"/>
      <c r="C1600" s="17" t="inlineStr">
        <is>
          <t>(주)창신</t>
        </is>
      </c>
      <c r="D1600" s="17" t="inlineStr"/>
      <c r="E1600" s="17" t="inlineStr">
        <is>
          <t>수출여부</t>
        </is>
      </c>
      <c r="F1600" s="17" t="inlineStr">
        <is>
          <t>미확인</t>
        </is>
      </c>
      <c r="G1600" s="17" t="inlineStr">
        <is>
          <t>웹조사 자동화 실패(세션한도)</t>
        </is>
      </c>
      <c r="H1600" s="17" t="inlineStr">
        <is>
          <t>N</t>
        </is>
      </c>
      <c r="I1600" s="17" t="inlineStr">
        <is>
          <t>회사 공시·홈페이지</t>
        </is>
      </c>
      <c r="J1600" s="17" t="inlineStr">
        <is>
          <t>회사 공시·홈페이지에서 확인</t>
        </is>
      </c>
      <c r="K1600" s="17" t="inlineStr">
        <is>
          <t>낮음</t>
        </is>
      </c>
      <c r="L1600" s="17" t="inlineStr"/>
    </row>
    <row r="1601">
      <c r="A1601" s="17" t="inlineStr">
        <is>
          <t>C256</t>
        </is>
      </c>
      <c r="B1601" s="17" t="inlineStr"/>
      <c r="C1601" s="17" t="inlineStr">
        <is>
          <t>(주)창신</t>
        </is>
      </c>
      <c r="D1601" s="17" t="inlineStr"/>
      <c r="E1601" s="17" t="inlineStr">
        <is>
          <t>FDA·EMA 실사</t>
        </is>
      </c>
      <c r="F1601" s="17" t="inlineStr">
        <is>
          <t>미확인</t>
        </is>
      </c>
      <c r="G1601" s="17" t="inlineStr">
        <is>
          <t>웹조사 자동화 실패(세션한도)</t>
        </is>
      </c>
      <c r="H1601" s="17" t="inlineStr">
        <is>
          <t>N</t>
        </is>
      </c>
      <c r="I1601" s="17" t="inlineStr">
        <is>
          <t>FDA Inspection DB</t>
        </is>
      </c>
      <c r="J1601" s="17" t="inlineStr">
        <is>
          <t>FDA Inspection DB에서 확인</t>
        </is>
      </c>
      <c r="K1601" s="17" t="inlineStr">
        <is>
          <t>낮음</t>
        </is>
      </c>
      <c r="L1601" s="17" t="inlineStr"/>
    </row>
    <row r="1602">
      <c r="A1602" s="17" t="inlineStr">
        <is>
          <t>C256</t>
        </is>
      </c>
      <c r="B1602" s="17" t="inlineStr"/>
      <c r="C1602" s="17" t="inlineStr">
        <is>
          <t>(주)창신</t>
        </is>
      </c>
      <c r="D1602" s="17" t="inlineStr"/>
      <c r="E1602" s="17" t="inlineStr">
        <is>
          <t>CMO·CDMO</t>
        </is>
      </c>
      <c r="F1602" s="17" t="inlineStr">
        <is>
          <t>미확인</t>
        </is>
      </c>
      <c r="G1602" s="17" t="inlineStr">
        <is>
          <t>웹조사 자동화 실패(세션한도)</t>
        </is>
      </c>
      <c r="H1602" s="17" t="inlineStr">
        <is>
          <t>N</t>
        </is>
      </c>
      <c r="I1602" s="17" t="inlineStr">
        <is>
          <t>회사 홈페이지</t>
        </is>
      </c>
      <c r="J1602" s="17" t="inlineStr">
        <is>
          <t>회사 홈페이지에서 확인</t>
        </is>
      </c>
      <c r="K1602" s="17" t="inlineStr">
        <is>
          <t>낮음</t>
        </is>
      </c>
      <c r="L1602" s="17" t="inlineStr"/>
    </row>
    <row r="1603">
      <c r="A1603" s="17" t="inlineStr">
        <is>
          <t>C256</t>
        </is>
      </c>
      <c r="B1603" s="17" t="inlineStr"/>
      <c r="C1603" s="17" t="inlineStr">
        <is>
          <t>(주)창신</t>
        </is>
      </c>
      <c r="D1603" s="17" t="inlineStr"/>
      <c r="E1603" s="17" t="inlineStr">
        <is>
          <t>신공장·증설</t>
        </is>
      </c>
      <c r="F1603" s="17" t="inlineStr">
        <is>
          <t>미확인</t>
        </is>
      </c>
      <c r="G1603" s="17" t="inlineStr">
        <is>
          <t>웹조사 자동화 실패(세션한도)</t>
        </is>
      </c>
      <c r="H1603" s="17" t="inlineStr">
        <is>
          <t>N</t>
        </is>
      </c>
      <c r="I1603" s="17" t="inlineStr">
        <is>
          <t>언론·지자체 발표</t>
        </is>
      </c>
      <c r="J1603" s="17" t="inlineStr">
        <is>
          <t>언론·지자체 발표에서 확인</t>
        </is>
      </c>
      <c r="K1603" s="17" t="inlineStr">
        <is>
          <t>낮음</t>
        </is>
      </c>
      <c r="L1603" s="17" t="inlineStr"/>
    </row>
    <row r="1604">
      <c r="A1604" s="17" t="inlineStr">
        <is>
          <t>C257</t>
        </is>
      </c>
      <c r="B1604" s="17" t="inlineStr"/>
      <c r="C1604" s="17" t="inlineStr">
        <is>
          <t>파미셀주식회사</t>
        </is>
      </c>
      <c r="D1604" s="17" t="inlineStr"/>
      <c r="E1604" s="17" t="inlineStr">
        <is>
          <t>최근매출(억원)</t>
        </is>
      </c>
      <c r="F1604" s="17" t="inlineStr">
        <is>
          <t>미확인</t>
        </is>
      </c>
      <c r="G1604" s="17" t="inlineStr">
        <is>
          <t>웹조사 자동화 실패(세션한도)</t>
        </is>
      </c>
      <c r="H1604" s="17" t="inlineStr">
        <is>
          <t>N</t>
        </is>
      </c>
      <c r="I1604" s="17" t="inlineStr">
        <is>
          <t>DART 사업보고서</t>
        </is>
      </c>
      <c r="J1604" s="17" t="inlineStr">
        <is>
          <t>DART 사업보고서에서 확인</t>
        </is>
      </c>
      <c r="K1604" s="17" t="inlineStr">
        <is>
          <t>낮음</t>
        </is>
      </c>
      <c r="L1604" s="17" t="inlineStr"/>
    </row>
    <row r="1605">
      <c r="A1605" s="17" t="inlineStr">
        <is>
          <t>C257</t>
        </is>
      </c>
      <c r="B1605" s="17" t="inlineStr"/>
      <c r="C1605" s="17" t="inlineStr">
        <is>
          <t>파미셀주식회사</t>
        </is>
      </c>
      <c r="D1605" s="17" t="inlineStr"/>
      <c r="E1605" s="17" t="inlineStr">
        <is>
          <t>종업원수</t>
        </is>
      </c>
      <c r="F1605" s="17" t="inlineStr">
        <is>
          <t>미확인</t>
        </is>
      </c>
      <c r="G1605" s="17" t="inlineStr">
        <is>
          <t>웹조사 자동화 실패(세션한도)</t>
        </is>
      </c>
      <c r="H1605" s="17" t="inlineStr">
        <is>
          <t>N</t>
        </is>
      </c>
      <c r="I1605" s="17" t="inlineStr">
        <is>
          <t>DART/채용</t>
        </is>
      </c>
      <c r="J1605" s="17" t="inlineStr">
        <is>
          <t>DART/채용에서 확인</t>
        </is>
      </c>
      <c r="K1605" s="17" t="inlineStr">
        <is>
          <t>낮음</t>
        </is>
      </c>
      <c r="L1605" s="17" t="inlineStr"/>
    </row>
    <row r="1606">
      <c r="A1606" s="17" t="inlineStr">
        <is>
          <t>C257</t>
        </is>
      </c>
      <c r="B1606" s="17" t="inlineStr"/>
      <c r="C1606" s="17" t="inlineStr">
        <is>
          <t>파미셀주식회사</t>
        </is>
      </c>
      <c r="D1606" s="17" t="inlineStr"/>
      <c r="E1606" s="17" t="inlineStr">
        <is>
          <t>수출여부</t>
        </is>
      </c>
      <c r="F1606" s="17" t="inlineStr">
        <is>
          <t>미확인</t>
        </is>
      </c>
      <c r="G1606" s="17" t="inlineStr">
        <is>
          <t>웹조사 자동화 실패(세션한도)</t>
        </is>
      </c>
      <c r="H1606" s="17" t="inlineStr">
        <is>
          <t>N</t>
        </is>
      </c>
      <c r="I1606" s="17" t="inlineStr">
        <is>
          <t>회사 공시·홈페이지</t>
        </is>
      </c>
      <c r="J1606" s="17" t="inlineStr">
        <is>
          <t>회사 공시·홈페이지에서 확인</t>
        </is>
      </c>
      <c r="K1606" s="17" t="inlineStr">
        <is>
          <t>낮음</t>
        </is>
      </c>
      <c r="L1606" s="17" t="inlineStr"/>
    </row>
    <row r="1607">
      <c r="A1607" s="17" t="inlineStr">
        <is>
          <t>C257</t>
        </is>
      </c>
      <c r="B1607" s="17" t="inlineStr"/>
      <c r="C1607" s="17" t="inlineStr">
        <is>
          <t>파미셀주식회사</t>
        </is>
      </c>
      <c r="D1607" s="17" t="inlineStr"/>
      <c r="E1607" s="17" t="inlineStr">
        <is>
          <t>FDA·EMA 실사</t>
        </is>
      </c>
      <c r="F1607" s="17" t="inlineStr">
        <is>
          <t>미확인</t>
        </is>
      </c>
      <c r="G1607" s="17" t="inlineStr">
        <is>
          <t>웹조사 자동화 실패(세션한도)</t>
        </is>
      </c>
      <c r="H1607" s="17" t="inlineStr">
        <is>
          <t>N</t>
        </is>
      </c>
      <c r="I1607" s="17" t="inlineStr">
        <is>
          <t>FDA Inspection DB</t>
        </is>
      </c>
      <c r="J1607" s="17" t="inlineStr">
        <is>
          <t>FDA Inspection DB에서 확인</t>
        </is>
      </c>
      <c r="K1607" s="17" t="inlineStr">
        <is>
          <t>낮음</t>
        </is>
      </c>
      <c r="L1607" s="17" t="inlineStr"/>
    </row>
    <row r="1608">
      <c r="A1608" s="17" t="inlineStr">
        <is>
          <t>C257</t>
        </is>
      </c>
      <c r="B1608" s="17" t="inlineStr"/>
      <c r="C1608" s="17" t="inlineStr">
        <is>
          <t>파미셀주식회사</t>
        </is>
      </c>
      <c r="D1608" s="17" t="inlineStr"/>
      <c r="E1608" s="17" t="inlineStr">
        <is>
          <t>CMO·CDMO</t>
        </is>
      </c>
      <c r="F1608" s="17" t="inlineStr">
        <is>
          <t>미확인</t>
        </is>
      </c>
      <c r="G1608" s="17" t="inlineStr">
        <is>
          <t>웹조사 자동화 실패(세션한도)</t>
        </is>
      </c>
      <c r="H1608" s="17" t="inlineStr">
        <is>
          <t>N</t>
        </is>
      </c>
      <c r="I1608" s="17" t="inlineStr">
        <is>
          <t>회사 홈페이지</t>
        </is>
      </c>
      <c r="J1608" s="17" t="inlineStr">
        <is>
          <t>회사 홈페이지에서 확인</t>
        </is>
      </c>
      <c r="K1608" s="17" t="inlineStr">
        <is>
          <t>낮음</t>
        </is>
      </c>
      <c r="L1608" s="17" t="inlineStr"/>
    </row>
    <row r="1609">
      <c r="A1609" s="17" t="inlineStr">
        <is>
          <t>C257</t>
        </is>
      </c>
      <c r="B1609" s="17" t="inlineStr"/>
      <c r="C1609" s="17" t="inlineStr">
        <is>
          <t>파미셀주식회사</t>
        </is>
      </c>
      <c r="D1609" s="17" t="inlineStr"/>
      <c r="E1609" s="17" t="inlineStr">
        <is>
          <t>신공장·증설</t>
        </is>
      </c>
      <c r="F1609" s="17" t="inlineStr">
        <is>
          <t>미확인</t>
        </is>
      </c>
      <c r="G1609" s="17" t="inlineStr">
        <is>
          <t>웹조사 자동화 실패(세션한도)</t>
        </is>
      </c>
      <c r="H1609" s="17" t="inlineStr">
        <is>
          <t>N</t>
        </is>
      </c>
      <c r="I1609" s="17" t="inlineStr">
        <is>
          <t>언론·지자체 발표</t>
        </is>
      </c>
      <c r="J1609" s="17" t="inlineStr">
        <is>
          <t>언론·지자체 발표에서 확인</t>
        </is>
      </c>
      <c r="K1609" s="17" t="inlineStr">
        <is>
          <t>낮음</t>
        </is>
      </c>
      <c r="L1609" s="17" t="inlineStr"/>
    </row>
    <row r="1610">
      <c r="A1610" s="17" t="inlineStr">
        <is>
          <t>C257</t>
        </is>
      </c>
      <c r="B1610" s="17" t="inlineStr"/>
      <c r="C1610" s="17" t="inlineStr">
        <is>
          <t>파미셀주식회사</t>
        </is>
      </c>
      <c r="D1610" s="17" t="inlineStr"/>
      <c r="E1610" s="17" t="inlineStr">
        <is>
          <t>대표전화</t>
        </is>
      </c>
      <c r="F1610" s="17" t="inlineStr">
        <is>
          <t>미확인</t>
        </is>
      </c>
      <c r="G1610" s="17" t="inlineStr">
        <is>
          <t>제조소상세 미매칭</t>
        </is>
      </c>
      <c r="H1610" s="17" t="inlineStr">
        <is>
          <t>Y</t>
        </is>
      </c>
      <c r="I1610" s="17" t="inlineStr">
        <is>
          <t>회사 홈페이지</t>
        </is>
      </c>
      <c r="J1610" s="17" t="inlineStr">
        <is>
          <t>홈페이지에서 대표번호 확인</t>
        </is>
      </c>
      <c r="K1610" s="17" t="inlineStr">
        <is>
          <t>낮음</t>
        </is>
      </c>
      <c r="L1610" s="17" t="inlineStr"/>
    </row>
    <row r="1611">
      <c r="A1611" s="17" t="inlineStr">
        <is>
          <t>C258</t>
        </is>
      </c>
      <c r="B1611" s="17" t="inlineStr"/>
      <c r="C1611" s="17" t="inlineStr">
        <is>
          <t>대흥산업가스주식회사</t>
        </is>
      </c>
      <c r="D1611" s="17" t="inlineStr"/>
      <c r="E1611" s="17" t="inlineStr">
        <is>
          <t>최근매출(억원)</t>
        </is>
      </c>
      <c r="F1611" s="17" t="inlineStr">
        <is>
          <t>미확인</t>
        </is>
      </c>
      <c r="G1611" s="17" t="inlineStr">
        <is>
          <t>웹조사 자동화 실패(세션한도)</t>
        </is>
      </c>
      <c r="H1611" s="17" t="inlineStr">
        <is>
          <t>N</t>
        </is>
      </c>
      <c r="I1611" s="17" t="inlineStr">
        <is>
          <t>DART 사업보고서</t>
        </is>
      </c>
      <c r="J1611" s="17" t="inlineStr">
        <is>
          <t>DART 사업보고서에서 확인</t>
        </is>
      </c>
      <c r="K1611" s="17" t="inlineStr">
        <is>
          <t>낮음</t>
        </is>
      </c>
      <c r="L1611" s="17" t="inlineStr"/>
    </row>
    <row r="1612">
      <c r="A1612" s="17" t="inlineStr">
        <is>
          <t>C258</t>
        </is>
      </c>
      <c r="B1612" s="17" t="inlineStr"/>
      <c r="C1612" s="17" t="inlineStr">
        <is>
          <t>대흥산업가스주식회사</t>
        </is>
      </c>
      <c r="D1612" s="17" t="inlineStr"/>
      <c r="E1612" s="17" t="inlineStr">
        <is>
          <t>종업원수</t>
        </is>
      </c>
      <c r="F1612" s="17" t="inlineStr">
        <is>
          <t>미확인</t>
        </is>
      </c>
      <c r="G1612" s="17" t="inlineStr">
        <is>
          <t>웹조사 자동화 실패(세션한도)</t>
        </is>
      </c>
      <c r="H1612" s="17" t="inlineStr">
        <is>
          <t>N</t>
        </is>
      </c>
      <c r="I1612" s="17" t="inlineStr">
        <is>
          <t>DART/채용</t>
        </is>
      </c>
      <c r="J1612" s="17" t="inlineStr">
        <is>
          <t>DART/채용에서 확인</t>
        </is>
      </c>
      <c r="K1612" s="17" t="inlineStr">
        <is>
          <t>낮음</t>
        </is>
      </c>
      <c r="L1612" s="17" t="inlineStr"/>
    </row>
    <row r="1613">
      <c r="A1613" s="17" t="inlineStr">
        <is>
          <t>C258</t>
        </is>
      </c>
      <c r="B1613" s="17" t="inlineStr"/>
      <c r="C1613" s="17" t="inlineStr">
        <is>
          <t>대흥산업가스주식회사</t>
        </is>
      </c>
      <c r="D1613" s="17" t="inlineStr"/>
      <c r="E1613" s="17" t="inlineStr">
        <is>
          <t>수출여부</t>
        </is>
      </c>
      <c r="F1613" s="17" t="inlineStr">
        <is>
          <t>미확인</t>
        </is>
      </c>
      <c r="G1613" s="17" t="inlineStr">
        <is>
          <t>웹조사 자동화 실패(세션한도)</t>
        </is>
      </c>
      <c r="H1613" s="17" t="inlineStr">
        <is>
          <t>N</t>
        </is>
      </c>
      <c r="I1613" s="17" t="inlineStr">
        <is>
          <t>회사 공시·홈페이지</t>
        </is>
      </c>
      <c r="J1613" s="17" t="inlineStr">
        <is>
          <t>회사 공시·홈페이지에서 확인</t>
        </is>
      </c>
      <c r="K1613" s="17" t="inlineStr">
        <is>
          <t>낮음</t>
        </is>
      </c>
      <c r="L1613" s="17" t="inlineStr"/>
    </row>
    <row r="1614">
      <c r="A1614" s="17" t="inlineStr">
        <is>
          <t>C258</t>
        </is>
      </c>
      <c r="B1614" s="17" t="inlineStr"/>
      <c r="C1614" s="17" t="inlineStr">
        <is>
          <t>대흥산업가스주식회사</t>
        </is>
      </c>
      <c r="D1614" s="17" t="inlineStr"/>
      <c r="E1614" s="17" t="inlineStr">
        <is>
          <t>FDA·EMA 실사</t>
        </is>
      </c>
      <c r="F1614" s="17" t="inlineStr">
        <is>
          <t>미확인</t>
        </is>
      </c>
      <c r="G1614" s="17" t="inlineStr">
        <is>
          <t>웹조사 자동화 실패(세션한도)</t>
        </is>
      </c>
      <c r="H1614" s="17" t="inlineStr">
        <is>
          <t>N</t>
        </is>
      </c>
      <c r="I1614" s="17" t="inlineStr">
        <is>
          <t>FDA Inspection DB</t>
        </is>
      </c>
      <c r="J1614" s="17" t="inlineStr">
        <is>
          <t>FDA Inspection DB에서 확인</t>
        </is>
      </c>
      <c r="K1614" s="17" t="inlineStr">
        <is>
          <t>낮음</t>
        </is>
      </c>
      <c r="L1614" s="17" t="inlineStr"/>
    </row>
    <row r="1615">
      <c r="A1615" s="17" t="inlineStr">
        <is>
          <t>C258</t>
        </is>
      </c>
      <c r="B1615" s="17" t="inlineStr"/>
      <c r="C1615" s="17" t="inlineStr">
        <is>
          <t>대흥산업가스주식회사</t>
        </is>
      </c>
      <c r="D1615" s="17" t="inlineStr"/>
      <c r="E1615" s="17" t="inlineStr">
        <is>
          <t>CMO·CDMO</t>
        </is>
      </c>
      <c r="F1615" s="17" t="inlineStr">
        <is>
          <t>미확인</t>
        </is>
      </c>
      <c r="G1615" s="17" t="inlineStr">
        <is>
          <t>웹조사 자동화 실패(세션한도)</t>
        </is>
      </c>
      <c r="H1615" s="17" t="inlineStr">
        <is>
          <t>N</t>
        </is>
      </c>
      <c r="I1615" s="17" t="inlineStr">
        <is>
          <t>회사 홈페이지</t>
        </is>
      </c>
      <c r="J1615" s="17" t="inlineStr">
        <is>
          <t>회사 홈페이지에서 확인</t>
        </is>
      </c>
      <c r="K1615" s="17" t="inlineStr">
        <is>
          <t>낮음</t>
        </is>
      </c>
      <c r="L1615" s="17" t="inlineStr"/>
    </row>
    <row r="1616">
      <c r="A1616" s="17" t="inlineStr">
        <is>
          <t>C258</t>
        </is>
      </c>
      <c r="B1616" s="17" t="inlineStr"/>
      <c r="C1616" s="17" t="inlineStr">
        <is>
          <t>대흥산업가스주식회사</t>
        </is>
      </c>
      <c r="D1616" s="17" t="inlineStr"/>
      <c r="E1616" s="17" t="inlineStr">
        <is>
          <t>신공장·증설</t>
        </is>
      </c>
      <c r="F1616" s="17" t="inlineStr">
        <is>
          <t>미확인</t>
        </is>
      </c>
      <c r="G1616" s="17" t="inlineStr">
        <is>
          <t>웹조사 자동화 실패(세션한도)</t>
        </is>
      </c>
      <c r="H1616" s="17" t="inlineStr">
        <is>
          <t>N</t>
        </is>
      </c>
      <c r="I1616" s="17" t="inlineStr">
        <is>
          <t>언론·지자체 발표</t>
        </is>
      </c>
      <c r="J1616" s="17" t="inlineStr">
        <is>
          <t>언론·지자체 발표에서 확인</t>
        </is>
      </c>
      <c r="K1616" s="17" t="inlineStr">
        <is>
          <t>낮음</t>
        </is>
      </c>
      <c r="L1616" s="17" t="inlineStr"/>
    </row>
    <row r="1617">
      <c r="A1617" s="17" t="inlineStr">
        <is>
          <t>C259</t>
        </is>
      </c>
      <c r="B1617" s="17" t="inlineStr"/>
      <c r="C1617" s="17" t="inlineStr">
        <is>
          <t>주식회사더유제약</t>
        </is>
      </c>
      <c r="D1617" s="17" t="inlineStr"/>
      <c r="E1617" s="17" t="inlineStr">
        <is>
          <t>최근매출(억원)</t>
        </is>
      </c>
      <c r="F1617" s="17" t="inlineStr">
        <is>
          <t>미확인</t>
        </is>
      </c>
      <c r="G1617" s="17" t="inlineStr">
        <is>
          <t>웹조사 자동화 실패(세션한도)</t>
        </is>
      </c>
      <c r="H1617" s="17" t="inlineStr">
        <is>
          <t>N</t>
        </is>
      </c>
      <c r="I1617" s="17" t="inlineStr">
        <is>
          <t>DART 사업보고서</t>
        </is>
      </c>
      <c r="J1617" s="17" t="inlineStr">
        <is>
          <t>DART 사업보고서에서 확인</t>
        </is>
      </c>
      <c r="K1617" s="17" t="inlineStr">
        <is>
          <t>낮음</t>
        </is>
      </c>
      <c r="L1617" s="17" t="inlineStr"/>
    </row>
    <row r="1618">
      <c r="A1618" s="17" t="inlineStr">
        <is>
          <t>C259</t>
        </is>
      </c>
      <c r="B1618" s="17" t="inlineStr"/>
      <c r="C1618" s="17" t="inlineStr">
        <is>
          <t>주식회사더유제약</t>
        </is>
      </c>
      <c r="D1618" s="17" t="inlineStr"/>
      <c r="E1618" s="17" t="inlineStr">
        <is>
          <t>종업원수</t>
        </is>
      </c>
      <c r="F1618" s="17" t="inlineStr">
        <is>
          <t>미확인</t>
        </is>
      </c>
      <c r="G1618" s="17" t="inlineStr">
        <is>
          <t>웹조사 자동화 실패(세션한도)</t>
        </is>
      </c>
      <c r="H1618" s="17" t="inlineStr">
        <is>
          <t>N</t>
        </is>
      </c>
      <c r="I1618" s="17" t="inlineStr">
        <is>
          <t>DART/채용</t>
        </is>
      </c>
      <c r="J1618" s="17" t="inlineStr">
        <is>
          <t>DART/채용에서 확인</t>
        </is>
      </c>
      <c r="K1618" s="17" t="inlineStr">
        <is>
          <t>낮음</t>
        </is>
      </c>
      <c r="L1618" s="17" t="inlineStr"/>
    </row>
    <row r="1619">
      <c r="A1619" s="17" t="inlineStr">
        <is>
          <t>C259</t>
        </is>
      </c>
      <c r="B1619" s="17" t="inlineStr"/>
      <c r="C1619" s="17" t="inlineStr">
        <is>
          <t>주식회사더유제약</t>
        </is>
      </c>
      <c r="D1619" s="17" t="inlineStr"/>
      <c r="E1619" s="17" t="inlineStr">
        <is>
          <t>수출여부</t>
        </is>
      </c>
      <c r="F1619" s="17" t="inlineStr">
        <is>
          <t>미확인</t>
        </is>
      </c>
      <c r="G1619" s="17" t="inlineStr">
        <is>
          <t>웹조사 자동화 실패(세션한도)</t>
        </is>
      </c>
      <c r="H1619" s="17" t="inlineStr">
        <is>
          <t>N</t>
        </is>
      </c>
      <c r="I1619" s="17" t="inlineStr">
        <is>
          <t>회사 공시·홈페이지</t>
        </is>
      </c>
      <c r="J1619" s="17" t="inlineStr">
        <is>
          <t>회사 공시·홈페이지에서 확인</t>
        </is>
      </c>
      <c r="K1619" s="17" t="inlineStr">
        <is>
          <t>낮음</t>
        </is>
      </c>
      <c r="L1619" s="17" t="inlineStr"/>
    </row>
    <row r="1620">
      <c r="A1620" s="17" t="inlineStr">
        <is>
          <t>C259</t>
        </is>
      </c>
      <c r="B1620" s="17" t="inlineStr"/>
      <c r="C1620" s="17" t="inlineStr">
        <is>
          <t>주식회사더유제약</t>
        </is>
      </c>
      <c r="D1620" s="17" t="inlineStr"/>
      <c r="E1620" s="17" t="inlineStr">
        <is>
          <t>FDA·EMA 실사</t>
        </is>
      </c>
      <c r="F1620" s="17" t="inlineStr">
        <is>
          <t>미확인</t>
        </is>
      </c>
      <c r="G1620" s="17" t="inlineStr">
        <is>
          <t>웹조사 자동화 실패(세션한도)</t>
        </is>
      </c>
      <c r="H1620" s="17" t="inlineStr">
        <is>
          <t>N</t>
        </is>
      </c>
      <c r="I1620" s="17" t="inlineStr">
        <is>
          <t>FDA Inspection DB</t>
        </is>
      </c>
      <c r="J1620" s="17" t="inlineStr">
        <is>
          <t>FDA Inspection DB에서 확인</t>
        </is>
      </c>
      <c r="K1620" s="17" t="inlineStr">
        <is>
          <t>낮음</t>
        </is>
      </c>
      <c r="L1620" s="17" t="inlineStr"/>
    </row>
    <row r="1621">
      <c r="A1621" s="17" t="inlineStr">
        <is>
          <t>C259</t>
        </is>
      </c>
      <c r="B1621" s="17" t="inlineStr"/>
      <c r="C1621" s="17" t="inlineStr">
        <is>
          <t>주식회사더유제약</t>
        </is>
      </c>
      <c r="D1621" s="17" t="inlineStr"/>
      <c r="E1621" s="17" t="inlineStr">
        <is>
          <t>CMO·CDMO</t>
        </is>
      </c>
      <c r="F1621" s="17" t="inlineStr">
        <is>
          <t>미확인</t>
        </is>
      </c>
      <c r="G1621" s="17" t="inlineStr">
        <is>
          <t>웹조사 자동화 실패(세션한도)</t>
        </is>
      </c>
      <c r="H1621" s="17" t="inlineStr">
        <is>
          <t>N</t>
        </is>
      </c>
      <c r="I1621" s="17" t="inlineStr">
        <is>
          <t>회사 홈페이지</t>
        </is>
      </c>
      <c r="J1621" s="17" t="inlineStr">
        <is>
          <t>회사 홈페이지에서 확인</t>
        </is>
      </c>
      <c r="K1621" s="17" t="inlineStr">
        <is>
          <t>낮음</t>
        </is>
      </c>
      <c r="L1621" s="17" t="inlineStr"/>
    </row>
    <row r="1622">
      <c r="A1622" s="17" t="inlineStr">
        <is>
          <t>C259</t>
        </is>
      </c>
      <c r="B1622" s="17" t="inlineStr"/>
      <c r="C1622" s="17" t="inlineStr">
        <is>
          <t>주식회사더유제약</t>
        </is>
      </c>
      <c r="D1622" s="17" t="inlineStr"/>
      <c r="E1622" s="17" t="inlineStr">
        <is>
          <t>신공장·증설</t>
        </is>
      </c>
      <c r="F1622" s="17" t="inlineStr">
        <is>
          <t>미확인</t>
        </is>
      </c>
      <c r="G1622" s="17" t="inlineStr">
        <is>
          <t>웹조사 자동화 실패(세션한도)</t>
        </is>
      </c>
      <c r="H1622" s="17" t="inlineStr">
        <is>
          <t>N</t>
        </is>
      </c>
      <c r="I1622" s="17" t="inlineStr">
        <is>
          <t>언론·지자체 발표</t>
        </is>
      </c>
      <c r="J1622" s="17" t="inlineStr">
        <is>
          <t>언론·지자체 발표에서 확인</t>
        </is>
      </c>
      <c r="K1622" s="17" t="inlineStr">
        <is>
          <t>낮음</t>
        </is>
      </c>
      <c r="L1622" s="17" t="inlineStr"/>
    </row>
    <row r="1623">
      <c r="A1623" s="17" t="inlineStr">
        <is>
          <t>C259</t>
        </is>
      </c>
      <c r="B1623" s="17" t="inlineStr"/>
      <c r="C1623" s="17" t="inlineStr">
        <is>
          <t>주식회사더유제약</t>
        </is>
      </c>
      <c r="D1623" s="17" t="inlineStr"/>
      <c r="E1623" s="17" t="inlineStr">
        <is>
          <t>대표전화</t>
        </is>
      </c>
      <c r="F1623" s="17" t="inlineStr">
        <is>
          <t>미확인</t>
        </is>
      </c>
      <c r="G1623" s="17" t="inlineStr">
        <is>
          <t>제조소상세 미매칭</t>
        </is>
      </c>
      <c r="H1623" s="17" t="inlineStr">
        <is>
          <t>Y</t>
        </is>
      </c>
      <c r="I1623" s="17" t="inlineStr">
        <is>
          <t>회사 홈페이지</t>
        </is>
      </c>
      <c r="J1623" s="17" t="inlineStr">
        <is>
          <t>홈페이지에서 대표번호 확인</t>
        </is>
      </c>
      <c r="K1623" s="17" t="inlineStr">
        <is>
          <t>낮음</t>
        </is>
      </c>
      <c r="L1623" s="17" t="inlineStr"/>
    </row>
    <row r="1624">
      <c r="A1624" s="17" t="inlineStr">
        <is>
          <t>C260</t>
        </is>
      </c>
      <c r="B1624" s="17" t="inlineStr"/>
      <c r="C1624" s="17" t="inlineStr">
        <is>
          <t>한국바스프(주)</t>
        </is>
      </c>
      <c r="D1624" s="17" t="inlineStr"/>
      <c r="E1624" s="17" t="inlineStr">
        <is>
          <t>최근매출(억원)</t>
        </is>
      </c>
      <c r="F1624" s="17" t="inlineStr">
        <is>
          <t>미확인</t>
        </is>
      </c>
      <c r="G1624" s="17" t="inlineStr">
        <is>
          <t>웹조사 자동화 실패(세션한도)</t>
        </is>
      </c>
      <c r="H1624" s="17" t="inlineStr">
        <is>
          <t>N</t>
        </is>
      </c>
      <c r="I1624" s="17" t="inlineStr">
        <is>
          <t>DART 사업보고서</t>
        </is>
      </c>
      <c r="J1624" s="17" t="inlineStr">
        <is>
          <t>DART 사업보고서에서 확인</t>
        </is>
      </c>
      <c r="K1624" s="17" t="inlineStr">
        <is>
          <t>낮음</t>
        </is>
      </c>
      <c r="L1624" s="17" t="inlineStr"/>
    </row>
    <row r="1625">
      <c r="A1625" s="17" t="inlineStr">
        <is>
          <t>C260</t>
        </is>
      </c>
      <c r="B1625" s="17" t="inlineStr"/>
      <c r="C1625" s="17" t="inlineStr">
        <is>
          <t>한국바스프(주)</t>
        </is>
      </c>
      <c r="D1625" s="17" t="inlineStr"/>
      <c r="E1625" s="17" t="inlineStr">
        <is>
          <t>종업원수</t>
        </is>
      </c>
      <c r="F1625" s="17" t="inlineStr">
        <is>
          <t>미확인</t>
        </is>
      </c>
      <c r="G1625" s="17" t="inlineStr">
        <is>
          <t>웹조사 자동화 실패(세션한도)</t>
        </is>
      </c>
      <c r="H1625" s="17" t="inlineStr">
        <is>
          <t>N</t>
        </is>
      </c>
      <c r="I1625" s="17" t="inlineStr">
        <is>
          <t>DART/채용</t>
        </is>
      </c>
      <c r="J1625" s="17" t="inlineStr">
        <is>
          <t>DART/채용에서 확인</t>
        </is>
      </c>
      <c r="K1625" s="17" t="inlineStr">
        <is>
          <t>낮음</t>
        </is>
      </c>
      <c r="L1625" s="17" t="inlineStr"/>
    </row>
    <row r="1626">
      <c r="A1626" s="17" t="inlineStr">
        <is>
          <t>C260</t>
        </is>
      </c>
      <c r="B1626" s="17" t="inlineStr"/>
      <c r="C1626" s="17" t="inlineStr">
        <is>
          <t>한국바스프(주)</t>
        </is>
      </c>
      <c r="D1626" s="17" t="inlineStr"/>
      <c r="E1626" s="17" t="inlineStr">
        <is>
          <t>수출여부</t>
        </is>
      </c>
      <c r="F1626" s="17" t="inlineStr">
        <is>
          <t>미확인</t>
        </is>
      </c>
      <c r="G1626" s="17" t="inlineStr">
        <is>
          <t>웹조사 자동화 실패(세션한도)</t>
        </is>
      </c>
      <c r="H1626" s="17" t="inlineStr">
        <is>
          <t>N</t>
        </is>
      </c>
      <c r="I1626" s="17" t="inlineStr">
        <is>
          <t>회사 공시·홈페이지</t>
        </is>
      </c>
      <c r="J1626" s="17" t="inlineStr">
        <is>
          <t>회사 공시·홈페이지에서 확인</t>
        </is>
      </c>
      <c r="K1626" s="17" t="inlineStr">
        <is>
          <t>낮음</t>
        </is>
      </c>
      <c r="L1626" s="17" t="inlineStr"/>
    </row>
    <row r="1627">
      <c r="A1627" s="17" t="inlineStr">
        <is>
          <t>C260</t>
        </is>
      </c>
      <c r="B1627" s="17" t="inlineStr"/>
      <c r="C1627" s="17" t="inlineStr">
        <is>
          <t>한국바스프(주)</t>
        </is>
      </c>
      <c r="D1627" s="17" t="inlineStr"/>
      <c r="E1627" s="17" t="inlineStr">
        <is>
          <t>FDA·EMA 실사</t>
        </is>
      </c>
      <c r="F1627" s="17" t="inlineStr">
        <is>
          <t>미확인</t>
        </is>
      </c>
      <c r="G1627" s="17" t="inlineStr">
        <is>
          <t>웹조사 자동화 실패(세션한도)</t>
        </is>
      </c>
      <c r="H1627" s="17" t="inlineStr">
        <is>
          <t>N</t>
        </is>
      </c>
      <c r="I1627" s="17" t="inlineStr">
        <is>
          <t>FDA Inspection DB</t>
        </is>
      </c>
      <c r="J1627" s="17" t="inlineStr">
        <is>
          <t>FDA Inspection DB에서 확인</t>
        </is>
      </c>
      <c r="K1627" s="17" t="inlineStr">
        <is>
          <t>낮음</t>
        </is>
      </c>
      <c r="L1627" s="17" t="inlineStr"/>
    </row>
    <row r="1628">
      <c r="A1628" s="17" t="inlineStr">
        <is>
          <t>C260</t>
        </is>
      </c>
      <c r="B1628" s="17" t="inlineStr"/>
      <c r="C1628" s="17" t="inlineStr">
        <is>
          <t>한국바스프(주)</t>
        </is>
      </c>
      <c r="D1628" s="17" t="inlineStr"/>
      <c r="E1628" s="17" t="inlineStr">
        <is>
          <t>CMO·CDMO</t>
        </is>
      </c>
      <c r="F1628" s="17" t="inlineStr">
        <is>
          <t>미확인</t>
        </is>
      </c>
      <c r="G1628" s="17" t="inlineStr">
        <is>
          <t>웹조사 자동화 실패(세션한도)</t>
        </is>
      </c>
      <c r="H1628" s="17" t="inlineStr">
        <is>
          <t>N</t>
        </is>
      </c>
      <c r="I1628" s="17" t="inlineStr">
        <is>
          <t>회사 홈페이지</t>
        </is>
      </c>
      <c r="J1628" s="17" t="inlineStr">
        <is>
          <t>회사 홈페이지에서 확인</t>
        </is>
      </c>
      <c r="K1628" s="17" t="inlineStr">
        <is>
          <t>낮음</t>
        </is>
      </c>
      <c r="L1628" s="17" t="inlineStr"/>
    </row>
    <row r="1629">
      <c r="A1629" s="17" t="inlineStr">
        <is>
          <t>C260</t>
        </is>
      </c>
      <c r="B1629" s="17" t="inlineStr"/>
      <c r="C1629" s="17" t="inlineStr">
        <is>
          <t>한국바스프(주)</t>
        </is>
      </c>
      <c r="D1629" s="17" t="inlineStr"/>
      <c r="E1629" s="17" t="inlineStr">
        <is>
          <t>신공장·증설</t>
        </is>
      </c>
      <c r="F1629" s="17" t="inlineStr">
        <is>
          <t>미확인</t>
        </is>
      </c>
      <c r="G1629" s="17" t="inlineStr">
        <is>
          <t>웹조사 자동화 실패(세션한도)</t>
        </is>
      </c>
      <c r="H1629" s="17" t="inlineStr">
        <is>
          <t>N</t>
        </is>
      </c>
      <c r="I1629" s="17" t="inlineStr">
        <is>
          <t>언론·지자체 발표</t>
        </is>
      </c>
      <c r="J1629" s="17" t="inlineStr">
        <is>
          <t>언론·지자체 발표에서 확인</t>
        </is>
      </c>
      <c r="K1629" s="17" t="inlineStr">
        <is>
          <t>낮음</t>
        </is>
      </c>
      <c r="L1629" s="17" t="inlineStr"/>
    </row>
    <row r="1630">
      <c r="A1630" s="17" t="inlineStr">
        <is>
          <t>C261</t>
        </is>
      </c>
      <c r="B1630" s="17" t="inlineStr"/>
      <c r="C1630" s="17" t="inlineStr">
        <is>
          <t>태극제약(주)</t>
        </is>
      </c>
      <c r="D1630" s="17" t="inlineStr"/>
      <c r="E1630" s="17" t="inlineStr">
        <is>
          <t>최근매출(억원)</t>
        </is>
      </c>
      <c r="F1630" s="17" t="inlineStr">
        <is>
          <t>미확인</t>
        </is>
      </c>
      <c r="G1630" s="17" t="inlineStr">
        <is>
          <t>웹조사 자동화 실패(세션한도)</t>
        </is>
      </c>
      <c r="H1630" s="17" t="inlineStr">
        <is>
          <t>N</t>
        </is>
      </c>
      <c r="I1630" s="17" t="inlineStr">
        <is>
          <t>DART 사업보고서</t>
        </is>
      </c>
      <c r="J1630" s="17" t="inlineStr">
        <is>
          <t>DART 사업보고서에서 확인</t>
        </is>
      </c>
      <c r="K1630" s="17" t="inlineStr">
        <is>
          <t>낮음</t>
        </is>
      </c>
      <c r="L1630" s="17" t="inlineStr"/>
    </row>
    <row r="1631">
      <c r="A1631" s="17" t="inlineStr">
        <is>
          <t>C261</t>
        </is>
      </c>
      <c r="B1631" s="17" t="inlineStr"/>
      <c r="C1631" s="17" t="inlineStr">
        <is>
          <t>태극제약(주)</t>
        </is>
      </c>
      <c r="D1631" s="17" t="inlineStr"/>
      <c r="E1631" s="17" t="inlineStr">
        <is>
          <t>종업원수</t>
        </is>
      </c>
      <c r="F1631" s="17" t="inlineStr">
        <is>
          <t>미확인</t>
        </is>
      </c>
      <c r="G1631" s="17" t="inlineStr">
        <is>
          <t>웹조사 자동화 실패(세션한도)</t>
        </is>
      </c>
      <c r="H1631" s="17" t="inlineStr">
        <is>
          <t>N</t>
        </is>
      </c>
      <c r="I1631" s="17" t="inlineStr">
        <is>
          <t>DART/채용</t>
        </is>
      </c>
      <c r="J1631" s="17" t="inlineStr">
        <is>
          <t>DART/채용에서 확인</t>
        </is>
      </c>
      <c r="K1631" s="17" t="inlineStr">
        <is>
          <t>낮음</t>
        </is>
      </c>
      <c r="L1631" s="17" t="inlineStr"/>
    </row>
    <row r="1632">
      <c r="A1632" s="17" t="inlineStr">
        <is>
          <t>C261</t>
        </is>
      </c>
      <c r="B1632" s="17" t="inlineStr"/>
      <c r="C1632" s="17" t="inlineStr">
        <is>
          <t>태극제약(주)</t>
        </is>
      </c>
      <c r="D1632" s="17" t="inlineStr"/>
      <c r="E1632" s="17" t="inlineStr">
        <is>
          <t>수출여부</t>
        </is>
      </c>
      <c r="F1632" s="17" t="inlineStr">
        <is>
          <t>미확인</t>
        </is>
      </c>
      <c r="G1632" s="17" t="inlineStr">
        <is>
          <t>웹조사 자동화 실패(세션한도)</t>
        </is>
      </c>
      <c r="H1632" s="17" t="inlineStr">
        <is>
          <t>N</t>
        </is>
      </c>
      <c r="I1632" s="17" t="inlineStr">
        <is>
          <t>회사 공시·홈페이지</t>
        </is>
      </c>
      <c r="J1632" s="17" t="inlineStr">
        <is>
          <t>회사 공시·홈페이지에서 확인</t>
        </is>
      </c>
      <c r="K1632" s="17" t="inlineStr">
        <is>
          <t>낮음</t>
        </is>
      </c>
      <c r="L1632" s="17" t="inlineStr"/>
    </row>
    <row r="1633">
      <c r="A1633" s="17" t="inlineStr">
        <is>
          <t>C261</t>
        </is>
      </c>
      <c r="B1633" s="17" t="inlineStr"/>
      <c r="C1633" s="17" t="inlineStr">
        <is>
          <t>태극제약(주)</t>
        </is>
      </c>
      <c r="D1633" s="17" t="inlineStr"/>
      <c r="E1633" s="17" t="inlineStr">
        <is>
          <t>FDA·EMA 실사</t>
        </is>
      </c>
      <c r="F1633" s="17" t="inlineStr">
        <is>
          <t>미확인</t>
        </is>
      </c>
      <c r="G1633" s="17" t="inlineStr">
        <is>
          <t>웹조사 자동화 실패(세션한도)</t>
        </is>
      </c>
      <c r="H1633" s="17" t="inlineStr">
        <is>
          <t>N</t>
        </is>
      </c>
      <c r="I1633" s="17" t="inlineStr">
        <is>
          <t>FDA Inspection DB</t>
        </is>
      </c>
      <c r="J1633" s="17" t="inlineStr">
        <is>
          <t>FDA Inspection DB에서 확인</t>
        </is>
      </c>
      <c r="K1633" s="17" t="inlineStr">
        <is>
          <t>낮음</t>
        </is>
      </c>
      <c r="L1633" s="17" t="inlineStr"/>
    </row>
    <row r="1634">
      <c r="A1634" s="17" t="inlineStr">
        <is>
          <t>C261</t>
        </is>
      </c>
      <c r="B1634" s="17" t="inlineStr"/>
      <c r="C1634" s="17" t="inlineStr">
        <is>
          <t>태극제약(주)</t>
        </is>
      </c>
      <c r="D1634" s="17" t="inlineStr"/>
      <c r="E1634" s="17" t="inlineStr">
        <is>
          <t>CMO·CDMO</t>
        </is>
      </c>
      <c r="F1634" s="17" t="inlineStr">
        <is>
          <t>미확인</t>
        </is>
      </c>
      <c r="G1634" s="17" t="inlineStr">
        <is>
          <t>웹조사 자동화 실패(세션한도)</t>
        </is>
      </c>
      <c r="H1634" s="17" t="inlineStr">
        <is>
          <t>N</t>
        </is>
      </c>
      <c r="I1634" s="17" t="inlineStr">
        <is>
          <t>회사 홈페이지</t>
        </is>
      </c>
      <c r="J1634" s="17" t="inlineStr">
        <is>
          <t>회사 홈페이지에서 확인</t>
        </is>
      </c>
      <c r="K1634" s="17" t="inlineStr">
        <is>
          <t>낮음</t>
        </is>
      </c>
      <c r="L1634" s="17" t="inlineStr"/>
    </row>
    <row r="1635">
      <c r="A1635" s="17" t="inlineStr">
        <is>
          <t>C261</t>
        </is>
      </c>
      <c r="B1635" s="17" t="inlineStr"/>
      <c r="C1635" s="17" t="inlineStr">
        <is>
          <t>태극제약(주)</t>
        </is>
      </c>
      <c r="D1635" s="17" t="inlineStr"/>
      <c r="E1635" s="17" t="inlineStr">
        <is>
          <t>신공장·증설</t>
        </is>
      </c>
      <c r="F1635" s="17" t="inlineStr">
        <is>
          <t>미확인</t>
        </is>
      </c>
      <c r="G1635" s="17" t="inlineStr">
        <is>
          <t>웹조사 자동화 실패(세션한도)</t>
        </is>
      </c>
      <c r="H1635" s="17" t="inlineStr">
        <is>
          <t>N</t>
        </is>
      </c>
      <c r="I1635" s="17" t="inlineStr">
        <is>
          <t>언론·지자체 발표</t>
        </is>
      </c>
      <c r="J1635" s="17" t="inlineStr">
        <is>
          <t>언론·지자체 발표에서 확인</t>
        </is>
      </c>
      <c r="K1635" s="17" t="inlineStr">
        <is>
          <t>낮음</t>
        </is>
      </c>
      <c r="L1635" s="17" t="inlineStr"/>
    </row>
    <row r="1636">
      <c r="A1636" s="17" t="inlineStr">
        <is>
          <t>C262</t>
        </is>
      </c>
      <c r="B1636" s="17" t="inlineStr"/>
      <c r="C1636" s="17" t="inlineStr">
        <is>
          <t>중앙산업가스(주)</t>
        </is>
      </c>
      <c r="D1636" s="17" t="inlineStr"/>
      <c r="E1636" s="17" t="inlineStr">
        <is>
          <t>최근매출(억원)</t>
        </is>
      </c>
      <c r="F1636" s="17" t="inlineStr">
        <is>
          <t>미확인</t>
        </is>
      </c>
      <c r="G1636" s="17" t="inlineStr">
        <is>
          <t>웹조사 자동화 실패(세션한도)</t>
        </is>
      </c>
      <c r="H1636" s="17" t="inlineStr">
        <is>
          <t>N</t>
        </is>
      </c>
      <c r="I1636" s="17" t="inlineStr">
        <is>
          <t>DART 사업보고서</t>
        </is>
      </c>
      <c r="J1636" s="17" t="inlineStr">
        <is>
          <t>DART 사업보고서에서 확인</t>
        </is>
      </c>
      <c r="K1636" s="17" t="inlineStr">
        <is>
          <t>낮음</t>
        </is>
      </c>
      <c r="L1636" s="17" t="inlineStr"/>
    </row>
    <row r="1637">
      <c r="A1637" s="17" t="inlineStr">
        <is>
          <t>C262</t>
        </is>
      </c>
      <c r="B1637" s="17" t="inlineStr"/>
      <c r="C1637" s="17" t="inlineStr">
        <is>
          <t>중앙산업가스(주)</t>
        </is>
      </c>
      <c r="D1637" s="17" t="inlineStr"/>
      <c r="E1637" s="17" t="inlineStr">
        <is>
          <t>종업원수</t>
        </is>
      </c>
      <c r="F1637" s="17" t="inlineStr">
        <is>
          <t>미확인</t>
        </is>
      </c>
      <c r="G1637" s="17" t="inlineStr">
        <is>
          <t>웹조사 자동화 실패(세션한도)</t>
        </is>
      </c>
      <c r="H1637" s="17" t="inlineStr">
        <is>
          <t>N</t>
        </is>
      </c>
      <c r="I1637" s="17" t="inlineStr">
        <is>
          <t>DART/채용</t>
        </is>
      </c>
      <c r="J1637" s="17" t="inlineStr">
        <is>
          <t>DART/채용에서 확인</t>
        </is>
      </c>
      <c r="K1637" s="17" t="inlineStr">
        <is>
          <t>낮음</t>
        </is>
      </c>
      <c r="L1637" s="17" t="inlineStr"/>
    </row>
    <row r="1638">
      <c r="A1638" s="17" t="inlineStr">
        <is>
          <t>C262</t>
        </is>
      </c>
      <c r="B1638" s="17" t="inlineStr"/>
      <c r="C1638" s="17" t="inlineStr">
        <is>
          <t>중앙산업가스(주)</t>
        </is>
      </c>
      <c r="D1638" s="17" t="inlineStr"/>
      <c r="E1638" s="17" t="inlineStr">
        <is>
          <t>수출여부</t>
        </is>
      </c>
      <c r="F1638" s="17" t="inlineStr">
        <is>
          <t>미확인</t>
        </is>
      </c>
      <c r="G1638" s="17" t="inlineStr">
        <is>
          <t>웹조사 자동화 실패(세션한도)</t>
        </is>
      </c>
      <c r="H1638" s="17" t="inlineStr">
        <is>
          <t>N</t>
        </is>
      </c>
      <c r="I1638" s="17" t="inlineStr">
        <is>
          <t>회사 공시·홈페이지</t>
        </is>
      </c>
      <c r="J1638" s="17" t="inlineStr">
        <is>
          <t>회사 공시·홈페이지에서 확인</t>
        </is>
      </c>
      <c r="K1638" s="17" t="inlineStr">
        <is>
          <t>낮음</t>
        </is>
      </c>
      <c r="L1638" s="17" t="inlineStr"/>
    </row>
    <row r="1639">
      <c r="A1639" s="17" t="inlineStr">
        <is>
          <t>C262</t>
        </is>
      </c>
      <c r="B1639" s="17" t="inlineStr"/>
      <c r="C1639" s="17" t="inlineStr">
        <is>
          <t>중앙산업가스(주)</t>
        </is>
      </c>
      <c r="D1639" s="17" t="inlineStr"/>
      <c r="E1639" s="17" t="inlineStr">
        <is>
          <t>FDA·EMA 실사</t>
        </is>
      </c>
      <c r="F1639" s="17" t="inlineStr">
        <is>
          <t>미확인</t>
        </is>
      </c>
      <c r="G1639" s="17" t="inlineStr">
        <is>
          <t>웹조사 자동화 실패(세션한도)</t>
        </is>
      </c>
      <c r="H1639" s="17" t="inlineStr">
        <is>
          <t>N</t>
        </is>
      </c>
      <c r="I1639" s="17" t="inlineStr">
        <is>
          <t>FDA Inspection DB</t>
        </is>
      </c>
      <c r="J1639" s="17" t="inlineStr">
        <is>
          <t>FDA Inspection DB에서 확인</t>
        </is>
      </c>
      <c r="K1639" s="17" t="inlineStr">
        <is>
          <t>낮음</t>
        </is>
      </c>
      <c r="L1639" s="17" t="inlineStr"/>
    </row>
    <row r="1640">
      <c r="A1640" s="17" t="inlineStr">
        <is>
          <t>C262</t>
        </is>
      </c>
      <c r="B1640" s="17" t="inlineStr"/>
      <c r="C1640" s="17" t="inlineStr">
        <is>
          <t>중앙산업가스(주)</t>
        </is>
      </c>
      <c r="D1640" s="17" t="inlineStr"/>
      <c r="E1640" s="17" t="inlineStr">
        <is>
          <t>CMO·CDMO</t>
        </is>
      </c>
      <c r="F1640" s="17" t="inlineStr">
        <is>
          <t>미확인</t>
        </is>
      </c>
      <c r="G1640" s="17" t="inlineStr">
        <is>
          <t>웹조사 자동화 실패(세션한도)</t>
        </is>
      </c>
      <c r="H1640" s="17" t="inlineStr">
        <is>
          <t>N</t>
        </is>
      </c>
      <c r="I1640" s="17" t="inlineStr">
        <is>
          <t>회사 홈페이지</t>
        </is>
      </c>
      <c r="J1640" s="17" t="inlineStr">
        <is>
          <t>회사 홈페이지에서 확인</t>
        </is>
      </c>
      <c r="K1640" s="17" t="inlineStr">
        <is>
          <t>낮음</t>
        </is>
      </c>
      <c r="L1640" s="17" t="inlineStr"/>
    </row>
    <row r="1641">
      <c r="A1641" s="17" t="inlineStr">
        <is>
          <t>C262</t>
        </is>
      </c>
      <c r="B1641" s="17" t="inlineStr"/>
      <c r="C1641" s="17" t="inlineStr">
        <is>
          <t>중앙산업가스(주)</t>
        </is>
      </c>
      <c r="D1641" s="17" t="inlineStr"/>
      <c r="E1641" s="17" t="inlineStr">
        <is>
          <t>신공장·증설</t>
        </is>
      </c>
      <c r="F1641" s="17" t="inlineStr">
        <is>
          <t>미확인</t>
        </is>
      </c>
      <c r="G1641" s="17" t="inlineStr">
        <is>
          <t>웹조사 자동화 실패(세션한도)</t>
        </is>
      </c>
      <c r="H1641" s="17" t="inlineStr">
        <is>
          <t>N</t>
        </is>
      </c>
      <c r="I1641" s="17" t="inlineStr">
        <is>
          <t>언론·지자체 발표</t>
        </is>
      </c>
      <c r="J1641" s="17" t="inlineStr">
        <is>
          <t>언론·지자체 발표에서 확인</t>
        </is>
      </c>
      <c r="K1641" s="17" t="inlineStr">
        <is>
          <t>낮음</t>
        </is>
      </c>
      <c r="L1641" s="17" t="inlineStr"/>
    </row>
    <row r="1642">
      <c r="A1642" s="17" t="inlineStr">
        <is>
          <t>C263</t>
        </is>
      </c>
      <c r="B1642" s="17" t="inlineStr"/>
      <c r="C1642" s="17" t="inlineStr">
        <is>
          <t>(주)제일가스산업</t>
        </is>
      </c>
      <c r="D1642" s="17" t="inlineStr"/>
      <c r="E1642" s="17" t="inlineStr">
        <is>
          <t>최근매출(억원)</t>
        </is>
      </c>
      <c r="F1642" s="17" t="inlineStr">
        <is>
          <t>미확인</t>
        </is>
      </c>
      <c r="G1642" s="17" t="inlineStr">
        <is>
          <t>웹조사 자동화 실패(세션한도)</t>
        </is>
      </c>
      <c r="H1642" s="17" t="inlineStr">
        <is>
          <t>N</t>
        </is>
      </c>
      <c r="I1642" s="17" t="inlineStr">
        <is>
          <t>DART 사업보고서</t>
        </is>
      </c>
      <c r="J1642" s="17" t="inlineStr">
        <is>
          <t>DART 사업보고서에서 확인</t>
        </is>
      </c>
      <c r="K1642" s="17" t="inlineStr">
        <is>
          <t>낮음</t>
        </is>
      </c>
      <c r="L1642" s="17" t="inlineStr"/>
    </row>
    <row r="1643">
      <c r="A1643" s="17" t="inlineStr">
        <is>
          <t>C263</t>
        </is>
      </c>
      <c r="B1643" s="17" t="inlineStr"/>
      <c r="C1643" s="17" t="inlineStr">
        <is>
          <t>(주)제일가스산업</t>
        </is>
      </c>
      <c r="D1643" s="17" t="inlineStr"/>
      <c r="E1643" s="17" t="inlineStr">
        <is>
          <t>종업원수</t>
        </is>
      </c>
      <c r="F1643" s="17" t="inlineStr">
        <is>
          <t>미확인</t>
        </is>
      </c>
      <c r="G1643" s="17" t="inlineStr">
        <is>
          <t>웹조사 자동화 실패(세션한도)</t>
        </is>
      </c>
      <c r="H1643" s="17" t="inlineStr">
        <is>
          <t>N</t>
        </is>
      </c>
      <c r="I1643" s="17" t="inlineStr">
        <is>
          <t>DART/채용</t>
        </is>
      </c>
      <c r="J1643" s="17" t="inlineStr">
        <is>
          <t>DART/채용에서 확인</t>
        </is>
      </c>
      <c r="K1643" s="17" t="inlineStr">
        <is>
          <t>낮음</t>
        </is>
      </c>
      <c r="L1643" s="17" t="inlineStr"/>
    </row>
    <row r="1644">
      <c r="A1644" s="17" t="inlineStr">
        <is>
          <t>C263</t>
        </is>
      </c>
      <c r="B1644" s="17" t="inlineStr"/>
      <c r="C1644" s="17" t="inlineStr">
        <is>
          <t>(주)제일가스산업</t>
        </is>
      </c>
      <c r="D1644" s="17" t="inlineStr"/>
      <c r="E1644" s="17" t="inlineStr">
        <is>
          <t>수출여부</t>
        </is>
      </c>
      <c r="F1644" s="17" t="inlineStr">
        <is>
          <t>미확인</t>
        </is>
      </c>
      <c r="G1644" s="17" t="inlineStr">
        <is>
          <t>웹조사 자동화 실패(세션한도)</t>
        </is>
      </c>
      <c r="H1644" s="17" t="inlineStr">
        <is>
          <t>N</t>
        </is>
      </c>
      <c r="I1644" s="17" t="inlineStr">
        <is>
          <t>회사 공시·홈페이지</t>
        </is>
      </c>
      <c r="J1644" s="17" t="inlineStr">
        <is>
          <t>회사 공시·홈페이지에서 확인</t>
        </is>
      </c>
      <c r="K1644" s="17" t="inlineStr">
        <is>
          <t>낮음</t>
        </is>
      </c>
      <c r="L1644" s="17" t="inlineStr"/>
    </row>
    <row r="1645">
      <c r="A1645" s="17" t="inlineStr">
        <is>
          <t>C263</t>
        </is>
      </c>
      <c r="B1645" s="17" t="inlineStr"/>
      <c r="C1645" s="17" t="inlineStr">
        <is>
          <t>(주)제일가스산업</t>
        </is>
      </c>
      <c r="D1645" s="17" t="inlineStr"/>
      <c r="E1645" s="17" t="inlineStr">
        <is>
          <t>FDA·EMA 실사</t>
        </is>
      </c>
      <c r="F1645" s="17" t="inlineStr">
        <is>
          <t>미확인</t>
        </is>
      </c>
      <c r="G1645" s="17" t="inlineStr">
        <is>
          <t>웹조사 자동화 실패(세션한도)</t>
        </is>
      </c>
      <c r="H1645" s="17" t="inlineStr">
        <is>
          <t>N</t>
        </is>
      </c>
      <c r="I1645" s="17" t="inlineStr">
        <is>
          <t>FDA Inspection DB</t>
        </is>
      </c>
      <c r="J1645" s="17" t="inlineStr">
        <is>
          <t>FDA Inspection DB에서 확인</t>
        </is>
      </c>
      <c r="K1645" s="17" t="inlineStr">
        <is>
          <t>낮음</t>
        </is>
      </c>
      <c r="L1645" s="17" t="inlineStr"/>
    </row>
    <row r="1646">
      <c r="A1646" s="17" t="inlineStr">
        <is>
          <t>C263</t>
        </is>
      </c>
      <c r="B1646" s="17" t="inlineStr"/>
      <c r="C1646" s="17" t="inlineStr">
        <is>
          <t>(주)제일가스산업</t>
        </is>
      </c>
      <c r="D1646" s="17" t="inlineStr"/>
      <c r="E1646" s="17" t="inlineStr">
        <is>
          <t>CMO·CDMO</t>
        </is>
      </c>
      <c r="F1646" s="17" t="inlineStr">
        <is>
          <t>미확인</t>
        </is>
      </c>
      <c r="G1646" s="17" t="inlineStr">
        <is>
          <t>웹조사 자동화 실패(세션한도)</t>
        </is>
      </c>
      <c r="H1646" s="17" t="inlineStr">
        <is>
          <t>N</t>
        </is>
      </c>
      <c r="I1646" s="17" t="inlineStr">
        <is>
          <t>회사 홈페이지</t>
        </is>
      </c>
      <c r="J1646" s="17" t="inlineStr">
        <is>
          <t>회사 홈페이지에서 확인</t>
        </is>
      </c>
      <c r="K1646" s="17" t="inlineStr">
        <is>
          <t>낮음</t>
        </is>
      </c>
      <c r="L1646" s="17" t="inlineStr"/>
    </row>
    <row r="1647">
      <c r="A1647" s="17" t="inlineStr">
        <is>
          <t>C263</t>
        </is>
      </c>
      <c r="B1647" s="17" t="inlineStr"/>
      <c r="C1647" s="17" t="inlineStr">
        <is>
          <t>(주)제일가스산업</t>
        </is>
      </c>
      <c r="D1647" s="17" t="inlineStr"/>
      <c r="E1647" s="17" t="inlineStr">
        <is>
          <t>신공장·증설</t>
        </is>
      </c>
      <c r="F1647" s="17" t="inlineStr">
        <is>
          <t>미확인</t>
        </is>
      </c>
      <c r="G1647" s="17" t="inlineStr">
        <is>
          <t>웹조사 자동화 실패(세션한도)</t>
        </is>
      </c>
      <c r="H1647" s="17" t="inlineStr">
        <is>
          <t>N</t>
        </is>
      </c>
      <c r="I1647" s="17" t="inlineStr">
        <is>
          <t>언론·지자체 발표</t>
        </is>
      </c>
      <c r="J1647" s="17" t="inlineStr">
        <is>
          <t>언론·지자체 발표에서 확인</t>
        </is>
      </c>
      <c r="K1647" s="17" t="inlineStr">
        <is>
          <t>낮음</t>
        </is>
      </c>
      <c r="L1647" s="17" t="inlineStr"/>
    </row>
    <row r="1648">
      <c r="A1648" s="17" t="inlineStr">
        <is>
          <t>C264</t>
        </is>
      </c>
      <c r="B1648" s="17" t="inlineStr"/>
      <c r="C1648" s="17" t="inlineStr">
        <is>
          <t>신일가스(주)</t>
        </is>
      </c>
      <c r="D1648" s="17" t="inlineStr"/>
      <c r="E1648" s="17" t="inlineStr">
        <is>
          <t>최근매출(억원)</t>
        </is>
      </c>
      <c r="F1648" s="17" t="inlineStr">
        <is>
          <t>미확인</t>
        </is>
      </c>
      <c r="G1648" s="17" t="inlineStr">
        <is>
          <t>웹조사 자동화 실패(세션한도)</t>
        </is>
      </c>
      <c r="H1648" s="17" t="inlineStr">
        <is>
          <t>N</t>
        </is>
      </c>
      <c r="I1648" s="17" t="inlineStr">
        <is>
          <t>DART 사업보고서</t>
        </is>
      </c>
      <c r="J1648" s="17" t="inlineStr">
        <is>
          <t>DART 사업보고서에서 확인</t>
        </is>
      </c>
      <c r="K1648" s="17" t="inlineStr">
        <is>
          <t>낮음</t>
        </is>
      </c>
      <c r="L1648" s="17" t="inlineStr"/>
    </row>
    <row r="1649">
      <c r="A1649" s="17" t="inlineStr">
        <is>
          <t>C264</t>
        </is>
      </c>
      <c r="B1649" s="17" t="inlineStr"/>
      <c r="C1649" s="17" t="inlineStr">
        <is>
          <t>신일가스(주)</t>
        </is>
      </c>
      <c r="D1649" s="17" t="inlineStr"/>
      <c r="E1649" s="17" t="inlineStr">
        <is>
          <t>종업원수</t>
        </is>
      </c>
      <c r="F1649" s="17" t="inlineStr">
        <is>
          <t>미확인</t>
        </is>
      </c>
      <c r="G1649" s="17" t="inlineStr">
        <is>
          <t>웹조사 자동화 실패(세션한도)</t>
        </is>
      </c>
      <c r="H1649" s="17" t="inlineStr">
        <is>
          <t>N</t>
        </is>
      </c>
      <c r="I1649" s="17" t="inlineStr">
        <is>
          <t>DART/채용</t>
        </is>
      </c>
      <c r="J1649" s="17" t="inlineStr">
        <is>
          <t>DART/채용에서 확인</t>
        </is>
      </c>
      <c r="K1649" s="17" t="inlineStr">
        <is>
          <t>낮음</t>
        </is>
      </c>
      <c r="L1649" s="17" t="inlineStr"/>
    </row>
    <row r="1650">
      <c r="A1650" s="17" t="inlineStr">
        <is>
          <t>C264</t>
        </is>
      </c>
      <c r="B1650" s="17" t="inlineStr"/>
      <c r="C1650" s="17" t="inlineStr">
        <is>
          <t>신일가스(주)</t>
        </is>
      </c>
      <c r="D1650" s="17" t="inlineStr"/>
      <c r="E1650" s="17" t="inlineStr">
        <is>
          <t>수출여부</t>
        </is>
      </c>
      <c r="F1650" s="17" t="inlineStr">
        <is>
          <t>미확인</t>
        </is>
      </c>
      <c r="G1650" s="17" t="inlineStr">
        <is>
          <t>웹조사 자동화 실패(세션한도)</t>
        </is>
      </c>
      <c r="H1650" s="17" t="inlineStr">
        <is>
          <t>N</t>
        </is>
      </c>
      <c r="I1650" s="17" t="inlineStr">
        <is>
          <t>회사 공시·홈페이지</t>
        </is>
      </c>
      <c r="J1650" s="17" t="inlineStr">
        <is>
          <t>회사 공시·홈페이지에서 확인</t>
        </is>
      </c>
      <c r="K1650" s="17" t="inlineStr">
        <is>
          <t>낮음</t>
        </is>
      </c>
      <c r="L1650" s="17" t="inlineStr"/>
    </row>
    <row r="1651">
      <c r="A1651" s="17" t="inlineStr">
        <is>
          <t>C264</t>
        </is>
      </c>
      <c r="B1651" s="17" t="inlineStr"/>
      <c r="C1651" s="17" t="inlineStr">
        <is>
          <t>신일가스(주)</t>
        </is>
      </c>
      <c r="D1651" s="17" t="inlineStr"/>
      <c r="E1651" s="17" t="inlineStr">
        <is>
          <t>FDA·EMA 실사</t>
        </is>
      </c>
      <c r="F1651" s="17" t="inlineStr">
        <is>
          <t>미확인</t>
        </is>
      </c>
      <c r="G1651" s="17" t="inlineStr">
        <is>
          <t>웹조사 자동화 실패(세션한도)</t>
        </is>
      </c>
      <c r="H1651" s="17" t="inlineStr">
        <is>
          <t>N</t>
        </is>
      </c>
      <c r="I1651" s="17" t="inlineStr">
        <is>
          <t>FDA Inspection DB</t>
        </is>
      </c>
      <c r="J1651" s="17" t="inlineStr">
        <is>
          <t>FDA Inspection DB에서 확인</t>
        </is>
      </c>
      <c r="K1651" s="17" t="inlineStr">
        <is>
          <t>낮음</t>
        </is>
      </c>
      <c r="L1651" s="17" t="inlineStr"/>
    </row>
    <row r="1652">
      <c r="A1652" s="17" t="inlineStr">
        <is>
          <t>C264</t>
        </is>
      </c>
      <c r="B1652" s="17" t="inlineStr"/>
      <c r="C1652" s="17" t="inlineStr">
        <is>
          <t>신일가스(주)</t>
        </is>
      </c>
      <c r="D1652" s="17" t="inlineStr"/>
      <c r="E1652" s="17" t="inlineStr">
        <is>
          <t>CMO·CDMO</t>
        </is>
      </c>
      <c r="F1652" s="17" t="inlineStr">
        <is>
          <t>미확인</t>
        </is>
      </c>
      <c r="G1652" s="17" t="inlineStr">
        <is>
          <t>웹조사 자동화 실패(세션한도)</t>
        </is>
      </c>
      <c r="H1652" s="17" t="inlineStr">
        <is>
          <t>N</t>
        </is>
      </c>
      <c r="I1652" s="17" t="inlineStr">
        <is>
          <t>회사 홈페이지</t>
        </is>
      </c>
      <c r="J1652" s="17" t="inlineStr">
        <is>
          <t>회사 홈페이지에서 확인</t>
        </is>
      </c>
      <c r="K1652" s="17" t="inlineStr">
        <is>
          <t>낮음</t>
        </is>
      </c>
      <c r="L1652" s="17" t="inlineStr"/>
    </row>
    <row r="1653">
      <c r="A1653" s="17" t="inlineStr">
        <is>
          <t>C264</t>
        </is>
      </c>
      <c r="B1653" s="17" t="inlineStr"/>
      <c r="C1653" s="17" t="inlineStr">
        <is>
          <t>신일가스(주)</t>
        </is>
      </c>
      <c r="D1653" s="17" t="inlineStr"/>
      <c r="E1653" s="17" t="inlineStr">
        <is>
          <t>신공장·증설</t>
        </is>
      </c>
      <c r="F1653" s="17" t="inlineStr">
        <is>
          <t>미확인</t>
        </is>
      </c>
      <c r="G1653" s="17" t="inlineStr">
        <is>
          <t>웹조사 자동화 실패(세션한도)</t>
        </is>
      </c>
      <c r="H1653" s="17" t="inlineStr">
        <is>
          <t>N</t>
        </is>
      </c>
      <c r="I1653" s="17" t="inlineStr">
        <is>
          <t>언론·지자체 발표</t>
        </is>
      </c>
      <c r="J1653" s="17" t="inlineStr">
        <is>
          <t>언론·지자체 발표에서 확인</t>
        </is>
      </c>
      <c r="K1653" s="17" t="inlineStr">
        <is>
          <t>낮음</t>
        </is>
      </c>
      <c r="L1653" s="17" t="inlineStr"/>
    </row>
    <row r="1654">
      <c r="A1654" s="17" t="inlineStr">
        <is>
          <t>C265</t>
        </is>
      </c>
      <c r="B1654" s="17" t="inlineStr"/>
      <c r="C1654" s="17" t="inlineStr">
        <is>
          <t>(주)킴스제약</t>
        </is>
      </c>
      <c r="D1654" s="17" t="inlineStr"/>
      <c r="E1654" s="17" t="inlineStr">
        <is>
          <t>최근매출(억원)</t>
        </is>
      </c>
      <c r="F1654" s="17" t="inlineStr">
        <is>
          <t>미확인</t>
        </is>
      </c>
      <c r="G1654" s="17" t="inlineStr">
        <is>
          <t>웹조사 자동화 실패(세션한도)</t>
        </is>
      </c>
      <c r="H1654" s="17" t="inlineStr">
        <is>
          <t>N</t>
        </is>
      </c>
      <c r="I1654" s="17" t="inlineStr">
        <is>
          <t>DART 사업보고서</t>
        </is>
      </c>
      <c r="J1654" s="17" t="inlineStr">
        <is>
          <t>DART 사업보고서에서 확인</t>
        </is>
      </c>
      <c r="K1654" s="17" t="inlineStr">
        <is>
          <t>낮음</t>
        </is>
      </c>
      <c r="L1654" s="17" t="inlineStr"/>
    </row>
    <row r="1655">
      <c r="A1655" s="17" t="inlineStr">
        <is>
          <t>C265</t>
        </is>
      </c>
      <c r="B1655" s="17" t="inlineStr"/>
      <c r="C1655" s="17" t="inlineStr">
        <is>
          <t>(주)킴스제약</t>
        </is>
      </c>
      <c r="D1655" s="17" t="inlineStr"/>
      <c r="E1655" s="17" t="inlineStr">
        <is>
          <t>종업원수</t>
        </is>
      </c>
      <c r="F1655" s="17" t="inlineStr">
        <is>
          <t>미확인</t>
        </is>
      </c>
      <c r="G1655" s="17" t="inlineStr">
        <is>
          <t>웹조사 자동화 실패(세션한도)</t>
        </is>
      </c>
      <c r="H1655" s="17" t="inlineStr">
        <is>
          <t>N</t>
        </is>
      </c>
      <c r="I1655" s="17" t="inlineStr">
        <is>
          <t>DART/채용</t>
        </is>
      </c>
      <c r="J1655" s="17" t="inlineStr">
        <is>
          <t>DART/채용에서 확인</t>
        </is>
      </c>
      <c r="K1655" s="17" t="inlineStr">
        <is>
          <t>낮음</t>
        </is>
      </c>
      <c r="L1655" s="17" t="inlineStr"/>
    </row>
    <row r="1656">
      <c r="A1656" s="17" t="inlineStr">
        <is>
          <t>C265</t>
        </is>
      </c>
      <c r="B1656" s="17" t="inlineStr"/>
      <c r="C1656" s="17" t="inlineStr">
        <is>
          <t>(주)킴스제약</t>
        </is>
      </c>
      <c r="D1656" s="17" t="inlineStr"/>
      <c r="E1656" s="17" t="inlineStr">
        <is>
          <t>수출여부</t>
        </is>
      </c>
      <c r="F1656" s="17" t="inlineStr">
        <is>
          <t>미확인</t>
        </is>
      </c>
      <c r="G1656" s="17" t="inlineStr">
        <is>
          <t>웹조사 자동화 실패(세션한도)</t>
        </is>
      </c>
      <c r="H1656" s="17" t="inlineStr">
        <is>
          <t>N</t>
        </is>
      </c>
      <c r="I1656" s="17" t="inlineStr">
        <is>
          <t>회사 공시·홈페이지</t>
        </is>
      </c>
      <c r="J1656" s="17" t="inlineStr">
        <is>
          <t>회사 공시·홈페이지에서 확인</t>
        </is>
      </c>
      <c r="K1656" s="17" t="inlineStr">
        <is>
          <t>낮음</t>
        </is>
      </c>
      <c r="L1656" s="17" t="inlineStr"/>
    </row>
    <row r="1657">
      <c r="A1657" s="17" t="inlineStr">
        <is>
          <t>C265</t>
        </is>
      </c>
      <c r="B1657" s="17" t="inlineStr"/>
      <c r="C1657" s="17" t="inlineStr">
        <is>
          <t>(주)킴스제약</t>
        </is>
      </c>
      <c r="D1657" s="17" t="inlineStr"/>
      <c r="E1657" s="17" t="inlineStr">
        <is>
          <t>FDA·EMA 실사</t>
        </is>
      </c>
      <c r="F1657" s="17" t="inlineStr">
        <is>
          <t>미확인</t>
        </is>
      </c>
      <c r="G1657" s="17" t="inlineStr">
        <is>
          <t>웹조사 자동화 실패(세션한도)</t>
        </is>
      </c>
      <c r="H1657" s="17" t="inlineStr">
        <is>
          <t>N</t>
        </is>
      </c>
      <c r="I1657" s="17" t="inlineStr">
        <is>
          <t>FDA Inspection DB</t>
        </is>
      </c>
      <c r="J1657" s="17" t="inlineStr">
        <is>
          <t>FDA Inspection DB에서 확인</t>
        </is>
      </c>
      <c r="K1657" s="17" t="inlineStr">
        <is>
          <t>낮음</t>
        </is>
      </c>
      <c r="L1657" s="17" t="inlineStr"/>
    </row>
    <row r="1658">
      <c r="A1658" s="17" t="inlineStr">
        <is>
          <t>C265</t>
        </is>
      </c>
      <c r="B1658" s="17" t="inlineStr"/>
      <c r="C1658" s="17" t="inlineStr">
        <is>
          <t>(주)킴스제약</t>
        </is>
      </c>
      <c r="D1658" s="17" t="inlineStr"/>
      <c r="E1658" s="17" t="inlineStr">
        <is>
          <t>CMO·CDMO</t>
        </is>
      </c>
      <c r="F1658" s="17" t="inlineStr">
        <is>
          <t>미확인</t>
        </is>
      </c>
      <c r="G1658" s="17" t="inlineStr">
        <is>
          <t>웹조사 자동화 실패(세션한도)</t>
        </is>
      </c>
      <c r="H1658" s="17" t="inlineStr">
        <is>
          <t>N</t>
        </is>
      </c>
      <c r="I1658" s="17" t="inlineStr">
        <is>
          <t>회사 홈페이지</t>
        </is>
      </c>
      <c r="J1658" s="17" t="inlineStr">
        <is>
          <t>회사 홈페이지에서 확인</t>
        </is>
      </c>
      <c r="K1658" s="17" t="inlineStr">
        <is>
          <t>낮음</t>
        </is>
      </c>
      <c r="L1658" s="17" t="inlineStr"/>
    </row>
    <row r="1659">
      <c r="A1659" s="17" t="inlineStr">
        <is>
          <t>C265</t>
        </is>
      </c>
      <c r="B1659" s="17" t="inlineStr"/>
      <c r="C1659" s="17" t="inlineStr">
        <is>
          <t>(주)킴스제약</t>
        </is>
      </c>
      <c r="D1659" s="17" t="inlineStr"/>
      <c r="E1659" s="17" t="inlineStr">
        <is>
          <t>신공장·증설</t>
        </is>
      </c>
      <c r="F1659" s="17" t="inlineStr">
        <is>
          <t>미확인</t>
        </is>
      </c>
      <c r="G1659" s="17" t="inlineStr">
        <is>
          <t>웹조사 자동화 실패(세션한도)</t>
        </is>
      </c>
      <c r="H1659" s="17" t="inlineStr">
        <is>
          <t>N</t>
        </is>
      </c>
      <c r="I1659" s="17" t="inlineStr">
        <is>
          <t>언론·지자체 발표</t>
        </is>
      </c>
      <c r="J1659" s="17" t="inlineStr">
        <is>
          <t>언론·지자체 발표에서 확인</t>
        </is>
      </c>
      <c r="K1659" s="17" t="inlineStr">
        <is>
          <t>낮음</t>
        </is>
      </c>
      <c r="L1659" s="17" t="inlineStr"/>
    </row>
    <row r="1660">
      <c r="A1660" s="17" t="inlineStr">
        <is>
          <t>C266</t>
        </is>
      </c>
      <c r="B1660" s="17" t="inlineStr"/>
      <c r="C1660" s="17" t="inlineStr">
        <is>
          <t>(주)돌나라한농제약</t>
        </is>
      </c>
      <c r="D1660" s="17" t="inlineStr"/>
      <c r="E1660" s="17" t="inlineStr">
        <is>
          <t>최근매출(억원)</t>
        </is>
      </c>
      <c r="F1660" s="17" t="inlineStr">
        <is>
          <t>미확인</t>
        </is>
      </c>
      <c r="G1660" s="17" t="inlineStr">
        <is>
          <t>웹조사 자동화 실패(세션한도)</t>
        </is>
      </c>
      <c r="H1660" s="17" t="inlineStr">
        <is>
          <t>N</t>
        </is>
      </c>
      <c r="I1660" s="17" t="inlineStr">
        <is>
          <t>DART 사업보고서</t>
        </is>
      </c>
      <c r="J1660" s="17" t="inlineStr">
        <is>
          <t>DART 사업보고서에서 확인</t>
        </is>
      </c>
      <c r="K1660" s="17" t="inlineStr">
        <is>
          <t>낮음</t>
        </is>
      </c>
      <c r="L1660" s="17" t="inlineStr"/>
    </row>
    <row r="1661">
      <c r="A1661" s="17" t="inlineStr">
        <is>
          <t>C266</t>
        </is>
      </c>
      <c r="B1661" s="17" t="inlineStr"/>
      <c r="C1661" s="17" t="inlineStr">
        <is>
          <t>(주)돌나라한농제약</t>
        </is>
      </c>
      <c r="D1661" s="17" t="inlineStr"/>
      <c r="E1661" s="17" t="inlineStr">
        <is>
          <t>종업원수</t>
        </is>
      </c>
      <c r="F1661" s="17" t="inlineStr">
        <is>
          <t>미확인</t>
        </is>
      </c>
      <c r="G1661" s="17" t="inlineStr">
        <is>
          <t>웹조사 자동화 실패(세션한도)</t>
        </is>
      </c>
      <c r="H1661" s="17" t="inlineStr">
        <is>
          <t>N</t>
        </is>
      </c>
      <c r="I1661" s="17" t="inlineStr">
        <is>
          <t>DART/채용</t>
        </is>
      </c>
      <c r="J1661" s="17" t="inlineStr">
        <is>
          <t>DART/채용에서 확인</t>
        </is>
      </c>
      <c r="K1661" s="17" t="inlineStr">
        <is>
          <t>낮음</t>
        </is>
      </c>
      <c r="L1661" s="17" t="inlineStr"/>
    </row>
    <row r="1662">
      <c r="A1662" s="17" t="inlineStr">
        <is>
          <t>C266</t>
        </is>
      </c>
      <c r="B1662" s="17" t="inlineStr"/>
      <c r="C1662" s="17" t="inlineStr">
        <is>
          <t>(주)돌나라한농제약</t>
        </is>
      </c>
      <c r="D1662" s="17" t="inlineStr"/>
      <c r="E1662" s="17" t="inlineStr">
        <is>
          <t>수출여부</t>
        </is>
      </c>
      <c r="F1662" s="17" t="inlineStr">
        <is>
          <t>미확인</t>
        </is>
      </c>
      <c r="G1662" s="17" t="inlineStr">
        <is>
          <t>웹조사 자동화 실패(세션한도)</t>
        </is>
      </c>
      <c r="H1662" s="17" t="inlineStr">
        <is>
          <t>N</t>
        </is>
      </c>
      <c r="I1662" s="17" t="inlineStr">
        <is>
          <t>회사 공시·홈페이지</t>
        </is>
      </c>
      <c r="J1662" s="17" t="inlineStr">
        <is>
          <t>회사 공시·홈페이지에서 확인</t>
        </is>
      </c>
      <c r="K1662" s="17" t="inlineStr">
        <is>
          <t>낮음</t>
        </is>
      </c>
      <c r="L1662" s="17" t="inlineStr"/>
    </row>
    <row r="1663">
      <c r="A1663" s="17" t="inlineStr">
        <is>
          <t>C266</t>
        </is>
      </c>
      <c r="B1663" s="17" t="inlineStr"/>
      <c r="C1663" s="17" t="inlineStr">
        <is>
          <t>(주)돌나라한농제약</t>
        </is>
      </c>
      <c r="D1663" s="17" t="inlineStr"/>
      <c r="E1663" s="17" t="inlineStr">
        <is>
          <t>FDA·EMA 실사</t>
        </is>
      </c>
      <c r="F1663" s="17" t="inlineStr">
        <is>
          <t>미확인</t>
        </is>
      </c>
      <c r="G1663" s="17" t="inlineStr">
        <is>
          <t>웹조사 자동화 실패(세션한도)</t>
        </is>
      </c>
      <c r="H1663" s="17" t="inlineStr">
        <is>
          <t>N</t>
        </is>
      </c>
      <c r="I1663" s="17" t="inlineStr">
        <is>
          <t>FDA Inspection DB</t>
        </is>
      </c>
      <c r="J1663" s="17" t="inlineStr">
        <is>
          <t>FDA Inspection DB에서 확인</t>
        </is>
      </c>
      <c r="K1663" s="17" t="inlineStr">
        <is>
          <t>낮음</t>
        </is>
      </c>
      <c r="L1663" s="17" t="inlineStr"/>
    </row>
    <row r="1664">
      <c r="A1664" s="17" t="inlineStr">
        <is>
          <t>C266</t>
        </is>
      </c>
      <c r="B1664" s="17" t="inlineStr"/>
      <c r="C1664" s="17" t="inlineStr">
        <is>
          <t>(주)돌나라한농제약</t>
        </is>
      </c>
      <c r="D1664" s="17" t="inlineStr"/>
      <c r="E1664" s="17" t="inlineStr">
        <is>
          <t>CMO·CDMO</t>
        </is>
      </c>
      <c r="F1664" s="17" t="inlineStr">
        <is>
          <t>미확인</t>
        </is>
      </c>
      <c r="G1664" s="17" t="inlineStr">
        <is>
          <t>웹조사 자동화 실패(세션한도)</t>
        </is>
      </c>
      <c r="H1664" s="17" t="inlineStr">
        <is>
          <t>N</t>
        </is>
      </c>
      <c r="I1664" s="17" t="inlineStr">
        <is>
          <t>회사 홈페이지</t>
        </is>
      </c>
      <c r="J1664" s="17" t="inlineStr">
        <is>
          <t>회사 홈페이지에서 확인</t>
        </is>
      </c>
      <c r="K1664" s="17" t="inlineStr">
        <is>
          <t>낮음</t>
        </is>
      </c>
      <c r="L1664" s="17" t="inlineStr"/>
    </row>
    <row r="1665">
      <c r="A1665" s="17" t="inlineStr">
        <is>
          <t>C266</t>
        </is>
      </c>
      <c r="B1665" s="17" t="inlineStr"/>
      <c r="C1665" s="17" t="inlineStr">
        <is>
          <t>(주)돌나라한농제약</t>
        </is>
      </c>
      <c r="D1665" s="17" t="inlineStr"/>
      <c r="E1665" s="17" t="inlineStr">
        <is>
          <t>신공장·증설</t>
        </is>
      </c>
      <c r="F1665" s="17" t="inlineStr">
        <is>
          <t>미확인</t>
        </is>
      </c>
      <c r="G1665" s="17" t="inlineStr">
        <is>
          <t>웹조사 자동화 실패(세션한도)</t>
        </is>
      </c>
      <c r="H1665" s="17" t="inlineStr">
        <is>
          <t>N</t>
        </is>
      </c>
      <c r="I1665" s="17" t="inlineStr">
        <is>
          <t>언론·지자체 발표</t>
        </is>
      </c>
      <c r="J1665" s="17" t="inlineStr">
        <is>
          <t>언론·지자체 발표에서 확인</t>
        </is>
      </c>
      <c r="K1665" s="17" t="inlineStr">
        <is>
          <t>낮음</t>
        </is>
      </c>
      <c r="L1665" s="17" t="inlineStr"/>
    </row>
    <row r="1666">
      <c r="A1666" s="17" t="inlineStr">
        <is>
          <t>C266</t>
        </is>
      </c>
      <c r="B1666" s="17" t="inlineStr"/>
      <c r="C1666" s="17" t="inlineStr">
        <is>
          <t>(주)돌나라한농제약</t>
        </is>
      </c>
      <c r="D1666" s="17" t="inlineStr"/>
      <c r="E1666" s="17" t="inlineStr">
        <is>
          <t>대표전화</t>
        </is>
      </c>
      <c r="F1666" s="17" t="inlineStr">
        <is>
          <t>미확인</t>
        </is>
      </c>
      <c r="G1666" s="17" t="inlineStr">
        <is>
          <t>제조소상세 미매칭</t>
        </is>
      </c>
      <c r="H1666" s="17" t="inlineStr">
        <is>
          <t>Y</t>
        </is>
      </c>
      <c r="I1666" s="17" t="inlineStr">
        <is>
          <t>회사 홈페이지</t>
        </is>
      </c>
      <c r="J1666" s="17" t="inlineStr">
        <is>
          <t>홈페이지에서 대표번호 확인</t>
        </is>
      </c>
      <c r="K1666" s="17" t="inlineStr">
        <is>
          <t>낮음</t>
        </is>
      </c>
      <c r="L1666" s="17" t="inlineStr"/>
    </row>
    <row r="1667">
      <c r="A1667" s="17" t="inlineStr">
        <is>
          <t>C267</t>
        </is>
      </c>
      <c r="B1667" s="17" t="inlineStr"/>
      <c r="C1667" s="17" t="inlineStr">
        <is>
          <t>(주)코미팜</t>
        </is>
      </c>
      <c r="D1667" s="17" t="inlineStr"/>
      <c r="E1667" s="17" t="inlineStr">
        <is>
          <t>최근매출(억원)</t>
        </is>
      </c>
      <c r="F1667" s="17" t="inlineStr">
        <is>
          <t>미확인</t>
        </is>
      </c>
      <c r="G1667" s="17" t="inlineStr">
        <is>
          <t>웹조사 자동화 실패(세션한도)</t>
        </is>
      </c>
      <c r="H1667" s="17" t="inlineStr">
        <is>
          <t>N</t>
        </is>
      </c>
      <c r="I1667" s="17" t="inlineStr">
        <is>
          <t>DART 사업보고서</t>
        </is>
      </c>
      <c r="J1667" s="17" t="inlineStr">
        <is>
          <t>DART 사업보고서에서 확인</t>
        </is>
      </c>
      <c r="K1667" s="17" t="inlineStr">
        <is>
          <t>낮음</t>
        </is>
      </c>
      <c r="L1667" s="17" t="inlineStr"/>
    </row>
    <row r="1668">
      <c r="A1668" s="17" t="inlineStr">
        <is>
          <t>C267</t>
        </is>
      </c>
      <c r="B1668" s="17" t="inlineStr"/>
      <c r="C1668" s="17" t="inlineStr">
        <is>
          <t>(주)코미팜</t>
        </is>
      </c>
      <c r="D1668" s="17" t="inlineStr"/>
      <c r="E1668" s="17" t="inlineStr">
        <is>
          <t>종업원수</t>
        </is>
      </c>
      <c r="F1668" s="17" t="inlineStr">
        <is>
          <t>미확인</t>
        </is>
      </c>
      <c r="G1668" s="17" t="inlineStr">
        <is>
          <t>웹조사 자동화 실패(세션한도)</t>
        </is>
      </c>
      <c r="H1668" s="17" t="inlineStr">
        <is>
          <t>N</t>
        </is>
      </c>
      <c r="I1668" s="17" t="inlineStr">
        <is>
          <t>DART/채용</t>
        </is>
      </c>
      <c r="J1668" s="17" t="inlineStr">
        <is>
          <t>DART/채용에서 확인</t>
        </is>
      </c>
      <c r="K1668" s="17" t="inlineStr">
        <is>
          <t>낮음</t>
        </is>
      </c>
      <c r="L1668" s="17" t="inlineStr"/>
    </row>
    <row r="1669">
      <c r="A1669" s="17" t="inlineStr">
        <is>
          <t>C267</t>
        </is>
      </c>
      <c r="B1669" s="17" t="inlineStr"/>
      <c r="C1669" s="17" t="inlineStr">
        <is>
          <t>(주)코미팜</t>
        </is>
      </c>
      <c r="D1669" s="17" t="inlineStr"/>
      <c r="E1669" s="17" t="inlineStr">
        <is>
          <t>수출여부</t>
        </is>
      </c>
      <c r="F1669" s="17" t="inlineStr">
        <is>
          <t>미확인</t>
        </is>
      </c>
      <c r="G1669" s="17" t="inlineStr">
        <is>
          <t>웹조사 자동화 실패(세션한도)</t>
        </is>
      </c>
      <c r="H1669" s="17" t="inlineStr">
        <is>
          <t>N</t>
        </is>
      </c>
      <c r="I1669" s="17" t="inlineStr">
        <is>
          <t>회사 공시·홈페이지</t>
        </is>
      </c>
      <c r="J1669" s="17" t="inlineStr">
        <is>
          <t>회사 공시·홈페이지에서 확인</t>
        </is>
      </c>
      <c r="K1669" s="17" t="inlineStr">
        <is>
          <t>낮음</t>
        </is>
      </c>
      <c r="L1669" s="17" t="inlineStr"/>
    </row>
    <row r="1670">
      <c r="A1670" s="17" t="inlineStr">
        <is>
          <t>C267</t>
        </is>
      </c>
      <c r="B1670" s="17" t="inlineStr"/>
      <c r="C1670" s="17" t="inlineStr">
        <is>
          <t>(주)코미팜</t>
        </is>
      </c>
      <c r="D1670" s="17" t="inlineStr"/>
      <c r="E1670" s="17" t="inlineStr">
        <is>
          <t>FDA·EMA 실사</t>
        </is>
      </c>
      <c r="F1670" s="17" t="inlineStr">
        <is>
          <t>미확인</t>
        </is>
      </c>
      <c r="G1670" s="17" t="inlineStr">
        <is>
          <t>웹조사 자동화 실패(세션한도)</t>
        </is>
      </c>
      <c r="H1670" s="17" t="inlineStr">
        <is>
          <t>N</t>
        </is>
      </c>
      <c r="I1670" s="17" t="inlineStr">
        <is>
          <t>FDA Inspection DB</t>
        </is>
      </c>
      <c r="J1670" s="17" t="inlineStr">
        <is>
          <t>FDA Inspection DB에서 확인</t>
        </is>
      </c>
      <c r="K1670" s="17" t="inlineStr">
        <is>
          <t>낮음</t>
        </is>
      </c>
      <c r="L1670" s="17" t="inlineStr"/>
    </row>
    <row r="1671">
      <c r="A1671" s="17" t="inlineStr">
        <is>
          <t>C267</t>
        </is>
      </c>
      <c r="B1671" s="17" t="inlineStr"/>
      <c r="C1671" s="17" t="inlineStr">
        <is>
          <t>(주)코미팜</t>
        </is>
      </c>
      <c r="D1671" s="17" t="inlineStr"/>
      <c r="E1671" s="17" t="inlineStr">
        <is>
          <t>CMO·CDMO</t>
        </is>
      </c>
      <c r="F1671" s="17" t="inlineStr">
        <is>
          <t>미확인</t>
        </is>
      </c>
      <c r="G1671" s="17" t="inlineStr">
        <is>
          <t>웹조사 자동화 실패(세션한도)</t>
        </is>
      </c>
      <c r="H1671" s="17" t="inlineStr">
        <is>
          <t>N</t>
        </is>
      </c>
      <c r="I1671" s="17" t="inlineStr">
        <is>
          <t>회사 홈페이지</t>
        </is>
      </c>
      <c r="J1671" s="17" t="inlineStr">
        <is>
          <t>회사 홈페이지에서 확인</t>
        </is>
      </c>
      <c r="K1671" s="17" t="inlineStr">
        <is>
          <t>낮음</t>
        </is>
      </c>
      <c r="L1671" s="17" t="inlineStr"/>
    </row>
    <row r="1672">
      <c r="A1672" s="17" t="inlineStr">
        <is>
          <t>C267</t>
        </is>
      </c>
      <c r="B1672" s="17" t="inlineStr"/>
      <c r="C1672" s="17" t="inlineStr">
        <is>
          <t>(주)코미팜</t>
        </is>
      </c>
      <c r="D1672" s="17" t="inlineStr"/>
      <c r="E1672" s="17" t="inlineStr">
        <is>
          <t>신공장·증설</t>
        </is>
      </c>
      <c r="F1672" s="17" t="inlineStr">
        <is>
          <t>미확인</t>
        </is>
      </c>
      <c r="G1672" s="17" t="inlineStr">
        <is>
          <t>웹조사 자동화 실패(세션한도)</t>
        </is>
      </c>
      <c r="H1672" s="17" t="inlineStr">
        <is>
          <t>N</t>
        </is>
      </c>
      <c r="I1672" s="17" t="inlineStr">
        <is>
          <t>언론·지자체 발표</t>
        </is>
      </c>
      <c r="J1672" s="17" t="inlineStr">
        <is>
          <t>언론·지자체 발표에서 확인</t>
        </is>
      </c>
      <c r="K1672" s="17" t="inlineStr">
        <is>
          <t>낮음</t>
        </is>
      </c>
      <c r="L1672" s="17" t="inlineStr"/>
    </row>
    <row r="1673">
      <c r="A1673" s="17" t="inlineStr">
        <is>
          <t>C268</t>
        </is>
      </c>
      <c r="B1673" s="17" t="inlineStr"/>
      <c r="C1673" s="17" t="inlineStr">
        <is>
          <t>(주)건영특수가스</t>
        </is>
      </c>
      <c r="D1673" s="17" t="inlineStr"/>
      <c r="E1673" s="17" t="inlineStr">
        <is>
          <t>최근매출(억원)</t>
        </is>
      </c>
      <c r="F1673" s="17" t="inlineStr">
        <is>
          <t>미확인</t>
        </is>
      </c>
      <c r="G1673" s="17" t="inlineStr">
        <is>
          <t>웹조사 자동화 실패(세션한도)</t>
        </is>
      </c>
      <c r="H1673" s="17" t="inlineStr">
        <is>
          <t>N</t>
        </is>
      </c>
      <c r="I1673" s="17" t="inlineStr">
        <is>
          <t>DART 사업보고서</t>
        </is>
      </c>
      <c r="J1673" s="17" t="inlineStr">
        <is>
          <t>DART 사업보고서에서 확인</t>
        </is>
      </c>
      <c r="K1673" s="17" t="inlineStr">
        <is>
          <t>낮음</t>
        </is>
      </c>
      <c r="L1673" s="17" t="inlineStr"/>
    </row>
    <row r="1674">
      <c r="A1674" s="17" t="inlineStr">
        <is>
          <t>C268</t>
        </is>
      </c>
      <c r="B1674" s="17" t="inlineStr"/>
      <c r="C1674" s="17" t="inlineStr">
        <is>
          <t>(주)건영특수가스</t>
        </is>
      </c>
      <c r="D1674" s="17" t="inlineStr"/>
      <c r="E1674" s="17" t="inlineStr">
        <is>
          <t>종업원수</t>
        </is>
      </c>
      <c r="F1674" s="17" t="inlineStr">
        <is>
          <t>미확인</t>
        </is>
      </c>
      <c r="G1674" s="17" t="inlineStr">
        <is>
          <t>웹조사 자동화 실패(세션한도)</t>
        </is>
      </c>
      <c r="H1674" s="17" t="inlineStr">
        <is>
          <t>N</t>
        </is>
      </c>
      <c r="I1674" s="17" t="inlineStr">
        <is>
          <t>DART/채용</t>
        </is>
      </c>
      <c r="J1674" s="17" t="inlineStr">
        <is>
          <t>DART/채용에서 확인</t>
        </is>
      </c>
      <c r="K1674" s="17" t="inlineStr">
        <is>
          <t>낮음</t>
        </is>
      </c>
      <c r="L1674" s="17" t="inlineStr"/>
    </row>
    <row r="1675">
      <c r="A1675" s="17" t="inlineStr">
        <is>
          <t>C268</t>
        </is>
      </c>
      <c r="B1675" s="17" t="inlineStr"/>
      <c r="C1675" s="17" t="inlineStr">
        <is>
          <t>(주)건영특수가스</t>
        </is>
      </c>
      <c r="D1675" s="17" t="inlineStr"/>
      <c r="E1675" s="17" t="inlineStr">
        <is>
          <t>수출여부</t>
        </is>
      </c>
      <c r="F1675" s="17" t="inlineStr">
        <is>
          <t>미확인</t>
        </is>
      </c>
      <c r="G1675" s="17" t="inlineStr">
        <is>
          <t>웹조사 자동화 실패(세션한도)</t>
        </is>
      </c>
      <c r="H1675" s="17" t="inlineStr">
        <is>
          <t>N</t>
        </is>
      </c>
      <c r="I1675" s="17" t="inlineStr">
        <is>
          <t>회사 공시·홈페이지</t>
        </is>
      </c>
      <c r="J1675" s="17" t="inlineStr">
        <is>
          <t>회사 공시·홈페이지에서 확인</t>
        </is>
      </c>
      <c r="K1675" s="17" t="inlineStr">
        <is>
          <t>낮음</t>
        </is>
      </c>
      <c r="L1675" s="17" t="inlineStr"/>
    </row>
    <row r="1676">
      <c r="A1676" s="17" t="inlineStr">
        <is>
          <t>C268</t>
        </is>
      </c>
      <c r="B1676" s="17" t="inlineStr"/>
      <c r="C1676" s="17" t="inlineStr">
        <is>
          <t>(주)건영특수가스</t>
        </is>
      </c>
      <c r="D1676" s="17" t="inlineStr"/>
      <c r="E1676" s="17" t="inlineStr">
        <is>
          <t>FDA·EMA 실사</t>
        </is>
      </c>
      <c r="F1676" s="17" t="inlineStr">
        <is>
          <t>미확인</t>
        </is>
      </c>
      <c r="G1676" s="17" t="inlineStr">
        <is>
          <t>웹조사 자동화 실패(세션한도)</t>
        </is>
      </c>
      <c r="H1676" s="17" t="inlineStr">
        <is>
          <t>N</t>
        </is>
      </c>
      <c r="I1676" s="17" t="inlineStr">
        <is>
          <t>FDA Inspection DB</t>
        </is>
      </c>
      <c r="J1676" s="17" t="inlineStr">
        <is>
          <t>FDA Inspection DB에서 확인</t>
        </is>
      </c>
      <c r="K1676" s="17" t="inlineStr">
        <is>
          <t>낮음</t>
        </is>
      </c>
      <c r="L1676" s="17" t="inlineStr"/>
    </row>
    <row r="1677">
      <c r="A1677" s="17" t="inlineStr">
        <is>
          <t>C268</t>
        </is>
      </c>
      <c r="B1677" s="17" t="inlineStr"/>
      <c r="C1677" s="17" t="inlineStr">
        <is>
          <t>(주)건영특수가스</t>
        </is>
      </c>
      <c r="D1677" s="17" t="inlineStr"/>
      <c r="E1677" s="17" t="inlineStr">
        <is>
          <t>CMO·CDMO</t>
        </is>
      </c>
      <c r="F1677" s="17" t="inlineStr">
        <is>
          <t>미확인</t>
        </is>
      </c>
      <c r="G1677" s="17" t="inlineStr">
        <is>
          <t>웹조사 자동화 실패(세션한도)</t>
        </is>
      </c>
      <c r="H1677" s="17" t="inlineStr">
        <is>
          <t>N</t>
        </is>
      </c>
      <c r="I1677" s="17" t="inlineStr">
        <is>
          <t>회사 홈페이지</t>
        </is>
      </c>
      <c r="J1677" s="17" t="inlineStr">
        <is>
          <t>회사 홈페이지에서 확인</t>
        </is>
      </c>
      <c r="K1677" s="17" t="inlineStr">
        <is>
          <t>낮음</t>
        </is>
      </c>
      <c r="L1677" s="17" t="inlineStr"/>
    </row>
    <row r="1678">
      <c r="A1678" s="17" t="inlineStr">
        <is>
          <t>C268</t>
        </is>
      </c>
      <c r="B1678" s="17" t="inlineStr"/>
      <c r="C1678" s="17" t="inlineStr">
        <is>
          <t>(주)건영특수가스</t>
        </is>
      </c>
      <c r="D1678" s="17" t="inlineStr"/>
      <c r="E1678" s="17" t="inlineStr">
        <is>
          <t>신공장·증설</t>
        </is>
      </c>
      <c r="F1678" s="17" t="inlineStr">
        <is>
          <t>미확인</t>
        </is>
      </c>
      <c r="G1678" s="17" t="inlineStr">
        <is>
          <t>웹조사 자동화 실패(세션한도)</t>
        </is>
      </c>
      <c r="H1678" s="17" t="inlineStr">
        <is>
          <t>N</t>
        </is>
      </c>
      <c r="I1678" s="17" t="inlineStr">
        <is>
          <t>언론·지자체 발표</t>
        </is>
      </c>
      <c r="J1678" s="17" t="inlineStr">
        <is>
          <t>언론·지자체 발표에서 확인</t>
        </is>
      </c>
      <c r="K1678" s="17" t="inlineStr">
        <is>
          <t>낮음</t>
        </is>
      </c>
      <c r="L1678" s="17" t="inlineStr"/>
    </row>
    <row r="1679">
      <c r="A1679" s="17" t="inlineStr">
        <is>
          <t>C269</t>
        </is>
      </c>
      <c r="B1679" s="17" t="inlineStr"/>
      <c r="C1679" s="17" t="inlineStr">
        <is>
          <t>(주)평화산소공업</t>
        </is>
      </c>
      <c r="D1679" s="17" t="inlineStr"/>
      <c r="E1679" s="17" t="inlineStr">
        <is>
          <t>최근매출(억원)</t>
        </is>
      </c>
      <c r="F1679" s="17" t="inlineStr">
        <is>
          <t>미확인</t>
        </is>
      </c>
      <c r="G1679" s="17" t="inlineStr">
        <is>
          <t>웹조사 자동화 실패(세션한도)</t>
        </is>
      </c>
      <c r="H1679" s="17" t="inlineStr">
        <is>
          <t>N</t>
        </is>
      </c>
      <c r="I1679" s="17" t="inlineStr">
        <is>
          <t>DART 사업보고서</t>
        </is>
      </c>
      <c r="J1679" s="17" t="inlineStr">
        <is>
          <t>DART 사업보고서에서 확인</t>
        </is>
      </c>
      <c r="K1679" s="17" t="inlineStr">
        <is>
          <t>낮음</t>
        </is>
      </c>
      <c r="L1679" s="17" t="inlineStr"/>
    </row>
    <row r="1680">
      <c r="A1680" s="17" t="inlineStr">
        <is>
          <t>C269</t>
        </is>
      </c>
      <c r="B1680" s="17" t="inlineStr"/>
      <c r="C1680" s="17" t="inlineStr">
        <is>
          <t>(주)평화산소공업</t>
        </is>
      </c>
      <c r="D1680" s="17" t="inlineStr"/>
      <c r="E1680" s="17" t="inlineStr">
        <is>
          <t>종업원수</t>
        </is>
      </c>
      <c r="F1680" s="17" t="inlineStr">
        <is>
          <t>미확인</t>
        </is>
      </c>
      <c r="G1680" s="17" t="inlineStr">
        <is>
          <t>웹조사 자동화 실패(세션한도)</t>
        </is>
      </c>
      <c r="H1680" s="17" t="inlineStr">
        <is>
          <t>N</t>
        </is>
      </c>
      <c r="I1680" s="17" t="inlineStr">
        <is>
          <t>DART/채용</t>
        </is>
      </c>
      <c r="J1680" s="17" t="inlineStr">
        <is>
          <t>DART/채용에서 확인</t>
        </is>
      </c>
      <c r="K1680" s="17" t="inlineStr">
        <is>
          <t>낮음</t>
        </is>
      </c>
      <c r="L1680" s="17" t="inlineStr"/>
    </row>
    <row r="1681">
      <c r="A1681" s="17" t="inlineStr">
        <is>
          <t>C269</t>
        </is>
      </c>
      <c r="B1681" s="17" t="inlineStr"/>
      <c r="C1681" s="17" t="inlineStr">
        <is>
          <t>(주)평화산소공업</t>
        </is>
      </c>
      <c r="D1681" s="17" t="inlineStr"/>
      <c r="E1681" s="17" t="inlineStr">
        <is>
          <t>수출여부</t>
        </is>
      </c>
      <c r="F1681" s="17" t="inlineStr">
        <is>
          <t>미확인</t>
        </is>
      </c>
      <c r="G1681" s="17" t="inlineStr">
        <is>
          <t>웹조사 자동화 실패(세션한도)</t>
        </is>
      </c>
      <c r="H1681" s="17" t="inlineStr">
        <is>
          <t>N</t>
        </is>
      </c>
      <c r="I1681" s="17" t="inlineStr">
        <is>
          <t>회사 공시·홈페이지</t>
        </is>
      </c>
      <c r="J1681" s="17" t="inlineStr">
        <is>
          <t>회사 공시·홈페이지에서 확인</t>
        </is>
      </c>
      <c r="K1681" s="17" t="inlineStr">
        <is>
          <t>낮음</t>
        </is>
      </c>
      <c r="L1681" s="17" t="inlineStr"/>
    </row>
    <row r="1682">
      <c r="A1682" s="17" t="inlineStr">
        <is>
          <t>C269</t>
        </is>
      </c>
      <c r="B1682" s="17" t="inlineStr"/>
      <c r="C1682" s="17" t="inlineStr">
        <is>
          <t>(주)평화산소공업</t>
        </is>
      </c>
      <c r="D1682" s="17" t="inlineStr"/>
      <c r="E1682" s="17" t="inlineStr">
        <is>
          <t>FDA·EMA 실사</t>
        </is>
      </c>
      <c r="F1682" s="17" t="inlineStr">
        <is>
          <t>미확인</t>
        </is>
      </c>
      <c r="G1682" s="17" t="inlineStr">
        <is>
          <t>웹조사 자동화 실패(세션한도)</t>
        </is>
      </c>
      <c r="H1682" s="17" t="inlineStr">
        <is>
          <t>N</t>
        </is>
      </c>
      <c r="I1682" s="17" t="inlineStr">
        <is>
          <t>FDA Inspection DB</t>
        </is>
      </c>
      <c r="J1682" s="17" t="inlineStr">
        <is>
          <t>FDA Inspection DB에서 확인</t>
        </is>
      </c>
      <c r="K1682" s="17" t="inlineStr">
        <is>
          <t>낮음</t>
        </is>
      </c>
      <c r="L1682" s="17" t="inlineStr"/>
    </row>
    <row r="1683">
      <c r="A1683" s="17" t="inlineStr">
        <is>
          <t>C269</t>
        </is>
      </c>
      <c r="B1683" s="17" t="inlineStr"/>
      <c r="C1683" s="17" t="inlineStr">
        <is>
          <t>(주)평화산소공업</t>
        </is>
      </c>
      <c r="D1683" s="17" t="inlineStr"/>
      <c r="E1683" s="17" t="inlineStr">
        <is>
          <t>CMO·CDMO</t>
        </is>
      </c>
      <c r="F1683" s="17" t="inlineStr">
        <is>
          <t>미확인</t>
        </is>
      </c>
      <c r="G1683" s="17" t="inlineStr">
        <is>
          <t>웹조사 자동화 실패(세션한도)</t>
        </is>
      </c>
      <c r="H1683" s="17" t="inlineStr">
        <is>
          <t>N</t>
        </is>
      </c>
      <c r="I1683" s="17" t="inlineStr">
        <is>
          <t>회사 홈페이지</t>
        </is>
      </c>
      <c r="J1683" s="17" t="inlineStr">
        <is>
          <t>회사 홈페이지에서 확인</t>
        </is>
      </c>
      <c r="K1683" s="17" t="inlineStr">
        <is>
          <t>낮음</t>
        </is>
      </c>
      <c r="L1683" s="17" t="inlineStr"/>
    </row>
    <row r="1684">
      <c r="A1684" s="17" t="inlineStr">
        <is>
          <t>C269</t>
        </is>
      </c>
      <c r="B1684" s="17" t="inlineStr"/>
      <c r="C1684" s="17" t="inlineStr">
        <is>
          <t>(주)평화산소공업</t>
        </is>
      </c>
      <c r="D1684" s="17" t="inlineStr"/>
      <c r="E1684" s="17" t="inlineStr">
        <is>
          <t>신공장·증설</t>
        </is>
      </c>
      <c r="F1684" s="17" t="inlineStr">
        <is>
          <t>미확인</t>
        </is>
      </c>
      <c r="G1684" s="17" t="inlineStr">
        <is>
          <t>웹조사 자동화 실패(세션한도)</t>
        </is>
      </c>
      <c r="H1684" s="17" t="inlineStr">
        <is>
          <t>N</t>
        </is>
      </c>
      <c r="I1684" s="17" t="inlineStr">
        <is>
          <t>언론·지자체 발표</t>
        </is>
      </c>
      <c r="J1684" s="17" t="inlineStr">
        <is>
          <t>언론·지자체 발표에서 확인</t>
        </is>
      </c>
      <c r="K1684" s="17" t="inlineStr">
        <is>
          <t>낮음</t>
        </is>
      </c>
      <c r="L1684" s="17" t="inlineStr"/>
    </row>
    <row r="1685">
      <c r="A1685" s="17" t="inlineStr">
        <is>
          <t>C270</t>
        </is>
      </c>
      <c r="B1685" s="17" t="inlineStr"/>
      <c r="C1685" s="17" t="inlineStr">
        <is>
          <t>주식회사 세종가스산업</t>
        </is>
      </c>
      <c r="D1685" s="17" t="inlineStr"/>
      <c r="E1685" s="17" t="inlineStr">
        <is>
          <t>최근매출(억원)</t>
        </is>
      </c>
      <c r="F1685" s="17" t="inlineStr">
        <is>
          <t>미확인</t>
        </is>
      </c>
      <c r="G1685" s="17" t="inlineStr">
        <is>
          <t>웹조사 자동화 실패(세션한도)</t>
        </is>
      </c>
      <c r="H1685" s="17" t="inlineStr">
        <is>
          <t>N</t>
        </is>
      </c>
      <c r="I1685" s="17" t="inlineStr">
        <is>
          <t>DART 사업보고서</t>
        </is>
      </c>
      <c r="J1685" s="17" t="inlineStr">
        <is>
          <t>DART 사업보고서에서 확인</t>
        </is>
      </c>
      <c r="K1685" s="17" t="inlineStr">
        <is>
          <t>낮음</t>
        </is>
      </c>
      <c r="L1685" s="17" t="inlineStr"/>
    </row>
    <row r="1686">
      <c r="A1686" s="17" t="inlineStr">
        <is>
          <t>C270</t>
        </is>
      </c>
      <c r="B1686" s="17" t="inlineStr"/>
      <c r="C1686" s="17" t="inlineStr">
        <is>
          <t>주식회사 세종가스산업</t>
        </is>
      </c>
      <c r="D1686" s="17" t="inlineStr"/>
      <c r="E1686" s="17" t="inlineStr">
        <is>
          <t>종업원수</t>
        </is>
      </c>
      <c r="F1686" s="17" t="inlineStr">
        <is>
          <t>미확인</t>
        </is>
      </c>
      <c r="G1686" s="17" t="inlineStr">
        <is>
          <t>웹조사 자동화 실패(세션한도)</t>
        </is>
      </c>
      <c r="H1686" s="17" t="inlineStr">
        <is>
          <t>N</t>
        </is>
      </c>
      <c r="I1686" s="17" t="inlineStr">
        <is>
          <t>DART/채용</t>
        </is>
      </c>
      <c r="J1686" s="17" t="inlineStr">
        <is>
          <t>DART/채용에서 확인</t>
        </is>
      </c>
      <c r="K1686" s="17" t="inlineStr">
        <is>
          <t>낮음</t>
        </is>
      </c>
      <c r="L1686" s="17" t="inlineStr"/>
    </row>
    <row r="1687">
      <c r="A1687" s="17" t="inlineStr">
        <is>
          <t>C270</t>
        </is>
      </c>
      <c r="B1687" s="17" t="inlineStr"/>
      <c r="C1687" s="17" t="inlineStr">
        <is>
          <t>주식회사 세종가스산업</t>
        </is>
      </c>
      <c r="D1687" s="17" t="inlineStr"/>
      <c r="E1687" s="17" t="inlineStr">
        <is>
          <t>수출여부</t>
        </is>
      </c>
      <c r="F1687" s="17" t="inlineStr">
        <is>
          <t>미확인</t>
        </is>
      </c>
      <c r="G1687" s="17" t="inlineStr">
        <is>
          <t>웹조사 자동화 실패(세션한도)</t>
        </is>
      </c>
      <c r="H1687" s="17" t="inlineStr">
        <is>
          <t>N</t>
        </is>
      </c>
      <c r="I1687" s="17" t="inlineStr">
        <is>
          <t>회사 공시·홈페이지</t>
        </is>
      </c>
      <c r="J1687" s="17" t="inlineStr">
        <is>
          <t>회사 공시·홈페이지에서 확인</t>
        </is>
      </c>
      <c r="K1687" s="17" t="inlineStr">
        <is>
          <t>낮음</t>
        </is>
      </c>
      <c r="L1687" s="17" t="inlineStr"/>
    </row>
    <row r="1688">
      <c r="A1688" s="17" t="inlineStr">
        <is>
          <t>C270</t>
        </is>
      </c>
      <c r="B1688" s="17" t="inlineStr"/>
      <c r="C1688" s="17" t="inlineStr">
        <is>
          <t>주식회사 세종가스산업</t>
        </is>
      </c>
      <c r="D1688" s="17" t="inlineStr"/>
      <c r="E1688" s="17" t="inlineStr">
        <is>
          <t>FDA·EMA 실사</t>
        </is>
      </c>
      <c r="F1688" s="17" t="inlineStr">
        <is>
          <t>미확인</t>
        </is>
      </c>
      <c r="G1688" s="17" t="inlineStr">
        <is>
          <t>웹조사 자동화 실패(세션한도)</t>
        </is>
      </c>
      <c r="H1688" s="17" t="inlineStr">
        <is>
          <t>N</t>
        </is>
      </c>
      <c r="I1688" s="17" t="inlineStr">
        <is>
          <t>FDA Inspection DB</t>
        </is>
      </c>
      <c r="J1688" s="17" t="inlineStr">
        <is>
          <t>FDA Inspection DB에서 확인</t>
        </is>
      </c>
      <c r="K1688" s="17" t="inlineStr">
        <is>
          <t>낮음</t>
        </is>
      </c>
      <c r="L1688" s="17" t="inlineStr"/>
    </row>
    <row r="1689">
      <c r="A1689" s="17" t="inlineStr">
        <is>
          <t>C270</t>
        </is>
      </c>
      <c r="B1689" s="17" t="inlineStr"/>
      <c r="C1689" s="17" t="inlineStr">
        <is>
          <t>주식회사 세종가스산업</t>
        </is>
      </c>
      <c r="D1689" s="17" t="inlineStr"/>
      <c r="E1689" s="17" t="inlineStr">
        <is>
          <t>CMO·CDMO</t>
        </is>
      </c>
      <c r="F1689" s="17" t="inlineStr">
        <is>
          <t>미확인</t>
        </is>
      </c>
      <c r="G1689" s="17" t="inlineStr">
        <is>
          <t>웹조사 자동화 실패(세션한도)</t>
        </is>
      </c>
      <c r="H1689" s="17" t="inlineStr">
        <is>
          <t>N</t>
        </is>
      </c>
      <c r="I1689" s="17" t="inlineStr">
        <is>
          <t>회사 홈페이지</t>
        </is>
      </c>
      <c r="J1689" s="17" t="inlineStr">
        <is>
          <t>회사 홈페이지에서 확인</t>
        </is>
      </c>
      <c r="K1689" s="17" t="inlineStr">
        <is>
          <t>낮음</t>
        </is>
      </c>
      <c r="L1689" s="17" t="inlineStr"/>
    </row>
    <row r="1690">
      <c r="A1690" s="17" t="inlineStr">
        <is>
          <t>C270</t>
        </is>
      </c>
      <c r="B1690" s="17" t="inlineStr"/>
      <c r="C1690" s="17" t="inlineStr">
        <is>
          <t>주식회사 세종가스산업</t>
        </is>
      </c>
      <c r="D1690" s="17" t="inlineStr"/>
      <c r="E1690" s="17" t="inlineStr">
        <is>
          <t>신공장·증설</t>
        </is>
      </c>
      <c r="F1690" s="17" t="inlineStr">
        <is>
          <t>미확인</t>
        </is>
      </c>
      <c r="G1690" s="17" t="inlineStr">
        <is>
          <t>웹조사 자동화 실패(세션한도)</t>
        </is>
      </c>
      <c r="H1690" s="17" t="inlineStr">
        <is>
          <t>N</t>
        </is>
      </c>
      <c r="I1690" s="17" t="inlineStr">
        <is>
          <t>언론·지자체 발표</t>
        </is>
      </c>
      <c r="J1690" s="17" t="inlineStr">
        <is>
          <t>언론·지자체 발표에서 확인</t>
        </is>
      </c>
      <c r="K1690" s="17" t="inlineStr">
        <is>
          <t>낮음</t>
        </is>
      </c>
      <c r="L1690" s="17" t="inlineStr"/>
    </row>
    <row r="1691">
      <c r="A1691" s="17" t="inlineStr">
        <is>
          <t>C271</t>
        </is>
      </c>
      <c r="B1691" s="17" t="inlineStr"/>
      <c r="C1691" s="17" t="inlineStr">
        <is>
          <t>건일바이오팜주식회사</t>
        </is>
      </c>
      <c r="D1691" s="17" t="inlineStr"/>
      <c r="E1691" s="17" t="inlineStr">
        <is>
          <t>최근매출(억원)</t>
        </is>
      </c>
      <c r="F1691" s="17" t="inlineStr">
        <is>
          <t>미확인</t>
        </is>
      </c>
      <c r="G1691" s="17" t="inlineStr">
        <is>
          <t>웹조사 자동화 실패(세션한도)</t>
        </is>
      </c>
      <c r="H1691" s="17" t="inlineStr">
        <is>
          <t>N</t>
        </is>
      </c>
      <c r="I1691" s="17" t="inlineStr">
        <is>
          <t>DART 사업보고서</t>
        </is>
      </c>
      <c r="J1691" s="17" t="inlineStr">
        <is>
          <t>DART 사업보고서에서 확인</t>
        </is>
      </c>
      <c r="K1691" s="17" t="inlineStr">
        <is>
          <t>낮음</t>
        </is>
      </c>
      <c r="L1691" s="17" t="inlineStr"/>
    </row>
    <row r="1692">
      <c r="A1692" s="17" t="inlineStr">
        <is>
          <t>C271</t>
        </is>
      </c>
      <c r="B1692" s="17" t="inlineStr"/>
      <c r="C1692" s="17" t="inlineStr">
        <is>
          <t>건일바이오팜주식회사</t>
        </is>
      </c>
      <c r="D1692" s="17" t="inlineStr"/>
      <c r="E1692" s="17" t="inlineStr">
        <is>
          <t>종업원수</t>
        </is>
      </c>
      <c r="F1692" s="17" t="inlineStr">
        <is>
          <t>미확인</t>
        </is>
      </c>
      <c r="G1692" s="17" t="inlineStr">
        <is>
          <t>웹조사 자동화 실패(세션한도)</t>
        </is>
      </c>
      <c r="H1692" s="17" t="inlineStr">
        <is>
          <t>N</t>
        </is>
      </c>
      <c r="I1692" s="17" t="inlineStr">
        <is>
          <t>DART/채용</t>
        </is>
      </c>
      <c r="J1692" s="17" t="inlineStr">
        <is>
          <t>DART/채용에서 확인</t>
        </is>
      </c>
      <c r="K1692" s="17" t="inlineStr">
        <is>
          <t>낮음</t>
        </is>
      </c>
      <c r="L1692" s="17" t="inlineStr"/>
    </row>
    <row r="1693">
      <c r="A1693" s="17" t="inlineStr">
        <is>
          <t>C271</t>
        </is>
      </c>
      <c r="B1693" s="17" t="inlineStr"/>
      <c r="C1693" s="17" t="inlineStr">
        <is>
          <t>건일바이오팜주식회사</t>
        </is>
      </c>
      <c r="D1693" s="17" t="inlineStr"/>
      <c r="E1693" s="17" t="inlineStr">
        <is>
          <t>수출여부</t>
        </is>
      </c>
      <c r="F1693" s="17" t="inlineStr">
        <is>
          <t>미확인</t>
        </is>
      </c>
      <c r="G1693" s="17" t="inlineStr">
        <is>
          <t>웹조사 자동화 실패(세션한도)</t>
        </is>
      </c>
      <c r="H1693" s="17" t="inlineStr">
        <is>
          <t>N</t>
        </is>
      </c>
      <c r="I1693" s="17" t="inlineStr">
        <is>
          <t>회사 공시·홈페이지</t>
        </is>
      </c>
      <c r="J1693" s="17" t="inlineStr">
        <is>
          <t>회사 공시·홈페이지에서 확인</t>
        </is>
      </c>
      <c r="K1693" s="17" t="inlineStr">
        <is>
          <t>낮음</t>
        </is>
      </c>
      <c r="L1693" s="17" t="inlineStr"/>
    </row>
    <row r="1694">
      <c r="A1694" s="17" t="inlineStr">
        <is>
          <t>C271</t>
        </is>
      </c>
      <c r="B1694" s="17" t="inlineStr"/>
      <c r="C1694" s="17" t="inlineStr">
        <is>
          <t>건일바이오팜주식회사</t>
        </is>
      </c>
      <c r="D1694" s="17" t="inlineStr"/>
      <c r="E1694" s="17" t="inlineStr">
        <is>
          <t>FDA·EMA 실사</t>
        </is>
      </c>
      <c r="F1694" s="17" t="inlineStr">
        <is>
          <t>미확인</t>
        </is>
      </c>
      <c r="G1694" s="17" t="inlineStr">
        <is>
          <t>웹조사 자동화 실패(세션한도)</t>
        </is>
      </c>
      <c r="H1694" s="17" t="inlineStr">
        <is>
          <t>N</t>
        </is>
      </c>
      <c r="I1694" s="17" t="inlineStr">
        <is>
          <t>FDA Inspection DB</t>
        </is>
      </c>
      <c r="J1694" s="17" t="inlineStr">
        <is>
          <t>FDA Inspection DB에서 확인</t>
        </is>
      </c>
      <c r="K1694" s="17" t="inlineStr">
        <is>
          <t>낮음</t>
        </is>
      </c>
      <c r="L1694" s="17" t="inlineStr"/>
    </row>
    <row r="1695">
      <c r="A1695" s="17" t="inlineStr">
        <is>
          <t>C271</t>
        </is>
      </c>
      <c r="B1695" s="17" t="inlineStr"/>
      <c r="C1695" s="17" t="inlineStr">
        <is>
          <t>건일바이오팜주식회사</t>
        </is>
      </c>
      <c r="D1695" s="17" t="inlineStr"/>
      <c r="E1695" s="17" t="inlineStr">
        <is>
          <t>CMO·CDMO</t>
        </is>
      </c>
      <c r="F1695" s="17" t="inlineStr">
        <is>
          <t>미확인</t>
        </is>
      </c>
      <c r="G1695" s="17" t="inlineStr">
        <is>
          <t>웹조사 자동화 실패(세션한도)</t>
        </is>
      </c>
      <c r="H1695" s="17" t="inlineStr">
        <is>
          <t>N</t>
        </is>
      </c>
      <c r="I1695" s="17" t="inlineStr">
        <is>
          <t>회사 홈페이지</t>
        </is>
      </c>
      <c r="J1695" s="17" t="inlineStr">
        <is>
          <t>회사 홈페이지에서 확인</t>
        </is>
      </c>
      <c r="K1695" s="17" t="inlineStr">
        <is>
          <t>낮음</t>
        </is>
      </c>
      <c r="L1695" s="17" t="inlineStr"/>
    </row>
    <row r="1696">
      <c r="A1696" s="17" t="inlineStr">
        <is>
          <t>C271</t>
        </is>
      </c>
      <c r="B1696" s="17" t="inlineStr"/>
      <c r="C1696" s="17" t="inlineStr">
        <is>
          <t>건일바이오팜주식회사</t>
        </is>
      </c>
      <c r="D1696" s="17" t="inlineStr"/>
      <c r="E1696" s="17" t="inlineStr">
        <is>
          <t>신공장·증설</t>
        </is>
      </c>
      <c r="F1696" s="17" t="inlineStr">
        <is>
          <t>미확인</t>
        </is>
      </c>
      <c r="G1696" s="17" t="inlineStr">
        <is>
          <t>웹조사 자동화 실패(세션한도)</t>
        </is>
      </c>
      <c r="H1696" s="17" t="inlineStr">
        <is>
          <t>N</t>
        </is>
      </c>
      <c r="I1696" s="17" t="inlineStr">
        <is>
          <t>언론·지자체 발표</t>
        </is>
      </c>
      <c r="J1696" s="17" t="inlineStr">
        <is>
          <t>언론·지자체 발표에서 확인</t>
        </is>
      </c>
      <c r="K1696" s="17" t="inlineStr">
        <is>
          <t>낮음</t>
        </is>
      </c>
      <c r="L1696" s="17" t="inlineStr"/>
    </row>
    <row r="1697">
      <c r="A1697" s="17" t="inlineStr">
        <is>
          <t>C272</t>
        </is>
      </c>
      <c r="B1697" s="17" t="inlineStr"/>
      <c r="C1697" s="17" t="inlineStr">
        <is>
          <t>(주)바이오솔루션</t>
        </is>
      </c>
      <c r="D1697" s="17" t="inlineStr"/>
      <c r="E1697" s="17" t="inlineStr">
        <is>
          <t>최근매출(억원)</t>
        </is>
      </c>
      <c r="F1697" s="17" t="inlineStr">
        <is>
          <t>미확인</t>
        </is>
      </c>
      <c r="G1697" s="17" t="inlineStr">
        <is>
          <t>웹조사 자동화 실패(세션한도)</t>
        </is>
      </c>
      <c r="H1697" s="17" t="inlineStr">
        <is>
          <t>N</t>
        </is>
      </c>
      <c r="I1697" s="17" t="inlineStr">
        <is>
          <t>DART 사업보고서</t>
        </is>
      </c>
      <c r="J1697" s="17" t="inlineStr">
        <is>
          <t>DART 사업보고서에서 확인</t>
        </is>
      </c>
      <c r="K1697" s="17" t="inlineStr">
        <is>
          <t>낮음</t>
        </is>
      </c>
      <c r="L1697" s="17" t="inlineStr"/>
    </row>
    <row r="1698">
      <c r="A1698" s="17" t="inlineStr">
        <is>
          <t>C272</t>
        </is>
      </c>
      <c r="B1698" s="17" t="inlineStr"/>
      <c r="C1698" s="17" t="inlineStr">
        <is>
          <t>(주)바이오솔루션</t>
        </is>
      </c>
      <c r="D1698" s="17" t="inlineStr"/>
      <c r="E1698" s="17" t="inlineStr">
        <is>
          <t>종업원수</t>
        </is>
      </c>
      <c r="F1698" s="17" t="inlineStr">
        <is>
          <t>미확인</t>
        </is>
      </c>
      <c r="G1698" s="17" t="inlineStr">
        <is>
          <t>웹조사 자동화 실패(세션한도)</t>
        </is>
      </c>
      <c r="H1698" s="17" t="inlineStr">
        <is>
          <t>N</t>
        </is>
      </c>
      <c r="I1698" s="17" t="inlineStr">
        <is>
          <t>DART/채용</t>
        </is>
      </c>
      <c r="J1698" s="17" t="inlineStr">
        <is>
          <t>DART/채용에서 확인</t>
        </is>
      </c>
      <c r="K1698" s="17" t="inlineStr">
        <is>
          <t>낮음</t>
        </is>
      </c>
      <c r="L1698" s="17" t="inlineStr"/>
    </row>
    <row r="1699">
      <c r="A1699" s="17" t="inlineStr">
        <is>
          <t>C272</t>
        </is>
      </c>
      <c r="B1699" s="17" t="inlineStr"/>
      <c r="C1699" s="17" t="inlineStr">
        <is>
          <t>(주)바이오솔루션</t>
        </is>
      </c>
      <c r="D1699" s="17" t="inlineStr"/>
      <c r="E1699" s="17" t="inlineStr">
        <is>
          <t>수출여부</t>
        </is>
      </c>
      <c r="F1699" s="17" t="inlineStr">
        <is>
          <t>미확인</t>
        </is>
      </c>
      <c r="G1699" s="17" t="inlineStr">
        <is>
          <t>웹조사 자동화 실패(세션한도)</t>
        </is>
      </c>
      <c r="H1699" s="17" t="inlineStr">
        <is>
          <t>N</t>
        </is>
      </c>
      <c r="I1699" s="17" t="inlineStr">
        <is>
          <t>회사 공시·홈페이지</t>
        </is>
      </c>
      <c r="J1699" s="17" t="inlineStr">
        <is>
          <t>회사 공시·홈페이지에서 확인</t>
        </is>
      </c>
      <c r="K1699" s="17" t="inlineStr">
        <is>
          <t>낮음</t>
        </is>
      </c>
      <c r="L1699" s="17" t="inlineStr"/>
    </row>
    <row r="1700">
      <c r="A1700" s="17" t="inlineStr">
        <is>
          <t>C272</t>
        </is>
      </c>
      <c r="B1700" s="17" t="inlineStr"/>
      <c r="C1700" s="17" t="inlineStr">
        <is>
          <t>(주)바이오솔루션</t>
        </is>
      </c>
      <c r="D1700" s="17" t="inlineStr"/>
      <c r="E1700" s="17" t="inlineStr">
        <is>
          <t>FDA·EMA 실사</t>
        </is>
      </c>
      <c r="F1700" s="17" t="inlineStr">
        <is>
          <t>미확인</t>
        </is>
      </c>
      <c r="G1700" s="17" t="inlineStr">
        <is>
          <t>웹조사 자동화 실패(세션한도)</t>
        </is>
      </c>
      <c r="H1700" s="17" t="inlineStr">
        <is>
          <t>N</t>
        </is>
      </c>
      <c r="I1700" s="17" t="inlineStr">
        <is>
          <t>FDA Inspection DB</t>
        </is>
      </c>
      <c r="J1700" s="17" t="inlineStr">
        <is>
          <t>FDA Inspection DB에서 확인</t>
        </is>
      </c>
      <c r="K1700" s="17" t="inlineStr">
        <is>
          <t>낮음</t>
        </is>
      </c>
      <c r="L1700" s="17" t="inlineStr"/>
    </row>
    <row r="1701">
      <c r="A1701" s="17" t="inlineStr">
        <is>
          <t>C272</t>
        </is>
      </c>
      <c r="B1701" s="17" t="inlineStr"/>
      <c r="C1701" s="17" t="inlineStr">
        <is>
          <t>(주)바이오솔루션</t>
        </is>
      </c>
      <c r="D1701" s="17" t="inlineStr"/>
      <c r="E1701" s="17" t="inlineStr">
        <is>
          <t>CMO·CDMO</t>
        </is>
      </c>
      <c r="F1701" s="17" t="inlineStr">
        <is>
          <t>미확인</t>
        </is>
      </c>
      <c r="G1701" s="17" t="inlineStr">
        <is>
          <t>웹조사 자동화 실패(세션한도)</t>
        </is>
      </c>
      <c r="H1701" s="17" t="inlineStr">
        <is>
          <t>N</t>
        </is>
      </c>
      <c r="I1701" s="17" t="inlineStr">
        <is>
          <t>회사 홈페이지</t>
        </is>
      </c>
      <c r="J1701" s="17" t="inlineStr">
        <is>
          <t>회사 홈페이지에서 확인</t>
        </is>
      </c>
      <c r="K1701" s="17" t="inlineStr">
        <is>
          <t>낮음</t>
        </is>
      </c>
      <c r="L1701" s="17" t="inlineStr"/>
    </row>
    <row r="1702">
      <c r="A1702" s="17" t="inlineStr">
        <is>
          <t>C272</t>
        </is>
      </c>
      <c r="B1702" s="17" t="inlineStr"/>
      <c r="C1702" s="17" t="inlineStr">
        <is>
          <t>(주)바이오솔루션</t>
        </is>
      </c>
      <c r="D1702" s="17" t="inlineStr"/>
      <c r="E1702" s="17" t="inlineStr">
        <is>
          <t>신공장·증설</t>
        </is>
      </c>
      <c r="F1702" s="17" t="inlineStr">
        <is>
          <t>미확인</t>
        </is>
      </c>
      <c r="G1702" s="17" t="inlineStr">
        <is>
          <t>웹조사 자동화 실패(세션한도)</t>
        </is>
      </c>
      <c r="H1702" s="17" t="inlineStr">
        <is>
          <t>N</t>
        </is>
      </c>
      <c r="I1702" s="17" t="inlineStr">
        <is>
          <t>언론·지자체 발표</t>
        </is>
      </c>
      <c r="J1702" s="17" t="inlineStr">
        <is>
          <t>언론·지자체 발표에서 확인</t>
        </is>
      </c>
      <c r="K1702" s="17" t="inlineStr">
        <is>
          <t>낮음</t>
        </is>
      </c>
      <c r="L1702" s="17" t="inlineStr"/>
    </row>
    <row r="1703">
      <c r="A1703" s="17" t="inlineStr">
        <is>
          <t>C272</t>
        </is>
      </c>
      <c r="B1703" s="17" t="inlineStr"/>
      <c r="C1703" s="17" t="inlineStr">
        <is>
          <t>(주)바이오솔루션</t>
        </is>
      </c>
      <c r="D1703" s="17" t="inlineStr"/>
      <c r="E1703" s="17" t="inlineStr">
        <is>
          <t>대표전화</t>
        </is>
      </c>
      <c r="F1703" s="17" t="inlineStr">
        <is>
          <t>미확인</t>
        </is>
      </c>
      <c r="G1703" s="17" t="inlineStr">
        <is>
          <t>제조소상세 미매칭</t>
        </is>
      </c>
      <c r="H1703" s="17" t="inlineStr">
        <is>
          <t>Y</t>
        </is>
      </c>
      <c r="I1703" s="17" t="inlineStr">
        <is>
          <t>회사 홈페이지</t>
        </is>
      </c>
      <c r="J1703" s="17" t="inlineStr">
        <is>
          <t>홈페이지에서 대표번호 확인</t>
        </is>
      </c>
      <c r="K1703" s="17" t="inlineStr">
        <is>
          <t>낮음</t>
        </is>
      </c>
      <c r="L1703" s="17" t="inlineStr"/>
    </row>
    <row r="1704">
      <c r="A1704" s="17" t="inlineStr">
        <is>
          <t>C273</t>
        </is>
      </c>
      <c r="B1704" s="17" t="inlineStr"/>
      <c r="C1704" s="17" t="inlineStr">
        <is>
          <t>(주)안트로젠</t>
        </is>
      </c>
      <c r="D1704" s="17" t="inlineStr"/>
      <c r="E1704" s="17" t="inlineStr">
        <is>
          <t>최근매출(억원)</t>
        </is>
      </c>
      <c r="F1704" s="17" t="inlineStr">
        <is>
          <t>미확인</t>
        </is>
      </c>
      <c r="G1704" s="17" t="inlineStr">
        <is>
          <t>웹조사 자동화 실패(세션한도)</t>
        </is>
      </c>
      <c r="H1704" s="17" t="inlineStr">
        <is>
          <t>N</t>
        </is>
      </c>
      <c r="I1704" s="17" t="inlineStr">
        <is>
          <t>DART 사업보고서</t>
        </is>
      </c>
      <c r="J1704" s="17" t="inlineStr">
        <is>
          <t>DART 사업보고서에서 확인</t>
        </is>
      </c>
      <c r="K1704" s="17" t="inlineStr">
        <is>
          <t>낮음</t>
        </is>
      </c>
      <c r="L1704" s="17" t="inlineStr"/>
    </row>
    <row r="1705">
      <c r="A1705" s="17" t="inlineStr">
        <is>
          <t>C273</t>
        </is>
      </c>
      <c r="B1705" s="17" t="inlineStr"/>
      <c r="C1705" s="17" t="inlineStr">
        <is>
          <t>(주)안트로젠</t>
        </is>
      </c>
      <c r="D1705" s="17" t="inlineStr"/>
      <c r="E1705" s="17" t="inlineStr">
        <is>
          <t>종업원수</t>
        </is>
      </c>
      <c r="F1705" s="17" t="inlineStr">
        <is>
          <t>미확인</t>
        </is>
      </c>
      <c r="G1705" s="17" t="inlineStr">
        <is>
          <t>웹조사 자동화 실패(세션한도)</t>
        </is>
      </c>
      <c r="H1705" s="17" t="inlineStr">
        <is>
          <t>N</t>
        </is>
      </c>
      <c r="I1705" s="17" t="inlineStr">
        <is>
          <t>DART/채용</t>
        </is>
      </c>
      <c r="J1705" s="17" t="inlineStr">
        <is>
          <t>DART/채용에서 확인</t>
        </is>
      </c>
      <c r="K1705" s="17" t="inlineStr">
        <is>
          <t>낮음</t>
        </is>
      </c>
      <c r="L1705" s="17" t="inlineStr"/>
    </row>
    <row r="1706">
      <c r="A1706" s="17" t="inlineStr">
        <is>
          <t>C273</t>
        </is>
      </c>
      <c r="B1706" s="17" t="inlineStr"/>
      <c r="C1706" s="17" t="inlineStr">
        <is>
          <t>(주)안트로젠</t>
        </is>
      </c>
      <c r="D1706" s="17" t="inlineStr"/>
      <c r="E1706" s="17" t="inlineStr">
        <is>
          <t>수출여부</t>
        </is>
      </c>
      <c r="F1706" s="17" t="inlineStr">
        <is>
          <t>미확인</t>
        </is>
      </c>
      <c r="G1706" s="17" t="inlineStr">
        <is>
          <t>웹조사 자동화 실패(세션한도)</t>
        </is>
      </c>
      <c r="H1706" s="17" t="inlineStr">
        <is>
          <t>N</t>
        </is>
      </c>
      <c r="I1706" s="17" t="inlineStr">
        <is>
          <t>회사 공시·홈페이지</t>
        </is>
      </c>
      <c r="J1706" s="17" t="inlineStr">
        <is>
          <t>회사 공시·홈페이지에서 확인</t>
        </is>
      </c>
      <c r="K1706" s="17" t="inlineStr">
        <is>
          <t>낮음</t>
        </is>
      </c>
      <c r="L1706" s="17" t="inlineStr"/>
    </row>
    <row r="1707">
      <c r="A1707" s="17" t="inlineStr">
        <is>
          <t>C273</t>
        </is>
      </c>
      <c r="B1707" s="17" t="inlineStr"/>
      <c r="C1707" s="17" t="inlineStr">
        <is>
          <t>(주)안트로젠</t>
        </is>
      </c>
      <c r="D1707" s="17" t="inlineStr"/>
      <c r="E1707" s="17" t="inlineStr">
        <is>
          <t>FDA·EMA 실사</t>
        </is>
      </c>
      <c r="F1707" s="17" t="inlineStr">
        <is>
          <t>미확인</t>
        </is>
      </c>
      <c r="G1707" s="17" t="inlineStr">
        <is>
          <t>웹조사 자동화 실패(세션한도)</t>
        </is>
      </c>
      <c r="H1707" s="17" t="inlineStr">
        <is>
          <t>N</t>
        </is>
      </c>
      <c r="I1707" s="17" t="inlineStr">
        <is>
          <t>FDA Inspection DB</t>
        </is>
      </c>
      <c r="J1707" s="17" t="inlineStr">
        <is>
          <t>FDA Inspection DB에서 확인</t>
        </is>
      </c>
      <c r="K1707" s="17" t="inlineStr">
        <is>
          <t>낮음</t>
        </is>
      </c>
      <c r="L1707" s="17" t="inlineStr"/>
    </row>
    <row r="1708">
      <c r="A1708" s="17" t="inlineStr">
        <is>
          <t>C273</t>
        </is>
      </c>
      <c r="B1708" s="17" t="inlineStr"/>
      <c r="C1708" s="17" t="inlineStr">
        <is>
          <t>(주)안트로젠</t>
        </is>
      </c>
      <c r="D1708" s="17" t="inlineStr"/>
      <c r="E1708" s="17" t="inlineStr">
        <is>
          <t>CMO·CDMO</t>
        </is>
      </c>
      <c r="F1708" s="17" t="inlineStr">
        <is>
          <t>미확인</t>
        </is>
      </c>
      <c r="G1708" s="17" t="inlineStr">
        <is>
          <t>웹조사 자동화 실패(세션한도)</t>
        </is>
      </c>
      <c r="H1708" s="17" t="inlineStr">
        <is>
          <t>N</t>
        </is>
      </c>
      <c r="I1708" s="17" t="inlineStr">
        <is>
          <t>회사 홈페이지</t>
        </is>
      </c>
      <c r="J1708" s="17" t="inlineStr">
        <is>
          <t>회사 홈페이지에서 확인</t>
        </is>
      </c>
      <c r="K1708" s="17" t="inlineStr">
        <is>
          <t>낮음</t>
        </is>
      </c>
      <c r="L1708" s="17" t="inlineStr"/>
    </row>
    <row r="1709">
      <c r="A1709" s="17" t="inlineStr">
        <is>
          <t>C273</t>
        </is>
      </c>
      <c r="B1709" s="17" t="inlineStr"/>
      <c r="C1709" s="17" t="inlineStr">
        <is>
          <t>(주)안트로젠</t>
        </is>
      </c>
      <c r="D1709" s="17" t="inlineStr"/>
      <c r="E1709" s="17" t="inlineStr">
        <is>
          <t>신공장·증설</t>
        </is>
      </c>
      <c r="F1709" s="17" t="inlineStr">
        <is>
          <t>미확인</t>
        </is>
      </c>
      <c r="G1709" s="17" t="inlineStr">
        <is>
          <t>웹조사 자동화 실패(세션한도)</t>
        </is>
      </c>
      <c r="H1709" s="17" t="inlineStr">
        <is>
          <t>N</t>
        </is>
      </c>
      <c r="I1709" s="17" t="inlineStr">
        <is>
          <t>언론·지자체 발표</t>
        </is>
      </c>
      <c r="J1709" s="17" t="inlineStr">
        <is>
          <t>언론·지자체 발표에서 확인</t>
        </is>
      </c>
      <c r="K1709" s="17" t="inlineStr">
        <is>
          <t>낮음</t>
        </is>
      </c>
      <c r="L1709" s="17" t="inlineStr"/>
    </row>
    <row r="1710">
      <c r="A1710" s="17" t="inlineStr">
        <is>
          <t>C273</t>
        </is>
      </c>
      <c r="B1710" s="17" t="inlineStr"/>
      <c r="C1710" s="17" t="inlineStr">
        <is>
          <t>(주)안트로젠</t>
        </is>
      </c>
      <c r="D1710" s="17" t="inlineStr"/>
      <c r="E1710" s="17" t="inlineStr">
        <is>
          <t>대표전화</t>
        </is>
      </c>
      <c r="F1710" s="17" t="inlineStr">
        <is>
          <t>미확인</t>
        </is>
      </c>
      <c r="G1710" s="17" t="inlineStr">
        <is>
          <t>제조소상세 미매칭</t>
        </is>
      </c>
      <c r="H1710" s="17" t="inlineStr">
        <is>
          <t>Y</t>
        </is>
      </c>
      <c r="I1710" s="17" t="inlineStr">
        <is>
          <t>회사 홈페이지</t>
        </is>
      </c>
      <c r="J1710" s="17" t="inlineStr">
        <is>
          <t>홈페이지에서 대표번호 확인</t>
        </is>
      </c>
      <c r="K1710" s="17" t="inlineStr">
        <is>
          <t>낮음</t>
        </is>
      </c>
      <c r="L1710" s="17" t="inlineStr"/>
    </row>
    <row r="1711">
      <c r="A1711" s="17" t="inlineStr">
        <is>
          <t>C274</t>
        </is>
      </c>
      <c r="B1711" s="17" t="inlineStr"/>
      <c r="C1711" s="17" t="inlineStr">
        <is>
          <t>(주)에니웨이</t>
        </is>
      </c>
      <c r="D1711" s="17" t="inlineStr"/>
      <c r="E1711" s="17" t="inlineStr">
        <is>
          <t>최근매출(억원)</t>
        </is>
      </c>
      <c r="F1711" s="17" t="inlineStr">
        <is>
          <t>미확인</t>
        </is>
      </c>
      <c r="G1711" s="17" t="inlineStr">
        <is>
          <t>웹조사 자동화 실패(세션한도)</t>
        </is>
      </c>
      <c r="H1711" s="17" t="inlineStr">
        <is>
          <t>N</t>
        </is>
      </c>
      <c r="I1711" s="17" t="inlineStr">
        <is>
          <t>DART 사업보고서</t>
        </is>
      </c>
      <c r="J1711" s="17" t="inlineStr">
        <is>
          <t>DART 사업보고서에서 확인</t>
        </is>
      </c>
      <c r="K1711" s="17" t="inlineStr">
        <is>
          <t>낮음</t>
        </is>
      </c>
      <c r="L1711" s="17" t="inlineStr"/>
    </row>
    <row r="1712">
      <c r="A1712" s="17" t="inlineStr">
        <is>
          <t>C274</t>
        </is>
      </c>
      <c r="B1712" s="17" t="inlineStr"/>
      <c r="C1712" s="17" t="inlineStr">
        <is>
          <t>(주)에니웨이</t>
        </is>
      </c>
      <c r="D1712" s="17" t="inlineStr"/>
      <c r="E1712" s="17" t="inlineStr">
        <is>
          <t>종업원수</t>
        </is>
      </c>
      <c r="F1712" s="17" t="inlineStr">
        <is>
          <t>미확인</t>
        </is>
      </c>
      <c r="G1712" s="17" t="inlineStr">
        <is>
          <t>웹조사 자동화 실패(세션한도)</t>
        </is>
      </c>
      <c r="H1712" s="17" t="inlineStr">
        <is>
          <t>N</t>
        </is>
      </c>
      <c r="I1712" s="17" t="inlineStr">
        <is>
          <t>DART/채용</t>
        </is>
      </c>
      <c r="J1712" s="17" t="inlineStr">
        <is>
          <t>DART/채용에서 확인</t>
        </is>
      </c>
      <c r="K1712" s="17" t="inlineStr">
        <is>
          <t>낮음</t>
        </is>
      </c>
      <c r="L1712" s="17" t="inlineStr"/>
    </row>
    <row r="1713">
      <c r="A1713" s="17" t="inlineStr">
        <is>
          <t>C274</t>
        </is>
      </c>
      <c r="B1713" s="17" t="inlineStr"/>
      <c r="C1713" s="17" t="inlineStr">
        <is>
          <t>(주)에니웨이</t>
        </is>
      </c>
      <c r="D1713" s="17" t="inlineStr"/>
      <c r="E1713" s="17" t="inlineStr">
        <is>
          <t>수출여부</t>
        </is>
      </c>
      <c r="F1713" s="17" t="inlineStr">
        <is>
          <t>미확인</t>
        </is>
      </c>
      <c r="G1713" s="17" t="inlineStr">
        <is>
          <t>웹조사 자동화 실패(세션한도)</t>
        </is>
      </c>
      <c r="H1713" s="17" t="inlineStr">
        <is>
          <t>N</t>
        </is>
      </c>
      <c r="I1713" s="17" t="inlineStr">
        <is>
          <t>회사 공시·홈페이지</t>
        </is>
      </c>
      <c r="J1713" s="17" t="inlineStr">
        <is>
          <t>회사 공시·홈페이지에서 확인</t>
        </is>
      </c>
      <c r="K1713" s="17" t="inlineStr">
        <is>
          <t>낮음</t>
        </is>
      </c>
      <c r="L1713" s="17" t="inlineStr"/>
    </row>
    <row r="1714">
      <c r="A1714" s="17" t="inlineStr">
        <is>
          <t>C274</t>
        </is>
      </c>
      <c r="B1714" s="17" t="inlineStr"/>
      <c r="C1714" s="17" t="inlineStr">
        <is>
          <t>(주)에니웨이</t>
        </is>
      </c>
      <c r="D1714" s="17" t="inlineStr"/>
      <c r="E1714" s="17" t="inlineStr">
        <is>
          <t>FDA·EMA 실사</t>
        </is>
      </c>
      <c r="F1714" s="17" t="inlineStr">
        <is>
          <t>미확인</t>
        </is>
      </c>
      <c r="G1714" s="17" t="inlineStr">
        <is>
          <t>웹조사 자동화 실패(세션한도)</t>
        </is>
      </c>
      <c r="H1714" s="17" t="inlineStr">
        <is>
          <t>N</t>
        </is>
      </c>
      <c r="I1714" s="17" t="inlineStr">
        <is>
          <t>FDA Inspection DB</t>
        </is>
      </c>
      <c r="J1714" s="17" t="inlineStr">
        <is>
          <t>FDA Inspection DB에서 확인</t>
        </is>
      </c>
      <c r="K1714" s="17" t="inlineStr">
        <is>
          <t>낮음</t>
        </is>
      </c>
      <c r="L1714" s="17" t="inlineStr"/>
    </row>
    <row r="1715">
      <c r="A1715" s="17" t="inlineStr">
        <is>
          <t>C274</t>
        </is>
      </c>
      <c r="B1715" s="17" t="inlineStr"/>
      <c r="C1715" s="17" t="inlineStr">
        <is>
          <t>(주)에니웨이</t>
        </is>
      </c>
      <c r="D1715" s="17" t="inlineStr"/>
      <c r="E1715" s="17" t="inlineStr">
        <is>
          <t>CMO·CDMO</t>
        </is>
      </c>
      <c r="F1715" s="17" t="inlineStr">
        <is>
          <t>미확인</t>
        </is>
      </c>
      <c r="G1715" s="17" t="inlineStr">
        <is>
          <t>웹조사 자동화 실패(세션한도)</t>
        </is>
      </c>
      <c r="H1715" s="17" t="inlineStr">
        <is>
          <t>N</t>
        </is>
      </c>
      <c r="I1715" s="17" t="inlineStr">
        <is>
          <t>회사 홈페이지</t>
        </is>
      </c>
      <c r="J1715" s="17" t="inlineStr">
        <is>
          <t>회사 홈페이지에서 확인</t>
        </is>
      </c>
      <c r="K1715" s="17" t="inlineStr">
        <is>
          <t>낮음</t>
        </is>
      </c>
      <c r="L1715" s="17" t="inlineStr"/>
    </row>
    <row r="1716">
      <c r="A1716" s="17" t="inlineStr">
        <is>
          <t>C274</t>
        </is>
      </c>
      <c r="B1716" s="17" t="inlineStr"/>
      <c r="C1716" s="17" t="inlineStr">
        <is>
          <t>(주)에니웨이</t>
        </is>
      </c>
      <c r="D1716" s="17" t="inlineStr"/>
      <c r="E1716" s="17" t="inlineStr">
        <is>
          <t>신공장·증설</t>
        </is>
      </c>
      <c r="F1716" s="17" t="inlineStr">
        <is>
          <t>미확인</t>
        </is>
      </c>
      <c r="G1716" s="17" t="inlineStr">
        <is>
          <t>웹조사 자동화 실패(세션한도)</t>
        </is>
      </c>
      <c r="H1716" s="17" t="inlineStr">
        <is>
          <t>N</t>
        </is>
      </c>
      <c r="I1716" s="17" t="inlineStr">
        <is>
          <t>언론·지자체 발표</t>
        </is>
      </c>
      <c r="J1716" s="17" t="inlineStr">
        <is>
          <t>언론·지자체 발표에서 확인</t>
        </is>
      </c>
      <c r="K1716" s="17" t="inlineStr">
        <is>
          <t>낮음</t>
        </is>
      </c>
      <c r="L1716" s="17" t="inlineStr"/>
    </row>
    <row r="1717">
      <c r="A1717" s="17" t="inlineStr">
        <is>
          <t>C275</t>
        </is>
      </c>
      <c r="B1717" s="17" t="inlineStr"/>
      <c r="C1717" s="17" t="inlineStr">
        <is>
          <t>주식회사큐라티스</t>
        </is>
      </c>
      <c r="D1717" s="17" t="inlineStr"/>
      <c r="E1717" s="17" t="inlineStr">
        <is>
          <t>최근매출(억원)</t>
        </is>
      </c>
      <c r="F1717" s="17" t="inlineStr">
        <is>
          <t>미확인</t>
        </is>
      </c>
      <c r="G1717" s="17" t="inlineStr">
        <is>
          <t>웹조사 자동화 실패(세션한도)</t>
        </is>
      </c>
      <c r="H1717" s="17" t="inlineStr">
        <is>
          <t>N</t>
        </is>
      </c>
      <c r="I1717" s="17" t="inlineStr">
        <is>
          <t>DART 사업보고서</t>
        </is>
      </c>
      <c r="J1717" s="17" t="inlineStr">
        <is>
          <t>DART 사업보고서에서 확인</t>
        </is>
      </c>
      <c r="K1717" s="17" t="inlineStr">
        <is>
          <t>낮음</t>
        </is>
      </c>
      <c r="L1717" s="17" t="inlineStr"/>
    </row>
    <row r="1718">
      <c r="A1718" s="17" t="inlineStr">
        <is>
          <t>C275</t>
        </is>
      </c>
      <c r="B1718" s="17" t="inlineStr"/>
      <c r="C1718" s="17" t="inlineStr">
        <is>
          <t>주식회사큐라티스</t>
        </is>
      </c>
      <c r="D1718" s="17" t="inlineStr"/>
      <c r="E1718" s="17" t="inlineStr">
        <is>
          <t>종업원수</t>
        </is>
      </c>
      <c r="F1718" s="17" t="inlineStr">
        <is>
          <t>미확인</t>
        </is>
      </c>
      <c r="G1718" s="17" t="inlineStr">
        <is>
          <t>웹조사 자동화 실패(세션한도)</t>
        </is>
      </c>
      <c r="H1718" s="17" t="inlineStr">
        <is>
          <t>N</t>
        </is>
      </c>
      <c r="I1718" s="17" t="inlineStr">
        <is>
          <t>DART/채용</t>
        </is>
      </c>
      <c r="J1718" s="17" t="inlineStr">
        <is>
          <t>DART/채용에서 확인</t>
        </is>
      </c>
      <c r="K1718" s="17" t="inlineStr">
        <is>
          <t>낮음</t>
        </is>
      </c>
      <c r="L1718" s="17" t="inlineStr"/>
    </row>
    <row r="1719">
      <c r="A1719" s="17" t="inlineStr">
        <is>
          <t>C275</t>
        </is>
      </c>
      <c r="B1719" s="17" t="inlineStr"/>
      <c r="C1719" s="17" t="inlineStr">
        <is>
          <t>주식회사큐라티스</t>
        </is>
      </c>
      <c r="D1719" s="17" t="inlineStr"/>
      <c r="E1719" s="17" t="inlineStr">
        <is>
          <t>수출여부</t>
        </is>
      </c>
      <c r="F1719" s="17" t="inlineStr">
        <is>
          <t>미확인</t>
        </is>
      </c>
      <c r="G1719" s="17" t="inlineStr">
        <is>
          <t>웹조사 자동화 실패(세션한도)</t>
        </is>
      </c>
      <c r="H1719" s="17" t="inlineStr">
        <is>
          <t>N</t>
        </is>
      </c>
      <c r="I1719" s="17" t="inlineStr">
        <is>
          <t>회사 공시·홈페이지</t>
        </is>
      </c>
      <c r="J1719" s="17" t="inlineStr">
        <is>
          <t>회사 공시·홈페이지에서 확인</t>
        </is>
      </c>
      <c r="K1719" s="17" t="inlineStr">
        <is>
          <t>낮음</t>
        </is>
      </c>
      <c r="L1719" s="17" t="inlineStr"/>
    </row>
    <row r="1720">
      <c r="A1720" s="17" t="inlineStr">
        <is>
          <t>C275</t>
        </is>
      </c>
      <c r="B1720" s="17" t="inlineStr"/>
      <c r="C1720" s="17" t="inlineStr">
        <is>
          <t>주식회사큐라티스</t>
        </is>
      </c>
      <c r="D1720" s="17" t="inlineStr"/>
      <c r="E1720" s="17" t="inlineStr">
        <is>
          <t>FDA·EMA 실사</t>
        </is>
      </c>
      <c r="F1720" s="17" t="inlineStr">
        <is>
          <t>미확인</t>
        </is>
      </c>
      <c r="G1720" s="17" t="inlineStr">
        <is>
          <t>웹조사 자동화 실패(세션한도)</t>
        </is>
      </c>
      <c r="H1720" s="17" t="inlineStr">
        <is>
          <t>N</t>
        </is>
      </c>
      <c r="I1720" s="17" t="inlineStr">
        <is>
          <t>FDA Inspection DB</t>
        </is>
      </c>
      <c r="J1720" s="17" t="inlineStr">
        <is>
          <t>FDA Inspection DB에서 확인</t>
        </is>
      </c>
      <c r="K1720" s="17" t="inlineStr">
        <is>
          <t>낮음</t>
        </is>
      </c>
      <c r="L1720" s="17" t="inlineStr"/>
    </row>
    <row r="1721">
      <c r="A1721" s="17" t="inlineStr">
        <is>
          <t>C275</t>
        </is>
      </c>
      <c r="B1721" s="17" t="inlineStr"/>
      <c r="C1721" s="17" t="inlineStr">
        <is>
          <t>주식회사큐라티스</t>
        </is>
      </c>
      <c r="D1721" s="17" t="inlineStr"/>
      <c r="E1721" s="17" t="inlineStr">
        <is>
          <t>CMO·CDMO</t>
        </is>
      </c>
      <c r="F1721" s="17" t="inlineStr">
        <is>
          <t>미확인</t>
        </is>
      </c>
      <c r="G1721" s="17" t="inlineStr">
        <is>
          <t>웹조사 자동화 실패(세션한도)</t>
        </is>
      </c>
      <c r="H1721" s="17" t="inlineStr">
        <is>
          <t>N</t>
        </is>
      </c>
      <c r="I1721" s="17" t="inlineStr">
        <is>
          <t>회사 홈페이지</t>
        </is>
      </c>
      <c r="J1721" s="17" t="inlineStr">
        <is>
          <t>회사 홈페이지에서 확인</t>
        </is>
      </c>
      <c r="K1721" s="17" t="inlineStr">
        <is>
          <t>낮음</t>
        </is>
      </c>
      <c r="L1721" s="17" t="inlineStr"/>
    </row>
    <row r="1722">
      <c r="A1722" s="17" t="inlineStr">
        <is>
          <t>C275</t>
        </is>
      </c>
      <c r="B1722" s="17" t="inlineStr"/>
      <c r="C1722" s="17" t="inlineStr">
        <is>
          <t>주식회사큐라티스</t>
        </is>
      </c>
      <c r="D1722" s="17" t="inlineStr"/>
      <c r="E1722" s="17" t="inlineStr">
        <is>
          <t>신공장·증설</t>
        </is>
      </c>
      <c r="F1722" s="17" t="inlineStr">
        <is>
          <t>미확인</t>
        </is>
      </c>
      <c r="G1722" s="17" t="inlineStr">
        <is>
          <t>웹조사 자동화 실패(세션한도)</t>
        </is>
      </c>
      <c r="H1722" s="17" t="inlineStr">
        <is>
          <t>N</t>
        </is>
      </c>
      <c r="I1722" s="17" t="inlineStr">
        <is>
          <t>언론·지자체 발표</t>
        </is>
      </c>
      <c r="J1722" s="17" t="inlineStr">
        <is>
          <t>언론·지자체 발표에서 확인</t>
        </is>
      </c>
      <c r="K1722" s="17" t="inlineStr">
        <is>
          <t>낮음</t>
        </is>
      </c>
      <c r="L1722" s="17" t="inlineStr"/>
    </row>
    <row r="1723">
      <c r="A1723" s="17" t="inlineStr">
        <is>
          <t>C276</t>
        </is>
      </c>
      <c r="B1723" s="17" t="inlineStr"/>
      <c r="C1723" s="17" t="inlineStr">
        <is>
          <t>단일가스켐(주)</t>
        </is>
      </c>
      <c r="D1723" s="17" t="inlineStr"/>
      <c r="E1723" s="17" t="inlineStr">
        <is>
          <t>최근매출(억원)</t>
        </is>
      </c>
      <c r="F1723" s="17" t="inlineStr">
        <is>
          <t>미확인</t>
        </is>
      </c>
      <c r="G1723" s="17" t="inlineStr">
        <is>
          <t>웹조사 자동화 실패(세션한도)</t>
        </is>
      </c>
      <c r="H1723" s="17" t="inlineStr">
        <is>
          <t>N</t>
        </is>
      </c>
      <c r="I1723" s="17" t="inlineStr">
        <is>
          <t>DART 사업보고서</t>
        </is>
      </c>
      <c r="J1723" s="17" t="inlineStr">
        <is>
          <t>DART 사업보고서에서 확인</t>
        </is>
      </c>
      <c r="K1723" s="17" t="inlineStr">
        <is>
          <t>낮음</t>
        </is>
      </c>
      <c r="L1723" s="17" t="inlineStr"/>
    </row>
    <row r="1724">
      <c r="A1724" s="17" t="inlineStr">
        <is>
          <t>C276</t>
        </is>
      </c>
      <c r="B1724" s="17" t="inlineStr"/>
      <c r="C1724" s="17" t="inlineStr">
        <is>
          <t>단일가스켐(주)</t>
        </is>
      </c>
      <c r="D1724" s="17" t="inlineStr"/>
      <c r="E1724" s="17" t="inlineStr">
        <is>
          <t>종업원수</t>
        </is>
      </c>
      <c r="F1724" s="17" t="inlineStr">
        <is>
          <t>미확인</t>
        </is>
      </c>
      <c r="G1724" s="17" t="inlineStr">
        <is>
          <t>웹조사 자동화 실패(세션한도)</t>
        </is>
      </c>
      <c r="H1724" s="17" t="inlineStr">
        <is>
          <t>N</t>
        </is>
      </c>
      <c r="I1724" s="17" t="inlineStr">
        <is>
          <t>DART/채용</t>
        </is>
      </c>
      <c r="J1724" s="17" t="inlineStr">
        <is>
          <t>DART/채용에서 확인</t>
        </is>
      </c>
      <c r="K1724" s="17" t="inlineStr">
        <is>
          <t>낮음</t>
        </is>
      </c>
      <c r="L1724" s="17" t="inlineStr"/>
    </row>
    <row r="1725">
      <c r="A1725" s="17" t="inlineStr">
        <is>
          <t>C276</t>
        </is>
      </c>
      <c r="B1725" s="17" t="inlineStr"/>
      <c r="C1725" s="17" t="inlineStr">
        <is>
          <t>단일가스켐(주)</t>
        </is>
      </c>
      <c r="D1725" s="17" t="inlineStr"/>
      <c r="E1725" s="17" t="inlineStr">
        <is>
          <t>수출여부</t>
        </is>
      </c>
      <c r="F1725" s="17" t="inlineStr">
        <is>
          <t>미확인</t>
        </is>
      </c>
      <c r="G1725" s="17" t="inlineStr">
        <is>
          <t>웹조사 자동화 실패(세션한도)</t>
        </is>
      </c>
      <c r="H1725" s="17" t="inlineStr">
        <is>
          <t>N</t>
        </is>
      </c>
      <c r="I1725" s="17" t="inlineStr">
        <is>
          <t>회사 공시·홈페이지</t>
        </is>
      </c>
      <c r="J1725" s="17" t="inlineStr">
        <is>
          <t>회사 공시·홈페이지에서 확인</t>
        </is>
      </c>
      <c r="K1725" s="17" t="inlineStr">
        <is>
          <t>낮음</t>
        </is>
      </c>
      <c r="L1725" s="17" t="inlineStr"/>
    </row>
    <row r="1726">
      <c r="A1726" s="17" t="inlineStr">
        <is>
          <t>C276</t>
        </is>
      </c>
      <c r="B1726" s="17" t="inlineStr"/>
      <c r="C1726" s="17" t="inlineStr">
        <is>
          <t>단일가스켐(주)</t>
        </is>
      </c>
      <c r="D1726" s="17" t="inlineStr"/>
      <c r="E1726" s="17" t="inlineStr">
        <is>
          <t>FDA·EMA 실사</t>
        </is>
      </c>
      <c r="F1726" s="17" t="inlineStr">
        <is>
          <t>미확인</t>
        </is>
      </c>
      <c r="G1726" s="17" t="inlineStr">
        <is>
          <t>웹조사 자동화 실패(세션한도)</t>
        </is>
      </c>
      <c r="H1726" s="17" t="inlineStr">
        <is>
          <t>N</t>
        </is>
      </c>
      <c r="I1726" s="17" t="inlineStr">
        <is>
          <t>FDA Inspection DB</t>
        </is>
      </c>
      <c r="J1726" s="17" t="inlineStr">
        <is>
          <t>FDA Inspection DB에서 확인</t>
        </is>
      </c>
      <c r="K1726" s="17" t="inlineStr">
        <is>
          <t>낮음</t>
        </is>
      </c>
      <c r="L1726" s="17" t="inlineStr"/>
    </row>
    <row r="1727">
      <c r="A1727" s="17" t="inlineStr">
        <is>
          <t>C276</t>
        </is>
      </c>
      <c r="B1727" s="17" t="inlineStr"/>
      <c r="C1727" s="17" t="inlineStr">
        <is>
          <t>단일가스켐(주)</t>
        </is>
      </c>
      <c r="D1727" s="17" t="inlineStr"/>
      <c r="E1727" s="17" t="inlineStr">
        <is>
          <t>CMO·CDMO</t>
        </is>
      </c>
      <c r="F1727" s="17" t="inlineStr">
        <is>
          <t>미확인</t>
        </is>
      </c>
      <c r="G1727" s="17" t="inlineStr">
        <is>
          <t>웹조사 자동화 실패(세션한도)</t>
        </is>
      </c>
      <c r="H1727" s="17" t="inlineStr">
        <is>
          <t>N</t>
        </is>
      </c>
      <c r="I1727" s="17" t="inlineStr">
        <is>
          <t>회사 홈페이지</t>
        </is>
      </c>
      <c r="J1727" s="17" t="inlineStr">
        <is>
          <t>회사 홈페이지에서 확인</t>
        </is>
      </c>
      <c r="K1727" s="17" t="inlineStr">
        <is>
          <t>낮음</t>
        </is>
      </c>
      <c r="L1727" s="17" t="inlineStr"/>
    </row>
    <row r="1728">
      <c r="A1728" s="17" t="inlineStr">
        <is>
          <t>C276</t>
        </is>
      </c>
      <c r="B1728" s="17" t="inlineStr"/>
      <c r="C1728" s="17" t="inlineStr">
        <is>
          <t>단일가스켐(주)</t>
        </is>
      </c>
      <c r="D1728" s="17" t="inlineStr"/>
      <c r="E1728" s="17" t="inlineStr">
        <is>
          <t>신공장·증설</t>
        </is>
      </c>
      <c r="F1728" s="17" t="inlineStr">
        <is>
          <t>미확인</t>
        </is>
      </c>
      <c r="G1728" s="17" t="inlineStr">
        <is>
          <t>웹조사 자동화 실패(세션한도)</t>
        </is>
      </c>
      <c r="H1728" s="17" t="inlineStr">
        <is>
          <t>N</t>
        </is>
      </c>
      <c r="I1728" s="17" t="inlineStr">
        <is>
          <t>언론·지자체 발표</t>
        </is>
      </c>
      <c r="J1728" s="17" t="inlineStr">
        <is>
          <t>언론·지자체 발표에서 확인</t>
        </is>
      </c>
      <c r="K1728" s="17" t="inlineStr">
        <is>
          <t>낮음</t>
        </is>
      </c>
      <c r="L1728" s="17" t="inlineStr"/>
    </row>
    <row r="1729">
      <c r="A1729" s="17" t="inlineStr">
        <is>
          <t>C277</t>
        </is>
      </c>
      <c r="B1729" s="17" t="inlineStr"/>
      <c r="C1729" s="17" t="inlineStr">
        <is>
          <t>(주)셀트리온제약</t>
        </is>
      </c>
      <c r="D1729" s="17" t="inlineStr"/>
      <c r="E1729" s="17" t="inlineStr">
        <is>
          <t>최근매출(억원)</t>
        </is>
      </c>
      <c r="F1729" s="17" t="inlineStr">
        <is>
          <t>미확인</t>
        </is>
      </c>
      <c r="G1729" s="17" t="inlineStr">
        <is>
          <t>웹조사 자동화 실패(세션한도)</t>
        </is>
      </c>
      <c r="H1729" s="17" t="inlineStr">
        <is>
          <t>N</t>
        </is>
      </c>
      <c r="I1729" s="17" t="inlineStr">
        <is>
          <t>DART 사업보고서</t>
        </is>
      </c>
      <c r="J1729" s="17" t="inlineStr">
        <is>
          <t>DART 사업보고서에서 확인</t>
        </is>
      </c>
      <c r="K1729" s="17" t="inlineStr">
        <is>
          <t>낮음</t>
        </is>
      </c>
      <c r="L1729" s="17" t="inlineStr"/>
    </row>
    <row r="1730">
      <c r="A1730" s="17" t="inlineStr">
        <is>
          <t>C277</t>
        </is>
      </c>
      <c r="B1730" s="17" t="inlineStr"/>
      <c r="C1730" s="17" t="inlineStr">
        <is>
          <t>(주)셀트리온제약</t>
        </is>
      </c>
      <c r="D1730" s="17" t="inlineStr"/>
      <c r="E1730" s="17" t="inlineStr">
        <is>
          <t>종업원수</t>
        </is>
      </c>
      <c r="F1730" s="17" t="inlineStr">
        <is>
          <t>미확인</t>
        </is>
      </c>
      <c r="G1730" s="17" t="inlineStr">
        <is>
          <t>웹조사 자동화 실패(세션한도)</t>
        </is>
      </c>
      <c r="H1730" s="17" t="inlineStr">
        <is>
          <t>N</t>
        </is>
      </c>
      <c r="I1730" s="17" t="inlineStr">
        <is>
          <t>DART/채용</t>
        </is>
      </c>
      <c r="J1730" s="17" t="inlineStr">
        <is>
          <t>DART/채용에서 확인</t>
        </is>
      </c>
      <c r="K1730" s="17" t="inlineStr">
        <is>
          <t>낮음</t>
        </is>
      </c>
      <c r="L1730" s="17" t="inlineStr"/>
    </row>
    <row r="1731">
      <c r="A1731" s="17" t="inlineStr">
        <is>
          <t>C277</t>
        </is>
      </c>
      <c r="B1731" s="17" t="inlineStr"/>
      <c r="C1731" s="17" t="inlineStr">
        <is>
          <t>(주)셀트리온제약</t>
        </is>
      </c>
      <c r="D1731" s="17" t="inlineStr"/>
      <c r="E1731" s="17" t="inlineStr">
        <is>
          <t>수출여부</t>
        </is>
      </c>
      <c r="F1731" s="17" t="inlineStr">
        <is>
          <t>미확인</t>
        </is>
      </c>
      <c r="G1731" s="17" t="inlineStr">
        <is>
          <t>웹조사 자동화 실패(세션한도)</t>
        </is>
      </c>
      <c r="H1731" s="17" t="inlineStr">
        <is>
          <t>N</t>
        </is>
      </c>
      <c r="I1731" s="17" t="inlineStr">
        <is>
          <t>회사 공시·홈페이지</t>
        </is>
      </c>
      <c r="J1731" s="17" t="inlineStr">
        <is>
          <t>회사 공시·홈페이지에서 확인</t>
        </is>
      </c>
      <c r="K1731" s="17" t="inlineStr">
        <is>
          <t>낮음</t>
        </is>
      </c>
      <c r="L1731" s="17" t="inlineStr"/>
    </row>
    <row r="1732">
      <c r="A1732" s="17" t="inlineStr">
        <is>
          <t>C277</t>
        </is>
      </c>
      <c r="B1732" s="17" t="inlineStr"/>
      <c r="C1732" s="17" t="inlineStr">
        <is>
          <t>(주)셀트리온제약</t>
        </is>
      </c>
      <c r="D1732" s="17" t="inlineStr"/>
      <c r="E1732" s="17" t="inlineStr">
        <is>
          <t>FDA·EMA 실사</t>
        </is>
      </c>
      <c r="F1732" s="17" t="inlineStr">
        <is>
          <t>미확인</t>
        </is>
      </c>
      <c r="G1732" s="17" t="inlineStr">
        <is>
          <t>웹조사 자동화 실패(세션한도)</t>
        </is>
      </c>
      <c r="H1732" s="17" t="inlineStr">
        <is>
          <t>N</t>
        </is>
      </c>
      <c r="I1732" s="17" t="inlineStr">
        <is>
          <t>FDA Inspection DB</t>
        </is>
      </c>
      <c r="J1732" s="17" t="inlineStr">
        <is>
          <t>FDA Inspection DB에서 확인</t>
        </is>
      </c>
      <c r="K1732" s="17" t="inlineStr">
        <is>
          <t>낮음</t>
        </is>
      </c>
      <c r="L1732" s="17" t="inlineStr"/>
    </row>
    <row r="1733">
      <c r="A1733" s="17" t="inlineStr">
        <is>
          <t>C277</t>
        </is>
      </c>
      <c r="B1733" s="17" t="inlineStr"/>
      <c r="C1733" s="17" t="inlineStr">
        <is>
          <t>(주)셀트리온제약</t>
        </is>
      </c>
      <c r="D1733" s="17" t="inlineStr"/>
      <c r="E1733" s="17" t="inlineStr">
        <is>
          <t>CMO·CDMO</t>
        </is>
      </c>
      <c r="F1733" s="17" t="inlineStr">
        <is>
          <t>미확인</t>
        </is>
      </c>
      <c r="G1733" s="17" t="inlineStr">
        <is>
          <t>웹조사 자동화 실패(세션한도)</t>
        </is>
      </c>
      <c r="H1733" s="17" t="inlineStr">
        <is>
          <t>N</t>
        </is>
      </c>
      <c r="I1733" s="17" t="inlineStr">
        <is>
          <t>회사 홈페이지</t>
        </is>
      </c>
      <c r="J1733" s="17" t="inlineStr">
        <is>
          <t>회사 홈페이지에서 확인</t>
        </is>
      </c>
      <c r="K1733" s="17" t="inlineStr">
        <is>
          <t>낮음</t>
        </is>
      </c>
      <c r="L1733" s="17" t="inlineStr"/>
    </row>
    <row r="1734">
      <c r="A1734" s="17" t="inlineStr">
        <is>
          <t>C277</t>
        </is>
      </c>
      <c r="B1734" s="17" t="inlineStr"/>
      <c r="C1734" s="17" t="inlineStr">
        <is>
          <t>(주)셀트리온제약</t>
        </is>
      </c>
      <c r="D1734" s="17" t="inlineStr"/>
      <c r="E1734" s="17" t="inlineStr">
        <is>
          <t>신공장·증설</t>
        </is>
      </c>
      <c r="F1734" s="17" t="inlineStr">
        <is>
          <t>미확인</t>
        </is>
      </c>
      <c r="G1734" s="17" t="inlineStr">
        <is>
          <t>웹조사 자동화 실패(세션한도)</t>
        </is>
      </c>
      <c r="H1734" s="17" t="inlineStr">
        <is>
          <t>N</t>
        </is>
      </c>
      <c r="I1734" s="17" t="inlineStr">
        <is>
          <t>언론·지자체 발표</t>
        </is>
      </c>
      <c r="J1734" s="17" t="inlineStr">
        <is>
          <t>언론·지자체 발표에서 확인</t>
        </is>
      </c>
      <c r="K1734" s="17" t="inlineStr">
        <is>
          <t>낮음</t>
        </is>
      </c>
      <c r="L1734" s="17" t="inlineStr"/>
    </row>
    <row r="1735">
      <c r="A1735" s="17" t="inlineStr">
        <is>
          <t>C278</t>
        </is>
      </c>
      <c r="B1735" s="17" t="inlineStr"/>
      <c r="C1735" s="17" t="inlineStr">
        <is>
          <t>한성신약주식회사</t>
        </is>
      </c>
      <c r="D1735" s="17" t="inlineStr"/>
      <c r="E1735" s="17" t="inlineStr">
        <is>
          <t>최근매출(억원)</t>
        </is>
      </c>
      <c r="F1735" s="17" t="inlineStr">
        <is>
          <t>미확인</t>
        </is>
      </c>
      <c r="G1735" s="17" t="inlineStr">
        <is>
          <t>웹조사 자동화 실패(세션한도)</t>
        </is>
      </c>
      <c r="H1735" s="17" t="inlineStr">
        <is>
          <t>N</t>
        </is>
      </c>
      <c r="I1735" s="17" t="inlineStr">
        <is>
          <t>DART 사업보고서</t>
        </is>
      </c>
      <c r="J1735" s="17" t="inlineStr">
        <is>
          <t>DART 사업보고서에서 확인</t>
        </is>
      </c>
      <c r="K1735" s="17" t="inlineStr">
        <is>
          <t>낮음</t>
        </is>
      </c>
      <c r="L1735" s="17" t="inlineStr"/>
    </row>
    <row r="1736">
      <c r="A1736" s="17" t="inlineStr">
        <is>
          <t>C278</t>
        </is>
      </c>
      <c r="B1736" s="17" t="inlineStr"/>
      <c r="C1736" s="17" t="inlineStr">
        <is>
          <t>한성신약주식회사</t>
        </is>
      </c>
      <c r="D1736" s="17" t="inlineStr"/>
      <c r="E1736" s="17" t="inlineStr">
        <is>
          <t>종업원수</t>
        </is>
      </c>
      <c r="F1736" s="17" t="inlineStr">
        <is>
          <t>미확인</t>
        </is>
      </c>
      <c r="G1736" s="17" t="inlineStr">
        <is>
          <t>웹조사 자동화 실패(세션한도)</t>
        </is>
      </c>
      <c r="H1736" s="17" t="inlineStr">
        <is>
          <t>N</t>
        </is>
      </c>
      <c r="I1736" s="17" t="inlineStr">
        <is>
          <t>DART/채용</t>
        </is>
      </c>
      <c r="J1736" s="17" t="inlineStr">
        <is>
          <t>DART/채용에서 확인</t>
        </is>
      </c>
      <c r="K1736" s="17" t="inlineStr">
        <is>
          <t>낮음</t>
        </is>
      </c>
      <c r="L1736" s="17" t="inlineStr"/>
    </row>
    <row r="1737">
      <c r="A1737" s="17" t="inlineStr">
        <is>
          <t>C278</t>
        </is>
      </c>
      <c r="B1737" s="17" t="inlineStr"/>
      <c r="C1737" s="17" t="inlineStr">
        <is>
          <t>한성신약주식회사</t>
        </is>
      </c>
      <c r="D1737" s="17" t="inlineStr"/>
      <c r="E1737" s="17" t="inlineStr">
        <is>
          <t>수출여부</t>
        </is>
      </c>
      <c r="F1737" s="17" t="inlineStr">
        <is>
          <t>미확인</t>
        </is>
      </c>
      <c r="G1737" s="17" t="inlineStr">
        <is>
          <t>웹조사 자동화 실패(세션한도)</t>
        </is>
      </c>
      <c r="H1737" s="17" t="inlineStr">
        <is>
          <t>N</t>
        </is>
      </c>
      <c r="I1737" s="17" t="inlineStr">
        <is>
          <t>회사 공시·홈페이지</t>
        </is>
      </c>
      <c r="J1737" s="17" t="inlineStr">
        <is>
          <t>회사 공시·홈페이지에서 확인</t>
        </is>
      </c>
      <c r="K1737" s="17" t="inlineStr">
        <is>
          <t>낮음</t>
        </is>
      </c>
      <c r="L1737" s="17" t="inlineStr"/>
    </row>
    <row r="1738">
      <c r="A1738" s="17" t="inlineStr">
        <is>
          <t>C278</t>
        </is>
      </c>
      <c r="B1738" s="17" t="inlineStr"/>
      <c r="C1738" s="17" t="inlineStr">
        <is>
          <t>한성신약주식회사</t>
        </is>
      </c>
      <c r="D1738" s="17" t="inlineStr"/>
      <c r="E1738" s="17" t="inlineStr">
        <is>
          <t>FDA·EMA 실사</t>
        </is>
      </c>
      <c r="F1738" s="17" t="inlineStr">
        <is>
          <t>미확인</t>
        </is>
      </c>
      <c r="G1738" s="17" t="inlineStr">
        <is>
          <t>웹조사 자동화 실패(세션한도)</t>
        </is>
      </c>
      <c r="H1738" s="17" t="inlineStr">
        <is>
          <t>N</t>
        </is>
      </c>
      <c r="I1738" s="17" t="inlineStr">
        <is>
          <t>FDA Inspection DB</t>
        </is>
      </c>
      <c r="J1738" s="17" t="inlineStr">
        <is>
          <t>FDA Inspection DB에서 확인</t>
        </is>
      </c>
      <c r="K1738" s="17" t="inlineStr">
        <is>
          <t>낮음</t>
        </is>
      </c>
      <c r="L1738" s="17" t="inlineStr"/>
    </row>
    <row r="1739">
      <c r="A1739" s="17" t="inlineStr">
        <is>
          <t>C278</t>
        </is>
      </c>
      <c r="B1739" s="17" t="inlineStr"/>
      <c r="C1739" s="17" t="inlineStr">
        <is>
          <t>한성신약주식회사</t>
        </is>
      </c>
      <c r="D1739" s="17" t="inlineStr"/>
      <c r="E1739" s="17" t="inlineStr">
        <is>
          <t>CMO·CDMO</t>
        </is>
      </c>
      <c r="F1739" s="17" t="inlineStr">
        <is>
          <t>미확인</t>
        </is>
      </c>
      <c r="G1739" s="17" t="inlineStr">
        <is>
          <t>웹조사 자동화 실패(세션한도)</t>
        </is>
      </c>
      <c r="H1739" s="17" t="inlineStr">
        <is>
          <t>N</t>
        </is>
      </c>
      <c r="I1739" s="17" t="inlineStr">
        <is>
          <t>회사 홈페이지</t>
        </is>
      </c>
      <c r="J1739" s="17" t="inlineStr">
        <is>
          <t>회사 홈페이지에서 확인</t>
        </is>
      </c>
      <c r="K1739" s="17" t="inlineStr">
        <is>
          <t>낮음</t>
        </is>
      </c>
      <c r="L1739" s="17" t="inlineStr"/>
    </row>
    <row r="1740">
      <c r="A1740" s="17" t="inlineStr">
        <is>
          <t>C278</t>
        </is>
      </c>
      <c r="B1740" s="17" t="inlineStr"/>
      <c r="C1740" s="17" t="inlineStr">
        <is>
          <t>한성신약주식회사</t>
        </is>
      </c>
      <c r="D1740" s="17" t="inlineStr"/>
      <c r="E1740" s="17" t="inlineStr">
        <is>
          <t>신공장·증설</t>
        </is>
      </c>
      <c r="F1740" s="17" t="inlineStr">
        <is>
          <t>미확인</t>
        </is>
      </c>
      <c r="G1740" s="17" t="inlineStr">
        <is>
          <t>웹조사 자동화 실패(세션한도)</t>
        </is>
      </c>
      <c r="H1740" s="17" t="inlineStr">
        <is>
          <t>N</t>
        </is>
      </c>
      <c r="I1740" s="17" t="inlineStr">
        <is>
          <t>언론·지자체 발표</t>
        </is>
      </c>
      <c r="J1740" s="17" t="inlineStr">
        <is>
          <t>언론·지자체 발표에서 확인</t>
        </is>
      </c>
      <c r="K1740" s="17" t="inlineStr">
        <is>
          <t>낮음</t>
        </is>
      </c>
      <c r="L1740" s="17" t="inlineStr"/>
    </row>
    <row r="1741">
      <c r="A1741" s="17" t="inlineStr">
        <is>
          <t>C279</t>
        </is>
      </c>
      <c r="B1741" s="17" t="inlineStr"/>
      <c r="C1741" s="17" t="inlineStr">
        <is>
          <t>(주)보령바이오파마</t>
        </is>
      </c>
      <c r="D1741" s="17" t="inlineStr"/>
      <c r="E1741" s="17" t="inlineStr">
        <is>
          <t>최근매출(억원)</t>
        </is>
      </c>
      <c r="F1741" s="17" t="inlineStr">
        <is>
          <t>미확인</t>
        </is>
      </c>
      <c r="G1741" s="17" t="inlineStr">
        <is>
          <t>웹조사 자동화 실패(세션한도)</t>
        </is>
      </c>
      <c r="H1741" s="17" t="inlineStr">
        <is>
          <t>N</t>
        </is>
      </c>
      <c r="I1741" s="17" t="inlineStr">
        <is>
          <t>DART 사업보고서</t>
        </is>
      </c>
      <c r="J1741" s="17" t="inlineStr">
        <is>
          <t>DART 사업보고서에서 확인</t>
        </is>
      </c>
      <c r="K1741" s="17" t="inlineStr">
        <is>
          <t>낮음</t>
        </is>
      </c>
      <c r="L1741" s="17" t="inlineStr"/>
    </row>
    <row r="1742">
      <c r="A1742" s="17" t="inlineStr">
        <is>
          <t>C279</t>
        </is>
      </c>
      <c r="B1742" s="17" t="inlineStr"/>
      <c r="C1742" s="17" t="inlineStr">
        <is>
          <t>(주)보령바이오파마</t>
        </is>
      </c>
      <c r="D1742" s="17" t="inlineStr"/>
      <c r="E1742" s="17" t="inlineStr">
        <is>
          <t>종업원수</t>
        </is>
      </c>
      <c r="F1742" s="17" t="inlineStr">
        <is>
          <t>미확인</t>
        </is>
      </c>
      <c r="G1742" s="17" t="inlineStr">
        <is>
          <t>웹조사 자동화 실패(세션한도)</t>
        </is>
      </c>
      <c r="H1742" s="17" t="inlineStr">
        <is>
          <t>N</t>
        </is>
      </c>
      <c r="I1742" s="17" t="inlineStr">
        <is>
          <t>DART/채용</t>
        </is>
      </c>
      <c r="J1742" s="17" t="inlineStr">
        <is>
          <t>DART/채용에서 확인</t>
        </is>
      </c>
      <c r="K1742" s="17" t="inlineStr">
        <is>
          <t>낮음</t>
        </is>
      </c>
      <c r="L1742" s="17" t="inlineStr"/>
    </row>
    <row r="1743">
      <c r="A1743" s="17" t="inlineStr">
        <is>
          <t>C279</t>
        </is>
      </c>
      <c r="B1743" s="17" t="inlineStr"/>
      <c r="C1743" s="17" t="inlineStr">
        <is>
          <t>(주)보령바이오파마</t>
        </is>
      </c>
      <c r="D1743" s="17" t="inlineStr"/>
      <c r="E1743" s="17" t="inlineStr">
        <is>
          <t>수출여부</t>
        </is>
      </c>
      <c r="F1743" s="17" t="inlineStr">
        <is>
          <t>미확인</t>
        </is>
      </c>
      <c r="G1743" s="17" t="inlineStr">
        <is>
          <t>웹조사 자동화 실패(세션한도)</t>
        </is>
      </c>
      <c r="H1743" s="17" t="inlineStr">
        <is>
          <t>N</t>
        </is>
      </c>
      <c r="I1743" s="17" t="inlineStr">
        <is>
          <t>회사 공시·홈페이지</t>
        </is>
      </c>
      <c r="J1743" s="17" t="inlineStr">
        <is>
          <t>회사 공시·홈페이지에서 확인</t>
        </is>
      </c>
      <c r="K1743" s="17" t="inlineStr">
        <is>
          <t>낮음</t>
        </is>
      </c>
      <c r="L1743" s="17" t="inlineStr"/>
    </row>
    <row r="1744">
      <c r="A1744" s="17" t="inlineStr">
        <is>
          <t>C279</t>
        </is>
      </c>
      <c r="B1744" s="17" t="inlineStr"/>
      <c r="C1744" s="17" t="inlineStr">
        <is>
          <t>(주)보령바이오파마</t>
        </is>
      </c>
      <c r="D1744" s="17" t="inlineStr"/>
      <c r="E1744" s="17" t="inlineStr">
        <is>
          <t>FDA·EMA 실사</t>
        </is>
      </c>
      <c r="F1744" s="17" t="inlineStr">
        <is>
          <t>미확인</t>
        </is>
      </c>
      <c r="G1744" s="17" t="inlineStr">
        <is>
          <t>웹조사 자동화 실패(세션한도)</t>
        </is>
      </c>
      <c r="H1744" s="17" t="inlineStr">
        <is>
          <t>N</t>
        </is>
      </c>
      <c r="I1744" s="17" t="inlineStr">
        <is>
          <t>FDA Inspection DB</t>
        </is>
      </c>
      <c r="J1744" s="17" t="inlineStr">
        <is>
          <t>FDA Inspection DB에서 확인</t>
        </is>
      </c>
      <c r="K1744" s="17" t="inlineStr">
        <is>
          <t>낮음</t>
        </is>
      </c>
      <c r="L1744" s="17" t="inlineStr"/>
    </row>
    <row r="1745">
      <c r="A1745" s="17" t="inlineStr">
        <is>
          <t>C279</t>
        </is>
      </c>
      <c r="B1745" s="17" t="inlineStr"/>
      <c r="C1745" s="17" t="inlineStr">
        <is>
          <t>(주)보령바이오파마</t>
        </is>
      </c>
      <c r="D1745" s="17" t="inlineStr"/>
      <c r="E1745" s="17" t="inlineStr">
        <is>
          <t>CMO·CDMO</t>
        </is>
      </c>
      <c r="F1745" s="17" t="inlineStr">
        <is>
          <t>미확인</t>
        </is>
      </c>
      <c r="G1745" s="17" t="inlineStr">
        <is>
          <t>웹조사 자동화 실패(세션한도)</t>
        </is>
      </c>
      <c r="H1745" s="17" t="inlineStr">
        <is>
          <t>N</t>
        </is>
      </c>
      <c r="I1745" s="17" t="inlineStr">
        <is>
          <t>회사 홈페이지</t>
        </is>
      </c>
      <c r="J1745" s="17" t="inlineStr">
        <is>
          <t>회사 홈페이지에서 확인</t>
        </is>
      </c>
      <c r="K1745" s="17" t="inlineStr">
        <is>
          <t>낮음</t>
        </is>
      </c>
      <c r="L1745" s="17" t="inlineStr"/>
    </row>
    <row r="1746">
      <c r="A1746" s="17" t="inlineStr">
        <is>
          <t>C279</t>
        </is>
      </c>
      <c r="B1746" s="17" t="inlineStr"/>
      <c r="C1746" s="17" t="inlineStr">
        <is>
          <t>(주)보령바이오파마</t>
        </is>
      </c>
      <c r="D1746" s="17" t="inlineStr"/>
      <c r="E1746" s="17" t="inlineStr">
        <is>
          <t>신공장·증설</t>
        </is>
      </c>
      <c r="F1746" s="17" t="inlineStr">
        <is>
          <t>미확인</t>
        </is>
      </c>
      <c r="G1746" s="17" t="inlineStr">
        <is>
          <t>웹조사 자동화 실패(세션한도)</t>
        </is>
      </c>
      <c r="H1746" s="17" t="inlineStr">
        <is>
          <t>N</t>
        </is>
      </c>
      <c r="I1746" s="17" t="inlineStr">
        <is>
          <t>언론·지자체 발표</t>
        </is>
      </c>
      <c r="J1746" s="17" t="inlineStr">
        <is>
          <t>언론·지자체 발표에서 확인</t>
        </is>
      </c>
      <c r="K1746" s="17" t="inlineStr">
        <is>
          <t>낮음</t>
        </is>
      </c>
      <c r="L1746" s="17" t="inlineStr"/>
    </row>
    <row r="1747">
      <c r="A1747" s="17" t="inlineStr">
        <is>
          <t>C280</t>
        </is>
      </c>
      <c r="B1747" s="17" t="inlineStr"/>
      <c r="C1747" s="17" t="inlineStr">
        <is>
          <t>동광제약(주)</t>
        </is>
      </c>
      <c r="D1747" s="17" t="inlineStr"/>
      <c r="E1747" s="17" t="inlineStr">
        <is>
          <t>최근매출(억원)</t>
        </is>
      </c>
      <c r="F1747" s="17" t="inlineStr">
        <is>
          <t>미확인</t>
        </is>
      </c>
      <c r="G1747" s="17" t="inlineStr">
        <is>
          <t>웹조사 자동화 실패(세션한도)</t>
        </is>
      </c>
      <c r="H1747" s="17" t="inlineStr">
        <is>
          <t>N</t>
        </is>
      </c>
      <c r="I1747" s="17" t="inlineStr">
        <is>
          <t>DART 사업보고서</t>
        </is>
      </c>
      <c r="J1747" s="17" t="inlineStr">
        <is>
          <t>DART 사업보고서에서 확인</t>
        </is>
      </c>
      <c r="K1747" s="17" t="inlineStr">
        <is>
          <t>낮음</t>
        </is>
      </c>
      <c r="L1747" s="17" t="inlineStr"/>
    </row>
    <row r="1748">
      <c r="A1748" s="17" t="inlineStr">
        <is>
          <t>C280</t>
        </is>
      </c>
      <c r="B1748" s="17" t="inlineStr"/>
      <c r="C1748" s="17" t="inlineStr">
        <is>
          <t>동광제약(주)</t>
        </is>
      </c>
      <c r="D1748" s="17" t="inlineStr"/>
      <c r="E1748" s="17" t="inlineStr">
        <is>
          <t>종업원수</t>
        </is>
      </c>
      <c r="F1748" s="17" t="inlineStr">
        <is>
          <t>미확인</t>
        </is>
      </c>
      <c r="G1748" s="17" t="inlineStr">
        <is>
          <t>웹조사 자동화 실패(세션한도)</t>
        </is>
      </c>
      <c r="H1748" s="17" t="inlineStr">
        <is>
          <t>N</t>
        </is>
      </c>
      <c r="I1748" s="17" t="inlineStr">
        <is>
          <t>DART/채용</t>
        </is>
      </c>
      <c r="J1748" s="17" t="inlineStr">
        <is>
          <t>DART/채용에서 확인</t>
        </is>
      </c>
      <c r="K1748" s="17" t="inlineStr">
        <is>
          <t>낮음</t>
        </is>
      </c>
      <c r="L1748" s="17" t="inlineStr"/>
    </row>
    <row r="1749">
      <c r="A1749" s="17" t="inlineStr">
        <is>
          <t>C280</t>
        </is>
      </c>
      <c r="B1749" s="17" t="inlineStr"/>
      <c r="C1749" s="17" t="inlineStr">
        <is>
          <t>동광제약(주)</t>
        </is>
      </c>
      <c r="D1749" s="17" t="inlineStr"/>
      <c r="E1749" s="17" t="inlineStr">
        <is>
          <t>수출여부</t>
        </is>
      </c>
      <c r="F1749" s="17" t="inlineStr">
        <is>
          <t>미확인</t>
        </is>
      </c>
      <c r="G1749" s="17" t="inlineStr">
        <is>
          <t>웹조사 자동화 실패(세션한도)</t>
        </is>
      </c>
      <c r="H1749" s="17" t="inlineStr">
        <is>
          <t>N</t>
        </is>
      </c>
      <c r="I1749" s="17" t="inlineStr">
        <is>
          <t>회사 공시·홈페이지</t>
        </is>
      </c>
      <c r="J1749" s="17" t="inlineStr">
        <is>
          <t>회사 공시·홈페이지에서 확인</t>
        </is>
      </c>
      <c r="K1749" s="17" t="inlineStr">
        <is>
          <t>낮음</t>
        </is>
      </c>
      <c r="L1749" s="17" t="inlineStr"/>
    </row>
    <row r="1750">
      <c r="A1750" s="17" t="inlineStr">
        <is>
          <t>C280</t>
        </is>
      </c>
      <c r="B1750" s="17" t="inlineStr"/>
      <c r="C1750" s="17" t="inlineStr">
        <is>
          <t>동광제약(주)</t>
        </is>
      </c>
      <c r="D1750" s="17" t="inlineStr"/>
      <c r="E1750" s="17" t="inlineStr">
        <is>
          <t>FDA·EMA 실사</t>
        </is>
      </c>
      <c r="F1750" s="17" t="inlineStr">
        <is>
          <t>미확인</t>
        </is>
      </c>
      <c r="G1750" s="17" t="inlineStr">
        <is>
          <t>웹조사 자동화 실패(세션한도)</t>
        </is>
      </c>
      <c r="H1750" s="17" t="inlineStr">
        <is>
          <t>N</t>
        </is>
      </c>
      <c r="I1750" s="17" t="inlineStr">
        <is>
          <t>FDA Inspection DB</t>
        </is>
      </c>
      <c r="J1750" s="17" t="inlineStr">
        <is>
          <t>FDA Inspection DB에서 확인</t>
        </is>
      </c>
      <c r="K1750" s="17" t="inlineStr">
        <is>
          <t>낮음</t>
        </is>
      </c>
      <c r="L1750" s="17" t="inlineStr"/>
    </row>
    <row r="1751">
      <c r="A1751" s="17" t="inlineStr">
        <is>
          <t>C280</t>
        </is>
      </c>
      <c r="B1751" s="17" t="inlineStr"/>
      <c r="C1751" s="17" t="inlineStr">
        <is>
          <t>동광제약(주)</t>
        </is>
      </c>
      <c r="D1751" s="17" t="inlineStr"/>
      <c r="E1751" s="17" t="inlineStr">
        <is>
          <t>CMO·CDMO</t>
        </is>
      </c>
      <c r="F1751" s="17" t="inlineStr">
        <is>
          <t>미확인</t>
        </is>
      </c>
      <c r="G1751" s="17" t="inlineStr">
        <is>
          <t>웹조사 자동화 실패(세션한도)</t>
        </is>
      </c>
      <c r="H1751" s="17" t="inlineStr">
        <is>
          <t>N</t>
        </is>
      </c>
      <c r="I1751" s="17" t="inlineStr">
        <is>
          <t>회사 홈페이지</t>
        </is>
      </c>
      <c r="J1751" s="17" t="inlineStr">
        <is>
          <t>회사 홈페이지에서 확인</t>
        </is>
      </c>
      <c r="K1751" s="17" t="inlineStr">
        <is>
          <t>낮음</t>
        </is>
      </c>
      <c r="L1751" s="17" t="inlineStr"/>
    </row>
    <row r="1752">
      <c r="A1752" s="17" t="inlineStr">
        <is>
          <t>C280</t>
        </is>
      </c>
      <c r="B1752" s="17" t="inlineStr"/>
      <c r="C1752" s="17" t="inlineStr">
        <is>
          <t>동광제약(주)</t>
        </is>
      </c>
      <c r="D1752" s="17" t="inlineStr"/>
      <c r="E1752" s="17" t="inlineStr">
        <is>
          <t>신공장·증설</t>
        </is>
      </c>
      <c r="F1752" s="17" t="inlineStr">
        <is>
          <t>미확인</t>
        </is>
      </c>
      <c r="G1752" s="17" t="inlineStr">
        <is>
          <t>웹조사 자동화 실패(세션한도)</t>
        </is>
      </c>
      <c r="H1752" s="17" t="inlineStr">
        <is>
          <t>N</t>
        </is>
      </c>
      <c r="I1752" s="17" t="inlineStr">
        <is>
          <t>언론·지자체 발표</t>
        </is>
      </c>
      <c r="J1752" s="17" t="inlineStr">
        <is>
          <t>언론·지자체 발표에서 확인</t>
        </is>
      </c>
      <c r="K1752" s="17" t="inlineStr">
        <is>
          <t>낮음</t>
        </is>
      </c>
      <c r="L1752" s="17" t="inlineStr"/>
    </row>
    <row r="1753">
      <c r="A1753" s="17" t="inlineStr">
        <is>
          <t>C281</t>
        </is>
      </c>
      <c r="B1753" s="17" t="inlineStr"/>
      <c r="C1753" s="17" t="inlineStr">
        <is>
          <t>주식회사진바이오팜</t>
        </is>
      </c>
      <c r="D1753" s="17" t="inlineStr"/>
      <c r="E1753" s="17" t="inlineStr">
        <is>
          <t>최근매출(억원)</t>
        </is>
      </c>
      <c r="F1753" s="17" t="inlineStr">
        <is>
          <t>미확인</t>
        </is>
      </c>
      <c r="G1753" s="17" t="inlineStr">
        <is>
          <t>웹조사 자동화 실패(세션한도)</t>
        </is>
      </c>
      <c r="H1753" s="17" t="inlineStr">
        <is>
          <t>N</t>
        </is>
      </c>
      <c r="I1753" s="17" t="inlineStr">
        <is>
          <t>DART 사업보고서</t>
        </is>
      </c>
      <c r="J1753" s="17" t="inlineStr">
        <is>
          <t>DART 사업보고서에서 확인</t>
        </is>
      </c>
      <c r="K1753" s="17" t="inlineStr">
        <is>
          <t>낮음</t>
        </is>
      </c>
      <c r="L1753" s="17" t="inlineStr"/>
    </row>
    <row r="1754">
      <c r="A1754" s="17" t="inlineStr">
        <is>
          <t>C281</t>
        </is>
      </c>
      <c r="B1754" s="17" t="inlineStr"/>
      <c r="C1754" s="17" t="inlineStr">
        <is>
          <t>주식회사진바이오팜</t>
        </is>
      </c>
      <c r="D1754" s="17" t="inlineStr"/>
      <c r="E1754" s="17" t="inlineStr">
        <is>
          <t>종업원수</t>
        </is>
      </c>
      <c r="F1754" s="17" t="inlineStr">
        <is>
          <t>미확인</t>
        </is>
      </c>
      <c r="G1754" s="17" t="inlineStr">
        <is>
          <t>웹조사 자동화 실패(세션한도)</t>
        </is>
      </c>
      <c r="H1754" s="17" t="inlineStr">
        <is>
          <t>N</t>
        </is>
      </c>
      <c r="I1754" s="17" t="inlineStr">
        <is>
          <t>DART/채용</t>
        </is>
      </c>
      <c r="J1754" s="17" t="inlineStr">
        <is>
          <t>DART/채용에서 확인</t>
        </is>
      </c>
      <c r="K1754" s="17" t="inlineStr">
        <is>
          <t>낮음</t>
        </is>
      </c>
      <c r="L1754" s="17" t="inlineStr"/>
    </row>
    <row r="1755">
      <c r="A1755" s="17" t="inlineStr">
        <is>
          <t>C281</t>
        </is>
      </c>
      <c r="B1755" s="17" t="inlineStr"/>
      <c r="C1755" s="17" t="inlineStr">
        <is>
          <t>주식회사진바이오팜</t>
        </is>
      </c>
      <c r="D1755" s="17" t="inlineStr"/>
      <c r="E1755" s="17" t="inlineStr">
        <is>
          <t>수출여부</t>
        </is>
      </c>
      <c r="F1755" s="17" t="inlineStr">
        <is>
          <t>미확인</t>
        </is>
      </c>
      <c r="G1755" s="17" t="inlineStr">
        <is>
          <t>웹조사 자동화 실패(세션한도)</t>
        </is>
      </c>
      <c r="H1755" s="17" t="inlineStr">
        <is>
          <t>N</t>
        </is>
      </c>
      <c r="I1755" s="17" t="inlineStr">
        <is>
          <t>회사 공시·홈페이지</t>
        </is>
      </c>
      <c r="J1755" s="17" t="inlineStr">
        <is>
          <t>회사 공시·홈페이지에서 확인</t>
        </is>
      </c>
      <c r="K1755" s="17" t="inlineStr">
        <is>
          <t>낮음</t>
        </is>
      </c>
      <c r="L1755" s="17" t="inlineStr"/>
    </row>
    <row r="1756">
      <c r="A1756" s="17" t="inlineStr">
        <is>
          <t>C281</t>
        </is>
      </c>
      <c r="B1756" s="17" t="inlineStr"/>
      <c r="C1756" s="17" t="inlineStr">
        <is>
          <t>주식회사진바이오팜</t>
        </is>
      </c>
      <c r="D1756" s="17" t="inlineStr"/>
      <c r="E1756" s="17" t="inlineStr">
        <is>
          <t>FDA·EMA 실사</t>
        </is>
      </c>
      <c r="F1756" s="17" t="inlineStr">
        <is>
          <t>미확인</t>
        </is>
      </c>
      <c r="G1756" s="17" t="inlineStr">
        <is>
          <t>웹조사 자동화 실패(세션한도)</t>
        </is>
      </c>
      <c r="H1756" s="17" t="inlineStr">
        <is>
          <t>N</t>
        </is>
      </c>
      <c r="I1756" s="17" t="inlineStr">
        <is>
          <t>FDA Inspection DB</t>
        </is>
      </c>
      <c r="J1756" s="17" t="inlineStr">
        <is>
          <t>FDA Inspection DB에서 확인</t>
        </is>
      </c>
      <c r="K1756" s="17" t="inlineStr">
        <is>
          <t>낮음</t>
        </is>
      </c>
      <c r="L1756" s="17" t="inlineStr"/>
    </row>
    <row r="1757">
      <c r="A1757" s="17" t="inlineStr">
        <is>
          <t>C281</t>
        </is>
      </c>
      <c r="B1757" s="17" t="inlineStr"/>
      <c r="C1757" s="17" t="inlineStr">
        <is>
          <t>주식회사진바이오팜</t>
        </is>
      </c>
      <c r="D1757" s="17" t="inlineStr"/>
      <c r="E1757" s="17" t="inlineStr">
        <is>
          <t>CMO·CDMO</t>
        </is>
      </c>
      <c r="F1757" s="17" t="inlineStr">
        <is>
          <t>미확인</t>
        </is>
      </c>
      <c r="G1757" s="17" t="inlineStr">
        <is>
          <t>웹조사 자동화 실패(세션한도)</t>
        </is>
      </c>
      <c r="H1757" s="17" t="inlineStr">
        <is>
          <t>N</t>
        </is>
      </c>
      <c r="I1757" s="17" t="inlineStr">
        <is>
          <t>회사 홈페이지</t>
        </is>
      </c>
      <c r="J1757" s="17" t="inlineStr">
        <is>
          <t>회사 홈페이지에서 확인</t>
        </is>
      </c>
      <c r="K1757" s="17" t="inlineStr">
        <is>
          <t>낮음</t>
        </is>
      </c>
      <c r="L1757" s="17" t="inlineStr"/>
    </row>
    <row r="1758">
      <c r="A1758" s="17" t="inlineStr">
        <is>
          <t>C281</t>
        </is>
      </c>
      <c r="B1758" s="17" t="inlineStr"/>
      <c r="C1758" s="17" t="inlineStr">
        <is>
          <t>주식회사진바이오팜</t>
        </is>
      </c>
      <c r="D1758" s="17" t="inlineStr"/>
      <c r="E1758" s="17" t="inlineStr">
        <is>
          <t>신공장·증설</t>
        </is>
      </c>
      <c r="F1758" s="17" t="inlineStr">
        <is>
          <t>미확인</t>
        </is>
      </c>
      <c r="G1758" s="17" t="inlineStr">
        <is>
          <t>웹조사 자동화 실패(세션한도)</t>
        </is>
      </c>
      <c r="H1758" s="17" t="inlineStr">
        <is>
          <t>N</t>
        </is>
      </c>
      <c r="I1758" s="17" t="inlineStr">
        <is>
          <t>언론·지자체 발표</t>
        </is>
      </c>
      <c r="J1758" s="17" t="inlineStr">
        <is>
          <t>언론·지자체 발표에서 확인</t>
        </is>
      </c>
      <c r="K1758" s="17" t="inlineStr">
        <is>
          <t>낮음</t>
        </is>
      </c>
      <c r="L1758" s="17" t="inlineStr"/>
    </row>
    <row r="1759">
      <c r="A1759" s="17" t="inlineStr">
        <is>
          <t>C282</t>
        </is>
      </c>
      <c r="B1759" s="17" t="inlineStr"/>
      <c r="C1759" s="17" t="inlineStr">
        <is>
          <t>주식회사지씨셀</t>
        </is>
      </c>
      <c r="D1759" s="17" t="inlineStr"/>
      <c r="E1759" s="17" t="inlineStr">
        <is>
          <t>최근매출(억원)</t>
        </is>
      </c>
      <c r="F1759" s="17" t="inlineStr">
        <is>
          <t>미확인</t>
        </is>
      </c>
      <c r="G1759" s="17" t="inlineStr">
        <is>
          <t>웹조사 자동화 실패(세션한도)</t>
        </is>
      </c>
      <c r="H1759" s="17" t="inlineStr">
        <is>
          <t>N</t>
        </is>
      </c>
      <c r="I1759" s="17" t="inlineStr">
        <is>
          <t>DART 사업보고서</t>
        </is>
      </c>
      <c r="J1759" s="17" t="inlineStr">
        <is>
          <t>DART 사업보고서에서 확인</t>
        </is>
      </c>
      <c r="K1759" s="17" t="inlineStr">
        <is>
          <t>낮음</t>
        </is>
      </c>
      <c r="L1759" s="17" t="inlineStr"/>
    </row>
    <row r="1760">
      <c r="A1760" s="17" t="inlineStr">
        <is>
          <t>C282</t>
        </is>
      </c>
      <c r="B1760" s="17" t="inlineStr"/>
      <c r="C1760" s="17" t="inlineStr">
        <is>
          <t>주식회사지씨셀</t>
        </is>
      </c>
      <c r="D1760" s="17" t="inlineStr"/>
      <c r="E1760" s="17" t="inlineStr">
        <is>
          <t>종업원수</t>
        </is>
      </c>
      <c r="F1760" s="17" t="inlineStr">
        <is>
          <t>미확인</t>
        </is>
      </c>
      <c r="G1760" s="17" t="inlineStr">
        <is>
          <t>웹조사 자동화 실패(세션한도)</t>
        </is>
      </c>
      <c r="H1760" s="17" t="inlineStr">
        <is>
          <t>N</t>
        </is>
      </c>
      <c r="I1760" s="17" t="inlineStr">
        <is>
          <t>DART/채용</t>
        </is>
      </c>
      <c r="J1760" s="17" t="inlineStr">
        <is>
          <t>DART/채용에서 확인</t>
        </is>
      </c>
      <c r="K1760" s="17" t="inlineStr">
        <is>
          <t>낮음</t>
        </is>
      </c>
      <c r="L1760" s="17" t="inlineStr"/>
    </row>
    <row r="1761">
      <c r="A1761" s="17" t="inlineStr">
        <is>
          <t>C282</t>
        </is>
      </c>
      <c r="B1761" s="17" t="inlineStr"/>
      <c r="C1761" s="17" t="inlineStr">
        <is>
          <t>주식회사지씨셀</t>
        </is>
      </c>
      <c r="D1761" s="17" t="inlineStr"/>
      <c r="E1761" s="17" t="inlineStr">
        <is>
          <t>수출여부</t>
        </is>
      </c>
      <c r="F1761" s="17" t="inlineStr">
        <is>
          <t>미확인</t>
        </is>
      </c>
      <c r="G1761" s="17" t="inlineStr">
        <is>
          <t>웹조사 자동화 실패(세션한도)</t>
        </is>
      </c>
      <c r="H1761" s="17" t="inlineStr">
        <is>
          <t>N</t>
        </is>
      </c>
      <c r="I1761" s="17" t="inlineStr">
        <is>
          <t>회사 공시·홈페이지</t>
        </is>
      </c>
      <c r="J1761" s="17" t="inlineStr">
        <is>
          <t>회사 공시·홈페이지에서 확인</t>
        </is>
      </c>
      <c r="K1761" s="17" t="inlineStr">
        <is>
          <t>낮음</t>
        </is>
      </c>
      <c r="L1761" s="17" t="inlineStr"/>
    </row>
    <row r="1762">
      <c r="A1762" s="17" t="inlineStr">
        <is>
          <t>C282</t>
        </is>
      </c>
      <c r="B1762" s="17" t="inlineStr"/>
      <c r="C1762" s="17" t="inlineStr">
        <is>
          <t>주식회사지씨셀</t>
        </is>
      </c>
      <c r="D1762" s="17" t="inlineStr"/>
      <c r="E1762" s="17" t="inlineStr">
        <is>
          <t>FDA·EMA 실사</t>
        </is>
      </c>
      <c r="F1762" s="17" t="inlineStr">
        <is>
          <t>미확인</t>
        </is>
      </c>
      <c r="G1762" s="17" t="inlineStr">
        <is>
          <t>웹조사 자동화 실패(세션한도)</t>
        </is>
      </c>
      <c r="H1762" s="17" t="inlineStr">
        <is>
          <t>N</t>
        </is>
      </c>
      <c r="I1762" s="17" t="inlineStr">
        <is>
          <t>FDA Inspection DB</t>
        </is>
      </c>
      <c r="J1762" s="17" t="inlineStr">
        <is>
          <t>FDA Inspection DB에서 확인</t>
        </is>
      </c>
      <c r="K1762" s="17" t="inlineStr">
        <is>
          <t>낮음</t>
        </is>
      </c>
      <c r="L1762" s="17" t="inlineStr"/>
    </row>
    <row r="1763">
      <c r="A1763" s="17" t="inlineStr">
        <is>
          <t>C282</t>
        </is>
      </c>
      <c r="B1763" s="17" t="inlineStr"/>
      <c r="C1763" s="17" t="inlineStr">
        <is>
          <t>주식회사지씨셀</t>
        </is>
      </c>
      <c r="D1763" s="17" t="inlineStr"/>
      <c r="E1763" s="17" t="inlineStr">
        <is>
          <t>CMO·CDMO</t>
        </is>
      </c>
      <c r="F1763" s="17" t="inlineStr">
        <is>
          <t>미확인</t>
        </is>
      </c>
      <c r="G1763" s="17" t="inlineStr">
        <is>
          <t>웹조사 자동화 실패(세션한도)</t>
        </is>
      </c>
      <c r="H1763" s="17" t="inlineStr">
        <is>
          <t>N</t>
        </is>
      </c>
      <c r="I1763" s="17" t="inlineStr">
        <is>
          <t>회사 홈페이지</t>
        </is>
      </c>
      <c r="J1763" s="17" t="inlineStr">
        <is>
          <t>회사 홈페이지에서 확인</t>
        </is>
      </c>
      <c r="K1763" s="17" t="inlineStr">
        <is>
          <t>낮음</t>
        </is>
      </c>
      <c r="L1763" s="17" t="inlineStr"/>
    </row>
    <row r="1764">
      <c r="A1764" s="17" t="inlineStr">
        <is>
          <t>C282</t>
        </is>
      </c>
      <c r="B1764" s="17" t="inlineStr"/>
      <c r="C1764" s="17" t="inlineStr">
        <is>
          <t>주식회사지씨셀</t>
        </is>
      </c>
      <c r="D1764" s="17" t="inlineStr"/>
      <c r="E1764" s="17" t="inlineStr">
        <is>
          <t>신공장·증설</t>
        </is>
      </c>
      <c r="F1764" s="17" t="inlineStr">
        <is>
          <t>미확인</t>
        </is>
      </c>
      <c r="G1764" s="17" t="inlineStr">
        <is>
          <t>웹조사 자동화 실패(세션한도)</t>
        </is>
      </c>
      <c r="H1764" s="17" t="inlineStr">
        <is>
          <t>N</t>
        </is>
      </c>
      <c r="I1764" s="17" t="inlineStr">
        <is>
          <t>언론·지자체 발표</t>
        </is>
      </c>
      <c r="J1764" s="17" t="inlineStr">
        <is>
          <t>언론·지자체 발표에서 확인</t>
        </is>
      </c>
      <c r="K1764" s="17" t="inlineStr">
        <is>
          <t>낮음</t>
        </is>
      </c>
      <c r="L1764" s="17" t="inlineStr"/>
    </row>
    <row r="1765">
      <c r="A1765" s="17" t="inlineStr">
        <is>
          <t>C282</t>
        </is>
      </c>
      <c r="B1765" s="17" t="inlineStr"/>
      <c r="C1765" s="17" t="inlineStr">
        <is>
          <t>주식회사지씨셀</t>
        </is>
      </c>
      <c r="D1765" s="17" t="inlineStr"/>
      <c r="E1765" s="17" t="inlineStr">
        <is>
          <t>대표전화</t>
        </is>
      </c>
      <c r="F1765" s="17" t="inlineStr">
        <is>
          <t>미확인</t>
        </is>
      </c>
      <c r="G1765" s="17" t="inlineStr">
        <is>
          <t>제조소상세 미매칭</t>
        </is>
      </c>
      <c r="H1765" s="17" t="inlineStr">
        <is>
          <t>Y</t>
        </is>
      </c>
      <c r="I1765" s="17" t="inlineStr">
        <is>
          <t>회사 홈페이지</t>
        </is>
      </c>
      <c r="J1765" s="17" t="inlineStr">
        <is>
          <t>홈페이지에서 대표번호 확인</t>
        </is>
      </c>
      <c r="K1765" s="17" t="inlineStr">
        <is>
          <t>낮음</t>
        </is>
      </c>
      <c r="L1765" s="17" t="inlineStr"/>
    </row>
    <row r="1766">
      <c r="A1766" s="17" t="inlineStr">
        <is>
          <t>C283</t>
        </is>
      </c>
      <c r="B1766" s="17" t="inlineStr"/>
      <c r="C1766" s="17" t="inlineStr">
        <is>
          <t>(주)라이트팜텍</t>
        </is>
      </c>
      <c r="D1766" s="17" t="inlineStr"/>
      <c r="E1766" s="17" t="inlineStr">
        <is>
          <t>최근매출(억원)</t>
        </is>
      </c>
      <c r="F1766" s="17" t="inlineStr">
        <is>
          <t>미확인</t>
        </is>
      </c>
      <c r="G1766" s="17" t="inlineStr">
        <is>
          <t>웹조사 자동화 실패(세션한도)</t>
        </is>
      </c>
      <c r="H1766" s="17" t="inlineStr">
        <is>
          <t>N</t>
        </is>
      </c>
      <c r="I1766" s="17" t="inlineStr">
        <is>
          <t>DART 사업보고서</t>
        </is>
      </c>
      <c r="J1766" s="17" t="inlineStr">
        <is>
          <t>DART 사업보고서에서 확인</t>
        </is>
      </c>
      <c r="K1766" s="17" t="inlineStr">
        <is>
          <t>낮음</t>
        </is>
      </c>
      <c r="L1766" s="17" t="inlineStr"/>
    </row>
    <row r="1767">
      <c r="A1767" s="17" t="inlineStr">
        <is>
          <t>C283</t>
        </is>
      </c>
      <c r="B1767" s="17" t="inlineStr"/>
      <c r="C1767" s="17" t="inlineStr">
        <is>
          <t>(주)라이트팜텍</t>
        </is>
      </c>
      <c r="D1767" s="17" t="inlineStr"/>
      <c r="E1767" s="17" t="inlineStr">
        <is>
          <t>종업원수</t>
        </is>
      </c>
      <c r="F1767" s="17" t="inlineStr">
        <is>
          <t>미확인</t>
        </is>
      </c>
      <c r="G1767" s="17" t="inlineStr">
        <is>
          <t>웹조사 자동화 실패(세션한도)</t>
        </is>
      </c>
      <c r="H1767" s="17" t="inlineStr">
        <is>
          <t>N</t>
        </is>
      </c>
      <c r="I1767" s="17" t="inlineStr">
        <is>
          <t>DART/채용</t>
        </is>
      </c>
      <c r="J1767" s="17" t="inlineStr">
        <is>
          <t>DART/채용에서 확인</t>
        </is>
      </c>
      <c r="K1767" s="17" t="inlineStr">
        <is>
          <t>낮음</t>
        </is>
      </c>
      <c r="L1767" s="17" t="inlineStr"/>
    </row>
    <row r="1768">
      <c r="A1768" s="17" t="inlineStr">
        <is>
          <t>C283</t>
        </is>
      </c>
      <c r="B1768" s="17" t="inlineStr"/>
      <c r="C1768" s="17" t="inlineStr">
        <is>
          <t>(주)라이트팜텍</t>
        </is>
      </c>
      <c r="D1768" s="17" t="inlineStr"/>
      <c r="E1768" s="17" t="inlineStr">
        <is>
          <t>수출여부</t>
        </is>
      </c>
      <c r="F1768" s="17" t="inlineStr">
        <is>
          <t>미확인</t>
        </is>
      </c>
      <c r="G1768" s="17" t="inlineStr">
        <is>
          <t>웹조사 자동화 실패(세션한도)</t>
        </is>
      </c>
      <c r="H1768" s="17" t="inlineStr">
        <is>
          <t>N</t>
        </is>
      </c>
      <c r="I1768" s="17" t="inlineStr">
        <is>
          <t>회사 공시·홈페이지</t>
        </is>
      </c>
      <c r="J1768" s="17" t="inlineStr">
        <is>
          <t>회사 공시·홈페이지에서 확인</t>
        </is>
      </c>
      <c r="K1768" s="17" t="inlineStr">
        <is>
          <t>낮음</t>
        </is>
      </c>
      <c r="L1768" s="17" t="inlineStr"/>
    </row>
    <row r="1769">
      <c r="A1769" s="17" t="inlineStr">
        <is>
          <t>C283</t>
        </is>
      </c>
      <c r="B1769" s="17" t="inlineStr"/>
      <c r="C1769" s="17" t="inlineStr">
        <is>
          <t>(주)라이트팜텍</t>
        </is>
      </c>
      <c r="D1769" s="17" t="inlineStr"/>
      <c r="E1769" s="17" t="inlineStr">
        <is>
          <t>FDA·EMA 실사</t>
        </is>
      </c>
      <c r="F1769" s="17" t="inlineStr">
        <is>
          <t>미확인</t>
        </is>
      </c>
      <c r="G1769" s="17" t="inlineStr">
        <is>
          <t>웹조사 자동화 실패(세션한도)</t>
        </is>
      </c>
      <c r="H1769" s="17" t="inlineStr">
        <is>
          <t>N</t>
        </is>
      </c>
      <c r="I1769" s="17" t="inlineStr">
        <is>
          <t>FDA Inspection DB</t>
        </is>
      </c>
      <c r="J1769" s="17" t="inlineStr">
        <is>
          <t>FDA Inspection DB에서 확인</t>
        </is>
      </c>
      <c r="K1769" s="17" t="inlineStr">
        <is>
          <t>낮음</t>
        </is>
      </c>
      <c r="L1769" s="17" t="inlineStr"/>
    </row>
    <row r="1770">
      <c r="A1770" s="17" t="inlineStr">
        <is>
          <t>C283</t>
        </is>
      </c>
      <c r="B1770" s="17" t="inlineStr"/>
      <c r="C1770" s="17" t="inlineStr">
        <is>
          <t>(주)라이트팜텍</t>
        </is>
      </c>
      <c r="D1770" s="17" t="inlineStr"/>
      <c r="E1770" s="17" t="inlineStr">
        <is>
          <t>CMO·CDMO</t>
        </is>
      </c>
      <c r="F1770" s="17" t="inlineStr">
        <is>
          <t>미확인</t>
        </is>
      </c>
      <c r="G1770" s="17" t="inlineStr">
        <is>
          <t>웹조사 자동화 실패(세션한도)</t>
        </is>
      </c>
      <c r="H1770" s="17" t="inlineStr">
        <is>
          <t>N</t>
        </is>
      </c>
      <c r="I1770" s="17" t="inlineStr">
        <is>
          <t>회사 홈페이지</t>
        </is>
      </c>
      <c r="J1770" s="17" t="inlineStr">
        <is>
          <t>회사 홈페이지에서 확인</t>
        </is>
      </c>
      <c r="K1770" s="17" t="inlineStr">
        <is>
          <t>낮음</t>
        </is>
      </c>
      <c r="L1770" s="17" t="inlineStr"/>
    </row>
    <row r="1771">
      <c r="A1771" s="17" t="inlineStr">
        <is>
          <t>C283</t>
        </is>
      </c>
      <c r="B1771" s="17" t="inlineStr"/>
      <c r="C1771" s="17" t="inlineStr">
        <is>
          <t>(주)라이트팜텍</t>
        </is>
      </c>
      <c r="D1771" s="17" t="inlineStr"/>
      <c r="E1771" s="17" t="inlineStr">
        <is>
          <t>신공장·증설</t>
        </is>
      </c>
      <c r="F1771" s="17" t="inlineStr">
        <is>
          <t>미확인</t>
        </is>
      </c>
      <c r="G1771" s="17" t="inlineStr">
        <is>
          <t>웹조사 자동화 실패(세션한도)</t>
        </is>
      </c>
      <c r="H1771" s="17" t="inlineStr">
        <is>
          <t>N</t>
        </is>
      </c>
      <c r="I1771" s="17" t="inlineStr">
        <is>
          <t>언론·지자체 발표</t>
        </is>
      </c>
      <c r="J1771" s="17" t="inlineStr">
        <is>
          <t>언론·지자체 발표에서 확인</t>
        </is>
      </c>
      <c r="K1771" s="17" t="inlineStr">
        <is>
          <t>낮음</t>
        </is>
      </c>
      <c r="L1771" s="17" t="inlineStr"/>
    </row>
    <row r="1772">
      <c r="A1772" s="17" t="inlineStr">
        <is>
          <t>C284</t>
        </is>
      </c>
      <c r="B1772" s="17" t="inlineStr"/>
      <c r="C1772" s="17" t="inlineStr">
        <is>
          <t>한미정밀화학(주)</t>
        </is>
      </c>
      <c r="D1772" s="17" t="inlineStr"/>
      <c r="E1772" s="17" t="inlineStr">
        <is>
          <t>최근매출(억원)</t>
        </is>
      </c>
      <c r="F1772" s="17" t="inlineStr">
        <is>
          <t>미확인</t>
        </is>
      </c>
      <c r="G1772" s="17" t="inlineStr">
        <is>
          <t>웹조사 자동화 실패(세션한도)</t>
        </is>
      </c>
      <c r="H1772" s="17" t="inlineStr">
        <is>
          <t>N</t>
        </is>
      </c>
      <c r="I1772" s="17" t="inlineStr">
        <is>
          <t>DART 사업보고서</t>
        </is>
      </c>
      <c r="J1772" s="17" t="inlineStr">
        <is>
          <t>DART 사업보고서에서 확인</t>
        </is>
      </c>
      <c r="K1772" s="17" t="inlineStr">
        <is>
          <t>낮음</t>
        </is>
      </c>
      <c r="L1772" s="17" t="inlineStr"/>
    </row>
    <row r="1773">
      <c r="A1773" s="17" t="inlineStr">
        <is>
          <t>C284</t>
        </is>
      </c>
      <c r="B1773" s="17" t="inlineStr"/>
      <c r="C1773" s="17" t="inlineStr">
        <is>
          <t>한미정밀화학(주)</t>
        </is>
      </c>
      <c r="D1773" s="17" t="inlineStr"/>
      <c r="E1773" s="17" t="inlineStr">
        <is>
          <t>종업원수</t>
        </is>
      </c>
      <c r="F1773" s="17" t="inlineStr">
        <is>
          <t>미확인</t>
        </is>
      </c>
      <c r="G1773" s="17" t="inlineStr">
        <is>
          <t>웹조사 자동화 실패(세션한도)</t>
        </is>
      </c>
      <c r="H1773" s="17" t="inlineStr">
        <is>
          <t>N</t>
        </is>
      </c>
      <c r="I1773" s="17" t="inlineStr">
        <is>
          <t>DART/채용</t>
        </is>
      </c>
      <c r="J1773" s="17" t="inlineStr">
        <is>
          <t>DART/채용에서 확인</t>
        </is>
      </c>
      <c r="K1773" s="17" t="inlineStr">
        <is>
          <t>낮음</t>
        </is>
      </c>
      <c r="L1773" s="17" t="inlineStr"/>
    </row>
    <row r="1774">
      <c r="A1774" s="17" t="inlineStr">
        <is>
          <t>C284</t>
        </is>
      </c>
      <c r="B1774" s="17" t="inlineStr"/>
      <c r="C1774" s="17" t="inlineStr">
        <is>
          <t>한미정밀화학(주)</t>
        </is>
      </c>
      <c r="D1774" s="17" t="inlineStr"/>
      <c r="E1774" s="17" t="inlineStr">
        <is>
          <t>수출여부</t>
        </is>
      </c>
      <c r="F1774" s="17" t="inlineStr">
        <is>
          <t>미확인</t>
        </is>
      </c>
      <c r="G1774" s="17" t="inlineStr">
        <is>
          <t>웹조사 자동화 실패(세션한도)</t>
        </is>
      </c>
      <c r="H1774" s="17" t="inlineStr">
        <is>
          <t>N</t>
        </is>
      </c>
      <c r="I1774" s="17" t="inlineStr">
        <is>
          <t>회사 공시·홈페이지</t>
        </is>
      </c>
      <c r="J1774" s="17" t="inlineStr">
        <is>
          <t>회사 공시·홈페이지에서 확인</t>
        </is>
      </c>
      <c r="K1774" s="17" t="inlineStr">
        <is>
          <t>낮음</t>
        </is>
      </c>
      <c r="L1774" s="17" t="inlineStr"/>
    </row>
    <row r="1775">
      <c r="A1775" s="17" t="inlineStr">
        <is>
          <t>C284</t>
        </is>
      </c>
      <c r="B1775" s="17" t="inlineStr"/>
      <c r="C1775" s="17" t="inlineStr">
        <is>
          <t>한미정밀화학(주)</t>
        </is>
      </c>
      <c r="D1775" s="17" t="inlineStr"/>
      <c r="E1775" s="17" t="inlineStr">
        <is>
          <t>FDA·EMA 실사</t>
        </is>
      </c>
      <c r="F1775" s="17" t="inlineStr">
        <is>
          <t>미확인</t>
        </is>
      </c>
      <c r="G1775" s="17" t="inlineStr">
        <is>
          <t>웹조사 자동화 실패(세션한도)</t>
        </is>
      </c>
      <c r="H1775" s="17" t="inlineStr">
        <is>
          <t>N</t>
        </is>
      </c>
      <c r="I1775" s="17" t="inlineStr">
        <is>
          <t>FDA Inspection DB</t>
        </is>
      </c>
      <c r="J1775" s="17" t="inlineStr">
        <is>
          <t>FDA Inspection DB에서 확인</t>
        </is>
      </c>
      <c r="K1775" s="17" t="inlineStr">
        <is>
          <t>낮음</t>
        </is>
      </c>
      <c r="L1775" s="17" t="inlineStr"/>
    </row>
    <row r="1776">
      <c r="A1776" s="17" t="inlineStr">
        <is>
          <t>C284</t>
        </is>
      </c>
      <c r="B1776" s="17" t="inlineStr"/>
      <c r="C1776" s="17" t="inlineStr">
        <is>
          <t>한미정밀화학(주)</t>
        </is>
      </c>
      <c r="D1776" s="17" t="inlineStr"/>
      <c r="E1776" s="17" t="inlineStr">
        <is>
          <t>CMO·CDMO</t>
        </is>
      </c>
      <c r="F1776" s="17" t="inlineStr">
        <is>
          <t>미확인</t>
        </is>
      </c>
      <c r="G1776" s="17" t="inlineStr">
        <is>
          <t>웹조사 자동화 실패(세션한도)</t>
        </is>
      </c>
      <c r="H1776" s="17" t="inlineStr">
        <is>
          <t>N</t>
        </is>
      </c>
      <c r="I1776" s="17" t="inlineStr">
        <is>
          <t>회사 홈페이지</t>
        </is>
      </c>
      <c r="J1776" s="17" t="inlineStr">
        <is>
          <t>회사 홈페이지에서 확인</t>
        </is>
      </c>
      <c r="K1776" s="17" t="inlineStr">
        <is>
          <t>낮음</t>
        </is>
      </c>
      <c r="L1776" s="17" t="inlineStr"/>
    </row>
    <row r="1777">
      <c r="A1777" s="17" t="inlineStr">
        <is>
          <t>C284</t>
        </is>
      </c>
      <c r="B1777" s="17" t="inlineStr"/>
      <c r="C1777" s="17" t="inlineStr">
        <is>
          <t>한미정밀화학(주)</t>
        </is>
      </c>
      <c r="D1777" s="17" t="inlineStr"/>
      <c r="E1777" s="17" t="inlineStr">
        <is>
          <t>신공장·증설</t>
        </is>
      </c>
      <c r="F1777" s="17" t="inlineStr">
        <is>
          <t>미확인</t>
        </is>
      </c>
      <c r="G1777" s="17" t="inlineStr">
        <is>
          <t>웹조사 자동화 실패(세션한도)</t>
        </is>
      </c>
      <c r="H1777" s="17" t="inlineStr">
        <is>
          <t>N</t>
        </is>
      </c>
      <c r="I1777" s="17" t="inlineStr">
        <is>
          <t>언론·지자체 발표</t>
        </is>
      </c>
      <c r="J1777" s="17" t="inlineStr">
        <is>
          <t>언론·지자체 발표에서 확인</t>
        </is>
      </c>
      <c r="K1777" s="17" t="inlineStr">
        <is>
          <t>낮음</t>
        </is>
      </c>
      <c r="L1777" s="17" t="inlineStr"/>
    </row>
    <row r="1778">
      <c r="A1778" s="17" t="inlineStr">
        <is>
          <t>C284</t>
        </is>
      </c>
      <c r="B1778" s="17" t="inlineStr"/>
      <c r="C1778" s="17" t="inlineStr">
        <is>
          <t>한미정밀화학(주)</t>
        </is>
      </c>
      <c r="D1778" s="17" t="inlineStr"/>
      <c r="E1778" s="17" t="inlineStr">
        <is>
          <t>대표전화</t>
        </is>
      </c>
      <c r="F1778" s="17" t="inlineStr">
        <is>
          <t>미확인</t>
        </is>
      </c>
      <c r="G1778" s="17" t="inlineStr">
        <is>
          <t>제조소상세 미매칭</t>
        </is>
      </c>
      <c r="H1778" s="17" t="inlineStr">
        <is>
          <t>Y</t>
        </is>
      </c>
      <c r="I1778" s="17" t="inlineStr">
        <is>
          <t>회사 홈페이지</t>
        </is>
      </c>
      <c r="J1778" s="17" t="inlineStr">
        <is>
          <t>홈페이지에서 대표번호 확인</t>
        </is>
      </c>
      <c r="K1778" s="17" t="inlineStr">
        <is>
          <t>낮음</t>
        </is>
      </c>
      <c r="L1778" s="17" t="inlineStr"/>
    </row>
    <row r="1779">
      <c r="A1779" s="17" t="inlineStr">
        <is>
          <t>C285</t>
        </is>
      </c>
      <c r="B1779" s="17" t="inlineStr"/>
      <c r="C1779" s="17" t="inlineStr">
        <is>
          <t>(주)넥스팜코리아</t>
        </is>
      </c>
      <c r="D1779" s="17" t="inlineStr"/>
      <c r="E1779" s="17" t="inlineStr">
        <is>
          <t>최근매출(억원)</t>
        </is>
      </c>
      <c r="F1779" s="17" t="inlineStr">
        <is>
          <t>미확인</t>
        </is>
      </c>
      <c r="G1779" s="17" t="inlineStr">
        <is>
          <t>웹조사 자동화 실패(세션한도)</t>
        </is>
      </c>
      <c r="H1779" s="17" t="inlineStr">
        <is>
          <t>N</t>
        </is>
      </c>
      <c r="I1779" s="17" t="inlineStr">
        <is>
          <t>DART 사업보고서</t>
        </is>
      </c>
      <c r="J1779" s="17" t="inlineStr">
        <is>
          <t>DART 사업보고서에서 확인</t>
        </is>
      </c>
      <c r="K1779" s="17" t="inlineStr">
        <is>
          <t>낮음</t>
        </is>
      </c>
      <c r="L1779" s="17" t="inlineStr"/>
    </row>
    <row r="1780">
      <c r="A1780" s="17" t="inlineStr">
        <is>
          <t>C285</t>
        </is>
      </c>
      <c r="B1780" s="17" t="inlineStr"/>
      <c r="C1780" s="17" t="inlineStr">
        <is>
          <t>(주)넥스팜코리아</t>
        </is>
      </c>
      <c r="D1780" s="17" t="inlineStr"/>
      <c r="E1780" s="17" t="inlineStr">
        <is>
          <t>종업원수</t>
        </is>
      </c>
      <c r="F1780" s="17" t="inlineStr">
        <is>
          <t>미확인</t>
        </is>
      </c>
      <c r="G1780" s="17" t="inlineStr">
        <is>
          <t>웹조사 자동화 실패(세션한도)</t>
        </is>
      </c>
      <c r="H1780" s="17" t="inlineStr">
        <is>
          <t>N</t>
        </is>
      </c>
      <c r="I1780" s="17" t="inlineStr">
        <is>
          <t>DART/채용</t>
        </is>
      </c>
      <c r="J1780" s="17" t="inlineStr">
        <is>
          <t>DART/채용에서 확인</t>
        </is>
      </c>
      <c r="K1780" s="17" t="inlineStr">
        <is>
          <t>낮음</t>
        </is>
      </c>
      <c r="L1780" s="17" t="inlineStr"/>
    </row>
    <row r="1781">
      <c r="A1781" s="17" t="inlineStr">
        <is>
          <t>C285</t>
        </is>
      </c>
      <c r="B1781" s="17" t="inlineStr"/>
      <c r="C1781" s="17" t="inlineStr">
        <is>
          <t>(주)넥스팜코리아</t>
        </is>
      </c>
      <c r="D1781" s="17" t="inlineStr"/>
      <c r="E1781" s="17" t="inlineStr">
        <is>
          <t>수출여부</t>
        </is>
      </c>
      <c r="F1781" s="17" t="inlineStr">
        <is>
          <t>미확인</t>
        </is>
      </c>
      <c r="G1781" s="17" t="inlineStr">
        <is>
          <t>웹조사 자동화 실패(세션한도)</t>
        </is>
      </c>
      <c r="H1781" s="17" t="inlineStr">
        <is>
          <t>N</t>
        </is>
      </c>
      <c r="I1781" s="17" t="inlineStr">
        <is>
          <t>회사 공시·홈페이지</t>
        </is>
      </c>
      <c r="J1781" s="17" t="inlineStr">
        <is>
          <t>회사 공시·홈페이지에서 확인</t>
        </is>
      </c>
      <c r="K1781" s="17" t="inlineStr">
        <is>
          <t>낮음</t>
        </is>
      </c>
      <c r="L1781" s="17" t="inlineStr"/>
    </row>
    <row r="1782">
      <c r="A1782" s="17" t="inlineStr">
        <is>
          <t>C285</t>
        </is>
      </c>
      <c r="B1782" s="17" t="inlineStr"/>
      <c r="C1782" s="17" t="inlineStr">
        <is>
          <t>(주)넥스팜코리아</t>
        </is>
      </c>
      <c r="D1782" s="17" t="inlineStr"/>
      <c r="E1782" s="17" t="inlineStr">
        <is>
          <t>FDA·EMA 실사</t>
        </is>
      </c>
      <c r="F1782" s="17" t="inlineStr">
        <is>
          <t>미확인</t>
        </is>
      </c>
      <c r="G1782" s="17" t="inlineStr">
        <is>
          <t>웹조사 자동화 실패(세션한도)</t>
        </is>
      </c>
      <c r="H1782" s="17" t="inlineStr">
        <is>
          <t>N</t>
        </is>
      </c>
      <c r="I1782" s="17" t="inlineStr">
        <is>
          <t>FDA Inspection DB</t>
        </is>
      </c>
      <c r="J1782" s="17" t="inlineStr">
        <is>
          <t>FDA Inspection DB에서 확인</t>
        </is>
      </c>
      <c r="K1782" s="17" t="inlineStr">
        <is>
          <t>낮음</t>
        </is>
      </c>
      <c r="L1782" s="17" t="inlineStr"/>
    </row>
    <row r="1783">
      <c r="A1783" s="17" t="inlineStr">
        <is>
          <t>C285</t>
        </is>
      </c>
      <c r="B1783" s="17" t="inlineStr"/>
      <c r="C1783" s="17" t="inlineStr">
        <is>
          <t>(주)넥스팜코리아</t>
        </is>
      </c>
      <c r="D1783" s="17" t="inlineStr"/>
      <c r="E1783" s="17" t="inlineStr">
        <is>
          <t>CMO·CDMO</t>
        </is>
      </c>
      <c r="F1783" s="17" t="inlineStr">
        <is>
          <t>미확인</t>
        </is>
      </c>
      <c r="G1783" s="17" t="inlineStr">
        <is>
          <t>웹조사 자동화 실패(세션한도)</t>
        </is>
      </c>
      <c r="H1783" s="17" t="inlineStr">
        <is>
          <t>N</t>
        </is>
      </c>
      <c r="I1783" s="17" t="inlineStr">
        <is>
          <t>회사 홈페이지</t>
        </is>
      </c>
      <c r="J1783" s="17" t="inlineStr">
        <is>
          <t>회사 홈페이지에서 확인</t>
        </is>
      </c>
      <c r="K1783" s="17" t="inlineStr">
        <is>
          <t>낮음</t>
        </is>
      </c>
      <c r="L1783" s="17" t="inlineStr"/>
    </row>
    <row r="1784">
      <c r="A1784" s="17" t="inlineStr">
        <is>
          <t>C285</t>
        </is>
      </c>
      <c r="B1784" s="17" t="inlineStr"/>
      <c r="C1784" s="17" t="inlineStr">
        <is>
          <t>(주)넥스팜코리아</t>
        </is>
      </c>
      <c r="D1784" s="17" t="inlineStr"/>
      <c r="E1784" s="17" t="inlineStr">
        <is>
          <t>신공장·증설</t>
        </is>
      </c>
      <c r="F1784" s="17" t="inlineStr">
        <is>
          <t>미확인</t>
        </is>
      </c>
      <c r="G1784" s="17" t="inlineStr">
        <is>
          <t>웹조사 자동화 실패(세션한도)</t>
        </is>
      </c>
      <c r="H1784" s="17" t="inlineStr">
        <is>
          <t>N</t>
        </is>
      </c>
      <c r="I1784" s="17" t="inlineStr">
        <is>
          <t>언론·지자체 발표</t>
        </is>
      </c>
      <c r="J1784" s="17" t="inlineStr">
        <is>
          <t>언론·지자체 발표에서 확인</t>
        </is>
      </c>
      <c r="K1784" s="17" t="inlineStr">
        <is>
          <t>낮음</t>
        </is>
      </c>
      <c r="L1784" s="17" t="inlineStr"/>
    </row>
    <row r="1785">
      <c r="A1785" s="17" t="inlineStr">
        <is>
          <t>C286</t>
        </is>
      </c>
      <c r="B1785" s="17" t="inlineStr"/>
      <c r="C1785" s="17" t="inlineStr">
        <is>
          <t>(주)한창메딕</t>
        </is>
      </c>
      <c r="D1785" s="17" t="inlineStr"/>
      <c r="E1785" s="17" t="inlineStr">
        <is>
          <t>최근매출(억원)</t>
        </is>
      </c>
      <c r="F1785" s="17" t="inlineStr">
        <is>
          <t>미확인</t>
        </is>
      </c>
      <c r="G1785" s="17" t="inlineStr">
        <is>
          <t>웹조사 자동화 실패(세션한도)</t>
        </is>
      </c>
      <c r="H1785" s="17" t="inlineStr">
        <is>
          <t>N</t>
        </is>
      </c>
      <c r="I1785" s="17" t="inlineStr">
        <is>
          <t>DART 사업보고서</t>
        </is>
      </c>
      <c r="J1785" s="17" t="inlineStr">
        <is>
          <t>DART 사업보고서에서 확인</t>
        </is>
      </c>
      <c r="K1785" s="17" t="inlineStr">
        <is>
          <t>낮음</t>
        </is>
      </c>
      <c r="L1785" s="17" t="inlineStr"/>
    </row>
    <row r="1786">
      <c r="A1786" s="17" t="inlineStr">
        <is>
          <t>C286</t>
        </is>
      </c>
      <c r="B1786" s="17" t="inlineStr"/>
      <c r="C1786" s="17" t="inlineStr">
        <is>
          <t>(주)한창메딕</t>
        </is>
      </c>
      <c r="D1786" s="17" t="inlineStr"/>
      <c r="E1786" s="17" t="inlineStr">
        <is>
          <t>종업원수</t>
        </is>
      </c>
      <c r="F1786" s="17" t="inlineStr">
        <is>
          <t>미확인</t>
        </is>
      </c>
      <c r="G1786" s="17" t="inlineStr">
        <is>
          <t>웹조사 자동화 실패(세션한도)</t>
        </is>
      </c>
      <c r="H1786" s="17" t="inlineStr">
        <is>
          <t>N</t>
        </is>
      </c>
      <c r="I1786" s="17" t="inlineStr">
        <is>
          <t>DART/채용</t>
        </is>
      </c>
      <c r="J1786" s="17" t="inlineStr">
        <is>
          <t>DART/채용에서 확인</t>
        </is>
      </c>
      <c r="K1786" s="17" t="inlineStr">
        <is>
          <t>낮음</t>
        </is>
      </c>
      <c r="L1786" s="17" t="inlineStr"/>
    </row>
    <row r="1787">
      <c r="A1787" s="17" t="inlineStr">
        <is>
          <t>C286</t>
        </is>
      </c>
      <c r="B1787" s="17" t="inlineStr"/>
      <c r="C1787" s="17" t="inlineStr">
        <is>
          <t>(주)한창메딕</t>
        </is>
      </c>
      <c r="D1787" s="17" t="inlineStr"/>
      <c r="E1787" s="17" t="inlineStr">
        <is>
          <t>수출여부</t>
        </is>
      </c>
      <c r="F1787" s="17" t="inlineStr">
        <is>
          <t>미확인</t>
        </is>
      </c>
      <c r="G1787" s="17" t="inlineStr">
        <is>
          <t>웹조사 자동화 실패(세션한도)</t>
        </is>
      </c>
      <c r="H1787" s="17" t="inlineStr">
        <is>
          <t>N</t>
        </is>
      </c>
      <c r="I1787" s="17" t="inlineStr">
        <is>
          <t>회사 공시·홈페이지</t>
        </is>
      </c>
      <c r="J1787" s="17" t="inlineStr">
        <is>
          <t>회사 공시·홈페이지에서 확인</t>
        </is>
      </c>
      <c r="K1787" s="17" t="inlineStr">
        <is>
          <t>낮음</t>
        </is>
      </c>
      <c r="L1787" s="17" t="inlineStr"/>
    </row>
    <row r="1788">
      <c r="A1788" s="17" t="inlineStr">
        <is>
          <t>C286</t>
        </is>
      </c>
      <c r="B1788" s="17" t="inlineStr"/>
      <c r="C1788" s="17" t="inlineStr">
        <is>
          <t>(주)한창메딕</t>
        </is>
      </c>
      <c r="D1788" s="17" t="inlineStr"/>
      <c r="E1788" s="17" t="inlineStr">
        <is>
          <t>FDA·EMA 실사</t>
        </is>
      </c>
      <c r="F1788" s="17" t="inlineStr">
        <is>
          <t>미확인</t>
        </is>
      </c>
      <c r="G1788" s="17" t="inlineStr">
        <is>
          <t>웹조사 자동화 실패(세션한도)</t>
        </is>
      </c>
      <c r="H1788" s="17" t="inlineStr">
        <is>
          <t>N</t>
        </is>
      </c>
      <c r="I1788" s="17" t="inlineStr">
        <is>
          <t>FDA Inspection DB</t>
        </is>
      </c>
      <c r="J1788" s="17" t="inlineStr">
        <is>
          <t>FDA Inspection DB에서 확인</t>
        </is>
      </c>
      <c r="K1788" s="17" t="inlineStr">
        <is>
          <t>낮음</t>
        </is>
      </c>
      <c r="L1788" s="17" t="inlineStr"/>
    </row>
    <row r="1789">
      <c r="A1789" s="17" t="inlineStr">
        <is>
          <t>C286</t>
        </is>
      </c>
      <c r="B1789" s="17" t="inlineStr"/>
      <c r="C1789" s="17" t="inlineStr">
        <is>
          <t>(주)한창메딕</t>
        </is>
      </c>
      <c r="D1789" s="17" t="inlineStr"/>
      <c r="E1789" s="17" t="inlineStr">
        <is>
          <t>CMO·CDMO</t>
        </is>
      </c>
      <c r="F1789" s="17" t="inlineStr">
        <is>
          <t>미확인</t>
        </is>
      </c>
      <c r="G1789" s="17" t="inlineStr">
        <is>
          <t>웹조사 자동화 실패(세션한도)</t>
        </is>
      </c>
      <c r="H1789" s="17" t="inlineStr">
        <is>
          <t>N</t>
        </is>
      </c>
      <c r="I1789" s="17" t="inlineStr">
        <is>
          <t>회사 홈페이지</t>
        </is>
      </c>
      <c r="J1789" s="17" t="inlineStr">
        <is>
          <t>회사 홈페이지에서 확인</t>
        </is>
      </c>
      <c r="K1789" s="17" t="inlineStr">
        <is>
          <t>낮음</t>
        </is>
      </c>
      <c r="L1789" s="17" t="inlineStr"/>
    </row>
    <row r="1790">
      <c r="A1790" s="17" t="inlineStr">
        <is>
          <t>C286</t>
        </is>
      </c>
      <c r="B1790" s="17" t="inlineStr"/>
      <c r="C1790" s="17" t="inlineStr">
        <is>
          <t>(주)한창메딕</t>
        </is>
      </c>
      <c r="D1790" s="17" t="inlineStr"/>
      <c r="E1790" s="17" t="inlineStr">
        <is>
          <t>신공장·증설</t>
        </is>
      </c>
      <c r="F1790" s="17" t="inlineStr">
        <is>
          <t>미확인</t>
        </is>
      </c>
      <c r="G1790" s="17" t="inlineStr">
        <is>
          <t>웹조사 자동화 실패(세션한도)</t>
        </is>
      </c>
      <c r="H1790" s="17" t="inlineStr">
        <is>
          <t>N</t>
        </is>
      </c>
      <c r="I1790" s="17" t="inlineStr">
        <is>
          <t>언론·지자체 발표</t>
        </is>
      </c>
      <c r="J1790" s="17" t="inlineStr">
        <is>
          <t>언론·지자체 발표에서 확인</t>
        </is>
      </c>
      <c r="K1790" s="17" t="inlineStr">
        <is>
          <t>낮음</t>
        </is>
      </c>
      <c r="L1790" s="17" t="inlineStr"/>
    </row>
    <row r="1791">
      <c r="A1791" s="17" t="inlineStr">
        <is>
          <t>C287</t>
        </is>
      </c>
      <c r="B1791" s="17" t="inlineStr"/>
      <c r="C1791" s="17" t="inlineStr">
        <is>
          <t>알파제약(주)</t>
        </is>
      </c>
      <c r="D1791" s="17" t="inlineStr"/>
      <c r="E1791" s="17" t="inlineStr">
        <is>
          <t>최근매출(억원)</t>
        </is>
      </c>
      <c r="F1791" s="17" t="inlineStr">
        <is>
          <t>미확인</t>
        </is>
      </c>
      <c r="G1791" s="17" t="inlineStr">
        <is>
          <t>웹조사 자동화 실패(세션한도)</t>
        </is>
      </c>
      <c r="H1791" s="17" t="inlineStr">
        <is>
          <t>N</t>
        </is>
      </c>
      <c r="I1791" s="17" t="inlineStr">
        <is>
          <t>DART 사업보고서</t>
        </is>
      </c>
      <c r="J1791" s="17" t="inlineStr">
        <is>
          <t>DART 사업보고서에서 확인</t>
        </is>
      </c>
      <c r="K1791" s="17" t="inlineStr">
        <is>
          <t>낮음</t>
        </is>
      </c>
      <c r="L1791" s="17" t="inlineStr"/>
    </row>
    <row r="1792">
      <c r="A1792" s="17" t="inlineStr">
        <is>
          <t>C287</t>
        </is>
      </c>
      <c r="B1792" s="17" t="inlineStr"/>
      <c r="C1792" s="17" t="inlineStr">
        <is>
          <t>알파제약(주)</t>
        </is>
      </c>
      <c r="D1792" s="17" t="inlineStr"/>
      <c r="E1792" s="17" t="inlineStr">
        <is>
          <t>종업원수</t>
        </is>
      </c>
      <c r="F1792" s="17" t="inlineStr">
        <is>
          <t>미확인</t>
        </is>
      </c>
      <c r="G1792" s="17" t="inlineStr">
        <is>
          <t>웹조사 자동화 실패(세션한도)</t>
        </is>
      </c>
      <c r="H1792" s="17" t="inlineStr">
        <is>
          <t>N</t>
        </is>
      </c>
      <c r="I1792" s="17" t="inlineStr">
        <is>
          <t>DART/채용</t>
        </is>
      </c>
      <c r="J1792" s="17" t="inlineStr">
        <is>
          <t>DART/채용에서 확인</t>
        </is>
      </c>
      <c r="K1792" s="17" t="inlineStr">
        <is>
          <t>낮음</t>
        </is>
      </c>
      <c r="L1792" s="17" t="inlineStr"/>
    </row>
    <row r="1793">
      <c r="A1793" s="17" t="inlineStr">
        <is>
          <t>C287</t>
        </is>
      </c>
      <c r="B1793" s="17" t="inlineStr"/>
      <c r="C1793" s="17" t="inlineStr">
        <is>
          <t>알파제약(주)</t>
        </is>
      </c>
      <c r="D1793" s="17" t="inlineStr"/>
      <c r="E1793" s="17" t="inlineStr">
        <is>
          <t>수출여부</t>
        </is>
      </c>
      <c r="F1793" s="17" t="inlineStr">
        <is>
          <t>미확인</t>
        </is>
      </c>
      <c r="G1793" s="17" t="inlineStr">
        <is>
          <t>웹조사 자동화 실패(세션한도)</t>
        </is>
      </c>
      <c r="H1793" s="17" t="inlineStr">
        <is>
          <t>N</t>
        </is>
      </c>
      <c r="I1793" s="17" t="inlineStr">
        <is>
          <t>회사 공시·홈페이지</t>
        </is>
      </c>
      <c r="J1793" s="17" t="inlineStr">
        <is>
          <t>회사 공시·홈페이지에서 확인</t>
        </is>
      </c>
      <c r="K1793" s="17" t="inlineStr">
        <is>
          <t>낮음</t>
        </is>
      </c>
      <c r="L1793" s="17" t="inlineStr"/>
    </row>
    <row r="1794">
      <c r="A1794" s="17" t="inlineStr">
        <is>
          <t>C287</t>
        </is>
      </c>
      <c r="B1794" s="17" t="inlineStr"/>
      <c r="C1794" s="17" t="inlineStr">
        <is>
          <t>알파제약(주)</t>
        </is>
      </c>
      <c r="D1794" s="17" t="inlineStr"/>
      <c r="E1794" s="17" t="inlineStr">
        <is>
          <t>FDA·EMA 실사</t>
        </is>
      </c>
      <c r="F1794" s="17" t="inlineStr">
        <is>
          <t>미확인</t>
        </is>
      </c>
      <c r="G1794" s="17" t="inlineStr">
        <is>
          <t>웹조사 자동화 실패(세션한도)</t>
        </is>
      </c>
      <c r="H1794" s="17" t="inlineStr">
        <is>
          <t>N</t>
        </is>
      </c>
      <c r="I1794" s="17" t="inlineStr">
        <is>
          <t>FDA Inspection DB</t>
        </is>
      </c>
      <c r="J1794" s="17" t="inlineStr">
        <is>
          <t>FDA Inspection DB에서 확인</t>
        </is>
      </c>
      <c r="K1794" s="17" t="inlineStr">
        <is>
          <t>낮음</t>
        </is>
      </c>
      <c r="L1794" s="17" t="inlineStr"/>
    </row>
    <row r="1795">
      <c r="A1795" s="17" t="inlineStr">
        <is>
          <t>C287</t>
        </is>
      </c>
      <c r="B1795" s="17" t="inlineStr"/>
      <c r="C1795" s="17" t="inlineStr">
        <is>
          <t>알파제약(주)</t>
        </is>
      </c>
      <c r="D1795" s="17" t="inlineStr"/>
      <c r="E1795" s="17" t="inlineStr">
        <is>
          <t>CMO·CDMO</t>
        </is>
      </c>
      <c r="F1795" s="17" t="inlineStr">
        <is>
          <t>미확인</t>
        </is>
      </c>
      <c r="G1795" s="17" t="inlineStr">
        <is>
          <t>웹조사 자동화 실패(세션한도)</t>
        </is>
      </c>
      <c r="H1795" s="17" t="inlineStr">
        <is>
          <t>N</t>
        </is>
      </c>
      <c r="I1795" s="17" t="inlineStr">
        <is>
          <t>회사 홈페이지</t>
        </is>
      </c>
      <c r="J1795" s="17" t="inlineStr">
        <is>
          <t>회사 홈페이지에서 확인</t>
        </is>
      </c>
      <c r="K1795" s="17" t="inlineStr">
        <is>
          <t>낮음</t>
        </is>
      </c>
      <c r="L1795" s="17" t="inlineStr"/>
    </row>
    <row r="1796">
      <c r="A1796" s="17" t="inlineStr">
        <is>
          <t>C287</t>
        </is>
      </c>
      <c r="B1796" s="17" t="inlineStr"/>
      <c r="C1796" s="17" t="inlineStr">
        <is>
          <t>알파제약(주)</t>
        </is>
      </c>
      <c r="D1796" s="17" t="inlineStr"/>
      <c r="E1796" s="17" t="inlineStr">
        <is>
          <t>신공장·증설</t>
        </is>
      </c>
      <c r="F1796" s="17" t="inlineStr">
        <is>
          <t>미확인</t>
        </is>
      </c>
      <c r="G1796" s="17" t="inlineStr">
        <is>
          <t>웹조사 자동화 실패(세션한도)</t>
        </is>
      </c>
      <c r="H1796" s="17" t="inlineStr">
        <is>
          <t>N</t>
        </is>
      </c>
      <c r="I1796" s="17" t="inlineStr">
        <is>
          <t>언론·지자체 발표</t>
        </is>
      </c>
      <c r="J1796" s="17" t="inlineStr">
        <is>
          <t>언론·지자체 발표에서 확인</t>
        </is>
      </c>
      <c r="K1796" s="17" t="inlineStr">
        <is>
          <t>낮음</t>
        </is>
      </c>
      <c r="L1796" s="17" t="inlineStr"/>
    </row>
    <row r="1797">
      <c r="A1797" s="17" t="inlineStr">
        <is>
          <t>C288</t>
        </is>
      </c>
      <c r="B1797" s="17" t="inlineStr"/>
      <c r="C1797" s="17" t="inlineStr">
        <is>
          <t>(주)원풍약품상사</t>
        </is>
      </c>
      <c r="D1797" s="17" t="inlineStr"/>
      <c r="E1797" s="17" t="inlineStr">
        <is>
          <t>최근매출(억원)</t>
        </is>
      </c>
      <c r="F1797" s="17" t="inlineStr">
        <is>
          <t>미확인</t>
        </is>
      </c>
      <c r="G1797" s="17" t="inlineStr">
        <is>
          <t>웹조사 자동화 실패(세션한도)</t>
        </is>
      </c>
      <c r="H1797" s="17" t="inlineStr">
        <is>
          <t>N</t>
        </is>
      </c>
      <c r="I1797" s="17" t="inlineStr">
        <is>
          <t>DART 사업보고서</t>
        </is>
      </c>
      <c r="J1797" s="17" t="inlineStr">
        <is>
          <t>DART 사업보고서에서 확인</t>
        </is>
      </c>
      <c r="K1797" s="17" t="inlineStr">
        <is>
          <t>낮음</t>
        </is>
      </c>
      <c r="L1797" s="17" t="inlineStr"/>
    </row>
    <row r="1798">
      <c r="A1798" s="17" t="inlineStr">
        <is>
          <t>C288</t>
        </is>
      </c>
      <c r="B1798" s="17" t="inlineStr"/>
      <c r="C1798" s="17" t="inlineStr">
        <is>
          <t>(주)원풍약품상사</t>
        </is>
      </c>
      <c r="D1798" s="17" t="inlineStr"/>
      <c r="E1798" s="17" t="inlineStr">
        <is>
          <t>종업원수</t>
        </is>
      </c>
      <c r="F1798" s="17" t="inlineStr">
        <is>
          <t>미확인</t>
        </is>
      </c>
      <c r="G1798" s="17" t="inlineStr">
        <is>
          <t>웹조사 자동화 실패(세션한도)</t>
        </is>
      </c>
      <c r="H1798" s="17" t="inlineStr">
        <is>
          <t>N</t>
        </is>
      </c>
      <c r="I1798" s="17" t="inlineStr">
        <is>
          <t>DART/채용</t>
        </is>
      </c>
      <c r="J1798" s="17" t="inlineStr">
        <is>
          <t>DART/채용에서 확인</t>
        </is>
      </c>
      <c r="K1798" s="17" t="inlineStr">
        <is>
          <t>낮음</t>
        </is>
      </c>
      <c r="L1798" s="17" t="inlineStr"/>
    </row>
    <row r="1799">
      <c r="A1799" s="17" t="inlineStr">
        <is>
          <t>C288</t>
        </is>
      </c>
      <c r="B1799" s="17" t="inlineStr"/>
      <c r="C1799" s="17" t="inlineStr">
        <is>
          <t>(주)원풍약품상사</t>
        </is>
      </c>
      <c r="D1799" s="17" t="inlineStr"/>
      <c r="E1799" s="17" t="inlineStr">
        <is>
          <t>수출여부</t>
        </is>
      </c>
      <c r="F1799" s="17" t="inlineStr">
        <is>
          <t>미확인</t>
        </is>
      </c>
      <c r="G1799" s="17" t="inlineStr">
        <is>
          <t>웹조사 자동화 실패(세션한도)</t>
        </is>
      </c>
      <c r="H1799" s="17" t="inlineStr">
        <is>
          <t>N</t>
        </is>
      </c>
      <c r="I1799" s="17" t="inlineStr">
        <is>
          <t>회사 공시·홈페이지</t>
        </is>
      </c>
      <c r="J1799" s="17" t="inlineStr">
        <is>
          <t>회사 공시·홈페이지에서 확인</t>
        </is>
      </c>
      <c r="K1799" s="17" t="inlineStr">
        <is>
          <t>낮음</t>
        </is>
      </c>
      <c r="L1799" s="17" t="inlineStr"/>
    </row>
    <row r="1800">
      <c r="A1800" s="17" t="inlineStr">
        <is>
          <t>C288</t>
        </is>
      </c>
      <c r="B1800" s="17" t="inlineStr"/>
      <c r="C1800" s="17" t="inlineStr">
        <is>
          <t>(주)원풍약품상사</t>
        </is>
      </c>
      <c r="D1800" s="17" t="inlineStr"/>
      <c r="E1800" s="17" t="inlineStr">
        <is>
          <t>FDA·EMA 실사</t>
        </is>
      </c>
      <c r="F1800" s="17" t="inlineStr">
        <is>
          <t>미확인</t>
        </is>
      </c>
      <c r="G1800" s="17" t="inlineStr">
        <is>
          <t>웹조사 자동화 실패(세션한도)</t>
        </is>
      </c>
      <c r="H1800" s="17" t="inlineStr">
        <is>
          <t>N</t>
        </is>
      </c>
      <c r="I1800" s="17" t="inlineStr">
        <is>
          <t>FDA Inspection DB</t>
        </is>
      </c>
      <c r="J1800" s="17" t="inlineStr">
        <is>
          <t>FDA Inspection DB에서 확인</t>
        </is>
      </c>
      <c r="K1800" s="17" t="inlineStr">
        <is>
          <t>낮음</t>
        </is>
      </c>
      <c r="L1800" s="17" t="inlineStr"/>
    </row>
    <row r="1801">
      <c r="A1801" s="17" t="inlineStr">
        <is>
          <t>C288</t>
        </is>
      </c>
      <c r="B1801" s="17" t="inlineStr"/>
      <c r="C1801" s="17" t="inlineStr">
        <is>
          <t>(주)원풍약품상사</t>
        </is>
      </c>
      <c r="D1801" s="17" t="inlineStr"/>
      <c r="E1801" s="17" t="inlineStr">
        <is>
          <t>CMO·CDMO</t>
        </is>
      </c>
      <c r="F1801" s="17" t="inlineStr">
        <is>
          <t>미확인</t>
        </is>
      </c>
      <c r="G1801" s="17" t="inlineStr">
        <is>
          <t>웹조사 자동화 실패(세션한도)</t>
        </is>
      </c>
      <c r="H1801" s="17" t="inlineStr">
        <is>
          <t>N</t>
        </is>
      </c>
      <c r="I1801" s="17" t="inlineStr">
        <is>
          <t>회사 홈페이지</t>
        </is>
      </c>
      <c r="J1801" s="17" t="inlineStr">
        <is>
          <t>회사 홈페이지에서 확인</t>
        </is>
      </c>
      <c r="K1801" s="17" t="inlineStr">
        <is>
          <t>낮음</t>
        </is>
      </c>
      <c r="L1801" s="17" t="inlineStr"/>
    </row>
    <row r="1802">
      <c r="A1802" s="17" t="inlineStr">
        <is>
          <t>C288</t>
        </is>
      </c>
      <c r="B1802" s="17" t="inlineStr"/>
      <c r="C1802" s="17" t="inlineStr">
        <is>
          <t>(주)원풍약품상사</t>
        </is>
      </c>
      <c r="D1802" s="17" t="inlineStr"/>
      <c r="E1802" s="17" t="inlineStr">
        <is>
          <t>신공장·증설</t>
        </is>
      </c>
      <c r="F1802" s="17" t="inlineStr">
        <is>
          <t>미확인</t>
        </is>
      </c>
      <c r="G1802" s="17" t="inlineStr">
        <is>
          <t>웹조사 자동화 실패(세션한도)</t>
        </is>
      </c>
      <c r="H1802" s="17" t="inlineStr">
        <is>
          <t>N</t>
        </is>
      </c>
      <c r="I1802" s="17" t="inlineStr">
        <is>
          <t>언론·지자체 발표</t>
        </is>
      </c>
      <c r="J1802" s="17" t="inlineStr">
        <is>
          <t>언론·지자체 발표에서 확인</t>
        </is>
      </c>
      <c r="K1802" s="17" t="inlineStr">
        <is>
          <t>낮음</t>
        </is>
      </c>
      <c r="L1802" s="17" t="inlineStr"/>
    </row>
    <row r="1803">
      <c r="A1803" s="17" t="inlineStr">
        <is>
          <t>C289</t>
        </is>
      </c>
      <c r="B1803" s="17" t="inlineStr"/>
      <c r="C1803" s="17" t="inlineStr">
        <is>
          <t>한국바이오켐제약(주)</t>
        </is>
      </c>
      <c r="D1803" s="17" t="inlineStr"/>
      <c r="E1803" s="17" t="inlineStr">
        <is>
          <t>최근매출(억원)</t>
        </is>
      </c>
      <c r="F1803" s="17" t="inlineStr">
        <is>
          <t>미확인</t>
        </is>
      </c>
      <c r="G1803" s="17" t="inlineStr">
        <is>
          <t>웹조사 자동화 실패(세션한도)</t>
        </is>
      </c>
      <c r="H1803" s="17" t="inlineStr">
        <is>
          <t>N</t>
        </is>
      </c>
      <c r="I1803" s="17" t="inlineStr">
        <is>
          <t>DART 사업보고서</t>
        </is>
      </c>
      <c r="J1803" s="17" t="inlineStr">
        <is>
          <t>DART 사업보고서에서 확인</t>
        </is>
      </c>
      <c r="K1803" s="17" t="inlineStr">
        <is>
          <t>낮음</t>
        </is>
      </c>
      <c r="L1803" s="17" t="inlineStr"/>
    </row>
    <row r="1804">
      <c r="A1804" s="17" t="inlineStr">
        <is>
          <t>C289</t>
        </is>
      </c>
      <c r="B1804" s="17" t="inlineStr"/>
      <c r="C1804" s="17" t="inlineStr">
        <is>
          <t>한국바이오켐제약(주)</t>
        </is>
      </c>
      <c r="D1804" s="17" t="inlineStr"/>
      <c r="E1804" s="17" t="inlineStr">
        <is>
          <t>종업원수</t>
        </is>
      </c>
      <c r="F1804" s="17" t="inlineStr">
        <is>
          <t>미확인</t>
        </is>
      </c>
      <c r="G1804" s="17" t="inlineStr">
        <is>
          <t>웹조사 자동화 실패(세션한도)</t>
        </is>
      </c>
      <c r="H1804" s="17" t="inlineStr">
        <is>
          <t>N</t>
        </is>
      </c>
      <c r="I1804" s="17" t="inlineStr">
        <is>
          <t>DART/채용</t>
        </is>
      </c>
      <c r="J1804" s="17" t="inlineStr">
        <is>
          <t>DART/채용에서 확인</t>
        </is>
      </c>
      <c r="K1804" s="17" t="inlineStr">
        <is>
          <t>낮음</t>
        </is>
      </c>
      <c r="L1804" s="17" t="inlineStr"/>
    </row>
    <row r="1805">
      <c r="A1805" s="17" t="inlineStr">
        <is>
          <t>C289</t>
        </is>
      </c>
      <c r="B1805" s="17" t="inlineStr"/>
      <c r="C1805" s="17" t="inlineStr">
        <is>
          <t>한국바이오켐제약(주)</t>
        </is>
      </c>
      <c r="D1805" s="17" t="inlineStr"/>
      <c r="E1805" s="17" t="inlineStr">
        <is>
          <t>수출여부</t>
        </is>
      </c>
      <c r="F1805" s="17" t="inlineStr">
        <is>
          <t>미확인</t>
        </is>
      </c>
      <c r="G1805" s="17" t="inlineStr">
        <is>
          <t>웹조사 자동화 실패(세션한도)</t>
        </is>
      </c>
      <c r="H1805" s="17" t="inlineStr">
        <is>
          <t>N</t>
        </is>
      </c>
      <c r="I1805" s="17" t="inlineStr">
        <is>
          <t>회사 공시·홈페이지</t>
        </is>
      </c>
      <c r="J1805" s="17" t="inlineStr">
        <is>
          <t>회사 공시·홈페이지에서 확인</t>
        </is>
      </c>
      <c r="K1805" s="17" t="inlineStr">
        <is>
          <t>낮음</t>
        </is>
      </c>
      <c r="L1805" s="17" t="inlineStr"/>
    </row>
    <row r="1806">
      <c r="A1806" s="17" t="inlineStr">
        <is>
          <t>C289</t>
        </is>
      </c>
      <c r="B1806" s="17" t="inlineStr"/>
      <c r="C1806" s="17" t="inlineStr">
        <is>
          <t>한국바이오켐제약(주)</t>
        </is>
      </c>
      <c r="D1806" s="17" t="inlineStr"/>
      <c r="E1806" s="17" t="inlineStr">
        <is>
          <t>FDA·EMA 실사</t>
        </is>
      </c>
      <c r="F1806" s="17" t="inlineStr">
        <is>
          <t>미확인</t>
        </is>
      </c>
      <c r="G1806" s="17" t="inlineStr">
        <is>
          <t>웹조사 자동화 실패(세션한도)</t>
        </is>
      </c>
      <c r="H1806" s="17" t="inlineStr">
        <is>
          <t>N</t>
        </is>
      </c>
      <c r="I1806" s="17" t="inlineStr">
        <is>
          <t>FDA Inspection DB</t>
        </is>
      </c>
      <c r="J1806" s="17" t="inlineStr">
        <is>
          <t>FDA Inspection DB에서 확인</t>
        </is>
      </c>
      <c r="K1806" s="17" t="inlineStr">
        <is>
          <t>낮음</t>
        </is>
      </c>
      <c r="L1806" s="17" t="inlineStr"/>
    </row>
    <row r="1807">
      <c r="A1807" s="17" t="inlineStr">
        <is>
          <t>C289</t>
        </is>
      </c>
      <c r="B1807" s="17" t="inlineStr"/>
      <c r="C1807" s="17" t="inlineStr">
        <is>
          <t>한국바이오켐제약(주)</t>
        </is>
      </c>
      <c r="D1807" s="17" t="inlineStr"/>
      <c r="E1807" s="17" t="inlineStr">
        <is>
          <t>CMO·CDMO</t>
        </is>
      </c>
      <c r="F1807" s="17" t="inlineStr">
        <is>
          <t>미확인</t>
        </is>
      </c>
      <c r="G1807" s="17" t="inlineStr">
        <is>
          <t>웹조사 자동화 실패(세션한도)</t>
        </is>
      </c>
      <c r="H1807" s="17" t="inlineStr">
        <is>
          <t>N</t>
        </is>
      </c>
      <c r="I1807" s="17" t="inlineStr">
        <is>
          <t>회사 홈페이지</t>
        </is>
      </c>
      <c r="J1807" s="17" t="inlineStr">
        <is>
          <t>회사 홈페이지에서 확인</t>
        </is>
      </c>
      <c r="K1807" s="17" t="inlineStr">
        <is>
          <t>낮음</t>
        </is>
      </c>
      <c r="L1807" s="17" t="inlineStr"/>
    </row>
    <row r="1808">
      <c r="A1808" s="17" t="inlineStr">
        <is>
          <t>C289</t>
        </is>
      </c>
      <c r="B1808" s="17" t="inlineStr"/>
      <c r="C1808" s="17" t="inlineStr">
        <is>
          <t>한국바이오켐제약(주)</t>
        </is>
      </c>
      <c r="D1808" s="17" t="inlineStr"/>
      <c r="E1808" s="17" t="inlineStr">
        <is>
          <t>신공장·증설</t>
        </is>
      </c>
      <c r="F1808" s="17" t="inlineStr">
        <is>
          <t>미확인</t>
        </is>
      </c>
      <c r="G1808" s="17" t="inlineStr">
        <is>
          <t>웹조사 자동화 실패(세션한도)</t>
        </is>
      </c>
      <c r="H1808" s="17" t="inlineStr">
        <is>
          <t>N</t>
        </is>
      </c>
      <c r="I1808" s="17" t="inlineStr">
        <is>
          <t>언론·지자체 발표</t>
        </is>
      </c>
      <c r="J1808" s="17" t="inlineStr">
        <is>
          <t>언론·지자체 발표에서 확인</t>
        </is>
      </c>
      <c r="K1808" s="17" t="inlineStr">
        <is>
          <t>낮음</t>
        </is>
      </c>
      <c r="L1808" s="17" t="inlineStr"/>
    </row>
    <row r="1809">
      <c r="A1809" s="17" t="inlineStr">
        <is>
          <t>C290</t>
        </is>
      </c>
      <c r="B1809" s="17" t="inlineStr"/>
      <c r="C1809" s="17" t="inlineStr">
        <is>
          <t>화일약품(주)</t>
        </is>
      </c>
      <c r="D1809" s="17" t="inlineStr"/>
      <c r="E1809" s="17" t="inlineStr">
        <is>
          <t>최근매출(억원)</t>
        </is>
      </c>
      <c r="F1809" s="17" t="inlineStr">
        <is>
          <t>미확인</t>
        </is>
      </c>
      <c r="G1809" s="17" t="inlineStr">
        <is>
          <t>웹조사 자동화 실패(세션한도)</t>
        </is>
      </c>
      <c r="H1809" s="17" t="inlineStr">
        <is>
          <t>N</t>
        </is>
      </c>
      <c r="I1809" s="17" t="inlineStr">
        <is>
          <t>DART 사업보고서</t>
        </is>
      </c>
      <c r="J1809" s="17" t="inlineStr">
        <is>
          <t>DART 사업보고서에서 확인</t>
        </is>
      </c>
      <c r="K1809" s="17" t="inlineStr">
        <is>
          <t>낮음</t>
        </is>
      </c>
      <c r="L1809" s="17" t="inlineStr"/>
    </row>
    <row r="1810">
      <c r="A1810" s="17" t="inlineStr">
        <is>
          <t>C290</t>
        </is>
      </c>
      <c r="B1810" s="17" t="inlineStr"/>
      <c r="C1810" s="17" t="inlineStr">
        <is>
          <t>화일약품(주)</t>
        </is>
      </c>
      <c r="D1810" s="17" t="inlineStr"/>
      <c r="E1810" s="17" t="inlineStr">
        <is>
          <t>종업원수</t>
        </is>
      </c>
      <c r="F1810" s="17" t="inlineStr">
        <is>
          <t>미확인</t>
        </is>
      </c>
      <c r="G1810" s="17" t="inlineStr">
        <is>
          <t>웹조사 자동화 실패(세션한도)</t>
        </is>
      </c>
      <c r="H1810" s="17" t="inlineStr">
        <is>
          <t>N</t>
        </is>
      </c>
      <c r="I1810" s="17" t="inlineStr">
        <is>
          <t>DART/채용</t>
        </is>
      </c>
      <c r="J1810" s="17" t="inlineStr">
        <is>
          <t>DART/채용에서 확인</t>
        </is>
      </c>
      <c r="K1810" s="17" t="inlineStr">
        <is>
          <t>낮음</t>
        </is>
      </c>
      <c r="L1810" s="17" t="inlineStr"/>
    </row>
    <row r="1811">
      <c r="A1811" s="17" t="inlineStr">
        <is>
          <t>C290</t>
        </is>
      </c>
      <c r="B1811" s="17" t="inlineStr"/>
      <c r="C1811" s="17" t="inlineStr">
        <is>
          <t>화일약품(주)</t>
        </is>
      </c>
      <c r="D1811" s="17" t="inlineStr"/>
      <c r="E1811" s="17" t="inlineStr">
        <is>
          <t>수출여부</t>
        </is>
      </c>
      <c r="F1811" s="17" t="inlineStr">
        <is>
          <t>미확인</t>
        </is>
      </c>
      <c r="G1811" s="17" t="inlineStr">
        <is>
          <t>웹조사 자동화 실패(세션한도)</t>
        </is>
      </c>
      <c r="H1811" s="17" t="inlineStr">
        <is>
          <t>N</t>
        </is>
      </c>
      <c r="I1811" s="17" t="inlineStr">
        <is>
          <t>회사 공시·홈페이지</t>
        </is>
      </c>
      <c r="J1811" s="17" t="inlineStr">
        <is>
          <t>회사 공시·홈페이지에서 확인</t>
        </is>
      </c>
      <c r="K1811" s="17" t="inlineStr">
        <is>
          <t>낮음</t>
        </is>
      </c>
      <c r="L1811" s="17" t="inlineStr"/>
    </row>
    <row r="1812">
      <c r="A1812" s="17" t="inlineStr">
        <is>
          <t>C290</t>
        </is>
      </c>
      <c r="B1812" s="17" t="inlineStr"/>
      <c r="C1812" s="17" t="inlineStr">
        <is>
          <t>화일약품(주)</t>
        </is>
      </c>
      <c r="D1812" s="17" t="inlineStr"/>
      <c r="E1812" s="17" t="inlineStr">
        <is>
          <t>FDA·EMA 실사</t>
        </is>
      </c>
      <c r="F1812" s="17" t="inlineStr">
        <is>
          <t>미확인</t>
        </is>
      </c>
      <c r="G1812" s="17" t="inlineStr">
        <is>
          <t>웹조사 자동화 실패(세션한도)</t>
        </is>
      </c>
      <c r="H1812" s="17" t="inlineStr">
        <is>
          <t>N</t>
        </is>
      </c>
      <c r="I1812" s="17" t="inlineStr">
        <is>
          <t>FDA Inspection DB</t>
        </is>
      </c>
      <c r="J1812" s="17" t="inlineStr">
        <is>
          <t>FDA Inspection DB에서 확인</t>
        </is>
      </c>
      <c r="K1812" s="17" t="inlineStr">
        <is>
          <t>낮음</t>
        </is>
      </c>
      <c r="L1812" s="17" t="inlineStr"/>
    </row>
    <row r="1813">
      <c r="A1813" s="17" t="inlineStr">
        <is>
          <t>C290</t>
        </is>
      </c>
      <c r="B1813" s="17" t="inlineStr"/>
      <c r="C1813" s="17" t="inlineStr">
        <is>
          <t>화일약품(주)</t>
        </is>
      </c>
      <c r="D1813" s="17" t="inlineStr"/>
      <c r="E1813" s="17" t="inlineStr">
        <is>
          <t>CMO·CDMO</t>
        </is>
      </c>
      <c r="F1813" s="17" t="inlineStr">
        <is>
          <t>미확인</t>
        </is>
      </c>
      <c r="G1813" s="17" t="inlineStr">
        <is>
          <t>웹조사 자동화 실패(세션한도)</t>
        </is>
      </c>
      <c r="H1813" s="17" t="inlineStr">
        <is>
          <t>N</t>
        </is>
      </c>
      <c r="I1813" s="17" t="inlineStr">
        <is>
          <t>회사 홈페이지</t>
        </is>
      </c>
      <c r="J1813" s="17" t="inlineStr">
        <is>
          <t>회사 홈페이지에서 확인</t>
        </is>
      </c>
      <c r="K1813" s="17" t="inlineStr">
        <is>
          <t>낮음</t>
        </is>
      </c>
      <c r="L1813" s="17" t="inlineStr"/>
    </row>
    <row r="1814">
      <c r="A1814" s="17" t="inlineStr">
        <is>
          <t>C290</t>
        </is>
      </c>
      <c r="B1814" s="17" t="inlineStr"/>
      <c r="C1814" s="17" t="inlineStr">
        <is>
          <t>화일약품(주)</t>
        </is>
      </c>
      <c r="D1814" s="17" t="inlineStr"/>
      <c r="E1814" s="17" t="inlineStr">
        <is>
          <t>신공장·증설</t>
        </is>
      </c>
      <c r="F1814" s="17" t="inlineStr">
        <is>
          <t>미확인</t>
        </is>
      </c>
      <c r="G1814" s="17" t="inlineStr">
        <is>
          <t>웹조사 자동화 실패(세션한도)</t>
        </is>
      </c>
      <c r="H1814" s="17" t="inlineStr">
        <is>
          <t>N</t>
        </is>
      </c>
      <c r="I1814" s="17" t="inlineStr">
        <is>
          <t>언론·지자체 발표</t>
        </is>
      </c>
      <c r="J1814" s="17" t="inlineStr">
        <is>
          <t>언론·지자체 발표에서 확인</t>
        </is>
      </c>
      <c r="K1814" s="17" t="inlineStr">
        <is>
          <t>낮음</t>
        </is>
      </c>
      <c r="L1814" s="17" t="inlineStr"/>
    </row>
    <row r="1815">
      <c r="A1815" s="17" t="inlineStr">
        <is>
          <t>C291</t>
        </is>
      </c>
      <c r="B1815" s="17" t="inlineStr"/>
      <c r="C1815" s="17" t="inlineStr">
        <is>
          <t>아이엠씨디코리아주식회사</t>
        </is>
      </c>
      <c r="D1815" s="17" t="inlineStr"/>
      <c r="E1815" s="17" t="inlineStr">
        <is>
          <t>최근매출(억원)</t>
        </is>
      </c>
      <c r="F1815" s="17" t="inlineStr">
        <is>
          <t>미확인</t>
        </is>
      </c>
      <c r="G1815" s="17" t="inlineStr">
        <is>
          <t>웹조사 자동화 실패(세션한도)</t>
        </is>
      </c>
      <c r="H1815" s="17" t="inlineStr">
        <is>
          <t>N</t>
        </is>
      </c>
      <c r="I1815" s="17" t="inlineStr">
        <is>
          <t>DART 사업보고서</t>
        </is>
      </c>
      <c r="J1815" s="17" t="inlineStr">
        <is>
          <t>DART 사업보고서에서 확인</t>
        </is>
      </c>
      <c r="K1815" s="17" t="inlineStr">
        <is>
          <t>낮음</t>
        </is>
      </c>
      <c r="L1815" s="17" t="inlineStr"/>
    </row>
    <row r="1816">
      <c r="A1816" s="17" t="inlineStr">
        <is>
          <t>C291</t>
        </is>
      </c>
      <c r="B1816" s="17" t="inlineStr"/>
      <c r="C1816" s="17" t="inlineStr">
        <is>
          <t>아이엠씨디코리아주식회사</t>
        </is>
      </c>
      <c r="D1816" s="17" t="inlineStr"/>
      <c r="E1816" s="17" t="inlineStr">
        <is>
          <t>종업원수</t>
        </is>
      </c>
      <c r="F1816" s="17" t="inlineStr">
        <is>
          <t>미확인</t>
        </is>
      </c>
      <c r="G1816" s="17" t="inlineStr">
        <is>
          <t>웹조사 자동화 실패(세션한도)</t>
        </is>
      </c>
      <c r="H1816" s="17" t="inlineStr">
        <is>
          <t>N</t>
        </is>
      </c>
      <c r="I1816" s="17" t="inlineStr">
        <is>
          <t>DART/채용</t>
        </is>
      </c>
      <c r="J1816" s="17" t="inlineStr">
        <is>
          <t>DART/채용에서 확인</t>
        </is>
      </c>
      <c r="K1816" s="17" t="inlineStr">
        <is>
          <t>낮음</t>
        </is>
      </c>
      <c r="L1816" s="17" t="inlineStr"/>
    </row>
    <row r="1817">
      <c r="A1817" s="17" t="inlineStr">
        <is>
          <t>C291</t>
        </is>
      </c>
      <c r="B1817" s="17" t="inlineStr"/>
      <c r="C1817" s="17" t="inlineStr">
        <is>
          <t>아이엠씨디코리아주식회사</t>
        </is>
      </c>
      <c r="D1817" s="17" t="inlineStr"/>
      <c r="E1817" s="17" t="inlineStr">
        <is>
          <t>수출여부</t>
        </is>
      </c>
      <c r="F1817" s="17" t="inlineStr">
        <is>
          <t>미확인</t>
        </is>
      </c>
      <c r="G1817" s="17" t="inlineStr">
        <is>
          <t>웹조사 자동화 실패(세션한도)</t>
        </is>
      </c>
      <c r="H1817" s="17" t="inlineStr">
        <is>
          <t>N</t>
        </is>
      </c>
      <c r="I1817" s="17" t="inlineStr">
        <is>
          <t>회사 공시·홈페이지</t>
        </is>
      </c>
      <c r="J1817" s="17" t="inlineStr">
        <is>
          <t>회사 공시·홈페이지에서 확인</t>
        </is>
      </c>
      <c r="K1817" s="17" t="inlineStr">
        <is>
          <t>낮음</t>
        </is>
      </c>
      <c r="L1817" s="17" t="inlineStr"/>
    </row>
    <row r="1818">
      <c r="A1818" s="17" t="inlineStr">
        <is>
          <t>C291</t>
        </is>
      </c>
      <c r="B1818" s="17" t="inlineStr"/>
      <c r="C1818" s="17" t="inlineStr">
        <is>
          <t>아이엠씨디코리아주식회사</t>
        </is>
      </c>
      <c r="D1818" s="17" t="inlineStr"/>
      <c r="E1818" s="17" t="inlineStr">
        <is>
          <t>FDA·EMA 실사</t>
        </is>
      </c>
      <c r="F1818" s="17" t="inlineStr">
        <is>
          <t>미확인</t>
        </is>
      </c>
      <c r="G1818" s="17" t="inlineStr">
        <is>
          <t>웹조사 자동화 실패(세션한도)</t>
        </is>
      </c>
      <c r="H1818" s="17" t="inlineStr">
        <is>
          <t>N</t>
        </is>
      </c>
      <c r="I1818" s="17" t="inlineStr">
        <is>
          <t>FDA Inspection DB</t>
        </is>
      </c>
      <c r="J1818" s="17" t="inlineStr">
        <is>
          <t>FDA Inspection DB에서 확인</t>
        </is>
      </c>
      <c r="K1818" s="17" t="inlineStr">
        <is>
          <t>낮음</t>
        </is>
      </c>
      <c r="L1818" s="17" t="inlineStr"/>
    </row>
    <row r="1819">
      <c r="A1819" s="17" t="inlineStr">
        <is>
          <t>C291</t>
        </is>
      </c>
      <c r="B1819" s="17" t="inlineStr"/>
      <c r="C1819" s="17" t="inlineStr">
        <is>
          <t>아이엠씨디코리아주식회사</t>
        </is>
      </c>
      <c r="D1819" s="17" t="inlineStr"/>
      <c r="E1819" s="17" t="inlineStr">
        <is>
          <t>CMO·CDMO</t>
        </is>
      </c>
      <c r="F1819" s="17" t="inlineStr">
        <is>
          <t>미확인</t>
        </is>
      </c>
      <c r="G1819" s="17" t="inlineStr">
        <is>
          <t>웹조사 자동화 실패(세션한도)</t>
        </is>
      </c>
      <c r="H1819" s="17" t="inlineStr">
        <is>
          <t>N</t>
        </is>
      </c>
      <c r="I1819" s="17" t="inlineStr">
        <is>
          <t>회사 홈페이지</t>
        </is>
      </c>
      <c r="J1819" s="17" t="inlineStr">
        <is>
          <t>회사 홈페이지에서 확인</t>
        </is>
      </c>
      <c r="K1819" s="17" t="inlineStr">
        <is>
          <t>낮음</t>
        </is>
      </c>
      <c r="L1819" s="17" t="inlineStr"/>
    </row>
    <row r="1820">
      <c r="A1820" s="17" t="inlineStr">
        <is>
          <t>C291</t>
        </is>
      </c>
      <c r="B1820" s="17" t="inlineStr"/>
      <c r="C1820" s="17" t="inlineStr">
        <is>
          <t>아이엠씨디코리아주식회사</t>
        </is>
      </c>
      <c r="D1820" s="17" t="inlineStr"/>
      <c r="E1820" s="17" t="inlineStr">
        <is>
          <t>신공장·증설</t>
        </is>
      </c>
      <c r="F1820" s="17" t="inlineStr">
        <is>
          <t>미확인</t>
        </is>
      </c>
      <c r="G1820" s="17" t="inlineStr">
        <is>
          <t>웹조사 자동화 실패(세션한도)</t>
        </is>
      </c>
      <c r="H1820" s="17" t="inlineStr">
        <is>
          <t>N</t>
        </is>
      </c>
      <c r="I1820" s="17" t="inlineStr">
        <is>
          <t>언론·지자체 발표</t>
        </is>
      </c>
      <c r="J1820" s="17" t="inlineStr">
        <is>
          <t>언론·지자체 발표에서 확인</t>
        </is>
      </c>
      <c r="K1820" s="17" t="inlineStr">
        <is>
          <t>낮음</t>
        </is>
      </c>
      <c r="L1820" s="17" t="inlineStr"/>
    </row>
    <row r="1821">
      <c r="A1821" s="17" t="inlineStr">
        <is>
          <t>C292</t>
        </is>
      </c>
      <c r="B1821" s="17" t="inlineStr"/>
      <c r="C1821" s="17" t="inlineStr">
        <is>
          <t>한국에스이엠(주)</t>
        </is>
      </c>
      <c r="D1821" s="17" t="inlineStr"/>
      <c r="E1821" s="17" t="inlineStr">
        <is>
          <t>최근매출(억원)</t>
        </is>
      </c>
      <c r="F1821" s="17" t="inlineStr">
        <is>
          <t>미확인</t>
        </is>
      </c>
      <c r="G1821" s="17" t="inlineStr">
        <is>
          <t>웹조사 자동화 실패(세션한도)</t>
        </is>
      </c>
      <c r="H1821" s="17" t="inlineStr">
        <is>
          <t>N</t>
        </is>
      </c>
      <c r="I1821" s="17" t="inlineStr">
        <is>
          <t>DART 사업보고서</t>
        </is>
      </c>
      <c r="J1821" s="17" t="inlineStr">
        <is>
          <t>DART 사업보고서에서 확인</t>
        </is>
      </c>
      <c r="K1821" s="17" t="inlineStr">
        <is>
          <t>낮음</t>
        </is>
      </c>
      <c r="L1821" s="17" t="inlineStr"/>
    </row>
    <row r="1822">
      <c r="A1822" s="17" t="inlineStr">
        <is>
          <t>C292</t>
        </is>
      </c>
      <c r="B1822" s="17" t="inlineStr"/>
      <c r="C1822" s="17" t="inlineStr">
        <is>
          <t>한국에스이엠(주)</t>
        </is>
      </c>
      <c r="D1822" s="17" t="inlineStr"/>
      <c r="E1822" s="17" t="inlineStr">
        <is>
          <t>종업원수</t>
        </is>
      </c>
      <c r="F1822" s="17" t="inlineStr">
        <is>
          <t>미확인</t>
        </is>
      </c>
      <c r="G1822" s="17" t="inlineStr">
        <is>
          <t>웹조사 자동화 실패(세션한도)</t>
        </is>
      </c>
      <c r="H1822" s="17" t="inlineStr">
        <is>
          <t>N</t>
        </is>
      </c>
      <c r="I1822" s="17" t="inlineStr">
        <is>
          <t>DART/채용</t>
        </is>
      </c>
      <c r="J1822" s="17" t="inlineStr">
        <is>
          <t>DART/채용에서 확인</t>
        </is>
      </c>
      <c r="K1822" s="17" t="inlineStr">
        <is>
          <t>낮음</t>
        </is>
      </c>
      <c r="L1822" s="17" t="inlineStr"/>
    </row>
    <row r="1823">
      <c r="A1823" s="17" t="inlineStr">
        <is>
          <t>C292</t>
        </is>
      </c>
      <c r="B1823" s="17" t="inlineStr"/>
      <c r="C1823" s="17" t="inlineStr">
        <is>
          <t>한국에스이엠(주)</t>
        </is>
      </c>
      <c r="D1823" s="17" t="inlineStr"/>
      <c r="E1823" s="17" t="inlineStr">
        <is>
          <t>수출여부</t>
        </is>
      </c>
      <c r="F1823" s="17" t="inlineStr">
        <is>
          <t>미확인</t>
        </is>
      </c>
      <c r="G1823" s="17" t="inlineStr">
        <is>
          <t>웹조사 자동화 실패(세션한도)</t>
        </is>
      </c>
      <c r="H1823" s="17" t="inlineStr">
        <is>
          <t>N</t>
        </is>
      </c>
      <c r="I1823" s="17" t="inlineStr">
        <is>
          <t>회사 공시·홈페이지</t>
        </is>
      </c>
      <c r="J1823" s="17" t="inlineStr">
        <is>
          <t>회사 공시·홈페이지에서 확인</t>
        </is>
      </c>
      <c r="K1823" s="17" t="inlineStr">
        <is>
          <t>낮음</t>
        </is>
      </c>
      <c r="L1823" s="17" t="inlineStr"/>
    </row>
    <row r="1824">
      <c r="A1824" s="17" t="inlineStr">
        <is>
          <t>C292</t>
        </is>
      </c>
      <c r="B1824" s="17" t="inlineStr"/>
      <c r="C1824" s="17" t="inlineStr">
        <is>
          <t>한국에스이엠(주)</t>
        </is>
      </c>
      <c r="D1824" s="17" t="inlineStr"/>
      <c r="E1824" s="17" t="inlineStr">
        <is>
          <t>FDA·EMA 실사</t>
        </is>
      </c>
      <c r="F1824" s="17" t="inlineStr">
        <is>
          <t>미확인</t>
        </is>
      </c>
      <c r="G1824" s="17" t="inlineStr">
        <is>
          <t>웹조사 자동화 실패(세션한도)</t>
        </is>
      </c>
      <c r="H1824" s="17" t="inlineStr">
        <is>
          <t>N</t>
        </is>
      </c>
      <c r="I1824" s="17" t="inlineStr">
        <is>
          <t>FDA Inspection DB</t>
        </is>
      </c>
      <c r="J1824" s="17" t="inlineStr">
        <is>
          <t>FDA Inspection DB에서 확인</t>
        </is>
      </c>
      <c r="K1824" s="17" t="inlineStr">
        <is>
          <t>낮음</t>
        </is>
      </c>
      <c r="L1824" s="17" t="inlineStr"/>
    </row>
    <row r="1825">
      <c r="A1825" s="17" t="inlineStr">
        <is>
          <t>C292</t>
        </is>
      </c>
      <c r="B1825" s="17" t="inlineStr"/>
      <c r="C1825" s="17" t="inlineStr">
        <is>
          <t>한국에스이엠(주)</t>
        </is>
      </c>
      <c r="D1825" s="17" t="inlineStr"/>
      <c r="E1825" s="17" t="inlineStr">
        <is>
          <t>CMO·CDMO</t>
        </is>
      </c>
      <c r="F1825" s="17" t="inlineStr">
        <is>
          <t>미확인</t>
        </is>
      </c>
      <c r="G1825" s="17" t="inlineStr">
        <is>
          <t>웹조사 자동화 실패(세션한도)</t>
        </is>
      </c>
      <c r="H1825" s="17" t="inlineStr">
        <is>
          <t>N</t>
        </is>
      </c>
      <c r="I1825" s="17" t="inlineStr">
        <is>
          <t>회사 홈페이지</t>
        </is>
      </c>
      <c r="J1825" s="17" t="inlineStr">
        <is>
          <t>회사 홈페이지에서 확인</t>
        </is>
      </c>
      <c r="K1825" s="17" t="inlineStr">
        <is>
          <t>낮음</t>
        </is>
      </c>
      <c r="L1825" s="17" t="inlineStr"/>
    </row>
    <row r="1826">
      <c r="A1826" s="17" t="inlineStr">
        <is>
          <t>C292</t>
        </is>
      </c>
      <c r="B1826" s="17" t="inlineStr"/>
      <c r="C1826" s="17" t="inlineStr">
        <is>
          <t>한국에스이엠(주)</t>
        </is>
      </c>
      <c r="D1826" s="17" t="inlineStr"/>
      <c r="E1826" s="17" t="inlineStr">
        <is>
          <t>신공장·증설</t>
        </is>
      </c>
      <c r="F1826" s="17" t="inlineStr">
        <is>
          <t>미확인</t>
        </is>
      </c>
      <c r="G1826" s="17" t="inlineStr">
        <is>
          <t>웹조사 자동화 실패(세션한도)</t>
        </is>
      </c>
      <c r="H1826" s="17" t="inlineStr">
        <is>
          <t>N</t>
        </is>
      </c>
      <c r="I1826" s="17" t="inlineStr">
        <is>
          <t>언론·지자체 발표</t>
        </is>
      </c>
      <c r="J1826" s="17" t="inlineStr">
        <is>
          <t>언론·지자체 발표에서 확인</t>
        </is>
      </c>
      <c r="K1826" s="17" t="inlineStr">
        <is>
          <t>낮음</t>
        </is>
      </c>
      <c r="L1826" s="17" t="inlineStr"/>
    </row>
    <row r="1827">
      <c r="A1827" s="17" t="inlineStr">
        <is>
          <t>C293</t>
        </is>
      </c>
      <c r="B1827" s="17" t="inlineStr"/>
      <c r="C1827" s="17" t="inlineStr">
        <is>
          <t>(주)국전</t>
        </is>
      </c>
      <c r="D1827" s="17" t="inlineStr"/>
      <c r="E1827" s="17" t="inlineStr">
        <is>
          <t>최근매출(억원)</t>
        </is>
      </c>
      <c r="F1827" s="17" t="inlineStr">
        <is>
          <t>미확인</t>
        </is>
      </c>
      <c r="G1827" s="17" t="inlineStr">
        <is>
          <t>웹조사 자동화 실패(세션한도)</t>
        </is>
      </c>
      <c r="H1827" s="17" t="inlineStr">
        <is>
          <t>N</t>
        </is>
      </c>
      <c r="I1827" s="17" t="inlineStr">
        <is>
          <t>DART 사업보고서</t>
        </is>
      </c>
      <c r="J1827" s="17" t="inlineStr">
        <is>
          <t>DART 사업보고서에서 확인</t>
        </is>
      </c>
      <c r="K1827" s="17" t="inlineStr">
        <is>
          <t>낮음</t>
        </is>
      </c>
      <c r="L1827" s="17" t="inlineStr"/>
    </row>
    <row r="1828">
      <c r="A1828" s="17" t="inlineStr">
        <is>
          <t>C293</t>
        </is>
      </c>
      <c r="B1828" s="17" t="inlineStr"/>
      <c r="C1828" s="17" t="inlineStr">
        <is>
          <t>(주)국전</t>
        </is>
      </c>
      <c r="D1828" s="17" t="inlineStr"/>
      <c r="E1828" s="17" t="inlineStr">
        <is>
          <t>종업원수</t>
        </is>
      </c>
      <c r="F1828" s="17" t="inlineStr">
        <is>
          <t>미확인</t>
        </is>
      </c>
      <c r="G1828" s="17" t="inlineStr">
        <is>
          <t>웹조사 자동화 실패(세션한도)</t>
        </is>
      </c>
      <c r="H1828" s="17" t="inlineStr">
        <is>
          <t>N</t>
        </is>
      </c>
      <c r="I1828" s="17" t="inlineStr">
        <is>
          <t>DART/채용</t>
        </is>
      </c>
      <c r="J1828" s="17" t="inlineStr">
        <is>
          <t>DART/채용에서 확인</t>
        </is>
      </c>
      <c r="K1828" s="17" t="inlineStr">
        <is>
          <t>낮음</t>
        </is>
      </c>
      <c r="L1828" s="17" t="inlineStr"/>
    </row>
    <row r="1829">
      <c r="A1829" s="17" t="inlineStr">
        <is>
          <t>C293</t>
        </is>
      </c>
      <c r="B1829" s="17" t="inlineStr"/>
      <c r="C1829" s="17" t="inlineStr">
        <is>
          <t>(주)국전</t>
        </is>
      </c>
      <c r="D1829" s="17" t="inlineStr"/>
      <c r="E1829" s="17" t="inlineStr">
        <is>
          <t>수출여부</t>
        </is>
      </c>
      <c r="F1829" s="17" t="inlineStr">
        <is>
          <t>미확인</t>
        </is>
      </c>
      <c r="G1829" s="17" t="inlineStr">
        <is>
          <t>웹조사 자동화 실패(세션한도)</t>
        </is>
      </c>
      <c r="H1829" s="17" t="inlineStr">
        <is>
          <t>N</t>
        </is>
      </c>
      <c r="I1829" s="17" t="inlineStr">
        <is>
          <t>회사 공시·홈페이지</t>
        </is>
      </c>
      <c r="J1829" s="17" t="inlineStr">
        <is>
          <t>회사 공시·홈페이지에서 확인</t>
        </is>
      </c>
      <c r="K1829" s="17" t="inlineStr">
        <is>
          <t>낮음</t>
        </is>
      </c>
      <c r="L1829" s="17" t="inlineStr"/>
    </row>
    <row r="1830">
      <c r="A1830" s="17" t="inlineStr">
        <is>
          <t>C293</t>
        </is>
      </c>
      <c r="B1830" s="17" t="inlineStr"/>
      <c r="C1830" s="17" t="inlineStr">
        <is>
          <t>(주)국전</t>
        </is>
      </c>
      <c r="D1830" s="17" t="inlineStr"/>
      <c r="E1830" s="17" t="inlineStr">
        <is>
          <t>FDA·EMA 실사</t>
        </is>
      </c>
      <c r="F1830" s="17" t="inlineStr">
        <is>
          <t>미확인</t>
        </is>
      </c>
      <c r="G1830" s="17" t="inlineStr">
        <is>
          <t>웹조사 자동화 실패(세션한도)</t>
        </is>
      </c>
      <c r="H1830" s="17" t="inlineStr">
        <is>
          <t>N</t>
        </is>
      </c>
      <c r="I1830" s="17" t="inlineStr">
        <is>
          <t>FDA Inspection DB</t>
        </is>
      </c>
      <c r="J1830" s="17" t="inlineStr">
        <is>
          <t>FDA Inspection DB에서 확인</t>
        </is>
      </c>
      <c r="K1830" s="17" t="inlineStr">
        <is>
          <t>낮음</t>
        </is>
      </c>
      <c r="L1830" s="17" t="inlineStr"/>
    </row>
    <row r="1831">
      <c r="A1831" s="17" t="inlineStr">
        <is>
          <t>C293</t>
        </is>
      </c>
      <c r="B1831" s="17" t="inlineStr"/>
      <c r="C1831" s="17" t="inlineStr">
        <is>
          <t>(주)국전</t>
        </is>
      </c>
      <c r="D1831" s="17" t="inlineStr"/>
      <c r="E1831" s="17" t="inlineStr">
        <is>
          <t>CMO·CDMO</t>
        </is>
      </c>
      <c r="F1831" s="17" t="inlineStr">
        <is>
          <t>미확인</t>
        </is>
      </c>
      <c r="G1831" s="17" t="inlineStr">
        <is>
          <t>웹조사 자동화 실패(세션한도)</t>
        </is>
      </c>
      <c r="H1831" s="17" t="inlineStr">
        <is>
          <t>N</t>
        </is>
      </c>
      <c r="I1831" s="17" t="inlineStr">
        <is>
          <t>회사 홈페이지</t>
        </is>
      </c>
      <c r="J1831" s="17" t="inlineStr">
        <is>
          <t>회사 홈페이지에서 확인</t>
        </is>
      </c>
      <c r="K1831" s="17" t="inlineStr">
        <is>
          <t>낮음</t>
        </is>
      </c>
      <c r="L1831" s="17" t="inlineStr"/>
    </row>
    <row r="1832">
      <c r="A1832" s="17" t="inlineStr">
        <is>
          <t>C293</t>
        </is>
      </c>
      <c r="B1832" s="17" t="inlineStr"/>
      <c r="C1832" s="17" t="inlineStr">
        <is>
          <t>(주)국전</t>
        </is>
      </c>
      <c r="D1832" s="17" t="inlineStr"/>
      <c r="E1832" s="17" t="inlineStr">
        <is>
          <t>신공장·증설</t>
        </is>
      </c>
      <c r="F1832" s="17" t="inlineStr">
        <is>
          <t>미확인</t>
        </is>
      </c>
      <c r="G1832" s="17" t="inlineStr">
        <is>
          <t>웹조사 자동화 실패(세션한도)</t>
        </is>
      </c>
      <c r="H1832" s="17" t="inlineStr">
        <is>
          <t>N</t>
        </is>
      </c>
      <c r="I1832" s="17" t="inlineStr">
        <is>
          <t>언론·지자체 발표</t>
        </is>
      </c>
      <c r="J1832" s="17" t="inlineStr">
        <is>
          <t>언론·지자체 발표에서 확인</t>
        </is>
      </c>
      <c r="K1832" s="17" t="inlineStr">
        <is>
          <t>낮음</t>
        </is>
      </c>
      <c r="L1832" s="17" t="inlineStr"/>
    </row>
    <row r="1833">
      <c r="A1833" s="17" t="inlineStr">
        <is>
          <t>C294</t>
        </is>
      </c>
      <c r="B1833" s="17" t="inlineStr"/>
      <c r="C1833" s="17" t="inlineStr">
        <is>
          <t>주식회사뉴큐어엠</t>
        </is>
      </c>
      <c r="D1833" s="17" t="inlineStr"/>
      <c r="E1833" s="17" t="inlineStr">
        <is>
          <t>최근매출(억원)</t>
        </is>
      </c>
      <c r="F1833" s="17" t="inlineStr">
        <is>
          <t>미확인</t>
        </is>
      </c>
      <c r="G1833" s="17" t="inlineStr">
        <is>
          <t>웹조사 자동화 실패(세션한도)</t>
        </is>
      </c>
      <c r="H1833" s="17" t="inlineStr">
        <is>
          <t>N</t>
        </is>
      </c>
      <c r="I1833" s="17" t="inlineStr">
        <is>
          <t>DART 사업보고서</t>
        </is>
      </c>
      <c r="J1833" s="17" t="inlineStr">
        <is>
          <t>DART 사업보고서에서 확인</t>
        </is>
      </c>
      <c r="K1833" s="17" t="inlineStr">
        <is>
          <t>낮음</t>
        </is>
      </c>
      <c r="L1833" s="17" t="inlineStr"/>
    </row>
    <row r="1834">
      <c r="A1834" s="17" t="inlineStr">
        <is>
          <t>C294</t>
        </is>
      </c>
      <c r="B1834" s="17" t="inlineStr"/>
      <c r="C1834" s="17" t="inlineStr">
        <is>
          <t>주식회사뉴큐어엠</t>
        </is>
      </c>
      <c r="D1834" s="17" t="inlineStr"/>
      <c r="E1834" s="17" t="inlineStr">
        <is>
          <t>종업원수</t>
        </is>
      </c>
      <c r="F1834" s="17" t="inlineStr">
        <is>
          <t>미확인</t>
        </is>
      </c>
      <c r="G1834" s="17" t="inlineStr">
        <is>
          <t>웹조사 자동화 실패(세션한도)</t>
        </is>
      </c>
      <c r="H1834" s="17" t="inlineStr">
        <is>
          <t>N</t>
        </is>
      </c>
      <c r="I1834" s="17" t="inlineStr">
        <is>
          <t>DART/채용</t>
        </is>
      </c>
      <c r="J1834" s="17" t="inlineStr">
        <is>
          <t>DART/채용에서 확인</t>
        </is>
      </c>
      <c r="K1834" s="17" t="inlineStr">
        <is>
          <t>낮음</t>
        </is>
      </c>
      <c r="L1834" s="17" t="inlineStr"/>
    </row>
    <row r="1835">
      <c r="A1835" s="17" t="inlineStr">
        <is>
          <t>C294</t>
        </is>
      </c>
      <c r="B1835" s="17" t="inlineStr"/>
      <c r="C1835" s="17" t="inlineStr">
        <is>
          <t>주식회사뉴큐어엠</t>
        </is>
      </c>
      <c r="D1835" s="17" t="inlineStr"/>
      <c r="E1835" s="17" t="inlineStr">
        <is>
          <t>수출여부</t>
        </is>
      </c>
      <c r="F1835" s="17" t="inlineStr">
        <is>
          <t>미확인</t>
        </is>
      </c>
      <c r="G1835" s="17" t="inlineStr">
        <is>
          <t>웹조사 자동화 실패(세션한도)</t>
        </is>
      </c>
      <c r="H1835" s="17" t="inlineStr">
        <is>
          <t>N</t>
        </is>
      </c>
      <c r="I1835" s="17" t="inlineStr">
        <is>
          <t>회사 공시·홈페이지</t>
        </is>
      </c>
      <c r="J1835" s="17" t="inlineStr">
        <is>
          <t>회사 공시·홈페이지에서 확인</t>
        </is>
      </c>
      <c r="K1835" s="17" t="inlineStr">
        <is>
          <t>낮음</t>
        </is>
      </c>
      <c r="L1835" s="17" t="inlineStr"/>
    </row>
    <row r="1836">
      <c r="A1836" s="17" t="inlineStr">
        <is>
          <t>C294</t>
        </is>
      </c>
      <c r="B1836" s="17" t="inlineStr"/>
      <c r="C1836" s="17" t="inlineStr">
        <is>
          <t>주식회사뉴큐어엠</t>
        </is>
      </c>
      <c r="D1836" s="17" t="inlineStr"/>
      <c r="E1836" s="17" t="inlineStr">
        <is>
          <t>FDA·EMA 실사</t>
        </is>
      </c>
      <c r="F1836" s="17" t="inlineStr">
        <is>
          <t>미확인</t>
        </is>
      </c>
      <c r="G1836" s="17" t="inlineStr">
        <is>
          <t>웹조사 자동화 실패(세션한도)</t>
        </is>
      </c>
      <c r="H1836" s="17" t="inlineStr">
        <is>
          <t>N</t>
        </is>
      </c>
      <c r="I1836" s="17" t="inlineStr">
        <is>
          <t>FDA Inspection DB</t>
        </is>
      </c>
      <c r="J1836" s="17" t="inlineStr">
        <is>
          <t>FDA Inspection DB에서 확인</t>
        </is>
      </c>
      <c r="K1836" s="17" t="inlineStr">
        <is>
          <t>낮음</t>
        </is>
      </c>
      <c r="L1836" s="17" t="inlineStr"/>
    </row>
    <row r="1837">
      <c r="A1837" s="17" t="inlineStr">
        <is>
          <t>C294</t>
        </is>
      </c>
      <c r="B1837" s="17" t="inlineStr"/>
      <c r="C1837" s="17" t="inlineStr">
        <is>
          <t>주식회사뉴큐어엠</t>
        </is>
      </c>
      <c r="D1837" s="17" t="inlineStr"/>
      <c r="E1837" s="17" t="inlineStr">
        <is>
          <t>CMO·CDMO</t>
        </is>
      </c>
      <c r="F1837" s="17" t="inlineStr">
        <is>
          <t>미확인</t>
        </is>
      </c>
      <c r="G1837" s="17" t="inlineStr">
        <is>
          <t>웹조사 자동화 실패(세션한도)</t>
        </is>
      </c>
      <c r="H1837" s="17" t="inlineStr">
        <is>
          <t>N</t>
        </is>
      </c>
      <c r="I1837" s="17" t="inlineStr">
        <is>
          <t>회사 홈페이지</t>
        </is>
      </c>
      <c r="J1837" s="17" t="inlineStr">
        <is>
          <t>회사 홈페이지에서 확인</t>
        </is>
      </c>
      <c r="K1837" s="17" t="inlineStr">
        <is>
          <t>낮음</t>
        </is>
      </c>
      <c r="L1837" s="17" t="inlineStr"/>
    </row>
    <row r="1838">
      <c r="A1838" s="17" t="inlineStr">
        <is>
          <t>C294</t>
        </is>
      </c>
      <c r="B1838" s="17" t="inlineStr"/>
      <c r="C1838" s="17" t="inlineStr">
        <is>
          <t>주식회사뉴큐어엠</t>
        </is>
      </c>
      <c r="D1838" s="17" t="inlineStr"/>
      <c r="E1838" s="17" t="inlineStr">
        <is>
          <t>신공장·증설</t>
        </is>
      </c>
      <c r="F1838" s="17" t="inlineStr">
        <is>
          <t>미확인</t>
        </is>
      </c>
      <c r="G1838" s="17" t="inlineStr">
        <is>
          <t>웹조사 자동화 실패(세션한도)</t>
        </is>
      </c>
      <c r="H1838" s="17" t="inlineStr">
        <is>
          <t>N</t>
        </is>
      </c>
      <c r="I1838" s="17" t="inlineStr">
        <is>
          <t>언론·지자체 발표</t>
        </is>
      </c>
      <c r="J1838" s="17" t="inlineStr">
        <is>
          <t>언론·지자체 발표에서 확인</t>
        </is>
      </c>
      <c r="K1838" s="17" t="inlineStr">
        <is>
          <t>낮음</t>
        </is>
      </c>
      <c r="L1838" s="17" t="inlineStr"/>
    </row>
    <row r="1839">
      <c r="A1839" s="17" t="inlineStr">
        <is>
          <t>C295</t>
        </is>
      </c>
      <c r="B1839" s="17" t="inlineStr"/>
      <c r="C1839" s="17" t="inlineStr">
        <is>
          <t>케이엠에스제약(주)</t>
        </is>
      </c>
      <c r="D1839" s="17" t="inlineStr"/>
      <c r="E1839" s="17" t="inlineStr">
        <is>
          <t>최근매출(억원)</t>
        </is>
      </c>
      <c r="F1839" s="17" t="inlineStr">
        <is>
          <t>미확인</t>
        </is>
      </c>
      <c r="G1839" s="17" t="inlineStr">
        <is>
          <t>웹조사 자동화 실패(세션한도)</t>
        </is>
      </c>
      <c r="H1839" s="17" t="inlineStr">
        <is>
          <t>N</t>
        </is>
      </c>
      <c r="I1839" s="17" t="inlineStr">
        <is>
          <t>DART 사업보고서</t>
        </is>
      </c>
      <c r="J1839" s="17" t="inlineStr">
        <is>
          <t>DART 사업보고서에서 확인</t>
        </is>
      </c>
      <c r="K1839" s="17" t="inlineStr">
        <is>
          <t>낮음</t>
        </is>
      </c>
      <c r="L1839" s="17" t="inlineStr"/>
    </row>
    <row r="1840">
      <c r="A1840" s="17" t="inlineStr">
        <is>
          <t>C295</t>
        </is>
      </c>
      <c r="B1840" s="17" t="inlineStr"/>
      <c r="C1840" s="17" t="inlineStr">
        <is>
          <t>케이엠에스제약(주)</t>
        </is>
      </c>
      <c r="D1840" s="17" t="inlineStr"/>
      <c r="E1840" s="17" t="inlineStr">
        <is>
          <t>종업원수</t>
        </is>
      </c>
      <c r="F1840" s="17" t="inlineStr">
        <is>
          <t>미확인</t>
        </is>
      </c>
      <c r="G1840" s="17" t="inlineStr">
        <is>
          <t>웹조사 자동화 실패(세션한도)</t>
        </is>
      </c>
      <c r="H1840" s="17" t="inlineStr">
        <is>
          <t>N</t>
        </is>
      </c>
      <c r="I1840" s="17" t="inlineStr">
        <is>
          <t>DART/채용</t>
        </is>
      </c>
      <c r="J1840" s="17" t="inlineStr">
        <is>
          <t>DART/채용에서 확인</t>
        </is>
      </c>
      <c r="K1840" s="17" t="inlineStr">
        <is>
          <t>낮음</t>
        </is>
      </c>
      <c r="L1840" s="17" t="inlineStr"/>
    </row>
    <row r="1841">
      <c r="A1841" s="17" t="inlineStr">
        <is>
          <t>C295</t>
        </is>
      </c>
      <c r="B1841" s="17" t="inlineStr"/>
      <c r="C1841" s="17" t="inlineStr">
        <is>
          <t>케이엠에스제약(주)</t>
        </is>
      </c>
      <c r="D1841" s="17" t="inlineStr"/>
      <c r="E1841" s="17" t="inlineStr">
        <is>
          <t>수출여부</t>
        </is>
      </c>
      <c r="F1841" s="17" t="inlineStr">
        <is>
          <t>미확인</t>
        </is>
      </c>
      <c r="G1841" s="17" t="inlineStr">
        <is>
          <t>웹조사 자동화 실패(세션한도)</t>
        </is>
      </c>
      <c r="H1841" s="17" t="inlineStr">
        <is>
          <t>N</t>
        </is>
      </c>
      <c r="I1841" s="17" t="inlineStr">
        <is>
          <t>회사 공시·홈페이지</t>
        </is>
      </c>
      <c r="J1841" s="17" t="inlineStr">
        <is>
          <t>회사 공시·홈페이지에서 확인</t>
        </is>
      </c>
      <c r="K1841" s="17" t="inlineStr">
        <is>
          <t>낮음</t>
        </is>
      </c>
      <c r="L1841" s="17" t="inlineStr"/>
    </row>
    <row r="1842">
      <c r="A1842" s="17" t="inlineStr">
        <is>
          <t>C295</t>
        </is>
      </c>
      <c r="B1842" s="17" t="inlineStr"/>
      <c r="C1842" s="17" t="inlineStr">
        <is>
          <t>케이엠에스제약(주)</t>
        </is>
      </c>
      <c r="D1842" s="17" t="inlineStr"/>
      <c r="E1842" s="17" t="inlineStr">
        <is>
          <t>FDA·EMA 실사</t>
        </is>
      </c>
      <c r="F1842" s="17" t="inlineStr">
        <is>
          <t>미확인</t>
        </is>
      </c>
      <c r="G1842" s="17" t="inlineStr">
        <is>
          <t>웹조사 자동화 실패(세션한도)</t>
        </is>
      </c>
      <c r="H1842" s="17" t="inlineStr">
        <is>
          <t>N</t>
        </is>
      </c>
      <c r="I1842" s="17" t="inlineStr">
        <is>
          <t>FDA Inspection DB</t>
        </is>
      </c>
      <c r="J1842" s="17" t="inlineStr">
        <is>
          <t>FDA Inspection DB에서 확인</t>
        </is>
      </c>
      <c r="K1842" s="17" t="inlineStr">
        <is>
          <t>낮음</t>
        </is>
      </c>
      <c r="L1842" s="17" t="inlineStr"/>
    </row>
    <row r="1843">
      <c r="A1843" s="17" t="inlineStr">
        <is>
          <t>C295</t>
        </is>
      </c>
      <c r="B1843" s="17" t="inlineStr"/>
      <c r="C1843" s="17" t="inlineStr">
        <is>
          <t>케이엠에스제약(주)</t>
        </is>
      </c>
      <c r="D1843" s="17" t="inlineStr"/>
      <c r="E1843" s="17" t="inlineStr">
        <is>
          <t>CMO·CDMO</t>
        </is>
      </c>
      <c r="F1843" s="17" t="inlineStr">
        <is>
          <t>미확인</t>
        </is>
      </c>
      <c r="G1843" s="17" t="inlineStr">
        <is>
          <t>웹조사 자동화 실패(세션한도)</t>
        </is>
      </c>
      <c r="H1843" s="17" t="inlineStr">
        <is>
          <t>N</t>
        </is>
      </c>
      <c r="I1843" s="17" t="inlineStr">
        <is>
          <t>회사 홈페이지</t>
        </is>
      </c>
      <c r="J1843" s="17" t="inlineStr">
        <is>
          <t>회사 홈페이지에서 확인</t>
        </is>
      </c>
      <c r="K1843" s="17" t="inlineStr">
        <is>
          <t>낮음</t>
        </is>
      </c>
      <c r="L1843" s="17" t="inlineStr"/>
    </row>
    <row r="1844">
      <c r="A1844" s="17" t="inlineStr">
        <is>
          <t>C295</t>
        </is>
      </c>
      <c r="B1844" s="17" t="inlineStr"/>
      <c r="C1844" s="17" t="inlineStr">
        <is>
          <t>케이엠에스제약(주)</t>
        </is>
      </c>
      <c r="D1844" s="17" t="inlineStr"/>
      <c r="E1844" s="17" t="inlineStr">
        <is>
          <t>신공장·증설</t>
        </is>
      </c>
      <c r="F1844" s="17" t="inlineStr">
        <is>
          <t>미확인</t>
        </is>
      </c>
      <c r="G1844" s="17" t="inlineStr">
        <is>
          <t>웹조사 자동화 실패(세션한도)</t>
        </is>
      </c>
      <c r="H1844" s="17" t="inlineStr">
        <is>
          <t>N</t>
        </is>
      </c>
      <c r="I1844" s="17" t="inlineStr">
        <is>
          <t>언론·지자체 발표</t>
        </is>
      </c>
      <c r="J1844" s="17" t="inlineStr">
        <is>
          <t>언론·지자체 발표에서 확인</t>
        </is>
      </c>
      <c r="K1844" s="17" t="inlineStr">
        <is>
          <t>낮음</t>
        </is>
      </c>
      <c r="L1844" s="17" t="inlineStr"/>
    </row>
    <row r="1845">
      <c r="A1845" s="17" t="inlineStr">
        <is>
          <t>C296</t>
        </is>
      </c>
      <c r="B1845" s="17" t="inlineStr"/>
      <c r="C1845" s="17" t="inlineStr">
        <is>
          <t>(주)유유제약</t>
        </is>
      </c>
      <c r="D1845" s="17" t="inlineStr"/>
      <c r="E1845" s="17" t="inlineStr">
        <is>
          <t>최근매출(억원)</t>
        </is>
      </c>
      <c r="F1845" s="17" t="inlineStr">
        <is>
          <t>미확인</t>
        </is>
      </c>
      <c r="G1845" s="17" t="inlineStr">
        <is>
          <t>웹조사 자동화 실패(세션한도)</t>
        </is>
      </c>
      <c r="H1845" s="17" t="inlineStr">
        <is>
          <t>N</t>
        </is>
      </c>
      <c r="I1845" s="17" t="inlineStr">
        <is>
          <t>DART 사업보고서</t>
        </is>
      </c>
      <c r="J1845" s="17" t="inlineStr">
        <is>
          <t>DART 사업보고서에서 확인</t>
        </is>
      </c>
      <c r="K1845" s="17" t="inlineStr">
        <is>
          <t>낮음</t>
        </is>
      </c>
      <c r="L1845" s="17" t="inlineStr"/>
    </row>
    <row r="1846">
      <c r="A1846" s="17" t="inlineStr">
        <is>
          <t>C296</t>
        </is>
      </c>
      <c r="B1846" s="17" t="inlineStr"/>
      <c r="C1846" s="17" t="inlineStr">
        <is>
          <t>(주)유유제약</t>
        </is>
      </c>
      <c r="D1846" s="17" t="inlineStr"/>
      <c r="E1846" s="17" t="inlineStr">
        <is>
          <t>종업원수</t>
        </is>
      </c>
      <c r="F1846" s="17" t="inlineStr">
        <is>
          <t>미확인</t>
        </is>
      </c>
      <c r="G1846" s="17" t="inlineStr">
        <is>
          <t>웹조사 자동화 실패(세션한도)</t>
        </is>
      </c>
      <c r="H1846" s="17" t="inlineStr">
        <is>
          <t>N</t>
        </is>
      </c>
      <c r="I1846" s="17" t="inlineStr">
        <is>
          <t>DART/채용</t>
        </is>
      </c>
      <c r="J1846" s="17" t="inlineStr">
        <is>
          <t>DART/채용에서 확인</t>
        </is>
      </c>
      <c r="K1846" s="17" t="inlineStr">
        <is>
          <t>낮음</t>
        </is>
      </c>
      <c r="L1846" s="17" t="inlineStr"/>
    </row>
    <row r="1847">
      <c r="A1847" s="17" t="inlineStr">
        <is>
          <t>C296</t>
        </is>
      </c>
      <c r="B1847" s="17" t="inlineStr"/>
      <c r="C1847" s="17" t="inlineStr">
        <is>
          <t>(주)유유제약</t>
        </is>
      </c>
      <c r="D1847" s="17" t="inlineStr"/>
      <c r="E1847" s="17" t="inlineStr">
        <is>
          <t>수출여부</t>
        </is>
      </c>
      <c r="F1847" s="17" t="inlineStr">
        <is>
          <t>미확인</t>
        </is>
      </c>
      <c r="G1847" s="17" t="inlineStr">
        <is>
          <t>웹조사 자동화 실패(세션한도)</t>
        </is>
      </c>
      <c r="H1847" s="17" t="inlineStr">
        <is>
          <t>N</t>
        </is>
      </c>
      <c r="I1847" s="17" t="inlineStr">
        <is>
          <t>회사 공시·홈페이지</t>
        </is>
      </c>
      <c r="J1847" s="17" t="inlineStr">
        <is>
          <t>회사 공시·홈페이지에서 확인</t>
        </is>
      </c>
      <c r="K1847" s="17" t="inlineStr">
        <is>
          <t>낮음</t>
        </is>
      </c>
      <c r="L1847" s="17" t="inlineStr"/>
    </row>
    <row r="1848">
      <c r="A1848" s="17" t="inlineStr">
        <is>
          <t>C296</t>
        </is>
      </c>
      <c r="B1848" s="17" t="inlineStr"/>
      <c r="C1848" s="17" t="inlineStr">
        <is>
          <t>(주)유유제약</t>
        </is>
      </c>
      <c r="D1848" s="17" t="inlineStr"/>
      <c r="E1848" s="17" t="inlineStr">
        <is>
          <t>FDA·EMA 실사</t>
        </is>
      </c>
      <c r="F1848" s="17" t="inlineStr">
        <is>
          <t>미확인</t>
        </is>
      </c>
      <c r="G1848" s="17" t="inlineStr">
        <is>
          <t>웹조사 자동화 실패(세션한도)</t>
        </is>
      </c>
      <c r="H1848" s="17" t="inlineStr">
        <is>
          <t>N</t>
        </is>
      </c>
      <c r="I1848" s="17" t="inlineStr">
        <is>
          <t>FDA Inspection DB</t>
        </is>
      </c>
      <c r="J1848" s="17" t="inlineStr">
        <is>
          <t>FDA Inspection DB에서 확인</t>
        </is>
      </c>
      <c r="K1848" s="17" t="inlineStr">
        <is>
          <t>낮음</t>
        </is>
      </c>
      <c r="L1848" s="17" t="inlineStr"/>
    </row>
    <row r="1849">
      <c r="A1849" s="17" t="inlineStr">
        <is>
          <t>C296</t>
        </is>
      </c>
      <c r="B1849" s="17" t="inlineStr"/>
      <c r="C1849" s="17" t="inlineStr">
        <is>
          <t>(주)유유제약</t>
        </is>
      </c>
      <c r="D1849" s="17" t="inlineStr"/>
      <c r="E1849" s="17" t="inlineStr">
        <is>
          <t>CMO·CDMO</t>
        </is>
      </c>
      <c r="F1849" s="17" t="inlineStr">
        <is>
          <t>미확인</t>
        </is>
      </c>
      <c r="G1849" s="17" t="inlineStr">
        <is>
          <t>웹조사 자동화 실패(세션한도)</t>
        </is>
      </c>
      <c r="H1849" s="17" t="inlineStr">
        <is>
          <t>N</t>
        </is>
      </c>
      <c r="I1849" s="17" t="inlineStr">
        <is>
          <t>회사 홈페이지</t>
        </is>
      </c>
      <c r="J1849" s="17" t="inlineStr">
        <is>
          <t>회사 홈페이지에서 확인</t>
        </is>
      </c>
      <c r="K1849" s="17" t="inlineStr">
        <is>
          <t>낮음</t>
        </is>
      </c>
      <c r="L1849" s="17" t="inlineStr"/>
    </row>
    <row r="1850">
      <c r="A1850" s="17" t="inlineStr">
        <is>
          <t>C296</t>
        </is>
      </c>
      <c r="B1850" s="17" t="inlineStr"/>
      <c r="C1850" s="17" t="inlineStr">
        <is>
          <t>(주)유유제약</t>
        </is>
      </c>
      <c r="D1850" s="17" t="inlineStr"/>
      <c r="E1850" s="17" t="inlineStr">
        <is>
          <t>신공장·증설</t>
        </is>
      </c>
      <c r="F1850" s="17" t="inlineStr">
        <is>
          <t>미확인</t>
        </is>
      </c>
      <c r="G1850" s="17" t="inlineStr">
        <is>
          <t>웹조사 자동화 실패(세션한도)</t>
        </is>
      </c>
      <c r="H1850" s="17" t="inlineStr">
        <is>
          <t>N</t>
        </is>
      </c>
      <c r="I1850" s="17" t="inlineStr">
        <is>
          <t>언론·지자체 발표</t>
        </is>
      </c>
      <c r="J1850" s="17" t="inlineStr">
        <is>
          <t>언론·지자체 발표에서 확인</t>
        </is>
      </c>
      <c r="K1850" s="17" t="inlineStr">
        <is>
          <t>낮음</t>
        </is>
      </c>
      <c r="L1850" s="17" t="inlineStr"/>
    </row>
    <row r="1851">
      <c r="A1851" s="17" t="inlineStr">
        <is>
          <t>C297</t>
        </is>
      </c>
      <c r="B1851" s="17" t="inlineStr"/>
      <c r="C1851" s="17" t="inlineStr">
        <is>
          <t>주식회사군포가스</t>
        </is>
      </c>
      <c r="D1851" s="17" t="inlineStr"/>
      <c r="E1851" s="17" t="inlineStr">
        <is>
          <t>최근매출(억원)</t>
        </is>
      </c>
      <c r="F1851" s="17" t="inlineStr">
        <is>
          <t>미확인</t>
        </is>
      </c>
      <c r="G1851" s="17" t="inlineStr">
        <is>
          <t>웹조사 자동화 실패(세션한도)</t>
        </is>
      </c>
      <c r="H1851" s="17" t="inlineStr">
        <is>
          <t>N</t>
        </is>
      </c>
      <c r="I1851" s="17" t="inlineStr">
        <is>
          <t>DART 사업보고서</t>
        </is>
      </c>
      <c r="J1851" s="17" t="inlineStr">
        <is>
          <t>DART 사업보고서에서 확인</t>
        </is>
      </c>
      <c r="K1851" s="17" t="inlineStr">
        <is>
          <t>낮음</t>
        </is>
      </c>
      <c r="L1851" s="17" t="inlineStr"/>
    </row>
    <row r="1852">
      <c r="A1852" s="17" t="inlineStr">
        <is>
          <t>C297</t>
        </is>
      </c>
      <c r="B1852" s="17" t="inlineStr"/>
      <c r="C1852" s="17" t="inlineStr">
        <is>
          <t>주식회사군포가스</t>
        </is>
      </c>
      <c r="D1852" s="17" t="inlineStr"/>
      <c r="E1852" s="17" t="inlineStr">
        <is>
          <t>종업원수</t>
        </is>
      </c>
      <c r="F1852" s="17" t="inlineStr">
        <is>
          <t>미확인</t>
        </is>
      </c>
      <c r="G1852" s="17" t="inlineStr">
        <is>
          <t>웹조사 자동화 실패(세션한도)</t>
        </is>
      </c>
      <c r="H1852" s="17" t="inlineStr">
        <is>
          <t>N</t>
        </is>
      </c>
      <c r="I1852" s="17" t="inlineStr">
        <is>
          <t>DART/채용</t>
        </is>
      </c>
      <c r="J1852" s="17" t="inlineStr">
        <is>
          <t>DART/채용에서 확인</t>
        </is>
      </c>
      <c r="K1852" s="17" t="inlineStr">
        <is>
          <t>낮음</t>
        </is>
      </c>
      <c r="L1852" s="17" t="inlineStr"/>
    </row>
    <row r="1853">
      <c r="A1853" s="17" t="inlineStr">
        <is>
          <t>C297</t>
        </is>
      </c>
      <c r="B1853" s="17" t="inlineStr"/>
      <c r="C1853" s="17" t="inlineStr">
        <is>
          <t>주식회사군포가스</t>
        </is>
      </c>
      <c r="D1853" s="17" t="inlineStr"/>
      <c r="E1853" s="17" t="inlineStr">
        <is>
          <t>수출여부</t>
        </is>
      </c>
      <c r="F1853" s="17" t="inlineStr">
        <is>
          <t>미확인</t>
        </is>
      </c>
      <c r="G1853" s="17" t="inlineStr">
        <is>
          <t>웹조사 자동화 실패(세션한도)</t>
        </is>
      </c>
      <c r="H1853" s="17" t="inlineStr">
        <is>
          <t>N</t>
        </is>
      </c>
      <c r="I1853" s="17" t="inlineStr">
        <is>
          <t>회사 공시·홈페이지</t>
        </is>
      </c>
      <c r="J1853" s="17" t="inlineStr">
        <is>
          <t>회사 공시·홈페이지에서 확인</t>
        </is>
      </c>
      <c r="K1853" s="17" t="inlineStr">
        <is>
          <t>낮음</t>
        </is>
      </c>
      <c r="L1853" s="17" t="inlineStr"/>
    </row>
    <row r="1854">
      <c r="A1854" s="17" t="inlineStr">
        <is>
          <t>C297</t>
        </is>
      </c>
      <c r="B1854" s="17" t="inlineStr"/>
      <c r="C1854" s="17" t="inlineStr">
        <is>
          <t>주식회사군포가스</t>
        </is>
      </c>
      <c r="D1854" s="17" t="inlineStr"/>
      <c r="E1854" s="17" t="inlineStr">
        <is>
          <t>FDA·EMA 실사</t>
        </is>
      </c>
      <c r="F1854" s="17" t="inlineStr">
        <is>
          <t>미확인</t>
        </is>
      </c>
      <c r="G1854" s="17" t="inlineStr">
        <is>
          <t>웹조사 자동화 실패(세션한도)</t>
        </is>
      </c>
      <c r="H1854" s="17" t="inlineStr">
        <is>
          <t>N</t>
        </is>
      </c>
      <c r="I1854" s="17" t="inlineStr">
        <is>
          <t>FDA Inspection DB</t>
        </is>
      </c>
      <c r="J1854" s="17" t="inlineStr">
        <is>
          <t>FDA Inspection DB에서 확인</t>
        </is>
      </c>
      <c r="K1854" s="17" t="inlineStr">
        <is>
          <t>낮음</t>
        </is>
      </c>
      <c r="L1854" s="17" t="inlineStr"/>
    </row>
    <row r="1855">
      <c r="A1855" s="17" t="inlineStr">
        <is>
          <t>C297</t>
        </is>
      </c>
      <c r="B1855" s="17" t="inlineStr"/>
      <c r="C1855" s="17" t="inlineStr">
        <is>
          <t>주식회사군포가스</t>
        </is>
      </c>
      <c r="D1855" s="17" t="inlineStr"/>
      <c r="E1855" s="17" t="inlineStr">
        <is>
          <t>CMO·CDMO</t>
        </is>
      </c>
      <c r="F1855" s="17" t="inlineStr">
        <is>
          <t>미확인</t>
        </is>
      </c>
      <c r="G1855" s="17" t="inlineStr">
        <is>
          <t>웹조사 자동화 실패(세션한도)</t>
        </is>
      </c>
      <c r="H1855" s="17" t="inlineStr">
        <is>
          <t>N</t>
        </is>
      </c>
      <c r="I1855" s="17" t="inlineStr">
        <is>
          <t>회사 홈페이지</t>
        </is>
      </c>
      <c r="J1855" s="17" t="inlineStr">
        <is>
          <t>회사 홈페이지에서 확인</t>
        </is>
      </c>
      <c r="K1855" s="17" t="inlineStr">
        <is>
          <t>낮음</t>
        </is>
      </c>
      <c r="L1855" s="17" t="inlineStr"/>
    </row>
    <row r="1856">
      <c r="A1856" s="17" t="inlineStr">
        <is>
          <t>C297</t>
        </is>
      </c>
      <c r="B1856" s="17" t="inlineStr"/>
      <c r="C1856" s="17" t="inlineStr">
        <is>
          <t>주식회사군포가스</t>
        </is>
      </c>
      <c r="D1856" s="17" t="inlineStr"/>
      <c r="E1856" s="17" t="inlineStr">
        <is>
          <t>신공장·증설</t>
        </is>
      </c>
      <c r="F1856" s="17" t="inlineStr">
        <is>
          <t>미확인</t>
        </is>
      </c>
      <c r="G1856" s="17" t="inlineStr">
        <is>
          <t>웹조사 자동화 실패(세션한도)</t>
        </is>
      </c>
      <c r="H1856" s="17" t="inlineStr">
        <is>
          <t>N</t>
        </is>
      </c>
      <c r="I1856" s="17" t="inlineStr">
        <is>
          <t>언론·지자체 발표</t>
        </is>
      </c>
      <c r="J1856" s="17" t="inlineStr">
        <is>
          <t>언론·지자체 발표에서 확인</t>
        </is>
      </c>
      <c r="K1856" s="17" t="inlineStr">
        <is>
          <t>낮음</t>
        </is>
      </c>
      <c r="L1856" s="17" t="inlineStr"/>
    </row>
    <row r="1857">
      <c r="A1857" s="17" t="inlineStr">
        <is>
          <t>C298</t>
        </is>
      </c>
      <c r="B1857" s="17" t="inlineStr"/>
      <c r="C1857" s="17" t="inlineStr">
        <is>
          <t>(주)새한제약</t>
        </is>
      </c>
      <c r="D1857" s="17" t="inlineStr"/>
      <c r="E1857" s="17" t="inlineStr">
        <is>
          <t>최근매출(억원)</t>
        </is>
      </c>
      <c r="F1857" s="17" t="inlineStr">
        <is>
          <t>미확인</t>
        </is>
      </c>
      <c r="G1857" s="17" t="inlineStr">
        <is>
          <t>웹조사 자동화 실패(세션한도)</t>
        </is>
      </c>
      <c r="H1857" s="17" t="inlineStr">
        <is>
          <t>N</t>
        </is>
      </c>
      <c r="I1857" s="17" t="inlineStr">
        <is>
          <t>DART 사업보고서</t>
        </is>
      </c>
      <c r="J1857" s="17" t="inlineStr">
        <is>
          <t>DART 사업보고서에서 확인</t>
        </is>
      </c>
      <c r="K1857" s="17" t="inlineStr">
        <is>
          <t>낮음</t>
        </is>
      </c>
      <c r="L1857" s="17" t="inlineStr"/>
    </row>
    <row r="1858">
      <c r="A1858" s="17" t="inlineStr">
        <is>
          <t>C298</t>
        </is>
      </c>
      <c r="B1858" s="17" t="inlineStr"/>
      <c r="C1858" s="17" t="inlineStr">
        <is>
          <t>(주)새한제약</t>
        </is>
      </c>
      <c r="D1858" s="17" t="inlineStr"/>
      <c r="E1858" s="17" t="inlineStr">
        <is>
          <t>종업원수</t>
        </is>
      </c>
      <c r="F1858" s="17" t="inlineStr">
        <is>
          <t>미확인</t>
        </is>
      </c>
      <c r="G1858" s="17" t="inlineStr">
        <is>
          <t>웹조사 자동화 실패(세션한도)</t>
        </is>
      </c>
      <c r="H1858" s="17" t="inlineStr">
        <is>
          <t>N</t>
        </is>
      </c>
      <c r="I1858" s="17" t="inlineStr">
        <is>
          <t>DART/채용</t>
        </is>
      </c>
      <c r="J1858" s="17" t="inlineStr">
        <is>
          <t>DART/채용에서 확인</t>
        </is>
      </c>
      <c r="K1858" s="17" t="inlineStr">
        <is>
          <t>낮음</t>
        </is>
      </c>
      <c r="L1858" s="17" t="inlineStr"/>
    </row>
    <row r="1859">
      <c r="A1859" s="17" t="inlineStr">
        <is>
          <t>C298</t>
        </is>
      </c>
      <c r="B1859" s="17" t="inlineStr"/>
      <c r="C1859" s="17" t="inlineStr">
        <is>
          <t>(주)새한제약</t>
        </is>
      </c>
      <c r="D1859" s="17" t="inlineStr"/>
      <c r="E1859" s="17" t="inlineStr">
        <is>
          <t>수출여부</t>
        </is>
      </c>
      <c r="F1859" s="17" t="inlineStr">
        <is>
          <t>미확인</t>
        </is>
      </c>
      <c r="G1859" s="17" t="inlineStr">
        <is>
          <t>웹조사 자동화 실패(세션한도)</t>
        </is>
      </c>
      <c r="H1859" s="17" t="inlineStr">
        <is>
          <t>N</t>
        </is>
      </c>
      <c r="I1859" s="17" t="inlineStr">
        <is>
          <t>회사 공시·홈페이지</t>
        </is>
      </c>
      <c r="J1859" s="17" t="inlineStr">
        <is>
          <t>회사 공시·홈페이지에서 확인</t>
        </is>
      </c>
      <c r="K1859" s="17" t="inlineStr">
        <is>
          <t>낮음</t>
        </is>
      </c>
      <c r="L1859" s="17" t="inlineStr"/>
    </row>
    <row r="1860">
      <c r="A1860" s="17" t="inlineStr">
        <is>
          <t>C298</t>
        </is>
      </c>
      <c r="B1860" s="17" t="inlineStr"/>
      <c r="C1860" s="17" t="inlineStr">
        <is>
          <t>(주)새한제약</t>
        </is>
      </c>
      <c r="D1860" s="17" t="inlineStr"/>
      <c r="E1860" s="17" t="inlineStr">
        <is>
          <t>FDA·EMA 실사</t>
        </is>
      </c>
      <c r="F1860" s="17" t="inlineStr">
        <is>
          <t>미확인</t>
        </is>
      </c>
      <c r="G1860" s="17" t="inlineStr">
        <is>
          <t>웹조사 자동화 실패(세션한도)</t>
        </is>
      </c>
      <c r="H1860" s="17" t="inlineStr">
        <is>
          <t>N</t>
        </is>
      </c>
      <c r="I1860" s="17" t="inlineStr">
        <is>
          <t>FDA Inspection DB</t>
        </is>
      </c>
      <c r="J1860" s="17" t="inlineStr">
        <is>
          <t>FDA Inspection DB에서 확인</t>
        </is>
      </c>
      <c r="K1860" s="17" t="inlineStr">
        <is>
          <t>낮음</t>
        </is>
      </c>
      <c r="L1860" s="17" t="inlineStr"/>
    </row>
    <row r="1861">
      <c r="A1861" s="17" t="inlineStr">
        <is>
          <t>C298</t>
        </is>
      </c>
      <c r="B1861" s="17" t="inlineStr"/>
      <c r="C1861" s="17" t="inlineStr">
        <is>
          <t>(주)새한제약</t>
        </is>
      </c>
      <c r="D1861" s="17" t="inlineStr"/>
      <c r="E1861" s="17" t="inlineStr">
        <is>
          <t>CMO·CDMO</t>
        </is>
      </c>
      <c r="F1861" s="17" t="inlineStr">
        <is>
          <t>미확인</t>
        </is>
      </c>
      <c r="G1861" s="17" t="inlineStr">
        <is>
          <t>웹조사 자동화 실패(세션한도)</t>
        </is>
      </c>
      <c r="H1861" s="17" t="inlineStr">
        <is>
          <t>N</t>
        </is>
      </c>
      <c r="I1861" s="17" t="inlineStr">
        <is>
          <t>회사 홈페이지</t>
        </is>
      </c>
      <c r="J1861" s="17" t="inlineStr">
        <is>
          <t>회사 홈페이지에서 확인</t>
        </is>
      </c>
      <c r="K1861" s="17" t="inlineStr">
        <is>
          <t>낮음</t>
        </is>
      </c>
      <c r="L1861" s="17" t="inlineStr"/>
    </row>
    <row r="1862">
      <c r="A1862" s="17" t="inlineStr">
        <is>
          <t>C298</t>
        </is>
      </c>
      <c r="B1862" s="17" t="inlineStr"/>
      <c r="C1862" s="17" t="inlineStr">
        <is>
          <t>(주)새한제약</t>
        </is>
      </c>
      <c r="D1862" s="17" t="inlineStr"/>
      <c r="E1862" s="17" t="inlineStr">
        <is>
          <t>신공장·증설</t>
        </is>
      </c>
      <c r="F1862" s="17" t="inlineStr">
        <is>
          <t>미확인</t>
        </is>
      </c>
      <c r="G1862" s="17" t="inlineStr">
        <is>
          <t>웹조사 자동화 실패(세션한도)</t>
        </is>
      </c>
      <c r="H1862" s="17" t="inlineStr">
        <is>
          <t>N</t>
        </is>
      </c>
      <c r="I1862" s="17" t="inlineStr">
        <is>
          <t>언론·지자체 발표</t>
        </is>
      </c>
      <c r="J1862" s="17" t="inlineStr">
        <is>
          <t>언론·지자체 발표에서 확인</t>
        </is>
      </c>
      <c r="K1862" s="17" t="inlineStr">
        <is>
          <t>낮음</t>
        </is>
      </c>
      <c r="L1862" s="17" t="inlineStr"/>
    </row>
    <row r="1863">
      <c r="A1863" s="17" t="inlineStr">
        <is>
          <t>C299</t>
        </is>
      </c>
      <c r="B1863" s="17" t="inlineStr"/>
      <c r="C1863" s="17" t="inlineStr">
        <is>
          <t>코오롱생명과학(주)</t>
        </is>
      </c>
      <c r="D1863" s="17" t="inlineStr"/>
      <c r="E1863" s="17" t="inlineStr">
        <is>
          <t>최근매출(억원)</t>
        </is>
      </c>
      <c r="F1863" s="17" t="inlineStr">
        <is>
          <t>미확인</t>
        </is>
      </c>
      <c r="G1863" s="17" t="inlineStr">
        <is>
          <t>웹조사 자동화 실패(세션한도)</t>
        </is>
      </c>
      <c r="H1863" s="17" t="inlineStr">
        <is>
          <t>N</t>
        </is>
      </c>
      <c r="I1863" s="17" t="inlineStr">
        <is>
          <t>DART 사업보고서</t>
        </is>
      </c>
      <c r="J1863" s="17" t="inlineStr">
        <is>
          <t>DART 사업보고서에서 확인</t>
        </is>
      </c>
      <c r="K1863" s="17" t="inlineStr">
        <is>
          <t>낮음</t>
        </is>
      </c>
      <c r="L1863" s="17" t="inlineStr"/>
    </row>
    <row r="1864">
      <c r="A1864" s="17" t="inlineStr">
        <is>
          <t>C299</t>
        </is>
      </c>
      <c r="B1864" s="17" t="inlineStr"/>
      <c r="C1864" s="17" t="inlineStr">
        <is>
          <t>코오롱생명과학(주)</t>
        </is>
      </c>
      <c r="D1864" s="17" t="inlineStr"/>
      <c r="E1864" s="17" t="inlineStr">
        <is>
          <t>종업원수</t>
        </is>
      </c>
      <c r="F1864" s="17" t="inlineStr">
        <is>
          <t>미확인</t>
        </is>
      </c>
      <c r="G1864" s="17" t="inlineStr">
        <is>
          <t>웹조사 자동화 실패(세션한도)</t>
        </is>
      </c>
      <c r="H1864" s="17" t="inlineStr">
        <is>
          <t>N</t>
        </is>
      </c>
      <c r="I1864" s="17" t="inlineStr">
        <is>
          <t>DART/채용</t>
        </is>
      </c>
      <c r="J1864" s="17" t="inlineStr">
        <is>
          <t>DART/채용에서 확인</t>
        </is>
      </c>
      <c r="K1864" s="17" t="inlineStr">
        <is>
          <t>낮음</t>
        </is>
      </c>
      <c r="L1864" s="17" t="inlineStr"/>
    </row>
    <row r="1865">
      <c r="A1865" s="17" t="inlineStr">
        <is>
          <t>C299</t>
        </is>
      </c>
      <c r="B1865" s="17" t="inlineStr"/>
      <c r="C1865" s="17" t="inlineStr">
        <is>
          <t>코오롱생명과학(주)</t>
        </is>
      </c>
      <c r="D1865" s="17" t="inlineStr"/>
      <c r="E1865" s="17" t="inlineStr">
        <is>
          <t>수출여부</t>
        </is>
      </c>
      <c r="F1865" s="17" t="inlineStr">
        <is>
          <t>미확인</t>
        </is>
      </c>
      <c r="G1865" s="17" t="inlineStr">
        <is>
          <t>웹조사 자동화 실패(세션한도)</t>
        </is>
      </c>
      <c r="H1865" s="17" t="inlineStr">
        <is>
          <t>N</t>
        </is>
      </c>
      <c r="I1865" s="17" t="inlineStr">
        <is>
          <t>회사 공시·홈페이지</t>
        </is>
      </c>
      <c r="J1865" s="17" t="inlineStr">
        <is>
          <t>회사 공시·홈페이지에서 확인</t>
        </is>
      </c>
      <c r="K1865" s="17" t="inlineStr">
        <is>
          <t>낮음</t>
        </is>
      </c>
      <c r="L1865" s="17" t="inlineStr"/>
    </row>
    <row r="1866">
      <c r="A1866" s="17" t="inlineStr">
        <is>
          <t>C299</t>
        </is>
      </c>
      <c r="B1866" s="17" t="inlineStr"/>
      <c r="C1866" s="17" t="inlineStr">
        <is>
          <t>코오롱생명과학(주)</t>
        </is>
      </c>
      <c r="D1866" s="17" t="inlineStr"/>
      <c r="E1866" s="17" t="inlineStr">
        <is>
          <t>FDA·EMA 실사</t>
        </is>
      </c>
      <c r="F1866" s="17" t="inlineStr">
        <is>
          <t>미확인</t>
        </is>
      </c>
      <c r="G1866" s="17" t="inlineStr">
        <is>
          <t>웹조사 자동화 실패(세션한도)</t>
        </is>
      </c>
      <c r="H1866" s="17" t="inlineStr">
        <is>
          <t>N</t>
        </is>
      </c>
      <c r="I1866" s="17" t="inlineStr">
        <is>
          <t>FDA Inspection DB</t>
        </is>
      </c>
      <c r="J1866" s="17" t="inlineStr">
        <is>
          <t>FDA Inspection DB에서 확인</t>
        </is>
      </c>
      <c r="K1866" s="17" t="inlineStr">
        <is>
          <t>낮음</t>
        </is>
      </c>
      <c r="L1866" s="17" t="inlineStr"/>
    </row>
    <row r="1867">
      <c r="A1867" s="17" t="inlineStr">
        <is>
          <t>C299</t>
        </is>
      </c>
      <c r="B1867" s="17" t="inlineStr"/>
      <c r="C1867" s="17" t="inlineStr">
        <is>
          <t>코오롱생명과학(주)</t>
        </is>
      </c>
      <c r="D1867" s="17" t="inlineStr"/>
      <c r="E1867" s="17" t="inlineStr">
        <is>
          <t>CMO·CDMO</t>
        </is>
      </c>
      <c r="F1867" s="17" t="inlineStr">
        <is>
          <t>미확인</t>
        </is>
      </c>
      <c r="G1867" s="17" t="inlineStr">
        <is>
          <t>웹조사 자동화 실패(세션한도)</t>
        </is>
      </c>
      <c r="H1867" s="17" t="inlineStr">
        <is>
          <t>N</t>
        </is>
      </c>
      <c r="I1867" s="17" t="inlineStr">
        <is>
          <t>회사 홈페이지</t>
        </is>
      </c>
      <c r="J1867" s="17" t="inlineStr">
        <is>
          <t>회사 홈페이지에서 확인</t>
        </is>
      </c>
      <c r="K1867" s="17" t="inlineStr">
        <is>
          <t>낮음</t>
        </is>
      </c>
      <c r="L1867" s="17" t="inlineStr"/>
    </row>
    <row r="1868">
      <c r="A1868" s="17" t="inlineStr">
        <is>
          <t>C299</t>
        </is>
      </c>
      <c r="B1868" s="17" t="inlineStr"/>
      <c r="C1868" s="17" t="inlineStr">
        <is>
          <t>코오롱생명과학(주)</t>
        </is>
      </c>
      <c r="D1868" s="17" t="inlineStr"/>
      <c r="E1868" s="17" t="inlineStr">
        <is>
          <t>신공장·증설</t>
        </is>
      </c>
      <c r="F1868" s="17" t="inlineStr">
        <is>
          <t>미확인</t>
        </is>
      </c>
      <c r="G1868" s="17" t="inlineStr">
        <is>
          <t>웹조사 자동화 실패(세션한도)</t>
        </is>
      </c>
      <c r="H1868" s="17" t="inlineStr">
        <is>
          <t>N</t>
        </is>
      </c>
      <c r="I1868" s="17" t="inlineStr">
        <is>
          <t>언론·지자체 발표</t>
        </is>
      </c>
      <c r="J1868" s="17" t="inlineStr">
        <is>
          <t>언론·지자체 발표에서 확인</t>
        </is>
      </c>
      <c r="K1868" s="17" t="inlineStr">
        <is>
          <t>낮음</t>
        </is>
      </c>
      <c r="L1868" s="17" t="inlineStr"/>
    </row>
    <row r="1869">
      <c r="A1869" s="17" t="inlineStr">
        <is>
          <t>C300</t>
        </is>
      </c>
      <c r="B1869" s="17" t="inlineStr"/>
      <c r="C1869" s="17" t="inlineStr">
        <is>
          <t>그린생명과학(주)</t>
        </is>
      </c>
      <c r="D1869" s="17" t="inlineStr"/>
      <c r="E1869" s="17" t="inlineStr">
        <is>
          <t>최근매출(억원)</t>
        </is>
      </c>
      <c r="F1869" s="17" t="inlineStr">
        <is>
          <t>미확인</t>
        </is>
      </c>
      <c r="G1869" s="17" t="inlineStr">
        <is>
          <t>웹조사 자동화 실패(세션한도)</t>
        </is>
      </c>
      <c r="H1869" s="17" t="inlineStr">
        <is>
          <t>N</t>
        </is>
      </c>
      <c r="I1869" s="17" t="inlineStr">
        <is>
          <t>DART 사업보고서</t>
        </is>
      </c>
      <c r="J1869" s="17" t="inlineStr">
        <is>
          <t>DART 사업보고서에서 확인</t>
        </is>
      </c>
      <c r="K1869" s="17" t="inlineStr">
        <is>
          <t>낮음</t>
        </is>
      </c>
      <c r="L1869" s="17" t="inlineStr"/>
    </row>
    <row r="1870">
      <c r="A1870" s="17" t="inlineStr">
        <is>
          <t>C300</t>
        </is>
      </c>
      <c r="B1870" s="17" t="inlineStr"/>
      <c r="C1870" s="17" t="inlineStr">
        <is>
          <t>그린생명과학(주)</t>
        </is>
      </c>
      <c r="D1870" s="17" t="inlineStr"/>
      <c r="E1870" s="17" t="inlineStr">
        <is>
          <t>종업원수</t>
        </is>
      </c>
      <c r="F1870" s="17" t="inlineStr">
        <is>
          <t>미확인</t>
        </is>
      </c>
      <c r="G1870" s="17" t="inlineStr">
        <is>
          <t>웹조사 자동화 실패(세션한도)</t>
        </is>
      </c>
      <c r="H1870" s="17" t="inlineStr">
        <is>
          <t>N</t>
        </is>
      </c>
      <c r="I1870" s="17" t="inlineStr">
        <is>
          <t>DART/채용</t>
        </is>
      </c>
      <c r="J1870" s="17" t="inlineStr">
        <is>
          <t>DART/채용에서 확인</t>
        </is>
      </c>
      <c r="K1870" s="17" t="inlineStr">
        <is>
          <t>낮음</t>
        </is>
      </c>
      <c r="L1870" s="17" t="inlineStr"/>
    </row>
    <row r="1871">
      <c r="A1871" s="17" t="inlineStr">
        <is>
          <t>C300</t>
        </is>
      </c>
      <c r="B1871" s="17" t="inlineStr"/>
      <c r="C1871" s="17" t="inlineStr">
        <is>
          <t>그린생명과학(주)</t>
        </is>
      </c>
      <c r="D1871" s="17" t="inlineStr"/>
      <c r="E1871" s="17" t="inlineStr">
        <is>
          <t>수출여부</t>
        </is>
      </c>
      <c r="F1871" s="17" t="inlineStr">
        <is>
          <t>미확인</t>
        </is>
      </c>
      <c r="G1871" s="17" t="inlineStr">
        <is>
          <t>웹조사 자동화 실패(세션한도)</t>
        </is>
      </c>
      <c r="H1871" s="17" t="inlineStr">
        <is>
          <t>N</t>
        </is>
      </c>
      <c r="I1871" s="17" t="inlineStr">
        <is>
          <t>회사 공시·홈페이지</t>
        </is>
      </c>
      <c r="J1871" s="17" t="inlineStr">
        <is>
          <t>회사 공시·홈페이지에서 확인</t>
        </is>
      </c>
      <c r="K1871" s="17" t="inlineStr">
        <is>
          <t>낮음</t>
        </is>
      </c>
      <c r="L1871" s="17" t="inlineStr"/>
    </row>
    <row r="1872">
      <c r="A1872" s="17" t="inlineStr">
        <is>
          <t>C300</t>
        </is>
      </c>
      <c r="B1872" s="17" t="inlineStr"/>
      <c r="C1872" s="17" t="inlineStr">
        <is>
          <t>그린생명과학(주)</t>
        </is>
      </c>
      <c r="D1872" s="17" t="inlineStr"/>
      <c r="E1872" s="17" t="inlineStr">
        <is>
          <t>FDA·EMA 실사</t>
        </is>
      </c>
      <c r="F1872" s="17" t="inlineStr">
        <is>
          <t>미확인</t>
        </is>
      </c>
      <c r="G1872" s="17" t="inlineStr">
        <is>
          <t>웹조사 자동화 실패(세션한도)</t>
        </is>
      </c>
      <c r="H1872" s="17" t="inlineStr">
        <is>
          <t>N</t>
        </is>
      </c>
      <c r="I1872" s="17" t="inlineStr">
        <is>
          <t>FDA Inspection DB</t>
        </is>
      </c>
      <c r="J1872" s="17" t="inlineStr">
        <is>
          <t>FDA Inspection DB에서 확인</t>
        </is>
      </c>
      <c r="K1872" s="17" t="inlineStr">
        <is>
          <t>낮음</t>
        </is>
      </c>
      <c r="L1872" s="17" t="inlineStr"/>
    </row>
    <row r="1873">
      <c r="A1873" s="17" t="inlineStr">
        <is>
          <t>C300</t>
        </is>
      </c>
      <c r="B1873" s="17" t="inlineStr"/>
      <c r="C1873" s="17" t="inlineStr">
        <is>
          <t>그린생명과학(주)</t>
        </is>
      </c>
      <c r="D1873" s="17" t="inlineStr"/>
      <c r="E1873" s="17" t="inlineStr">
        <is>
          <t>CMO·CDMO</t>
        </is>
      </c>
      <c r="F1873" s="17" t="inlineStr">
        <is>
          <t>미확인</t>
        </is>
      </c>
      <c r="G1873" s="17" t="inlineStr">
        <is>
          <t>웹조사 자동화 실패(세션한도)</t>
        </is>
      </c>
      <c r="H1873" s="17" t="inlineStr">
        <is>
          <t>N</t>
        </is>
      </c>
      <c r="I1873" s="17" t="inlineStr">
        <is>
          <t>회사 홈페이지</t>
        </is>
      </c>
      <c r="J1873" s="17" t="inlineStr">
        <is>
          <t>회사 홈페이지에서 확인</t>
        </is>
      </c>
      <c r="K1873" s="17" t="inlineStr">
        <is>
          <t>낮음</t>
        </is>
      </c>
      <c r="L1873" s="17" t="inlineStr"/>
    </row>
    <row r="1874">
      <c r="A1874" s="17" t="inlineStr">
        <is>
          <t>C300</t>
        </is>
      </c>
      <c r="B1874" s="17" t="inlineStr"/>
      <c r="C1874" s="17" t="inlineStr">
        <is>
          <t>그린생명과학(주)</t>
        </is>
      </c>
      <c r="D1874" s="17" t="inlineStr"/>
      <c r="E1874" s="17" t="inlineStr">
        <is>
          <t>신공장·증설</t>
        </is>
      </c>
      <c r="F1874" s="17" t="inlineStr">
        <is>
          <t>미확인</t>
        </is>
      </c>
      <c r="G1874" s="17" t="inlineStr">
        <is>
          <t>웹조사 자동화 실패(세션한도)</t>
        </is>
      </c>
      <c r="H1874" s="17" t="inlineStr">
        <is>
          <t>N</t>
        </is>
      </c>
      <c r="I1874" s="17" t="inlineStr">
        <is>
          <t>언론·지자체 발표</t>
        </is>
      </c>
      <c r="J1874" s="17" t="inlineStr">
        <is>
          <t>언론·지자체 발표에서 확인</t>
        </is>
      </c>
      <c r="K1874" s="17" t="inlineStr">
        <is>
          <t>낮음</t>
        </is>
      </c>
      <c r="L1874" s="17" t="inlineStr"/>
    </row>
    <row r="1875">
      <c r="A1875" s="17" t="inlineStr">
        <is>
          <t>C301</t>
        </is>
      </c>
      <c r="B1875" s="17" t="inlineStr"/>
      <c r="C1875" s="17" t="inlineStr">
        <is>
          <t>씨엠에스제약(주)</t>
        </is>
      </c>
      <c r="D1875" s="17" t="inlineStr"/>
      <c r="E1875" s="17" t="inlineStr">
        <is>
          <t>최근매출(억원)</t>
        </is>
      </c>
      <c r="F1875" s="17" t="inlineStr">
        <is>
          <t>미확인</t>
        </is>
      </c>
      <c r="G1875" s="17" t="inlineStr">
        <is>
          <t>웹조사 자동화 실패(세션한도)</t>
        </is>
      </c>
      <c r="H1875" s="17" t="inlineStr">
        <is>
          <t>N</t>
        </is>
      </c>
      <c r="I1875" s="17" t="inlineStr">
        <is>
          <t>DART 사업보고서</t>
        </is>
      </c>
      <c r="J1875" s="17" t="inlineStr">
        <is>
          <t>DART 사업보고서에서 확인</t>
        </is>
      </c>
      <c r="K1875" s="17" t="inlineStr">
        <is>
          <t>낮음</t>
        </is>
      </c>
      <c r="L1875" s="17" t="inlineStr"/>
    </row>
    <row r="1876">
      <c r="A1876" s="17" t="inlineStr">
        <is>
          <t>C301</t>
        </is>
      </c>
      <c r="B1876" s="17" t="inlineStr"/>
      <c r="C1876" s="17" t="inlineStr">
        <is>
          <t>씨엠에스제약(주)</t>
        </is>
      </c>
      <c r="D1876" s="17" t="inlineStr"/>
      <c r="E1876" s="17" t="inlineStr">
        <is>
          <t>종업원수</t>
        </is>
      </c>
      <c r="F1876" s="17" t="inlineStr">
        <is>
          <t>미확인</t>
        </is>
      </c>
      <c r="G1876" s="17" t="inlineStr">
        <is>
          <t>웹조사 자동화 실패(세션한도)</t>
        </is>
      </c>
      <c r="H1876" s="17" t="inlineStr">
        <is>
          <t>N</t>
        </is>
      </c>
      <c r="I1876" s="17" t="inlineStr">
        <is>
          <t>DART/채용</t>
        </is>
      </c>
      <c r="J1876" s="17" t="inlineStr">
        <is>
          <t>DART/채용에서 확인</t>
        </is>
      </c>
      <c r="K1876" s="17" t="inlineStr">
        <is>
          <t>낮음</t>
        </is>
      </c>
      <c r="L1876" s="17" t="inlineStr"/>
    </row>
    <row r="1877">
      <c r="A1877" s="17" t="inlineStr">
        <is>
          <t>C301</t>
        </is>
      </c>
      <c r="B1877" s="17" t="inlineStr"/>
      <c r="C1877" s="17" t="inlineStr">
        <is>
          <t>씨엠에스제약(주)</t>
        </is>
      </c>
      <c r="D1877" s="17" t="inlineStr"/>
      <c r="E1877" s="17" t="inlineStr">
        <is>
          <t>수출여부</t>
        </is>
      </c>
      <c r="F1877" s="17" t="inlineStr">
        <is>
          <t>미확인</t>
        </is>
      </c>
      <c r="G1877" s="17" t="inlineStr">
        <is>
          <t>웹조사 자동화 실패(세션한도)</t>
        </is>
      </c>
      <c r="H1877" s="17" t="inlineStr">
        <is>
          <t>N</t>
        </is>
      </c>
      <c r="I1877" s="17" t="inlineStr">
        <is>
          <t>회사 공시·홈페이지</t>
        </is>
      </c>
      <c r="J1877" s="17" t="inlineStr">
        <is>
          <t>회사 공시·홈페이지에서 확인</t>
        </is>
      </c>
      <c r="K1877" s="17" t="inlineStr">
        <is>
          <t>낮음</t>
        </is>
      </c>
      <c r="L1877" s="17" t="inlineStr"/>
    </row>
    <row r="1878">
      <c r="A1878" s="17" t="inlineStr">
        <is>
          <t>C301</t>
        </is>
      </c>
      <c r="B1878" s="17" t="inlineStr"/>
      <c r="C1878" s="17" t="inlineStr">
        <is>
          <t>씨엠에스제약(주)</t>
        </is>
      </c>
      <c r="D1878" s="17" t="inlineStr"/>
      <c r="E1878" s="17" t="inlineStr">
        <is>
          <t>FDA·EMA 실사</t>
        </is>
      </c>
      <c r="F1878" s="17" t="inlineStr">
        <is>
          <t>미확인</t>
        </is>
      </c>
      <c r="G1878" s="17" t="inlineStr">
        <is>
          <t>웹조사 자동화 실패(세션한도)</t>
        </is>
      </c>
      <c r="H1878" s="17" t="inlineStr">
        <is>
          <t>N</t>
        </is>
      </c>
      <c r="I1878" s="17" t="inlineStr">
        <is>
          <t>FDA Inspection DB</t>
        </is>
      </c>
      <c r="J1878" s="17" t="inlineStr">
        <is>
          <t>FDA Inspection DB에서 확인</t>
        </is>
      </c>
      <c r="K1878" s="17" t="inlineStr">
        <is>
          <t>낮음</t>
        </is>
      </c>
      <c r="L1878" s="17" t="inlineStr"/>
    </row>
    <row r="1879">
      <c r="A1879" s="17" t="inlineStr">
        <is>
          <t>C301</t>
        </is>
      </c>
      <c r="B1879" s="17" t="inlineStr"/>
      <c r="C1879" s="17" t="inlineStr">
        <is>
          <t>씨엠에스제약(주)</t>
        </is>
      </c>
      <c r="D1879" s="17" t="inlineStr"/>
      <c r="E1879" s="17" t="inlineStr">
        <is>
          <t>CMO·CDMO</t>
        </is>
      </c>
      <c r="F1879" s="17" t="inlineStr">
        <is>
          <t>미확인</t>
        </is>
      </c>
      <c r="G1879" s="17" t="inlineStr">
        <is>
          <t>웹조사 자동화 실패(세션한도)</t>
        </is>
      </c>
      <c r="H1879" s="17" t="inlineStr">
        <is>
          <t>N</t>
        </is>
      </c>
      <c r="I1879" s="17" t="inlineStr">
        <is>
          <t>회사 홈페이지</t>
        </is>
      </c>
      <c r="J1879" s="17" t="inlineStr">
        <is>
          <t>회사 홈페이지에서 확인</t>
        </is>
      </c>
      <c r="K1879" s="17" t="inlineStr">
        <is>
          <t>낮음</t>
        </is>
      </c>
      <c r="L1879" s="17" t="inlineStr"/>
    </row>
    <row r="1880">
      <c r="A1880" s="17" t="inlineStr">
        <is>
          <t>C301</t>
        </is>
      </c>
      <c r="B1880" s="17" t="inlineStr"/>
      <c r="C1880" s="17" t="inlineStr">
        <is>
          <t>씨엠에스제약(주)</t>
        </is>
      </c>
      <c r="D1880" s="17" t="inlineStr"/>
      <c r="E1880" s="17" t="inlineStr">
        <is>
          <t>신공장·증설</t>
        </is>
      </c>
      <c r="F1880" s="17" t="inlineStr">
        <is>
          <t>미확인</t>
        </is>
      </c>
      <c r="G1880" s="17" t="inlineStr">
        <is>
          <t>웹조사 자동화 실패(세션한도)</t>
        </is>
      </c>
      <c r="H1880" s="17" t="inlineStr">
        <is>
          <t>N</t>
        </is>
      </c>
      <c r="I1880" s="17" t="inlineStr">
        <is>
          <t>언론·지자체 발표</t>
        </is>
      </c>
      <c r="J1880" s="17" t="inlineStr">
        <is>
          <t>언론·지자체 발표에서 확인</t>
        </is>
      </c>
      <c r="K1880" s="17" t="inlineStr">
        <is>
          <t>낮음</t>
        </is>
      </c>
      <c r="L1880" s="17" t="inlineStr"/>
    </row>
    <row r="1881">
      <c r="A1881" s="17" t="inlineStr">
        <is>
          <t>C302</t>
        </is>
      </c>
      <c r="B1881" s="17" t="inlineStr"/>
      <c r="C1881" s="17" t="inlineStr">
        <is>
          <t>구주제약(주)</t>
        </is>
      </c>
      <c r="D1881" s="17" t="inlineStr"/>
      <c r="E1881" s="17" t="inlineStr">
        <is>
          <t>최근매출(억원)</t>
        </is>
      </c>
      <c r="F1881" s="17" t="inlineStr">
        <is>
          <t>미확인</t>
        </is>
      </c>
      <c r="G1881" s="17" t="inlineStr">
        <is>
          <t>웹조사 자동화 실패(세션한도)</t>
        </is>
      </c>
      <c r="H1881" s="17" t="inlineStr">
        <is>
          <t>N</t>
        </is>
      </c>
      <c r="I1881" s="17" t="inlineStr">
        <is>
          <t>DART 사업보고서</t>
        </is>
      </c>
      <c r="J1881" s="17" t="inlineStr">
        <is>
          <t>DART 사업보고서에서 확인</t>
        </is>
      </c>
      <c r="K1881" s="17" t="inlineStr">
        <is>
          <t>낮음</t>
        </is>
      </c>
      <c r="L1881" s="17" t="inlineStr"/>
    </row>
    <row r="1882">
      <c r="A1882" s="17" t="inlineStr">
        <is>
          <t>C302</t>
        </is>
      </c>
      <c r="B1882" s="17" t="inlineStr"/>
      <c r="C1882" s="17" t="inlineStr">
        <is>
          <t>구주제약(주)</t>
        </is>
      </c>
      <c r="D1882" s="17" t="inlineStr"/>
      <c r="E1882" s="17" t="inlineStr">
        <is>
          <t>종업원수</t>
        </is>
      </c>
      <c r="F1882" s="17" t="inlineStr">
        <is>
          <t>미확인</t>
        </is>
      </c>
      <c r="G1882" s="17" t="inlineStr">
        <is>
          <t>웹조사 자동화 실패(세션한도)</t>
        </is>
      </c>
      <c r="H1882" s="17" t="inlineStr">
        <is>
          <t>N</t>
        </is>
      </c>
      <c r="I1882" s="17" t="inlineStr">
        <is>
          <t>DART/채용</t>
        </is>
      </c>
      <c r="J1882" s="17" t="inlineStr">
        <is>
          <t>DART/채용에서 확인</t>
        </is>
      </c>
      <c r="K1882" s="17" t="inlineStr">
        <is>
          <t>낮음</t>
        </is>
      </c>
      <c r="L1882" s="17" t="inlineStr"/>
    </row>
    <row r="1883">
      <c r="A1883" s="17" t="inlineStr">
        <is>
          <t>C302</t>
        </is>
      </c>
      <c r="B1883" s="17" t="inlineStr"/>
      <c r="C1883" s="17" t="inlineStr">
        <is>
          <t>구주제약(주)</t>
        </is>
      </c>
      <c r="D1883" s="17" t="inlineStr"/>
      <c r="E1883" s="17" t="inlineStr">
        <is>
          <t>수출여부</t>
        </is>
      </c>
      <c r="F1883" s="17" t="inlineStr">
        <is>
          <t>미확인</t>
        </is>
      </c>
      <c r="G1883" s="17" t="inlineStr">
        <is>
          <t>웹조사 자동화 실패(세션한도)</t>
        </is>
      </c>
      <c r="H1883" s="17" t="inlineStr">
        <is>
          <t>N</t>
        </is>
      </c>
      <c r="I1883" s="17" t="inlineStr">
        <is>
          <t>회사 공시·홈페이지</t>
        </is>
      </c>
      <c r="J1883" s="17" t="inlineStr">
        <is>
          <t>회사 공시·홈페이지에서 확인</t>
        </is>
      </c>
      <c r="K1883" s="17" t="inlineStr">
        <is>
          <t>낮음</t>
        </is>
      </c>
      <c r="L1883" s="17" t="inlineStr"/>
    </row>
    <row r="1884">
      <c r="A1884" s="17" t="inlineStr">
        <is>
          <t>C302</t>
        </is>
      </c>
      <c r="B1884" s="17" t="inlineStr"/>
      <c r="C1884" s="17" t="inlineStr">
        <is>
          <t>구주제약(주)</t>
        </is>
      </c>
      <c r="D1884" s="17" t="inlineStr"/>
      <c r="E1884" s="17" t="inlineStr">
        <is>
          <t>FDA·EMA 실사</t>
        </is>
      </c>
      <c r="F1884" s="17" t="inlineStr">
        <is>
          <t>미확인</t>
        </is>
      </c>
      <c r="G1884" s="17" t="inlineStr">
        <is>
          <t>웹조사 자동화 실패(세션한도)</t>
        </is>
      </c>
      <c r="H1884" s="17" t="inlineStr">
        <is>
          <t>N</t>
        </is>
      </c>
      <c r="I1884" s="17" t="inlineStr">
        <is>
          <t>FDA Inspection DB</t>
        </is>
      </c>
      <c r="J1884" s="17" t="inlineStr">
        <is>
          <t>FDA Inspection DB에서 확인</t>
        </is>
      </c>
      <c r="K1884" s="17" t="inlineStr">
        <is>
          <t>낮음</t>
        </is>
      </c>
      <c r="L1884" s="17" t="inlineStr"/>
    </row>
    <row r="1885">
      <c r="A1885" s="17" t="inlineStr">
        <is>
          <t>C302</t>
        </is>
      </c>
      <c r="B1885" s="17" t="inlineStr"/>
      <c r="C1885" s="17" t="inlineStr">
        <is>
          <t>구주제약(주)</t>
        </is>
      </c>
      <c r="D1885" s="17" t="inlineStr"/>
      <c r="E1885" s="17" t="inlineStr">
        <is>
          <t>CMO·CDMO</t>
        </is>
      </c>
      <c r="F1885" s="17" t="inlineStr">
        <is>
          <t>미확인</t>
        </is>
      </c>
      <c r="G1885" s="17" t="inlineStr">
        <is>
          <t>웹조사 자동화 실패(세션한도)</t>
        </is>
      </c>
      <c r="H1885" s="17" t="inlineStr">
        <is>
          <t>N</t>
        </is>
      </c>
      <c r="I1885" s="17" t="inlineStr">
        <is>
          <t>회사 홈페이지</t>
        </is>
      </c>
      <c r="J1885" s="17" t="inlineStr">
        <is>
          <t>회사 홈페이지에서 확인</t>
        </is>
      </c>
      <c r="K1885" s="17" t="inlineStr">
        <is>
          <t>낮음</t>
        </is>
      </c>
      <c r="L1885" s="17" t="inlineStr"/>
    </row>
    <row r="1886">
      <c r="A1886" s="17" t="inlineStr">
        <is>
          <t>C302</t>
        </is>
      </c>
      <c r="B1886" s="17" t="inlineStr"/>
      <c r="C1886" s="17" t="inlineStr">
        <is>
          <t>구주제약(주)</t>
        </is>
      </c>
      <c r="D1886" s="17" t="inlineStr"/>
      <c r="E1886" s="17" t="inlineStr">
        <is>
          <t>신공장·증설</t>
        </is>
      </c>
      <c r="F1886" s="17" t="inlineStr">
        <is>
          <t>미확인</t>
        </is>
      </c>
      <c r="G1886" s="17" t="inlineStr">
        <is>
          <t>웹조사 자동화 실패(세션한도)</t>
        </is>
      </c>
      <c r="H1886" s="17" t="inlineStr">
        <is>
          <t>N</t>
        </is>
      </c>
      <c r="I1886" s="17" t="inlineStr">
        <is>
          <t>언론·지자체 발표</t>
        </is>
      </c>
      <c r="J1886" s="17" t="inlineStr">
        <is>
          <t>언론·지자체 발표에서 확인</t>
        </is>
      </c>
      <c r="K1886" s="17" t="inlineStr">
        <is>
          <t>낮음</t>
        </is>
      </c>
      <c r="L1886" s="17" t="inlineStr"/>
    </row>
    <row r="1887">
      <c r="A1887" s="17" t="inlineStr">
        <is>
          <t>C303</t>
        </is>
      </c>
      <c r="B1887" s="17" t="inlineStr"/>
      <c r="C1887" s="17" t="inlineStr">
        <is>
          <t>건일제약(주)</t>
        </is>
      </c>
      <c r="D1887" s="17" t="inlineStr"/>
      <c r="E1887" s="17" t="inlineStr">
        <is>
          <t>최근매출(억원)</t>
        </is>
      </c>
      <c r="F1887" s="17" t="inlineStr">
        <is>
          <t>미확인</t>
        </is>
      </c>
      <c r="G1887" s="17" t="inlineStr">
        <is>
          <t>웹조사 자동화 실패(세션한도)</t>
        </is>
      </c>
      <c r="H1887" s="17" t="inlineStr">
        <is>
          <t>N</t>
        </is>
      </c>
      <c r="I1887" s="17" t="inlineStr">
        <is>
          <t>DART 사업보고서</t>
        </is>
      </c>
      <c r="J1887" s="17" t="inlineStr">
        <is>
          <t>DART 사업보고서에서 확인</t>
        </is>
      </c>
      <c r="K1887" s="17" t="inlineStr">
        <is>
          <t>낮음</t>
        </is>
      </c>
      <c r="L1887" s="17" t="inlineStr"/>
    </row>
    <row r="1888">
      <c r="A1888" s="17" t="inlineStr">
        <is>
          <t>C303</t>
        </is>
      </c>
      <c r="B1888" s="17" t="inlineStr"/>
      <c r="C1888" s="17" t="inlineStr">
        <is>
          <t>건일제약(주)</t>
        </is>
      </c>
      <c r="D1888" s="17" t="inlineStr"/>
      <c r="E1888" s="17" t="inlineStr">
        <is>
          <t>종업원수</t>
        </is>
      </c>
      <c r="F1888" s="17" t="inlineStr">
        <is>
          <t>미확인</t>
        </is>
      </c>
      <c r="G1888" s="17" t="inlineStr">
        <is>
          <t>웹조사 자동화 실패(세션한도)</t>
        </is>
      </c>
      <c r="H1888" s="17" t="inlineStr">
        <is>
          <t>N</t>
        </is>
      </c>
      <c r="I1888" s="17" t="inlineStr">
        <is>
          <t>DART/채용</t>
        </is>
      </c>
      <c r="J1888" s="17" t="inlineStr">
        <is>
          <t>DART/채용에서 확인</t>
        </is>
      </c>
      <c r="K1888" s="17" t="inlineStr">
        <is>
          <t>낮음</t>
        </is>
      </c>
      <c r="L1888" s="17" t="inlineStr"/>
    </row>
    <row r="1889">
      <c r="A1889" s="17" t="inlineStr">
        <is>
          <t>C303</t>
        </is>
      </c>
      <c r="B1889" s="17" t="inlineStr"/>
      <c r="C1889" s="17" t="inlineStr">
        <is>
          <t>건일제약(주)</t>
        </is>
      </c>
      <c r="D1889" s="17" t="inlineStr"/>
      <c r="E1889" s="17" t="inlineStr">
        <is>
          <t>수출여부</t>
        </is>
      </c>
      <c r="F1889" s="17" t="inlineStr">
        <is>
          <t>미확인</t>
        </is>
      </c>
      <c r="G1889" s="17" t="inlineStr">
        <is>
          <t>웹조사 자동화 실패(세션한도)</t>
        </is>
      </c>
      <c r="H1889" s="17" t="inlineStr">
        <is>
          <t>N</t>
        </is>
      </c>
      <c r="I1889" s="17" t="inlineStr">
        <is>
          <t>회사 공시·홈페이지</t>
        </is>
      </c>
      <c r="J1889" s="17" t="inlineStr">
        <is>
          <t>회사 공시·홈페이지에서 확인</t>
        </is>
      </c>
      <c r="K1889" s="17" t="inlineStr">
        <is>
          <t>낮음</t>
        </is>
      </c>
      <c r="L1889" s="17" t="inlineStr"/>
    </row>
    <row r="1890">
      <c r="A1890" s="17" t="inlineStr">
        <is>
          <t>C303</t>
        </is>
      </c>
      <c r="B1890" s="17" t="inlineStr"/>
      <c r="C1890" s="17" t="inlineStr">
        <is>
          <t>건일제약(주)</t>
        </is>
      </c>
      <c r="D1890" s="17" t="inlineStr"/>
      <c r="E1890" s="17" t="inlineStr">
        <is>
          <t>FDA·EMA 실사</t>
        </is>
      </c>
      <c r="F1890" s="17" t="inlineStr">
        <is>
          <t>미확인</t>
        </is>
      </c>
      <c r="G1890" s="17" t="inlineStr">
        <is>
          <t>웹조사 자동화 실패(세션한도)</t>
        </is>
      </c>
      <c r="H1890" s="17" t="inlineStr">
        <is>
          <t>N</t>
        </is>
      </c>
      <c r="I1890" s="17" t="inlineStr">
        <is>
          <t>FDA Inspection DB</t>
        </is>
      </c>
      <c r="J1890" s="17" t="inlineStr">
        <is>
          <t>FDA Inspection DB에서 확인</t>
        </is>
      </c>
      <c r="K1890" s="17" t="inlineStr">
        <is>
          <t>낮음</t>
        </is>
      </c>
      <c r="L1890" s="17" t="inlineStr"/>
    </row>
    <row r="1891">
      <c r="A1891" s="17" t="inlineStr">
        <is>
          <t>C303</t>
        </is>
      </c>
      <c r="B1891" s="17" t="inlineStr"/>
      <c r="C1891" s="17" t="inlineStr">
        <is>
          <t>건일제약(주)</t>
        </is>
      </c>
      <c r="D1891" s="17" t="inlineStr"/>
      <c r="E1891" s="17" t="inlineStr">
        <is>
          <t>CMO·CDMO</t>
        </is>
      </c>
      <c r="F1891" s="17" t="inlineStr">
        <is>
          <t>미확인</t>
        </is>
      </c>
      <c r="G1891" s="17" t="inlineStr">
        <is>
          <t>웹조사 자동화 실패(세션한도)</t>
        </is>
      </c>
      <c r="H1891" s="17" t="inlineStr">
        <is>
          <t>N</t>
        </is>
      </c>
      <c r="I1891" s="17" t="inlineStr">
        <is>
          <t>회사 홈페이지</t>
        </is>
      </c>
      <c r="J1891" s="17" t="inlineStr">
        <is>
          <t>회사 홈페이지에서 확인</t>
        </is>
      </c>
      <c r="K1891" s="17" t="inlineStr">
        <is>
          <t>낮음</t>
        </is>
      </c>
      <c r="L1891" s="17" t="inlineStr"/>
    </row>
    <row r="1892">
      <c r="A1892" s="17" t="inlineStr">
        <is>
          <t>C303</t>
        </is>
      </c>
      <c r="B1892" s="17" t="inlineStr"/>
      <c r="C1892" s="17" t="inlineStr">
        <is>
          <t>건일제약(주)</t>
        </is>
      </c>
      <c r="D1892" s="17" t="inlineStr"/>
      <c r="E1892" s="17" t="inlineStr">
        <is>
          <t>신공장·증설</t>
        </is>
      </c>
      <c r="F1892" s="17" t="inlineStr">
        <is>
          <t>미확인</t>
        </is>
      </c>
      <c r="G1892" s="17" t="inlineStr">
        <is>
          <t>웹조사 자동화 실패(세션한도)</t>
        </is>
      </c>
      <c r="H1892" s="17" t="inlineStr">
        <is>
          <t>N</t>
        </is>
      </c>
      <c r="I1892" s="17" t="inlineStr">
        <is>
          <t>언론·지자체 발표</t>
        </is>
      </c>
      <c r="J1892" s="17" t="inlineStr">
        <is>
          <t>언론·지자체 발표에서 확인</t>
        </is>
      </c>
      <c r="K1892" s="17" t="inlineStr">
        <is>
          <t>낮음</t>
        </is>
      </c>
      <c r="L1892" s="17" t="inlineStr"/>
    </row>
    <row r="1893">
      <c r="A1893" s="17" t="inlineStr">
        <is>
          <t>C304</t>
        </is>
      </c>
      <c r="B1893" s="17" t="inlineStr"/>
      <c r="C1893" s="17" t="inlineStr">
        <is>
          <t>(주)파마리서치바이오</t>
        </is>
      </c>
      <c r="D1893" s="17" t="inlineStr"/>
      <c r="E1893" s="17" t="inlineStr">
        <is>
          <t>최근매출(억원)</t>
        </is>
      </c>
      <c r="F1893" s="17" t="inlineStr">
        <is>
          <t>미확인</t>
        </is>
      </c>
      <c r="G1893" s="17" t="inlineStr">
        <is>
          <t>웹조사 자동화 실패(세션한도)</t>
        </is>
      </c>
      <c r="H1893" s="17" t="inlineStr">
        <is>
          <t>N</t>
        </is>
      </c>
      <c r="I1893" s="17" t="inlineStr">
        <is>
          <t>DART 사업보고서</t>
        </is>
      </c>
      <c r="J1893" s="17" t="inlineStr">
        <is>
          <t>DART 사업보고서에서 확인</t>
        </is>
      </c>
      <c r="K1893" s="17" t="inlineStr">
        <is>
          <t>낮음</t>
        </is>
      </c>
      <c r="L1893" s="17" t="inlineStr"/>
    </row>
    <row r="1894">
      <c r="A1894" s="17" t="inlineStr">
        <is>
          <t>C304</t>
        </is>
      </c>
      <c r="B1894" s="17" t="inlineStr"/>
      <c r="C1894" s="17" t="inlineStr">
        <is>
          <t>(주)파마리서치바이오</t>
        </is>
      </c>
      <c r="D1894" s="17" t="inlineStr"/>
      <c r="E1894" s="17" t="inlineStr">
        <is>
          <t>종업원수</t>
        </is>
      </c>
      <c r="F1894" s="17" t="inlineStr">
        <is>
          <t>미확인</t>
        </is>
      </c>
      <c r="G1894" s="17" t="inlineStr">
        <is>
          <t>웹조사 자동화 실패(세션한도)</t>
        </is>
      </c>
      <c r="H1894" s="17" t="inlineStr">
        <is>
          <t>N</t>
        </is>
      </c>
      <c r="I1894" s="17" t="inlineStr">
        <is>
          <t>DART/채용</t>
        </is>
      </c>
      <c r="J1894" s="17" t="inlineStr">
        <is>
          <t>DART/채용에서 확인</t>
        </is>
      </c>
      <c r="K1894" s="17" t="inlineStr">
        <is>
          <t>낮음</t>
        </is>
      </c>
      <c r="L1894" s="17" t="inlineStr"/>
    </row>
    <row r="1895">
      <c r="A1895" s="17" t="inlineStr">
        <is>
          <t>C304</t>
        </is>
      </c>
      <c r="B1895" s="17" t="inlineStr"/>
      <c r="C1895" s="17" t="inlineStr">
        <is>
          <t>(주)파마리서치바이오</t>
        </is>
      </c>
      <c r="D1895" s="17" t="inlineStr"/>
      <c r="E1895" s="17" t="inlineStr">
        <is>
          <t>수출여부</t>
        </is>
      </c>
      <c r="F1895" s="17" t="inlineStr">
        <is>
          <t>미확인</t>
        </is>
      </c>
      <c r="G1895" s="17" t="inlineStr">
        <is>
          <t>웹조사 자동화 실패(세션한도)</t>
        </is>
      </c>
      <c r="H1895" s="17" t="inlineStr">
        <is>
          <t>N</t>
        </is>
      </c>
      <c r="I1895" s="17" t="inlineStr">
        <is>
          <t>회사 공시·홈페이지</t>
        </is>
      </c>
      <c r="J1895" s="17" t="inlineStr">
        <is>
          <t>회사 공시·홈페이지에서 확인</t>
        </is>
      </c>
      <c r="K1895" s="17" t="inlineStr">
        <is>
          <t>낮음</t>
        </is>
      </c>
      <c r="L1895" s="17" t="inlineStr"/>
    </row>
    <row r="1896">
      <c r="A1896" s="17" t="inlineStr">
        <is>
          <t>C304</t>
        </is>
      </c>
      <c r="B1896" s="17" t="inlineStr"/>
      <c r="C1896" s="17" t="inlineStr">
        <is>
          <t>(주)파마리서치바이오</t>
        </is>
      </c>
      <c r="D1896" s="17" t="inlineStr"/>
      <c r="E1896" s="17" t="inlineStr">
        <is>
          <t>FDA·EMA 실사</t>
        </is>
      </c>
      <c r="F1896" s="17" t="inlineStr">
        <is>
          <t>미확인</t>
        </is>
      </c>
      <c r="G1896" s="17" t="inlineStr">
        <is>
          <t>웹조사 자동화 실패(세션한도)</t>
        </is>
      </c>
      <c r="H1896" s="17" t="inlineStr">
        <is>
          <t>N</t>
        </is>
      </c>
      <c r="I1896" s="17" t="inlineStr">
        <is>
          <t>FDA Inspection DB</t>
        </is>
      </c>
      <c r="J1896" s="17" t="inlineStr">
        <is>
          <t>FDA Inspection DB에서 확인</t>
        </is>
      </c>
      <c r="K1896" s="17" t="inlineStr">
        <is>
          <t>낮음</t>
        </is>
      </c>
      <c r="L1896" s="17" t="inlineStr"/>
    </row>
    <row r="1897">
      <c r="A1897" s="17" t="inlineStr">
        <is>
          <t>C304</t>
        </is>
      </c>
      <c r="B1897" s="17" t="inlineStr"/>
      <c r="C1897" s="17" t="inlineStr">
        <is>
          <t>(주)파마리서치바이오</t>
        </is>
      </c>
      <c r="D1897" s="17" t="inlineStr"/>
      <c r="E1897" s="17" t="inlineStr">
        <is>
          <t>CMO·CDMO</t>
        </is>
      </c>
      <c r="F1897" s="17" t="inlineStr">
        <is>
          <t>미확인</t>
        </is>
      </c>
      <c r="G1897" s="17" t="inlineStr">
        <is>
          <t>웹조사 자동화 실패(세션한도)</t>
        </is>
      </c>
      <c r="H1897" s="17" t="inlineStr">
        <is>
          <t>N</t>
        </is>
      </c>
      <c r="I1897" s="17" t="inlineStr">
        <is>
          <t>회사 홈페이지</t>
        </is>
      </c>
      <c r="J1897" s="17" t="inlineStr">
        <is>
          <t>회사 홈페이지에서 확인</t>
        </is>
      </c>
      <c r="K1897" s="17" t="inlineStr">
        <is>
          <t>낮음</t>
        </is>
      </c>
      <c r="L1897" s="17" t="inlineStr"/>
    </row>
    <row r="1898">
      <c r="A1898" s="17" t="inlineStr">
        <is>
          <t>C304</t>
        </is>
      </c>
      <c r="B1898" s="17" t="inlineStr"/>
      <c r="C1898" s="17" t="inlineStr">
        <is>
          <t>(주)파마리서치바이오</t>
        </is>
      </c>
      <c r="D1898" s="17" t="inlineStr"/>
      <c r="E1898" s="17" t="inlineStr">
        <is>
          <t>신공장·증설</t>
        </is>
      </c>
      <c r="F1898" s="17" t="inlineStr">
        <is>
          <t>미확인</t>
        </is>
      </c>
      <c r="G1898" s="17" t="inlineStr">
        <is>
          <t>웹조사 자동화 실패(세션한도)</t>
        </is>
      </c>
      <c r="H1898" s="17" t="inlineStr">
        <is>
          <t>N</t>
        </is>
      </c>
      <c r="I1898" s="17" t="inlineStr">
        <is>
          <t>언론·지자체 발표</t>
        </is>
      </c>
      <c r="J1898" s="17" t="inlineStr">
        <is>
          <t>언론·지자체 발표에서 확인</t>
        </is>
      </c>
      <c r="K1898" s="17" t="inlineStr">
        <is>
          <t>낮음</t>
        </is>
      </c>
      <c r="L1898" s="17" t="inlineStr"/>
    </row>
    <row r="1899">
      <c r="A1899" s="17" t="inlineStr">
        <is>
          <t>C304</t>
        </is>
      </c>
      <c r="B1899" s="17" t="inlineStr"/>
      <c r="C1899" s="17" t="inlineStr">
        <is>
          <t>(주)파마리서치바이오</t>
        </is>
      </c>
      <c r="D1899" s="17" t="inlineStr"/>
      <c r="E1899" s="17" t="inlineStr">
        <is>
          <t>대표전화</t>
        </is>
      </c>
      <c r="F1899" s="17" t="inlineStr">
        <is>
          <t>미확인</t>
        </is>
      </c>
      <c r="G1899" s="17" t="inlineStr">
        <is>
          <t>제조소상세 미매칭</t>
        </is>
      </c>
      <c r="H1899" s="17" t="inlineStr">
        <is>
          <t>Y</t>
        </is>
      </c>
      <c r="I1899" s="17" t="inlineStr">
        <is>
          <t>회사 홈페이지</t>
        </is>
      </c>
      <c r="J1899" s="17" t="inlineStr">
        <is>
          <t>홈페이지에서 대표번호 확인</t>
        </is>
      </c>
      <c r="K1899" s="17" t="inlineStr">
        <is>
          <t>낮음</t>
        </is>
      </c>
      <c r="L1899" s="17" t="inlineStr"/>
    </row>
    <row r="1900">
      <c r="A1900" s="17" t="inlineStr">
        <is>
          <t>C305</t>
        </is>
      </c>
      <c r="B1900" s="17" t="inlineStr"/>
      <c r="C1900" s="17" t="inlineStr">
        <is>
          <t>(주)삼영유니텍</t>
        </is>
      </c>
      <c r="D1900" s="17" t="inlineStr"/>
      <c r="E1900" s="17" t="inlineStr">
        <is>
          <t>최근매출(억원)</t>
        </is>
      </c>
      <c r="F1900" s="17" t="inlineStr">
        <is>
          <t>미확인</t>
        </is>
      </c>
      <c r="G1900" s="17" t="inlineStr">
        <is>
          <t>웹조사 자동화 실패(세션한도)</t>
        </is>
      </c>
      <c r="H1900" s="17" t="inlineStr">
        <is>
          <t>N</t>
        </is>
      </c>
      <c r="I1900" s="17" t="inlineStr">
        <is>
          <t>DART 사업보고서</t>
        </is>
      </c>
      <c r="J1900" s="17" t="inlineStr">
        <is>
          <t>DART 사업보고서에서 확인</t>
        </is>
      </c>
      <c r="K1900" s="17" t="inlineStr">
        <is>
          <t>낮음</t>
        </is>
      </c>
      <c r="L1900" s="17" t="inlineStr"/>
    </row>
    <row r="1901">
      <c r="A1901" s="17" t="inlineStr">
        <is>
          <t>C305</t>
        </is>
      </c>
      <c r="B1901" s="17" t="inlineStr"/>
      <c r="C1901" s="17" t="inlineStr">
        <is>
          <t>(주)삼영유니텍</t>
        </is>
      </c>
      <c r="D1901" s="17" t="inlineStr"/>
      <c r="E1901" s="17" t="inlineStr">
        <is>
          <t>종업원수</t>
        </is>
      </c>
      <c r="F1901" s="17" t="inlineStr">
        <is>
          <t>미확인</t>
        </is>
      </c>
      <c r="G1901" s="17" t="inlineStr">
        <is>
          <t>웹조사 자동화 실패(세션한도)</t>
        </is>
      </c>
      <c r="H1901" s="17" t="inlineStr">
        <is>
          <t>N</t>
        </is>
      </c>
      <c r="I1901" s="17" t="inlineStr">
        <is>
          <t>DART/채용</t>
        </is>
      </c>
      <c r="J1901" s="17" t="inlineStr">
        <is>
          <t>DART/채용에서 확인</t>
        </is>
      </c>
      <c r="K1901" s="17" t="inlineStr">
        <is>
          <t>낮음</t>
        </is>
      </c>
      <c r="L1901" s="17" t="inlineStr"/>
    </row>
    <row r="1902">
      <c r="A1902" s="17" t="inlineStr">
        <is>
          <t>C305</t>
        </is>
      </c>
      <c r="B1902" s="17" t="inlineStr"/>
      <c r="C1902" s="17" t="inlineStr">
        <is>
          <t>(주)삼영유니텍</t>
        </is>
      </c>
      <c r="D1902" s="17" t="inlineStr"/>
      <c r="E1902" s="17" t="inlineStr">
        <is>
          <t>수출여부</t>
        </is>
      </c>
      <c r="F1902" s="17" t="inlineStr">
        <is>
          <t>미확인</t>
        </is>
      </c>
      <c r="G1902" s="17" t="inlineStr">
        <is>
          <t>웹조사 자동화 실패(세션한도)</t>
        </is>
      </c>
      <c r="H1902" s="17" t="inlineStr">
        <is>
          <t>N</t>
        </is>
      </c>
      <c r="I1902" s="17" t="inlineStr">
        <is>
          <t>회사 공시·홈페이지</t>
        </is>
      </c>
      <c r="J1902" s="17" t="inlineStr">
        <is>
          <t>회사 공시·홈페이지에서 확인</t>
        </is>
      </c>
      <c r="K1902" s="17" t="inlineStr">
        <is>
          <t>낮음</t>
        </is>
      </c>
      <c r="L1902" s="17" t="inlineStr"/>
    </row>
    <row r="1903">
      <c r="A1903" s="17" t="inlineStr">
        <is>
          <t>C305</t>
        </is>
      </c>
      <c r="B1903" s="17" t="inlineStr"/>
      <c r="C1903" s="17" t="inlineStr">
        <is>
          <t>(주)삼영유니텍</t>
        </is>
      </c>
      <c r="D1903" s="17" t="inlineStr"/>
      <c r="E1903" s="17" t="inlineStr">
        <is>
          <t>FDA·EMA 실사</t>
        </is>
      </c>
      <c r="F1903" s="17" t="inlineStr">
        <is>
          <t>미확인</t>
        </is>
      </c>
      <c r="G1903" s="17" t="inlineStr">
        <is>
          <t>웹조사 자동화 실패(세션한도)</t>
        </is>
      </c>
      <c r="H1903" s="17" t="inlineStr">
        <is>
          <t>N</t>
        </is>
      </c>
      <c r="I1903" s="17" t="inlineStr">
        <is>
          <t>FDA Inspection DB</t>
        </is>
      </c>
      <c r="J1903" s="17" t="inlineStr">
        <is>
          <t>FDA Inspection DB에서 확인</t>
        </is>
      </c>
      <c r="K1903" s="17" t="inlineStr">
        <is>
          <t>낮음</t>
        </is>
      </c>
      <c r="L1903" s="17" t="inlineStr"/>
    </row>
    <row r="1904">
      <c r="A1904" s="17" t="inlineStr">
        <is>
          <t>C305</t>
        </is>
      </c>
      <c r="B1904" s="17" t="inlineStr"/>
      <c r="C1904" s="17" t="inlineStr">
        <is>
          <t>(주)삼영유니텍</t>
        </is>
      </c>
      <c r="D1904" s="17" t="inlineStr"/>
      <c r="E1904" s="17" t="inlineStr">
        <is>
          <t>CMO·CDMO</t>
        </is>
      </c>
      <c r="F1904" s="17" t="inlineStr">
        <is>
          <t>미확인</t>
        </is>
      </c>
      <c r="G1904" s="17" t="inlineStr">
        <is>
          <t>웹조사 자동화 실패(세션한도)</t>
        </is>
      </c>
      <c r="H1904" s="17" t="inlineStr">
        <is>
          <t>N</t>
        </is>
      </c>
      <c r="I1904" s="17" t="inlineStr">
        <is>
          <t>회사 홈페이지</t>
        </is>
      </c>
      <c r="J1904" s="17" t="inlineStr">
        <is>
          <t>회사 홈페이지에서 확인</t>
        </is>
      </c>
      <c r="K1904" s="17" t="inlineStr">
        <is>
          <t>낮음</t>
        </is>
      </c>
      <c r="L1904" s="17" t="inlineStr"/>
    </row>
    <row r="1905">
      <c r="A1905" s="17" t="inlineStr">
        <is>
          <t>C305</t>
        </is>
      </c>
      <c r="B1905" s="17" t="inlineStr"/>
      <c r="C1905" s="17" t="inlineStr">
        <is>
          <t>(주)삼영유니텍</t>
        </is>
      </c>
      <c r="D1905" s="17" t="inlineStr"/>
      <c r="E1905" s="17" t="inlineStr">
        <is>
          <t>신공장·증설</t>
        </is>
      </c>
      <c r="F1905" s="17" t="inlineStr">
        <is>
          <t>미확인</t>
        </is>
      </c>
      <c r="G1905" s="17" t="inlineStr">
        <is>
          <t>웹조사 자동화 실패(세션한도)</t>
        </is>
      </c>
      <c r="H1905" s="17" t="inlineStr">
        <is>
          <t>N</t>
        </is>
      </c>
      <c r="I1905" s="17" t="inlineStr">
        <is>
          <t>언론·지자체 발표</t>
        </is>
      </c>
      <c r="J1905" s="17" t="inlineStr">
        <is>
          <t>언론·지자체 발표에서 확인</t>
        </is>
      </c>
      <c r="K1905" s="17" t="inlineStr">
        <is>
          <t>낮음</t>
        </is>
      </c>
      <c r="L1905" s="17" t="inlineStr"/>
    </row>
    <row r="1906">
      <c r="A1906" s="17" t="inlineStr">
        <is>
          <t>C306</t>
        </is>
      </c>
      <c r="B1906" s="17" t="inlineStr"/>
      <c r="C1906" s="17" t="inlineStr">
        <is>
          <t>(주)한서켐</t>
        </is>
      </c>
      <c r="D1906" s="17" t="inlineStr"/>
      <c r="E1906" s="17" t="inlineStr">
        <is>
          <t>최근매출(억원)</t>
        </is>
      </c>
      <c r="F1906" s="17" t="inlineStr">
        <is>
          <t>미확인</t>
        </is>
      </c>
      <c r="G1906" s="17" t="inlineStr">
        <is>
          <t>웹조사 자동화 실패(세션한도)</t>
        </is>
      </c>
      <c r="H1906" s="17" t="inlineStr">
        <is>
          <t>N</t>
        </is>
      </c>
      <c r="I1906" s="17" t="inlineStr">
        <is>
          <t>DART 사업보고서</t>
        </is>
      </c>
      <c r="J1906" s="17" t="inlineStr">
        <is>
          <t>DART 사업보고서에서 확인</t>
        </is>
      </c>
      <c r="K1906" s="17" t="inlineStr">
        <is>
          <t>낮음</t>
        </is>
      </c>
      <c r="L1906" s="17" t="inlineStr"/>
    </row>
    <row r="1907">
      <c r="A1907" s="17" t="inlineStr">
        <is>
          <t>C306</t>
        </is>
      </c>
      <c r="B1907" s="17" t="inlineStr"/>
      <c r="C1907" s="17" t="inlineStr">
        <is>
          <t>(주)한서켐</t>
        </is>
      </c>
      <c r="D1907" s="17" t="inlineStr"/>
      <c r="E1907" s="17" t="inlineStr">
        <is>
          <t>종업원수</t>
        </is>
      </c>
      <c r="F1907" s="17" t="inlineStr">
        <is>
          <t>미확인</t>
        </is>
      </c>
      <c r="G1907" s="17" t="inlineStr">
        <is>
          <t>웹조사 자동화 실패(세션한도)</t>
        </is>
      </c>
      <c r="H1907" s="17" t="inlineStr">
        <is>
          <t>N</t>
        </is>
      </c>
      <c r="I1907" s="17" t="inlineStr">
        <is>
          <t>DART/채용</t>
        </is>
      </c>
      <c r="J1907" s="17" t="inlineStr">
        <is>
          <t>DART/채용에서 확인</t>
        </is>
      </c>
      <c r="K1907" s="17" t="inlineStr">
        <is>
          <t>낮음</t>
        </is>
      </c>
      <c r="L1907" s="17" t="inlineStr"/>
    </row>
    <row r="1908">
      <c r="A1908" s="17" t="inlineStr">
        <is>
          <t>C306</t>
        </is>
      </c>
      <c r="B1908" s="17" t="inlineStr"/>
      <c r="C1908" s="17" t="inlineStr">
        <is>
          <t>(주)한서켐</t>
        </is>
      </c>
      <c r="D1908" s="17" t="inlineStr"/>
      <c r="E1908" s="17" t="inlineStr">
        <is>
          <t>수출여부</t>
        </is>
      </c>
      <c r="F1908" s="17" t="inlineStr">
        <is>
          <t>미확인</t>
        </is>
      </c>
      <c r="G1908" s="17" t="inlineStr">
        <is>
          <t>웹조사 자동화 실패(세션한도)</t>
        </is>
      </c>
      <c r="H1908" s="17" t="inlineStr">
        <is>
          <t>N</t>
        </is>
      </c>
      <c r="I1908" s="17" t="inlineStr">
        <is>
          <t>회사 공시·홈페이지</t>
        </is>
      </c>
      <c r="J1908" s="17" t="inlineStr">
        <is>
          <t>회사 공시·홈페이지에서 확인</t>
        </is>
      </c>
      <c r="K1908" s="17" t="inlineStr">
        <is>
          <t>낮음</t>
        </is>
      </c>
      <c r="L1908" s="17" t="inlineStr"/>
    </row>
    <row r="1909">
      <c r="A1909" s="17" t="inlineStr">
        <is>
          <t>C306</t>
        </is>
      </c>
      <c r="B1909" s="17" t="inlineStr"/>
      <c r="C1909" s="17" t="inlineStr">
        <is>
          <t>(주)한서켐</t>
        </is>
      </c>
      <c r="D1909" s="17" t="inlineStr"/>
      <c r="E1909" s="17" t="inlineStr">
        <is>
          <t>FDA·EMA 실사</t>
        </is>
      </c>
      <c r="F1909" s="17" t="inlineStr">
        <is>
          <t>미확인</t>
        </is>
      </c>
      <c r="G1909" s="17" t="inlineStr">
        <is>
          <t>웹조사 자동화 실패(세션한도)</t>
        </is>
      </c>
      <c r="H1909" s="17" t="inlineStr">
        <is>
          <t>N</t>
        </is>
      </c>
      <c r="I1909" s="17" t="inlineStr">
        <is>
          <t>FDA Inspection DB</t>
        </is>
      </c>
      <c r="J1909" s="17" t="inlineStr">
        <is>
          <t>FDA Inspection DB에서 확인</t>
        </is>
      </c>
      <c r="K1909" s="17" t="inlineStr">
        <is>
          <t>낮음</t>
        </is>
      </c>
      <c r="L1909" s="17" t="inlineStr"/>
    </row>
    <row r="1910">
      <c r="A1910" s="17" t="inlineStr">
        <is>
          <t>C306</t>
        </is>
      </c>
      <c r="B1910" s="17" t="inlineStr"/>
      <c r="C1910" s="17" t="inlineStr">
        <is>
          <t>(주)한서켐</t>
        </is>
      </c>
      <c r="D1910" s="17" t="inlineStr"/>
      <c r="E1910" s="17" t="inlineStr">
        <is>
          <t>CMO·CDMO</t>
        </is>
      </c>
      <c r="F1910" s="17" t="inlineStr">
        <is>
          <t>미확인</t>
        </is>
      </c>
      <c r="G1910" s="17" t="inlineStr">
        <is>
          <t>웹조사 자동화 실패(세션한도)</t>
        </is>
      </c>
      <c r="H1910" s="17" t="inlineStr">
        <is>
          <t>N</t>
        </is>
      </c>
      <c r="I1910" s="17" t="inlineStr">
        <is>
          <t>회사 홈페이지</t>
        </is>
      </c>
      <c r="J1910" s="17" t="inlineStr">
        <is>
          <t>회사 홈페이지에서 확인</t>
        </is>
      </c>
      <c r="K1910" s="17" t="inlineStr">
        <is>
          <t>낮음</t>
        </is>
      </c>
      <c r="L1910" s="17" t="inlineStr"/>
    </row>
    <row r="1911">
      <c r="A1911" s="17" t="inlineStr">
        <is>
          <t>C306</t>
        </is>
      </c>
      <c r="B1911" s="17" t="inlineStr"/>
      <c r="C1911" s="17" t="inlineStr">
        <is>
          <t>(주)한서켐</t>
        </is>
      </c>
      <c r="D1911" s="17" t="inlineStr"/>
      <c r="E1911" s="17" t="inlineStr">
        <is>
          <t>신공장·증설</t>
        </is>
      </c>
      <c r="F1911" s="17" t="inlineStr">
        <is>
          <t>미확인</t>
        </is>
      </c>
      <c r="G1911" s="17" t="inlineStr">
        <is>
          <t>웹조사 자동화 실패(세션한도)</t>
        </is>
      </c>
      <c r="H1911" s="17" t="inlineStr">
        <is>
          <t>N</t>
        </is>
      </c>
      <c r="I1911" s="17" t="inlineStr">
        <is>
          <t>언론·지자체 발표</t>
        </is>
      </c>
      <c r="J1911" s="17" t="inlineStr">
        <is>
          <t>언론·지자체 발표에서 확인</t>
        </is>
      </c>
      <c r="K1911" s="17" t="inlineStr">
        <is>
          <t>낮음</t>
        </is>
      </c>
      <c r="L1911" s="17" t="inlineStr"/>
    </row>
    <row r="1912">
      <c r="A1912" s="17" t="inlineStr">
        <is>
          <t>C307</t>
        </is>
      </c>
      <c r="B1912" s="17" t="inlineStr"/>
      <c r="C1912" s="17" t="inlineStr">
        <is>
          <t>구미제약(주)</t>
        </is>
      </c>
      <c r="D1912" s="17" t="inlineStr"/>
      <c r="E1912" s="17" t="inlineStr">
        <is>
          <t>최근매출(억원)</t>
        </is>
      </c>
      <c r="F1912" s="17" t="inlineStr">
        <is>
          <t>미확인</t>
        </is>
      </c>
      <c r="G1912" s="17" t="inlineStr">
        <is>
          <t>웹조사 자동화 실패(세션한도)</t>
        </is>
      </c>
      <c r="H1912" s="17" t="inlineStr">
        <is>
          <t>N</t>
        </is>
      </c>
      <c r="I1912" s="17" t="inlineStr">
        <is>
          <t>DART 사업보고서</t>
        </is>
      </c>
      <c r="J1912" s="17" t="inlineStr">
        <is>
          <t>DART 사업보고서에서 확인</t>
        </is>
      </c>
      <c r="K1912" s="17" t="inlineStr">
        <is>
          <t>낮음</t>
        </is>
      </c>
      <c r="L1912" s="17" t="inlineStr"/>
    </row>
    <row r="1913">
      <c r="A1913" s="17" t="inlineStr">
        <is>
          <t>C307</t>
        </is>
      </c>
      <c r="B1913" s="17" t="inlineStr"/>
      <c r="C1913" s="17" t="inlineStr">
        <is>
          <t>구미제약(주)</t>
        </is>
      </c>
      <c r="D1913" s="17" t="inlineStr"/>
      <c r="E1913" s="17" t="inlineStr">
        <is>
          <t>종업원수</t>
        </is>
      </c>
      <c r="F1913" s="17" t="inlineStr">
        <is>
          <t>미확인</t>
        </is>
      </c>
      <c r="G1913" s="17" t="inlineStr">
        <is>
          <t>웹조사 자동화 실패(세션한도)</t>
        </is>
      </c>
      <c r="H1913" s="17" t="inlineStr">
        <is>
          <t>N</t>
        </is>
      </c>
      <c r="I1913" s="17" t="inlineStr">
        <is>
          <t>DART/채용</t>
        </is>
      </c>
      <c r="J1913" s="17" t="inlineStr">
        <is>
          <t>DART/채용에서 확인</t>
        </is>
      </c>
      <c r="K1913" s="17" t="inlineStr">
        <is>
          <t>낮음</t>
        </is>
      </c>
      <c r="L1913" s="17" t="inlineStr"/>
    </row>
    <row r="1914">
      <c r="A1914" s="17" t="inlineStr">
        <is>
          <t>C307</t>
        </is>
      </c>
      <c r="B1914" s="17" t="inlineStr"/>
      <c r="C1914" s="17" t="inlineStr">
        <is>
          <t>구미제약(주)</t>
        </is>
      </c>
      <c r="D1914" s="17" t="inlineStr"/>
      <c r="E1914" s="17" t="inlineStr">
        <is>
          <t>수출여부</t>
        </is>
      </c>
      <c r="F1914" s="17" t="inlineStr">
        <is>
          <t>미확인</t>
        </is>
      </c>
      <c r="G1914" s="17" t="inlineStr">
        <is>
          <t>웹조사 자동화 실패(세션한도)</t>
        </is>
      </c>
      <c r="H1914" s="17" t="inlineStr">
        <is>
          <t>N</t>
        </is>
      </c>
      <c r="I1914" s="17" t="inlineStr">
        <is>
          <t>회사 공시·홈페이지</t>
        </is>
      </c>
      <c r="J1914" s="17" t="inlineStr">
        <is>
          <t>회사 공시·홈페이지에서 확인</t>
        </is>
      </c>
      <c r="K1914" s="17" t="inlineStr">
        <is>
          <t>낮음</t>
        </is>
      </c>
      <c r="L1914" s="17" t="inlineStr"/>
    </row>
    <row r="1915">
      <c r="A1915" s="17" t="inlineStr">
        <is>
          <t>C307</t>
        </is>
      </c>
      <c r="B1915" s="17" t="inlineStr"/>
      <c r="C1915" s="17" t="inlineStr">
        <is>
          <t>구미제약(주)</t>
        </is>
      </c>
      <c r="D1915" s="17" t="inlineStr"/>
      <c r="E1915" s="17" t="inlineStr">
        <is>
          <t>FDA·EMA 실사</t>
        </is>
      </c>
      <c r="F1915" s="17" t="inlineStr">
        <is>
          <t>미확인</t>
        </is>
      </c>
      <c r="G1915" s="17" t="inlineStr">
        <is>
          <t>웹조사 자동화 실패(세션한도)</t>
        </is>
      </c>
      <c r="H1915" s="17" t="inlineStr">
        <is>
          <t>N</t>
        </is>
      </c>
      <c r="I1915" s="17" t="inlineStr">
        <is>
          <t>FDA Inspection DB</t>
        </is>
      </c>
      <c r="J1915" s="17" t="inlineStr">
        <is>
          <t>FDA Inspection DB에서 확인</t>
        </is>
      </c>
      <c r="K1915" s="17" t="inlineStr">
        <is>
          <t>낮음</t>
        </is>
      </c>
      <c r="L1915" s="17" t="inlineStr"/>
    </row>
    <row r="1916">
      <c r="A1916" s="17" t="inlineStr">
        <is>
          <t>C307</t>
        </is>
      </c>
      <c r="B1916" s="17" t="inlineStr"/>
      <c r="C1916" s="17" t="inlineStr">
        <is>
          <t>구미제약(주)</t>
        </is>
      </c>
      <c r="D1916" s="17" t="inlineStr"/>
      <c r="E1916" s="17" t="inlineStr">
        <is>
          <t>CMO·CDMO</t>
        </is>
      </c>
      <c r="F1916" s="17" t="inlineStr">
        <is>
          <t>미확인</t>
        </is>
      </c>
      <c r="G1916" s="17" t="inlineStr">
        <is>
          <t>웹조사 자동화 실패(세션한도)</t>
        </is>
      </c>
      <c r="H1916" s="17" t="inlineStr">
        <is>
          <t>N</t>
        </is>
      </c>
      <c r="I1916" s="17" t="inlineStr">
        <is>
          <t>회사 홈페이지</t>
        </is>
      </c>
      <c r="J1916" s="17" t="inlineStr">
        <is>
          <t>회사 홈페이지에서 확인</t>
        </is>
      </c>
      <c r="K1916" s="17" t="inlineStr">
        <is>
          <t>낮음</t>
        </is>
      </c>
      <c r="L1916" s="17" t="inlineStr"/>
    </row>
    <row r="1917">
      <c r="A1917" s="17" t="inlineStr">
        <is>
          <t>C307</t>
        </is>
      </c>
      <c r="B1917" s="17" t="inlineStr"/>
      <c r="C1917" s="17" t="inlineStr">
        <is>
          <t>구미제약(주)</t>
        </is>
      </c>
      <c r="D1917" s="17" t="inlineStr"/>
      <c r="E1917" s="17" t="inlineStr">
        <is>
          <t>신공장·증설</t>
        </is>
      </c>
      <c r="F1917" s="17" t="inlineStr">
        <is>
          <t>미확인</t>
        </is>
      </c>
      <c r="G1917" s="17" t="inlineStr">
        <is>
          <t>웹조사 자동화 실패(세션한도)</t>
        </is>
      </c>
      <c r="H1917" s="17" t="inlineStr">
        <is>
          <t>N</t>
        </is>
      </c>
      <c r="I1917" s="17" t="inlineStr">
        <is>
          <t>언론·지자체 발표</t>
        </is>
      </c>
      <c r="J1917" s="17" t="inlineStr">
        <is>
          <t>언론·지자체 발표에서 확인</t>
        </is>
      </c>
      <c r="K1917" s="17" t="inlineStr">
        <is>
          <t>낮음</t>
        </is>
      </c>
      <c r="L1917" s="17" t="inlineStr"/>
    </row>
    <row r="1918">
      <c r="A1918" s="17" t="inlineStr">
        <is>
          <t>C308</t>
        </is>
      </c>
      <c r="B1918" s="17" t="inlineStr"/>
      <c r="C1918" s="17" t="inlineStr">
        <is>
          <t>(주)삼오제약</t>
        </is>
      </c>
      <c r="D1918" s="17" t="inlineStr"/>
      <c r="E1918" s="17" t="inlineStr">
        <is>
          <t>최근매출(억원)</t>
        </is>
      </c>
      <c r="F1918" s="17" t="inlineStr">
        <is>
          <t>미확인</t>
        </is>
      </c>
      <c r="G1918" s="17" t="inlineStr">
        <is>
          <t>웹조사 자동화 실패(세션한도)</t>
        </is>
      </c>
      <c r="H1918" s="17" t="inlineStr">
        <is>
          <t>N</t>
        </is>
      </c>
      <c r="I1918" s="17" t="inlineStr">
        <is>
          <t>DART 사업보고서</t>
        </is>
      </c>
      <c r="J1918" s="17" t="inlineStr">
        <is>
          <t>DART 사업보고서에서 확인</t>
        </is>
      </c>
      <c r="K1918" s="17" t="inlineStr">
        <is>
          <t>낮음</t>
        </is>
      </c>
      <c r="L1918" s="17" t="inlineStr"/>
    </row>
    <row r="1919">
      <c r="A1919" s="17" t="inlineStr">
        <is>
          <t>C308</t>
        </is>
      </c>
      <c r="B1919" s="17" t="inlineStr"/>
      <c r="C1919" s="17" t="inlineStr">
        <is>
          <t>(주)삼오제약</t>
        </is>
      </c>
      <c r="D1919" s="17" t="inlineStr"/>
      <c r="E1919" s="17" t="inlineStr">
        <is>
          <t>종업원수</t>
        </is>
      </c>
      <c r="F1919" s="17" t="inlineStr">
        <is>
          <t>미확인</t>
        </is>
      </c>
      <c r="G1919" s="17" t="inlineStr">
        <is>
          <t>웹조사 자동화 실패(세션한도)</t>
        </is>
      </c>
      <c r="H1919" s="17" t="inlineStr">
        <is>
          <t>N</t>
        </is>
      </c>
      <c r="I1919" s="17" t="inlineStr">
        <is>
          <t>DART/채용</t>
        </is>
      </c>
      <c r="J1919" s="17" t="inlineStr">
        <is>
          <t>DART/채용에서 확인</t>
        </is>
      </c>
      <c r="K1919" s="17" t="inlineStr">
        <is>
          <t>낮음</t>
        </is>
      </c>
      <c r="L1919" s="17" t="inlineStr"/>
    </row>
    <row r="1920">
      <c r="A1920" s="17" t="inlineStr">
        <is>
          <t>C308</t>
        </is>
      </c>
      <c r="B1920" s="17" t="inlineStr"/>
      <c r="C1920" s="17" t="inlineStr">
        <is>
          <t>(주)삼오제약</t>
        </is>
      </c>
      <c r="D1920" s="17" t="inlineStr"/>
      <c r="E1920" s="17" t="inlineStr">
        <is>
          <t>수출여부</t>
        </is>
      </c>
      <c r="F1920" s="17" t="inlineStr">
        <is>
          <t>미확인</t>
        </is>
      </c>
      <c r="G1920" s="17" t="inlineStr">
        <is>
          <t>웹조사 자동화 실패(세션한도)</t>
        </is>
      </c>
      <c r="H1920" s="17" t="inlineStr">
        <is>
          <t>N</t>
        </is>
      </c>
      <c r="I1920" s="17" t="inlineStr">
        <is>
          <t>회사 공시·홈페이지</t>
        </is>
      </c>
      <c r="J1920" s="17" t="inlineStr">
        <is>
          <t>회사 공시·홈페이지에서 확인</t>
        </is>
      </c>
      <c r="K1920" s="17" t="inlineStr">
        <is>
          <t>낮음</t>
        </is>
      </c>
      <c r="L1920" s="17" t="inlineStr"/>
    </row>
    <row r="1921">
      <c r="A1921" s="17" t="inlineStr">
        <is>
          <t>C308</t>
        </is>
      </c>
      <c r="B1921" s="17" t="inlineStr"/>
      <c r="C1921" s="17" t="inlineStr">
        <is>
          <t>(주)삼오제약</t>
        </is>
      </c>
      <c r="D1921" s="17" t="inlineStr"/>
      <c r="E1921" s="17" t="inlineStr">
        <is>
          <t>FDA·EMA 실사</t>
        </is>
      </c>
      <c r="F1921" s="17" t="inlineStr">
        <is>
          <t>미확인</t>
        </is>
      </c>
      <c r="G1921" s="17" t="inlineStr">
        <is>
          <t>웹조사 자동화 실패(세션한도)</t>
        </is>
      </c>
      <c r="H1921" s="17" t="inlineStr">
        <is>
          <t>N</t>
        </is>
      </c>
      <c r="I1921" s="17" t="inlineStr">
        <is>
          <t>FDA Inspection DB</t>
        </is>
      </c>
      <c r="J1921" s="17" t="inlineStr">
        <is>
          <t>FDA Inspection DB에서 확인</t>
        </is>
      </c>
      <c r="K1921" s="17" t="inlineStr">
        <is>
          <t>낮음</t>
        </is>
      </c>
      <c r="L1921" s="17" t="inlineStr"/>
    </row>
    <row r="1922">
      <c r="A1922" s="17" t="inlineStr">
        <is>
          <t>C308</t>
        </is>
      </c>
      <c r="B1922" s="17" t="inlineStr"/>
      <c r="C1922" s="17" t="inlineStr">
        <is>
          <t>(주)삼오제약</t>
        </is>
      </c>
      <c r="D1922" s="17" t="inlineStr"/>
      <c r="E1922" s="17" t="inlineStr">
        <is>
          <t>CMO·CDMO</t>
        </is>
      </c>
      <c r="F1922" s="17" t="inlineStr">
        <is>
          <t>미확인</t>
        </is>
      </c>
      <c r="G1922" s="17" t="inlineStr">
        <is>
          <t>웹조사 자동화 실패(세션한도)</t>
        </is>
      </c>
      <c r="H1922" s="17" t="inlineStr">
        <is>
          <t>N</t>
        </is>
      </c>
      <c r="I1922" s="17" t="inlineStr">
        <is>
          <t>회사 홈페이지</t>
        </is>
      </c>
      <c r="J1922" s="17" t="inlineStr">
        <is>
          <t>회사 홈페이지에서 확인</t>
        </is>
      </c>
      <c r="K1922" s="17" t="inlineStr">
        <is>
          <t>낮음</t>
        </is>
      </c>
      <c r="L1922" s="17" t="inlineStr"/>
    </row>
    <row r="1923">
      <c r="A1923" s="17" t="inlineStr">
        <is>
          <t>C308</t>
        </is>
      </c>
      <c r="B1923" s="17" t="inlineStr"/>
      <c r="C1923" s="17" t="inlineStr">
        <is>
          <t>(주)삼오제약</t>
        </is>
      </c>
      <c r="D1923" s="17" t="inlineStr"/>
      <c r="E1923" s="17" t="inlineStr">
        <is>
          <t>신공장·증설</t>
        </is>
      </c>
      <c r="F1923" s="17" t="inlineStr">
        <is>
          <t>미확인</t>
        </is>
      </c>
      <c r="G1923" s="17" t="inlineStr">
        <is>
          <t>웹조사 자동화 실패(세션한도)</t>
        </is>
      </c>
      <c r="H1923" s="17" t="inlineStr">
        <is>
          <t>N</t>
        </is>
      </c>
      <c r="I1923" s="17" t="inlineStr">
        <is>
          <t>언론·지자체 발표</t>
        </is>
      </c>
      <c r="J1923" s="17" t="inlineStr">
        <is>
          <t>언론·지자체 발표에서 확인</t>
        </is>
      </c>
      <c r="K1923" s="17" t="inlineStr">
        <is>
          <t>낮음</t>
        </is>
      </c>
      <c r="L1923" s="17" t="inlineStr"/>
    </row>
    <row r="1924">
      <c r="A1924" s="17" t="inlineStr">
        <is>
          <t>C309</t>
        </is>
      </c>
      <c r="B1924" s="17" t="inlineStr"/>
      <c r="C1924" s="17" t="inlineStr">
        <is>
          <t>주식회사 제론셀베인</t>
        </is>
      </c>
      <c r="D1924" s="17" t="inlineStr"/>
      <c r="E1924" s="17" t="inlineStr">
        <is>
          <t>최근매출(억원)</t>
        </is>
      </c>
      <c r="F1924" s="17" t="inlineStr">
        <is>
          <t>미확인</t>
        </is>
      </c>
      <c r="G1924" s="17" t="inlineStr">
        <is>
          <t>웹조사 자동화 실패(세션한도)</t>
        </is>
      </c>
      <c r="H1924" s="17" t="inlineStr">
        <is>
          <t>N</t>
        </is>
      </c>
      <c r="I1924" s="17" t="inlineStr">
        <is>
          <t>DART 사업보고서</t>
        </is>
      </c>
      <c r="J1924" s="17" t="inlineStr">
        <is>
          <t>DART 사업보고서에서 확인</t>
        </is>
      </c>
      <c r="K1924" s="17" t="inlineStr">
        <is>
          <t>낮음</t>
        </is>
      </c>
      <c r="L1924" s="17" t="inlineStr"/>
    </row>
    <row r="1925">
      <c r="A1925" s="17" t="inlineStr">
        <is>
          <t>C309</t>
        </is>
      </c>
      <c r="B1925" s="17" t="inlineStr"/>
      <c r="C1925" s="17" t="inlineStr">
        <is>
          <t>주식회사 제론셀베인</t>
        </is>
      </c>
      <c r="D1925" s="17" t="inlineStr"/>
      <c r="E1925" s="17" t="inlineStr">
        <is>
          <t>종업원수</t>
        </is>
      </c>
      <c r="F1925" s="17" t="inlineStr">
        <is>
          <t>미확인</t>
        </is>
      </c>
      <c r="G1925" s="17" t="inlineStr">
        <is>
          <t>웹조사 자동화 실패(세션한도)</t>
        </is>
      </c>
      <c r="H1925" s="17" t="inlineStr">
        <is>
          <t>N</t>
        </is>
      </c>
      <c r="I1925" s="17" t="inlineStr">
        <is>
          <t>DART/채용</t>
        </is>
      </c>
      <c r="J1925" s="17" t="inlineStr">
        <is>
          <t>DART/채용에서 확인</t>
        </is>
      </c>
      <c r="K1925" s="17" t="inlineStr">
        <is>
          <t>낮음</t>
        </is>
      </c>
      <c r="L1925" s="17" t="inlineStr"/>
    </row>
    <row r="1926">
      <c r="A1926" s="17" t="inlineStr">
        <is>
          <t>C309</t>
        </is>
      </c>
      <c r="B1926" s="17" t="inlineStr"/>
      <c r="C1926" s="17" t="inlineStr">
        <is>
          <t>주식회사 제론셀베인</t>
        </is>
      </c>
      <c r="D1926" s="17" t="inlineStr"/>
      <c r="E1926" s="17" t="inlineStr">
        <is>
          <t>수출여부</t>
        </is>
      </c>
      <c r="F1926" s="17" t="inlineStr">
        <is>
          <t>미확인</t>
        </is>
      </c>
      <c r="G1926" s="17" t="inlineStr">
        <is>
          <t>웹조사 자동화 실패(세션한도)</t>
        </is>
      </c>
      <c r="H1926" s="17" t="inlineStr">
        <is>
          <t>N</t>
        </is>
      </c>
      <c r="I1926" s="17" t="inlineStr">
        <is>
          <t>회사 공시·홈페이지</t>
        </is>
      </c>
      <c r="J1926" s="17" t="inlineStr">
        <is>
          <t>회사 공시·홈페이지에서 확인</t>
        </is>
      </c>
      <c r="K1926" s="17" t="inlineStr">
        <is>
          <t>낮음</t>
        </is>
      </c>
      <c r="L1926" s="17" t="inlineStr"/>
    </row>
    <row r="1927">
      <c r="A1927" s="17" t="inlineStr">
        <is>
          <t>C309</t>
        </is>
      </c>
      <c r="B1927" s="17" t="inlineStr"/>
      <c r="C1927" s="17" t="inlineStr">
        <is>
          <t>주식회사 제론셀베인</t>
        </is>
      </c>
      <c r="D1927" s="17" t="inlineStr"/>
      <c r="E1927" s="17" t="inlineStr">
        <is>
          <t>FDA·EMA 실사</t>
        </is>
      </c>
      <c r="F1927" s="17" t="inlineStr">
        <is>
          <t>미확인</t>
        </is>
      </c>
      <c r="G1927" s="17" t="inlineStr">
        <is>
          <t>웹조사 자동화 실패(세션한도)</t>
        </is>
      </c>
      <c r="H1927" s="17" t="inlineStr">
        <is>
          <t>N</t>
        </is>
      </c>
      <c r="I1927" s="17" t="inlineStr">
        <is>
          <t>FDA Inspection DB</t>
        </is>
      </c>
      <c r="J1927" s="17" t="inlineStr">
        <is>
          <t>FDA Inspection DB에서 확인</t>
        </is>
      </c>
      <c r="K1927" s="17" t="inlineStr">
        <is>
          <t>낮음</t>
        </is>
      </c>
      <c r="L1927" s="17" t="inlineStr"/>
    </row>
    <row r="1928">
      <c r="A1928" s="17" t="inlineStr">
        <is>
          <t>C309</t>
        </is>
      </c>
      <c r="B1928" s="17" t="inlineStr"/>
      <c r="C1928" s="17" t="inlineStr">
        <is>
          <t>주식회사 제론셀베인</t>
        </is>
      </c>
      <c r="D1928" s="17" t="inlineStr"/>
      <c r="E1928" s="17" t="inlineStr">
        <is>
          <t>CMO·CDMO</t>
        </is>
      </c>
      <c r="F1928" s="17" t="inlineStr">
        <is>
          <t>미확인</t>
        </is>
      </c>
      <c r="G1928" s="17" t="inlineStr">
        <is>
          <t>웹조사 자동화 실패(세션한도)</t>
        </is>
      </c>
      <c r="H1928" s="17" t="inlineStr">
        <is>
          <t>N</t>
        </is>
      </c>
      <c r="I1928" s="17" t="inlineStr">
        <is>
          <t>회사 홈페이지</t>
        </is>
      </c>
      <c r="J1928" s="17" t="inlineStr">
        <is>
          <t>회사 홈페이지에서 확인</t>
        </is>
      </c>
      <c r="K1928" s="17" t="inlineStr">
        <is>
          <t>낮음</t>
        </is>
      </c>
      <c r="L1928" s="17" t="inlineStr"/>
    </row>
    <row r="1929">
      <c r="A1929" s="17" t="inlineStr">
        <is>
          <t>C309</t>
        </is>
      </c>
      <c r="B1929" s="17" t="inlineStr"/>
      <c r="C1929" s="17" t="inlineStr">
        <is>
          <t>주식회사 제론셀베인</t>
        </is>
      </c>
      <c r="D1929" s="17" t="inlineStr"/>
      <c r="E1929" s="17" t="inlineStr">
        <is>
          <t>신공장·증설</t>
        </is>
      </c>
      <c r="F1929" s="17" t="inlineStr">
        <is>
          <t>미확인</t>
        </is>
      </c>
      <c r="G1929" s="17" t="inlineStr">
        <is>
          <t>웹조사 자동화 실패(세션한도)</t>
        </is>
      </c>
      <c r="H1929" s="17" t="inlineStr">
        <is>
          <t>N</t>
        </is>
      </c>
      <c r="I1929" s="17" t="inlineStr">
        <is>
          <t>언론·지자체 발표</t>
        </is>
      </c>
      <c r="J1929" s="17" t="inlineStr">
        <is>
          <t>언론·지자체 발표에서 확인</t>
        </is>
      </c>
      <c r="K1929" s="17" t="inlineStr">
        <is>
          <t>낮음</t>
        </is>
      </c>
      <c r="L1929" s="17" t="inlineStr"/>
    </row>
    <row r="1930">
      <c r="A1930" s="17" t="inlineStr">
        <is>
          <t>C310</t>
        </is>
      </c>
      <c r="B1930" s="17" t="inlineStr"/>
      <c r="C1930" s="17" t="inlineStr">
        <is>
          <t>단일에이피(주)</t>
        </is>
      </c>
      <c r="D1930" s="17" t="inlineStr"/>
      <c r="E1930" s="17" t="inlineStr">
        <is>
          <t>최근매출(억원)</t>
        </is>
      </c>
      <c r="F1930" s="17" t="inlineStr">
        <is>
          <t>미확인</t>
        </is>
      </c>
      <c r="G1930" s="17" t="inlineStr">
        <is>
          <t>웹조사 자동화 실패(세션한도)</t>
        </is>
      </c>
      <c r="H1930" s="17" t="inlineStr">
        <is>
          <t>N</t>
        </is>
      </c>
      <c r="I1930" s="17" t="inlineStr">
        <is>
          <t>DART 사업보고서</t>
        </is>
      </c>
      <c r="J1930" s="17" t="inlineStr">
        <is>
          <t>DART 사업보고서에서 확인</t>
        </is>
      </c>
      <c r="K1930" s="17" t="inlineStr">
        <is>
          <t>낮음</t>
        </is>
      </c>
      <c r="L1930" s="17" t="inlineStr"/>
    </row>
    <row r="1931">
      <c r="A1931" s="17" t="inlineStr">
        <is>
          <t>C310</t>
        </is>
      </c>
      <c r="B1931" s="17" t="inlineStr"/>
      <c r="C1931" s="17" t="inlineStr">
        <is>
          <t>단일에이피(주)</t>
        </is>
      </c>
      <c r="D1931" s="17" t="inlineStr"/>
      <c r="E1931" s="17" t="inlineStr">
        <is>
          <t>종업원수</t>
        </is>
      </c>
      <c r="F1931" s="17" t="inlineStr">
        <is>
          <t>미확인</t>
        </is>
      </c>
      <c r="G1931" s="17" t="inlineStr">
        <is>
          <t>웹조사 자동화 실패(세션한도)</t>
        </is>
      </c>
      <c r="H1931" s="17" t="inlineStr">
        <is>
          <t>N</t>
        </is>
      </c>
      <c r="I1931" s="17" t="inlineStr">
        <is>
          <t>DART/채용</t>
        </is>
      </c>
      <c r="J1931" s="17" t="inlineStr">
        <is>
          <t>DART/채용에서 확인</t>
        </is>
      </c>
      <c r="K1931" s="17" t="inlineStr">
        <is>
          <t>낮음</t>
        </is>
      </c>
      <c r="L1931" s="17" t="inlineStr"/>
    </row>
    <row r="1932">
      <c r="A1932" s="17" t="inlineStr">
        <is>
          <t>C310</t>
        </is>
      </c>
      <c r="B1932" s="17" t="inlineStr"/>
      <c r="C1932" s="17" t="inlineStr">
        <is>
          <t>단일에이피(주)</t>
        </is>
      </c>
      <c r="D1932" s="17" t="inlineStr"/>
      <c r="E1932" s="17" t="inlineStr">
        <is>
          <t>수출여부</t>
        </is>
      </c>
      <c r="F1932" s="17" t="inlineStr">
        <is>
          <t>미확인</t>
        </is>
      </c>
      <c r="G1932" s="17" t="inlineStr">
        <is>
          <t>웹조사 자동화 실패(세션한도)</t>
        </is>
      </c>
      <c r="H1932" s="17" t="inlineStr">
        <is>
          <t>N</t>
        </is>
      </c>
      <c r="I1932" s="17" t="inlineStr">
        <is>
          <t>회사 공시·홈페이지</t>
        </is>
      </c>
      <c r="J1932" s="17" t="inlineStr">
        <is>
          <t>회사 공시·홈페이지에서 확인</t>
        </is>
      </c>
      <c r="K1932" s="17" t="inlineStr">
        <is>
          <t>낮음</t>
        </is>
      </c>
      <c r="L1932" s="17" t="inlineStr"/>
    </row>
    <row r="1933">
      <c r="A1933" s="17" t="inlineStr">
        <is>
          <t>C310</t>
        </is>
      </c>
      <c r="B1933" s="17" t="inlineStr"/>
      <c r="C1933" s="17" t="inlineStr">
        <is>
          <t>단일에이피(주)</t>
        </is>
      </c>
      <c r="D1933" s="17" t="inlineStr"/>
      <c r="E1933" s="17" t="inlineStr">
        <is>
          <t>FDA·EMA 실사</t>
        </is>
      </c>
      <c r="F1933" s="17" t="inlineStr">
        <is>
          <t>미확인</t>
        </is>
      </c>
      <c r="G1933" s="17" t="inlineStr">
        <is>
          <t>웹조사 자동화 실패(세션한도)</t>
        </is>
      </c>
      <c r="H1933" s="17" t="inlineStr">
        <is>
          <t>N</t>
        </is>
      </c>
      <c r="I1933" s="17" t="inlineStr">
        <is>
          <t>FDA Inspection DB</t>
        </is>
      </c>
      <c r="J1933" s="17" t="inlineStr">
        <is>
          <t>FDA Inspection DB에서 확인</t>
        </is>
      </c>
      <c r="K1933" s="17" t="inlineStr">
        <is>
          <t>낮음</t>
        </is>
      </c>
      <c r="L1933" s="17" t="inlineStr"/>
    </row>
    <row r="1934">
      <c r="A1934" s="17" t="inlineStr">
        <is>
          <t>C310</t>
        </is>
      </c>
      <c r="B1934" s="17" t="inlineStr"/>
      <c r="C1934" s="17" t="inlineStr">
        <is>
          <t>단일에이피(주)</t>
        </is>
      </c>
      <c r="D1934" s="17" t="inlineStr"/>
      <c r="E1934" s="17" t="inlineStr">
        <is>
          <t>CMO·CDMO</t>
        </is>
      </c>
      <c r="F1934" s="17" t="inlineStr">
        <is>
          <t>미확인</t>
        </is>
      </c>
      <c r="G1934" s="17" t="inlineStr">
        <is>
          <t>웹조사 자동화 실패(세션한도)</t>
        </is>
      </c>
      <c r="H1934" s="17" t="inlineStr">
        <is>
          <t>N</t>
        </is>
      </c>
      <c r="I1934" s="17" t="inlineStr">
        <is>
          <t>회사 홈페이지</t>
        </is>
      </c>
      <c r="J1934" s="17" t="inlineStr">
        <is>
          <t>회사 홈페이지에서 확인</t>
        </is>
      </c>
      <c r="K1934" s="17" t="inlineStr">
        <is>
          <t>낮음</t>
        </is>
      </c>
      <c r="L1934" s="17" t="inlineStr"/>
    </row>
    <row r="1935">
      <c r="A1935" s="17" t="inlineStr">
        <is>
          <t>C310</t>
        </is>
      </c>
      <c r="B1935" s="17" t="inlineStr"/>
      <c r="C1935" s="17" t="inlineStr">
        <is>
          <t>단일에이피(주)</t>
        </is>
      </c>
      <c r="D1935" s="17" t="inlineStr"/>
      <c r="E1935" s="17" t="inlineStr">
        <is>
          <t>신공장·증설</t>
        </is>
      </c>
      <c r="F1935" s="17" t="inlineStr">
        <is>
          <t>미확인</t>
        </is>
      </c>
      <c r="G1935" s="17" t="inlineStr">
        <is>
          <t>웹조사 자동화 실패(세션한도)</t>
        </is>
      </c>
      <c r="H1935" s="17" t="inlineStr">
        <is>
          <t>N</t>
        </is>
      </c>
      <c r="I1935" s="17" t="inlineStr">
        <is>
          <t>언론·지자체 발표</t>
        </is>
      </c>
      <c r="J1935" s="17" t="inlineStr">
        <is>
          <t>언론·지자체 발표에서 확인</t>
        </is>
      </c>
      <c r="K1935" s="17" t="inlineStr">
        <is>
          <t>낮음</t>
        </is>
      </c>
      <c r="L1935" s="17" t="inlineStr"/>
    </row>
    <row r="1936">
      <c r="A1936" s="17" t="inlineStr">
        <is>
          <t>C311</t>
        </is>
      </c>
      <c r="B1936" s="17" t="inlineStr"/>
      <c r="C1936" s="17" t="inlineStr">
        <is>
          <t>(주)동인화학</t>
        </is>
      </c>
      <c r="D1936" s="17" t="inlineStr"/>
      <c r="E1936" s="17" t="inlineStr">
        <is>
          <t>최근매출(억원)</t>
        </is>
      </c>
      <c r="F1936" s="17" t="inlineStr">
        <is>
          <t>미확인</t>
        </is>
      </c>
      <c r="G1936" s="17" t="inlineStr">
        <is>
          <t>웹조사 자동화 실패(세션한도)</t>
        </is>
      </c>
      <c r="H1936" s="17" t="inlineStr">
        <is>
          <t>N</t>
        </is>
      </c>
      <c r="I1936" s="17" t="inlineStr">
        <is>
          <t>DART 사업보고서</t>
        </is>
      </c>
      <c r="J1936" s="17" t="inlineStr">
        <is>
          <t>DART 사업보고서에서 확인</t>
        </is>
      </c>
      <c r="K1936" s="17" t="inlineStr">
        <is>
          <t>낮음</t>
        </is>
      </c>
      <c r="L1936" s="17" t="inlineStr"/>
    </row>
    <row r="1937">
      <c r="A1937" s="17" t="inlineStr">
        <is>
          <t>C311</t>
        </is>
      </c>
      <c r="B1937" s="17" t="inlineStr"/>
      <c r="C1937" s="17" t="inlineStr">
        <is>
          <t>(주)동인화학</t>
        </is>
      </c>
      <c r="D1937" s="17" t="inlineStr"/>
      <c r="E1937" s="17" t="inlineStr">
        <is>
          <t>종업원수</t>
        </is>
      </c>
      <c r="F1937" s="17" t="inlineStr">
        <is>
          <t>미확인</t>
        </is>
      </c>
      <c r="G1937" s="17" t="inlineStr">
        <is>
          <t>웹조사 자동화 실패(세션한도)</t>
        </is>
      </c>
      <c r="H1937" s="17" t="inlineStr">
        <is>
          <t>N</t>
        </is>
      </c>
      <c r="I1937" s="17" t="inlineStr">
        <is>
          <t>DART/채용</t>
        </is>
      </c>
      <c r="J1937" s="17" t="inlineStr">
        <is>
          <t>DART/채용에서 확인</t>
        </is>
      </c>
      <c r="K1937" s="17" t="inlineStr">
        <is>
          <t>낮음</t>
        </is>
      </c>
      <c r="L1937" s="17" t="inlineStr"/>
    </row>
    <row r="1938">
      <c r="A1938" s="17" t="inlineStr">
        <is>
          <t>C311</t>
        </is>
      </c>
      <c r="B1938" s="17" t="inlineStr"/>
      <c r="C1938" s="17" t="inlineStr">
        <is>
          <t>(주)동인화학</t>
        </is>
      </c>
      <c r="D1938" s="17" t="inlineStr"/>
      <c r="E1938" s="17" t="inlineStr">
        <is>
          <t>수출여부</t>
        </is>
      </c>
      <c r="F1938" s="17" t="inlineStr">
        <is>
          <t>미확인</t>
        </is>
      </c>
      <c r="G1938" s="17" t="inlineStr">
        <is>
          <t>웹조사 자동화 실패(세션한도)</t>
        </is>
      </c>
      <c r="H1938" s="17" t="inlineStr">
        <is>
          <t>N</t>
        </is>
      </c>
      <c r="I1938" s="17" t="inlineStr">
        <is>
          <t>회사 공시·홈페이지</t>
        </is>
      </c>
      <c r="J1938" s="17" t="inlineStr">
        <is>
          <t>회사 공시·홈페이지에서 확인</t>
        </is>
      </c>
      <c r="K1938" s="17" t="inlineStr">
        <is>
          <t>낮음</t>
        </is>
      </c>
      <c r="L1938" s="17" t="inlineStr"/>
    </row>
    <row r="1939">
      <c r="A1939" s="17" t="inlineStr">
        <is>
          <t>C311</t>
        </is>
      </c>
      <c r="B1939" s="17" t="inlineStr"/>
      <c r="C1939" s="17" t="inlineStr">
        <is>
          <t>(주)동인화학</t>
        </is>
      </c>
      <c r="D1939" s="17" t="inlineStr"/>
      <c r="E1939" s="17" t="inlineStr">
        <is>
          <t>FDA·EMA 실사</t>
        </is>
      </c>
      <c r="F1939" s="17" t="inlineStr">
        <is>
          <t>미확인</t>
        </is>
      </c>
      <c r="G1939" s="17" t="inlineStr">
        <is>
          <t>웹조사 자동화 실패(세션한도)</t>
        </is>
      </c>
      <c r="H1939" s="17" t="inlineStr">
        <is>
          <t>N</t>
        </is>
      </c>
      <c r="I1939" s="17" t="inlineStr">
        <is>
          <t>FDA Inspection DB</t>
        </is>
      </c>
      <c r="J1939" s="17" t="inlineStr">
        <is>
          <t>FDA Inspection DB에서 확인</t>
        </is>
      </c>
      <c r="K1939" s="17" t="inlineStr">
        <is>
          <t>낮음</t>
        </is>
      </c>
      <c r="L1939" s="17" t="inlineStr"/>
    </row>
    <row r="1940">
      <c r="A1940" s="17" t="inlineStr">
        <is>
          <t>C311</t>
        </is>
      </c>
      <c r="B1940" s="17" t="inlineStr"/>
      <c r="C1940" s="17" t="inlineStr">
        <is>
          <t>(주)동인화학</t>
        </is>
      </c>
      <c r="D1940" s="17" t="inlineStr"/>
      <c r="E1940" s="17" t="inlineStr">
        <is>
          <t>CMO·CDMO</t>
        </is>
      </c>
      <c r="F1940" s="17" t="inlineStr">
        <is>
          <t>미확인</t>
        </is>
      </c>
      <c r="G1940" s="17" t="inlineStr">
        <is>
          <t>웹조사 자동화 실패(세션한도)</t>
        </is>
      </c>
      <c r="H1940" s="17" t="inlineStr">
        <is>
          <t>N</t>
        </is>
      </c>
      <c r="I1940" s="17" t="inlineStr">
        <is>
          <t>회사 홈페이지</t>
        </is>
      </c>
      <c r="J1940" s="17" t="inlineStr">
        <is>
          <t>회사 홈페이지에서 확인</t>
        </is>
      </c>
      <c r="K1940" s="17" t="inlineStr">
        <is>
          <t>낮음</t>
        </is>
      </c>
      <c r="L1940" s="17" t="inlineStr"/>
    </row>
    <row r="1941">
      <c r="A1941" s="17" t="inlineStr">
        <is>
          <t>C311</t>
        </is>
      </c>
      <c r="B1941" s="17" t="inlineStr"/>
      <c r="C1941" s="17" t="inlineStr">
        <is>
          <t>(주)동인화학</t>
        </is>
      </c>
      <c r="D1941" s="17" t="inlineStr"/>
      <c r="E1941" s="17" t="inlineStr">
        <is>
          <t>신공장·증설</t>
        </is>
      </c>
      <c r="F1941" s="17" t="inlineStr">
        <is>
          <t>미확인</t>
        </is>
      </c>
      <c r="G1941" s="17" t="inlineStr">
        <is>
          <t>웹조사 자동화 실패(세션한도)</t>
        </is>
      </c>
      <c r="H1941" s="17" t="inlineStr">
        <is>
          <t>N</t>
        </is>
      </c>
      <c r="I1941" s="17" t="inlineStr">
        <is>
          <t>언론·지자체 발표</t>
        </is>
      </c>
      <c r="J1941" s="17" t="inlineStr">
        <is>
          <t>언론·지자체 발표에서 확인</t>
        </is>
      </c>
      <c r="K1941" s="17" t="inlineStr">
        <is>
          <t>낮음</t>
        </is>
      </c>
      <c r="L1941" s="17" t="inlineStr"/>
    </row>
    <row r="1942">
      <c r="A1942" s="17" t="inlineStr">
        <is>
          <t>C312</t>
        </is>
      </c>
      <c r="B1942" s="17" t="inlineStr"/>
      <c r="C1942" s="17" t="inlineStr">
        <is>
          <t>명문제약(주)</t>
        </is>
      </c>
      <c r="D1942" s="17" t="inlineStr"/>
      <c r="E1942" s="17" t="inlineStr">
        <is>
          <t>최근매출(억원)</t>
        </is>
      </c>
      <c r="F1942" s="17" t="inlineStr">
        <is>
          <t>미확인</t>
        </is>
      </c>
      <c r="G1942" s="17" t="inlineStr">
        <is>
          <t>웹조사 자동화 실패(세션한도)</t>
        </is>
      </c>
      <c r="H1942" s="17" t="inlineStr">
        <is>
          <t>N</t>
        </is>
      </c>
      <c r="I1942" s="17" t="inlineStr">
        <is>
          <t>DART 사업보고서</t>
        </is>
      </c>
      <c r="J1942" s="17" t="inlineStr">
        <is>
          <t>DART 사업보고서에서 확인</t>
        </is>
      </c>
      <c r="K1942" s="17" t="inlineStr">
        <is>
          <t>낮음</t>
        </is>
      </c>
      <c r="L1942" s="17" t="inlineStr"/>
    </row>
    <row r="1943">
      <c r="A1943" s="17" t="inlineStr">
        <is>
          <t>C312</t>
        </is>
      </c>
      <c r="B1943" s="17" t="inlineStr"/>
      <c r="C1943" s="17" t="inlineStr">
        <is>
          <t>명문제약(주)</t>
        </is>
      </c>
      <c r="D1943" s="17" t="inlineStr"/>
      <c r="E1943" s="17" t="inlineStr">
        <is>
          <t>종업원수</t>
        </is>
      </c>
      <c r="F1943" s="17" t="inlineStr">
        <is>
          <t>미확인</t>
        </is>
      </c>
      <c r="G1943" s="17" t="inlineStr">
        <is>
          <t>웹조사 자동화 실패(세션한도)</t>
        </is>
      </c>
      <c r="H1943" s="17" t="inlineStr">
        <is>
          <t>N</t>
        </is>
      </c>
      <c r="I1943" s="17" t="inlineStr">
        <is>
          <t>DART/채용</t>
        </is>
      </c>
      <c r="J1943" s="17" t="inlineStr">
        <is>
          <t>DART/채용에서 확인</t>
        </is>
      </c>
      <c r="K1943" s="17" t="inlineStr">
        <is>
          <t>낮음</t>
        </is>
      </c>
      <c r="L1943" s="17" t="inlineStr"/>
    </row>
    <row r="1944">
      <c r="A1944" s="17" t="inlineStr">
        <is>
          <t>C312</t>
        </is>
      </c>
      <c r="B1944" s="17" t="inlineStr"/>
      <c r="C1944" s="17" t="inlineStr">
        <is>
          <t>명문제약(주)</t>
        </is>
      </c>
      <c r="D1944" s="17" t="inlineStr"/>
      <c r="E1944" s="17" t="inlineStr">
        <is>
          <t>수출여부</t>
        </is>
      </c>
      <c r="F1944" s="17" t="inlineStr">
        <is>
          <t>미확인</t>
        </is>
      </c>
      <c r="G1944" s="17" t="inlineStr">
        <is>
          <t>웹조사 자동화 실패(세션한도)</t>
        </is>
      </c>
      <c r="H1944" s="17" t="inlineStr">
        <is>
          <t>N</t>
        </is>
      </c>
      <c r="I1944" s="17" t="inlineStr">
        <is>
          <t>회사 공시·홈페이지</t>
        </is>
      </c>
      <c r="J1944" s="17" t="inlineStr">
        <is>
          <t>회사 공시·홈페이지에서 확인</t>
        </is>
      </c>
      <c r="K1944" s="17" t="inlineStr">
        <is>
          <t>낮음</t>
        </is>
      </c>
      <c r="L1944" s="17" t="inlineStr"/>
    </row>
    <row r="1945">
      <c r="A1945" s="17" t="inlineStr">
        <is>
          <t>C312</t>
        </is>
      </c>
      <c r="B1945" s="17" t="inlineStr"/>
      <c r="C1945" s="17" t="inlineStr">
        <is>
          <t>명문제약(주)</t>
        </is>
      </c>
      <c r="D1945" s="17" t="inlineStr"/>
      <c r="E1945" s="17" t="inlineStr">
        <is>
          <t>FDA·EMA 실사</t>
        </is>
      </c>
      <c r="F1945" s="17" t="inlineStr">
        <is>
          <t>미확인</t>
        </is>
      </c>
      <c r="G1945" s="17" t="inlineStr">
        <is>
          <t>웹조사 자동화 실패(세션한도)</t>
        </is>
      </c>
      <c r="H1945" s="17" t="inlineStr">
        <is>
          <t>N</t>
        </is>
      </c>
      <c r="I1945" s="17" t="inlineStr">
        <is>
          <t>FDA Inspection DB</t>
        </is>
      </c>
      <c r="J1945" s="17" t="inlineStr">
        <is>
          <t>FDA Inspection DB에서 확인</t>
        </is>
      </c>
      <c r="K1945" s="17" t="inlineStr">
        <is>
          <t>낮음</t>
        </is>
      </c>
      <c r="L1945" s="17" t="inlineStr"/>
    </row>
    <row r="1946">
      <c r="A1946" s="17" t="inlineStr">
        <is>
          <t>C312</t>
        </is>
      </c>
      <c r="B1946" s="17" t="inlineStr"/>
      <c r="C1946" s="17" t="inlineStr">
        <is>
          <t>명문제약(주)</t>
        </is>
      </c>
      <c r="D1946" s="17" t="inlineStr"/>
      <c r="E1946" s="17" t="inlineStr">
        <is>
          <t>CMO·CDMO</t>
        </is>
      </c>
      <c r="F1946" s="17" t="inlineStr">
        <is>
          <t>미확인</t>
        </is>
      </c>
      <c r="G1946" s="17" t="inlineStr">
        <is>
          <t>웹조사 자동화 실패(세션한도)</t>
        </is>
      </c>
      <c r="H1946" s="17" t="inlineStr">
        <is>
          <t>N</t>
        </is>
      </c>
      <c r="I1946" s="17" t="inlineStr">
        <is>
          <t>회사 홈페이지</t>
        </is>
      </c>
      <c r="J1946" s="17" t="inlineStr">
        <is>
          <t>회사 홈페이지에서 확인</t>
        </is>
      </c>
      <c r="K1946" s="17" t="inlineStr">
        <is>
          <t>낮음</t>
        </is>
      </c>
      <c r="L1946" s="17" t="inlineStr"/>
    </row>
    <row r="1947">
      <c r="A1947" s="17" t="inlineStr">
        <is>
          <t>C312</t>
        </is>
      </c>
      <c r="B1947" s="17" t="inlineStr"/>
      <c r="C1947" s="17" t="inlineStr">
        <is>
          <t>명문제약(주)</t>
        </is>
      </c>
      <c r="D1947" s="17" t="inlineStr"/>
      <c r="E1947" s="17" t="inlineStr">
        <is>
          <t>신공장·증설</t>
        </is>
      </c>
      <c r="F1947" s="17" t="inlineStr">
        <is>
          <t>미확인</t>
        </is>
      </c>
      <c r="G1947" s="17" t="inlineStr">
        <is>
          <t>웹조사 자동화 실패(세션한도)</t>
        </is>
      </c>
      <c r="H1947" s="17" t="inlineStr">
        <is>
          <t>N</t>
        </is>
      </c>
      <c r="I1947" s="17" t="inlineStr">
        <is>
          <t>언론·지자체 발표</t>
        </is>
      </c>
      <c r="J1947" s="17" t="inlineStr">
        <is>
          <t>언론·지자체 발표에서 확인</t>
        </is>
      </c>
      <c r="K1947" s="17" t="inlineStr">
        <is>
          <t>낮음</t>
        </is>
      </c>
      <c r="L1947" s="17" t="inlineStr"/>
    </row>
    <row r="1948">
      <c r="A1948" s="17" t="inlineStr">
        <is>
          <t>C312</t>
        </is>
      </c>
      <c r="B1948" s="17" t="inlineStr"/>
      <c r="C1948" s="17" t="inlineStr">
        <is>
          <t>명문제약(주)</t>
        </is>
      </c>
      <c r="D1948" s="17" t="inlineStr"/>
      <c r="E1948" s="17" t="inlineStr">
        <is>
          <t>대표전화</t>
        </is>
      </c>
      <c r="F1948" s="17" t="inlineStr">
        <is>
          <t>미확인</t>
        </is>
      </c>
      <c r="G1948" s="17" t="inlineStr">
        <is>
          <t>제조소상세 미매칭</t>
        </is>
      </c>
      <c r="H1948" s="17" t="inlineStr">
        <is>
          <t>Y</t>
        </is>
      </c>
      <c r="I1948" s="17" t="inlineStr">
        <is>
          <t>회사 홈페이지</t>
        </is>
      </c>
      <c r="J1948" s="17" t="inlineStr">
        <is>
          <t>홈페이지에서 대표번호 확인</t>
        </is>
      </c>
      <c r="K1948" s="17" t="inlineStr">
        <is>
          <t>낮음</t>
        </is>
      </c>
      <c r="L1948" s="17" t="inlineStr"/>
    </row>
    <row r="1949">
      <c r="A1949" s="17" t="inlineStr">
        <is>
          <t>C313</t>
        </is>
      </c>
      <c r="B1949" s="17" t="inlineStr"/>
      <c r="C1949" s="17" t="inlineStr">
        <is>
          <t>명문바이오(주)</t>
        </is>
      </c>
      <c r="D1949" s="17" t="inlineStr"/>
      <c r="E1949" s="17" t="inlineStr">
        <is>
          <t>최근매출(억원)</t>
        </is>
      </c>
      <c r="F1949" s="17" t="inlineStr">
        <is>
          <t>미확인</t>
        </is>
      </c>
      <c r="G1949" s="17" t="inlineStr">
        <is>
          <t>웹조사 자동화 실패(세션한도)</t>
        </is>
      </c>
      <c r="H1949" s="17" t="inlineStr">
        <is>
          <t>N</t>
        </is>
      </c>
      <c r="I1949" s="17" t="inlineStr">
        <is>
          <t>DART 사업보고서</t>
        </is>
      </c>
      <c r="J1949" s="17" t="inlineStr">
        <is>
          <t>DART 사업보고서에서 확인</t>
        </is>
      </c>
      <c r="K1949" s="17" t="inlineStr">
        <is>
          <t>낮음</t>
        </is>
      </c>
      <c r="L1949" s="17" t="inlineStr"/>
    </row>
    <row r="1950">
      <c r="A1950" s="17" t="inlineStr">
        <is>
          <t>C313</t>
        </is>
      </c>
      <c r="B1950" s="17" t="inlineStr"/>
      <c r="C1950" s="17" t="inlineStr">
        <is>
          <t>명문바이오(주)</t>
        </is>
      </c>
      <c r="D1950" s="17" t="inlineStr"/>
      <c r="E1950" s="17" t="inlineStr">
        <is>
          <t>종업원수</t>
        </is>
      </c>
      <c r="F1950" s="17" t="inlineStr">
        <is>
          <t>미확인</t>
        </is>
      </c>
      <c r="G1950" s="17" t="inlineStr">
        <is>
          <t>웹조사 자동화 실패(세션한도)</t>
        </is>
      </c>
      <c r="H1950" s="17" t="inlineStr">
        <is>
          <t>N</t>
        </is>
      </c>
      <c r="I1950" s="17" t="inlineStr">
        <is>
          <t>DART/채용</t>
        </is>
      </c>
      <c r="J1950" s="17" t="inlineStr">
        <is>
          <t>DART/채용에서 확인</t>
        </is>
      </c>
      <c r="K1950" s="17" t="inlineStr">
        <is>
          <t>낮음</t>
        </is>
      </c>
      <c r="L1950" s="17" t="inlineStr"/>
    </row>
    <row r="1951">
      <c r="A1951" s="17" t="inlineStr">
        <is>
          <t>C313</t>
        </is>
      </c>
      <c r="B1951" s="17" t="inlineStr"/>
      <c r="C1951" s="17" t="inlineStr">
        <is>
          <t>명문바이오(주)</t>
        </is>
      </c>
      <c r="D1951" s="17" t="inlineStr"/>
      <c r="E1951" s="17" t="inlineStr">
        <is>
          <t>수출여부</t>
        </is>
      </c>
      <c r="F1951" s="17" t="inlineStr">
        <is>
          <t>미확인</t>
        </is>
      </c>
      <c r="G1951" s="17" t="inlineStr">
        <is>
          <t>웹조사 자동화 실패(세션한도)</t>
        </is>
      </c>
      <c r="H1951" s="17" t="inlineStr">
        <is>
          <t>N</t>
        </is>
      </c>
      <c r="I1951" s="17" t="inlineStr">
        <is>
          <t>회사 공시·홈페이지</t>
        </is>
      </c>
      <c r="J1951" s="17" t="inlineStr">
        <is>
          <t>회사 공시·홈페이지에서 확인</t>
        </is>
      </c>
      <c r="K1951" s="17" t="inlineStr">
        <is>
          <t>낮음</t>
        </is>
      </c>
      <c r="L1951" s="17" t="inlineStr"/>
    </row>
    <row r="1952">
      <c r="A1952" s="17" t="inlineStr">
        <is>
          <t>C313</t>
        </is>
      </c>
      <c r="B1952" s="17" t="inlineStr"/>
      <c r="C1952" s="17" t="inlineStr">
        <is>
          <t>명문바이오(주)</t>
        </is>
      </c>
      <c r="D1952" s="17" t="inlineStr"/>
      <c r="E1952" s="17" t="inlineStr">
        <is>
          <t>FDA·EMA 실사</t>
        </is>
      </c>
      <c r="F1952" s="17" t="inlineStr">
        <is>
          <t>미확인</t>
        </is>
      </c>
      <c r="G1952" s="17" t="inlineStr">
        <is>
          <t>웹조사 자동화 실패(세션한도)</t>
        </is>
      </c>
      <c r="H1952" s="17" t="inlineStr">
        <is>
          <t>N</t>
        </is>
      </c>
      <c r="I1952" s="17" t="inlineStr">
        <is>
          <t>FDA Inspection DB</t>
        </is>
      </c>
      <c r="J1952" s="17" t="inlineStr">
        <is>
          <t>FDA Inspection DB에서 확인</t>
        </is>
      </c>
      <c r="K1952" s="17" t="inlineStr">
        <is>
          <t>낮음</t>
        </is>
      </c>
      <c r="L1952" s="17" t="inlineStr"/>
    </row>
    <row r="1953">
      <c r="A1953" s="17" t="inlineStr">
        <is>
          <t>C313</t>
        </is>
      </c>
      <c r="B1953" s="17" t="inlineStr"/>
      <c r="C1953" s="17" t="inlineStr">
        <is>
          <t>명문바이오(주)</t>
        </is>
      </c>
      <c r="D1953" s="17" t="inlineStr"/>
      <c r="E1953" s="17" t="inlineStr">
        <is>
          <t>CMO·CDMO</t>
        </is>
      </c>
      <c r="F1953" s="17" t="inlineStr">
        <is>
          <t>미확인</t>
        </is>
      </c>
      <c r="G1953" s="17" t="inlineStr">
        <is>
          <t>웹조사 자동화 실패(세션한도)</t>
        </is>
      </c>
      <c r="H1953" s="17" t="inlineStr">
        <is>
          <t>N</t>
        </is>
      </c>
      <c r="I1953" s="17" t="inlineStr">
        <is>
          <t>회사 홈페이지</t>
        </is>
      </c>
      <c r="J1953" s="17" t="inlineStr">
        <is>
          <t>회사 홈페이지에서 확인</t>
        </is>
      </c>
      <c r="K1953" s="17" t="inlineStr">
        <is>
          <t>낮음</t>
        </is>
      </c>
      <c r="L1953" s="17" t="inlineStr"/>
    </row>
    <row r="1954">
      <c r="A1954" s="17" t="inlineStr">
        <is>
          <t>C313</t>
        </is>
      </c>
      <c r="B1954" s="17" t="inlineStr"/>
      <c r="C1954" s="17" t="inlineStr">
        <is>
          <t>명문바이오(주)</t>
        </is>
      </c>
      <c r="D1954" s="17" t="inlineStr"/>
      <c r="E1954" s="17" t="inlineStr">
        <is>
          <t>신공장·증설</t>
        </is>
      </c>
      <c r="F1954" s="17" t="inlineStr">
        <is>
          <t>미확인</t>
        </is>
      </c>
      <c r="G1954" s="17" t="inlineStr">
        <is>
          <t>웹조사 자동화 실패(세션한도)</t>
        </is>
      </c>
      <c r="H1954" s="17" t="inlineStr">
        <is>
          <t>N</t>
        </is>
      </c>
      <c r="I1954" s="17" t="inlineStr">
        <is>
          <t>언론·지자체 발표</t>
        </is>
      </c>
      <c r="J1954" s="17" t="inlineStr">
        <is>
          <t>언론·지자체 발표에서 확인</t>
        </is>
      </c>
      <c r="K1954" s="17" t="inlineStr">
        <is>
          <t>낮음</t>
        </is>
      </c>
      <c r="L1954" s="17" t="inlineStr"/>
    </row>
    <row r="1955">
      <c r="A1955" s="17" t="inlineStr">
        <is>
          <t>C313</t>
        </is>
      </c>
      <c r="B1955" s="17" t="inlineStr"/>
      <c r="C1955" s="17" t="inlineStr">
        <is>
          <t>명문바이오(주)</t>
        </is>
      </c>
      <c r="D1955" s="17" t="inlineStr"/>
      <c r="E1955" s="17" t="inlineStr">
        <is>
          <t>대표전화</t>
        </is>
      </c>
      <c r="F1955" s="17" t="inlineStr">
        <is>
          <t>미확인</t>
        </is>
      </c>
      <c r="G1955" s="17" t="inlineStr">
        <is>
          <t>제조소상세 미매칭</t>
        </is>
      </c>
      <c r="H1955" s="17" t="inlineStr">
        <is>
          <t>Y</t>
        </is>
      </c>
      <c r="I1955" s="17" t="inlineStr">
        <is>
          <t>회사 홈페이지</t>
        </is>
      </c>
      <c r="J1955" s="17" t="inlineStr">
        <is>
          <t>홈페이지에서 대표번호 확인</t>
        </is>
      </c>
      <c r="K1955" s="17" t="inlineStr">
        <is>
          <t>낮음</t>
        </is>
      </c>
      <c r="L1955" s="17" t="inlineStr"/>
    </row>
    <row r="1956">
      <c r="A1956" s="17" t="inlineStr">
        <is>
          <t>C314</t>
        </is>
      </c>
      <c r="B1956" s="17" t="inlineStr"/>
      <c r="C1956" s="17" t="inlineStr">
        <is>
          <t>(주)나노팜</t>
        </is>
      </c>
      <c r="D1956" s="17" t="inlineStr"/>
      <c r="E1956" s="17" t="inlineStr">
        <is>
          <t>최근매출(억원)</t>
        </is>
      </c>
      <c r="F1956" s="17" t="inlineStr">
        <is>
          <t>미확인</t>
        </is>
      </c>
      <c r="G1956" s="17" t="inlineStr">
        <is>
          <t>웹조사 자동화 실패(세션한도)</t>
        </is>
      </c>
      <c r="H1956" s="17" t="inlineStr">
        <is>
          <t>N</t>
        </is>
      </c>
      <c r="I1956" s="17" t="inlineStr">
        <is>
          <t>DART 사업보고서</t>
        </is>
      </c>
      <c r="J1956" s="17" t="inlineStr">
        <is>
          <t>DART 사업보고서에서 확인</t>
        </is>
      </c>
      <c r="K1956" s="17" t="inlineStr">
        <is>
          <t>낮음</t>
        </is>
      </c>
      <c r="L1956" s="17" t="inlineStr"/>
    </row>
    <row r="1957">
      <c r="A1957" s="17" t="inlineStr">
        <is>
          <t>C314</t>
        </is>
      </c>
      <c r="B1957" s="17" t="inlineStr"/>
      <c r="C1957" s="17" t="inlineStr">
        <is>
          <t>(주)나노팜</t>
        </is>
      </c>
      <c r="D1957" s="17" t="inlineStr"/>
      <c r="E1957" s="17" t="inlineStr">
        <is>
          <t>종업원수</t>
        </is>
      </c>
      <c r="F1957" s="17" t="inlineStr">
        <is>
          <t>미확인</t>
        </is>
      </c>
      <c r="G1957" s="17" t="inlineStr">
        <is>
          <t>웹조사 자동화 실패(세션한도)</t>
        </is>
      </c>
      <c r="H1957" s="17" t="inlineStr">
        <is>
          <t>N</t>
        </is>
      </c>
      <c r="I1957" s="17" t="inlineStr">
        <is>
          <t>DART/채용</t>
        </is>
      </c>
      <c r="J1957" s="17" t="inlineStr">
        <is>
          <t>DART/채용에서 확인</t>
        </is>
      </c>
      <c r="K1957" s="17" t="inlineStr">
        <is>
          <t>낮음</t>
        </is>
      </c>
      <c r="L1957" s="17" t="inlineStr"/>
    </row>
    <row r="1958">
      <c r="A1958" s="17" t="inlineStr">
        <is>
          <t>C314</t>
        </is>
      </c>
      <c r="B1958" s="17" t="inlineStr"/>
      <c r="C1958" s="17" t="inlineStr">
        <is>
          <t>(주)나노팜</t>
        </is>
      </c>
      <c r="D1958" s="17" t="inlineStr"/>
      <c r="E1958" s="17" t="inlineStr">
        <is>
          <t>수출여부</t>
        </is>
      </c>
      <c r="F1958" s="17" t="inlineStr">
        <is>
          <t>미확인</t>
        </is>
      </c>
      <c r="G1958" s="17" t="inlineStr">
        <is>
          <t>웹조사 자동화 실패(세션한도)</t>
        </is>
      </c>
      <c r="H1958" s="17" t="inlineStr">
        <is>
          <t>N</t>
        </is>
      </c>
      <c r="I1958" s="17" t="inlineStr">
        <is>
          <t>회사 공시·홈페이지</t>
        </is>
      </c>
      <c r="J1958" s="17" t="inlineStr">
        <is>
          <t>회사 공시·홈페이지에서 확인</t>
        </is>
      </c>
      <c r="K1958" s="17" t="inlineStr">
        <is>
          <t>낮음</t>
        </is>
      </c>
      <c r="L1958" s="17" t="inlineStr"/>
    </row>
    <row r="1959">
      <c r="A1959" s="17" t="inlineStr">
        <is>
          <t>C314</t>
        </is>
      </c>
      <c r="B1959" s="17" t="inlineStr"/>
      <c r="C1959" s="17" t="inlineStr">
        <is>
          <t>(주)나노팜</t>
        </is>
      </c>
      <c r="D1959" s="17" t="inlineStr"/>
      <c r="E1959" s="17" t="inlineStr">
        <is>
          <t>FDA·EMA 실사</t>
        </is>
      </c>
      <c r="F1959" s="17" t="inlineStr">
        <is>
          <t>미확인</t>
        </is>
      </c>
      <c r="G1959" s="17" t="inlineStr">
        <is>
          <t>웹조사 자동화 실패(세션한도)</t>
        </is>
      </c>
      <c r="H1959" s="17" t="inlineStr">
        <is>
          <t>N</t>
        </is>
      </c>
      <c r="I1959" s="17" t="inlineStr">
        <is>
          <t>FDA Inspection DB</t>
        </is>
      </c>
      <c r="J1959" s="17" t="inlineStr">
        <is>
          <t>FDA Inspection DB에서 확인</t>
        </is>
      </c>
      <c r="K1959" s="17" t="inlineStr">
        <is>
          <t>낮음</t>
        </is>
      </c>
      <c r="L1959" s="17" t="inlineStr"/>
    </row>
    <row r="1960">
      <c r="A1960" s="17" t="inlineStr">
        <is>
          <t>C314</t>
        </is>
      </c>
      <c r="B1960" s="17" t="inlineStr"/>
      <c r="C1960" s="17" t="inlineStr">
        <is>
          <t>(주)나노팜</t>
        </is>
      </c>
      <c r="D1960" s="17" t="inlineStr"/>
      <c r="E1960" s="17" t="inlineStr">
        <is>
          <t>CMO·CDMO</t>
        </is>
      </c>
      <c r="F1960" s="17" t="inlineStr">
        <is>
          <t>미확인</t>
        </is>
      </c>
      <c r="G1960" s="17" t="inlineStr">
        <is>
          <t>웹조사 자동화 실패(세션한도)</t>
        </is>
      </c>
      <c r="H1960" s="17" t="inlineStr">
        <is>
          <t>N</t>
        </is>
      </c>
      <c r="I1960" s="17" t="inlineStr">
        <is>
          <t>회사 홈페이지</t>
        </is>
      </c>
      <c r="J1960" s="17" t="inlineStr">
        <is>
          <t>회사 홈페이지에서 확인</t>
        </is>
      </c>
      <c r="K1960" s="17" t="inlineStr">
        <is>
          <t>낮음</t>
        </is>
      </c>
      <c r="L1960" s="17" t="inlineStr"/>
    </row>
    <row r="1961">
      <c r="A1961" s="17" t="inlineStr">
        <is>
          <t>C314</t>
        </is>
      </c>
      <c r="B1961" s="17" t="inlineStr"/>
      <c r="C1961" s="17" t="inlineStr">
        <is>
          <t>(주)나노팜</t>
        </is>
      </c>
      <c r="D1961" s="17" t="inlineStr"/>
      <c r="E1961" s="17" t="inlineStr">
        <is>
          <t>신공장·증설</t>
        </is>
      </c>
      <c r="F1961" s="17" t="inlineStr">
        <is>
          <t>미확인</t>
        </is>
      </c>
      <c r="G1961" s="17" t="inlineStr">
        <is>
          <t>웹조사 자동화 실패(세션한도)</t>
        </is>
      </c>
      <c r="H1961" s="17" t="inlineStr">
        <is>
          <t>N</t>
        </is>
      </c>
      <c r="I1961" s="17" t="inlineStr">
        <is>
          <t>언론·지자체 발표</t>
        </is>
      </c>
      <c r="J1961" s="17" t="inlineStr">
        <is>
          <t>언론·지자체 발표에서 확인</t>
        </is>
      </c>
      <c r="K1961" s="17" t="inlineStr">
        <is>
          <t>낮음</t>
        </is>
      </c>
      <c r="L1961" s="17" t="inlineStr"/>
    </row>
    <row r="1962">
      <c r="A1962" s="17" t="inlineStr">
        <is>
          <t>C315</t>
        </is>
      </c>
      <c r="B1962" s="17" t="inlineStr"/>
      <c r="C1962" s="17" t="inlineStr">
        <is>
          <t>(주)덕양가스</t>
        </is>
      </c>
      <c r="D1962" s="17" t="inlineStr"/>
      <c r="E1962" s="17" t="inlineStr">
        <is>
          <t>최근매출(억원)</t>
        </is>
      </c>
      <c r="F1962" s="17" t="inlineStr">
        <is>
          <t>미확인</t>
        </is>
      </c>
      <c r="G1962" s="17" t="inlineStr">
        <is>
          <t>웹조사 자동화 실패(세션한도)</t>
        </is>
      </c>
      <c r="H1962" s="17" t="inlineStr">
        <is>
          <t>N</t>
        </is>
      </c>
      <c r="I1962" s="17" t="inlineStr">
        <is>
          <t>DART 사업보고서</t>
        </is>
      </c>
      <c r="J1962" s="17" t="inlineStr">
        <is>
          <t>DART 사업보고서에서 확인</t>
        </is>
      </c>
      <c r="K1962" s="17" t="inlineStr">
        <is>
          <t>낮음</t>
        </is>
      </c>
      <c r="L1962" s="17" t="inlineStr"/>
    </row>
    <row r="1963">
      <c r="A1963" s="17" t="inlineStr">
        <is>
          <t>C315</t>
        </is>
      </c>
      <c r="B1963" s="17" t="inlineStr"/>
      <c r="C1963" s="17" t="inlineStr">
        <is>
          <t>(주)덕양가스</t>
        </is>
      </c>
      <c r="D1963" s="17" t="inlineStr"/>
      <c r="E1963" s="17" t="inlineStr">
        <is>
          <t>종업원수</t>
        </is>
      </c>
      <c r="F1963" s="17" t="inlineStr">
        <is>
          <t>미확인</t>
        </is>
      </c>
      <c r="G1963" s="17" t="inlineStr">
        <is>
          <t>웹조사 자동화 실패(세션한도)</t>
        </is>
      </c>
      <c r="H1963" s="17" t="inlineStr">
        <is>
          <t>N</t>
        </is>
      </c>
      <c r="I1963" s="17" t="inlineStr">
        <is>
          <t>DART/채용</t>
        </is>
      </c>
      <c r="J1963" s="17" t="inlineStr">
        <is>
          <t>DART/채용에서 확인</t>
        </is>
      </c>
      <c r="K1963" s="17" t="inlineStr">
        <is>
          <t>낮음</t>
        </is>
      </c>
      <c r="L1963" s="17" t="inlineStr"/>
    </row>
    <row r="1964">
      <c r="A1964" s="17" t="inlineStr">
        <is>
          <t>C315</t>
        </is>
      </c>
      <c r="B1964" s="17" t="inlineStr"/>
      <c r="C1964" s="17" t="inlineStr">
        <is>
          <t>(주)덕양가스</t>
        </is>
      </c>
      <c r="D1964" s="17" t="inlineStr"/>
      <c r="E1964" s="17" t="inlineStr">
        <is>
          <t>수출여부</t>
        </is>
      </c>
      <c r="F1964" s="17" t="inlineStr">
        <is>
          <t>미확인</t>
        </is>
      </c>
      <c r="G1964" s="17" t="inlineStr">
        <is>
          <t>웹조사 자동화 실패(세션한도)</t>
        </is>
      </c>
      <c r="H1964" s="17" t="inlineStr">
        <is>
          <t>N</t>
        </is>
      </c>
      <c r="I1964" s="17" t="inlineStr">
        <is>
          <t>회사 공시·홈페이지</t>
        </is>
      </c>
      <c r="J1964" s="17" t="inlineStr">
        <is>
          <t>회사 공시·홈페이지에서 확인</t>
        </is>
      </c>
      <c r="K1964" s="17" t="inlineStr">
        <is>
          <t>낮음</t>
        </is>
      </c>
      <c r="L1964" s="17" t="inlineStr"/>
    </row>
    <row r="1965">
      <c r="A1965" s="17" t="inlineStr">
        <is>
          <t>C315</t>
        </is>
      </c>
      <c r="B1965" s="17" t="inlineStr"/>
      <c r="C1965" s="17" t="inlineStr">
        <is>
          <t>(주)덕양가스</t>
        </is>
      </c>
      <c r="D1965" s="17" t="inlineStr"/>
      <c r="E1965" s="17" t="inlineStr">
        <is>
          <t>FDA·EMA 실사</t>
        </is>
      </c>
      <c r="F1965" s="17" t="inlineStr">
        <is>
          <t>미확인</t>
        </is>
      </c>
      <c r="G1965" s="17" t="inlineStr">
        <is>
          <t>웹조사 자동화 실패(세션한도)</t>
        </is>
      </c>
      <c r="H1965" s="17" t="inlineStr">
        <is>
          <t>N</t>
        </is>
      </c>
      <c r="I1965" s="17" t="inlineStr">
        <is>
          <t>FDA Inspection DB</t>
        </is>
      </c>
      <c r="J1965" s="17" t="inlineStr">
        <is>
          <t>FDA Inspection DB에서 확인</t>
        </is>
      </c>
      <c r="K1965" s="17" t="inlineStr">
        <is>
          <t>낮음</t>
        </is>
      </c>
      <c r="L1965" s="17" t="inlineStr"/>
    </row>
    <row r="1966">
      <c r="A1966" s="17" t="inlineStr">
        <is>
          <t>C315</t>
        </is>
      </c>
      <c r="B1966" s="17" t="inlineStr"/>
      <c r="C1966" s="17" t="inlineStr">
        <is>
          <t>(주)덕양가스</t>
        </is>
      </c>
      <c r="D1966" s="17" t="inlineStr"/>
      <c r="E1966" s="17" t="inlineStr">
        <is>
          <t>CMO·CDMO</t>
        </is>
      </c>
      <c r="F1966" s="17" t="inlineStr">
        <is>
          <t>미확인</t>
        </is>
      </c>
      <c r="G1966" s="17" t="inlineStr">
        <is>
          <t>웹조사 자동화 실패(세션한도)</t>
        </is>
      </c>
      <c r="H1966" s="17" t="inlineStr">
        <is>
          <t>N</t>
        </is>
      </c>
      <c r="I1966" s="17" t="inlineStr">
        <is>
          <t>회사 홈페이지</t>
        </is>
      </c>
      <c r="J1966" s="17" t="inlineStr">
        <is>
          <t>회사 홈페이지에서 확인</t>
        </is>
      </c>
      <c r="K1966" s="17" t="inlineStr">
        <is>
          <t>낮음</t>
        </is>
      </c>
      <c r="L1966" s="17" t="inlineStr"/>
    </row>
    <row r="1967">
      <c r="A1967" s="17" t="inlineStr">
        <is>
          <t>C315</t>
        </is>
      </c>
      <c r="B1967" s="17" t="inlineStr"/>
      <c r="C1967" s="17" t="inlineStr">
        <is>
          <t>(주)덕양가스</t>
        </is>
      </c>
      <c r="D1967" s="17" t="inlineStr"/>
      <c r="E1967" s="17" t="inlineStr">
        <is>
          <t>신공장·증설</t>
        </is>
      </c>
      <c r="F1967" s="17" t="inlineStr">
        <is>
          <t>미확인</t>
        </is>
      </c>
      <c r="G1967" s="17" t="inlineStr">
        <is>
          <t>웹조사 자동화 실패(세션한도)</t>
        </is>
      </c>
      <c r="H1967" s="17" t="inlineStr">
        <is>
          <t>N</t>
        </is>
      </c>
      <c r="I1967" s="17" t="inlineStr">
        <is>
          <t>언론·지자체 발표</t>
        </is>
      </c>
      <c r="J1967" s="17" t="inlineStr">
        <is>
          <t>언론·지자체 발표에서 확인</t>
        </is>
      </c>
      <c r="K1967" s="17" t="inlineStr">
        <is>
          <t>낮음</t>
        </is>
      </c>
      <c r="L1967" s="17" t="inlineStr"/>
    </row>
    <row r="1968">
      <c r="A1968" s="17" t="inlineStr">
        <is>
          <t>C316</t>
        </is>
      </c>
      <c r="B1968" s="17" t="inlineStr"/>
      <c r="C1968" s="17" t="inlineStr">
        <is>
          <t>(주)유니온가스</t>
        </is>
      </c>
      <c r="D1968" s="17" t="inlineStr"/>
      <c r="E1968" s="17" t="inlineStr">
        <is>
          <t>최근매출(억원)</t>
        </is>
      </c>
      <c r="F1968" s="17" t="inlineStr">
        <is>
          <t>미확인</t>
        </is>
      </c>
      <c r="G1968" s="17" t="inlineStr">
        <is>
          <t>웹조사 자동화 실패(세션한도)</t>
        </is>
      </c>
      <c r="H1968" s="17" t="inlineStr">
        <is>
          <t>N</t>
        </is>
      </c>
      <c r="I1968" s="17" t="inlineStr">
        <is>
          <t>DART 사업보고서</t>
        </is>
      </c>
      <c r="J1968" s="17" t="inlineStr">
        <is>
          <t>DART 사업보고서에서 확인</t>
        </is>
      </c>
      <c r="K1968" s="17" t="inlineStr">
        <is>
          <t>낮음</t>
        </is>
      </c>
      <c r="L1968" s="17" t="inlineStr"/>
    </row>
    <row r="1969">
      <c r="A1969" s="17" t="inlineStr">
        <is>
          <t>C316</t>
        </is>
      </c>
      <c r="B1969" s="17" t="inlineStr"/>
      <c r="C1969" s="17" t="inlineStr">
        <is>
          <t>(주)유니온가스</t>
        </is>
      </c>
      <c r="D1969" s="17" t="inlineStr"/>
      <c r="E1969" s="17" t="inlineStr">
        <is>
          <t>종업원수</t>
        </is>
      </c>
      <c r="F1969" s="17" t="inlineStr">
        <is>
          <t>미확인</t>
        </is>
      </c>
      <c r="G1969" s="17" t="inlineStr">
        <is>
          <t>웹조사 자동화 실패(세션한도)</t>
        </is>
      </c>
      <c r="H1969" s="17" t="inlineStr">
        <is>
          <t>N</t>
        </is>
      </c>
      <c r="I1969" s="17" t="inlineStr">
        <is>
          <t>DART/채용</t>
        </is>
      </c>
      <c r="J1969" s="17" t="inlineStr">
        <is>
          <t>DART/채용에서 확인</t>
        </is>
      </c>
      <c r="K1969" s="17" t="inlineStr">
        <is>
          <t>낮음</t>
        </is>
      </c>
      <c r="L1969" s="17" t="inlineStr"/>
    </row>
    <row r="1970">
      <c r="A1970" s="17" t="inlineStr">
        <is>
          <t>C316</t>
        </is>
      </c>
      <c r="B1970" s="17" t="inlineStr"/>
      <c r="C1970" s="17" t="inlineStr">
        <is>
          <t>(주)유니온가스</t>
        </is>
      </c>
      <c r="D1970" s="17" t="inlineStr"/>
      <c r="E1970" s="17" t="inlineStr">
        <is>
          <t>수출여부</t>
        </is>
      </c>
      <c r="F1970" s="17" t="inlineStr">
        <is>
          <t>미확인</t>
        </is>
      </c>
      <c r="G1970" s="17" t="inlineStr">
        <is>
          <t>웹조사 자동화 실패(세션한도)</t>
        </is>
      </c>
      <c r="H1970" s="17" t="inlineStr">
        <is>
          <t>N</t>
        </is>
      </c>
      <c r="I1970" s="17" t="inlineStr">
        <is>
          <t>회사 공시·홈페이지</t>
        </is>
      </c>
      <c r="J1970" s="17" t="inlineStr">
        <is>
          <t>회사 공시·홈페이지에서 확인</t>
        </is>
      </c>
      <c r="K1970" s="17" t="inlineStr">
        <is>
          <t>낮음</t>
        </is>
      </c>
      <c r="L1970" s="17" t="inlineStr"/>
    </row>
    <row r="1971">
      <c r="A1971" s="17" t="inlineStr">
        <is>
          <t>C316</t>
        </is>
      </c>
      <c r="B1971" s="17" t="inlineStr"/>
      <c r="C1971" s="17" t="inlineStr">
        <is>
          <t>(주)유니온가스</t>
        </is>
      </c>
      <c r="D1971" s="17" t="inlineStr"/>
      <c r="E1971" s="17" t="inlineStr">
        <is>
          <t>FDA·EMA 실사</t>
        </is>
      </c>
      <c r="F1971" s="17" t="inlineStr">
        <is>
          <t>미확인</t>
        </is>
      </c>
      <c r="G1971" s="17" t="inlineStr">
        <is>
          <t>웹조사 자동화 실패(세션한도)</t>
        </is>
      </c>
      <c r="H1971" s="17" t="inlineStr">
        <is>
          <t>N</t>
        </is>
      </c>
      <c r="I1971" s="17" t="inlineStr">
        <is>
          <t>FDA Inspection DB</t>
        </is>
      </c>
      <c r="J1971" s="17" t="inlineStr">
        <is>
          <t>FDA Inspection DB에서 확인</t>
        </is>
      </c>
      <c r="K1971" s="17" t="inlineStr">
        <is>
          <t>낮음</t>
        </is>
      </c>
      <c r="L1971" s="17" t="inlineStr"/>
    </row>
    <row r="1972">
      <c r="A1972" s="17" t="inlineStr">
        <is>
          <t>C316</t>
        </is>
      </c>
      <c r="B1972" s="17" t="inlineStr"/>
      <c r="C1972" s="17" t="inlineStr">
        <is>
          <t>(주)유니온가스</t>
        </is>
      </c>
      <c r="D1972" s="17" t="inlineStr"/>
      <c r="E1972" s="17" t="inlineStr">
        <is>
          <t>CMO·CDMO</t>
        </is>
      </c>
      <c r="F1972" s="17" t="inlineStr">
        <is>
          <t>미확인</t>
        </is>
      </c>
      <c r="G1972" s="17" t="inlineStr">
        <is>
          <t>웹조사 자동화 실패(세션한도)</t>
        </is>
      </c>
      <c r="H1972" s="17" t="inlineStr">
        <is>
          <t>N</t>
        </is>
      </c>
      <c r="I1972" s="17" t="inlineStr">
        <is>
          <t>회사 홈페이지</t>
        </is>
      </c>
      <c r="J1972" s="17" t="inlineStr">
        <is>
          <t>회사 홈페이지에서 확인</t>
        </is>
      </c>
      <c r="K1972" s="17" t="inlineStr">
        <is>
          <t>낮음</t>
        </is>
      </c>
      <c r="L1972" s="17" t="inlineStr"/>
    </row>
    <row r="1973">
      <c r="A1973" s="17" t="inlineStr">
        <is>
          <t>C316</t>
        </is>
      </c>
      <c r="B1973" s="17" t="inlineStr"/>
      <c r="C1973" s="17" t="inlineStr">
        <is>
          <t>(주)유니온가스</t>
        </is>
      </c>
      <c r="D1973" s="17" t="inlineStr"/>
      <c r="E1973" s="17" t="inlineStr">
        <is>
          <t>신공장·증설</t>
        </is>
      </c>
      <c r="F1973" s="17" t="inlineStr">
        <is>
          <t>미확인</t>
        </is>
      </c>
      <c r="G1973" s="17" t="inlineStr">
        <is>
          <t>웹조사 자동화 실패(세션한도)</t>
        </is>
      </c>
      <c r="H1973" s="17" t="inlineStr">
        <is>
          <t>N</t>
        </is>
      </c>
      <c r="I1973" s="17" t="inlineStr">
        <is>
          <t>언론·지자체 발표</t>
        </is>
      </c>
      <c r="J1973" s="17" t="inlineStr">
        <is>
          <t>언론·지자체 발표에서 확인</t>
        </is>
      </c>
      <c r="K1973" s="17" t="inlineStr">
        <is>
          <t>낮음</t>
        </is>
      </c>
      <c r="L1973" s="17" t="inlineStr"/>
    </row>
    <row r="1974">
      <c r="A1974" s="17" t="inlineStr">
        <is>
          <t>C316</t>
        </is>
      </c>
      <c r="B1974" s="17" t="inlineStr"/>
      <c r="C1974" s="17" t="inlineStr">
        <is>
          <t>(주)유니온가스</t>
        </is>
      </c>
      <c r="D1974" s="17" t="inlineStr"/>
      <c r="E1974" s="17" t="inlineStr">
        <is>
          <t>대표전화</t>
        </is>
      </c>
      <c r="F1974" s="17" t="inlineStr">
        <is>
          <t>미확인</t>
        </is>
      </c>
      <c r="G1974" s="17" t="inlineStr">
        <is>
          <t>제조소상세 미매칭</t>
        </is>
      </c>
      <c r="H1974" s="17" t="inlineStr">
        <is>
          <t>Y</t>
        </is>
      </c>
      <c r="I1974" s="17" t="inlineStr">
        <is>
          <t>회사 홈페이지</t>
        </is>
      </c>
      <c r="J1974" s="17" t="inlineStr">
        <is>
          <t>홈페이지에서 대표번호 확인</t>
        </is>
      </c>
      <c r="K1974" s="17" t="inlineStr">
        <is>
          <t>낮음</t>
        </is>
      </c>
      <c r="L1974" s="17" t="inlineStr"/>
    </row>
    <row r="1975">
      <c r="A1975" s="17" t="inlineStr">
        <is>
          <t>C317</t>
        </is>
      </c>
      <c r="B1975" s="17" t="inlineStr"/>
      <c r="C1975" s="17" t="inlineStr">
        <is>
          <t>하이플생명과학(주)</t>
        </is>
      </c>
      <c r="D1975" s="17" t="inlineStr"/>
      <c r="E1975" s="17" t="inlineStr">
        <is>
          <t>최근매출(억원)</t>
        </is>
      </c>
      <c r="F1975" s="17" t="inlineStr">
        <is>
          <t>미확인</t>
        </is>
      </c>
      <c r="G1975" s="17" t="inlineStr">
        <is>
          <t>웹조사 자동화 실패(세션한도)</t>
        </is>
      </c>
      <c r="H1975" s="17" t="inlineStr">
        <is>
          <t>N</t>
        </is>
      </c>
      <c r="I1975" s="17" t="inlineStr">
        <is>
          <t>DART 사업보고서</t>
        </is>
      </c>
      <c r="J1975" s="17" t="inlineStr">
        <is>
          <t>DART 사업보고서에서 확인</t>
        </is>
      </c>
      <c r="K1975" s="17" t="inlineStr">
        <is>
          <t>낮음</t>
        </is>
      </c>
      <c r="L1975" s="17" t="inlineStr"/>
    </row>
    <row r="1976">
      <c r="A1976" s="17" t="inlineStr">
        <is>
          <t>C317</t>
        </is>
      </c>
      <c r="B1976" s="17" t="inlineStr"/>
      <c r="C1976" s="17" t="inlineStr">
        <is>
          <t>하이플생명과학(주)</t>
        </is>
      </c>
      <c r="D1976" s="17" t="inlineStr"/>
      <c r="E1976" s="17" t="inlineStr">
        <is>
          <t>종업원수</t>
        </is>
      </c>
      <c r="F1976" s="17" t="inlineStr">
        <is>
          <t>미확인</t>
        </is>
      </c>
      <c r="G1976" s="17" t="inlineStr">
        <is>
          <t>웹조사 자동화 실패(세션한도)</t>
        </is>
      </c>
      <c r="H1976" s="17" t="inlineStr">
        <is>
          <t>N</t>
        </is>
      </c>
      <c r="I1976" s="17" t="inlineStr">
        <is>
          <t>DART/채용</t>
        </is>
      </c>
      <c r="J1976" s="17" t="inlineStr">
        <is>
          <t>DART/채용에서 확인</t>
        </is>
      </c>
      <c r="K1976" s="17" t="inlineStr">
        <is>
          <t>낮음</t>
        </is>
      </c>
      <c r="L1976" s="17" t="inlineStr"/>
    </row>
    <row r="1977">
      <c r="A1977" s="17" t="inlineStr">
        <is>
          <t>C317</t>
        </is>
      </c>
      <c r="B1977" s="17" t="inlineStr"/>
      <c r="C1977" s="17" t="inlineStr">
        <is>
          <t>하이플생명과학(주)</t>
        </is>
      </c>
      <c r="D1977" s="17" t="inlineStr"/>
      <c r="E1977" s="17" t="inlineStr">
        <is>
          <t>수출여부</t>
        </is>
      </c>
      <c r="F1977" s="17" t="inlineStr">
        <is>
          <t>미확인</t>
        </is>
      </c>
      <c r="G1977" s="17" t="inlineStr">
        <is>
          <t>웹조사 자동화 실패(세션한도)</t>
        </is>
      </c>
      <c r="H1977" s="17" t="inlineStr">
        <is>
          <t>N</t>
        </is>
      </c>
      <c r="I1977" s="17" t="inlineStr">
        <is>
          <t>회사 공시·홈페이지</t>
        </is>
      </c>
      <c r="J1977" s="17" t="inlineStr">
        <is>
          <t>회사 공시·홈페이지에서 확인</t>
        </is>
      </c>
      <c r="K1977" s="17" t="inlineStr">
        <is>
          <t>낮음</t>
        </is>
      </c>
      <c r="L1977" s="17" t="inlineStr"/>
    </row>
    <row r="1978">
      <c r="A1978" s="17" t="inlineStr">
        <is>
          <t>C317</t>
        </is>
      </c>
      <c r="B1978" s="17" t="inlineStr"/>
      <c r="C1978" s="17" t="inlineStr">
        <is>
          <t>하이플생명과학(주)</t>
        </is>
      </c>
      <c r="D1978" s="17" t="inlineStr"/>
      <c r="E1978" s="17" t="inlineStr">
        <is>
          <t>FDA·EMA 실사</t>
        </is>
      </c>
      <c r="F1978" s="17" t="inlineStr">
        <is>
          <t>미확인</t>
        </is>
      </c>
      <c r="G1978" s="17" t="inlineStr">
        <is>
          <t>웹조사 자동화 실패(세션한도)</t>
        </is>
      </c>
      <c r="H1978" s="17" t="inlineStr">
        <is>
          <t>N</t>
        </is>
      </c>
      <c r="I1978" s="17" t="inlineStr">
        <is>
          <t>FDA Inspection DB</t>
        </is>
      </c>
      <c r="J1978" s="17" t="inlineStr">
        <is>
          <t>FDA Inspection DB에서 확인</t>
        </is>
      </c>
      <c r="K1978" s="17" t="inlineStr">
        <is>
          <t>낮음</t>
        </is>
      </c>
      <c r="L1978" s="17" t="inlineStr"/>
    </row>
    <row r="1979">
      <c r="A1979" s="17" t="inlineStr">
        <is>
          <t>C317</t>
        </is>
      </c>
      <c r="B1979" s="17" t="inlineStr"/>
      <c r="C1979" s="17" t="inlineStr">
        <is>
          <t>하이플생명과학(주)</t>
        </is>
      </c>
      <c r="D1979" s="17" t="inlineStr"/>
      <c r="E1979" s="17" t="inlineStr">
        <is>
          <t>CMO·CDMO</t>
        </is>
      </c>
      <c r="F1979" s="17" t="inlineStr">
        <is>
          <t>미확인</t>
        </is>
      </c>
      <c r="G1979" s="17" t="inlineStr">
        <is>
          <t>웹조사 자동화 실패(세션한도)</t>
        </is>
      </c>
      <c r="H1979" s="17" t="inlineStr">
        <is>
          <t>N</t>
        </is>
      </c>
      <c r="I1979" s="17" t="inlineStr">
        <is>
          <t>회사 홈페이지</t>
        </is>
      </c>
      <c r="J1979" s="17" t="inlineStr">
        <is>
          <t>회사 홈페이지에서 확인</t>
        </is>
      </c>
      <c r="K1979" s="17" t="inlineStr">
        <is>
          <t>낮음</t>
        </is>
      </c>
      <c r="L1979" s="17" t="inlineStr"/>
    </row>
    <row r="1980">
      <c r="A1980" s="17" t="inlineStr">
        <is>
          <t>C317</t>
        </is>
      </c>
      <c r="B1980" s="17" t="inlineStr"/>
      <c r="C1980" s="17" t="inlineStr">
        <is>
          <t>하이플생명과학(주)</t>
        </is>
      </c>
      <c r="D1980" s="17" t="inlineStr"/>
      <c r="E1980" s="17" t="inlineStr">
        <is>
          <t>신공장·증설</t>
        </is>
      </c>
      <c r="F1980" s="17" t="inlineStr">
        <is>
          <t>미확인</t>
        </is>
      </c>
      <c r="G1980" s="17" t="inlineStr">
        <is>
          <t>웹조사 자동화 실패(세션한도)</t>
        </is>
      </c>
      <c r="H1980" s="17" t="inlineStr">
        <is>
          <t>N</t>
        </is>
      </c>
      <c r="I1980" s="17" t="inlineStr">
        <is>
          <t>언론·지자체 발표</t>
        </is>
      </c>
      <c r="J1980" s="17" t="inlineStr">
        <is>
          <t>언론·지자체 발표에서 확인</t>
        </is>
      </c>
      <c r="K1980" s="17" t="inlineStr">
        <is>
          <t>낮음</t>
        </is>
      </c>
      <c r="L1980" s="17" t="inlineStr"/>
    </row>
    <row r="1981">
      <c r="A1981" s="17" t="inlineStr">
        <is>
          <t>C318</t>
        </is>
      </c>
      <c r="B1981" s="17" t="inlineStr"/>
      <c r="C1981" s="17" t="inlineStr">
        <is>
          <t>덕산약품공업(주)</t>
        </is>
      </c>
      <c r="D1981" s="17" t="inlineStr"/>
      <c r="E1981" s="17" t="inlineStr">
        <is>
          <t>최근매출(억원)</t>
        </is>
      </c>
      <c r="F1981" s="17" t="inlineStr">
        <is>
          <t>미확인</t>
        </is>
      </c>
      <c r="G1981" s="17" t="inlineStr">
        <is>
          <t>웹조사 자동화 실패(세션한도)</t>
        </is>
      </c>
      <c r="H1981" s="17" t="inlineStr">
        <is>
          <t>N</t>
        </is>
      </c>
      <c r="I1981" s="17" t="inlineStr">
        <is>
          <t>DART 사업보고서</t>
        </is>
      </c>
      <c r="J1981" s="17" t="inlineStr">
        <is>
          <t>DART 사업보고서에서 확인</t>
        </is>
      </c>
      <c r="K1981" s="17" t="inlineStr">
        <is>
          <t>낮음</t>
        </is>
      </c>
      <c r="L1981" s="17" t="inlineStr"/>
    </row>
    <row r="1982">
      <c r="A1982" s="17" t="inlineStr">
        <is>
          <t>C318</t>
        </is>
      </c>
      <c r="B1982" s="17" t="inlineStr"/>
      <c r="C1982" s="17" t="inlineStr">
        <is>
          <t>덕산약품공업(주)</t>
        </is>
      </c>
      <c r="D1982" s="17" t="inlineStr"/>
      <c r="E1982" s="17" t="inlineStr">
        <is>
          <t>종업원수</t>
        </is>
      </c>
      <c r="F1982" s="17" t="inlineStr">
        <is>
          <t>미확인</t>
        </is>
      </c>
      <c r="G1982" s="17" t="inlineStr">
        <is>
          <t>웹조사 자동화 실패(세션한도)</t>
        </is>
      </c>
      <c r="H1982" s="17" t="inlineStr">
        <is>
          <t>N</t>
        </is>
      </c>
      <c r="I1982" s="17" t="inlineStr">
        <is>
          <t>DART/채용</t>
        </is>
      </c>
      <c r="J1982" s="17" t="inlineStr">
        <is>
          <t>DART/채용에서 확인</t>
        </is>
      </c>
      <c r="K1982" s="17" t="inlineStr">
        <is>
          <t>낮음</t>
        </is>
      </c>
      <c r="L1982" s="17" t="inlineStr"/>
    </row>
    <row r="1983">
      <c r="A1983" s="17" t="inlineStr">
        <is>
          <t>C318</t>
        </is>
      </c>
      <c r="B1983" s="17" t="inlineStr"/>
      <c r="C1983" s="17" t="inlineStr">
        <is>
          <t>덕산약품공업(주)</t>
        </is>
      </c>
      <c r="D1983" s="17" t="inlineStr"/>
      <c r="E1983" s="17" t="inlineStr">
        <is>
          <t>수출여부</t>
        </is>
      </c>
      <c r="F1983" s="17" t="inlineStr">
        <is>
          <t>미확인</t>
        </is>
      </c>
      <c r="G1983" s="17" t="inlineStr">
        <is>
          <t>웹조사 자동화 실패(세션한도)</t>
        </is>
      </c>
      <c r="H1983" s="17" t="inlineStr">
        <is>
          <t>N</t>
        </is>
      </c>
      <c r="I1983" s="17" t="inlineStr">
        <is>
          <t>회사 공시·홈페이지</t>
        </is>
      </c>
      <c r="J1983" s="17" t="inlineStr">
        <is>
          <t>회사 공시·홈페이지에서 확인</t>
        </is>
      </c>
      <c r="K1983" s="17" t="inlineStr">
        <is>
          <t>낮음</t>
        </is>
      </c>
      <c r="L1983" s="17" t="inlineStr"/>
    </row>
    <row r="1984">
      <c r="A1984" s="17" t="inlineStr">
        <is>
          <t>C318</t>
        </is>
      </c>
      <c r="B1984" s="17" t="inlineStr"/>
      <c r="C1984" s="17" t="inlineStr">
        <is>
          <t>덕산약품공업(주)</t>
        </is>
      </c>
      <c r="D1984" s="17" t="inlineStr"/>
      <c r="E1984" s="17" t="inlineStr">
        <is>
          <t>FDA·EMA 실사</t>
        </is>
      </c>
      <c r="F1984" s="17" t="inlineStr">
        <is>
          <t>미확인</t>
        </is>
      </c>
      <c r="G1984" s="17" t="inlineStr">
        <is>
          <t>웹조사 자동화 실패(세션한도)</t>
        </is>
      </c>
      <c r="H1984" s="17" t="inlineStr">
        <is>
          <t>N</t>
        </is>
      </c>
      <c r="I1984" s="17" t="inlineStr">
        <is>
          <t>FDA Inspection DB</t>
        </is>
      </c>
      <c r="J1984" s="17" t="inlineStr">
        <is>
          <t>FDA Inspection DB에서 확인</t>
        </is>
      </c>
      <c r="K1984" s="17" t="inlineStr">
        <is>
          <t>낮음</t>
        </is>
      </c>
      <c r="L1984" s="17" t="inlineStr"/>
    </row>
    <row r="1985">
      <c r="A1985" s="17" t="inlineStr">
        <is>
          <t>C318</t>
        </is>
      </c>
      <c r="B1985" s="17" t="inlineStr"/>
      <c r="C1985" s="17" t="inlineStr">
        <is>
          <t>덕산약품공업(주)</t>
        </is>
      </c>
      <c r="D1985" s="17" t="inlineStr"/>
      <c r="E1985" s="17" t="inlineStr">
        <is>
          <t>CMO·CDMO</t>
        </is>
      </c>
      <c r="F1985" s="17" t="inlineStr">
        <is>
          <t>미확인</t>
        </is>
      </c>
      <c r="G1985" s="17" t="inlineStr">
        <is>
          <t>웹조사 자동화 실패(세션한도)</t>
        </is>
      </c>
      <c r="H1985" s="17" t="inlineStr">
        <is>
          <t>N</t>
        </is>
      </c>
      <c r="I1985" s="17" t="inlineStr">
        <is>
          <t>회사 홈페이지</t>
        </is>
      </c>
      <c r="J1985" s="17" t="inlineStr">
        <is>
          <t>회사 홈페이지에서 확인</t>
        </is>
      </c>
      <c r="K1985" s="17" t="inlineStr">
        <is>
          <t>낮음</t>
        </is>
      </c>
      <c r="L1985" s="17" t="inlineStr"/>
    </row>
    <row r="1986">
      <c r="A1986" s="17" t="inlineStr">
        <is>
          <t>C318</t>
        </is>
      </c>
      <c r="B1986" s="17" t="inlineStr"/>
      <c r="C1986" s="17" t="inlineStr">
        <is>
          <t>덕산약품공업(주)</t>
        </is>
      </c>
      <c r="D1986" s="17" t="inlineStr"/>
      <c r="E1986" s="17" t="inlineStr">
        <is>
          <t>신공장·증설</t>
        </is>
      </c>
      <c r="F1986" s="17" t="inlineStr">
        <is>
          <t>미확인</t>
        </is>
      </c>
      <c r="G1986" s="17" t="inlineStr">
        <is>
          <t>웹조사 자동화 실패(세션한도)</t>
        </is>
      </c>
      <c r="H1986" s="17" t="inlineStr">
        <is>
          <t>N</t>
        </is>
      </c>
      <c r="I1986" s="17" t="inlineStr">
        <is>
          <t>언론·지자체 발표</t>
        </is>
      </c>
      <c r="J1986" s="17" t="inlineStr">
        <is>
          <t>언론·지자체 발표에서 확인</t>
        </is>
      </c>
      <c r="K1986" s="17" t="inlineStr">
        <is>
          <t>낮음</t>
        </is>
      </c>
      <c r="L1986" s="17" t="inlineStr"/>
    </row>
    <row r="1987">
      <c r="A1987" s="17" t="inlineStr">
        <is>
          <t>C319</t>
        </is>
      </c>
      <c r="B1987" s="17" t="inlineStr"/>
      <c r="C1987" s="17" t="inlineStr">
        <is>
          <t>(주)인트로바이오파마</t>
        </is>
      </c>
      <c r="D1987" s="17" t="inlineStr"/>
      <c r="E1987" s="17" t="inlineStr">
        <is>
          <t>최근매출(억원)</t>
        </is>
      </c>
      <c r="F1987" s="17" t="inlineStr">
        <is>
          <t>미확인</t>
        </is>
      </c>
      <c r="G1987" s="17" t="inlineStr">
        <is>
          <t>웹조사 자동화 실패(세션한도)</t>
        </is>
      </c>
      <c r="H1987" s="17" t="inlineStr">
        <is>
          <t>N</t>
        </is>
      </c>
      <c r="I1987" s="17" t="inlineStr">
        <is>
          <t>DART 사업보고서</t>
        </is>
      </c>
      <c r="J1987" s="17" t="inlineStr">
        <is>
          <t>DART 사업보고서에서 확인</t>
        </is>
      </c>
      <c r="K1987" s="17" t="inlineStr">
        <is>
          <t>낮음</t>
        </is>
      </c>
      <c r="L1987" s="17" t="inlineStr"/>
    </row>
    <row r="1988">
      <c r="A1988" s="17" t="inlineStr">
        <is>
          <t>C319</t>
        </is>
      </c>
      <c r="B1988" s="17" t="inlineStr"/>
      <c r="C1988" s="17" t="inlineStr">
        <is>
          <t>(주)인트로바이오파마</t>
        </is>
      </c>
      <c r="D1988" s="17" t="inlineStr"/>
      <c r="E1988" s="17" t="inlineStr">
        <is>
          <t>종업원수</t>
        </is>
      </c>
      <c r="F1988" s="17" t="inlineStr">
        <is>
          <t>미확인</t>
        </is>
      </c>
      <c r="G1988" s="17" t="inlineStr">
        <is>
          <t>웹조사 자동화 실패(세션한도)</t>
        </is>
      </c>
      <c r="H1988" s="17" t="inlineStr">
        <is>
          <t>N</t>
        </is>
      </c>
      <c r="I1988" s="17" t="inlineStr">
        <is>
          <t>DART/채용</t>
        </is>
      </c>
      <c r="J1988" s="17" t="inlineStr">
        <is>
          <t>DART/채용에서 확인</t>
        </is>
      </c>
      <c r="K1988" s="17" t="inlineStr">
        <is>
          <t>낮음</t>
        </is>
      </c>
      <c r="L1988" s="17" t="inlineStr"/>
    </row>
    <row r="1989">
      <c r="A1989" s="17" t="inlineStr">
        <is>
          <t>C319</t>
        </is>
      </c>
      <c r="B1989" s="17" t="inlineStr"/>
      <c r="C1989" s="17" t="inlineStr">
        <is>
          <t>(주)인트로바이오파마</t>
        </is>
      </c>
      <c r="D1989" s="17" t="inlineStr"/>
      <c r="E1989" s="17" t="inlineStr">
        <is>
          <t>수출여부</t>
        </is>
      </c>
      <c r="F1989" s="17" t="inlineStr">
        <is>
          <t>미확인</t>
        </is>
      </c>
      <c r="G1989" s="17" t="inlineStr">
        <is>
          <t>웹조사 자동화 실패(세션한도)</t>
        </is>
      </c>
      <c r="H1989" s="17" t="inlineStr">
        <is>
          <t>N</t>
        </is>
      </c>
      <c r="I1989" s="17" t="inlineStr">
        <is>
          <t>회사 공시·홈페이지</t>
        </is>
      </c>
      <c r="J1989" s="17" t="inlineStr">
        <is>
          <t>회사 공시·홈페이지에서 확인</t>
        </is>
      </c>
      <c r="K1989" s="17" t="inlineStr">
        <is>
          <t>낮음</t>
        </is>
      </c>
      <c r="L1989" s="17" t="inlineStr"/>
    </row>
    <row r="1990">
      <c r="A1990" s="17" t="inlineStr">
        <is>
          <t>C319</t>
        </is>
      </c>
      <c r="B1990" s="17" t="inlineStr"/>
      <c r="C1990" s="17" t="inlineStr">
        <is>
          <t>(주)인트로바이오파마</t>
        </is>
      </c>
      <c r="D1990" s="17" t="inlineStr"/>
      <c r="E1990" s="17" t="inlineStr">
        <is>
          <t>FDA·EMA 실사</t>
        </is>
      </c>
      <c r="F1990" s="17" t="inlineStr">
        <is>
          <t>미확인</t>
        </is>
      </c>
      <c r="G1990" s="17" t="inlineStr">
        <is>
          <t>웹조사 자동화 실패(세션한도)</t>
        </is>
      </c>
      <c r="H1990" s="17" t="inlineStr">
        <is>
          <t>N</t>
        </is>
      </c>
      <c r="I1990" s="17" t="inlineStr">
        <is>
          <t>FDA Inspection DB</t>
        </is>
      </c>
      <c r="J1990" s="17" t="inlineStr">
        <is>
          <t>FDA Inspection DB에서 확인</t>
        </is>
      </c>
      <c r="K1990" s="17" t="inlineStr">
        <is>
          <t>낮음</t>
        </is>
      </c>
      <c r="L1990" s="17" t="inlineStr"/>
    </row>
    <row r="1991">
      <c r="A1991" s="17" t="inlineStr">
        <is>
          <t>C319</t>
        </is>
      </c>
      <c r="B1991" s="17" t="inlineStr"/>
      <c r="C1991" s="17" t="inlineStr">
        <is>
          <t>(주)인트로바이오파마</t>
        </is>
      </c>
      <c r="D1991" s="17" t="inlineStr"/>
      <c r="E1991" s="17" t="inlineStr">
        <is>
          <t>CMO·CDMO</t>
        </is>
      </c>
      <c r="F1991" s="17" t="inlineStr">
        <is>
          <t>미확인</t>
        </is>
      </c>
      <c r="G1991" s="17" t="inlineStr">
        <is>
          <t>웹조사 자동화 실패(세션한도)</t>
        </is>
      </c>
      <c r="H1991" s="17" t="inlineStr">
        <is>
          <t>N</t>
        </is>
      </c>
      <c r="I1991" s="17" t="inlineStr">
        <is>
          <t>회사 홈페이지</t>
        </is>
      </c>
      <c r="J1991" s="17" t="inlineStr">
        <is>
          <t>회사 홈페이지에서 확인</t>
        </is>
      </c>
      <c r="K1991" s="17" t="inlineStr">
        <is>
          <t>낮음</t>
        </is>
      </c>
      <c r="L1991" s="17" t="inlineStr"/>
    </row>
    <row r="1992">
      <c r="A1992" s="17" t="inlineStr">
        <is>
          <t>C319</t>
        </is>
      </c>
      <c r="B1992" s="17" t="inlineStr"/>
      <c r="C1992" s="17" t="inlineStr">
        <is>
          <t>(주)인트로바이오파마</t>
        </is>
      </c>
      <c r="D1992" s="17" t="inlineStr"/>
      <c r="E1992" s="17" t="inlineStr">
        <is>
          <t>신공장·증설</t>
        </is>
      </c>
      <c r="F1992" s="17" t="inlineStr">
        <is>
          <t>미확인</t>
        </is>
      </c>
      <c r="G1992" s="17" t="inlineStr">
        <is>
          <t>웹조사 자동화 실패(세션한도)</t>
        </is>
      </c>
      <c r="H1992" s="17" t="inlineStr">
        <is>
          <t>N</t>
        </is>
      </c>
      <c r="I1992" s="17" t="inlineStr">
        <is>
          <t>언론·지자체 발표</t>
        </is>
      </c>
      <c r="J1992" s="17" t="inlineStr">
        <is>
          <t>언론·지자체 발표에서 확인</t>
        </is>
      </c>
      <c r="K1992" s="17" t="inlineStr">
        <is>
          <t>낮음</t>
        </is>
      </c>
      <c r="L1992" s="17" t="inlineStr"/>
    </row>
    <row r="1993">
      <c r="A1993" s="17" t="inlineStr">
        <is>
          <t>C319</t>
        </is>
      </c>
      <c r="B1993" s="17" t="inlineStr"/>
      <c r="C1993" s="17" t="inlineStr">
        <is>
          <t>(주)인트로바이오파마</t>
        </is>
      </c>
      <c r="D1993" s="17" t="inlineStr"/>
      <c r="E1993" s="17" t="inlineStr">
        <is>
          <t>대표전화</t>
        </is>
      </c>
      <c r="F1993" s="17" t="inlineStr">
        <is>
          <t>미확인</t>
        </is>
      </c>
      <c r="G1993" s="17" t="inlineStr">
        <is>
          <t>제조소상세 미매칭</t>
        </is>
      </c>
      <c r="H1993" s="17" t="inlineStr">
        <is>
          <t>Y</t>
        </is>
      </c>
      <c r="I1993" s="17" t="inlineStr">
        <is>
          <t>회사 홈페이지</t>
        </is>
      </c>
      <c r="J1993" s="17" t="inlineStr">
        <is>
          <t>홈페이지에서 대표번호 확인</t>
        </is>
      </c>
      <c r="K1993" s="17" t="inlineStr">
        <is>
          <t>낮음</t>
        </is>
      </c>
      <c r="L1993" s="17" t="inlineStr"/>
    </row>
    <row r="1994">
      <c r="A1994" s="17" t="inlineStr">
        <is>
          <t>C320</t>
        </is>
      </c>
      <c r="B1994" s="17" t="inlineStr"/>
      <c r="C1994" s="17" t="inlineStr">
        <is>
          <t>큐앤큐팜(주)</t>
        </is>
      </c>
      <c r="D1994" s="17" t="inlineStr"/>
      <c r="E1994" s="17" t="inlineStr">
        <is>
          <t>최근매출(억원)</t>
        </is>
      </c>
      <c r="F1994" s="17" t="inlineStr">
        <is>
          <t>미확인</t>
        </is>
      </c>
      <c r="G1994" s="17" t="inlineStr">
        <is>
          <t>웹조사 자동화 실패(세션한도)</t>
        </is>
      </c>
      <c r="H1994" s="17" t="inlineStr">
        <is>
          <t>N</t>
        </is>
      </c>
      <c r="I1994" s="17" t="inlineStr">
        <is>
          <t>DART 사업보고서</t>
        </is>
      </c>
      <c r="J1994" s="17" t="inlineStr">
        <is>
          <t>DART 사업보고서에서 확인</t>
        </is>
      </c>
      <c r="K1994" s="17" t="inlineStr">
        <is>
          <t>낮음</t>
        </is>
      </c>
      <c r="L1994" s="17" t="inlineStr"/>
    </row>
    <row r="1995">
      <c r="A1995" s="17" t="inlineStr">
        <is>
          <t>C320</t>
        </is>
      </c>
      <c r="B1995" s="17" t="inlineStr"/>
      <c r="C1995" s="17" t="inlineStr">
        <is>
          <t>큐앤큐팜(주)</t>
        </is>
      </c>
      <c r="D1995" s="17" t="inlineStr"/>
      <c r="E1995" s="17" t="inlineStr">
        <is>
          <t>종업원수</t>
        </is>
      </c>
      <c r="F1995" s="17" t="inlineStr">
        <is>
          <t>미확인</t>
        </is>
      </c>
      <c r="G1995" s="17" t="inlineStr">
        <is>
          <t>웹조사 자동화 실패(세션한도)</t>
        </is>
      </c>
      <c r="H1995" s="17" t="inlineStr">
        <is>
          <t>N</t>
        </is>
      </c>
      <c r="I1995" s="17" t="inlineStr">
        <is>
          <t>DART/채용</t>
        </is>
      </c>
      <c r="J1995" s="17" t="inlineStr">
        <is>
          <t>DART/채용에서 확인</t>
        </is>
      </c>
      <c r="K1995" s="17" t="inlineStr">
        <is>
          <t>낮음</t>
        </is>
      </c>
      <c r="L1995" s="17" t="inlineStr"/>
    </row>
    <row r="1996">
      <c r="A1996" s="17" t="inlineStr">
        <is>
          <t>C320</t>
        </is>
      </c>
      <c r="B1996" s="17" t="inlineStr"/>
      <c r="C1996" s="17" t="inlineStr">
        <is>
          <t>큐앤큐팜(주)</t>
        </is>
      </c>
      <c r="D1996" s="17" t="inlineStr"/>
      <c r="E1996" s="17" t="inlineStr">
        <is>
          <t>수출여부</t>
        </is>
      </c>
      <c r="F1996" s="17" t="inlineStr">
        <is>
          <t>미확인</t>
        </is>
      </c>
      <c r="G1996" s="17" t="inlineStr">
        <is>
          <t>웹조사 자동화 실패(세션한도)</t>
        </is>
      </c>
      <c r="H1996" s="17" t="inlineStr">
        <is>
          <t>N</t>
        </is>
      </c>
      <c r="I1996" s="17" t="inlineStr">
        <is>
          <t>회사 공시·홈페이지</t>
        </is>
      </c>
      <c r="J1996" s="17" t="inlineStr">
        <is>
          <t>회사 공시·홈페이지에서 확인</t>
        </is>
      </c>
      <c r="K1996" s="17" t="inlineStr">
        <is>
          <t>낮음</t>
        </is>
      </c>
      <c r="L1996" s="17" t="inlineStr"/>
    </row>
    <row r="1997">
      <c r="A1997" s="17" t="inlineStr">
        <is>
          <t>C320</t>
        </is>
      </c>
      <c r="B1997" s="17" t="inlineStr"/>
      <c r="C1997" s="17" t="inlineStr">
        <is>
          <t>큐앤큐팜(주)</t>
        </is>
      </c>
      <c r="D1997" s="17" t="inlineStr"/>
      <c r="E1997" s="17" t="inlineStr">
        <is>
          <t>FDA·EMA 실사</t>
        </is>
      </c>
      <c r="F1997" s="17" t="inlineStr">
        <is>
          <t>미확인</t>
        </is>
      </c>
      <c r="G1997" s="17" t="inlineStr">
        <is>
          <t>웹조사 자동화 실패(세션한도)</t>
        </is>
      </c>
      <c r="H1997" s="17" t="inlineStr">
        <is>
          <t>N</t>
        </is>
      </c>
      <c r="I1997" s="17" t="inlineStr">
        <is>
          <t>FDA Inspection DB</t>
        </is>
      </c>
      <c r="J1997" s="17" t="inlineStr">
        <is>
          <t>FDA Inspection DB에서 확인</t>
        </is>
      </c>
      <c r="K1997" s="17" t="inlineStr">
        <is>
          <t>낮음</t>
        </is>
      </c>
      <c r="L1997" s="17" t="inlineStr"/>
    </row>
    <row r="1998">
      <c r="A1998" s="17" t="inlineStr">
        <is>
          <t>C320</t>
        </is>
      </c>
      <c r="B1998" s="17" t="inlineStr"/>
      <c r="C1998" s="17" t="inlineStr">
        <is>
          <t>큐앤큐팜(주)</t>
        </is>
      </c>
      <c r="D1998" s="17" t="inlineStr"/>
      <c r="E1998" s="17" t="inlineStr">
        <is>
          <t>CMO·CDMO</t>
        </is>
      </c>
      <c r="F1998" s="17" t="inlineStr">
        <is>
          <t>미확인</t>
        </is>
      </c>
      <c r="G1998" s="17" t="inlineStr">
        <is>
          <t>웹조사 자동화 실패(세션한도)</t>
        </is>
      </c>
      <c r="H1998" s="17" t="inlineStr">
        <is>
          <t>N</t>
        </is>
      </c>
      <c r="I1998" s="17" t="inlineStr">
        <is>
          <t>회사 홈페이지</t>
        </is>
      </c>
      <c r="J1998" s="17" t="inlineStr">
        <is>
          <t>회사 홈페이지에서 확인</t>
        </is>
      </c>
      <c r="K1998" s="17" t="inlineStr">
        <is>
          <t>낮음</t>
        </is>
      </c>
      <c r="L1998" s="17" t="inlineStr"/>
    </row>
    <row r="1999">
      <c r="A1999" s="17" t="inlineStr">
        <is>
          <t>C320</t>
        </is>
      </c>
      <c r="B1999" s="17" t="inlineStr"/>
      <c r="C1999" s="17" t="inlineStr">
        <is>
          <t>큐앤큐팜(주)</t>
        </is>
      </c>
      <c r="D1999" s="17" t="inlineStr"/>
      <c r="E1999" s="17" t="inlineStr">
        <is>
          <t>신공장·증설</t>
        </is>
      </c>
      <c r="F1999" s="17" t="inlineStr">
        <is>
          <t>미확인</t>
        </is>
      </c>
      <c r="G1999" s="17" t="inlineStr">
        <is>
          <t>웹조사 자동화 실패(세션한도)</t>
        </is>
      </c>
      <c r="H1999" s="17" t="inlineStr">
        <is>
          <t>N</t>
        </is>
      </c>
      <c r="I1999" s="17" t="inlineStr">
        <is>
          <t>언론·지자체 발표</t>
        </is>
      </c>
      <c r="J1999" s="17" t="inlineStr">
        <is>
          <t>언론·지자체 발표에서 확인</t>
        </is>
      </c>
      <c r="K1999" s="17" t="inlineStr">
        <is>
          <t>낮음</t>
        </is>
      </c>
      <c r="L1999" s="17" t="inlineStr"/>
    </row>
    <row r="2000">
      <c r="A2000" s="17" t="inlineStr">
        <is>
          <t>C321</t>
        </is>
      </c>
      <c r="B2000" s="17" t="inlineStr"/>
      <c r="C2000" s="17" t="inlineStr">
        <is>
          <t>대신무약(주)</t>
        </is>
      </c>
      <c r="D2000" s="17" t="inlineStr"/>
      <c r="E2000" s="17" t="inlineStr">
        <is>
          <t>최근매출(억원)</t>
        </is>
      </c>
      <c r="F2000" s="17" t="inlineStr">
        <is>
          <t>미확인</t>
        </is>
      </c>
      <c r="G2000" s="17" t="inlineStr">
        <is>
          <t>웹조사 자동화 실패(세션한도)</t>
        </is>
      </c>
      <c r="H2000" s="17" t="inlineStr">
        <is>
          <t>N</t>
        </is>
      </c>
      <c r="I2000" s="17" t="inlineStr">
        <is>
          <t>DART 사업보고서</t>
        </is>
      </c>
      <c r="J2000" s="17" t="inlineStr">
        <is>
          <t>DART 사업보고서에서 확인</t>
        </is>
      </c>
      <c r="K2000" s="17" t="inlineStr">
        <is>
          <t>낮음</t>
        </is>
      </c>
      <c r="L2000" s="17" t="inlineStr"/>
    </row>
    <row r="2001">
      <c r="A2001" s="17" t="inlineStr">
        <is>
          <t>C321</t>
        </is>
      </c>
      <c r="B2001" s="17" t="inlineStr"/>
      <c r="C2001" s="17" t="inlineStr">
        <is>
          <t>대신무약(주)</t>
        </is>
      </c>
      <c r="D2001" s="17" t="inlineStr"/>
      <c r="E2001" s="17" t="inlineStr">
        <is>
          <t>종업원수</t>
        </is>
      </c>
      <c r="F2001" s="17" t="inlineStr">
        <is>
          <t>미확인</t>
        </is>
      </c>
      <c r="G2001" s="17" t="inlineStr">
        <is>
          <t>웹조사 자동화 실패(세션한도)</t>
        </is>
      </c>
      <c r="H2001" s="17" t="inlineStr">
        <is>
          <t>N</t>
        </is>
      </c>
      <c r="I2001" s="17" t="inlineStr">
        <is>
          <t>DART/채용</t>
        </is>
      </c>
      <c r="J2001" s="17" t="inlineStr">
        <is>
          <t>DART/채용에서 확인</t>
        </is>
      </c>
      <c r="K2001" s="17" t="inlineStr">
        <is>
          <t>낮음</t>
        </is>
      </c>
      <c r="L2001" s="17" t="inlineStr"/>
    </row>
    <row r="2002">
      <c r="A2002" s="17" t="inlineStr">
        <is>
          <t>C321</t>
        </is>
      </c>
      <c r="B2002" s="17" t="inlineStr"/>
      <c r="C2002" s="17" t="inlineStr">
        <is>
          <t>대신무약(주)</t>
        </is>
      </c>
      <c r="D2002" s="17" t="inlineStr"/>
      <c r="E2002" s="17" t="inlineStr">
        <is>
          <t>수출여부</t>
        </is>
      </c>
      <c r="F2002" s="17" t="inlineStr">
        <is>
          <t>미확인</t>
        </is>
      </c>
      <c r="G2002" s="17" t="inlineStr">
        <is>
          <t>웹조사 자동화 실패(세션한도)</t>
        </is>
      </c>
      <c r="H2002" s="17" t="inlineStr">
        <is>
          <t>N</t>
        </is>
      </c>
      <c r="I2002" s="17" t="inlineStr">
        <is>
          <t>회사 공시·홈페이지</t>
        </is>
      </c>
      <c r="J2002" s="17" t="inlineStr">
        <is>
          <t>회사 공시·홈페이지에서 확인</t>
        </is>
      </c>
      <c r="K2002" s="17" t="inlineStr">
        <is>
          <t>낮음</t>
        </is>
      </c>
      <c r="L2002" s="17" t="inlineStr"/>
    </row>
    <row r="2003">
      <c r="A2003" s="17" t="inlineStr">
        <is>
          <t>C321</t>
        </is>
      </c>
      <c r="B2003" s="17" t="inlineStr"/>
      <c r="C2003" s="17" t="inlineStr">
        <is>
          <t>대신무약(주)</t>
        </is>
      </c>
      <c r="D2003" s="17" t="inlineStr"/>
      <c r="E2003" s="17" t="inlineStr">
        <is>
          <t>FDA·EMA 실사</t>
        </is>
      </c>
      <c r="F2003" s="17" t="inlineStr">
        <is>
          <t>미확인</t>
        </is>
      </c>
      <c r="G2003" s="17" t="inlineStr">
        <is>
          <t>웹조사 자동화 실패(세션한도)</t>
        </is>
      </c>
      <c r="H2003" s="17" t="inlineStr">
        <is>
          <t>N</t>
        </is>
      </c>
      <c r="I2003" s="17" t="inlineStr">
        <is>
          <t>FDA Inspection DB</t>
        </is>
      </c>
      <c r="J2003" s="17" t="inlineStr">
        <is>
          <t>FDA Inspection DB에서 확인</t>
        </is>
      </c>
      <c r="K2003" s="17" t="inlineStr">
        <is>
          <t>낮음</t>
        </is>
      </c>
      <c r="L2003" s="17" t="inlineStr"/>
    </row>
    <row r="2004">
      <c r="A2004" s="17" t="inlineStr">
        <is>
          <t>C321</t>
        </is>
      </c>
      <c r="B2004" s="17" t="inlineStr"/>
      <c r="C2004" s="17" t="inlineStr">
        <is>
          <t>대신무약(주)</t>
        </is>
      </c>
      <c r="D2004" s="17" t="inlineStr"/>
      <c r="E2004" s="17" t="inlineStr">
        <is>
          <t>CMO·CDMO</t>
        </is>
      </c>
      <c r="F2004" s="17" t="inlineStr">
        <is>
          <t>미확인</t>
        </is>
      </c>
      <c r="G2004" s="17" t="inlineStr">
        <is>
          <t>웹조사 자동화 실패(세션한도)</t>
        </is>
      </c>
      <c r="H2004" s="17" t="inlineStr">
        <is>
          <t>N</t>
        </is>
      </c>
      <c r="I2004" s="17" t="inlineStr">
        <is>
          <t>회사 홈페이지</t>
        </is>
      </c>
      <c r="J2004" s="17" t="inlineStr">
        <is>
          <t>회사 홈페이지에서 확인</t>
        </is>
      </c>
      <c r="K2004" s="17" t="inlineStr">
        <is>
          <t>낮음</t>
        </is>
      </c>
      <c r="L2004" s="17" t="inlineStr"/>
    </row>
    <row r="2005">
      <c r="A2005" s="17" t="inlineStr">
        <is>
          <t>C321</t>
        </is>
      </c>
      <c r="B2005" s="17" t="inlineStr"/>
      <c r="C2005" s="17" t="inlineStr">
        <is>
          <t>대신무약(주)</t>
        </is>
      </c>
      <c r="D2005" s="17" t="inlineStr"/>
      <c r="E2005" s="17" t="inlineStr">
        <is>
          <t>신공장·증설</t>
        </is>
      </c>
      <c r="F2005" s="17" t="inlineStr">
        <is>
          <t>미확인</t>
        </is>
      </c>
      <c r="G2005" s="17" t="inlineStr">
        <is>
          <t>웹조사 자동화 실패(세션한도)</t>
        </is>
      </c>
      <c r="H2005" s="17" t="inlineStr">
        <is>
          <t>N</t>
        </is>
      </c>
      <c r="I2005" s="17" t="inlineStr">
        <is>
          <t>언론·지자체 발표</t>
        </is>
      </c>
      <c r="J2005" s="17" t="inlineStr">
        <is>
          <t>언론·지자체 발표에서 확인</t>
        </is>
      </c>
      <c r="K2005" s="17" t="inlineStr">
        <is>
          <t>낮음</t>
        </is>
      </c>
      <c r="L2005" s="17" t="inlineStr"/>
    </row>
    <row r="2006">
      <c r="A2006" s="17" t="inlineStr">
        <is>
          <t>C322</t>
        </is>
      </c>
      <c r="B2006" s="17" t="inlineStr"/>
      <c r="C2006" s="17" t="inlineStr">
        <is>
          <t>에어젠</t>
        </is>
      </c>
      <c r="D2006" s="17" t="inlineStr"/>
      <c r="E2006" s="17" t="inlineStr">
        <is>
          <t>최근매출(억원)</t>
        </is>
      </c>
      <c r="F2006" s="17" t="inlineStr">
        <is>
          <t>미확인</t>
        </is>
      </c>
      <c r="G2006" s="17" t="inlineStr">
        <is>
          <t>웹조사 자동화 실패(세션한도)</t>
        </is>
      </c>
      <c r="H2006" s="17" t="inlineStr">
        <is>
          <t>N</t>
        </is>
      </c>
      <c r="I2006" s="17" t="inlineStr">
        <is>
          <t>DART 사업보고서</t>
        </is>
      </c>
      <c r="J2006" s="17" t="inlineStr">
        <is>
          <t>DART 사업보고서에서 확인</t>
        </is>
      </c>
      <c r="K2006" s="17" t="inlineStr">
        <is>
          <t>낮음</t>
        </is>
      </c>
      <c r="L2006" s="17" t="inlineStr"/>
    </row>
    <row r="2007">
      <c r="A2007" s="17" t="inlineStr">
        <is>
          <t>C322</t>
        </is>
      </c>
      <c r="B2007" s="17" t="inlineStr"/>
      <c r="C2007" s="17" t="inlineStr">
        <is>
          <t>에어젠</t>
        </is>
      </c>
      <c r="D2007" s="17" t="inlineStr"/>
      <c r="E2007" s="17" t="inlineStr">
        <is>
          <t>종업원수</t>
        </is>
      </c>
      <c r="F2007" s="17" t="inlineStr">
        <is>
          <t>미확인</t>
        </is>
      </c>
      <c r="G2007" s="17" t="inlineStr">
        <is>
          <t>웹조사 자동화 실패(세션한도)</t>
        </is>
      </c>
      <c r="H2007" s="17" t="inlineStr">
        <is>
          <t>N</t>
        </is>
      </c>
      <c r="I2007" s="17" t="inlineStr">
        <is>
          <t>DART/채용</t>
        </is>
      </c>
      <c r="J2007" s="17" t="inlineStr">
        <is>
          <t>DART/채용에서 확인</t>
        </is>
      </c>
      <c r="K2007" s="17" t="inlineStr">
        <is>
          <t>낮음</t>
        </is>
      </c>
      <c r="L2007" s="17" t="inlineStr"/>
    </row>
    <row r="2008">
      <c r="A2008" s="17" t="inlineStr">
        <is>
          <t>C322</t>
        </is>
      </c>
      <c r="B2008" s="17" t="inlineStr"/>
      <c r="C2008" s="17" t="inlineStr">
        <is>
          <t>에어젠</t>
        </is>
      </c>
      <c r="D2008" s="17" t="inlineStr"/>
      <c r="E2008" s="17" t="inlineStr">
        <is>
          <t>수출여부</t>
        </is>
      </c>
      <c r="F2008" s="17" t="inlineStr">
        <is>
          <t>미확인</t>
        </is>
      </c>
      <c r="G2008" s="17" t="inlineStr">
        <is>
          <t>웹조사 자동화 실패(세션한도)</t>
        </is>
      </c>
      <c r="H2008" s="17" t="inlineStr">
        <is>
          <t>N</t>
        </is>
      </c>
      <c r="I2008" s="17" t="inlineStr">
        <is>
          <t>회사 공시·홈페이지</t>
        </is>
      </c>
      <c r="J2008" s="17" t="inlineStr">
        <is>
          <t>회사 공시·홈페이지에서 확인</t>
        </is>
      </c>
      <c r="K2008" s="17" t="inlineStr">
        <is>
          <t>낮음</t>
        </is>
      </c>
      <c r="L2008" s="17" t="inlineStr"/>
    </row>
    <row r="2009">
      <c r="A2009" s="17" t="inlineStr">
        <is>
          <t>C322</t>
        </is>
      </c>
      <c r="B2009" s="17" t="inlineStr"/>
      <c r="C2009" s="17" t="inlineStr">
        <is>
          <t>에어젠</t>
        </is>
      </c>
      <c r="D2009" s="17" t="inlineStr"/>
      <c r="E2009" s="17" t="inlineStr">
        <is>
          <t>FDA·EMA 실사</t>
        </is>
      </c>
      <c r="F2009" s="17" t="inlineStr">
        <is>
          <t>미확인</t>
        </is>
      </c>
      <c r="G2009" s="17" t="inlineStr">
        <is>
          <t>웹조사 자동화 실패(세션한도)</t>
        </is>
      </c>
      <c r="H2009" s="17" t="inlineStr">
        <is>
          <t>N</t>
        </is>
      </c>
      <c r="I2009" s="17" t="inlineStr">
        <is>
          <t>FDA Inspection DB</t>
        </is>
      </c>
      <c r="J2009" s="17" t="inlineStr">
        <is>
          <t>FDA Inspection DB에서 확인</t>
        </is>
      </c>
      <c r="K2009" s="17" t="inlineStr">
        <is>
          <t>낮음</t>
        </is>
      </c>
      <c r="L2009" s="17" t="inlineStr"/>
    </row>
    <row r="2010">
      <c r="A2010" s="17" t="inlineStr">
        <is>
          <t>C322</t>
        </is>
      </c>
      <c r="B2010" s="17" t="inlineStr"/>
      <c r="C2010" s="17" t="inlineStr">
        <is>
          <t>에어젠</t>
        </is>
      </c>
      <c r="D2010" s="17" t="inlineStr"/>
      <c r="E2010" s="17" t="inlineStr">
        <is>
          <t>CMO·CDMO</t>
        </is>
      </c>
      <c r="F2010" s="17" t="inlineStr">
        <is>
          <t>미확인</t>
        </is>
      </c>
      <c r="G2010" s="17" t="inlineStr">
        <is>
          <t>웹조사 자동화 실패(세션한도)</t>
        </is>
      </c>
      <c r="H2010" s="17" t="inlineStr">
        <is>
          <t>N</t>
        </is>
      </c>
      <c r="I2010" s="17" t="inlineStr">
        <is>
          <t>회사 홈페이지</t>
        </is>
      </c>
      <c r="J2010" s="17" t="inlineStr">
        <is>
          <t>회사 홈페이지에서 확인</t>
        </is>
      </c>
      <c r="K2010" s="17" t="inlineStr">
        <is>
          <t>낮음</t>
        </is>
      </c>
      <c r="L2010" s="17" t="inlineStr"/>
    </row>
    <row r="2011">
      <c r="A2011" s="17" t="inlineStr">
        <is>
          <t>C322</t>
        </is>
      </c>
      <c r="B2011" s="17" t="inlineStr"/>
      <c r="C2011" s="17" t="inlineStr">
        <is>
          <t>에어젠</t>
        </is>
      </c>
      <c r="D2011" s="17" t="inlineStr"/>
      <c r="E2011" s="17" t="inlineStr">
        <is>
          <t>신공장·증설</t>
        </is>
      </c>
      <c r="F2011" s="17" t="inlineStr">
        <is>
          <t>미확인</t>
        </is>
      </c>
      <c r="G2011" s="17" t="inlineStr">
        <is>
          <t>웹조사 자동화 실패(세션한도)</t>
        </is>
      </c>
      <c r="H2011" s="17" t="inlineStr">
        <is>
          <t>N</t>
        </is>
      </c>
      <c r="I2011" s="17" t="inlineStr">
        <is>
          <t>언론·지자체 발표</t>
        </is>
      </c>
      <c r="J2011" s="17" t="inlineStr">
        <is>
          <t>언론·지자체 발표에서 확인</t>
        </is>
      </c>
      <c r="K2011" s="17" t="inlineStr">
        <is>
          <t>낮음</t>
        </is>
      </c>
      <c r="L2011" s="17" t="inlineStr"/>
    </row>
    <row r="2012">
      <c r="A2012" s="17" t="inlineStr">
        <is>
          <t>C323</t>
        </is>
      </c>
      <c r="B2012" s="17" t="inlineStr"/>
      <c r="C2012" s="17" t="inlineStr">
        <is>
          <t>이화산업가스주식회사</t>
        </is>
      </c>
      <c r="D2012" s="17" t="inlineStr"/>
      <c r="E2012" s="17" t="inlineStr">
        <is>
          <t>최근매출(억원)</t>
        </is>
      </c>
      <c r="F2012" s="17" t="inlineStr">
        <is>
          <t>미확인</t>
        </is>
      </c>
      <c r="G2012" s="17" t="inlineStr">
        <is>
          <t>웹조사 자동화 실패(세션한도)</t>
        </is>
      </c>
      <c r="H2012" s="17" t="inlineStr">
        <is>
          <t>N</t>
        </is>
      </c>
      <c r="I2012" s="17" t="inlineStr">
        <is>
          <t>DART 사업보고서</t>
        </is>
      </c>
      <c r="J2012" s="17" t="inlineStr">
        <is>
          <t>DART 사업보고서에서 확인</t>
        </is>
      </c>
      <c r="K2012" s="17" t="inlineStr">
        <is>
          <t>낮음</t>
        </is>
      </c>
      <c r="L2012" s="17" t="inlineStr"/>
    </row>
    <row r="2013">
      <c r="A2013" s="17" t="inlineStr">
        <is>
          <t>C323</t>
        </is>
      </c>
      <c r="B2013" s="17" t="inlineStr"/>
      <c r="C2013" s="17" t="inlineStr">
        <is>
          <t>이화산업가스주식회사</t>
        </is>
      </c>
      <c r="D2013" s="17" t="inlineStr"/>
      <c r="E2013" s="17" t="inlineStr">
        <is>
          <t>종업원수</t>
        </is>
      </c>
      <c r="F2013" s="17" t="inlineStr">
        <is>
          <t>미확인</t>
        </is>
      </c>
      <c r="G2013" s="17" t="inlineStr">
        <is>
          <t>웹조사 자동화 실패(세션한도)</t>
        </is>
      </c>
      <c r="H2013" s="17" t="inlineStr">
        <is>
          <t>N</t>
        </is>
      </c>
      <c r="I2013" s="17" t="inlineStr">
        <is>
          <t>DART/채용</t>
        </is>
      </c>
      <c r="J2013" s="17" t="inlineStr">
        <is>
          <t>DART/채용에서 확인</t>
        </is>
      </c>
      <c r="K2013" s="17" t="inlineStr">
        <is>
          <t>낮음</t>
        </is>
      </c>
      <c r="L2013" s="17" t="inlineStr"/>
    </row>
    <row r="2014">
      <c r="A2014" s="17" t="inlineStr">
        <is>
          <t>C323</t>
        </is>
      </c>
      <c r="B2014" s="17" t="inlineStr"/>
      <c r="C2014" s="17" t="inlineStr">
        <is>
          <t>이화산업가스주식회사</t>
        </is>
      </c>
      <c r="D2014" s="17" t="inlineStr"/>
      <c r="E2014" s="17" t="inlineStr">
        <is>
          <t>수출여부</t>
        </is>
      </c>
      <c r="F2014" s="17" t="inlineStr">
        <is>
          <t>미확인</t>
        </is>
      </c>
      <c r="G2014" s="17" t="inlineStr">
        <is>
          <t>웹조사 자동화 실패(세션한도)</t>
        </is>
      </c>
      <c r="H2014" s="17" t="inlineStr">
        <is>
          <t>N</t>
        </is>
      </c>
      <c r="I2014" s="17" t="inlineStr">
        <is>
          <t>회사 공시·홈페이지</t>
        </is>
      </c>
      <c r="J2014" s="17" t="inlineStr">
        <is>
          <t>회사 공시·홈페이지에서 확인</t>
        </is>
      </c>
      <c r="K2014" s="17" t="inlineStr">
        <is>
          <t>낮음</t>
        </is>
      </c>
      <c r="L2014" s="17" t="inlineStr"/>
    </row>
    <row r="2015">
      <c r="A2015" s="17" t="inlineStr">
        <is>
          <t>C323</t>
        </is>
      </c>
      <c r="B2015" s="17" t="inlineStr"/>
      <c r="C2015" s="17" t="inlineStr">
        <is>
          <t>이화산업가스주식회사</t>
        </is>
      </c>
      <c r="D2015" s="17" t="inlineStr"/>
      <c r="E2015" s="17" t="inlineStr">
        <is>
          <t>FDA·EMA 실사</t>
        </is>
      </c>
      <c r="F2015" s="17" t="inlineStr">
        <is>
          <t>미확인</t>
        </is>
      </c>
      <c r="G2015" s="17" t="inlineStr">
        <is>
          <t>웹조사 자동화 실패(세션한도)</t>
        </is>
      </c>
      <c r="H2015" s="17" t="inlineStr">
        <is>
          <t>N</t>
        </is>
      </c>
      <c r="I2015" s="17" t="inlineStr">
        <is>
          <t>FDA Inspection DB</t>
        </is>
      </c>
      <c r="J2015" s="17" t="inlineStr">
        <is>
          <t>FDA Inspection DB에서 확인</t>
        </is>
      </c>
      <c r="K2015" s="17" t="inlineStr">
        <is>
          <t>낮음</t>
        </is>
      </c>
      <c r="L2015" s="17" t="inlineStr"/>
    </row>
    <row r="2016">
      <c r="A2016" s="17" t="inlineStr">
        <is>
          <t>C323</t>
        </is>
      </c>
      <c r="B2016" s="17" t="inlineStr"/>
      <c r="C2016" s="17" t="inlineStr">
        <is>
          <t>이화산업가스주식회사</t>
        </is>
      </c>
      <c r="D2016" s="17" t="inlineStr"/>
      <c r="E2016" s="17" t="inlineStr">
        <is>
          <t>CMO·CDMO</t>
        </is>
      </c>
      <c r="F2016" s="17" t="inlineStr">
        <is>
          <t>미확인</t>
        </is>
      </c>
      <c r="G2016" s="17" t="inlineStr">
        <is>
          <t>웹조사 자동화 실패(세션한도)</t>
        </is>
      </c>
      <c r="H2016" s="17" t="inlineStr">
        <is>
          <t>N</t>
        </is>
      </c>
      <c r="I2016" s="17" t="inlineStr">
        <is>
          <t>회사 홈페이지</t>
        </is>
      </c>
      <c r="J2016" s="17" t="inlineStr">
        <is>
          <t>회사 홈페이지에서 확인</t>
        </is>
      </c>
      <c r="K2016" s="17" t="inlineStr">
        <is>
          <t>낮음</t>
        </is>
      </c>
      <c r="L2016" s="17" t="inlineStr"/>
    </row>
    <row r="2017">
      <c r="A2017" s="17" t="inlineStr">
        <is>
          <t>C323</t>
        </is>
      </c>
      <c r="B2017" s="17" t="inlineStr"/>
      <c r="C2017" s="17" t="inlineStr">
        <is>
          <t>이화산업가스주식회사</t>
        </is>
      </c>
      <c r="D2017" s="17" t="inlineStr"/>
      <c r="E2017" s="17" t="inlineStr">
        <is>
          <t>신공장·증설</t>
        </is>
      </c>
      <c r="F2017" s="17" t="inlineStr">
        <is>
          <t>미확인</t>
        </is>
      </c>
      <c r="G2017" s="17" t="inlineStr">
        <is>
          <t>웹조사 자동화 실패(세션한도)</t>
        </is>
      </c>
      <c r="H2017" s="17" t="inlineStr">
        <is>
          <t>N</t>
        </is>
      </c>
      <c r="I2017" s="17" t="inlineStr">
        <is>
          <t>언론·지자체 발표</t>
        </is>
      </c>
      <c r="J2017" s="17" t="inlineStr">
        <is>
          <t>언론·지자체 발표에서 확인</t>
        </is>
      </c>
      <c r="K2017" s="17" t="inlineStr">
        <is>
          <t>낮음</t>
        </is>
      </c>
      <c r="L2017" s="17" t="inlineStr"/>
    </row>
    <row r="2018">
      <c r="A2018" s="17" t="inlineStr">
        <is>
          <t>C324</t>
        </is>
      </c>
      <c r="B2018" s="17" t="inlineStr"/>
      <c r="C2018" s="17" t="inlineStr">
        <is>
          <t>일양바이오팜(주)</t>
        </is>
      </c>
      <c r="D2018" s="17" t="inlineStr"/>
      <c r="E2018" s="17" t="inlineStr">
        <is>
          <t>최근매출(억원)</t>
        </is>
      </c>
      <c r="F2018" s="17" t="inlineStr">
        <is>
          <t>미확인</t>
        </is>
      </c>
      <c r="G2018" s="17" t="inlineStr">
        <is>
          <t>웹조사 자동화 실패(세션한도)</t>
        </is>
      </c>
      <c r="H2018" s="17" t="inlineStr">
        <is>
          <t>N</t>
        </is>
      </c>
      <c r="I2018" s="17" t="inlineStr">
        <is>
          <t>DART 사업보고서</t>
        </is>
      </c>
      <c r="J2018" s="17" t="inlineStr">
        <is>
          <t>DART 사업보고서에서 확인</t>
        </is>
      </c>
      <c r="K2018" s="17" t="inlineStr">
        <is>
          <t>낮음</t>
        </is>
      </c>
      <c r="L2018" s="17" t="inlineStr"/>
    </row>
    <row r="2019">
      <c r="A2019" s="17" t="inlineStr">
        <is>
          <t>C324</t>
        </is>
      </c>
      <c r="B2019" s="17" t="inlineStr"/>
      <c r="C2019" s="17" t="inlineStr">
        <is>
          <t>일양바이오팜(주)</t>
        </is>
      </c>
      <c r="D2019" s="17" t="inlineStr"/>
      <c r="E2019" s="17" t="inlineStr">
        <is>
          <t>종업원수</t>
        </is>
      </c>
      <c r="F2019" s="17" t="inlineStr">
        <is>
          <t>미확인</t>
        </is>
      </c>
      <c r="G2019" s="17" t="inlineStr">
        <is>
          <t>웹조사 자동화 실패(세션한도)</t>
        </is>
      </c>
      <c r="H2019" s="17" t="inlineStr">
        <is>
          <t>N</t>
        </is>
      </c>
      <c r="I2019" s="17" t="inlineStr">
        <is>
          <t>DART/채용</t>
        </is>
      </c>
      <c r="J2019" s="17" t="inlineStr">
        <is>
          <t>DART/채용에서 확인</t>
        </is>
      </c>
      <c r="K2019" s="17" t="inlineStr">
        <is>
          <t>낮음</t>
        </is>
      </c>
      <c r="L2019" s="17" t="inlineStr"/>
    </row>
    <row r="2020">
      <c r="A2020" s="17" t="inlineStr">
        <is>
          <t>C324</t>
        </is>
      </c>
      <c r="B2020" s="17" t="inlineStr"/>
      <c r="C2020" s="17" t="inlineStr">
        <is>
          <t>일양바이오팜(주)</t>
        </is>
      </c>
      <c r="D2020" s="17" t="inlineStr"/>
      <c r="E2020" s="17" t="inlineStr">
        <is>
          <t>수출여부</t>
        </is>
      </c>
      <c r="F2020" s="17" t="inlineStr">
        <is>
          <t>미확인</t>
        </is>
      </c>
      <c r="G2020" s="17" t="inlineStr">
        <is>
          <t>웹조사 자동화 실패(세션한도)</t>
        </is>
      </c>
      <c r="H2020" s="17" t="inlineStr">
        <is>
          <t>N</t>
        </is>
      </c>
      <c r="I2020" s="17" t="inlineStr">
        <is>
          <t>회사 공시·홈페이지</t>
        </is>
      </c>
      <c r="J2020" s="17" t="inlineStr">
        <is>
          <t>회사 공시·홈페이지에서 확인</t>
        </is>
      </c>
      <c r="K2020" s="17" t="inlineStr">
        <is>
          <t>낮음</t>
        </is>
      </c>
      <c r="L2020" s="17" t="inlineStr"/>
    </row>
    <row r="2021">
      <c r="A2021" s="17" t="inlineStr">
        <is>
          <t>C324</t>
        </is>
      </c>
      <c r="B2021" s="17" t="inlineStr"/>
      <c r="C2021" s="17" t="inlineStr">
        <is>
          <t>일양바이오팜(주)</t>
        </is>
      </c>
      <c r="D2021" s="17" t="inlineStr"/>
      <c r="E2021" s="17" t="inlineStr">
        <is>
          <t>FDA·EMA 실사</t>
        </is>
      </c>
      <c r="F2021" s="17" t="inlineStr">
        <is>
          <t>미확인</t>
        </is>
      </c>
      <c r="G2021" s="17" t="inlineStr">
        <is>
          <t>웹조사 자동화 실패(세션한도)</t>
        </is>
      </c>
      <c r="H2021" s="17" t="inlineStr">
        <is>
          <t>N</t>
        </is>
      </c>
      <c r="I2021" s="17" t="inlineStr">
        <is>
          <t>FDA Inspection DB</t>
        </is>
      </c>
      <c r="J2021" s="17" t="inlineStr">
        <is>
          <t>FDA Inspection DB에서 확인</t>
        </is>
      </c>
      <c r="K2021" s="17" t="inlineStr">
        <is>
          <t>낮음</t>
        </is>
      </c>
      <c r="L2021" s="17" t="inlineStr"/>
    </row>
    <row r="2022">
      <c r="A2022" s="17" t="inlineStr">
        <is>
          <t>C324</t>
        </is>
      </c>
      <c r="B2022" s="17" t="inlineStr"/>
      <c r="C2022" s="17" t="inlineStr">
        <is>
          <t>일양바이오팜(주)</t>
        </is>
      </c>
      <c r="D2022" s="17" t="inlineStr"/>
      <c r="E2022" s="17" t="inlineStr">
        <is>
          <t>CMO·CDMO</t>
        </is>
      </c>
      <c r="F2022" s="17" t="inlineStr">
        <is>
          <t>미확인</t>
        </is>
      </c>
      <c r="G2022" s="17" t="inlineStr">
        <is>
          <t>웹조사 자동화 실패(세션한도)</t>
        </is>
      </c>
      <c r="H2022" s="17" t="inlineStr">
        <is>
          <t>N</t>
        </is>
      </c>
      <c r="I2022" s="17" t="inlineStr">
        <is>
          <t>회사 홈페이지</t>
        </is>
      </c>
      <c r="J2022" s="17" t="inlineStr">
        <is>
          <t>회사 홈페이지에서 확인</t>
        </is>
      </c>
      <c r="K2022" s="17" t="inlineStr">
        <is>
          <t>낮음</t>
        </is>
      </c>
      <c r="L2022" s="17" t="inlineStr"/>
    </row>
    <row r="2023">
      <c r="A2023" s="17" t="inlineStr">
        <is>
          <t>C324</t>
        </is>
      </c>
      <c r="B2023" s="17" t="inlineStr"/>
      <c r="C2023" s="17" t="inlineStr">
        <is>
          <t>일양바이오팜(주)</t>
        </is>
      </c>
      <c r="D2023" s="17" t="inlineStr"/>
      <c r="E2023" s="17" t="inlineStr">
        <is>
          <t>신공장·증설</t>
        </is>
      </c>
      <c r="F2023" s="17" t="inlineStr">
        <is>
          <t>미확인</t>
        </is>
      </c>
      <c r="G2023" s="17" t="inlineStr">
        <is>
          <t>웹조사 자동화 실패(세션한도)</t>
        </is>
      </c>
      <c r="H2023" s="17" t="inlineStr">
        <is>
          <t>N</t>
        </is>
      </c>
      <c r="I2023" s="17" t="inlineStr">
        <is>
          <t>언론·지자체 발표</t>
        </is>
      </c>
      <c r="J2023" s="17" t="inlineStr">
        <is>
          <t>언론·지자체 발표에서 확인</t>
        </is>
      </c>
      <c r="K2023" s="17" t="inlineStr">
        <is>
          <t>낮음</t>
        </is>
      </c>
      <c r="L2023" s="17" t="inlineStr"/>
    </row>
    <row r="2024">
      <c r="A2024" s="17" t="inlineStr">
        <is>
          <t>C325</t>
        </is>
      </c>
      <c r="B2024" s="17" t="inlineStr"/>
      <c r="C2024" s="17" t="inlineStr">
        <is>
          <t>(주)씨엘팜</t>
        </is>
      </c>
      <c r="D2024" s="17" t="inlineStr"/>
      <c r="E2024" s="17" t="inlineStr">
        <is>
          <t>최근매출(억원)</t>
        </is>
      </c>
      <c r="F2024" s="17" t="inlineStr">
        <is>
          <t>미확인</t>
        </is>
      </c>
      <c r="G2024" s="17" t="inlineStr">
        <is>
          <t>웹조사 자동화 실패(세션한도)</t>
        </is>
      </c>
      <c r="H2024" s="17" t="inlineStr">
        <is>
          <t>N</t>
        </is>
      </c>
      <c r="I2024" s="17" t="inlineStr">
        <is>
          <t>DART 사업보고서</t>
        </is>
      </c>
      <c r="J2024" s="17" t="inlineStr">
        <is>
          <t>DART 사업보고서에서 확인</t>
        </is>
      </c>
      <c r="K2024" s="17" t="inlineStr">
        <is>
          <t>낮음</t>
        </is>
      </c>
      <c r="L2024" s="17" t="inlineStr"/>
    </row>
    <row r="2025">
      <c r="A2025" s="17" t="inlineStr">
        <is>
          <t>C325</t>
        </is>
      </c>
      <c r="B2025" s="17" t="inlineStr"/>
      <c r="C2025" s="17" t="inlineStr">
        <is>
          <t>(주)씨엘팜</t>
        </is>
      </c>
      <c r="D2025" s="17" t="inlineStr"/>
      <c r="E2025" s="17" t="inlineStr">
        <is>
          <t>종업원수</t>
        </is>
      </c>
      <c r="F2025" s="17" t="inlineStr">
        <is>
          <t>미확인</t>
        </is>
      </c>
      <c r="G2025" s="17" t="inlineStr">
        <is>
          <t>웹조사 자동화 실패(세션한도)</t>
        </is>
      </c>
      <c r="H2025" s="17" t="inlineStr">
        <is>
          <t>N</t>
        </is>
      </c>
      <c r="I2025" s="17" t="inlineStr">
        <is>
          <t>DART/채용</t>
        </is>
      </c>
      <c r="J2025" s="17" t="inlineStr">
        <is>
          <t>DART/채용에서 확인</t>
        </is>
      </c>
      <c r="K2025" s="17" t="inlineStr">
        <is>
          <t>낮음</t>
        </is>
      </c>
      <c r="L2025" s="17" t="inlineStr"/>
    </row>
    <row r="2026">
      <c r="A2026" s="17" t="inlineStr">
        <is>
          <t>C325</t>
        </is>
      </c>
      <c r="B2026" s="17" t="inlineStr"/>
      <c r="C2026" s="17" t="inlineStr">
        <is>
          <t>(주)씨엘팜</t>
        </is>
      </c>
      <c r="D2026" s="17" t="inlineStr"/>
      <c r="E2026" s="17" t="inlineStr">
        <is>
          <t>수출여부</t>
        </is>
      </c>
      <c r="F2026" s="17" t="inlineStr">
        <is>
          <t>미확인</t>
        </is>
      </c>
      <c r="G2026" s="17" t="inlineStr">
        <is>
          <t>웹조사 자동화 실패(세션한도)</t>
        </is>
      </c>
      <c r="H2026" s="17" t="inlineStr">
        <is>
          <t>N</t>
        </is>
      </c>
      <c r="I2026" s="17" t="inlineStr">
        <is>
          <t>회사 공시·홈페이지</t>
        </is>
      </c>
      <c r="J2026" s="17" t="inlineStr">
        <is>
          <t>회사 공시·홈페이지에서 확인</t>
        </is>
      </c>
      <c r="K2026" s="17" t="inlineStr">
        <is>
          <t>낮음</t>
        </is>
      </c>
      <c r="L2026" s="17" t="inlineStr"/>
    </row>
    <row r="2027">
      <c r="A2027" s="17" t="inlineStr">
        <is>
          <t>C325</t>
        </is>
      </c>
      <c r="B2027" s="17" t="inlineStr"/>
      <c r="C2027" s="17" t="inlineStr">
        <is>
          <t>(주)씨엘팜</t>
        </is>
      </c>
      <c r="D2027" s="17" t="inlineStr"/>
      <c r="E2027" s="17" t="inlineStr">
        <is>
          <t>FDA·EMA 실사</t>
        </is>
      </c>
      <c r="F2027" s="17" t="inlineStr">
        <is>
          <t>미확인</t>
        </is>
      </c>
      <c r="G2027" s="17" t="inlineStr">
        <is>
          <t>웹조사 자동화 실패(세션한도)</t>
        </is>
      </c>
      <c r="H2027" s="17" t="inlineStr">
        <is>
          <t>N</t>
        </is>
      </c>
      <c r="I2027" s="17" t="inlineStr">
        <is>
          <t>FDA Inspection DB</t>
        </is>
      </c>
      <c r="J2027" s="17" t="inlineStr">
        <is>
          <t>FDA Inspection DB에서 확인</t>
        </is>
      </c>
      <c r="K2027" s="17" t="inlineStr">
        <is>
          <t>낮음</t>
        </is>
      </c>
      <c r="L2027" s="17" t="inlineStr"/>
    </row>
    <row r="2028">
      <c r="A2028" s="17" t="inlineStr">
        <is>
          <t>C325</t>
        </is>
      </c>
      <c r="B2028" s="17" t="inlineStr"/>
      <c r="C2028" s="17" t="inlineStr">
        <is>
          <t>(주)씨엘팜</t>
        </is>
      </c>
      <c r="D2028" s="17" t="inlineStr"/>
      <c r="E2028" s="17" t="inlineStr">
        <is>
          <t>CMO·CDMO</t>
        </is>
      </c>
      <c r="F2028" s="17" t="inlineStr">
        <is>
          <t>미확인</t>
        </is>
      </c>
      <c r="G2028" s="17" t="inlineStr">
        <is>
          <t>웹조사 자동화 실패(세션한도)</t>
        </is>
      </c>
      <c r="H2028" s="17" t="inlineStr">
        <is>
          <t>N</t>
        </is>
      </c>
      <c r="I2028" s="17" t="inlineStr">
        <is>
          <t>회사 홈페이지</t>
        </is>
      </c>
      <c r="J2028" s="17" t="inlineStr">
        <is>
          <t>회사 홈페이지에서 확인</t>
        </is>
      </c>
      <c r="K2028" s="17" t="inlineStr">
        <is>
          <t>낮음</t>
        </is>
      </c>
      <c r="L2028" s="17" t="inlineStr"/>
    </row>
    <row r="2029">
      <c r="A2029" s="17" t="inlineStr">
        <is>
          <t>C325</t>
        </is>
      </c>
      <c r="B2029" s="17" t="inlineStr"/>
      <c r="C2029" s="17" t="inlineStr">
        <is>
          <t>(주)씨엘팜</t>
        </is>
      </c>
      <c r="D2029" s="17" t="inlineStr"/>
      <c r="E2029" s="17" t="inlineStr">
        <is>
          <t>신공장·증설</t>
        </is>
      </c>
      <c r="F2029" s="17" t="inlineStr">
        <is>
          <t>미확인</t>
        </is>
      </c>
      <c r="G2029" s="17" t="inlineStr">
        <is>
          <t>웹조사 자동화 실패(세션한도)</t>
        </is>
      </c>
      <c r="H2029" s="17" t="inlineStr">
        <is>
          <t>N</t>
        </is>
      </c>
      <c r="I2029" s="17" t="inlineStr">
        <is>
          <t>언론·지자체 발표</t>
        </is>
      </c>
      <c r="J2029" s="17" t="inlineStr">
        <is>
          <t>언론·지자체 발표에서 확인</t>
        </is>
      </c>
      <c r="K2029" s="17" t="inlineStr">
        <is>
          <t>낮음</t>
        </is>
      </c>
      <c r="L2029" s="17" t="inlineStr"/>
    </row>
    <row r="2030">
      <c r="A2030" s="17" t="inlineStr">
        <is>
          <t>C326</t>
        </is>
      </c>
      <c r="B2030" s="17" t="inlineStr"/>
      <c r="C2030" s="17" t="inlineStr">
        <is>
          <t>미래바이오제약(주)</t>
        </is>
      </c>
      <c r="D2030" s="17" t="inlineStr"/>
      <c r="E2030" s="17" t="inlineStr">
        <is>
          <t>최근매출(억원)</t>
        </is>
      </c>
      <c r="F2030" s="17" t="inlineStr">
        <is>
          <t>미확인</t>
        </is>
      </c>
      <c r="G2030" s="17" t="inlineStr">
        <is>
          <t>웹조사 자동화 실패(세션한도)</t>
        </is>
      </c>
      <c r="H2030" s="17" t="inlineStr">
        <is>
          <t>N</t>
        </is>
      </c>
      <c r="I2030" s="17" t="inlineStr">
        <is>
          <t>DART 사업보고서</t>
        </is>
      </c>
      <c r="J2030" s="17" t="inlineStr">
        <is>
          <t>DART 사업보고서에서 확인</t>
        </is>
      </c>
      <c r="K2030" s="17" t="inlineStr">
        <is>
          <t>낮음</t>
        </is>
      </c>
      <c r="L2030" s="17" t="inlineStr"/>
    </row>
    <row r="2031">
      <c r="A2031" s="17" t="inlineStr">
        <is>
          <t>C326</t>
        </is>
      </c>
      <c r="B2031" s="17" t="inlineStr"/>
      <c r="C2031" s="17" t="inlineStr">
        <is>
          <t>미래바이오제약(주)</t>
        </is>
      </c>
      <c r="D2031" s="17" t="inlineStr"/>
      <c r="E2031" s="17" t="inlineStr">
        <is>
          <t>종업원수</t>
        </is>
      </c>
      <c r="F2031" s="17" t="inlineStr">
        <is>
          <t>미확인</t>
        </is>
      </c>
      <c r="G2031" s="17" t="inlineStr">
        <is>
          <t>웹조사 자동화 실패(세션한도)</t>
        </is>
      </c>
      <c r="H2031" s="17" t="inlineStr">
        <is>
          <t>N</t>
        </is>
      </c>
      <c r="I2031" s="17" t="inlineStr">
        <is>
          <t>DART/채용</t>
        </is>
      </c>
      <c r="J2031" s="17" t="inlineStr">
        <is>
          <t>DART/채용에서 확인</t>
        </is>
      </c>
      <c r="K2031" s="17" t="inlineStr">
        <is>
          <t>낮음</t>
        </is>
      </c>
      <c r="L2031" s="17" t="inlineStr"/>
    </row>
    <row r="2032">
      <c r="A2032" s="17" t="inlineStr">
        <is>
          <t>C326</t>
        </is>
      </c>
      <c r="B2032" s="17" t="inlineStr"/>
      <c r="C2032" s="17" t="inlineStr">
        <is>
          <t>미래바이오제약(주)</t>
        </is>
      </c>
      <c r="D2032" s="17" t="inlineStr"/>
      <c r="E2032" s="17" t="inlineStr">
        <is>
          <t>수출여부</t>
        </is>
      </c>
      <c r="F2032" s="17" t="inlineStr">
        <is>
          <t>미확인</t>
        </is>
      </c>
      <c r="G2032" s="17" t="inlineStr">
        <is>
          <t>웹조사 자동화 실패(세션한도)</t>
        </is>
      </c>
      <c r="H2032" s="17" t="inlineStr">
        <is>
          <t>N</t>
        </is>
      </c>
      <c r="I2032" s="17" t="inlineStr">
        <is>
          <t>회사 공시·홈페이지</t>
        </is>
      </c>
      <c r="J2032" s="17" t="inlineStr">
        <is>
          <t>회사 공시·홈페이지에서 확인</t>
        </is>
      </c>
      <c r="K2032" s="17" t="inlineStr">
        <is>
          <t>낮음</t>
        </is>
      </c>
      <c r="L2032" s="17" t="inlineStr"/>
    </row>
    <row r="2033">
      <c r="A2033" s="17" t="inlineStr">
        <is>
          <t>C326</t>
        </is>
      </c>
      <c r="B2033" s="17" t="inlineStr"/>
      <c r="C2033" s="17" t="inlineStr">
        <is>
          <t>미래바이오제약(주)</t>
        </is>
      </c>
      <c r="D2033" s="17" t="inlineStr"/>
      <c r="E2033" s="17" t="inlineStr">
        <is>
          <t>FDA·EMA 실사</t>
        </is>
      </c>
      <c r="F2033" s="17" t="inlineStr">
        <is>
          <t>미확인</t>
        </is>
      </c>
      <c r="G2033" s="17" t="inlineStr">
        <is>
          <t>웹조사 자동화 실패(세션한도)</t>
        </is>
      </c>
      <c r="H2033" s="17" t="inlineStr">
        <is>
          <t>N</t>
        </is>
      </c>
      <c r="I2033" s="17" t="inlineStr">
        <is>
          <t>FDA Inspection DB</t>
        </is>
      </c>
      <c r="J2033" s="17" t="inlineStr">
        <is>
          <t>FDA Inspection DB에서 확인</t>
        </is>
      </c>
      <c r="K2033" s="17" t="inlineStr">
        <is>
          <t>낮음</t>
        </is>
      </c>
      <c r="L2033" s="17" t="inlineStr"/>
    </row>
    <row r="2034">
      <c r="A2034" s="17" t="inlineStr">
        <is>
          <t>C326</t>
        </is>
      </c>
      <c r="B2034" s="17" t="inlineStr"/>
      <c r="C2034" s="17" t="inlineStr">
        <is>
          <t>미래바이오제약(주)</t>
        </is>
      </c>
      <c r="D2034" s="17" t="inlineStr"/>
      <c r="E2034" s="17" t="inlineStr">
        <is>
          <t>CMO·CDMO</t>
        </is>
      </c>
      <c r="F2034" s="17" t="inlineStr">
        <is>
          <t>미확인</t>
        </is>
      </c>
      <c r="G2034" s="17" t="inlineStr">
        <is>
          <t>웹조사 자동화 실패(세션한도)</t>
        </is>
      </c>
      <c r="H2034" s="17" t="inlineStr">
        <is>
          <t>N</t>
        </is>
      </c>
      <c r="I2034" s="17" t="inlineStr">
        <is>
          <t>회사 홈페이지</t>
        </is>
      </c>
      <c r="J2034" s="17" t="inlineStr">
        <is>
          <t>회사 홈페이지에서 확인</t>
        </is>
      </c>
      <c r="K2034" s="17" t="inlineStr">
        <is>
          <t>낮음</t>
        </is>
      </c>
      <c r="L2034" s="17" t="inlineStr"/>
    </row>
    <row r="2035">
      <c r="A2035" s="17" t="inlineStr">
        <is>
          <t>C326</t>
        </is>
      </c>
      <c r="B2035" s="17" t="inlineStr"/>
      <c r="C2035" s="17" t="inlineStr">
        <is>
          <t>미래바이오제약(주)</t>
        </is>
      </c>
      <c r="D2035" s="17" t="inlineStr"/>
      <c r="E2035" s="17" t="inlineStr">
        <is>
          <t>신공장·증설</t>
        </is>
      </c>
      <c r="F2035" s="17" t="inlineStr">
        <is>
          <t>미확인</t>
        </is>
      </c>
      <c r="G2035" s="17" t="inlineStr">
        <is>
          <t>웹조사 자동화 실패(세션한도)</t>
        </is>
      </c>
      <c r="H2035" s="17" t="inlineStr">
        <is>
          <t>N</t>
        </is>
      </c>
      <c r="I2035" s="17" t="inlineStr">
        <is>
          <t>언론·지자체 발표</t>
        </is>
      </c>
      <c r="J2035" s="17" t="inlineStr">
        <is>
          <t>언론·지자체 발표에서 확인</t>
        </is>
      </c>
      <c r="K2035" s="17" t="inlineStr">
        <is>
          <t>낮음</t>
        </is>
      </c>
      <c r="L2035" s="17" t="inlineStr"/>
    </row>
    <row r="2036">
      <c r="A2036" s="17" t="inlineStr">
        <is>
          <t>C327</t>
        </is>
      </c>
      <c r="B2036" s="17" t="inlineStr"/>
      <c r="C2036" s="17" t="inlineStr">
        <is>
          <t>휴젤주식회사</t>
        </is>
      </c>
      <c r="D2036" s="17" t="inlineStr"/>
      <c r="E2036" s="17" t="inlineStr">
        <is>
          <t>최근매출(억원)</t>
        </is>
      </c>
      <c r="F2036" s="17" t="inlineStr">
        <is>
          <t>미확인</t>
        </is>
      </c>
      <c r="G2036" s="17" t="inlineStr">
        <is>
          <t>웹조사 자동화 실패(세션한도)</t>
        </is>
      </c>
      <c r="H2036" s="17" t="inlineStr">
        <is>
          <t>N</t>
        </is>
      </c>
      <c r="I2036" s="17" t="inlineStr">
        <is>
          <t>DART 사업보고서</t>
        </is>
      </c>
      <c r="J2036" s="17" t="inlineStr">
        <is>
          <t>DART 사업보고서에서 확인</t>
        </is>
      </c>
      <c r="K2036" s="17" t="inlineStr">
        <is>
          <t>낮음</t>
        </is>
      </c>
      <c r="L2036" s="17" t="inlineStr"/>
    </row>
    <row r="2037">
      <c r="A2037" s="17" t="inlineStr">
        <is>
          <t>C327</t>
        </is>
      </c>
      <c r="B2037" s="17" t="inlineStr"/>
      <c r="C2037" s="17" t="inlineStr">
        <is>
          <t>휴젤주식회사</t>
        </is>
      </c>
      <c r="D2037" s="17" t="inlineStr"/>
      <c r="E2037" s="17" t="inlineStr">
        <is>
          <t>종업원수</t>
        </is>
      </c>
      <c r="F2037" s="17" t="inlineStr">
        <is>
          <t>미확인</t>
        </is>
      </c>
      <c r="G2037" s="17" t="inlineStr">
        <is>
          <t>웹조사 자동화 실패(세션한도)</t>
        </is>
      </c>
      <c r="H2037" s="17" t="inlineStr">
        <is>
          <t>N</t>
        </is>
      </c>
      <c r="I2037" s="17" t="inlineStr">
        <is>
          <t>DART/채용</t>
        </is>
      </c>
      <c r="J2037" s="17" t="inlineStr">
        <is>
          <t>DART/채용에서 확인</t>
        </is>
      </c>
      <c r="K2037" s="17" t="inlineStr">
        <is>
          <t>낮음</t>
        </is>
      </c>
      <c r="L2037" s="17" t="inlineStr"/>
    </row>
    <row r="2038">
      <c r="A2038" s="17" t="inlineStr">
        <is>
          <t>C327</t>
        </is>
      </c>
      <c r="B2038" s="17" t="inlineStr"/>
      <c r="C2038" s="17" t="inlineStr">
        <is>
          <t>휴젤주식회사</t>
        </is>
      </c>
      <c r="D2038" s="17" t="inlineStr"/>
      <c r="E2038" s="17" t="inlineStr">
        <is>
          <t>수출여부</t>
        </is>
      </c>
      <c r="F2038" s="17" t="inlineStr">
        <is>
          <t>미확인</t>
        </is>
      </c>
      <c r="G2038" s="17" t="inlineStr">
        <is>
          <t>웹조사 자동화 실패(세션한도)</t>
        </is>
      </c>
      <c r="H2038" s="17" t="inlineStr">
        <is>
          <t>N</t>
        </is>
      </c>
      <c r="I2038" s="17" t="inlineStr">
        <is>
          <t>회사 공시·홈페이지</t>
        </is>
      </c>
      <c r="J2038" s="17" t="inlineStr">
        <is>
          <t>회사 공시·홈페이지에서 확인</t>
        </is>
      </c>
      <c r="K2038" s="17" t="inlineStr">
        <is>
          <t>낮음</t>
        </is>
      </c>
      <c r="L2038" s="17" t="inlineStr"/>
    </row>
    <row r="2039">
      <c r="A2039" s="17" t="inlineStr">
        <is>
          <t>C327</t>
        </is>
      </c>
      <c r="B2039" s="17" t="inlineStr"/>
      <c r="C2039" s="17" t="inlineStr">
        <is>
          <t>휴젤주식회사</t>
        </is>
      </c>
      <c r="D2039" s="17" t="inlineStr"/>
      <c r="E2039" s="17" t="inlineStr">
        <is>
          <t>FDA·EMA 실사</t>
        </is>
      </c>
      <c r="F2039" s="17" t="inlineStr">
        <is>
          <t>미확인</t>
        </is>
      </c>
      <c r="G2039" s="17" t="inlineStr">
        <is>
          <t>웹조사 자동화 실패(세션한도)</t>
        </is>
      </c>
      <c r="H2039" s="17" t="inlineStr">
        <is>
          <t>N</t>
        </is>
      </c>
      <c r="I2039" s="17" t="inlineStr">
        <is>
          <t>FDA Inspection DB</t>
        </is>
      </c>
      <c r="J2039" s="17" t="inlineStr">
        <is>
          <t>FDA Inspection DB에서 확인</t>
        </is>
      </c>
      <c r="K2039" s="17" t="inlineStr">
        <is>
          <t>낮음</t>
        </is>
      </c>
      <c r="L2039" s="17" t="inlineStr"/>
    </row>
    <row r="2040">
      <c r="A2040" s="17" t="inlineStr">
        <is>
          <t>C327</t>
        </is>
      </c>
      <c r="B2040" s="17" t="inlineStr"/>
      <c r="C2040" s="17" t="inlineStr">
        <is>
          <t>휴젤주식회사</t>
        </is>
      </c>
      <c r="D2040" s="17" t="inlineStr"/>
      <c r="E2040" s="17" t="inlineStr">
        <is>
          <t>CMO·CDMO</t>
        </is>
      </c>
      <c r="F2040" s="17" t="inlineStr">
        <is>
          <t>미확인</t>
        </is>
      </c>
      <c r="G2040" s="17" t="inlineStr">
        <is>
          <t>웹조사 자동화 실패(세션한도)</t>
        </is>
      </c>
      <c r="H2040" s="17" t="inlineStr">
        <is>
          <t>N</t>
        </is>
      </c>
      <c r="I2040" s="17" t="inlineStr">
        <is>
          <t>회사 홈페이지</t>
        </is>
      </c>
      <c r="J2040" s="17" t="inlineStr">
        <is>
          <t>회사 홈페이지에서 확인</t>
        </is>
      </c>
      <c r="K2040" s="17" t="inlineStr">
        <is>
          <t>낮음</t>
        </is>
      </c>
      <c r="L2040" s="17" t="inlineStr"/>
    </row>
    <row r="2041">
      <c r="A2041" s="17" t="inlineStr">
        <is>
          <t>C327</t>
        </is>
      </c>
      <c r="B2041" s="17" t="inlineStr"/>
      <c r="C2041" s="17" t="inlineStr">
        <is>
          <t>휴젤주식회사</t>
        </is>
      </c>
      <c r="D2041" s="17" t="inlineStr"/>
      <c r="E2041" s="17" t="inlineStr">
        <is>
          <t>신공장·증설</t>
        </is>
      </c>
      <c r="F2041" s="17" t="inlineStr">
        <is>
          <t>미확인</t>
        </is>
      </c>
      <c r="G2041" s="17" t="inlineStr">
        <is>
          <t>웹조사 자동화 실패(세션한도)</t>
        </is>
      </c>
      <c r="H2041" s="17" t="inlineStr">
        <is>
          <t>N</t>
        </is>
      </c>
      <c r="I2041" s="17" t="inlineStr">
        <is>
          <t>언론·지자체 발표</t>
        </is>
      </c>
      <c r="J2041" s="17" t="inlineStr">
        <is>
          <t>언론·지자체 발표에서 확인</t>
        </is>
      </c>
      <c r="K2041" s="17" t="inlineStr">
        <is>
          <t>낮음</t>
        </is>
      </c>
      <c r="L2041" s="17" t="inlineStr"/>
    </row>
    <row r="2042">
      <c r="A2042" s="17" t="inlineStr">
        <is>
          <t>C328</t>
        </is>
      </c>
      <c r="B2042" s="17" t="inlineStr"/>
      <c r="C2042" s="17" t="inlineStr">
        <is>
          <t>(주)하원정밀화학</t>
        </is>
      </c>
      <c r="D2042" s="17" t="inlineStr"/>
      <c r="E2042" s="17" t="inlineStr">
        <is>
          <t>최근매출(억원)</t>
        </is>
      </c>
      <c r="F2042" s="17" t="inlineStr">
        <is>
          <t>미확인</t>
        </is>
      </c>
      <c r="G2042" s="17" t="inlineStr">
        <is>
          <t>웹조사 자동화 실패(세션한도)</t>
        </is>
      </c>
      <c r="H2042" s="17" t="inlineStr">
        <is>
          <t>N</t>
        </is>
      </c>
      <c r="I2042" s="17" t="inlineStr">
        <is>
          <t>DART 사업보고서</t>
        </is>
      </c>
      <c r="J2042" s="17" t="inlineStr">
        <is>
          <t>DART 사업보고서에서 확인</t>
        </is>
      </c>
      <c r="K2042" s="17" t="inlineStr">
        <is>
          <t>낮음</t>
        </is>
      </c>
      <c r="L2042" s="17" t="inlineStr"/>
    </row>
    <row r="2043">
      <c r="A2043" s="17" t="inlineStr">
        <is>
          <t>C328</t>
        </is>
      </c>
      <c r="B2043" s="17" t="inlineStr"/>
      <c r="C2043" s="17" t="inlineStr">
        <is>
          <t>(주)하원정밀화학</t>
        </is>
      </c>
      <c r="D2043" s="17" t="inlineStr"/>
      <c r="E2043" s="17" t="inlineStr">
        <is>
          <t>종업원수</t>
        </is>
      </c>
      <c r="F2043" s="17" t="inlineStr">
        <is>
          <t>미확인</t>
        </is>
      </c>
      <c r="G2043" s="17" t="inlineStr">
        <is>
          <t>웹조사 자동화 실패(세션한도)</t>
        </is>
      </c>
      <c r="H2043" s="17" t="inlineStr">
        <is>
          <t>N</t>
        </is>
      </c>
      <c r="I2043" s="17" t="inlineStr">
        <is>
          <t>DART/채용</t>
        </is>
      </c>
      <c r="J2043" s="17" t="inlineStr">
        <is>
          <t>DART/채용에서 확인</t>
        </is>
      </c>
      <c r="K2043" s="17" t="inlineStr">
        <is>
          <t>낮음</t>
        </is>
      </c>
      <c r="L2043" s="17" t="inlineStr"/>
    </row>
    <row r="2044">
      <c r="A2044" s="17" t="inlineStr">
        <is>
          <t>C328</t>
        </is>
      </c>
      <c r="B2044" s="17" t="inlineStr"/>
      <c r="C2044" s="17" t="inlineStr">
        <is>
          <t>(주)하원정밀화학</t>
        </is>
      </c>
      <c r="D2044" s="17" t="inlineStr"/>
      <c r="E2044" s="17" t="inlineStr">
        <is>
          <t>수출여부</t>
        </is>
      </c>
      <c r="F2044" s="17" t="inlineStr">
        <is>
          <t>미확인</t>
        </is>
      </c>
      <c r="G2044" s="17" t="inlineStr">
        <is>
          <t>웹조사 자동화 실패(세션한도)</t>
        </is>
      </c>
      <c r="H2044" s="17" t="inlineStr">
        <is>
          <t>N</t>
        </is>
      </c>
      <c r="I2044" s="17" t="inlineStr">
        <is>
          <t>회사 공시·홈페이지</t>
        </is>
      </c>
      <c r="J2044" s="17" t="inlineStr">
        <is>
          <t>회사 공시·홈페이지에서 확인</t>
        </is>
      </c>
      <c r="K2044" s="17" t="inlineStr">
        <is>
          <t>낮음</t>
        </is>
      </c>
      <c r="L2044" s="17" t="inlineStr"/>
    </row>
    <row r="2045">
      <c r="A2045" s="17" t="inlineStr">
        <is>
          <t>C328</t>
        </is>
      </c>
      <c r="B2045" s="17" t="inlineStr"/>
      <c r="C2045" s="17" t="inlineStr">
        <is>
          <t>(주)하원정밀화학</t>
        </is>
      </c>
      <c r="D2045" s="17" t="inlineStr"/>
      <c r="E2045" s="17" t="inlineStr">
        <is>
          <t>FDA·EMA 실사</t>
        </is>
      </c>
      <c r="F2045" s="17" t="inlineStr">
        <is>
          <t>미확인</t>
        </is>
      </c>
      <c r="G2045" s="17" t="inlineStr">
        <is>
          <t>웹조사 자동화 실패(세션한도)</t>
        </is>
      </c>
      <c r="H2045" s="17" t="inlineStr">
        <is>
          <t>N</t>
        </is>
      </c>
      <c r="I2045" s="17" t="inlineStr">
        <is>
          <t>FDA Inspection DB</t>
        </is>
      </c>
      <c r="J2045" s="17" t="inlineStr">
        <is>
          <t>FDA Inspection DB에서 확인</t>
        </is>
      </c>
      <c r="K2045" s="17" t="inlineStr">
        <is>
          <t>낮음</t>
        </is>
      </c>
      <c r="L2045" s="17" t="inlineStr"/>
    </row>
    <row r="2046">
      <c r="A2046" s="17" t="inlineStr">
        <is>
          <t>C328</t>
        </is>
      </c>
      <c r="B2046" s="17" t="inlineStr"/>
      <c r="C2046" s="17" t="inlineStr">
        <is>
          <t>(주)하원정밀화학</t>
        </is>
      </c>
      <c r="D2046" s="17" t="inlineStr"/>
      <c r="E2046" s="17" t="inlineStr">
        <is>
          <t>CMO·CDMO</t>
        </is>
      </c>
      <c r="F2046" s="17" t="inlineStr">
        <is>
          <t>미확인</t>
        </is>
      </c>
      <c r="G2046" s="17" t="inlineStr">
        <is>
          <t>웹조사 자동화 실패(세션한도)</t>
        </is>
      </c>
      <c r="H2046" s="17" t="inlineStr">
        <is>
          <t>N</t>
        </is>
      </c>
      <c r="I2046" s="17" t="inlineStr">
        <is>
          <t>회사 홈페이지</t>
        </is>
      </c>
      <c r="J2046" s="17" t="inlineStr">
        <is>
          <t>회사 홈페이지에서 확인</t>
        </is>
      </c>
      <c r="K2046" s="17" t="inlineStr">
        <is>
          <t>낮음</t>
        </is>
      </c>
      <c r="L2046" s="17" t="inlineStr"/>
    </row>
    <row r="2047">
      <c r="A2047" s="17" t="inlineStr">
        <is>
          <t>C328</t>
        </is>
      </c>
      <c r="B2047" s="17" t="inlineStr"/>
      <c r="C2047" s="17" t="inlineStr">
        <is>
          <t>(주)하원정밀화학</t>
        </is>
      </c>
      <c r="D2047" s="17" t="inlineStr"/>
      <c r="E2047" s="17" t="inlineStr">
        <is>
          <t>신공장·증설</t>
        </is>
      </c>
      <c r="F2047" s="17" t="inlineStr">
        <is>
          <t>미확인</t>
        </is>
      </c>
      <c r="G2047" s="17" t="inlineStr">
        <is>
          <t>웹조사 자동화 실패(세션한도)</t>
        </is>
      </c>
      <c r="H2047" s="17" t="inlineStr">
        <is>
          <t>N</t>
        </is>
      </c>
      <c r="I2047" s="17" t="inlineStr">
        <is>
          <t>언론·지자체 발표</t>
        </is>
      </c>
      <c r="J2047" s="17" t="inlineStr">
        <is>
          <t>언론·지자체 발표에서 확인</t>
        </is>
      </c>
      <c r="K2047" s="17" t="inlineStr">
        <is>
          <t>낮음</t>
        </is>
      </c>
      <c r="L2047" s="17" t="inlineStr"/>
    </row>
    <row r="2048">
      <c r="A2048" s="17" t="inlineStr">
        <is>
          <t>C329</t>
        </is>
      </c>
      <c r="B2048" s="17" t="inlineStr"/>
      <c r="C2048" s="17" t="inlineStr">
        <is>
          <t>(주)이수앱지스</t>
        </is>
      </c>
      <c r="D2048" s="17" t="inlineStr"/>
      <c r="E2048" s="17" t="inlineStr">
        <is>
          <t>최근매출(억원)</t>
        </is>
      </c>
      <c r="F2048" s="17" t="inlineStr">
        <is>
          <t>미확인</t>
        </is>
      </c>
      <c r="G2048" s="17" t="inlineStr">
        <is>
          <t>웹조사 자동화 실패(세션한도)</t>
        </is>
      </c>
      <c r="H2048" s="17" t="inlineStr">
        <is>
          <t>N</t>
        </is>
      </c>
      <c r="I2048" s="17" t="inlineStr">
        <is>
          <t>DART 사업보고서</t>
        </is>
      </c>
      <c r="J2048" s="17" t="inlineStr">
        <is>
          <t>DART 사업보고서에서 확인</t>
        </is>
      </c>
      <c r="K2048" s="17" t="inlineStr">
        <is>
          <t>낮음</t>
        </is>
      </c>
      <c r="L2048" s="17" t="inlineStr"/>
    </row>
    <row r="2049">
      <c r="A2049" s="17" t="inlineStr">
        <is>
          <t>C329</t>
        </is>
      </c>
      <c r="B2049" s="17" t="inlineStr"/>
      <c r="C2049" s="17" t="inlineStr">
        <is>
          <t>(주)이수앱지스</t>
        </is>
      </c>
      <c r="D2049" s="17" t="inlineStr"/>
      <c r="E2049" s="17" t="inlineStr">
        <is>
          <t>종업원수</t>
        </is>
      </c>
      <c r="F2049" s="17" t="inlineStr">
        <is>
          <t>미확인</t>
        </is>
      </c>
      <c r="G2049" s="17" t="inlineStr">
        <is>
          <t>웹조사 자동화 실패(세션한도)</t>
        </is>
      </c>
      <c r="H2049" s="17" t="inlineStr">
        <is>
          <t>N</t>
        </is>
      </c>
      <c r="I2049" s="17" t="inlineStr">
        <is>
          <t>DART/채용</t>
        </is>
      </c>
      <c r="J2049" s="17" t="inlineStr">
        <is>
          <t>DART/채용에서 확인</t>
        </is>
      </c>
      <c r="K2049" s="17" t="inlineStr">
        <is>
          <t>낮음</t>
        </is>
      </c>
      <c r="L2049" s="17" t="inlineStr"/>
    </row>
    <row r="2050">
      <c r="A2050" s="17" t="inlineStr">
        <is>
          <t>C329</t>
        </is>
      </c>
      <c r="B2050" s="17" t="inlineStr"/>
      <c r="C2050" s="17" t="inlineStr">
        <is>
          <t>(주)이수앱지스</t>
        </is>
      </c>
      <c r="D2050" s="17" t="inlineStr"/>
      <c r="E2050" s="17" t="inlineStr">
        <is>
          <t>수출여부</t>
        </is>
      </c>
      <c r="F2050" s="17" t="inlineStr">
        <is>
          <t>미확인</t>
        </is>
      </c>
      <c r="G2050" s="17" t="inlineStr">
        <is>
          <t>웹조사 자동화 실패(세션한도)</t>
        </is>
      </c>
      <c r="H2050" s="17" t="inlineStr">
        <is>
          <t>N</t>
        </is>
      </c>
      <c r="I2050" s="17" t="inlineStr">
        <is>
          <t>회사 공시·홈페이지</t>
        </is>
      </c>
      <c r="J2050" s="17" t="inlineStr">
        <is>
          <t>회사 공시·홈페이지에서 확인</t>
        </is>
      </c>
      <c r="K2050" s="17" t="inlineStr">
        <is>
          <t>낮음</t>
        </is>
      </c>
      <c r="L2050" s="17" t="inlineStr"/>
    </row>
    <row r="2051">
      <c r="A2051" s="17" t="inlineStr">
        <is>
          <t>C329</t>
        </is>
      </c>
      <c r="B2051" s="17" t="inlineStr"/>
      <c r="C2051" s="17" t="inlineStr">
        <is>
          <t>(주)이수앱지스</t>
        </is>
      </c>
      <c r="D2051" s="17" t="inlineStr"/>
      <c r="E2051" s="17" t="inlineStr">
        <is>
          <t>FDA·EMA 실사</t>
        </is>
      </c>
      <c r="F2051" s="17" t="inlineStr">
        <is>
          <t>미확인</t>
        </is>
      </c>
      <c r="G2051" s="17" t="inlineStr">
        <is>
          <t>웹조사 자동화 실패(세션한도)</t>
        </is>
      </c>
      <c r="H2051" s="17" t="inlineStr">
        <is>
          <t>N</t>
        </is>
      </c>
      <c r="I2051" s="17" t="inlineStr">
        <is>
          <t>FDA Inspection DB</t>
        </is>
      </c>
      <c r="J2051" s="17" t="inlineStr">
        <is>
          <t>FDA Inspection DB에서 확인</t>
        </is>
      </c>
      <c r="K2051" s="17" t="inlineStr">
        <is>
          <t>낮음</t>
        </is>
      </c>
      <c r="L2051" s="17" t="inlineStr"/>
    </row>
    <row r="2052">
      <c r="A2052" s="17" t="inlineStr">
        <is>
          <t>C329</t>
        </is>
      </c>
      <c r="B2052" s="17" t="inlineStr"/>
      <c r="C2052" s="17" t="inlineStr">
        <is>
          <t>(주)이수앱지스</t>
        </is>
      </c>
      <c r="D2052" s="17" t="inlineStr"/>
      <c r="E2052" s="17" t="inlineStr">
        <is>
          <t>CMO·CDMO</t>
        </is>
      </c>
      <c r="F2052" s="17" t="inlineStr">
        <is>
          <t>미확인</t>
        </is>
      </c>
      <c r="G2052" s="17" t="inlineStr">
        <is>
          <t>웹조사 자동화 실패(세션한도)</t>
        </is>
      </c>
      <c r="H2052" s="17" t="inlineStr">
        <is>
          <t>N</t>
        </is>
      </c>
      <c r="I2052" s="17" t="inlineStr">
        <is>
          <t>회사 홈페이지</t>
        </is>
      </c>
      <c r="J2052" s="17" t="inlineStr">
        <is>
          <t>회사 홈페이지에서 확인</t>
        </is>
      </c>
      <c r="K2052" s="17" t="inlineStr">
        <is>
          <t>낮음</t>
        </is>
      </c>
      <c r="L2052" s="17" t="inlineStr"/>
    </row>
    <row r="2053">
      <c r="A2053" s="17" t="inlineStr">
        <is>
          <t>C329</t>
        </is>
      </c>
      <c r="B2053" s="17" t="inlineStr"/>
      <c r="C2053" s="17" t="inlineStr">
        <is>
          <t>(주)이수앱지스</t>
        </is>
      </c>
      <c r="D2053" s="17" t="inlineStr"/>
      <c r="E2053" s="17" t="inlineStr">
        <is>
          <t>신공장·증설</t>
        </is>
      </c>
      <c r="F2053" s="17" t="inlineStr">
        <is>
          <t>미확인</t>
        </is>
      </c>
      <c r="G2053" s="17" t="inlineStr">
        <is>
          <t>웹조사 자동화 실패(세션한도)</t>
        </is>
      </c>
      <c r="H2053" s="17" t="inlineStr">
        <is>
          <t>N</t>
        </is>
      </c>
      <c r="I2053" s="17" t="inlineStr">
        <is>
          <t>언론·지자체 발표</t>
        </is>
      </c>
      <c r="J2053" s="17" t="inlineStr">
        <is>
          <t>언론·지자체 발표에서 확인</t>
        </is>
      </c>
      <c r="K2053" s="17" t="inlineStr">
        <is>
          <t>낮음</t>
        </is>
      </c>
      <c r="L2053" s="17" t="inlineStr"/>
    </row>
    <row r="2054">
      <c r="A2054" s="17" t="inlineStr">
        <is>
          <t>C329</t>
        </is>
      </c>
      <c r="B2054" s="17" t="inlineStr"/>
      <c r="C2054" s="17" t="inlineStr">
        <is>
          <t>(주)이수앱지스</t>
        </is>
      </c>
      <c r="D2054" s="17" t="inlineStr"/>
      <c r="E2054" s="17" t="inlineStr">
        <is>
          <t>대표전화</t>
        </is>
      </c>
      <c r="F2054" s="17" t="inlineStr">
        <is>
          <t>미확인</t>
        </is>
      </c>
      <c r="G2054" s="17" t="inlineStr">
        <is>
          <t>제조소상세 미매칭</t>
        </is>
      </c>
      <c r="H2054" s="17" t="inlineStr">
        <is>
          <t>Y</t>
        </is>
      </c>
      <c r="I2054" s="17" t="inlineStr">
        <is>
          <t>회사 홈페이지</t>
        </is>
      </c>
      <c r="J2054" s="17" t="inlineStr">
        <is>
          <t>홈페이지에서 대표번호 확인</t>
        </is>
      </c>
      <c r="K2054" s="17" t="inlineStr">
        <is>
          <t>낮음</t>
        </is>
      </c>
      <c r="L2054" s="17" t="inlineStr"/>
    </row>
    <row r="2055">
      <c r="A2055" s="17" t="inlineStr">
        <is>
          <t>C330</t>
        </is>
      </c>
      <c r="B2055" s="17" t="inlineStr"/>
      <c r="C2055" s="17" t="inlineStr">
        <is>
          <t>대원바이오텍주식회사</t>
        </is>
      </c>
      <c r="D2055" s="17" t="inlineStr"/>
      <c r="E2055" s="17" t="inlineStr">
        <is>
          <t>최근매출(억원)</t>
        </is>
      </c>
      <c r="F2055" s="17" t="inlineStr">
        <is>
          <t>미확인</t>
        </is>
      </c>
      <c r="G2055" s="17" t="inlineStr">
        <is>
          <t>웹조사 자동화 실패(세션한도)</t>
        </is>
      </c>
      <c r="H2055" s="17" t="inlineStr">
        <is>
          <t>N</t>
        </is>
      </c>
      <c r="I2055" s="17" t="inlineStr">
        <is>
          <t>DART 사업보고서</t>
        </is>
      </c>
      <c r="J2055" s="17" t="inlineStr">
        <is>
          <t>DART 사업보고서에서 확인</t>
        </is>
      </c>
      <c r="K2055" s="17" t="inlineStr">
        <is>
          <t>낮음</t>
        </is>
      </c>
      <c r="L2055" s="17" t="inlineStr"/>
    </row>
    <row r="2056">
      <c r="A2056" s="17" t="inlineStr">
        <is>
          <t>C330</t>
        </is>
      </c>
      <c r="B2056" s="17" t="inlineStr"/>
      <c r="C2056" s="17" t="inlineStr">
        <is>
          <t>대원바이오텍주식회사</t>
        </is>
      </c>
      <c r="D2056" s="17" t="inlineStr"/>
      <c r="E2056" s="17" t="inlineStr">
        <is>
          <t>종업원수</t>
        </is>
      </c>
      <c r="F2056" s="17" t="inlineStr">
        <is>
          <t>미확인</t>
        </is>
      </c>
      <c r="G2056" s="17" t="inlineStr">
        <is>
          <t>웹조사 자동화 실패(세션한도)</t>
        </is>
      </c>
      <c r="H2056" s="17" t="inlineStr">
        <is>
          <t>N</t>
        </is>
      </c>
      <c r="I2056" s="17" t="inlineStr">
        <is>
          <t>DART/채용</t>
        </is>
      </c>
      <c r="J2056" s="17" t="inlineStr">
        <is>
          <t>DART/채용에서 확인</t>
        </is>
      </c>
      <c r="K2056" s="17" t="inlineStr">
        <is>
          <t>낮음</t>
        </is>
      </c>
      <c r="L2056" s="17" t="inlineStr"/>
    </row>
    <row r="2057">
      <c r="A2057" s="17" t="inlineStr">
        <is>
          <t>C330</t>
        </is>
      </c>
      <c r="B2057" s="17" t="inlineStr"/>
      <c r="C2057" s="17" t="inlineStr">
        <is>
          <t>대원바이오텍주식회사</t>
        </is>
      </c>
      <c r="D2057" s="17" t="inlineStr"/>
      <c r="E2057" s="17" t="inlineStr">
        <is>
          <t>수출여부</t>
        </is>
      </c>
      <c r="F2057" s="17" t="inlineStr">
        <is>
          <t>미확인</t>
        </is>
      </c>
      <c r="G2057" s="17" t="inlineStr">
        <is>
          <t>웹조사 자동화 실패(세션한도)</t>
        </is>
      </c>
      <c r="H2057" s="17" t="inlineStr">
        <is>
          <t>N</t>
        </is>
      </c>
      <c r="I2057" s="17" t="inlineStr">
        <is>
          <t>회사 공시·홈페이지</t>
        </is>
      </c>
      <c r="J2057" s="17" t="inlineStr">
        <is>
          <t>회사 공시·홈페이지에서 확인</t>
        </is>
      </c>
      <c r="K2057" s="17" t="inlineStr">
        <is>
          <t>낮음</t>
        </is>
      </c>
      <c r="L2057" s="17" t="inlineStr"/>
    </row>
    <row r="2058">
      <c r="A2058" s="17" t="inlineStr">
        <is>
          <t>C330</t>
        </is>
      </c>
      <c r="B2058" s="17" t="inlineStr"/>
      <c r="C2058" s="17" t="inlineStr">
        <is>
          <t>대원바이오텍주식회사</t>
        </is>
      </c>
      <c r="D2058" s="17" t="inlineStr"/>
      <c r="E2058" s="17" t="inlineStr">
        <is>
          <t>FDA·EMA 실사</t>
        </is>
      </c>
      <c r="F2058" s="17" t="inlineStr">
        <is>
          <t>미확인</t>
        </is>
      </c>
      <c r="G2058" s="17" t="inlineStr">
        <is>
          <t>웹조사 자동화 실패(세션한도)</t>
        </is>
      </c>
      <c r="H2058" s="17" t="inlineStr">
        <is>
          <t>N</t>
        </is>
      </c>
      <c r="I2058" s="17" t="inlineStr">
        <is>
          <t>FDA Inspection DB</t>
        </is>
      </c>
      <c r="J2058" s="17" t="inlineStr">
        <is>
          <t>FDA Inspection DB에서 확인</t>
        </is>
      </c>
      <c r="K2058" s="17" t="inlineStr">
        <is>
          <t>낮음</t>
        </is>
      </c>
      <c r="L2058" s="17" t="inlineStr"/>
    </row>
    <row r="2059">
      <c r="A2059" s="17" t="inlineStr">
        <is>
          <t>C330</t>
        </is>
      </c>
      <c r="B2059" s="17" t="inlineStr"/>
      <c r="C2059" s="17" t="inlineStr">
        <is>
          <t>대원바이오텍주식회사</t>
        </is>
      </c>
      <c r="D2059" s="17" t="inlineStr"/>
      <c r="E2059" s="17" t="inlineStr">
        <is>
          <t>CMO·CDMO</t>
        </is>
      </c>
      <c r="F2059" s="17" t="inlineStr">
        <is>
          <t>미확인</t>
        </is>
      </c>
      <c r="G2059" s="17" t="inlineStr">
        <is>
          <t>웹조사 자동화 실패(세션한도)</t>
        </is>
      </c>
      <c r="H2059" s="17" t="inlineStr">
        <is>
          <t>N</t>
        </is>
      </c>
      <c r="I2059" s="17" t="inlineStr">
        <is>
          <t>회사 홈페이지</t>
        </is>
      </c>
      <c r="J2059" s="17" t="inlineStr">
        <is>
          <t>회사 홈페이지에서 확인</t>
        </is>
      </c>
      <c r="K2059" s="17" t="inlineStr">
        <is>
          <t>낮음</t>
        </is>
      </c>
      <c r="L2059" s="17" t="inlineStr"/>
    </row>
    <row r="2060">
      <c r="A2060" s="17" t="inlineStr">
        <is>
          <t>C330</t>
        </is>
      </c>
      <c r="B2060" s="17" t="inlineStr"/>
      <c r="C2060" s="17" t="inlineStr">
        <is>
          <t>대원바이오텍주식회사</t>
        </is>
      </c>
      <c r="D2060" s="17" t="inlineStr"/>
      <c r="E2060" s="17" t="inlineStr">
        <is>
          <t>신공장·증설</t>
        </is>
      </c>
      <c r="F2060" s="17" t="inlineStr">
        <is>
          <t>미확인</t>
        </is>
      </c>
      <c r="G2060" s="17" t="inlineStr">
        <is>
          <t>웹조사 자동화 실패(세션한도)</t>
        </is>
      </c>
      <c r="H2060" s="17" t="inlineStr">
        <is>
          <t>N</t>
        </is>
      </c>
      <c r="I2060" s="17" t="inlineStr">
        <is>
          <t>언론·지자체 발표</t>
        </is>
      </c>
      <c r="J2060" s="17" t="inlineStr">
        <is>
          <t>언론·지자체 발표에서 확인</t>
        </is>
      </c>
      <c r="K2060" s="17" t="inlineStr">
        <is>
          <t>낮음</t>
        </is>
      </c>
      <c r="L2060" s="17" t="inlineStr"/>
    </row>
    <row r="2061">
      <c r="A2061" s="17" t="inlineStr">
        <is>
          <t>C331</t>
        </is>
      </c>
      <c r="B2061" s="17" t="inlineStr"/>
      <c r="C2061" s="17" t="inlineStr">
        <is>
          <t>주식회사 밸리</t>
        </is>
      </c>
      <c r="D2061" s="17" t="inlineStr"/>
      <c r="E2061" s="17" t="inlineStr">
        <is>
          <t>최근매출(억원)</t>
        </is>
      </c>
      <c r="F2061" s="17" t="inlineStr">
        <is>
          <t>미확인</t>
        </is>
      </c>
      <c r="G2061" s="17" t="inlineStr">
        <is>
          <t>웹조사 자동화 실패(세션한도)</t>
        </is>
      </c>
      <c r="H2061" s="17" t="inlineStr">
        <is>
          <t>N</t>
        </is>
      </c>
      <c r="I2061" s="17" t="inlineStr">
        <is>
          <t>DART 사업보고서</t>
        </is>
      </c>
      <c r="J2061" s="17" t="inlineStr">
        <is>
          <t>DART 사업보고서에서 확인</t>
        </is>
      </c>
      <c r="K2061" s="17" t="inlineStr">
        <is>
          <t>낮음</t>
        </is>
      </c>
      <c r="L2061" s="17" t="inlineStr"/>
    </row>
    <row r="2062">
      <c r="A2062" s="17" t="inlineStr">
        <is>
          <t>C331</t>
        </is>
      </c>
      <c r="B2062" s="17" t="inlineStr"/>
      <c r="C2062" s="17" t="inlineStr">
        <is>
          <t>주식회사 밸리</t>
        </is>
      </c>
      <c r="D2062" s="17" t="inlineStr"/>
      <c r="E2062" s="17" t="inlineStr">
        <is>
          <t>종업원수</t>
        </is>
      </c>
      <c r="F2062" s="17" t="inlineStr">
        <is>
          <t>미확인</t>
        </is>
      </c>
      <c r="G2062" s="17" t="inlineStr">
        <is>
          <t>웹조사 자동화 실패(세션한도)</t>
        </is>
      </c>
      <c r="H2062" s="17" t="inlineStr">
        <is>
          <t>N</t>
        </is>
      </c>
      <c r="I2062" s="17" t="inlineStr">
        <is>
          <t>DART/채용</t>
        </is>
      </c>
      <c r="J2062" s="17" t="inlineStr">
        <is>
          <t>DART/채용에서 확인</t>
        </is>
      </c>
      <c r="K2062" s="17" t="inlineStr">
        <is>
          <t>낮음</t>
        </is>
      </c>
      <c r="L2062" s="17" t="inlineStr"/>
    </row>
    <row r="2063">
      <c r="A2063" s="17" t="inlineStr">
        <is>
          <t>C331</t>
        </is>
      </c>
      <c r="B2063" s="17" t="inlineStr"/>
      <c r="C2063" s="17" t="inlineStr">
        <is>
          <t>주식회사 밸리</t>
        </is>
      </c>
      <c r="D2063" s="17" t="inlineStr"/>
      <c r="E2063" s="17" t="inlineStr">
        <is>
          <t>수출여부</t>
        </is>
      </c>
      <c r="F2063" s="17" t="inlineStr">
        <is>
          <t>미확인</t>
        </is>
      </c>
      <c r="G2063" s="17" t="inlineStr">
        <is>
          <t>웹조사 자동화 실패(세션한도)</t>
        </is>
      </c>
      <c r="H2063" s="17" t="inlineStr">
        <is>
          <t>N</t>
        </is>
      </c>
      <c r="I2063" s="17" t="inlineStr">
        <is>
          <t>회사 공시·홈페이지</t>
        </is>
      </c>
      <c r="J2063" s="17" t="inlineStr">
        <is>
          <t>회사 공시·홈페이지에서 확인</t>
        </is>
      </c>
      <c r="K2063" s="17" t="inlineStr">
        <is>
          <t>낮음</t>
        </is>
      </c>
      <c r="L2063" s="17" t="inlineStr"/>
    </row>
    <row r="2064">
      <c r="A2064" s="17" t="inlineStr">
        <is>
          <t>C331</t>
        </is>
      </c>
      <c r="B2064" s="17" t="inlineStr"/>
      <c r="C2064" s="17" t="inlineStr">
        <is>
          <t>주식회사 밸리</t>
        </is>
      </c>
      <c r="D2064" s="17" t="inlineStr"/>
      <c r="E2064" s="17" t="inlineStr">
        <is>
          <t>FDA·EMA 실사</t>
        </is>
      </c>
      <c r="F2064" s="17" t="inlineStr">
        <is>
          <t>미확인</t>
        </is>
      </c>
      <c r="G2064" s="17" t="inlineStr">
        <is>
          <t>웹조사 자동화 실패(세션한도)</t>
        </is>
      </c>
      <c r="H2064" s="17" t="inlineStr">
        <is>
          <t>N</t>
        </is>
      </c>
      <c r="I2064" s="17" t="inlineStr">
        <is>
          <t>FDA Inspection DB</t>
        </is>
      </c>
      <c r="J2064" s="17" t="inlineStr">
        <is>
          <t>FDA Inspection DB에서 확인</t>
        </is>
      </c>
      <c r="K2064" s="17" t="inlineStr">
        <is>
          <t>낮음</t>
        </is>
      </c>
      <c r="L2064" s="17" t="inlineStr"/>
    </row>
    <row r="2065">
      <c r="A2065" s="17" t="inlineStr">
        <is>
          <t>C331</t>
        </is>
      </c>
      <c r="B2065" s="17" t="inlineStr"/>
      <c r="C2065" s="17" t="inlineStr">
        <is>
          <t>주식회사 밸리</t>
        </is>
      </c>
      <c r="D2065" s="17" t="inlineStr"/>
      <c r="E2065" s="17" t="inlineStr">
        <is>
          <t>CMO·CDMO</t>
        </is>
      </c>
      <c r="F2065" s="17" t="inlineStr">
        <is>
          <t>미확인</t>
        </is>
      </c>
      <c r="G2065" s="17" t="inlineStr">
        <is>
          <t>웹조사 자동화 실패(세션한도)</t>
        </is>
      </c>
      <c r="H2065" s="17" t="inlineStr">
        <is>
          <t>N</t>
        </is>
      </c>
      <c r="I2065" s="17" t="inlineStr">
        <is>
          <t>회사 홈페이지</t>
        </is>
      </c>
      <c r="J2065" s="17" t="inlineStr">
        <is>
          <t>회사 홈페이지에서 확인</t>
        </is>
      </c>
      <c r="K2065" s="17" t="inlineStr">
        <is>
          <t>낮음</t>
        </is>
      </c>
      <c r="L2065" s="17" t="inlineStr"/>
    </row>
    <row r="2066">
      <c r="A2066" s="17" t="inlineStr">
        <is>
          <t>C331</t>
        </is>
      </c>
      <c r="B2066" s="17" t="inlineStr"/>
      <c r="C2066" s="17" t="inlineStr">
        <is>
          <t>주식회사 밸리</t>
        </is>
      </c>
      <c r="D2066" s="17" t="inlineStr"/>
      <c r="E2066" s="17" t="inlineStr">
        <is>
          <t>신공장·증설</t>
        </is>
      </c>
      <c r="F2066" s="17" t="inlineStr">
        <is>
          <t>미확인</t>
        </is>
      </c>
      <c r="G2066" s="17" t="inlineStr">
        <is>
          <t>웹조사 자동화 실패(세션한도)</t>
        </is>
      </c>
      <c r="H2066" s="17" t="inlineStr">
        <is>
          <t>N</t>
        </is>
      </c>
      <c r="I2066" s="17" t="inlineStr">
        <is>
          <t>언론·지자체 발표</t>
        </is>
      </c>
      <c r="J2066" s="17" t="inlineStr">
        <is>
          <t>언론·지자체 발표에서 확인</t>
        </is>
      </c>
      <c r="K2066" s="17" t="inlineStr">
        <is>
          <t>낮음</t>
        </is>
      </c>
      <c r="L2066" s="17" t="inlineStr"/>
    </row>
    <row r="2067">
      <c r="A2067" s="17" t="inlineStr">
        <is>
          <t>C332</t>
        </is>
      </c>
      <c r="B2067" s="17" t="inlineStr"/>
      <c r="C2067" s="17" t="inlineStr">
        <is>
          <t>주식회사넥스제너</t>
        </is>
      </c>
      <c r="D2067" s="17" t="inlineStr"/>
      <c r="E2067" s="17" t="inlineStr">
        <is>
          <t>최근매출(억원)</t>
        </is>
      </c>
      <c r="F2067" s="17" t="inlineStr">
        <is>
          <t>미확인</t>
        </is>
      </c>
      <c r="G2067" s="17" t="inlineStr">
        <is>
          <t>웹조사 자동화 실패(세션한도)</t>
        </is>
      </c>
      <c r="H2067" s="17" t="inlineStr">
        <is>
          <t>N</t>
        </is>
      </c>
      <c r="I2067" s="17" t="inlineStr">
        <is>
          <t>DART 사업보고서</t>
        </is>
      </c>
      <c r="J2067" s="17" t="inlineStr">
        <is>
          <t>DART 사업보고서에서 확인</t>
        </is>
      </c>
      <c r="K2067" s="17" t="inlineStr">
        <is>
          <t>낮음</t>
        </is>
      </c>
      <c r="L2067" s="17" t="inlineStr"/>
    </row>
    <row r="2068">
      <c r="A2068" s="17" t="inlineStr">
        <is>
          <t>C332</t>
        </is>
      </c>
      <c r="B2068" s="17" t="inlineStr"/>
      <c r="C2068" s="17" t="inlineStr">
        <is>
          <t>주식회사넥스제너</t>
        </is>
      </c>
      <c r="D2068" s="17" t="inlineStr"/>
      <c r="E2068" s="17" t="inlineStr">
        <is>
          <t>종업원수</t>
        </is>
      </c>
      <c r="F2068" s="17" t="inlineStr">
        <is>
          <t>미확인</t>
        </is>
      </c>
      <c r="G2068" s="17" t="inlineStr">
        <is>
          <t>웹조사 자동화 실패(세션한도)</t>
        </is>
      </c>
      <c r="H2068" s="17" t="inlineStr">
        <is>
          <t>N</t>
        </is>
      </c>
      <c r="I2068" s="17" t="inlineStr">
        <is>
          <t>DART/채용</t>
        </is>
      </c>
      <c r="J2068" s="17" t="inlineStr">
        <is>
          <t>DART/채용에서 확인</t>
        </is>
      </c>
      <c r="K2068" s="17" t="inlineStr">
        <is>
          <t>낮음</t>
        </is>
      </c>
      <c r="L2068" s="17" t="inlineStr"/>
    </row>
    <row r="2069">
      <c r="A2069" s="17" t="inlineStr">
        <is>
          <t>C332</t>
        </is>
      </c>
      <c r="B2069" s="17" t="inlineStr"/>
      <c r="C2069" s="17" t="inlineStr">
        <is>
          <t>주식회사넥스제너</t>
        </is>
      </c>
      <c r="D2069" s="17" t="inlineStr"/>
      <c r="E2069" s="17" t="inlineStr">
        <is>
          <t>수출여부</t>
        </is>
      </c>
      <c r="F2069" s="17" t="inlineStr">
        <is>
          <t>미확인</t>
        </is>
      </c>
      <c r="G2069" s="17" t="inlineStr">
        <is>
          <t>웹조사 자동화 실패(세션한도)</t>
        </is>
      </c>
      <c r="H2069" s="17" t="inlineStr">
        <is>
          <t>N</t>
        </is>
      </c>
      <c r="I2069" s="17" t="inlineStr">
        <is>
          <t>회사 공시·홈페이지</t>
        </is>
      </c>
      <c r="J2069" s="17" t="inlineStr">
        <is>
          <t>회사 공시·홈페이지에서 확인</t>
        </is>
      </c>
      <c r="K2069" s="17" t="inlineStr">
        <is>
          <t>낮음</t>
        </is>
      </c>
      <c r="L2069" s="17" t="inlineStr"/>
    </row>
    <row r="2070">
      <c r="A2070" s="17" t="inlineStr">
        <is>
          <t>C332</t>
        </is>
      </c>
      <c r="B2070" s="17" t="inlineStr"/>
      <c r="C2070" s="17" t="inlineStr">
        <is>
          <t>주식회사넥스제너</t>
        </is>
      </c>
      <c r="D2070" s="17" t="inlineStr"/>
      <c r="E2070" s="17" t="inlineStr">
        <is>
          <t>FDA·EMA 실사</t>
        </is>
      </c>
      <c r="F2070" s="17" t="inlineStr">
        <is>
          <t>미확인</t>
        </is>
      </c>
      <c r="G2070" s="17" t="inlineStr">
        <is>
          <t>웹조사 자동화 실패(세션한도)</t>
        </is>
      </c>
      <c r="H2070" s="17" t="inlineStr">
        <is>
          <t>N</t>
        </is>
      </c>
      <c r="I2070" s="17" t="inlineStr">
        <is>
          <t>FDA Inspection DB</t>
        </is>
      </c>
      <c r="J2070" s="17" t="inlineStr">
        <is>
          <t>FDA Inspection DB에서 확인</t>
        </is>
      </c>
      <c r="K2070" s="17" t="inlineStr">
        <is>
          <t>낮음</t>
        </is>
      </c>
      <c r="L2070" s="17" t="inlineStr"/>
    </row>
    <row r="2071">
      <c r="A2071" s="17" t="inlineStr">
        <is>
          <t>C332</t>
        </is>
      </c>
      <c r="B2071" s="17" t="inlineStr"/>
      <c r="C2071" s="17" t="inlineStr">
        <is>
          <t>주식회사넥스제너</t>
        </is>
      </c>
      <c r="D2071" s="17" t="inlineStr"/>
      <c r="E2071" s="17" t="inlineStr">
        <is>
          <t>CMO·CDMO</t>
        </is>
      </c>
      <c r="F2071" s="17" t="inlineStr">
        <is>
          <t>미확인</t>
        </is>
      </c>
      <c r="G2071" s="17" t="inlineStr">
        <is>
          <t>웹조사 자동화 실패(세션한도)</t>
        </is>
      </c>
      <c r="H2071" s="17" t="inlineStr">
        <is>
          <t>N</t>
        </is>
      </c>
      <c r="I2071" s="17" t="inlineStr">
        <is>
          <t>회사 홈페이지</t>
        </is>
      </c>
      <c r="J2071" s="17" t="inlineStr">
        <is>
          <t>회사 홈페이지에서 확인</t>
        </is>
      </c>
      <c r="K2071" s="17" t="inlineStr">
        <is>
          <t>낮음</t>
        </is>
      </c>
      <c r="L2071" s="17" t="inlineStr"/>
    </row>
    <row r="2072">
      <c r="A2072" s="17" t="inlineStr">
        <is>
          <t>C332</t>
        </is>
      </c>
      <c r="B2072" s="17" t="inlineStr"/>
      <c r="C2072" s="17" t="inlineStr">
        <is>
          <t>주식회사넥스제너</t>
        </is>
      </c>
      <c r="D2072" s="17" t="inlineStr"/>
      <c r="E2072" s="17" t="inlineStr">
        <is>
          <t>신공장·증설</t>
        </is>
      </c>
      <c r="F2072" s="17" t="inlineStr">
        <is>
          <t>미확인</t>
        </is>
      </c>
      <c r="G2072" s="17" t="inlineStr">
        <is>
          <t>웹조사 자동화 실패(세션한도)</t>
        </is>
      </c>
      <c r="H2072" s="17" t="inlineStr">
        <is>
          <t>N</t>
        </is>
      </c>
      <c r="I2072" s="17" t="inlineStr">
        <is>
          <t>언론·지자체 발표</t>
        </is>
      </c>
      <c r="J2072" s="17" t="inlineStr">
        <is>
          <t>언론·지자체 발표에서 확인</t>
        </is>
      </c>
      <c r="K2072" s="17" t="inlineStr">
        <is>
          <t>낮음</t>
        </is>
      </c>
      <c r="L2072" s="17" t="inlineStr"/>
    </row>
    <row r="2073">
      <c r="A2073" s="17" t="inlineStr">
        <is>
          <t>C333</t>
        </is>
      </c>
      <c r="B2073" s="17" t="inlineStr"/>
      <c r="C2073" s="17" t="inlineStr">
        <is>
          <t>(주)녹십자</t>
        </is>
      </c>
      <c r="D2073" s="17" t="inlineStr"/>
      <c r="E2073" s="17" t="inlineStr">
        <is>
          <t>최근매출(억원)</t>
        </is>
      </c>
      <c r="F2073" s="17" t="inlineStr">
        <is>
          <t>미확인</t>
        </is>
      </c>
      <c r="G2073" s="17" t="inlineStr">
        <is>
          <t>웹조사 자동화 실패(세션한도)</t>
        </is>
      </c>
      <c r="H2073" s="17" t="inlineStr">
        <is>
          <t>N</t>
        </is>
      </c>
      <c r="I2073" s="17" t="inlineStr">
        <is>
          <t>DART 사업보고서</t>
        </is>
      </c>
      <c r="J2073" s="17" t="inlineStr">
        <is>
          <t>DART 사업보고서에서 확인</t>
        </is>
      </c>
      <c r="K2073" s="17" t="inlineStr">
        <is>
          <t>중간</t>
        </is>
      </c>
      <c r="L2073" s="17" t="inlineStr"/>
    </row>
    <row r="2074">
      <c r="A2074" s="17" t="inlineStr">
        <is>
          <t>C333</t>
        </is>
      </c>
      <c r="B2074" s="17" t="inlineStr"/>
      <c r="C2074" s="17" t="inlineStr">
        <is>
          <t>(주)녹십자</t>
        </is>
      </c>
      <c r="D2074" s="17" t="inlineStr"/>
      <c r="E2074" s="17" t="inlineStr">
        <is>
          <t>종업원수</t>
        </is>
      </c>
      <c r="F2074" s="17" t="inlineStr">
        <is>
          <t>미확인</t>
        </is>
      </c>
      <c r="G2074" s="17" t="inlineStr">
        <is>
          <t>웹조사 자동화 실패(세션한도)</t>
        </is>
      </c>
      <c r="H2074" s="17" t="inlineStr">
        <is>
          <t>N</t>
        </is>
      </c>
      <c r="I2074" s="17" t="inlineStr">
        <is>
          <t>DART/채용</t>
        </is>
      </c>
      <c r="J2074" s="17" t="inlineStr">
        <is>
          <t>DART/채용에서 확인</t>
        </is>
      </c>
      <c r="K2074" s="17" t="inlineStr">
        <is>
          <t>중간</t>
        </is>
      </c>
      <c r="L2074" s="17" t="inlineStr"/>
    </row>
    <row r="2075">
      <c r="A2075" s="17" t="inlineStr">
        <is>
          <t>C333</t>
        </is>
      </c>
      <c r="B2075" s="17" t="inlineStr"/>
      <c r="C2075" s="17" t="inlineStr">
        <is>
          <t>(주)녹십자</t>
        </is>
      </c>
      <c r="D2075" s="17" t="inlineStr"/>
      <c r="E2075" s="17" t="inlineStr">
        <is>
          <t>수출여부</t>
        </is>
      </c>
      <c r="F2075" s="17" t="inlineStr">
        <is>
          <t>미확인</t>
        </is>
      </c>
      <c r="G2075" s="17" t="inlineStr">
        <is>
          <t>웹조사 자동화 실패(세션한도)</t>
        </is>
      </c>
      <c r="H2075" s="17" t="inlineStr">
        <is>
          <t>N</t>
        </is>
      </c>
      <c r="I2075" s="17" t="inlineStr">
        <is>
          <t>회사 공시·홈페이지</t>
        </is>
      </c>
      <c r="J2075" s="17" t="inlineStr">
        <is>
          <t>회사 공시·홈페이지에서 확인</t>
        </is>
      </c>
      <c r="K2075" s="17" t="inlineStr">
        <is>
          <t>중간</t>
        </is>
      </c>
      <c r="L2075" s="17" t="inlineStr"/>
    </row>
    <row r="2076">
      <c r="A2076" s="17" t="inlineStr">
        <is>
          <t>C333</t>
        </is>
      </c>
      <c r="B2076" s="17" t="inlineStr"/>
      <c r="C2076" s="17" t="inlineStr">
        <is>
          <t>(주)녹십자</t>
        </is>
      </c>
      <c r="D2076" s="17" t="inlineStr"/>
      <c r="E2076" s="17" t="inlineStr">
        <is>
          <t>FDA·EMA 실사</t>
        </is>
      </c>
      <c r="F2076" s="17" t="inlineStr">
        <is>
          <t>미확인</t>
        </is>
      </c>
      <c r="G2076" s="17" t="inlineStr">
        <is>
          <t>웹조사 자동화 실패(세션한도)</t>
        </is>
      </c>
      <c r="H2076" s="17" t="inlineStr">
        <is>
          <t>N</t>
        </is>
      </c>
      <c r="I2076" s="17" t="inlineStr">
        <is>
          <t>FDA Inspection DB</t>
        </is>
      </c>
      <c r="J2076" s="17" t="inlineStr">
        <is>
          <t>FDA Inspection DB에서 확인</t>
        </is>
      </c>
      <c r="K2076" s="17" t="inlineStr">
        <is>
          <t>중간</t>
        </is>
      </c>
      <c r="L2076" s="17" t="inlineStr"/>
    </row>
    <row r="2077">
      <c r="A2077" s="17" t="inlineStr">
        <is>
          <t>C333</t>
        </is>
      </c>
      <c r="B2077" s="17" t="inlineStr"/>
      <c r="C2077" s="17" t="inlineStr">
        <is>
          <t>(주)녹십자</t>
        </is>
      </c>
      <c r="D2077" s="17" t="inlineStr"/>
      <c r="E2077" s="17" t="inlineStr">
        <is>
          <t>CMO·CDMO</t>
        </is>
      </c>
      <c r="F2077" s="17" t="inlineStr">
        <is>
          <t>미확인</t>
        </is>
      </c>
      <c r="G2077" s="17" t="inlineStr">
        <is>
          <t>웹조사 자동화 실패(세션한도)</t>
        </is>
      </c>
      <c r="H2077" s="17" t="inlineStr">
        <is>
          <t>N</t>
        </is>
      </c>
      <c r="I2077" s="17" t="inlineStr">
        <is>
          <t>회사 홈페이지</t>
        </is>
      </c>
      <c r="J2077" s="17" t="inlineStr">
        <is>
          <t>회사 홈페이지에서 확인</t>
        </is>
      </c>
      <c r="K2077" s="17" t="inlineStr">
        <is>
          <t>중간</t>
        </is>
      </c>
      <c r="L2077" s="17" t="inlineStr"/>
    </row>
    <row r="2078">
      <c r="A2078" s="17" t="inlineStr">
        <is>
          <t>C333</t>
        </is>
      </c>
      <c r="B2078" s="17" t="inlineStr"/>
      <c r="C2078" s="17" t="inlineStr">
        <is>
          <t>(주)녹십자</t>
        </is>
      </c>
      <c r="D2078" s="17" t="inlineStr"/>
      <c r="E2078" s="17" t="inlineStr">
        <is>
          <t>신공장·증설</t>
        </is>
      </c>
      <c r="F2078" s="17" t="inlineStr">
        <is>
          <t>미확인</t>
        </is>
      </c>
      <c r="G2078" s="17" t="inlineStr">
        <is>
          <t>웹조사 자동화 실패(세션한도)</t>
        </is>
      </c>
      <c r="H2078" s="17" t="inlineStr">
        <is>
          <t>N</t>
        </is>
      </c>
      <c r="I2078" s="17" t="inlineStr">
        <is>
          <t>언론·지자체 발표</t>
        </is>
      </c>
      <c r="J2078" s="17" t="inlineStr">
        <is>
          <t>언론·지자체 발표에서 확인</t>
        </is>
      </c>
      <c r="K2078" s="17" t="inlineStr">
        <is>
          <t>중간</t>
        </is>
      </c>
      <c r="L2078" s="17" t="inlineStr"/>
    </row>
    <row r="2079">
      <c r="A2079" s="17" t="inlineStr">
        <is>
          <t>C334</t>
        </is>
      </c>
      <c r="B2079" s="17" t="inlineStr"/>
      <c r="C2079" s="17" t="inlineStr">
        <is>
          <t>연세의료원</t>
        </is>
      </c>
      <c r="D2079" s="17" t="inlineStr"/>
      <c r="E2079" s="17" t="inlineStr">
        <is>
          <t>최근매출(억원)</t>
        </is>
      </c>
      <c r="F2079" s="17" t="inlineStr">
        <is>
          <t>미확인</t>
        </is>
      </c>
      <c r="G2079" s="17" t="inlineStr">
        <is>
          <t>웹조사 자동화 실패(세션한도)</t>
        </is>
      </c>
      <c r="H2079" s="17" t="inlineStr">
        <is>
          <t>N</t>
        </is>
      </c>
      <c r="I2079" s="17" t="inlineStr">
        <is>
          <t>DART 사업보고서</t>
        </is>
      </c>
      <c r="J2079" s="17" t="inlineStr">
        <is>
          <t>DART 사업보고서에서 확인</t>
        </is>
      </c>
      <c r="K2079" s="17" t="inlineStr">
        <is>
          <t>낮음</t>
        </is>
      </c>
      <c r="L2079" s="17" t="inlineStr"/>
    </row>
    <row r="2080">
      <c r="A2080" s="17" t="inlineStr">
        <is>
          <t>C334</t>
        </is>
      </c>
      <c r="B2080" s="17" t="inlineStr"/>
      <c r="C2080" s="17" t="inlineStr">
        <is>
          <t>연세의료원</t>
        </is>
      </c>
      <c r="D2080" s="17" t="inlineStr"/>
      <c r="E2080" s="17" t="inlineStr">
        <is>
          <t>종업원수</t>
        </is>
      </c>
      <c r="F2080" s="17" t="inlineStr">
        <is>
          <t>미확인</t>
        </is>
      </c>
      <c r="G2080" s="17" t="inlineStr">
        <is>
          <t>웹조사 자동화 실패(세션한도)</t>
        </is>
      </c>
      <c r="H2080" s="17" t="inlineStr">
        <is>
          <t>N</t>
        </is>
      </c>
      <c r="I2080" s="17" t="inlineStr">
        <is>
          <t>DART/채용</t>
        </is>
      </c>
      <c r="J2080" s="17" t="inlineStr">
        <is>
          <t>DART/채용에서 확인</t>
        </is>
      </c>
      <c r="K2080" s="17" t="inlineStr">
        <is>
          <t>낮음</t>
        </is>
      </c>
      <c r="L2080" s="17" t="inlineStr"/>
    </row>
    <row r="2081">
      <c r="A2081" s="17" t="inlineStr">
        <is>
          <t>C334</t>
        </is>
      </c>
      <c r="B2081" s="17" t="inlineStr"/>
      <c r="C2081" s="17" t="inlineStr">
        <is>
          <t>연세의료원</t>
        </is>
      </c>
      <c r="D2081" s="17" t="inlineStr"/>
      <c r="E2081" s="17" t="inlineStr">
        <is>
          <t>수출여부</t>
        </is>
      </c>
      <c r="F2081" s="17" t="inlineStr">
        <is>
          <t>미확인</t>
        </is>
      </c>
      <c r="G2081" s="17" t="inlineStr">
        <is>
          <t>웹조사 자동화 실패(세션한도)</t>
        </is>
      </c>
      <c r="H2081" s="17" t="inlineStr">
        <is>
          <t>N</t>
        </is>
      </c>
      <c r="I2081" s="17" t="inlineStr">
        <is>
          <t>회사 공시·홈페이지</t>
        </is>
      </c>
      <c r="J2081" s="17" t="inlineStr">
        <is>
          <t>회사 공시·홈페이지에서 확인</t>
        </is>
      </c>
      <c r="K2081" s="17" t="inlineStr">
        <is>
          <t>낮음</t>
        </is>
      </c>
      <c r="L2081" s="17" t="inlineStr"/>
    </row>
    <row r="2082">
      <c r="A2082" s="17" t="inlineStr">
        <is>
          <t>C334</t>
        </is>
      </c>
      <c r="B2082" s="17" t="inlineStr"/>
      <c r="C2082" s="17" t="inlineStr">
        <is>
          <t>연세의료원</t>
        </is>
      </c>
      <c r="D2082" s="17" t="inlineStr"/>
      <c r="E2082" s="17" t="inlineStr">
        <is>
          <t>FDA·EMA 실사</t>
        </is>
      </c>
      <c r="F2082" s="17" t="inlineStr">
        <is>
          <t>미확인</t>
        </is>
      </c>
      <c r="G2082" s="17" t="inlineStr">
        <is>
          <t>웹조사 자동화 실패(세션한도)</t>
        </is>
      </c>
      <c r="H2082" s="17" t="inlineStr">
        <is>
          <t>N</t>
        </is>
      </c>
      <c r="I2082" s="17" t="inlineStr">
        <is>
          <t>FDA Inspection DB</t>
        </is>
      </c>
      <c r="J2082" s="17" t="inlineStr">
        <is>
          <t>FDA Inspection DB에서 확인</t>
        </is>
      </c>
      <c r="K2082" s="17" t="inlineStr">
        <is>
          <t>낮음</t>
        </is>
      </c>
      <c r="L2082" s="17" t="inlineStr"/>
    </row>
    <row r="2083">
      <c r="A2083" s="17" t="inlineStr">
        <is>
          <t>C334</t>
        </is>
      </c>
      <c r="B2083" s="17" t="inlineStr"/>
      <c r="C2083" s="17" t="inlineStr">
        <is>
          <t>연세의료원</t>
        </is>
      </c>
      <c r="D2083" s="17" t="inlineStr"/>
      <c r="E2083" s="17" t="inlineStr">
        <is>
          <t>CMO·CDMO</t>
        </is>
      </c>
      <c r="F2083" s="17" t="inlineStr">
        <is>
          <t>미확인</t>
        </is>
      </c>
      <c r="G2083" s="17" t="inlineStr">
        <is>
          <t>웹조사 자동화 실패(세션한도)</t>
        </is>
      </c>
      <c r="H2083" s="17" t="inlineStr">
        <is>
          <t>N</t>
        </is>
      </c>
      <c r="I2083" s="17" t="inlineStr">
        <is>
          <t>회사 홈페이지</t>
        </is>
      </c>
      <c r="J2083" s="17" t="inlineStr">
        <is>
          <t>회사 홈페이지에서 확인</t>
        </is>
      </c>
      <c r="K2083" s="17" t="inlineStr">
        <is>
          <t>낮음</t>
        </is>
      </c>
      <c r="L2083" s="17" t="inlineStr"/>
    </row>
    <row r="2084">
      <c r="A2084" s="17" t="inlineStr">
        <is>
          <t>C334</t>
        </is>
      </c>
      <c r="B2084" s="17" t="inlineStr"/>
      <c r="C2084" s="17" t="inlineStr">
        <is>
          <t>연세의료원</t>
        </is>
      </c>
      <c r="D2084" s="17" t="inlineStr"/>
      <c r="E2084" s="17" t="inlineStr">
        <is>
          <t>신공장·증설</t>
        </is>
      </c>
      <c r="F2084" s="17" t="inlineStr">
        <is>
          <t>미확인</t>
        </is>
      </c>
      <c r="G2084" s="17" t="inlineStr">
        <is>
          <t>웹조사 자동화 실패(세션한도)</t>
        </is>
      </c>
      <c r="H2084" s="17" t="inlineStr">
        <is>
          <t>N</t>
        </is>
      </c>
      <c r="I2084" s="17" t="inlineStr">
        <is>
          <t>언론·지자체 발표</t>
        </is>
      </c>
      <c r="J2084" s="17" t="inlineStr">
        <is>
          <t>언론·지자체 발표에서 확인</t>
        </is>
      </c>
      <c r="K2084" s="17" t="inlineStr">
        <is>
          <t>낮음</t>
        </is>
      </c>
      <c r="L2084" s="17" t="inlineStr"/>
    </row>
    <row r="2085">
      <c r="A2085" s="17" t="inlineStr">
        <is>
          <t>C334</t>
        </is>
      </c>
      <c r="B2085" s="17" t="inlineStr"/>
      <c r="C2085" s="17" t="inlineStr">
        <is>
          <t>연세의료원</t>
        </is>
      </c>
      <c r="D2085" s="17" t="inlineStr"/>
      <c r="E2085" s="17" t="inlineStr">
        <is>
          <t>대표전화</t>
        </is>
      </c>
      <c r="F2085" s="17" t="inlineStr">
        <is>
          <t>미확인</t>
        </is>
      </c>
      <c r="G2085" s="17" t="inlineStr">
        <is>
          <t>제조소상세 미매칭</t>
        </is>
      </c>
      <c r="H2085" s="17" t="inlineStr">
        <is>
          <t>Y</t>
        </is>
      </c>
      <c r="I2085" s="17" t="inlineStr">
        <is>
          <t>회사 홈페이지</t>
        </is>
      </c>
      <c r="J2085" s="17" t="inlineStr">
        <is>
          <t>홈페이지에서 대표번호 확인</t>
        </is>
      </c>
      <c r="K2085" s="17" t="inlineStr">
        <is>
          <t>낮음</t>
        </is>
      </c>
      <c r="L2085" s="17" t="inlineStr"/>
    </row>
    <row r="2086">
      <c r="A2086" s="17" t="inlineStr">
        <is>
          <t>C335</t>
        </is>
      </c>
      <c r="B2086" s="17" t="inlineStr"/>
      <c r="C2086" s="17" t="inlineStr">
        <is>
          <t>(주)휴온스생명과학</t>
        </is>
      </c>
      <c r="D2086" s="17" t="inlineStr"/>
      <c r="E2086" s="17" t="inlineStr">
        <is>
          <t>최근매출(억원)</t>
        </is>
      </c>
      <c r="F2086" s="17" t="inlineStr">
        <is>
          <t>미확인</t>
        </is>
      </c>
      <c r="G2086" s="17" t="inlineStr">
        <is>
          <t>웹조사 자동화 실패(세션한도)</t>
        </is>
      </c>
      <c r="H2086" s="17" t="inlineStr">
        <is>
          <t>N</t>
        </is>
      </c>
      <c r="I2086" s="17" t="inlineStr">
        <is>
          <t>DART 사업보고서</t>
        </is>
      </c>
      <c r="J2086" s="17" t="inlineStr">
        <is>
          <t>DART 사업보고서에서 확인</t>
        </is>
      </c>
      <c r="K2086" s="17" t="inlineStr">
        <is>
          <t>낮음</t>
        </is>
      </c>
      <c r="L2086" s="17" t="inlineStr"/>
    </row>
    <row r="2087">
      <c r="A2087" s="17" t="inlineStr">
        <is>
          <t>C335</t>
        </is>
      </c>
      <c r="B2087" s="17" t="inlineStr"/>
      <c r="C2087" s="17" t="inlineStr">
        <is>
          <t>(주)휴온스생명과학</t>
        </is>
      </c>
      <c r="D2087" s="17" t="inlineStr"/>
      <c r="E2087" s="17" t="inlineStr">
        <is>
          <t>종업원수</t>
        </is>
      </c>
      <c r="F2087" s="17" t="inlineStr">
        <is>
          <t>미확인</t>
        </is>
      </c>
      <c r="G2087" s="17" t="inlineStr">
        <is>
          <t>웹조사 자동화 실패(세션한도)</t>
        </is>
      </c>
      <c r="H2087" s="17" t="inlineStr">
        <is>
          <t>N</t>
        </is>
      </c>
      <c r="I2087" s="17" t="inlineStr">
        <is>
          <t>DART/채용</t>
        </is>
      </c>
      <c r="J2087" s="17" t="inlineStr">
        <is>
          <t>DART/채용에서 확인</t>
        </is>
      </c>
      <c r="K2087" s="17" t="inlineStr">
        <is>
          <t>낮음</t>
        </is>
      </c>
      <c r="L2087" s="17" t="inlineStr"/>
    </row>
    <row r="2088">
      <c r="A2088" s="17" t="inlineStr">
        <is>
          <t>C335</t>
        </is>
      </c>
      <c r="B2088" s="17" t="inlineStr"/>
      <c r="C2088" s="17" t="inlineStr">
        <is>
          <t>(주)휴온스생명과학</t>
        </is>
      </c>
      <c r="D2088" s="17" t="inlineStr"/>
      <c r="E2088" s="17" t="inlineStr">
        <is>
          <t>수출여부</t>
        </is>
      </c>
      <c r="F2088" s="17" t="inlineStr">
        <is>
          <t>미확인</t>
        </is>
      </c>
      <c r="G2088" s="17" t="inlineStr">
        <is>
          <t>웹조사 자동화 실패(세션한도)</t>
        </is>
      </c>
      <c r="H2088" s="17" t="inlineStr">
        <is>
          <t>N</t>
        </is>
      </c>
      <c r="I2088" s="17" t="inlineStr">
        <is>
          <t>회사 공시·홈페이지</t>
        </is>
      </c>
      <c r="J2088" s="17" t="inlineStr">
        <is>
          <t>회사 공시·홈페이지에서 확인</t>
        </is>
      </c>
      <c r="K2088" s="17" t="inlineStr">
        <is>
          <t>낮음</t>
        </is>
      </c>
      <c r="L2088" s="17" t="inlineStr"/>
    </row>
    <row r="2089">
      <c r="A2089" s="17" t="inlineStr">
        <is>
          <t>C335</t>
        </is>
      </c>
      <c r="B2089" s="17" t="inlineStr"/>
      <c r="C2089" s="17" t="inlineStr">
        <is>
          <t>(주)휴온스생명과학</t>
        </is>
      </c>
      <c r="D2089" s="17" t="inlineStr"/>
      <c r="E2089" s="17" t="inlineStr">
        <is>
          <t>FDA·EMA 실사</t>
        </is>
      </c>
      <c r="F2089" s="17" t="inlineStr">
        <is>
          <t>미확인</t>
        </is>
      </c>
      <c r="G2089" s="17" t="inlineStr">
        <is>
          <t>웹조사 자동화 실패(세션한도)</t>
        </is>
      </c>
      <c r="H2089" s="17" t="inlineStr">
        <is>
          <t>N</t>
        </is>
      </c>
      <c r="I2089" s="17" t="inlineStr">
        <is>
          <t>FDA Inspection DB</t>
        </is>
      </c>
      <c r="J2089" s="17" t="inlineStr">
        <is>
          <t>FDA Inspection DB에서 확인</t>
        </is>
      </c>
      <c r="K2089" s="17" t="inlineStr">
        <is>
          <t>낮음</t>
        </is>
      </c>
      <c r="L2089" s="17" t="inlineStr"/>
    </row>
    <row r="2090">
      <c r="A2090" s="17" t="inlineStr">
        <is>
          <t>C335</t>
        </is>
      </c>
      <c r="B2090" s="17" t="inlineStr"/>
      <c r="C2090" s="17" t="inlineStr">
        <is>
          <t>(주)휴온스생명과학</t>
        </is>
      </c>
      <c r="D2090" s="17" t="inlineStr"/>
      <c r="E2090" s="17" t="inlineStr">
        <is>
          <t>CMO·CDMO</t>
        </is>
      </c>
      <c r="F2090" s="17" t="inlineStr">
        <is>
          <t>미확인</t>
        </is>
      </c>
      <c r="G2090" s="17" t="inlineStr">
        <is>
          <t>웹조사 자동화 실패(세션한도)</t>
        </is>
      </c>
      <c r="H2090" s="17" t="inlineStr">
        <is>
          <t>N</t>
        </is>
      </c>
      <c r="I2090" s="17" t="inlineStr">
        <is>
          <t>회사 홈페이지</t>
        </is>
      </c>
      <c r="J2090" s="17" t="inlineStr">
        <is>
          <t>회사 홈페이지에서 확인</t>
        </is>
      </c>
      <c r="K2090" s="17" t="inlineStr">
        <is>
          <t>낮음</t>
        </is>
      </c>
      <c r="L2090" s="17" t="inlineStr"/>
    </row>
    <row r="2091">
      <c r="A2091" s="17" t="inlineStr">
        <is>
          <t>C335</t>
        </is>
      </c>
      <c r="B2091" s="17" t="inlineStr"/>
      <c r="C2091" s="17" t="inlineStr">
        <is>
          <t>(주)휴온스생명과학</t>
        </is>
      </c>
      <c r="D2091" s="17" t="inlineStr"/>
      <c r="E2091" s="17" t="inlineStr">
        <is>
          <t>신공장·증설</t>
        </is>
      </c>
      <c r="F2091" s="17" t="inlineStr">
        <is>
          <t>미확인</t>
        </is>
      </c>
      <c r="G2091" s="17" t="inlineStr">
        <is>
          <t>웹조사 자동화 실패(세션한도)</t>
        </is>
      </c>
      <c r="H2091" s="17" t="inlineStr">
        <is>
          <t>N</t>
        </is>
      </c>
      <c r="I2091" s="17" t="inlineStr">
        <is>
          <t>언론·지자체 발표</t>
        </is>
      </c>
      <c r="J2091" s="17" t="inlineStr">
        <is>
          <t>언론·지자체 발표에서 확인</t>
        </is>
      </c>
      <c r="K2091" s="17" t="inlineStr">
        <is>
          <t>낮음</t>
        </is>
      </c>
      <c r="L2091" s="17" t="inlineStr"/>
    </row>
    <row r="2092">
      <c r="A2092" s="17" t="inlineStr">
        <is>
          <t>C336</t>
        </is>
      </c>
      <c r="B2092" s="17" t="inlineStr"/>
      <c r="C2092" s="17" t="inlineStr">
        <is>
          <t>대정화금(주)</t>
        </is>
      </c>
      <c r="D2092" s="17" t="inlineStr"/>
      <c r="E2092" s="17" t="inlineStr">
        <is>
          <t>최근매출(억원)</t>
        </is>
      </c>
      <c r="F2092" s="17" t="inlineStr">
        <is>
          <t>미확인</t>
        </is>
      </c>
      <c r="G2092" s="17" t="inlineStr">
        <is>
          <t>웹조사 자동화 실패(세션한도)</t>
        </is>
      </c>
      <c r="H2092" s="17" t="inlineStr">
        <is>
          <t>N</t>
        </is>
      </c>
      <c r="I2092" s="17" t="inlineStr">
        <is>
          <t>DART 사업보고서</t>
        </is>
      </c>
      <c r="J2092" s="17" t="inlineStr">
        <is>
          <t>DART 사업보고서에서 확인</t>
        </is>
      </c>
      <c r="K2092" s="17" t="inlineStr">
        <is>
          <t>낮음</t>
        </is>
      </c>
      <c r="L2092" s="17" t="inlineStr"/>
    </row>
    <row r="2093">
      <c r="A2093" s="17" t="inlineStr">
        <is>
          <t>C336</t>
        </is>
      </c>
      <c r="B2093" s="17" t="inlineStr"/>
      <c r="C2093" s="17" t="inlineStr">
        <is>
          <t>대정화금(주)</t>
        </is>
      </c>
      <c r="D2093" s="17" t="inlineStr"/>
      <c r="E2093" s="17" t="inlineStr">
        <is>
          <t>종업원수</t>
        </is>
      </c>
      <c r="F2093" s="17" t="inlineStr">
        <is>
          <t>미확인</t>
        </is>
      </c>
      <c r="G2093" s="17" t="inlineStr">
        <is>
          <t>웹조사 자동화 실패(세션한도)</t>
        </is>
      </c>
      <c r="H2093" s="17" t="inlineStr">
        <is>
          <t>N</t>
        </is>
      </c>
      <c r="I2093" s="17" t="inlineStr">
        <is>
          <t>DART/채용</t>
        </is>
      </c>
      <c r="J2093" s="17" t="inlineStr">
        <is>
          <t>DART/채용에서 확인</t>
        </is>
      </c>
      <c r="K2093" s="17" t="inlineStr">
        <is>
          <t>낮음</t>
        </is>
      </c>
      <c r="L2093" s="17" t="inlineStr"/>
    </row>
    <row r="2094">
      <c r="A2094" s="17" t="inlineStr">
        <is>
          <t>C336</t>
        </is>
      </c>
      <c r="B2094" s="17" t="inlineStr"/>
      <c r="C2094" s="17" t="inlineStr">
        <is>
          <t>대정화금(주)</t>
        </is>
      </c>
      <c r="D2094" s="17" t="inlineStr"/>
      <c r="E2094" s="17" t="inlineStr">
        <is>
          <t>수출여부</t>
        </is>
      </c>
      <c r="F2094" s="17" t="inlineStr">
        <is>
          <t>미확인</t>
        </is>
      </c>
      <c r="G2094" s="17" t="inlineStr">
        <is>
          <t>웹조사 자동화 실패(세션한도)</t>
        </is>
      </c>
      <c r="H2094" s="17" t="inlineStr">
        <is>
          <t>N</t>
        </is>
      </c>
      <c r="I2094" s="17" t="inlineStr">
        <is>
          <t>회사 공시·홈페이지</t>
        </is>
      </c>
      <c r="J2094" s="17" t="inlineStr">
        <is>
          <t>회사 공시·홈페이지에서 확인</t>
        </is>
      </c>
      <c r="K2094" s="17" t="inlineStr">
        <is>
          <t>낮음</t>
        </is>
      </c>
      <c r="L2094" s="17" t="inlineStr"/>
    </row>
    <row r="2095">
      <c r="A2095" s="17" t="inlineStr">
        <is>
          <t>C336</t>
        </is>
      </c>
      <c r="B2095" s="17" t="inlineStr"/>
      <c r="C2095" s="17" t="inlineStr">
        <is>
          <t>대정화금(주)</t>
        </is>
      </c>
      <c r="D2095" s="17" t="inlineStr"/>
      <c r="E2095" s="17" t="inlineStr">
        <is>
          <t>FDA·EMA 실사</t>
        </is>
      </c>
      <c r="F2095" s="17" t="inlineStr">
        <is>
          <t>미확인</t>
        </is>
      </c>
      <c r="G2095" s="17" t="inlineStr">
        <is>
          <t>웹조사 자동화 실패(세션한도)</t>
        </is>
      </c>
      <c r="H2095" s="17" t="inlineStr">
        <is>
          <t>N</t>
        </is>
      </c>
      <c r="I2095" s="17" t="inlineStr">
        <is>
          <t>FDA Inspection DB</t>
        </is>
      </c>
      <c r="J2095" s="17" t="inlineStr">
        <is>
          <t>FDA Inspection DB에서 확인</t>
        </is>
      </c>
      <c r="K2095" s="17" t="inlineStr">
        <is>
          <t>낮음</t>
        </is>
      </c>
      <c r="L2095" s="17" t="inlineStr"/>
    </row>
    <row r="2096">
      <c r="A2096" s="17" t="inlineStr">
        <is>
          <t>C336</t>
        </is>
      </c>
      <c r="B2096" s="17" t="inlineStr"/>
      <c r="C2096" s="17" t="inlineStr">
        <is>
          <t>대정화금(주)</t>
        </is>
      </c>
      <c r="D2096" s="17" t="inlineStr"/>
      <c r="E2096" s="17" t="inlineStr">
        <is>
          <t>CMO·CDMO</t>
        </is>
      </c>
      <c r="F2096" s="17" t="inlineStr">
        <is>
          <t>미확인</t>
        </is>
      </c>
      <c r="G2096" s="17" t="inlineStr">
        <is>
          <t>웹조사 자동화 실패(세션한도)</t>
        </is>
      </c>
      <c r="H2096" s="17" t="inlineStr">
        <is>
          <t>N</t>
        </is>
      </c>
      <c r="I2096" s="17" t="inlineStr">
        <is>
          <t>회사 홈페이지</t>
        </is>
      </c>
      <c r="J2096" s="17" t="inlineStr">
        <is>
          <t>회사 홈페이지에서 확인</t>
        </is>
      </c>
      <c r="K2096" s="17" t="inlineStr">
        <is>
          <t>낮음</t>
        </is>
      </c>
      <c r="L2096" s="17" t="inlineStr"/>
    </row>
    <row r="2097">
      <c r="A2097" s="17" t="inlineStr">
        <is>
          <t>C336</t>
        </is>
      </c>
      <c r="B2097" s="17" t="inlineStr"/>
      <c r="C2097" s="17" t="inlineStr">
        <is>
          <t>대정화금(주)</t>
        </is>
      </c>
      <c r="D2097" s="17" t="inlineStr"/>
      <c r="E2097" s="17" t="inlineStr">
        <is>
          <t>신공장·증설</t>
        </is>
      </c>
      <c r="F2097" s="17" t="inlineStr">
        <is>
          <t>미확인</t>
        </is>
      </c>
      <c r="G2097" s="17" t="inlineStr">
        <is>
          <t>웹조사 자동화 실패(세션한도)</t>
        </is>
      </c>
      <c r="H2097" s="17" t="inlineStr">
        <is>
          <t>N</t>
        </is>
      </c>
      <c r="I2097" s="17" t="inlineStr">
        <is>
          <t>언론·지자체 발표</t>
        </is>
      </c>
      <c r="J2097" s="17" t="inlineStr">
        <is>
          <t>언론·지자체 발표에서 확인</t>
        </is>
      </c>
      <c r="K2097" s="17" t="inlineStr">
        <is>
          <t>낮음</t>
        </is>
      </c>
      <c r="L2097" s="17" t="inlineStr"/>
    </row>
    <row r="2098">
      <c r="A2098" s="17" t="inlineStr">
        <is>
          <t>C337</t>
        </is>
      </c>
      <c r="B2098" s="17" t="inlineStr"/>
      <c r="C2098" s="17" t="inlineStr">
        <is>
          <t>(주)파마코스텍</t>
        </is>
      </c>
      <c r="D2098" s="17" t="inlineStr"/>
      <c r="E2098" s="17" t="inlineStr">
        <is>
          <t>최근매출(억원)</t>
        </is>
      </c>
      <c r="F2098" s="17" t="inlineStr">
        <is>
          <t>미확인</t>
        </is>
      </c>
      <c r="G2098" s="17" t="inlineStr">
        <is>
          <t>웹조사 자동화 실패(세션한도)</t>
        </is>
      </c>
      <c r="H2098" s="17" t="inlineStr">
        <is>
          <t>N</t>
        </is>
      </c>
      <c r="I2098" s="17" t="inlineStr">
        <is>
          <t>DART 사업보고서</t>
        </is>
      </c>
      <c r="J2098" s="17" t="inlineStr">
        <is>
          <t>DART 사업보고서에서 확인</t>
        </is>
      </c>
      <c r="K2098" s="17" t="inlineStr">
        <is>
          <t>낮음</t>
        </is>
      </c>
      <c r="L2098" s="17" t="inlineStr"/>
    </row>
    <row r="2099">
      <c r="A2099" s="17" t="inlineStr">
        <is>
          <t>C337</t>
        </is>
      </c>
      <c r="B2099" s="17" t="inlineStr"/>
      <c r="C2099" s="17" t="inlineStr">
        <is>
          <t>(주)파마코스텍</t>
        </is>
      </c>
      <c r="D2099" s="17" t="inlineStr"/>
      <c r="E2099" s="17" t="inlineStr">
        <is>
          <t>종업원수</t>
        </is>
      </c>
      <c r="F2099" s="17" t="inlineStr">
        <is>
          <t>미확인</t>
        </is>
      </c>
      <c r="G2099" s="17" t="inlineStr">
        <is>
          <t>웹조사 자동화 실패(세션한도)</t>
        </is>
      </c>
      <c r="H2099" s="17" t="inlineStr">
        <is>
          <t>N</t>
        </is>
      </c>
      <c r="I2099" s="17" t="inlineStr">
        <is>
          <t>DART/채용</t>
        </is>
      </c>
      <c r="J2099" s="17" t="inlineStr">
        <is>
          <t>DART/채용에서 확인</t>
        </is>
      </c>
      <c r="K2099" s="17" t="inlineStr">
        <is>
          <t>낮음</t>
        </is>
      </c>
      <c r="L2099" s="17" t="inlineStr"/>
    </row>
    <row r="2100">
      <c r="A2100" s="17" t="inlineStr">
        <is>
          <t>C337</t>
        </is>
      </c>
      <c r="B2100" s="17" t="inlineStr"/>
      <c r="C2100" s="17" t="inlineStr">
        <is>
          <t>(주)파마코스텍</t>
        </is>
      </c>
      <c r="D2100" s="17" t="inlineStr"/>
      <c r="E2100" s="17" t="inlineStr">
        <is>
          <t>수출여부</t>
        </is>
      </c>
      <c r="F2100" s="17" t="inlineStr">
        <is>
          <t>미확인</t>
        </is>
      </c>
      <c r="G2100" s="17" t="inlineStr">
        <is>
          <t>웹조사 자동화 실패(세션한도)</t>
        </is>
      </c>
      <c r="H2100" s="17" t="inlineStr">
        <is>
          <t>N</t>
        </is>
      </c>
      <c r="I2100" s="17" t="inlineStr">
        <is>
          <t>회사 공시·홈페이지</t>
        </is>
      </c>
      <c r="J2100" s="17" t="inlineStr">
        <is>
          <t>회사 공시·홈페이지에서 확인</t>
        </is>
      </c>
      <c r="K2100" s="17" t="inlineStr">
        <is>
          <t>낮음</t>
        </is>
      </c>
      <c r="L2100" s="17" t="inlineStr"/>
    </row>
    <row r="2101">
      <c r="A2101" s="17" t="inlineStr">
        <is>
          <t>C337</t>
        </is>
      </c>
      <c r="B2101" s="17" t="inlineStr"/>
      <c r="C2101" s="17" t="inlineStr">
        <is>
          <t>(주)파마코스텍</t>
        </is>
      </c>
      <c r="D2101" s="17" t="inlineStr"/>
      <c r="E2101" s="17" t="inlineStr">
        <is>
          <t>FDA·EMA 실사</t>
        </is>
      </c>
      <c r="F2101" s="17" t="inlineStr">
        <is>
          <t>미확인</t>
        </is>
      </c>
      <c r="G2101" s="17" t="inlineStr">
        <is>
          <t>웹조사 자동화 실패(세션한도)</t>
        </is>
      </c>
      <c r="H2101" s="17" t="inlineStr">
        <is>
          <t>N</t>
        </is>
      </c>
      <c r="I2101" s="17" t="inlineStr">
        <is>
          <t>FDA Inspection DB</t>
        </is>
      </c>
      <c r="J2101" s="17" t="inlineStr">
        <is>
          <t>FDA Inspection DB에서 확인</t>
        </is>
      </c>
      <c r="K2101" s="17" t="inlineStr">
        <is>
          <t>낮음</t>
        </is>
      </c>
      <c r="L2101" s="17" t="inlineStr"/>
    </row>
    <row r="2102">
      <c r="A2102" s="17" t="inlineStr">
        <is>
          <t>C337</t>
        </is>
      </c>
      <c r="B2102" s="17" t="inlineStr"/>
      <c r="C2102" s="17" t="inlineStr">
        <is>
          <t>(주)파마코스텍</t>
        </is>
      </c>
      <c r="D2102" s="17" t="inlineStr"/>
      <c r="E2102" s="17" t="inlineStr">
        <is>
          <t>CMO·CDMO</t>
        </is>
      </c>
      <c r="F2102" s="17" t="inlineStr">
        <is>
          <t>미확인</t>
        </is>
      </c>
      <c r="G2102" s="17" t="inlineStr">
        <is>
          <t>웹조사 자동화 실패(세션한도)</t>
        </is>
      </c>
      <c r="H2102" s="17" t="inlineStr">
        <is>
          <t>N</t>
        </is>
      </c>
      <c r="I2102" s="17" t="inlineStr">
        <is>
          <t>회사 홈페이지</t>
        </is>
      </c>
      <c r="J2102" s="17" t="inlineStr">
        <is>
          <t>회사 홈페이지에서 확인</t>
        </is>
      </c>
      <c r="K2102" s="17" t="inlineStr">
        <is>
          <t>낮음</t>
        </is>
      </c>
      <c r="L2102" s="17" t="inlineStr"/>
    </row>
    <row r="2103">
      <c r="A2103" s="17" t="inlineStr">
        <is>
          <t>C337</t>
        </is>
      </c>
      <c r="B2103" s="17" t="inlineStr"/>
      <c r="C2103" s="17" t="inlineStr">
        <is>
          <t>(주)파마코스텍</t>
        </is>
      </c>
      <c r="D2103" s="17" t="inlineStr"/>
      <c r="E2103" s="17" t="inlineStr">
        <is>
          <t>신공장·증설</t>
        </is>
      </c>
      <c r="F2103" s="17" t="inlineStr">
        <is>
          <t>미확인</t>
        </is>
      </c>
      <c r="G2103" s="17" t="inlineStr">
        <is>
          <t>웹조사 자동화 실패(세션한도)</t>
        </is>
      </c>
      <c r="H2103" s="17" t="inlineStr">
        <is>
          <t>N</t>
        </is>
      </c>
      <c r="I2103" s="17" t="inlineStr">
        <is>
          <t>언론·지자체 발표</t>
        </is>
      </c>
      <c r="J2103" s="17" t="inlineStr">
        <is>
          <t>언론·지자체 발표에서 확인</t>
        </is>
      </c>
      <c r="K2103" s="17" t="inlineStr">
        <is>
          <t>낮음</t>
        </is>
      </c>
      <c r="L2103" s="17" t="inlineStr"/>
    </row>
    <row r="2104">
      <c r="A2104" s="17" t="inlineStr">
        <is>
          <t>C338</t>
        </is>
      </c>
      <c r="B2104" s="17" t="inlineStr"/>
      <c r="C2104" s="17" t="inlineStr">
        <is>
          <t>(주)종근당</t>
        </is>
      </c>
      <c r="D2104" s="17" t="inlineStr"/>
      <c r="E2104" s="17" t="inlineStr">
        <is>
          <t>최근매출(억원)</t>
        </is>
      </c>
      <c r="F2104" s="17" t="inlineStr">
        <is>
          <t>미확인</t>
        </is>
      </c>
      <c r="G2104" s="17" t="inlineStr">
        <is>
          <t>웹조사 자동화 실패(세션한도)</t>
        </is>
      </c>
      <c r="H2104" s="17" t="inlineStr">
        <is>
          <t>N</t>
        </is>
      </c>
      <c r="I2104" s="17" t="inlineStr">
        <is>
          <t>DART 사업보고서</t>
        </is>
      </c>
      <c r="J2104" s="17" t="inlineStr">
        <is>
          <t>DART 사업보고서에서 확인</t>
        </is>
      </c>
      <c r="K2104" s="17" t="inlineStr">
        <is>
          <t>낮음</t>
        </is>
      </c>
      <c r="L2104" s="17" t="inlineStr"/>
    </row>
    <row r="2105">
      <c r="A2105" s="17" t="inlineStr">
        <is>
          <t>C338</t>
        </is>
      </c>
      <c r="B2105" s="17" t="inlineStr"/>
      <c r="C2105" s="17" t="inlineStr">
        <is>
          <t>(주)종근당</t>
        </is>
      </c>
      <c r="D2105" s="17" t="inlineStr"/>
      <c r="E2105" s="17" t="inlineStr">
        <is>
          <t>종업원수</t>
        </is>
      </c>
      <c r="F2105" s="17" t="inlineStr">
        <is>
          <t>미확인</t>
        </is>
      </c>
      <c r="G2105" s="17" t="inlineStr">
        <is>
          <t>웹조사 자동화 실패(세션한도)</t>
        </is>
      </c>
      <c r="H2105" s="17" t="inlineStr">
        <is>
          <t>N</t>
        </is>
      </c>
      <c r="I2105" s="17" t="inlineStr">
        <is>
          <t>DART/채용</t>
        </is>
      </c>
      <c r="J2105" s="17" t="inlineStr">
        <is>
          <t>DART/채용에서 확인</t>
        </is>
      </c>
      <c r="K2105" s="17" t="inlineStr">
        <is>
          <t>낮음</t>
        </is>
      </c>
      <c r="L2105" s="17" t="inlineStr"/>
    </row>
    <row r="2106">
      <c r="A2106" s="17" t="inlineStr">
        <is>
          <t>C338</t>
        </is>
      </c>
      <c r="B2106" s="17" t="inlineStr"/>
      <c r="C2106" s="17" t="inlineStr">
        <is>
          <t>(주)종근당</t>
        </is>
      </c>
      <c r="D2106" s="17" t="inlineStr"/>
      <c r="E2106" s="17" t="inlineStr">
        <is>
          <t>수출여부</t>
        </is>
      </c>
      <c r="F2106" s="17" t="inlineStr">
        <is>
          <t>미확인</t>
        </is>
      </c>
      <c r="G2106" s="17" t="inlineStr">
        <is>
          <t>웹조사 자동화 실패(세션한도)</t>
        </is>
      </c>
      <c r="H2106" s="17" t="inlineStr">
        <is>
          <t>N</t>
        </is>
      </c>
      <c r="I2106" s="17" t="inlineStr">
        <is>
          <t>회사 공시·홈페이지</t>
        </is>
      </c>
      <c r="J2106" s="17" t="inlineStr">
        <is>
          <t>회사 공시·홈페이지에서 확인</t>
        </is>
      </c>
      <c r="K2106" s="17" t="inlineStr">
        <is>
          <t>낮음</t>
        </is>
      </c>
      <c r="L2106" s="17" t="inlineStr"/>
    </row>
    <row r="2107">
      <c r="A2107" s="17" t="inlineStr">
        <is>
          <t>C338</t>
        </is>
      </c>
      <c r="B2107" s="17" t="inlineStr"/>
      <c r="C2107" s="17" t="inlineStr">
        <is>
          <t>(주)종근당</t>
        </is>
      </c>
      <c r="D2107" s="17" t="inlineStr"/>
      <c r="E2107" s="17" t="inlineStr">
        <is>
          <t>FDA·EMA 실사</t>
        </is>
      </c>
      <c r="F2107" s="17" t="inlineStr">
        <is>
          <t>미확인</t>
        </is>
      </c>
      <c r="G2107" s="17" t="inlineStr">
        <is>
          <t>웹조사 자동화 실패(세션한도)</t>
        </is>
      </c>
      <c r="H2107" s="17" t="inlineStr">
        <is>
          <t>N</t>
        </is>
      </c>
      <c r="I2107" s="17" t="inlineStr">
        <is>
          <t>FDA Inspection DB</t>
        </is>
      </c>
      <c r="J2107" s="17" t="inlineStr">
        <is>
          <t>FDA Inspection DB에서 확인</t>
        </is>
      </c>
      <c r="K2107" s="17" t="inlineStr">
        <is>
          <t>낮음</t>
        </is>
      </c>
      <c r="L2107" s="17" t="inlineStr"/>
    </row>
    <row r="2108">
      <c r="A2108" s="17" t="inlineStr">
        <is>
          <t>C338</t>
        </is>
      </c>
      <c r="B2108" s="17" t="inlineStr"/>
      <c r="C2108" s="17" t="inlineStr">
        <is>
          <t>(주)종근당</t>
        </is>
      </c>
      <c r="D2108" s="17" t="inlineStr"/>
      <c r="E2108" s="17" t="inlineStr">
        <is>
          <t>CMO·CDMO</t>
        </is>
      </c>
      <c r="F2108" s="17" t="inlineStr">
        <is>
          <t>미확인</t>
        </is>
      </c>
      <c r="G2108" s="17" t="inlineStr">
        <is>
          <t>웹조사 자동화 실패(세션한도)</t>
        </is>
      </c>
      <c r="H2108" s="17" t="inlineStr">
        <is>
          <t>N</t>
        </is>
      </c>
      <c r="I2108" s="17" t="inlineStr">
        <is>
          <t>회사 홈페이지</t>
        </is>
      </c>
      <c r="J2108" s="17" t="inlineStr">
        <is>
          <t>회사 홈페이지에서 확인</t>
        </is>
      </c>
      <c r="K2108" s="17" t="inlineStr">
        <is>
          <t>낮음</t>
        </is>
      </c>
      <c r="L2108" s="17" t="inlineStr"/>
    </row>
    <row r="2109">
      <c r="A2109" s="17" t="inlineStr">
        <is>
          <t>C338</t>
        </is>
      </c>
      <c r="B2109" s="17" t="inlineStr"/>
      <c r="C2109" s="17" t="inlineStr">
        <is>
          <t>(주)종근당</t>
        </is>
      </c>
      <c r="D2109" s="17" t="inlineStr"/>
      <c r="E2109" s="17" t="inlineStr">
        <is>
          <t>신공장·증설</t>
        </is>
      </c>
      <c r="F2109" s="17" t="inlineStr">
        <is>
          <t>미확인</t>
        </is>
      </c>
      <c r="G2109" s="17" t="inlineStr">
        <is>
          <t>웹조사 자동화 실패(세션한도)</t>
        </is>
      </c>
      <c r="H2109" s="17" t="inlineStr">
        <is>
          <t>N</t>
        </is>
      </c>
      <c r="I2109" s="17" t="inlineStr">
        <is>
          <t>언론·지자체 발표</t>
        </is>
      </c>
      <c r="J2109" s="17" t="inlineStr">
        <is>
          <t>언론·지자체 발표에서 확인</t>
        </is>
      </c>
      <c r="K2109" s="17" t="inlineStr">
        <is>
          <t>낮음</t>
        </is>
      </c>
      <c r="L2109" s="17" t="inlineStr"/>
    </row>
    <row r="2110">
      <c r="A2110" s="17" t="inlineStr">
        <is>
          <t>C339</t>
        </is>
      </c>
      <c r="B2110" s="17" t="inlineStr"/>
      <c r="C2110" s="17" t="inlineStr">
        <is>
          <t>광동제약(주)</t>
        </is>
      </c>
      <c r="D2110" s="17" t="inlineStr"/>
      <c r="E2110" s="17" t="inlineStr">
        <is>
          <t>최근매출(억원)</t>
        </is>
      </c>
      <c r="F2110" s="17" t="inlineStr">
        <is>
          <t>미확인</t>
        </is>
      </c>
      <c r="G2110" s="17" t="inlineStr">
        <is>
          <t>웹조사 자동화 실패(세션한도)</t>
        </is>
      </c>
      <c r="H2110" s="17" t="inlineStr">
        <is>
          <t>N</t>
        </is>
      </c>
      <c r="I2110" s="17" t="inlineStr">
        <is>
          <t>DART 사업보고서</t>
        </is>
      </c>
      <c r="J2110" s="17" t="inlineStr">
        <is>
          <t>DART 사업보고서에서 확인</t>
        </is>
      </c>
      <c r="K2110" s="17" t="inlineStr">
        <is>
          <t>낮음</t>
        </is>
      </c>
      <c r="L2110" s="17" t="inlineStr"/>
    </row>
    <row r="2111">
      <c r="A2111" s="17" t="inlineStr">
        <is>
          <t>C339</t>
        </is>
      </c>
      <c r="B2111" s="17" t="inlineStr"/>
      <c r="C2111" s="17" t="inlineStr">
        <is>
          <t>광동제약(주)</t>
        </is>
      </c>
      <c r="D2111" s="17" t="inlineStr"/>
      <c r="E2111" s="17" t="inlineStr">
        <is>
          <t>종업원수</t>
        </is>
      </c>
      <c r="F2111" s="17" t="inlineStr">
        <is>
          <t>미확인</t>
        </is>
      </c>
      <c r="G2111" s="17" t="inlineStr">
        <is>
          <t>웹조사 자동화 실패(세션한도)</t>
        </is>
      </c>
      <c r="H2111" s="17" t="inlineStr">
        <is>
          <t>N</t>
        </is>
      </c>
      <c r="I2111" s="17" t="inlineStr">
        <is>
          <t>DART/채용</t>
        </is>
      </c>
      <c r="J2111" s="17" t="inlineStr">
        <is>
          <t>DART/채용에서 확인</t>
        </is>
      </c>
      <c r="K2111" s="17" t="inlineStr">
        <is>
          <t>낮음</t>
        </is>
      </c>
      <c r="L2111" s="17" t="inlineStr"/>
    </row>
    <row r="2112">
      <c r="A2112" s="17" t="inlineStr">
        <is>
          <t>C339</t>
        </is>
      </c>
      <c r="B2112" s="17" t="inlineStr"/>
      <c r="C2112" s="17" t="inlineStr">
        <is>
          <t>광동제약(주)</t>
        </is>
      </c>
      <c r="D2112" s="17" t="inlineStr"/>
      <c r="E2112" s="17" t="inlineStr">
        <is>
          <t>수출여부</t>
        </is>
      </c>
      <c r="F2112" s="17" t="inlineStr">
        <is>
          <t>미확인</t>
        </is>
      </c>
      <c r="G2112" s="17" t="inlineStr">
        <is>
          <t>웹조사 자동화 실패(세션한도)</t>
        </is>
      </c>
      <c r="H2112" s="17" t="inlineStr">
        <is>
          <t>N</t>
        </is>
      </c>
      <c r="I2112" s="17" t="inlineStr">
        <is>
          <t>회사 공시·홈페이지</t>
        </is>
      </c>
      <c r="J2112" s="17" t="inlineStr">
        <is>
          <t>회사 공시·홈페이지에서 확인</t>
        </is>
      </c>
      <c r="K2112" s="17" t="inlineStr">
        <is>
          <t>낮음</t>
        </is>
      </c>
      <c r="L2112" s="17" t="inlineStr"/>
    </row>
    <row r="2113">
      <c r="A2113" s="17" t="inlineStr">
        <is>
          <t>C339</t>
        </is>
      </c>
      <c r="B2113" s="17" t="inlineStr"/>
      <c r="C2113" s="17" t="inlineStr">
        <is>
          <t>광동제약(주)</t>
        </is>
      </c>
      <c r="D2113" s="17" t="inlineStr"/>
      <c r="E2113" s="17" t="inlineStr">
        <is>
          <t>FDA·EMA 실사</t>
        </is>
      </c>
      <c r="F2113" s="17" t="inlineStr">
        <is>
          <t>미확인</t>
        </is>
      </c>
      <c r="G2113" s="17" t="inlineStr">
        <is>
          <t>웹조사 자동화 실패(세션한도)</t>
        </is>
      </c>
      <c r="H2113" s="17" t="inlineStr">
        <is>
          <t>N</t>
        </is>
      </c>
      <c r="I2113" s="17" t="inlineStr">
        <is>
          <t>FDA Inspection DB</t>
        </is>
      </c>
      <c r="J2113" s="17" t="inlineStr">
        <is>
          <t>FDA Inspection DB에서 확인</t>
        </is>
      </c>
      <c r="K2113" s="17" t="inlineStr">
        <is>
          <t>낮음</t>
        </is>
      </c>
      <c r="L2113" s="17" t="inlineStr"/>
    </row>
    <row r="2114">
      <c r="A2114" s="17" t="inlineStr">
        <is>
          <t>C339</t>
        </is>
      </c>
      <c r="B2114" s="17" t="inlineStr"/>
      <c r="C2114" s="17" t="inlineStr">
        <is>
          <t>광동제약(주)</t>
        </is>
      </c>
      <c r="D2114" s="17" t="inlineStr"/>
      <c r="E2114" s="17" t="inlineStr">
        <is>
          <t>CMO·CDMO</t>
        </is>
      </c>
      <c r="F2114" s="17" t="inlineStr">
        <is>
          <t>미확인</t>
        </is>
      </c>
      <c r="G2114" s="17" t="inlineStr">
        <is>
          <t>웹조사 자동화 실패(세션한도)</t>
        </is>
      </c>
      <c r="H2114" s="17" t="inlineStr">
        <is>
          <t>N</t>
        </is>
      </c>
      <c r="I2114" s="17" t="inlineStr">
        <is>
          <t>회사 홈페이지</t>
        </is>
      </c>
      <c r="J2114" s="17" t="inlineStr">
        <is>
          <t>회사 홈페이지에서 확인</t>
        </is>
      </c>
      <c r="K2114" s="17" t="inlineStr">
        <is>
          <t>낮음</t>
        </is>
      </c>
      <c r="L2114" s="17" t="inlineStr"/>
    </row>
    <row r="2115">
      <c r="A2115" s="17" t="inlineStr">
        <is>
          <t>C339</t>
        </is>
      </c>
      <c r="B2115" s="17" t="inlineStr"/>
      <c r="C2115" s="17" t="inlineStr">
        <is>
          <t>광동제약(주)</t>
        </is>
      </c>
      <c r="D2115" s="17" t="inlineStr"/>
      <c r="E2115" s="17" t="inlineStr">
        <is>
          <t>신공장·증설</t>
        </is>
      </c>
      <c r="F2115" s="17" t="inlineStr">
        <is>
          <t>미확인</t>
        </is>
      </c>
      <c r="G2115" s="17" t="inlineStr">
        <is>
          <t>웹조사 자동화 실패(세션한도)</t>
        </is>
      </c>
      <c r="H2115" s="17" t="inlineStr">
        <is>
          <t>N</t>
        </is>
      </c>
      <c r="I2115" s="17" t="inlineStr">
        <is>
          <t>언론·지자체 발표</t>
        </is>
      </c>
      <c r="J2115" s="17" t="inlineStr">
        <is>
          <t>언론·지자체 발표에서 확인</t>
        </is>
      </c>
      <c r="K2115" s="17" t="inlineStr">
        <is>
          <t>낮음</t>
        </is>
      </c>
      <c r="L2115" s="17" t="inlineStr"/>
    </row>
    <row r="2116">
      <c r="A2116" s="17" t="inlineStr">
        <is>
          <t>C340</t>
        </is>
      </c>
      <c r="B2116" s="17" t="inlineStr"/>
      <c r="C2116" s="17" t="inlineStr">
        <is>
          <t>오스틴제약(주)</t>
        </is>
      </c>
      <c r="D2116" s="17" t="inlineStr"/>
      <c r="E2116" s="17" t="inlineStr">
        <is>
          <t>최근매출(억원)</t>
        </is>
      </c>
      <c r="F2116" s="17" t="inlineStr">
        <is>
          <t>미확인</t>
        </is>
      </c>
      <c r="G2116" s="17" t="inlineStr">
        <is>
          <t>웹조사 자동화 실패(세션한도)</t>
        </is>
      </c>
      <c r="H2116" s="17" t="inlineStr">
        <is>
          <t>N</t>
        </is>
      </c>
      <c r="I2116" s="17" t="inlineStr">
        <is>
          <t>DART 사업보고서</t>
        </is>
      </c>
      <c r="J2116" s="17" t="inlineStr">
        <is>
          <t>DART 사업보고서에서 확인</t>
        </is>
      </c>
      <c r="K2116" s="17" t="inlineStr">
        <is>
          <t>낮음</t>
        </is>
      </c>
      <c r="L2116" s="17" t="inlineStr"/>
    </row>
    <row r="2117">
      <c r="A2117" s="17" t="inlineStr">
        <is>
          <t>C340</t>
        </is>
      </c>
      <c r="B2117" s="17" t="inlineStr"/>
      <c r="C2117" s="17" t="inlineStr">
        <is>
          <t>오스틴제약(주)</t>
        </is>
      </c>
      <c r="D2117" s="17" t="inlineStr"/>
      <c r="E2117" s="17" t="inlineStr">
        <is>
          <t>종업원수</t>
        </is>
      </c>
      <c r="F2117" s="17" t="inlineStr">
        <is>
          <t>미확인</t>
        </is>
      </c>
      <c r="G2117" s="17" t="inlineStr">
        <is>
          <t>웹조사 자동화 실패(세션한도)</t>
        </is>
      </c>
      <c r="H2117" s="17" t="inlineStr">
        <is>
          <t>N</t>
        </is>
      </c>
      <c r="I2117" s="17" t="inlineStr">
        <is>
          <t>DART/채용</t>
        </is>
      </c>
      <c r="J2117" s="17" t="inlineStr">
        <is>
          <t>DART/채용에서 확인</t>
        </is>
      </c>
      <c r="K2117" s="17" t="inlineStr">
        <is>
          <t>낮음</t>
        </is>
      </c>
      <c r="L2117" s="17" t="inlineStr"/>
    </row>
    <row r="2118">
      <c r="A2118" s="17" t="inlineStr">
        <is>
          <t>C340</t>
        </is>
      </c>
      <c r="B2118" s="17" t="inlineStr"/>
      <c r="C2118" s="17" t="inlineStr">
        <is>
          <t>오스틴제약(주)</t>
        </is>
      </c>
      <c r="D2118" s="17" t="inlineStr"/>
      <c r="E2118" s="17" t="inlineStr">
        <is>
          <t>수출여부</t>
        </is>
      </c>
      <c r="F2118" s="17" t="inlineStr">
        <is>
          <t>미확인</t>
        </is>
      </c>
      <c r="G2118" s="17" t="inlineStr">
        <is>
          <t>웹조사 자동화 실패(세션한도)</t>
        </is>
      </c>
      <c r="H2118" s="17" t="inlineStr">
        <is>
          <t>N</t>
        </is>
      </c>
      <c r="I2118" s="17" t="inlineStr">
        <is>
          <t>회사 공시·홈페이지</t>
        </is>
      </c>
      <c r="J2118" s="17" t="inlineStr">
        <is>
          <t>회사 공시·홈페이지에서 확인</t>
        </is>
      </c>
      <c r="K2118" s="17" t="inlineStr">
        <is>
          <t>낮음</t>
        </is>
      </c>
      <c r="L2118" s="17" t="inlineStr"/>
    </row>
    <row r="2119">
      <c r="A2119" s="17" t="inlineStr">
        <is>
          <t>C340</t>
        </is>
      </c>
      <c r="B2119" s="17" t="inlineStr"/>
      <c r="C2119" s="17" t="inlineStr">
        <is>
          <t>오스틴제약(주)</t>
        </is>
      </c>
      <c r="D2119" s="17" t="inlineStr"/>
      <c r="E2119" s="17" t="inlineStr">
        <is>
          <t>FDA·EMA 실사</t>
        </is>
      </c>
      <c r="F2119" s="17" t="inlineStr">
        <is>
          <t>미확인</t>
        </is>
      </c>
      <c r="G2119" s="17" t="inlineStr">
        <is>
          <t>웹조사 자동화 실패(세션한도)</t>
        </is>
      </c>
      <c r="H2119" s="17" t="inlineStr">
        <is>
          <t>N</t>
        </is>
      </c>
      <c r="I2119" s="17" t="inlineStr">
        <is>
          <t>FDA Inspection DB</t>
        </is>
      </c>
      <c r="J2119" s="17" t="inlineStr">
        <is>
          <t>FDA Inspection DB에서 확인</t>
        </is>
      </c>
      <c r="K2119" s="17" t="inlineStr">
        <is>
          <t>낮음</t>
        </is>
      </c>
      <c r="L2119" s="17" t="inlineStr"/>
    </row>
    <row r="2120">
      <c r="A2120" s="17" t="inlineStr">
        <is>
          <t>C340</t>
        </is>
      </c>
      <c r="B2120" s="17" t="inlineStr"/>
      <c r="C2120" s="17" t="inlineStr">
        <is>
          <t>오스틴제약(주)</t>
        </is>
      </c>
      <c r="D2120" s="17" t="inlineStr"/>
      <c r="E2120" s="17" t="inlineStr">
        <is>
          <t>CMO·CDMO</t>
        </is>
      </c>
      <c r="F2120" s="17" t="inlineStr">
        <is>
          <t>미확인</t>
        </is>
      </c>
      <c r="G2120" s="17" t="inlineStr">
        <is>
          <t>웹조사 자동화 실패(세션한도)</t>
        </is>
      </c>
      <c r="H2120" s="17" t="inlineStr">
        <is>
          <t>N</t>
        </is>
      </c>
      <c r="I2120" s="17" t="inlineStr">
        <is>
          <t>회사 홈페이지</t>
        </is>
      </c>
      <c r="J2120" s="17" t="inlineStr">
        <is>
          <t>회사 홈페이지에서 확인</t>
        </is>
      </c>
      <c r="K2120" s="17" t="inlineStr">
        <is>
          <t>낮음</t>
        </is>
      </c>
      <c r="L2120" s="17" t="inlineStr"/>
    </row>
    <row r="2121">
      <c r="A2121" s="17" t="inlineStr">
        <is>
          <t>C340</t>
        </is>
      </c>
      <c r="B2121" s="17" t="inlineStr"/>
      <c r="C2121" s="17" t="inlineStr">
        <is>
          <t>오스틴제약(주)</t>
        </is>
      </c>
      <c r="D2121" s="17" t="inlineStr"/>
      <c r="E2121" s="17" t="inlineStr">
        <is>
          <t>신공장·증설</t>
        </is>
      </c>
      <c r="F2121" s="17" t="inlineStr">
        <is>
          <t>미확인</t>
        </is>
      </c>
      <c r="G2121" s="17" t="inlineStr">
        <is>
          <t>웹조사 자동화 실패(세션한도)</t>
        </is>
      </c>
      <c r="H2121" s="17" t="inlineStr">
        <is>
          <t>N</t>
        </is>
      </c>
      <c r="I2121" s="17" t="inlineStr">
        <is>
          <t>언론·지자체 발표</t>
        </is>
      </c>
      <c r="J2121" s="17" t="inlineStr">
        <is>
          <t>언론·지자체 발표에서 확인</t>
        </is>
      </c>
      <c r="K2121" s="17" t="inlineStr">
        <is>
          <t>낮음</t>
        </is>
      </c>
      <c r="L2121" s="17" t="inlineStr"/>
    </row>
    <row r="2122">
      <c r="A2122" s="17" t="inlineStr">
        <is>
          <t>C341</t>
        </is>
      </c>
      <c r="B2122" s="17" t="inlineStr"/>
      <c r="C2122" s="17" t="inlineStr">
        <is>
          <t>(주)세종산업가스</t>
        </is>
      </c>
      <c r="D2122" s="17" t="inlineStr"/>
      <c r="E2122" s="17" t="inlineStr">
        <is>
          <t>최근매출(억원)</t>
        </is>
      </c>
      <c r="F2122" s="17" t="inlineStr">
        <is>
          <t>미확인</t>
        </is>
      </c>
      <c r="G2122" s="17" t="inlineStr">
        <is>
          <t>웹조사 자동화 실패(세션한도)</t>
        </is>
      </c>
      <c r="H2122" s="17" t="inlineStr">
        <is>
          <t>N</t>
        </is>
      </c>
      <c r="I2122" s="17" t="inlineStr">
        <is>
          <t>DART 사업보고서</t>
        </is>
      </c>
      <c r="J2122" s="17" t="inlineStr">
        <is>
          <t>DART 사업보고서에서 확인</t>
        </is>
      </c>
      <c r="K2122" s="17" t="inlineStr">
        <is>
          <t>낮음</t>
        </is>
      </c>
      <c r="L2122" s="17" t="inlineStr"/>
    </row>
    <row r="2123">
      <c r="A2123" s="17" t="inlineStr">
        <is>
          <t>C341</t>
        </is>
      </c>
      <c r="B2123" s="17" t="inlineStr"/>
      <c r="C2123" s="17" t="inlineStr">
        <is>
          <t>(주)세종산업가스</t>
        </is>
      </c>
      <c r="D2123" s="17" t="inlineStr"/>
      <c r="E2123" s="17" t="inlineStr">
        <is>
          <t>종업원수</t>
        </is>
      </c>
      <c r="F2123" s="17" t="inlineStr">
        <is>
          <t>미확인</t>
        </is>
      </c>
      <c r="G2123" s="17" t="inlineStr">
        <is>
          <t>웹조사 자동화 실패(세션한도)</t>
        </is>
      </c>
      <c r="H2123" s="17" t="inlineStr">
        <is>
          <t>N</t>
        </is>
      </c>
      <c r="I2123" s="17" t="inlineStr">
        <is>
          <t>DART/채용</t>
        </is>
      </c>
      <c r="J2123" s="17" t="inlineStr">
        <is>
          <t>DART/채용에서 확인</t>
        </is>
      </c>
      <c r="K2123" s="17" t="inlineStr">
        <is>
          <t>낮음</t>
        </is>
      </c>
      <c r="L2123" s="17" t="inlineStr"/>
    </row>
    <row r="2124">
      <c r="A2124" s="17" t="inlineStr">
        <is>
          <t>C341</t>
        </is>
      </c>
      <c r="B2124" s="17" t="inlineStr"/>
      <c r="C2124" s="17" t="inlineStr">
        <is>
          <t>(주)세종산업가스</t>
        </is>
      </c>
      <c r="D2124" s="17" t="inlineStr"/>
      <c r="E2124" s="17" t="inlineStr">
        <is>
          <t>수출여부</t>
        </is>
      </c>
      <c r="F2124" s="17" t="inlineStr">
        <is>
          <t>미확인</t>
        </is>
      </c>
      <c r="G2124" s="17" t="inlineStr">
        <is>
          <t>웹조사 자동화 실패(세션한도)</t>
        </is>
      </c>
      <c r="H2124" s="17" t="inlineStr">
        <is>
          <t>N</t>
        </is>
      </c>
      <c r="I2124" s="17" t="inlineStr">
        <is>
          <t>회사 공시·홈페이지</t>
        </is>
      </c>
      <c r="J2124" s="17" t="inlineStr">
        <is>
          <t>회사 공시·홈페이지에서 확인</t>
        </is>
      </c>
      <c r="K2124" s="17" t="inlineStr">
        <is>
          <t>낮음</t>
        </is>
      </c>
      <c r="L2124" s="17" t="inlineStr"/>
    </row>
    <row r="2125">
      <c r="A2125" s="17" t="inlineStr">
        <is>
          <t>C341</t>
        </is>
      </c>
      <c r="B2125" s="17" t="inlineStr"/>
      <c r="C2125" s="17" t="inlineStr">
        <is>
          <t>(주)세종산업가스</t>
        </is>
      </c>
      <c r="D2125" s="17" t="inlineStr"/>
      <c r="E2125" s="17" t="inlineStr">
        <is>
          <t>FDA·EMA 실사</t>
        </is>
      </c>
      <c r="F2125" s="17" t="inlineStr">
        <is>
          <t>미확인</t>
        </is>
      </c>
      <c r="G2125" s="17" t="inlineStr">
        <is>
          <t>웹조사 자동화 실패(세션한도)</t>
        </is>
      </c>
      <c r="H2125" s="17" t="inlineStr">
        <is>
          <t>N</t>
        </is>
      </c>
      <c r="I2125" s="17" t="inlineStr">
        <is>
          <t>FDA Inspection DB</t>
        </is>
      </c>
      <c r="J2125" s="17" t="inlineStr">
        <is>
          <t>FDA Inspection DB에서 확인</t>
        </is>
      </c>
      <c r="K2125" s="17" t="inlineStr">
        <is>
          <t>낮음</t>
        </is>
      </c>
      <c r="L2125" s="17" t="inlineStr"/>
    </row>
    <row r="2126">
      <c r="A2126" s="17" t="inlineStr">
        <is>
          <t>C341</t>
        </is>
      </c>
      <c r="B2126" s="17" t="inlineStr"/>
      <c r="C2126" s="17" t="inlineStr">
        <is>
          <t>(주)세종산업가스</t>
        </is>
      </c>
      <c r="D2126" s="17" t="inlineStr"/>
      <c r="E2126" s="17" t="inlineStr">
        <is>
          <t>CMO·CDMO</t>
        </is>
      </c>
      <c r="F2126" s="17" t="inlineStr">
        <is>
          <t>미확인</t>
        </is>
      </c>
      <c r="G2126" s="17" t="inlineStr">
        <is>
          <t>웹조사 자동화 실패(세션한도)</t>
        </is>
      </c>
      <c r="H2126" s="17" t="inlineStr">
        <is>
          <t>N</t>
        </is>
      </c>
      <c r="I2126" s="17" t="inlineStr">
        <is>
          <t>회사 홈페이지</t>
        </is>
      </c>
      <c r="J2126" s="17" t="inlineStr">
        <is>
          <t>회사 홈페이지에서 확인</t>
        </is>
      </c>
      <c r="K2126" s="17" t="inlineStr">
        <is>
          <t>낮음</t>
        </is>
      </c>
      <c r="L2126" s="17" t="inlineStr"/>
    </row>
    <row r="2127">
      <c r="A2127" s="17" t="inlineStr">
        <is>
          <t>C341</t>
        </is>
      </c>
      <c r="B2127" s="17" t="inlineStr"/>
      <c r="C2127" s="17" t="inlineStr">
        <is>
          <t>(주)세종산업가스</t>
        </is>
      </c>
      <c r="D2127" s="17" t="inlineStr"/>
      <c r="E2127" s="17" t="inlineStr">
        <is>
          <t>신공장·증설</t>
        </is>
      </c>
      <c r="F2127" s="17" t="inlineStr">
        <is>
          <t>미확인</t>
        </is>
      </c>
      <c r="G2127" s="17" t="inlineStr">
        <is>
          <t>웹조사 자동화 실패(세션한도)</t>
        </is>
      </c>
      <c r="H2127" s="17" t="inlineStr">
        <is>
          <t>N</t>
        </is>
      </c>
      <c r="I2127" s="17" t="inlineStr">
        <is>
          <t>언론·지자체 발표</t>
        </is>
      </c>
      <c r="J2127" s="17" t="inlineStr">
        <is>
          <t>언론·지자체 발표에서 확인</t>
        </is>
      </c>
      <c r="K2127" s="17" t="inlineStr">
        <is>
          <t>낮음</t>
        </is>
      </c>
      <c r="L2127" s="17" t="inlineStr"/>
    </row>
    <row r="2128">
      <c r="A2128" s="17" t="inlineStr">
        <is>
          <t>C342</t>
        </is>
      </c>
      <c r="B2128" s="17" t="inlineStr"/>
      <c r="C2128" s="17" t="inlineStr">
        <is>
          <t>신일제약(주)</t>
        </is>
      </c>
      <c r="D2128" s="17" t="inlineStr"/>
      <c r="E2128" s="17" t="inlineStr">
        <is>
          <t>최근매출(억원)</t>
        </is>
      </c>
      <c r="F2128" s="17" t="inlineStr">
        <is>
          <t>미확인</t>
        </is>
      </c>
      <c r="G2128" s="17" t="inlineStr">
        <is>
          <t>웹조사 자동화 실패(세션한도)</t>
        </is>
      </c>
      <c r="H2128" s="17" t="inlineStr">
        <is>
          <t>N</t>
        </is>
      </c>
      <c r="I2128" s="17" t="inlineStr">
        <is>
          <t>DART 사업보고서</t>
        </is>
      </c>
      <c r="J2128" s="17" t="inlineStr">
        <is>
          <t>DART 사업보고서에서 확인</t>
        </is>
      </c>
      <c r="K2128" s="17" t="inlineStr">
        <is>
          <t>낮음</t>
        </is>
      </c>
      <c r="L2128" s="17" t="inlineStr"/>
    </row>
    <row r="2129">
      <c r="A2129" s="17" t="inlineStr">
        <is>
          <t>C342</t>
        </is>
      </c>
      <c r="B2129" s="17" t="inlineStr"/>
      <c r="C2129" s="17" t="inlineStr">
        <is>
          <t>신일제약(주)</t>
        </is>
      </c>
      <c r="D2129" s="17" t="inlineStr"/>
      <c r="E2129" s="17" t="inlineStr">
        <is>
          <t>종업원수</t>
        </is>
      </c>
      <c r="F2129" s="17" t="inlineStr">
        <is>
          <t>미확인</t>
        </is>
      </c>
      <c r="G2129" s="17" t="inlineStr">
        <is>
          <t>웹조사 자동화 실패(세션한도)</t>
        </is>
      </c>
      <c r="H2129" s="17" t="inlineStr">
        <is>
          <t>N</t>
        </is>
      </c>
      <c r="I2129" s="17" t="inlineStr">
        <is>
          <t>DART/채용</t>
        </is>
      </c>
      <c r="J2129" s="17" t="inlineStr">
        <is>
          <t>DART/채용에서 확인</t>
        </is>
      </c>
      <c r="K2129" s="17" t="inlineStr">
        <is>
          <t>낮음</t>
        </is>
      </c>
      <c r="L2129" s="17" t="inlineStr"/>
    </row>
    <row r="2130">
      <c r="A2130" s="17" t="inlineStr">
        <is>
          <t>C342</t>
        </is>
      </c>
      <c r="B2130" s="17" t="inlineStr"/>
      <c r="C2130" s="17" t="inlineStr">
        <is>
          <t>신일제약(주)</t>
        </is>
      </c>
      <c r="D2130" s="17" t="inlineStr"/>
      <c r="E2130" s="17" t="inlineStr">
        <is>
          <t>수출여부</t>
        </is>
      </c>
      <c r="F2130" s="17" t="inlineStr">
        <is>
          <t>미확인</t>
        </is>
      </c>
      <c r="G2130" s="17" t="inlineStr">
        <is>
          <t>웹조사 자동화 실패(세션한도)</t>
        </is>
      </c>
      <c r="H2130" s="17" t="inlineStr">
        <is>
          <t>N</t>
        </is>
      </c>
      <c r="I2130" s="17" t="inlineStr">
        <is>
          <t>회사 공시·홈페이지</t>
        </is>
      </c>
      <c r="J2130" s="17" t="inlineStr">
        <is>
          <t>회사 공시·홈페이지에서 확인</t>
        </is>
      </c>
      <c r="K2130" s="17" t="inlineStr">
        <is>
          <t>낮음</t>
        </is>
      </c>
      <c r="L2130" s="17" t="inlineStr"/>
    </row>
    <row r="2131">
      <c r="A2131" s="17" t="inlineStr">
        <is>
          <t>C342</t>
        </is>
      </c>
      <c r="B2131" s="17" t="inlineStr"/>
      <c r="C2131" s="17" t="inlineStr">
        <is>
          <t>신일제약(주)</t>
        </is>
      </c>
      <c r="D2131" s="17" t="inlineStr"/>
      <c r="E2131" s="17" t="inlineStr">
        <is>
          <t>FDA·EMA 실사</t>
        </is>
      </c>
      <c r="F2131" s="17" t="inlineStr">
        <is>
          <t>미확인</t>
        </is>
      </c>
      <c r="G2131" s="17" t="inlineStr">
        <is>
          <t>웹조사 자동화 실패(세션한도)</t>
        </is>
      </c>
      <c r="H2131" s="17" t="inlineStr">
        <is>
          <t>N</t>
        </is>
      </c>
      <c r="I2131" s="17" t="inlineStr">
        <is>
          <t>FDA Inspection DB</t>
        </is>
      </c>
      <c r="J2131" s="17" t="inlineStr">
        <is>
          <t>FDA Inspection DB에서 확인</t>
        </is>
      </c>
      <c r="K2131" s="17" t="inlineStr">
        <is>
          <t>낮음</t>
        </is>
      </c>
      <c r="L2131" s="17" t="inlineStr"/>
    </row>
    <row r="2132">
      <c r="A2132" s="17" t="inlineStr">
        <is>
          <t>C342</t>
        </is>
      </c>
      <c r="B2132" s="17" t="inlineStr"/>
      <c r="C2132" s="17" t="inlineStr">
        <is>
          <t>신일제약(주)</t>
        </is>
      </c>
      <c r="D2132" s="17" t="inlineStr"/>
      <c r="E2132" s="17" t="inlineStr">
        <is>
          <t>CMO·CDMO</t>
        </is>
      </c>
      <c r="F2132" s="17" t="inlineStr">
        <is>
          <t>미확인</t>
        </is>
      </c>
      <c r="G2132" s="17" t="inlineStr">
        <is>
          <t>웹조사 자동화 실패(세션한도)</t>
        </is>
      </c>
      <c r="H2132" s="17" t="inlineStr">
        <is>
          <t>N</t>
        </is>
      </c>
      <c r="I2132" s="17" t="inlineStr">
        <is>
          <t>회사 홈페이지</t>
        </is>
      </c>
      <c r="J2132" s="17" t="inlineStr">
        <is>
          <t>회사 홈페이지에서 확인</t>
        </is>
      </c>
      <c r="K2132" s="17" t="inlineStr">
        <is>
          <t>낮음</t>
        </is>
      </c>
      <c r="L2132" s="17" t="inlineStr"/>
    </row>
    <row r="2133">
      <c r="A2133" s="17" t="inlineStr">
        <is>
          <t>C342</t>
        </is>
      </c>
      <c r="B2133" s="17" t="inlineStr"/>
      <c r="C2133" s="17" t="inlineStr">
        <is>
          <t>신일제약(주)</t>
        </is>
      </c>
      <c r="D2133" s="17" t="inlineStr"/>
      <c r="E2133" s="17" t="inlineStr">
        <is>
          <t>신공장·증설</t>
        </is>
      </c>
      <c r="F2133" s="17" t="inlineStr">
        <is>
          <t>미확인</t>
        </is>
      </c>
      <c r="G2133" s="17" t="inlineStr">
        <is>
          <t>웹조사 자동화 실패(세션한도)</t>
        </is>
      </c>
      <c r="H2133" s="17" t="inlineStr">
        <is>
          <t>N</t>
        </is>
      </c>
      <c r="I2133" s="17" t="inlineStr">
        <is>
          <t>언론·지자체 발표</t>
        </is>
      </c>
      <c r="J2133" s="17" t="inlineStr">
        <is>
          <t>언론·지자체 발표에서 확인</t>
        </is>
      </c>
      <c r="K2133" s="17" t="inlineStr">
        <is>
          <t>낮음</t>
        </is>
      </c>
      <c r="L2133" s="17" t="inlineStr"/>
    </row>
    <row r="2134">
      <c r="A2134" s="17" t="inlineStr">
        <is>
          <t>C343</t>
        </is>
      </c>
      <c r="B2134" s="17" t="inlineStr"/>
      <c r="C2134" s="17" t="inlineStr">
        <is>
          <t>(주)리독스바이오</t>
        </is>
      </c>
      <c r="D2134" s="17" t="inlineStr"/>
      <c r="E2134" s="17" t="inlineStr">
        <is>
          <t>최근매출(억원)</t>
        </is>
      </c>
      <c r="F2134" s="17" t="inlineStr">
        <is>
          <t>미확인</t>
        </is>
      </c>
      <c r="G2134" s="17" t="inlineStr">
        <is>
          <t>웹조사 자동화 실패(세션한도)</t>
        </is>
      </c>
      <c r="H2134" s="17" t="inlineStr">
        <is>
          <t>N</t>
        </is>
      </c>
      <c r="I2134" s="17" t="inlineStr">
        <is>
          <t>DART 사업보고서</t>
        </is>
      </c>
      <c r="J2134" s="17" t="inlineStr">
        <is>
          <t>DART 사업보고서에서 확인</t>
        </is>
      </c>
      <c r="K2134" s="17" t="inlineStr">
        <is>
          <t>낮음</t>
        </is>
      </c>
      <c r="L2134" s="17" t="inlineStr"/>
    </row>
    <row r="2135">
      <c r="A2135" s="17" t="inlineStr">
        <is>
          <t>C343</t>
        </is>
      </c>
      <c r="B2135" s="17" t="inlineStr"/>
      <c r="C2135" s="17" t="inlineStr">
        <is>
          <t>(주)리독스바이오</t>
        </is>
      </c>
      <c r="D2135" s="17" t="inlineStr"/>
      <c r="E2135" s="17" t="inlineStr">
        <is>
          <t>종업원수</t>
        </is>
      </c>
      <c r="F2135" s="17" t="inlineStr">
        <is>
          <t>미확인</t>
        </is>
      </c>
      <c r="G2135" s="17" t="inlineStr">
        <is>
          <t>웹조사 자동화 실패(세션한도)</t>
        </is>
      </c>
      <c r="H2135" s="17" t="inlineStr">
        <is>
          <t>N</t>
        </is>
      </c>
      <c r="I2135" s="17" t="inlineStr">
        <is>
          <t>DART/채용</t>
        </is>
      </c>
      <c r="J2135" s="17" t="inlineStr">
        <is>
          <t>DART/채용에서 확인</t>
        </is>
      </c>
      <c r="K2135" s="17" t="inlineStr">
        <is>
          <t>낮음</t>
        </is>
      </c>
      <c r="L2135" s="17" t="inlineStr"/>
    </row>
    <row r="2136">
      <c r="A2136" s="17" t="inlineStr">
        <is>
          <t>C343</t>
        </is>
      </c>
      <c r="B2136" s="17" t="inlineStr"/>
      <c r="C2136" s="17" t="inlineStr">
        <is>
          <t>(주)리독스바이오</t>
        </is>
      </c>
      <c r="D2136" s="17" t="inlineStr"/>
      <c r="E2136" s="17" t="inlineStr">
        <is>
          <t>수출여부</t>
        </is>
      </c>
      <c r="F2136" s="17" t="inlineStr">
        <is>
          <t>미확인</t>
        </is>
      </c>
      <c r="G2136" s="17" t="inlineStr">
        <is>
          <t>웹조사 자동화 실패(세션한도)</t>
        </is>
      </c>
      <c r="H2136" s="17" t="inlineStr">
        <is>
          <t>N</t>
        </is>
      </c>
      <c r="I2136" s="17" t="inlineStr">
        <is>
          <t>회사 공시·홈페이지</t>
        </is>
      </c>
      <c r="J2136" s="17" t="inlineStr">
        <is>
          <t>회사 공시·홈페이지에서 확인</t>
        </is>
      </c>
      <c r="K2136" s="17" t="inlineStr">
        <is>
          <t>낮음</t>
        </is>
      </c>
      <c r="L2136" s="17" t="inlineStr"/>
    </row>
    <row r="2137">
      <c r="A2137" s="17" t="inlineStr">
        <is>
          <t>C343</t>
        </is>
      </c>
      <c r="B2137" s="17" t="inlineStr"/>
      <c r="C2137" s="17" t="inlineStr">
        <is>
          <t>(주)리독스바이오</t>
        </is>
      </c>
      <c r="D2137" s="17" t="inlineStr"/>
      <c r="E2137" s="17" t="inlineStr">
        <is>
          <t>FDA·EMA 실사</t>
        </is>
      </c>
      <c r="F2137" s="17" t="inlineStr">
        <is>
          <t>미확인</t>
        </is>
      </c>
      <c r="G2137" s="17" t="inlineStr">
        <is>
          <t>웹조사 자동화 실패(세션한도)</t>
        </is>
      </c>
      <c r="H2137" s="17" t="inlineStr">
        <is>
          <t>N</t>
        </is>
      </c>
      <c r="I2137" s="17" t="inlineStr">
        <is>
          <t>FDA Inspection DB</t>
        </is>
      </c>
      <c r="J2137" s="17" t="inlineStr">
        <is>
          <t>FDA Inspection DB에서 확인</t>
        </is>
      </c>
      <c r="K2137" s="17" t="inlineStr">
        <is>
          <t>낮음</t>
        </is>
      </c>
      <c r="L2137" s="17" t="inlineStr"/>
    </row>
    <row r="2138">
      <c r="A2138" s="17" t="inlineStr">
        <is>
          <t>C343</t>
        </is>
      </c>
      <c r="B2138" s="17" t="inlineStr"/>
      <c r="C2138" s="17" t="inlineStr">
        <is>
          <t>(주)리독스바이오</t>
        </is>
      </c>
      <c r="D2138" s="17" t="inlineStr"/>
      <c r="E2138" s="17" t="inlineStr">
        <is>
          <t>CMO·CDMO</t>
        </is>
      </c>
      <c r="F2138" s="17" t="inlineStr">
        <is>
          <t>미확인</t>
        </is>
      </c>
      <c r="G2138" s="17" t="inlineStr">
        <is>
          <t>웹조사 자동화 실패(세션한도)</t>
        </is>
      </c>
      <c r="H2138" s="17" t="inlineStr">
        <is>
          <t>N</t>
        </is>
      </c>
      <c r="I2138" s="17" t="inlineStr">
        <is>
          <t>회사 홈페이지</t>
        </is>
      </c>
      <c r="J2138" s="17" t="inlineStr">
        <is>
          <t>회사 홈페이지에서 확인</t>
        </is>
      </c>
      <c r="K2138" s="17" t="inlineStr">
        <is>
          <t>낮음</t>
        </is>
      </c>
      <c r="L2138" s="17" t="inlineStr"/>
    </row>
    <row r="2139">
      <c r="A2139" s="17" t="inlineStr">
        <is>
          <t>C343</t>
        </is>
      </c>
      <c r="B2139" s="17" t="inlineStr"/>
      <c r="C2139" s="17" t="inlineStr">
        <is>
          <t>(주)리독스바이오</t>
        </is>
      </c>
      <c r="D2139" s="17" t="inlineStr"/>
      <c r="E2139" s="17" t="inlineStr">
        <is>
          <t>신공장·증설</t>
        </is>
      </c>
      <c r="F2139" s="17" t="inlineStr">
        <is>
          <t>미확인</t>
        </is>
      </c>
      <c r="G2139" s="17" t="inlineStr">
        <is>
          <t>웹조사 자동화 실패(세션한도)</t>
        </is>
      </c>
      <c r="H2139" s="17" t="inlineStr">
        <is>
          <t>N</t>
        </is>
      </c>
      <c r="I2139" s="17" t="inlineStr">
        <is>
          <t>언론·지자체 발표</t>
        </is>
      </c>
      <c r="J2139" s="17" t="inlineStr">
        <is>
          <t>언론·지자체 발표에서 확인</t>
        </is>
      </c>
      <c r="K2139" s="17" t="inlineStr">
        <is>
          <t>낮음</t>
        </is>
      </c>
      <c r="L2139" s="17" t="inlineStr"/>
    </row>
    <row r="2140">
      <c r="A2140" s="17" t="inlineStr">
        <is>
          <t>C343</t>
        </is>
      </c>
      <c r="B2140" s="17" t="inlineStr"/>
      <c r="C2140" s="17" t="inlineStr">
        <is>
          <t>(주)리독스바이오</t>
        </is>
      </c>
      <c r="D2140" s="17" t="inlineStr"/>
      <c r="E2140" s="17" t="inlineStr">
        <is>
          <t>대표전화</t>
        </is>
      </c>
      <c r="F2140" s="17" t="inlineStr">
        <is>
          <t>미확인</t>
        </is>
      </c>
      <c r="G2140" s="17" t="inlineStr">
        <is>
          <t>제조소상세 미매칭</t>
        </is>
      </c>
      <c r="H2140" s="17" t="inlineStr">
        <is>
          <t>Y</t>
        </is>
      </c>
      <c r="I2140" s="17" t="inlineStr">
        <is>
          <t>회사 홈페이지</t>
        </is>
      </c>
      <c r="J2140" s="17" t="inlineStr">
        <is>
          <t>홈페이지에서 대표번호 확인</t>
        </is>
      </c>
      <c r="K2140" s="17" t="inlineStr">
        <is>
          <t>낮음</t>
        </is>
      </c>
      <c r="L2140" s="17" t="inlineStr"/>
    </row>
    <row r="2141">
      <c r="A2141" s="17" t="inlineStr">
        <is>
          <t>C344</t>
        </is>
      </c>
      <c r="B2141" s="17" t="inlineStr"/>
      <c r="C2141" s="17" t="inlineStr">
        <is>
          <t>경진제약(주)</t>
        </is>
      </c>
      <c r="D2141" s="17" t="inlineStr"/>
      <c r="E2141" s="17" t="inlineStr">
        <is>
          <t>최근매출(억원)</t>
        </is>
      </c>
      <c r="F2141" s="17" t="inlineStr">
        <is>
          <t>미확인</t>
        </is>
      </c>
      <c r="G2141" s="17" t="inlineStr">
        <is>
          <t>웹조사 자동화 실패(세션한도)</t>
        </is>
      </c>
      <c r="H2141" s="17" t="inlineStr">
        <is>
          <t>N</t>
        </is>
      </c>
      <c r="I2141" s="17" t="inlineStr">
        <is>
          <t>DART 사업보고서</t>
        </is>
      </c>
      <c r="J2141" s="17" t="inlineStr">
        <is>
          <t>DART 사업보고서에서 확인</t>
        </is>
      </c>
      <c r="K2141" s="17" t="inlineStr">
        <is>
          <t>낮음</t>
        </is>
      </c>
      <c r="L2141" s="17" t="inlineStr"/>
    </row>
    <row r="2142">
      <c r="A2142" s="17" t="inlineStr">
        <is>
          <t>C344</t>
        </is>
      </c>
      <c r="B2142" s="17" t="inlineStr"/>
      <c r="C2142" s="17" t="inlineStr">
        <is>
          <t>경진제약(주)</t>
        </is>
      </c>
      <c r="D2142" s="17" t="inlineStr"/>
      <c r="E2142" s="17" t="inlineStr">
        <is>
          <t>종업원수</t>
        </is>
      </c>
      <c r="F2142" s="17" t="inlineStr">
        <is>
          <t>미확인</t>
        </is>
      </c>
      <c r="G2142" s="17" t="inlineStr">
        <is>
          <t>웹조사 자동화 실패(세션한도)</t>
        </is>
      </c>
      <c r="H2142" s="17" t="inlineStr">
        <is>
          <t>N</t>
        </is>
      </c>
      <c r="I2142" s="17" t="inlineStr">
        <is>
          <t>DART/채용</t>
        </is>
      </c>
      <c r="J2142" s="17" t="inlineStr">
        <is>
          <t>DART/채용에서 확인</t>
        </is>
      </c>
      <c r="K2142" s="17" t="inlineStr">
        <is>
          <t>낮음</t>
        </is>
      </c>
      <c r="L2142" s="17" t="inlineStr"/>
    </row>
    <row r="2143">
      <c r="A2143" s="17" t="inlineStr">
        <is>
          <t>C344</t>
        </is>
      </c>
      <c r="B2143" s="17" t="inlineStr"/>
      <c r="C2143" s="17" t="inlineStr">
        <is>
          <t>경진제약(주)</t>
        </is>
      </c>
      <c r="D2143" s="17" t="inlineStr"/>
      <c r="E2143" s="17" t="inlineStr">
        <is>
          <t>수출여부</t>
        </is>
      </c>
      <c r="F2143" s="17" t="inlineStr">
        <is>
          <t>미확인</t>
        </is>
      </c>
      <c r="G2143" s="17" t="inlineStr">
        <is>
          <t>웹조사 자동화 실패(세션한도)</t>
        </is>
      </c>
      <c r="H2143" s="17" t="inlineStr">
        <is>
          <t>N</t>
        </is>
      </c>
      <c r="I2143" s="17" t="inlineStr">
        <is>
          <t>회사 공시·홈페이지</t>
        </is>
      </c>
      <c r="J2143" s="17" t="inlineStr">
        <is>
          <t>회사 공시·홈페이지에서 확인</t>
        </is>
      </c>
      <c r="K2143" s="17" t="inlineStr">
        <is>
          <t>낮음</t>
        </is>
      </c>
      <c r="L2143" s="17" t="inlineStr"/>
    </row>
    <row r="2144">
      <c r="A2144" s="17" t="inlineStr">
        <is>
          <t>C344</t>
        </is>
      </c>
      <c r="B2144" s="17" t="inlineStr"/>
      <c r="C2144" s="17" t="inlineStr">
        <is>
          <t>경진제약(주)</t>
        </is>
      </c>
      <c r="D2144" s="17" t="inlineStr"/>
      <c r="E2144" s="17" t="inlineStr">
        <is>
          <t>FDA·EMA 실사</t>
        </is>
      </c>
      <c r="F2144" s="17" t="inlineStr">
        <is>
          <t>미확인</t>
        </is>
      </c>
      <c r="G2144" s="17" t="inlineStr">
        <is>
          <t>웹조사 자동화 실패(세션한도)</t>
        </is>
      </c>
      <c r="H2144" s="17" t="inlineStr">
        <is>
          <t>N</t>
        </is>
      </c>
      <c r="I2144" s="17" t="inlineStr">
        <is>
          <t>FDA Inspection DB</t>
        </is>
      </c>
      <c r="J2144" s="17" t="inlineStr">
        <is>
          <t>FDA Inspection DB에서 확인</t>
        </is>
      </c>
      <c r="K2144" s="17" t="inlineStr">
        <is>
          <t>낮음</t>
        </is>
      </c>
      <c r="L2144" s="17" t="inlineStr"/>
    </row>
    <row r="2145">
      <c r="A2145" s="17" t="inlineStr">
        <is>
          <t>C344</t>
        </is>
      </c>
      <c r="B2145" s="17" t="inlineStr"/>
      <c r="C2145" s="17" t="inlineStr">
        <is>
          <t>경진제약(주)</t>
        </is>
      </c>
      <c r="D2145" s="17" t="inlineStr"/>
      <c r="E2145" s="17" t="inlineStr">
        <is>
          <t>CMO·CDMO</t>
        </is>
      </c>
      <c r="F2145" s="17" t="inlineStr">
        <is>
          <t>미확인</t>
        </is>
      </c>
      <c r="G2145" s="17" t="inlineStr">
        <is>
          <t>웹조사 자동화 실패(세션한도)</t>
        </is>
      </c>
      <c r="H2145" s="17" t="inlineStr">
        <is>
          <t>N</t>
        </is>
      </c>
      <c r="I2145" s="17" t="inlineStr">
        <is>
          <t>회사 홈페이지</t>
        </is>
      </c>
      <c r="J2145" s="17" t="inlineStr">
        <is>
          <t>회사 홈페이지에서 확인</t>
        </is>
      </c>
      <c r="K2145" s="17" t="inlineStr">
        <is>
          <t>낮음</t>
        </is>
      </c>
      <c r="L2145" s="17" t="inlineStr"/>
    </row>
    <row r="2146">
      <c r="A2146" s="17" t="inlineStr">
        <is>
          <t>C344</t>
        </is>
      </c>
      <c r="B2146" s="17" t="inlineStr"/>
      <c r="C2146" s="17" t="inlineStr">
        <is>
          <t>경진제약(주)</t>
        </is>
      </c>
      <c r="D2146" s="17" t="inlineStr"/>
      <c r="E2146" s="17" t="inlineStr">
        <is>
          <t>신공장·증설</t>
        </is>
      </c>
      <c r="F2146" s="17" t="inlineStr">
        <is>
          <t>미확인</t>
        </is>
      </c>
      <c r="G2146" s="17" t="inlineStr">
        <is>
          <t>웹조사 자동화 실패(세션한도)</t>
        </is>
      </c>
      <c r="H2146" s="17" t="inlineStr">
        <is>
          <t>N</t>
        </is>
      </c>
      <c r="I2146" s="17" t="inlineStr">
        <is>
          <t>언론·지자체 발표</t>
        </is>
      </c>
      <c r="J2146" s="17" t="inlineStr">
        <is>
          <t>언론·지자체 발표에서 확인</t>
        </is>
      </c>
      <c r="K2146" s="17" t="inlineStr">
        <is>
          <t>낮음</t>
        </is>
      </c>
      <c r="L2146" s="17" t="inlineStr"/>
    </row>
    <row r="2147">
      <c r="A2147" s="17" t="inlineStr">
        <is>
          <t>C345</t>
        </is>
      </c>
      <c r="B2147" s="17" t="inlineStr"/>
      <c r="C2147" s="17" t="inlineStr">
        <is>
          <t>고려제약(주)</t>
        </is>
      </c>
      <c r="D2147" s="17" t="inlineStr"/>
      <c r="E2147" s="17" t="inlineStr">
        <is>
          <t>최근매출(억원)</t>
        </is>
      </c>
      <c r="F2147" s="17" t="inlineStr">
        <is>
          <t>미확인</t>
        </is>
      </c>
      <c r="G2147" s="17" t="inlineStr">
        <is>
          <t>웹조사 자동화 실패(세션한도)</t>
        </is>
      </c>
      <c r="H2147" s="17" t="inlineStr">
        <is>
          <t>N</t>
        </is>
      </c>
      <c r="I2147" s="17" t="inlineStr">
        <is>
          <t>DART 사업보고서</t>
        </is>
      </c>
      <c r="J2147" s="17" t="inlineStr">
        <is>
          <t>DART 사업보고서에서 확인</t>
        </is>
      </c>
      <c r="K2147" s="17" t="inlineStr">
        <is>
          <t>낮음</t>
        </is>
      </c>
      <c r="L2147" s="17" t="inlineStr"/>
    </row>
    <row r="2148">
      <c r="A2148" s="17" t="inlineStr">
        <is>
          <t>C345</t>
        </is>
      </c>
      <c r="B2148" s="17" t="inlineStr"/>
      <c r="C2148" s="17" t="inlineStr">
        <is>
          <t>고려제약(주)</t>
        </is>
      </c>
      <c r="D2148" s="17" t="inlineStr"/>
      <c r="E2148" s="17" t="inlineStr">
        <is>
          <t>종업원수</t>
        </is>
      </c>
      <c r="F2148" s="17" t="inlineStr">
        <is>
          <t>미확인</t>
        </is>
      </c>
      <c r="G2148" s="17" t="inlineStr">
        <is>
          <t>웹조사 자동화 실패(세션한도)</t>
        </is>
      </c>
      <c r="H2148" s="17" t="inlineStr">
        <is>
          <t>N</t>
        </is>
      </c>
      <c r="I2148" s="17" t="inlineStr">
        <is>
          <t>DART/채용</t>
        </is>
      </c>
      <c r="J2148" s="17" t="inlineStr">
        <is>
          <t>DART/채용에서 확인</t>
        </is>
      </c>
      <c r="K2148" s="17" t="inlineStr">
        <is>
          <t>낮음</t>
        </is>
      </c>
      <c r="L2148" s="17" t="inlineStr"/>
    </row>
    <row r="2149">
      <c r="A2149" s="17" t="inlineStr">
        <is>
          <t>C345</t>
        </is>
      </c>
      <c r="B2149" s="17" t="inlineStr"/>
      <c r="C2149" s="17" t="inlineStr">
        <is>
          <t>고려제약(주)</t>
        </is>
      </c>
      <c r="D2149" s="17" t="inlineStr"/>
      <c r="E2149" s="17" t="inlineStr">
        <is>
          <t>수출여부</t>
        </is>
      </c>
      <c r="F2149" s="17" t="inlineStr">
        <is>
          <t>미확인</t>
        </is>
      </c>
      <c r="G2149" s="17" t="inlineStr">
        <is>
          <t>웹조사 자동화 실패(세션한도)</t>
        </is>
      </c>
      <c r="H2149" s="17" t="inlineStr">
        <is>
          <t>N</t>
        </is>
      </c>
      <c r="I2149" s="17" t="inlineStr">
        <is>
          <t>회사 공시·홈페이지</t>
        </is>
      </c>
      <c r="J2149" s="17" t="inlineStr">
        <is>
          <t>회사 공시·홈페이지에서 확인</t>
        </is>
      </c>
      <c r="K2149" s="17" t="inlineStr">
        <is>
          <t>낮음</t>
        </is>
      </c>
      <c r="L2149" s="17" t="inlineStr"/>
    </row>
    <row r="2150">
      <c r="A2150" s="17" t="inlineStr">
        <is>
          <t>C345</t>
        </is>
      </c>
      <c r="B2150" s="17" t="inlineStr"/>
      <c r="C2150" s="17" t="inlineStr">
        <is>
          <t>고려제약(주)</t>
        </is>
      </c>
      <c r="D2150" s="17" t="inlineStr"/>
      <c r="E2150" s="17" t="inlineStr">
        <is>
          <t>FDA·EMA 실사</t>
        </is>
      </c>
      <c r="F2150" s="17" t="inlineStr">
        <is>
          <t>미확인</t>
        </is>
      </c>
      <c r="G2150" s="17" t="inlineStr">
        <is>
          <t>웹조사 자동화 실패(세션한도)</t>
        </is>
      </c>
      <c r="H2150" s="17" t="inlineStr">
        <is>
          <t>N</t>
        </is>
      </c>
      <c r="I2150" s="17" t="inlineStr">
        <is>
          <t>FDA Inspection DB</t>
        </is>
      </c>
      <c r="J2150" s="17" t="inlineStr">
        <is>
          <t>FDA Inspection DB에서 확인</t>
        </is>
      </c>
      <c r="K2150" s="17" t="inlineStr">
        <is>
          <t>낮음</t>
        </is>
      </c>
      <c r="L2150" s="17" t="inlineStr"/>
    </row>
    <row r="2151">
      <c r="A2151" s="17" t="inlineStr">
        <is>
          <t>C345</t>
        </is>
      </c>
      <c r="B2151" s="17" t="inlineStr"/>
      <c r="C2151" s="17" t="inlineStr">
        <is>
          <t>고려제약(주)</t>
        </is>
      </c>
      <c r="D2151" s="17" t="inlineStr"/>
      <c r="E2151" s="17" t="inlineStr">
        <is>
          <t>CMO·CDMO</t>
        </is>
      </c>
      <c r="F2151" s="17" t="inlineStr">
        <is>
          <t>미확인</t>
        </is>
      </c>
      <c r="G2151" s="17" t="inlineStr">
        <is>
          <t>웹조사 자동화 실패(세션한도)</t>
        </is>
      </c>
      <c r="H2151" s="17" t="inlineStr">
        <is>
          <t>N</t>
        </is>
      </c>
      <c r="I2151" s="17" t="inlineStr">
        <is>
          <t>회사 홈페이지</t>
        </is>
      </c>
      <c r="J2151" s="17" t="inlineStr">
        <is>
          <t>회사 홈페이지에서 확인</t>
        </is>
      </c>
      <c r="K2151" s="17" t="inlineStr">
        <is>
          <t>낮음</t>
        </is>
      </c>
      <c r="L2151" s="17" t="inlineStr"/>
    </row>
    <row r="2152">
      <c r="A2152" s="17" t="inlineStr">
        <is>
          <t>C345</t>
        </is>
      </c>
      <c r="B2152" s="17" t="inlineStr"/>
      <c r="C2152" s="17" t="inlineStr">
        <is>
          <t>고려제약(주)</t>
        </is>
      </c>
      <c r="D2152" s="17" t="inlineStr"/>
      <c r="E2152" s="17" t="inlineStr">
        <is>
          <t>신공장·증설</t>
        </is>
      </c>
      <c r="F2152" s="17" t="inlineStr">
        <is>
          <t>미확인</t>
        </is>
      </c>
      <c r="G2152" s="17" t="inlineStr">
        <is>
          <t>웹조사 자동화 실패(세션한도)</t>
        </is>
      </c>
      <c r="H2152" s="17" t="inlineStr">
        <is>
          <t>N</t>
        </is>
      </c>
      <c r="I2152" s="17" t="inlineStr">
        <is>
          <t>언론·지자체 발표</t>
        </is>
      </c>
      <c r="J2152" s="17" t="inlineStr">
        <is>
          <t>언론·지자체 발표에서 확인</t>
        </is>
      </c>
      <c r="K2152" s="17" t="inlineStr">
        <is>
          <t>낮음</t>
        </is>
      </c>
      <c r="L2152" s="17" t="inlineStr"/>
    </row>
    <row r="2153">
      <c r="A2153" s="17" t="inlineStr">
        <is>
          <t>C346</t>
        </is>
      </c>
      <c r="B2153" s="17" t="inlineStr"/>
      <c r="C2153" s="17" t="inlineStr">
        <is>
          <t>태경케미컬(주)</t>
        </is>
      </c>
      <c r="D2153" s="17" t="inlineStr"/>
      <c r="E2153" s="17" t="inlineStr">
        <is>
          <t>최근매출(억원)</t>
        </is>
      </c>
      <c r="F2153" s="17" t="inlineStr">
        <is>
          <t>미확인</t>
        </is>
      </c>
      <c r="G2153" s="17" t="inlineStr">
        <is>
          <t>웹조사 자동화 실패(세션한도)</t>
        </is>
      </c>
      <c r="H2153" s="17" t="inlineStr">
        <is>
          <t>N</t>
        </is>
      </c>
      <c r="I2153" s="17" t="inlineStr">
        <is>
          <t>DART 사업보고서</t>
        </is>
      </c>
      <c r="J2153" s="17" t="inlineStr">
        <is>
          <t>DART 사업보고서에서 확인</t>
        </is>
      </c>
      <c r="K2153" s="17" t="inlineStr">
        <is>
          <t>낮음</t>
        </is>
      </c>
      <c r="L2153" s="17" t="inlineStr"/>
    </row>
    <row r="2154">
      <c r="A2154" s="17" t="inlineStr">
        <is>
          <t>C346</t>
        </is>
      </c>
      <c r="B2154" s="17" t="inlineStr"/>
      <c r="C2154" s="17" t="inlineStr">
        <is>
          <t>태경케미컬(주)</t>
        </is>
      </c>
      <c r="D2154" s="17" t="inlineStr"/>
      <c r="E2154" s="17" t="inlineStr">
        <is>
          <t>종업원수</t>
        </is>
      </c>
      <c r="F2154" s="17" t="inlineStr">
        <is>
          <t>미확인</t>
        </is>
      </c>
      <c r="G2154" s="17" t="inlineStr">
        <is>
          <t>웹조사 자동화 실패(세션한도)</t>
        </is>
      </c>
      <c r="H2154" s="17" t="inlineStr">
        <is>
          <t>N</t>
        </is>
      </c>
      <c r="I2154" s="17" t="inlineStr">
        <is>
          <t>DART/채용</t>
        </is>
      </c>
      <c r="J2154" s="17" t="inlineStr">
        <is>
          <t>DART/채용에서 확인</t>
        </is>
      </c>
      <c r="K2154" s="17" t="inlineStr">
        <is>
          <t>낮음</t>
        </is>
      </c>
      <c r="L2154" s="17" t="inlineStr"/>
    </row>
    <row r="2155">
      <c r="A2155" s="17" t="inlineStr">
        <is>
          <t>C346</t>
        </is>
      </c>
      <c r="B2155" s="17" t="inlineStr"/>
      <c r="C2155" s="17" t="inlineStr">
        <is>
          <t>태경케미컬(주)</t>
        </is>
      </c>
      <c r="D2155" s="17" t="inlineStr"/>
      <c r="E2155" s="17" t="inlineStr">
        <is>
          <t>수출여부</t>
        </is>
      </c>
      <c r="F2155" s="17" t="inlineStr">
        <is>
          <t>미확인</t>
        </is>
      </c>
      <c r="G2155" s="17" t="inlineStr">
        <is>
          <t>웹조사 자동화 실패(세션한도)</t>
        </is>
      </c>
      <c r="H2155" s="17" t="inlineStr">
        <is>
          <t>N</t>
        </is>
      </c>
      <c r="I2155" s="17" t="inlineStr">
        <is>
          <t>회사 공시·홈페이지</t>
        </is>
      </c>
      <c r="J2155" s="17" t="inlineStr">
        <is>
          <t>회사 공시·홈페이지에서 확인</t>
        </is>
      </c>
      <c r="K2155" s="17" t="inlineStr">
        <is>
          <t>낮음</t>
        </is>
      </c>
      <c r="L2155" s="17" t="inlineStr"/>
    </row>
    <row r="2156">
      <c r="A2156" s="17" t="inlineStr">
        <is>
          <t>C346</t>
        </is>
      </c>
      <c r="B2156" s="17" t="inlineStr"/>
      <c r="C2156" s="17" t="inlineStr">
        <is>
          <t>태경케미컬(주)</t>
        </is>
      </c>
      <c r="D2156" s="17" t="inlineStr"/>
      <c r="E2156" s="17" t="inlineStr">
        <is>
          <t>FDA·EMA 실사</t>
        </is>
      </c>
      <c r="F2156" s="17" t="inlineStr">
        <is>
          <t>미확인</t>
        </is>
      </c>
      <c r="G2156" s="17" t="inlineStr">
        <is>
          <t>웹조사 자동화 실패(세션한도)</t>
        </is>
      </c>
      <c r="H2156" s="17" t="inlineStr">
        <is>
          <t>N</t>
        </is>
      </c>
      <c r="I2156" s="17" t="inlineStr">
        <is>
          <t>FDA Inspection DB</t>
        </is>
      </c>
      <c r="J2156" s="17" t="inlineStr">
        <is>
          <t>FDA Inspection DB에서 확인</t>
        </is>
      </c>
      <c r="K2156" s="17" t="inlineStr">
        <is>
          <t>낮음</t>
        </is>
      </c>
      <c r="L2156" s="17" t="inlineStr"/>
    </row>
    <row r="2157">
      <c r="A2157" s="17" t="inlineStr">
        <is>
          <t>C346</t>
        </is>
      </c>
      <c r="B2157" s="17" t="inlineStr"/>
      <c r="C2157" s="17" t="inlineStr">
        <is>
          <t>태경케미컬(주)</t>
        </is>
      </c>
      <c r="D2157" s="17" t="inlineStr"/>
      <c r="E2157" s="17" t="inlineStr">
        <is>
          <t>CMO·CDMO</t>
        </is>
      </c>
      <c r="F2157" s="17" t="inlineStr">
        <is>
          <t>미확인</t>
        </is>
      </c>
      <c r="G2157" s="17" t="inlineStr">
        <is>
          <t>웹조사 자동화 실패(세션한도)</t>
        </is>
      </c>
      <c r="H2157" s="17" t="inlineStr">
        <is>
          <t>N</t>
        </is>
      </c>
      <c r="I2157" s="17" t="inlineStr">
        <is>
          <t>회사 홈페이지</t>
        </is>
      </c>
      <c r="J2157" s="17" t="inlineStr">
        <is>
          <t>회사 홈페이지에서 확인</t>
        </is>
      </c>
      <c r="K2157" s="17" t="inlineStr">
        <is>
          <t>낮음</t>
        </is>
      </c>
      <c r="L2157" s="17" t="inlineStr"/>
    </row>
    <row r="2158">
      <c r="A2158" s="17" t="inlineStr">
        <is>
          <t>C346</t>
        </is>
      </c>
      <c r="B2158" s="17" t="inlineStr"/>
      <c r="C2158" s="17" t="inlineStr">
        <is>
          <t>태경케미컬(주)</t>
        </is>
      </c>
      <c r="D2158" s="17" t="inlineStr"/>
      <c r="E2158" s="17" t="inlineStr">
        <is>
          <t>신공장·증설</t>
        </is>
      </c>
      <c r="F2158" s="17" t="inlineStr">
        <is>
          <t>미확인</t>
        </is>
      </c>
      <c r="G2158" s="17" t="inlineStr">
        <is>
          <t>웹조사 자동화 실패(세션한도)</t>
        </is>
      </c>
      <c r="H2158" s="17" t="inlineStr">
        <is>
          <t>N</t>
        </is>
      </c>
      <c r="I2158" s="17" t="inlineStr">
        <is>
          <t>언론·지자체 발표</t>
        </is>
      </c>
      <c r="J2158" s="17" t="inlineStr">
        <is>
          <t>언론·지자체 발표에서 확인</t>
        </is>
      </c>
      <c r="K2158" s="17" t="inlineStr">
        <is>
          <t>낮음</t>
        </is>
      </c>
      <c r="L2158" s="17" t="inlineStr"/>
    </row>
    <row r="2159">
      <c r="A2159" s="17" t="inlineStr">
        <is>
          <t>C347</t>
        </is>
      </c>
      <c r="B2159" s="17" t="inlineStr"/>
      <c r="C2159" s="17" t="inlineStr">
        <is>
          <t>(주)와이에스생명과학</t>
        </is>
      </c>
      <c r="D2159" s="17" t="inlineStr"/>
      <c r="E2159" s="17" t="inlineStr">
        <is>
          <t>최근매출(억원)</t>
        </is>
      </c>
      <c r="F2159" s="17" t="inlineStr">
        <is>
          <t>미확인</t>
        </is>
      </c>
      <c r="G2159" s="17" t="inlineStr">
        <is>
          <t>웹조사 자동화 실패(세션한도)</t>
        </is>
      </c>
      <c r="H2159" s="17" t="inlineStr">
        <is>
          <t>N</t>
        </is>
      </c>
      <c r="I2159" s="17" t="inlineStr">
        <is>
          <t>DART 사업보고서</t>
        </is>
      </c>
      <c r="J2159" s="17" t="inlineStr">
        <is>
          <t>DART 사업보고서에서 확인</t>
        </is>
      </c>
      <c r="K2159" s="17" t="inlineStr">
        <is>
          <t>낮음</t>
        </is>
      </c>
      <c r="L2159" s="17" t="inlineStr"/>
    </row>
    <row r="2160">
      <c r="A2160" s="17" t="inlineStr">
        <is>
          <t>C347</t>
        </is>
      </c>
      <c r="B2160" s="17" t="inlineStr"/>
      <c r="C2160" s="17" t="inlineStr">
        <is>
          <t>(주)와이에스생명과학</t>
        </is>
      </c>
      <c r="D2160" s="17" t="inlineStr"/>
      <c r="E2160" s="17" t="inlineStr">
        <is>
          <t>종업원수</t>
        </is>
      </c>
      <c r="F2160" s="17" t="inlineStr">
        <is>
          <t>미확인</t>
        </is>
      </c>
      <c r="G2160" s="17" t="inlineStr">
        <is>
          <t>웹조사 자동화 실패(세션한도)</t>
        </is>
      </c>
      <c r="H2160" s="17" t="inlineStr">
        <is>
          <t>N</t>
        </is>
      </c>
      <c r="I2160" s="17" t="inlineStr">
        <is>
          <t>DART/채용</t>
        </is>
      </c>
      <c r="J2160" s="17" t="inlineStr">
        <is>
          <t>DART/채용에서 확인</t>
        </is>
      </c>
      <c r="K2160" s="17" t="inlineStr">
        <is>
          <t>낮음</t>
        </is>
      </c>
      <c r="L2160" s="17" t="inlineStr"/>
    </row>
    <row r="2161">
      <c r="A2161" s="17" t="inlineStr">
        <is>
          <t>C347</t>
        </is>
      </c>
      <c r="B2161" s="17" t="inlineStr"/>
      <c r="C2161" s="17" t="inlineStr">
        <is>
          <t>(주)와이에스생명과학</t>
        </is>
      </c>
      <c r="D2161" s="17" t="inlineStr"/>
      <c r="E2161" s="17" t="inlineStr">
        <is>
          <t>수출여부</t>
        </is>
      </c>
      <c r="F2161" s="17" t="inlineStr">
        <is>
          <t>미확인</t>
        </is>
      </c>
      <c r="G2161" s="17" t="inlineStr">
        <is>
          <t>웹조사 자동화 실패(세션한도)</t>
        </is>
      </c>
      <c r="H2161" s="17" t="inlineStr">
        <is>
          <t>N</t>
        </is>
      </c>
      <c r="I2161" s="17" t="inlineStr">
        <is>
          <t>회사 공시·홈페이지</t>
        </is>
      </c>
      <c r="J2161" s="17" t="inlineStr">
        <is>
          <t>회사 공시·홈페이지에서 확인</t>
        </is>
      </c>
      <c r="K2161" s="17" t="inlineStr">
        <is>
          <t>낮음</t>
        </is>
      </c>
      <c r="L2161" s="17" t="inlineStr"/>
    </row>
    <row r="2162">
      <c r="A2162" s="17" t="inlineStr">
        <is>
          <t>C347</t>
        </is>
      </c>
      <c r="B2162" s="17" t="inlineStr"/>
      <c r="C2162" s="17" t="inlineStr">
        <is>
          <t>(주)와이에스생명과학</t>
        </is>
      </c>
      <c r="D2162" s="17" t="inlineStr"/>
      <c r="E2162" s="17" t="inlineStr">
        <is>
          <t>FDA·EMA 실사</t>
        </is>
      </c>
      <c r="F2162" s="17" t="inlineStr">
        <is>
          <t>미확인</t>
        </is>
      </c>
      <c r="G2162" s="17" t="inlineStr">
        <is>
          <t>웹조사 자동화 실패(세션한도)</t>
        </is>
      </c>
      <c r="H2162" s="17" t="inlineStr">
        <is>
          <t>N</t>
        </is>
      </c>
      <c r="I2162" s="17" t="inlineStr">
        <is>
          <t>FDA Inspection DB</t>
        </is>
      </c>
      <c r="J2162" s="17" t="inlineStr">
        <is>
          <t>FDA Inspection DB에서 확인</t>
        </is>
      </c>
      <c r="K2162" s="17" t="inlineStr">
        <is>
          <t>낮음</t>
        </is>
      </c>
      <c r="L2162" s="17" t="inlineStr"/>
    </row>
    <row r="2163">
      <c r="A2163" s="17" t="inlineStr">
        <is>
          <t>C347</t>
        </is>
      </c>
      <c r="B2163" s="17" t="inlineStr"/>
      <c r="C2163" s="17" t="inlineStr">
        <is>
          <t>(주)와이에스생명과학</t>
        </is>
      </c>
      <c r="D2163" s="17" t="inlineStr"/>
      <c r="E2163" s="17" t="inlineStr">
        <is>
          <t>CMO·CDMO</t>
        </is>
      </c>
      <c r="F2163" s="17" t="inlineStr">
        <is>
          <t>미확인</t>
        </is>
      </c>
      <c r="G2163" s="17" t="inlineStr">
        <is>
          <t>웹조사 자동화 실패(세션한도)</t>
        </is>
      </c>
      <c r="H2163" s="17" t="inlineStr">
        <is>
          <t>N</t>
        </is>
      </c>
      <c r="I2163" s="17" t="inlineStr">
        <is>
          <t>회사 홈페이지</t>
        </is>
      </c>
      <c r="J2163" s="17" t="inlineStr">
        <is>
          <t>회사 홈페이지에서 확인</t>
        </is>
      </c>
      <c r="K2163" s="17" t="inlineStr">
        <is>
          <t>낮음</t>
        </is>
      </c>
      <c r="L2163" s="17" t="inlineStr"/>
    </row>
    <row r="2164">
      <c r="A2164" s="17" t="inlineStr">
        <is>
          <t>C347</t>
        </is>
      </c>
      <c r="B2164" s="17" t="inlineStr"/>
      <c r="C2164" s="17" t="inlineStr">
        <is>
          <t>(주)와이에스생명과학</t>
        </is>
      </c>
      <c r="D2164" s="17" t="inlineStr"/>
      <c r="E2164" s="17" t="inlineStr">
        <is>
          <t>신공장·증설</t>
        </is>
      </c>
      <c r="F2164" s="17" t="inlineStr">
        <is>
          <t>미확인</t>
        </is>
      </c>
      <c r="G2164" s="17" t="inlineStr">
        <is>
          <t>웹조사 자동화 실패(세션한도)</t>
        </is>
      </c>
      <c r="H2164" s="17" t="inlineStr">
        <is>
          <t>N</t>
        </is>
      </c>
      <c r="I2164" s="17" t="inlineStr">
        <is>
          <t>언론·지자체 발표</t>
        </is>
      </c>
      <c r="J2164" s="17" t="inlineStr">
        <is>
          <t>언론·지자체 발표에서 확인</t>
        </is>
      </c>
      <c r="K2164" s="17" t="inlineStr">
        <is>
          <t>낮음</t>
        </is>
      </c>
      <c r="L2164" s="17" t="inlineStr"/>
    </row>
    <row r="2165">
      <c r="A2165" s="17" t="inlineStr">
        <is>
          <t>C348</t>
        </is>
      </c>
      <c r="B2165" s="17" t="inlineStr"/>
      <c r="C2165" s="17" t="inlineStr">
        <is>
          <t>대봉엘에스(주)</t>
        </is>
      </c>
      <c r="D2165" s="17" t="inlineStr"/>
      <c r="E2165" s="17" t="inlineStr">
        <is>
          <t>최근매출(억원)</t>
        </is>
      </c>
      <c r="F2165" s="17" t="inlineStr">
        <is>
          <t>미확인</t>
        </is>
      </c>
      <c r="G2165" s="17" t="inlineStr">
        <is>
          <t>웹조사 자동화 실패(세션한도)</t>
        </is>
      </c>
      <c r="H2165" s="17" t="inlineStr">
        <is>
          <t>N</t>
        </is>
      </c>
      <c r="I2165" s="17" t="inlineStr">
        <is>
          <t>DART 사업보고서</t>
        </is>
      </c>
      <c r="J2165" s="17" t="inlineStr">
        <is>
          <t>DART 사업보고서에서 확인</t>
        </is>
      </c>
      <c r="K2165" s="17" t="inlineStr">
        <is>
          <t>낮음</t>
        </is>
      </c>
      <c r="L2165" s="17" t="inlineStr"/>
    </row>
    <row r="2166">
      <c r="A2166" s="17" t="inlineStr">
        <is>
          <t>C348</t>
        </is>
      </c>
      <c r="B2166" s="17" t="inlineStr"/>
      <c r="C2166" s="17" t="inlineStr">
        <is>
          <t>대봉엘에스(주)</t>
        </is>
      </c>
      <c r="D2166" s="17" t="inlineStr"/>
      <c r="E2166" s="17" t="inlineStr">
        <is>
          <t>종업원수</t>
        </is>
      </c>
      <c r="F2166" s="17" t="inlineStr">
        <is>
          <t>미확인</t>
        </is>
      </c>
      <c r="G2166" s="17" t="inlineStr">
        <is>
          <t>웹조사 자동화 실패(세션한도)</t>
        </is>
      </c>
      <c r="H2166" s="17" t="inlineStr">
        <is>
          <t>N</t>
        </is>
      </c>
      <c r="I2166" s="17" t="inlineStr">
        <is>
          <t>DART/채용</t>
        </is>
      </c>
      <c r="J2166" s="17" t="inlineStr">
        <is>
          <t>DART/채용에서 확인</t>
        </is>
      </c>
      <c r="K2166" s="17" t="inlineStr">
        <is>
          <t>낮음</t>
        </is>
      </c>
      <c r="L2166" s="17" t="inlineStr"/>
    </row>
    <row r="2167">
      <c r="A2167" s="17" t="inlineStr">
        <is>
          <t>C348</t>
        </is>
      </c>
      <c r="B2167" s="17" t="inlineStr"/>
      <c r="C2167" s="17" t="inlineStr">
        <is>
          <t>대봉엘에스(주)</t>
        </is>
      </c>
      <c r="D2167" s="17" t="inlineStr"/>
      <c r="E2167" s="17" t="inlineStr">
        <is>
          <t>수출여부</t>
        </is>
      </c>
      <c r="F2167" s="17" t="inlineStr">
        <is>
          <t>미확인</t>
        </is>
      </c>
      <c r="G2167" s="17" t="inlineStr">
        <is>
          <t>웹조사 자동화 실패(세션한도)</t>
        </is>
      </c>
      <c r="H2167" s="17" t="inlineStr">
        <is>
          <t>N</t>
        </is>
      </c>
      <c r="I2167" s="17" t="inlineStr">
        <is>
          <t>회사 공시·홈페이지</t>
        </is>
      </c>
      <c r="J2167" s="17" t="inlineStr">
        <is>
          <t>회사 공시·홈페이지에서 확인</t>
        </is>
      </c>
      <c r="K2167" s="17" t="inlineStr">
        <is>
          <t>낮음</t>
        </is>
      </c>
      <c r="L2167" s="17" t="inlineStr"/>
    </row>
    <row r="2168">
      <c r="A2168" s="17" t="inlineStr">
        <is>
          <t>C348</t>
        </is>
      </c>
      <c r="B2168" s="17" t="inlineStr"/>
      <c r="C2168" s="17" t="inlineStr">
        <is>
          <t>대봉엘에스(주)</t>
        </is>
      </c>
      <c r="D2168" s="17" t="inlineStr"/>
      <c r="E2168" s="17" t="inlineStr">
        <is>
          <t>FDA·EMA 실사</t>
        </is>
      </c>
      <c r="F2168" s="17" t="inlineStr">
        <is>
          <t>미확인</t>
        </is>
      </c>
      <c r="G2168" s="17" t="inlineStr">
        <is>
          <t>웹조사 자동화 실패(세션한도)</t>
        </is>
      </c>
      <c r="H2168" s="17" t="inlineStr">
        <is>
          <t>N</t>
        </is>
      </c>
      <c r="I2168" s="17" t="inlineStr">
        <is>
          <t>FDA Inspection DB</t>
        </is>
      </c>
      <c r="J2168" s="17" t="inlineStr">
        <is>
          <t>FDA Inspection DB에서 확인</t>
        </is>
      </c>
      <c r="K2168" s="17" t="inlineStr">
        <is>
          <t>낮음</t>
        </is>
      </c>
      <c r="L2168" s="17" t="inlineStr"/>
    </row>
    <row r="2169">
      <c r="A2169" s="17" t="inlineStr">
        <is>
          <t>C348</t>
        </is>
      </c>
      <c r="B2169" s="17" t="inlineStr"/>
      <c r="C2169" s="17" t="inlineStr">
        <is>
          <t>대봉엘에스(주)</t>
        </is>
      </c>
      <c r="D2169" s="17" t="inlineStr"/>
      <c r="E2169" s="17" t="inlineStr">
        <is>
          <t>CMO·CDMO</t>
        </is>
      </c>
      <c r="F2169" s="17" t="inlineStr">
        <is>
          <t>미확인</t>
        </is>
      </c>
      <c r="G2169" s="17" t="inlineStr">
        <is>
          <t>웹조사 자동화 실패(세션한도)</t>
        </is>
      </c>
      <c r="H2169" s="17" t="inlineStr">
        <is>
          <t>N</t>
        </is>
      </c>
      <c r="I2169" s="17" t="inlineStr">
        <is>
          <t>회사 홈페이지</t>
        </is>
      </c>
      <c r="J2169" s="17" t="inlineStr">
        <is>
          <t>회사 홈페이지에서 확인</t>
        </is>
      </c>
      <c r="K2169" s="17" t="inlineStr">
        <is>
          <t>낮음</t>
        </is>
      </c>
      <c r="L2169" s="17" t="inlineStr"/>
    </row>
    <row r="2170">
      <c r="A2170" s="17" t="inlineStr">
        <is>
          <t>C348</t>
        </is>
      </c>
      <c r="B2170" s="17" t="inlineStr"/>
      <c r="C2170" s="17" t="inlineStr">
        <is>
          <t>대봉엘에스(주)</t>
        </is>
      </c>
      <c r="D2170" s="17" t="inlineStr"/>
      <c r="E2170" s="17" t="inlineStr">
        <is>
          <t>신공장·증설</t>
        </is>
      </c>
      <c r="F2170" s="17" t="inlineStr">
        <is>
          <t>미확인</t>
        </is>
      </c>
      <c r="G2170" s="17" t="inlineStr">
        <is>
          <t>웹조사 자동화 실패(세션한도)</t>
        </is>
      </c>
      <c r="H2170" s="17" t="inlineStr">
        <is>
          <t>N</t>
        </is>
      </c>
      <c r="I2170" s="17" t="inlineStr">
        <is>
          <t>언론·지자체 발표</t>
        </is>
      </c>
      <c r="J2170" s="17" t="inlineStr">
        <is>
          <t>언론·지자체 발표에서 확인</t>
        </is>
      </c>
      <c r="K2170" s="17" t="inlineStr">
        <is>
          <t>낮음</t>
        </is>
      </c>
      <c r="L2170" s="17" t="inlineStr"/>
    </row>
    <row r="2171">
      <c r="A2171" s="17" t="inlineStr">
        <is>
          <t>C349</t>
        </is>
      </c>
      <c r="B2171" s="17" t="inlineStr"/>
      <c r="C2171" s="17" t="inlineStr">
        <is>
          <t>에스케이에어플러스 주식회사</t>
        </is>
      </c>
      <c r="D2171" s="17" t="inlineStr"/>
      <c r="E2171" s="17" t="inlineStr">
        <is>
          <t>최근매출(억원)</t>
        </is>
      </c>
      <c r="F2171" s="17" t="inlineStr">
        <is>
          <t>미확인</t>
        </is>
      </c>
      <c r="G2171" s="17" t="inlineStr">
        <is>
          <t>웹조사 자동화 실패(세션한도)</t>
        </is>
      </c>
      <c r="H2171" s="17" t="inlineStr">
        <is>
          <t>N</t>
        </is>
      </c>
      <c r="I2171" s="17" t="inlineStr">
        <is>
          <t>DART 사업보고서</t>
        </is>
      </c>
      <c r="J2171" s="17" t="inlineStr">
        <is>
          <t>DART 사업보고서에서 확인</t>
        </is>
      </c>
      <c r="K2171" s="17" t="inlineStr">
        <is>
          <t>낮음</t>
        </is>
      </c>
      <c r="L2171" s="17" t="inlineStr"/>
    </row>
    <row r="2172">
      <c r="A2172" s="17" t="inlineStr">
        <is>
          <t>C349</t>
        </is>
      </c>
      <c r="B2172" s="17" t="inlineStr"/>
      <c r="C2172" s="17" t="inlineStr">
        <is>
          <t>에스케이에어플러스 주식회사</t>
        </is>
      </c>
      <c r="D2172" s="17" t="inlineStr"/>
      <c r="E2172" s="17" t="inlineStr">
        <is>
          <t>종업원수</t>
        </is>
      </c>
      <c r="F2172" s="17" t="inlineStr">
        <is>
          <t>미확인</t>
        </is>
      </c>
      <c r="G2172" s="17" t="inlineStr">
        <is>
          <t>웹조사 자동화 실패(세션한도)</t>
        </is>
      </c>
      <c r="H2172" s="17" t="inlineStr">
        <is>
          <t>N</t>
        </is>
      </c>
      <c r="I2172" s="17" t="inlineStr">
        <is>
          <t>DART/채용</t>
        </is>
      </c>
      <c r="J2172" s="17" t="inlineStr">
        <is>
          <t>DART/채용에서 확인</t>
        </is>
      </c>
      <c r="K2172" s="17" t="inlineStr">
        <is>
          <t>낮음</t>
        </is>
      </c>
      <c r="L2172" s="17" t="inlineStr"/>
    </row>
    <row r="2173">
      <c r="A2173" s="17" t="inlineStr">
        <is>
          <t>C349</t>
        </is>
      </c>
      <c r="B2173" s="17" t="inlineStr"/>
      <c r="C2173" s="17" t="inlineStr">
        <is>
          <t>에스케이에어플러스 주식회사</t>
        </is>
      </c>
      <c r="D2173" s="17" t="inlineStr"/>
      <c r="E2173" s="17" t="inlineStr">
        <is>
          <t>수출여부</t>
        </is>
      </c>
      <c r="F2173" s="17" t="inlineStr">
        <is>
          <t>미확인</t>
        </is>
      </c>
      <c r="G2173" s="17" t="inlineStr">
        <is>
          <t>웹조사 자동화 실패(세션한도)</t>
        </is>
      </c>
      <c r="H2173" s="17" t="inlineStr">
        <is>
          <t>N</t>
        </is>
      </c>
      <c r="I2173" s="17" t="inlineStr">
        <is>
          <t>회사 공시·홈페이지</t>
        </is>
      </c>
      <c r="J2173" s="17" t="inlineStr">
        <is>
          <t>회사 공시·홈페이지에서 확인</t>
        </is>
      </c>
      <c r="K2173" s="17" t="inlineStr">
        <is>
          <t>낮음</t>
        </is>
      </c>
      <c r="L2173" s="17" t="inlineStr"/>
    </row>
    <row r="2174">
      <c r="A2174" s="17" t="inlineStr">
        <is>
          <t>C349</t>
        </is>
      </c>
      <c r="B2174" s="17" t="inlineStr"/>
      <c r="C2174" s="17" t="inlineStr">
        <is>
          <t>에스케이에어플러스 주식회사</t>
        </is>
      </c>
      <c r="D2174" s="17" t="inlineStr"/>
      <c r="E2174" s="17" t="inlineStr">
        <is>
          <t>FDA·EMA 실사</t>
        </is>
      </c>
      <c r="F2174" s="17" t="inlineStr">
        <is>
          <t>미확인</t>
        </is>
      </c>
      <c r="G2174" s="17" t="inlineStr">
        <is>
          <t>웹조사 자동화 실패(세션한도)</t>
        </is>
      </c>
      <c r="H2174" s="17" t="inlineStr">
        <is>
          <t>N</t>
        </is>
      </c>
      <c r="I2174" s="17" t="inlineStr">
        <is>
          <t>FDA Inspection DB</t>
        </is>
      </c>
      <c r="J2174" s="17" t="inlineStr">
        <is>
          <t>FDA Inspection DB에서 확인</t>
        </is>
      </c>
      <c r="K2174" s="17" t="inlineStr">
        <is>
          <t>낮음</t>
        </is>
      </c>
      <c r="L2174" s="17" t="inlineStr"/>
    </row>
    <row r="2175">
      <c r="A2175" s="17" t="inlineStr">
        <is>
          <t>C349</t>
        </is>
      </c>
      <c r="B2175" s="17" t="inlineStr"/>
      <c r="C2175" s="17" t="inlineStr">
        <is>
          <t>에스케이에어플러스 주식회사</t>
        </is>
      </c>
      <c r="D2175" s="17" t="inlineStr"/>
      <c r="E2175" s="17" t="inlineStr">
        <is>
          <t>CMO·CDMO</t>
        </is>
      </c>
      <c r="F2175" s="17" t="inlineStr">
        <is>
          <t>미확인</t>
        </is>
      </c>
      <c r="G2175" s="17" t="inlineStr">
        <is>
          <t>웹조사 자동화 실패(세션한도)</t>
        </is>
      </c>
      <c r="H2175" s="17" t="inlineStr">
        <is>
          <t>N</t>
        </is>
      </c>
      <c r="I2175" s="17" t="inlineStr">
        <is>
          <t>회사 홈페이지</t>
        </is>
      </c>
      <c r="J2175" s="17" t="inlineStr">
        <is>
          <t>회사 홈페이지에서 확인</t>
        </is>
      </c>
      <c r="K2175" s="17" t="inlineStr">
        <is>
          <t>낮음</t>
        </is>
      </c>
      <c r="L2175" s="17" t="inlineStr"/>
    </row>
    <row r="2176">
      <c r="A2176" s="17" t="inlineStr">
        <is>
          <t>C349</t>
        </is>
      </c>
      <c r="B2176" s="17" t="inlineStr"/>
      <c r="C2176" s="17" t="inlineStr">
        <is>
          <t>에스케이에어플러스 주식회사</t>
        </is>
      </c>
      <c r="D2176" s="17" t="inlineStr"/>
      <c r="E2176" s="17" t="inlineStr">
        <is>
          <t>신공장·증설</t>
        </is>
      </c>
      <c r="F2176" s="17" t="inlineStr">
        <is>
          <t>미확인</t>
        </is>
      </c>
      <c r="G2176" s="17" t="inlineStr">
        <is>
          <t>웹조사 자동화 실패(세션한도)</t>
        </is>
      </c>
      <c r="H2176" s="17" t="inlineStr">
        <is>
          <t>N</t>
        </is>
      </c>
      <c r="I2176" s="17" t="inlineStr">
        <is>
          <t>언론·지자체 발표</t>
        </is>
      </c>
      <c r="J2176" s="17" t="inlineStr">
        <is>
          <t>언론·지자체 발표에서 확인</t>
        </is>
      </c>
      <c r="K2176" s="17" t="inlineStr">
        <is>
          <t>낮음</t>
        </is>
      </c>
      <c r="L2176" s="17" t="inlineStr"/>
    </row>
    <row r="2177">
      <c r="A2177" s="17" t="inlineStr">
        <is>
          <t>C350</t>
        </is>
      </c>
      <c r="B2177" s="17" t="inlineStr"/>
      <c r="C2177" s="17" t="inlineStr">
        <is>
          <t>테고사이언스(주)</t>
        </is>
      </c>
      <c r="D2177" s="17" t="inlineStr"/>
      <c r="E2177" s="17" t="inlineStr">
        <is>
          <t>최근매출(억원)</t>
        </is>
      </c>
      <c r="F2177" s="17" t="inlineStr">
        <is>
          <t>미확인</t>
        </is>
      </c>
      <c r="G2177" s="17" t="inlineStr">
        <is>
          <t>웹조사 자동화 실패(세션한도)</t>
        </is>
      </c>
      <c r="H2177" s="17" t="inlineStr">
        <is>
          <t>N</t>
        </is>
      </c>
      <c r="I2177" s="17" t="inlineStr">
        <is>
          <t>DART 사업보고서</t>
        </is>
      </c>
      <c r="J2177" s="17" t="inlineStr">
        <is>
          <t>DART 사업보고서에서 확인</t>
        </is>
      </c>
      <c r="K2177" s="17" t="inlineStr">
        <is>
          <t>낮음</t>
        </is>
      </c>
      <c r="L2177" s="17" t="inlineStr"/>
    </row>
    <row r="2178">
      <c r="A2178" s="17" t="inlineStr">
        <is>
          <t>C350</t>
        </is>
      </c>
      <c r="B2178" s="17" t="inlineStr"/>
      <c r="C2178" s="17" t="inlineStr">
        <is>
          <t>테고사이언스(주)</t>
        </is>
      </c>
      <c r="D2178" s="17" t="inlineStr"/>
      <c r="E2178" s="17" t="inlineStr">
        <is>
          <t>종업원수</t>
        </is>
      </c>
      <c r="F2178" s="17" t="inlineStr">
        <is>
          <t>미확인</t>
        </is>
      </c>
      <c r="G2178" s="17" t="inlineStr">
        <is>
          <t>웹조사 자동화 실패(세션한도)</t>
        </is>
      </c>
      <c r="H2178" s="17" t="inlineStr">
        <is>
          <t>N</t>
        </is>
      </c>
      <c r="I2178" s="17" t="inlineStr">
        <is>
          <t>DART/채용</t>
        </is>
      </c>
      <c r="J2178" s="17" t="inlineStr">
        <is>
          <t>DART/채용에서 확인</t>
        </is>
      </c>
      <c r="K2178" s="17" t="inlineStr">
        <is>
          <t>낮음</t>
        </is>
      </c>
      <c r="L2178" s="17" t="inlineStr"/>
    </row>
    <row r="2179">
      <c r="A2179" s="17" t="inlineStr">
        <is>
          <t>C350</t>
        </is>
      </c>
      <c r="B2179" s="17" t="inlineStr"/>
      <c r="C2179" s="17" t="inlineStr">
        <is>
          <t>테고사이언스(주)</t>
        </is>
      </c>
      <c r="D2179" s="17" t="inlineStr"/>
      <c r="E2179" s="17" t="inlineStr">
        <is>
          <t>수출여부</t>
        </is>
      </c>
      <c r="F2179" s="17" t="inlineStr">
        <is>
          <t>미확인</t>
        </is>
      </c>
      <c r="G2179" s="17" t="inlineStr">
        <is>
          <t>웹조사 자동화 실패(세션한도)</t>
        </is>
      </c>
      <c r="H2179" s="17" t="inlineStr">
        <is>
          <t>N</t>
        </is>
      </c>
      <c r="I2179" s="17" t="inlineStr">
        <is>
          <t>회사 공시·홈페이지</t>
        </is>
      </c>
      <c r="J2179" s="17" t="inlineStr">
        <is>
          <t>회사 공시·홈페이지에서 확인</t>
        </is>
      </c>
      <c r="K2179" s="17" t="inlineStr">
        <is>
          <t>낮음</t>
        </is>
      </c>
      <c r="L2179" s="17" t="inlineStr"/>
    </row>
    <row r="2180">
      <c r="A2180" s="17" t="inlineStr">
        <is>
          <t>C350</t>
        </is>
      </c>
      <c r="B2180" s="17" t="inlineStr"/>
      <c r="C2180" s="17" t="inlineStr">
        <is>
          <t>테고사이언스(주)</t>
        </is>
      </c>
      <c r="D2180" s="17" t="inlineStr"/>
      <c r="E2180" s="17" t="inlineStr">
        <is>
          <t>FDA·EMA 실사</t>
        </is>
      </c>
      <c r="F2180" s="17" t="inlineStr">
        <is>
          <t>미확인</t>
        </is>
      </c>
      <c r="G2180" s="17" t="inlineStr">
        <is>
          <t>웹조사 자동화 실패(세션한도)</t>
        </is>
      </c>
      <c r="H2180" s="17" t="inlineStr">
        <is>
          <t>N</t>
        </is>
      </c>
      <c r="I2180" s="17" t="inlineStr">
        <is>
          <t>FDA Inspection DB</t>
        </is>
      </c>
      <c r="J2180" s="17" t="inlineStr">
        <is>
          <t>FDA Inspection DB에서 확인</t>
        </is>
      </c>
      <c r="K2180" s="17" t="inlineStr">
        <is>
          <t>낮음</t>
        </is>
      </c>
      <c r="L2180" s="17" t="inlineStr"/>
    </row>
    <row r="2181">
      <c r="A2181" s="17" t="inlineStr">
        <is>
          <t>C350</t>
        </is>
      </c>
      <c r="B2181" s="17" t="inlineStr"/>
      <c r="C2181" s="17" t="inlineStr">
        <is>
          <t>테고사이언스(주)</t>
        </is>
      </c>
      <c r="D2181" s="17" t="inlineStr"/>
      <c r="E2181" s="17" t="inlineStr">
        <is>
          <t>CMO·CDMO</t>
        </is>
      </c>
      <c r="F2181" s="17" t="inlineStr">
        <is>
          <t>미확인</t>
        </is>
      </c>
      <c r="G2181" s="17" t="inlineStr">
        <is>
          <t>웹조사 자동화 실패(세션한도)</t>
        </is>
      </c>
      <c r="H2181" s="17" t="inlineStr">
        <is>
          <t>N</t>
        </is>
      </c>
      <c r="I2181" s="17" t="inlineStr">
        <is>
          <t>회사 홈페이지</t>
        </is>
      </c>
      <c r="J2181" s="17" t="inlineStr">
        <is>
          <t>회사 홈페이지에서 확인</t>
        </is>
      </c>
      <c r="K2181" s="17" t="inlineStr">
        <is>
          <t>낮음</t>
        </is>
      </c>
      <c r="L2181" s="17" t="inlineStr"/>
    </row>
    <row r="2182">
      <c r="A2182" s="17" t="inlineStr">
        <is>
          <t>C350</t>
        </is>
      </c>
      <c r="B2182" s="17" t="inlineStr"/>
      <c r="C2182" s="17" t="inlineStr">
        <is>
          <t>테고사이언스(주)</t>
        </is>
      </c>
      <c r="D2182" s="17" t="inlineStr"/>
      <c r="E2182" s="17" t="inlineStr">
        <is>
          <t>신공장·증설</t>
        </is>
      </c>
      <c r="F2182" s="17" t="inlineStr">
        <is>
          <t>미확인</t>
        </is>
      </c>
      <c r="G2182" s="17" t="inlineStr">
        <is>
          <t>웹조사 자동화 실패(세션한도)</t>
        </is>
      </c>
      <c r="H2182" s="17" t="inlineStr">
        <is>
          <t>N</t>
        </is>
      </c>
      <c r="I2182" s="17" t="inlineStr">
        <is>
          <t>언론·지자체 발표</t>
        </is>
      </c>
      <c r="J2182" s="17" t="inlineStr">
        <is>
          <t>언론·지자체 발표에서 확인</t>
        </is>
      </c>
      <c r="K2182" s="17" t="inlineStr">
        <is>
          <t>낮음</t>
        </is>
      </c>
      <c r="L2182" s="17" t="inlineStr"/>
    </row>
    <row r="2183">
      <c r="A2183" s="17" t="inlineStr">
        <is>
          <t>C351</t>
        </is>
      </c>
      <c r="B2183" s="17" t="inlineStr"/>
      <c r="C2183" s="17" t="inlineStr">
        <is>
          <t>코오롱제약(주)</t>
        </is>
      </c>
      <c r="D2183" s="17" t="inlineStr"/>
      <c r="E2183" s="17" t="inlineStr">
        <is>
          <t>최근매출(억원)</t>
        </is>
      </c>
      <c r="F2183" s="17" t="inlineStr">
        <is>
          <t>미확인</t>
        </is>
      </c>
      <c r="G2183" s="17" t="inlineStr">
        <is>
          <t>웹조사 자동화 실패(세션한도)</t>
        </is>
      </c>
      <c r="H2183" s="17" t="inlineStr">
        <is>
          <t>N</t>
        </is>
      </c>
      <c r="I2183" s="17" t="inlineStr">
        <is>
          <t>DART 사업보고서</t>
        </is>
      </c>
      <c r="J2183" s="17" t="inlineStr">
        <is>
          <t>DART 사업보고서에서 확인</t>
        </is>
      </c>
      <c r="K2183" s="17" t="inlineStr">
        <is>
          <t>낮음</t>
        </is>
      </c>
      <c r="L2183" s="17" t="inlineStr"/>
    </row>
    <row r="2184">
      <c r="A2184" s="17" t="inlineStr">
        <is>
          <t>C351</t>
        </is>
      </c>
      <c r="B2184" s="17" t="inlineStr"/>
      <c r="C2184" s="17" t="inlineStr">
        <is>
          <t>코오롱제약(주)</t>
        </is>
      </c>
      <c r="D2184" s="17" t="inlineStr"/>
      <c r="E2184" s="17" t="inlineStr">
        <is>
          <t>종업원수</t>
        </is>
      </c>
      <c r="F2184" s="17" t="inlineStr">
        <is>
          <t>미확인</t>
        </is>
      </c>
      <c r="G2184" s="17" t="inlineStr">
        <is>
          <t>웹조사 자동화 실패(세션한도)</t>
        </is>
      </c>
      <c r="H2184" s="17" t="inlineStr">
        <is>
          <t>N</t>
        </is>
      </c>
      <c r="I2184" s="17" t="inlineStr">
        <is>
          <t>DART/채용</t>
        </is>
      </c>
      <c r="J2184" s="17" t="inlineStr">
        <is>
          <t>DART/채용에서 확인</t>
        </is>
      </c>
      <c r="K2184" s="17" t="inlineStr">
        <is>
          <t>낮음</t>
        </is>
      </c>
      <c r="L2184" s="17" t="inlineStr"/>
    </row>
    <row r="2185">
      <c r="A2185" s="17" t="inlineStr">
        <is>
          <t>C351</t>
        </is>
      </c>
      <c r="B2185" s="17" t="inlineStr"/>
      <c r="C2185" s="17" t="inlineStr">
        <is>
          <t>코오롱제약(주)</t>
        </is>
      </c>
      <c r="D2185" s="17" t="inlineStr"/>
      <c r="E2185" s="17" t="inlineStr">
        <is>
          <t>수출여부</t>
        </is>
      </c>
      <c r="F2185" s="17" t="inlineStr">
        <is>
          <t>미확인</t>
        </is>
      </c>
      <c r="G2185" s="17" t="inlineStr">
        <is>
          <t>웹조사 자동화 실패(세션한도)</t>
        </is>
      </c>
      <c r="H2185" s="17" t="inlineStr">
        <is>
          <t>N</t>
        </is>
      </c>
      <c r="I2185" s="17" t="inlineStr">
        <is>
          <t>회사 공시·홈페이지</t>
        </is>
      </c>
      <c r="J2185" s="17" t="inlineStr">
        <is>
          <t>회사 공시·홈페이지에서 확인</t>
        </is>
      </c>
      <c r="K2185" s="17" t="inlineStr">
        <is>
          <t>낮음</t>
        </is>
      </c>
      <c r="L2185" s="17" t="inlineStr"/>
    </row>
    <row r="2186">
      <c r="A2186" s="17" t="inlineStr">
        <is>
          <t>C351</t>
        </is>
      </c>
      <c r="B2186" s="17" t="inlineStr"/>
      <c r="C2186" s="17" t="inlineStr">
        <is>
          <t>코오롱제약(주)</t>
        </is>
      </c>
      <c r="D2186" s="17" t="inlineStr"/>
      <c r="E2186" s="17" t="inlineStr">
        <is>
          <t>FDA·EMA 실사</t>
        </is>
      </c>
      <c r="F2186" s="17" t="inlineStr">
        <is>
          <t>미확인</t>
        </is>
      </c>
      <c r="G2186" s="17" t="inlineStr">
        <is>
          <t>웹조사 자동화 실패(세션한도)</t>
        </is>
      </c>
      <c r="H2186" s="17" t="inlineStr">
        <is>
          <t>N</t>
        </is>
      </c>
      <c r="I2186" s="17" t="inlineStr">
        <is>
          <t>FDA Inspection DB</t>
        </is>
      </c>
      <c r="J2186" s="17" t="inlineStr">
        <is>
          <t>FDA Inspection DB에서 확인</t>
        </is>
      </c>
      <c r="K2186" s="17" t="inlineStr">
        <is>
          <t>낮음</t>
        </is>
      </c>
      <c r="L2186" s="17" t="inlineStr"/>
    </row>
    <row r="2187">
      <c r="A2187" s="17" t="inlineStr">
        <is>
          <t>C351</t>
        </is>
      </c>
      <c r="B2187" s="17" t="inlineStr"/>
      <c r="C2187" s="17" t="inlineStr">
        <is>
          <t>코오롱제약(주)</t>
        </is>
      </c>
      <c r="D2187" s="17" t="inlineStr"/>
      <c r="E2187" s="17" t="inlineStr">
        <is>
          <t>CMO·CDMO</t>
        </is>
      </c>
      <c r="F2187" s="17" t="inlineStr">
        <is>
          <t>미확인</t>
        </is>
      </c>
      <c r="G2187" s="17" t="inlineStr">
        <is>
          <t>웹조사 자동화 실패(세션한도)</t>
        </is>
      </c>
      <c r="H2187" s="17" t="inlineStr">
        <is>
          <t>N</t>
        </is>
      </c>
      <c r="I2187" s="17" t="inlineStr">
        <is>
          <t>회사 홈페이지</t>
        </is>
      </c>
      <c r="J2187" s="17" t="inlineStr">
        <is>
          <t>회사 홈페이지에서 확인</t>
        </is>
      </c>
      <c r="K2187" s="17" t="inlineStr">
        <is>
          <t>낮음</t>
        </is>
      </c>
      <c r="L2187" s="17" t="inlineStr"/>
    </row>
    <row r="2188">
      <c r="A2188" s="17" t="inlineStr">
        <is>
          <t>C351</t>
        </is>
      </c>
      <c r="B2188" s="17" t="inlineStr"/>
      <c r="C2188" s="17" t="inlineStr">
        <is>
          <t>코오롱제약(주)</t>
        </is>
      </c>
      <c r="D2188" s="17" t="inlineStr"/>
      <c r="E2188" s="17" t="inlineStr">
        <is>
          <t>신공장·증설</t>
        </is>
      </c>
      <c r="F2188" s="17" t="inlineStr">
        <is>
          <t>미확인</t>
        </is>
      </c>
      <c r="G2188" s="17" t="inlineStr">
        <is>
          <t>웹조사 자동화 실패(세션한도)</t>
        </is>
      </c>
      <c r="H2188" s="17" t="inlineStr">
        <is>
          <t>N</t>
        </is>
      </c>
      <c r="I2188" s="17" t="inlineStr">
        <is>
          <t>언론·지자체 발표</t>
        </is>
      </c>
      <c r="J2188" s="17" t="inlineStr">
        <is>
          <t>언론·지자체 발표에서 확인</t>
        </is>
      </c>
      <c r="K2188" s="17" t="inlineStr">
        <is>
          <t>낮음</t>
        </is>
      </c>
      <c r="L2188" s="17" t="inlineStr"/>
    </row>
    <row r="2189">
      <c r="A2189" s="17" t="inlineStr">
        <is>
          <t>C352</t>
        </is>
      </c>
      <c r="B2189" s="17" t="inlineStr"/>
      <c r="C2189" s="17" t="inlineStr">
        <is>
          <t>지엘파마(주)</t>
        </is>
      </c>
      <c r="D2189" s="17" t="inlineStr"/>
      <c r="E2189" s="17" t="inlineStr">
        <is>
          <t>최근매출(억원)</t>
        </is>
      </c>
      <c r="F2189" s="17" t="inlineStr">
        <is>
          <t>미확인</t>
        </is>
      </c>
      <c r="G2189" s="17" t="inlineStr">
        <is>
          <t>웹조사 자동화 실패(세션한도)</t>
        </is>
      </c>
      <c r="H2189" s="17" t="inlineStr">
        <is>
          <t>N</t>
        </is>
      </c>
      <c r="I2189" s="17" t="inlineStr">
        <is>
          <t>DART 사업보고서</t>
        </is>
      </c>
      <c r="J2189" s="17" t="inlineStr">
        <is>
          <t>DART 사업보고서에서 확인</t>
        </is>
      </c>
      <c r="K2189" s="17" t="inlineStr">
        <is>
          <t>낮음</t>
        </is>
      </c>
      <c r="L2189" s="17" t="inlineStr"/>
    </row>
    <row r="2190">
      <c r="A2190" s="17" t="inlineStr">
        <is>
          <t>C352</t>
        </is>
      </c>
      <c r="B2190" s="17" t="inlineStr"/>
      <c r="C2190" s="17" t="inlineStr">
        <is>
          <t>지엘파마(주)</t>
        </is>
      </c>
      <c r="D2190" s="17" t="inlineStr"/>
      <c r="E2190" s="17" t="inlineStr">
        <is>
          <t>종업원수</t>
        </is>
      </c>
      <c r="F2190" s="17" t="inlineStr">
        <is>
          <t>미확인</t>
        </is>
      </c>
      <c r="G2190" s="17" t="inlineStr">
        <is>
          <t>웹조사 자동화 실패(세션한도)</t>
        </is>
      </c>
      <c r="H2190" s="17" t="inlineStr">
        <is>
          <t>N</t>
        </is>
      </c>
      <c r="I2190" s="17" t="inlineStr">
        <is>
          <t>DART/채용</t>
        </is>
      </c>
      <c r="J2190" s="17" t="inlineStr">
        <is>
          <t>DART/채용에서 확인</t>
        </is>
      </c>
      <c r="K2190" s="17" t="inlineStr">
        <is>
          <t>낮음</t>
        </is>
      </c>
      <c r="L2190" s="17" t="inlineStr"/>
    </row>
    <row r="2191">
      <c r="A2191" s="17" t="inlineStr">
        <is>
          <t>C352</t>
        </is>
      </c>
      <c r="B2191" s="17" t="inlineStr"/>
      <c r="C2191" s="17" t="inlineStr">
        <is>
          <t>지엘파마(주)</t>
        </is>
      </c>
      <c r="D2191" s="17" t="inlineStr"/>
      <c r="E2191" s="17" t="inlineStr">
        <is>
          <t>수출여부</t>
        </is>
      </c>
      <c r="F2191" s="17" t="inlineStr">
        <is>
          <t>미확인</t>
        </is>
      </c>
      <c r="G2191" s="17" t="inlineStr">
        <is>
          <t>웹조사 자동화 실패(세션한도)</t>
        </is>
      </c>
      <c r="H2191" s="17" t="inlineStr">
        <is>
          <t>N</t>
        </is>
      </c>
      <c r="I2191" s="17" t="inlineStr">
        <is>
          <t>회사 공시·홈페이지</t>
        </is>
      </c>
      <c r="J2191" s="17" t="inlineStr">
        <is>
          <t>회사 공시·홈페이지에서 확인</t>
        </is>
      </c>
      <c r="K2191" s="17" t="inlineStr">
        <is>
          <t>낮음</t>
        </is>
      </c>
      <c r="L2191" s="17" t="inlineStr"/>
    </row>
    <row r="2192">
      <c r="A2192" s="17" t="inlineStr">
        <is>
          <t>C352</t>
        </is>
      </c>
      <c r="B2192" s="17" t="inlineStr"/>
      <c r="C2192" s="17" t="inlineStr">
        <is>
          <t>지엘파마(주)</t>
        </is>
      </c>
      <c r="D2192" s="17" t="inlineStr"/>
      <c r="E2192" s="17" t="inlineStr">
        <is>
          <t>FDA·EMA 실사</t>
        </is>
      </c>
      <c r="F2192" s="17" t="inlineStr">
        <is>
          <t>미확인</t>
        </is>
      </c>
      <c r="G2192" s="17" t="inlineStr">
        <is>
          <t>웹조사 자동화 실패(세션한도)</t>
        </is>
      </c>
      <c r="H2192" s="17" t="inlineStr">
        <is>
          <t>N</t>
        </is>
      </c>
      <c r="I2192" s="17" t="inlineStr">
        <is>
          <t>FDA Inspection DB</t>
        </is>
      </c>
      <c r="J2192" s="17" t="inlineStr">
        <is>
          <t>FDA Inspection DB에서 확인</t>
        </is>
      </c>
      <c r="K2192" s="17" t="inlineStr">
        <is>
          <t>낮음</t>
        </is>
      </c>
      <c r="L2192" s="17" t="inlineStr"/>
    </row>
    <row r="2193">
      <c r="A2193" s="17" t="inlineStr">
        <is>
          <t>C352</t>
        </is>
      </c>
      <c r="B2193" s="17" t="inlineStr"/>
      <c r="C2193" s="17" t="inlineStr">
        <is>
          <t>지엘파마(주)</t>
        </is>
      </c>
      <c r="D2193" s="17" t="inlineStr"/>
      <c r="E2193" s="17" t="inlineStr">
        <is>
          <t>CMO·CDMO</t>
        </is>
      </c>
      <c r="F2193" s="17" t="inlineStr">
        <is>
          <t>미확인</t>
        </is>
      </c>
      <c r="G2193" s="17" t="inlineStr">
        <is>
          <t>웹조사 자동화 실패(세션한도)</t>
        </is>
      </c>
      <c r="H2193" s="17" t="inlineStr">
        <is>
          <t>N</t>
        </is>
      </c>
      <c r="I2193" s="17" t="inlineStr">
        <is>
          <t>회사 홈페이지</t>
        </is>
      </c>
      <c r="J2193" s="17" t="inlineStr">
        <is>
          <t>회사 홈페이지에서 확인</t>
        </is>
      </c>
      <c r="K2193" s="17" t="inlineStr">
        <is>
          <t>낮음</t>
        </is>
      </c>
      <c r="L2193" s="17" t="inlineStr"/>
    </row>
    <row r="2194">
      <c r="A2194" s="17" t="inlineStr">
        <is>
          <t>C352</t>
        </is>
      </c>
      <c r="B2194" s="17" t="inlineStr"/>
      <c r="C2194" s="17" t="inlineStr">
        <is>
          <t>지엘파마(주)</t>
        </is>
      </c>
      <c r="D2194" s="17" t="inlineStr"/>
      <c r="E2194" s="17" t="inlineStr">
        <is>
          <t>신공장·증설</t>
        </is>
      </c>
      <c r="F2194" s="17" t="inlineStr">
        <is>
          <t>미확인</t>
        </is>
      </c>
      <c r="G2194" s="17" t="inlineStr">
        <is>
          <t>웹조사 자동화 실패(세션한도)</t>
        </is>
      </c>
      <c r="H2194" s="17" t="inlineStr">
        <is>
          <t>N</t>
        </is>
      </c>
      <c r="I2194" s="17" t="inlineStr">
        <is>
          <t>언론·지자체 발표</t>
        </is>
      </c>
      <c r="J2194" s="17" t="inlineStr">
        <is>
          <t>언론·지자체 발표에서 확인</t>
        </is>
      </c>
      <c r="K2194" s="17" t="inlineStr">
        <is>
          <t>낮음</t>
        </is>
      </c>
      <c r="L2194" s="17" t="inlineStr"/>
    </row>
    <row r="2195">
      <c r="A2195" s="17" t="inlineStr">
        <is>
          <t>C353</t>
        </is>
      </c>
      <c r="B2195" s="17" t="inlineStr"/>
      <c r="C2195" s="17" t="inlineStr">
        <is>
          <t>우진비앤지(주)</t>
        </is>
      </c>
      <c r="D2195" s="17" t="inlineStr"/>
      <c r="E2195" s="17" t="inlineStr">
        <is>
          <t>최근매출(억원)</t>
        </is>
      </c>
      <c r="F2195" s="17" t="inlineStr">
        <is>
          <t>미확인</t>
        </is>
      </c>
      <c r="G2195" s="17" t="inlineStr">
        <is>
          <t>웹조사 자동화 실패(세션한도)</t>
        </is>
      </c>
      <c r="H2195" s="17" t="inlineStr">
        <is>
          <t>N</t>
        </is>
      </c>
      <c r="I2195" s="17" t="inlineStr">
        <is>
          <t>DART 사업보고서</t>
        </is>
      </c>
      <c r="J2195" s="17" t="inlineStr">
        <is>
          <t>DART 사업보고서에서 확인</t>
        </is>
      </c>
      <c r="K2195" s="17" t="inlineStr">
        <is>
          <t>낮음</t>
        </is>
      </c>
      <c r="L2195" s="17" t="inlineStr"/>
    </row>
    <row r="2196">
      <c r="A2196" s="17" t="inlineStr">
        <is>
          <t>C353</t>
        </is>
      </c>
      <c r="B2196" s="17" t="inlineStr"/>
      <c r="C2196" s="17" t="inlineStr">
        <is>
          <t>우진비앤지(주)</t>
        </is>
      </c>
      <c r="D2196" s="17" t="inlineStr"/>
      <c r="E2196" s="17" t="inlineStr">
        <is>
          <t>종업원수</t>
        </is>
      </c>
      <c r="F2196" s="17" t="inlineStr">
        <is>
          <t>미확인</t>
        </is>
      </c>
      <c r="G2196" s="17" t="inlineStr">
        <is>
          <t>웹조사 자동화 실패(세션한도)</t>
        </is>
      </c>
      <c r="H2196" s="17" t="inlineStr">
        <is>
          <t>N</t>
        </is>
      </c>
      <c r="I2196" s="17" t="inlineStr">
        <is>
          <t>DART/채용</t>
        </is>
      </c>
      <c r="J2196" s="17" t="inlineStr">
        <is>
          <t>DART/채용에서 확인</t>
        </is>
      </c>
      <c r="K2196" s="17" t="inlineStr">
        <is>
          <t>낮음</t>
        </is>
      </c>
      <c r="L2196" s="17" t="inlineStr"/>
    </row>
    <row r="2197">
      <c r="A2197" s="17" t="inlineStr">
        <is>
          <t>C353</t>
        </is>
      </c>
      <c r="B2197" s="17" t="inlineStr"/>
      <c r="C2197" s="17" t="inlineStr">
        <is>
          <t>우진비앤지(주)</t>
        </is>
      </c>
      <c r="D2197" s="17" t="inlineStr"/>
      <c r="E2197" s="17" t="inlineStr">
        <is>
          <t>수출여부</t>
        </is>
      </c>
      <c r="F2197" s="17" t="inlineStr">
        <is>
          <t>미확인</t>
        </is>
      </c>
      <c r="G2197" s="17" t="inlineStr">
        <is>
          <t>웹조사 자동화 실패(세션한도)</t>
        </is>
      </c>
      <c r="H2197" s="17" t="inlineStr">
        <is>
          <t>N</t>
        </is>
      </c>
      <c r="I2197" s="17" t="inlineStr">
        <is>
          <t>회사 공시·홈페이지</t>
        </is>
      </c>
      <c r="J2197" s="17" t="inlineStr">
        <is>
          <t>회사 공시·홈페이지에서 확인</t>
        </is>
      </c>
      <c r="K2197" s="17" t="inlineStr">
        <is>
          <t>낮음</t>
        </is>
      </c>
      <c r="L2197" s="17" t="inlineStr"/>
    </row>
    <row r="2198">
      <c r="A2198" s="17" t="inlineStr">
        <is>
          <t>C353</t>
        </is>
      </c>
      <c r="B2198" s="17" t="inlineStr"/>
      <c r="C2198" s="17" t="inlineStr">
        <is>
          <t>우진비앤지(주)</t>
        </is>
      </c>
      <c r="D2198" s="17" t="inlineStr"/>
      <c r="E2198" s="17" t="inlineStr">
        <is>
          <t>FDA·EMA 실사</t>
        </is>
      </c>
      <c r="F2198" s="17" t="inlineStr">
        <is>
          <t>미확인</t>
        </is>
      </c>
      <c r="G2198" s="17" t="inlineStr">
        <is>
          <t>웹조사 자동화 실패(세션한도)</t>
        </is>
      </c>
      <c r="H2198" s="17" t="inlineStr">
        <is>
          <t>N</t>
        </is>
      </c>
      <c r="I2198" s="17" t="inlineStr">
        <is>
          <t>FDA Inspection DB</t>
        </is>
      </c>
      <c r="J2198" s="17" t="inlineStr">
        <is>
          <t>FDA Inspection DB에서 확인</t>
        </is>
      </c>
      <c r="K2198" s="17" t="inlineStr">
        <is>
          <t>낮음</t>
        </is>
      </c>
      <c r="L2198" s="17" t="inlineStr"/>
    </row>
    <row r="2199">
      <c r="A2199" s="17" t="inlineStr">
        <is>
          <t>C353</t>
        </is>
      </c>
      <c r="B2199" s="17" t="inlineStr"/>
      <c r="C2199" s="17" t="inlineStr">
        <is>
          <t>우진비앤지(주)</t>
        </is>
      </c>
      <c r="D2199" s="17" t="inlineStr"/>
      <c r="E2199" s="17" t="inlineStr">
        <is>
          <t>CMO·CDMO</t>
        </is>
      </c>
      <c r="F2199" s="17" t="inlineStr">
        <is>
          <t>미확인</t>
        </is>
      </c>
      <c r="G2199" s="17" t="inlineStr">
        <is>
          <t>웹조사 자동화 실패(세션한도)</t>
        </is>
      </c>
      <c r="H2199" s="17" t="inlineStr">
        <is>
          <t>N</t>
        </is>
      </c>
      <c r="I2199" s="17" t="inlineStr">
        <is>
          <t>회사 홈페이지</t>
        </is>
      </c>
      <c r="J2199" s="17" t="inlineStr">
        <is>
          <t>회사 홈페이지에서 확인</t>
        </is>
      </c>
      <c r="K2199" s="17" t="inlineStr">
        <is>
          <t>낮음</t>
        </is>
      </c>
      <c r="L2199" s="17" t="inlineStr"/>
    </row>
    <row r="2200">
      <c r="A2200" s="17" t="inlineStr">
        <is>
          <t>C353</t>
        </is>
      </c>
      <c r="B2200" s="17" t="inlineStr"/>
      <c r="C2200" s="17" t="inlineStr">
        <is>
          <t>우진비앤지(주)</t>
        </is>
      </c>
      <c r="D2200" s="17" t="inlineStr"/>
      <c r="E2200" s="17" t="inlineStr">
        <is>
          <t>신공장·증설</t>
        </is>
      </c>
      <c r="F2200" s="17" t="inlineStr">
        <is>
          <t>미확인</t>
        </is>
      </c>
      <c r="G2200" s="17" t="inlineStr">
        <is>
          <t>웹조사 자동화 실패(세션한도)</t>
        </is>
      </c>
      <c r="H2200" s="17" t="inlineStr">
        <is>
          <t>N</t>
        </is>
      </c>
      <c r="I2200" s="17" t="inlineStr">
        <is>
          <t>언론·지자체 발표</t>
        </is>
      </c>
      <c r="J2200" s="17" t="inlineStr">
        <is>
          <t>언론·지자체 발표에서 확인</t>
        </is>
      </c>
      <c r="K2200" s="17" t="inlineStr">
        <is>
          <t>낮음</t>
        </is>
      </c>
      <c r="L2200" s="17" t="inlineStr"/>
    </row>
    <row r="2201">
      <c r="A2201" s="17" t="inlineStr">
        <is>
          <t>C354</t>
        </is>
      </c>
      <c r="B2201" s="17" t="inlineStr"/>
      <c r="C2201" s="17" t="inlineStr">
        <is>
          <t>(주)씨엠지제약</t>
        </is>
      </c>
      <c r="D2201" s="17" t="inlineStr"/>
      <c r="E2201" s="17" t="inlineStr">
        <is>
          <t>최근매출(억원)</t>
        </is>
      </c>
      <c r="F2201" s="17" t="inlineStr">
        <is>
          <t>미확인</t>
        </is>
      </c>
      <c r="G2201" s="17" t="inlineStr">
        <is>
          <t>웹조사 자동화 실패(세션한도)</t>
        </is>
      </c>
      <c r="H2201" s="17" t="inlineStr">
        <is>
          <t>N</t>
        </is>
      </c>
      <c r="I2201" s="17" t="inlineStr">
        <is>
          <t>DART 사업보고서</t>
        </is>
      </c>
      <c r="J2201" s="17" t="inlineStr">
        <is>
          <t>DART 사업보고서에서 확인</t>
        </is>
      </c>
      <c r="K2201" s="17" t="inlineStr">
        <is>
          <t>낮음</t>
        </is>
      </c>
      <c r="L2201" s="17" t="inlineStr"/>
    </row>
    <row r="2202">
      <c r="A2202" s="17" t="inlineStr">
        <is>
          <t>C354</t>
        </is>
      </c>
      <c r="B2202" s="17" t="inlineStr"/>
      <c r="C2202" s="17" t="inlineStr">
        <is>
          <t>(주)씨엠지제약</t>
        </is>
      </c>
      <c r="D2202" s="17" t="inlineStr"/>
      <c r="E2202" s="17" t="inlineStr">
        <is>
          <t>종업원수</t>
        </is>
      </c>
      <c r="F2202" s="17" t="inlineStr">
        <is>
          <t>미확인</t>
        </is>
      </c>
      <c r="G2202" s="17" t="inlineStr">
        <is>
          <t>웹조사 자동화 실패(세션한도)</t>
        </is>
      </c>
      <c r="H2202" s="17" t="inlineStr">
        <is>
          <t>N</t>
        </is>
      </c>
      <c r="I2202" s="17" t="inlineStr">
        <is>
          <t>DART/채용</t>
        </is>
      </c>
      <c r="J2202" s="17" t="inlineStr">
        <is>
          <t>DART/채용에서 확인</t>
        </is>
      </c>
      <c r="K2202" s="17" t="inlineStr">
        <is>
          <t>낮음</t>
        </is>
      </c>
      <c r="L2202" s="17" t="inlineStr"/>
    </row>
    <row r="2203">
      <c r="A2203" s="17" t="inlineStr">
        <is>
          <t>C354</t>
        </is>
      </c>
      <c r="B2203" s="17" t="inlineStr"/>
      <c r="C2203" s="17" t="inlineStr">
        <is>
          <t>(주)씨엠지제약</t>
        </is>
      </c>
      <c r="D2203" s="17" t="inlineStr"/>
      <c r="E2203" s="17" t="inlineStr">
        <is>
          <t>수출여부</t>
        </is>
      </c>
      <c r="F2203" s="17" t="inlineStr">
        <is>
          <t>미확인</t>
        </is>
      </c>
      <c r="G2203" s="17" t="inlineStr">
        <is>
          <t>웹조사 자동화 실패(세션한도)</t>
        </is>
      </c>
      <c r="H2203" s="17" t="inlineStr">
        <is>
          <t>N</t>
        </is>
      </c>
      <c r="I2203" s="17" t="inlineStr">
        <is>
          <t>회사 공시·홈페이지</t>
        </is>
      </c>
      <c r="J2203" s="17" t="inlineStr">
        <is>
          <t>회사 공시·홈페이지에서 확인</t>
        </is>
      </c>
      <c r="K2203" s="17" t="inlineStr">
        <is>
          <t>낮음</t>
        </is>
      </c>
      <c r="L2203" s="17" t="inlineStr"/>
    </row>
    <row r="2204">
      <c r="A2204" s="17" t="inlineStr">
        <is>
          <t>C354</t>
        </is>
      </c>
      <c r="B2204" s="17" t="inlineStr"/>
      <c r="C2204" s="17" t="inlineStr">
        <is>
          <t>(주)씨엠지제약</t>
        </is>
      </c>
      <c r="D2204" s="17" t="inlineStr"/>
      <c r="E2204" s="17" t="inlineStr">
        <is>
          <t>FDA·EMA 실사</t>
        </is>
      </c>
      <c r="F2204" s="17" t="inlineStr">
        <is>
          <t>미확인</t>
        </is>
      </c>
      <c r="G2204" s="17" t="inlineStr">
        <is>
          <t>웹조사 자동화 실패(세션한도)</t>
        </is>
      </c>
      <c r="H2204" s="17" t="inlineStr">
        <is>
          <t>N</t>
        </is>
      </c>
      <c r="I2204" s="17" t="inlineStr">
        <is>
          <t>FDA Inspection DB</t>
        </is>
      </c>
      <c r="J2204" s="17" t="inlineStr">
        <is>
          <t>FDA Inspection DB에서 확인</t>
        </is>
      </c>
      <c r="K2204" s="17" t="inlineStr">
        <is>
          <t>낮음</t>
        </is>
      </c>
      <c r="L2204" s="17" t="inlineStr"/>
    </row>
    <row r="2205">
      <c r="A2205" s="17" t="inlineStr">
        <is>
          <t>C354</t>
        </is>
      </c>
      <c r="B2205" s="17" t="inlineStr"/>
      <c r="C2205" s="17" t="inlineStr">
        <is>
          <t>(주)씨엠지제약</t>
        </is>
      </c>
      <c r="D2205" s="17" t="inlineStr"/>
      <c r="E2205" s="17" t="inlineStr">
        <is>
          <t>CMO·CDMO</t>
        </is>
      </c>
      <c r="F2205" s="17" t="inlineStr">
        <is>
          <t>미확인</t>
        </is>
      </c>
      <c r="G2205" s="17" t="inlineStr">
        <is>
          <t>웹조사 자동화 실패(세션한도)</t>
        </is>
      </c>
      <c r="H2205" s="17" t="inlineStr">
        <is>
          <t>N</t>
        </is>
      </c>
      <c r="I2205" s="17" t="inlineStr">
        <is>
          <t>회사 홈페이지</t>
        </is>
      </c>
      <c r="J2205" s="17" t="inlineStr">
        <is>
          <t>회사 홈페이지에서 확인</t>
        </is>
      </c>
      <c r="K2205" s="17" t="inlineStr">
        <is>
          <t>낮음</t>
        </is>
      </c>
      <c r="L2205" s="17" t="inlineStr"/>
    </row>
    <row r="2206">
      <c r="A2206" s="17" t="inlineStr">
        <is>
          <t>C354</t>
        </is>
      </c>
      <c r="B2206" s="17" t="inlineStr"/>
      <c r="C2206" s="17" t="inlineStr">
        <is>
          <t>(주)씨엠지제약</t>
        </is>
      </c>
      <c r="D2206" s="17" t="inlineStr"/>
      <c r="E2206" s="17" t="inlineStr">
        <is>
          <t>신공장·증설</t>
        </is>
      </c>
      <c r="F2206" s="17" t="inlineStr">
        <is>
          <t>미확인</t>
        </is>
      </c>
      <c r="G2206" s="17" t="inlineStr">
        <is>
          <t>웹조사 자동화 실패(세션한도)</t>
        </is>
      </c>
      <c r="H2206" s="17" t="inlineStr">
        <is>
          <t>N</t>
        </is>
      </c>
      <c r="I2206" s="17" t="inlineStr">
        <is>
          <t>언론·지자체 발표</t>
        </is>
      </c>
      <c r="J2206" s="17" t="inlineStr">
        <is>
          <t>언론·지자체 발표에서 확인</t>
        </is>
      </c>
      <c r="K2206" s="17" t="inlineStr">
        <is>
          <t>낮음</t>
        </is>
      </c>
      <c r="L2206" s="17" t="inlineStr"/>
    </row>
    <row r="2207">
      <c r="A2207" s="17" t="inlineStr">
        <is>
          <t>C354</t>
        </is>
      </c>
      <c r="B2207" s="17" t="inlineStr"/>
      <c r="C2207" s="17" t="inlineStr">
        <is>
          <t>(주)씨엠지제약</t>
        </is>
      </c>
      <c r="D2207" s="17" t="inlineStr"/>
      <c r="E2207" s="17" t="inlineStr">
        <is>
          <t>대표전화</t>
        </is>
      </c>
      <c r="F2207" s="17" t="inlineStr">
        <is>
          <t>미확인</t>
        </is>
      </c>
      <c r="G2207" s="17" t="inlineStr">
        <is>
          <t>제조소상세 미매칭</t>
        </is>
      </c>
      <c r="H2207" s="17" t="inlineStr">
        <is>
          <t>Y</t>
        </is>
      </c>
      <c r="I2207" s="17" t="inlineStr">
        <is>
          <t>회사 홈페이지</t>
        </is>
      </c>
      <c r="J2207" s="17" t="inlineStr">
        <is>
          <t>홈페이지에서 대표번호 확인</t>
        </is>
      </c>
      <c r="K2207" s="17" t="inlineStr">
        <is>
          <t>낮음</t>
        </is>
      </c>
      <c r="L2207" s="17" t="inlineStr"/>
    </row>
    <row r="2208">
      <c r="A2208" s="17" t="inlineStr">
        <is>
          <t>C355</t>
        </is>
      </c>
      <c r="B2208" s="17" t="inlineStr"/>
      <c r="C2208" s="17" t="inlineStr">
        <is>
          <t>(주)제일제약</t>
        </is>
      </c>
      <c r="D2208" s="17" t="inlineStr"/>
      <c r="E2208" s="17" t="inlineStr">
        <is>
          <t>최근매출(억원)</t>
        </is>
      </c>
      <c r="F2208" s="17" t="inlineStr">
        <is>
          <t>미확인</t>
        </is>
      </c>
      <c r="G2208" s="17" t="inlineStr">
        <is>
          <t>웹조사 자동화 실패(세션한도)</t>
        </is>
      </c>
      <c r="H2208" s="17" t="inlineStr">
        <is>
          <t>N</t>
        </is>
      </c>
      <c r="I2208" s="17" t="inlineStr">
        <is>
          <t>DART 사업보고서</t>
        </is>
      </c>
      <c r="J2208" s="17" t="inlineStr">
        <is>
          <t>DART 사업보고서에서 확인</t>
        </is>
      </c>
      <c r="K2208" s="17" t="inlineStr">
        <is>
          <t>낮음</t>
        </is>
      </c>
      <c r="L2208" s="17" t="inlineStr"/>
    </row>
    <row r="2209">
      <c r="A2209" s="17" t="inlineStr">
        <is>
          <t>C355</t>
        </is>
      </c>
      <c r="B2209" s="17" t="inlineStr"/>
      <c r="C2209" s="17" t="inlineStr">
        <is>
          <t>(주)제일제약</t>
        </is>
      </c>
      <c r="D2209" s="17" t="inlineStr"/>
      <c r="E2209" s="17" t="inlineStr">
        <is>
          <t>종업원수</t>
        </is>
      </c>
      <c r="F2209" s="17" t="inlineStr">
        <is>
          <t>미확인</t>
        </is>
      </c>
      <c r="G2209" s="17" t="inlineStr">
        <is>
          <t>웹조사 자동화 실패(세션한도)</t>
        </is>
      </c>
      <c r="H2209" s="17" t="inlineStr">
        <is>
          <t>N</t>
        </is>
      </c>
      <c r="I2209" s="17" t="inlineStr">
        <is>
          <t>DART/채용</t>
        </is>
      </c>
      <c r="J2209" s="17" t="inlineStr">
        <is>
          <t>DART/채용에서 확인</t>
        </is>
      </c>
      <c r="K2209" s="17" t="inlineStr">
        <is>
          <t>낮음</t>
        </is>
      </c>
      <c r="L2209" s="17" t="inlineStr"/>
    </row>
    <row r="2210">
      <c r="A2210" s="17" t="inlineStr">
        <is>
          <t>C355</t>
        </is>
      </c>
      <c r="B2210" s="17" t="inlineStr"/>
      <c r="C2210" s="17" t="inlineStr">
        <is>
          <t>(주)제일제약</t>
        </is>
      </c>
      <c r="D2210" s="17" t="inlineStr"/>
      <c r="E2210" s="17" t="inlineStr">
        <is>
          <t>수출여부</t>
        </is>
      </c>
      <c r="F2210" s="17" t="inlineStr">
        <is>
          <t>미확인</t>
        </is>
      </c>
      <c r="G2210" s="17" t="inlineStr">
        <is>
          <t>웹조사 자동화 실패(세션한도)</t>
        </is>
      </c>
      <c r="H2210" s="17" t="inlineStr">
        <is>
          <t>N</t>
        </is>
      </c>
      <c r="I2210" s="17" t="inlineStr">
        <is>
          <t>회사 공시·홈페이지</t>
        </is>
      </c>
      <c r="J2210" s="17" t="inlineStr">
        <is>
          <t>회사 공시·홈페이지에서 확인</t>
        </is>
      </c>
      <c r="K2210" s="17" t="inlineStr">
        <is>
          <t>낮음</t>
        </is>
      </c>
      <c r="L2210" s="17" t="inlineStr"/>
    </row>
    <row r="2211">
      <c r="A2211" s="17" t="inlineStr">
        <is>
          <t>C355</t>
        </is>
      </c>
      <c r="B2211" s="17" t="inlineStr"/>
      <c r="C2211" s="17" t="inlineStr">
        <is>
          <t>(주)제일제약</t>
        </is>
      </c>
      <c r="D2211" s="17" t="inlineStr"/>
      <c r="E2211" s="17" t="inlineStr">
        <is>
          <t>FDA·EMA 실사</t>
        </is>
      </c>
      <c r="F2211" s="17" t="inlineStr">
        <is>
          <t>미확인</t>
        </is>
      </c>
      <c r="G2211" s="17" t="inlineStr">
        <is>
          <t>웹조사 자동화 실패(세션한도)</t>
        </is>
      </c>
      <c r="H2211" s="17" t="inlineStr">
        <is>
          <t>N</t>
        </is>
      </c>
      <c r="I2211" s="17" t="inlineStr">
        <is>
          <t>FDA Inspection DB</t>
        </is>
      </c>
      <c r="J2211" s="17" t="inlineStr">
        <is>
          <t>FDA Inspection DB에서 확인</t>
        </is>
      </c>
      <c r="K2211" s="17" t="inlineStr">
        <is>
          <t>낮음</t>
        </is>
      </c>
      <c r="L2211" s="17" t="inlineStr"/>
    </row>
    <row r="2212">
      <c r="A2212" s="17" t="inlineStr">
        <is>
          <t>C355</t>
        </is>
      </c>
      <c r="B2212" s="17" t="inlineStr"/>
      <c r="C2212" s="17" t="inlineStr">
        <is>
          <t>(주)제일제약</t>
        </is>
      </c>
      <c r="D2212" s="17" t="inlineStr"/>
      <c r="E2212" s="17" t="inlineStr">
        <is>
          <t>CMO·CDMO</t>
        </is>
      </c>
      <c r="F2212" s="17" t="inlineStr">
        <is>
          <t>미확인</t>
        </is>
      </c>
      <c r="G2212" s="17" t="inlineStr">
        <is>
          <t>웹조사 자동화 실패(세션한도)</t>
        </is>
      </c>
      <c r="H2212" s="17" t="inlineStr">
        <is>
          <t>N</t>
        </is>
      </c>
      <c r="I2212" s="17" t="inlineStr">
        <is>
          <t>회사 홈페이지</t>
        </is>
      </c>
      <c r="J2212" s="17" t="inlineStr">
        <is>
          <t>회사 홈페이지에서 확인</t>
        </is>
      </c>
      <c r="K2212" s="17" t="inlineStr">
        <is>
          <t>낮음</t>
        </is>
      </c>
      <c r="L2212" s="17" t="inlineStr"/>
    </row>
    <row r="2213">
      <c r="A2213" s="17" t="inlineStr">
        <is>
          <t>C355</t>
        </is>
      </c>
      <c r="B2213" s="17" t="inlineStr"/>
      <c r="C2213" s="17" t="inlineStr">
        <is>
          <t>(주)제일제약</t>
        </is>
      </c>
      <c r="D2213" s="17" t="inlineStr"/>
      <c r="E2213" s="17" t="inlineStr">
        <is>
          <t>신공장·증설</t>
        </is>
      </c>
      <c r="F2213" s="17" t="inlineStr">
        <is>
          <t>미확인</t>
        </is>
      </c>
      <c r="G2213" s="17" t="inlineStr">
        <is>
          <t>웹조사 자동화 실패(세션한도)</t>
        </is>
      </c>
      <c r="H2213" s="17" t="inlineStr">
        <is>
          <t>N</t>
        </is>
      </c>
      <c r="I2213" s="17" t="inlineStr">
        <is>
          <t>언론·지자체 발표</t>
        </is>
      </c>
      <c r="J2213" s="17" t="inlineStr">
        <is>
          <t>언론·지자체 발표에서 확인</t>
        </is>
      </c>
      <c r="K2213" s="17" t="inlineStr">
        <is>
          <t>낮음</t>
        </is>
      </c>
      <c r="L2213" s="17" t="inlineStr"/>
    </row>
    <row r="2214">
      <c r="A2214" s="17" t="inlineStr">
        <is>
          <t>C356</t>
        </is>
      </c>
      <c r="B2214" s="17" t="inlineStr"/>
      <c r="C2214" s="17" t="inlineStr">
        <is>
          <t>주식회사 코리아에어텍</t>
        </is>
      </c>
      <c r="D2214" s="17" t="inlineStr"/>
      <c r="E2214" s="17" t="inlineStr">
        <is>
          <t>최근매출(억원)</t>
        </is>
      </c>
      <c r="F2214" s="17" t="inlineStr">
        <is>
          <t>미확인</t>
        </is>
      </c>
      <c r="G2214" s="17" t="inlineStr">
        <is>
          <t>웹조사 자동화 실패(세션한도)</t>
        </is>
      </c>
      <c r="H2214" s="17" t="inlineStr">
        <is>
          <t>N</t>
        </is>
      </c>
      <c r="I2214" s="17" t="inlineStr">
        <is>
          <t>DART 사업보고서</t>
        </is>
      </c>
      <c r="J2214" s="17" t="inlineStr">
        <is>
          <t>DART 사업보고서에서 확인</t>
        </is>
      </c>
      <c r="K2214" s="17" t="inlineStr">
        <is>
          <t>낮음</t>
        </is>
      </c>
      <c r="L2214" s="17" t="inlineStr"/>
    </row>
    <row r="2215">
      <c r="A2215" s="17" t="inlineStr">
        <is>
          <t>C356</t>
        </is>
      </c>
      <c r="B2215" s="17" t="inlineStr"/>
      <c r="C2215" s="17" t="inlineStr">
        <is>
          <t>주식회사 코리아에어텍</t>
        </is>
      </c>
      <c r="D2215" s="17" t="inlineStr"/>
      <c r="E2215" s="17" t="inlineStr">
        <is>
          <t>종업원수</t>
        </is>
      </c>
      <c r="F2215" s="17" t="inlineStr">
        <is>
          <t>미확인</t>
        </is>
      </c>
      <c r="G2215" s="17" t="inlineStr">
        <is>
          <t>웹조사 자동화 실패(세션한도)</t>
        </is>
      </c>
      <c r="H2215" s="17" t="inlineStr">
        <is>
          <t>N</t>
        </is>
      </c>
      <c r="I2215" s="17" t="inlineStr">
        <is>
          <t>DART/채용</t>
        </is>
      </c>
      <c r="J2215" s="17" t="inlineStr">
        <is>
          <t>DART/채용에서 확인</t>
        </is>
      </c>
      <c r="K2215" s="17" t="inlineStr">
        <is>
          <t>낮음</t>
        </is>
      </c>
      <c r="L2215" s="17" t="inlineStr"/>
    </row>
    <row r="2216">
      <c r="A2216" s="17" t="inlineStr">
        <is>
          <t>C356</t>
        </is>
      </c>
      <c r="B2216" s="17" t="inlineStr"/>
      <c r="C2216" s="17" t="inlineStr">
        <is>
          <t>주식회사 코리아에어텍</t>
        </is>
      </c>
      <c r="D2216" s="17" t="inlineStr"/>
      <c r="E2216" s="17" t="inlineStr">
        <is>
          <t>수출여부</t>
        </is>
      </c>
      <c r="F2216" s="17" t="inlineStr">
        <is>
          <t>미확인</t>
        </is>
      </c>
      <c r="G2216" s="17" t="inlineStr">
        <is>
          <t>웹조사 자동화 실패(세션한도)</t>
        </is>
      </c>
      <c r="H2216" s="17" t="inlineStr">
        <is>
          <t>N</t>
        </is>
      </c>
      <c r="I2216" s="17" t="inlineStr">
        <is>
          <t>회사 공시·홈페이지</t>
        </is>
      </c>
      <c r="J2216" s="17" t="inlineStr">
        <is>
          <t>회사 공시·홈페이지에서 확인</t>
        </is>
      </c>
      <c r="K2216" s="17" t="inlineStr">
        <is>
          <t>낮음</t>
        </is>
      </c>
      <c r="L2216" s="17" t="inlineStr"/>
    </row>
    <row r="2217">
      <c r="A2217" s="17" t="inlineStr">
        <is>
          <t>C356</t>
        </is>
      </c>
      <c r="B2217" s="17" t="inlineStr"/>
      <c r="C2217" s="17" t="inlineStr">
        <is>
          <t>주식회사 코리아에어텍</t>
        </is>
      </c>
      <c r="D2217" s="17" t="inlineStr"/>
      <c r="E2217" s="17" t="inlineStr">
        <is>
          <t>FDA·EMA 실사</t>
        </is>
      </c>
      <c r="F2217" s="17" t="inlineStr">
        <is>
          <t>미확인</t>
        </is>
      </c>
      <c r="G2217" s="17" t="inlineStr">
        <is>
          <t>웹조사 자동화 실패(세션한도)</t>
        </is>
      </c>
      <c r="H2217" s="17" t="inlineStr">
        <is>
          <t>N</t>
        </is>
      </c>
      <c r="I2217" s="17" t="inlineStr">
        <is>
          <t>FDA Inspection DB</t>
        </is>
      </c>
      <c r="J2217" s="17" t="inlineStr">
        <is>
          <t>FDA Inspection DB에서 확인</t>
        </is>
      </c>
      <c r="K2217" s="17" t="inlineStr">
        <is>
          <t>낮음</t>
        </is>
      </c>
      <c r="L2217" s="17" t="inlineStr"/>
    </row>
    <row r="2218">
      <c r="A2218" s="17" t="inlineStr">
        <is>
          <t>C356</t>
        </is>
      </c>
      <c r="B2218" s="17" t="inlineStr"/>
      <c r="C2218" s="17" t="inlineStr">
        <is>
          <t>주식회사 코리아에어텍</t>
        </is>
      </c>
      <c r="D2218" s="17" t="inlineStr"/>
      <c r="E2218" s="17" t="inlineStr">
        <is>
          <t>CMO·CDMO</t>
        </is>
      </c>
      <c r="F2218" s="17" t="inlineStr">
        <is>
          <t>미확인</t>
        </is>
      </c>
      <c r="G2218" s="17" t="inlineStr">
        <is>
          <t>웹조사 자동화 실패(세션한도)</t>
        </is>
      </c>
      <c r="H2218" s="17" t="inlineStr">
        <is>
          <t>N</t>
        </is>
      </c>
      <c r="I2218" s="17" t="inlineStr">
        <is>
          <t>회사 홈페이지</t>
        </is>
      </c>
      <c r="J2218" s="17" t="inlineStr">
        <is>
          <t>회사 홈페이지에서 확인</t>
        </is>
      </c>
      <c r="K2218" s="17" t="inlineStr">
        <is>
          <t>낮음</t>
        </is>
      </c>
      <c r="L2218" s="17" t="inlineStr"/>
    </row>
    <row r="2219">
      <c r="A2219" s="17" t="inlineStr">
        <is>
          <t>C356</t>
        </is>
      </c>
      <c r="B2219" s="17" t="inlineStr"/>
      <c r="C2219" s="17" t="inlineStr">
        <is>
          <t>주식회사 코리아에어텍</t>
        </is>
      </c>
      <c r="D2219" s="17" t="inlineStr"/>
      <c r="E2219" s="17" t="inlineStr">
        <is>
          <t>신공장·증설</t>
        </is>
      </c>
      <c r="F2219" s="17" t="inlineStr">
        <is>
          <t>미확인</t>
        </is>
      </c>
      <c r="G2219" s="17" t="inlineStr">
        <is>
          <t>웹조사 자동화 실패(세션한도)</t>
        </is>
      </c>
      <c r="H2219" s="17" t="inlineStr">
        <is>
          <t>N</t>
        </is>
      </c>
      <c r="I2219" s="17" t="inlineStr">
        <is>
          <t>언론·지자체 발표</t>
        </is>
      </c>
      <c r="J2219" s="17" t="inlineStr">
        <is>
          <t>언론·지자체 발표에서 확인</t>
        </is>
      </c>
      <c r="K2219" s="17" t="inlineStr">
        <is>
          <t>낮음</t>
        </is>
      </c>
      <c r="L2219" s="17" t="inlineStr"/>
    </row>
    <row r="2220">
      <c r="A2220" s="17" t="inlineStr">
        <is>
          <t>C357</t>
        </is>
      </c>
      <c r="B2220" s="17" t="inlineStr"/>
      <c r="C2220" s="17" t="inlineStr">
        <is>
          <t>(주)엔지켐생명과학</t>
        </is>
      </c>
      <c r="D2220" s="17" t="inlineStr"/>
      <c r="E2220" s="17" t="inlineStr">
        <is>
          <t>최근매출(억원)</t>
        </is>
      </c>
      <c r="F2220" s="17" t="inlineStr">
        <is>
          <t>미확인</t>
        </is>
      </c>
      <c r="G2220" s="17" t="inlineStr">
        <is>
          <t>웹조사 자동화 실패(세션한도)</t>
        </is>
      </c>
      <c r="H2220" s="17" t="inlineStr">
        <is>
          <t>N</t>
        </is>
      </c>
      <c r="I2220" s="17" t="inlineStr">
        <is>
          <t>DART 사업보고서</t>
        </is>
      </c>
      <c r="J2220" s="17" t="inlineStr">
        <is>
          <t>DART 사업보고서에서 확인</t>
        </is>
      </c>
      <c r="K2220" s="17" t="inlineStr">
        <is>
          <t>낮음</t>
        </is>
      </c>
      <c r="L2220" s="17" t="inlineStr"/>
    </row>
    <row r="2221">
      <c r="A2221" s="17" t="inlineStr">
        <is>
          <t>C357</t>
        </is>
      </c>
      <c r="B2221" s="17" t="inlineStr"/>
      <c r="C2221" s="17" t="inlineStr">
        <is>
          <t>(주)엔지켐생명과학</t>
        </is>
      </c>
      <c r="D2221" s="17" t="inlineStr"/>
      <c r="E2221" s="17" t="inlineStr">
        <is>
          <t>종업원수</t>
        </is>
      </c>
      <c r="F2221" s="17" t="inlineStr">
        <is>
          <t>미확인</t>
        </is>
      </c>
      <c r="G2221" s="17" t="inlineStr">
        <is>
          <t>웹조사 자동화 실패(세션한도)</t>
        </is>
      </c>
      <c r="H2221" s="17" t="inlineStr">
        <is>
          <t>N</t>
        </is>
      </c>
      <c r="I2221" s="17" t="inlineStr">
        <is>
          <t>DART/채용</t>
        </is>
      </c>
      <c r="J2221" s="17" t="inlineStr">
        <is>
          <t>DART/채용에서 확인</t>
        </is>
      </c>
      <c r="K2221" s="17" t="inlineStr">
        <is>
          <t>낮음</t>
        </is>
      </c>
      <c r="L2221" s="17" t="inlineStr"/>
    </row>
    <row r="2222">
      <c r="A2222" s="17" t="inlineStr">
        <is>
          <t>C357</t>
        </is>
      </c>
      <c r="B2222" s="17" t="inlineStr"/>
      <c r="C2222" s="17" t="inlineStr">
        <is>
          <t>(주)엔지켐생명과학</t>
        </is>
      </c>
      <c r="D2222" s="17" t="inlineStr"/>
      <c r="E2222" s="17" t="inlineStr">
        <is>
          <t>수출여부</t>
        </is>
      </c>
      <c r="F2222" s="17" t="inlineStr">
        <is>
          <t>미확인</t>
        </is>
      </c>
      <c r="G2222" s="17" t="inlineStr">
        <is>
          <t>웹조사 자동화 실패(세션한도)</t>
        </is>
      </c>
      <c r="H2222" s="17" t="inlineStr">
        <is>
          <t>N</t>
        </is>
      </c>
      <c r="I2222" s="17" t="inlineStr">
        <is>
          <t>회사 공시·홈페이지</t>
        </is>
      </c>
      <c r="J2222" s="17" t="inlineStr">
        <is>
          <t>회사 공시·홈페이지에서 확인</t>
        </is>
      </c>
      <c r="K2222" s="17" t="inlineStr">
        <is>
          <t>낮음</t>
        </is>
      </c>
      <c r="L2222" s="17" t="inlineStr"/>
    </row>
    <row r="2223">
      <c r="A2223" s="17" t="inlineStr">
        <is>
          <t>C357</t>
        </is>
      </c>
      <c r="B2223" s="17" t="inlineStr"/>
      <c r="C2223" s="17" t="inlineStr">
        <is>
          <t>(주)엔지켐생명과학</t>
        </is>
      </c>
      <c r="D2223" s="17" t="inlineStr"/>
      <c r="E2223" s="17" t="inlineStr">
        <is>
          <t>FDA·EMA 실사</t>
        </is>
      </c>
      <c r="F2223" s="17" t="inlineStr">
        <is>
          <t>미확인</t>
        </is>
      </c>
      <c r="G2223" s="17" t="inlineStr">
        <is>
          <t>웹조사 자동화 실패(세션한도)</t>
        </is>
      </c>
      <c r="H2223" s="17" t="inlineStr">
        <is>
          <t>N</t>
        </is>
      </c>
      <c r="I2223" s="17" t="inlineStr">
        <is>
          <t>FDA Inspection DB</t>
        </is>
      </c>
      <c r="J2223" s="17" t="inlineStr">
        <is>
          <t>FDA Inspection DB에서 확인</t>
        </is>
      </c>
      <c r="K2223" s="17" t="inlineStr">
        <is>
          <t>낮음</t>
        </is>
      </c>
      <c r="L2223" s="17" t="inlineStr"/>
    </row>
    <row r="2224">
      <c r="A2224" s="17" t="inlineStr">
        <is>
          <t>C357</t>
        </is>
      </c>
      <c r="B2224" s="17" t="inlineStr"/>
      <c r="C2224" s="17" t="inlineStr">
        <is>
          <t>(주)엔지켐생명과학</t>
        </is>
      </c>
      <c r="D2224" s="17" t="inlineStr"/>
      <c r="E2224" s="17" t="inlineStr">
        <is>
          <t>CMO·CDMO</t>
        </is>
      </c>
      <c r="F2224" s="17" t="inlineStr">
        <is>
          <t>미확인</t>
        </is>
      </c>
      <c r="G2224" s="17" t="inlineStr">
        <is>
          <t>웹조사 자동화 실패(세션한도)</t>
        </is>
      </c>
      <c r="H2224" s="17" t="inlineStr">
        <is>
          <t>N</t>
        </is>
      </c>
      <c r="I2224" s="17" t="inlineStr">
        <is>
          <t>회사 홈페이지</t>
        </is>
      </c>
      <c r="J2224" s="17" t="inlineStr">
        <is>
          <t>회사 홈페이지에서 확인</t>
        </is>
      </c>
      <c r="K2224" s="17" t="inlineStr">
        <is>
          <t>낮음</t>
        </is>
      </c>
      <c r="L2224" s="17" t="inlineStr"/>
    </row>
    <row r="2225">
      <c r="A2225" s="17" t="inlineStr">
        <is>
          <t>C357</t>
        </is>
      </c>
      <c r="B2225" s="17" t="inlineStr"/>
      <c r="C2225" s="17" t="inlineStr">
        <is>
          <t>(주)엔지켐생명과학</t>
        </is>
      </c>
      <c r="D2225" s="17" t="inlineStr"/>
      <c r="E2225" s="17" t="inlineStr">
        <is>
          <t>신공장·증설</t>
        </is>
      </c>
      <c r="F2225" s="17" t="inlineStr">
        <is>
          <t>미확인</t>
        </is>
      </c>
      <c r="G2225" s="17" t="inlineStr">
        <is>
          <t>웹조사 자동화 실패(세션한도)</t>
        </is>
      </c>
      <c r="H2225" s="17" t="inlineStr">
        <is>
          <t>N</t>
        </is>
      </c>
      <c r="I2225" s="17" t="inlineStr">
        <is>
          <t>언론·지자체 발표</t>
        </is>
      </c>
      <c r="J2225" s="17" t="inlineStr">
        <is>
          <t>언론·지자체 발표에서 확인</t>
        </is>
      </c>
      <c r="K2225" s="17" t="inlineStr">
        <is>
          <t>낮음</t>
        </is>
      </c>
      <c r="L2225" s="17" t="inlineStr"/>
    </row>
    <row r="2226">
      <c r="A2226" s="17" t="inlineStr">
        <is>
          <t>C358</t>
        </is>
      </c>
      <c r="B2226" s="17" t="inlineStr"/>
      <c r="C2226" s="17" t="inlineStr">
        <is>
          <t>(주)씨티씨바이오</t>
        </is>
      </c>
      <c r="D2226" s="17" t="inlineStr"/>
      <c r="E2226" s="17" t="inlineStr">
        <is>
          <t>최근매출(억원)</t>
        </is>
      </c>
      <c r="F2226" s="17" t="inlineStr">
        <is>
          <t>미확인</t>
        </is>
      </c>
      <c r="G2226" s="17" t="inlineStr">
        <is>
          <t>웹조사 자동화 실패(세션한도)</t>
        </is>
      </c>
      <c r="H2226" s="17" t="inlineStr">
        <is>
          <t>N</t>
        </is>
      </c>
      <c r="I2226" s="17" t="inlineStr">
        <is>
          <t>DART 사업보고서</t>
        </is>
      </c>
      <c r="J2226" s="17" t="inlineStr">
        <is>
          <t>DART 사업보고서에서 확인</t>
        </is>
      </c>
      <c r="K2226" s="17" t="inlineStr">
        <is>
          <t>낮음</t>
        </is>
      </c>
      <c r="L2226" s="17" t="inlineStr"/>
    </row>
    <row r="2227">
      <c r="A2227" s="17" t="inlineStr">
        <is>
          <t>C358</t>
        </is>
      </c>
      <c r="B2227" s="17" t="inlineStr"/>
      <c r="C2227" s="17" t="inlineStr">
        <is>
          <t>(주)씨티씨바이오</t>
        </is>
      </c>
      <c r="D2227" s="17" t="inlineStr"/>
      <c r="E2227" s="17" t="inlineStr">
        <is>
          <t>종업원수</t>
        </is>
      </c>
      <c r="F2227" s="17" t="inlineStr">
        <is>
          <t>미확인</t>
        </is>
      </c>
      <c r="G2227" s="17" t="inlineStr">
        <is>
          <t>웹조사 자동화 실패(세션한도)</t>
        </is>
      </c>
      <c r="H2227" s="17" t="inlineStr">
        <is>
          <t>N</t>
        </is>
      </c>
      <c r="I2227" s="17" t="inlineStr">
        <is>
          <t>DART/채용</t>
        </is>
      </c>
      <c r="J2227" s="17" t="inlineStr">
        <is>
          <t>DART/채용에서 확인</t>
        </is>
      </c>
      <c r="K2227" s="17" t="inlineStr">
        <is>
          <t>낮음</t>
        </is>
      </c>
      <c r="L2227" s="17" t="inlineStr"/>
    </row>
    <row r="2228">
      <c r="A2228" s="17" t="inlineStr">
        <is>
          <t>C358</t>
        </is>
      </c>
      <c r="B2228" s="17" t="inlineStr"/>
      <c r="C2228" s="17" t="inlineStr">
        <is>
          <t>(주)씨티씨바이오</t>
        </is>
      </c>
      <c r="D2228" s="17" t="inlineStr"/>
      <c r="E2228" s="17" t="inlineStr">
        <is>
          <t>수출여부</t>
        </is>
      </c>
      <c r="F2228" s="17" t="inlineStr">
        <is>
          <t>미확인</t>
        </is>
      </c>
      <c r="G2228" s="17" t="inlineStr">
        <is>
          <t>웹조사 자동화 실패(세션한도)</t>
        </is>
      </c>
      <c r="H2228" s="17" t="inlineStr">
        <is>
          <t>N</t>
        </is>
      </c>
      <c r="I2228" s="17" t="inlineStr">
        <is>
          <t>회사 공시·홈페이지</t>
        </is>
      </c>
      <c r="J2228" s="17" t="inlineStr">
        <is>
          <t>회사 공시·홈페이지에서 확인</t>
        </is>
      </c>
      <c r="K2228" s="17" t="inlineStr">
        <is>
          <t>낮음</t>
        </is>
      </c>
      <c r="L2228" s="17" t="inlineStr"/>
    </row>
    <row r="2229">
      <c r="A2229" s="17" t="inlineStr">
        <is>
          <t>C358</t>
        </is>
      </c>
      <c r="B2229" s="17" t="inlineStr"/>
      <c r="C2229" s="17" t="inlineStr">
        <is>
          <t>(주)씨티씨바이오</t>
        </is>
      </c>
      <c r="D2229" s="17" t="inlineStr"/>
      <c r="E2229" s="17" t="inlineStr">
        <is>
          <t>FDA·EMA 실사</t>
        </is>
      </c>
      <c r="F2229" s="17" t="inlineStr">
        <is>
          <t>미확인</t>
        </is>
      </c>
      <c r="G2229" s="17" t="inlineStr">
        <is>
          <t>웹조사 자동화 실패(세션한도)</t>
        </is>
      </c>
      <c r="H2229" s="17" t="inlineStr">
        <is>
          <t>N</t>
        </is>
      </c>
      <c r="I2229" s="17" t="inlineStr">
        <is>
          <t>FDA Inspection DB</t>
        </is>
      </c>
      <c r="J2229" s="17" t="inlineStr">
        <is>
          <t>FDA Inspection DB에서 확인</t>
        </is>
      </c>
      <c r="K2229" s="17" t="inlineStr">
        <is>
          <t>낮음</t>
        </is>
      </c>
      <c r="L2229" s="17" t="inlineStr"/>
    </row>
    <row r="2230">
      <c r="A2230" s="17" t="inlineStr">
        <is>
          <t>C358</t>
        </is>
      </c>
      <c r="B2230" s="17" t="inlineStr"/>
      <c r="C2230" s="17" t="inlineStr">
        <is>
          <t>(주)씨티씨바이오</t>
        </is>
      </c>
      <c r="D2230" s="17" t="inlineStr"/>
      <c r="E2230" s="17" t="inlineStr">
        <is>
          <t>CMO·CDMO</t>
        </is>
      </c>
      <c r="F2230" s="17" t="inlineStr">
        <is>
          <t>미확인</t>
        </is>
      </c>
      <c r="G2230" s="17" t="inlineStr">
        <is>
          <t>웹조사 자동화 실패(세션한도)</t>
        </is>
      </c>
      <c r="H2230" s="17" t="inlineStr">
        <is>
          <t>N</t>
        </is>
      </c>
      <c r="I2230" s="17" t="inlineStr">
        <is>
          <t>회사 홈페이지</t>
        </is>
      </c>
      <c r="J2230" s="17" t="inlineStr">
        <is>
          <t>회사 홈페이지에서 확인</t>
        </is>
      </c>
      <c r="K2230" s="17" t="inlineStr">
        <is>
          <t>낮음</t>
        </is>
      </c>
      <c r="L2230" s="17" t="inlineStr"/>
    </row>
    <row r="2231">
      <c r="A2231" s="17" t="inlineStr">
        <is>
          <t>C358</t>
        </is>
      </c>
      <c r="B2231" s="17" t="inlineStr"/>
      <c r="C2231" s="17" t="inlineStr">
        <is>
          <t>(주)씨티씨바이오</t>
        </is>
      </c>
      <c r="D2231" s="17" t="inlineStr"/>
      <c r="E2231" s="17" t="inlineStr">
        <is>
          <t>신공장·증설</t>
        </is>
      </c>
      <c r="F2231" s="17" t="inlineStr">
        <is>
          <t>미확인</t>
        </is>
      </c>
      <c r="G2231" s="17" t="inlineStr">
        <is>
          <t>웹조사 자동화 실패(세션한도)</t>
        </is>
      </c>
      <c r="H2231" s="17" t="inlineStr">
        <is>
          <t>N</t>
        </is>
      </c>
      <c r="I2231" s="17" t="inlineStr">
        <is>
          <t>언론·지자체 발표</t>
        </is>
      </c>
      <c r="J2231" s="17" t="inlineStr">
        <is>
          <t>언론·지자체 발표에서 확인</t>
        </is>
      </c>
      <c r="K2231" s="17" t="inlineStr">
        <is>
          <t>낮음</t>
        </is>
      </c>
      <c r="L2231" s="17" t="inlineStr"/>
    </row>
    <row r="2232">
      <c r="A2232" s="17" t="inlineStr">
        <is>
          <t>C358</t>
        </is>
      </c>
      <c r="B2232" s="17" t="inlineStr"/>
      <c r="C2232" s="17" t="inlineStr">
        <is>
          <t>(주)씨티씨바이오</t>
        </is>
      </c>
      <c r="D2232" s="17" t="inlineStr"/>
      <c r="E2232" s="17" t="inlineStr">
        <is>
          <t>대표전화</t>
        </is>
      </c>
      <c r="F2232" s="17" t="inlineStr">
        <is>
          <t>미확인</t>
        </is>
      </c>
      <c r="G2232" s="17" t="inlineStr">
        <is>
          <t>제조소상세 미매칭</t>
        </is>
      </c>
      <c r="H2232" s="17" t="inlineStr">
        <is>
          <t>Y</t>
        </is>
      </c>
      <c r="I2232" s="17" t="inlineStr">
        <is>
          <t>회사 홈페이지</t>
        </is>
      </c>
      <c r="J2232" s="17" t="inlineStr">
        <is>
          <t>홈페이지에서 대표번호 확인</t>
        </is>
      </c>
      <c r="K2232" s="17" t="inlineStr">
        <is>
          <t>낮음</t>
        </is>
      </c>
      <c r="L2232" s="17" t="inlineStr"/>
    </row>
    <row r="2233">
      <c r="A2233" s="17" t="inlineStr">
        <is>
          <t>C359</t>
        </is>
      </c>
      <c r="B2233" s="17" t="inlineStr"/>
      <c r="C2233" s="17" t="inlineStr">
        <is>
          <t>유니온산업가스(주)</t>
        </is>
      </c>
      <c r="D2233" s="17" t="inlineStr"/>
      <c r="E2233" s="17" t="inlineStr">
        <is>
          <t>최근매출(억원)</t>
        </is>
      </c>
      <c r="F2233" s="17" t="inlineStr">
        <is>
          <t>미확인</t>
        </is>
      </c>
      <c r="G2233" s="17" t="inlineStr">
        <is>
          <t>웹조사 자동화 실패(세션한도)</t>
        </is>
      </c>
      <c r="H2233" s="17" t="inlineStr">
        <is>
          <t>N</t>
        </is>
      </c>
      <c r="I2233" s="17" t="inlineStr">
        <is>
          <t>DART 사업보고서</t>
        </is>
      </c>
      <c r="J2233" s="17" t="inlineStr">
        <is>
          <t>DART 사업보고서에서 확인</t>
        </is>
      </c>
      <c r="K2233" s="17" t="inlineStr">
        <is>
          <t>낮음</t>
        </is>
      </c>
      <c r="L2233" s="17" t="inlineStr"/>
    </row>
    <row r="2234">
      <c r="A2234" s="17" t="inlineStr">
        <is>
          <t>C359</t>
        </is>
      </c>
      <c r="B2234" s="17" t="inlineStr"/>
      <c r="C2234" s="17" t="inlineStr">
        <is>
          <t>유니온산업가스(주)</t>
        </is>
      </c>
      <c r="D2234" s="17" t="inlineStr"/>
      <c r="E2234" s="17" t="inlineStr">
        <is>
          <t>종업원수</t>
        </is>
      </c>
      <c r="F2234" s="17" t="inlineStr">
        <is>
          <t>미확인</t>
        </is>
      </c>
      <c r="G2234" s="17" t="inlineStr">
        <is>
          <t>웹조사 자동화 실패(세션한도)</t>
        </is>
      </c>
      <c r="H2234" s="17" t="inlineStr">
        <is>
          <t>N</t>
        </is>
      </c>
      <c r="I2234" s="17" t="inlineStr">
        <is>
          <t>DART/채용</t>
        </is>
      </c>
      <c r="J2234" s="17" t="inlineStr">
        <is>
          <t>DART/채용에서 확인</t>
        </is>
      </c>
      <c r="K2234" s="17" t="inlineStr">
        <is>
          <t>낮음</t>
        </is>
      </c>
      <c r="L2234" s="17" t="inlineStr"/>
    </row>
    <row r="2235">
      <c r="A2235" s="17" t="inlineStr">
        <is>
          <t>C359</t>
        </is>
      </c>
      <c r="B2235" s="17" t="inlineStr"/>
      <c r="C2235" s="17" t="inlineStr">
        <is>
          <t>유니온산업가스(주)</t>
        </is>
      </c>
      <c r="D2235" s="17" t="inlineStr"/>
      <c r="E2235" s="17" t="inlineStr">
        <is>
          <t>수출여부</t>
        </is>
      </c>
      <c r="F2235" s="17" t="inlineStr">
        <is>
          <t>미확인</t>
        </is>
      </c>
      <c r="G2235" s="17" t="inlineStr">
        <is>
          <t>웹조사 자동화 실패(세션한도)</t>
        </is>
      </c>
      <c r="H2235" s="17" t="inlineStr">
        <is>
          <t>N</t>
        </is>
      </c>
      <c r="I2235" s="17" t="inlineStr">
        <is>
          <t>회사 공시·홈페이지</t>
        </is>
      </c>
      <c r="J2235" s="17" t="inlineStr">
        <is>
          <t>회사 공시·홈페이지에서 확인</t>
        </is>
      </c>
      <c r="K2235" s="17" t="inlineStr">
        <is>
          <t>낮음</t>
        </is>
      </c>
      <c r="L2235" s="17" t="inlineStr"/>
    </row>
    <row r="2236">
      <c r="A2236" s="17" t="inlineStr">
        <is>
          <t>C359</t>
        </is>
      </c>
      <c r="B2236" s="17" t="inlineStr"/>
      <c r="C2236" s="17" t="inlineStr">
        <is>
          <t>유니온산업가스(주)</t>
        </is>
      </c>
      <c r="D2236" s="17" t="inlineStr"/>
      <c r="E2236" s="17" t="inlineStr">
        <is>
          <t>FDA·EMA 실사</t>
        </is>
      </c>
      <c r="F2236" s="17" t="inlineStr">
        <is>
          <t>미확인</t>
        </is>
      </c>
      <c r="G2236" s="17" t="inlineStr">
        <is>
          <t>웹조사 자동화 실패(세션한도)</t>
        </is>
      </c>
      <c r="H2236" s="17" t="inlineStr">
        <is>
          <t>N</t>
        </is>
      </c>
      <c r="I2236" s="17" t="inlineStr">
        <is>
          <t>FDA Inspection DB</t>
        </is>
      </c>
      <c r="J2236" s="17" t="inlineStr">
        <is>
          <t>FDA Inspection DB에서 확인</t>
        </is>
      </c>
      <c r="K2236" s="17" t="inlineStr">
        <is>
          <t>낮음</t>
        </is>
      </c>
      <c r="L2236" s="17" t="inlineStr"/>
    </row>
    <row r="2237">
      <c r="A2237" s="17" t="inlineStr">
        <is>
          <t>C359</t>
        </is>
      </c>
      <c r="B2237" s="17" t="inlineStr"/>
      <c r="C2237" s="17" t="inlineStr">
        <is>
          <t>유니온산업가스(주)</t>
        </is>
      </c>
      <c r="D2237" s="17" t="inlineStr"/>
      <c r="E2237" s="17" t="inlineStr">
        <is>
          <t>CMO·CDMO</t>
        </is>
      </c>
      <c r="F2237" s="17" t="inlineStr">
        <is>
          <t>미확인</t>
        </is>
      </c>
      <c r="G2237" s="17" t="inlineStr">
        <is>
          <t>웹조사 자동화 실패(세션한도)</t>
        </is>
      </c>
      <c r="H2237" s="17" t="inlineStr">
        <is>
          <t>N</t>
        </is>
      </c>
      <c r="I2237" s="17" t="inlineStr">
        <is>
          <t>회사 홈페이지</t>
        </is>
      </c>
      <c r="J2237" s="17" t="inlineStr">
        <is>
          <t>회사 홈페이지에서 확인</t>
        </is>
      </c>
      <c r="K2237" s="17" t="inlineStr">
        <is>
          <t>낮음</t>
        </is>
      </c>
      <c r="L2237" s="17" t="inlineStr"/>
    </row>
    <row r="2238">
      <c r="A2238" s="17" t="inlineStr">
        <is>
          <t>C359</t>
        </is>
      </c>
      <c r="B2238" s="17" t="inlineStr"/>
      <c r="C2238" s="17" t="inlineStr">
        <is>
          <t>유니온산업가스(주)</t>
        </is>
      </c>
      <c r="D2238" s="17" t="inlineStr"/>
      <c r="E2238" s="17" t="inlineStr">
        <is>
          <t>신공장·증설</t>
        </is>
      </c>
      <c r="F2238" s="17" t="inlineStr">
        <is>
          <t>미확인</t>
        </is>
      </c>
      <c r="G2238" s="17" t="inlineStr">
        <is>
          <t>웹조사 자동화 실패(세션한도)</t>
        </is>
      </c>
      <c r="H2238" s="17" t="inlineStr">
        <is>
          <t>N</t>
        </is>
      </c>
      <c r="I2238" s="17" t="inlineStr">
        <is>
          <t>언론·지자체 발표</t>
        </is>
      </c>
      <c r="J2238" s="17" t="inlineStr">
        <is>
          <t>언론·지자체 발표에서 확인</t>
        </is>
      </c>
      <c r="K2238" s="17" t="inlineStr">
        <is>
          <t>낮음</t>
        </is>
      </c>
      <c r="L2238" s="17" t="inlineStr"/>
    </row>
    <row r="2239">
      <c r="A2239" s="17" t="inlineStr">
        <is>
          <t>C359</t>
        </is>
      </c>
      <c r="B2239" s="17" t="inlineStr"/>
      <c r="C2239" s="17" t="inlineStr">
        <is>
          <t>유니온산업가스(주)</t>
        </is>
      </c>
      <c r="D2239" s="17" t="inlineStr"/>
      <c r="E2239" s="17" t="inlineStr">
        <is>
          <t>대표전화</t>
        </is>
      </c>
      <c r="F2239" s="17" t="inlineStr">
        <is>
          <t>미확인</t>
        </is>
      </c>
      <c r="G2239" s="17" t="inlineStr">
        <is>
          <t>제조소상세 미매칭</t>
        </is>
      </c>
      <c r="H2239" s="17" t="inlineStr">
        <is>
          <t>Y</t>
        </is>
      </c>
      <c r="I2239" s="17" t="inlineStr">
        <is>
          <t>회사 홈페이지</t>
        </is>
      </c>
      <c r="J2239" s="17" t="inlineStr">
        <is>
          <t>홈페이지에서 대표번호 확인</t>
        </is>
      </c>
      <c r="K2239" s="17" t="inlineStr">
        <is>
          <t>낮음</t>
        </is>
      </c>
      <c r="L2239" s="17" t="inlineStr"/>
    </row>
    <row r="2240">
      <c r="A2240" s="17" t="inlineStr">
        <is>
          <t>C360</t>
        </is>
      </c>
      <c r="B2240" s="17" t="inlineStr"/>
      <c r="C2240" s="17" t="inlineStr">
        <is>
          <t>알리코제약(주)</t>
        </is>
      </c>
      <c r="D2240" s="17" t="inlineStr"/>
      <c r="E2240" s="17" t="inlineStr">
        <is>
          <t>최근매출(억원)</t>
        </is>
      </c>
      <c r="F2240" s="17" t="inlineStr">
        <is>
          <t>미확인</t>
        </is>
      </c>
      <c r="G2240" s="17" t="inlineStr">
        <is>
          <t>웹조사 자동화 실패(세션한도)</t>
        </is>
      </c>
      <c r="H2240" s="17" t="inlineStr">
        <is>
          <t>N</t>
        </is>
      </c>
      <c r="I2240" s="17" t="inlineStr">
        <is>
          <t>DART 사업보고서</t>
        </is>
      </c>
      <c r="J2240" s="17" t="inlineStr">
        <is>
          <t>DART 사업보고서에서 확인</t>
        </is>
      </c>
      <c r="K2240" s="17" t="inlineStr">
        <is>
          <t>낮음</t>
        </is>
      </c>
      <c r="L2240" s="17" t="inlineStr"/>
    </row>
    <row r="2241">
      <c r="A2241" s="17" t="inlineStr">
        <is>
          <t>C360</t>
        </is>
      </c>
      <c r="B2241" s="17" t="inlineStr"/>
      <c r="C2241" s="17" t="inlineStr">
        <is>
          <t>알리코제약(주)</t>
        </is>
      </c>
      <c r="D2241" s="17" t="inlineStr"/>
      <c r="E2241" s="17" t="inlineStr">
        <is>
          <t>종업원수</t>
        </is>
      </c>
      <c r="F2241" s="17" t="inlineStr">
        <is>
          <t>미확인</t>
        </is>
      </c>
      <c r="G2241" s="17" t="inlineStr">
        <is>
          <t>웹조사 자동화 실패(세션한도)</t>
        </is>
      </c>
      <c r="H2241" s="17" t="inlineStr">
        <is>
          <t>N</t>
        </is>
      </c>
      <c r="I2241" s="17" t="inlineStr">
        <is>
          <t>DART/채용</t>
        </is>
      </c>
      <c r="J2241" s="17" t="inlineStr">
        <is>
          <t>DART/채용에서 확인</t>
        </is>
      </c>
      <c r="K2241" s="17" t="inlineStr">
        <is>
          <t>낮음</t>
        </is>
      </c>
      <c r="L2241" s="17" t="inlineStr"/>
    </row>
    <row r="2242">
      <c r="A2242" s="17" t="inlineStr">
        <is>
          <t>C360</t>
        </is>
      </c>
      <c r="B2242" s="17" t="inlineStr"/>
      <c r="C2242" s="17" t="inlineStr">
        <is>
          <t>알리코제약(주)</t>
        </is>
      </c>
      <c r="D2242" s="17" t="inlineStr"/>
      <c r="E2242" s="17" t="inlineStr">
        <is>
          <t>수출여부</t>
        </is>
      </c>
      <c r="F2242" s="17" t="inlineStr">
        <is>
          <t>미확인</t>
        </is>
      </c>
      <c r="G2242" s="17" t="inlineStr">
        <is>
          <t>웹조사 자동화 실패(세션한도)</t>
        </is>
      </c>
      <c r="H2242" s="17" t="inlineStr">
        <is>
          <t>N</t>
        </is>
      </c>
      <c r="I2242" s="17" t="inlineStr">
        <is>
          <t>회사 공시·홈페이지</t>
        </is>
      </c>
      <c r="J2242" s="17" t="inlineStr">
        <is>
          <t>회사 공시·홈페이지에서 확인</t>
        </is>
      </c>
      <c r="K2242" s="17" t="inlineStr">
        <is>
          <t>낮음</t>
        </is>
      </c>
      <c r="L2242" s="17" t="inlineStr"/>
    </row>
    <row r="2243">
      <c r="A2243" s="17" t="inlineStr">
        <is>
          <t>C360</t>
        </is>
      </c>
      <c r="B2243" s="17" t="inlineStr"/>
      <c r="C2243" s="17" t="inlineStr">
        <is>
          <t>알리코제약(주)</t>
        </is>
      </c>
      <c r="D2243" s="17" t="inlineStr"/>
      <c r="E2243" s="17" t="inlineStr">
        <is>
          <t>FDA·EMA 실사</t>
        </is>
      </c>
      <c r="F2243" s="17" t="inlineStr">
        <is>
          <t>미확인</t>
        </is>
      </c>
      <c r="G2243" s="17" t="inlineStr">
        <is>
          <t>웹조사 자동화 실패(세션한도)</t>
        </is>
      </c>
      <c r="H2243" s="17" t="inlineStr">
        <is>
          <t>N</t>
        </is>
      </c>
      <c r="I2243" s="17" t="inlineStr">
        <is>
          <t>FDA Inspection DB</t>
        </is>
      </c>
      <c r="J2243" s="17" t="inlineStr">
        <is>
          <t>FDA Inspection DB에서 확인</t>
        </is>
      </c>
      <c r="K2243" s="17" t="inlineStr">
        <is>
          <t>낮음</t>
        </is>
      </c>
      <c r="L2243" s="17" t="inlineStr"/>
    </row>
    <row r="2244">
      <c r="A2244" s="17" t="inlineStr">
        <is>
          <t>C360</t>
        </is>
      </c>
      <c r="B2244" s="17" t="inlineStr"/>
      <c r="C2244" s="17" t="inlineStr">
        <is>
          <t>알리코제약(주)</t>
        </is>
      </c>
      <c r="D2244" s="17" t="inlineStr"/>
      <c r="E2244" s="17" t="inlineStr">
        <is>
          <t>CMO·CDMO</t>
        </is>
      </c>
      <c r="F2244" s="17" t="inlineStr">
        <is>
          <t>미확인</t>
        </is>
      </c>
      <c r="G2244" s="17" t="inlineStr">
        <is>
          <t>웹조사 자동화 실패(세션한도)</t>
        </is>
      </c>
      <c r="H2244" s="17" t="inlineStr">
        <is>
          <t>N</t>
        </is>
      </c>
      <c r="I2244" s="17" t="inlineStr">
        <is>
          <t>회사 홈페이지</t>
        </is>
      </c>
      <c r="J2244" s="17" t="inlineStr">
        <is>
          <t>회사 홈페이지에서 확인</t>
        </is>
      </c>
      <c r="K2244" s="17" t="inlineStr">
        <is>
          <t>낮음</t>
        </is>
      </c>
      <c r="L2244" s="17" t="inlineStr"/>
    </row>
    <row r="2245">
      <c r="A2245" s="17" t="inlineStr">
        <is>
          <t>C360</t>
        </is>
      </c>
      <c r="B2245" s="17" t="inlineStr"/>
      <c r="C2245" s="17" t="inlineStr">
        <is>
          <t>알리코제약(주)</t>
        </is>
      </c>
      <c r="D2245" s="17" t="inlineStr"/>
      <c r="E2245" s="17" t="inlineStr">
        <is>
          <t>신공장·증설</t>
        </is>
      </c>
      <c r="F2245" s="17" t="inlineStr">
        <is>
          <t>미확인</t>
        </is>
      </c>
      <c r="G2245" s="17" t="inlineStr">
        <is>
          <t>웹조사 자동화 실패(세션한도)</t>
        </is>
      </c>
      <c r="H2245" s="17" t="inlineStr">
        <is>
          <t>N</t>
        </is>
      </c>
      <c r="I2245" s="17" t="inlineStr">
        <is>
          <t>언론·지자체 발표</t>
        </is>
      </c>
      <c r="J2245" s="17" t="inlineStr">
        <is>
          <t>언론·지자체 발표에서 확인</t>
        </is>
      </c>
      <c r="K2245" s="17" t="inlineStr">
        <is>
          <t>낮음</t>
        </is>
      </c>
      <c r="L2245" s="17" t="inlineStr"/>
    </row>
    <row r="2246">
      <c r="A2246" s="17" t="inlineStr">
        <is>
          <t>C361</t>
        </is>
      </c>
      <c r="B2246" s="17" t="inlineStr"/>
      <c r="C2246" s="17" t="inlineStr">
        <is>
          <t>성원애드콕제약(주)</t>
        </is>
      </c>
      <c r="D2246" s="17" t="inlineStr"/>
      <c r="E2246" s="17" t="inlineStr">
        <is>
          <t>최근매출(억원)</t>
        </is>
      </c>
      <c r="F2246" s="17" t="inlineStr">
        <is>
          <t>미확인</t>
        </is>
      </c>
      <c r="G2246" s="17" t="inlineStr">
        <is>
          <t>웹조사 자동화 실패(세션한도)</t>
        </is>
      </c>
      <c r="H2246" s="17" t="inlineStr">
        <is>
          <t>N</t>
        </is>
      </c>
      <c r="I2246" s="17" t="inlineStr">
        <is>
          <t>DART 사업보고서</t>
        </is>
      </c>
      <c r="J2246" s="17" t="inlineStr">
        <is>
          <t>DART 사업보고서에서 확인</t>
        </is>
      </c>
      <c r="K2246" s="17" t="inlineStr">
        <is>
          <t>낮음</t>
        </is>
      </c>
      <c r="L2246" s="17" t="inlineStr"/>
    </row>
    <row r="2247">
      <c r="A2247" s="17" t="inlineStr">
        <is>
          <t>C361</t>
        </is>
      </c>
      <c r="B2247" s="17" t="inlineStr"/>
      <c r="C2247" s="17" t="inlineStr">
        <is>
          <t>성원애드콕제약(주)</t>
        </is>
      </c>
      <c r="D2247" s="17" t="inlineStr"/>
      <c r="E2247" s="17" t="inlineStr">
        <is>
          <t>종업원수</t>
        </is>
      </c>
      <c r="F2247" s="17" t="inlineStr">
        <is>
          <t>미확인</t>
        </is>
      </c>
      <c r="G2247" s="17" t="inlineStr">
        <is>
          <t>웹조사 자동화 실패(세션한도)</t>
        </is>
      </c>
      <c r="H2247" s="17" t="inlineStr">
        <is>
          <t>N</t>
        </is>
      </c>
      <c r="I2247" s="17" t="inlineStr">
        <is>
          <t>DART/채용</t>
        </is>
      </c>
      <c r="J2247" s="17" t="inlineStr">
        <is>
          <t>DART/채용에서 확인</t>
        </is>
      </c>
      <c r="K2247" s="17" t="inlineStr">
        <is>
          <t>낮음</t>
        </is>
      </c>
      <c r="L2247" s="17" t="inlineStr"/>
    </row>
    <row r="2248">
      <c r="A2248" s="17" t="inlineStr">
        <is>
          <t>C361</t>
        </is>
      </c>
      <c r="B2248" s="17" t="inlineStr"/>
      <c r="C2248" s="17" t="inlineStr">
        <is>
          <t>성원애드콕제약(주)</t>
        </is>
      </c>
      <c r="D2248" s="17" t="inlineStr"/>
      <c r="E2248" s="17" t="inlineStr">
        <is>
          <t>수출여부</t>
        </is>
      </c>
      <c r="F2248" s="17" t="inlineStr">
        <is>
          <t>미확인</t>
        </is>
      </c>
      <c r="G2248" s="17" t="inlineStr">
        <is>
          <t>웹조사 자동화 실패(세션한도)</t>
        </is>
      </c>
      <c r="H2248" s="17" t="inlineStr">
        <is>
          <t>N</t>
        </is>
      </c>
      <c r="I2248" s="17" t="inlineStr">
        <is>
          <t>회사 공시·홈페이지</t>
        </is>
      </c>
      <c r="J2248" s="17" t="inlineStr">
        <is>
          <t>회사 공시·홈페이지에서 확인</t>
        </is>
      </c>
      <c r="K2248" s="17" t="inlineStr">
        <is>
          <t>낮음</t>
        </is>
      </c>
      <c r="L2248" s="17" t="inlineStr"/>
    </row>
    <row r="2249">
      <c r="A2249" s="17" t="inlineStr">
        <is>
          <t>C361</t>
        </is>
      </c>
      <c r="B2249" s="17" t="inlineStr"/>
      <c r="C2249" s="17" t="inlineStr">
        <is>
          <t>성원애드콕제약(주)</t>
        </is>
      </c>
      <c r="D2249" s="17" t="inlineStr"/>
      <c r="E2249" s="17" t="inlineStr">
        <is>
          <t>FDA·EMA 실사</t>
        </is>
      </c>
      <c r="F2249" s="17" t="inlineStr">
        <is>
          <t>미확인</t>
        </is>
      </c>
      <c r="G2249" s="17" t="inlineStr">
        <is>
          <t>웹조사 자동화 실패(세션한도)</t>
        </is>
      </c>
      <c r="H2249" s="17" t="inlineStr">
        <is>
          <t>N</t>
        </is>
      </c>
      <c r="I2249" s="17" t="inlineStr">
        <is>
          <t>FDA Inspection DB</t>
        </is>
      </c>
      <c r="J2249" s="17" t="inlineStr">
        <is>
          <t>FDA Inspection DB에서 확인</t>
        </is>
      </c>
      <c r="K2249" s="17" t="inlineStr">
        <is>
          <t>낮음</t>
        </is>
      </c>
      <c r="L2249" s="17" t="inlineStr"/>
    </row>
    <row r="2250">
      <c r="A2250" s="17" t="inlineStr">
        <is>
          <t>C361</t>
        </is>
      </c>
      <c r="B2250" s="17" t="inlineStr"/>
      <c r="C2250" s="17" t="inlineStr">
        <is>
          <t>성원애드콕제약(주)</t>
        </is>
      </c>
      <c r="D2250" s="17" t="inlineStr"/>
      <c r="E2250" s="17" t="inlineStr">
        <is>
          <t>CMO·CDMO</t>
        </is>
      </c>
      <c r="F2250" s="17" t="inlineStr">
        <is>
          <t>미확인</t>
        </is>
      </c>
      <c r="G2250" s="17" t="inlineStr">
        <is>
          <t>웹조사 자동화 실패(세션한도)</t>
        </is>
      </c>
      <c r="H2250" s="17" t="inlineStr">
        <is>
          <t>N</t>
        </is>
      </c>
      <c r="I2250" s="17" t="inlineStr">
        <is>
          <t>회사 홈페이지</t>
        </is>
      </c>
      <c r="J2250" s="17" t="inlineStr">
        <is>
          <t>회사 홈페이지에서 확인</t>
        </is>
      </c>
      <c r="K2250" s="17" t="inlineStr">
        <is>
          <t>낮음</t>
        </is>
      </c>
      <c r="L2250" s="17" t="inlineStr"/>
    </row>
    <row r="2251">
      <c r="A2251" s="17" t="inlineStr">
        <is>
          <t>C361</t>
        </is>
      </c>
      <c r="B2251" s="17" t="inlineStr"/>
      <c r="C2251" s="17" t="inlineStr">
        <is>
          <t>성원애드콕제약(주)</t>
        </is>
      </c>
      <c r="D2251" s="17" t="inlineStr"/>
      <c r="E2251" s="17" t="inlineStr">
        <is>
          <t>신공장·증설</t>
        </is>
      </c>
      <c r="F2251" s="17" t="inlineStr">
        <is>
          <t>미확인</t>
        </is>
      </c>
      <c r="G2251" s="17" t="inlineStr">
        <is>
          <t>웹조사 자동화 실패(세션한도)</t>
        </is>
      </c>
      <c r="H2251" s="17" t="inlineStr">
        <is>
          <t>N</t>
        </is>
      </c>
      <c r="I2251" s="17" t="inlineStr">
        <is>
          <t>언론·지자체 발표</t>
        </is>
      </c>
      <c r="J2251" s="17" t="inlineStr">
        <is>
          <t>언론·지자체 발표에서 확인</t>
        </is>
      </c>
      <c r="K2251" s="17" t="inlineStr">
        <is>
          <t>낮음</t>
        </is>
      </c>
      <c r="L2251" s="17" t="inlineStr"/>
    </row>
    <row r="2252">
      <c r="A2252" s="17" t="inlineStr">
        <is>
          <t>C362</t>
        </is>
      </c>
      <c r="B2252" s="17" t="inlineStr"/>
      <c r="C2252" s="17" t="inlineStr">
        <is>
          <t>(재)전남바이오진흥원 그린바이오본부 천연센터</t>
        </is>
      </c>
      <c r="D2252" s="17" t="inlineStr"/>
      <c r="E2252" s="17" t="inlineStr">
        <is>
          <t>최근매출(억원)</t>
        </is>
      </c>
      <c r="F2252" s="17" t="inlineStr">
        <is>
          <t>미확인</t>
        </is>
      </c>
      <c r="G2252" s="17" t="inlineStr">
        <is>
          <t>웹조사 자동화 실패(세션한도)</t>
        </is>
      </c>
      <c r="H2252" s="17" t="inlineStr">
        <is>
          <t>N</t>
        </is>
      </c>
      <c r="I2252" s="17" t="inlineStr">
        <is>
          <t>DART 사업보고서</t>
        </is>
      </c>
      <c r="J2252" s="17" t="inlineStr">
        <is>
          <t>DART 사업보고서에서 확인</t>
        </is>
      </c>
      <c r="K2252" s="17" t="inlineStr">
        <is>
          <t>낮음</t>
        </is>
      </c>
      <c r="L2252" s="17" t="inlineStr"/>
    </row>
    <row r="2253">
      <c r="A2253" s="17" t="inlineStr">
        <is>
          <t>C362</t>
        </is>
      </c>
      <c r="B2253" s="17" t="inlineStr"/>
      <c r="C2253" s="17" t="inlineStr">
        <is>
          <t>(재)전남바이오진흥원 그린바이오본부 천연센터</t>
        </is>
      </c>
      <c r="D2253" s="17" t="inlineStr"/>
      <c r="E2253" s="17" t="inlineStr">
        <is>
          <t>종업원수</t>
        </is>
      </c>
      <c r="F2253" s="17" t="inlineStr">
        <is>
          <t>미확인</t>
        </is>
      </c>
      <c r="G2253" s="17" t="inlineStr">
        <is>
          <t>웹조사 자동화 실패(세션한도)</t>
        </is>
      </c>
      <c r="H2253" s="17" t="inlineStr">
        <is>
          <t>N</t>
        </is>
      </c>
      <c r="I2253" s="17" t="inlineStr">
        <is>
          <t>DART/채용</t>
        </is>
      </c>
      <c r="J2253" s="17" t="inlineStr">
        <is>
          <t>DART/채용에서 확인</t>
        </is>
      </c>
      <c r="K2253" s="17" t="inlineStr">
        <is>
          <t>낮음</t>
        </is>
      </c>
      <c r="L2253" s="17" t="inlineStr"/>
    </row>
    <row r="2254">
      <c r="A2254" s="17" t="inlineStr">
        <is>
          <t>C362</t>
        </is>
      </c>
      <c r="B2254" s="17" t="inlineStr"/>
      <c r="C2254" s="17" t="inlineStr">
        <is>
          <t>(재)전남바이오진흥원 그린바이오본부 천연센터</t>
        </is>
      </c>
      <c r="D2254" s="17" t="inlineStr"/>
      <c r="E2254" s="17" t="inlineStr">
        <is>
          <t>수출여부</t>
        </is>
      </c>
      <c r="F2254" s="17" t="inlineStr">
        <is>
          <t>미확인</t>
        </is>
      </c>
      <c r="G2254" s="17" t="inlineStr">
        <is>
          <t>웹조사 자동화 실패(세션한도)</t>
        </is>
      </c>
      <c r="H2254" s="17" t="inlineStr">
        <is>
          <t>N</t>
        </is>
      </c>
      <c r="I2254" s="17" t="inlineStr">
        <is>
          <t>회사 공시·홈페이지</t>
        </is>
      </c>
      <c r="J2254" s="17" t="inlineStr">
        <is>
          <t>회사 공시·홈페이지에서 확인</t>
        </is>
      </c>
      <c r="K2254" s="17" t="inlineStr">
        <is>
          <t>낮음</t>
        </is>
      </c>
      <c r="L2254" s="17" t="inlineStr"/>
    </row>
    <row r="2255">
      <c r="A2255" s="17" t="inlineStr">
        <is>
          <t>C362</t>
        </is>
      </c>
      <c r="B2255" s="17" t="inlineStr"/>
      <c r="C2255" s="17" t="inlineStr">
        <is>
          <t>(재)전남바이오진흥원 그린바이오본부 천연센터</t>
        </is>
      </c>
      <c r="D2255" s="17" t="inlineStr"/>
      <c r="E2255" s="17" t="inlineStr">
        <is>
          <t>FDA·EMA 실사</t>
        </is>
      </c>
      <c r="F2255" s="17" t="inlineStr">
        <is>
          <t>미확인</t>
        </is>
      </c>
      <c r="G2255" s="17" t="inlineStr">
        <is>
          <t>웹조사 자동화 실패(세션한도)</t>
        </is>
      </c>
      <c r="H2255" s="17" t="inlineStr">
        <is>
          <t>N</t>
        </is>
      </c>
      <c r="I2255" s="17" t="inlineStr">
        <is>
          <t>FDA Inspection DB</t>
        </is>
      </c>
      <c r="J2255" s="17" t="inlineStr">
        <is>
          <t>FDA Inspection DB에서 확인</t>
        </is>
      </c>
      <c r="K2255" s="17" t="inlineStr">
        <is>
          <t>낮음</t>
        </is>
      </c>
      <c r="L2255" s="17" t="inlineStr"/>
    </row>
    <row r="2256">
      <c r="A2256" s="17" t="inlineStr">
        <is>
          <t>C362</t>
        </is>
      </c>
      <c r="B2256" s="17" t="inlineStr"/>
      <c r="C2256" s="17" t="inlineStr">
        <is>
          <t>(재)전남바이오진흥원 그린바이오본부 천연센터</t>
        </is>
      </c>
      <c r="D2256" s="17" t="inlineStr"/>
      <c r="E2256" s="17" t="inlineStr">
        <is>
          <t>CMO·CDMO</t>
        </is>
      </c>
      <c r="F2256" s="17" t="inlineStr">
        <is>
          <t>미확인</t>
        </is>
      </c>
      <c r="G2256" s="17" t="inlineStr">
        <is>
          <t>웹조사 자동화 실패(세션한도)</t>
        </is>
      </c>
      <c r="H2256" s="17" t="inlineStr">
        <is>
          <t>N</t>
        </is>
      </c>
      <c r="I2256" s="17" t="inlineStr">
        <is>
          <t>회사 홈페이지</t>
        </is>
      </c>
      <c r="J2256" s="17" t="inlineStr">
        <is>
          <t>회사 홈페이지에서 확인</t>
        </is>
      </c>
      <c r="K2256" s="17" t="inlineStr">
        <is>
          <t>낮음</t>
        </is>
      </c>
      <c r="L2256" s="17" t="inlineStr"/>
    </row>
    <row r="2257">
      <c r="A2257" s="17" t="inlineStr">
        <is>
          <t>C362</t>
        </is>
      </c>
      <c r="B2257" s="17" t="inlineStr"/>
      <c r="C2257" s="17" t="inlineStr">
        <is>
          <t>(재)전남바이오진흥원 그린바이오본부 천연센터</t>
        </is>
      </c>
      <c r="D2257" s="17" t="inlineStr"/>
      <c r="E2257" s="17" t="inlineStr">
        <is>
          <t>신공장·증설</t>
        </is>
      </c>
      <c r="F2257" s="17" t="inlineStr">
        <is>
          <t>미확인</t>
        </is>
      </c>
      <c r="G2257" s="17" t="inlineStr">
        <is>
          <t>웹조사 자동화 실패(세션한도)</t>
        </is>
      </c>
      <c r="H2257" s="17" t="inlineStr">
        <is>
          <t>N</t>
        </is>
      </c>
      <c r="I2257" s="17" t="inlineStr">
        <is>
          <t>언론·지자체 발표</t>
        </is>
      </c>
      <c r="J2257" s="17" t="inlineStr">
        <is>
          <t>언론·지자체 발표에서 확인</t>
        </is>
      </c>
      <c r="K2257" s="17" t="inlineStr">
        <is>
          <t>낮음</t>
        </is>
      </c>
      <c r="L2257" s="17" t="inlineStr"/>
    </row>
    <row r="2258">
      <c r="A2258" s="17" t="inlineStr">
        <is>
          <t>C363</t>
        </is>
      </c>
      <c r="B2258" s="17" t="inlineStr"/>
      <c r="C2258" s="17" t="inlineStr">
        <is>
          <t>삼정바이오솔루션(주)</t>
        </is>
      </c>
      <c r="D2258" s="17" t="inlineStr"/>
      <c r="E2258" s="17" t="inlineStr">
        <is>
          <t>최근매출(억원)</t>
        </is>
      </c>
      <c r="F2258" s="17" t="inlineStr">
        <is>
          <t>미확인</t>
        </is>
      </c>
      <c r="G2258" s="17" t="inlineStr">
        <is>
          <t>웹조사 자동화 실패(세션한도)</t>
        </is>
      </c>
      <c r="H2258" s="17" t="inlineStr">
        <is>
          <t>N</t>
        </is>
      </c>
      <c r="I2258" s="17" t="inlineStr">
        <is>
          <t>DART 사업보고서</t>
        </is>
      </c>
      <c r="J2258" s="17" t="inlineStr">
        <is>
          <t>DART 사업보고서에서 확인</t>
        </is>
      </c>
      <c r="K2258" s="17" t="inlineStr">
        <is>
          <t>낮음</t>
        </is>
      </c>
      <c r="L2258" s="17" t="inlineStr"/>
    </row>
    <row r="2259">
      <c r="A2259" s="17" t="inlineStr">
        <is>
          <t>C363</t>
        </is>
      </c>
      <c r="B2259" s="17" t="inlineStr"/>
      <c r="C2259" s="17" t="inlineStr">
        <is>
          <t>삼정바이오솔루션(주)</t>
        </is>
      </c>
      <c r="D2259" s="17" t="inlineStr"/>
      <c r="E2259" s="17" t="inlineStr">
        <is>
          <t>종업원수</t>
        </is>
      </c>
      <c r="F2259" s="17" t="inlineStr">
        <is>
          <t>미확인</t>
        </is>
      </c>
      <c r="G2259" s="17" t="inlineStr">
        <is>
          <t>웹조사 자동화 실패(세션한도)</t>
        </is>
      </c>
      <c r="H2259" s="17" t="inlineStr">
        <is>
          <t>N</t>
        </is>
      </c>
      <c r="I2259" s="17" t="inlineStr">
        <is>
          <t>DART/채용</t>
        </is>
      </c>
      <c r="J2259" s="17" t="inlineStr">
        <is>
          <t>DART/채용에서 확인</t>
        </is>
      </c>
      <c r="K2259" s="17" t="inlineStr">
        <is>
          <t>낮음</t>
        </is>
      </c>
      <c r="L2259" s="17" t="inlineStr"/>
    </row>
    <row r="2260">
      <c r="A2260" s="17" t="inlineStr">
        <is>
          <t>C363</t>
        </is>
      </c>
      <c r="B2260" s="17" t="inlineStr"/>
      <c r="C2260" s="17" t="inlineStr">
        <is>
          <t>삼정바이오솔루션(주)</t>
        </is>
      </c>
      <c r="D2260" s="17" t="inlineStr"/>
      <c r="E2260" s="17" t="inlineStr">
        <is>
          <t>수출여부</t>
        </is>
      </c>
      <c r="F2260" s="17" t="inlineStr">
        <is>
          <t>미확인</t>
        </is>
      </c>
      <c r="G2260" s="17" t="inlineStr">
        <is>
          <t>웹조사 자동화 실패(세션한도)</t>
        </is>
      </c>
      <c r="H2260" s="17" t="inlineStr">
        <is>
          <t>N</t>
        </is>
      </c>
      <c r="I2260" s="17" t="inlineStr">
        <is>
          <t>회사 공시·홈페이지</t>
        </is>
      </c>
      <c r="J2260" s="17" t="inlineStr">
        <is>
          <t>회사 공시·홈페이지에서 확인</t>
        </is>
      </c>
      <c r="K2260" s="17" t="inlineStr">
        <is>
          <t>낮음</t>
        </is>
      </c>
      <c r="L2260" s="17" t="inlineStr"/>
    </row>
    <row r="2261">
      <c r="A2261" s="17" t="inlineStr">
        <is>
          <t>C363</t>
        </is>
      </c>
      <c r="B2261" s="17" t="inlineStr"/>
      <c r="C2261" s="17" t="inlineStr">
        <is>
          <t>삼정바이오솔루션(주)</t>
        </is>
      </c>
      <c r="D2261" s="17" t="inlineStr"/>
      <c r="E2261" s="17" t="inlineStr">
        <is>
          <t>FDA·EMA 실사</t>
        </is>
      </c>
      <c r="F2261" s="17" t="inlineStr">
        <is>
          <t>미확인</t>
        </is>
      </c>
      <c r="G2261" s="17" t="inlineStr">
        <is>
          <t>웹조사 자동화 실패(세션한도)</t>
        </is>
      </c>
      <c r="H2261" s="17" t="inlineStr">
        <is>
          <t>N</t>
        </is>
      </c>
      <c r="I2261" s="17" t="inlineStr">
        <is>
          <t>FDA Inspection DB</t>
        </is>
      </c>
      <c r="J2261" s="17" t="inlineStr">
        <is>
          <t>FDA Inspection DB에서 확인</t>
        </is>
      </c>
      <c r="K2261" s="17" t="inlineStr">
        <is>
          <t>낮음</t>
        </is>
      </c>
      <c r="L2261" s="17" t="inlineStr"/>
    </row>
    <row r="2262">
      <c r="A2262" s="17" t="inlineStr">
        <is>
          <t>C363</t>
        </is>
      </c>
      <c r="B2262" s="17" t="inlineStr"/>
      <c r="C2262" s="17" t="inlineStr">
        <is>
          <t>삼정바이오솔루션(주)</t>
        </is>
      </c>
      <c r="D2262" s="17" t="inlineStr"/>
      <c r="E2262" s="17" t="inlineStr">
        <is>
          <t>CMO·CDMO</t>
        </is>
      </c>
      <c r="F2262" s="17" t="inlineStr">
        <is>
          <t>미확인</t>
        </is>
      </c>
      <c r="G2262" s="17" t="inlineStr">
        <is>
          <t>웹조사 자동화 실패(세션한도)</t>
        </is>
      </c>
      <c r="H2262" s="17" t="inlineStr">
        <is>
          <t>N</t>
        </is>
      </c>
      <c r="I2262" s="17" t="inlineStr">
        <is>
          <t>회사 홈페이지</t>
        </is>
      </c>
      <c r="J2262" s="17" t="inlineStr">
        <is>
          <t>회사 홈페이지에서 확인</t>
        </is>
      </c>
      <c r="K2262" s="17" t="inlineStr">
        <is>
          <t>낮음</t>
        </is>
      </c>
      <c r="L2262" s="17" t="inlineStr"/>
    </row>
    <row r="2263">
      <c r="A2263" s="17" t="inlineStr">
        <is>
          <t>C363</t>
        </is>
      </c>
      <c r="B2263" s="17" t="inlineStr"/>
      <c r="C2263" s="17" t="inlineStr">
        <is>
          <t>삼정바이오솔루션(주)</t>
        </is>
      </c>
      <c r="D2263" s="17" t="inlineStr"/>
      <c r="E2263" s="17" t="inlineStr">
        <is>
          <t>신공장·증설</t>
        </is>
      </c>
      <c r="F2263" s="17" t="inlineStr">
        <is>
          <t>미확인</t>
        </is>
      </c>
      <c r="G2263" s="17" t="inlineStr">
        <is>
          <t>웹조사 자동화 실패(세션한도)</t>
        </is>
      </c>
      <c r="H2263" s="17" t="inlineStr">
        <is>
          <t>N</t>
        </is>
      </c>
      <c r="I2263" s="17" t="inlineStr">
        <is>
          <t>언론·지자체 발표</t>
        </is>
      </c>
      <c r="J2263" s="17" t="inlineStr">
        <is>
          <t>언론·지자체 발표에서 확인</t>
        </is>
      </c>
      <c r="K2263" s="17" t="inlineStr">
        <is>
          <t>낮음</t>
        </is>
      </c>
      <c r="L2263" s="17" t="inlineStr"/>
    </row>
    <row r="2264">
      <c r="A2264" s="17" t="inlineStr">
        <is>
          <t>C364</t>
        </is>
      </c>
      <c r="B2264" s="17" t="inlineStr"/>
      <c r="C2264" s="17" t="inlineStr">
        <is>
          <t>(주)한국백신</t>
        </is>
      </c>
      <c r="D2264" s="17" t="inlineStr"/>
      <c r="E2264" s="17" t="inlineStr">
        <is>
          <t>최근매출(억원)</t>
        </is>
      </c>
      <c r="F2264" s="17" t="inlineStr">
        <is>
          <t>미확인</t>
        </is>
      </c>
      <c r="G2264" s="17" t="inlineStr">
        <is>
          <t>웹조사 자동화 실패(세션한도)</t>
        </is>
      </c>
      <c r="H2264" s="17" t="inlineStr">
        <is>
          <t>N</t>
        </is>
      </c>
      <c r="I2264" s="17" t="inlineStr">
        <is>
          <t>DART 사업보고서</t>
        </is>
      </c>
      <c r="J2264" s="17" t="inlineStr">
        <is>
          <t>DART 사업보고서에서 확인</t>
        </is>
      </c>
      <c r="K2264" s="17" t="inlineStr">
        <is>
          <t>낮음</t>
        </is>
      </c>
      <c r="L2264" s="17" t="inlineStr"/>
    </row>
    <row r="2265">
      <c r="A2265" s="17" t="inlineStr">
        <is>
          <t>C364</t>
        </is>
      </c>
      <c r="B2265" s="17" t="inlineStr"/>
      <c r="C2265" s="17" t="inlineStr">
        <is>
          <t>(주)한국백신</t>
        </is>
      </c>
      <c r="D2265" s="17" t="inlineStr"/>
      <c r="E2265" s="17" t="inlineStr">
        <is>
          <t>종업원수</t>
        </is>
      </c>
      <c r="F2265" s="17" t="inlineStr">
        <is>
          <t>미확인</t>
        </is>
      </c>
      <c r="G2265" s="17" t="inlineStr">
        <is>
          <t>웹조사 자동화 실패(세션한도)</t>
        </is>
      </c>
      <c r="H2265" s="17" t="inlineStr">
        <is>
          <t>N</t>
        </is>
      </c>
      <c r="I2265" s="17" t="inlineStr">
        <is>
          <t>DART/채용</t>
        </is>
      </c>
      <c r="J2265" s="17" t="inlineStr">
        <is>
          <t>DART/채용에서 확인</t>
        </is>
      </c>
      <c r="K2265" s="17" t="inlineStr">
        <is>
          <t>낮음</t>
        </is>
      </c>
      <c r="L2265" s="17" t="inlineStr"/>
    </row>
    <row r="2266">
      <c r="A2266" s="17" t="inlineStr">
        <is>
          <t>C364</t>
        </is>
      </c>
      <c r="B2266" s="17" t="inlineStr"/>
      <c r="C2266" s="17" t="inlineStr">
        <is>
          <t>(주)한국백신</t>
        </is>
      </c>
      <c r="D2266" s="17" t="inlineStr"/>
      <c r="E2266" s="17" t="inlineStr">
        <is>
          <t>수출여부</t>
        </is>
      </c>
      <c r="F2266" s="17" t="inlineStr">
        <is>
          <t>미확인</t>
        </is>
      </c>
      <c r="G2266" s="17" t="inlineStr">
        <is>
          <t>웹조사 자동화 실패(세션한도)</t>
        </is>
      </c>
      <c r="H2266" s="17" t="inlineStr">
        <is>
          <t>N</t>
        </is>
      </c>
      <c r="I2266" s="17" t="inlineStr">
        <is>
          <t>회사 공시·홈페이지</t>
        </is>
      </c>
      <c r="J2266" s="17" t="inlineStr">
        <is>
          <t>회사 공시·홈페이지에서 확인</t>
        </is>
      </c>
      <c r="K2266" s="17" t="inlineStr">
        <is>
          <t>낮음</t>
        </is>
      </c>
      <c r="L2266" s="17" t="inlineStr"/>
    </row>
    <row r="2267">
      <c r="A2267" s="17" t="inlineStr">
        <is>
          <t>C364</t>
        </is>
      </c>
      <c r="B2267" s="17" t="inlineStr"/>
      <c r="C2267" s="17" t="inlineStr">
        <is>
          <t>(주)한국백신</t>
        </is>
      </c>
      <c r="D2267" s="17" t="inlineStr"/>
      <c r="E2267" s="17" t="inlineStr">
        <is>
          <t>FDA·EMA 실사</t>
        </is>
      </c>
      <c r="F2267" s="17" t="inlineStr">
        <is>
          <t>미확인</t>
        </is>
      </c>
      <c r="G2267" s="17" t="inlineStr">
        <is>
          <t>웹조사 자동화 실패(세션한도)</t>
        </is>
      </c>
      <c r="H2267" s="17" t="inlineStr">
        <is>
          <t>N</t>
        </is>
      </c>
      <c r="I2267" s="17" t="inlineStr">
        <is>
          <t>FDA Inspection DB</t>
        </is>
      </c>
      <c r="J2267" s="17" t="inlineStr">
        <is>
          <t>FDA Inspection DB에서 확인</t>
        </is>
      </c>
      <c r="K2267" s="17" t="inlineStr">
        <is>
          <t>낮음</t>
        </is>
      </c>
      <c r="L2267" s="17" t="inlineStr"/>
    </row>
    <row r="2268">
      <c r="A2268" s="17" t="inlineStr">
        <is>
          <t>C364</t>
        </is>
      </c>
      <c r="B2268" s="17" t="inlineStr"/>
      <c r="C2268" s="17" t="inlineStr">
        <is>
          <t>(주)한국백신</t>
        </is>
      </c>
      <c r="D2268" s="17" t="inlineStr"/>
      <c r="E2268" s="17" t="inlineStr">
        <is>
          <t>CMO·CDMO</t>
        </is>
      </c>
      <c r="F2268" s="17" t="inlineStr">
        <is>
          <t>미확인</t>
        </is>
      </c>
      <c r="G2268" s="17" t="inlineStr">
        <is>
          <t>웹조사 자동화 실패(세션한도)</t>
        </is>
      </c>
      <c r="H2268" s="17" t="inlineStr">
        <is>
          <t>N</t>
        </is>
      </c>
      <c r="I2268" s="17" t="inlineStr">
        <is>
          <t>회사 홈페이지</t>
        </is>
      </c>
      <c r="J2268" s="17" t="inlineStr">
        <is>
          <t>회사 홈페이지에서 확인</t>
        </is>
      </c>
      <c r="K2268" s="17" t="inlineStr">
        <is>
          <t>낮음</t>
        </is>
      </c>
      <c r="L2268" s="17" t="inlineStr"/>
    </row>
    <row r="2269">
      <c r="A2269" s="17" t="inlineStr">
        <is>
          <t>C364</t>
        </is>
      </c>
      <c r="B2269" s="17" t="inlineStr"/>
      <c r="C2269" s="17" t="inlineStr">
        <is>
          <t>(주)한국백신</t>
        </is>
      </c>
      <c r="D2269" s="17" t="inlineStr"/>
      <c r="E2269" s="17" t="inlineStr">
        <is>
          <t>신공장·증설</t>
        </is>
      </c>
      <c r="F2269" s="17" t="inlineStr">
        <is>
          <t>미확인</t>
        </is>
      </c>
      <c r="G2269" s="17" t="inlineStr">
        <is>
          <t>웹조사 자동화 실패(세션한도)</t>
        </is>
      </c>
      <c r="H2269" s="17" t="inlineStr">
        <is>
          <t>N</t>
        </is>
      </c>
      <c r="I2269" s="17" t="inlineStr">
        <is>
          <t>언론·지자체 발표</t>
        </is>
      </c>
      <c r="J2269" s="17" t="inlineStr">
        <is>
          <t>언론·지자체 발표에서 확인</t>
        </is>
      </c>
      <c r="K2269" s="17" t="inlineStr">
        <is>
          <t>낮음</t>
        </is>
      </c>
      <c r="L2269" s="17" t="inlineStr"/>
    </row>
    <row r="2270">
      <c r="A2270" s="17" t="inlineStr">
        <is>
          <t>C365</t>
        </is>
      </c>
      <c r="B2270" s="17" t="inlineStr"/>
      <c r="C2270" s="17" t="inlineStr">
        <is>
          <t>부광약품(주)</t>
        </is>
      </c>
      <c r="D2270" s="17" t="inlineStr"/>
      <c r="E2270" s="17" t="inlineStr">
        <is>
          <t>최근매출(억원)</t>
        </is>
      </c>
      <c r="F2270" s="17" t="inlineStr">
        <is>
          <t>미확인</t>
        </is>
      </c>
      <c r="G2270" s="17" t="inlineStr">
        <is>
          <t>웹조사 자동화 실패(세션한도)</t>
        </is>
      </c>
      <c r="H2270" s="17" t="inlineStr">
        <is>
          <t>N</t>
        </is>
      </c>
      <c r="I2270" s="17" t="inlineStr">
        <is>
          <t>DART 사업보고서</t>
        </is>
      </c>
      <c r="J2270" s="17" t="inlineStr">
        <is>
          <t>DART 사업보고서에서 확인</t>
        </is>
      </c>
      <c r="K2270" s="17" t="inlineStr">
        <is>
          <t>낮음</t>
        </is>
      </c>
      <c r="L2270" s="17" t="inlineStr"/>
    </row>
    <row r="2271">
      <c r="A2271" s="17" t="inlineStr">
        <is>
          <t>C365</t>
        </is>
      </c>
      <c r="B2271" s="17" t="inlineStr"/>
      <c r="C2271" s="17" t="inlineStr">
        <is>
          <t>부광약품(주)</t>
        </is>
      </c>
      <c r="D2271" s="17" t="inlineStr"/>
      <c r="E2271" s="17" t="inlineStr">
        <is>
          <t>종업원수</t>
        </is>
      </c>
      <c r="F2271" s="17" t="inlineStr">
        <is>
          <t>미확인</t>
        </is>
      </c>
      <c r="G2271" s="17" t="inlineStr">
        <is>
          <t>웹조사 자동화 실패(세션한도)</t>
        </is>
      </c>
      <c r="H2271" s="17" t="inlineStr">
        <is>
          <t>N</t>
        </is>
      </c>
      <c r="I2271" s="17" t="inlineStr">
        <is>
          <t>DART/채용</t>
        </is>
      </c>
      <c r="J2271" s="17" t="inlineStr">
        <is>
          <t>DART/채용에서 확인</t>
        </is>
      </c>
      <c r="K2271" s="17" t="inlineStr">
        <is>
          <t>낮음</t>
        </is>
      </c>
      <c r="L2271" s="17" t="inlineStr"/>
    </row>
    <row r="2272">
      <c r="A2272" s="17" t="inlineStr">
        <is>
          <t>C365</t>
        </is>
      </c>
      <c r="B2272" s="17" t="inlineStr"/>
      <c r="C2272" s="17" t="inlineStr">
        <is>
          <t>부광약품(주)</t>
        </is>
      </c>
      <c r="D2272" s="17" t="inlineStr"/>
      <c r="E2272" s="17" t="inlineStr">
        <is>
          <t>수출여부</t>
        </is>
      </c>
      <c r="F2272" s="17" t="inlineStr">
        <is>
          <t>미확인</t>
        </is>
      </c>
      <c r="G2272" s="17" t="inlineStr">
        <is>
          <t>웹조사 자동화 실패(세션한도)</t>
        </is>
      </c>
      <c r="H2272" s="17" t="inlineStr">
        <is>
          <t>N</t>
        </is>
      </c>
      <c r="I2272" s="17" t="inlineStr">
        <is>
          <t>회사 공시·홈페이지</t>
        </is>
      </c>
      <c r="J2272" s="17" t="inlineStr">
        <is>
          <t>회사 공시·홈페이지에서 확인</t>
        </is>
      </c>
      <c r="K2272" s="17" t="inlineStr">
        <is>
          <t>낮음</t>
        </is>
      </c>
      <c r="L2272" s="17" t="inlineStr"/>
    </row>
    <row r="2273">
      <c r="A2273" s="17" t="inlineStr">
        <is>
          <t>C365</t>
        </is>
      </c>
      <c r="B2273" s="17" t="inlineStr"/>
      <c r="C2273" s="17" t="inlineStr">
        <is>
          <t>부광약품(주)</t>
        </is>
      </c>
      <c r="D2273" s="17" t="inlineStr"/>
      <c r="E2273" s="17" t="inlineStr">
        <is>
          <t>FDA·EMA 실사</t>
        </is>
      </c>
      <c r="F2273" s="17" t="inlineStr">
        <is>
          <t>미확인</t>
        </is>
      </c>
      <c r="G2273" s="17" t="inlineStr">
        <is>
          <t>웹조사 자동화 실패(세션한도)</t>
        </is>
      </c>
      <c r="H2273" s="17" t="inlineStr">
        <is>
          <t>N</t>
        </is>
      </c>
      <c r="I2273" s="17" t="inlineStr">
        <is>
          <t>FDA Inspection DB</t>
        </is>
      </c>
      <c r="J2273" s="17" t="inlineStr">
        <is>
          <t>FDA Inspection DB에서 확인</t>
        </is>
      </c>
      <c r="K2273" s="17" t="inlineStr">
        <is>
          <t>낮음</t>
        </is>
      </c>
      <c r="L2273" s="17" t="inlineStr"/>
    </row>
    <row r="2274">
      <c r="A2274" s="17" t="inlineStr">
        <is>
          <t>C365</t>
        </is>
      </c>
      <c r="B2274" s="17" t="inlineStr"/>
      <c r="C2274" s="17" t="inlineStr">
        <is>
          <t>부광약품(주)</t>
        </is>
      </c>
      <c r="D2274" s="17" t="inlineStr"/>
      <c r="E2274" s="17" t="inlineStr">
        <is>
          <t>CMO·CDMO</t>
        </is>
      </c>
      <c r="F2274" s="17" t="inlineStr">
        <is>
          <t>미확인</t>
        </is>
      </c>
      <c r="G2274" s="17" t="inlineStr">
        <is>
          <t>웹조사 자동화 실패(세션한도)</t>
        </is>
      </c>
      <c r="H2274" s="17" t="inlineStr">
        <is>
          <t>N</t>
        </is>
      </c>
      <c r="I2274" s="17" t="inlineStr">
        <is>
          <t>회사 홈페이지</t>
        </is>
      </c>
      <c r="J2274" s="17" t="inlineStr">
        <is>
          <t>회사 홈페이지에서 확인</t>
        </is>
      </c>
      <c r="K2274" s="17" t="inlineStr">
        <is>
          <t>낮음</t>
        </is>
      </c>
      <c r="L2274" s="17" t="inlineStr"/>
    </row>
    <row r="2275">
      <c r="A2275" s="17" t="inlineStr">
        <is>
          <t>C365</t>
        </is>
      </c>
      <c r="B2275" s="17" t="inlineStr"/>
      <c r="C2275" s="17" t="inlineStr">
        <is>
          <t>부광약품(주)</t>
        </is>
      </c>
      <c r="D2275" s="17" t="inlineStr"/>
      <c r="E2275" s="17" t="inlineStr">
        <is>
          <t>신공장·증설</t>
        </is>
      </c>
      <c r="F2275" s="17" t="inlineStr">
        <is>
          <t>미확인</t>
        </is>
      </c>
      <c r="G2275" s="17" t="inlineStr">
        <is>
          <t>웹조사 자동화 실패(세션한도)</t>
        </is>
      </c>
      <c r="H2275" s="17" t="inlineStr">
        <is>
          <t>N</t>
        </is>
      </c>
      <c r="I2275" s="17" t="inlineStr">
        <is>
          <t>언론·지자체 발표</t>
        </is>
      </c>
      <c r="J2275" s="17" t="inlineStr">
        <is>
          <t>언론·지자체 발표에서 확인</t>
        </is>
      </c>
      <c r="K2275" s="17" t="inlineStr">
        <is>
          <t>낮음</t>
        </is>
      </c>
      <c r="L2275" s="17" t="inlineStr"/>
    </row>
    <row r="2276">
      <c r="A2276" s="17" t="inlineStr">
        <is>
          <t>C366</t>
        </is>
      </c>
      <c r="B2276" s="17" t="inlineStr"/>
      <c r="C2276" s="17" t="inlineStr">
        <is>
          <t>메딕스제약(주)</t>
        </is>
      </c>
      <c r="D2276" s="17" t="inlineStr"/>
      <c r="E2276" s="17" t="inlineStr">
        <is>
          <t>최근매출(억원)</t>
        </is>
      </c>
      <c r="F2276" s="17" t="inlineStr">
        <is>
          <t>미확인</t>
        </is>
      </c>
      <c r="G2276" s="17" t="inlineStr">
        <is>
          <t>웹조사 자동화 실패(세션한도)</t>
        </is>
      </c>
      <c r="H2276" s="17" t="inlineStr">
        <is>
          <t>N</t>
        </is>
      </c>
      <c r="I2276" s="17" t="inlineStr">
        <is>
          <t>DART 사업보고서</t>
        </is>
      </c>
      <c r="J2276" s="17" t="inlineStr">
        <is>
          <t>DART 사업보고서에서 확인</t>
        </is>
      </c>
      <c r="K2276" s="17" t="inlineStr">
        <is>
          <t>낮음</t>
        </is>
      </c>
      <c r="L2276" s="17" t="inlineStr"/>
    </row>
    <row r="2277">
      <c r="A2277" s="17" t="inlineStr">
        <is>
          <t>C366</t>
        </is>
      </c>
      <c r="B2277" s="17" t="inlineStr"/>
      <c r="C2277" s="17" t="inlineStr">
        <is>
          <t>메딕스제약(주)</t>
        </is>
      </c>
      <c r="D2277" s="17" t="inlineStr"/>
      <c r="E2277" s="17" t="inlineStr">
        <is>
          <t>종업원수</t>
        </is>
      </c>
      <c r="F2277" s="17" t="inlineStr">
        <is>
          <t>미확인</t>
        </is>
      </c>
      <c r="G2277" s="17" t="inlineStr">
        <is>
          <t>웹조사 자동화 실패(세션한도)</t>
        </is>
      </c>
      <c r="H2277" s="17" t="inlineStr">
        <is>
          <t>N</t>
        </is>
      </c>
      <c r="I2277" s="17" t="inlineStr">
        <is>
          <t>DART/채용</t>
        </is>
      </c>
      <c r="J2277" s="17" t="inlineStr">
        <is>
          <t>DART/채용에서 확인</t>
        </is>
      </c>
      <c r="K2277" s="17" t="inlineStr">
        <is>
          <t>낮음</t>
        </is>
      </c>
      <c r="L2277" s="17" t="inlineStr"/>
    </row>
    <row r="2278">
      <c r="A2278" s="17" t="inlineStr">
        <is>
          <t>C366</t>
        </is>
      </c>
      <c r="B2278" s="17" t="inlineStr"/>
      <c r="C2278" s="17" t="inlineStr">
        <is>
          <t>메딕스제약(주)</t>
        </is>
      </c>
      <c r="D2278" s="17" t="inlineStr"/>
      <c r="E2278" s="17" t="inlineStr">
        <is>
          <t>수출여부</t>
        </is>
      </c>
      <c r="F2278" s="17" t="inlineStr">
        <is>
          <t>미확인</t>
        </is>
      </c>
      <c r="G2278" s="17" t="inlineStr">
        <is>
          <t>웹조사 자동화 실패(세션한도)</t>
        </is>
      </c>
      <c r="H2278" s="17" t="inlineStr">
        <is>
          <t>N</t>
        </is>
      </c>
      <c r="I2278" s="17" t="inlineStr">
        <is>
          <t>회사 공시·홈페이지</t>
        </is>
      </c>
      <c r="J2278" s="17" t="inlineStr">
        <is>
          <t>회사 공시·홈페이지에서 확인</t>
        </is>
      </c>
      <c r="K2278" s="17" t="inlineStr">
        <is>
          <t>낮음</t>
        </is>
      </c>
      <c r="L2278" s="17" t="inlineStr"/>
    </row>
    <row r="2279">
      <c r="A2279" s="17" t="inlineStr">
        <is>
          <t>C366</t>
        </is>
      </c>
      <c r="B2279" s="17" t="inlineStr"/>
      <c r="C2279" s="17" t="inlineStr">
        <is>
          <t>메딕스제약(주)</t>
        </is>
      </c>
      <c r="D2279" s="17" t="inlineStr"/>
      <c r="E2279" s="17" t="inlineStr">
        <is>
          <t>FDA·EMA 실사</t>
        </is>
      </c>
      <c r="F2279" s="17" t="inlineStr">
        <is>
          <t>미확인</t>
        </is>
      </c>
      <c r="G2279" s="17" t="inlineStr">
        <is>
          <t>웹조사 자동화 실패(세션한도)</t>
        </is>
      </c>
      <c r="H2279" s="17" t="inlineStr">
        <is>
          <t>N</t>
        </is>
      </c>
      <c r="I2279" s="17" t="inlineStr">
        <is>
          <t>FDA Inspection DB</t>
        </is>
      </c>
      <c r="J2279" s="17" t="inlineStr">
        <is>
          <t>FDA Inspection DB에서 확인</t>
        </is>
      </c>
      <c r="K2279" s="17" t="inlineStr">
        <is>
          <t>낮음</t>
        </is>
      </c>
      <c r="L2279" s="17" t="inlineStr"/>
    </row>
    <row r="2280">
      <c r="A2280" s="17" t="inlineStr">
        <is>
          <t>C366</t>
        </is>
      </c>
      <c r="B2280" s="17" t="inlineStr"/>
      <c r="C2280" s="17" t="inlineStr">
        <is>
          <t>메딕스제약(주)</t>
        </is>
      </c>
      <c r="D2280" s="17" t="inlineStr"/>
      <c r="E2280" s="17" t="inlineStr">
        <is>
          <t>CMO·CDMO</t>
        </is>
      </c>
      <c r="F2280" s="17" t="inlineStr">
        <is>
          <t>미확인</t>
        </is>
      </c>
      <c r="G2280" s="17" t="inlineStr">
        <is>
          <t>웹조사 자동화 실패(세션한도)</t>
        </is>
      </c>
      <c r="H2280" s="17" t="inlineStr">
        <is>
          <t>N</t>
        </is>
      </c>
      <c r="I2280" s="17" t="inlineStr">
        <is>
          <t>회사 홈페이지</t>
        </is>
      </c>
      <c r="J2280" s="17" t="inlineStr">
        <is>
          <t>회사 홈페이지에서 확인</t>
        </is>
      </c>
      <c r="K2280" s="17" t="inlineStr">
        <is>
          <t>낮음</t>
        </is>
      </c>
      <c r="L2280" s="17" t="inlineStr"/>
    </row>
    <row r="2281">
      <c r="A2281" s="17" t="inlineStr">
        <is>
          <t>C366</t>
        </is>
      </c>
      <c r="B2281" s="17" t="inlineStr"/>
      <c r="C2281" s="17" t="inlineStr">
        <is>
          <t>메딕스제약(주)</t>
        </is>
      </c>
      <c r="D2281" s="17" t="inlineStr"/>
      <c r="E2281" s="17" t="inlineStr">
        <is>
          <t>신공장·증설</t>
        </is>
      </c>
      <c r="F2281" s="17" t="inlineStr">
        <is>
          <t>미확인</t>
        </is>
      </c>
      <c r="G2281" s="17" t="inlineStr">
        <is>
          <t>웹조사 자동화 실패(세션한도)</t>
        </is>
      </c>
      <c r="H2281" s="17" t="inlineStr">
        <is>
          <t>N</t>
        </is>
      </c>
      <c r="I2281" s="17" t="inlineStr">
        <is>
          <t>언론·지자체 발표</t>
        </is>
      </c>
      <c r="J2281" s="17" t="inlineStr">
        <is>
          <t>언론·지자체 발표에서 확인</t>
        </is>
      </c>
      <c r="K2281" s="17" t="inlineStr">
        <is>
          <t>낮음</t>
        </is>
      </c>
      <c r="L2281" s="17" t="inlineStr"/>
    </row>
    <row r="2282">
      <c r="A2282" s="17" t="inlineStr">
        <is>
          <t>C366</t>
        </is>
      </c>
      <c r="B2282" s="17" t="inlineStr"/>
      <c r="C2282" s="17" t="inlineStr">
        <is>
          <t>메딕스제약(주)</t>
        </is>
      </c>
      <c r="D2282" s="17" t="inlineStr"/>
      <c r="E2282" s="17" t="inlineStr">
        <is>
          <t>대표전화</t>
        </is>
      </c>
      <c r="F2282" s="17" t="inlineStr">
        <is>
          <t>미확인</t>
        </is>
      </c>
      <c r="G2282" s="17" t="inlineStr">
        <is>
          <t>제조소상세 미매칭</t>
        </is>
      </c>
      <c r="H2282" s="17" t="inlineStr">
        <is>
          <t>Y</t>
        </is>
      </c>
      <c r="I2282" s="17" t="inlineStr">
        <is>
          <t>회사 홈페이지</t>
        </is>
      </c>
      <c r="J2282" s="17" t="inlineStr">
        <is>
          <t>홈페이지에서 대표번호 확인</t>
        </is>
      </c>
      <c r="K2282" s="17" t="inlineStr">
        <is>
          <t>낮음</t>
        </is>
      </c>
      <c r="L2282" s="17" t="inlineStr"/>
    </row>
    <row r="2283">
      <c r="A2283" s="17" t="inlineStr">
        <is>
          <t>C367</t>
        </is>
      </c>
      <c r="B2283" s="17" t="inlineStr"/>
      <c r="C2283" s="17" t="inlineStr">
        <is>
          <t>한국유나이티드제약(주)</t>
        </is>
      </c>
      <c r="D2283" s="17" t="inlineStr"/>
      <c r="E2283" s="17" t="inlineStr">
        <is>
          <t>최근매출(억원)</t>
        </is>
      </c>
      <c r="F2283" s="17" t="inlineStr">
        <is>
          <t>미확인</t>
        </is>
      </c>
      <c r="G2283" s="17" t="inlineStr">
        <is>
          <t>웹조사 자동화 실패(세션한도)</t>
        </is>
      </c>
      <c r="H2283" s="17" t="inlineStr">
        <is>
          <t>N</t>
        </is>
      </c>
      <c r="I2283" s="17" t="inlineStr">
        <is>
          <t>DART 사업보고서</t>
        </is>
      </c>
      <c r="J2283" s="17" t="inlineStr">
        <is>
          <t>DART 사업보고서에서 확인</t>
        </is>
      </c>
      <c r="K2283" s="17" t="inlineStr">
        <is>
          <t>낮음</t>
        </is>
      </c>
      <c r="L2283" s="17" t="inlineStr"/>
    </row>
    <row r="2284">
      <c r="A2284" s="17" t="inlineStr">
        <is>
          <t>C367</t>
        </is>
      </c>
      <c r="B2284" s="17" t="inlineStr"/>
      <c r="C2284" s="17" t="inlineStr">
        <is>
          <t>한국유나이티드제약(주)</t>
        </is>
      </c>
      <c r="D2284" s="17" t="inlineStr"/>
      <c r="E2284" s="17" t="inlineStr">
        <is>
          <t>종업원수</t>
        </is>
      </c>
      <c r="F2284" s="17" t="inlineStr">
        <is>
          <t>미확인</t>
        </is>
      </c>
      <c r="G2284" s="17" t="inlineStr">
        <is>
          <t>웹조사 자동화 실패(세션한도)</t>
        </is>
      </c>
      <c r="H2284" s="17" t="inlineStr">
        <is>
          <t>N</t>
        </is>
      </c>
      <c r="I2284" s="17" t="inlineStr">
        <is>
          <t>DART/채용</t>
        </is>
      </c>
      <c r="J2284" s="17" t="inlineStr">
        <is>
          <t>DART/채용에서 확인</t>
        </is>
      </c>
      <c r="K2284" s="17" t="inlineStr">
        <is>
          <t>낮음</t>
        </is>
      </c>
      <c r="L2284" s="17" t="inlineStr"/>
    </row>
    <row r="2285">
      <c r="A2285" s="17" t="inlineStr">
        <is>
          <t>C367</t>
        </is>
      </c>
      <c r="B2285" s="17" t="inlineStr"/>
      <c r="C2285" s="17" t="inlineStr">
        <is>
          <t>한국유나이티드제약(주)</t>
        </is>
      </c>
      <c r="D2285" s="17" t="inlineStr"/>
      <c r="E2285" s="17" t="inlineStr">
        <is>
          <t>수출여부</t>
        </is>
      </c>
      <c r="F2285" s="17" t="inlineStr">
        <is>
          <t>미확인</t>
        </is>
      </c>
      <c r="G2285" s="17" t="inlineStr">
        <is>
          <t>웹조사 자동화 실패(세션한도)</t>
        </is>
      </c>
      <c r="H2285" s="17" t="inlineStr">
        <is>
          <t>N</t>
        </is>
      </c>
      <c r="I2285" s="17" t="inlineStr">
        <is>
          <t>회사 공시·홈페이지</t>
        </is>
      </c>
      <c r="J2285" s="17" t="inlineStr">
        <is>
          <t>회사 공시·홈페이지에서 확인</t>
        </is>
      </c>
      <c r="K2285" s="17" t="inlineStr">
        <is>
          <t>낮음</t>
        </is>
      </c>
      <c r="L2285" s="17" t="inlineStr"/>
    </row>
    <row r="2286">
      <c r="A2286" s="17" t="inlineStr">
        <is>
          <t>C367</t>
        </is>
      </c>
      <c r="B2286" s="17" t="inlineStr"/>
      <c r="C2286" s="17" t="inlineStr">
        <is>
          <t>한국유나이티드제약(주)</t>
        </is>
      </c>
      <c r="D2286" s="17" t="inlineStr"/>
      <c r="E2286" s="17" t="inlineStr">
        <is>
          <t>FDA·EMA 실사</t>
        </is>
      </c>
      <c r="F2286" s="17" t="inlineStr">
        <is>
          <t>미확인</t>
        </is>
      </c>
      <c r="G2286" s="17" t="inlineStr">
        <is>
          <t>웹조사 자동화 실패(세션한도)</t>
        </is>
      </c>
      <c r="H2286" s="17" t="inlineStr">
        <is>
          <t>N</t>
        </is>
      </c>
      <c r="I2286" s="17" t="inlineStr">
        <is>
          <t>FDA Inspection DB</t>
        </is>
      </c>
      <c r="J2286" s="17" t="inlineStr">
        <is>
          <t>FDA Inspection DB에서 확인</t>
        </is>
      </c>
      <c r="K2286" s="17" t="inlineStr">
        <is>
          <t>낮음</t>
        </is>
      </c>
      <c r="L2286" s="17" t="inlineStr"/>
    </row>
    <row r="2287">
      <c r="A2287" s="17" t="inlineStr">
        <is>
          <t>C367</t>
        </is>
      </c>
      <c r="B2287" s="17" t="inlineStr"/>
      <c r="C2287" s="17" t="inlineStr">
        <is>
          <t>한국유나이티드제약(주)</t>
        </is>
      </c>
      <c r="D2287" s="17" t="inlineStr"/>
      <c r="E2287" s="17" t="inlineStr">
        <is>
          <t>CMO·CDMO</t>
        </is>
      </c>
      <c r="F2287" s="17" t="inlineStr">
        <is>
          <t>미확인</t>
        </is>
      </c>
      <c r="G2287" s="17" t="inlineStr">
        <is>
          <t>웹조사 자동화 실패(세션한도)</t>
        </is>
      </c>
      <c r="H2287" s="17" t="inlineStr">
        <is>
          <t>N</t>
        </is>
      </c>
      <c r="I2287" s="17" t="inlineStr">
        <is>
          <t>회사 홈페이지</t>
        </is>
      </c>
      <c r="J2287" s="17" t="inlineStr">
        <is>
          <t>회사 홈페이지에서 확인</t>
        </is>
      </c>
      <c r="K2287" s="17" t="inlineStr">
        <is>
          <t>낮음</t>
        </is>
      </c>
      <c r="L2287" s="17" t="inlineStr"/>
    </row>
    <row r="2288">
      <c r="A2288" s="17" t="inlineStr">
        <is>
          <t>C367</t>
        </is>
      </c>
      <c r="B2288" s="17" t="inlineStr"/>
      <c r="C2288" s="17" t="inlineStr">
        <is>
          <t>한국유나이티드제약(주)</t>
        </is>
      </c>
      <c r="D2288" s="17" t="inlineStr"/>
      <c r="E2288" s="17" t="inlineStr">
        <is>
          <t>신공장·증설</t>
        </is>
      </c>
      <c r="F2288" s="17" t="inlineStr">
        <is>
          <t>미확인</t>
        </is>
      </c>
      <c r="G2288" s="17" t="inlineStr">
        <is>
          <t>웹조사 자동화 실패(세션한도)</t>
        </is>
      </c>
      <c r="H2288" s="17" t="inlineStr">
        <is>
          <t>N</t>
        </is>
      </c>
      <c r="I2288" s="17" t="inlineStr">
        <is>
          <t>언론·지자체 발표</t>
        </is>
      </c>
      <c r="J2288" s="17" t="inlineStr">
        <is>
          <t>언론·지자체 발표에서 확인</t>
        </is>
      </c>
      <c r="K2288" s="17" t="inlineStr">
        <is>
          <t>낮음</t>
        </is>
      </c>
      <c r="L2288" s="17" t="inlineStr"/>
    </row>
    <row r="2289">
      <c r="A2289" s="17" t="inlineStr">
        <is>
          <t>C368</t>
        </is>
      </c>
      <c r="B2289" s="17" t="inlineStr"/>
      <c r="C2289" s="17" t="inlineStr">
        <is>
          <t>태광산업가스(주)</t>
        </is>
      </c>
      <c r="D2289" s="17" t="inlineStr"/>
      <c r="E2289" s="17" t="inlineStr">
        <is>
          <t>최근매출(억원)</t>
        </is>
      </c>
      <c r="F2289" s="17" t="inlineStr">
        <is>
          <t>미확인</t>
        </is>
      </c>
      <c r="G2289" s="17" t="inlineStr">
        <is>
          <t>웹조사 자동화 실패(세션한도)</t>
        </is>
      </c>
      <c r="H2289" s="17" t="inlineStr">
        <is>
          <t>N</t>
        </is>
      </c>
      <c r="I2289" s="17" t="inlineStr">
        <is>
          <t>DART 사업보고서</t>
        </is>
      </c>
      <c r="J2289" s="17" t="inlineStr">
        <is>
          <t>DART 사업보고서에서 확인</t>
        </is>
      </c>
      <c r="K2289" s="17" t="inlineStr">
        <is>
          <t>낮음</t>
        </is>
      </c>
      <c r="L2289" s="17" t="inlineStr"/>
    </row>
    <row r="2290">
      <c r="A2290" s="17" t="inlineStr">
        <is>
          <t>C368</t>
        </is>
      </c>
      <c r="B2290" s="17" t="inlineStr"/>
      <c r="C2290" s="17" t="inlineStr">
        <is>
          <t>태광산업가스(주)</t>
        </is>
      </c>
      <c r="D2290" s="17" t="inlineStr"/>
      <c r="E2290" s="17" t="inlineStr">
        <is>
          <t>종업원수</t>
        </is>
      </c>
      <c r="F2290" s="17" t="inlineStr">
        <is>
          <t>미확인</t>
        </is>
      </c>
      <c r="G2290" s="17" t="inlineStr">
        <is>
          <t>웹조사 자동화 실패(세션한도)</t>
        </is>
      </c>
      <c r="H2290" s="17" t="inlineStr">
        <is>
          <t>N</t>
        </is>
      </c>
      <c r="I2290" s="17" t="inlineStr">
        <is>
          <t>DART/채용</t>
        </is>
      </c>
      <c r="J2290" s="17" t="inlineStr">
        <is>
          <t>DART/채용에서 확인</t>
        </is>
      </c>
      <c r="K2290" s="17" t="inlineStr">
        <is>
          <t>낮음</t>
        </is>
      </c>
      <c r="L2290" s="17" t="inlineStr"/>
    </row>
    <row r="2291">
      <c r="A2291" s="17" t="inlineStr">
        <is>
          <t>C368</t>
        </is>
      </c>
      <c r="B2291" s="17" t="inlineStr"/>
      <c r="C2291" s="17" t="inlineStr">
        <is>
          <t>태광산업가스(주)</t>
        </is>
      </c>
      <c r="D2291" s="17" t="inlineStr"/>
      <c r="E2291" s="17" t="inlineStr">
        <is>
          <t>수출여부</t>
        </is>
      </c>
      <c r="F2291" s="17" t="inlineStr">
        <is>
          <t>미확인</t>
        </is>
      </c>
      <c r="G2291" s="17" t="inlineStr">
        <is>
          <t>웹조사 자동화 실패(세션한도)</t>
        </is>
      </c>
      <c r="H2291" s="17" t="inlineStr">
        <is>
          <t>N</t>
        </is>
      </c>
      <c r="I2291" s="17" t="inlineStr">
        <is>
          <t>회사 공시·홈페이지</t>
        </is>
      </c>
      <c r="J2291" s="17" t="inlineStr">
        <is>
          <t>회사 공시·홈페이지에서 확인</t>
        </is>
      </c>
      <c r="K2291" s="17" t="inlineStr">
        <is>
          <t>낮음</t>
        </is>
      </c>
      <c r="L2291" s="17" t="inlineStr"/>
    </row>
    <row r="2292">
      <c r="A2292" s="17" t="inlineStr">
        <is>
          <t>C368</t>
        </is>
      </c>
      <c r="B2292" s="17" t="inlineStr"/>
      <c r="C2292" s="17" t="inlineStr">
        <is>
          <t>태광산업가스(주)</t>
        </is>
      </c>
      <c r="D2292" s="17" t="inlineStr"/>
      <c r="E2292" s="17" t="inlineStr">
        <is>
          <t>FDA·EMA 실사</t>
        </is>
      </c>
      <c r="F2292" s="17" t="inlineStr">
        <is>
          <t>미확인</t>
        </is>
      </c>
      <c r="G2292" s="17" t="inlineStr">
        <is>
          <t>웹조사 자동화 실패(세션한도)</t>
        </is>
      </c>
      <c r="H2292" s="17" t="inlineStr">
        <is>
          <t>N</t>
        </is>
      </c>
      <c r="I2292" s="17" t="inlineStr">
        <is>
          <t>FDA Inspection DB</t>
        </is>
      </c>
      <c r="J2292" s="17" t="inlineStr">
        <is>
          <t>FDA Inspection DB에서 확인</t>
        </is>
      </c>
      <c r="K2292" s="17" t="inlineStr">
        <is>
          <t>낮음</t>
        </is>
      </c>
      <c r="L2292" s="17" t="inlineStr"/>
    </row>
    <row r="2293">
      <c r="A2293" s="17" t="inlineStr">
        <is>
          <t>C368</t>
        </is>
      </c>
      <c r="B2293" s="17" t="inlineStr"/>
      <c r="C2293" s="17" t="inlineStr">
        <is>
          <t>태광산업가스(주)</t>
        </is>
      </c>
      <c r="D2293" s="17" t="inlineStr"/>
      <c r="E2293" s="17" t="inlineStr">
        <is>
          <t>CMO·CDMO</t>
        </is>
      </c>
      <c r="F2293" s="17" t="inlineStr">
        <is>
          <t>미확인</t>
        </is>
      </c>
      <c r="G2293" s="17" t="inlineStr">
        <is>
          <t>웹조사 자동화 실패(세션한도)</t>
        </is>
      </c>
      <c r="H2293" s="17" t="inlineStr">
        <is>
          <t>N</t>
        </is>
      </c>
      <c r="I2293" s="17" t="inlineStr">
        <is>
          <t>회사 홈페이지</t>
        </is>
      </c>
      <c r="J2293" s="17" t="inlineStr">
        <is>
          <t>회사 홈페이지에서 확인</t>
        </is>
      </c>
      <c r="K2293" s="17" t="inlineStr">
        <is>
          <t>낮음</t>
        </is>
      </c>
      <c r="L2293" s="17" t="inlineStr"/>
    </row>
    <row r="2294">
      <c r="A2294" s="17" t="inlineStr">
        <is>
          <t>C368</t>
        </is>
      </c>
      <c r="B2294" s="17" t="inlineStr"/>
      <c r="C2294" s="17" t="inlineStr">
        <is>
          <t>태광산업가스(주)</t>
        </is>
      </c>
      <c r="D2294" s="17" t="inlineStr"/>
      <c r="E2294" s="17" t="inlineStr">
        <is>
          <t>신공장·증설</t>
        </is>
      </c>
      <c r="F2294" s="17" t="inlineStr">
        <is>
          <t>미확인</t>
        </is>
      </c>
      <c r="G2294" s="17" t="inlineStr">
        <is>
          <t>웹조사 자동화 실패(세션한도)</t>
        </is>
      </c>
      <c r="H2294" s="17" t="inlineStr">
        <is>
          <t>N</t>
        </is>
      </c>
      <c r="I2294" s="17" t="inlineStr">
        <is>
          <t>언론·지자체 발표</t>
        </is>
      </c>
      <c r="J2294" s="17" t="inlineStr">
        <is>
          <t>언론·지자체 발표에서 확인</t>
        </is>
      </c>
      <c r="K2294" s="17" t="inlineStr">
        <is>
          <t>낮음</t>
        </is>
      </c>
      <c r="L2294" s="17" t="inlineStr"/>
    </row>
    <row r="2295">
      <c r="A2295" s="17" t="inlineStr">
        <is>
          <t>C368</t>
        </is>
      </c>
      <c r="B2295" s="17" t="inlineStr"/>
      <c r="C2295" s="17" t="inlineStr">
        <is>
          <t>태광산업가스(주)</t>
        </is>
      </c>
      <c r="D2295" s="17" t="inlineStr"/>
      <c r="E2295" s="17" t="inlineStr">
        <is>
          <t>대표전화</t>
        </is>
      </c>
      <c r="F2295" s="17" t="inlineStr">
        <is>
          <t>미확인</t>
        </is>
      </c>
      <c r="G2295" s="17" t="inlineStr">
        <is>
          <t>제조소상세 미매칭</t>
        </is>
      </c>
      <c r="H2295" s="17" t="inlineStr">
        <is>
          <t>Y</t>
        </is>
      </c>
      <c r="I2295" s="17" t="inlineStr">
        <is>
          <t>회사 홈페이지</t>
        </is>
      </c>
      <c r="J2295" s="17" t="inlineStr">
        <is>
          <t>홈페이지에서 대표번호 확인</t>
        </is>
      </c>
      <c r="K2295" s="17" t="inlineStr">
        <is>
          <t>낮음</t>
        </is>
      </c>
      <c r="L2295" s="17" t="inlineStr"/>
    </row>
    <row r="2296">
      <c r="A2296" s="17" t="inlineStr">
        <is>
          <t>C369</t>
        </is>
      </c>
      <c r="B2296" s="17" t="inlineStr"/>
      <c r="C2296" s="17" t="inlineStr">
        <is>
          <t>국립암센터</t>
        </is>
      </c>
      <c r="D2296" s="17" t="inlineStr"/>
      <c r="E2296" s="17" t="inlineStr">
        <is>
          <t>최근매출(억원)</t>
        </is>
      </c>
      <c r="F2296" s="17" t="inlineStr">
        <is>
          <t>미확인</t>
        </is>
      </c>
      <c r="G2296" s="17" t="inlineStr">
        <is>
          <t>웹조사 자동화 실패(세션한도)</t>
        </is>
      </c>
      <c r="H2296" s="17" t="inlineStr">
        <is>
          <t>N</t>
        </is>
      </c>
      <c r="I2296" s="17" t="inlineStr">
        <is>
          <t>DART 사업보고서</t>
        </is>
      </c>
      <c r="J2296" s="17" t="inlineStr">
        <is>
          <t>DART 사업보고서에서 확인</t>
        </is>
      </c>
      <c r="K2296" s="17" t="inlineStr">
        <is>
          <t>낮음</t>
        </is>
      </c>
      <c r="L2296" s="17" t="inlineStr"/>
    </row>
    <row r="2297">
      <c r="A2297" s="17" t="inlineStr">
        <is>
          <t>C369</t>
        </is>
      </c>
      <c r="B2297" s="17" t="inlineStr"/>
      <c r="C2297" s="17" t="inlineStr">
        <is>
          <t>국립암센터</t>
        </is>
      </c>
      <c r="D2297" s="17" t="inlineStr"/>
      <c r="E2297" s="17" t="inlineStr">
        <is>
          <t>종업원수</t>
        </is>
      </c>
      <c r="F2297" s="17" t="inlineStr">
        <is>
          <t>미확인</t>
        </is>
      </c>
      <c r="G2297" s="17" t="inlineStr">
        <is>
          <t>웹조사 자동화 실패(세션한도)</t>
        </is>
      </c>
      <c r="H2297" s="17" t="inlineStr">
        <is>
          <t>N</t>
        </is>
      </c>
      <c r="I2297" s="17" t="inlineStr">
        <is>
          <t>DART/채용</t>
        </is>
      </c>
      <c r="J2297" s="17" t="inlineStr">
        <is>
          <t>DART/채용에서 확인</t>
        </is>
      </c>
      <c r="K2297" s="17" t="inlineStr">
        <is>
          <t>낮음</t>
        </is>
      </c>
      <c r="L2297" s="17" t="inlineStr"/>
    </row>
    <row r="2298">
      <c r="A2298" s="17" t="inlineStr">
        <is>
          <t>C369</t>
        </is>
      </c>
      <c r="B2298" s="17" t="inlineStr"/>
      <c r="C2298" s="17" t="inlineStr">
        <is>
          <t>국립암센터</t>
        </is>
      </c>
      <c r="D2298" s="17" t="inlineStr"/>
      <c r="E2298" s="17" t="inlineStr">
        <is>
          <t>수출여부</t>
        </is>
      </c>
      <c r="F2298" s="17" t="inlineStr">
        <is>
          <t>미확인</t>
        </is>
      </c>
      <c r="G2298" s="17" t="inlineStr">
        <is>
          <t>웹조사 자동화 실패(세션한도)</t>
        </is>
      </c>
      <c r="H2298" s="17" t="inlineStr">
        <is>
          <t>N</t>
        </is>
      </c>
      <c r="I2298" s="17" t="inlineStr">
        <is>
          <t>회사 공시·홈페이지</t>
        </is>
      </c>
      <c r="J2298" s="17" t="inlineStr">
        <is>
          <t>회사 공시·홈페이지에서 확인</t>
        </is>
      </c>
      <c r="K2298" s="17" t="inlineStr">
        <is>
          <t>낮음</t>
        </is>
      </c>
      <c r="L2298" s="17" t="inlineStr"/>
    </row>
    <row r="2299">
      <c r="A2299" s="17" t="inlineStr">
        <is>
          <t>C369</t>
        </is>
      </c>
      <c r="B2299" s="17" t="inlineStr"/>
      <c r="C2299" s="17" t="inlineStr">
        <is>
          <t>국립암센터</t>
        </is>
      </c>
      <c r="D2299" s="17" t="inlineStr"/>
      <c r="E2299" s="17" t="inlineStr">
        <is>
          <t>FDA·EMA 실사</t>
        </is>
      </c>
      <c r="F2299" s="17" t="inlineStr">
        <is>
          <t>미확인</t>
        </is>
      </c>
      <c r="G2299" s="17" t="inlineStr">
        <is>
          <t>웹조사 자동화 실패(세션한도)</t>
        </is>
      </c>
      <c r="H2299" s="17" t="inlineStr">
        <is>
          <t>N</t>
        </is>
      </c>
      <c r="I2299" s="17" t="inlineStr">
        <is>
          <t>FDA Inspection DB</t>
        </is>
      </c>
      <c r="J2299" s="17" t="inlineStr">
        <is>
          <t>FDA Inspection DB에서 확인</t>
        </is>
      </c>
      <c r="K2299" s="17" t="inlineStr">
        <is>
          <t>낮음</t>
        </is>
      </c>
      <c r="L2299" s="17" t="inlineStr"/>
    </row>
    <row r="2300">
      <c r="A2300" s="17" t="inlineStr">
        <is>
          <t>C369</t>
        </is>
      </c>
      <c r="B2300" s="17" t="inlineStr"/>
      <c r="C2300" s="17" t="inlineStr">
        <is>
          <t>국립암센터</t>
        </is>
      </c>
      <c r="D2300" s="17" t="inlineStr"/>
      <c r="E2300" s="17" t="inlineStr">
        <is>
          <t>CMO·CDMO</t>
        </is>
      </c>
      <c r="F2300" s="17" t="inlineStr">
        <is>
          <t>미확인</t>
        </is>
      </c>
      <c r="G2300" s="17" t="inlineStr">
        <is>
          <t>웹조사 자동화 실패(세션한도)</t>
        </is>
      </c>
      <c r="H2300" s="17" t="inlineStr">
        <is>
          <t>N</t>
        </is>
      </c>
      <c r="I2300" s="17" t="inlineStr">
        <is>
          <t>회사 홈페이지</t>
        </is>
      </c>
      <c r="J2300" s="17" t="inlineStr">
        <is>
          <t>회사 홈페이지에서 확인</t>
        </is>
      </c>
      <c r="K2300" s="17" t="inlineStr">
        <is>
          <t>낮음</t>
        </is>
      </c>
      <c r="L2300" s="17" t="inlineStr"/>
    </row>
    <row r="2301">
      <c r="A2301" s="17" t="inlineStr">
        <is>
          <t>C369</t>
        </is>
      </c>
      <c r="B2301" s="17" t="inlineStr"/>
      <c r="C2301" s="17" t="inlineStr">
        <is>
          <t>국립암센터</t>
        </is>
      </c>
      <c r="D2301" s="17" t="inlineStr"/>
      <c r="E2301" s="17" t="inlineStr">
        <is>
          <t>신공장·증설</t>
        </is>
      </c>
      <c r="F2301" s="17" t="inlineStr">
        <is>
          <t>미확인</t>
        </is>
      </c>
      <c r="G2301" s="17" t="inlineStr">
        <is>
          <t>웹조사 자동화 실패(세션한도)</t>
        </is>
      </c>
      <c r="H2301" s="17" t="inlineStr">
        <is>
          <t>N</t>
        </is>
      </c>
      <c r="I2301" s="17" t="inlineStr">
        <is>
          <t>언론·지자체 발표</t>
        </is>
      </c>
      <c r="J2301" s="17" t="inlineStr">
        <is>
          <t>언론·지자체 발표에서 확인</t>
        </is>
      </c>
      <c r="K2301" s="17" t="inlineStr">
        <is>
          <t>낮음</t>
        </is>
      </c>
      <c r="L2301" s="17" t="inlineStr"/>
    </row>
    <row r="2302">
      <c r="A2302" s="17" t="inlineStr">
        <is>
          <t>C370</t>
        </is>
      </c>
      <c r="B2302" s="17" t="inlineStr"/>
      <c r="C2302" s="17" t="inlineStr">
        <is>
          <t>(주)휴온스</t>
        </is>
      </c>
      <c r="D2302" s="17" t="inlineStr"/>
      <c r="E2302" s="17" t="inlineStr">
        <is>
          <t>최근매출(억원)</t>
        </is>
      </c>
      <c r="F2302" s="17" t="inlineStr">
        <is>
          <t>미확인</t>
        </is>
      </c>
      <c r="G2302" s="17" t="inlineStr">
        <is>
          <t>웹조사 자동화 실패(세션한도)</t>
        </is>
      </c>
      <c r="H2302" s="17" t="inlineStr">
        <is>
          <t>N</t>
        </is>
      </c>
      <c r="I2302" s="17" t="inlineStr">
        <is>
          <t>DART 사업보고서</t>
        </is>
      </c>
      <c r="J2302" s="17" t="inlineStr">
        <is>
          <t>DART 사업보고서에서 확인</t>
        </is>
      </c>
      <c r="K2302" s="17" t="inlineStr">
        <is>
          <t>낮음</t>
        </is>
      </c>
      <c r="L2302" s="17" t="inlineStr"/>
    </row>
    <row r="2303">
      <c r="A2303" s="17" t="inlineStr">
        <is>
          <t>C370</t>
        </is>
      </c>
      <c r="B2303" s="17" t="inlineStr"/>
      <c r="C2303" s="17" t="inlineStr">
        <is>
          <t>(주)휴온스</t>
        </is>
      </c>
      <c r="D2303" s="17" t="inlineStr"/>
      <c r="E2303" s="17" t="inlineStr">
        <is>
          <t>종업원수</t>
        </is>
      </c>
      <c r="F2303" s="17" t="inlineStr">
        <is>
          <t>미확인</t>
        </is>
      </c>
      <c r="G2303" s="17" t="inlineStr">
        <is>
          <t>웹조사 자동화 실패(세션한도)</t>
        </is>
      </c>
      <c r="H2303" s="17" t="inlineStr">
        <is>
          <t>N</t>
        </is>
      </c>
      <c r="I2303" s="17" t="inlineStr">
        <is>
          <t>DART/채용</t>
        </is>
      </c>
      <c r="J2303" s="17" t="inlineStr">
        <is>
          <t>DART/채용에서 확인</t>
        </is>
      </c>
      <c r="K2303" s="17" t="inlineStr">
        <is>
          <t>낮음</t>
        </is>
      </c>
      <c r="L2303" s="17" t="inlineStr"/>
    </row>
    <row r="2304">
      <c r="A2304" s="17" t="inlineStr">
        <is>
          <t>C370</t>
        </is>
      </c>
      <c r="B2304" s="17" t="inlineStr"/>
      <c r="C2304" s="17" t="inlineStr">
        <is>
          <t>(주)휴온스</t>
        </is>
      </c>
      <c r="D2304" s="17" t="inlineStr"/>
      <c r="E2304" s="17" t="inlineStr">
        <is>
          <t>수출여부</t>
        </is>
      </c>
      <c r="F2304" s="17" t="inlineStr">
        <is>
          <t>미확인</t>
        </is>
      </c>
      <c r="G2304" s="17" t="inlineStr">
        <is>
          <t>웹조사 자동화 실패(세션한도)</t>
        </is>
      </c>
      <c r="H2304" s="17" t="inlineStr">
        <is>
          <t>N</t>
        </is>
      </c>
      <c r="I2304" s="17" t="inlineStr">
        <is>
          <t>회사 공시·홈페이지</t>
        </is>
      </c>
      <c r="J2304" s="17" t="inlineStr">
        <is>
          <t>회사 공시·홈페이지에서 확인</t>
        </is>
      </c>
      <c r="K2304" s="17" t="inlineStr">
        <is>
          <t>낮음</t>
        </is>
      </c>
      <c r="L2304" s="17" t="inlineStr"/>
    </row>
    <row r="2305">
      <c r="A2305" s="17" t="inlineStr">
        <is>
          <t>C370</t>
        </is>
      </c>
      <c r="B2305" s="17" t="inlineStr"/>
      <c r="C2305" s="17" t="inlineStr">
        <is>
          <t>(주)휴온스</t>
        </is>
      </c>
      <c r="D2305" s="17" t="inlineStr"/>
      <c r="E2305" s="17" t="inlineStr">
        <is>
          <t>FDA·EMA 실사</t>
        </is>
      </c>
      <c r="F2305" s="17" t="inlineStr">
        <is>
          <t>미확인</t>
        </is>
      </c>
      <c r="G2305" s="17" t="inlineStr">
        <is>
          <t>웹조사 자동화 실패(세션한도)</t>
        </is>
      </c>
      <c r="H2305" s="17" t="inlineStr">
        <is>
          <t>N</t>
        </is>
      </c>
      <c r="I2305" s="17" t="inlineStr">
        <is>
          <t>FDA Inspection DB</t>
        </is>
      </c>
      <c r="J2305" s="17" t="inlineStr">
        <is>
          <t>FDA Inspection DB에서 확인</t>
        </is>
      </c>
      <c r="K2305" s="17" t="inlineStr">
        <is>
          <t>낮음</t>
        </is>
      </c>
      <c r="L2305" s="17" t="inlineStr"/>
    </row>
    <row r="2306">
      <c r="A2306" s="17" t="inlineStr">
        <is>
          <t>C370</t>
        </is>
      </c>
      <c r="B2306" s="17" t="inlineStr"/>
      <c r="C2306" s="17" t="inlineStr">
        <is>
          <t>(주)휴온스</t>
        </is>
      </c>
      <c r="D2306" s="17" t="inlineStr"/>
      <c r="E2306" s="17" t="inlineStr">
        <is>
          <t>CMO·CDMO</t>
        </is>
      </c>
      <c r="F2306" s="17" t="inlineStr">
        <is>
          <t>미확인</t>
        </is>
      </c>
      <c r="G2306" s="17" t="inlineStr">
        <is>
          <t>웹조사 자동화 실패(세션한도)</t>
        </is>
      </c>
      <c r="H2306" s="17" t="inlineStr">
        <is>
          <t>N</t>
        </is>
      </c>
      <c r="I2306" s="17" t="inlineStr">
        <is>
          <t>회사 홈페이지</t>
        </is>
      </c>
      <c r="J2306" s="17" t="inlineStr">
        <is>
          <t>회사 홈페이지에서 확인</t>
        </is>
      </c>
      <c r="K2306" s="17" t="inlineStr">
        <is>
          <t>낮음</t>
        </is>
      </c>
      <c r="L2306" s="17" t="inlineStr"/>
    </row>
    <row r="2307">
      <c r="A2307" s="17" t="inlineStr">
        <is>
          <t>C370</t>
        </is>
      </c>
      <c r="B2307" s="17" t="inlineStr"/>
      <c r="C2307" s="17" t="inlineStr">
        <is>
          <t>(주)휴온스</t>
        </is>
      </c>
      <c r="D2307" s="17" t="inlineStr"/>
      <c r="E2307" s="17" t="inlineStr">
        <is>
          <t>신공장·증설</t>
        </is>
      </c>
      <c r="F2307" s="17" t="inlineStr">
        <is>
          <t>미확인</t>
        </is>
      </c>
      <c r="G2307" s="17" t="inlineStr">
        <is>
          <t>웹조사 자동화 실패(세션한도)</t>
        </is>
      </c>
      <c r="H2307" s="17" t="inlineStr">
        <is>
          <t>N</t>
        </is>
      </c>
      <c r="I2307" s="17" t="inlineStr">
        <is>
          <t>언론·지자체 발표</t>
        </is>
      </c>
      <c r="J2307" s="17" t="inlineStr">
        <is>
          <t>언론·지자체 발표에서 확인</t>
        </is>
      </c>
      <c r="K2307" s="17" t="inlineStr">
        <is>
          <t>낮음</t>
        </is>
      </c>
      <c r="L2307" s="17" t="inlineStr"/>
    </row>
    <row r="2308">
      <c r="A2308" s="17" t="inlineStr">
        <is>
          <t>C370</t>
        </is>
      </c>
      <c r="B2308" s="17" t="inlineStr"/>
      <c r="C2308" s="17" t="inlineStr">
        <is>
          <t>(주)휴온스</t>
        </is>
      </c>
      <c r="D2308" s="17" t="inlineStr"/>
      <c r="E2308" s="17" t="inlineStr">
        <is>
          <t>대표전화</t>
        </is>
      </c>
      <c r="F2308" s="17" t="inlineStr">
        <is>
          <t>미확인</t>
        </is>
      </c>
      <c r="G2308" s="17" t="inlineStr">
        <is>
          <t>제조소상세 미매칭</t>
        </is>
      </c>
      <c r="H2308" s="17" t="inlineStr">
        <is>
          <t>Y</t>
        </is>
      </c>
      <c r="I2308" s="17" t="inlineStr">
        <is>
          <t>회사 홈페이지</t>
        </is>
      </c>
      <c r="J2308" s="17" t="inlineStr">
        <is>
          <t>홈페이지에서 대표번호 확인</t>
        </is>
      </c>
      <c r="K2308" s="17" t="inlineStr">
        <is>
          <t>낮음</t>
        </is>
      </c>
      <c r="L2308" s="17" t="inlineStr"/>
    </row>
    <row r="2309">
      <c r="A2309" s="17" t="inlineStr">
        <is>
          <t>C371</t>
        </is>
      </c>
      <c r="B2309" s="17" t="inlineStr"/>
      <c r="C2309" s="17" t="inlineStr">
        <is>
          <t>주식회사 노바엠헬스케어</t>
        </is>
      </c>
      <c r="D2309" s="17" t="inlineStr"/>
      <c r="E2309" s="17" t="inlineStr">
        <is>
          <t>최근매출(억원)</t>
        </is>
      </c>
      <c r="F2309" s="17" t="inlineStr">
        <is>
          <t>미확인</t>
        </is>
      </c>
      <c r="G2309" s="17" t="inlineStr">
        <is>
          <t>웹조사 자동화 실패(세션한도)</t>
        </is>
      </c>
      <c r="H2309" s="17" t="inlineStr">
        <is>
          <t>N</t>
        </is>
      </c>
      <c r="I2309" s="17" t="inlineStr">
        <is>
          <t>DART 사업보고서</t>
        </is>
      </c>
      <c r="J2309" s="17" t="inlineStr">
        <is>
          <t>DART 사업보고서에서 확인</t>
        </is>
      </c>
      <c r="K2309" s="17" t="inlineStr">
        <is>
          <t>낮음</t>
        </is>
      </c>
      <c r="L2309" s="17" t="inlineStr"/>
    </row>
    <row r="2310">
      <c r="A2310" s="17" t="inlineStr">
        <is>
          <t>C371</t>
        </is>
      </c>
      <c r="B2310" s="17" t="inlineStr"/>
      <c r="C2310" s="17" t="inlineStr">
        <is>
          <t>주식회사 노바엠헬스케어</t>
        </is>
      </c>
      <c r="D2310" s="17" t="inlineStr"/>
      <c r="E2310" s="17" t="inlineStr">
        <is>
          <t>종업원수</t>
        </is>
      </c>
      <c r="F2310" s="17" t="inlineStr">
        <is>
          <t>미확인</t>
        </is>
      </c>
      <c r="G2310" s="17" t="inlineStr">
        <is>
          <t>웹조사 자동화 실패(세션한도)</t>
        </is>
      </c>
      <c r="H2310" s="17" t="inlineStr">
        <is>
          <t>N</t>
        </is>
      </c>
      <c r="I2310" s="17" t="inlineStr">
        <is>
          <t>DART/채용</t>
        </is>
      </c>
      <c r="J2310" s="17" t="inlineStr">
        <is>
          <t>DART/채용에서 확인</t>
        </is>
      </c>
      <c r="K2310" s="17" t="inlineStr">
        <is>
          <t>낮음</t>
        </is>
      </c>
      <c r="L2310" s="17" t="inlineStr"/>
    </row>
    <row r="2311">
      <c r="A2311" s="17" t="inlineStr">
        <is>
          <t>C371</t>
        </is>
      </c>
      <c r="B2311" s="17" t="inlineStr"/>
      <c r="C2311" s="17" t="inlineStr">
        <is>
          <t>주식회사 노바엠헬스케어</t>
        </is>
      </c>
      <c r="D2311" s="17" t="inlineStr"/>
      <c r="E2311" s="17" t="inlineStr">
        <is>
          <t>수출여부</t>
        </is>
      </c>
      <c r="F2311" s="17" t="inlineStr">
        <is>
          <t>미확인</t>
        </is>
      </c>
      <c r="G2311" s="17" t="inlineStr">
        <is>
          <t>웹조사 자동화 실패(세션한도)</t>
        </is>
      </c>
      <c r="H2311" s="17" t="inlineStr">
        <is>
          <t>N</t>
        </is>
      </c>
      <c r="I2311" s="17" t="inlineStr">
        <is>
          <t>회사 공시·홈페이지</t>
        </is>
      </c>
      <c r="J2311" s="17" t="inlineStr">
        <is>
          <t>회사 공시·홈페이지에서 확인</t>
        </is>
      </c>
      <c r="K2311" s="17" t="inlineStr">
        <is>
          <t>낮음</t>
        </is>
      </c>
      <c r="L2311" s="17" t="inlineStr"/>
    </row>
    <row r="2312">
      <c r="A2312" s="17" t="inlineStr">
        <is>
          <t>C371</t>
        </is>
      </c>
      <c r="B2312" s="17" t="inlineStr"/>
      <c r="C2312" s="17" t="inlineStr">
        <is>
          <t>주식회사 노바엠헬스케어</t>
        </is>
      </c>
      <c r="D2312" s="17" t="inlineStr"/>
      <c r="E2312" s="17" t="inlineStr">
        <is>
          <t>FDA·EMA 실사</t>
        </is>
      </c>
      <c r="F2312" s="17" t="inlineStr">
        <is>
          <t>미확인</t>
        </is>
      </c>
      <c r="G2312" s="17" t="inlineStr">
        <is>
          <t>웹조사 자동화 실패(세션한도)</t>
        </is>
      </c>
      <c r="H2312" s="17" t="inlineStr">
        <is>
          <t>N</t>
        </is>
      </c>
      <c r="I2312" s="17" t="inlineStr">
        <is>
          <t>FDA Inspection DB</t>
        </is>
      </c>
      <c r="J2312" s="17" t="inlineStr">
        <is>
          <t>FDA Inspection DB에서 확인</t>
        </is>
      </c>
      <c r="K2312" s="17" t="inlineStr">
        <is>
          <t>낮음</t>
        </is>
      </c>
      <c r="L2312" s="17" t="inlineStr"/>
    </row>
    <row r="2313">
      <c r="A2313" s="17" t="inlineStr">
        <is>
          <t>C371</t>
        </is>
      </c>
      <c r="B2313" s="17" t="inlineStr"/>
      <c r="C2313" s="17" t="inlineStr">
        <is>
          <t>주식회사 노바엠헬스케어</t>
        </is>
      </c>
      <c r="D2313" s="17" t="inlineStr"/>
      <c r="E2313" s="17" t="inlineStr">
        <is>
          <t>CMO·CDMO</t>
        </is>
      </c>
      <c r="F2313" s="17" t="inlineStr">
        <is>
          <t>미확인</t>
        </is>
      </c>
      <c r="G2313" s="17" t="inlineStr">
        <is>
          <t>웹조사 자동화 실패(세션한도)</t>
        </is>
      </c>
      <c r="H2313" s="17" t="inlineStr">
        <is>
          <t>N</t>
        </is>
      </c>
      <c r="I2313" s="17" t="inlineStr">
        <is>
          <t>회사 홈페이지</t>
        </is>
      </c>
      <c r="J2313" s="17" t="inlineStr">
        <is>
          <t>회사 홈페이지에서 확인</t>
        </is>
      </c>
      <c r="K2313" s="17" t="inlineStr">
        <is>
          <t>낮음</t>
        </is>
      </c>
      <c r="L2313" s="17" t="inlineStr"/>
    </row>
    <row r="2314">
      <c r="A2314" s="17" t="inlineStr">
        <is>
          <t>C371</t>
        </is>
      </c>
      <c r="B2314" s="17" t="inlineStr"/>
      <c r="C2314" s="17" t="inlineStr">
        <is>
          <t>주식회사 노바엠헬스케어</t>
        </is>
      </c>
      <c r="D2314" s="17" t="inlineStr"/>
      <c r="E2314" s="17" t="inlineStr">
        <is>
          <t>신공장·증설</t>
        </is>
      </c>
      <c r="F2314" s="17" t="inlineStr">
        <is>
          <t>미확인</t>
        </is>
      </c>
      <c r="G2314" s="17" t="inlineStr">
        <is>
          <t>웹조사 자동화 실패(세션한도)</t>
        </is>
      </c>
      <c r="H2314" s="17" t="inlineStr">
        <is>
          <t>N</t>
        </is>
      </c>
      <c r="I2314" s="17" t="inlineStr">
        <is>
          <t>언론·지자체 발표</t>
        </is>
      </c>
      <c r="J2314" s="17" t="inlineStr">
        <is>
          <t>언론·지자체 발표에서 확인</t>
        </is>
      </c>
      <c r="K2314" s="17" t="inlineStr">
        <is>
          <t>낮음</t>
        </is>
      </c>
      <c r="L2314" s="17" t="inlineStr"/>
    </row>
    <row r="2315">
      <c r="A2315" s="17" t="inlineStr">
        <is>
          <t>C372</t>
        </is>
      </c>
      <c r="B2315" s="17" t="inlineStr"/>
      <c r="C2315" s="17" t="inlineStr">
        <is>
          <t>(주)신라충전소</t>
        </is>
      </c>
      <c r="D2315" s="17" t="inlineStr"/>
      <c r="E2315" s="17" t="inlineStr">
        <is>
          <t>최근매출(억원)</t>
        </is>
      </c>
      <c r="F2315" s="17" t="inlineStr">
        <is>
          <t>미확인</t>
        </is>
      </c>
      <c r="G2315" s="17" t="inlineStr">
        <is>
          <t>웹조사 자동화 실패(세션한도)</t>
        </is>
      </c>
      <c r="H2315" s="17" t="inlineStr">
        <is>
          <t>N</t>
        </is>
      </c>
      <c r="I2315" s="17" t="inlineStr">
        <is>
          <t>DART 사업보고서</t>
        </is>
      </c>
      <c r="J2315" s="17" t="inlineStr">
        <is>
          <t>DART 사업보고서에서 확인</t>
        </is>
      </c>
      <c r="K2315" s="17" t="inlineStr">
        <is>
          <t>낮음</t>
        </is>
      </c>
      <c r="L2315" s="17" t="inlineStr"/>
    </row>
    <row r="2316">
      <c r="A2316" s="17" t="inlineStr">
        <is>
          <t>C372</t>
        </is>
      </c>
      <c r="B2316" s="17" t="inlineStr"/>
      <c r="C2316" s="17" t="inlineStr">
        <is>
          <t>(주)신라충전소</t>
        </is>
      </c>
      <c r="D2316" s="17" t="inlineStr"/>
      <c r="E2316" s="17" t="inlineStr">
        <is>
          <t>종업원수</t>
        </is>
      </c>
      <c r="F2316" s="17" t="inlineStr">
        <is>
          <t>미확인</t>
        </is>
      </c>
      <c r="G2316" s="17" t="inlineStr">
        <is>
          <t>웹조사 자동화 실패(세션한도)</t>
        </is>
      </c>
      <c r="H2316" s="17" t="inlineStr">
        <is>
          <t>N</t>
        </is>
      </c>
      <c r="I2316" s="17" t="inlineStr">
        <is>
          <t>DART/채용</t>
        </is>
      </c>
      <c r="J2316" s="17" t="inlineStr">
        <is>
          <t>DART/채용에서 확인</t>
        </is>
      </c>
      <c r="K2316" s="17" t="inlineStr">
        <is>
          <t>낮음</t>
        </is>
      </c>
      <c r="L2316" s="17" t="inlineStr"/>
    </row>
    <row r="2317">
      <c r="A2317" s="17" t="inlineStr">
        <is>
          <t>C372</t>
        </is>
      </c>
      <c r="B2317" s="17" t="inlineStr"/>
      <c r="C2317" s="17" t="inlineStr">
        <is>
          <t>(주)신라충전소</t>
        </is>
      </c>
      <c r="D2317" s="17" t="inlineStr"/>
      <c r="E2317" s="17" t="inlineStr">
        <is>
          <t>수출여부</t>
        </is>
      </c>
      <c r="F2317" s="17" t="inlineStr">
        <is>
          <t>미확인</t>
        </is>
      </c>
      <c r="G2317" s="17" t="inlineStr">
        <is>
          <t>웹조사 자동화 실패(세션한도)</t>
        </is>
      </c>
      <c r="H2317" s="17" t="inlineStr">
        <is>
          <t>N</t>
        </is>
      </c>
      <c r="I2317" s="17" t="inlineStr">
        <is>
          <t>회사 공시·홈페이지</t>
        </is>
      </c>
      <c r="J2317" s="17" t="inlineStr">
        <is>
          <t>회사 공시·홈페이지에서 확인</t>
        </is>
      </c>
      <c r="K2317" s="17" t="inlineStr">
        <is>
          <t>낮음</t>
        </is>
      </c>
      <c r="L2317" s="17" t="inlineStr"/>
    </row>
    <row r="2318">
      <c r="A2318" s="17" t="inlineStr">
        <is>
          <t>C372</t>
        </is>
      </c>
      <c r="B2318" s="17" t="inlineStr"/>
      <c r="C2318" s="17" t="inlineStr">
        <is>
          <t>(주)신라충전소</t>
        </is>
      </c>
      <c r="D2318" s="17" t="inlineStr"/>
      <c r="E2318" s="17" t="inlineStr">
        <is>
          <t>FDA·EMA 실사</t>
        </is>
      </c>
      <c r="F2318" s="17" t="inlineStr">
        <is>
          <t>미확인</t>
        </is>
      </c>
      <c r="G2318" s="17" t="inlineStr">
        <is>
          <t>웹조사 자동화 실패(세션한도)</t>
        </is>
      </c>
      <c r="H2318" s="17" t="inlineStr">
        <is>
          <t>N</t>
        </is>
      </c>
      <c r="I2318" s="17" t="inlineStr">
        <is>
          <t>FDA Inspection DB</t>
        </is>
      </c>
      <c r="J2318" s="17" t="inlineStr">
        <is>
          <t>FDA Inspection DB에서 확인</t>
        </is>
      </c>
      <c r="K2318" s="17" t="inlineStr">
        <is>
          <t>낮음</t>
        </is>
      </c>
      <c r="L2318" s="17" t="inlineStr"/>
    </row>
    <row r="2319">
      <c r="A2319" s="17" t="inlineStr">
        <is>
          <t>C372</t>
        </is>
      </c>
      <c r="B2319" s="17" t="inlineStr"/>
      <c r="C2319" s="17" t="inlineStr">
        <is>
          <t>(주)신라충전소</t>
        </is>
      </c>
      <c r="D2319" s="17" t="inlineStr"/>
      <c r="E2319" s="17" t="inlineStr">
        <is>
          <t>CMO·CDMO</t>
        </is>
      </c>
      <c r="F2319" s="17" t="inlineStr">
        <is>
          <t>미확인</t>
        </is>
      </c>
      <c r="G2319" s="17" t="inlineStr">
        <is>
          <t>웹조사 자동화 실패(세션한도)</t>
        </is>
      </c>
      <c r="H2319" s="17" t="inlineStr">
        <is>
          <t>N</t>
        </is>
      </c>
      <c r="I2319" s="17" t="inlineStr">
        <is>
          <t>회사 홈페이지</t>
        </is>
      </c>
      <c r="J2319" s="17" t="inlineStr">
        <is>
          <t>회사 홈페이지에서 확인</t>
        </is>
      </c>
      <c r="K2319" s="17" t="inlineStr">
        <is>
          <t>낮음</t>
        </is>
      </c>
      <c r="L2319" s="17" t="inlineStr"/>
    </row>
    <row r="2320">
      <c r="A2320" s="17" t="inlineStr">
        <is>
          <t>C372</t>
        </is>
      </c>
      <c r="B2320" s="17" t="inlineStr"/>
      <c r="C2320" s="17" t="inlineStr">
        <is>
          <t>(주)신라충전소</t>
        </is>
      </c>
      <c r="D2320" s="17" t="inlineStr"/>
      <c r="E2320" s="17" t="inlineStr">
        <is>
          <t>신공장·증설</t>
        </is>
      </c>
      <c r="F2320" s="17" t="inlineStr">
        <is>
          <t>미확인</t>
        </is>
      </c>
      <c r="G2320" s="17" t="inlineStr">
        <is>
          <t>웹조사 자동화 실패(세션한도)</t>
        </is>
      </c>
      <c r="H2320" s="17" t="inlineStr">
        <is>
          <t>N</t>
        </is>
      </c>
      <c r="I2320" s="17" t="inlineStr">
        <is>
          <t>언론·지자체 발표</t>
        </is>
      </c>
      <c r="J2320" s="17" t="inlineStr">
        <is>
          <t>언론·지자체 발표에서 확인</t>
        </is>
      </c>
      <c r="K2320" s="17" t="inlineStr">
        <is>
          <t>낮음</t>
        </is>
      </c>
      <c r="L2320" s="17" t="inlineStr"/>
    </row>
    <row r="2321">
      <c r="A2321" s="17" t="inlineStr">
        <is>
          <t>C373</t>
        </is>
      </c>
      <c r="B2321" s="17" t="inlineStr"/>
      <c r="C2321" s="17" t="inlineStr">
        <is>
          <t>(주)펜믹스</t>
        </is>
      </c>
      <c r="D2321" s="17" t="inlineStr"/>
      <c r="E2321" s="17" t="inlineStr">
        <is>
          <t>최근매출(억원)</t>
        </is>
      </c>
      <c r="F2321" s="17" t="inlineStr">
        <is>
          <t>미확인</t>
        </is>
      </c>
      <c r="G2321" s="17" t="inlineStr">
        <is>
          <t>웹조사 자동화 실패(세션한도)</t>
        </is>
      </c>
      <c r="H2321" s="17" t="inlineStr">
        <is>
          <t>N</t>
        </is>
      </c>
      <c r="I2321" s="17" t="inlineStr">
        <is>
          <t>DART 사업보고서</t>
        </is>
      </c>
      <c r="J2321" s="17" t="inlineStr">
        <is>
          <t>DART 사업보고서에서 확인</t>
        </is>
      </c>
      <c r="K2321" s="17" t="inlineStr">
        <is>
          <t>낮음</t>
        </is>
      </c>
      <c r="L2321" s="17" t="inlineStr"/>
    </row>
    <row r="2322">
      <c r="A2322" s="17" t="inlineStr">
        <is>
          <t>C373</t>
        </is>
      </c>
      <c r="B2322" s="17" t="inlineStr"/>
      <c r="C2322" s="17" t="inlineStr">
        <is>
          <t>(주)펜믹스</t>
        </is>
      </c>
      <c r="D2322" s="17" t="inlineStr"/>
      <c r="E2322" s="17" t="inlineStr">
        <is>
          <t>종업원수</t>
        </is>
      </c>
      <c r="F2322" s="17" t="inlineStr">
        <is>
          <t>미확인</t>
        </is>
      </c>
      <c r="G2322" s="17" t="inlineStr">
        <is>
          <t>웹조사 자동화 실패(세션한도)</t>
        </is>
      </c>
      <c r="H2322" s="17" t="inlineStr">
        <is>
          <t>N</t>
        </is>
      </c>
      <c r="I2322" s="17" t="inlineStr">
        <is>
          <t>DART/채용</t>
        </is>
      </c>
      <c r="J2322" s="17" t="inlineStr">
        <is>
          <t>DART/채용에서 확인</t>
        </is>
      </c>
      <c r="K2322" s="17" t="inlineStr">
        <is>
          <t>낮음</t>
        </is>
      </c>
      <c r="L2322" s="17" t="inlineStr"/>
    </row>
    <row r="2323">
      <c r="A2323" s="17" t="inlineStr">
        <is>
          <t>C373</t>
        </is>
      </c>
      <c r="B2323" s="17" t="inlineStr"/>
      <c r="C2323" s="17" t="inlineStr">
        <is>
          <t>(주)펜믹스</t>
        </is>
      </c>
      <c r="D2323" s="17" t="inlineStr"/>
      <c r="E2323" s="17" t="inlineStr">
        <is>
          <t>수출여부</t>
        </is>
      </c>
      <c r="F2323" s="17" t="inlineStr">
        <is>
          <t>미확인</t>
        </is>
      </c>
      <c r="G2323" s="17" t="inlineStr">
        <is>
          <t>웹조사 자동화 실패(세션한도)</t>
        </is>
      </c>
      <c r="H2323" s="17" t="inlineStr">
        <is>
          <t>N</t>
        </is>
      </c>
      <c r="I2323" s="17" t="inlineStr">
        <is>
          <t>회사 공시·홈페이지</t>
        </is>
      </c>
      <c r="J2323" s="17" t="inlineStr">
        <is>
          <t>회사 공시·홈페이지에서 확인</t>
        </is>
      </c>
      <c r="K2323" s="17" t="inlineStr">
        <is>
          <t>낮음</t>
        </is>
      </c>
      <c r="L2323" s="17" t="inlineStr"/>
    </row>
    <row r="2324">
      <c r="A2324" s="17" t="inlineStr">
        <is>
          <t>C373</t>
        </is>
      </c>
      <c r="B2324" s="17" t="inlineStr"/>
      <c r="C2324" s="17" t="inlineStr">
        <is>
          <t>(주)펜믹스</t>
        </is>
      </c>
      <c r="D2324" s="17" t="inlineStr"/>
      <c r="E2324" s="17" t="inlineStr">
        <is>
          <t>FDA·EMA 실사</t>
        </is>
      </c>
      <c r="F2324" s="17" t="inlineStr">
        <is>
          <t>미확인</t>
        </is>
      </c>
      <c r="G2324" s="17" t="inlineStr">
        <is>
          <t>웹조사 자동화 실패(세션한도)</t>
        </is>
      </c>
      <c r="H2324" s="17" t="inlineStr">
        <is>
          <t>N</t>
        </is>
      </c>
      <c r="I2324" s="17" t="inlineStr">
        <is>
          <t>FDA Inspection DB</t>
        </is>
      </c>
      <c r="J2324" s="17" t="inlineStr">
        <is>
          <t>FDA Inspection DB에서 확인</t>
        </is>
      </c>
      <c r="K2324" s="17" t="inlineStr">
        <is>
          <t>낮음</t>
        </is>
      </c>
      <c r="L2324" s="17" t="inlineStr"/>
    </row>
    <row r="2325">
      <c r="A2325" s="17" t="inlineStr">
        <is>
          <t>C373</t>
        </is>
      </c>
      <c r="B2325" s="17" t="inlineStr"/>
      <c r="C2325" s="17" t="inlineStr">
        <is>
          <t>(주)펜믹스</t>
        </is>
      </c>
      <c r="D2325" s="17" t="inlineStr"/>
      <c r="E2325" s="17" t="inlineStr">
        <is>
          <t>CMO·CDMO</t>
        </is>
      </c>
      <c r="F2325" s="17" t="inlineStr">
        <is>
          <t>미확인</t>
        </is>
      </c>
      <c r="G2325" s="17" t="inlineStr">
        <is>
          <t>웹조사 자동화 실패(세션한도)</t>
        </is>
      </c>
      <c r="H2325" s="17" t="inlineStr">
        <is>
          <t>N</t>
        </is>
      </c>
      <c r="I2325" s="17" t="inlineStr">
        <is>
          <t>회사 홈페이지</t>
        </is>
      </c>
      <c r="J2325" s="17" t="inlineStr">
        <is>
          <t>회사 홈페이지에서 확인</t>
        </is>
      </c>
      <c r="K2325" s="17" t="inlineStr">
        <is>
          <t>낮음</t>
        </is>
      </c>
      <c r="L2325" s="17" t="inlineStr"/>
    </row>
    <row r="2326">
      <c r="A2326" s="17" t="inlineStr">
        <is>
          <t>C373</t>
        </is>
      </c>
      <c r="B2326" s="17" t="inlineStr"/>
      <c r="C2326" s="17" t="inlineStr">
        <is>
          <t>(주)펜믹스</t>
        </is>
      </c>
      <c r="D2326" s="17" t="inlineStr"/>
      <c r="E2326" s="17" t="inlineStr">
        <is>
          <t>신공장·증설</t>
        </is>
      </c>
      <c r="F2326" s="17" t="inlineStr">
        <is>
          <t>미확인</t>
        </is>
      </c>
      <c r="G2326" s="17" t="inlineStr">
        <is>
          <t>웹조사 자동화 실패(세션한도)</t>
        </is>
      </c>
      <c r="H2326" s="17" t="inlineStr">
        <is>
          <t>N</t>
        </is>
      </c>
      <c r="I2326" s="17" t="inlineStr">
        <is>
          <t>언론·지자체 발표</t>
        </is>
      </c>
      <c r="J2326" s="17" t="inlineStr">
        <is>
          <t>언론·지자체 발표에서 확인</t>
        </is>
      </c>
      <c r="K2326" s="17" t="inlineStr">
        <is>
          <t>낮음</t>
        </is>
      </c>
      <c r="L2326" s="17" t="inlineStr"/>
    </row>
    <row r="2327">
      <c r="A2327" s="17" t="inlineStr">
        <is>
          <t>C374</t>
        </is>
      </c>
      <c r="B2327" s="17" t="inlineStr"/>
      <c r="C2327" s="17" t="inlineStr">
        <is>
          <t>(주)코아팜바이오</t>
        </is>
      </c>
      <c r="D2327" s="17" t="inlineStr"/>
      <c r="E2327" s="17" t="inlineStr">
        <is>
          <t>최근매출(억원)</t>
        </is>
      </c>
      <c r="F2327" s="17" t="inlineStr">
        <is>
          <t>미확인</t>
        </is>
      </c>
      <c r="G2327" s="17" t="inlineStr">
        <is>
          <t>웹조사 자동화 실패(세션한도)</t>
        </is>
      </c>
      <c r="H2327" s="17" t="inlineStr">
        <is>
          <t>N</t>
        </is>
      </c>
      <c r="I2327" s="17" t="inlineStr">
        <is>
          <t>DART 사업보고서</t>
        </is>
      </c>
      <c r="J2327" s="17" t="inlineStr">
        <is>
          <t>DART 사업보고서에서 확인</t>
        </is>
      </c>
      <c r="K2327" s="17" t="inlineStr">
        <is>
          <t>낮음</t>
        </is>
      </c>
      <c r="L2327" s="17" t="inlineStr"/>
    </row>
    <row r="2328">
      <c r="A2328" s="17" t="inlineStr">
        <is>
          <t>C374</t>
        </is>
      </c>
      <c r="B2328" s="17" t="inlineStr"/>
      <c r="C2328" s="17" t="inlineStr">
        <is>
          <t>(주)코아팜바이오</t>
        </is>
      </c>
      <c r="D2328" s="17" t="inlineStr"/>
      <c r="E2328" s="17" t="inlineStr">
        <is>
          <t>종업원수</t>
        </is>
      </c>
      <c r="F2328" s="17" t="inlineStr">
        <is>
          <t>미확인</t>
        </is>
      </c>
      <c r="G2328" s="17" t="inlineStr">
        <is>
          <t>웹조사 자동화 실패(세션한도)</t>
        </is>
      </c>
      <c r="H2328" s="17" t="inlineStr">
        <is>
          <t>N</t>
        </is>
      </c>
      <c r="I2328" s="17" t="inlineStr">
        <is>
          <t>DART/채용</t>
        </is>
      </c>
      <c r="J2328" s="17" t="inlineStr">
        <is>
          <t>DART/채용에서 확인</t>
        </is>
      </c>
      <c r="K2328" s="17" t="inlineStr">
        <is>
          <t>낮음</t>
        </is>
      </c>
      <c r="L2328" s="17" t="inlineStr"/>
    </row>
    <row r="2329">
      <c r="A2329" s="17" t="inlineStr">
        <is>
          <t>C374</t>
        </is>
      </c>
      <c r="B2329" s="17" t="inlineStr"/>
      <c r="C2329" s="17" t="inlineStr">
        <is>
          <t>(주)코아팜바이오</t>
        </is>
      </c>
      <c r="D2329" s="17" t="inlineStr"/>
      <c r="E2329" s="17" t="inlineStr">
        <is>
          <t>수출여부</t>
        </is>
      </c>
      <c r="F2329" s="17" t="inlineStr">
        <is>
          <t>미확인</t>
        </is>
      </c>
      <c r="G2329" s="17" t="inlineStr">
        <is>
          <t>웹조사 자동화 실패(세션한도)</t>
        </is>
      </c>
      <c r="H2329" s="17" t="inlineStr">
        <is>
          <t>N</t>
        </is>
      </c>
      <c r="I2329" s="17" t="inlineStr">
        <is>
          <t>회사 공시·홈페이지</t>
        </is>
      </c>
      <c r="J2329" s="17" t="inlineStr">
        <is>
          <t>회사 공시·홈페이지에서 확인</t>
        </is>
      </c>
      <c r="K2329" s="17" t="inlineStr">
        <is>
          <t>낮음</t>
        </is>
      </c>
      <c r="L2329" s="17" t="inlineStr"/>
    </row>
    <row r="2330">
      <c r="A2330" s="17" t="inlineStr">
        <is>
          <t>C374</t>
        </is>
      </c>
      <c r="B2330" s="17" t="inlineStr"/>
      <c r="C2330" s="17" t="inlineStr">
        <is>
          <t>(주)코아팜바이오</t>
        </is>
      </c>
      <c r="D2330" s="17" t="inlineStr"/>
      <c r="E2330" s="17" t="inlineStr">
        <is>
          <t>FDA·EMA 실사</t>
        </is>
      </c>
      <c r="F2330" s="17" t="inlineStr">
        <is>
          <t>미확인</t>
        </is>
      </c>
      <c r="G2330" s="17" t="inlineStr">
        <is>
          <t>웹조사 자동화 실패(세션한도)</t>
        </is>
      </c>
      <c r="H2330" s="17" t="inlineStr">
        <is>
          <t>N</t>
        </is>
      </c>
      <c r="I2330" s="17" t="inlineStr">
        <is>
          <t>FDA Inspection DB</t>
        </is>
      </c>
      <c r="J2330" s="17" t="inlineStr">
        <is>
          <t>FDA Inspection DB에서 확인</t>
        </is>
      </c>
      <c r="K2330" s="17" t="inlineStr">
        <is>
          <t>낮음</t>
        </is>
      </c>
      <c r="L2330" s="17" t="inlineStr"/>
    </row>
    <row r="2331">
      <c r="A2331" s="17" t="inlineStr">
        <is>
          <t>C374</t>
        </is>
      </c>
      <c r="B2331" s="17" t="inlineStr"/>
      <c r="C2331" s="17" t="inlineStr">
        <is>
          <t>(주)코아팜바이오</t>
        </is>
      </c>
      <c r="D2331" s="17" t="inlineStr"/>
      <c r="E2331" s="17" t="inlineStr">
        <is>
          <t>CMO·CDMO</t>
        </is>
      </c>
      <c r="F2331" s="17" t="inlineStr">
        <is>
          <t>미확인</t>
        </is>
      </c>
      <c r="G2331" s="17" t="inlineStr">
        <is>
          <t>웹조사 자동화 실패(세션한도)</t>
        </is>
      </c>
      <c r="H2331" s="17" t="inlineStr">
        <is>
          <t>N</t>
        </is>
      </c>
      <c r="I2331" s="17" t="inlineStr">
        <is>
          <t>회사 홈페이지</t>
        </is>
      </c>
      <c r="J2331" s="17" t="inlineStr">
        <is>
          <t>회사 홈페이지에서 확인</t>
        </is>
      </c>
      <c r="K2331" s="17" t="inlineStr">
        <is>
          <t>낮음</t>
        </is>
      </c>
      <c r="L2331" s="17" t="inlineStr"/>
    </row>
    <row r="2332">
      <c r="A2332" s="17" t="inlineStr">
        <is>
          <t>C374</t>
        </is>
      </c>
      <c r="B2332" s="17" t="inlineStr"/>
      <c r="C2332" s="17" t="inlineStr">
        <is>
          <t>(주)코아팜바이오</t>
        </is>
      </c>
      <c r="D2332" s="17" t="inlineStr"/>
      <c r="E2332" s="17" t="inlineStr">
        <is>
          <t>신공장·증설</t>
        </is>
      </c>
      <c r="F2332" s="17" t="inlineStr">
        <is>
          <t>미확인</t>
        </is>
      </c>
      <c r="G2332" s="17" t="inlineStr">
        <is>
          <t>웹조사 자동화 실패(세션한도)</t>
        </is>
      </c>
      <c r="H2332" s="17" t="inlineStr">
        <is>
          <t>N</t>
        </is>
      </c>
      <c r="I2332" s="17" t="inlineStr">
        <is>
          <t>언론·지자체 발표</t>
        </is>
      </c>
      <c r="J2332" s="17" t="inlineStr">
        <is>
          <t>언론·지자체 발표에서 확인</t>
        </is>
      </c>
      <c r="K2332" s="17" t="inlineStr">
        <is>
          <t>낮음</t>
        </is>
      </c>
      <c r="L2332" s="17" t="inlineStr"/>
    </row>
    <row r="2333">
      <c r="A2333" s="17" t="inlineStr">
        <is>
          <t>C375</t>
        </is>
      </c>
      <c r="B2333" s="17" t="inlineStr"/>
      <c r="C2333" s="17" t="inlineStr">
        <is>
          <t>(주)휴온스바이오파마</t>
        </is>
      </c>
      <c r="D2333" s="17" t="inlineStr"/>
      <c r="E2333" s="17" t="inlineStr">
        <is>
          <t>최근매출(억원)</t>
        </is>
      </c>
      <c r="F2333" s="17" t="inlineStr">
        <is>
          <t>미확인</t>
        </is>
      </c>
      <c r="G2333" s="17" t="inlineStr">
        <is>
          <t>웹조사 자동화 실패(세션한도)</t>
        </is>
      </c>
      <c r="H2333" s="17" t="inlineStr">
        <is>
          <t>N</t>
        </is>
      </c>
      <c r="I2333" s="17" t="inlineStr">
        <is>
          <t>DART 사업보고서</t>
        </is>
      </c>
      <c r="J2333" s="17" t="inlineStr">
        <is>
          <t>DART 사업보고서에서 확인</t>
        </is>
      </c>
      <c r="K2333" s="17" t="inlineStr">
        <is>
          <t>낮음</t>
        </is>
      </c>
      <c r="L2333" s="17" t="inlineStr"/>
    </row>
    <row r="2334">
      <c r="A2334" s="17" t="inlineStr">
        <is>
          <t>C375</t>
        </is>
      </c>
      <c r="B2334" s="17" t="inlineStr"/>
      <c r="C2334" s="17" t="inlineStr">
        <is>
          <t>(주)휴온스바이오파마</t>
        </is>
      </c>
      <c r="D2334" s="17" t="inlineStr"/>
      <c r="E2334" s="17" t="inlineStr">
        <is>
          <t>종업원수</t>
        </is>
      </c>
      <c r="F2334" s="17" t="inlineStr">
        <is>
          <t>미확인</t>
        </is>
      </c>
      <c r="G2334" s="17" t="inlineStr">
        <is>
          <t>웹조사 자동화 실패(세션한도)</t>
        </is>
      </c>
      <c r="H2334" s="17" t="inlineStr">
        <is>
          <t>N</t>
        </is>
      </c>
      <c r="I2334" s="17" t="inlineStr">
        <is>
          <t>DART/채용</t>
        </is>
      </c>
      <c r="J2334" s="17" t="inlineStr">
        <is>
          <t>DART/채용에서 확인</t>
        </is>
      </c>
      <c r="K2334" s="17" t="inlineStr">
        <is>
          <t>낮음</t>
        </is>
      </c>
      <c r="L2334" s="17" t="inlineStr"/>
    </row>
    <row r="2335">
      <c r="A2335" s="17" t="inlineStr">
        <is>
          <t>C375</t>
        </is>
      </c>
      <c r="B2335" s="17" t="inlineStr"/>
      <c r="C2335" s="17" t="inlineStr">
        <is>
          <t>(주)휴온스바이오파마</t>
        </is>
      </c>
      <c r="D2335" s="17" t="inlineStr"/>
      <c r="E2335" s="17" t="inlineStr">
        <is>
          <t>수출여부</t>
        </is>
      </c>
      <c r="F2335" s="17" t="inlineStr">
        <is>
          <t>미확인</t>
        </is>
      </c>
      <c r="G2335" s="17" t="inlineStr">
        <is>
          <t>웹조사 자동화 실패(세션한도)</t>
        </is>
      </c>
      <c r="H2335" s="17" t="inlineStr">
        <is>
          <t>N</t>
        </is>
      </c>
      <c r="I2335" s="17" t="inlineStr">
        <is>
          <t>회사 공시·홈페이지</t>
        </is>
      </c>
      <c r="J2335" s="17" t="inlineStr">
        <is>
          <t>회사 공시·홈페이지에서 확인</t>
        </is>
      </c>
      <c r="K2335" s="17" t="inlineStr">
        <is>
          <t>낮음</t>
        </is>
      </c>
      <c r="L2335" s="17" t="inlineStr"/>
    </row>
    <row r="2336">
      <c r="A2336" s="17" t="inlineStr">
        <is>
          <t>C375</t>
        </is>
      </c>
      <c r="B2336" s="17" t="inlineStr"/>
      <c r="C2336" s="17" t="inlineStr">
        <is>
          <t>(주)휴온스바이오파마</t>
        </is>
      </c>
      <c r="D2336" s="17" t="inlineStr"/>
      <c r="E2336" s="17" t="inlineStr">
        <is>
          <t>FDA·EMA 실사</t>
        </is>
      </c>
      <c r="F2336" s="17" t="inlineStr">
        <is>
          <t>미확인</t>
        </is>
      </c>
      <c r="G2336" s="17" t="inlineStr">
        <is>
          <t>웹조사 자동화 실패(세션한도)</t>
        </is>
      </c>
      <c r="H2336" s="17" t="inlineStr">
        <is>
          <t>N</t>
        </is>
      </c>
      <c r="I2336" s="17" t="inlineStr">
        <is>
          <t>FDA Inspection DB</t>
        </is>
      </c>
      <c r="J2336" s="17" t="inlineStr">
        <is>
          <t>FDA Inspection DB에서 확인</t>
        </is>
      </c>
      <c r="K2336" s="17" t="inlineStr">
        <is>
          <t>낮음</t>
        </is>
      </c>
      <c r="L2336" s="17" t="inlineStr"/>
    </row>
    <row r="2337">
      <c r="A2337" s="17" t="inlineStr">
        <is>
          <t>C375</t>
        </is>
      </c>
      <c r="B2337" s="17" t="inlineStr"/>
      <c r="C2337" s="17" t="inlineStr">
        <is>
          <t>(주)휴온스바이오파마</t>
        </is>
      </c>
      <c r="D2337" s="17" t="inlineStr"/>
      <c r="E2337" s="17" t="inlineStr">
        <is>
          <t>CMO·CDMO</t>
        </is>
      </c>
      <c r="F2337" s="17" t="inlineStr">
        <is>
          <t>미확인</t>
        </is>
      </c>
      <c r="G2337" s="17" t="inlineStr">
        <is>
          <t>웹조사 자동화 실패(세션한도)</t>
        </is>
      </c>
      <c r="H2337" s="17" t="inlineStr">
        <is>
          <t>N</t>
        </is>
      </c>
      <c r="I2337" s="17" t="inlineStr">
        <is>
          <t>회사 홈페이지</t>
        </is>
      </c>
      <c r="J2337" s="17" t="inlineStr">
        <is>
          <t>회사 홈페이지에서 확인</t>
        </is>
      </c>
      <c r="K2337" s="17" t="inlineStr">
        <is>
          <t>낮음</t>
        </is>
      </c>
      <c r="L2337" s="17" t="inlineStr"/>
    </row>
    <row r="2338">
      <c r="A2338" s="17" t="inlineStr">
        <is>
          <t>C375</t>
        </is>
      </c>
      <c r="B2338" s="17" t="inlineStr"/>
      <c r="C2338" s="17" t="inlineStr">
        <is>
          <t>(주)휴온스바이오파마</t>
        </is>
      </c>
      <c r="D2338" s="17" t="inlineStr"/>
      <c r="E2338" s="17" t="inlineStr">
        <is>
          <t>신공장·증설</t>
        </is>
      </c>
      <c r="F2338" s="17" t="inlineStr">
        <is>
          <t>미확인</t>
        </is>
      </c>
      <c r="G2338" s="17" t="inlineStr">
        <is>
          <t>웹조사 자동화 실패(세션한도)</t>
        </is>
      </c>
      <c r="H2338" s="17" t="inlineStr">
        <is>
          <t>N</t>
        </is>
      </c>
      <c r="I2338" s="17" t="inlineStr">
        <is>
          <t>언론·지자체 발표</t>
        </is>
      </c>
      <c r="J2338" s="17" t="inlineStr">
        <is>
          <t>언론·지자체 발표에서 확인</t>
        </is>
      </c>
      <c r="K2338" s="17" t="inlineStr">
        <is>
          <t>낮음</t>
        </is>
      </c>
      <c r="L2338" s="17" t="inlineStr"/>
    </row>
    <row r="2339">
      <c r="A2339" s="17" t="inlineStr">
        <is>
          <t>C376</t>
        </is>
      </c>
      <c r="B2339" s="17" t="inlineStr"/>
      <c r="C2339" s="17" t="inlineStr">
        <is>
          <t>(주)비보존제약</t>
        </is>
      </c>
      <c r="D2339" s="17" t="inlineStr"/>
      <c r="E2339" s="17" t="inlineStr">
        <is>
          <t>최근매출(억원)</t>
        </is>
      </c>
      <c r="F2339" s="17" t="inlineStr">
        <is>
          <t>미확인</t>
        </is>
      </c>
      <c r="G2339" s="17" t="inlineStr">
        <is>
          <t>웹조사 자동화 실패(세션한도)</t>
        </is>
      </c>
      <c r="H2339" s="17" t="inlineStr">
        <is>
          <t>N</t>
        </is>
      </c>
      <c r="I2339" s="17" t="inlineStr">
        <is>
          <t>DART 사업보고서</t>
        </is>
      </c>
      <c r="J2339" s="17" t="inlineStr">
        <is>
          <t>DART 사업보고서에서 확인</t>
        </is>
      </c>
      <c r="K2339" s="17" t="inlineStr">
        <is>
          <t>낮음</t>
        </is>
      </c>
      <c r="L2339" s="17" t="inlineStr"/>
    </row>
    <row r="2340">
      <c r="A2340" s="17" t="inlineStr">
        <is>
          <t>C376</t>
        </is>
      </c>
      <c r="B2340" s="17" t="inlineStr"/>
      <c r="C2340" s="17" t="inlineStr">
        <is>
          <t>(주)비보존제약</t>
        </is>
      </c>
      <c r="D2340" s="17" t="inlineStr"/>
      <c r="E2340" s="17" t="inlineStr">
        <is>
          <t>종업원수</t>
        </is>
      </c>
      <c r="F2340" s="17" t="inlineStr">
        <is>
          <t>미확인</t>
        </is>
      </c>
      <c r="G2340" s="17" t="inlineStr">
        <is>
          <t>웹조사 자동화 실패(세션한도)</t>
        </is>
      </c>
      <c r="H2340" s="17" t="inlineStr">
        <is>
          <t>N</t>
        </is>
      </c>
      <c r="I2340" s="17" t="inlineStr">
        <is>
          <t>DART/채용</t>
        </is>
      </c>
      <c r="J2340" s="17" t="inlineStr">
        <is>
          <t>DART/채용에서 확인</t>
        </is>
      </c>
      <c r="K2340" s="17" t="inlineStr">
        <is>
          <t>낮음</t>
        </is>
      </c>
      <c r="L2340" s="17" t="inlineStr"/>
    </row>
    <row r="2341">
      <c r="A2341" s="17" t="inlineStr">
        <is>
          <t>C376</t>
        </is>
      </c>
      <c r="B2341" s="17" t="inlineStr"/>
      <c r="C2341" s="17" t="inlineStr">
        <is>
          <t>(주)비보존제약</t>
        </is>
      </c>
      <c r="D2341" s="17" t="inlineStr"/>
      <c r="E2341" s="17" t="inlineStr">
        <is>
          <t>수출여부</t>
        </is>
      </c>
      <c r="F2341" s="17" t="inlineStr">
        <is>
          <t>미확인</t>
        </is>
      </c>
      <c r="G2341" s="17" t="inlineStr">
        <is>
          <t>웹조사 자동화 실패(세션한도)</t>
        </is>
      </c>
      <c r="H2341" s="17" t="inlineStr">
        <is>
          <t>N</t>
        </is>
      </c>
      <c r="I2341" s="17" t="inlineStr">
        <is>
          <t>회사 공시·홈페이지</t>
        </is>
      </c>
      <c r="J2341" s="17" t="inlineStr">
        <is>
          <t>회사 공시·홈페이지에서 확인</t>
        </is>
      </c>
      <c r="K2341" s="17" t="inlineStr">
        <is>
          <t>낮음</t>
        </is>
      </c>
      <c r="L2341" s="17" t="inlineStr"/>
    </row>
    <row r="2342">
      <c r="A2342" s="17" t="inlineStr">
        <is>
          <t>C376</t>
        </is>
      </c>
      <c r="B2342" s="17" t="inlineStr"/>
      <c r="C2342" s="17" t="inlineStr">
        <is>
          <t>(주)비보존제약</t>
        </is>
      </c>
      <c r="D2342" s="17" t="inlineStr"/>
      <c r="E2342" s="17" t="inlineStr">
        <is>
          <t>FDA·EMA 실사</t>
        </is>
      </c>
      <c r="F2342" s="17" t="inlineStr">
        <is>
          <t>미확인</t>
        </is>
      </c>
      <c r="G2342" s="17" t="inlineStr">
        <is>
          <t>웹조사 자동화 실패(세션한도)</t>
        </is>
      </c>
      <c r="H2342" s="17" t="inlineStr">
        <is>
          <t>N</t>
        </is>
      </c>
      <c r="I2342" s="17" t="inlineStr">
        <is>
          <t>FDA Inspection DB</t>
        </is>
      </c>
      <c r="J2342" s="17" t="inlineStr">
        <is>
          <t>FDA Inspection DB에서 확인</t>
        </is>
      </c>
      <c r="K2342" s="17" t="inlineStr">
        <is>
          <t>낮음</t>
        </is>
      </c>
      <c r="L2342" s="17" t="inlineStr"/>
    </row>
    <row r="2343">
      <c r="A2343" s="17" t="inlineStr">
        <is>
          <t>C376</t>
        </is>
      </c>
      <c r="B2343" s="17" t="inlineStr"/>
      <c r="C2343" s="17" t="inlineStr">
        <is>
          <t>(주)비보존제약</t>
        </is>
      </c>
      <c r="D2343" s="17" t="inlineStr"/>
      <c r="E2343" s="17" t="inlineStr">
        <is>
          <t>CMO·CDMO</t>
        </is>
      </c>
      <c r="F2343" s="17" t="inlineStr">
        <is>
          <t>미확인</t>
        </is>
      </c>
      <c r="G2343" s="17" t="inlineStr">
        <is>
          <t>웹조사 자동화 실패(세션한도)</t>
        </is>
      </c>
      <c r="H2343" s="17" t="inlineStr">
        <is>
          <t>N</t>
        </is>
      </c>
      <c r="I2343" s="17" t="inlineStr">
        <is>
          <t>회사 홈페이지</t>
        </is>
      </c>
      <c r="J2343" s="17" t="inlineStr">
        <is>
          <t>회사 홈페이지에서 확인</t>
        </is>
      </c>
      <c r="K2343" s="17" t="inlineStr">
        <is>
          <t>낮음</t>
        </is>
      </c>
      <c r="L2343" s="17" t="inlineStr"/>
    </row>
    <row r="2344">
      <c r="A2344" s="17" t="inlineStr">
        <is>
          <t>C376</t>
        </is>
      </c>
      <c r="B2344" s="17" t="inlineStr"/>
      <c r="C2344" s="17" t="inlineStr">
        <is>
          <t>(주)비보존제약</t>
        </is>
      </c>
      <c r="D2344" s="17" t="inlineStr"/>
      <c r="E2344" s="17" t="inlineStr">
        <is>
          <t>신공장·증설</t>
        </is>
      </c>
      <c r="F2344" s="17" t="inlineStr">
        <is>
          <t>미확인</t>
        </is>
      </c>
      <c r="G2344" s="17" t="inlineStr">
        <is>
          <t>웹조사 자동화 실패(세션한도)</t>
        </is>
      </c>
      <c r="H2344" s="17" t="inlineStr">
        <is>
          <t>N</t>
        </is>
      </c>
      <c r="I2344" s="17" t="inlineStr">
        <is>
          <t>언론·지자체 발표</t>
        </is>
      </c>
      <c r="J2344" s="17" t="inlineStr">
        <is>
          <t>언론·지자체 발표에서 확인</t>
        </is>
      </c>
      <c r="K2344" s="17" t="inlineStr">
        <is>
          <t>낮음</t>
        </is>
      </c>
      <c r="L2344" s="17" t="inlineStr"/>
    </row>
    <row r="2345">
      <c r="A2345" s="17" t="inlineStr">
        <is>
          <t>C377</t>
        </is>
      </c>
      <c r="B2345" s="17" t="inlineStr"/>
      <c r="C2345" s="17" t="inlineStr">
        <is>
          <t>에스케이플라즈마(주)</t>
        </is>
      </c>
      <c r="D2345" s="17" t="inlineStr"/>
      <c r="E2345" s="17" t="inlineStr">
        <is>
          <t>최근매출(억원)</t>
        </is>
      </c>
      <c r="F2345" s="17" t="inlineStr">
        <is>
          <t>미확인</t>
        </is>
      </c>
      <c r="G2345" s="17" t="inlineStr">
        <is>
          <t>웹조사 자동화 실패(세션한도)</t>
        </is>
      </c>
      <c r="H2345" s="17" t="inlineStr">
        <is>
          <t>N</t>
        </is>
      </c>
      <c r="I2345" s="17" t="inlineStr">
        <is>
          <t>DART 사업보고서</t>
        </is>
      </c>
      <c r="J2345" s="17" t="inlineStr">
        <is>
          <t>DART 사업보고서에서 확인</t>
        </is>
      </c>
      <c r="K2345" s="17" t="inlineStr">
        <is>
          <t>낮음</t>
        </is>
      </c>
      <c r="L2345" s="17" t="inlineStr"/>
    </row>
    <row r="2346">
      <c r="A2346" s="17" t="inlineStr">
        <is>
          <t>C377</t>
        </is>
      </c>
      <c r="B2346" s="17" t="inlineStr"/>
      <c r="C2346" s="17" t="inlineStr">
        <is>
          <t>에스케이플라즈마(주)</t>
        </is>
      </c>
      <c r="D2346" s="17" t="inlineStr"/>
      <c r="E2346" s="17" t="inlineStr">
        <is>
          <t>종업원수</t>
        </is>
      </c>
      <c r="F2346" s="17" t="inlineStr">
        <is>
          <t>미확인</t>
        </is>
      </c>
      <c r="G2346" s="17" t="inlineStr">
        <is>
          <t>웹조사 자동화 실패(세션한도)</t>
        </is>
      </c>
      <c r="H2346" s="17" t="inlineStr">
        <is>
          <t>N</t>
        </is>
      </c>
      <c r="I2346" s="17" t="inlineStr">
        <is>
          <t>DART/채용</t>
        </is>
      </c>
      <c r="J2346" s="17" t="inlineStr">
        <is>
          <t>DART/채용에서 확인</t>
        </is>
      </c>
      <c r="K2346" s="17" t="inlineStr">
        <is>
          <t>낮음</t>
        </is>
      </c>
      <c r="L2346" s="17" t="inlineStr"/>
    </row>
    <row r="2347">
      <c r="A2347" s="17" t="inlineStr">
        <is>
          <t>C377</t>
        </is>
      </c>
      <c r="B2347" s="17" t="inlineStr"/>
      <c r="C2347" s="17" t="inlineStr">
        <is>
          <t>에스케이플라즈마(주)</t>
        </is>
      </c>
      <c r="D2347" s="17" t="inlineStr"/>
      <c r="E2347" s="17" t="inlineStr">
        <is>
          <t>수출여부</t>
        </is>
      </c>
      <c r="F2347" s="17" t="inlineStr">
        <is>
          <t>미확인</t>
        </is>
      </c>
      <c r="G2347" s="17" t="inlineStr">
        <is>
          <t>웹조사 자동화 실패(세션한도)</t>
        </is>
      </c>
      <c r="H2347" s="17" t="inlineStr">
        <is>
          <t>N</t>
        </is>
      </c>
      <c r="I2347" s="17" t="inlineStr">
        <is>
          <t>회사 공시·홈페이지</t>
        </is>
      </c>
      <c r="J2347" s="17" t="inlineStr">
        <is>
          <t>회사 공시·홈페이지에서 확인</t>
        </is>
      </c>
      <c r="K2347" s="17" t="inlineStr">
        <is>
          <t>낮음</t>
        </is>
      </c>
      <c r="L2347" s="17" t="inlineStr"/>
    </row>
    <row r="2348">
      <c r="A2348" s="17" t="inlineStr">
        <is>
          <t>C377</t>
        </is>
      </c>
      <c r="B2348" s="17" t="inlineStr"/>
      <c r="C2348" s="17" t="inlineStr">
        <is>
          <t>에스케이플라즈마(주)</t>
        </is>
      </c>
      <c r="D2348" s="17" t="inlineStr"/>
      <c r="E2348" s="17" t="inlineStr">
        <is>
          <t>FDA·EMA 실사</t>
        </is>
      </c>
      <c r="F2348" s="17" t="inlineStr">
        <is>
          <t>미확인</t>
        </is>
      </c>
      <c r="G2348" s="17" t="inlineStr">
        <is>
          <t>웹조사 자동화 실패(세션한도)</t>
        </is>
      </c>
      <c r="H2348" s="17" t="inlineStr">
        <is>
          <t>N</t>
        </is>
      </c>
      <c r="I2348" s="17" t="inlineStr">
        <is>
          <t>FDA Inspection DB</t>
        </is>
      </c>
      <c r="J2348" s="17" t="inlineStr">
        <is>
          <t>FDA Inspection DB에서 확인</t>
        </is>
      </c>
      <c r="K2348" s="17" t="inlineStr">
        <is>
          <t>낮음</t>
        </is>
      </c>
      <c r="L2348" s="17" t="inlineStr"/>
    </row>
    <row r="2349">
      <c r="A2349" s="17" t="inlineStr">
        <is>
          <t>C377</t>
        </is>
      </c>
      <c r="B2349" s="17" t="inlineStr"/>
      <c r="C2349" s="17" t="inlineStr">
        <is>
          <t>에스케이플라즈마(주)</t>
        </is>
      </c>
      <c r="D2349" s="17" t="inlineStr"/>
      <c r="E2349" s="17" t="inlineStr">
        <is>
          <t>CMO·CDMO</t>
        </is>
      </c>
      <c r="F2349" s="17" t="inlineStr">
        <is>
          <t>미확인</t>
        </is>
      </c>
      <c r="G2349" s="17" t="inlineStr">
        <is>
          <t>웹조사 자동화 실패(세션한도)</t>
        </is>
      </c>
      <c r="H2349" s="17" t="inlineStr">
        <is>
          <t>N</t>
        </is>
      </c>
      <c r="I2349" s="17" t="inlineStr">
        <is>
          <t>회사 홈페이지</t>
        </is>
      </c>
      <c r="J2349" s="17" t="inlineStr">
        <is>
          <t>회사 홈페이지에서 확인</t>
        </is>
      </c>
      <c r="K2349" s="17" t="inlineStr">
        <is>
          <t>낮음</t>
        </is>
      </c>
      <c r="L2349" s="17" t="inlineStr"/>
    </row>
    <row r="2350">
      <c r="A2350" s="17" t="inlineStr">
        <is>
          <t>C377</t>
        </is>
      </c>
      <c r="B2350" s="17" t="inlineStr"/>
      <c r="C2350" s="17" t="inlineStr">
        <is>
          <t>에스케이플라즈마(주)</t>
        </is>
      </c>
      <c r="D2350" s="17" t="inlineStr"/>
      <c r="E2350" s="17" t="inlineStr">
        <is>
          <t>신공장·증설</t>
        </is>
      </c>
      <c r="F2350" s="17" t="inlineStr">
        <is>
          <t>미확인</t>
        </is>
      </c>
      <c r="G2350" s="17" t="inlineStr">
        <is>
          <t>웹조사 자동화 실패(세션한도)</t>
        </is>
      </c>
      <c r="H2350" s="17" t="inlineStr">
        <is>
          <t>N</t>
        </is>
      </c>
      <c r="I2350" s="17" t="inlineStr">
        <is>
          <t>언론·지자체 발표</t>
        </is>
      </c>
      <c r="J2350" s="17" t="inlineStr">
        <is>
          <t>언론·지자체 발표에서 확인</t>
        </is>
      </c>
      <c r="K2350" s="17" t="inlineStr">
        <is>
          <t>낮음</t>
        </is>
      </c>
      <c r="L2350" s="17" t="inlineStr"/>
    </row>
    <row r="2351">
      <c r="A2351" s="17" t="inlineStr">
        <is>
          <t>C377</t>
        </is>
      </c>
      <c r="B2351" s="17" t="inlineStr"/>
      <c r="C2351" s="17" t="inlineStr">
        <is>
          <t>에스케이플라즈마(주)</t>
        </is>
      </c>
      <c r="D2351" s="17" t="inlineStr"/>
      <c r="E2351" s="17" t="inlineStr">
        <is>
          <t>대표전화</t>
        </is>
      </c>
      <c r="F2351" s="17" t="inlineStr">
        <is>
          <t>미확인</t>
        </is>
      </c>
      <c r="G2351" s="17" t="inlineStr">
        <is>
          <t>제조소상세 미매칭</t>
        </is>
      </c>
      <c r="H2351" s="17" t="inlineStr">
        <is>
          <t>Y</t>
        </is>
      </c>
      <c r="I2351" s="17" t="inlineStr">
        <is>
          <t>회사 홈페이지</t>
        </is>
      </c>
      <c r="J2351" s="17" t="inlineStr">
        <is>
          <t>홈페이지에서 대표번호 확인</t>
        </is>
      </c>
      <c r="K2351" s="17" t="inlineStr">
        <is>
          <t>낮음</t>
        </is>
      </c>
      <c r="L2351" s="17" t="inlineStr"/>
    </row>
    <row r="2352">
      <c r="A2352" s="17" t="inlineStr">
        <is>
          <t>C378</t>
        </is>
      </c>
      <c r="B2352" s="17" t="inlineStr"/>
      <c r="C2352" s="17" t="inlineStr">
        <is>
          <t>주식회사삼현제약</t>
        </is>
      </c>
      <c r="D2352" s="17" t="inlineStr"/>
      <c r="E2352" s="17" t="inlineStr">
        <is>
          <t>최근매출(억원)</t>
        </is>
      </c>
      <c r="F2352" s="17" t="inlineStr">
        <is>
          <t>미확인</t>
        </is>
      </c>
      <c r="G2352" s="17" t="inlineStr">
        <is>
          <t>웹조사 자동화 실패(세션한도)</t>
        </is>
      </c>
      <c r="H2352" s="17" t="inlineStr">
        <is>
          <t>N</t>
        </is>
      </c>
      <c r="I2352" s="17" t="inlineStr">
        <is>
          <t>DART 사업보고서</t>
        </is>
      </c>
      <c r="J2352" s="17" t="inlineStr">
        <is>
          <t>DART 사업보고서에서 확인</t>
        </is>
      </c>
      <c r="K2352" s="17" t="inlineStr">
        <is>
          <t>낮음</t>
        </is>
      </c>
      <c r="L2352" s="17" t="inlineStr"/>
    </row>
    <row r="2353">
      <c r="A2353" s="17" t="inlineStr">
        <is>
          <t>C378</t>
        </is>
      </c>
      <c r="B2353" s="17" t="inlineStr"/>
      <c r="C2353" s="17" t="inlineStr">
        <is>
          <t>주식회사삼현제약</t>
        </is>
      </c>
      <c r="D2353" s="17" t="inlineStr"/>
      <c r="E2353" s="17" t="inlineStr">
        <is>
          <t>종업원수</t>
        </is>
      </c>
      <c r="F2353" s="17" t="inlineStr">
        <is>
          <t>미확인</t>
        </is>
      </c>
      <c r="G2353" s="17" t="inlineStr">
        <is>
          <t>웹조사 자동화 실패(세션한도)</t>
        </is>
      </c>
      <c r="H2353" s="17" t="inlineStr">
        <is>
          <t>N</t>
        </is>
      </c>
      <c r="I2353" s="17" t="inlineStr">
        <is>
          <t>DART/채용</t>
        </is>
      </c>
      <c r="J2353" s="17" t="inlineStr">
        <is>
          <t>DART/채용에서 확인</t>
        </is>
      </c>
      <c r="K2353" s="17" t="inlineStr">
        <is>
          <t>낮음</t>
        </is>
      </c>
      <c r="L2353" s="17" t="inlineStr"/>
    </row>
    <row r="2354">
      <c r="A2354" s="17" t="inlineStr">
        <is>
          <t>C378</t>
        </is>
      </c>
      <c r="B2354" s="17" t="inlineStr"/>
      <c r="C2354" s="17" t="inlineStr">
        <is>
          <t>주식회사삼현제약</t>
        </is>
      </c>
      <c r="D2354" s="17" t="inlineStr"/>
      <c r="E2354" s="17" t="inlineStr">
        <is>
          <t>수출여부</t>
        </is>
      </c>
      <c r="F2354" s="17" t="inlineStr">
        <is>
          <t>미확인</t>
        </is>
      </c>
      <c r="G2354" s="17" t="inlineStr">
        <is>
          <t>웹조사 자동화 실패(세션한도)</t>
        </is>
      </c>
      <c r="H2354" s="17" t="inlineStr">
        <is>
          <t>N</t>
        </is>
      </c>
      <c r="I2354" s="17" t="inlineStr">
        <is>
          <t>회사 공시·홈페이지</t>
        </is>
      </c>
      <c r="J2354" s="17" t="inlineStr">
        <is>
          <t>회사 공시·홈페이지에서 확인</t>
        </is>
      </c>
      <c r="K2354" s="17" t="inlineStr">
        <is>
          <t>낮음</t>
        </is>
      </c>
      <c r="L2354" s="17" t="inlineStr"/>
    </row>
    <row r="2355">
      <c r="A2355" s="17" t="inlineStr">
        <is>
          <t>C378</t>
        </is>
      </c>
      <c r="B2355" s="17" t="inlineStr"/>
      <c r="C2355" s="17" t="inlineStr">
        <is>
          <t>주식회사삼현제약</t>
        </is>
      </c>
      <c r="D2355" s="17" t="inlineStr"/>
      <c r="E2355" s="17" t="inlineStr">
        <is>
          <t>FDA·EMA 실사</t>
        </is>
      </c>
      <c r="F2355" s="17" t="inlineStr">
        <is>
          <t>미확인</t>
        </is>
      </c>
      <c r="G2355" s="17" t="inlineStr">
        <is>
          <t>웹조사 자동화 실패(세션한도)</t>
        </is>
      </c>
      <c r="H2355" s="17" t="inlineStr">
        <is>
          <t>N</t>
        </is>
      </c>
      <c r="I2355" s="17" t="inlineStr">
        <is>
          <t>FDA Inspection DB</t>
        </is>
      </c>
      <c r="J2355" s="17" t="inlineStr">
        <is>
          <t>FDA Inspection DB에서 확인</t>
        </is>
      </c>
      <c r="K2355" s="17" t="inlineStr">
        <is>
          <t>낮음</t>
        </is>
      </c>
      <c r="L2355" s="17" t="inlineStr"/>
    </row>
    <row r="2356">
      <c r="A2356" s="17" t="inlineStr">
        <is>
          <t>C378</t>
        </is>
      </c>
      <c r="B2356" s="17" t="inlineStr"/>
      <c r="C2356" s="17" t="inlineStr">
        <is>
          <t>주식회사삼현제약</t>
        </is>
      </c>
      <c r="D2356" s="17" t="inlineStr"/>
      <c r="E2356" s="17" t="inlineStr">
        <is>
          <t>CMO·CDMO</t>
        </is>
      </c>
      <c r="F2356" s="17" t="inlineStr">
        <is>
          <t>미확인</t>
        </is>
      </c>
      <c r="G2356" s="17" t="inlineStr">
        <is>
          <t>웹조사 자동화 실패(세션한도)</t>
        </is>
      </c>
      <c r="H2356" s="17" t="inlineStr">
        <is>
          <t>N</t>
        </is>
      </c>
      <c r="I2356" s="17" t="inlineStr">
        <is>
          <t>회사 홈페이지</t>
        </is>
      </c>
      <c r="J2356" s="17" t="inlineStr">
        <is>
          <t>회사 홈페이지에서 확인</t>
        </is>
      </c>
      <c r="K2356" s="17" t="inlineStr">
        <is>
          <t>낮음</t>
        </is>
      </c>
      <c r="L2356" s="17" t="inlineStr"/>
    </row>
    <row r="2357">
      <c r="A2357" s="17" t="inlineStr">
        <is>
          <t>C378</t>
        </is>
      </c>
      <c r="B2357" s="17" t="inlineStr"/>
      <c r="C2357" s="17" t="inlineStr">
        <is>
          <t>주식회사삼현제약</t>
        </is>
      </c>
      <c r="D2357" s="17" t="inlineStr"/>
      <c r="E2357" s="17" t="inlineStr">
        <is>
          <t>신공장·증설</t>
        </is>
      </c>
      <c r="F2357" s="17" t="inlineStr">
        <is>
          <t>미확인</t>
        </is>
      </c>
      <c r="G2357" s="17" t="inlineStr">
        <is>
          <t>웹조사 자동화 실패(세션한도)</t>
        </is>
      </c>
      <c r="H2357" s="17" t="inlineStr">
        <is>
          <t>N</t>
        </is>
      </c>
      <c r="I2357" s="17" t="inlineStr">
        <is>
          <t>언론·지자체 발표</t>
        </is>
      </c>
      <c r="J2357" s="17" t="inlineStr">
        <is>
          <t>언론·지자체 발표에서 확인</t>
        </is>
      </c>
      <c r="K2357" s="17" t="inlineStr">
        <is>
          <t>낮음</t>
        </is>
      </c>
      <c r="L2357" s="17" t="inlineStr"/>
    </row>
    <row r="2358">
      <c r="A2358" s="17" t="inlineStr">
        <is>
          <t>C378</t>
        </is>
      </c>
      <c r="B2358" s="17" t="inlineStr"/>
      <c r="C2358" s="17" t="inlineStr">
        <is>
          <t>주식회사삼현제약</t>
        </is>
      </c>
      <c r="D2358" s="17" t="inlineStr"/>
      <c r="E2358" s="17" t="inlineStr">
        <is>
          <t>대표전화</t>
        </is>
      </c>
      <c r="F2358" s="17" t="inlineStr">
        <is>
          <t>미확인</t>
        </is>
      </c>
      <c r="G2358" s="17" t="inlineStr">
        <is>
          <t>제조소상세 미매칭</t>
        </is>
      </c>
      <c r="H2358" s="17" t="inlineStr">
        <is>
          <t>Y</t>
        </is>
      </c>
      <c r="I2358" s="17" t="inlineStr">
        <is>
          <t>회사 홈페이지</t>
        </is>
      </c>
      <c r="J2358" s="17" t="inlineStr">
        <is>
          <t>홈페이지에서 대표번호 확인</t>
        </is>
      </c>
      <c r="K2358" s="17" t="inlineStr">
        <is>
          <t>낮음</t>
        </is>
      </c>
      <c r="L2358" s="17" t="inlineStr"/>
    </row>
    <row r="2359">
      <c r="A2359" s="17" t="inlineStr">
        <is>
          <t>C379</t>
        </is>
      </c>
      <c r="B2359" s="17" t="inlineStr"/>
      <c r="C2359" s="17" t="inlineStr">
        <is>
          <t>대화제약(주)</t>
        </is>
      </c>
      <c r="D2359" s="17" t="inlineStr"/>
      <c r="E2359" s="17" t="inlineStr">
        <is>
          <t>최근매출(억원)</t>
        </is>
      </c>
      <c r="F2359" s="17" t="inlineStr">
        <is>
          <t>미확인</t>
        </is>
      </c>
      <c r="G2359" s="17" t="inlineStr">
        <is>
          <t>웹조사 자동화 실패(세션한도)</t>
        </is>
      </c>
      <c r="H2359" s="17" t="inlineStr">
        <is>
          <t>N</t>
        </is>
      </c>
      <c r="I2359" s="17" t="inlineStr">
        <is>
          <t>DART 사업보고서</t>
        </is>
      </c>
      <c r="J2359" s="17" t="inlineStr">
        <is>
          <t>DART 사업보고서에서 확인</t>
        </is>
      </c>
      <c r="K2359" s="17" t="inlineStr">
        <is>
          <t>낮음</t>
        </is>
      </c>
      <c r="L2359" s="17" t="inlineStr"/>
    </row>
    <row r="2360">
      <c r="A2360" s="17" t="inlineStr">
        <is>
          <t>C379</t>
        </is>
      </c>
      <c r="B2360" s="17" t="inlineStr"/>
      <c r="C2360" s="17" t="inlineStr">
        <is>
          <t>대화제약(주)</t>
        </is>
      </c>
      <c r="D2360" s="17" t="inlineStr"/>
      <c r="E2360" s="17" t="inlineStr">
        <is>
          <t>종업원수</t>
        </is>
      </c>
      <c r="F2360" s="17" t="inlineStr">
        <is>
          <t>미확인</t>
        </is>
      </c>
      <c r="G2360" s="17" t="inlineStr">
        <is>
          <t>웹조사 자동화 실패(세션한도)</t>
        </is>
      </c>
      <c r="H2360" s="17" t="inlineStr">
        <is>
          <t>N</t>
        </is>
      </c>
      <c r="I2360" s="17" t="inlineStr">
        <is>
          <t>DART/채용</t>
        </is>
      </c>
      <c r="J2360" s="17" t="inlineStr">
        <is>
          <t>DART/채용에서 확인</t>
        </is>
      </c>
      <c r="K2360" s="17" t="inlineStr">
        <is>
          <t>낮음</t>
        </is>
      </c>
      <c r="L2360" s="17" t="inlineStr"/>
    </row>
    <row r="2361">
      <c r="A2361" s="17" t="inlineStr">
        <is>
          <t>C379</t>
        </is>
      </c>
      <c r="B2361" s="17" t="inlineStr"/>
      <c r="C2361" s="17" t="inlineStr">
        <is>
          <t>대화제약(주)</t>
        </is>
      </c>
      <c r="D2361" s="17" t="inlineStr"/>
      <c r="E2361" s="17" t="inlineStr">
        <is>
          <t>수출여부</t>
        </is>
      </c>
      <c r="F2361" s="17" t="inlineStr">
        <is>
          <t>미확인</t>
        </is>
      </c>
      <c r="G2361" s="17" t="inlineStr">
        <is>
          <t>웹조사 자동화 실패(세션한도)</t>
        </is>
      </c>
      <c r="H2361" s="17" t="inlineStr">
        <is>
          <t>N</t>
        </is>
      </c>
      <c r="I2361" s="17" t="inlineStr">
        <is>
          <t>회사 공시·홈페이지</t>
        </is>
      </c>
      <c r="J2361" s="17" t="inlineStr">
        <is>
          <t>회사 공시·홈페이지에서 확인</t>
        </is>
      </c>
      <c r="K2361" s="17" t="inlineStr">
        <is>
          <t>낮음</t>
        </is>
      </c>
      <c r="L2361" s="17" t="inlineStr"/>
    </row>
    <row r="2362">
      <c r="A2362" s="17" t="inlineStr">
        <is>
          <t>C379</t>
        </is>
      </c>
      <c r="B2362" s="17" t="inlineStr"/>
      <c r="C2362" s="17" t="inlineStr">
        <is>
          <t>대화제약(주)</t>
        </is>
      </c>
      <c r="D2362" s="17" t="inlineStr"/>
      <c r="E2362" s="17" t="inlineStr">
        <is>
          <t>FDA·EMA 실사</t>
        </is>
      </c>
      <c r="F2362" s="17" t="inlineStr">
        <is>
          <t>미확인</t>
        </is>
      </c>
      <c r="G2362" s="17" t="inlineStr">
        <is>
          <t>웹조사 자동화 실패(세션한도)</t>
        </is>
      </c>
      <c r="H2362" s="17" t="inlineStr">
        <is>
          <t>N</t>
        </is>
      </c>
      <c r="I2362" s="17" t="inlineStr">
        <is>
          <t>FDA Inspection DB</t>
        </is>
      </c>
      <c r="J2362" s="17" t="inlineStr">
        <is>
          <t>FDA Inspection DB에서 확인</t>
        </is>
      </c>
      <c r="K2362" s="17" t="inlineStr">
        <is>
          <t>낮음</t>
        </is>
      </c>
      <c r="L2362" s="17" t="inlineStr"/>
    </row>
    <row r="2363">
      <c r="A2363" s="17" t="inlineStr">
        <is>
          <t>C379</t>
        </is>
      </c>
      <c r="B2363" s="17" t="inlineStr"/>
      <c r="C2363" s="17" t="inlineStr">
        <is>
          <t>대화제약(주)</t>
        </is>
      </c>
      <c r="D2363" s="17" t="inlineStr"/>
      <c r="E2363" s="17" t="inlineStr">
        <is>
          <t>CMO·CDMO</t>
        </is>
      </c>
      <c r="F2363" s="17" t="inlineStr">
        <is>
          <t>미확인</t>
        </is>
      </c>
      <c r="G2363" s="17" t="inlineStr">
        <is>
          <t>웹조사 자동화 실패(세션한도)</t>
        </is>
      </c>
      <c r="H2363" s="17" t="inlineStr">
        <is>
          <t>N</t>
        </is>
      </c>
      <c r="I2363" s="17" t="inlineStr">
        <is>
          <t>회사 홈페이지</t>
        </is>
      </c>
      <c r="J2363" s="17" t="inlineStr">
        <is>
          <t>회사 홈페이지에서 확인</t>
        </is>
      </c>
      <c r="K2363" s="17" t="inlineStr">
        <is>
          <t>낮음</t>
        </is>
      </c>
      <c r="L2363" s="17" t="inlineStr"/>
    </row>
    <row r="2364">
      <c r="A2364" s="17" t="inlineStr">
        <is>
          <t>C379</t>
        </is>
      </c>
      <c r="B2364" s="17" t="inlineStr"/>
      <c r="C2364" s="17" t="inlineStr">
        <is>
          <t>대화제약(주)</t>
        </is>
      </c>
      <c r="D2364" s="17" t="inlineStr"/>
      <c r="E2364" s="17" t="inlineStr">
        <is>
          <t>신공장·증설</t>
        </is>
      </c>
      <c r="F2364" s="17" t="inlineStr">
        <is>
          <t>미확인</t>
        </is>
      </c>
      <c r="G2364" s="17" t="inlineStr">
        <is>
          <t>웹조사 자동화 실패(세션한도)</t>
        </is>
      </c>
      <c r="H2364" s="17" t="inlineStr">
        <is>
          <t>N</t>
        </is>
      </c>
      <c r="I2364" s="17" t="inlineStr">
        <is>
          <t>언론·지자체 발표</t>
        </is>
      </c>
      <c r="J2364" s="17" t="inlineStr">
        <is>
          <t>언론·지자체 발표에서 확인</t>
        </is>
      </c>
      <c r="K2364" s="17" t="inlineStr">
        <is>
          <t>낮음</t>
        </is>
      </c>
      <c r="L2364" s="17" t="inlineStr"/>
    </row>
    <row r="2365">
      <c r="A2365" s="17" t="inlineStr">
        <is>
          <t>C380</t>
        </is>
      </c>
      <c r="B2365" s="17" t="inlineStr"/>
      <c r="C2365" s="17" t="inlineStr">
        <is>
          <t>성이바이오제약주식회사</t>
        </is>
      </c>
      <c r="D2365" s="17" t="inlineStr"/>
      <c r="E2365" s="17" t="inlineStr">
        <is>
          <t>최근매출(억원)</t>
        </is>
      </c>
      <c r="F2365" s="17" t="inlineStr">
        <is>
          <t>미확인</t>
        </is>
      </c>
      <c r="G2365" s="17" t="inlineStr">
        <is>
          <t>웹조사 자동화 실패(세션한도)</t>
        </is>
      </c>
      <c r="H2365" s="17" t="inlineStr">
        <is>
          <t>N</t>
        </is>
      </c>
      <c r="I2365" s="17" t="inlineStr">
        <is>
          <t>DART 사업보고서</t>
        </is>
      </c>
      <c r="J2365" s="17" t="inlineStr">
        <is>
          <t>DART 사업보고서에서 확인</t>
        </is>
      </c>
      <c r="K2365" s="17" t="inlineStr">
        <is>
          <t>낮음</t>
        </is>
      </c>
      <c r="L2365" s="17" t="inlineStr"/>
    </row>
    <row r="2366">
      <c r="A2366" s="17" t="inlineStr">
        <is>
          <t>C380</t>
        </is>
      </c>
      <c r="B2366" s="17" t="inlineStr"/>
      <c r="C2366" s="17" t="inlineStr">
        <is>
          <t>성이바이오제약주식회사</t>
        </is>
      </c>
      <c r="D2366" s="17" t="inlineStr"/>
      <c r="E2366" s="17" t="inlineStr">
        <is>
          <t>종업원수</t>
        </is>
      </c>
      <c r="F2366" s="17" t="inlineStr">
        <is>
          <t>미확인</t>
        </is>
      </c>
      <c r="G2366" s="17" t="inlineStr">
        <is>
          <t>웹조사 자동화 실패(세션한도)</t>
        </is>
      </c>
      <c r="H2366" s="17" t="inlineStr">
        <is>
          <t>N</t>
        </is>
      </c>
      <c r="I2366" s="17" t="inlineStr">
        <is>
          <t>DART/채용</t>
        </is>
      </c>
      <c r="J2366" s="17" t="inlineStr">
        <is>
          <t>DART/채용에서 확인</t>
        </is>
      </c>
      <c r="K2366" s="17" t="inlineStr">
        <is>
          <t>낮음</t>
        </is>
      </c>
      <c r="L2366" s="17" t="inlineStr"/>
    </row>
    <row r="2367">
      <c r="A2367" s="17" t="inlineStr">
        <is>
          <t>C380</t>
        </is>
      </c>
      <c r="B2367" s="17" t="inlineStr"/>
      <c r="C2367" s="17" t="inlineStr">
        <is>
          <t>성이바이오제약주식회사</t>
        </is>
      </c>
      <c r="D2367" s="17" t="inlineStr"/>
      <c r="E2367" s="17" t="inlineStr">
        <is>
          <t>수출여부</t>
        </is>
      </c>
      <c r="F2367" s="17" t="inlineStr">
        <is>
          <t>미확인</t>
        </is>
      </c>
      <c r="G2367" s="17" t="inlineStr">
        <is>
          <t>웹조사 자동화 실패(세션한도)</t>
        </is>
      </c>
      <c r="H2367" s="17" t="inlineStr">
        <is>
          <t>N</t>
        </is>
      </c>
      <c r="I2367" s="17" t="inlineStr">
        <is>
          <t>회사 공시·홈페이지</t>
        </is>
      </c>
      <c r="J2367" s="17" t="inlineStr">
        <is>
          <t>회사 공시·홈페이지에서 확인</t>
        </is>
      </c>
      <c r="K2367" s="17" t="inlineStr">
        <is>
          <t>낮음</t>
        </is>
      </c>
      <c r="L2367" s="17" t="inlineStr"/>
    </row>
    <row r="2368">
      <c r="A2368" s="17" t="inlineStr">
        <is>
          <t>C380</t>
        </is>
      </c>
      <c r="B2368" s="17" t="inlineStr"/>
      <c r="C2368" s="17" t="inlineStr">
        <is>
          <t>성이바이오제약주식회사</t>
        </is>
      </c>
      <c r="D2368" s="17" t="inlineStr"/>
      <c r="E2368" s="17" t="inlineStr">
        <is>
          <t>FDA·EMA 실사</t>
        </is>
      </c>
      <c r="F2368" s="17" t="inlineStr">
        <is>
          <t>미확인</t>
        </is>
      </c>
      <c r="G2368" s="17" t="inlineStr">
        <is>
          <t>웹조사 자동화 실패(세션한도)</t>
        </is>
      </c>
      <c r="H2368" s="17" t="inlineStr">
        <is>
          <t>N</t>
        </is>
      </c>
      <c r="I2368" s="17" t="inlineStr">
        <is>
          <t>FDA Inspection DB</t>
        </is>
      </c>
      <c r="J2368" s="17" t="inlineStr">
        <is>
          <t>FDA Inspection DB에서 확인</t>
        </is>
      </c>
      <c r="K2368" s="17" t="inlineStr">
        <is>
          <t>낮음</t>
        </is>
      </c>
      <c r="L2368" s="17" t="inlineStr"/>
    </row>
    <row r="2369">
      <c r="A2369" s="17" t="inlineStr">
        <is>
          <t>C380</t>
        </is>
      </c>
      <c r="B2369" s="17" t="inlineStr"/>
      <c r="C2369" s="17" t="inlineStr">
        <is>
          <t>성이바이오제약주식회사</t>
        </is>
      </c>
      <c r="D2369" s="17" t="inlineStr"/>
      <c r="E2369" s="17" t="inlineStr">
        <is>
          <t>CMO·CDMO</t>
        </is>
      </c>
      <c r="F2369" s="17" t="inlineStr">
        <is>
          <t>미확인</t>
        </is>
      </c>
      <c r="G2369" s="17" t="inlineStr">
        <is>
          <t>웹조사 자동화 실패(세션한도)</t>
        </is>
      </c>
      <c r="H2369" s="17" t="inlineStr">
        <is>
          <t>N</t>
        </is>
      </c>
      <c r="I2369" s="17" t="inlineStr">
        <is>
          <t>회사 홈페이지</t>
        </is>
      </c>
      <c r="J2369" s="17" t="inlineStr">
        <is>
          <t>회사 홈페이지에서 확인</t>
        </is>
      </c>
      <c r="K2369" s="17" t="inlineStr">
        <is>
          <t>낮음</t>
        </is>
      </c>
      <c r="L2369" s="17" t="inlineStr"/>
    </row>
    <row r="2370">
      <c r="A2370" s="17" t="inlineStr">
        <is>
          <t>C380</t>
        </is>
      </c>
      <c r="B2370" s="17" t="inlineStr"/>
      <c r="C2370" s="17" t="inlineStr">
        <is>
          <t>성이바이오제약주식회사</t>
        </is>
      </c>
      <c r="D2370" s="17" t="inlineStr"/>
      <c r="E2370" s="17" t="inlineStr">
        <is>
          <t>신공장·증설</t>
        </is>
      </c>
      <c r="F2370" s="17" t="inlineStr">
        <is>
          <t>미확인</t>
        </is>
      </c>
      <c r="G2370" s="17" t="inlineStr">
        <is>
          <t>웹조사 자동화 실패(세션한도)</t>
        </is>
      </c>
      <c r="H2370" s="17" t="inlineStr">
        <is>
          <t>N</t>
        </is>
      </c>
      <c r="I2370" s="17" t="inlineStr">
        <is>
          <t>언론·지자체 발표</t>
        </is>
      </c>
      <c r="J2370" s="17" t="inlineStr">
        <is>
          <t>언론·지자체 발표에서 확인</t>
        </is>
      </c>
      <c r="K2370" s="17" t="inlineStr">
        <is>
          <t>낮음</t>
        </is>
      </c>
      <c r="L2370" s="17" t="inlineStr"/>
    </row>
    <row r="2371">
      <c r="A2371" s="17" t="inlineStr">
        <is>
          <t>C381</t>
        </is>
      </c>
      <c r="B2371" s="17" t="inlineStr"/>
      <c r="C2371" s="17" t="inlineStr">
        <is>
          <t>(주)서울제약</t>
        </is>
      </c>
      <c r="D2371" s="17" t="inlineStr"/>
      <c r="E2371" s="17" t="inlineStr">
        <is>
          <t>최근매출(억원)</t>
        </is>
      </c>
      <c r="F2371" s="17" t="inlineStr">
        <is>
          <t>미확인</t>
        </is>
      </c>
      <c r="G2371" s="17" t="inlineStr">
        <is>
          <t>웹조사 자동화 실패(세션한도)</t>
        </is>
      </c>
      <c r="H2371" s="17" t="inlineStr">
        <is>
          <t>N</t>
        </is>
      </c>
      <c r="I2371" s="17" t="inlineStr">
        <is>
          <t>DART 사업보고서</t>
        </is>
      </c>
      <c r="J2371" s="17" t="inlineStr">
        <is>
          <t>DART 사업보고서에서 확인</t>
        </is>
      </c>
      <c r="K2371" s="17" t="inlineStr">
        <is>
          <t>낮음</t>
        </is>
      </c>
      <c r="L2371" s="17" t="inlineStr"/>
    </row>
    <row r="2372">
      <c r="A2372" s="17" t="inlineStr">
        <is>
          <t>C381</t>
        </is>
      </c>
      <c r="B2372" s="17" t="inlineStr"/>
      <c r="C2372" s="17" t="inlineStr">
        <is>
          <t>(주)서울제약</t>
        </is>
      </c>
      <c r="D2372" s="17" t="inlineStr"/>
      <c r="E2372" s="17" t="inlineStr">
        <is>
          <t>종업원수</t>
        </is>
      </c>
      <c r="F2372" s="17" t="inlineStr">
        <is>
          <t>미확인</t>
        </is>
      </c>
      <c r="G2372" s="17" t="inlineStr">
        <is>
          <t>웹조사 자동화 실패(세션한도)</t>
        </is>
      </c>
      <c r="H2372" s="17" t="inlineStr">
        <is>
          <t>N</t>
        </is>
      </c>
      <c r="I2372" s="17" t="inlineStr">
        <is>
          <t>DART/채용</t>
        </is>
      </c>
      <c r="J2372" s="17" t="inlineStr">
        <is>
          <t>DART/채용에서 확인</t>
        </is>
      </c>
      <c r="K2372" s="17" t="inlineStr">
        <is>
          <t>낮음</t>
        </is>
      </c>
      <c r="L2372" s="17" t="inlineStr"/>
    </row>
    <row r="2373">
      <c r="A2373" s="17" t="inlineStr">
        <is>
          <t>C381</t>
        </is>
      </c>
      <c r="B2373" s="17" t="inlineStr"/>
      <c r="C2373" s="17" t="inlineStr">
        <is>
          <t>(주)서울제약</t>
        </is>
      </c>
      <c r="D2373" s="17" t="inlineStr"/>
      <c r="E2373" s="17" t="inlineStr">
        <is>
          <t>수출여부</t>
        </is>
      </c>
      <c r="F2373" s="17" t="inlineStr">
        <is>
          <t>미확인</t>
        </is>
      </c>
      <c r="G2373" s="17" t="inlineStr">
        <is>
          <t>웹조사 자동화 실패(세션한도)</t>
        </is>
      </c>
      <c r="H2373" s="17" t="inlineStr">
        <is>
          <t>N</t>
        </is>
      </c>
      <c r="I2373" s="17" t="inlineStr">
        <is>
          <t>회사 공시·홈페이지</t>
        </is>
      </c>
      <c r="J2373" s="17" t="inlineStr">
        <is>
          <t>회사 공시·홈페이지에서 확인</t>
        </is>
      </c>
      <c r="K2373" s="17" t="inlineStr">
        <is>
          <t>낮음</t>
        </is>
      </c>
      <c r="L2373" s="17" t="inlineStr"/>
    </row>
    <row r="2374">
      <c r="A2374" s="17" t="inlineStr">
        <is>
          <t>C381</t>
        </is>
      </c>
      <c r="B2374" s="17" t="inlineStr"/>
      <c r="C2374" s="17" t="inlineStr">
        <is>
          <t>(주)서울제약</t>
        </is>
      </c>
      <c r="D2374" s="17" t="inlineStr"/>
      <c r="E2374" s="17" t="inlineStr">
        <is>
          <t>FDA·EMA 실사</t>
        </is>
      </c>
      <c r="F2374" s="17" t="inlineStr">
        <is>
          <t>미확인</t>
        </is>
      </c>
      <c r="G2374" s="17" t="inlineStr">
        <is>
          <t>웹조사 자동화 실패(세션한도)</t>
        </is>
      </c>
      <c r="H2374" s="17" t="inlineStr">
        <is>
          <t>N</t>
        </is>
      </c>
      <c r="I2374" s="17" t="inlineStr">
        <is>
          <t>FDA Inspection DB</t>
        </is>
      </c>
      <c r="J2374" s="17" t="inlineStr">
        <is>
          <t>FDA Inspection DB에서 확인</t>
        </is>
      </c>
      <c r="K2374" s="17" t="inlineStr">
        <is>
          <t>낮음</t>
        </is>
      </c>
      <c r="L2374" s="17" t="inlineStr"/>
    </row>
    <row r="2375">
      <c r="A2375" s="17" t="inlineStr">
        <is>
          <t>C381</t>
        </is>
      </c>
      <c r="B2375" s="17" t="inlineStr"/>
      <c r="C2375" s="17" t="inlineStr">
        <is>
          <t>(주)서울제약</t>
        </is>
      </c>
      <c r="D2375" s="17" t="inlineStr"/>
      <c r="E2375" s="17" t="inlineStr">
        <is>
          <t>CMO·CDMO</t>
        </is>
      </c>
      <c r="F2375" s="17" t="inlineStr">
        <is>
          <t>미확인</t>
        </is>
      </c>
      <c r="G2375" s="17" t="inlineStr">
        <is>
          <t>웹조사 자동화 실패(세션한도)</t>
        </is>
      </c>
      <c r="H2375" s="17" t="inlineStr">
        <is>
          <t>N</t>
        </is>
      </c>
      <c r="I2375" s="17" t="inlineStr">
        <is>
          <t>회사 홈페이지</t>
        </is>
      </c>
      <c r="J2375" s="17" t="inlineStr">
        <is>
          <t>회사 홈페이지에서 확인</t>
        </is>
      </c>
      <c r="K2375" s="17" t="inlineStr">
        <is>
          <t>낮음</t>
        </is>
      </c>
      <c r="L2375" s="17" t="inlineStr"/>
    </row>
    <row r="2376">
      <c r="A2376" s="17" t="inlineStr">
        <is>
          <t>C381</t>
        </is>
      </c>
      <c r="B2376" s="17" t="inlineStr"/>
      <c r="C2376" s="17" t="inlineStr">
        <is>
          <t>(주)서울제약</t>
        </is>
      </c>
      <c r="D2376" s="17" t="inlineStr"/>
      <c r="E2376" s="17" t="inlineStr">
        <is>
          <t>신공장·증설</t>
        </is>
      </c>
      <c r="F2376" s="17" t="inlineStr">
        <is>
          <t>미확인</t>
        </is>
      </c>
      <c r="G2376" s="17" t="inlineStr">
        <is>
          <t>웹조사 자동화 실패(세션한도)</t>
        </is>
      </c>
      <c r="H2376" s="17" t="inlineStr">
        <is>
          <t>N</t>
        </is>
      </c>
      <c r="I2376" s="17" t="inlineStr">
        <is>
          <t>언론·지자체 발표</t>
        </is>
      </c>
      <c r="J2376" s="17" t="inlineStr">
        <is>
          <t>언론·지자체 발표에서 확인</t>
        </is>
      </c>
      <c r="K2376" s="17" t="inlineStr">
        <is>
          <t>낮음</t>
        </is>
      </c>
      <c r="L2376" s="17" t="inlineStr"/>
    </row>
    <row r="2377">
      <c r="A2377" s="17" t="inlineStr">
        <is>
          <t>C382</t>
        </is>
      </c>
      <c r="B2377" s="17" t="inlineStr"/>
      <c r="C2377" s="17" t="inlineStr">
        <is>
          <t>주식회사위지피제약</t>
        </is>
      </c>
      <c r="D2377" s="17" t="inlineStr"/>
      <c r="E2377" s="17" t="inlineStr">
        <is>
          <t>최근매출(억원)</t>
        </is>
      </c>
      <c r="F2377" s="17" t="inlineStr">
        <is>
          <t>미확인</t>
        </is>
      </c>
      <c r="G2377" s="17" t="inlineStr">
        <is>
          <t>웹조사 자동화 실패(세션한도)</t>
        </is>
      </c>
      <c r="H2377" s="17" t="inlineStr">
        <is>
          <t>N</t>
        </is>
      </c>
      <c r="I2377" s="17" t="inlineStr">
        <is>
          <t>DART 사업보고서</t>
        </is>
      </c>
      <c r="J2377" s="17" t="inlineStr">
        <is>
          <t>DART 사업보고서에서 확인</t>
        </is>
      </c>
      <c r="K2377" s="17" t="inlineStr">
        <is>
          <t>낮음</t>
        </is>
      </c>
      <c r="L2377" s="17" t="inlineStr"/>
    </row>
    <row r="2378">
      <c r="A2378" s="17" t="inlineStr">
        <is>
          <t>C382</t>
        </is>
      </c>
      <c r="B2378" s="17" t="inlineStr"/>
      <c r="C2378" s="17" t="inlineStr">
        <is>
          <t>주식회사위지피제약</t>
        </is>
      </c>
      <c r="D2378" s="17" t="inlineStr"/>
      <c r="E2378" s="17" t="inlineStr">
        <is>
          <t>종업원수</t>
        </is>
      </c>
      <c r="F2378" s="17" t="inlineStr">
        <is>
          <t>미확인</t>
        </is>
      </c>
      <c r="G2378" s="17" t="inlineStr">
        <is>
          <t>웹조사 자동화 실패(세션한도)</t>
        </is>
      </c>
      <c r="H2378" s="17" t="inlineStr">
        <is>
          <t>N</t>
        </is>
      </c>
      <c r="I2378" s="17" t="inlineStr">
        <is>
          <t>DART/채용</t>
        </is>
      </c>
      <c r="J2378" s="17" t="inlineStr">
        <is>
          <t>DART/채용에서 확인</t>
        </is>
      </c>
      <c r="K2378" s="17" t="inlineStr">
        <is>
          <t>낮음</t>
        </is>
      </c>
      <c r="L2378" s="17" t="inlineStr"/>
    </row>
    <row r="2379">
      <c r="A2379" s="17" t="inlineStr">
        <is>
          <t>C382</t>
        </is>
      </c>
      <c r="B2379" s="17" t="inlineStr"/>
      <c r="C2379" s="17" t="inlineStr">
        <is>
          <t>주식회사위지피제약</t>
        </is>
      </c>
      <c r="D2379" s="17" t="inlineStr"/>
      <c r="E2379" s="17" t="inlineStr">
        <is>
          <t>수출여부</t>
        </is>
      </c>
      <c r="F2379" s="17" t="inlineStr">
        <is>
          <t>미확인</t>
        </is>
      </c>
      <c r="G2379" s="17" t="inlineStr">
        <is>
          <t>웹조사 자동화 실패(세션한도)</t>
        </is>
      </c>
      <c r="H2379" s="17" t="inlineStr">
        <is>
          <t>N</t>
        </is>
      </c>
      <c r="I2379" s="17" t="inlineStr">
        <is>
          <t>회사 공시·홈페이지</t>
        </is>
      </c>
      <c r="J2379" s="17" t="inlineStr">
        <is>
          <t>회사 공시·홈페이지에서 확인</t>
        </is>
      </c>
      <c r="K2379" s="17" t="inlineStr">
        <is>
          <t>낮음</t>
        </is>
      </c>
      <c r="L2379" s="17" t="inlineStr"/>
    </row>
    <row r="2380">
      <c r="A2380" s="17" t="inlineStr">
        <is>
          <t>C382</t>
        </is>
      </c>
      <c r="B2380" s="17" t="inlineStr"/>
      <c r="C2380" s="17" t="inlineStr">
        <is>
          <t>주식회사위지피제약</t>
        </is>
      </c>
      <c r="D2380" s="17" t="inlineStr"/>
      <c r="E2380" s="17" t="inlineStr">
        <is>
          <t>FDA·EMA 실사</t>
        </is>
      </c>
      <c r="F2380" s="17" t="inlineStr">
        <is>
          <t>미확인</t>
        </is>
      </c>
      <c r="G2380" s="17" t="inlineStr">
        <is>
          <t>웹조사 자동화 실패(세션한도)</t>
        </is>
      </c>
      <c r="H2380" s="17" t="inlineStr">
        <is>
          <t>N</t>
        </is>
      </c>
      <c r="I2380" s="17" t="inlineStr">
        <is>
          <t>FDA Inspection DB</t>
        </is>
      </c>
      <c r="J2380" s="17" t="inlineStr">
        <is>
          <t>FDA Inspection DB에서 확인</t>
        </is>
      </c>
      <c r="K2380" s="17" t="inlineStr">
        <is>
          <t>낮음</t>
        </is>
      </c>
      <c r="L2380" s="17" t="inlineStr"/>
    </row>
    <row r="2381">
      <c r="A2381" s="17" t="inlineStr">
        <is>
          <t>C382</t>
        </is>
      </c>
      <c r="B2381" s="17" t="inlineStr"/>
      <c r="C2381" s="17" t="inlineStr">
        <is>
          <t>주식회사위지피제약</t>
        </is>
      </c>
      <c r="D2381" s="17" t="inlineStr"/>
      <c r="E2381" s="17" t="inlineStr">
        <is>
          <t>CMO·CDMO</t>
        </is>
      </c>
      <c r="F2381" s="17" t="inlineStr">
        <is>
          <t>미확인</t>
        </is>
      </c>
      <c r="G2381" s="17" t="inlineStr">
        <is>
          <t>웹조사 자동화 실패(세션한도)</t>
        </is>
      </c>
      <c r="H2381" s="17" t="inlineStr">
        <is>
          <t>N</t>
        </is>
      </c>
      <c r="I2381" s="17" t="inlineStr">
        <is>
          <t>회사 홈페이지</t>
        </is>
      </c>
      <c r="J2381" s="17" t="inlineStr">
        <is>
          <t>회사 홈페이지에서 확인</t>
        </is>
      </c>
      <c r="K2381" s="17" t="inlineStr">
        <is>
          <t>낮음</t>
        </is>
      </c>
      <c r="L2381" s="17" t="inlineStr"/>
    </row>
    <row r="2382">
      <c r="A2382" s="17" t="inlineStr">
        <is>
          <t>C382</t>
        </is>
      </c>
      <c r="B2382" s="17" t="inlineStr"/>
      <c r="C2382" s="17" t="inlineStr">
        <is>
          <t>주식회사위지피제약</t>
        </is>
      </c>
      <c r="D2382" s="17" t="inlineStr"/>
      <c r="E2382" s="17" t="inlineStr">
        <is>
          <t>신공장·증설</t>
        </is>
      </c>
      <c r="F2382" s="17" t="inlineStr">
        <is>
          <t>미확인</t>
        </is>
      </c>
      <c r="G2382" s="17" t="inlineStr">
        <is>
          <t>웹조사 자동화 실패(세션한도)</t>
        </is>
      </c>
      <c r="H2382" s="17" t="inlineStr">
        <is>
          <t>N</t>
        </is>
      </c>
      <c r="I2382" s="17" t="inlineStr">
        <is>
          <t>언론·지자체 발표</t>
        </is>
      </c>
      <c r="J2382" s="17" t="inlineStr">
        <is>
          <t>언론·지자체 발표에서 확인</t>
        </is>
      </c>
      <c r="K2382" s="17" t="inlineStr">
        <is>
          <t>낮음</t>
        </is>
      </c>
      <c r="L2382" s="17" t="inlineStr"/>
    </row>
    <row r="2383">
      <c r="A2383" s="17" t="inlineStr">
        <is>
          <t>C382</t>
        </is>
      </c>
      <c r="B2383" s="17" t="inlineStr"/>
      <c r="C2383" s="17" t="inlineStr">
        <is>
          <t>주식회사위지피제약</t>
        </is>
      </c>
      <c r="D2383" s="17" t="inlineStr"/>
      <c r="E2383" s="17" t="inlineStr">
        <is>
          <t>대표전화</t>
        </is>
      </c>
      <c r="F2383" s="17" t="inlineStr">
        <is>
          <t>미확인</t>
        </is>
      </c>
      <c r="G2383" s="17" t="inlineStr">
        <is>
          <t>제조소상세 미매칭</t>
        </is>
      </c>
      <c r="H2383" s="17" t="inlineStr">
        <is>
          <t>Y</t>
        </is>
      </c>
      <c r="I2383" s="17" t="inlineStr">
        <is>
          <t>회사 홈페이지</t>
        </is>
      </c>
      <c r="J2383" s="17" t="inlineStr">
        <is>
          <t>홈페이지에서 대표번호 확인</t>
        </is>
      </c>
      <c r="K2383" s="17" t="inlineStr">
        <is>
          <t>낮음</t>
        </is>
      </c>
      <c r="L2383" s="17" t="inlineStr"/>
    </row>
    <row r="2384">
      <c r="A2384" s="17" t="inlineStr">
        <is>
          <t>C383</t>
        </is>
      </c>
      <c r="B2384" s="17" t="inlineStr"/>
      <c r="C2384" s="17" t="inlineStr">
        <is>
          <t>(주)삼양바이오팜</t>
        </is>
      </c>
      <c r="D2384" s="17" t="inlineStr"/>
      <c r="E2384" s="17" t="inlineStr">
        <is>
          <t>최근매출(억원)</t>
        </is>
      </c>
      <c r="F2384" s="17" t="inlineStr">
        <is>
          <t>미확인</t>
        </is>
      </c>
      <c r="G2384" s="17" t="inlineStr">
        <is>
          <t>웹조사 자동화 실패(세션한도)</t>
        </is>
      </c>
      <c r="H2384" s="17" t="inlineStr">
        <is>
          <t>N</t>
        </is>
      </c>
      <c r="I2384" s="17" t="inlineStr">
        <is>
          <t>DART 사업보고서</t>
        </is>
      </c>
      <c r="J2384" s="17" t="inlineStr">
        <is>
          <t>DART 사업보고서에서 확인</t>
        </is>
      </c>
      <c r="K2384" s="17" t="inlineStr">
        <is>
          <t>낮음</t>
        </is>
      </c>
      <c r="L2384" s="17" t="inlineStr"/>
    </row>
    <row r="2385">
      <c r="A2385" s="17" t="inlineStr">
        <is>
          <t>C383</t>
        </is>
      </c>
      <c r="B2385" s="17" t="inlineStr"/>
      <c r="C2385" s="17" t="inlineStr">
        <is>
          <t>(주)삼양바이오팜</t>
        </is>
      </c>
      <c r="D2385" s="17" t="inlineStr"/>
      <c r="E2385" s="17" t="inlineStr">
        <is>
          <t>종업원수</t>
        </is>
      </c>
      <c r="F2385" s="17" t="inlineStr">
        <is>
          <t>미확인</t>
        </is>
      </c>
      <c r="G2385" s="17" t="inlineStr">
        <is>
          <t>웹조사 자동화 실패(세션한도)</t>
        </is>
      </c>
      <c r="H2385" s="17" t="inlineStr">
        <is>
          <t>N</t>
        </is>
      </c>
      <c r="I2385" s="17" t="inlineStr">
        <is>
          <t>DART/채용</t>
        </is>
      </c>
      <c r="J2385" s="17" t="inlineStr">
        <is>
          <t>DART/채용에서 확인</t>
        </is>
      </c>
      <c r="K2385" s="17" t="inlineStr">
        <is>
          <t>낮음</t>
        </is>
      </c>
      <c r="L2385" s="17" t="inlineStr"/>
    </row>
    <row r="2386">
      <c r="A2386" s="17" t="inlineStr">
        <is>
          <t>C383</t>
        </is>
      </c>
      <c r="B2386" s="17" t="inlineStr"/>
      <c r="C2386" s="17" t="inlineStr">
        <is>
          <t>(주)삼양바이오팜</t>
        </is>
      </c>
      <c r="D2386" s="17" t="inlineStr"/>
      <c r="E2386" s="17" t="inlineStr">
        <is>
          <t>수출여부</t>
        </is>
      </c>
      <c r="F2386" s="17" t="inlineStr">
        <is>
          <t>미확인</t>
        </is>
      </c>
      <c r="G2386" s="17" t="inlineStr">
        <is>
          <t>웹조사 자동화 실패(세션한도)</t>
        </is>
      </c>
      <c r="H2386" s="17" t="inlineStr">
        <is>
          <t>N</t>
        </is>
      </c>
      <c r="I2386" s="17" t="inlineStr">
        <is>
          <t>회사 공시·홈페이지</t>
        </is>
      </c>
      <c r="J2386" s="17" t="inlineStr">
        <is>
          <t>회사 공시·홈페이지에서 확인</t>
        </is>
      </c>
      <c r="K2386" s="17" t="inlineStr">
        <is>
          <t>낮음</t>
        </is>
      </c>
      <c r="L2386" s="17" t="inlineStr"/>
    </row>
    <row r="2387">
      <c r="A2387" s="17" t="inlineStr">
        <is>
          <t>C383</t>
        </is>
      </c>
      <c r="B2387" s="17" t="inlineStr"/>
      <c r="C2387" s="17" t="inlineStr">
        <is>
          <t>(주)삼양바이오팜</t>
        </is>
      </c>
      <c r="D2387" s="17" t="inlineStr"/>
      <c r="E2387" s="17" t="inlineStr">
        <is>
          <t>FDA·EMA 실사</t>
        </is>
      </c>
      <c r="F2387" s="17" t="inlineStr">
        <is>
          <t>미확인</t>
        </is>
      </c>
      <c r="G2387" s="17" t="inlineStr">
        <is>
          <t>웹조사 자동화 실패(세션한도)</t>
        </is>
      </c>
      <c r="H2387" s="17" t="inlineStr">
        <is>
          <t>N</t>
        </is>
      </c>
      <c r="I2387" s="17" t="inlineStr">
        <is>
          <t>FDA Inspection DB</t>
        </is>
      </c>
      <c r="J2387" s="17" t="inlineStr">
        <is>
          <t>FDA Inspection DB에서 확인</t>
        </is>
      </c>
      <c r="K2387" s="17" t="inlineStr">
        <is>
          <t>낮음</t>
        </is>
      </c>
      <c r="L2387" s="17" t="inlineStr"/>
    </row>
    <row r="2388">
      <c r="A2388" s="17" t="inlineStr">
        <is>
          <t>C383</t>
        </is>
      </c>
      <c r="B2388" s="17" t="inlineStr"/>
      <c r="C2388" s="17" t="inlineStr">
        <is>
          <t>(주)삼양바이오팜</t>
        </is>
      </c>
      <c r="D2388" s="17" t="inlineStr"/>
      <c r="E2388" s="17" t="inlineStr">
        <is>
          <t>CMO·CDMO</t>
        </is>
      </c>
      <c r="F2388" s="17" t="inlineStr">
        <is>
          <t>미확인</t>
        </is>
      </c>
      <c r="G2388" s="17" t="inlineStr">
        <is>
          <t>웹조사 자동화 실패(세션한도)</t>
        </is>
      </c>
      <c r="H2388" s="17" t="inlineStr">
        <is>
          <t>N</t>
        </is>
      </c>
      <c r="I2388" s="17" t="inlineStr">
        <is>
          <t>회사 홈페이지</t>
        </is>
      </c>
      <c r="J2388" s="17" t="inlineStr">
        <is>
          <t>회사 홈페이지에서 확인</t>
        </is>
      </c>
      <c r="K2388" s="17" t="inlineStr">
        <is>
          <t>낮음</t>
        </is>
      </c>
      <c r="L2388" s="17" t="inlineStr"/>
    </row>
    <row r="2389">
      <c r="A2389" s="17" t="inlineStr">
        <is>
          <t>C383</t>
        </is>
      </c>
      <c r="B2389" s="17" t="inlineStr"/>
      <c r="C2389" s="17" t="inlineStr">
        <is>
          <t>(주)삼양바이오팜</t>
        </is>
      </c>
      <c r="D2389" s="17" t="inlineStr"/>
      <c r="E2389" s="17" t="inlineStr">
        <is>
          <t>신공장·증설</t>
        </is>
      </c>
      <c r="F2389" s="17" t="inlineStr">
        <is>
          <t>미확인</t>
        </is>
      </c>
      <c r="G2389" s="17" t="inlineStr">
        <is>
          <t>웹조사 자동화 실패(세션한도)</t>
        </is>
      </c>
      <c r="H2389" s="17" t="inlineStr">
        <is>
          <t>N</t>
        </is>
      </c>
      <c r="I2389" s="17" t="inlineStr">
        <is>
          <t>언론·지자체 발표</t>
        </is>
      </c>
      <c r="J2389" s="17" t="inlineStr">
        <is>
          <t>언론·지자체 발표에서 확인</t>
        </is>
      </c>
      <c r="K2389" s="17" t="inlineStr">
        <is>
          <t>낮음</t>
        </is>
      </c>
      <c r="L2389" s="17" t="inlineStr"/>
    </row>
    <row r="2390">
      <c r="A2390" s="17" t="inlineStr">
        <is>
          <t>C384</t>
        </is>
      </c>
      <c r="B2390" s="17" t="inlineStr"/>
      <c r="C2390" s="17" t="inlineStr">
        <is>
          <t>에이치엘지노믹스(주)</t>
        </is>
      </c>
      <c r="D2390" s="17" t="inlineStr"/>
      <c r="E2390" s="17" t="inlineStr">
        <is>
          <t>최근매출(억원)</t>
        </is>
      </c>
      <c r="F2390" s="17" t="inlineStr">
        <is>
          <t>미확인</t>
        </is>
      </c>
      <c r="G2390" s="17" t="inlineStr">
        <is>
          <t>웹조사 자동화 실패(세션한도)</t>
        </is>
      </c>
      <c r="H2390" s="17" t="inlineStr">
        <is>
          <t>N</t>
        </is>
      </c>
      <c r="I2390" s="17" t="inlineStr">
        <is>
          <t>DART 사업보고서</t>
        </is>
      </c>
      <c r="J2390" s="17" t="inlineStr">
        <is>
          <t>DART 사업보고서에서 확인</t>
        </is>
      </c>
      <c r="K2390" s="17" t="inlineStr">
        <is>
          <t>낮음</t>
        </is>
      </c>
      <c r="L2390" s="17" t="inlineStr"/>
    </row>
    <row r="2391">
      <c r="A2391" s="17" t="inlineStr">
        <is>
          <t>C384</t>
        </is>
      </c>
      <c r="B2391" s="17" t="inlineStr"/>
      <c r="C2391" s="17" t="inlineStr">
        <is>
          <t>에이치엘지노믹스(주)</t>
        </is>
      </c>
      <c r="D2391" s="17" t="inlineStr"/>
      <c r="E2391" s="17" t="inlineStr">
        <is>
          <t>종업원수</t>
        </is>
      </c>
      <c r="F2391" s="17" t="inlineStr">
        <is>
          <t>미확인</t>
        </is>
      </c>
      <c r="G2391" s="17" t="inlineStr">
        <is>
          <t>웹조사 자동화 실패(세션한도)</t>
        </is>
      </c>
      <c r="H2391" s="17" t="inlineStr">
        <is>
          <t>N</t>
        </is>
      </c>
      <c r="I2391" s="17" t="inlineStr">
        <is>
          <t>DART/채용</t>
        </is>
      </c>
      <c r="J2391" s="17" t="inlineStr">
        <is>
          <t>DART/채용에서 확인</t>
        </is>
      </c>
      <c r="K2391" s="17" t="inlineStr">
        <is>
          <t>낮음</t>
        </is>
      </c>
      <c r="L2391" s="17" t="inlineStr"/>
    </row>
    <row r="2392">
      <c r="A2392" s="17" t="inlineStr">
        <is>
          <t>C384</t>
        </is>
      </c>
      <c r="B2392" s="17" t="inlineStr"/>
      <c r="C2392" s="17" t="inlineStr">
        <is>
          <t>에이치엘지노믹스(주)</t>
        </is>
      </c>
      <c r="D2392" s="17" t="inlineStr"/>
      <c r="E2392" s="17" t="inlineStr">
        <is>
          <t>수출여부</t>
        </is>
      </c>
      <c r="F2392" s="17" t="inlineStr">
        <is>
          <t>미확인</t>
        </is>
      </c>
      <c r="G2392" s="17" t="inlineStr">
        <is>
          <t>웹조사 자동화 실패(세션한도)</t>
        </is>
      </c>
      <c r="H2392" s="17" t="inlineStr">
        <is>
          <t>N</t>
        </is>
      </c>
      <c r="I2392" s="17" t="inlineStr">
        <is>
          <t>회사 공시·홈페이지</t>
        </is>
      </c>
      <c r="J2392" s="17" t="inlineStr">
        <is>
          <t>회사 공시·홈페이지에서 확인</t>
        </is>
      </c>
      <c r="K2392" s="17" t="inlineStr">
        <is>
          <t>낮음</t>
        </is>
      </c>
      <c r="L2392" s="17" t="inlineStr"/>
    </row>
    <row r="2393">
      <c r="A2393" s="17" t="inlineStr">
        <is>
          <t>C384</t>
        </is>
      </c>
      <c r="B2393" s="17" t="inlineStr"/>
      <c r="C2393" s="17" t="inlineStr">
        <is>
          <t>에이치엘지노믹스(주)</t>
        </is>
      </c>
      <c r="D2393" s="17" t="inlineStr"/>
      <c r="E2393" s="17" t="inlineStr">
        <is>
          <t>FDA·EMA 실사</t>
        </is>
      </c>
      <c r="F2393" s="17" t="inlineStr">
        <is>
          <t>미확인</t>
        </is>
      </c>
      <c r="G2393" s="17" t="inlineStr">
        <is>
          <t>웹조사 자동화 실패(세션한도)</t>
        </is>
      </c>
      <c r="H2393" s="17" t="inlineStr">
        <is>
          <t>N</t>
        </is>
      </c>
      <c r="I2393" s="17" t="inlineStr">
        <is>
          <t>FDA Inspection DB</t>
        </is>
      </c>
      <c r="J2393" s="17" t="inlineStr">
        <is>
          <t>FDA Inspection DB에서 확인</t>
        </is>
      </c>
      <c r="K2393" s="17" t="inlineStr">
        <is>
          <t>낮음</t>
        </is>
      </c>
      <c r="L2393" s="17" t="inlineStr"/>
    </row>
    <row r="2394">
      <c r="A2394" s="17" t="inlineStr">
        <is>
          <t>C384</t>
        </is>
      </c>
      <c r="B2394" s="17" t="inlineStr"/>
      <c r="C2394" s="17" t="inlineStr">
        <is>
          <t>에이치엘지노믹스(주)</t>
        </is>
      </c>
      <c r="D2394" s="17" t="inlineStr"/>
      <c r="E2394" s="17" t="inlineStr">
        <is>
          <t>CMO·CDMO</t>
        </is>
      </c>
      <c r="F2394" s="17" t="inlineStr">
        <is>
          <t>미확인</t>
        </is>
      </c>
      <c r="G2394" s="17" t="inlineStr">
        <is>
          <t>웹조사 자동화 실패(세션한도)</t>
        </is>
      </c>
      <c r="H2394" s="17" t="inlineStr">
        <is>
          <t>N</t>
        </is>
      </c>
      <c r="I2394" s="17" t="inlineStr">
        <is>
          <t>회사 홈페이지</t>
        </is>
      </c>
      <c r="J2394" s="17" t="inlineStr">
        <is>
          <t>회사 홈페이지에서 확인</t>
        </is>
      </c>
      <c r="K2394" s="17" t="inlineStr">
        <is>
          <t>낮음</t>
        </is>
      </c>
      <c r="L2394" s="17" t="inlineStr"/>
    </row>
    <row r="2395">
      <c r="A2395" s="17" t="inlineStr">
        <is>
          <t>C384</t>
        </is>
      </c>
      <c r="B2395" s="17" t="inlineStr"/>
      <c r="C2395" s="17" t="inlineStr">
        <is>
          <t>에이치엘지노믹스(주)</t>
        </is>
      </c>
      <c r="D2395" s="17" t="inlineStr"/>
      <c r="E2395" s="17" t="inlineStr">
        <is>
          <t>신공장·증설</t>
        </is>
      </c>
      <c r="F2395" s="17" t="inlineStr">
        <is>
          <t>미확인</t>
        </is>
      </c>
      <c r="G2395" s="17" t="inlineStr">
        <is>
          <t>웹조사 자동화 실패(세션한도)</t>
        </is>
      </c>
      <c r="H2395" s="17" t="inlineStr">
        <is>
          <t>N</t>
        </is>
      </c>
      <c r="I2395" s="17" t="inlineStr">
        <is>
          <t>언론·지자체 발표</t>
        </is>
      </c>
      <c r="J2395" s="17" t="inlineStr">
        <is>
          <t>언론·지자체 발표에서 확인</t>
        </is>
      </c>
      <c r="K2395" s="17" t="inlineStr">
        <is>
          <t>낮음</t>
        </is>
      </c>
      <c r="L2395" s="17" t="inlineStr"/>
    </row>
    <row r="2396">
      <c r="A2396" s="17" t="inlineStr">
        <is>
          <t>C385</t>
        </is>
      </c>
      <c r="B2396" s="17" t="inlineStr"/>
      <c r="C2396" s="17" t="inlineStr">
        <is>
          <t>(주)유영제약</t>
        </is>
      </c>
      <c r="D2396" s="17" t="inlineStr"/>
      <c r="E2396" s="17" t="inlineStr">
        <is>
          <t>최근매출(억원)</t>
        </is>
      </c>
      <c r="F2396" s="17" t="inlineStr">
        <is>
          <t>미확인</t>
        </is>
      </c>
      <c r="G2396" s="17" t="inlineStr">
        <is>
          <t>웹조사 자동화 실패(세션한도)</t>
        </is>
      </c>
      <c r="H2396" s="17" t="inlineStr">
        <is>
          <t>N</t>
        </is>
      </c>
      <c r="I2396" s="17" t="inlineStr">
        <is>
          <t>DART 사업보고서</t>
        </is>
      </c>
      <c r="J2396" s="17" t="inlineStr">
        <is>
          <t>DART 사업보고서에서 확인</t>
        </is>
      </c>
      <c r="K2396" s="17" t="inlineStr">
        <is>
          <t>낮음</t>
        </is>
      </c>
      <c r="L2396" s="17" t="inlineStr"/>
    </row>
    <row r="2397">
      <c r="A2397" s="17" t="inlineStr">
        <is>
          <t>C385</t>
        </is>
      </c>
      <c r="B2397" s="17" t="inlineStr"/>
      <c r="C2397" s="17" t="inlineStr">
        <is>
          <t>(주)유영제약</t>
        </is>
      </c>
      <c r="D2397" s="17" t="inlineStr"/>
      <c r="E2397" s="17" t="inlineStr">
        <is>
          <t>종업원수</t>
        </is>
      </c>
      <c r="F2397" s="17" t="inlineStr">
        <is>
          <t>미확인</t>
        </is>
      </c>
      <c r="G2397" s="17" t="inlineStr">
        <is>
          <t>웹조사 자동화 실패(세션한도)</t>
        </is>
      </c>
      <c r="H2397" s="17" t="inlineStr">
        <is>
          <t>N</t>
        </is>
      </c>
      <c r="I2397" s="17" t="inlineStr">
        <is>
          <t>DART/채용</t>
        </is>
      </c>
      <c r="J2397" s="17" t="inlineStr">
        <is>
          <t>DART/채용에서 확인</t>
        </is>
      </c>
      <c r="K2397" s="17" t="inlineStr">
        <is>
          <t>낮음</t>
        </is>
      </c>
      <c r="L2397" s="17" t="inlineStr"/>
    </row>
    <row r="2398">
      <c r="A2398" s="17" t="inlineStr">
        <is>
          <t>C385</t>
        </is>
      </c>
      <c r="B2398" s="17" t="inlineStr"/>
      <c r="C2398" s="17" t="inlineStr">
        <is>
          <t>(주)유영제약</t>
        </is>
      </c>
      <c r="D2398" s="17" t="inlineStr"/>
      <c r="E2398" s="17" t="inlineStr">
        <is>
          <t>수출여부</t>
        </is>
      </c>
      <c r="F2398" s="17" t="inlineStr">
        <is>
          <t>미확인</t>
        </is>
      </c>
      <c r="G2398" s="17" t="inlineStr">
        <is>
          <t>웹조사 자동화 실패(세션한도)</t>
        </is>
      </c>
      <c r="H2398" s="17" t="inlineStr">
        <is>
          <t>N</t>
        </is>
      </c>
      <c r="I2398" s="17" t="inlineStr">
        <is>
          <t>회사 공시·홈페이지</t>
        </is>
      </c>
      <c r="J2398" s="17" t="inlineStr">
        <is>
          <t>회사 공시·홈페이지에서 확인</t>
        </is>
      </c>
      <c r="K2398" s="17" t="inlineStr">
        <is>
          <t>낮음</t>
        </is>
      </c>
      <c r="L2398" s="17" t="inlineStr"/>
    </row>
    <row r="2399">
      <c r="A2399" s="17" t="inlineStr">
        <is>
          <t>C385</t>
        </is>
      </c>
      <c r="B2399" s="17" t="inlineStr"/>
      <c r="C2399" s="17" t="inlineStr">
        <is>
          <t>(주)유영제약</t>
        </is>
      </c>
      <c r="D2399" s="17" t="inlineStr"/>
      <c r="E2399" s="17" t="inlineStr">
        <is>
          <t>FDA·EMA 실사</t>
        </is>
      </c>
      <c r="F2399" s="17" t="inlineStr">
        <is>
          <t>미확인</t>
        </is>
      </c>
      <c r="G2399" s="17" t="inlineStr">
        <is>
          <t>웹조사 자동화 실패(세션한도)</t>
        </is>
      </c>
      <c r="H2399" s="17" t="inlineStr">
        <is>
          <t>N</t>
        </is>
      </c>
      <c r="I2399" s="17" t="inlineStr">
        <is>
          <t>FDA Inspection DB</t>
        </is>
      </c>
      <c r="J2399" s="17" t="inlineStr">
        <is>
          <t>FDA Inspection DB에서 확인</t>
        </is>
      </c>
      <c r="K2399" s="17" t="inlineStr">
        <is>
          <t>낮음</t>
        </is>
      </c>
      <c r="L2399" s="17" t="inlineStr"/>
    </row>
    <row r="2400">
      <c r="A2400" s="17" t="inlineStr">
        <is>
          <t>C385</t>
        </is>
      </c>
      <c r="B2400" s="17" t="inlineStr"/>
      <c r="C2400" s="17" t="inlineStr">
        <is>
          <t>(주)유영제약</t>
        </is>
      </c>
      <c r="D2400" s="17" t="inlineStr"/>
      <c r="E2400" s="17" t="inlineStr">
        <is>
          <t>CMO·CDMO</t>
        </is>
      </c>
      <c r="F2400" s="17" t="inlineStr">
        <is>
          <t>미확인</t>
        </is>
      </c>
      <c r="G2400" s="17" t="inlineStr">
        <is>
          <t>웹조사 자동화 실패(세션한도)</t>
        </is>
      </c>
      <c r="H2400" s="17" t="inlineStr">
        <is>
          <t>N</t>
        </is>
      </c>
      <c r="I2400" s="17" t="inlineStr">
        <is>
          <t>회사 홈페이지</t>
        </is>
      </c>
      <c r="J2400" s="17" t="inlineStr">
        <is>
          <t>회사 홈페이지에서 확인</t>
        </is>
      </c>
      <c r="K2400" s="17" t="inlineStr">
        <is>
          <t>낮음</t>
        </is>
      </c>
      <c r="L2400" s="17" t="inlineStr"/>
    </row>
    <row r="2401">
      <c r="A2401" s="17" t="inlineStr">
        <is>
          <t>C385</t>
        </is>
      </c>
      <c r="B2401" s="17" t="inlineStr"/>
      <c r="C2401" s="17" t="inlineStr">
        <is>
          <t>(주)유영제약</t>
        </is>
      </c>
      <c r="D2401" s="17" t="inlineStr"/>
      <c r="E2401" s="17" t="inlineStr">
        <is>
          <t>신공장·증설</t>
        </is>
      </c>
      <c r="F2401" s="17" t="inlineStr">
        <is>
          <t>미확인</t>
        </is>
      </c>
      <c r="G2401" s="17" t="inlineStr">
        <is>
          <t>웹조사 자동화 실패(세션한도)</t>
        </is>
      </c>
      <c r="H2401" s="17" t="inlineStr">
        <is>
          <t>N</t>
        </is>
      </c>
      <c r="I2401" s="17" t="inlineStr">
        <is>
          <t>언론·지자체 발표</t>
        </is>
      </c>
      <c r="J2401" s="17" t="inlineStr">
        <is>
          <t>언론·지자체 발표에서 확인</t>
        </is>
      </c>
      <c r="K2401" s="17" t="inlineStr">
        <is>
          <t>낮음</t>
        </is>
      </c>
      <c r="L2401" s="17" t="inlineStr"/>
    </row>
    <row r="2402">
      <c r="A2402" s="17" t="inlineStr">
        <is>
          <t>C386</t>
        </is>
      </c>
      <c r="B2402" s="17" t="inlineStr"/>
      <c r="C2402" s="17" t="inlineStr">
        <is>
          <t>(주)팬젠</t>
        </is>
      </c>
      <c r="D2402" s="17" t="inlineStr"/>
      <c r="E2402" s="17" t="inlineStr">
        <is>
          <t>최근매출(억원)</t>
        </is>
      </c>
      <c r="F2402" s="17" t="inlineStr">
        <is>
          <t>미확인</t>
        </is>
      </c>
      <c r="G2402" s="17" t="inlineStr">
        <is>
          <t>웹조사 자동화 실패(세션한도)</t>
        </is>
      </c>
      <c r="H2402" s="17" t="inlineStr">
        <is>
          <t>N</t>
        </is>
      </c>
      <c r="I2402" s="17" t="inlineStr">
        <is>
          <t>DART 사업보고서</t>
        </is>
      </c>
      <c r="J2402" s="17" t="inlineStr">
        <is>
          <t>DART 사업보고서에서 확인</t>
        </is>
      </c>
      <c r="K2402" s="17" t="inlineStr">
        <is>
          <t>낮음</t>
        </is>
      </c>
      <c r="L2402" s="17" t="inlineStr"/>
    </row>
    <row r="2403">
      <c r="A2403" s="17" t="inlineStr">
        <is>
          <t>C386</t>
        </is>
      </c>
      <c r="B2403" s="17" t="inlineStr"/>
      <c r="C2403" s="17" t="inlineStr">
        <is>
          <t>(주)팬젠</t>
        </is>
      </c>
      <c r="D2403" s="17" t="inlineStr"/>
      <c r="E2403" s="17" t="inlineStr">
        <is>
          <t>종업원수</t>
        </is>
      </c>
      <c r="F2403" s="17" t="inlineStr">
        <is>
          <t>미확인</t>
        </is>
      </c>
      <c r="G2403" s="17" t="inlineStr">
        <is>
          <t>웹조사 자동화 실패(세션한도)</t>
        </is>
      </c>
      <c r="H2403" s="17" t="inlineStr">
        <is>
          <t>N</t>
        </is>
      </c>
      <c r="I2403" s="17" t="inlineStr">
        <is>
          <t>DART/채용</t>
        </is>
      </c>
      <c r="J2403" s="17" t="inlineStr">
        <is>
          <t>DART/채용에서 확인</t>
        </is>
      </c>
      <c r="K2403" s="17" t="inlineStr">
        <is>
          <t>낮음</t>
        </is>
      </c>
      <c r="L2403" s="17" t="inlineStr"/>
    </row>
    <row r="2404">
      <c r="A2404" s="17" t="inlineStr">
        <is>
          <t>C386</t>
        </is>
      </c>
      <c r="B2404" s="17" t="inlineStr"/>
      <c r="C2404" s="17" t="inlineStr">
        <is>
          <t>(주)팬젠</t>
        </is>
      </c>
      <c r="D2404" s="17" t="inlineStr"/>
      <c r="E2404" s="17" t="inlineStr">
        <is>
          <t>수출여부</t>
        </is>
      </c>
      <c r="F2404" s="17" t="inlineStr">
        <is>
          <t>미확인</t>
        </is>
      </c>
      <c r="G2404" s="17" t="inlineStr">
        <is>
          <t>웹조사 자동화 실패(세션한도)</t>
        </is>
      </c>
      <c r="H2404" s="17" t="inlineStr">
        <is>
          <t>N</t>
        </is>
      </c>
      <c r="I2404" s="17" t="inlineStr">
        <is>
          <t>회사 공시·홈페이지</t>
        </is>
      </c>
      <c r="J2404" s="17" t="inlineStr">
        <is>
          <t>회사 공시·홈페이지에서 확인</t>
        </is>
      </c>
      <c r="K2404" s="17" t="inlineStr">
        <is>
          <t>낮음</t>
        </is>
      </c>
      <c r="L2404" s="17" t="inlineStr"/>
    </row>
    <row r="2405">
      <c r="A2405" s="17" t="inlineStr">
        <is>
          <t>C386</t>
        </is>
      </c>
      <c r="B2405" s="17" t="inlineStr"/>
      <c r="C2405" s="17" t="inlineStr">
        <is>
          <t>(주)팬젠</t>
        </is>
      </c>
      <c r="D2405" s="17" t="inlineStr"/>
      <c r="E2405" s="17" t="inlineStr">
        <is>
          <t>FDA·EMA 실사</t>
        </is>
      </c>
      <c r="F2405" s="17" t="inlineStr">
        <is>
          <t>미확인</t>
        </is>
      </c>
      <c r="G2405" s="17" t="inlineStr">
        <is>
          <t>웹조사 자동화 실패(세션한도)</t>
        </is>
      </c>
      <c r="H2405" s="17" t="inlineStr">
        <is>
          <t>N</t>
        </is>
      </c>
      <c r="I2405" s="17" t="inlineStr">
        <is>
          <t>FDA Inspection DB</t>
        </is>
      </c>
      <c r="J2405" s="17" t="inlineStr">
        <is>
          <t>FDA Inspection DB에서 확인</t>
        </is>
      </c>
      <c r="K2405" s="17" t="inlineStr">
        <is>
          <t>낮음</t>
        </is>
      </c>
      <c r="L2405" s="17" t="inlineStr"/>
    </row>
    <row r="2406">
      <c r="A2406" s="17" t="inlineStr">
        <is>
          <t>C386</t>
        </is>
      </c>
      <c r="B2406" s="17" t="inlineStr"/>
      <c r="C2406" s="17" t="inlineStr">
        <is>
          <t>(주)팬젠</t>
        </is>
      </c>
      <c r="D2406" s="17" t="inlineStr"/>
      <c r="E2406" s="17" t="inlineStr">
        <is>
          <t>CMO·CDMO</t>
        </is>
      </c>
      <c r="F2406" s="17" t="inlineStr">
        <is>
          <t>미확인</t>
        </is>
      </c>
      <c r="G2406" s="17" t="inlineStr">
        <is>
          <t>웹조사 자동화 실패(세션한도)</t>
        </is>
      </c>
      <c r="H2406" s="17" t="inlineStr">
        <is>
          <t>N</t>
        </is>
      </c>
      <c r="I2406" s="17" t="inlineStr">
        <is>
          <t>회사 홈페이지</t>
        </is>
      </c>
      <c r="J2406" s="17" t="inlineStr">
        <is>
          <t>회사 홈페이지에서 확인</t>
        </is>
      </c>
      <c r="K2406" s="17" t="inlineStr">
        <is>
          <t>낮음</t>
        </is>
      </c>
      <c r="L2406" s="17" t="inlineStr"/>
    </row>
    <row r="2407">
      <c r="A2407" s="17" t="inlineStr">
        <is>
          <t>C386</t>
        </is>
      </c>
      <c r="B2407" s="17" t="inlineStr"/>
      <c r="C2407" s="17" t="inlineStr">
        <is>
          <t>(주)팬젠</t>
        </is>
      </c>
      <c r="D2407" s="17" t="inlineStr"/>
      <c r="E2407" s="17" t="inlineStr">
        <is>
          <t>신공장·증설</t>
        </is>
      </c>
      <c r="F2407" s="17" t="inlineStr">
        <is>
          <t>미확인</t>
        </is>
      </c>
      <c r="G2407" s="17" t="inlineStr">
        <is>
          <t>웹조사 자동화 실패(세션한도)</t>
        </is>
      </c>
      <c r="H2407" s="17" t="inlineStr">
        <is>
          <t>N</t>
        </is>
      </c>
      <c r="I2407" s="17" t="inlineStr">
        <is>
          <t>언론·지자체 발표</t>
        </is>
      </c>
      <c r="J2407" s="17" t="inlineStr">
        <is>
          <t>언론·지자체 발표에서 확인</t>
        </is>
      </c>
      <c r="K2407" s="17" t="inlineStr">
        <is>
          <t>낮음</t>
        </is>
      </c>
      <c r="L2407" s="17" t="inlineStr"/>
    </row>
    <row r="2408">
      <c r="A2408" s="17" t="inlineStr">
        <is>
          <t>C387</t>
        </is>
      </c>
      <c r="B2408" s="17" t="inlineStr"/>
      <c r="C2408" s="17" t="inlineStr">
        <is>
          <t>경북산업가스충전소</t>
        </is>
      </c>
      <c r="D2408" s="17" t="inlineStr"/>
      <c r="E2408" s="17" t="inlineStr">
        <is>
          <t>최근매출(억원)</t>
        </is>
      </c>
      <c r="F2408" s="17" t="inlineStr">
        <is>
          <t>미확인</t>
        </is>
      </c>
      <c r="G2408" s="17" t="inlineStr">
        <is>
          <t>웹조사 자동화 실패(세션한도)</t>
        </is>
      </c>
      <c r="H2408" s="17" t="inlineStr">
        <is>
          <t>N</t>
        </is>
      </c>
      <c r="I2408" s="17" t="inlineStr">
        <is>
          <t>DART 사업보고서</t>
        </is>
      </c>
      <c r="J2408" s="17" t="inlineStr">
        <is>
          <t>DART 사업보고서에서 확인</t>
        </is>
      </c>
      <c r="K2408" s="17" t="inlineStr">
        <is>
          <t>낮음</t>
        </is>
      </c>
      <c r="L2408" s="17" t="inlineStr"/>
    </row>
    <row r="2409">
      <c r="A2409" s="17" t="inlineStr">
        <is>
          <t>C387</t>
        </is>
      </c>
      <c r="B2409" s="17" t="inlineStr"/>
      <c r="C2409" s="17" t="inlineStr">
        <is>
          <t>경북산업가스충전소</t>
        </is>
      </c>
      <c r="D2409" s="17" t="inlineStr"/>
      <c r="E2409" s="17" t="inlineStr">
        <is>
          <t>종업원수</t>
        </is>
      </c>
      <c r="F2409" s="17" t="inlineStr">
        <is>
          <t>미확인</t>
        </is>
      </c>
      <c r="G2409" s="17" t="inlineStr">
        <is>
          <t>웹조사 자동화 실패(세션한도)</t>
        </is>
      </c>
      <c r="H2409" s="17" t="inlineStr">
        <is>
          <t>N</t>
        </is>
      </c>
      <c r="I2409" s="17" t="inlineStr">
        <is>
          <t>DART/채용</t>
        </is>
      </c>
      <c r="J2409" s="17" t="inlineStr">
        <is>
          <t>DART/채용에서 확인</t>
        </is>
      </c>
      <c r="K2409" s="17" t="inlineStr">
        <is>
          <t>낮음</t>
        </is>
      </c>
      <c r="L2409" s="17" t="inlineStr"/>
    </row>
    <row r="2410">
      <c r="A2410" s="17" t="inlineStr">
        <is>
          <t>C387</t>
        </is>
      </c>
      <c r="B2410" s="17" t="inlineStr"/>
      <c r="C2410" s="17" t="inlineStr">
        <is>
          <t>경북산업가스충전소</t>
        </is>
      </c>
      <c r="D2410" s="17" t="inlineStr"/>
      <c r="E2410" s="17" t="inlineStr">
        <is>
          <t>수출여부</t>
        </is>
      </c>
      <c r="F2410" s="17" t="inlineStr">
        <is>
          <t>미확인</t>
        </is>
      </c>
      <c r="G2410" s="17" t="inlineStr">
        <is>
          <t>웹조사 자동화 실패(세션한도)</t>
        </is>
      </c>
      <c r="H2410" s="17" t="inlineStr">
        <is>
          <t>N</t>
        </is>
      </c>
      <c r="I2410" s="17" t="inlineStr">
        <is>
          <t>회사 공시·홈페이지</t>
        </is>
      </c>
      <c r="J2410" s="17" t="inlineStr">
        <is>
          <t>회사 공시·홈페이지에서 확인</t>
        </is>
      </c>
      <c r="K2410" s="17" t="inlineStr">
        <is>
          <t>낮음</t>
        </is>
      </c>
      <c r="L2410" s="17" t="inlineStr"/>
    </row>
    <row r="2411">
      <c r="A2411" s="17" t="inlineStr">
        <is>
          <t>C387</t>
        </is>
      </c>
      <c r="B2411" s="17" t="inlineStr"/>
      <c r="C2411" s="17" t="inlineStr">
        <is>
          <t>경북산업가스충전소</t>
        </is>
      </c>
      <c r="D2411" s="17" t="inlineStr"/>
      <c r="E2411" s="17" t="inlineStr">
        <is>
          <t>FDA·EMA 실사</t>
        </is>
      </c>
      <c r="F2411" s="17" t="inlineStr">
        <is>
          <t>미확인</t>
        </is>
      </c>
      <c r="G2411" s="17" t="inlineStr">
        <is>
          <t>웹조사 자동화 실패(세션한도)</t>
        </is>
      </c>
      <c r="H2411" s="17" t="inlineStr">
        <is>
          <t>N</t>
        </is>
      </c>
      <c r="I2411" s="17" t="inlineStr">
        <is>
          <t>FDA Inspection DB</t>
        </is>
      </c>
      <c r="J2411" s="17" t="inlineStr">
        <is>
          <t>FDA Inspection DB에서 확인</t>
        </is>
      </c>
      <c r="K2411" s="17" t="inlineStr">
        <is>
          <t>낮음</t>
        </is>
      </c>
      <c r="L2411" s="17" t="inlineStr"/>
    </row>
    <row r="2412">
      <c r="A2412" s="17" t="inlineStr">
        <is>
          <t>C387</t>
        </is>
      </c>
      <c r="B2412" s="17" t="inlineStr"/>
      <c r="C2412" s="17" t="inlineStr">
        <is>
          <t>경북산업가스충전소</t>
        </is>
      </c>
      <c r="D2412" s="17" t="inlineStr"/>
      <c r="E2412" s="17" t="inlineStr">
        <is>
          <t>CMO·CDMO</t>
        </is>
      </c>
      <c r="F2412" s="17" t="inlineStr">
        <is>
          <t>미확인</t>
        </is>
      </c>
      <c r="G2412" s="17" t="inlineStr">
        <is>
          <t>웹조사 자동화 실패(세션한도)</t>
        </is>
      </c>
      <c r="H2412" s="17" t="inlineStr">
        <is>
          <t>N</t>
        </is>
      </c>
      <c r="I2412" s="17" t="inlineStr">
        <is>
          <t>회사 홈페이지</t>
        </is>
      </c>
      <c r="J2412" s="17" t="inlineStr">
        <is>
          <t>회사 홈페이지에서 확인</t>
        </is>
      </c>
      <c r="K2412" s="17" t="inlineStr">
        <is>
          <t>낮음</t>
        </is>
      </c>
      <c r="L2412" s="17" t="inlineStr"/>
    </row>
    <row r="2413">
      <c r="A2413" s="17" t="inlineStr">
        <is>
          <t>C387</t>
        </is>
      </c>
      <c r="B2413" s="17" t="inlineStr"/>
      <c r="C2413" s="17" t="inlineStr">
        <is>
          <t>경북산업가스충전소</t>
        </is>
      </c>
      <c r="D2413" s="17" t="inlineStr"/>
      <c r="E2413" s="17" t="inlineStr">
        <is>
          <t>신공장·증설</t>
        </is>
      </c>
      <c r="F2413" s="17" t="inlineStr">
        <is>
          <t>미확인</t>
        </is>
      </c>
      <c r="G2413" s="17" t="inlineStr">
        <is>
          <t>웹조사 자동화 실패(세션한도)</t>
        </is>
      </c>
      <c r="H2413" s="17" t="inlineStr">
        <is>
          <t>N</t>
        </is>
      </c>
      <c r="I2413" s="17" t="inlineStr">
        <is>
          <t>언론·지자체 발표</t>
        </is>
      </c>
      <c r="J2413" s="17" t="inlineStr">
        <is>
          <t>언론·지자체 발표에서 확인</t>
        </is>
      </c>
      <c r="K2413" s="17" t="inlineStr">
        <is>
          <t>낮음</t>
        </is>
      </c>
      <c r="L2413" s="17" t="inlineStr"/>
    </row>
    <row r="2414">
      <c r="A2414" s="17" t="inlineStr">
        <is>
          <t>C388</t>
        </is>
      </c>
      <c r="B2414" s="17" t="inlineStr"/>
      <c r="C2414" s="17" t="inlineStr">
        <is>
          <t>시믹씨엠오코리아주식회사</t>
        </is>
      </c>
      <c r="D2414" s="17" t="inlineStr"/>
      <c r="E2414" s="17" t="inlineStr">
        <is>
          <t>최근매출(억원)</t>
        </is>
      </c>
      <c r="F2414" s="17" t="inlineStr">
        <is>
          <t>미확인</t>
        </is>
      </c>
      <c r="G2414" s="17" t="inlineStr">
        <is>
          <t>웹조사 자동화 실패(세션한도)</t>
        </is>
      </c>
      <c r="H2414" s="17" t="inlineStr">
        <is>
          <t>N</t>
        </is>
      </c>
      <c r="I2414" s="17" t="inlineStr">
        <is>
          <t>DART 사업보고서</t>
        </is>
      </c>
      <c r="J2414" s="17" t="inlineStr">
        <is>
          <t>DART 사업보고서에서 확인</t>
        </is>
      </c>
      <c r="K2414" s="17" t="inlineStr">
        <is>
          <t>낮음</t>
        </is>
      </c>
      <c r="L2414" s="17" t="inlineStr"/>
    </row>
    <row r="2415">
      <c r="A2415" s="17" t="inlineStr">
        <is>
          <t>C388</t>
        </is>
      </c>
      <c r="B2415" s="17" t="inlineStr"/>
      <c r="C2415" s="17" t="inlineStr">
        <is>
          <t>시믹씨엠오코리아주식회사</t>
        </is>
      </c>
      <c r="D2415" s="17" t="inlineStr"/>
      <c r="E2415" s="17" t="inlineStr">
        <is>
          <t>종업원수</t>
        </is>
      </c>
      <c r="F2415" s="17" t="inlineStr">
        <is>
          <t>미확인</t>
        </is>
      </c>
      <c r="G2415" s="17" t="inlineStr">
        <is>
          <t>웹조사 자동화 실패(세션한도)</t>
        </is>
      </c>
      <c r="H2415" s="17" t="inlineStr">
        <is>
          <t>N</t>
        </is>
      </c>
      <c r="I2415" s="17" t="inlineStr">
        <is>
          <t>DART/채용</t>
        </is>
      </c>
      <c r="J2415" s="17" t="inlineStr">
        <is>
          <t>DART/채용에서 확인</t>
        </is>
      </c>
      <c r="K2415" s="17" t="inlineStr">
        <is>
          <t>낮음</t>
        </is>
      </c>
      <c r="L2415" s="17" t="inlineStr"/>
    </row>
    <row r="2416">
      <c r="A2416" s="17" t="inlineStr">
        <is>
          <t>C388</t>
        </is>
      </c>
      <c r="B2416" s="17" t="inlineStr"/>
      <c r="C2416" s="17" t="inlineStr">
        <is>
          <t>시믹씨엠오코리아주식회사</t>
        </is>
      </c>
      <c r="D2416" s="17" t="inlineStr"/>
      <c r="E2416" s="17" t="inlineStr">
        <is>
          <t>수출여부</t>
        </is>
      </c>
      <c r="F2416" s="17" t="inlineStr">
        <is>
          <t>미확인</t>
        </is>
      </c>
      <c r="G2416" s="17" t="inlineStr">
        <is>
          <t>웹조사 자동화 실패(세션한도)</t>
        </is>
      </c>
      <c r="H2416" s="17" t="inlineStr">
        <is>
          <t>N</t>
        </is>
      </c>
      <c r="I2416" s="17" t="inlineStr">
        <is>
          <t>회사 공시·홈페이지</t>
        </is>
      </c>
      <c r="J2416" s="17" t="inlineStr">
        <is>
          <t>회사 공시·홈페이지에서 확인</t>
        </is>
      </c>
      <c r="K2416" s="17" t="inlineStr">
        <is>
          <t>낮음</t>
        </is>
      </c>
      <c r="L2416" s="17" t="inlineStr"/>
    </row>
    <row r="2417">
      <c r="A2417" s="17" t="inlineStr">
        <is>
          <t>C388</t>
        </is>
      </c>
      <c r="B2417" s="17" t="inlineStr"/>
      <c r="C2417" s="17" t="inlineStr">
        <is>
          <t>시믹씨엠오코리아주식회사</t>
        </is>
      </c>
      <c r="D2417" s="17" t="inlineStr"/>
      <c r="E2417" s="17" t="inlineStr">
        <is>
          <t>FDA·EMA 실사</t>
        </is>
      </c>
      <c r="F2417" s="17" t="inlineStr">
        <is>
          <t>미확인</t>
        </is>
      </c>
      <c r="G2417" s="17" t="inlineStr">
        <is>
          <t>웹조사 자동화 실패(세션한도)</t>
        </is>
      </c>
      <c r="H2417" s="17" t="inlineStr">
        <is>
          <t>N</t>
        </is>
      </c>
      <c r="I2417" s="17" t="inlineStr">
        <is>
          <t>FDA Inspection DB</t>
        </is>
      </c>
      <c r="J2417" s="17" t="inlineStr">
        <is>
          <t>FDA Inspection DB에서 확인</t>
        </is>
      </c>
      <c r="K2417" s="17" t="inlineStr">
        <is>
          <t>낮음</t>
        </is>
      </c>
      <c r="L2417" s="17" t="inlineStr"/>
    </row>
    <row r="2418">
      <c r="A2418" s="17" t="inlineStr">
        <is>
          <t>C388</t>
        </is>
      </c>
      <c r="B2418" s="17" t="inlineStr"/>
      <c r="C2418" s="17" t="inlineStr">
        <is>
          <t>시믹씨엠오코리아주식회사</t>
        </is>
      </c>
      <c r="D2418" s="17" t="inlineStr"/>
      <c r="E2418" s="17" t="inlineStr">
        <is>
          <t>CMO·CDMO</t>
        </is>
      </c>
      <c r="F2418" s="17" t="inlineStr">
        <is>
          <t>미확인</t>
        </is>
      </c>
      <c r="G2418" s="17" t="inlineStr">
        <is>
          <t>웹조사 자동화 실패(세션한도)</t>
        </is>
      </c>
      <c r="H2418" s="17" t="inlineStr">
        <is>
          <t>N</t>
        </is>
      </c>
      <c r="I2418" s="17" t="inlineStr">
        <is>
          <t>회사 홈페이지</t>
        </is>
      </c>
      <c r="J2418" s="17" t="inlineStr">
        <is>
          <t>회사 홈페이지에서 확인</t>
        </is>
      </c>
      <c r="K2418" s="17" t="inlineStr">
        <is>
          <t>낮음</t>
        </is>
      </c>
      <c r="L2418" s="17" t="inlineStr"/>
    </row>
    <row r="2419">
      <c r="A2419" s="17" t="inlineStr">
        <is>
          <t>C388</t>
        </is>
      </c>
      <c r="B2419" s="17" t="inlineStr"/>
      <c r="C2419" s="17" t="inlineStr">
        <is>
          <t>시믹씨엠오코리아주식회사</t>
        </is>
      </c>
      <c r="D2419" s="17" t="inlineStr"/>
      <c r="E2419" s="17" t="inlineStr">
        <is>
          <t>신공장·증설</t>
        </is>
      </c>
      <c r="F2419" s="17" t="inlineStr">
        <is>
          <t>미확인</t>
        </is>
      </c>
      <c r="G2419" s="17" t="inlineStr">
        <is>
          <t>웹조사 자동화 실패(세션한도)</t>
        </is>
      </c>
      <c r="H2419" s="17" t="inlineStr">
        <is>
          <t>N</t>
        </is>
      </c>
      <c r="I2419" s="17" t="inlineStr">
        <is>
          <t>언론·지자체 발표</t>
        </is>
      </c>
      <c r="J2419" s="17" t="inlineStr">
        <is>
          <t>언론·지자체 발표에서 확인</t>
        </is>
      </c>
      <c r="K2419" s="17" t="inlineStr">
        <is>
          <t>낮음</t>
        </is>
      </c>
      <c r="L2419" s="17" t="inlineStr"/>
    </row>
    <row r="2420">
      <c r="A2420" s="17" t="inlineStr">
        <is>
          <t>C388</t>
        </is>
      </c>
      <c r="B2420" s="17" t="inlineStr"/>
      <c r="C2420" s="17" t="inlineStr">
        <is>
          <t>시믹씨엠오코리아주식회사</t>
        </is>
      </c>
      <c r="D2420" s="17" t="inlineStr"/>
      <c r="E2420" s="17" t="inlineStr">
        <is>
          <t>대표전화</t>
        </is>
      </c>
      <c r="F2420" s="17" t="inlineStr">
        <is>
          <t>미확인</t>
        </is>
      </c>
      <c r="G2420" s="17" t="inlineStr">
        <is>
          <t>제조소상세 미매칭</t>
        </is>
      </c>
      <c r="H2420" s="17" t="inlineStr">
        <is>
          <t>Y</t>
        </is>
      </c>
      <c r="I2420" s="17" t="inlineStr">
        <is>
          <t>회사 홈페이지</t>
        </is>
      </c>
      <c r="J2420" s="17" t="inlineStr">
        <is>
          <t>홈페이지에서 대표번호 확인</t>
        </is>
      </c>
      <c r="K2420" s="17" t="inlineStr">
        <is>
          <t>낮음</t>
        </is>
      </c>
      <c r="L2420" s="17" t="inlineStr"/>
    </row>
    <row r="2421">
      <c r="A2421" s="17" t="inlineStr">
        <is>
          <t>C389</t>
        </is>
      </c>
      <c r="B2421" s="17" t="inlineStr"/>
      <c r="C2421" s="17" t="inlineStr">
        <is>
          <t>대성가스텍(주)</t>
        </is>
      </c>
      <c r="D2421" s="17" t="inlineStr"/>
      <c r="E2421" s="17" t="inlineStr">
        <is>
          <t>최근매출(억원)</t>
        </is>
      </c>
      <c r="F2421" s="17" t="inlineStr">
        <is>
          <t>미확인</t>
        </is>
      </c>
      <c r="G2421" s="17" t="inlineStr">
        <is>
          <t>웹조사 자동화 실패(세션한도)</t>
        </is>
      </c>
      <c r="H2421" s="17" t="inlineStr">
        <is>
          <t>N</t>
        </is>
      </c>
      <c r="I2421" s="17" t="inlineStr">
        <is>
          <t>DART 사업보고서</t>
        </is>
      </c>
      <c r="J2421" s="17" t="inlineStr">
        <is>
          <t>DART 사업보고서에서 확인</t>
        </is>
      </c>
      <c r="K2421" s="17" t="inlineStr">
        <is>
          <t>낮음</t>
        </is>
      </c>
      <c r="L2421" s="17" t="inlineStr"/>
    </row>
    <row r="2422">
      <c r="A2422" s="17" t="inlineStr">
        <is>
          <t>C389</t>
        </is>
      </c>
      <c r="B2422" s="17" t="inlineStr"/>
      <c r="C2422" s="17" t="inlineStr">
        <is>
          <t>대성가스텍(주)</t>
        </is>
      </c>
      <c r="D2422" s="17" t="inlineStr"/>
      <c r="E2422" s="17" t="inlineStr">
        <is>
          <t>종업원수</t>
        </is>
      </c>
      <c r="F2422" s="17" t="inlineStr">
        <is>
          <t>미확인</t>
        </is>
      </c>
      <c r="G2422" s="17" t="inlineStr">
        <is>
          <t>웹조사 자동화 실패(세션한도)</t>
        </is>
      </c>
      <c r="H2422" s="17" t="inlineStr">
        <is>
          <t>N</t>
        </is>
      </c>
      <c r="I2422" s="17" t="inlineStr">
        <is>
          <t>DART/채용</t>
        </is>
      </c>
      <c r="J2422" s="17" t="inlineStr">
        <is>
          <t>DART/채용에서 확인</t>
        </is>
      </c>
      <c r="K2422" s="17" t="inlineStr">
        <is>
          <t>낮음</t>
        </is>
      </c>
      <c r="L2422" s="17" t="inlineStr"/>
    </row>
    <row r="2423">
      <c r="A2423" s="17" t="inlineStr">
        <is>
          <t>C389</t>
        </is>
      </c>
      <c r="B2423" s="17" t="inlineStr"/>
      <c r="C2423" s="17" t="inlineStr">
        <is>
          <t>대성가스텍(주)</t>
        </is>
      </c>
      <c r="D2423" s="17" t="inlineStr"/>
      <c r="E2423" s="17" t="inlineStr">
        <is>
          <t>수출여부</t>
        </is>
      </c>
      <c r="F2423" s="17" t="inlineStr">
        <is>
          <t>미확인</t>
        </is>
      </c>
      <c r="G2423" s="17" t="inlineStr">
        <is>
          <t>웹조사 자동화 실패(세션한도)</t>
        </is>
      </c>
      <c r="H2423" s="17" t="inlineStr">
        <is>
          <t>N</t>
        </is>
      </c>
      <c r="I2423" s="17" t="inlineStr">
        <is>
          <t>회사 공시·홈페이지</t>
        </is>
      </c>
      <c r="J2423" s="17" t="inlineStr">
        <is>
          <t>회사 공시·홈페이지에서 확인</t>
        </is>
      </c>
      <c r="K2423" s="17" t="inlineStr">
        <is>
          <t>낮음</t>
        </is>
      </c>
      <c r="L2423" s="17" t="inlineStr"/>
    </row>
    <row r="2424">
      <c r="A2424" s="17" t="inlineStr">
        <is>
          <t>C389</t>
        </is>
      </c>
      <c r="B2424" s="17" t="inlineStr"/>
      <c r="C2424" s="17" t="inlineStr">
        <is>
          <t>대성가스텍(주)</t>
        </is>
      </c>
      <c r="D2424" s="17" t="inlineStr"/>
      <c r="E2424" s="17" t="inlineStr">
        <is>
          <t>FDA·EMA 실사</t>
        </is>
      </c>
      <c r="F2424" s="17" t="inlineStr">
        <is>
          <t>미확인</t>
        </is>
      </c>
      <c r="G2424" s="17" t="inlineStr">
        <is>
          <t>웹조사 자동화 실패(세션한도)</t>
        </is>
      </c>
      <c r="H2424" s="17" t="inlineStr">
        <is>
          <t>N</t>
        </is>
      </c>
      <c r="I2424" s="17" t="inlineStr">
        <is>
          <t>FDA Inspection DB</t>
        </is>
      </c>
      <c r="J2424" s="17" t="inlineStr">
        <is>
          <t>FDA Inspection DB에서 확인</t>
        </is>
      </c>
      <c r="K2424" s="17" t="inlineStr">
        <is>
          <t>낮음</t>
        </is>
      </c>
      <c r="L2424" s="17" t="inlineStr"/>
    </row>
    <row r="2425">
      <c r="A2425" s="17" t="inlineStr">
        <is>
          <t>C389</t>
        </is>
      </c>
      <c r="B2425" s="17" t="inlineStr"/>
      <c r="C2425" s="17" t="inlineStr">
        <is>
          <t>대성가스텍(주)</t>
        </is>
      </c>
      <c r="D2425" s="17" t="inlineStr"/>
      <c r="E2425" s="17" t="inlineStr">
        <is>
          <t>CMO·CDMO</t>
        </is>
      </c>
      <c r="F2425" s="17" t="inlineStr">
        <is>
          <t>미확인</t>
        </is>
      </c>
      <c r="G2425" s="17" t="inlineStr">
        <is>
          <t>웹조사 자동화 실패(세션한도)</t>
        </is>
      </c>
      <c r="H2425" s="17" t="inlineStr">
        <is>
          <t>N</t>
        </is>
      </c>
      <c r="I2425" s="17" t="inlineStr">
        <is>
          <t>회사 홈페이지</t>
        </is>
      </c>
      <c r="J2425" s="17" t="inlineStr">
        <is>
          <t>회사 홈페이지에서 확인</t>
        </is>
      </c>
      <c r="K2425" s="17" t="inlineStr">
        <is>
          <t>낮음</t>
        </is>
      </c>
      <c r="L2425" s="17" t="inlineStr"/>
    </row>
    <row r="2426">
      <c r="A2426" s="17" t="inlineStr">
        <is>
          <t>C389</t>
        </is>
      </c>
      <c r="B2426" s="17" t="inlineStr"/>
      <c r="C2426" s="17" t="inlineStr">
        <is>
          <t>대성가스텍(주)</t>
        </is>
      </c>
      <c r="D2426" s="17" t="inlineStr"/>
      <c r="E2426" s="17" t="inlineStr">
        <is>
          <t>신공장·증설</t>
        </is>
      </c>
      <c r="F2426" s="17" t="inlineStr">
        <is>
          <t>미확인</t>
        </is>
      </c>
      <c r="G2426" s="17" t="inlineStr">
        <is>
          <t>웹조사 자동화 실패(세션한도)</t>
        </is>
      </c>
      <c r="H2426" s="17" t="inlineStr">
        <is>
          <t>N</t>
        </is>
      </c>
      <c r="I2426" s="17" t="inlineStr">
        <is>
          <t>언론·지자체 발표</t>
        </is>
      </c>
      <c r="J2426" s="17" t="inlineStr">
        <is>
          <t>언론·지자체 발표에서 확인</t>
        </is>
      </c>
      <c r="K2426" s="17" t="inlineStr">
        <is>
          <t>낮음</t>
        </is>
      </c>
      <c r="L2426" s="17" t="inlineStr"/>
    </row>
    <row r="2427">
      <c r="A2427" s="17" t="inlineStr">
        <is>
          <t>C389</t>
        </is>
      </c>
      <c r="B2427" s="17" t="inlineStr"/>
      <c r="C2427" s="17" t="inlineStr">
        <is>
          <t>대성가스텍(주)</t>
        </is>
      </c>
      <c r="D2427" s="17" t="inlineStr"/>
      <c r="E2427" s="17" t="inlineStr">
        <is>
          <t>대표전화</t>
        </is>
      </c>
      <c r="F2427" s="17" t="inlineStr">
        <is>
          <t>미확인</t>
        </is>
      </c>
      <c r="G2427" s="17" t="inlineStr">
        <is>
          <t>제조소상세 미매칭</t>
        </is>
      </c>
      <c r="H2427" s="17" t="inlineStr">
        <is>
          <t>Y</t>
        </is>
      </c>
      <c r="I2427" s="17" t="inlineStr">
        <is>
          <t>회사 홈페이지</t>
        </is>
      </c>
      <c r="J2427" s="17" t="inlineStr">
        <is>
          <t>홈페이지에서 대표번호 확인</t>
        </is>
      </c>
      <c r="K2427" s="17" t="inlineStr">
        <is>
          <t>낮음</t>
        </is>
      </c>
      <c r="L2427" s="17" t="inlineStr"/>
    </row>
    <row r="2428">
      <c r="A2428" s="17" t="inlineStr">
        <is>
          <t>C390</t>
        </is>
      </c>
      <c r="B2428" s="17" t="inlineStr"/>
      <c r="C2428" s="17" t="inlineStr">
        <is>
          <t>삼남제약(주)</t>
        </is>
      </c>
      <c r="D2428" s="17" t="inlineStr"/>
      <c r="E2428" s="17" t="inlineStr">
        <is>
          <t>최근매출(억원)</t>
        </is>
      </c>
      <c r="F2428" s="17" t="inlineStr">
        <is>
          <t>미확인</t>
        </is>
      </c>
      <c r="G2428" s="17" t="inlineStr">
        <is>
          <t>웹조사 자동화 실패(세션한도)</t>
        </is>
      </c>
      <c r="H2428" s="17" t="inlineStr">
        <is>
          <t>N</t>
        </is>
      </c>
      <c r="I2428" s="17" t="inlineStr">
        <is>
          <t>DART 사업보고서</t>
        </is>
      </c>
      <c r="J2428" s="17" t="inlineStr">
        <is>
          <t>DART 사업보고서에서 확인</t>
        </is>
      </c>
      <c r="K2428" s="17" t="inlineStr">
        <is>
          <t>낮음</t>
        </is>
      </c>
      <c r="L2428" s="17" t="inlineStr"/>
    </row>
    <row r="2429">
      <c r="A2429" s="17" t="inlineStr">
        <is>
          <t>C390</t>
        </is>
      </c>
      <c r="B2429" s="17" t="inlineStr"/>
      <c r="C2429" s="17" t="inlineStr">
        <is>
          <t>삼남제약(주)</t>
        </is>
      </c>
      <c r="D2429" s="17" t="inlineStr"/>
      <c r="E2429" s="17" t="inlineStr">
        <is>
          <t>종업원수</t>
        </is>
      </c>
      <c r="F2429" s="17" t="inlineStr">
        <is>
          <t>미확인</t>
        </is>
      </c>
      <c r="G2429" s="17" t="inlineStr">
        <is>
          <t>웹조사 자동화 실패(세션한도)</t>
        </is>
      </c>
      <c r="H2429" s="17" t="inlineStr">
        <is>
          <t>N</t>
        </is>
      </c>
      <c r="I2429" s="17" t="inlineStr">
        <is>
          <t>DART/채용</t>
        </is>
      </c>
      <c r="J2429" s="17" t="inlineStr">
        <is>
          <t>DART/채용에서 확인</t>
        </is>
      </c>
      <c r="K2429" s="17" t="inlineStr">
        <is>
          <t>낮음</t>
        </is>
      </c>
      <c r="L2429" s="17" t="inlineStr"/>
    </row>
    <row r="2430">
      <c r="A2430" s="17" t="inlineStr">
        <is>
          <t>C390</t>
        </is>
      </c>
      <c r="B2430" s="17" t="inlineStr"/>
      <c r="C2430" s="17" t="inlineStr">
        <is>
          <t>삼남제약(주)</t>
        </is>
      </c>
      <c r="D2430" s="17" t="inlineStr"/>
      <c r="E2430" s="17" t="inlineStr">
        <is>
          <t>수출여부</t>
        </is>
      </c>
      <c r="F2430" s="17" t="inlineStr">
        <is>
          <t>미확인</t>
        </is>
      </c>
      <c r="G2430" s="17" t="inlineStr">
        <is>
          <t>웹조사 자동화 실패(세션한도)</t>
        </is>
      </c>
      <c r="H2430" s="17" t="inlineStr">
        <is>
          <t>N</t>
        </is>
      </c>
      <c r="I2430" s="17" t="inlineStr">
        <is>
          <t>회사 공시·홈페이지</t>
        </is>
      </c>
      <c r="J2430" s="17" t="inlineStr">
        <is>
          <t>회사 공시·홈페이지에서 확인</t>
        </is>
      </c>
      <c r="K2430" s="17" t="inlineStr">
        <is>
          <t>낮음</t>
        </is>
      </c>
      <c r="L2430" s="17" t="inlineStr"/>
    </row>
    <row r="2431">
      <c r="A2431" s="17" t="inlineStr">
        <is>
          <t>C390</t>
        </is>
      </c>
      <c r="B2431" s="17" t="inlineStr"/>
      <c r="C2431" s="17" t="inlineStr">
        <is>
          <t>삼남제약(주)</t>
        </is>
      </c>
      <c r="D2431" s="17" t="inlineStr"/>
      <c r="E2431" s="17" t="inlineStr">
        <is>
          <t>FDA·EMA 실사</t>
        </is>
      </c>
      <c r="F2431" s="17" t="inlineStr">
        <is>
          <t>미확인</t>
        </is>
      </c>
      <c r="G2431" s="17" t="inlineStr">
        <is>
          <t>웹조사 자동화 실패(세션한도)</t>
        </is>
      </c>
      <c r="H2431" s="17" t="inlineStr">
        <is>
          <t>N</t>
        </is>
      </c>
      <c r="I2431" s="17" t="inlineStr">
        <is>
          <t>FDA Inspection DB</t>
        </is>
      </c>
      <c r="J2431" s="17" t="inlineStr">
        <is>
          <t>FDA Inspection DB에서 확인</t>
        </is>
      </c>
      <c r="K2431" s="17" t="inlineStr">
        <is>
          <t>낮음</t>
        </is>
      </c>
      <c r="L2431" s="17" t="inlineStr"/>
    </row>
    <row r="2432">
      <c r="A2432" s="17" t="inlineStr">
        <is>
          <t>C390</t>
        </is>
      </c>
      <c r="B2432" s="17" t="inlineStr"/>
      <c r="C2432" s="17" t="inlineStr">
        <is>
          <t>삼남제약(주)</t>
        </is>
      </c>
      <c r="D2432" s="17" t="inlineStr"/>
      <c r="E2432" s="17" t="inlineStr">
        <is>
          <t>CMO·CDMO</t>
        </is>
      </c>
      <c r="F2432" s="17" t="inlineStr">
        <is>
          <t>미확인</t>
        </is>
      </c>
      <c r="G2432" s="17" t="inlineStr">
        <is>
          <t>웹조사 자동화 실패(세션한도)</t>
        </is>
      </c>
      <c r="H2432" s="17" t="inlineStr">
        <is>
          <t>N</t>
        </is>
      </c>
      <c r="I2432" s="17" t="inlineStr">
        <is>
          <t>회사 홈페이지</t>
        </is>
      </c>
      <c r="J2432" s="17" t="inlineStr">
        <is>
          <t>회사 홈페이지에서 확인</t>
        </is>
      </c>
      <c r="K2432" s="17" t="inlineStr">
        <is>
          <t>낮음</t>
        </is>
      </c>
      <c r="L2432" s="17" t="inlineStr"/>
    </row>
    <row r="2433">
      <c r="A2433" s="17" t="inlineStr">
        <is>
          <t>C390</t>
        </is>
      </c>
      <c r="B2433" s="17" t="inlineStr"/>
      <c r="C2433" s="17" t="inlineStr">
        <is>
          <t>삼남제약(주)</t>
        </is>
      </c>
      <c r="D2433" s="17" t="inlineStr"/>
      <c r="E2433" s="17" t="inlineStr">
        <is>
          <t>신공장·증설</t>
        </is>
      </c>
      <c r="F2433" s="17" t="inlineStr">
        <is>
          <t>미확인</t>
        </is>
      </c>
      <c r="G2433" s="17" t="inlineStr">
        <is>
          <t>웹조사 자동화 실패(세션한도)</t>
        </is>
      </c>
      <c r="H2433" s="17" t="inlineStr">
        <is>
          <t>N</t>
        </is>
      </c>
      <c r="I2433" s="17" t="inlineStr">
        <is>
          <t>언론·지자체 발표</t>
        </is>
      </c>
      <c r="J2433" s="17" t="inlineStr">
        <is>
          <t>언론·지자체 발표에서 확인</t>
        </is>
      </c>
      <c r="K2433" s="17" t="inlineStr">
        <is>
          <t>낮음</t>
        </is>
      </c>
      <c r="L2433" s="17" t="inlineStr"/>
    </row>
    <row r="2434">
      <c r="A2434" s="17" t="inlineStr">
        <is>
          <t>C391</t>
        </is>
      </c>
      <c r="B2434" s="17" t="inlineStr"/>
      <c r="C2434" s="17" t="inlineStr">
        <is>
          <t>애경바이오팜 주식회사</t>
        </is>
      </c>
      <c r="D2434" s="17" t="inlineStr"/>
      <c r="E2434" s="17" t="inlineStr">
        <is>
          <t>최근매출(억원)</t>
        </is>
      </c>
      <c r="F2434" s="17" t="inlineStr">
        <is>
          <t>미확인</t>
        </is>
      </c>
      <c r="G2434" s="17" t="inlineStr">
        <is>
          <t>웹조사 자동화 실패(세션한도)</t>
        </is>
      </c>
      <c r="H2434" s="17" t="inlineStr">
        <is>
          <t>N</t>
        </is>
      </c>
      <c r="I2434" s="17" t="inlineStr">
        <is>
          <t>DART 사업보고서</t>
        </is>
      </c>
      <c r="J2434" s="17" t="inlineStr">
        <is>
          <t>DART 사업보고서에서 확인</t>
        </is>
      </c>
      <c r="K2434" s="17" t="inlineStr">
        <is>
          <t>낮음</t>
        </is>
      </c>
      <c r="L2434" s="17" t="inlineStr"/>
    </row>
    <row r="2435">
      <c r="A2435" s="17" t="inlineStr">
        <is>
          <t>C391</t>
        </is>
      </c>
      <c r="B2435" s="17" t="inlineStr"/>
      <c r="C2435" s="17" t="inlineStr">
        <is>
          <t>애경바이오팜 주식회사</t>
        </is>
      </c>
      <c r="D2435" s="17" t="inlineStr"/>
      <c r="E2435" s="17" t="inlineStr">
        <is>
          <t>종업원수</t>
        </is>
      </c>
      <c r="F2435" s="17" t="inlineStr">
        <is>
          <t>미확인</t>
        </is>
      </c>
      <c r="G2435" s="17" t="inlineStr">
        <is>
          <t>웹조사 자동화 실패(세션한도)</t>
        </is>
      </c>
      <c r="H2435" s="17" t="inlineStr">
        <is>
          <t>N</t>
        </is>
      </c>
      <c r="I2435" s="17" t="inlineStr">
        <is>
          <t>DART/채용</t>
        </is>
      </c>
      <c r="J2435" s="17" t="inlineStr">
        <is>
          <t>DART/채용에서 확인</t>
        </is>
      </c>
      <c r="K2435" s="17" t="inlineStr">
        <is>
          <t>낮음</t>
        </is>
      </c>
      <c r="L2435" s="17" t="inlineStr"/>
    </row>
    <row r="2436">
      <c r="A2436" s="17" t="inlineStr">
        <is>
          <t>C391</t>
        </is>
      </c>
      <c r="B2436" s="17" t="inlineStr"/>
      <c r="C2436" s="17" t="inlineStr">
        <is>
          <t>애경바이오팜 주식회사</t>
        </is>
      </c>
      <c r="D2436" s="17" t="inlineStr"/>
      <c r="E2436" s="17" t="inlineStr">
        <is>
          <t>수출여부</t>
        </is>
      </c>
      <c r="F2436" s="17" t="inlineStr">
        <is>
          <t>미확인</t>
        </is>
      </c>
      <c r="G2436" s="17" t="inlineStr">
        <is>
          <t>웹조사 자동화 실패(세션한도)</t>
        </is>
      </c>
      <c r="H2436" s="17" t="inlineStr">
        <is>
          <t>N</t>
        </is>
      </c>
      <c r="I2436" s="17" t="inlineStr">
        <is>
          <t>회사 공시·홈페이지</t>
        </is>
      </c>
      <c r="J2436" s="17" t="inlineStr">
        <is>
          <t>회사 공시·홈페이지에서 확인</t>
        </is>
      </c>
      <c r="K2436" s="17" t="inlineStr">
        <is>
          <t>낮음</t>
        </is>
      </c>
      <c r="L2436" s="17" t="inlineStr"/>
    </row>
    <row r="2437">
      <c r="A2437" s="17" t="inlineStr">
        <is>
          <t>C391</t>
        </is>
      </c>
      <c r="B2437" s="17" t="inlineStr"/>
      <c r="C2437" s="17" t="inlineStr">
        <is>
          <t>애경바이오팜 주식회사</t>
        </is>
      </c>
      <c r="D2437" s="17" t="inlineStr"/>
      <c r="E2437" s="17" t="inlineStr">
        <is>
          <t>FDA·EMA 실사</t>
        </is>
      </c>
      <c r="F2437" s="17" t="inlineStr">
        <is>
          <t>미확인</t>
        </is>
      </c>
      <c r="G2437" s="17" t="inlineStr">
        <is>
          <t>웹조사 자동화 실패(세션한도)</t>
        </is>
      </c>
      <c r="H2437" s="17" t="inlineStr">
        <is>
          <t>N</t>
        </is>
      </c>
      <c r="I2437" s="17" t="inlineStr">
        <is>
          <t>FDA Inspection DB</t>
        </is>
      </c>
      <c r="J2437" s="17" t="inlineStr">
        <is>
          <t>FDA Inspection DB에서 확인</t>
        </is>
      </c>
      <c r="K2437" s="17" t="inlineStr">
        <is>
          <t>낮음</t>
        </is>
      </c>
      <c r="L2437" s="17" t="inlineStr"/>
    </row>
    <row r="2438">
      <c r="A2438" s="17" t="inlineStr">
        <is>
          <t>C391</t>
        </is>
      </c>
      <c r="B2438" s="17" t="inlineStr"/>
      <c r="C2438" s="17" t="inlineStr">
        <is>
          <t>애경바이오팜 주식회사</t>
        </is>
      </c>
      <c r="D2438" s="17" t="inlineStr"/>
      <c r="E2438" s="17" t="inlineStr">
        <is>
          <t>CMO·CDMO</t>
        </is>
      </c>
      <c r="F2438" s="17" t="inlineStr">
        <is>
          <t>미확인</t>
        </is>
      </c>
      <c r="G2438" s="17" t="inlineStr">
        <is>
          <t>웹조사 자동화 실패(세션한도)</t>
        </is>
      </c>
      <c r="H2438" s="17" t="inlineStr">
        <is>
          <t>N</t>
        </is>
      </c>
      <c r="I2438" s="17" t="inlineStr">
        <is>
          <t>회사 홈페이지</t>
        </is>
      </c>
      <c r="J2438" s="17" t="inlineStr">
        <is>
          <t>회사 홈페이지에서 확인</t>
        </is>
      </c>
      <c r="K2438" s="17" t="inlineStr">
        <is>
          <t>낮음</t>
        </is>
      </c>
      <c r="L2438" s="17" t="inlineStr"/>
    </row>
    <row r="2439">
      <c r="A2439" s="17" t="inlineStr">
        <is>
          <t>C391</t>
        </is>
      </c>
      <c r="B2439" s="17" t="inlineStr"/>
      <c r="C2439" s="17" t="inlineStr">
        <is>
          <t>애경바이오팜 주식회사</t>
        </is>
      </c>
      <c r="D2439" s="17" t="inlineStr"/>
      <c r="E2439" s="17" t="inlineStr">
        <is>
          <t>신공장·증설</t>
        </is>
      </c>
      <c r="F2439" s="17" t="inlineStr">
        <is>
          <t>미확인</t>
        </is>
      </c>
      <c r="G2439" s="17" t="inlineStr">
        <is>
          <t>웹조사 자동화 실패(세션한도)</t>
        </is>
      </c>
      <c r="H2439" s="17" t="inlineStr">
        <is>
          <t>N</t>
        </is>
      </c>
      <c r="I2439" s="17" t="inlineStr">
        <is>
          <t>언론·지자체 발표</t>
        </is>
      </c>
      <c r="J2439" s="17" t="inlineStr">
        <is>
          <t>언론·지자체 발표에서 확인</t>
        </is>
      </c>
      <c r="K2439" s="17" t="inlineStr">
        <is>
          <t>낮음</t>
        </is>
      </c>
      <c r="L2439" s="17" t="inlineStr"/>
    </row>
    <row r="2440">
      <c r="A2440" s="17" t="inlineStr">
        <is>
          <t>C392</t>
        </is>
      </c>
      <c r="B2440" s="17" t="inlineStr"/>
      <c r="C2440" s="17" t="inlineStr">
        <is>
          <t>(주)유일팜테크</t>
        </is>
      </c>
      <c r="D2440" s="17" t="inlineStr"/>
      <c r="E2440" s="17" t="inlineStr">
        <is>
          <t>최근매출(억원)</t>
        </is>
      </c>
      <c r="F2440" s="17" t="inlineStr">
        <is>
          <t>미확인</t>
        </is>
      </c>
      <c r="G2440" s="17" t="inlineStr">
        <is>
          <t>웹조사 자동화 실패(세션한도)</t>
        </is>
      </c>
      <c r="H2440" s="17" t="inlineStr">
        <is>
          <t>N</t>
        </is>
      </c>
      <c r="I2440" s="17" t="inlineStr">
        <is>
          <t>DART 사업보고서</t>
        </is>
      </c>
      <c r="J2440" s="17" t="inlineStr">
        <is>
          <t>DART 사업보고서에서 확인</t>
        </is>
      </c>
      <c r="K2440" s="17" t="inlineStr">
        <is>
          <t>낮음</t>
        </is>
      </c>
      <c r="L2440" s="17" t="inlineStr"/>
    </row>
    <row r="2441">
      <c r="A2441" s="17" t="inlineStr">
        <is>
          <t>C392</t>
        </is>
      </c>
      <c r="B2441" s="17" t="inlineStr"/>
      <c r="C2441" s="17" t="inlineStr">
        <is>
          <t>(주)유일팜테크</t>
        </is>
      </c>
      <c r="D2441" s="17" t="inlineStr"/>
      <c r="E2441" s="17" t="inlineStr">
        <is>
          <t>종업원수</t>
        </is>
      </c>
      <c r="F2441" s="17" t="inlineStr">
        <is>
          <t>미확인</t>
        </is>
      </c>
      <c r="G2441" s="17" t="inlineStr">
        <is>
          <t>웹조사 자동화 실패(세션한도)</t>
        </is>
      </c>
      <c r="H2441" s="17" t="inlineStr">
        <is>
          <t>N</t>
        </is>
      </c>
      <c r="I2441" s="17" t="inlineStr">
        <is>
          <t>DART/채용</t>
        </is>
      </c>
      <c r="J2441" s="17" t="inlineStr">
        <is>
          <t>DART/채용에서 확인</t>
        </is>
      </c>
      <c r="K2441" s="17" t="inlineStr">
        <is>
          <t>낮음</t>
        </is>
      </c>
      <c r="L2441" s="17" t="inlineStr"/>
    </row>
    <row r="2442">
      <c r="A2442" s="17" t="inlineStr">
        <is>
          <t>C392</t>
        </is>
      </c>
      <c r="B2442" s="17" t="inlineStr"/>
      <c r="C2442" s="17" t="inlineStr">
        <is>
          <t>(주)유일팜테크</t>
        </is>
      </c>
      <c r="D2442" s="17" t="inlineStr"/>
      <c r="E2442" s="17" t="inlineStr">
        <is>
          <t>수출여부</t>
        </is>
      </c>
      <c r="F2442" s="17" t="inlineStr">
        <is>
          <t>미확인</t>
        </is>
      </c>
      <c r="G2442" s="17" t="inlineStr">
        <is>
          <t>웹조사 자동화 실패(세션한도)</t>
        </is>
      </c>
      <c r="H2442" s="17" t="inlineStr">
        <is>
          <t>N</t>
        </is>
      </c>
      <c r="I2442" s="17" t="inlineStr">
        <is>
          <t>회사 공시·홈페이지</t>
        </is>
      </c>
      <c r="J2442" s="17" t="inlineStr">
        <is>
          <t>회사 공시·홈페이지에서 확인</t>
        </is>
      </c>
      <c r="K2442" s="17" t="inlineStr">
        <is>
          <t>낮음</t>
        </is>
      </c>
      <c r="L2442" s="17" t="inlineStr"/>
    </row>
    <row r="2443">
      <c r="A2443" s="17" t="inlineStr">
        <is>
          <t>C392</t>
        </is>
      </c>
      <c r="B2443" s="17" t="inlineStr"/>
      <c r="C2443" s="17" t="inlineStr">
        <is>
          <t>(주)유일팜테크</t>
        </is>
      </c>
      <c r="D2443" s="17" t="inlineStr"/>
      <c r="E2443" s="17" t="inlineStr">
        <is>
          <t>FDA·EMA 실사</t>
        </is>
      </c>
      <c r="F2443" s="17" t="inlineStr">
        <is>
          <t>미확인</t>
        </is>
      </c>
      <c r="G2443" s="17" t="inlineStr">
        <is>
          <t>웹조사 자동화 실패(세션한도)</t>
        </is>
      </c>
      <c r="H2443" s="17" t="inlineStr">
        <is>
          <t>N</t>
        </is>
      </c>
      <c r="I2443" s="17" t="inlineStr">
        <is>
          <t>FDA Inspection DB</t>
        </is>
      </c>
      <c r="J2443" s="17" t="inlineStr">
        <is>
          <t>FDA Inspection DB에서 확인</t>
        </is>
      </c>
      <c r="K2443" s="17" t="inlineStr">
        <is>
          <t>낮음</t>
        </is>
      </c>
      <c r="L2443" s="17" t="inlineStr"/>
    </row>
    <row r="2444">
      <c r="A2444" s="17" t="inlineStr">
        <is>
          <t>C392</t>
        </is>
      </c>
      <c r="B2444" s="17" t="inlineStr"/>
      <c r="C2444" s="17" t="inlineStr">
        <is>
          <t>(주)유일팜테크</t>
        </is>
      </c>
      <c r="D2444" s="17" t="inlineStr"/>
      <c r="E2444" s="17" t="inlineStr">
        <is>
          <t>CMO·CDMO</t>
        </is>
      </c>
      <c r="F2444" s="17" t="inlineStr">
        <is>
          <t>미확인</t>
        </is>
      </c>
      <c r="G2444" s="17" t="inlineStr">
        <is>
          <t>웹조사 자동화 실패(세션한도)</t>
        </is>
      </c>
      <c r="H2444" s="17" t="inlineStr">
        <is>
          <t>N</t>
        </is>
      </c>
      <c r="I2444" s="17" t="inlineStr">
        <is>
          <t>회사 홈페이지</t>
        </is>
      </c>
      <c r="J2444" s="17" t="inlineStr">
        <is>
          <t>회사 홈페이지에서 확인</t>
        </is>
      </c>
      <c r="K2444" s="17" t="inlineStr">
        <is>
          <t>낮음</t>
        </is>
      </c>
      <c r="L2444" s="17" t="inlineStr"/>
    </row>
    <row r="2445">
      <c r="A2445" s="17" t="inlineStr">
        <is>
          <t>C392</t>
        </is>
      </c>
      <c r="B2445" s="17" t="inlineStr"/>
      <c r="C2445" s="17" t="inlineStr">
        <is>
          <t>(주)유일팜테크</t>
        </is>
      </c>
      <c r="D2445" s="17" t="inlineStr"/>
      <c r="E2445" s="17" t="inlineStr">
        <is>
          <t>신공장·증설</t>
        </is>
      </c>
      <c r="F2445" s="17" t="inlineStr">
        <is>
          <t>미확인</t>
        </is>
      </c>
      <c r="G2445" s="17" t="inlineStr">
        <is>
          <t>웹조사 자동화 실패(세션한도)</t>
        </is>
      </c>
      <c r="H2445" s="17" t="inlineStr">
        <is>
          <t>N</t>
        </is>
      </c>
      <c r="I2445" s="17" t="inlineStr">
        <is>
          <t>언론·지자체 발표</t>
        </is>
      </c>
      <c r="J2445" s="17" t="inlineStr">
        <is>
          <t>언론·지자체 발표에서 확인</t>
        </is>
      </c>
      <c r="K2445" s="17" t="inlineStr">
        <is>
          <t>낮음</t>
        </is>
      </c>
      <c r="L2445" s="17" t="inlineStr"/>
    </row>
    <row r="2446">
      <c r="A2446" s="17" t="inlineStr">
        <is>
          <t>C393</t>
        </is>
      </c>
      <c r="B2446" s="17" t="inlineStr"/>
      <c r="C2446" s="17" t="inlineStr">
        <is>
          <t>서진산업가스(주)</t>
        </is>
      </c>
      <c r="D2446" s="17" t="inlineStr"/>
      <c r="E2446" s="17" t="inlineStr">
        <is>
          <t>최근매출(억원)</t>
        </is>
      </c>
      <c r="F2446" s="17" t="inlineStr">
        <is>
          <t>미확인</t>
        </is>
      </c>
      <c r="G2446" s="17" t="inlineStr">
        <is>
          <t>웹조사 자동화 실패(세션한도)</t>
        </is>
      </c>
      <c r="H2446" s="17" t="inlineStr">
        <is>
          <t>N</t>
        </is>
      </c>
      <c r="I2446" s="17" t="inlineStr">
        <is>
          <t>DART 사업보고서</t>
        </is>
      </c>
      <c r="J2446" s="17" t="inlineStr">
        <is>
          <t>DART 사업보고서에서 확인</t>
        </is>
      </c>
      <c r="K2446" s="17" t="inlineStr">
        <is>
          <t>낮음</t>
        </is>
      </c>
      <c r="L2446" s="17" t="inlineStr"/>
    </row>
    <row r="2447">
      <c r="A2447" s="17" t="inlineStr">
        <is>
          <t>C393</t>
        </is>
      </c>
      <c r="B2447" s="17" t="inlineStr"/>
      <c r="C2447" s="17" t="inlineStr">
        <is>
          <t>서진산업가스(주)</t>
        </is>
      </c>
      <c r="D2447" s="17" t="inlineStr"/>
      <c r="E2447" s="17" t="inlineStr">
        <is>
          <t>종업원수</t>
        </is>
      </c>
      <c r="F2447" s="17" t="inlineStr">
        <is>
          <t>미확인</t>
        </is>
      </c>
      <c r="G2447" s="17" t="inlineStr">
        <is>
          <t>웹조사 자동화 실패(세션한도)</t>
        </is>
      </c>
      <c r="H2447" s="17" t="inlineStr">
        <is>
          <t>N</t>
        </is>
      </c>
      <c r="I2447" s="17" t="inlineStr">
        <is>
          <t>DART/채용</t>
        </is>
      </c>
      <c r="J2447" s="17" t="inlineStr">
        <is>
          <t>DART/채용에서 확인</t>
        </is>
      </c>
      <c r="K2447" s="17" t="inlineStr">
        <is>
          <t>낮음</t>
        </is>
      </c>
      <c r="L2447" s="17" t="inlineStr"/>
    </row>
    <row r="2448">
      <c r="A2448" s="17" t="inlineStr">
        <is>
          <t>C393</t>
        </is>
      </c>
      <c r="B2448" s="17" t="inlineStr"/>
      <c r="C2448" s="17" t="inlineStr">
        <is>
          <t>서진산업가스(주)</t>
        </is>
      </c>
      <c r="D2448" s="17" t="inlineStr"/>
      <c r="E2448" s="17" t="inlineStr">
        <is>
          <t>수출여부</t>
        </is>
      </c>
      <c r="F2448" s="17" t="inlineStr">
        <is>
          <t>미확인</t>
        </is>
      </c>
      <c r="G2448" s="17" t="inlineStr">
        <is>
          <t>웹조사 자동화 실패(세션한도)</t>
        </is>
      </c>
      <c r="H2448" s="17" t="inlineStr">
        <is>
          <t>N</t>
        </is>
      </c>
      <c r="I2448" s="17" t="inlineStr">
        <is>
          <t>회사 공시·홈페이지</t>
        </is>
      </c>
      <c r="J2448" s="17" t="inlineStr">
        <is>
          <t>회사 공시·홈페이지에서 확인</t>
        </is>
      </c>
      <c r="K2448" s="17" t="inlineStr">
        <is>
          <t>낮음</t>
        </is>
      </c>
      <c r="L2448" s="17" t="inlineStr"/>
    </row>
    <row r="2449">
      <c r="A2449" s="17" t="inlineStr">
        <is>
          <t>C393</t>
        </is>
      </c>
      <c r="B2449" s="17" t="inlineStr"/>
      <c r="C2449" s="17" t="inlineStr">
        <is>
          <t>서진산업가스(주)</t>
        </is>
      </c>
      <c r="D2449" s="17" t="inlineStr"/>
      <c r="E2449" s="17" t="inlineStr">
        <is>
          <t>FDA·EMA 실사</t>
        </is>
      </c>
      <c r="F2449" s="17" t="inlineStr">
        <is>
          <t>미확인</t>
        </is>
      </c>
      <c r="G2449" s="17" t="inlineStr">
        <is>
          <t>웹조사 자동화 실패(세션한도)</t>
        </is>
      </c>
      <c r="H2449" s="17" t="inlineStr">
        <is>
          <t>N</t>
        </is>
      </c>
      <c r="I2449" s="17" t="inlineStr">
        <is>
          <t>FDA Inspection DB</t>
        </is>
      </c>
      <c r="J2449" s="17" t="inlineStr">
        <is>
          <t>FDA Inspection DB에서 확인</t>
        </is>
      </c>
      <c r="K2449" s="17" t="inlineStr">
        <is>
          <t>낮음</t>
        </is>
      </c>
      <c r="L2449" s="17" t="inlineStr"/>
    </row>
    <row r="2450">
      <c r="A2450" s="17" t="inlineStr">
        <is>
          <t>C393</t>
        </is>
      </c>
      <c r="B2450" s="17" t="inlineStr"/>
      <c r="C2450" s="17" t="inlineStr">
        <is>
          <t>서진산업가스(주)</t>
        </is>
      </c>
      <c r="D2450" s="17" t="inlineStr"/>
      <c r="E2450" s="17" t="inlineStr">
        <is>
          <t>CMO·CDMO</t>
        </is>
      </c>
      <c r="F2450" s="17" t="inlineStr">
        <is>
          <t>미확인</t>
        </is>
      </c>
      <c r="G2450" s="17" t="inlineStr">
        <is>
          <t>웹조사 자동화 실패(세션한도)</t>
        </is>
      </c>
      <c r="H2450" s="17" t="inlineStr">
        <is>
          <t>N</t>
        </is>
      </c>
      <c r="I2450" s="17" t="inlineStr">
        <is>
          <t>회사 홈페이지</t>
        </is>
      </c>
      <c r="J2450" s="17" t="inlineStr">
        <is>
          <t>회사 홈페이지에서 확인</t>
        </is>
      </c>
      <c r="K2450" s="17" t="inlineStr">
        <is>
          <t>낮음</t>
        </is>
      </c>
      <c r="L2450" s="17" t="inlineStr"/>
    </row>
    <row r="2451">
      <c r="A2451" s="17" t="inlineStr">
        <is>
          <t>C393</t>
        </is>
      </c>
      <c r="B2451" s="17" t="inlineStr"/>
      <c r="C2451" s="17" t="inlineStr">
        <is>
          <t>서진산업가스(주)</t>
        </is>
      </c>
      <c r="D2451" s="17" t="inlineStr"/>
      <c r="E2451" s="17" t="inlineStr">
        <is>
          <t>신공장·증설</t>
        </is>
      </c>
      <c r="F2451" s="17" t="inlineStr">
        <is>
          <t>미확인</t>
        </is>
      </c>
      <c r="G2451" s="17" t="inlineStr">
        <is>
          <t>웹조사 자동화 실패(세션한도)</t>
        </is>
      </c>
      <c r="H2451" s="17" t="inlineStr">
        <is>
          <t>N</t>
        </is>
      </c>
      <c r="I2451" s="17" t="inlineStr">
        <is>
          <t>언론·지자체 발표</t>
        </is>
      </c>
      <c r="J2451" s="17" t="inlineStr">
        <is>
          <t>언론·지자체 발표에서 확인</t>
        </is>
      </c>
      <c r="K2451" s="17" t="inlineStr">
        <is>
          <t>낮음</t>
        </is>
      </c>
      <c r="L2451" s="17" t="inlineStr"/>
    </row>
    <row r="2452">
      <c r="A2452" s="17" t="inlineStr">
        <is>
          <t>C394</t>
        </is>
      </c>
      <c r="B2452" s="17" t="inlineStr"/>
      <c r="C2452" s="17" t="inlineStr">
        <is>
          <t>(주)평화산소</t>
        </is>
      </c>
      <c r="D2452" s="17" t="inlineStr"/>
      <c r="E2452" s="17" t="inlineStr">
        <is>
          <t>최근매출(억원)</t>
        </is>
      </c>
      <c r="F2452" s="17" t="inlineStr">
        <is>
          <t>미확인</t>
        </is>
      </c>
      <c r="G2452" s="17" t="inlineStr">
        <is>
          <t>웹조사 자동화 실패(세션한도)</t>
        </is>
      </c>
      <c r="H2452" s="17" t="inlineStr">
        <is>
          <t>N</t>
        </is>
      </c>
      <c r="I2452" s="17" t="inlineStr">
        <is>
          <t>DART 사업보고서</t>
        </is>
      </c>
      <c r="J2452" s="17" t="inlineStr">
        <is>
          <t>DART 사업보고서에서 확인</t>
        </is>
      </c>
      <c r="K2452" s="17" t="inlineStr">
        <is>
          <t>낮음</t>
        </is>
      </c>
      <c r="L2452" s="17" t="inlineStr"/>
    </row>
    <row r="2453">
      <c r="A2453" s="17" t="inlineStr">
        <is>
          <t>C394</t>
        </is>
      </c>
      <c r="B2453" s="17" t="inlineStr"/>
      <c r="C2453" s="17" t="inlineStr">
        <is>
          <t>(주)평화산소</t>
        </is>
      </c>
      <c r="D2453" s="17" t="inlineStr"/>
      <c r="E2453" s="17" t="inlineStr">
        <is>
          <t>종업원수</t>
        </is>
      </c>
      <c r="F2453" s="17" t="inlineStr">
        <is>
          <t>미확인</t>
        </is>
      </c>
      <c r="G2453" s="17" t="inlineStr">
        <is>
          <t>웹조사 자동화 실패(세션한도)</t>
        </is>
      </c>
      <c r="H2453" s="17" t="inlineStr">
        <is>
          <t>N</t>
        </is>
      </c>
      <c r="I2453" s="17" t="inlineStr">
        <is>
          <t>DART/채용</t>
        </is>
      </c>
      <c r="J2453" s="17" t="inlineStr">
        <is>
          <t>DART/채용에서 확인</t>
        </is>
      </c>
      <c r="K2453" s="17" t="inlineStr">
        <is>
          <t>낮음</t>
        </is>
      </c>
      <c r="L2453" s="17" t="inlineStr"/>
    </row>
    <row r="2454">
      <c r="A2454" s="17" t="inlineStr">
        <is>
          <t>C394</t>
        </is>
      </c>
      <c r="B2454" s="17" t="inlineStr"/>
      <c r="C2454" s="17" t="inlineStr">
        <is>
          <t>(주)평화산소</t>
        </is>
      </c>
      <c r="D2454" s="17" t="inlineStr"/>
      <c r="E2454" s="17" t="inlineStr">
        <is>
          <t>수출여부</t>
        </is>
      </c>
      <c r="F2454" s="17" t="inlineStr">
        <is>
          <t>미확인</t>
        </is>
      </c>
      <c r="G2454" s="17" t="inlineStr">
        <is>
          <t>웹조사 자동화 실패(세션한도)</t>
        </is>
      </c>
      <c r="H2454" s="17" t="inlineStr">
        <is>
          <t>N</t>
        </is>
      </c>
      <c r="I2454" s="17" t="inlineStr">
        <is>
          <t>회사 공시·홈페이지</t>
        </is>
      </c>
      <c r="J2454" s="17" t="inlineStr">
        <is>
          <t>회사 공시·홈페이지에서 확인</t>
        </is>
      </c>
      <c r="K2454" s="17" t="inlineStr">
        <is>
          <t>낮음</t>
        </is>
      </c>
      <c r="L2454" s="17" t="inlineStr"/>
    </row>
    <row r="2455">
      <c r="A2455" s="17" t="inlineStr">
        <is>
          <t>C394</t>
        </is>
      </c>
      <c r="B2455" s="17" t="inlineStr"/>
      <c r="C2455" s="17" t="inlineStr">
        <is>
          <t>(주)평화산소</t>
        </is>
      </c>
      <c r="D2455" s="17" t="inlineStr"/>
      <c r="E2455" s="17" t="inlineStr">
        <is>
          <t>FDA·EMA 실사</t>
        </is>
      </c>
      <c r="F2455" s="17" t="inlineStr">
        <is>
          <t>미확인</t>
        </is>
      </c>
      <c r="G2455" s="17" t="inlineStr">
        <is>
          <t>웹조사 자동화 실패(세션한도)</t>
        </is>
      </c>
      <c r="H2455" s="17" t="inlineStr">
        <is>
          <t>N</t>
        </is>
      </c>
      <c r="I2455" s="17" t="inlineStr">
        <is>
          <t>FDA Inspection DB</t>
        </is>
      </c>
      <c r="J2455" s="17" t="inlineStr">
        <is>
          <t>FDA Inspection DB에서 확인</t>
        </is>
      </c>
      <c r="K2455" s="17" t="inlineStr">
        <is>
          <t>낮음</t>
        </is>
      </c>
      <c r="L2455" s="17" t="inlineStr"/>
    </row>
    <row r="2456">
      <c r="A2456" s="17" t="inlineStr">
        <is>
          <t>C394</t>
        </is>
      </c>
      <c r="B2456" s="17" t="inlineStr"/>
      <c r="C2456" s="17" t="inlineStr">
        <is>
          <t>(주)평화산소</t>
        </is>
      </c>
      <c r="D2456" s="17" t="inlineStr"/>
      <c r="E2456" s="17" t="inlineStr">
        <is>
          <t>CMO·CDMO</t>
        </is>
      </c>
      <c r="F2456" s="17" t="inlineStr">
        <is>
          <t>미확인</t>
        </is>
      </c>
      <c r="G2456" s="17" t="inlineStr">
        <is>
          <t>웹조사 자동화 실패(세션한도)</t>
        </is>
      </c>
      <c r="H2456" s="17" t="inlineStr">
        <is>
          <t>N</t>
        </is>
      </c>
      <c r="I2456" s="17" t="inlineStr">
        <is>
          <t>회사 홈페이지</t>
        </is>
      </c>
      <c r="J2456" s="17" t="inlineStr">
        <is>
          <t>회사 홈페이지에서 확인</t>
        </is>
      </c>
      <c r="K2456" s="17" t="inlineStr">
        <is>
          <t>낮음</t>
        </is>
      </c>
      <c r="L2456" s="17" t="inlineStr"/>
    </row>
    <row r="2457">
      <c r="A2457" s="17" t="inlineStr">
        <is>
          <t>C394</t>
        </is>
      </c>
      <c r="B2457" s="17" t="inlineStr"/>
      <c r="C2457" s="17" t="inlineStr">
        <is>
          <t>(주)평화산소</t>
        </is>
      </c>
      <c r="D2457" s="17" t="inlineStr"/>
      <c r="E2457" s="17" t="inlineStr">
        <is>
          <t>신공장·증설</t>
        </is>
      </c>
      <c r="F2457" s="17" t="inlineStr">
        <is>
          <t>미확인</t>
        </is>
      </c>
      <c r="G2457" s="17" t="inlineStr">
        <is>
          <t>웹조사 자동화 실패(세션한도)</t>
        </is>
      </c>
      <c r="H2457" s="17" t="inlineStr">
        <is>
          <t>N</t>
        </is>
      </c>
      <c r="I2457" s="17" t="inlineStr">
        <is>
          <t>언론·지자체 발표</t>
        </is>
      </c>
      <c r="J2457" s="17" t="inlineStr">
        <is>
          <t>언론·지자체 발표에서 확인</t>
        </is>
      </c>
      <c r="K2457" s="17" t="inlineStr">
        <is>
          <t>낮음</t>
        </is>
      </c>
      <c r="L2457" s="17" t="inlineStr"/>
    </row>
    <row r="2458">
      <c r="A2458" s="17" t="inlineStr">
        <is>
          <t>C395</t>
        </is>
      </c>
      <c r="B2458" s="17" t="inlineStr"/>
      <c r="C2458" s="17" t="inlineStr">
        <is>
          <t>(주)한국신약</t>
        </is>
      </c>
      <c r="D2458" s="17" t="inlineStr"/>
      <c r="E2458" s="17" t="inlineStr">
        <is>
          <t>최근매출(억원)</t>
        </is>
      </c>
      <c r="F2458" s="17" t="inlineStr">
        <is>
          <t>미확인</t>
        </is>
      </c>
      <c r="G2458" s="17" t="inlineStr">
        <is>
          <t>웹조사 자동화 실패(세션한도)</t>
        </is>
      </c>
      <c r="H2458" s="17" t="inlineStr">
        <is>
          <t>N</t>
        </is>
      </c>
      <c r="I2458" s="17" t="inlineStr">
        <is>
          <t>DART 사업보고서</t>
        </is>
      </c>
      <c r="J2458" s="17" t="inlineStr">
        <is>
          <t>DART 사업보고서에서 확인</t>
        </is>
      </c>
      <c r="K2458" s="17" t="inlineStr">
        <is>
          <t>낮음</t>
        </is>
      </c>
      <c r="L2458" s="17" t="inlineStr"/>
    </row>
    <row r="2459">
      <c r="A2459" s="17" t="inlineStr">
        <is>
          <t>C395</t>
        </is>
      </c>
      <c r="B2459" s="17" t="inlineStr"/>
      <c r="C2459" s="17" t="inlineStr">
        <is>
          <t>(주)한국신약</t>
        </is>
      </c>
      <c r="D2459" s="17" t="inlineStr"/>
      <c r="E2459" s="17" t="inlineStr">
        <is>
          <t>종업원수</t>
        </is>
      </c>
      <c r="F2459" s="17" t="inlineStr">
        <is>
          <t>미확인</t>
        </is>
      </c>
      <c r="G2459" s="17" t="inlineStr">
        <is>
          <t>웹조사 자동화 실패(세션한도)</t>
        </is>
      </c>
      <c r="H2459" s="17" t="inlineStr">
        <is>
          <t>N</t>
        </is>
      </c>
      <c r="I2459" s="17" t="inlineStr">
        <is>
          <t>DART/채용</t>
        </is>
      </c>
      <c r="J2459" s="17" t="inlineStr">
        <is>
          <t>DART/채용에서 확인</t>
        </is>
      </c>
      <c r="K2459" s="17" t="inlineStr">
        <is>
          <t>낮음</t>
        </is>
      </c>
      <c r="L2459" s="17" t="inlineStr"/>
    </row>
    <row r="2460">
      <c r="A2460" s="17" t="inlineStr">
        <is>
          <t>C395</t>
        </is>
      </c>
      <c r="B2460" s="17" t="inlineStr"/>
      <c r="C2460" s="17" t="inlineStr">
        <is>
          <t>(주)한국신약</t>
        </is>
      </c>
      <c r="D2460" s="17" t="inlineStr"/>
      <c r="E2460" s="17" t="inlineStr">
        <is>
          <t>수출여부</t>
        </is>
      </c>
      <c r="F2460" s="17" t="inlineStr">
        <is>
          <t>미확인</t>
        </is>
      </c>
      <c r="G2460" s="17" t="inlineStr">
        <is>
          <t>웹조사 자동화 실패(세션한도)</t>
        </is>
      </c>
      <c r="H2460" s="17" t="inlineStr">
        <is>
          <t>N</t>
        </is>
      </c>
      <c r="I2460" s="17" t="inlineStr">
        <is>
          <t>회사 공시·홈페이지</t>
        </is>
      </c>
      <c r="J2460" s="17" t="inlineStr">
        <is>
          <t>회사 공시·홈페이지에서 확인</t>
        </is>
      </c>
      <c r="K2460" s="17" t="inlineStr">
        <is>
          <t>낮음</t>
        </is>
      </c>
      <c r="L2460" s="17" t="inlineStr"/>
    </row>
    <row r="2461">
      <c r="A2461" s="17" t="inlineStr">
        <is>
          <t>C395</t>
        </is>
      </c>
      <c r="B2461" s="17" t="inlineStr"/>
      <c r="C2461" s="17" t="inlineStr">
        <is>
          <t>(주)한국신약</t>
        </is>
      </c>
      <c r="D2461" s="17" t="inlineStr"/>
      <c r="E2461" s="17" t="inlineStr">
        <is>
          <t>FDA·EMA 실사</t>
        </is>
      </c>
      <c r="F2461" s="17" t="inlineStr">
        <is>
          <t>미확인</t>
        </is>
      </c>
      <c r="G2461" s="17" t="inlineStr">
        <is>
          <t>웹조사 자동화 실패(세션한도)</t>
        </is>
      </c>
      <c r="H2461" s="17" t="inlineStr">
        <is>
          <t>N</t>
        </is>
      </c>
      <c r="I2461" s="17" t="inlineStr">
        <is>
          <t>FDA Inspection DB</t>
        </is>
      </c>
      <c r="J2461" s="17" t="inlineStr">
        <is>
          <t>FDA Inspection DB에서 확인</t>
        </is>
      </c>
      <c r="K2461" s="17" t="inlineStr">
        <is>
          <t>낮음</t>
        </is>
      </c>
      <c r="L2461" s="17" t="inlineStr"/>
    </row>
    <row r="2462">
      <c r="A2462" s="17" t="inlineStr">
        <is>
          <t>C395</t>
        </is>
      </c>
      <c r="B2462" s="17" t="inlineStr"/>
      <c r="C2462" s="17" t="inlineStr">
        <is>
          <t>(주)한국신약</t>
        </is>
      </c>
      <c r="D2462" s="17" t="inlineStr"/>
      <c r="E2462" s="17" t="inlineStr">
        <is>
          <t>CMO·CDMO</t>
        </is>
      </c>
      <c r="F2462" s="17" t="inlineStr">
        <is>
          <t>미확인</t>
        </is>
      </c>
      <c r="G2462" s="17" t="inlineStr">
        <is>
          <t>웹조사 자동화 실패(세션한도)</t>
        </is>
      </c>
      <c r="H2462" s="17" t="inlineStr">
        <is>
          <t>N</t>
        </is>
      </c>
      <c r="I2462" s="17" t="inlineStr">
        <is>
          <t>회사 홈페이지</t>
        </is>
      </c>
      <c r="J2462" s="17" t="inlineStr">
        <is>
          <t>회사 홈페이지에서 확인</t>
        </is>
      </c>
      <c r="K2462" s="17" t="inlineStr">
        <is>
          <t>낮음</t>
        </is>
      </c>
      <c r="L2462" s="17" t="inlineStr"/>
    </row>
    <row r="2463">
      <c r="A2463" s="17" t="inlineStr">
        <is>
          <t>C395</t>
        </is>
      </c>
      <c r="B2463" s="17" t="inlineStr"/>
      <c r="C2463" s="17" t="inlineStr">
        <is>
          <t>(주)한국신약</t>
        </is>
      </c>
      <c r="D2463" s="17" t="inlineStr"/>
      <c r="E2463" s="17" t="inlineStr">
        <is>
          <t>신공장·증설</t>
        </is>
      </c>
      <c r="F2463" s="17" t="inlineStr">
        <is>
          <t>미확인</t>
        </is>
      </c>
      <c r="G2463" s="17" t="inlineStr">
        <is>
          <t>웹조사 자동화 실패(세션한도)</t>
        </is>
      </c>
      <c r="H2463" s="17" t="inlineStr">
        <is>
          <t>N</t>
        </is>
      </c>
      <c r="I2463" s="17" t="inlineStr">
        <is>
          <t>언론·지자체 발표</t>
        </is>
      </c>
      <c r="J2463" s="17" t="inlineStr">
        <is>
          <t>언론·지자체 발표에서 확인</t>
        </is>
      </c>
      <c r="K2463" s="17" t="inlineStr">
        <is>
          <t>낮음</t>
        </is>
      </c>
      <c r="L2463" s="17" t="inlineStr"/>
    </row>
    <row r="2464">
      <c r="A2464" s="17" t="inlineStr">
        <is>
          <t>C396</t>
        </is>
      </c>
      <c r="B2464" s="17" t="inlineStr"/>
      <c r="C2464" s="17" t="inlineStr">
        <is>
          <t>(주)태준제약</t>
        </is>
      </c>
      <c r="D2464" s="17" t="inlineStr"/>
      <c r="E2464" s="17" t="inlineStr">
        <is>
          <t>최근매출(억원)</t>
        </is>
      </c>
      <c r="F2464" s="17" t="inlineStr">
        <is>
          <t>미확인</t>
        </is>
      </c>
      <c r="G2464" s="17" t="inlineStr">
        <is>
          <t>웹조사 자동화 실패(세션한도)</t>
        </is>
      </c>
      <c r="H2464" s="17" t="inlineStr">
        <is>
          <t>N</t>
        </is>
      </c>
      <c r="I2464" s="17" t="inlineStr">
        <is>
          <t>DART 사업보고서</t>
        </is>
      </c>
      <c r="J2464" s="17" t="inlineStr">
        <is>
          <t>DART 사업보고서에서 확인</t>
        </is>
      </c>
      <c r="K2464" s="17" t="inlineStr">
        <is>
          <t>낮음</t>
        </is>
      </c>
      <c r="L2464" s="17" t="inlineStr"/>
    </row>
    <row r="2465">
      <c r="A2465" s="17" t="inlineStr">
        <is>
          <t>C396</t>
        </is>
      </c>
      <c r="B2465" s="17" t="inlineStr"/>
      <c r="C2465" s="17" t="inlineStr">
        <is>
          <t>(주)태준제약</t>
        </is>
      </c>
      <c r="D2465" s="17" t="inlineStr"/>
      <c r="E2465" s="17" t="inlineStr">
        <is>
          <t>종업원수</t>
        </is>
      </c>
      <c r="F2465" s="17" t="inlineStr">
        <is>
          <t>미확인</t>
        </is>
      </c>
      <c r="G2465" s="17" t="inlineStr">
        <is>
          <t>웹조사 자동화 실패(세션한도)</t>
        </is>
      </c>
      <c r="H2465" s="17" t="inlineStr">
        <is>
          <t>N</t>
        </is>
      </c>
      <c r="I2465" s="17" t="inlineStr">
        <is>
          <t>DART/채용</t>
        </is>
      </c>
      <c r="J2465" s="17" t="inlineStr">
        <is>
          <t>DART/채용에서 확인</t>
        </is>
      </c>
      <c r="K2465" s="17" t="inlineStr">
        <is>
          <t>낮음</t>
        </is>
      </c>
      <c r="L2465" s="17" t="inlineStr"/>
    </row>
    <row r="2466">
      <c r="A2466" s="17" t="inlineStr">
        <is>
          <t>C396</t>
        </is>
      </c>
      <c r="B2466" s="17" t="inlineStr"/>
      <c r="C2466" s="17" t="inlineStr">
        <is>
          <t>(주)태준제약</t>
        </is>
      </c>
      <c r="D2466" s="17" t="inlineStr"/>
      <c r="E2466" s="17" t="inlineStr">
        <is>
          <t>수출여부</t>
        </is>
      </c>
      <c r="F2466" s="17" t="inlineStr">
        <is>
          <t>미확인</t>
        </is>
      </c>
      <c r="G2466" s="17" t="inlineStr">
        <is>
          <t>웹조사 자동화 실패(세션한도)</t>
        </is>
      </c>
      <c r="H2466" s="17" t="inlineStr">
        <is>
          <t>N</t>
        </is>
      </c>
      <c r="I2466" s="17" t="inlineStr">
        <is>
          <t>회사 공시·홈페이지</t>
        </is>
      </c>
      <c r="J2466" s="17" t="inlineStr">
        <is>
          <t>회사 공시·홈페이지에서 확인</t>
        </is>
      </c>
      <c r="K2466" s="17" t="inlineStr">
        <is>
          <t>낮음</t>
        </is>
      </c>
      <c r="L2466" s="17" t="inlineStr"/>
    </row>
    <row r="2467">
      <c r="A2467" s="17" t="inlineStr">
        <is>
          <t>C396</t>
        </is>
      </c>
      <c r="B2467" s="17" t="inlineStr"/>
      <c r="C2467" s="17" t="inlineStr">
        <is>
          <t>(주)태준제약</t>
        </is>
      </c>
      <c r="D2467" s="17" t="inlineStr"/>
      <c r="E2467" s="17" t="inlineStr">
        <is>
          <t>FDA·EMA 실사</t>
        </is>
      </c>
      <c r="F2467" s="17" t="inlineStr">
        <is>
          <t>미확인</t>
        </is>
      </c>
      <c r="G2467" s="17" t="inlineStr">
        <is>
          <t>웹조사 자동화 실패(세션한도)</t>
        </is>
      </c>
      <c r="H2467" s="17" t="inlineStr">
        <is>
          <t>N</t>
        </is>
      </c>
      <c r="I2467" s="17" t="inlineStr">
        <is>
          <t>FDA Inspection DB</t>
        </is>
      </c>
      <c r="J2467" s="17" t="inlineStr">
        <is>
          <t>FDA Inspection DB에서 확인</t>
        </is>
      </c>
      <c r="K2467" s="17" t="inlineStr">
        <is>
          <t>낮음</t>
        </is>
      </c>
      <c r="L2467" s="17" t="inlineStr"/>
    </row>
    <row r="2468">
      <c r="A2468" s="17" t="inlineStr">
        <is>
          <t>C396</t>
        </is>
      </c>
      <c r="B2468" s="17" t="inlineStr"/>
      <c r="C2468" s="17" t="inlineStr">
        <is>
          <t>(주)태준제약</t>
        </is>
      </c>
      <c r="D2468" s="17" t="inlineStr"/>
      <c r="E2468" s="17" t="inlineStr">
        <is>
          <t>CMO·CDMO</t>
        </is>
      </c>
      <c r="F2468" s="17" t="inlineStr">
        <is>
          <t>미확인</t>
        </is>
      </c>
      <c r="G2468" s="17" t="inlineStr">
        <is>
          <t>웹조사 자동화 실패(세션한도)</t>
        </is>
      </c>
      <c r="H2468" s="17" t="inlineStr">
        <is>
          <t>N</t>
        </is>
      </c>
      <c r="I2468" s="17" t="inlineStr">
        <is>
          <t>회사 홈페이지</t>
        </is>
      </c>
      <c r="J2468" s="17" t="inlineStr">
        <is>
          <t>회사 홈페이지에서 확인</t>
        </is>
      </c>
      <c r="K2468" s="17" t="inlineStr">
        <is>
          <t>낮음</t>
        </is>
      </c>
      <c r="L2468" s="17" t="inlineStr"/>
    </row>
    <row r="2469">
      <c r="A2469" s="17" t="inlineStr">
        <is>
          <t>C396</t>
        </is>
      </c>
      <c r="B2469" s="17" t="inlineStr"/>
      <c r="C2469" s="17" t="inlineStr">
        <is>
          <t>(주)태준제약</t>
        </is>
      </c>
      <c r="D2469" s="17" t="inlineStr"/>
      <c r="E2469" s="17" t="inlineStr">
        <is>
          <t>신공장·증설</t>
        </is>
      </c>
      <c r="F2469" s="17" t="inlineStr">
        <is>
          <t>미확인</t>
        </is>
      </c>
      <c r="G2469" s="17" t="inlineStr">
        <is>
          <t>웹조사 자동화 실패(세션한도)</t>
        </is>
      </c>
      <c r="H2469" s="17" t="inlineStr">
        <is>
          <t>N</t>
        </is>
      </c>
      <c r="I2469" s="17" t="inlineStr">
        <is>
          <t>언론·지자체 발표</t>
        </is>
      </c>
      <c r="J2469" s="17" t="inlineStr">
        <is>
          <t>언론·지자체 발표에서 확인</t>
        </is>
      </c>
      <c r="K2469" s="17" t="inlineStr">
        <is>
          <t>낮음</t>
        </is>
      </c>
      <c r="L2469" s="17" t="inlineStr"/>
    </row>
    <row r="2470">
      <c r="A2470" s="17" t="inlineStr">
        <is>
          <t>C396</t>
        </is>
      </c>
      <c r="B2470" s="17" t="inlineStr"/>
      <c r="C2470" s="17" t="inlineStr">
        <is>
          <t>(주)태준제약</t>
        </is>
      </c>
      <c r="D2470" s="17" t="inlineStr"/>
      <c r="E2470" s="17" t="inlineStr">
        <is>
          <t>대표전화</t>
        </is>
      </c>
      <c r="F2470" s="17" t="inlineStr">
        <is>
          <t>미확인</t>
        </is>
      </c>
      <c r="G2470" s="17" t="inlineStr">
        <is>
          <t>제조소상세 미매칭</t>
        </is>
      </c>
      <c r="H2470" s="17" t="inlineStr">
        <is>
          <t>Y</t>
        </is>
      </c>
      <c r="I2470" s="17" t="inlineStr">
        <is>
          <t>회사 홈페이지</t>
        </is>
      </c>
      <c r="J2470" s="17" t="inlineStr">
        <is>
          <t>홈페이지에서 대표번호 확인</t>
        </is>
      </c>
      <c r="K2470" s="17" t="inlineStr">
        <is>
          <t>낮음</t>
        </is>
      </c>
      <c r="L2470" s="17" t="inlineStr"/>
    </row>
    <row r="2471">
      <c r="A2471" s="17" t="inlineStr">
        <is>
          <t>C397</t>
        </is>
      </c>
      <c r="B2471" s="17" t="inlineStr"/>
      <c r="C2471" s="17" t="inlineStr">
        <is>
          <t>(주)우진가스텍</t>
        </is>
      </c>
      <c r="D2471" s="17" t="inlineStr"/>
      <c r="E2471" s="17" t="inlineStr">
        <is>
          <t>최근매출(억원)</t>
        </is>
      </c>
      <c r="F2471" s="17" t="inlineStr">
        <is>
          <t>미확인</t>
        </is>
      </c>
      <c r="G2471" s="17" t="inlineStr">
        <is>
          <t>웹조사 자동화 실패(세션한도)</t>
        </is>
      </c>
      <c r="H2471" s="17" t="inlineStr">
        <is>
          <t>N</t>
        </is>
      </c>
      <c r="I2471" s="17" t="inlineStr">
        <is>
          <t>DART 사업보고서</t>
        </is>
      </c>
      <c r="J2471" s="17" t="inlineStr">
        <is>
          <t>DART 사업보고서에서 확인</t>
        </is>
      </c>
      <c r="K2471" s="17" t="inlineStr">
        <is>
          <t>낮음</t>
        </is>
      </c>
      <c r="L2471" s="17" t="inlineStr"/>
    </row>
    <row r="2472">
      <c r="A2472" s="17" t="inlineStr">
        <is>
          <t>C397</t>
        </is>
      </c>
      <c r="B2472" s="17" t="inlineStr"/>
      <c r="C2472" s="17" t="inlineStr">
        <is>
          <t>(주)우진가스텍</t>
        </is>
      </c>
      <c r="D2472" s="17" t="inlineStr"/>
      <c r="E2472" s="17" t="inlineStr">
        <is>
          <t>종업원수</t>
        </is>
      </c>
      <c r="F2472" s="17" t="inlineStr">
        <is>
          <t>미확인</t>
        </is>
      </c>
      <c r="G2472" s="17" t="inlineStr">
        <is>
          <t>웹조사 자동화 실패(세션한도)</t>
        </is>
      </c>
      <c r="H2472" s="17" t="inlineStr">
        <is>
          <t>N</t>
        </is>
      </c>
      <c r="I2472" s="17" t="inlineStr">
        <is>
          <t>DART/채용</t>
        </is>
      </c>
      <c r="J2472" s="17" t="inlineStr">
        <is>
          <t>DART/채용에서 확인</t>
        </is>
      </c>
      <c r="K2472" s="17" t="inlineStr">
        <is>
          <t>낮음</t>
        </is>
      </c>
      <c r="L2472" s="17" t="inlineStr"/>
    </row>
    <row r="2473">
      <c r="A2473" s="17" t="inlineStr">
        <is>
          <t>C397</t>
        </is>
      </c>
      <c r="B2473" s="17" t="inlineStr"/>
      <c r="C2473" s="17" t="inlineStr">
        <is>
          <t>(주)우진가스텍</t>
        </is>
      </c>
      <c r="D2473" s="17" t="inlineStr"/>
      <c r="E2473" s="17" t="inlineStr">
        <is>
          <t>수출여부</t>
        </is>
      </c>
      <c r="F2473" s="17" t="inlineStr">
        <is>
          <t>미확인</t>
        </is>
      </c>
      <c r="G2473" s="17" t="inlineStr">
        <is>
          <t>웹조사 자동화 실패(세션한도)</t>
        </is>
      </c>
      <c r="H2473" s="17" t="inlineStr">
        <is>
          <t>N</t>
        </is>
      </c>
      <c r="I2473" s="17" t="inlineStr">
        <is>
          <t>회사 공시·홈페이지</t>
        </is>
      </c>
      <c r="J2473" s="17" t="inlineStr">
        <is>
          <t>회사 공시·홈페이지에서 확인</t>
        </is>
      </c>
      <c r="K2473" s="17" t="inlineStr">
        <is>
          <t>낮음</t>
        </is>
      </c>
      <c r="L2473" s="17" t="inlineStr"/>
    </row>
    <row r="2474">
      <c r="A2474" s="17" t="inlineStr">
        <is>
          <t>C397</t>
        </is>
      </c>
      <c r="B2474" s="17" t="inlineStr"/>
      <c r="C2474" s="17" t="inlineStr">
        <is>
          <t>(주)우진가스텍</t>
        </is>
      </c>
      <c r="D2474" s="17" t="inlineStr"/>
      <c r="E2474" s="17" t="inlineStr">
        <is>
          <t>FDA·EMA 실사</t>
        </is>
      </c>
      <c r="F2474" s="17" t="inlineStr">
        <is>
          <t>미확인</t>
        </is>
      </c>
      <c r="G2474" s="17" t="inlineStr">
        <is>
          <t>웹조사 자동화 실패(세션한도)</t>
        </is>
      </c>
      <c r="H2474" s="17" t="inlineStr">
        <is>
          <t>N</t>
        </is>
      </c>
      <c r="I2474" s="17" t="inlineStr">
        <is>
          <t>FDA Inspection DB</t>
        </is>
      </c>
      <c r="J2474" s="17" t="inlineStr">
        <is>
          <t>FDA Inspection DB에서 확인</t>
        </is>
      </c>
      <c r="K2474" s="17" t="inlineStr">
        <is>
          <t>낮음</t>
        </is>
      </c>
      <c r="L2474" s="17" t="inlineStr"/>
    </row>
    <row r="2475">
      <c r="A2475" s="17" t="inlineStr">
        <is>
          <t>C397</t>
        </is>
      </c>
      <c r="B2475" s="17" t="inlineStr"/>
      <c r="C2475" s="17" t="inlineStr">
        <is>
          <t>(주)우진가스텍</t>
        </is>
      </c>
      <c r="D2475" s="17" t="inlineStr"/>
      <c r="E2475" s="17" t="inlineStr">
        <is>
          <t>CMO·CDMO</t>
        </is>
      </c>
      <c r="F2475" s="17" t="inlineStr">
        <is>
          <t>미확인</t>
        </is>
      </c>
      <c r="G2475" s="17" t="inlineStr">
        <is>
          <t>웹조사 자동화 실패(세션한도)</t>
        </is>
      </c>
      <c r="H2475" s="17" t="inlineStr">
        <is>
          <t>N</t>
        </is>
      </c>
      <c r="I2475" s="17" t="inlineStr">
        <is>
          <t>회사 홈페이지</t>
        </is>
      </c>
      <c r="J2475" s="17" t="inlineStr">
        <is>
          <t>회사 홈페이지에서 확인</t>
        </is>
      </c>
      <c r="K2475" s="17" t="inlineStr">
        <is>
          <t>낮음</t>
        </is>
      </c>
      <c r="L2475" s="17" t="inlineStr"/>
    </row>
    <row r="2476">
      <c r="A2476" s="17" t="inlineStr">
        <is>
          <t>C397</t>
        </is>
      </c>
      <c r="B2476" s="17" t="inlineStr"/>
      <c r="C2476" s="17" t="inlineStr">
        <is>
          <t>(주)우진가스텍</t>
        </is>
      </c>
      <c r="D2476" s="17" t="inlineStr"/>
      <c r="E2476" s="17" t="inlineStr">
        <is>
          <t>신공장·증설</t>
        </is>
      </c>
      <c r="F2476" s="17" t="inlineStr">
        <is>
          <t>미확인</t>
        </is>
      </c>
      <c r="G2476" s="17" t="inlineStr">
        <is>
          <t>웹조사 자동화 실패(세션한도)</t>
        </is>
      </c>
      <c r="H2476" s="17" t="inlineStr">
        <is>
          <t>N</t>
        </is>
      </c>
      <c r="I2476" s="17" t="inlineStr">
        <is>
          <t>언론·지자체 발표</t>
        </is>
      </c>
      <c r="J2476" s="17" t="inlineStr">
        <is>
          <t>언론·지자체 발표에서 확인</t>
        </is>
      </c>
      <c r="K2476" s="17" t="inlineStr">
        <is>
          <t>낮음</t>
        </is>
      </c>
      <c r="L2476" s="17" t="inlineStr"/>
    </row>
    <row r="2477">
      <c r="A2477" s="17" t="inlineStr">
        <is>
          <t>C398</t>
        </is>
      </c>
      <c r="B2477" s="17" t="inlineStr"/>
      <c r="C2477" s="17" t="inlineStr">
        <is>
          <t>의료법인한라의료재단</t>
        </is>
      </c>
      <c r="D2477" s="17" t="inlineStr"/>
      <c r="E2477" s="17" t="inlineStr">
        <is>
          <t>최근매출(억원)</t>
        </is>
      </c>
      <c r="F2477" s="17" t="inlineStr">
        <is>
          <t>미확인</t>
        </is>
      </c>
      <c r="G2477" s="17" t="inlineStr">
        <is>
          <t>웹조사 자동화 실패(세션한도)</t>
        </is>
      </c>
      <c r="H2477" s="17" t="inlineStr">
        <is>
          <t>N</t>
        </is>
      </c>
      <c r="I2477" s="17" t="inlineStr">
        <is>
          <t>DART 사업보고서</t>
        </is>
      </c>
      <c r="J2477" s="17" t="inlineStr">
        <is>
          <t>DART 사업보고서에서 확인</t>
        </is>
      </c>
      <c r="K2477" s="17" t="inlineStr">
        <is>
          <t>낮음</t>
        </is>
      </c>
      <c r="L2477" s="17" t="inlineStr"/>
    </row>
    <row r="2478">
      <c r="A2478" s="17" t="inlineStr">
        <is>
          <t>C398</t>
        </is>
      </c>
      <c r="B2478" s="17" t="inlineStr"/>
      <c r="C2478" s="17" t="inlineStr">
        <is>
          <t>의료법인한라의료재단</t>
        </is>
      </c>
      <c r="D2478" s="17" t="inlineStr"/>
      <c r="E2478" s="17" t="inlineStr">
        <is>
          <t>종업원수</t>
        </is>
      </c>
      <c r="F2478" s="17" t="inlineStr">
        <is>
          <t>미확인</t>
        </is>
      </c>
      <c r="G2478" s="17" t="inlineStr">
        <is>
          <t>웹조사 자동화 실패(세션한도)</t>
        </is>
      </c>
      <c r="H2478" s="17" t="inlineStr">
        <is>
          <t>N</t>
        </is>
      </c>
      <c r="I2478" s="17" t="inlineStr">
        <is>
          <t>DART/채용</t>
        </is>
      </c>
      <c r="J2478" s="17" t="inlineStr">
        <is>
          <t>DART/채용에서 확인</t>
        </is>
      </c>
      <c r="K2478" s="17" t="inlineStr">
        <is>
          <t>낮음</t>
        </is>
      </c>
      <c r="L2478" s="17" t="inlineStr"/>
    </row>
    <row r="2479">
      <c r="A2479" s="17" t="inlineStr">
        <is>
          <t>C398</t>
        </is>
      </c>
      <c r="B2479" s="17" t="inlineStr"/>
      <c r="C2479" s="17" t="inlineStr">
        <is>
          <t>의료법인한라의료재단</t>
        </is>
      </c>
      <c r="D2479" s="17" t="inlineStr"/>
      <c r="E2479" s="17" t="inlineStr">
        <is>
          <t>수출여부</t>
        </is>
      </c>
      <c r="F2479" s="17" t="inlineStr">
        <is>
          <t>미확인</t>
        </is>
      </c>
      <c r="G2479" s="17" t="inlineStr">
        <is>
          <t>웹조사 자동화 실패(세션한도)</t>
        </is>
      </c>
      <c r="H2479" s="17" t="inlineStr">
        <is>
          <t>N</t>
        </is>
      </c>
      <c r="I2479" s="17" t="inlineStr">
        <is>
          <t>회사 공시·홈페이지</t>
        </is>
      </c>
      <c r="J2479" s="17" t="inlineStr">
        <is>
          <t>회사 공시·홈페이지에서 확인</t>
        </is>
      </c>
      <c r="K2479" s="17" t="inlineStr">
        <is>
          <t>낮음</t>
        </is>
      </c>
      <c r="L2479" s="17" t="inlineStr"/>
    </row>
    <row r="2480">
      <c r="A2480" s="17" t="inlineStr">
        <is>
          <t>C398</t>
        </is>
      </c>
      <c r="B2480" s="17" t="inlineStr"/>
      <c r="C2480" s="17" t="inlineStr">
        <is>
          <t>의료법인한라의료재단</t>
        </is>
      </c>
      <c r="D2480" s="17" t="inlineStr"/>
      <c r="E2480" s="17" t="inlineStr">
        <is>
          <t>FDA·EMA 실사</t>
        </is>
      </c>
      <c r="F2480" s="17" t="inlineStr">
        <is>
          <t>미확인</t>
        </is>
      </c>
      <c r="G2480" s="17" t="inlineStr">
        <is>
          <t>웹조사 자동화 실패(세션한도)</t>
        </is>
      </c>
      <c r="H2480" s="17" t="inlineStr">
        <is>
          <t>N</t>
        </is>
      </c>
      <c r="I2480" s="17" t="inlineStr">
        <is>
          <t>FDA Inspection DB</t>
        </is>
      </c>
      <c r="J2480" s="17" t="inlineStr">
        <is>
          <t>FDA Inspection DB에서 확인</t>
        </is>
      </c>
      <c r="K2480" s="17" t="inlineStr">
        <is>
          <t>낮음</t>
        </is>
      </c>
      <c r="L2480" s="17" t="inlineStr"/>
    </row>
    <row r="2481">
      <c r="A2481" s="17" t="inlineStr">
        <is>
          <t>C398</t>
        </is>
      </c>
      <c r="B2481" s="17" t="inlineStr"/>
      <c r="C2481" s="17" t="inlineStr">
        <is>
          <t>의료법인한라의료재단</t>
        </is>
      </c>
      <c r="D2481" s="17" t="inlineStr"/>
      <c r="E2481" s="17" t="inlineStr">
        <is>
          <t>CMO·CDMO</t>
        </is>
      </c>
      <c r="F2481" s="17" t="inlineStr">
        <is>
          <t>미확인</t>
        </is>
      </c>
      <c r="G2481" s="17" t="inlineStr">
        <is>
          <t>웹조사 자동화 실패(세션한도)</t>
        </is>
      </c>
      <c r="H2481" s="17" t="inlineStr">
        <is>
          <t>N</t>
        </is>
      </c>
      <c r="I2481" s="17" t="inlineStr">
        <is>
          <t>회사 홈페이지</t>
        </is>
      </c>
      <c r="J2481" s="17" t="inlineStr">
        <is>
          <t>회사 홈페이지에서 확인</t>
        </is>
      </c>
      <c r="K2481" s="17" t="inlineStr">
        <is>
          <t>낮음</t>
        </is>
      </c>
      <c r="L2481" s="17" t="inlineStr"/>
    </row>
    <row r="2482">
      <c r="A2482" s="17" t="inlineStr">
        <is>
          <t>C398</t>
        </is>
      </c>
      <c r="B2482" s="17" t="inlineStr"/>
      <c r="C2482" s="17" t="inlineStr">
        <is>
          <t>의료법인한라의료재단</t>
        </is>
      </c>
      <c r="D2482" s="17" t="inlineStr"/>
      <c r="E2482" s="17" t="inlineStr">
        <is>
          <t>신공장·증설</t>
        </is>
      </c>
      <c r="F2482" s="17" t="inlineStr">
        <is>
          <t>미확인</t>
        </is>
      </c>
      <c r="G2482" s="17" t="inlineStr">
        <is>
          <t>웹조사 자동화 실패(세션한도)</t>
        </is>
      </c>
      <c r="H2482" s="17" t="inlineStr">
        <is>
          <t>N</t>
        </is>
      </c>
      <c r="I2482" s="17" t="inlineStr">
        <is>
          <t>언론·지자체 발표</t>
        </is>
      </c>
      <c r="J2482" s="17" t="inlineStr">
        <is>
          <t>언론·지자체 발표에서 확인</t>
        </is>
      </c>
      <c r="K2482" s="17" t="inlineStr">
        <is>
          <t>낮음</t>
        </is>
      </c>
      <c r="L2482" s="17" t="inlineStr"/>
    </row>
    <row r="2483">
      <c r="A2483" s="17" t="inlineStr">
        <is>
          <t>C398</t>
        </is>
      </c>
      <c r="B2483" s="17" t="inlineStr"/>
      <c r="C2483" s="17" t="inlineStr">
        <is>
          <t>의료법인한라의료재단</t>
        </is>
      </c>
      <c r="D2483" s="17" t="inlineStr"/>
      <c r="E2483" s="17" t="inlineStr">
        <is>
          <t>대표전화</t>
        </is>
      </c>
      <c r="F2483" s="17" t="inlineStr">
        <is>
          <t>미확인</t>
        </is>
      </c>
      <c r="G2483" s="17" t="inlineStr">
        <is>
          <t>제조소상세 미매칭</t>
        </is>
      </c>
      <c r="H2483" s="17" t="inlineStr">
        <is>
          <t>Y</t>
        </is>
      </c>
      <c r="I2483" s="17" t="inlineStr">
        <is>
          <t>회사 홈페이지</t>
        </is>
      </c>
      <c r="J2483" s="17" t="inlineStr">
        <is>
          <t>홈페이지에서 대표번호 확인</t>
        </is>
      </c>
      <c r="K2483" s="17" t="inlineStr">
        <is>
          <t>낮음</t>
        </is>
      </c>
      <c r="L2483" s="17" t="inlineStr"/>
    </row>
    <row r="2484">
      <c r="A2484" s="17" t="inlineStr">
        <is>
          <t>C399</t>
        </is>
      </c>
      <c r="B2484" s="17" t="inlineStr"/>
      <c r="C2484" s="17" t="inlineStr">
        <is>
          <t>안국약품(주)</t>
        </is>
      </c>
      <c r="D2484" s="17" t="inlineStr"/>
      <c r="E2484" s="17" t="inlineStr">
        <is>
          <t>최근매출(억원)</t>
        </is>
      </c>
      <c r="F2484" s="17" t="inlineStr">
        <is>
          <t>미확인</t>
        </is>
      </c>
      <c r="G2484" s="17" t="inlineStr">
        <is>
          <t>웹조사 자동화 실패(세션한도)</t>
        </is>
      </c>
      <c r="H2484" s="17" t="inlineStr">
        <is>
          <t>N</t>
        </is>
      </c>
      <c r="I2484" s="17" t="inlineStr">
        <is>
          <t>DART 사업보고서</t>
        </is>
      </c>
      <c r="J2484" s="17" t="inlineStr">
        <is>
          <t>DART 사업보고서에서 확인</t>
        </is>
      </c>
      <c r="K2484" s="17" t="inlineStr">
        <is>
          <t>낮음</t>
        </is>
      </c>
      <c r="L2484" s="17" t="inlineStr"/>
    </row>
    <row r="2485">
      <c r="A2485" s="17" t="inlineStr">
        <is>
          <t>C399</t>
        </is>
      </c>
      <c r="B2485" s="17" t="inlineStr"/>
      <c r="C2485" s="17" t="inlineStr">
        <is>
          <t>안국약품(주)</t>
        </is>
      </c>
      <c r="D2485" s="17" t="inlineStr"/>
      <c r="E2485" s="17" t="inlineStr">
        <is>
          <t>종업원수</t>
        </is>
      </c>
      <c r="F2485" s="17" t="inlineStr">
        <is>
          <t>미확인</t>
        </is>
      </c>
      <c r="G2485" s="17" t="inlineStr">
        <is>
          <t>웹조사 자동화 실패(세션한도)</t>
        </is>
      </c>
      <c r="H2485" s="17" t="inlineStr">
        <is>
          <t>N</t>
        </is>
      </c>
      <c r="I2485" s="17" t="inlineStr">
        <is>
          <t>DART/채용</t>
        </is>
      </c>
      <c r="J2485" s="17" t="inlineStr">
        <is>
          <t>DART/채용에서 확인</t>
        </is>
      </c>
      <c r="K2485" s="17" t="inlineStr">
        <is>
          <t>낮음</t>
        </is>
      </c>
      <c r="L2485" s="17" t="inlineStr"/>
    </row>
    <row r="2486">
      <c r="A2486" s="17" t="inlineStr">
        <is>
          <t>C399</t>
        </is>
      </c>
      <c r="B2486" s="17" t="inlineStr"/>
      <c r="C2486" s="17" t="inlineStr">
        <is>
          <t>안국약품(주)</t>
        </is>
      </c>
      <c r="D2486" s="17" t="inlineStr"/>
      <c r="E2486" s="17" t="inlineStr">
        <is>
          <t>수출여부</t>
        </is>
      </c>
      <c r="F2486" s="17" t="inlineStr">
        <is>
          <t>미확인</t>
        </is>
      </c>
      <c r="G2486" s="17" t="inlineStr">
        <is>
          <t>웹조사 자동화 실패(세션한도)</t>
        </is>
      </c>
      <c r="H2486" s="17" t="inlineStr">
        <is>
          <t>N</t>
        </is>
      </c>
      <c r="I2486" s="17" t="inlineStr">
        <is>
          <t>회사 공시·홈페이지</t>
        </is>
      </c>
      <c r="J2486" s="17" t="inlineStr">
        <is>
          <t>회사 공시·홈페이지에서 확인</t>
        </is>
      </c>
      <c r="K2486" s="17" t="inlineStr">
        <is>
          <t>낮음</t>
        </is>
      </c>
      <c r="L2486" s="17" t="inlineStr"/>
    </row>
    <row r="2487">
      <c r="A2487" s="17" t="inlineStr">
        <is>
          <t>C399</t>
        </is>
      </c>
      <c r="B2487" s="17" t="inlineStr"/>
      <c r="C2487" s="17" t="inlineStr">
        <is>
          <t>안국약품(주)</t>
        </is>
      </c>
      <c r="D2487" s="17" t="inlineStr"/>
      <c r="E2487" s="17" t="inlineStr">
        <is>
          <t>FDA·EMA 실사</t>
        </is>
      </c>
      <c r="F2487" s="17" t="inlineStr">
        <is>
          <t>미확인</t>
        </is>
      </c>
      <c r="G2487" s="17" t="inlineStr">
        <is>
          <t>웹조사 자동화 실패(세션한도)</t>
        </is>
      </c>
      <c r="H2487" s="17" t="inlineStr">
        <is>
          <t>N</t>
        </is>
      </c>
      <c r="I2487" s="17" t="inlineStr">
        <is>
          <t>FDA Inspection DB</t>
        </is>
      </c>
      <c r="J2487" s="17" t="inlineStr">
        <is>
          <t>FDA Inspection DB에서 확인</t>
        </is>
      </c>
      <c r="K2487" s="17" t="inlineStr">
        <is>
          <t>낮음</t>
        </is>
      </c>
      <c r="L2487" s="17" t="inlineStr"/>
    </row>
    <row r="2488">
      <c r="A2488" s="17" t="inlineStr">
        <is>
          <t>C399</t>
        </is>
      </c>
      <c r="B2488" s="17" t="inlineStr"/>
      <c r="C2488" s="17" t="inlineStr">
        <is>
          <t>안국약품(주)</t>
        </is>
      </c>
      <c r="D2488" s="17" t="inlineStr"/>
      <c r="E2488" s="17" t="inlineStr">
        <is>
          <t>CMO·CDMO</t>
        </is>
      </c>
      <c r="F2488" s="17" t="inlineStr">
        <is>
          <t>미확인</t>
        </is>
      </c>
      <c r="G2488" s="17" t="inlineStr">
        <is>
          <t>웹조사 자동화 실패(세션한도)</t>
        </is>
      </c>
      <c r="H2488" s="17" t="inlineStr">
        <is>
          <t>N</t>
        </is>
      </c>
      <c r="I2488" s="17" t="inlineStr">
        <is>
          <t>회사 홈페이지</t>
        </is>
      </c>
      <c r="J2488" s="17" t="inlineStr">
        <is>
          <t>회사 홈페이지에서 확인</t>
        </is>
      </c>
      <c r="K2488" s="17" t="inlineStr">
        <is>
          <t>낮음</t>
        </is>
      </c>
      <c r="L2488" s="17" t="inlineStr"/>
    </row>
    <row r="2489">
      <c r="A2489" s="17" t="inlineStr">
        <is>
          <t>C399</t>
        </is>
      </c>
      <c r="B2489" s="17" t="inlineStr"/>
      <c r="C2489" s="17" t="inlineStr">
        <is>
          <t>안국약품(주)</t>
        </is>
      </c>
      <c r="D2489" s="17" t="inlineStr"/>
      <c r="E2489" s="17" t="inlineStr">
        <is>
          <t>신공장·증설</t>
        </is>
      </c>
      <c r="F2489" s="17" t="inlineStr">
        <is>
          <t>미확인</t>
        </is>
      </c>
      <c r="G2489" s="17" t="inlineStr">
        <is>
          <t>웹조사 자동화 실패(세션한도)</t>
        </is>
      </c>
      <c r="H2489" s="17" t="inlineStr">
        <is>
          <t>N</t>
        </is>
      </c>
      <c r="I2489" s="17" t="inlineStr">
        <is>
          <t>언론·지자체 발표</t>
        </is>
      </c>
      <c r="J2489" s="17" t="inlineStr">
        <is>
          <t>언론·지자체 발표에서 확인</t>
        </is>
      </c>
      <c r="K2489" s="17" t="inlineStr">
        <is>
          <t>낮음</t>
        </is>
      </c>
      <c r="L2489" s="17" t="inlineStr"/>
    </row>
    <row r="2490">
      <c r="A2490" s="17" t="inlineStr">
        <is>
          <t>C400</t>
        </is>
      </c>
      <c r="B2490" s="17" t="inlineStr"/>
      <c r="C2490" s="17" t="inlineStr">
        <is>
          <t>엔비케이제약(주)</t>
        </is>
      </c>
      <c r="D2490" s="17" t="inlineStr"/>
      <c r="E2490" s="17" t="inlineStr">
        <is>
          <t>최근매출(억원)</t>
        </is>
      </c>
      <c r="F2490" s="17" t="inlineStr">
        <is>
          <t>미확인</t>
        </is>
      </c>
      <c r="G2490" s="17" t="inlineStr">
        <is>
          <t>웹조사 자동화 실패(세션한도)</t>
        </is>
      </c>
      <c r="H2490" s="17" t="inlineStr">
        <is>
          <t>N</t>
        </is>
      </c>
      <c r="I2490" s="17" t="inlineStr">
        <is>
          <t>DART 사업보고서</t>
        </is>
      </c>
      <c r="J2490" s="17" t="inlineStr">
        <is>
          <t>DART 사업보고서에서 확인</t>
        </is>
      </c>
      <c r="K2490" s="17" t="inlineStr">
        <is>
          <t>낮음</t>
        </is>
      </c>
      <c r="L2490" s="17" t="inlineStr"/>
    </row>
    <row r="2491">
      <c r="A2491" s="17" t="inlineStr">
        <is>
          <t>C400</t>
        </is>
      </c>
      <c r="B2491" s="17" t="inlineStr"/>
      <c r="C2491" s="17" t="inlineStr">
        <is>
          <t>엔비케이제약(주)</t>
        </is>
      </c>
      <c r="D2491" s="17" t="inlineStr"/>
      <c r="E2491" s="17" t="inlineStr">
        <is>
          <t>종업원수</t>
        </is>
      </c>
      <c r="F2491" s="17" t="inlineStr">
        <is>
          <t>미확인</t>
        </is>
      </c>
      <c r="G2491" s="17" t="inlineStr">
        <is>
          <t>웹조사 자동화 실패(세션한도)</t>
        </is>
      </c>
      <c r="H2491" s="17" t="inlineStr">
        <is>
          <t>N</t>
        </is>
      </c>
      <c r="I2491" s="17" t="inlineStr">
        <is>
          <t>DART/채용</t>
        </is>
      </c>
      <c r="J2491" s="17" t="inlineStr">
        <is>
          <t>DART/채용에서 확인</t>
        </is>
      </c>
      <c r="K2491" s="17" t="inlineStr">
        <is>
          <t>낮음</t>
        </is>
      </c>
      <c r="L2491" s="17" t="inlineStr"/>
    </row>
    <row r="2492">
      <c r="A2492" s="17" t="inlineStr">
        <is>
          <t>C400</t>
        </is>
      </c>
      <c r="B2492" s="17" t="inlineStr"/>
      <c r="C2492" s="17" t="inlineStr">
        <is>
          <t>엔비케이제약(주)</t>
        </is>
      </c>
      <c r="D2492" s="17" t="inlineStr"/>
      <c r="E2492" s="17" t="inlineStr">
        <is>
          <t>수출여부</t>
        </is>
      </c>
      <c r="F2492" s="17" t="inlineStr">
        <is>
          <t>미확인</t>
        </is>
      </c>
      <c r="G2492" s="17" t="inlineStr">
        <is>
          <t>웹조사 자동화 실패(세션한도)</t>
        </is>
      </c>
      <c r="H2492" s="17" t="inlineStr">
        <is>
          <t>N</t>
        </is>
      </c>
      <c r="I2492" s="17" t="inlineStr">
        <is>
          <t>회사 공시·홈페이지</t>
        </is>
      </c>
      <c r="J2492" s="17" t="inlineStr">
        <is>
          <t>회사 공시·홈페이지에서 확인</t>
        </is>
      </c>
      <c r="K2492" s="17" t="inlineStr">
        <is>
          <t>낮음</t>
        </is>
      </c>
      <c r="L2492" s="17" t="inlineStr"/>
    </row>
    <row r="2493">
      <c r="A2493" s="17" t="inlineStr">
        <is>
          <t>C400</t>
        </is>
      </c>
      <c r="B2493" s="17" t="inlineStr"/>
      <c r="C2493" s="17" t="inlineStr">
        <is>
          <t>엔비케이제약(주)</t>
        </is>
      </c>
      <c r="D2493" s="17" t="inlineStr"/>
      <c r="E2493" s="17" t="inlineStr">
        <is>
          <t>FDA·EMA 실사</t>
        </is>
      </c>
      <c r="F2493" s="17" t="inlineStr">
        <is>
          <t>미확인</t>
        </is>
      </c>
      <c r="G2493" s="17" t="inlineStr">
        <is>
          <t>웹조사 자동화 실패(세션한도)</t>
        </is>
      </c>
      <c r="H2493" s="17" t="inlineStr">
        <is>
          <t>N</t>
        </is>
      </c>
      <c r="I2493" s="17" t="inlineStr">
        <is>
          <t>FDA Inspection DB</t>
        </is>
      </c>
      <c r="J2493" s="17" t="inlineStr">
        <is>
          <t>FDA Inspection DB에서 확인</t>
        </is>
      </c>
      <c r="K2493" s="17" t="inlineStr">
        <is>
          <t>낮음</t>
        </is>
      </c>
      <c r="L2493" s="17" t="inlineStr"/>
    </row>
    <row r="2494">
      <c r="A2494" s="17" t="inlineStr">
        <is>
          <t>C400</t>
        </is>
      </c>
      <c r="B2494" s="17" t="inlineStr"/>
      <c r="C2494" s="17" t="inlineStr">
        <is>
          <t>엔비케이제약(주)</t>
        </is>
      </c>
      <c r="D2494" s="17" t="inlineStr"/>
      <c r="E2494" s="17" t="inlineStr">
        <is>
          <t>CMO·CDMO</t>
        </is>
      </c>
      <c r="F2494" s="17" t="inlineStr">
        <is>
          <t>미확인</t>
        </is>
      </c>
      <c r="G2494" s="17" t="inlineStr">
        <is>
          <t>웹조사 자동화 실패(세션한도)</t>
        </is>
      </c>
      <c r="H2494" s="17" t="inlineStr">
        <is>
          <t>N</t>
        </is>
      </c>
      <c r="I2494" s="17" t="inlineStr">
        <is>
          <t>회사 홈페이지</t>
        </is>
      </c>
      <c r="J2494" s="17" t="inlineStr">
        <is>
          <t>회사 홈페이지에서 확인</t>
        </is>
      </c>
      <c r="K2494" s="17" t="inlineStr">
        <is>
          <t>낮음</t>
        </is>
      </c>
      <c r="L2494" s="17" t="inlineStr"/>
    </row>
    <row r="2495">
      <c r="A2495" s="17" t="inlineStr">
        <is>
          <t>C400</t>
        </is>
      </c>
      <c r="B2495" s="17" t="inlineStr"/>
      <c r="C2495" s="17" t="inlineStr">
        <is>
          <t>엔비케이제약(주)</t>
        </is>
      </c>
      <c r="D2495" s="17" t="inlineStr"/>
      <c r="E2495" s="17" t="inlineStr">
        <is>
          <t>신공장·증설</t>
        </is>
      </c>
      <c r="F2495" s="17" t="inlineStr">
        <is>
          <t>미확인</t>
        </is>
      </c>
      <c r="G2495" s="17" t="inlineStr">
        <is>
          <t>웹조사 자동화 실패(세션한도)</t>
        </is>
      </c>
      <c r="H2495" s="17" t="inlineStr">
        <is>
          <t>N</t>
        </is>
      </c>
      <c r="I2495" s="17" t="inlineStr">
        <is>
          <t>언론·지자체 발표</t>
        </is>
      </c>
      <c r="J2495" s="17" t="inlineStr">
        <is>
          <t>언론·지자체 발표에서 확인</t>
        </is>
      </c>
      <c r="K2495" s="17" t="inlineStr">
        <is>
          <t>낮음</t>
        </is>
      </c>
      <c r="L2495" s="17" t="inlineStr"/>
    </row>
    <row r="2496">
      <c r="A2496" s="17" t="inlineStr">
        <is>
          <t>C401</t>
        </is>
      </c>
      <c r="B2496" s="17" t="inlineStr"/>
      <c r="C2496" s="17" t="inlineStr">
        <is>
          <t>(주)화승가스테크</t>
        </is>
      </c>
      <c r="D2496" s="17" t="inlineStr"/>
      <c r="E2496" s="17" t="inlineStr">
        <is>
          <t>최근매출(억원)</t>
        </is>
      </c>
      <c r="F2496" s="17" t="inlineStr">
        <is>
          <t>미확인</t>
        </is>
      </c>
      <c r="G2496" s="17" t="inlineStr">
        <is>
          <t>웹조사 자동화 실패(세션한도)</t>
        </is>
      </c>
      <c r="H2496" s="17" t="inlineStr">
        <is>
          <t>N</t>
        </is>
      </c>
      <c r="I2496" s="17" t="inlineStr">
        <is>
          <t>DART 사업보고서</t>
        </is>
      </c>
      <c r="J2496" s="17" t="inlineStr">
        <is>
          <t>DART 사업보고서에서 확인</t>
        </is>
      </c>
      <c r="K2496" s="17" t="inlineStr">
        <is>
          <t>낮음</t>
        </is>
      </c>
      <c r="L2496" s="17" t="inlineStr"/>
    </row>
    <row r="2497">
      <c r="A2497" s="17" t="inlineStr">
        <is>
          <t>C401</t>
        </is>
      </c>
      <c r="B2497" s="17" t="inlineStr"/>
      <c r="C2497" s="17" t="inlineStr">
        <is>
          <t>(주)화승가스테크</t>
        </is>
      </c>
      <c r="D2497" s="17" t="inlineStr"/>
      <c r="E2497" s="17" t="inlineStr">
        <is>
          <t>종업원수</t>
        </is>
      </c>
      <c r="F2497" s="17" t="inlineStr">
        <is>
          <t>미확인</t>
        </is>
      </c>
      <c r="G2497" s="17" t="inlineStr">
        <is>
          <t>웹조사 자동화 실패(세션한도)</t>
        </is>
      </c>
      <c r="H2497" s="17" t="inlineStr">
        <is>
          <t>N</t>
        </is>
      </c>
      <c r="I2497" s="17" t="inlineStr">
        <is>
          <t>DART/채용</t>
        </is>
      </c>
      <c r="J2497" s="17" t="inlineStr">
        <is>
          <t>DART/채용에서 확인</t>
        </is>
      </c>
      <c r="K2497" s="17" t="inlineStr">
        <is>
          <t>낮음</t>
        </is>
      </c>
      <c r="L2497" s="17" t="inlineStr"/>
    </row>
    <row r="2498">
      <c r="A2498" s="17" t="inlineStr">
        <is>
          <t>C401</t>
        </is>
      </c>
      <c r="B2498" s="17" t="inlineStr"/>
      <c r="C2498" s="17" t="inlineStr">
        <is>
          <t>(주)화승가스테크</t>
        </is>
      </c>
      <c r="D2498" s="17" t="inlineStr"/>
      <c r="E2498" s="17" t="inlineStr">
        <is>
          <t>수출여부</t>
        </is>
      </c>
      <c r="F2498" s="17" t="inlineStr">
        <is>
          <t>미확인</t>
        </is>
      </c>
      <c r="G2498" s="17" t="inlineStr">
        <is>
          <t>웹조사 자동화 실패(세션한도)</t>
        </is>
      </c>
      <c r="H2498" s="17" t="inlineStr">
        <is>
          <t>N</t>
        </is>
      </c>
      <c r="I2498" s="17" t="inlineStr">
        <is>
          <t>회사 공시·홈페이지</t>
        </is>
      </c>
      <c r="J2498" s="17" t="inlineStr">
        <is>
          <t>회사 공시·홈페이지에서 확인</t>
        </is>
      </c>
      <c r="K2498" s="17" t="inlineStr">
        <is>
          <t>낮음</t>
        </is>
      </c>
      <c r="L2498" s="17" t="inlineStr"/>
    </row>
    <row r="2499">
      <c r="A2499" s="17" t="inlineStr">
        <is>
          <t>C401</t>
        </is>
      </c>
      <c r="B2499" s="17" t="inlineStr"/>
      <c r="C2499" s="17" t="inlineStr">
        <is>
          <t>(주)화승가스테크</t>
        </is>
      </c>
      <c r="D2499" s="17" t="inlineStr"/>
      <c r="E2499" s="17" t="inlineStr">
        <is>
          <t>FDA·EMA 실사</t>
        </is>
      </c>
      <c r="F2499" s="17" t="inlineStr">
        <is>
          <t>미확인</t>
        </is>
      </c>
      <c r="G2499" s="17" t="inlineStr">
        <is>
          <t>웹조사 자동화 실패(세션한도)</t>
        </is>
      </c>
      <c r="H2499" s="17" t="inlineStr">
        <is>
          <t>N</t>
        </is>
      </c>
      <c r="I2499" s="17" t="inlineStr">
        <is>
          <t>FDA Inspection DB</t>
        </is>
      </c>
      <c r="J2499" s="17" t="inlineStr">
        <is>
          <t>FDA Inspection DB에서 확인</t>
        </is>
      </c>
      <c r="K2499" s="17" t="inlineStr">
        <is>
          <t>낮음</t>
        </is>
      </c>
      <c r="L2499" s="17" t="inlineStr"/>
    </row>
    <row r="2500">
      <c r="A2500" s="17" t="inlineStr">
        <is>
          <t>C401</t>
        </is>
      </c>
      <c r="B2500" s="17" t="inlineStr"/>
      <c r="C2500" s="17" t="inlineStr">
        <is>
          <t>(주)화승가스테크</t>
        </is>
      </c>
      <c r="D2500" s="17" t="inlineStr"/>
      <c r="E2500" s="17" t="inlineStr">
        <is>
          <t>CMO·CDMO</t>
        </is>
      </c>
      <c r="F2500" s="17" t="inlineStr">
        <is>
          <t>미확인</t>
        </is>
      </c>
      <c r="G2500" s="17" t="inlineStr">
        <is>
          <t>웹조사 자동화 실패(세션한도)</t>
        </is>
      </c>
      <c r="H2500" s="17" t="inlineStr">
        <is>
          <t>N</t>
        </is>
      </c>
      <c r="I2500" s="17" t="inlineStr">
        <is>
          <t>회사 홈페이지</t>
        </is>
      </c>
      <c r="J2500" s="17" t="inlineStr">
        <is>
          <t>회사 홈페이지에서 확인</t>
        </is>
      </c>
      <c r="K2500" s="17" t="inlineStr">
        <is>
          <t>낮음</t>
        </is>
      </c>
      <c r="L2500" s="17" t="inlineStr"/>
    </row>
    <row r="2501">
      <c r="A2501" s="17" t="inlineStr">
        <is>
          <t>C401</t>
        </is>
      </c>
      <c r="B2501" s="17" t="inlineStr"/>
      <c r="C2501" s="17" t="inlineStr">
        <is>
          <t>(주)화승가스테크</t>
        </is>
      </c>
      <c r="D2501" s="17" t="inlineStr"/>
      <c r="E2501" s="17" t="inlineStr">
        <is>
          <t>신공장·증설</t>
        </is>
      </c>
      <c r="F2501" s="17" t="inlineStr">
        <is>
          <t>미확인</t>
        </is>
      </c>
      <c r="G2501" s="17" t="inlineStr">
        <is>
          <t>웹조사 자동화 실패(세션한도)</t>
        </is>
      </c>
      <c r="H2501" s="17" t="inlineStr">
        <is>
          <t>N</t>
        </is>
      </c>
      <c r="I2501" s="17" t="inlineStr">
        <is>
          <t>언론·지자체 발표</t>
        </is>
      </c>
      <c r="J2501" s="17" t="inlineStr">
        <is>
          <t>언론·지자체 발표에서 확인</t>
        </is>
      </c>
      <c r="K2501" s="17" t="inlineStr">
        <is>
          <t>낮음</t>
        </is>
      </c>
      <c r="L2501" s="17" t="inlineStr"/>
    </row>
    <row r="2502">
      <c r="A2502" s="17" t="inlineStr">
        <is>
          <t>C402</t>
        </is>
      </c>
      <c r="B2502" s="17" t="inlineStr"/>
      <c r="C2502" s="17" t="inlineStr">
        <is>
          <t>(주)이든파마</t>
        </is>
      </c>
      <c r="D2502" s="17" t="inlineStr"/>
      <c r="E2502" s="17" t="inlineStr">
        <is>
          <t>최근매출(억원)</t>
        </is>
      </c>
      <c r="F2502" s="17" t="inlineStr">
        <is>
          <t>미확인</t>
        </is>
      </c>
      <c r="G2502" s="17" t="inlineStr">
        <is>
          <t>웹조사 자동화 실패(세션한도)</t>
        </is>
      </c>
      <c r="H2502" s="17" t="inlineStr">
        <is>
          <t>N</t>
        </is>
      </c>
      <c r="I2502" s="17" t="inlineStr">
        <is>
          <t>DART 사업보고서</t>
        </is>
      </c>
      <c r="J2502" s="17" t="inlineStr">
        <is>
          <t>DART 사업보고서에서 확인</t>
        </is>
      </c>
      <c r="K2502" s="17" t="inlineStr">
        <is>
          <t>낮음</t>
        </is>
      </c>
      <c r="L2502" s="17" t="inlineStr"/>
    </row>
    <row r="2503">
      <c r="A2503" s="17" t="inlineStr">
        <is>
          <t>C402</t>
        </is>
      </c>
      <c r="B2503" s="17" t="inlineStr"/>
      <c r="C2503" s="17" t="inlineStr">
        <is>
          <t>(주)이든파마</t>
        </is>
      </c>
      <c r="D2503" s="17" t="inlineStr"/>
      <c r="E2503" s="17" t="inlineStr">
        <is>
          <t>종업원수</t>
        </is>
      </c>
      <c r="F2503" s="17" t="inlineStr">
        <is>
          <t>미확인</t>
        </is>
      </c>
      <c r="G2503" s="17" t="inlineStr">
        <is>
          <t>웹조사 자동화 실패(세션한도)</t>
        </is>
      </c>
      <c r="H2503" s="17" t="inlineStr">
        <is>
          <t>N</t>
        </is>
      </c>
      <c r="I2503" s="17" t="inlineStr">
        <is>
          <t>DART/채용</t>
        </is>
      </c>
      <c r="J2503" s="17" t="inlineStr">
        <is>
          <t>DART/채용에서 확인</t>
        </is>
      </c>
      <c r="K2503" s="17" t="inlineStr">
        <is>
          <t>낮음</t>
        </is>
      </c>
      <c r="L2503" s="17" t="inlineStr"/>
    </row>
    <row r="2504">
      <c r="A2504" s="17" t="inlineStr">
        <is>
          <t>C402</t>
        </is>
      </c>
      <c r="B2504" s="17" t="inlineStr"/>
      <c r="C2504" s="17" t="inlineStr">
        <is>
          <t>(주)이든파마</t>
        </is>
      </c>
      <c r="D2504" s="17" t="inlineStr"/>
      <c r="E2504" s="17" t="inlineStr">
        <is>
          <t>수출여부</t>
        </is>
      </c>
      <c r="F2504" s="17" t="inlineStr">
        <is>
          <t>미확인</t>
        </is>
      </c>
      <c r="G2504" s="17" t="inlineStr">
        <is>
          <t>웹조사 자동화 실패(세션한도)</t>
        </is>
      </c>
      <c r="H2504" s="17" t="inlineStr">
        <is>
          <t>N</t>
        </is>
      </c>
      <c r="I2504" s="17" t="inlineStr">
        <is>
          <t>회사 공시·홈페이지</t>
        </is>
      </c>
      <c r="J2504" s="17" t="inlineStr">
        <is>
          <t>회사 공시·홈페이지에서 확인</t>
        </is>
      </c>
      <c r="K2504" s="17" t="inlineStr">
        <is>
          <t>낮음</t>
        </is>
      </c>
      <c r="L2504" s="17" t="inlineStr"/>
    </row>
    <row r="2505">
      <c r="A2505" s="17" t="inlineStr">
        <is>
          <t>C402</t>
        </is>
      </c>
      <c r="B2505" s="17" t="inlineStr"/>
      <c r="C2505" s="17" t="inlineStr">
        <is>
          <t>(주)이든파마</t>
        </is>
      </c>
      <c r="D2505" s="17" t="inlineStr"/>
      <c r="E2505" s="17" t="inlineStr">
        <is>
          <t>FDA·EMA 실사</t>
        </is>
      </c>
      <c r="F2505" s="17" t="inlineStr">
        <is>
          <t>미확인</t>
        </is>
      </c>
      <c r="G2505" s="17" t="inlineStr">
        <is>
          <t>웹조사 자동화 실패(세션한도)</t>
        </is>
      </c>
      <c r="H2505" s="17" t="inlineStr">
        <is>
          <t>N</t>
        </is>
      </c>
      <c r="I2505" s="17" t="inlineStr">
        <is>
          <t>FDA Inspection DB</t>
        </is>
      </c>
      <c r="J2505" s="17" t="inlineStr">
        <is>
          <t>FDA Inspection DB에서 확인</t>
        </is>
      </c>
      <c r="K2505" s="17" t="inlineStr">
        <is>
          <t>낮음</t>
        </is>
      </c>
      <c r="L2505" s="17" t="inlineStr"/>
    </row>
    <row r="2506">
      <c r="A2506" s="17" t="inlineStr">
        <is>
          <t>C402</t>
        </is>
      </c>
      <c r="B2506" s="17" t="inlineStr"/>
      <c r="C2506" s="17" t="inlineStr">
        <is>
          <t>(주)이든파마</t>
        </is>
      </c>
      <c r="D2506" s="17" t="inlineStr"/>
      <c r="E2506" s="17" t="inlineStr">
        <is>
          <t>CMO·CDMO</t>
        </is>
      </c>
      <c r="F2506" s="17" t="inlineStr">
        <is>
          <t>미확인</t>
        </is>
      </c>
      <c r="G2506" s="17" t="inlineStr">
        <is>
          <t>웹조사 자동화 실패(세션한도)</t>
        </is>
      </c>
      <c r="H2506" s="17" t="inlineStr">
        <is>
          <t>N</t>
        </is>
      </c>
      <c r="I2506" s="17" t="inlineStr">
        <is>
          <t>회사 홈페이지</t>
        </is>
      </c>
      <c r="J2506" s="17" t="inlineStr">
        <is>
          <t>회사 홈페이지에서 확인</t>
        </is>
      </c>
      <c r="K2506" s="17" t="inlineStr">
        <is>
          <t>낮음</t>
        </is>
      </c>
      <c r="L2506" s="17" t="inlineStr"/>
    </row>
    <row r="2507">
      <c r="A2507" s="17" t="inlineStr">
        <is>
          <t>C402</t>
        </is>
      </c>
      <c r="B2507" s="17" t="inlineStr"/>
      <c r="C2507" s="17" t="inlineStr">
        <is>
          <t>(주)이든파마</t>
        </is>
      </c>
      <c r="D2507" s="17" t="inlineStr"/>
      <c r="E2507" s="17" t="inlineStr">
        <is>
          <t>신공장·증설</t>
        </is>
      </c>
      <c r="F2507" s="17" t="inlineStr">
        <is>
          <t>미확인</t>
        </is>
      </c>
      <c r="G2507" s="17" t="inlineStr">
        <is>
          <t>웹조사 자동화 실패(세션한도)</t>
        </is>
      </c>
      <c r="H2507" s="17" t="inlineStr">
        <is>
          <t>N</t>
        </is>
      </c>
      <c r="I2507" s="17" t="inlineStr">
        <is>
          <t>언론·지자체 발표</t>
        </is>
      </c>
      <c r="J2507" s="17" t="inlineStr">
        <is>
          <t>언론·지자체 발표에서 확인</t>
        </is>
      </c>
      <c r="K2507" s="17" t="inlineStr">
        <is>
          <t>낮음</t>
        </is>
      </c>
      <c r="L2507" s="17" t="inlineStr"/>
    </row>
    <row r="2508">
      <c r="A2508" s="17" t="inlineStr">
        <is>
          <t>C403</t>
        </is>
      </c>
      <c r="B2508" s="17" t="inlineStr"/>
      <c r="C2508" s="17" t="inlineStr">
        <is>
          <t>크로다코리아주식회사</t>
        </is>
      </c>
      <c r="D2508" s="17" t="inlineStr"/>
      <c r="E2508" s="17" t="inlineStr">
        <is>
          <t>최근매출(억원)</t>
        </is>
      </c>
      <c r="F2508" s="17" t="inlineStr">
        <is>
          <t>미확인</t>
        </is>
      </c>
      <c r="G2508" s="17" t="inlineStr">
        <is>
          <t>웹조사 자동화 실패(세션한도)</t>
        </is>
      </c>
      <c r="H2508" s="17" t="inlineStr">
        <is>
          <t>N</t>
        </is>
      </c>
      <c r="I2508" s="17" t="inlineStr">
        <is>
          <t>DART 사업보고서</t>
        </is>
      </c>
      <c r="J2508" s="17" t="inlineStr">
        <is>
          <t>DART 사업보고서에서 확인</t>
        </is>
      </c>
      <c r="K2508" s="17" t="inlineStr">
        <is>
          <t>낮음</t>
        </is>
      </c>
      <c r="L2508" s="17" t="inlineStr"/>
    </row>
    <row r="2509">
      <c r="A2509" s="17" t="inlineStr">
        <is>
          <t>C403</t>
        </is>
      </c>
      <c r="B2509" s="17" t="inlineStr"/>
      <c r="C2509" s="17" t="inlineStr">
        <is>
          <t>크로다코리아주식회사</t>
        </is>
      </c>
      <c r="D2509" s="17" t="inlineStr"/>
      <c r="E2509" s="17" t="inlineStr">
        <is>
          <t>종업원수</t>
        </is>
      </c>
      <c r="F2509" s="17" t="inlineStr">
        <is>
          <t>미확인</t>
        </is>
      </c>
      <c r="G2509" s="17" t="inlineStr">
        <is>
          <t>웹조사 자동화 실패(세션한도)</t>
        </is>
      </c>
      <c r="H2509" s="17" t="inlineStr">
        <is>
          <t>N</t>
        </is>
      </c>
      <c r="I2509" s="17" t="inlineStr">
        <is>
          <t>DART/채용</t>
        </is>
      </c>
      <c r="J2509" s="17" t="inlineStr">
        <is>
          <t>DART/채용에서 확인</t>
        </is>
      </c>
      <c r="K2509" s="17" t="inlineStr">
        <is>
          <t>낮음</t>
        </is>
      </c>
      <c r="L2509" s="17" t="inlineStr"/>
    </row>
    <row r="2510">
      <c r="A2510" s="17" t="inlineStr">
        <is>
          <t>C403</t>
        </is>
      </c>
      <c r="B2510" s="17" t="inlineStr"/>
      <c r="C2510" s="17" t="inlineStr">
        <is>
          <t>크로다코리아주식회사</t>
        </is>
      </c>
      <c r="D2510" s="17" t="inlineStr"/>
      <c r="E2510" s="17" t="inlineStr">
        <is>
          <t>수출여부</t>
        </is>
      </c>
      <c r="F2510" s="17" t="inlineStr">
        <is>
          <t>미확인</t>
        </is>
      </c>
      <c r="G2510" s="17" t="inlineStr">
        <is>
          <t>웹조사 자동화 실패(세션한도)</t>
        </is>
      </c>
      <c r="H2510" s="17" t="inlineStr">
        <is>
          <t>N</t>
        </is>
      </c>
      <c r="I2510" s="17" t="inlineStr">
        <is>
          <t>회사 공시·홈페이지</t>
        </is>
      </c>
      <c r="J2510" s="17" t="inlineStr">
        <is>
          <t>회사 공시·홈페이지에서 확인</t>
        </is>
      </c>
      <c r="K2510" s="17" t="inlineStr">
        <is>
          <t>낮음</t>
        </is>
      </c>
      <c r="L2510" s="17" t="inlineStr"/>
    </row>
    <row r="2511">
      <c r="A2511" s="17" t="inlineStr">
        <is>
          <t>C403</t>
        </is>
      </c>
      <c r="B2511" s="17" t="inlineStr"/>
      <c r="C2511" s="17" t="inlineStr">
        <is>
          <t>크로다코리아주식회사</t>
        </is>
      </c>
      <c r="D2511" s="17" t="inlineStr"/>
      <c r="E2511" s="17" t="inlineStr">
        <is>
          <t>FDA·EMA 실사</t>
        </is>
      </c>
      <c r="F2511" s="17" t="inlineStr">
        <is>
          <t>미확인</t>
        </is>
      </c>
      <c r="G2511" s="17" t="inlineStr">
        <is>
          <t>웹조사 자동화 실패(세션한도)</t>
        </is>
      </c>
      <c r="H2511" s="17" t="inlineStr">
        <is>
          <t>N</t>
        </is>
      </c>
      <c r="I2511" s="17" t="inlineStr">
        <is>
          <t>FDA Inspection DB</t>
        </is>
      </c>
      <c r="J2511" s="17" t="inlineStr">
        <is>
          <t>FDA Inspection DB에서 확인</t>
        </is>
      </c>
      <c r="K2511" s="17" t="inlineStr">
        <is>
          <t>낮음</t>
        </is>
      </c>
      <c r="L2511" s="17" t="inlineStr"/>
    </row>
    <row r="2512">
      <c r="A2512" s="17" t="inlineStr">
        <is>
          <t>C403</t>
        </is>
      </c>
      <c r="B2512" s="17" t="inlineStr"/>
      <c r="C2512" s="17" t="inlineStr">
        <is>
          <t>크로다코리아주식회사</t>
        </is>
      </c>
      <c r="D2512" s="17" t="inlineStr"/>
      <c r="E2512" s="17" t="inlineStr">
        <is>
          <t>CMO·CDMO</t>
        </is>
      </c>
      <c r="F2512" s="17" t="inlineStr">
        <is>
          <t>미확인</t>
        </is>
      </c>
      <c r="G2512" s="17" t="inlineStr">
        <is>
          <t>웹조사 자동화 실패(세션한도)</t>
        </is>
      </c>
      <c r="H2512" s="17" t="inlineStr">
        <is>
          <t>N</t>
        </is>
      </c>
      <c r="I2512" s="17" t="inlineStr">
        <is>
          <t>회사 홈페이지</t>
        </is>
      </c>
      <c r="J2512" s="17" t="inlineStr">
        <is>
          <t>회사 홈페이지에서 확인</t>
        </is>
      </c>
      <c r="K2512" s="17" t="inlineStr">
        <is>
          <t>낮음</t>
        </is>
      </c>
      <c r="L2512" s="17" t="inlineStr"/>
    </row>
    <row r="2513">
      <c r="A2513" s="17" t="inlineStr">
        <is>
          <t>C403</t>
        </is>
      </c>
      <c r="B2513" s="17" t="inlineStr"/>
      <c r="C2513" s="17" t="inlineStr">
        <is>
          <t>크로다코리아주식회사</t>
        </is>
      </c>
      <c r="D2513" s="17" t="inlineStr"/>
      <c r="E2513" s="17" t="inlineStr">
        <is>
          <t>신공장·증설</t>
        </is>
      </c>
      <c r="F2513" s="17" t="inlineStr">
        <is>
          <t>미확인</t>
        </is>
      </c>
      <c r="G2513" s="17" t="inlineStr">
        <is>
          <t>웹조사 자동화 실패(세션한도)</t>
        </is>
      </c>
      <c r="H2513" s="17" t="inlineStr">
        <is>
          <t>N</t>
        </is>
      </c>
      <c r="I2513" s="17" t="inlineStr">
        <is>
          <t>언론·지자체 발표</t>
        </is>
      </c>
      <c r="J2513" s="17" t="inlineStr">
        <is>
          <t>언론·지자체 발표에서 확인</t>
        </is>
      </c>
      <c r="K2513" s="17" t="inlineStr">
        <is>
          <t>낮음</t>
        </is>
      </c>
      <c r="L2513" s="17" t="inlineStr"/>
    </row>
    <row r="2514">
      <c r="A2514" s="17" t="inlineStr">
        <is>
          <t>C404</t>
        </is>
      </c>
      <c r="B2514" s="17" t="inlineStr"/>
      <c r="C2514" s="17" t="inlineStr">
        <is>
          <t>엠에프씨주식회사</t>
        </is>
      </c>
      <c r="D2514" s="17" t="inlineStr"/>
      <c r="E2514" s="17" t="inlineStr">
        <is>
          <t>최근매출(억원)</t>
        </is>
      </c>
      <c r="F2514" s="17" t="inlineStr">
        <is>
          <t>미확인</t>
        </is>
      </c>
      <c r="G2514" s="17" t="inlineStr">
        <is>
          <t>웹조사 자동화 실패(세션한도)</t>
        </is>
      </c>
      <c r="H2514" s="17" t="inlineStr">
        <is>
          <t>N</t>
        </is>
      </c>
      <c r="I2514" s="17" t="inlineStr">
        <is>
          <t>DART 사업보고서</t>
        </is>
      </c>
      <c r="J2514" s="17" t="inlineStr">
        <is>
          <t>DART 사업보고서에서 확인</t>
        </is>
      </c>
      <c r="K2514" s="17" t="inlineStr">
        <is>
          <t>낮음</t>
        </is>
      </c>
      <c r="L2514" s="17" t="inlineStr"/>
    </row>
    <row r="2515">
      <c r="A2515" s="17" t="inlineStr">
        <is>
          <t>C404</t>
        </is>
      </c>
      <c r="B2515" s="17" t="inlineStr"/>
      <c r="C2515" s="17" t="inlineStr">
        <is>
          <t>엠에프씨주식회사</t>
        </is>
      </c>
      <c r="D2515" s="17" t="inlineStr"/>
      <c r="E2515" s="17" t="inlineStr">
        <is>
          <t>종업원수</t>
        </is>
      </c>
      <c r="F2515" s="17" t="inlineStr">
        <is>
          <t>미확인</t>
        </is>
      </c>
      <c r="G2515" s="17" t="inlineStr">
        <is>
          <t>웹조사 자동화 실패(세션한도)</t>
        </is>
      </c>
      <c r="H2515" s="17" t="inlineStr">
        <is>
          <t>N</t>
        </is>
      </c>
      <c r="I2515" s="17" t="inlineStr">
        <is>
          <t>DART/채용</t>
        </is>
      </c>
      <c r="J2515" s="17" t="inlineStr">
        <is>
          <t>DART/채용에서 확인</t>
        </is>
      </c>
      <c r="K2515" s="17" t="inlineStr">
        <is>
          <t>낮음</t>
        </is>
      </c>
      <c r="L2515" s="17" t="inlineStr"/>
    </row>
    <row r="2516">
      <c r="A2516" s="17" t="inlineStr">
        <is>
          <t>C404</t>
        </is>
      </c>
      <c r="B2516" s="17" t="inlineStr"/>
      <c r="C2516" s="17" t="inlineStr">
        <is>
          <t>엠에프씨주식회사</t>
        </is>
      </c>
      <c r="D2516" s="17" t="inlineStr"/>
      <c r="E2516" s="17" t="inlineStr">
        <is>
          <t>수출여부</t>
        </is>
      </c>
      <c r="F2516" s="17" t="inlineStr">
        <is>
          <t>미확인</t>
        </is>
      </c>
      <c r="G2516" s="17" t="inlineStr">
        <is>
          <t>웹조사 자동화 실패(세션한도)</t>
        </is>
      </c>
      <c r="H2516" s="17" t="inlineStr">
        <is>
          <t>N</t>
        </is>
      </c>
      <c r="I2516" s="17" t="inlineStr">
        <is>
          <t>회사 공시·홈페이지</t>
        </is>
      </c>
      <c r="J2516" s="17" t="inlineStr">
        <is>
          <t>회사 공시·홈페이지에서 확인</t>
        </is>
      </c>
      <c r="K2516" s="17" t="inlineStr">
        <is>
          <t>낮음</t>
        </is>
      </c>
      <c r="L2516" s="17" t="inlineStr"/>
    </row>
    <row r="2517">
      <c r="A2517" s="17" t="inlineStr">
        <is>
          <t>C404</t>
        </is>
      </c>
      <c r="B2517" s="17" t="inlineStr"/>
      <c r="C2517" s="17" t="inlineStr">
        <is>
          <t>엠에프씨주식회사</t>
        </is>
      </c>
      <c r="D2517" s="17" t="inlineStr"/>
      <c r="E2517" s="17" t="inlineStr">
        <is>
          <t>FDA·EMA 실사</t>
        </is>
      </c>
      <c r="F2517" s="17" t="inlineStr">
        <is>
          <t>미확인</t>
        </is>
      </c>
      <c r="G2517" s="17" t="inlineStr">
        <is>
          <t>웹조사 자동화 실패(세션한도)</t>
        </is>
      </c>
      <c r="H2517" s="17" t="inlineStr">
        <is>
          <t>N</t>
        </is>
      </c>
      <c r="I2517" s="17" t="inlineStr">
        <is>
          <t>FDA Inspection DB</t>
        </is>
      </c>
      <c r="J2517" s="17" t="inlineStr">
        <is>
          <t>FDA Inspection DB에서 확인</t>
        </is>
      </c>
      <c r="K2517" s="17" t="inlineStr">
        <is>
          <t>낮음</t>
        </is>
      </c>
      <c r="L2517" s="17" t="inlineStr"/>
    </row>
    <row r="2518">
      <c r="A2518" s="17" t="inlineStr">
        <is>
          <t>C404</t>
        </is>
      </c>
      <c r="B2518" s="17" t="inlineStr"/>
      <c r="C2518" s="17" t="inlineStr">
        <is>
          <t>엠에프씨주식회사</t>
        </is>
      </c>
      <c r="D2518" s="17" t="inlineStr"/>
      <c r="E2518" s="17" t="inlineStr">
        <is>
          <t>CMO·CDMO</t>
        </is>
      </c>
      <c r="F2518" s="17" t="inlineStr">
        <is>
          <t>미확인</t>
        </is>
      </c>
      <c r="G2518" s="17" t="inlineStr">
        <is>
          <t>웹조사 자동화 실패(세션한도)</t>
        </is>
      </c>
      <c r="H2518" s="17" t="inlineStr">
        <is>
          <t>N</t>
        </is>
      </c>
      <c r="I2518" s="17" t="inlineStr">
        <is>
          <t>회사 홈페이지</t>
        </is>
      </c>
      <c r="J2518" s="17" t="inlineStr">
        <is>
          <t>회사 홈페이지에서 확인</t>
        </is>
      </c>
      <c r="K2518" s="17" t="inlineStr">
        <is>
          <t>낮음</t>
        </is>
      </c>
      <c r="L2518" s="17" t="inlineStr"/>
    </row>
    <row r="2519">
      <c r="A2519" s="17" t="inlineStr">
        <is>
          <t>C404</t>
        </is>
      </c>
      <c r="B2519" s="17" t="inlineStr"/>
      <c r="C2519" s="17" t="inlineStr">
        <is>
          <t>엠에프씨주식회사</t>
        </is>
      </c>
      <c r="D2519" s="17" t="inlineStr"/>
      <c r="E2519" s="17" t="inlineStr">
        <is>
          <t>신공장·증설</t>
        </is>
      </c>
      <c r="F2519" s="17" t="inlineStr">
        <is>
          <t>미확인</t>
        </is>
      </c>
      <c r="G2519" s="17" t="inlineStr">
        <is>
          <t>웹조사 자동화 실패(세션한도)</t>
        </is>
      </c>
      <c r="H2519" s="17" t="inlineStr">
        <is>
          <t>N</t>
        </is>
      </c>
      <c r="I2519" s="17" t="inlineStr">
        <is>
          <t>언론·지자체 발표</t>
        </is>
      </c>
      <c r="J2519" s="17" t="inlineStr">
        <is>
          <t>언론·지자체 발표에서 확인</t>
        </is>
      </c>
      <c r="K2519" s="17" t="inlineStr">
        <is>
          <t>낮음</t>
        </is>
      </c>
      <c r="L2519" s="17" t="inlineStr"/>
    </row>
    <row r="2520">
      <c r="A2520" s="17" t="inlineStr">
        <is>
          <t>C404</t>
        </is>
      </c>
      <c r="B2520" s="17" t="inlineStr"/>
      <c r="C2520" s="17" t="inlineStr">
        <is>
          <t>엠에프씨주식회사</t>
        </is>
      </c>
      <c r="D2520" s="17" t="inlineStr"/>
      <c r="E2520" s="17" t="inlineStr">
        <is>
          <t>대표전화</t>
        </is>
      </c>
      <c r="F2520" s="17" t="inlineStr">
        <is>
          <t>미확인</t>
        </is>
      </c>
      <c r="G2520" s="17" t="inlineStr">
        <is>
          <t>제조소상세 미매칭</t>
        </is>
      </c>
      <c r="H2520" s="17" t="inlineStr">
        <is>
          <t>Y</t>
        </is>
      </c>
      <c r="I2520" s="17" t="inlineStr">
        <is>
          <t>회사 홈페이지</t>
        </is>
      </c>
      <c r="J2520" s="17" t="inlineStr">
        <is>
          <t>홈페이지에서 대표번호 확인</t>
        </is>
      </c>
      <c r="K2520" s="17" t="inlineStr">
        <is>
          <t>낮음</t>
        </is>
      </c>
      <c r="L2520" s="17" t="inlineStr"/>
    </row>
    <row r="2521">
      <c r="A2521" s="17" t="inlineStr">
        <is>
          <t>C405</t>
        </is>
      </c>
      <c r="B2521" s="17" t="inlineStr"/>
      <c r="C2521" s="17" t="inlineStr">
        <is>
          <t>(유한)동아가스산업</t>
        </is>
      </c>
      <c r="D2521" s="17" t="inlineStr"/>
      <c r="E2521" s="17" t="inlineStr">
        <is>
          <t>최근매출(억원)</t>
        </is>
      </c>
      <c r="F2521" s="17" t="inlineStr">
        <is>
          <t>미확인</t>
        </is>
      </c>
      <c r="G2521" s="17" t="inlineStr">
        <is>
          <t>웹조사 자동화 실패(세션한도)</t>
        </is>
      </c>
      <c r="H2521" s="17" t="inlineStr">
        <is>
          <t>N</t>
        </is>
      </c>
      <c r="I2521" s="17" t="inlineStr">
        <is>
          <t>DART 사업보고서</t>
        </is>
      </c>
      <c r="J2521" s="17" t="inlineStr">
        <is>
          <t>DART 사업보고서에서 확인</t>
        </is>
      </c>
      <c r="K2521" s="17" t="inlineStr">
        <is>
          <t>낮음</t>
        </is>
      </c>
      <c r="L2521" s="17" t="inlineStr"/>
    </row>
    <row r="2522">
      <c r="A2522" s="17" t="inlineStr">
        <is>
          <t>C405</t>
        </is>
      </c>
      <c r="B2522" s="17" t="inlineStr"/>
      <c r="C2522" s="17" t="inlineStr">
        <is>
          <t>(유한)동아가스산업</t>
        </is>
      </c>
      <c r="D2522" s="17" t="inlineStr"/>
      <c r="E2522" s="17" t="inlineStr">
        <is>
          <t>종업원수</t>
        </is>
      </c>
      <c r="F2522" s="17" t="inlineStr">
        <is>
          <t>미확인</t>
        </is>
      </c>
      <c r="G2522" s="17" t="inlineStr">
        <is>
          <t>웹조사 자동화 실패(세션한도)</t>
        </is>
      </c>
      <c r="H2522" s="17" t="inlineStr">
        <is>
          <t>N</t>
        </is>
      </c>
      <c r="I2522" s="17" t="inlineStr">
        <is>
          <t>DART/채용</t>
        </is>
      </c>
      <c r="J2522" s="17" t="inlineStr">
        <is>
          <t>DART/채용에서 확인</t>
        </is>
      </c>
      <c r="K2522" s="17" t="inlineStr">
        <is>
          <t>낮음</t>
        </is>
      </c>
      <c r="L2522" s="17" t="inlineStr"/>
    </row>
    <row r="2523">
      <c r="A2523" s="17" t="inlineStr">
        <is>
          <t>C405</t>
        </is>
      </c>
      <c r="B2523" s="17" t="inlineStr"/>
      <c r="C2523" s="17" t="inlineStr">
        <is>
          <t>(유한)동아가스산업</t>
        </is>
      </c>
      <c r="D2523" s="17" t="inlineStr"/>
      <c r="E2523" s="17" t="inlineStr">
        <is>
          <t>수출여부</t>
        </is>
      </c>
      <c r="F2523" s="17" t="inlineStr">
        <is>
          <t>미확인</t>
        </is>
      </c>
      <c r="G2523" s="17" t="inlineStr">
        <is>
          <t>웹조사 자동화 실패(세션한도)</t>
        </is>
      </c>
      <c r="H2523" s="17" t="inlineStr">
        <is>
          <t>N</t>
        </is>
      </c>
      <c r="I2523" s="17" t="inlineStr">
        <is>
          <t>회사 공시·홈페이지</t>
        </is>
      </c>
      <c r="J2523" s="17" t="inlineStr">
        <is>
          <t>회사 공시·홈페이지에서 확인</t>
        </is>
      </c>
      <c r="K2523" s="17" t="inlineStr">
        <is>
          <t>낮음</t>
        </is>
      </c>
      <c r="L2523" s="17" t="inlineStr"/>
    </row>
    <row r="2524">
      <c r="A2524" s="17" t="inlineStr">
        <is>
          <t>C405</t>
        </is>
      </c>
      <c r="B2524" s="17" t="inlineStr"/>
      <c r="C2524" s="17" t="inlineStr">
        <is>
          <t>(유한)동아가스산업</t>
        </is>
      </c>
      <c r="D2524" s="17" t="inlineStr"/>
      <c r="E2524" s="17" t="inlineStr">
        <is>
          <t>FDA·EMA 실사</t>
        </is>
      </c>
      <c r="F2524" s="17" t="inlineStr">
        <is>
          <t>미확인</t>
        </is>
      </c>
      <c r="G2524" s="17" t="inlineStr">
        <is>
          <t>웹조사 자동화 실패(세션한도)</t>
        </is>
      </c>
      <c r="H2524" s="17" t="inlineStr">
        <is>
          <t>N</t>
        </is>
      </c>
      <c r="I2524" s="17" t="inlineStr">
        <is>
          <t>FDA Inspection DB</t>
        </is>
      </c>
      <c r="J2524" s="17" t="inlineStr">
        <is>
          <t>FDA Inspection DB에서 확인</t>
        </is>
      </c>
      <c r="K2524" s="17" t="inlineStr">
        <is>
          <t>낮음</t>
        </is>
      </c>
      <c r="L2524" s="17" t="inlineStr"/>
    </row>
    <row r="2525">
      <c r="A2525" s="17" t="inlineStr">
        <is>
          <t>C405</t>
        </is>
      </c>
      <c r="B2525" s="17" t="inlineStr"/>
      <c r="C2525" s="17" t="inlineStr">
        <is>
          <t>(유한)동아가스산업</t>
        </is>
      </c>
      <c r="D2525" s="17" t="inlineStr"/>
      <c r="E2525" s="17" t="inlineStr">
        <is>
          <t>CMO·CDMO</t>
        </is>
      </c>
      <c r="F2525" s="17" t="inlineStr">
        <is>
          <t>미확인</t>
        </is>
      </c>
      <c r="G2525" s="17" t="inlineStr">
        <is>
          <t>웹조사 자동화 실패(세션한도)</t>
        </is>
      </c>
      <c r="H2525" s="17" t="inlineStr">
        <is>
          <t>N</t>
        </is>
      </c>
      <c r="I2525" s="17" t="inlineStr">
        <is>
          <t>회사 홈페이지</t>
        </is>
      </c>
      <c r="J2525" s="17" t="inlineStr">
        <is>
          <t>회사 홈페이지에서 확인</t>
        </is>
      </c>
      <c r="K2525" s="17" t="inlineStr">
        <is>
          <t>낮음</t>
        </is>
      </c>
      <c r="L2525" s="17" t="inlineStr"/>
    </row>
    <row r="2526">
      <c r="A2526" s="17" t="inlineStr">
        <is>
          <t>C405</t>
        </is>
      </c>
      <c r="B2526" s="17" t="inlineStr"/>
      <c r="C2526" s="17" t="inlineStr">
        <is>
          <t>(유한)동아가스산업</t>
        </is>
      </c>
      <c r="D2526" s="17" t="inlineStr"/>
      <c r="E2526" s="17" t="inlineStr">
        <is>
          <t>신공장·증설</t>
        </is>
      </c>
      <c r="F2526" s="17" t="inlineStr">
        <is>
          <t>미확인</t>
        </is>
      </c>
      <c r="G2526" s="17" t="inlineStr">
        <is>
          <t>웹조사 자동화 실패(세션한도)</t>
        </is>
      </c>
      <c r="H2526" s="17" t="inlineStr">
        <is>
          <t>N</t>
        </is>
      </c>
      <c r="I2526" s="17" t="inlineStr">
        <is>
          <t>언론·지자체 발표</t>
        </is>
      </c>
      <c r="J2526" s="17" t="inlineStr">
        <is>
          <t>언론·지자체 발표에서 확인</t>
        </is>
      </c>
      <c r="K2526" s="17" t="inlineStr">
        <is>
          <t>낮음</t>
        </is>
      </c>
      <c r="L2526" s="17" t="inlineStr"/>
    </row>
    <row r="2527">
      <c r="A2527" s="17" t="inlineStr">
        <is>
          <t>C406</t>
        </is>
      </c>
      <c r="B2527" s="17" t="inlineStr"/>
      <c r="C2527" s="17" t="inlineStr">
        <is>
          <t>엠에스종합가스(주)</t>
        </is>
      </c>
      <c r="D2527" s="17" t="inlineStr"/>
      <c r="E2527" s="17" t="inlineStr">
        <is>
          <t>최근매출(억원)</t>
        </is>
      </c>
      <c r="F2527" s="17" t="inlineStr">
        <is>
          <t>미확인</t>
        </is>
      </c>
      <c r="G2527" s="17" t="inlineStr">
        <is>
          <t>웹조사 자동화 실패(세션한도)</t>
        </is>
      </c>
      <c r="H2527" s="17" t="inlineStr">
        <is>
          <t>N</t>
        </is>
      </c>
      <c r="I2527" s="17" t="inlineStr">
        <is>
          <t>DART 사업보고서</t>
        </is>
      </c>
      <c r="J2527" s="17" t="inlineStr">
        <is>
          <t>DART 사업보고서에서 확인</t>
        </is>
      </c>
      <c r="K2527" s="17" t="inlineStr">
        <is>
          <t>낮음</t>
        </is>
      </c>
      <c r="L2527" s="17" t="inlineStr"/>
    </row>
    <row r="2528">
      <c r="A2528" s="17" t="inlineStr">
        <is>
          <t>C406</t>
        </is>
      </c>
      <c r="B2528" s="17" t="inlineStr"/>
      <c r="C2528" s="17" t="inlineStr">
        <is>
          <t>엠에스종합가스(주)</t>
        </is>
      </c>
      <c r="D2528" s="17" t="inlineStr"/>
      <c r="E2528" s="17" t="inlineStr">
        <is>
          <t>종업원수</t>
        </is>
      </c>
      <c r="F2528" s="17" t="inlineStr">
        <is>
          <t>미확인</t>
        </is>
      </c>
      <c r="G2528" s="17" t="inlineStr">
        <is>
          <t>웹조사 자동화 실패(세션한도)</t>
        </is>
      </c>
      <c r="H2528" s="17" t="inlineStr">
        <is>
          <t>N</t>
        </is>
      </c>
      <c r="I2528" s="17" t="inlineStr">
        <is>
          <t>DART/채용</t>
        </is>
      </c>
      <c r="J2528" s="17" t="inlineStr">
        <is>
          <t>DART/채용에서 확인</t>
        </is>
      </c>
      <c r="K2528" s="17" t="inlineStr">
        <is>
          <t>낮음</t>
        </is>
      </c>
      <c r="L2528" s="17" t="inlineStr"/>
    </row>
    <row r="2529">
      <c r="A2529" s="17" t="inlineStr">
        <is>
          <t>C406</t>
        </is>
      </c>
      <c r="B2529" s="17" t="inlineStr"/>
      <c r="C2529" s="17" t="inlineStr">
        <is>
          <t>엠에스종합가스(주)</t>
        </is>
      </c>
      <c r="D2529" s="17" t="inlineStr"/>
      <c r="E2529" s="17" t="inlineStr">
        <is>
          <t>수출여부</t>
        </is>
      </c>
      <c r="F2529" s="17" t="inlineStr">
        <is>
          <t>미확인</t>
        </is>
      </c>
      <c r="G2529" s="17" t="inlineStr">
        <is>
          <t>웹조사 자동화 실패(세션한도)</t>
        </is>
      </c>
      <c r="H2529" s="17" t="inlineStr">
        <is>
          <t>N</t>
        </is>
      </c>
      <c r="I2529" s="17" t="inlineStr">
        <is>
          <t>회사 공시·홈페이지</t>
        </is>
      </c>
      <c r="J2529" s="17" t="inlineStr">
        <is>
          <t>회사 공시·홈페이지에서 확인</t>
        </is>
      </c>
      <c r="K2529" s="17" t="inlineStr">
        <is>
          <t>낮음</t>
        </is>
      </c>
      <c r="L2529" s="17" t="inlineStr"/>
    </row>
    <row r="2530">
      <c r="A2530" s="17" t="inlineStr">
        <is>
          <t>C406</t>
        </is>
      </c>
      <c r="B2530" s="17" t="inlineStr"/>
      <c r="C2530" s="17" t="inlineStr">
        <is>
          <t>엠에스종합가스(주)</t>
        </is>
      </c>
      <c r="D2530" s="17" t="inlineStr"/>
      <c r="E2530" s="17" t="inlineStr">
        <is>
          <t>FDA·EMA 실사</t>
        </is>
      </c>
      <c r="F2530" s="17" t="inlineStr">
        <is>
          <t>미확인</t>
        </is>
      </c>
      <c r="G2530" s="17" t="inlineStr">
        <is>
          <t>웹조사 자동화 실패(세션한도)</t>
        </is>
      </c>
      <c r="H2530" s="17" t="inlineStr">
        <is>
          <t>N</t>
        </is>
      </c>
      <c r="I2530" s="17" t="inlineStr">
        <is>
          <t>FDA Inspection DB</t>
        </is>
      </c>
      <c r="J2530" s="17" t="inlineStr">
        <is>
          <t>FDA Inspection DB에서 확인</t>
        </is>
      </c>
      <c r="K2530" s="17" t="inlineStr">
        <is>
          <t>낮음</t>
        </is>
      </c>
      <c r="L2530" s="17" t="inlineStr"/>
    </row>
    <row r="2531">
      <c r="A2531" s="17" t="inlineStr">
        <is>
          <t>C406</t>
        </is>
      </c>
      <c r="B2531" s="17" t="inlineStr"/>
      <c r="C2531" s="17" t="inlineStr">
        <is>
          <t>엠에스종합가스(주)</t>
        </is>
      </c>
      <c r="D2531" s="17" t="inlineStr"/>
      <c r="E2531" s="17" t="inlineStr">
        <is>
          <t>CMO·CDMO</t>
        </is>
      </c>
      <c r="F2531" s="17" t="inlineStr">
        <is>
          <t>미확인</t>
        </is>
      </c>
      <c r="G2531" s="17" t="inlineStr">
        <is>
          <t>웹조사 자동화 실패(세션한도)</t>
        </is>
      </c>
      <c r="H2531" s="17" t="inlineStr">
        <is>
          <t>N</t>
        </is>
      </c>
      <c r="I2531" s="17" t="inlineStr">
        <is>
          <t>회사 홈페이지</t>
        </is>
      </c>
      <c r="J2531" s="17" t="inlineStr">
        <is>
          <t>회사 홈페이지에서 확인</t>
        </is>
      </c>
      <c r="K2531" s="17" t="inlineStr">
        <is>
          <t>낮음</t>
        </is>
      </c>
      <c r="L2531" s="17" t="inlineStr"/>
    </row>
    <row r="2532">
      <c r="A2532" s="17" t="inlineStr">
        <is>
          <t>C406</t>
        </is>
      </c>
      <c r="B2532" s="17" t="inlineStr"/>
      <c r="C2532" s="17" t="inlineStr">
        <is>
          <t>엠에스종합가스(주)</t>
        </is>
      </c>
      <c r="D2532" s="17" t="inlineStr"/>
      <c r="E2532" s="17" t="inlineStr">
        <is>
          <t>신공장·증설</t>
        </is>
      </c>
      <c r="F2532" s="17" t="inlineStr">
        <is>
          <t>미확인</t>
        </is>
      </c>
      <c r="G2532" s="17" t="inlineStr">
        <is>
          <t>웹조사 자동화 실패(세션한도)</t>
        </is>
      </c>
      <c r="H2532" s="17" t="inlineStr">
        <is>
          <t>N</t>
        </is>
      </c>
      <c r="I2532" s="17" t="inlineStr">
        <is>
          <t>언론·지자체 발표</t>
        </is>
      </c>
      <c r="J2532" s="17" t="inlineStr">
        <is>
          <t>언론·지자체 발표에서 확인</t>
        </is>
      </c>
      <c r="K2532" s="17" t="inlineStr">
        <is>
          <t>낮음</t>
        </is>
      </c>
      <c r="L2532" s="17" t="inlineStr"/>
    </row>
    <row r="2533">
      <c r="A2533" s="17" t="inlineStr">
        <is>
          <t>C407</t>
        </is>
      </c>
      <c r="B2533" s="17" t="inlineStr"/>
      <c r="C2533" s="17" t="inlineStr">
        <is>
          <t>삼천당제약(주)</t>
        </is>
      </c>
      <c r="D2533" s="17" t="inlineStr"/>
      <c r="E2533" s="17" t="inlineStr">
        <is>
          <t>최근매출(억원)</t>
        </is>
      </c>
      <c r="F2533" s="17" t="inlineStr">
        <is>
          <t>미확인</t>
        </is>
      </c>
      <c r="G2533" s="17" t="inlineStr">
        <is>
          <t>웹조사 자동화 실패(세션한도)</t>
        </is>
      </c>
      <c r="H2533" s="17" t="inlineStr">
        <is>
          <t>N</t>
        </is>
      </c>
      <c r="I2533" s="17" t="inlineStr">
        <is>
          <t>DART 사업보고서</t>
        </is>
      </c>
      <c r="J2533" s="17" t="inlineStr">
        <is>
          <t>DART 사업보고서에서 확인</t>
        </is>
      </c>
      <c r="K2533" s="17" t="inlineStr">
        <is>
          <t>낮음</t>
        </is>
      </c>
      <c r="L2533" s="17" t="inlineStr"/>
    </row>
    <row r="2534">
      <c r="A2534" s="17" t="inlineStr">
        <is>
          <t>C407</t>
        </is>
      </c>
      <c r="B2534" s="17" t="inlineStr"/>
      <c r="C2534" s="17" t="inlineStr">
        <is>
          <t>삼천당제약(주)</t>
        </is>
      </c>
      <c r="D2534" s="17" t="inlineStr"/>
      <c r="E2534" s="17" t="inlineStr">
        <is>
          <t>종업원수</t>
        </is>
      </c>
      <c r="F2534" s="17" t="inlineStr">
        <is>
          <t>미확인</t>
        </is>
      </c>
      <c r="G2534" s="17" t="inlineStr">
        <is>
          <t>웹조사 자동화 실패(세션한도)</t>
        </is>
      </c>
      <c r="H2534" s="17" t="inlineStr">
        <is>
          <t>N</t>
        </is>
      </c>
      <c r="I2534" s="17" t="inlineStr">
        <is>
          <t>DART/채용</t>
        </is>
      </c>
      <c r="J2534" s="17" t="inlineStr">
        <is>
          <t>DART/채용에서 확인</t>
        </is>
      </c>
      <c r="K2534" s="17" t="inlineStr">
        <is>
          <t>낮음</t>
        </is>
      </c>
      <c r="L2534" s="17" t="inlineStr"/>
    </row>
    <row r="2535">
      <c r="A2535" s="17" t="inlineStr">
        <is>
          <t>C407</t>
        </is>
      </c>
      <c r="B2535" s="17" t="inlineStr"/>
      <c r="C2535" s="17" t="inlineStr">
        <is>
          <t>삼천당제약(주)</t>
        </is>
      </c>
      <c r="D2535" s="17" t="inlineStr"/>
      <c r="E2535" s="17" t="inlineStr">
        <is>
          <t>수출여부</t>
        </is>
      </c>
      <c r="F2535" s="17" t="inlineStr">
        <is>
          <t>미확인</t>
        </is>
      </c>
      <c r="G2535" s="17" t="inlineStr">
        <is>
          <t>웹조사 자동화 실패(세션한도)</t>
        </is>
      </c>
      <c r="H2535" s="17" t="inlineStr">
        <is>
          <t>N</t>
        </is>
      </c>
      <c r="I2535" s="17" t="inlineStr">
        <is>
          <t>회사 공시·홈페이지</t>
        </is>
      </c>
      <c r="J2535" s="17" t="inlineStr">
        <is>
          <t>회사 공시·홈페이지에서 확인</t>
        </is>
      </c>
      <c r="K2535" s="17" t="inlineStr">
        <is>
          <t>낮음</t>
        </is>
      </c>
      <c r="L2535" s="17" t="inlineStr"/>
    </row>
    <row r="2536">
      <c r="A2536" s="17" t="inlineStr">
        <is>
          <t>C407</t>
        </is>
      </c>
      <c r="B2536" s="17" t="inlineStr"/>
      <c r="C2536" s="17" t="inlineStr">
        <is>
          <t>삼천당제약(주)</t>
        </is>
      </c>
      <c r="D2536" s="17" t="inlineStr"/>
      <c r="E2536" s="17" t="inlineStr">
        <is>
          <t>FDA·EMA 실사</t>
        </is>
      </c>
      <c r="F2536" s="17" t="inlineStr">
        <is>
          <t>미확인</t>
        </is>
      </c>
      <c r="G2536" s="17" t="inlineStr">
        <is>
          <t>웹조사 자동화 실패(세션한도)</t>
        </is>
      </c>
      <c r="H2536" s="17" t="inlineStr">
        <is>
          <t>N</t>
        </is>
      </c>
      <c r="I2536" s="17" t="inlineStr">
        <is>
          <t>FDA Inspection DB</t>
        </is>
      </c>
      <c r="J2536" s="17" t="inlineStr">
        <is>
          <t>FDA Inspection DB에서 확인</t>
        </is>
      </c>
      <c r="K2536" s="17" t="inlineStr">
        <is>
          <t>낮음</t>
        </is>
      </c>
      <c r="L2536" s="17" t="inlineStr"/>
    </row>
    <row r="2537">
      <c r="A2537" s="17" t="inlineStr">
        <is>
          <t>C407</t>
        </is>
      </c>
      <c r="B2537" s="17" t="inlineStr"/>
      <c r="C2537" s="17" t="inlineStr">
        <is>
          <t>삼천당제약(주)</t>
        </is>
      </c>
      <c r="D2537" s="17" t="inlineStr"/>
      <c r="E2537" s="17" t="inlineStr">
        <is>
          <t>CMO·CDMO</t>
        </is>
      </c>
      <c r="F2537" s="17" t="inlineStr">
        <is>
          <t>미확인</t>
        </is>
      </c>
      <c r="G2537" s="17" t="inlineStr">
        <is>
          <t>웹조사 자동화 실패(세션한도)</t>
        </is>
      </c>
      <c r="H2537" s="17" t="inlineStr">
        <is>
          <t>N</t>
        </is>
      </c>
      <c r="I2537" s="17" t="inlineStr">
        <is>
          <t>회사 홈페이지</t>
        </is>
      </c>
      <c r="J2537" s="17" t="inlineStr">
        <is>
          <t>회사 홈페이지에서 확인</t>
        </is>
      </c>
      <c r="K2537" s="17" t="inlineStr">
        <is>
          <t>낮음</t>
        </is>
      </c>
      <c r="L2537" s="17" t="inlineStr"/>
    </row>
    <row r="2538">
      <c r="A2538" s="17" t="inlineStr">
        <is>
          <t>C407</t>
        </is>
      </c>
      <c r="B2538" s="17" t="inlineStr"/>
      <c r="C2538" s="17" t="inlineStr">
        <is>
          <t>삼천당제약(주)</t>
        </is>
      </c>
      <c r="D2538" s="17" t="inlineStr"/>
      <c r="E2538" s="17" t="inlineStr">
        <is>
          <t>신공장·증설</t>
        </is>
      </c>
      <c r="F2538" s="17" t="inlineStr">
        <is>
          <t>미확인</t>
        </is>
      </c>
      <c r="G2538" s="17" t="inlineStr">
        <is>
          <t>웹조사 자동화 실패(세션한도)</t>
        </is>
      </c>
      <c r="H2538" s="17" t="inlineStr">
        <is>
          <t>N</t>
        </is>
      </c>
      <c r="I2538" s="17" t="inlineStr">
        <is>
          <t>언론·지자체 발표</t>
        </is>
      </c>
      <c r="J2538" s="17" t="inlineStr">
        <is>
          <t>언론·지자체 발표에서 확인</t>
        </is>
      </c>
      <c r="K2538" s="17" t="inlineStr">
        <is>
          <t>낮음</t>
        </is>
      </c>
      <c r="L2538" s="17" t="inlineStr"/>
    </row>
    <row r="2539">
      <c r="A2539" s="17" t="inlineStr">
        <is>
          <t>C408</t>
        </is>
      </c>
      <c r="B2539" s="17" t="inlineStr"/>
      <c r="C2539" s="17" t="inlineStr">
        <is>
          <t>(주)에이치에스바이오</t>
        </is>
      </c>
      <c r="D2539" s="17" t="inlineStr"/>
      <c r="E2539" s="17" t="inlineStr">
        <is>
          <t>최근매출(억원)</t>
        </is>
      </c>
      <c r="F2539" s="17" t="inlineStr">
        <is>
          <t>미확인</t>
        </is>
      </c>
      <c r="G2539" s="17" t="inlineStr">
        <is>
          <t>웹조사 자동화 실패(세션한도)</t>
        </is>
      </c>
      <c r="H2539" s="17" t="inlineStr">
        <is>
          <t>N</t>
        </is>
      </c>
      <c r="I2539" s="17" t="inlineStr">
        <is>
          <t>DART 사업보고서</t>
        </is>
      </c>
      <c r="J2539" s="17" t="inlineStr">
        <is>
          <t>DART 사업보고서에서 확인</t>
        </is>
      </c>
      <c r="K2539" s="17" t="inlineStr">
        <is>
          <t>낮음</t>
        </is>
      </c>
      <c r="L2539" s="17" t="inlineStr"/>
    </row>
    <row r="2540">
      <c r="A2540" s="17" t="inlineStr">
        <is>
          <t>C408</t>
        </is>
      </c>
      <c r="B2540" s="17" t="inlineStr"/>
      <c r="C2540" s="17" t="inlineStr">
        <is>
          <t>(주)에이치에스바이오</t>
        </is>
      </c>
      <c r="D2540" s="17" t="inlineStr"/>
      <c r="E2540" s="17" t="inlineStr">
        <is>
          <t>종업원수</t>
        </is>
      </c>
      <c r="F2540" s="17" t="inlineStr">
        <is>
          <t>미확인</t>
        </is>
      </c>
      <c r="G2540" s="17" t="inlineStr">
        <is>
          <t>웹조사 자동화 실패(세션한도)</t>
        </is>
      </c>
      <c r="H2540" s="17" t="inlineStr">
        <is>
          <t>N</t>
        </is>
      </c>
      <c r="I2540" s="17" t="inlineStr">
        <is>
          <t>DART/채용</t>
        </is>
      </c>
      <c r="J2540" s="17" t="inlineStr">
        <is>
          <t>DART/채용에서 확인</t>
        </is>
      </c>
      <c r="K2540" s="17" t="inlineStr">
        <is>
          <t>낮음</t>
        </is>
      </c>
      <c r="L2540" s="17" t="inlineStr"/>
    </row>
    <row r="2541">
      <c r="A2541" s="17" t="inlineStr">
        <is>
          <t>C408</t>
        </is>
      </c>
      <c r="B2541" s="17" t="inlineStr"/>
      <c r="C2541" s="17" t="inlineStr">
        <is>
          <t>(주)에이치에스바이오</t>
        </is>
      </c>
      <c r="D2541" s="17" t="inlineStr"/>
      <c r="E2541" s="17" t="inlineStr">
        <is>
          <t>수출여부</t>
        </is>
      </c>
      <c r="F2541" s="17" t="inlineStr">
        <is>
          <t>미확인</t>
        </is>
      </c>
      <c r="G2541" s="17" t="inlineStr">
        <is>
          <t>웹조사 자동화 실패(세션한도)</t>
        </is>
      </c>
      <c r="H2541" s="17" t="inlineStr">
        <is>
          <t>N</t>
        </is>
      </c>
      <c r="I2541" s="17" t="inlineStr">
        <is>
          <t>회사 공시·홈페이지</t>
        </is>
      </c>
      <c r="J2541" s="17" t="inlineStr">
        <is>
          <t>회사 공시·홈페이지에서 확인</t>
        </is>
      </c>
      <c r="K2541" s="17" t="inlineStr">
        <is>
          <t>낮음</t>
        </is>
      </c>
      <c r="L2541" s="17" t="inlineStr"/>
    </row>
    <row r="2542">
      <c r="A2542" s="17" t="inlineStr">
        <is>
          <t>C408</t>
        </is>
      </c>
      <c r="B2542" s="17" t="inlineStr"/>
      <c r="C2542" s="17" t="inlineStr">
        <is>
          <t>(주)에이치에스바이오</t>
        </is>
      </c>
      <c r="D2542" s="17" t="inlineStr"/>
      <c r="E2542" s="17" t="inlineStr">
        <is>
          <t>FDA·EMA 실사</t>
        </is>
      </c>
      <c r="F2542" s="17" t="inlineStr">
        <is>
          <t>미확인</t>
        </is>
      </c>
      <c r="G2542" s="17" t="inlineStr">
        <is>
          <t>웹조사 자동화 실패(세션한도)</t>
        </is>
      </c>
      <c r="H2542" s="17" t="inlineStr">
        <is>
          <t>N</t>
        </is>
      </c>
      <c r="I2542" s="17" t="inlineStr">
        <is>
          <t>FDA Inspection DB</t>
        </is>
      </c>
      <c r="J2542" s="17" t="inlineStr">
        <is>
          <t>FDA Inspection DB에서 확인</t>
        </is>
      </c>
      <c r="K2542" s="17" t="inlineStr">
        <is>
          <t>낮음</t>
        </is>
      </c>
      <c r="L2542" s="17" t="inlineStr"/>
    </row>
    <row r="2543">
      <c r="A2543" s="17" t="inlineStr">
        <is>
          <t>C408</t>
        </is>
      </c>
      <c r="B2543" s="17" t="inlineStr"/>
      <c r="C2543" s="17" t="inlineStr">
        <is>
          <t>(주)에이치에스바이오</t>
        </is>
      </c>
      <c r="D2543" s="17" t="inlineStr"/>
      <c r="E2543" s="17" t="inlineStr">
        <is>
          <t>CMO·CDMO</t>
        </is>
      </c>
      <c r="F2543" s="17" t="inlineStr">
        <is>
          <t>미확인</t>
        </is>
      </c>
      <c r="G2543" s="17" t="inlineStr">
        <is>
          <t>웹조사 자동화 실패(세션한도)</t>
        </is>
      </c>
      <c r="H2543" s="17" t="inlineStr">
        <is>
          <t>N</t>
        </is>
      </c>
      <c r="I2543" s="17" t="inlineStr">
        <is>
          <t>회사 홈페이지</t>
        </is>
      </c>
      <c r="J2543" s="17" t="inlineStr">
        <is>
          <t>회사 홈페이지에서 확인</t>
        </is>
      </c>
      <c r="K2543" s="17" t="inlineStr">
        <is>
          <t>낮음</t>
        </is>
      </c>
      <c r="L2543" s="17" t="inlineStr"/>
    </row>
    <row r="2544">
      <c r="A2544" s="17" t="inlineStr">
        <is>
          <t>C408</t>
        </is>
      </c>
      <c r="B2544" s="17" t="inlineStr"/>
      <c r="C2544" s="17" t="inlineStr">
        <is>
          <t>(주)에이치에스바이오</t>
        </is>
      </c>
      <c r="D2544" s="17" t="inlineStr"/>
      <c r="E2544" s="17" t="inlineStr">
        <is>
          <t>신공장·증설</t>
        </is>
      </c>
      <c r="F2544" s="17" t="inlineStr">
        <is>
          <t>미확인</t>
        </is>
      </c>
      <c r="G2544" s="17" t="inlineStr">
        <is>
          <t>웹조사 자동화 실패(세션한도)</t>
        </is>
      </c>
      <c r="H2544" s="17" t="inlineStr">
        <is>
          <t>N</t>
        </is>
      </c>
      <c r="I2544" s="17" t="inlineStr">
        <is>
          <t>언론·지자체 발표</t>
        </is>
      </c>
      <c r="J2544" s="17" t="inlineStr">
        <is>
          <t>언론·지자체 발표에서 확인</t>
        </is>
      </c>
      <c r="K2544" s="17" t="inlineStr">
        <is>
          <t>낮음</t>
        </is>
      </c>
      <c r="L2544" s="17" t="inlineStr"/>
    </row>
    <row r="2545">
      <c r="A2545" s="17" t="inlineStr">
        <is>
          <t>C409</t>
        </is>
      </c>
      <c r="B2545" s="17" t="inlineStr"/>
      <c r="C2545" s="17" t="inlineStr">
        <is>
          <t>한국원자력의학원</t>
        </is>
      </c>
      <c r="D2545" s="17" t="inlineStr"/>
      <c r="E2545" s="17" t="inlineStr">
        <is>
          <t>최근매출(억원)</t>
        </is>
      </c>
      <c r="F2545" s="17" t="inlineStr">
        <is>
          <t>미확인</t>
        </is>
      </c>
      <c r="G2545" s="17" t="inlineStr">
        <is>
          <t>웹조사 자동화 실패(세션한도)</t>
        </is>
      </c>
      <c r="H2545" s="17" t="inlineStr">
        <is>
          <t>N</t>
        </is>
      </c>
      <c r="I2545" s="17" t="inlineStr">
        <is>
          <t>DART 사업보고서</t>
        </is>
      </c>
      <c r="J2545" s="17" t="inlineStr">
        <is>
          <t>DART 사업보고서에서 확인</t>
        </is>
      </c>
      <c r="K2545" s="17" t="inlineStr">
        <is>
          <t>낮음</t>
        </is>
      </c>
      <c r="L2545" s="17" t="inlineStr"/>
    </row>
    <row r="2546">
      <c r="A2546" s="17" t="inlineStr">
        <is>
          <t>C409</t>
        </is>
      </c>
      <c r="B2546" s="17" t="inlineStr"/>
      <c r="C2546" s="17" t="inlineStr">
        <is>
          <t>한국원자력의학원</t>
        </is>
      </c>
      <c r="D2546" s="17" t="inlineStr"/>
      <c r="E2546" s="17" t="inlineStr">
        <is>
          <t>종업원수</t>
        </is>
      </c>
      <c r="F2546" s="17" t="inlineStr">
        <is>
          <t>미확인</t>
        </is>
      </c>
      <c r="G2546" s="17" t="inlineStr">
        <is>
          <t>웹조사 자동화 실패(세션한도)</t>
        </is>
      </c>
      <c r="H2546" s="17" t="inlineStr">
        <is>
          <t>N</t>
        </is>
      </c>
      <c r="I2546" s="17" t="inlineStr">
        <is>
          <t>DART/채용</t>
        </is>
      </c>
      <c r="J2546" s="17" t="inlineStr">
        <is>
          <t>DART/채용에서 확인</t>
        </is>
      </c>
      <c r="K2546" s="17" t="inlineStr">
        <is>
          <t>낮음</t>
        </is>
      </c>
      <c r="L2546" s="17" t="inlineStr"/>
    </row>
    <row r="2547">
      <c r="A2547" s="17" t="inlineStr">
        <is>
          <t>C409</t>
        </is>
      </c>
      <c r="B2547" s="17" t="inlineStr"/>
      <c r="C2547" s="17" t="inlineStr">
        <is>
          <t>한국원자력의학원</t>
        </is>
      </c>
      <c r="D2547" s="17" t="inlineStr"/>
      <c r="E2547" s="17" t="inlineStr">
        <is>
          <t>수출여부</t>
        </is>
      </c>
      <c r="F2547" s="17" t="inlineStr">
        <is>
          <t>미확인</t>
        </is>
      </c>
      <c r="G2547" s="17" t="inlineStr">
        <is>
          <t>웹조사 자동화 실패(세션한도)</t>
        </is>
      </c>
      <c r="H2547" s="17" t="inlineStr">
        <is>
          <t>N</t>
        </is>
      </c>
      <c r="I2547" s="17" t="inlineStr">
        <is>
          <t>회사 공시·홈페이지</t>
        </is>
      </c>
      <c r="J2547" s="17" t="inlineStr">
        <is>
          <t>회사 공시·홈페이지에서 확인</t>
        </is>
      </c>
      <c r="K2547" s="17" t="inlineStr">
        <is>
          <t>낮음</t>
        </is>
      </c>
      <c r="L2547" s="17" t="inlineStr"/>
    </row>
    <row r="2548">
      <c r="A2548" s="17" t="inlineStr">
        <is>
          <t>C409</t>
        </is>
      </c>
      <c r="B2548" s="17" t="inlineStr"/>
      <c r="C2548" s="17" t="inlineStr">
        <is>
          <t>한국원자력의학원</t>
        </is>
      </c>
      <c r="D2548" s="17" t="inlineStr"/>
      <c r="E2548" s="17" t="inlineStr">
        <is>
          <t>FDA·EMA 실사</t>
        </is>
      </c>
      <c r="F2548" s="17" t="inlineStr">
        <is>
          <t>미확인</t>
        </is>
      </c>
      <c r="G2548" s="17" t="inlineStr">
        <is>
          <t>웹조사 자동화 실패(세션한도)</t>
        </is>
      </c>
      <c r="H2548" s="17" t="inlineStr">
        <is>
          <t>N</t>
        </is>
      </c>
      <c r="I2548" s="17" t="inlineStr">
        <is>
          <t>FDA Inspection DB</t>
        </is>
      </c>
      <c r="J2548" s="17" t="inlineStr">
        <is>
          <t>FDA Inspection DB에서 확인</t>
        </is>
      </c>
      <c r="K2548" s="17" t="inlineStr">
        <is>
          <t>낮음</t>
        </is>
      </c>
      <c r="L2548" s="17" t="inlineStr"/>
    </row>
    <row r="2549">
      <c r="A2549" s="17" t="inlineStr">
        <is>
          <t>C409</t>
        </is>
      </c>
      <c r="B2549" s="17" t="inlineStr"/>
      <c r="C2549" s="17" t="inlineStr">
        <is>
          <t>한국원자력의학원</t>
        </is>
      </c>
      <c r="D2549" s="17" t="inlineStr"/>
      <c r="E2549" s="17" t="inlineStr">
        <is>
          <t>CMO·CDMO</t>
        </is>
      </c>
      <c r="F2549" s="17" t="inlineStr">
        <is>
          <t>미확인</t>
        </is>
      </c>
      <c r="G2549" s="17" t="inlineStr">
        <is>
          <t>웹조사 자동화 실패(세션한도)</t>
        </is>
      </c>
      <c r="H2549" s="17" t="inlineStr">
        <is>
          <t>N</t>
        </is>
      </c>
      <c r="I2549" s="17" t="inlineStr">
        <is>
          <t>회사 홈페이지</t>
        </is>
      </c>
      <c r="J2549" s="17" t="inlineStr">
        <is>
          <t>회사 홈페이지에서 확인</t>
        </is>
      </c>
      <c r="K2549" s="17" t="inlineStr">
        <is>
          <t>낮음</t>
        </is>
      </c>
      <c r="L2549" s="17" t="inlineStr"/>
    </row>
    <row r="2550">
      <c r="A2550" s="17" t="inlineStr">
        <is>
          <t>C409</t>
        </is>
      </c>
      <c r="B2550" s="17" t="inlineStr"/>
      <c r="C2550" s="17" t="inlineStr">
        <is>
          <t>한국원자력의학원</t>
        </is>
      </c>
      <c r="D2550" s="17" t="inlineStr"/>
      <c r="E2550" s="17" t="inlineStr">
        <is>
          <t>신공장·증설</t>
        </is>
      </c>
      <c r="F2550" s="17" t="inlineStr">
        <is>
          <t>미확인</t>
        </is>
      </c>
      <c r="G2550" s="17" t="inlineStr">
        <is>
          <t>웹조사 자동화 실패(세션한도)</t>
        </is>
      </c>
      <c r="H2550" s="17" t="inlineStr">
        <is>
          <t>N</t>
        </is>
      </c>
      <c r="I2550" s="17" t="inlineStr">
        <is>
          <t>언론·지자체 발표</t>
        </is>
      </c>
      <c r="J2550" s="17" t="inlineStr">
        <is>
          <t>언론·지자체 발표에서 확인</t>
        </is>
      </c>
      <c r="K2550" s="17" t="inlineStr">
        <is>
          <t>낮음</t>
        </is>
      </c>
      <c r="L2550" s="17" t="inlineStr"/>
    </row>
  </sheetData>
  <autoFilter ref="A1:L255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4" t="inlineStr">
        <is>
          <t>SITE_ID</t>
        </is>
      </c>
      <c r="B1" s="14" t="inlineStr">
        <is>
          <t>회사키(정규화)</t>
        </is>
      </c>
      <c r="C1" s="14" t="inlineStr">
        <is>
          <t>업체명</t>
        </is>
      </c>
      <c r="D1" s="14" t="inlineStr">
        <is>
          <t>공장소재지</t>
        </is>
      </c>
      <c r="E1" s="14" t="inlineStr">
        <is>
          <t>완제원료구분</t>
        </is>
      </c>
      <c r="F1" s="14" t="inlineStr">
        <is>
          <t>제형군·제조방법</t>
        </is>
      </c>
      <c r="G1" s="14" t="inlineStr">
        <is>
          <t>유효기간</t>
        </is>
      </c>
      <c r="H1" s="14" t="inlineStr">
        <is>
          <t>물리제조소_첫행</t>
        </is>
      </c>
      <c r="I1" s="14" t="inlineStr">
        <is>
          <t>무균성제형</t>
        </is>
      </c>
      <c r="J1" s="14" t="inlineStr">
        <is>
          <t>생물학적제형</t>
        </is>
      </c>
    </row>
    <row r="2">
      <c r="A2" t="inlineStr">
        <is>
          <t>S001</t>
        </is>
      </c>
      <c r="B2" t="inlineStr">
        <is>
          <t>이연제약</t>
        </is>
      </c>
      <c r="C2" t="inlineStr">
        <is>
          <t>이연제약(주)</t>
        </is>
      </c>
      <c r="D2" t="inlineStr">
        <is>
          <t>충청북도 충주시 대소원면 기업도시1로 64</t>
        </is>
      </c>
      <c r="E2" t="inlineStr">
        <is>
          <t>완제의약품</t>
        </is>
      </c>
      <c r="F2" t="inlineStr">
        <is>
          <t>무균-일반제제-주사제(주사제, 동결건조주사제)</t>
        </is>
      </c>
      <c r="G2" s="32" t="n">
        <v>47357</v>
      </c>
      <c r="H2">
        <f>IF(COUNTIFS($B$2:B2,B2,$D$2:D2,D2)=1,1,0)</f>
        <v/>
      </c>
      <c r="I2">
        <f>IF(OR(LEFT(F2,2)="무균",ISNUMBER(SEARCH("주사제",F2))),"Y","")</f>
        <v/>
      </c>
      <c r="J2">
        <f>IF(LEFT(F2,2)="생물","Y","")</f>
        <v/>
      </c>
    </row>
    <row r="3">
      <c r="A3" t="inlineStr">
        <is>
          <t>S002</t>
        </is>
      </c>
      <c r="B3" t="inlineStr">
        <is>
          <t>한국원자력연구원</t>
        </is>
      </c>
      <c r="C3" t="inlineStr">
        <is>
          <t>한국원자력연구원</t>
        </is>
      </c>
      <c r="D3" t="inlineStr">
        <is>
          <t>대전광역시 유성구 대덕대로989번길 111</t>
        </is>
      </c>
      <c r="E3" t="inlineStr">
        <is>
          <t>완제의약품</t>
        </is>
      </c>
      <c r="F3" t="inlineStr">
        <is>
          <t>무균-일반제제(방사성의약품)-주사제(주사제)</t>
        </is>
      </c>
      <c r="G3" s="32" t="n">
        <v>47332</v>
      </c>
      <c r="H3">
        <f>IF(COUNTIFS($B$2:B3,B3,$D$2:D3,D3)=1,1,0)</f>
        <v/>
      </c>
      <c r="I3">
        <f>IF(OR(LEFT(F3,2)="무균",ISNUMBER(SEARCH("주사제",F3))),"Y","")</f>
        <v/>
      </c>
      <c r="J3">
        <f>IF(LEFT(F3,2)="생물","Y","")</f>
        <v/>
      </c>
    </row>
    <row r="4">
      <c r="A4" t="inlineStr">
        <is>
          <t>S003</t>
        </is>
      </c>
      <c r="B4" t="inlineStr">
        <is>
          <t>한국원자력연구원</t>
        </is>
      </c>
      <c r="C4" t="inlineStr">
        <is>
          <t>한국원자력연구원</t>
        </is>
      </c>
      <c r="D4" t="inlineStr">
        <is>
          <t>대전광역시 유성구 대덕대로989번길 111</t>
        </is>
      </c>
      <c r="E4" t="inlineStr">
        <is>
          <t>원료의약품</t>
        </is>
      </c>
      <c r="F4" t="inlineStr">
        <is>
          <t>비무균-일반제제(방사성의약품)-합성</t>
        </is>
      </c>
      <c r="G4" s="32" t="n">
        <v>47332</v>
      </c>
      <c r="H4">
        <f>IF(COUNTIFS($B$2:B4,B4,$D$2:D4,D4)=1,1,0)</f>
        <v/>
      </c>
      <c r="I4">
        <f>IF(OR(LEFT(F4,2)="무균",ISNUMBER(SEARCH("주사제",F4))),"Y","")</f>
        <v/>
      </c>
      <c r="J4">
        <f>IF(LEFT(F4,2)="생물","Y","")</f>
        <v/>
      </c>
    </row>
    <row r="5">
      <c r="A5" t="inlineStr">
        <is>
          <t>S004</t>
        </is>
      </c>
      <c r="B5" t="inlineStr">
        <is>
          <t>엔바이로코리아</t>
        </is>
      </c>
      <c r="C5" t="inlineStr">
        <is>
          <t>(주)엔바이로코리아</t>
        </is>
      </c>
      <c r="D5" t="inlineStr">
        <is>
          <t>대전광역시 유성구 테크노2로 167-10 (용산동 528)</t>
        </is>
      </c>
      <c r="E5" t="inlineStr">
        <is>
          <t>완제의약품</t>
        </is>
      </c>
      <c r="F5" t="inlineStr">
        <is>
          <t>무균-일반제제(방사성의약품)-주사제(주사제)</t>
        </is>
      </c>
      <c r="G5" s="32" t="n">
        <v>47325</v>
      </c>
      <c r="H5">
        <f>IF(COUNTIFS($B$2:B5,B5,$D$2:D5,D5)=1,1,0)</f>
        <v/>
      </c>
      <c r="I5">
        <f>IF(OR(LEFT(F5,2)="무균",ISNUMBER(SEARCH("주사제",F5))),"Y","")</f>
        <v/>
      </c>
      <c r="J5">
        <f>IF(LEFT(F5,2)="생물","Y","")</f>
        <v/>
      </c>
    </row>
    <row r="6">
      <c r="A6" t="inlineStr">
        <is>
          <t>S005</t>
        </is>
      </c>
      <c r="B6" t="inlineStr">
        <is>
          <t>보란파마</t>
        </is>
      </c>
      <c r="C6" t="inlineStr">
        <is>
          <t>보란파마</t>
        </is>
      </c>
      <c r="D6" t="inlineStr">
        <is>
          <t>경기도 평택시 청북읍 고렴산단로 121</t>
        </is>
      </c>
      <c r="E6" t="inlineStr">
        <is>
          <t>완제의약품</t>
        </is>
      </c>
      <c r="F6" t="inlineStr">
        <is>
          <t>무균-일반제제-주사제(주사제), 생물-항독소-주사제(동결건조주사제)</t>
        </is>
      </c>
      <c r="G6" s="32" t="n">
        <v>47325</v>
      </c>
      <c r="H6">
        <f>IF(COUNTIFS($B$2:B6,B6,$D$2:D6,D6)=1,1,0)</f>
        <v/>
      </c>
      <c r="I6">
        <f>IF(OR(LEFT(F6,2)="무균",ISNUMBER(SEARCH("주사제",F6))),"Y","")</f>
        <v/>
      </c>
      <c r="J6">
        <f>IF(LEFT(F6,2)="생물","Y","")</f>
        <v/>
      </c>
    </row>
    <row r="7">
      <c r="A7" t="inlineStr">
        <is>
          <t>S006</t>
        </is>
      </c>
      <c r="B7" t="inlineStr">
        <is>
          <t>애거슨바이오</t>
        </is>
      </c>
      <c r="C7" t="inlineStr">
        <is>
          <t>(주)애거슨바이오</t>
        </is>
      </c>
      <c r="D7" t="inlineStr">
        <is>
          <t>충청북도 음성군 금왕읍 금왕테크노5길 7</t>
        </is>
      </c>
      <c r="E7" t="inlineStr">
        <is>
          <t>원료의약품</t>
        </is>
      </c>
      <c r="F7" t="inlineStr">
        <is>
          <t>비무균-일반제제-합성</t>
        </is>
      </c>
      <c r="G7" s="32" t="n">
        <v>47324</v>
      </c>
      <c r="H7">
        <f>IF(COUNTIFS($B$2:B7,B7,$D$2:D7,D7)=1,1,0)</f>
        <v/>
      </c>
      <c r="I7">
        <f>IF(OR(LEFT(F7,2)="무균",ISNUMBER(SEARCH("주사제",F7))),"Y","")</f>
        <v/>
      </c>
      <c r="J7">
        <f>IF(LEFT(F7,2)="생물","Y","")</f>
        <v/>
      </c>
    </row>
    <row r="8">
      <c r="A8" t="inlineStr">
        <is>
          <t>S007</t>
        </is>
      </c>
      <c r="B8" t="inlineStr">
        <is>
          <t>에스피씨</t>
        </is>
      </c>
      <c r="C8" t="inlineStr">
        <is>
          <t>에스피씨(주)</t>
        </is>
      </c>
      <c r="D8" t="inlineStr">
        <is>
          <t>경기도 평택시 포승읍 평택항만길 386</t>
        </is>
      </c>
      <c r="E8" t="inlineStr">
        <is>
          <t>완제의약품</t>
        </is>
      </c>
      <c r="F8" t="inlineStr">
        <is>
          <t>비무균-일반제제-내용고형제(산제)</t>
        </is>
      </c>
      <c r="G8" s="32" t="n">
        <v>47319</v>
      </c>
      <c r="H8">
        <f>IF(COUNTIFS($B$2:B8,B8,$D$2:D8,D8)=1,1,0)</f>
        <v/>
      </c>
      <c r="I8">
        <f>IF(OR(LEFT(F8,2)="무균",ISNUMBER(SEARCH("주사제",F8))),"Y","")</f>
        <v/>
      </c>
      <c r="J8">
        <f>IF(LEFT(F8,2)="생물","Y","")</f>
        <v/>
      </c>
    </row>
    <row r="9">
      <c r="A9" t="inlineStr">
        <is>
          <t>S008</t>
        </is>
      </c>
      <c r="B9" t="inlineStr">
        <is>
          <t>에스피씨</t>
        </is>
      </c>
      <c r="C9" t="inlineStr">
        <is>
          <t>에스피씨(주)</t>
        </is>
      </c>
      <c r="D9" t="inlineStr">
        <is>
          <t>경기도 평택시 포승읍 평택항만길 386</t>
        </is>
      </c>
      <c r="E9" t="inlineStr">
        <is>
          <t>원료의약품</t>
        </is>
      </c>
      <c r="F9" t="inlineStr">
        <is>
          <t>무균-세팔로스포린제제-합성, 비무균-일반제제-합성, 비무균-일반제제-정제(합성에 한함), 무균-세팔로스포린제제-혼합</t>
        </is>
      </c>
      <c r="G9" s="32" t="n">
        <v>47319</v>
      </c>
      <c r="H9">
        <f>IF(COUNTIFS($B$2:B9,B9,$D$2:D9,D9)=1,1,0)</f>
        <v/>
      </c>
      <c r="I9">
        <f>IF(OR(LEFT(F9,2)="무균",ISNUMBER(SEARCH("주사제",F9))),"Y","")</f>
        <v/>
      </c>
      <c r="J9">
        <f>IF(LEFT(F9,2)="생물","Y","")</f>
        <v/>
      </c>
    </row>
    <row r="10">
      <c r="A10" t="inlineStr">
        <is>
          <t>S009</t>
        </is>
      </c>
      <c r="B10" t="inlineStr">
        <is>
          <t>대성의료종합가스</t>
        </is>
      </c>
      <c r="C10" t="inlineStr">
        <is>
          <t>대성의료종합가스(주)</t>
        </is>
      </c>
      <c r="D10" t="inlineStr">
        <is>
          <t>경기도 가평군 조종면 비득재길 158</t>
        </is>
      </c>
      <c r="E10" t="inlineStr">
        <is>
          <t>완제의약품</t>
        </is>
      </c>
      <c r="F10" t="inlineStr">
        <is>
          <t>비무균-일반제제-가스제(의료용 고압가스)</t>
        </is>
      </c>
      <c r="G10" s="32" t="n">
        <v>47315</v>
      </c>
      <c r="H10">
        <f>IF(COUNTIFS($B$2:B10,B10,$D$2:D10,D10)=1,1,0)</f>
        <v/>
      </c>
      <c r="I10">
        <f>IF(OR(LEFT(F10,2)="무균",ISNUMBER(SEARCH("주사제",F10))),"Y","")</f>
        <v/>
      </c>
      <c r="J10">
        <f>IF(LEFT(F10,2)="생물","Y","")</f>
        <v/>
      </c>
    </row>
    <row r="11">
      <c r="A11" t="inlineStr">
        <is>
          <t>S010</t>
        </is>
      </c>
      <c r="B11" t="inlineStr">
        <is>
          <t>에스에스팜</t>
        </is>
      </c>
      <c r="C11" t="inlineStr">
        <is>
          <t>에스에스팜(주)</t>
        </is>
      </c>
      <c r="D11" t="inlineStr">
        <is>
          <t>경기도 안산시 단원구 범지기로141번길 10</t>
        </is>
      </c>
      <c r="E11" t="inlineStr">
        <is>
          <t>완제의약품</t>
        </is>
      </c>
      <c r="F11" t="inlineStr">
        <is>
          <t>비무균-일반제제-내용고형제(산제)</t>
        </is>
      </c>
      <c r="G11" s="32" t="n">
        <v>47312</v>
      </c>
      <c r="H11">
        <f>IF(COUNTIFS($B$2:B11,B11,$D$2:D11,D11)=1,1,0)</f>
        <v/>
      </c>
      <c r="I11">
        <f>IF(OR(LEFT(F11,2)="무균",ISNUMBER(SEARCH("주사제",F11))),"Y","")</f>
        <v/>
      </c>
      <c r="J11">
        <f>IF(LEFT(F11,2)="생물","Y","")</f>
        <v/>
      </c>
    </row>
    <row r="12">
      <c r="A12" t="inlineStr">
        <is>
          <t>S011</t>
        </is>
      </c>
      <c r="B12" t="inlineStr">
        <is>
          <t>지에이치</t>
        </is>
      </c>
      <c r="C12" t="inlineStr">
        <is>
          <t>지에이치(주)</t>
        </is>
      </c>
      <c r="D12" t="inlineStr">
        <is>
          <t>충청남도 예산군 응봉면 응봉로 50-33</t>
        </is>
      </c>
      <c r="E12" t="inlineStr">
        <is>
          <t>원료의약품</t>
        </is>
      </c>
      <c r="F12" t="inlineStr">
        <is>
          <t>비무균-일반제제-추출</t>
        </is>
      </c>
      <c r="G12" s="32" t="n">
        <v>47310</v>
      </c>
      <c r="H12">
        <f>IF(COUNTIFS($B$2:B12,B12,$D$2:D12,D12)=1,1,0)</f>
        <v/>
      </c>
      <c r="I12">
        <f>IF(OR(LEFT(F12,2)="무균",ISNUMBER(SEARCH("주사제",F12))),"Y","")</f>
        <v/>
      </c>
      <c r="J12">
        <f>IF(LEFT(F12,2)="생물","Y","")</f>
        <v/>
      </c>
    </row>
    <row r="13">
      <c r="A13" t="inlineStr">
        <is>
          <t>S012</t>
        </is>
      </c>
      <c r="B13" t="inlineStr">
        <is>
          <t>경방신약</t>
        </is>
      </c>
      <c r="C13" t="inlineStr">
        <is>
          <t>경방신약(주)</t>
        </is>
      </c>
      <c r="D13" t="inlineStr">
        <is>
          <t>충청남도 금산군 부리면 인삼약초공단로 27</t>
        </is>
      </c>
      <c r="E13" t="inlineStr">
        <is>
          <t>원료의약품</t>
        </is>
      </c>
      <c r="F13" t="inlineStr">
        <is>
          <t>비무균-일반제제-추출</t>
        </is>
      </c>
      <c r="G13" s="32" t="n">
        <v>47304</v>
      </c>
      <c r="H13">
        <f>IF(COUNTIFS($B$2:B13,B13,$D$2:D13,D13)=1,1,0)</f>
        <v/>
      </c>
      <c r="I13">
        <f>IF(OR(LEFT(F13,2)="무균",ISNUMBER(SEARCH("주사제",F13))),"Y","")</f>
        <v/>
      </c>
      <c r="J13">
        <f>IF(LEFT(F13,2)="생물","Y","")</f>
        <v/>
      </c>
    </row>
    <row r="14">
      <c r="A14" t="inlineStr">
        <is>
          <t>S013</t>
        </is>
      </c>
      <c r="B14" t="inlineStr">
        <is>
          <t>경방신약</t>
        </is>
      </c>
      <c r="C14" t="inlineStr">
        <is>
          <t>경방신약(주)</t>
        </is>
      </c>
      <c r="D14" t="inlineStr">
        <is>
          <t>충청남도 금산군 부리면 인삼약초공단로 27</t>
        </is>
      </c>
      <c r="E14" t="inlineStr">
        <is>
          <t>완제의약품</t>
        </is>
      </c>
      <c r="F14" t="inlineStr">
        <is>
          <t>비무균-일반제제-내용고형제(산제), 비무균-일반제제-내용액제(경구용액제, 시럽제(액상), 엑스제(액상))</t>
        </is>
      </c>
      <c r="G14" s="32" t="n">
        <v>47304</v>
      </c>
      <c r="H14">
        <f>IF(COUNTIFS($B$2:B14,B14,$D$2:D14,D14)=1,1,0)</f>
        <v/>
      </c>
      <c r="I14">
        <f>IF(OR(LEFT(F14,2)="무균",ISNUMBER(SEARCH("주사제",F14))),"Y","")</f>
        <v/>
      </c>
      <c r="J14">
        <f>IF(LEFT(F14,2)="생물","Y","")</f>
        <v/>
      </c>
    </row>
    <row r="15">
      <c r="A15" t="inlineStr">
        <is>
          <t>S014</t>
        </is>
      </c>
      <c r="B15" t="inlineStr">
        <is>
          <t>제이비케이랩</t>
        </is>
      </c>
      <c r="C15" t="inlineStr">
        <is>
          <t>주식회사 제이비케이랩</t>
        </is>
      </c>
      <c r="D15" t="inlineStr">
        <is>
          <t>전라남도 화순군 동면 동농공길 17 (동면농공단지)</t>
        </is>
      </c>
      <c r="E15" t="inlineStr">
        <is>
          <t>완제의약품</t>
        </is>
      </c>
      <c r="F15" t="inlineStr">
        <is>
          <t>비무균-일반제제-내용고형제(정제, 캡슐제, 과립제)</t>
        </is>
      </c>
      <c r="G15" s="32" t="n">
        <v>47303</v>
      </c>
      <c r="H15">
        <f>IF(COUNTIFS($B$2:B15,B15,$D$2:D15,D15)=1,1,0)</f>
        <v/>
      </c>
      <c r="I15">
        <f>IF(OR(LEFT(F15,2)="무균",ISNUMBER(SEARCH("주사제",F15))),"Y","")</f>
        <v/>
      </c>
      <c r="J15">
        <f>IF(LEFT(F15,2)="생물","Y","")</f>
        <v/>
      </c>
    </row>
    <row r="16">
      <c r="A16" t="inlineStr">
        <is>
          <t>S015</t>
        </is>
      </c>
      <c r="B16" t="inlineStr">
        <is>
          <t>대일가스</t>
        </is>
      </c>
      <c r="C16" t="inlineStr">
        <is>
          <t>(주)대일가스</t>
        </is>
      </c>
      <c r="D16" t="inlineStr">
        <is>
          <t>강원특별자치도 강릉시 강동면 아래장작골길 68</t>
        </is>
      </c>
      <c r="E16" t="inlineStr">
        <is>
          <t>완제의약품</t>
        </is>
      </c>
      <c r="F16" t="inlineStr">
        <is>
          <t>비무균-일반제제-가스제(의료용 고압가스)</t>
        </is>
      </c>
      <c r="G16" s="32" t="n">
        <v>47302</v>
      </c>
      <c r="H16">
        <f>IF(COUNTIFS($B$2:B16,B16,$D$2:D16,D16)=1,1,0)</f>
        <v/>
      </c>
      <c r="I16">
        <f>IF(OR(LEFT(F16,2)="무균",ISNUMBER(SEARCH("주사제",F16))),"Y","")</f>
        <v/>
      </c>
      <c r="J16">
        <f>IF(LEFT(F16,2)="생물","Y","")</f>
        <v/>
      </c>
    </row>
    <row r="17">
      <c r="A17" t="inlineStr">
        <is>
          <t>S016</t>
        </is>
      </c>
      <c r="B17" t="inlineStr">
        <is>
          <t>동방산업가스</t>
        </is>
      </c>
      <c r="C17" t="inlineStr">
        <is>
          <t>동방산업가스</t>
        </is>
      </c>
      <c r="D17" t="inlineStr">
        <is>
          <t>경상북도 안동시 풍산읍 절뒤길 34 동방산업가스</t>
        </is>
      </c>
      <c r="E17" t="inlineStr">
        <is>
          <t>완제의약품</t>
        </is>
      </c>
      <c r="F17" t="inlineStr">
        <is>
          <t>비무균-일반제제(의료용 고압가스)-가스제(의료용 고압가스)</t>
        </is>
      </c>
      <c r="G17" s="32" t="n">
        <v>47302</v>
      </c>
      <c r="H17">
        <f>IF(COUNTIFS($B$2:B17,B17,$D$2:D17,D17)=1,1,0)</f>
        <v/>
      </c>
      <c r="I17">
        <f>IF(OR(LEFT(F17,2)="무균",ISNUMBER(SEARCH("주사제",F17))),"Y","")</f>
        <v/>
      </c>
      <c r="J17">
        <f>IF(LEFT(F17,2)="생물","Y","")</f>
        <v/>
      </c>
    </row>
    <row r="18">
      <c r="A18" t="inlineStr">
        <is>
          <t>S017</t>
        </is>
      </c>
      <c r="B18" t="inlineStr">
        <is>
          <t>에어코리아</t>
        </is>
      </c>
      <c r="C18" t="inlineStr">
        <is>
          <t>에어코리아(주)</t>
        </is>
      </c>
      <c r="D18" t="inlineStr">
        <is>
          <t>경기도 여주시 주내로 799-16 799-8(1층)(시험실)</t>
        </is>
      </c>
      <c r="E18" t="inlineStr">
        <is>
          <t>완제의약품</t>
        </is>
      </c>
      <c r="F18" t="inlineStr">
        <is>
          <t>비무균-일반제제(의료용 고압가스)-가스제(의료용 고압가스)</t>
        </is>
      </c>
      <c r="G18" s="32" t="n">
        <v>47296</v>
      </c>
      <c r="H18">
        <f>IF(COUNTIFS($B$2:B18,B18,$D$2:D18,D18)=1,1,0)</f>
        <v/>
      </c>
      <c r="I18">
        <f>IF(OR(LEFT(F18,2)="무균",ISNUMBER(SEARCH("주사제",F18))),"Y","")</f>
        <v/>
      </c>
      <c r="J18">
        <f>IF(LEFT(F18,2)="생물","Y","")</f>
        <v/>
      </c>
    </row>
    <row r="19">
      <c r="A19" t="inlineStr">
        <is>
          <t>S018</t>
        </is>
      </c>
      <c r="B19" t="inlineStr">
        <is>
          <t>유케이케미팜</t>
        </is>
      </c>
      <c r="C19" t="inlineStr">
        <is>
          <t>(주)유케이케미팜</t>
        </is>
      </c>
      <c r="D19" t="inlineStr">
        <is>
          <t>경기도 안산시 단원구 목내로122번길 11</t>
        </is>
      </c>
      <c r="E19" t="inlineStr">
        <is>
          <t>원료의약품</t>
        </is>
      </c>
      <c r="F19" t="inlineStr">
        <is>
          <t>비무균-일반제제-합성</t>
        </is>
      </c>
      <c r="G19" s="32" t="n">
        <v>47291</v>
      </c>
      <c r="H19">
        <f>IF(COUNTIFS($B$2:B19,B19,$D$2:D19,D19)=1,1,0)</f>
        <v/>
      </c>
      <c r="I19">
        <f>IF(OR(LEFT(F19,2)="무균",ISNUMBER(SEARCH("주사제",F19))),"Y","")</f>
        <v/>
      </c>
      <c r="J19">
        <f>IF(LEFT(F19,2)="생물","Y","")</f>
        <v/>
      </c>
    </row>
    <row r="20">
      <c r="A20" t="inlineStr">
        <is>
          <t>S019</t>
        </is>
      </c>
      <c r="B20" t="inlineStr">
        <is>
          <t>유케이케미팜</t>
        </is>
      </c>
      <c r="C20" t="inlineStr">
        <is>
          <t>(주)유케이케미팜</t>
        </is>
      </c>
      <c r="D20" t="inlineStr">
        <is>
          <t>경기도 안산시 단원구 목내로122번길 11</t>
        </is>
      </c>
      <c r="E20" t="inlineStr">
        <is>
          <t>완제의약품</t>
        </is>
      </c>
      <c r="F20" t="inlineStr">
        <is>
          <t>무균-세팔로스포린제제-주사제(분말주사제), 무균-일반제제-주사제(주사제)</t>
        </is>
      </c>
      <c r="G20" s="32" t="n">
        <v>47291</v>
      </c>
      <c r="H20">
        <f>IF(COUNTIFS($B$2:B20,B20,$D$2:D20,D20)=1,1,0)</f>
        <v/>
      </c>
      <c r="I20">
        <f>IF(OR(LEFT(F20,2)="무균",ISNUMBER(SEARCH("주사제",F20))),"Y","")</f>
        <v/>
      </c>
      <c r="J20">
        <f>IF(LEFT(F20,2)="생물","Y","")</f>
        <v/>
      </c>
    </row>
    <row r="21">
      <c r="A21" t="inlineStr">
        <is>
          <t>S020</t>
        </is>
      </c>
      <c r="B21" t="inlineStr">
        <is>
          <t>금오가스</t>
        </is>
      </c>
      <c r="C21" t="inlineStr">
        <is>
          <t>금오가스(주)</t>
        </is>
      </c>
      <c r="D21" t="inlineStr">
        <is>
          <t>경기도 파주시 조리읍 명봉산로 155</t>
        </is>
      </c>
      <c r="E21" t="inlineStr">
        <is>
          <t>완제의약품</t>
        </is>
      </c>
      <c r="F21" t="inlineStr">
        <is>
          <t>비무균-일반제제-가스제(의료용 고압가스)</t>
        </is>
      </c>
      <c r="G21" s="32" t="n">
        <v>47291</v>
      </c>
      <c r="H21">
        <f>IF(COUNTIFS($B$2:B21,B21,$D$2:D21,D21)=1,1,0)</f>
        <v/>
      </c>
      <c r="I21">
        <f>IF(OR(LEFT(F21,2)="무균",ISNUMBER(SEARCH("주사제",F21))),"Y","")</f>
        <v/>
      </c>
      <c r="J21">
        <f>IF(LEFT(F21,2)="생물","Y","")</f>
        <v/>
      </c>
    </row>
    <row r="22">
      <c r="A22" t="inlineStr">
        <is>
          <t>S021</t>
        </is>
      </c>
      <c r="B22" t="inlineStr">
        <is>
          <t>정우신약</t>
        </is>
      </c>
      <c r="C22" t="inlineStr">
        <is>
          <t>정우신약(주)</t>
        </is>
      </c>
      <c r="D22" t="inlineStr">
        <is>
          <t>충청남도 아산시 신창면 서부남로790번길 60</t>
        </is>
      </c>
      <c r="E22" t="inlineStr">
        <is>
          <t>완제의약품</t>
        </is>
      </c>
      <c r="F22" t="inlineStr">
        <is>
          <t>비무균-일반제제-내용고형제(정제, 캡슐제, 산제, 과립제), 비무균-일반제제-내용액제(경구용액제, 엑스제(액상))</t>
        </is>
      </c>
      <c r="G22" s="32" t="n">
        <v>47289</v>
      </c>
      <c r="H22">
        <f>IF(COUNTIFS($B$2:B22,B22,$D$2:D22,D22)=1,1,0)</f>
        <v/>
      </c>
      <c r="I22">
        <f>IF(OR(LEFT(F22,2)="무균",ISNUMBER(SEARCH("주사제",F22))),"Y","")</f>
        <v/>
      </c>
      <c r="J22">
        <f>IF(LEFT(F22,2)="생물","Y","")</f>
        <v/>
      </c>
    </row>
    <row r="23">
      <c r="A23" t="inlineStr">
        <is>
          <t>S022</t>
        </is>
      </c>
      <c r="B23" t="inlineStr">
        <is>
          <t>퍼슨</t>
        </is>
      </c>
      <c r="C23" t="inlineStr">
        <is>
          <t>(주)퍼슨</t>
        </is>
      </c>
      <c r="D23" t="inlineStr">
        <is>
          <t>충청남도 천안시 서북구 백석공단1로 47</t>
        </is>
      </c>
      <c r="E23" t="inlineStr">
        <is>
          <t>완제의약품</t>
        </is>
      </c>
      <c r="F23" t="inlineStr">
        <is>
          <t>비무균-일반제제-내용액제(시럽제(액상), 현탁제), 비무균-일반제제-외용액제(외용액제, 리니멘트제(액상,반고형), 관장제(액상,반고형)), 비무균-일반제제-연고제(연고제, 크림제, 겔제)</t>
        </is>
      </c>
      <c r="G23" s="32" t="n">
        <v>47284</v>
      </c>
      <c r="H23">
        <f>IF(COUNTIFS($B$2:B23,B23,$D$2:D23,D23)=1,1,0)</f>
        <v/>
      </c>
      <c r="I23">
        <f>IF(OR(LEFT(F23,2)="무균",ISNUMBER(SEARCH("주사제",F23))),"Y","")</f>
        <v/>
      </c>
      <c r="J23">
        <f>IF(LEFT(F23,2)="생물","Y","")</f>
        <v/>
      </c>
    </row>
    <row r="24">
      <c r="A24" t="inlineStr">
        <is>
          <t>S023</t>
        </is>
      </c>
      <c r="B24" t="inlineStr">
        <is>
          <t>셀비온</t>
        </is>
      </c>
      <c r="C24" t="inlineStr">
        <is>
          <t>(주)셀비온</t>
        </is>
      </c>
      <c r="D24" t="inlineStr">
        <is>
          <t>서울특별시 종로구 대학로 101 서울대학교병원 암연구소 6층 일부</t>
        </is>
      </c>
      <c r="E24" t="inlineStr">
        <is>
          <t>완제의약품</t>
        </is>
      </c>
      <c r="F24" t="inlineStr">
        <is>
          <t>무균-일반제제-주사제(주사제, 동결건조주사제)</t>
        </is>
      </c>
      <c r="G24" s="32" t="n">
        <v>47284</v>
      </c>
      <c r="H24">
        <f>IF(COUNTIFS($B$2:B24,B24,$D$2:D24,D24)=1,1,0)</f>
        <v/>
      </c>
      <c r="I24">
        <f>IF(OR(LEFT(F24,2)="무균",ISNUMBER(SEARCH("주사제",F24))),"Y","")</f>
        <v/>
      </c>
      <c r="J24">
        <f>IF(LEFT(F24,2)="생물","Y","")</f>
        <v/>
      </c>
    </row>
    <row r="25">
      <c r="A25" t="inlineStr">
        <is>
          <t>S024</t>
        </is>
      </c>
      <c r="B25" t="inlineStr">
        <is>
          <t>석전의료공업</t>
        </is>
      </c>
      <c r="C25" t="inlineStr">
        <is>
          <t>석전의료공업(주)</t>
        </is>
      </c>
      <c r="D25" t="inlineStr">
        <is>
          <t>경기도 오산시 황새로149번길 16</t>
        </is>
      </c>
      <c r="E25" t="inlineStr">
        <is>
          <t>완제의약품</t>
        </is>
      </c>
      <c r="F25" t="inlineStr">
        <is>
          <t>비무균-일반제제-가스제(의료용 고압가스)</t>
        </is>
      </c>
      <c r="G25" s="32" t="n">
        <v>47282</v>
      </c>
      <c r="H25">
        <f>IF(COUNTIFS($B$2:B25,B25,$D$2:D25,D25)=1,1,0)</f>
        <v/>
      </c>
      <c r="I25">
        <f>IF(OR(LEFT(F25,2)="무균",ISNUMBER(SEARCH("주사제",F25))),"Y","")</f>
        <v/>
      </c>
      <c r="J25">
        <f>IF(LEFT(F25,2)="생물","Y","")</f>
        <v/>
      </c>
    </row>
    <row r="26">
      <c r="A26" t="inlineStr">
        <is>
          <t>S025</t>
        </is>
      </c>
      <c r="B26" t="inlineStr">
        <is>
          <t>에이치디엑스</t>
        </is>
      </c>
      <c r="C26" t="inlineStr">
        <is>
          <t>에이치디엑스(주)</t>
        </is>
      </c>
      <c r="D26" t="inlineStr">
        <is>
          <t>경기도 안양시 동안구 관평로170번길 22</t>
        </is>
      </c>
      <c r="E26" t="inlineStr">
        <is>
          <t>완제의약품</t>
        </is>
      </c>
      <c r="F26" t="inlineStr">
        <is>
          <t>무균-일반제제(방사성의약품)-주사제(주사제)</t>
        </is>
      </c>
      <c r="G26" s="32" t="n">
        <v>47277</v>
      </c>
      <c r="H26">
        <f>IF(COUNTIFS($B$2:B26,B26,$D$2:D26,D26)=1,1,0)</f>
        <v/>
      </c>
      <c r="I26">
        <f>IF(OR(LEFT(F26,2)="무균",ISNUMBER(SEARCH("주사제",F26))),"Y","")</f>
        <v/>
      </c>
      <c r="J26">
        <f>IF(LEFT(F26,2)="생물","Y","")</f>
        <v/>
      </c>
    </row>
    <row r="27">
      <c r="A27" t="inlineStr">
        <is>
          <t>S026</t>
        </is>
      </c>
      <c r="B27" t="inlineStr">
        <is>
          <t>이니바이오</t>
        </is>
      </c>
      <c r="C27" t="inlineStr">
        <is>
          <t>(주)이니바이오</t>
        </is>
      </c>
      <c r="D27" t="inlineStr">
        <is>
          <t>경기도 부천시 오정구 송내대로 506 (삼정동)</t>
        </is>
      </c>
      <c r="E27" t="inlineStr">
        <is>
          <t>완제의약품</t>
        </is>
      </c>
      <c r="F27" t="inlineStr">
        <is>
          <t>생물-독소-주사제(주사제)</t>
        </is>
      </c>
      <c r="G27" s="32" t="n">
        <v>47277</v>
      </c>
      <c r="H27">
        <f>IF(COUNTIFS($B$2:B27,B27,$D$2:D27,D27)=1,1,0)</f>
        <v/>
      </c>
      <c r="I27">
        <f>IF(OR(LEFT(F27,2)="무균",ISNUMBER(SEARCH("주사제",F27))),"Y","")</f>
        <v/>
      </c>
      <c r="J27">
        <f>IF(LEFT(F27,2)="생물","Y","")</f>
        <v/>
      </c>
    </row>
    <row r="28">
      <c r="A28" t="inlineStr">
        <is>
          <t>S027</t>
        </is>
      </c>
      <c r="B28" t="inlineStr">
        <is>
          <t>제노스</t>
        </is>
      </c>
      <c r="C28" t="inlineStr">
        <is>
          <t>주식회사제노스</t>
        </is>
      </c>
      <c r="D28" t="inlineStr">
        <is>
          <t>경기도 수원시 영통구 창룡대로256번길 76 덴티움지식산업센터 지하 1층 일부</t>
        </is>
      </c>
      <c r="E28" t="inlineStr">
        <is>
          <t>완제의약품</t>
        </is>
      </c>
      <c r="F28" t="inlineStr">
        <is>
          <t>무균-일반제제-주사제(주사제)</t>
        </is>
      </c>
      <c r="G28" s="32" t="n">
        <v>47276</v>
      </c>
      <c r="H28">
        <f>IF(COUNTIFS($B$2:B28,B28,$D$2:D28,D28)=1,1,0)</f>
        <v/>
      </c>
      <c r="I28">
        <f>IF(OR(LEFT(F28,2)="무균",ISNUMBER(SEARCH("주사제",F28))),"Y","")</f>
        <v/>
      </c>
      <c r="J28">
        <f>IF(LEFT(F28,2)="생물","Y","")</f>
        <v/>
      </c>
    </row>
    <row r="29">
      <c r="A29" t="inlineStr">
        <is>
          <t>S028</t>
        </is>
      </c>
      <c r="B29" t="inlineStr">
        <is>
          <t>비앤씨코리아</t>
        </is>
      </c>
      <c r="C29" t="inlineStr">
        <is>
          <t>(주)비앤씨코리아</t>
        </is>
      </c>
      <c r="D29" t="inlineStr">
        <is>
          <t>충청북도 제천시 제2바이오밸리로7가길 24</t>
        </is>
      </c>
      <c r="E29" t="inlineStr">
        <is>
          <t>완제의약품</t>
        </is>
      </c>
      <c r="F29" t="inlineStr">
        <is>
          <t>무균-일반제제-점안제(점안제)</t>
        </is>
      </c>
      <c r="G29" s="32" t="n">
        <v>47272</v>
      </c>
      <c r="H29">
        <f>IF(COUNTIFS($B$2:B29,B29,$D$2:D29,D29)=1,1,0)</f>
        <v/>
      </c>
      <c r="I29">
        <f>IF(OR(LEFT(F29,2)="무균",ISNUMBER(SEARCH("주사제",F29))),"Y","")</f>
        <v/>
      </c>
      <c r="J29">
        <f>IF(LEFT(F29,2)="생물","Y","")</f>
        <v/>
      </c>
    </row>
    <row r="30">
      <c r="A30" t="inlineStr">
        <is>
          <t>S029</t>
        </is>
      </c>
      <c r="B30" t="inlineStr">
        <is>
          <t>삼성산소</t>
        </is>
      </c>
      <c r="C30" t="inlineStr">
        <is>
          <t>삼성산소(주)</t>
        </is>
      </c>
      <c r="D30" t="inlineStr">
        <is>
          <t>충청북도 청주시 흥덕구 강내면 상월곡길 10</t>
        </is>
      </c>
      <c r="E30" t="inlineStr">
        <is>
          <t>완제의약품</t>
        </is>
      </c>
      <c r="F30" t="inlineStr">
        <is>
          <t>비무균-일반제제(의료용 고압가스)-가스제(의료용 고압가스)</t>
        </is>
      </c>
      <c r="G30" s="32" t="n">
        <v>47270</v>
      </c>
      <c r="H30">
        <f>IF(COUNTIFS($B$2:B30,B30,$D$2:D30,D30)=1,1,0)</f>
        <v/>
      </c>
      <c r="I30">
        <f>IF(OR(LEFT(F30,2)="무균",ISNUMBER(SEARCH("주사제",F30))),"Y","")</f>
        <v/>
      </c>
      <c r="J30">
        <f>IF(LEFT(F30,2)="생물","Y","")</f>
        <v/>
      </c>
    </row>
    <row r="31">
      <c r="A31" t="inlineStr">
        <is>
          <t>S030</t>
        </is>
      </c>
      <c r="B31" t="inlineStr">
        <is>
          <t>유니메드제약</t>
        </is>
      </c>
      <c r="C31" t="inlineStr">
        <is>
          <t>유니메드제약(주)</t>
        </is>
      </c>
      <c r="D31" t="inlineStr">
        <is>
          <t>충청남도 아산시 실옥로 110-27</t>
        </is>
      </c>
      <c r="E31" t="inlineStr">
        <is>
          <t>완제의약품</t>
        </is>
      </c>
      <c r="F31" t="inlineStr">
        <is>
          <t>비무균-일반제제-내용고형제(정제, 캡슐제), 무균-일반제제-주사제(주사제), 무균-일반제제-점안제(점안제), 비무균-일반제제-첩부제(첩부제)</t>
        </is>
      </c>
      <c r="G31" s="32" t="n">
        <v>47270</v>
      </c>
      <c r="H31">
        <f>IF(COUNTIFS($B$2:B31,B31,$D$2:D31,D31)=1,1,0)</f>
        <v/>
      </c>
      <c r="I31">
        <f>IF(OR(LEFT(F31,2)="무균",ISNUMBER(SEARCH("주사제",F31))),"Y","")</f>
        <v/>
      </c>
      <c r="J31">
        <f>IF(LEFT(F31,2)="생물","Y","")</f>
        <v/>
      </c>
    </row>
    <row r="32">
      <c r="A32" t="inlineStr">
        <is>
          <t>S031</t>
        </is>
      </c>
      <c r="B32" t="inlineStr">
        <is>
          <t>유니메드제약</t>
        </is>
      </c>
      <c r="C32" t="inlineStr">
        <is>
          <t>유니메드제약(주)</t>
        </is>
      </c>
      <c r="D32" t="inlineStr">
        <is>
          <t>충청남도 아산시 실옥로 110-27</t>
        </is>
      </c>
      <c r="E32" t="inlineStr">
        <is>
          <t>원료의약품</t>
        </is>
      </c>
      <c r="F32" t="inlineStr">
        <is>
          <t>비무균-일반제제-추출</t>
        </is>
      </c>
      <c r="G32" s="32" t="n">
        <v>47270</v>
      </c>
      <c r="H32">
        <f>IF(COUNTIFS($B$2:B32,B32,$D$2:D32,D32)=1,1,0)</f>
        <v/>
      </c>
      <c r="I32">
        <f>IF(OR(LEFT(F32,2)="무균",ISNUMBER(SEARCH("주사제",F32))),"Y","")</f>
        <v/>
      </c>
      <c r="J32">
        <f>IF(LEFT(F32,2)="생물","Y","")</f>
        <v/>
      </c>
    </row>
    <row r="33">
      <c r="A33" t="inlineStr">
        <is>
          <t>S032</t>
        </is>
      </c>
      <c r="B33" t="inlineStr">
        <is>
          <t>카이바이오텍</t>
        </is>
      </c>
      <c r="C33" t="inlineStr">
        <is>
          <t>(주)카이바이오텍</t>
        </is>
      </c>
      <c r="D33" t="inlineStr">
        <is>
          <t>전북특별자치도 전주시 덕진구 백제대로 567</t>
        </is>
      </c>
      <c r="E33" t="inlineStr">
        <is>
          <t>완제의약품</t>
        </is>
      </c>
      <c r="F33" t="inlineStr">
        <is>
          <t>무균-일반제제(방사성의약품)-주사제(주사제)</t>
        </is>
      </c>
      <c r="G33" s="32" t="n">
        <v>47268</v>
      </c>
      <c r="H33">
        <f>IF(COUNTIFS($B$2:B33,B33,$D$2:D33,D33)=1,1,0)</f>
        <v/>
      </c>
      <c r="I33">
        <f>IF(OR(LEFT(F33,2)="무균",ISNUMBER(SEARCH("주사제",F33))),"Y","")</f>
        <v/>
      </c>
      <c r="J33">
        <f>IF(LEFT(F33,2)="생물","Y","")</f>
        <v/>
      </c>
    </row>
    <row r="34">
      <c r="A34" t="inlineStr">
        <is>
          <t>S033</t>
        </is>
      </c>
      <c r="B34" t="inlineStr">
        <is>
          <t>셀릭스</t>
        </is>
      </c>
      <c r="C34" t="inlineStr">
        <is>
          <t>(주)셀릭스</t>
        </is>
      </c>
      <c r="D34" t="inlineStr">
        <is>
          <t>전북특별자치도 익산시 석암로9길 117</t>
        </is>
      </c>
      <c r="E34" t="inlineStr">
        <is>
          <t>완제의약품</t>
        </is>
      </c>
      <c r="F34" t="inlineStr">
        <is>
          <t>비무균-일반제제-내용고형제(정제, 캡슐제)</t>
        </is>
      </c>
      <c r="G34" s="32" t="n">
        <v>47262</v>
      </c>
      <c r="H34">
        <f>IF(COUNTIFS($B$2:B34,B34,$D$2:D34,D34)=1,1,0)</f>
        <v/>
      </c>
      <c r="I34">
        <f>IF(OR(LEFT(F34,2)="무균",ISNUMBER(SEARCH("주사제",F34))),"Y","")</f>
        <v/>
      </c>
      <c r="J34">
        <f>IF(LEFT(F34,2)="생물","Y","")</f>
        <v/>
      </c>
    </row>
    <row r="35">
      <c r="A35" t="inlineStr">
        <is>
          <t>S034</t>
        </is>
      </c>
      <c r="B35" t="inlineStr">
        <is>
          <t>아이월드제약</t>
        </is>
      </c>
      <c r="C35" t="inlineStr">
        <is>
          <t>(주)아이월드제약</t>
        </is>
      </c>
      <c r="D35" t="inlineStr">
        <is>
          <t>인천광역시 남동구 함박뫼로 316 17B-2L</t>
        </is>
      </c>
      <c r="E35" t="inlineStr">
        <is>
          <t>완제의약품</t>
        </is>
      </c>
      <c r="F35" t="inlineStr">
        <is>
          <t>비무균-일반제제-내용고형제(정제, 캡슐제, 산제, 과립제, 환제)</t>
        </is>
      </c>
      <c r="G35" s="32" t="n">
        <v>47256</v>
      </c>
      <c r="H35">
        <f>IF(COUNTIFS($B$2:B35,B35,$D$2:D35,D35)=1,1,0)</f>
        <v/>
      </c>
      <c r="I35">
        <f>IF(OR(LEFT(F35,2)="무균",ISNUMBER(SEARCH("주사제",F35))),"Y","")</f>
        <v/>
      </c>
      <c r="J35">
        <f>IF(LEFT(F35,2)="생물","Y","")</f>
        <v/>
      </c>
    </row>
    <row r="36">
      <c r="A36" t="inlineStr">
        <is>
          <t>S035</t>
        </is>
      </c>
      <c r="B36" t="inlineStr">
        <is>
          <t>프로톡스</t>
        </is>
      </c>
      <c r="C36" t="inlineStr">
        <is>
          <t>(주)프로톡스</t>
        </is>
      </c>
      <c r="D36" t="inlineStr">
        <is>
          <t>경기도 화성시 향남읍 제약공단4길 94</t>
        </is>
      </c>
      <c r="E36" t="inlineStr">
        <is>
          <t>완제의약품</t>
        </is>
      </c>
      <c r="F36" t="inlineStr">
        <is>
          <t>생물-독소-주사제(동결건조주사제)</t>
        </is>
      </c>
      <c r="G36" s="32" t="n">
        <v>47255</v>
      </c>
      <c r="H36">
        <f>IF(COUNTIFS($B$2:B36,B36,$D$2:D36,D36)=1,1,0)</f>
        <v/>
      </c>
      <c r="I36">
        <f>IF(OR(LEFT(F36,2)="무균",ISNUMBER(SEARCH("주사제",F36))),"Y","")</f>
        <v/>
      </c>
      <c r="J36">
        <f>IF(LEFT(F36,2)="생물","Y","")</f>
        <v/>
      </c>
    </row>
    <row r="37">
      <c r="A37" t="inlineStr">
        <is>
          <t>S036</t>
        </is>
      </c>
      <c r="B37" t="inlineStr">
        <is>
          <t>라이프슈티컬</t>
        </is>
      </c>
      <c r="C37" t="inlineStr">
        <is>
          <t>라이프슈티컬</t>
        </is>
      </c>
      <c r="D37" t="inlineStr">
        <is>
          <t>충청북도 제천시 바이오밸리2로 100</t>
        </is>
      </c>
      <c r="E37" t="inlineStr">
        <is>
          <t>원료의약품</t>
        </is>
      </c>
      <c r="F37" t="inlineStr">
        <is>
          <t>비무균-일반제제-발효, 무균-일반제제-정제(발효에 한함)</t>
        </is>
      </c>
      <c r="G37" s="32" t="n">
        <v>47255</v>
      </c>
      <c r="H37">
        <f>IF(COUNTIFS($B$2:B37,B37,$D$2:D37,D37)=1,1,0)</f>
        <v/>
      </c>
      <c r="I37">
        <f>IF(OR(LEFT(F37,2)="무균",ISNUMBER(SEARCH("주사제",F37))),"Y","")</f>
        <v/>
      </c>
      <c r="J37">
        <f>IF(LEFT(F37,2)="생물","Y","")</f>
        <v/>
      </c>
    </row>
    <row r="38">
      <c r="A38" t="inlineStr">
        <is>
          <t>S037</t>
        </is>
      </c>
      <c r="B38" t="inlineStr">
        <is>
          <t>제주대학교병원</t>
        </is>
      </c>
      <c r="C38" t="inlineStr">
        <is>
          <t>제주대학교병원</t>
        </is>
      </c>
      <c r="D38" t="inlineStr">
        <is>
          <t>제주특별자치도 제주시 아란13길 15</t>
        </is>
      </c>
      <c r="E38" t="inlineStr">
        <is>
          <t>완제의약품</t>
        </is>
      </c>
      <c r="F38" t="inlineStr">
        <is>
          <t>무균-일반제제(방사성의약품)-주사제(주사제)</t>
        </is>
      </c>
      <c r="G38" s="32" t="n">
        <v>47254</v>
      </c>
      <c r="H38">
        <f>IF(COUNTIFS($B$2:B38,B38,$D$2:D38,D38)=1,1,0)</f>
        <v/>
      </c>
      <c r="I38">
        <f>IF(OR(LEFT(F38,2)="무균",ISNUMBER(SEARCH("주사제",F38))),"Y","")</f>
        <v/>
      </c>
      <c r="J38">
        <f>IF(LEFT(F38,2)="생물","Y","")</f>
        <v/>
      </c>
    </row>
    <row r="39">
      <c r="A39" t="inlineStr">
        <is>
          <t>S038</t>
        </is>
      </c>
      <c r="B39" t="inlineStr">
        <is>
          <t>삼성서울병원</t>
        </is>
      </c>
      <c r="C39" t="inlineStr">
        <is>
          <t>삼성서울병원</t>
        </is>
      </c>
      <c r="D39" t="inlineStr">
        <is>
          <t>서울특별시 강남구 일원로 81 양성자센터 지하 2층 방사성의약품제조소</t>
        </is>
      </c>
      <c r="E39" t="inlineStr">
        <is>
          <t>완제의약품</t>
        </is>
      </c>
      <c r="F39" t="inlineStr">
        <is>
          <t>무균-일반제제(방사성의약품)-주사제(주사제)</t>
        </is>
      </c>
      <c r="G39" s="32" t="n">
        <v>47249</v>
      </c>
      <c r="H39">
        <f>IF(COUNTIFS($B$2:B39,B39,$D$2:D39,D39)=1,1,0)</f>
        <v/>
      </c>
      <c r="I39">
        <f>IF(OR(LEFT(F39,2)="무균",ISNUMBER(SEARCH("주사제",F39))),"Y","")</f>
        <v/>
      </c>
      <c r="J39">
        <f>IF(LEFT(F39,2)="생물","Y","")</f>
        <v/>
      </c>
    </row>
    <row r="40">
      <c r="A40" t="inlineStr">
        <is>
          <t>S039</t>
        </is>
      </c>
      <c r="B40" t="inlineStr">
        <is>
          <t>동아제약</t>
        </is>
      </c>
      <c r="C40" t="inlineStr">
        <is>
          <t>동아제약(주)</t>
        </is>
      </c>
      <c r="D40" t="inlineStr">
        <is>
          <t>충청남도 당진시 합덕읍 인더스파크로 22</t>
        </is>
      </c>
      <c r="E40" t="inlineStr">
        <is>
          <t>완제의약품</t>
        </is>
      </c>
      <c r="F40" t="inlineStr">
        <is>
          <t>비무균-일반제제-내용액제(경구용액제)</t>
        </is>
      </c>
      <c r="G40" s="32" t="n">
        <v>47249</v>
      </c>
      <c r="H40">
        <f>IF(COUNTIFS($B$2:B40,B40,$D$2:D40,D40)=1,1,0)</f>
        <v/>
      </c>
      <c r="I40">
        <f>IF(OR(LEFT(F40,2)="무균",ISNUMBER(SEARCH("주사제",F40))),"Y","")</f>
        <v/>
      </c>
      <c r="J40">
        <f>IF(LEFT(F40,2)="생물","Y","")</f>
        <v/>
      </c>
    </row>
    <row r="41">
      <c r="A41" t="inlineStr">
        <is>
          <t>S040</t>
        </is>
      </c>
      <c r="B41" t="inlineStr">
        <is>
          <t>화순전남대학병원</t>
        </is>
      </c>
      <c r="C41" t="inlineStr">
        <is>
          <t>화순전남대학병원</t>
        </is>
      </c>
      <c r="D41" t="inlineStr">
        <is>
          <t>전라남도 화순군 화순읍 서양로 322 화순전남대학교병원</t>
        </is>
      </c>
      <c r="E41" t="inlineStr">
        <is>
          <t>완제의약품</t>
        </is>
      </c>
      <c r="F41" t="inlineStr">
        <is>
          <t>무균-일반제제(방사성의약품)-주사제(주사제)</t>
        </is>
      </c>
      <c r="G41" s="32" t="n">
        <v>47247</v>
      </c>
      <c r="H41">
        <f>IF(COUNTIFS($B$2:B41,B41,$D$2:D41,D41)=1,1,0)</f>
        <v/>
      </c>
      <c r="I41">
        <f>IF(OR(LEFT(F41,2)="무균",ISNUMBER(SEARCH("주사제",F41))),"Y","")</f>
        <v/>
      </c>
      <c r="J41">
        <f>IF(LEFT(F41,2)="생물","Y","")</f>
        <v/>
      </c>
    </row>
    <row r="42">
      <c r="A42" t="inlineStr">
        <is>
          <t>S041</t>
        </is>
      </c>
      <c r="B42" t="inlineStr">
        <is>
          <t>한국특수가스</t>
        </is>
      </c>
      <c r="C42" t="inlineStr">
        <is>
          <t>한국특수가스(주)</t>
        </is>
      </c>
      <c r="D42" t="inlineStr">
        <is>
          <t>광주광역시 광산구 평동로803번길 93</t>
        </is>
      </c>
      <c r="E42" t="inlineStr">
        <is>
          <t>완제의약품</t>
        </is>
      </c>
      <c r="F42" t="inlineStr">
        <is>
          <t>비무균-일반제제(의료용 고압가스)-가스제(의료용 고압가스)</t>
        </is>
      </c>
      <c r="G42" s="32" t="n">
        <v>47246</v>
      </c>
      <c r="H42">
        <f>IF(COUNTIFS($B$2:B42,B42,$D$2:D42,D42)=1,1,0)</f>
        <v/>
      </c>
      <c r="I42">
        <f>IF(OR(LEFT(F42,2)="무균",ISNUMBER(SEARCH("주사제",F42))),"Y","")</f>
        <v/>
      </c>
      <c r="J42">
        <f>IF(LEFT(F42,2)="생물","Y","")</f>
        <v/>
      </c>
    </row>
    <row r="43">
      <c r="A43" t="inlineStr">
        <is>
          <t>S042</t>
        </is>
      </c>
      <c r="B43" t="inlineStr">
        <is>
          <t>큐로셀</t>
        </is>
      </c>
      <c r="C43" t="inlineStr">
        <is>
          <t>주식회사 큐로셀</t>
        </is>
      </c>
      <c r="D43" t="inlineStr">
        <is>
          <t>대전광역시 유성구 국제과학16로 11</t>
        </is>
      </c>
      <c r="E43" t="inlineStr">
        <is>
          <t>완제의약품</t>
        </is>
      </c>
      <c r="F43" t="inlineStr">
        <is>
          <t>생물-유전자치료제-주사제(첨단바이오의약품)(주사제)</t>
        </is>
      </c>
      <c r="G43" s="32" t="n">
        <v>47243</v>
      </c>
      <c r="H43">
        <f>IF(COUNTIFS($B$2:B43,B43,$D$2:D43,D43)=1,1,0)</f>
        <v/>
      </c>
      <c r="I43">
        <f>IF(OR(LEFT(F43,2)="무균",ISNUMBER(SEARCH("주사제",F43))),"Y","")</f>
        <v/>
      </c>
      <c r="J43">
        <f>IF(LEFT(F43,2)="생물","Y","")</f>
        <v/>
      </c>
    </row>
    <row r="44">
      <c r="A44" t="inlineStr">
        <is>
          <t>S043</t>
        </is>
      </c>
      <c r="B44" t="inlineStr">
        <is>
          <t>한국코러스</t>
        </is>
      </c>
      <c r="C44" t="inlineStr">
        <is>
          <t>한국코러스(주)</t>
        </is>
      </c>
      <c r="D44" t="inlineStr">
        <is>
          <t>강원특별자치도 춘천시 동내면 거두단지 1길11</t>
        </is>
      </c>
      <c r="E44" t="inlineStr">
        <is>
          <t>원료의약품</t>
        </is>
      </c>
      <c r="F44" t="inlineStr">
        <is>
          <t>비무균-일반제제-정제(추출에 한함)</t>
        </is>
      </c>
      <c r="G44" s="32" t="n">
        <v>47241</v>
      </c>
      <c r="H44">
        <f>IF(COUNTIFS($B$2:B44,B44,$D$2:D44,D44)=1,1,0)</f>
        <v/>
      </c>
      <c r="I44">
        <f>IF(OR(LEFT(F44,2)="무균",ISNUMBER(SEARCH("주사제",F44))),"Y","")</f>
        <v/>
      </c>
      <c r="J44">
        <f>IF(LEFT(F44,2)="생물","Y","")</f>
        <v/>
      </c>
    </row>
    <row r="45">
      <c r="A45" t="inlineStr">
        <is>
          <t>S044</t>
        </is>
      </c>
      <c r="B45" t="inlineStr">
        <is>
          <t>선도산업</t>
        </is>
      </c>
      <c r="C45" t="inlineStr">
        <is>
          <t>선도산업(주)</t>
        </is>
      </c>
      <c r="D45" t="inlineStr">
        <is>
          <t>충청북도 진천군 이월면 산수산단2로 241</t>
        </is>
      </c>
      <c r="E45" t="inlineStr">
        <is>
          <t>완제의약품</t>
        </is>
      </c>
      <c r="F45" t="inlineStr">
        <is>
          <t>비무균-일반제제(의료용 고압가스)-가스제(의료용 고압가스)</t>
        </is>
      </c>
      <c r="G45" s="32" t="n">
        <v>47241</v>
      </c>
      <c r="H45">
        <f>IF(COUNTIFS($B$2:B45,B45,$D$2:D45,D45)=1,1,0)</f>
        <v/>
      </c>
      <c r="I45">
        <f>IF(OR(LEFT(F45,2)="무균",ISNUMBER(SEARCH("주사제",F45))),"Y","")</f>
        <v/>
      </c>
      <c r="J45">
        <f>IF(LEFT(F45,2)="생물","Y","")</f>
        <v/>
      </c>
    </row>
    <row r="46">
      <c r="A46" t="inlineStr">
        <is>
          <t>S045</t>
        </is>
      </c>
      <c r="B46" t="inlineStr">
        <is>
          <t>엘앤씨바이오</t>
        </is>
      </c>
      <c r="C46" t="inlineStr">
        <is>
          <t>(주)엘앤씨바이오</t>
        </is>
      </c>
      <c r="D46" t="inlineStr">
        <is>
          <t>경기도 안성시 공단2로 104 가동 1층</t>
        </is>
      </c>
      <c r="E46" t="inlineStr">
        <is>
          <t>완제의약품</t>
        </is>
      </c>
      <c r="F46" t="inlineStr">
        <is>
          <t>비무균-일반제제-내용고형제(정제, 캡슐제)</t>
        </is>
      </c>
      <c r="G46" s="32" t="n">
        <v>47233</v>
      </c>
      <c r="H46">
        <f>IF(COUNTIFS($B$2:B46,B46,$D$2:D46,D46)=1,1,0)</f>
        <v/>
      </c>
      <c r="I46">
        <f>IF(OR(LEFT(F46,2)="무균",ISNUMBER(SEARCH("주사제",F46))),"Y","")</f>
        <v/>
      </c>
      <c r="J46">
        <f>IF(LEFT(F46,2)="생물","Y","")</f>
        <v/>
      </c>
    </row>
    <row r="47">
      <c r="A47" t="inlineStr">
        <is>
          <t>S046</t>
        </is>
      </c>
      <c r="B47" t="inlineStr">
        <is>
          <t>퓨쳐켐</t>
        </is>
      </c>
      <c r="C47" t="inlineStr">
        <is>
          <t>(주)퓨쳐켐</t>
        </is>
      </c>
      <c r="D47" t="inlineStr">
        <is>
          <t>서울특별시 강서구 공항대로 260 이화의대부속서울병원 지하1층(방사성의약품)</t>
        </is>
      </c>
      <c r="E47" t="inlineStr">
        <is>
          <t>완제의약품</t>
        </is>
      </c>
      <c r="F47" t="inlineStr">
        <is>
          <t>무균-일반제제(방사성의약품)-주사제(주사제)</t>
        </is>
      </c>
      <c r="G47" s="32" t="n">
        <v>47228</v>
      </c>
      <c r="H47">
        <f>IF(COUNTIFS($B$2:B47,B47,$D$2:D47,D47)=1,1,0)</f>
        <v/>
      </c>
      <c r="I47">
        <f>IF(OR(LEFT(F47,2)="무균",ISNUMBER(SEARCH("주사제",F47))),"Y","")</f>
        <v/>
      </c>
      <c r="J47">
        <f>IF(LEFT(F47,2)="생물","Y","")</f>
        <v/>
      </c>
    </row>
    <row r="48">
      <c r="A48" t="inlineStr">
        <is>
          <t>S047</t>
        </is>
      </c>
      <c r="B48" t="inlineStr">
        <is>
          <t>동성제약</t>
        </is>
      </c>
      <c r="C48" t="inlineStr">
        <is>
          <t>동성제약(주)</t>
        </is>
      </c>
      <c r="D48" t="inlineStr">
        <is>
          <t>충청남도 아산시 둔포면 관대안길 45</t>
        </is>
      </c>
      <c r="E48" t="inlineStr">
        <is>
          <t>완제의약품</t>
        </is>
      </c>
      <c r="F48" t="inlineStr">
        <is>
          <t>비무균-일반제제-내용고형제(정제, 캡슐제, 환제), 비무균-성호르몬제-내용액제(경구용액제), 비무균-일반제제-외용액제(외용액제, 로션제), 비무균-일반제제-연고제(연고제, 크림제, 겔제)</t>
        </is>
      </c>
      <c r="G48" s="32" t="n">
        <v>47228</v>
      </c>
      <c r="H48">
        <f>IF(COUNTIFS($B$2:B48,B48,$D$2:D48,D48)=1,1,0)</f>
        <v/>
      </c>
      <c r="I48">
        <f>IF(OR(LEFT(F48,2)="무균",ISNUMBER(SEARCH("주사제",F48))),"Y","")</f>
        <v/>
      </c>
      <c r="J48">
        <f>IF(LEFT(F48,2)="생물","Y","")</f>
        <v/>
      </c>
    </row>
    <row r="49">
      <c r="A49" t="inlineStr">
        <is>
          <t>S048</t>
        </is>
      </c>
      <c r="B49" t="inlineStr">
        <is>
          <t>대한약품공업</t>
        </is>
      </c>
      <c r="C49" t="inlineStr">
        <is>
          <t>대한약품공업(주)</t>
        </is>
      </c>
      <c r="D49" t="inlineStr">
        <is>
          <t>경기도 안산시 단원구 산단로 77</t>
        </is>
      </c>
      <c r="E49" t="inlineStr">
        <is>
          <t>완제의약품</t>
        </is>
      </c>
      <c r="F49" t="inlineStr">
        <is>
          <t>무균-일반제제-주사제(주사제, 수액제, 관류제), 비무균-일반제제-내용액제(경구용액제, 흡입액제), 비무균-일반제제-외용액제(외용액제, 혈액투석제(액상))</t>
        </is>
      </c>
      <c r="G49" s="32" t="n">
        <v>47228</v>
      </c>
      <c r="H49">
        <f>IF(COUNTIFS($B$2:B49,B49,$D$2:D49,D49)=1,1,0)</f>
        <v/>
      </c>
      <c r="I49">
        <f>IF(OR(LEFT(F49,2)="무균",ISNUMBER(SEARCH("주사제",F49))),"Y","")</f>
        <v/>
      </c>
      <c r="J49">
        <f>IF(LEFT(F49,2)="생물","Y","")</f>
        <v/>
      </c>
    </row>
    <row r="50">
      <c r="A50" t="inlineStr">
        <is>
          <t>S049</t>
        </is>
      </c>
      <c r="B50" t="inlineStr">
        <is>
          <t>대우제약</t>
        </is>
      </c>
      <c r="C50" t="inlineStr">
        <is>
          <t>대우제약(주)</t>
        </is>
      </c>
      <c r="D50" t="inlineStr">
        <is>
          <t>부산광역시 사하구 다대로 153</t>
        </is>
      </c>
      <c r="E50" t="inlineStr">
        <is>
          <t>완제의약품</t>
        </is>
      </c>
      <c r="F50" t="inlineStr">
        <is>
          <t>비무균-일반제제-내용고형제(정제, 캡슐제), 무균-일반제제-점안제(점안제)</t>
        </is>
      </c>
      <c r="G50" s="32" t="n">
        <v>47224</v>
      </c>
      <c r="H50">
        <f>IF(COUNTIFS($B$2:B50,B50,$D$2:D50,D50)=1,1,0)</f>
        <v/>
      </c>
      <c r="I50">
        <f>IF(OR(LEFT(F50,2)="무균",ISNUMBER(SEARCH("주사제",F50))),"Y","")</f>
        <v/>
      </c>
      <c r="J50">
        <f>IF(LEFT(F50,2)="생물","Y","")</f>
        <v/>
      </c>
    </row>
    <row r="51">
      <c r="A51" t="inlineStr">
        <is>
          <t>S050</t>
        </is>
      </c>
      <c r="B51" t="inlineStr">
        <is>
          <t>삼성제약</t>
        </is>
      </c>
      <c r="C51" t="inlineStr">
        <is>
          <t>삼성제약(주)</t>
        </is>
      </c>
      <c r="D51" t="inlineStr">
        <is>
          <t>경기도 화성시 향남읍 제약공단4길 10</t>
        </is>
      </c>
      <c r="E51" t="inlineStr">
        <is>
          <t>완제의약품</t>
        </is>
      </c>
      <c r="F51" t="inlineStr">
        <is>
          <t>무균-일반제제-주사제(동결건조주사제)</t>
        </is>
      </c>
      <c r="G51" s="32" t="n">
        <v>47221</v>
      </c>
      <c r="H51">
        <f>IF(COUNTIFS($B$2:B51,B51,$D$2:D51,D51)=1,1,0)</f>
        <v/>
      </c>
      <c r="I51">
        <f>IF(OR(LEFT(F51,2)="무균",ISNUMBER(SEARCH("주사제",F51))),"Y","")</f>
        <v/>
      </c>
      <c r="J51">
        <f>IF(LEFT(F51,2)="생물","Y","")</f>
        <v/>
      </c>
    </row>
    <row r="52">
      <c r="A52" t="inlineStr">
        <is>
          <t>S051</t>
        </is>
      </c>
      <c r="B52" t="inlineStr">
        <is>
          <t>티디에스팜</t>
        </is>
      </c>
      <c r="C52" t="inlineStr">
        <is>
          <t>(주)티디에스팜</t>
        </is>
      </c>
      <c r="D52" t="inlineStr">
        <is>
          <t>충청북도 청주시 흥덕구 오송읍 오송생명4로 168-49</t>
        </is>
      </c>
      <c r="E52" t="inlineStr">
        <is>
          <t>완제의약품</t>
        </is>
      </c>
      <c r="F52" t="inlineStr">
        <is>
          <t>비무균-일반제제-첩부제(첩부제, 카타플라스마제), --()</t>
        </is>
      </c>
      <c r="G52" s="32" t="n">
        <v>47221</v>
      </c>
      <c r="H52">
        <f>IF(COUNTIFS($B$2:B52,B52,$D$2:D52,D52)=1,1,0)</f>
        <v/>
      </c>
      <c r="I52">
        <f>IF(OR(LEFT(F52,2)="무균",ISNUMBER(SEARCH("주사제",F52))),"Y","")</f>
        <v/>
      </c>
      <c r="J52">
        <f>IF(LEFT(F52,2)="생물","Y","")</f>
        <v/>
      </c>
    </row>
    <row r="53">
      <c r="A53" t="inlineStr">
        <is>
          <t>S052</t>
        </is>
      </c>
      <c r="B53" t="inlineStr">
        <is>
          <t>에이치디엑스</t>
        </is>
      </c>
      <c r="C53" t="inlineStr">
        <is>
          <t>에이치디엑스(주)</t>
        </is>
      </c>
      <c r="D53" t="inlineStr">
        <is>
          <t>전라남도 순천시 순광로 221 성가롤로병원 내 (조례동)</t>
        </is>
      </c>
      <c r="E53" t="inlineStr">
        <is>
          <t>완제의약품</t>
        </is>
      </c>
      <c r="F53" t="inlineStr">
        <is>
          <t>무균-일반제제(방사성의약품)-주사제(주사제)</t>
        </is>
      </c>
      <c r="G53" s="32" t="n">
        <v>47219</v>
      </c>
      <c r="H53">
        <f>IF(COUNTIFS($B$2:B53,B53,$D$2:D53,D53)=1,1,0)</f>
        <v/>
      </c>
      <c r="I53">
        <f>IF(OR(LEFT(F53,2)="무균",ISNUMBER(SEARCH("주사제",F53))),"Y","")</f>
        <v/>
      </c>
      <c r="J53">
        <f>IF(LEFT(F53,2)="생물","Y","")</f>
        <v/>
      </c>
    </row>
    <row r="54">
      <c r="A54" t="inlineStr">
        <is>
          <t>S053</t>
        </is>
      </c>
      <c r="B54" t="inlineStr">
        <is>
          <t>제이투가스</t>
        </is>
      </c>
      <c r="C54" t="inlineStr">
        <is>
          <t>주식회사제이투가스</t>
        </is>
      </c>
      <c r="D54" t="inlineStr">
        <is>
          <t>경기도 김포시 통진읍 애기봉로681번길 81</t>
        </is>
      </c>
      <c r="E54" t="inlineStr">
        <is>
          <t>완제의약품</t>
        </is>
      </c>
      <c r="F54" t="inlineStr">
        <is>
          <t>비무균-일반제제(의료용 고압가스)-가스제(의료용 고압가스)</t>
        </is>
      </c>
      <c r="G54" s="32" t="n">
        <v>47217</v>
      </c>
      <c r="H54">
        <f>IF(COUNTIFS($B$2:B54,B54,$D$2:D54,D54)=1,1,0)</f>
        <v/>
      </c>
      <c r="I54">
        <f>IF(OR(LEFT(F54,2)="무균",ISNUMBER(SEARCH("주사제",F54))),"Y","")</f>
        <v/>
      </c>
      <c r="J54">
        <f>IF(LEFT(F54,2)="생물","Y","")</f>
        <v/>
      </c>
    </row>
    <row r="55">
      <c r="A55" t="inlineStr">
        <is>
          <t>S054</t>
        </is>
      </c>
      <c r="B55" t="inlineStr">
        <is>
          <t>휴비스트제약</t>
        </is>
      </c>
      <c r="C55" t="inlineStr">
        <is>
          <t>(주)휴비스트제약</t>
        </is>
      </c>
      <c r="D55" t="inlineStr">
        <is>
          <t>대전광역시 대덕구 신일서로104번길 46</t>
        </is>
      </c>
      <c r="E55" t="inlineStr">
        <is>
          <t>완제의약품</t>
        </is>
      </c>
      <c r="F55" t="inlineStr">
        <is>
          <t>비무균-일반제제-내용고형제(정제, 캡슐제)</t>
        </is>
      </c>
      <c r="G55" s="32" t="n">
        <v>47214</v>
      </c>
      <c r="H55">
        <f>IF(COUNTIFS($B$2:B55,B55,$D$2:D55,D55)=1,1,0)</f>
        <v/>
      </c>
      <c r="I55">
        <f>IF(OR(LEFT(F55,2)="무균",ISNUMBER(SEARCH("주사제",F55))),"Y","")</f>
        <v/>
      </c>
      <c r="J55">
        <f>IF(LEFT(F55,2)="생물","Y","")</f>
        <v/>
      </c>
    </row>
    <row r="56">
      <c r="A56" t="inlineStr">
        <is>
          <t>S055</t>
        </is>
      </c>
      <c r="B56" t="inlineStr">
        <is>
          <t>동아에스티</t>
        </is>
      </c>
      <c r="C56" t="inlineStr">
        <is>
          <t>동아에스티(주)</t>
        </is>
      </c>
      <c r="D56" t="inlineStr">
        <is>
          <t>인천광역시 연수구 지식기반로 45 주2,6,7,8동</t>
        </is>
      </c>
      <c r="E56" t="inlineStr">
        <is>
          <t>완제의약품</t>
        </is>
      </c>
      <c r="F56" t="inlineStr">
        <is>
          <t>비무균-일반제제-내용고형제(정제)</t>
        </is>
      </c>
      <c r="G56" s="32" t="n">
        <v>47214</v>
      </c>
      <c r="H56">
        <f>IF(COUNTIFS($B$2:B56,B56,$D$2:D56,D56)=1,1,0)</f>
        <v/>
      </c>
      <c r="I56">
        <f>IF(OR(LEFT(F56,2)="무균",ISNUMBER(SEARCH("주사제",F56))),"Y","")</f>
        <v/>
      </c>
      <c r="J56">
        <f>IF(LEFT(F56,2)="생물","Y","")</f>
        <v/>
      </c>
    </row>
    <row r="57">
      <c r="A57" t="inlineStr">
        <is>
          <t>S056</t>
        </is>
      </c>
      <c r="B57" t="inlineStr">
        <is>
          <t>유바이오로직스</t>
        </is>
      </c>
      <c r="C57" t="inlineStr">
        <is>
          <t>(주)유바이오로직스</t>
        </is>
      </c>
      <c r="D57" t="inlineStr">
        <is>
          <t>강원특별자치도 춘천시 소양강로 56 4동 1층, 2-4~2-6, 3-1~3-4, 4-6호, 1층 외곽냉장실 3~8, 지하일부</t>
        </is>
      </c>
      <c r="E57" t="inlineStr">
        <is>
          <t>완제의약품</t>
        </is>
      </c>
      <c r="F57" t="inlineStr">
        <is>
          <t>생물-백신-내용액제(경구용액제)</t>
        </is>
      </c>
      <c r="G57" s="32" t="n">
        <v>47214</v>
      </c>
      <c r="H57">
        <f>IF(COUNTIFS($B$2:B57,B57,$D$2:D57,D57)=1,1,0)</f>
        <v/>
      </c>
      <c r="I57">
        <f>IF(OR(LEFT(F57,2)="무균",ISNUMBER(SEARCH("주사제",F57))),"Y","")</f>
        <v/>
      </c>
      <c r="J57">
        <f>IF(LEFT(F57,2)="생물","Y","")</f>
        <v/>
      </c>
    </row>
    <row r="58">
      <c r="A58" t="inlineStr">
        <is>
          <t>S057</t>
        </is>
      </c>
      <c r="B58" t="inlineStr">
        <is>
          <t>유바이오로직스</t>
        </is>
      </c>
      <c r="C58" t="inlineStr">
        <is>
          <t>(주)유바이오로직스</t>
        </is>
      </c>
      <c r="D58" t="inlineStr">
        <is>
          <t>강원특별자치도 춘천시 소양강로 56 4동 1층, 2-4~2-6, 3-1~3-4, 4-6호, 1층 외곽냉장실 3~8, 지하일부</t>
        </is>
      </c>
      <c r="E58" t="inlineStr">
        <is>
          <t>원료의약품</t>
        </is>
      </c>
      <c r="F58" t="inlineStr">
        <is>
          <t>생물-백신-(배양, 정제, 바이러스불활화, 원액 제조)</t>
        </is>
      </c>
      <c r="G58" s="32" t="n">
        <v>47214</v>
      </c>
      <c r="H58">
        <f>IF(COUNTIFS($B$2:B58,B58,$D$2:D58,D58)=1,1,0)</f>
        <v/>
      </c>
      <c r="I58">
        <f>IF(OR(LEFT(F58,2)="무균",ISNUMBER(SEARCH("주사제",F58))),"Y","")</f>
        <v/>
      </c>
      <c r="J58">
        <f>IF(LEFT(F58,2)="생물","Y","")</f>
        <v/>
      </c>
    </row>
    <row r="59">
      <c r="A59" t="inlineStr">
        <is>
          <t>S058</t>
        </is>
      </c>
      <c r="B59" t="inlineStr">
        <is>
          <t>성일바이오엑스</t>
        </is>
      </c>
      <c r="C59" t="inlineStr">
        <is>
          <t>(주)성일바이오엑스</t>
        </is>
      </c>
      <c r="D59" t="inlineStr">
        <is>
          <t>경기도 화성시 만세구 마도면 마도로 775</t>
        </is>
      </c>
      <c r="E59" t="inlineStr">
        <is>
          <t>원료의약품</t>
        </is>
      </c>
      <c r="F59" t="inlineStr">
        <is>
          <t>비무균-일반제제-추출, 비무균-일반제제-분쇄</t>
        </is>
      </c>
      <c r="G59" s="32" t="n">
        <v>47213</v>
      </c>
      <c r="H59">
        <f>IF(COUNTIFS($B$2:B59,B59,$D$2:D59,D59)=1,1,0)</f>
        <v/>
      </c>
      <c r="I59">
        <f>IF(OR(LEFT(F59,2)="무균",ISNUMBER(SEARCH("주사제",F59))),"Y","")</f>
        <v/>
      </c>
      <c r="J59">
        <f>IF(LEFT(F59,2)="생물","Y","")</f>
        <v/>
      </c>
    </row>
    <row r="60">
      <c r="A60" t="inlineStr">
        <is>
          <t>S059</t>
        </is>
      </c>
      <c r="B60" t="inlineStr">
        <is>
          <t>영일제약</t>
        </is>
      </c>
      <c r="C60" t="inlineStr">
        <is>
          <t>영일제약(주)</t>
        </is>
      </c>
      <c r="D60" t="inlineStr">
        <is>
          <t>충청북도 진천군 진천읍 문화12길 6-1</t>
        </is>
      </c>
      <c r="E60" t="inlineStr">
        <is>
          <t>완제의약품</t>
        </is>
      </c>
      <c r="F60" t="inlineStr">
        <is>
          <t>비무균-일반제제-내용고형제(정제, 캡슐제)</t>
        </is>
      </c>
      <c r="G60" s="32" t="n">
        <v>47212</v>
      </c>
      <c r="H60">
        <f>IF(COUNTIFS($B$2:B60,B60,$D$2:D60,D60)=1,1,0)</f>
        <v/>
      </c>
      <c r="I60">
        <f>IF(OR(LEFT(F60,2)="무균",ISNUMBER(SEARCH("주사제",F60))),"Y","")</f>
        <v/>
      </c>
      <c r="J60">
        <f>IF(LEFT(F60,2)="생물","Y","")</f>
        <v/>
      </c>
    </row>
    <row r="61">
      <c r="A61" t="inlineStr">
        <is>
          <t>S060</t>
        </is>
      </c>
      <c r="B61" t="inlineStr">
        <is>
          <t>퓨쳐켐</t>
        </is>
      </c>
      <c r="C61" t="inlineStr">
        <is>
          <t>(주)퓨쳐켐</t>
        </is>
      </c>
      <c r="D61" t="inlineStr">
        <is>
          <t>부산광역시 기장군 장안읍 의과학2로 27-6 부산기장센터</t>
        </is>
      </c>
      <c r="E61" t="inlineStr">
        <is>
          <t>완제의약품</t>
        </is>
      </c>
      <c r="F61" t="inlineStr">
        <is>
          <t>무균-일반제제(방사성의약품)-주사제(주사제)</t>
        </is>
      </c>
      <c r="G61" s="32" t="n">
        <v>47210</v>
      </c>
      <c r="H61">
        <f>IF(COUNTIFS($B$2:B61,B61,$D$2:D61,D61)=1,1,0)</f>
        <v/>
      </c>
      <c r="I61">
        <f>IF(OR(LEFT(F61,2)="무균",ISNUMBER(SEARCH("주사제",F61))),"Y","")</f>
        <v/>
      </c>
      <c r="J61">
        <f>IF(LEFT(F61,2)="생물","Y","")</f>
        <v/>
      </c>
    </row>
    <row r="62">
      <c r="A62" t="inlineStr">
        <is>
          <t>S061</t>
        </is>
      </c>
      <c r="B62" t="inlineStr">
        <is>
          <t>퓨쳐켐헬스케어</t>
        </is>
      </c>
      <c r="C62" t="inlineStr">
        <is>
          <t>(주)퓨쳐켐헬스케어</t>
        </is>
      </c>
      <c r="D62" t="inlineStr">
        <is>
          <t>부산광역시 서구 감천로 262 고신대학교복음병원 2동 지하2층 사이크로트론실(암남동)</t>
        </is>
      </c>
      <c r="E62" t="inlineStr">
        <is>
          <t>완제의약품</t>
        </is>
      </c>
      <c r="F62" t="inlineStr">
        <is>
          <t>무균-일반제제(방사성의약품)-주사제(주사제)</t>
        </is>
      </c>
      <c r="G62" s="32" t="n">
        <v>47204</v>
      </c>
      <c r="H62">
        <f>IF(COUNTIFS($B$2:B62,B62,$D$2:D62,D62)=1,1,0)</f>
        <v/>
      </c>
      <c r="I62">
        <f>IF(OR(LEFT(F62,2)="무균",ISNUMBER(SEARCH("주사제",F62))),"Y","")</f>
        <v/>
      </c>
      <c r="J62">
        <f>IF(LEFT(F62,2)="생물","Y","")</f>
        <v/>
      </c>
    </row>
    <row r="63">
      <c r="A63" t="inlineStr">
        <is>
          <t>S062</t>
        </is>
      </c>
      <c r="B63" t="inlineStr">
        <is>
          <t>에스티팜</t>
        </is>
      </c>
      <c r="C63" t="inlineStr">
        <is>
          <t>에스티팜주식회사</t>
        </is>
      </c>
      <c r="D63" t="inlineStr">
        <is>
          <t>경기도 시흥시 협력로 231</t>
        </is>
      </c>
      <c r="E63" t="inlineStr">
        <is>
          <t>원료의약품</t>
        </is>
      </c>
      <c r="F63" t="inlineStr">
        <is>
          <t>비무균-일반제제-합성</t>
        </is>
      </c>
      <c r="G63" s="32" t="n">
        <v>47199</v>
      </c>
      <c r="H63">
        <f>IF(COUNTIFS($B$2:B63,B63,$D$2:D63,D63)=1,1,0)</f>
        <v/>
      </c>
      <c r="I63">
        <f>IF(OR(LEFT(F63,2)="무균",ISNUMBER(SEARCH("주사제",F63))),"Y","")</f>
        <v/>
      </c>
      <c r="J63">
        <f>IF(LEFT(F63,2)="생물","Y","")</f>
        <v/>
      </c>
    </row>
    <row r="64">
      <c r="A64" t="inlineStr">
        <is>
          <t>S063</t>
        </is>
      </c>
      <c r="B64" t="inlineStr">
        <is>
          <t>나주신일가스</t>
        </is>
      </c>
      <c r="C64" t="inlineStr">
        <is>
          <t>나주신일가스주식회사</t>
        </is>
      </c>
      <c r="D64" t="inlineStr">
        <is>
          <t>전라남도 나주시 동수농공단지길 124</t>
        </is>
      </c>
      <c r="E64" t="inlineStr">
        <is>
          <t>완제의약품</t>
        </is>
      </c>
      <c r="F64" t="inlineStr">
        <is>
          <t>비무균-일반제제(의료용 고압가스)-가스제(의료용 고압가스)</t>
        </is>
      </c>
      <c r="G64" s="32" t="n">
        <v>47197</v>
      </c>
      <c r="H64">
        <f>IF(COUNTIFS($B$2:B64,B64,$D$2:D64,D64)=1,1,0)</f>
        <v/>
      </c>
      <c r="I64">
        <f>IF(OR(LEFT(F64,2)="무균",ISNUMBER(SEARCH("주사제",F64))),"Y","")</f>
        <v/>
      </c>
      <c r="J64">
        <f>IF(LEFT(F64,2)="생물","Y","")</f>
        <v/>
      </c>
    </row>
    <row r="65">
      <c r="A65" t="inlineStr">
        <is>
          <t>S064</t>
        </is>
      </c>
      <c r="B65" t="inlineStr">
        <is>
          <t>그린제약</t>
        </is>
      </c>
      <c r="C65" t="inlineStr">
        <is>
          <t>(주)그린제약</t>
        </is>
      </c>
      <c r="D65" t="inlineStr">
        <is>
          <t>충청북도 음성군 금왕읍 금왕테크노2길 42</t>
        </is>
      </c>
      <c r="E65" t="inlineStr">
        <is>
          <t>완제의약품</t>
        </is>
      </c>
      <c r="F65" t="inlineStr">
        <is>
          <t>비무균-일반제제-내용액제(구강용스프레이제), 비무균-일반제제-외용액제(외용액제, 관장제(액상,반고형), 가글제(액상), 점비액제)</t>
        </is>
      </c>
      <c r="G65" s="32" t="n">
        <v>47197</v>
      </c>
      <c r="H65">
        <f>IF(COUNTIFS($B$2:B65,B65,$D$2:D65,D65)=1,1,0)</f>
        <v/>
      </c>
      <c r="I65">
        <f>IF(OR(LEFT(F65,2)="무균",ISNUMBER(SEARCH("주사제",F65))),"Y","")</f>
        <v/>
      </c>
      <c r="J65">
        <f>IF(LEFT(F65,2)="생물","Y","")</f>
        <v/>
      </c>
    </row>
    <row r="66">
      <c r="A66" t="inlineStr">
        <is>
          <t>S065</t>
        </is>
      </c>
      <c r="B66" t="inlineStr">
        <is>
          <t>보락</t>
        </is>
      </c>
      <c r="C66" t="inlineStr">
        <is>
          <t>(주)보락</t>
        </is>
      </c>
      <c r="D66" t="inlineStr">
        <is>
          <t>경기도 화성시 만세구 양감면 초록로 720-37</t>
        </is>
      </c>
      <c r="E66" t="inlineStr">
        <is>
          <t>원료의약품</t>
        </is>
      </c>
      <c r="F66" t="inlineStr">
        <is>
          <t>비무균-세포독성항암제제-합성, 비무균-일반제제-합성, 비무균-일반제제-추출, 비무균-세포독성항암제제-정제(합성에 한함), 비무균-일반제제-(정제(합성에 한함), 정제(추출에 한함)), 비무균-일반제제-소분</t>
        </is>
      </c>
      <c r="G66" s="32" t="n">
        <v>47193</v>
      </c>
      <c r="H66">
        <f>IF(COUNTIFS($B$2:B66,B66,$D$2:D66,D66)=1,1,0)</f>
        <v/>
      </c>
      <c r="I66">
        <f>IF(OR(LEFT(F66,2)="무균",ISNUMBER(SEARCH("주사제",F66))),"Y","")</f>
        <v/>
      </c>
      <c r="J66">
        <f>IF(LEFT(F66,2)="생물","Y","")</f>
        <v/>
      </c>
    </row>
    <row r="67">
      <c r="A67" t="inlineStr">
        <is>
          <t>S066</t>
        </is>
      </c>
      <c r="B67" t="inlineStr">
        <is>
          <t>메디포스트</t>
        </is>
      </c>
      <c r="C67" t="inlineStr">
        <is>
          <t>메디포스트(주)</t>
        </is>
      </c>
      <c r="D67" t="inlineStr">
        <is>
          <t>서울특별시 구로구 디지털로 306 9층 901~907호, 911호, 5층 501호(일부),B1층 B101호, B106호, B111호, B121~123호, B128호, B129호(구로동, 대륭포스트타워 2차)</t>
        </is>
      </c>
      <c r="E67" t="inlineStr">
        <is>
          <t>완제의약품</t>
        </is>
      </c>
      <c r="F67" t="inlineStr">
        <is>
          <t>생물-세포치료제-주사제(첨단바이오의약품)(주사제)</t>
        </is>
      </c>
      <c r="G67" s="32" t="n">
        <v>47193</v>
      </c>
      <c r="H67">
        <f>IF(COUNTIFS($B$2:B67,B67,$D$2:D67,D67)=1,1,0)</f>
        <v/>
      </c>
      <c r="I67">
        <f>IF(OR(LEFT(F67,2)="무균",ISNUMBER(SEARCH("주사제",F67))),"Y","")</f>
        <v/>
      </c>
      <c r="J67">
        <f>IF(LEFT(F67,2)="생물","Y","")</f>
        <v/>
      </c>
    </row>
    <row r="68">
      <c r="A68" t="inlineStr">
        <is>
          <t>S067</t>
        </is>
      </c>
      <c r="B68" t="inlineStr">
        <is>
          <t>한국프라임제약</t>
        </is>
      </c>
      <c r="C68" t="inlineStr">
        <is>
          <t>한국프라임제약(주)</t>
        </is>
      </c>
      <c r="D68" t="inlineStr">
        <is>
          <t>전북특별자치도 완주군 봉동읍 완주산단9로 100</t>
        </is>
      </c>
      <c r="E68" t="inlineStr">
        <is>
          <t>완제의약품</t>
        </is>
      </c>
      <c r="F68" t="inlineStr">
        <is>
          <t>비무균-일반제제-내용고형제(정제, 캡슐제)</t>
        </is>
      </c>
      <c r="G68" s="32" t="n">
        <v>47191</v>
      </c>
      <c r="H68">
        <f>IF(COUNTIFS($B$2:B68,B68,$D$2:D68,D68)=1,1,0)</f>
        <v/>
      </c>
      <c r="I68">
        <f>IF(OR(LEFT(F68,2)="무균",ISNUMBER(SEARCH("주사제",F68))),"Y","")</f>
        <v/>
      </c>
      <c r="J68">
        <f>IF(LEFT(F68,2)="생물","Y","")</f>
        <v/>
      </c>
    </row>
    <row r="69">
      <c r="A69" t="inlineStr">
        <is>
          <t>S068</t>
        </is>
      </c>
      <c r="B69" t="inlineStr">
        <is>
          <t>제테마</t>
        </is>
      </c>
      <c r="C69" t="inlineStr">
        <is>
          <t>(주)제테마</t>
        </is>
      </c>
      <c r="D69" t="inlineStr">
        <is>
          <t>강원특별자치도 원주시 지정면 조엄로 321</t>
        </is>
      </c>
      <c r="E69" t="inlineStr">
        <is>
          <t>원료의약품</t>
        </is>
      </c>
      <c r="F69" t="inlineStr">
        <is>
          <t>생물-독소-(배양, 정제, 원액 제조)</t>
        </is>
      </c>
      <c r="G69" s="32" t="n">
        <v>47186</v>
      </c>
      <c r="H69">
        <f>IF(COUNTIFS($B$2:B69,B69,$D$2:D69,D69)=1,1,0)</f>
        <v/>
      </c>
      <c r="I69">
        <f>IF(OR(LEFT(F69,2)="무균",ISNUMBER(SEARCH("주사제",F69))),"Y","")</f>
        <v/>
      </c>
      <c r="J69">
        <f>IF(LEFT(F69,2)="생물","Y","")</f>
        <v/>
      </c>
    </row>
    <row r="70">
      <c r="A70" t="inlineStr">
        <is>
          <t>S069</t>
        </is>
      </c>
      <c r="B70" t="inlineStr">
        <is>
          <t>제테마</t>
        </is>
      </c>
      <c r="C70" t="inlineStr">
        <is>
          <t>(주)제테마</t>
        </is>
      </c>
      <c r="D70" t="inlineStr">
        <is>
          <t>강원특별자치도 원주시 지정면 조엄로 321</t>
        </is>
      </c>
      <c r="E70" t="inlineStr">
        <is>
          <t>완제의약품</t>
        </is>
      </c>
      <c r="F70" t="inlineStr">
        <is>
          <t>생물-독소-주사제(동결건조주사제)</t>
        </is>
      </c>
      <c r="G70" s="32" t="n">
        <v>47186</v>
      </c>
      <c r="H70">
        <f>IF(COUNTIFS($B$2:B70,B70,$D$2:D70,D70)=1,1,0)</f>
        <v/>
      </c>
      <c r="I70">
        <f>IF(OR(LEFT(F70,2)="무균",ISNUMBER(SEARCH("주사제",F70))),"Y","")</f>
        <v/>
      </c>
      <c r="J70">
        <f>IF(LEFT(F70,2)="생물","Y","")</f>
        <v/>
      </c>
    </row>
    <row r="71">
      <c r="A71" t="inlineStr">
        <is>
          <t>S070</t>
        </is>
      </c>
      <c r="B71" t="inlineStr">
        <is>
          <t>시어스제약</t>
        </is>
      </c>
      <c r="C71" t="inlineStr">
        <is>
          <t>(주)시어스제약</t>
        </is>
      </c>
      <c r="D71" t="inlineStr">
        <is>
          <t>경기도 화성시 만세구 향남읍 발안공단로 32</t>
        </is>
      </c>
      <c r="E71" t="inlineStr">
        <is>
          <t>완제의약품</t>
        </is>
      </c>
      <c r="F71" t="inlineStr">
        <is>
          <t>비무균-일반제제-내용고형제(정제), 비무균-일반제제-연고제(크림제, 겔제)</t>
        </is>
      </c>
      <c r="G71" s="32" t="n">
        <v>47184</v>
      </c>
      <c r="H71">
        <f>IF(COUNTIFS($B$2:B71,B71,$D$2:D71,D71)=1,1,0)</f>
        <v/>
      </c>
      <c r="I71">
        <f>IF(OR(LEFT(F71,2)="무균",ISNUMBER(SEARCH("주사제",F71))),"Y","")</f>
        <v/>
      </c>
      <c r="J71">
        <f>IF(LEFT(F71,2)="생물","Y","")</f>
        <v/>
      </c>
    </row>
    <row r="72">
      <c r="A72" t="inlineStr">
        <is>
          <t>S071</t>
        </is>
      </c>
      <c r="B72" t="inlineStr">
        <is>
          <t>동국생명과학</t>
        </is>
      </c>
      <c r="C72" t="inlineStr">
        <is>
          <t>동국생명과학(주)</t>
        </is>
      </c>
      <c r="D72" t="inlineStr">
        <is>
          <t>경기도 안성시 미양면 제2공단1길 92</t>
        </is>
      </c>
      <c r="E72" t="inlineStr">
        <is>
          <t>원료의약품</t>
        </is>
      </c>
      <c r="F72" t="inlineStr">
        <is>
          <t>비무균-일반제제-합성</t>
        </is>
      </c>
      <c r="G72" s="32" t="n">
        <v>47178</v>
      </c>
      <c r="H72">
        <f>IF(COUNTIFS($B$2:B72,B72,$D$2:D72,D72)=1,1,0)</f>
        <v/>
      </c>
      <c r="I72">
        <f>IF(OR(LEFT(F72,2)="무균",ISNUMBER(SEARCH("주사제",F72))),"Y","")</f>
        <v/>
      </c>
      <c r="J72">
        <f>IF(LEFT(F72,2)="생물","Y","")</f>
        <v/>
      </c>
    </row>
    <row r="73">
      <c r="A73" t="inlineStr">
        <is>
          <t>S072</t>
        </is>
      </c>
      <c r="B73" t="inlineStr">
        <is>
          <t>단일시스켐</t>
        </is>
      </c>
      <c r="C73" t="inlineStr">
        <is>
          <t>단일시스켐(주)</t>
        </is>
      </c>
      <c r="D73" t="inlineStr">
        <is>
          <t>경기도 김포시 양촌읍 황금로24번길 76</t>
        </is>
      </c>
      <c r="E73" t="inlineStr">
        <is>
          <t>완제의약품</t>
        </is>
      </c>
      <c r="F73" t="inlineStr">
        <is>
          <t>비무균-일반제제(의료용 고압가스)-가스제(의료용 고압가스)</t>
        </is>
      </c>
      <c r="G73" s="32" t="n">
        <v>47176</v>
      </c>
      <c r="H73">
        <f>IF(COUNTIFS($B$2:B73,B73,$D$2:D73,D73)=1,1,0)</f>
        <v/>
      </c>
      <c r="I73">
        <f>IF(OR(LEFT(F73,2)="무균",ISNUMBER(SEARCH("주사제",F73))),"Y","")</f>
        <v/>
      </c>
      <c r="J73">
        <f>IF(LEFT(F73,2)="생물","Y","")</f>
        <v/>
      </c>
    </row>
    <row r="74">
      <c r="A74" t="inlineStr">
        <is>
          <t>S073</t>
        </is>
      </c>
      <c r="B74" t="inlineStr">
        <is>
          <t>경원산소</t>
        </is>
      </c>
      <c r="C74" t="inlineStr">
        <is>
          <t>경원산소(주)</t>
        </is>
      </c>
      <c r="D74" t="inlineStr">
        <is>
          <t>강원특별자치도 원주시 우산공단길 149</t>
        </is>
      </c>
      <c r="E74" t="inlineStr">
        <is>
          <t>완제의약품</t>
        </is>
      </c>
      <c r="F74" t="inlineStr">
        <is>
          <t>비무균-일반제제(의료용 고압가스)-가스제(의료용 고압가스)</t>
        </is>
      </c>
      <c r="G74" s="32" t="n">
        <v>47172</v>
      </c>
      <c r="H74">
        <f>IF(COUNTIFS($B$2:B74,B74,$D$2:D74,D74)=1,1,0)</f>
        <v/>
      </c>
      <c r="I74">
        <f>IF(OR(LEFT(F74,2)="무균",ISNUMBER(SEARCH("주사제",F74))),"Y","")</f>
        <v/>
      </c>
      <c r="J74">
        <f>IF(LEFT(F74,2)="생물","Y","")</f>
        <v/>
      </c>
    </row>
    <row r="75">
      <c r="A75" t="inlineStr">
        <is>
          <t>S074</t>
        </is>
      </c>
      <c r="B75" t="inlineStr">
        <is>
          <t>춘천종합가스</t>
        </is>
      </c>
      <c r="C75" t="inlineStr">
        <is>
          <t>춘천종합가스</t>
        </is>
      </c>
      <c r="D75" t="inlineStr">
        <is>
          <t>강원특별자치도 춘천시 동산면 영서로 1266</t>
        </is>
      </c>
      <c r="E75" t="inlineStr">
        <is>
          <t>완제의약품</t>
        </is>
      </c>
      <c r="F75" t="inlineStr">
        <is>
          <t>비무균-일반제제(의료용 고압가스)-가스제(의료용 고압가스)</t>
        </is>
      </c>
      <c r="G75" s="32" t="n">
        <v>47172</v>
      </c>
      <c r="H75">
        <f>IF(COUNTIFS($B$2:B75,B75,$D$2:D75,D75)=1,1,0)</f>
        <v/>
      </c>
      <c r="I75">
        <f>IF(OR(LEFT(F75,2)="무균",ISNUMBER(SEARCH("주사제",F75))),"Y","")</f>
        <v/>
      </c>
      <c r="J75">
        <f>IF(LEFT(F75,2)="생물","Y","")</f>
        <v/>
      </c>
    </row>
    <row r="76">
      <c r="A76" t="inlineStr">
        <is>
          <t>S075</t>
        </is>
      </c>
      <c r="B76" t="inlineStr">
        <is>
          <t>녹십자엠에스</t>
        </is>
      </c>
      <c r="C76" t="inlineStr">
        <is>
          <t>(주)녹십자엠에스</t>
        </is>
      </c>
      <c r="D76" t="inlineStr">
        <is>
          <t>충청북도 음성군 맹동면 태정로 148</t>
        </is>
      </c>
      <c r="E76" t="inlineStr">
        <is>
          <t>완제의약품</t>
        </is>
      </c>
      <c r="F76" t="inlineStr">
        <is>
          <t>비무균-일반제제-외용액제(혈액투석제(액상)), 비무균-일반제제-그 밖의 고형제(혈액투석제(고형))</t>
        </is>
      </c>
      <c r="G76" s="32" t="n">
        <v>47172</v>
      </c>
      <c r="H76">
        <f>IF(COUNTIFS($B$2:B76,B76,$D$2:D76,D76)=1,1,0)</f>
        <v/>
      </c>
      <c r="I76">
        <f>IF(OR(LEFT(F76,2)="무균",ISNUMBER(SEARCH("주사제",F76))),"Y","")</f>
        <v/>
      </c>
      <c r="J76">
        <f>IF(LEFT(F76,2)="생물","Y","")</f>
        <v/>
      </c>
    </row>
    <row r="77">
      <c r="A77" t="inlineStr">
        <is>
          <t>S076</t>
        </is>
      </c>
      <c r="B77" t="inlineStr">
        <is>
          <t>재단법인아산사회복지재단서울아산병원</t>
        </is>
      </c>
      <c r="C77" t="inlineStr">
        <is>
          <t>재단법인아산사회복지재단서울아산병원</t>
        </is>
      </c>
      <c r="D77" t="inlineStr">
        <is>
          <t>서울특별시 송파구 올림픽로43길 88</t>
        </is>
      </c>
      <c r="E77" t="inlineStr">
        <is>
          <t>완제의약품</t>
        </is>
      </c>
      <c r="F77" t="inlineStr">
        <is>
          <t>무균-일반제제(방사성의약품)-주사제(주사제)</t>
        </is>
      </c>
      <c r="G77" s="32" t="n">
        <v>47172</v>
      </c>
      <c r="H77">
        <f>IF(COUNTIFS($B$2:B77,B77,$D$2:D77,D77)=1,1,0)</f>
        <v/>
      </c>
      <c r="I77">
        <f>IF(OR(LEFT(F77,2)="무균",ISNUMBER(SEARCH("주사제",F77))),"Y","")</f>
        <v/>
      </c>
      <c r="J77">
        <f>IF(LEFT(F77,2)="생물","Y","")</f>
        <v/>
      </c>
    </row>
    <row r="78">
      <c r="A78" t="inlineStr">
        <is>
          <t>S077</t>
        </is>
      </c>
      <c r="B78" t="inlineStr">
        <is>
          <t>아주약품</t>
        </is>
      </c>
      <c r="C78" t="inlineStr">
        <is>
          <t>아주약품(주)</t>
        </is>
      </c>
      <c r="D78" t="inlineStr">
        <is>
          <t>경기도 평택시 산단로121번길 23</t>
        </is>
      </c>
      <c r="E78" t="inlineStr">
        <is>
          <t>완제의약품</t>
        </is>
      </c>
      <c r="F78" t="inlineStr">
        <is>
          <t>비무균-일반제제-내용고형제(정제, 캡슐제, 과립제), 무균-일반제제-주사제(주사제)</t>
        </is>
      </c>
      <c r="G78" s="32" t="n">
        <v>47172</v>
      </c>
      <c r="H78">
        <f>IF(COUNTIFS($B$2:B78,B78,$D$2:D78,D78)=1,1,0)</f>
        <v/>
      </c>
      <c r="I78">
        <f>IF(OR(LEFT(F78,2)="무균",ISNUMBER(SEARCH("주사제",F78))),"Y","")</f>
        <v/>
      </c>
      <c r="J78">
        <f>IF(LEFT(F78,2)="생물","Y","")</f>
        <v/>
      </c>
    </row>
    <row r="79">
      <c r="A79" t="inlineStr">
        <is>
          <t>S078</t>
        </is>
      </c>
      <c r="B79" t="inlineStr">
        <is>
          <t>환인제약</t>
        </is>
      </c>
      <c r="C79" t="inlineStr">
        <is>
          <t>환인제약(주)</t>
        </is>
      </c>
      <c r="D79" t="inlineStr">
        <is>
          <t>경기도 화성시 만세구 향남읍 제약공단2길 45</t>
        </is>
      </c>
      <c r="E79" t="inlineStr">
        <is>
          <t>완제의약품</t>
        </is>
      </c>
      <c r="F79" t="inlineStr">
        <is>
          <t>비무균-일반제제-내용고형제(정제, 캡슐제)</t>
        </is>
      </c>
      <c r="G79" s="32" t="n">
        <v>47172</v>
      </c>
      <c r="H79">
        <f>IF(COUNTIFS($B$2:B79,B79,$D$2:D79,D79)=1,1,0)</f>
        <v/>
      </c>
      <c r="I79">
        <f>IF(OR(LEFT(F79,2)="무균",ISNUMBER(SEARCH("주사제",F79))),"Y","")</f>
        <v/>
      </c>
      <c r="J79">
        <f>IF(LEFT(F79,2)="생물","Y","")</f>
        <v/>
      </c>
    </row>
    <row r="80">
      <c r="A80" t="inlineStr">
        <is>
          <t>S079</t>
        </is>
      </c>
      <c r="B80" t="inlineStr">
        <is>
          <t>에어프로덕츠코리아</t>
        </is>
      </c>
      <c r="C80" t="inlineStr">
        <is>
          <t>에어프로덕츠코리아(주)</t>
        </is>
      </c>
      <c r="D80" t="inlineStr">
        <is>
          <t>울산광역시 울주군 온산읍 석당길 15</t>
        </is>
      </c>
      <c r="E80" t="inlineStr">
        <is>
          <t>완제의약품</t>
        </is>
      </c>
      <c r="F80" t="inlineStr">
        <is>
          <t>비무균-일반제제-가스제(의료용 고압가스)</t>
        </is>
      </c>
      <c r="G80" s="32" t="n">
        <v>47170</v>
      </c>
      <c r="H80">
        <f>IF(COUNTIFS($B$2:B80,B80,$D$2:D80,D80)=1,1,0)</f>
        <v/>
      </c>
      <c r="I80">
        <f>IF(OR(LEFT(F80,2)="무균",ISNUMBER(SEARCH("주사제",F80))),"Y","")</f>
        <v/>
      </c>
      <c r="J80">
        <f>IF(LEFT(F80,2)="생물","Y","")</f>
        <v/>
      </c>
    </row>
    <row r="81">
      <c r="A81" t="inlineStr">
        <is>
          <t>S080</t>
        </is>
      </c>
      <c r="B81" t="inlineStr">
        <is>
          <t>서흥</t>
        </is>
      </c>
      <c r="C81" t="inlineStr">
        <is>
          <t>(주)서흥</t>
        </is>
      </c>
      <c r="D81" t="inlineStr">
        <is>
          <t>충청북도 청주시 흥덕구 오송읍 오송생명로 61</t>
        </is>
      </c>
      <c r="E81" t="inlineStr">
        <is>
          <t>완제의약품</t>
        </is>
      </c>
      <c r="F81" t="inlineStr">
        <is>
          <t>비무균-일반제제-내용고형제(정제, 캡슐제), --()</t>
        </is>
      </c>
      <c r="G81" s="32" t="n">
        <v>47170</v>
      </c>
      <c r="H81">
        <f>IF(COUNTIFS($B$2:B81,B81,$D$2:D81,D81)=1,1,0)</f>
        <v/>
      </c>
      <c r="I81">
        <f>IF(OR(LEFT(F81,2)="무균",ISNUMBER(SEARCH("주사제",F81))),"Y","")</f>
        <v/>
      </c>
      <c r="J81">
        <f>IF(LEFT(F81,2)="생물","Y","")</f>
        <v/>
      </c>
    </row>
    <row r="82">
      <c r="A82" t="inlineStr">
        <is>
          <t>S081</t>
        </is>
      </c>
      <c r="B82" t="inlineStr">
        <is>
          <t>디아이지에어가스</t>
        </is>
      </c>
      <c r="C82" t="inlineStr">
        <is>
          <t>디아이지에어가스(주)</t>
        </is>
      </c>
      <c r="D82" t="inlineStr">
        <is>
          <t>경기도 파주시 월롱면 엘씨디로 284</t>
        </is>
      </c>
      <c r="E82" t="inlineStr">
        <is>
          <t>완제의약품</t>
        </is>
      </c>
      <c r="F82" t="inlineStr">
        <is>
          <t>비무균-일반제제(의료용 고압가스)-가스제(의료용 고압가스)</t>
        </is>
      </c>
      <c r="G82" s="32" t="n">
        <v>47170</v>
      </c>
      <c r="H82">
        <f>IF(COUNTIFS($B$2:B82,B82,$D$2:D82,D82)=1,1,0)</f>
        <v/>
      </c>
      <c r="I82">
        <f>IF(OR(LEFT(F82,2)="무균",ISNUMBER(SEARCH("주사제",F82))),"Y","")</f>
        <v/>
      </c>
      <c r="J82">
        <f>IF(LEFT(F82,2)="생물","Y","")</f>
        <v/>
      </c>
    </row>
    <row r="83">
      <c r="A83" t="inlineStr">
        <is>
          <t>S082</t>
        </is>
      </c>
      <c r="B83" t="inlineStr">
        <is>
          <t>텔콘알에프제약</t>
        </is>
      </c>
      <c r="C83" t="inlineStr">
        <is>
          <t>(주)텔콘알에프제약</t>
        </is>
      </c>
      <c r="D83" t="inlineStr">
        <is>
          <t>충청북도 충주시 대소원면 첨단산업1로 120</t>
        </is>
      </c>
      <c r="E83" t="inlineStr">
        <is>
          <t>완제의약품</t>
        </is>
      </c>
      <c r="F83" t="inlineStr">
        <is>
          <t>비무균-일반제제-내용액제(경구용액제, 현탁제)</t>
        </is>
      </c>
      <c r="G83" s="32" t="n">
        <v>47165</v>
      </c>
      <c r="H83">
        <f>IF(COUNTIFS($B$2:B83,B83,$D$2:D83,D83)=1,1,0)</f>
        <v/>
      </c>
      <c r="I83">
        <f>IF(OR(LEFT(F83,2)="무균",ISNUMBER(SEARCH("주사제",F83))),"Y","")</f>
        <v/>
      </c>
      <c r="J83">
        <f>IF(LEFT(F83,2)="생물","Y","")</f>
        <v/>
      </c>
    </row>
    <row r="84">
      <c r="A84" t="inlineStr">
        <is>
          <t>S083</t>
        </is>
      </c>
      <c r="B84" t="inlineStr">
        <is>
          <t>한솔신약</t>
        </is>
      </c>
      <c r="C84" t="inlineStr">
        <is>
          <t>한솔신약(주)</t>
        </is>
      </c>
      <c r="D84" t="inlineStr">
        <is>
          <t>충청북도 음성군 금왕읍 청평길 2-11</t>
        </is>
      </c>
      <c r="E84" t="inlineStr">
        <is>
          <t>완제의약품</t>
        </is>
      </c>
      <c r="F84" t="inlineStr">
        <is>
          <t>비무균-일반제제-내용고형제(정제, 산제, 과립제, 환제)</t>
        </is>
      </c>
      <c r="G84" s="32" t="n">
        <v>47163</v>
      </c>
      <c r="H84">
        <f>IF(COUNTIFS($B$2:B84,B84,$D$2:D84,D84)=1,1,0)</f>
        <v/>
      </c>
      <c r="I84">
        <f>IF(OR(LEFT(F84,2)="무균",ISNUMBER(SEARCH("주사제",F84))),"Y","")</f>
        <v/>
      </c>
      <c r="J84">
        <f>IF(LEFT(F84,2)="생물","Y","")</f>
        <v/>
      </c>
    </row>
    <row r="85">
      <c r="A85" t="inlineStr">
        <is>
          <t>S084</t>
        </is>
      </c>
      <c r="B85" t="inlineStr">
        <is>
          <t>유한양행</t>
        </is>
      </c>
      <c r="C85" t="inlineStr">
        <is>
          <t>(주)유한양행</t>
        </is>
      </c>
      <c r="D85" t="inlineStr">
        <is>
          <t>충청북도 청주시 청원구 오창읍 연구단지로 238</t>
        </is>
      </c>
      <c r="E85" t="inlineStr">
        <is>
          <t>완제의약품</t>
        </is>
      </c>
      <c r="F85" t="inlineStr">
        <is>
          <t>비무균-일반제제-내용고형제(정제)</t>
        </is>
      </c>
      <c r="G85" s="32" t="n">
        <v>47161</v>
      </c>
      <c r="H85">
        <f>IF(COUNTIFS($B$2:B85,B85,$D$2:D85,D85)=1,1,0)</f>
        <v/>
      </c>
      <c r="I85">
        <f>IF(OR(LEFT(F85,2)="무균",ISNUMBER(SEARCH("주사제",F85))),"Y","")</f>
        <v/>
      </c>
      <c r="J85">
        <f>IF(LEFT(F85,2)="생물","Y","")</f>
        <v/>
      </c>
    </row>
    <row r="86">
      <c r="A86" t="inlineStr">
        <is>
          <t>S085</t>
        </is>
      </c>
      <c r="B86" t="inlineStr">
        <is>
          <t>종근당바이오</t>
        </is>
      </c>
      <c r="C86" t="inlineStr">
        <is>
          <t>(주)종근당바이오</t>
        </is>
      </c>
      <c r="D86" t="inlineStr">
        <is>
          <t>경기도 안산시 단원구 신원로 292 .</t>
        </is>
      </c>
      <c r="E86" t="inlineStr">
        <is>
          <t>완제의약품</t>
        </is>
      </c>
      <c r="F86" t="inlineStr">
        <is>
          <t>비무균-일반제제-내용고형제(캡슐제)</t>
        </is>
      </c>
      <c r="G86" s="32" t="n">
        <v>47161</v>
      </c>
      <c r="H86">
        <f>IF(COUNTIFS($B$2:B86,B86,$D$2:D86,D86)=1,1,0)</f>
        <v/>
      </c>
      <c r="I86">
        <f>IF(OR(LEFT(F86,2)="무균",ISNUMBER(SEARCH("주사제",F86))),"Y","")</f>
        <v/>
      </c>
      <c r="J86">
        <f>IF(LEFT(F86,2)="생물","Y","")</f>
        <v/>
      </c>
    </row>
    <row r="87">
      <c r="A87" t="inlineStr">
        <is>
          <t>S086</t>
        </is>
      </c>
      <c r="B87" t="inlineStr">
        <is>
          <t>와이즈메디</t>
        </is>
      </c>
      <c r="C87" t="inlineStr">
        <is>
          <t>(주)와이즈메디</t>
        </is>
      </c>
      <c r="D87" t="inlineStr">
        <is>
          <t>충청북도 진천군 광혜원면 용소길 90</t>
        </is>
      </c>
      <c r="E87" t="inlineStr">
        <is>
          <t>완제의약품</t>
        </is>
      </c>
      <c r="F87" t="inlineStr">
        <is>
          <t>무균-일반제제-주사제(수액제)</t>
        </is>
      </c>
      <c r="G87" s="32" t="n">
        <v>47160</v>
      </c>
      <c r="H87">
        <f>IF(COUNTIFS($B$2:B87,B87,$D$2:D87,D87)=1,1,0)</f>
        <v/>
      </c>
      <c r="I87">
        <f>IF(OR(LEFT(F87,2)="무균",ISNUMBER(SEARCH("주사제",F87))),"Y","")</f>
        <v/>
      </c>
      <c r="J87">
        <f>IF(LEFT(F87,2)="생물","Y","")</f>
        <v/>
      </c>
    </row>
    <row r="88">
      <c r="A88" t="inlineStr">
        <is>
          <t>S087</t>
        </is>
      </c>
      <c r="B88" t="inlineStr">
        <is>
          <t>화이트생명과학</t>
        </is>
      </c>
      <c r="C88" t="inlineStr">
        <is>
          <t>(주)화이트생명과학</t>
        </is>
      </c>
      <c r="D88" t="inlineStr">
        <is>
          <t>경기도 화성시 만세구 향남읍 제약공단4길 89</t>
        </is>
      </c>
      <c r="E88" t="inlineStr">
        <is>
          <t>완제의약품</t>
        </is>
      </c>
      <c r="F88" t="inlineStr">
        <is>
          <t>비무균-일반제제-내용고형제(정제, 캡슐제)</t>
        </is>
      </c>
      <c r="G88" s="32" t="n">
        <v>47158</v>
      </c>
      <c r="H88">
        <f>IF(COUNTIFS($B$2:B88,B88,$D$2:D88,D88)=1,1,0)</f>
        <v/>
      </c>
      <c r="I88">
        <f>IF(OR(LEFT(F88,2)="무균",ISNUMBER(SEARCH("주사제",F88))),"Y","")</f>
        <v/>
      </c>
      <c r="J88">
        <f>IF(LEFT(F88,2)="생물","Y","")</f>
        <v/>
      </c>
    </row>
    <row r="89">
      <c r="A89" t="inlineStr">
        <is>
          <t>S088</t>
        </is>
      </c>
      <c r="B89" t="inlineStr">
        <is>
          <t>에리슨제약</t>
        </is>
      </c>
      <c r="C89" t="inlineStr">
        <is>
          <t>에리슨제약(주)</t>
        </is>
      </c>
      <c r="D89" t="inlineStr">
        <is>
          <t>경기도 화성시 만세구 향남읍 제약공단3길 95</t>
        </is>
      </c>
      <c r="E89" t="inlineStr">
        <is>
          <t>완제의약품</t>
        </is>
      </c>
      <c r="F89" t="inlineStr">
        <is>
          <t>비무균-일반제제-내용고형제(정제, 캡슐제)</t>
        </is>
      </c>
      <c r="G89" s="32" t="n">
        <v>47158</v>
      </c>
      <c r="H89">
        <f>IF(COUNTIFS($B$2:B89,B89,$D$2:D89,D89)=1,1,0)</f>
        <v/>
      </c>
      <c r="I89">
        <f>IF(OR(LEFT(F89,2)="무균",ISNUMBER(SEARCH("주사제",F89))),"Y","")</f>
        <v/>
      </c>
      <c r="J89">
        <f>IF(LEFT(F89,2)="생물","Y","")</f>
        <v/>
      </c>
    </row>
    <row r="90">
      <c r="A90" t="inlineStr">
        <is>
          <t>S089</t>
        </is>
      </c>
      <c r="B90" t="inlineStr">
        <is>
          <t>서울대학교병원</t>
        </is>
      </c>
      <c r="C90" t="inlineStr">
        <is>
          <t>서울대학교병원</t>
        </is>
      </c>
      <c r="D90" t="inlineStr">
        <is>
          <t>서울특별시 종로구 대학로 101 서울대학교 암병원 종양핵의학검사실 사이클로트론실 (연건동)</t>
        </is>
      </c>
      <c r="E90" t="inlineStr">
        <is>
          <t>완제의약품</t>
        </is>
      </c>
      <c r="F90" t="inlineStr">
        <is>
          <t>무균-일반제제(방사성의약품)-주사제(주사제)</t>
        </is>
      </c>
      <c r="G90" s="32" t="n">
        <v>47158</v>
      </c>
      <c r="H90">
        <f>IF(COUNTIFS($B$2:B90,B90,$D$2:D90,D90)=1,1,0)</f>
        <v/>
      </c>
      <c r="I90">
        <f>IF(OR(LEFT(F90,2)="무균",ISNUMBER(SEARCH("주사제",F90))),"Y","")</f>
        <v/>
      </c>
      <c r="J90">
        <f>IF(LEFT(F90,2)="생물","Y","")</f>
        <v/>
      </c>
    </row>
    <row r="91">
      <c r="A91" t="inlineStr">
        <is>
          <t>S090</t>
        </is>
      </c>
      <c r="B91" t="inlineStr">
        <is>
          <t>한국피엠지제약</t>
        </is>
      </c>
      <c r="C91" t="inlineStr">
        <is>
          <t>(주)한국피엠지제약</t>
        </is>
      </c>
      <c r="D91" t="inlineStr">
        <is>
          <t>경기도 시흥시 경제로 59</t>
        </is>
      </c>
      <c r="E91" t="inlineStr">
        <is>
          <t>완제의약품</t>
        </is>
      </c>
      <c r="F91" t="inlineStr">
        <is>
          <t>비무균-일반제제-내용고형제(정제, 캡슐제)</t>
        </is>
      </c>
      <c r="G91" s="32" t="n">
        <v>47156</v>
      </c>
      <c r="H91">
        <f>IF(COUNTIFS($B$2:B91,B91,$D$2:D91,D91)=1,1,0)</f>
        <v/>
      </c>
      <c r="I91">
        <f>IF(OR(LEFT(F91,2)="무균",ISNUMBER(SEARCH("주사제",F91))),"Y","")</f>
        <v/>
      </c>
      <c r="J91">
        <f>IF(LEFT(F91,2)="생물","Y","")</f>
        <v/>
      </c>
    </row>
    <row r="92">
      <c r="A92" t="inlineStr">
        <is>
          <t>S091</t>
        </is>
      </c>
      <c r="B92" t="inlineStr">
        <is>
          <t>한국피엠지제약</t>
        </is>
      </c>
      <c r="C92" t="inlineStr">
        <is>
          <t>(주)한국피엠지제약</t>
        </is>
      </c>
      <c r="D92" t="inlineStr">
        <is>
          <t>경기도 시흥시 경제로 59</t>
        </is>
      </c>
      <c r="E92" t="inlineStr">
        <is>
          <t>원료의약품</t>
        </is>
      </c>
      <c r="F92" t="inlineStr">
        <is>
          <t>비무균-일반제제-소분</t>
        </is>
      </c>
      <c r="G92" s="32" t="n">
        <v>47156</v>
      </c>
      <c r="H92">
        <f>IF(COUNTIFS($B$2:B92,B92,$D$2:D92,D92)=1,1,0)</f>
        <v/>
      </c>
      <c r="I92">
        <f>IF(OR(LEFT(F92,2)="무균",ISNUMBER(SEARCH("주사제",F92))),"Y","")</f>
        <v/>
      </c>
      <c r="J92">
        <f>IF(LEFT(F92,2)="생물","Y","")</f>
        <v/>
      </c>
    </row>
    <row r="93">
      <c r="A93" t="inlineStr">
        <is>
          <t>S092</t>
        </is>
      </c>
      <c r="B93" t="inlineStr">
        <is>
          <t>엠에스가스</t>
        </is>
      </c>
      <c r="C93" t="inlineStr">
        <is>
          <t>(주)엠에스가스</t>
        </is>
      </c>
      <c r="D93" t="inlineStr">
        <is>
          <t>경기도 광주시 초월읍 무들로8번길 51-4</t>
        </is>
      </c>
      <c r="E93" t="inlineStr">
        <is>
          <t>완제의약품</t>
        </is>
      </c>
      <c r="F93" t="inlineStr">
        <is>
          <t>비무균-일반제제(의료용 고압가스)-가스제(의료용 고압가스)</t>
        </is>
      </c>
      <c r="G93" s="32" t="n">
        <v>47149</v>
      </c>
      <c r="H93">
        <f>IF(COUNTIFS($B$2:B93,B93,$D$2:D93,D93)=1,1,0)</f>
        <v/>
      </c>
      <c r="I93">
        <f>IF(OR(LEFT(F93,2)="무균",ISNUMBER(SEARCH("주사제",F93))),"Y","")</f>
        <v/>
      </c>
      <c r="J93">
        <f>IF(LEFT(F93,2)="생물","Y","")</f>
        <v/>
      </c>
    </row>
    <row r="94">
      <c r="A94" t="inlineStr">
        <is>
          <t>S093</t>
        </is>
      </c>
      <c r="B94" t="inlineStr">
        <is>
          <t>경보제약</t>
        </is>
      </c>
      <c r="C94" t="inlineStr">
        <is>
          <t>(주)경보제약</t>
        </is>
      </c>
      <c r="D94" t="inlineStr">
        <is>
          <t>충청남도 아산시 실옥로 174</t>
        </is>
      </c>
      <c r="E94" t="inlineStr">
        <is>
          <t>원료의약품</t>
        </is>
      </c>
      <c r="F94" t="inlineStr">
        <is>
          <t>무균-세팔로스포린제제-합성, 비무균-세팔로스포린제제-합성, 비무균-세포독성항암제제-합성, 비무균-일반제제-합성</t>
        </is>
      </c>
      <c r="G94" s="32" t="n">
        <v>47149</v>
      </c>
      <c r="H94">
        <f>IF(COUNTIFS($B$2:B94,B94,$D$2:D94,D94)=1,1,0)</f>
        <v/>
      </c>
      <c r="I94">
        <f>IF(OR(LEFT(F94,2)="무균",ISNUMBER(SEARCH("주사제",F94))),"Y","")</f>
        <v/>
      </c>
      <c r="J94">
        <f>IF(LEFT(F94,2)="생물","Y","")</f>
        <v/>
      </c>
    </row>
    <row r="95">
      <c r="A95" t="inlineStr">
        <is>
          <t>S094</t>
        </is>
      </c>
      <c r="B95" t="inlineStr">
        <is>
          <t>경보제약</t>
        </is>
      </c>
      <c r="C95" t="inlineStr">
        <is>
          <t>(주)경보제약</t>
        </is>
      </c>
      <c r="D95" t="inlineStr">
        <is>
          <t>충청남도 아산시 실옥로 174</t>
        </is>
      </c>
      <c r="E95" t="inlineStr">
        <is>
          <t>완제의약품</t>
        </is>
      </c>
      <c r="F95" t="inlineStr">
        <is>
          <t>비무균-세팔로스포린제제-내용고형제(정제, 캡슐제, 시럽제(고형)), 무균-세팔로스포린제제-주사제(분말주사제)</t>
        </is>
      </c>
      <c r="G95" s="32" t="n">
        <v>47149</v>
      </c>
      <c r="H95">
        <f>IF(COUNTIFS($B$2:B95,B95,$D$2:D95,D95)=1,1,0)</f>
        <v/>
      </c>
      <c r="I95">
        <f>IF(OR(LEFT(F95,2)="무균",ISNUMBER(SEARCH("주사제",F95))),"Y","")</f>
        <v/>
      </c>
      <c r="J95">
        <f>IF(LEFT(F95,2)="생물","Y","")</f>
        <v/>
      </c>
    </row>
    <row r="96">
      <c r="A96" t="inlineStr">
        <is>
          <t>S095</t>
        </is>
      </c>
      <c r="B96" t="inlineStr">
        <is>
          <t>타나베파마코리아</t>
        </is>
      </c>
      <c r="C96" t="inlineStr">
        <is>
          <t>타나베파마코리아주식회사</t>
        </is>
      </c>
      <c r="D96" t="inlineStr">
        <is>
          <t>경기도 화성시 만세구 향남읍 제약공단2길 80</t>
        </is>
      </c>
      <c r="E96" t="inlineStr">
        <is>
          <t>완제의약품</t>
        </is>
      </c>
      <c r="F96" t="inlineStr">
        <is>
          <t>무균-일반제제-주사제(주사제)</t>
        </is>
      </c>
      <c r="G96" s="32" t="n">
        <v>47149</v>
      </c>
      <c r="H96">
        <f>IF(COUNTIFS($B$2:B96,B96,$D$2:D96,D96)=1,1,0)</f>
        <v/>
      </c>
      <c r="I96">
        <f>IF(OR(LEFT(F96,2)="무균",ISNUMBER(SEARCH("주사제",F96))),"Y","")</f>
        <v/>
      </c>
      <c r="J96">
        <f>IF(LEFT(F96,2)="생물","Y","")</f>
        <v/>
      </c>
    </row>
    <row r="97">
      <c r="A97" t="inlineStr">
        <is>
          <t>S096</t>
        </is>
      </c>
      <c r="B97" t="inlineStr">
        <is>
          <t>대덕가스</t>
        </is>
      </c>
      <c r="C97" t="inlineStr">
        <is>
          <t>대덕가스(주)</t>
        </is>
      </c>
      <c r="D97" t="inlineStr">
        <is>
          <t>충청남도 서산시 고북면 고북1로 343-12</t>
        </is>
      </c>
      <c r="E97" t="inlineStr">
        <is>
          <t>완제의약품</t>
        </is>
      </c>
      <c r="F97" t="inlineStr">
        <is>
          <t>비무균-일반제제(의료용 고압가스)-가스제(의료용 고압가스)</t>
        </is>
      </c>
      <c r="G97" s="32" t="n">
        <v>47137</v>
      </c>
      <c r="H97">
        <f>IF(COUNTIFS($B$2:B97,B97,$D$2:D97,D97)=1,1,0)</f>
        <v/>
      </c>
      <c r="I97">
        <f>IF(OR(LEFT(F97,2)="무균",ISNUMBER(SEARCH("주사제",F97))),"Y","")</f>
        <v/>
      </c>
      <c r="J97">
        <f>IF(LEFT(F97,2)="생물","Y","")</f>
        <v/>
      </c>
    </row>
    <row r="98">
      <c r="A98" t="inlineStr">
        <is>
          <t>S097</t>
        </is>
      </c>
      <c r="B98" t="inlineStr">
        <is>
          <t>에이치케이이노엔</t>
        </is>
      </c>
      <c r="C98" t="inlineStr">
        <is>
          <t>에이치케이이노엔(주)</t>
        </is>
      </c>
      <c r="D98" t="inlineStr">
        <is>
          <t>경기도 이천시 마장면 덕평로 811</t>
        </is>
      </c>
      <c r="E98" t="inlineStr">
        <is>
          <t>완제의약품</t>
        </is>
      </c>
      <c r="F98" t="inlineStr">
        <is>
          <t>생물-백신-주사제(동결건조주사제), 생물-유전자재조합의약품-주사제(주사제)</t>
        </is>
      </c>
      <c r="G98" s="32" t="n">
        <v>47136</v>
      </c>
      <c r="H98">
        <f>IF(COUNTIFS($B$2:B98,B98,$D$2:D98,D98)=1,1,0)</f>
        <v/>
      </c>
      <c r="I98">
        <f>IF(OR(LEFT(F98,2)="무균",ISNUMBER(SEARCH("주사제",F98))),"Y","")</f>
        <v/>
      </c>
      <c r="J98">
        <f>IF(LEFT(F98,2)="생물","Y","")</f>
        <v/>
      </c>
    </row>
    <row r="99">
      <c r="A99" t="inlineStr">
        <is>
          <t>S098</t>
        </is>
      </c>
      <c r="B99" t="inlineStr">
        <is>
          <t>에이치케이이노엔</t>
        </is>
      </c>
      <c r="C99" t="inlineStr">
        <is>
          <t>에이치케이이노엔(주)</t>
        </is>
      </c>
      <c r="D99" t="inlineStr">
        <is>
          <t>경기도 이천시 마장면 덕평로 811</t>
        </is>
      </c>
      <c r="E99" t="inlineStr">
        <is>
          <t>원료의약품</t>
        </is>
      </c>
      <c r="F99" t="inlineStr">
        <is>
          <t>생물-백신-(배양, 정제, 바이러스불활화, 원액 제조), 생물-유전자재조합의약품-(배양, 정제, 바이러스불활화, 원액 제조)</t>
        </is>
      </c>
      <c r="G99" s="32" t="n">
        <v>47136</v>
      </c>
      <c r="H99">
        <f>IF(COUNTIFS($B$2:B99,B99,$D$2:D99,D99)=1,1,0)</f>
        <v/>
      </c>
      <c r="I99">
        <f>IF(OR(LEFT(F99,2)="무균",ISNUMBER(SEARCH("주사제",F99))),"Y","")</f>
        <v/>
      </c>
      <c r="J99">
        <f>IF(LEFT(F99,2)="생물","Y","")</f>
        <v/>
      </c>
    </row>
    <row r="100">
      <c r="A100" t="inlineStr">
        <is>
          <t>S099</t>
        </is>
      </c>
      <c r="B100" t="inlineStr">
        <is>
          <t>유한화학</t>
        </is>
      </c>
      <c r="C100" t="inlineStr">
        <is>
          <t>주식회사 유한화학</t>
        </is>
      </c>
      <c r="D100" t="inlineStr">
        <is>
          <t>경기도 안산시 단원구 지원로 45 시화공단 5바 402호 (성곡동)</t>
        </is>
      </c>
      <c r="E100" t="inlineStr">
        <is>
          <t>원료의약품</t>
        </is>
      </c>
      <c r="F100" t="inlineStr">
        <is>
          <t>비무균-일반제제-합성</t>
        </is>
      </c>
      <c r="G100" s="32" t="n">
        <v>47135</v>
      </c>
      <c r="H100">
        <f>IF(COUNTIFS($B$2:B100,B100,$D$2:D100,D100)=1,1,0)</f>
        <v/>
      </c>
      <c r="I100">
        <f>IF(OR(LEFT(F100,2)="무균",ISNUMBER(SEARCH("주사제",F100))),"Y","")</f>
        <v/>
      </c>
      <c r="J100">
        <f>IF(LEFT(F100,2)="생물","Y","")</f>
        <v/>
      </c>
    </row>
    <row r="101">
      <c r="A101" t="inlineStr">
        <is>
          <t>S100</t>
        </is>
      </c>
      <c r="B101" t="inlineStr">
        <is>
          <t>한국탄산화학</t>
        </is>
      </c>
      <c r="C101" t="inlineStr">
        <is>
          <t>한국탄산화학(주)</t>
        </is>
      </c>
      <c r="D101" t="inlineStr">
        <is>
          <t>경기도 시흥시 서해안로 140</t>
        </is>
      </c>
      <c r="E101" t="inlineStr">
        <is>
          <t>완제의약품</t>
        </is>
      </c>
      <c r="F101" t="inlineStr">
        <is>
          <t>비무균-일반제제(의료용 고압가스)-가스제(의료용 고압가스)</t>
        </is>
      </c>
      <c r="G101" s="32" t="n">
        <v>47120</v>
      </c>
      <c r="H101">
        <f>IF(COUNTIFS($B$2:B101,B101,$D$2:D101,D101)=1,1,0)</f>
        <v/>
      </c>
      <c r="I101">
        <f>IF(OR(LEFT(F101,2)="무균",ISNUMBER(SEARCH("주사제",F101))),"Y","")</f>
        <v/>
      </c>
      <c r="J101">
        <f>IF(LEFT(F101,2)="생물","Y","")</f>
        <v/>
      </c>
    </row>
    <row r="102">
      <c r="A102" t="inlineStr">
        <is>
          <t>S101</t>
        </is>
      </c>
      <c r="B102" t="inlineStr">
        <is>
          <t>녹십자웰빙</t>
        </is>
      </c>
      <c r="C102" t="inlineStr">
        <is>
          <t>(주)녹십자웰빙</t>
        </is>
      </c>
      <c r="D102" t="inlineStr">
        <is>
          <t>충청북도 음성군 맹동면 두레로 173</t>
        </is>
      </c>
      <c r="E102" t="inlineStr">
        <is>
          <t>원료의약품</t>
        </is>
      </c>
      <c r="F102" t="inlineStr">
        <is>
          <t>비무균-일반제제-추출</t>
        </is>
      </c>
      <c r="G102" s="32" t="n">
        <v>47113</v>
      </c>
      <c r="H102">
        <f>IF(COUNTIFS($B$2:B102,B102,$D$2:D102,D102)=1,1,0)</f>
        <v/>
      </c>
      <c r="I102">
        <f>IF(OR(LEFT(F102,2)="무균",ISNUMBER(SEARCH("주사제",F102))),"Y","")</f>
        <v/>
      </c>
      <c r="J102">
        <f>IF(LEFT(F102,2)="생물","Y","")</f>
        <v/>
      </c>
    </row>
    <row r="103">
      <c r="A103" t="inlineStr">
        <is>
          <t>S102</t>
        </is>
      </c>
      <c r="B103" t="inlineStr">
        <is>
          <t>녹십자웰빙</t>
        </is>
      </c>
      <c r="C103" t="inlineStr">
        <is>
          <t>(주)녹십자웰빙</t>
        </is>
      </c>
      <c r="D103" t="inlineStr">
        <is>
          <t>충청북도 음성군 맹동면 두레로 173</t>
        </is>
      </c>
      <c r="E103" t="inlineStr">
        <is>
          <t>완제의약품</t>
        </is>
      </c>
      <c r="F103" t="inlineStr">
        <is>
          <t>무균-일반제제-주사제(주사제)</t>
        </is>
      </c>
      <c r="G103" s="32" t="n">
        <v>47113</v>
      </c>
      <c r="H103">
        <f>IF(COUNTIFS($B$2:B103,B103,$D$2:D103,D103)=1,1,0)</f>
        <v/>
      </c>
      <c r="I103">
        <f>IF(OR(LEFT(F103,2)="무균",ISNUMBER(SEARCH("주사제",F103))),"Y","")</f>
        <v/>
      </c>
      <c r="J103">
        <f>IF(LEFT(F103,2)="생물","Y","")</f>
        <v/>
      </c>
    </row>
    <row r="104">
      <c r="A104" t="inlineStr">
        <is>
          <t>S103</t>
        </is>
      </c>
      <c r="B104" t="inlineStr">
        <is>
          <t>대웅바이오</t>
        </is>
      </c>
      <c r="C104" t="inlineStr">
        <is>
          <t>대웅바이오(주)</t>
        </is>
      </c>
      <c r="D104" t="inlineStr">
        <is>
          <t>경기도 화성시 만세구 향남읍 제약공단4길 57</t>
        </is>
      </c>
      <c r="E104" t="inlineStr">
        <is>
          <t>완제의약품</t>
        </is>
      </c>
      <c r="F104" t="inlineStr">
        <is>
          <t>비무균-세팔로스포린제제-내용고형제(캡슐제)</t>
        </is>
      </c>
      <c r="G104" s="32" t="n">
        <v>47110</v>
      </c>
      <c r="H104">
        <f>IF(COUNTIFS($B$2:B104,B104,$D$2:D104,D104)=1,1,0)</f>
        <v/>
      </c>
      <c r="I104">
        <f>IF(OR(LEFT(F104,2)="무균",ISNUMBER(SEARCH("주사제",F104))),"Y","")</f>
        <v/>
      </c>
      <c r="J104">
        <f>IF(LEFT(F104,2)="생물","Y","")</f>
        <v/>
      </c>
    </row>
    <row r="105">
      <c r="A105" t="inlineStr">
        <is>
          <t>S104</t>
        </is>
      </c>
      <c r="B105" t="inlineStr">
        <is>
          <t>에이치디엑스</t>
        </is>
      </c>
      <c r="C105" t="inlineStr">
        <is>
          <t>에이치디엑스(주)</t>
        </is>
      </c>
      <c r="D105" t="inlineStr">
        <is>
          <t>서울특별시 종로구 대학로 103 지하2층(연건동, 서울대학교 의과대학 의과학관 싸이클로트론실)</t>
        </is>
      </c>
      <c r="E105" t="inlineStr">
        <is>
          <t>완제의약품</t>
        </is>
      </c>
      <c r="F105" t="inlineStr">
        <is>
          <t>무균-일반제제(방사성의약품)-주사제(주사제)</t>
        </is>
      </c>
      <c r="G105" s="32" t="n">
        <v>47109</v>
      </c>
      <c r="H105">
        <f>IF(COUNTIFS($B$2:B105,B105,$D$2:D105,D105)=1,1,0)</f>
        <v/>
      </c>
      <c r="I105">
        <f>IF(OR(LEFT(F105,2)="무균",ISNUMBER(SEARCH("주사제",F105))),"Y","")</f>
        <v/>
      </c>
      <c r="J105">
        <f>IF(LEFT(F105,2)="생물","Y","")</f>
        <v/>
      </c>
    </row>
    <row r="106">
      <c r="A106" t="inlineStr">
        <is>
          <t>S105</t>
        </is>
      </c>
      <c r="B106" t="inlineStr">
        <is>
          <t>대유코아</t>
        </is>
      </c>
      <c r="C106" t="inlineStr">
        <is>
          <t>(주)대유코아</t>
        </is>
      </c>
      <c r="D106" t="inlineStr">
        <is>
          <t>경상남도 함안군 칠서면 공단동길 98</t>
        </is>
      </c>
      <c r="E106" t="inlineStr">
        <is>
          <t>완제의약품</t>
        </is>
      </c>
      <c r="F106" t="inlineStr">
        <is>
          <t>비무균-일반제제-가스제(의료용 고압가스)</t>
        </is>
      </c>
      <c r="G106" s="32" t="n">
        <v>47106</v>
      </c>
      <c r="H106">
        <f>IF(COUNTIFS($B$2:B106,B106,$D$2:D106,D106)=1,1,0)</f>
        <v/>
      </c>
      <c r="I106">
        <f>IF(OR(LEFT(F106,2)="무균",ISNUMBER(SEARCH("주사제",F106))),"Y","")</f>
        <v/>
      </c>
      <c r="J106">
        <f>IF(LEFT(F106,2)="생물","Y","")</f>
        <v/>
      </c>
    </row>
    <row r="107">
      <c r="A107" t="inlineStr">
        <is>
          <t>S106</t>
        </is>
      </c>
      <c r="B107" t="inlineStr">
        <is>
          <t>동방에프티엘</t>
        </is>
      </c>
      <c r="C107" t="inlineStr">
        <is>
          <t>동방에프티엘(주)</t>
        </is>
      </c>
      <c r="D107" t="inlineStr">
        <is>
          <t>경기도 화성시 만세구 향남읍 제약공단4길 74</t>
        </is>
      </c>
      <c r="E107" t="inlineStr">
        <is>
          <t>원료의약품</t>
        </is>
      </c>
      <c r="F107" t="inlineStr">
        <is>
          <t>비무균-일반제제-합성</t>
        </is>
      </c>
      <c r="G107" s="32" t="n">
        <v>47101</v>
      </c>
      <c r="H107">
        <f>IF(COUNTIFS($B$2:B107,B107,$D$2:D107,D107)=1,1,0)</f>
        <v/>
      </c>
      <c r="I107">
        <f>IF(OR(LEFT(F107,2)="무균",ISNUMBER(SEARCH("주사제",F107))),"Y","")</f>
        <v/>
      </c>
      <c r="J107">
        <f>IF(LEFT(F107,2)="생물","Y","")</f>
        <v/>
      </c>
    </row>
    <row r="108">
      <c r="A108" t="inlineStr">
        <is>
          <t>S107</t>
        </is>
      </c>
      <c r="B108" t="inlineStr">
        <is>
          <t>에이치엘비제약</t>
        </is>
      </c>
      <c r="C108" t="inlineStr">
        <is>
          <t>에이치엘비제약(주)</t>
        </is>
      </c>
      <c r="D108" t="inlineStr">
        <is>
          <t>경기도 남양주시 경강로 27</t>
        </is>
      </c>
      <c r="E108" t="inlineStr">
        <is>
          <t>완제의약품</t>
        </is>
      </c>
      <c r="F108" t="inlineStr">
        <is>
          <t>비무균-일반제제-내용고형제(정제, 질정, 캡슐제, 구강붕해정), 비무균-일반제제-연고제(좌제, 질용좌제)</t>
        </is>
      </c>
      <c r="G108" s="32" t="n">
        <v>47100</v>
      </c>
      <c r="H108">
        <f>IF(COUNTIFS($B$2:B108,B108,$D$2:D108,D108)=1,1,0)</f>
        <v/>
      </c>
      <c r="I108">
        <f>IF(OR(LEFT(F108,2)="무균",ISNUMBER(SEARCH("주사제",F108))),"Y","")</f>
        <v/>
      </c>
      <c r="J108">
        <f>IF(LEFT(F108,2)="생물","Y","")</f>
        <v/>
      </c>
    </row>
    <row r="109">
      <c r="A109" t="inlineStr">
        <is>
          <t>S108</t>
        </is>
      </c>
      <c r="B109" t="inlineStr">
        <is>
          <t>다림바이오텍</t>
        </is>
      </c>
      <c r="C109" t="inlineStr">
        <is>
          <t>(주)다림바이오텍</t>
        </is>
      </c>
      <c r="D109" t="inlineStr">
        <is>
          <t>강원특별자치도 원주시 지정면 신평로 33 A동1~3층, B동1층, S동</t>
        </is>
      </c>
      <c r="E109" t="inlineStr">
        <is>
          <t>완제의약품</t>
        </is>
      </c>
      <c r="F109" t="inlineStr">
        <is>
          <t>비무균-성호르몬제-내용고형제(정제), 비무균-일반제제-내용고형제(정제, 캡슐제), 비무균-성호르몬제-연고제(크림제)</t>
        </is>
      </c>
      <c r="G109" s="32" t="n">
        <v>47095</v>
      </c>
      <c r="H109">
        <f>IF(COUNTIFS($B$2:B109,B109,$D$2:D109,D109)=1,1,0)</f>
        <v/>
      </c>
      <c r="I109">
        <f>IF(OR(LEFT(F109,2)="무균",ISNUMBER(SEARCH("주사제",F109))),"Y","")</f>
        <v/>
      </c>
      <c r="J109">
        <f>IF(LEFT(F109,2)="생물","Y","")</f>
        <v/>
      </c>
    </row>
    <row r="110">
      <c r="A110" t="inlineStr">
        <is>
          <t>S109</t>
        </is>
      </c>
      <c r="B110" t="inlineStr">
        <is>
          <t>대한뉴팜</t>
        </is>
      </c>
      <c r="C110" t="inlineStr">
        <is>
          <t>대한뉴팜(주)</t>
        </is>
      </c>
      <c r="D110" t="inlineStr">
        <is>
          <t>경기도 화성시 만세구 향남읍 제약공단1길 66</t>
        </is>
      </c>
      <c r="E110" t="inlineStr">
        <is>
          <t>완제의약품</t>
        </is>
      </c>
      <c r="F110" t="inlineStr">
        <is>
          <t>비무균-일반제제-내용고형제(정제, 캡슐제), 무균-일반제제-주사제(주사제, 동결건조주사제)</t>
        </is>
      </c>
      <c r="G110" s="32" t="n">
        <v>47087</v>
      </c>
      <c r="H110">
        <f>IF(COUNTIFS($B$2:B110,B110,$D$2:D110,D110)=1,1,0)</f>
        <v/>
      </c>
      <c r="I110">
        <f>IF(OR(LEFT(F110,2)="무균",ISNUMBER(SEARCH("주사제",F110))),"Y","")</f>
        <v/>
      </c>
      <c r="J110">
        <f>IF(LEFT(F110,2)="생물","Y","")</f>
        <v/>
      </c>
    </row>
    <row r="111">
      <c r="A111" t="inlineStr">
        <is>
          <t>S110</t>
        </is>
      </c>
      <c r="B111" t="inlineStr">
        <is>
          <t>알피바이오</t>
        </is>
      </c>
      <c r="C111" t="inlineStr">
        <is>
          <t>(주)알피바이오</t>
        </is>
      </c>
      <c r="D111" t="inlineStr">
        <is>
          <t>경기도 화성시 만세구 마도면 청원산단5길 60 (1층,2층일부,3층일부)</t>
        </is>
      </c>
      <c r="E111" t="inlineStr">
        <is>
          <t>완제의약품</t>
        </is>
      </c>
      <c r="F111" t="inlineStr">
        <is>
          <t>비무균-일반제제-내용고형제(캡슐제)</t>
        </is>
      </c>
      <c r="G111" s="32" t="n">
        <v>47087</v>
      </c>
      <c r="H111">
        <f>IF(COUNTIFS($B$2:B111,B111,$D$2:D111,D111)=1,1,0)</f>
        <v/>
      </c>
      <c r="I111">
        <f>IF(OR(LEFT(F111,2)="무균",ISNUMBER(SEARCH("주사제",F111))),"Y","")</f>
        <v/>
      </c>
      <c r="J111">
        <f>IF(LEFT(F111,2)="생물","Y","")</f>
        <v/>
      </c>
    </row>
    <row r="112">
      <c r="A112" t="inlineStr">
        <is>
          <t>S111</t>
        </is>
      </c>
      <c r="B112" t="inlineStr">
        <is>
          <t>제이더블유신약</t>
        </is>
      </c>
      <c r="C112" t="inlineStr">
        <is>
          <t>제이더블유신약(주)</t>
        </is>
      </c>
      <c r="D112" t="inlineStr">
        <is>
          <t>경기도 평택시 산단로 88-24</t>
        </is>
      </c>
      <c r="E112" t="inlineStr">
        <is>
          <t>완제의약품</t>
        </is>
      </c>
      <c r="F112" t="inlineStr">
        <is>
          <t>비무균-일반제제-내용고형제(정제, 캡슐제), 비무균-일반제제-외용액제(외용액제, 로션제, 점비액제), 비무균-일반제제-연고제(연고제, 크림제, 겔제)</t>
        </is>
      </c>
      <c r="G112" s="32" t="n">
        <v>47081</v>
      </c>
      <c r="H112">
        <f>IF(COUNTIFS($B$2:B112,B112,$D$2:D112,D112)=1,1,0)</f>
        <v/>
      </c>
      <c r="I112">
        <f>IF(OR(LEFT(F112,2)="무균",ISNUMBER(SEARCH("주사제",F112))),"Y","")</f>
        <v/>
      </c>
      <c r="J112">
        <f>IF(LEFT(F112,2)="생물","Y","")</f>
        <v/>
      </c>
    </row>
    <row r="113">
      <c r="A113" t="inlineStr">
        <is>
          <t>S112</t>
        </is>
      </c>
      <c r="B113" t="inlineStr">
        <is>
          <t>파마리서치</t>
        </is>
      </c>
      <c r="C113" t="inlineStr">
        <is>
          <t>(주)파마리서치</t>
        </is>
      </c>
      <c r="D113" t="inlineStr">
        <is>
          <t>강원특별자치도 강릉시 과학단지로 77-19 (대전동)</t>
        </is>
      </c>
      <c r="E113" t="inlineStr">
        <is>
          <t>완제의약품</t>
        </is>
      </c>
      <c r="F113" t="inlineStr">
        <is>
          <t>비무균-일반제제-외용액제(외용액제)</t>
        </is>
      </c>
      <c r="G113" s="32" t="n">
        <v>47081</v>
      </c>
      <c r="H113">
        <f>IF(COUNTIFS($B$2:B113,B113,$D$2:D113,D113)=1,1,0)</f>
        <v/>
      </c>
      <c r="I113">
        <f>IF(OR(LEFT(F113,2)="무균",ISNUMBER(SEARCH("주사제",F113))),"Y","")</f>
        <v/>
      </c>
      <c r="J113">
        <f>IF(LEFT(F113,2)="생물","Y","")</f>
        <v/>
      </c>
    </row>
    <row r="114">
      <c r="A114" t="inlineStr">
        <is>
          <t>S113</t>
        </is>
      </c>
      <c r="B114" t="inlineStr">
        <is>
          <t>파마리서치</t>
        </is>
      </c>
      <c r="C114" t="inlineStr">
        <is>
          <t>(주)파마리서치</t>
        </is>
      </c>
      <c r="D114" t="inlineStr">
        <is>
          <t>강원특별자치도 강릉시 과학단지로 77-19 (대전동)</t>
        </is>
      </c>
      <c r="E114" t="inlineStr">
        <is>
          <t>원료의약품</t>
        </is>
      </c>
      <c r="F114" t="inlineStr">
        <is>
          <t>비무균-일반제제-추출</t>
        </is>
      </c>
      <c r="G114" s="32" t="n">
        <v>47081</v>
      </c>
      <c r="H114">
        <f>IF(COUNTIFS($B$2:B114,B114,$D$2:D114,D114)=1,1,0)</f>
        <v/>
      </c>
      <c r="I114">
        <f>IF(OR(LEFT(F114,2)="무균",ISNUMBER(SEARCH("주사제",F114))),"Y","")</f>
        <v/>
      </c>
      <c r="J114">
        <f>IF(LEFT(F114,2)="생물","Y","")</f>
        <v/>
      </c>
    </row>
    <row r="115">
      <c r="A115" t="inlineStr">
        <is>
          <t>S114</t>
        </is>
      </c>
      <c r="B115" t="inlineStr">
        <is>
          <t>한국유니온제약</t>
        </is>
      </c>
      <c r="C115" t="inlineStr">
        <is>
          <t>한국유니온제약(주)</t>
        </is>
      </c>
      <c r="D115" t="inlineStr">
        <is>
          <t>강원특별자치도 원주시 문막읍 문막공단길 247 A동 1층, 2층, C동, D동(시험동) 2층, 3층, E동(완제보관소)</t>
        </is>
      </c>
      <c r="E115" t="inlineStr">
        <is>
          <t>완제의약품</t>
        </is>
      </c>
      <c r="F115" t="inlineStr">
        <is>
          <t>비무균-일반제제-내용고형제(정제, 캡슐제), 무균-세팔로스포린제제-주사제(분말주사제), 무균-일반제제-주사제(주사제)</t>
        </is>
      </c>
      <c r="G115" s="32" t="n">
        <v>47079</v>
      </c>
      <c r="H115">
        <f>IF(COUNTIFS($B$2:B115,B115,$D$2:D115,D115)=1,1,0)</f>
        <v/>
      </c>
      <c r="I115">
        <f>IF(OR(LEFT(F115,2)="무균",ISNUMBER(SEARCH("주사제",F115))),"Y","")</f>
        <v/>
      </c>
      <c r="J115">
        <f>IF(LEFT(F115,2)="생물","Y","")</f>
        <v/>
      </c>
    </row>
    <row r="116">
      <c r="A116" t="inlineStr">
        <is>
          <t>S115</t>
        </is>
      </c>
      <c r="B116" t="inlineStr">
        <is>
          <t>풍림무약</t>
        </is>
      </c>
      <c r="C116" t="inlineStr">
        <is>
          <t>풍림무약(주)</t>
        </is>
      </c>
      <c r="D116" t="inlineStr">
        <is>
          <t>경기도 화성시 만세구 향남읍 제약공단3길 120</t>
        </is>
      </c>
      <c r="E116" t="inlineStr">
        <is>
          <t>완제의약품</t>
        </is>
      </c>
      <c r="F116" t="inlineStr">
        <is>
          <t>비무균-일반제제-내용고형제(정제, 캡슐제)</t>
        </is>
      </c>
      <c r="G116" s="32" t="n">
        <v>47074</v>
      </c>
      <c r="H116">
        <f>IF(COUNTIFS($B$2:B116,B116,$D$2:D116,D116)=1,1,0)</f>
        <v/>
      </c>
      <c r="I116">
        <f>IF(OR(LEFT(F116,2)="무균",ISNUMBER(SEARCH("주사제",F116))),"Y","")</f>
        <v/>
      </c>
      <c r="J116">
        <f>IF(LEFT(F116,2)="생물","Y","")</f>
        <v/>
      </c>
    </row>
    <row r="117">
      <c r="A117" t="inlineStr">
        <is>
          <t>S116</t>
        </is>
      </c>
      <c r="B117" t="inlineStr">
        <is>
          <t>퓨쳐켐</t>
        </is>
      </c>
      <c r="C117" t="inlineStr">
        <is>
          <t>(주)퓨쳐켐</t>
        </is>
      </c>
      <c r="D117" t="inlineStr">
        <is>
          <t>서울특별시 성동구 성수일로10길 26 하우스디 세종타워 14층 1403호 ~ 1405호(원료의약품)</t>
        </is>
      </c>
      <c r="E117" t="inlineStr">
        <is>
          <t>원료의약품</t>
        </is>
      </c>
      <c r="F117" t="inlineStr">
        <is>
          <t>비무균-일반제제-합성</t>
        </is>
      </c>
      <c r="G117" s="32" t="n">
        <v>47074</v>
      </c>
      <c r="H117">
        <f>IF(COUNTIFS($B$2:B117,B117,$D$2:D117,D117)=1,1,0)</f>
        <v/>
      </c>
      <c r="I117">
        <f>IF(OR(LEFT(F117,2)="무균",ISNUMBER(SEARCH("주사제",F117))),"Y","")</f>
        <v/>
      </c>
      <c r="J117">
        <f>IF(LEFT(F117,2)="생물","Y","")</f>
        <v/>
      </c>
    </row>
    <row r="118">
      <c r="A118" t="inlineStr">
        <is>
          <t>S117</t>
        </is>
      </c>
      <c r="B118" t="inlineStr">
        <is>
          <t>에이치피앤씨</t>
        </is>
      </c>
      <c r="C118" t="inlineStr">
        <is>
          <t>(주)에이치피앤씨</t>
        </is>
      </c>
      <c r="D118" t="inlineStr">
        <is>
          <t>충청북도 청주시 흥덕구 오송읍 오송생명6로 22</t>
        </is>
      </c>
      <c r="E118" t="inlineStr">
        <is>
          <t>완제의약품</t>
        </is>
      </c>
      <c r="F118" t="inlineStr">
        <is>
          <t>비무균-일반제제-외용액제(외용액제)</t>
        </is>
      </c>
      <c r="G118" s="32" t="n">
        <v>47072</v>
      </c>
      <c r="H118">
        <f>IF(COUNTIFS($B$2:B118,B118,$D$2:D118,D118)=1,1,0)</f>
        <v/>
      </c>
      <c r="I118">
        <f>IF(OR(LEFT(F118,2)="무균",ISNUMBER(SEARCH("주사제",F118))),"Y","")</f>
        <v/>
      </c>
      <c r="J118">
        <f>IF(LEFT(F118,2)="생물","Y","")</f>
        <v/>
      </c>
    </row>
    <row r="119">
      <c r="A119" t="inlineStr">
        <is>
          <t>S118</t>
        </is>
      </c>
      <c r="B119" t="inlineStr">
        <is>
          <t>복지종합가스</t>
        </is>
      </c>
      <c r="C119" t="inlineStr">
        <is>
          <t>복지종합가스(주)</t>
        </is>
      </c>
      <c r="D119" t="inlineStr">
        <is>
          <t>경기도 양주시 칠봉산로131번길 34-26</t>
        </is>
      </c>
      <c r="E119" t="inlineStr">
        <is>
          <t>완제의약품</t>
        </is>
      </c>
      <c r="F119" t="inlineStr">
        <is>
          <t>비무균-일반제제(의료용 고압가스)-가스제(의료용 고압가스)</t>
        </is>
      </c>
      <c r="G119" s="32" t="n">
        <v>47072</v>
      </c>
      <c r="H119">
        <f>IF(COUNTIFS($B$2:B119,B119,$D$2:D119,D119)=1,1,0)</f>
        <v/>
      </c>
      <c r="I119">
        <f>IF(OR(LEFT(F119,2)="무균",ISNUMBER(SEARCH("주사제",F119))),"Y","")</f>
        <v/>
      </c>
      <c r="J119">
        <f>IF(LEFT(F119,2)="생물","Y","")</f>
        <v/>
      </c>
    </row>
    <row r="120">
      <c r="A120" t="inlineStr">
        <is>
          <t>S119</t>
        </is>
      </c>
      <c r="B120" t="inlineStr">
        <is>
          <t>대원제약</t>
        </is>
      </c>
      <c r="C120" t="inlineStr">
        <is>
          <t>대원제약(주)</t>
        </is>
      </c>
      <c r="D120" t="inlineStr">
        <is>
          <t>충청북도 진천군 광혜원면 용소2길 44</t>
        </is>
      </c>
      <c r="E120" t="inlineStr">
        <is>
          <t>완제의약품</t>
        </is>
      </c>
      <c r="F120" t="inlineStr">
        <is>
          <t>비무균-일반제제-내용액제(시럽제(액상), 현탁제)</t>
        </is>
      </c>
      <c r="G120" s="32" t="n">
        <v>47071</v>
      </c>
      <c r="H120">
        <f>IF(COUNTIFS($B$2:B120,B120,$D$2:D120,D120)=1,1,0)</f>
        <v/>
      </c>
      <c r="I120">
        <f>IF(OR(LEFT(F120,2)="무균",ISNUMBER(SEARCH("주사제",F120))),"Y","")</f>
        <v/>
      </c>
      <c r="J120">
        <f>IF(LEFT(F120,2)="생물","Y","")</f>
        <v/>
      </c>
    </row>
    <row r="121">
      <c r="A121" t="inlineStr">
        <is>
          <t>S120</t>
        </is>
      </c>
      <c r="B121" t="inlineStr">
        <is>
          <t>대웅제약</t>
        </is>
      </c>
      <c r="C121" t="inlineStr">
        <is>
          <t>(주)대웅제약</t>
        </is>
      </c>
      <c r="D121" t="inlineStr">
        <is>
          <t>충청북도 청주시 흥덕구 오송읍 오송생명2로 1</t>
        </is>
      </c>
      <c r="E121" t="inlineStr">
        <is>
          <t>완제의약품</t>
        </is>
      </c>
      <c r="F121" t="inlineStr">
        <is>
          <t>비무균-일반제제-내용고형제(정제), 무균-일반제제-주사제(주사제, 동결건조주사제)</t>
        </is>
      </c>
      <c r="G121" s="32" t="n">
        <v>47066</v>
      </c>
      <c r="H121">
        <f>IF(COUNTIFS($B$2:B121,B121,$D$2:D121,D121)=1,1,0)</f>
        <v/>
      </c>
      <c r="I121">
        <f>IF(OR(LEFT(F121,2)="무균",ISNUMBER(SEARCH("주사제",F121))),"Y","")</f>
        <v/>
      </c>
      <c r="J121">
        <f>IF(LEFT(F121,2)="생물","Y","")</f>
        <v/>
      </c>
    </row>
    <row r="122">
      <c r="A122" t="inlineStr">
        <is>
          <t>S121</t>
        </is>
      </c>
      <c r="B122" t="inlineStr">
        <is>
          <t>환인제약</t>
        </is>
      </c>
      <c r="C122" t="inlineStr">
        <is>
          <t>환인제약(주)</t>
        </is>
      </c>
      <c r="D122" t="inlineStr">
        <is>
          <t>경기도 안성시 공단로 50</t>
        </is>
      </c>
      <c r="E122" t="inlineStr">
        <is>
          <t>완제의약품</t>
        </is>
      </c>
      <c r="F122" t="inlineStr">
        <is>
          <t>비무균-일반제제-내용고형제(정제, 캡슐제)</t>
        </is>
      </c>
      <c r="G122" s="32" t="n">
        <v>47065</v>
      </c>
      <c r="H122">
        <f>IF(COUNTIFS($B$2:B122,B122,$D$2:D122,D122)=1,1,0)</f>
        <v/>
      </c>
      <c r="I122">
        <f>IF(OR(LEFT(F122,2)="무균",ISNUMBER(SEARCH("주사제",F122))),"Y","")</f>
        <v/>
      </c>
      <c r="J122">
        <f>IF(LEFT(F122,2)="생물","Y","")</f>
        <v/>
      </c>
    </row>
    <row r="123">
      <c r="A123" t="inlineStr">
        <is>
          <t>S122</t>
        </is>
      </c>
      <c r="B123" t="inlineStr">
        <is>
          <t>코스맥스파마</t>
        </is>
      </c>
      <c r="C123" t="inlineStr">
        <is>
          <t>코스맥스파마(주)</t>
        </is>
      </c>
      <c r="D123" t="inlineStr">
        <is>
          <t>충청북도 청주시 흥덕구 오송읍 오송생명4로 168-23</t>
        </is>
      </c>
      <c r="E123" t="inlineStr">
        <is>
          <t>완제의약품</t>
        </is>
      </c>
      <c r="F123" t="inlineStr">
        <is>
          <t>비무균-일반제제-내용고형제(정제, 캡슐제)</t>
        </is>
      </c>
      <c r="G123" s="32" t="n">
        <v>47060</v>
      </c>
      <c r="H123">
        <f>IF(COUNTIFS($B$2:B123,B123,$D$2:D123,D123)=1,1,0)</f>
        <v/>
      </c>
      <c r="I123">
        <f>IF(OR(LEFT(F123,2)="무균",ISNUMBER(SEARCH("주사제",F123))),"Y","")</f>
        <v/>
      </c>
      <c r="J123">
        <f>IF(LEFT(F123,2)="생물","Y","")</f>
        <v/>
      </c>
    </row>
    <row r="124">
      <c r="A124" t="inlineStr">
        <is>
          <t>S123</t>
        </is>
      </c>
      <c r="B124" t="inlineStr">
        <is>
          <t>현대약품</t>
        </is>
      </c>
      <c r="C124" t="inlineStr">
        <is>
          <t>현대약품(주)</t>
        </is>
      </c>
      <c r="D124" t="inlineStr">
        <is>
          <t>충청남도 천안시 동남구 풍세면 잔다리길 55</t>
        </is>
      </c>
      <c r="E124" t="inlineStr">
        <is>
          <t>완제의약품</t>
        </is>
      </c>
      <c r="F124" t="inlineStr">
        <is>
          <t>비무균-일반제제-내용고형제(정제, 캡슐제, 산제), 비무균-일반제제-외용액제(외용액제, 펌프스프레이제)</t>
        </is>
      </c>
      <c r="G124" s="32" t="n">
        <v>47060</v>
      </c>
      <c r="H124">
        <f>IF(COUNTIFS($B$2:B124,B124,$D$2:D124,D124)=1,1,0)</f>
        <v/>
      </c>
      <c r="I124">
        <f>IF(OR(LEFT(F124,2)="무균",ISNUMBER(SEARCH("주사제",F124))),"Y","")</f>
        <v/>
      </c>
      <c r="J124">
        <f>IF(LEFT(F124,2)="생물","Y","")</f>
        <v/>
      </c>
    </row>
    <row r="125">
      <c r="A125" t="inlineStr">
        <is>
          <t>S124</t>
        </is>
      </c>
      <c r="B125" t="inlineStr">
        <is>
          <t>비씨월드헬스케어</t>
        </is>
      </c>
      <c r="C125" t="inlineStr">
        <is>
          <t>(주)비씨월드헬스케어</t>
        </is>
      </c>
      <c r="D125" t="inlineStr">
        <is>
          <t>강원특별자치도 원주시 지정면 신평로 77 1층~3층</t>
        </is>
      </c>
      <c r="E125" t="inlineStr">
        <is>
          <t>완제의약품</t>
        </is>
      </c>
      <c r="F125" t="inlineStr">
        <is>
          <t>무균-카바페넴제제-주사제(분말주사제)</t>
        </is>
      </c>
      <c r="G125" s="32" t="n">
        <v>47053</v>
      </c>
      <c r="H125">
        <f>IF(COUNTIFS($B$2:B125,B125,$D$2:D125,D125)=1,1,0)</f>
        <v/>
      </c>
      <c r="I125">
        <f>IF(OR(LEFT(F125,2)="무균",ISNUMBER(SEARCH("주사제",F125))),"Y","")</f>
        <v/>
      </c>
      <c r="J125">
        <f>IF(LEFT(F125,2)="생물","Y","")</f>
        <v/>
      </c>
    </row>
    <row r="126">
      <c r="A126" t="inlineStr">
        <is>
          <t>S125</t>
        </is>
      </c>
      <c r="B126" t="inlineStr">
        <is>
          <t>제일약품</t>
        </is>
      </c>
      <c r="C126" t="inlineStr">
        <is>
          <t>제일약품(주)</t>
        </is>
      </c>
      <c r="D126" t="inlineStr">
        <is>
          <t>경기도 용인시 처인구 백암면 청강가창로 7 (B동 외)</t>
        </is>
      </c>
      <c r="E126" t="inlineStr">
        <is>
          <t>원료의약품</t>
        </is>
      </c>
      <c r="F126" t="inlineStr">
        <is>
          <t>비무균-세팔로스포린제제-합성, 비무균-일반제제-합성</t>
        </is>
      </c>
      <c r="G126" s="32" t="n">
        <v>47053</v>
      </c>
      <c r="H126">
        <f>IF(COUNTIFS($B$2:B126,B126,$D$2:D126,D126)=1,1,0)</f>
        <v/>
      </c>
      <c r="I126">
        <f>IF(OR(LEFT(F126,2)="무균",ISNUMBER(SEARCH("주사제",F126))),"Y","")</f>
        <v/>
      </c>
      <c r="J126">
        <f>IF(LEFT(F126,2)="생물","Y","")</f>
        <v/>
      </c>
    </row>
    <row r="127">
      <c r="A127" t="inlineStr">
        <is>
          <t>S126</t>
        </is>
      </c>
      <c r="B127" t="inlineStr">
        <is>
          <t>신신제약</t>
        </is>
      </c>
      <c r="C127" t="inlineStr">
        <is>
          <t>신신제약(주)</t>
        </is>
      </c>
      <c r="D127" t="inlineStr">
        <is>
          <t>세종특별자치시 소정면 소정산단동로 9</t>
        </is>
      </c>
      <c r="E127" t="inlineStr">
        <is>
          <t>완제의약품</t>
        </is>
      </c>
      <c r="F127" t="inlineStr">
        <is>
          <t>비무균-일반제제-외용액제(외용액제, 로션제, 외용에어로솔제), 비무균-일반제제-연고제(크림제, 겔제), 비무균-일반제제-첩부제(첩부제, 카타플라스마제)</t>
        </is>
      </c>
      <c r="G127" s="32" t="n">
        <v>47053</v>
      </c>
      <c r="H127">
        <f>IF(COUNTIFS($B$2:B127,B127,$D$2:D127,D127)=1,1,0)</f>
        <v/>
      </c>
      <c r="I127">
        <f>IF(OR(LEFT(F127,2)="무균",ISNUMBER(SEARCH("주사제",F127))),"Y","")</f>
        <v/>
      </c>
      <c r="J127">
        <f>IF(LEFT(F127,2)="생물","Y","")</f>
        <v/>
      </c>
    </row>
    <row r="128">
      <c r="A128" t="inlineStr">
        <is>
          <t>S127</t>
        </is>
      </c>
      <c r="B128" t="inlineStr">
        <is>
          <t>제일약품</t>
        </is>
      </c>
      <c r="C128" t="inlineStr">
        <is>
          <t>제일약품(주)</t>
        </is>
      </c>
      <c r="D128" t="inlineStr">
        <is>
          <t>경기도 용인시 처인구 백암면 청강가창로 7 (B동 외)</t>
        </is>
      </c>
      <c r="E128" t="inlineStr">
        <is>
          <t>완제의약품</t>
        </is>
      </c>
      <c r="F128" t="inlineStr">
        <is>
          <t>비무균-세포독성항암제제-내용고형제(정제, 캡슐제), 비무균-일반제제-내용고형제(정제, 캡슐제), 무균-일반제제-주사제(주사제)</t>
        </is>
      </c>
      <c r="G128" s="32" t="n">
        <v>47053</v>
      </c>
      <c r="H128">
        <f>IF(COUNTIFS($B$2:B128,B128,$D$2:D128,D128)=1,1,0)</f>
        <v/>
      </c>
      <c r="I128">
        <f>IF(OR(LEFT(F128,2)="무균",ISNUMBER(SEARCH("주사제",F128))),"Y","")</f>
        <v/>
      </c>
      <c r="J128">
        <f>IF(LEFT(F128,2)="생물","Y","")</f>
        <v/>
      </c>
    </row>
    <row r="129">
      <c r="A129" t="inlineStr">
        <is>
          <t>S128</t>
        </is>
      </c>
      <c r="B129" t="inlineStr">
        <is>
          <t>제네톡스</t>
        </is>
      </c>
      <c r="C129" t="inlineStr">
        <is>
          <t>제네톡스(주)</t>
        </is>
      </c>
      <c r="D129" t="inlineStr">
        <is>
          <t>강원특별자치도 횡성군 우천면 우천산업단지로 38-53 1층, 2층 일부</t>
        </is>
      </c>
      <c r="E129" t="inlineStr">
        <is>
          <t>원료의약품</t>
        </is>
      </c>
      <c r="F129" t="inlineStr">
        <is>
          <t>생물-독소-(배양, 정제, 원액 제조)</t>
        </is>
      </c>
      <c r="G129" s="32" t="n">
        <v>47052</v>
      </c>
      <c r="H129">
        <f>IF(COUNTIFS($B$2:B129,B129,$D$2:D129,D129)=1,1,0)</f>
        <v/>
      </c>
      <c r="I129">
        <f>IF(OR(LEFT(F129,2)="무균",ISNUMBER(SEARCH("주사제",F129))),"Y","")</f>
        <v/>
      </c>
      <c r="J129">
        <f>IF(LEFT(F129,2)="생물","Y","")</f>
        <v/>
      </c>
    </row>
    <row r="130">
      <c r="A130" t="inlineStr">
        <is>
          <t>S129</t>
        </is>
      </c>
      <c r="B130" t="inlineStr">
        <is>
          <t>제네톡스</t>
        </is>
      </c>
      <c r="C130" t="inlineStr">
        <is>
          <t>제네톡스(주)</t>
        </is>
      </c>
      <c r="D130" t="inlineStr">
        <is>
          <t>강원특별자치도 횡성군 우천면 우천산업단지로 38-53 1층, 2층 일부</t>
        </is>
      </c>
      <c r="E130" t="inlineStr">
        <is>
          <t>완제의약품</t>
        </is>
      </c>
      <c r="F130" t="inlineStr">
        <is>
          <t>생물-독소-주사제(동결건조주사제)</t>
        </is>
      </c>
      <c r="G130" s="32" t="n">
        <v>47052</v>
      </c>
      <c r="H130">
        <f>IF(COUNTIFS($B$2:B130,B130,$D$2:D130,D130)=1,1,0)</f>
        <v/>
      </c>
      <c r="I130">
        <f>IF(OR(LEFT(F130,2)="무균",ISNUMBER(SEARCH("주사제",F130))),"Y","")</f>
        <v/>
      </c>
      <c r="J130">
        <f>IF(LEFT(F130,2)="생물","Y","")</f>
        <v/>
      </c>
    </row>
    <row r="131">
      <c r="A131" t="inlineStr">
        <is>
          <t>S130</t>
        </is>
      </c>
      <c r="B131" t="inlineStr">
        <is>
          <t>한국호넥스</t>
        </is>
      </c>
      <c r="C131" t="inlineStr">
        <is>
          <t>(주)한국호넥스</t>
        </is>
      </c>
      <c r="D131" t="inlineStr">
        <is>
          <t>충청북도 충주시 대소원면 메가폴리스3로 43</t>
        </is>
      </c>
      <c r="E131" t="inlineStr">
        <is>
          <t>완제의약품</t>
        </is>
      </c>
      <c r="F131" t="inlineStr">
        <is>
          <t>비무균-일반제제-외용액제(외용액제)</t>
        </is>
      </c>
      <c r="G131" s="32" t="n">
        <v>47049</v>
      </c>
      <c r="H131">
        <f>IF(COUNTIFS($B$2:B131,B131,$D$2:D131,D131)=1,1,0)</f>
        <v/>
      </c>
      <c r="I131">
        <f>IF(OR(LEFT(F131,2)="무균",ISNUMBER(SEARCH("주사제",F131))),"Y","")</f>
        <v/>
      </c>
      <c r="J131">
        <f>IF(LEFT(F131,2)="생물","Y","")</f>
        <v/>
      </c>
    </row>
    <row r="132">
      <c r="A132" t="inlineStr">
        <is>
          <t>S131</t>
        </is>
      </c>
      <c r="B132" t="inlineStr">
        <is>
          <t>제이에스산업가스</t>
        </is>
      </c>
      <c r="C132" t="inlineStr">
        <is>
          <t>(주)제이에스산업가스</t>
        </is>
      </c>
      <c r="D132" t="inlineStr">
        <is>
          <t>경상남도 김해시 한림면 한림로515번길 105-14</t>
        </is>
      </c>
      <c r="E132" t="inlineStr">
        <is>
          <t>완제의약품</t>
        </is>
      </c>
      <c r="F132" t="inlineStr">
        <is>
          <t>비무균-일반제제-가스제(의료용 고압가스)</t>
        </is>
      </c>
      <c r="G132" s="32" t="n">
        <v>47047</v>
      </c>
      <c r="H132">
        <f>IF(COUNTIFS($B$2:B132,B132,$D$2:D132,D132)=1,1,0)</f>
        <v/>
      </c>
      <c r="I132">
        <f>IF(OR(LEFT(F132,2)="무균",ISNUMBER(SEARCH("주사제",F132))),"Y","")</f>
        <v/>
      </c>
      <c r="J132">
        <f>IF(LEFT(F132,2)="생물","Y","")</f>
        <v/>
      </c>
    </row>
    <row r="133">
      <c r="A133" t="inlineStr">
        <is>
          <t>S132</t>
        </is>
      </c>
      <c r="B133" t="inlineStr">
        <is>
          <t>비알팜</t>
        </is>
      </c>
      <c r="C133" t="inlineStr">
        <is>
          <t>㈜비알팜</t>
        </is>
      </c>
      <c r="D133" t="inlineStr">
        <is>
          <t>강원특별자치도 원주시 지정면 신평로 13 1층 일부(보관소), 2층</t>
        </is>
      </c>
      <c r="E133" t="inlineStr">
        <is>
          <t>완제의약품</t>
        </is>
      </c>
      <c r="F133" t="inlineStr">
        <is>
          <t>무균-일반제제-주사제(주사제)</t>
        </is>
      </c>
      <c r="G133" s="32" t="n">
        <v>47046</v>
      </c>
      <c r="H133">
        <f>IF(COUNTIFS($B$2:B133,B133,$D$2:D133,D133)=1,1,0)</f>
        <v/>
      </c>
      <c r="I133">
        <f>IF(OR(LEFT(F133,2)="무균",ISNUMBER(SEARCH("주사제",F133))),"Y","")</f>
        <v/>
      </c>
      <c r="J133">
        <f>IF(LEFT(F133,2)="생물","Y","")</f>
        <v/>
      </c>
    </row>
    <row r="134">
      <c r="A134" t="inlineStr">
        <is>
          <t>S133</t>
        </is>
      </c>
      <c r="B134" t="inlineStr">
        <is>
          <t>유한양행</t>
        </is>
      </c>
      <c r="C134" t="inlineStr">
        <is>
          <t>(주)유한양행</t>
        </is>
      </c>
      <c r="D134" t="inlineStr">
        <is>
          <t>충청북도 청주시 청원구 오창읍 연구단지로 219</t>
        </is>
      </c>
      <c r="E134" t="inlineStr">
        <is>
          <t>완제의약품</t>
        </is>
      </c>
      <c r="F134" t="inlineStr">
        <is>
          <t>비무균-세팔로스포린제제-내용고형제(정제, 캡슐제, 산제, 시럽제(고형)), 비무균-일반제제-내용고형제(정제, 캡슐제, 산제, 시럽제(고형), 츄어블정(저작정)), 비무균-페니실린제제-내용고형제(정제, 캡슐제, 시럽제(고형)), 무균-일반제제-주사제(주사제), 무균-카바페넴제제-주사제(분말주사제), 비무균-일반제제-내용액제(경구용액제, 시럽제(액상), 현탁제, 점비액제), 비무균-일반제제-외용액제(로션제), 비무균-일반제제-연고제(연고제, 크림제)</t>
        </is>
      </c>
      <c r="G134" s="32" t="n">
        <v>47046</v>
      </c>
      <c r="H134">
        <f>IF(COUNTIFS($B$2:B134,B134,$D$2:D134,D134)=1,1,0)</f>
        <v/>
      </c>
      <c r="I134">
        <f>IF(OR(LEFT(F134,2)="무균",ISNUMBER(SEARCH("주사제",F134))),"Y","")</f>
        <v/>
      </c>
      <c r="J134">
        <f>IF(LEFT(F134,2)="생물","Y","")</f>
        <v/>
      </c>
    </row>
    <row r="135">
      <c r="A135" t="inlineStr">
        <is>
          <t>S134</t>
        </is>
      </c>
      <c r="B135" t="inlineStr">
        <is>
          <t>삼양화학공업</t>
        </is>
      </c>
      <c r="C135" t="inlineStr">
        <is>
          <t>삼양화학공업(주)</t>
        </is>
      </c>
      <c r="D135" t="inlineStr">
        <is>
          <t>경상남도 양산시 회현1길 125</t>
        </is>
      </c>
      <c r="E135" t="inlineStr">
        <is>
          <t>완제의약품</t>
        </is>
      </c>
      <c r="F135" t="inlineStr">
        <is>
          <t>무균-일반제제-주사제(주사제)</t>
        </is>
      </c>
      <c r="G135" s="32" t="n">
        <v>47039</v>
      </c>
      <c r="H135">
        <f>IF(COUNTIFS($B$2:B135,B135,$D$2:D135,D135)=1,1,0)</f>
        <v/>
      </c>
      <c r="I135">
        <f>IF(OR(LEFT(F135,2)="무균",ISNUMBER(SEARCH("주사제",F135))),"Y","")</f>
        <v/>
      </c>
      <c r="J135">
        <f>IF(LEFT(F135,2)="생물","Y","")</f>
        <v/>
      </c>
    </row>
    <row r="136">
      <c r="A136" t="inlineStr">
        <is>
          <t>S135</t>
        </is>
      </c>
      <c r="B136" t="inlineStr">
        <is>
          <t>에스케이바이오사이언스</t>
        </is>
      </c>
      <c r="C136" t="inlineStr">
        <is>
          <t>에스케이바이오사이언스(주)</t>
        </is>
      </c>
      <c r="D136" t="inlineStr">
        <is>
          <t>경상북도 안동시 풍산읍 산업단지길 150</t>
        </is>
      </c>
      <c r="E136" t="inlineStr">
        <is>
          <t>원료의약품</t>
        </is>
      </c>
      <c r="F136" t="inlineStr">
        <is>
          <t>생물-백신-(배양, 정제, 바이러스불활화, 원액 제조)</t>
        </is>
      </c>
      <c r="G136" s="32" t="n">
        <v>47039</v>
      </c>
      <c r="H136">
        <f>IF(COUNTIFS($B$2:B136,B136,$D$2:D136,D136)=1,1,0)</f>
        <v/>
      </c>
      <c r="I136">
        <f>IF(OR(LEFT(F136,2)="무균",ISNUMBER(SEARCH("주사제",F136))),"Y","")</f>
        <v/>
      </c>
      <c r="J136">
        <f>IF(LEFT(F136,2)="생물","Y","")</f>
        <v/>
      </c>
    </row>
    <row r="137">
      <c r="A137" t="inlineStr">
        <is>
          <t>S136</t>
        </is>
      </c>
      <c r="B137" t="inlineStr">
        <is>
          <t>파마킹</t>
        </is>
      </c>
      <c r="C137" t="inlineStr">
        <is>
          <t>(주)파마킹</t>
        </is>
      </c>
      <c r="D137" t="inlineStr">
        <is>
          <t>충청북도 음성군 감곡면 행군이길 87-17</t>
        </is>
      </c>
      <c r="E137" t="inlineStr">
        <is>
          <t>완제의약품</t>
        </is>
      </c>
      <c r="F137" t="inlineStr">
        <is>
          <t>비무균-일반제제-내용고형제(정제, 캡슐제)</t>
        </is>
      </c>
      <c r="G137" s="32" t="n">
        <v>47039</v>
      </c>
      <c r="H137">
        <f>IF(COUNTIFS($B$2:B137,B137,$D$2:D137,D137)=1,1,0)</f>
        <v/>
      </c>
      <c r="I137">
        <f>IF(OR(LEFT(F137,2)="무균",ISNUMBER(SEARCH("주사제",F137))),"Y","")</f>
        <v/>
      </c>
      <c r="J137">
        <f>IF(LEFT(F137,2)="생물","Y","")</f>
        <v/>
      </c>
    </row>
    <row r="138">
      <c r="A138" t="inlineStr">
        <is>
          <t>S137</t>
        </is>
      </c>
      <c r="B138" t="inlineStr">
        <is>
          <t>원광제약</t>
        </is>
      </c>
      <c r="C138" t="inlineStr">
        <is>
          <t>원광제약(주)</t>
        </is>
      </c>
      <c r="D138" t="inlineStr">
        <is>
          <t>전북특별자치도 익산시 삼기면 미륵사지로 795-20</t>
        </is>
      </c>
      <c r="E138" t="inlineStr">
        <is>
          <t>완제의약품</t>
        </is>
      </c>
      <c r="F138" t="inlineStr">
        <is>
          <t>비무균-일반제제-내용고형제(환제), 비무균-일반제제-내용액제(경구용액제, 현탁제, 엑스제(액상))</t>
        </is>
      </c>
      <c r="G138" s="32" t="n">
        <v>47039</v>
      </c>
      <c r="H138">
        <f>IF(COUNTIFS($B$2:B138,B138,$D$2:D138,D138)=1,1,0)</f>
        <v/>
      </c>
      <c r="I138">
        <f>IF(OR(LEFT(F138,2)="무균",ISNUMBER(SEARCH("주사제",F138))),"Y","")</f>
        <v/>
      </c>
      <c r="J138">
        <f>IF(LEFT(F138,2)="생물","Y","")</f>
        <v/>
      </c>
    </row>
    <row r="139">
      <c r="A139" t="inlineStr">
        <is>
          <t>S138</t>
        </is>
      </c>
      <c r="B139" t="inlineStr">
        <is>
          <t>케이에스제약</t>
        </is>
      </c>
      <c r="C139" t="inlineStr">
        <is>
          <t>주식회사케이에스제약</t>
        </is>
      </c>
      <c r="D139" t="inlineStr">
        <is>
          <t>전라남도 화순군 화순읍 산단길 126</t>
        </is>
      </c>
      <c r="E139" t="inlineStr">
        <is>
          <t>완제의약품</t>
        </is>
      </c>
      <c r="F139" t="inlineStr">
        <is>
          <t>비무균-일반제제-내용고형제(정제)</t>
        </is>
      </c>
      <c r="G139" s="32" t="n">
        <v>47039</v>
      </c>
      <c r="H139">
        <f>IF(COUNTIFS($B$2:B139,B139,$D$2:D139,D139)=1,1,0)</f>
        <v/>
      </c>
      <c r="I139">
        <f>IF(OR(LEFT(F139,2)="무균",ISNUMBER(SEARCH("주사제",F139))),"Y","")</f>
        <v/>
      </c>
      <c r="J139">
        <f>IF(LEFT(F139,2)="생물","Y","")</f>
        <v/>
      </c>
    </row>
    <row r="140">
      <c r="A140" t="inlineStr">
        <is>
          <t>S139</t>
        </is>
      </c>
      <c r="B140" t="inlineStr">
        <is>
          <t>에스케이바이오사이언스</t>
        </is>
      </c>
      <c r="C140" t="inlineStr">
        <is>
          <t>에스케이바이오사이언스(주)</t>
        </is>
      </c>
      <c r="D140" t="inlineStr">
        <is>
          <t>경상북도 안동시 풍산읍 산업단지길 150</t>
        </is>
      </c>
      <c r="E140" t="inlineStr">
        <is>
          <t>완제의약품</t>
        </is>
      </c>
      <c r="F140" t="inlineStr">
        <is>
          <t>생물-백신-주사제(주사제)</t>
        </is>
      </c>
      <c r="G140" s="32" t="n">
        <v>47039</v>
      </c>
      <c r="H140">
        <f>IF(COUNTIFS($B$2:B140,B140,$D$2:D140,D140)=1,1,0)</f>
        <v/>
      </c>
      <c r="I140">
        <f>IF(OR(LEFT(F140,2)="무균",ISNUMBER(SEARCH("주사제",F140))),"Y","")</f>
        <v/>
      </c>
      <c r="J140">
        <f>IF(LEFT(F140,2)="생물","Y","")</f>
        <v/>
      </c>
    </row>
    <row r="141">
      <c r="A141" t="inlineStr">
        <is>
          <t>S140</t>
        </is>
      </c>
      <c r="B141" t="inlineStr">
        <is>
          <t>가스켐테크놀로지</t>
        </is>
      </c>
      <c r="C141" t="inlineStr">
        <is>
          <t>가스켐테크놀로지(주)</t>
        </is>
      </c>
      <c r="D141" t="inlineStr">
        <is>
          <t>충청북도 진천군 덕산면 신척산단5로 74</t>
        </is>
      </c>
      <c r="E141" t="inlineStr">
        <is>
          <t>완제의약품</t>
        </is>
      </c>
      <c r="F141" t="inlineStr">
        <is>
          <t>비무균-일반제제(의료용 고압가스)-가스제(의료용 고압가스)</t>
        </is>
      </c>
      <c r="G141" s="32" t="n">
        <v>47037</v>
      </c>
      <c r="H141">
        <f>IF(COUNTIFS($B$2:B141,B141,$D$2:D141,D141)=1,1,0)</f>
        <v/>
      </c>
      <c r="I141">
        <f>IF(OR(LEFT(F141,2)="무균",ISNUMBER(SEARCH("주사제",F141))),"Y","")</f>
        <v/>
      </c>
      <c r="J141">
        <f>IF(LEFT(F141,2)="생물","Y","")</f>
        <v/>
      </c>
    </row>
    <row r="142">
      <c r="A142" t="inlineStr">
        <is>
          <t>S141</t>
        </is>
      </c>
      <c r="B142" t="inlineStr">
        <is>
          <t>다산제약</t>
        </is>
      </c>
      <c r="C142" t="inlineStr">
        <is>
          <t>(주)다산제약</t>
        </is>
      </c>
      <c r="D142" t="inlineStr">
        <is>
          <t>충청남도 아산시 도고면 덕암산로 381</t>
        </is>
      </c>
      <c r="E142" t="inlineStr">
        <is>
          <t>완제의약품</t>
        </is>
      </c>
      <c r="F142" t="inlineStr">
        <is>
          <t>비무균-일반제제-내용고형제(정제, 캡슐제)</t>
        </is>
      </c>
      <c r="G142" s="32" t="n">
        <v>47032</v>
      </c>
      <c r="H142">
        <f>IF(COUNTIFS($B$2:B142,B142,$D$2:D142,D142)=1,1,0)</f>
        <v/>
      </c>
      <c r="I142">
        <f>IF(OR(LEFT(F142,2)="무균",ISNUMBER(SEARCH("주사제",F142))),"Y","")</f>
        <v/>
      </c>
      <c r="J142">
        <f>IF(LEFT(F142,2)="생물","Y","")</f>
        <v/>
      </c>
    </row>
    <row r="143">
      <c r="A143" t="inlineStr">
        <is>
          <t>S142</t>
        </is>
      </c>
      <c r="B143" t="inlineStr">
        <is>
          <t>킵스바이오파마</t>
        </is>
      </c>
      <c r="C143" t="inlineStr">
        <is>
          <t>(주)킵스바이오파마</t>
        </is>
      </c>
      <c r="D143" t="inlineStr">
        <is>
          <t>충청남도 서천군 종천면 종천공단길32번길 26</t>
        </is>
      </c>
      <c r="E143" t="inlineStr">
        <is>
          <t>완제의약품</t>
        </is>
      </c>
      <c r="F143" t="inlineStr">
        <is>
          <t>비무균-일반제제-내용고형제(정제, 캡슐제)</t>
        </is>
      </c>
      <c r="G143" s="32" t="n">
        <v>47031</v>
      </c>
      <c r="H143">
        <f>IF(COUNTIFS($B$2:B143,B143,$D$2:D143,D143)=1,1,0)</f>
        <v/>
      </c>
      <c r="I143">
        <f>IF(OR(LEFT(F143,2)="무균",ISNUMBER(SEARCH("주사제",F143))),"Y","")</f>
        <v/>
      </c>
      <c r="J143">
        <f>IF(LEFT(F143,2)="생물","Y","")</f>
        <v/>
      </c>
    </row>
    <row r="144">
      <c r="A144" t="inlineStr">
        <is>
          <t>S143</t>
        </is>
      </c>
      <c r="B144" t="inlineStr">
        <is>
          <t>제일헬스사이언스</t>
        </is>
      </c>
      <c r="C144" t="inlineStr">
        <is>
          <t>제일헬스사이언스(주)</t>
        </is>
      </c>
      <c r="D144" t="inlineStr">
        <is>
          <t>경기도 용인시 처인구 백암면 청강가창로 7 B동</t>
        </is>
      </c>
      <c r="E144" t="inlineStr">
        <is>
          <t>완제의약품</t>
        </is>
      </c>
      <c r="F144" t="inlineStr">
        <is>
          <t>비무균-일반제제-첩부제(첩부제, 카타플라스마제)</t>
        </is>
      </c>
      <c r="G144" s="32" t="n">
        <v>47031</v>
      </c>
      <c r="H144">
        <f>IF(COUNTIFS($B$2:B144,B144,$D$2:D144,D144)=1,1,0)</f>
        <v/>
      </c>
      <c r="I144">
        <f>IF(OR(LEFT(F144,2)="무균",ISNUMBER(SEARCH("주사제",F144))),"Y","")</f>
        <v/>
      </c>
      <c r="J144">
        <f>IF(LEFT(F144,2)="생물","Y","")</f>
        <v/>
      </c>
    </row>
    <row r="145">
      <c r="A145" t="inlineStr">
        <is>
          <t>S144</t>
        </is>
      </c>
      <c r="B145" t="inlineStr">
        <is>
          <t>일양약품</t>
        </is>
      </c>
      <c r="C145" t="inlineStr">
        <is>
          <t>일양약품(주)</t>
        </is>
      </c>
      <c r="D145" t="inlineStr">
        <is>
          <t>경기도 용인시 기흥구 하갈로 110</t>
        </is>
      </c>
      <c r="E145" t="inlineStr">
        <is>
          <t>원료의약품</t>
        </is>
      </c>
      <c r="F145" t="inlineStr">
        <is>
          <t>비무균-일반제제-합성</t>
        </is>
      </c>
      <c r="G145" s="32" t="n">
        <v>47025</v>
      </c>
      <c r="H145">
        <f>IF(COUNTIFS($B$2:B145,B145,$D$2:D145,D145)=1,1,0)</f>
        <v/>
      </c>
      <c r="I145">
        <f>IF(OR(LEFT(F145,2)="무균",ISNUMBER(SEARCH("주사제",F145))),"Y","")</f>
        <v/>
      </c>
      <c r="J145">
        <f>IF(LEFT(F145,2)="생물","Y","")</f>
        <v/>
      </c>
    </row>
    <row r="146">
      <c r="A146" t="inlineStr">
        <is>
          <t>S145</t>
        </is>
      </c>
      <c r="B146" t="inlineStr">
        <is>
          <t>한독</t>
        </is>
      </c>
      <c r="C146" t="inlineStr">
        <is>
          <t>(주)한독</t>
        </is>
      </c>
      <c r="D146" t="inlineStr">
        <is>
          <t>충청북도 음성군 대소읍 대풍산단로 78</t>
        </is>
      </c>
      <c r="E146" t="inlineStr">
        <is>
          <t>완제의약품</t>
        </is>
      </c>
      <c r="F146" t="inlineStr">
        <is>
          <t>비무균-일반제제-내용고형제(정제, 캡슐제, 구강붕해정, 츄어블정(저작정)), 비무균-일반제제-외용액제(외용액제, 로션제), 비무균-일반제제-연고제(연고제, 크림제, 겔제), 비무균-일반제제-첩부제(첩부제)</t>
        </is>
      </c>
      <c r="G146" s="32" t="n">
        <v>47025</v>
      </c>
      <c r="H146">
        <f>IF(COUNTIFS($B$2:B146,B146,$D$2:D146,D146)=1,1,0)</f>
        <v/>
      </c>
      <c r="I146">
        <f>IF(OR(LEFT(F146,2)="무균",ISNUMBER(SEARCH("주사제",F146))),"Y","")</f>
        <v/>
      </c>
      <c r="J146">
        <f>IF(LEFT(F146,2)="생물","Y","")</f>
        <v/>
      </c>
    </row>
    <row r="147">
      <c r="A147" t="inlineStr">
        <is>
          <t>S146</t>
        </is>
      </c>
      <c r="B147" t="inlineStr">
        <is>
          <t>일양약품</t>
        </is>
      </c>
      <c r="C147" t="inlineStr">
        <is>
          <t>일양약품(주)</t>
        </is>
      </c>
      <c r="D147" t="inlineStr">
        <is>
          <t>경기도 용인시 기흥구 하갈로 110</t>
        </is>
      </c>
      <c r="E147" t="inlineStr">
        <is>
          <t>완제의약품</t>
        </is>
      </c>
      <c r="F147" t="inlineStr">
        <is>
          <t>비무균-일반제제-내용고형제(정제, 질정, 캡슐제, 산제, 츄어블정(저작정)), 비무균-일반제제-내용액제(경구용액제, 시럽제(액상), 현탁제)</t>
        </is>
      </c>
      <c r="G147" s="32" t="n">
        <v>47025</v>
      </c>
      <c r="H147">
        <f>IF(COUNTIFS($B$2:B147,B147,$D$2:D147,D147)=1,1,0)</f>
        <v/>
      </c>
      <c r="I147">
        <f>IF(OR(LEFT(F147,2)="무균",ISNUMBER(SEARCH("주사제",F147))),"Y","")</f>
        <v/>
      </c>
      <c r="J147">
        <f>IF(LEFT(F147,2)="생물","Y","")</f>
        <v/>
      </c>
    </row>
    <row r="148">
      <c r="A148" t="inlineStr">
        <is>
          <t>S147</t>
        </is>
      </c>
      <c r="B148" t="inlineStr">
        <is>
          <t>신양메디슨</t>
        </is>
      </c>
      <c r="C148" t="inlineStr">
        <is>
          <t>신양메디슨(주)</t>
        </is>
      </c>
      <c r="D148" t="inlineStr">
        <is>
          <t>경기도 안성시 양성면 양성로 409-14</t>
        </is>
      </c>
      <c r="E148" t="inlineStr">
        <is>
          <t>완제의약품</t>
        </is>
      </c>
      <c r="F148" t="inlineStr">
        <is>
          <t>비무균-일반제제(의료용 고압가스)-가스제(의료용 고압가스)</t>
        </is>
      </c>
      <c r="G148" s="32" t="n">
        <v>47024</v>
      </c>
      <c r="H148">
        <f>IF(COUNTIFS($B$2:B148,B148,$D$2:D148,D148)=1,1,0)</f>
        <v/>
      </c>
      <c r="I148">
        <f>IF(OR(LEFT(F148,2)="무균",ISNUMBER(SEARCH("주사제",F148))),"Y","")</f>
        <v/>
      </c>
      <c r="J148">
        <f>IF(LEFT(F148,2)="생물","Y","")</f>
        <v/>
      </c>
    </row>
    <row r="149">
      <c r="A149" t="inlineStr">
        <is>
          <t>S148</t>
        </is>
      </c>
      <c r="B149" t="inlineStr">
        <is>
          <t>하나제약</t>
        </is>
      </c>
      <c r="C149" t="inlineStr">
        <is>
          <t>하나제약(주)</t>
        </is>
      </c>
      <c r="D149" t="inlineStr">
        <is>
          <t>경기도 화성시 만세구 향남읍 제약단지로 13-39</t>
        </is>
      </c>
      <c r="E149" t="inlineStr">
        <is>
          <t>완제의약품</t>
        </is>
      </c>
      <c r="F149" t="inlineStr">
        <is>
          <t>비무균-일반제제-내용고형제(정제, 캡슐제), 무균-일반제제-주사제(주사제, 동결건조주사제)</t>
        </is>
      </c>
      <c r="G149" s="32" t="n">
        <v>47024</v>
      </c>
      <c r="H149">
        <f>IF(COUNTIFS($B$2:B149,B149,$D$2:D149,D149)=1,1,0)</f>
        <v/>
      </c>
      <c r="I149">
        <f>IF(OR(LEFT(F149,2)="무균",ISNUMBER(SEARCH("주사제",F149))),"Y","")</f>
        <v/>
      </c>
      <c r="J149">
        <f>IF(LEFT(F149,2)="생물","Y","")</f>
        <v/>
      </c>
    </row>
    <row r="150">
      <c r="A150" t="inlineStr">
        <is>
          <t>S149</t>
        </is>
      </c>
      <c r="B150" t="inlineStr">
        <is>
          <t>맥널티제약</t>
        </is>
      </c>
      <c r="C150" t="inlineStr">
        <is>
          <t>맥널티제약(주)</t>
        </is>
      </c>
      <c r="D150" t="inlineStr">
        <is>
          <t>충청남도 천안시 서북구 성환읍 율금3길 46</t>
        </is>
      </c>
      <c r="E150" t="inlineStr">
        <is>
          <t>완제의약품</t>
        </is>
      </c>
      <c r="F150" t="inlineStr">
        <is>
          <t>비무균-일반제제-내용고형제(정제, 캡슐제), 비무균-일반제제-내용액제(경구용액제, 시럽제(액상))</t>
        </is>
      </c>
      <c r="G150" s="32" t="n">
        <v>47018</v>
      </c>
      <c r="H150">
        <f>IF(COUNTIFS($B$2:B150,B150,$D$2:D150,D150)=1,1,0)</f>
        <v/>
      </c>
      <c r="I150">
        <f>IF(OR(LEFT(F150,2)="무균",ISNUMBER(SEARCH("주사제",F150))),"Y","")</f>
        <v/>
      </c>
      <c r="J150">
        <f>IF(LEFT(F150,2)="생물","Y","")</f>
        <v/>
      </c>
    </row>
    <row r="151">
      <c r="A151" t="inlineStr">
        <is>
          <t>S150</t>
        </is>
      </c>
      <c r="B151" t="inlineStr">
        <is>
          <t>대한특수가스</t>
        </is>
      </c>
      <c r="C151" t="inlineStr">
        <is>
          <t>(주)대한특수가스</t>
        </is>
      </c>
      <c r="D151" t="inlineStr">
        <is>
          <t>경기도 김포시 하성면 하성로 710</t>
        </is>
      </c>
      <c r="E151" t="inlineStr">
        <is>
          <t>완제의약품</t>
        </is>
      </c>
      <c r="F151" t="inlineStr">
        <is>
          <t>비무균-일반제제(의료용 고압가스)-가스제(의료용 고압가스)</t>
        </is>
      </c>
      <c r="G151" s="32" t="n">
        <v>47017</v>
      </c>
      <c r="H151">
        <f>IF(COUNTIFS($B$2:B151,B151,$D$2:D151,D151)=1,1,0)</f>
        <v/>
      </c>
      <c r="I151">
        <f>IF(OR(LEFT(F151,2)="무균",ISNUMBER(SEARCH("주사제",F151))),"Y","")</f>
        <v/>
      </c>
      <c r="J151">
        <f>IF(LEFT(F151,2)="생물","Y","")</f>
        <v/>
      </c>
    </row>
    <row r="152">
      <c r="A152" t="inlineStr">
        <is>
          <t>S151</t>
        </is>
      </c>
      <c r="B152" t="inlineStr">
        <is>
          <t>에스케이바이오텍</t>
        </is>
      </c>
      <c r="C152" t="inlineStr">
        <is>
          <t>에스케이바이오텍(주)</t>
        </is>
      </c>
      <c r="D152" t="inlineStr">
        <is>
          <t>세종특별자치시 연동면 명학산단로 80</t>
        </is>
      </c>
      <c r="E152" t="inlineStr">
        <is>
          <t>원료의약품</t>
        </is>
      </c>
      <c r="F152" t="inlineStr">
        <is>
          <t>비무균-일반제제-합성</t>
        </is>
      </c>
      <c r="G152" s="32" t="n">
        <v>47014</v>
      </c>
      <c r="H152">
        <f>IF(COUNTIFS($B$2:B152,B152,$D$2:D152,D152)=1,1,0)</f>
        <v/>
      </c>
      <c r="I152">
        <f>IF(OR(LEFT(F152,2)="무균",ISNUMBER(SEARCH("주사제",F152))),"Y","")</f>
        <v/>
      </c>
      <c r="J152">
        <f>IF(LEFT(F152,2)="생물","Y","")</f>
        <v/>
      </c>
    </row>
    <row r="153">
      <c r="A153" t="inlineStr">
        <is>
          <t>S152</t>
        </is>
      </c>
      <c r="B153" t="inlineStr">
        <is>
          <t>메디톡스</t>
        </is>
      </c>
      <c r="C153" t="inlineStr">
        <is>
          <t>(주)메디톡스</t>
        </is>
      </c>
      <c r="D153" t="inlineStr">
        <is>
          <t>충청북도 청주시 흥덕구 오송읍 오송생명4로 102</t>
        </is>
      </c>
      <c r="E153" t="inlineStr">
        <is>
          <t>완제의약품</t>
        </is>
      </c>
      <c r="F153" t="inlineStr">
        <is>
          <t>생물-독소-주사제(동결건조주사제)</t>
        </is>
      </c>
      <c r="G153" s="32" t="n">
        <v>47011</v>
      </c>
      <c r="H153">
        <f>IF(COUNTIFS($B$2:B153,B153,$D$2:D153,D153)=1,1,0)</f>
        <v/>
      </c>
      <c r="I153">
        <f>IF(OR(LEFT(F153,2)="무균",ISNUMBER(SEARCH("주사제",F153))),"Y","")</f>
        <v/>
      </c>
      <c r="J153">
        <f>IF(LEFT(F153,2)="생물","Y","")</f>
        <v/>
      </c>
    </row>
    <row r="154">
      <c r="A154" t="inlineStr">
        <is>
          <t>S153</t>
        </is>
      </c>
      <c r="B154" t="inlineStr">
        <is>
          <t>한올바이오파마</t>
        </is>
      </c>
      <c r="C154" t="inlineStr">
        <is>
          <t>한올바이오파마(주)</t>
        </is>
      </c>
      <c r="D154" t="inlineStr">
        <is>
          <t>대전광역시 대덕구 상서당1길 43</t>
        </is>
      </c>
      <c r="E154" t="inlineStr">
        <is>
          <t>완제의약품</t>
        </is>
      </c>
      <c r="F154" t="inlineStr">
        <is>
          <t>비무균-일반제제-내용고형제(정제, 캡슐제), 무균-일반제제-주사제(주사제, 수액제), 비무균-일반제제-연고제(연고제, 크림제, 겔제)</t>
        </is>
      </c>
      <c r="G154" s="32" t="n">
        <v>47003</v>
      </c>
      <c r="H154">
        <f>IF(COUNTIFS($B$2:B154,B154,$D$2:D154,D154)=1,1,0)</f>
        <v/>
      </c>
      <c r="I154">
        <f>IF(OR(LEFT(F154,2)="무균",ISNUMBER(SEARCH("주사제",F154))),"Y","")</f>
        <v/>
      </c>
      <c r="J154">
        <f>IF(LEFT(F154,2)="생물","Y","")</f>
        <v/>
      </c>
    </row>
    <row r="155">
      <c r="A155" t="inlineStr">
        <is>
          <t>S154</t>
        </is>
      </c>
      <c r="B155" t="inlineStr">
        <is>
          <t>하원제약</t>
        </is>
      </c>
      <c r="C155" t="inlineStr">
        <is>
          <t>(주)하원제약</t>
        </is>
      </c>
      <c r="D155" t="inlineStr">
        <is>
          <t>경기도 평택시 진위면 가곡길 42</t>
        </is>
      </c>
      <c r="E155" t="inlineStr">
        <is>
          <t>완제의약품</t>
        </is>
      </c>
      <c r="F155" t="inlineStr">
        <is>
          <t>비무균-일반제제-내용고형제(정제, 캡슐제)</t>
        </is>
      </c>
      <c r="G155" s="32" t="n">
        <v>47002</v>
      </c>
      <c r="H155">
        <f>IF(COUNTIFS($B$2:B155,B155,$D$2:D155,D155)=1,1,0)</f>
        <v/>
      </c>
      <c r="I155">
        <f>IF(OR(LEFT(F155,2)="무균",ISNUMBER(SEARCH("주사제",F155))),"Y","")</f>
        <v/>
      </c>
      <c r="J155">
        <f>IF(LEFT(F155,2)="생물","Y","")</f>
        <v/>
      </c>
    </row>
    <row r="156">
      <c r="A156" t="inlineStr">
        <is>
          <t>S155</t>
        </is>
      </c>
      <c r="B156" t="inlineStr">
        <is>
          <t>옵투스제약</t>
        </is>
      </c>
      <c r="C156" t="inlineStr">
        <is>
          <t>(주)옵투스제약</t>
        </is>
      </c>
      <c r="D156" t="inlineStr">
        <is>
          <t>충청북도 청주시 흥덕구 오송읍 오송생명6로 50</t>
        </is>
      </c>
      <c r="E156" t="inlineStr">
        <is>
          <t>완제의약품</t>
        </is>
      </c>
      <c r="F156" t="inlineStr">
        <is>
          <t>무균-일반제제-점안제(점안제)</t>
        </is>
      </c>
      <c r="G156" s="32" t="n">
        <v>46997</v>
      </c>
      <c r="H156">
        <f>IF(COUNTIFS($B$2:B156,B156,$D$2:D156,D156)=1,1,0)</f>
        <v/>
      </c>
      <c r="I156">
        <f>IF(OR(LEFT(F156,2)="무균",ISNUMBER(SEARCH("주사제",F156))),"Y","")</f>
        <v/>
      </c>
      <c r="J156">
        <f>IF(LEFT(F156,2)="생물","Y","")</f>
        <v/>
      </c>
    </row>
    <row r="157">
      <c r="A157" t="inlineStr">
        <is>
          <t>S156</t>
        </is>
      </c>
      <c r="B157" t="inlineStr">
        <is>
          <t>한국비엠아이</t>
        </is>
      </c>
      <c r="C157" t="inlineStr">
        <is>
          <t>(주)한국비엠아이</t>
        </is>
      </c>
      <c r="D157" t="inlineStr">
        <is>
          <t>제주특별자치도 제주시 첨단로7길 11</t>
        </is>
      </c>
      <c r="E157" t="inlineStr">
        <is>
          <t>완제의약품</t>
        </is>
      </c>
      <c r="F157" t="inlineStr">
        <is>
          <t>비무균-일반제제-내용고형제(정제, 캡슐제), 무균-일반제제-주사제(주사제, 동결건조주사제, 관류제), 생물-독소-주사제(동결건조주사제), 생물-유전자재조합의약품-주사제(주사제), 비무균-일반제제-내용액제(경구용액제)</t>
        </is>
      </c>
      <c r="G157" s="32" t="n">
        <v>46997</v>
      </c>
      <c r="H157">
        <f>IF(COUNTIFS($B$2:B157,B157,$D$2:D157,D157)=1,1,0)</f>
        <v/>
      </c>
      <c r="I157">
        <f>IF(OR(LEFT(F157,2)="무균",ISNUMBER(SEARCH("주사제",F157))),"Y","")</f>
        <v/>
      </c>
      <c r="J157">
        <f>IF(LEFT(F157,2)="생물","Y","")</f>
        <v/>
      </c>
    </row>
    <row r="158">
      <c r="A158" t="inlineStr">
        <is>
          <t>S157</t>
        </is>
      </c>
      <c r="B158" t="inlineStr">
        <is>
          <t>한국비엠아이</t>
        </is>
      </c>
      <c r="C158" t="inlineStr">
        <is>
          <t>(주)한국비엠아이</t>
        </is>
      </c>
      <c r="D158" t="inlineStr">
        <is>
          <t>제주특별자치도 제주시 첨단로7길 11</t>
        </is>
      </c>
      <c r="E158" t="inlineStr">
        <is>
          <t>원료의약품</t>
        </is>
      </c>
      <c r="F158" t="inlineStr">
        <is>
          <t>무균-일반제제-합성, 비무균-일반제제-추출, 생물-독소-(배양, 정제, 원액 제조)</t>
        </is>
      </c>
      <c r="G158" s="32" t="n">
        <v>46997</v>
      </c>
      <c r="H158">
        <f>IF(COUNTIFS($B$2:B158,B158,$D$2:D158,D158)=1,1,0)</f>
        <v/>
      </c>
      <c r="I158">
        <f>IF(OR(LEFT(F158,2)="무균",ISNUMBER(SEARCH("주사제",F158))),"Y","")</f>
        <v/>
      </c>
      <c r="J158">
        <f>IF(LEFT(F158,2)="생물","Y","")</f>
        <v/>
      </c>
    </row>
    <row r="159">
      <c r="A159" t="inlineStr">
        <is>
          <t>S158</t>
        </is>
      </c>
      <c r="B159" t="inlineStr">
        <is>
          <t>바스칸바이오제약</t>
        </is>
      </c>
      <c r="C159" t="inlineStr">
        <is>
          <t>(주)바스칸바이오제약</t>
        </is>
      </c>
      <c r="D159" t="inlineStr">
        <is>
          <t>경기도 안성시 원곡면 원당로 354</t>
        </is>
      </c>
      <c r="E159" t="inlineStr">
        <is>
          <t>완제의약품</t>
        </is>
      </c>
      <c r="F159" t="inlineStr">
        <is>
          <t>비무균-일반제제-내용고형제(정제, 캡슐제)</t>
        </is>
      </c>
      <c r="G159" s="32" t="n">
        <v>46997</v>
      </c>
      <c r="H159">
        <f>IF(COUNTIFS($B$2:B159,B159,$D$2:D159,D159)=1,1,0)</f>
        <v/>
      </c>
      <c r="I159">
        <f>IF(OR(LEFT(F159,2)="무균",ISNUMBER(SEARCH("주사제",F159))),"Y","")</f>
        <v/>
      </c>
      <c r="J159">
        <f>IF(LEFT(F159,2)="생물","Y","")</f>
        <v/>
      </c>
    </row>
    <row r="160">
      <c r="A160" t="inlineStr">
        <is>
          <t>S159</t>
        </is>
      </c>
      <c r="B160" t="inlineStr">
        <is>
          <t>듀켐바이오</t>
        </is>
      </c>
      <c r="C160" t="inlineStr">
        <is>
          <t>(주)듀켐바이오</t>
        </is>
      </c>
      <c r="D160" t="inlineStr">
        <is>
          <t>부산광역시 서구 대신공원로 26 동아대학교 병원 센터동 지하1층 Cyclotron센터</t>
        </is>
      </c>
      <c r="E160" t="inlineStr">
        <is>
          <t>완제의약품</t>
        </is>
      </c>
      <c r="F160" t="inlineStr">
        <is>
          <t>무균-일반제제(방사성의약품)-주사제(주사제)</t>
        </is>
      </c>
      <c r="G160" s="32" t="n">
        <v>46990</v>
      </c>
      <c r="H160">
        <f>IF(COUNTIFS($B$2:B160,B160,$D$2:D160,D160)=1,1,0)</f>
        <v/>
      </c>
      <c r="I160">
        <f>IF(OR(LEFT(F160,2)="무균",ISNUMBER(SEARCH("주사제",F160))),"Y","")</f>
        <v/>
      </c>
      <c r="J160">
        <f>IF(LEFT(F160,2)="생물","Y","")</f>
        <v/>
      </c>
    </row>
    <row r="161">
      <c r="A161" t="inlineStr">
        <is>
          <t>S160</t>
        </is>
      </c>
      <c r="B161" t="inlineStr">
        <is>
          <t>켐포트</t>
        </is>
      </c>
      <c r="C161" t="inlineStr">
        <is>
          <t>(주)켐포트</t>
        </is>
      </c>
      <c r="D161" t="inlineStr">
        <is>
          <t>전라남도 나주시 동수농공단지길 30-51 실험실: 전라남도 목포시 고하대로719번길 52 연구동 2층 (주)켐포트 실험실(목포지점)</t>
        </is>
      </c>
      <c r="E161" t="inlineStr">
        <is>
          <t>원료의약품</t>
        </is>
      </c>
      <c r="F161" t="inlineStr">
        <is>
          <t>비무균-일반제제-추출</t>
        </is>
      </c>
      <c r="G161" s="32" t="n">
        <v>46990</v>
      </c>
      <c r="H161">
        <f>IF(COUNTIFS($B$2:B161,B161,$D$2:D161,D161)=1,1,0)</f>
        <v/>
      </c>
      <c r="I161">
        <f>IF(OR(LEFT(F161,2)="무균",ISNUMBER(SEARCH("주사제",F161))),"Y","")</f>
        <v/>
      </c>
      <c r="J161">
        <f>IF(LEFT(F161,2)="생물","Y","")</f>
        <v/>
      </c>
    </row>
    <row r="162">
      <c r="A162" t="inlineStr">
        <is>
          <t>S161</t>
        </is>
      </c>
      <c r="B162" t="inlineStr">
        <is>
          <t>한국오츠카제약</t>
        </is>
      </c>
      <c r="C162" t="inlineStr">
        <is>
          <t>한국오츠카제약(주)</t>
        </is>
      </c>
      <c r="D162" t="inlineStr">
        <is>
          <t>경기도 화성시 만세구 향남읍 제약공단3길 27</t>
        </is>
      </c>
      <c r="E162" t="inlineStr">
        <is>
          <t>원료의약품</t>
        </is>
      </c>
      <c r="F162" t="inlineStr">
        <is>
          <t>비무균-일반제제-합성</t>
        </is>
      </c>
      <c r="G162" s="32" t="n">
        <v>46990</v>
      </c>
      <c r="H162">
        <f>IF(COUNTIFS($B$2:B162,B162,$D$2:D162,D162)=1,1,0)</f>
        <v/>
      </c>
      <c r="I162">
        <f>IF(OR(LEFT(F162,2)="무균",ISNUMBER(SEARCH("주사제",F162))),"Y","")</f>
        <v/>
      </c>
      <c r="J162">
        <f>IF(LEFT(F162,2)="생물","Y","")</f>
        <v/>
      </c>
    </row>
    <row r="163">
      <c r="A163" t="inlineStr">
        <is>
          <t>S162</t>
        </is>
      </c>
      <c r="B163" t="inlineStr">
        <is>
          <t>한국오츠카제약</t>
        </is>
      </c>
      <c r="C163" t="inlineStr">
        <is>
          <t>한국오츠카제약(주)</t>
        </is>
      </c>
      <c r="D163" t="inlineStr">
        <is>
          <t>경기도 화성시 만세구 향남읍 제약공단3길 27</t>
        </is>
      </c>
      <c r="E163" t="inlineStr">
        <is>
          <t>완제의약품</t>
        </is>
      </c>
      <c r="F163" t="inlineStr">
        <is>
          <t>비무균-일반제제-내용고형제(정제, 캡슐제), 비무균-일반제제-내용액제(경구용액제)</t>
        </is>
      </c>
      <c r="G163" s="32" t="n">
        <v>46990</v>
      </c>
      <c r="H163">
        <f>IF(COUNTIFS($B$2:B163,B163,$D$2:D163,D163)=1,1,0)</f>
        <v/>
      </c>
      <c r="I163">
        <f>IF(OR(LEFT(F163,2)="무균",ISNUMBER(SEARCH("주사제",F163))),"Y","")</f>
        <v/>
      </c>
      <c r="J163">
        <f>IF(LEFT(F163,2)="생물","Y","")</f>
        <v/>
      </c>
    </row>
    <row r="164">
      <c r="A164" t="inlineStr">
        <is>
          <t>S163</t>
        </is>
      </c>
      <c r="B164" t="inlineStr">
        <is>
          <t>알피바이오</t>
        </is>
      </c>
      <c r="C164" t="inlineStr">
        <is>
          <t>(주)알피바이오</t>
        </is>
      </c>
      <c r="D164" t="inlineStr">
        <is>
          <t>경기도 화성시 만세구 향남읍 제약공단4길 35-7</t>
        </is>
      </c>
      <c r="E164" t="inlineStr">
        <is>
          <t>완제의약품</t>
        </is>
      </c>
      <c r="F164" t="inlineStr">
        <is>
          <t>비무균-일반제제-내용고형제(캡슐제, 경구용젤리제(반고형))</t>
        </is>
      </c>
      <c r="G164" s="32" t="n">
        <v>46990</v>
      </c>
      <c r="H164">
        <f>IF(COUNTIFS($B$2:B164,B164,$D$2:D164,D164)=1,1,0)</f>
        <v/>
      </c>
      <c r="I164">
        <f>IF(OR(LEFT(F164,2)="무균",ISNUMBER(SEARCH("주사제",F164))),"Y","")</f>
        <v/>
      </c>
      <c r="J164">
        <f>IF(LEFT(F164,2)="생물","Y","")</f>
        <v/>
      </c>
    </row>
    <row r="165">
      <c r="A165" t="inlineStr">
        <is>
          <t>S164</t>
        </is>
      </c>
      <c r="B165" t="inlineStr">
        <is>
          <t>테라젠이텍스</t>
        </is>
      </c>
      <c r="C165" t="inlineStr">
        <is>
          <t>(주)테라젠이텍스</t>
        </is>
      </c>
      <c r="D165" t="inlineStr">
        <is>
          <t>경기도 안산시 단원구 산단로68번길 58</t>
        </is>
      </c>
      <c r="E165" t="inlineStr">
        <is>
          <t>완제의약품</t>
        </is>
      </c>
      <c r="F165" t="inlineStr">
        <is>
          <t>비무균-일반제제-내용고형제(정제, 캡슐제, 트로키제), 비무균-일반제제-내용액제(시럽제(액상))</t>
        </is>
      </c>
      <c r="G165" s="32" t="n">
        <v>46990</v>
      </c>
      <c r="H165">
        <f>IF(COUNTIFS($B$2:B165,B165,$D$2:D165,D165)=1,1,0)</f>
        <v/>
      </c>
      <c r="I165">
        <f>IF(OR(LEFT(F165,2)="무균",ISNUMBER(SEARCH("주사제",F165))),"Y","")</f>
        <v/>
      </c>
      <c r="J165">
        <f>IF(LEFT(F165,2)="생물","Y","")</f>
        <v/>
      </c>
    </row>
    <row r="166">
      <c r="A166" t="inlineStr">
        <is>
          <t>S165</t>
        </is>
      </c>
      <c r="B166" t="inlineStr">
        <is>
          <t>이연제약</t>
        </is>
      </c>
      <c r="C166" t="inlineStr">
        <is>
          <t>이연제약(주)</t>
        </is>
      </c>
      <c r="D166" t="inlineStr">
        <is>
          <t>충청북도 진천군 덕산읍 한삼로 69-10</t>
        </is>
      </c>
      <c r="E166" t="inlineStr">
        <is>
          <t>원료의약품</t>
        </is>
      </c>
      <c r="F166" t="inlineStr">
        <is>
          <t>비무균-일반제제-합성, 비무균-일반제제-발효</t>
        </is>
      </c>
      <c r="G166" s="32" t="n">
        <v>46990</v>
      </c>
      <c r="H166">
        <f>IF(COUNTIFS($B$2:B166,B166,$D$2:D166,D166)=1,1,0)</f>
        <v/>
      </c>
      <c r="I166">
        <f>IF(OR(LEFT(F166,2)="무균",ISNUMBER(SEARCH("주사제",F166))),"Y","")</f>
        <v/>
      </c>
      <c r="J166">
        <f>IF(LEFT(F166,2)="생물","Y","")</f>
        <v/>
      </c>
    </row>
    <row r="167">
      <c r="A167" t="inlineStr">
        <is>
          <t>S166</t>
        </is>
      </c>
      <c r="B167" t="inlineStr">
        <is>
          <t>이연제약</t>
        </is>
      </c>
      <c r="C167" t="inlineStr">
        <is>
          <t>이연제약(주)</t>
        </is>
      </c>
      <c r="D167" t="inlineStr">
        <is>
          <t>충청북도 진천군 덕산읍 한삼로 69-10</t>
        </is>
      </c>
      <c r="E167" t="inlineStr">
        <is>
          <t>완제의약품</t>
        </is>
      </c>
      <c r="F167" t="inlineStr">
        <is>
          <t>비무균-일반제제-내용고형제(정제, 캡슐제), 무균-일반제제-주사제(주사제, 동결건조주사제), 무균-일반제제-그 밖의 고형제(외용산제)</t>
        </is>
      </c>
      <c r="G167" s="32" t="n">
        <v>46990</v>
      </c>
      <c r="H167">
        <f>IF(COUNTIFS($B$2:B167,B167,$D$2:D167,D167)=1,1,0)</f>
        <v/>
      </c>
      <c r="I167">
        <f>IF(OR(LEFT(F167,2)="무균",ISNUMBER(SEARCH("주사제",F167))),"Y","")</f>
        <v/>
      </c>
      <c r="J167">
        <f>IF(LEFT(F167,2)="생물","Y","")</f>
        <v/>
      </c>
    </row>
    <row r="168">
      <c r="A168" t="inlineStr">
        <is>
          <t>S167</t>
        </is>
      </c>
      <c r="B168" t="inlineStr">
        <is>
          <t>한국넬슨제약</t>
        </is>
      </c>
      <c r="C168" t="inlineStr">
        <is>
          <t>한국넬슨제약(주)</t>
        </is>
      </c>
      <c r="D168" t="inlineStr">
        <is>
          <t>충청북도 음성군 금왕읍 금일로 271-8</t>
        </is>
      </c>
      <c r="E168" t="inlineStr">
        <is>
          <t>완제의약품</t>
        </is>
      </c>
      <c r="F168" t="inlineStr">
        <is>
          <t>비무균-일반제제-내용고형제(정제, 캡슐제), 비무균-일반제제-연고제(크림제, 겔제)</t>
        </is>
      </c>
      <c r="G168" s="32" t="n">
        <v>46983</v>
      </c>
      <c r="H168">
        <f>IF(COUNTIFS($B$2:B168,B168,$D$2:D168,D168)=1,1,0)</f>
        <v/>
      </c>
      <c r="I168">
        <f>IF(OR(LEFT(F168,2)="무균",ISNUMBER(SEARCH("주사제",F168))),"Y","")</f>
        <v/>
      </c>
      <c r="J168">
        <f>IF(LEFT(F168,2)="생물","Y","")</f>
        <v/>
      </c>
    </row>
    <row r="169">
      <c r="A169" t="inlineStr">
        <is>
          <t>S168</t>
        </is>
      </c>
      <c r="B169" t="inlineStr">
        <is>
          <t>전남대학교병원</t>
        </is>
      </c>
      <c r="C169" t="inlineStr">
        <is>
          <t>전남대학교병원</t>
        </is>
      </c>
      <c r="D169" t="inlineStr">
        <is>
          <t>광주광역시 동구 제봉로 42 전남대학교병원 6동 어린이병원, 지하 1층 분자영상신약개발센터</t>
        </is>
      </c>
      <c r="E169" t="inlineStr">
        <is>
          <t>완제의약품</t>
        </is>
      </c>
      <c r="F169" t="inlineStr">
        <is>
          <t>무균-일반제제(방사성의약품)-주사제(주사제)</t>
        </is>
      </c>
      <c r="G169" s="32" t="n">
        <v>46983</v>
      </c>
      <c r="H169">
        <f>IF(COUNTIFS($B$2:B169,B169,$D$2:D169,D169)=1,1,0)</f>
        <v/>
      </c>
      <c r="I169">
        <f>IF(OR(LEFT(F169,2)="무균",ISNUMBER(SEARCH("주사제",F169))),"Y","")</f>
        <v/>
      </c>
      <c r="J169">
        <f>IF(LEFT(F169,2)="생물","Y","")</f>
        <v/>
      </c>
    </row>
    <row r="170">
      <c r="A170" t="inlineStr">
        <is>
          <t>S169</t>
        </is>
      </c>
      <c r="B170" t="inlineStr">
        <is>
          <t>프로라젠</t>
        </is>
      </c>
      <c r="C170" t="inlineStr">
        <is>
          <t>(주)프로라젠</t>
        </is>
      </c>
      <c r="D170" t="inlineStr">
        <is>
          <t>서울특별시 서대문구 연세로 50-1 연세대학교 의과대학 연세의생명연구원 임상의학연구센터 206,207,211~216-1호</t>
        </is>
      </c>
      <c r="E170" t="inlineStr">
        <is>
          <t>원료의약품</t>
        </is>
      </c>
      <c r="F170" t="inlineStr">
        <is>
          <t>비무균-일반제제-추출</t>
        </is>
      </c>
      <c r="G170" s="32" t="n">
        <v>46983</v>
      </c>
      <c r="H170">
        <f>IF(COUNTIFS($B$2:B170,B170,$D$2:D170,D170)=1,1,0)</f>
        <v/>
      </c>
      <c r="I170">
        <f>IF(OR(LEFT(F170,2)="무균",ISNUMBER(SEARCH("주사제",F170))),"Y","")</f>
        <v/>
      </c>
      <c r="J170">
        <f>IF(LEFT(F170,2)="생물","Y","")</f>
        <v/>
      </c>
    </row>
    <row r="171">
      <c r="A171" t="inlineStr">
        <is>
          <t>S170</t>
        </is>
      </c>
      <c r="B171" t="inlineStr">
        <is>
          <t>디아이지에어가스</t>
        </is>
      </c>
      <c r="C171" t="inlineStr">
        <is>
          <t>디아이지에어가스(주)</t>
        </is>
      </c>
      <c r="D171" t="inlineStr">
        <is>
          <t>경기도 안산시 단원구 산단로 128</t>
        </is>
      </c>
      <c r="E171" t="inlineStr">
        <is>
          <t>완제의약품</t>
        </is>
      </c>
      <c r="F171" t="inlineStr">
        <is>
          <t>비무균-일반제제(의료용 고압가스)-가스제(의료용 고압가스)</t>
        </is>
      </c>
      <c r="G171" s="32" t="n">
        <v>46983</v>
      </c>
      <c r="H171">
        <f>IF(COUNTIFS($B$2:B171,B171,$D$2:D171,D171)=1,1,0)</f>
        <v/>
      </c>
      <c r="I171">
        <f>IF(OR(LEFT(F171,2)="무균",ISNUMBER(SEARCH("주사제",F171))),"Y","")</f>
        <v/>
      </c>
      <c r="J171">
        <f>IF(LEFT(F171,2)="생물","Y","")</f>
        <v/>
      </c>
    </row>
    <row r="172">
      <c r="A172" t="inlineStr">
        <is>
          <t>S171</t>
        </is>
      </c>
      <c r="B172" t="inlineStr">
        <is>
          <t>휴온스메디텍</t>
        </is>
      </c>
      <c r="C172" t="inlineStr">
        <is>
          <t>(주)휴온스메디텍</t>
        </is>
      </c>
      <c r="D172" t="inlineStr">
        <is>
          <t>부산광역시 강서구 녹산산단165로 22</t>
        </is>
      </c>
      <c r="E172" t="inlineStr">
        <is>
          <t>완제의약품</t>
        </is>
      </c>
      <c r="F172" t="inlineStr">
        <is>
          <t>비무균-일반제제-외용액제(외용액제)</t>
        </is>
      </c>
      <c r="G172" s="32" t="n">
        <v>46983</v>
      </c>
      <c r="H172">
        <f>IF(COUNTIFS($B$2:B172,B172,$D$2:D172,D172)=1,1,0)</f>
        <v/>
      </c>
      <c r="I172">
        <f>IF(OR(LEFT(F172,2)="무균",ISNUMBER(SEARCH("주사제",F172))),"Y","")</f>
        <v/>
      </c>
      <c r="J172">
        <f>IF(LEFT(F172,2)="생물","Y","")</f>
        <v/>
      </c>
    </row>
    <row r="173">
      <c r="A173" t="inlineStr">
        <is>
          <t>S172</t>
        </is>
      </c>
      <c r="B173" t="inlineStr">
        <is>
          <t>메디톡스</t>
        </is>
      </c>
      <c r="C173" t="inlineStr">
        <is>
          <t>(주)메디톡스</t>
        </is>
      </c>
      <c r="D173" t="inlineStr">
        <is>
          <t>충청북도 청주시 청원구 오창읍 각리1길 78</t>
        </is>
      </c>
      <c r="E173" t="inlineStr">
        <is>
          <t>완제의약품</t>
        </is>
      </c>
      <c r="F173" t="inlineStr">
        <is>
          <t>생물-독소-주사제(주사제, 동결건조주사제)</t>
        </is>
      </c>
      <c r="G173" s="32" t="n">
        <v>46983</v>
      </c>
      <c r="H173">
        <f>IF(COUNTIFS($B$2:B173,B173,$D$2:D173,D173)=1,1,0)</f>
        <v/>
      </c>
      <c r="I173">
        <f>IF(OR(LEFT(F173,2)="무균",ISNUMBER(SEARCH("주사제",F173))),"Y","")</f>
        <v/>
      </c>
      <c r="J173">
        <f>IF(LEFT(F173,2)="생물","Y","")</f>
        <v/>
      </c>
    </row>
    <row r="174">
      <c r="A174" t="inlineStr">
        <is>
          <t>S173</t>
        </is>
      </c>
      <c r="B174" t="inlineStr">
        <is>
          <t>메디톡스</t>
        </is>
      </c>
      <c r="C174" t="inlineStr">
        <is>
          <t>(주)메디톡스</t>
        </is>
      </c>
      <c r="D174" t="inlineStr">
        <is>
          <t>충청북도 청주시 청원구 오창읍 각리1길 78</t>
        </is>
      </c>
      <c r="E174" t="inlineStr">
        <is>
          <t>원료의약품</t>
        </is>
      </c>
      <c r="F174" t="inlineStr">
        <is>
          <t>생물-독소-(배양, 정제, 원액 제조)</t>
        </is>
      </c>
      <c r="G174" s="32" t="n">
        <v>46983</v>
      </c>
      <c r="H174">
        <f>IF(COUNTIFS($B$2:B174,B174,$D$2:D174,D174)=1,1,0)</f>
        <v/>
      </c>
      <c r="I174">
        <f>IF(OR(LEFT(F174,2)="무균",ISNUMBER(SEARCH("주사제",F174))),"Y","")</f>
        <v/>
      </c>
      <c r="J174">
        <f>IF(LEFT(F174,2)="생물","Y","")</f>
        <v/>
      </c>
    </row>
    <row r="175">
      <c r="A175" t="inlineStr">
        <is>
          <t>S174</t>
        </is>
      </c>
      <c r="B175" t="inlineStr">
        <is>
          <t>오스코리아제약</t>
        </is>
      </c>
      <c r="C175" t="inlineStr">
        <is>
          <t>(주)오스코리아제약</t>
        </is>
      </c>
      <c r="D175" t="inlineStr">
        <is>
          <t>강원특별자치도 원주시 문막읍 문막공단길 252</t>
        </is>
      </c>
      <c r="E175" t="inlineStr">
        <is>
          <t>완제의약품</t>
        </is>
      </c>
      <c r="F175" t="inlineStr">
        <is>
          <t>무균-일반제제-주사제(주사제), 비무균-일반제제-외용액제(외용액제)</t>
        </is>
      </c>
      <c r="G175" s="32" t="n">
        <v>46976</v>
      </c>
      <c r="H175">
        <f>IF(COUNTIFS($B$2:B175,B175,$D$2:D175,D175)=1,1,0)</f>
        <v/>
      </c>
      <c r="I175">
        <f>IF(OR(LEFT(F175,2)="무균",ISNUMBER(SEARCH("주사제",F175))),"Y","")</f>
        <v/>
      </c>
      <c r="J175">
        <f>IF(LEFT(F175,2)="생물","Y","")</f>
        <v/>
      </c>
    </row>
    <row r="176">
      <c r="A176" t="inlineStr">
        <is>
          <t>S175</t>
        </is>
      </c>
      <c r="B176" t="inlineStr">
        <is>
          <t>현대바이오랜드</t>
        </is>
      </c>
      <c r="C176" t="inlineStr">
        <is>
          <t>주식회사현대바이오랜드</t>
        </is>
      </c>
      <c r="D176" t="inlineStr">
        <is>
          <t>충청북도 청주시 흥덕구 오송읍 오송생명2로 22</t>
        </is>
      </c>
      <c r="E176" t="inlineStr">
        <is>
          <t>원료의약품</t>
        </is>
      </c>
      <c r="F176" t="inlineStr">
        <is>
          <t>비무균-일반제제-추출</t>
        </is>
      </c>
      <c r="G176" s="32" t="n">
        <v>46976</v>
      </c>
      <c r="H176">
        <f>IF(COUNTIFS($B$2:B176,B176,$D$2:D176,D176)=1,1,0)</f>
        <v/>
      </c>
      <c r="I176">
        <f>IF(OR(LEFT(F176,2)="무균",ISNUMBER(SEARCH("주사제",F176))),"Y","")</f>
        <v/>
      </c>
      <c r="J176">
        <f>IF(LEFT(F176,2)="생물","Y","")</f>
        <v/>
      </c>
    </row>
    <row r="177">
      <c r="A177" t="inlineStr">
        <is>
          <t>S176</t>
        </is>
      </c>
      <c r="B177" t="inlineStr">
        <is>
          <t>팩슨</t>
        </is>
      </c>
      <c r="C177" t="inlineStr">
        <is>
          <t>(주)팩슨</t>
        </is>
      </c>
      <c r="D177" t="inlineStr">
        <is>
          <t>대구광역시 달서구 달서대로58길 53</t>
        </is>
      </c>
      <c r="E177" t="inlineStr">
        <is>
          <t>완제의약품</t>
        </is>
      </c>
      <c r="F177" t="inlineStr">
        <is>
          <t>비무균-일반제제(의료용 고압가스)-가스제(의료용 고압가스)</t>
        </is>
      </c>
      <c r="G177" s="32" t="n">
        <v>46975</v>
      </c>
      <c r="H177">
        <f>IF(COUNTIFS($B$2:B177,B177,$D$2:D177,D177)=1,1,0)</f>
        <v/>
      </c>
      <c r="I177">
        <f>IF(OR(LEFT(F177,2)="무균",ISNUMBER(SEARCH("주사제",F177))),"Y","")</f>
        <v/>
      </c>
      <c r="J177">
        <f>IF(LEFT(F177,2)="생물","Y","")</f>
        <v/>
      </c>
    </row>
    <row r="178">
      <c r="A178" t="inlineStr">
        <is>
          <t>S177</t>
        </is>
      </c>
      <c r="B178" t="inlineStr">
        <is>
          <t>태경에코</t>
        </is>
      </c>
      <c r="C178" t="inlineStr">
        <is>
          <t>태경에코(주)</t>
        </is>
      </c>
      <c r="D178" t="inlineStr">
        <is>
          <t>경기도 안산시 단원구 동산로27번길 86-6</t>
        </is>
      </c>
      <c r="E178" t="inlineStr">
        <is>
          <t>완제의약품</t>
        </is>
      </c>
      <c r="F178" t="inlineStr">
        <is>
          <t>비무균-일반제제(의료용 고압가스)-가스제(의료용 고압가스)</t>
        </is>
      </c>
      <c r="G178" s="32" t="n">
        <v>46975</v>
      </c>
      <c r="H178">
        <f>IF(COUNTIFS($B$2:B178,B178,$D$2:D178,D178)=1,1,0)</f>
        <v/>
      </c>
      <c r="I178">
        <f>IF(OR(LEFT(F178,2)="무균",ISNUMBER(SEARCH("주사제",F178))),"Y","")</f>
        <v/>
      </c>
      <c r="J178">
        <f>IF(LEFT(F178,2)="생물","Y","")</f>
        <v/>
      </c>
    </row>
    <row r="179">
      <c r="A179" t="inlineStr">
        <is>
          <t>S178</t>
        </is>
      </c>
      <c r="B179" t="inlineStr">
        <is>
          <t>제뉴원사이언스</t>
        </is>
      </c>
      <c r="C179" t="inlineStr">
        <is>
          <t>주식회사제뉴원사이언스</t>
        </is>
      </c>
      <c r="D179" t="inlineStr">
        <is>
          <t>세종특별자치시 전의면 산단길 245</t>
        </is>
      </c>
      <c r="E179" t="inlineStr">
        <is>
          <t>완제의약품</t>
        </is>
      </c>
      <c r="F179" t="inlineStr">
        <is>
          <t>비무균-일반제제-내용고형제(정제, 캡슐제, 산제), 무균-일반제제-주사제(수액제, 동결건조주사제), 비무균-일반제제-내용액제(경구용액제, 시럽제(액상), 현탁제), 비무균-일반제제-외용액제(외용액제, 로션제, 펌프스프레이제), 비무균-일반제제-연고제(연고제, 크림제, 겔제)</t>
        </is>
      </c>
      <c r="G179" s="32" t="n">
        <v>46969</v>
      </c>
      <c r="H179">
        <f>IF(COUNTIFS($B$2:B179,B179,$D$2:D179,D179)=1,1,0)</f>
        <v/>
      </c>
      <c r="I179">
        <f>IF(OR(LEFT(F179,2)="무균",ISNUMBER(SEARCH("주사제",F179))),"Y","")</f>
        <v/>
      </c>
      <c r="J179">
        <f>IF(LEFT(F179,2)="생물","Y","")</f>
        <v/>
      </c>
    </row>
    <row r="180">
      <c r="A180" t="inlineStr">
        <is>
          <t>S179</t>
        </is>
      </c>
      <c r="B180" t="inlineStr">
        <is>
          <t>한영기업</t>
        </is>
      </c>
      <c r="C180" t="inlineStr">
        <is>
          <t>한영기업(주)</t>
        </is>
      </c>
      <c r="D180" t="inlineStr">
        <is>
          <t>부산광역시 영도구 해양로 206</t>
        </is>
      </c>
      <c r="E180" t="inlineStr">
        <is>
          <t>완제의약품</t>
        </is>
      </c>
      <c r="F180" t="inlineStr">
        <is>
          <t>비무균-일반제제(의료용 고압가스)-가스제(의료용 고압가스)</t>
        </is>
      </c>
      <c r="G180" s="32" t="n">
        <v>46963</v>
      </c>
      <c r="H180">
        <f>IF(COUNTIFS($B$2:B180,B180,$D$2:D180,D180)=1,1,0)</f>
        <v/>
      </c>
      <c r="I180">
        <f>IF(OR(LEFT(F180,2)="무균",ISNUMBER(SEARCH("주사제",F180))),"Y","")</f>
        <v/>
      </c>
      <c r="J180">
        <f>IF(LEFT(F180,2)="생물","Y","")</f>
        <v/>
      </c>
    </row>
    <row r="181">
      <c r="A181" t="inlineStr">
        <is>
          <t>S180</t>
        </is>
      </c>
      <c r="B181" t="inlineStr">
        <is>
          <t>보령</t>
        </is>
      </c>
      <c r="C181" t="inlineStr">
        <is>
          <t>(주)보령</t>
        </is>
      </c>
      <c r="D181" t="inlineStr">
        <is>
          <t>경기도 안산시 단원구 능안로 107 ,109</t>
        </is>
      </c>
      <c r="E181" t="inlineStr">
        <is>
          <t>완제의약품</t>
        </is>
      </c>
      <c r="F181" t="inlineStr">
        <is>
          <t>비무균-세팔로스포린제제-내용고형제(정제, 캡슐제, 산제, 시럽제(고형)), 비무균-일반제제-내용고형제(정제, 캡슐제, 산제, 과립제), 비무균-페니실린제제-내용고형제(정제, 캡슐제, 시럽제(고형)), 무균-세팔로스포린제제-주사제(분말주사제), 무균-세포독성항암제제-주사제(주사제, 동결건조주사제), 무균-일반제제-주사제(주사제, 복막투석제), 비무균-성호르몬제-내용액제(현탁제), 비무균-일반제제-내용액제(현탁제), 비무균-일반제제-그 밖의 액제(흡입제(액상))</t>
        </is>
      </c>
      <c r="G181" s="32" t="n">
        <v>46962</v>
      </c>
      <c r="H181">
        <f>IF(COUNTIFS($B$2:B181,B181,$D$2:D181,D181)=1,1,0)</f>
        <v/>
      </c>
      <c r="I181">
        <f>IF(OR(LEFT(F181,2)="무균",ISNUMBER(SEARCH("주사제",F181))),"Y","")</f>
        <v/>
      </c>
      <c r="J181">
        <f>IF(LEFT(F181,2)="생물","Y","")</f>
        <v/>
      </c>
    </row>
    <row r="182">
      <c r="A182" t="inlineStr">
        <is>
          <t>S181</t>
        </is>
      </c>
      <c r="B182" t="inlineStr">
        <is>
          <t>보령</t>
        </is>
      </c>
      <c r="C182" t="inlineStr">
        <is>
          <t>(주)보령</t>
        </is>
      </c>
      <c r="D182" t="inlineStr">
        <is>
          <t>경기도 안산시 단원구 능안로 107 ,109</t>
        </is>
      </c>
      <c r="E182" t="inlineStr">
        <is>
          <t>원료의약품</t>
        </is>
      </c>
      <c r="F182" t="inlineStr">
        <is>
          <t>비무균-일반제제-합성</t>
        </is>
      </c>
      <c r="G182" s="32" t="n">
        <v>46962</v>
      </c>
      <c r="H182">
        <f>IF(COUNTIFS($B$2:B182,B182,$D$2:D182,D182)=1,1,0)</f>
        <v/>
      </c>
      <c r="I182">
        <f>IF(OR(LEFT(F182,2)="무균",ISNUMBER(SEARCH("주사제",F182))),"Y","")</f>
        <v/>
      </c>
      <c r="J182">
        <f>IF(LEFT(F182,2)="생물","Y","")</f>
        <v/>
      </c>
    </row>
    <row r="183">
      <c r="A183" t="inlineStr">
        <is>
          <t>S182</t>
        </is>
      </c>
      <c r="B183" t="inlineStr">
        <is>
          <t>에이치엘비펩</t>
        </is>
      </c>
      <c r="C183" t="inlineStr">
        <is>
          <t>에이치엘비펩(주)</t>
        </is>
      </c>
      <c r="D183" t="inlineStr">
        <is>
          <t>전라남도 장성군 남면 나노산단로 123 전라남도 나노바이오센터 내 시험생산2동 (3층건물)</t>
        </is>
      </c>
      <c r="E183" t="inlineStr">
        <is>
          <t>원료의약품</t>
        </is>
      </c>
      <c r="F183" t="inlineStr">
        <is>
          <t>비무균-일반제제-합성</t>
        </is>
      </c>
      <c r="G183" s="32" t="n">
        <v>46961</v>
      </c>
      <c r="H183">
        <f>IF(COUNTIFS($B$2:B183,B183,$D$2:D183,D183)=1,1,0)</f>
        <v/>
      </c>
      <c r="I183">
        <f>IF(OR(LEFT(F183,2)="무균",ISNUMBER(SEARCH("주사제",F183))),"Y","")</f>
        <v/>
      </c>
      <c r="J183">
        <f>IF(LEFT(F183,2)="생물","Y","")</f>
        <v/>
      </c>
    </row>
    <row r="184">
      <c r="A184" t="inlineStr">
        <is>
          <t>S183</t>
        </is>
      </c>
      <c r="B184" t="inlineStr">
        <is>
          <t>대한의산</t>
        </is>
      </c>
      <c r="C184" t="inlineStr">
        <is>
          <t>대한의산(주)</t>
        </is>
      </c>
      <c r="D184" t="inlineStr">
        <is>
          <t>경기도 이천시 모가면 사실로 670</t>
        </is>
      </c>
      <c r="E184" t="inlineStr">
        <is>
          <t>완제의약품</t>
        </is>
      </c>
      <c r="F184" t="inlineStr">
        <is>
          <t>비무균-일반제제(의료용 고압가스)-가스제(의료용 고압가스)</t>
        </is>
      </c>
      <c r="G184" s="32" t="n">
        <v>46960</v>
      </c>
      <c r="H184">
        <f>IF(COUNTIFS($B$2:B184,B184,$D$2:D184,D184)=1,1,0)</f>
        <v/>
      </c>
      <c r="I184">
        <f>IF(OR(LEFT(F184,2)="무균",ISNUMBER(SEARCH("주사제",F184))),"Y","")</f>
        <v/>
      </c>
      <c r="J184">
        <f>IF(LEFT(F184,2)="생물","Y","")</f>
        <v/>
      </c>
    </row>
    <row r="185">
      <c r="A185" t="inlineStr">
        <is>
          <t>S184</t>
        </is>
      </c>
      <c r="B185" t="inlineStr">
        <is>
          <t>보령</t>
        </is>
      </c>
      <c r="C185" t="inlineStr">
        <is>
          <t>(주)보령</t>
        </is>
      </c>
      <c r="D185" t="inlineStr">
        <is>
          <t>충청남도 예산군 응봉면 충서로 254</t>
        </is>
      </c>
      <c r="E185" t="inlineStr">
        <is>
          <t>완제의약품</t>
        </is>
      </c>
      <c r="F185" t="inlineStr">
        <is>
          <t>비무균-일반제제-내용고형제(정제, 캡슐제, 구강붕해정, 츄어블정(저작정)), 무균-세포독성항암제제-주사제(주사제, 동결건조주사제)</t>
        </is>
      </c>
      <c r="G185" s="32" t="n">
        <v>46960</v>
      </c>
      <c r="H185">
        <f>IF(COUNTIFS($B$2:B185,B185,$D$2:D185,D185)=1,1,0)</f>
        <v/>
      </c>
      <c r="I185">
        <f>IF(OR(LEFT(F185,2)="무균",ISNUMBER(SEARCH("주사제",F185))),"Y","")</f>
        <v/>
      </c>
      <c r="J185">
        <f>IF(LEFT(F185,2)="생물","Y","")</f>
        <v/>
      </c>
    </row>
    <row r="186">
      <c r="A186" t="inlineStr">
        <is>
          <t>S185</t>
        </is>
      </c>
      <c r="B186" t="inlineStr">
        <is>
          <t>보령</t>
        </is>
      </c>
      <c r="C186" t="inlineStr">
        <is>
          <t>(주)보령</t>
        </is>
      </c>
      <c r="D186" t="inlineStr">
        <is>
          <t>충청남도 예산군 응봉면 충서로 254</t>
        </is>
      </c>
      <c r="E186" t="inlineStr">
        <is>
          <t>원료의약품</t>
        </is>
      </c>
      <c r="F186" t="inlineStr">
        <is>
          <t>비무균-일반제제-과립</t>
        </is>
      </c>
      <c r="G186" s="32" t="n">
        <v>46960</v>
      </c>
      <c r="H186">
        <f>IF(COUNTIFS($B$2:B186,B186,$D$2:D186,D186)=1,1,0)</f>
        <v/>
      </c>
      <c r="I186">
        <f>IF(OR(LEFT(F186,2)="무균",ISNUMBER(SEARCH("주사제",F186))),"Y","")</f>
        <v/>
      </c>
      <c r="J186">
        <f>IF(LEFT(F186,2)="생물","Y","")</f>
        <v/>
      </c>
    </row>
    <row r="187">
      <c r="A187" t="inlineStr">
        <is>
          <t>S186</t>
        </is>
      </c>
      <c r="B187" t="inlineStr">
        <is>
          <t>펩트론</t>
        </is>
      </c>
      <c r="C187" t="inlineStr">
        <is>
          <t>(주)펩트론</t>
        </is>
      </c>
      <c r="D187" t="inlineStr">
        <is>
          <t>충청북도 청주시 흥덕구 오송읍 의료단지길 135</t>
        </is>
      </c>
      <c r="E187" t="inlineStr">
        <is>
          <t>완제의약품</t>
        </is>
      </c>
      <c r="F187" t="inlineStr">
        <is>
          <t>무균-일반제제-주사제(동결건조주사제)</t>
        </is>
      </c>
      <c r="G187" s="32" t="n">
        <v>46958</v>
      </c>
      <c r="H187">
        <f>IF(COUNTIFS($B$2:B187,B187,$D$2:D187,D187)=1,1,0)</f>
        <v/>
      </c>
      <c r="I187">
        <f>IF(OR(LEFT(F187,2)="무균",ISNUMBER(SEARCH("주사제",F187))),"Y","")</f>
        <v/>
      </c>
      <c r="J187">
        <f>IF(LEFT(F187,2)="생물","Y","")</f>
        <v/>
      </c>
    </row>
    <row r="188">
      <c r="A188" t="inlineStr">
        <is>
          <t>S187</t>
        </is>
      </c>
      <c r="B188" t="inlineStr">
        <is>
          <t>초당약품공업</t>
        </is>
      </c>
      <c r="C188" t="inlineStr">
        <is>
          <t>초당약품공업(주)</t>
        </is>
      </c>
      <c r="D188" t="inlineStr">
        <is>
          <t>경기도 안산시 단원구 별망로 381</t>
        </is>
      </c>
      <c r="E188" t="inlineStr">
        <is>
          <t>완제의약품</t>
        </is>
      </c>
      <c r="F188" t="inlineStr">
        <is>
          <t>비무균-일반제제-내용고형제(정제, 캡슐제)</t>
        </is>
      </c>
      <c r="G188" s="32" t="n">
        <v>46956</v>
      </c>
      <c r="H188">
        <f>IF(COUNTIFS($B$2:B188,B188,$D$2:D188,D188)=1,1,0)</f>
        <v/>
      </c>
      <c r="I188">
        <f>IF(OR(LEFT(F188,2)="무균",ISNUMBER(SEARCH("주사제",F188))),"Y","")</f>
        <v/>
      </c>
      <c r="J188">
        <f>IF(LEFT(F188,2)="생물","Y","")</f>
        <v/>
      </c>
    </row>
    <row r="189">
      <c r="A189" t="inlineStr">
        <is>
          <t>S188</t>
        </is>
      </c>
      <c r="B189" t="inlineStr">
        <is>
          <t>일화</t>
        </is>
      </c>
      <c r="C189" t="inlineStr">
        <is>
          <t>(주)일화</t>
        </is>
      </c>
      <c r="D189" t="inlineStr">
        <is>
          <t>강원특별자치도 춘천시 동내면 거두단지2길 55</t>
        </is>
      </c>
      <c r="E189" t="inlineStr">
        <is>
          <t>완제의약품</t>
        </is>
      </c>
      <c r="F189" t="inlineStr">
        <is>
          <t>비무균-일반제제-내용고형제(정제, 캡슐제), 비무균-일반제제-내용액제(경구용액제)</t>
        </is>
      </c>
      <c r="G189" s="32" t="n">
        <v>46955</v>
      </c>
      <c r="H189">
        <f>IF(COUNTIFS($B$2:B189,B189,$D$2:D189,D189)=1,1,0)</f>
        <v/>
      </c>
      <c r="I189">
        <f>IF(OR(LEFT(F189,2)="무균",ISNUMBER(SEARCH("주사제",F189))),"Y","")</f>
        <v/>
      </c>
      <c r="J189">
        <f>IF(LEFT(F189,2)="생물","Y","")</f>
        <v/>
      </c>
    </row>
    <row r="190">
      <c r="A190" t="inlineStr">
        <is>
          <t>S189</t>
        </is>
      </c>
      <c r="B190" t="inlineStr">
        <is>
          <t>삼덕가스공업</t>
        </is>
      </c>
      <c r="C190" t="inlineStr">
        <is>
          <t>삼덕가스공업(주)</t>
        </is>
      </c>
      <c r="D190" t="inlineStr">
        <is>
          <t>경기도 김포시 조리미로 14-1</t>
        </is>
      </c>
      <c r="E190" t="inlineStr">
        <is>
          <t>완제의약품</t>
        </is>
      </c>
      <c r="F190" t="inlineStr">
        <is>
          <t>비무균-일반제제(의료용 고압가스)-가스제(의료용 고압가스)</t>
        </is>
      </c>
      <c r="G190" s="32" t="n">
        <v>46954</v>
      </c>
      <c r="H190">
        <f>IF(COUNTIFS($B$2:B190,B190,$D$2:D190,D190)=1,1,0)</f>
        <v/>
      </c>
      <c r="I190">
        <f>IF(OR(LEFT(F190,2)="무균",ISNUMBER(SEARCH("주사제",F190))),"Y","")</f>
        <v/>
      </c>
      <c r="J190">
        <f>IF(LEFT(F190,2)="생물","Y","")</f>
        <v/>
      </c>
    </row>
    <row r="191">
      <c r="A191" t="inlineStr">
        <is>
          <t>S190</t>
        </is>
      </c>
      <c r="B191" t="inlineStr">
        <is>
          <t>신원산업</t>
        </is>
      </c>
      <c r="C191" t="inlineStr">
        <is>
          <t>신원산업(주)</t>
        </is>
      </c>
      <c r="D191" t="inlineStr">
        <is>
          <t>충청북도 음성군 삼성면 덕호로 189</t>
        </is>
      </c>
      <c r="E191" t="inlineStr">
        <is>
          <t>원료의약품</t>
        </is>
      </c>
      <c r="F191" t="inlineStr">
        <is>
          <t>비무균-일반제제-합성</t>
        </is>
      </c>
      <c r="G191" s="32" t="n">
        <v>46953</v>
      </c>
      <c r="H191">
        <f>IF(COUNTIFS($B$2:B191,B191,$D$2:D191,D191)=1,1,0)</f>
        <v/>
      </c>
      <c r="I191">
        <f>IF(OR(LEFT(F191,2)="무균",ISNUMBER(SEARCH("주사제",F191))),"Y","")</f>
        <v/>
      </c>
      <c r="J191">
        <f>IF(LEFT(F191,2)="생물","Y","")</f>
        <v/>
      </c>
    </row>
    <row r="192">
      <c r="A192" t="inlineStr">
        <is>
          <t>S191</t>
        </is>
      </c>
      <c r="B192" t="inlineStr">
        <is>
          <t>단일시스켐</t>
        </is>
      </c>
      <c r="C192" t="inlineStr">
        <is>
          <t>단일시스켐(주)</t>
        </is>
      </c>
      <c r="D192" t="inlineStr">
        <is>
          <t>경기도 화성시 정남면 만년로98번길 24</t>
        </is>
      </c>
      <c r="E192" t="inlineStr">
        <is>
          <t>완제의약품</t>
        </is>
      </c>
      <c r="F192" t="inlineStr">
        <is>
          <t>비무균-일반제제(의료용 고압가스)-가스제(의료용 고압가스)</t>
        </is>
      </c>
      <c r="G192" s="32" t="n">
        <v>46953</v>
      </c>
      <c r="H192">
        <f>IF(COUNTIFS($B$2:B192,B192,$D$2:D192,D192)=1,1,0)</f>
        <v/>
      </c>
      <c r="I192">
        <f>IF(OR(LEFT(F192,2)="무균",ISNUMBER(SEARCH("주사제",F192))),"Y","")</f>
        <v/>
      </c>
      <c r="J192">
        <f>IF(LEFT(F192,2)="생물","Y","")</f>
        <v/>
      </c>
    </row>
    <row r="193">
      <c r="A193" t="inlineStr">
        <is>
          <t>S192</t>
        </is>
      </c>
      <c r="B193" t="inlineStr">
        <is>
          <t>한국비엔씨</t>
        </is>
      </c>
      <c r="C193" t="inlineStr">
        <is>
          <t>(주)한국비엔씨</t>
        </is>
      </c>
      <c r="D193" t="inlineStr">
        <is>
          <t>세종특별자치시 소정면 소정산단북로 7</t>
        </is>
      </c>
      <c r="E193" t="inlineStr">
        <is>
          <t>원료의약품</t>
        </is>
      </c>
      <c r="F193" t="inlineStr">
        <is>
          <t>생물-독소-(배양, 정제, 원액 제조)</t>
        </is>
      </c>
      <c r="G193" s="32" t="n">
        <v>46952</v>
      </c>
      <c r="H193">
        <f>IF(COUNTIFS($B$2:B193,B193,$D$2:D193,D193)=1,1,0)</f>
        <v/>
      </c>
      <c r="I193">
        <f>IF(OR(LEFT(F193,2)="무균",ISNUMBER(SEARCH("주사제",F193))),"Y","")</f>
        <v/>
      </c>
      <c r="J193">
        <f>IF(LEFT(F193,2)="생물","Y","")</f>
        <v/>
      </c>
    </row>
    <row r="194">
      <c r="A194" t="inlineStr">
        <is>
          <t>S193</t>
        </is>
      </c>
      <c r="B194" t="inlineStr">
        <is>
          <t>삼흥에너지</t>
        </is>
      </c>
      <c r="C194" t="inlineStr">
        <is>
          <t>(주)삼흥에너지</t>
        </is>
      </c>
      <c r="D194" t="inlineStr">
        <is>
          <t>경상남도 김해시 장유면 장유로55번길 40</t>
        </is>
      </c>
      <c r="E194" t="inlineStr">
        <is>
          <t>완제의약품</t>
        </is>
      </c>
      <c r="F194" t="inlineStr">
        <is>
          <t>비무균-일반제제(의료용 고압가스)-가스제(의료용 고압가스)</t>
        </is>
      </c>
      <c r="G194" s="32" t="n">
        <v>46952</v>
      </c>
      <c r="H194">
        <f>IF(COUNTIFS($B$2:B194,B194,$D$2:D194,D194)=1,1,0)</f>
        <v/>
      </c>
      <c r="I194">
        <f>IF(OR(LEFT(F194,2)="무균",ISNUMBER(SEARCH("주사제",F194))),"Y","")</f>
        <v/>
      </c>
      <c r="J194">
        <f>IF(LEFT(F194,2)="생물","Y","")</f>
        <v/>
      </c>
    </row>
    <row r="195">
      <c r="A195" t="inlineStr">
        <is>
          <t>S194</t>
        </is>
      </c>
      <c r="B195" t="inlineStr">
        <is>
          <t>대상</t>
        </is>
      </c>
      <c r="C195" t="inlineStr">
        <is>
          <t>대상(주)</t>
        </is>
      </c>
      <c r="D195" t="inlineStr">
        <is>
          <t>전북특별자치도 군산시 외항1길 208 GMP동, 사무동 3층(시험실)</t>
        </is>
      </c>
      <c r="E195" t="inlineStr">
        <is>
          <t>원료의약품</t>
        </is>
      </c>
      <c r="F195" t="inlineStr">
        <is>
          <t>비무균-일반제제-정제(발효에 한함)</t>
        </is>
      </c>
      <c r="G195" s="32" t="n">
        <v>46952</v>
      </c>
      <c r="H195">
        <f>IF(COUNTIFS($B$2:B195,B195,$D$2:D195,D195)=1,1,0)</f>
        <v/>
      </c>
      <c r="I195">
        <f>IF(OR(LEFT(F195,2)="무균",ISNUMBER(SEARCH("주사제",F195))),"Y","")</f>
        <v/>
      </c>
      <c r="J195">
        <f>IF(LEFT(F195,2)="생물","Y","")</f>
        <v/>
      </c>
    </row>
    <row r="196">
      <c r="A196" t="inlineStr">
        <is>
          <t>S195</t>
        </is>
      </c>
      <c r="B196" t="inlineStr">
        <is>
          <t>한미약품</t>
        </is>
      </c>
      <c r="C196" t="inlineStr">
        <is>
          <t>한미약품(주)</t>
        </is>
      </c>
      <c r="D196" t="inlineStr">
        <is>
          <t>경기도 화성시 만세구 팔탄면 무하로 214</t>
        </is>
      </c>
      <c r="E196" t="inlineStr">
        <is>
          <t>완제의약품</t>
        </is>
      </c>
      <c r="F196" t="inlineStr">
        <is>
          <t>비무균-일반제제-내용고형제(정제, 캡슐제, 산제, 흡입제(고형), 구강붕해정, 츄어블정(저작정)), 무균-일반제제-점안제(점안제)</t>
        </is>
      </c>
      <c r="G196" s="32" t="n">
        <v>46948</v>
      </c>
      <c r="H196">
        <f>IF(COUNTIFS($B$2:B196,B196,$D$2:D196,D196)=1,1,0)</f>
        <v/>
      </c>
      <c r="I196">
        <f>IF(OR(LEFT(F196,2)="무균",ISNUMBER(SEARCH("주사제",F196))),"Y","")</f>
        <v/>
      </c>
      <c r="J196">
        <f>IF(LEFT(F196,2)="생물","Y","")</f>
        <v/>
      </c>
    </row>
    <row r="197">
      <c r="A197" t="inlineStr">
        <is>
          <t>S196</t>
        </is>
      </c>
      <c r="B197" t="inlineStr">
        <is>
          <t>휴메딕스</t>
        </is>
      </c>
      <c r="C197" t="inlineStr">
        <is>
          <t>(주)휴메딕스</t>
        </is>
      </c>
      <c r="D197" t="inlineStr">
        <is>
          <t>충청북도 제천시 바이오밸리2로 17</t>
        </is>
      </c>
      <c r="E197" t="inlineStr">
        <is>
          <t>원료의약품</t>
        </is>
      </c>
      <c r="F197" t="inlineStr">
        <is>
          <t>무균-일반제제-합성, 비무균-일반제제-추출</t>
        </is>
      </c>
      <c r="G197" s="32" t="n">
        <v>46948</v>
      </c>
      <c r="H197">
        <f>IF(COUNTIFS($B$2:B197,B197,$D$2:D197,D197)=1,1,0)</f>
        <v/>
      </c>
      <c r="I197">
        <f>IF(OR(LEFT(F197,2)="무균",ISNUMBER(SEARCH("주사제",F197))),"Y","")</f>
        <v/>
      </c>
      <c r="J197">
        <f>IF(LEFT(F197,2)="생물","Y","")</f>
        <v/>
      </c>
    </row>
    <row r="198">
      <c r="A198" t="inlineStr">
        <is>
          <t>S197</t>
        </is>
      </c>
      <c r="B198" t="inlineStr">
        <is>
          <t>휴메딕스</t>
        </is>
      </c>
      <c r="C198" t="inlineStr">
        <is>
          <t>(주)휴메딕스</t>
        </is>
      </c>
      <c r="D198" t="inlineStr">
        <is>
          <t>충청북도 제천시 바이오밸리2로 17</t>
        </is>
      </c>
      <c r="E198" t="inlineStr">
        <is>
          <t>완제의약품</t>
        </is>
      </c>
      <c r="F198" t="inlineStr">
        <is>
          <t>무균-일반제제-주사제(주사제, 동결건조주사제), 무균-일반제제-점안제(점안제)</t>
        </is>
      </c>
      <c r="G198" s="32" t="n">
        <v>46948</v>
      </c>
      <c r="H198">
        <f>IF(COUNTIFS($B$2:B198,B198,$D$2:D198,D198)=1,1,0)</f>
        <v/>
      </c>
      <c r="I198">
        <f>IF(OR(LEFT(F198,2)="무균",ISNUMBER(SEARCH("주사제",F198))),"Y","")</f>
        <v/>
      </c>
      <c r="J198">
        <f>IF(LEFT(F198,2)="생물","Y","")</f>
        <v/>
      </c>
    </row>
    <row r="199">
      <c r="A199" t="inlineStr">
        <is>
          <t>S198</t>
        </is>
      </c>
      <c r="B199" t="inlineStr">
        <is>
          <t>한국코러스</t>
        </is>
      </c>
      <c r="C199" t="inlineStr">
        <is>
          <t>한국코러스(주)</t>
        </is>
      </c>
      <c r="D199" t="inlineStr">
        <is>
          <t>강원특별자치도 춘천시 동내면 거두단지 1길11</t>
        </is>
      </c>
      <c r="E199" t="inlineStr">
        <is>
          <t>완제의약품</t>
        </is>
      </c>
      <c r="F199" t="inlineStr">
        <is>
          <t>무균-일반제제-주사제(주사제, 동결건조주사제), 생물-유전자재조합의약품-주사제(주사제)</t>
        </is>
      </c>
      <c r="G199" s="32" t="n">
        <v>46947</v>
      </c>
      <c r="H199">
        <f>IF(COUNTIFS($B$2:B199,B199,$D$2:D199,D199)=1,1,0)</f>
        <v/>
      </c>
      <c r="I199">
        <f>IF(OR(LEFT(F199,2)="무균",ISNUMBER(SEARCH("주사제",F199))),"Y","")</f>
        <v/>
      </c>
      <c r="J199">
        <f>IF(LEFT(F199,2)="생물","Y","")</f>
        <v/>
      </c>
    </row>
    <row r="200">
      <c r="A200" t="inlineStr">
        <is>
          <t>S199</t>
        </is>
      </c>
      <c r="B200" t="inlineStr">
        <is>
          <t>경동제약</t>
        </is>
      </c>
      <c r="C200" t="inlineStr">
        <is>
          <t>경동제약(주)</t>
        </is>
      </c>
      <c r="D200" t="inlineStr">
        <is>
          <t>경기도 화성시 만세구 향남읍 발안공단로2길 15</t>
        </is>
      </c>
      <c r="E200" t="inlineStr">
        <is>
          <t>원료의약품</t>
        </is>
      </c>
      <c r="F200" t="inlineStr">
        <is>
          <t>비무균-일반제제-합성</t>
        </is>
      </c>
      <c r="G200" s="32" t="n">
        <v>46947</v>
      </c>
      <c r="H200">
        <f>IF(COUNTIFS($B$2:B200,B200,$D$2:D200,D200)=1,1,0)</f>
        <v/>
      </c>
      <c r="I200">
        <f>IF(OR(LEFT(F200,2)="무균",ISNUMBER(SEARCH("주사제",F200))),"Y","")</f>
        <v/>
      </c>
      <c r="J200">
        <f>IF(LEFT(F200,2)="생물","Y","")</f>
        <v/>
      </c>
    </row>
    <row r="201">
      <c r="A201" t="inlineStr">
        <is>
          <t>S200</t>
        </is>
      </c>
      <c r="B201" t="inlineStr">
        <is>
          <t>원광제약</t>
        </is>
      </c>
      <c r="C201" t="inlineStr">
        <is>
          <t>원광제약(주)</t>
        </is>
      </c>
      <c r="D201" t="inlineStr">
        <is>
          <t>전북특별자치도 익산시 춘포면 석암로11길 165</t>
        </is>
      </c>
      <c r="E201" t="inlineStr">
        <is>
          <t>완제의약품</t>
        </is>
      </c>
      <c r="F201" t="inlineStr">
        <is>
          <t>비무균-성호르몬제-내용액제(현탁제), 비무균-일반제제-그 밖의 고형제(혈액투석제(고형))</t>
        </is>
      </c>
      <c r="G201" s="32" t="n">
        <v>46947</v>
      </c>
      <c r="H201">
        <f>IF(COUNTIFS($B$2:B201,B201,$D$2:D201,D201)=1,1,0)</f>
        <v/>
      </c>
      <c r="I201">
        <f>IF(OR(LEFT(F201,2)="무균",ISNUMBER(SEARCH("주사제",F201))),"Y","")</f>
        <v/>
      </c>
      <c r="J201">
        <f>IF(LEFT(F201,2)="생물","Y","")</f>
        <v/>
      </c>
    </row>
    <row r="202">
      <c r="A202" t="inlineStr">
        <is>
          <t>S201</t>
        </is>
      </c>
      <c r="B202" t="inlineStr">
        <is>
          <t>조아제약</t>
        </is>
      </c>
      <c r="C202" t="inlineStr">
        <is>
          <t>조아제약(주)</t>
        </is>
      </c>
      <c r="D202" t="inlineStr">
        <is>
          <t>경상남도 함안군 함안면 광정로 318</t>
        </is>
      </c>
      <c r="E202" t="inlineStr">
        <is>
          <t>완제의약품</t>
        </is>
      </c>
      <c r="F202" t="inlineStr">
        <is>
          <t>비무균-일반제제-내용고형제(정제, 캡슐제), 비무균-일반제제-내용액제(경구용액제, 시럽제(액상))</t>
        </is>
      </c>
      <c r="G202" s="32" t="n">
        <v>46947</v>
      </c>
      <c r="H202">
        <f>IF(COUNTIFS($B$2:B202,B202,$D$2:D202,D202)=1,1,0)</f>
        <v/>
      </c>
      <c r="I202">
        <f>IF(OR(LEFT(F202,2)="무균",ISNUMBER(SEARCH("주사제",F202))),"Y","")</f>
        <v/>
      </c>
      <c r="J202">
        <f>IF(LEFT(F202,2)="생물","Y","")</f>
        <v/>
      </c>
    </row>
    <row r="203">
      <c r="A203" t="inlineStr">
        <is>
          <t>S202</t>
        </is>
      </c>
      <c r="B203" t="inlineStr">
        <is>
          <t>이니스트에스티</t>
        </is>
      </c>
      <c r="C203" t="inlineStr">
        <is>
          <t>이니스트에스티(주)</t>
        </is>
      </c>
      <c r="D203" t="inlineStr">
        <is>
          <t>충청북도 청주시 흥덕구 오송읍 오송생명6로 54</t>
        </is>
      </c>
      <c r="E203" t="inlineStr">
        <is>
          <t>원료의약품</t>
        </is>
      </c>
      <c r="F203" t="inlineStr">
        <is>
          <t>비무균-일반제제-합성</t>
        </is>
      </c>
      <c r="G203" s="32" t="n">
        <v>46946</v>
      </c>
      <c r="H203">
        <f>IF(COUNTIFS($B$2:B203,B203,$D$2:D203,D203)=1,1,0)</f>
        <v/>
      </c>
      <c r="I203">
        <f>IF(OR(LEFT(F203,2)="무균",ISNUMBER(SEARCH("주사제",F203))),"Y","")</f>
        <v/>
      </c>
      <c r="J203">
        <f>IF(LEFT(F203,2)="생물","Y","")</f>
        <v/>
      </c>
    </row>
    <row r="204">
      <c r="A204" t="inlineStr">
        <is>
          <t>S203</t>
        </is>
      </c>
      <c r="B204" t="inlineStr">
        <is>
          <t>태을산업가스</t>
        </is>
      </c>
      <c r="C204" t="inlineStr">
        <is>
          <t>태을산업가스(주)</t>
        </is>
      </c>
      <c r="D204" t="inlineStr">
        <is>
          <t>충청남도 아산시 영인면 영인산로 494</t>
        </is>
      </c>
      <c r="E204" t="inlineStr">
        <is>
          <t>완제의약품</t>
        </is>
      </c>
      <c r="F204" t="inlineStr">
        <is>
          <t>비무균-일반제제(의료용 고압가스)-가스제(의료용 고압가스)</t>
        </is>
      </c>
      <c r="G204" s="32" t="n">
        <v>46946</v>
      </c>
      <c r="H204">
        <f>IF(COUNTIFS($B$2:B204,B204,$D$2:D204,D204)=1,1,0)</f>
        <v/>
      </c>
      <c r="I204">
        <f>IF(OR(LEFT(F204,2)="무균",ISNUMBER(SEARCH("주사제",F204))),"Y","")</f>
        <v/>
      </c>
      <c r="J204">
        <f>IF(LEFT(F204,2)="생물","Y","")</f>
        <v/>
      </c>
    </row>
    <row r="205">
      <c r="A205" t="inlineStr">
        <is>
          <t>S204</t>
        </is>
      </c>
      <c r="B205" t="inlineStr">
        <is>
          <t>대창가스</t>
        </is>
      </c>
      <c r="C205" t="inlineStr">
        <is>
          <t>(주)대창가스</t>
        </is>
      </c>
      <c r="D205" t="inlineStr">
        <is>
          <t>경상남도 진주시 돗골로 61</t>
        </is>
      </c>
      <c r="E205" t="inlineStr">
        <is>
          <t>완제의약품</t>
        </is>
      </c>
      <c r="F205" t="inlineStr">
        <is>
          <t>비무균-일반제제(의료용 고압가스)-가스제(의료용 고압가스)</t>
        </is>
      </c>
      <c r="G205" s="32" t="n">
        <v>46945</v>
      </c>
      <c r="H205">
        <f>IF(COUNTIFS($B$2:B205,B205,$D$2:D205,D205)=1,1,0)</f>
        <v/>
      </c>
      <c r="I205">
        <f>IF(OR(LEFT(F205,2)="무균",ISNUMBER(SEARCH("주사제",F205))),"Y","")</f>
        <v/>
      </c>
      <c r="J205">
        <f>IF(LEFT(F205,2)="생물","Y","")</f>
        <v/>
      </c>
    </row>
    <row r="206">
      <c r="A206" t="inlineStr">
        <is>
          <t>S205</t>
        </is>
      </c>
      <c r="B206" t="inlineStr">
        <is>
          <t>중부산업가스</t>
        </is>
      </c>
      <c r="C206" t="inlineStr">
        <is>
          <t>중부산업가스(주)</t>
        </is>
      </c>
      <c r="D206" t="inlineStr">
        <is>
          <t>세종특별자치시 부강면 시목부강로 622</t>
        </is>
      </c>
      <c r="E206" t="inlineStr">
        <is>
          <t>완제의약품</t>
        </is>
      </c>
      <c r="F206" t="inlineStr">
        <is>
          <t>비무균-일반제제(의료용 고압가스)-가스제(의료용 고압가스)</t>
        </is>
      </c>
      <c r="G206" s="32" t="n">
        <v>46944</v>
      </c>
      <c r="H206">
        <f>IF(COUNTIFS($B$2:B206,B206,$D$2:D206,D206)=1,1,0)</f>
        <v/>
      </c>
      <c r="I206">
        <f>IF(OR(LEFT(F206,2)="무균",ISNUMBER(SEARCH("주사제",F206))),"Y","")</f>
        <v/>
      </c>
      <c r="J206">
        <f>IF(LEFT(F206,2)="생물","Y","")</f>
        <v/>
      </c>
    </row>
    <row r="207">
      <c r="A207" t="inlineStr">
        <is>
          <t>S206</t>
        </is>
      </c>
      <c r="B207" t="inlineStr">
        <is>
          <t>한국한의약진흥원</t>
        </is>
      </c>
      <c r="C207" t="inlineStr">
        <is>
          <t>한국한의약진흥원</t>
        </is>
      </c>
      <c r="D207" t="inlineStr">
        <is>
          <t>대구광역시 동구 혁신대로78길 3 한약제제생산센터</t>
        </is>
      </c>
      <c r="E207" t="inlineStr">
        <is>
          <t>완제의약품</t>
        </is>
      </c>
      <c r="F207" t="inlineStr">
        <is>
          <t>비무균-일반제제-내용고형제(정제, 캡슐제), 비무균-일반제제-내용액제(엑스제(액상))</t>
        </is>
      </c>
      <c r="G207" s="32" t="n">
        <v>46944</v>
      </c>
      <c r="H207">
        <f>IF(COUNTIFS($B$2:B207,B207,$D$2:D207,D207)=1,1,0)</f>
        <v/>
      </c>
      <c r="I207">
        <f>IF(OR(LEFT(F207,2)="무균",ISNUMBER(SEARCH("주사제",F207))),"Y","")</f>
        <v/>
      </c>
      <c r="J207">
        <f>IF(LEFT(F207,2)="생물","Y","")</f>
        <v/>
      </c>
    </row>
    <row r="208">
      <c r="A208" t="inlineStr">
        <is>
          <t>S207</t>
        </is>
      </c>
      <c r="B208" t="inlineStr">
        <is>
          <t>제이더블유생명과학</t>
        </is>
      </c>
      <c r="C208" t="inlineStr">
        <is>
          <t>제이더블유생명과학(주)</t>
        </is>
      </c>
      <c r="D208" t="inlineStr">
        <is>
          <t>충청남도 당진시 송악읍 한진1길 28</t>
        </is>
      </c>
      <c r="E208" t="inlineStr">
        <is>
          <t>완제의약품</t>
        </is>
      </c>
      <c r="F208" t="inlineStr">
        <is>
          <t>무균-일반제제-주사제(수액제, 관류제), 비무균-일반제제-외용액제(투석제(액상))</t>
        </is>
      </c>
      <c r="G208" s="32" t="n">
        <v>46941</v>
      </c>
      <c r="H208">
        <f>IF(COUNTIFS($B$2:B208,B208,$D$2:D208,D208)=1,1,0)</f>
        <v/>
      </c>
      <c r="I208">
        <f>IF(OR(LEFT(F208,2)="무균",ISNUMBER(SEARCH("주사제",F208))),"Y","")</f>
        <v/>
      </c>
      <c r="J208">
        <f>IF(LEFT(F208,2)="생물","Y","")</f>
        <v/>
      </c>
    </row>
    <row r="209">
      <c r="A209" t="inlineStr">
        <is>
          <t>S208</t>
        </is>
      </c>
      <c r="B209" t="inlineStr">
        <is>
          <t>일동제약</t>
        </is>
      </c>
      <c r="C209" t="inlineStr">
        <is>
          <t>일동제약(주)</t>
        </is>
      </c>
      <c r="D209" t="inlineStr">
        <is>
          <t>충청북도 청주시 흥덕구 공단로98번길 53</t>
        </is>
      </c>
      <c r="E209" t="inlineStr">
        <is>
          <t>원료의약품</t>
        </is>
      </c>
      <c r="F209" t="inlineStr">
        <is>
          <t>비무균-일반제제-합성</t>
        </is>
      </c>
      <c r="G209" s="32" t="n">
        <v>46940</v>
      </c>
      <c r="H209">
        <f>IF(COUNTIFS($B$2:B209,B209,$D$2:D209,D209)=1,1,0)</f>
        <v/>
      </c>
      <c r="I209">
        <f>IF(OR(LEFT(F209,2)="무균",ISNUMBER(SEARCH("주사제",F209))),"Y","")</f>
        <v/>
      </c>
      <c r="J209">
        <f>IF(LEFT(F209,2)="생물","Y","")</f>
        <v/>
      </c>
    </row>
    <row r="210">
      <c r="A210" t="inlineStr">
        <is>
          <t>S209</t>
        </is>
      </c>
      <c r="B210" t="inlineStr">
        <is>
          <t>린데코리아</t>
        </is>
      </c>
      <c r="C210" t="inlineStr">
        <is>
          <t>린데코리아주식회사</t>
        </is>
      </c>
      <c r="D210" t="inlineStr">
        <is>
          <t>경기도 용인시 기흥구 삼성2로96번길 20</t>
        </is>
      </c>
      <c r="E210" t="inlineStr">
        <is>
          <t>완제의약품</t>
        </is>
      </c>
      <c r="F210" t="inlineStr">
        <is>
          <t>비무균-일반제제(의료용 고압가스)-가스제(의료용 고압가스)</t>
        </is>
      </c>
      <c r="G210" s="32" t="n">
        <v>46939</v>
      </c>
      <c r="H210">
        <f>IF(COUNTIFS($B$2:B210,B210,$D$2:D210,D210)=1,1,0)</f>
        <v/>
      </c>
      <c r="I210">
        <f>IF(OR(LEFT(F210,2)="무균",ISNUMBER(SEARCH("주사제",F210))),"Y","")</f>
        <v/>
      </c>
      <c r="J210">
        <f>IF(LEFT(F210,2)="생물","Y","")</f>
        <v/>
      </c>
    </row>
    <row r="211">
      <c r="A211" t="inlineStr">
        <is>
          <t>S210</t>
        </is>
      </c>
      <c r="B211" t="inlineStr">
        <is>
          <t>이화산소</t>
        </is>
      </c>
      <c r="C211" t="inlineStr">
        <is>
          <t>이화산소(주)</t>
        </is>
      </c>
      <c r="D211" t="inlineStr">
        <is>
          <t>인천광역시 서구 가정로58번길 32</t>
        </is>
      </c>
      <c r="E211" t="inlineStr">
        <is>
          <t>완제의약품</t>
        </is>
      </c>
      <c r="F211" t="inlineStr">
        <is>
          <t>비무균-일반제제(의료용 고압가스)-가스제(의료용 고압가스)</t>
        </is>
      </c>
      <c r="G211" s="32" t="n">
        <v>46938</v>
      </c>
      <c r="H211">
        <f>IF(COUNTIFS($B$2:B211,B211,$D$2:D211,D211)=1,1,0)</f>
        <v/>
      </c>
      <c r="I211">
        <f>IF(OR(LEFT(F211,2)="무균",ISNUMBER(SEARCH("주사제",F211))),"Y","")</f>
        <v/>
      </c>
      <c r="J211">
        <f>IF(LEFT(F211,2)="생물","Y","")</f>
        <v/>
      </c>
    </row>
    <row r="212">
      <c r="A212" t="inlineStr">
        <is>
          <t>S211</t>
        </is>
      </c>
      <c r="B212" t="inlineStr">
        <is>
          <t>루텍</t>
        </is>
      </c>
      <c r="C212" t="inlineStr">
        <is>
          <t>(주)루텍</t>
        </is>
      </c>
      <c r="D212" t="inlineStr">
        <is>
          <t>충청북도 청주시 흥덕구 공단로98번길 53-1</t>
        </is>
      </c>
      <c r="E212" t="inlineStr">
        <is>
          <t>원료의약품</t>
        </is>
      </c>
      <c r="F212" t="inlineStr">
        <is>
          <t>무균-일반제제-발효</t>
        </is>
      </c>
      <c r="G212" s="32" t="n">
        <v>46934</v>
      </c>
      <c r="H212">
        <f>IF(COUNTIFS($B$2:B212,B212,$D$2:D212,D212)=1,1,0)</f>
        <v/>
      </c>
      <c r="I212">
        <f>IF(OR(LEFT(F212,2)="무균",ISNUMBER(SEARCH("주사제",F212))),"Y","")</f>
        <v/>
      </c>
      <c r="J212">
        <f>IF(LEFT(F212,2)="생물","Y","")</f>
        <v/>
      </c>
    </row>
    <row r="213">
      <c r="A213" t="inlineStr">
        <is>
          <t>S212</t>
        </is>
      </c>
      <c r="B213" t="inlineStr">
        <is>
          <t>일성아이에스</t>
        </is>
      </c>
      <c r="C213" t="inlineStr">
        <is>
          <t>일성아이에스(주)</t>
        </is>
      </c>
      <c r="D213" t="inlineStr">
        <is>
          <t>경기도 안산시 단원구 산단로 349 (B동제외,D동일부제외)</t>
        </is>
      </c>
      <c r="E213" t="inlineStr">
        <is>
          <t>완제의약품</t>
        </is>
      </c>
      <c r="F213" t="inlineStr">
        <is>
          <t>비무균-일반제제-내용고형제(정제, 캡슐제), 비무균-페니실린제제-내용고형제(정제, 시럽제(고형)), 무균-일반제제-주사제(주사제, 수액제), 비무균-일반제제-내용액제(흡입제(액상))</t>
        </is>
      </c>
      <c r="G213" s="32" t="n">
        <v>46934</v>
      </c>
      <c r="H213">
        <f>IF(COUNTIFS($B$2:B213,B213,$D$2:D213,D213)=1,1,0)</f>
        <v/>
      </c>
      <c r="I213">
        <f>IF(OR(LEFT(F213,2)="무균",ISNUMBER(SEARCH("주사제",F213))),"Y","")</f>
        <v/>
      </c>
      <c r="J213">
        <f>IF(LEFT(F213,2)="생물","Y","")</f>
        <v/>
      </c>
    </row>
    <row r="214">
      <c r="A214" t="inlineStr">
        <is>
          <t>S213</t>
        </is>
      </c>
      <c r="B214" t="inlineStr">
        <is>
          <t>씨에이치디제약</t>
        </is>
      </c>
      <c r="C214" t="inlineStr">
        <is>
          <t>씨에이치디제약주식회사</t>
        </is>
      </c>
      <c r="D214" t="inlineStr">
        <is>
          <t>경기도 부천시 원미구 정주로14번길 65</t>
        </is>
      </c>
      <c r="E214" t="inlineStr">
        <is>
          <t>완제의약품</t>
        </is>
      </c>
      <c r="F214" t="inlineStr">
        <is>
          <t>비무균-일반제제-내용고형제(산제)</t>
        </is>
      </c>
      <c r="G214" s="32" t="n">
        <v>46932</v>
      </c>
      <c r="H214">
        <f>IF(COUNTIFS($B$2:B214,B214,$D$2:D214,D214)=1,1,0)</f>
        <v/>
      </c>
      <c r="I214">
        <f>IF(OR(LEFT(F214,2)="무균",ISNUMBER(SEARCH("주사제",F214))),"Y","")</f>
        <v/>
      </c>
      <c r="J214">
        <f>IF(LEFT(F214,2)="생물","Y","")</f>
        <v/>
      </c>
    </row>
    <row r="215">
      <c r="A215" t="inlineStr">
        <is>
          <t>S214</t>
        </is>
      </c>
      <c r="B215" t="inlineStr">
        <is>
          <t>제뉴파마</t>
        </is>
      </c>
      <c r="C215" t="inlineStr">
        <is>
          <t>(주)제뉴파마</t>
        </is>
      </c>
      <c r="D215" t="inlineStr">
        <is>
          <t>충청북도 제천시 바이오밸리2로 93</t>
        </is>
      </c>
      <c r="E215" t="inlineStr">
        <is>
          <t>완제의약품</t>
        </is>
      </c>
      <c r="F215" t="inlineStr">
        <is>
          <t>비무균-일반제제-내용고형제(정제, 질정, 캡슐제, 시럽제(고형)), 비무균-일반제제-연고제(연고제, 크림제, 겔제)</t>
        </is>
      </c>
      <c r="G215" s="32" t="n">
        <v>46931</v>
      </c>
      <c r="H215">
        <f>IF(COUNTIFS($B$2:B215,B215,$D$2:D215,D215)=1,1,0)</f>
        <v/>
      </c>
      <c r="I215">
        <f>IF(OR(LEFT(F215,2)="무균",ISNUMBER(SEARCH("주사제",F215))),"Y","")</f>
        <v/>
      </c>
      <c r="J215">
        <f>IF(LEFT(F215,2)="생물","Y","")</f>
        <v/>
      </c>
    </row>
    <row r="216">
      <c r="A216" t="inlineStr">
        <is>
          <t>S215</t>
        </is>
      </c>
      <c r="B216" t="inlineStr">
        <is>
          <t>에어가스코리아</t>
        </is>
      </c>
      <c r="C216" t="inlineStr">
        <is>
          <t>주식회사에어가스코리아</t>
        </is>
      </c>
      <c r="D216" t="inlineStr">
        <is>
          <t>인천광역시 서구 가정로37번길 25</t>
        </is>
      </c>
      <c r="E216" t="inlineStr">
        <is>
          <t>완제의약품</t>
        </is>
      </c>
      <c r="F216" t="inlineStr">
        <is>
          <t>비무균-일반제제-가스제(의료용 고압가스)</t>
        </is>
      </c>
      <c r="G216" s="32" t="n">
        <v>46930</v>
      </c>
      <c r="H216">
        <f>IF(COUNTIFS($B$2:B216,B216,$D$2:D216,D216)=1,1,0)</f>
        <v/>
      </c>
      <c r="I216">
        <f>IF(OR(LEFT(F216,2)="무균",ISNUMBER(SEARCH("주사제",F216))),"Y","")</f>
        <v/>
      </c>
      <c r="J216">
        <f>IF(LEFT(F216,2)="생물","Y","")</f>
        <v/>
      </c>
    </row>
    <row r="217">
      <c r="A217" t="inlineStr">
        <is>
          <t>S216</t>
        </is>
      </c>
      <c r="B217" t="inlineStr">
        <is>
          <t>오스템파마</t>
        </is>
      </c>
      <c r="C217" t="inlineStr">
        <is>
          <t>오스템파마주식회사</t>
        </is>
      </c>
      <c r="D217" t="inlineStr">
        <is>
          <t>충청북도 청주시 흥덕구 오송읍 오송생명1로 265</t>
        </is>
      </c>
      <c r="E217" t="inlineStr">
        <is>
          <t>완제의약품</t>
        </is>
      </c>
      <c r="F217" t="inlineStr">
        <is>
          <t>비무균-일반제제-내용고형제(정제), 무균-일반제제-주사제(주사제)</t>
        </is>
      </c>
      <c r="G217" s="32" t="n">
        <v>46927</v>
      </c>
      <c r="H217">
        <f>IF(COUNTIFS($B$2:B217,B217,$D$2:D217,D217)=1,1,0)</f>
        <v/>
      </c>
      <c r="I217">
        <f>IF(OR(LEFT(F217,2)="무균",ISNUMBER(SEARCH("주사제",F217))),"Y","")</f>
        <v/>
      </c>
      <c r="J217">
        <f>IF(LEFT(F217,2)="생물","Y","")</f>
        <v/>
      </c>
    </row>
    <row r="218">
      <c r="A218" t="inlineStr">
        <is>
          <t>S217</t>
        </is>
      </c>
      <c r="B218" t="inlineStr">
        <is>
          <t>동국제약</t>
        </is>
      </c>
      <c r="C218" t="inlineStr">
        <is>
          <t>동국제약(주)</t>
        </is>
      </c>
      <c r="D218" t="inlineStr">
        <is>
          <t>충청북도 진천군 광혜원면 진광로 1103</t>
        </is>
      </c>
      <c r="E218" t="inlineStr">
        <is>
          <t>완제의약품</t>
        </is>
      </c>
      <c r="F218" t="inlineStr">
        <is>
          <t>무균-일반제제-주사제(주사제)</t>
        </is>
      </c>
      <c r="G218" s="32" t="n">
        <v>46927</v>
      </c>
      <c r="H218">
        <f>IF(COUNTIFS($B$2:B218,B218,$D$2:D218,D218)=1,1,0)</f>
        <v/>
      </c>
      <c r="I218">
        <f>IF(OR(LEFT(F218,2)="무균",ISNUMBER(SEARCH("주사제",F218))),"Y","")</f>
        <v/>
      </c>
      <c r="J218">
        <f>IF(LEFT(F218,2)="생물","Y","")</f>
        <v/>
      </c>
    </row>
    <row r="219">
      <c r="A219" t="inlineStr">
        <is>
          <t>S218</t>
        </is>
      </c>
      <c r="B219" t="inlineStr">
        <is>
          <t>동국제약</t>
        </is>
      </c>
      <c r="C219" t="inlineStr">
        <is>
          <t>동국제약(주)</t>
        </is>
      </c>
      <c r="D219" t="inlineStr">
        <is>
          <t>충청북도 진천군 광혜원면 진광로 1103</t>
        </is>
      </c>
      <c r="E219" t="inlineStr">
        <is>
          <t>원료의약품</t>
        </is>
      </c>
      <c r="F219" t="inlineStr">
        <is>
          <t>비무균-일반제제-합성, 무균-일반제제-발효, 비무균-일반제제-발효, 비무균-일반제제-추출</t>
        </is>
      </c>
      <c r="G219" s="32" t="n">
        <v>46927</v>
      </c>
      <c r="H219">
        <f>IF(COUNTIFS($B$2:B219,B219,$D$2:D219,D219)=1,1,0)</f>
        <v/>
      </c>
      <c r="I219">
        <f>IF(OR(LEFT(F219,2)="무균",ISNUMBER(SEARCH("주사제",F219))),"Y","")</f>
        <v/>
      </c>
      <c r="J219">
        <f>IF(LEFT(F219,2)="생물","Y","")</f>
        <v/>
      </c>
    </row>
    <row r="220">
      <c r="A220" t="inlineStr">
        <is>
          <t>S219</t>
        </is>
      </c>
      <c r="B220" t="inlineStr">
        <is>
          <t>나이벡</t>
        </is>
      </c>
      <c r="C220" t="inlineStr">
        <is>
          <t>(주)나이벡</t>
        </is>
      </c>
      <c r="D220" t="inlineStr">
        <is>
          <t>충청북도 진천군 이월면 밤디길 116</t>
        </is>
      </c>
      <c r="E220" t="inlineStr">
        <is>
          <t>원료의약품</t>
        </is>
      </c>
      <c r="F220" t="inlineStr">
        <is>
          <t>비무균-일반제제-합성</t>
        </is>
      </c>
      <c r="G220" s="32" t="n">
        <v>46927</v>
      </c>
      <c r="H220">
        <f>IF(COUNTIFS($B$2:B220,B220,$D$2:D220,D220)=1,1,0)</f>
        <v/>
      </c>
      <c r="I220">
        <f>IF(OR(LEFT(F220,2)="무균",ISNUMBER(SEARCH("주사제",F220))),"Y","")</f>
        <v/>
      </c>
      <c r="J220">
        <f>IF(LEFT(F220,2)="생물","Y","")</f>
        <v/>
      </c>
    </row>
    <row r="221">
      <c r="A221" t="inlineStr">
        <is>
          <t>S220</t>
        </is>
      </c>
      <c r="B221" t="inlineStr">
        <is>
          <t>한림제약</t>
        </is>
      </c>
      <c r="C221" t="inlineStr">
        <is>
          <t>한림제약(주)</t>
        </is>
      </c>
      <c r="D221" t="inlineStr">
        <is>
          <t>경기도 용인시 처인구 영문로 2-27</t>
        </is>
      </c>
      <c r="E221" t="inlineStr">
        <is>
          <t>완제의약품</t>
        </is>
      </c>
      <c r="F221" t="inlineStr">
        <is>
          <t>비무균-일반제제-내용고형제(정제, 캡슐제), 무균-일반제제-주사제(주사제, 동결건조주사제), 무균-일반제제-점안제(점안제), 비무균-일반제제-내용액제(경구용액제, 엘릭서제, 점비액제), 무균-일반제제-연고제(안연고제)</t>
        </is>
      </c>
      <c r="G221" s="32" t="n">
        <v>46927</v>
      </c>
      <c r="H221">
        <f>IF(COUNTIFS($B$2:B221,B221,$D$2:D221,D221)=1,1,0)</f>
        <v/>
      </c>
      <c r="I221">
        <f>IF(OR(LEFT(F221,2)="무균",ISNUMBER(SEARCH("주사제",F221))),"Y","")</f>
        <v/>
      </c>
      <c r="J221">
        <f>IF(LEFT(F221,2)="생물","Y","")</f>
        <v/>
      </c>
    </row>
    <row r="222">
      <c r="A222" t="inlineStr">
        <is>
          <t>S221</t>
        </is>
      </c>
      <c r="B222" t="inlineStr">
        <is>
          <t>한국코러스</t>
        </is>
      </c>
      <c r="C222" t="inlineStr">
        <is>
          <t>한국코러스(주)</t>
        </is>
      </c>
      <c r="D222" t="inlineStr">
        <is>
          <t>충청북도 음성군 대소면 대풍산단로 78 (주)한독약품 내 세팔로스포린동 2층 건물</t>
        </is>
      </c>
      <c r="E222" t="inlineStr">
        <is>
          <t>완제의약품</t>
        </is>
      </c>
      <c r="F222" t="inlineStr">
        <is>
          <t>무균-세팔로스포린제제-주사제(분말주사제)</t>
        </is>
      </c>
      <c r="G222" s="32" t="n">
        <v>46926</v>
      </c>
      <c r="H222">
        <f>IF(COUNTIFS($B$2:B222,B222,$D$2:D222,D222)=1,1,0)</f>
        <v/>
      </c>
      <c r="I222">
        <f>IF(OR(LEFT(F222,2)="무균",ISNUMBER(SEARCH("주사제",F222))),"Y","")</f>
        <v/>
      </c>
      <c r="J222">
        <f>IF(LEFT(F222,2)="생물","Y","")</f>
        <v/>
      </c>
    </row>
    <row r="223">
      <c r="A223" t="inlineStr">
        <is>
          <t>S222</t>
        </is>
      </c>
      <c r="B223" t="inlineStr">
        <is>
          <t>엘지화학</t>
        </is>
      </c>
      <c r="C223" t="inlineStr">
        <is>
          <t>(주)엘지화학</t>
        </is>
      </c>
      <c r="D223" t="inlineStr">
        <is>
          <t>충청북도 청주시 흥덕구 오송읍 오송생명1로 151</t>
        </is>
      </c>
      <c r="E223" t="inlineStr">
        <is>
          <t>완제의약품</t>
        </is>
      </c>
      <c r="F223" t="inlineStr">
        <is>
          <t>비무균-일반제제-내용고형제(정제, 캡슐제), 무균-일반제제-주사제(주사제, 동결건조주사제), 생물-백신-주사제(주사제, 동결건조주사제), 생물-유전자재조합의약품-주사제(주사제, 동결건조주사제)</t>
        </is>
      </c>
      <c r="G223" s="32" t="n">
        <v>46920</v>
      </c>
      <c r="H223">
        <f>IF(COUNTIFS($B$2:B223,B223,$D$2:D223,D223)=1,1,0)</f>
        <v/>
      </c>
      <c r="I223">
        <f>IF(OR(LEFT(F223,2)="무균",ISNUMBER(SEARCH("주사제",F223))),"Y","")</f>
        <v/>
      </c>
      <c r="J223">
        <f>IF(LEFT(F223,2)="생물","Y","")</f>
        <v/>
      </c>
    </row>
    <row r="224">
      <c r="A224" t="inlineStr">
        <is>
          <t>S223</t>
        </is>
      </c>
      <c r="B224" t="inlineStr">
        <is>
          <t>유앤생명과학</t>
        </is>
      </c>
      <c r="C224" t="inlineStr">
        <is>
          <t>(주)유앤생명과학</t>
        </is>
      </c>
      <c r="D224" t="inlineStr">
        <is>
          <t>경기도 안산시 단원구 별망로 627</t>
        </is>
      </c>
      <c r="E224" t="inlineStr">
        <is>
          <t>완제의약품</t>
        </is>
      </c>
      <c r="F224" t="inlineStr">
        <is>
          <t>비무균-일반제제-내용고형제(정제, 캡슐제)</t>
        </is>
      </c>
      <c r="G224" s="32" t="n">
        <v>46920</v>
      </c>
      <c r="H224">
        <f>IF(COUNTIFS($B$2:B224,B224,$D$2:D224,D224)=1,1,0)</f>
        <v/>
      </c>
      <c r="I224">
        <f>IF(OR(LEFT(F224,2)="무균",ISNUMBER(SEARCH("주사제",F224))),"Y","")</f>
        <v/>
      </c>
      <c r="J224">
        <f>IF(LEFT(F224,2)="생물","Y","")</f>
        <v/>
      </c>
    </row>
    <row r="225">
      <c r="A225" t="inlineStr">
        <is>
          <t>S224</t>
        </is>
      </c>
      <c r="B225" t="inlineStr">
        <is>
          <t>한국파마</t>
        </is>
      </c>
      <c r="C225" t="inlineStr">
        <is>
          <t>(주)한국파마</t>
        </is>
      </c>
      <c r="D225" t="inlineStr">
        <is>
          <t>경기도 화성시 만세구 향남읍 제약공단3길 87</t>
        </is>
      </c>
      <c r="E225" t="inlineStr">
        <is>
          <t>완제의약품</t>
        </is>
      </c>
      <c r="F225" t="inlineStr">
        <is>
          <t>비무균-일반제제-내용고형제(정제, 캡슐제, 산제), 비무균-일반제제-내용액제(경구용액제), 비무균-일반제제-외용액제(외용액제, 로션제), 비무균-일반제제-연고제(연고제, 크림제)</t>
        </is>
      </c>
      <c r="G225" s="32" t="n">
        <v>46920</v>
      </c>
      <c r="H225">
        <f>IF(COUNTIFS($B$2:B225,B225,$D$2:D225,D225)=1,1,0)</f>
        <v/>
      </c>
      <c r="I225">
        <f>IF(OR(LEFT(F225,2)="무균",ISNUMBER(SEARCH("주사제",F225))),"Y","")</f>
        <v/>
      </c>
      <c r="J225">
        <f>IF(LEFT(F225,2)="생물","Y","")</f>
        <v/>
      </c>
    </row>
    <row r="226">
      <c r="A226" t="inlineStr">
        <is>
          <t>S225</t>
        </is>
      </c>
      <c r="B226" t="inlineStr">
        <is>
          <t>엘지화학</t>
        </is>
      </c>
      <c r="C226" t="inlineStr">
        <is>
          <t>(주)엘지화학</t>
        </is>
      </c>
      <c r="D226" t="inlineStr">
        <is>
          <t>충청북도 청주시 흥덕구 오송읍 오송생명1로 151</t>
        </is>
      </c>
      <c r="E226" t="inlineStr">
        <is>
          <t>원료의약품</t>
        </is>
      </c>
      <c r="F226" t="inlineStr">
        <is>
          <t>생물-백신-(배양, 정제, 바이러스불활화, 원액 제조), 생물-백신-원액 제조, 생물-유전자재조합의약품-(배양, 정제, 원액 제조)</t>
        </is>
      </c>
      <c r="G226" s="32" t="n">
        <v>46920</v>
      </c>
      <c r="H226">
        <f>IF(COUNTIFS($B$2:B226,B226,$D$2:D226,D226)=1,1,0)</f>
        <v/>
      </c>
      <c r="I226">
        <f>IF(OR(LEFT(F226,2)="무균",ISNUMBER(SEARCH("주사제",F226))),"Y","")</f>
        <v/>
      </c>
      <c r="J226">
        <f>IF(LEFT(F226,2)="생물","Y","")</f>
        <v/>
      </c>
    </row>
    <row r="227">
      <c r="A227" t="inlineStr">
        <is>
          <t>S226</t>
        </is>
      </c>
      <c r="B227" t="inlineStr">
        <is>
          <t>켐트로스</t>
        </is>
      </c>
      <c r="C227" t="inlineStr">
        <is>
          <t>(주)켐트로스</t>
        </is>
      </c>
      <c r="D227" t="inlineStr">
        <is>
          <t>경기도 안산시 단원구 능안로 7 반월공단B14-17</t>
        </is>
      </c>
      <c r="E227" t="inlineStr">
        <is>
          <t>원료의약품</t>
        </is>
      </c>
      <c r="F227" t="inlineStr">
        <is>
          <t>비무균-일반제제-합성, 비무균-일반제제-소분</t>
        </is>
      </c>
      <c r="G227" s="32" t="n">
        <v>46919</v>
      </c>
      <c r="H227">
        <f>IF(COUNTIFS($B$2:B227,B227,$D$2:D227,D227)=1,1,0)</f>
        <v/>
      </c>
      <c r="I227">
        <f>IF(OR(LEFT(F227,2)="무균",ISNUMBER(SEARCH("주사제",F227))),"Y","")</f>
        <v/>
      </c>
      <c r="J227">
        <f>IF(LEFT(F227,2)="생물","Y","")</f>
        <v/>
      </c>
    </row>
    <row r="228">
      <c r="A228" t="inlineStr">
        <is>
          <t>S227</t>
        </is>
      </c>
      <c r="B228" t="inlineStr">
        <is>
          <t>한화제약</t>
        </is>
      </c>
      <c r="C228" t="inlineStr">
        <is>
          <t>한화제약(주)</t>
        </is>
      </c>
      <c r="D228" t="inlineStr">
        <is>
          <t>강원특별자치도 춘천시 남면 약암길 109</t>
        </is>
      </c>
      <c r="E228" t="inlineStr">
        <is>
          <t>완제의약품</t>
        </is>
      </c>
      <c r="F228" t="inlineStr">
        <is>
          <t>비무균-일반제제-내용고형제(정제, 캡슐제, 산제, 과립제)</t>
        </is>
      </c>
      <c r="G228" s="32" t="n">
        <v>46918</v>
      </c>
      <c r="H228">
        <f>IF(COUNTIFS($B$2:B228,B228,$D$2:D228,D228)=1,1,0)</f>
        <v/>
      </c>
      <c r="I228">
        <f>IF(OR(LEFT(F228,2)="무균",ISNUMBER(SEARCH("주사제",F228))),"Y","")</f>
        <v/>
      </c>
      <c r="J228">
        <f>IF(LEFT(F228,2)="생물","Y","")</f>
        <v/>
      </c>
    </row>
    <row r="229">
      <c r="A229" t="inlineStr">
        <is>
          <t>S228</t>
        </is>
      </c>
      <c r="B229" t="inlineStr">
        <is>
          <t>동화약품</t>
        </is>
      </c>
      <c r="C229" t="inlineStr">
        <is>
          <t>동화약품(주)</t>
        </is>
      </c>
      <c r="D229" t="inlineStr">
        <is>
          <t>충청북도 충주시 충주산단1로 167</t>
        </is>
      </c>
      <c r="E229" t="inlineStr">
        <is>
          <t>원료의약품</t>
        </is>
      </c>
      <c r="F229" t="inlineStr">
        <is>
          <t>비무균-일반제제-합성</t>
        </is>
      </c>
      <c r="G229" s="32" t="n">
        <v>46918</v>
      </c>
      <c r="H229">
        <f>IF(COUNTIFS($B$2:B229,B229,$D$2:D229,D229)=1,1,0)</f>
        <v/>
      </c>
      <c r="I229">
        <f>IF(OR(LEFT(F229,2)="무균",ISNUMBER(SEARCH("주사제",F229))),"Y","")</f>
        <v/>
      </c>
      <c r="J229">
        <f>IF(LEFT(F229,2)="생물","Y","")</f>
        <v/>
      </c>
    </row>
    <row r="230">
      <c r="A230" t="inlineStr">
        <is>
          <t>S229</t>
        </is>
      </c>
      <c r="B230" t="inlineStr">
        <is>
          <t>동화약품</t>
        </is>
      </c>
      <c r="C230" t="inlineStr">
        <is>
          <t>동화약품(주)</t>
        </is>
      </c>
      <c r="D230" t="inlineStr">
        <is>
          <t>충청북도 충주시 충주산단1로 167</t>
        </is>
      </c>
      <c r="E230" t="inlineStr">
        <is>
          <t>완제의약품</t>
        </is>
      </c>
      <c r="F230" t="inlineStr">
        <is>
          <t>비무균-일반제제-내용고형제(정제, 캡슐제, 트로키제, 시럽제(고형)), 비무균-일반제제-내용액제(경구용액제, 시럽제(액상)), 비무균-일반제제-연고제(연고제, 크림제, 페이스트제, 겔제)</t>
        </is>
      </c>
      <c r="G230" s="32" t="n">
        <v>46918</v>
      </c>
      <c r="H230">
        <f>IF(COUNTIFS($B$2:B230,B230,$D$2:D230,D230)=1,1,0)</f>
        <v/>
      </c>
      <c r="I230">
        <f>IF(OR(LEFT(F230,2)="무균",ISNUMBER(SEARCH("주사제",F230))),"Y","")</f>
        <v/>
      </c>
      <c r="J230">
        <f>IF(LEFT(F230,2)="생물","Y","")</f>
        <v/>
      </c>
    </row>
    <row r="231">
      <c r="A231" t="inlineStr">
        <is>
          <t>S230</t>
        </is>
      </c>
      <c r="B231" t="inlineStr">
        <is>
          <t>대평</t>
        </is>
      </c>
      <c r="C231" t="inlineStr">
        <is>
          <t>(주)대평</t>
        </is>
      </c>
      <c r="D231" t="inlineStr">
        <is>
          <t>경상북도 상주시 함창읍 영동길 19-8</t>
        </is>
      </c>
      <c r="E231" t="inlineStr">
        <is>
          <t>원료의약품</t>
        </is>
      </c>
      <c r="F231" t="inlineStr">
        <is>
          <t>비무균-일반제제-추출</t>
        </is>
      </c>
      <c r="G231" s="32" t="n">
        <v>46918</v>
      </c>
      <c r="H231">
        <f>IF(COUNTIFS($B$2:B231,B231,$D$2:D231,D231)=1,1,0)</f>
        <v/>
      </c>
      <c r="I231">
        <f>IF(OR(LEFT(F231,2)="무균",ISNUMBER(SEARCH("주사제",F231))),"Y","")</f>
        <v/>
      </c>
      <c r="J231">
        <f>IF(LEFT(F231,2)="생물","Y","")</f>
        <v/>
      </c>
    </row>
    <row r="232">
      <c r="A232" t="inlineStr">
        <is>
          <t>S231</t>
        </is>
      </c>
      <c r="B232" t="inlineStr">
        <is>
          <t>하이텍팜</t>
        </is>
      </c>
      <c r="C232" t="inlineStr">
        <is>
          <t>(주)하이텍팜</t>
        </is>
      </c>
      <c r="D232" t="inlineStr">
        <is>
          <t>충청북도 음성군 대소읍 신내로 280</t>
        </is>
      </c>
      <c r="E232" t="inlineStr">
        <is>
          <t>원료의약품</t>
        </is>
      </c>
      <c r="F232" t="inlineStr">
        <is>
          <t>비무균-카바페넴제제-합성</t>
        </is>
      </c>
      <c r="G232" s="32" t="n">
        <v>46913</v>
      </c>
      <c r="H232">
        <f>IF(COUNTIFS($B$2:B232,B232,$D$2:D232,D232)=1,1,0)</f>
        <v/>
      </c>
      <c r="I232">
        <f>IF(OR(LEFT(F232,2)="무균",ISNUMBER(SEARCH("주사제",F232))),"Y","")</f>
        <v/>
      </c>
      <c r="J232">
        <f>IF(LEFT(F232,2)="생물","Y","")</f>
        <v/>
      </c>
    </row>
    <row r="233">
      <c r="A233" t="inlineStr">
        <is>
          <t>S232</t>
        </is>
      </c>
      <c r="B233" t="inlineStr">
        <is>
          <t>국제약품</t>
        </is>
      </c>
      <c r="C233" t="inlineStr">
        <is>
          <t>국제약품(주)</t>
        </is>
      </c>
      <c r="D233" t="inlineStr">
        <is>
          <t>경기도 안산시 단원구 산성로 47</t>
        </is>
      </c>
      <c r="E233" t="inlineStr">
        <is>
          <t>완제의약품</t>
        </is>
      </c>
      <c r="F233" t="inlineStr">
        <is>
          <t>비무균-세팔로스포린제제-내용고형제(정제, 캡슐제, 시럽제(고형)), 비무균-일반제제-내용고형제(정제, 캡슐제), 무균-세팔로스포린제제-주사제(분말주사제, 동결건조주사제), 무균-일반제제-점안제(점안제)</t>
        </is>
      </c>
      <c r="G233" s="32" t="n">
        <v>46913</v>
      </c>
      <c r="H233">
        <f>IF(COUNTIFS($B$2:B233,B233,$D$2:D233,D233)=1,1,0)</f>
        <v/>
      </c>
      <c r="I233">
        <f>IF(OR(LEFT(F233,2)="무균",ISNUMBER(SEARCH("주사제",F233))),"Y","")</f>
        <v/>
      </c>
      <c r="J233">
        <f>IF(LEFT(F233,2)="생물","Y","")</f>
        <v/>
      </c>
    </row>
    <row r="234">
      <c r="A234" t="inlineStr">
        <is>
          <t>S233</t>
        </is>
      </c>
      <c r="B234" t="inlineStr">
        <is>
          <t>디아이지에어가스</t>
        </is>
      </c>
      <c r="C234" t="inlineStr">
        <is>
          <t>디아이지에어가스(주)</t>
        </is>
      </c>
      <c r="D234" t="inlineStr">
        <is>
          <t>대전광역시 대덕구 신일동로 45</t>
        </is>
      </c>
      <c r="E234" t="inlineStr">
        <is>
          <t>완제의약품</t>
        </is>
      </c>
      <c r="F234" t="inlineStr">
        <is>
          <t>비무균-일반제제(의료용 고압가스)-가스제(의료용 고압가스)</t>
        </is>
      </c>
      <c r="G234" s="32" t="n">
        <v>46912</v>
      </c>
      <c r="H234">
        <f>IF(COUNTIFS($B$2:B234,B234,$D$2:D234,D234)=1,1,0)</f>
        <v/>
      </c>
      <c r="I234">
        <f>IF(OR(LEFT(F234,2)="무균",ISNUMBER(SEARCH("주사제",F234))),"Y","")</f>
        <v/>
      </c>
      <c r="J234">
        <f>IF(LEFT(F234,2)="생물","Y","")</f>
        <v/>
      </c>
    </row>
    <row r="235">
      <c r="A235" t="inlineStr">
        <is>
          <t>S234</t>
        </is>
      </c>
      <c r="B235" t="inlineStr">
        <is>
          <t>진양제약</t>
        </is>
      </c>
      <c r="C235" t="inlineStr">
        <is>
          <t>진양제약(주)</t>
        </is>
      </c>
      <c r="D235" t="inlineStr">
        <is>
          <t>강원특별자치도 원주시 지정면 신평로 34</t>
        </is>
      </c>
      <c r="E235" t="inlineStr">
        <is>
          <t>완제의약품</t>
        </is>
      </c>
      <c r="F235" t="inlineStr">
        <is>
          <t>비무균-일반제제-내용고형제(정제, 캡슐제, 시럽제(고형))</t>
        </is>
      </c>
      <c r="G235" s="32" t="n">
        <v>46912</v>
      </c>
      <c r="H235">
        <f>IF(COUNTIFS($B$2:B235,B235,$D$2:D235,D235)=1,1,0)</f>
        <v/>
      </c>
      <c r="I235">
        <f>IF(OR(LEFT(F235,2)="무균",ISNUMBER(SEARCH("주사제",F235))),"Y","")</f>
        <v/>
      </c>
      <c r="J235">
        <f>IF(LEFT(F235,2)="생물","Y","")</f>
        <v/>
      </c>
    </row>
    <row r="236">
      <c r="A236" t="inlineStr">
        <is>
          <t>S235</t>
        </is>
      </c>
      <c r="B236" t="inlineStr">
        <is>
          <t>밀성산업가스</t>
        </is>
      </c>
      <c r="C236" t="inlineStr">
        <is>
          <t>(주)밀성산업가스</t>
        </is>
      </c>
      <c r="D236" t="inlineStr">
        <is>
          <t>경기도 화성시 팔탄면 포승향남로 2960-115</t>
        </is>
      </c>
      <c r="E236" t="inlineStr">
        <is>
          <t>완제의약품</t>
        </is>
      </c>
      <c r="F236" t="inlineStr">
        <is>
          <t>비무균-일반제제(의료용 고압가스)-가스제(의료용 고압가스)</t>
        </is>
      </c>
      <c r="G236" s="32" t="n">
        <v>46903</v>
      </c>
      <c r="H236">
        <f>IF(COUNTIFS($B$2:B236,B236,$D$2:D236,D236)=1,1,0)</f>
        <v/>
      </c>
      <c r="I236">
        <f>IF(OR(LEFT(F236,2)="무균",ISNUMBER(SEARCH("주사제",F236))),"Y","")</f>
        <v/>
      </c>
      <c r="J236">
        <f>IF(LEFT(F236,2)="생물","Y","")</f>
        <v/>
      </c>
    </row>
    <row r="237">
      <c r="A237" t="inlineStr">
        <is>
          <t>S236</t>
        </is>
      </c>
      <c r="B237" t="inlineStr">
        <is>
          <t>신풍제약</t>
        </is>
      </c>
      <c r="C237" t="inlineStr">
        <is>
          <t>신풍제약(주)</t>
        </is>
      </c>
      <c r="D237" t="inlineStr">
        <is>
          <t>경기도 안산시 단원구 원시로 7</t>
        </is>
      </c>
      <c r="E237" t="inlineStr">
        <is>
          <t>완제의약품</t>
        </is>
      </c>
      <c r="F237" t="inlineStr">
        <is>
          <t>비무균-일반제제-내용고형제(정제, 캡슐제), 무균-일반제제-주사제(주사제, 분말주사제, 수액제), 비무균-일반제제-연고제(연고제, 크림제, 겔제)</t>
        </is>
      </c>
      <c r="G237" s="32" t="n">
        <v>46899</v>
      </c>
      <c r="H237">
        <f>IF(COUNTIFS($B$2:B237,B237,$D$2:D237,D237)=1,1,0)</f>
        <v/>
      </c>
      <c r="I237">
        <f>IF(OR(LEFT(F237,2)="무균",ISNUMBER(SEARCH("주사제",F237))),"Y","")</f>
        <v/>
      </c>
      <c r="J237">
        <f>IF(LEFT(F237,2)="생물","Y","")</f>
        <v/>
      </c>
    </row>
    <row r="238">
      <c r="A238" t="inlineStr">
        <is>
          <t>S237</t>
        </is>
      </c>
      <c r="B238" t="inlineStr">
        <is>
          <t>한국신텍스제약</t>
        </is>
      </c>
      <c r="C238" t="inlineStr">
        <is>
          <t>한국신텍스제약(주)</t>
        </is>
      </c>
      <c r="D238" t="inlineStr">
        <is>
          <t>전북특별자치도 익산시 삼기면 산단오룡길 106</t>
        </is>
      </c>
      <c r="E238" t="inlineStr">
        <is>
          <t>완제의약품</t>
        </is>
      </c>
      <c r="F238" t="inlineStr">
        <is>
          <t>비무균-일반제제-내용액제(경구용액제)</t>
        </is>
      </c>
      <c r="G238" s="32" t="n">
        <v>46899</v>
      </c>
      <c r="H238">
        <f>IF(COUNTIFS($B$2:B238,B238,$D$2:D238,D238)=1,1,0)</f>
        <v/>
      </c>
      <c r="I238">
        <f>IF(OR(LEFT(F238,2)="무균",ISNUMBER(SEARCH("주사제",F238))),"Y","")</f>
        <v/>
      </c>
      <c r="J238">
        <f>IF(LEFT(F238,2)="생물","Y","")</f>
        <v/>
      </c>
    </row>
    <row r="239">
      <c r="A239" t="inlineStr">
        <is>
          <t>S238</t>
        </is>
      </c>
      <c r="B239" t="inlineStr">
        <is>
          <t>신풍제약</t>
        </is>
      </c>
      <c r="C239" t="inlineStr">
        <is>
          <t>신풍제약(주)</t>
        </is>
      </c>
      <c r="D239" t="inlineStr">
        <is>
          <t>경기도 안산시 단원구 원시로 7</t>
        </is>
      </c>
      <c r="E239" t="inlineStr">
        <is>
          <t>원료의약품</t>
        </is>
      </c>
      <c r="F239" t="inlineStr">
        <is>
          <t>무균-세팔로스포린제제-합성, 무균-일반제제-합성, 비무균-일반제제-합성</t>
        </is>
      </c>
      <c r="G239" s="32" t="n">
        <v>46899</v>
      </c>
      <c r="H239">
        <f>IF(COUNTIFS($B$2:B239,B239,$D$2:D239,D239)=1,1,0)</f>
        <v/>
      </c>
      <c r="I239">
        <f>IF(OR(LEFT(F239,2)="무균",ISNUMBER(SEARCH("주사제",F239))),"Y","")</f>
        <v/>
      </c>
      <c r="J239">
        <f>IF(LEFT(F239,2)="생물","Y","")</f>
        <v/>
      </c>
    </row>
    <row r="240">
      <c r="A240" t="inlineStr">
        <is>
          <t>S239</t>
        </is>
      </c>
      <c r="B240" t="inlineStr">
        <is>
          <t>마더스제약</t>
        </is>
      </c>
      <c r="C240" t="inlineStr">
        <is>
          <t>(주)마더스제약</t>
        </is>
      </c>
      <c r="D240" t="inlineStr">
        <is>
          <t>경상북도 경산시 진량읍 공단6로24길 18</t>
        </is>
      </c>
      <c r="E240" t="inlineStr">
        <is>
          <t>완제의약품</t>
        </is>
      </c>
      <c r="F240" t="inlineStr">
        <is>
          <t>비무균-일반제제-내용고형제(정제, 캡슐제)</t>
        </is>
      </c>
      <c r="G240" s="32" t="n">
        <v>46899</v>
      </c>
      <c r="H240">
        <f>IF(COUNTIFS($B$2:B240,B240,$D$2:D240,D240)=1,1,0)</f>
        <v/>
      </c>
      <c r="I240">
        <f>IF(OR(LEFT(F240,2)="무균",ISNUMBER(SEARCH("주사제",F240))),"Y","")</f>
        <v/>
      </c>
      <c r="J240">
        <f>IF(LEFT(F240,2)="생물","Y","")</f>
        <v/>
      </c>
    </row>
    <row r="241">
      <c r="A241" t="inlineStr">
        <is>
          <t>S240</t>
        </is>
      </c>
      <c r="B241" t="inlineStr">
        <is>
          <t>한국팜비오</t>
        </is>
      </c>
      <c r="C241" t="inlineStr">
        <is>
          <t>(주)한국팜비오</t>
        </is>
      </c>
      <c r="D241" t="inlineStr">
        <is>
          <t>충청북도 충주시 대소원면 첨단산업9로 36</t>
        </is>
      </c>
      <c r="E241" t="inlineStr">
        <is>
          <t>완제의약품</t>
        </is>
      </c>
      <c r="F241" t="inlineStr">
        <is>
          <t>비무균-일반제제-내용고형제(정제, 캡슐제, 산제), 무균-일반제제-주사제(주사제, 수액제), 비무균-일반제제-내용액제(경구용액제)</t>
        </is>
      </c>
      <c r="G241" s="32" t="n">
        <v>46898</v>
      </c>
      <c r="H241">
        <f>IF(COUNTIFS($B$2:B241,B241,$D$2:D241,D241)=1,1,0)</f>
        <v/>
      </c>
      <c r="I241">
        <f>IF(OR(LEFT(F241,2)="무균",ISNUMBER(SEARCH("주사제",F241))),"Y","")</f>
        <v/>
      </c>
      <c r="J241">
        <f>IF(LEFT(F241,2)="생물","Y","")</f>
        <v/>
      </c>
    </row>
    <row r="242">
      <c r="A242" t="inlineStr">
        <is>
          <t>S241</t>
        </is>
      </c>
      <c r="B242" t="inlineStr">
        <is>
          <t>종근당바이오</t>
        </is>
      </c>
      <c r="C242" t="inlineStr">
        <is>
          <t>(주)종근당바이오</t>
        </is>
      </c>
      <c r="D242" t="inlineStr">
        <is>
          <t>충청남도 예산군 삽교읍 산단3길 226 101호, 2-1동, 3-1동, 4동</t>
        </is>
      </c>
      <c r="E242" t="inlineStr">
        <is>
          <t>원료의약품</t>
        </is>
      </c>
      <c r="F242" t="inlineStr">
        <is>
          <t>비무균-일반제제-합성</t>
        </is>
      </c>
      <c r="G242" s="32" t="n">
        <v>46897</v>
      </c>
      <c r="H242">
        <f>IF(COUNTIFS($B$2:B242,B242,$D$2:D242,D242)=1,1,0)</f>
        <v/>
      </c>
      <c r="I242">
        <f>IF(OR(LEFT(F242,2)="무균",ISNUMBER(SEARCH("주사제",F242))),"Y","")</f>
        <v/>
      </c>
      <c r="J242">
        <f>IF(LEFT(F242,2)="생물","Y","")</f>
        <v/>
      </c>
    </row>
    <row r="243">
      <c r="A243" t="inlineStr">
        <is>
          <t>S242</t>
        </is>
      </c>
      <c r="B243" t="inlineStr">
        <is>
          <t>동구바이오제약</t>
        </is>
      </c>
      <c r="C243" t="inlineStr">
        <is>
          <t>(주)동구바이오제약</t>
        </is>
      </c>
      <c r="D243" t="inlineStr">
        <is>
          <t>경기도 화성시 만세구 향남읍 제약공단2길 18 (상신리 901-3)</t>
        </is>
      </c>
      <c r="E243" t="inlineStr">
        <is>
          <t>완제의약품</t>
        </is>
      </c>
      <c r="F243" t="inlineStr">
        <is>
          <t>비무균-일반제제-내용고형제(정제, 캡슐제), 비무균-일반제제-외용액제(외용액제, 로션제), 비무균-일반제제-연고제(연고제, 크림제)</t>
        </is>
      </c>
      <c r="G243" s="32" t="n">
        <v>46892</v>
      </c>
      <c r="H243">
        <f>IF(COUNTIFS($B$2:B243,B243,$D$2:D243,D243)=1,1,0)</f>
        <v/>
      </c>
      <c r="I243">
        <f>IF(OR(LEFT(F243,2)="무균",ISNUMBER(SEARCH("주사제",F243))),"Y","")</f>
        <v/>
      </c>
      <c r="J243">
        <f>IF(LEFT(F243,2)="생물","Y","")</f>
        <v/>
      </c>
    </row>
    <row r="244">
      <c r="A244" t="inlineStr">
        <is>
          <t>S243</t>
        </is>
      </c>
      <c r="B244" t="inlineStr">
        <is>
          <t>에스케이케미칼</t>
        </is>
      </c>
      <c r="C244" t="inlineStr">
        <is>
          <t>에스케이케미칼(주)</t>
        </is>
      </c>
      <c r="D244" t="inlineStr">
        <is>
          <t>충청북도 청주시 흥덕구 산단로 149</t>
        </is>
      </c>
      <c r="E244" t="inlineStr">
        <is>
          <t>원료의약품</t>
        </is>
      </c>
      <c r="F244" t="inlineStr">
        <is>
          <t>비무균-일반제제-추출</t>
        </is>
      </c>
      <c r="G244" s="32" t="n">
        <v>46891</v>
      </c>
      <c r="H244">
        <f>IF(COUNTIFS($B$2:B244,B244,$D$2:D244,D244)=1,1,0)</f>
        <v/>
      </c>
      <c r="I244">
        <f>IF(OR(LEFT(F244,2)="무균",ISNUMBER(SEARCH("주사제",F244))),"Y","")</f>
        <v/>
      </c>
      <c r="J244">
        <f>IF(LEFT(F244,2)="생물","Y","")</f>
        <v/>
      </c>
    </row>
    <row r="245">
      <c r="A245" t="inlineStr">
        <is>
          <t>S244</t>
        </is>
      </c>
      <c r="B245" t="inlineStr">
        <is>
          <t>에스케이케미칼</t>
        </is>
      </c>
      <c r="C245" t="inlineStr">
        <is>
          <t>에스케이케미칼(주)</t>
        </is>
      </c>
      <c r="D245" t="inlineStr">
        <is>
          <t>충청북도 청주시 흥덕구 산단로 149</t>
        </is>
      </c>
      <c r="E245" t="inlineStr">
        <is>
          <t>완제의약품</t>
        </is>
      </c>
      <c r="F245" t="inlineStr">
        <is>
          <t>비무균-일반제제-내용고형제(정제, 캡슐제), 비무균-일반제제-첩부제(경피흡수제)</t>
        </is>
      </c>
      <c r="G245" s="32" t="n">
        <v>46891</v>
      </c>
      <c r="H245">
        <f>IF(COUNTIFS($B$2:B245,B245,$D$2:D245,D245)=1,1,0)</f>
        <v/>
      </c>
      <c r="I245">
        <f>IF(OR(LEFT(F245,2)="무균",ISNUMBER(SEARCH("주사제",F245))),"Y","")</f>
        <v/>
      </c>
      <c r="J245">
        <f>IF(LEFT(F245,2)="생물","Y","")</f>
        <v/>
      </c>
    </row>
    <row r="246">
      <c r="A246" t="inlineStr">
        <is>
          <t>S245</t>
        </is>
      </c>
      <c r="B246" t="inlineStr">
        <is>
          <t>새한가스공업</t>
        </is>
      </c>
      <c r="C246" t="inlineStr">
        <is>
          <t>새한가스공업</t>
        </is>
      </c>
      <c r="D246" t="inlineStr">
        <is>
          <t>제주특별자치도 제주시 선반로 40</t>
        </is>
      </c>
      <c r="E246" t="inlineStr">
        <is>
          <t>완제의약품</t>
        </is>
      </c>
      <c r="F246" t="inlineStr">
        <is>
          <t>비무균-일반제제(의료용 고압가스)-가스제(의료용 고압가스)</t>
        </is>
      </c>
      <c r="G246" s="32" t="n">
        <v>46891</v>
      </c>
      <c r="H246">
        <f>IF(COUNTIFS($B$2:B246,B246,$D$2:D246,D246)=1,1,0)</f>
        <v/>
      </c>
      <c r="I246">
        <f>IF(OR(LEFT(F246,2)="무균",ISNUMBER(SEARCH("주사제",F246))),"Y","")</f>
        <v/>
      </c>
      <c r="J246">
        <f>IF(LEFT(F246,2)="생물","Y","")</f>
        <v/>
      </c>
    </row>
    <row r="247">
      <c r="A247" t="inlineStr">
        <is>
          <t>S246</t>
        </is>
      </c>
      <c r="B247" t="inlineStr">
        <is>
          <t>대동가스텍</t>
        </is>
      </c>
      <c r="C247" t="inlineStr">
        <is>
          <t>(주)대동가스텍</t>
        </is>
      </c>
      <c r="D247" t="inlineStr">
        <is>
          <t>경상북도 경산시 진량읍 공단4로 96</t>
        </is>
      </c>
      <c r="E247" t="inlineStr">
        <is>
          <t>완제의약품</t>
        </is>
      </c>
      <c r="F247" t="inlineStr">
        <is>
          <t>비무균-일반제제(의료용 고압가스)-가스제(의료용 고압가스)</t>
        </is>
      </c>
      <c r="G247" s="32" t="n">
        <v>46891</v>
      </c>
      <c r="H247">
        <f>IF(COUNTIFS($B$2:B247,B247,$D$2:D247,D247)=1,1,0)</f>
        <v/>
      </c>
      <c r="I247">
        <f>IF(OR(LEFT(F247,2)="무균",ISNUMBER(SEARCH("주사제",F247))),"Y","")</f>
        <v/>
      </c>
      <c r="J247">
        <f>IF(LEFT(F247,2)="생물","Y","")</f>
        <v/>
      </c>
    </row>
    <row r="248">
      <c r="A248" t="inlineStr">
        <is>
          <t>S247</t>
        </is>
      </c>
      <c r="B248" t="inlineStr">
        <is>
          <t>에어퍼스트</t>
        </is>
      </c>
      <c r="C248" t="inlineStr">
        <is>
          <t>(주)에어퍼스트</t>
        </is>
      </c>
      <c r="D248" t="inlineStr">
        <is>
          <t>경기도 용인시 기흥구 농서로 60</t>
        </is>
      </c>
      <c r="E248" t="inlineStr">
        <is>
          <t>완제의약품</t>
        </is>
      </c>
      <c r="F248" t="inlineStr">
        <is>
          <t>비무균-일반제제(의료용 고압가스)-가스제(의료용 고압가스)</t>
        </is>
      </c>
      <c r="G248" s="32" t="n">
        <v>46890</v>
      </c>
      <c r="H248">
        <f>IF(COUNTIFS($B$2:B248,B248,$D$2:D248,D248)=1,1,0)</f>
        <v/>
      </c>
      <c r="I248">
        <f>IF(OR(LEFT(F248,2)="무균",ISNUMBER(SEARCH("주사제",F248))),"Y","")</f>
        <v/>
      </c>
      <c r="J248">
        <f>IF(LEFT(F248,2)="생물","Y","")</f>
        <v/>
      </c>
    </row>
    <row r="249">
      <c r="A249" t="inlineStr">
        <is>
          <t>S248</t>
        </is>
      </c>
      <c r="B249" t="inlineStr">
        <is>
          <t>안국뉴팜</t>
        </is>
      </c>
      <c r="C249" t="inlineStr">
        <is>
          <t>안국뉴팜(주)</t>
        </is>
      </c>
      <c r="D249" t="inlineStr">
        <is>
          <t>경기도 김포시 통진읍 가현로 182-4</t>
        </is>
      </c>
      <c r="E249" t="inlineStr">
        <is>
          <t>완제의약품</t>
        </is>
      </c>
      <c r="F249" t="inlineStr">
        <is>
          <t>비무균-일반제제-내용고형제(산제)</t>
        </is>
      </c>
      <c r="G249" s="32" t="n">
        <v>46890</v>
      </c>
      <c r="H249">
        <f>IF(COUNTIFS($B$2:B249,B249,$D$2:D249,D249)=1,1,0)</f>
        <v/>
      </c>
      <c r="I249">
        <f>IF(OR(LEFT(F249,2)="무균",ISNUMBER(SEARCH("주사제",F249))),"Y","")</f>
        <v/>
      </c>
      <c r="J249">
        <f>IF(LEFT(F249,2)="생물","Y","")</f>
        <v/>
      </c>
    </row>
    <row r="250">
      <c r="A250" t="inlineStr">
        <is>
          <t>S249</t>
        </is>
      </c>
      <c r="B250" t="inlineStr">
        <is>
          <t>제주종합가스</t>
        </is>
      </c>
      <c r="C250" t="inlineStr">
        <is>
          <t>제주종합가스(주)</t>
        </is>
      </c>
      <c r="D250" t="inlineStr">
        <is>
          <t>제주특별자치도 제주시 선반남1길 76</t>
        </is>
      </c>
      <c r="E250" t="inlineStr">
        <is>
          <t>완제의약품</t>
        </is>
      </c>
      <c r="F250" t="inlineStr">
        <is>
          <t>비무균-일반제제(의료용 고압가스)-가스제(의료용 고압가스)</t>
        </is>
      </c>
      <c r="G250" s="32" t="n">
        <v>46889</v>
      </c>
      <c r="H250">
        <f>IF(COUNTIFS($B$2:B250,B250,$D$2:D250,D250)=1,1,0)</f>
        <v/>
      </c>
      <c r="I250">
        <f>IF(OR(LEFT(F250,2)="무균",ISNUMBER(SEARCH("주사제",F250))),"Y","")</f>
        <v/>
      </c>
      <c r="J250">
        <f>IF(LEFT(F250,2)="생물","Y","")</f>
        <v/>
      </c>
    </row>
    <row r="251">
      <c r="A251" t="inlineStr">
        <is>
          <t>S250</t>
        </is>
      </c>
      <c r="B251" t="inlineStr">
        <is>
          <t>한미약품</t>
        </is>
      </c>
      <c r="C251" t="inlineStr">
        <is>
          <t>한미약품(주)</t>
        </is>
      </c>
      <c r="D251" t="inlineStr">
        <is>
          <t>경기도 평택시 팽성읍 추팔산단로 114</t>
        </is>
      </c>
      <c r="E251" t="inlineStr">
        <is>
          <t>완제의약품</t>
        </is>
      </c>
      <c r="F251" t="inlineStr">
        <is>
          <t>비무균-일반제제-내용고형제(정제, 츄어블정(저작정)), 무균-일반제제-주사제(주사제), 생물-유전자재조합의약품-주사제(주사제)</t>
        </is>
      </c>
      <c r="G251" s="32" t="n">
        <v>46885</v>
      </c>
      <c r="H251">
        <f>IF(COUNTIFS($B$2:B251,B251,$D$2:D251,D251)=1,1,0)</f>
        <v/>
      </c>
      <c r="I251">
        <f>IF(OR(LEFT(F251,2)="무균",ISNUMBER(SEARCH("주사제",F251))),"Y","")</f>
        <v/>
      </c>
      <c r="J251">
        <f>IF(LEFT(F251,2)="생물","Y","")</f>
        <v/>
      </c>
    </row>
    <row r="252">
      <c r="A252" t="inlineStr">
        <is>
          <t>S251</t>
        </is>
      </c>
      <c r="B252" t="inlineStr">
        <is>
          <t>천우신약</t>
        </is>
      </c>
      <c r="C252" t="inlineStr">
        <is>
          <t>천우신약(주)</t>
        </is>
      </c>
      <c r="D252" t="inlineStr">
        <is>
          <t>충청북도 음성군 삼성면 청용로365번길 2-1</t>
        </is>
      </c>
      <c r="E252" t="inlineStr">
        <is>
          <t>완제의약품</t>
        </is>
      </c>
      <c r="F252" t="inlineStr">
        <is>
          <t>비무균-일반제제-첩부제(첩부제)</t>
        </is>
      </c>
      <c r="G252" s="32" t="n">
        <v>46885</v>
      </c>
      <c r="H252">
        <f>IF(COUNTIFS($B$2:B252,B252,$D$2:D252,D252)=1,1,0)</f>
        <v/>
      </c>
      <c r="I252">
        <f>IF(OR(LEFT(F252,2)="무균",ISNUMBER(SEARCH("주사제",F252))),"Y","")</f>
        <v/>
      </c>
      <c r="J252">
        <f>IF(LEFT(F252,2)="생물","Y","")</f>
        <v/>
      </c>
    </row>
    <row r="253">
      <c r="A253" t="inlineStr">
        <is>
          <t>S252</t>
        </is>
      </c>
      <c r="B253" t="inlineStr">
        <is>
          <t>한미약품</t>
        </is>
      </c>
      <c r="C253" t="inlineStr">
        <is>
          <t>한미약품(주)</t>
        </is>
      </c>
      <c r="D253" t="inlineStr">
        <is>
          <t>경기도 평택시 팽성읍 추팔산단로 114</t>
        </is>
      </c>
      <c r="E253" t="inlineStr">
        <is>
          <t>원료의약품</t>
        </is>
      </c>
      <c r="F253" t="inlineStr">
        <is>
          <t>무균-일반제제-발효</t>
        </is>
      </c>
      <c r="G253" s="32" t="n">
        <v>46885</v>
      </c>
      <c r="H253">
        <f>IF(COUNTIFS($B$2:B253,B253,$D$2:D253,D253)=1,1,0)</f>
        <v/>
      </c>
      <c r="I253">
        <f>IF(OR(LEFT(F253,2)="무균",ISNUMBER(SEARCH("주사제",F253))),"Y","")</f>
        <v/>
      </c>
      <c r="J253">
        <f>IF(LEFT(F253,2)="생물","Y","")</f>
        <v/>
      </c>
    </row>
    <row r="254">
      <c r="A254" t="inlineStr">
        <is>
          <t>S253</t>
        </is>
      </c>
      <c r="B254" t="inlineStr">
        <is>
          <t>에이프로젠바이오로직스</t>
        </is>
      </c>
      <c r="C254" t="inlineStr">
        <is>
          <t>(주)에이프로젠바이오로직스</t>
        </is>
      </c>
      <c r="D254" t="inlineStr">
        <is>
          <t>경기도 화성시 만세구 양감면 두머리길 16</t>
        </is>
      </c>
      <c r="E254" t="inlineStr">
        <is>
          <t>완제의약품</t>
        </is>
      </c>
      <c r="F254" t="inlineStr">
        <is>
          <t>비무균-일반제제-내용고형제(정제, 캡슐제), 비무균-일반제제-연고제(연고제, 크림제)</t>
        </is>
      </c>
      <c r="G254" s="32" t="n">
        <v>46885</v>
      </c>
      <c r="H254">
        <f>IF(COUNTIFS($B$2:B254,B254,$D$2:D254,D254)=1,1,0)</f>
        <v/>
      </c>
      <c r="I254">
        <f>IF(OR(LEFT(F254,2)="무균",ISNUMBER(SEARCH("주사제",F254))),"Y","")</f>
        <v/>
      </c>
      <c r="J254">
        <f>IF(LEFT(F254,2)="생물","Y","")</f>
        <v/>
      </c>
    </row>
    <row r="255">
      <c r="A255" t="inlineStr">
        <is>
          <t>S254</t>
        </is>
      </c>
      <c r="B255" t="inlineStr">
        <is>
          <t>경남산소</t>
        </is>
      </c>
      <c r="C255" t="inlineStr">
        <is>
          <t>경남산소</t>
        </is>
      </c>
      <c r="D255" t="inlineStr">
        <is>
          <t>경상남도 창원시 의창구 팔용로371번길 13 차룡1단지 (팔용동)</t>
        </is>
      </c>
      <c r="E255" t="inlineStr">
        <is>
          <t>완제의약품</t>
        </is>
      </c>
      <c r="F255" t="inlineStr">
        <is>
          <t>비무균-일반제제(의료용 고압가스)-가스제(의료용 고압가스)</t>
        </is>
      </c>
      <c r="G255" s="32" t="n">
        <v>46884</v>
      </c>
      <c r="H255">
        <f>IF(COUNTIFS($B$2:B255,B255,$D$2:D255,D255)=1,1,0)</f>
        <v/>
      </c>
      <c r="I255">
        <f>IF(OR(LEFT(F255,2)="무균",ISNUMBER(SEARCH("주사제",F255))),"Y","")</f>
        <v/>
      </c>
      <c r="J255">
        <f>IF(LEFT(F255,2)="생물","Y","")</f>
        <v/>
      </c>
    </row>
    <row r="256">
      <c r="A256" t="inlineStr">
        <is>
          <t>S255</t>
        </is>
      </c>
      <c r="B256" t="inlineStr">
        <is>
          <t>신진가스텍</t>
        </is>
      </c>
      <c r="C256" t="inlineStr">
        <is>
          <t>신진가스텍(주)</t>
        </is>
      </c>
      <c r="D256" t="inlineStr">
        <is>
          <t>경상북도 구미시 장천면 송신로 473</t>
        </is>
      </c>
      <c r="E256" t="inlineStr">
        <is>
          <t>완제의약품</t>
        </is>
      </c>
      <c r="F256" t="inlineStr">
        <is>
          <t>비무균-일반제제(의료용 고압가스)-가스제(의료용 고압가스)</t>
        </is>
      </c>
      <c r="G256" s="32" t="n">
        <v>46884</v>
      </c>
      <c r="H256">
        <f>IF(COUNTIFS($B$2:B256,B256,$D$2:D256,D256)=1,1,0)</f>
        <v/>
      </c>
      <c r="I256">
        <f>IF(OR(LEFT(F256,2)="무균",ISNUMBER(SEARCH("주사제",F256))),"Y","")</f>
        <v/>
      </c>
      <c r="J256">
        <f>IF(LEFT(F256,2)="생물","Y","")</f>
        <v/>
      </c>
    </row>
    <row r="257">
      <c r="A257" t="inlineStr">
        <is>
          <t>S256</t>
        </is>
      </c>
      <c r="B257" t="inlineStr">
        <is>
          <t>듀켐바이오</t>
        </is>
      </c>
      <c r="C257" t="inlineStr">
        <is>
          <t>(주)듀켐바이오</t>
        </is>
      </c>
      <c r="D257" t="inlineStr">
        <is>
          <t>서울특별시 서대문구 연세로 50-1 (신촌동, 연세의료원 암전문병원 지하5층)</t>
        </is>
      </c>
      <c r="E257" t="inlineStr">
        <is>
          <t>완제의약품</t>
        </is>
      </c>
      <c r="F257" t="inlineStr">
        <is>
          <t>무균-일반제제(방사성의약품)-주사제(주사제)</t>
        </is>
      </c>
      <c r="G257" s="32" t="n">
        <v>46883</v>
      </c>
      <c r="H257">
        <f>IF(COUNTIFS($B$2:B257,B257,$D$2:D257,D257)=1,1,0)</f>
        <v/>
      </c>
      <c r="I257">
        <f>IF(OR(LEFT(F257,2)="무균",ISNUMBER(SEARCH("주사제",F257))),"Y","")</f>
        <v/>
      </c>
      <c r="J257">
        <f>IF(LEFT(F257,2)="생물","Y","")</f>
        <v/>
      </c>
    </row>
    <row r="258">
      <c r="A258" t="inlineStr">
        <is>
          <t>S257</t>
        </is>
      </c>
      <c r="B258" t="inlineStr">
        <is>
          <t>대한적십자사혈장분획센터</t>
        </is>
      </c>
      <c r="C258" t="inlineStr">
        <is>
          <t>대한적십자사혈장분획센터</t>
        </is>
      </c>
      <c r="D258" t="inlineStr">
        <is>
          <t>충청북도 음성군 감곡면 대학길232번길 16</t>
        </is>
      </c>
      <c r="E258" t="inlineStr">
        <is>
          <t>원료의약품</t>
        </is>
      </c>
      <c r="F258" t="inlineStr">
        <is>
          <t>생물-혈장분획제제-정제</t>
        </is>
      </c>
      <c r="G258" s="32" t="n">
        <v>46883</v>
      </c>
      <c r="H258">
        <f>IF(COUNTIFS($B$2:B258,B258,$D$2:D258,D258)=1,1,0)</f>
        <v/>
      </c>
      <c r="I258">
        <f>IF(OR(LEFT(F258,2)="무균",ISNUMBER(SEARCH("주사제",F258))),"Y","")</f>
        <v/>
      </c>
      <c r="J258">
        <f>IF(LEFT(F258,2)="생물","Y","")</f>
        <v/>
      </c>
    </row>
    <row r="259">
      <c r="A259" t="inlineStr">
        <is>
          <t>S258</t>
        </is>
      </c>
      <c r="B259" t="inlineStr">
        <is>
          <t>한국비엔씨</t>
        </is>
      </c>
      <c r="C259" t="inlineStr">
        <is>
          <t>(주)한국비엔씨</t>
        </is>
      </c>
      <c r="D259" t="inlineStr">
        <is>
          <t>세종특별자치시 소정면 소정산단북로 7</t>
        </is>
      </c>
      <c r="E259" t="inlineStr">
        <is>
          <t>완제의약품</t>
        </is>
      </c>
      <c r="F259" t="inlineStr">
        <is>
          <t>비무균-일반제제-내용고형제(정제, 캡슐제), 생물-독소-주사제(주사제)</t>
        </is>
      </c>
      <c r="G259" s="32" t="n">
        <v>46882</v>
      </c>
      <c r="H259">
        <f>IF(COUNTIFS($B$2:B259,B259,$D$2:D259,D259)=1,1,0)</f>
        <v/>
      </c>
      <c r="I259">
        <f>IF(OR(LEFT(F259,2)="무균",ISNUMBER(SEARCH("주사제",F259))),"Y","")</f>
        <v/>
      </c>
      <c r="J259">
        <f>IF(LEFT(F259,2)="생물","Y","")</f>
        <v/>
      </c>
    </row>
    <row r="260">
      <c r="A260" t="inlineStr">
        <is>
          <t>S259</t>
        </is>
      </c>
      <c r="B260" t="inlineStr">
        <is>
          <t>제이더블유중외제약</t>
        </is>
      </c>
      <c r="C260" t="inlineStr">
        <is>
          <t>제이더블유중외제약(주)</t>
        </is>
      </c>
      <c r="D260" t="inlineStr">
        <is>
          <t>경기도 시흥시 경제로 56 시화공단 1마 301 (정왕동)</t>
        </is>
      </c>
      <c r="E260" t="inlineStr">
        <is>
          <t>원료의약품</t>
        </is>
      </c>
      <c r="F260" t="inlineStr">
        <is>
          <t>무균-카바페넴제제-합성, 비무균-일반제제-합성, 비무균-카바페넴제제-합성, 무균-카바페넴제제-혼합</t>
        </is>
      </c>
      <c r="G260" s="32" t="n">
        <v>46876</v>
      </c>
      <c r="H260">
        <f>IF(COUNTIFS($B$2:B260,B260,$D$2:D260,D260)=1,1,0)</f>
        <v/>
      </c>
      <c r="I260">
        <f>IF(OR(LEFT(F260,2)="무균",ISNUMBER(SEARCH("주사제",F260))),"Y","")</f>
        <v/>
      </c>
      <c r="J260">
        <f>IF(LEFT(F260,2)="생물","Y","")</f>
        <v/>
      </c>
    </row>
    <row r="261">
      <c r="A261" t="inlineStr">
        <is>
          <t>S260</t>
        </is>
      </c>
      <c r="B261" t="inlineStr">
        <is>
          <t>천일가스</t>
        </is>
      </c>
      <c r="C261" t="inlineStr">
        <is>
          <t>(주)천일가스</t>
        </is>
      </c>
      <c r="D261" t="inlineStr">
        <is>
          <t>경상북도 포항시 남구 호동로 33</t>
        </is>
      </c>
      <c r="E261" t="inlineStr">
        <is>
          <t>완제의약품</t>
        </is>
      </c>
      <c r="F261" t="inlineStr">
        <is>
          <t>비무균-일반제제(의료용 고압가스)-가스제(의료용 고압가스)</t>
        </is>
      </c>
      <c r="G261" s="32" t="n">
        <v>46876</v>
      </c>
      <c r="H261">
        <f>IF(COUNTIFS($B$2:B261,B261,$D$2:D261,D261)=1,1,0)</f>
        <v/>
      </c>
      <c r="I261">
        <f>IF(OR(LEFT(F261,2)="무균",ISNUMBER(SEARCH("주사제",F261))),"Y","")</f>
        <v/>
      </c>
      <c r="J261">
        <f>IF(LEFT(F261,2)="생물","Y","")</f>
        <v/>
      </c>
    </row>
    <row r="262">
      <c r="A262" t="inlineStr">
        <is>
          <t>S261</t>
        </is>
      </c>
      <c r="B262" t="inlineStr">
        <is>
          <t>한국수소</t>
        </is>
      </c>
      <c r="C262" t="inlineStr">
        <is>
          <t>한국수소(주)</t>
        </is>
      </c>
      <c r="D262" t="inlineStr">
        <is>
          <t>경기도 부천시 오정구 석천로398번길 39</t>
        </is>
      </c>
      <c r="E262" t="inlineStr">
        <is>
          <t>완제의약품</t>
        </is>
      </c>
      <c r="F262" t="inlineStr">
        <is>
          <t>비무균-일반제제(의료용 고압가스)-가스제(의료용 고압가스)</t>
        </is>
      </c>
      <c r="G262" s="32" t="n">
        <v>46876</v>
      </c>
      <c r="H262">
        <f>IF(COUNTIFS($B$2:B262,B262,$D$2:D262,D262)=1,1,0)</f>
        <v/>
      </c>
      <c r="I262">
        <f>IF(OR(LEFT(F262,2)="무균",ISNUMBER(SEARCH("주사제",F262))),"Y","")</f>
        <v/>
      </c>
      <c r="J262">
        <f>IF(LEFT(F262,2)="생물","Y","")</f>
        <v/>
      </c>
    </row>
    <row r="263">
      <c r="A263" t="inlineStr">
        <is>
          <t>S262</t>
        </is>
      </c>
      <c r="B263" t="inlineStr">
        <is>
          <t>명인제약</t>
        </is>
      </c>
      <c r="C263" t="inlineStr">
        <is>
          <t>명인제약(주)</t>
        </is>
      </c>
      <c r="D263" t="inlineStr">
        <is>
          <t>경기도 화성시 만세구 향남읍 발안공단로 17</t>
        </is>
      </c>
      <c r="E263" t="inlineStr">
        <is>
          <t>원료의약품</t>
        </is>
      </c>
      <c r="F263" t="inlineStr">
        <is>
          <t>비무균-일반제제-합성</t>
        </is>
      </c>
      <c r="G263" s="32" t="n">
        <v>46876</v>
      </c>
      <c r="H263">
        <f>IF(COUNTIFS($B$2:B263,B263,$D$2:D263,D263)=1,1,0)</f>
        <v/>
      </c>
      <c r="I263">
        <f>IF(OR(LEFT(F263,2)="무균",ISNUMBER(SEARCH("주사제",F263))),"Y","")</f>
        <v/>
      </c>
      <c r="J263">
        <f>IF(LEFT(F263,2)="생물","Y","")</f>
        <v/>
      </c>
    </row>
    <row r="264">
      <c r="A264" t="inlineStr">
        <is>
          <t>S263</t>
        </is>
      </c>
      <c r="B264" t="inlineStr">
        <is>
          <t>에이치케이이노엔</t>
        </is>
      </c>
      <c r="C264" t="inlineStr">
        <is>
          <t>에이치케이이노엔(주)</t>
        </is>
      </c>
      <c r="D264" t="inlineStr">
        <is>
          <t>충청북도 음성군 대소읍 대소산단로 20</t>
        </is>
      </c>
      <c r="E264" t="inlineStr">
        <is>
          <t>완제의약품</t>
        </is>
      </c>
      <c r="F264" t="inlineStr">
        <is>
          <t>비무균-세팔로스포린제제-내용고형제(정제, 시럽제(고형)), 무균-일반제제-주사제(수액제)</t>
        </is>
      </c>
      <c r="G264" s="32" t="n">
        <v>46876</v>
      </c>
      <c r="H264">
        <f>IF(COUNTIFS($B$2:B264,B264,$D$2:D264,D264)=1,1,0)</f>
        <v/>
      </c>
      <c r="I264">
        <f>IF(OR(LEFT(F264,2)="무균",ISNUMBER(SEARCH("주사제",F264))),"Y","")</f>
        <v/>
      </c>
      <c r="J264">
        <f>IF(LEFT(F264,2)="생물","Y","")</f>
        <v/>
      </c>
    </row>
    <row r="265">
      <c r="A265" t="inlineStr">
        <is>
          <t>S264</t>
        </is>
      </c>
      <c r="B265" t="inlineStr">
        <is>
          <t>에이치케이이노엔</t>
        </is>
      </c>
      <c r="C265" t="inlineStr">
        <is>
          <t>에이치케이이노엔(주)</t>
        </is>
      </c>
      <c r="D265" t="inlineStr">
        <is>
          <t>충청북도 음성군 대소읍 대소산단로 20</t>
        </is>
      </c>
      <c r="E265" t="inlineStr">
        <is>
          <t>원료의약품</t>
        </is>
      </c>
      <c r="F265" t="inlineStr">
        <is>
          <t>무균-세팔로스포린제제-합성, 비무균-일반제제-합성</t>
        </is>
      </c>
      <c r="G265" s="32" t="n">
        <v>46876</v>
      </c>
      <c r="H265">
        <f>IF(COUNTIFS($B$2:B265,B265,$D$2:D265,D265)=1,1,0)</f>
        <v/>
      </c>
      <c r="I265">
        <f>IF(OR(LEFT(F265,2)="무균",ISNUMBER(SEARCH("주사제",F265))),"Y","")</f>
        <v/>
      </c>
      <c r="J265">
        <f>IF(LEFT(F265,2)="생물","Y","")</f>
        <v/>
      </c>
    </row>
    <row r="266">
      <c r="A266" t="inlineStr">
        <is>
          <t>S265</t>
        </is>
      </c>
      <c r="B266" t="inlineStr">
        <is>
          <t>제이투에이치바이오텍</t>
        </is>
      </c>
      <c r="C266" t="inlineStr">
        <is>
          <t>제이투에이치바이오텍(주)</t>
        </is>
      </c>
      <c r="D266" t="inlineStr">
        <is>
          <t>경기도 안산시 단원구 산단로 349 B동,D동일부</t>
        </is>
      </c>
      <c r="E266" t="inlineStr">
        <is>
          <t>원료의약품</t>
        </is>
      </c>
      <c r="F266" t="inlineStr">
        <is>
          <t>비무균-일반제제-합성</t>
        </is>
      </c>
      <c r="G266" s="32" t="n">
        <v>46876</v>
      </c>
      <c r="H266">
        <f>IF(COUNTIFS($B$2:B266,B266,$D$2:D266,D266)=1,1,0)</f>
        <v/>
      </c>
      <c r="I266">
        <f>IF(OR(LEFT(F266,2)="무균",ISNUMBER(SEARCH("주사제",F266))),"Y","")</f>
        <v/>
      </c>
      <c r="J266">
        <f>IF(LEFT(F266,2)="생물","Y","")</f>
        <v/>
      </c>
    </row>
    <row r="267">
      <c r="A267" t="inlineStr">
        <is>
          <t>S266</t>
        </is>
      </c>
      <c r="B267" t="inlineStr">
        <is>
          <t>동아에스티</t>
        </is>
      </c>
      <c r="C267" t="inlineStr">
        <is>
          <t>동아에스티(주)</t>
        </is>
      </c>
      <c r="D267" t="inlineStr">
        <is>
          <t>충청남도 천안시 서북구 백석공단1로 200-23 (2B, 3, 4B층)</t>
        </is>
      </c>
      <c r="E267" t="inlineStr">
        <is>
          <t>완제의약품</t>
        </is>
      </c>
      <c r="F267" t="inlineStr">
        <is>
          <t>비무균-일반제제-내용고형제(정제, 캡슐제), 무균-일반제제-주사제(주사제, 동결건조주사제), 무균-세포독성항암제제-주사제(주사제, 동결건조주사제)</t>
        </is>
      </c>
      <c r="G267" s="32" t="n">
        <v>46875</v>
      </c>
      <c r="H267">
        <f>IF(COUNTIFS($B$2:B267,B267,$D$2:D267,D267)=1,1,0)</f>
        <v/>
      </c>
      <c r="I267">
        <f>IF(OR(LEFT(F267,2)="무균",ISNUMBER(SEARCH("주사제",F267))),"Y","")</f>
        <v/>
      </c>
      <c r="J267">
        <f>IF(LEFT(F267,2)="생물","Y","")</f>
        <v/>
      </c>
    </row>
    <row r="268">
      <c r="A268" t="inlineStr">
        <is>
          <t>S267</t>
        </is>
      </c>
      <c r="B268" t="inlineStr">
        <is>
          <t>대덕가스</t>
        </is>
      </c>
      <c r="C268" t="inlineStr">
        <is>
          <t>대덕가스(주)</t>
        </is>
      </c>
      <c r="D268" t="inlineStr">
        <is>
          <t>충청남도 천안시 서북구 직산읍 직산로 186</t>
        </is>
      </c>
      <c r="E268" t="inlineStr">
        <is>
          <t>완제의약품</t>
        </is>
      </c>
      <c r="F268" t="inlineStr">
        <is>
          <t>비무균-일반제제(의료용 고압가스)-가스제(의료용 고압가스)</t>
        </is>
      </c>
      <c r="G268" s="32" t="n">
        <v>46875</v>
      </c>
      <c r="H268">
        <f>IF(COUNTIFS($B$2:B268,B268,$D$2:D268,D268)=1,1,0)</f>
        <v/>
      </c>
      <c r="I268">
        <f>IF(OR(LEFT(F268,2)="무균",ISNUMBER(SEARCH("주사제",F268))),"Y","")</f>
        <v/>
      </c>
      <c r="J268">
        <f>IF(LEFT(F268,2)="생물","Y","")</f>
        <v/>
      </c>
    </row>
    <row r="269">
      <c r="A269" t="inlineStr">
        <is>
          <t>S268</t>
        </is>
      </c>
      <c r="B269" t="inlineStr">
        <is>
          <t>삼진제약</t>
        </is>
      </c>
      <c r="C269" t="inlineStr">
        <is>
          <t>삼진제약(주)</t>
        </is>
      </c>
      <c r="D269" t="inlineStr">
        <is>
          <t>경기도 화성시 만세구 향남읍 제약공단1길 52</t>
        </is>
      </c>
      <c r="E269" t="inlineStr">
        <is>
          <t>완제의약품</t>
        </is>
      </c>
      <c r="F269" t="inlineStr">
        <is>
          <t>비무균-일반제제-내용고형제(정제, 캡슐제)</t>
        </is>
      </c>
      <c r="G269" s="32" t="n">
        <v>46871</v>
      </c>
      <c r="H269">
        <f>IF(COUNTIFS($B$2:B269,B269,$D$2:D269,D269)=1,1,0)</f>
        <v/>
      </c>
      <c r="I269">
        <f>IF(OR(LEFT(F269,2)="무균",ISNUMBER(SEARCH("주사제",F269))),"Y","")</f>
        <v/>
      </c>
      <c r="J269">
        <f>IF(LEFT(F269,2)="생물","Y","")</f>
        <v/>
      </c>
    </row>
    <row r="270">
      <c r="A270" t="inlineStr">
        <is>
          <t>S269</t>
        </is>
      </c>
      <c r="B270" t="inlineStr">
        <is>
          <t>마더스제약</t>
        </is>
      </c>
      <c r="C270" t="inlineStr">
        <is>
          <t>(주)마더스제약</t>
        </is>
      </c>
      <c r="D270" t="inlineStr">
        <is>
          <t>전북특별자치도 익산시 삼기면 산단오룡길 38 마더스제약 제2공장</t>
        </is>
      </c>
      <c r="E270" t="inlineStr">
        <is>
          <t>완제의약품</t>
        </is>
      </c>
      <c r="F270" t="inlineStr">
        <is>
          <t>비무균-일반제제-내용고형제(정제, 캡슐제)</t>
        </is>
      </c>
      <c r="G270" s="32" t="n">
        <v>46871</v>
      </c>
      <c r="H270">
        <f>IF(COUNTIFS($B$2:B270,B270,$D$2:D270,D270)=1,1,0)</f>
        <v/>
      </c>
      <c r="I270">
        <f>IF(OR(LEFT(F270,2)="무균",ISNUMBER(SEARCH("주사제",F270))),"Y","")</f>
        <v/>
      </c>
      <c r="J270">
        <f>IF(LEFT(F270,2)="생물","Y","")</f>
        <v/>
      </c>
    </row>
    <row r="271">
      <c r="A271" t="inlineStr">
        <is>
          <t>S270</t>
        </is>
      </c>
      <c r="B271" t="inlineStr">
        <is>
          <t>단일시스켐</t>
        </is>
      </c>
      <c r="C271" t="inlineStr">
        <is>
          <t>단일시스켐(주)</t>
        </is>
      </c>
      <c r="D271" t="inlineStr">
        <is>
          <t>충청북도 음성군 음성읍 한불로69번길 12-7</t>
        </is>
      </c>
      <c r="E271" t="inlineStr">
        <is>
          <t>완제의약품</t>
        </is>
      </c>
      <c r="F271" t="inlineStr">
        <is>
          <t>비무균-일반제제-가스제(의료용 고압가스)</t>
        </is>
      </c>
      <c r="G271" s="32" t="n">
        <v>46871</v>
      </c>
      <c r="H271">
        <f>IF(COUNTIFS($B$2:B271,B271,$D$2:D271,D271)=1,1,0)</f>
        <v/>
      </c>
      <c r="I271">
        <f>IF(OR(LEFT(F271,2)="무균",ISNUMBER(SEARCH("주사제",F271))),"Y","")</f>
        <v/>
      </c>
      <c r="J271">
        <f>IF(LEFT(F271,2)="생물","Y","")</f>
        <v/>
      </c>
    </row>
    <row r="272">
      <c r="A272" t="inlineStr">
        <is>
          <t>S271</t>
        </is>
      </c>
      <c r="B272" t="inlineStr">
        <is>
          <t>바이넥스</t>
        </is>
      </c>
      <c r="C272" t="inlineStr">
        <is>
          <t>(주)바이넥스</t>
        </is>
      </c>
      <c r="D272" t="inlineStr">
        <is>
          <t>인천광역시 연수구 갯벌로 3</t>
        </is>
      </c>
      <c r="E272" t="inlineStr">
        <is>
          <t>완제의약품</t>
        </is>
      </c>
      <c r="F272" t="inlineStr">
        <is>
          <t>무균-일반제제-주사제(주사제)</t>
        </is>
      </c>
      <c r="G272" s="32" t="n">
        <v>46870</v>
      </c>
      <c r="H272">
        <f>IF(COUNTIFS($B$2:B272,B272,$D$2:D272,D272)=1,1,0)</f>
        <v/>
      </c>
      <c r="I272">
        <f>IF(OR(LEFT(F272,2)="무균",ISNUMBER(SEARCH("주사제",F272))),"Y","")</f>
        <v/>
      </c>
      <c r="J272">
        <f>IF(LEFT(F272,2)="생물","Y","")</f>
        <v/>
      </c>
    </row>
    <row r="273">
      <c r="A273" t="inlineStr">
        <is>
          <t>S272</t>
        </is>
      </c>
      <c r="B273" t="inlineStr">
        <is>
          <t>삼전순약공업</t>
        </is>
      </c>
      <c r="C273" t="inlineStr">
        <is>
          <t>삼전순약공업(주)</t>
        </is>
      </c>
      <c r="D273" t="inlineStr">
        <is>
          <t>경기도 평택시 산단로16번길 117</t>
        </is>
      </c>
      <c r="E273" t="inlineStr">
        <is>
          <t>원료의약품</t>
        </is>
      </c>
      <c r="F273" t="inlineStr">
        <is>
          <t>비무균-일반제제-합성</t>
        </is>
      </c>
      <c r="G273" s="32" t="n">
        <v>46870</v>
      </c>
      <c r="H273">
        <f>IF(COUNTIFS($B$2:B273,B273,$D$2:D273,D273)=1,1,0)</f>
        <v/>
      </c>
      <c r="I273">
        <f>IF(OR(LEFT(F273,2)="무균",ISNUMBER(SEARCH("주사제",F273))),"Y","")</f>
        <v/>
      </c>
      <c r="J273">
        <f>IF(LEFT(F273,2)="생물","Y","")</f>
        <v/>
      </c>
    </row>
    <row r="274">
      <c r="A274" t="inlineStr">
        <is>
          <t>S273</t>
        </is>
      </c>
      <c r="B274" t="inlineStr">
        <is>
          <t>국제산업가스</t>
        </is>
      </c>
      <c r="C274" t="inlineStr">
        <is>
          <t>국제산업가스(주)</t>
        </is>
      </c>
      <c r="D274" t="inlineStr">
        <is>
          <t>경기도 안양시 동안구 시민대로 95</t>
        </is>
      </c>
      <c r="E274" t="inlineStr">
        <is>
          <t>완제의약품</t>
        </is>
      </c>
      <c r="F274" t="inlineStr">
        <is>
          <t>비무균-일반제제(의료용 고압가스)-가스제(의료용 고압가스)</t>
        </is>
      </c>
      <c r="G274" s="32" t="n">
        <v>46870</v>
      </c>
      <c r="H274">
        <f>IF(COUNTIFS($B$2:B274,B274,$D$2:D274,D274)=1,1,0)</f>
        <v/>
      </c>
      <c r="I274">
        <f>IF(OR(LEFT(F274,2)="무균",ISNUMBER(SEARCH("주사제",F274))),"Y","")</f>
        <v/>
      </c>
      <c r="J274">
        <f>IF(LEFT(F274,2)="생물","Y","")</f>
        <v/>
      </c>
    </row>
    <row r="275">
      <c r="A275" t="inlineStr">
        <is>
          <t>S274</t>
        </is>
      </c>
      <c r="B275" t="inlineStr">
        <is>
          <t>아주산소</t>
        </is>
      </c>
      <c r="C275" t="inlineStr">
        <is>
          <t>아주산소(주)</t>
        </is>
      </c>
      <c r="D275" t="inlineStr">
        <is>
          <t>광주광역시 남구 송암로58번길 46</t>
        </is>
      </c>
      <c r="E275" t="inlineStr">
        <is>
          <t>완제의약품</t>
        </is>
      </c>
      <c r="F275" t="inlineStr">
        <is>
          <t>비무균-일반제제(의료용 고압가스)-가스제(의료용 고압가스)</t>
        </is>
      </c>
      <c r="G275" s="32" t="n">
        <v>46868</v>
      </c>
      <c r="H275">
        <f>IF(COUNTIFS($B$2:B275,B275,$D$2:D275,D275)=1,1,0)</f>
        <v/>
      </c>
      <c r="I275">
        <f>IF(OR(LEFT(F275,2)="무균",ISNUMBER(SEARCH("주사제",F275))),"Y","")</f>
        <v/>
      </c>
      <c r="J275">
        <f>IF(LEFT(F275,2)="생물","Y","")</f>
        <v/>
      </c>
    </row>
    <row r="276">
      <c r="A276" t="inlineStr">
        <is>
          <t>S275</t>
        </is>
      </c>
      <c r="B276" t="inlineStr">
        <is>
          <t>선도화학</t>
        </is>
      </c>
      <c r="C276" t="inlineStr">
        <is>
          <t>선도화학주식회사</t>
        </is>
      </c>
      <c r="D276" t="inlineStr">
        <is>
          <t>충청남도 서산시 대산읍 죽엽로 363 3동, K동, 7동 101 호</t>
        </is>
      </c>
      <c r="E276" t="inlineStr">
        <is>
          <t>완제의약품</t>
        </is>
      </c>
      <c r="F276" t="inlineStr">
        <is>
          <t>비무균-일반제제(의료용 고압가스)-가스제(의료용 고압가스)</t>
        </is>
      </c>
      <c r="G276" s="32" t="n">
        <v>46867</v>
      </c>
      <c r="H276">
        <f>IF(COUNTIFS($B$2:B276,B276,$D$2:D276,D276)=1,1,0)</f>
        <v/>
      </c>
      <c r="I276">
        <f>IF(OR(LEFT(F276,2)="무균",ISNUMBER(SEARCH("주사제",F276))),"Y","")</f>
        <v/>
      </c>
      <c r="J276">
        <f>IF(LEFT(F276,2)="생물","Y","")</f>
        <v/>
      </c>
    </row>
    <row r="277">
      <c r="A277" t="inlineStr">
        <is>
          <t>S276</t>
        </is>
      </c>
      <c r="B277" t="inlineStr">
        <is>
          <t>영진약품</t>
        </is>
      </c>
      <c r="C277" t="inlineStr">
        <is>
          <t>영진약품(주)</t>
        </is>
      </c>
      <c r="D277" t="inlineStr">
        <is>
          <t>경기도 화성시 만세구 남양읍 무하로 66</t>
        </is>
      </c>
      <c r="E277" t="inlineStr">
        <is>
          <t>완제의약품</t>
        </is>
      </c>
      <c r="F277" t="inlineStr">
        <is>
          <t>비무균-세팔로스포린제제-내용고형제(정제, 캡슐제, 산제, 시럽제(고형)), 비무균-일반제제-내용고형제(정제, 캡슐제), 무균-세팔로스포린제제-주사제(분말주사제), 비무균-일반제제-내용액제(시럽제(액상), 현탁제)</t>
        </is>
      </c>
      <c r="G277" s="32" t="n">
        <v>46864</v>
      </c>
      <c r="H277">
        <f>IF(COUNTIFS($B$2:B277,B277,$D$2:D277,D277)=1,1,0)</f>
        <v/>
      </c>
      <c r="I277">
        <f>IF(OR(LEFT(F277,2)="무균",ISNUMBER(SEARCH("주사제",F277))),"Y","")</f>
        <v/>
      </c>
      <c r="J277">
        <f>IF(LEFT(F277,2)="생물","Y","")</f>
        <v/>
      </c>
    </row>
    <row r="278">
      <c r="A278" t="inlineStr">
        <is>
          <t>S277</t>
        </is>
      </c>
      <c r="B278" t="inlineStr">
        <is>
          <t>팜젠사이언스</t>
        </is>
      </c>
      <c r="C278" t="inlineStr">
        <is>
          <t>(주)팜젠사이언스</t>
        </is>
      </c>
      <c r="D278" t="inlineStr">
        <is>
          <t>경기도 화성시 만세구 향남읍 제약공단2길 50</t>
        </is>
      </c>
      <c r="E278" t="inlineStr">
        <is>
          <t>완제의약품</t>
        </is>
      </c>
      <c r="F278" t="inlineStr">
        <is>
          <t>비무균-일반제제-내용고형제(정제, 캡슐제, 과립제, 시럽제(고형)), 비무균-일반제제-내용액제(경구용액제, 시럽제(액상), 현탁제), 비무균-일반제제-그 밖의 고형제(혈액투석제(고형))</t>
        </is>
      </c>
      <c r="G278" s="32" t="n">
        <v>46864</v>
      </c>
      <c r="H278">
        <f>IF(COUNTIFS($B$2:B278,B278,$D$2:D278,D278)=1,1,0)</f>
        <v/>
      </c>
      <c r="I278">
        <f>IF(OR(LEFT(F278,2)="무균",ISNUMBER(SEARCH("주사제",F278))),"Y","")</f>
        <v/>
      </c>
      <c r="J278">
        <f>IF(LEFT(F278,2)="생물","Y","")</f>
        <v/>
      </c>
    </row>
    <row r="279">
      <c r="A279" t="inlineStr">
        <is>
          <t>S278</t>
        </is>
      </c>
      <c r="B279" t="inlineStr">
        <is>
          <t>알보젠코리아</t>
        </is>
      </c>
      <c r="C279" t="inlineStr">
        <is>
          <t>알보젠코리아(주)</t>
        </is>
      </c>
      <c r="D279" t="inlineStr">
        <is>
          <t>충청남도 공주시 정안면 정안농공단지길 55-8</t>
        </is>
      </c>
      <c r="E279" t="inlineStr">
        <is>
          <t>완제의약품</t>
        </is>
      </c>
      <c r="F279" t="inlineStr">
        <is>
          <t>비무균-일반제제-내용고형제(정제, 질정, 캡슐제, 산제, 과립제)</t>
        </is>
      </c>
      <c r="G279" s="32" t="n">
        <v>46863</v>
      </c>
      <c r="H279">
        <f>IF(COUNTIFS($B$2:B279,B279,$D$2:D279,D279)=1,1,0)</f>
        <v/>
      </c>
      <c r="I279">
        <f>IF(OR(LEFT(F279,2)="무균",ISNUMBER(SEARCH("주사제",F279))),"Y","")</f>
        <v/>
      </c>
      <c r="J279">
        <f>IF(LEFT(F279,2)="생물","Y","")</f>
        <v/>
      </c>
    </row>
    <row r="280">
      <c r="A280" t="inlineStr">
        <is>
          <t>S279</t>
        </is>
      </c>
      <c r="B280" t="inlineStr">
        <is>
          <t>대웅바이오</t>
        </is>
      </c>
      <c r="C280" t="inlineStr">
        <is>
          <t>대웅바이오(주)</t>
        </is>
      </c>
      <c r="D280" t="inlineStr">
        <is>
          <t>경기도 안성시 공단1로 69</t>
        </is>
      </c>
      <c r="E280" t="inlineStr">
        <is>
          <t>완제의약품</t>
        </is>
      </c>
      <c r="F280" t="inlineStr">
        <is>
          <t>비무균-일반제제-내용고형제(정제, 캡슐제)</t>
        </is>
      </c>
      <c r="G280" s="32" t="n">
        <v>46862</v>
      </c>
      <c r="H280">
        <f>IF(COUNTIFS($B$2:B280,B280,$D$2:D280,D280)=1,1,0)</f>
        <v/>
      </c>
      <c r="I280">
        <f>IF(OR(LEFT(F280,2)="무균",ISNUMBER(SEARCH("주사제",F280))),"Y","")</f>
        <v/>
      </c>
      <c r="J280">
        <f>IF(LEFT(F280,2)="생물","Y","")</f>
        <v/>
      </c>
    </row>
    <row r="281">
      <c r="A281" t="inlineStr">
        <is>
          <t>S280</t>
        </is>
      </c>
      <c r="B281" t="inlineStr">
        <is>
          <t>신화제약</t>
        </is>
      </c>
      <c r="C281" t="inlineStr">
        <is>
          <t>신화제약(주)</t>
        </is>
      </c>
      <c r="D281" t="inlineStr">
        <is>
          <t>대구광역시 달서구 성서동로 105</t>
        </is>
      </c>
      <c r="E281" t="inlineStr">
        <is>
          <t>완제의약품</t>
        </is>
      </c>
      <c r="F281" t="inlineStr">
        <is>
          <t>비무균-일반제제-내용고형제(정제, 과립제, 환제)</t>
        </is>
      </c>
      <c r="G281" s="32" t="n">
        <v>46857</v>
      </c>
      <c r="H281">
        <f>IF(COUNTIFS($B$2:B281,B281,$D$2:D281,D281)=1,1,0)</f>
        <v/>
      </c>
      <c r="I281">
        <f>IF(OR(LEFT(F281,2)="무균",ISNUMBER(SEARCH("주사제",F281))),"Y","")</f>
        <v/>
      </c>
      <c r="J281">
        <f>IF(LEFT(F281,2)="생물","Y","")</f>
        <v/>
      </c>
    </row>
    <row r="282">
      <c r="A282" t="inlineStr">
        <is>
          <t>S281</t>
        </is>
      </c>
      <c r="B282" t="inlineStr">
        <is>
          <t>비씨월드제약</t>
        </is>
      </c>
      <c r="C282" t="inlineStr">
        <is>
          <t>(주)비씨월드제약</t>
        </is>
      </c>
      <c r="D282" t="inlineStr">
        <is>
          <t>경기도 여주시 가남읍 여주남로 872-23</t>
        </is>
      </c>
      <c r="E282" t="inlineStr">
        <is>
          <t>완제의약품</t>
        </is>
      </c>
      <c r="F282" t="inlineStr">
        <is>
          <t>비무균-일반제제-내용고형제(정제, 캡슐제), 무균-일반제제-주사제(주사제, 동결건조주사제)</t>
        </is>
      </c>
      <c r="G282" s="32" t="n">
        <v>46857</v>
      </c>
      <c r="H282">
        <f>IF(COUNTIFS($B$2:B282,B282,$D$2:D282,D282)=1,1,0)</f>
        <v/>
      </c>
      <c r="I282">
        <f>IF(OR(LEFT(F282,2)="무균",ISNUMBER(SEARCH("주사제",F282))),"Y","")</f>
        <v/>
      </c>
      <c r="J282">
        <f>IF(LEFT(F282,2)="생물","Y","")</f>
        <v/>
      </c>
    </row>
    <row r="283">
      <c r="A283" t="inlineStr">
        <is>
          <t>S282</t>
        </is>
      </c>
      <c r="B283" t="inlineStr">
        <is>
          <t>아이티켐</t>
        </is>
      </c>
      <c r="C283" t="inlineStr">
        <is>
          <t>(주)아이티켐</t>
        </is>
      </c>
      <c r="D283" t="inlineStr">
        <is>
          <t>충청북도 청주시 청원구 오창읍 양청송대길 231</t>
        </is>
      </c>
      <c r="E283" t="inlineStr">
        <is>
          <t>원료의약품</t>
        </is>
      </c>
      <c r="F283" t="inlineStr">
        <is>
          <t>비무균-일반제제-합성</t>
        </is>
      </c>
      <c r="G283" s="32" t="n">
        <v>46856</v>
      </c>
      <c r="H283">
        <f>IF(COUNTIFS($B$2:B283,B283,$D$2:D283,D283)=1,1,0)</f>
        <v/>
      </c>
      <c r="I283">
        <f>IF(OR(LEFT(F283,2)="무균",ISNUMBER(SEARCH("주사제",F283))),"Y","")</f>
        <v/>
      </c>
      <c r="J283">
        <f>IF(LEFT(F283,2)="생물","Y","")</f>
        <v/>
      </c>
    </row>
    <row r="284">
      <c r="A284" t="inlineStr">
        <is>
          <t>S283</t>
        </is>
      </c>
      <c r="B284" t="inlineStr">
        <is>
          <t>동양산업가스</t>
        </is>
      </c>
      <c r="C284" t="inlineStr">
        <is>
          <t>동양산업가스(주)</t>
        </is>
      </c>
      <c r="D284" t="inlineStr">
        <is>
          <t>경기도 광주시 곤지암읍 경충대로 820</t>
        </is>
      </c>
      <c r="E284" t="inlineStr">
        <is>
          <t>완제의약품</t>
        </is>
      </c>
      <c r="F284" t="inlineStr">
        <is>
          <t>비무균-일반제제(의료용 고압가스)-가스제(의료용 고압가스)</t>
        </is>
      </c>
      <c r="G284" s="32" t="n">
        <v>46854</v>
      </c>
      <c r="H284">
        <f>IF(COUNTIFS($B$2:B284,B284,$D$2:D284,D284)=1,1,0)</f>
        <v/>
      </c>
      <c r="I284">
        <f>IF(OR(LEFT(F284,2)="무균",ISNUMBER(SEARCH("주사제",F284))),"Y","")</f>
        <v/>
      </c>
      <c r="J284">
        <f>IF(LEFT(F284,2)="생물","Y","")</f>
        <v/>
      </c>
    </row>
    <row r="285">
      <c r="A285" t="inlineStr">
        <is>
          <t>S284</t>
        </is>
      </c>
      <c r="B285" t="inlineStr">
        <is>
          <t>신일가스-영암</t>
        </is>
      </c>
      <c r="C285" t="inlineStr">
        <is>
          <t>신일가스(주)-영암</t>
        </is>
      </c>
      <c r="D285" t="inlineStr">
        <is>
          <t>전라남도 영암군 삼호읍 대아로 24</t>
        </is>
      </c>
      <c r="E285" t="inlineStr">
        <is>
          <t>완제의약품</t>
        </is>
      </c>
      <c r="F285" t="inlineStr">
        <is>
          <t>비무균-일반제제(의료용 고압가스)-가스제(의료용 고압가스)</t>
        </is>
      </c>
      <c r="G285" s="32" t="n">
        <v>46854</v>
      </c>
      <c r="H285">
        <f>IF(COUNTIFS($B$2:B285,B285,$D$2:D285,D285)=1,1,0)</f>
        <v/>
      </c>
      <c r="I285">
        <f>IF(OR(LEFT(F285,2)="무균",ISNUMBER(SEARCH("주사제",F285))),"Y","")</f>
        <v/>
      </c>
      <c r="J285">
        <f>IF(LEFT(F285,2)="생물","Y","")</f>
        <v/>
      </c>
    </row>
    <row r="286">
      <c r="A286" t="inlineStr">
        <is>
          <t>S285</t>
        </is>
      </c>
      <c r="B286" t="inlineStr">
        <is>
          <t>삼양산업</t>
        </is>
      </c>
      <c r="C286" t="inlineStr">
        <is>
          <t>삼양산업(주)</t>
        </is>
      </c>
      <c r="D286" t="inlineStr">
        <is>
          <t>경상북도 포항시 북구 흥해읍 동해대로 1887</t>
        </is>
      </c>
      <c r="E286" t="inlineStr">
        <is>
          <t>완제의약품</t>
        </is>
      </c>
      <c r="F286" t="inlineStr">
        <is>
          <t>비무균-일반제제(의료용 고압가스)-가스제(의료용 고압가스)</t>
        </is>
      </c>
      <c r="G286" s="32" t="n">
        <v>46853</v>
      </c>
      <c r="H286">
        <f>IF(COUNTIFS($B$2:B286,B286,$D$2:D286,D286)=1,1,0)</f>
        <v/>
      </c>
      <c r="I286">
        <f>IF(OR(LEFT(F286,2)="무균",ISNUMBER(SEARCH("주사제",F286))),"Y","")</f>
        <v/>
      </c>
      <c r="J286">
        <f>IF(LEFT(F286,2)="생물","Y","")</f>
        <v/>
      </c>
    </row>
    <row r="287">
      <c r="A287" t="inlineStr">
        <is>
          <t>S286</t>
        </is>
      </c>
      <c r="B287" t="inlineStr">
        <is>
          <t>경남제약</t>
        </is>
      </c>
      <c r="C287" t="inlineStr">
        <is>
          <t>경남제약(주)</t>
        </is>
      </c>
      <c r="D287" t="inlineStr">
        <is>
          <t>경상남도 의령군 의령읍 구룡로4남길 79</t>
        </is>
      </c>
      <c r="E287" t="inlineStr">
        <is>
          <t>원료의약품</t>
        </is>
      </c>
      <c r="F287" t="inlineStr">
        <is>
          <t>비무균-일반제제-추출</t>
        </is>
      </c>
      <c r="G287" s="32" t="n">
        <v>46850</v>
      </c>
      <c r="H287">
        <f>IF(COUNTIFS($B$2:B287,B287,$D$2:D287,D287)=1,1,0)</f>
        <v/>
      </c>
      <c r="I287">
        <f>IF(OR(LEFT(F287,2)="무균",ISNUMBER(SEARCH("주사제",F287))),"Y","")</f>
        <v/>
      </c>
      <c r="J287">
        <f>IF(LEFT(F287,2)="생물","Y","")</f>
        <v/>
      </c>
    </row>
    <row r="288">
      <c r="A288" t="inlineStr">
        <is>
          <t>S287</t>
        </is>
      </c>
      <c r="B288" t="inlineStr">
        <is>
          <t>삼일제약</t>
        </is>
      </c>
      <c r="C288" t="inlineStr">
        <is>
          <t>삼일제약(주)</t>
        </is>
      </c>
      <c r="D288" t="inlineStr">
        <is>
          <t>경기도 안산시 단원구 산단로 216 (원시동)</t>
        </is>
      </c>
      <c r="E288" t="inlineStr">
        <is>
          <t>완제의약품</t>
        </is>
      </c>
      <c r="F288" t="inlineStr">
        <is>
          <t>비무균-일반제제-내용고형제(정제, 과립제, 시럽제(고형), 츄어블정(저작정)), 무균-일반제제-점안제(점안제), 비무균-일반제제-내용액제(경구용액제, 시럽제(액상), 현탁제), 비무균-일반제제-외용액제(외용액제), 무균-일반제제-연고제(안연고제), 비무균-일반제제-연고제(연고제, 겔제)</t>
        </is>
      </c>
      <c r="G288" s="32" t="n">
        <v>46850</v>
      </c>
      <c r="H288">
        <f>IF(COUNTIFS($B$2:B288,B288,$D$2:D288,D288)=1,1,0)</f>
        <v/>
      </c>
      <c r="I288">
        <f>IF(OR(LEFT(F288,2)="무균",ISNUMBER(SEARCH("주사제",F288))),"Y","")</f>
        <v/>
      </c>
      <c r="J288">
        <f>IF(LEFT(F288,2)="생물","Y","")</f>
        <v/>
      </c>
    </row>
    <row r="289">
      <c r="A289" t="inlineStr">
        <is>
          <t>S288</t>
        </is>
      </c>
      <c r="B289" t="inlineStr">
        <is>
          <t>대웅바이오</t>
        </is>
      </c>
      <c r="C289" t="inlineStr">
        <is>
          <t>대웅바이오(주)</t>
        </is>
      </c>
      <c r="D289" t="inlineStr">
        <is>
          <t>경기도 화성시 만세구 향남읍 제약단지로 29</t>
        </is>
      </c>
      <c r="E289" t="inlineStr">
        <is>
          <t>원료의약품</t>
        </is>
      </c>
      <c r="F289" t="inlineStr">
        <is>
          <t>비무균-일반제제-합성</t>
        </is>
      </c>
      <c r="G289" s="32" t="n">
        <v>46850</v>
      </c>
      <c r="H289">
        <f>IF(COUNTIFS($B$2:B289,B289,$D$2:D289,D289)=1,1,0)</f>
        <v/>
      </c>
      <c r="I289">
        <f>IF(OR(LEFT(F289,2)="무균",ISNUMBER(SEARCH("주사제",F289))),"Y","")</f>
        <v/>
      </c>
      <c r="J289">
        <f>IF(LEFT(F289,2)="생물","Y","")</f>
        <v/>
      </c>
    </row>
    <row r="290">
      <c r="A290" t="inlineStr">
        <is>
          <t>S289</t>
        </is>
      </c>
      <c r="B290" t="inlineStr">
        <is>
          <t>유한화학</t>
        </is>
      </c>
      <c r="C290" t="inlineStr">
        <is>
          <t>주식회사 유한화학</t>
        </is>
      </c>
      <c r="D290" t="inlineStr">
        <is>
          <t>경기도 화성시 만세구 마도면 청원산단8길 162</t>
        </is>
      </c>
      <c r="E290" t="inlineStr">
        <is>
          <t>원료의약품</t>
        </is>
      </c>
      <c r="F290" t="inlineStr">
        <is>
          <t>비무균-일반제제-합성</t>
        </is>
      </c>
      <c r="G290" s="32" t="n">
        <v>46849</v>
      </c>
      <c r="H290">
        <f>IF(COUNTIFS($B$2:B290,B290,$D$2:D290,D290)=1,1,0)</f>
        <v/>
      </c>
      <c r="I290">
        <f>IF(OR(LEFT(F290,2)="무균",ISNUMBER(SEARCH("주사제",F290))),"Y","")</f>
        <v/>
      </c>
      <c r="J290">
        <f>IF(LEFT(F290,2)="생물","Y","")</f>
        <v/>
      </c>
    </row>
    <row r="291">
      <c r="A291" t="inlineStr">
        <is>
          <t>S290</t>
        </is>
      </c>
      <c r="B291" t="inlineStr">
        <is>
          <t>대창가스공업사</t>
        </is>
      </c>
      <c r="C291" t="inlineStr">
        <is>
          <t>대창가스공업사</t>
        </is>
      </c>
      <c r="D291" t="inlineStr">
        <is>
          <t>광주광역시 남구 서문대로473번길 12</t>
        </is>
      </c>
      <c r="E291" t="inlineStr">
        <is>
          <t>완제의약품</t>
        </is>
      </c>
      <c r="F291" t="inlineStr">
        <is>
          <t>비무균-일반제제(의료용 고압가스)-가스제(의료용 고압가스)</t>
        </is>
      </c>
      <c r="G291" s="32" t="n">
        <v>46849</v>
      </c>
      <c r="H291">
        <f>IF(COUNTIFS($B$2:B291,B291,$D$2:D291,D291)=1,1,0)</f>
        <v/>
      </c>
      <c r="I291">
        <f>IF(OR(LEFT(F291,2)="무균",ISNUMBER(SEARCH("주사제",F291))),"Y","")</f>
        <v/>
      </c>
      <c r="J291">
        <f>IF(LEFT(F291,2)="생물","Y","")</f>
        <v/>
      </c>
    </row>
    <row r="292">
      <c r="A292" t="inlineStr">
        <is>
          <t>S291</t>
        </is>
      </c>
      <c r="B292" t="inlineStr">
        <is>
          <t>한성산업</t>
        </is>
      </c>
      <c r="C292" t="inlineStr">
        <is>
          <t>한성산업(주)</t>
        </is>
      </c>
      <c r="D292" t="inlineStr">
        <is>
          <t>경상북도 경주시 광중길 18</t>
        </is>
      </c>
      <c r="E292" t="inlineStr">
        <is>
          <t>완제의약품</t>
        </is>
      </c>
      <c r="F292" t="inlineStr">
        <is>
          <t>비무균-일반제제(의료용 고압가스)-가스제(의료용 고압가스)</t>
        </is>
      </c>
      <c r="G292" s="32" t="n">
        <v>46849</v>
      </c>
      <c r="H292">
        <f>IF(COUNTIFS($B$2:B292,B292,$D$2:D292,D292)=1,1,0)</f>
        <v/>
      </c>
      <c r="I292">
        <f>IF(OR(LEFT(F292,2)="무균",ISNUMBER(SEARCH("주사제",F292))),"Y","")</f>
        <v/>
      </c>
      <c r="J292">
        <f>IF(LEFT(F292,2)="생물","Y","")</f>
        <v/>
      </c>
    </row>
    <row r="293">
      <c r="A293" t="inlineStr">
        <is>
          <t>S292</t>
        </is>
      </c>
      <c r="B293" t="inlineStr">
        <is>
          <t>피케이씨</t>
        </is>
      </c>
      <c r="C293" t="inlineStr">
        <is>
          <t>피케이씨 주식회사</t>
        </is>
      </c>
      <c r="D293" t="inlineStr">
        <is>
          <t>충청북도 음성군 생극면 생극산단1길 17 바동, 사동, 아동, 자동</t>
        </is>
      </c>
      <c r="E293" t="inlineStr">
        <is>
          <t>완제의약품</t>
        </is>
      </c>
      <c r="F293" t="inlineStr">
        <is>
          <t>비무균-일반제제(의료용 고압가스)-가스제(의료용 고압가스)</t>
        </is>
      </c>
      <c r="G293" s="32" t="n">
        <v>46848</v>
      </c>
      <c r="H293">
        <f>IF(COUNTIFS($B$2:B293,B293,$D$2:D293,D293)=1,1,0)</f>
        <v/>
      </c>
      <c r="I293">
        <f>IF(OR(LEFT(F293,2)="무균",ISNUMBER(SEARCH("주사제",F293))),"Y","")</f>
        <v/>
      </c>
      <c r="J293">
        <f>IF(LEFT(F293,2)="생물","Y","")</f>
        <v/>
      </c>
    </row>
    <row r="294">
      <c r="A294" t="inlineStr">
        <is>
          <t>S293</t>
        </is>
      </c>
      <c r="B294" t="inlineStr">
        <is>
          <t>듀켐바이오</t>
        </is>
      </c>
      <c r="C294" t="inlineStr">
        <is>
          <t>(주)듀켐바이오</t>
        </is>
      </c>
      <c r="D294" t="inlineStr">
        <is>
          <t>대구광역시 북구 호국로 807</t>
        </is>
      </c>
      <c r="E294" t="inlineStr">
        <is>
          <t>완제의약품</t>
        </is>
      </c>
      <c r="F294" t="inlineStr">
        <is>
          <t>무균-일반제제(방사성의약품)-주사제(주사제)</t>
        </is>
      </c>
      <c r="G294" s="32" t="n">
        <v>46848</v>
      </c>
      <c r="H294">
        <f>IF(COUNTIFS($B$2:B294,B294,$D$2:D294,D294)=1,1,0)</f>
        <v/>
      </c>
      <c r="I294">
        <f>IF(OR(LEFT(F294,2)="무균",ISNUMBER(SEARCH("주사제",F294))),"Y","")</f>
        <v/>
      </c>
      <c r="J294">
        <f>IF(LEFT(F294,2)="생물","Y","")</f>
        <v/>
      </c>
    </row>
    <row r="295">
      <c r="A295" t="inlineStr">
        <is>
          <t>S294</t>
        </is>
      </c>
      <c r="B295" t="inlineStr">
        <is>
          <t>한국프라임제약</t>
        </is>
      </c>
      <c r="C295" t="inlineStr">
        <is>
          <t>한국프라임제약(주)</t>
        </is>
      </c>
      <c r="D295" t="inlineStr">
        <is>
          <t>전북특별자치도 완주군 봉동읍 완주산단6로 209</t>
        </is>
      </c>
      <c r="E295" t="inlineStr">
        <is>
          <t>원료의약품</t>
        </is>
      </c>
      <c r="F295" t="inlineStr">
        <is>
          <t>비무균-일반제제-정제(합성에 한함)</t>
        </is>
      </c>
      <c r="G295" s="32" t="n">
        <v>46847</v>
      </c>
      <c r="H295">
        <f>IF(COUNTIFS($B$2:B295,B295,$D$2:D295,D295)=1,1,0)</f>
        <v/>
      </c>
      <c r="I295">
        <f>IF(OR(LEFT(F295,2)="무균",ISNUMBER(SEARCH("주사제",F295))),"Y","")</f>
        <v/>
      </c>
      <c r="J295">
        <f>IF(LEFT(F295,2)="생물","Y","")</f>
        <v/>
      </c>
    </row>
    <row r="296">
      <c r="A296" t="inlineStr">
        <is>
          <t>S295</t>
        </is>
      </c>
      <c r="B296" t="inlineStr">
        <is>
          <t>삼진제약</t>
        </is>
      </c>
      <c r="C296" t="inlineStr">
        <is>
          <t>삼진제약(주)</t>
        </is>
      </c>
      <c r="D296" t="inlineStr">
        <is>
          <t>충청북도 청주시 흥덕구 오송읍 오송생명6로 156</t>
        </is>
      </c>
      <c r="E296" t="inlineStr">
        <is>
          <t>원료의약품</t>
        </is>
      </c>
      <c r="F296" t="inlineStr">
        <is>
          <t>비무균-일반제제-합성</t>
        </is>
      </c>
      <c r="G296" s="32" t="n">
        <v>46843</v>
      </c>
      <c r="H296">
        <f>IF(COUNTIFS($B$2:B296,B296,$D$2:D296,D296)=1,1,0)</f>
        <v/>
      </c>
      <c r="I296">
        <f>IF(OR(LEFT(F296,2)="무균",ISNUMBER(SEARCH("주사제",F296))),"Y","")</f>
        <v/>
      </c>
      <c r="J296">
        <f>IF(LEFT(F296,2)="생물","Y","")</f>
        <v/>
      </c>
    </row>
    <row r="297">
      <c r="A297" t="inlineStr">
        <is>
          <t>S296</t>
        </is>
      </c>
      <c r="B297" t="inlineStr">
        <is>
          <t>에이치엘비펩</t>
        </is>
      </c>
      <c r="C297" t="inlineStr">
        <is>
          <t>에이치엘비펩(주)</t>
        </is>
      </c>
      <c r="D297" t="inlineStr">
        <is>
          <t>충청북도 청주시 흥덕구 오송읍 정중연제로 773</t>
        </is>
      </c>
      <c r="E297" t="inlineStr">
        <is>
          <t>원료의약품</t>
        </is>
      </c>
      <c r="F297" t="inlineStr">
        <is>
          <t>비무균-일반제제-합성</t>
        </is>
      </c>
      <c r="G297" s="32" t="n">
        <v>46842</v>
      </c>
      <c r="H297">
        <f>IF(COUNTIFS($B$2:B297,B297,$D$2:D297,D297)=1,1,0)</f>
        <v/>
      </c>
      <c r="I297">
        <f>IF(OR(LEFT(F297,2)="무균",ISNUMBER(SEARCH("주사제",F297))),"Y","")</f>
        <v/>
      </c>
      <c r="J297">
        <f>IF(LEFT(F297,2)="생물","Y","")</f>
        <v/>
      </c>
    </row>
    <row r="298">
      <c r="A298" t="inlineStr">
        <is>
          <t>S297</t>
        </is>
      </c>
      <c r="B298" t="inlineStr">
        <is>
          <t>하나제약</t>
        </is>
      </c>
      <c r="C298" t="inlineStr">
        <is>
          <t>하나제약(주)</t>
        </is>
      </c>
      <c r="D298" t="inlineStr">
        <is>
          <t>경기도 화성시 만세구 향남읍 제약공단3길 133</t>
        </is>
      </c>
      <c r="E298" t="inlineStr">
        <is>
          <t>완제의약품</t>
        </is>
      </c>
      <c r="F298" t="inlineStr">
        <is>
          <t>비무균-일반제제-내용액제(흡입액제)</t>
        </is>
      </c>
      <c r="G298" s="32" t="n">
        <v>46842</v>
      </c>
      <c r="H298">
        <f>IF(COUNTIFS($B$2:B298,B298,$D$2:D298,D298)=1,1,0)</f>
        <v/>
      </c>
      <c r="I298">
        <f>IF(OR(LEFT(F298,2)="무균",ISNUMBER(SEARCH("주사제",F298))),"Y","")</f>
        <v/>
      </c>
      <c r="J298">
        <f>IF(LEFT(F298,2)="생물","Y","")</f>
        <v/>
      </c>
    </row>
    <row r="299">
      <c r="A299" t="inlineStr">
        <is>
          <t>S298</t>
        </is>
      </c>
      <c r="B299" t="inlineStr">
        <is>
          <t>삼익제약</t>
        </is>
      </c>
      <c r="C299" t="inlineStr">
        <is>
          <t>삼익제약(주)</t>
        </is>
      </c>
      <c r="D299" t="inlineStr">
        <is>
          <t>인천광역시 부평구 청안로 13</t>
        </is>
      </c>
      <c r="E299" t="inlineStr">
        <is>
          <t>완제의약품</t>
        </is>
      </c>
      <c r="F299" t="inlineStr">
        <is>
          <t>비무균-일반제제-내용고형제(정제, 캡슐제, 과립제), 비무균-일반제제-내용액제(시럽제(액상), 엑스제(액상))</t>
        </is>
      </c>
      <c r="G299" s="32" t="n">
        <v>46842</v>
      </c>
      <c r="H299">
        <f>IF(COUNTIFS($B$2:B299,B299,$D$2:D299,D299)=1,1,0)</f>
        <v/>
      </c>
      <c r="I299">
        <f>IF(OR(LEFT(F299,2)="무균",ISNUMBER(SEARCH("주사제",F299))),"Y","")</f>
        <v/>
      </c>
      <c r="J299">
        <f>IF(LEFT(F299,2)="생물","Y","")</f>
        <v/>
      </c>
    </row>
    <row r="300">
      <c r="A300" t="inlineStr">
        <is>
          <t>S299</t>
        </is>
      </c>
      <c r="B300" t="inlineStr">
        <is>
          <t>하나제약</t>
        </is>
      </c>
      <c r="C300" t="inlineStr">
        <is>
          <t>하나제약(주)</t>
        </is>
      </c>
      <c r="D300" t="inlineStr">
        <is>
          <t>경기도 화성시 만세구 향남읍 제약공단3길 133</t>
        </is>
      </c>
      <c r="E300" t="inlineStr">
        <is>
          <t>원료의약품</t>
        </is>
      </c>
      <c r="F300" t="inlineStr">
        <is>
          <t>비무균-일반제제-합성</t>
        </is>
      </c>
      <c r="G300" s="32" t="n">
        <v>46842</v>
      </c>
      <c r="H300">
        <f>IF(COUNTIFS($B$2:B300,B300,$D$2:D300,D300)=1,1,0)</f>
        <v/>
      </c>
      <c r="I300">
        <f>IF(OR(LEFT(F300,2)="무균",ISNUMBER(SEARCH("주사제",F300))),"Y","")</f>
        <v/>
      </c>
      <c r="J300">
        <f>IF(LEFT(F300,2)="생물","Y","")</f>
        <v/>
      </c>
    </row>
    <row r="301">
      <c r="A301" t="inlineStr">
        <is>
          <t>S300</t>
        </is>
      </c>
      <c r="B301" t="inlineStr">
        <is>
          <t>삼아제약</t>
        </is>
      </c>
      <c r="C301" t="inlineStr">
        <is>
          <t>삼아제약(주)</t>
        </is>
      </c>
      <c r="D301" t="inlineStr">
        <is>
          <t>강원특별자치도 원주시 문막읍 동화공단로 49</t>
        </is>
      </c>
      <c r="E301" t="inlineStr">
        <is>
          <t>완제의약품</t>
        </is>
      </c>
      <c r="F301" t="inlineStr">
        <is>
          <t>비무균-일반제제-내용고형제(정제, 시럽제(고형)), 비무균-일반제제-내용액제(경구용액제, 시럽제(액상), 현탁제)</t>
        </is>
      </c>
      <c r="G301" s="32" t="n">
        <v>46836</v>
      </c>
      <c r="H301">
        <f>IF(COUNTIFS($B$2:B301,B301,$D$2:D301,D301)=1,1,0)</f>
        <v/>
      </c>
      <c r="I301">
        <f>IF(OR(LEFT(F301,2)="무균",ISNUMBER(SEARCH("주사제",F301))),"Y","")</f>
        <v/>
      </c>
      <c r="J301">
        <f>IF(LEFT(F301,2)="생물","Y","")</f>
        <v/>
      </c>
    </row>
    <row r="302">
      <c r="A302" t="inlineStr">
        <is>
          <t>S301</t>
        </is>
      </c>
      <c r="B302" t="inlineStr">
        <is>
          <t>동아제약</t>
        </is>
      </c>
      <c r="C302" t="inlineStr">
        <is>
          <t>동아제약(주)</t>
        </is>
      </c>
      <c r="D302" t="inlineStr">
        <is>
          <t>경기도 이천시 경충대로2946번길 61</t>
        </is>
      </c>
      <c r="E302" t="inlineStr">
        <is>
          <t>완제의약품</t>
        </is>
      </c>
      <c r="F302" t="inlineStr">
        <is>
          <t>비무균-일반제제-내용액제(시럽제(액상)), 비무균-일반제제-연고제(겔제)</t>
        </is>
      </c>
      <c r="G302" s="32" t="n">
        <v>46836</v>
      </c>
      <c r="H302">
        <f>IF(COUNTIFS($B$2:B302,B302,$D$2:D302,D302)=1,1,0)</f>
        <v/>
      </c>
      <c r="I302">
        <f>IF(OR(LEFT(F302,2)="무균",ISNUMBER(SEARCH("주사제",F302))),"Y","")</f>
        <v/>
      </c>
      <c r="J302">
        <f>IF(LEFT(F302,2)="생물","Y","")</f>
        <v/>
      </c>
    </row>
    <row r="303">
      <c r="A303" t="inlineStr">
        <is>
          <t>S302</t>
        </is>
      </c>
      <c r="B303" t="inlineStr">
        <is>
          <t>아리제약</t>
        </is>
      </c>
      <c r="C303" t="inlineStr">
        <is>
          <t>(주)아리제약</t>
        </is>
      </c>
      <c r="D303" t="inlineStr">
        <is>
          <t>충청북도 청주시 청원구 오창읍 양청3길 3 충북테크노파크 생명기업관 B02호, B15호, B17-1호, B17-2호, 103호, 203호, 204호, 205호, 206호, 215호, 216호, 217호, 313호,314호, 315호</t>
        </is>
      </c>
      <c r="E303" t="inlineStr">
        <is>
          <t>완제의약품</t>
        </is>
      </c>
      <c r="F303" t="inlineStr">
        <is>
          <t>비무균-일반제제-내용고형제(정제, 캡슐제)</t>
        </is>
      </c>
      <c r="G303" s="32" t="n">
        <v>46836</v>
      </c>
      <c r="H303">
        <f>IF(COUNTIFS($B$2:B303,B303,$D$2:D303,D303)=1,1,0)</f>
        <v/>
      </c>
      <c r="I303">
        <f>IF(OR(LEFT(F303,2)="무균",ISNUMBER(SEARCH("주사제",F303))),"Y","")</f>
        <v/>
      </c>
      <c r="J303">
        <f>IF(LEFT(F303,2)="생물","Y","")</f>
        <v/>
      </c>
    </row>
    <row r="304">
      <c r="A304" t="inlineStr">
        <is>
          <t>S303</t>
        </is>
      </c>
      <c r="B304" t="inlineStr">
        <is>
          <t>한국파비스제약</t>
        </is>
      </c>
      <c r="C304" t="inlineStr">
        <is>
          <t>(주)한국파비스제약</t>
        </is>
      </c>
      <c r="D304" t="inlineStr">
        <is>
          <t>경기도 안산시 단원구 산단로83번길 127</t>
        </is>
      </c>
      <c r="E304" t="inlineStr">
        <is>
          <t>완제의약품</t>
        </is>
      </c>
      <c r="F304" t="inlineStr">
        <is>
          <t>비무균-일반제제-내용고형제(정제, 캡슐제, 산제)</t>
        </is>
      </c>
      <c r="G304" s="32" t="n">
        <v>46836</v>
      </c>
      <c r="H304">
        <f>IF(COUNTIFS($B$2:B304,B304,$D$2:D304,D304)=1,1,0)</f>
        <v/>
      </c>
      <c r="I304">
        <f>IF(OR(LEFT(F304,2)="무균",ISNUMBER(SEARCH("주사제",F304))),"Y","")</f>
        <v/>
      </c>
      <c r="J304">
        <f>IF(LEFT(F304,2)="생물","Y","")</f>
        <v/>
      </c>
    </row>
    <row r="305">
      <c r="A305" t="inlineStr">
        <is>
          <t>S304</t>
        </is>
      </c>
      <c r="B305" t="inlineStr">
        <is>
          <t>명인제약</t>
        </is>
      </c>
      <c r="C305" t="inlineStr">
        <is>
          <t>명인제약(주)</t>
        </is>
      </c>
      <c r="D305" t="inlineStr">
        <is>
          <t>경기도 화성시 만세구 팔탄면 노하길 361-12</t>
        </is>
      </c>
      <c r="E305" t="inlineStr">
        <is>
          <t>완제의약품</t>
        </is>
      </c>
      <c r="F305" t="inlineStr">
        <is>
          <t>비무균-일반제제-내용고형제(정제, 캡슐제, 구강붕해정), 무균-일반제제-주사제(주사제, 동결건조주사제)</t>
        </is>
      </c>
      <c r="G305" s="32" t="n">
        <v>46836</v>
      </c>
      <c r="H305">
        <f>IF(COUNTIFS($B$2:B305,B305,$D$2:D305,D305)=1,1,0)</f>
        <v/>
      </c>
      <c r="I305">
        <f>IF(OR(LEFT(F305,2)="무균",ISNUMBER(SEARCH("주사제",F305))),"Y","")</f>
        <v/>
      </c>
      <c r="J305">
        <f>IF(LEFT(F305,2)="생물","Y","")</f>
        <v/>
      </c>
    </row>
    <row r="306">
      <c r="A306" t="inlineStr">
        <is>
          <t>S305</t>
        </is>
      </c>
      <c r="B306" t="inlineStr">
        <is>
          <t>제일가스</t>
        </is>
      </c>
      <c r="C306" t="inlineStr">
        <is>
          <t>(주)제일가스</t>
        </is>
      </c>
      <c r="D306" t="inlineStr">
        <is>
          <t>인천광역시 서구 두루물로8번길 46</t>
        </is>
      </c>
      <c r="E306" t="inlineStr">
        <is>
          <t>완제의약품</t>
        </is>
      </c>
      <c r="F306" t="inlineStr">
        <is>
          <t>비무균-일반제제(의료용 고압가스)-가스제(의료용 고압가스)</t>
        </is>
      </c>
      <c r="G306" s="32" t="n">
        <v>46832</v>
      </c>
      <c r="H306">
        <f>IF(COUNTIFS($B$2:B306,B306,$D$2:D306,D306)=1,1,0)</f>
        <v/>
      </c>
      <c r="I306">
        <f>IF(OR(LEFT(F306,2)="무균",ISNUMBER(SEARCH("주사제",F306))),"Y","")</f>
        <v/>
      </c>
      <c r="J306">
        <f>IF(LEFT(F306,2)="생물","Y","")</f>
        <v/>
      </c>
    </row>
    <row r="307">
      <c r="A307" t="inlineStr">
        <is>
          <t>S306</t>
        </is>
      </c>
      <c r="B307" t="inlineStr">
        <is>
          <t>케이에스테크</t>
        </is>
      </c>
      <c r="C307" t="inlineStr">
        <is>
          <t>주식회사 케이에스테크</t>
        </is>
      </c>
      <c r="D307" t="inlineStr">
        <is>
          <t>경기도 안성시 원곡면 원당로 160</t>
        </is>
      </c>
      <c r="E307" t="inlineStr">
        <is>
          <t>완제의약품</t>
        </is>
      </c>
      <c r="F307" t="inlineStr">
        <is>
          <t>비무균-일반제제(의료용 고압가스)-가스제(의료용 고압가스)</t>
        </is>
      </c>
      <c r="G307" s="32" t="n">
        <v>46832</v>
      </c>
      <c r="H307">
        <f>IF(COUNTIFS($B$2:B307,B307,$D$2:D307,D307)=1,1,0)</f>
        <v/>
      </c>
      <c r="I307">
        <f>IF(OR(LEFT(F307,2)="무균",ISNUMBER(SEARCH("주사제",F307))),"Y","")</f>
        <v/>
      </c>
      <c r="J307">
        <f>IF(LEFT(F307,2)="생물","Y","")</f>
        <v/>
      </c>
    </row>
    <row r="308">
      <c r="A308" t="inlineStr">
        <is>
          <t>S307</t>
        </is>
      </c>
      <c r="B308" t="inlineStr">
        <is>
          <t>한국특수가스</t>
        </is>
      </c>
      <c r="C308" t="inlineStr">
        <is>
          <t>한국특수가스(주)</t>
        </is>
      </c>
      <c r="D308" t="inlineStr">
        <is>
          <t>전북특별자치도 익산시 서동로32길 11</t>
        </is>
      </c>
      <c r="E308" t="inlineStr">
        <is>
          <t>완제의약품</t>
        </is>
      </c>
      <c r="F308" t="inlineStr">
        <is>
          <t>비무균-일반제제(의료용 고압가스)-가스제(의료용 고압가스)</t>
        </is>
      </c>
      <c r="G308" s="32" t="n">
        <v>46828</v>
      </c>
      <c r="H308">
        <f>IF(COUNTIFS($B$2:B308,B308,$D$2:D308,D308)=1,1,0)</f>
        <v/>
      </c>
      <c r="I308">
        <f>IF(OR(LEFT(F308,2)="무균",ISNUMBER(SEARCH("주사제",F308))),"Y","")</f>
        <v/>
      </c>
      <c r="J308">
        <f>IF(LEFT(F308,2)="생물","Y","")</f>
        <v/>
      </c>
    </row>
    <row r="309">
      <c r="A309" t="inlineStr">
        <is>
          <t>S308</t>
        </is>
      </c>
      <c r="B309" t="inlineStr">
        <is>
          <t>영풍제약</t>
        </is>
      </c>
      <c r="C309" t="inlineStr">
        <is>
          <t>영풍제약(주)</t>
        </is>
      </c>
      <c r="D309" t="inlineStr">
        <is>
          <t>인천광역시 남동구 함박뫼로 333</t>
        </is>
      </c>
      <c r="E309" t="inlineStr">
        <is>
          <t>완제의약품</t>
        </is>
      </c>
      <c r="F309" t="inlineStr">
        <is>
          <t>비무균-일반제제-내용고형제(정제, 질정, 캡슐제)</t>
        </is>
      </c>
      <c r="G309" s="32" t="n">
        <v>46827</v>
      </c>
      <c r="H309">
        <f>IF(COUNTIFS($B$2:B309,B309,$D$2:D309,D309)=1,1,0)</f>
        <v/>
      </c>
      <c r="I309">
        <f>IF(OR(LEFT(F309,2)="무균",ISNUMBER(SEARCH("주사제",F309))),"Y","")</f>
        <v/>
      </c>
      <c r="J309">
        <f>IF(LEFT(F309,2)="생물","Y","")</f>
        <v/>
      </c>
    </row>
    <row r="310">
      <c r="A310" t="inlineStr">
        <is>
          <t>S309</t>
        </is>
      </c>
      <c r="B310" t="inlineStr">
        <is>
          <t>아이큐어</t>
        </is>
      </c>
      <c r="C310" t="inlineStr">
        <is>
          <t>아이큐어(주)</t>
        </is>
      </c>
      <c r="D310" t="inlineStr">
        <is>
          <t>전북특별자치도 완주군 봉동읍 완주산단5로 248</t>
        </is>
      </c>
      <c r="E310" t="inlineStr">
        <is>
          <t>완제의약품</t>
        </is>
      </c>
      <c r="F310" t="inlineStr">
        <is>
          <t>비무균-일반제제-내용고형제(정제, 캡슐제), 비무균-일반제제-첩부제(첩부제, 카타플라스마제, 경피흡수제)</t>
        </is>
      </c>
      <c r="G310" s="32" t="n">
        <v>46827</v>
      </c>
      <c r="H310">
        <f>IF(COUNTIFS($B$2:B310,B310,$D$2:D310,D310)=1,1,0)</f>
        <v/>
      </c>
      <c r="I310">
        <f>IF(OR(LEFT(F310,2)="무균",ISNUMBER(SEARCH("주사제",F310))),"Y","")</f>
        <v/>
      </c>
      <c r="J310">
        <f>IF(LEFT(F310,2)="생물","Y","")</f>
        <v/>
      </c>
    </row>
    <row r="311">
      <c r="A311" t="inlineStr">
        <is>
          <t>S310</t>
        </is>
      </c>
      <c r="B311" t="inlineStr">
        <is>
          <t>한국특수가스</t>
        </is>
      </c>
      <c r="C311" t="inlineStr">
        <is>
          <t>한국특수가스(주)</t>
        </is>
      </c>
      <c r="D311" t="inlineStr">
        <is>
          <t>전북특별자치도 전주시 덕진구 추천로 177-8</t>
        </is>
      </c>
      <c r="E311" t="inlineStr">
        <is>
          <t>완제의약품</t>
        </is>
      </c>
      <c r="F311" t="inlineStr">
        <is>
          <t>비무균-일반제제(의료용 고압가스)-가스제(의료용 고압가스)</t>
        </is>
      </c>
      <c r="G311" s="32" t="n">
        <v>46826</v>
      </c>
      <c r="H311">
        <f>IF(COUNTIFS($B$2:B311,B311,$D$2:D311,D311)=1,1,0)</f>
        <v/>
      </c>
      <c r="I311">
        <f>IF(OR(LEFT(F311,2)="무균",ISNUMBER(SEARCH("주사제",F311))),"Y","")</f>
        <v/>
      </c>
      <c r="J311">
        <f>IF(LEFT(F311,2)="생물","Y","")</f>
        <v/>
      </c>
    </row>
    <row r="312">
      <c r="A312" t="inlineStr">
        <is>
          <t>S311</t>
        </is>
      </c>
      <c r="B312" t="inlineStr">
        <is>
          <t>유바이오로직스</t>
        </is>
      </c>
      <c r="C312" t="inlineStr">
        <is>
          <t>(주)유바이오로직스</t>
        </is>
      </c>
      <c r="D312" t="inlineStr">
        <is>
          <t>강원특별자치도 춘천시 동산면 원무동길 125 생산동 지하1층일부,1층~4층, 관리동 2층,4층</t>
        </is>
      </c>
      <c r="E312" t="inlineStr">
        <is>
          <t>원료의약품</t>
        </is>
      </c>
      <c r="F312" t="inlineStr">
        <is>
          <t>생물-백신-(배양, 정제, 바이러스불활화, 원액 제조)</t>
        </is>
      </c>
      <c r="G312" s="32" t="n">
        <v>46825</v>
      </c>
      <c r="H312">
        <f>IF(COUNTIFS($B$2:B312,B312,$D$2:D312,D312)=1,1,0)</f>
        <v/>
      </c>
      <c r="I312">
        <f>IF(OR(LEFT(F312,2)="무균",ISNUMBER(SEARCH("주사제",F312))),"Y","")</f>
        <v/>
      </c>
      <c r="J312">
        <f>IF(LEFT(F312,2)="생물","Y","")</f>
        <v/>
      </c>
    </row>
    <row r="313">
      <c r="A313" t="inlineStr">
        <is>
          <t>S312</t>
        </is>
      </c>
      <c r="B313" t="inlineStr">
        <is>
          <t>에이치케이이노엔</t>
        </is>
      </c>
      <c r="C313" t="inlineStr">
        <is>
          <t>에이치케이이노엔(주)</t>
        </is>
      </c>
      <c r="D313" t="inlineStr">
        <is>
          <t>충청북도 청주시 흥덕구 오송읍 오송생명2로 239</t>
        </is>
      </c>
      <c r="E313" t="inlineStr">
        <is>
          <t>완제의약품</t>
        </is>
      </c>
      <c r="F313" t="inlineStr">
        <is>
          <t>비무균-일반제제-내용고형제(정제, 캡슐제, 산제), 무균-세포독성항암제제-주사제(주사제), 무균-일반제제-주사제(수액제)</t>
        </is>
      </c>
      <c r="G313" s="32" t="n">
        <v>46822</v>
      </c>
      <c r="H313">
        <f>IF(COUNTIFS($B$2:B313,B313,$D$2:D313,D313)=1,1,0)</f>
        <v/>
      </c>
      <c r="I313">
        <f>IF(OR(LEFT(F313,2)="무균",ISNUMBER(SEARCH("주사제",F313))),"Y","")</f>
        <v/>
      </c>
      <c r="J313">
        <f>IF(LEFT(F313,2)="생물","Y","")</f>
        <v/>
      </c>
    </row>
    <row r="314">
      <c r="A314" t="inlineStr">
        <is>
          <t>S313</t>
        </is>
      </c>
      <c r="B314" t="inlineStr">
        <is>
          <t>디아이지에어가스</t>
        </is>
      </c>
      <c r="C314" t="inlineStr">
        <is>
          <t>디아이지에어가스(주)</t>
        </is>
      </c>
      <c r="D314" t="inlineStr">
        <is>
          <t>전라남도 여수시 여수산단로 317</t>
        </is>
      </c>
      <c r="E314" t="inlineStr">
        <is>
          <t>완제의약품</t>
        </is>
      </c>
      <c r="F314" t="inlineStr">
        <is>
          <t>비무균-일반제제(의료용 고압가스)-가스제(의료용 고압가스)</t>
        </is>
      </c>
      <c r="G314" s="32" t="n">
        <v>46821</v>
      </c>
      <c r="H314">
        <f>IF(COUNTIFS($B$2:B314,B314,$D$2:D314,D314)=1,1,0)</f>
        <v/>
      </c>
      <c r="I314">
        <f>IF(OR(LEFT(F314,2)="무균",ISNUMBER(SEARCH("주사제",F314))),"Y","")</f>
        <v/>
      </c>
      <c r="J314">
        <f>IF(LEFT(F314,2)="생물","Y","")</f>
        <v/>
      </c>
    </row>
    <row r="315">
      <c r="A315" t="inlineStr">
        <is>
          <t>S314</t>
        </is>
      </c>
      <c r="B315" t="inlineStr">
        <is>
          <t>익수제약</t>
        </is>
      </c>
      <c r="C315" t="inlineStr">
        <is>
          <t>익수제약(주)</t>
        </is>
      </c>
      <c r="D315" t="inlineStr">
        <is>
          <t>경기도 광주시 곤지암읍 독고개길86번길 38 , 42 일부(보관소)</t>
        </is>
      </c>
      <c r="E315" t="inlineStr">
        <is>
          <t>완제의약품</t>
        </is>
      </c>
      <c r="F315" t="inlineStr">
        <is>
          <t>비무균-일반제제-내용고형제(과립제, 환제), 비무균-일반제제-내용액제(경구용액제, 시럽제(액상), 현탁제)</t>
        </is>
      </c>
      <c r="G315" s="32" t="n">
        <v>46816</v>
      </c>
      <c r="H315">
        <f>IF(COUNTIFS($B$2:B315,B315,$D$2:D315,D315)=1,1,0)</f>
        <v/>
      </c>
      <c r="I315">
        <f>IF(OR(LEFT(F315,2)="무균",ISNUMBER(SEARCH("주사제",F315))),"Y","")</f>
        <v/>
      </c>
      <c r="J315">
        <f>IF(LEFT(F315,2)="생물","Y","")</f>
        <v/>
      </c>
    </row>
    <row r="316">
      <c r="A316" t="inlineStr">
        <is>
          <t>S315</t>
        </is>
      </c>
      <c r="B316" t="inlineStr">
        <is>
          <t>한국휴텍스제약</t>
        </is>
      </c>
      <c r="C316" t="inlineStr">
        <is>
          <t>한국휴텍스제약(주)</t>
        </is>
      </c>
      <c r="D316" t="inlineStr">
        <is>
          <t>경기도 화성시 만세구 향남읍 제약공단3길 99</t>
        </is>
      </c>
      <c r="E316" t="inlineStr">
        <is>
          <t>완제의약품</t>
        </is>
      </c>
      <c r="F316" t="inlineStr">
        <is>
          <t>비무균-일반제제-내용고형제(정제, 캡슐제), 비무균-일반제제-그 밖의 고형제(혈액투석제(고형))</t>
        </is>
      </c>
      <c r="G316" s="32" t="n">
        <v>46815</v>
      </c>
      <c r="H316">
        <f>IF(COUNTIFS($B$2:B316,B316,$D$2:D316,D316)=1,1,0)</f>
        <v/>
      </c>
      <c r="I316">
        <f>IF(OR(LEFT(F316,2)="무균",ISNUMBER(SEARCH("주사제",F316))),"Y","")</f>
        <v/>
      </c>
      <c r="J316">
        <f>IF(LEFT(F316,2)="생물","Y","")</f>
        <v/>
      </c>
    </row>
    <row r="317">
      <c r="A317" t="inlineStr">
        <is>
          <t>S316</t>
        </is>
      </c>
      <c r="B317" t="inlineStr">
        <is>
          <t>큐엘파마</t>
        </is>
      </c>
      <c r="C317" t="inlineStr">
        <is>
          <t>주식회사큐엘파마</t>
        </is>
      </c>
      <c r="D317" t="inlineStr">
        <is>
          <t>충청북도 충주시 충주산단7로 53</t>
        </is>
      </c>
      <c r="E317" t="inlineStr">
        <is>
          <t>완제의약품</t>
        </is>
      </c>
      <c r="F317" t="inlineStr">
        <is>
          <t>비무균-일반제제-내용고형제(정제)</t>
        </is>
      </c>
      <c r="G317" s="32" t="n">
        <v>46815</v>
      </c>
      <c r="H317">
        <f>IF(COUNTIFS($B$2:B317,B317,$D$2:D317,D317)=1,1,0)</f>
        <v/>
      </c>
      <c r="I317">
        <f>IF(OR(LEFT(F317,2)="무균",ISNUMBER(SEARCH("주사제",F317))),"Y","")</f>
        <v/>
      </c>
      <c r="J317">
        <f>IF(LEFT(F317,2)="생물","Y","")</f>
        <v/>
      </c>
    </row>
    <row r="318">
      <c r="A318" t="inlineStr">
        <is>
          <t>S317</t>
        </is>
      </c>
      <c r="B318" t="inlineStr">
        <is>
          <t>폴라리스에이아이파마</t>
        </is>
      </c>
      <c r="C318" t="inlineStr">
        <is>
          <t>(주)폴라리스에이아이파마</t>
        </is>
      </c>
      <c r="D318" t="inlineStr">
        <is>
          <t>경기도 화성시 만세구 향남읍 발안공단로 25</t>
        </is>
      </c>
      <c r="E318" t="inlineStr">
        <is>
          <t>원료의약품</t>
        </is>
      </c>
      <c r="F318" t="inlineStr">
        <is>
          <t>비무균-일반제제-합성</t>
        </is>
      </c>
      <c r="G318" s="32" t="n">
        <v>46815</v>
      </c>
      <c r="H318">
        <f>IF(COUNTIFS($B$2:B318,B318,$D$2:D318,D318)=1,1,0)</f>
        <v/>
      </c>
      <c r="I318">
        <f>IF(OR(LEFT(F318,2)="무균",ISNUMBER(SEARCH("주사제",F318))),"Y","")</f>
        <v/>
      </c>
      <c r="J318">
        <f>IF(LEFT(F318,2)="생물","Y","")</f>
        <v/>
      </c>
    </row>
    <row r="319">
      <c r="A319" t="inlineStr">
        <is>
          <t>S318</t>
        </is>
      </c>
      <c r="B319" t="inlineStr">
        <is>
          <t>디아이지에어가스</t>
        </is>
      </c>
      <c r="C319" t="inlineStr">
        <is>
          <t>디아이지에어가스(주)</t>
        </is>
      </c>
      <c r="D319" t="inlineStr">
        <is>
          <t>울산광역시 남구 처용로487번길 18-64</t>
        </is>
      </c>
      <c r="E319" t="inlineStr">
        <is>
          <t>완제의약품</t>
        </is>
      </c>
      <c r="F319" t="inlineStr">
        <is>
          <t>비무균-일반제제-가스제(의료용 고압가스)</t>
        </is>
      </c>
      <c r="G319" s="32" t="n">
        <v>46813</v>
      </c>
      <c r="H319">
        <f>IF(COUNTIFS($B$2:B319,B319,$D$2:D319,D319)=1,1,0)</f>
        <v/>
      </c>
      <c r="I319">
        <f>IF(OR(LEFT(F319,2)="무균",ISNUMBER(SEARCH("주사제",F319))),"Y","")</f>
        <v/>
      </c>
      <c r="J319">
        <f>IF(LEFT(F319,2)="생물","Y","")</f>
        <v/>
      </c>
    </row>
    <row r="320">
      <c r="A320" t="inlineStr">
        <is>
          <t>S319</t>
        </is>
      </c>
      <c r="B320" t="inlineStr">
        <is>
          <t>피에스지</t>
        </is>
      </c>
      <c r="C320" t="inlineStr">
        <is>
          <t>(주)피에스지</t>
        </is>
      </c>
      <c r="D320" t="inlineStr">
        <is>
          <t>경상남도 김해시 주촌면 서부로1637번길 364</t>
        </is>
      </c>
      <c r="E320" t="inlineStr">
        <is>
          <t>완제의약품</t>
        </is>
      </c>
      <c r="F320" t="inlineStr">
        <is>
          <t>--(의료용 고압가스)</t>
        </is>
      </c>
      <c r="G320" s="32" t="n">
        <v>46810</v>
      </c>
      <c r="H320">
        <f>IF(COUNTIFS($B$2:B320,B320,$D$2:D320,D320)=1,1,0)</f>
        <v/>
      </c>
      <c r="I320">
        <f>IF(OR(LEFT(F320,2)="무균",ISNUMBER(SEARCH("주사제",F320))),"Y","")</f>
        <v/>
      </c>
      <c r="J320">
        <f>IF(LEFT(F320,2)="생물","Y","")</f>
        <v/>
      </c>
    </row>
    <row r="321">
      <c r="A321" t="inlineStr">
        <is>
          <t>S320</t>
        </is>
      </c>
      <c r="B321" t="inlineStr">
        <is>
          <t>메디카코리아</t>
        </is>
      </c>
      <c r="C321" t="inlineStr">
        <is>
          <t>(주)메디카코리아</t>
        </is>
      </c>
      <c r="D321" t="inlineStr">
        <is>
          <t>경기도 화성시 만세구 향남읍 제약공단4길 96</t>
        </is>
      </c>
      <c r="E321" t="inlineStr">
        <is>
          <t>완제의약품</t>
        </is>
      </c>
      <c r="F321" t="inlineStr">
        <is>
          <t>비무균-일반제제-내용고형제(정제, 캡슐제)</t>
        </is>
      </c>
      <c r="G321" s="32" t="n">
        <v>46807</v>
      </c>
      <c r="H321">
        <f>IF(COUNTIFS($B$2:B321,B321,$D$2:D321,D321)=1,1,0)</f>
        <v/>
      </c>
      <c r="I321">
        <f>IF(OR(LEFT(F321,2)="무균",ISNUMBER(SEARCH("주사제",F321))),"Y","")</f>
        <v/>
      </c>
      <c r="J321">
        <f>IF(LEFT(F321,2)="생물","Y","")</f>
        <v/>
      </c>
    </row>
    <row r="322">
      <c r="A322" t="inlineStr">
        <is>
          <t>S321</t>
        </is>
      </c>
      <c r="B322" t="inlineStr">
        <is>
          <t>위더스제약</t>
        </is>
      </c>
      <c r="C322" t="inlineStr">
        <is>
          <t>위더스제약(주)</t>
        </is>
      </c>
      <c r="D322" t="inlineStr">
        <is>
          <t>경기도 안성시 미양면 제2공단2길 103</t>
        </is>
      </c>
      <c r="E322" t="inlineStr">
        <is>
          <t>완제의약품</t>
        </is>
      </c>
      <c r="F322" t="inlineStr">
        <is>
          <t>비무균-세팔로스포린제제-내용고형제(정제, 캡슐제), 비무균-일반제제-내용고형제(정제, 캡슐제)</t>
        </is>
      </c>
      <c r="G322" s="32" t="n">
        <v>46807</v>
      </c>
      <c r="H322">
        <f>IF(COUNTIFS($B$2:B322,B322,$D$2:D322,D322)=1,1,0)</f>
        <v/>
      </c>
      <c r="I322">
        <f>IF(OR(LEFT(F322,2)="무균",ISNUMBER(SEARCH("주사제",F322))),"Y","")</f>
        <v/>
      </c>
      <c r="J322">
        <f>IF(LEFT(F322,2)="생물","Y","")</f>
        <v/>
      </c>
    </row>
    <row r="323">
      <c r="A323" t="inlineStr">
        <is>
          <t>S322</t>
        </is>
      </c>
      <c r="B323" t="inlineStr">
        <is>
          <t>대구경북첨단의료산업진흥재단</t>
        </is>
      </c>
      <c r="C323" t="inlineStr">
        <is>
          <t>대구경북첨단의료산업진흥재단</t>
        </is>
      </c>
      <c r="D323" t="inlineStr">
        <is>
          <t>대구광역시 동구 첨복로 80</t>
        </is>
      </c>
      <c r="E323" t="inlineStr">
        <is>
          <t>원료의약품</t>
        </is>
      </c>
      <c r="F323" t="inlineStr">
        <is>
          <t>비무균-일반제제-합성</t>
        </is>
      </c>
      <c r="G323" s="32" t="n">
        <v>46807</v>
      </c>
      <c r="H323">
        <f>IF(COUNTIFS($B$2:B323,B323,$D$2:D323,D323)=1,1,0)</f>
        <v/>
      </c>
      <c r="I323">
        <f>IF(OR(LEFT(F323,2)="무균",ISNUMBER(SEARCH("주사제",F323))),"Y","")</f>
        <v/>
      </c>
      <c r="J323">
        <f>IF(LEFT(F323,2)="생물","Y","")</f>
        <v/>
      </c>
    </row>
    <row r="324">
      <c r="A324" t="inlineStr">
        <is>
          <t>S323</t>
        </is>
      </c>
      <c r="B324" t="inlineStr">
        <is>
          <t>대구경북첨단의료산업진흥재단</t>
        </is>
      </c>
      <c r="C324" t="inlineStr">
        <is>
          <t>대구경북첨단의료산업진흥재단</t>
        </is>
      </c>
      <c r="D324" t="inlineStr">
        <is>
          <t>대구광역시 동구 첨복로 80</t>
        </is>
      </c>
      <c r="E324" t="inlineStr">
        <is>
          <t>완제의약품</t>
        </is>
      </c>
      <c r="F324" t="inlineStr">
        <is>
          <t>비무균-일반제제-내용고형제(정제), 무균-세포독성항암제제-주사제(주사제)</t>
        </is>
      </c>
      <c r="G324" s="32" t="n">
        <v>46807</v>
      </c>
      <c r="H324">
        <f>IF(COUNTIFS($B$2:B324,B324,$D$2:D324,D324)=1,1,0)</f>
        <v/>
      </c>
      <c r="I324">
        <f>IF(OR(LEFT(F324,2)="무균",ISNUMBER(SEARCH("주사제",F324))),"Y","")</f>
        <v/>
      </c>
      <c r="J324">
        <f>IF(LEFT(F324,2)="생물","Y","")</f>
        <v/>
      </c>
    </row>
    <row r="325">
      <c r="A325" t="inlineStr">
        <is>
          <t>S324</t>
        </is>
      </c>
      <c r="B325" t="inlineStr">
        <is>
          <t>바이넥스</t>
        </is>
      </c>
      <c r="C325" t="inlineStr">
        <is>
          <t>(주)바이넥스</t>
        </is>
      </c>
      <c r="D325" t="inlineStr">
        <is>
          <t>부산광역시 사하구 다대로 368-3</t>
        </is>
      </c>
      <c r="E325" t="inlineStr">
        <is>
          <t>원료의약품</t>
        </is>
      </c>
      <c r="F325" t="inlineStr">
        <is>
          <t>비무균-일반제제-발효</t>
        </is>
      </c>
      <c r="G325" s="32" t="n">
        <v>46807</v>
      </c>
      <c r="H325">
        <f>IF(COUNTIFS($B$2:B325,B325,$D$2:D325,D325)=1,1,0)</f>
        <v/>
      </c>
      <c r="I325">
        <f>IF(OR(LEFT(F325,2)="무균",ISNUMBER(SEARCH("주사제",F325))),"Y","")</f>
        <v/>
      </c>
      <c r="J325">
        <f>IF(LEFT(F325,2)="생물","Y","")</f>
        <v/>
      </c>
    </row>
    <row r="326">
      <c r="A326" t="inlineStr">
        <is>
          <t>S325</t>
        </is>
      </c>
      <c r="B326" t="inlineStr">
        <is>
          <t>동국제약</t>
        </is>
      </c>
      <c r="C326" t="inlineStr">
        <is>
          <t>동국제약(주)</t>
        </is>
      </c>
      <c r="D326" t="inlineStr">
        <is>
          <t>충청북도 진천군 광혜원면 용소2길 33-19</t>
        </is>
      </c>
      <c r="E326" t="inlineStr">
        <is>
          <t>완제의약품</t>
        </is>
      </c>
      <c r="F326" t="inlineStr">
        <is>
          <t>비무균-일반제제-내용고형제(정제, 캡슐제), 무균-일반제제-주사제(주사제, 동결건조주사제), 비무균-일반제제-연고제(연고제, 크림제, 겔제), 비무균-일반제제-그 밖의 고형제(외용산제)</t>
        </is>
      </c>
      <c r="G326" s="32" t="n">
        <v>46806</v>
      </c>
      <c r="H326">
        <f>IF(COUNTIFS($B$2:B326,B326,$D$2:D326,D326)=1,1,0)</f>
        <v/>
      </c>
      <c r="I326">
        <f>IF(OR(LEFT(F326,2)="무균",ISNUMBER(SEARCH("주사제",F326))),"Y","")</f>
        <v/>
      </c>
      <c r="J326">
        <f>IF(LEFT(F326,2)="생물","Y","")</f>
        <v/>
      </c>
    </row>
    <row r="327">
      <c r="A327" t="inlineStr">
        <is>
          <t>S326</t>
        </is>
      </c>
      <c r="B327" t="inlineStr">
        <is>
          <t>동국제약</t>
        </is>
      </c>
      <c r="C327" t="inlineStr">
        <is>
          <t>동국제약(주)</t>
        </is>
      </c>
      <c r="D327" t="inlineStr">
        <is>
          <t>충청북도 진천군 광혜원면 용소2길 33-19</t>
        </is>
      </c>
      <c r="E327" t="inlineStr">
        <is>
          <t>원료의약품</t>
        </is>
      </c>
      <c r="F327" t="inlineStr">
        <is>
          <t>무균-일반제제-합성</t>
        </is>
      </c>
      <c r="G327" s="32" t="n">
        <v>46806</v>
      </c>
      <c r="H327">
        <f>IF(COUNTIFS($B$2:B327,B327,$D$2:D327,D327)=1,1,0)</f>
        <v/>
      </c>
      <c r="I327">
        <f>IF(OR(LEFT(F327,2)="무균",ISNUMBER(SEARCH("주사제",F327))),"Y","")</f>
        <v/>
      </c>
      <c r="J327">
        <f>IF(LEFT(F327,2)="생물","Y","")</f>
        <v/>
      </c>
    </row>
    <row r="328">
      <c r="A328" t="inlineStr">
        <is>
          <t>S327</t>
        </is>
      </c>
      <c r="B328" t="inlineStr">
        <is>
          <t>셀트리온</t>
        </is>
      </c>
      <c r="C328" t="inlineStr">
        <is>
          <t>(주)셀트리온</t>
        </is>
      </c>
      <c r="D328" t="inlineStr">
        <is>
          <t>인천광역시 연수구 아카데미로 23</t>
        </is>
      </c>
      <c r="E328" t="inlineStr">
        <is>
          <t>원료의약품</t>
        </is>
      </c>
      <c r="F328" t="inlineStr">
        <is>
          <t>생물-유전자재조합의약품-(배양, 정제, 바이러스불활화, 원액 제조)</t>
        </is>
      </c>
      <c r="G328" s="32" t="n">
        <v>46800</v>
      </c>
      <c r="H328">
        <f>IF(COUNTIFS($B$2:B328,B328,$D$2:D328,D328)=1,1,0)</f>
        <v/>
      </c>
      <c r="I328">
        <f>IF(OR(LEFT(F328,2)="무균",ISNUMBER(SEARCH("주사제",F328))),"Y","")</f>
        <v/>
      </c>
      <c r="J328">
        <f>IF(LEFT(F328,2)="생물","Y","")</f>
        <v/>
      </c>
    </row>
    <row r="329">
      <c r="A329" t="inlineStr">
        <is>
          <t>S328</t>
        </is>
      </c>
      <c r="B329" t="inlineStr">
        <is>
          <t>셀트리온</t>
        </is>
      </c>
      <c r="C329" t="inlineStr">
        <is>
          <t>(주)셀트리온</t>
        </is>
      </c>
      <c r="D329" t="inlineStr">
        <is>
          <t>인천광역시 연수구 아카데미로51번길 20</t>
        </is>
      </c>
      <c r="E329" t="inlineStr">
        <is>
          <t>완제의약품</t>
        </is>
      </c>
      <c r="F329" t="inlineStr">
        <is>
          <t>생물-유전자재조합의약품-주사제(주사제)</t>
        </is>
      </c>
      <c r="G329" s="32" t="n">
        <v>46800</v>
      </c>
      <c r="H329">
        <f>IF(COUNTIFS($B$2:B329,B329,$D$2:D329,D329)=1,1,0)</f>
        <v/>
      </c>
      <c r="I329">
        <f>IF(OR(LEFT(F329,2)="무균",ISNUMBER(SEARCH("주사제",F329))),"Y","")</f>
        <v/>
      </c>
      <c r="J329">
        <f>IF(LEFT(F329,2)="생물","Y","")</f>
        <v/>
      </c>
    </row>
    <row r="330">
      <c r="A330" t="inlineStr">
        <is>
          <t>S329</t>
        </is>
      </c>
      <c r="B330" t="inlineStr">
        <is>
          <t>셀트리온</t>
        </is>
      </c>
      <c r="C330" t="inlineStr">
        <is>
          <t>(주)셀트리온</t>
        </is>
      </c>
      <c r="D330" t="inlineStr">
        <is>
          <t>인천광역시 연수구 아카데미로51번길 20</t>
        </is>
      </c>
      <c r="E330" t="inlineStr">
        <is>
          <t>원료의약품</t>
        </is>
      </c>
      <c r="F330" t="inlineStr">
        <is>
          <t>생물-유전자재조합의약품-(배양, 정제, 바이러스불활화, 원액 제조)</t>
        </is>
      </c>
      <c r="G330" s="32" t="n">
        <v>46800</v>
      </c>
      <c r="H330">
        <f>IF(COUNTIFS($B$2:B330,B330,$D$2:D330,D330)=1,1,0)</f>
        <v/>
      </c>
      <c r="I330">
        <f>IF(OR(LEFT(F330,2)="무균",ISNUMBER(SEARCH("주사제",F330))),"Y","")</f>
        <v/>
      </c>
      <c r="J330">
        <f>IF(LEFT(F330,2)="생물","Y","")</f>
        <v/>
      </c>
    </row>
    <row r="331">
      <c r="A331" t="inlineStr">
        <is>
          <t>S330</t>
        </is>
      </c>
      <c r="B331" t="inlineStr">
        <is>
          <t>중헌제약</t>
        </is>
      </c>
      <c r="C331" t="inlineStr">
        <is>
          <t>(주)중헌제약</t>
        </is>
      </c>
      <c r="D331" t="inlineStr">
        <is>
          <t>충청북도 청주시 흥덕구 옥산면 옥산산단로 28 공장동</t>
        </is>
      </c>
      <c r="E331" t="inlineStr">
        <is>
          <t>완제의약품</t>
        </is>
      </c>
      <c r="F331" t="inlineStr">
        <is>
          <t>비무균-일반제제-내용고형제(정제, 캡슐제), 무균-일반제제-주사제(주사제)</t>
        </is>
      </c>
      <c r="G331" s="32" t="n">
        <v>46800</v>
      </c>
      <c r="H331">
        <f>IF(COUNTIFS($B$2:B331,B331,$D$2:D331,D331)=1,1,0)</f>
        <v/>
      </c>
      <c r="I331">
        <f>IF(OR(LEFT(F331,2)="무균",ISNUMBER(SEARCH("주사제",F331))),"Y","")</f>
        <v/>
      </c>
      <c r="J331">
        <f>IF(LEFT(F331,2)="생물","Y","")</f>
        <v/>
      </c>
    </row>
    <row r="332">
      <c r="A332" t="inlineStr">
        <is>
          <t>S331</t>
        </is>
      </c>
      <c r="B332" t="inlineStr">
        <is>
          <t>한풍제약</t>
        </is>
      </c>
      <c r="C332" t="inlineStr">
        <is>
          <t>(주)한풍제약</t>
        </is>
      </c>
      <c r="D332" t="inlineStr">
        <is>
          <t>전북특별자치도 완주군 봉동읍 완주산단6로 301 , 봉동로 705</t>
        </is>
      </c>
      <c r="E332" t="inlineStr">
        <is>
          <t>원료의약품</t>
        </is>
      </c>
      <c r="F332" t="inlineStr">
        <is>
          <t>비무균-일반제제-추출</t>
        </is>
      </c>
      <c r="G332" s="32" t="n">
        <v>46798</v>
      </c>
      <c r="H332">
        <f>IF(COUNTIFS($B$2:B332,B332,$D$2:D332,D332)=1,1,0)</f>
        <v/>
      </c>
      <c r="I332">
        <f>IF(OR(LEFT(F332,2)="무균",ISNUMBER(SEARCH("주사제",F332))),"Y","")</f>
        <v/>
      </c>
      <c r="J332">
        <f>IF(LEFT(F332,2)="생물","Y","")</f>
        <v/>
      </c>
    </row>
    <row r="333">
      <c r="A333" t="inlineStr">
        <is>
          <t>S332</t>
        </is>
      </c>
      <c r="B333" t="inlineStr">
        <is>
          <t>한풍제약</t>
        </is>
      </c>
      <c r="C333" t="inlineStr">
        <is>
          <t>(주)한풍제약</t>
        </is>
      </c>
      <c r="D333" t="inlineStr">
        <is>
          <t>전북특별자치도 완주군 봉동읍 완주산단6로 301 , 봉동로 705</t>
        </is>
      </c>
      <c r="E333" t="inlineStr">
        <is>
          <t>완제의약품</t>
        </is>
      </c>
      <c r="F333" t="inlineStr">
        <is>
          <t>비무균-일반제제-내용고형제(정제, 캡슐제, 산제, 과립제, 환제, 츄어블정(저작정)), 비무균-일반제제-내용액제(경구용액제, 시럽제(액상), 엑스제(액상)), 비무균-일반제제-연고제(연고제)</t>
        </is>
      </c>
      <c r="G333" s="32" t="n">
        <v>46798</v>
      </c>
      <c r="H333">
        <f>IF(COUNTIFS($B$2:B333,B333,$D$2:D333,D333)=1,1,0)</f>
        <v/>
      </c>
      <c r="I333">
        <f>IF(OR(LEFT(F333,2)="무균",ISNUMBER(SEARCH("주사제",F333))),"Y","")</f>
        <v/>
      </c>
      <c r="J333">
        <f>IF(LEFT(F333,2)="생물","Y","")</f>
        <v/>
      </c>
    </row>
    <row r="334">
      <c r="A334" t="inlineStr">
        <is>
          <t>S333</t>
        </is>
      </c>
      <c r="B334" t="inlineStr">
        <is>
          <t>성우화학</t>
        </is>
      </c>
      <c r="C334" t="inlineStr">
        <is>
          <t>성우화학(주)</t>
        </is>
      </c>
      <c r="D334" t="inlineStr">
        <is>
          <t>경기도 화성시 향남읍 발안공단로1길 32</t>
        </is>
      </c>
      <c r="E334" t="inlineStr">
        <is>
          <t>원료의약품</t>
        </is>
      </c>
      <c r="F334" t="inlineStr">
        <is>
          <t>비무균-일반제제-합성, 비무균-일반제제-추출, 비무균-일반제제-혼합</t>
        </is>
      </c>
      <c r="G334" s="32" t="n">
        <v>46797</v>
      </c>
      <c r="H334">
        <f>IF(COUNTIFS($B$2:B334,B334,$D$2:D334,D334)=1,1,0)</f>
        <v/>
      </c>
      <c r="I334">
        <f>IF(OR(LEFT(F334,2)="무균",ISNUMBER(SEARCH("주사제",F334))),"Y","")</f>
        <v/>
      </c>
      <c r="J334">
        <f>IF(LEFT(F334,2)="생물","Y","")</f>
        <v/>
      </c>
    </row>
    <row r="335">
      <c r="A335" t="inlineStr">
        <is>
          <t>S334</t>
        </is>
      </c>
      <c r="B335" t="inlineStr">
        <is>
          <t>호남고압가스</t>
        </is>
      </c>
      <c r="C335" t="inlineStr">
        <is>
          <t>호남고압가스</t>
        </is>
      </c>
      <c r="D335" t="inlineStr">
        <is>
          <t>광주광역시 광산구 하남산단5번로 101</t>
        </is>
      </c>
      <c r="E335" t="inlineStr">
        <is>
          <t>완제의약품</t>
        </is>
      </c>
      <c r="F335" t="inlineStr">
        <is>
          <t>비무균-일반제제(의료용 고압가스)-가스제(의료용 고압가스)</t>
        </is>
      </c>
      <c r="G335" s="32" t="n">
        <v>46797</v>
      </c>
      <c r="H335">
        <f>IF(COUNTIFS($B$2:B335,B335,$D$2:D335,D335)=1,1,0)</f>
        <v/>
      </c>
      <c r="I335">
        <f>IF(OR(LEFT(F335,2)="무균",ISNUMBER(SEARCH("주사제",F335))),"Y","")</f>
        <v/>
      </c>
      <c r="J335">
        <f>IF(LEFT(F335,2)="생물","Y","")</f>
        <v/>
      </c>
    </row>
    <row r="336">
      <c r="A336" t="inlineStr">
        <is>
          <t>S335</t>
        </is>
      </c>
      <c r="B336" t="inlineStr">
        <is>
          <t>종근당바이오</t>
        </is>
      </c>
      <c r="C336" t="inlineStr">
        <is>
          <t>(주)종근당바이오</t>
        </is>
      </c>
      <c r="D336" t="inlineStr">
        <is>
          <t>충청북도 청주시 흥덕구 오송읍 오송생명4로 22</t>
        </is>
      </c>
      <c r="E336" t="inlineStr">
        <is>
          <t>원료의약품</t>
        </is>
      </c>
      <c r="F336" t="inlineStr">
        <is>
          <t>생물-독소-(배양, 정제, 원액 제조)</t>
        </is>
      </c>
      <c r="G336" s="32" t="n">
        <v>46796</v>
      </c>
      <c r="H336">
        <f>IF(COUNTIFS($B$2:B336,B336,$D$2:D336,D336)=1,1,0)</f>
        <v/>
      </c>
      <c r="I336">
        <f>IF(OR(LEFT(F336,2)="무균",ISNUMBER(SEARCH("주사제",F336))),"Y","")</f>
        <v/>
      </c>
      <c r="J336">
        <f>IF(LEFT(F336,2)="생물","Y","")</f>
        <v/>
      </c>
    </row>
    <row r="337">
      <c r="A337" t="inlineStr">
        <is>
          <t>S336</t>
        </is>
      </c>
      <c r="B337" t="inlineStr">
        <is>
          <t>종근당바이오</t>
        </is>
      </c>
      <c r="C337" t="inlineStr">
        <is>
          <t>(주)종근당바이오</t>
        </is>
      </c>
      <c r="D337" t="inlineStr">
        <is>
          <t>충청북도 청주시 흥덕구 오송읍 오송생명4로 22</t>
        </is>
      </c>
      <c r="E337" t="inlineStr">
        <is>
          <t>완제의약품</t>
        </is>
      </c>
      <c r="F337" t="inlineStr">
        <is>
          <t>생물-독소-주사제(주사제)</t>
        </is>
      </c>
      <c r="G337" s="32" t="n">
        <v>46796</v>
      </c>
      <c r="H337">
        <f>IF(COUNTIFS($B$2:B337,B337,$D$2:D337,D337)=1,1,0)</f>
        <v/>
      </c>
      <c r="I337">
        <f>IF(OR(LEFT(F337,2)="무균",ISNUMBER(SEARCH("주사제",F337))),"Y","")</f>
        <v/>
      </c>
      <c r="J337">
        <f>IF(LEFT(F337,2)="생물","Y","")</f>
        <v/>
      </c>
    </row>
    <row r="338">
      <c r="A338" t="inlineStr">
        <is>
          <t>S337</t>
        </is>
      </c>
      <c r="B338" t="inlineStr">
        <is>
          <t>창신</t>
        </is>
      </c>
      <c r="C338" t="inlineStr">
        <is>
          <t>(주)창신</t>
        </is>
      </c>
      <c r="D338" t="inlineStr">
        <is>
          <t>경상남도 함안군 산인면 신산로 159-15</t>
        </is>
      </c>
      <c r="E338" t="inlineStr">
        <is>
          <t>완제의약품</t>
        </is>
      </c>
      <c r="F338" t="inlineStr">
        <is>
          <t>비무균-일반제제-가스제(의료용 고압가스)</t>
        </is>
      </c>
      <c r="G338" s="32" t="n">
        <v>46795</v>
      </c>
      <c r="H338">
        <f>IF(COUNTIFS($B$2:B338,B338,$D$2:D338,D338)=1,1,0)</f>
        <v/>
      </c>
      <c r="I338">
        <f>IF(OR(LEFT(F338,2)="무균",ISNUMBER(SEARCH("주사제",F338))),"Y","")</f>
        <v/>
      </c>
      <c r="J338">
        <f>IF(LEFT(F338,2)="생물","Y","")</f>
        <v/>
      </c>
    </row>
    <row r="339">
      <c r="A339" t="inlineStr">
        <is>
          <t>S338</t>
        </is>
      </c>
      <c r="B339" t="inlineStr">
        <is>
          <t>파미셀</t>
        </is>
      </c>
      <c r="C339" t="inlineStr">
        <is>
          <t>파미셀주식회사</t>
        </is>
      </c>
      <c r="D339" t="inlineStr">
        <is>
          <t>경기도 성남시 중원구 둔촌대로 484 시콕스타워 901 902 911 920 921 922 923 515 516 517 518 519 520 521 522 523(상대원동)</t>
        </is>
      </c>
      <c r="E339" t="inlineStr">
        <is>
          <t>완제의약품</t>
        </is>
      </c>
      <c r="F339" t="inlineStr">
        <is>
          <t>생물-세포치료제-주사제(첨단바이오의약품)(주사제)</t>
        </is>
      </c>
      <c r="G339" s="32" t="n">
        <v>46793</v>
      </c>
      <c r="H339">
        <f>IF(COUNTIFS($B$2:B339,B339,$D$2:D339,D339)=1,1,0)</f>
        <v/>
      </c>
      <c r="I339">
        <f>IF(OR(LEFT(F339,2)="무균",ISNUMBER(SEARCH("주사제",F339))),"Y","")</f>
        <v/>
      </c>
      <c r="J339">
        <f>IF(LEFT(F339,2)="생물","Y","")</f>
        <v/>
      </c>
    </row>
    <row r="340">
      <c r="A340" t="inlineStr">
        <is>
          <t>S339</t>
        </is>
      </c>
      <c r="B340" t="inlineStr">
        <is>
          <t>대흥산업가스</t>
        </is>
      </c>
      <c r="C340" t="inlineStr">
        <is>
          <t>대흥산업가스주식회사</t>
        </is>
      </c>
      <c r="D340" t="inlineStr">
        <is>
          <t>전북특별자치도 군산시 공항로 161</t>
        </is>
      </c>
      <c r="E340" t="inlineStr">
        <is>
          <t>완제의약품</t>
        </is>
      </c>
      <c r="F340" t="inlineStr">
        <is>
          <t>비무균-일반제제(의료용 고압가스)-가스제(의료용 고압가스)</t>
        </is>
      </c>
      <c r="G340" s="32" t="n">
        <v>46792</v>
      </c>
      <c r="H340">
        <f>IF(COUNTIFS($B$2:B340,B340,$D$2:D340,D340)=1,1,0)</f>
        <v/>
      </c>
      <c r="I340">
        <f>IF(OR(LEFT(F340,2)="무균",ISNUMBER(SEARCH("주사제",F340))),"Y","")</f>
        <v/>
      </c>
      <c r="J340">
        <f>IF(LEFT(F340,2)="생물","Y","")</f>
        <v/>
      </c>
    </row>
    <row r="341">
      <c r="A341" t="inlineStr">
        <is>
          <t>S340</t>
        </is>
      </c>
      <c r="B341" t="inlineStr">
        <is>
          <t>더유제약</t>
        </is>
      </c>
      <c r="C341" t="inlineStr">
        <is>
          <t>주식회사더유제약</t>
        </is>
      </c>
      <c r="D341" t="inlineStr">
        <is>
          <t>경기도 남양주시 진접읍 경복대로바람골길 42-151 , 1~4층</t>
        </is>
      </c>
      <c r="E341" t="inlineStr">
        <is>
          <t>완제의약품</t>
        </is>
      </c>
      <c r="F341" t="inlineStr">
        <is>
          <t>비무균-일반제제-내용고형제(정제, 캡슐제), 비무균-일반제제-외용액제(외용액제, 로션제), 비무균-일반제제-연고제(연고제, 크림제, 겔제)</t>
        </is>
      </c>
      <c r="G341" s="32" t="n">
        <v>46792</v>
      </c>
      <c r="H341">
        <f>IF(COUNTIFS($B$2:B341,B341,$D$2:D341,D341)=1,1,0)</f>
        <v/>
      </c>
      <c r="I341">
        <f>IF(OR(LEFT(F341,2)="무균",ISNUMBER(SEARCH("주사제",F341))),"Y","")</f>
        <v/>
      </c>
      <c r="J341">
        <f>IF(LEFT(F341,2)="생물","Y","")</f>
        <v/>
      </c>
    </row>
    <row r="342">
      <c r="A342" t="inlineStr">
        <is>
          <t>S341</t>
        </is>
      </c>
      <c r="B342" t="inlineStr">
        <is>
          <t>한국바스프</t>
        </is>
      </c>
      <c r="C342" t="inlineStr">
        <is>
          <t>한국바스프(주)</t>
        </is>
      </c>
      <c r="D342" t="inlineStr">
        <is>
          <t>전북특별자치도 군산시 외항4길 57(소룡동)</t>
        </is>
      </c>
      <c r="E342" t="inlineStr">
        <is>
          <t>원료의약품</t>
        </is>
      </c>
      <c r="F342" t="inlineStr">
        <is>
          <t>비무균-일반제제-발효</t>
        </is>
      </c>
      <c r="G342" s="32" t="n">
        <v>46791</v>
      </c>
      <c r="H342">
        <f>IF(COUNTIFS($B$2:B342,B342,$D$2:D342,D342)=1,1,0)</f>
        <v/>
      </c>
      <c r="I342">
        <f>IF(OR(LEFT(F342,2)="무균",ISNUMBER(SEARCH("주사제",F342))),"Y","")</f>
        <v/>
      </c>
      <c r="J342">
        <f>IF(LEFT(F342,2)="생물","Y","")</f>
        <v/>
      </c>
    </row>
    <row r="343">
      <c r="A343" t="inlineStr">
        <is>
          <t>S342</t>
        </is>
      </c>
      <c r="B343" t="inlineStr">
        <is>
          <t>경동제약</t>
        </is>
      </c>
      <c r="C343" t="inlineStr">
        <is>
          <t>경동제약(주)</t>
        </is>
      </c>
      <c r="D343" t="inlineStr">
        <is>
          <t>경기도 화성시 만세구 양감면 제약단지로 224-3</t>
        </is>
      </c>
      <c r="E343" t="inlineStr">
        <is>
          <t>완제의약품</t>
        </is>
      </c>
      <c r="F343" t="inlineStr">
        <is>
          <t>비무균-세팔로스포린제제-내용고형제(정제, 캡슐제), 비무균-일반제제-내용고형제(정제, 캡슐제), 무균-세팔로스포린제제-주사제(분말주사제), 무균-일반제제-주사제(주사제, 동결건조주사제)</t>
        </is>
      </c>
      <c r="G343" s="32" t="n">
        <v>46790</v>
      </c>
      <c r="H343">
        <f>IF(COUNTIFS($B$2:B343,B343,$D$2:D343,D343)=1,1,0)</f>
        <v/>
      </c>
      <c r="I343">
        <f>IF(OR(LEFT(F343,2)="무균",ISNUMBER(SEARCH("주사제",F343))),"Y","")</f>
        <v/>
      </c>
      <c r="J343">
        <f>IF(LEFT(F343,2)="생물","Y","")</f>
        <v/>
      </c>
    </row>
    <row r="344">
      <c r="A344" t="inlineStr">
        <is>
          <t>S343</t>
        </is>
      </c>
      <c r="B344" t="inlineStr">
        <is>
          <t>경동제약</t>
        </is>
      </c>
      <c r="C344" t="inlineStr">
        <is>
          <t>경동제약(주)</t>
        </is>
      </c>
      <c r="D344" t="inlineStr">
        <is>
          <t>경기도 화성시 만세구 양감면 제약단지로 224-3</t>
        </is>
      </c>
      <c r="E344" t="inlineStr">
        <is>
          <t>원료의약품</t>
        </is>
      </c>
      <c r="F344" t="inlineStr">
        <is>
          <t>무균-세팔로스포린제제-합성, 무균-일반제제-정제(합성에 한함)</t>
        </is>
      </c>
      <c r="G344" s="32" t="n">
        <v>46790</v>
      </c>
      <c r="H344">
        <f>IF(COUNTIFS($B$2:B344,B344,$D$2:D344,D344)=1,1,0)</f>
        <v/>
      </c>
      <c r="I344">
        <f>IF(OR(LEFT(F344,2)="무균",ISNUMBER(SEARCH("주사제",F344))),"Y","")</f>
        <v/>
      </c>
      <c r="J344">
        <f>IF(LEFT(F344,2)="생물","Y","")</f>
        <v/>
      </c>
    </row>
    <row r="345">
      <c r="A345" t="inlineStr">
        <is>
          <t>S344</t>
        </is>
      </c>
      <c r="B345" t="inlineStr">
        <is>
          <t>알보젠코리아</t>
        </is>
      </c>
      <c r="C345" t="inlineStr">
        <is>
          <t>알보젠코리아(주)</t>
        </is>
      </c>
      <c r="D345" t="inlineStr">
        <is>
          <t>경기도 화성시 만세구 향남읍 제약공단2길 36</t>
        </is>
      </c>
      <c r="E345" t="inlineStr">
        <is>
          <t>완제의약품</t>
        </is>
      </c>
      <c r="F345" t="inlineStr">
        <is>
          <t>비무균-일반제제-내용고형제(정제, 질정, 캡슐제, 시럽제(고형))</t>
        </is>
      </c>
      <c r="G345" s="32" t="n">
        <v>46779</v>
      </c>
      <c r="H345">
        <f>IF(COUNTIFS($B$2:B345,B345,$D$2:D345,D345)=1,1,0)</f>
        <v/>
      </c>
      <c r="I345">
        <f>IF(OR(LEFT(F345,2)="무균",ISNUMBER(SEARCH("주사제",F345))),"Y","")</f>
        <v/>
      </c>
      <c r="J345">
        <f>IF(LEFT(F345,2)="생물","Y","")</f>
        <v/>
      </c>
    </row>
    <row r="346">
      <c r="A346" t="inlineStr">
        <is>
          <t>S345</t>
        </is>
      </c>
      <c r="B346" t="inlineStr">
        <is>
          <t>태극제약</t>
        </is>
      </c>
      <c r="C346" t="inlineStr">
        <is>
          <t>태극제약(주)</t>
        </is>
      </c>
      <c r="D346" t="inlineStr">
        <is>
          <t>경기도 화성시 만세구 향남읍 제약공단3길 123</t>
        </is>
      </c>
      <c r="E346" t="inlineStr">
        <is>
          <t>완제의약품</t>
        </is>
      </c>
      <c r="F346" t="inlineStr">
        <is>
          <t>비무균-일반제제-내용고형제(정제, 캡슐제), 비무균-일반제제-내용액제(경구용액제, 시럽제(액상), 현탁제, 구강용스프레이제), 비무균-일반제제-외용액제(외용액제)</t>
        </is>
      </c>
      <c r="G346" s="32" t="n">
        <v>46778</v>
      </c>
      <c r="H346">
        <f>IF(COUNTIFS($B$2:B346,B346,$D$2:D346,D346)=1,1,0)</f>
        <v/>
      </c>
      <c r="I346">
        <f>IF(OR(LEFT(F346,2)="무균",ISNUMBER(SEARCH("주사제",F346))),"Y","")</f>
        <v/>
      </c>
      <c r="J346">
        <f>IF(LEFT(F346,2)="생물","Y","")</f>
        <v/>
      </c>
    </row>
    <row r="347">
      <c r="A347" t="inlineStr">
        <is>
          <t>S346</t>
        </is>
      </c>
      <c r="B347" t="inlineStr">
        <is>
          <t>중앙산업가스</t>
        </is>
      </c>
      <c r="C347" t="inlineStr">
        <is>
          <t>중앙산업가스(주)</t>
        </is>
      </c>
      <c r="D347" t="inlineStr">
        <is>
          <t>대전광역시 대덕구 대전로 1331</t>
        </is>
      </c>
      <c r="E347" t="inlineStr">
        <is>
          <t>완제의약품</t>
        </is>
      </c>
      <c r="F347" t="inlineStr">
        <is>
          <t>비무균-일반제제-가스제(의료용 고압가스)</t>
        </is>
      </c>
      <c r="G347" s="32" t="n">
        <v>46778</v>
      </c>
      <c r="H347">
        <f>IF(COUNTIFS($B$2:B347,B347,$D$2:D347,D347)=1,1,0)</f>
        <v/>
      </c>
      <c r="I347">
        <f>IF(OR(LEFT(F347,2)="무균",ISNUMBER(SEARCH("주사제",F347))),"Y","")</f>
        <v/>
      </c>
      <c r="J347">
        <f>IF(LEFT(F347,2)="생물","Y","")</f>
        <v/>
      </c>
    </row>
    <row r="348">
      <c r="A348" t="inlineStr">
        <is>
          <t>S347</t>
        </is>
      </c>
      <c r="B348" t="inlineStr">
        <is>
          <t>한국코러스</t>
        </is>
      </c>
      <c r="C348" t="inlineStr">
        <is>
          <t>한국코러스(주)</t>
        </is>
      </c>
      <c r="D348" t="inlineStr">
        <is>
          <t>충청북도 제천시 강저로 30</t>
        </is>
      </c>
      <c r="E348" t="inlineStr">
        <is>
          <t>완제의약품</t>
        </is>
      </c>
      <c r="F348" t="inlineStr">
        <is>
          <t>비무균-세팔로스포린제제-내용고형제(캡슐제), 비무균-일반제제-내용고형제(정제, 캡슐제)</t>
        </is>
      </c>
      <c r="G348" s="32" t="n">
        <v>46778</v>
      </c>
      <c r="H348">
        <f>IF(COUNTIFS($B$2:B348,B348,$D$2:D348,D348)=1,1,0)</f>
        <v/>
      </c>
      <c r="I348">
        <f>IF(OR(LEFT(F348,2)="무균",ISNUMBER(SEARCH("주사제",F348))),"Y","")</f>
        <v/>
      </c>
      <c r="J348">
        <f>IF(LEFT(F348,2)="생물","Y","")</f>
        <v/>
      </c>
    </row>
    <row r="349">
      <c r="A349" t="inlineStr">
        <is>
          <t>S348</t>
        </is>
      </c>
      <c r="B349" t="inlineStr">
        <is>
          <t>제일가스산업</t>
        </is>
      </c>
      <c r="C349" t="inlineStr">
        <is>
          <t>(주)제일가스산업</t>
        </is>
      </c>
      <c r="D349" t="inlineStr">
        <is>
          <t>세종특별자치시 부강면 부강금호로 97</t>
        </is>
      </c>
      <c r="E349" t="inlineStr">
        <is>
          <t>완제의약품</t>
        </is>
      </c>
      <c r="F349" t="inlineStr">
        <is>
          <t>비무균-일반제제(의료용 고압가스)-가스제(의료용 고압가스)</t>
        </is>
      </c>
      <c r="G349" s="32" t="n">
        <v>46777</v>
      </c>
      <c r="H349">
        <f>IF(COUNTIFS($B$2:B349,B349,$D$2:D349,D349)=1,1,0)</f>
        <v/>
      </c>
      <c r="I349">
        <f>IF(OR(LEFT(F349,2)="무균",ISNUMBER(SEARCH("주사제",F349))),"Y","")</f>
        <v/>
      </c>
      <c r="J349">
        <f>IF(LEFT(F349,2)="생물","Y","")</f>
        <v/>
      </c>
    </row>
    <row r="350">
      <c r="A350" t="inlineStr">
        <is>
          <t>S349</t>
        </is>
      </c>
      <c r="B350" t="inlineStr">
        <is>
          <t>신일가스</t>
        </is>
      </c>
      <c r="C350" t="inlineStr">
        <is>
          <t>신일가스(주)</t>
        </is>
      </c>
      <c r="D350" t="inlineStr">
        <is>
          <t>광주광역시 광산구 하남산단5번로 122</t>
        </is>
      </c>
      <c r="E350" t="inlineStr">
        <is>
          <t>완제의약품</t>
        </is>
      </c>
      <c r="F350" t="inlineStr">
        <is>
          <t>비무균-일반제제(의료용 고압가스)-가스제(의료용 고압가스)</t>
        </is>
      </c>
      <c r="G350" s="32" t="n">
        <v>46770</v>
      </c>
      <c r="H350">
        <f>IF(COUNTIFS($B$2:B350,B350,$D$2:D350,D350)=1,1,0)</f>
        <v/>
      </c>
      <c r="I350">
        <f>IF(OR(LEFT(F350,2)="무균",ISNUMBER(SEARCH("주사제",F350))),"Y","")</f>
        <v/>
      </c>
      <c r="J350">
        <f>IF(LEFT(F350,2)="생물","Y","")</f>
        <v/>
      </c>
    </row>
    <row r="351">
      <c r="A351" t="inlineStr">
        <is>
          <t>S350</t>
        </is>
      </c>
      <c r="B351" t="inlineStr">
        <is>
          <t>에어프로덕츠코리아</t>
        </is>
      </c>
      <c r="C351" t="inlineStr">
        <is>
          <t>에어프로덕츠코리아(주)</t>
        </is>
      </c>
      <c r="D351" t="inlineStr">
        <is>
          <t>충청남도 아산시 탕정면 탕정로 380-33</t>
        </is>
      </c>
      <c r="E351" t="inlineStr">
        <is>
          <t>완제의약품</t>
        </is>
      </c>
      <c r="F351" t="inlineStr">
        <is>
          <t>비무균-일반제제-가스제(의료용 고압가스)</t>
        </is>
      </c>
      <c r="G351" s="32" t="n">
        <v>46768</v>
      </c>
      <c r="H351">
        <f>IF(COUNTIFS($B$2:B351,B351,$D$2:D351,D351)=1,1,0)</f>
        <v/>
      </c>
      <c r="I351">
        <f>IF(OR(LEFT(F351,2)="무균",ISNUMBER(SEARCH("주사제",F351))),"Y","")</f>
        <v/>
      </c>
      <c r="J351">
        <f>IF(LEFT(F351,2)="생물","Y","")</f>
        <v/>
      </c>
    </row>
    <row r="352">
      <c r="A352" t="inlineStr">
        <is>
          <t>S351</t>
        </is>
      </c>
      <c r="B352" t="inlineStr">
        <is>
          <t>킴스제약</t>
        </is>
      </c>
      <c r="C352" t="inlineStr">
        <is>
          <t>(주)킴스제약</t>
        </is>
      </c>
      <c r="D352" t="inlineStr">
        <is>
          <t>충청북도 청주시 흥덕구 오송읍 오송생명14로 106</t>
        </is>
      </c>
      <c r="E352" t="inlineStr">
        <is>
          <t>완제의약품</t>
        </is>
      </c>
      <c r="F352" t="inlineStr">
        <is>
          <t>비무균-일반제제-내용고형제(정제, 캡슐제)</t>
        </is>
      </c>
      <c r="G352" s="32" t="n">
        <v>46764</v>
      </c>
      <c r="H352">
        <f>IF(COUNTIFS($B$2:B352,B352,$D$2:D352,D352)=1,1,0)</f>
        <v/>
      </c>
      <c r="I352">
        <f>IF(OR(LEFT(F352,2)="무균",ISNUMBER(SEARCH("주사제",F352))),"Y","")</f>
        <v/>
      </c>
      <c r="J352">
        <f>IF(LEFT(F352,2)="생물","Y","")</f>
        <v/>
      </c>
    </row>
    <row r="353">
      <c r="A353" t="inlineStr">
        <is>
          <t>S352</t>
        </is>
      </c>
      <c r="B353" t="inlineStr">
        <is>
          <t>돌나라한농제약</t>
        </is>
      </c>
      <c r="C353" t="inlineStr">
        <is>
          <t>(주)돌나라한농제약</t>
        </is>
      </c>
      <c r="D353" t="inlineStr">
        <is>
          <t>경상북도 상주시 외서면 낙원동길 147</t>
        </is>
      </c>
      <c r="E353" t="inlineStr">
        <is>
          <t>완제의약품</t>
        </is>
      </c>
      <c r="F353" t="inlineStr">
        <is>
          <t>비무균-일반제제-내용고형제(산제, 과립제)</t>
        </is>
      </c>
      <c r="G353" s="32" t="n">
        <v>46763</v>
      </c>
      <c r="H353">
        <f>IF(COUNTIFS($B$2:B353,B353,$D$2:D353,D353)=1,1,0)</f>
        <v/>
      </c>
      <c r="I353">
        <f>IF(OR(LEFT(F353,2)="무균",ISNUMBER(SEARCH("주사제",F353))),"Y","")</f>
        <v/>
      </c>
      <c r="J353">
        <f>IF(LEFT(F353,2)="생물","Y","")</f>
        <v/>
      </c>
    </row>
    <row r="354">
      <c r="A354" t="inlineStr">
        <is>
          <t>S353</t>
        </is>
      </c>
      <c r="B354" t="inlineStr">
        <is>
          <t>돌나라한농제약</t>
        </is>
      </c>
      <c r="C354" t="inlineStr">
        <is>
          <t>(주)돌나라한농제약</t>
        </is>
      </c>
      <c r="D354" t="inlineStr">
        <is>
          <t>경상북도 상주시 외서면 하나동2길 19-14</t>
        </is>
      </c>
      <c r="E354" t="inlineStr">
        <is>
          <t>원료의약품</t>
        </is>
      </c>
      <c r="F354" t="inlineStr">
        <is>
          <t>비무균-일반제제-(분쇄, 탄화)</t>
        </is>
      </c>
      <c r="G354" s="32" t="n">
        <v>46763</v>
      </c>
      <c r="H354">
        <f>IF(COUNTIFS($B$2:B354,B354,$D$2:D354,D354)=1,1,0)</f>
        <v/>
      </c>
      <c r="I354">
        <f>IF(OR(LEFT(F354,2)="무균",ISNUMBER(SEARCH("주사제",F354))),"Y","")</f>
        <v/>
      </c>
      <c r="J354">
        <f>IF(LEFT(F354,2)="생물","Y","")</f>
        <v/>
      </c>
    </row>
    <row r="355">
      <c r="A355" t="inlineStr">
        <is>
          <t>S354</t>
        </is>
      </c>
      <c r="B355" t="inlineStr">
        <is>
          <t>피에스지</t>
        </is>
      </c>
      <c r="C355" t="inlineStr">
        <is>
          <t>(주)피에스지</t>
        </is>
      </c>
      <c r="D355" t="inlineStr">
        <is>
          <t>전라남도 보성군 벌교읍 녹색로 5695-13</t>
        </is>
      </c>
      <c r="E355" t="inlineStr">
        <is>
          <t>완제의약품</t>
        </is>
      </c>
      <c r="F355" t="inlineStr">
        <is>
          <t>비무균-일반제제(의료용 고압가스)-가스제(의료용 고압가스)</t>
        </is>
      </c>
      <c r="G355" s="32" t="n">
        <v>46743</v>
      </c>
      <c r="H355">
        <f>IF(COUNTIFS($B$2:B355,B355,$D$2:D355,D355)=1,1,0)</f>
        <v/>
      </c>
      <c r="I355">
        <f>IF(OR(LEFT(F355,2)="무균",ISNUMBER(SEARCH("주사제",F355))),"Y","")</f>
        <v/>
      </c>
      <c r="J355">
        <f>IF(LEFT(F355,2)="생물","Y","")</f>
        <v/>
      </c>
    </row>
    <row r="356">
      <c r="A356" t="inlineStr">
        <is>
          <t>S355</t>
        </is>
      </c>
      <c r="B356" t="inlineStr">
        <is>
          <t>코미팜</t>
        </is>
      </c>
      <c r="C356" t="inlineStr">
        <is>
          <t>(주)코미팜</t>
        </is>
      </c>
      <c r="D356" t="inlineStr">
        <is>
          <t>충청북도 청주시 흥덕구 오송읍 오송가락로 291</t>
        </is>
      </c>
      <c r="E356" t="inlineStr">
        <is>
          <t>완제의약품</t>
        </is>
      </c>
      <c r="F356" t="inlineStr">
        <is>
          <t>비무균-일반제제-내용고형제(정제)</t>
        </is>
      </c>
      <c r="G356" s="32" t="n">
        <v>46741</v>
      </c>
      <c r="H356">
        <f>IF(COUNTIFS($B$2:B356,B356,$D$2:D356,D356)=1,1,0)</f>
        <v/>
      </c>
      <c r="I356">
        <f>IF(OR(LEFT(F356,2)="무균",ISNUMBER(SEARCH("주사제",F356))),"Y","")</f>
        <v/>
      </c>
      <c r="J356">
        <f>IF(LEFT(F356,2)="생물","Y","")</f>
        <v/>
      </c>
    </row>
    <row r="357">
      <c r="A357" t="inlineStr">
        <is>
          <t>S356</t>
        </is>
      </c>
      <c r="B357" t="inlineStr">
        <is>
          <t>건영특수가스</t>
        </is>
      </c>
      <c r="C357" t="inlineStr">
        <is>
          <t>(주)건영특수가스</t>
        </is>
      </c>
      <c r="D357" t="inlineStr">
        <is>
          <t>광주광역시 광산구 고봉로230번길 24</t>
        </is>
      </c>
      <c r="E357" t="inlineStr">
        <is>
          <t>완제의약품</t>
        </is>
      </c>
      <c r="F357" t="inlineStr">
        <is>
          <t>비무균-일반제제(의료용 고압가스)-가스제(의료용 고압가스)</t>
        </is>
      </c>
      <c r="G357" s="32" t="n">
        <v>46733</v>
      </c>
      <c r="H357">
        <f>IF(COUNTIFS($B$2:B357,B357,$D$2:D357,D357)=1,1,0)</f>
        <v/>
      </c>
      <c r="I357">
        <f>IF(OR(LEFT(F357,2)="무균",ISNUMBER(SEARCH("주사제",F357))),"Y","")</f>
        <v/>
      </c>
      <c r="J357">
        <f>IF(LEFT(F357,2)="생물","Y","")</f>
        <v/>
      </c>
    </row>
    <row r="358">
      <c r="A358" t="inlineStr">
        <is>
          <t>S357</t>
        </is>
      </c>
      <c r="B358" t="inlineStr">
        <is>
          <t>유바이오로직스</t>
        </is>
      </c>
      <c r="C358" t="inlineStr">
        <is>
          <t>(주)유바이오로직스</t>
        </is>
      </c>
      <c r="D358" t="inlineStr">
        <is>
          <t>강원특별자치도 춘천시 동산면 원무동길 125 생산동 지하1층일부,1층~4층, 관리동 2층,4층</t>
        </is>
      </c>
      <c r="E358" t="inlineStr">
        <is>
          <t>완제의약품</t>
        </is>
      </c>
      <c r="F358" t="inlineStr">
        <is>
          <t>생물-백신-내용액제(경구용액제)</t>
        </is>
      </c>
      <c r="G358" s="32" t="n">
        <v>46733</v>
      </c>
      <c r="H358">
        <f>IF(COUNTIFS($B$2:B358,B358,$D$2:D358,D358)=1,1,0)</f>
        <v/>
      </c>
      <c r="I358">
        <f>IF(OR(LEFT(F358,2)="무균",ISNUMBER(SEARCH("주사제",F358))),"Y","")</f>
        <v/>
      </c>
      <c r="J358">
        <f>IF(LEFT(F358,2)="생물","Y","")</f>
        <v/>
      </c>
    </row>
    <row r="359">
      <c r="A359" t="inlineStr">
        <is>
          <t>S358</t>
        </is>
      </c>
      <c r="B359" t="inlineStr">
        <is>
          <t>평화산소공업</t>
        </is>
      </c>
      <c r="C359" t="inlineStr">
        <is>
          <t>(주)평화산소공업</t>
        </is>
      </c>
      <c r="D359" t="inlineStr">
        <is>
          <t>부산광역시 사상구 대동로269번길 41 1층(감전동)</t>
        </is>
      </c>
      <c r="E359" t="inlineStr">
        <is>
          <t>완제의약품</t>
        </is>
      </c>
      <c r="F359" t="inlineStr">
        <is>
          <t>비무균-일반제제-가스제(의료용 고압가스)</t>
        </is>
      </c>
      <c r="G359" s="32" t="n">
        <v>46719</v>
      </c>
      <c r="H359">
        <f>IF(COUNTIFS($B$2:B359,B359,$D$2:D359,D359)=1,1,0)</f>
        <v/>
      </c>
      <c r="I359">
        <f>IF(OR(LEFT(F359,2)="무균",ISNUMBER(SEARCH("주사제",F359))),"Y","")</f>
        <v/>
      </c>
      <c r="J359">
        <f>IF(LEFT(F359,2)="생물","Y","")</f>
        <v/>
      </c>
    </row>
    <row r="360">
      <c r="A360" t="inlineStr">
        <is>
          <t>S359</t>
        </is>
      </c>
      <c r="B360" t="inlineStr">
        <is>
          <t>세종가스산업</t>
        </is>
      </c>
      <c r="C360" t="inlineStr">
        <is>
          <t>주식회사 세종가스산업</t>
        </is>
      </c>
      <c r="D360" t="inlineStr">
        <is>
          <t>경상남도 사천시 축동면 서삼로 1000</t>
        </is>
      </c>
      <c r="E360" t="inlineStr">
        <is>
          <t>완제의약품</t>
        </is>
      </c>
      <c r="F360" t="inlineStr">
        <is>
          <t>비무균-일반제제-가스제(의료용 고압가스)</t>
        </is>
      </c>
      <c r="G360" s="32" t="n">
        <v>46715</v>
      </c>
      <c r="H360">
        <f>IF(COUNTIFS($B$2:B360,B360,$D$2:D360,D360)=1,1,0)</f>
        <v/>
      </c>
      <c r="I360">
        <f>IF(OR(LEFT(F360,2)="무균",ISNUMBER(SEARCH("주사제",F360))),"Y","")</f>
        <v/>
      </c>
      <c r="J360">
        <f>IF(LEFT(F360,2)="생물","Y","")</f>
        <v/>
      </c>
    </row>
    <row r="361">
      <c r="A361" t="inlineStr">
        <is>
          <t>S360</t>
        </is>
      </c>
      <c r="B361" t="inlineStr">
        <is>
          <t>에어퍼스트</t>
        </is>
      </c>
      <c r="C361" t="inlineStr">
        <is>
          <t>(주)에어퍼스트</t>
        </is>
      </c>
      <c r="D361" t="inlineStr">
        <is>
          <t>경상북도 포항시 남구 대송로101번길 35</t>
        </is>
      </c>
      <c r="E361" t="inlineStr">
        <is>
          <t>완제의약품</t>
        </is>
      </c>
      <c r="F361" t="inlineStr">
        <is>
          <t>비무균-일반제제(의료용 고압가스)-가스제(의료용 고압가스)</t>
        </is>
      </c>
      <c r="G361" s="32" t="n">
        <v>46708</v>
      </c>
      <c r="H361">
        <f>IF(COUNTIFS($B$2:B361,B361,$D$2:D361,D361)=1,1,0)</f>
        <v/>
      </c>
      <c r="I361">
        <f>IF(OR(LEFT(F361,2)="무균",ISNUMBER(SEARCH("주사제",F361))),"Y","")</f>
        <v/>
      </c>
      <c r="J361">
        <f>IF(LEFT(F361,2)="생물","Y","")</f>
        <v/>
      </c>
    </row>
    <row r="362">
      <c r="A362" t="inlineStr">
        <is>
          <t>S361</t>
        </is>
      </c>
      <c r="B362" t="inlineStr">
        <is>
          <t>린데코리아</t>
        </is>
      </c>
      <c r="C362" t="inlineStr">
        <is>
          <t>린데코리아주식회사</t>
        </is>
      </c>
      <c r="D362" t="inlineStr">
        <is>
          <t>충청남도 아산시 탕정면 탕정로 380-43</t>
        </is>
      </c>
      <c r="E362" t="inlineStr">
        <is>
          <t>완제의약품</t>
        </is>
      </c>
      <c r="F362" t="inlineStr">
        <is>
          <t>비무균-일반제제(의료용 고압가스)-가스제(의료용 고압가스)</t>
        </is>
      </c>
      <c r="G362" s="32" t="n">
        <v>46698</v>
      </c>
      <c r="H362">
        <f>IF(COUNTIFS($B$2:B362,B362,$D$2:D362,D362)=1,1,0)</f>
        <v/>
      </c>
      <c r="I362">
        <f>IF(OR(LEFT(F362,2)="무균",ISNUMBER(SEARCH("주사제",F362))),"Y","")</f>
        <v/>
      </c>
      <c r="J362">
        <f>IF(LEFT(F362,2)="생물","Y","")</f>
        <v/>
      </c>
    </row>
    <row r="363">
      <c r="A363" t="inlineStr">
        <is>
          <t>S362</t>
        </is>
      </c>
      <c r="B363" t="inlineStr">
        <is>
          <t>건일바이오팜</t>
        </is>
      </c>
      <c r="C363" t="inlineStr">
        <is>
          <t>건일바이오팜주식회사</t>
        </is>
      </c>
      <c r="D363" t="inlineStr">
        <is>
          <t>충청남도 천안시 서북구 직산읍 거리막길 33 제일동</t>
        </is>
      </c>
      <c r="E363" t="inlineStr">
        <is>
          <t>완제의약품</t>
        </is>
      </c>
      <c r="F363" t="inlineStr">
        <is>
          <t>비무균-일반제제-그 밖의 액제(흡입제(액상))</t>
        </is>
      </c>
      <c r="G363" s="32" t="n">
        <v>46697</v>
      </c>
      <c r="H363">
        <f>IF(COUNTIFS($B$2:B363,B363,$D$2:D363,D363)=1,1,0)</f>
        <v/>
      </c>
      <c r="I363">
        <f>IF(OR(LEFT(F363,2)="무균",ISNUMBER(SEARCH("주사제",F363))),"Y","")</f>
        <v/>
      </c>
      <c r="J363">
        <f>IF(LEFT(F363,2)="생물","Y","")</f>
        <v/>
      </c>
    </row>
    <row r="364">
      <c r="A364" t="inlineStr">
        <is>
          <t>S363</t>
        </is>
      </c>
      <c r="B364" t="inlineStr">
        <is>
          <t>엘지화학</t>
        </is>
      </c>
      <c r="C364" t="inlineStr">
        <is>
          <t>(주)엘지화학</t>
        </is>
      </c>
      <c r="D364" t="inlineStr">
        <is>
          <t>울산광역시 울주군 온산읍 이진로 19</t>
        </is>
      </c>
      <c r="E364" t="inlineStr">
        <is>
          <t>원료의약품</t>
        </is>
      </c>
      <c r="F364" t="inlineStr">
        <is>
          <t>비무균-일반제제-합성</t>
        </is>
      </c>
      <c r="G364" s="32" t="n">
        <v>46696</v>
      </c>
      <c r="H364">
        <f>IF(COUNTIFS($B$2:B364,B364,$D$2:D364,D364)=1,1,0)</f>
        <v/>
      </c>
      <c r="I364">
        <f>IF(OR(LEFT(F364,2)="무균",ISNUMBER(SEARCH("주사제",F364))),"Y","")</f>
        <v/>
      </c>
      <c r="J364">
        <f>IF(LEFT(F364,2)="생물","Y","")</f>
        <v/>
      </c>
    </row>
    <row r="365">
      <c r="A365" t="inlineStr">
        <is>
          <t>S364</t>
        </is>
      </c>
      <c r="B365" t="inlineStr">
        <is>
          <t>동아제약</t>
        </is>
      </c>
      <c r="C365" t="inlineStr">
        <is>
          <t>동아제약(주)</t>
        </is>
      </c>
      <c r="D365" t="inlineStr">
        <is>
          <t>충청남도 천안시 서북구 백석공단1로 200-23 (1, 2A, 4A층)</t>
        </is>
      </c>
      <c r="E365" t="inlineStr">
        <is>
          <t>완제의약품</t>
        </is>
      </c>
      <c r="F365" t="inlineStr">
        <is>
          <t>비무균-일반제제-내용액제(경구용액제, 시럽제(액상))</t>
        </is>
      </c>
      <c r="G365" s="32" t="n">
        <v>46690</v>
      </c>
      <c r="H365">
        <f>IF(COUNTIFS($B$2:B365,B365,$D$2:D365,D365)=1,1,0)</f>
        <v/>
      </c>
      <c r="I365">
        <f>IF(OR(LEFT(F365,2)="무균",ISNUMBER(SEARCH("주사제",F365))),"Y","")</f>
        <v/>
      </c>
      <c r="J365">
        <f>IF(LEFT(F365,2)="생물","Y","")</f>
        <v/>
      </c>
    </row>
    <row r="366">
      <c r="A366" t="inlineStr">
        <is>
          <t>S365</t>
        </is>
      </c>
      <c r="B366" t="inlineStr">
        <is>
          <t>바이오솔루션</t>
        </is>
      </c>
      <c r="C366" t="inlineStr">
        <is>
          <t>(주)바이오솔루션</t>
        </is>
      </c>
      <c r="D366" t="inlineStr">
        <is>
          <t>서울특별시 노원구 공릉로 232 서울테크노파크 1층 101호, 102호, 5층 501~504호, 513호, (원료보관소)506호, (자재보관소)514호</t>
        </is>
      </c>
      <c r="E366" t="inlineStr">
        <is>
          <t>완제의약품</t>
        </is>
      </c>
      <c r="F366" t="inlineStr">
        <is>
          <t>생물-세포치료제-주사제(첨단바이오의약품)(주사제)</t>
        </is>
      </c>
      <c r="G366" s="32" t="n">
        <v>46689</v>
      </c>
      <c r="H366">
        <f>IF(COUNTIFS($B$2:B366,B366,$D$2:D366,D366)=1,1,0)</f>
        <v/>
      </c>
      <c r="I366">
        <f>IF(OR(LEFT(F366,2)="무균",ISNUMBER(SEARCH("주사제",F366))),"Y","")</f>
        <v/>
      </c>
      <c r="J366">
        <f>IF(LEFT(F366,2)="생물","Y","")</f>
        <v/>
      </c>
    </row>
    <row r="367">
      <c r="A367" t="inlineStr">
        <is>
          <t>S366</t>
        </is>
      </c>
      <c r="B367" t="inlineStr">
        <is>
          <t>린데코리아</t>
        </is>
      </c>
      <c r="C367" t="inlineStr">
        <is>
          <t>린데코리아주식회사</t>
        </is>
      </c>
      <c r="D367" t="inlineStr">
        <is>
          <t>경상남도 창원시 성산구 삼동로 100-31</t>
        </is>
      </c>
      <c r="E367" t="inlineStr">
        <is>
          <t>완제의약품</t>
        </is>
      </c>
      <c r="F367" t="inlineStr">
        <is>
          <t>비무균-일반제제-가스제(의료용 고압가스)</t>
        </is>
      </c>
      <c r="G367" s="32" t="n">
        <v>46685</v>
      </c>
      <c r="H367">
        <f>IF(COUNTIFS($B$2:B367,B367,$D$2:D367,D367)=1,1,0)</f>
        <v/>
      </c>
      <c r="I367">
        <f>IF(OR(LEFT(F367,2)="무균",ISNUMBER(SEARCH("주사제",F367))),"Y","")</f>
        <v/>
      </c>
      <c r="J367">
        <f>IF(LEFT(F367,2)="생물","Y","")</f>
        <v/>
      </c>
    </row>
    <row r="368">
      <c r="A368" t="inlineStr">
        <is>
          <t>S367</t>
        </is>
      </c>
      <c r="B368" t="inlineStr">
        <is>
          <t>일양약품</t>
        </is>
      </c>
      <c r="C368" t="inlineStr">
        <is>
          <t>일양약품(주)</t>
        </is>
      </c>
      <c r="D368" t="inlineStr">
        <is>
          <t>충청북도 음성군 금왕읍 대금로 1291</t>
        </is>
      </c>
      <c r="E368" t="inlineStr">
        <is>
          <t>원료의약품</t>
        </is>
      </c>
      <c r="F368" t="inlineStr">
        <is>
          <t>생물-백신-(배양, 정제, 원액 제조)</t>
        </is>
      </c>
      <c r="G368" s="32" t="n">
        <v>46683</v>
      </c>
      <c r="H368">
        <f>IF(COUNTIFS($B$2:B368,B368,$D$2:D368,D368)=1,1,0)</f>
        <v/>
      </c>
      <c r="I368">
        <f>IF(OR(LEFT(F368,2)="무균",ISNUMBER(SEARCH("주사제",F368))),"Y","")</f>
        <v/>
      </c>
      <c r="J368">
        <f>IF(LEFT(F368,2)="생물","Y","")</f>
        <v/>
      </c>
    </row>
    <row r="369">
      <c r="A369" t="inlineStr">
        <is>
          <t>S368</t>
        </is>
      </c>
      <c r="B369" t="inlineStr">
        <is>
          <t>안트로젠</t>
        </is>
      </c>
      <c r="C369" t="inlineStr">
        <is>
          <t>(주)안트로젠</t>
        </is>
      </c>
      <c r="D369" t="inlineStr">
        <is>
          <t>서울특별시 금천구 디지털로 130 남성프라자(에이스9차) 404~407호, 610호 일부</t>
        </is>
      </c>
      <c r="E369" t="inlineStr">
        <is>
          <t>완제의약품</t>
        </is>
      </c>
      <c r="F369" t="inlineStr">
        <is>
          <t>생물-세포치료제-주사제(첨단바이오의약품)(주사제)</t>
        </is>
      </c>
      <c r="G369" s="32" t="n">
        <v>46682</v>
      </c>
      <c r="H369">
        <f>IF(COUNTIFS($B$2:B369,B369,$D$2:D369,D369)=1,1,0)</f>
        <v/>
      </c>
      <c r="I369">
        <f>IF(OR(LEFT(F369,2)="무균",ISNUMBER(SEARCH("주사제",F369))),"Y","")</f>
        <v/>
      </c>
      <c r="J369">
        <f>IF(LEFT(F369,2)="생물","Y","")</f>
        <v/>
      </c>
    </row>
    <row r="370">
      <c r="A370" t="inlineStr">
        <is>
          <t>S369</t>
        </is>
      </c>
      <c r="B370" t="inlineStr">
        <is>
          <t>에니웨이</t>
        </is>
      </c>
      <c r="C370" t="inlineStr">
        <is>
          <t>(주)에니웨이</t>
        </is>
      </c>
      <c r="D370" t="inlineStr">
        <is>
          <t>경상남도 함안군 칠북면 영동1길 5</t>
        </is>
      </c>
      <c r="E370" t="inlineStr">
        <is>
          <t>완제의약품</t>
        </is>
      </c>
      <c r="F370" t="inlineStr">
        <is>
          <t>비무균-일반제제(의료용 고압가스)-가스제(의료용 고압가스)</t>
        </is>
      </c>
      <c r="G370" s="32" t="n">
        <v>46681</v>
      </c>
      <c r="H370">
        <f>IF(COUNTIFS($B$2:B370,B370,$D$2:D370,D370)=1,1,0)</f>
        <v/>
      </c>
      <c r="I370">
        <f>IF(OR(LEFT(F370,2)="무균",ISNUMBER(SEARCH("주사제",F370))),"Y","")</f>
        <v/>
      </c>
      <c r="J370">
        <f>IF(LEFT(F370,2)="생물","Y","")</f>
        <v/>
      </c>
    </row>
    <row r="371">
      <c r="A371" t="inlineStr">
        <is>
          <t>S370</t>
        </is>
      </c>
      <c r="B371" t="inlineStr">
        <is>
          <t>큐라티스</t>
        </is>
      </c>
      <c r="C371" t="inlineStr">
        <is>
          <t>주식회사큐라티스</t>
        </is>
      </c>
      <c r="D371" t="inlineStr">
        <is>
          <t>충청북도 청주시 흥덕구 오송읍 의료단지길 143</t>
        </is>
      </c>
      <c r="E371" t="inlineStr">
        <is>
          <t>완제의약품</t>
        </is>
      </c>
      <c r="F371" t="inlineStr">
        <is>
          <t>무균-일반제제-주사제(주사제)</t>
        </is>
      </c>
      <c r="G371" s="32" t="n">
        <v>46676</v>
      </c>
      <c r="H371">
        <f>IF(COUNTIFS($B$2:B371,B371,$D$2:D371,D371)=1,1,0)</f>
        <v/>
      </c>
      <c r="I371">
        <f>IF(OR(LEFT(F371,2)="무균",ISNUMBER(SEARCH("주사제",F371))),"Y","")</f>
        <v/>
      </c>
      <c r="J371">
        <f>IF(LEFT(F371,2)="생물","Y","")</f>
        <v/>
      </c>
    </row>
    <row r="372">
      <c r="A372" t="inlineStr">
        <is>
          <t>S371</t>
        </is>
      </c>
      <c r="B372" t="inlineStr">
        <is>
          <t>단일가스켐</t>
        </is>
      </c>
      <c r="C372" t="inlineStr">
        <is>
          <t>단일가스켐(주)</t>
        </is>
      </c>
      <c r="D372" t="inlineStr">
        <is>
          <t>충청북도 청주시 청원구 오창읍 과학산업2로 587-6</t>
        </is>
      </c>
      <c r="E372" t="inlineStr">
        <is>
          <t>완제의약품</t>
        </is>
      </c>
      <c r="F372" t="inlineStr">
        <is>
          <t>비무균-일반제제(의료용 고압가스)-가스제(의료용 고압가스)</t>
        </is>
      </c>
      <c r="G372" s="32" t="n">
        <v>46671</v>
      </c>
      <c r="H372">
        <f>IF(COUNTIFS($B$2:B372,B372,$D$2:D372,D372)=1,1,0)</f>
        <v/>
      </c>
      <c r="I372">
        <f>IF(OR(LEFT(F372,2)="무균",ISNUMBER(SEARCH("주사제",F372))),"Y","")</f>
        <v/>
      </c>
      <c r="J372">
        <f>IF(LEFT(F372,2)="생물","Y","")</f>
        <v/>
      </c>
    </row>
    <row r="373">
      <c r="A373" t="inlineStr">
        <is>
          <t>S372</t>
        </is>
      </c>
      <c r="B373" t="inlineStr">
        <is>
          <t>셀트리온제약</t>
        </is>
      </c>
      <c r="C373" t="inlineStr">
        <is>
          <t>(주)셀트리온제약</t>
        </is>
      </c>
      <c r="D373" t="inlineStr">
        <is>
          <t>충청북도 진천군 이월면 반지길 47-17</t>
        </is>
      </c>
      <c r="E373" t="inlineStr">
        <is>
          <t>완제의약품</t>
        </is>
      </c>
      <c r="F373" t="inlineStr">
        <is>
          <t>비무균-일반제제-내용고형제(정제, 캡슐제)</t>
        </is>
      </c>
      <c r="G373" s="32" t="n">
        <v>46666</v>
      </c>
      <c r="H373">
        <f>IF(COUNTIFS($B$2:B373,B373,$D$2:D373,D373)=1,1,0)</f>
        <v/>
      </c>
      <c r="I373">
        <f>IF(OR(LEFT(F373,2)="무균",ISNUMBER(SEARCH("주사제",F373))),"Y","")</f>
        <v/>
      </c>
      <c r="J373">
        <f>IF(LEFT(F373,2)="생물","Y","")</f>
        <v/>
      </c>
    </row>
    <row r="374">
      <c r="A374" t="inlineStr">
        <is>
          <t>S373</t>
        </is>
      </c>
      <c r="B374" t="inlineStr">
        <is>
          <t>한성신약</t>
        </is>
      </c>
      <c r="C374" t="inlineStr">
        <is>
          <t>한성신약주식회사</t>
        </is>
      </c>
      <c r="D374" t="inlineStr">
        <is>
          <t>충청북도 진천군 덕산읍 신척산단4로 93</t>
        </is>
      </c>
      <c r="E374" t="inlineStr">
        <is>
          <t>원료의약품</t>
        </is>
      </c>
      <c r="F374" t="inlineStr">
        <is>
          <t>비무균-일반제제-추출</t>
        </is>
      </c>
      <c r="G374" s="32" t="n">
        <v>46654</v>
      </c>
      <c r="H374">
        <f>IF(COUNTIFS($B$2:B374,B374,$D$2:D374,D374)=1,1,0)</f>
        <v/>
      </c>
      <c r="I374">
        <f>IF(OR(LEFT(F374,2)="무균",ISNUMBER(SEARCH("주사제",F374))),"Y","")</f>
        <v/>
      </c>
      <c r="J374">
        <f>IF(LEFT(F374,2)="생물","Y","")</f>
        <v/>
      </c>
    </row>
    <row r="375">
      <c r="A375" t="inlineStr">
        <is>
          <t>S374</t>
        </is>
      </c>
      <c r="B375" t="inlineStr">
        <is>
          <t>보령바이오파마</t>
        </is>
      </c>
      <c r="C375" t="inlineStr">
        <is>
          <t>(주)보령바이오파마</t>
        </is>
      </c>
      <c r="D375" t="inlineStr">
        <is>
          <t>충청북도 진천군 광혜원면 사동길 2</t>
        </is>
      </c>
      <c r="E375" t="inlineStr">
        <is>
          <t>완제의약품</t>
        </is>
      </c>
      <c r="F375" t="inlineStr">
        <is>
          <t>비무균-일반제제-내용고형제(캡슐제), 비무균-일반제제-내용액제(시럽제(액상)), 생물-백신-주사제(주사제)</t>
        </is>
      </c>
      <c r="G375" s="32" t="n">
        <v>46642</v>
      </c>
      <c r="H375">
        <f>IF(COUNTIFS($B$2:B375,B375,$D$2:D375,D375)=1,1,0)</f>
        <v/>
      </c>
      <c r="I375">
        <f>IF(OR(LEFT(F375,2)="무균",ISNUMBER(SEARCH("주사제",F375))),"Y","")</f>
        <v/>
      </c>
      <c r="J375">
        <f>IF(LEFT(F375,2)="생물","Y","")</f>
        <v/>
      </c>
    </row>
    <row r="376">
      <c r="A376" t="inlineStr">
        <is>
          <t>S375</t>
        </is>
      </c>
      <c r="B376" t="inlineStr">
        <is>
          <t>동광제약</t>
        </is>
      </c>
      <c r="C376" t="inlineStr">
        <is>
          <t>동광제약(주)</t>
        </is>
      </c>
      <c r="D376" t="inlineStr">
        <is>
          <t>경기도 평택시 산단로 115</t>
        </is>
      </c>
      <c r="E376" t="inlineStr">
        <is>
          <t>완제의약품</t>
        </is>
      </c>
      <c r="F376" t="inlineStr">
        <is>
          <t>비무균-일반제제-내용고형제(정제, 캡슐제), 무균-일반제제-주사제(주사제, 동결건조주사제), 비무균-일반제제-연고제(연고제, 크림제, 겔제), 무균-카바페넴제제-주사제(분말주사제)</t>
        </is>
      </c>
      <c r="G376" s="32" t="n">
        <v>46642</v>
      </c>
      <c r="H376">
        <f>IF(COUNTIFS($B$2:B376,B376,$D$2:D376,D376)=1,1,0)</f>
        <v/>
      </c>
      <c r="I376">
        <f>IF(OR(LEFT(F376,2)="무균",ISNUMBER(SEARCH("주사제",F376))),"Y","")</f>
        <v/>
      </c>
      <c r="J376">
        <f>IF(LEFT(F376,2)="생물","Y","")</f>
        <v/>
      </c>
    </row>
    <row r="377">
      <c r="A377" t="inlineStr">
        <is>
          <t>S376</t>
        </is>
      </c>
      <c r="B377" t="inlineStr">
        <is>
          <t>와이즈메디</t>
        </is>
      </c>
      <c r="C377" t="inlineStr">
        <is>
          <t>(주)와이즈메디</t>
        </is>
      </c>
      <c r="D377" t="inlineStr">
        <is>
          <t>충청북도 진천군 광혜원면 용소2길 27</t>
        </is>
      </c>
      <c r="E377" t="inlineStr">
        <is>
          <t>완제의약품</t>
        </is>
      </c>
      <c r="F377" t="inlineStr">
        <is>
          <t>무균-일반제제-주사제(수액제)</t>
        </is>
      </c>
      <c r="G377" s="32" t="n">
        <v>46641</v>
      </c>
      <c r="H377">
        <f>IF(COUNTIFS($B$2:B377,B377,$D$2:D377,D377)=1,1,0)</f>
        <v/>
      </c>
      <c r="I377">
        <f>IF(OR(LEFT(F377,2)="무균",ISNUMBER(SEARCH("주사제",F377))),"Y","")</f>
        <v/>
      </c>
      <c r="J377">
        <f>IF(LEFT(F377,2)="생물","Y","")</f>
        <v/>
      </c>
    </row>
    <row r="378">
      <c r="A378" t="inlineStr">
        <is>
          <t>S377</t>
        </is>
      </c>
      <c r="B378" t="inlineStr">
        <is>
          <t>진바이오팜</t>
        </is>
      </c>
      <c r="C378" t="inlineStr">
        <is>
          <t>주식회사진바이오팜</t>
        </is>
      </c>
      <c r="D378" t="inlineStr">
        <is>
          <t>경기도 평택시 청북읍 드림산단5로 34</t>
        </is>
      </c>
      <c r="E378" t="inlineStr">
        <is>
          <t>원료의약품</t>
        </is>
      </c>
      <c r="F378" t="inlineStr">
        <is>
          <t>비무균-일반제제-추출, 비무균-일반제제-분쇄</t>
        </is>
      </c>
      <c r="G378" s="32" t="n">
        <v>46635</v>
      </c>
      <c r="H378">
        <f>IF(COUNTIFS($B$2:B378,B378,$D$2:D378,D378)=1,1,0)</f>
        <v/>
      </c>
      <c r="I378">
        <f>IF(OR(LEFT(F378,2)="무균",ISNUMBER(SEARCH("주사제",F378))),"Y","")</f>
        <v/>
      </c>
      <c r="J378">
        <f>IF(LEFT(F378,2)="생물","Y","")</f>
        <v/>
      </c>
    </row>
    <row r="379">
      <c r="A379" t="inlineStr">
        <is>
          <t>S378</t>
        </is>
      </c>
      <c r="B379" t="inlineStr">
        <is>
          <t>종근당바이오</t>
        </is>
      </c>
      <c r="C379" t="inlineStr">
        <is>
          <t>(주)종근당바이오</t>
        </is>
      </c>
      <c r="D379" t="inlineStr">
        <is>
          <t>경기도 안산시 단원구 신원로 292 .</t>
        </is>
      </c>
      <c r="E379" t="inlineStr">
        <is>
          <t>원료의약품</t>
        </is>
      </c>
      <c r="F379" t="inlineStr">
        <is>
          <t>비무균-일반제제-합성, 비무균-일반제제-발효, 비무균-일반제제-혼합</t>
        </is>
      </c>
      <c r="G379" s="32" t="n">
        <v>46634</v>
      </c>
      <c r="H379">
        <f>IF(COUNTIFS($B$2:B379,B379,$D$2:D379,D379)=1,1,0)</f>
        <v/>
      </c>
      <c r="I379">
        <f>IF(OR(LEFT(F379,2)="무균",ISNUMBER(SEARCH("주사제",F379))),"Y","")</f>
        <v/>
      </c>
      <c r="J379">
        <f>IF(LEFT(F379,2)="생물","Y","")</f>
        <v/>
      </c>
    </row>
    <row r="380">
      <c r="A380" t="inlineStr">
        <is>
          <t>S379</t>
        </is>
      </c>
      <c r="B380" t="inlineStr">
        <is>
          <t>하이텍팜</t>
        </is>
      </c>
      <c r="C380" t="inlineStr">
        <is>
          <t>(주)하이텍팜</t>
        </is>
      </c>
      <c r="D380" t="inlineStr">
        <is>
          <t>충청북도 충주시 대소원면 첨단산업6로 12 (주)하이텍팜</t>
        </is>
      </c>
      <c r="E380" t="inlineStr">
        <is>
          <t>원료의약품</t>
        </is>
      </c>
      <c r="F380" t="inlineStr">
        <is>
          <t>무균-카바페넴제제-합성, 비무균-카바페넴제제-합성, 무균-카바페넴제제-혼합</t>
        </is>
      </c>
      <c r="G380" s="32" t="n">
        <v>46634</v>
      </c>
      <c r="H380">
        <f>IF(COUNTIFS($B$2:B380,B380,$D$2:D380,D380)=1,1,0)</f>
        <v/>
      </c>
      <c r="I380">
        <f>IF(OR(LEFT(F380,2)="무균",ISNUMBER(SEARCH("주사제",F380))),"Y","")</f>
        <v/>
      </c>
      <c r="J380">
        <f>IF(LEFT(F380,2)="생물","Y","")</f>
        <v/>
      </c>
    </row>
    <row r="381">
      <c r="A381" t="inlineStr">
        <is>
          <t>S380</t>
        </is>
      </c>
      <c r="B381" t="inlineStr">
        <is>
          <t>지씨셀</t>
        </is>
      </c>
      <c r="C381" t="inlineStr">
        <is>
          <t>주식회사지씨셀</t>
        </is>
      </c>
      <c r="D381" t="inlineStr">
        <is>
          <t>경기도 용인시 기흥구 이현로30번길 107 셀센터 지하2층(일부), 지하1층(일부) , 1층, 2층</t>
        </is>
      </c>
      <c r="E381" t="inlineStr">
        <is>
          <t>완제의약품</t>
        </is>
      </c>
      <c r="F381" t="inlineStr">
        <is>
          <t>생물-세포치료제-주사제(첨단바이오의약품)(주사제)</t>
        </is>
      </c>
      <c r="G381" s="32" t="n">
        <v>46634</v>
      </c>
      <c r="H381">
        <f>IF(COUNTIFS($B$2:B381,B381,$D$2:D381,D381)=1,1,0)</f>
        <v/>
      </c>
      <c r="I381">
        <f>IF(OR(LEFT(F381,2)="무균",ISNUMBER(SEARCH("주사제",F381))),"Y","")</f>
        <v/>
      </c>
      <c r="J381">
        <f>IF(LEFT(F381,2)="생물","Y","")</f>
        <v/>
      </c>
    </row>
    <row r="382">
      <c r="A382" t="inlineStr">
        <is>
          <t>S381</t>
        </is>
      </c>
      <c r="B382" t="inlineStr">
        <is>
          <t>라이트팜텍</t>
        </is>
      </c>
      <c r="C382" t="inlineStr">
        <is>
          <t>(주)라이트팜텍</t>
        </is>
      </c>
      <c r="D382" t="inlineStr">
        <is>
          <t>경기도 평택시 청북읍 고렴산단로 89</t>
        </is>
      </c>
      <c r="E382" t="inlineStr">
        <is>
          <t>완제의약품</t>
        </is>
      </c>
      <c r="F382" t="inlineStr">
        <is>
          <t>무균-일반제제-점안제(점안제)</t>
        </is>
      </c>
      <c r="G382" s="32" t="n">
        <v>46631</v>
      </c>
      <c r="H382">
        <f>IF(COUNTIFS($B$2:B382,B382,$D$2:D382,D382)=1,1,0)</f>
        <v/>
      </c>
      <c r="I382">
        <f>IF(OR(LEFT(F382,2)="무균",ISNUMBER(SEARCH("주사제",F382))),"Y","")</f>
        <v/>
      </c>
      <c r="J382">
        <f>IF(LEFT(F382,2)="생물","Y","")</f>
        <v/>
      </c>
    </row>
    <row r="383">
      <c r="A383" t="inlineStr">
        <is>
          <t>S382</t>
        </is>
      </c>
      <c r="B383" t="inlineStr">
        <is>
          <t>한미정밀화학</t>
        </is>
      </c>
      <c r="C383" t="inlineStr">
        <is>
          <t>한미정밀화학(주)</t>
        </is>
      </c>
      <c r="D383" t="inlineStr">
        <is>
          <t>경기도 시흥시 경제로 57 (1248-10)</t>
        </is>
      </c>
      <c r="E383" t="inlineStr">
        <is>
          <t>원료의약품</t>
        </is>
      </c>
      <c r="F383" t="inlineStr">
        <is>
          <t>무균-세팔로스포린제제-합성, 비무균-세팔로스포린제제-합성, 비무균-일반제제-합성</t>
        </is>
      </c>
      <c r="G383" s="32" t="n">
        <v>46628</v>
      </c>
      <c r="H383">
        <f>IF(COUNTIFS($B$2:B383,B383,$D$2:D383,D383)=1,1,0)</f>
        <v/>
      </c>
      <c r="I383">
        <f>IF(OR(LEFT(F383,2)="무균",ISNUMBER(SEARCH("주사제",F383))),"Y","")</f>
        <v/>
      </c>
      <c r="J383">
        <f>IF(LEFT(F383,2)="생물","Y","")</f>
        <v/>
      </c>
    </row>
    <row r="384">
      <c r="A384" t="inlineStr">
        <is>
          <t>S383</t>
        </is>
      </c>
      <c r="B384" t="inlineStr">
        <is>
          <t>넥스팜코리아</t>
        </is>
      </c>
      <c r="C384" t="inlineStr">
        <is>
          <t>(주)넥스팜코리아</t>
        </is>
      </c>
      <c r="D384" t="inlineStr">
        <is>
          <t>충청북도 청주시 흥덕구 오송읍 오송생명4로 168-41</t>
        </is>
      </c>
      <c r="E384" t="inlineStr">
        <is>
          <t>완제의약품</t>
        </is>
      </c>
      <c r="F384" t="inlineStr">
        <is>
          <t>비무균-일반제제-내용고형제(정제, 캡슐제, 산제, 과립제), 비무균-일반제제-내용액제(경구용액제, 시럽제(액상))</t>
        </is>
      </c>
      <c r="G384" s="32" t="n">
        <v>46627</v>
      </c>
      <c r="H384">
        <f>IF(COUNTIFS($B$2:B384,B384,$D$2:D384,D384)=1,1,0)</f>
        <v/>
      </c>
      <c r="I384">
        <f>IF(OR(LEFT(F384,2)="무균",ISNUMBER(SEARCH("주사제",F384))),"Y","")</f>
        <v/>
      </c>
      <c r="J384">
        <f>IF(LEFT(F384,2)="생물","Y","")</f>
        <v/>
      </c>
    </row>
    <row r="385">
      <c r="A385" t="inlineStr">
        <is>
          <t>S384</t>
        </is>
      </c>
      <c r="B385" t="inlineStr">
        <is>
          <t>한창메딕</t>
        </is>
      </c>
      <c r="C385" t="inlineStr">
        <is>
          <t>(주)한창메딕</t>
        </is>
      </c>
      <c r="D385" t="inlineStr">
        <is>
          <t>충청남도 아산시 음봉면 월산로201번길 10</t>
        </is>
      </c>
      <c r="E385" t="inlineStr">
        <is>
          <t>완제의약품</t>
        </is>
      </c>
      <c r="F385" t="inlineStr">
        <is>
          <t>비무균-일반제제-외용액제(외용액제)</t>
        </is>
      </c>
      <c r="G385" s="32" t="n">
        <v>46618</v>
      </c>
      <c r="H385">
        <f>IF(COUNTIFS($B$2:B385,B385,$D$2:D385,D385)=1,1,0)</f>
        <v/>
      </c>
      <c r="I385">
        <f>IF(OR(LEFT(F385,2)="무균",ISNUMBER(SEARCH("주사제",F385))),"Y","")</f>
        <v/>
      </c>
      <c r="J385">
        <f>IF(LEFT(F385,2)="생물","Y","")</f>
        <v/>
      </c>
    </row>
    <row r="386">
      <c r="A386" t="inlineStr">
        <is>
          <t>S385</t>
        </is>
      </c>
      <c r="B386" t="inlineStr">
        <is>
          <t>알파제약</t>
        </is>
      </c>
      <c r="C386" t="inlineStr">
        <is>
          <t>알파제약(주)</t>
        </is>
      </c>
      <c r="D386" t="inlineStr">
        <is>
          <t>경상북도 문경시 산양면 산양공단2길 20</t>
        </is>
      </c>
      <c r="E386" t="inlineStr">
        <is>
          <t>완제의약품</t>
        </is>
      </c>
      <c r="F386" t="inlineStr">
        <is>
          <t>비무균-일반제제-내용고형제(정제, 캡슐제, 트로키제), 비무균-일반제제-연고제(연고제, 크림제)</t>
        </is>
      </c>
      <c r="G386" s="32" t="n">
        <v>46612</v>
      </c>
      <c r="H386">
        <f>IF(COUNTIFS($B$2:B386,B386,$D$2:D386,D386)=1,1,0)</f>
        <v/>
      </c>
      <c r="I386">
        <f>IF(OR(LEFT(F386,2)="무균",ISNUMBER(SEARCH("주사제",F386))),"Y","")</f>
        <v/>
      </c>
      <c r="J386">
        <f>IF(LEFT(F386,2)="생물","Y","")</f>
        <v/>
      </c>
    </row>
    <row r="387">
      <c r="A387" t="inlineStr">
        <is>
          <t>S386</t>
        </is>
      </c>
      <c r="B387" t="inlineStr">
        <is>
          <t>원풍약품상사</t>
        </is>
      </c>
      <c r="C387" t="inlineStr">
        <is>
          <t>(주)원풍약품상사</t>
        </is>
      </c>
      <c r="D387" t="inlineStr">
        <is>
          <t>경기도 화성시 향남읍 발안공단로2길 33</t>
        </is>
      </c>
      <c r="E387" t="inlineStr">
        <is>
          <t>원료의약품</t>
        </is>
      </c>
      <c r="F387" t="inlineStr">
        <is>
          <t>비무균-일반제제-소분</t>
        </is>
      </c>
      <c r="G387" s="32" t="n">
        <v>46612</v>
      </c>
      <c r="H387">
        <f>IF(COUNTIFS($B$2:B387,B387,$D$2:D387,D387)=1,1,0)</f>
        <v/>
      </c>
      <c r="I387">
        <f>IF(OR(LEFT(F387,2)="무균",ISNUMBER(SEARCH("주사제",F387))),"Y","")</f>
        <v/>
      </c>
      <c r="J387">
        <f>IF(LEFT(F387,2)="생물","Y","")</f>
        <v/>
      </c>
    </row>
    <row r="388">
      <c r="A388" t="inlineStr">
        <is>
          <t>S387</t>
        </is>
      </c>
      <c r="B388" t="inlineStr">
        <is>
          <t>한국바이오켐제약</t>
        </is>
      </c>
      <c r="C388" t="inlineStr">
        <is>
          <t>한국바이오켐제약(주)</t>
        </is>
      </c>
      <c r="D388" t="inlineStr">
        <is>
          <t>세종특별자치시 전의면 산단길 204</t>
        </is>
      </c>
      <c r="E388" t="inlineStr">
        <is>
          <t>완제의약품</t>
        </is>
      </c>
      <c r="F388" t="inlineStr">
        <is>
          <t>비무균-일반제제-내용고형제(캡슐제), 비무균-일반제제-내용액제(경구용액제, 시럽제(액상))</t>
        </is>
      </c>
      <c r="G388" s="32" t="n">
        <v>46606</v>
      </c>
      <c r="H388">
        <f>IF(COUNTIFS($B$2:B388,B388,$D$2:D388,D388)=1,1,0)</f>
        <v/>
      </c>
      <c r="I388">
        <f>IF(OR(LEFT(F388,2)="무균",ISNUMBER(SEARCH("주사제",F388))),"Y","")</f>
        <v/>
      </c>
      <c r="J388">
        <f>IF(LEFT(F388,2)="생물","Y","")</f>
        <v/>
      </c>
    </row>
    <row r="389">
      <c r="A389" t="inlineStr">
        <is>
          <t>S388</t>
        </is>
      </c>
      <c r="B389" t="inlineStr">
        <is>
          <t>한국바이오켐제약</t>
        </is>
      </c>
      <c r="C389" t="inlineStr">
        <is>
          <t>한국바이오켐제약(주)</t>
        </is>
      </c>
      <c r="D389" t="inlineStr">
        <is>
          <t>세종특별자치시 전의면 산단길 204</t>
        </is>
      </c>
      <c r="E389" t="inlineStr">
        <is>
          <t>원료의약품</t>
        </is>
      </c>
      <c r="F389" t="inlineStr">
        <is>
          <t>비무균-일반제제-합성</t>
        </is>
      </c>
      <c r="G389" s="32" t="n">
        <v>46606</v>
      </c>
      <c r="H389">
        <f>IF(COUNTIFS($B$2:B389,B389,$D$2:D389,D389)=1,1,0)</f>
        <v/>
      </c>
      <c r="I389">
        <f>IF(OR(LEFT(F389,2)="무균",ISNUMBER(SEARCH("주사제",F389))),"Y","")</f>
        <v/>
      </c>
      <c r="J389">
        <f>IF(LEFT(F389,2)="생물","Y","")</f>
        <v/>
      </c>
    </row>
    <row r="390">
      <c r="A390" t="inlineStr">
        <is>
          <t>S389</t>
        </is>
      </c>
      <c r="B390" t="inlineStr">
        <is>
          <t>대덕가스</t>
        </is>
      </c>
      <c r="C390" t="inlineStr">
        <is>
          <t>대덕가스(주)</t>
        </is>
      </c>
      <c r="D390" t="inlineStr">
        <is>
          <t>인천광역시 남동구 남촌동 622-2 12블럭 3로트</t>
        </is>
      </c>
      <c r="E390" t="inlineStr">
        <is>
          <t>완제의약품</t>
        </is>
      </c>
      <c r="F390" t="inlineStr">
        <is>
          <t>비무균-일반제제(의료용 고압가스)-가스제(의료용 고압가스)</t>
        </is>
      </c>
      <c r="G390" s="32" t="n">
        <v>46596</v>
      </c>
      <c r="H390">
        <f>IF(COUNTIFS($B$2:B390,B390,$D$2:D390,D390)=1,1,0)</f>
        <v/>
      </c>
      <c r="I390">
        <f>IF(OR(LEFT(F390,2)="무균",ISNUMBER(SEARCH("주사제",F390))),"Y","")</f>
        <v/>
      </c>
      <c r="J390">
        <f>IF(LEFT(F390,2)="생물","Y","")</f>
        <v/>
      </c>
    </row>
    <row r="391">
      <c r="A391" t="inlineStr">
        <is>
          <t>S390</t>
        </is>
      </c>
      <c r="B391" t="inlineStr">
        <is>
          <t>화일약품</t>
        </is>
      </c>
      <c r="C391" t="inlineStr">
        <is>
          <t>화일약품(주)</t>
        </is>
      </c>
      <c r="D391" t="inlineStr">
        <is>
          <t>경기도 안산시 단원구 산단로67번길 156</t>
        </is>
      </c>
      <c r="E391" t="inlineStr">
        <is>
          <t>완제의약품</t>
        </is>
      </c>
      <c r="F391" t="inlineStr">
        <is>
          <t>비무균-세팔로스포린제제-내용고형제(캡슐제)</t>
        </is>
      </c>
      <c r="G391" s="32" t="n">
        <v>46593</v>
      </c>
      <c r="H391">
        <f>IF(COUNTIFS($B$2:B391,B391,$D$2:D391,D391)=1,1,0)</f>
        <v/>
      </c>
      <c r="I391">
        <f>IF(OR(LEFT(F391,2)="무균",ISNUMBER(SEARCH("주사제",F391))),"Y","")</f>
        <v/>
      </c>
      <c r="J391">
        <f>IF(LEFT(F391,2)="생물","Y","")</f>
        <v/>
      </c>
    </row>
    <row r="392">
      <c r="A392" t="inlineStr">
        <is>
          <t>S391</t>
        </is>
      </c>
      <c r="B392" t="inlineStr">
        <is>
          <t>아이엠씨디코리아</t>
        </is>
      </c>
      <c r="C392" t="inlineStr">
        <is>
          <t>아이엠씨디코리아주식회사</t>
        </is>
      </c>
      <c r="D392" t="inlineStr">
        <is>
          <t>경기도 화성시 향남읍 발안공단로1길 26</t>
        </is>
      </c>
      <c r="E392" t="inlineStr">
        <is>
          <t>원료의약품</t>
        </is>
      </c>
      <c r="F392" t="inlineStr">
        <is>
          <t>비무균-일반제제-소분</t>
        </is>
      </c>
      <c r="G392" s="32" t="n">
        <v>46593</v>
      </c>
      <c r="H392">
        <f>IF(COUNTIFS($B$2:B392,B392,$D$2:D392,D392)=1,1,0)</f>
        <v/>
      </c>
      <c r="I392">
        <f>IF(OR(LEFT(F392,2)="무균",ISNUMBER(SEARCH("주사제",F392))),"Y","")</f>
        <v/>
      </c>
      <c r="J392">
        <f>IF(LEFT(F392,2)="생물","Y","")</f>
        <v/>
      </c>
    </row>
    <row r="393">
      <c r="A393" t="inlineStr">
        <is>
          <t>S392</t>
        </is>
      </c>
      <c r="B393" t="inlineStr">
        <is>
          <t>태극제약</t>
        </is>
      </c>
      <c r="C393" t="inlineStr">
        <is>
          <t>태극제약(주)</t>
        </is>
      </c>
      <c r="D393" t="inlineStr">
        <is>
          <t>충청남도 부여군 초촌면 금백로 821</t>
        </is>
      </c>
      <c r="E393" t="inlineStr">
        <is>
          <t>완제의약품</t>
        </is>
      </c>
      <c r="F393" t="inlineStr">
        <is>
          <t>비무균-일반제제-외용액제(외용액제, 로션제, 점비액제), 비무균-일반제제-연고제(연고제, 크림제, 페이스트제, 겔제, 구강용반고형제)</t>
        </is>
      </c>
      <c r="G393" s="32" t="n">
        <v>46593</v>
      </c>
      <c r="H393">
        <f>IF(COUNTIFS($B$2:B393,B393,$D$2:D393,D393)=1,1,0)</f>
        <v/>
      </c>
      <c r="I393">
        <f>IF(OR(LEFT(F393,2)="무균",ISNUMBER(SEARCH("주사제",F393))),"Y","")</f>
        <v/>
      </c>
      <c r="J393">
        <f>IF(LEFT(F393,2)="생물","Y","")</f>
        <v/>
      </c>
    </row>
    <row r="394">
      <c r="A394" t="inlineStr">
        <is>
          <t>S393</t>
        </is>
      </c>
      <c r="B394" t="inlineStr">
        <is>
          <t>한국에스이엠</t>
        </is>
      </c>
      <c r="C394" t="inlineStr">
        <is>
          <t>한국에스이엠(주)</t>
        </is>
      </c>
      <c r="D394" t="inlineStr">
        <is>
          <t>경상남도 양산시 상북면 소토2길 29-33</t>
        </is>
      </c>
      <c r="E394" t="inlineStr">
        <is>
          <t>완제의약품</t>
        </is>
      </c>
      <c r="F394" t="inlineStr">
        <is>
          <t>비무균-일반제제(의료용 고압가스)-가스제(의료용 고압가스)</t>
        </is>
      </c>
      <c r="G394" s="32" t="n">
        <v>46592</v>
      </c>
      <c r="H394">
        <f>IF(COUNTIFS($B$2:B394,B394,$D$2:D394,D394)=1,1,0)</f>
        <v/>
      </c>
      <c r="I394">
        <f>IF(OR(LEFT(F394,2)="무균",ISNUMBER(SEARCH("주사제",F394))),"Y","")</f>
        <v/>
      </c>
      <c r="J394">
        <f>IF(LEFT(F394,2)="생물","Y","")</f>
        <v/>
      </c>
    </row>
    <row r="395">
      <c r="A395" t="inlineStr">
        <is>
          <t>S394</t>
        </is>
      </c>
      <c r="B395" t="inlineStr">
        <is>
          <t>국전</t>
        </is>
      </c>
      <c r="C395" t="inlineStr">
        <is>
          <t>(주)국전</t>
        </is>
      </c>
      <c r="D395" t="inlineStr">
        <is>
          <t>경기도 화성시 만세구 향남읍 발안공단로 8</t>
        </is>
      </c>
      <c r="E395" t="inlineStr">
        <is>
          <t>원료의약품</t>
        </is>
      </c>
      <c r="F395" t="inlineStr">
        <is>
          <t>비무균-일반제제-합성</t>
        </is>
      </c>
      <c r="G395" s="32" t="n">
        <v>46586</v>
      </c>
      <c r="H395">
        <f>IF(COUNTIFS($B$2:B395,B395,$D$2:D395,D395)=1,1,0)</f>
        <v/>
      </c>
      <c r="I395">
        <f>IF(OR(LEFT(F395,2)="무균",ISNUMBER(SEARCH("주사제",F395))),"Y","")</f>
        <v/>
      </c>
      <c r="J395">
        <f>IF(LEFT(F395,2)="생물","Y","")</f>
        <v/>
      </c>
    </row>
    <row r="396">
      <c r="A396" t="inlineStr">
        <is>
          <t>S395</t>
        </is>
      </c>
      <c r="B396" t="inlineStr">
        <is>
          <t>뉴큐어엠</t>
        </is>
      </c>
      <c r="C396" t="inlineStr">
        <is>
          <t>주식회사뉴큐어엠</t>
        </is>
      </c>
      <c r="D396" t="inlineStr">
        <is>
          <t>인천광역시 남동구 남동대로774번길 24 뇌과학연구소 (구월동)</t>
        </is>
      </c>
      <c r="E396" t="inlineStr">
        <is>
          <t>완제의약품</t>
        </is>
      </c>
      <c r="F396" t="inlineStr">
        <is>
          <t>무균-일반제제(방사성의약품)-주사제(주사제)</t>
        </is>
      </c>
      <c r="G396" s="32" t="n">
        <v>46586</v>
      </c>
      <c r="H396">
        <f>IF(COUNTIFS($B$2:B396,B396,$D$2:D396,D396)=1,1,0)</f>
        <v/>
      </c>
      <c r="I396">
        <f>IF(OR(LEFT(F396,2)="무균",ISNUMBER(SEARCH("주사제",F396))),"Y","")</f>
        <v/>
      </c>
      <c r="J396">
        <f>IF(LEFT(F396,2)="생물","Y","")</f>
        <v/>
      </c>
    </row>
    <row r="397">
      <c r="A397" t="inlineStr">
        <is>
          <t>S396</t>
        </is>
      </c>
      <c r="B397" t="inlineStr">
        <is>
          <t>오스템파마</t>
        </is>
      </c>
      <c r="C397" t="inlineStr">
        <is>
          <t>오스템파마주식회사</t>
        </is>
      </c>
      <c r="D397" t="inlineStr">
        <is>
          <t>서울특별시 금천구 가산디지털2로 123 12층 1201~1204호(가산동, 월드메르디앙벤처센터2차)</t>
        </is>
      </c>
      <c r="E397" t="inlineStr">
        <is>
          <t>완제의약품</t>
        </is>
      </c>
      <c r="F397" t="inlineStr">
        <is>
          <t>비무균-일반제제-연고제(겔제)</t>
        </is>
      </c>
      <c r="G397" s="32" t="n">
        <v>46586</v>
      </c>
      <c r="H397">
        <f>IF(COUNTIFS($B$2:B397,B397,$D$2:D397,D397)=1,1,0)</f>
        <v/>
      </c>
      <c r="I397">
        <f>IF(OR(LEFT(F397,2)="무균",ISNUMBER(SEARCH("주사제",F397))),"Y","")</f>
        <v/>
      </c>
      <c r="J397">
        <f>IF(LEFT(F397,2)="생물","Y","")</f>
        <v/>
      </c>
    </row>
    <row r="398">
      <c r="A398" t="inlineStr">
        <is>
          <t>S397</t>
        </is>
      </c>
      <c r="B398" t="inlineStr">
        <is>
          <t>케이엠에스제약</t>
        </is>
      </c>
      <c r="C398" t="inlineStr">
        <is>
          <t>케이엠에스제약(주)</t>
        </is>
      </c>
      <c r="D398" t="inlineStr">
        <is>
          <t>경기도 수원시 영통구 신원로 236</t>
        </is>
      </c>
      <c r="E398" t="inlineStr">
        <is>
          <t>완제의약품</t>
        </is>
      </c>
      <c r="F398" t="inlineStr">
        <is>
          <t>비무균-일반제제-내용고형제(정제)</t>
        </is>
      </c>
      <c r="G398" s="32" t="n">
        <v>46585</v>
      </c>
      <c r="H398">
        <f>IF(COUNTIFS($B$2:B398,B398,$D$2:D398,D398)=1,1,0)</f>
        <v/>
      </c>
      <c r="I398">
        <f>IF(OR(LEFT(F398,2)="무균",ISNUMBER(SEARCH("주사제",F398))),"Y","")</f>
        <v/>
      </c>
      <c r="J398">
        <f>IF(LEFT(F398,2)="생물","Y","")</f>
        <v/>
      </c>
    </row>
    <row r="399">
      <c r="A399" t="inlineStr">
        <is>
          <t>S398</t>
        </is>
      </c>
      <c r="B399" t="inlineStr">
        <is>
          <t>유유제약</t>
        </is>
      </c>
      <c r="C399" t="inlineStr">
        <is>
          <t>(주)유유제약</t>
        </is>
      </c>
      <c r="D399" t="inlineStr">
        <is>
          <t>충청북도 제천시 바이오밸리1로 94</t>
        </is>
      </c>
      <c r="E399" t="inlineStr">
        <is>
          <t>완제의약품</t>
        </is>
      </c>
      <c r="F399" t="inlineStr">
        <is>
          <t>비무균-일반제제-내용고형제(정제, 캡슐제)</t>
        </is>
      </c>
      <c r="G399" s="32" t="n">
        <v>46579</v>
      </c>
      <c r="H399">
        <f>IF(COUNTIFS($B$2:B399,B399,$D$2:D399,D399)=1,1,0)</f>
        <v/>
      </c>
      <c r="I399">
        <f>IF(OR(LEFT(F399,2)="무균",ISNUMBER(SEARCH("주사제",F399))),"Y","")</f>
        <v/>
      </c>
      <c r="J399">
        <f>IF(LEFT(F399,2)="생물","Y","")</f>
        <v/>
      </c>
    </row>
    <row r="400">
      <c r="A400" t="inlineStr">
        <is>
          <t>S399</t>
        </is>
      </c>
      <c r="B400" t="inlineStr">
        <is>
          <t>이니스트에스티</t>
        </is>
      </c>
      <c r="C400" t="inlineStr">
        <is>
          <t>이니스트에스티(주)</t>
        </is>
      </c>
      <c r="D400" t="inlineStr">
        <is>
          <t>충청북도 음성군 금왕읍 신내로 500</t>
        </is>
      </c>
      <c r="E400" t="inlineStr">
        <is>
          <t>원료의약품</t>
        </is>
      </c>
      <c r="F400" t="inlineStr">
        <is>
          <t>비무균-일반제제-합성</t>
        </is>
      </c>
      <c r="G400" s="32" t="n">
        <v>46578</v>
      </c>
      <c r="H400">
        <f>IF(COUNTIFS($B$2:B400,B400,$D$2:D400,D400)=1,1,0)</f>
        <v/>
      </c>
      <c r="I400">
        <f>IF(OR(LEFT(F400,2)="무균",ISNUMBER(SEARCH("주사제",F400))),"Y","")</f>
        <v/>
      </c>
      <c r="J400">
        <f>IF(LEFT(F400,2)="생물","Y","")</f>
        <v/>
      </c>
    </row>
    <row r="401">
      <c r="A401" t="inlineStr">
        <is>
          <t>S400</t>
        </is>
      </c>
      <c r="B401" t="inlineStr">
        <is>
          <t>군포가스</t>
        </is>
      </c>
      <c r="C401" t="inlineStr">
        <is>
          <t>주식회사군포가스</t>
        </is>
      </c>
      <c r="D401" t="inlineStr">
        <is>
          <t>경기도 군포시 산본로86번길 41 (당정동)</t>
        </is>
      </c>
      <c r="E401" t="inlineStr">
        <is>
          <t>완제의약품</t>
        </is>
      </c>
      <c r="F401" t="inlineStr">
        <is>
          <t>비무균-일반제제(의료용 고압가스)-가스제(의료용 고압가스)</t>
        </is>
      </c>
      <c r="G401" s="32" t="n">
        <v>46572</v>
      </c>
      <c r="H401">
        <f>IF(COUNTIFS($B$2:B401,B401,$D$2:D401,D401)=1,1,0)</f>
        <v/>
      </c>
      <c r="I401">
        <f>IF(OR(LEFT(F401,2)="무균",ISNUMBER(SEARCH("주사제",F401))),"Y","")</f>
        <v/>
      </c>
      <c r="J401">
        <f>IF(LEFT(F401,2)="생물","Y","")</f>
        <v/>
      </c>
    </row>
    <row r="402">
      <c r="A402" t="inlineStr">
        <is>
          <t>S401</t>
        </is>
      </c>
      <c r="B402" t="inlineStr">
        <is>
          <t>바이넥스</t>
        </is>
      </c>
      <c r="C402" t="inlineStr">
        <is>
          <t>(주)바이넥스</t>
        </is>
      </c>
      <c r="D402" t="inlineStr">
        <is>
          <t>부산광역시 사하구 다대로 368-3</t>
        </is>
      </c>
      <c r="E402" t="inlineStr">
        <is>
          <t>완제의약품</t>
        </is>
      </c>
      <c r="F402" t="inlineStr">
        <is>
          <t>비무균-일반제제-내용고형제(정제, 캡슐제, 산제), 무균-일반제제-점안제(점안제)</t>
        </is>
      </c>
      <c r="G402" s="32" t="n">
        <v>46572</v>
      </c>
      <c r="H402">
        <f>IF(COUNTIFS($B$2:B402,B402,$D$2:D402,D402)=1,1,0)</f>
        <v/>
      </c>
      <c r="I402">
        <f>IF(OR(LEFT(F402,2)="무균",ISNUMBER(SEARCH("주사제",F402))),"Y","")</f>
        <v/>
      </c>
      <c r="J402">
        <f>IF(LEFT(F402,2)="생물","Y","")</f>
        <v/>
      </c>
    </row>
    <row r="403">
      <c r="A403" t="inlineStr">
        <is>
          <t>S402</t>
        </is>
      </c>
      <c r="B403" t="inlineStr">
        <is>
          <t>새한제약</t>
        </is>
      </c>
      <c r="C403" t="inlineStr">
        <is>
          <t>(주)새한제약</t>
        </is>
      </c>
      <c r="D403" t="inlineStr">
        <is>
          <t>경기도 안성시 공단2로 50-4</t>
        </is>
      </c>
      <c r="E403" t="inlineStr">
        <is>
          <t>완제의약품</t>
        </is>
      </c>
      <c r="F403" t="inlineStr">
        <is>
          <t>비무균-일반제제-내용고형제(정제, 캡슐제)</t>
        </is>
      </c>
      <c r="G403" s="32" t="n">
        <v>46572</v>
      </c>
      <c r="H403">
        <f>IF(COUNTIFS($B$2:B403,B403,$D$2:D403,D403)=1,1,0)</f>
        <v/>
      </c>
      <c r="I403">
        <f>IF(OR(LEFT(F403,2)="무균",ISNUMBER(SEARCH("주사제",F403))),"Y","")</f>
        <v/>
      </c>
      <c r="J403">
        <f>IF(LEFT(F403,2)="생물","Y","")</f>
        <v/>
      </c>
    </row>
    <row r="404">
      <c r="A404" t="inlineStr">
        <is>
          <t>S403</t>
        </is>
      </c>
      <c r="B404" t="inlineStr">
        <is>
          <t>메디톡스</t>
        </is>
      </c>
      <c r="C404" t="inlineStr">
        <is>
          <t>(주)메디톡스</t>
        </is>
      </c>
      <c r="D404" t="inlineStr">
        <is>
          <t>충청북도 청주시 흥덕구 오송읍 오송생명6로 71</t>
        </is>
      </c>
      <c r="E404" t="inlineStr">
        <is>
          <t>완제의약품</t>
        </is>
      </c>
      <c r="F404" t="inlineStr">
        <is>
          <t>생물-독소-주사제(주사제)</t>
        </is>
      </c>
      <c r="G404" s="32" t="n">
        <v>46572</v>
      </c>
      <c r="H404">
        <f>IF(COUNTIFS($B$2:B404,B404,$D$2:D404,D404)=1,1,0)</f>
        <v/>
      </c>
      <c r="I404">
        <f>IF(OR(LEFT(F404,2)="무균",ISNUMBER(SEARCH("주사제",F404))),"Y","")</f>
        <v/>
      </c>
      <c r="J404">
        <f>IF(LEFT(F404,2)="생물","Y","")</f>
        <v/>
      </c>
    </row>
    <row r="405">
      <c r="A405" t="inlineStr">
        <is>
          <t>S404</t>
        </is>
      </c>
      <c r="B405" t="inlineStr">
        <is>
          <t>코오롱생명과학</t>
        </is>
      </c>
      <c r="C405" t="inlineStr">
        <is>
          <t>코오롱생명과학(주)</t>
        </is>
      </c>
      <c r="D405" t="inlineStr">
        <is>
          <t>충청북도 충주시 대소원면 기업도시1로 54</t>
        </is>
      </c>
      <c r="E405" t="inlineStr">
        <is>
          <t>원료의약품</t>
        </is>
      </c>
      <c r="F405" t="inlineStr">
        <is>
          <t>비무균-일반제제-합성, 비무균-일반제제-추출</t>
        </is>
      </c>
      <c r="G405" s="32" t="n">
        <v>46572</v>
      </c>
      <c r="H405">
        <f>IF(COUNTIFS($B$2:B405,B405,$D$2:D405,D405)=1,1,0)</f>
        <v/>
      </c>
      <c r="I405">
        <f>IF(OR(LEFT(F405,2)="무균",ISNUMBER(SEARCH("주사제",F405))),"Y","")</f>
        <v/>
      </c>
      <c r="J405">
        <f>IF(LEFT(F405,2)="생물","Y","")</f>
        <v/>
      </c>
    </row>
    <row r="406">
      <c r="A406" t="inlineStr">
        <is>
          <t>S405</t>
        </is>
      </c>
      <c r="B406" t="inlineStr">
        <is>
          <t>그린생명과학</t>
        </is>
      </c>
      <c r="C406" t="inlineStr">
        <is>
          <t>그린생명과학(주)</t>
        </is>
      </c>
      <c r="D406" t="inlineStr">
        <is>
          <t>전라남도 여수시 여수산단2로 84</t>
        </is>
      </c>
      <c r="E406" t="inlineStr">
        <is>
          <t>원료의약품</t>
        </is>
      </c>
      <c r="F406" t="inlineStr">
        <is>
          <t>비무균-일반제제-합성</t>
        </is>
      </c>
      <c r="G406" s="32" t="n">
        <v>46570</v>
      </c>
      <c r="H406">
        <f>IF(COUNTIFS($B$2:B406,B406,$D$2:D406,D406)=1,1,0)</f>
        <v/>
      </c>
      <c r="I406">
        <f>IF(OR(LEFT(F406,2)="무균",ISNUMBER(SEARCH("주사제",F406))),"Y","")</f>
        <v/>
      </c>
      <c r="J406">
        <f>IF(LEFT(F406,2)="생물","Y","")</f>
        <v/>
      </c>
    </row>
    <row r="407">
      <c r="A407" t="inlineStr">
        <is>
          <t>S406</t>
        </is>
      </c>
      <c r="B407" t="inlineStr">
        <is>
          <t>씨엠에스제약</t>
        </is>
      </c>
      <c r="C407" t="inlineStr">
        <is>
          <t>씨엠에스제약(주)</t>
        </is>
      </c>
      <c r="D407" t="inlineStr">
        <is>
          <t>충청북도 청주시 흥덕구 오송읍 오송생명10로 152</t>
        </is>
      </c>
      <c r="E407" t="inlineStr">
        <is>
          <t>완제의약품</t>
        </is>
      </c>
      <c r="F407" t="inlineStr">
        <is>
          <t>무균-일반제제-주사제(주사제)</t>
        </is>
      </c>
      <c r="G407" s="32" t="n">
        <v>46565</v>
      </c>
      <c r="H407">
        <f>IF(COUNTIFS($B$2:B407,B407,$D$2:D407,D407)=1,1,0)</f>
        <v/>
      </c>
      <c r="I407">
        <f>IF(OR(LEFT(F407,2)="무균",ISNUMBER(SEARCH("주사제",F407))),"Y","")</f>
        <v/>
      </c>
      <c r="J407">
        <f>IF(LEFT(F407,2)="생물","Y","")</f>
        <v/>
      </c>
    </row>
    <row r="408">
      <c r="A408" t="inlineStr">
        <is>
          <t>S407</t>
        </is>
      </c>
      <c r="B408" t="inlineStr">
        <is>
          <t>동방에프티엘</t>
        </is>
      </c>
      <c r="C408" t="inlineStr">
        <is>
          <t>동방에프티엘(주)</t>
        </is>
      </c>
      <c r="D408" t="inlineStr">
        <is>
          <t>경기도 화성시 만세구 향남읍 제약공단4길 78</t>
        </is>
      </c>
      <c r="E408" t="inlineStr">
        <is>
          <t>원료의약품</t>
        </is>
      </c>
      <c r="F408" t="inlineStr">
        <is>
          <t>비무균-일반제제-합성, 비무균-일반제제-추출</t>
        </is>
      </c>
      <c r="G408" s="32" t="n">
        <v>46564</v>
      </c>
      <c r="H408">
        <f>IF(COUNTIFS($B$2:B408,B408,$D$2:D408,D408)=1,1,0)</f>
        <v/>
      </c>
      <c r="I408">
        <f>IF(OR(LEFT(F408,2)="무균",ISNUMBER(SEARCH("주사제",F408))),"Y","")</f>
        <v/>
      </c>
      <c r="J408">
        <f>IF(LEFT(F408,2)="생물","Y","")</f>
        <v/>
      </c>
    </row>
    <row r="409">
      <c r="A409" t="inlineStr">
        <is>
          <t>S408</t>
        </is>
      </c>
      <c r="B409" t="inlineStr">
        <is>
          <t>동방에프티엘</t>
        </is>
      </c>
      <c r="C409" t="inlineStr">
        <is>
          <t>동방에프티엘(주)</t>
        </is>
      </c>
      <c r="D409" t="inlineStr">
        <is>
          <t>경기도 화성시 만세구 향남읍 제약공단4길 78</t>
        </is>
      </c>
      <c r="E409" t="inlineStr">
        <is>
          <t>완제의약품</t>
        </is>
      </c>
      <c r="F409" t="inlineStr">
        <is>
          <t>비무균-일반제제-내용고형제(캡슐제)</t>
        </is>
      </c>
      <c r="G409" s="32" t="n">
        <v>46564</v>
      </c>
      <c r="H409">
        <f>IF(COUNTIFS($B$2:B409,B409,$D$2:D409,D409)=1,1,0)</f>
        <v/>
      </c>
      <c r="I409">
        <f>IF(OR(LEFT(F409,2)="무균",ISNUMBER(SEARCH("주사제",F409))),"Y","")</f>
        <v/>
      </c>
      <c r="J409">
        <f>IF(LEFT(F409,2)="생물","Y","")</f>
        <v/>
      </c>
    </row>
    <row r="410">
      <c r="A410" t="inlineStr">
        <is>
          <t>S409</t>
        </is>
      </c>
      <c r="B410" t="inlineStr">
        <is>
          <t>구주제약</t>
        </is>
      </c>
      <c r="C410" t="inlineStr">
        <is>
          <t>구주제약(주)</t>
        </is>
      </c>
      <c r="D410" t="inlineStr">
        <is>
          <t>경기도 화성시 효행구 정남면 덕절제기길 5</t>
        </is>
      </c>
      <c r="E410" t="inlineStr">
        <is>
          <t>완제의약품</t>
        </is>
      </c>
      <c r="F410" t="inlineStr">
        <is>
          <t>비무균-일반제제-내용고형제(정제, 캡슐제), 비무균-일반제제-내용액제(경구용액제, 시럽제(액상))</t>
        </is>
      </c>
      <c r="G410" s="32" t="n">
        <v>46564</v>
      </c>
      <c r="H410">
        <f>IF(COUNTIFS($B$2:B410,B410,$D$2:D410,D410)=1,1,0)</f>
        <v/>
      </c>
      <c r="I410">
        <f>IF(OR(LEFT(F410,2)="무균",ISNUMBER(SEARCH("주사제",F410))),"Y","")</f>
        <v/>
      </c>
      <c r="J410">
        <f>IF(LEFT(F410,2)="생물","Y","")</f>
        <v/>
      </c>
    </row>
    <row r="411">
      <c r="A411" t="inlineStr">
        <is>
          <t>S410</t>
        </is>
      </c>
      <c r="B411" t="inlineStr">
        <is>
          <t>건일제약</t>
        </is>
      </c>
      <c r="C411" t="inlineStr">
        <is>
          <t>건일제약(주)</t>
        </is>
      </c>
      <c r="D411" t="inlineStr">
        <is>
          <t>충청남도 천안시 서북구 직산읍 거리막길 33</t>
        </is>
      </c>
      <c r="E411" t="inlineStr">
        <is>
          <t>완제의약품</t>
        </is>
      </c>
      <c r="F411" t="inlineStr">
        <is>
          <t>비무균-일반제제-내용고형제(정제, 캡슐제, 산제)</t>
        </is>
      </c>
      <c r="G411" s="32" t="n">
        <v>46564</v>
      </c>
      <c r="H411">
        <f>IF(COUNTIFS($B$2:B411,B411,$D$2:D411,D411)=1,1,0)</f>
        <v/>
      </c>
      <c r="I411">
        <f>IF(OR(LEFT(F411,2)="무균",ISNUMBER(SEARCH("주사제",F411))),"Y","")</f>
        <v/>
      </c>
      <c r="J411">
        <f>IF(LEFT(F411,2)="생물","Y","")</f>
        <v/>
      </c>
    </row>
    <row r="412">
      <c r="A412" t="inlineStr">
        <is>
          <t>S411</t>
        </is>
      </c>
      <c r="B412" t="inlineStr">
        <is>
          <t>파마리서치바이오</t>
        </is>
      </c>
      <c r="C412" t="inlineStr">
        <is>
          <t>(주)파마리서치바이오</t>
        </is>
      </c>
      <c r="D412" t="inlineStr">
        <is>
          <t>강원특별자치도 강릉시 사임당로 641-3 1층, 2층, 3층 일부(대전동)</t>
        </is>
      </c>
      <c r="E412" t="inlineStr">
        <is>
          <t>완제의약품</t>
        </is>
      </c>
      <c r="F412" t="inlineStr">
        <is>
          <t>생물-독소-주사제(동결건조주사제)</t>
        </is>
      </c>
      <c r="G412" s="32" t="n">
        <v>46558</v>
      </c>
      <c r="H412">
        <f>IF(COUNTIFS($B$2:B412,B412,$D$2:D412,D412)=1,1,0)</f>
        <v/>
      </c>
      <c r="I412">
        <f>IF(OR(LEFT(F412,2)="무균",ISNUMBER(SEARCH("주사제",F412))),"Y","")</f>
        <v/>
      </c>
      <c r="J412">
        <f>IF(LEFT(F412,2)="생물","Y","")</f>
        <v/>
      </c>
    </row>
    <row r="413">
      <c r="A413" t="inlineStr">
        <is>
          <t>S412</t>
        </is>
      </c>
      <c r="B413" t="inlineStr">
        <is>
          <t>파마리서치바이오</t>
        </is>
      </c>
      <c r="C413" t="inlineStr">
        <is>
          <t>(주)파마리서치바이오</t>
        </is>
      </c>
      <c r="D413" t="inlineStr">
        <is>
          <t>강원특별자치도 강릉시 사임당로 641-3 1층, 2층, 3층 일부(대전동)</t>
        </is>
      </c>
      <c r="E413" t="inlineStr">
        <is>
          <t>원료의약품</t>
        </is>
      </c>
      <c r="F413" t="inlineStr">
        <is>
          <t>생물-독소-(배양, 정제, 원액 제조)</t>
        </is>
      </c>
      <c r="G413" s="32" t="n">
        <v>46558</v>
      </c>
      <c r="H413">
        <f>IF(COUNTIFS($B$2:B413,B413,$D$2:D413,D413)=1,1,0)</f>
        <v/>
      </c>
      <c r="I413">
        <f>IF(OR(LEFT(F413,2)="무균",ISNUMBER(SEARCH("주사제",F413))),"Y","")</f>
        <v/>
      </c>
      <c r="J413">
        <f>IF(LEFT(F413,2)="생물","Y","")</f>
        <v/>
      </c>
    </row>
    <row r="414">
      <c r="A414" t="inlineStr">
        <is>
          <t>S413</t>
        </is>
      </c>
      <c r="B414" t="inlineStr">
        <is>
          <t>삼영유니텍</t>
        </is>
      </c>
      <c r="C414" t="inlineStr">
        <is>
          <t>(주)삼영유니텍</t>
        </is>
      </c>
      <c r="D414" t="inlineStr">
        <is>
          <t>대전광역시 유성구 테크노11로 33</t>
        </is>
      </c>
      <c r="E414" t="inlineStr">
        <is>
          <t>완제의약품</t>
        </is>
      </c>
      <c r="F414" t="inlineStr">
        <is>
          <t>비무균-일반제제(방사성의약품)-내용고형제(캡슐제), 무균-일반제제(방사성의약품)-주사제(주사제), 비무균-일반제제(방사성의약품)-내용액제(경구용액제)</t>
        </is>
      </c>
      <c r="G414" s="32" t="n">
        <v>46558</v>
      </c>
      <c r="H414">
        <f>IF(COUNTIFS($B$2:B414,B414,$D$2:D414,D414)=1,1,0)</f>
        <v/>
      </c>
      <c r="I414">
        <f>IF(OR(LEFT(F414,2)="무균",ISNUMBER(SEARCH("주사제",F414))),"Y","")</f>
        <v/>
      </c>
      <c r="J414">
        <f>IF(LEFT(F414,2)="생물","Y","")</f>
        <v/>
      </c>
    </row>
    <row r="415">
      <c r="A415" t="inlineStr">
        <is>
          <t>S414</t>
        </is>
      </c>
      <c r="B415" t="inlineStr">
        <is>
          <t>한서켐</t>
        </is>
      </c>
      <c r="C415" t="inlineStr">
        <is>
          <t>(주)한서켐</t>
        </is>
      </c>
      <c r="D415" t="inlineStr">
        <is>
          <t>경기도 평택시 포승읍 포승공단로 41</t>
        </is>
      </c>
      <c r="E415" t="inlineStr">
        <is>
          <t>원료의약품</t>
        </is>
      </c>
      <c r="F415" t="inlineStr">
        <is>
          <t>비무균-일반제제-합성</t>
        </is>
      </c>
      <c r="G415" s="32" t="n">
        <v>46557</v>
      </c>
      <c r="H415">
        <f>IF(COUNTIFS($B$2:B415,B415,$D$2:D415,D415)=1,1,0)</f>
        <v/>
      </c>
      <c r="I415">
        <f>IF(OR(LEFT(F415,2)="무균",ISNUMBER(SEARCH("주사제",F415))),"Y","")</f>
        <v/>
      </c>
      <c r="J415">
        <f>IF(LEFT(F415,2)="생물","Y","")</f>
        <v/>
      </c>
    </row>
    <row r="416">
      <c r="A416" t="inlineStr">
        <is>
          <t>S415</t>
        </is>
      </c>
      <c r="B416" t="inlineStr">
        <is>
          <t>구미제약</t>
        </is>
      </c>
      <c r="C416" t="inlineStr">
        <is>
          <t>구미제약(주)</t>
        </is>
      </c>
      <c r="D416" t="inlineStr">
        <is>
          <t>경기도 김포시 통진읍 옹정로 242</t>
        </is>
      </c>
      <c r="E416" t="inlineStr">
        <is>
          <t>원료의약품</t>
        </is>
      </c>
      <c r="F416" t="inlineStr">
        <is>
          <t>비무균-일반제제-소분</t>
        </is>
      </c>
      <c r="G416" s="32" t="n">
        <v>46557</v>
      </c>
      <c r="H416">
        <f>IF(COUNTIFS($B$2:B416,B416,$D$2:D416,D416)=1,1,0)</f>
        <v/>
      </c>
      <c r="I416">
        <f>IF(OR(LEFT(F416,2)="무균",ISNUMBER(SEARCH("주사제",F416))),"Y","")</f>
        <v/>
      </c>
      <c r="J416">
        <f>IF(LEFT(F416,2)="생물","Y","")</f>
        <v/>
      </c>
    </row>
    <row r="417">
      <c r="A417" t="inlineStr">
        <is>
          <t>S416</t>
        </is>
      </c>
      <c r="B417" t="inlineStr">
        <is>
          <t>구미제약</t>
        </is>
      </c>
      <c r="C417" t="inlineStr">
        <is>
          <t>구미제약(주)</t>
        </is>
      </c>
      <c r="D417" t="inlineStr">
        <is>
          <t>경기도 김포시 통진읍 옹정로 242</t>
        </is>
      </c>
      <c r="E417" t="inlineStr">
        <is>
          <t>완제의약품</t>
        </is>
      </c>
      <c r="F417" t="inlineStr">
        <is>
          <t>비무균-일반제제-외용액제(외용액제)</t>
        </is>
      </c>
      <c r="G417" s="32" t="n">
        <v>46557</v>
      </c>
      <c r="H417">
        <f>IF(COUNTIFS($B$2:B417,B417,$D$2:D417,D417)=1,1,0)</f>
        <v/>
      </c>
      <c r="I417">
        <f>IF(OR(LEFT(F417,2)="무균",ISNUMBER(SEARCH("주사제",F417))),"Y","")</f>
        <v/>
      </c>
      <c r="J417">
        <f>IF(LEFT(F417,2)="생물","Y","")</f>
        <v/>
      </c>
    </row>
    <row r="418">
      <c r="A418" t="inlineStr">
        <is>
          <t>S417</t>
        </is>
      </c>
      <c r="B418" t="inlineStr">
        <is>
          <t>경남제약</t>
        </is>
      </c>
      <c r="C418" t="inlineStr">
        <is>
          <t>경남제약(주)</t>
        </is>
      </c>
      <c r="D418" t="inlineStr">
        <is>
          <t>충청남도 아산시 신창면 서부남로790번길 49</t>
        </is>
      </c>
      <c r="E418" t="inlineStr">
        <is>
          <t>완제의약품</t>
        </is>
      </c>
      <c r="F418" t="inlineStr">
        <is>
          <t>비무균-일반제제-내용고형제(정제, 캡슐제, 산제, 트로키제), 비무균-일반제제-내용액제(경구용액제)</t>
        </is>
      </c>
      <c r="G418" s="32" t="n">
        <v>46557</v>
      </c>
      <c r="H418">
        <f>IF(COUNTIFS($B$2:B418,B418,$D$2:D418,D418)=1,1,0)</f>
        <v/>
      </c>
      <c r="I418">
        <f>IF(OR(LEFT(F418,2)="무균",ISNUMBER(SEARCH("주사제",F418))),"Y","")</f>
        <v/>
      </c>
      <c r="J418">
        <f>IF(LEFT(F418,2)="생물","Y","")</f>
        <v/>
      </c>
    </row>
    <row r="419">
      <c r="A419" t="inlineStr">
        <is>
          <t>S418</t>
        </is>
      </c>
      <c r="B419" t="inlineStr">
        <is>
          <t>삼오제약</t>
        </is>
      </c>
      <c r="C419" t="inlineStr">
        <is>
          <t>(주)삼오제약</t>
        </is>
      </c>
      <c r="D419" t="inlineStr">
        <is>
          <t>경기도 시흥시 옥구천서로81번길 63 (시화공단 1마 705호) (정왕동)</t>
        </is>
      </c>
      <c r="E419" t="inlineStr">
        <is>
          <t>원료의약품</t>
        </is>
      </c>
      <c r="F419" t="inlineStr">
        <is>
          <t>비무균-일반제제-합성, 비무균-일반제제-추출, 비무균-일반제제-소분</t>
        </is>
      </c>
      <c r="G419" s="32" t="n">
        <v>46551</v>
      </c>
      <c r="H419">
        <f>IF(COUNTIFS($B$2:B419,B419,$D$2:D419,D419)=1,1,0)</f>
        <v/>
      </c>
      <c r="I419">
        <f>IF(OR(LEFT(F419,2)="무균",ISNUMBER(SEARCH("주사제",F419))),"Y","")</f>
        <v/>
      </c>
      <c r="J419">
        <f>IF(LEFT(F419,2)="생물","Y","")</f>
        <v/>
      </c>
    </row>
    <row r="420">
      <c r="A420" t="inlineStr">
        <is>
          <t>S419</t>
        </is>
      </c>
      <c r="B420" t="inlineStr">
        <is>
          <t>한창메딕</t>
        </is>
      </c>
      <c r="C420" t="inlineStr">
        <is>
          <t>한창메딕</t>
        </is>
      </c>
      <c r="D420" t="inlineStr">
        <is>
          <t>충청남도 천안시 동남구 수신면 장산2길 79-35</t>
        </is>
      </c>
      <c r="E420" t="inlineStr">
        <is>
          <t>완제의약품</t>
        </is>
      </c>
      <c r="F420" t="inlineStr">
        <is>
          <t>비무균-일반제제-외용액제(외용액제)</t>
        </is>
      </c>
      <c r="G420" s="32" t="n">
        <v>46550</v>
      </c>
      <c r="H420">
        <f>IF(COUNTIFS($B$2:B420,B420,$D$2:D420,D420)=1,1,0)</f>
        <v/>
      </c>
      <c r="I420">
        <f>IF(OR(LEFT(F420,2)="무균",ISNUMBER(SEARCH("주사제",F420))),"Y","")</f>
        <v/>
      </c>
      <c r="J420">
        <f>IF(LEFT(F420,2)="생물","Y","")</f>
        <v/>
      </c>
    </row>
    <row r="421">
      <c r="A421" t="inlineStr">
        <is>
          <t>S420</t>
        </is>
      </c>
      <c r="B421" t="inlineStr">
        <is>
          <t>제론셀베인</t>
        </is>
      </c>
      <c r="C421" t="inlineStr">
        <is>
          <t>주식회사 제론셀베인</t>
        </is>
      </c>
      <c r="D421" t="inlineStr">
        <is>
          <t>충청남도 아산시 둔포면 윤보선로 342 2동</t>
        </is>
      </c>
      <c r="E421" t="inlineStr">
        <is>
          <t>완제의약품</t>
        </is>
      </c>
      <c r="F421" t="inlineStr">
        <is>
          <t>비무균-일반제제-외용액제(외용액제)</t>
        </is>
      </c>
      <c r="G421" s="32" t="n">
        <v>46542</v>
      </c>
      <c r="H421">
        <f>IF(COUNTIFS($B$2:B421,B421,$D$2:D421,D421)=1,1,0)</f>
        <v/>
      </c>
      <c r="I421">
        <f>IF(OR(LEFT(F421,2)="무균",ISNUMBER(SEARCH("주사제",F421))),"Y","")</f>
        <v/>
      </c>
      <c r="J421">
        <f>IF(LEFT(F421,2)="생물","Y","")</f>
        <v/>
      </c>
    </row>
    <row r="422">
      <c r="A422" t="inlineStr">
        <is>
          <t>S421</t>
        </is>
      </c>
      <c r="B422" t="inlineStr">
        <is>
          <t>제론셀베인</t>
        </is>
      </c>
      <c r="C422" t="inlineStr">
        <is>
          <t>주식회사 제론셀베인</t>
        </is>
      </c>
      <c r="D422" t="inlineStr">
        <is>
          <t>충청남도 아산시 둔포면 윤보선로 342 2동</t>
        </is>
      </c>
      <c r="E422" t="inlineStr">
        <is>
          <t>원료의약품</t>
        </is>
      </c>
      <c r="F422" t="inlineStr">
        <is>
          <t>비무균-일반제제-정제(추출에 한함)</t>
        </is>
      </c>
      <c r="G422" s="32" t="n">
        <v>46542</v>
      </c>
      <c r="H422">
        <f>IF(COUNTIFS($B$2:B422,B422,$D$2:D422,D422)=1,1,0)</f>
        <v/>
      </c>
      <c r="I422">
        <f>IF(OR(LEFT(F422,2)="무균",ISNUMBER(SEARCH("주사제",F422))),"Y","")</f>
        <v/>
      </c>
      <c r="J422">
        <f>IF(LEFT(F422,2)="생물","Y","")</f>
        <v/>
      </c>
    </row>
    <row r="423">
      <c r="A423" t="inlineStr">
        <is>
          <t>S422</t>
        </is>
      </c>
      <c r="B423" t="inlineStr">
        <is>
          <t>단일에이피</t>
        </is>
      </c>
      <c r="C423" t="inlineStr">
        <is>
          <t>단일에이피(주)</t>
        </is>
      </c>
      <c r="D423" t="inlineStr">
        <is>
          <t>경기도 구리시 동구릉로200번길 30 충전동</t>
        </is>
      </c>
      <c r="E423" t="inlineStr">
        <is>
          <t>완제의약품</t>
        </is>
      </c>
      <c r="F423" t="inlineStr">
        <is>
          <t>비무균-일반제제(의료용 고압가스)-가스제(의료용 고압가스)</t>
        </is>
      </c>
      <c r="G423" s="32" t="n">
        <v>46542</v>
      </c>
      <c r="H423">
        <f>IF(COUNTIFS($B$2:B423,B423,$D$2:D423,D423)=1,1,0)</f>
        <v/>
      </c>
      <c r="I423">
        <f>IF(OR(LEFT(F423,2)="무균",ISNUMBER(SEARCH("주사제",F423))),"Y","")</f>
        <v/>
      </c>
      <c r="J423">
        <f>IF(LEFT(F423,2)="생물","Y","")</f>
        <v/>
      </c>
    </row>
    <row r="424">
      <c r="A424" t="inlineStr">
        <is>
          <t>S423</t>
        </is>
      </c>
      <c r="B424" t="inlineStr">
        <is>
          <t>동인화학</t>
        </is>
      </c>
      <c r="C424" t="inlineStr">
        <is>
          <t>(주)동인화학</t>
        </is>
      </c>
      <c r="D424" t="inlineStr">
        <is>
          <t>경기도 평택시 산단로16번길 62</t>
        </is>
      </c>
      <c r="E424" t="inlineStr">
        <is>
          <t>원료의약품</t>
        </is>
      </c>
      <c r="F424" t="inlineStr">
        <is>
          <t>비무균-일반제제-합성, 비무균-일반제제-정제(합성에 한함)</t>
        </is>
      </c>
      <c r="G424" s="32" t="n">
        <v>46542</v>
      </c>
      <c r="H424">
        <f>IF(COUNTIFS($B$2:B424,B424,$D$2:D424,D424)=1,1,0)</f>
        <v/>
      </c>
      <c r="I424">
        <f>IF(OR(LEFT(F424,2)="무균",ISNUMBER(SEARCH("주사제",F424))),"Y","")</f>
        <v/>
      </c>
      <c r="J424">
        <f>IF(LEFT(F424,2)="생물","Y","")</f>
        <v/>
      </c>
    </row>
    <row r="425">
      <c r="A425" t="inlineStr">
        <is>
          <t>S424</t>
        </is>
      </c>
      <c r="B425" t="inlineStr">
        <is>
          <t>삼진제약</t>
        </is>
      </c>
      <c r="C425" t="inlineStr">
        <is>
          <t>삼진제약(주)</t>
        </is>
      </c>
      <c r="D425" t="inlineStr">
        <is>
          <t>충청북도 청주시 흥덕구 오송읍 오송생명6로 156</t>
        </is>
      </c>
      <c r="E425" t="inlineStr">
        <is>
          <t>완제의약품</t>
        </is>
      </c>
      <c r="F425" t="inlineStr">
        <is>
          <t>무균-일반제제-주사제(주사제, 분말주사제)</t>
        </is>
      </c>
      <c r="G425" s="32" t="n">
        <v>46540</v>
      </c>
      <c r="H425">
        <f>IF(COUNTIFS($B$2:B425,B425,$D$2:D425,D425)=1,1,0)</f>
        <v/>
      </c>
      <c r="I425">
        <f>IF(OR(LEFT(F425,2)="무균",ISNUMBER(SEARCH("주사제",F425))),"Y","")</f>
        <v/>
      </c>
      <c r="J425">
        <f>IF(LEFT(F425,2)="생물","Y","")</f>
        <v/>
      </c>
    </row>
    <row r="426">
      <c r="A426" t="inlineStr">
        <is>
          <t>S425</t>
        </is>
      </c>
      <c r="B426" t="inlineStr">
        <is>
          <t>명문제약</t>
        </is>
      </c>
      <c r="C426" t="inlineStr">
        <is>
          <t>명문제약(주)</t>
        </is>
      </c>
      <c r="D426" t="inlineStr">
        <is>
          <t>경기도 화성시 만세구 향남읍 제약공단2길 26</t>
        </is>
      </c>
      <c r="E426" t="inlineStr">
        <is>
          <t>완제의약품</t>
        </is>
      </c>
      <c r="F426" t="inlineStr">
        <is>
          <t>비무균-일반제제-내용고형제(정제, 캡슐제), 무균-일반제제-주사제(주사제), 비무균-일반제제-외용액제(외용액제, 에어로솔제), 비무균-일반제제-첩부제(경피흡수제), 비무균-성호르몬제-내용고형제(정제)</t>
        </is>
      </c>
      <c r="G426" s="32" t="n">
        <v>46537</v>
      </c>
      <c r="H426">
        <f>IF(COUNTIFS($B$2:B426,B426,$D$2:D426,D426)=1,1,0)</f>
        <v/>
      </c>
      <c r="I426">
        <f>IF(OR(LEFT(F426,2)="무균",ISNUMBER(SEARCH("주사제",F426))),"Y","")</f>
        <v/>
      </c>
      <c r="J426">
        <f>IF(LEFT(F426,2)="생물","Y","")</f>
        <v/>
      </c>
    </row>
    <row r="427">
      <c r="A427" t="inlineStr">
        <is>
          <t>S426</t>
        </is>
      </c>
      <c r="B427" t="inlineStr">
        <is>
          <t>명문바이오</t>
        </is>
      </c>
      <c r="C427" t="inlineStr">
        <is>
          <t>명문바이오(주)</t>
        </is>
      </c>
      <c r="D427" t="inlineStr">
        <is>
          <t>경기도 화성시 향남읍 제약공단2길 28 (10동 외)</t>
        </is>
      </c>
      <c r="E427" t="inlineStr">
        <is>
          <t>원료의약품</t>
        </is>
      </c>
      <c r="F427" t="inlineStr">
        <is>
          <t>비무균-일반제제-합성, 비무균-일반제제-정제(합성에 한함)</t>
        </is>
      </c>
      <c r="G427" s="32" t="n">
        <v>46537</v>
      </c>
      <c r="H427">
        <f>IF(COUNTIFS($B$2:B427,B427,$D$2:D427,D427)=1,1,0)</f>
        <v/>
      </c>
      <c r="I427">
        <f>IF(OR(LEFT(F427,2)="무균",ISNUMBER(SEARCH("주사제",F427))),"Y","")</f>
        <v/>
      </c>
      <c r="J427">
        <f>IF(LEFT(F427,2)="생물","Y","")</f>
        <v/>
      </c>
    </row>
    <row r="428">
      <c r="A428" t="inlineStr">
        <is>
          <t>S427</t>
        </is>
      </c>
      <c r="B428" t="inlineStr">
        <is>
          <t>신풍제약</t>
        </is>
      </c>
      <c r="C428" t="inlineStr">
        <is>
          <t>신풍제약(주)</t>
        </is>
      </c>
      <c r="D428" t="inlineStr">
        <is>
          <t>충청북도 청주시 흥덕구 오송읍 오송생명5로 41-15</t>
        </is>
      </c>
      <c r="E428" t="inlineStr">
        <is>
          <t>완제의약품</t>
        </is>
      </c>
      <c r="F428" t="inlineStr">
        <is>
          <t>무균-세팔로스포린제제-주사제(분말주사제), 비무균-세팔로스포린제제-내용고형제(정제, 캡슐제)</t>
        </is>
      </c>
      <c r="G428" s="32" t="n">
        <v>46536</v>
      </c>
      <c r="H428">
        <f>IF(COUNTIFS($B$2:B428,B428,$D$2:D428,D428)=1,1,0)</f>
        <v/>
      </c>
      <c r="I428">
        <f>IF(OR(LEFT(F428,2)="무균",ISNUMBER(SEARCH("주사제",F428))),"Y","")</f>
        <v/>
      </c>
      <c r="J428">
        <f>IF(LEFT(F428,2)="생물","Y","")</f>
        <v/>
      </c>
    </row>
    <row r="429">
      <c r="A429" t="inlineStr">
        <is>
          <t>S428</t>
        </is>
      </c>
      <c r="B429" t="inlineStr">
        <is>
          <t>나노팜</t>
        </is>
      </c>
      <c r="C429" t="inlineStr">
        <is>
          <t>(주)나노팜</t>
        </is>
      </c>
      <c r="D429" t="inlineStr">
        <is>
          <t>충청북도 진천군 진천읍 상신2길 70</t>
        </is>
      </c>
      <c r="E429" t="inlineStr">
        <is>
          <t>완제의약품</t>
        </is>
      </c>
      <c r="F429" t="inlineStr">
        <is>
          <t>비무균-일반제제-외용액제(외용액제, 로션제), 비무균-일반제제-연고제(크림제, 겔제)</t>
        </is>
      </c>
      <c r="G429" s="32" t="n">
        <v>46536</v>
      </c>
      <c r="H429">
        <f>IF(COUNTIFS($B$2:B429,B429,$D$2:D429,D429)=1,1,0)</f>
        <v/>
      </c>
      <c r="I429">
        <f>IF(OR(LEFT(F429,2)="무균",ISNUMBER(SEARCH("주사제",F429))),"Y","")</f>
        <v/>
      </c>
      <c r="J429">
        <f>IF(LEFT(F429,2)="생물","Y","")</f>
        <v/>
      </c>
    </row>
    <row r="430">
      <c r="A430" t="inlineStr">
        <is>
          <t>S429</t>
        </is>
      </c>
      <c r="B430" t="inlineStr">
        <is>
          <t>덕양가스</t>
        </is>
      </c>
      <c r="C430" t="inlineStr">
        <is>
          <t>(주)덕양가스</t>
        </is>
      </c>
      <c r="D430" t="inlineStr">
        <is>
          <t>울산광역시 북구 농공단지2길 9</t>
        </is>
      </c>
      <c r="E430" t="inlineStr">
        <is>
          <t>완제의약품</t>
        </is>
      </c>
      <c r="F430" t="inlineStr">
        <is>
          <t>비무균-일반제제(의료용 고압가스)-가스제(의료용 고압가스)</t>
        </is>
      </c>
      <c r="G430" s="32" t="n">
        <v>46535</v>
      </c>
      <c r="H430">
        <f>IF(COUNTIFS($B$2:B430,B430,$D$2:D430,D430)=1,1,0)</f>
        <v/>
      </c>
      <c r="I430">
        <f>IF(OR(LEFT(F430,2)="무균",ISNUMBER(SEARCH("주사제",F430))),"Y","")</f>
        <v/>
      </c>
      <c r="J430">
        <f>IF(LEFT(F430,2)="생물","Y","")</f>
        <v/>
      </c>
    </row>
    <row r="431">
      <c r="A431" t="inlineStr">
        <is>
          <t>S430</t>
        </is>
      </c>
      <c r="B431" t="inlineStr">
        <is>
          <t>유니온가스</t>
        </is>
      </c>
      <c r="C431" t="inlineStr">
        <is>
          <t>(주)유니온가스</t>
        </is>
      </c>
      <c r="D431" t="inlineStr">
        <is>
          <t>경기도 용인시 처인구 남사면 원암로 370-1</t>
        </is>
      </c>
      <c r="E431" t="inlineStr">
        <is>
          <t>완제의약품</t>
        </is>
      </c>
      <c r="F431" t="inlineStr">
        <is>
          <t>비무균-일반제제(의료용 고압가스)-가스제(의료용 고압가스)</t>
        </is>
      </c>
      <c r="G431" s="32" t="n">
        <v>46533</v>
      </c>
      <c r="H431">
        <f>IF(COUNTIFS($B$2:B431,B431,$D$2:D431,D431)=1,1,0)</f>
        <v/>
      </c>
      <c r="I431">
        <f>IF(OR(LEFT(F431,2)="무균",ISNUMBER(SEARCH("주사제",F431))),"Y","")</f>
        <v/>
      </c>
      <c r="J431">
        <f>IF(LEFT(F431,2)="생물","Y","")</f>
        <v/>
      </c>
    </row>
    <row r="432">
      <c r="A432" t="inlineStr">
        <is>
          <t>S431</t>
        </is>
      </c>
      <c r="B432" t="inlineStr">
        <is>
          <t>엘지화학</t>
        </is>
      </c>
      <c r="C432" t="inlineStr">
        <is>
          <t>(주)엘지화학</t>
        </is>
      </c>
      <c r="D432" t="inlineStr">
        <is>
          <t>전북특별자치도 익산시 석암로 129</t>
        </is>
      </c>
      <c r="E432" t="inlineStr">
        <is>
          <t>원료의약품</t>
        </is>
      </c>
      <c r="F432" t="inlineStr">
        <is>
          <t>무균-일반제제-합성, 비무균-일반제제-합성, 무균-일반제제-발효, 생물-백신-(배양, 정제, 원액 제조), 생물-유전자재조합의약품-(배양, 정제, 원액 제조)</t>
        </is>
      </c>
      <c r="G432" s="32" t="n">
        <v>46530</v>
      </c>
      <c r="H432">
        <f>IF(COUNTIFS($B$2:B432,B432,$D$2:D432,D432)=1,1,0)</f>
        <v/>
      </c>
      <c r="I432">
        <f>IF(OR(LEFT(F432,2)="무균",ISNUMBER(SEARCH("주사제",F432))),"Y","")</f>
        <v/>
      </c>
      <c r="J432">
        <f>IF(LEFT(F432,2)="생물","Y","")</f>
        <v/>
      </c>
    </row>
    <row r="433">
      <c r="A433" t="inlineStr">
        <is>
          <t>S432</t>
        </is>
      </c>
      <c r="B433" t="inlineStr">
        <is>
          <t>하이플생명과학</t>
        </is>
      </c>
      <c r="C433" t="inlineStr">
        <is>
          <t>하이플생명과학(주)</t>
        </is>
      </c>
      <c r="D433" t="inlineStr">
        <is>
          <t>경기도 시흥시 경제로 59 , 603호(정왕동, 1라)</t>
        </is>
      </c>
      <c r="E433" t="inlineStr">
        <is>
          <t>완제의약품</t>
        </is>
      </c>
      <c r="F433" t="inlineStr">
        <is>
          <t>비무균-일반제제-내용고형제(정제, 산제, 과립제), 비무균-일반제제-내용액제(경구용액제, 현탁제, 가글제(액상)), 비무균-일반제제-외용액제(외용액제, 펌프스프레이제, 관장제(액상,반고형))</t>
        </is>
      </c>
      <c r="G433" s="32" t="n">
        <v>46530</v>
      </c>
      <c r="H433">
        <f>IF(COUNTIFS($B$2:B433,B433,$D$2:D433,D433)=1,1,0)</f>
        <v/>
      </c>
      <c r="I433">
        <f>IF(OR(LEFT(F433,2)="무균",ISNUMBER(SEARCH("주사제",F433))),"Y","")</f>
        <v/>
      </c>
      <c r="J433">
        <f>IF(LEFT(F433,2)="생물","Y","")</f>
        <v/>
      </c>
    </row>
    <row r="434">
      <c r="A434" t="inlineStr">
        <is>
          <t>S433</t>
        </is>
      </c>
      <c r="B434" t="inlineStr">
        <is>
          <t>엘지화학</t>
        </is>
      </c>
      <c r="C434" t="inlineStr">
        <is>
          <t>(주)엘지화학</t>
        </is>
      </c>
      <c r="D434" t="inlineStr">
        <is>
          <t>전북특별자치도 익산시 석암로 129</t>
        </is>
      </c>
      <c r="E434" t="inlineStr">
        <is>
          <t>완제의약품</t>
        </is>
      </c>
      <c r="F434" t="inlineStr">
        <is>
          <t>무균-일반제제-주사제(주사제, 동결건조주사제), 생물-백신-주사제(주사제), 생물-유전자재조합의약품-주사제(주사제)</t>
        </is>
      </c>
      <c r="G434" s="32" t="n">
        <v>46530</v>
      </c>
      <c r="H434">
        <f>IF(COUNTIFS($B$2:B434,B434,$D$2:D434,D434)=1,1,0)</f>
        <v/>
      </c>
      <c r="I434">
        <f>IF(OR(LEFT(F434,2)="무균",ISNUMBER(SEARCH("주사제",F434))),"Y","")</f>
        <v/>
      </c>
      <c r="J434">
        <f>IF(LEFT(F434,2)="생물","Y","")</f>
        <v/>
      </c>
    </row>
    <row r="435">
      <c r="A435" t="inlineStr">
        <is>
          <t>S434</t>
        </is>
      </c>
      <c r="B435" t="inlineStr">
        <is>
          <t>에스에스팜</t>
        </is>
      </c>
      <c r="C435" t="inlineStr">
        <is>
          <t>에스에스팜(주)</t>
        </is>
      </c>
      <c r="D435" t="inlineStr">
        <is>
          <t>경기도 안산시 단원구 범지기로141번길 10</t>
        </is>
      </c>
      <c r="E435" t="inlineStr">
        <is>
          <t>원료의약품</t>
        </is>
      </c>
      <c r="F435" t="inlineStr">
        <is>
          <t>비무균-일반제제-합성, 비무균-일반제제-정제(합성에 한함), 비무균-일반제제-소분</t>
        </is>
      </c>
      <c r="G435" s="32" t="n">
        <v>46529</v>
      </c>
      <c r="H435">
        <f>IF(COUNTIFS($B$2:B435,B435,$D$2:D435,D435)=1,1,0)</f>
        <v/>
      </c>
      <c r="I435">
        <f>IF(OR(LEFT(F435,2)="무균",ISNUMBER(SEARCH("주사제",F435))),"Y","")</f>
        <v/>
      </c>
      <c r="J435">
        <f>IF(LEFT(F435,2)="생물","Y","")</f>
        <v/>
      </c>
    </row>
    <row r="436">
      <c r="A436" t="inlineStr">
        <is>
          <t>S435</t>
        </is>
      </c>
      <c r="B436" t="inlineStr">
        <is>
          <t>나이벡</t>
        </is>
      </c>
      <c r="C436" t="inlineStr">
        <is>
          <t>(주)나이벡</t>
        </is>
      </c>
      <c r="D436" t="inlineStr">
        <is>
          <t>충청북도 진천군 이월면 밤디길 116</t>
        </is>
      </c>
      <c r="E436" t="inlineStr">
        <is>
          <t>완제의약품</t>
        </is>
      </c>
      <c r="F436" t="inlineStr">
        <is>
          <t>비무균-일반제제-연고제(연고제)</t>
        </is>
      </c>
      <c r="G436" s="32" t="n">
        <v>46529</v>
      </c>
      <c r="H436">
        <f>IF(COUNTIFS($B$2:B436,B436,$D$2:D436,D436)=1,1,0)</f>
        <v/>
      </c>
      <c r="I436">
        <f>IF(OR(LEFT(F436,2)="무균",ISNUMBER(SEARCH("주사제",F436))),"Y","")</f>
        <v/>
      </c>
      <c r="J436">
        <f>IF(LEFT(F436,2)="생물","Y","")</f>
        <v/>
      </c>
    </row>
    <row r="437">
      <c r="A437" t="inlineStr">
        <is>
          <t>S436</t>
        </is>
      </c>
      <c r="B437" t="inlineStr">
        <is>
          <t>덕산약품공업</t>
        </is>
      </c>
      <c r="C437" t="inlineStr">
        <is>
          <t>덕산약품공업(주)</t>
        </is>
      </c>
      <c r="D437" t="inlineStr">
        <is>
          <t>경기도 안산시 단원구 신원로133번길 53</t>
        </is>
      </c>
      <c r="E437" t="inlineStr">
        <is>
          <t>원료의약품</t>
        </is>
      </c>
      <c r="F437" t="inlineStr">
        <is>
          <t>비무균-일반제제-합성, 비무균-일반제제-(정제(합성에 한함), 정제(발효에 한함)), 비무균-일반제제-소분</t>
        </is>
      </c>
      <c r="G437" s="32" t="n">
        <v>46516</v>
      </c>
      <c r="H437">
        <f>IF(COUNTIFS($B$2:B437,B437,$D$2:D437,D437)=1,1,0)</f>
        <v/>
      </c>
      <c r="I437">
        <f>IF(OR(LEFT(F437,2)="무균",ISNUMBER(SEARCH("주사제",F437))),"Y","")</f>
        <v/>
      </c>
      <c r="J437">
        <f>IF(LEFT(F437,2)="생물","Y","")</f>
        <v/>
      </c>
    </row>
    <row r="438">
      <c r="A438" t="inlineStr">
        <is>
          <t>S437</t>
        </is>
      </c>
      <c r="B438" t="inlineStr">
        <is>
          <t>인트로바이오파마</t>
        </is>
      </c>
      <c r="C438" t="inlineStr">
        <is>
          <t>(주)인트로바이오파마</t>
        </is>
      </c>
      <c r="D438" t="inlineStr">
        <is>
          <t>경기도 평택시 서탄면 마두길 104-12 ,104-2 1동 1층(일부)및2층(일부)(보관소)</t>
        </is>
      </c>
      <c r="E438" t="inlineStr">
        <is>
          <t>완제의약품</t>
        </is>
      </c>
      <c r="F438" t="inlineStr">
        <is>
          <t>비무균-일반제제-내용고형제(정제, 캡슐제)</t>
        </is>
      </c>
      <c r="G438" s="32" t="n">
        <v>46516</v>
      </c>
      <c r="H438">
        <f>IF(COUNTIFS($B$2:B438,B438,$D$2:D438,D438)=1,1,0)</f>
        <v/>
      </c>
      <c r="I438">
        <f>IF(OR(LEFT(F438,2)="무균",ISNUMBER(SEARCH("주사제",F438))),"Y","")</f>
        <v/>
      </c>
      <c r="J438">
        <f>IF(LEFT(F438,2)="생물","Y","")</f>
        <v/>
      </c>
    </row>
    <row r="439">
      <c r="A439" t="inlineStr">
        <is>
          <t>S438</t>
        </is>
      </c>
      <c r="B439" t="inlineStr">
        <is>
          <t>서울대학교병원</t>
        </is>
      </c>
      <c r="C439" t="inlineStr">
        <is>
          <t>서울대학교병원</t>
        </is>
      </c>
      <c r="D439" t="inlineStr">
        <is>
          <t>경기도 성남시 분당구 구미로173번길 82 분당서울대학교병원 (구미동)</t>
        </is>
      </c>
      <c r="E439" t="inlineStr">
        <is>
          <t>완제의약품</t>
        </is>
      </c>
      <c r="F439" t="inlineStr">
        <is>
          <t>무균-일반제제(방사성의약품)-주사제(주사제)</t>
        </is>
      </c>
      <c r="G439" s="32" t="n">
        <v>46516</v>
      </c>
      <c r="H439">
        <f>IF(COUNTIFS($B$2:B439,B439,$D$2:D439,D439)=1,1,0)</f>
        <v/>
      </c>
      <c r="I439">
        <f>IF(OR(LEFT(F439,2)="무균",ISNUMBER(SEARCH("주사제",F439))),"Y","")</f>
        <v/>
      </c>
      <c r="J439">
        <f>IF(LEFT(F439,2)="생물","Y","")</f>
        <v/>
      </c>
    </row>
    <row r="440">
      <c r="A440" t="inlineStr">
        <is>
          <t>S439</t>
        </is>
      </c>
      <c r="B440" t="inlineStr">
        <is>
          <t>큐앤큐팜</t>
        </is>
      </c>
      <c r="C440" t="inlineStr">
        <is>
          <t>큐앤큐팜(주)</t>
        </is>
      </c>
      <c r="D440" t="inlineStr">
        <is>
          <t>세종특별자치시 전의면 양지편길 19-11</t>
        </is>
      </c>
      <c r="E440" t="inlineStr">
        <is>
          <t>완제의약품</t>
        </is>
      </c>
      <c r="F440" t="inlineStr">
        <is>
          <t>비무균-일반제제-외용액제(외용액제), 비무균-일반제제-첩부제(첩부제)</t>
        </is>
      </c>
      <c r="G440" s="32" t="n">
        <v>46515</v>
      </c>
      <c r="H440">
        <f>IF(COUNTIFS($B$2:B440,B440,$D$2:D440,D440)=1,1,0)</f>
        <v/>
      </c>
      <c r="I440">
        <f>IF(OR(LEFT(F440,2)="무균",ISNUMBER(SEARCH("주사제",F440))),"Y","")</f>
        <v/>
      </c>
      <c r="J440">
        <f>IF(LEFT(F440,2)="생물","Y","")</f>
        <v/>
      </c>
    </row>
    <row r="441">
      <c r="A441" t="inlineStr">
        <is>
          <t>S440</t>
        </is>
      </c>
      <c r="B441" t="inlineStr">
        <is>
          <t>대신무약</t>
        </is>
      </c>
      <c r="C441" t="inlineStr">
        <is>
          <t>대신무약(주)</t>
        </is>
      </c>
      <c r="D441" t="inlineStr">
        <is>
          <t>서울특별시 서초구 양재천로 113-4</t>
        </is>
      </c>
      <c r="E441" t="inlineStr">
        <is>
          <t>원료의약품</t>
        </is>
      </c>
      <c r="F441" t="inlineStr">
        <is>
          <t>비무균-일반제제-소분</t>
        </is>
      </c>
      <c r="G441" s="32" t="n">
        <v>46514</v>
      </c>
      <c r="H441">
        <f>IF(COUNTIFS($B$2:B441,B441,$D$2:D441,D441)=1,1,0)</f>
        <v/>
      </c>
      <c r="I441">
        <f>IF(OR(LEFT(F441,2)="무균",ISNUMBER(SEARCH("주사제",F441))),"Y","")</f>
        <v/>
      </c>
      <c r="J441">
        <f>IF(LEFT(F441,2)="생물","Y","")</f>
        <v/>
      </c>
    </row>
    <row r="442">
      <c r="A442" t="inlineStr">
        <is>
          <t>S441</t>
        </is>
      </c>
      <c r="B442" t="inlineStr">
        <is>
          <t>에어젠</t>
        </is>
      </c>
      <c r="C442" t="inlineStr">
        <is>
          <t>에어젠</t>
        </is>
      </c>
      <c r="D442" t="inlineStr">
        <is>
          <t>대구광역시 북구 검단북로2길 18</t>
        </is>
      </c>
      <c r="E442" t="inlineStr">
        <is>
          <t>완제의약품</t>
        </is>
      </c>
      <c r="F442" t="inlineStr">
        <is>
          <t>비무균-일반제제(의료용 고압가스)-가스제(의료용 고압가스)</t>
        </is>
      </c>
      <c r="G442" s="32" t="n">
        <v>46514</v>
      </c>
      <c r="H442">
        <f>IF(COUNTIFS($B$2:B442,B442,$D$2:D442,D442)=1,1,0)</f>
        <v/>
      </c>
      <c r="I442">
        <f>IF(OR(LEFT(F442,2)="무균",ISNUMBER(SEARCH("주사제",F442))),"Y","")</f>
        <v/>
      </c>
      <c r="J442">
        <f>IF(LEFT(F442,2)="생물","Y","")</f>
        <v/>
      </c>
    </row>
    <row r="443">
      <c r="A443" t="inlineStr">
        <is>
          <t>S442</t>
        </is>
      </c>
      <c r="B443" t="inlineStr">
        <is>
          <t>명문바이오</t>
        </is>
      </c>
      <c r="C443" t="inlineStr">
        <is>
          <t>명문바이오(주)</t>
        </is>
      </c>
      <c r="D443" t="inlineStr">
        <is>
          <t>경기도 화성시 향남읍 제약공단2길 28 (10동 외)</t>
        </is>
      </c>
      <c r="E443" t="inlineStr">
        <is>
          <t>완제의약품</t>
        </is>
      </c>
      <c r="F443" t="inlineStr">
        <is>
          <t>비무균-일반제제-내용고형제(정제)</t>
        </is>
      </c>
      <c r="G443" s="32" t="n">
        <v>46513</v>
      </c>
      <c r="H443">
        <f>IF(COUNTIFS($B$2:B443,B443,$D$2:D443,D443)=1,1,0)</f>
        <v/>
      </c>
      <c r="I443">
        <f>IF(OR(LEFT(F443,2)="무균",ISNUMBER(SEARCH("주사제",F443))),"Y","")</f>
        <v/>
      </c>
      <c r="J443">
        <f>IF(LEFT(F443,2)="생물","Y","")</f>
        <v/>
      </c>
    </row>
    <row r="444">
      <c r="A444" t="inlineStr">
        <is>
          <t>S443</t>
        </is>
      </c>
      <c r="B444" t="inlineStr">
        <is>
          <t>이화산업가스</t>
        </is>
      </c>
      <c r="C444" t="inlineStr">
        <is>
          <t>이화산업가스주식회사</t>
        </is>
      </c>
      <c r="D444" t="inlineStr">
        <is>
          <t>인천광역시 부평구 백범로578번길 32 (십정동)</t>
        </is>
      </c>
      <c r="E444" t="inlineStr">
        <is>
          <t>완제의약품</t>
        </is>
      </c>
      <c r="F444" t="inlineStr">
        <is>
          <t>비무균-일반제제(의료용 고압가스)-가스제(의료용 고압가스)</t>
        </is>
      </c>
      <c r="G444" s="32" t="n">
        <v>46502</v>
      </c>
      <c r="H444">
        <f>IF(COUNTIFS($B$2:B444,B444,$D$2:D444,D444)=1,1,0)</f>
        <v/>
      </c>
      <c r="I444">
        <f>IF(OR(LEFT(F444,2)="무균",ISNUMBER(SEARCH("주사제",F444))),"Y","")</f>
        <v/>
      </c>
      <c r="J444">
        <f>IF(LEFT(F444,2)="생물","Y","")</f>
        <v/>
      </c>
    </row>
    <row r="445">
      <c r="A445" t="inlineStr">
        <is>
          <t>S444</t>
        </is>
      </c>
      <c r="B445" t="inlineStr">
        <is>
          <t>일양바이오팜</t>
        </is>
      </c>
      <c r="C445" t="inlineStr">
        <is>
          <t>일양바이오팜(주)</t>
        </is>
      </c>
      <c r="D445" t="inlineStr">
        <is>
          <t>충청북도 제천시 바이오밸리3로 8</t>
        </is>
      </c>
      <c r="E445" t="inlineStr">
        <is>
          <t>완제의약품</t>
        </is>
      </c>
      <c r="F445" t="inlineStr">
        <is>
          <t>비무균-일반제제-내용고형제(정제, 캡슐제)</t>
        </is>
      </c>
      <c r="G445" s="32" t="n">
        <v>46501</v>
      </c>
      <c r="H445">
        <f>IF(COUNTIFS($B$2:B445,B445,$D$2:D445,D445)=1,1,0)</f>
        <v/>
      </c>
      <c r="I445">
        <f>IF(OR(LEFT(F445,2)="무균",ISNUMBER(SEARCH("주사제",F445))),"Y","")</f>
        <v/>
      </c>
      <c r="J445">
        <f>IF(LEFT(F445,2)="생물","Y","")</f>
        <v/>
      </c>
    </row>
    <row r="446">
      <c r="A446" t="inlineStr">
        <is>
          <t>S445</t>
        </is>
      </c>
      <c r="B446" t="inlineStr">
        <is>
          <t>씨엘팜</t>
        </is>
      </c>
      <c r="C446" t="inlineStr">
        <is>
          <t>(주)씨엘팜</t>
        </is>
      </c>
      <c r="D446" t="inlineStr">
        <is>
          <t>충청남도 아산시 신창면 가내길 101</t>
        </is>
      </c>
      <c r="E446" t="inlineStr">
        <is>
          <t>완제의약품</t>
        </is>
      </c>
      <c r="F446" t="inlineStr">
        <is>
          <t>비무균-일반제제-내용고형제(구강용해필름)</t>
        </is>
      </c>
      <c r="G446" s="32" t="n">
        <v>46501</v>
      </c>
      <c r="H446">
        <f>IF(COUNTIFS($B$2:B446,B446,$D$2:D446,D446)=1,1,0)</f>
        <v/>
      </c>
      <c r="I446">
        <f>IF(OR(LEFT(F446,2)="무균",ISNUMBER(SEARCH("주사제",F446))),"Y","")</f>
        <v/>
      </c>
      <c r="J446">
        <f>IF(LEFT(F446,2)="생물","Y","")</f>
        <v/>
      </c>
    </row>
    <row r="447">
      <c r="A447" t="inlineStr">
        <is>
          <t>S446</t>
        </is>
      </c>
      <c r="B447" t="inlineStr">
        <is>
          <t>미래바이오제약</t>
        </is>
      </c>
      <c r="C447" t="inlineStr">
        <is>
          <t>미래바이오제약(주)</t>
        </is>
      </c>
      <c r="D447" t="inlineStr">
        <is>
          <t>경기도 안성시 공단2로 104</t>
        </is>
      </c>
      <c r="E447" t="inlineStr">
        <is>
          <t>완제의약품</t>
        </is>
      </c>
      <c r="F447" t="inlineStr">
        <is>
          <t>비무균-일반제제-내용고형제(정제, 캡슐제)</t>
        </is>
      </c>
      <c r="G447" s="32" t="n">
        <v>46501</v>
      </c>
      <c r="H447">
        <f>IF(COUNTIFS($B$2:B447,B447,$D$2:D447,D447)=1,1,0)</f>
        <v/>
      </c>
      <c r="I447">
        <f>IF(OR(LEFT(F447,2)="무균",ISNUMBER(SEARCH("주사제",F447))),"Y","")</f>
        <v/>
      </c>
      <c r="J447">
        <f>IF(LEFT(F447,2)="생물","Y","")</f>
        <v/>
      </c>
    </row>
    <row r="448">
      <c r="A448" t="inlineStr">
        <is>
          <t>S447</t>
        </is>
      </c>
      <c r="B448" t="inlineStr">
        <is>
          <t>휴젤</t>
        </is>
      </c>
      <c r="C448" t="inlineStr">
        <is>
          <t>휴젤주식회사</t>
        </is>
      </c>
      <c r="D448" t="inlineStr">
        <is>
          <t>강원특별자치도 춘천시 동내면 거두단지1길 23 (거두리)</t>
        </is>
      </c>
      <c r="E448" t="inlineStr">
        <is>
          <t>완제의약품</t>
        </is>
      </c>
      <c r="F448" t="inlineStr">
        <is>
          <t>생물-독소-주사제(동결건조주사제)</t>
        </is>
      </c>
      <c r="G448" s="32" t="n">
        <v>46494</v>
      </c>
      <c r="H448">
        <f>IF(COUNTIFS($B$2:B448,B448,$D$2:D448,D448)=1,1,0)</f>
        <v/>
      </c>
      <c r="I448">
        <f>IF(OR(LEFT(F448,2)="무균",ISNUMBER(SEARCH("주사제",F448))),"Y","")</f>
        <v/>
      </c>
      <c r="J448">
        <f>IF(LEFT(F448,2)="생물","Y","")</f>
        <v/>
      </c>
    </row>
    <row r="449">
      <c r="A449" t="inlineStr">
        <is>
          <t>S448</t>
        </is>
      </c>
      <c r="B449" t="inlineStr">
        <is>
          <t>하원정밀화학</t>
        </is>
      </c>
      <c r="C449" t="inlineStr">
        <is>
          <t>(주)하원정밀화학</t>
        </is>
      </c>
      <c r="D449" t="inlineStr">
        <is>
          <t>세종특별자치시 전동면 노장공단길 53-10</t>
        </is>
      </c>
      <c r="E449" t="inlineStr">
        <is>
          <t>원료의약품</t>
        </is>
      </c>
      <c r="F449" t="inlineStr">
        <is>
          <t>비무균-일반제제-합성</t>
        </is>
      </c>
      <c r="G449" s="32" t="n">
        <v>46494</v>
      </c>
      <c r="H449">
        <f>IF(COUNTIFS($B$2:B449,B449,$D$2:D449,D449)=1,1,0)</f>
        <v/>
      </c>
      <c r="I449">
        <f>IF(OR(LEFT(F449,2)="무균",ISNUMBER(SEARCH("주사제",F449))),"Y","")</f>
        <v/>
      </c>
      <c r="J449">
        <f>IF(LEFT(F449,2)="생물","Y","")</f>
        <v/>
      </c>
    </row>
    <row r="450">
      <c r="A450" t="inlineStr">
        <is>
          <t>S449</t>
        </is>
      </c>
      <c r="B450" t="inlineStr">
        <is>
          <t>이수앱지스</t>
        </is>
      </c>
      <c r="C450" t="inlineStr">
        <is>
          <t>(주)이수앱지스</t>
        </is>
      </c>
      <c r="D450" t="inlineStr">
        <is>
          <t>경기도 용인시 기흥구 동백중앙로16번길 16-25 대우프론티어밸리 1차 203~209호, 219~221호, 213호, 304호</t>
        </is>
      </c>
      <c r="E450" t="inlineStr">
        <is>
          <t>원료의약품</t>
        </is>
      </c>
      <c r="F450" t="inlineStr">
        <is>
          <t>생물-유전자재조합의약품-(배양, 정제, 바이러스불활화, 원액 제조)</t>
        </is>
      </c>
      <c r="G450" s="32" t="n">
        <v>46494</v>
      </c>
      <c r="H450">
        <f>IF(COUNTIFS($B$2:B450,B450,$D$2:D450,D450)=1,1,0)</f>
        <v/>
      </c>
      <c r="I450">
        <f>IF(OR(LEFT(F450,2)="무균",ISNUMBER(SEARCH("주사제",F450))),"Y","")</f>
        <v/>
      </c>
      <c r="J450">
        <f>IF(LEFT(F450,2)="생물","Y","")</f>
        <v/>
      </c>
    </row>
    <row r="451">
      <c r="A451" t="inlineStr">
        <is>
          <t>S450</t>
        </is>
      </c>
      <c r="B451" t="inlineStr">
        <is>
          <t>휴젤</t>
        </is>
      </c>
      <c r="C451" t="inlineStr">
        <is>
          <t>휴젤주식회사</t>
        </is>
      </c>
      <c r="D451" t="inlineStr">
        <is>
          <t>강원특별자치도 춘천시 동내면 거두단지1길 23 (거두리)</t>
        </is>
      </c>
      <c r="E451" t="inlineStr">
        <is>
          <t>원료의약품</t>
        </is>
      </c>
      <c r="F451" t="inlineStr">
        <is>
          <t>생물-독소-(배양, 정제, 원액 제조)</t>
        </is>
      </c>
      <c r="G451" s="32" t="n">
        <v>46494</v>
      </c>
      <c r="H451">
        <f>IF(COUNTIFS($B$2:B451,B451,$D$2:D451,D451)=1,1,0)</f>
        <v/>
      </c>
      <c r="I451">
        <f>IF(OR(LEFT(F451,2)="무균",ISNUMBER(SEARCH("주사제",F451))),"Y","")</f>
        <v/>
      </c>
      <c r="J451">
        <f>IF(LEFT(F451,2)="생물","Y","")</f>
        <v/>
      </c>
    </row>
    <row r="452">
      <c r="A452" t="inlineStr">
        <is>
          <t>S451</t>
        </is>
      </c>
      <c r="B452" t="inlineStr">
        <is>
          <t>대원바이오텍</t>
        </is>
      </c>
      <c r="C452" t="inlineStr">
        <is>
          <t>대원바이오텍주식회사</t>
        </is>
      </c>
      <c r="D452" t="inlineStr">
        <is>
          <t>서울특별시 금천구 가산디지털1로 19 15층, 1501호~1503호(가산동, 대륭테크노타운 18차)</t>
        </is>
      </c>
      <c r="E452" t="inlineStr">
        <is>
          <t>완제의약품</t>
        </is>
      </c>
      <c r="F452" t="inlineStr">
        <is>
          <t>비무균-일반제제-내용고형제(정제)</t>
        </is>
      </c>
      <c r="G452" s="32" t="n">
        <v>46493</v>
      </c>
      <c r="H452">
        <f>IF(COUNTIFS($B$2:B452,B452,$D$2:D452,D452)=1,1,0)</f>
        <v/>
      </c>
      <c r="I452">
        <f>IF(OR(LEFT(F452,2)="무균",ISNUMBER(SEARCH("주사제",F452))),"Y","")</f>
        <v/>
      </c>
      <c r="J452">
        <f>IF(LEFT(F452,2)="생물","Y","")</f>
        <v/>
      </c>
    </row>
    <row r="453">
      <c r="A453" t="inlineStr">
        <is>
          <t>S452</t>
        </is>
      </c>
      <c r="B453" t="inlineStr">
        <is>
          <t>밸리</t>
        </is>
      </c>
      <c r="C453" t="inlineStr">
        <is>
          <t>주식회사 밸리</t>
        </is>
      </c>
      <c r="D453" t="inlineStr">
        <is>
          <t>대구광역시 수성구 파동로32길 16</t>
        </is>
      </c>
      <c r="E453" t="inlineStr">
        <is>
          <t>완제의약품</t>
        </is>
      </c>
      <c r="F453" t="inlineStr">
        <is>
          <t>비무균-일반제제-외용액제(외용액제)</t>
        </is>
      </c>
      <c r="G453" s="32" t="n">
        <v>46493</v>
      </c>
      <c r="H453">
        <f>IF(COUNTIFS($B$2:B453,B453,$D$2:D453,D453)=1,1,0)</f>
        <v/>
      </c>
      <c r="I453">
        <f>IF(OR(LEFT(F453,2)="무균",ISNUMBER(SEARCH("주사제",F453))),"Y","")</f>
        <v/>
      </c>
      <c r="J453">
        <f>IF(LEFT(F453,2)="생물","Y","")</f>
        <v/>
      </c>
    </row>
    <row r="454">
      <c r="A454" t="inlineStr">
        <is>
          <t>S453</t>
        </is>
      </c>
      <c r="B454" t="inlineStr">
        <is>
          <t>넥스제너</t>
        </is>
      </c>
      <c r="C454" t="inlineStr">
        <is>
          <t>주식회사넥스제너</t>
        </is>
      </c>
      <c r="D454" t="inlineStr">
        <is>
          <t>경기도 화성시 동탄대로23길 93 아너스카이 10층</t>
        </is>
      </c>
      <c r="E454" t="inlineStr">
        <is>
          <t>원료의약품</t>
        </is>
      </c>
      <c r="F454" t="inlineStr">
        <is>
          <t>비무균-일반제제-합성</t>
        </is>
      </c>
      <c r="G454" s="32" t="n">
        <v>46485</v>
      </c>
      <c r="H454">
        <f>IF(COUNTIFS($B$2:B454,B454,$D$2:D454,D454)=1,1,0)</f>
        <v/>
      </c>
      <c r="I454">
        <f>IF(OR(LEFT(F454,2)="무균",ISNUMBER(SEARCH("주사제",F454))),"Y","")</f>
        <v/>
      </c>
      <c r="J454">
        <f>IF(LEFT(F454,2)="생물","Y","")</f>
        <v/>
      </c>
    </row>
    <row r="455">
      <c r="A455" t="inlineStr">
        <is>
          <t>S454</t>
        </is>
      </c>
      <c r="B455" t="inlineStr">
        <is>
          <t>동아에스티</t>
        </is>
      </c>
      <c r="C455" t="inlineStr">
        <is>
          <t>동아에스티(주)</t>
        </is>
      </c>
      <c r="D455" t="inlineStr">
        <is>
          <t>대구광역시 달성군 논공읍 논공로 493</t>
        </is>
      </c>
      <c r="E455" t="inlineStr">
        <is>
          <t>완제의약품</t>
        </is>
      </c>
      <c r="F455" t="inlineStr">
        <is>
          <t>생물-유전자재조합의약품-주사제(주사제)</t>
        </is>
      </c>
      <c r="G455" s="32" t="n">
        <v>46481</v>
      </c>
      <c r="H455">
        <f>IF(COUNTIFS($B$2:B455,B455,$D$2:D455,D455)=1,1,0)</f>
        <v/>
      </c>
      <c r="I455">
        <f>IF(OR(LEFT(F455,2)="무균",ISNUMBER(SEARCH("주사제",F455))),"Y","")</f>
        <v/>
      </c>
      <c r="J455">
        <f>IF(LEFT(F455,2)="생물","Y","")</f>
        <v/>
      </c>
    </row>
    <row r="456">
      <c r="A456" t="inlineStr">
        <is>
          <t>S455</t>
        </is>
      </c>
      <c r="B456" t="inlineStr">
        <is>
          <t>동아에스티</t>
        </is>
      </c>
      <c r="C456" t="inlineStr">
        <is>
          <t>동아에스티(주)</t>
        </is>
      </c>
      <c r="D456" t="inlineStr">
        <is>
          <t>대구광역시 달성군 논공읍 논공로 493</t>
        </is>
      </c>
      <c r="E456" t="inlineStr">
        <is>
          <t>원료의약품</t>
        </is>
      </c>
      <c r="F456" t="inlineStr">
        <is>
          <t>생물-유전자재조합의약품-(배양, 정제, 바이러스불활화, 원액 제조)</t>
        </is>
      </c>
      <c r="G456" s="32" t="n">
        <v>46481</v>
      </c>
      <c r="H456">
        <f>IF(COUNTIFS($B$2:B456,B456,$D$2:D456,D456)=1,1,0)</f>
        <v/>
      </c>
      <c r="I456">
        <f>IF(OR(LEFT(F456,2)="무균",ISNUMBER(SEARCH("주사제",F456))),"Y","")</f>
        <v/>
      </c>
      <c r="J456">
        <f>IF(LEFT(F456,2)="생물","Y","")</f>
        <v/>
      </c>
    </row>
    <row r="457">
      <c r="A457" t="inlineStr">
        <is>
          <t>S456</t>
        </is>
      </c>
      <c r="B457" t="inlineStr">
        <is>
          <t>녹십자</t>
        </is>
      </c>
      <c r="C457" t="inlineStr">
        <is>
          <t>(주)녹십자</t>
        </is>
      </c>
      <c r="D457" t="inlineStr">
        <is>
          <t>충청북도 청주시 청원구 오창읍 과학산업2로 586</t>
        </is>
      </c>
      <c r="E457" t="inlineStr">
        <is>
          <t>원료의약품</t>
        </is>
      </c>
      <c r="F457" t="inlineStr">
        <is>
          <t>생물-유전자재조합의약품-(배양, 정제, 바이러스불활화, 원액 제조), 생물-혈장분획제제-(분획, 정제, 바이러스불활화, 원액 제조)</t>
        </is>
      </c>
      <c r="G457" s="32" t="n">
        <v>46481</v>
      </c>
      <c r="H457">
        <f>IF(COUNTIFS($B$2:B457,B457,$D$2:D457,D457)=1,1,0)</f>
        <v/>
      </c>
      <c r="I457">
        <f>IF(OR(LEFT(F457,2)="무균",ISNUMBER(SEARCH("주사제",F457))),"Y","")</f>
        <v/>
      </c>
      <c r="J457">
        <f>IF(LEFT(F457,2)="생물","Y","")</f>
        <v/>
      </c>
    </row>
    <row r="458">
      <c r="A458" t="inlineStr">
        <is>
          <t>S457</t>
        </is>
      </c>
      <c r="B458" t="inlineStr">
        <is>
          <t>녹십자</t>
        </is>
      </c>
      <c r="C458" t="inlineStr">
        <is>
          <t>(주)녹십자</t>
        </is>
      </c>
      <c r="D458" t="inlineStr">
        <is>
          <t>충청북도 청주시 청원구 오창읍 과학산업2로 586</t>
        </is>
      </c>
      <c r="E458" t="inlineStr">
        <is>
          <t>완제의약품</t>
        </is>
      </c>
      <c r="F458" t="inlineStr">
        <is>
          <t>생물-백신-주사제(주사제), 생물-유전자재조합의약품-주사제(주사제, 동결건조주사제), 생물-혈장분획제제-주사제(주사제, 동결건조주사제)</t>
        </is>
      </c>
      <c r="G458" s="32" t="n">
        <v>46481</v>
      </c>
      <c r="H458">
        <f>IF(COUNTIFS($B$2:B458,B458,$D$2:D458,D458)=1,1,0)</f>
        <v/>
      </c>
      <c r="I458">
        <f>IF(OR(LEFT(F458,2)="무균",ISNUMBER(SEARCH("주사제",F458))),"Y","")</f>
        <v/>
      </c>
      <c r="J458">
        <f>IF(LEFT(F458,2)="생물","Y","")</f>
        <v/>
      </c>
    </row>
    <row r="459">
      <c r="A459" t="inlineStr">
        <is>
          <t>S458</t>
        </is>
      </c>
      <c r="B459" t="inlineStr">
        <is>
          <t>연세의료원</t>
        </is>
      </c>
      <c r="C459" t="inlineStr">
        <is>
          <t>연세의료원</t>
        </is>
      </c>
      <c r="D459" t="inlineStr">
        <is>
          <t>서울특별시 서대문구 연세로 50-1 연세암병원 지하 5층</t>
        </is>
      </c>
      <c r="E459" t="inlineStr">
        <is>
          <t>완제의약품</t>
        </is>
      </c>
      <c r="F459" t="inlineStr">
        <is>
          <t>무균-일반제제(방사성의약품)-주사제(주사제)</t>
        </is>
      </c>
      <c r="G459" s="32" t="n">
        <v>46480</v>
      </c>
      <c r="H459">
        <f>IF(COUNTIFS($B$2:B459,B459,$D$2:D459,D459)=1,1,0)</f>
        <v/>
      </c>
      <c r="I459">
        <f>IF(OR(LEFT(F459,2)="무균",ISNUMBER(SEARCH("주사제",F459))),"Y","")</f>
        <v/>
      </c>
      <c r="J459">
        <f>IF(LEFT(F459,2)="생물","Y","")</f>
        <v/>
      </c>
    </row>
    <row r="460">
      <c r="A460" t="inlineStr">
        <is>
          <t>S459</t>
        </is>
      </c>
      <c r="B460" t="inlineStr">
        <is>
          <t>휴온스생명과학</t>
        </is>
      </c>
      <c r="C460" t="inlineStr">
        <is>
          <t>(주)휴온스생명과학</t>
        </is>
      </c>
      <c r="D460" t="inlineStr">
        <is>
          <t>충청북도 청주시 흥덕구 오송읍 오송생명6로 70</t>
        </is>
      </c>
      <c r="E460" t="inlineStr">
        <is>
          <t>완제의약품</t>
        </is>
      </c>
      <c r="F460" t="inlineStr">
        <is>
          <t>비무균-일반제제-내용고형제(정제, 캡슐제)</t>
        </is>
      </c>
      <c r="G460" s="32" t="n">
        <v>46480</v>
      </c>
      <c r="H460">
        <f>IF(COUNTIFS($B$2:B460,B460,$D$2:D460,D460)=1,1,0)</f>
        <v/>
      </c>
      <c r="I460">
        <f>IF(OR(LEFT(F460,2)="무균",ISNUMBER(SEARCH("주사제",F460))),"Y","")</f>
        <v/>
      </c>
      <c r="J460">
        <f>IF(LEFT(F460,2)="생물","Y","")</f>
        <v/>
      </c>
    </row>
    <row r="461">
      <c r="A461" t="inlineStr">
        <is>
          <t>S460</t>
        </is>
      </c>
      <c r="B461" t="inlineStr">
        <is>
          <t>대정화금</t>
        </is>
      </c>
      <c r="C461" t="inlineStr">
        <is>
          <t>대정화금(주)</t>
        </is>
      </c>
      <c r="D461" t="inlineStr">
        <is>
          <t>경기도 시흥시 서해안로 186 (시화공단 1다 107) (정왕동)</t>
        </is>
      </c>
      <c r="E461" t="inlineStr">
        <is>
          <t>원료의약품</t>
        </is>
      </c>
      <c r="F461" t="inlineStr">
        <is>
          <t>비무균-일반제제-(정제(합성에 한함), 정제(발효에 한함)), 비무균-일반제제-소분</t>
        </is>
      </c>
      <c r="G461" s="32" t="n">
        <v>46479</v>
      </c>
      <c r="H461">
        <f>IF(COUNTIFS($B$2:B461,B461,$D$2:D461,D461)=1,1,0)</f>
        <v/>
      </c>
      <c r="I461">
        <f>IF(OR(LEFT(F461,2)="무균",ISNUMBER(SEARCH("주사제",F461))),"Y","")</f>
        <v/>
      </c>
      <c r="J461">
        <f>IF(LEFT(F461,2)="생물","Y","")</f>
        <v/>
      </c>
    </row>
    <row r="462">
      <c r="A462" t="inlineStr">
        <is>
          <t>S461</t>
        </is>
      </c>
      <c r="B462" t="inlineStr">
        <is>
          <t>파마코스텍</t>
        </is>
      </c>
      <c r="C462" t="inlineStr">
        <is>
          <t>(주)파마코스텍</t>
        </is>
      </c>
      <c r="D462" t="inlineStr">
        <is>
          <t>경기도 화성시 만세구 향남읍 제약단지로 47</t>
        </is>
      </c>
      <c r="E462" t="inlineStr">
        <is>
          <t>원료의약품</t>
        </is>
      </c>
      <c r="F462" t="inlineStr">
        <is>
          <t>비무균-일반제제-합성, 비무균-일반제제-정제(합성에 한함)</t>
        </is>
      </c>
      <c r="G462" s="32" t="n">
        <v>46479</v>
      </c>
      <c r="H462">
        <f>IF(COUNTIFS($B$2:B462,B462,$D$2:D462,D462)=1,1,0)</f>
        <v/>
      </c>
      <c r="I462">
        <f>IF(OR(LEFT(F462,2)="무균",ISNUMBER(SEARCH("주사제",F462))),"Y","")</f>
        <v/>
      </c>
      <c r="J462">
        <f>IF(LEFT(F462,2)="생물","Y","")</f>
        <v/>
      </c>
    </row>
    <row r="463">
      <c r="A463" t="inlineStr">
        <is>
          <t>S462</t>
        </is>
      </c>
      <c r="B463" t="inlineStr">
        <is>
          <t>종근당</t>
        </is>
      </c>
      <c r="C463" t="inlineStr">
        <is>
          <t>(주)종근당</t>
        </is>
      </c>
      <c r="D463" t="inlineStr">
        <is>
          <t>충청남도 천안시 서북구 성거읍 망향로 797-46</t>
        </is>
      </c>
      <c r="E463" t="inlineStr">
        <is>
          <t>완제의약품</t>
        </is>
      </c>
      <c r="F463" t="inlineStr">
        <is>
          <t>비무균-페니실린제제-내용고형제(정제, 캡슐제, 시럽제(고형)), 무균-세팔로스포린제제-주사제(분말주사제), 무균-페니실린제제-주사제(분말주사제)</t>
        </is>
      </c>
      <c r="G463" s="32" t="n">
        <v>46474</v>
      </c>
      <c r="H463">
        <f>IF(COUNTIFS($B$2:B463,B463,$D$2:D463,D463)=1,1,0)</f>
        <v/>
      </c>
      <c r="I463">
        <f>IF(OR(LEFT(F463,2)="무균",ISNUMBER(SEARCH("주사제",F463))),"Y","")</f>
        <v/>
      </c>
      <c r="J463">
        <f>IF(LEFT(F463,2)="생물","Y","")</f>
        <v/>
      </c>
    </row>
    <row r="464">
      <c r="A464" t="inlineStr">
        <is>
          <t>S463</t>
        </is>
      </c>
      <c r="B464" t="inlineStr">
        <is>
          <t>광동제약</t>
        </is>
      </c>
      <c r="C464" t="inlineStr">
        <is>
          <t>광동제약(주)</t>
        </is>
      </c>
      <c r="D464" t="inlineStr">
        <is>
          <t>경기도 평택시 산단로 114</t>
        </is>
      </c>
      <c r="E464" t="inlineStr">
        <is>
          <t>완제의약품</t>
        </is>
      </c>
      <c r="F464" t="inlineStr">
        <is>
          <t>비무균-일반제제-내용고형제(정제, 캡슐제, 과립제, 환제), 비무균-일반제제-내용액제(경구용액제, 현탁제, 엑스제(액상))</t>
        </is>
      </c>
      <c r="G464" s="32" t="n">
        <v>46474</v>
      </c>
      <c r="H464">
        <f>IF(COUNTIFS($B$2:B464,B464,$D$2:D464,D464)=1,1,0)</f>
        <v/>
      </c>
      <c r="I464">
        <f>IF(OR(LEFT(F464,2)="무균",ISNUMBER(SEARCH("주사제",F464))),"Y","")</f>
        <v/>
      </c>
      <c r="J464">
        <f>IF(LEFT(F464,2)="생물","Y","")</f>
        <v/>
      </c>
    </row>
    <row r="465">
      <c r="A465" t="inlineStr">
        <is>
          <t>S464</t>
        </is>
      </c>
      <c r="B465" t="inlineStr">
        <is>
          <t>종근당</t>
        </is>
      </c>
      <c r="C465" t="inlineStr">
        <is>
          <t>(주)종근당</t>
        </is>
      </c>
      <c r="D465" t="inlineStr">
        <is>
          <t>충청남도 천안시 서북구 성거읍 망향로 797-48</t>
        </is>
      </c>
      <c r="E465" t="inlineStr">
        <is>
          <t>원료의약품</t>
        </is>
      </c>
      <c r="F465" t="inlineStr">
        <is>
          <t>비무균-일반제제-과립, 생물-유전자재조합의약품-(배양, 정제, 원액 제조)</t>
        </is>
      </c>
      <c r="G465" s="32" t="n">
        <v>46474</v>
      </c>
      <c r="H465">
        <f>IF(COUNTIFS($B$2:B465,B465,$D$2:D465,D465)=1,1,0)</f>
        <v/>
      </c>
      <c r="I465">
        <f>IF(OR(LEFT(F465,2)="무균",ISNUMBER(SEARCH("주사제",F465))),"Y","")</f>
        <v/>
      </c>
      <c r="J465">
        <f>IF(LEFT(F465,2)="생물","Y","")</f>
        <v/>
      </c>
    </row>
    <row r="466">
      <c r="A466" t="inlineStr">
        <is>
          <t>S465</t>
        </is>
      </c>
      <c r="B466" t="inlineStr">
        <is>
          <t>종근당</t>
        </is>
      </c>
      <c r="C466" t="inlineStr">
        <is>
          <t>(주)종근당</t>
        </is>
      </c>
      <c r="D466" t="inlineStr">
        <is>
          <t>충청남도 천안시 서북구 성거읍 망향로 797-48</t>
        </is>
      </c>
      <c r="E466" t="inlineStr">
        <is>
          <t>완제의약품</t>
        </is>
      </c>
      <c r="F466" t="inlineStr">
        <is>
          <t>비무균-일반제제-내용고형제(정제, 캡슐제, 산제, 시럽제(고형)), 무균-세포독성항암제제-주사제(주사제, 동결건조주사제), 생물-유전자재조합의약품-주사제(주사제), 무균-일반제제-점안제(점안제), 비무균-일반제제-내용액제(경구용액제, 시럽제(액상), 현탁제)</t>
        </is>
      </c>
      <c r="G466" s="32" t="n">
        <v>46474</v>
      </c>
      <c r="H466">
        <f>IF(COUNTIFS($B$2:B466,B466,$D$2:D466,D466)=1,1,0)</f>
        <v/>
      </c>
      <c r="I466">
        <f>IF(OR(LEFT(F466,2)="무균",ISNUMBER(SEARCH("주사제",F466))),"Y","")</f>
        <v/>
      </c>
      <c r="J466">
        <f>IF(LEFT(F466,2)="생물","Y","")</f>
        <v/>
      </c>
    </row>
    <row r="467">
      <c r="A467" t="inlineStr">
        <is>
          <t>S466</t>
        </is>
      </c>
      <c r="B467" t="inlineStr">
        <is>
          <t>오스틴제약</t>
        </is>
      </c>
      <c r="C467" t="inlineStr">
        <is>
          <t>오스틴제약(주)</t>
        </is>
      </c>
      <c r="D467" t="inlineStr">
        <is>
          <t>경기도 안산시 단원구 성곡로146번길 20</t>
        </is>
      </c>
      <c r="E467" t="inlineStr">
        <is>
          <t>완제의약품</t>
        </is>
      </c>
      <c r="F467" t="inlineStr">
        <is>
          <t>비무균-일반제제-내용고형제(정제, 캡슐제, 과립제), 비무균-일반제제-연고제(연고제, 크림제, 겔제)</t>
        </is>
      </c>
      <c r="G467" s="32" t="n">
        <v>46473</v>
      </c>
      <c r="H467">
        <f>IF(COUNTIFS($B$2:B467,B467,$D$2:D467,D467)=1,1,0)</f>
        <v/>
      </c>
      <c r="I467">
        <f>IF(OR(LEFT(F467,2)="무균",ISNUMBER(SEARCH("주사제",F467))),"Y","")</f>
        <v/>
      </c>
      <c r="J467">
        <f>IF(LEFT(F467,2)="생물","Y","")</f>
        <v/>
      </c>
    </row>
    <row r="468">
      <c r="A468" t="inlineStr">
        <is>
          <t>S467</t>
        </is>
      </c>
      <c r="B468" t="inlineStr">
        <is>
          <t>세종산업가스</t>
        </is>
      </c>
      <c r="C468" t="inlineStr">
        <is>
          <t>(주)세종산업가스</t>
        </is>
      </c>
      <c r="D468" t="inlineStr">
        <is>
          <t>세종특별자치시 전동면 운주산로 638</t>
        </is>
      </c>
      <c r="E468" t="inlineStr">
        <is>
          <t>완제의약품</t>
        </is>
      </c>
      <c r="F468" t="inlineStr">
        <is>
          <t>비무균-일반제제(의료용 고압가스)-가스제(의료용 고압가스)</t>
        </is>
      </c>
      <c r="G468" s="32" t="n">
        <v>46473</v>
      </c>
      <c r="H468">
        <f>IF(COUNTIFS($B$2:B468,B468,$D$2:D468,D468)=1,1,0)</f>
        <v/>
      </c>
      <c r="I468">
        <f>IF(OR(LEFT(F468,2)="무균",ISNUMBER(SEARCH("주사제",F468))),"Y","")</f>
        <v/>
      </c>
      <c r="J468">
        <f>IF(LEFT(F468,2)="생물","Y","")</f>
        <v/>
      </c>
    </row>
    <row r="469">
      <c r="A469" t="inlineStr">
        <is>
          <t>S468</t>
        </is>
      </c>
      <c r="B469" t="inlineStr">
        <is>
          <t>비알팜</t>
        </is>
      </c>
      <c r="C469" t="inlineStr">
        <is>
          <t>㈜비알팜</t>
        </is>
      </c>
      <c r="D469" t="inlineStr">
        <is>
          <t>강원특별자치도 원주시 지정면 신평로 13 1층 일부(보관소), 2층</t>
        </is>
      </c>
      <c r="E469" t="inlineStr">
        <is>
          <t>원료의약품</t>
        </is>
      </c>
      <c r="F469" t="inlineStr">
        <is>
          <t>비무균-일반제제-추출</t>
        </is>
      </c>
      <c r="G469" s="32" t="n">
        <v>46467</v>
      </c>
      <c r="H469">
        <f>IF(COUNTIFS($B$2:B469,B469,$D$2:D469,D469)=1,1,0)</f>
        <v/>
      </c>
      <c r="I469">
        <f>IF(OR(LEFT(F469,2)="무균",ISNUMBER(SEARCH("주사제",F469))),"Y","")</f>
        <v/>
      </c>
      <c r="J469">
        <f>IF(LEFT(F469,2)="생물","Y","")</f>
        <v/>
      </c>
    </row>
    <row r="470">
      <c r="A470" t="inlineStr">
        <is>
          <t>S469</t>
        </is>
      </c>
      <c r="B470" t="inlineStr">
        <is>
          <t>신일제약</t>
        </is>
      </c>
      <c r="C470" t="inlineStr">
        <is>
          <t>신일제약(주)</t>
        </is>
      </c>
      <c r="D470" t="inlineStr">
        <is>
          <t>충청북도 충주시 앙성면 복상골길 28</t>
        </is>
      </c>
      <c r="E470" t="inlineStr">
        <is>
          <t>완제의약품</t>
        </is>
      </c>
      <c r="F470" t="inlineStr">
        <is>
          <t>비무균-일반제제-내용고형제(정제, 캡슐제, 트로키제, 껌제), 비무균-일반제제-연고제(연고제, 크림제, 리니멘트제(액상,반고형), 겔제), 비무균-일반제제-첩부제(첩부제, 경피흡수제)</t>
        </is>
      </c>
      <c r="G470" s="32" t="n">
        <v>46467</v>
      </c>
      <c r="H470">
        <f>IF(COUNTIFS($B$2:B470,B470,$D$2:D470,D470)=1,1,0)</f>
        <v/>
      </c>
      <c r="I470">
        <f>IF(OR(LEFT(F470,2)="무균",ISNUMBER(SEARCH("주사제",F470))),"Y","")</f>
        <v/>
      </c>
      <c r="J470">
        <f>IF(LEFT(F470,2)="생물","Y","")</f>
        <v/>
      </c>
    </row>
    <row r="471">
      <c r="A471" t="inlineStr">
        <is>
          <t>S470</t>
        </is>
      </c>
      <c r="B471" t="inlineStr">
        <is>
          <t>에스티팜</t>
        </is>
      </c>
      <c r="C471" t="inlineStr">
        <is>
          <t>에스티팜주식회사</t>
        </is>
      </c>
      <c r="D471" t="inlineStr">
        <is>
          <t>경기도 안산시 단원구 해안로 171</t>
        </is>
      </c>
      <c r="E471" t="inlineStr">
        <is>
          <t>원료의약품</t>
        </is>
      </c>
      <c r="F471" t="inlineStr">
        <is>
          <t>비무균-일반제제-합성</t>
        </is>
      </c>
      <c r="G471" s="32" t="n">
        <v>46466</v>
      </c>
      <c r="H471">
        <f>IF(COUNTIFS($B$2:B471,B471,$D$2:D471,D471)=1,1,0)</f>
        <v/>
      </c>
      <c r="I471">
        <f>IF(OR(LEFT(F471,2)="무균",ISNUMBER(SEARCH("주사제",F471))),"Y","")</f>
        <v/>
      </c>
      <c r="J471">
        <f>IF(LEFT(F471,2)="생물","Y","")</f>
        <v/>
      </c>
    </row>
    <row r="472">
      <c r="A472" t="inlineStr">
        <is>
          <t>S471</t>
        </is>
      </c>
      <c r="B472" t="inlineStr">
        <is>
          <t>리독스바이오</t>
        </is>
      </c>
      <c r="C472" t="inlineStr">
        <is>
          <t>(주)리독스바이오</t>
        </is>
      </c>
      <c r="D472" t="inlineStr">
        <is>
          <t>경기도 화성시 만세구 향남읍 제약공단3길 83</t>
        </is>
      </c>
      <c r="E472" t="inlineStr">
        <is>
          <t>원료의약품</t>
        </is>
      </c>
      <c r="F472" t="inlineStr">
        <is>
          <t>비무균-일반제제-합성, 비무균-일반제제-정제(추출에 한함)</t>
        </is>
      </c>
      <c r="G472" s="32" t="n">
        <v>46465</v>
      </c>
      <c r="H472">
        <f>IF(COUNTIFS($B$2:B472,B472,$D$2:D472,D472)=1,1,0)</f>
        <v/>
      </c>
      <c r="I472">
        <f>IF(OR(LEFT(F472,2)="무균",ISNUMBER(SEARCH("주사제",F472))),"Y","")</f>
        <v/>
      </c>
      <c r="J472">
        <f>IF(LEFT(F472,2)="생물","Y","")</f>
        <v/>
      </c>
    </row>
    <row r="473">
      <c r="A473" t="inlineStr">
        <is>
          <t>S472</t>
        </is>
      </c>
      <c r="B473" t="inlineStr">
        <is>
          <t>경진제약</t>
        </is>
      </c>
      <c r="C473" t="inlineStr">
        <is>
          <t>경진제약(주)</t>
        </is>
      </c>
      <c r="D473" t="inlineStr">
        <is>
          <t>경기도 이천시 율면 일생로406번길 6</t>
        </is>
      </c>
      <c r="E473" t="inlineStr">
        <is>
          <t>완제의약품</t>
        </is>
      </c>
      <c r="F473" t="inlineStr">
        <is>
          <t>비무균-일반제제-내용고형제(정제, 캡슐제, 산제, 과립제, 환제), 비무균-일반제제-내용액제(경구용액제)</t>
        </is>
      </c>
      <c r="G473" s="32" t="n">
        <v>46460</v>
      </c>
      <c r="H473">
        <f>IF(COUNTIFS($B$2:B473,B473,$D$2:D473,D473)=1,1,0)</f>
        <v/>
      </c>
      <c r="I473">
        <f>IF(OR(LEFT(F473,2)="무균",ISNUMBER(SEARCH("주사제",F473))),"Y","")</f>
        <v/>
      </c>
      <c r="J473">
        <f>IF(LEFT(F473,2)="생물","Y","")</f>
        <v/>
      </c>
    </row>
    <row r="474">
      <c r="A474" t="inlineStr">
        <is>
          <t>S473</t>
        </is>
      </c>
      <c r="B474" t="inlineStr">
        <is>
          <t>고려제약</t>
        </is>
      </c>
      <c r="C474" t="inlineStr">
        <is>
          <t>고려제약(주)</t>
        </is>
      </c>
      <c r="D474" t="inlineStr">
        <is>
          <t>경기도 이천시 신둔면 원적로 69-10</t>
        </is>
      </c>
      <c r="E474" t="inlineStr">
        <is>
          <t>완제의약품</t>
        </is>
      </c>
      <c r="F474" t="inlineStr">
        <is>
          <t>비무균-일반제제-내용고형제(정제, 캡슐제, 구강붕해정, 츄어블정(저작정)), 비무균-일반제제-내용액제(경구용액제)</t>
        </is>
      </c>
      <c r="G474" s="32" t="n">
        <v>46460</v>
      </c>
      <c r="H474">
        <f>IF(COUNTIFS($B$2:B474,B474,$D$2:D474,D474)=1,1,0)</f>
        <v/>
      </c>
      <c r="I474">
        <f>IF(OR(LEFT(F474,2)="무균",ISNUMBER(SEARCH("주사제",F474))),"Y","")</f>
        <v/>
      </c>
      <c r="J474">
        <f>IF(LEFT(F474,2)="생물","Y","")</f>
        <v/>
      </c>
    </row>
    <row r="475">
      <c r="A475" t="inlineStr">
        <is>
          <t>S474</t>
        </is>
      </c>
      <c r="B475" t="inlineStr">
        <is>
          <t>유니메드제약</t>
        </is>
      </c>
      <c r="C475" t="inlineStr">
        <is>
          <t>유니메드제약(주)</t>
        </is>
      </c>
      <c r="D475" t="inlineStr">
        <is>
          <t>충청북도 청주시 흥덕구 오송읍 오송생명6로 132</t>
        </is>
      </c>
      <c r="E475" t="inlineStr">
        <is>
          <t>완제의약품</t>
        </is>
      </c>
      <c r="F475" t="inlineStr">
        <is>
          <t>무균-일반제제-주사제(주사제), 무균-일반제제-점안제(점안제), 비무균-일반제제-내용액제(경구용액제)</t>
        </is>
      </c>
      <c r="G475" s="32" t="n">
        <v>46458</v>
      </c>
      <c r="H475">
        <f>IF(COUNTIFS($B$2:B475,B475,$D$2:D475,D475)=1,1,0)</f>
        <v/>
      </c>
      <c r="I475">
        <f>IF(OR(LEFT(F475,2)="무균",ISNUMBER(SEARCH("주사제",F475))),"Y","")</f>
        <v/>
      </c>
      <c r="J475">
        <f>IF(LEFT(F475,2)="생물","Y","")</f>
        <v/>
      </c>
    </row>
    <row r="476">
      <c r="A476" t="inlineStr">
        <is>
          <t>S475</t>
        </is>
      </c>
      <c r="B476" t="inlineStr">
        <is>
          <t>태경케미컬</t>
        </is>
      </c>
      <c r="C476" t="inlineStr">
        <is>
          <t>태경케미컬(주)</t>
        </is>
      </c>
      <c r="D476" t="inlineStr">
        <is>
          <t>충청남도 서산시 대산읍 독곶2로 96-43</t>
        </is>
      </c>
      <c r="E476" t="inlineStr">
        <is>
          <t>완제의약품</t>
        </is>
      </c>
      <c r="F476" t="inlineStr">
        <is>
          <t>비무균-일반제제(의료용 고압가스)-가스제(의료용 고압가스)</t>
        </is>
      </c>
      <c r="G476" s="32" t="n">
        <v>46458</v>
      </c>
      <c r="H476">
        <f>IF(COUNTIFS($B$2:B476,B476,$D$2:D476,D476)=1,1,0)</f>
        <v/>
      </c>
      <c r="I476">
        <f>IF(OR(LEFT(F476,2)="무균",ISNUMBER(SEARCH("주사제",F476))),"Y","")</f>
        <v/>
      </c>
      <c r="J476">
        <f>IF(LEFT(F476,2)="생물","Y","")</f>
        <v/>
      </c>
    </row>
    <row r="477">
      <c r="A477" t="inlineStr">
        <is>
          <t>S476</t>
        </is>
      </c>
      <c r="B477" t="inlineStr">
        <is>
          <t>와이에스생명과학</t>
        </is>
      </c>
      <c r="C477" t="inlineStr">
        <is>
          <t>(주)와이에스생명과학</t>
        </is>
      </c>
      <c r="D477" t="inlineStr">
        <is>
          <t>경기도 이천시 모가면 공원로 133-1</t>
        </is>
      </c>
      <c r="E477" t="inlineStr">
        <is>
          <t>완제의약품</t>
        </is>
      </c>
      <c r="F477" t="inlineStr">
        <is>
          <t>비무균-일반제제-내용고형제(정제)</t>
        </is>
      </c>
      <c r="G477" s="32" t="n">
        <v>46456</v>
      </c>
      <c r="H477">
        <f>IF(COUNTIFS($B$2:B477,B477,$D$2:D477,D477)=1,1,0)</f>
        <v/>
      </c>
      <c r="I477">
        <f>IF(OR(LEFT(F477,2)="무균",ISNUMBER(SEARCH("주사제",F477))),"Y","")</f>
        <v/>
      </c>
      <c r="J477">
        <f>IF(LEFT(F477,2)="생물","Y","")</f>
        <v/>
      </c>
    </row>
    <row r="478">
      <c r="A478" t="inlineStr">
        <is>
          <t>S477</t>
        </is>
      </c>
      <c r="B478" t="inlineStr">
        <is>
          <t>대봉엘에스</t>
        </is>
      </c>
      <c r="C478" t="inlineStr">
        <is>
          <t>대봉엘에스(주)</t>
        </is>
      </c>
      <c r="D478" t="inlineStr">
        <is>
          <t>인천광역시 남동구 능허대로649번길 123 122B-9L</t>
        </is>
      </c>
      <c r="E478" t="inlineStr">
        <is>
          <t>원료의약품</t>
        </is>
      </c>
      <c r="F478" t="inlineStr">
        <is>
          <t>비무균-일반제제-합성, 비무균-일반제제-(정제(합성에 한함), 정제(발효에 한함), 정제(추출에 한함)), 비무균-일반제제-소분</t>
        </is>
      </c>
      <c r="G478" s="32" t="n">
        <v>46453</v>
      </c>
      <c r="H478">
        <f>IF(COUNTIFS($B$2:B478,B478,$D$2:D478,D478)=1,1,0)</f>
        <v/>
      </c>
      <c r="I478">
        <f>IF(OR(LEFT(F478,2)="무균",ISNUMBER(SEARCH("주사제",F478))),"Y","")</f>
        <v/>
      </c>
      <c r="J478">
        <f>IF(LEFT(F478,2)="생물","Y","")</f>
        <v/>
      </c>
    </row>
    <row r="479">
      <c r="A479" t="inlineStr">
        <is>
          <t>S478</t>
        </is>
      </c>
      <c r="B479" t="inlineStr">
        <is>
          <t>코스맥스파마</t>
        </is>
      </c>
      <c r="C479" t="inlineStr">
        <is>
          <t>코스맥스파마(주)</t>
        </is>
      </c>
      <c r="D479" t="inlineStr">
        <is>
          <t>충청북도 제천시 바이오밸리3로 30 일부</t>
        </is>
      </c>
      <c r="E479" t="inlineStr">
        <is>
          <t>완제의약품</t>
        </is>
      </c>
      <c r="F479" t="inlineStr">
        <is>
          <t>비무균-일반제제-내용고형제(캡슐제)</t>
        </is>
      </c>
      <c r="G479" s="32" t="n">
        <v>46452</v>
      </c>
      <c r="H479">
        <f>IF(COUNTIFS($B$2:B479,B479,$D$2:D479,D479)=1,1,0)</f>
        <v/>
      </c>
      <c r="I479">
        <f>IF(OR(LEFT(F479,2)="무균",ISNUMBER(SEARCH("주사제",F479))),"Y","")</f>
        <v/>
      </c>
      <c r="J479">
        <f>IF(LEFT(F479,2)="생물","Y","")</f>
        <v/>
      </c>
    </row>
    <row r="480">
      <c r="A480" t="inlineStr">
        <is>
          <t>S479</t>
        </is>
      </c>
      <c r="B480" t="inlineStr">
        <is>
          <t>에스케이에어플러스</t>
        </is>
      </c>
      <c r="C480" t="inlineStr">
        <is>
          <t>에스케이에어플러스 주식회사</t>
        </is>
      </c>
      <c r="D480" t="inlineStr">
        <is>
          <t>울산광역시 남구 처용로 72</t>
        </is>
      </c>
      <c r="E480" t="inlineStr">
        <is>
          <t>완제의약품</t>
        </is>
      </c>
      <c r="F480" t="inlineStr">
        <is>
          <t>비무균-일반제제(의료용 고압가스)-가스제(의료용 고압가스)</t>
        </is>
      </c>
      <c r="G480" s="32" t="n">
        <v>46452</v>
      </c>
      <c r="H480">
        <f>IF(COUNTIFS($B$2:B480,B480,$D$2:D480,D480)=1,1,0)</f>
        <v/>
      </c>
      <c r="I480">
        <f>IF(OR(LEFT(F480,2)="무균",ISNUMBER(SEARCH("주사제",F480))),"Y","")</f>
        <v/>
      </c>
      <c r="J480">
        <f>IF(LEFT(F480,2)="생물","Y","")</f>
        <v/>
      </c>
    </row>
    <row r="481">
      <c r="A481" t="inlineStr">
        <is>
          <t>S480</t>
        </is>
      </c>
      <c r="B481" t="inlineStr">
        <is>
          <t>테고사이언스</t>
        </is>
      </c>
      <c r="C481" t="inlineStr">
        <is>
          <t>테고사이언스(주)</t>
        </is>
      </c>
      <c r="D481" t="inlineStr">
        <is>
          <t>서울특별시 강서구 마곡중앙8로 93</t>
        </is>
      </c>
      <c r="E481" t="inlineStr">
        <is>
          <t>완제의약품</t>
        </is>
      </c>
      <c r="F481" t="inlineStr">
        <is>
          <t>생물-세포치료제-주사제(첨단바이오의약품)(주사제), 생물-세포치료제-첩부제(첨단바이오의약품)(카타플라스마제)</t>
        </is>
      </c>
      <c r="G481" s="32" t="n">
        <v>46452</v>
      </c>
      <c r="H481">
        <f>IF(COUNTIFS($B$2:B481,B481,$D$2:D481,D481)=1,1,0)</f>
        <v/>
      </c>
      <c r="I481">
        <f>IF(OR(LEFT(F481,2)="무균",ISNUMBER(SEARCH("주사제",F481))),"Y","")</f>
        <v/>
      </c>
      <c r="J481">
        <f>IF(LEFT(F481,2)="생물","Y","")</f>
        <v/>
      </c>
    </row>
    <row r="482">
      <c r="A482" t="inlineStr">
        <is>
          <t>S481</t>
        </is>
      </c>
      <c r="B482" t="inlineStr">
        <is>
          <t>코오롱제약</t>
        </is>
      </c>
      <c r="C482" t="inlineStr">
        <is>
          <t>코오롱제약(주)</t>
        </is>
      </c>
      <c r="D482" t="inlineStr">
        <is>
          <t>대전광역시 대덕구 문평서로18번길 45</t>
        </is>
      </c>
      <c r="E482" t="inlineStr">
        <is>
          <t>완제의약품</t>
        </is>
      </c>
      <c r="F482" t="inlineStr">
        <is>
          <t>비무균-일반제제-내용고형제(정제, 캡슐제, 과립제, 시럽제(고형)), 비무균-일반제제-내용액제(시럽제(액상), 현탁제)</t>
        </is>
      </c>
      <c r="G482" s="32" t="n">
        <v>46446</v>
      </c>
      <c r="H482">
        <f>IF(COUNTIFS($B$2:B482,B482,$D$2:D482,D482)=1,1,0)</f>
        <v/>
      </c>
      <c r="I482">
        <f>IF(OR(LEFT(F482,2)="무균",ISNUMBER(SEARCH("주사제",F482))),"Y","")</f>
        <v/>
      </c>
      <c r="J482">
        <f>IF(LEFT(F482,2)="생물","Y","")</f>
        <v/>
      </c>
    </row>
    <row r="483">
      <c r="A483" t="inlineStr">
        <is>
          <t>S482</t>
        </is>
      </c>
      <c r="B483" t="inlineStr">
        <is>
          <t>지엘파마</t>
        </is>
      </c>
      <c r="C483" t="inlineStr">
        <is>
          <t>지엘파마(주)</t>
        </is>
      </c>
      <c r="D483" t="inlineStr">
        <is>
          <t>경기도 안양시 만안구 시민대로 35</t>
        </is>
      </c>
      <c r="E483" t="inlineStr">
        <is>
          <t>완제의약품</t>
        </is>
      </c>
      <c r="F483" t="inlineStr">
        <is>
          <t>비무균-일반제제-내용고형제(정제, 캡슐제, 과립제), 비무균-성호르몬제-내용고형제(정제)</t>
        </is>
      </c>
      <c r="G483" s="32" t="n">
        <v>46445</v>
      </c>
      <c r="H483">
        <f>IF(COUNTIFS($B$2:B483,B483,$D$2:D483,D483)=1,1,0)</f>
        <v/>
      </c>
      <c r="I483">
        <f>IF(OR(LEFT(F483,2)="무균",ISNUMBER(SEARCH("주사제",F483))),"Y","")</f>
        <v/>
      </c>
      <c r="J483">
        <f>IF(LEFT(F483,2)="생물","Y","")</f>
        <v/>
      </c>
    </row>
    <row r="484">
      <c r="A484" t="inlineStr">
        <is>
          <t>S483</t>
        </is>
      </c>
      <c r="B484" t="inlineStr">
        <is>
          <t>우진비앤지</t>
        </is>
      </c>
      <c r="C484" t="inlineStr">
        <is>
          <t>우진비앤지(주)</t>
        </is>
      </c>
      <c r="D484" t="inlineStr">
        <is>
          <t>경기도 화성시 양감면 정문송산로 230</t>
        </is>
      </c>
      <c r="E484" t="inlineStr">
        <is>
          <t>원료의약품</t>
        </is>
      </c>
      <c r="F484" t="inlineStr">
        <is>
          <t>비무균-일반제제-발효</t>
        </is>
      </c>
      <c r="G484" s="32" t="n">
        <v>46445</v>
      </c>
      <c r="H484">
        <f>IF(COUNTIFS($B$2:B484,B484,$D$2:D484,D484)=1,1,0)</f>
        <v/>
      </c>
      <c r="I484">
        <f>IF(OR(LEFT(F484,2)="무균",ISNUMBER(SEARCH("주사제",F484))),"Y","")</f>
        <v/>
      </c>
      <c r="J484">
        <f>IF(LEFT(F484,2)="생물","Y","")</f>
        <v/>
      </c>
    </row>
    <row r="485">
      <c r="A485" t="inlineStr">
        <is>
          <t>S484</t>
        </is>
      </c>
      <c r="B485" t="inlineStr">
        <is>
          <t>녹십자</t>
        </is>
      </c>
      <c r="C485" t="inlineStr">
        <is>
          <t>(주)녹십자</t>
        </is>
      </c>
      <c r="D485" t="inlineStr">
        <is>
          <t>충청북도 음성군 금왕읍 무극로65번길 26</t>
        </is>
      </c>
      <c r="E485" t="inlineStr">
        <is>
          <t>완제의약품</t>
        </is>
      </c>
      <c r="F485" t="inlineStr">
        <is>
          <t>비무균-일반제제-내용고형제(정제, 캡슐제), 비무균-일반제제-연고제(연고제, 크림제, 리니멘트제(액상,반고형)), 비무균-일반제제-첩부제(첩부제, 카타플라스마제)</t>
        </is>
      </c>
      <c r="G485" s="32" t="n">
        <v>46445</v>
      </c>
      <c r="H485">
        <f>IF(COUNTIFS($B$2:B485,B485,$D$2:D485,D485)=1,1,0)</f>
        <v/>
      </c>
      <c r="I485">
        <f>IF(OR(LEFT(F485,2)="무균",ISNUMBER(SEARCH("주사제",F485))),"Y","")</f>
        <v/>
      </c>
      <c r="J485">
        <f>IF(LEFT(F485,2)="생물","Y","")</f>
        <v/>
      </c>
    </row>
    <row r="486">
      <c r="A486" t="inlineStr">
        <is>
          <t>S485</t>
        </is>
      </c>
      <c r="B486" t="inlineStr">
        <is>
          <t>씨엠지제약</t>
        </is>
      </c>
      <c r="C486" t="inlineStr">
        <is>
          <t>(주)씨엠지제약</t>
        </is>
      </c>
      <c r="D486" t="inlineStr">
        <is>
          <t>경기도 시흥시 공단1대로27번길 27</t>
        </is>
      </c>
      <c r="E486" t="inlineStr">
        <is>
          <t>완제의약품</t>
        </is>
      </c>
      <c r="F486" t="inlineStr">
        <is>
          <t>비무균-일반제제-내용고형제(정제, 캡슐제, 구강용해필름)</t>
        </is>
      </c>
      <c r="G486" s="32" t="n">
        <v>46439</v>
      </c>
      <c r="H486">
        <f>IF(COUNTIFS($B$2:B486,B486,$D$2:D486,D486)=1,1,0)</f>
        <v/>
      </c>
      <c r="I486">
        <f>IF(OR(LEFT(F486,2)="무균",ISNUMBER(SEARCH("주사제",F486))),"Y","")</f>
        <v/>
      </c>
      <c r="J486">
        <f>IF(LEFT(F486,2)="생물","Y","")</f>
        <v/>
      </c>
    </row>
    <row r="487">
      <c r="A487" t="inlineStr">
        <is>
          <t>S486</t>
        </is>
      </c>
      <c r="B487" t="inlineStr">
        <is>
          <t>제일제약</t>
        </is>
      </c>
      <c r="C487" t="inlineStr">
        <is>
          <t>(주)제일제약</t>
        </is>
      </c>
      <c r="D487" t="inlineStr">
        <is>
          <t>대구광역시 달서구 성서로 18-29 대천동</t>
        </is>
      </c>
      <c r="E487" t="inlineStr">
        <is>
          <t>완제의약품</t>
        </is>
      </c>
      <c r="F487" t="inlineStr">
        <is>
          <t>무균-일반제제-주사제(주사제)</t>
        </is>
      </c>
      <c r="G487" s="32" t="n">
        <v>46433</v>
      </c>
      <c r="H487">
        <f>IF(COUNTIFS($B$2:B487,B487,$D$2:D487,D487)=1,1,0)</f>
        <v/>
      </c>
      <c r="I487">
        <f>IF(OR(LEFT(F487,2)="무균",ISNUMBER(SEARCH("주사제",F487))),"Y","")</f>
        <v/>
      </c>
      <c r="J487">
        <f>IF(LEFT(F487,2)="생물","Y","")</f>
        <v/>
      </c>
    </row>
    <row r="488">
      <c r="A488" t="inlineStr">
        <is>
          <t>S487</t>
        </is>
      </c>
      <c r="B488" t="inlineStr">
        <is>
          <t>와이에스생명과학</t>
        </is>
      </c>
      <c r="C488" t="inlineStr">
        <is>
          <t>(주)와이에스생명과학</t>
        </is>
      </c>
      <c r="D488" t="inlineStr">
        <is>
          <t>경기도 화성시 만세구 장안면 수정로 207</t>
        </is>
      </c>
      <c r="E488" t="inlineStr">
        <is>
          <t>원료의약품</t>
        </is>
      </c>
      <c r="F488" t="inlineStr">
        <is>
          <t>비무균-일반제제-합성</t>
        </is>
      </c>
      <c r="G488" s="32" t="n">
        <v>46433</v>
      </c>
      <c r="H488">
        <f>IF(COUNTIFS($B$2:B488,B488,$D$2:D488,D488)=1,1,0)</f>
        <v/>
      </c>
      <c r="I488">
        <f>IF(OR(LEFT(F488,2)="무균",ISNUMBER(SEARCH("주사제",F488))),"Y","")</f>
        <v/>
      </c>
      <c r="J488">
        <f>IF(LEFT(F488,2)="생물","Y","")</f>
        <v/>
      </c>
    </row>
    <row r="489">
      <c r="A489" t="inlineStr">
        <is>
          <t>S488</t>
        </is>
      </c>
      <c r="B489" t="inlineStr">
        <is>
          <t>코리아에어텍</t>
        </is>
      </c>
      <c r="C489" t="inlineStr">
        <is>
          <t>주식회사 코리아에어텍</t>
        </is>
      </c>
      <c r="D489" t="inlineStr">
        <is>
          <t>울산광역시 울주군 온산읍 온산로 134</t>
        </is>
      </c>
      <c r="E489" t="inlineStr">
        <is>
          <t>완제의약품</t>
        </is>
      </c>
      <c r="F489" t="inlineStr">
        <is>
          <t>비무균-일반제제(의료용 고압가스)-가스제(의료용 고압가스)</t>
        </is>
      </c>
      <c r="G489" s="32" t="n">
        <v>46425</v>
      </c>
      <c r="H489">
        <f>IF(COUNTIFS($B$2:B489,B489,$D$2:D489,D489)=1,1,0)</f>
        <v/>
      </c>
      <c r="I489">
        <f>IF(OR(LEFT(F489,2)="무균",ISNUMBER(SEARCH("주사제",F489))),"Y","")</f>
        <v/>
      </c>
      <c r="J489">
        <f>IF(LEFT(F489,2)="생물","Y","")</f>
        <v/>
      </c>
    </row>
    <row r="490">
      <c r="A490" t="inlineStr">
        <is>
          <t>S489</t>
        </is>
      </c>
      <c r="B490" t="inlineStr">
        <is>
          <t>엔지켐생명과학</t>
        </is>
      </c>
      <c r="C490" t="inlineStr">
        <is>
          <t>(주)엔지켐생명과학</t>
        </is>
      </c>
      <c r="D490" t="inlineStr">
        <is>
          <t>충청북도 제천시 바이오밸리로 59</t>
        </is>
      </c>
      <c r="E490" t="inlineStr">
        <is>
          <t>원료의약품</t>
        </is>
      </c>
      <c r="F490" t="inlineStr">
        <is>
          <t>비무균-일반제제-합성</t>
        </is>
      </c>
      <c r="G490" s="32" t="n">
        <v>46425</v>
      </c>
      <c r="H490">
        <f>IF(COUNTIFS($B$2:B490,B490,$D$2:D490,D490)=1,1,0)</f>
        <v/>
      </c>
      <c r="I490">
        <f>IF(OR(LEFT(F490,2)="무균",ISNUMBER(SEARCH("주사제",F490))),"Y","")</f>
        <v/>
      </c>
      <c r="J490">
        <f>IF(LEFT(F490,2)="생물","Y","")</f>
        <v/>
      </c>
    </row>
    <row r="491">
      <c r="A491" t="inlineStr">
        <is>
          <t>S490</t>
        </is>
      </c>
      <c r="B491" t="inlineStr">
        <is>
          <t>씨티씨바이오</t>
        </is>
      </c>
      <c r="C491" t="inlineStr">
        <is>
          <t>(주)씨티씨바이오</t>
        </is>
      </c>
      <c r="D491" t="inlineStr">
        <is>
          <t>경기도 안산시 단원구 강촌로 228-16</t>
        </is>
      </c>
      <c r="E491" t="inlineStr">
        <is>
          <t>완제의약품</t>
        </is>
      </c>
      <c r="F491" t="inlineStr">
        <is>
          <t>비무균-일반제제-내용고형제(정제, 산제, 구강용해필름)</t>
        </is>
      </c>
      <c r="G491" s="32" t="n">
        <v>46424</v>
      </c>
      <c r="H491">
        <f>IF(COUNTIFS($B$2:B491,B491,$D$2:D491,D491)=1,1,0)</f>
        <v/>
      </c>
      <c r="I491">
        <f>IF(OR(LEFT(F491,2)="무균",ISNUMBER(SEARCH("주사제",F491))),"Y","")</f>
        <v/>
      </c>
      <c r="J491">
        <f>IF(LEFT(F491,2)="생물","Y","")</f>
        <v/>
      </c>
    </row>
    <row r="492">
      <c r="A492" t="inlineStr">
        <is>
          <t>S491</t>
        </is>
      </c>
      <c r="B492" t="inlineStr">
        <is>
          <t>한국비엠아이</t>
        </is>
      </c>
      <c r="C492" t="inlineStr">
        <is>
          <t>(주)한국비엠아이</t>
        </is>
      </c>
      <c r="D492" t="inlineStr">
        <is>
          <t>충청북도 청주시 흥덕구 오송읍 오송생명14로 90</t>
        </is>
      </c>
      <c r="E492" t="inlineStr">
        <is>
          <t>원료의약품</t>
        </is>
      </c>
      <c r="F492" t="inlineStr">
        <is>
          <t>생물-유전자재조합의약품-(배양, 정제, 바이러스불활화, 원액 제조)</t>
        </is>
      </c>
      <c r="G492" s="32" t="n">
        <v>46424</v>
      </c>
      <c r="H492">
        <f>IF(COUNTIFS($B$2:B492,B492,$D$2:D492,D492)=1,1,0)</f>
        <v/>
      </c>
      <c r="I492">
        <f>IF(OR(LEFT(F492,2)="무균",ISNUMBER(SEARCH("주사제",F492))),"Y","")</f>
        <v/>
      </c>
      <c r="J492">
        <f>IF(LEFT(F492,2)="생물","Y","")</f>
        <v/>
      </c>
    </row>
    <row r="493">
      <c r="A493" t="inlineStr">
        <is>
          <t>S492</t>
        </is>
      </c>
      <c r="B493" t="inlineStr">
        <is>
          <t>유니온산업가스</t>
        </is>
      </c>
      <c r="C493" t="inlineStr">
        <is>
          <t>유니온산업가스(주)</t>
        </is>
      </c>
      <c r="D493" t="inlineStr">
        <is>
          <t>경기도 화성시 정남면 시청로 1732-69</t>
        </is>
      </c>
      <c r="E493" t="inlineStr">
        <is>
          <t>완제의약품</t>
        </is>
      </c>
      <c r="F493" t="inlineStr">
        <is>
          <t>비무균-일반제제(의료용 고압가스)-가스제(의료용 고압가스)</t>
        </is>
      </c>
      <c r="G493" s="32" t="n">
        <v>46424</v>
      </c>
      <c r="H493">
        <f>IF(COUNTIFS($B$2:B493,B493,$D$2:D493,D493)=1,1,0)</f>
        <v/>
      </c>
      <c r="I493">
        <f>IF(OR(LEFT(F493,2)="무균",ISNUMBER(SEARCH("주사제",F493))),"Y","")</f>
        <v/>
      </c>
      <c r="J493">
        <f>IF(LEFT(F493,2)="생물","Y","")</f>
        <v/>
      </c>
    </row>
    <row r="494">
      <c r="A494" t="inlineStr">
        <is>
          <t>S493</t>
        </is>
      </c>
      <c r="B494" t="inlineStr">
        <is>
          <t>알리코제약</t>
        </is>
      </c>
      <c r="C494" t="inlineStr">
        <is>
          <t>알리코제약(주)</t>
        </is>
      </c>
      <c r="D494" t="inlineStr">
        <is>
          <t>충청북도 진천군 광혜원면 용소2길 21</t>
        </is>
      </c>
      <c r="E494" t="inlineStr">
        <is>
          <t>완제의약품</t>
        </is>
      </c>
      <c r="F494" t="inlineStr">
        <is>
          <t>비무균-일반제제-내용고형제(정제, 캡슐제), 비무균-일반제제-연고제(연고제, 크림제, 겔제)</t>
        </is>
      </c>
      <c r="G494" s="32" t="n">
        <v>46424</v>
      </c>
      <c r="H494">
        <f>IF(COUNTIFS($B$2:B494,B494,$D$2:D494,D494)=1,1,0)</f>
        <v/>
      </c>
      <c r="I494">
        <f>IF(OR(LEFT(F494,2)="무균",ISNUMBER(SEARCH("주사제",F494))),"Y","")</f>
        <v/>
      </c>
      <c r="J494">
        <f>IF(LEFT(F494,2)="생물","Y","")</f>
        <v/>
      </c>
    </row>
    <row r="495">
      <c r="A495" t="inlineStr">
        <is>
          <t>S494</t>
        </is>
      </c>
      <c r="B495" t="inlineStr">
        <is>
          <t>성원애드콕제약</t>
        </is>
      </c>
      <c r="C495" t="inlineStr">
        <is>
          <t>성원애드콕제약(주)</t>
        </is>
      </c>
      <c r="D495" t="inlineStr">
        <is>
          <t>경기도 김포시 양촌읍 김포대로1644번길 54</t>
        </is>
      </c>
      <c r="E495" t="inlineStr">
        <is>
          <t>완제의약품</t>
        </is>
      </c>
      <c r="F495" t="inlineStr">
        <is>
          <t>비무균-일반제제-내용고형제(정제, 캡슐제)</t>
        </is>
      </c>
      <c r="G495" s="32" t="n">
        <v>46424</v>
      </c>
      <c r="H495">
        <f>IF(COUNTIFS($B$2:B495,B495,$D$2:D495,D495)=1,1,0)</f>
        <v/>
      </c>
      <c r="I495">
        <f>IF(OR(LEFT(F495,2)="무균",ISNUMBER(SEARCH("주사제",F495))),"Y","")</f>
        <v/>
      </c>
      <c r="J495">
        <f>IF(LEFT(F495,2)="생물","Y","")</f>
        <v/>
      </c>
    </row>
    <row r="496">
      <c r="A496" t="inlineStr">
        <is>
          <t>S495</t>
        </is>
      </c>
      <c r="B496" t="inlineStr">
        <is>
          <t>제이더블유중외제약</t>
        </is>
      </c>
      <c r="C496" t="inlineStr">
        <is>
          <t>제이더블유중외제약(주)</t>
        </is>
      </c>
      <c r="D496" t="inlineStr">
        <is>
          <t>충청남도 당진시 송악읍 한진1길 56</t>
        </is>
      </c>
      <c r="E496" t="inlineStr">
        <is>
          <t>완제의약품</t>
        </is>
      </c>
      <c r="F496" t="inlineStr">
        <is>
          <t>비무균-일반제제-내용고형제(정제, 캡슐제, 구강붕해정), 무균-일반제제-주사제(주사제, 분말주사제), 무균-일반제제-점안제(점안제), 비무균-일반제제-내용액제(경구용액제, 시럽제(액상), 현탁제), 무균-카바페넴제제-주사제(분말주사제), 생물-유전자재조합의약품-주사제(동결건조주사제)</t>
        </is>
      </c>
      <c r="G496" s="32" t="n">
        <v>46419</v>
      </c>
      <c r="H496">
        <f>IF(COUNTIFS($B$2:B496,B496,$D$2:D496,D496)=1,1,0)</f>
        <v/>
      </c>
      <c r="I496">
        <f>IF(OR(LEFT(F496,2)="무균",ISNUMBER(SEARCH("주사제",F496))),"Y","")</f>
        <v/>
      </c>
      <c r="J496">
        <f>IF(LEFT(F496,2)="생물","Y","")</f>
        <v/>
      </c>
    </row>
    <row r="497">
      <c r="A497" t="inlineStr">
        <is>
          <t>S496</t>
        </is>
      </c>
      <c r="B497" t="inlineStr">
        <is>
          <t>(재)전남바이오진흥원그린바이오본부천연센터</t>
        </is>
      </c>
      <c r="C497" t="inlineStr">
        <is>
          <t>(재)전남바이오진흥원 그린바이오본부 천연센터</t>
        </is>
      </c>
      <c r="D497" t="inlineStr">
        <is>
          <t>전라남도 화순군 화순읍 산단길 100-1 천연물의약품원료플랜트</t>
        </is>
      </c>
      <c r="E497" t="inlineStr">
        <is>
          <t>원료의약품</t>
        </is>
      </c>
      <c r="F497" t="inlineStr">
        <is>
          <t>비무균-일반제제-추출</t>
        </is>
      </c>
      <c r="G497" s="32" t="n">
        <v>46418</v>
      </c>
      <c r="H497">
        <f>IF(COUNTIFS($B$2:B497,B497,$D$2:D497,D497)=1,1,0)</f>
        <v/>
      </c>
      <c r="I497">
        <f>IF(OR(LEFT(F497,2)="무균",ISNUMBER(SEARCH("주사제",F497))),"Y","")</f>
        <v/>
      </c>
      <c r="J497">
        <f>IF(LEFT(F497,2)="생물","Y","")</f>
        <v/>
      </c>
    </row>
    <row r="498">
      <c r="A498" t="inlineStr">
        <is>
          <t>S497</t>
        </is>
      </c>
      <c r="B498" t="inlineStr">
        <is>
          <t>삼정바이오솔루션</t>
        </is>
      </c>
      <c r="C498" t="inlineStr">
        <is>
          <t>삼정바이오솔루션(주)</t>
        </is>
      </c>
      <c r="D498" t="inlineStr">
        <is>
          <t>경기도 화성시 양감면 개월안길 110-26</t>
        </is>
      </c>
      <c r="E498" t="inlineStr">
        <is>
          <t>완제의약품</t>
        </is>
      </c>
      <c r="F498" t="inlineStr">
        <is>
          <t>비무균-일반제제(의료용 고압가스)-가스제(의료용 고압가스)</t>
        </is>
      </c>
      <c r="G498" s="32" t="n">
        <v>46417</v>
      </c>
      <c r="H498">
        <f>IF(COUNTIFS($B$2:B498,B498,$D$2:D498,D498)=1,1,0)</f>
        <v/>
      </c>
      <c r="I498">
        <f>IF(OR(LEFT(F498,2)="무균",ISNUMBER(SEARCH("주사제",F498))),"Y","")</f>
        <v/>
      </c>
      <c r="J498">
        <f>IF(LEFT(F498,2)="생물","Y","")</f>
        <v/>
      </c>
    </row>
    <row r="499">
      <c r="A499" t="inlineStr">
        <is>
          <t>S498</t>
        </is>
      </c>
      <c r="B499" t="inlineStr">
        <is>
          <t>듀켐바이오</t>
        </is>
      </c>
      <c r="C499" t="inlineStr">
        <is>
          <t>(주)듀켐바이오</t>
        </is>
      </c>
      <c r="D499" t="inlineStr">
        <is>
          <t>경기도 수원시 영통구 월드컵로 164 아주대학교병원 지하 2층 일부 싸이클로트론센터</t>
        </is>
      </c>
      <c r="E499" t="inlineStr">
        <is>
          <t>완제의약품</t>
        </is>
      </c>
      <c r="F499" t="inlineStr">
        <is>
          <t>무균-일반제제(방사성의약품)-주사제(주사제)</t>
        </is>
      </c>
      <c r="G499" s="32" t="n">
        <v>46417</v>
      </c>
      <c r="H499">
        <f>IF(COUNTIFS($B$2:B499,B499,$D$2:D499,D499)=1,1,0)</f>
        <v/>
      </c>
      <c r="I499">
        <f>IF(OR(LEFT(F499,2)="무균",ISNUMBER(SEARCH("주사제",F499))),"Y","")</f>
        <v/>
      </c>
      <c r="J499">
        <f>IF(LEFT(F499,2)="생물","Y","")</f>
        <v/>
      </c>
    </row>
    <row r="500">
      <c r="A500" t="inlineStr">
        <is>
          <t>S499</t>
        </is>
      </c>
      <c r="B500" t="inlineStr">
        <is>
          <t>한국백신</t>
        </is>
      </c>
      <c r="C500" t="inlineStr">
        <is>
          <t>(주)한국백신</t>
        </is>
      </c>
      <c r="D500" t="inlineStr">
        <is>
          <t>경기도 안산시 단원구 목내로 128</t>
        </is>
      </c>
      <c r="E500" t="inlineStr">
        <is>
          <t>완제의약품</t>
        </is>
      </c>
      <c r="F500" t="inlineStr">
        <is>
          <t>생물-백신-주사제(주사제)</t>
        </is>
      </c>
      <c r="G500" s="32" t="n">
        <v>46412</v>
      </c>
      <c r="H500">
        <f>IF(COUNTIFS($B$2:B500,B500,$D$2:D500,D500)=1,1,0)</f>
        <v/>
      </c>
      <c r="I500">
        <f>IF(OR(LEFT(F500,2)="무균",ISNUMBER(SEARCH("주사제",F500))),"Y","")</f>
        <v/>
      </c>
      <c r="J500">
        <f>IF(LEFT(F500,2)="생물","Y","")</f>
        <v/>
      </c>
    </row>
    <row r="501">
      <c r="A501" t="inlineStr">
        <is>
          <t>S500</t>
        </is>
      </c>
      <c r="B501" t="inlineStr">
        <is>
          <t>부광약품</t>
        </is>
      </c>
      <c r="C501" t="inlineStr">
        <is>
          <t>부광약품(주)</t>
        </is>
      </c>
      <c r="D501" t="inlineStr">
        <is>
          <t>경기도 안산시 단원구 능안로 47</t>
        </is>
      </c>
      <c r="E501" t="inlineStr">
        <is>
          <t>완제의약품</t>
        </is>
      </c>
      <c r="F501" t="inlineStr">
        <is>
          <t>비무균-일반제제-내용고형제(정제, 캡슐제, 과립제), 무균-일반제제-주사제(주사제), 비무균-일반제제-내용액제(시럽제(액상), 현탁제), 비무균-일반제제-외용액제(외용액제, 점비액제), 비무균-일반제제-연고제(연고제, 크림제, 겔제)</t>
        </is>
      </c>
      <c r="G501" s="32" t="n">
        <v>46412</v>
      </c>
      <c r="H501">
        <f>IF(COUNTIFS($B$2:B501,B501,$D$2:D501,D501)=1,1,0)</f>
        <v/>
      </c>
      <c r="I501">
        <f>IF(OR(LEFT(F501,2)="무균",ISNUMBER(SEARCH("주사제",F501))),"Y","")</f>
        <v/>
      </c>
      <c r="J501">
        <f>IF(LEFT(F501,2)="생물","Y","")</f>
        <v/>
      </c>
    </row>
    <row r="502">
      <c r="A502" t="inlineStr">
        <is>
          <t>S501</t>
        </is>
      </c>
      <c r="B502" t="inlineStr">
        <is>
          <t>메딕스제약</t>
        </is>
      </c>
      <c r="C502" t="inlineStr">
        <is>
          <t>메딕스제약(주)</t>
        </is>
      </c>
      <c r="D502" t="inlineStr">
        <is>
          <t>전북특별자치도 완주군 봉동읍 완주산단6로 170</t>
        </is>
      </c>
      <c r="E502" t="inlineStr">
        <is>
          <t>완제의약품</t>
        </is>
      </c>
      <c r="F502" t="inlineStr">
        <is>
          <t>비무균-일반제제-내용고형제(정제, 캡슐제)</t>
        </is>
      </c>
      <c r="G502" s="32" t="n">
        <v>46405</v>
      </c>
      <c r="H502">
        <f>IF(COUNTIFS($B$2:B502,B502,$D$2:D502,D502)=1,1,0)</f>
        <v/>
      </c>
      <c r="I502">
        <f>IF(OR(LEFT(F502,2)="무균",ISNUMBER(SEARCH("주사제",F502))),"Y","")</f>
        <v/>
      </c>
      <c r="J502">
        <f>IF(LEFT(F502,2)="생물","Y","")</f>
        <v/>
      </c>
    </row>
    <row r="503">
      <c r="A503" t="inlineStr">
        <is>
          <t>S502</t>
        </is>
      </c>
      <c r="B503" t="inlineStr">
        <is>
          <t>한국유나이티드제약</t>
        </is>
      </c>
      <c r="C503" t="inlineStr">
        <is>
          <t>한국유나이티드제약(주)</t>
        </is>
      </c>
      <c r="D503" t="inlineStr">
        <is>
          <t>세종특별자치시 연서면 공단로 107</t>
        </is>
      </c>
      <c r="E503" t="inlineStr">
        <is>
          <t>완제의약품</t>
        </is>
      </c>
      <c r="F503" t="inlineStr">
        <is>
          <t>비무균-일반제제-내용고형제(흡입분말제), 무균-세포독성항암제제-주사제(주사제, 분말주사제, 동결건조주사제), 비무균-세포독성항암제제-내용고형제(정제, 캡슐제)</t>
        </is>
      </c>
      <c r="G503" s="32" t="n">
        <v>46404</v>
      </c>
      <c r="H503">
        <f>IF(COUNTIFS($B$2:B503,B503,$D$2:D503,D503)=1,1,0)</f>
        <v/>
      </c>
      <c r="I503">
        <f>IF(OR(LEFT(F503,2)="무균",ISNUMBER(SEARCH("주사제",F503))),"Y","")</f>
        <v/>
      </c>
      <c r="J503">
        <f>IF(LEFT(F503,2)="생물","Y","")</f>
        <v/>
      </c>
    </row>
    <row r="504">
      <c r="A504" t="inlineStr">
        <is>
          <t>S503</t>
        </is>
      </c>
      <c r="B504" t="inlineStr">
        <is>
          <t>한국유나이티드제약</t>
        </is>
      </c>
      <c r="C504" t="inlineStr">
        <is>
          <t>한국유나이티드제약(주)</t>
        </is>
      </c>
      <c r="D504" t="inlineStr">
        <is>
          <t>세종특별자치시 전동면 노장공단길 25-23</t>
        </is>
      </c>
      <c r="E504" t="inlineStr">
        <is>
          <t>완제의약품</t>
        </is>
      </c>
      <c r="F504" t="inlineStr">
        <is>
          <t>비무균-일반제제-내용고형제(정제, 캡슐제), 무균-일반제제-주사제(주사제, 분말주사제, 동결건조주사제)</t>
        </is>
      </c>
      <c r="G504" s="32" t="n">
        <v>46404</v>
      </c>
      <c r="H504">
        <f>IF(COUNTIFS($B$2:B504,B504,$D$2:D504,D504)=1,1,0)</f>
        <v/>
      </c>
      <c r="I504">
        <f>IF(OR(LEFT(F504,2)="무균",ISNUMBER(SEARCH("주사제",F504))),"Y","")</f>
        <v/>
      </c>
      <c r="J504">
        <f>IF(LEFT(F504,2)="생물","Y","")</f>
        <v/>
      </c>
    </row>
    <row r="505">
      <c r="A505" t="inlineStr">
        <is>
          <t>S504</t>
        </is>
      </c>
      <c r="B505" t="inlineStr">
        <is>
          <t>경방신약</t>
        </is>
      </c>
      <c r="C505" t="inlineStr">
        <is>
          <t>경방신약(주)</t>
        </is>
      </c>
      <c r="D505" t="inlineStr">
        <is>
          <t>인천광역시 남동구 남동대로 394</t>
        </is>
      </c>
      <c r="E505" t="inlineStr">
        <is>
          <t>완제의약품</t>
        </is>
      </c>
      <c r="F505" t="inlineStr">
        <is>
          <t>비무균-일반제제-내용고형제(정제, 캡슐제, 산제, 과립제, 환제)</t>
        </is>
      </c>
      <c r="G505" s="32" t="n">
        <v>46404</v>
      </c>
      <c r="H505">
        <f>IF(COUNTIFS($B$2:B505,B505,$D$2:D505,D505)=1,1,0)</f>
        <v/>
      </c>
      <c r="I505">
        <f>IF(OR(LEFT(F505,2)="무균",ISNUMBER(SEARCH("주사제",F505))),"Y","")</f>
        <v/>
      </c>
      <c r="J505">
        <f>IF(LEFT(F505,2)="생물","Y","")</f>
        <v/>
      </c>
    </row>
    <row r="506">
      <c r="A506" t="inlineStr">
        <is>
          <t>S505</t>
        </is>
      </c>
      <c r="B506" t="inlineStr">
        <is>
          <t>태광산업가스</t>
        </is>
      </c>
      <c r="C506" t="inlineStr">
        <is>
          <t>태광산업가스(주)</t>
        </is>
      </c>
      <c r="D506" t="inlineStr">
        <is>
          <t>경기도 이천시 진상미로 2315</t>
        </is>
      </c>
      <c r="E506" t="inlineStr">
        <is>
          <t>완제의약품</t>
        </is>
      </c>
      <c r="F506" t="inlineStr">
        <is>
          <t>비무균-일반제제(의료용 고압가스)-가스제(의료용 고압가스)</t>
        </is>
      </c>
      <c r="G506" s="32" t="n">
        <v>46402</v>
      </c>
      <c r="H506">
        <f>IF(COUNTIFS($B$2:B506,B506,$D$2:D506,D506)=1,1,0)</f>
        <v/>
      </c>
      <c r="I506">
        <f>IF(OR(LEFT(F506,2)="무균",ISNUMBER(SEARCH("주사제",F506))),"Y","")</f>
        <v/>
      </c>
      <c r="J506">
        <f>IF(LEFT(F506,2)="생물","Y","")</f>
        <v/>
      </c>
    </row>
    <row r="507">
      <c r="A507" t="inlineStr">
        <is>
          <t>S506</t>
        </is>
      </c>
      <c r="B507" t="inlineStr">
        <is>
          <t>국립암센터</t>
        </is>
      </c>
      <c r="C507" t="inlineStr">
        <is>
          <t>국립암센터</t>
        </is>
      </c>
      <c r="D507" t="inlineStr">
        <is>
          <t>경기도 고양시 일산동구 일산로 323</t>
        </is>
      </c>
      <c r="E507" t="inlineStr">
        <is>
          <t>완제의약품</t>
        </is>
      </c>
      <c r="F507" t="inlineStr">
        <is>
          <t>무균-일반제제(방사성의약품)-주사제(주사제)</t>
        </is>
      </c>
      <c r="G507" s="32" t="n">
        <v>46398</v>
      </c>
      <c r="H507">
        <f>IF(COUNTIFS($B$2:B507,B507,$D$2:D507,D507)=1,1,0)</f>
        <v/>
      </c>
      <c r="I507">
        <f>IF(OR(LEFT(F507,2)="무균",ISNUMBER(SEARCH("주사제",F507))),"Y","")</f>
        <v/>
      </c>
      <c r="J507">
        <f>IF(LEFT(F507,2)="생물","Y","")</f>
        <v/>
      </c>
    </row>
    <row r="508">
      <c r="A508" t="inlineStr">
        <is>
          <t>S507</t>
        </is>
      </c>
      <c r="B508" t="inlineStr">
        <is>
          <t>휴온스</t>
        </is>
      </c>
      <c r="C508" t="inlineStr">
        <is>
          <t>(주)휴온스</t>
        </is>
      </c>
      <c r="D508" t="inlineStr">
        <is>
          <t>충청북도 제천시 바이오밸리로 100</t>
        </is>
      </c>
      <c r="E508" t="inlineStr">
        <is>
          <t>완제의약품</t>
        </is>
      </c>
      <c r="F508" t="inlineStr">
        <is>
          <t>비무균-일반제제-내용고형제(정제, 캡슐제, 츄어블정(저작정)), 무균-일반제제-주사제(주사제, 관류제), 무균-일반제제-점안제(점안제)</t>
        </is>
      </c>
      <c r="G508" s="32" t="n">
        <v>46377</v>
      </c>
      <c r="H508">
        <f>IF(COUNTIFS($B$2:B508,B508,$D$2:D508,D508)=1,1,0)</f>
        <v/>
      </c>
      <c r="I508">
        <f>IF(OR(LEFT(F508,2)="무균",ISNUMBER(SEARCH("주사제",F508))),"Y","")</f>
        <v/>
      </c>
      <c r="J508">
        <f>IF(LEFT(F508,2)="생물","Y","")</f>
        <v/>
      </c>
    </row>
    <row r="509">
      <c r="A509" t="inlineStr">
        <is>
          <t>S508</t>
        </is>
      </c>
      <c r="B509" t="inlineStr">
        <is>
          <t>노바엠헬스케어</t>
        </is>
      </c>
      <c r="C509" t="inlineStr">
        <is>
          <t>주식회사 노바엠헬스케어</t>
        </is>
      </c>
      <c r="D509" t="inlineStr">
        <is>
          <t>경상북도 경산시 하양읍 지식산업4로 16-53</t>
        </is>
      </c>
      <c r="E509" t="inlineStr">
        <is>
          <t>완제의약품</t>
        </is>
      </c>
      <c r="F509" t="inlineStr">
        <is>
          <t>비무균-일반제제-내용고형제(정제, 캡슐제)</t>
        </is>
      </c>
      <c r="G509" s="32" t="n">
        <v>46376</v>
      </c>
      <c r="H509">
        <f>IF(COUNTIFS($B$2:B509,B509,$D$2:D509,D509)=1,1,0)</f>
        <v/>
      </c>
      <c r="I509">
        <f>IF(OR(LEFT(F509,2)="무균",ISNUMBER(SEARCH("주사제",F509))),"Y","")</f>
        <v/>
      </c>
      <c r="J509">
        <f>IF(LEFT(F509,2)="생물","Y","")</f>
        <v/>
      </c>
    </row>
    <row r="510">
      <c r="A510" t="inlineStr">
        <is>
          <t>S509</t>
        </is>
      </c>
      <c r="B510" t="inlineStr">
        <is>
          <t>신라충전소</t>
        </is>
      </c>
      <c r="C510" t="inlineStr">
        <is>
          <t>(주)신라충전소</t>
        </is>
      </c>
      <c r="D510" t="inlineStr">
        <is>
          <t>경상북도 구미시 장천면 낙동대로 832</t>
        </is>
      </c>
      <c r="E510" t="inlineStr">
        <is>
          <t>완제의약품</t>
        </is>
      </c>
      <c r="F510" t="inlineStr">
        <is>
          <t>비무균-일반제제(의료용 고압가스)-가스제(의료용 고압가스), 비무균-일반제제(의료용 고압가스)-그 밖의 액제(흡입제(액상))</t>
        </is>
      </c>
      <c r="G510" s="32" t="n">
        <v>46370</v>
      </c>
      <c r="H510">
        <f>IF(COUNTIFS($B$2:B510,B510,$D$2:D510,D510)=1,1,0)</f>
        <v/>
      </c>
      <c r="I510">
        <f>IF(OR(LEFT(F510,2)="무균",ISNUMBER(SEARCH("주사제",F510))),"Y","")</f>
        <v/>
      </c>
      <c r="J510">
        <f>IF(LEFT(F510,2)="생물","Y","")</f>
        <v/>
      </c>
    </row>
    <row r="511">
      <c r="A511" t="inlineStr">
        <is>
          <t>S510</t>
        </is>
      </c>
      <c r="B511" t="inlineStr">
        <is>
          <t>펜믹스</t>
        </is>
      </c>
      <c r="C511" t="inlineStr">
        <is>
          <t>(주)펜믹스</t>
        </is>
      </c>
      <c r="D511" t="inlineStr">
        <is>
          <t>충청남도 천안시 서북구 직산읍 거리막길 33</t>
        </is>
      </c>
      <c r="E511" t="inlineStr">
        <is>
          <t>완제의약품</t>
        </is>
      </c>
      <c r="F511" t="inlineStr">
        <is>
          <t>무균-일반제제-주사제(주사제, 동결건조주사제), 무균-페니실린제제-주사제(분말주사제, 동결건조주사제), 비무균-페니실린제제-내용고형제(정제, 시럽제(고형))</t>
        </is>
      </c>
      <c r="G511" s="32" t="n">
        <v>46369</v>
      </c>
      <c r="H511">
        <f>IF(COUNTIFS($B$2:B511,B511,$D$2:D511,D511)=1,1,0)</f>
        <v/>
      </c>
      <c r="I511">
        <f>IF(OR(LEFT(F511,2)="무균",ISNUMBER(SEARCH("주사제",F511))),"Y","")</f>
        <v/>
      </c>
      <c r="J511">
        <f>IF(LEFT(F511,2)="생물","Y","")</f>
        <v/>
      </c>
    </row>
    <row r="512">
      <c r="A512" t="inlineStr">
        <is>
          <t>S511</t>
        </is>
      </c>
      <c r="B512" t="inlineStr">
        <is>
          <t>코아팜바이오</t>
        </is>
      </c>
      <c r="C512" t="inlineStr">
        <is>
          <t>(주)코아팜바이오</t>
        </is>
      </c>
      <c r="D512" t="inlineStr">
        <is>
          <t>충청북도 청주시 흥덕구 오송읍 오송생명14로 5</t>
        </is>
      </c>
      <c r="E512" t="inlineStr">
        <is>
          <t>완제의약품</t>
        </is>
      </c>
      <c r="F512" t="inlineStr">
        <is>
          <t>비무균-일반제제-내용고형제(정제, 산제)</t>
        </is>
      </c>
      <c r="G512" s="32" t="n">
        <v>46369</v>
      </c>
      <c r="H512">
        <f>IF(COUNTIFS($B$2:B512,B512,$D$2:D512,D512)=1,1,0)</f>
        <v/>
      </c>
      <c r="I512">
        <f>IF(OR(LEFT(F512,2)="무균",ISNUMBER(SEARCH("주사제",F512))),"Y","")</f>
        <v/>
      </c>
      <c r="J512">
        <f>IF(LEFT(F512,2)="생물","Y","")</f>
        <v/>
      </c>
    </row>
    <row r="513">
      <c r="A513" t="inlineStr">
        <is>
          <t>S512</t>
        </is>
      </c>
      <c r="B513" t="inlineStr">
        <is>
          <t>휴온스바이오파마</t>
        </is>
      </c>
      <c r="C513" t="inlineStr">
        <is>
          <t>(주)휴온스바이오파마</t>
        </is>
      </c>
      <c r="D513" t="inlineStr">
        <is>
          <t>충청북도 제천시 바이오밸리2로 50</t>
        </is>
      </c>
      <c r="E513" t="inlineStr">
        <is>
          <t>완제의약품</t>
        </is>
      </c>
      <c r="F513" t="inlineStr">
        <is>
          <t>생물-독소-주사제(주사제)</t>
        </is>
      </c>
      <c r="G513" s="32" t="n">
        <v>46362</v>
      </c>
      <c r="H513">
        <f>IF(COUNTIFS($B$2:B513,B513,$D$2:D513,D513)=1,1,0)</f>
        <v/>
      </c>
      <c r="I513">
        <f>IF(OR(LEFT(F513,2)="무균",ISNUMBER(SEARCH("주사제",F513))),"Y","")</f>
        <v/>
      </c>
      <c r="J513">
        <f>IF(LEFT(F513,2)="생물","Y","")</f>
        <v/>
      </c>
    </row>
    <row r="514">
      <c r="A514" t="inlineStr">
        <is>
          <t>S513</t>
        </is>
      </c>
      <c r="B514" t="inlineStr">
        <is>
          <t>휴온스바이오파마</t>
        </is>
      </c>
      <c r="C514" t="inlineStr">
        <is>
          <t>(주)휴온스바이오파마</t>
        </is>
      </c>
      <c r="D514" t="inlineStr">
        <is>
          <t>충청북도 제천시 바이오밸리2로 50</t>
        </is>
      </c>
      <c r="E514" t="inlineStr">
        <is>
          <t>원료의약품</t>
        </is>
      </c>
      <c r="F514" t="inlineStr">
        <is>
          <t>생물-독소-(배양, 정제, 원액 제조)</t>
        </is>
      </c>
      <c r="G514" s="32" t="n">
        <v>46362</v>
      </c>
      <c r="H514">
        <f>IF(COUNTIFS($B$2:B514,B514,$D$2:D514,D514)=1,1,0)</f>
        <v/>
      </c>
      <c r="I514">
        <f>IF(OR(LEFT(F514,2)="무균",ISNUMBER(SEARCH("주사제",F514))),"Y","")</f>
        <v/>
      </c>
      <c r="J514">
        <f>IF(LEFT(F514,2)="생물","Y","")</f>
        <v/>
      </c>
    </row>
    <row r="515">
      <c r="A515" t="inlineStr">
        <is>
          <t>S514</t>
        </is>
      </c>
      <c r="B515" t="inlineStr">
        <is>
          <t>녹십자</t>
        </is>
      </c>
      <c r="C515" t="inlineStr">
        <is>
          <t>(주)녹십자</t>
        </is>
      </c>
      <c r="D515" t="inlineStr">
        <is>
          <t>전라남도 화순군 화순읍 산단길 40</t>
        </is>
      </c>
      <c r="E515" t="inlineStr">
        <is>
          <t>원료의약품</t>
        </is>
      </c>
      <c r="F515" t="inlineStr">
        <is>
          <t>생물-백신-(배양, 정제, 바이러스불활화, 원액 제조)</t>
        </is>
      </c>
      <c r="G515" s="32" t="n">
        <v>46356</v>
      </c>
      <c r="H515">
        <f>IF(COUNTIFS($B$2:B515,B515,$D$2:D515,D515)=1,1,0)</f>
        <v/>
      </c>
      <c r="I515">
        <f>IF(OR(LEFT(F515,2)="무균",ISNUMBER(SEARCH("주사제",F515))),"Y","")</f>
        <v/>
      </c>
      <c r="J515">
        <f>IF(LEFT(F515,2)="생물","Y","")</f>
        <v/>
      </c>
    </row>
    <row r="516">
      <c r="A516" t="inlineStr">
        <is>
          <t>S515</t>
        </is>
      </c>
      <c r="B516" t="inlineStr">
        <is>
          <t>녹십자</t>
        </is>
      </c>
      <c r="C516" t="inlineStr">
        <is>
          <t>(주)녹십자</t>
        </is>
      </c>
      <c r="D516" t="inlineStr">
        <is>
          <t>전라남도 화순군 화순읍 산단길 40</t>
        </is>
      </c>
      <c r="E516" t="inlineStr">
        <is>
          <t>완제의약품</t>
        </is>
      </c>
      <c r="F516" t="inlineStr">
        <is>
          <t>생물-백신-주사제(주사제)</t>
        </is>
      </c>
      <c r="G516" s="32" t="n">
        <v>46356</v>
      </c>
      <c r="H516">
        <f>IF(COUNTIFS($B$2:B516,B516,$D$2:D516,D516)=1,1,0)</f>
        <v/>
      </c>
      <c r="I516">
        <f>IF(OR(LEFT(F516,2)="무균",ISNUMBER(SEARCH("주사제",F516))),"Y","")</f>
        <v/>
      </c>
      <c r="J516">
        <f>IF(LEFT(F516,2)="생물","Y","")</f>
        <v/>
      </c>
    </row>
    <row r="517">
      <c r="A517" t="inlineStr">
        <is>
          <t>S516</t>
        </is>
      </c>
      <c r="B517" t="inlineStr">
        <is>
          <t>셀트리온제약</t>
        </is>
      </c>
      <c r="C517" t="inlineStr">
        <is>
          <t>(주)셀트리온제약</t>
        </is>
      </c>
      <c r="D517" t="inlineStr">
        <is>
          <t>충청북도 청주시 청원구 오창읍 2산단로 82</t>
        </is>
      </c>
      <c r="E517" t="inlineStr">
        <is>
          <t>완제의약품</t>
        </is>
      </c>
      <c r="F517" t="inlineStr">
        <is>
          <t>비무균-일반제제-내용고형제(정제, 캡슐제)</t>
        </is>
      </c>
      <c r="G517" s="32" t="n">
        <v>46355</v>
      </c>
      <c r="H517">
        <f>IF(COUNTIFS($B$2:B517,B517,$D$2:D517,D517)=1,1,0)</f>
        <v/>
      </c>
      <c r="I517">
        <f>IF(OR(LEFT(F517,2)="무균",ISNUMBER(SEARCH("주사제",F517))),"Y","")</f>
        <v/>
      </c>
      <c r="J517">
        <f>IF(LEFT(F517,2)="생물","Y","")</f>
        <v/>
      </c>
    </row>
    <row r="518">
      <c r="A518" t="inlineStr">
        <is>
          <t>S517</t>
        </is>
      </c>
      <c r="B518" t="inlineStr">
        <is>
          <t>신풍제약</t>
        </is>
      </c>
      <c r="C518" t="inlineStr">
        <is>
          <t>신풍제약(주)</t>
        </is>
      </c>
      <c r="D518" t="inlineStr">
        <is>
          <t>경기도 안산시 단원구 산단로19번길 70</t>
        </is>
      </c>
      <c r="E518" t="inlineStr">
        <is>
          <t>원료의약품</t>
        </is>
      </c>
      <c r="F518" t="inlineStr">
        <is>
          <t>비무균-일반제제-합성</t>
        </is>
      </c>
      <c r="G518" s="32" t="n">
        <v>46349</v>
      </c>
      <c r="H518">
        <f>IF(COUNTIFS($B$2:B518,B518,$D$2:D518,D518)=1,1,0)</f>
        <v/>
      </c>
      <c r="I518">
        <f>IF(OR(LEFT(F518,2)="무균",ISNUMBER(SEARCH("주사제",F518))),"Y","")</f>
        <v/>
      </c>
      <c r="J518">
        <f>IF(LEFT(F518,2)="생물","Y","")</f>
        <v/>
      </c>
    </row>
    <row r="519">
      <c r="A519" t="inlineStr">
        <is>
          <t>S518</t>
        </is>
      </c>
      <c r="B519" t="inlineStr">
        <is>
          <t>비보존제약</t>
        </is>
      </c>
      <c r="C519" t="inlineStr">
        <is>
          <t>(주)비보존제약</t>
        </is>
      </c>
      <c r="D519" t="inlineStr">
        <is>
          <t>경기도 화성시 만세구 향남읍 제약공단2길 34-40</t>
        </is>
      </c>
      <c r="E519" t="inlineStr">
        <is>
          <t>완제의약품</t>
        </is>
      </c>
      <c r="F519" t="inlineStr">
        <is>
          <t>비무균-일반제제-내용고형제(정제, 캡슐제, 시럽제(고형)), 비무균-일반제제-내용액제(경구용액제, 시럽제(액상)), 비무균-일반제제-연고제(연고제, 크림제, 겔제)</t>
        </is>
      </c>
      <c r="G519" s="32" t="n">
        <v>46349</v>
      </c>
      <c r="H519">
        <f>IF(COUNTIFS($B$2:B519,B519,$D$2:D519,D519)=1,1,0)</f>
        <v/>
      </c>
      <c r="I519">
        <f>IF(OR(LEFT(F519,2)="무균",ISNUMBER(SEARCH("주사제",F519))),"Y","")</f>
        <v/>
      </c>
      <c r="J519">
        <f>IF(LEFT(F519,2)="생물","Y","")</f>
        <v/>
      </c>
    </row>
    <row r="520">
      <c r="A520" t="inlineStr">
        <is>
          <t>S519</t>
        </is>
      </c>
      <c r="B520" t="inlineStr">
        <is>
          <t>에스케이플라즈마</t>
        </is>
      </c>
      <c r="C520" t="inlineStr">
        <is>
          <t>에스케이플라즈마(주)</t>
        </is>
      </c>
      <c r="D520" t="inlineStr">
        <is>
          <t>경상북도 안동시 풍산읍 산업단지길 157</t>
        </is>
      </c>
      <c r="E520" t="inlineStr">
        <is>
          <t>원료의약품</t>
        </is>
      </c>
      <c r="F520" t="inlineStr">
        <is>
          <t>생물-혈장분획제제-(정제, 바이러스불활화, 원액 제조)</t>
        </is>
      </c>
      <c r="G520" s="32" t="n">
        <v>46349</v>
      </c>
      <c r="H520">
        <f>IF(COUNTIFS($B$2:B520,B520,$D$2:D520,D520)=1,1,0)</f>
        <v/>
      </c>
      <c r="I520">
        <f>IF(OR(LEFT(F520,2)="무균",ISNUMBER(SEARCH("주사제",F520))),"Y","")</f>
        <v/>
      </c>
      <c r="J520">
        <f>IF(LEFT(F520,2)="생물","Y","")</f>
        <v/>
      </c>
    </row>
    <row r="521">
      <c r="A521" t="inlineStr">
        <is>
          <t>S520</t>
        </is>
      </c>
      <c r="B521" t="inlineStr">
        <is>
          <t>에스케이플라즈마</t>
        </is>
      </c>
      <c r="C521" t="inlineStr">
        <is>
          <t>에스케이플라즈마(주)</t>
        </is>
      </c>
      <c r="D521" t="inlineStr">
        <is>
          <t>경상북도 안동시 풍산읍 산업단지길 157</t>
        </is>
      </c>
      <c r="E521" t="inlineStr">
        <is>
          <t>완제의약품</t>
        </is>
      </c>
      <c r="F521" t="inlineStr">
        <is>
          <t>생물-혈장분획제제-주사제(주사제)</t>
        </is>
      </c>
      <c r="G521" s="32" t="n">
        <v>46349</v>
      </c>
      <c r="H521">
        <f>IF(COUNTIFS($B$2:B521,B521,$D$2:D521,D521)=1,1,0)</f>
        <v/>
      </c>
      <c r="I521">
        <f>IF(OR(LEFT(F521,2)="무균",ISNUMBER(SEARCH("주사제",F521))),"Y","")</f>
        <v/>
      </c>
      <c r="J521">
        <f>IF(LEFT(F521,2)="생물","Y","")</f>
        <v/>
      </c>
    </row>
    <row r="522">
      <c r="A522" t="inlineStr">
        <is>
          <t>S521</t>
        </is>
      </c>
      <c r="B522" t="inlineStr">
        <is>
          <t>신풍제약</t>
        </is>
      </c>
      <c r="C522" t="inlineStr">
        <is>
          <t>신풍제약(주)</t>
        </is>
      </c>
      <c r="D522" t="inlineStr">
        <is>
          <t>경기도 안산시 단원구 산단로19번길 70</t>
        </is>
      </c>
      <c r="E522" t="inlineStr">
        <is>
          <t>완제의약품</t>
        </is>
      </c>
      <c r="F522" t="inlineStr">
        <is>
          <t>비무균-일반제제-내용고형제(정제, 과립제), 무균-페니실린제제-주사제(주사제), 비무균-페니실린제제-내용고형제(정제, 시럽제(고형))</t>
        </is>
      </c>
      <c r="G522" s="32" t="n">
        <v>46349</v>
      </c>
      <c r="H522">
        <f>IF(COUNTIFS($B$2:B522,B522,$D$2:D522,D522)=1,1,0)</f>
        <v/>
      </c>
      <c r="I522">
        <f>IF(OR(LEFT(F522,2)="무균",ISNUMBER(SEARCH("주사제",F522))),"Y","")</f>
        <v/>
      </c>
      <c r="J522">
        <f>IF(LEFT(F522,2)="생물","Y","")</f>
        <v/>
      </c>
    </row>
    <row r="523">
      <c r="A523" t="inlineStr">
        <is>
          <t>S522</t>
        </is>
      </c>
      <c r="B523" t="inlineStr">
        <is>
          <t>삼현제약</t>
        </is>
      </c>
      <c r="C523" t="inlineStr">
        <is>
          <t>주식회사삼현제약</t>
        </is>
      </c>
      <c r="D523" t="inlineStr">
        <is>
          <t>인천광역시 강화군 하점면 강화대로967번길 22 1층 일부, 2층(시험실)</t>
        </is>
      </c>
      <c r="E523" t="inlineStr">
        <is>
          <t>완제의약품</t>
        </is>
      </c>
      <c r="F523" t="inlineStr">
        <is>
          <t>외용액제(외용액제)</t>
        </is>
      </c>
      <c r="G523" s="32" t="n">
        <v>46346</v>
      </c>
      <c r="H523">
        <f>IF(COUNTIFS($B$2:B523,B523,$D$2:D523,D523)=1,1,0)</f>
        <v/>
      </c>
      <c r="I523">
        <f>IF(OR(LEFT(F523,2)="무균",ISNUMBER(SEARCH("주사제",F523))),"Y","")</f>
        <v/>
      </c>
      <c r="J523">
        <f>IF(LEFT(F523,2)="생물","Y","")</f>
        <v/>
      </c>
    </row>
    <row r="524">
      <c r="A524" t="inlineStr">
        <is>
          <t>S523</t>
        </is>
      </c>
      <c r="B524" t="inlineStr">
        <is>
          <t>대화제약</t>
        </is>
      </c>
      <c r="C524" t="inlineStr">
        <is>
          <t>대화제약(주)</t>
        </is>
      </c>
      <c r="D524" t="inlineStr">
        <is>
          <t>강원특별자치도 횡성군 횡성읍 한우로 495</t>
        </is>
      </c>
      <c r="E524" t="inlineStr">
        <is>
          <t>완제의약품</t>
        </is>
      </c>
      <c r="F524" t="inlineStr">
        <is>
          <t>비무균-일반제제-내용고형제(정제, 캡슐제, 구강용해필름), 비무균-일반제제-연고제(연고제, 크림제, 겔제), 비무균-일반제제-첩부제(첩부제, 카타플라스마제, 경피흡수제), 비무균-세포독성항암제제-내용액제(경구용액제)</t>
        </is>
      </c>
      <c r="G524" s="32" t="n">
        <v>46342</v>
      </c>
      <c r="H524">
        <f>IF(COUNTIFS($B$2:B524,B524,$D$2:D524,D524)=1,1,0)</f>
        <v/>
      </c>
      <c r="I524">
        <f>IF(OR(LEFT(F524,2)="무균",ISNUMBER(SEARCH("주사제",F524))),"Y","")</f>
        <v/>
      </c>
      <c r="J524">
        <f>IF(LEFT(F524,2)="생물","Y","")</f>
        <v/>
      </c>
    </row>
    <row r="525">
      <c r="A525" t="inlineStr">
        <is>
          <t>S524</t>
        </is>
      </c>
      <c r="B525" t="inlineStr">
        <is>
          <t>성이바이오제약</t>
        </is>
      </c>
      <c r="C525" t="inlineStr">
        <is>
          <t>성이바이오제약주식회사</t>
        </is>
      </c>
      <c r="D525" t="inlineStr">
        <is>
          <t>강원특별자치도 원주시 지정면 지래울로 184 1층 일부, 3층</t>
        </is>
      </c>
      <c r="E525" t="inlineStr">
        <is>
          <t>완제의약품</t>
        </is>
      </c>
      <c r="F525" t="inlineStr">
        <is>
          <t>비무균-일반제제-내용고형제(정제, 캡슐제)</t>
        </is>
      </c>
      <c r="G525" s="32" t="n">
        <v>46341</v>
      </c>
      <c r="H525">
        <f>IF(COUNTIFS($B$2:B525,B525,$D$2:D525,D525)=1,1,0)</f>
        <v/>
      </c>
      <c r="I525">
        <f>IF(OR(LEFT(F525,2)="무균",ISNUMBER(SEARCH("주사제",F525))),"Y","")</f>
        <v/>
      </c>
      <c r="J525">
        <f>IF(LEFT(F525,2)="생물","Y","")</f>
        <v/>
      </c>
    </row>
    <row r="526">
      <c r="A526" t="inlineStr">
        <is>
          <t>S525</t>
        </is>
      </c>
      <c r="B526" t="inlineStr">
        <is>
          <t>서울제약</t>
        </is>
      </c>
      <c r="C526" t="inlineStr">
        <is>
          <t>(주)서울제약</t>
        </is>
      </c>
      <c r="D526" t="inlineStr">
        <is>
          <t>충청북도 청주시 흥덕구 오송읍 오송생명6로 124-31</t>
        </is>
      </c>
      <c r="E526" t="inlineStr">
        <is>
          <t>완제의약품</t>
        </is>
      </c>
      <c r="F526" t="inlineStr">
        <is>
          <t>비무균-일반제제-내용고형제(정제, 캡슐제, 과립제, 구강용해필름)</t>
        </is>
      </c>
      <c r="G526" s="32" t="n">
        <v>46340</v>
      </c>
      <c r="H526">
        <f>IF(COUNTIFS($B$2:B526,B526,$D$2:D526,D526)=1,1,0)</f>
        <v/>
      </c>
      <c r="I526">
        <f>IF(OR(LEFT(F526,2)="무균",ISNUMBER(SEARCH("주사제",F526))),"Y","")</f>
        <v/>
      </c>
      <c r="J526">
        <f>IF(LEFT(F526,2)="생물","Y","")</f>
        <v/>
      </c>
    </row>
    <row r="527">
      <c r="A527" t="inlineStr">
        <is>
          <t>S526</t>
        </is>
      </c>
      <c r="B527" t="inlineStr">
        <is>
          <t>피에스지</t>
        </is>
      </c>
      <c r="C527" t="inlineStr">
        <is>
          <t>(주)피에스지</t>
        </is>
      </c>
      <c r="D527" t="inlineStr">
        <is>
          <t>부산광역시 영도구 해양로135번길 11</t>
        </is>
      </c>
      <c r="E527" t="inlineStr">
        <is>
          <t>완제의약품</t>
        </is>
      </c>
      <c r="F527" t="inlineStr">
        <is>
          <t>비무균-일반제제(의료용 고압가스)-가스제(의료용 고압가스)</t>
        </is>
      </c>
      <c r="G527" s="32" t="n">
        <v>46339</v>
      </c>
      <c r="H527">
        <f>IF(COUNTIFS($B$2:B527,B527,$D$2:D527,D527)=1,1,0)</f>
        <v/>
      </c>
      <c r="I527">
        <f>IF(OR(LEFT(F527,2)="무균",ISNUMBER(SEARCH("주사제",F527))),"Y","")</f>
        <v/>
      </c>
      <c r="J527">
        <f>IF(LEFT(F527,2)="생물","Y","")</f>
        <v/>
      </c>
    </row>
    <row r="528">
      <c r="A528" t="inlineStr">
        <is>
          <t>S527</t>
        </is>
      </c>
      <c r="B528" t="inlineStr">
        <is>
          <t>위지피제약</t>
        </is>
      </c>
      <c r="C528" t="inlineStr">
        <is>
          <t>주식회사위지피제약</t>
        </is>
      </c>
      <c r="D528" t="inlineStr">
        <is>
          <t>경기도 시흥시 소망공원로 213 1층 일부, 2층 일부</t>
        </is>
      </c>
      <c r="E528" t="inlineStr">
        <is>
          <t>완제의약품</t>
        </is>
      </c>
      <c r="F528" t="inlineStr">
        <is>
          <t>비무균-일반제제-외용액제(외용액제)</t>
        </is>
      </c>
      <c r="G528" s="32" t="n">
        <v>46334</v>
      </c>
      <c r="H528">
        <f>IF(COUNTIFS($B$2:B528,B528,$D$2:D528,D528)=1,1,0)</f>
        <v/>
      </c>
      <c r="I528">
        <f>IF(OR(LEFT(F528,2)="무균",ISNUMBER(SEARCH("주사제",F528))),"Y","")</f>
        <v/>
      </c>
      <c r="J528">
        <f>IF(LEFT(F528,2)="생물","Y","")</f>
        <v/>
      </c>
    </row>
    <row r="529">
      <c r="A529" t="inlineStr">
        <is>
          <t>S528</t>
        </is>
      </c>
      <c r="B529" t="inlineStr">
        <is>
          <t>삼양바이오팜</t>
        </is>
      </c>
      <c r="C529" t="inlineStr">
        <is>
          <t>(주)삼양바이오팜</t>
        </is>
      </c>
      <c r="D529" t="inlineStr">
        <is>
          <t>대전광역시 대덕구 신일동로 79</t>
        </is>
      </c>
      <c r="E529" t="inlineStr">
        <is>
          <t>완제의약품</t>
        </is>
      </c>
      <c r="F529" t="inlineStr">
        <is>
          <t>무균-세포독성항암제제-주사제(주사제)</t>
        </is>
      </c>
      <c r="G529" s="32" t="n">
        <v>46334</v>
      </c>
      <c r="H529">
        <f>IF(COUNTIFS($B$2:B529,B529,$D$2:D529,D529)=1,1,0)</f>
        <v/>
      </c>
      <c r="I529">
        <f>IF(OR(LEFT(F529,2)="무균",ISNUMBER(SEARCH("주사제",F529))),"Y","")</f>
        <v/>
      </c>
      <c r="J529">
        <f>IF(LEFT(F529,2)="생물","Y","")</f>
        <v/>
      </c>
    </row>
    <row r="530">
      <c r="A530" t="inlineStr">
        <is>
          <t>S529</t>
        </is>
      </c>
      <c r="B530" t="inlineStr">
        <is>
          <t>삼양바이오팜</t>
        </is>
      </c>
      <c r="C530" t="inlineStr">
        <is>
          <t>(주)삼양바이오팜</t>
        </is>
      </c>
      <c r="D530" t="inlineStr">
        <is>
          <t>대전광역시 대덕구 신일동로 79</t>
        </is>
      </c>
      <c r="E530" t="inlineStr">
        <is>
          <t>원료의약품</t>
        </is>
      </c>
      <c r="F530" t="inlineStr">
        <is>
          <t>비무균-세포독성항암제제-합성, 비무균-세포독성항암제제-발효</t>
        </is>
      </c>
      <c r="G530" s="32" t="n">
        <v>46334</v>
      </c>
      <c r="H530">
        <f>IF(COUNTIFS($B$2:B530,B530,$D$2:D530,D530)=1,1,0)</f>
        <v/>
      </c>
      <c r="I530">
        <f>IF(OR(LEFT(F530,2)="무균",ISNUMBER(SEARCH("주사제",F530))),"Y","")</f>
        <v/>
      </c>
      <c r="J530">
        <f>IF(LEFT(F530,2)="생물","Y","")</f>
        <v/>
      </c>
    </row>
    <row r="531">
      <c r="A531" t="inlineStr">
        <is>
          <t>S530</t>
        </is>
      </c>
      <c r="B531" t="inlineStr">
        <is>
          <t>에이치엘지노믹스</t>
        </is>
      </c>
      <c r="C531" t="inlineStr">
        <is>
          <t>에이치엘지노믹스(주)</t>
        </is>
      </c>
      <c r="D531" t="inlineStr">
        <is>
          <t>경기도 용인시 처인구 원삼면 보개원삼로 1552</t>
        </is>
      </c>
      <c r="E531" t="inlineStr">
        <is>
          <t>원료의약품</t>
        </is>
      </c>
      <c r="F531" t="inlineStr">
        <is>
          <t>비무균-일반제제-합성</t>
        </is>
      </c>
      <c r="G531" s="32" t="n">
        <v>46333</v>
      </c>
      <c r="H531">
        <f>IF(COUNTIFS($B$2:B531,B531,$D$2:D531,D531)=1,1,0)</f>
        <v/>
      </c>
      <c r="I531">
        <f>IF(OR(LEFT(F531,2)="무균",ISNUMBER(SEARCH("주사제",F531))),"Y","")</f>
        <v/>
      </c>
      <c r="J531">
        <f>IF(LEFT(F531,2)="생물","Y","")</f>
        <v/>
      </c>
    </row>
    <row r="532">
      <c r="A532" t="inlineStr">
        <is>
          <t>S531</t>
        </is>
      </c>
      <c r="B532" t="inlineStr">
        <is>
          <t>다산제약</t>
        </is>
      </c>
      <c r="C532" t="inlineStr">
        <is>
          <t>(주)다산제약</t>
        </is>
      </c>
      <c r="D532" t="inlineStr">
        <is>
          <t>충청남도 아산시 도고면 덕암산로 342</t>
        </is>
      </c>
      <c r="E532" t="inlineStr">
        <is>
          <t>원료의약품</t>
        </is>
      </c>
      <c r="F532" t="inlineStr">
        <is>
          <t>비무균-일반제제-(소분, 과립)</t>
        </is>
      </c>
      <c r="G532" s="32" t="n">
        <v>46328</v>
      </c>
      <c r="H532">
        <f>IF(COUNTIFS($B$2:B532,B532,$D$2:D532,D532)=1,1,0)</f>
        <v/>
      </c>
      <c r="I532">
        <f>IF(OR(LEFT(F532,2)="무균",ISNUMBER(SEARCH("주사제",F532))),"Y","")</f>
        <v/>
      </c>
      <c r="J532">
        <f>IF(LEFT(F532,2)="생물","Y","")</f>
        <v/>
      </c>
    </row>
    <row r="533">
      <c r="A533" t="inlineStr">
        <is>
          <t>S532</t>
        </is>
      </c>
      <c r="B533" t="inlineStr">
        <is>
          <t>화일약품</t>
        </is>
      </c>
      <c r="C533" t="inlineStr">
        <is>
          <t>화일약품(주)</t>
        </is>
      </c>
      <c r="D533" t="inlineStr">
        <is>
          <t>경기도 화성시 만세구 향남읍 발안공단로1길 45</t>
        </is>
      </c>
      <c r="E533" t="inlineStr">
        <is>
          <t>원료의약품</t>
        </is>
      </c>
      <c r="F533" t="inlineStr">
        <is>
          <t>비무균-일반제제-소분</t>
        </is>
      </c>
      <c r="G533" s="32" t="n">
        <v>46328</v>
      </c>
      <c r="H533">
        <f>IF(COUNTIFS($B$2:B533,B533,$D$2:D533,D533)=1,1,0)</f>
        <v/>
      </c>
      <c r="I533">
        <f>IF(OR(LEFT(F533,2)="무균",ISNUMBER(SEARCH("주사제",F533))),"Y","")</f>
        <v/>
      </c>
      <c r="J533">
        <f>IF(LEFT(F533,2)="생물","Y","")</f>
        <v/>
      </c>
    </row>
    <row r="534">
      <c r="A534" t="inlineStr">
        <is>
          <t>S533</t>
        </is>
      </c>
      <c r="B534" t="inlineStr">
        <is>
          <t>다산제약</t>
        </is>
      </c>
      <c r="C534" t="inlineStr">
        <is>
          <t>(주)다산제약</t>
        </is>
      </c>
      <c r="D534" t="inlineStr">
        <is>
          <t>충청남도 아산시 도고면 덕암산로 342</t>
        </is>
      </c>
      <c r="E534" t="inlineStr">
        <is>
          <t>완제의약품</t>
        </is>
      </c>
      <c r="F534" t="inlineStr">
        <is>
          <t>비무균-일반제제-내용고형제(정제, 과립제)</t>
        </is>
      </c>
      <c r="G534" s="32" t="n">
        <v>46328</v>
      </c>
      <c r="H534">
        <f>IF(COUNTIFS($B$2:B534,B534,$D$2:D534,D534)=1,1,0)</f>
        <v/>
      </c>
      <c r="I534">
        <f>IF(OR(LEFT(F534,2)="무균",ISNUMBER(SEARCH("주사제",F534))),"Y","")</f>
        <v/>
      </c>
      <c r="J534">
        <f>IF(LEFT(F534,2)="생물","Y","")</f>
        <v/>
      </c>
    </row>
    <row r="535">
      <c r="A535" t="inlineStr">
        <is>
          <t>S534</t>
        </is>
      </c>
      <c r="B535" t="inlineStr">
        <is>
          <t>영진약품</t>
        </is>
      </c>
      <c r="C535" t="inlineStr">
        <is>
          <t>영진약품(주)</t>
        </is>
      </c>
      <c r="D535" t="inlineStr">
        <is>
          <t>전북특별자치도 완주군 봉동읍 완주산단5로 21</t>
        </is>
      </c>
      <c r="E535" t="inlineStr">
        <is>
          <t>원료의약품</t>
        </is>
      </c>
      <c r="F535" t="inlineStr">
        <is>
          <t>비무균-세팔로스포린제제-합성, 비무균-일반제제-합성</t>
        </is>
      </c>
      <c r="G535" s="32" t="n">
        <v>46327</v>
      </c>
      <c r="H535">
        <f>IF(COUNTIFS($B$2:B535,B535,$D$2:D535,D535)=1,1,0)</f>
        <v/>
      </c>
      <c r="I535">
        <f>IF(OR(LEFT(F535,2)="무균",ISNUMBER(SEARCH("주사제",F535))),"Y","")</f>
        <v/>
      </c>
      <c r="J535">
        <f>IF(LEFT(F535,2)="생물","Y","")</f>
        <v/>
      </c>
    </row>
    <row r="536">
      <c r="A536" t="inlineStr">
        <is>
          <t>S535</t>
        </is>
      </c>
      <c r="B536" t="inlineStr">
        <is>
          <t>유영제약</t>
        </is>
      </c>
      <c r="C536" t="inlineStr">
        <is>
          <t>(주)유영제약</t>
        </is>
      </c>
      <c r="D536" t="inlineStr">
        <is>
          <t>충청북도 진천군 광혜원면 용소2길 33</t>
        </is>
      </c>
      <c r="E536" t="inlineStr">
        <is>
          <t>원료의약품</t>
        </is>
      </c>
      <c r="F536" t="inlineStr">
        <is>
          <t>비무균-일반제제-합성</t>
        </is>
      </c>
      <c r="G536" s="32" t="n">
        <v>46327</v>
      </c>
      <c r="H536">
        <f>IF(COUNTIFS($B$2:B536,B536,$D$2:D536,D536)=1,1,0)</f>
        <v/>
      </c>
      <c r="I536">
        <f>IF(OR(LEFT(F536,2)="무균",ISNUMBER(SEARCH("주사제",F536))),"Y","")</f>
        <v/>
      </c>
      <c r="J536">
        <f>IF(LEFT(F536,2)="생물","Y","")</f>
        <v/>
      </c>
    </row>
    <row r="537">
      <c r="A537" t="inlineStr">
        <is>
          <t>S536</t>
        </is>
      </c>
      <c r="B537" t="inlineStr">
        <is>
          <t>한성산업</t>
        </is>
      </c>
      <c r="C537" t="inlineStr">
        <is>
          <t>한성산업(주)</t>
        </is>
      </c>
      <c r="D537" t="inlineStr">
        <is>
          <t>부산광역시 사상구 낙동대로915번길 12</t>
        </is>
      </c>
      <c r="E537" t="inlineStr">
        <is>
          <t>완제의약품</t>
        </is>
      </c>
      <c r="F537" t="inlineStr">
        <is>
          <t>비무균-일반제제(의료용 고압가스)-가스제(의료용 고압가스)</t>
        </is>
      </c>
      <c r="G537" s="32" t="n">
        <v>46327</v>
      </c>
      <c r="H537">
        <f>IF(COUNTIFS($B$2:B537,B537,$D$2:D537,D537)=1,1,0)</f>
        <v/>
      </c>
      <c r="I537">
        <f>IF(OR(LEFT(F537,2)="무균",ISNUMBER(SEARCH("주사제",F537))),"Y","")</f>
        <v/>
      </c>
      <c r="J537">
        <f>IF(LEFT(F537,2)="생물","Y","")</f>
        <v/>
      </c>
    </row>
    <row r="538">
      <c r="A538" t="inlineStr">
        <is>
          <t>S537</t>
        </is>
      </c>
      <c r="B538" t="inlineStr">
        <is>
          <t>유영제약</t>
        </is>
      </c>
      <c r="C538" t="inlineStr">
        <is>
          <t>(주)유영제약</t>
        </is>
      </c>
      <c r="D538" t="inlineStr">
        <is>
          <t>충청북도 진천군 광혜원면 용소2길 33</t>
        </is>
      </c>
      <c r="E538" t="inlineStr">
        <is>
          <t>완제의약품</t>
        </is>
      </c>
      <c r="F538" t="inlineStr">
        <is>
          <t>비무균-일반제제-내용고형제(정제, 캡슐제), 무균-일반제제-주사제(주사제)</t>
        </is>
      </c>
      <c r="G538" s="32" t="n">
        <v>46327</v>
      </c>
      <c r="H538">
        <f>IF(COUNTIFS($B$2:B538,B538,$D$2:D538,D538)=1,1,0)</f>
        <v/>
      </c>
      <c r="I538">
        <f>IF(OR(LEFT(F538,2)="무균",ISNUMBER(SEARCH("주사제",F538))),"Y","")</f>
        <v/>
      </c>
      <c r="J538">
        <f>IF(LEFT(F538,2)="생물","Y","")</f>
        <v/>
      </c>
    </row>
    <row r="539">
      <c r="A539" t="inlineStr">
        <is>
          <t>S538</t>
        </is>
      </c>
      <c r="B539" t="inlineStr">
        <is>
          <t>팬젠</t>
        </is>
      </c>
      <c r="C539" t="inlineStr">
        <is>
          <t>(주)팬젠</t>
        </is>
      </c>
      <c r="D539" t="inlineStr">
        <is>
          <t>경기도 수원시 영통구 신원로 306 영통이노플렉스 2동 4층 (원천동)</t>
        </is>
      </c>
      <c r="E539" t="inlineStr">
        <is>
          <t>원료의약품</t>
        </is>
      </c>
      <c r="F539" t="inlineStr">
        <is>
          <t>생물-유전자재조합의약품-(배양, 정제, 바이러스불활화, 원액 제조)</t>
        </is>
      </c>
      <c r="G539" s="32" t="n">
        <v>46320</v>
      </c>
      <c r="H539">
        <f>IF(COUNTIFS($B$2:B539,B539,$D$2:D539,D539)=1,1,0)</f>
        <v/>
      </c>
      <c r="I539">
        <f>IF(OR(LEFT(F539,2)="무균",ISNUMBER(SEARCH("주사제",F539))),"Y","")</f>
        <v/>
      </c>
      <c r="J539">
        <f>IF(LEFT(F539,2)="생물","Y","")</f>
        <v/>
      </c>
    </row>
    <row r="540">
      <c r="A540" t="inlineStr">
        <is>
          <t>S539</t>
        </is>
      </c>
      <c r="B540" t="inlineStr">
        <is>
          <t>경북산업가스충전소</t>
        </is>
      </c>
      <c r="C540" t="inlineStr">
        <is>
          <t>경북산업가스충전소</t>
        </is>
      </c>
      <c r="D540" t="inlineStr">
        <is>
          <t>경상북도 구미시 고아읍 선산대로 516 , 518</t>
        </is>
      </c>
      <c r="E540" t="inlineStr">
        <is>
          <t>완제의약품</t>
        </is>
      </c>
      <c r="F540" t="inlineStr">
        <is>
          <t>비무균-일반제제(의료용 고압가스)-가스제(의료용 고압가스)</t>
        </is>
      </c>
      <c r="G540" s="32" t="n">
        <v>46320</v>
      </c>
      <c r="H540">
        <f>IF(COUNTIFS($B$2:B540,B540,$D$2:D540,D540)=1,1,0)</f>
        <v/>
      </c>
      <c r="I540">
        <f>IF(OR(LEFT(F540,2)="무균",ISNUMBER(SEARCH("주사제",F540))),"Y","")</f>
        <v/>
      </c>
      <c r="J540">
        <f>IF(LEFT(F540,2)="생물","Y","")</f>
        <v/>
      </c>
    </row>
    <row r="541">
      <c r="A541" t="inlineStr">
        <is>
          <t>S540</t>
        </is>
      </c>
      <c r="B541" t="inlineStr">
        <is>
          <t>시믹씨엠오코리아</t>
        </is>
      </c>
      <c r="C541" t="inlineStr">
        <is>
          <t>시믹씨엠오코리아주식회사</t>
        </is>
      </c>
      <c r="D541" t="inlineStr">
        <is>
          <t>경기도 부천시 원미구 옥산로230번길 23</t>
        </is>
      </c>
      <c r="E541" t="inlineStr">
        <is>
          <t>완제의약품</t>
        </is>
      </c>
      <c r="F541" t="inlineStr">
        <is>
          <t>비무균-일반제제-연고제(연고제, 크림제, 겔제)</t>
        </is>
      </c>
      <c r="G541" s="32" t="n">
        <v>46313</v>
      </c>
      <c r="H541">
        <f>IF(COUNTIFS($B$2:B541,B541,$D$2:D541,D541)=1,1,0)</f>
        <v/>
      </c>
      <c r="I541">
        <f>IF(OR(LEFT(F541,2)="무균",ISNUMBER(SEARCH("주사제",F541))),"Y","")</f>
        <v/>
      </c>
      <c r="J541">
        <f>IF(LEFT(F541,2)="생물","Y","")</f>
        <v/>
      </c>
    </row>
    <row r="542">
      <c r="A542" t="inlineStr">
        <is>
          <t>S541</t>
        </is>
      </c>
      <c r="B542" t="inlineStr">
        <is>
          <t>대성가스텍</t>
        </is>
      </c>
      <c r="C542" t="inlineStr">
        <is>
          <t>대성가스텍(주)</t>
        </is>
      </c>
      <c r="D542" t="inlineStr">
        <is>
          <t>경기도 화성시 향남읍 서봉로 739</t>
        </is>
      </c>
      <c r="E542" t="inlineStr">
        <is>
          <t>완제의약품</t>
        </is>
      </c>
      <c r="F542" t="inlineStr">
        <is>
          <t>비무균-일반제제(의료용 고압가스)-가스제(흡입제(액상), 의료용 고압가스)</t>
        </is>
      </c>
      <c r="G542" s="32" t="n">
        <v>46311</v>
      </c>
      <c r="H542">
        <f>IF(COUNTIFS($B$2:B542,B542,$D$2:D542,D542)=1,1,0)</f>
        <v/>
      </c>
      <c r="I542">
        <f>IF(OR(LEFT(F542,2)="무균",ISNUMBER(SEARCH("주사제",F542))),"Y","")</f>
        <v/>
      </c>
      <c r="J542">
        <f>IF(LEFT(F542,2)="생물","Y","")</f>
        <v/>
      </c>
    </row>
    <row r="543">
      <c r="A543" t="inlineStr">
        <is>
          <t>S542</t>
        </is>
      </c>
      <c r="B543" t="inlineStr">
        <is>
          <t>삼남제약</t>
        </is>
      </c>
      <c r="C543" t="inlineStr">
        <is>
          <t>삼남제약(주)</t>
        </is>
      </c>
      <c r="D543" t="inlineStr">
        <is>
          <t>충청남도 금산군 금산읍 인삼로 77</t>
        </is>
      </c>
      <c r="E543" t="inlineStr">
        <is>
          <t>완제의약품</t>
        </is>
      </c>
      <c r="F543" t="inlineStr">
        <is>
          <t>비무균-일반제제-내용고형제(정제, 캡슐제, 산제)</t>
        </is>
      </c>
      <c r="G543" s="32" t="n">
        <v>46307</v>
      </c>
      <c r="H543">
        <f>IF(COUNTIFS($B$2:B543,B543,$D$2:D543,D543)=1,1,0)</f>
        <v/>
      </c>
      <c r="I543">
        <f>IF(OR(LEFT(F543,2)="무균",ISNUMBER(SEARCH("주사제",F543))),"Y","")</f>
        <v/>
      </c>
      <c r="J543">
        <f>IF(LEFT(F543,2)="생물","Y","")</f>
        <v/>
      </c>
    </row>
    <row r="544">
      <c r="A544" t="inlineStr">
        <is>
          <t>S543</t>
        </is>
      </c>
      <c r="B544" t="inlineStr">
        <is>
          <t>대원제약</t>
        </is>
      </c>
      <c r="C544" t="inlineStr">
        <is>
          <t>대원제약(주)</t>
        </is>
      </c>
      <c r="D544" t="inlineStr">
        <is>
          <t>경기도 화성시 만세구 향남읍 제약공단1길 24</t>
        </is>
      </c>
      <c r="E544" t="inlineStr">
        <is>
          <t>완제의약품</t>
        </is>
      </c>
      <c r="F544" t="inlineStr">
        <is>
          <t>비무균-일반제제-내용고형제(정제, 캡슐제, 시럽제(고형)), 무균-일반제제-주사제(주사제), 비무균-일반제제-내용액제(시럽제(액상), 현탁제), 비무균-성호르몬제-내용액제(현탁제)</t>
        </is>
      </c>
      <c r="G544" s="32" t="n">
        <v>46307</v>
      </c>
      <c r="H544">
        <f>IF(COUNTIFS($B$2:B544,B544,$D$2:D544,D544)=1,1,0)</f>
        <v/>
      </c>
      <c r="I544">
        <f>IF(OR(LEFT(F544,2)="무균",ISNUMBER(SEARCH("주사제",F544))),"Y","")</f>
        <v/>
      </c>
      <c r="J544">
        <f>IF(LEFT(F544,2)="생물","Y","")</f>
        <v/>
      </c>
    </row>
    <row r="545">
      <c r="A545" t="inlineStr">
        <is>
          <t>S544</t>
        </is>
      </c>
      <c r="B545" t="inlineStr">
        <is>
          <t>애경바이오팜</t>
        </is>
      </c>
      <c r="C545" t="inlineStr">
        <is>
          <t>애경바이오팜 주식회사</t>
        </is>
      </c>
      <c r="D545" t="inlineStr">
        <is>
          <t>울산광역시 남구 상개로 81 (80, 80A)동</t>
        </is>
      </c>
      <c r="E545" t="inlineStr">
        <is>
          <t>원료의약품</t>
        </is>
      </c>
      <c r="F545" t="inlineStr">
        <is>
          <t>비무균-일반제제-추출</t>
        </is>
      </c>
      <c r="G545" s="32" t="n">
        <v>46300</v>
      </c>
      <c r="H545">
        <f>IF(COUNTIFS($B$2:B545,B545,$D$2:D545,D545)=1,1,0)</f>
        <v/>
      </c>
      <c r="I545">
        <f>IF(OR(LEFT(F545,2)="무균",ISNUMBER(SEARCH("주사제",F545))),"Y","")</f>
        <v/>
      </c>
      <c r="J545">
        <f>IF(LEFT(F545,2)="생물","Y","")</f>
        <v/>
      </c>
    </row>
    <row r="546">
      <c r="A546" t="inlineStr">
        <is>
          <t>S545</t>
        </is>
      </c>
      <c r="B546" t="inlineStr">
        <is>
          <t>유일팜테크</t>
        </is>
      </c>
      <c r="C546" t="inlineStr">
        <is>
          <t>(주)유일팜테크</t>
        </is>
      </c>
      <c r="D546" t="inlineStr">
        <is>
          <t>충청북도 진천군 이월면 물미길 3</t>
        </is>
      </c>
      <c r="E546" t="inlineStr">
        <is>
          <t>원료의약품</t>
        </is>
      </c>
      <c r="F546" t="inlineStr">
        <is>
          <t>비무균-일반제제-합성</t>
        </is>
      </c>
      <c r="G546" s="32" t="n">
        <v>46300</v>
      </c>
      <c r="H546">
        <f>IF(COUNTIFS($B$2:B546,B546,$D$2:D546,D546)=1,1,0)</f>
        <v/>
      </c>
      <c r="I546">
        <f>IF(OR(LEFT(F546,2)="무균",ISNUMBER(SEARCH("주사제",F546))),"Y","")</f>
        <v/>
      </c>
      <c r="J546">
        <f>IF(LEFT(F546,2)="생물","Y","")</f>
        <v/>
      </c>
    </row>
    <row r="547">
      <c r="A547" t="inlineStr">
        <is>
          <t>S546</t>
        </is>
      </c>
      <c r="B547" t="inlineStr">
        <is>
          <t>서진산업가스</t>
        </is>
      </c>
      <c r="C547" t="inlineStr">
        <is>
          <t>서진산업가스(주)</t>
        </is>
      </c>
      <c r="D547" t="inlineStr">
        <is>
          <t>충청남도 당진시 송산면 무수들길 334</t>
        </is>
      </c>
      <c r="E547" t="inlineStr">
        <is>
          <t>완제의약품</t>
        </is>
      </c>
      <c r="F547" t="inlineStr">
        <is>
          <t>비무균-일반제제(의료용 고압가스)-가스제(의료용 고압가스)</t>
        </is>
      </c>
      <c r="G547" s="32" t="n">
        <v>46290</v>
      </c>
      <c r="H547">
        <f>IF(COUNTIFS($B$2:B547,B547,$D$2:D547,D547)=1,1,0)</f>
        <v/>
      </c>
      <c r="I547">
        <f>IF(OR(LEFT(F547,2)="무균",ISNUMBER(SEARCH("주사제",F547))),"Y","")</f>
        <v/>
      </c>
      <c r="J547">
        <f>IF(LEFT(F547,2)="생물","Y","")</f>
        <v/>
      </c>
    </row>
    <row r="548">
      <c r="A548" t="inlineStr">
        <is>
          <t>S547</t>
        </is>
      </c>
      <c r="B548" t="inlineStr">
        <is>
          <t>평화산소</t>
        </is>
      </c>
      <c r="C548" t="inlineStr">
        <is>
          <t>(주)평화산소</t>
        </is>
      </c>
      <c r="D548" t="inlineStr">
        <is>
          <t>경상남도 창원시 마산합포구 진북면 정현공단길 113</t>
        </is>
      </c>
      <c r="E548" t="inlineStr">
        <is>
          <t>완제의약품</t>
        </is>
      </c>
      <c r="F548" t="inlineStr">
        <is>
          <t>그밖의 제형(가스군(흡입제(소분, 기체상, 의료용 고압가스))), 그밖의 제형(액제군(흡입제(소분, 액상, 의료용 고압가스)))</t>
        </is>
      </c>
      <c r="G548" s="32" t="n">
        <v>46290</v>
      </c>
      <c r="H548">
        <f>IF(COUNTIFS($B$2:B548,B548,$D$2:D548,D548)=1,1,0)</f>
        <v/>
      </c>
      <c r="I548">
        <f>IF(OR(LEFT(F548,2)="무균",ISNUMBER(SEARCH("주사제",F548))),"Y","")</f>
        <v/>
      </c>
      <c r="J548">
        <f>IF(LEFT(F548,2)="생물","Y","")</f>
        <v/>
      </c>
    </row>
    <row r="549">
      <c r="A549" t="inlineStr">
        <is>
          <t>S548</t>
        </is>
      </c>
      <c r="B549" t="inlineStr">
        <is>
          <t>한국신약</t>
        </is>
      </c>
      <c r="C549" t="inlineStr">
        <is>
          <t>(주)한국신약</t>
        </is>
      </c>
      <c r="D549" t="inlineStr">
        <is>
          <t>충청남도 논산시 양촌면 중산길 39-83</t>
        </is>
      </c>
      <c r="E549" t="inlineStr">
        <is>
          <t>완제의약품</t>
        </is>
      </c>
      <c r="F549" t="inlineStr">
        <is>
          <t>비무균-일반제제-내용고형제(정제, 캡슐제, 산제, 과립제, 환제), 비무균-일반제제-내용액제(경구용액제, 엑스제(액상))</t>
        </is>
      </c>
      <c r="G549" s="32" t="n">
        <v>46286</v>
      </c>
      <c r="H549">
        <f>IF(COUNTIFS($B$2:B549,B549,$D$2:D549,D549)=1,1,0)</f>
        <v/>
      </c>
      <c r="I549">
        <f>IF(OR(LEFT(F549,2)="무균",ISNUMBER(SEARCH("주사제",F549))),"Y","")</f>
        <v/>
      </c>
      <c r="J549">
        <f>IF(LEFT(F549,2)="생물","Y","")</f>
        <v/>
      </c>
    </row>
    <row r="550">
      <c r="A550" t="inlineStr">
        <is>
          <t>S549</t>
        </is>
      </c>
      <c r="B550" t="inlineStr">
        <is>
          <t>일동제약</t>
        </is>
      </c>
      <c r="C550" t="inlineStr">
        <is>
          <t>일동제약(주)</t>
        </is>
      </c>
      <c r="D550" t="inlineStr">
        <is>
          <t>경기도 안성시 공단1로 25</t>
        </is>
      </c>
      <c r="E550" t="inlineStr">
        <is>
          <t>완제의약품</t>
        </is>
      </c>
      <c r="F550" t="inlineStr">
        <is>
          <t>비무균-일반제제-내용고형제(정제, 캡슐제, 과립제), 무균-일반제제-주사제(주사제, 동결건조주사제), 무균-세팔로스포린제제-주사제(동결건조주사제), 무균-세포독성항암제제-주사제(주사제, 동결건조주사제), 비무균-세팔로스포린제제-내용고형제(정제, 캡슐제, 산제, 시럽제(고형)), 비무균-세포독성항암제제-내용고형제(정제, 캡슐제)</t>
        </is>
      </c>
      <c r="G550" s="32" t="n">
        <v>46286</v>
      </c>
      <c r="H550">
        <f>IF(COUNTIFS($B$2:B550,B550,$D$2:D550,D550)=1,1,0)</f>
        <v/>
      </c>
      <c r="I550">
        <f>IF(OR(LEFT(F550,2)="무균",ISNUMBER(SEARCH("주사제",F550))),"Y","")</f>
        <v/>
      </c>
      <c r="J550">
        <f>IF(LEFT(F550,2)="생물","Y","")</f>
        <v/>
      </c>
    </row>
    <row r="551">
      <c r="A551" t="inlineStr">
        <is>
          <t>S550</t>
        </is>
      </c>
      <c r="B551" t="inlineStr">
        <is>
          <t>듀켐바이오</t>
        </is>
      </c>
      <c r="C551" t="inlineStr">
        <is>
          <t>(주)듀켐바이오</t>
        </is>
      </c>
      <c r="D551" t="inlineStr">
        <is>
          <t>서울특별시 강남구 일원로 81 삼성서울병원 본관 지하 3층 사이클로트론센터</t>
        </is>
      </c>
      <c r="E551" t="inlineStr">
        <is>
          <t>완제의약품</t>
        </is>
      </c>
      <c r="F551" t="inlineStr">
        <is>
          <t>무균-일반제제(방사성의약품)-주사제(주사제)</t>
        </is>
      </c>
      <c r="G551" s="32" t="n">
        <v>46283</v>
      </c>
      <c r="H551">
        <f>IF(COUNTIFS($B$2:B551,B551,$D$2:D551,D551)=1,1,0)</f>
        <v/>
      </c>
      <c r="I551">
        <f>IF(OR(LEFT(F551,2)="무균",ISNUMBER(SEARCH("주사제",F551))),"Y","")</f>
        <v/>
      </c>
      <c r="J551">
        <f>IF(LEFT(F551,2)="생물","Y","")</f>
        <v/>
      </c>
    </row>
    <row r="552">
      <c r="A552" t="inlineStr">
        <is>
          <t>S551</t>
        </is>
      </c>
      <c r="B552" t="inlineStr">
        <is>
          <t>태준제약</t>
        </is>
      </c>
      <c r="C552" t="inlineStr">
        <is>
          <t>(주)태준제약</t>
        </is>
      </c>
      <c r="D552" t="inlineStr">
        <is>
          <t>경기도 용인시 처인구 남사읍 경기동로 109-30</t>
        </is>
      </c>
      <c r="E552" t="inlineStr">
        <is>
          <t>완제의약품</t>
        </is>
      </c>
      <c r="F552" t="inlineStr">
        <is>
          <t>비무균-일반제제-내용고형제(정제, 산제), 무균-일반제제-주사제(주사제), 무균-일반제제-점안제(점안제), 비무균-일반제제-내용액제(경구용액제, 시럽제(액상), 현탁제)</t>
        </is>
      </c>
      <c r="G552" s="32" t="n">
        <v>46279</v>
      </c>
      <c r="H552">
        <f>IF(COUNTIFS($B$2:B552,B552,$D$2:D552,D552)=1,1,0)</f>
        <v/>
      </c>
      <c r="I552">
        <f>IF(OR(LEFT(F552,2)="무균",ISNUMBER(SEARCH("주사제",F552))),"Y","")</f>
        <v/>
      </c>
      <c r="J552">
        <f>IF(LEFT(F552,2)="생물","Y","")</f>
        <v/>
      </c>
    </row>
    <row r="553">
      <c r="A553" t="inlineStr">
        <is>
          <t>S552</t>
        </is>
      </c>
      <c r="B553" t="inlineStr">
        <is>
          <t>우진가스텍</t>
        </is>
      </c>
      <c r="C553" t="inlineStr">
        <is>
          <t>(주)우진가스텍</t>
        </is>
      </c>
      <c r="D553" t="inlineStr">
        <is>
          <t>경상남도 김해시 생림면 마사로 29</t>
        </is>
      </c>
      <c r="E553" t="inlineStr">
        <is>
          <t>완제의약품</t>
        </is>
      </c>
      <c r="F553" t="inlineStr">
        <is>
          <t>비무균-일반제제(의료용 고압가스)-가스제(의료용 고압가스)</t>
        </is>
      </c>
      <c r="G553" s="32" t="n">
        <v>46277</v>
      </c>
      <c r="H553">
        <f>IF(COUNTIFS($B$2:B553,B553,$D$2:D553,D553)=1,1,0)</f>
        <v/>
      </c>
      <c r="I553">
        <f>IF(OR(LEFT(F553,2)="무균",ISNUMBER(SEARCH("주사제",F553))),"Y","")</f>
        <v/>
      </c>
      <c r="J553">
        <f>IF(LEFT(F553,2)="생물","Y","")</f>
        <v/>
      </c>
    </row>
    <row r="554">
      <c r="A554" t="inlineStr">
        <is>
          <t>S553</t>
        </is>
      </c>
      <c r="B554" t="inlineStr">
        <is>
          <t>의료법인한라의료재단</t>
        </is>
      </c>
      <c r="C554" t="inlineStr">
        <is>
          <t>의료법인한라의료재단</t>
        </is>
      </c>
      <c r="D554" t="inlineStr">
        <is>
          <t>제주특별자치도 제주시 도령로 65</t>
        </is>
      </c>
      <c r="E554" t="inlineStr">
        <is>
          <t>완제의약품</t>
        </is>
      </c>
      <c r="F554" t="inlineStr">
        <is>
          <t>무균-일반제제(방사성의약품)-주사제(주사제)</t>
        </is>
      </c>
      <c r="G554" s="32" t="n">
        <v>46276</v>
      </c>
      <c r="H554">
        <f>IF(COUNTIFS($B$2:B554,B554,$D$2:D554,D554)=1,1,0)</f>
        <v/>
      </c>
      <c r="I554">
        <f>IF(OR(LEFT(F554,2)="무균",ISNUMBER(SEARCH("주사제",F554))),"Y","")</f>
        <v/>
      </c>
      <c r="J554">
        <f>IF(LEFT(F554,2)="생물","Y","")</f>
        <v/>
      </c>
    </row>
    <row r="555">
      <c r="A555" t="inlineStr">
        <is>
          <t>S554</t>
        </is>
      </c>
      <c r="B555" t="inlineStr">
        <is>
          <t>휴온스</t>
        </is>
      </c>
      <c r="C555" t="inlineStr">
        <is>
          <t>(주)휴온스</t>
        </is>
      </c>
      <c r="D555" t="inlineStr">
        <is>
          <t>충청북도 제천시 바이오밸리로 137</t>
        </is>
      </c>
      <c r="E555" t="inlineStr">
        <is>
          <t>완제의약품</t>
        </is>
      </c>
      <c r="F555" t="inlineStr">
        <is>
          <t>무균-일반제제-주사제(주사제), 무균-일반제제-점안제(점안제)</t>
        </is>
      </c>
      <c r="G555" s="32" t="n">
        <v>46275</v>
      </c>
      <c r="H555">
        <f>IF(COUNTIFS($B$2:B555,B555,$D$2:D555,D555)=1,1,0)</f>
        <v/>
      </c>
      <c r="I555">
        <f>IF(OR(LEFT(F555,2)="무균",ISNUMBER(SEARCH("주사제",F555))),"Y","")</f>
        <v/>
      </c>
      <c r="J555">
        <f>IF(LEFT(F555,2)="생물","Y","")</f>
        <v/>
      </c>
    </row>
    <row r="556">
      <c r="A556" t="inlineStr">
        <is>
          <t>S555</t>
        </is>
      </c>
      <c r="B556" t="inlineStr">
        <is>
          <t>동국생명과학</t>
        </is>
      </c>
      <c r="C556" t="inlineStr">
        <is>
          <t>동국생명과학(주)</t>
        </is>
      </c>
      <c r="D556" t="inlineStr">
        <is>
          <t>경기도 안성시 미양면 제2공단1길 92</t>
        </is>
      </c>
      <c r="E556" t="inlineStr">
        <is>
          <t>완제의약품</t>
        </is>
      </c>
      <c r="F556" t="inlineStr">
        <is>
          <t>무균-일반제제-주사제(주사제)</t>
        </is>
      </c>
      <c r="G556" s="32" t="n">
        <v>46272</v>
      </c>
      <c r="H556">
        <f>IF(COUNTIFS($B$2:B556,B556,$D$2:D556,D556)=1,1,0)</f>
        <v/>
      </c>
      <c r="I556">
        <f>IF(OR(LEFT(F556,2)="무균",ISNUMBER(SEARCH("주사제",F556))),"Y","")</f>
        <v/>
      </c>
      <c r="J556">
        <f>IF(LEFT(F556,2)="생물","Y","")</f>
        <v/>
      </c>
    </row>
    <row r="557">
      <c r="A557" t="inlineStr">
        <is>
          <t>S556</t>
        </is>
      </c>
      <c r="B557" t="inlineStr">
        <is>
          <t>안국약품</t>
        </is>
      </c>
      <c r="C557" t="inlineStr">
        <is>
          <t>안국약품(주)</t>
        </is>
      </c>
      <c r="D557" t="inlineStr">
        <is>
          <t>경기도 화성시 만세구 향남읍 제약공단1길 40</t>
        </is>
      </c>
      <c r="E557" t="inlineStr">
        <is>
          <t>완제의약품</t>
        </is>
      </c>
      <c r="F557" t="inlineStr">
        <is>
          <t>비무균-일반제제-내용고형제(정제, 캡슐제, 산제), 비무균-일반제제-내용액제(시럽제(액상))</t>
        </is>
      </c>
      <c r="G557" s="32" t="n">
        <v>46272</v>
      </c>
      <c r="H557">
        <f>IF(COUNTIFS($B$2:B557,B557,$D$2:D557,D557)=1,1,0)</f>
        <v/>
      </c>
      <c r="I557">
        <f>IF(OR(LEFT(F557,2)="무균",ISNUMBER(SEARCH("주사제",F557))),"Y","")</f>
        <v/>
      </c>
      <c r="J557">
        <f>IF(LEFT(F557,2)="생물","Y","")</f>
        <v/>
      </c>
    </row>
    <row r="558">
      <c r="A558" t="inlineStr">
        <is>
          <t>S557</t>
        </is>
      </c>
      <c r="B558" t="inlineStr">
        <is>
          <t>엔비케이제약</t>
        </is>
      </c>
      <c r="C558" t="inlineStr">
        <is>
          <t>엔비케이제약(주)</t>
        </is>
      </c>
      <c r="D558" t="inlineStr">
        <is>
          <t>충청남도 천안시 동남구 풍세면 풍세로 539</t>
        </is>
      </c>
      <c r="E558" t="inlineStr">
        <is>
          <t>완제의약품</t>
        </is>
      </c>
      <c r="F558" t="inlineStr">
        <is>
          <t>비무균-일반제제-내용고형제(정제, 캡슐제)</t>
        </is>
      </c>
      <c r="G558" s="32" t="n">
        <v>46265</v>
      </c>
      <c r="H558">
        <f>IF(COUNTIFS($B$2:B558,B558,$D$2:D558,D558)=1,1,0)</f>
        <v/>
      </c>
      <c r="I558">
        <f>IF(OR(LEFT(F558,2)="무균",ISNUMBER(SEARCH("주사제",F558))),"Y","")</f>
        <v/>
      </c>
      <c r="J558">
        <f>IF(LEFT(F558,2)="생물","Y","")</f>
        <v/>
      </c>
    </row>
    <row r="559">
      <c r="A559" t="inlineStr">
        <is>
          <t>S558</t>
        </is>
      </c>
      <c r="B559" t="inlineStr">
        <is>
          <t>화승가스테크</t>
        </is>
      </c>
      <c r="C559" t="inlineStr">
        <is>
          <t>(주)화승가스테크</t>
        </is>
      </c>
      <c r="D559" t="inlineStr">
        <is>
          <t>부산광역시 사하구 하신중앙로 44-5</t>
        </is>
      </c>
      <c r="E559" t="inlineStr">
        <is>
          <t>완제의약품</t>
        </is>
      </c>
      <c r="F559" t="inlineStr">
        <is>
          <t>비무균-일반제제(의료용 고압가스)-가스제(의료용 고압가스)</t>
        </is>
      </c>
      <c r="G559" s="32" t="n">
        <v>46264</v>
      </c>
      <c r="H559">
        <f>IF(COUNTIFS($B$2:B559,B559,$D$2:D559,D559)=1,1,0)</f>
        <v/>
      </c>
      <c r="I559">
        <f>IF(OR(LEFT(F559,2)="무균",ISNUMBER(SEARCH("주사제",F559))),"Y","")</f>
        <v/>
      </c>
      <c r="J559">
        <f>IF(LEFT(F559,2)="생물","Y","")</f>
        <v/>
      </c>
    </row>
    <row r="560">
      <c r="A560" t="inlineStr">
        <is>
          <t>S559</t>
        </is>
      </c>
      <c r="B560" t="inlineStr">
        <is>
          <t>이든파마</t>
        </is>
      </c>
      <c r="C560" t="inlineStr">
        <is>
          <t>(주)이든파마</t>
        </is>
      </c>
      <c r="D560" t="inlineStr">
        <is>
          <t>충청북도 진천군 문백면 농다리로 1149</t>
        </is>
      </c>
      <c r="E560" t="inlineStr">
        <is>
          <t>완제의약품</t>
        </is>
      </c>
      <c r="F560" t="inlineStr">
        <is>
          <t>비무균-일반제제-내용고형제(정제, 과립제)</t>
        </is>
      </c>
      <c r="G560" s="32" t="n">
        <v>46258</v>
      </c>
      <c r="H560">
        <f>IF(COUNTIFS($B$2:B560,B560,$D$2:D560,D560)=1,1,0)</f>
        <v/>
      </c>
      <c r="I560">
        <f>IF(OR(LEFT(F560,2)="무균",ISNUMBER(SEARCH("주사제",F560))),"Y","")</f>
        <v/>
      </c>
      <c r="J560">
        <f>IF(LEFT(F560,2)="생물","Y","")</f>
        <v/>
      </c>
    </row>
    <row r="561">
      <c r="A561" t="inlineStr">
        <is>
          <t>S560</t>
        </is>
      </c>
      <c r="B561" t="inlineStr">
        <is>
          <t>대웅제약</t>
        </is>
      </c>
      <c r="C561" t="inlineStr">
        <is>
          <t>(주)대웅제약</t>
        </is>
      </c>
      <c r="D561" t="inlineStr">
        <is>
          <t>경기도 화성시 만세구 향남읍 제약공단4길 35-14</t>
        </is>
      </c>
      <c r="E561" t="inlineStr">
        <is>
          <t>원료의약품</t>
        </is>
      </c>
      <c r="F561" t="inlineStr">
        <is>
          <t>생물-유전자재조합의약품-(배양, 정제, 원액 제조)</t>
        </is>
      </c>
      <c r="G561" s="32" t="n">
        <v>46258</v>
      </c>
      <c r="H561">
        <f>IF(COUNTIFS($B$2:B561,B561,$D$2:D561,D561)=1,1,0)</f>
        <v/>
      </c>
      <c r="I561">
        <f>IF(OR(LEFT(F561,2)="무균",ISNUMBER(SEARCH("주사제",F561))),"Y","")</f>
        <v/>
      </c>
      <c r="J561">
        <f>IF(LEFT(F561,2)="생물","Y","")</f>
        <v/>
      </c>
    </row>
    <row r="562">
      <c r="A562" t="inlineStr">
        <is>
          <t>S561</t>
        </is>
      </c>
      <c r="B562" t="inlineStr">
        <is>
          <t>이든파마</t>
        </is>
      </c>
      <c r="C562" t="inlineStr">
        <is>
          <t>(주)이든파마</t>
        </is>
      </c>
      <c r="D562" t="inlineStr">
        <is>
          <t>충청북도 진천군 문백면 농다리로 1149</t>
        </is>
      </c>
      <c r="E562" t="inlineStr">
        <is>
          <t>원료의약품</t>
        </is>
      </c>
      <c r="F562" t="inlineStr">
        <is>
          <t>비무균-일반제제-과립</t>
        </is>
      </c>
      <c r="G562" s="32" t="n">
        <v>46258</v>
      </c>
      <c r="H562">
        <f>IF(COUNTIFS($B$2:B562,B562,$D$2:D562,D562)=1,1,0)</f>
        <v/>
      </c>
      <c r="I562">
        <f>IF(OR(LEFT(F562,2)="무균",ISNUMBER(SEARCH("주사제",F562))),"Y","")</f>
        <v/>
      </c>
      <c r="J562">
        <f>IF(LEFT(F562,2)="생물","Y","")</f>
        <v/>
      </c>
    </row>
    <row r="563">
      <c r="A563" t="inlineStr">
        <is>
          <t>S562</t>
        </is>
      </c>
      <c r="B563" t="inlineStr">
        <is>
          <t>대웅제약</t>
        </is>
      </c>
      <c r="C563" t="inlineStr">
        <is>
          <t>(주)대웅제약</t>
        </is>
      </c>
      <c r="D563" t="inlineStr">
        <is>
          <t>경기도 화성시 만세구 향남읍 제약공단4길 35-14</t>
        </is>
      </c>
      <c r="E563" t="inlineStr">
        <is>
          <t>완제의약품</t>
        </is>
      </c>
      <c r="F563" t="inlineStr">
        <is>
          <t>비무균-일반제제-내용고형제(정제, 캡슐제, 산제, 시럽제(고형)), 비무균-일반제제-내용액제(현탁제), 생물-독소-주사제(동결건조주사제), 생물-유전자재조합의약품-외용액제(외용액제), 생물-유전자재조합의약품-주사제(주사제)</t>
        </is>
      </c>
      <c r="G563" s="32" t="n">
        <v>46258</v>
      </c>
      <c r="H563">
        <f>IF(COUNTIFS($B$2:B563,B563,$D$2:D563,D563)=1,1,0)</f>
        <v/>
      </c>
      <c r="I563">
        <f>IF(OR(LEFT(F563,2)="무균",ISNUMBER(SEARCH("주사제",F563))),"Y","")</f>
        <v/>
      </c>
      <c r="J563">
        <f>IF(LEFT(F563,2)="생물","Y","")</f>
        <v/>
      </c>
    </row>
    <row r="564">
      <c r="A564" t="inlineStr">
        <is>
          <t>S563</t>
        </is>
      </c>
      <c r="B564" t="inlineStr">
        <is>
          <t>크로다코리아</t>
        </is>
      </c>
      <c r="C564" t="inlineStr">
        <is>
          <t>크로다코리아주식회사</t>
        </is>
      </c>
      <c r="D564" t="inlineStr">
        <is>
          <t>전북특별자치도 익산시 석암로11길 11 제2공단 3차지구 21블럭 (용제동)</t>
        </is>
      </c>
      <c r="E564" t="inlineStr">
        <is>
          <t>원료의약품</t>
        </is>
      </c>
      <c r="F564" t="inlineStr">
        <is>
          <t>비무균-일반제제-합성, 비무균-일반제제-추출</t>
        </is>
      </c>
      <c r="G564" s="32" t="n">
        <v>46256</v>
      </c>
      <c r="H564">
        <f>IF(COUNTIFS($B$2:B564,B564,$D$2:D564,D564)=1,1,0)</f>
        <v/>
      </c>
      <c r="I564">
        <f>IF(OR(LEFT(F564,2)="무균",ISNUMBER(SEARCH("주사제",F564))),"Y","")</f>
        <v/>
      </c>
      <c r="J564">
        <f>IF(LEFT(F564,2)="생물","Y","")</f>
        <v/>
      </c>
    </row>
    <row r="565">
      <c r="A565" t="inlineStr">
        <is>
          <t>S564</t>
        </is>
      </c>
      <c r="B565" t="inlineStr">
        <is>
          <t>엠에프씨</t>
        </is>
      </c>
      <c r="C565" t="inlineStr">
        <is>
          <t>엠에프씨주식회사</t>
        </is>
      </c>
      <c r="D565" t="inlineStr">
        <is>
          <t>경기도 화성시 만세구 마도면 청원산단7길 35</t>
        </is>
      </c>
      <c r="E565" t="inlineStr">
        <is>
          <t>원료의약품</t>
        </is>
      </c>
      <c r="F565" t="inlineStr">
        <is>
          <t>비무균-일반제제-합성</t>
        </is>
      </c>
      <c r="G565" s="32" t="n">
        <v>46251</v>
      </c>
      <c r="H565">
        <f>IF(COUNTIFS($B$2:B565,B565,$D$2:D565,D565)=1,1,0)</f>
        <v/>
      </c>
      <c r="I565">
        <f>IF(OR(LEFT(F565,2)="무균",ISNUMBER(SEARCH("주사제",F565))),"Y","")</f>
        <v/>
      </c>
      <c r="J565">
        <f>IF(LEFT(F565,2)="생물","Y","")</f>
        <v/>
      </c>
    </row>
    <row r="566">
      <c r="A566" t="inlineStr">
        <is>
          <t>S565</t>
        </is>
      </c>
      <c r="B566" t="inlineStr">
        <is>
          <t>(유한)동아가스산업</t>
        </is>
      </c>
      <c r="C566" t="inlineStr">
        <is>
          <t>(유한)동아가스산업</t>
        </is>
      </c>
      <c r="D566" t="inlineStr">
        <is>
          <t>경상남도 사천시 사천대로 712</t>
        </is>
      </c>
      <c r="E566" t="inlineStr">
        <is>
          <t>완제의약품</t>
        </is>
      </c>
      <c r="F566" t="inlineStr">
        <is>
          <t>그밖의 제형(가스군(흡입제(소분, 기체상, 의료용 고압가스))), 그밖의 제형(액제군(흡입제(소분, 액상, 의료용 고압가스)))</t>
        </is>
      </c>
      <c r="G566" s="32" t="n">
        <v>46251</v>
      </c>
      <c r="H566">
        <f>IF(COUNTIFS($B$2:B566,B566,$D$2:D566,D566)=1,1,0)</f>
        <v/>
      </c>
      <c r="I566">
        <f>IF(OR(LEFT(F566,2)="무균",ISNUMBER(SEARCH("주사제",F566))),"Y","")</f>
        <v/>
      </c>
      <c r="J566">
        <f>IF(LEFT(F566,2)="생물","Y","")</f>
        <v/>
      </c>
    </row>
    <row r="567">
      <c r="A567" t="inlineStr">
        <is>
          <t>S566</t>
        </is>
      </c>
      <c r="B567" t="inlineStr">
        <is>
          <t>엠에스종합가스</t>
        </is>
      </c>
      <c r="C567" t="inlineStr">
        <is>
          <t>엠에스종합가스(주)</t>
        </is>
      </c>
      <c r="D567" t="inlineStr">
        <is>
          <t>경상남도 양산시 소주공단2길 48</t>
        </is>
      </c>
      <c r="E567" t="inlineStr">
        <is>
          <t>완제의약품</t>
        </is>
      </c>
      <c r="F567" t="inlineStr">
        <is>
          <t>그밖의 제형(가스군(흡입제(소분, 기체상, 의료용 고압가스))), 그밖의 제형(액제군(흡입제(소분, 액상, 의료용 고압가스)))</t>
        </is>
      </c>
      <c r="G567" s="32" t="n">
        <v>46244</v>
      </c>
      <c r="H567">
        <f>IF(COUNTIFS($B$2:B567,B567,$D$2:D567,D567)=1,1,0)</f>
        <v/>
      </c>
      <c r="I567">
        <f>IF(OR(LEFT(F567,2)="무균",ISNUMBER(SEARCH("주사제",F567))),"Y","")</f>
        <v/>
      </c>
      <c r="J567">
        <f>IF(LEFT(F567,2)="생물","Y","")</f>
        <v/>
      </c>
    </row>
    <row r="568">
      <c r="A568" t="inlineStr">
        <is>
          <t>S567</t>
        </is>
      </c>
      <c r="B568" t="inlineStr">
        <is>
          <t>삼천당제약</t>
        </is>
      </c>
      <c r="C568" t="inlineStr">
        <is>
          <t>삼천당제약(주)</t>
        </is>
      </c>
      <c r="D568" t="inlineStr">
        <is>
          <t>경기도 화성시 만세구 향남읍 제약공단2길 71</t>
        </is>
      </c>
      <c r="E568" t="inlineStr">
        <is>
          <t>완제의약품</t>
        </is>
      </c>
      <c r="F568" t="inlineStr">
        <is>
          <t>비무균-일반제제-내용고형제(정제, 캡슐제), 무균-일반제제-점안제(점안제), 비무균-일반제제-내용액제(점비액제)</t>
        </is>
      </c>
      <c r="G568" s="32" t="n">
        <v>46244</v>
      </c>
      <c r="H568">
        <f>IF(COUNTIFS($B$2:B568,B568,$D$2:D568,D568)=1,1,0)</f>
        <v/>
      </c>
      <c r="I568">
        <f>IF(OR(LEFT(F568,2)="무균",ISNUMBER(SEARCH("주사제",F568))),"Y","")</f>
        <v/>
      </c>
      <c r="J568">
        <f>IF(LEFT(F568,2)="생물","Y","")</f>
        <v/>
      </c>
    </row>
    <row r="569">
      <c r="A569" t="inlineStr">
        <is>
          <t>S568</t>
        </is>
      </c>
      <c r="B569" t="inlineStr">
        <is>
          <t>에이치에스바이오</t>
        </is>
      </c>
      <c r="C569" t="inlineStr">
        <is>
          <t>(주)에이치에스바이오</t>
        </is>
      </c>
      <c r="D569" t="inlineStr">
        <is>
          <t>충청북도 진천군 덕산읍 신척산단4로 57 (주)에이치에스바이오</t>
        </is>
      </c>
      <c r="E569" t="inlineStr">
        <is>
          <t>원료의약품</t>
        </is>
      </c>
      <c r="F569" t="inlineStr">
        <is>
          <t>합성(합성(비무균)), 추출(추출(비무균))</t>
        </is>
      </c>
      <c r="G569" s="32" t="n">
        <v>46244</v>
      </c>
      <c r="H569">
        <f>IF(COUNTIFS($B$2:B569,B569,$D$2:D569,D569)=1,1,0)</f>
        <v/>
      </c>
      <c r="I569">
        <f>IF(OR(LEFT(F569,2)="무균",ISNUMBER(SEARCH("주사제",F569))),"Y","")</f>
        <v/>
      </c>
      <c r="J569">
        <f>IF(LEFT(F569,2)="생물","Y","")</f>
        <v/>
      </c>
    </row>
    <row r="570">
      <c r="A570" t="inlineStr">
        <is>
          <t>S569</t>
        </is>
      </c>
      <c r="B570" t="inlineStr">
        <is>
          <t>에이치디엑스</t>
        </is>
      </c>
      <c r="C570" t="inlineStr">
        <is>
          <t>에이치디엑스(주)</t>
        </is>
      </c>
      <c r="D570" t="inlineStr">
        <is>
          <t>대전광역시 서구 관저동로 158 지하1층(관저동, 건양대학교병원)</t>
        </is>
      </c>
      <c r="E570" t="inlineStr">
        <is>
          <t>완제의약품</t>
        </is>
      </c>
      <c r="F570" t="inlineStr">
        <is>
          <t>주사제(주사제(방사성의약품))</t>
        </is>
      </c>
      <c r="G570" s="32" t="n">
        <v>46242</v>
      </c>
      <c r="H570">
        <f>IF(COUNTIFS($B$2:B570,B570,$D$2:D570,D570)=1,1,0)</f>
        <v/>
      </c>
      <c r="I570">
        <f>IF(OR(LEFT(F570,2)="무균",ISNUMBER(SEARCH("주사제",F570))),"Y","")</f>
        <v/>
      </c>
      <c r="J570">
        <f>IF(LEFT(F570,2)="생물","Y","")</f>
        <v/>
      </c>
    </row>
    <row r="571">
      <c r="A571" t="inlineStr">
        <is>
          <t>S570</t>
        </is>
      </c>
      <c r="B571" t="inlineStr">
        <is>
          <t>한국원자력의학원</t>
        </is>
      </c>
      <c r="C571" t="inlineStr">
        <is>
          <t>한국원자력의학원</t>
        </is>
      </c>
      <c r="D571" t="inlineStr">
        <is>
          <t>서울특별시 노원구 노원로 75 한국원자력의학원 비상진료센터동 지하1층~2층, 국가RI신약센터 지하1층</t>
        </is>
      </c>
      <c r="E571" t="inlineStr">
        <is>
          <t>완제의약품</t>
        </is>
      </c>
      <c r="F571" t="inlineStr">
        <is>
          <t>주사제(주사제(방사성의약품)), 내용액제(경구용액제(방사성의약품))</t>
        </is>
      </c>
      <c r="G571" s="32" t="n">
        <v>46235</v>
      </c>
      <c r="H571">
        <f>IF(COUNTIFS($B$2:B571,B571,$D$2:D571,D571)=1,1,0)</f>
        <v/>
      </c>
      <c r="I571">
        <f>IF(OR(LEFT(F571,2)="무균",ISNUMBER(SEARCH("주사제",F571))),"Y","")</f>
        <v/>
      </c>
      <c r="J571">
        <f>IF(LEFT(F571,2)="생물","Y","")</f>
        <v/>
      </c>
    </row>
    <row r="572">
      <c r="A572" t="inlineStr">
        <is>
          <t>S571</t>
        </is>
      </c>
      <c r="B572" t="inlineStr">
        <is>
          <t>보란파마</t>
        </is>
      </c>
      <c r="C572" t="inlineStr">
        <is>
          <t>보란파마</t>
        </is>
      </c>
      <c r="D572" t="inlineStr">
        <is>
          <t>경기도 평택시 청북읍 고렴산단로 121</t>
        </is>
      </c>
      <c r="E572" t="inlineStr">
        <is>
          <t>완제의약품</t>
        </is>
      </c>
      <c r="F572" t="inlineStr">
        <is>
          <t>생물-유전자재조합의약품-주사제(주사제), 생물-항독소-주사제(주사제)</t>
        </is>
      </c>
      <c r="G572" s="32" t="n">
        <v>46229</v>
      </c>
      <c r="H572">
        <f>IF(COUNTIFS($B$2:B572,B572,$D$2:D572,D572)=1,1,0)</f>
        <v/>
      </c>
      <c r="I572">
        <f>IF(OR(LEFT(F572,2)="무균",ISNUMBER(SEARCH("주사제",F572))),"Y","")</f>
        <v/>
      </c>
      <c r="J572">
        <f>IF(LEFT(F572,2)="생물","Y","")</f>
        <v/>
      </c>
    </row>
    <row r="573">
      <c r="A573" t="inlineStr">
        <is>
          <t>S572</t>
        </is>
      </c>
      <c r="B573" t="inlineStr">
        <is>
          <t>퓨쳐켐헬스케어</t>
        </is>
      </c>
      <c r="C573" t="inlineStr">
        <is>
          <t>(주)퓨쳐켐헬스케어</t>
        </is>
      </c>
      <c r="D573" t="inlineStr">
        <is>
          <t>서울특별시 서초구 반포대로 222 가톨릭대학교 가톨릭중앙의료원 의과학연구동 (반포동)</t>
        </is>
      </c>
      <c r="E573" t="inlineStr">
        <is>
          <t>완제의약품</t>
        </is>
      </c>
      <c r="F573" t="inlineStr">
        <is>
          <t>주사제(주사제(방사성의약품))</t>
        </is>
      </c>
      <c r="G573" s="32" t="n">
        <v>46221</v>
      </c>
      <c r="H573">
        <f>IF(COUNTIFS($B$2:B573,B573,$D$2:D573,D573)=1,1,0)</f>
        <v/>
      </c>
      <c r="I573">
        <f>IF(OR(LEFT(F573,2)="무균",ISNUMBER(SEARCH("주사제",F573))),"Y","")</f>
        <v/>
      </c>
      <c r="J573">
        <f>IF(LEFT(F573,2)="생물","Y","")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4" t="inlineStr">
        <is>
          <t>COMPANY_ID</t>
        </is>
      </c>
      <c r="B1" s="14" t="inlineStr">
        <is>
          <t>회사키(정규화)</t>
        </is>
      </c>
      <c r="C1" s="14" t="inlineStr">
        <is>
          <t>대표 업체명</t>
        </is>
      </c>
      <c r="D1" s="14" t="inlineStr">
        <is>
          <t>판정서 건수</t>
        </is>
      </c>
      <c r="E1" s="14" t="inlineStr">
        <is>
          <t>물리 제조소 수</t>
        </is>
      </c>
      <c r="F1" s="14" t="inlineStr">
        <is>
          <t>완제 보유</t>
        </is>
      </c>
      <c r="G1" s="14" t="inlineStr">
        <is>
          <t>원료 보유</t>
        </is>
      </c>
      <c r="H1" s="14" t="inlineStr">
        <is>
          <t>무균 제형</t>
        </is>
      </c>
      <c r="I1" s="14" t="inlineStr">
        <is>
          <t>바이오 제형</t>
        </is>
      </c>
      <c r="J1" s="14" t="inlineStr">
        <is>
          <t>최단 유효기간</t>
        </is>
      </c>
      <c r="K1" s="14" t="inlineStr">
        <is>
          <t>갱신 임박(6개월)</t>
        </is>
      </c>
      <c r="L1" s="14" t="inlineStr">
        <is>
          <t>상장여부</t>
        </is>
      </c>
      <c r="M1" s="14" t="inlineStr">
        <is>
          <t>시장구분</t>
        </is>
      </c>
      <c r="N1" s="14" t="inlineStr">
        <is>
          <t>종목코드</t>
        </is>
      </c>
      <c r="O1" s="14" t="inlineStr">
        <is>
          <t>업종(KRX)</t>
        </is>
      </c>
      <c r="P1" s="14" t="inlineStr">
        <is>
          <t>주요제품(KRX)</t>
        </is>
      </c>
      <c r="Q1" s="14" t="inlineStr">
        <is>
          <t>대표자(KRX)</t>
        </is>
      </c>
      <c r="R1" s="14" t="inlineStr">
        <is>
          <t>홈페이지(KRX)</t>
        </is>
      </c>
      <c r="S1" s="14" t="inlineStr">
        <is>
          <t>지역(KRX)</t>
        </is>
      </c>
      <c r="T1" s="14" t="inlineStr">
        <is>
          <t>대표전화</t>
        </is>
      </c>
      <c r="U1" s="14" t="inlineStr">
        <is>
          <t>최근매출(억원)</t>
        </is>
      </c>
      <c r="V1" s="14" t="inlineStr">
        <is>
          <t>종업원수</t>
        </is>
      </c>
      <c r="W1" s="14" t="inlineStr">
        <is>
          <t>수출여부</t>
        </is>
      </c>
      <c r="X1" s="14" t="inlineStr">
        <is>
          <t>FDA·EMA 실사</t>
        </is>
      </c>
      <c r="Y1" s="14" t="inlineStr">
        <is>
          <t>CMO·CDMO</t>
        </is>
      </c>
      <c r="Z1" s="14" t="inlineStr">
        <is>
          <t>신공장·증설</t>
        </is>
      </c>
      <c r="AA1" s="14" t="inlineStr">
        <is>
          <t>기존 IT시스템</t>
        </is>
      </c>
      <c r="AB1" s="14" t="inlineStr">
        <is>
          <t>담당부서</t>
        </is>
      </c>
      <c r="AC1" s="14" t="inlineStr">
        <is>
          <t>담당자 직책</t>
        </is>
      </c>
      <c r="AD1" s="14" t="inlineStr">
        <is>
          <t>리드출처</t>
        </is>
      </c>
      <c r="AE1" s="14" t="inlineStr">
        <is>
          <t>최종확인일</t>
        </is>
      </c>
    </row>
    <row r="2">
      <c r="A2" t="inlineStr">
        <is>
          <t>C001</t>
        </is>
      </c>
      <c r="B2" t="inlineStr">
        <is>
          <t>이연제약</t>
        </is>
      </c>
      <c r="C2" t="inlineStr">
        <is>
          <t>이연제약(주)</t>
        </is>
      </c>
      <c r="D2">
        <f>COUNTIF(SITE!$B$2:$B$573,B2)</f>
        <v/>
      </c>
      <c r="E2">
        <f>SUMIFS(SITE!$H$2:$H$573,SITE!$B$2:$B$573,B2)</f>
        <v/>
      </c>
      <c r="F2">
        <f>IF(COUNTIFS(SITE!$B$2:$B$573,B2,SITE!$E$2:$E$573,"완제의약품")&gt;0,"Y","")</f>
        <v/>
      </c>
      <c r="G2">
        <f>IF(COUNTIFS(SITE!$B$2:$B$573,B2,SITE!$E$2:$E$573,"원료의약품")&gt;0,"Y","")</f>
        <v/>
      </c>
      <c r="H2">
        <f>IF(COUNTIFS(SITE!$B$2:$B$573,B2,SITE!$I$2:$I$573,"Y")&gt;0,"Y","")</f>
        <v/>
      </c>
      <c r="I2">
        <f>IF(COUNTIFS(SITE!$B$2:$B$573,B2,SITE!$J$2:$J$573,"Y")&gt;0,"Y","")</f>
        <v/>
      </c>
      <c r="J2">
        <f>MINIFS(SITE!$G$2:$G$573,SITE!$B$2:$B$573,B2)</f>
        <v/>
      </c>
      <c r="K2">
        <f>IF(J2-TODAY()&lt;183,"임박","")</f>
        <v/>
      </c>
      <c r="L2" t="inlineStr">
        <is>
          <t>Y</t>
        </is>
      </c>
      <c r="M2" t="inlineStr">
        <is>
          <t>유가</t>
        </is>
      </c>
      <c r="N2" t="inlineStr">
        <is>
          <t>102460</t>
        </is>
      </c>
      <c r="O2" t="inlineStr">
        <is>
          <t>의약품 제조업</t>
        </is>
      </c>
      <c r="P2" t="inlineStr">
        <is>
          <t>항생제,순환기제</t>
        </is>
      </c>
      <c r="Q2" t="inlineStr">
        <is>
          <t>정순옥, 유용환 (각자 대표이사)</t>
        </is>
      </c>
      <c r="R2" t="inlineStr">
        <is>
          <t>http://reyonpharm.co.kr</t>
        </is>
      </c>
      <c r="S2" t="inlineStr">
        <is>
          <t>서울특별시</t>
        </is>
      </c>
    </row>
    <row r="3">
      <c r="A3" t="inlineStr">
        <is>
          <t>C002</t>
        </is>
      </c>
      <c r="B3" t="inlineStr">
        <is>
          <t>한국원자력연구원</t>
        </is>
      </c>
      <c r="C3" t="inlineStr">
        <is>
          <t>한국원자력연구원</t>
        </is>
      </c>
      <c r="D3">
        <f>COUNTIF(SITE!$B$2:$B$573,B3)</f>
        <v/>
      </c>
      <c r="E3">
        <f>SUMIFS(SITE!$H$2:$H$573,SITE!$B$2:$B$573,B3)</f>
        <v/>
      </c>
      <c r="F3">
        <f>IF(COUNTIFS(SITE!$B$2:$B$573,B3,SITE!$E$2:$E$573,"완제의약품")&gt;0,"Y","")</f>
        <v/>
      </c>
      <c r="G3">
        <f>IF(COUNTIFS(SITE!$B$2:$B$573,B3,SITE!$E$2:$E$573,"원료의약품")&gt;0,"Y","")</f>
        <v/>
      </c>
      <c r="H3">
        <f>IF(COUNTIFS(SITE!$B$2:$B$573,B3,SITE!$I$2:$I$573,"Y")&gt;0,"Y","")</f>
        <v/>
      </c>
      <c r="I3">
        <f>IF(COUNTIFS(SITE!$B$2:$B$573,B3,SITE!$J$2:$J$573,"Y")&gt;0,"Y","")</f>
        <v/>
      </c>
      <c r="J3">
        <f>MINIFS(SITE!$G$2:$G$573,SITE!$B$2:$B$573,B3)</f>
        <v/>
      </c>
      <c r="K3">
        <f>IF(J3-TODAY()&lt;183,"임박","")</f>
        <v/>
      </c>
    </row>
    <row r="4">
      <c r="A4" t="inlineStr">
        <is>
          <t>C003</t>
        </is>
      </c>
      <c r="B4" t="inlineStr">
        <is>
          <t>엔바이로코리아</t>
        </is>
      </c>
      <c r="C4" t="inlineStr">
        <is>
          <t>(주)엔바이로코리아</t>
        </is>
      </c>
      <c r="D4">
        <f>COUNTIF(SITE!$B$2:$B$573,B4)</f>
        <v/>
      </c>
      <c r="E4">
        <f>SUMIFS(SITE!$H$2:$H$573,SITE!$B$2:$B$573,B4)</f>
        <v/>
      </c>
      <c r="F4">
        <f>IF(COUNTIFS(SITE!$B$2:$B$573,B4,SITE!$E$2:$E$573,"완제의약품")&gt;0,"Y","")</f>
        <v/>
      </c>
      <c r="G4">
        <f>IF(COUNTIFS(SITE!$B$2:$B$573,B4,SITE!$E$2:$E$573,"원료의약품")&gt;0,"Y","")</f>
        <v/>
      </c>
      <c r="H4">
        <f>IF(COUNTIFS(SITE!$B$2:$B$573,B4,SITE!$I$2:$I$573,"Y")&gt;0,"Y","")</f>
        <v/>
      </c>
      <c r="I4">
        <f>IF(COUNTIFS(SITE!$B$2:$B$573,B4,SITE!$J$2:$J$573,"Y")&gt;0,"Y","")</f>
        <v/>
      </c>
      <c r="J4">
        <f>MINIFS(SITE!$G$2:$G$573,SITE!$B$2:$B$573,B4)</f>
        <v/>
      </c>
      <c r="K4">
        <f>IF(J4-TODAY()&lt;183,"임박","")</f>
        <v/>
      </c>
    </row>
    <row r="5">
      <c r="A5" t="inlineStr">
        <is>
          <t>C004</t>
        </is>
      </c>
      <c r="B5" t="inlineStr">
        <is>
          <t>보란파마</t>
        </is>
      </c>
      <c r="C5" t="inlineStr">
        <is>
          <t>보란파마</t>
        </is>
      </c>
      <c r="D5">
        <f>COUNTIF(SITE!$B$2:$B$573,B5)</f>
        <v/>
      </c>
      <c r="E5">
        <f>SUMIFS(SITE!$H$2:$H$573,SITE!$B$2:$B$573,B5)</f>
        <v/>
      </c>
      <c r="F5">
        <f>IF(COUNTIFS(SITE!$B$2:$B$573,B5,SITE!$E$2:$E$573,"완제의약품")&gt;0,"Y","")</f>
        <v/>
      </c>
      <c r="G5">
        <f>IF(COUNTIFS(SITE!$B$2:$B$573,B5,SITE!$E$2:$E$573,"원료의약품")&gt;0,"Y","")</f>
        <v/>
      </c>
      <c r="H5">
        <f>IF(COUNTIFS(SITE!$B$2:$B$573,B5,SITE!$I$2:$I$573,"Y")&gt;0,"Y","")</f>
        <v/>
      </c>
      <c r="I5">
        <f>IF(COUNTIFS(SITE!$B$2:$B$573,B5,SITE!$J$2:$J$573,"Y")&gt;0,"Y","")</f>
        <v/>
      </c>
      <c r="J5">
        <f>MINIFS(SITE!$G$2:$G$573,SITE!$B$2:$B$573,B5)</f>
        <v/>
      </c>
      <c r="K5">
        <f>IF(J5-TODAY()&lt;183,"임박","")</f>
        <v/>
      </c>
    </row>
    <row r="6">
      <c r="A6" t="inlineStr">
        <is>
          <t>C005</t>
        </is>
      </c>
      <c r="B6" t="inlineStr">
        <is>
          <t>애거슨바이오</t>
        </is>
      </c>
      <c r="C6" t="inlineStr">
        <is>
          <t>(주)애거슨바이오</t>
        </is>
      </c>
      <c r="D6">
        <f>COUNTIF(SITE!$B$2:$B$573,B6)</f>
        <v/>
      </c>
      <c r="E6">
        <f>SUMIFS(SITE!$H$2:$H$573,SITE!$B$2:$B$573,B6)</f>
        <v/>
      </c>
      <c r="F6">
        <f>IF(COUNTIFS(SITE!$B$2:$B$573,B6,SITE!$E$2:$E$573,"완제의약품")&gt;0,"Y","")</f>
        <v/>
      </c>
      <c r="G6">
        <f>IF(COUNTIFS(SITE!$B$2:$B$573,B6,SITE!$E$2:$E$573,"원료의약품")&gt;0,"Y","")</f>
        <v/>
      </c>
      <c r="H6">
        <f>IF(COUNTIFS(SITE!$B$2:$B$573,B6,SITE!$I$2:$I$573,"Y")&gt;0,"Y","")</f>
        <v/>
      </c>
      <c r="I6">
        <f>IF(COUNTIFS(SITE!$B$2:$B$573,B6,SITE!$J$2:$J$573,"Y")&gt;0,"Y","")</f>
        <v/>
      </c>
      <c r="J6">
        <f>MINIFS(SITE!$G$2:$G$573,SITE!$B$2:$B$573,B6)</f>
        <v/>
      </c>
      <c r="K6">
        <f>IF(J6-TODAY()&lt;183,"임박","")</f>
        <v/>
      </c>
    </row>
    <row r="7">
      <c r="A7" t="inlineStr">
        <is>
          <t>C006</t>
        </is>
      </c>
      <c r="B7" t="inlineStr">
        <is>
          <t>에스피씨</t>
        </is>
      </c>
      <c r="C7" t="inlineStr">
        <is>
          <t>에스피씨(주)</t>
        </is>
      </c>
      <c r="D7">
        <f>COUNTIF(SITE!$B$2:$B$573,B7)</f>
        <v/>
      </c>
      <c r="E7">
        <f>SUMIFS(SITE!$H$2:$H$573,SITE!$B$2:$B$573,B7)</f>
        <v/>
      </c>
      <c r="F7">
        <f>IF(COUNTIFS(SITE!$B$2:$B$573,B7,SITE!$E$2:$E$573,"완제의약품")&gt;0,"Y","")</f>
        <v/>
      </c>
      <c r="G7">
        <f>IF(COUNTIFS(SITE!$B$2:$B$573,B7,SITE!$E$2:$E$573,"원료의약품")&gt;0,"Y","")</f>
        <v/>
      </c>
      <c r="H7">
        <f>IF(COUNTIFS(SITE!$B$2:$B$573,B7,SITE!$I$2:$I$573,"Y")&gt;0,"Y","")</f>
        <v/>
      </c>
      <c r="I7">
        <f>IF(COUNTIFS(SITE!$B$2:$B$573,B7,SITE!$J$2:$J$573,"Y")&gt;0,"Y","")</f>
        <v/>
      </c>
      <c r="J7">
        <f>MINIFS(SITE!$G$2:$G$573,SITE!$B$2:$B$573,B7)</f>
        <v/>
      </c>
      <c r="K7">
        <f>IF(J7-TODAY()&lt;183,"임박","")</f>
        <v/>
      </c>
    </row>
    <row r="8">
      <c r="A8" t="inlineStr">
        <is>
          <t>C007</t>
        </is>
      </c>
      <c r="B8" t="inlineStr">
        <is>
          <t>대성의료종합가스</t>
        </is>
      </c>
      <c r="C8" t="inlineStr">
        <is>
          <t>대성의료종합가스(주)</t>
        </is>
      </c>
      <c r="D8">
        <f>COUNTIF(SITE!$B$2:$B$573,B8)</f>
        <v/>
      </c>
      <c r="E8">
        <f>SUMIFS(SITE!$H$2:$H$573,SITE!$B$2:$B$573,B8)</f>
        <v/>
      </c>
      <c r="F8">
        <f>IF(COUNTIFS(SITE!$B$2:$B$573,B8,SITE!$E$2:$E$573,"완제의약품")&gt;0,"Y","")</f>
        <v/>
      </c>
      <c r="G8">
        <f>IF(COUNTIFS(SITE!$B$2:$B$573,B8,SITE!$E$2:$E$573,"원료의약품")&gt;0,"Y","")</f>
        <v/>
      </c>
      <c r="H8">
        <f>IF(COUNTIFS(SITE!$B$2:$B$573,B8,SITE!$I$2:$I$573,"Y")&gt;0,"Y","")</f>
        <v/>
      </c>
      <c r="I8">
        <f>IF(COUNTIFS(SITE!$B$2:$B$573,B8,SITE!$J$2:$J$573,"Y")&gt;0,"Y","")</f>
        <v/>
      </c>
      <c r="J8">
        <f>MINIFS(SITE!$G$2:$G$573,SITE!$B$2:$B$573,B8)</f>
        <v/>
      </c>
      <c r="K8">
        <f>IF(J8-TODAY()&lt;183,"임박","")</f>
        <v/>
      </c>
    </row>
    <row r="9">
      <c r="A9" t="inlineStr">
        <is>
          <t>C008</t>
        </is>
      </c>
      <c r="B9" t="inlineStr">
        <is>
          <t>에스에스팜</t>
        </is>
      </c>
      <c r="C9" t="inlineStr">
        <is>
          <t>에스에스팜(주)</t>
        </is>
      </c>
      <c r="D9">
        <f>COUNTIF(SITE!$B$2:$B$573,B9)</f>
        <v/>
      </c>
      <c r="E9">
        <f>SUMIFS(SITE!$H$2:$H$573,SITE!$B$2:$B$573,B9)</f>
        <v/>
      </c>
      <c r="F9">
        <f>IF(COUNTIFS(SITE!$B$2:$B$573,B9,SITE!$E$2:$E$573,"완제의약품")&gt;0,"Y","")</f>
        <v/>
      </c>
      <c r="G9">
        <f>IF(COUNTIFS(SITE!$B$2:$B$573,B9,SITE!$E$2:$E$573,"원료의약품")&gt;0,"Y","")</f>
        <v/>
      </c>
      <c r="H9">
        <f>IF(COUNTIFS(SITE!$B$2:$B$573,B9,SITE!$I$2:$I$573,"Y")&gt;0,"Y","")</f>
        <v/>
      </c>
      <c r="I9">
        <f>IF(COUNTIFS(SITE!$B$2:$B$573,B9,SITE!$J$2:$J$573,"Y")&gt;0,"Y","")</f>
        <v/>
      </c>
      <c r="J9">
        <f>MINIFS(SITE!$G$2:$G$573,SITE!$B$2:$B$573,B9)</f>
        <v/>
      </c>
      <c r="K9">
        <f>IF(J9-TODAY()&lt;183,"임박","")</f>
        <v/>
      </c>
    </row>
    <row r="10">
      <c r="A10" t="inlineStr">
        <is>
          <t>C009</t>
        </is>
      </c>
      <c r="B10" t="inlineStr">
        <is>
          <t>지에이치</t>
        </is>
      </c>
      <c r="C10" t="inlineStr">
        <is>
          <t>지에이치(주)</t>
        </is>
      </c>
      <c r="D10">
        <f>COUNTIF(SITE!$B$2:$B$573,B10)</f>
        <v/>
      </c>
      <c r="E10">
        <f>SUMIFS(SITE!$H$2:$H$573,SITE!$B$2:$B$573,B10)</f>
        <v/>
      </c>
      <c r="F10">
        <f>IF(COUNTIFS(SITE!$B$2:$B$573,B10,SITE!$E$2:$E$573,"완제의약품")&gt;0,"Y","")</f>
        <v/>
      </c>
      <c r="G10">
        <f>IF(COUNTIFS(SITE!$B$2:$B$573,B10,SITE!$E$2:$E$573,"원료의약품")&gt;0,"Y","")</f>
        <v/>
      </c>
      <c r="H10">
        <f>IF(COUNTIFS(SITE!$B$2:$B$573,B10,SITE!$I$2:$I$573,"Y")&gt;0,"Y","")</f>
        <v/>
      </c>
      <c r="I10">
        <f>IF(COUNTIFS(SITE!$B$2:$B$573,B10,SITE!$J$2:$J$573,"Y")&gt;0,"Y","")</f>
        <v/>
      </c>
      <c r="J10">
        <f>MINIFS(SITE!$G$2:$G$573,SITE!$B$2:$B$573,B10)</f>
        <v/>
      </c>
      <c r="K10">
        <f>IF(J10-TODAY()&lt;183,"임박","")</f>
        <v/>
      </c>
    </row>
    <row r="11">
      <c r="A11" t="inlineStr">
        <is>
          <t>C010</t>
        </is>
      </c>
      <c r="B11" t="inlineStr">
        <is>
          <t>경방신약</t>
        </is>
      </c>
      <c r="C11" t="inlineStr">
        <is>
          <t>경방신약(주)</t>
        </is>
      </c>
      <c r="D11">
        <f>COUNTIF(SITE!$B$2:$B$573,B11)</f>
        <v/>
      </c>
      <c r="E11">
        <f>SUMIFS(SITE!$H$2:$H$573,SITE!$B$2:$B$573,B11)</f>
        <v/>
      </c>
      <c r="F11">
        <f>IF(COUNTIFS(SITE!$B$2:$B$573,B11,SITE!$E$2:$E$573,"완제의약품")&gt;0,"Y","")</f>
        <v/>
      </c>
      <c r="G11">
        <f>IF(COUNTIFS(SITE!$B$2:$B$573,B11,SITE!$E$2:$E$573,"원료의약품")&gt;0,"Y","")</f>
        <v/>
      </c>
      <c r="H11">
        <f>IF(COUNTIFS(SITE!$B$2:$B$573,B11,SITE!$I$2:$I$573,"Y")&gt;0,"Y","")</f>
        <v/>
      </c>
      <c r="I11">
        <f>IF(COUNTIFS(SITE!$B$2:$B$573,B11,SITE!$J$2:$J$573,"Y")&gt;0,"Y","")</f>
        <v/>
      </c>
      <c r="J11">
        <f>MINIFS(SITE!$G$2:$G$573,SITE!$B$2:$B$573,B11)</f>
        <v/>
      </c>
      <c r="K11">
        <f>IF(J11-TODAY()&lt;183,"임박","")</f>
        <v/>
      </c>
    </row>
    <row r="12">
      <c r="A12" t="inlineStr">
        <is>
          <t>C011</t>
        </is>
      </c>
      <c r="B12" t="inlineStr">
        <is>
          <t>제이비케이랩</t>
        </is>
      </c>
      <c r="C12" t="inlineStr">
        <is>
          <t>주식회사 제이비케이랩</t>
        </is>
      </c>
      <c r="D12">
        <f>COUNTIF(SITE!$B$2:$B$573,B12)</f>
        <v/>
      </c>
      <c r="E12">
        <f>SUMIFS(SITE!$H$2:$H$573,SITE!$B$2:$B$573,B12)</f>
        <v/>
      </c>
      <c r="F12">
        <f>IF(COUNTIFS(SITE!$B$2:$B$573,B12,SITE!$E$2:$E$573,"완제의약품")&gt;0,"Y","")</f>
        <v/>
      </c>
      <c r="G12">
        <f>IF(COUNTIFS(SITE!$B$2:$B$573,B12,SITE!$E$2:$E$573,"원료의약품")&gt;0,"Y","")</f>
        <v/>
      </c>
      <c r="H12">
        <f>IF(COUNTIFS(SITE!$B$2:$B$573,B12,SITE!$I$2:$I$573,"Y")&gt;0,"Y","")</f>
        <v/>
      </c>
      <c r="I12">
        <f>IF(COUNTIFS(SITE!$B$2:$B$573,B12,SITE!$J$2:$J$573,"Y")&gt;0,"Y","")</f>
        <v/>
      </c>
      <c r="J12">
        <f>MINIFS(SITE!$G$2:$G$573,SITE!$B$2:$B$573,B12)</f>
        <v/>
      </c>
      <c r="K12">
        <f>IF(J12-TODAY()&lt;183,"임박","")</f>
        <v/>
      </c>
    </row>
    <row r="13">
      <c r="A13" t="inlineStr">
        <is>
          <t>C012</t>
        </is>
      </c>
      <c r="B13" t="inlineStr">
        <is>
          <t>대일가스</t>
        </is>
      </c>
      <c r="C13" t="inlineStr">
        <is>
          <t>(주)대일가스</t>
        </is>
      </c>
      <c r="D13">
        <f>COUNTIF(SITE!$B$2:$B$573,B13)</f>
        <v/>
      </c>
      <c r="E13">
        <f>SUMIFS(SITE!$H$2:$H$573,SITE!$B$2:$B$573,B13)</f>
        <v/>
      </c>
      <c r="F13">
        <f>IF(COUNTIFS(SITE!$B$2:$B$573,B13,SITE!$E$2:$E$573,"완제의약품")&gt;0,"Y","")</f>
        <v/>
      </c>
      <c r="G13">
        <f>IF(COUNTIFS(SITE!$B$2:$B$573,B13,SITE!$E$2:$E$573,"원료의약품")&gt;0,"Y","")</f>
        <v/>
      </c>
      <c r="H13">
        <f>IF(COUNTIFS(SITE!$B$2:$B$573,B13,SITE!$I$2:$I$573,"Y")&gt;0,"Y","")</f>
        <v/>
      </c>
      <c r="I13">
        <f>IF(COUNTIFS(SITE!$B$2:$B$573,B13,SITE!$J$2:$J$573,"Y")&gt;0,"Y","")</f>
        <v/>
      </c>
      <c r="J13">
        <f>MINIFS(SITE!$G$2:$G$573,SITE!$B$2:$B$573,B13)</f>
        <v/>
      </c>
      <c r="K13">
        <f>IF(J13-TODAY()&lt;183,"임박","")</f>
        <v/>
      </c>
    </row>
    <row r="14">
      <c r="A14" t="inlineStr">
        <is>
          <t>C013</t>
        </is>
      </c>
      <c r="B14" t="inlineStr">
        <is>
          <t>동방산업가스</t>
        </is>
      </c>
      <c r="C14" t="inlineStr">
        <is>
          <t>동방산업가스</t>
        </is>
      </c>
      <c r="D14">
        <f>COUNTIF(SITE!$B$2:$B$573,B14)</f>
        <v/>
      </c>
      <c r="E14">
        <f>SUMIFS(SITE!$H$2:$H$573,SITE!$B$2:$B$573,B14)</f>
        <v/>
      </c>
      <c r="F14">
        <f>IF(COUNTIFS(SITE!$B$2:$B$573,B14,SITE!$E$2:$E$573,"완제의약품")&gt;0,"Y","")</f>
        <v/>
      </c>
      <c r="G14">
        <f>IF(COUNTIFS(SITE!$B$2:$B$573,B14,SITE!$E$2:$E$573,"원료의약품")&gt;0,"Y","")</f>
        <v/>
      </c>
      <c r="H14">
        <f>IF(COUNTIFS(SITE!$B$2:$B$573,B14,SITE!$I$2:$I$573,"Y")&gt;0,"Y","")</f>
        <v/>
      </c>
      <c r="I14">
        <f>IF(COUNTIFS(SITE!$B$2:$B$573,B14,SITE!$J$2:$J$573,"Y")&gt;0,"Y","")</f>
        <v/>
      </c>
      <c r="J14">
        <f>MINIFS(SITE!$G$2:$G$573,SITE!$B$2:$B$573,B14)</f>
        <v/>
      </c>
      <c r="K14">
        <f>IF(J14-TODAY()&lt;183,"임박","")</f>
        <v/>
      </c>
    </row>
    <row r="15">
      <c r="A15" t="inlineStr">
        <is>
          <t>C014</t>
        </is>
      </c>
      <c r="B15" t="inlineStr">
        <is>
          <t>에어코리아</t>
        </is>
      </c>
      <c r="C15" t="inlineStr">
        <is>
          <t>에어코리아(주)</t>
        </is>
      </c>
      <c r="D15">
        <f>COUNTIF(SITE!$B$2:$B$573,B15)</f>
        <v/>
      </c>
      <c r="E15">
        <f>SUMIFS(SITE!$H$2:$H$573,SITE!$B$2:$B$573,B15)</f>
        <v/>
      </c>
      <c r="F15">
        <f>IF(COUNTIFS(SITE!$B$2:$B$573,B15,SITE!$E$2:$E$573,"완제의약품")&gt;0,"Y","")</f>
        <v/>
      </c>
      <c r="G15">
        <f>IF(COUNTIFS(SITE!$B$2:$B$573,B15,SITE!$E$2:$E$573,"원료의약품")&gt;0,"Y","")</f>
        <v/>
      </c>
      <c r="H15">
        <f>IF(COUNTIFS(SITE!$B$2:$B$573,B15,SITE!$I$2:$I$573,"Y")&gt;0,"Y","")</f>
        <v/>
      </c>
      <c r="I15">
        <f>IF(COUNTIFS(SITE!$B$2:$B$573,B15,SITE!$J$2:$J$573,"Y")&gt;0,"Y","")</f>
        <v/>
      </c>
      <c r="J15">
        <f>MINIFS(SITE!$G$2:$G$573,SITE!$B$2:$B$573,B15)</f>
        <v/>
      </c>
      <c r="K15">
        <f>IF(J15-TODAY()&lt;183,"임박","")</f>
        <v/>
      </c>
    </row>
    <row r="16">
      <c r="A16" t="inlineStr">
        <is>
          <t>C015</t>
        </is>
      </c>
      <c r="B16" t="inlineStr">
        <is>
          <t>유케이케미팜</t>
        </is>
      </c>
      <c r="C16" t="inlineStr">
        <is>
          <t>(주)유케이케미팜</t>
        </is>
      </c>
      <c r="D16">
        <f>COUNTIF(SITE!$B$2:$B$573,B16)</f>
        <v/>
      </c>
      <c r="E16">
        <f>SUMIFS(SITE!$H$2:$H$573,SITE!$B$2:$B$573,B16)</f>
        <v/>
      </c>
      <c r="F16">
        <f>IF(COUNTIFS(SITE!$B$2:$B$573,B16,SITE!$E$2:$E$573,"완제의약품")&gt;0,"Y","")</f>
        <v/>
      </c>
      <c r="G16">
        <f>IF(COUNTIFS(SITE!$B$2:$B$573,B16,SITE!$E$2:$E$573,"원료의약품")&gt;0,"Y","")</f>
        <v/>
      </c>
      <c r="H16">
        <f>IF(COUNTIFS(SITE!$B$2:$B$573,B16,SITE!$I$2:$I$573,"Y")&gt;0,"Y","")</f>
        <v/>
      </c>
      <c r="I16">
        <f>IF(COUNTIFS(SITE!$B$2:$B$573,B16,SITE!$J$2:$J$573,"Y")&gt;0,"Y","")</f>
        <v/>
      </c>
      <c r="J16">
        <f>MINIFS(SITE!$G$2:$G$573,SITE!$B$2:$B$573,B16)</f>
        <v/>
      </c>
      <c r="K16">
        <f>IF(J16-TODAY()&lt;183,"임박","")</f>
        <v/>
      </c>
    </row>
    <row r="17">
      <c r="A17" t="inlineStr">
        <is>
          <t>C016</t>
        </is>
      </c>
      <c r="B17" t="inlineStr">
        <is>
          <t>금오가스</t>
        </is>
      </c>
      <c r="C17" t="inlineStr">
        <is>
          <t>금오가스(주)</t>
        </is>
      </c>
      <c r="D17">
        <f>COUNTIF(SITE!$B$2:$B$573,B17)</f>
        <v/>
      </c>
      <c r="E17">
        <f>SUMIFS(SITE!$H$2:$H$573,SITE!$B$2:$B$573,B17)</f>
        <v/>
      </c>
      <c r="F17">
        <f>IF(COUNTIFS(SITE!$B$2:$B$573,B17,SITE!$E$2:$E$573,"완제의약품")&gt;0,"Y","")</f>
        <v/>
      </c>
      <c r="G17">
        <f>IF(COUNTIFS(SITE!$B$2:$B$573,B17,SITE!$E$2:$E$573,"원료의약품")&gt;0,"Y","")</f>
        <v/>
      </c>
      <c r="H17">
        <f>IF(COUNTIFS(SITE!$B$2:$B$573,B17,SITE!$I$2:$I$573,"Y")&gt;0,"Y","")</f>
        <v/>
      </c>
      <c r="I17">
        <f>IF(COUNTIFS(SITE!$B$2:$B$573,B17,SITE!$J$2:$J$573,"Y")&gt;0,"Y","")</f>
        <v/>
      </c>
      <c r="J17">
        <f>MINIFS(SITE!$G$2:$G$573,SITE!$B$2:$B$573,B17)</f>
        <v/>
      </c>
      <c r="K17">
        <f>IF(J17-TODAY()&lt;183,"임박","")</f>
        <v/>
      </c>
    </row>
    <row r="18">
      <c r="A18" t="inlineStr">
        <is>
          <t>C017</t>
        </is>
      </c>
      <c r="B18" t="inlineStr">
        <is>
          <t>정우신약</t>
        </is>
      </c>
      <c r="C18" t="inlineStr">
        <is>
          <t>정우신약(주)</t>
        </is>
      </c>
      <c r="D18">
        <f>COUNTIF(SITE!$B$2:$B$573,B18)</f>
        <v/>
      </c>
      <c r="E18">
        <f>SUMIFS(SITE!$H$2:$H$573,SITE!$B$2:$B$573,B18)</f>
        <v/>
      </c>
      <c r="F18">
        <f>IF(COUNTIFS(SITE!$B$2:$B$573,B18,SITE!$E$2:$E$573,"완제의약품")&gt;0,"Y","")</f>
        <v/>
      </c>
      <c r="G18">
        <f>IF(COUNTIFS(SITE!$B$2:$B$573,B18,SITE!$E$2:$E$573,"원료의약품")&gt;0,"Y","")</f>
        <v/>
      </c>
      <c r="H18">
        <f>IF(COUNTIFS(SITE!$B$2:$B$573,B18,SITE!$I$2:$I$573,"Y")&gt;0,"Y","")</f>
        <v/>
      </c>
      <c r="I18">
        <f>IF(COUNTIFS(SITE!$B$2:$B$573,B18,SITE!$J$2:$J$573,"Y")&gt;0,"Y","")</f>
        <v/>
      </c>
      <c r="J18">
        <f>MINIFS(SITE!$G$2:$G$573,SITE!$B$2:$B$573,B18)</f>
        <v/>
      </c>
      <c r="K18">
        <f>IF(J18-TODAY()&lt;183,"임박","")</f>
        <v/>
      </c>
    </row>
    <row r="19">
      <c r="A19" t="inlineStr">
        <is>
          <t>C018</t>
        </is>
      </c>
      <c r="B19" t="inlineStr">
        <is>
          <t>퍼슨</t>
        </is>
      </c>
      <c r="C19" t="inlineStr">
        <is>
          <t>(주)퍼슨</t>
        </is>
      </c>
      <c r="D19">
        <f>COUNTIF(SITE!$B$2:$B$573,B19)</f>
        <v/>
      </c>
      <c r="E19">
        <f>SUMIFS(SITE!$H$2:$H$573,SITE!$B$2:$B$573,B19)</f>
        <v/>
      </c>
      <c r="F19">
        <f>IF(COUNTIFS(SITE!$B$2:$B$573,B19,SITE!$E$2:$E$573,"완제의약품")&gt;0,"Y","")</f>
        <v/>
      </c>
      <c r="G19">
        <f>IF(COUNTIFS(SITE!$B$2:$B$573,B19,SITE!$E$2:$E$573,"원료의약품")&gt;0,"Y","")</f>
        <v/>
      </c>
      <c r="H19">
        <f>IF(COUNTIFS(SITE!$B$2:$B$573,B19,SITE!$I$2:$I$573,"Y")&gt;0,"Y","")</f>
        <v/>
      </c>
      <c r="I19">
        <f>IF(COUNTIFS(SITE!$B$2:$B$573,B19,SITE!$J$2:$J$573,"Y")&gt;0,"Y","")</f>
        <v/>
      </c>
      <c r="J19">
        <f>MINIFS(SITE!$G$2:$G$573,SITE!$B$2:$B$573,B19)</f>
        <v/>
      </c>
      <c r="K19">
        <f>IF(J19-TODAY()&lt;183,"임박","")</f>
        <v/>
      </c>
    </row>
    <row r="20">
      <c r="A20" t="inlineStr">
        <is>
          <t>C019</t>
        </is>
      </c>
      <c r="B20" t="inlineStr">
        <is>
          <t>셀비온</t>
        </is>
      </c>
      <c r="C20" t="inlineStr">
        <is>
          <t>(주)셀비온</t>
        </is>
      </c>
      <c r="D20">
        <f>COUNTIF(SITE!$B$2:$B$573,B20)</f>
        <v/>
      </c>
      <c r="E20">
        <f>SUMIFS(SITE!$H$2:$H$573,SITE!$B$2:$B$573,B20)</f>
        <v/>
      </c>
      <c r="F20">
        <f>IF(COUNTIFS(SITE!$B$2:$B$573,B20,SITE!$E$2:$E$573,"완제의약품")&gt;0,"Y","")</f>
        <v/>
      </c>
      <c r="G20">
        <f>IF(COUNTIFS(SITE!$B$2:$B$573,B20,SITE!$E$2:$E$573,"원료의약품")&gt;0,"Y","")</f>
        <v/>
      </c>
      <c r="H20">
        <f>IF(COUNTIFS(SITE!$B$2:$B$573,B20,SITE!$I$2:$I$573,"Y")&gt;0,"Y","")</f>
        <v/>
      </c>
      <c r="I20">
        <f>IF(COUNTIFS(SITE!$B$2:$B$573,B20,SITE!$J$2:$J$573,"Y")&gt;0,"Y","")</f>
        <v/>
      </c>
      <c r="J20">
        <f>MINIFS(SITE!$G$2:$G$573,SITE!$B$2:$B$573,B20)</f>
        <v/>
      </c>
      <c r="K20">
        <f>IF(J20-TODAY()&lt;183,"임박","")</f>
        <v/>
      </c>
      <c r="L20" t="inlineStr">
        <is>
          <t>Y</t>
        </is>
      </c>
      <c r="M20" t="inlineStr">
        <is>
          <t>코스닥</t>
        </is>
      </c>
      <c r="N20" t="inlineStr">
        <is>
          <t>308430</t>
        </is>
      </c>
      <c r="O20" t="inlineStr">
        <is>
          <t>의약품 제조업</t>
        </is>
      </c>
      <c r="P20" t="inlineStr">
        <is>
          <t>셀비온그린주, 셀비온메브로페닌주, 도페정 등</t>
        </is>
      </c>
      <c r="Q20" t="inlineStr">
        <is>
          <t>김권</t>
        </is>
      </c>
      <c r="R20" t="inlineStr">
        <is>
          <t>http://cellbion.co.kr</t>
        </is>
      </c>
      <c r="S20" t="inlineStr">
        <is>
          <t>서울특별시</t>
        </is>
      </c>
    </row>
    <row r="21">
      <c r="A21" t="inlineStr">
        <is>
          <t>C020</t>
        </is>
      </c>
      <c r="B21" t="inlineStr">
        <is>
          <t>석전의료공업</t>
        </is>
      </c>
      <c r="C21" t="inlineStr">
        <is>
          <t>석전의료공업(주)</t>
        </is>
      </c>
      <c r="D21">
        <f>COUNTIF(SITE!$B$2:$B$573,B21)</f>
        <v/>
      </c>
      <c r="E21">
        <f>SUMIFS(SITE!$H$2:$H$573,SITE!$B$2:$B$573,B21)</f>
        <v/>
      </c>
      <c r="F21">
        <f>IF(COUNTIFS(SITE!$B$2:$B$573,B21,SITE!$E$2:$E$573,"완제의약품")&gt;0,"Y","")</f>
        <v/>
      </c>
      <c r="G21">
        <f>IF(COUNTIFS(SITE!$B$2:$B$573,B21,SITE!$E$2:$E$573,"원료의약품")&gt;0,"Y","")</f>
        <v/>
      </c>
      <c r="H21">
        <f>IF(COUNTIFS(SITE!$B$2:$B$573,B21,SITE!$I$2:$I$573,"Y")&gt;0,"Y","")</f>
        <v/>
      </c>
      <c r="I21">
        <f>IF(COUNTIFS(SITE!$B$2:$B$573,B21,SITE!$J$2:$J$573,"Y")&gt;0,"Y","")</f>
        <v/>
      </c>
      <c r="J21">
        <f>MINIFS(SITE!$G$2:$G$573,SITE!$B$2:$B$573,B21)</f>
        <v/>
      </c>
      <c r="K21">
        <f>IF(J21-TODAY()&lt;183,"임박","")</f>
        <v/>
      </c>
    </row>
    <row r="22">
      <c r="A22" t="inlineStr">
        <is>
          <t>C021</t>
        </is>
      </c>
      <c r="B22" t="inlineStr">
        <is>
          <t>에이치디엑스</t>
        </is>
      </c>
      <c r="C22" t="inlineStr">
        <is>
          <t>에이치디엑스(주)</t>
        </is>
      </c>
      <c r="D22">
        <f>COUNTIF(SITE!$B$2:$B$573,B22)</f>
        <v/>
      </c>
      <c r="E22">
        <f>SUMIFS(SITE!$H$2:$H$573,SITE!$B$2:$B$573,B22)</f>
        <v/>
      </c>
      <c r="F22">
        <f>IF(COUNTIFS(SITE!$B$2:$B$573,B22,SITE!$E$2:$E$573,"완제의약품")&gt;0,"Y","")</f>
        <v/>
      </c>
      <c r="G22">
        <f>IF(COUNTIFS(SITE!$B$2:$B$573,B22,SITE!$E$2:$E$573,"원료의약품")&gt;0,"Y","")</f>
        <v/>
      </c>
      <c r="H22">
        <f>IF(COUNTIFS(SITE!$B$2:$B$573,B22,SITE!$I$2:$I$573,"Y")&gt;0,"Y","")</f>
        <v/>
      </c>
      <c r="I22">
        <f>IF(COUNTIFS(SITE!$B$2:$B$573,B22,SITE!$J$2:$J$573,"Y")&gt;0,"Y","")</f>
        <v/>
      </c>
      <c r="J22">
        <f>MINIFS(SITE!$G$2:$G$573,SITE!$B$2:$B$573,B22)</f>
        <v/>
      </c>
      <c r="K22">
        <f>IF(J22-TODAY()&lt;183,"임박","")</f>
        <v/>
      </c>
    </row>
    <row r="23">
      <c r="A23" t="inlineStr">
        <is>
          <t>C022</t>
        </is>
      </c>
      <c r="B23" t="inlineStr">
        <is>
          <t>이니바이오</t>
        </is>
      </c>
      <c r="C23" t="inlineStr">
        <is>
          <t>(주)이니바이오</t>
        </is>
      </c>
      <c r="D23">
        <f>COUNTIF(SITE!$B$2:$B$573,B23)</f>
        <v/>
      </c>
      <c r="E23">
        <f>SUMIFS(SITE!$H$2:$H$573,SITE!$B$2:$B$573,B23)</f>
        <v/>
      </c>
      <c r="F23">
        <f>IF(COUNTIFS(SITE!$B$2:$B$573,B23,SITE!$E$2:$E$573,"완제의약품")&gt;0,"Y","")</f>
        <v/>
      </c>
      <c r="G23">
        <f>IF(COUNTIFS(SITE!$B$2:$B$573,B23,SITE!$E$2:$E$573,"원료의약품")&gt;0,"Y","")</f>
        <v/>
      </c>
      <c r="H23">
        <f>IF(COUNTIFS(SITE!$B$2:$B$573,B23,SITE!$I$2:$I$573,"Y")&gt;0,"Y","")</f>
        <v/>
      </c>
      <c r="I23">
        <f>IF(COUNTIFS(SITE!$B$2:$B$573,B23,SITE!$J$2:$J$573,"Y")&gt;0,"Y","")</f>
        <v/>
      </c>
      <c r="J23">
        <f>MINIFS(SITE!$G$2:$G$573,SITE!$B$2:$B$573,B23)</f>
        <v/>
      </c>
      <c r="K23">
        <f>IF(J23-TODAY()&lt;183,"임박","")</f>
        <v/>
      </c>
    </row>
    <row r="24">
      <c r="A24" t="inlineStr">
        <is>
          <t>C023</t>
        </is>
      </c>
      <c r="B24" t="inlineStr">
        <is>
          <t>제노스</t>
        </is>
      </c>
      <c r="C24" t="inlineStr">
        <is>
          <t>주식회사제노스</t>
        </is>
      </c>
      <c r="D24">
        <f>COUNTIF(SITE!$B$2:$B$573,B24)</f>
        <v/>
      </c>
      <c r="E24">
        <f>SUMIFS(SITE!$H$2:$H$573,SITE!$B$2:$B$573,B24)</f>
        <v/>
      </c>
      <c r="F24">
        <f>IF(COUNTIFS(SITE!$B$2:$B$573,B24,SITE!$E$2:$E$573,"완제의약품")&gt;0,"Y","")</f>
        <v/>
      </c>
      <c r="G24">
        <f>IF(COUNTIFS(SITE!$B$2:$B$573,B24,SITE!$E$2:$E$573,"원료의약품")&gt;0,"Y","")</f>
        <v/>
      </c>
      <c r="H24">
        <f>IF(COUNTIFS(SITE!$B$2:$B$573,B24,SITE!$I$2:$I$573,"Y")&gt;0,"Y","")</f>
        <v/>
      </c>
      <c r="I24">
        <f>IF(COUNTIFS(SITE!$B$2:$B$573,B24,SITE!$J$2:$J$573,"Y")&gt;0,"Y","")</f>
        <v/>
      </c>
      <c r="J24">
        <f>MINIFS(SITE!$G$2:$G$573,SITE!$B$2:$B$573,B24)</f>
        <v/>
      </c>
      <c r="K24">
        <f>IF(J24-TODAY()&lt;183,"임박","")</f>
        <v/>
      </c>
    </row>
    <row r="25">
      <c r="A25" t="inlineStr">
        <is>
          <t>C024</t>
        </is>
      </c>
      <c r="B25" t="inlineStr">
        <is>
          <t>비앤씨코리아</t>
        </is>
      </c>
      <c r="C25" t="inlineStr">
        <is>
          <t>(주)비앤씨코리아</t>
        </is>
      </c>
      <c r="D25">
        <f>COUNTIF(SITE!$B$2:$B$573,B25)</f>
        <v/>
      </c>
      <c r="E25">
        <f>SUMIFS(SITE!$H$2:$H$573,SITE!$B$2:$B$573,B25)</f>
        <v/>
      </c>
      <c r="F25">
        <f>IF(COUNTIFS(SITE!$B$2:$B$573,B25,SITE!$E$2:$E$573,"완제의약품")&gt;0,"Y","")</f>
        <v/>
      </c>
      <c r="G25">
        <f>IF(COUNTIFS(SITE!$B$2:$B$573,B25,SITE!$E$2:$E$573,"원료의약품")&gt;0,"Y","")</f>
        <v/>
      </c>
      <c r="H25">
        <f>IF(COUNTIFS(SITE!$B$2:$B$573,B25,SITE!$I$2:$I$573,"Y")&gt;0,"Y","")</f>
        <v/>
      </c>
      <c r="I25">
        <f>IF(COUNTIFS(SITE!$B$2:$B$573,B25,SITE!$J$2:$J$573,"Y")&gt;0,"Y","")</f>
        <v/>
      </c>
      <c r="J25">
        <f>MINIFS(SITE!$G$2:$G$573,SITE!$B$2:$B$573,B25)</f>
        <v/>
      </c>
      <c r="K25">
        <f>IF(J25-TODAY()&lt;183,"임박","")</f>
        <v/>
      </c>
    </row>
    <row r="26">
      <c r="A26" t="inlineStr">
        <is>
          <t>C025</t>
        </is>
      </c>
      <c r="B26" t="inlineStr">
        <is>
          <t>삼성산소</t>
        </is>
      </c>
      <c r="C26" t="inlineStr">
        <is>
          <t>삼성산소(주)</t>
        </is>
      </c>
      <c r="D26">
        <f>COUNTIF(SITE!$B$2:$B$573,B26)</f>
        <v/>
      </c>
      <c r="E26">
        <f>SUMIFS(SITE!$H$2:$H$573,SITE!$B$2:$B$573,B26)</f>
        <v/>
      </c>
      <c r="F26">
        <f>IF(COUNTIFS(SITE!$B$2:$B$573,B26,SITE!$E$2:$E$573,"완제의약품")&gt;0,"Y","")</f>
        <v/>
      </c>
      <c r="G26">
        <f>IF(COUNTIFS(SITE!$B$2:$B$573,B26,SITE!$E$2:$E$573,"원료의약품")&gt;0,"Y","")</f>
        <v/>
      </c>
      <c r="H26">
        <f>IF(COUNTIFS(SITE!$B$2:$B$573,B26,SITE!$I$2:$I$573,"Y")&gt;0,"Y","")</f>
        <v/>
      </c>
      <c r="I26">
        <f>IF(COUNTIFS(SITE!$B$2:$B$573,B26,SITE!$J$2:$J$573,"Y")&gt;0,"Y","")</f>
        <v/>
      </c>
      <c r="J26">
        <f>MINIFS(SITE!$G$2:$G$573,SITE!$B$2:$B$573,B26)</f>
        <v/>
      </c>
      <c r="K26">
        <f>IF(J26-TODAY()&lt;183,"임박","")</f>
        <v/>
      </c>
    </row>
    <row r="27">
      <c r="A27" t="inlineStr">
        <is>
          <t>C026</t>
        </is>
      </c>
      <c r="B27" t="inlineStr">
        <is>
          <t>유니메드제약</t>
        </is>
      </c>
      <c r="C27" t="inlineStr">
        <is>
          <t>유니메드제약(주)</t>
        </is>
      </c>
      <c r="D27">
        <f>COUNTIF(SITE!$B$2:$B$573,B27)</f>
        <v/>
      </c>
      <c r="E27">
        <f>SUMIFS(SITE!$H$2:$H$573,SITE!$B$2:$B$573,B27)</f>
        <v/>
      </c>
      <c r="F27">
        <f>IF(COUNTIFS(SITE!$B$2:$B$573,B27,SITE!$E$2:$E$573,"완제의약품")&gt;0,"Y","")</f>
        <v/>
      </c>
      <c r="G27">
        <f>IF(COUNTIFS(SITE!$B$2:$B$573,B27,SITE!$E$2:$E$573,"원료의약품")&gt;0,"Y","")</f>
        <v/>
      </c>
      <c r="H27">
        <f>IF(COUNTIFS(SITE!$B$2:$B$573,B27,SITE!$I$2:$I$573,"Y")&gt;0,"Y","")</f>
        <v/>
      </c>
      <c r="I27">
        <f>IF(COUNTIFS(SITE!$B$2:$B$573,B27,SITE!$J$2:$J$573,"Y")&gt;0,"Y","")</f>
        <v/>
      </c>
      <c r="J27">
        <f>MINIFS(SITE!$G$2:$G$573,SITE!$B$2:$B$573,B27)</f>
        <v/>
      </c>
      <c r="K27">
        <f>IF(J27-TODAY()&lt;183,"임박","")</f>
        <v/>
      </c>
    </row>
    <row r="28">
      <c r="A28" t="inlineStr">
        <is>
          <t>C027</t>
        </is>
      </c>
      <c r="B28" t="inlineStr">
        <is>
          <t>카이바이오텍</t>
        </is>
      </c>
      <c r="C28" t="inlineStr">
        <is>
          <t>(주)카이바이오텍</t>
        </is>
      </c>
      <c r="D28">
        <f>COUNTIF(SITE!$B$2:$B$573,B28)</f>
        <v/>
      </c>
      <c r="E28">
        <f>SUMIFS(SITE!$H$2:$H$573,SITE!$B$2:$B$573,B28)</f>
        <v/>
      </c>
      <c r="F28">
        <f>IF(COUNTIFS(SITE!$B$2:$B$573,B28,SITE!$E$2:$E$573,"완제의약품")&gt;0,"Y","")</f>
        <v/>
      </c>
      <c r="G28">
        <f>IF(COUNTIFS(SITE!$B$2:$B$573,B28,SITE!$E$2:$E$573,"원료의약품")&gt;0,"Y","")</f>
        <v/>
      </c>
      <c r="H28">
        <f>IF(COUNTIFS(SITE!$B$2:$B$573,B28,SITE!$I$2:$I$573,"Y")&gt;0,"Y","")</f>
        <v/>
      </c>
      <c r="I28">
        <f>IF(COUNTIFS(SITE!$B$2:$B$573,B28,SITE!$J$2:$J$573,"Y")&gt;0,"Y","")</f>
        <v/>
      </c>
      <c r="J28">
        <f>MINIFS(SITE!$G$2:$G$573,SITE!$B$2:$B$573,B28)</f>
        <v/>
      </c>
      <c r="K28">
        <f>IF(J28-TODAY()&lt;183,"임박","")</f>
        <v/>
      </c>
    </row>
    <row r="29">
      <c r="A29" t="inlineStr">
        <is>
          <t>C028</t>
        </is>
      </c>
      <c r="B29" t="inlineStr">
        <is>
          <t>셀릭스</t>
        </is>
      </c>
      <c r="C29" t="inlineStr">
        <is>
          <t>(주)셀릭스</t>
        </is>
      </c>
      <c r="D29">
        <f>COUNTIF(SITE!$B$2:$B$573,B29)</f>
        <v/>
      </c>
      <c r="E29">
        <f>SUMIFS(SITE!$H$2:$H$573,SITE!$B$2:$B$573,B29)</f>
        <v/>
      </c>
      <c r="F29">
        <f>IF(COUNTIFS(SITE!$B$2:$B$573,B29,SITE!$E$2:$E$573,"완제의약품")&gt;0,"Y","")</f>
        <v/>
      </c>
      <c r="G29">
        <f>IF(COUNTIFS(SITE!$B$2:$B$573,B29,SITE!$E$2:$E$573,"원료의약품")&gt;0,"Y","")</f>
        <v/>
      </c>
      <c r="H29">
        <f>IF(COUNTIFS(SITE!$B$2:$B$573,B29,SITE!$I$2:$I$573,"Y")&gt;0,"Y","")</f>
        <v/>
      </c>
      <c r="I29">
        <f>IF(COUNTIFS(SITE!$B$2:$B$573,B29,SITE!$J$2:$J$573,"Y")&gt;0,"Y","")</f>
        <v/>
      </c>
      <c r="J29">
        <f>MINIFS(SITE!$G$2:$G$573,SITE!$B$2:$B$573,B29)</f>
        <v/>
      </c>
      <c r="K29">
        <f>IF(J29-TODAY()&lt;183,"임박","")</f>
        <v/>
      </c>
    </row>
    <row r="30">
      <c r="A30" t="inlineStr">
        <is>
          <t>C029</t>
        </is>
      </c>
      <c r="B30" t="inlineStr">
        <is>
          <t>아이월드제약</t>
        </is>
      </c>
      <c r="C30" t="inlineStr">
        <is>
          <t>(주)아이월드제약</t>
        </is>
      </c>
      <c r="D30">
        <f>COUNTIF(SITE!$B$2:$B$573,B30)</f>
        <v/>
      </c>
      <c r="E30">
        <f>SUMIFS(SITE!$H$2:$H$573,SITE!$B$2:$B$573,B30)</f>
        <v/>
      </c>
      <c r="F30">
        <f>IF(COUNTIFS(SITE!$B$2:$B$573,B30,SITE!$E$2:$E$573,"완제의약품")&gt;0,"Y","")</f>
        <v/>
      </c>
      <c r="G30">
        <f>IF(COUNTIFS(SITE!$B$2:$B$573,B30,SITE!$E$2:$E$573,"원료의약품")&gt;0,"Y","")</f>
        <v/>
      </c>
      <c r="H30">
        <f>IF(COUNTIFS(SITE!$B$2:$B$573,B30,SITE!$I$2:$I$573,"Y")&gt;0,"Y","")</f>
        <v/>
      </c>
      <c r="I30">
        <f>IF(COUNTIFS(SITE!$B$2:$B$573,B30,SITE!$J$2:$J$573,"Y")&gt;0,"Y","")</f>
        <v/>
      </c>
      <c r="J30">
        <f>MINIFS(SITE!$G$2:$G$573,SITE!$B$2:$B$573,B30)</f>
        <v/>
      </c>
      <c r="K30">
        <f>IF(J30-TODAY()&lt;183,"임박","")</f>
        <v/>
      </c>
    </row>
    <row r="31">
      <c r="A31" t="inlineStr">
        <is>
          <t>C030</t>
        </is>
      </c>
      <c r="B31" t="inlineStr">
        <is>
          <t>프로톡스</t>
        </is>
      </c>
      <c r="C31" t="inlineStr">
        <is>
          <t>(주)프로톡스</t>
        </is>
      </c>
      <c r="D31">
        <f>COUNTIF(SITE!$B$2:$B$573,B31)</f>
        <v/>
      </c>
      <c r="E31">
        <f>SUMIFS(SITE!$H$2:$H$573,SITE!$B$2:$B$573,B31)</f>
        <v/>
      </c>
      <c r="F31">
        <f>IF(COUNTIFS(SITE!$B$2:$B$573,B31,SITE!$E$2:$E$573,"완제의약품")&gt;0,"Y","")</f>
        <v/>
      </c>
      <c r="G31">
        <f>IF(COUNTIFS(SITE!$B$2:$B$573,B31,SITE!$E$2:$E$573,"원료의약품")&gt;0,"Y","")</f>
        <v/>
      </c>
      <c r="H31">
        <f>IF(COUNTIFS(SITE!$B$2:$B$573,B31,SITE!$I$2:$I$573,"Y")&gt;0,"Y","")</f>
        <v/>
      </c>
      <c r="I31">
        <f>IF(COUNTIFS(SITE!$B$2:$B$573,B31,SITE!$J$2:$J$573,"Y")&gt;0,"Y","")</f>
        <v/>
      </c>
      <c r="J31">
        <f>MINIFS(SITE!$G$2:$G$573,SITE!$B$2:$B$573,B31)</f>
        <v/>
      </c>
      <c r="K31">
        <f>IF(J31-TODAY()&lt;183,"임박","")</f>
        <v/>
      </c>
    </row>
    <row r="32">
      <c r="A32" t="inlineStr">
        <is>
          <t>C031</t>
        </is>
      </c>
      <c r="B32" t="inlineStr">
        <is>
          <t>라이프슈티컬</t>
        </is>
      </c>
      <c r="C32" t="inlineStr">
        <is>
          <t>라이프슈티컬</t>
        </is>
      </c>
      <c r="D32">
        <f>COUNTIF(SITE!$B$2:$B$573,B32)</f>
        <v/>
      </c>
      <c r="E32">
        <f>SUMIFS(SITE!$H$2:$H$573,SITE!$B$2:$B$573,B32)</f>
        <v/>
      </c>
      <c r="F32">
        <f>IF(COUNTIFS(SITE!$B$2:$B$573,B32,SITE!$E$2:$E$573,"완제의약품")&gt;0,"Y","")</f>
        <v/>
      </c>
      <c r="G32">
        <f>IF(COUNTIFS(SITE!$B$2:$B$573,B32,SITE!$E$2:$E$573,"원료의약품")&gt;0,"Y","")</f>
        <v/>
      </c>
      <c r="H32">
        <f>IF(COUNTIFS(SITE!$B$2:$B$573,B32,SITE!$I$2:$I$573,"Y")&gt;0,"Y","")</f>
        <v/>
      </c>
      <c r="I32">
        <f>IF(COUNTIFS(SITE!$B$2:$B$573,B32,SITE!$J$2:$J$573,"Y")&gt;0,"Y","")</f>
        <v/>
      </c>
      <c r="J32">
        <f>MINIFS(SITE!$G$2:$G$573,SITE!$B$2:$B$573,B32)</f>
        <v/>
      </c>
      <c r="K32">
        <f>IF(J32-TODAY()&lt;183,"임박","")</f>
        <v/>
      </c>
    </row>
    <row r="33">
      <c r="A33" t="inlineStr">
        <is>
          <t>C032</t>
        </is>
      </c>
      <c r="B33" t="inlineStr">
        <is>
          <t>제주대학교병원</t>
        </is>
      </c>
      <c r="C33" t="inlineStr">
        <is>
          <t>제주대학교병원</t>
        </is>
      </c>
      <c r="D33">
        <f>COUNTIF(SITE!$B$2:$B$573,B33)</f>
        <v/>
      </c>
      <c r="E33">
        <f>SUMIFS(SITE!$H$2:$H$573,SITE!$B$2:$B$573,B33)</f>
        <v/>
      </c>
      <c r="F33">
        <f>IF(COUNTIFS(SITE!$B$2:$B$573,B33,SITE!$E$2:$E$573,"완제의약품")&gt;0,"Y","")</f>
        <v/>
      </c>
      <c r="G33">
        <f>IF(COUNTIFS(SITE!$B$2:$B$573,B33,SITE!$E$2:$E$573,"원료의약품")&gt;0,"Y","")</f>
        <v/>
      </c>
      <c r="H33">
        <f>IF(COUNTIFS(SITE!$B$2:$B$573,B33,SITE!$I$2:$I$573,"Y")&gt;0,"Y","")</f>
        <v/>
      </c>
      <c r="I33">
        <f>IF(COUNTIFS(SITE!$B$2:$B$573,B33,SITE!$J$2:$J$573,"Y")&gt;0,"Y","")</f>
        <v/>
      </c>
      <c r="J33">
        <f>MINIFS(SITE!$G$2:$G$573,SITE!$B$2:$B$573,B33)</f>
        <v/>
      </c>
      <c r="K33">
        <f>IF(J33-TODAY()&lt;183,"임박","")</f>
        <v/>
      </c>
    </row>
    <row r="34">
      <c r="A34" t="inlineStr">
        <is>
          <t>C033</t>
        </is>
      </c>
      <c r="B34" t="inlineStr">
        <is>
          <t>삼성서울병원</t>
        </is>
      </c>
      <c r="C34" t="inlineStr">
        <is>
          <t>삼성서울병원</t>
        </is>
      </c>
      <c r="D34">
        <f>COUNTIF(SITE!$B$2:$B$573,B34)</f>
        <v/>
      </c>
      <c r="E34">
        <f>SUMIFS(SITE!$H$2:$H$573,SITE!$B$2:$B$573,B34)</f>
        <v/>
      </c>
      <c r="F34">
        <f>IF(COUNTIFS(SITE!$B$2:$B$573,B34,SITE!$E$2:$E$573,"완제의약품")&gt;0,"Y","")</f>
        <v/>
      </c>
      <c r="G34">
        <f>IF(COUNTIFS(SITE!$B$2:$B$573,B34,SITE!$E$2:$E$573,"원료의약품")&gt;0,"Y","")</f>
        <v/>
      </c>
      <c r="H34">
        <f>IF(COUNTIFS(SITE!$B$2:$B$573,B34,SITE!$I$2:$I$573,"Y")&gt;0,"Y","")</f>
        <v/>
      </c>
      <c r="I34">
        <f>IF(COUNTIFS(SITE!$B$2:$B$573,B34,SITE!$J$2:$J$573,"Y")&gt;0,"Y","")</f>
        <v/>
      </c>
      <c r="J34">
        <f>MINIFS(SITE!$G$2:$G$573,SITE!$B$2:$B$573,B34)</f>
        <v/>
      </c>
      <c r="K34">
        <f>IF(J34-TODAY()&lt;183,"임박","")</f>
        <v/>
      </c>
    </row>
    <row r="35">
      <c r="A35" t="inlineStr">
        <is>
          <t>C034</t>
        </is>
      </c>
      <c r="B35" t="inlineStr">
        <is>
          <t>동아제약</t>
        </is>
      </c>
      <c r="C35" t="inlineStr">
        <is>
          <t>동아제약(주)</t>
        </is>
      </c>
      <c r="D35">
        <f>COUNTIF(SITE!$B$2:$B$573,B35)</f>
        <v/>
      </c>
      <c r="E35">
        <f>SUMIFS(SITE!$H$2:$H$573,SITE!$B$2:$B$573,B35)</f>
        <v/>
      </c>
      <c r="F35">
        <f>IF(COUNTIFS(SITE!$B$2:$B$573,B35,SITE!$E$2:$E$573,"완제의약품")&gt;0,"Y","")</f>
        <v/>
      </c>
      <c r="G35">
        <f>IF(COUNTIFS(SITE!$B$2:$B$573,B35,SITE!$E$2:$E$573,"원료의약품")&gt;0,"Y","")</f>
        <v/>
      </c>
      <c r="H35">
        <f>IF(COUNTIFS(SITE!$B$2:$B$573,B35,SITE!$I$2:$I$573,"Y")&gt;0,"Y","")</f>
        <v/>
      </c>
      <c r="I35">
        <f>IF(COUNTIFS(SITE!$B$2:$B$573,B35,SITE!$J$2:$J$573,"Y")&gt;0,"Y","")</f>
        <v/>
      </c>
      <c r="J35">
        <f>MINIFS(SITE!$G$2:$G$573,SITE!$B$2:$B$573,B35)</f>
        <v/>
      </c>
      <c r="K35">
        <f>IF(J35-TODAY()&lt;183,"임박","")</f>
        <v/>
      </c>
    </row>
    <row r="36">
      <c r="A36" t="inlineStr">
        <is>
          <t>C035</t>
        </is>
      </c>
      <c r="B36" t="inlineStr">
        <is>
          <t>화순전남대학병원</t>
        </is>
      </c>
      <c r="C36" t="inlineStr">
        <is>
          <t>화순전남대학병원</t>
        </is>
      </c>
      <c r="D36">
        <f>COUNTIF(SITE!$B$2:$B$573,B36)</f>
        <v/>
      </c>
      <c r="E36">
        <f>SUMIFS(SITE!$H$2:$H$573,SITE!$B$2:$B$573,B36)</f>
        <v/>
      </c>
      <c r="F36">
        <f>IF(COUNTIFS(SITE!$B$2:$B$573,B36,SITE!$E$2:$E$573,"완제의약품")&gt;0,"Y","")</f>
        <v/>
      </c>
      <c r="G36">
        <f>IF(COUNTIFS(SITE!$B$2:$B$573,B36,SITE!$E$2:$E$573,"원료의약품")&gt;0,"Y","")</f>
        <v/>
      </c>
      <c r="H36">
        <f>IF(COUNTIFS(SITE!$B$2:$B$573,B36,SITE!$I$2:$I$573,"Y")&gt;0,"Y","")</f>
        <v/>
      </c>
      <c r="I36">
        <f>IF(COUNTIFS(SITE!$B$2:$B$573,B36,SITE!$J$2:$J$573,"Y")&gt;0,"Y","")</f>
        <v/>
      </c>
      <c r="J36">
        <f>MINIFS(SITE!$G$2:$G$573,SITE!$B$2:$B$573,B36)</f>
        <v/>
      </c>
      <c r="K36">
        <f>IF(J36-TODAY()&lt;183,"임박","")</f>
        <v/>
      </c>
    </row>
    <row r="37">
      <c r="A37" t="inlineStr">
        <is>
          <t>C036</t>
        </is>
      </c>
      <c r="B37" t="inlineStr">
        <is>
          <t>한국특수가스</t>
        </is>
      </c>
      <c r="C37" t="inlineStr">
        <is>
          <t>한국특수가스(주)</t>
        </is>
      </c>
      <c r="D37">
        <f>COUNTIF(SITE!$B$2:$B$573,B37)</f>
        <v/>
      </c>
      <c r="E37">
        <f>SUMIFS(SITE!$H$2:$H$573,SITE!$B$2:$B$573,B37)</f>
        <v/>
      </c>
      <c r="F37">
        <f>IF(COUNTIFS(SITE!$B$2:$B$573,B37,SITE!$E$2:$E$573,"완제의약품")&gt;0,"Y","")</f>
        <v/>
      </c>
      <c r="G37">
        <f>IF(COUNTIFS(SITE!$B$2:$B$573,B37,SITE!$E$2:$E$573,"원료의약품")&gt;0,"Y","")</f>
        <v/>
      </c>
      <c r="H37">
        <f>IF(COUNTIFS(SITE!$B$2:$B$573,B37,SITE!$I$2:$I$573,"Y")&gt;0,"Y","")</f>
        <v/>
      </c>
      <c r="I37">
        <f>IF(COUNTIFS(SITE!$B$2:$B$573,B37,SITE!$J$2:$J$573,"Y")&gt;0,"Y","")</f>
        <v/>
      </c>
      <c r="J37">
        <f>MINIFS(SITE!$G$2:$G$573,SITE!$B$2:$B$573,B37)</f>
        <v/>
      </c>
      <c r="K37">
        <f>IF(J37-TODAY()&lt;183,"임박","")</f>
        <v/>
      </c>
    </row>
    <row r="38">
      <c r="A38" t="inlineStr">
        <is>
          <t>C037</t>
        </is>
      </c>
      <c r="B38" t="inlineStr">
        <is>
          <t>큐로셀</t>
        </is>
      </c>
      <c r="C38" t="inlineStr">
        <is>
          <t>주식회사 큐로셀</t>
        </is>
      </c>
      <c r="D38">
        <f>COUNTIF(SITE!$B$2:$B$573,B38)</f>
        <v/>
      </c>
      <c r="E38">
        <f>SUMIFS(SITE!$H$2:$H$573,SITE!$B$2:$B$573,B38)</f>
        <v/>
      </c>
      <c r="F38">
        <f>IF(COUNTIFS(SITE!$B$2:$B$573,B38,SITE!$E$2:$E$573,"완제의약품")&gt;0,"Y","")</f>
        <v/>
      </c>
      <c r="G38">
        <f>IF(COUNTIFS(SITE!$B$2:$B$573,B38,SITE!$E$2:$E$573,"원료의약품")&gt;0,"Y","")</f>
        <v/>
      </c>
      <c r="H38">
        <f>IF(COUNTIFS(SITE!$B$2:$B$573,B38,SITE!$I$2:$I$573,"Y")&gt;0,"Y","")</f>
        <v/>
      </c>
      <c r="I38">
        <f>IF(COUNTIFS(SITE!$B$2:$B$573,B38,SITE!$J$2:$J$573,"Y")&gt;0,"Y","")</f>
        <v/>
      </c>
      <c r="J38">
        <f>MINIFS(SITE!$G$2:$G$573,SITE!$B$2:$B$573,B38)</f>
        <v/>
      </c>
      <c r="K38">
        <f>IF(J38-TODAY()&lt;183,"임박","")</f>
        <v/>
      </c>
      <c r="L38" t="inlineStr">
        <is>
          <t>Y</t>
        </is>
      </c>
      <c r="M38" t="inlineStr">
        <is>
          <t>코스닥</t>
        </is>
      </c>
      <c r="N38" t="inlineStr">
        <is>
          <t>372320</t>
        </is>
      </c>
      <c r="O38" t="inlineStr">
        <is>
          <t>자연과학 및 공학 연구개발업</t>
        </is>
      </c>
      <c r="P38" t="inlineStr">
        <is>
          <t>CAR-T 세포치료제</t>
        </is>
      </c>
      <c r="Q38" t="inlineStr">
        <is>
          <t>김건수</t>
        </is>
      </c>
      <c r="R38" t="inlineStr">
        <is>
          <t>http://curocellbtx.com</t>
        </is>
      </c>
      <c r="S38" t="inlineStr">
        <is>
          <t>대전광역시</t>
        </is>
      </c>
    </row>
    <row r="39">
      <c r="A39" t="inlineStr">
        <is>
          <t>C038</t>
        </is>
      </c>
      <c r="B39" t="inlineStr">
        <is>
          <t>한국코러스</t>
        </is>
      </c>
      <c r="C39" t="inlineStr">
        <is>
          <t>한국코러스(주)</t>
        </is>
      </c>
      <c r="D39">
        <f>COUNTIF(SITE!$B$2:$B$573,B39)</f>
        <v/>
      </c>
      <c r="E39">
        <f>SUMIFS(SITE!$H$2:$H$573,SITE!$B$2:$B$573,B39)</f>
        <v/>
      </c>
      <c r="F39">
        <f>IF(COUNTIFS(SITE!$B$2:$B$573,B39,SITE!$E$2:$E$573,"완제의약품")&gt;0,"Y","")</f>
        <v/>
      </c>
      <c r="G39">
        <f>IF(COUNTIFS(SITE!$B$2:$B$573,B39,SITE!$E$2:$E$573,"원료의약품")&gt;0,"Y","")</f>
        <v/>
      </c>
      <c r="H39">
        <f>IF(COUNTIFS(SITE!$B$2:$B$573,B39,SITE!$I$2:$I$573,"Y")&gt;0,"Y","")</f>
        <v/>
      </c>
      <c r="I39">
        <f>IF(COUNTIFS(SITE!$B$2:$B$573,B39,SITE!$J$2:$J$573,"Y")&gt;0,"Y","")</f>
        <v/>
      </c>
      <c r="J39">
        <f>MINIFS(SITE!$G$2:$G$573,SITE!$B$2:$B$573,B39)</f>
        <v/>
      </c>
      <c r="K39">
        <f>IF(J39-TODAY()&lt;183,"임박","")</f>
        <v/>
      </c>
    </row>
    <row r="40">
      <c r="A40" t="inlineStr">
        <is>
          <t>C039</t>
        </is>
      </c>
      <c r="B40" t="inlineStr">
        <is>
          <t>선도산업</t>
        </is>
      </c>
      <c r="C40" t="inlineStr">
        <is>
          <t>선도산업(주)</t>
        </is>
      </c>
      <c r="D40">
        <f>COUNTIF(SITE!$B$2:$B$573,B40)</f>
        <v/>
      </c>
      <c r="E40">
        <f>SUMIFS(SITE!$H$2:$H$573,SITE!$B$2:$B$573,B40)</f>
        <v/>
      </c>
      <c r="F40">
        <f>IF(COUNTIFS(SITE!$B$2:$B$573,B40,SITE!$E$2:$E$573,"완제의약품")&gt;0,"Y","")</f>
        <v/>
      </c>
      <c r="G40">
        <f>IF(COUNTIFS(SITE!$B$2:$B$573,B40,SITE!$E$2:$E$573,"원료의약품")&gt;0,"Y","")</f>
        <v/>
      </c>
      <c r="H40">
        <f>IF(COUNTIFS(SITE!$B$2:$B$573,B40,SITE!$I$2:$I$573,"Y")&gt;0,"Y","")</f>
        <v/>
      </c>
      <c r="I40">
        <f>IF(COUNTIFS(SITE!$B$2:$B$573,B40,SITE!$J$2:$J$573,"Y")&gt;0,"Y","")</f>
        <v/>
      </c>
      <c r="J40">
        <f>MINIFS(SITE!$G$2:$G$573,SITE!$B$2:$B$573,B40)</f>
        <v/>
      </c>
      <c r="K40">
        <f>IF(J40-TODAY()&lt;183,"임박","")</f>
        <v/>
      </c>
    </row>
    <row r="41">
      <c r="A41" t="inlineStr">
        <is>
          <t>C040</t>
        </is>
      </c>
      <c r="B41" t="inlineStr">
        <is>
          <t>엘앤씨바이오</t>
        </is>
      </c>
      <c r="C41" t="inlineStr">
        <is>
          <t>(주)엘앤씨바이오</t>
        </is>
      </c>
      <c r="D41">
        <f>COUNTIF(SITE!$B$2:$B$573,B41)</f>
        <v/>
      </c>
      <c r="E41">
        <f>SUMIFS(SITE!$H$2:$H$573,SITE!$B$2:$B$573,B41)</f>
        <v/>
      </c>
      <c r="F41">
        <f>IF(COUNTIFS(SITE!$B$2:$B$573,B41,SITE!$E$2:$E$573,"완제의약품")&gt;0,"Y","")</f>
        <v/>
      </c>
      <c r="G41">
        <f>IF(COUNTIFS(SITE!$B$2:$B$573,B41,SITE!$E$2:$E$573,"원료의약품")&gt;0,"Y","")</f>
        <v/>
      </c>
      <c r="H41">
        <f>IF(COUNTIFS(SITE!$B$2:$B$573,B41,SITE!$I$2:$I$573,"Y")&gt;0,"Y","")</f>
        <v/>
      </c>
      <c r="I41">
        <f>IF(COUNTIFS(SITE!$B$2:$B$573,B41,SITE!$J$2:$J$573,"Y")&gt;0,"Y","")</f>
        <v/>
      </c>
      <c r="J41">
        <f>MINIFS(SITE!$G$2:$G$573,SITE!$B$2:$B$573,B41)</f>
        <v/>
      </c>
      <c r="K41">
        <f>IF(J41-TODAY()&lt;183,"임박","")</f>
        <v/>
      </c>
      <c r="L41" t="inlineStr">
        <is>
          <t>Y</t>
        </is>
      </c>
      <c r="M41" t="inlineStr">
        <is>
          <t>코스닥</t>
        </is>
      </c>
      <c r="N41" t="inlineStr">
        <is>
          <t>290650</t>
        </is>
      </c>
      <c r="O41" t="inlineStr">
        <is>
          <t>의약품 제조업</t>
        </is>
      </c>
      <c r="P41" t="inlineStr">
        <is>
          <t>인체조직(피부, 뼈, 연골)</t>
        </is>
      </c>
      <c r="Q41" t="inlineStr">
        <is>
          <t>이환철, 이재호 (각자 대표이사)</t>
        </is>
      </c>
      <c r="R41" t="inlineStr">
        <is>
          <t>http://www.lncbio.co.kr</t>
        </is>
      </c>
      <c r="S41" t="inlineStr">
        <is>
          <t>경기도</t>
        </is>
      </c>
    </row>
    <row r="42">
      <c r="A42" t="inlineStr">
        <is>
          <t>C041</t>
        </is>
      </c>
      <c r="B42" t="inlineStr">
        <is>
          <t>퓨쳐켐</t>
        </is>
      </c>
      <c r="C42" t="inlineStr">
        <is>
          <t>(주)퓨쳐켐</t>
        </is>
      </c>
      <c r="D42">
        <f>COUNTIF(SITE!$B$2:$B$573,B42)</f>
        <v/>
      </c>
      <c r="E42">
        <f>SUMIFS(SITE!$H$2:$H$573,SITE!$B$2:$B$573,B42)</f>
        <v/>
      </c>
      <c r="F42">
        <f>IF(COUNTIFS(SITE!$B$2:$B$573,B42,SITE!$E$2:$E$573,"완제의약품")&gt;0,"Y","")</f>
        <v/>
      </c>
      <c r="G42">
        <f>IF(COUNTIFS(SITE!$B$2:$B$573,B42,SITE!$E$2:$E$573,"원료의약품")&gt;0,"Y","")</f>
        <v/>
      </c>
      <c r="H42">
        <f>IF(COUNTIFS(SITE!$B$2:$B$573,B42,SITE!$I$2:$I$573,"Y")&gt;0,"Y","")</f>
        <v/>
      </c>
      <c r="I42">
        <f>IF(COUNTIFS(SITE!$B$2:$B$573,B42,SITE!$J$2:$J$573,"Y")&gt;0,"Y","")</f>
        <v/>
      </c>
      <c r="J42">
        <f>MINIFS(SITE!$G$2:$G$573,SITE!$B$2:$B$573,B42)</f>
        <v/>
      </c>
      <c r="K42">
        <f>IF(J42-TODAY()&lt;183,"임박","")</f>
        <v/>
      </c>
      <c r="L42" t="inlineStr">
        <is>
          <t>Y</t>
        </is>
      </c>
      <c r="M42" t="inlineStr">
        <is>
          <t>코스닥</t>
        </is>
      </c>
      <c r="N42" t="inlineStr">
        <is>
          <t>220100</t>
        </is>
      </c>
      <c r="O42" t="inlineStr">
        <is>
          <t>의약품 제조업</t>
        </is>
      </c>
      <c r="P42" t="inlineStr">
        <is>
          <t>PET 방사성의약품, 자동합성장치, 합성시약 및 전구체</t>
        </is>
      </c>
      <c r="Q42" t="inlineStr">
        <is>
          <t>지대윤</t>
        </is>
      </c>
      <c r="S42" t="inlineStr">
        <is>
          <t>서울특별시</t>
        </is>
      </c>
    </row>
    <row r="43">
      <c r="A43" t="inlineStr">
        <is>
          <t>C042</t>
        </is>
      </c>
      <c r="B43" t="inlineStr">
        <is>
          <t>동성제약</t>
        </is>
      </c>
      <c r="C43" t="inlineStr">
        <is>
          <t>동성제약(주)</t>
        </is>
      </c>
      <c r="D43">
        <f>COUNTIF(SITE!$B$2:$B$573,B43)</f>
        <v/>
      </c>
      <c r="E43">
        <f>SUMIFS(SITE!$H$2:$H$573,SITE!$B$2:$B$573,B43)</f>
        <v/>
      </c>
      <c r="F43">
        <f>IF(COUNTIFS(SITE!$B$2:$B$573,B43,SITE!$E$2:$E$573,"완제의약품")&gt;0,"Y","")</f>
        <v/>
      </c>
      <c r="G43">
        <f>IF(COUNTIFS(SITE!$B$2:$B$573,B43,SITE!$E$2:$E$573,"원료의약품")&gt;0,"Y","")</f>
        <v/>
      </c>
      <c r="H43">
        <f>IF(COUNTIFS(SITE!$B$2:$B$573,B43,SITE!$I$2:$I$573,"Y")&gt;0,"Y","")</f>
        <v/>
      </c>
      <c r="I43">
        <f>IF(COUNTIFS(SITE!$B$2:$B$573,B43,SITE!$J$2:$J$573,"Y")&gt;0,"Y","")</f>
        <v/>
      </c>
      <c r="J43">
        <f>MINIFS(SITE!$G$2:$G$573,SITE!$B$2:$B$573,B43)</f>
        <v/>
      </c>
      <c r="K43">
        <f>IF(J43-TODAY()&lt;183,"임박","")</f>
        <v/>
      </c>
      <c r="L43" t="inlineStr">
        <is>
          <t>Y</t>
        </is>
      </c>
      <c r="M43" t="inlineStr">
        <is>
          <t>유가</t>
        </is>
      </c>
      <c r="N43" t="inlineStr">
        <is>
          <t>002210</t>
        </is>
      </c>
      <c r="O43" t="inlineStr">
        <is>
          <t>의약품 제조업</t>
        </is>
      </c>
      <c r="P43" t="inlineStr">
        <is>
          <t>의약품,화장품 제조,도매</t>
        </is>
      </c>
      <c r="Q43" t="inlineStr">
        <is>
          <t>최용석</t>
        </is>
      </c>
      <c r="R43" t="inlineStr">
        <is>
          <t>http://dongsung-pharm.co.kr</t>
        </is>
      </c>
      <c r="S43" t="inlineStr">
        <is>
          <t>서울특별시</t>
        </is>
      </c>
    </row>
    <row r="44">
      <c r="A44" t="inlineStr">
        <is>
          <t>C043</t>
        </is>
      </c>
      <c r="B44" t="inlineStr">
        <is>
          <t>대한약품공업</t>
        </is>
      </c>
      <c r="C44" t="inlineStr">
        <is>
          <t>대한약품공업(주)</t>
        </is>
      </c>
      <c r="D44">
        <f>COUNTIF(SITE!$B$2:$B$573,B44)</f>
        <v/>
      </c>
      <c r="E44">
        <f>SUMIFS(SITE!$H$2:$H$573,SITE!$B$2:$B$573,B44)</f>
        <v/>
      </c>
      <c r="F44">
        <f>IF(COUNTIFS(SITE!$B$2:$B$573,B44,SITE!$E$2:$E$573,"완제의약품")&gt;0,"Y","")</f>
        <v/>
      </c>
      <c r="G44">
        <f>IF(COUNTIFS(SITE!$B$2:$B$573,B44,SITE!$E$2:$E$573,"원료의약품")&gt;0,"Y","")</f>
        <v/>
      </c>
      <c r="H44">
        <f>IF(COUNTIFS(SITE!$B$2:$B$573,B44,SITE!$I$2:$I$573,"Y")&gt;0,"Y","")</f>
        <v/>
      </c>
      <c r="I44">
        <f>IF(COUNTIFS(SITE!$B$2:$B$573,B44,SITE!$J$2:$J$573,"Y")&gt;0,"Y","")</f>
        <v/>
      </c>
      <c r="J44">
        <f>MINIFS(SITE!$G$2:$G$573,SITE!$B$2:$B$573,B44)</f>
        <v/>
      </c>
      <c r="K44">
        <f>IF(J44-TODAY()&lt;183,"임박","")</f>
        <v/>
      </c>
    </row>
    <row r="45">
      <c r="A45" t="inlineStr">
        <is>
          <t>C044</t>
        </is>
      </c>
      <c r="B45" t="inlineStr">
        <is>
          <t>대우제약</t>
        </is>
      </c>
      <c r="C45" t="inlineStr">
        <is>
          <t>대우제약(주)</t>
        </is>
      </c>
      <c r="D45">
        <f>COUNTIF(SITE!$B$2:$B$573,B45)</f>
        <v/>
      </c>
      <c r="E45">
        <f>SUMIFS(SITE!$H$2:$H$573,SITE!$B$2:$B$573,B45)</f>
        <v/>
      </c>
      <c r="F45">
        <f>IF(COUNTIFS(SITE!$B$2:$B$573,B45,SITE!$E$2:$E$573,"완제의약품")&gt;0,"Y","")</f>
        <v/>
      </c>
      <c r="G45">
        <f>IF(COUNTIFS(SITE!$B$2:$B$573,B45,SITE!$E$2:$E$573,"원료의약품")&gt;0,"Y","")</f>
        <v/>
      </c>
      <c r="H45">
        <f>IF(COUNTIFS(SITE!$B$2:$B$573,B45,SITE!$I$2:$I$573,"Y")&gt;0,"Y","")</f>
        <v/>
      </c>
      <c r="I45">
        <f>IF(COUNTIFS(SITE!$B$2:$B$573,B45,SITE!$J$2:$J$573,"Y")&gt;0,"Y","")</f>
        <v/>
      </c>
      <c r="J45">
        <f>MINIFS(SITE!$G$2:$G$573,SITE!$B$2:$B$573,B45)</f>
        <v/>
      </c>
      <c r="K45">
        <f>IF(J45-TODAY()&lt;183,"임박","")</f>
        <v/>
      </c>
    </row>
    <row r="46">
      <c r="A46" t="inlineStr">
        <is>
          <t>C045</t>
        </is>
      </c>
      <c r="B46" t="inlineStr">
        <is>
          <t>삼성제약</t>
        </is>
      </c>
      <c r="C46" t="inlineStr">
        <is>
          <t>삼성제약(주)</t>
        </is>
      </c>
      <c r="D46">
        <f>COUNTIF(SITE!$B$2:$B$573,B46)</f>
        <v/>
      </c>
      <c r="E46">
        <f>SUMIFS(SITE!$H$2:$H$573,SITE!$B$2:$B$573,B46)</f>
        <v/>
      </c>
      <c r="F46">
        <f>IF(COUNTIFS(SITE!$B$2:$B$573,B46,SITE!$E$2:$E$573,"완제의약품")&gt;0,"Y","")</f>
        <v/>
      </c>
      <c r="G46">
        <f>IF(COUNTIFS(SITE!$B$2:$B$573,B46,SITE!$E$2:$E$573,"원료의약품")&gt;0,"Y","")</f>
        <v/>
      </c>
      <c r="H46">
        <f>IF(COUNTIFS(SITE!$B$2:$B$573,B46,SITE!$I$2:$I$573,"Y")&gt;0,"Y","")</f>
        <v/>
      </c>
      <c r="I46">
        <f>IF(COUNTIFS(SITE!$B$2:$B$573,B46,SITE!$J$2:$J$573,"Y")&gt;0,"Y","")</f>
        <v/>
      </c>
      <c r="J46">
        <f>MINIFS(SITE!$G$2:$G$573,SITE!$B$2:$B$573,B46)</f>
        <v/>
      </c>
      <c r="K46">
        <f>IF(J46-TODAY()&lt;183,"임박","")</f>
        <v/>
      </c>
      <c r="L46" t="inlineStr">
        <is>
          <t>Y</t>
        </is>
      </c>
      <c r="M46" t="inlineStr">
        <is>
          <t>유가</t>
        </is>
      </c>
      <c r="N46" t="inlineStr">
        <is>
          <t>001360</t>
        </is>
      </c>
      <c r="O46" t="inlineStr">
        <is>
          <t>의약품 제조업</t>
        </is>
      </c>
      <c r="P46" t="inlineStr">
        <is>
          <t>의약품(까스명수,쓸기담,에프킬라에어졸,액체우황청심원) 제조,도매</t>
        </is>
      </c>
      <c r="Q46" t="inlineStr">
        <is>
          <t>정성택 대표이사</t>
        </is>
      </c>
      <c r="R46" t="inlineStr">
        <is>
          <t>http://www.sspharm.co.kr</t>
        </is>
      </c>
      <c r="S46" t="inlineStr">
        <is>
          <t>경기도</t>
        </is>
      </c>
    </row>
    <row r="47">
      <c r="A47" t="inlineStr">
        <is>
          <t>C046</t>
        </is>
      </c>
      <c r="B47" t="inlineStr">
        <is>
          <t>티디에스팜</t>
        </is>
      </c>
      <c r="C47" t="inlineStr">
        <is>
          <t>(주)티디에스팜</t>
        </is>
      </c>
      <c r="D47">
        <f>COUNTIF(SITE!$B$2:$B$573,B47)</f>
        <v/>
      </c>
      <c r="E47">
        <f>SUMIFS(SITE!$H$2:$H$573,SITE!$B$2:$B$573,B47)</f>
        <v/>
      </c>
      <c r="F47">
        <f>IF(COUNTIFS(SITE!$B$2:$B$573,B47,SITE!$E$2:$E$573,"완제의약품")&gt;0,"Y","")</f>
        <v/>
      </c>
      <c r="G47">
        <f>IF(COUNTIFS(SITE!$B$2:$B$573,B47,SITE!$E$2:$E$573,"원료의약품")&gt;0,"Y","")</f>
        <v/>
      </c>
      <c r="H47">
        <f>IF(COUNTIFS(SITE!$B$2:$B$573,B47,SITE!$I$2:$I$573,"Y")&gt;0,"Y","")</f>
        <v/>
      </c>
      <c r="I47">
        <f>IF(COUNTIFS(SITE!$B$2:$B$573,B47,SITE!$J$2:$J$573,"Y")&gt;0,"Y","")</f>
        <v/>
      </c>
      <c r="J47">
        <f>MINIFS(SITE!$G$2:$G$573,SITE!$B$2:$B$573,B47)</f>
        <v/>
      </c>
      <c r="K47">
        <f>IF(J47-TODAY()&lt;183,"임박","")</f>
        <v/>
      </c>
      <c r="L47" t="inlineStr">
        <is>
          <t>Y</t>
        </is>
      </c>
      <c r="M47" t="inlineStr">
        <is>
          <t>코스닥</t>
        </is>
      </c>
      <c r="N47" t="inlineStr">
        <is>
          <t>464280</t>
        </is>
      </c>
      <c r="O47" t="inlineStr">
        <is>
          <t>의약품 제조업</t>
        </is>
      </c>
      <c r="P47" t="inlineStr">
        <is>
          <t>경피약물전달시스템(습포제, 첩부제)</t>
        </is>
      </c>
      <c r="Q47" t="inlineStr">
        <is>
          <t>김철준</t>
        </is>
      </c>
      <c r="R47" t="inlineStr">
        <is>
          <t>http://www.tdspharm.com</t>
        </is>
      </c>
      <c r="S47" t="inlineStr">
        <is>
          <t>경기도</t>
        </is>
      </c>
    </row>
    <row r="48">
      <c r="A48" t="inlineStr">
        <is>
          <t>C047</t>
        </is>
      </c>
      <c r="B48" t="inlineStr">
        <is>
          <t>제이투가스</t>
        </is>
      </c>
      <c r="C48" t="inlineStr">
        <is>
          <t>주식회사제이투가스</t>
        </is>
      </c>
      <c r="D48">
        <f>COUNTIF(SITE!$B$2:$B$573,B48)</f>
        <v/>
      </c>
      <c r="E48">
        <f>SUMIFS(SITE!$H$2:$H$573,SITE!$B$2:$B$573,B48)</f>
        <v/>
      </c>
      <c r="F48">
        <f>IF(COUNTIFS(SITE!$B$2:$B$573,B48,SITE!$E$2:$E$573,"완제의약품")&gt;0,"Y","")</f>
        <v/>
      </c>
      <c r="G48">
        <f>IF(COUNTIFS(SITE!$B$2:$B$573,B48,SITE!$E$2:$E$573,"원료의약품")&gt;0,"Y","")</f>
        <v/>
      </c>
      <c r="H48">
        <f>IF(COUNTIFS(SITE!$B$2:$B$573,B48,SITE!$I$2:$I$573,"Y")&gt;0,"Y","")</f>
        <v/>
      </c>
      <c r="I48">
        <f>IF(COUNTIFS(SITE!$B$2:$B$573,B48,SITE!$J$2:$J$573,"Y")&gt;0,"Y","")</f>
        <v/>
      </c>
      <c r="J48">
        <f>MINIFS(SITE!$G$2:$G$573,SITE!$B$2:$B$573,B48)</f>
        <v/>
      </c>
      <c r="K48">
        <f>IF(J48-TODAY()&lt;183,"임박","")</f>
        <v/>
      </c>
    </row>
    <row r="49">
      <c r="A49" t="inlineStr">
        <is>
          <t>C048</t>
        </is>
      </c>
      <c r="B49" t="inlineStr">
        <is>
          <t>휴비스트제약</t>
        </is>
      </c>
      <c r="C49" t="inlineStr">
        <is>
          <t>(주)휴비스트제약</t>
        </is>
      </c>
      <c r="D49">
        <f>COUNTIF(SITE!$B$2:$B$573,B49)</f>
        <v/>
      </c>
      <c r="E49">
        <f>SUMIFS(SITE!$H$2:$H$573,SITE!$B$2:$B$573,B49)</f>
        <v/>
      </c>
      <c r="F49">
        <f>IF(COUNTIFS(SITE!$B$2:$B$573,B49,SITE!$E$2:$E$573,"완제의약품")&gt;0,"Y","")</f>
        <v/>
      </c>
      <c r="G49">
        <f>IF(COUNTIFS(SITE!$B$2:$B$573,B49,SITE!$E$2:$E$573,"원료의약품")&gt;0,"Y","")</f>
        <v/>
      </c>
      <c r="H49">
        <f>IF(COUNTIFS(SITE!$B$2:$B$573,B49,SITE!$I$2:$I$573,"Y")&gt;0,"Y","")</f>
        <v/>
      </c>
      <c r="I49">
        <f>IF(COUNTIFS(SITE!$B$2:$B$573,B49,SITE!$J$2:$J$573,"Y")&gt;0,"Y","")</f>
        <v/>
      </c>
      <c r="J49">
        <f>MINIFS(SITE!$G$2:$G$573,SITE!$B$2:$B$573,B49)</f>
        <v/>
      </c>
      <c r="K49">
        <f>IF(J49-TODAY()&lt;183,"임박","")</f>
        <v/>
      </c>
    </row>
    <row r="50">
      <c r="A50" t="inlineStr">
        <is>
          <t>C049</t>
        </is>
      </c>
      <c r="B50" t="inlineStr">
        <is>
          <t>동아에스티</t>
        </is>
      </c>
      <c r="C50" t="inlineStr">
        <is>
          <t>동아에스티(주)</t>
        </is>
      </c>
      <c r="D50">
        <f>COUNTIF(SITE!$B$2:$B$573,B50)</f>
        <v/>
      </c>
      <c r="E50">
        <f>SUMIFS(SITE!$H$2:$H$573,SITE!$B$2:$B$573,B50)</f>
        <v/>
      </c>
      <c r="F50">
        <f>IF(COUNTIFS(SITE!$B$2:$B$573,B50,SITE!$E$2:$E$573,"완제의약품")&gt;0,"Y","")</f>
        <v/>
      </c>
      <c r="G50">
        <f>IF(COUNTIFS(SITE!$B$2:$B$573,B50,SITE!$E$2:$E$573,"원료의약품")&gt;0,"Y","")</f>
        <v/>
      </c>
      <c r="H50">
        <f>IF(COUNTIFS(SITE!$B$2:$B$573,B50,SITE!$I$2:$I$573,"Y")&gt;0,"Y","")</f>
        <v/>
      </c>
      <c r="I50">
        <f>IF(COUNTIFS(SITE!$B$2:$B$573,B50,SITE!$J$2:$J$573,"Y")&gt;0,"Y","")</f>
        <v/>
      </c>
      <c r="J50">
        <f>MINIFS(SITE!$G$2:$G$573,SITE!$B$2:$B$573,B50)</f>
        <v/>
      </c>
      <c r="K50">
        <f>IF(J50-TODAY()&lt;183,"임박","")</f>
        <v/>
      </c>
      <c r="L50" t="inlineStr">
        <is>
          <t>Y</t>
        </is>
      </c>
      <c r="M50" t="inlineStr">
        <is>
          <t>유가</t>
        </is>
      </c>
      <c r="N50" t="inlineStr">
        <is>
          <t>170900</t>
        </is>
      </c>
      <c r="O50" t="inlineStr">
        <is>
          <t>의약품 제조업</t>
        </is>
      </c>
      <c r="P50" t="inlineStr">
        <is>
          <t>스티렌, 자이데나</t>
        </is>
      </c>
      <c r="Q50" t="inlineStr">
        <is>
          <t>정재훈</t>
        </is>
      </c>
      <c r="R50" t="inlineStr">
        <is>
          <t>http://www.donga.co.kr</t>
        </is>
      </c>
      <c r="S50" t="inlineStr">
        <is>
          <t>서울특별시</t>
        </is>
      </c>
    </row>
    <row r="51">
      <c r="A51" t="inlineStr">
        <is>
          <t>C050</t>
        </is>
      </c>
      <c r="B51" t="inlineStr">
        <is>
          <t>유바이오로직스</t>
        </is>
      </c>
      <c r="C51" t="inlineStr">
        <is>
          <t>(주)유바이오로직스</t>
        </is>
      </c>
      <c r="D51">
        <f>COUNTIF(SITE!$B$2:$B$573,B51)</f>
        <v/>
      </c>
      <c r="E51">
        <f>SUMIFS(SITE!$H$2:$H$573,SITE!$B$2:$B$573,B51)</f>
        <v/>
      </c>
      <c r="F51">
        <f>IF(COUNTIFS(SITE!$B$2:$B$573,B51,SITE!$E$2:$E$573,"완제의약품")&gt;0,"Y","")</f>
        <v/>
      </c>
      <c r="G51">
        <f>IF(COUNTIFS(SITE!$B$2:$B$573,B51,SITE!$E$2:$E$573,"원료의약품")&gt;0,"Y","")</f>
        <v/>
      </c>
      <c r="H51">
        <f>IF(COUNTIFS(SITE!$B$2:$B$573,B51,SITE!$I$2:$I$573,"Y")&gt;0,"Y","")</f>
        <v/>
      </c>
      <c r="I51">
        <f>IF(COUNTIFS(SITE!$B$2:$B$573,B51,SITE!$J$2:$J$573,"Y")&gt;0,"Y","")</f>
        <v/>
      </c>
      <c r="J51">
        <f>MINIFS(SITE!$G$2:$G$573,SITE!$B$2:$B$573,B51)</f>
        <v/>
      </c>
      <c r="K51">
        <f>IF(J51-TODAY()&lt;183,"임박","")</f>
        <v/>
      </c>
      <c r="L51" t="inlineStr">
        <is>
          <t>Y</t>
        </is>
      </c>
      <c r="M51" t="inlineStr">
        <is>
          <t>코스닥</t>
        </is>
      </c>
      <c r="N51" t="inlineStr">
        <is>
          <t>206650</t>
        </is>
      </c>
      <c r="O51" t="inlineStr">
        <is>
          <t>의약품 제조업</t>
        </is>
      </c>
      <c r="P51" t="inlineStr">
        <is>
          <t>경구용 콜레라 백신, 바이오의약품 수탁 연구 및 제조</t>
        </is>
      </c>
      <c r="Q51" t="inlineStr">
        <is>
          <t>백영옥,허태영(공동대표이사)</t>
        </is>
      </c>
      <c r="R51" t="inlineStr">
        <is>
          <t>http://www.eubiologics.com</t>
        </is>
      </c>
      <c r="S51" t="inlineStr">
        <is>
          <t>서울특별시</t>
        </is>
      </c>
    </row>
    <row r="52">
      <c r="A52" t="inlineStr">
        <is>
          <t>C051</t>
        </is>
      </c>
      <c r="B52" t="inlineStr">
        <is>
          <t>성일바이오엑스</t>
        </is>
      </c>
      <c r="C52" t="inlineStr">
        <is>
          <t>(주)성일바이오엑스</t>
        </is>
      </c>
      <c r="D52">
        <f>COUNTIF(SITE!$B$2:$B$573,B52)</f>
        <v/>
      </c>
      <c r="E52">
        <f>SUMIFS(SITE!$H$2:$H$573,SITE!$B$2:$B$573,B52)</f>
        <v/>
      </c>
      <c r="F52">
        <f>IF(COUNTIFS(SITE!$B$2:$B$573,B52,SITE!$E$2:$E$573,"완제의약품")&gt;0,"Y","")</f>
        <v/>
      </c>
      <c r="G52">
        <f>IF(COUNTIFS(SITE!$B$2:$B$573,B52,SITE!$E$2:$E$573,"원료의약품")&gt;0,"Y","")</f>
        <v/>
      </c>
      <c r="H52">
        <f>IF(COUNTIFS(SITE!$B$2:$B$573,B52,SITE!$I$2:$I$573,"Y")&gt;0,"Y","")</f>
        <v/>
      </c>
      <c r="I52">
        <f>IF(COUNTIFS(SITE!$B$2:$B$573,B52,SITE!$J$2:$J$573,"Y")&gt;0,"Y","")</f>
        <v/>
      </c>
      <c r="J52">
        <f>MINIFS(SITE!$G$2:$G$573,SITE!$B$2:$B$573,B52)</f>
        <v/>
      </c>
      <c r="K52">
        <f>IF(J52-TODAY()&lt;183,"임박","")</f>
        <v/>
      </c>
    </row>
    <row r="53">
      <c r="A53" t="inlineStr">
        <is>
          <t>C052</t>
        </is>
      </c>
      <c r="B53" t="inlineStr">
        <is>
          <t>영일제약</t>
        </is>
      </c>
      <c r="C53" t="inlineStr">
        <is>
          <t>영일제약(주)</t>
        </is>
      </c>
      <c r="D53">
        <f>COUNTIF(SITE!$B$2:$B$573,B53)</f>
        <v/>
      </c>
      <c r="E53">
        <f>SUMIFS(SITE!$H$2:$H$573,SITE!$B$2:$B$573,B53)</f>
        <v/>
      </c>
      <c r="F53">
        <f>IF(COUNTIFS(SITE!$B$2:$B$573,B53,SITE!$E$2:$E$573,"완제의약품")&gt;0,"Y","")</f>
        <v/>
      </c>
      <c r="G53">
        <f>IF(COUNTIFS(SITE!$B$2:$B$573,B53,SITE!$E$2:$E$573,"원료의약품")&gt;0,"Y","")</f>
        <v/>
      </c>
      <c r="H53">
        <f>IF(COUNTIFS(SITE!$B$2:$B$573,B53,SITE!$I$2:$I$573,"Y")&gt;0,"Y","")</f>
        <v/>
      </c>
      <c r="I53">
        <f>IF(COUNTIFS(SITE!$B$2:$B$573,B53,SITE!$J$2:$J$573,"Y")&gt;0,"Y","")</f>
        <v/>
      </c>
      <c r="J53">
        <f>MINIFS(SITE!$G$2:$G$573,SITE!$B$2:$B$573,B53)</f>
        <v/>
      </c>
      <c r="K53">
        <f>IF(J53-TODAY()&lt;183,"임박","")</f>
        <v/>
      </c>
    </row>
    <row r="54">
      <c r="A54" t="inlineStr">
        <is>
          <t>C053</t>
        </is>
      </c>
      <c r="B54" t="inlineStr">
        <is>
          <t>퓨쳐켐헬스케어</t>
        </is>
      </c>
      <c r="C54" t="inlineStr">
        <is>
          <t>(주)퓨쳐켐헬스케어</t>
        </is>
      </c>
      <c r="D54">
        <f>COUNTIF(SITE!$B$2:$B$573,B54)</f>
        <v/>
      </c>
      <c r="E54">
        <f>SUMIFS(SITE!$H$2:$H$573,SITE!$B$2:$B$573,B54)</f>
        <v/>
      </c>
      <c r="F54">
        <f>IF(COUNTIFS(SITE!$B$2:$B$573,B54,SITE!$E$2:$E$573,"완제의약품")&gt;0,"Y","")</f>
        <v/>
      </c>
      <c r="G54">
        <f>IF(COUNTIFS(SITE!$B$2:$B$573,B54,SITE!$E$2:$E$573,"원료의약품")&gt;0,"Y","")</f>
        <v/>
      </c>
      <c r="H54">
        <f>IF(COUNTIFS(SITE!$B$2:$B$573,B54,SITE!$I$2:$I$573,"Y")&gt;0,"Y","")</f>
        <v/>
      </c>
      <c r="I54">
        <f>IF(COUNTIFS(SITE!$B$2:$B$573,B54,SITE!$J$2:$J$573,"Y")&gt;0,"Y","")</f>
        <v/>
      </c>
      <c r="J54">
        <f>MINIFS(SITE!$G$2:$G$573,SITE!$B$2:$B$573,B54)</f>
        <v/>
      </c>
      <c r="K54">
        <f>IF(J54-TODAY()&lt;183,"임박","")</f>
        <v/>
      </c>
    </row>
    <row r="55">
      <c r="A55" t="inlineStr">
        <is>
          <t>C054</t>
        </is>
      </c>
      <c r="B55" t="inlineStr">
        <is>
          <t>에스티팜</t>
        </is>
      </c>
      <c r="C55" t="inlineStr">
        <is>
          <t>에스티팜주식회사</t>
        </is>
      </c>
      <c r="D55">
        <f>COUNTIF(SITE!$B$2:$B$573,B55)</f>
        <v/>
      </c>
      <c r="E55">
        <f>SUMIFS(SITE!$H$2:$H$573,SITE!$B$2:$B$573,B55)</f>
        <v/>
      </c>
      <c r="F55">
        <f>IF(COUNTIFS(SITE!$B$2:$B$573,B55,SITE!$E$2:$E$573,"완제의약품")&gt;0,"Y","")</f>
        <v/>
      </c>
      <c r="G55">
        <f>IF(COUNTIFS(SITE!$B$2:$B$573,B55,SITE!$E$2:$E$573,"원료의약품")&gt;0,"Y","")</f>
        <v/>
      </c>
      <c r="H55">
        <f>IF(COUNTIFS(SITE!$B$2:$B$573,B55,SITE!$I$2:$I$573,"Y")&gt;0,"Y","")</f>
        <v/>
      </c>
      <c r="I55">
        <f>IF(COUNTIFS(SITE!$B$2:$B$573,B55,SITE!$J$2:$J$573,"Y")&gt;0,"Y","")</f>
        <v/>
      </c>
      <c r="J55">
        <f>MINIFS(SITE!$G$2:$G$573,SITE!$B$2:$B$573,B55)</f>
        <v/>
      </c>
      <c r="K55">
        <f>IF(J55-TODAY()&lt;183,"임박","")</f>
        <v/>
      </c>
      <c r="L55" t="inlineStr">
        <is>
          <t>Y</t>
        </is>
      </c>
      <c r="M55" t="inlineStr">
        <is>
          <t>코스닥</t>
        </is>
      </c>
      <c r="N55" t="inlineStr">
        <is>
          <t>237690</t>
        </is>
      </c>
      <c r="O55" t="inlineStr">
        <is>
          <t>의약품 제조업</t>
        </is>
      </c>
      <c r="P55" t="inlineStr">
        <is>
          <t>원료의약품</t>
        </is>
      </c>
      <c r="Q55" t="inlineStr">
        <is>
          <t>Sung Moo-je</t>
        </is>
      </c>
      <c r="R55" t="inlineStr">
        <is>
          <t>http://www.stpharm.co.kr</t>
        </is>
      </c>
      <c r="S55" t="inlineStr">
        <is>
          <t>경기도</t>
        </is>
      </c>
    </row>
    <row r="56">
      <c r="A56" t="inlineStr">
        <is>
          <t>C055</t>
        </is>
      </c>
      <c r="B56" t="inlineStr">
        <is>
          <t>나주신일가스</t>
        </is>
      </c>
      <c r="C56" t="inlineStr">
        <is>
          <t>나주신일가스주식회사</t>
        </is>
      </c>
      <c r="D56">
        <f>COUNTIF(SITE!$B$2:$B$573,B56)</f>
        <v/>
      </c>
      <c r="E56">
        <f>SUMIFS(SITE!$H$2:$H$573,SITE!$B$2:$B$573,B56)</f>
        <v/>
      </c>
      <c r="F56">
        <f>IF(COUNTIFS(SITE!$B$2:$B$573,B56,SITE!$E$2:$E$573,"완제의약품")&gt;0,"Y","")</f>
        <v/>
      </c>
      <c r="G56">
        <f>IF(COUNTIFS(SITE!$B$2:$B$573,B56,SITE!$E$2:$E$573,"원료의약품")&gt;0,"Y","")</f>
        <v/>
      </c>
      <c r="H56">
        <f>IF(COUNTIFS(SITE!$B$2:$B$573,B56,SITE!$I$2:$I$573,"Y")&gt;0,"Y","")</f>
        <v/>
      </c>
      <c r="I56">
        <f>IF(COUNTIFS(SITE!$B$2:$B$573,B56,SITE!$J$2:$J$573,"Y")&gt;0,"Y","")</f>
        <v/>
      </c>
      <c r="J56">
        <f>MINIFS(SITE!$G$2:$G$573,SITE!$B$2:$B$573,B56)</f>
        <v/>
      </c>
      <c r="K56">
        <f>IF(J56-TODAY()&lt;183,"임박","")</f>
        <v/>
      </c>
    </row>
    <row r="57">
      <c r="A57" t="inlineStr">
        <is>
          <t>C056</t>
        </is>
      </c>
      <c r="B57" t="inlineStr">
        <is>
          <t>그린제약</t>
        </is>
      </c>
      <c r="C57" t="inlineStr">
        <is>
          <t>(주)그린제약</t>
        </is>
      </c>
      <c r="D57">
        <f>COUNTIF(SITE!$B$2:$B$573,B57)</f>
        <v/>
      </c>
      <c r="E57">
        <f>SUMIFS(SITE!$H$2:$H$573,SITE!$B$2:$B$573,B57)</f>
        <v/>
      </c>
      <c r="F57">
        <f>IF(COUNTIFS(SITE!$B$2:$B$573,B57,SITE!$E$2:$E$573,"완제의약품")&gt;0,"Y","")</f>
        <v/>
      </c>
      <c r="G57">
        <f>IF(COUNTIFS(SITE!$B$2:$B$573,B57,SITE!$E$2:$E$573,"원료의약품")&gt;0,"Y","")</f>
        <v/>
      </c>
      <c r="H57">
        <f>IF(COUNTIFS(SITE!$B$2:$B$573,B57,SITE!$I$2:$I$573,"Y")&gt;0,"Y","")</f>
        <v/>
      </c>
      <c r="I57">
        <f>IF(COUNTIFS(SITE!$B$2:$B$573,B57,SITE!$J$2:$J$573,"Y")&gt;0,"Y","")</f>
        <v/>
      </c>
      <c r="J57">
        <f>MINIFS(SITE!$G$2:$G$573,SITE!$B$2:$B$573,B57)</f>
        <v/>
      </c>
      <c r="K57">
        <f>IF(J57-TODAY()&lt;183,"임박","")</f>
        <v/>
      </c>
    </row>
    <row r="58">
      <c r="A58" t="inlineStr">
        <is>
          <t>C057</t>
        </is>
      </c>
      <c r="B58" t="inlineStr">
        <is>
          <t>보락</t>
        </is>
      </c>
      <c r="C58" t="inlineStr">
        <is>
          <t>(주)보락</t>
        </is>
      </c>
      <c r="D58">
        <f>COUNTIF(SITE!$B$2:$B$573,B58)</f>
        <v/>
      </c>
      <c r="E58">
        <f>SUMIFS(SITE!$H$2:$H$573,SITE!$B$2:$B$573,B58)</f>
        <v/>
      </c>
      <c r="F58">
        <f>IF(COUNTIFS(SITE!$B$2:$B$573,B58,SITE!$E$2:$E$573,"완제의약품")&gt;0,"Y","")</f>
        <v/>
      </c>
      <c r="G58">
        <f>IF(COUNTIFS(SITE!$B$2:$B$573,B58,SITE!$E$2:$E$573,"원료의약품")&gt;0,"Y","")</f>
        <v/>
      </c>
      <c r="H58">
        <f>IF(COUNTIFS(SITE!$B$2:$B$573,B58,SITE!$I$2:$I$573,"Y")&gt;0,"Y","")</f>
        <v/>
      </c>
      <c r="I58">
        <f>IF(COUNTIFS(SITE!$B$2:$B$573,B58,SITE!$J$2:$J$573,"Y")&gt;0,"Y","")</f>
        <v/>
      </c>
      <c r="J58">
        <f>MINIFS(SITE!$G$2:$G$573,SITE!$B$2:$B$573,B58)</f>
        <v/>
      </c>
      <c r="K58">
        <f>IF(J58-TODAY()&lt;183,"임박","")</f>
        <v/>
      </c>
      <c r="L58" t="inlineStr">
        <is>
          <t>Y</t>
        </is>
      </c>
      <c r="M58" t="inlineStr">
        <is>
          <t>유가</t>
        </is>
      </c>
      <c r="N58" t="inlineStr">
        <is>
          <t>002760</t>
        </is>
      </c>
      <c r="O58" t="inlineStr">
        <is>
          <t>기타 화학제품 제조업</t>
        </is>
      </c>
      <c r="P58" t="inlineStr">
        <is>
          <t>식품향료,식품첨가물,화학제품,껌베이스(자일리톨,에리스리톨),담배향료 제조,판매</t>
        </is>
      </c>
      <c r="Q58" t="inlineStr">
        <is>
          <t>정기련</t>
        </is>
      </c>
      <c r="R58" t="inlineStr">
        <is>
          <t>http://www.bolak.co.kr</t>
        </is>
      </c>
      <c r="S58" t="inlineStr">
        <is>
          <t>경기도</t>
        </is>
      </c>
    </row>
    <row r="59">
      <c r="A59" t="inlineStr">
        <is>
          <t>C058</t>
        </is>
      </c>
      <c r="B59" t="inlineStr">
        <is>
          <t>메디포스트</t>
        </is>
      </c>
      <c r="C59" t="inlineStr">
        <is>
          <t>메디포스트(주)</t>
        </is>
      </c>
      <c r="D59">
        <f>COUNTIF(SITE!$B$2:$B$573,B59)</f>
        <v/>
      </c>
      <c r="E59">
        <f>SUMIFS(SITE!$H$2:$H$573,SITE!$B$2:$B$573,B59)</f>
        <v/>
      </c>
      <c r="F59">
        <f>IF(COUNTIFS(SITE!$B$2:$B$573,B59,SITE!$E$2:$E$573,"완제의약품")&gt;0,"Y","")</f>
        <v/>
      </c>
      <c r="G59">
        <f>IF(COUNTIFS(SITE!$B$2:$B$573,B59,SITE!$E$2:$E$573,"원료의약품")&gt;0,"Y","")</f>
        <v/>
      </c>
      <c r="H59">
        <f>IF(COUNTIFS(SITE!$B$2:$B$573,B59,SITE!$I$2:$I$573,"Y")&gt;0,"Y","")</f>
        <v/>
      </c>
      <c r="I59">
        <f>IF(COUNTIFS(SITE!$B$2:$B$573,B59,SITE!$J$2:$J$573,"Y")&gt;0,"Y","")</f>
        <v/>
      </c>
      <c r="J59">
        <f>MINIFS(SITE!$G$2:$G$573,SITE!$B$2:$B$573,B59)</f>
        <v/>
      </c>
      <c r="K59">
        <f>IF(J59-TODAY()&lt;183,"임박","")</f>
        <v/>
      </c>
      <c r="L59" t="inlineStr">
        <is>
          <t>Y</t>
        </is>
      </c>
      <c r="M59" t="inlineStr">
        <is>
          <t>코스닥</t>
        </is>
      </c>
      <c r="N59" t="inlineStr">
        <is>
          <t>078160</t>
        </is>
      </c>
      <c r="O59" t="inlineStr">
        <is>
          <t>기초 의약물질 제조업</t>
        </is>
      </c>
      <c r="P59" t="inlineStr">
        <is>
          <t>제대혈은행</t>
        </is>
      </c>
      <c r="Q59" t="inlineStr">
        <is>
          <t>오원일</t>
        </is>
      </c>
      <c r="R59" t="inlineStr">
        <is>
          <t>http://www.medi-post.co.kr</t>
        </is>
      </c>
      <c r="S59" t="inlineStr">
        <is>
          <t>경기도</t>
        </is>
      </c>
    </row>
    <row r="60">
      <c r="A60" t="inlineStr">
        <is>
          <t>C059</t>
        </is>
      </c>
      <c r="B60" t="inlineStr">
        <is>
          <t>한국프라임제약</t>
        </is>
      </c>
      <c r="C60" t="inlineStr">
        <is>
          <t>한국프라임제약(주)</t>
        </is>
      </c>
      <c r="D60">
        <f>COUNTIF(SITE!$B$2:$B$573,B60)</f>
        <v/>
      </c>
      <c r="E60">
        <f>SUMIFS(SITE!$H$2:$H$573,SITE!$B$2:$B$573,B60)</f>
        <v/>
      </c>
      <c r="F60">
        <f>IF(COUNTIFS(SITE!$B$2:$B$573,B60,SITE!$E$2:$E$573,"완제의약품")&gt;0,"Y","")</f>
        <v/>
      </c>
      <c r="G60">
        <f>IF(COUNTIFS(SITE!$B$2:$B$573,B60,SITE!$E$2:$E$573,"원료의약품")&gt;0,"Y","")</f>
        <v/>
      </c>
      <c r="H60">
        <f>IF(COUNTIFS(SITE!$B$2:$B$573,B60,SITE!$I$2:$I$573,"Y")&gt;0,"Y","")</f>
        <v/>
      </c>
      <c r="I60">
        <f>IF(COUNTIFS(SITE!$B$2:$B$573,B60,SITE!$J$2:$J$573,"Y")&gt;0,"Y","")</f>
        <v/>
      </c>
      <c r="J60">
        <f>MINIFS(SITE!$G$2:$G$573,SITE!$B$2:$B$573,B60)</f>
        <v/>
      </c>
      <c r="K60">
        <f>IF(J60-TODAY()&lt;183,"임박","")</f>
        <v/>
      </c>
    </row>
    <row r="61">
      <c r="A61" t="inlineStr">
        <is>
          <t>C060</t>
        </is>
      </c>
      <c r="B61" t="inlineStr">
        <is>
          <t>제테마</t>
        </is>
      </c>
      <c r="C61" t="inlineStr">
        <is>
          <t>(주)제테마</t>
        </is>
      </c>
      <c r="D61">
        <f>COUNTIF(SITE!$B$2:$B$573,B61)</f>
        <v/>
      </c>
      <c r="E61">
        <f>SUMIFS(SITE!$H$2:$H$573,SITE!$B$2:$B$573,B61)</f>
        <v/>
      </c>
      <c r="F61">
        <f>IF(COUNTIFS(SITE!$B$2:$B$573,B61,SITE!$E$2:$E$573,"완제의약품")&gt;0,"Y","")</f>
        <v/>
      </c>
      <c r="G61">
        <f>IF(COUNTIFS(SITE!$B$2:$B$573,B61,SITE!$E$2:$E$573,"원료의약품")&gt;0,"Y","")</f>
        <v/>
      </c>
      <c r="H61">
        <f>IF(COUNTIFS(SITE!$B$2:$B$573,B61,SITE!$I$2:$I$573,"Y")&gt;0,"Y","")</f>
        <v/>
      </c>
      <c r="I61">
        <f>IF(COUNTIFS(SITE!$B$2:$B$573,B61,SITE!$J$2:$J$573,"Y")&gt;0,"Y","")</f>
        <v/>
      </c>
      <c r="J61">
        <f>MINIFS(SITE!$G$2:$G$573,SITE!$B$2:$B$573,B61)</f>
        <v/>
      </c>
      <c r="K61">
        <f>IF(J61-TODAY()&lt;183,"임박","")</f>
        <v/>
      </c>
      <c r="L61" t="inlineStr">
        <is>
          <t>Y</t>
        </is>
      </c>
      <c r="M61" t="inlineStr">
        <is>
          <t>코스닥</t>
        </is>
      </c>
      <c r="N61" t="inlineStr">
        <is>
          <t>216080</t>
        </is>
      </c>
      <c r="O61" t="inlineStr">
        <is>
          <t>의료용품 및 기타 의약 관련제품 제조업</t>
        </is>
      </c>
      <c r="P61" t="inlineStr">
        <is>
          <t>히알루론산 필러(조직수복용생체재료), 피부과용 레이저 의료기기, 리프팅실 등</t>
        </is>
      </c>
      <c r="Q61" t="inlineStr">
        <is>
          <t>남정선</t>
        </is>
      </c>
      <c r="R61" t="inlineStr">
        <is>
          <t>http://www.jetema.com</t>
        </is>
      </c>
      <c r="S61" t="inlineStr">
        <is>
          <t>강원특별자치도</t>
        </is>
      </c>
    </row>
    <row r="62">
      <c r="A62" t="inlineStr">
        <is>
          <t>C061</t>
        </is>
      </c>
      <c r="B62" t="inlineStr">
        <is>
          <t>시어스제약</t>
        </is>
      </c>
      <c r="C62" t="inlineStr">
        <is>
          <t>(주)시어스제약</t>
        </is>
      </c>
      <c r="D62">
        <f>COUNTIF(SITE!$B$2:$B$573,B62)</f>
        <v/>
      </c>
      <c r="E62">
        <f>SUMIFS(SITE!$H$2:$H$573,SITE!$B$2:$B$573,B62)</f>
        <v/>
      </c>
      <c r="F62">
        <f>IF(COUNTIFS(SITE!$B$2:$B$573,B62,SITE!$E$2:$E$573,"완제의약품")&gt;0,"Y","")</f>
        <v/>
      </c>
      <c r="G62">
        <f>IF(COUNTIFS(SITE!$B$2:$B$573,B62,SITE!$E$2:$E$573,"원료의약품")&gt;0,"Y","")</f>
        <v/>
      </c>
      <c r="H62">
        <f>IF(COUNTIFS(SITE!$B$2:$B$573,B62,SITE!$I$2:$I$573,"Y")&gt;0,"Y","")</f>
        <v/>
      </c>
      <c r="I62">
        <f>IF(COUNTIFS(SITE!$B$2:$B$573,B62,SITE!$J$2:$J$573,"Y")&gt;0,"Y","")</f>
        <v/>
      </c>
      <c r="J62">
        <f>MINIFS(SITE!$G$2:$G$573,SITE!$B$2:$B$573,B62)</f>
        <v/>
      </c>
      <c r="K62">
        <f>IF(J62-TODAY()&lt;183,"임박","")</f>
        <v/>
      </c>
    </row>
    <row r="63">
      <c r="A63" t="inlineStr">
        <is>
          <t>C062</t>
        </is>
      </c>
      <c r="B63" t="inlineStr">
        <is>
          <t>동국생명과학</t>
        </is>
      </c>
      <c r="C63" t="inlineStr">
        <is>
          <t>동국생명과학(주)</t>
        </is>
      </c>
      <c r="D63">
        <f>COUNTIF(SITE!$B$2:$B$573,B63)</f>
        <v/>
      </c>
      <c r="E63">
        <f>SUMIFS(SITE!$H$2:$H$573,SITE!$B$2:$B$573,B63)</f>
        <v/>
      </c>
      <c r="F63">
        <f>IF(COUNTIFS(SITE!$B$2:$B$573,B63,SITE!$E$2:$E$573,"완제의약품")&gt;0,"Y","")</f>
        <v/>
      </c>
      <c r="G63">
        <f>IF(COUNTIFS(SITE!$B$2:$B$573,B63,SITE!$E$2:$E$573,"원료의약품")&gt;0,"Y","")</f>
        <v/>
      </c>
      <c r="H63">
        <f>IF(COUNTIFS(SITE!$B$2:$B$573,B63,SITE!$I$2:$I$573,"Y")&gt;0,"Y","")</f>
        <v/>
      </c>
      <c r="I63">
        <f>IF(COUNTIFS(SITE!$B$2:$B$573,B63,SITE!$J$2:$J$573,"Y")&gt;0,"Y","")</f>
        <v/>
      </c>
      <c r="J63">
        <f>MINIFS(SITE!$G$2:$G$573,SITE!$B$2:$B$573,B63)</f>
        <v/>
      </c>
      <c r="K63">
        <f>IF(J63-TODAY()&lt;183,"임박","")</f>
        <v/>
      </c>
      <c r="L63" t="inlineStr">
        <is>
          <t>Y</t>
        </is>
      </c>
      <c r="M63" t="inlineStr">
        <is>
          <t>코스닥</t>
        </is>
      </c>
      <c r="N63" t="inlineStr">
        <is>
          <t>303810</t>
        </is>
      </c>
      <c r="O63" t="inlineStr">
        <is>
          <t>의약품 제조업</t>
        </is>
      </c>
      <c r="P63" t="inlineStr">
        <is>
          <t>조영제 완제 및 원료, 의료기기 유통</t>
        </is>
      </c>
      <c r="Q63" t="inlineStr">
        <is>
          <t>박재원</t>
        </is>
      </c>
      <c r="R63" t="inlineStr">
        <is>
          <t>http://dkls.co.kr</t>
        </is>
      </c>
      <c r="S63" t="inlineStr">
        <is>
          <t>서울특별시</t>
        </is>
      </c>
    </row>
    <row r="64">
      <c r="A64" t="inlineStr">
        <is>
          <t>C063</t>
        </is>
      </c>
      <c r="B64" t="inlineStr">
        <is>
          <t>단일시스켐</t>
        </is>
      </c>
      <c r="C64" t="inlineStr">
        <is>
          <t>단일시스켐(주)</t>
        </is>
      </c>
      <c r="D64">
        <f>COUNTIF(SITE!$B$2:$B$573,B64)</f>
        <v/>
      </c>
      <c r="E64">
        <f>SUMIFS(SITE!$H$2:$H$573,SITE!$B$2:$B$573,B64)</f>
        <v/>
      </c>
      <c r="F64">
        <f>IF(COUNTIFS(SITE!$B$2:$B$573,B64,SITE!$E$2:$E$573,"완제의약품")&gt;0,"Y","")</f>
        <v/>
      </c>
      <c r="G64">
        <f>IF(COUNTIFS(SITE!$B$2:$B$573,B64,SITE!$E$2:$E$573,"원료의약품")&gt;0,"Y","")</f>
        <v/>
      </c>
      <c r="H64">
        <f>IF(COUNTIFS(SITE!$B$2:$B$573,B64,SITE!$I$2:$I$573,"Y")&gt;0,"Y","")</f>
        <v/>
      </c>
      <c r="I64">
        <f>IF(COUNTIFS(SITE!$B$2:$B$573,B64,SITE!$J$2:$J$573,"Y")&gt;0,"Y","")</f>
        <v/>
      </c>
      <c r="J64">
        <f>MINIFS(SITE!$G$2:$G$573,SITE!$B$2:$B$573,B64)</f>
        <v/>
      </c>
      <c r="K64">
        <f>IF(J64-TODAY()&lt;183,"임박","")</f>
        <v/>
      </c>
    </row>
    <row r="65">
      <c r="A65" t="inlineStr">
        <is>
          <t>C064</t>
        </is>
      </c>
      <c r="B65" t="inlineStr">
        <is>
          <t>경원산소</t>
        </is>
      </c>
      <c r="C65" t="inlineStr">
        <is>
          <t>경원산소(주)</t>
        </is>
      </c>
      <c r="D65">
        <f>COUNTIF(SITE!$B$2:$B$573,B65)</f>
        <v/>
      </c>
      <c r="E65">
        <f>SUMIFS(SITE!$H$2:$H$573,SITE!$B$2:$B$573,B65)</f>
        <v/>
      </c>
      <c r="F65">
        <f>IF(COUNTIFS(SITE!$B$2:$B$573,B65,SITE!$E$2:$E$573,"완제의약품")&gt;0,"Y","")</f>
        <v/>
      </c>
      <c r="G65">
        <f>IF(COUNTIFS(SITE!$B$2:$B$573,B65,SITE!$E$2:$E$573,"원료의약품")&gt;0,"Y","")</f>
        <v/>
      </c>
      <c r="H65">
        <f>IF(COUNTIFS(SITE!$B$2:$B$573,B65,SITE!$I$2:$I$573,"Y")&gt;0,"Y","")</f>
        <v/>
      </c>
      <c r="I65">
        <f>IF(COUNTIFS(SITE!$B$2:$B$573,B65,SITE!$J$2:$J$573,"Y")&gt;0,"Y","")</f>
        <v/>
      </c>
      <c r="J65">
        <f>MINIFS(SITE!$G$2:$G$573,SITE!$B$2:$B$573,B65)</f>
        <v/>
      </c>
      <c r="K65">
        <f>IF(J65-TODAY()&lt;183,"임박","")</f>
        <v/>
      </c>
    </row>
    <row r="66">
      <c r="A66" t="inlineStr">
        <is>
          <t>C065</t>
        </is>
      </c>
      <c r="B66" t="inlineStr">
        <is>
          <t>춘천종합가스</t>
        </is>
      </c>
      <c r="C66" t="inlineStr">
        <is>
          <t>춘천종합가스</t>
        </is>
      </c>
      <c r="D66">
        <f>COUNTIF(SITE!$B$2:$B$573,B66)</f>
        <v/>
      </c>
      <c r="E66">
        <f>SUMIFS(SITE!$H$2:$H$573,SITE!$B$2:$B$573,B66)</f>
        <v/>
      </c>
      <c r="F66">
        <f>IF(COUNTIFS(SITE!$B$2:$B$573,B66,SITE!$E$2:$E$573,"완제의약품")&gt;0,"Y","")</f>
        <v/>
      </c>
      <c r="G66">
        <f>IF(COUNTIFS(SITE!$B$2:$B$573,B66,SITE!$E$2:$E$573,"원료의약품")&gt;0,"Y","")</f>
        <v/>
      </c>
      <c r="H66">
        <f>IF(COUNTIFS(SITE!$B$2:$B$573,B66,SITE!$I$2:$I$573,"Y")&gt;0,"Y","")</f>
        <v/>
      </c>
      <c r="I66">
        <f>IF(COUNTIFS(SITE!$B$2:$B$573,B66,SITE!$J$2:$J$573,"Y")&gt;0,"Y","")</f>
        <v/>
      </c>
      <c r="J66">
        <f>MINIFS(SITE!$G$2:$G$573,SITE!$B$2:$B$573,B66)</f>
        <v/>
      </c>
      <c r="K66">
        <f>IF(J66-TODAY()&lt;183,"임박","")</f>
        <v/>
      </c>
    </row>
    <row r="67">
      <c r="A67" t="inlineStr">
        <is>
          <t>C066</t>
        </is>
      </c>
      <c r="B67" t="inlineStr">
        <is>
          <t>녹십자엠에스</t>
        </is>
      </c>
      <c r="C67" t="inlineStr">
        <is>
          <t>(주)녹십자엠에스</t>
        </is>
      </c>
      <c r="D67">
        <f>COUNTIF(SITE!$B$2:$B$573,B67)</f>
        <v/>
      </c>
      <c r="E67">
        <f>SUMIFS(SITE!$H$2:$H$573,SITE!$B$2:$B$573,B67)</f>
        <v/>
      </c>
      <c r="F67">
        <f>IF(COUNTIFS(SITE!$B$2:$B$573,B67,SITE!$E$2:$E$573,"완제의약품")&gt;0,"Y","")</f>
        <v/>
      </c>
      <c r="G67">
        <f>IF(COUNTIFS(SITE!$B$2:$B$573,B67,SITE!$E$2:$E$573,"원료의약품")&gt;0,"Y","")</f>
        <v/>
      </c>
      <c r="H67">
        <f>IF(COUNTIFS(SITE!$B$2:$B$573,B67,SITE!$I$2:$I$573,"Y")&gt;0,"Y","")</f>
        <v/>
      </c>
      <c r="I67">
        <f>IF(COUNTIFS(SITE!$B$2:$B$573,B67,SITE!$J$2:$J$573,"Y")&gt;0,"Y","")</f>
        <v/>
      </c>
      <c r="J67">
        <f>MINIFS(SITE!$G$2:$G$573,SITE!$B$2:$B$573,B67)</f>
        <v/>
      </c>
      <c r="K67">
        <f>IF(J67-TODAY()&lt;183,"임박","")</f>
        <v/>
      </c>
      <c r="L67" t="inlineStr">
        <is>
          <t>Y</t>
        </is>
      </c>
      <c r="M67" t="inlineStr">
        <is>
          <t>코스닥</t>
        </is>
      </c>
      <c r="N67" t="inlineStr">
        <is>
          <t>142280</t>
        </is>
      </c>
      <c r="O67" t="inlineStr">
        <is>
          <t>의료용품 및 기타 의약 관련제품 제조업</t>
        </is>
      </c>
      <c r="P67" t="inlineStr">
        <is>
          <t>혈액백, 진단시약, 혈액투석액</t>
        </is>
      </c>
      <c r="Q67" t="inlineStr">
        <is>
          <t>김연근</t>
        </is>
      </c>
      <c r="R67" t="inlineStr">
        <is>
          <t>http://www.greencrossms.com</t>
        </is>
      </c>
      <c r="S67" t="inlineStr">
        <is>
          <t>경기도</t>
        </is>
      </c>
    </row>
    <row r="68">
      <c r="A68" t="inlineStr">
        <is>
          <t>C067</t>
        </is>
      </c>
      <c r="B68" t="inlineStr">
        <is>
          <t>재단법인아산사회복지재단서울아산병원</t>
        </is>
      </c>
      <c r="C68" t="inlineStr">
        <is>
          <t>재단법인아산사회복지재단서울아산병원</t>
        </is>
      </c>
      <c r="D68">
        <f>COUNTIF(SITE!$B$2:$B$573,B68)</f>
        <v/>
      </c>
      <c r="E68">
        <f>SUMIFS(SITE!$H$2:$H$573,SITE!$B$2:$B$573,B68)</f>
        <v/>
      </c>
      <c r="F68">
        <f>IF(COUNTIFS(SITE!$B$2:$B$573,B68,SITE!$E$2:$E$573,"완제의약품")&gt;0,"Y","")</f>
        <v/>
      </c>
      <c r="G68">
        <f>IF(COUNTIFS(SITE!$B$2:$B$573,B68,SITE!$E$2:$E$573,"원료의약품")&gt;0,"Y","")</f>
        <v/>
      </c>
      <c r="H68">
        <f>IF(COUNTIFS(SITE!$B$2:$B$573,B68,SITE!$I$2:$I$573,"Y")&gt;0,"Y","")</f>
        <v/>
      </c>
      <c r="I68">
        <f>IF(COUNTIFS(SITE!$B$2:$B$573,B68,SITE!$J$2:$J$573,"Y")&gt;0,"Y","")</f>
        <v/>
      </c>
      <c r="J68">
        <f>MINIFS(SITE!$G$2:$G$573,SITE!$B$2:$B$573,B68)</f>
        <v/>
      </c>
      <c r="K68">
        <f>IF(J68-TODAY()&lt;183,"임박","")</f>
        <v/>
      </c>
    </row>
    <row r="69">
      <c r="A69" t="inlineStr">
        <is>
          <t>C068</t>
        </is>
      </c>
      <c r="B69" t="inlineStr">
        <is>
          <t>아주약품</t>
        </is>
      </c>
      <c r="C69" t="inlineStr">
        <is>
          <t>아주약품(주)</t>
        </is>
      </c>
      <c r="D69">
        <f>COUNTIF(SITE!$B$2:$B$573,B69)</f>
        <v/>
      </c>
      <c r="E69">
        <f>SUMIFS(SITE!$H$2:$H$573,SITE!$B$2:$B$573,B69)</f>
        <v/>
      </c>
      <c r="F69">
        <f>IF(COUNTIFS(SITE!$B$2:$B$573,B69,SITE!$E$2:$E$573,"완제의약품")&gt;0,"Y","")</f>
        <v/>
      </c>
      <c r="G69">
        <f>IF(COUNTIFS(SITE!$B$2:$B$573,B69,SITE!$E$2:$E$573,"원료의약품")&gt;0,"Y","")</f>
        <v/>
      </c>
      <c r="H69">
        <f>IF(COUNTIFS(SITE!$B$2:$B$573,B69,SITE!$I$2:$I$573,"Y")&gt;0,"Y","")</f>
        <v/>
      </c>
      <c r="I69">
        <f>IF(COUNTIFS(SITE!$B$2:$B$573,B69,SITE!$J$2:$J$573,"Y")&gt;0,"Y","")</f>
        <v/>
      </c>
      <c r="J69">
        <f>MINIFS(SITE!$G$2:$G$573,SITE!$B$2:$B$573,B69)</f>
        <v/>
      </c>
      <c r="K69">
        <f>IF(J69-TODAY()&lt;183,"임박","")</f>
        <v/>
      </c>
    </row>
    <row r="70">
      <c r="A70" t="inlineStr">
        <is>
          <t>C069</t>
        </is>
      </c>
      <c r="B70" t="inlineStr">
        <is>
          <t>환인제약</t>
        </is>
      </c>
      <c r="C70" t="inlineStr">
        <is>
          <t>환인제약(주)</t>
        </is>
      </c>
      <c r="D70">
        <f>COUNTIF(SITE!$B$2:$B$573,B70)</f>
        <v/>
      </c>
      <c r="E70">
        <f>SUMIFS(SITE!$H$2:$H$573,SITE!$B$2:$B$573,B70)</f>
        <v/>
      </c>
      <c r="F70">
        <f>IF(COUNTIFS(SITE!$B$2:$B$573,B70,SITE!$E$2:$E$573,"완제의약품")&gt;0,"Y","")</f>
        <v/>
      </c>
      <c r="G70">
        <f>IF(COUNTIFS(SITE!$B$2:$B$573,B70,SITE!$E$2:$E$573,"원료의약품")&gt;0,"Y","")</f>
        <v/>
      </c>
      <c r="H70">
        <f>IF(COUNTIFS(SITE!$B$2:$B$573,B70,SITE!$I$2:$I$573,"Y")&gt;0,"Y","")</f>
        <v/>
      </c>
      <c r="I70">
        <f>IF(COUNTIFS(SITE!$B$2:$B$573,B70,SITE!$J$2:$J$573,"Y")&gt;0,"Y","")</f>
        <v/>
      </c>
      <c r="J70">
        <f>MINIFS(SITE!$G$2:$G$573,SITE!$B$2:$B$573,B70)</f>
        <v/>
      </c>
      <c r="K70">
        <f>IF(J70-TODAY()&lt;183,"임박","")</f>
        <v/>
      </c>
      <c r="L70" t="inlineStr">
        <is>
          <t>Y</t>
        </is>
      </c>
      <c r="M70" t="inlineStr">
        <is>
          <t>유가</t>
        </is>
      </c>
      <c r="N70" t="inlineStr">
        <is>
          <t>016580</t>
        </is>
      </c>
      <c r="O70" t="inlineStr">
        <is>
          <t>의약품 제조업</t>
        </is>
      </c>
      <c r="P70" t="inlineStr">
        <is>
          <t>의약품(신경정신질환치료제,소화기관용약제,연고) 제조,도매</t>
        </is>
      </c>
      <c r="Q70" t="inlineStr">
        <is>
          <t>이광식, 이원범(각자 대표이사)</t>
        </is>
      </c>
      <c r="R70" t="inlineStr">
        <is>
          <t>http://www.whanin.co.kr</t>
        </is>
      </c>
      <c r="S70" t="inlineStr">
        <is>
          <t>서울특별시</t>
        </is>
      </c>
    </row>
    <row r="71">
      <c r="A71" t="inlineStr">
        <is>
          <t>C070</t>
        </is>
      </c>
      <c r="B71" t="inlineStr">
        <is>
          <t>에어프로덕츠코리아</t>
        </is>
      </c>
      <c r="C71" t="inlineStr">
        <is>
          <t>에어프로덕츠코리아(주)</t>
        </is>
      </c>
      <c r="D71">
        <f>COUNTIF(SITE!$B$2:$B$573,B71)</f>
        <v/>
      </c>
      <c r="E71">
        <f>SUMIFS(SITE!$H$2:$H$573,SITE!$B$2:$B$573,B71)</f>
        <v/>
      </c>
      <c r="F71">
        <f>IF(COUNTIFS(SITE!$B$2:$B$573,B71,SITE!$E$2:$E$573,"완제의약품")&gt;0,"Y","")</f>
        <v/>
      </c>
      <c r="G71">
        <f>IF(COUNTIFS(SITE!$B$2:$B$573,B71,SITE!$E$2:$E$573,"원료의약품")&gt;0,"Y","")</f>
        <v/>
      </c>
      <c r="H71">
        <f>IF(COUNTIFS(SITE!$B$2:$B$573,B71,SITE!$I$2:$I$573,"Y")&gt;0,"Y","")</f>
        <v/>
      </c>
      <c r="I71">
        <f>IF(COUNTIFS(SITE!$B$2:$B$573,B71,SITE!$J$2:$J$573,"Y")&gt;0,"Y","")</f>
        <v/>
      </c>
      <c r="J71">
        <f>MINIFS(SITE!$G$2:$G$573,SITE!$B$2:$B$573,B71)</f>
        <v/>
      </c>
      <c r="K71">
        <f>IF(J71-TODAY()&lt;183,"임박","")</f>
        <v/>
      </c>
    </row>
    <row r="72">
      <c r="A72" t="inlineStr">
        <is>
          <t>C071</t>
        </is>
      </c>
      <c r="B72" t="inlineStr">
        <is>
          <t>서흥</t>
        </is>
      </c>
      <c r="C72" t="inlineStr">
        <is>
          <t>(주)서흥</t>
        </is>
      </c>
      <c r="D72">
        <f>COUNTIF(SITE!$B$2:$B$573,B72)</f>
        <v/>
      </c>
      <c r="E72">
        <f>SUMIFS(SITE!$H$2:$H$573,SITE!$B$2:$B$573,B72)</f>
        <v/>
      </c>
      <c r="F72">
        <f>IF(COUNTIFS(SITE!$B$2:$B$573,B72,SITE!$E$2:$E$573,"완제의약품")&gt;0,"Y","")</f>
        <v/>
      </c>
      <c r="G72">
        <f>IF(COUNTIFS(SITE!$B$2:$B$573,B72,SITE!$E$2:$E$573,"원료의약품")&gt;0,"Y","")</f>
        <v/>
      </c>
      <c r="H72">
        <f>IF(COUNTIFS(SITE!$B$2:$B$573,B72,SITE!$I$2:$I$573,"Y")&gt;0,"Y","")</f>
        <v/>
      </c>
      <c r="I72">
        <f>IF(COUNTIFS(SITE!$B$2:$B$573,B72,SITE!$J$2:$J$573,"Y")&gt;0,"Y","")</f>
        <v/>
      </c>
      <c r="J72">
        <f>MINIFS(SITE!$G$2:$G$573,SITE!$B$2:$B$573,B72)</f>
        <v/>
      </c>
      <c r="K72">
        <f>IF(J72-TODAY()&lt;183,"임박","")</f>
        <v/>
      </c>
      <c r="L72" t="inlineStr">
        <is>
          <t>Y</t>
        </is>
      </c>
      <c r="M72" t="inlineStr">
        <is>
          <t>유가</t>
        </is>
      </c>
      <c r="N72" t="inlineStr">
        <is>
          <t>008490</t>
        </is>
      </c>
      <c r="O72" t="inlineStr">
        <is>
          <t>기타 화학제품 제조업</t>
        </is>
      </c>
      <c r="P72" t="inlineStr">
        <is>
          <t>의약품(하드캅셀,건강보조식품,소프트캅셀),건강보조식품,인삼제품 제조,판매</t>
        </is>
      </c>
      <c r="Q72" t="inlineStr">
        <is>
          <t>양주환</t>
        </is>
      </c>
      <c r="R72" t="inlineStr">
        <is>
          <t>http://www.suheung.com</t>
        </is>
      </c>
      <c r="S72" t="inlineStr">
        <is>
          <t>충청북도</t>
        </is>
      </c>
    </row>
    <row r="73">
      <c r="A73" t="inlineStr">
        <is>
          <t>C072</t>
        </is>
      </c>
      <c r="B73" t="inlineStr">
        <is>
          <t>디아이지에어가스</t>
        </is>
      </c>
      <c r="C73" t="inlineStr">
        <is>
          <t>디아이지에어가스(주)</t>
        </is>
      </c>
      <c r="D73">
        <f>COUNTIF(SITE!$B$2:$B$573,B73)</f>
        <v/>
      </c>
      <c r="E73">
        <f>SUMIFS(SITE!$H$2:$H$573,SITE!$B$2:$B$573,B73)</f>
        <v/>
      </c>
      <c r="F73">
        <f>IF(COUNTIFS(SITE!$B$2:$B$573,B73,SITE!$E$2:$E$573,"완제의약품")&gt;0,"Y","")</f>
        <v/>
      </c>
      <c r="G73">
        <f>IF(COUNTIFS(SITE!$B$2:$B$573,B73,SITE!$E$2:$E$573,"원료의약품")&gt;0,"Y","")</f>
        <v/>
      </c>
      <c r="H73">
        <f>IF(COUNTIFS(SITE!$B$2:$B$573,B73,SITE!$I$2:$I$573,"Y")&gt;0,"Y","")</f>
        <v/>
      </c>
      <c r="I73">
        <f>IF(COUNTIFS(SITE!$B$2:$B$573,B73,SITE!$J$2:$J$573,"Y")&gt;0,"Y","")</f>
        <v/>
      </c>
      <c r="J73">
        <f>MINIFS(SITE!$G$2:$G$573,SITE!$B$2:$B$573,B73)</f>
        <v/>
      </c>
      <c r="K73">
        <f>IF(J73-TODAY()&lt;183,"임박","")</f>
        <v/>
      </c>
    </row>
    <row r="74">
      <c r="A74" t="inlineStr">
        <is>
          <t>C073</t>
        </is>
      </c>
      <c r="B74" t="inlineStr">
        <is>
          <t>텔콘알에프제약</t>
        </is>
      </c>
      <c r="C74" t="inlineStr">
        <is>
          <t>(주)텔콘알에프제약</t>
        </is>
      </c>
      <c r="D74">
        <f>COUNTIF(SITE!$B$2:$B$573,B74)</f>
        <v/>
      </c>
      <c r="E74">
        <f>SUMIFS(SITE!$H$2:$H$573,SITE!$B$2:$B$573,B74)</f>
        <v/>
      </c>
      <c r="F74">
        <f>IF(COUNTIFS(SITE!$B$2:$B$573,B74,SITE!$E$2:$E$573,"완제의약품")&gt;0,"Y","")</f>
        <v/>
      </c>
      <c r="G74">
        <f>IF(COUNTIFS(SITE!$B$2:$B$573,B74,SITE!$E$2:$E$573,"원료의약품")&gt;0,"Y","")</f>
        <v/>
      </c>
      <c r="H74">
        <f>IF(COUNTIFS(SITE!$B$2:$B$573,B74,SITE!$I$2:$I$573,"Y")&gt;0,"Y","")</f>
        <v/>
      </c>
      <c r="I74">
        <f>IF(COUNTIFS(SITE!$B$2:$B$573,B74,SITE!$J$2:$J$573,"Y")&gt;0,"Y","")</f>
        <v/>
      </c>
      <c r="J74">
        <f>MINIFS(SITE!$G$2:$G$573,SITE!$B$2:$B$573,B74)</f>
        <v/>
      </c>
      <c r="K74">
        <f>IF(J74-TODAY()&lt;183,"임박","")</f>
        <v/>
      </c>
    </row>
    <row r="75">
      <c r="A75" t="inlineStr">
        <is>
          <t>C074</t>
        </is>
      </c>
      <c r="B75" t="inlineStr">
        <is>
          <t>한솔신약</t>
        </is>
      </c>
      <c r="C75" t="inlineStr">
        <is>
          <t>한솔신약(주)</t>
        </is>
      </c>
      <c r="D75">
        <f>COUNTIF(SITE!$B$2:$B$573,B75)</f>
        <v/>
      </c>
      <c r="E75">
        <f>SUMIFS(SITE!$H$2:$H$573,SITE!$B$2:$B$573,B75)</f>
        <v/>
      </c>
      <c r="F75">
        <f>IF(COUNTIFS(SITE!$B$2:$B$573,B75,SITE!$E$2:$E$573,"완제의약품")&gt;0,"Y","")</f>
        <v/>
      </c>
      <c r="G75">
        <f>IF(COUNTIFS(SITE!$B$2:$B$573,B75,SITE!$E$2:$E$573,"원료의약품")&gt;0,"Y","")</f>
        <v/>
      </c>
      <c r="H75">
        <f>IF(COUNTIFS(SITE!$B$2:$B$573,B75,SITE!$I$2:$I$573,"Y")&gt;0,"Y","")</f>
        <v/>
      </c>
      <c r="I75">
        <f>IF(COUNTIFS(SITE!$B$2:$B$573,B75,SITE!$J$2:$J$573,"Y")&gt;0,"Y","")</f>
        <v/>
      </c>
      <c r="J75">
        <f>MINIFS(SITE!$G$2:$G$573,SITE!$B$2:$B$573,B75)</f>
        <v/>
      </c>
      <c r="K75">
        <f>IF(J75-TODAY()&lt;183,"임박","")</f>
        <v/>
      </c>
    </row>
    <row r="76">
      <c r="A76" t="inlineStr">
        <is>
          <t>C075</t>
        </is>
      </c>
      <c r="B76" t="inlineStr">
        <is>
          <t>유한양행</t>
        </is>
      </c>
      <c r="C76" t="inlineStr">
        <is>
          <t>(주)유한양행</t>
        </is>
      </c>
      <c r="D76">
        <f>COUNTIF(SITE!$B$2:$B$573,B76)</f>
        <v/>
      </c>
      <c r="E76">
        <f>SUMIFS(SITE!$H$2:$H$573,SITE!$B$2:$B$573,B76)</f>
        <v/>
      </c>
      <c r="F76">
        <f>IF(COUNTIFS(SITE!$B$2:$B$573,B76,SITE!$E$2:$E$573,"완제의약품")&gt;0,"Y","")</f>
        <v/>
      </c>
      <c r="G76">
        <f>IF(COUNTIFS(SITE!$B$2:$B$573,B76,SITE!$E$2:$E$573,"원료의약품")&gt;0,"Y","")</f>
        <v/>
      </c>
      <c r="H76">
        <f>IF(COUNTIFS(SITE!$B$2:$B$573,B76,SITE!$I$2:$I$573,"Y")&gt;0,"Y","")</f>
        <v/>
      </c>
      <c r="I76">
        <f>IF(COUNTIFS(SITE!$B$2:$B$573,B76,SITE!$J$2:$J$573,"Y")&gt;0,"Y","")</f>
        <v/>
      </c>
      <c r="J76">
        <f>MINIFS(SITE!$G$2:$G$573,SITE!$B$2:$B$573,B76)</f>
        <v/>
      </c>
      <c r="K76">
        <f>IF(J76-TODAY()&lt;183,"임박","")</f>
        <v/>
      </c>
      <c r="L76" t="inlineStr">
        <is>
          <t>Y</t>
        </is>
      </c>
      <c r="M76" t="inlineStr">
        <is>
          <t>유가</t>
        </is>
      </c>
      <c r="N76" t="inlineStr">
        <is>
          <t>000100</t>
        </is>
      </c>
      <c r="O76" t="inlineStr">
        <is>
          <t>의약품 제조업</t>
        </is>
      </c>
      <c r="P76" t="inlineStr">
        <is>
          <t>의약품(삐콤씨, 안티푸라민, 렉라자, 로수바미브, 코푸시럽 등), 생활용품(유한락스, 해피홈, 유한젠), 동물약품</t>
        </is>
      </c>
      <c r="Q76" t="inlineStr">
        <is>
          <t>대표이사 조욱제</t>
        </is>
      </c>
      <c r="R76" t="inlineStr">
        <is>
          <t>http://www.yuhan.co.kr</t>
        </is>
      </c>
      <c r="S76" t="inlineStr">
        <is>
          <t>서울특별시</t>
        </is>
      </c>
    </row>
    <row r="77">
      <c r="A77" t="inlineStr">
        <is>
          <t>C076</t>
        </is>
      </c>
      <c r="B77" t="inlineStr">
        <is>
          <t>종근당바이오</t>
        </is>
      </c>
      <c r="C77" t="inlineStr">
        <is>
          <t>(주)종근당바이오</t>
        </is>
      </c>
      <c r="D77">
        <f>COUNTIF(SITE!$B$2:$B$573,B77)</f>
        <v/>
      </c>
      <c r="E77">
        <f>SUMIFS(SITE!$H$2:$H$573,SITE!$B$2:$B$573,B77)</f>
        <v/>
      </c>
      <c r="F77">
        <f>IF(COUNTIFS(SITE!$B$2:$B$573,B77,SITE!$E$2:$E$573,"완제의약품")&gt;0,"Y","")</f>
        <v/>
      </c>
      <c r="G77">
        <f>IF(COUNTIFS(SITE!$B$2:$B$573,B77,SITE!$E$2:$E$573,"원료의약품")&gt;0,"Y","")</f>
        <v/>
      </c>
      <c r="H77">
        <f>IF(COUNTIFS(SITE!$B$2:$B$573,B77,SITE!$I$2:$I$573,"Y")&gt;0,"Y","")</f>
        <v/>
      </c>
      <c r="I77">
        <f>IF(COUNTIFS(SITE!$B$2:$B$573,B77,SITE!$J$2:$J$573,"Y")&gt;0,"Y","")</f>
        <v/>
      </c>
      <c r="J77">
        <f>MINIFS(SITE!$G$2:$G$573,SITE!$B$2:$B$573,B77)</f>
        <v/>
      </c>
      <c r="K77">
        <f>IF(J77-TODAY()&lt;183,"임박","")</f>
        <v/>
      </c>
      <c r="L77" t="inlineStr">
        <is>
          <t>Y</t>
        </is>
      </c>
      <c r="M77" t="inlineStr">
        <is>
          <t>유가</t>
        </is>
      </c>
      <c r="N77" t="inlineStr">
        <is>
          <t>063160</t>
        </is>
      </c>
      <c r="O77" t="inlineStr">
        <is>
          <t>의약품 제조업</t>
        </is>
      </c>
      <c r="P77" t="inlineStr">
        <is>
          <t>의약품,원료의약품 제조</t>
        </is>
      </c>
      <c r="Q77" t="inlineStr">
        <is>
          <t>박완갑</t>
        </is>
      </c>
      <c r="R77" t="inlineStr">
        <is>
          <t>http://www.ckdbio.com</t>
        </is>
      </c>
      <c r="S77" t="inlineStr">
        <is>
          <t>서울특별시</t>
        </is>
      </c>
    </row>
    <row r="78">
      <c r="A78" t="inlineStr">
        <is>
          <t>C077</t>
        </is>
      </c>
      <c r="B78" t="inlineStr">
        <is>
          <t>와이즈메디</t>
        </is>
      </c>
      <c r="C78" t="inlineStr">
        <is>
          <t>(주)와이즈메디</t>
        </is>
      </c>
      <c r="D78">
        <f>COUNTIF(SITE!$B$2:$B$573,B78)</f>
        <v/>
      </c>
      <c r="E78">
        <f>SUMIFS(SITE!$H$2:$H$573,SITE!$B$2:$B$573,B78)</f>
        <v/>
      </c>
      <c r="F78">
        <f>IF(COUNTIFS(SITE!$B$2:$B$573,B78,SITE!$E$2:$E$573,"완제의약품")&gt;0,"Y","")</f>
        <v/>
      </c>
      <c r="G78">
        <f>IF(COUNTIFS(SITE!$B$2:$B$573,B78,SITE!$E$2:$E$573,"원료의약품")&gt;0,"Y","")</f>
        <v/>
      </c>
      <c r="H78">
        <f>IF(COUNTIFS(SITE!$B$2:$B$573,B78,SITE!$I$2:$I$573,"Y")&gt;0,"Y","")</f>
        <v/>
      </c>
      <c r="I78">
        <f>IF(COUNTIFS(SITE!$B$2:$B$573,B78,SITE!$J$2:$J$573,"Y")&gt;0,"Y","")</f>
        <v/>
      </c>
      <c r="J78">
        <f>MINIFS(SITE!$G$2:$G$573,SITE!$B$2:$B$573,B78)</f>
        <v/>
      </c>
      <c r="K78">
        <f>IF(J78-TODAY()&lt;183,"임박","")</f>
        <v/>
      </c>
    </row>
    <row r="79">
      <c r="A79" t="inlineStr">
        <is>
          <t>C078</t>
        </is>
      </c>
      <c r="B79" t="inlineStr">
        <is>
          <t>화이트생명과학</t>
        </is>
      </c>
      <c r="C79" t="inlineStr">
        <is>
          <t>(주)화이트생명과학</t>
        </is>
      </c>
      <c r="D79">
        <f>COUNTIF(SITE!$B$2:$B$573,B79)</f>
        <v/>
      </c>
      <c r="E79">
        <f>SUMIFS(SITE!$H$2:$H$573,SITE!$B$2:$B$573,B79)</f>
        <v/>
      </c>
      <c r="F79">
        <f>IF(COUNTIFS(SITE!$B$2:$B$573,B79,SITE!$E$2:$E$573,"완제의약품")&gt;0,"Y","")</f>
        <v/>
      </c>
      <c r="G79">
        <f>IF(COUNTIFS(SITE!$B$2:$B$573,B79,SITE!$E$2:$E$573,"원료의약품")&gt;0,"Y","")</f>
        <v/>
      </c>
      <c r="H79">
        <f>IF(COUNTIFS(SITE!$B$2:$B$573,B79,SITE!$I$2:$I$573,"Y")&gt;0,"Y","")</f>
        <v/>
      </c>
      <c r="I79">
        <f>IF(COUNTIFS(SITE!$B$2:$B$573,B79,SITE!$J$2:$J$573,"Y")&gt;0,"Y","")</f>
        <v/>
      </c>
      <c r="J79">
        <f>MINIFS(SITE!$G$2:$G$573,SITE!$B$2:$B$573,B79)</f>
        <v/>
      </c>
      <c r="K79">
        <f>IF(J79-TODAY()&lt;183,"임박","")</f>
        <v/>
      </c>
    </row>
    <row r="80">
      <c r="A80" t="inlineStr">
        <is>
          <t>C079</t>
        </is>
      </c>
      <c r="B80" t="inlineStr">
        <is>
          <t>에리슨제약</t>
        </is>
      </c>
      <c r="C80" t="inlineStr">
        <is>
          <t>에리슨제약(주)</t>
        </is>
      </c>
      <c r="D80">
        <f>COUNTIF(SITE!$B$2:$B$573,B80)</f>
        <v/>
      </c>
      <c r="E80">
        <f>SUMIFS(SITE!$H$2:$H$573,SITE!$B$2:$B$573,B80)</f>
        <v/>
      </c>
      <c r="F80">
        <f>IF(COUNTIFS(SITE!$B$2:$B$573,B80,SITE!$E$2:$E$573,"완제의약품")&gt;0,"Y","")</f>
        <v/>
      </c>
      <c r="G80">
        <f>IF(COUNTIFS(SITE!$B$2:$B$573,B80,SITE!$E$2:$E$573,"원료의약품")&gt;0,"Y","")</f>
        <v/>
      </c>
      <c r="H80">
        <f>IF(COUNTIFS(SITE!$B$2:$B$573,B80,SITE!$I$2:$I$573,"Y")&gt;0,"Y","")</f>
        <v/>
      </c>
      <c r="I80">
        <f>IF(COUNTIFS(SITE!$B$2:$B$573,B80,SITE!$J$2:$J$573,"Y")&gt;0,"Y","")</f>
        <v/>
      </c>
      <c r="J80">
        <f>MINIFS(SITE!$G$2:$G$573,SITE!$B$2:$B$573,B80)</f>
        <v/>
      </c>
      <c r="K80">
        <f>IF(J80-TODAY()&lt;183,"임박","")</f>
        <v/>
      </c>
    </row>
    <row r="81">
      <c r="A81" t="inlineStr">
        <is>
          <t>C080</t>
        </is>
      </c>
      <c r="B81" t="inlineStr">
        <is>
          <t>서울대학교병원</t>
        </is>
      </c>
      <c r="C81" t="inlineStr">
        <is>
          <t>서울대학교병원</t>
        </is>
      </c>
      <c r="D81">
        <f>COUNTIF(SITE!$B$2:$B$573,B81)</f>
        <v/>
      </c>
      <c r="E81">
        <f>SUMIFS(SITE!$H$2:$H$573,SITE!$B$2:$B$573,B81)</f>
        <v/>
      </c>
      <c r="F81">
        <f>IF(COUNTIFS(SITE!$B$2:$B$573,B81,SITE!$E$2:$E$573,"완제의약품")&gt;0,"Y","")</f>
        <v/>
      </c>
      <c r="G81">
        <f>IF(COUNTIFS(SITE!$B$2:$B$573,B81,SITE!$E$2:$E$573,"원료의약품")&gt;0,"Y","")</f>
        <v/>
      </c>
      <c r="H81">
        <f>IF(COUNTIFS(SITE!$B$2:$B$573,B81,SITE!$I$2:$I$573,"Y")&gt;0,"Y","")</f>
        <v/>
      </c>
      <c r="I81">
        <f>IF(COUNTIFS(SITE!$B$2:$B$573,B81,SITE!$J$2:$J$573,"Y")&gt;0,"Y","")</f>
        <v/>
      </c>
      <c r="J81">
        <f>MINIFS(SITE!$G$2:$G$573,SITE!$B$2:$B$573,B81)</f>
        <v/>
      </c>
      <c r="K81">
        <f>IF(J81-TODAY()&lt;183,"임박","")</f>
        <v/>
      </c>
    </row>
    <row r="82">
      <c r="A82" t="inlineStr">
        <is>
          <t>C081</t>
        </is>
      </c>
      <c r="B82" t="inlineStr">
        <is>
          <t>한국피엠지제약</t>
        </is>
      </c>
      <c r="C82" t="inlineStr">
        <is>
          <t>(주)한국피엠지제약</t>
        </is>
      </c>
      <c r="D82">
        <f>COUNTIF(SITE!$B$2:$B$573,B82)</f>
        <v/>
      </c>
      <c r="E82">
        <f>SUMIFS(SITE!$H$2:$H$573,SITE!$B$2:$B$573,B82)</f>
        <v/>
      </c>
      <c r="F82">
        <f>IF(COUNTIFS(SITE!$B$2:$B$573,B82,SITE!$E$2:$E$573,"완제의약품")&gt;0,"Y","")</f>
        <v/>
      </c>
      <c r="G82">
        <f>IF(COUNTIFS(SITE!$B$2:$B$573,B82,SITE!$E$2:$E$573,"원료의약품")&gt;0,"Y","")</f>
        <v/>
      </c>
      <c r="H82">
        <f>IF(COUNTIFS(SITE!$B$2:$B$573,B82,SITE!$I$2:$I$573,"Y")&gt;0,"Y","")</f>
        <v/>
      </c>
      <c r="I82">
        <f>IF(COUNTIFS(SITE!$B$2:$B$573,B82,SITE!$J$2:$J$573,"Y")&gt;0,"Y","")</f>
        <v/>
      </c>
      <c r="J82">
        <f>MINIFS(SITE!$G$2:$G$573,SITE!$B$2:$B$573,B82)</f>
        <v/>
      </c>
      <c r="K82">
        <f>IF(J82-TODAY()&lt;183,"임박","")</f>
        <v/>
      </c>
    </row>
    <row r="83">
      <c r="A83" t="inlineStr">
        <is>
          <t>C082</t>
        </is>
      </c>
      <c r="B83" t="inlineStr">
        <is>
          <t>엠에스가스</t>
        </is>
      </c>
      <c r="C83" t="inlineStr">
        <is>
          <t>(주)엠에스가스</t>
        </is>
      </c>
      <c r="D83">
        <f>COUNTIF(SITE!$B$2:$B$573,B83)</f>
        <v/>
      </c>
      <c r="E83">
        <f>SUMIFS(SITE!$H$2:$H$573,SITE!$B$2:$B$573,B83)</f>
        <v/>
      </c>
      <c r="F83">
        <f>IF(COUNTIFS(SITE!$B$2:$B$573,B83,SITE!$E$2:$E$573,"완제의약품")&gt;0,"Y","")</f>
        <v/>
      </c>
      <c r="G83">
        <f>IF(COUNTIFS(SITE!$B$2:$B$573,B83,SITE!$E$2:$E$573,"원료의약품")&gt;0,"Y","")</f>
        <v/>
      </c>
      <c r="H83">
        <f>IF(COUNTIFS(SITE!$B$2:$B$573,B83,SITE!$I$2:$I$573,"Y")&gt;0,"Y","")</f>
        <v/>
      </c>
      <c r="I83">
        <f>IF(COUNTIFS(SITE!$B$2:$B$573,B83,SITE!$J$2:$J$573,"Y")&gt;0,"Y","")</f>
        <v/>
      </c>
      <c r="J83">
        <f>MINIFS(SITE!$G$2:$G$573,SITE!$B$2:$B$573,B83)</f>
        <v/>
      </c>
      <c r="K83">
        <f>IF(J83-TODAY()&lt;183,"임박","")</f>
        <v/>
      </c>
    </row>
    <row r="84">
      <c r="A84" t="inlineStr">
        <is>
          <t>C083</t>
        </is>
      </c>
      <c r="B84" t="inlineStr">
        <is>
          <t>경보제약</t>
        </is>
      </c>
      <c r="C84" t="inlineStr">
        <is>
          <t>(주)경보제약</t>
        </is>
      </c>
      <c r="D84">
        <f>COUNTIF(SITE!$B$2:$B$573,B84)</f>
        <v/>
      </c>
      <c r="E84">
        <f>SUMIFS(SITE!$H$2:$H$573,SITE!$B$2:$B$573,B84)</f>
        <v/>
      </c>
      <c r="F84">
        <f>IF(COUNTIFS(SITE!$B$2:$B$573,B84,SITE!$E$2:$E$573,"완제의약품")&gt;0,"Y","")</f>
        <v/>
      </c>
      <c r="G84">
        <f>IF(COUNTIFS(SITE!$B$2:$B$573,B84,SITE!$E$2:$E$573,"원료의약품")&gt;0,"Y","")</f>
        <v/>
      </c>
      <c r="H84">
        <f>IF(COUNTIFS(SITE!$B$2:$B$573,B84,SITE!$I$2:$I$573,"Y")&gt;0,"Y","")</f>
        <v/>
      </c>
      <c r="I84">
        <f>IF(COUNTIFS(SITE!$B$2:$B$573,B84,SITE!$J$2:$J$573,"Y")&gt;0,"Y","")</f>
        <v/>
      </c>
      <c r="J84">
        <f>MINIFS(SITE!$G$2:$G$573,SITE!$B$2:$B$573,B84)</f>
        <v/>
      </c>
      <c r="K84">
        <f>IF(J84-TODAY()&lt;183,"임박","")</f>
        <v/>
      </c>
      <c r="L84" t="inlineStr">
        <is>
          <t>Y</t>
        </is>
      </c>
      <c r="M84" t="inlineStr">
        <is>
          <t>유가</t>
        </is>
      </c>
      <c r="N84" t="inlineStr">
        <is>
          <t>214390</t>
        </is>
      </c>
      <c r="O84" t="inlineStr">
        <is>
          <t>기초 의약물질 제조업</t>
        </is>
      </c>
      <c r="P84" t="inlineStr">
        <is>
          <t>아토르바스타틴, 세프티족심, 세프트리약손</t>
        </is>
      </c>
      <c r="Q84" t="inlineStr">
        <is>
          <t>김태영</t>
        </is>
      </c>
      <c r="R84" t="inlineStr">
        <is>
          <t>http://www.kbpharma.co.kr</t>
        </is>
      </c>
      <c r="S84" t="inlineStr">
        <is>
          <t>충청남도</t>
        </is>
      </c>
    </row>
    <row r="85">
      <c r="A85" t="inlineStr">
        <is>
          <t>C084</t>
        </is>
      </c>
      <c r="B85" t="inlineStr">
        <is>
          <t>타나베파마코리아</t>
        </is>
      </c>
      <c r="C85" t="inlineStr">
        <is>
          <t>타나베파마코리아주식회사</t>
        </is>
      </c>
      <c r="D85">
        <f>COUNTIF(SITE!$B$2:$B$573,B85)</f>
        <v/>
      </c>
      <c r="E85">
        <f>SUMIFS(SITE!$H$2:$H$573,SITE!$B$2:$B$573,B85)</f>
        <v/>
      </c>
      <c r="F85">
        <f>IF(COUNTIFS(SITE!$B$2:$B$573,B85,SITE!$E$2:$E$573,"완제의약품")&gt;0,"Y","")</f>
        <v/>
      </c>
      <c r="G85">
        <f>IF(COUNTIFS(SITE!$B$2:$B$573,B85,SITE!$E$2:$E$573,"원료의약품")&gt;0,"Y","")</f>
        <v/>
      </c>
      <c r="H85">
        <f>IF(COUNTIFS(SITE!$B$2:$B$573,B85,SITE!$I$2:$I$573,"Y")&gt;0,"Y","")</f>
        <v/>
      </c>
      <c r="I85">
        <f>IF(COUNTIFS(SITE!$B$2:$B$573,B85,SITE!$J$2:$J$573,"Y")&gt;0,"Y","")</f>
        <v/>
      </c>
      <c r="J85">
        <f>MINIFS(SITE!$G$2:$G$573,SITE!$B$2:$B$573,B85)</f>
        <v/>
      </c>
      <c r="K85">
        <f>IF(J85-TODAY()&lt;183,"임박","")</f>
        <v/>
      </c>
    </row>
    <row r="86">
      <c r="A86" t="inlineStr">
        <is>
          <t>C085</t>
        </is>
      </c>
      <c r="B86" t="inlineStr">
        <is>
          <t>대덕가스</t>
        </is>
      </c>
      <c r="C86" t="inlineStr">
        <is>
          <t>대덕가스(주)</t>
        </is>
      </c>
      <c r="D86">
        <f>COUNTIF(SITE!$B$2:$B$573,B86)</f>
        <v/>
      </c>
      <c r="E86">
        <f>SUMIFS(SITE!$H$2:$H$573,SITE!$B$2:$B$573,B86)</f>
        <v/>
      </c>
      <c r="F86">
        <f>IF(COUNTIFS(SITE!$B$2:$B$573,B86,SITE!$E$2:$E$573,"완제의약품")&gt;0,"Y","")</f>
        <v/>
      </c>
      <c r="G86">
        <f>IF(COUNTIFS(SITE!$B$2:$B$573,B86,SITE!$E$2:$E$573,"원료의약품")&gt;0,"Y","")</f>
        <v/>
      </c>
      <c r="H86">
        <f>IF(COUNTIFS(SITE!$B$2:$B$573,B86,SITE!$I$2:$I$573,"Y")&gt;0,"Y","")</f>
        <v/>
      </c>
      <c r="I86">
        <f>IF(COUNTIFS(SITE!$B$2:$B$573,B86,SITE!$J$2:$J$573,"Y")&gt;0,"Y","")</f>
        <v/>
      </c>
      <c r="J86">
        <f>MINIFS(SITE!$G$2:$G$573,SITE!$B$2:$B$573,B86)</f>
        <v/>
      </c>
      <c r="K86">
        <f>IF(J86-TODAY()&lt;183,"임박","")</f>
        <v/>
      </c>
    </row>
    <row r="87">
      <c r="A87" t="inlineStr">
        <is>
          <t>C086</t>
        </is>
      </c>
      <c r="B87" t="inlineStr">
        <is>
          <t>에이치케이이노엔</t>
        </is>
      </c>
      <c r="C87" t="inlineStr">
        <is>
          <t>에이치케이이노엔(주)</t>
        </is>
      </c>
      <c r="D87">
        <f>COUNTIF(SITE!$B$2:$B$573,B87)</f>
        <v/>
      </c>
      <c r="E87">
        <f>SUMIFS(SITE!$H$2:$H$573,SITE!$B$2:$B$573,B87)</f>
        <v/>
      </c>
      <c r="F87">
        <f>IF(COUNTIFS(SITE!$B$2:$B$573,B87,SITE!$E$2:$E$573,"완제의약품")&gt;0,"Y","")</f>
        <v/>
      </c>
      <c r="G87">
        <f>IF(COUNTIFS(SITE!$B$2:$B$573,B87,SITE!$E$2:$E$573,"원료의약품")&gt;0,"Y","")</f>
        <v/>
      </c>
      <c r="H87">
        <f>IF(COUNTIFS(SITE!$B$2:$B$573,B87,SITE!$I$2:$I$573,"Y")&gt;0,"Y","")</f>
        <v/>
      </c>
      <c r="I87">
        <f>IF(COUNTIFS(SITE!$B$2:$B$573,B87,SITE!$J$2:$J$573,"Y")&gt;0,"Y","")</f>
        <v/>
      </c>
      <c r="J87">
        <f>MINIFS(SITE!$G$2:$G$573,SITE!$B$2:$B$573,B87)</f>
        <v/>
      </c>
      <c r="K87">
        <f>IF(J87-TODAY()&lt;183,"임박","")</f>
        <v/>
      </c>
    </row>
    <row r="88">
      <c r="A88" t="inlineStr">
        <is>
          <t>C087</t>
        </is>
      </c>
      <c r="B88" t="inlineStr">
        <is>
          <t>유한화학</t>
        </is>
      </c>
      <c r="C88" t="inlineStr">
        <is>
          <t>주식회사 유한화학</t>
        </is>
      </c>
      <c r="D88">
        <f>COUNTIF(SITE!$B$2:$B$573,B88)</f>
        <v/>
      </c>
      <c r="E88">
        <f>SUMIFS(SITE!$H$2:$H$573,SITE!$B$2:$B$573,B88)</f>
        <v/>
      </c>
      <c r="F88">
        <f>IF(COUNTIFS(SITE!$B$2:$B$573,B88,SITE!$E$2:$E$573,"완제의약품")&gt;0,"Y","")</f>
        <v/>
      </c>
      <c r="G88">
        <f>IF(COUNTIFS(SITE!$B$2:$B$573,B88,SITE!$E$2:$E$573,"원료의약품")&gt;0,"Y","")</f>
        <v/>
      </c>
      <c r="H88">
        <f>IF(COUNTIFS(SITE!$B$2:$B$573,B88,SITE!$I$2:$I$573,"Y")&gt;0,"Y","")</f>
        <v/>
      </c>
      <c r="I88">
        <f>IF(COUNTIFS(SITE!$B$2:$B$573,B88,SITE!$J$2:$J$573,"Y")&gt;0,"Y","")</f>
        <v/>
      </c>
      <c r="J88">
        <f>MINIFS(SITE!$G$2:$G$573,SITE!$B$2:$B$573,B88)</f>
        <v/>
      </c>
      <c r="K88">
        <f>IF(J88-TODAY()&lt;183,"임박","")</f>
        <v/>
      </c>
    </row>
    <row r="89">
      <c r="A89" t="inlineStr">
        <is>
          <t>C088</t>
        </is>
      </c>
      <c r="B89" t="inlineStr">
        <is>
          <t>한국탄산화학</t>
        </is>
      </c>
      <c r="C89" t="inlineStr">
        <is>
          <t>한국탄산화학(주)</t>
        </is>
      </c>
      <c r="D89">
        <f>COUNTIF(SITE!$B$2:$B$573,B89)</f>
        <v/>
      </c>
      <c r="E89">
        <f>SUMIFS(SITE!$H$2:$H$573,SITE!$B$2:$B$573,B89)</f>
        <v/>
      </c>
      <c r="F89">
        <f>IF(COUNTIFS(SITE!$B$2:$B$573,B89,SITE!$E$2:$E$573,"완제의약품")&gt;0,"Y","")</f>
        <v/>
      </c>
      <c r="G89">
        <f>IF(COUNTIFS(SITE!$B$2:$B$573,B89,SITE!$E$2:$E$573,"원료의약품")&gt;0,"Y","")</f>
        <v/>
      </c>
      <c r="H89">
        <f>IF(COUNTIFS(SITE!$B$2:$B$573,B89,SITE!$I$2:$I$573,"Y")&gt;0,"Y","")</f>
        <v/>
      </c>
      <c r="I89">
        <f>IF(COUNTIFS(SITE!$B$2:$B$573,B89,SITE!$J$2:$J$573,"Y")&gt;0,"Y","")</f>
        <v/>
      </c>
      <c r="J89">
        <f>MINIFS(SITE!$G$2:$G$573,SITE!$B$2:$B$573,B89)</f>
        <v/>
      </c>
      <c r="K89">
        <f>IF(J89-TODAY()&lt;183,"임박","")</f>
        <v/>
      </c>
    </row>
    <row r="90">
      <c r="A90" t="inlineStr">
        <is>
          <t>C089</t>
        </is>
      </c>
      <c r="B90" t="inlineStr">
        <is>
          <t>녹십자웰빙</t>
        </is>
      </c>
      <c r="C90" t="inlineStr">
        <is>
          <t>(주)녹십자웰빙</t>
        </is>
      </c>
      <c r="D90">
        <f>COUNTIF(SITE!$B$2:$B$573,B90)</f>
        <v/>
      </c>
      <c r="E90">
        <f>SUMIFS(SITE!$H$2:$H$573,SITE!$B$2:$B$573,B90)</f>
        <v/>
      </c>
      <c r="F90">
        <f>IF(COUNTIFS(SITE!$B$2:$B$573,B90,SITE!$E$2:$E$573,"완제의약품")&gt;0,"Y","")</f>
        <v/>
      </c>
      <c r="G90">
        <f>IF(COUNTIFS(SITE!$B$2:$B$573,B90,SITE!$E$2:$E$573,"원료의약품")&gt;0,"Y","")</f>
        <v/>
      </c>
      <c r="H90">
        <f>IF(COUNTIFS(SITE!$B$2:$B$573,B90,SITE!$I$2:$I$573,"Y")&gt;0,"Y","")</f>
        <v/>
      </c>
      <c r="I90">
        <f>IF(COUNTIFS(SITE!$B$2:$B$573,B90,SITE!$J$2:$J$573,"Y")&gt;0,"Y","")</f>
        <v/>
      </c>
      <c r="J90">
        <f>MINIFS(SITE!$G$2:$G$573,SITE!$B$2:$B$573,B90)</f>
        <v/>
      </c>
      <c r="K90">
        <f>IF(J90-TODAY()&lt;183,"임박","")</f>
        <v/>
      </c>
      <c r="L90" t="inlineStr">
        <is>
          <t>Y</t>
        </is>
      </c>
      <c r="M90" t="inlineStr">
        <is>
          <t>코스닥</t>
        </is>
      </c>
      <c r="N90" t="inlineStr">
        <is>
          <t>234690</t>
        </is>
      </c>
      <c r="O90" t="inlineStr">
        <is>
          <t>의약품 제조업</t>
        </is>
      </c>
      <c r="P90" t="inlineStr">
        <is>
          <t>전문의약품, 건강기능식품</t>
        </is>
      </c>
      <c r="Q90" t="inlineStr">
        <is>
          <t>김상현</t>
        </is>
      </c>
      <c r="R90" t="inlineStr">
        <is>
          <t>http://www.greencrosswb.com</t>
        </is>
      </c>
      <c r="S90" t="inlineStr">
        <is>
          <t>서울특별시</t>
        </is>
      </c>
    </row>
    <row r="91">
      <c r="A91" t="inlineStr">
        <is>
          <t>C090</t>
        </is>
      </c>
      <c r="B91" t="inlineStr">
        <is>
          <t>대웅바이오</t>
        </is>
      </c>
      <c r="C91" t="inlineStr">
        <is>
          <t>대웅바이오(주)</t>
        </is>
      </c>
      <c r="D91">
        <f>COUNTIF(SITE!$B$2:$B$573,B91)</f>
        <v/>
      </c>
      <c r="E91">
        <f>SUMIFS(SITE!$H$2:$H$573,SITE!$B$2:$B$573,B91)</f>
        <v/>
      </c>
      <c r="F91">
        <f>IF(COUNTIFS(SITE!$B$2:$B$573,B91,SITE!$E$2:$E$573,"완제의약품")&gt;0,"Y","")</f>
        <v/>
      </c>
      <c r="G91">
        <f>IF(COUNTIFS(SITE!$B$2:$B$573,B91,SITE!$E$2:$E$573,"원료의약품")&gt;0,"Y","")</f>
        <v/>
      </c>
      <c r="H91">
        <f>IF(COUNTIFS(SITE!$B$2:$B$573,B91,SITE!$I$2:$I$573,"Y")&gt;0,"Y","")</f>
        <v/>
      </c>
      <c r="I91">
        <f>IF(COUNTIFS(SITE!$B$2:$B$573,B91,SITE!$J$2:$J$573,"Y")&gt;0,"Y","")</f>
        <v/>
      </c>
      <c r="J91">
        <f>MINIFS(SITE!$G$2:$G$573,SITE!$B$2:$B$573,B91)</f>
        <v/>
      </c>
      <c r="K91">
        <f>IF(J91-TODAY()&lt;183,"임박","")</f>
        <v/>
      </c>
    </row>
    <row r="92">
      <c r="A92" t="inlineStr">
        <is>
          <t>C091</t>
        </is>
      </c>
      <c r="B92" t="inlineStr">
        <is>
          <t>대유코아</t>
        </is>
      </c>
      <c r="C92" t="inlineStr">
        <is>
          <t>(주)대유코아</t>
        </is>
      </c>
      <c r="D92">
        <f>COUNTIF(SITE!$B$2:$B$573,B92)</f>
        <v/>
      </c>
      <c r="E92">
        <f>SUMIFS(SITE!$H$2:$H$573,SITE!$B$2:$B$573,B92)</f>
        <v/>
      </c>
      <c r="F92">
        <f>IF(COUNTIFS(SITE!$B$2:$B$573,B92,SITE!$E$2:$E$573,"완제의약품")&gt;0,"Y","")</f>
        <v/>
      </c>
      <c r="G92">
        <f>IF(COUNTIFS(SITE!$B$2:$B$573,B92,SITE!$E$2:$E$573,"원료의약품")&gt;0,"Y","")</f>
        <v/>
      </c>
      <c r="H92">
        <f>IF(COUNTIFS(SITE!$B$2:$B$573,B92,SITE!$I$2:$I$573,"Y")&gt;0,"Y","")</f>
        <v/>
      </c>
      <c r="I92">
        <f>IF(COUNTIFS(SITE!$B$2:$B$573,B92,SITE!$J$2:$J$573,"Y")&gt;0,"Y","")</f>
        <v/>
      </c>
      <c r="J92">
        <f>MINIFS(SITE!$G$2:$G$573,SITE!$B$2:$B$573,B92)</f>
        <v/>
      </c>
      <c r="K92">
        <f>IF(J92-TODAY()&lt;183,"임박","")</f>
        <v/>
      </c>
    </row>
    <row r="93">
      <c r="A93" t="inlineStr">
        <is>
          <t>C092</t>
        </is>
      </c>
      <c r="B93" t="inlineStr">
        <is>
          <t>동방에프티엘</t>
        </is>
      </c>
      <c r="C93" t="inlineStr">
        <is>
          <t>동방에프티엘(주)</t>
        </is>
      </c>
      <c r="D93">
        <f>COUNTIF(SITE!$B$2:$B$573,B93)</f>
        <v/>
      </c>
      <c r="E93">
        <f>SUMIFS(SITE!$H$2:$H$573,SITE!$B$2:$B$573,B93)</f>
        <v/>
      </c>
      <c r="F93">
        <f>IF(COUNTIFS(SITE!$B$2:$B$573,B93,SITE!$E$2:$E$573,"완제의약품")&gt;0,"Y","")</f>
        <v/>
      </c>
      <c r="G93">
        <f>IF(COUNTIFS(SITE!$B$2:$B$573,B93,SITE!$E$2:$E$573,"원료의약품")&gt;0,"Y","")</f>
        <v/>
      </c>
      <c r="H93">
        <f>IF(COUNTIFS(SITE!$B$2:$B$573,B93,SITE!$I$2:$I$573,"Y")&gt;0,"Y","")</f>
        <v/>
      </c>
      <c r="I93">
        <f>IF(COUNTIFS(SITE!$B$2:$B$573,B93,SITE!$J$2:$J$573,"Y")&gt;0,"Y","")</f>
        <v/>
      </c>
      <c r="J93">
        <f>MINIFS(SITE!$G$2:$G$573,SITE!$B$2:$B$573,B93)</f>
        <v/>
      </c>
      <c r="K93">
        <f>IF(J93-TODAY()&lt;183,"임박","")</f>
        <v/>
      </c>
    </row>
    <row r="94">
      <c r="A94" t="inlineStr">
        <is>
          <t>C093</t>
        </is>
      </c>
      <c r="B94" t="inlineStr">
        <is>
          <t>에이치엘비제약</t>
        </is>
      </c>
      <c r="C94" t="inlineStr">
        <is>
          <t>에이치엘비제약(주)</t>
        </is>
      </c>
      <c r="D94">
        <f>COUNTIF(SITE!$B$2:$B$573,B94)</f>
        <v/>
      </c>
      <c r="E94">
        <f>SUMIFS(SITE!$H$2:$H$573,SITE!$B$2:$B$573,B94)</f>
        <v/>
      </c>
      <c r="F94">
        <f>IF(COUNTIFS(SITE!$B$2:$B$573,B94,SITE!$E$2:$E$573,"완제의약품")&gt;0,"Y","")</f>
        <v/>
      </c>
      <c r="G94">
        <f>IF(COUNTIFS(SITE!$B$2:$B$573,B94,SITE!$E$2:$E$573,"원료의약품")&gt;0,"Y","")</f>
        <v/>
      </c>
      <c r="H94">
        <f>IF(COUNTIFS(SITE!$B$2:$B$573,B94,SITE!$I$2:$I$573,"Y")&gt;0,"Y","")</f>
        <v/>
      </c>
      <c r="I94">
        <f>IF(COUNTIFS(SITE!$B$2:$B$573,B94,SITE!$J$2:$J$573,"Y")&gt;0,"Y","")</f>
        <v/>
      </c>
      <c r="J94">
        <f>MINIFS(SITE!$G$2:$G$573,SITE!$B$2:$B$573,B94)</f>
        <v/>
      </c>
      <c r="K94">
        <f>IF(J94-TODAY()&lt;183,"임박","")</f>
        <v/>
      </c>
    </row>
    <row r="95">
      <c r="A95" t="inlineStr">
        <is>
          <t>C094</t>
        </is>
      </c>
      <c r="B95" t="inlineStr">
        <is>
          <t>다림바이오텍</t>
        </is>
      </c>
      <c r="C95" t="inlineStr">
        <is>
          <t>(주)다림바이오텍</t>
        </is>
      </c>
      <c r="D95">
        <f>COUNTIF(SITE!$B$2:$B$573,B95)</f>
        <v/>
      </c>
      <c r="E95">
        <f>SUMIFS(SITE!$H$2:$H$573,SITE!$B$2:$B$573,B95)</f>
        <v/>
      </c>
      <c r="F95">
        <f>IF(COUNTIFS(SITE!$B$2:$B$573,B95,SITE!$E$2:$E$573,"완제의약품")&gt;0,"Y","")</f>
        <v/>
      </c>
      <c r="G95">
        <f>IF(COUNTIFS(SITE!$B$2:$B$573,B95,SITE!$E$2:$E$573,"원료의약품")&gt;0,"Y","")</f>
        <v/>
      </c>
      <c r="H95">
        <f>IF(COUNTIFS(SITE!$B$2:$B$573,B95,SITE!$I$2:$I$573,"Y")&gt;0,"Y","")</f>
        <v/>
      </c>
      <c r="I95">
        <f>IF(COUNTIFS(SITE!$B$2:$B$573,B95,SITE!$J$2:$J$573,"Y")&gt;0,"Y","")</f>
        <v/>
      </c>
      <c r="J95">
        <f>MINIFS(SITE!$G$2:$G$573,SITE!$B$2:$B$573,B95)</f>
        <v/>
      </c>
      <c r="K95">
        <f>IF(J95-TODAY()&lt;183,"임박","")</f>
        <v/>
      </c>
    </row>
    <row r="96">
      <c r="A96" t="inlineStr">
        <is>
          <t>C095</t>
        </is>
      </c>
      <c r="B96" t="inlineStr">
        <is>
          <t>대한뉴팜</t>
        </is>
      </c>
      <c r="C96" t="inlineStr">
        <is>
          <t>대한뉴팜(주)</t>
        </is>
      </c>
      <c r="D96">
        <f>COUNTIF(SITE!$B$2:$B$573,B96)</f>
        <v/>
      </c>
      <c r="E96">
        <f>SUMIFS(SITE!$H$2:$H$573,SITE!$B$2:$B$573,B96)</f>
        <v/>
      </c>
      <c r="F96">
        <f>IF(COUNTIFS(SITE!$B$2:$B$573,B96,SITE!$E$2:$E$573,"완제의약품")&gt;0,"Y","")</f>
        <v/>
      </c>
      <c r="G96">
        <f>IF(COUNTIFS(SITE!$B$2:$B$573,B96,SITE!$E$2:$E$573,"원료의약품")&gt;0,"Y","")</f>
        <v/>
      </c>
      <c r="H96">
        <f>IF(COUNTIFS(SITE!$B$2:$B$573,B96,SITE!$I$2:$I$573,"Y")&gt;0,"Y","")</f>
        <v/>
      </c>
      <c r="I96">
        <f>IF(COUNTIFS(SITE!$B$2:$B$573,B96,SITE!$J$2:$J$573,"Y")&gt;0,"Y","")</f>
        <v/>
      </c>
      <c r="J96">
        <f>MINIFS(SITE!$G$2:$G$573,SITE!$B$2:$B$573,B96)</f>
        <v/>
      </c>
      <c r="K96">
        <f>IF(J96-TODAY()&lt;183,"임박","")</f>
        <v/>
      </c>
      <c r="L96" t="inlineStr">
        <is>
          <t>Y</t>
        </is>
      </c>
      <c r="M96" t="inlineStr">
        <is>
          <t>코스닥</t>
        </is>
      </c>
      <c r="N96" t="inlineStr">
        <is>
          <t>054670</t>
        </is>
      </c>
      <c r="O96" t="inlineStr">
        <is>
          <t>의약품 제조업</t>
        </is>
      </c>
      <c r="P96" t="inlineStr">
        <is>
          <t>동물약품,인체약품</t>
        </is>
      </c>
      <c r="Q96" t="inlineStr">
        <is>
          <t>이원석</t>
        </is>
      </c>
      <c r="R96" t="inlineStr">
        <is>
          <t>http://www.dhnp.co.kr</t>
        </is>
      </c>
      <c r="S96" t="inlineStr">
        <is>
          <t>경기도</t>
        </is>
      </c>
    </row>
    <row r="97">
      <c r="A97" t="inlineStr">
        <is>
          <t>C096</t>
        </is>
      </c>
      <c r="B97" t="inlineStr">
        <is>
          <t>알피바이오</t>
        </is>
      </c>
      <c r="C97" t="inlineStr">
        <is>
          <t>(주)알피바이오</t>
        </is>
      </c>
      <c r="D97">
        <f>COUNTIF(SITE!$B$2:$B$573,B97)</f>
        <v/>
      </c>
      <c r="E97">
        <f>SUMIFS(SITE!$H$2:$H$573,SITE!$B$2:$B$573,B97)</f>
        <v/>
      </c>
      <c r="F97">
        <f>IF(COUNTIFS(SITE!$B$2:$B$573,B97,SITE!$E$2:$E$573,"완제의약품")&gt;0,"Y","")</f>
        <v/>
      </c>
      <c r="G97">
        <f>IF(COUNTIFS(SITE!$B$2:$B$573,B97,SITE!$E$2:$E$573,"원료의약품")&gt;0,"Y","")</f>
        <v/>
      </c>
      <c r="H97">
        <f>IF(COUNTIFS(SITE!$B$2:$B$573,B97,SITE!$I$2:$I$573,"Y")&gt;0,"Y","")</f>
        <v/>
      </c>
      <c r="I97">
        <f>IF(COUNTIFS(SITE!$B$2:$B$573,B97,SITE!$J$2:$J$573,"Y")&gt;0,"Y","")</f>
        <v/>
      </c>
      <c r="J97">
        <f>MINIFS(SITE!$G$2:$G$573,SITE!$B$2:$B$573,B97)</f>
        <v/>
      </c>
      <c r="K97">
        <f>IF(J97-TODAY()&lt;183,"임박","")</f>
        <v/>
      </c>
      <c r="L97" t="inlineStr">
        <is>
          <t>Y</t>
        </is>
      </c>
      <c r="M97" t="inlineStr">
        <is>
          <t>코스닥</t>
        </is>
      </c>
      <c r="N97" t="inlineStr">
        <is>
          <t>314140</t>
        </is>
      </c>
      <c r="O97" t="inlineStr">
        <is>
          <t>의약품 제조업</t>
        </is>
      </c>
      <c r="P97" t="inlineStr">
        <is>
          <t>연질캡슐 제형의 의약품 및 건강기능식품</t>
        </is>
      </c>
      <c r="Q97" t="inlineStr">
        <is>
          <t>윤재훈</t>
        </is>
      </c>
      <c r="R97" t="inlineStr">
        <is>
          <t>http://rpskorea.com</t>
        </is>
      </c>
      <c r="S97" t="inlineStr">
        <is>
          <t>서울특별시</t>
        </is>
      </c>
    </row>
    <row r="98">
      <c r="A98" t="inlineStr">
        <is>
          <t>C097</t>
        </is>
      </c>
      <c r="B98" t="inlineStr">
        <is>
          <t>제이더블유신약</t>
        </is>
      </c>
      <c r="C98" t="inlineStr">
        <is>
          <t>제이더블유신약(주)</t>
        </is>
      </c>
      <c r="D98">
        <f>COUNTIF(SITE!$B$2:$B$573,B98)</f>
        <v/>
      </c>
      <c r="E98">
        <f>SUMIFS(SITE!$H$2:$H$573,SITE!$B$2:$B$573,B98)</f>
        <v/>
      </c>
      <c r="F98">
        <f>IF(COUNTIFS(SITE!$B$2:$B$573,B98,SITE!$E$2:$E$573,"완제의약품")&gt;0,"Y","")</f>
        <v/>
      </c>
      <c r="G98">
        <f>IF(COUNTIFS(SITE!$B$2:$B$573,B98,SITE!$E$2:$E$573,"원료의약품")&gt;0,"Y","")</f>
        <v/>
      </c>
      <c r="H98">
        <f>IF(COUNTIFS(SITE!$B$2:$B$573,B98,SITE!$I$2:$I$573,"Y")&gt;0,"Y","")</f>
        <v/>
      </c>
      <c r="I98">
        <f>IF(COUNTIFS(SITE!$B$2:$B$573,B98,SITE!$J$2:$J$573,"Y")&gt;0,"Y","")</f>
        <v/>
      </c>
      <c r="J98">
        <f>MINIFS(SITE!$G$2:$G$573,SITE!$B$2:$B$573,B98)</f>
        <v/>
      </c>
      <c r="K98">
        <f>IF(J98-TODAY()&lt;183,"임박","")</f>
        <v/>
      </c>
    </row>
    <row r="99">
      <c r="A99" t="inlineStr">
        <is>
          <t>C098</t>
        </is>
      </c>
      <c r="B99" t="inlineStr">
        <is>
          <t>파마리서치</t>
        </is>
      </c>
      <c r="C99" t="inlineStr">
        <is>
          <t>(주)파마리서치</t>
        </is>
      </c>
      <c r="D99">
        <f>COUNTIF(SITE!$B$2:$B$573,B99)</f>
        <v/>
      </c>
      <c r="E99">
        <f>SUMIFS(SITE!$H$2:$H$573,SITE!$B$2:$B$573,B99)</f>
        <v/>
      </c>
      <c r="F99">
        <f>IF(COUNTIFS(SITE!$B$2:$B$573,B99,SITE!$E$2:$E$573,"완제의약품")&gt;0,"Y","")</f>
        <v/>
      </c>
      <c r="G99">
        <f>IF(COUNTIFS(SITE!$B$2:$B$573,B99,SITE!$E$2:$E$573,"원료의약품")&gt;0,"Y","")</f>
        <v/>
      </c>
      <c r="H99">
        <f>IF(COUNTIFS(SITE!$B$2:$B$573,B99,SITE!$I$2:$I$573,"Y")&gt;0,"Y","")</f>
        <v/>
      </c>
      <c r="I99">
        <f>IF(COUNTIFS(SITE!$B$2:$B$573,B99,SITE!$J$2:$J$573,"Y")&gt;0,"Y","")</f>
        <v/>
      </c>
      <c r="J99">
        <f>MINIFS(SITE!$G$2:$G$573,SITE!$B$2:$B$573,B99)</f>
        <v/>
      </c>
      <c r="K99">
        <f>IF(J99-TODAY()&lt;183,"임박","")</f>
        <v/>
      </c>
      <c r="L99" t="inlineStr">
        <is>
          <t>Y</t>
        </is>
      </c>
      <c r="M99" t="inlineStr">
        <is>
          <t>코스닥</t>
        </is>
      </c>
      <c r="N99" t="inlineStr">
        <is>
          <t>214450</t>
        </is>
      </c>
      <c r="O99" t="inlineStr">
        <is>
          <t>의료용품 및 기타 의약 관련제품 제조업</t>
        </is>
      </c>
      <c r="P99" t="inlineStr">
        <is>
          <t>재생의약품</t>
        </is>
      </c>
      <c r="Q99" t="inlineStr">
        <is>
          <t>손지훈</t>
        </is>
      </c>
      <c r="R99" t="inlineStr">
        <is>
          <t>http://pharmaresearch.com/</t>
        </is>
      </c>
      <c r="S99" t="inlineStr">
        <is>
          <t>강원특별자치도</t>
        </is>
      </c>
    </row>
    <row r="100">
      <c r="A100" t="inlineStr">
        <is>
          <t>C099</t>
        </is>
      </c>
      <c r="B100" t="inlineStr">
        <is>
          <t>한국유니온제약</t>
        </is>
      </c>
      <c r="C100" t="inlineStr">
        <is>
          <t>한국유니온제약(주)</t>
        </is>
      </c>
      <c r="D100">
        <f>COUNTIF(SITE!$B$2:$B$573,B100)</f>
        <v/>
      </c>
      <c r="E100">
        <f>SUMIFS(SITE!$H$2:$H$573,SITE!$B$2:$B$573,B100)</f>
        <v/>
      </c>
      <c r="F100">
        <f>IF(COUNTIFS(SITE!$B$2:$B$573,B100,SITE!$E$2:$E$573,"완제의약품")&gt;0,"Y","")</f>
        <v/>
      </c>
      <c r="G100">
        <f>IF(COUNTIFS(SITE!$B$2:$B$573,B100,SITE!$E$2:$E$573,"원료의약품")&gt;0,"Y","")</f>
        <v/>
      </c>
      <c r="H100">
        <f>IF(COUNTIFS(SITE!$B$2:$B$573,B100,SITE!$I$2:$I$573,"Y")&gt;0,"Y","")</f>
        <v/>
      </c>
      <c r="I100">
        <f>IF(COUNTIFS(SITE!$B$2:$B$573,B100,SITE!$J$2:$J$573,"Y")&gt;0,"Y","")</f>
        <v/>
      </c>
      <c r="J100">
        <f>MINIFS(SITE!$G$2:$G$573,SITE!$B$2:$B$573,B100)</f>
        <v/>
      </c>
      <c r="K100">
        <f>IF(J100-TODAY()&lt;183,"임박","")</f>
        <v/>
      </c>
      <c r="L100" t="inlineStr">
        <is>
          <t>Y</t>
        </is>
      </c>
      <c r="M100" t="inlineStr">
        <is>
          <t>코스닥</t>
        </is>
      </c>
      <c r="N100" t="inlineStr">
        <is>
          <t>080720</t>
        </is>
      </c>
      <c r="O100" t="inlineStr">
        <is>
          <t>의약품 제조업</t>
        </is>
      </c>
      <c r="P100" t="inlineStr">
        <is>
          <t>항생제, 순환기계, 근골격계, 소화기계류 완제의약품</t>
        </is>
      </c>
      <c r="Q100" t="inlineStr">
        <is>
          <t>정근호</t>
        </is>
      </c>
      <c r="R100" t="inlineStr">
        <is>
          <t>http://www.ukp.co.kr/</t>
        </is>
      </c>
      <c r="S100" t="inlineStr">
        <is>
          <t>강원특별자치도</t>
        </is>
      </c>
    </row>
    <row r="101">
      <c r="A101" t="inlineStr">
        <is>
          <t>C100</t>
        </is>
      </c>
      <c r="B101" t="inlineStr">
        <is>
          <t>풍림무약</t>
        </is>
      </c>
      <c r="C101" t="inlineStr">
        <is>
          <t>풍림무약(주)</t>
        </is>
      </c>
      <c r="D101">
        <f>COUNTIF(SITE!$B$2:$B$573,B101)</f>
        <v/>
      </c>
      <c r="E101">
        <f>SUMIFS(SITE!$H$2:$H$573,SITE!$B$2:$B$573,B101)</f>
        <v/>
      </c>
      <c r="F101">
        <f>IF(COUNTIFS(SITE!$B$2:$B$573,B101,SITE!$E$2:$E$573,"완제의약품")&gt;0,"Y","")</f>
        <v/>
      </c>
      <c r="G101">
        <f>IF(COUNTIFS(SITE!$B$2:$B$573,B101,SITE!$E$2:$E$573,"원료의약품")&gt;0,"Y","")</f>
        <v/>
      </c>
      <c r="H101">
        <f>IF(COUNTIFS(SITE!$B$2:$B$573,B101,SITE!$I$2:$I$573,"Y")&gt;0,"Y","")</f>
        <v/>
      </c>
      <c r="I101">
        <f>IF(COUNTIFS(SITE!$B$2:$B$573,B101,SITE!$J$2:$J$573,"Y")&gt;0,"Y","")</f>
        <v/>
      </c>
      <c r="J101">
        <f>MINIFS(SITE!$G$2:$G$573,SITE!$B$2:$B$573,B101)</f>
        <v/>
      </c>
      <c r="K101">
        <f>IF(J101-TODAY()&lt;183,"임박","")</f>
        <v/>
      </c>
    </row>
    <row r="102">
      <c r="A102" t="inlineStr">
        <is>
          <t>C101</t>
        </is>
      </c>
      <c r="B102" t="inlineStr">
        <is>
          <t>에이치피앤씨</t>
        </is>
      </c>
      <c r="C102" t="inlineStr">
        <is>
          <t>(주)에이치피앤씨</t>
        </is>
      </c>
      <c r="D102">
        <f>COUNTIF(SITE!$B$2:$B$573,B102)</f>
        <v/>
      </c>
      <c r="E102">
        <f>SUMIFS(SITE!$H$2:$H$573,SITE!$B$2:$B$573,B102)</f>
        <v/>
      </c>
      <c r="F102">
        <f>IF(COUNTIFS(SITE!$B$2:$B$573,B102,SITE!$E$2:$E$573,"완제의약품")&gt;0,"Y","")</f>
        <v/>
      </c>
      <c r="G102">
        <f>IF(COUNTIFS(SITE!$B$2:$B$573,B102,SITE!$E$2:$E$573,"원료의약품")&gt;0,"Y","")</f>
        <v/>
      </c>
      <c r="H102">
        <f>IF(COUNTIFS(SITE!$B$2:$B$573,B102,SITE!$I$2:$I$573,"Y")&gt;0,"Y","")</f>
        <v/>
      </c>
      <c r="I102">
        <f>IF(COUNTIFS(SITE!$B$2:$B$573,B102,SITE!$J$2:$J$573,"Y")&gt;0,"Y","")</f>
        <v/>
      </c>
      <c r="J102">
        <f>MINIFS(SITE!$G$2:$G$573,SITE!$B$2:$B$573,B102)</f>
        <v/>
      </c>
      <c r="K102">
        <f>IF(J102-TODAY()&lt;183,"임박","")</f>
        <v/>
      </c>
    </row>
    <row r="103">
      <c r="A103" t="inlineStr">
        <is>
          <t>C102</t>
        </is>
      </c>
      <c r="B103" t="inlineStr">
        <is>
          <t>복지종합가스</t>
        </is>
      </c>
      <c r="C103" t="inlineStr">
        <is>
          <t>복지종합가스(주)</t>
        </is>
      </c>
      <c r="D103">
        <f>COUNTIF(SITE!$B$2:$B$573,B103)</f>
        <v/>
      </c>
      <c r="E103">
        <f>SUMIFS(SITE!$H$2:$H$573,SITE!$B$2:$B$573,B103)</f>
        <v/>
      </c>
      <c r="F103">
        <f>IF(COUNTIFS(SITE!$B$2:$B$573,B103,SITE!$E$2:$E$573,"완제의약품")&gt;0,"Y","")</f>
        <v/>
      </c>
      <c r="G103">
        <f>IF(COUNTIFS(SITE!$B$2:$B$573,B103,SITE!$E$2:$E$573,"원료의약품")&gt;0,"Y","")</f>
        <v/>
      </c>
      <c r="H103">
        <f>IF(COUNTIFS(SITE!$B$2:$B$573,B103,SITE!$I$2:$I$573,"Y")&gt;0,"Y","")</f>
        <v/>
      </c>
      <c r="I103">
        <f>IF(COUNTIFS(SITE!$B$2:$B$573,B103,SITE!$J$2:$J$573,"Y")&gt;0,"Y","")</f>
        <v/>
      </c>
      <c r="J103">
        <f>MINIFS(SITE!$G$2:$G$573,SITE!$B$2:$B$573,B103)</f>
        <v/>
      </c>
      <c r="K103">
        <f>IF(J103-TODAY()&lt;183,"임박","")</f>
        <v/>
      </c>
    </row>
    <row r="104">
      <c r="A104" t="inlineStr">
        <is>
          <t>C103</t>
        </is>
      </c>
      <c r="B104" t="inlineStr">
        <is>
          <t>대원제약</t>
        </is>
      </c>
      <c r="C104" t="inlineStr">
        <is>
          <t>대원제약(주)</t>
        </is>
      </c>
      <c r="D104">
        <f>COUNTIF(SITE!$B$2:$B$573,B104)</f>
        <v/>
      </c>
      <c r="E104">
        <f>SUMIFS(SITE!$H$2:$H$573,SITE!$B$2:$B$573,B104)</f>
        <v/>
      </c>
      <c r="F104">
        <f>IF(COUNTIFS(SITE!$B$2:$B$573,B104,SITE!$E$2:$E$573,"완제의약품")&gt;0,"Y","")</f>
        <v/>
      </c>
      <c r="G104">
        <f>IF(COUNTIFS(SITE!$B$2:$B$573,B104,SITE!$E$2:$E$573,"원료의약품")&gt;0,"Y","")</f>
        <v/>
      </c>
      <c r="H104">
        <f>IF(COUNTIFS(SITE!$B$2:$B$573,B104,SITE!$I$2:$I$573,"Y")&gt;0,"Y","")</f>
        <v/>
      </c>
      <c r="I104">
        <f>IF(COUNTIFS(SITE!$B$2:$B$573,B104,SITE!$J$2:$J$573,"Y")&gt;0,"Y","")</f>
        <v/>
      </c>
      <c r="J104">
        <f>MINIFS(SITE!$G$2:$G$573,SITE!$B$2:$B$573,B104)</f>
        <v/>
      </c>
      <c r="K104">
        <f>IF(J104-TODAY()&lt;183,"임박","")</f>
        <v/>
      </c>
      <c r="L104" t="inlineStr">
        <is>
          <t>Y</t>
        </is>
      </c>
      <c r="M104" t="inlineStr">
        <is>
          <t>유가</t>
        </is>
      </c>
      <c r="N104" t="inlineStr">
        <is>
          <t>003220</t>
        </is>
      </c>
      <c r="O104" t="inlineStr">
        <is>
          <t>의약품 제조업</t>
        </is>
      </c>
      <c r="P104" t="inlineStr">
        <is>
          <t>의약품(해열소염진통제,진해거담제,동맥경화용제,혈압강하제 등), 건강기능식품(프로바이오틱스 등)</t>
        </is>
      </c>
      <c r="Q104" t="inlineStr">
        <is>
          <t>백승열, BAEK JONATHAN IN</t>
        </is>
      </c>
      <c r="R104" t="inlineStr">
        <is>
          <t>http://www.daewonpharm.com</t>
        </is>
      </c>
      <c r="S104" t="inlineStr">
        <is>
          <t>서울특별시</t>
        </is>
      </c>
    </row>
    <row r="105">
      <c r="A105" t="inlineStr">
        <is>
          <t>C104</t>
        </is>
      </c>
      <c r="B105" t="inlineStr">
        <is>
          <t>대웅제약</t>
        </is>
      </c>
      <c r="C105" t="inlineStr">
        <is>
          <t>(주)대웅제약</t>
        </is>
      </c>
      <c r="D105">
        <f>COUNTIF(SITE!$B$2:$B$573,B105)</f>
        <v/>
      </c>
      <c r="E105">
        <f>SUMIFS(SITE!$H$2:$H$573,SITE!$B$2:$B$573,B105)</f>
        <v/>
      </c>
      <c r="F105">
        <f>IF(COUNTIFS(SITE!$B$2:$B$573,B105,SITE!$E$2:$E$573,"완제의약품")&gt;0,"Y","")</f>
        <v/>
      </c>
      <c r="G105">
        <f>IF(COUNTIFS(SITE!$B$2:$B$573,B105,SITE!$E$2:$E$573,"원료의약품")&gt;0,"Y","")</f>
        <v/>
      </c>
      <c r="H105">
        <f>IF(COUNTIFS(SITE!$B$2:$B$573,B105,SITE!$I$2:$I$573,"Y")&gt;0,"Y","")</f>
        <v/>
      </c>
      <c r="I105">
        <f>IF(COUNTIFS(SITE!$B$2:$B$573,B105,SITE!$J$2:$J$573,"Y")&gt;0,"Y","")</f>
        <v/>
      </c>
      <c r="J105">
        <f>MINIFS(SITE!$G$2:$G$573,SITE!$B$2:$B$573,B105)</f>
        <v/>
      </c>
      <c r="K105">
        <f>IF(J105-TODAY()&lt;183,"임박","")</f>
        <v/>
      </c>
      <c r="L105" t="inlineStr">
        <is>
          <t>Y</t>
        </is>
      </c>
      <c r="M105" t="inlineStr">
        <is>
          <t>유가</t>
        </is>
      </c>
      <c r="N105" t="inlineStr">
        <is>
          <t>069620</t>
        </is>
      </c>
      <c r="O105" t="inlineStr">
        <is>
          <t>의약품 제조업</t>
        </is>
      </c>
      <c r="P105" t="inlineStr">
        <is>
          <t>양약,의료기기 제조/화장품,의약부의품 도소매/부동산 임대</t>
        </is>
      </c>
      <c r="Q105" t="inlineStr">
        <is>
          <t>이창재, 박성수</t>
        </is>
      </c>
      <c r="R105" t="inlineStr">
        <is>
          <t>http://www.daewoong.co.kr</t>
        </is>
      </c>
      <c r="S105" t="inlineStr">
        <is>
          <t>경기도</t>
        </is>
      </c>
    </row>
    <row r="106">
      <c r="A106" t="inlineStr">
        <is>
          <t>C105</t>
        </is>
      </c>
      <c r="B106" t="inlineStr">
        <is>
          <t>코스맥스파마</t>
        </is>
      </c>
      <c r="C106" t="inlineStr">
        <is>
          <t>코스맥스파마(주)</t>
        </is>
      </c>
      <c r="D106">
        <f>COUNTIF(SITE!$B$2:$B$573,B106)</f>
        <v/>
      </c>
      <c r="E106">
        <f>SUMIFS(SITE!$H$2:$H$573,SITE!$B$2:$B$573,B106)</f>
        <v/>
      </c>
      <c r="F106">
        <f>IF(COUNTIFS(SITE!$B$2:$B$573,B106,SITE!$E$2:$E$573,"완제의약품")&gt;0,"Y","")</f>
        <v/>
      </c>
      <c r="G106">
        <f>IF(COUNTIFS(SITE!$B$2:$B$573,B106,SITE!$E$2:$E$573,"원료의약품")&gt;0,"Y","")</f>
        <v/>
      </c>
      <c r="H106">
        <f>IF(COUNTIFS(SITE!$B$2:$B$573,B106,SITE!$I$2:$I$573,"Y")&gt;0,"Y","")</f>
        <v/>
      </c>
      <c r="I106">
        <f>IF(COUNTIFS(SITE!$B$2:$B$573,B106,SITE!$J$2:$J$573,"Y")&gt;0,"Y","")</f>
        <v/>
      </c>
      <c r="J106">
        <f>MINIFS(SITE!$G$2:$G$573,SITE!$B$2:$B$573,B106)</f>
        <v/>
      </c>
      <c r="K106">
        <f>IF(J106-TODAY()&lt;183,"임박","")</f>
        <v/>
      </c>
    </row>
    <row r="107">
      <c r="A107" t="inlineStr">
        <is>
          <t>C106</t>
        </is>
      </c>
      <c r="B107" t="inlineStr">
        <is>
          <t>현대약품</t>
        </is>
      </c>
      <c r="C107" t="inlineStr">
        <is>
          <t>현대약품(주)</t>
        </is>
      </c>
      <c r="D107">
        <f>COUNTIF(SITE!$B$2:$B$573,B107)</f>
        <v/>
      </c>
      <c r="E107">
        <f>SUMIFS(SITE!$H$2:$H$573,SITE!$B$2:$B$573,B107)</f>
        <v/>
      </c>
      <c r="F107">
        <f>IF(COUNTIFS(SITE!$B$2:$B$573,B107,SITE!$E$2:$E$573,"완제의약품")&gt;0,"Y","")</f>
        <v/>
      </c>
      <c r="G107">
        <f>IF(COUNTIFS(SITE!$B$2:$B$573,B107,SITE!$E$2:$E$573,"원료의약품")&gt;0,"Y","")</f>
        <v/>
      </c>
      <c r="H107">
        <f>IF(COUNTIFS(SITE!$B$2:$B$573,B107,SITE!$I$2:$I$573,"Y")&gt;0,"Y","")</f>
        <v/>
      </c>
      <c r="I107">
        <f>IF(COUNTIFS(SITE!$B$2:$B$573,B107,SITE!$J$2:$J$573,"Y")&gt;0,"Y","")</f>
        <v/>
      </c>
      <c r="J107">
        <f>MINIFS(SITE!$G$2:$G$573,SITE!$B$2:$B$573,B107)</f>
        <v/>
      </c>
      <c r="K107">
        <f>IF(J107-TODAY()&lt;183,"임박","")</f>
        <v/>
      </c>
      <c r="L107" t="inlineStr">
        <is>
          <t>Y</t>
        </is>
      </c>
      <c r="M107" t="inlineStr">
        <is>
          <t>유가</t>
        </is>
      </c>
      <c r="N107" t="inlineStr">
        <is>
          <t>004310</t>
        </is>
      </c>
      <c r="O107" t="inlineStr">
        <is>
          <t>의약품 제조업</t>
        </is>
      </c>
      <c r="P107" t="inlineStr">
        <is>
          <t>타코실, 마이녹실, 테놀민, 미에로화이바 등</t>
        </is>
      </c>
      <c r="Q107" t="inlineStr">
        <is>
          <t>이상준</t>
        </is>
      </c>
      <c r="R107" t="inlineStr">
        <is>
          <t>http://www.hyundaipharm.co.kr</t>
        </is>
      </c>
      <c r="S107" t="inlineStr">
        <is>
          <t>충청남도</t>
        </is>
      </c>
    </row>
    <row r="108">
      <c r="A108" t="inlineStr">
        <is>
          <t>C107</t>
        </is>
      </c>
      <c r="B108" t="inlineStr">
        <is>
          <t>비씨월드헬스케어</t>
        </is>
      </c>
      <c r="C108" t="inlineStr">
        <is>
          <t>(주)비씨월드헬스케어</t>
        </is>
      </c>
      <c r="D108">
        <f>COUNTIF(SITE!$B$2:$B$573,B108)</f>
        <v/>
      </c>
      <c r="E108">
        <f>SUMIFS(SITE!$H$2:$H$573,SITE!$B$2:$B$573,B108)</f>
        <v/>
      </c>
      <c r="F108">
        <f>IF(COUNTIFS(SITE!$B$2:$B$573,B108,SITE!$E$2:$E$573,"완제의약품")&gt;0,"Y","")</f>
        <v/>
      </c>
      <c r="G108">
        <f>IF(COUNTIFS(SITE!$B$2:$B$573,B108,SITE!$E$2:$E$573,"원료의약품")&gt;0,"Y","")</f>
        <v/>
      </c>
      <c r="H108">
        <f>IF(COUNTIFS(SITE!$B$2:$B$573,B108,SITE!$I$2:$I$573,"Y")&gt;0,"Y","")</f>
        <v/>
      </c>
      <c r="I108">
        <f>IF(COUNTIFS(SITE!$B$2:$B$573,B108,SITE!$J$2:$J$573,"Y")&gt;0,"Y","")</f>
        <v/>
      </c>
      <c r="J108">
        <f>MINIFS(SITE!$G$2:$G$573,SITE!$B$2:$B$573,B108)</f>
        <v/>
      </c>
      <c r="K108">
        <f>IF(J108-TODAY()&lt;183,"임박","")</f>
        <v/>
      </c>
    </row>
    <row r="109">
      <c r="A109" t="inlineStr">
        <is>
          <t>C108</t>
        </is>
      </c>
      <c r="B109" t="inlineStr">
        <is>
          <t>제일약품</t>
        </is>
      </c>
      <c r="C109" t="inlineStr">
        <is>
          <t>제일약품(주)</t>
        </is>
      </c>
      <c r="D109">
        <f>COUNTIF(SITE!$B$2:$B$573,B109)</f>
        <v/>
      </c>
      <c r="E109">
        <f>SUMIFS(SITE!$H$2:$H$573,SITE!$B$2:$B$573,B109)</f>
        <v/>
      </c>
      <c r="F109">
        <f>IF(COUNTIFS(SITE!$B$2:$B$573,B109,SITE!$E$2:$E$573,"완제의약품")&gt;0,"Y","")</f>
        <v/>
      </c>
      <c r="G109">
        <f>IF(COUNTIFS(SITE!$B$2:$B$573,B109,SITE!$E$2:$E$573,"원료의약품")&gt;0,"Y","")</f>
        <v/>
      </c>
      <c r="H109">
        <f>IF(COUNTIFS(SITE!$B$2:$B$573,B109,SITE!$I$2:$I$573,"Y")&gt;0,"Y","")</f>
        <v/>
      </c>
      <c r="I109">
        <f>IF(COUNTIFS(SITE!$B$2:$B$573,B109,SITE!$J$2:$J$573,"Y")&gt;0,"Y","")</f>
        <v/>
      </c>
      <c r="J109">
        <f>MINIFS(SITE!$G$2:$G$573,SITE!$B$2:$B$573,B109)</f>
        <v/>
      </c>
      <c r="K109">
        <f>IF(J109-TODAY()&lt;183,"임박","")</f>
        <v/>
      </c>
      <c r="L109" t="inlineStr">
        <is>
          <t>Y</t>
        </is>
      </c>
      <c r="M109" t="inlineStr">
        <is>
          <t>유가</t>
        </is>
      </c>
      <c r="N109" t="inlineStr">
        <is>
          <t>271980</t>
        </is>
      </c>
      <c r="O109" t="inlineStr">
        <is>
          <t>의약품 제조업</t>
        </is>
      </c>
      <c r="P109" t="inlineStr">
        <is>
          <t>의약품</t>
        </is>
      </c>
      <c r="Q109" t="inlineStr">
        <is>
          <t>성석제, 한상철 (공동대표)</t>
        </is>
      </c>
      <c r="R109" t="inlineStr">
        <is>
          <t>http://www.jeilpharm.co.kr</t>
        </is>
      </c>
      <c r="S109" t="inlineStr">
        <is>
          <t>서울특별시</t>
        </is>
      </c>
    </row>
    <row r="110">
      <c r="A110" t="inlineStr">
        <is>
          <t>C109</t>
        </is>
      </c>
      <c r="B110" t="inlineStr">
        <is>
          <t>신신제약</t>
        </is>
      </c>
      <c r="C110" t="inlineStr">
        <is>
          <t>신신제약(주)</t>
        </is>
      </c>
      <c r="D110">
        <f>COUNTIF(SITE!$B$2:$B$573,B110)</f>
        <v/>
      </c>
      <c r="E110">
        <f>SUMIFS(SITE!$H$2:$H$573,SITE!$B$2:$B$573,B110)</f>
        <v/>
      </c>
      <c r="F110">
        <f>IF(COUNTIFS(SITE!$B$2:$B$573,B110,SITE!$E$2:$E$573,"완제의약품")&gt;0,"Y","")</f>
        <v/>
      </c>
      <c r="G110">
        <f>IF(COUNTIFS(SITE!$B$2:$B$573,B110,SITE!$E$2:$E$573,"원료의약품")&gt;0,"Y","")</f>
        <v/>
      </c>
      <c r="H110">
        <f>IF(COUNTIFS(SITE!$B$2:$B$573,B110,SITE!$I$2:$I$573,"Y")&gt;0,"Y","")</f>
        <v/>
      </c>
      <c r="I110">
        <f>IF(COUNTIFS(SITE!$B$2:$B$573,B110,SITE!$J$2:$J$573,"Y")&gt;0,"Y","")</f>
        <v/>
      </c>
      <c r="J110">
        <f>MINIFS(SITE!$G$2:$G$573,SITE!$B$2:$B$573,B110)</f>
        <v/>
      </c>
      <c r="K110">
        <f>IF(J110-TODAY()&lt;183,"임박","")</f>
        <v/>
      </c>
      <c r="L110" t="inlineStr">
        <is>
          <t>Y</t>
        </is>
      </c>
      <c r="M110" t="inlineStr">
        <is>
          <t>코스닥</t>
        </is>
      </c>
      <c r="N110" t="inlineStr">
        <is>
          <t>002800</t>
        </is>
      </c>
      <c r="O110" t="inlineStr">
        <is>
          <t>의약품 제조업</t>
        </is>
      </c>
      <c r="P110" t="inlineStr">
        <is>
          <t>파스류 (신신파스 아렉스 등)</t>
        </is>
      </c>
      <c r="Q110" t="inlineStr">
        <is>
          <t>이병기</t>
        </is>
      </c>
      <c r="R110" t="inlineStr">
        <is>
          <t>http://www.sinsin.com</t>
        </is>
      </c>
      <c r="S110" t="inlineStr">
        <is>
          <t>세종특별자치시</t>
        </is>
      </c>
    </row>
    <row r="111">
      <c r="A111" t="inlineStr">
        <is>
          <t>C110</t>
        </is>
      </c>
      <c r="B111" t="inlineStr">
        <is>
          <t>제네톡스</t>
        </is>
      </c>
      <c r="C111" t="inlineStr">
        <is>
          <t>제네톡스(주)</t>
        </is>
      </c>
      <c r="D111">
        <f>COUNTIF(SITE!$B$2:$B$573,B111)</f>
        <v/>
      </c>
      <c r="E111">
        <f>SUMIFS(SITE!$H$2:$H$573,SITE!$B$2:$B$573,B111)</f>
        <v/>
      </c>
      <c r="F111">
        <f>IF(COUNTIFS(SITE!$B$2:$B$573,B111,SITE!$E$2:$E$573,"완제의약품")&gt;0,"Y","")</f>
        <v/>
      </c>
      <c r="G111">
        <f>IF(COUNTIFS(SITE!$B$2:$B$573,B111,SITE!$E$2:$E$573,"원료의약품")&gt;0,"Y","")</f>
        <v/>
      </c>
      <c r="H111">
        <f>IF(COUNTIFS(SITE!$B$2:$B$573,B111,SITE!$I$2:$I$573,"Y")&gt;0,"Y","")</f>
        <v/>
      </c>
      <c r="I111">
        <f>IF(COUNTIFS(SITE!$B$2:$B$573,B111,SITE!$J$2:$J$573,"Y")&gt;0,"Y","")</f>
        <v/>
      </c>
      <c r="J111">
        <f>MINIFS(SITE!$G$2:$G$573,SITE!$B$2:$B$573,B111)</f>
        <v/>
      </c>
      <c r="K111">
        <f>IF(J111-TODAY()&lt;183,"임박","")</f>
        <v/>
      </c>
    </row>
    <row r="112">
      <c r="A112" t="inlineStr">
        <is>
          <t>C111</t>
        </is>
      </c>
      <c r="B112" t="inlineStr">
        <is>
          <t>한국호넥스</t>
        </is>
      </c>
      <c r="C112" t="inlineStr">
        <is>
          <t>(주)한국호넥스</t>
        </is>
      </c>
      <c r="D112">
        <f>COUNTIF(SITE!$B$2:$B$573,B112)</f>
        <v/>
      </c>
      <c r="E112">
        <f>SUMIFS(SITE!$H$2:$H$573,SITE!$B$2:$B$573,B112)</f>
        <v/>
      </c>
      <c r="F112">
        <f>IF(COUNTIFS(SITE!$B$2:$B$573,B112,SITE!$E$2:$E$573,"완제의약품")&gt;0,"Y","")</f>
        <v/>
      </c>
      <c r="G112">
        <f>IF(COUNTIFS(SITE!$B$2:$B$573,B112,SITE!$E$2:$E$573,"원료의약품")&gt;0,"Y","")</f>
        <v/>
      </c>
      <c r="H112">
        <f>IF(COUNTIFS(SITE!$B$2:$B$573,B112,SITE!$I$2:$I$573,"Y")&gt;0,"Y","")</f>
        <v/>
      </c>
      <c r="I112">
        <f>IF(COUNTIFS(SITE!$B$2:$B$573,B112,SITE!$J$2:$J$573,"Y")&gt;0,"Y","")</f>
        <v/>
      </c>
      <c r="J112">
        <f>MINIFS(SITE!$G$2:$G$573,SITE!$B$2:$B$573,B112)</f>
        <v/>
      </c>
      <c r="K112">
        <f>IF(J112-TODAY()&lt;183,"임박","")</f>
        <v/>
      </c>
    </row>
    <row r="113">
      <c r="A113" t="inlineStr">
        <is>
          <t>C112</t>
        </is>
      </c>
      <c r="B113" t="inlineStr">
        <is>
          <t>제이에스산업가스</t>
        </is>
      </c>
      <c r="C113" t="inlineStr">
        <is>
          <t>(주)제이에스산업가스</t>
        </is>
      </c>
      <c r="D113">
        <f>COUNTIF(SITE!$B$2:$B$573,B113)</f>
        <v/>
      </c>
      <c r="E113">
        <f>SUMIFS(SITE!$H$2:$H$573,SITE!$B$2:$B$573,B113)</f>
        <v/>
      </c>
      <c r="F113">
        <f>IF(COUNTIFS(SITE!$B$2:$B$573,B113,SITE!$E$2:$E$573,"완제의약품")&gt;0,"Y","")</f>
        <v/>
      </c>
      <c r="G113">
        <f>IF(COUNTIFS(SITE!$B$2:$B$573,B113,SITE!$E$2:$E$573,"원료의약품")&gt;0,"Y","")</f>
        <v/>
      </c>
      <c r="H113">
        <f>IF(COUNTIFS(SITE!$B$2:$B$573,B113,SITE!$I$2:$I$573,"Y")&gt;0,"Y","")</f>
        <v/>
      </c>
      <c r="I113">
        <f>IF(COUNTIFS(SITE!$B$2:$B$573,B113,SITE!$J$2:$J$573,"Y")&gt;0,"Y","")</f>
        <v/>
      </c>
      <c r="J113">
        <f>MINIFS(SITE!$G$2:$G$573,SITE!$B$2:$B$573,B113)</f>
        <v/>
      </c>
      <c r="K113">
        <f>IF(J113-TODAY()&lt;183,"임박","")</f>
        <v/>
      </c>
    </row>
    <row r="114">
      <c r="A114" t="inlineStr">
        <is>
          <t>C113</t>
        </is>
      </c>
      <c r="B114" t="inlineStr">
        <is>
          <t>비알팜</t>
        </is>
      </c>
      <c r="C114" t="inlineStr">
        <is>
          <t>㈜비알팜</t>
        </is>
      </c>
      <c r="D114">
        <f>COUNTIF(SITE!$B$2:$B$573,B114)</f>
        <v/>
      </c>
      <c r="E114">
        <f>SUMIFS(SITE!$H$2:$H$573,SITE!$B$2:$B$573,B114)</f>
        <v/>
      </c>
      <c r="F114">
        <f>IF(COUNTIFS(SITE!$B$2:$B$573,B114,SITE!$E$2:$E$573,"완제의약품")&gt;0,"Y","")</f>
        <v/>
      </c>
      <c r="G114">
        <f>IF(COUNTIFS(SITE!$B$2:$B$573,B114,SITE!$E$2:$E$573,"원료의약품")&gt;0,"Y","")</f>
        <v/>
      </c>
      <c r="H114">
        <f>IF(COUNTIFS(SITE!$B$2:$B$573,B114,SITE!$I$2:$I$573,"Y")&gt;0,"Y","")</f>
        <v/>
      </c>
      <c r="I114">
        <f>IF(COUNTIFS(SITE!$B$2:$B$573,B114,SITE!$J$2:$J$573,"Y")&gt;0,"Y","")</f>
        <v/>
      </c>
      <c r="J114">
        <f>MINIFS(SITE!$G$2:$G$573,SITE!$B$2:$B$573,B114)</f>
        <v/>
      </c>
      <c r="K114">
        <f>IF(J114-TODAY()&lt;183,"임박","")</f>
        <v/>
      </c>
    </row>
    <row r="115">
      <c r="A115" t="inlineStr">
        <is>
          <t>C114</t>
        </is>
      </c>
      <c r="B115" t="inlineStr">
        <is>
          <t>삼양화학공업</t>
        </is>
      </c>
      <c r="C115" t="inlineStr">
        <is>
          <t>삼양화학공업(주)</t>
        </is>
      </c>
      <c r="D115">
        <f>COUNTIF(SITE!$B$2:$B$573,B115)</f>
        <v/>
      </c>
      <c r="E115">
        <f>SUMIFS(SITE!$H$2:$H$573,SITE!$B$2:$B$573,B115)</f>
        <v/>
      </c>
      <c r="F115">
        <f>IF(COUNTIFS(SITE!$B$2:$B$573,B115,SITE!$E$2:$E$573,"완제의약품")&gt;0,"Y","")</f>
        <v/>
      </c>
      <c r="G115">
        <f>IF(COUNTIFS(SITE!$B$2:$B$573,B115,SITE!$E$2:$E$573,"원료의약품")&gt;0,"Y","")</f>
        <v/>
      </c>
      <c r="H115">
        <f>IF(COUNTIFS(SITE!$B$2:$B$573,B115,SITE!$I$2:$I$573,"Y")&gt;0,"Y","")</f>
        <v/>
      </c>
      <c r="I115">
        <f>IF(COUNTIFS(SITE!$B$2:$B$573,B115,SITE!$J$2:$J$573,"Y")&gt;0,"Y","")</f>
        <v/>
      </c>
      <c r="J115">
        <f>MINIFS(SITE!$G$2:$G$573,SITE!$B$2:$B$573,B115)</f>
        <v/>
      </c>
      <c r="K115">
        <f>IF(J115-TODAY()&lt;183,"임박","")</f>
        <v/>
      </c>
    </row>
    <row r="116">
      <c r="A116" t="inlineStr">
        <is>
          <t>C115</t>
        </is>
      </c>
      <c r="B116" t="inlineStr">
        <is>
          <t>에스케이바이오사이언스</t>
        </is>
      </c>
      <c r="C116" t="inlineStr">
        <is>
          <t>에스케이바이오사이언스(주)</t>
        </is>
      </c>
      <c r="D116">
        <f>COUNTIF(SITE!$B$2:$B$573,B116)</f>
        <v/>
      </c>
      <c r="E116">
        <f>SUMIFS(SITE!$H$2:$H$573,SITE!$B$2:$B$573,B116)</f>
        <v/>
      </c>
      <c r="F116">
        <f>IF(COUNTIFS(SITE!$B$2:$B$573,B116,SITE!$E$2:$E$573,"완제의약품")&gt;0,"Y","")</f>
        <v/>
      </c>
      <c r="G116">
        <f>IF(COUNTIFS(SITE!$B$2:$B$573,B116,SITE!$E$2:$E$573,"원료의약품")&gt;0,"Y","")</f>
        <v/>
      </c>
      <c r="H116">
        <f>IF(COUNTIFS(SITE!$B$2:$B$573,B116,SITE!$I$2:$I$573,"Y")&gt;0,"Y","")</f>
        <v/>
      </c>
      <c r="I116">
        <f>IF(COUNTIFS(SITE!$B$2:$B$573,B116,SITE!$J$2:$J$573,"Y")&gt;0,"Y","")</f>
        <v/>
      </c>
      <c r="J116">
        <f>MINIFS(SITE!$G$2:$G$573,SITE!$B$2:$B$573,B116)</f>
        <v/>
      </c>
      <c r="K116">
        <f>IF(J116-TODAY()&lt;183,"임박","")</f>
        <v/>
      </c>
    </row>
    <row r="117">
      <c r="A117" t="inlineStr">
        <is>
          <t>C116</t>
        </is>
      </c>
      <c r="B117" t="inlineStr">
        <is>
          <t>파마킹</t>
        </is>
      </c>
      <c r="C117" t="inlineStr">
        <is>
          <t>(주)파마킹</t>
        </is>
      </c>
      <c r="D117">
        <f>COUNTIF(SITE!$B$2:$B$573,B117)</f>
        <v/>
      </c>
      <c r="E117">
        <f>SUMIFS(SITE!$H$2:$H$573,SITE!$B$2:$B$573,B117)</f>
        <v/>
      </c>
      <c r="F117">
        <f>IF(COUNTIFS(SITE!$B$2:$B$573,B117,SITE!$E$2:$E$573,"완제의약품")&gt;0,"Y","")</f>
        <v/>
      </c>
      <c r="G117">
        <f>IF(COUNTIFS(SITE!$B$2:$B$573,B117,SITE!$E$2:$E$573,"원료의약품")&gt;0,"Y","")</f>
        <v/>
      </c>
      <c r="H117">
        <f>IF(COUNTIFS(SITE!$B$2:$B$573,B117,SITE!$I$2:$I$573,"Y")&gt;0,"Y","")</f>
        <v/>
      </c>
      <c r="I117">
        <f>IF(COUNTIFS(SITE!$B$2:$B$573,B117,SITE!$J$2:$J$573,"Y")&gt;0,"Y","")</f>
        <v/>
      </c>
      <c r="J117">
        <f>MINIFS(SITE!$G$2:$G$573,SITE!$B$2:$B$573,B117)</f>
        <v/>
      </c>
      <c r="K117">
        <f>IF(J117-TODAY()&lt;183,"임박","")</f>
        <v/>
      </c>
    </row>
    <row r="118">
      <c r="A118" t="inlineStr">
        <is>
          <t>C117</t>
        </is>
      </c>
      <c r="B118" t="inlineStr">
        <is>
          <t>원광제약</t>
        </is>
      </c>
      <c r="C118" t="inlineStr">
        <is>
          <t>원광제약(주)</t>
        </is>
      </c>
      <c r="D118">
        <f>COUNTIF(SITE!$B$2:$B$573,B118)</f>
        <v/>
      </c>
      <c r="E118">
        <f>SUMIFS(SITE!$H$2:$H$573,SITE!$B$2:$B$573,B118)</f>
        <v/>
      </c>
      <c r="F118">
        <f>IF(COUNTIFS(SITE!$B$2:$B$573,B118,SITE!$E$2:$E$573,"완제의약품")&gt;0,"Y","")</f>
        <v/>
      </c>
      <c r="G118">
        <f>IF(COUNTIFS(SITE!$B$2:$B$573,B118,SITE!$E$2:$E$573,"원료의약품")&gt;0,"Y","")</f>
        <v/>
      </c>
      <c r="H118">
        <f>IF(COUNTIFS(SITE!$B$2:$B$573,B118,SITE!$I$2:$I$573,"Y")&gt;0,"Y","")</f>
        <v/>
      </c>
      <c r="I118">
        <f>IF(COUNTIFS(SITE!$B$2:$B$573,B118,SITE!$J$2:$J$573,"Y")&gt;0,"Y","")</f>
        <v/>
      </c>
      <c r="J118">
        <f>MINIFS(SITE!$G$2:$G$573,SITE!$B$2:$B$573,B118)</f>
        <v/>
      </c>
      <c r="K118">
        <f>IF(J118-TODAY()&lt;183,"임박","")</f>
        <v/>
      </c>
    </row>
    <row r="119">
      <c r="A119" t="inlineStr">
        <is>
          <t>C118</t>
        </is>
      </c>
      <c r="B119" t="inlineStr">
        <is>
          <t>케이에스제약</t>
        </is>
      </c>
      <c r="C119" t="inlineStr">
        <is>
          <t>주식회사케이에스제약</t>
        </is>
      </c>
      <c r="D119">
        <f>COUNTIF(SITE!$B$2:$B$573,B119)</f>
        <v/>
      </c>
      <c r="E119">
        <f>SUMIFS(SITE!$H$2:$H$573,SITE!$B$2:$B$573,B119)</f>
        <v/>
      </c>
      <c r="F119">
        <f>IF(COUNTIFS(SITE!$B$2:$B$573,B119,SITE!$E$2:$E$573,"완제의약품")&gt;0,"Y","")</f>
        <v/>
      </c>
      <c r="G119">
        <f>IF(COUNTIFS(SITE!$B$2:$B$573,B119,SITE!$E$2:$E$573,"원료의약품")&gt;0,"Y","")</f>
        <v/>
      </c>
      <c r="H119">
        <f>IF(COUNTIFS(SITE!$B$2:$B$573,B119,SITE!$I$2:$I$573,"Y")&gt;0,"Y","")</f>
        <v/>
      </c>
      <c r="I119">
        <f>IF(COUNTIFS(SITE!$B$2:$B$573,B119,SITE!$J$2:$J$573,"Y")&gt;0,"Y","")</f>
        <v/>
      </c>
      <c r="J119">
        <f>MINIFS(SITE!$G$2:$G$573,SITE!$B$2:$B$573,B119)</f>
        <v/>
      </c>
      <c r="K119">
        <f>IF(J119-TODAY()&lt;183,"임박","")</f>
        <v/>
      </c>
    </row>
    <row r="120">
      <c r="A120" t="inlineStr">
        <is>
          <t>C119</t>
        </is>
      </c>
      <c r="B120" t="inlineStr">
        <is>
          <t>가스켐테크놀로지</t>
        </is>
      </c>
      <c r="C120" t="inlineStr">
        <is>
          <t>가스켐테크놀로지(주)</t>
        </is>
      </c>
      <c r="D120">
        <f>COUNTIF(SITE!$B$2:$B$573,B120)</f>
        <v/>
      </c>
      <c r="E120">
        <f>SUMIFS(SITE!$H$2:$H$573,SITE!$B$2:$B$573,B120)</f>
        <v/>
      </c>
      <c r="F120">
        <f>IF(COUNTIFS(SITE!$B$2:$B$573,B120,SITE!$E$2:$E$573,"완제의약품")&gt;0,"Y","")</f>
        <v/>
      </c>
      <c r="G120">
        <f>IF(COUNTIFS(SITE!$B$2:$B$573,B120,SITE!$E$2:$E$573,"원료의약품")&gt;0,"Y","")</f>
        <v/>
      </c>
      <c r="H120">
        <f>IF(COUNTIFS(SITE!$B$2:$B$573,B120,SITE!$I$2:$I$573,"Y")&gt;0,"Y","")</f>
        <v/>
      </c>
      <c r="I120">
        <f>IF(COUNTIFS(SITE!$B$2:$B$573,B120,SITE!$J$2:$J$573,"Y")&gt;0,"Y","")</f>
        <v/>
      </c>
      <c r="J120">
        <f>MINIFS(SITE!$G$2:$G$573,SITE!$B$2:$B$573,B120)</f>
        <v/>
      </c>
      <c r="K120">
        <f>IF(J120-TODAY()&lt;183,"임박","")</f>
        <v/>
      </c>
    </row>
    <row r="121">
      <c r="A121" t="inlineStr">
        <is>
          <t>C120</t>
        </is>
      </c>
      <c r="B121" t="inlineStr">
        <is>
          <t>다산제약</t>
        </is>
      </c>
      <c r="C121" t="inlineStr">
        <is>
          <t>(주)다산제약</t>
        </is>
      </c>
      <c r="D121">
        <f>COUNTIF(SITE!$B$2:$B$573,B121)</f>
        <v/>
      </c>
      <c r="E121">
        <f>SUMIFS(SITE!$H$2:$H$573,SITE!$B$2:$B$573,B121)</f>
        <v/>
      </c>
      <c r="F121">
        <f>IF(COUNTIFS(SITE!$B$2:$B$573,B121,SITE!$E$2:$E$573,"완제의약품")&gt;0,"Y","")</f>
        <v/>
      </c>
      <c r="G121">
        <f>IF(COUNTIFS(SITE!$B$2:$B$573,B121,SITE!$E$2:$E$573,"원료의약품")&gt;0,"Y","")</f>
        <v/>
      </c>
      <c r="H121">
        <f>IF(COUNTIFS(SITE!$B$2:$B$573,B121,SITE!$I$2:$I$573,"Y")&gt;0,"Y","")</f>
        <v/>
      </c>
      <c r="I121">
        <f>IF(COUNTIFS(SITE!$B$2:$B$573,B121,SITE!$J$2:$J$573,"Y")&gt;0,"Y","")</f>
        <v/>
      </c>
      <c r="J121">
        <f>MINIFS(SITE!$G$2:$G$573,SITE!$B$2:$B$573,B121)</f>
        <v/>
      </c>
      <c r="K121">
        <f>IF(J121-TODAY()&lt;183,"임박","")</f>
        <v/>
      </c>
    </row>
    <row r="122">
      <c r="A122" t="inlineStr">
        <is>
          <t>C121</t>
        </is>
      </c>
      <c r="B122" t="inlineStr">
        <is>
          <t>킵스바이오파마</t>
        </is>
      </c>
      <c r="C122" t="inlineStr">
        <is>
          <t>(주)킵스바이오파마</t>
        </is>
      </c>
      <c r="D122">
        <f>COUNTIF(SITE!$B$2:$B$573,B122)</f>
        <v/>
      </c>
      <c r="E122">
        <f>SUMIFS(SITE!$H$2:$H$573,SITE!$B$2:$B$573,B122)</f>
        <v/>
      </c>
      <c r="F122">
        <f>IF(COUNTIFS(SITE!$B$2:$B$573,B122,SITE!$E$2:$E$573,"완제의약품")&gt;0,"Y","")</f>
        <v/>
      </c>
      <c r="G122">
        <f>IF(COUNTIFS(SITE!$B$2:$B$573,B122,SITE!$E$2:$E$573,"원료의약품")&gt;0,"Y","")</f>
        <v/>
      </c>
      <c r="H122">
        <f>IF(COUNTIFS(SITE!$B$2:$B$573,B122,SITE!$I$2:$I$573,"Y")&gt;0,"Y","")</f>
        <v/>
      </c>
      <c r="I122">
        <f>IF(COUNTIFS(SITE!$B$2:$B$573,B122,SITE!$J$2:$J$573,"Y")&gt;0,"Y","")</f>
        <v/>
      </c>
      <c r="J122">
        <f>MINIFS(SITE!$G$2:$G$573,SITE!$B$2:$B$573,B122)</f>
        <v/>
      </c>
      <c r="K122">
        <f>IF(J122-TODAY()&lt;183,"임박","")</f>
        <v/>
      </c>
    </row>
    <row r="123">
      <c r="A123" t="inlineStr">
        <is>
          <t>C122</t>
        </is>
      </c>
      <c r="B123" t="inlineStr">
        <is>
          <t>제일헬스사이언스</t>
        </is>
      </c>
      <c r="C123" t="inlineStr">
        <is>
          <t>제일헬스사이언스(주)</t>
        </is>
      </c>
      <c r="D123">
        <f>COUNTIF(SITE!$B$2:$B$573,B123)</f>
        <v/>
      </c>
      <c r="E123">
        <f>SUMIFS(SITE!$H$2:$H$573,SITE!$B$2:$B$573,B123)</f>
        <v/>
      </c>
      <c r="F123">
        <f>IF(COUNTIFS(SITE!$B$2:$B$573,B123,SITE!$E$2:$E$573,"완제의약품")&gt;0,"Y","")</f>
        <v/>
      </c>
      <c r="G123">
        <f>IF(COUNTIFS(SITE!$B$2:$B$573,B123,SITE!$E$2:$E$573,"원료의약품")&gt;0,"Y","")</f>
        <v/>
      </c>
      <c r="H123">
        <f>IF(COUNTIFS(SITE!$B$2:$B$573,B123,SITE!$I$2:$I$573,"Y")&gt;0,"Y","")</f>
        <v/>
      </c>
      <c r="I123">
        <f>IF(COUNTIFS(SITE!$B$2:$B$573,B123,SITE!$J$2:$J$573,"Y")&gt;0,"Y","")</f>
        <v/>
      </c>
      <c r="J123">
        <f>MINIFS(SITE!$G$2:$G$573,SITE!$B$2:$B$573,B123)</f>
        <v/>
      </c>
      <c r="K123">
        <f>IF(J123-TODAY()&lt;183,"임박","")</f>
        <v/>
      </c>
    </row>
    <row r="124">
      <c r="A124" t="inlineStr">
        <is>
          <t>C123</t>
        </is>
      </c>
      <c r="B124" t="inlineStr">
        <is>
          <t>일양약품</t>
        </is>
      </c>
      <c r="C124" t="inlineStr">
        <is>
          <t>일양약품(주)</t>
        </is>
      </c>
      <c r="D124">
        <f>COUNTIF(SITE!$B$2:$B$573,B124)</f>
        <v/>
      </c>
      <c r="E124">
        <f>SUMIFS(SITE!$H$2:$H$573,SITE!$B$2:$B$573,B124)</f>
        <v/>
      </c>
      <c r="F124">
        <f>IF(COUNTIFS(SITE!$B$2:$B$573,B124,SITE!$E$2:$E$573,"완제의약품")&gt;0,"Y","")</f>
        <v/>
      </c>
      <c r="G124">
        <f>IF(COUNTIFS(SITE!$B$2:$B$573,B124,SITE!$E$2:$E$573,"원료의약품")&gt;0,"Y","")</f>
        <v/>
      </c>
      <c r="H124">
        <f>IF(COUNTIFS(SITE!$B$2:$B$573,B124,SITE!$I$2:$I$573,"Y")&gt;0,"Y","")</f>
        <v/>
      </c>
      <c r="I124">
        <f>IF(COUNTIFS(SITE!$B$2:$B$573,B124,SITE!$J$2:$J$573,"Y")&gt;0,"Y","")</f>
        <v/>
      </c>
      <c r="J124">
        <f>MINIFS(SITE!$G$2:$G$573,SITE!$B$2:$B$573,B124)</f>
        <v/>
      </c>
      <c r="K124">
        <f>IF(J124-TODAY()&lt;183,"임박","")</f>
        <v/>
      </c>
      <c r="L124" t="inlineStr">
        <is>
          <t>Y</t>
        </is>
      </c>
      <c r="M124" t="inlineStr">
        <is>
          <t>유가</t>
        </is>
      </c>
      <c r="N124" t="inlineStr">
        <is>
          <t>007570</t>
        </is>
      </c>
      <c r="O124" t="inlineStr">
        <is>
          <t>의약품 제조업</t>
        </is>
      </c>
      <c r="P124" t="inlineStr">
        <is>
          <t>일반의약품(원비디,영비천,아진탈,디세텔,노루모산),항암제(베타-이뮤난),전문의약품 제조,판매,수출입</t>
        </is>
      </c>
      <c r="Q124" t="inlineStr">
        <is>
          <t>정유석</t>
        </is>
      </c>
      <c r="R124" t="inlineStr">
        <is>
          <t>http://www.ilyang.co.kr</t>
        </is>
      </c>
      <c r="S124" t="inlineStr">
        <is>
          <t>경기도</t>
        </is>
      </c>
    </row>
    <row r="125">
      <c r="A125" t="inlineStr">
        <is>
          <t>C124</t>
        </is>
      </c>
      <c r="B125" t="inlineStr">
        <is>
          <t>한독</t>
        </is>
      </c>
      <c r="C125" t="inlineStr">
        <is>
          <t>(주)한독</t>
        </is>
      </c>
      <c r="D125">
        <f>COUNTIF(SITE!$B$2:$B$573,B125)</f>
        <v/>
      </c>
      <c r="E125">
        <f>SUMIFS(SITE!$H$2:$H$573,SITE!$B$2:$B$573,B125)</f>
        <v/>
      </c>
      <c r="F125">
        <f>IF(COUNTIFS(SITE!$B$2:$B$573,B125,SITE!$E$2:$E$573,"완제의약품")&gt;0,"Y","")</f>
        <v/>
      </c>
      <c r="G125">
        <f>IF(COUNTIFS(SITE!$B$2:$B$573,B125,SITE!$E$2:$E$573,"원료의약품")&gt;0,"Y","")</f>
        <v/>
      </c>
      <c r="H125">
        <f>IF(COUNTIFS(SITE!$B$2:$B$573,B125,SITE!$I$2:$I$573,"Y")&gt;0,"Y","")</f>
        <v/>
      </c>
      <c r="I125">
        <f>IF(COUNTIFS(SITE!$B$2:$B$573,B125,SITE!$J$2:$J$573,"Y")&gt;0,"Y","")</f>
        <v/>
      </c>
      <c r="J125">
        <f>MINIFS(SITE!$G$2:$G$573,SITE!$B$2:$B$573,B125)</f>
        <v/>
      </c>
      <c r="K125">
        <f>IF(J125-TODAY()&lt;183,"임박","")</f>
        <v/>
      </c>
      <c r="L125" t="inlineStr">
        <is>
          <t>Y</t>
        </is>
      </c>
      <c r="M125" t="inlineStr">
        <is>
          <t>유가</t>
        </is>
      </c>
      <c r="N125" t="inlineStr">
        <is>
          <t>002390</t>
        </is>
      </c>
      <c r="O125" t="inlineStr">
        <is>
          <t>의약품 제조업</t>
        </is>
      </c>
      <c r="P125" t="inlineStr">
        <is>
          <t>의약품(소화제,크라포란,라식스)제조,도매,부동산 임대</t>
        </is>
      </c>
      <c r="Q125" t="inlineStr">
        <is>
          <t>김영진, 백진기</t>
        </is>
      </c>
      <c r="R125" t="inlineStr">
        <is>
          <t>http://www.handok.co.kr</t>
        </is>
      </c>
      <c r="S125" t="inlineStr">
        <is>
          <t>서울특별시</t>
        </is>
      </c>
    </row>
    <row r="126">
      <c r="A126" t="inlineStr">
        <is>
          <t>C125</t>
        </is>
      </c>
      <c r="B126" t="inlineStr">
        <is>
          <t>신양메디슨</t>
        </is>
      </c>
      <c r="C126" t="inlineStr">
        <is>
          <t>신양메디슨(주)</t>
        </is>
      </c>
      <c r="D126">
        <f>COUNTIF(SITE!$B$2:$B$573,B126)</f>
        <v/>
      </c>
      <c r="E126">
        <f>SUMIFS(SITE!$H$2:$H$573,SITE!$B$2:$B$573,B126)</f>
        <v/>
      </c>
      <c r="F126">
        <f>IF(COUNTIFS(SITE!$B$2:$B$573,B126,SITE!$E$2:$E$573,"완제의약품")&gt;0,"Y","")</f>
        <v/>
      </c>
      <c r="G126">
        <f>IF(COUNTIFS(SITE!$B$2:$B$573,B126,SITE!$E$2:$E$573,"원료의약품")&gt;0,"Y","")</f>
        <v/>
      </c>
      <c r="H126">
        <f>IF(COUNTIFS(SITE!$B$2:$B$573,B126,SITE!$I$2:$I$573,"Y")&gt;0,"Y","")</f>
        <v/>
      </c>
      <c r="I126">
        <f>IF(COUNTIFS(SITE!$B$2:$B$573,B126,SITE!$J$2:$J$573,"Y")&gt;0,"Y","")</f>
        <v/>
      </c>
      <c r="J126">
        <f>MINIFS(SITE!$G$2:$G$573,SITE!$B$2:$B$573,B126)</f>
        <v/>
      </c>
      <c r="K126">
        <f>IF(J126-TODAY()&lt;183,"임박","")</f>
        <v/>
      </c>
    </row>
    <row r="127">
      <c r="A127" t="inlineStr">
        <is>
          <t>C126</t>
        </is>
      </c>
      <c r="B127" t="inlineStr">
        <is>
          <t>하나제약</t>
        </is>
      </c>
      <c r="C127" t="inlineStr">
        <is>
          <t>하나제약(주)</t>
        </is>
      </c>
      <c r="D127">
        <f>COUNTIF(SITE!$B$2:$B$573,B127)</f>
        <v/>
      </c>
      <c r="E127">
        <f>SUMIFS(SITE!$H$2:$H$573,SITE!$B$2:$B$573,B127)</f>
        <v/>
      </c>
      <c r="F127">
        <f>IF(COUNTIFS(SITE!$B$2:$B$573,B127,SITE!$E$2:$E$573,"완제의약품")&gt;0,"Y","")</f>
        <v/>
      </c>
      <c r="G127">
        <f>IF(COUNTIFS(SITE!$B$2:$B$573,B127,SITE!$E$2:$E$573,"원료의약품")&gt;0,"Y","")</f>
        <v/>
      </c>
      <c r="H127">
        <f>IF(COUNTIFS(SITE!$B$2:$B$573,B127,SITE!$I$2:$I$573,"Y")&gt;0,"Y","")</f>
        <v/>
      </c>
      <c r="I127">
        <f>IF(COUNTIFS(SITE!$B$2:$B$573,B127,SITE!$J$2:$J$573,"Y")&gt;0,"Y","")</f>
        <v/>
      </c>
      <c r="J127">
        <f>MINIFS(SITE!$G$2:$G$573,SITE!$B$2:$B$573,B127)</f>
        <v/>
      </c>
      <c r="K127">
        <f>IF(J127-TODAY()&lt;183,"임박","")</f>
        <v/>
      </c>
      <c r="L127" t="inlineStr">
        <is>
          <t>Y</t>
        </is>
      </c>
      <c r="M127" t="inlineStr">
        <is>
          <t>유가</t>
        </is>
      </c>
      <c r="N127" t="inlineStr">
        <is>
          <t>293480</t>
        </is>
      </c>
      <c r="O127" t="inlineStr">
        <is>
          <t>의약품 제조업</t>
        </is>
      </c>
      <c r="P127" t="inlineStr">
        <is>
          <t>완제의약품</t>
        </is>
      </c>
      <c r="Q127" t="inlineStr">
        <is>
          <t>최태홍</t>
        </is>
      </c>
      <c r="R127" t="inlineStr">
        <is>
          <t>http://www.hanaph.co.kr</t>
        </is>
      </c>
      <c r="S127" t="inlineStr">
        <is>
          <t>경기도</t>
        </is>
      </c>
    </row>
    <row r="128">
      <c r="A128" t="inlineStr">
        <is>
          <t>C127</t>
        </is>
      </c>
      <c r="B128" t="inlineStr">
        <is>
          <t>맥널티제약</t>
        </is>
      </c>
      <c r="C128" t="inlineStr">
        <is>
          <t>맥널티제약(주)</t>
        </is>
      </c>
      <c r="D128">
        <f>COUNTIF(SITE!$B$2:$B$573,B128)</f>
        <v/>
      </c>
      <c r="E128">
        <f>SUMIFS(SITE!$H$2:$H$573,SITE!$B$2:$B$573,B128)</f>
        <v/>
      </c>
      <c r="F128">
        <f>IF(COUNTIFS(SITE!$B$2:$B$573,B128,SITE!$E$2:$E$573,"완제의약품")&gt;0,"Y","")</f>
        <v/>
      </c>
      <c r="G128">
        <f>IF(COUNTIFS(SITE!$B$2:$B$573,B128,SITE!$E$2:$E$573,"원료의약품")&gt;0,"Y","")</f>
        <v/>
      </c>
      <c r="H128">
        <f>IF(COUNTIFS(SITE!$B$2:$B$573,B128,SITE!$I$2:$I$573,"Y")&gt;0,"Y","")</f>
        <v/>
      </c>
      <c r="I128">
        <f>IF(COUNTIFS(SITE!$B$2:$B$573,B128,SITE!$J$2:$J$573,"Y")&gt;0,"Y","")</f>
        <v/>
      </c>
      <c r="J128">
        <f>MINIFS(SITE!$G$2:$G$573,SITE!$B$2:$B$573,B128)</f>
        <v/>
      </c>
      <c r="K128">
        <f>IF(J128-TODAY()&lt;183,"임박","")</f>
        <v/>
      </c>
    </row>
    <row r="129">
      <c r="A129" t="inlineStr">
        <is>
          <t>C128</t>
        </is>
      </c>
      <c r="B129" t="inlineStr">
        <is>
          <t>대한특수가스</t>
        </is>
      </c>
      <c r="C129" t="inlineStr">
        <is>
          <t>(주)대한특수가스</t>
        </is>
      </c>
      <c r="D129">
        <f>COUNTIF(SITE!$B$2:$B$573,B129)</f>
        <v/>
      </c>
      <c r="E129">
        <f>SUMIFS(SITE!$H$2:$H$573,SITE!$B$2:$B$573,B129)</f>
        <v/>
      </c>
      <c r="F129">
        <f>IF(COUNTIFS(SITE!$B$2:$B$573,B129,SITE!$E$2:$E$573,"완제의약품")&gt;0,"Y","")</f>
        <v/>
      </c>
      <c r="G129">
        <f>IF(COUNTIFS(SITE!$B$2:$B$573,B129,SITE!$E$2:$E$573,"원료의약품")&gt;0,"Y","")</f>
        <v/>
      </c>
      <c r="H129">
        <f>IF(COUNTIFS(SITE!$B$2:$B$573,B129,SITE!$I$2:$I$573,"Y")&gt;0,"Y","")</f>
        <v/>
      </c>
      <c r="I129">
        <f>IF(COUNTIFS(SITE!$B$2:$B$573,B129,SITE!$J$2:$J$573,"Y")&gt;0,"Y","")</f>
        <v/>
      </c>
      <c r="J129">
        <f>MINIFS(SITE!$G$2:$G$573,SITE!$B$2:$B$573,B129)</f>
        <v/>
      </c>
      <c r="K129">
        <f>IF(J129-TODAY()&lt;183,"임박","")</f>
        <v/>
      </c>
    </row>
    <row r="130">
      <c r="A130" t="inlineStr">
        <is>
          <t>C129</t>
        </is>
      </c>
      <c r="B130" t="inlineStr">
        <is>
          <t>에스케이바이오텍</t>
        </is>
      </c>
      <c r="C130" t="inlineStr">
        <is>
          <t>에스케이바이오텍(주)</t>
        </is>
      </c>
      <c r="D130">
        <f>COUNTIF(SITE!$B$2:$B$573,B130)</f>
        <v/>
      </c>
      <c r="E130">
        <f>SUMIFS(SITE!$H$2:$H$573,SITE!$B$2:$B$573,B130)</f>
        <v/>
      </c>
      <c r="F130">
        <f>IF(COUNTIFS(SITE!$B$2:$B$573,B130,SITE!$E$2:$E$573,"완제의약품")&gt;0,"Y","")</f>
        <v/>
      </c>
      <c r="G130">
        <f>IF(COUNTIFS(SITE!$B$2:$B$573,B130,SITE!$E$2:$E$573,"원료의약품")&gt;0,"Y","")</f>
        <v/>
      </c>
      <c r="H130">
        <f>IF(COUNTIFS(SITE!$B$2:$B$573,B130,SITE!$I$2:$I$573,"Y")&gt;0,"Y","")</f>
        <v/>
      </c>
      <c r="I130">
        <f>IF(COUNTIFS(SITE!$B$2:$B$573,B130,SITE!$J$2:$J$573,"Y")&gt;0,"Y","")</f>
        <v/>
      </c>
      <c r="J130">
        <f>MINIFS(SITE!$G$2:$G$573,SITE!$B$2:$B$573,B130)</f>
        <v/>
      </c>
      <c r="K130">
        <f>IF(J130-TODAY()&lt;183,"임박","")</f>
        <v/>
      </c>
    </row>
    <row r="131">
      <c r="A131" t="inlineStr">
        <is>
          <t>C130</t>
        </is>
      </c>
      <c r="B131" t="inlineStr">
        <is>
          <t>메디톡스</t>
        </is>
      </c>
      <c r="C131" t="inlineStr">
        <is>
          <t>(주)메디톡스</t>
        </is>
      </c>
      <c r="D131">
        <f>COUNTIF(SITE!$B$2:$B$573,B131)</f>
        <v/>
      </c>
      <c r="E131">
        <f>SUMIFS(SITE!$H$2:$H$573,SITE!$B$2:$B$573,B131)</f>
        <v/>
      </c>
      <c r="F131">
        <f>IF(COUNTIFS(SITE!$B$2:$B$573,B131,SITE!$E$2:$E$573,"완제의약품")&gt;0,"Y","")</f>
        <v/>
      </c>
      <c r="G131">
        <f>IF(COUNTIFS(SITE!$B$2:$B$573,B131,SITE!$E$2:$E$573,"원료의약품")&gt;0,"Y","")</f>
        <v/>
      </c>
      <c r="H131">
        <f>IF(COUNTIFS(SITE!$B$2:$B$573,B131,SITE!$I$2:$I$573,"Y")&gt;0,"Y","")</f>
        <v/>
      </c>
      <c r="I131">
        <f>IF(COUNTIFS(SITE!$B$2:$B$573,B131,SITE!$J$2:$J$573,"Y")&gt;0,"Y","")</f>
        <v/>
      </c>
      <c r="J131">
        <f>MINIFS(SITE!$G$2:$G$573,SITE!$B$2:$B$573,B131)</f>
        <v/>
      </c>
      <c r="K131">
        <f>IF(J131-TODAY()&lt;183,"임박","")</f>
        <v/>
      </c>
      <c r="L131" t="inlineStr">
        <is>
          <t>Y</t>
        </is>
      </c>
      <c r="M131" t="inlineStr">
        <is>
          <t>코스닥</t>
        </is>
      </c>
      <c r="N131" t="inlineStr">
        <is>
          <t>086900</t>
        </is>
      </c>
      <c r="O131" t="inlineStr">
        <is>
          <t>기초 의약물질 제조업</t>
        </is>
      </c>
      <c r="P131" t="inlineStr">
        <is>
          <t>의약품원료(A형,B형 보툴리늄독소 단백질치료제) 제조,연구,개발</t>
        </is>
      </c>
      <c r="Q131" t="inlineStr">
        <is>
          <t>정현호</t>
        </is>
      </c>
      <c r="R131" t="inlineStr">
        <is>
          <t>http://www.medytox.com</t>
        </is>
      </c>
      <c r="S131" t="inlineStr">
        <is>
          <t>충청북도</t>
        </is>
      </c>
    </row>
    <row r="132">
      <c r="A132" t="inlineStr">
        <is>
          <t>C131</t>
        </is>
      </c>
      <c r="B132" t="inlineStr">
        <is>
          <t>한올바이오파마</t>
        </is>
      </c>
      <c r="C132" t="inlineStr">
        <is>
          <t>한올바이오파마(주)</t>
        </is>
      </c>
      <c r="D132">
        <f>COUNTIF(SITE!$B$2:$B$573,B132)</f>
        <v/>
      </c>
      <c r="E132">
        <f>SUMIFS(SITE!$H$2:$H$573,SITE!$B$2:$B$573,B132)</f>
        <v/>
      </c>
      <c r="F132">
        <f>IF(COUNTIFS(SITE!$B$2:$B$573,B132,SITE!$E$2:$E$573,"완제의약품")&gt;0,"Y","")</f>
        <v/>
      </c>
      <c r="G132">
        <f>IF(COUNTIFS(SITE!$B$2:$B$573,B132,SITE!$E$2:$E$573,"원료의약품")&gt;0,"Y","")</f>
        <v/>
      </c>
      <c r="H132">
        <f>IF(COUNTIFS(SITE!$B$2:$B$573,B132,SITE!$I$2:$I$573,"Y")&gt;0,"Y","")</f>
        <v/>
      </c>
      <c r="I132">
        <f>IF(COUNTIFS(SITE!$B$2:$B$573,B132,SITE!$J$2:$J$573,"Y")&gt;0,"Y","")</f>
        <v/>
      </c>
      <c r="J132">
        <f>MINIFS(SITE!$G$2:$G$573,SITE!$B$2:$B$573,B132)</f>
        <v/>
      </c>
      <c r="K132">
        <f>IF(J132-TODAY()&lt;183,"임박","")</f>
        <v/>
      </c>
      <c r="L132" t="inlineStr">
        <is>
          <t>Y</t>
        </is>
      </c>
      <c r="M132" t="inlineStr">
        <is>
          <t>유가</t>
        </is>
      </c>
      <c r="N132" t="inlineStr">
        <is>
          <t>009420</t>
        </is>
      </c>
      <c r="O132" t="inlineStr">
        <is>
          <t>의약품 제조업</t>
        </is>
      </c>
      <c r="P132" t="inlineStr">
        <is>
          <t>의약품 제조,도매/부동산 임대</t>
        </is>
      </c>
      <c r="Q132" t="inlineStr">
        <is>
          <t>박수진,박승국(공동대표이사)</t>
        </is>
      </c>
      <c r="R132" t="inlineStr">
        <is>
          <t>http://www.hanall.co.kr</t>
        </is>
      </c>
      <c r="S132" t="inlineStr">
        <is>
          <t>대전광역시</t>
        </is>
      </c>
    </row>
    <row r="133">
      <c r="A133" t="inlineStr">
        <is>
          <t>C132</t>
        </is>
      </c>
      <c r="B133" t="inlineStr">
        <is>
          <t>하원제약</t>
        </is>
      </c>
      <c r="C133" t="inlineStr">
        <is>
          <t>(주)하원제약</t>
        </is>
      </c>
      <c r="D133">
        <f>COUNTIF(SITE!$B$2:$B$573,B133)</f>
        <v/>
      </c>
      <c r="E133">
        <f>SUMIFS(SITE!$H$2:$H$573,SITE!$B$2:$B$573,B133)</f>
        <v/>
      </c>
      <c r="F133">
        <f>IF(COUNTIFS(SITE!$B$2:$B$573,B133,SITE!$E$2:$E$573,"완제의약품")&gt;0,"Y","")</f>
        <v/>
      </c>
      <c r="G133">
        <f>IF(COUNTIFS(SITE!$B$2:$B$573,B133,SITE!$E$2:$E$573,"원료의약품")&gt;0,"Y","")</f>
        <v/>
      </c>
      <c r="H133">
        <f>IF(COUNTIFS(SITE!$B$2:$B$573,B133,SITE!$I$2:$I$573,"Y")&gt;0,"Y","")</f>
        <v/>
      </c>
      <c r="I133">
        <f>IF(COUNTIFS(SITE!$B$2:$B$573,B133,SITE!$J$2:$J$573,"Y")&gt;0,"Y","")</f>
        <v/>
      </c>
      <c r="J133">
        <f>MINIFS(SITE!$G$2:$G$573,SITE!$B$2:$B$573,B133)</f>
        <v/>
      </c>
      <c r="K133">
        <f>IF(J133-TODAY()&lt;183,"임박","")</f>
        <v/>
      </c>
    </row>
    <row r="134">
      <c r="A134" t="inlineStr">
        <is>
          <t>C133</t>
        </is>
      </c>
      <c r="B134" t="inlineStr">
        <is>
          <t>옵투스제약</t>
        </is>
      </c>
      <c r="C134" t="inlineStr">
        <is>
          <t>(주)옵투스제약</t>
        </is>
      </c>
      <c r="D134">
        <f>COUNTIF(SITE!$B$2:$B$573,B134)</f>
        <v/>
      </c>
      <c r="E134">
        <f>SUMIFS(SITE!$H$2:$H$573,SITE!$B$2:$B$573,B134)</f>
        <v/>
      </c>
      <c r="F134">
        <f>IF(COUNTIFS(SITE!$B$2:$B$573,B134,SITE!$E$2:$E$573,"완제의약품")&gt;0,"Y","")</f>
        <v/>
      </c>
      <c r="G134">
        <f>IF(COUNTIFS(SITE!$B$2:$B$573,B134,SITE!$E$2:$E$573,"원료의약품")&gt;0,"Y","")</f>
        <v/>
      </c>
      <c r="H134">
        <f>IF(COUNTIFS(SITE!$B$2:$B$573,B134,SITE!$I$2:$I$573,"Y")&gt;0,"Y","")</f>
        <v/>
      </c>
      <c r="I134">
        <f>IF(COUNTIFS(SITE!$B$2:$B$573,B134,SITE!$J$2:$J$573,"Y")&gt;0,"Y","")</f>
        <v/>
      </c>
      <c r="J134">
        <f>MINIFS(SITE!$G$2:$G$573,SITE!$B$2:$B$573,B134)</f>
        <v/>
      </c>
      <c r="K134">
        <f>IF(J134-TODAY()&lt;183,"임박","")</f>
        <v/>
      </c>
      <c r="L134" t="inlineStr">
        <is>
          <t>Y</t>
        </is>
      </c>
      <c r="M134" t="inlineStr">
        <is>
          <t>코스닥</t>
        </is>
      </c>
      <c r="N134" t="inlineStr">
        <is>
          <t>131030</t>
        </is>
      </c>
      <c r="O134" t="inlineStr">
        <is>
          <t>의약품 제조업</t>
        </is>
      </c>
      <c r="P134" t="inlineStr">
        <is>
          <t>티어린프리점안액</t>
        </is>
      </c>
      <c r="Q134" t="inlineStr">
        <is>
          <t>심상호</t>
        </is>
      </c>
      <c r="R134" t="inlineStr">
        <is>
          <t>http://www.optuspharm.com</t>
        </is>
      </c>
      <c r="S134" t="inlineStr">
        <is>
          <t>충청북도</t>
        </is>
      </c>
    </row>
    <row r="135">
      <c r="A135" t="inlineStr">
        <is>
          <t>C134</t>
        </is>
      </c>
      <c r="B135" t="inlineStr">
        <is>
          <t>한국비엠아이</t>
        </is>
      </c>
      <c r="C135" t="inlineStr">
        <is>
          <t>(주)한국비엠아이</t>
        </is>
      </c>
      <c r="D135">
        <f>COUNTIF(SITE!$B$2:$B$573,B135)</f>
        <v/>
      </c>
      <c r="E135">
        <f>SUMIFS(SITE!$H$2:$H$573,SITE!$B$2:$B$573,B135)</f>
        <v/>
      </c>
      <c r="F135">
        <f>IF(COUNTIFS(SITE!$B$2:$B$573,B135,SITE!$E$2:$E$573,"완제의약품")&gt;0,"Y","")</f>
        <v/>
      </c>
      <c r="G135">
        <f>IF(COUNTIFS(SITE!$B$2:$B$573,B135,SITE!$E$2:$E$573,"원료의약품")&gt;0,"Y","")</f>
        <v/>
      </c>
      <c r="H135">
        <f>IF(COUNTIFS(SITE!$B$2:$B$573,B135,SITE!$I$2:$I$573,"Y")&gt;0,"Y","")</f>
        <v/>
      </c>
      <c r="I135">
        <f>IF(COUNTIFS(SITE!$B$2:$B$573,B135,SITE!$J$2:$J$573,"Y")&gt;0,"Y","")</f>
        <v/>
      </c>
      <c r="J135">
        <f>MINIFS(SITE!$G$2:$G$573,SITE!$B$2:$B$573,B135)</f>
        <v/>
      </c>
      <c r="K135">
        <f>IF(J135-TODAY()&lt;183,"임박","")</f>
        <v/>
      </c>
    </row>
    <row r="136">
      <c r="A136" t="inlineStr">
        <is>
          <t>C135</t>
        </is>
      </c>
      <c r="B136" t="inlineStr">
        <is>
          <t>바스칸바이오제약</t>
        </is>
      </c>
      <c r="C136" t="inlineStr">
        <is>
          <t>(주)바스칸바이오제약</t>
        </is>
      </c>
      <c r="D136">
        <f>COUNTIF(SITE!$B$2:$B$573,B136)</f>
        <v/>
      </c>
      <c r="E136">
        <f>SUMIFS(SITE!$H$2:$H$573,SITE!$B$2:$B$573,B136)</f>
        <v/>
      </c>
      <c r="F136">
        <f>IF(COUNTIFS(SITE!$B$2:$B$573,B136,SITE!$E$2:$E$573,"완제의약품")&gt;0,"Y","")</f>
        <v/>
      </c>
      <c r="G136">
        <f>IF(COUNTIFS(SITE!$B$2:$B$573,B136,SITE!$E$2:$E$573,"원료의약품")&gt;0,"Y","")</f>
        <v/>
      </c>
      <c r="H136">
        <f>IF(COUNTIFS(SITE!$B$2:$B$573,B136,SITE!$I$2:$I$573,"Y")&gt;0,"Y","")</f>
        <v/>
      </c>
      <c r="I136">
        <f>IF(COUNTIFS(SITE!$B$2:$B$573,B136,SITE!$J$2:$J$573,"Y")&gt;0,"Y","")</f>
        <v/>
      </c>
      <c r="J136">
        <f>MINIFS(SITE!$G$2:$G$573,SITE!$B$2:$B$573,B136)</f>
        <v/>
      </c>
      <c r="K136">
        <f>IF(J136-TODAY()&lt;183,"임박","")</f>
        <v/>
      </c>
      <c r="L136" t="inlineStr">
        <is>
          <t>Y</t>
        </is>
      </c>
      <c r="M136" t="inlineStr">
        <is>
          <t>코넥스</t>
        </is>
      </c>
      <c r="N136" t="inlineStr">
        <is>
          <t>354390</t>
        </is>
      </c>
      <c r="O136" t="inlineStr">
        <is>
          <t>의약품 제조업</t>
        </is>
      </c>
      <c r="P136" t="inlineStr">
        <is>
          <t>일반의약품, 전문의약품, 의료기기</t>
        </is>
      </c>
      <c r="Q136" t="inlineStr">
        <is>
          <t>이법표</t>
        </is>
      </c>
      <c r="R136" t="inlineStr">
        <is>
          <t>http://www.baskhanbio.com</t>
        </is>
      </c>
      <c r="S136" t="inlineStr">
        <is>
          <t>경기도</t>
        </is>
      </c>
    </row>
    <row r="137">
      <c r="A137" t="inlineStr">
        <is>
          <t>C136</t>
        </is>
      </c>
      <c r="B137" t="inlineStr">
        <is>
          <t>듀켐바이오</t>
        </is>
      </c>
      <c r="C137" t="inlineStr">
        <is>
          <t>(주)듀켐바이오</t>
        </is>
      </c>
      <c r="D137">
        <f>COUNTIF(SITE!$B$2:$B$573,B137)</f>
        <v/>
      </c>
      <c r="E137">
        <f>SUMIFS(SITE!$H$2:$H$573,SITE!$B$2:$B$573,B137)</f>
        <v/>
      </c>
      <c r="F137">
        <f>IF(COUNTIFS(SITE!$B$2:$B$573,B137,SITE!$E$2:$E$573,"완제의약품")&gt;0,"Y","")</f>
        <v/>
      </c>
      <c r="G137">
        <f>IF(COUNTIFS(SITE!$B$2:$B$573,B137,SITE!$E$2:$E$573,"원료의약품")&gt;0,"Y","")</f>
        <v/>
      </c>
      <c r="H137">
        <f>IF(COUNTIFS(SITE!$B$2:$B$573,B137,SITE!$I$2:$I$573,"Y")&gt;0,"Y","")</f>
        <v/>
      </c>
      <c r="I137">
        <f>IF(COUNTIFS(SITE!$B$2:$B$573,B137,SITE!$J$2:$J$573,"Y")&gt;0,"Y","")</f>
        <v/>
      </c>
      <c r="J137">
        <f>MINIFS(SITE!$G$2:$G$573,SITE!$B$2:$B$573,B137)</f>
        <v/>
      </c>
      <c r="K137">
        <f>IF(J137-TODAY()&lt;183,"임박","")</f>
        <v/>
      </c>
      <c r="L137" t="inlineStr">
        <is>
          <t>Y</t>
        </is>
      </c>
      <c r="M137" t="inlineStr">
        <is>
          <t>코스닥</t>
        </is>
      </c>
      <c r="N137" t="inlineStr">
        <is>
          <t>176750</t>
        </is>
      </c>
      <c r="O137" t="inlineStr">
        <is>
          <t>의약품 제조업</t>
        </is>
      </c>
      <c r="P137" t="inlineStr">
        <is>
          <t>방사성의약품</t>
        </is>
      </c>
      <c r="Q137" t="inlineStr">
        <is>
          <t>김상우</t>
        </is>
      </c>
      <c r="R137" t="inlineStr">
        <is>
          <t>http://www.duchembio.com</t>
        </is>
      </c>
      <c r="S137" t="inlineStr">
        <is>
          <t>서울특별시</t>
        </is>
      </c>
    </row>
    <row r="138">
      <c r="A138" t="inlineStr">
        <is>
          <t>C137</t>
        </is>
      </c>
      <c r="B138" t="inlineStr">
        <is>
          <t>켐포트</t>
        </is>
      </c>
      <c r="C138" t="inlineStr">
        <is>
          <t>(주)켐포트</t>
        </is>
      </c>
      <c r="D138">
        <f>COUNTIF(SITE!$B$2:$B$573,B138)</f>
        <v/>
      </c>
      <c r="E138">
        <f>SUMIFS(SITE!$H$2:$H$573,SITE!$B$2:$B$573,B138)</f>
        <v/>
      </c>
      <c r="F138">
        <f>IF(COUNTIFS(SITE!$B$2:$B$573,B138,SITE!$E$2:$E$573,"완제의약품")&gt;0,"Y","")</f>
        <v/>
      </c>
      <c r="G138">
        <f>IF(COUNTIFS(SITE!$B$2:$B$573,B138,SITE!$E$2:$E$573,"원료의약품")&gt;0,"Y","")</f>
        <v/>
      </c>
      <c r="H138">
        <f>IF(COUNTIFS(SITE!$B$2:$B$573,B138,SITE!$I$2:$I$573,"Y")&gt;0,"Y","")</f>
        <v/>
      </c>
      <c r="I138">
        <f>IF(COUNTIFS(SITE!$B$2:$B$573,B138,SITE!$J$2:$J$573,"Y")&gt;0,"Y","")</f>
        <v/>
      </c>
      <c r="J138">
        <f>MINIFS(SITE!$G$2:$G$573,SITE!$B$2:$B$573,B138)</f>
        <v/>
      </c>
      <c r="K138">
        <f>IF(J138-TODAY()&lt;183,"임박","")</f>
        <v/>
      </c>
    </row>
    <row r="139">
      <c r="A139" t="inlineStr">
        <is>
          <t>C138</t>
        </is>
      </c>
      <c r="B139" t="inlineStr">
        <is>
          <t>한국오츠카제약</t>
        </is>
      </c>
      <c r="C139" t="inlineStr">
        <is>
          <t>한국오츠카제약(주)</t>
        </is>
      </c>
      <c r="D139">
        <f>COUNTIF(SITE!$B$2:$B$573,B139)</f>
        <v/>
      </c>
      <c r="E139">
        <f>SUMIFS(SITE!$H$2:$H$573,SITE!$B$2:$B$573,B139)</f>
        <v/>
      </c>
      <c r="F139">
        <f>IF(COUNTIFS(SITE!$B$2:$B$573,B139,SITE!$E$2:$E$573,"완제의약품")&gt;0,"Y","")</f>
        <v/>
      </c>
      <c r="G139">
        <f>IF(COUNTIFS(SITE!$B$2:$B$573,B139,SITE!$E$2:$E$573,"원료의약품")&gt;0,"Y","")</f>
        <v/>
      </c>
      <c r="H139">
        <f>IF(COUNTIFS(SITE!$B$2:$B$573,B139,SITE!$I$2:$I$573,"Y")&gt;0,"Y","")</f>
        <v/>
      </c>
      <c r="I139">
        <f>IF(COUNTIFS(SITE!$B$2:$B$573,B139,SITE!$J$2:$J$573,"Y")&gt;0,"Y","")</f>
        <v/>
      </c>
      <c r="J139">
        <f>MINIFS(SITE!$G$2:$G$573,SITE!$B$2:$B$573,B139)</f>
        <v/>
      </c>
      <c r="K139">
        <f>IF(J139-TODAY()&lt;183,"임박","")</f>
        <v/>
      </c>
    </row>
    <row r="140">
      <c r="A140" t="inlineStr">
        <is>
          <t>C139</t>
        </is>
      </c>
      <c r="B140" t="inlineStr">
        <is>
          <t>테라젠이텍스</t>
        </is>
      </c>
      <c r="C140" t="inlineStr">
        <is>
          <t>(주)테라젠이텍스</t>
        </is>
      </c>
      <c r="D140">
        <f>COUNTIF(SITE!$B$2:$B$573,B140)</f>
        <v/>
      </c>
      <c r="E140">
        <f>SUMIFS(SITE!$H$2:$H$573,SITE!$B$2:$B$573,B140)</f>
        <v/>
      </c>
      <c r="F140">
        <f>IF(COUNTIFS(SITE!$B$2:$B$573,B140,SITE!$E$2:$E$573,"완제의약품")&gt;0,"Y","")</f>
        <v/>
      </c>
      <c r="G140">
        <f>IF(COUNTIFS(SITE!$B$2:$B$573,B140,SITE!$E$2:$E$573,"원료의약품")&gt;0,"Y","")</f>
        <v/>
      </c>
      <c r="H140">
        <f>IF(COUNTIFS(SITE!$B$2:$B$573,B140,SITE!$I$2:$I$573,"Y")&gt;0,"Y","")</f>
        <v/>
      </c>
      <c r="I140">
        <f>IF(COUNTIFS(SITE!$B$2:$B$573,B140,SITE!$J$2:$J$573,"Y")&gt;0,"Y","")</f>
        <v/>
      </c>
      <c r="J140">
        <f>MINIFS(SITE!$G$2:$G$573,SITE!$B$2:$B$573,B140)</f>
        <v/>
      </c>
      <c r="K140">
        <f>IF(J140-TODAY()&lt;183,"임박","")</f>
        <v/>
      </c>
      <c r="L140" t="inlineStr">
        <is>
          <t>Y</t>
        </is>
      </c>
      <c r="M140" t="inlineStr">
        <is>
          <t>코스닥</t>
        </is>
      </c>
      <c r="N140" t="inlineStr">
        <is>
          <t>066700</t>
        </is>
      </c>
      <c r="O140" t="inlineStr">
        <is>
          <t>의약품 제조업</t>
        </is>
      </c>
      <c r="P140" t="inlineStr">
        <is>
          <t>Loading/Unloading System, PCB Bonding System</t>
        </is>
      </c>
      <c r="Q140" t="inlineStr">
        <is>
          <t>고진업, 박시홍</t>
        </is>
      </c>
      <c r="R140" t="inlineStr">
        <is>
          <t>http://www.thera-gen.com</t>
        </is>
      </c>
      <c r="S140" t="inlineStr">
        <is>
          <t>경기도</t>
        </is>
      </c>
    </row>
    <row r="141">
      <c r="A141" t="inlineStr">
        <is>
          <t>C140</t>
        </is>
      </c>
      <c r="B141" t="inlineStr">
        <is>
          <t>한국넬슨제약</t>
        </is>
      </c>
      <c r="C141" t="inlineStr">
        <is>
          <t>한국넬슨제약(주)</t>
        </is>
      </c>
      <c r="D141">
        <f>COUNTIF(SITE!$B$2:$B$573,B141)</f>
        <v/>
      </c>
      <c r="E141">
        <f>SUMIFS(SITE!$H$2:$H$573,SITE!$B$2:$B$573,B141)</f>
        <v/>
      </c>
      <c r="F141">
        <f>IF(COUNTIFS(SITE!$B$2:$B$573,B141,SITE!$E$2:$E$573,"완제의약품")&gt;0,"Y","")</f>
        <v/>
      </c>
      <c r="G141">
        <f>IF(COUNTIFS(SITE!$B$2:$B$573,B141,SITE!$E$2:$E$573,"원료의약품")&gt;0,"Y","")</f>
        <v/>
      </c>
      <c r="H141">
        <f>IF(COUNTIFS(SITE!$B$2:$B$573,B141,SITE!$I$2:$I$573,"Y")&gt;0,"Y","")</f>
        <v/>
      </c>
      <c r="I141">
        <f>IF(COUNTIFS(SITE!$B$2:$B$573,B141,SITE!$J$2:$J$573,"Y")&gt;0,"Y","")</f>
        <v/>
      </c>
      <c r="J141">
        <f>MINIFS(SITE!$G$2:$G$573,SITE!$B$2:$B$573,B141)</f>
        <v/>
      </c>
      <c r="K141">
        <f>IF(J141-TODAY()&lt;183,"임박","")</f>
        <v/>
      </c>
    </row>
    <row r="142">
      <c r="A142" t="inlineStr">
        <is>
          <t>C141</t>
        </is>
      </c>
      <c r="B142" t="inlineStr">
        <is>
          <t>전남대학교병원</t>
        </is>
      </c>
      <c r="C142" t="inlineStr">
        <is>
          <t>전남대학교병원</t>
        </is>
      </c>
      <c r="D142">
        <f>COUNTIF(SITE!$B$2:$B$573,B142)</f>
        <v/>
      </c>
      <c r="E142">
        <f>SUMIFS(SITE!$H$2:$H$573,SITE!$B$2:$B$573,B142)</f>
        <v/>
      </c>
      <c r="F142">
        <f>IF(COUNTIFS(SITE!$B$2:$B$573,B142,SITE!$E$2:$E$573,"완제의약품")&gt;0,"Y","")</f>
        <v/>
      </c>
      <c r="G142">
        <f>IF(COUNTIFS(SITE!$B$2:$B$573,B142,SITE!$E$2:$E$573,"원료의약품")&gt;0,"Y","")</f>
        <v/>
      </c>
      <c r="H142">
        <f>IF(COUNTIFS(SITE!$B$2:$B$573,B142,SITE!$I$2:$I$573,"Y")&gt;0,"Y","")</f>
        <v/>
      </c>
      <c r="I142">
        <f>IF(COUNTIFS(SITE!$B$2:$B$573,B142,SITE!$J$2:$J$573,"Y")&gt;0,"Y","")</f>
        <v/>
      </c>
      <c r="J142">
        <f>MINIFS(SITE!$G$2:$G$573,SITE!$B$2:$B$573,B142)</f>
        <v/>
      </c>
      <c r="K142">
        <f>IF(J142-TODAY()&lt;183,"임박","")</f>
        <v/>
      </c>
    </row>
    <row r="143">
      <c r="A143" t="inlineStr">
        <is>
          <t>C142</t>
        </is>
      </c>
      <c r="B143" t="inlineStr">
        <is>
          <t>프로라젠</t>
        </is>
      </c>
      <c r="C143" t="inlineStr">
        <is>
          <t>(주)프로라젠</t>
        </is>
      </c>
      <c r="D143">
        <f>COUNTIF(SITE!$B$2:$B$573,B143)</f>
        <v/>
      </c>
      <c r="E143">
        <f>SUMIFS(SITE!$H$2:$H$573,SITE!$B$2:$B$573,B143)</f>
        <v/>
      </c>
      <c r="F143">
        <f>IF(COUNTIFS(SITE!$B$2:$B$573,B143,SITE!$E$2:$E$573,"완제의약품")&gt;0,"Y","")</f>
        <v/>
      </c>
      <c r="G143">
        <f>IF(COUNTIFS(SITE!$B$2:$B$573,B143,SITE!$E$2:$E$573,"원료의약품")&gt;0,"Y","")</f>
        <v/>
      </c>
      <c r="H143">
        <f>IF(COUNTIFS(SITE!$B$2:$B$573,B143,SITE!$I$2:$I$573,"Y")&gt;0,"Y","")</f>
        <v/>
      </c>
      <c r="I143">
        <f>IF(COUNTIFS(SITE!$B$2:$B$573,B143,SITE!$J$2:$J$573,"Y")&gt;0,"Y","")</f>
        <v/>
      </c>
      <c r="J143">
        <f>MINIFS(SITE!$G$2:$G$573,SITE!$B$2:$B$573,B143)</f>
        <v/>
      </c>
      <c r="K143">
        <f>IF(J143-TODAY()&lt;183,"임박","")</f>
        <v/>
      </c>
    </row>
    <row r="144">
      <c r="A144" t="inlineStr">
        <is>
          <t>C143</t>
        </is>
      </c>
      <c r="B144" t="inlineStr">
        <is>
          <t>휴온스메디텍</t>
        </is>
      </c>
      <c r="C144" t="inlineStr">
        <is>
          <t>(주)휴온스메디텍</t>
        </is>
      </c>
      <c r="D144">
        <f>COUNTIF(SITE!$B$2:$B$573,B144)</f>
        <v/>
      </c>
      <c r="E144">
        <f>SUMIFS(SITE!$H$2:$H$573,SITE!$B$2:$B$573,B144)</f>
        <v/>
      </c>
      <c r="F144">
        <f>IF(COUNTIFS(SITE!$B$2:$B$573,B144,SITE!$E$2:$E$573,"완제의약품")&gt;0,"Y","")</f>
        <v/>
      </c>
      <c r="G144">
        <f>IF(COUNTIFS(SITE!$B$2:$B$573,B144,SITE!$E$2:$E$573,"원료의약품")&gt;0,"Y","")</f>
        <v/>
      </c>
      <c r="H144">
        <f>IF(COUNTIFS(SITE!$B$2:$B$573,B144,SITE!$I$2:$I$573,"Y")&gt;0,"Y","")</f>
        <v/>
      </c>
      <c r="I144">
        <f>IF(COUNTIFS(SITE!$B$2:$B$573,B144,SITE!$J$2:$J$573,"Y")&gt;0,"Y","")</f>
        <v/>
      </c>
      <c r="J144">
        <f>MINIFS(SITE!$G$2:$G$573,SITE!$B$2:$B$573,B144)</f>
        <v/>
      </c>
      <c r="K144">
        <f>IF(J144-TODAY()&lt;183,"임박","")</f>
        <v/>
      </c>
    </row>
    <row r="145">
      <c r="A145" t="inlineStr">
        <is>
          <t>C144</t>
        </is>
      </c>
      <c r="B145" t="inlineStr">
        <is>
          <t>오스코리아제약</t>
        </is>
      </c>
      <c r="C145" t="inlineStr">
        <is>
          <t>(주)오스코리아제약</t>
        </is>
      </c>
      <c r="D145">
        <f>COUNTIF(SITE!$B$2:$B$573,B145)</f>
        <v/>
      </c>
      <c r="E145">
        <f>SUMIFS(SITE!$H$2:$H$573,SITE!$B$2:$B$573,B145)</f>
        <v/>
      </c>
      <c r="F145">
        <f>IF(COUNTIFS(SITE!$B$2:$B$573,B145,SITE!$E$2:$E$573,"완제의약품")&gt;0,"Y","")</f>
        <v/>
      </c>
      <c r="G145">
        <f>IF(COUNTIFS(SITE!$B$2:$B$573,B145,SITE!$E$2:$E$573,"원료의약품")&gt;0,"Y","")</f>
        <v/>
      </c>
      <c r="H145">
        <f>IF(COUNTIFS(SITE!$B$2:$B$573,B145,SITE!$I$2:$I$573,"Y")&gt;0,"Y","")</f>
        <v/>
      </c>
      <c r="I145">
        <f>IF(COUNTIFS(SITE!$B$2:$B$573,B145,SITE!$J$2:$J$573,"Y")&gt;0,"Y","")</f>
        <v/>
      </c>
      <c r="J145">
        <f>MINIFS(SITE!$G$2:$G$573,SITE!$B$2:$B$573,B145)</f>
        <v/>
      </c>
      <c r="K145">
        <f>IF(J145-TODAY()&lt;183,"임박","")</f>
        <v/>
      </c>
    </row>
    <row r="146">
      <c r="A146" t="inlineStr">
        <is>
          <t>C145</t>
        </is>
      </c>
      <c r="B146" t="inlineStr">
        <is>
          <t>현대바이오랜드</t>
        </is>
      </c>
      <c r="C146" t="inlineStr">
        <is>
          <t>주식회사현대바이오랜드</t>
        </is>
      </c>
      <c r="D146">
        <f>COUNTIF(SITE!$B$2:$B$573,B146)</f>
        <v/>
      </c>
      <c r="E146">
        <f>SUMIFS(SITE!$H$2:$H$573,SITE!$B$2:$B$573,B146)</f>
        <v/>
      </c>
      <c r="F146">
        <f>IF(COUNTIFS(SITE!$B$2:$B$573,B146,SITE!$E$2:$E$573,"완제의약품")&gt;0,"Y","")</f>
        <v/>
      </c>
      <c r="G146">
        <f>IF(COUNTIFS(SITE!$B$2:$B$573,B146,SITE!$E$2:$E$573,"원료의약품")&gt;0,"Y","")</f>
        <v/>
      </c>
      <c r="H146">
        <f>IF(COUNTIFS(SITE!$B$2:$B$573,B146,SITE!$I$2:$I$573,"Y")&gt;0,"Y","")</f>
        <v/>
      </c>
      <c r="I146">
        <f>IF(COUNTIFS(SITE!$B$2:$B$573,B146,SITE!$J$2:$J$573,"Y")&gt;0,"Y","")</f>
        <v/>
      </c>
      <c r="J146">
        <f>MINIFS(SITE!$G$2:$G$573,SITE!$B$2:$B$573,B146)</f>
        <v/>
      </c>
      <c r="K146">
        <f>IF(J146-TODAY()&lt;183,"임박","")</f>
        <v/>
      </c>
      <c r="L146" t="inlineStr">
        <is>
          <t>Y</t>
        </is>
      </c>
      <c r="M146" t="inlineStr">
        <is>
          <t>코스닥</t>
        </is>
      </c>
      <c r="N146" t="inlineStr">
        <is>
          <t>052260</t>
        </is>
      </c>
      <c r="O146" t="inlineStr">
        <is>
          <t>기타 화학제품 제조업</t>
        </is>
      </c>
      <c r="P146" t="inlineStr">
        <is>
          <t>천연물질 추출물, 미생물 배양제품</t>
        </is>
      </c>
      <c r="Q146" t="inlineStr">
        <is>
          <t>이희준</t>
        </is>
      </c>
      <c r="R146" t="inlineStr">
        <is>
          <t>http://www.hyundaibioland.co.kr</t>
        </is>
      </c>
      <c r="S146" t="inlineStr">
        <is>
          <t>충청북도</t>
        </is>
      </c>
    </row>
    <row r="147">
      <c r="A147" t="inlineStr">
        <is>
          <t>C146</t>
        </is>
      </c>
      <c r="B147" t="inlineStr">
        <is>
          <t>팩슨</t>
        </is>
      </c>
      <c r="C147" t="inlineStr">
        <is>
          <t>(주)팩슨</t>
        </is>
      </c>
      <c r="D147">
        <f>COUNTIF(SITE!$B$2:$B$573,B147)</f>
        <v/>
      </c>
      <c r="E147">
        <f>SUMIFS(SITE!$H$2:$H$573,SITE!$B$2:$B$573,B147)</f>
        <v/>
      </c>
      <c r="F147">
        <f>IF(COUNTIFS(SITE!$B$2:$B$573,B147,SITE!$E$2:$E$573,"완제의약품")&gt;0,"Y","")</f>
        <v/>
      </c>
      <c r="G147">
        <f>IF(COUNTIFS(SITE!$B$2:$B$573,B147,SITE!$E$2:$E$573,"원료의약품")&gt;0,"Y","")</f>
        <v/>
      </c>
      <c r="H147">
        <f>IF(COUNTIFS(SITE!$B$2:$B$573,B147,SITE!$I$2:$I$573,"Y")&gt;0,"Y","")</f>
        <v/>
      </c>
      <c r="I147">
        <f>IF(COUNTIFS(SITE!$B$2:$B$573,B147,SITE!$J$2:$J$573,"Y")&gt;0,"Y","")</f>
        <v/>
      </c>
      <c r="J147">
        <f>MINIFS(SITE!$G$2:$G$573,SITE!$B$2:$B$573,B147)</f>
        <v/>
      </c>
      <c r="K147">
        <f>IF(J147-TODAY()&lt;183,"임박","")</f>
        <v/>
      </c>
    </row>
    <row r="148">
      <c r="A148" t="inlineStr">
        <is>
          <t>C147</t>
        </is>
      </c>
      <c r="B148" t="inlineStr">
        <is>
          <t>태경에코</t>
        </is>
      </c>
      <c r="C148" t="inlineStr">
        <is>
          <t>태경에코(주)</t>
        </is>
      </c>
      <c r="D148">
        <f>COUNTIF(SITE!$B$2:$B$573,B148)</f>
        <v/>
      </c>
      <c r="E148">
        <f>SUMIFS(SITE!$H$2:$H$573,SITE!$B$2:$B$573,B148)</f>
        <v/>
      </c>
      <c r="F148">
        <f>IF(COUNTIFS(SITE!$B$2:$B$573,B148,SITE!$E$2:$E$573,"완제의약품")&gt;0,"Y","")</f>
        <v/>
      </c>
      <c r="G148">
        <f>IF(COUNTIFS(SITE!$B$2:$B$573,B148,SITE!$E$2:$E$573,"원료의약품")&gt;0,"Y","")</f>
        <v/>
      </c>
      <c r="H148">
        <f>IF(COUNTIFS(SITE!$B$2:$B$573,B148,SITE!$I$2:$I$573,"Y")&gt;0,"Y","")</f>
        <v/>
      </c>
      <c r="I148">
        <f>IF(COUNTIFS(SITE!$B$2:$B$573,B148,SITE!$J$2:$J$573,"Y")&gt;0,"Y","")</f>
        <v/>
      </c>
      <c r="J148">
        <f>MINIFS(SITE!$G$2:$G$573,SITE!$B$2:$B$573,B148)</f>
        <v/>
      </c>
      <c r="K148">
        <f>IF(J148-TODAY()&lt;183,"임박","")</f>
        <v/>
      </c>
    </row>
    <row r="149">
      <c r="A149" t="inlineStr">
        <is>
          <t>C148</t>
        </is>
      </c>
      <c r="B149" t="inlineStr">
        <is>
          <t>제뉴원사이언스</t>
        </is>
      </c>
      <c r="C149" t="inlineStr">
        <is>
          <t>주식회사제뉴원사이언스</t>
        </is>
      </c>
      <c r="D149">
        <f>COUNTIF(SITE!$B$2:$B$573,B149)</f>
        <v/>
      </c>
      <c r="E149">
        <f>SUMIFS(SITE!$H$2:$H$573,SITE!$B$2:$B$573,B149)</f>
        <v/>
      </c>
      <c r="F149">
        <f>IF(COUNTIFS(SITE!$B$2:$B$573,B149,SITE!$E$2:$E$573,"완제의약품")&gt;0,"Y","")</f>
        <v/>
      </c>
      <c r="G149">
        <f>IF(COUNTIFS(SITE!$B$2:$B$573,B149,SITE!$E$2:$E$573,"원료의약품")&gt;0,"Y","")</f>
        <v/>
      </c>
      <c r="H149">
        <f>IF(COUNTIFS(SITE!$B$2:$B$573,B149,SITE!$I$2:$I$573,"Y")&gt;0,"Y","")</f>
        <v/>
      </c>
      <c r="I149">
        <f>IF(COUNTIFS(SITE!$B$2:$B$573,B149,SITE!$J$2:$J$573,"Y")&gt;0,"Y","")</f>
        <v/>
      </c>
      <c r="J149">
        <f>MINIFS(SITE!$G$2:$G$573,SITE!$B$2:$B$573,B149)</f>
        <v/>
      </c>
      <c r="K149">
        <f>IF(J149-TODAY()&lt;183,"임박","")</f>
        <v/>
      </c>
    </row>
    <row r="150">
      <c r="A150" t="inlineStr">
        <is>
          <t>C149</t>
        </is>
      </c>
      <c r="B150" t="inlineStr">
        <is>
          <t>한영기업</t>
        </is>
      </c>
      <c r="C150" t="inlineStr">
        <is>
          <t>한영기업(주)</t>
        </is>
      </c>
      <c r="D150">
        <f>COUNTIF(SITE!$B$2:$B$573,B150)</f>
        <v/>
      </c>
      <c r="E150">
        <f>SUMIFS(SITE!$H$2:$H$573,SITE!$B$2:$B$573,B150)</f>
        <v/>
      </c>
      <c r="F150">
        <f>IF(COUNTIFS(SITE!$B$2:$B$573,B150,SITE!$E$2:$E$573,"완제의약품")&gt;0,"Y","")</f>
        <v/>
      </c>
      <c r="G150">
        <f>IF(COUNTIFS(SITE!$B$2:$B$573,B150,SITE!$E$2:$E$573,"원료의약품")&gt;0,"Y","")</f>
        <v/>
      </c>
      <c r="H150">
        <f>IF(COUNTIFS(SITE!$B$2:$B$573,B150,SITE!$I$2:$I$573,"Y")&gt;0,"Y","")</f>
        <v/>
      </c>
      <c r="I150">
        <f>IF(COUNTIFS(SITE!$B$2:$B$573,B150,SITE!$J$2:$J$573,"Y")&gt;0,"Y","")</f>
        <v/>
      </c>
      <c r="J150">
        <f>MINIFS(SITE!$G$2:$G$573,SITE!$B$2:$B$573,B150)</f>
        <v/>
      </c>
      <c r="K150">
        <f>IF(J150-TODAY()&lt;183,"임박","")</f>
        <v/>
      </c>
    </row>
    <row r="151">
      <c r="A151" t="inlineStr">
        <is>
          <t>C150</t>
        </is>
      </c>
      <c r="B151" t="inlineStr">
        <is>
          <t>보령</t>
        </is>
      </c>
      <c r="C151" t="inlineStr">
        <is>
          <t>(주)보령</t>
        </is>
      </c>
      <c r="D151">
        <f>COUNTIF(SITE!$B$2:$B$573,B151)</f>
        <v/>
      </c>
      <c r="E151">
        <f>SUMIFS(SITE!$H$2:$H$573,SITE!$B$2:$B$573,B151)</f>
        <v/>
      </c>
      <c r="F151">
        <f>IF(COUNTIFS(SITE!$B$2:$B$573,B151,SITE!$E$2:$E$573,"완제의약품")&gt;0,"Y","")</f>
        <v/>
      </c>
      <c r="G151">
        <f>IF(COUNTIFS(SITE!$B$2:$B$573,B151,SITE!$E$2:$E$573,"원료의약품")&gt;0,"Y","")</f>
        <v/>
      </c>
      <c r="H151">
        <f>IF(COUNTIFS(SITE!$B$2:$B$573,B151,SITE!$I$2:$I$573,"Y")&gt;0,"Y","")</f>
        <v/>
      </c>
      <c r="I151">
        <f>IF(COUNTIFS(SITE!$B$2:$B$573,B151,SITE!$J$2:$J$573,"Y")&gt;0,"Y","")</f>
        <v/>
      </c>
      <c r="J151">
        <f>MINIFS(SITE!$G$2:$G$573,SITE!$B$2:$B$573,B151)</f>
        <v/>
      </c>
      <c r="K151">
        <f>IF(J151-TODAY()&lt;183,"임박","")</f>
        <v/>
      </c>
      <c r="L151" t="inlineStr">
        <is>
          <t>Y</t>
        </is>
      </c>
      <c r="M151" t="inlineStr">
        <is>
          <t>유가</t>
        </is>
      </c>
      <c r="N151" t="inlineStr">
        <is>
          <t>003850</t>
        </is>
      </c>
      <c r="O151" t="inlineStr">
        <is>
          <t>의약품 제조업</t>
        </is>
      </c>
      <c r="P151" t="inlineStr">
        <is>
          <t>의약품(제산제(겔포스),구심,용각산,고혈압치료제(카프릴),소염진통제(멘소레담),항생제(듀리세프),혈전치료제(아스트릭스)) 제조</t>
        </is>
      </c>
      <c r="Q151" t="inlineStr">
        <is>
          <t>김정균</t>
        </is>
      </c>
      <c r="R151" t="inlineStr">
        <is>
          <t>http://www.boryung.co.kr</t>
        </is>
      </c>
      <c r="S151" t="inlineStr">
        <is>
          <t>서울특별시</t>
        </is>
      </c>
    </row>
    <row r="152">
      <c r="A152" t="inlineStr">
        <is>
          <t>C151</t>
        </is>
      </c>
      <c r="B152" t="inlineStr">
        <is>
          <t>에이치엘비펩</t>
        </is>
      </c>
      <c r="C152" t="inlineStr">
        <is>
          <t>에이치엘비펩(주)</t>
        </is>
      </c>
      <c r="D152">
        <f>COUNTIF(SITE!$B$2:$B$573,B152)</f>
        <v/>
      </c>
      <c r="E152">
        <f>SUMIFS(SITE!$H$2:$H$573,SITE!$B$2:$B$573,B152)</f>
        <v/>
      </c>
      <c r="F152">
        <f>IF(COUNTIFS(SITE!$B$2:$B$573,B152,SITE!$E$2:$E$573,"완제의약품")&gt;0,"Y","")</f>
        <v/>
      </c>
      <c r="G152">
        <f>IF(COUNTIFS(SITE!$B$2:$B$573,B152,SITE!$E$2:$E$573,"원료의약품")&gt;0,"Y","")</f>
        <v/>
      </c>
      <c r="H152">
        <f>IF(COUNTIFS(SITE!$B$2:$B$573,B152,SITE!$I$2:$I$573,"Y")&gt;0,"Y","")</f>
        <v/>
      </c>
      <c r="I152">
        <f>IF(COUNTIFS(SITE!$B$2:$B$573,B152,SITE!$J$2:$J$573,"Y")&gt;0,"Y","")</f>
        <v/>
      </c>
      <c r="J152">
        <f>MINIFS(SITE!$G$2:$G$573,SITE!$B$2:$B$573,B152)</f>
        <v/>
      </c>
      <c r="K152">
        <f>IF(J152-TODAY()&lt;183,"임박","")</f>
        <v/>
      </c>
    </row>
    <row r="153">
      <c r="A153" t="inlineStr">
        <is>
          <t>C152</t>
        </is>
      </c>
      <c r="B153" t="inlineStr">
        <is>
          <t>대한의산</t>
        </is>
      </c>
      <c r="C153" t="inlineStr">
        <is>
          <t>대한의산(주)</t>
        </is>
      </c>
      <c r="D153">
        <f>COUNTIF(SITE!$B$2:$B$573,B153)</f>
        <v/>
      </c>
      <c r="E153">
        <f>SUMIFS(SITE!$H$2:$H$573,SITE!$B$2:$B$573,B153)</f>
        <v/>
      </c>
      <c r="F153">
        <f>IF(COUNTIFS(SITE!$B$2:$B$573,B153,SITE!$E$2:$E$573,"완제의약품")&gt;0,"Y","")</f>
        <v/>
      </c>
      <c r="G153">
        <f>IF(COUNTIFS(SITE!$B$2:$B$573,B153,SITE!$E$2:$E$573,"원료의약품")&gt;0,"Y","")</f>
        <v/>
      </c>
      <c r="H153">
        <f>IF(COUNTIFS(SITE!$B$2:$B$573,B153,SITE!$I$2:$I$573,"Y")&gt;0,"Y","")</f>
        <v/>
      </c>
      <c r="I153">
        <f>IF(COUNTIFS(SITE!$B$2:$B$573,B153,SITE!$J$2:$J$573,"Y")&gt;0,"Y","")</f>
        <v/>
      </c>
      <c r="J153">
        <f>MINIFS(SITE!$G$2:$G$573,SITE!$B$2:$B$573,B153)</f>
        <v/>
      </c>
      <c r="K153">
        <f>IF(J153-TODAY()&lt;183,"임박","")</f>
        <v/>
      </c>
    </row>
    <row r="154">
      <c r="A154" t="inlineStr">
        <is>
          <t>C153</t>
        </is>
      </c>
      <c r="B154" t="inlineStr">
        <is>
          <t>펩트론</t>
        </is>
      </c>
      <c r="C154" t="inlineStr">
        <is>
          <t>(주)펩트론</t>
        </is>
      </c>
      <c r="D154">
        <f>COUNTIF(SITE!$B$2:$B$573,B154)</f>
        <v/>
      </c>
      <c r="E154">
        <f>SUMIFS(SITE!$H$2:$H$573,SITE!$B$2:$B$573,B154)</f>
        <v/>
      </c>
      <c r="F154">
        <f>IF(COUNTIFS(SITE!$B$2:$B$573,B154,SITE!$E$2:$E$573,"완제의약품")&gt;0,"Y","")</f>
        <v/>
      </c>
      <c r="G154">
        <f>IF(COUNTIFS(SITE!$B$2:$B$573,B154,SITE!$E$2:$E$573,"원료의약품")&gt;0,"Y","")</f>
        <v/>
      </c>
      <c r="H154">
        <f>IF(COUNTIFS(SITE!$B$2:$B$573,B154,SITE!$I$2:$I$573,"Y")&gt;0,"Y","")</f>
        <v/>
      </c>
      <c r="I154">
        <f>IF(COUNTIFS(SITE!$B$2:$B$573,B154,SITE!$J$2:$J$573,"Y")&gt;0,"Y","")</f>
        <v/>
      </c>
      <c r="J154">
        <f>MINIFS(SITE!$G$2:$G$573,SITE!$B$2:$B$573,B154)</f>
        <v/>
      </c>
      <c r="K154">
        <f>IF(J154-TODAY()&lt;183,"임박","")</f>
        <v/>
      </c>
      <c r="L154" t="inlineStr">
        <is>
          <t>Y</t>
        </is>
      </c>
      <c r="M154" t="inlineStr">
        <is>
          <t>코스닥</t>
        </is>
      </c>
      <c r="N154" t="inlineStr">
        <is>
          <t>087010</t>
        </is>
      </c>
      <c r="O154" t="inlineStr">
        <is>
          <t>기초 의약물질 제조업</t>
        </is>
      </c>
      <c r="P154" t="inlineStr">
        <is>
          <t>약효지속성 의약품 및 펩타이드 소재</t>
        </is>
      </c>
      <c r="Q154" t="inlineStr">
        <is>
          <t>최호일</t>
        </is>
      </c>
      <c r="R154" t="inlineStr">
        <is>
          <t>http://www.peptron.co.kr</t>
        </is>
      </c>
      <c r="S154" t="inlineStr">
        <is>
          <t>대전광역시</t>
        </is>
      </c>
    </row>
    <row r="155">
      <c r="A155" t="inlineStr">
        <is>
          <t>C154</t>
        </is>
      </c>
      <c r="B155" t="inlineStr">
        <is>
          <t>초당약품공업</t>
        </is>
      </c>
      <c r="C155" t="inlineStr">
        <is>
          <t>초당약품공업(주)</t>
        </is>
      </c>
      <c r="D155">
        <f>COUNTIF(SITE!$B$2:$B$573,B155)</f>
        <v/>
      </c>
      <c r="E155">
        <f>SUMIFS(SITE!$H$2:$H$573,SITE!$B$2:$B$573,B155)</f>
        <v/>
      </c>
      <c r="F155">
        <f>IF(COUNTIFS(SITE!$B$2:$B$573,B155,SITE!$E$2:$E$573,"완제의약품")&gt;0,"Y","")</f>
        <v/>
      </c>
      <c r="G155">
        <f>IF(COUNTIFS(SITE!$B$2:$B$573,B155,SITE!$E$2:$E$573,"원료의약품")&gt;0,"Y","")</f>
        <v/>
      </c>
      <c r="H155">
        <f>IF(COUNTIFS(SITE!$B$2:$B$573,B155,SITE!$I$2:$I$573,"Y")&gt;0,"Y","")</f>
        <v/>
      </c>
      <c r="I155">
        <f>IF(COUNTIFS(SITE!$B$2:$B$573,B155,SITE!$J$2:$J$573,"Y")&gt;0,"Y","")</f>
        <v/>
      </c>
      <c r="J155">
        <f>MINIFS(SITE!$G$2:$G$573,SITE!$B$2:$B$573,B155)</f>
        <v/>
      </c>
      <c r="K155">
        <f>IF(J155-TODAY()&lt;183,"임박","")</f>
        <v/>
      </c>
    </row>
    <row r="156">
      <c r="A156" t="inlineStr">
        <is>
          <t>C155</t>
        </is>
      </c>
      <c r="B156" t="inlineStr">
        <is>
          <t>일화</t>
        </is>
      </c>
      <c r="C156" t="inlineStr">
        <is>
          <t>(주)일화</t>
        </is>
      </c>
      <c r="D156">
        <f>COUNTIF(SITE!$B$2:$B$573,B156)</f>
        <v/>
      </c>
      <c r="E156">
        <f>SUMIFS(SITE!$H$2:$H$573,SITE!$B$2:$B$573,B156)</f>
        <v/>
      </c>
      <c r="F156">
        <f>IF(COUNTIFS(SITE!$B$2:$B$573,B156,SITE!$E$2:$E$573,"완제의약품")&gt;0,"Y","")</f>
        <v/>
      </c>
      <c r="G156">
        <f>IF(COUNTIFS(SITE!$B$2:$B$573,B156,SITE!$E$2:$E$573,"원료의약품")&gt;0,"Y","")</f>
        <v/>
      </c>
      <c r="H156">
        <f>IF(COUNTIFS(SITE!$B$2:$B$573,B156,SITE!$I$2:$I$573,"Y")&gt;0,"Y","")</f>
        <v/>
      </c>
      <c r="I156">
        <f>IF(COUNTIFS(SITE!$B$2:$B$573,B156,SITE!$J$2:$J$573,"Y")&gt;0,"Y","")</f>
        <v/>
      </c>
      <c r="J156">
        <f>MINIFS(SITE!$G$2:$G$573,SITE!$B$2:$B$573,B156)</f>
        <v/>
      </c>
      <c r="K156">
        <f>IF(J156-TODAY()&lt;183,"임박","")</f>
        <v/>
      </c>
    </row>
    <row r="157">
      <c r="A157" t="inlineStr">
        <is>
          <t>C156</t>
        </is>
      </c>
      <c r="B157" t="inlineStr">
        <is>
          <t>삼덕가스공업</t>
        </is>
      </c>
      <c r="C157" t="inlineStr">
        <is>
          <t>삼덕가스공업(주)</t>
        </is>
      </c>
      <c r="D157">
        <f>COUNTIF(SITE!$B$2:$B$573,B157)</f>
        <v/>
      </c>
      <c r="E157">
        <f>SUMIFS(SITE!$H$2:$H$573,SITE!$B$2:$B$573,B157)</f>
        <v/>
      </c>
      <c r="F157">
        <f>IF(COUNTIFS(SITE!$B$2:$B$573,B157,SITE!$E$2:$E$573,"완제의약품")&gt;0,"Y","")</f>
        <v/>
      </c>
      <c r="G157">
        <f>IF(COUNTIFS(SITE!$B$2:$B$573,B157,SITE!$E$2:$E$573,"원료의약품")&gt;0,"Y","")</f>
        <v/>
      </c>
      <c r="H157">
        <f>IF(COUNTIFS(SITE!$B$2:$B$573,B157,SITE!$I$2:$I$573,"Y")&gt;0,"Y","")</f>
        <v/>
      </c>
      <c r="I157">
        <f>IF(COUNTIFS(SITE!$B$2:$B$573,B157,SITE!$J$2:$J$573,"Y")&gt;0,"Y","")</f>
        <v/>
      </c>
      <c r="J157">
        <f>MINIFS(SITE!$G$2:$G$573,SITE!$B$2:$B$573,B157)</f>
        <v/>
      </c>
      <c r="K157">
        <f>IF(J157-TODAY()&lt;183,"임박","")</f>
        <v/>
      </c>
    </row>
    <row r="158">
      <c r="A158" t="inlineStr">
        <is>
          <t>C157</t>
        </is>
      </c>
      <c r="B158" t="inlineStr">
        <is>
          <t>신원산업</t>
        </is>
      </c>
      <c r="C158" t="inlineStr">
        <is>
          <t>신원산업(주)</t>
        </is>
      </c>
      <c r="D158">
        <f>COUNTIF(SITE!$B$2:$B$573,B158)</f>
        <v/>
      </c>
      <c r="E158">
        <f>SUMIFS(SITE!$H$2:$H$573,SITE!$B$2:$B$573,B158)</f>
        <v/>
      </c>
      <c r="F158">
        <f>IF(COUNTIFS(SITE!$B$2:$B$573,B158,SITE!$E$2:$E$573,"완제의약품")&gt;0,"Y","")</f>
        <v/>
      </c>
      <c r="G158">
        <f>IF(COUNTIFS(SITE!$B$2:$B$573,B158,SITE!$E$2:$E$573,"원료의약품")&gt;0,"Y","")</f>
        <v/>
      </c>
      <c r="H158">
        <f>IF(COUNTIFS(SITE!$B$2:$B$573,B158,SITE!$I$2:$I$573,"Y")&gt;0,"Y","")</f>
        <v/>
      </c>
      <c r="I158">
        <f>IF(COUNTIFS(SITE!$B$2:$B$573,B158,SITE!$J$2:$J$573,"Y")&gt;0,"Y","")</f>
        <v/>
      </c>
      <c r="J158">
        <f>MINIFS(SITE!$G$2:$G$573,SITE!$B$2:$B$573,B158)</f>
        <v/>
      </c>
      <c r="K158">
        <f>IF(J158-TODAY()&lt;183,"임박","")</f>
        <v/>
      </c>
    </row>
    <row r="159">
      <c r="A159" t="inlineStr">
        <is>
          <t>C158</t>
        </is>
      </c>
      <c r="B159" t="inlineStr">
        <is>
          <t>한국비엔씨</t>
        </is>
      </c>
      <c r="C159" t="inlineStr">
        <is>
          <t>(주)한국비엔씨</t>
        </is>
      </c>
      <c r="D159">
        <f>COUNTIF(SITE!$B$2:$B$573,B159)</f>
        <v/>
      </c>
      <c r="E159">
        <f>SUMIFS(SITE!$H$2:$H$573,SITE!$B$2:$B$573,B159)</f>
        <v/>
      </c>
      <c r="F159">
        <f>IF(COUNTIFS(SITE!$B$2:$B$573,B159,SITE!$E$2:$E$573,"완제의약품")&gt;0,"Y","")</f>
        <v/>
      </c>
      <c r="G159">
        <f>IF(COUNTIFS(SITE!$B$2:$B$573,B159,SITE!$E$2:$E$573,"원료의약품")&gt;0,"Y","")</f>
        <v/>
      </c>
      <c r="H159">
        <f>IF(COUNTIFS(SITE!$B$2:$B$573,B159,SITE!$I$2:$I$573,"Y")&gt;0,"Y","")</f>
        <v/>
      </c>
      <c r="I159">
        <f>IF(COUNTIFS(SITE!$B$2:$B$573,B159,SITE!$J$2:$J$573,"Y")&gt;0,"Y","")</f>
        <v/>
      </c>
      <c r="J159">
        <f>MINIFS(SITE!$G$2:$G$573,SITE!$B$2:$B$573,B159)</f>
        <v/>
      </c>
      <c r="K159">
        <f>IF(J159-TODAY()&lt;183,"임박","")</f>
        <v/>
      </c>
      <c r="L159" t="inlineStr">
        <is>
          <t>Y</t>
        </is>
      </c>
      <c r="M159" t="inlineStr">
        <is>
          <t>코스닥</t>
        </is>
      </c>
      <c r="N159" t="inlineStr">
        <is>
          <t>256840</t>
        </is>
      </c>
      <c r="O159" t="inlineStr">
        <is>
          <t>기초 의약물질 제조업</t>
        </is>
      </c>
      <c r="P159" t="inlineStr">
        <is>
          <t>필러 등 생체재료의료물질 개발</t>
        </is>
      </c>
      <c r="Q159" t="inlineStr">
        <is>
          <t>최완규</t>
        </is>
      </c>
      <c r="R159" t="inlineStr">
        <is>
          <t>http://www.bnckorea.co.kr</t>
        </is>
      </c>
      <c r="S159" t="inlineStr">
        <is>
          <t>대구광역시</t>
        </is>
      </c>
    </row>
    <row r="160">
      <c r="A160" t="inlineStr">
        <is>
          <t>C159</t>
        </is>
      </c>
      <c r="B160" t="inlineStr">
        <is>
          <t>삼흥에너지</t>
        </is>
      </c>
      <c r="C160" t="inlineStr">
        <is>
          <t>(주)삼흥에너지</t>
        </is>
      </c>
      <c r="D160">
        <f>COUNTIF(SITE!$B$2:$B$573,B160)</f>
        <v/>
      </c>
      <c r="E160">
        <f>SUMIFS(SITE!$H$2:$H$573,SITE!$B$2:$B$573,B160)</f>
        <v/>
      </c>
      <c r="F160">
        <f>IF(COUNTIFS(SITE!$B$2:$B$573,B160,SITE!$E$2:$E$573,"완제의약품")&gt;0,"Y","")</f>
        <v/>
      </c>
      <c r="G160">
        <f>IF(COUNTIFS(SITE!$B$2:$B$573,B160,SITE!$E$2:$E$573,"원료의약품")&gt;0,"Y","")</f>
        <v/>
      </c>
      <c r="H160">
        <f>IF(COUNTIFS(SITE!$B$2:$B$573,B160,SITE!$I$2:$I$573,"Y")&gt;0,"Y","")</f>
        <v/>
      </c>
      <c r="I160">
        <f>IF(COUNTIFS(SITE!$B$2:$B$573,B160,SITE!$J$2:$J$573,"Y")&gt;0,"Y","")</f>
        <v/>
      </c>
      <c r="J160">
        <f>MINIFS(SITE!$G$2:$G$573,SITE!$B$2:$B$573,B160)</f>
        <v/>
      </c>
      <c r="K160">
        <f>IF(J160-TODAY()&lt;183,"임박","")</f>
        <v/>
      </c>
    </row>
    <row r="161">
      <c r="A161" t="inlineStr">
        <is>
          <t>C160</t>
        </is>
      </c>
      <c r="B161" t="inlineStr">
        <is>
          <t>대상</t>
        </is>
      </c>
      <c r="C161" t="inlineStr">
        <is>
          <t>대상(주)</t>
        </is>
      </c>
      <c r="D161">
        <f>COUNTIF(SITE!$B$2:$B$573,B161)</f>
        <v/>
      </c>
      <c r="E161">
        <f>SUMIFS(SITE!$H$2:$H$573,SITE!$B$2:$B$573,B161)</f>
        <v/>
      </c>
      <c r="F161">
        <f>IF(COUNTIFS(SITE!$B$2:$B$573,B161,SITE!$E$2:$E$573,"완제의약품")&gt;0,"Y","")</f>
        <v/>
      </c>
      <c r="G161">
        <f>IF(COUNTIFS(SITE!$B$2:$B$573,B161,SITE!$E$2:$E$573,"원료의약품")&gt;0,"Y","")</f>
        <v/>
      </c>
      <c r="H161">
        <f>IF(COUNTIFS(SITE!$B$2:$B$573,B161,SITE!$I$2:$I$573,"Y")&gt;0,"Y","")</f>
        <v/>
      </c>
      <c r="I161">
        <f>IF(COUNTIFS(SITE!$B$2:$B$573,B161,SITE!$J$2:$J$573,"Y")&gt;0,"Y","")</f>
        <v/>
      </c>
      <c r="J161">
        <f>MINIFS(SITE!$G$2:$G$573,SITE!$B$2:$B$573,B161)</f>
        <v/>
      </c>
      <c r="K161">
        <f>IF(J161-TODAY()&lt;183,"임박","")</f>
        <v/>
      </c>
      <c r="L161" t="inlineStr">
        <is>
          <t>Y</t>
        </is>
      </c>
      <c r="M161" t="inlineStr">
        <is>
          <t>유가</t>
        </is>
      </c>
      <c r="N161" t="inlineStr">
        <is>
          <t>001680</t>
        </is>
      </c>
      <c r="O161" t="inlineStr">
        <is>
          <t>기타 식품 제조업</t>
        </is>
      </c>
      <c r="P161" t="inlineStr">
        <is>
          <t>전분,라이신,물엿,과당,포도당,MSG및 사료,조미료,항생제,핵산,커피 제조,도매/토목공사,건축공사</t>
        </is>
      </c>
      <c r="Q161" t="inlineStr">
        <is>
          <t>임정배</t>
        </is>
      </c>
      <c r="R161" t="inlineStr">
        <is>
          <t>http://www.daesang.co.kr</t>
        </is>
      </c>
      <c r="S161" t="inlineStr">
        <is>
          <t>서울특별시</t>
        </is>
      </c>
    </row>
    <row r="162">
      <c r="A162" t="inlineStr">
        <is>
          <t>C161</t>
        </is>
      </c>
      <c r="B162" t="inlineStr">
        <is>
          <t>한미약품</t>
        </is>
      </c>
      <c r="C162" t="inlineStr">
        <is>
          <t>한미약품(주)</t>
        </is>
      </c>
      <c r="D162">
        <f>COUNTIF(SITE!$B$2:$B$573,B162)</f>
        <v/>
      </c>
      <c r="E162">
        <f>SUMIFS(SITE!$H$2:$H$573,SITE!$B$2:$B$573,B162)</f>
        <v/>
      </c>
      <c r="F162">
        <f>IF(COUNTIFS(SITE!$B$2:$B$573,B162,SITE!$E$2:$E$573,"완제의약품")&gt;0,"Y","")</f>
        <v/>
      </c>
      <c r="G162">
        <f>IF(COUNTIFS(SITE!$B$2:$B$573,B162,SITE!$E$2:$E$573,"원료의약품")&gt;0,"Y","")</f>
        <v/>
      </c>
      <c r="H162">
        <f>IF(COUNTIFS(SITE!$B$2:$B$573,B162,SITE!$I$2:$I$573,"Y")&gt;0,"Y","")</f>
        <v/>
      </c>
      <c r="I162">
        <f>IF(COUNTIFS(SITE!$B$2:$B$573,B162,SITE!$J$2:$J$573,"Y")&gt;0,"Y","")</f>
        <v/>
      </c>
      <c r="J162">
        <f>MINIFS(SITE!$G$2:$G$573,SITE!$B$2:$B$573,B162)</f>
        <v/>
      </c>
      <c r="K162">
        <f>IF(J162-TODAY()&lt;183,"임박","")</f>
        <v/>
      </c>
      <c r="L162" t="inlineStr">
        <is>
          <t>Y</t>
        </is>
      </c>
      <c r="M162" t="inlineStr">
        <is>
          <t>유가</t>
        </is>
      </c>
      <c r="N162" t="inlineStr">
        <is>
          <t>128940</t>
        </is>
      </c>
      <c r="O162" t="inlineStr">
        <is>
          <t>의약품 제조업</t>
        </is>
      </c>
      <c r="P162" t="inlineStr">
        <is>
          <t>의약품</t>
        </is>
      </c>
      <c r="Q162" t="inlineStr">
        <is>
          <t>황상연</t>
        </is>
      </c>
      <c r="S162" t="inlineStr">
        <is>
          <t>경기도</t>
        </is>
      </c>
    </row>
    <row r="163">
      <c r="A163" t="inlineStr">
        <is>
          <t>C162</t>
        </is>
      </c>
      <c r="B163" t="inlineStr">
        <is>
          <t>휴메딕스</t>
        </is>
      </c>
      <c r="C163" t="inlineStr">
        <is>
          <t>(주)휴메딕스</t>
        </is>
      </c>
      <c r="D163">
        <f>COUNTIF(SITE!$B$2:$B$573,B163)</f>
        <v/>
      </c>
      <c r="E163">
        <f>SUMIFS(SITE!$H$2:$H$573,SITE!$B$2:$B$573,B163)</f>
        <v/>
      </c>
      <c r="F163">
        <f>IF(COUNTIFS(SITE!$B$2:$B$573,B163,SITE!$E$2:$E$573,"완제의약품")&gt;0,"Y","")</f>
        <v/>
      </c>
      <c r="G163">
        <f>IF(COUNTIFS(SITE!$B$2:$B$573,B163,SITE!$E$2:$E$573,"원료의약품")&gt;0,"Y","")</f>
        <v/>
      </c>
      <c r="H163">
        <f>IF(COUNTIFS(SITE!$B$2:$B$573,B163,SITE!$I$2:$I$573,"Y")&gt;0,"Y","")</f>
        <v/>
      </c>
      <c r="I163">
        <f>IF(COUNTIFS(SITE!$B$2:$B$573,B163,SITE!$J$2:$J$573,"Y")&gt;0,"Y","")</f>
        <v/>
      </c>
      <c r="J163">
        <f>MINIFS(SITE!$G$2:$G$573,SITE!$B$2:$B$573,B163)</f>
        <v/>
      </c>
      <c r="K163">
        <f>IF(J163-TODAY()&lt;183,"임박","")</f>
        <v/>
      </c>
      <c r="L163" t="inlineStr">
        <is>
          <t>Y</t>
        </is>
      </c>
      <c r="M163" t="inlineStr">
        <is>
          <t>코스닥</t>
        </is>
      </c>
      <c r="N163" t="inlineStr">
        <is>
          <t>200670</t>
        </is>
      </c>
      <c r="O163" t="inlineStr">
        <is>
          <t>의약품 제조업</t>
        </is>
      </c>
      <c r="P163" t="inlineStr">
        <is>
          <t>히알루론산 관절염치료제, 히알루론산 더말필러</t>
        </is>
      </c>
      <c r="Q163" t="inlineStr">
        <is>
          <t>강민종</t>
        </is>
      </c>
      <c r="R163" t="inlineStr">
        <is>
          <t>http://www.humedix.com</t>
        </is>
      </c>
      <c r="S163" t="inlineStr">
        <is>
          <t>경기도</t>
        </is>
      </c>
    </row>
    <row r="164">
      <c r="A164" t="inlineStr">
        <is>
          <t>C163</t>
        </is>
      </c>
      <c r="B164" t="inlineStr">
        <is>
          <t>경동제약</t>
        </is>
      </c>
      <c r="C164" t="inlineStr">
        <is>
          <t>경동제약(주)</t>
        </is>
      </c>
      <c r="D164">
        <f>COUNTIF(SITE!$B$2:$B$573,B164)</f>
        <v/>
      </c>
      <c r="E164">
        <f>SUMIFS(SITE!$H$2:$H$573,SITE!$B$2:$B$573,B164)</f>
        <v/>
      </c>
      <c r="F164">
        <f>IF(COUNTIFS(SITE!$B$2:$B$573,B164,SITE!$E$2:$E$573,"완제의약품")&gt;0,"Y","")</f>
        <v/>
      </c>
      <c r="G164">
        <f>IF(COUNTIFS(SITE!$B$2:$B$573,B164,SITE!$E$2:$E$573,"원료의약품")&gt;0,"Y","")</f>
        <v/>
      </c>
      <c r="H164">
        <f>IF(COUNTIFS(SITE!$B$2:$B$573,B164,SITE!$I$2:$I$573,"Y")&gt;0,"Y","")</f>
        <v/>
      </c>
      <c r="I164">
        <f>IF(COUNTIFS(SITE!$B$2:$B$573,B164,SITE!$J$2:$J$573,"Y")&gt;0,"Y","")</f>
        <v/>
      </c>
      <c r="J164">
        <f>MINIFS(SITE!$G$2:$G$573,SITE!$B$2:$B$573,B164)</f>
        <v/>
      </c>
      <c r="K164">
        <f>IF(J164-TODAY()&lt;183,"임박","")</f>
        <v/>
      </c>
      <c r="L164" t="inlineStr">
        <is>
          <t>Y</t>
        </is>
      </c>
      <c r="M164" t="inlineStr">
        <is>
          <t>코스닥</t>
        </is>
      </c>
      <c r="N164" t="inlineStr">
        <is>
          <t>011040</t>
        </is>
      </c>
      <c r="O164" t="inlineStr">
        <is>
          <t>의약품 제조업</t>
        </is>
      </c>
      <c r="P164" t="inlineStr">
        <is>
          <t>듀오로반정, 발디핀정, 아트로반정 등</t>
        </is>
      </c>
      <c r="Q164" t="inlineStr">
        <is>
          <t>류기성, 김경훈(각자 대표)</t>
        </is>
      </c>
      <c r="R164" t="inlineStr">
        <is>
          <t>http://www.kdpharma.co.kr</t>
        </is>
      </c>
      <c r="S164" t="inlineStr">
        <is>
          <t>경기도</t>
        </is>
      </c>
    </row>
    <row r="165">
      <c r="A165" t="inlineStr">
        <is>
          <t>C164</t>
        </is>
      </c>
      <c r="B165" t="inlineStr">
        <is>
          <t>조아제약</t>
        </is>
      </c>
      <c r="C165" t="inlineStr">
        <is>
          <t>조아제약(주)</t>
        </is>
      </c>
      <c r="D165">
        <f>COUNTIF(SITE!$B$2:$B$573,B165)</f>
        <v/>
      </c>
      <c r="E165">
        <f>SUMIFS(SITE!$H$2:$H$573,SITE!$B$2:$B$573,B165)</f>
        <v/>
      </c>
      <c r="F165">
        <f>IF(COUNTIFS(SITE!$B$2:$B$573,B165,SITE!$E$2:$E$573,"완제의약품")&gt;0,"Y","")</f>
        <v/>
      </c>
      <c r="G165">
        <f>IF(COUNTIFS(SITE!$B$2:$B$573,B165,SITE!$E$2:$E$573,"원료의약품")&gt;0,"Y","")</f>
        <v/>
      </c>
      <c r="H165">
        <f>IF(COUNTIFS(SITE!$B$2:$B$573,B165,SITE!$I$2:$I$573,"Y")&gt;0,"Y","")</f>
        <v/>
      </c>
      <c r="I165">
        <f>IF(COUNTIFS(SITE!$B$2:$B$573,B165,SITE!$J$2:$J$573,"Y")&gt;0,"Y","")</f>
        <v/>
      </c>
      <c r="J165">
        <f>MINIFS(SITE!$G$2:$G$573,SITE!$B$2:$B$573,B165)</f>
        <v/>
      </c>
      <c r="K165">
        <f>IF(J165-TODAY()&lt;183,"임박","")</f>
        <v/>
      </c>
      <c r="L165" t="inlineStr">
        <is>
          <t>Y</t>
        </is>
      </c>
      <c r="M165" t="inlineStr">
        <is>
          <t>코스닥</t>
        </is>
      </c>
      <c r="N165" t="inlineStr">
        <is>
          <t>034940</t>
        </is>
      </c>
      <c r="O165" t="inlineStr">
        <is>
          <t>의약품 제조업</t>
        </is>
      </c>
      <c r="P165" t="inlineStr">
        <is>
          <t>의약품,의약부외품,보건보조식품,위생용품의제조판매</t>
        </is>
      </c>
      <c r="Q165" t="inlineStr">
        <is>
          <t>조성환, 조성배(각자대표)</t>
        </is>
      </c>
      <c r="R165" t="inlineStr">
        <is>
          <t>http://www.choa.co.kr</t>
        </is>
      </c>
      <c r="S165" t="inlineStr">
        <is>
          <t>서울특별시</t>
        </is>
      </c>
    </row>
    <row r="166">
      <c r="A166" t="inlineStr">
        <is>
          <t>C165</t>
        </is>
      </c>
      <c r="B166" t="inlineStr">
        <is>
          <t>이니스트에스티</t>
        </is>
      </c>
      <c r="C166" t="inlineStr">
        <is>
          <t>이니스트에스티(주)</t>
        </is>
      </c>
      <c r="D166">
        <f>COUNTIF(SITE!$B$2:$B$573,B166)</f>
        <v/>
      </c>
      <c r="E166">
        <f>SUMIFS(SITE!$H$2:$H$573,SITE!$B$2:$B$573,B166)</f>
        <v/>
      </c>
      <c r="F166">
        <f>IF(COUNTIFS(SITE!$B$2:$B$573,B166,SITE!$E$2:$E$573,"완제의약품")&gt;0,"Y","")</f>
        <v/>
      </c>
      <c r="G166">
        <f>IF(COUNTIFS(SITE!$B$2:$B$573,B166,SITE!$E$2:$E$573,"원료의약품")&gt;0,"Y","")</f>
        <v/>
      </c>
      <c r="H166">
        <f>IF(COUNTIFS(SITE!$B$2:$B$573,B166,SITE!$I$2:$I$573,"Y")&gt;0,"Y","")</f>
        <v/>
      </c>
      <c r="I166">
        <f>IF(COUNTIFS(SITE!$B$2:$B$573,B166,SITE!$J$2:$J$573,"Y")&gt;0,"Y","")</f>
        <v/>
      </c>
      <c r="J166">
        <f>MINIFS(SITE!$G$2:$G$573,SITE!$B$2:$B$573,B166)</f>
        <v/>
      </c>
      <c r="K166">
        <f>IF(J166-TODAY()&lt;183,"임박","")</f>
        <v/>
      </c>
    </row>
    <row r="167">
      <c r="A167" t="inlineStr">
        <is>
          <t>C166</t>
        </is>
      </c>
      <c r="B167" t="inlineStr">
        <is>
          <t>태을산업가스</t>
        </is>
      </c>
      <c r="C167" t="inlineStr">
        <is>
          <t>태을산업가스(주)</t>
        </is>
      </c>
      <c r="D167">
        <f>COUNTIF(SITE!$B$2:$B$573,B167)</f>
        <v/>
      </c>
      <c r="E167">
        <f>SUMIFS(SITE!$H$2:$H$573,SITE!$B$2:$B$573,B167)</f>
        <v/>
      </c>
      <c r="F167">
        <f>IF(COUNTIFS(SITE!$B$2:$B$573,B167,SITE!$E$2:$E$573,"완제의약품")&gt;0,"Y","")</f>
        <v/>
      </c>
      <c r="G167">
        <f>IF(COUNTIFS(SITE!$B$2:$B$573,B167,SITE!$E$2:$E$573,"원료의약품")&gt;0,"Y","")</f>
        <v/>
      </c>
      <c r="H167">
        <f>IF(COUNTIFS(SITE!$B$2:$B$573,B167,SITE!$I$2:$I$573,"Y")&gt;0,"Y","")</f>
        <v/>
      </c>
      <c r="I167">
        <f>IF(COUNTIFS(SITE!$B$2:$B$573,B167,SITE!$J$2:$J$573,"Y")&gt;0,"Y","")</f>
        <v/>
      </c>
      <c r="J167">
        <f>MINIFS(SITE!$G$2:$G$573,SITE!$B$2:$B$573,B167)</f>
        <v/>
      </c>
      <c r="K167">
        <f>IF(J167-TODAY()&lt;183,"임박","")</f>
        <v/>
      </c>
    </row>
    <row r="168">
      <c r="A168" t="inlineStr">
        <is>
          <t>C167</t>
        </is>
      </c>
      <c r="B168" t="inlineStr">
        <is>
          <t>대창가스</t>
        </is>
      </c>
      <c r="C168" t="inlineStr">
        <is>
          <t>(주)대창가스</t>
        </is>
      </c>
      <c r="D168">
        <f>COUNTIF(SITE!$B$2:$B$573,B168)</f>
        <v/>
      </c>
      <c r="E168">
        <f>SUMIFS(SITE!$H$2:$H$573,SITE!$B$2:$B$573,B168)</f>
        <v/>
      </c>
      <c r="F168">
        <f>IF(COUNTIFS(SITE!$B$2:$B$573,B168,SITE!$E$2:$E$573,"완제의약품")&gt;0,"Y","")</f>
        <v/>
      </c>
      <c r="G168">
        <f>IF(COUNTIFS(SITE!$B$2:$B$573,B168,SITE!$E$2:$E$573,"원료의약품")&gt;0,"Y","")</f>
        <v/>
      </c>
      <c r="H168">
        <f>IF(COUNTIFS(SITE!$B$2:$B$573,B168,SITE!$I$2:$I$573,"Y")&gt;0,"Y","")</f>
        <v/>
      </c>
      <c r="I168">
        <f>IF(COUNTIFS(SITE!$B$2:$B$573,B168,SITE!$J$2:$J$573,"Y")&gt;0,"Y","")</f>
        <v/>
      </c>
      <c r="J168">
        <f>MINIFS(SITE!$G$2:$G$573,SITE!$B$2:$B$573,B168)</f>
        <v/>
      </c>
      <c r="K168">
        <f>IF(J168-TODAY()&lt;183,"임박","")</f>
        <v/>
      </c>
    </row>
    <row r="169">
      <c r="A169" t="inlineStr">
        <is>
          <t>C168</t>
        </is>
      </c>
      <c r="B169" t="inlineStr">
        <is>
          <t>중부산업가스</t>
        </is>
      </c>
      <c r="C169" t="inlineStr">
        <is>
          <t>중부산업가스(주)</t>
        </is>
      </c>
      <c r="D169">
        <f>COUNTIF(SITE!$B$2:$B$573,B169)</f>
        <v/>
      </c>
      <c r="E169">
        <f>SUMIFS(SITE!$H$2:$H$573,SITE!$B$2:$B$573,B169)</f>
        <v/>
      </c>
      <c r="F169">
        <f>IF(COUNTIFS(SITE!$B$2:$B$573,B169,SITE!$E$2:$E$573,"완제의약품")&gt;0,"Y","")</f>
        <v/>
      </c>
      <c r="G169">
        <f>IF(COUNTIFS(SITE!$B$2:$B$573,B169,SITE!$E$2:$E$573,"원료의약품")&gt;0,"Y","")</f>
        <v/>
      </c>
      <c r="H169">
        <f>IF(COUNTIFS(SITE!$B$2:$B$573,B169,SITE!$I$2:$I$573,"Y")&gt;0,"Y","")</f>
        <v/>
      </c>
      <c r="I169">
        <f>IF(COUNTIFS(SITE!$B$2:$B$573,B169,SITE!$J$2:$J$573,"Y")&gt;0,"Y","")</f>
        <v/>
      </c>
      <c r="J169">
        <f>MINIFS(SITE!$G$2:$G$573,SITE!$B$2:$B$573,B169)</f>
        <v/>
      </c>
      <c r="K169">
        <f>IF(J169-TODAY()&lt;183,"임박","")</f>
        <v/>
      </c>
    </row>
    <row r="170">
      <c r="A170" t="inlineStr">
        <is>
          <t>C169</t>
        </is>
      </c>
      <c r="B170" t="inlineStr">
        <is>
          <t>한국한의약진흥원</t>
        </is>
      </c>
      <c r="C170" t="inlineStr">
        <is>
          <t>한국한의약진흥원</t>
        </is>
      </c>
      <c r="D170">
        <f>COUNTIF(SITE!$B$2:$B$573,B170)</f>
        <v/>
      </c>
      <c r="E170">
        <f>SUMIFS(SITE!$H$2:$H$573,SITE!$B$2:$B$573,B170)</f>
        <v/>
      </c>
      <c r="F170">
        <f>IF(COUNTIFS(SITE!$B$2:$B$573,B170,SITE!$E$2:$E$573,"완제의약품")&gt;0,"Y","")</f>
        <v/>
      </c>
      <c r="G170">
        <f>IF(COUNTIFS(SITE!$B$2:$B$573,B170,SITE!$E$2:$E$573,"원료의약품")&gt;0,"Y","")</f>
        <v/>
      </c>
      <c r="H170">
        <f>IF(COUNTIFS(SITE!$B$2:$B$573,B170,SITE!$I$2:$I$573,"Y")&gt;0,"Y","")</f>
        <v/>
      </c>
      <c r="I170">
        <f>IF(COUNTIFS(SITE!$B$2:$B$573,B170,SITE!$J$2:$J$573,"Y")&gt;0,"Y","")</f>
        <v/>
      </c>
      <c r="J170">
        <f>MINIFS(SITE!$G$2:$G$573,SITE!$B$2:$B$573,B170)</f>
        <v/>
      </c>
      <c r="K170">
        <f>IF(J170-TODAY()&lt;183,"임박","")</f>
        <v/>
      </c>
    </row>
    <row r="171">
      <c r="A171" t="inlineStr">
        <is>
          <t>C170</t>
        </is>
      </c>
      <c r="B171" t="inlineStr">
        <is>
          <t>제이더블유생명과학</t>
        </is>
      </c>
      <c r="C171" t="inlineStr">
        <is>
          <t>제이더블유생명과학(주)</t>
        </is>
      </c>
      <c r="D171">
        <f>COUNTIF(SITE!$B$2:$B$573,B171)</f>
        <v/>
      </c>
      <c r="E171">
        <f>SUMIFS(SITE!$H$2:$H$573,SITE!$B$2:$B$573,B171)</f>
        <v/>
      </c>
      <c r="F171">
        <f>IF(COUNTIFS(SITE!$B$2:$B$573,B171,SITE!$E$2:$E$573,"완제의약품")&gt;0,"Y","")</f>
        <v/>
      </c>
      <c r="G171">
        <f>IF(COUNTIFS(SITE!$B$2:$B$573,B171,SITE!$E$2:$E$573,"원료의약품")&gt;0,"Y","")</f>
        <v/>
      </c>
      <c r="H171">
        <f>IF(COUNTIFS(SITE!$B$2:$B$573,B171,SITE!$I$2:$I$573,"Y")&gt;0,"Y","")</f>
        <v/>
      </c>
      <c r="I171">
        <f>IF(COUNTIFS(SITE!$B$2:$B$573,B171,SITE!$J$2:$J$573,"Y")&gt;0,"Y","")</f>
        <v/>
      </c>
      <c r="J171">
        <f>MINIFS(SITE!$G$2:$G$573,SITE!$B$2:$B$573,B171)</f>
        <v/>
      </c>
      <c r="K171">
        <f>IF(J171-TODAY()&lt;183,"임박","")</f>
        <v/>
      </c>
    </row>
    <row r="172">
      <c r="A172" t="inlineStr">
        <is>
          <t>C171</t>
        </is>
      </c>
      <c r="B172" t="inlineStr">
        <is>
          <t>일동제약</t>
        </is>
      </c>
      <c r="C172" t="inlineStr">
        <is>
          <t>일동제약(주)</t>
        </is>
      </c>
      <c r="D172">
        <f>COUNTIF(SITE!$B$2:$B$573,B172)</f>
        <v/>
      </c>
      <c r="E172">
        <f>SUMIFS(SITE!$H$2:$H$573,SITE!$B$2:$B$573,B172)</f>
        <v/>
      </c>
      <c r="F172">
        <f>IF(COUNTIFS(SITE!$B$2:$B$573,B172,SITE!$E$2:$E$573,"완제의약품")&gt;0,"Y","")</f>
        <v/>
      </c>
      <c r="G172">
        <f>IF(COUNTIFS(SITE!$B$2:$B$573,B172,SITE!$E$2:$E$573,"원료의약품")&gt;0,"Y","")</f>
        <v/>
      </c>
      <c r="H172">
        <f>IF(COUNTIFS(SITE!$B$2:$B$573,B172,SITE!$I$2:$I$573,"Y")&gt;0,"Y","")</f>
        <v/>
      </c>
      <c r="I172">
        <f>IF(COUNTIFS(SITE!$B$2:$B$573,B172,SITE!$J$2:$J$573,"Y")&gt;0,"Y","")</f>
        <v/>
      </c>
      <c r="J172">
        <f>MINIFS(SITE!$G$2:$G$573,SITE!$B$2:$B$573,B172)</f>
        <v/>
      </c>
      <c r="K172">
        <f>IF(J172-TODAY()&lt;183,"임박","")</f>
        <v/>
      </c>
      <c r="L172" t="inlineStr">
        <is>
          <t>Y</t>
        </is>
      </c>
      <c r="M172" t="inlineStr">
        <is>
          <t>유가</t>
        </is>
      </c>
      <c r="N172" t="inlineStr">
        <is>
          <t>249420</t>
        </is>
      </c>
      <c r="O172" t="inlineStr">
        <is>
          <t>의약품 제조업</t>
        </is>
      </c>
      <c r="P172" t="inlineStr">
        <is>
          <t>아로나민, 후루마린, 큐란, 라비에트, 사미온 등</t>
        </is>
      </c>
      <c r="Q172" t="inlineStr">
        <is>
          <t>윤웅섭, 이재준(공동 대표이사)</t>
        </is>
      </c>
      <c r="R172" t="inlineStr">
        <is>
          <t>http://www.ildong.com</t>
        </is>
      </c>
      <c r="S172" t="inlineStr">
        <is>
          <t>서울특별시</t>
        </is>
      </c>
    </row>
    <row r="173">
      <c r="A173" t="inlineStr">
        <is>
          <t>C172</t>
        </is>
      </c>
      <c r="B173" t="inlineStr">
        <is>
          <t>린데코리아</t>
        </is>
      </c>
      <c r="C173" t="inlineStr">
        <is>
          <t>린데코리아주식회사</t>
        </is>
      </c>
      <c r="D173">
        <f>COUNTIF(SITE!$B$2:$B$573,B173)</f>
        <v/>
      </c>
      <c r="E173">
        <f>SUMIFS(SITE!$H$2:$H$573,SITE!$B$2:$B$573,B173)</f>
        <v/>
      </c>
      <c r="F173">
        <f>IF(COUNTIFS(SITE!$B$2:$B$573,B173,SITE!$E$2:$E$573,"완제의약품")&gt;0,"Y","")</f>
        <v/>
      </c>
      <c r="G173">
        <f>IF(COUNTIFS(SITE!$B$2:$B$573,B173,SITE!$E$2:$E$573,"원료의약품")&gt;0,"Y","")</f>
        <v/>
      </c>
      <c r="H173">
        <f>IF(COUNTIFS(SITE!$B$2:$B$573,B173,SITE!$I$2:$I$573,"Y")&gt;0,"Y","")</f>
        <v/>
      </c>
      <c r="I173">
        <f>IF(COUNTIFS(SITE!$B$2:$B$573,B173,SITE!$J$2:$J$573,"Y")&gt;0,"Y","")</f>
        <v/>
      </c>
      <c r="J173">
        <f>MINIFS(SITE!$G$2:$G$573,SITE!$B$2:$B$573,B173)</f>
        <v/>
      </c>
      <c r="K173">
        <f>IF(J173-TODAY()&lt;183,"임박","")</f>
        <v/>
      </c>
    </row>
    <row r="174">
      <c r="A174" t="inlineStr">
        <is>
          <t>C173</t>
        </is>
      </c>
      <c r="B174" t="inlineStr">
        <is>
          <t>이화산소</t>
        </is>
      </c>
      <c r="C174" t="inlineStr">
        <is>
          <t>이화산소(주)</t>
        </is>
      </c>
      <c r="D174">
        <f>COUNTIF(SITE!$B$2:$B$573,B174)</f>
        <v/>
      </c>
      <c r="E174">
        <f>SUMIFS(SITE!$H$2:$H$573,SITE!$B$2:$B$573,B174)</f>
        <v/>
      </c>
      <c r="F174">
        <f>IF(COUNTIFS(SITE!$B$2:$B$573,B174,SITE!$E$2:$E$573,"완제의약품")&gt;0,"Y","")</f>
        <v/>
      </c>
      <c r="G174">
        <f>IF(COUNTIFS(SITE!$B$2:$B$573,B174,SITE!$E$2:$E$573,"원료의약품")&gt;0,"Y","")</f>
        <v/>
      </c>
      <c r="H174">
        <f>IF(COUNTIFS(SITE!$B$2:$B$573,B174,SITE!$I$2:$I$573,"Y")&gt;0,"Y","")</f>
        <v/>
      </c>
      <c r="I174">
        <f>IF(COUNTIFS(SITE!$B$2:$B$573,B174,SITE!$J$2:$J$573,"Y")&gt;0,"Y","")</f>
        <v/>
      </c>
      <c r="J174">
        <f>MINIFS(SITE!$G$2:$G$573,SITE!$B$2:$B$573,B174)</f>
        <v/>
      </c>
      <c r="K174">
        <f>IF(J174-TODAY()&lt;183,"임박","")</f>
        <v/>
      </c>
    </row>
    <row r="175">
      <c r="A175" t="inlineStr">
        <is>
          <t>C174</t>
        </is>
      </c>
      <c r="B175" t="inlineStr">
        <is>
          <t>루텍</t>
        </is>
      </c>
      <c r="C175" t="inlineStr">
        <is>
          <t>(주)루텍</t>
        </is>
      </c>
      <c r="D175">
        <f>COUNTIF(SITE!$B$2:$B$573,B175)</f>
        <v/>
      </c>
      <c r="E175">
        <f>SUMIFS(SITE!$H$2:$H$573,SITE!$B$2:$B$573,B175)</f>
        <v/>
      </c>
      <c r="F175">
        <f>IF(COUNTIFS(SITE!$B$2:$B$573,B175,SITE!$E$2:$E$573,"완제의약품")&gt;0,"Y","")</f>
        <v/>
      </c>
      <c r="G175">
        <f>IF(COUNTIFS(SITE!$B$2:$B$573,B175,SITE!$E$2:$E$573,"원료의약품")&gt;0,"Y","")</f>
        <v/>
      </c>
      <c r="H175">
        <f>IF(COUNTIFS(SITE!$B$2:$B$573,B175,SITE!$I$2:$I$573,"Y")&gt;0,"Y","")</f>
        <v/>
      </c>
      <c r="I175">
        <f>IF(COUNTIFS(SITE!$B$2:$B$573,B175,SITE!$J$2:$J$573,"Y")&gt;0,"Y","")</f>
        <v/>
      </c>
      <c r="J175">
        <f>MINIFS(SITE!$G$2:$G$573,SITE!$B$2:$B$573,B175)</f>
        <v/>
      </c>
      <c r="K175">
        <f>IF(J175-TODAY()&lt;183,"임박","")</f>
        <v/>
      </c>
    </row>
    <row r="176">
      <c r="A176" t="inlineStr">
        <is>
          <t>C175</t>
        </is>
      </c>
      <c r="B176" t="inlineStr">
        <is>
          <t>일성아이에스</t>
        </is>
      </c>
      <c r="C176" t="inlineStr">
        <is>
          <t>일성아이에스(주)</t>
        </is>
      </c>
      <c r="D176">
        <f>COUNTIF(SITE!$B$2:$B$573,B176)</f>
        <v/>
      </c>
      <c r="E176">
        <f>SUMIFS(SITE!$H$2:$H$573,SITE!$B$2:$B$573,B176)</f>
        <v/>
      </c>
      <c r="F176">
        <f>IF(COUNTIFS(SITE!$B$2:$B$573,B176,SITE!$E$2:$E$573,"완제의약품")&gt;0,"Y","")</f>
        <v/>
      </c>
      <c r="G176">
        <f>IF(COUNTIFS(SITE!$B$2:$B$573,B176,SITE!$E$2:$E$573,"원료의약품")&gt;0,"Y","")</f>
        <v/>
      </c>
      <c r="H176">
        <f>IF(COUNTIFS(SITE!$B$2:$B$573,B176,SITE!$I$2:$I$573,"Y")&gt;0,"Y","")</f>
        <v/>
      </c>
      <c r="I176">
        <f>IF(COUNTIFS(SITE!$B$2:$B$573,B176,SITE!$J$2:$J$573,"Y")&gt;0,"Y","")</f>
        <v/>
      </c>
      <c r="J176">
        <f>MINIFS(SITE!$G$2:$G$573,SITE!$B$2:$B$573,B176)</f>
        <v/>
      </c>
      <c r="K176">
        <f>IF(J176-TODAY()&lt;183,"임박","")</f>
        <v/>
      </c>
      <c r="L176" t="inlineStr">
        <is>
          <t>Y</t>
        </is>
      </c>
      <c r="M176" t="inlineStr">
        <is>
          <t>유가</t>
        </is>
      </c>
      <c r="N176" t="inlineStr">
        <is>
          <t>003120</t>
        </is>
      </c>
      <c r="O176" t="inlineStr">
        <is>
          <t>의약품 제조업</t>
        </is>
      </c>
      <c r="P176" t="inlineStr">
        <is>
          <t>의약품(항생제,화학료법제,항바이러스,근이완제,영양액륜) 제조,판매</t>
        </is>
      </c>
      <c r="Q176" t="inlineStr">
        <is>
          <t>윤석근, 엄대식, 윤종호(각자대표)</t>
        </is>
      </c>
      <c r="R176" t="inlineStr">
        <is>
          <t>http://www.ilsungis.com</t>
        </is>
      </c>
      <c r="S176" t="inlineStr">
        <is>
          <t>경기도</t>
        </is>
      </c>
    </row>
    <row r="177">
      <c r="A177" t="inlineStr">
        <is>
          <t>C176</t>
        </is>
      </c>
      <c r="B177" t="inlineStr">
        <is>
          <t>씨에이치디제약</t>
        </is>
      </c>
      <c r="C177" t="inlineStr">
        <is>
          <t>씨에이치디제약주식회사</t>
        </is>
      </c>
      <c r="D177">
        <f>COUNTIF(SITE!$B$2:$B$573,B177)</f>
        <v/>
      </c>
      <c r="E177">
        <f>SUMIFS(SITE!$H$2:$H$573,SITE!$B$2:$B$573,B177)</f>
        <v/>
      </c>
      <c r="F177">
        <f>IF(COUNTIFS(SITE!$B$2:$B$573,B177,SITE!$E$2:$E$573,"완제의약품")&gt;0,"Y","")</f>
        <v/>
      </c>
      <c r="G177">
        <f>IF(COUNTIFS(SITE!$B$2:$B$573,B177,SITE!$E$2:$E$573,"원료의약품")&gt;0,"Y","")</f>
        <v/>
      </c>
      <c r="H177">
        <f>IF(COUNTIFS(SITE!$B$2:$B$573,B177,SITE!$I$2:$I$573,"Y")&gt;0,"Y","")</f>
        <v/>
      </c>
      <c r="I177">
        <f>IF(COUNTIFS(SITE!$B$2:$B$573,B177,SITE!$J$2:$J$573,"Y")&gt;0,"Y","")</f>
        <v/>
      </c>
      <c r="J177">
        <f>MINIFS(SITE!$G$2:$G$573,SITE!$B$2:$B$573,B177)</f>
        <v/>
      </c>
      <c r="K177">
        <f>IF(J177-TODAY()&lt;183,"임박","")</f>
        <v/>
      </c>
    </row>
    <row r="178">
      <c r="A178" t="inlineStr">
        <is>
          <t>C177</t>
        </is>
      </c>
      <c r="B178" t="inlineStr">
        <is>
          <t>제뉴파마</t>
        </is>
      </c>
      <c r="C178" t="inlineStr">
        <is>
          <t>(주)제뉴파마</t>
        </is>
      </c>
      <c r="D178">
        <f>COUNTIF(SITE!$B$2:$B$573,B178)</f>
        <v/>
      </c>
      <c r="E178">
        <f>SUMIFS(SITE!$H$2:$H$573,SITE!$B$2:$B$573,B178)</f>
        <v/>
      </c>
      <c r="F178">
        <f>IF(COUNTIFS(SITE!$B$2:$B$573,B178,SITE!$E$2:$E$573,"완제의약품")&gt;0,"Y","")</f>
        <v/>
      </c>
      <c r="G178">
        <f>IF(COUNTIFS(SITE!$B$2:$B$573,B178,SITE!$E$2:$E$573,"원료의약품")&gt;0,"Y","")</f>
        <v/>
      </c>
      <c r="H178">
        <f>IF(COUNTIFS(SITE!$B$2:$B$573,B178,SITE!$I$2:$I$573,"Y")&gt;0,"Y","")</f>
        <v/>
      </c>
      <c r="I178">
        <f>IF(COUNTIFS(SITE!$B$2:$B$573,B178,SITE!$J$2:$J$573,"Y")&gt;0,"Y","")</f>
        <v/>
      </c>
      <c r="J178">
        <f>MINIFS(SITE!$G$2:$G$573,SITE!$B$2:$B$573,B178)</f>
        <v/>
      </c>
      <c r="K178">
        <f>IF(J178-TODAY()&lt;183,"임박","")</f>
        <v/>
      </c>
    </row>
    <row r="179">
      <c r="A179" t="inlineStr">
        <is>
          <t>C178</t>
        </is>
      </c>
      <c r="B179" t="inlineStr">
        <is>
          <t>에어가스코리아</t>
        </is>
      </c>
      <c r="C179" t="inlineStr">
        <is>
          <t>주식회사에어가스코리아</t>
        </is>
      </c>
      <c r="D179">
        <f>COUNTIF(SITE!$B$2:$B$573,B179)</f>
        <v/>
      </c>
      <c r="E179">
        <f>SUMIFS(SITE!$H$2:$H$573,SITE!$B$2:$B$573,B179)</f>
        <v/>
      </c>
      <c r="F179">
        <f>IF(COUNTIFS(SITE!$B$2:$B$573,B179,SITE!$E$2:$E$573,"완제의약품")&gt;0,"Y","")</f>
        <v/>
      </c>
      <c r="G179">
        <f>IF(COUNTIFS(SITE!$B$2:$B$573,B179,SITE!$E$2:$E$573,"원료의약품")&gt;0,"Y","")</f>
        <v/>
      </c>
      <c r="H179">
        <f>IF(COUNTIFS(SITE!$B$2:$B$573,B179,SITE!$I$2:$I$573,"Y")&gt;0,"Y","")</f>
        <v/>
      </c>
      <c r="I179">
        <f>IF(COUNTIFS(SITE!$B$2:$B$573,B179,SITE!$J$2:$J$573,"Y")&gt;0,"Y","")</f>
        <v/>
      </c>
      <c r="J179">
        <f>MINIFS(SITE!$G$2:$G$573,SITE!$B$2:$B$573,B179)</f>
        <v/>
      </c>
      <c r="K179">
        <f>IF(J179-TODAY()&lt;183,"임박","")</f>
        <v/>
      </c>
    </row>
    <row r="180">
      <c r="A180" t="inlineStr">
        <is>
          <t>C179</t>
        </is>
      </c>
      <c r="B180" t="inlineStr">
        <is>
          <t>오스템파마</t>
        </is>
      </c>
      <c r="C180" t="inlineStr">
        <is>
          <t>오스템파마주식회사</t>
        </is>
      </c>
      <c r="D180">
        <f>COUNTIF(SITE!$B$2:$B$573,B180)</f>
        <v/>
      </c>
      <c r="E180">
        <f>SUMIFS(SITE!$H$2:$H$573,SITE!$B$2:$B$573,B180)</f>
        <v/>
      </c>
      <c r="F180">
        <f>IF(COUNTIFS(SITE!$B$2:$B$573,B180,SITE!$E$2:$E$573,"완제의약품")&gt;0,"Y","")</f>
        <v/>
      </c>
      <c r="G180">
        <f>IF(COUNTIFS(SITE!$B$2:$B$573,B180,SITE!$E$2:$E$573,"원료의약품")&gt;0,"Y","")</f>
        <v/>
      </c>
      <c r="H180">
        <f>IF(COUNTIFS(SITE!$B$2:$B$573,B180,SITE!$I$2:$I$573,"Y")&gt;0,"Y","")</f>
        <v/>
      </c>
      <c r="I180">
        <f>IF(COUNTIFS(SITE!$B$2:$B$573,B180,SITE!$J$2:$J$573,"Y")&gt;0,"Y","")</f>
        <v/>
      </c>
      <c r="J180">
        <f>MINIFS(SITE!$G$2:$G$573,SITE!$B$2:$B$573,B180)</f>
        <v/>
      </c>
      <c r="K180">
        <f>IF(J180-TODAY()&lt;183,"임박","")</f>
        <v/>
      </c>
    </row>
    <row r="181">
      <c r="A181" t="inlineStr">
        <is>
          <t>C180</t>
        </is>
      </c>
      <c r="B181" t="inlineStr">
        <is>
          <t>동국제약</t>
        </is>
      </c>
      <c r="C181" t="inlineStr">
        <is>
          <t>동국제약(주)</t>
        </is>
      </c>
      <c r="D181">
        <f>COUNTIF(SITE!$B$2:$B$573,B181)</f>
        <v/>
      </c>
      <c r="E181">
        <f>SUMIFS(SITE!$H$2:$H$573,SITE!$B$2:$B$573,B181)</f>
        <v/>
      </c>
      <c r="F181">
        <f>IF(COUNTIFS(SITE!$B$2:$B$573,B181,SITE!$E$2:$E$573,"완제의약품")&gt;0,"Y","")</f>
        <v/>
      </c>
      <c r="G181">
        <f>IF(COUNTIFS(SITE!$B$2:$B$573,B181,SITE!$E$2:$E$573,"원료의약품")&gt;0,"Y","")</f>
        <v/>
      </c>
      <c r="H181">
        <f>IF(COUNTIFS(SITE!$B$2:$B$573,B181,SITE!$I$2:$I$573,"Y")&gt;0,"Y","")</f>
        <v/>
      </c>
      <c r="I181">
        <f>IF(COUNTIFS(SITE!$B$2:$B$573,B181,SITE!$J$2:$J$573,"Y")&gt;0,"Y","")</f>
        <v/>
      </c>
      <c r="J181">
        <f>MINIFS(SITE!$G$2:$G$573,SITE!$B$2:$B$573,B181)</f>
        <v/>
      </c>
      <c r="K181">
        <f>IF(J181-TODAY()&lt;183,"임박","")</f>
        <v/>
      </c>
      <c r="L181" t="inlineStr">
        <is>
          <t>Y</t>
        </is>
      </c>
      <c r="M181" t="inlineStr">
        <is>
          <t>코스닥</t>
        </is>
      </c>
      <c r="N181" t="inlineStr">
        <is>
          <t>086450</t>
        </is>
      </c>
      <c r="O181" t="inlineStr">
        <is>
          <t>의약품 제조업</t>
        </is>
      </c>
      <c r="P181" t="inlineStr">
        <is>
          <t>인사돌, 복합마데카솔, 파미레이</t>
        </is>
      </c>
      <c r="Q181" t="inlineStr">
        <is>
          <t>송준호</t>
        </is>
      </c>
      <c r="R181" t="inlineStr">
        <is>
          <t>http://www.dkpharm.co.kr</t>
        </is>
      </c>
      <c r="S181" t="inlineStr">
        <is>
          <t>서울특별시</t>
        </is>
      </c>
    </row>
    <row r="182">
      <c r="A182" t="inlineStr">
        <is>
          <t>C181</t>
        </is>
      </c>
      <c r="B182" t="inlineStr">
        <is>
          <t>나이벡</t>
        </is>
      </c>
      <c r="C182" t="inlineStr">
        <is>
          <t>(주)나이벡</t>
        </is>
      </c>
      <c r="D182">
        <f>COUNTIF(SITE!$B$2:$B$573,B182)</f>
        <v/>
      </c>
      <c r="E182">
        <f>SUMIFS(SITE!$H$2:$H$573,SITE!$B$2:$B$573,B182)</f>
        <v/>
      </c>
      <c r="F182">
        <f>IF(COUNTIFS(SITE!$B$2:$B$573,B182,SITE!$E$2:$E$573,"완제의약품")&gt;0,"Y","")</f>
        <v/>
      </c>
      <c r="G182">
        <f>IF(COUNTIFS(SITE!$B$2:$B$573,B182,SITE!$E$2:$E$573,"원료의약품")&gt;0,"Y","")</f>
        <v/>
      </c>
      <c r="H182">
        <f>IF(COUNTIFS(SITE!$B$2:$B$573,B182,SITE!$I$2:$I$573,"Y")&gt;0,"Y","")</f>
        <v/>
      </c>
      <c r="I182">
        <f>IF(COUNTIFS(SITE!$B$2:$B$573,B182,SITE!$J$2:$J$573,"Y")&gt;0,"Y","")</f>
        <v/>
      </c>
      <c r="J182">
        <f>MINIFS(SITE!$G$2:$G$573,SITE!$B$2:$B$573,B182)</f>
        <v/>
      </c>
      <c r="K182">
        <f>IF(J182-TODAY()&lt;183,"임박","")</f>
        <v/>
      </c>
      <c r="L182" t="inlineStr">
        <is>
          <t>Y</t>
        </is>
      </c>
      <c r="M182" t="inlineStr">
        <is>
          <t>코스닥</t>
        </is>
      </c>
      <c r="N182" t="inlineStr">
        <is>
          <t>138610</t>
        </is>
      </c>
      <c r="O182" t="inlineStr">
        <is>
          <t>의료용품 및 기타 의약 관련제품 제조업</t>
        </is>
      </c>
      <c r="P182" t="inlineStr">
        <is>
          <t>치아미백제,치과용 골이식재</t>
        </is>
      </c>
      <c r="Q182" t="inlineStr">
        <is>
          <t>정종평</t>
        </is>
      </c>
      <c r="S182" t="inlineStr">
        <is>
          <t>충청북도</t>
        </is>
      </c>
    </row>
    <row r="183">
      <c r="A183" t="inlineStr">
        <is>
          <t>C182</t>
        </is>
      </c>
      <c r="B183" t="inlineStr">
        <is>
          <t>한림제약</t>
        </is>
      </c>
      <c r="C183" t="inlineStr">
        <is>
          <t>한림제약(주)</t>
        </is>
      </c>
      <c r="D183">
        <f>COUNTIF(SITE!$B$2:$B$573,B183)</f>
        <v/>
      </c>
      <c r="E183">
        <f>SUMIFS(SITE!$H$2:$H$573,SITE!$B$2:$B$573,B183)</f>
        <v/>
      </c>
      <c r="F183">
        <f>IF(COUNTIFS(SITE!$B$2:$B$573,B183,SITE!$E$2:$E$573,"완제의약품")&gt;0,"Y","")</f>
        <v/>
      </c>
      <c r="G183">
        <f>IF(COUNTIFS(SITE!$B$2:$B$573,B183,SITE!$E$2:$E$573,"원료의약품")&gt;0,"Y","")</f>
        <v/>
      </c>
      <c r="H183">
        <f>IF(COUNTIFS(SITE!$B$2:$B$573,B183,SITE!$I$2:$I$573,"Y")&gt;0,"Y","")</f>
        <v/>
      </c>
      <c r="I183">
        <f>IF(COUNTIFS(SITE!$B$2:$B$573,B183,SITE!$J$2:$J$573,"Y")&gt;0,"Y","")</f>
        <v/>
      </c>
      <c r="J183">
        <f>MINIFS(SITE!$G$2:$G$573,SITE!$B$2:$B$573,B183)</f>
        <v/>
      </c>
      <c r="K183">
        <f>IF(J183-TODAY()&lt;183,"임박","")</f>
        <v/>
      </c>
    </row>
    <row r="184">
      <c r="A184" t="inlineStr">
        <is>
          <t>C183</t>
        </is>
      </c>
      <c r="B184" t="inlineStr">
        <is>
          <t>엘지화학</t>
        </is>
      </c>
      <c r="C184" t="inlineStr">
        <is>
          <t>(주)엘지화학</t>
        </is>
      </c>
      <c r="D184">
        <f>COUNTIF(SITE!$B$2:$B$573,B184)</f>
        <v/>
      </c>
      <c r="E184">
        <f>SUMIFS(SITE!$H$2:$H$573,SITE!$B$2:$B$573,B184)</f>
        <v/>
      </c>
      <c r="F184">
        <f>IF(COUNTIFS(SITE!$B$2:$B$573,B184,SITE!$E$2:$E$573,"완제의약품")&gt;0,"Y","")</f>
        <v/>
      </c>
      <c r="G184">
        <f>IF(COUNTIFS(SITE!$B$2:$B$573,B184,SITE!$E$2:$E$573,"원료의약품")&gt;0,"Y","")</f>
        <v/>
      </c>
      <c r="H184">
        <f>IF(COUNTIFS(SITE!$B$2:$B$573,B184,SITE!$I$2:$I$573,"Y")&gt;0,"Y","")</f>
        <v/>
      </c>
      <c r="I184">
        <f>IF(COUNTIFS(SITE!$B$2:$B$573,B184,SITE!$J$2:$J$573,"Y")&gt;0,"Y","")</f>
        <v/>
      </c>
      <c r="J184">
        <f>MINIFS(SITE!$G$2:$G$573,SITE!$B$2:$B$573,B184)</f>
        <v/>
      </c>
      <c r="K184">
        <f>IF(J184-TODAY()&lt;183,"임박","")</f>
        <v/>
      </c>
    </row>
    <row r="185">
      <c r="A185" t="inlineStr">
        <is>
          <t>C184</t>
        </is>
      </c>
      <c r="B185" t="inlineStr">
        <is>
          <t>유앤생명과학</t>
        </is>
      </c>
      <c r="C185" t="inlineStr">
        <is>
          <t>(주)유앤생명과학</t>
        </is>
      </c>
      <c r="D185">
        <f>COUNTIF(SITE!$B$2:$B$573,B185)</f>
        <v/>
      </c>
      <c r="E185">
        <f>SUMIFS(SITE!$H$2:$H$573,SITE!$B$2:$B$573,B185)</f>
        <v/>
      </c>
      <c r="F185">
        <f>IF(COUNTIFS(SITE!$B$2:$B$573,B185,SITE!$E$2:$E$573,"완제의약품")&gt;0,"Y","")</f>
        <v/>
      </c>
      <c r="G185">
        <f>IF(COUNTIFS(SITE!$B$2:$B$573,B185,SITE!$E$2:$E$573,"원료의약품")&gt;0,"Y","")</f>
        <v/>
      </c>
      <c r="H185">
        <f>IF(COUNTIFS(SITE!$B$2:$B$573,B185,SITE!$I$2:$I$573,"Y")&gt;0,"Y","")</f>
        <v/>
      </c>
      <c r="I185">
        <f>IF(COUNTIFS(SITE!$B$2:$B$573,B185,SITE!$J$2:$J$573,"Y")&gt;0,"Y","")</f>
        <v/>
      </c>
      <c r="J185">
        <f>MINIFS(SITE!$G$2:$G$573,SITE!$B$2:$B$573,B185)</f>
        <v/>
      </c>
      <c r="K185">
        <f>IF(J185-TODAY()&lt;183,"임박","")</f>
        <v/>
      </c>
    </row>
    <row r="186">
      <c r="A186" t="inlineStr">
        <is>
          <t>C185</t>
        </is>
      </c>
      <c r="B186" t="inlineStr">
        <is>
          <t>한국파마</t>
        </is>
      </c>
      <c r="C186" t="inlineStr">
        <is>
          <t>(주)한국파마</t>
        </is>
      </c>
      <c r="D186">
        <f>COUNTIF(SITE!$B$2:$B$573,B186)</f>
        <v/>
      </c>
      <c r="E186">
        <f>SUMIFS(SITE!$H$2:$H$573,SITE!$B$2:$B$573,B186)</f>
        <v/>
      </c>
      <c r="F186">
        <f>IF(COUNTIFS(SITE!$B$2:$B$573,B186,SITE!$E$2:$E$573,"완제의약품")&gt;0,"Y","")</f>
        <v/>
      </c>
      <c r="G186">
        <f>IF(COUNTIFS(SITE!$B$2:$B$573,B186,SITE!$E$2:$E$573,"원료의약품")&gt;0,"Y","")</f>
        <v/>
      </c>
      <c r="H186">
        <f>IF(COUNTIFS(SITE!$B$2:$B$573,B186,SITE!$I$2:$I$573,"Y")&gt;0,"Y","")</f>
        <v/>
      </c>
      <c r="I186">
        <f>IF(COUNTIFS(SITE!$B$2:$B$573,B186,SITE!$J$2:$J$573,"Y")&gt;0,"Y","")</f>
        <v/>
      </c>
      <c r="J186">
        <f>MINIFS(SITE!$G$2:$G$573,SITE!$B$2:$B$573,B186)</f>
        <v/>
      </c>
      <c r="K186">
        <f>IF(J186-TODAY()&lt;183,"임박","")</f>
        <v/>
      </c>
      <c r="L186" t="inlineStr">
        <is>
          <t>Y</t>
        </is>
      </c>
      <c r="M186" t="inlineStr">
        <is>
          <t>코스닥</t>
        </is>
      </c>
      <c r="N186" t="inlineStr">
        <is>
          <t>032300</t>
        </is>
      </c>
      <c r="O186" t="inlineStr">
        <is>
          <t>의약품 제조업</t>
        </is>
      </c>
      <c r="P186" t="inlineStr">
        <is>
          <t>완제의약품(정신신경계, 소화기계, 순환기계, 항생항균, 기타)</t>
        </is>
      </c>
      <c r="Q186" t="inlineStr">
        <is>
          <t>박은희</t>
        </is>
      </c>
      <c r="R186" t="inlineStr">
        <is>
          <t>http://koreapharma.co.kr</t>
        </is>
      </c>
      <c r="S186" t="inlineStr">
        <is>
          <t>경기도</t>
        </is>
      </c>
    </row>
    <row r="187">
      <c r="A187" t="inlineStr">
        <is>
          <t>C186</t>
        </is>
      </c>
      <c r="B187" t="inlineStr">
        <is>
          <t>켐트로스</t>
        </is>
      </c>
      <c r="C187" t="inlineStr">
        <is>
          <t>(주)켐트로스</t>
        </is>
      </c>
      <c r="D187">
        <f>COUNTIF(SITE!$B$2:$B$573,B187)</f>
        <v/>
      </c>
      <c r="E187">
        <f>SUMIFS(SITE!$H$2:$H$573,SITE!$B$2:$B$573,B187)</f>
        <v/>
      </c>
      <c r="F187">
        <f>IF(COUNTIFS(SITE!$B$2:$B$573,B187,SITE!$E$2:$E$573,"완제의약품")&gt;0,"Y","")</f>
        <v/>
      </c>
      <c r="G187">
        <f>IF(COUNTIFS(SITE!$B$2:$B$573,B187,SITE!$E$2:$E$573,"원료의약품")&gt;0,"Y","")</f>
        <v/>
      </c>
      <c r="H187">
        <f>IF(COUNTIFS(SITE!$B$2:$B$573,B187,SITE!$I$2:$I$573,"Y")&gt;0,"Y","")</f>
        <v/>
      </c>
      <c r="I187">
        <f>IF(COUNTIFS(SITE!$B$2:$B$573,B187,SITE!$J$2:$J$573,"Y")&gt;0,"Y","")</f>
        <v/>
      </c>
      <c r="J187">
        <f>MINIFS(SITE!$G$2:$G$573,SITE!$B$2:$B$573,B187)</f>
        <v/>
      </c>
      <c r="K187">
        <f>IF(J187-TODAY()&lt;183,"임박","")</f>
        <v/>
      </c>
      <c r="L187" t="inlineStr">
        <is>
          <t>Y</t>
        </is>
      </c>
      <c r="M187" t="inlineStr">
        <is>
          <t>코스닥</t>
        </is>
      </c>
      <c r="N187" t="inlineStr">
        <is>
          <t>220260</t>
        </is>
      </c>
      <c r="O187" t="inlineStr">
        <is>
          <t>기타 화학제품 제조업</t>
        </is>
      </c>
      <c r="P187" t="inlineStr">
        <is>
          <t>기타화학제품 제조업</t>
        </is>
      </c>
      <c r="Q187" t="inlineStr">
        <is>
          <t>이동훈</t>
        </is>
      </c>
      <c r="R187" t="inlineStr">
        <is>
          <t>http://chemtros.com</t>
        </is>
      </c>
      <c r="S187" t="inlineStr">
        <is>
          <t>경기도</t>
        </is>
      </c>
    </row>
    <row r="188">
      <c r="A188" t="inlineStr">
        <is>
          <t>C187</t>
        </is>
      </c>
      <c r="B188" t="inlineStr">
        <is>
          <t>한화제약</t>
        </is>
      </c>
      <c r="C188" t="inlineStr">
        <is>
          <t>한화제약(주)</t>
        </is>
      </c>
      <c r="D188">
        <f>COUNTIF(SITE!$B$2:$B$573,B188)</f>
        <v/>
      </c>
      <c r="E188">
        <f>SUMIFS(SITE!$H$2:$H$573,SITE!$B$2:$B$573,B188)</f>
        <v/>
      </c>
      <c r="F188">
        <f>IF(COUNTIFS(SITE!$B$2:$B$573,B188,SITE!$E$2:$E$573,"완제의약품")&gt;0,"Y","")</f>
        <v/>
      </c>
      <c r="G188">
        <f>IF(COUNTIFS(SITE!$B$2:$B$573,B188,SITE!$E$2:$E$573,"원료의약품")&gt;0,"Y","")</f>
        <v/>
      </c>
      <c r="H188">
        <f>IF(COUNTIFS(SITE!$B$2:$B$573,B188,SITE!$I$2:$I$573,"Y")&gt;0,"Y","")</f>
        <v/>
      </c>
      <c r="I188">
        <f>IF(COUNTIFS(SITE!$B$2:$B$573,B188,SITE!$J$2:$J$573,"Y")&gt;0,"Y","")</f>
        <v/>
      </c>
      <c r="J188">
        <f>MINIFS(SITE!$G$2:$G$573,SITE!$B$2:$B$573,B188)</f>
        <v/>
      </c>
      <c r="K188">
        <f>IF(J188-TODAY()&lt;183,"임박","")</f>
        <v/>
      </c>
    </row>
    <row r="189">
      <c r="A189" t="inlineStr">
        <is>
          <t>C188</t>
        </is>
      </c>
      <c r="B189" t="inlineStr">
        <is>
          <t>동화약품</t>
        </is>
      </c>
      <c r="C189" t="inlineStr">
        <is>
          <t>동화약품(주)</t>
        </is>
      </c>
      <c r="D189">
        <f>COUNTIF(SITE!$B$2:$B$573,B189)</f>
        <v/>
      </c>
      <c r="E189">
        <f>SUMIFS(SITE!$H$2:$H$573,SITE!$B$2:$B$573,B189)</f>
        <v/>
      </c>
      <c r="F189">
        <f>IF(COUNTIFS(SITE!$B$2:$B$573,B189,SITE!$E$2:$E$573,"완제의약품")&gt;0,"Y","")</f>
        <v/>
      </c>
      <c r="G189">
        <f>IF(COUNTIFS(SITE!$B$2:$B$573,B189,SITE!$E$2:$E$573,"원료의약품")&gt;0,"Y","")</f>
        <v/>
      </c>
      <c r="H189">
        <f>IF(COUNTIFS(SITE!$B$2:$B$573,B189,SITE!$I$2:$I$573,"Y")&gt;0,"Y","")</f>
        <v/>
      </c>
      <c r="I189">
        <f>IF(COUNTIFS(SITE!$B$2:$B$573,B189,SITE!$J$2:$J$573,"Y")&gt;0,"Y","")</f>
        <v/>
      </c>
      <c r="J189">
        <f>MINIFS(SITE!$G$2:$G$573,SITE!$B$2:$B$573,B189)</f>
        <v/>
      </c>
      <c r="K189">
        <f>IF(J189-TODAY()&lt;183,"임박","")</f>
        <v/>
      </c>
      <c r="L189" t="inlineStr">
        <is>
          <t>Y</t>
        </is>
      </c>
      <c r="M189" t="inlineStr">
        <is>
          <t>유가</t>
        </is>
      </c>
      <c r="N189" t="inlineStr">
        <is>
          <t>000020</t>
        </is>
      </c>
      <c r="O189" t="inlineStr">
        <is>
          <t>의약품 제조업</t>
        </is>
      </c>
      <c r="P189" t="inlineStr">
        <is>
          <t>의약품 제조,판매,수출입</t>
        </is>
      </c>
      <c r="Q189" t="inlineStr">
        <is>
          <t>유준하, 윤인호(각자 대표이사)</t>
        </is>
      </c>
      <c r="R189" t="inlineStr">
        <is>
          <t>http://www.dong-wha.co.kr</t>
        </is>
      </c>
      <c r="S189" t="inlineStr">
        <is>
          <t>서울특별시</t>
        </is>
      </c>
    </row>
    <row r="190">
      <c r="A190" t="inlineStr">
        <is>
          <t>C189</t>
        </is>
      </c>
      <c r="B190" t="inlineStr">
        <is>
          <t>대평</t>
        </is>
      </c>
      <c r="C190" t="inlineStr">
        <is>
          <t>(주)대평</t>
        </is>
      </c>
      <c r="D190">
        <f>COUNTIF(SITE!$B$2:$B$573,B190)</f>
        <v/>
      </c>
      <c r="E190">
        <f>SUMIFS(SITE!$H$2:$H$573,SITE!$B$2:$B$573,B190)</f>
        <v/>
      </c>
      <c r="F190">
        <f>IF(COUNTIFS(SITE!$B$2:$B$573,B190,SITE!$E$2:$E$573,"완제의약품")&gt;0,"Y","")</f>
        <v/>
      </c>
      <c r="G190">
        <f>IF(COUNTIFS(SITE!$B$2:$B$573,B190,SITE!$E$2:$E$573,"원료의약품")&gt;0,"Y","")</f>
        <v/>
      </c>
      <c r="H190">
        <f>IF(COUNTIFS(SITE!$B$2:$B$573,B190,SITE!$I$2:$I$573,"Y")&gt;0,"Y","")</f>
        <v/>
      </c>
      <c r="I190">
        <f>IF(COUNTIFS(SITE!$B$2:$B$573,B190,SITE!$J$2:$J$573,"Y")&gt;0,"Y","")</f>
        <v/>
      </c>
      <c r="J190">
        <f>MINIFS(SITE!$G$2:$G$573,SITE!$B$2:$B$573,B190)</f>
        <v/>
      </c>
      <c r="K190">
        <f>IF(J190-TODAY()&lt;183,"임박","")</f>
        <v/>
      </c>
    </row>
    <row r="191">
      <c r="A191" t="inlineStr">
        <is>
          <t>C190</t>
        </is>
      </c>
      <c r="B191" t="inlineStr">
        <is>
          <t>하이텍팜</t>
        </is>
      </c>
      <c r="C191" t="inlineStr">
        <is>
          <t>(주)하이텍팜</t>
        </is>
      </c>
      <c r="D191">
        <f>COUNTIF(SITE!$B$2:$B$573,B191)</f>
        <v/>
      </c>
      <c r="E191">
        <f>SUMIFS(SITE!$H$2:$H$573,SITE!$B$2:$B$573,B191)</f>
        <v/>
      </c>
      <c r="F191">
        <f>IF(COUNTIFS(SITE!$B$2:$B$573,B191,SITE!$E$2:$E$573,"완제의약품")&gt;0,"Y","")</f>
        <v/>
      </c>
      <c r="G191">
        <f>IF(COUNTIFS(SITE!$B$2:$B$573,B191,SITE!$E$2:$E$573,"원료의약품")&gt;0,"Y","")</f>
        <v/>
      </c>
      <c r="H191">
        <f>IF(COUNTIFS(SITE!$B$2:$B$573,B191,SITE!$I$2:$I$573,"Y")&gt;0,"Y","")</f>
        <v/>
      </c>
      <c r="I191">
        <f>IF(COUNTIFS(SITE!$B$2:$B$573,B191,SITE!$J$2:$J$573,"Y")&gt;0,"Y","")</f>
        <v/>
      </c>
      <c r="J191">
        <f>MINIFS(SITE!$G$2:$G$573,SITE!$B$2:$B$573,B191)</f>
        <v/>
      </c>
      <c r="K191">
        <f>IF(J191-TODAY()&lt;183,"임박","")</f>
        <v/>
      </c>
      <c r="L191" t="inlineStr">
        <is>
          <t>Y</t>
        </is>
      </c>
      <c r="M191" t="inlineStr">
        <is>
          <t>코스닥</t>
        </is>
      </c>
      <c r="N191" t="inlineStr">
        <is>
          <t>106190</t>
        </is>
      </c>
      <c r="O191" t="inlineStr">
        <is>
          <t>기초 의약물질 제조업</t>
        </is>
      </c>
      <c r="P191" t="inlineStr">
        <is>
          <t>주사제용 무균 원료의약품(Sterile Imipenem 외)</t>
        </is>
      </c>
      <c r="Q191" t="inlineStr">
        <is>
          <t>차현준</t>
        </is>
      </c>
      <c r="R191" t="inlineStr">
        <is>
          <t>http://www.htpharm.com</t>
        </is>
      </c>
      <c r="S191" t="inlineStr">
        <is>
          <t>충청북도</t>
        </is>
      </c>
    </row>
    <row r="192">
      <c r="A192" t="inlineStr">
        <is>
          <t>C191</t>
        </is>
      </c>
      <c r="B192" t="inlineStr">
        <is>
          <t>국제약품</t>
        </is>
      </c>
      <c r="C192" t="inlineStr">
        <is>
          <t>국제약품(주)</t>
        </is>
      </c>
      <c r="D192">
        <f>COUNTIF(SITE!$B$2:$B$573,B192)</f>
        <v/>
      </c>
      <c r="E192">
        <f>SUMIFS(SITE!$H$2:$H$573,SITE!$B$2:$B$573,B192)</f>
        <v/>
      </c>
      <c r="F192">
        <f>IF(COUNTIFS(SITE!$B$2:$B$573,B192,SITE!$E$2:$E$573,"완제의약품")&gt;0,"Y","")</f>
        <v/>
      </c>
      <c r="G192">
        <f>IF(COUNTIFS(SITE!$B$2:$B$573,B192,SITE!$E$2:$E$573,"원료의약품")&gt;0,"Y","")</f>
        <v/>
      </c>
      <c r="H192">
        <f>IF(COUNTIFS(SITE!$B$2:$B$573,B192,SITE!$I$2:$I$573,"Y")&gt;0,"Y","")</f>
        <v/>
      </c>
      <c r="I192">
        <f>IF(COUNTIFS(SITE!$B$2:$B$573,B192,SITE!$J$2:$J$573,"Y")&gt;0,"Y","")</f>
        <v/>
      </c>
      <c r="J192">
        <f>MINIFS(SITE!$G$2:$G$573,SITE!$B$2:$B$573,B192)</f>
        <v/>
      </c>
      <c r="K192">
        <f>IF(J192-TODAY()&lt;183,"임박","")</f>
        <v/>
      </c>
      <c r="L192" t="inlineStr">
        <is>
          <t>Y</t>
        </is>
      </c>
      <c r="M192" t="inlineStr">
        <is>
          <t>유가</t>
        </is>
      </c>
      <c r="N192" t="inlineStr">
        <is>
          <t>002720</t>
        </is>
      </c>
      <c r="O192" t="inlineStr">
        <is>
          <t>의약품 제조업</t>
        </is>
      </c>
      <c r="P192" t="inlineStr">
        <is>
          <t>항생제,안약,제약 제조,도매</t>
        </is>
      </c>
      <c r="Q192" t="inlineStr">
        <is>
          <t>남태훈</t>
        </is>
      </c>
      <c r="R192" t="inlineStr">
        <is>
          <t>http://www.kukjepharm.co.kr</t>
        </is>
      </c>
      <c r="S192" t="inlineStr">
        <is>
          <t>경기도</t>
        </is>
      </c>
    </row>
    <row r="193">
      <c r="A193" t="inlineStr">
        <is>
          <t>C192</t>
        </is>
      </c>
      <c r="B193" t="inlineStr">
        <is>
          <t>진양제약</t>
        </is>
      </c>
      <c r="C193" t="inlineStr">
        <is>
          <t>진양제약(주)</t>
        </is>
      </c>
      <c r="D193">
        <f>COUNTIF(SITE!$B$2:$B$573,B193)</f>
        <v/>
      </c>
      <c r="E193">
        <f>SUMIFS(SITE!$H$2:$H$573,SITE!$B$2:$B$573,B193)</f>
        <v/>
      </c>
      <c r="F193">
        <f>IF(COUNTIFS(SITE!$B$2:$B$573,B193,SITE!$E$2:$E$573,"완제의약품")&gt;0,"Y","")</f>
        <v/>
      </c>
      <c r="G193">
        <f>IF(COUNTIFS(SITE!$B$2:$B$573,B193,SITE!$E$2:$E$573,"원료의약품")&gt;0,"Y","")</f>
        <v/>
      </c>
      <c r="H193">
        <f>IF(COUNTIFS(SITE!$B$2:$B$573,B193,SITE!$I$2:$I$573,"Y")&gt;0,"Y","")</f>
        <v/>
      </c>
      <c r="I193">
        <f>IF(COUNTIFS(SITE!$B$2:$B$573,B193,SITE!$J$2:$J$573,"Y")&gt;0,"Y","")</f>
        <v/>
      </c>
      <c r="J193">
        <f>MINIFS(SITE!$G$2:$G$573,SITE!$B$2:$B$573,B193)</f>
        <v/>
      </c>
      <c r="K193">
        <f>IF(J193-TODAY()&lt;183,"임박","")</f>
        <v/>
      </c>
      <c r="L193" t="inlineStr">
        <is>
          <t>Y</t>
        </is>
      </c>
      <c r="M193" t="inlineStr">
        <is>
          <t>코스닥</t>
        </is>
      </c>
      <c r="N193" t="inlineStr">
        <is>
          <t>007370</t>
        </is>
      </c>
      <c r="O193" t="inlineStr">
        <is>
          <t>의약품 제조업</t>
        </is>
      </c>
      <c r="P193" t="inlineStr">
        <is>
          <t>소부날, 옥티란</t>
        </is>
      </c>
      <c r="Q193" t="inlineStr">
        <is>
          <t>최재준</t>
        </is>
      </c>
      <c r="R193" t="inlineStr">
        <is>
          <t>http://www.jinyangpharm.co.kr</t>
        </is>
      </c>
      <c r="S193" t="inlineStr">
        <is>
          <t>서울특별시</t>
        </is>
      </c>
    </row>
    <row r="194">
      <c r="A194" t="inlineStr">
        <is>
          <t>C193</t>
        </is>
      </c>
      <c r="B194" t="inlineStr">
        <is>
          <t>밀성산업가스</t>
        </is>
      </c>
      <c r="C194" t="inlineStr">
        <is>
          <t>(주)밀성산업가스</t>
        </is>
      </c>
      <c r="D194">
        <f>COUNTIF(SITE!$B$2:$B$573,B194)</f>
        <v/>
      </c>
      <c r="E194">
        <f>SUMIFS(SITE!$H$2:$H$573,SITE!$B$2:$B$573,B194)</f>
        <v/>
      </c>
      <c r="F194">
        <f>IF(COUNTIFS(SITE!$B$2:$B$573,B194,SITE!$E$2:$E$573,"완제의약품")&gt;0,"Y","")</f>
        <v/>
      </c>
      <c r="G194">
        <f>IF(COUNTIFS(SITE!$B$2:$B$573,B194,SITE!$E$2:$E$573,"원료의약품")&gt;0,"Y","")</f>
        <v/>
      </c>
      <c r="H194">
        <f>IF(COUNTIFS(SITE!$B$2:$B$573,B194,SITE!$I$2:$I$573,"Y")&gt;0,"Y","")</f>
        <v/>
      </c>
      <c r="I194">
        <f>IF(COUNTIFS(SITE!$B$2:$B$573,B194,SITE!$J$2:$J$573,"Y")&gt;0,"Y","")</f>
        <v/>
      </c>
      <c r="J194">
        <f>MINIFS(SITE!$G$2:$G$573,SITE!$B$2:$B$573,B194)</f>
        <v/>
      </c>
      <c r="K194">
        <f>IF(J194-TODAY()&lt;183,"임박","")</f>
        <v/>
      </c>
    </row>
    <row r="195">
      <c r="A195" t="inlineStr">
        <is>
          <t>C194</t>
        </is>
      </c>
      <c r="B195" t="inlineStr">
        <is>
          <t>신풍제약</t>
        </is>
      </c>
      <c r="C195" t="inlineStr">
        <is>
          <t>신풍제약(주)</t>
        </is>
      </c>
      <c r="D195">
        <f>COUNTIF(SITE!$B$2:$B$573,B195)</f>
        <v/>
      </c>
      <c r="E195">
        <f>SUMIFS(SITE!$H$2:$H$573,SITE!$B$2:$B$573,B195)</f>
        <v/>
      </c>
      <c r="F195">
        <f>IF(COUNTIFS(SITE!$B$2:$B$573,B195,SITE!$E$2:$E$573,"완제의약품")&gt;0,"Y","")</f>
        <v/>
      </c>
      <c r="G195">
        <f>IF(COUNTIFS(SITE!$B$2:$B$573,B195,SITE!$E$2:$E$573,"원료의약품")&gt;0,"Y","")</f>
        <v/>
      </c>
      <c r="H195">
        <f>IF(COUNTIFS(SITE!$B$2:$B$573,B195,SITE!$I$2:$I$573,"Y")&gt;0,"Y","")</f>
        <v/>
      </c>
      <c r="I195">
        <f>IF(COUNTIFS(SITE!$B$2:$B$573,B195,SITE!$J$2:$J$573,"Y")&gt;0,"Y","")</f>
        <v/>
      </c>
      <c r="J195">
        <f>MINIFS(SITE!$G$2:$G$573,SITE!$B$2:$B$573,B195)</f>
        <v/>
      </c>
      <c r="K195">
        <f>IF(J195-TODAY()&lt;183,"임박","")</f>
        <v/>
      </c>
      <c r="L195" t="inlineStr">
        <is>
          <t>Y</t>
        </is>
      </c>
      <c r="M195" t="inlineStr">
        <is>
          <t>유가</t>
        </is>
      </c>
      <c r="N195" t="inlineStr">
        <is>
          <t>019170</t>
        </is>
      </c>
      <c r="O195" t="inlineStr">
        <is>
          <t>의약품 제조업</t>
        </is>
      </c>
      <c r="P195" t="inlineStr">
        <is>
          <t>의약품(항생제,혈전용해제,향정신성약품,구충제) 제조,판매</t>
        </is>
      </c>
      <c r="Q195" t="inlineStr">
        <is>
          <t>유 제 만</t>
        </is>
      </c>
      <c r="R195" t="inlineStr">
        <is>
          <t>http://www.shinpoong.co.kr</t>
        </is>
      </c>
      <c r="S195" t="inlineStr">
        <is>
          <t>경기도</t>
        </is>
      </c>
    </row>
    <row r="196">
      <c r="A196" t="inlineStr">
        <is>
          <t>C195</t>
        </is>
      </c>
      <c r="B196" t="inlineStr">
        <is>
          <t>한국신텍스제약</t>
        </is>
      </c>
      <c r="C196" t="inlineStr">
        <is>
          <t>한국신텍스제약(주)</t>
        </is>
      </c>
      <c r="D196">
        <f>COUNTIF(SITE!$B$2:$B$573,B196)</f>
        <v/>
      </c>
      <c r="E196">
        <f>SUMIFS(SITE!$H$2:$H$573,SITE!$B$2:$B$573,B196)</f>
        <v/>
      </c>
      <c r="F196">
        <f>IF(COUNTIFS(SITE!$B$2:$B$573,B196,SITE!$E$2:$E$573,"완제의약품")&gt;0,"Y","")</f>
        <v/>
      </c>
      <c r="G196">
        <f>IF(COUNTIFS(SITE!$B$2:$B$573,B196,SITE!$E$2:$E$573,"원료의약품")&gt;0,"Y","")</f>
        <v/>
      </c>
      <c r="H196">
        <f>IF(COUNTIFS(SITE!$B$2:$B$573,B196,SITE!$I$2:$I$573,"Y")&gt;0,"Y","")</f>
        <v/>
      </c>
      <c r="I196">
        <f>IF(COUNTIFS(SITE!$B$2:$B$573,B196,SITE!$J$2:$J$573,"Y")&gt;0,"Y","")</f>
        <v/>
      </c>
      <c r="J196">
        <f>MINIFS(SITE!$G$2:$G$573,SITE!$B$2:$B$573,B196)</f>
        <v/>
      </c>
      <c r="K196">
        <f>IF(J196-TODAY()&lt;183,"임박","")</f>
        <v/>
      </c>
    </row>
    <row r="197">
      <c r="A197" t="inlineStr">
        <is>
          <t>C196</t>
        </is>
      </c>
      <c r="B197" t="inlineStr">
        <is>
          <t>마더스제약</t>
        </is>
      </c>
      <c r="C197" t="inlineStr">
        <is>
          <t>(주)마더스제약</t>
        </is>
      </c>
      <c r="D197">
        <f>COUNTIF(SITE!$B$2:$B$573,B197)</f>
        <v/>
      </c>
      <c r="E197">
        <f>SUMIFS(SITE!$H$2:$H$573,SITE!$B$2:$B$573,B197)</f>
        <v/>
      </c>
      <c r="F197">
        <f>IF(COUNTIFS(SITE!$B$2:$B$573,B197,SITE!$E$2:$E$573,"완제의약품")&gt;0,"Y","")</f>
        <v/>
      </c>
      <c r="G197">
        <f>IF(COUNTIFS(SITE!$B$2:$B$573,B197,SITE!$E$2:$E$573,"원료의약품")&gt;0,"Y","")</f>
        <v/>
      </c>
      <c r="H197">
        <f>IF(COUNTIFS(SITE!$B$2:$B$573,B197,SITE!$I$2:$I$573,"Y")&gt;0,"Y","")</f>
        <v/>
      </c>
      <c r="I197">
        <f>IF(COUNTIFS(SITE!$B$2:$B$573,B197,SITE!$J$2:$J$573,"Y")&gt;0,"Y","")</f>
        <v/>
      </c>
      <c r="J197">
        <f>MINIFS(SITE!$G$2:$G$573,SITE!$B$2:$B$573,B197)</f>
        <v/>
      </c>
      <c r="K197">
        <f>IF(J197-TODAY()&lt;183,"임박","")</f>
        <v/>
      </c>
    </row>
    <row r="198">
      <c r="A198" t="inlineStr">
        <is>
          <t>C197</t>
        </is>
      </c>
      <c r="B198" t="inlineStr">
        <is>
          <t>한국팜비오</t>
        </is>
      </c>
      <c r="C198" t="inlineStr">
        <is>
          <t>(주)한국팜비오</t>
        </is>
      </c>
      <c r="D198">
        <f>COUNTIF(SITE!$B$2:$B$573,B198)</f>
        <v/>
      </c>
      <c r="E198">
        <f>SUMIFS(SITE!$H$2:$H$573,SITE!$B$2:$B$573,B198)</f>
        <v/>
      </c>
      <c r="F198">
        <f>IF(COUNTIFS(SITE!$B$2:$B$573,B198,SITE!$E$2:$E$573,"완제의약품")&gt;0,"Y","")</f>
        <v/>
      </c>
      <c r="G198">
        <f>IF(COUNTIFS(SITE!$B$2:$B$573,B198,SITE!$E$2:$E$573,"원료의약품")&gt;0,"Y","")</f>
        <v/>
      </c>
      <c r="H198">
        <f>IF(COUNTIFS(SITE!$B$2:$B$573,B198,SITE!$I$2:$I$573,"Y")&gt;0,"Y","")</f>
        <v/>
      </c>
      <c r="I198">
        <f>IF(COUNTIFS(SITE!$B$2:$B$573,B198,SITE!$J$2:$J$573,"Y")&gt;0,"Y","")</f>
        <v/>
      </c>
      <c r="J198">
        <f>MINIFS(SITE!$G$2:$G$573,SITE!$B$2:$B$573,B198)</f>
        <v/>
      </c>
      <c r="K198">
        <f>IF(J198-TODAY()&lt;183,"임박","")</f>
        <v/>
      </c>
    </row>
    <row r="199">
      <c r="A199" t="inlineStr">
        <is>
          <t>C198</t>
        </is>
      </c>
      <c r="B199" t="inlineStr">
        <is>
          <t>동구바이오제약</t>
        </is>
      </c>
      <c r="C199" t="inlineStr">
        <is>
          <t>(주)동구바이오제약</t>
        </is>
      </c>
      <c r="D199">
        <f>COUNTIF(SITE!$B$2:$B$573,B199)</f>
        <v/>
      </c>
      <c r="E199">
        <f>SUMIFS(SITE!$H$2:$H$573,SITE!$B$2:$B$573,B199)</f>
        <v/>
      </c>
      <c r="F199">
        <f>IF(COUNTIFS(SITE!$B$2:$B$573,B199,SITE!$E$2:$E$573,"완제의약품")&gt;0,"Y","")</f>
        <v/>
      </c>
      <c r="G199">
        <f>IF(COUNTIFS(SITE!$B$2:$B$573,B199,SITE!$E$2:$E$573,"원료의약품")&gt;0,"Y","")</f>
        <v/>
      </c>
      <c r="H199">
        <f>IF(COUNTIFS(SITE!$B$2:$B$573,B199,SITE!$I$2:$I$573,"Y")&gt;0,"Y","")</f>
        <v/>
      </c>
      <c r="I199">
        <f>IF(COUNTIFS(SITE!$B$2:$B$573,B199,SITE!$J$2:$J$573,"Y")&gt;0,"Y","")</f>
        <v/>
      </c>
      <c r="J199">
        <f>MINIFS(SITE!$G$2:$G$573,SITE!$B$2:$B$573,B199)</f>
        <v/>
      </c>
      <c r="K199">
        <f>IF(J199-TODAY()&lt;183,"임박","")</f>
        <v/>
      </c>
      <c r="L199" t="inlineStr">
        <is>
          <t>Y</t>
        </is>
      </c>
      <c r="M199" t="inlineStr">
        <is>
          <t>코스닥</t>
        </is>
      </c>
      <c r="N199" t="inlineStr">
        <is>
          <t>006620</t>
        </is>
      </c>
      <c r="O199" t="inlineStr">
        <is>
          <t>의약품 제조업</t>
        </is>
      </c>
      <c r="P199" t="inlineStr">
        <is>
          <t>피부, 비뇨기과 완제의약품</t>
        </is>
      </c>
      <c r="Q199" t="inlineStr">
        <is>
          <t>조용준</t>
        </is>
      </c>
      <c r="R199" t="inlineStr">
        <is>
          <t>http://www.dongkoo.com</t>
        </is>
      </c>
      <c r="S199" t="inlineStr">
        <is>
          <t>서울특별시</t>
        </is>
      </c>
    </row>
    <row r="200">
      <c r="A200" t="inlineStr">
        <is>
          <t>C199</t>
        </is>
      </c>
      <c r="B200" t="inlineStr">
        <is>
          <t>에스케이케미칼</t>
        </is>
      </c>
      <c r="C200" t="inlineStr">
        <is>
          <t>에스케이케미칼(주)</t>
        </is>
      </c>
      <c r="D200">
        <f>COUNTIF(SITE!$B$2:$B$573,B200)</f>
        <v/>
      </c>
      <c r="E200">
        <f>SUMIFS(SITE!$H$2:$H$573,SITE!$B$2:$B$573,B200)</f>
        <v/>
      </c>
      <c r="F200">
        <f>IF(COUNTIFS(SITE!$B$2:$B$573,B200,SITE!$E$2:$E$573,"완제의약품")&gt;0,"Y","")</f>
        <v/>
      </c>
      <c r="G200">
        <f>IF(COUNTIFS(SITE!$B$2:$B$573,B200,SITE!$E$2:$E$573,"원료의약품")&gt;0,"Y","")</f>
        <v/>
      </c>
      <c r="H200">
        <f>IF(COUNTIFS(SITE!$B$2:$B$573,B200,SITE!$I$2:$I$573,"Y")&gt;0,"Y","")</f>
        <v/>
      </c>
      <c r="I200">
        <f>IF(COUNTIFS(SITE!$B$2:$B$573,B200,SITE!$J$2:$J$573,"Y")&gt;0,"Y","")</f>
        <v/>
      </c>
      <c r="J200">
        <f>MINIFS(SITE!$G$2:$G$573,SITE!$B$2:$B$573,B200)</f>
        <v/>
      </c>
      <c r="K200">
        <f>IF(J200-TODAY()&lt;183,"임박","")</f>
        <v/>
      </c>
    </row>
    <row r="201">
      <c r="A201" t="inlineStr">
        <is>
          <t>C200</t>
        </is>
      </c>
      <c r="B201" t="inlineStr">
        <is>
          <t>새한가스공업</t>
        </is>
      </c>
      <c r="C201" t="inlineStr">
        <is>
          <t>새한가스공업</t>
        </is>
      </c>
      <c r="D201">
        <f>COUNTIF(SITE!$B$2:$B$573,B201)</f>
        <v/>
      </c>
      <c r="E201">
        <f>SUMIFS(SITE!$H$2:$H$573,SITE!$B$2:$B$573,B201)</f>
        <v/>
      </c>
      <c r="F201">
        <f>IF(COUNTIFS(SITE!$B$2:$B$573,B201,SITE!$E$2:$E$573,"완제의약품")&gt;0,"Y","")</f>
        <v/>
      </c>
      <c r="G201">
        <f>IF(COUNTIFS(SITE!$B$2:$B$573,B201,SITE!$E$2:$E$573,"원료의약품")&gt;0,"Y","")</f>
        <v/>
      </c>
      <c r="H201">
        <f>IF(COUNTIFS(SITE!$B$2:$B$573,B201,SITE!$I$2:$I$573,"Y")&gt;0,"Y","")</f>
        <v/>
      </c>
      <c r="I201">
        <f>IF(COUNTIFS(SITE!$B$2:$B$573,B201,SITE!$J$2:$J$573,"Y")&gt;0,"Y","")</f>
        <v/>
      </c>
      <c r="J201">
        <f>MINIFS(SITE!$G$2:$G$573,SITE!$B$2:$B$573,B201)</f>
        <v/>
      </c>
      <c r="K201">
        <f>IF(J201-TODAY()&lt;183,"임박","")</f>
        <v/>
      </c>
    </row>
    <row r="202">
      <c r="A202" t="inlineStr">
        <is>
          <t>C201</t>
        </is>
      </c>
      <c r="B202" t="inlineStr">
        <is>
          <t>대동가스텍</t>
        </is>
      </c>
      <c r="C202" t="inlineStr">
        <is>
          <t>(주)대동가스텍</t>
        </is>
      </c>
      <c r="D202">
        <f>COUNTIF(SITE!$B$2:$B$573,B202)</f>
        <v/>
      </c>
      <c r="E202">
        <f>SUMIFS(SITE!$H$2:$H$573,SITE!$B$2:$B$573,B202)</f>
        <v/>
      </c>
      <c r="F202">
        <f>IF(COUNTIFS(SITE!$B$2:$B$573,B202,SITE!$E$2:$E$573,"완제의약품")&gt;0,"Y","")</f>
        <v/>
      </c>
      <c r="G202">
        <f>IF(COUNTIFS(SITE!$B$2:$B$573,B202,SITE!$E$2:$E$573,"원료의약품")&gt;0,"Y","")</f>
        <v/>
      </c>
      <c r="H202">
        <f>IF(COUNTIFS(SITE!$B$2:$B$573,B202,SITE!$I$2:$I$573,"Y")&gt;0,"Y","")</f>
        <v/>
      </c>
      <c r="I202">
        <f>IF(COUNTIFS(SITE!$B$2:$B$573,B202,SITE!$J$2:$J$573,"Y")&gt;0,"Y","")</f>
        <v/>
      </c>
      <c r="J202">
        <f>MINIFS(SITE!$G$2:$G$573,SITE!$B$2:$B$573,B202)</f>
        <v/>
      </c>
      <c r="K202">
        <f>IF(J202-TODAY()&lt;183,"임박","")</f>
        <v/>
      </c>
    </row>
    <row r="203">
      <c r="A203" t="inlineStr">
        <is>
          <t>C202</t>
        </is>
      </c>
      <c r="B203" t="inlineStr">
        <is>
          <t>에어퍼스트</t>
        </is>
      </c>
      <c r="C203" t="inlineStr">
        <is>
          <t>(주)에어퍼스트</t>
        </is>
      </c>
      <c r="D203">
        <f>COUNTIF(SITE!$B$2:$B$573,B203)</f>
        <v/>
      </c>
      <c r="E203">
        <f>SUMIFS(SITE!$H$2:$H$573,SITE!$B$2:$B$573,B203)</f>
        <v/>
      </c>
      <c r="F203">
        <f>IF(COUNTIFS(SITE!$B$2:$B$573,B203,SITE!$E$2:$E$573,"완제의약품")&gt;0,"Y","")</f>
        <v/>
      </c>
      <c r="G203">
        <f>IF(COUNTIFS(SITE!$B$2:$B$573,B203,SITE!$E$2:$E$573,"원료의약품")&gt;0,"Y","")</f>
        <v/>
      </c>
      <c r="H203">
        <f>IF(COUNTIFS(SITE!$B$2:$B$573,B203,SITE!$I$2:$I$573,"Y")&gt;0,"Y","")</f>
        <v/>
      </c>
      <c r="I203">
        <f>IF(COUNTIFS(SITE!$B$2:$B$573,B203,SITE!$J$2:$J$573,"Y")&gt;0,"Y","")</f>
        <v/>
      </c>
      <c r="J203">
        <f>MINIFS(SITE!$G$2:$G$573,SITE!$B$2:$B$573,B203)</f>
        <v/>
      </c>
      <c r="K203">
        <f>IF(J203-TODAY()&lt;183,"임박","")</f>
        <v/>
      </c>
    </row>
    <row r="204">
      <c r="A204" t="inlineStr">
        <is>
          <t>C203</t>
        </is>
      </c>
      <c r="B204" t="inlineStr">
        <is>
          <t>안국뉴팜</t>
        </is>
      </c>
      <c r="C204" t="inlineStr">
        <is>
          <t>안국뉴팜(주)</t>
        </is>
      </c>
      <c r="D204">
        <f>COUNTIF(SITE!$B$2:$B$573,B204)</f>
        <v/>
      </c>
      <c r="E204">
        <f>SUMIFS(SITE!$H$2:$H$573,SITE!$B$2:$B$573,B204)</f>
        <v/>
      </c>
      <c r="F204">
        <f>IF(COUNTIFS(SITE!$B$2:$B$573,B204,SITE!$E$2:$E$573,"완제의약품")&gt;0,"Y","")</f>
        <v/>
      </c>
      <c r="G204">
        <f>IF(COUNTIFS(SITE!$B$2:$B$573,B204,SITE!$E$2:$E$573,"원료의약품")&gt;0,"Y","")</f>
        <v/>
      </c>
      <c r="H204">
        <f>IF(COUNTIFS(SITE!$B$2:$B$573,B204,SITE!$I$2:$I$573,"Y")&gt;0,"Y","")</f>
        <v/>
      </c>
      <c r="I204">
        <f>IF(COUNTIFS(SITE!$B$2:$B$573,B204,SITE!$J$2:$J$573,"Y")&gt;0,"Y","")</f>
        <v/>
      </c>
      <c r="J204">
        <f>MINIFS(SITE!$G$2:$G$573,SITE!$B$2:$B$573,B204)</f>
        <v/>
      </c>
      <c r="K204">
        <f>IF(J204-TODAY()&lt;183,"임박","")</f>
        <v/>
      </c>
    </row>
    <row r="205">
      <c r="A205" t="inlineStr">
        <is>
          <t>C204</t>
        </is>
      </c>
      <c r="B205" t="inlineStr">
        <is>
          <t>제주종합가스</t>
        </is>
      </c>
      <c r="C205" t="inlineStr">
        <is>
          <t>제주종합가스(주)</t>
        </is>
      </c>
      <c r="D205">
        <f>COUNTIF(SITE!$B$2:$B$573,B205)</f>
        <v/>
      </c>
      <c r="E205">
        <f>SUMIFS(SITE!$H$2:$H$573,SITE!$B$2:$B$573,B205)</f>
        <v/>
      </c>
      <c r="F205">
        <f>IF(COUNTIFS(SITE!$B$2:$B$573,B205,SITE!$E$2:$E$573,"완제의약품")&gt;0,"Y","")</f>
        <v/>
      </c>
      <c r="G205">
        <f>IF(COUNTIFS(SITE!$B$2:$B$573,B205,SITE!$E$2:$E$573,"원료의약품")&gt;0,"Y","")</f>
        <v/>
      </c>
      <c r="H205">
        <f>IF(COUNTIFS(SITE!$B$2:$B$573,B205,SITE!$I$2:$I$573,"Y")&gt;0,"Y","")</f>
        <v/>
      </c>
      <c r="I205">
        <f>IF(COUNTIFS(SITE!$B$2:$B$573,B205,SITE!$J$2:$J$573,"Y")&gt;0,"Y","")</f>
        <v/>
      </c>
      <c r="J205">
        <f>MINIFS(SITE!$G$2:$G$573,SITE!$B$2:$B$573,B205)</f>
        <v/>
      </c>
      <c r="K205">
        <f>IF(J205-TODAY()&lt;183,"임박","")</f>
        <v/>
      </c>
    </row>
    <row r="206">
      <c r="A206" t="inlineStr">
        <is>
          <t>C205</t>
        </is>
      </c>
      <c r="B206" t="inlineStr">
        <is>
          <t>천우신약</t>
        </is>
      </c>
      <c r="C206" t="inlineStr">
        <is>
          <t>천우신약(주)</t>
        </is>
      </c>
      <c r="D206">
        <f>COUNTIF(SITE!$B$2:$B$573,B206)</f>
        <v/>
      </c>
      <c r="E206">
        <f>SUMIFS(SITE!$H$2:$H$573,SITE!$B$2:$B$573,B206)</f>
        <v/>
      </c>
      <c r="F206">
        <f>IF(COUNTIFS(SITE!$B$2:$B$573,B206,SITE!$E$2:$E$573,"완제의약품")&gt;0,"Y","")</f>
        <v/>
      </c>
      <c r="G206">
        <f>IF(COUNTIFS(SITE!$B$2:$B$573,B206,SITE!$E$2:$E$573,"원료의약품")&gt;0,"Y","")</f>
        <v/>
      </c>
      <c r="H206">
        <f>IF(COUNTIFS(SITE!$B$2:$B$573,B206,SITE!$I$2:$I$573,"Y")&gt;0,"Y","")</f>
        <v/>
      </c>
      <c r="I206">
        <f>IF(COUNTIFS(SITE!$B$2:$B$573,B206,SITE!$J$2:$J$573,"Y")&gt;0,"Y","")</f>
        <v/>
      </c>
      <c r="J206">
        <f>MINIFS(SITE!$G$2:$G$573,SITE!$B$2:$B$573,B206)</f>
        <v/>
      </c>
      <c r="K206">
        <f>IF(J206-TODAY()&lt;183,"임박","")</f>
        <v/>
      </c>
    </row>
    <row r="207">
      <c r="A207" t="inlineStr">
        <is>
          <t>C206</t>
        </is>
      </c>
      <c r="B207" t="inlineStr">
        <is>
          <t>에이프로젠바이오로직스</t>
        </is>
      </c>
      <c r="C207" t="inlineStr">
        <is>
          <t>(주)에이프로젠바이오로직스</t>
        </is>
      </c>
      <c r="D207">
        <f>COUNTIF(SITE!$B$2:$B$573,B207)</f>
        <v/>
      </c>
      <c r="E207">
        <f>SUMIFS(SITE!$H$2:$H$573,SITE!$B$2:$B$573,B207)</f>
        <v/>
      </c>
      <c r="F207">
        <f>IF(COUNTIFS(SITE!$B$2:$B$573,B207,SITE!$E$2:$E$573,"완제의약품")&gt;0,"Y","")</f>
        <v/>
      </c>
      <c r="G207">
        <f>IF(COUNTIFS(SITE!$B$2:$B$573,B207,SITE!$E$2:$E$573,"원료의약품")&gt;0,"Y","")</f>
        <v/>
      </c>
      <c r="H207">
        <f>IF(COUNTIFS(SITE!$B$2:$B$573,B207,SITE!$I$2:$I$573,"Y")&gt;0,"Y","")</f>
        <v/>
      </c>
      <c r="I207">
        <f>IF(COUNTIFS(SITE!$B$2:$B$573,B207,SITE!$J$2:$J$573,"Y")&gt;0,"Y","")</f>
        <v/>
      </c>
      <c r="J207">
        <f>MINIFS(SITE!$G$2:$G$573,SITE!$B$2:$B$573,B207)</f>
        <v/>
      </c>
      <c r="K207">
        <f>IF(J207-TODAY()&lt;183,"임박","")</f>
        <v/>
      </c>
      <c r="L207" t="inlineStr">
        <is>
          <t>Y</t>
        </is>
      </c>
      <c r="M207" t="inlineStr">
        <is>
          <t>유가</t>
        </is>
      </c>
      <c r="N207" t="inlineStr">
        <is>
          <t>003060</t>
        </is>
      </c>
      <c r="O207" t="inlineStr">
        <is>
          <t>의약품 제조업</t>
        </is>
      </c>
      <c r="P207" t="inlineStr">
        <is>
          <t>의약품(항생제,영양수액제,드링크제,철결핍성빈혈예방치료제,경옥동충하초) 제조,판매</t>
        </is>
      </c>
      <c r="Q207" t="inlineStr">
        <is>
          <t>김재섭, 김정출</t>
        </is>
      </c>
      <c r="R207" t="inlineStr">
        <is>
          <t>http://www.aprogen-pharm.com</t>
        </is>
      </c>
      <c r="S207" t="inlineStr">
        <is>
          <t>서울특별시</t>
        </is>
      </c>
    </row>
    <row r="208">
      <c r="A208" t="inlineStr">
        <is>
          <t>C207</t>
        </is>
      </c>
      <c r="B208" t="inlineStr">
        <is>
          <t>경남산소</t>
        </is>
      </c>
      <c r="C208" t="inlineStr">
        <is>
          <t>경남산소</t>
        </is>
      </c>
      <c r="D208">
        <f>COUNTIF(SITE!$B$2:$B$573,B208)</f>
        <v/>
      </c>
      <c r="E208">
        <f>SUMIFS(SITE!$H$2:$H$573,SITE!$B$2:$B$573,B208)</f>
        <v/>
      </c>
      <c r="F208">
        <f>IF(COUNTIFS(SITE!$B$2:$B$573,B208,SITE!$E$2:$E$573,"완제의약품")&gt;0,"Y","")</f>
        <v/>
      </c>
      <c r="G208">
        <f>IF(COUNTIFS(SITE!$B$2:$B$573,B208,SITE!$E$2:$E$573,"원료의약품")&gt;0,"Y","")</f>
        <v/>
      </c>
      <c r="H208">
        <f>IF(COUNTIFS(SITE!$B$2:$B$573,B208,SITE!$I$2:$I$573,"Y")&gt;0,"Y","")</f>
        <v/>
      </c>
      <c r="I208">
        <f>IF(COUNTIFS(SITE!$B$2:$B$573,B208,SITE!$J$2:$J$573,"Y")&gt;0,"Y","")</f>
        <v/>
      </c>
      <c r="J208">
        <f>MINIFS(SITE!$G$2:$G$573,SITE!$B$2:$B$573,B208)</f>
        <v/>
      </c>
      <c r="K208">
        <f>IF(J208-TODAY()&lt;183,"임박","")</f>
        <v/>
      </c>
    </row>
    <row r="209">
      <c r="A209" t="inlineStr">
        <is>
          <t>C208</t>
        </is>
      </c>
      <c r="B209" t="inlineStr">
        <is>
          <t>신진가스텍</t>
        </is>
      </c>
      <c r="C209" t="inlineStr">
        <is>
          <t>신진가스텍(주)</t>
        </is>
      </c>
      <c r="D209">
        <f>COUNTIF(SITE!$B$2:$B$573,B209)</f>
        <v/>
      </c>
      <c r="E209">
        <f>SUMIFS(SITE!$H$2:$H$573,SITE!$B$2:$B$573,B209)</f>
        <v/>
      </c>
      <c r="F209">
        <f>IF(COUNTIFS(SITE!$B$2:$B$573,B209,SITE!$E$2:$E$573,"완제의약품")&gt;0,"Y","")</f>
        <v/>
      </c>
      <c r="G209">
        <f>IF(COUNTIFS(SITE!$B$2:$B$573,B209,SITE!$E$2:$E$573,"원료의약품")&gt;0,"Y","")</f>
        <v/>
      </c>
      <c r="H209">
        <f>IF(COUNTIFS(SITE!$B$2:$B$573,B209,SITE!$I$2:$I$573,"Y")&gt;0,"Y","")</f>
        <v/>
      </c>
      <c r="I209">
        <f>IF(COUNTIFS(SITE!$B$2:$B$573,B209,SITE!$J$2:$J$573,"Y")&gt;0,"Y","")</f>
        <v/>
      </c>
      <c r="J209">
        <f>MINIFS(SITE!$G$2:$G$573,SITE!$B$2:$B$573,B209)</f>
        <v/>
      </c>
      <c r="K209">
        <f>IF(J209-TODAY()&lt;183,"임박","")</f>
        <v/>
      </c>
    </row>
    <row r="210">
      <c r="A210" t="inlineStr">
        <is>
          <t>C209</t>
        </is>
      </c>
      <c r="B210" t="inlineStr">
        <is>
          <t>대한적십자사혈장분획센터</t>
        </is>
      </c>
      <c r="C210" t="inlineStr">
        <is>
          <t>대한적십자사혈장분획센터</t>
        </is>
      </c>
      <c r="D210">
        <f>COUNTIF(SITE!$B$2:$B$573,B210)</f>
        <v/>
      </c>
      <c r="E210">
        <f>SUMIFS(SITE!$H$2:$H$573,SITE!$B$2:$B$573,B210)</f>
        <v/>
      </c>
      <c r="F210">
        <f>IF(COUNTIFS(SITE!$B$2:$B$573,B210,SITE!$E$2:$E$573,"완제의약품")&gt;0,"Y","")</f>
        <v/>
      </c>
      <c r="G210">
        <f>IF(COUNTIFS(SITE!$B$2:$B$573,B210,SITE!$E$2:$E$573,"원료의약품")&gt;0,"Y","")</f>
        <v/>
      </c>
      <c r="H210">
        <f>IF(COUNTIFS(SITE!$B$2:$B$573,B210,SITE!$I$2:$I$573,"Y")&gt;0,"Y","")</f>
        <v/>
      </c>
      <c r="I210">
        <f>IF(COUNTIFS(SITE!$B$2:$B$573,B210,SITE!$J$2:$J$573,"Y")&gt;0,"Y","")</f>
        <v/>
      </c>
      <c r="J210">
        <f>MINIFS(SITE!$G$2:$G$573,SITE!$B$2:$B$573,B210)</f>
        <v/>
      </c>
      <c r="K210">
        <f>IF(J210-TODAY()&lt;183,"임박","")</f>
        <v/>
      </c>
    </row>
    <row r="211">
      <c r="A211" t="inlineStr">
        <is>
          <t>C210</t>
        </is>
      </c>
      <c r="B211" t="inlineStr">
        <is>
          <t>제이더블유중외제약</t>
        </is>
      </c>
      <c r="C211" t="inlineStr">
        <is>
          <t>제이더블유중외제약(주)</t>
        </is>
      </c>
      <c r="D211">
        <f>COUNTIF(SITE!$B$2:$B$573,B211)</f>
        <v/>
      </c>
      <c r="E211">
        <f>SUMIFS(SITE!$H$2:$H$573,SITE!$B$2:$B$573,B211)</f>
        <v/>
      </c>
      <c r="F211">
        <f>IF(COUNTIFS(SITE!$B$2:$B$573,B211,SITE!$E$2:$E$573,"완제의약품")&gt;0,"Y","")</f>
        <v/>
      </c>
      <c r="G211">
        <f>IF(COUNTIFS(SITE!$B$2:$B$573,B211,SITE!$E$2:$E$573,"원료의약품")&gt;0,"Y","")</f>
        <v/>
      </c>
      <c r="H211">
        <f>IF(COUNTIFS(SITE!$B$2:$B$573,B211,SITE!$I$2:$I$573,"Y")&gt;0,"Y","")</f>
        <v/>
      </c>
      <c r="I211">
        <f>IF(COUNTIFS(SITE!$B$2:$B$573,B211,SITE!$J$2:$J$573,"Y")&gt;0,"Y","")</f>
        <v/>
      </c>
      <c r="J211">
        <f>MINIFS(SITE!$G$2:$G$573,SITE!$B$2:$B$573,B211)</f>
        <v/>
      </c>
      <c r="K211">
        <f>IF(J211-TODAY()&lt;183,"임박","")</f>
        <v/>
      </c>
    </row>
    <row r="212">
      <c r="A212" t="inlineStr">
        <is>
          <t>C211</t>
        </is>
      </c>
      <c r="B212" t="inlineStr">
        <is>
          <t>천일가스</t>
        </is>
      </c>
      <c r="C212" t="inlineStr">
        <is>
          <t>(주)천일가스</t>
        </is>
      </c>
      <c r="D212">
        <f>COUNTIF(SITE!$B$2:$B$573,B212)</f>
        <v/>
      </c>
      <c r="E212">
        <f>SUMIFS(SITE!$H$2:$H$573,SITE!$B$2:$B$573,B212)</f>
        <v/>
      </c>
      <c r="F212">
        <f>IF(COUNTIFS(SITE!$B$2:$B$573,B212,SITE!$E$2:$E$573,"완제의약품")&gt;0,"Y","")</f>
        <v/>
      </c>
      <c r="G212">
        <f>IF(COUNTIFS(SITE!$B$2:$B$573,B212,SITE!$E$2:$E$573,"원료의약품")&gt;0,"Y","")</f>
        <v/>
      </c>
      <c r="H212">
        <f>IF(COUNTIFS(SITE!$B$2:$B$573,B212,SITE!$I$2:$I$573,"Y")&gt;0,"Y","")</f>
        <v/>
      </c>
      <c r="I212">
        <f>IF(COUNTIFS(SITE!$B$2:$B$573,B212,SITE!$J$2:$J$573,"Y")&gt;0,"Y","")</f>
        <v/>
      </c>
      <c r="J212">
        <f>MINIFS(SITE!$G$2:$G$573,SITE!$B$2:$B$573,B212)</f>
        <v/>
      </c>
      <c r="K212">
        <f>IF(J212-TODAY()&lt;183,"임박","")</f>
        <v/>
      </c>
    </row>
    <row r="213">
      <c r="A213" t="inlineStr">
        <is>
          <t>C212</t>
        </is>
      </c>
      <c r="B213" t="inlineStr">
        <is>
          <t>한국수소</t>
        </is>
      </c>
      <c r="C213" t="inlineStr">
        <is>
          <t>한국수소(주)</t>
        </is>
      </c>
      <c r="D213">
        <f>COUNTIF(SITE!$B$2:$B$573,B213)</f>
        <v/>
      </c>
      <c r="E213">
        <f>SUMIFS(SITE!$H$2:$H$573,SITE!$B$2:$B$573,B213)</f>
        <v/>
      </c>
      <c r="F213">
        <f>IF(COUNTIFS(SITE!$B$2:$B$573,B213,SITE!$E$2:$E$573,"완제의약품")&gt;0,"Y","")</f>
        <v/>
      </c>
      <c r="G213">
        <f>IF(COUNTIFS(SITE!$B$2:$B$573,B213,SITE!$E$2:$E$573,"원료의약품")&gt;0,"Y","")</f>
        <v/>
      </c>
      <c r="H213">
        <f>IF(COUNTIFS(SITE!$B$2:$B$573,B213,SITE!$I$2:$I$573,"Y")&gt;0,"Y","")</f>
        <v/>
      </c>
      <c r="I213">
        <f>IF(COUNTIFS(SITE!$B$2:$B$573,B213,SITE!$J$2:$J$573,"Y")&gt;0,"Y","")</f>
        <v/>
      </c>
      <c r="J213">
        <f>MINIFS(SITE!$G$2:$G$573,SITE!$B$2:$B$573,B213)</f>
        <v/>
      </c>
      <c r="K213">
        <f>IF(J213-TODAY()&lt;183,"임박","")</f>
        <v/>
      </c>
    </row>
    <row r="214">
      <c r="A214" t="inlineStr">
        <is>
          <t>C213</t>
        </is>
      </c>
      <c r="B214" t="inlineStr">
        <is>
          <t>명인제약</t>
        </is>
      </c>
      <c r="C214" t="inlineStr">
        <is>
          <t>명인제약(주)</t>
        </is>
      </c>
      <c r="D214">
        <f>COUNTIF(SITE!$B$2:$B$573,B214)</f>
        <v/>
      </c>
      <c r="E214">
        <f>SUMIFS(SITE!$H$2:$H$573,SITE!$B$2:$B$573,B214)</f>
        <v/>
      </c>
      <c r="F214">
        <f>IF(COUNTIFS(SITE!$B$2:$B$573,B214,SITE!$E$2:$E$573,"완제의약품")&gt;0,"Y","")</f>
        <v/>
      </c>
      <c r="G214">
        <f>IF(COUNTIFS(SITE!$B$2:$B$573,B214,SITE!$E$2:$E$573,"원료의약품")&gt;0,"Y","")</f>
        <v/>
      </c>
      <c r="H214">
        <f>IF(COUNTIFS(SITE!$B$2:$B$573,B214,SITE!$I$2:$I$573,"Y")&gt;0,"Y","")</f>
        <v/>
      </c>
      <c r="I214">
        <f>IF(COUNTIFS(SITE!$B$2:$B$573,B214,SITE!$J$2:$J$573,"Y")&gt;0,"Y","")</f>
        <v/>
      </c>
      <c r="J214">
        <f>MINIFS(SITE!$G$2:$G$573,SITE!$B$2:$B$573,B214)</f>
        <v/>
      </c>
      <c r="K214">
        <f>IF(J214-TODAY()&lt;183,"임박","")</f>
        <v/>
      </c>
      <c r="L214" t="inlineStr">
        <is>
          <t>Y</t>
        </is>
      </c>
      <c r="M214" t="inlineStr">
        <is>
          <t>유가</t>
        </is>
      </c>
      <c r="N214" t="inlineStr">
        <is>
          <t>317450</t>
        </is>
      </c>
      <c r="O214" t="inlineStr">
        <is>
          <t>의약품 제조업</t>
        </is>
      </c>
      <c r="P214" t="inlineStr">
        <is>
          <t>신경정신계열, 구강계열 완제의약품</t>
        </is>
      </c>
      <c r="Q214" t="inlineStr">
        <is>
          <t>이관순,차봉권</t>
        </is>
      </c>
      <c r="R214" t="inlineStr">
        <is>
          <t>http://www.myunginph.co.kr</t>
        </is>
      </c>
      <c r="S214" t="inlineStr">
        <is>
          <t>경기도</t>
        </is>
      </c>
    </row>
    <row r="215">
      <c r="A215" t="inlineStr">
        <is>
          <t>C214</t>
        </is>
      </c>
      <c r="B215" t="inlineStr">
        <is>
          <t>제이투에이치바이오텍</t>
        </is>
      </c>
      <c r="C215" t="inlineStr">
        <is>
          <t>제이투에이치바이오텍(주)</t>
        </is>
      </c>
      <c r="D215">
        <f>COUNTIF(SITE!$B$2:$B$573,B215)</f>
        <v/>
      </c>
      <c r="E215">
        <f>SUMIFS(SITE!$H$2:$H$573,SITE!$B$2:$B$573,B215)</f>
        <v/>
      </c>
      <c r="F215">
        <f>IF(COUNTIFS(SITE!$B$2:$B$573,B215,SITE!$E$2:$E$573,"완제의약품")&gt;0,"Y","")</f>
        <v/>
      </c>
      <c r="G215">
        <f>IF(COUNTIFS(SITE!$B$2:$B$573,B215,SITE!$E$2:$E$573,"원료의약품")&gt;0,"Y","")</f>
        <v/>
      </c>
      <c r="H215">
        <f>IF(COUNTIFS(SITE!$B$2:$B$573,B215,SITE!$I$2:$I$573,"Y")&gt;0,"Y","")</f>
        <v/>
      </c>
      <c r="I215">
        <f>IF(COUNTIFS(SITE!$B$2:$B$573,B215,SITE!$J$2:$J$573,"Y")&gt;0,"Y","")</f>
        <v/>
      </c>
      <c r="J215">
        <f>MINIFS(SITE!$G$2:$G$573,SITE!$B$2:$B$573,B215)</f>
        <v/>
      </c>
      <c r="K215">
        <f>IF(J215-TODAY()&lt;183,"임박","")</f>
        <v/>
      </c>
    </row>
    <row r="216">
      <c r="A216" t="inlineStr">
        <is>
          <t>C215</t>
        </is>
      </c>
      <c r="B216" t="inlineStr">
        <is>
          <t>삼진제약</t>
        </is>
      </c>
      <c r="C216" t="inlineStr">
        <is>
          <t>삼진제약(주)</t>
        </is>
      </c>
      <c r="D216">
        <f>COUNTIF(SITE!$B$2:$B$573,B216)</f>
        <v/>
      </c>
      <c r="E216">
        <f>SUMIFS(SITE!$H$2:$H$573,SITE!$B$2:$B$573,B216)</f>
        <v/>
      </c>
      <c r="F216">
        <f>IF(COUNTIFS(SITE!$B$2:$B$573,B216,SITE!$E$2:$E$573,"완제의약품")&gt;0,"Y","")</f>
        <v/>
      </c>
      <c r="G216">
        <f>IF(COUNTIFS(SITE!$B$2:$B$573,B216,SITE!$E$2:$E$573,"원료의약품")&gt;0,"Y","")</f>
        <v/>
      </c>
      <c r="H216">
        <f>IF(COUNTIFS(SITE!$B$2:$B$573,B216,SITE!$I$2:$I$573,"Y")&gt;0,"Y","")</f>
        <v/>
      </c>
      <c r="I216">
        <f>IF(COUNTIFS(SITE!$B$2:$B$573,B216,SITE!$J$2:$J$573,"Y")&gt;0,"Y","")</f>
        <v/>
      </c>
      <c r="J216">
        <f>MINIFS(SITE!$G$2:$G$573,SITE!$B$2:$B$573,B216)</f>
        <v/>
      </c>
      <c r="K216">
        <f>IF(J216-TODAY()&lt;183,"임박","")</f>
        <v/>
      </c>
      <c r="L216" t="inlineStr">
        <is>
          <t>Y</t>
        </is>
      </c>
      <c r="M216" t="inlineStr">
        <is>
          <t>유가</t>
        </is>
      </c>
      <c r="N216" t="inlineStr">
        <is>
          <t>005500</t>
        </is>
      </c>
      <c r="O216" t="inlineStr">
        <is>
          <t>의약품 제조업</t>
        </is>
      </c>
      <c r="P216" t="inlineStr">
        <is>
          <t>의약품(게보린,세트라졸,염산나록손) 제조,판매,수출입,약초재배</t>
        </is>
      </c>
      <c r="Q216" t="inlineStr">
        <is>
          <t>최지현, 조규석</t>
        </is>
      </c>
      <c r="R216" t="inlineStr">
        <is>
          <t>http://www.samjinpharm.co.kr</t>
        </is>
      </c>
      <c r="S216" t="inlineStr">
        <is>
          <t>서울특별시</t>
        </is>
      </c>
    </row>
    <row r="217">
      <c r="A217" t="inlineStr">
        <is>
          <t>C216</t>
        </is>
      </c>
      <c r="B217" t="inlineStr">
        <is>
          <t>바이넥스</t>
        </is>
      </c>
      <c r="C217" t="inlineStr">
        <is>
          <t>(주)바이넥스</t>
        </is>
      </c>
      <c r="D217">
        <f>COUNTIF(SITE!$B$2:$B$573,B217)</f>
        <v/>
      </c>
      <c r="E217">
        <f>SUMIFS(SITE!$H$2:$H$573,SITE!$B$2:$B$573,B217)</f>
        <v/>
      </c>
      <c r="F217">
        <f>IF(COUNTIFS(SITE!$B$2:$B$573,B217,SITE!$E$2:$E$573,"완제의약품")&gt;0,"Y","")</f>
        <v/>
      </c>
      <c r="G217">
        <f>IF(COUNTIFS(SITE!$B$2:$B$573,B217,SITE!$E$2:$E$573,"원료의약품")&gt;0,"Y","")</f>
        <v/>
      </c>
      <c r="H217">
        <f>IF(COUNTIFS(SITE!$B$2:$B$573,B217,SITE!$I$2:$I$573,"Y")&gt;0,"Y","")</f>
        <v/>
      </c>
      <c r="I217">
        <f>IF(COUNTIFS(SITE!$B$2:$B$573,B217,SITE!$J$2:$J$573,"Y")&gt;0,"Y","")</f>
        <v/>
      </c>
      <c r="J217">
        <f>MINIFS(SITE!$G$2:$G$573,SITE!$B$2:$B$573,B217)</f>
        <v/>
      </c>
      <c r="K217">
        <f>IF(J217-TODAY()&lt;183,"임박","")</f>
        <v/>
      </c>
      <c r="L217" t="inlineStr">
        <is>
          <t>Y</t>
        </is>
      </c>
      <c r="M217" t="inlineStr">
        <is>
          <t>코스닥</t>
        </is>
      </c>
      <c r="N217" t="inlineStr">
        <is>
          <t>053030</t>
        </is>
      </c>
      <c r="O217" t="inlineStr">
        <is>
          <t>의약품 제조업</t>
        </is>
      </c>
      <c r="P217" t="inlineStr">
        <is>
          <t>정장제, 소화제</t>
        </is>
      </c>
      <c r="Q217" t="inlineStr">
        <is>
          <t>이혁종</t>
        </is>
      </c>
      <c r="R217" t="inlineStr">
        <is>
          <t>http://www.bi-nex.co.kr</t>
        </is>
      </c>
      <c r="S217" t="inlineStr">
        <is>
          <t>부산광역시</t>
        </is>
      </c>
    </row>
    <row r="218">
      <c r="A218" t="inlineStr">
        <is>
          <t>C217</t>
        </is>
      </c>
      <c r="B218" t="inlineStr">
        <is>
          <t>삼전순약공업</t>
        </is>
      </c>
      <c r="C218" t="inlineStr">
        <is>
          <t>삼전순약공업(주)</t>
        </is>
      </c>
      <c r="D218">
        <f>COUNTIF(SITE!$B$2:$B$573,B218)</f>
        <v/>
      </c>
      <c r="E218">
        <f>SUMIFS(SITE!$H$2:$H$573,SITE!$B$2:$B$573,B218)</f>
        <v/>
      </c>
      <c r="F218">
        <f>IF(COUNTIFS(SITE!$B$2:$B$573,B218,SITE!$E$2:$E$573,"완제의약품")&gt;0,"Y","")</f>
        <v/>
      </c>
      <c r="G218">
        <f>IF(COUNTIFS(SITE!$B$2:$B$573,B218,SITE!$E$2:$E$573,"원료의약품")&gt;0,"Y","")</f>
        <v/>
      </c>
      <c r="H218">
        <f>IF(COUNTIFS(SITE!$B$2:$B$573,B218,SITE!$I$2:$I$573,"Y")&gt;0,"Y","")</f>
        <v/>
      </c>
      <c r="I218">
        <f>IF(COUNTIFS(SITE!$B$2:$B$573,B218,SITE!$J$2:$J$573,"Y")&gt;0,"Y","")</f>
        <v/>
      </c>
      <c r="J218">
        <f>MINIFS(SITE!$G$2:$G$573,SITE!$B$2:$B$573,B218)</f>
        <v/>
      </c>
      <c r="K218">
        <f>IF(J218-TODAY()&lt;183,"임박","")</f>
        <v/>
      </c>
    </row>
    <row r="219">
      <c r="A219" t="inlineStr">
        <is>
          <t>C218</t>
        </is>
      </c>
      <c r="B219" t="inlineStr">
        <is>
          <t>국제산업가스</t>
        </is>
      </c>
      <c r="C219" t="inlineStr">
        <is>
          <t>국제산업가스(주)</t>
        </is>
      </c>
      <c r="D219">
        <f>COUNTIF(SITE!$B$2:$B$573,B219)</f>
        <v/>
      </c>
      <c r="E219">
        <f>SUMIFS(SITE!$H$2:$H$573,SITE!$B$2:$B$573,B219)</f>
        <v/>
      </c>
      <c r="F219">
        <f>IF(COUNTIFS(SITE!$B$2:$B$573,B219,SITE!$E$2:$E$573,"완제의약품")&gt;0,"Y","")</f>
        <v/>
      </c>
      <c r="G219">
        <f>IF(COUNTIFS(SITE!$B$2:$B$573,B219,SITE!$E$2:$E$573,"원료의약품")&gt;0,"Y","")</f>
        <v/>
      </c>
      <c r="H219">
        <f>IF(COUNTIFS(SITE!$B$2:$B$573,B219,SITE!$I$2:$I$573,"Y")&gt;0,"Y","")</f>
        <v/>
      </c>
      <c r="I219">
        <f>IF(COUNTIFS(SITE!$B$2:$B$573,B219,SITE!$J$2:$J$573,"Y")&gt;0,"Y","")</f>
        <v/>
      </c>
      <c r="J219">
        <f>MINIFS(SITE!$G$2:$G$573,SITE!$B$2:$B$573,B219)</f>
        <v/>
      </c>
      <c r="K219">
        <f>IF(J219-TODAY()&lt;183,"임박","")</f>
        <v/>
      </c>
    </row>
    <row r="220">
      <c r="A220" t="inlineStr">
        <is>
          <t>C219</t>
        </is>
      </c>
      <c r="B220" t="inlineStr">
        <is>
          <t>아주산소</t>
        </is>
      </c>
      <c r="C220" t="inlineStr">
        <is>
          <t>아주산소(주)</t>
        </is>
      </c>
      <c r="D220">
        <f>COUNTIF(SITE!$B$2:$B$573,B220)</f>
        <v/>
      </c>
      <c r="E220">
        <f>SUMIFS(SITE!$H$2:$H$573,SITE!$B$2:$B$573,B220)</f>
        <v/>
      </c>
      <c r="F220">
        <f>IF(COUNTIFS(SITE!$B$2:$B$573,B220,SITE!$E$2:$E$573,"완제의약품")&gt;0,"Y","")</f>
        <v/>
      </c>
      <c r="G220">
        <f>IF(COUNTIFS(SITE!$B$2:$B$573,B220,SITE!$E$2:$E$573,"원료의약품")&gt;0,"Y","")</f>
        <v/>
      </c>
      <c r="H220">
        <f>IF(COUNTIFS(SITE!$B$2:$B$573,B220,SITE!$I$2:$I$573,"Y")&gt;0,"Y","")</f>
        <v/>
      </c>
      <c r="I220">
        <f>IF(COUNTIFS(SITE!$B$2:$B$573,B220,SITE!$J$2:$J$573,"Y")&gt;0,"Y","")</f>
        <v/>
      </c>
      <c r="J220">
        <f>MINIFS(SITE!$G$2:$G$573,SITE!$B$2:$B$573,B220)</f>
        <v/>
      </c>
      <c r="K220">
        <f>IF(J220-TODAY()&lt;183,"임박","")</f>
        <v/>
      </c>
    </row>
    <row r="221">
      <c r="A221" t="inlineStr">
        <is>
          <t>C220</t>
        </is>
      </c>
      <c r="B221" t="inlineStr">
        <is>
          <t>선도화학</t>
        </is>
      </c>
      <c r="C221" t="inlineStr">
        <is>
          <t>선도화학주식회사</t>
        </is>
      </c>
      <c r="D221">
        <f>COUNTIF(SITE!$B$2:$B$573,B221)</f>
        <v/>
      </c>
      <c r="E221">
        <f>SUMIFS(SITE!$H$2:$H$573,SITE!$B$2:$B$573,B221)</f>
        <v/>
      </c>
      <c r="F221">
        <f>IF(COUNTIFS(SITE!$B$2:$B$573,B221,SITE!$E$2:$E$573,"완제의약품")&gt;0,"Y","")</f>
        <v/>
      </c>
      <c r="G221">
        <f>IF(COUNTIFS(SITE!$B$2:$B$573,B221,SITE!$E$2:$E$573,"원료의약품")&gt;0,"Y","")</f>
        <v/>
      </c>
      <c r="H221">
        <f>IF(COUNTIFS(SITE!$B$2:$B$573,B221,SITE!$I$2:$I$573,"Y")&gt;0,"Y","")</f>
        <v/>
      </c>
      <c r="I221">
        <f>IF(COUNTIFS(SITE!$B$2:$B$573,B221,SITE!$J$2:$J$573,"Y")&gt;0,"Y","")</f>
        <v/>
      </c>
      <c r="J221">
        <f>MINIFS(SITE!$G$2:$G$573,SITE!$B$2:$B$573,B221)</f>
        <v/>
      </c>
      <c r="K221">
        <f>IF(J221-TODAY()&lt;183,"임박","")</f>
        <v/>
      </c>
    </row>
    <row r="222">
      <c r="A222" t="inlineStr">
        <is>
          <t>C221</t>
        </is>
      </c>
      <c r="B222" t="inlineStr">
        <is>
          <t>영진약품</t>
        </is>
      </c>
      <c r="C222" t="inlineStr">
        <is>
          <t>영진약품(주)</t>
        </is>
      </c>
      <c r="D222">
        <f>COUNTIF(SITE!$B$2:$B$573,B222)</f>
        <v/>
      </c>
      <c r="E222">
        <f>SUMIFS(SITE!$H$2:$H$573,SITE!$B$2:$B$573,B222)</f>
        <v/>
      </c>
      <c r="F222">
        <f>IF(COUNTIFS(SITE!$B$2:$B$573,B222,SITE!$E$2:$E$573,"완제의약품")&gt;0,"Y","")</f>
        <v/>
      </c>
      <c r="G222">
        <f>IF(COUNTIFS(SITE!$B$2:$B$573,B222,SITE!$E$2:$E$573,"원료의약품")&gt;0,"Y","")</f>
        <v/>
      </c>
      <c r="H222">
        <f>IF(COUNTIFS(SITE!$B$2:$B$573,B222,SITE!$I$2:$I$573,"Y")&gt;0,"Y","")</f>
        <v/>
      </c>
      <c r="I222">
        <f>IF(COUNTIFS(SITE!$B$2:$B$573,B222,SITE!$J$2:$J$573,"Y")&gt;0,"Y","")</f>
        <v/>
      </c>
      <c r="J222">
        <f>MINIFS(SITE!$G$2:$G$573,SITE!$B$2:$B$573,B222)</f>
        <v/>
      </c>
      <c r="K222">
        <f>IF(J222-TODAY()&lt;183,"임박","")</f>
        <v/>
      </c>
      <c r="L222" t="inlineStr">
        <is>
          <t>Y</t>
        </is>
      </c>
      <c r="M222" t="inlineStr">
        <is>
          <t>유가</t>
        </is>
      </c>
      <c r="N222" t="inlineStr">
        <is>
          <t>003520</t>
        </is>
      </c>
      <c r="O222" t="inlineStr">
        <is>
          <t>의약품 제조업</t>
        </is>
      </c>
      <c r="P222" t="inlineStr">
        <is>
          <t>의약품(드링크제,항생제,영양수액제),의약부외품 제조,판매</t>
        </is>
      </c>
      <c r="Q222" t="inlineStr">
        <is>
          <t>이기수</t>
        </is>
      </c>
      <c r="R222" t="inlineStr">
        <is>
          <t>http://www.yungjin.co.kr</t>
        </is>
      </c>
      <c r="S222" t="inlineStr">
        <is>
          <t>서울특별시</t>
        </is>
      </c>
    </row>
    <row r="223">
      <c r="A223" t="inlineStr">
        <is>
          <t>C222</t>
        </is>
      </c>
      <c r="B223" t="inlineStr">
        <is>
          <t>팜젠사이언스</t>
        </is>
      </c>
      <c r="C223" t="inlineStr">
        <is>
          <t>(주)팜젠사이언스</t>
        </is>
      </c>
      <c r="D223">
        <f>COUNTIF(SITE!$B$2:$B$573,B223)</f>
        <v/>
      </c>
      <c r="E223">
        <f>SUMIFS(SITE!$H$2:$H$573,SITE!$B$2:$B$573,B223)</f>
        <v/>
      </c>
      <c r="F223">
        <f>IF(COUNTIFS(SITE!$B$2:$B$573,B223,SITE!$E$2:$E$573,"완제의약품")&gt;0,"Y","")</f>
        <v/>
      </c>
      <c r="G223">
        <f>IF(COUNTIFS(SITE!$B$2:$B$573,B223,SITE!$E$2:$E$573,"원료의약품")&gt;0,"Y","")</f>
        <v/>
      </c>
      <c r="H223">
        <f>IF(COUNTIFS(SITE!$B$2:$B$573,B223,SITE!$I$2:$I$573,"Y")&gt;0,"Y","")</f>
        <v/>
      </c>
      <c r="I223">
        <f>IF(COUNTIFS(SITE!$B$2:$B$573,B223,SITE!$J$2:$J$573,"Y")&gt;0,"Y","")</f>
        <v/>
      </c>
      <c r="J223">
        <f>MINIFS(SITE!$G$2:$G$573,SITE!$B$2:$B$573,B223)</f>
        <v/>
      </c>
      <c r="K223">
        <f>IF(J223-TODAY()&lt;183,"임박","")</f>
        <v/>
      </c>
      <c r="L223" t="inlineStr">
        <is>
          <t>Y</t>
        </is>
      </c>
      <c r="M223" t="inlineStr">
        <is>
          <t>유가</t>
        </is>
      </c>
      <c r="N223" t="inlineStr">
        <is>
          <t>004720</t>
        </is>
      </c>
      <c r="O223" t="inlineStr">
        <is>
          <t>의약품 제조업</t>
        </is>
      </c>
      <c r="P223" t="inlineStr">
        <is>
          <t>의약품 외</t>
        </is>
      </c>
      <c r="Q223" t="inlineStr">
        <is>
          <t>박희덕</t>
        </is>
      </c>
      <c r="R223" t="inlineStr">
        <is>
          <t>http://www.pharmgenscience.com</t>
        </is>
      </c>
      <c r="S223" t="inlineStr">
        <is>
          <t>경기도</t>
        </is>
      </c>
    </row>
    <row r="224">
      <c r="A224" t="inlineStr">
        <is>
          <t>C223</t>
        </is>
      </c>
      <c r="B224" t="inlineStr">
        <is>
          <t>알보젠코리아</t>
        </is>
      </c>
      <c r="C224" t="inlineStr">
        <is>
          <t>알보젠코리아(주)</t>
        </is>
      </c>
      <c r="D224">
        <f>COUNTIF(SITE!$B$2:$B$573,B224)</f>
        <v/>
      </c>
      <c r="E224">
        <f>SUMIFS(SITE!$H$2:$H$573,SITE!$B$2:$B$573,B224)</f>
        <v/>
      </c>
      <c r="F224">
        <f>IF(COUNTIFS(SITE!$B$2:$B$573,B224,SITE!$E$2:$E$573,"완제의약품")&gt;0,"Y","")</f>
        <v/>
      </c>
      <c r="G224">
        <f>IF(COUNTIFS(SITE!$B$2:$B$573,B224,SITE!$E$2:$E$573,"원료의약품")&gt;0,"Y","")</f>
        <v/>
      </c>
      <c r="H224">
        <f>IF(COUNTIFS(SITE!$B$2:$B$573,B224,SITE!$I$2:$I$573,"Y")&gt;0,"Y","")</f>
        <v/>
      </c>
      <c r="I224">
        <f>IF(COUNTIFS(SITE!$B$2:$B$573,B224,SITE!$J$2:$J$573,"Y")&gt;0,"Y","")</f>
        <v/>
      </c>
      <c r="J224">
        <f>MINIFS(SITE!$G$2:$G$573,SITE!$B$2:$B$573,B224)</f>
        <v/>
      </c>
      <c r="K224">
        <f>IF(J224-TODAY()&lt;183,"임박","")</f>
        <v/>
      </c>
    </row>
    <row r="225">
      <c r="A225" t="inlineStr">
        <is>
          <t>C224</t>
        </is>
      </c>
      <c r="B225" t="inlineStr">
        <is>
          <t>신화제약</t>
        </is>
      </c>
      <c r="C225" t="inlineStr">
        <is>
          <t>신화제약(주)</t>
        </is>
      </c>
      <c r="D225">
        <f>COUNTIF(SITE!$B$2:$B$573,B225)</f>
        <v/>
      </c>
      <c r="E225">
        <f>SUMIFS(SITE!$H$2:$H$573,SITE!$B$2:$B$573,B225)</f>
        <v/>
      </c>
      <c r="F225">
        <f>IF(COUNTIFS(SITE!$B$2:$B$573,B225,SITE!$E$2:$E$573,"완제의약품")&gt;0,"Y","")</f>
        <v/>
      </c>
      <c r="G225">
        <f>IF(COUNTIFS(SITE!$B$2:$B$573,B225,SITE!$E$2:$E$573,"원료의약품")&gt;0,"Y","")</f>
        <v/>
      </c>
      <c r="H225">
        <f>IF(COUNTIFS(SITE!$B$2:$B$573,B225,SITE!$I$2:$I$573,"Y")&gt;0,"Y","")</f>
        <v/>
      </c>
      <c r="I225">
        <f>IF(COUNTIFS(SITE!$B$2:$B$573,B225,SITE!$J$2:$J$573,"Y")&gt;0,"Y","")</f>
        <v/>
      </c>
      <c r="J225">
        <f>MINIFS(SITE!$G$2:$G$573,SITE!$B$2:$B$573,B225)</f>
        <v/>
      </c>
      <c r="K225">
        <f>IF(J225-TODAY()&lt;183,"임박","")</f>
        <v/>
      </c>
    </row>
    <row r="226">
      <c r="A226" t="inlineStr">
        <is>
          <t>C225</t>
        </is>
      </c>
      <c r="B226" t="inlineStr">
        <is>
          <t>비씨월드제약</t>
        </is>
      </c>
      <c r="C226" t="inlineStr">
        <is>
          <t>(주)비씨월드제약</t>
        </is>
      </c>
      <c r="D226">
        <f>COUNTIF(SITE!$B$2:$B$573,B226)</f>
        <v/>
      </c>
      <c r="E226">
        <f>SUMIFS(SITE!$H$2:$H$573,SITE!$B$2:$B$573,B226)</f>
        <v/>
      </c>
      <c r="F226">
        <f>IF(COUNTIFS(SITE!$B$2:$B$573,B226,SITE!$E$2:$E$573,"완제의약품")&gt;0,"Y","")</f>
        <v/>
      </c>
      <c r="G226">
        <f>IF(COUNTIFS(SITE!$B$2:$B$573,B226,SITE!$E$2:$E$573,"원료의약품")&gt;0,"Y","")</f>
        <v/>
      </c>
      <c r="H226">
        <f>IF(COUNTIFS(SITE!$B$2:$B$573,B226,SITE!$I$2:$I$573,"Y")&gt;0,"Y","")</f>
        <v/>
      </c>
      <c r="I226">
        <f>IF(COUNTIFS(SITE!$B$2:$B$573,B226,SITE!$J$2:$J$573,"Y")&gt;0,"Y","")</f>
        <v/>
      </c>
      <c r="J226">
        <f>MINIFS(SITE!$G$2:$G$573,SITE!$B$2:$B$573,B226)</f>
        <v/>
      </c>
      <c r="K226">
        <f>IF(J226-TODAY()&lt;183,"임박","")</f>
        <v/>
      </c>
      <c r="L226" t="inlineStr">
        <is>
          <t>Y</t>
        </is>
      </c>
      <c r="M226" t="inlineStr">
        <is>
          <t>코스닥</t>
        </is>
      </c>
      <c r="N226" t="inlineStr">
        <is>
          <t>200780</t>
        </is>
      </c>
      <c r="O226" t="inlineStr">
        <is>
          <t>의약품 제조업</t>
        </is>
      </c>
      <c r="P226" t="inlineStr">
        <is>
          <t>마취통증약, 순환계약, 항생제, 기타처방약</t>
        </is>
      </c>
      <c r="Q226" t="inlineStr">
        <is>
          <t>홍성한</t>
        </is>
      </c>
      <c r="R226" t="inlineStr">
        <is>
          <t>http://www.bcwp.co.kr</t>
        </is>
      </c>
      <c r="S226" t="inlineStr">
        <is>
          <t>경기도</t>
        </is>
      </c>
    </row>
    <row r="227">
      <c r="A227" t="inlineStr">
        <is>
          <t>C226</t>
        </is>
      </c>
      <c r="B227" t="inlineStr">
        <is>
          <t>아이티켐</t>
        </is>
      </c>
      <c r="C227" t="inlineStr">
        <is>
          <t>(주)아이티켐</t>
        </is>
      </c>
      <c r="D227">
        <f>COUNTIF(SITE!$B$2:$B$573,B227)</f>
        <v/>
      </c>
      <c r="E227">
        <f>SUMIFS(SITE!$H$2:$H$573,SITE!$B$2:$B$573,B227)</f>
        <v/>
      </c>
      <c r="F227">
        <f>IF(COUNTIFS(SITE!$B$2:$B$573,B227,SITE!$E$2:$E$573,"완제의약품")&gt;0,"Y","")</f>
        <v/>
      </c>
      <c r="G227">
        <f>IF(COUNTIFS(SITE!$B$2:$B$573,B227,SITE!$E$2:$E$573,"원료의약품")&gt;0,"Y","")</f>
        <v/>
      </c>
      <c r="H227">
        <f>IF(COUNTIFS(SITE!$B$2:$B$573,B227,SITE!$I$2:$I$573,"Y")&gt;0,"Y","")</f>
        <v/>
      </c>
      <c r="I227">
        <f>IF(COUNTIFS(SITE!$B$2:$B$573,B227,SITE!$J$2:$J$573,"Y")&gt;0,"Y","")</f>
        <v/>
      </c>
      <c r="J227">
        <f>MINIFS(SITE!$G$2:$G$573,SITE!$B$2:$B$573,B227)</f>
        <v/>
      </c>
      <c r="K227">
        <f>IF(J227-TODAY()&lt;183,"임박","")</f>
        <v/>
      </c>
      <c r="L227" t="inlineStr">
        <is>
          <t>Y</t>
        </is>
      </c>
      <c r="M227" t="inlineStr">
        <is>
          <t>코스닥</t>
        </is>
      </c>
      <c r="N227" t="inlineStr">
        <is>
          <t>309710</t>
        </is>
      </c>
      <c r="O227" t="inlineStr">
        <is>
          <t>기초 의약물질 제조업</t>
        </is>
      </c>
      <c r="P227" t="inlineStr">
        <is>
          <t>원료의약품, 의약품중간체 및 전자재료 등</t>
        </is>
      </c>
      <c r="Q227" t="inlineStr">
        <is>
          <t>김인규</t>
        </is>
      </c>
      <c r="R227" t="inlineStr">
        <is>
          <t>http://itchem.co.kr/home/main.php</t>
        </is>
      </c>
      <c r="S227" t="inlineStr">
        <is>
          <t>충청북도</t>
        </is>
      </c>
    </row>
    <row r="228">
      <c r="A228" t="inlineStr">
        <is>
          <t>C227</t>
        </is>
      </c>
      <c r="B228" t="inlineStr">
        <is>
          <t>동양산업가스</t>
        </is>
      </c>
      <c r="C228" t="inlineStr">
        <is>
          <t>동양산업가스(주)</t>
        </is>
      </c>
      <c r="D228">
        <f>COUNTIF(SITE!$B$2:$B$573,B228)</f>
        <v/>
      </c>
      <c r="E228">
        <f>SUMIFS(SITE!$H$2:$H$573,SITE!$B$2:$B$573,B228)</f>
        <v/>
      </c>
      <c r="F228">
        <f>IF(COUNTIFS(SITE!$B$2:$B$573,B228,SITE!$E$2:$E$573,"완제의약품")&gt;0,"Y","")</f>
        <v/>
      </c>
      <c r="G228">
        <f>IF(COUNTIFS(SITE!$B$2:$B$573,B228,SITE!$E$2:$E$573,"원료의약품")&gt;0,"Y","")</f>
        <v/>
      </c>
      <c r="H228">
        <f>IF(COUNTIFS(SITE!$B$2:$B$573,B228,SITE!$I$2:$I$573,"Y")&gt;0,"Y","")</f>
        <v/>
      </c>
      <c r="I228">
        <f>IF(COUNTIFS(SITE!$B$2:$B$573,B228,SITE!$J$2:$J$573,"Y")&gt;0,"Y","")</f>
        <v/>
      </c>
      <c r="J228">
        <f>MINIFS(SITE!$G$2:$G$573,SITE!$B$2:$B$573,B228)</f>
        <v/>
      </c>
      <c r="K228">
        <f>IF(J228-TODAY()&lt;183,"임박","")</f>
        <v/>
      </c>
    </row>
    <row r="229">
      <c r="A229" t="inlineStr">
        <is>
          <t>C228</t>
        </is>
      </c>
      <c r="B229" t="inlineStr">
        <is>
          <t>신일가스-영암</t>
        </is>
      </c>
      <c r="C229" t="inlineStr">
        <is>
          <t>신일가스(주)-영암</t>
        </is>
      </c>
      <c r="D229">
        <f>COUNTIF(SITE!$B$2:$B$573,B229)</f>
        <v/>
      </c>
      <c r="E229">
        <f>SUMIFS(SITE!$H$2:$H$573,SITE!$B$2:$B$573,B229)</f>
        <v/>
      </c>
      <c r="F229">
        <f>IF(COUNTIFS(SITE!$B$2:$B$573,B229,SITE!$E$2:$E$573,"완제의약품")&gt;0,"Y","")</f>
        <v/>
      </c>
      <c r="G229">
        <f>IF(COUNTIFS(SITE!$B$2:$B$573,B229,SITE!$E$2:$E$573,"원료의약품")&gt;0,"Y","")</f>
        <v/>
      </c>
      <c r="H229">
        <f>IF(COUNTIFS(SITE!$B$2:$B$573,B229,SITE!$I$2:$I$573,"Y")&gt;0,"Y","")</f>
        <v/>
      </c>
      <c r="I229">
        <f>IF(COUNTIFS(SITE!$B$2:$B$573,B229,SITE!$J$2:$J$573,"Y")&gt;0,"Y","")</f>
        <v/>
      </c>
      <c r="J229">
        <f>MINIFS(SITE!$G$2:$G$573,SITE!$B$2:$B$573,B229)</f>
        <v/>
      </c>
      <c r="K229">
        <f>IF(J229-TODAY()&lt;183,"임박","")</f>
        <v/>
      </c>
    </row>
    <row r="230">
      <c r="A230" t="inlineStr">
        <is>
          <t>C229</t>
        </is>
      </c>
      <c r="B230" t="inlineStr">
        <is>
          <t>삼양산업</t>
        </is>
      </c>
      <c r="C230" t="inlineStr">
        <is>
          <t>삼양산업(주)</t>
        </is>
      </c>
      <c r="D230">
        <f>COUNTIF(SITE!$B$2:$B$573,B230)</f>
        <v/>
      </c>
      <c r="E230">
        <f>SUMIFS(SITE!$H$2:$H$573,SITE!$B$2:$B$573,B230)</f>
        <v/>
      </c>
      <c r="F230">
        <f>IF(COUNTIFS(SITE!$B$2:$B$573,B230,SITE!$E$2:$E$573,"완제의약품")&gt;0,"Y","")</f>
        <v/>
      </c>
      <c r="G230">
        <f>IF(COUNTIFS(SITE!$B$2:$B$573,B230,SITE!$E$2:$E$573,"원료의약품")&gt;0,"Y","")</f>
        <v/>
      </c>
      <c r="H230">
        <f>IF(COUNTIFS(SITE!$B$2:$B$573,B230,SITE!$I$2:$I$573,"Y")&gt;0,"Y","")</f>
        <v/>
      </c>
      <c r="I230">
        <f>IF(COUNTIFS(SITE!$B$2:$B$573,B230,SITE!$J$2:$J$573,"Y")&gt;0,"Y","")</f>
        <v/>
      </c>
      <c r="J230">
        <f>MINIFS(SITE!$G$2:$G$573,SITE!$B$2:$B$573,B230)</f>
        <v/>
      </c>
      <c r="K230">
        <f>IF(J230-TODAY()&lt;183,"임박","")</f>
        <v/>
      </c>
    </row>
    <row r="231">
      <c r="A231" t="inlineStr">
        <is>
          <t>C230</t>
        </is>
      </c>
      <c r="B231" t="inlineStr">
        <is>
          <t>경남제약</t>
        </is>
      </c>
      <c r="C231" t="inlineStr">
        <is>
          <t>경남제약(주)</t>
        </is>
      </c>
      <c r="D231">
        <f>COUNTIF(SITE!$B$2:$B$573,B231)</f>
        <v/>
      </c>
      <c r="E231">
        <f>SUMIFS(SITE!$H$2:$H$573,SITE!$B$2:$B$573,B231)</f>
        <v/>
      </c>
      <c r="F231">
        <f>IF(COUNTIFS(SITE!$B$2:$B$573,B231,SITE!$E$2:$E$573,"완제의약품")&gt;0,"Y","")</f>
        <v/>
      </c>
      <c r="G231">
        <f>IF(COUNTIFS(SITE!$B$2:$B$573,B231,SITE!$E$2:$E$573,"원료의약품")&gt;0,"Y","")</f>
        <v/>
      </c>
      <c r="H231">
        <f>IF(COUNTIFS(SITE!$B$2:$B$573,B231,SITE!$I$2:$I$573,"Y")&gt;0,"Y","")</f>
        <v/>
      </c>
      <c r="I231">
        <f>IF(COUNTIFS(SITE!$B$2:$B$573,B231,SITE!$J$2:$J$573,"Y")&gt;0,"Y","")</f>
        <v/>
      </c>
      <c r="J231">
        <f>MINIFS(SITE!$G$2:$G$573,SITE!$B$2:$B$573,B231)</f>
        <v/>
      </c>
      <c r="K231">
        <f>IF(J231-TODAY()&lt;183,"임박","")</f>
        <v/>
      </c>
      <c r="L231" t="inlineStr">
        <is>
          <t>Y</t>
        </is>
      </c>
      <c r="M231" t="inlineStr">
        <is>
          <t>코스닥</t>
        </is>
      </c>
      <c r="N231" t="inlineStr">
        <is>
          <t>053950</t>
        </is>
      </c>
      <c r="O231" t="inlineStr">
        <is>
          <t>의약품 제조업</t>
        </is>
      </c>
      <c r="P231" t="inlineStr">
        <is>
          <t>의약품</t>
        </is>
      </c>
      <c r="Q231" t="inlineStr">
        <is>
          <t>김성곤</t>
        </is>
      </c>
      <c r="R231" t="inlineStr">
        <is>
          <t>http://www.kyungnampharm.com</t>
        </is>
      </c>
      <c r="S231" t="inlineStr">
        <is>
          <t>경상남도</t>
        </is>
      </c>
    </row>
    <row r="232">
      <c r="A232" t="inlineStr">
        <is>
          <t>C231</t>
        </is>
      </c>
      <c r="B232" t="inlineStr">
        <is>
          <t>삼일제약</t>
        </is>
      </c>
      <c r="C232" t="inlineStr">
        <is>
          <t>삼일제약(주)</t>
        </is>
      </c>
      <c r="D232">
        <f>COUNTIF(SITE!$B$2:$B$573,B232)</f>
        <v/>
      </c>
      <c r="E232">
        <f>SUMIFS(SITE!$H$2:$H$573,SITE!$B$2:$B$573,B232)</f>
        <v/>
      </c>
      <c r="F232">
        <f>IF(COUNTIFS(SITE!$B$2:$B$573,B232,SITE!$E$2:$E$573,"완제의약품")&gt;0,"Y","")</f>
        <v/>
      </c>
      <c r="G232">
        <f>IF(COUNTIFS(SITE!$B$2:$B$573,B232,SITE!$E$2:$E$573,"원료의약품")&gt;0,"Y","")</f>
        <v/>
      </c>
      <c r="H232">
        <f>IF(COUNTIFS(SITE!$B$2:$B$573,B232,SITE!$I$2:$I$573,"Y")&gt;0,"Y","")</f>
        <v/>
      </c>
      <c r="I232">
        <f>IF(COUNTIFS(SITE!$B$2:$B$573,B232,SITE!$J$2:$J$573,"Y")&gt;0,"Y","")</f>
        <v/>
      </c>
      <c r="J232">
        <f>MINIFS(SITE!$G$2:$G$573,SITE!$B$2:$B$573,B232)</f>
        <v/>
      </c>
      <c r="K232">
        <f>IF(J232-TODAY()&lt;183,"임박","")</f>
        <v/>
      </c>
      <c r="L232" t="inlineStr">
        <is>
          <t>Y</t>
        </is>
      </c>
      <c r="M232" t="inlineStr">
        <is>
          <t>유가</t>
        </is>
      </c>
      <c r="N232" t="inlineStr">
        <is>
          <t>000520</t>
        </is>
      </c>
      <c r="O232" t="inlineStr">
        <is>
          <t>의약품 제조업</t>
        </is>
      </c>
      <c r="P232" t="inlineStr">
        <is>
          <t>양약(부루펜,액티피드,포리부틴) 제조,도매</t>
        </is>
      </c>
      <c r="Q232" t="inlineStr">
        <is>
          <t>허승범</t>
        </is>
      </c>
      <c r="R232" t="inlineStr">
        <is>
          <t>http://www.samil-pharm.com</t>
        </is>
      </c>
      <c r="S232" t="inlineStr">
        <is>
          <t>서울특별시</t>
        </is>
      </c>
    </row>
    <row r="233">
      <c r="A233" t="inlineStr">
        <is>
          <t>C232</t>
        </is>
      </c>
      <c r="B233" t="inlineStr">
        <is>
          <t>대창가스공업사</t>
        </is>
      </c>
      <c r="C233" t="inlineStr">
        <is>
          <t>대창가스공업사</t>
        </is>
      </c>
      <c r="D233">
        <f>COUNTIF(SITE!$B$2:$B$573,B233)</f>
        <v/>
      </c>
      <c r="E233">
        <f>SUMIFS(SITE!$H$2:$H$573,SITE!$B$2:$B$573,B233)</f>
        <v/>
      </c>
      <c r="F233">
        <f>IF(COUNTIFS(SITE!$B$2:$B$573,B233,SITE!$E$2:$E$573,"완제의약품")&gt;0,"Y","")</f>
        <v/>
      </c>
      <c r="G233">
        <f>IF(COUNTIFS(SITE!$B$2:$B$573,B233,SITE!$E$2:$E$573,"원료의약품")&gt;0,"Y","")</f>
        <v/>
      </c>
      <c r="H233">
        <f>IF(COUNTIFS(SITE!$B$2:$B$573,B233,SITE!$I$2:$I$573,"Y")&gt;0,"Y","")</f>
        <v/>
      </c>
      <c r="I233">
        <f>IF(COUNTIFS(SITE!$B$2:$B$573,B233,SITE!$J$2:$J$573,"Y")&gt;0,"Y","")</f>
        <v/>
      </c>
      <c r="J233">
        <f>MINIFS(SITE!$G$2:$G$573,SITE!$B$2:$B$573,B233)</f>
        <v/>
      </c>
      <c r="K233">
        <f>IF(J233-TODAY()&lt;183,"임박","")</f>
        <v/>
      </c>
    </row>
    <row r="234">
      <c r="A234" t="inlineStr">
        <is>
          <t>C233</t>
        </is>
      </c>
      <c r="B234" t="inlineStr">
        <is>
          <t>한성산업</t>
        </is>
      </c>
      <c r="C234" t="inlineStr">
        <is>
          <t>한성산업(주)</t>
        </is>
      </c>
      <c r="D234">
        <f>COUNTIF(SITE!$B$2:$B$573,B234)</f>
        <v/>
      </c>
      <c r="E234">
        <f>SUMIFS(SITE!$H$2:$H$573,SITE!$B$2:$B$573,B234)</f>
        <v/>
      </c>
      <c r="F234">
        <f>IF(COUNTIFS(SITE!$B$2:$B$573,B234,SITE!$E$2:$E$573,"완제의약품")&gt;0,"Y","")</f>
        <v/>
      </c>
      <c r="G234">
        <f>IF(COUNTIFS(SITE!$B$2:$B$573,B234,SITE!$E$2:$E$573,"원료의약품")&gt;0,"Y","")</f>
        <v/>
      </c>
      <c r="H234">
        <f>IF(COUNTIFS(SITE!$B$2:$B$573,B234,SITE!$I$2:$I$573,"Y")&gt;0,"Y","")</f>
        <v/>
      </c>
      <c r="I234">
        <f>IF(COUNTIFS(SITE!$B$2:$B$573,B234,SITE!$J$2:$J$573,"Y")&gt;0,"Y","")</f>
        <v/>
      </c>
      <c r="J234">
        <f>MINIFS(SITE!$G$2:$G$573,SITE!$B$2:$B$573,B234)</f>
        <v/>
      </c>
      <c r="K234">
        <f>IF(J234-TODAY()&lt;183,"임박","")</f>
        <v/>
      </c>
    </row>
    <row r="235">
      <c r="A235" t="inlineStr">
        <is>
          <t>C234</t>
        </is>
      </c>
      <c r="B235" t="inlineStr">
        <is>
          <t>피케이씨</t>
        </is>
      </c>
      <c r="C235" t="inlineStr">
        <is>
          <t>피케이씨 주식회사</t>
        </is>
      </c>
      <c r="D235">
        <f>COUNTIF(SITE!$B$2:$B$573,B235)</f>
        <v/>
      </c>
      <c r="E235">
        <f>SUMIFS(SITE!$H$2:$H$573,SITE!$B$2:$B$573,B235)</f>
        <v/>
      </c>
      <c r="F235">
        <f>IF(COUNTIFS(SITE!$B$2:$B$573,B235,SITE!$E$2:$E$573,"완제의약품")&gt;0,"Y","")</f>
        <v/>
      </c>
      <c r="G235">
        <f>IF(COUNTIFS(SITE!$B$2:$B$573,B235,SITE!$E$2:$E$573,"원료의약품")&gt;0,"Y","")</f>
        <v/>
      </c>
      <c r="H235">
        <f>IF(COUNTIFS(SITE!$B$2:$B$573,B235,SITE!$I$2:$I$573,"Y")&gt;0,"Y","")</f>
        <v/>
      </c>
      <c r="I235">
        <f>IF(COUNTIFS(SITE!$B$2:$B$573,B235,SITE!$J$2:$J$573,"Y")&gt;0,"Y","")</f>
        <v/>
      </c>
      <c r="J235">
        <f>MINIFS(SITE!$G$2:$G$573,SITE!$B$2:$B$573,B235)</f>
        <v/>
      </c>
      <c r="K235">
        <f>IF(J235-TODAY()&lt;183,"임박","")</f>
        <v/>
      </c>
    </row>
    <row r="236">
      <c r="A236" t="inlineStr">
        <is>
          <t>C235</t>
        </is>
      </c>
      <c r="B236" t="inlineStr">
        <is>
          <t>삼익제약</t>
        </is>
      </c>
      <c r="C236" t="inlineStr">
        <is>
          <t>삼익제약(주)</t>
        </is>
      </c>
      <c r="D236">
        <f>COUNTIF(SITE!$B$2:$B$573,B236)</f>
        <v/>
      </c>
      <c r="E236">
        <f>SUMIFS(SITE!$H$2:$H$573,SITE!$B$2:$B$573,B236)</f>
        <v/>
      </c>
      <c r="F236">
        <f>IF(COUNTIFS(SITE!$B$2:$B$573,B236,SITE!$E$2:$E$573,"완제의약품")&gt;0,"Y","")</f>
        <v/>
      </c>
      <c r="G236">
        <f>IF(COUNTIFS(SITE!$B$2:$B$573,B236,SITE!$E$2:$E$573,"원료의약품")&gt;0,"Y","")</f>
        <v/>
      </c>
      <c r="H236">
        <f>IF(COUNTIFS(SITE!$B$2:$B$573,B236,SITE!$I$2:$I$573,"Y")&gt;0,"Y","")</f>
        <v/>
      </c>
      <c r="I236">
        <f>IF(COUNTIFS(SITE!$B$2:$B$573,B236,SITE!$J$2:$J$573,"Y")&gt;0,"Y","")</f>
        <v/>
      </c>
      <c r="J236">
        <f>MINIFS(SITE!$G$2:$G$573,SITE!$B$2:$B$573,B236)</f>
        <v/>
      </c>
      <c r="K236">
        <f>IF(J236-TODAY()&lt;183,"임박","")</f>
        <v/>
      </c>
      <c r="L236" t="inlineStr">
        <is>
          <t>Y</t>
        </is>
      </c>
      <c r="M236" t="inlineStr">
        <is>
          <t>코스닥</t>
        </is>
      </c>
      <c r="N236" t="inlineStr">
        <is>
          <t>014950</t>
        </is>
      </c>
      <c r="O236" t="inlineStr">
        <is>
          <t>의약품 제조업</t>
        </is>
      </c>
      <c r="P236" t="inlineStr">
        <is>
          <t>완제의약품 제조 및 CMO</t>
        </is>
      </c>
      <c r="Q236" t="inlineStr">
        <is>
          <t>이충환</t>
        </is>
      </c>
      <c r="R236" t="inlineStr">
        <is>
          <t>http://www.samik.co.kr</t>
        </is>
      </c>
      <c r="S236" t="inlineStr">
        <is>
          <t>인천광역시</t>
        </is>
      </c>
    </row>
    <row r="237">
      <c r="A237" t="inlineStr">
        <is>
          <t>C236</t>
        </is>
      </c>
      <c r="B237" t="inlineStr">
        <is>
          <t>삼아제약</t>
        </is>
      </c>
      <c r="C237" t="inlineStr">
        <is>
          <t>삼아제약(주)</t>
        </is>
      </c>
      <c r="D237">
        <f>COUNTIF(SITE!$B$2:$B$573,B237)</f>
        <v/>
      </c>
      <c r="E237">
        <f>SUMIFS(SITE!$H$2:$H$573,SITE!$B$2:$B$573,B237)</f>
        <v/>
      </c>
      <c r="F237">
        <f>IF(COUNTIFS(SITE!$B$2:$B$573,B237,SITE!$E$2:$E$573,"완제의약품")&gt;0,"Y","")</f>
        <v/>
      </c>
      <c r="G237">
        <f>IF(COUNTIFS(SITE!$B$2:$B$573,B237,SITE!$E$2:$E$573,"원료의약품")&gt;0,"Y","")</f>
        <v/>
      </c>
      <c r="H237">
        <f>IF(COUNTIFS(SITE!$B$2:$B$573,B237,SITE!$I$2:$I$573,"Y")&gt;0,"Y","")</f>
        <v/>
      </c>
      <c r="I237">
        <f>IF(COUNTIFS(SITE!$B$2:$B$573,B237,SITE!$J$2:$J$573,"Y")&gt;0,"Y","")</f>
        <v/>
      </c>
      <c r="J237">
        <f>MINIFS(SITE!$G$2:$G$573,SITE!$B$2:$B$573,B237)</f>
        <v/>
      </c>
      <c r="K237">
        <f>IF(J237-TODAY()&lt;183,"임박","")</f>
        <v/>
      </c>
      <c r="L237" t="inlineStr">
        <is>
          <t>Y</t>
        </is>
      </c>
      <c r="M237" t="inlineStr">
        <is>
          <t>코스닥</t>
        </is>
      </c>
      <c r="N237" t="inlineStr">
        <is>
          <t>009300</t>
        </is>
      </c>
      <c r="O237" t="inlineStr">
        <is>
          <t>의약품 제조업</t>
        </is>
      </c>
      <c r="P237" t="inlineStr">
        <is>
          <t>노마에프, 아토크건조시럽, 코데날정, 코코시럽, 스마엘</t>
        </is>
      </c>
      <c r="Q237" t="inlineStr">
        <is>
          <t>허 준</t>
        </is>
      </c>
      <c r="R237" t="inlineStr">
        <is>
          <t>http://www.samapharm.co.kr</t>
        </is>
      </c>
      <c r="S237" t="inlineStr">
        <is>
          <t>강원특별자치도</t>
        </is>
      </c>
    </row>
    <row r="238">
      <c r="A238" t="inlineStr">
        <is>
          <t>C237</t>
        </is>
      </c>
      <c r="B238" t="inlineStr">
        <is>
          <t>아리제약</t>
        </is>
      </c>
      <c r="C238" t="inlineStr">
        <is>
          <t>(주)아리제약</t>
        </is>
      </c>
      <c r="D238">
        <f>COUNTIF(SITE!$B$2:$B$573,B238)</f>
        <v/>
      </c>
      <c r="E238">
        <f>SUMIFS(SITE!$H$2:$H$573,SITE!$B$2:$B$573,B238)</f>
        <v/>
      </c>
      <c r="F238">
        <f>IF(COUNTIFS(SITE!$B$2:$B$573,B238,SITE!$E$2:$E$573,"완제의약품")&gt;0,"Y","")</f>
        <v/>
      </c>
      <c r="G238">
        <f>IF(COUNTIFS(SITE!$B$2:$B$573,B238,SITE!$E$2:$E$573,"원료의약품")&gt;0,"Y","")</f>
        <v/>
      </c>
      <c r="H238">
        <f>IF(COUNTIFS(SITE!$B$2:$B$573,B238,SITE!$I$2:$I$573,"Y")&gt;0,"Y","")</f>
        <v/>
      </c>
      <c r="I238">
        <f>IF(COUNTIFS(SITE!$B$2:$B$573,B238,SITE!$J$2:$J$573,"Y")&gt;0,"Y","")</f>
        <v/>
      </c>
      <c r="J238">
        <f>MINIFS(SITE!$G$2:$G$573,SITE!$B$2:$B$573,B238)</f>
        <v/>
      </c>
      <c r="K238">
        <f>IF(J238-TODAY()&lt;183,"임박","")</f>
        <v/>
      </c>
    </row>
    <row r="239">
      <c r="A239" t="inlineStr">
        <is>
          <t>C238</t>
        </is>
      </c>
      <c r="B239" t="inlineStr">
        <is>
          <t>한국파비스제약</t>
        </is>
      </c>
      <c r="C239" t="inlineStr">
        <is>
          <t>(주)한국파비스제약</t>
        </is>
      </c>
      <c r="D239">
        <f>COUNTIF(SITE!$B$2:$B$573,B239)</f>
        <v/>
      </c>
      <c r="E239">
        <f>SUMIFS(SITE!$H$2:$H$573,SITE!$B$2:$B$573,B239)</f>
        <v/>
      </c>
      <c r="F239">
        <f>IF(COUNTIFS(SITE!$B$2:$B$573,B239,SITE!$E$2:$E$573,"완제의약품")&gt;0,"Y","")</f>
        <v/>
      </c>
      <c r="G239">
        <f>IF(COUNTIFS(SITE!$B$2:$B$573,B239,SITE!$E$2:$E$573,"원료의약품")&gt;0,"Y","")</f>
        <v/>
      </c>
      <c r="H239">
        <f>IF(COUNTIFS(SITE!$B$2:$B$573,B239,SITE!$I$2:$I$573,"Y")&gt;0,"Y","")</f>
        <v/>
      </c>
      <c r="I239">
        <f>IF(COUNTIFS(SITE!$B$2:$B$573,B239,SITE!$J$2:$J$573,"Y")&gt;0,"Y","")</f>
        <v/>
      </c>
      <c r="J239">
        <f>MINIFS(SITE!$G$2:$G$573,SITE!$B$2:$B$573,B239)</f>
        <v/>
      </c>
      <c r="K239">
        <f>IF(J239-TODAY()&lt;183,"임박","")</f>
        <v/>
      </c>
    </row>
    <row r="240">
      <c r="A240" t="inlineStr">
        <is>
          <t>C239</t>
        </is>
      </c>
      <c r="B240" t="inlineStr">
        <is>
          <t>제일가스</t>
        </is>
      </c>
      <c r="C240" t="inlineStr">
        <is>
          <t>(주)제일가스</t>
        </is>
      </c>
      <c r="D240">
        <f>COUNTIF(SITE!$B$2:$B$573,B240)</f>
        <v/>
      </c>
      <c r="E240">
        <f>SUMIFS(SITE!$H$2:$H$573,SITE!$B$2:$B$573,B240)</f>
        <v/>
      </c>
      <c r="F240">
        <f>IF(COUNTIFS(SITE!$B$2:$B$573,B240,SITE!$E$2:$E$573,"완제의약품")&gt;0,"Y","")</f>
        <v/>
      </c>
      <c r="G240">
        <f>IF(COUNTIFS(SITE!$B$2:$B$573,B240,SITE!$E$2:$E$573,"원료의약품")&gt;0,"Y","")</f>
        <v/>
      </c>
      <c r="H240">
        <f>IF(COUNTIFS(SITE!$B$2:$B$573,B240,SITE!$I$2:$I$573,"Y")&gt;0,"Y","")</f>
        <v/>
      </c>
      <c r="I240">
        <f>IF(COUNTIFS(SITE!$B$2:$B$573,B240,SITE!$J$2:$J$573,"Y")&gt;0,"Y","")</f>
        <v/>
      </c>
      <c r="J240">
        <f>MINIFS(SITE!$G$2:$G$573,SITE!$B$2:$B$573,B240)</f>
        <v/>
      </c>
      <c r="K240">
        <f>IF(J240-TODAY()&lt;183,"임박","")</f>
        <v/>
      </c>
    </row>
    <row r="241">
      <c r="A241" t="inlineStr">
        <is>
          <t>C240</t>
        </is>
      </c>
      <c r="B241" t="inlineStr">
        <is>
          <t>케이에스테크</t>
        </is>
      </c>
      <c r="C241" t="inlineStr">
        <is>
          <t>주식회사 케이에스테크</t>
        </is>
      </c>
      <c r="D241">
        <f>COUNTIF(SITE!$B$2:$B$573,B241)</f>
        <v/>
      </c>
      <c r="E241">
        <f>SUMIFS(SITE!$H$2:$H$573,SITE!$B$2:$B$573,B241)</f>
        <v/>
      </c>
      <c r="F241">
        <f>IF(COUNTIFS(SITE!$B$2:$B$573,B241,SITE!$E$2:$E$573,"완제의약품")&gt;0,"Y","")</f>
        <v/>
      </c>
      <c r="G241">
        <f>IF(COUNTIFS(SITE!$B$2:$B$573,B241,SITE!$E$2:$E$573,"원료의약품")&gt;0,"Y","")</f>
        <v/>
      </c>
      <c r="H241">
        <f>IF(COUNTIFS(SITE!$B$2:$B$573,B241,SITE!$I$2:$I$573,"Y")&gt;0,"Y","")</f>
        <v/>
      </c>
      <c r="I241">
        <f>IF(COUNTIFS(SITE!$B$2:$B$573,B241,SITE!$J$2:$J$573,"Y")&gt;0,"Y","")</f>
        <v/>
      </c>
      <c r="J241">
        <f>MINIFS(SITE!$G$2:$G$573,SITE!$B$2:$B$573,B241)</f>
        <v/>
      </c>
      <c r="K241">
        <f>IF(J241-TODAY()&lt;183,"임박","")</f>
        <v/>
      </c>
    </row>
    <row r="242">
      <c r="A242" t="inlineStr">
        <is>
          <t>C241</t>
        </is>
      </c>
      <c r="B242" t="inlineStr">
        <is>
          <t>영풍제약</t>
        </is>
      </c>
      <c r="C242" t="inlineStr">
        <is>
          <t>영풍제약(주)</t>
        </is>
      </c>
      <c r="D242">
        <f>COUNTIF(SITE!$B$2:$B$573,B242)</f>
        <v/>
      </c>
      <c r="E242">
        <f>SUMIFS(SITE!$H$2:$H$573,SITE!$B$2:$B$573,B242)</f>
        <v/>
      </c>
      <c r="F242">
        <f>IF(COUNTIFS(SITE!$B$2:$B$573,B242,SITE!$E$2:$E$573,"완제의약품")&gt;0,"Y","")</f>
        <v/>
      </c>
      <c r="G242">
        <f>IF(COUNTIFS(SITE!$B$2:$B$573,B242,SITE!$E$2:$E$573,"원료의약품")&gt;0,"Y","")</f>
        <v/>
      </c>
      <c r="H242">
        <f>IF(COUNTIFS(SITE!$B$2:$B$573,B242,SITE!$I$2:$I$573,"Y")&gt;0,"Y","")</f>
        <v/>
      </c>
      <c r="I242">
        <f>IF(COUNTIFS(SITE!$B$2:$B$573,B242,SITE!$J$2:$J$573,"Y")&gt;0,"Y","")</f>
        <v/>
      </c>
      <c r="J242">
        <f>MINIFS(SITE!$G$2:$G$573,SITE!$B$2:$B$573,B242)</f>
        <v/>
      </c>
      <c r="K242">
        <f>IF(J242-TODAY()&lt;183,"임박","")</f>
        <v/>
      </c>
    </row>
    <row r="243">
      <c r="A243" t="inlineStr">
        <is>
          <t>C242</t>
        </is>
      </c>
      <c r="B243" t="inlineStr">
        <is>
          <t>아이큐어</t>
        </is>
      </c>
      <c r="C243" t="inlineStr">
        <is>
          <t>아이큐어(주)</t>
        </is>
      </c>
      <c r="D243">
        <f>COUNTIF(SITE!$B$2:$B$573,B243)</f>
        <v/>
      </c>
      <c r="E243">
        <f>SUMIFS(SITE!$H$2:$H$573,SITE!$B$2:$B$573,B243)</f>
        <v/>
      </c>
      <c r="F243">
        <f>IF(COUNTIFS(SITE!$B$2:$B$573,B243,SITE!$E$2:$E$573,"완제의약품")&gt;0,"Y","")</f>
        <v/>
      </c>
      <c r="G243">
        <f>IF(COUNTIFS(SITE!$B$2:$B$573,B243,SITE!$E$2:$E$573,"원료의약품")&gt;0,"Y","")</f>
        <v/>
      </c>
      <c r="H243">
        <f>IF(COUNTIFS(SITE!$B$2:$B$573,B243,SITE!$I$2:$I$573,"Y")&gt;0,"Y","")</f>
        <v/>
      </c>
      <c r="I243">
        <f>IF(COUNTIFS(SITE!$B$2:$B$573,B243,SITE!$J$2:$J$573,"Y")&gt;0,"Y","")</f>
        <v/>
      </c>
      <c r="J243">
        <f>MINIFS(SITE!$G$2:$G$573,SITE!$B$2:$B$573,B243)</f>
        <v/>
      </c>
      <c r="K243">
        <f>IF(J243-TODAY()&lt;183,"임박","")</f>
        <v/>
      </c>
      <c r="L243" t="inlineStr">
        <is>
          <t>Y</t>
        </is>
      </c>
      <c r="M243" t="inlineStr">
        <is>
          <t>코스닥</t>
        </is>
      </c>
      <c r="N243" t="inlineStr">
        <is>
          <t>175250</t>
        </is>
      </c>
      <c r="O243" t="inlineStr">
        <is>
          <t>기타 화학제품 제조업</t>
        </is>
      </c>
      <c r="P243" t="inlineStr">
        <is>
          <t>플라스타, 의약 및 의약외품 패취등, 마스크팩, 화장품 기초라인</t>
        </is>
      </c>
      <c r="Q243" t="inlineStr">
        <is>
          <t>이영석</t>
        </is>
      </c>
      <c r="R243" t="inlineStr">
        <is>
          <t>http://icure.co.kr</t>
        </is>
      </c>
      <c r="S243" t="inlineStr">
        <is>
          <t>서울특별시</t>
        </is>
      </c>
    </row>
    <row r="244">
      <c r="A244" t="inlineStr">
        <is>
          <t>C243</t>
        </is>
      </c>
      <c r="B244" t="inlineStr">
        <is>
          <t>익수제약</t>
        </is>
      </c>
      <c r="C244" t="inlineStr">
        <is>
          <t>익수제약(주)</t>
        </is>
      </c>
      <c r="D244">
        <f>COUNTIF(SITE!$B$2:$B$573,B244)</f>
        <v/>
      </c>
      <c r="E244">
        <f>SUMIFS(SITE!$H$2:$H$573,SITE!$B$2:$B$573,B244)</f>
        <v/>
      </c>
      <c r="F244">
        <f>IF(COUNTIFS(SITE!$B$2:$B$573,B244,SITE!$E$2:$E$573,"완제의약품")&gt;0,"Y","")</f>
        <v/>
      </c>
      <c r="G244">
        <f>IF(COUNTIFS(SITE!$B$2:$B$573,B244,SITE!$E$2:$E$573,"원료의약품")&gt;0,"Y","")</f>
        <v/>
      </c>
      <c r="H244">
        <f>IF(COUNTIFS(SITE!$B$2:$B$573,B244,SITE!$I$2:$I$573,"Y")&gt;0,"Y","")</f>
        <v/>
      </c>
      <c r="I244">
        <f>IF(COUNTIFS(SITE!$B$2:$B$573,B244,SITE!$J$2:$J$573,"Y")&gt;0,"Y","")</f>
        <v/>
      </c>
      <c r="J244">
        <f>MINIFS(SITE!$G$2:$G$573,SITE!$B$2:$B$573,B244)</f>
        <v/>
      </c>
      <c r="K244">
        <f>IF(J244-TODAY()&lt;183,"임박","")</f>
        <v/>
      </c>
    </row>
    <row r="245">
      <c r="A245" t="inlineStr">
        <is>
          <t>C244</t>
        </is>
      </c>
      <c r="B245" t="inlineStr">
        <is>
          <t>한국휴텍스제약</t>
        </is>
      </c>
      <c r="C245" t="inlineStr">
        <is>
          <t>한국휴텍스제약(주)</t>
        </is>
      </c>
      <c r="D245">
        <f>COUNTIF(SITE!$B$2:$B$573,B245)</f>
        <v/>
      </c>
      <c r="E245">
        <f>SUMIFS(SITE!$H$2:$H$573,SITE!$B$2:$B$573,B245)</f>
        <v/>
      </c>
      <c r="F245">
        <f>IF(COUNTIFS(SITE!$B$2:$B$573,B245,SITE!$E$2:$E$573,"완제의약품")&gt;0,"Y","")</f>
        <v/>
      </c>
      <c r="G245">
        <f>IF(COUNTIFS(SITE!$B$2:$B$573,B245,SITE!$E$2:$E$573,"원료의약품")&gt;0,"Y","")</f>
        <v/>
      </c>
      <c r="H245">
        <f>IF(COUNTIFS(SITE!$B$2:$B$573,B245,SITE!$I$2:$I$573,"Y")&gt;0,"Y","")</f>
        <v/>
      </c>
      <c r="I245">
        <f>IF(COUNTIFS(SITE!$B$2:$B$573,B245,SITE!$J$2:$J$573,"Y")&gt;0,"Y","")</f>
        <v/>
      </c>
      <c r="J245">
        <f>MINIFS(SITE!$G$2:$G$573,SITE!$B$2:$B$573,B245)</f>
        <v/>
      </c>
      <c r="K245">
        <f>IF(J245-TODAY()&lt;183,"임박","")</f>
        <v/>
      </c>
    </row>
    <row r="246">
      <c r="A246" t="inlineStr">
        <is>
          <t>C245</t>
        </is>
      </c>
      <c r="B246" t="inlineStr">
        <is>
          <t>큐엘파마</t>
        </is>
      </c>
      <c r="C246" t="inlineStr">
        <is>
          <t>주식회사큐엘파마</t>
        </is>
      </c>
      <c r="D246">
        <f>COUNTIF(SITE!$B$2:$B$573,B246)</f>
        <v/>
      </c>
      <c r="E246">
        <f>SUMIFS(SITE!$H$2:$H$573,SITE!$B$2:$B$573,B246)</f>
        <v/>
      </c>
      <c r="F246">
        <f>IF(COUNTIFS(SITE!$B$2:$B$573,B246,SITE!$E$2:$E$573,"완제의약품")&gt;0,"Y","")</f>
        <v/>
      </c>
      <c r="G246">
        <f>IF(COUNTIFS(SITE!$B$2:$B$573,B246,SITE!$E$2:$E$573,"원료의약품")&gt;0,"Y","")</f>
        <v/>
      </c>
      <c r="H246">
        <f>IF(COUNTIFS(SITE!$B$2:$B$573,B246,SITE!$I$2:$I$573,"Y")&gt;0,"Y","")</f>
        <v/>
      </c>
      <c r="I246">
        <f>IF(COUNTIFS(SITE!$B$2:$B$573,B246,SITE!$J$2:$J$573,"Y")&gt;0,"Y","")</f>
        <v/>
      </c>
      <c r="J246">
        <f>MINIFS(SITE!$G$2:$G$573,SITE!$B$2:$B$573,B246)</f>
        <v/>
      </c>
      <c r="K246">
        <f>IF(J246-TODAY()&lt;183,"임박","")</f>
        <v/>
      </c>
    </row>
    <row r="247">
      <c r="A247" t="inlineStr">
        <is>
          <t>C246</t>
        </is>
      </c>
      <c r="B247" t="inlineStr">
        <is>
          <t>폴라리스에이아이파마</t>
        </is>
      </c>
      <c r="C247" t="inlineStr">
        <is>
          <t>(주)폴라리스에이아이파마</t>
        </is>
      </c>
      <c r="D247">
        <f>COUNTIF(SITE!$B$2:$B$573,B247)</f>
        <v/>
      </c>
      <c r="E247">
        <f>SUMIFS(SITE!$H$2:$H$573,SITE!$B$2:$B$573,B247)</f>
        <v/>
      </c>
      <c r="F247">
        <f>IF(COUNTIFS(SITE!$B$2:$B$573,B247,SITE!$E$2:$E$573,"완제의약품")&gt;0,"Y","")</f>
        <v/>
      </c>
      <c r="G247">
        <f>IF(COUNTIFS(SITE!$B$2:$B$573,B247,SITE!$E$2:$E$573,"원료의약품")&gt;0,"Y","")</f>
        <v/>
      </c>
      <c r="H247">
        <f>IF(COUNTIFS(SITE!$B$2:$B$573,B247,SITE!$I$2:$I$573,"Y")&gt;0,"Y","")</f>
        <v/>
      </c>
      <c r="I247">
        <f>IF(COUNTIFS(SITE!$B$2:$B$573,B247,SITE!$J$2:$J$573,"Y")&gt;0,"Y","")</f>
        <v/>
      </c>
      <c r="J247">
        <f>MINIFS(SITE!$G$2:$G$573,SITE!$B$2:$B$573,B247)</f>
        <v/>
      </c>
      <c r="K247">
        <f>IF(J247-TODAY()&lt;183,"임박","")</f>
        <v/>
      </c>
    </row>
    <row r="248">
      <c r="A248" t="inlineStr">
        <is>
          <t>C247</t>
        </is>
      </c>
      <c r="B248" t="inlineStr">
        <is>
          <t>피에스지</t>
        </is>
      </c>
      <c r="C248" t="inlineStr">
        <is>
          <t>(주)피에스지</t>
        </is>
      </c>
      <c r="D248">
        <f>COUNTIF(SITE!$B$2:$B$573,B248)</f>
        <v/>
      </c>
      <c r="E248">
        <f>SUMIFS(SITE!$H$2:$H$573,SITE!$B$2:$B$573,B248)</f>
        <v/>
      </c>
      <c r="F248">
        <f>IF(COUNTIFS(SITE!$B$2:$B$573,B248,SITE!$E$2:$E$573,"완제의약품")&gt;0,"Y","")</f>
        <v/>
      </c>
      <c r="G248">
        <f>IF(COUNTIFS(SITE!$B$2:$B$573,B248,SITE!$E$2:$E$573,"원료의약품")&gt;0,"Y","")</f>
        <v/>
      </c>
      <c r="H248">
        <f>IF(COUNTIFS(SITE!$B$2:$B$573,B248,SITE!$I$2:$I$573,"Y")&gt;0,"Y","")</f>
        <v/>
      </c>
      <c r="I248">
        <f>IF(COUNTIFS(SITE!$B$2:$B$573,B248,SITE!$J$2:$J$573,"Y")&gt;0,"Y","")</f>
        <v/>
      </c>
      <c r="J248">
        <f>MINIFS(SITE!$G$2:$G$573,SITE!$B$2:$B$573,B248)</f>
        <v/>
      </c>
      <c r="K248">
        <f>IF(J248-TODAY()&lt;183,"임박","")</f>
        <v/>
      </c>
    </row>
    <row r="249">
      <c r="A249" t="inlineStr">
        <is>
          <t>C248</t>
        </is>
      </c>
      <c r="B249" t="inlineStr">
        <is>
          <t>메디카코리아</t>
        </is>
      </c>
      <c r="C249" t="inlineStr">
        <is>
          <t>(주)메디카코리아</t>
        </is>
      </c>
      <c r="D249">
        <f>COUNTIF(SITE!$B$2:$B$573,B249)</f>
        <v/>
      </c>
      <c r="E249">
        <f>SUMIFS(SITE!$H$2:$H$573,SITE!$B$2:$B$573,B249)</f>
        <v/>
      </c>
      <c r="F249">
        <f>IF(COUNTIFS(SITE!$B$2:$B$573,B249,SITE!$E$2:$E$573,"완제의약품")&gt;0,"Y","")</f>
        <v/>
      </c>
      <c r="G249">
        <f>IF(COUNTIFS(SITE!$B$2:$B$573,B249,SITE!$E$2:$E$573,"원료의약품")&gt;0,"Y","")</f>
        <v/>
      </c>
      <c r="H249">
        <f>IF(COUNTIFS(SITE!$B$2:$B$573,B249,SITE!$I$2:$I$573,"Y")&gt;0,"Y","")</f>
        <v/>
      </c>
      <c r="I249">
        <f>IF(COUNTIFS(SITE!$B$2:$B$573,B249,SITE!$J$2:$J$573,"Y")&gt;0,"Y","")</f>
        <v/>
      </c>
      <c r="J249">
        <f>MINIFS(SITE!$G$2:$G$573,SITE!$B$2:$B$573,B249)</f>
        <v/>
      </c>
      <c r="K249">
        <f>IF(J249-TODAY()&lt;183,"임박","")</f>
        <v/>
      </c>
    </row>
    <row r="250">
      <c r="A250" t="inlineStr">
        <is>
          <t>C249</t>
        </is>
      </c>
      <c r="B250" t="inlineStr">
        <is>
          <t>위더스제약</t>
        </is>
      </c>
      <c r="C250" t="inlineStr">
        <is>
          <t>위더스제약(주)</t>
        </is>
      </c>
      <c r="D250">
        <f>COUNTIF(SITE!$B$2:$B$573,B250)</f>
        <v/>
      </c>
      <c r="E250">
        <f>SUMIFS(SITE!$H$2:$H$573,SITE!$B$2:$B$573,B250)</f>
        <v/>
      </c>
      <c r="F250">
        <f>IF(COUNTIFS(SITE!$B$2:$B$573,B250,SITE!$E$2:$E$573,"완제의약품")&gt;0,"Y","")</f>
        <v/>
      </c>
      <c r="G250">
        <f>IF(COUNTIFS(SITE!$B$2:$B$573,B250,SITE!$E$2:$E$573,"원료의약품")&gt;0,"Y","")</f>
        <v/>
      </c>
      <c r="H250">
        <f>IF(COUNTIFS(SITE!$B$2:$B$573,B250,SITE!$I$2:$I$573,"Y")&gt;0,"Y","")</f>
        <v/>
      </c>
      <c r="I250">
        <f>IF(COUNTIFS(SITE!$B$2:$B$573,B250,SITE!$J$2:$J$573,"Y")&gt;0,"Y","")</f>
        <v/>
      </c>
      <c r="J250">
        <f>MINIFS(SITE!$G$2:$G$573,SITE!$B$2:$B$573,B250)</f>
        <v/>
      </c>
      <c r="K250">
        <f>IF(J250-TODAY()&lt;183,"임박","")</f>
        <v/>
      </c>
      <c r="L250" t="inlineStr">
        <is>
          <t>Y</t>
        </is>
      </c>
      <c r="M250" t="inlineStr">
        <is>
          <t>코스닥</t>
        </is>
      </c>
      <c r="N250" t="inlineStr">
        <is>
          <t>330350</t>
        </is>
      </c>
      <c r="O250" t="inlineStr">
        <is>
          <t>의약품 제조업</t>
        </is>
      </c>
      <c r="P250" t="inlineStr">
        <is>
          <t>의약품 제조 및 도소매(순환기용제 등)</t>
        </is>
      </c>
      <c r="Q250" t="inlineStr">
        <is>
          <t>성대영</t>
        </is>
      </c>
      <c r="R250" t="inlineStr">
        <is>
          <t>http://withuspharm.com</t>
        </is>
      </c>
      <c r="S250" t="inlineStr">
        <is>
          <t>서울특별시</t>
        </is>
      </c>
    </row>
    <row r="251">
      <c r="A251" t="inlineStr">
        <is>
          <t>C250</t>
        </is>
      </c>
      <c r="B251" t="inlineStr">
        <is>
          <t>대구경북첨단의료산업진흥재단</t>
        </is>
      </c>
      <c r="C251" t="inlineStr">
        <is>
          <t>대구경북첨단의료산업진흥재단</t>
        </is>
      </c>
      <c r="D251">
        <f>COUNTIF(SITE!$B$2:$B$573,B251)</f>
        <v/>
      </c>
      <c r="E251">
        <f>SUMIFS(SITE!$H$2:$H$573,SITE!$B$2:$B$573,B251)</f>
        <v/>
      </c>
      <c r="F251">
        <f>IF(COUNTIFS(SITE!$B$2:$B$573,B251,SITE!$E$2:$E$573,"완제의약품")&gt;0,"Y","")</f>
        <v/>
      </c>
      <c r="G251">
        <f>IF(COUNTIFS(SITE!$B$2:$B$573,B251,SITE!$E$2:$E$573,"원료의약품")&gt;0,"Y","")</f>
        <v/>
      </c>
      <c r="H251">
        <f>IF(COUNTIFS(SITE!$B$2:$B$573,B251,SITE!$I$2:$I$573,"Y")&gt;0,"Y","")</f>
        <v/>
      </c>
      <c r="I251">
        <f>IF(COUNTIFS(SITE!$B$2:$B$573,B251,SITE!$J$2:$J$573,"Y")&gt;0,"Y","")</f>
        <v/>
      </c>
      <c r="J251">
        <f>MINIFS(SITE!$G$2:$G$573,SITE!$B$2:$B$573,B251)</f>
        <v/>
      </c>
      <c r="K251">
        <f>IF(J251-TODAY()&lt;183,"임박","")</f>
        <v/>
      </c>
    </row>
    <row r="252">
      <c r="A252" t="inlineStr">
        <is>
          <t>C251</t>
        </is>
      </c>
      <c r="B252" t="inlineStr">
        <is>
          <t>셀트리온</t>
        </is>
      </c>
      <c r="C252" t="inlineStr">
        <is>
          <t>(주)셀트리온</t>
        </is>
      </c>
      <c r="D252">
        <f>COUNTIF(SITE!$B$2:$B$573,B252)</f>
        <v/>
      </c>
      <c r="E252">
        <f>SUMIFS(SITE!$H$2:$H$573,SITE!$B$2:$B$573,B252)</f>
        <v/>
      </c>
      <c r="F252">
        <f>IF(COUNTIFS(SITE!$B$2:$B$573,B252,SITE!$E$2:$E$573,"완제의약품")&gt;0,"Y","")</f>
        <v/>
      </c>
      <c r="G252">
        <f>IF(COUNTIFS(SITE!$B$2:$B$573,B252,SITE!$E$2:$E$573,"원료의약품")&gt;0,"Y","")</f>
        <v/>
      </c>
      <c r="H252">
        <f>IF(COUNTIFS(SITE!$B$2:$B$573,B252,SITE!$I$2:$I$573,"Y")&gt;0,"Y","")</f>
        <v/>
      </c>
      <c r="I252">
        <f>IF(COUNTIFS(SITE!$B$2:$B$573,B252,SITE!$J$2:$J$573,"Y")&gt;0,"Y","")</f>
        <v/>
      </c>
      <c r="J252">
        <f>MINIFS(SITE!$G$2:$G$573,SITE!$B$2:$B$573,B252)</f>
        <v/>
      </c>
      <c r="K252">
        <f>IF(J252-TODAY()&lt;183,"임박","")</f>
        <v/>
      </c>
      <c r="L252" t="inlineStr">
        <is>
          <t>Y</t>
        </is>
      </c>
      <c r="M252" t="inlineStr">
        <is>
          <t>유가</t>
        </is>
      </c>
      <c r="N252" t="inlineStr">
        <is>
          <t>068270</t>
        </is>
      </c>
      <c r="O252" t="inlineStr">
        <is>
          <t>기초 의약물질 제조업</t>
        </is>
      </c>
      <c r="P252" t="inlineStr">
        <is>
          <t>램시마, 트룩시마, 허쥬마</t>
        </is>
      </c>
      <c r="Q252" t="inlineStr">
        <is>
          <t>기우성, 서진석</t>
        </is>
      </c>
      <c r="R252" t="inlineStr">
        <is>
          <t>http://www.celltrion.com</t>
        </is>
      </c>
      <c r="S252" t="inlineStr">
        <is>
          <t>인천광역시</t>
        </is>
      </c>
    </row>
    <row r="253">
      <c r="A253" t="inlineStr">
        <is>
          <t>C252</t>
        </is>
      </c>
      <c r="B253" t="inlineStr">
        <is>
          <t>중헌제약</t>
        </is>
      </c>
      <c r="C253" t="inlineStr">
        <is>
          <t>(주)중헌제약</t>
        </is>
      </c>
      <c r="D253">
        <f>COUNTIF(SITE!$B$2:$B$573,B253)</f>
        <v/>
      </c>
      <c r="E253">
        <f>SUMIFS(SITE!$H$2:$H$573,SITE!$B$2:$B$573,B253)</f>
        <v/>
      </c>
      <c r="F253">
        <f>IF(COUNTIFS(SITE!$B$2:$B$573,B253,SITE!$E$2:$E$573,"완제의약품")&gt;0,"Y","")</f>
        <v/>
      </c>
      <c r="G253">
        <f>IF(COUNTIFS(SITE!$B$2:$B$573,B253,SITE!$E$2:$E$573,"원료의약품")&gt;0,"Y","")</f>
        <v/>
      </c>
      <c r="H253">
        <f>IF(COUNTIFS(SITE!$B$2:$B$573,B253,SITE!$I$2:$I$573,"Y")&gt;0,"Y","")</f>
        <v/>
      </c>
      <c r="I253">
        <f>IF(COUNTIFS(SITE!$B$2:$B$573,B253,SITE!$J$2:$J$573,"Y")&gt;0,"Y","")</f>
        <v/>
      </c>
      <c r="J253">
        <f>MINIFS(SITE!$G$2:$G$573,SITE!$B$2:$B$573,B253)</f>
        <v/>
      </c>
      <c r="K253">
        <f>IF(J253-TODAY()&lt;183,"임박","")</f>
        <v/>
      </c>
    </row>
    <row r="254">
      <c r="A254" t="inlineStr">
        <is>
          <t>C253</t>
        </is>
      </c>
      <c r="B254" t="inlineStr">
        <is>
          <t>한풍제약</t>
        </is>
      </c>
      <c r="C254" t="inlineStr">
        <is>
          <t>(주)한풍제약</t>
        </is>
      </c>
      <c r="D254">
        <f>COUNTIF(SITE!$B$2:$B$573,B254)</f>
        <v/>
      </c>
      <c r="E254">
        <f>SUMIFS(SITE!$H$2:$H$573,SITE!$B$2:$B$573,B254)</f>
        <v/>
      </c>
      <c r="F254">
        <f>IF(COUNTIFS(SITE!$B$2:$B$573,B254,SITE!$E$2:$E$573,"완제의약품")&gt;0,"Y","")</f>
        <v/>
      </c>
      <c r="G254">
        <f>IF(COUNTIFS(SITE!$B$2:$B$573,B254,SITE!$E$2:$E$573,"원료의약품")&gt;0,"Y","")</f>
        <v/>
      </c>
      <c r="H254">
        <f>IF(COUNTIFS(SITE!$B$2:$B$573,B254,SITE!$I$2:$I$573,"Y")&gt;0,"Y","")</f>
        <v/>
      </c>
      <c r="I254">
        <f>IF(COUNTIFS(SITE!$B$2:$B$573,B254,SITE!$J$2:$J$573,"Y")&gt;0,"Y","")</f>
        <v/>
      </c>
      <c r="J254">
        <f>MINIFS(SITE!$G$2:$G$573,SITE!$B$2:$B$573,B254)</f>
        <v/>
      </c>
      <c r="K254">
        <f>IF(J254-TODAY()&lt;183,"임박","")</f>
        <v/>
      </c>
    </row>
    <row r="255">
      <c r="A255" t="inlineStr">
        <is>
          <t>C254</t>
        </is>
      </c>
      <c r="B255" t="inlineStr">
        <is>
          <t>성우화학</t>
        </is>
      </c>
      <c r="C255" t="inlineStr">
        <is>
          <t>성우화학(주)</t>
        </is>
      </c>
      <c r="D255">
        <f>COUNTIF(SITE!$B$2:$B$573,B255)</f>
        <v/>
      </c>
      <c r="E255">
        <f>SUMIFS(SITE!$H$2:$H$573,SITE!$B$2:$B$573,B255)</f>
        <v/>
      </c>
      <c r="F255">
        <f>IF(COUNTIFS(SITE!$B$2:$B$573,B255,SITE!$E$2:$E$573,"완제의약품")&gt;0,"Y","")</f>
        <v/>
      </c>
      <c r="G255">
        <f>IF(COUNTIFS(SITE!$B$2:$B$573,B255,SITE!$E$2:$E$573,"원료의약품")&gt;0,"Y","")</f>
        <v/>
      </c>
      <c r="H255">
        <f>IF(COUNTIFS(SITE!$B$2:$B$573,B255,SITE!$I$2:$I$573,"Y")&gt;0,"Y","")</f>
        <v/>
      </c>
      <c r="I255">
        <f>IF(COUNTIFS(SITE!$B$2:$B$573,B255,SITE!$J$2:$J$573,"Y")&gt;0,"Y","")</f>
        <v/>
      </c>
      <c r="J255">
        <f>MINIFS(SITE!$G$2:$G$573,SITE!$B$2:$B$573,B255)</f>
        <v/>
      </c>
      <c r="K255">
        <f>IF(J255-TODAY()&lt;183,"임박","")</f>
        <v/>
      </c>
    </row>
    <row r="256">
      <c r="A256" t="inlineStr">
        <is>
          <t>C255</t>
        </is>
      </c>
      <c r="B256" t="inlineStr">
        <is>
          <t>호남고압가스</t>
        </is>
      </c>
      <c r="C256" t="inlineStr">
        <is>
          <t>호남고압가스</t>
        </is>
      </c>
      <c r="D256">
        <f>COUNTIF(SITE!$B$2:$B$573,B256)</f>
        <v/>
      </c>
      <c r="E256">
        <f>SUMIFS(SITE!$H$2:$H$573,SITE!$B$2:$B$573,B256)</f>
        <v/>
      </c>
      <c r="F256">
        <f>IF(COUNTIFS(SITE!$B$2:$B$573,B256,SITE!$E$2:$E$573,"완제의약품")&gt;0,"Y","")</f>
        <v/>
      </c>
      <c r="G256">
        <f>IF(COUNTIFS(SITE!$B$2:$B$573,B256,SITE!$E$2:$E$573,"원료의약품")&gt;0,"Y","")</f>
        <v/>
      </c>
      <c r="H256">
        <f>IF(COUNTIFS(SITE!$B$2:$B$573,B256,SITE!$I$2:$I$573,"Y")&gt;0,"Y","")</f>
        <v/>
      </c>
      <c r="I256">
        <f>IF(COUNTIFS(SITE!$B$2:$B$573,B256,SITE!$J$2:$J$573,"Y")&gt;0,"Y","")</f>
        <v/>
      </c>
      <c r="J256">
        <f>MINIFS(SITE!$G$2:$G$573,SITE!$B$2:$B$573,B256)</f>
        <v/>
      </c>
      <c r="K256">
        <f>IF(J256-TODAY()&lt;183,"임박","")</f>
        <v/>
      </c>
    </row>
    <row r="257">
      <c r="A257" t="inlineStr">
        <is>
          <t>C256</t>
        </is>
      </c>
      <c r="B257" t="inlineStr">
        <is>
          <t>창신</t>
        </is>
      </c>
      <c r="C257" t="inlineStr">
        <is>
          <t>(주)창신</t>
        </is>
      </c>
      <c r="D257">
        <f>COUNTIF(SITE!$B$2:$B$573,B257)</f>
        <v/>
      </c>
      <c r="E257">
        <f>SUMIFS(SITE!$H$2:$H$573,SITE!$B$2:$B$573,B257)</f>
        <v/>
      </c>
      <c r="F257">
        <f>IF(COUNTIFS(SITE!$B$2:$B$573,B257,SITE!$E$2:$E$573,"완제의약품")&gt;0,"Y","")</f>
        <v/>
      </c>
      <c r="G257">
        <f>IF(COUNTIFS(SITE!$B$2:$B$573,B257,SITE!$E$2:$E$573,"원료의약품")&gt;0,"Y","")</f>
        <v/>
      </c>
      <c r="H257">
        <f>IF(COUNTIFS(SITE!$B$2:$B$573,B257,SITE!$I$2:$I$573,"Y")&gt;0,"Y","")</f>
        <v/>
      </c>
      <c r="I257">
        <f>IF(COUNTIFS(SITE!$B$2:$B$573,B257,SITE!$J$2:$J$573,"Y")&gt;0,"Y","")</f>
        <v/>
      </c>
      <c r="J257">
        <f>MINIFS(SITE!$G$2:$G$573,SITE!$B$2:$B$573,B257)</f>
        <v/>
      </c>
      <c r="K257">
        <f>IF(J257-TODAY()&lt;183,"임박","")</f>
        <v/>
      </c>
    </row>
    <row r="258">
      <c r="A258" t="inlineStr">
        <is>
          <t>C257</t>
        </is>
      </c>
      <c r="B258" t="inlineStr">
        <is>
          <t>파미셀</t>
        </is>
      </c>
      <c r="C258" t="inlineStr">
        <is>
          <t>파미셀주식회사</t>
        </is>
      </c>
      <c r="D258">
        <f>COUNTIF(SITE!$B$2:$B$573,B258)</f>
        <v/>
      </c>
      <c r="E258">
        <f>SUMIFS(SITE!$H$2:$H$573,SITE!$B$2:$B$573,B258)</f>
        <v/>
      </c>
      <c r="F258">
        <f>IF(COUNTIFS(SITE!$B$2:$B$573,B258,SITE!$E$2:$E$573,"완제의약품")&gt;0,"Y","")</f>
        <v/>
      </c>
      <c r="G258">
        <f>IF(COUNTIFS(SITE!$B$2:$B$573,B258,SITE!$E$2:$E$573,"원료의약품")&gt;0,"Y","")</f>
        <v/>
      </c>
      <c r="H258">
        <f>IF(COUNTIFS(SITE!$B$2:$B$573,B258,SITE!$I$2:$I$573,"Y")&gt;0,"Y","")</f>
        <v/>
      </c>
      <c r="I258">
        <f>IF(COUNTIFS(SITE!$B$2:$B$573,B258,SITE!$J$2:$J$573,"Y")&gt;0,"Y","")</f>
        <v/>
      </c>
      <c r="J258">
        <f>MINIFS(SITE!$G$2:$G$573,SITE!$B$2:$B$573,B258)</f>
        <v/>
      </c>
      <c r="K258">
        <f>IF(J258-TODAY()&lt;183,"임박","")</f>
        <v/>
      </c>
      <c r="L258" t="inlineStr">
        <is>
          <t>Y</t>
        </is>
      </c>
      <c r="M258" t="inlineStr">
        <is>
          <t>유가</t>
        </is>
      </c>
      <c r="N258" t="inlineStr">
        <is>
          <t>005690</t>
        </is>
      </c>
      <c r="O258" t="inlineStr">
        <is>
          <t>전자부품 제조업</t>
        </is>
      </c>
      <c r="P258" t="inlineStr">
        <is>
          <t>줄기세포치료제,화장품</t>
        </is>
      </c>
      <c r="Q258" t="inlineStr">
        <is>
          <t>김현수</t>
        </is>
      </c>
      <c r="R258" t="inlineStr">
        <is>
          <t>http://www.pharmicell.com</t>
        </is>
      </c>
      <c r="S258" t="inlineStr">
        <is>
          <t>서울특별시</t>
        </is>
      </c>
    </row>
    <row r="259">
      <c r="A259" t="inlineStr">
        <is>
          <t>C258</t>
        </is>
      </c>
      <c r="B259" t="inlineStr">
        <is>
          <t>대흥산업가스</t>
        </is>
      </c>
      <c r="C259" t="inlineStr">
        <is>
          <t>대흥산업가스주식회사</t>
        </is>
      </c>
      <c r="D259">
        <f>COUNTIF(SITE!$B$2:$B$573,B259)</f>
        <v/>
      </c>
      <c r="E259">
        <f>SUMIFS(SITE!$H$2:$H$573,SITE!$B$2:$B$573,B259)</f>
        <v/>
      </c>
      <c r="F259">
        <f>IF(COUNTIFS(SITE!$B$2:$B$573,B259,SITE!$E$2:$E$573,"완제의약품")&gt;0,"Y","")</f>
        <v/>
      </c>
      <c r="G259">
        <f>IF(COUNTIFS(SITE!$B$2:$B$573,B259,SITE!$E$2:$E$573,"원료의약품")&gt;0,"Y","")</f>
        <v/>
      </c>
      <c r="H259">
        <f>IF(COUNTIFS(SITE!$B$2:$B$573,B259,SITE!$I$2:$I$573,"Y")&gt;0,"Y","")</f>
        <v/>
      </c>
      <c r="I259">
        <f>IF(COUNTIFS(SITE!$B$2:$B$573,B259,SITE!$J$2:$J$573,"Y")&gt;0,"Y","")</f>
        <v/>
      </c>
      <c r="J259">
        <f>MINIFS(SITE!$G$2:$G$573,SITE!$B$2:$B$573,B259)</f>
        <v/>
      </c>
      <c r="K259">
        <f>IF(J259-TODAY()&lt;183,"임박","")</f>
        <v/>
      </c>
    </row>
    <row r="260">
      <c r="A260" t="inlineStr">
        <is>
          <t>C259</t>
        </is>
      </c>
      <c r="B260" t="inlineStr">
        <is>
          <t>더유제약</t>
        </is>
      </c>
      <c r="C260" t="inlineStr">
        <is>
          <t>주식회사더유제약</t>
        </is>
      </c>
      <c r="D260">
        <f>COUNTIF(SITE!$B$2:$B$573,B260)</f>
        <v/>
      </c>
      <c r="E260">
        <f>SUMIFS(SITE!$H$2:$H$573,SITE!$B$2:$B$573,B260)</f>
        <v/>
      </c>
      <c r="F260">
        <f>IF(COUNTIFS(SITE!$B$2:$B$573,B260,SITE!$E$2:$E$573,"완제의약품")&gt;0,"Y","")</f>
        <v/>
      </c>
      <c r="G260">
        <f>IF(COUNTIFS(SITE!$B$2:$B$573,B260,SITE!$E$2:$E$573,"원료의약품")&gt;0,"Y","")</f>
        <v/>
      </c>
      <c r="H260">
        <f>IF(COUNTIFS(SITE!$B$2:$B$573,B260,SITE!$I$2:$I$573,"Y")&gt;0,"Y","")</f>
        <v/>
      </c>
      <c r="I260">
        <f>IF(COUNTIFS(SITE!$B$2:$B$573,B260,SITE!$J$2:$J$573,"Y")&gt;0,"Y","")</f>
        <v/>
      </c>
      <c r="J260">
        <f>MINIFS(SITE!$G$2:$G$573,SITE!$B$2:$B$573,B260)</f>
        <v/>
      </c>
      <c r="K260">
        <f>IF(J260-TODAY()&lt;183,"임박","")</f>
        <v/>
      </c>
    </row>
    <row r="261">
      <c r="A261" t="inlineStr">
        <is>
          <t>C260</t>
        </is>
      </c>
      <c r="B261" t="inlineStr">
        <is>
          <t>한국바스프</t>
        </is>
      </c>
      <c r="C261" t="inlineStr">
        <is>
          <t>한국바스프(주)</t>
        </is>
      </c>
      <c r="D261">
        <f>COUNTIF(SITE!$B$2:$B$573,B261)</f>
        <v/>
      </c>
      <c r="E261">
        <f>SUMIFS(SITE!$H$2:$H$573,SITE!$B$2:$B$573,B261)</f>
        <v/>
      </c>
      <c r="F261">
        <f>IF(COUNTIFS(SITE!$B$2:$B$573,B261,SITE!$E$2:$E$573,"완제의약품")&gt;0,"Y","")</f>
        <v/>
      </c>
      <c r="G261">
        <f>IF(COUNTIFS(SITE!$B$2:$B$573,B261,SITE!$E$2:$E$573,"원료의약품")&gt;0,"Y","")</f>
        <v/>
      </c>
      <c r="H261">
        <f>IF(COUNTIFS(SITE!$B$2:$B$573,B261,SITE!$I$2:$I$573,"Y")&gt;0,"Y","")</f>
        <v/>
      </c>
      <c r="I261">
        <f>IF(COUNTIFS(SITE!$B$2:$B$573,B261,SITE!$J$2:$J$573,"Y")&gt;0,"Y","")</f>
        <v/>
      </c>
      <c r="J261">
        <f>MINIFS(SITE!$G$2:$G$573,SITE!$B$2:$B$573,B261)</f>
        <v/>
      </c>
      <c r="K261">
        <f>IF(J261-TODAY()&lt;183,"임박","")</f>
        <v/>
      </c>
    </row>
    <row r="262">
      <c r="A262" t="inlineStr">
        <is>
          <t>C261</t>
        </is>
      </c>
      <c r="B262" t="inlineStr">
        <is>
          <t>태극제약</t>
        </is>
      </c>
      <c r="C262" t="inlineStr">
        <is>
          <t>태극제약(주)</t>
        </is>
      </c>
      <c r="D262">
        <f>COUNTIF(SITE!$B$2:$B$573,B262)</f>
        <v/>
      </c>
      <c r="E262">
        <f>SUMIFS(SITE!$H$2:$H$573,SITE!$B$2:$B$573,B262)</f>
        <v/>
      </c>
      <c r="F262">
        <f>IF(COUNTIFS(SITE!$B$2:$B$573,B262,SITE!$E$2:$E$573,"완제의약품")&gt;0,"Y","")</f>
        <v/>
      </c>
      <c r="G262">
        <f>IF(COUNTIFS(SITE!$B$2:$B$573,B262,SITE!$E$2:$E$573,"원료의약품")&gt;0,"Y","")</f>
        <v/>
      </c>
      <c r="H262">
        <f>IF(COUNTIFS(SITE!$B$2:$B$573,B262,SITE!$I$2:$I$573,"Y")&gt;0,"Y","")</f>
        <v/>
      </c>
      <c r="I262">
        <f>IF(COUNTIFS(SITE!$B$2:$B$573,B262,SITE!$J$2:$J$573,"Y")&gt;0,"Y","")</f>
        <v/>
      </c>
      <c r="J262">
        <f>MINIFS(SITE!$G$2:$G$573,SITE!$B$2:$B$573,B262)</f>
        <v/>
      </c>
      <c r="K262">
        <f>IF(J262-TODAY()&lt;183,"임박","")</f>
        <v/>
      </c>
    </row>
    <row r="263">
      <c r="A263" t="inlineStr">
        <is>
          <t>C262</t>
        </is>
      </c>
      <c r="B263" t="inlineStr">
        <is>
          <t>중앙산업가스</t>
        </is>
      </c>
      <c r="C263" t="inlineStr">
        <is>
          <t>중앙산업가스(주)</t>
        </is>
      </c>
      <c r="D263">
        <f>COUNTIF(SITE!$B$2:$B$573,B263)</f>
        <v/>
      </c>
      <c r="E263">
        <f>SUMIFS(SITE!$H$2:$H$573,SITE!$B$2:$B$573,B263)</f>
        <v/>
      </c>
      <c r="F263">
        <f>IF(COUNTIFS(SITE!$B$2:$B$573,B263,SITE!$E$2:$E$573,"완제의약품")&gt;0,"Y","")</f>
        <v/>
      </c>
      <c r="G263">
        <f>IF(COUNTIFS(SITE!$B$2:$B$573,B263,SITE!$E$2:$E$573,"원료의약품")&gt;0,"Y","")</f>
        <v/>
      </c>
      <c r="H263">
        <f>IF(COUNTIFS(SITE!$B$2:$B$573,B263,SITE!$I$2:$I$573,"Y")&gt;0,"Y","")</f>
        <v/>
      </c>
      <c r="I263">
        <f>IF(COUNTIFS(SITE!$B$2:$B$573,B263,SITE!$J$2:$J$573,"Y")&gt;0,"Y","")</f>
        <v/>
      </c>
      <c r="J263">
        <f>MINIFS(SITE!$G$2:$G$573,SITE!$B$2:$B$573,B263)</f>
        <v/>
      </c>
      <c r="K263">
        <f>IF(J263-TODAY()&lt;183,"임박","")</f>
        <v/>
      </c>
    </row>
    <row r="264">
      <c r="A264" t="inlineStr">
        <is>
          <t>C263</t>
        </is>
      </c>
      <c r="B264" t="inlineStr">
        <is>
          <t>제일가스산업</t>
        </is>
      </c>
      <c r="C264" t="inlineStr">
        <is>
          <t>(주)제일가스산업</t>
        </is>
      </c>
      <c r="D264">
        <f>COUNTIF(SITE!$B$2:$B$573,B264)</f>
        <v/>
      </c>
      <c r="E264">
        <f>SUMIFS(SITE!$H$2:$H$573,SITE!$B$2:$B$573,B264)</f>
        <v/>
      </c>
      <c r="F264">
        <f>IF(COUNTIFS(SITE!$B$2:$B$573,B264,SITE!$E$2:$E$573,"완제의약품")&gt;0,"Y","")</f>
        <v/>
      </c>
      <c r="G264">
        <f>IF(COUNTIFS(SITE!$B$2:$B$573,B264,SITE!$E$2:$E$573,"원료의약품")&gt;0,"Y","")</f>
        <v/>
      </c>
      <c r="H264">
        <f>IF(COUNTIFS(SITE!$B$2:$B$573,B264,SITE!$I$2:$I$573,"Y")&gt;0,"Y","")</f>
        <v/>
      </c>
      <c r="I264">
        <f>IF(COUNTIFS(SITE!$B$2:$B$573,B264,SITE!$J$2:$J$573,"Y")&gt;0,"Y","")</f>
        <v/>
      </c>
      <c r="J264">
        <f>MINIFS(SITE!$G$2:$G$573,SITE!$B$2:$B$573,B264)</f>
        <v/>
      </c>
      <c r="K264">
        <f>IF(J264-TODAY()&lt;183,"임박","")</f>
        <v/>
      </c>
    </row>
    <row r="265">
      <c r="A265" t="inlineStr">
        <is>
          <t>C264</t>
        </is>
      </c>
      <c r="B265" t="inlineStr">
        <is>
          <t>신일가스</t>
        </is>
      </c>
      <c r="C265" t="inlineStr">
        <is>
          <t>신일가스(주)</t>
        </is>
      </c>
      <c r="D265">
        <f>COUNTIF(SITE!$B$2:$B$573,B265)</f>
        <v/>
      </c>
      <c r="E265">
        <f>SUMIFS(SITE!$H$2:$H$573,SITE!$B$2:$B$573,B265)</f>
        <v/>
      </c>
      <c r="F265">
        <f>IF(COUNTIFS(SITE!$B$2:$B$573,B265,SITE!$E$2:$E$573,"완제의약품")&gt;0,"Y","")</f>
        <v/>
      </c>
      <c r="G265">
        <f>IF(COUNTIFS(SITE!$B$2:$B$573,B265,SITE!$E$2:$E$573,"원료의약품")&gt;0,"Y","")</f>
        <v/>
      </c>
      <c r="H265">
        <f>IF(COUNTIFS(SITE!$B$2:$B$573,B265,SITE!$I$2:$I$573,"Y")&gt;0,"Y","")</f>
        <v/>
      </c>
      <c r="I265">
        <f>IF(COUNTIFS(SITE!$B$2:$B$573,B265,SITE!$J$2:$J$573,"Y")&gt;0,"Y","")</f>
        <v/>
      </c>
      <c r="J265">
        <f>MINIFS(SITE!$G$2:$G$573,SITE!$B$2:$B$573,B265)</f>
        <v/>
      </c>
      <c r="K265">
        <f>IF(J265-TODAY()&lt;183,"임박","")</f>
        <v/>
      </c>
    </row>
    <row r="266">
      <c r="A266" t="inlineStr">
        <is>
          <t>C265</t>
        </is>
      </c>
      <c r="B266" t="inlineStr">
        <is>
          <t>킴스제약</t>
        </is>
      </c>
      <c r="C266" t="inlineStr">
        <is>
          <t>(주)킴스제약</t>
        </is>
      </c>
      <c r="D266">
        <f>COUNTIF(SITE!$B$2:$B$573,B266)</f>
        <v/>
      </c>
      <c r="E266">
        <f>SUMIFS(SITE!$H$2:$H$573,SITE!$B$2:$B$573,B266)</f>
        <v/>
      </c>
      <c r="F266">
        <f>IF(COUNTIFS(SITE!$B$2:$B$573,B266,SITE!$E$2:$E$573,"완제의약품")&gt;0,"Y","")</f>
        <v/>
      </c>
      <c r="G266">
        <f>IF(COUNTIFS(SITE!$B$2:$B$573,B266,SITE!$E$2:$E$573,"원료의약품")&gt;0,"Y","")</f>
        <v/>
      </c>
      <c r="H266">
        <f>IF(COUNTIFS(SITE!$B$2:$B$573,B266,SITE!$I$2:$I$573,"Y")&gt;0,"Y","")</f>
        <v/>
      </c>
      <c r="I266">
        <f>IF(COUNTIFS(SITE!$B$2:$B$573,B266,SITE!$J$2:$J$573,"Y")&gt;0,"Y","")</f>
        <v/>
      </c>
      <c r="J266">
        <f>MINIFS(SITE!$G$2:$G$573,SITE!$B$2:$B$573,B266)</f>
        <v/>
      </c>
      <c r="K266">
        <f>IF(J266-TODAY()&lt;183,"임박","")</f>
        <v/>
      </c>
    </row>
    <row r="267">
      <c r="A267" t="inlineStr">
        <is>
          <t>C266</t>
        </is>
      </c>
      <c r="B267" t="inlineStr">
        <is>
          <t>돌나라한농제약</t>
        </is>
      </c>
      <c r="C267" t="inlineStr">
        <is>
          <t>(주)돌나라한농제약</t>
        </is>
      </c>
      <c r="D267">
        <f>COUNTIF(SITE!$B$2:$B$573,B267)</f>
        <v/>
      </c>
      <c r="E267">
        <f>SUMIFS(SITE!$H$2:$H$573,SITE!$B$2:$B$573,B267)</f>
        <v/>
      </c>
      <c r="F267">
        <f>IF(COUNTIFS(SITE!$B$2:$B$573,B267,SITE!$E$2:$E$573,"완제의약품")&gt;0,"Y","")</f>
        <v/>
      </c>
      <c r="G267">
        <f>IF(COUNTIFS(SITE!$B$2:$B$573,B267,SITE!$E$2:$E$573,"원료의약품")&gt;0,"Y","")</f>
        <v/>
      </c>
      <c r="H267">
        <f>IF(COUNTIFS(SITE!$B$2:$B$573,B267,SITE!$I$2:$I$573,"Y")&gt;0,"Y","")</f>
        <v/>
      </c>
      <c r="I267">
        <f>IF(COUNTIFS(SITE!$B$2:$B$573,B267,SITE!$J$2:$J$573,"Y")&gt;0,"Y","")</f>
        <v/>
      </c>
      <c r="J267">
        <f>MINIFS(SITE!$G$2:$G$573,SITE!$B$2:$B$573,B267)</f>
        <v/>
      </c>
      <c r="K267">
        <f>IF(J267-TODAY()&lt;183,"임박","")</f>
        <v/>
      </c>
    </row>
    <row r="268">
      <c r="A268" t="inlineStr">
        <is>
          <t>C267</t>
        </is>
      </c>
      <c r="B268" t="inlineStr">
        <is>
          <t>코미팜</t>
        </is>
      </c>
      <c r="C268" t="inlineStr">
        <is>
          <t>(주)코미팜</t>
        </is>
      </c>
      <c r="D268">
        <f>COUNTIF(SITE!$B$2:$B$573,B268)</f>
        <v/>
      </c>
      <c r="E268">
        <f>SUMIFS(SITE!$H$2:$H$573,SITE!$B$2:$B$573,B268)</f>
        <v/>
      </c>
      <c r="F268">
        <f>IF(COUNTIFS(SITE!$B$2:$B$573,B268,SITE!$E$2:$E$573,"완제의약품")&gt;0,"Y","")</f>
        <v/>
      </c>
      <c r="G268">
        <f>IF(COUNTIFS(SITE!$B$2:$B$573,B268,SITE!$E$2:$E$573,"원료의약품")&gt;0,"Y","")</f>
        <v/>
      </c>
      <c r="H268">
        <f>IF(COUNTIFS(SITE!$B$2:$B$573,B268,SITE!$I$2:$I$573,"Y")&gt;0,"Y","")</f>
        <v/>
      </c>
      <c r="I268">
        <f>IF(COUNTIFS(SITE!$B$2:$B$573,B268,SITE!$J$2:$J$573,"Y")&gt;0,"Y","")</f>
        <v/>
      </c>
      <c r="J268">
        <f>MINIFS(SITE!$G$2:$G$573,SITE!$B$2:$B$573,B268)</f>
        <v/>
      </c>
      <c r="K268">
        <f>IF(J268-TODAY()&lt;183,"임박","")</f>
        <v/>
      </c>
      <c r="L268" t="inlineStr">
        <is>
          <t>Y</t>
        </is>
      </c>
      <c r="M268" t="inlineStr">
        <is>
          <t>코스닥</t>
        </is>
      </c>
      <c r="N268" t="inlineStr">
        <is>
          <t>041960</t>
        </is>
      </c>
      <c r="O268" t="inlineStr">
        <is>
          <t>의약품 제조업</t>
        </is>
      </c>
      <c r="P268" t="inlineStr">
        <is>
          <t>동물약품</t>
        </is>
      </c>
      <c r="Q268" t="inlineStr">
        <is>
          <t>양경훈, 문성철(각자 대표이사)</t>
        </is>
      </c>
      <c r="R268" t="inlineStr">
        <is>
          <t>http://www.komipharm.com</t>
        </is>
      </c>
      <c r="S268" t="inlineStr">
        <is>
          <t>경기도</t>
        </is>
      </c>
    </row>
    <row r="269">
      <c r="A269" t="inlineStr">
        <is>
          <t>C268</t>
        </is>
      </c>
      <c r="B269" t="inlineStr">
        <is>
          <t>건영특수가스</t>
        </is>
      </c>
      <c r="C269" t="inlineStr">
        <is>
          <t>(주)건영특수가스</t>
        </is>
      </c>
      <c r="D269">
        <f>COUNTIF(SITE!$B$2:$B$573,B269)</f>
        <v/>
      </c>
      <c r="E269">
        <f>SUMIFS(SITE!$H$2:$H$573,SITE!$B$2:$B$573,B269)</f>
        <v/>
      </c>
      <c r="F269">
        <f>IF(COUNTIFS(SITE!$B$2:$B$573,B269,SITE!$E$2:$E$573,"완제의약품")&gt;0,"Y","")</f>
        <v/>
      </c>
      <c r="G269">
        <f>IF(COUNTIFS(SITE!$B$2:$B$573,B269,SITE!$E$2:$E$573,"원료의약품")&gt;0,"Y","")</f>
        <v/>
      </c>
      <c r="H269">
        <f>IF(COUNTIFS(SITE!$B$2:$B$573,B269,SITE!$I$2:$I$573,"Y")&gt;0,"Y","")</f>
        <v/>
      </c>
      <c r="I269">
        <f>IF(COUNTIFS(SITE!$B$2:$B$573,B269,SITE!$J$2:$J$573,"Y")&gt;0,"Y","")</f>
        <v/>
      </c>
      <c r="J269">
        <f>MINIFS(SITE!$G$2:$G$573,SITE!$B$2:$B$573,B269)</f>
        <v/>
      </c>
      <c r="K269">
        <f>IF(J269-TODAY()&lt;183,"임박","")</f>
        <v/>
      </c>
    </row>
    <row r="270">
      <c r="A270" t="inlineStr">
        <is>
          <t>C269</t>
        </is>
      </c>
      <c r="B270" t="inlineStr">
        <is>
          <t>평화산소공업</t>
        </is>
      </c>
      <c r="C270" t="inlineStr">
        <is>
          <t>(주)평화산소공업</t>
        </is>
      </c>
      <c r="D270">
        <f>COUNTIF(SITE!$B$2:$B$573,B270)</f>
        <v/>
      </c>
      <c r="E270">
        <f>SUMIFS(SITE!$H$2:$H$573,SITE!$B$2:$B$573,B270)</f>
        <v/>
      </c>
      <c r="F270">
        <f>IF(COUNTIFS(SITE!$B$2:$B$573,B270,SITE!$E$2:$E$573,"완제의약품")&gt;0,"Y","")</f>
        <v/>
      </c>
      <c r="G270">
        <f>IF(COUNTIFS(SITE!$B$2:$B$573,B270,SITE!$E$2:$E$573,"원료의약품")&gt;0,"Y","")</f>
        <v/>
      </c>
      <c r="H270">
        <f>IF(COUNTIFS(SITE!$B$2:$B$573,B270,SITE!$I$2:$I$573,"Y")&gt;0,"Y","")</f>
        <v/>
      </c>
      <c r="I270">
        <f>IF(COUNTIFS(SITE!$B$2:$B$573,B270,SITE!$J$2:$J$573,"Y")&gt;0,"Y","")</f>
        <v/>
      </c>
      <c r="J270">
        <f>MINIFS(SITE!$G$2:$G$573,SITE!$B$2:$B$573,B270)</f>
        <v/>
      </c>
      <c r="K270">
        <f>IF(J270-TODAY()&lt;183,"임박","")</f>
        <v/>
      </c>
    </row>
    <row r="271">
      <c r="A271" t="inlineStr">
        <is>
          <t>C270</t>
        </is>
      </c>
      <c r="B271" t="inlineStr">
        <is>
          <t>세종가스산업</t>
        </is>
      </c>
      <c r="C271" t="inlineStr">
        <is>
          <t>주식회사 세종가스산업</t>
        </is>
      </c>
      <c r="D271">
        <f>COUNTIF(SITE!$B$2:$B$573,B271)</f>
        <v/>
      </c>
      <c r="E271">
        <f>SUMIFS(SITE!$H$2:$H$573,SITE!$B$2:$B$573,B271)</f>
        <v/>
      </c>
      <c r="F271">
        <f>IF(COUNTIFS(SITE!$B$2:$B$573,B271,SITE!$E$2:$E$573,"완제의약품")&gt;0,"Y","")</f>
        <v/>
      </c>
      <c r="G271">
        <f>IF(COUNTIFS(SITE!$B$2:$B$573,B271,SITE!$E$2:$E$573,"원료의약품")&gt;0,"Y","")</f>
        <v/>
      </c>
      <c r="H271">
        <f>IF(COUNTIFS(SITE!$B$2:$B$573,B271,SITE!$I$2:$I$573,"Y")&gt;0,"Y","")</f>
        <v/>
      </c>
      <c r="I271">
        <f>IF(COUNTIFS(SITE!$B$2:$B$573,B271,SITE!$J$2:$J$573,"Y")&gt;0,"Y","")</f>
        <v/>
      </c>
      <c r="J271">
        <f>MINIFS(SITE!$G$2:$G$573,SITE!$B$2:$B$573,B271)</f>
        <v/>
      </c>
      <c r="K271">
        <f>IF(J271-TODAY()&lt;183,"임박","")</f>
        <v/>
      </c>
    </row>
    <row r="272">
      <c r="A272" t="inlineStr">
        <is>
          <t>C271</t>
        </is>
      </c>
      <c r="B272" t="inlineStr">
        <is>
          <t>건일바이오팜</t>
        </is>
      </c>
      <c r="C272" t="inlineStr">
        <is>
          <t>건일바이오팜주식회사</t>
        </is>
      </c>
      <c r="D272">
        <f>COUNTIF(SITE!$B$2:$B$573,B272)</f>
        <v/>
      </c>
      <c r="E272">
        <f>SUMIFS(SITE!$H$2:$H$573,SITE!$B$2:$B$573,B272)</f>
        <v/>
      </c>
      <c r="F272">
        <f>IF(COUNTIFS(SITE!$B$2:$B$573,B272,SITE!$E$2:$E$573,"완제의약품")&gt;0,"Y","")</f>
        <v/>
      </c>
      <c r="G272">
        <f>IF(COUNTIFS(SITE!$B$2:$B$573,B272,SITE!$E$2:$E$573,"원료의약품")&gt;0,"Y","")</f>
        <v/>
      </c>
      <c r="H272">
        <f>IF(COUNTIFS(SITE!$B$2:$B$573,B272,SITE!$I$2:$I$573,"Y")&gt;0,"Y","")</f>
        <v/>
      </c>
      <c r="I272">
        <f>IF(COUNTIFS(SITE!$B$2:$B$573,B272,SITE!$J$2:$J$573,"Y")&gt;0,"Y","")</f>
        <v/>
      </c>
      <c r="J272">
        <f>MINIFS(SITE!$G$2:$G$573,SITE!$B$2:$B$573,B272)</f>
        <v/>
      </c>
      <c r="K272">
        <f>IF(J272-TODAY()&lt;183,"임박","")</f>
        <v/>
      </c>
    </row>
    <row r="273">
      <c r="A273" t="inlineStr">
        <is>
          <t>C272</t>
        </is>
      </c>
      <c r="B273" t="inlineStr">
        <is>
          <t>바이오솔루션</t>
        </is>
      </c>
      <c r="C273" t="inlineStr">
        <is>
          <t>(주)바이오솔루션</t>
        </is>
      </c>
      <c r="D273">
        <f>COUNTIF(SITE!$B$2:$B$573,B273)</f>
        <v/>
      </c>
      <c r="E273">
        <f>SUMIFS(SITE!$H$2:$H$573,SITE!$B$2:$B$573,B273)</f>
        <v/>
      </c>
      <c r="F273">
        <f>IF(COUNTIFS(SITE!$B$2:$B$573,B273,SITE!$E$2:$E$573,"완제의약품")&gt;0,"Y","")</f>
        <v/>
      </c>
      <c r="G273">
        <f>IF(COUNTIFS(SITE!$B$2:$B$573,B273,SITE!$E$2:$E$573,"원료의약품")&gt;0,"Y","")</f>
        <v/>
      </c>
      <c r="H273">
        <f>IF(COUNTIFS(SITE!$B$2:$B$573,B273,SITE!$I$2:$I$573,"Y")&gt;0,"Y","")</f>
        <v/>
      </c>
      <c r="I273">
        <f>IF(COUNTIFS(SITE!$B$2:$B$573,B273,SITE!$J$2:$J$573,"Y")&gt;0,"Y","")</f>
        <v/>
      </c>
      <c r="J273">
        <f>MINIFS(SITE!$G$2:$G$573,SITE!$B$2:$B$573,B273)</f>
        <v/>
      </c>
      <c r="K273">
        <f>IF(J273-TODAY()&lt;183,"임박","")</f>
        <v/>
      </c>
      <c r="L273" t="inlineStr">
        <is>
          <t>Y</t>
        </is>
      </c>
      <c r="M273" t="inlineStr">
        <is>
          <t>코스닥</t>
        </is>
      </c>
      <c r="N273" t="inlineStr">
        <is>
          <t>086820</t>
        </is>
      </c>
      <c r="O273" t="inlineStr">
        <is>
          <t>기초 의약물질 제조업</t>
        </is>
      </c>
      <c r="P273" t="inlineStr">
        <is>
          <t>세포치료제, 인체조직모델 등</t>
        </is>
      </c>
      <c r="Q273" t="inlineStr">
        <is>
          <t>이정선</t>
        </is>
      </c>
      <c r="R273" t="inlineStr">
        <is>
          <t>http://www.biosolutions.co.kr/</t>
        </is>
      </c>
      <c r="S273" t="inlineStr">
        <is>
          <t>서울특별시</t>
        </is>
      </c>
    </row>
    <row r="274">
      <c r="A274" t="inlineStr">
        <is>
          <t>C273</t>
        </is>
      </c>
      <c r="B274" t="inlineStr">
        <is>
          <t>안트로젠</t>
        </is>
      </c>
      <c r="C274" t="inlineStr">
        <is>
          <t>(주)안트로젠</t>
        </is>
      </c>
      <c r="D274">
        <f>COUNTIF(SITE!$B$2:$B$573,B274)</f>
        <v/>
      </c>
      <c r="E274">
        <f>SUMIFS(SITE!$H$2:$H$573,SITE!$B$2:$B$573,B274)</f>
        <v/>
      </c>
      <c r="F274">
        <f>IF(COUNTIFS(SITE!$B$2:$B$573,B274,SITE!$E$2:$E$573,"완제의약품")&gt;0,"Y","")</f>
        <v/>
      </c>
      <c r="G274">
        <f>IF(COUNTIFS(SITE!$B$2:$B$573,B274,SITE!$E$2:$E$573,"원료의약품")&gt;0,"Y","")</f>
        <v/>
      </c>
      <c r="H274">
        <f>IF(COUNTIFS(SITE!$B$2:$B$573,B274,SITE!$I$2:$I$573,"Y")&gt;0,"Y","")</f>
        <v/>
      </c>
      <c r="I274">
        <f>IF(COUNTIFS(SITE!$B$2:$B$573,B274,SITE!$J$2:$J$573,"Y")&gt;0,"Y","")</f>
        <v/>
      </c>
      <c r="J274">
        <f>MINIFS(SITE!$G$2:$G$573,SITE!$B$2:$B$573,B274)</f>
        <v/>
      </c>
      <c r="K274">
        <f>IF(J274-TODAY()&lt;183,"임박","")</f>
        <v/>
      </c>
      <c r="L274" t="inlineStr">
        <is>
          <t>Y</t>
        </is>
      </c>
      <c r="M274" t="inlineStr">
        <is>
          <t>코스닥</t>
        </is>
      </c>
      <c r="N274" t="inlineStr">
        <is>
          <t>065660</t>
        </is>
      </c>
      <c r="O274" t="inlineStr">
        <is>
          <t>기타 전문 도매업</t>
        </is>
      </c>
      <c r="P274" t="inlineStr">
        <is>
          <t>줄기세포치료제</t>
        </is>
      </c>
      <c r="Q274" t="inlineStr">
        <is>
          <t>이성구, 김미형(각자대표)</t>
        </is>
      </c>
      <c r="R274" t="inlineStr">
        <is>
          <t>http://www.anterogen.com</t>
        </is>
      </c>
      <c r="S274" t="inlineStr">
        <is>
          <t>서울특별시</t>
        </is>
      </c>
    </row>
    <row r="275">
      <c r="A275" t="inlineStr">
        <is>
          <t>C274</t>
        </is>
      </c>
      <c r="B275" t="inlineStr">
        <is>
          <t>에니웨이</t>
        </is>
      </c>
      <c r="C275" t="inlineStr">
        <is>
          <t>(주)에니웨이</t>
        </is>
      </c>
      <c r="D275">
        <f>COUNTIF(SITE!$B$2:$B$573,B275)</f>
        <v/>
      </c>
      <c r="E275">
        <f>SUMIFS(SITE!$H$2:$H$573,SITE!$B$2:$B$573,B275)</f>
        <v/>
      </c>
      <c r="F275">
        <f>IF(COUNTIFS(SITE!$B$2:$B$573,B275,SITE!$E$2:$E$573,"완제의약품")&gt;0,"Y","")</f>
        <v/>
      </c>
      <c r="G275">
        <f>IF(COUNTIFS(SITE!$B$2:$B$573,B275,SITE!$E$2:$E$573,"원료의약품")&gt;0,"Y","")</f>
        <v/>
      </c>
      <c r="H275">
        <f>IF(COUNTIFS(SITE!$B$2:$B$573,B275,SITE!$I$2:$I$573,"Y")&gt;0,"Y","")</f>
        <v/>
      </c>
      <c r="I275">
        <f>IF(COUNTIFS(SITE!$B$2:$B$573,B275,SITE!$J$2:$J$573,"Y")&gt;0,"Y","")</f>
        <v/>
      </c>
      <c r="J275">
        <f>MINIFS(SITE!$G$2:$G$573,SITE!$B$2:$B$573,B275)</f>
        <v/>
      </c>
      <c r="K275">
        <f>IF(J275-TODAY()&lt;183,"임박","")</f>
        <v/>
      </c>
    </row>
    <row r="276">
      <c r="A276" t="inlineStr">
        <is>
          <t>C275</t>
        </is>
      </c>
      <c r="B276" t="inlineStr">
        <is>
          <t>큐라티스</t>
        </is>
      </c>
      <c r="C276" t="inlineStr">
        <is>
          <t>주식회사큐라티스</t>
        </is>
      </c>
      <c r="D276">
        <f>COUNTIF(SITE!$B$2:$B$573,B276)</f>
        <v/>
      </c>
      <c r="E276">
        <f>SUMIFS(SITE!$H$2:$H$573,SITE!$B$2:$B$573,B276)</f>
        <v/>
      </c>
      <c r="F276">
        <f>IF(COUNTIFS(SITE!$B$2:$B$573,B276,SITE!$E$2:$E$573,"완제의약품")&gt;0,"Y","")</f>
        <v/>
      </c>
      <c r="G276">
        <f>IF(COUNTIFS(SITE!$B$2:$B$573,B276,SITE!$E$2:$E$573,"원료의약품")&gt;0,"Y","")</f>
        <v/>
      </c>
      <c r="H276">
        <f>IF(COUNTIFS(SITE!$B$2:$B$573,B276,SITE!$I$2:$I$573,"Y")&gt;0,"Y","")</f>
        <v/>
      </c>
      <c r="I276">
        <f>IF(COUNTIFS(SITE!$B$2:$B$573,B276,SITE!$J$2:$J$573,"Y")&gt;0,"Y","")</f>
        <v/>
      </c>
      <c r="J276">
        <f>MINIFS(SITE!$G$2:$G$573,SITE!$B$2:$B$573,B276)</f>
        <v/>
      </c>
      <c r="K276">
        <f>IF(J276-TODAY()&lt;183,"임박","")</f>
        <v/>
      </c>
      <c r="L276" t="inlineStr">
        <is>
          <t>Y</t>
        </is>
      </c>
      <c r="M276" t="inlineStr">
        <is>
          <t>코스닥</t>
        </is>
      </c>
      <c r="N276" t="inlineStr">
        <is>
          <t>348080</t>
        </is>
      </c>
      <c r="O276" t="inlineStr">
        <is>
          <t>자연과학 및 공학 연구개발업</t>
        </is>
      </c>
      <c r="P276" t="inlineStr">
        <is>
          <t>백신 및 면역증강제 개발제조업, CMO/CDMO</t>
        </is>
      </c>
      <c r="Q276" t="inlineStr">
        <is>
          <t>김성준</t>
        </is>
      </c>
      <c r="R276" t="inlineStr">
        <is>
          <t>http://quratis.com</t>
        </is>
      </c>
      <c r="S276" t="inlineStr">
        <is>
          <t>충청북도</t>
        </is>
      </c>
    </row>
    <row r="277">
      <c r="A277" t="inlineStr">
        <is>
          <t>C276</t>
        </is>
      </c>
      <c r="B277" t="inlineStr">
        <is>
          <t>단일가스켐</t>
        </is>
      </c>
      <c r="C277" t="inlineStr">
        <is>
          <t>단일가스켐(주)</t>
        </is>
      </c>
      <c r="D277">
        <f>COUNTIF(SITE!$B$2:$B$573,B277)</f>
        <v/>
      </c>
      <c r="E277">
        <f>SUMIFS(SITE!$H$2:$H$573,SITE!$B$2:$B$573,B277)</f>
        <v/>
      </c>
      <c r="F277">
        <f>IF(COUNTIFS(SITE!$B$2:$B$573,B277,SITE!$E$2:$E$573,"완제의약품")&gt;0,"Y","")</f>
        <v/>
      </c>
      <c r="G277">
        <f>IF(COUNTIFS(SITE!$B$2:$B$573,B277,SITE!$E$2:$E$573,"원료의약품")&gt;0,"Y","")</f>
        <v/>
      </c>
      <c r="H277">
        <f>IF(COUNTIFS(SITE!$B$2:$B$573,B277,SITE!$I$2:$I$573,"Y")&gt;0,"Y","")</f>
        <v/>
      </c>
      <c r="I277">
        <f>IF(COUNTIFS(SITE!$B$2:$B$573,B277,SITE!$J$2:$J$573,"Y")&gt;0,"Y","")</f>
        <v/>
      </c>
      <c r="J277">
        <f>MINIFS(SITE!$G$2:$G$573,SITE!$B$2:$B$573,B277)</f>
        <v/>
      </c>
      <c r="K277">
        <f>IF(J277-TODAY()&lt;183,"임박","")</f>
        <v/>
      </c>
    </row>
    <row r="278">
      <c r="A278" t="inlineStr">
        <is>
          <t>C277</t>
        </is>
      </c>
      <c r="B278" t="inlineStr">
        <is>
          <t>셀트리온제약</t>
        </is>
      </c>
      <c r="C278" t="inlineStr">
        <is>
          <t>(주)셀트리온제약</t>
        </is>
      </c>
      <c r="D278">
        <f>COUNTIF(SITE!$B$2:$B$573,B278)</f>
        <v/>
      </c>
      <c r="E278">
        <f>SUMIFS(SITE!$H$2:$H$573,SITE!$B$2:$B$573,B278)</f>
        <v/>
      </c>
      <c r="F278">
        <f>IF(COUNTIFS(SITE!$B$2:$B$573,B278,SITE!$E$2:$E$573,"완제의약품")&gt;0,"Y","")</f>
        <v/>
      </c>
      <c r="G278">
        <f>IF(COUNTIFS(SITE!$B$2:$B$573,B278,SITE!$E$2:$E$573,"원료의약품")&gt;0,"Y","")</f>
        <v/>
      </c>
      <c r="H278">
        <f>IF(COUNTIFS(SITE!$B$2:$B$573,B278,SITE!$I$2:$I$573,"Y")&gt;0,"Y","")</f>
        <v/>
      </c>
      <c r="I278">
        <f>IF(COUNTIFS(SITE!$B$2:$B$573,B278,SITE!$J$2:$J$573,"Y")&gt;0,"Y","")</f>
        <v/>
      </c>
      <c r="J278">
        <f>MINIFS(SITE!$G$2:$G$573,SITE!$B$2:$B$573,B278)</f>
        <v/>
      </c>
      <c r="K278">
        <f>IF(J278-TODAY()&lt;183,"임박","")</f>
        <v/>
      </c>
      <c r="L278" t="inlineStr">
        <is>
          <t>Y</t>
        </is>
      </c>
      <c r="M278" t="inlineStr">
        <is>
          <t>코스닥</t>
        </is>
      </c>
      <c r="N278" t="inlineStr">
        <is>
          <t>068760</t>
        </is>
      </c>
      <c r="O278" t="inlineStr">
        <is>
          <t>의약품 제조업</t>
        </is>
      </c>
      <c r="P278" t="inlineStr">
        <is>
          <t>고덱스 캡슐 외</t>
        </is>
      </c>
      <c r="Q278" t="inlineStr">
        <is>
          <t>유영호</t>
        </is>
      </c>
      <c r="R278" t="inlineStr">
        <is>
          <t>http://www.celltrionph.com</t>
        </is>
      </c>
      <c r="S278" t="inlineStr">
        <is>
          <t>충청북도</t>
        </is>
      </c>
    </row>
    <row r="279">
      <c r="A279" t="inlineStr">
        <is>
          <t>C278</t>
        </is>
      </c>
      <c r="B279" t="inlineStr">
        <is>
          <t>한성신약</t>
        </is>
      </c>
      <c r="C279" t="inlineStr">
        <is>
          <t>한성신약주식회사</t>
        </is>
      </c>
      <c r="D279">
        <f>COUNTIF(SITE!$B$2:$B$573,B279)</f>
        <v/>
      </c>
      <c r="E279">
        <f>SUMIFS(SITE!$H$2:$H$573,SITE!$B$2:$B$573,B279)</f>
        <v/>
      </c>
      <c r="F279">
        <f>IF(COUNTIFS(SITE!$B$2:$B$573,B279,SITE!$E$2:$E$573,"완제의약품")&gt;0,"Y","")</f>
        <v/>
      </c>
      <c r="G279">
        <f>IF(COUNTIFS(SITE!$B$2:$B$573,B279,SITE!$E$2:$E$573,"원료의약품")&gt;0,"Y","")</f>
        <v/>
      </c>
      <c r="H279">
        <f>IF(COUNTIFS(SITE!$B$2:$B$573,B279,SITE!$I$2:$I$573,"Y")&gt;0,"Y","")</f>
        <v/>
      </c>
      <c r="I279">
        <f>IF(COUNTIFS(SITE!$B$2:$B$573,B279,SITE!$J$2:$J$573,"Y")&gt;0,"Y","")</f>
        <v/>
      </c>
      <c r="J279">
        <f>MINIFS(SITE!$G$2:$G$573,SITE!$B$2:$B$573,B279)</f>
        <v/>
      </c>
      <c r="K279">
        <f>IF(J279-TODAY()&lt;183,"임박","")</f>
        <v/>
      </c>
    </row>
    <row r="280">
      <c r="A280" t="inlineStr">
        <is>
          <t>C279</t>
        </is>
      </c>
      <c r="B280" t="inlineStr">
        <is>
          <t>보령바이오파마</t>
        </is>
      </c>
      <c r="C280" t="inlineStr">
        <is>
          <t>(주)보령바이오파마</t>
        </is>
      </c>
      <c r="D280">
        <f>COUNTIF(SITE!$B$2:$B$573,B280)</f>
        <v/>
      </c>
      <c r="E280">
        <f>SUMIFS(SITE!$H$2:$H$573,SITE!$B$2:$B$573,B280)</f>
        <v/>
      </c>
      <c r="F280">
        <f>IF(COUNTIFS(SITE!$B$2:$B$573,B280,SITE!$E$2:$E$573,"완제의약품")&gt;0,"Y","")</f>
        <v/>
      </c>
      <c r="G280">
        <f>IF(COUNTIFS(SITE!$B$2:$B$573,B280,SITE!$E$2:$E$573,"원료의약품")&gt;0,"Y","")</f>
        <v/>
      </c>
      <c r="H280">
        <f>IF(COUNTIFS(SITE!$B$2:$B$573,B280,SITE!$I$2:$I$573,"Y")&gt;0,"Y","")</f>
        <v/>
      </c>
      <c r="I280">
        <f>IF(COUNTIFS(SITE!$B$2:$B$573,B280,SITE!$J$2:$J$573,"Y")&gt;0,"Y","")</f>
        <v/>
      </c>
      <c r="J280">
        <f>MINIFS(SITE!$G$2:$G$573,SITE!$B$2:$B$573,B280)</f>
        <v/>
      </c>
      <c r="K280">
        <f>IF(J280-TODAY()&lt;183,"임박","")</f>
        <v/>
      </c>
    </row>
    <row r="281">
      <c r="A281" t="inlineStr">
        <is>
          <t>C280</t>
        </is>
      </c>
      <c r="B281" t="inlineStr">
        <is>
          <t>동광제약</t>
        </is>
      </c>
      <c r="C281" t="inlineStr">
        <is>
          <t>동광제약(주)</t>
        </is>
      </c>
      <c r="D281">
        <f>COUNTIF(SITE!$B$2:$B$573,B281)</f>
        <v/>
      </c>
      <c r="E281">
        <f>SUMIFS(SITE!$H$2:$H$573,SITE!$B$2:$B$573,B281)</f>
        <v/>
      </c>
      <c r="F281">
        <f>IF(COUNTIFS(SITE!$B$2:$B$573,B281,SITE!$E$2:$E$573,"완제의약품")&gt;0,"Y","")</f>
        <v/>
      </c>
      <c r="G281">
        <f>IF(COUNTIFS(SITE!$B$2:$B$573,B281,SITE!$E$2:$E$573,"원료의약품")&gt;0,"Y","")</f>
        <v/>
      </c>
      <c r="H281">
        <f>IF(COUNTIFS(SITE!$B$2:$B$573,B281,SITE!$I$2:$I$573,"Y")&gt;0,"Y","")</f>
        <v/>
      </c>
      <c r="I281">
        <f>IF(COUNTIFS(SITE!$B$2:$B$573,B281,SITE!$J$2:$J$573,"Y")&gt;0,"Y","")</f>
        <v/>
      </c>
      <c r="J281">
        <f>MINIFS(SITE!$G$2:$G$573,SITE!$B$2:$B$573,B281)</f>
        <v/>
      </c>
      <c r="K281">
        <f>IF(J281-TODAY()&lt;183,"임박","")</f>
        <v/>
      </c>
    </row>
    <row r="282">
      <c r="A282" t="inlineStr">
        <is>
          <t>C281</t>
        </is>
      </c>
      <c r="B282" t="inlineStr">
        <is>
          <t>진바이오팜</t>
        </is>
      </c>
      <c r="C282" t="inlineStr">
        <is>
          <t>주식회사진바이오팜</t>
        </is>
      </c>
      <c r="D282">
        <f>COUNTIF(SITE!$B$2:$B$573,B282)</f>
        <v/>
      </c>
      <c r="E282">
        <f>SUMIFS(SITE!$H$2:$H$573,SITE!$B$2:$B$573,B282)</f>
        <v/>
      </c>
      <c r="F282">
        <f>IF(COUNTIFS(SITE!$B$2:$B$573,B282,SITE!$E$2:$E$573,"완제의약품")&gt;0,"Y","")</f>
        <v/>
      </c>
      <c r="G282">
        <f>IF(COUNTIFS(SITE!$B$2:$B$573,B282,SITE!$E$2:$E$573,"원료의약품")&gt;0,"Y","")</f>
        <v/>
      </c>
      <c r="H282">
        <f>IF(COUNTIFS(SITE!$B$2:$B$573,B282,SITE!$I$2:$I$573,"Y")&gt;0,"Y","")</f>
        <v/>
      </c>
      <c r="I282">
        <f>IF(COUNTIFS(SITE!$B$2:$B$573,B282,SITE!$J$2:$J$573,"Y")&gt;0,"Y","")</f>
        <v/>
      </c>
      <c r="J282">
        <f>MINIFS(SITE!$G$2:$G$573,SITE!$B$2:$B$573,B282)</f>
        <v/>
      </c>
      <c r="K282">
        <f>IF(J282-TODAY()&lt;183,"임박","")</f>
        <v/>
      </c>
    </row>
    <row r="283">
      <c r="A283" t="inlineStr">
        <is>
          <t>C282</t>
        </is>
      </c>
      <c r="B283" t="inlineStr">
        <is>
          <t>지씨셀</t>
        </is>
      </c>
      <c r="C283" t="inlineStr">
        <is>
          <t>주식회사지씨셀</t>
        </is>
      </c>
      <c r="D283">
        <f>COUNTIF(SITE!$B$2:$B$573,B283)</f>
        <v/>
      </c>
      <c r="E283">
        <f>SUMIFS(SITE!$H$2:$H$573,SITE!$B$2:$B$573,B283)</f>
        <v/>
      </c>
      <c r="F283">
        <f>IF(COUNTIFS(SITE!$B$2:$B$573,B283,SITE!$E$2:$E$573,"완제의약품")&gt;0,"Y","")</f>
        <v/>
      </c>
      <c r="G283">
        <f>IF(COUNTIFS(SITE!$B$2:$B$573,B283,SITE!$E$2:$E$573,"원료의약품")&gt;0,"Y","")</f>
        <v/>
      </c>
      <c r="H283">
        <f>IF(COUNTIFS(SITE!$B$2:$B$573,B283,SITE!$I$2:$I$573,"Y")&gt;0,"Y","")</f>
        <v/>
      </c>
      <c r="I283">
        <f>IF(COUNTIFS(SITE!$B$2:$B$573,B283,SITE!$J$2:$J$573,"Y")&gt;0,"Y","")</f>
        <v/>
      </c>
      <c r="J283">
        <f>MINIFS(SITE!$G$2:$G$573,SITE!$B$2:$B$573,B283)</f>
        <v/>
      </c>
      <c r="K283">
        <f>IF(J283-TODAY()&lt;183,"임박","")</f>
        <v/>
      </c>
      <c r="L283" t="inlineStr">
        <is>
          <t>Y</t>
        </is>
      </c>
      <c r="M283" t="inlineStr">
        <is>
          <t>코스닥</t>
        </is>
      </c>
      <c r="N283" t="inlineStr">
        <is>
          <t>144510</t>
        </is>
      </c>
      <c r="O283" t="inlineStr">
        <is>
          <t>그외 기타 전문, 과학 및 기술 서비스업</t>
        </is>
      </c>
      <c r="P283" t="inlineStr">
        <is>
          <t>세포치료제, 검체검사서비스, 제대혈은행</t>
        </is>
      </c>
      <c r="Q283" t="inlineStr">
        <is>
          <t>원성용, 김재왕</t>
        </is>
      </c>
      <c r="R283" t="inlineStr">
        <is>
          <t>http://www.gclabcell.com</t>
        </is>
      </c>
      <c r="S283" t="inlineStr">
        <is>
          <t>경기도</t>
        </is>
      </c>
    </row>
    <row r="284">
      <c r="A284" t="inlineStr">
        <is>
          <t>C283</t>
        </is>
      </c>
      <c r="B284" t="inlineStr">
        <is>
          <t>라이트팜텍</t>
        </is>
      </c>
      <c r="C284" t="inlineStr">
        <is>
          <t>(주)라이트팜텍</t>
        </is>
      </c>
      <c r="D284">
        <f>COUNTIF(SITE!$B$2:$B$573,B284)</f>
        <v/>
      </c>
      <c r="E284">
        <f>SUMIFS(SITE!$H$2:$H$573,SITE!$B$2:$B$573,B284)</f>
        <v/>
      </c>
      <c r="F284">
        <f>IF(COUNTIFS(SITE!$B$2:$B$573,B284,SITE!$E$2:$E$573,"완제의약품")&gt;0,"Y","")</f>
        <v/>
      </c>
      <c r="G284">
        <f>IF(COUNTIFS(SITE!$B$2:$B$573,B284,SITE!$E$2:$E$573,"원료의약품")&gt;0,"Y","")</f>
        <v/>
      </c>
      <c r="H284">
        <f>IF(COUNTIFS(SITE!$B$2:$B$573,B284,SITE!$I$2:$I$573,"Y")&gt;0,"Y","")</f>
        <v/>
      </c>
      <c r="I284">
        <f>IF(COUNTIFS(SITE!$B$2:$B$573,B284,SITE!$J$2:$J$573,"Y")&gt;0,"Y","")</f>
        <v/>
      </c>
      <c r="J284">
        <f>MINIFS(SITE!$G$2:$G$573,SITE!$B$2:$B$573,B284)</f>
        <v/>
      </c>
      <c r="K284">
        <f>IF(J284-TODAY()&lt;183,"임박","")</f>
        <v/>
      </c>
    </row>
    <row r="285">
      <c r="A285" t="inlineStr">
        <is>
          <t>C284</t>
        </is>
      </c>
      <c r="B285" t="inlineStr">
        <is>
          <t>한미정밀화학</t>
        </is>
      </c>
      <c r="C285" t="inlineStr">
        <is>
          <t>한미정밀화학(주)</t>
        </is>
      </c>
      <c r="D285">
        <f>COUNTIF(SITE!$B$2:$B$573,B285)</f>
        <v/>
      </c>
      <c r="E285">
        <f>SUMIFS(SITE!$H$2:$H$573,SITE!$B$2:$B$573,B285)</f>
        <v/>
      </c>
      <c r="F285">
        <f>IF(COUNTIFS(SITE!$B$2:$B$573,B285,SITE!$E$2:$E$573,"완제의약품")&gt;0,"Y","")</f>
        <v/>
      </c>
      <c r="G285">
        <f>IF(COUNTIFS(SITE!$B$2:$B$573,B285,SITE!$E$2:$E$573,"원료의약품")&gt;0,"Y","")</f>
        <v/>
      </c>
      <c r="H285">
        <f>IF(COUNTIFS(SITE!$B$2:$B$573,B285,SITE!$I$2:$I$573,"Y")&gt;0,"Y","")</f>
        <v/>
      </c>
      <c r="I285">
        <f>IF(COUNTIFS(SITE!$B$2:$B$573,B285,SITE!$J$2:$J$573,"Y")&gt;0,"Y","")</f>
        <v/>
      </c>
      <c r="J285">
        <f>MINIFS(SITE!$G$2:$G$573,SITE!$B$2:$B$573,B285)</f>
        <v/>
      </c>
      <c r="K285">
        <f>IF(J285-TODAY()&lt;183,"임박","")</f>
        <v/>
      </c>
    </row>
    <row r="286">
      <c r="A286" t="inlineStr">
        <is>
          <t>C285</t>
        </is>
      </c>
      <c r="B286" t="inlineStr">
        <is>
          <t>넥스팜코리아</t>
        </is>
      </c>
      <c r="C286" t="inlineStr">
        <is>
          <t>(주)넥스팜코리아</t>
        </is>
      </c>
      <c r="D286">
        <f>COUNTIF(SITE!$B$2:$B$573,B286)</f>
        <v/>
      </c>
      <c r="E286">
        <f>SUMIFS(SITE!$H$2:$H$573,SITE!$B$2:$B$573,B286)</f>
        <v/>
      </c>
      <c r="F286">
        <f>IF(COUNTIFS(SITE!$B$2:$B$573,B286,SITE!$E$2:$E$573,"완제의약품")&gt;0,"Y","")</f>
        <v/>
      </c>
      <c r="G286">
        <f>IF(COUNTIFS(SITE!$B$2:$B$573,B286,SITE!$E$2:$E$573,"원료의약품")&gt;0,"Y","")</f>
        <v/>
      </c>
      <c r="H286">
        <f>IF(COUNTIFS(SITE!$B$2:$B$573,B286,SITE!$I$2:$I$573,"Y")&gt;0,"Y","")</f>
        <v/>
      </c>
      <c r="I286">
        <f>IF(COUNTIFS(SITE!$B$2:$B$573,B286,SITE!$J$2:$J$573,"Y")&gt;0,"Y","")</f>
        <v/>
      </c>
      <c r="J286">
        <f>MINIFS(SITE!$G$2:$G$573,SITE!$B$2:$B$573,B286)</f>
        <v/>
      </c>
      <c r="K286">
        <f>IF(J286-TODAY()&lt;183,"임박","")</f>
        <v/>
      </c>
    </row>
    <row r="287">
      <c r="A287" t="inlineStr">
        <is>
          <t>C286</t>
        </is>
      </c>
      <c r="B287" t="inlineStr">
        <is>
          <t>한창메딕</t>
        </is>
      </c>
      <c r="C287" t="inlineStr">
        <is>
          <t>(주)한창메딕</t>
        </is>
      </c>
      <c r="D287">
        <f>COUNTIF(SITE!$B$2:$B$573,B287)</f>
        <v/>
      </c>
      <c r="E287">
        <f>SUMIFS(SITE!$H$2:$H$573,SITE!$B$2:$B$573,B287)</f>
        <v/>
      </c>
      <c r="F287">
        <f>IF(COUNTIFS(SITE!$B$2:$B$573,B287,SITE!$E$2:$E$573,"완제의약품")&gt;0,"Y","")</f>
        <v/>
      </c>
      <c r="G287">
        <f>IF(COUNTIFS(SITE!$B$2:$B$573,B287,SITE!$E$2:$E$573,"원료의약품")&gt;0,"Y","")</f>
        <v/>
      </c>
      <c r="H287">
        <f>IF(COUNTIFS(SITE!$B$2:$B$573,B287,SITE!$I$2:$I$573,"Y")&gt;0,"Y","")</f>
        <v/>
      </c>
      <c r="I287">
        <f>IF(COUNTIFS(SITE!$B$2:$B$573,B287,SITE!$J$2:$J$573,"Y")&gt;0,"Y","")</f>
        <v/>
      </c>
      <c r="J287">
        <f>MINIFS(SITE!$G$2:$G$573,SITE!$B$2:$B$573,B287)</f>
        <v/>
      </c>
      <c r="K287">
        <f>IF(J287-TODAY()&lt;183,"임박","")</f>
        <v/>
      </c>
    </row>
    <row r="288">
      <c r="A288" t="inlineStr">
        <is>
          <t>C287</t>
        </is>
      </c>
      <c r="B288" t="inlineStr">
        <is>
          <t>알파제약</t>
        </is>
      </c>
      <c r="C288" t="inlineStr">
        <is>
          <t>알파제약(주)</t>
        </is>
      </c>
      <c r="D288">
        <f>COUNTIF(SITE!$B$2:$B$573,B288)</f>
        <v/>
      </c>
      <c r="E288">
        <f>SUMIFS(SITE!$H$2:$H$573,SITE!$B$2:$B$573,B288)</f>
        <v/>
      </c>
      <c r="F288">
        <f>IF(COUNTIFS(SITE!$B$2:$B$573,B288,SITE!$E$2:$E$573,"완제의약품")&gt;0,"Y","")</f>
        <v/>
      </c>
      <c r="G288">
        <f>IF(COUNTIFS(SITE!$B$2:$B$573,B288,SITE!$E$2:$E$573,"원료의약품")&gt;0,"Y","")</f>
        <v/>
      </c>
      <c r="H288">
        <f>IF(COUNTIFS(SITE!$B$2:$B$573,B288,SITE!$I$2:$I$573,"Y")&gt;0,"Y","")</f>
        <v/>
      </c>
      <c r="I288">
        <f>IF(COUNTIFS(SITE!$B$2:$B$573,B288,SITE!$J$2:$J$573,"Y")&gt;0,"Y","")</f>
        <v/>
      </c>
      <c r="J288">
        <f>MINIFS(SITE!$G$2:$G$573,SITE!$B$2:$B$573,B288)</f>
        <v/>
      </c>
      <c r="K288">
        <f>IF(J288-TODAY()&lt;183,"임박","")</f>
        <v/>
      </c>
    </row>
    <row r="289">
      <c r="A289" t="inlineStr">
        <is>
          <t>C288</t>
        </is>
      </c>
      <c r="B289" t="inlineStr">
        <is>
          <t>원풍약품상사</t>
        </is>
      </c>
      <c r="C289" t="inlineStr">
        <is>
          <t>(주)원풍약품상사</t>
        </is>
      </c>
      <c r="D289">
        <f>COUNTIF(SITE!$B$2:$B$573,B289)</f>
        <v/>
      </c>
      <c r="E289">
        <f>SUMIFS(SITE!$H$2:$H$573,SITE!$B$2:$B$573,B289)</f>
        <v/>
      </c>
      <c r="F289">
        <f>IF(COUNTIFS(SITE!$B$2:$B$573,B289,SITE!$E$2:$E$573,"완제의약품")&gt;0,"Y","")</f>
        <v/>
      </c>
      <c r="G289">
        <f>IF(COUNTIFS(SITE!$B$2:$B$573,B289,SITE!$E$2:$E$573,"원료의약품")&gt;0,"Y","")</f>
        <v/>
      </c>
      <c r="H289">
        <f>IF(COUNTIFS(SITE!$B$2:$B$573,B289,SITE!$I$2:$I$573,"Y")&gt;0,"Y","")</f>
        <v/>
      </c>
      <c r="I289">
        <f>IF(COUNTIFS(SITE!$B$2:$B$573,B289,SITE!$J$2:$J$573,"Y")&gt;0,"Y","")</f>
        <v/>
      </c>
      <c r="J289">
        <f>MINIFS(SITE!$G$2:$G$573,SITE!$B$2:$B$573,B289)</f>
        <v/>
      </c>
      <c r="K289">
        <f>IF(J289-TODAY()&lt;183,"임박","")</f>
        <v/>
      </c>
    </row>
    <row r="290">
      <c r="A290" t="inlineStr">
        <is>
          <t>C289</t>
        </is>
      </c>
      <c r="B290" t="inlineStr">
        <is>
          <t>한국바이오켐제약</t>
        </is>
      </c>
      <c r="C290" t="inlineStr">
        <is>
          <t>한국바이오켐제약(주)</t>
        </is>
      </c>
      <c r="D290">
        <f>COUNTIF(SITE!$B$2:$B$573,B290)</f>
        <v/>
      </c>
      <c r="E290">
        <f>SUMIFS(SITE!$H$2:$H$573,SITE!$B$2:$B$573,B290)</f>
        <v/>
      </c>
      <c r="F290">
        <f>IF(COUNTIFS(SITE!$B$2:$B$573,B290,SITE!$E$2:$E$573,"완제의약품")&gt;0,"Y","")</f>
        <v/>
      </c>
      <c r="G290">
        <f>IF(COUNTIFS(SITE!$B$2:$B$573,B290,SITE!$E$2:$E$573,"원료의약품")&gt;0,"Y","")</f>
        <v/>
      </c>
      <c r="H290">
        <f>IF(COUNTIFS(SITE!$B$2:$B$573,B290,SITE!$I$2:$I$573,"Y")&gt;0,"Y","")</f>
        <v/>
      </c>
      <c r="I290">
        <f>IF(COUNTIFS(SITE!$B$2:$B$573,B290,SITE!$J$2:$J$573,"Y")&gt;0,"Y","")</f>
        <v/>
      </c>
      <c r="J290">
        <f>MINIFS(SITE!$G$2:$G$573,SITE!$B$2:$B$573,B290)</f>
        <v/>
      </c>
      <c r="K290">
        <f>IF(J290-TODAY()&lt;183,"임박","")</f>
        <v/>
      </c>
    </row>
    <row r="291">
      <c r="A291" t="inlineStr">
        <is>
          <t>C290</t>
        </is>
      </c>
      <c r="B291" t="inlineStr">
        <is>
          <t>화일약품</t>
        </is>
      </c>
      <c r="C291" t="inlineStr">
        <is>
          <t>화일약품(주)</t>
        </is>
      </c>
      <c r="D291">
        <f>COUNTIF(SITE!$B$2:$B$573,B291)</f>
        <v/>
      </c>
      <c r="E291">
        <f>SUMIFS(SITE!$H$2:$H$573,SITE!$B$2:$B$573,B291)</f>
        <v/>
      </c>
      <c r="F291">
        <f>IF(COUNTIFS(SITE!$B$2:$B$573,B291,SITE!$E$2:$E$573,"완제의약품")&gt;0,"Y","")</f>
        <v/>
      </c>
      <c r="G291">
        <f>IF(COUNTIFS(SITE!$B$2:$B$573,B291,SITE!$E$2:$E$573,"원료의약품")&gt;0,"Y","")</f>
        <v/>
      </c>
      <c r="H291">
        <f>IF(COUNTIFS(SITE!$B$2:$B$573,B291,SITE!$I$2:$I$573,"Y")&gt;0,"Y","")</f>
        <v/>
      </c>
      <c r="I291">
        <f>IF(COUNTIFS(SITE!$B$2:$B$573,B291,SITE!$J$2:$J$573,"Y")&gt;0,"Y","")</f>
        <v/>
      </c>
      <c r="J291">
        <f>MINIFS(SITE!$G$2:$G$573,SITE!$B$2:$B$573,B291)</f>
        <v/>
      </c>
      <c r="K291">
        <f>IF(J291-TODAY()&lt;183,"임박","")</f>
        <v/>
      </c>
      <c r="L291" t="inlineStr">
        <is>
          <t>Y</t>
        </is>
      </c>
      <c r="M291" t="inlineStr">
        <is>
          <t>코스닥</t>
        </is>
      </c>
      <c r="N291" t="inlineStr">
        <is>
          <t>061250</t>
        </is>
      </c>
      <c r="O291" t="inlineStr">
        <is>
          <t>의약품 제조업</t>
        </is>
      </c>
      <c r="P291" t="inlineStr">
        <is>
          <t>의약품 원료</t>
        </is>
      </c>
      <c r="Q291" t="inlineStr">
        <is>
          <t>김유정, 서생규 (각자 대표이사)</t>
        </is>
      </c>
      <c r="R291" t="inlineStr">
        <is>
          <t>http://www.hwail.com</t>
        </is>
      </c>
      <c r="S291" t="inlineStr">
        <is>
          <t>경기도</t>
        </is>
      </c>
    </row>
    <row r="292">
      <c r="A292" t="inlineStr">
        <is>
          <t>C291</t>
        </is>
      </c>
      <c r="B292" t="inlineStr">
        <is>
          <t>아이엠씨디코리아</t>
        </is>
      </c>
      <c r="C292" t="inlineStr">
        <is>
          <t>아이엠씨디코리아주식회사</t>
        </is>
      </c>
      <c r="D292">
        <f>COUNTIF(SITE!$B$2:$B$573,B292)</f>
        <v/>
      </c>
      <c r="E292">
        <f>SUMIFS(SITE!$H$2:$H$573,SITE!$B$2:$B$573,B292)</f>
        <v/>
      </c>
      <c r="F292">
        <f>IF(COUNTIFS(SITE!$B$2:$B$573,B292,SITE!$E$2:$E$573,"완제의약품")&gt;0,"Y","")</f>
        <v/>
      </c>
      <c r="G292">
        <f>IF(COUNTIFS(SITE!$B$2:$B$573,B292,SITE!$E$2:$E$573,"원료의약품")&gt;0,"Y","")</f>
        <v/>
      </c>
      <c r="H292">
        <f>IF(COUNTIFS(SITE!$B$2:$B$573,B292,SITE!$I$2:$I$573,"Y")&gt;0,"Y","")</f>
        <v/>
      </c>
      <c r="I292">
        <f>IF(COUNTIFS(SITE!$B$2:$B$573,B292,SITE!$J$2:$J$573,"Y")&gt;0,"Y","")</f>
        <v/>
      </c>
      <c r="J292">
        <f>MINIFS(SITE!$G$2:$G$573,SITE!$B$2:$B$573,B292)</f>
        <v/>
      </c>
      <c r="K292">
        <f>IF(J292-TODAY()&lt;183,"임박","")</f>
        <v/>
      </c>
    </row>
    <row r="293">
      <c r="A293" t="inlineStr">
        <is>
          <t>C292</t>
        </is>
      </c>
      <c r="B293" t="inlineStr">
        <is>
          <t>한국에스이엠</t>
        </is>
      </c>
      <c r="C293" t="inlineStr">
        <is>
          <t>한국에스이엠(주)</t>
        </is>
      </c>
      <c r="D293">
        <f>COUNTIF(SITE!$B$2:$B$573,B293)</f>
        <v/>
      </c>
      <c r="E293">
        <f>SUMIFS(SITE!$H$2:$H$573,SITE!$B$2:$B$573,B293)</f>
        <v/>
      </c>
      <c r="F293">
        <f>IF(COUNTIFS(SITE!$B$2:$B$573,B293,SITE!$E$2:$E$573,"완제의약품")&gt;0,"Y","")</f>
        <v/>
      </c>
      <c r="G293">
        <f>IF(COUNTIFS(SITE!$B$2:$B$573,B293,SITE!$E$2:$E$573,"원료의약품")&gt;0,"Y","")</f>
        <v/>
      </c>
      <c r="H293">
        <f>IF(COUNTIFS(SITE!$B$2:$B$573,B293,SITE!$I$2:$I$573,"Y")&gt;0,"Y","")</f>
        <v/>
      </c>
      <c r="I293">
        <f>IF(COUNTIFS(SITE!$B$2:$B$573,B293,SITE!$J$2:$J$573,"Y")&gt;0,"Y","")</f>
        <v/>
      </c>
      <c r="J293">
        <f>MINIFS(SITE!$G$2:$G$573,SITE!$B$2:$B$573,B293)</f>
        <v/>
      </c>
      <c r="K293">
        <f>IF(J293-TODAY()&lt;183,"임박","")</f>
        <v/>
      </c>
    </row>
    <row r="294">
      <c r="A294" t="inlineStr">
        <is>
          <t>C293</t>
        </is>
      </c>
      <c r="B294" t="inlineStr">
        <is>
          <t>국전</t>
        </is>
      </c>
      <c r="C294" t="inlineStr">
        <is>
          <t>(주)국전</t>
        </is>
      </c>
      <c r="D294">
        <f>COUNTIF(SITE!$B$2:$B$573,B294)</f>
        <v/>
      </c>
      <c r="E294">
        <f>SUMIFS(SITE!$H$2:$H$573,SITE!$B$2:$B$573,B294)</f>
        <v/>
      </c>
      <c r="F294">
        <f>IF(COUNTIFS(SITE!$B$2:$B$573,B294,SITE!$E$2:$E$573,"완제의약품")&gt;0,"Y","")</f>
        <v/>
      </c>
      <c r="G294">
        <f>IF(COUNTIFS(SITE!$B$2:$B$573,B294,SITE!$E$2:$E$573,"원료의약품")&gt;0,"Y","")</f>
        <v/>
      </c>
      <c r="H294">
        <f>IF(COUNTIFS(SITE!$B$2:$B$573,B294,SITE!$I$2:$I$573,"Y")&gt;0,"Y","")</f>
        <v/>
      </c>
      <c r="I294">
        <f>IF(COUNTIFS(SITE!$B$2:$B$573,B294,SITE!$J$2:$J$573,"Y")&gt;0,"Y","")</f>
        <v/>
      </c>
      <c r="J294">
        <f>MINIFS(SITE!$G$2:$G$573,SITE!$B$2:$B$573,B294)</f>
        <v/>
      </c>
      <c r="K294">
        <f>IF(J294-TODAY()&lt;183,"임박","")</f>
        <v/>
      </c>
      <c r="L294" t="inlineStr">
        <is>
          <t>Y</t>
        </is>
      </c>
      <c r="M294" t="inlineStr">
        <is>
          <t>코스닥</t>
        </is>
      </c>
      <c r="N294" t="inlineStr">
        <is>
          <t>307750</t>
        </is>
      </c>
      <c r="O294" t="inlineStr">
        <is>
          <t>의약품 제조업</t>
        </is>
      </c>
      <c r="P294" t="inlineStr">
        <is>
          <t>기업 인수 및 합병</t>
        </is>
      </c>
      <c r="Q294" t="inlineStr">
        <is>
          <t>홍종호</t>
        </is>
      </c>
      <c r="S294" t="inlineStr">
        <is>
          <t>경기도</t>
        </is>
      </c>
    </row>
    <row r="295">
      <c r="A295" t="inlineStr">
        <is>
          <t>C294</t>
        </is>
      </c>
      <c r="B295" t="inlineStr">
        <is>
          <t>뉴큐어엠</t>
        </is>
      </c>
      <c r="C295" t="inlineStr">
        <is>
          <t>주식회사뉴큐어엠</t>
        </is>
      </c>
      <c r="D295">
        <f>COUNTIF(SITE!$B$2:$B$573,B295)</f>
        <v/>
      </c>
      <c r="E295">
        <f>SUMIFS(SITE!$H$2:$H$573,SITE!$B$2:$B$573,B295)</f>
        <v/>
      </c>
      <c r="F295">
        <f>IF(COUNTIFS(SITE!$B$2:$B$573,B295,SITE!$E$2:$E$573,"완제의약품")&gt;0,"Y","")</f>
        <v/>
      </c>
      <c r="G295">
        <f>IF(COUNTIFS(SITE!$B$2:$B$573,B295,SITE!$E$2:$E$573,"원료의약품")&gt;0,"Y","")</f>
        <v/>
      </c>
      <c r="H295">
        <f>IF(COUNTIFS(SITE!$B$2:$B$573,B295,SITE!$I$2:$I$573,"Y")&gt;0,"Y","")</f>
        <v/>
      </c>
      <c r="I295">
        <f>IF(COUNTIFS(SITE!$B$2:$B$573,B295,SITE!$J$2:$J$573,"Y")&gt;0,"Y","")</f>
        <v/>
      </c>
      <c r="J295">
        <f>MINIFS(SITE!$G$2:$G$573,SITE!$B$2:$B$573,B295)</f>
        <v/>
      </c>
      <c r="K295">
        <f>IF(J295-TODAY()&lt;183,"임박","")</f>
        <v/>
      </c>
    </row>
    <row r="296">
      <c r="A296" t="inlineStr">
        <is>
          <t>C295</t>
        </is>
      </c>
      <c r="B296" t="inlineStr">
        <is>
          <t>케이엠에스제약</t>
        </is>
      </c>
      <c r="C296" t="inlineStr">
        <is>
          <t>케이엠에스제약(주)</t>
        </is>
      </c>
      <c r="D296">
        <f>COUNTIF(SITE!$B$2:$B$573,B296)</f>
        <v/>
      </c>
      <c r="E296">
        <f>SUMIFS(SITE!$H$2:$H$573,SITE!$B$2:$B$573,B296)</f>
        <v/>
      </c>
      <c r="F296">
        <f>IF(COUNTIFS(SITE!$B$2:$B$573,B296,SITE!$E$2:$E$573,"완제의약품")&gt;0,"Y","")</f>
        <v/>
      </c>
      <c r="G296">
        <f>IF(COUNTIFS(SITE!$B$2:$B$573,B296,SITE!$E$2:$E$573,"원료의약품")&gt;0,"Y","")</f>
        <v/>
      </c>
      <c r="H296">
        <f>IF(COUNTIFS(SITE!$B$2:$B$573,B296,SITE!$I$2:$I$573,"Y")&gt;0,"Y","")</f>
        <v/>
      </c>
      <c r="I296">
        <f>IF(COUNTIFS(SITE!$B$2:$B$573,B296,SITE!$J$2:$J$573,"Y")&gt;0,"Y","")</f>
        <v/>
      </c>
      <c r="J296">
        <f>MINIFS(SITE!$G$2:$G$573,SITE!$B$2:$B$573,B296)</f>
        <v/>
      </c>
      <c r="K296">
        <f>IF(J296-TODAY()&lt;183,"임박","")</f>
        <v/>
      </c>
    </row>
    <row r="297">
      <c r="A297" t="inlineStr">
        <is>
          <t>C296</t>
        </is>
      </c>
      <c r="B297" t="inlineStr">
        <is>
          <t>유유제약</t>
        </is>
      </c>
      <c r="C297" t="inlineStr">
        <is>
          <t>(주)유유제약</t>
        </is>
      </c>
      <c r="D297">
        <f>COUNTIF(SITE!$B$2:$B$573,B297)</f>
        <v/>
      </c>
      <c r="E297">
        <f>SUMIFS(SITE!$H$2:$H$573,SITE!$B$2:$B$573,B297)</f>
        <v/>
      </c>
      <c r="F297">
        <f>IF(COUNTIFS(SITE!$B$2:$B$573,B297,SITE!$E$2:$E$573,"완제의약품")&gt;0,"Y","")</f>
        <v/>
      </c>
      <c r="G297">
        <f>IF(COUNTIFS(SITE!$B$2:$B$573,B297,SITE!$E$2:$E$573,"원료의약품")&gt;0,"Y","")</f>
        <v/>
      </c>
      <c r="H297">
        <f>IF(COUNTIFS(SITE!$B$2:$B$573,B297,SITE!$I$2:$I$573,"Y")&gt;0,"Y","")</f>
        <v/>
      </c>
      <c r="I297">
        <f>IF(COUNTIFS(SITE!$B$2:$B$573,B297,SITE!$J$2:$J$573,"Y")&gt;0,"Y","")</f>
        <v/>
      </c>
      <c r="J297">
        <f>MINIFS(SITE!$G$2:$G$573,SITE!$B$2:$B$573,B297)</f>
        <v/>
      </c>
      <c r="K297">
        <f>IF(J297-TODAY()&lt;183,"임박","")</f>
        <v/>
      </c>
      <c r="L297" t="inlineStr">
        <is>
          <t>Y</t>
        </is>
      </c>
      <c r="M297" t="inlineStr">
        <is>
          <t>유가</t>
        </is>
      </c>
      <c r="N297" t="inlineStr">
        <is>
          <t>000220</t>
        </is>
      </c>
      <c r="O297" t="inlineStr">
        <is>
          <t>의약품 제조업</t>
        </is>
      </c>
      <c r="P297" t="inlineStr">
        <is>
          <t>의약품 제조,판매</t>
        </is>
      </c>
      <c r="Q297" t="inlineStr">
        <is>
          <t>유원상, 박노용(각자대표)</t>
        </is>
      </c>
      <c r="R297" t="inlineStr">
        <is>
          <t>http://www.yuyu.co.kr</t>
        </is>
      </c>
      <c r="S297" t="inlineStr">
        <is>
          <t>충청북도</t>
        </is>
      </c>
    </row>
    <row r="298">
      <c r="A298" t="inlineStr">
        <is>
          <t>C297</t>
        </is>
      </c>
      <c r="B298" t="inlineStr">
        <is>
          <t>군포가스</t>
        </is>
      </c>
      <c r="C298" t="inlineStr">
        <is>
          <t>주식회사군포가스</t>
        </is>
      </c>
      <c r="D298">
        <f>COUNTIF(SITE!$B$2:$B$573,B298)</f>
        <v/>
      </c>
      <c r="E298">
        <f>SUMIFS(SITE!$H$2:$H$573,SITE!$B$2:$B$573,B298)</f>
        <v/>
      </c>
      <c r="F298">
        <f>IF(COUNTIFS(SITE!$B$2:$B$573,B298,SITE!$E$2:$E$573,"완제의약품")&gt;0,"Y","")</f>
        <v/>
      </c>
      <c r="G298">
        <f>IF(COUNTIFS(SITE!$B$2:$B$573,B298,SITE!$E$2:$E$573,"원료의약품")&gt;0,"Y","")</f>
        <v/>
      </c>
      <c r="H298">
        <f>IF(COUNTIFS(SITE!$B$2:$B$573,B298,SITE!$I$2:$I$573,"Y")&gt;0,"Y","")</f>
        <v/>
      </c>
      <c r="I298">
        <f>IF(COUNTIFS(SITE!$B$2:$B$573,B298,SITE!$J$2:$J$573,"Y")&gt;0,"Y","")</f>
        <v/>
      </c>
      <c r="J298">
        <f>MINIFS(SITE!$G$2:$G$573,SITE!$B$2:$B$573,B298)</f>
        <v/>
      </c>
      <c r="K298">
        <f>IF(J298-TODAY()&lt;183,"임박","")</f>
        <v/>
      </c>
    </row>
    <row r="299">
      <c r="A299" t="inlineStr">
        <is>
          <t>C298</t>
        </is>
      </c>
      <c r="B299" t="inlineStr">
        <is>
          <t>새한제약</t>
        </is>
      </c>
      <c r="C299" t="inlineStr">
        <is>
          <t>(주)새한제약</t>
        </is>
      </c>
      <c r="D299">
        <f>COUNTIF(SITE!$B$2:$B$573,B299)</f>
        <v/>
      </c>
      <c r="E299">
        <f>SUMIFS(SITE!$H$2:$H$573,SITE!$B$2:$B$573,B299)</f>
        <v/>
      </c>
      <c r="F299">
        <f>IF(COUNTIFS(SITE!$B$2:$B$573,B299,SITE!$E$2:$E$573,"완제의약품")&gt;0,"Y","")</f>
        <v/>
      </c>
      <c r="G299">
        <f>IF(COUNTIFS(SITE!$B$2:$B$573,B299,SITE!$E$2:$E$573,"원료의약품")&gt;0,"Y","")</f>
        <v/>
      </c>
      <c r="H299">
        <f>IF(COUNTIFS(SITE!$B$2:$B$573,B299,SITE!$I$2:$I$573,"Y")&gt;0,"Y","")</f>
        <v/>
      </c>
      <c r="I299">
        <f>IF(COUNTIFS(SITE!$B$2:$B$573,B299,SITE!$J$2:$J$573,"Y")&gt;0,"Y","")</f>
        <v/>
      </c>
      <c r="J299">
        <f>MINIFS(SITE!$G$2:$G$573,SITE!$B$2:$B$573,B299)</f>
        <v/>
      </c>
      <c r="K299">
        <f>IF(J299-TODAY()&lt;183,"임박","")</f>
        <v/>
      </c>
    </row>
    <row r="300">
      <c r="A300" t="inlineStr">
        <is>
          <t>C299</t>
        </is>
      </c>
      <c r="B300" t="inlineStr">
        <is>
          <t>코오롱생명과학</t>
        </is>
      </c>
      <c r="C300" t="inlineStr">
        <is>
          <t>코오롱생명과학(주)</t>
        </is>
      </c>
      <c r="D300">
        <f>COUNTIF(SITE!$B$2:$B$573,B300)</f>
        <v/>
      </c>
      <c r="E300">
        <f>SUMIFS(SITE!$H$2:$H$573,SITE!$B$2:$B$573,B300)</f>
        <v/>
      </c>
      <c r="F300">
        <f>IF(COUNTIFS(SITE!$B$2:$B$573,B300,SITE!$E$2:$E$573,"완제의약품")&gt;0,"Y","")</f>
        <v/>
      </c>
      <c r="G300">
        <f>IF(COUNTIFS(SITE!$B$2:$B$573,B300,SITE!$E$2:$E$573,"원료의약품")&gt;0,"Y","")</f>
        <v/>
      </c>
      <c r="H300">
        <f>IF(COUNTIFS(SITE!$B$2:$B$573,B300,SITE!$I$2:$I$573,"Y")&gt;0,"Y","")</f>
        <v/>
      </c>
      <c r="I300">
        <f>IF(COUNTIFS(SITE!$B$2:$B$573,B300,SITE!$J$2:$J$573,"Y")&gt;0,"Y","")</f>
        <v/>
      </c>
      <c r="J300">
        <f>MINIFS(SITE!$G$2:$G$573,SITE!$B$2:$B$573,B300)</f>
        <v/>
      </c>
      <c r="K300">
        <f>IF(J300-TODAY()&lt;183,"임박","")</f>
        <v/>
      </c>
      <c r="L300" t="inlineStr">
        <is>
          <t>Y</t>
        </is>
      </c>
      <c r="M300" t="inlineStr">
        <is>
          <t>코스닥</t>
        </is>
      </c>
      <c r="N300" t="inlineStr">
        <is>
          <t>102940</t>
        </is>
      </c>
      <c r="O300" t="inlineStr">
        <is>
          <t>기초 의약물질 제조업</t>
        </is>
      </c>
      <c r="P300" t="inlineStr">
        <is>
          <t>항균제, 수처리제, 원료의약 등</t>
        </is>
      </c>
      <c r="Q300" t="inlineStr">
        <is>
          <t>이한국</t>
        </is>
      </c>
      <c r="S300" t="inlineStr">
        <is>
          <t>서울특별시</t>
        </is>
      </c>
    </row>
    <row r="301">
      <c r="A301" t="inlineStr">
        <is>
          <t>C300</t>
        </is>
      </c>
      <c r="B301" t="inlineStr">
        <is>
          <t>그린생명과학</t>
        </is>
      </c>
      <c r="C301" t="inlineStr">
        <is>
          <t>그린생명과학(주)</t>
        </is>
      </c>
      <c r="D301">
        <f>COUNTIF(SITE!$B$2:$B$573,B301)</f>
        <v/>
      </c>
      <c r="E301">
        <f>SUMIFS(SITE!$H$2:$H$573,SITE!$B$2:$B$573,B301)</f>
        <v/>
      </c>
      <c r="F301">
        <f>IF(COUNTIFS(SITE!$B$2:$B$573,B301,SITE!$E$2:$E$573,"완제의약품")&gt;0,"Y","")</f>
        <v/>
      </c>
      <c r="G301">
        <f>IF(COUNTIFS(SITE!$B$2:$B$573,B301,SITE!$E$2:$E$573,"원료의약품")&gt;0,"Y","")</f>
        <v/>
      </c>
      <c r="H301">
        <f>IF(COUNTIFS(SITE!$B$2:$B$573,B301,SITE!$I$2:$I$573,"Y")&gt;0,"Y","")</f>
        <v/>
      </c>
      <c r="I301">
        <f>IF(COUNTIFS(SITE!$B$2:$B$573,B301,SITE!$J$2:$J$573,"Y")&gt;0,"Y","")</f>
        <v/>
      </c>
      <c r="J301">
        <f>MINIFS(SITE!$G$2:$G$573,SITE!$B$2:$B$573,B301)</f>
        <v/>
      </c>
      <c r="K301">
        <f>IF(J301-TODAY()&lt;183,"임박","")</f>
        <v/>
      </c>
      <c r="L301" t="inlineStr">
        <is>
          <t>Y</t>
        </is>
      </c>
      <c r="M301" t="inlineStr">
        <is>
          <t>코스닥</t>
        </is>
      </c>
      <c r="N301" t="inlineStr">
        <is>
          <t>114450</t>
        </is>
      </c>
      <c r="O301" t="inlineStr">
        <is>
          <t>기초 의약물질 제조업</t>
        </is>
      </c>
      <c r="P301" t="inlineStr">
        <is>
          <t>의약품 중간체 등</t>
        </is>
      </c>
      <c r="Q301" t="inlineStr">
        <is>
          <t>양준화, 이기성(각자 대표이사)</t>
        </is>
      </c>
      <c r="R301" t="inlineStr">
        <is>
          <t>http://www.kpxls.com/</t>
        </is>
      </c>
      <c r="S301" t="inlineStr">
        <is>
          <t>전남광주통합특별시</t>
        </is>
      </c>
    </row>
    <row r="302">
      <c r="A302" t="inlineStr">
        <is>
          <t>C301</t>
        </is>
      </c>
      <c r="B302" t="inlineStr">
        <is>
          <t>씨엠에스제약</t>
        </is>
      </c>
      <c r="C302" t="inlineStr">
        <is>
          <t>씨엠에스제약(주)</t>
        </is>
      </c>
      <c r="D302">
        <f>COUNTIF(SITE!$B$2:$B$573,B302)</f>
        <v/>
      </c>
      <c r="E302">
        <f>SUMIFS(SITE!$H$2:$H$573,SITE!$B$2:$B$573,B302)</f>
        <v/>
      </c>
      <c r="F302">
        <f>IF(COUNTIFS(SITE!$B$2:$B$573,B302,SITE!$E$2:$E$573,"완제의약품")&gt;0,"Y","")</f>
        <v/>
      </c>
      <c r="G302">
        <f>IF(COUNTIFS(SITE!$B$2:$B$573,B302,SITE!$E$2:$E$573,"원료의약품")&gt;0,"Y","")</f>
        <v/>
      </c>
      <c r="H302">
        <f>IF(COUNTIFS(SITE!$B$2:$B$573,B302,SITE!$I$2:$I$573,"Y")&gt;0,"Y","")</f>
        <v/>
      </c>
      <c r="I302">
        <f>IF(COUNTIFS(SITE!$B$2:$B$573,B302,SITE!$J$2:$J$573,"Y")&gt;0,"Y","")</f>
        <v/>
      </c>
      <c r="J302">
        <f>MINIFS(SITE!$G$2:$G$573,SITE!$B$2:$B$573,B302)</f>
        <v/>
      </c>
      <c r="K302">
        <f>IF(J302-TODAY()&lt;183,"임박","")</f>
        <v/>
      </c>
    </row>
    <row r="303">
      <c r="A303" t="inlineStr">
        <is>
          <t>C302</t>
        </is>
      </c>
      <c r="B303" t="inlineStr">
        <is>
          <t>구주제약</t>
        </is>
      </c>
      <c r="C303" t="inlineStr">
        <is>
          <t>구주제약(주)</t>
        </is>
      </c>
      <c r="D303">
        <f>COUNTIF(SITE!$B$2:$B$573,B303)</f>
        <v/>
      </c>
      <c r="E303">
        <f>SUMIFS(SITE!$H$2:$H$573,SITE!$B$2:$B$573,B303)</f>
        <v/>
      </c>
      <c r="F303">
        <f>IF(COUNTIFS(SITE!$B$2:$B$573,B303,SITE!$E$2:$E$573,"완제의약품")&gt;0,"Y","")</f>
        <v/>
      </c>
      <c r="G303">
        <f>IF(COUNTIFS(SITE!$B$2:$B$573,B303,SITE!$E$2:$E$573,"원료의약품")&gt;0,"Y","")</f>
        <v/>
      </c>
      <c r="H303">
        <f>IF(COUNTIFS(SITE!$B$2:$B$573,B303,SITE!$I$2:$I$573,"Y")&gt;0,"Y","")</f>
        <v/>
      </c>
      <c r="I303">
        <f>IF(COUNTIFS(SITE!$B$2:$B$573,B303,SITE!$J$2:$J$573,"Y")&gt;0,"Y","")</f>
        <v/>
      </c>
      <c r="J303">
        <f>MINIFS(SITE!$G$2:$G$573,SITE!$B$2:$B$573,B303)</f>
        <v/>
      </c>
      <c r="K303">
        <f>IF(J303-TODAY()&lt;183,"임박","")</f>
        <v/>
      </c>
    </row>
    <row r="304">
      <c r="A304" t="inlineStr">
        <is>
          <t>C303</t>
        </is>
      </c>
      <c r="B304" t="inlineStr">
        <is>
          <t>건일제약</t>
        </is>
      </c>
      <c r="C304" t="inlineStr">
        <is>
          <t>건일제약(주)</t>
        </is>
      </c>
      <c r="D304">
        <f>COUNTIF(SITE!$B$2:$B$573,B304)</f>
        <v/>
      </c>
      <c r="E304">
        <f>SUMIFS(SITE!$H$2:$H$573,SITE!$B$2:$B$573,B304)</f>
        <v/>
      </c>
      <c r="F304">
        <f>IF(COUNTIFS(SITE!$B$2:$B$573,B304,SITE!$E$2:$E$573,"완제의약품")&gt;0,"Y","")</f>
        <v/>
      </c>
      <c r="G304">
        <f>IF(COUNTIFS(SITE!$B$2:$B$573,B304,SITE!$E$2:$E$573,"원료의약품")&gt;0,"Y","")</f>
        <v/>
      </c>
      <c r="H304">
        <f>IF(COUNTIFS(SITE!$B$2:$B$573,B304,SITE!$I$2:$I$573,"Y")&gt;0,"Y","")</f>
        <v/>
      </c>
      <c r="I304">
        <f>IF(COUNTIFS(SITE!$B$2:$B$573,B304,SITE!$J$2:$J$573,"Y")&gt;0,"Y","")</f>
        <v/>
      </c>
      <c r="J304">
        <f>MINIFS(SITE!$G$2:$G$573,SITE!$B$2:$B$573,B304)</f>
        <v/>
      </c>
      <c r="K304">
        <f>IF(J304-TODAY()&lt;183,"임박","")</f>
        <v/>
      </c>
    </row>
    <row r="305">
      <c r="A305" t="inlineStr">
        <is>
          <t>C304</t>
        </is>
      </c>
      <c r="B305" t="inlineStr">
        <is>
          <t>파마리서치바이오</t>
        </is>
      </c>
      <c r="C305" t="inlineStr">
        <is>
          <t>(주)파마리서치바이오</t>
        </is>
      </c>
      <c r="D305">
        <f>COUNTIF(SITE!$B$2:$B$573,B305)</f>
        <v/>
      </c>
      <c r="E305">
        <f>SUMIFS(SITE!$H$2:$H$573,SITE!$B$2:$B$573,B305)</f>
        <v/>
      </c>
      <c r="F305">
        <f>IF(COUNTIFS(SITE!$B$2:$B$573,B305,SITE!$E$2:$E$573,"완제의약품")&gt;0,"Y","")</f>
        <v/>
      </c>
      <c r="G305">
        <f>IF(COUNTIFS(SITE!$B$2:$B$573,B305,SITE!$E$2:$E$573,"원료의약품")&gt;0,"Y","")</f>
        <v/>
      </c>
      <c r="H305">
        <f>IF(COUNTIFS(SITE!$B$2:$B$573,B305,SITE!$I$2:$I$573,"Y")&gt;0,"Y","")</f>
        <v/>
      </c>
      <c r="I305">
        <f>IF(COUNTIFS(SITE!$B$2:$B$573,B305,SITE!$J$2:$J$573,"Y")&gt;0,"Y","")</f>
        <v/>
      </c>
      <c r="J305">
        <f>MINIFS(SITE!$G$2:$G$573,SITE!$B$2:$B$573,B305)</f>
        <v/>
      </c>
      <c r="K305">
        <f>IF(J305-TODAY()&lt;183,"임박","")</f>
        <v/>
      </c>
      <c r="L305" t="inlineStr">
        <is>
          <t>Y</t>
        </is>
      </c>
      <c r="M305" t="inlineStr">
        <is>
          <t>코넥스</t>
        </is>
      </c>
      <c r="N305" t="inlineStr">
        <is>
          <t>217950</t>
        </is>
      </c>
      <c r="O305" t="inlineStr">
        <is>
          <t>의약품 제조업</t>
        </is>
      </c>
      <c r="P305" t="inlineStr">
        <is>
          <t>메디컬 에스테틱, 생물학적 제재</t>
        </is>
      </c>
      <c r="Q305" t="inlineStr">
        <is>
          <t>백승걸, 원치엽 (각자대표)</t>
        </is>
      </c>
      <c r="R305" t="inlineStr">
        <is>
          <t>http://www.pr-bio.co.kr</t>
        </is>
      </c>
      <c r="S305" t="inlineStr">
        <is>
          <t>강원특별자치도</t>
        </is>
      </c>
    </row>
    <row r="306">
      <c r="A306" t="inlineStr">
        <is>
          <t>C305</t>
        </is>
      </c>
      <c r="B306" t="inlineStr">
        <is>
          <t>삼영유니텍</t>
        </is>
      </c>
      <c r="C306" t="inlineStr">
        <is>
          <t>(주)삼영유니텍</t>
        </is>
      </c>
      <c r="D306">
        <f>COUNTIF(SITE!$B$2:$B$573,B306)</f>
        <v/>
      </c>
      <c r="E306">
        <f>SUMIFS(SITE!$H$2:$H$573,SITE!$B$2:$B$573,B306)</f>
        <v/>
      </c>
      <c r="F306">
        <f>IF(COUNTIFS(SITE!$B$2:$B$573,B306,SITE!$E$2:$E$573,"완제의약품")&gt;0,"Y","")</f>
        <v/>
      </c>
      <c r="G306">
        <f>IF(COUNTIFS(SITE!$B$2:$B$573,B306,SITE!$E$2:$E$573,"원료의약품")&gt;0,"Y","")</f>
        <v/>
      </c>
      <c r="H306">
        <f>IF(COUNTIFS(SITE!$B$2:$B$573,B306,SITE!$I$2:$I$573,"Y")&gt;0,"Y","")</f>
        <v/>
      </c>
      <c r="I306">
        <f>IF(COUNTIFS(SITE!$B$2:$B$573,B306,SITE!$J$2:$J$573,"Y")&gt;0,"Y","")</f>
        <v/>
      </c>
      <c r="J306">
        <f>MINIFS(SITE!$G$2:$G$573,SITE!$B$2:$B$573,B306)</f>
        <v/>
      </c>
      <c r="K306">
        <f>IF(J306-TODAY()&lt;183,"임박","")</f>
        <v/>
      </c>
    </row>
    <row r="307">
      <c r="A307" t="inlineStr">
        <is>
          <t>C306</t>
        </is>
      </c>
      <c r="B307" t="inlineStr">
        <is>
          <t>한서켐</t>
        </is>
      </c>
      <c r="C307" t="inlineStr">
        <is>
          <t>(주)한서켐</t>
        </is>
      </c>
      <c r="D307">
        <f>COUNTIF(SITE!$B$2:$B$573,B307)</f>
        <v/>
      </c>
      <c r="E307">
        <f>SUMIFS(SITE!$H$2:$H$573,SITE!$B$2:$B$573,B307)</f>
        <v/>
      </c>
      <c r="F307">
        <f>IF(COUNTIFS(SITE!$B$2:$B$573,B307,SITE!$E$2:$E$573,"완제의약품")&gt;0,"Y","")</f>
        <v/>
      </c>
      <c r="G307">
        <f>IF(COUNTIFS(SITE!$B$2:$B$573,B307,SITE!$E$2:$E$573,"원료의약품")&gt;0,"Y","")</f>
        <v/>
      </c>
      <c r="H307">
        <f>IF(COUNTIFS(SITE!$B$2:$B$573,B307,SITE!$I$2:$I$573,"Y")&gt;0,"Y","")</f>
        <v/>
      </c>
      <c r="I307">
        <f>IF(COUNTIFS(SITE!$B$2:$B$573,B307,SITE!$J$2:$J$573,"Y")&gt;0,"Y","")</f>
        <v/>
      </c>
      <c r="J307">
        <f>MINIFS(SITE!$G$2:$G$573,SITE!$B$2:$B$573,B307)</f>
        <v/>
      </c>
      <c r="K307">
        <f>IF(J307-TODAY()&lt;183,"임박","")</f>
        <v/>
      </c>
    </row>
    <row r="308">
      <c r="A308" t="inlineStr">
        <is>
          <t>C307</t>
        </is>
      </c>
      <c r="B308" t="inlineStr">
        <is>
          <t>구미제약</t>
        </is>
      </c>
      <c r="C308" t="inlineStr">
        <is>
          <t>구미제약(주)</t>
        </is>
      </c>
      <c r="D308">
        <f>COUNTIF(SITE!$B$2:$B$573,B308)</f>
        <v/>
      </c>
      <c r="E308">
        <f>SUMIFS(SITE!$H$2:$H$573,SITE!$B$2:$B$573,B308)</f>
        <v/>
      </c>
      <c r="F308">
        <f>IF(COUNTIFS(SITE!$B$2:$B$573,B308,SITE!$E$2:$E$573,"완제의약품")&gt;0,"Y","")</f>
        <v/>
      </c>
      <c r="G308">
        <f>IF(COUNTIFS(SITE!$B$2:$B$573,B308,SITE!$E$2:$E$573,"원료의약품")&gt;0,"Y","")</f>
        <v/>
      </c>
      <c r="H308">
        <f>IF(COUNTIFS(SITE!$B$2:$B$573,B308,SITE!$I$2:$I$573,"Y")&gt;0,"Y","")</f>
        <v/>
      </c>
      <c r="I308">
        <f>IF(COUNTIFS(SITE!$B$2:$B$573,B308,SITE!$J$2:$J$573,"Y")&gt;0,"Y","")</f>
        <v/>
      </c>
      <c r="J308">
        <f>MINIFS(SITE!$G$2:$G$573,SITE!$B$2:$B$573,B308)</f>
        <v/>
      </c>
      <c r="K308">
        <f>IF(J308-TODAY()&lt;183,"임박","")</f>
        <v/>
      </c>
    </row>
    <row r="309">
      <c r="A309" t="inlineStr">
        <is>
          <t>C308</t>
        </is>
      </c>
      <c r="B309" t="inlineStr">
        <is>
          <t>삼오제약</t>
        </is>
      </c>
      <c r="C309" t="inlineStr">
        <is>
          <t>(주)삼오제약</t>
        </is>
      </c>
      <c r="D309">
        <f>COUNTIF(SITE!$B$2:$B$573,B309)</f>
        <v/>
      </c>
      <c r="E309">
        <f>SUMIFS(SITE!$H$2:$H$573,SITE!$B$2:$B$573,B309)</f>
        <v/>
      </c>
      <c r="F309">
        <f>IF(COUNTIFS(SITE!$B$2:$B$573,B309,SITE!$E$2:$E$573,"완제의약품")&gt;0,"Y","")</f>
        <v/>
      </c>
      <c r="G309">
        <f>IF(COUNTIFS(SITE!$B$2:$B$573,B309,SITE!$E$2:$E$573,"원료의약품")&gt;0,"Y","")</f>
        <v/>
      </c>
      <c r="H309">
        <f>IF(COUNTIFS(SITE!$B$2:$B$573,B309,SITE!$I$2:$I$573,"Y")&gt;0,"Y","")</f>
        <v/>
      </c>
      <c r="I309">
        <f>IF(COUNTIFS(SITE!$B$2:$B$573,B309,SITE!$J$2:$J$573,"Y")&gt;0,"Y","")</f>
        <v/>
      </c>
      <c r="J309">
        <f>MINIFS(SITE!$G$2:$G$573,SITE!$B$2:$B$573,B309)</f>
        <v/>
      </c>
      <c r="K309">
        <f>IF(J309-TODAY()&lt;183,"임박","")</f>
        <v/>
      </c>
    </row>
    <row r="310">
      <c r="A310" t="inlineStr">
        <is>
          <t>C309</t>
        </is>
      </c>
      <c r="B310" t="inlineStr">
        <is>
          <t>제론셀베인</t>
        </is>
      </c>
      <c r="C310" t="inlineStr">
        <is>
          <t>주식회사 제론셀베인</t>
        </is>
      </c>
      <c r="D310">
        <f>COUNTIF(SITE!$B$2:$B$573,B310)</f>
        <v/>
      </c>
      <c r="E310">
        <f>SUMIFS(SITE!$H$2:$H$573,SITE!$B$2:$B$573,B310)</f>
        <v/>
      </c>
      <c r="F310">
        <f>IF(COUNTIFS(SITE!$B$2:$B$573,B310,SITE!$E$2:$E$573,"완제의약품")&gt;0,"Y","")</f>
        <v/>
      </c>
      <c r="G310">
        <f>IF(COUNTIFS(SITE!$B$2:$B$573,B310,SITE!$E$2:$E$573,"원료의약품")&gt;0,"Y","")</f>
        <v/>
      </c>
      <c r="H310">
        <f>IF(COUNTIFS(SITE!$B$2:$B$573,B310,SITE!$I$2:$I$573,"Y")&gt;0,"Y","")</f>
        <v/>
      </c>
      <c r="I310">
        <f>IF(COUNTIFS(SITE!$B$2:$B$573,B310,SITE!$J$2:$J$573,"Y")&gt;0,"Y","")</f>
        <v/>
      </c>
      <c r="J310">
        <f>MINIFS(SITE!$G$2:$G$573,SITE!$B$2:$B$573,B310)</f>
        <v/>
      </c>
      <c r="K310">
        <f>IF(J310-TODAY()&lt;183,"임박","")</f>
        <v/>
      </c>
    </row>
    <row r="311">
      <c r="A311" t="inlineStr">
        <is>
          <t>C310</t>
        </is>
      </c>
      <c r="B311" t="inlineStr">
        <is>
          <t>단일에이피</t>
        </is>
      </c>
      <c r="C311" t="inlineStr">
        <is>
          <t>단일에이피(주)</t>
        </is>
      </c>
      <c r="D311">
        <f>COUNTIF(SITE!$B$2:$B$573,B311)</f>
        <v/>
      </c>
      <c r="E311">
        <f>SUMIFS(SITE!$H$2:$H$573,SITE!$B$2:$B$573,B311)</f>
        <v/>
      </c>
      <c r="F311">
        <f>IF(COUNTIFS(SITE!$B$2:$B$573,B311,SITE!$E$2:$E$573,"완제의약품")&gt;0,"Y","")</f>
        <v/>
      </c>
      <c r="G311">
        <f>IF(COUNTIFS(SITE!$B$2:$B$573,B311,SITE!$E$2:$E$573,"원료의약품")&gt;0,"Y","")</f>
        <v/>
      </c>
      <c r="H311">
        <f>IF(COUNTIFS(SITE!$B$2:$B$573,B311,SITE!$I$2:$I$573,"Y")&gt;0,"Y","")</f>
        <v/>
      </c>
      <c r="I311">
        <f>IF(COUNTIFS(SITE!$B$2:$B$573,B311,SITE!$J$2:$J$573,"Y")&gt;0,"Y","")</f>
        <v/>
      </c>
      <c r="J311">
        <f>MINIFS(SITE!$G$2:$G$573,SITE!$B$2:$B$573,B311)</f>
        <v/>
      </c>
      <c r="K311">
        <f>IF(J311-TODAY()&lt;183,"임박","")</f>
        <v/>
      </c>
    </row>
    <row r="312">
      <c r="A312" t="inlineStr">
        <is>
          <t>C311</t>
        </is>
      </c>
      <c r="B312" t="inlineStr">
        <is>
          <t>동인화학</t>
        </is>
      </c>
      <c r="C312" t="inlineStr">
        <is>
          <t>(주)동인화학</t>
        </is>
      </c>
      <c r="D312">
        <f>COUNTIF(SITE!$B$2:$B$573,B312)</f>
        <v/>
      </c>
      <c r="E312">
        <f>SUMIFS(SITE!$H$2:$H$573,SITE!$B$2:$B$573,B312)</f>
        <v/>
      </c>
      <c r="F312">
        <f>IF(COUNTIFS(SITE!$B$2:$B$573,B312,SITE!$E$2:$E$573,"완제의약품")&gt;0,"Y","")</f>
        <v/>
      </c>
      <c r="G312">
        <f>IF(COUNTIFS(SITE!$B$2:$B$573,B312,SITE!$E$2:$E$573,"원료의약품")&gt;0,"Y","")</f>
        <v/>
      </c>
      <c r="H312">
        <f>IF(COUNTIFS(SITE!$B$2:$B$573,B312,SITE!$I$2:$I$573,"Y")&gt;0,"Y","")</f>
        <v/>
      </c>
      <c r="I312">
        <f>IF(COUNTIFS(SITE!$B$2:$B$573,B312,SITE!$J$2:$J$573,"Y")&gt;0,"Y","")</f>
        <v/>
      </c>
      <c r="J312">
        <f>MINIFS(SITE!$G$2:$G$573,SITE!$B$2:$B$573,B312)</f>
        <v/>
      </c>
      <c r="K312">
        <f>IF(J312-TODAY()&lt;183,"임박","")</f>
        <v/>
      </c>
    </row>
    <row r="313">
      <c r="A313" t="inlineStr">
        <is>
          <t>C312</t>
        </is>
      </c>
      <c r="B313" t="inlineStr">
        <is>
          <t>명문제약</t>
        </is>
      </c>
      <c r="C313" t="inlineStr">
        <is>
          <t>명문제약(주)</t>
        </is>
      </c>
      <c r="D313">
        <f>COUNTIF(SITE!$B$2:$B$573,B313)</f>
        <v/>
      </c>
      <c r="E313">
        <f>SUMIFS(SITE!$H$2:$H$573,SITE!$B$2:$B$573,B313)</f>
        <v/>
      </c>
      <c r="F313">
        <f>IF(COUNTIFS(SITE!$B$2:$B$573,B313,SITE!$E$2:$E$573,"완제의약품")&gt;0,"Y","")</f>
        <v/>
      </c>
      <c r="G313">
        <f>IF(COUNTIFS(SITE!$B$2:$B$573,B313,SITE!$E$2:$E$573,"원료의약품")&gt;0,"Y","")</f>
        <v/>
      </c>
      <c r="H313">
        <f>IF(COUNTIFS(SITE!$B$2:$B$573,B313,SITE!$I$2:$I$573,"Y")&gt;0,"Y","")</f>
        <v/>
      </c>
      <c r="I313">
        <f>IF(COUNTIFS(SITE!$B$2:$B$573,B313,SITE!$J$2:$J$573,"Y")&gt;0,"Y","")</f>
        <v/>
      </c>
      <c r="J313">
        <f>MINIFS(SITE!$G$2:$G$573,SITE!$B$2:$B$573,B313)</f>
        <v/>
      </c>
      <c r="K313">
        <f>IF(J313-TODAY()&lt;183,"임박","")</f>
        <v/>
      </c>
      <c r="L313" t="inlineStr">
        <is>
          <t>Y</t>
        </is>
      </c>
      <c r="M313" t="inlineStr">
        <is>
          <t>유가</t>
        </is>
      </c>
      <c r="N313" t="inlineStr">
        <is>
          <t>017180</t>
        </is>
      </c>
      <c r="O313" t="inlineStr">
        <is>
          <t>의약품 제조업</t>
        </is>
      </c>
      <c r="P313" t="inlineStr">
        <is>
          <t>의약품(ROBAXIN 주사,KIMITE패취) 제조,판매</t>
        </is>
      </c>
      <c r="Q313" t="inlineStr">
        <is>
          <t>배철한</t>
        </is>
      </c>
      <c r="R313" t="inlineStr">
        <is>
          <t>http://www.mmpharm.co.kr</t>
        </is>
      </c>
      <c r="S313" t="inlineStr">
        <is>
          <t>경기도</t>
        </is>
      </c>
    </row>
    <row r="314">
      <c r="A314" t="inlineStr">
        <is>
          <t>C313</t>
        </is>
      </c>
      <c r="B314" t="inlineStr">
        <is>
          <t>명문바이오</t>
        </is>
      </c>
      <c r="C314" t="inlineStr">
        <is>
          <t>명문바이오(주)</t>
        </is>
      </c>
      <c r="D314">
        <f>COUNTIF(SITE!$B$2:$B$573,B314)</f>
        <v/>
      </c>
      <c r="E314">
        <f>SUMIFS(SITE!$H$2:$H$573,SITE!$B$2:$B$573,B314)</f>
        <v/>
      </c>
      <c r="F314">
        <f>IF(COUNTIFS(SITE!$B$2:$B$573,B314,SITE!$E$2:$E$573,"완제의약품")&gt;0,"Y","")</f>
        <v/>
      </c>
      <c r="G314">
        <f>IF(COUNTIFS(SITE!$B$2:$B$573,B314,SITE!$E$2:$E$573,"원료의약품")&gt;0,"Y","")</f>
        <v/>
      </c>
      <c r="H314">
        <f>IF(COUNTIFS(SITE!$B$2:$B$573,B314,SITE!$I$2:$I$573,"Y")&gt;0,"Y","")</f>
        <v/>
      </c>
      <c r="I314">
        <f>IF(COUNTIFS(SITE!$B$2:$B$573,B314,SITE!$J$2:$J$573,"Y")&gt;0,"Y","")</f>
        <v/>
      </c>
      <c r="J314">
        <f>MINIFS(SITE!$G$2:$G$573,SITE!$B$2:$B$573,B314)</f>
        <v/>
      </c>
      <c r="K314">
        <f>IF(J314-TODAY()&lt;183,"임박","")</f>
        <v/>
      </c>
    </row>
    <row r="315">
      <c r="A315" t="inlineStr">
        <is>
          <t>C314</t>
        </is>
      </c>
      <c r="B315" t="inlineStr">
        <is>
          <t>나노팜</t>
        </is>
      </c>
      <c r="C315" t="inlineStr">
        <is>
          <t>(주)나노팜</t>
        </is>
      </c>
      <c r="D315">
        <f>COUNTIF(SITE!$B$2:$B$573,B315)</f>
        <v/>
      </c>
      <c r="E315">
        <f>SUMIFS(SITE!$H$2:$H$573,SITE!$B$2:$B$573,B315)</f>
        <v/>
      </c>
      <c r="F315">
        <f>IF(COUNTIFS(SITE!$B$2:$B$573,B315,SITE!$E$2:$E$573,"완제의약품")&gt;0,"Y","")</f>
        <v/>
      </c>
      <c r="G315">
        <f>IF(COUNTIFS(SITE!$B$2:$B$573,B315,SITE!$E$2:$E$573,"원료의약품")&gt;0,"Y","")</f>
        <v/>
      </c>
      <c r="H315">
        <f>IF(COUNTIFS(SITE!$B$2:$B$573,B315,SITE!$I$2:$I$573,"Y")&gt;0,"Y","")</f>
        <v/>
      </c>
      <c r="I315">
        <f>IF(COUNTIFS(SITE!$B$2:$B$573,B315,SITE!$J$2:$J$573,"Y")&gt;0,"Y","")</f>
        <v/>
      </c>
      <c r="J315">
        <f>MINIFS(SITE!$G$2:$G$573,SITE!$B$2:$B$573,B315)</f>
        <v/>
      </c>
      <c r="K315">
        <f>IF(J315-TODAY()&lt;183,"임박","")</f>
        <v/>
      </c>
    </row>
    <row r="316">
      <c r="A316" t="inlineStr">
        <is>
          <t>C315</t>
        </is>
      </c>
      <c r="B316" t="inlineStr">
        <is>
          <t>덕양가스</t>
        </is>
      </c>
      <c r="C316" t="inlineStr">
        <is>
          <t>(주)덕양가스</t>
        </is>
      </c>
      <c r="D316">
        <f>COUNTIF(SITE!$B$2:$B$573,B316)</f>
        <v/>
      </c>
      <c r="E316">
        <f>SUMIFS(SITE!$H$2:$H$573,SITE!$B$2:$B$573,B316)</f>
        <v/>
      </c>
      <c r="F316">
        <f>IF(COUNTIFS(SITE!$B$2:$B$573,B316,SITE!$E$2:$E$573,"완제의약품")&gt;0,"Y","")</f>
        <v/>
      </c>
      <c r="G316">
        <f>IF(COUNTIFS(SITE!$B$2:$B$573,B316,SITE!$E$2:$E$573,"원료의약품")&gt;0,"Y","")</f>
        <v/>
      </c>
      <c r="H316">
        <f>IF(COUNTIFS(SITE!$B$2:$B$573,B316,SITE!$I$2:$I$573,"Y")&gt;0,"Y","")</f>
        <v/>
      </c>
      <c r="I316">
        <f>IF(COUNTIFS(SITE!$B$2:$B$573,B316,SITE!$J$2:$J$573,"Y")&gt;0,"Y","")</f>
        <v/>
      </c>
      <c r="J316">
        <f>MINIFS(SITE!$G$2:$G$573,SITE!$B$2:$B$573,B316)</f>
        <v/>
      </c>
      <c r="K316">
        <f>IF(J316-TODAY()&lt;183,"임박","")</f>
        <v/>
      </c>
    </row>
    <row r="317">
      <c r="A317" t="inlineStr">
        <is>
          <t>C316</t>
        </is>
      </c>
      <c r="B317" t="inlineStr">
        <is>
          <t>유니온가스</t>
        </is>
      </c>
      <c r="C317" t="inlineStr">
        <is>
          <t>(주)유니온가스</t>
        </is>
      </c>
      <c r="D317">
        <f>COUNTIF(SITE!$B$2:$B$573,B317)</f>
        <v/>
      </c>
      <c r="E317">
        <f>SUMIFS(SITE!$H$2:$H$573,SITE!$B$2:$B$573,B317)</f>
        <v/>
      </c>
      <c r="F317">
        <f>IF(COUNTIFS(SITE!$B$2:$B$573,B317,SITE!$E$2:$E$573,"완제의약품")&gt;0,"Y","")</f>
        <v/>
      </c>
      <c r="G317">
        <f>IF(COUNTIFS(SITE!$B$2:$B$573,B317,SITE!$E$2:$E$573,"원료의약품")&gt;0,"Y","")</f>
        <v/>
      </c>
      <c r="H317">
        <f>IF(COUNTIFS(SITE!$B$2:$B$573,B317,SITE!$I$2:$I$573,"Y")&gt;0,"Y","")</f>
        <v/>
      </c>
      <c r="I317">
        <f>IF(COUNTIFS(SITE!$B$2:$B$573,B317,SITE!$J$2:$J$573,"Y")&gt;0,"Y","")</f>
        <v/>
      </c>
      <c r="J317">
        <f>MINIFS(SITE!$G$2:$G$573,SITE!$B$2:$B$573,B317)</f>
        <v/>
      </c>
      <c r="K317">
        <f>IF(J317-TODAY()&lt;183,"임박","")</f>
        <v/>
      </c>
    </row>
    <row r="318">
      <c r="A318" t="inlineStr">
        <is>
          <t>C317</t>
        </is>
      </c>
      <c r="B318" t="inlineStr">
        <is>
          <t>하이플생명과학</t>
        </is>
      </c>
      <c r="C318" t="inlineStr">
        <is>
          <t>하이플생명과학(주)</t>
        </is>
      </c>
      <c r="D318">
        <f>COUNTIF(SITE!$B$2:$B$573,B318)</f>
        <v/>
      </c>
      <c r="E318">
        <f>SUMIFS(SITE!$H$2:$H$573,SITE!$B$2:$B$573,B318)</f>
        <v/>
      </c>
      <c r="F318">
        <f>IF(COUNTIFS(SITE!$B$2:$B$573,B318,SITE!$E$2:$E$573,"완제의약품")&gt;0,"Y","")</f>
        <v/>
      </c>
      <c r="G318">
        <f>IF(COUNTIFS(SITE!$B$2:$B$573,B318,SITE!$E$2:$E$573,"원료의약품")&gt;0,"Y","")</f>
        <v/>
      </c>
      <c r="H318">
        <f>IF(COUNTIFS(SITE!$B$2:$B$573,B318,SITE!$I$2:$I$573,"Y")&gt;0,"Y","")</f>
        <v/>
      </c>
      <c r="I318">
        <f>IF(COUNTIFS(SITE!$B$2:$B$573,B318,SITE!$J$2:$J$573,"Y")&gt;0,"Y","")</f>
        <v/>
      </c>
      <c r="J318">
        <f>MINIFS(SITE!$G$2:$G$573,SITE!$B$2:$B$573,B318)</f>
        <v/>
      </c>
      <c r="K318">
        <f>IF(J318-TODAY()&lt;183,"임박","")</f>
        <v/>
      </c>
    </row>
    <row r="319">
      <c r="A319" t="inlineStr">
        <is>
          <t>C318</t>
        </is>
      </c>
      <c r="B319" t="inlineStr">
        <is>
          <t>덕산약품공업</t>
        </is>
      </c>
      <c r="C319" t="inlineStr">
        <is>
          <t>덕산약품공업(주)</t>
        </is>
      </c>
      <c r="D319">
        <f>COUNTIF(SITE!$B$2:$B$573,B319)</f>
        <v/>
      </c>
      <c r="E319">
        <f>SUMIFS(SITE!$H$2:$H$573,SITE!$B$2:$B$573,B319)</f>
        <v/>
      </c>
      <c r="F319">
        <f>IF(COUNTIFS(SITE!$B$2:$B$573,B319,SITE!$E$2:$E$573,"완제의약품")&gt;0,"Y","")</f>
        <v/>
      </c>
      <c r="G319">
        <f>IF(COUNTIFS(SITE!$B$2:$B$573,B319,SITE!$E$2:$E$573,"원료의약품")&gt;0,"Y","")</f>
        <v/>
      </c>
      <c r="H319">
        <f>IF(COUNTIFS(SITE!$B$2:$B$573,B319,SITE!$I$2:$I$573,"Y")&gt;0,"Y","")</f>
        <v/>
      </c>
      <c r="I319">
        <f>IF(COUNTIFS(SITE!$B$2:$B$573,B319,SITE!$J$2:$J$573,"Y")&gt;0,"Y","")</f>
        <v/>
      </c>
      <c r="J319">
        <f>MINIFS(SITE!$G$2:$G$573,SITE!$B$2:$B$573,B319)</f>
        <v/>
      </c>
      <c r="K319">
        <f>IF(J319-TODAY()&lt;183,"임박","")</f>
        <v/>
      </c>
    </row>
    <row r="320">
      <c r="A320" t="inlineStr">
        <is>
          <t>C319</t>
        </is>
      </c>
      <c r="B320" t="inlineStr">
        <is>
          <t>인트로바이오파마</t>
        </is>
      </c>
      <c r="C320" t="inlineStr">
        <is>
          <t>(주)인트로바이오파마</t>
        </is>
      </c>
      <c r="D320">
        <f>COUNTIF(SITE!$B$2:$B$573,B320)</f>
        <v/>
      </c>
      <c r="E320">
        <f>SUMIFS(SITE!$H$2:$H$573,SITE!$B$2:$B$573,B320)</f>
        <v/>
      </c>
      <c r="F320">
        <f>IF(COUNTIFS(SITE!$B$2:$B$573,B320,SITE!$E$2:$E$573,"완제의약품")&gt;0,"Y","")</f>
        <v/>
      </c>
      <c r="G320">
        <f>IF(COUNTIFS(SITE!$B$2:$B$573,B320,SITE!$E$2:$E$573,"원료의약품")&gt;0,"Y","")</f>
        <v/>
      </c>
      <c r="H320">
        <f>IF(COUNTIFS(SITE!$B$2:$B$573,B320,SITE!$I$2:$I$573,"Y")&gt;0,"Y","")</f>
        <v/>
      </c>
      <c r="I320">
        <f>IF(COUNTIFS(SITE!$B$2:$B$573,B320,SITE!$J$2:$J$573,"Y")&gt;0,"Y","")</f>
        <v/>
      </c>
      <c r="J320">
        <f>MINIFS(SITE!$G$2:$G$573,SITE!$B$2:$B$573,B320)</f>
        <v/>
      </c>
      <c r="K320">
        <f>IF(J320-TODAY()&lt;183,"임박","")</f>
        <v/>
      </c>
    </row>
    <row r="321">
      <c r="A321" t="inlineStr">
        <is>
          <t>C320</t>
        </is>
      </c>
      <c r="B321" t="inlineStr">
        <is>
          <t>큐앤큐팜</t>
        </is>
      </c>
      <c r="C321" t="inlineStr">
        <is>
          <t>큐앤큐팜(주)</t>
        </is>
      </c>
      <c r="D321">
        <f>COUNTIF(SITE!$B$2:$B$573,B321)</f>
        <v/>
      </c>
      <c r="E321">
        <f>SUMIFS(SITE!$H$2:$H$573,SITE!$B$2:$B$573,B321)</f>
        <v/>
      </c>
      <c r="F321">
        <f>IF(COUNTIFS(SITE!$B$2:$B$573,B321,SITE!$E$2:$E$573,"완제의약품")&gt;0,"Y","")</f>
        <v/>
      </c>
      <c r="G321">
        <f>IF(COUNTIFS(SITE!$B$2:$B$573,B321,SITE!$E$2:$E$573,"원료의약품")&gt;0,"Y","")</f>
        <v/>
      </c>
      <c r="H321">
        <f>IF(COUNTIFS(SITE!$B$2:$B$573,B321,SITE!$I$2:$I$573,"Y")&gt;0,"Y","")</f>
        <v/>
      </c>
      <c r="I321">
        <f>IF(COUNTIFS(SITE!$B$2:$B$573,B321,SITE!$J$2:$J$573,"Y")&gt;0,"Y","")</f>
        <v/>
      </c>
      <c r="J321">
        <f>MINIFS(SITE!$G$2:$G$573,SITE!$B$2:$B$573,B321)</f>
        <v/>
      </c>
      <c r="K321">
        <f>IF(J321-TODAY()&lt;183,"임박","")</f>
        <v/>
      </c>
    </row>
    <row r="322">
      <c r="A322" t="inlineStr">
        <is>
          <t>C321</t>
        </is>
      </c>
      <c r="B322" t="inlineStr">
        <is>
          <t>대신무약</t>
        </is>
      </c>
      <c r="C322" t="inlineStr">
        <is>
          <t>대신무약(주)</t>
        </is>
      </c>
      <c r="D322">
        <f>COUNTIF(SITE!$B$2:$B$573,B322)</f>
        <v/>
      </c>
      <c r="E322">
        <f>SUMIFS(SITE!$H$2:$H$573,SITE!$B$2:$B$573,B322)</f>
        <v/>
      </c>
      <c r="F322">
        <f>IF(COUNTIFS(SITE!$B$2:$B$573,B322,SITE!$E$2:$E$573,"완제의약품")&gt;0,"Y","")</f>
        <v/>
      </c>
      <c r="G322">
        <f>IF(COUNTIFS(SITE!$B$2:$B$573,B322,SITE!$E$2:$E$573,"원료의약품")&gt;0,"Y","")</f>
        <v/>
      </c>
      <c r="H322">
        <f>IF(COUNTIFS(SITE!$B$2:$B$573,B322,SITE!$I$2:$I$573,"Y")&gt;0,"Y","")</f>
        <v/>
      </c>
      <c r="I322">
        <f>IF(COUNTIFS(SITE!$B$2:$B$573,B322,SITE!$J$2:$J$573,"Y")&gt;0,"Y","")</f>
        <v/>
      </c>
      <c r="J322">
        <f>MINIFS(SITE!$G$2:$G$573,SITE!$B$2:$B$573,B322)</f>
        <v/>
      </c>
      <c r="K322">
        <f>IF(J322-TODAY()&lt;183,"임박","")</f>
        <v/>
      </c>
    </row>
    <row r="323">
      <c r="A323" t="inlineStr">
        <is>
          <t>C322</t>
        </is>
      </c>
      <c r="B323" t="inlineStr">
        <is>
          <t>에어젠</t>
        </is>
      </c>
      <c r="C323" t="inlineStr">
        <is>
          <t>에어젠</t>
        </is>
      </c>
      <c r="D323">
        <f>COUNTIF(SITE!$B$2:$B$573,B323)</f>
        <v/>
      </c>
      <c r="E323">
        <f>SUMIFS(SITE!$H$2:$H$573,SITE!$B$2:$B$573,B323)</f>
        <v/>
      </c>
      <c r="F323">
        <f>IF(COUNTIFS(SITE!$B$2:$B$573,B323,SITE!$E$2:$E$573,"완제의약품")&gt;0,"Y","")</f>
        <v/>
      </c>
      <c r="G323">
        <f>IF(COUNTIFS(SITE!$B$2:$B$573,B323,SITE!$E$2:$E$573,"원료의약품")&gt;0,"Y","")</f>
        <v/>
      </c>
      <c r="H323">
        <f>IF(COUNTIFS(SITE!$B$2:$B$573,B323,SITE!$I$2:$I$573,"Y")&gt;0,"Y","")</f>
        <v/>
      </c>
      <c r="I323">
        <f>IF(COUNTIFS(SITE!$B$2:$B$573,B323,SITE!$J$2:$J$573,"Y")&gt;0,"Y","")</f>
        <v/>
      </c>
      <c r="J323">
        <f>MINIFS(SITE!$G$2:$G$573,SITE!$B$2:$B$573,B323)</f>
        <v/>
      </c>
      <c r="K323">
        <f>IF(J323-TODAY()&lt;183,"임박","")</f>
        <v/>
      </c>
    </row>
    <row r="324">
      <c r="A324" t="inlineStr">
        <is>
          <t>C323</t>
        </is>
      </c>
      <c r="B324" t="inlineStr">
        <is>
          <t>이화산업가스</t>
        </is>
      </c>
      <c r="C324" t="inlineStr">
        <is>
          <t>이화산업가스주식회사</t>
        </is>
      </c>
      <c r="D324">
        <f>COUNTIF(SITE!$B$2:$B$573,B324)</f>
        <v/>
      </c>
      <c r="E324">
        <f>SUMIFS(SITE!$H$2:$H$573,SITE!$B$2:$B$573,B324)</f>
        <v/>
      </c>
      <c r="F324">
        <f>IF(COUNTIFS(SITE!$B$2:$B$573,B324,SITE!$E$2:$E$573,"완제의약품")&gt;0,"Y","")</f>
        <v/>
      </c>
      <c r="G324">
        <f>IF(COUNTIFS(SITE!$B$2:$B$573,B324,SITE!$E$2:$E$573,"원료의약품")&gt;0,"Y","")</f>
        <v/>
      </c>
      <c r="H324">
        <f>IF(COUNTIFS(SITE!$B$2:$B$573,B324,SITE!$I$2:$I$573,"Y")&gt;0,"Y","")</f>
        <v/>
      </c>
      <c r="I324">
        <f>IF(COUNTIFS(SITE!$B$2:$B$573,B324,SITE!$J$2:$J$573,"Y")&gt;0,"Y","")</f>
        <v/>
      </c>
      <c r="J324">
        <f>MINIFS(SITE!$G$2:$G$573,SITE!$B$2:$B$573,B324)</f>
        <v/>
      </c>
      <c r="K324">
        <f>IF(J324-TODAY()&lt;183,"임박","")</f>
        <v/>
      </c>
    </row>
    <row r="325">
      <c r="A325" t="inlineStr">
        <is>
          <t>C324</t>
        </is>
      </c>
      <c r="B325" t="inlineStr">
        <is>
          <t>일양바이오팜</t>
        </is>
      </c>
      <c r="C325" t="inlineStr">
        <is>
          <t>일양바이오팜(주)</t>
        </is>
      </c>
      <c r="D325">
        <f>COUNTIF(SITE!$B$2:$B$573,B325)</f>
        <v/>
      </c>
      <c r="E325">
        <f>SUMIFS(SITE!$H$2:$H$573,SITE!$B$2:$B$573,B325)</f>
        <v/>
      </c>
      <c r="F325">
        <f>IF(COUNTIFS(SITE!$B$2:$B$573,B325,SITE!$E$2:$E$573,"완제의약품")&gt;0,"Y","")</f>
        <v/>
      </c>
      <c r="G325">
        <f>IF(COUNTIFS(SITE!$B$2:$B$573,B325,SITE!$E$2:$E$573,"원료의약품")&gt;0,"Y","")</f>
        <v/>
      </c>
      <c r="H325">
        <f>IF(COUNTIFS(SITE!$B$2:$B$573,B325,SITE!$I$2:$I$573,"Y")&gt;0,"Y","")</f>
        <v/>
      </c>
      <c r="I325">
        <f>IF(COUNTIFS(SITE!$B$2:$B$573,B325,SITE!$J$2:$J$573,"Y")&gt;0,"Y","")</f>
        <v/>
      </c>
      <c r="J325">
        <f>MINIFS(SITE!$G$2:$G$573,SITE!$B$2:$B$573,B325)</f>
        <v/>
      </c>
      <c r="K325">
        <f>IF(J325-TODAY()&lt;183,"임박","")</f>
        <v/>
      </c>
    </row>
    <row r="326">
      <c r="A326" t="inlineStr">
        <is>
          <t>C325</t>
        </is>
      </c>
      <c r="B326" t="inlineStr">
        <is>
          <t>씨엘팜</t>
        </is>
      </c>
      <c r="C326" t="inlineStr">
        <is>
          <t>(주)씨엘팜</t>
        </is>
      </c>
      <c r="D326">
        <f>COUNTIF(SITE!$B$2:$B$573,B326)</f>
        <v/>
      </c>
      <c r="E326">
        <f>SUMIFS(SITE!$H$2:$H$573,SITE!$B$2:$B$573,B326)</f>
        <v/>
      </c>
      <c r="F326">
        <f>IF(COUNTIFS(SITE!$B$2:$B$573,B326,SITE!$E$2:$E$573,"완제의약품")&gt;0,"Y","")</f>
        <v/>
      </c>
      <c r="G326">
        <f>IF(COUNTIFS(SITE!$B$2:$B$573,B326,SITE!$E$2:$E$573,"원료의약품")&gt;0,"Y","")</f>
        <v/>
      </c>
      <c r="H326">
        <f>IF(COUNTIFS(SITE!$B$2:$B$573,B326,SITE!$I$2:$I$573,"Y")&gt;0,"Y","")</f>
        <v/>
      </c>
      <c r="I326">
        <f>IF(COUNTIFS(SITE!$B$2:$B$573,B326,SITE!$J$2:$J$573,"Y")&gt;0,"Y","")</f>
        <v/>
      </c>
      <c r="J326">
        <f>MINIFS(SITE!$G$2:$G$573,SITE!$B$2:$B$573,B326)</f>
        <v/>
      </c>
      <c r="K326">
        <f>IF(J326-TODAY()&lt;183,"임박","")</f>
        <v/>
      </c>
    </row>
    <row r="327">
      <c r="A327" t="inlineStr">
        <is>
          <t>C326</t>
        </is>
      </c>
      <c r="B327" t="inlineStr">
        <is>
          <t>미래바이오제약</t>
        </is>
      </c>
      <c r="C327" t="inlineStr">
        <is>
          <t>미래바이오제약(주)</t>
        </is>
      </c>
      <c r="D327">
        <f>COUNTIF(SITE!$B$2:$B$573,B327)</f>
        <v/>
      </c>
      <c r="E327">
        <f>SUMIFS(SITE!$H$2:$H$573,SITE!$B$2:$B$573,B327)</f>
        <v/>
      </c>
      <c r="F327">
        <f>IF(COUNTIFS(SITE!$B$2:$B$573,B327,SITE!$E$2:$E$573,"완제의약품")&gt;0,"Y","")</f>
        <v/>
      </c>
      <c r="G327">
        <f>IF(COUNTIFS(SITE!$B$2:$B$573,B327,SITE!$E$2:$E$573,"원료의약품")&gt;0,"Y","")</f>
        <v/>
      </c>
      <c r="H327">
        <f>IF(COUNTIFS(SITE!$B$2:$B$573,B327,SITE!$I$2:$I$573,"Y")&gt;0,"Y","")</f>
        <v/>
      </c>
      <c r="I327">
        <f>IF(COUNTIFS(SITE!$B$2:$B$573,B327,SITE!$J$2:$J$573,"Y")&gt;0,"Y","")</f>
        <v/>
      </c>
      <c r="J327">
        <f>MINIFS(SITE!$G$2:$G$573,SITE!$B$2:$B$573,B327)</f>
        <v/>
      </c>
      <c r="K327">
        <f>IF(J327-TODAY()&lt;183,"임박","")</f>
        <v/>
      </c>
    </row>
    <row r="328">
      <c r="A328" t="inlineStr">
        <is>
          <t>C327</t>
        </is>
      </c>
      <c r="B328" t="inlineStr">
        <is>
          <t>휴젤</t>
        </is>
      </c>
      <c r="C328" t="inlineStr">
        <is>
          <t>휴젤주식회사</t>
        </is>
      </c>
      <c r="D328">
        <f>COUNTIF(SITE!$B$2:$B$573,B328)</f>
        <v/>
      </c>
      <c r="E328">
        <f>SUMIFS(SITE!$H$2:$H$573,SITE!$B$2:$B$573,B328)</f>
        <v/>
      </c>
      <c r="F328">
        <f>IF(COUNTIFS(SITE!$B$2:$B$573,B328,SITE!$E$2:$E$573,"완제의약품")&gt;0,"Y","")</f>
        <v/>
      </c>
      <c r="G328">
        <f>IF(COUNTIFS(SITE!$B$2:$B$573,B328,SITE!$E$2:$E$573,"원료의약품")&gt;0,"Y","")</f>
        <v/>
      </c>
      <c r="H328">
        <f>IF(COUNTIFS(SITE!$B$2:$B$573,B328,SITE!$I$2:$I$573,"Y")&gt;0,"Y","")</f>
        <v/>
      </c>
      <c r="I328">
        <f>IF(COUNTIFS(SITE!$B$2:$B$573,B328,SITE!$J$2:$J$573,"Y")&gt;0,"Y","")</f>
        <v/>
      </c>
      <c r="J328">
        <f>MINIFS(SITE!$G$2:$G$573,SITE!$B$2:$B$573,B328)</f>
        <v/>
      </c>
      <c r="K328">
        <f>IF(J328-TODAY()&lt;183,"임박","")</f>
        <v/>
      </c>
      <c r="L328" t="inlineStr">
        <is>
          <t>Y</t>
        </is>
      </c>
      <c r="M328" t="inlineStr">
        <is>
          <t>코스닥</t>
        </is>
      </c>
      <c r="N328" t="inlineStr">
        <is>
          <t>145020</t>
        </is>
      </c>
      <c r="O328" t="inlineStr">
        <is>
          <t>기초 의약물질 제조업</t>
        </is>
      </c>
      <c r="P328" t="inlineStr">
        <is>
          <t>보툴리눔톡신, 필러</t>
        </is>
      </c>
      <c r="Q328" t="inlineStr">
        <is>
          <t>Doohyun Chang</t>
        </is>
      </c>
      <c r="R328" t="inlineStr">
        <is>
          <t>http://www.hugel.co.kr</t>
        </is>
      </c>
      <c r="S328" t="inlineStr">
        <is>
          <t>강원특별자치도</t>
        </is>
      </c>
    </row>
    <row r="329">
      <c r="A329" t="inlineStr">
        <is>
          <t>C328</t>
        </is>
      </c>
      <c r="B329" t="inlineStr">
        <is>
          <t>하원정밀화학</t>
        </is>
      </c>
      <c r="C329" t="inlineStr">
        <is>
          <t>(주)하원정밀화학</t>
        </is>
      </c>
      <c r="D329">
        <f>COUNTIF(SITE!$B$2:$B$573,B329)</f>
        <v/>
      </c>
      <c r="E329">
        <f>SUMIFS(SITE!$H$2:$H$573,SITE!$B$2:$B$573,B329)</f>
        <v/>
      </c>
      <c r="F329">
        <f>IF(COUNTIFS(SITE!$B$2:$B$573,B329,SITE!$E$2:$E$573,"완제의약품")&gt;0,"Y","")</f>
        <v/>
      </c>
      <c r="G329">
        <f>IF(COUNTIFS(SITE!$B$2:$B$573,B329,SITE!$E$2:$E$573,"원료의약품")&gt;0,"Y","")</f>
        <v/>
      </c>
      <c r="H329">
        <f>IF(COUNTIFS(SITE!$B$2:$B$573,B329,SITE!$I$2:$I$573,"Y")&gt;0,"Y","")</f>
        <v/>
      </c>
      <c r="I329">
        <f>IF(COUNTIFS(SITE!$B$2:$B$573,B329,SITE!$J$2:$J$573,"Y")&gt;0,"Y","")</f>
        <v/>
      </c>
      <c r="J329">
        <f>MINIFS(SITE!$G$2:$G$573,SITE!$B$2:$B$573,B329)</f>
        <v/>
      </c>
      <c r="K329">
        <f>IF(J329-TODAY()&lt;183,"임박","")</f>
        <v/>
      </c>
    </row>
    <row r="330">
      <c r="A330" t="inlineStr">
        <is>
          <t>C329</t>
        </is>
      </c>
      <c r="B330" t="inlineStr">
        <is>
          <t>이수앱지스</t>
        </is>
      </c>
      <c r="C330" t="inlineStr">
        <is>
          <t>(주)이수앱지스</t>
        </is>
      </c>
      <c r="D330">
        <f>COUNTIF(SITE!$B$2:$B$573,B330)</f>
        <v/>
      </c>
      <c r="E330">
        <f>SUMIFS(SITE!$H$2:$H$573,SITE!$B$2:$B$573,B330)</f>
        <v/>
      </c>
      <c r="F330">
        <f>IF(COUNTIFS(SITE!$B$2:$B$573,B330,SITE!$E$2:$E$573,"완제의약품")&gt;0,"Y","")</f>
        <v/>
      </c>
      <c r="G330">
        <f>IF(COUNTIFS(SITE!$B$2:$B$573,B330,SITE!$E$2:$E$573,"원료의약품")&gt;0,"Y","")</f>
        <v/>
      </c>
      <c r="H330">
        <f>IF(COUNTIFS(SITE!$B$2:$B$573,B330,SITE!$I$2:$I$573,"Y")&gt;0,"Y","")</f>
        <v/>
      </c>
      <c r="I330">
        <f>IF(COUNTIFS(SITE!$B$2:$B$573,B330,SITE!$J$2:$J$573,"Y")&gt;0,"Y","")</f>
        <v/>
      </c>
      <c r="J330">
        <f>MINIFS(SITE!$G$2:$G$573,SITE!$B$2:$B$573,B330)</f>
        <v/>
      </c>
      <c r="K330">
        <f>IF(J330-TODAY()&lt;183,"임박","")</f>
        <v/>
      </c>
      <c r="L330" t="inlineStr">
        <is>
          <t>Y</t>
        </is>
      </c>
      <c r="M330" t="inlineStr">
        <is>
          <t>코스닥</t>
        </is>
      </c>
      <c r="N330" t="inlineStr">
        <is>
          <t>086890</t>
        </is>
      </c>
      <c r="O330" t="inlineStr">
        <is>
          <t>의료용품 및 기타 의약 관련제품 제조업</t>
        </is>
      </c>
      <c r="P330" t="inlineStr">
        <is>
          <t>항체치료제,효소치료제</t>
        </is>
      </c>
      <c r="Q330" t="inlineStr">
        <is>
          <t>유준수</t>
        </is>
      </c>
      <c r="R330" t="inlineStr">
        <is>
          <t>http://www.abxis.com</t>
        </is>
      </c>
      <c r="S330" t="inlineStr">
        <is>
          <t>경기도</t>
        </is>
      </c>
    </row>
    <row r="331">
      <c r="A331" t="inlineStr">
        <is>
          <t>C330</t>
        </is>
      </c>
      <c r="B331" t="inlineStr">
        <is>
          <t>대원바이오텍</t>
        </is>
      </c>
      <c r="C331" t="inlineStr">
        <is>
          <t>대원바이오텍주식회사</t>
        </is>
      </c>
      <c r="D331">
        <f>COUNTIF(SITE!$B$2:$B$573,B331)</f>
        <v/>
      </c>
      <c r="E331">
        <f>SUMIFS(SITE!$H$2:$H$573,SITE!$B$2:$B$573,B331)</f>
        <v/>
      </c>
      <c r="F331">
        <f>IF(COUNTIFS(SITE!$B$2:$B$573,B331,SITE!$E$2:$E$573,"완제의약품")&gt;0,"Y","")</f>
        <v/>
      </c>
      <c r="G331">
        <f>IF(COUNTIFS(SITE!$B$2:$B$573,B331,SITE!$E$2:$E$573,"원료의약품")&gt;0,"Y","")</f>
        <v/>
      </c>
      <c r="H331">
        <f>IF(COUNTIFS(SITE!$B$2:$B$573,B331,SITE!$I$2:$I$573,"Y")&gt;0,"Y","")</f>
        <v/>
      </c>
      <c r="I331">
        <f>IF(COUNTIFS(SITE!$B$2:$B$573,B331,SITE!$J$2:$J$573,"Y")&gt;0,"Y","")</f>
        <v/>
      </c>
      <c r="J331">
        <f>MINIFS(SITE!$G$2:$G$573,SITE!$B$2:$B$573,B331)</f>
        <v/>
      </c>
      <c r="K331">
        <f>IF(J331-TODAY()&lt;183,"임박","")</f>
        <v/>
      </c>
    </row>
    <row r="332">
      <c r="A332" t="inlineStr">
        <is>
          <t>C331</t>
        </is>
      </c>
      <c r="B332" t="inlineStr">
        <is>
          <t>밸리</t>
        </is>
      </c>
      <c r="C332" t="inlineStr">
        <is>
          <t>주식회사 밸리</t>
        </is>
      </c>
      <c r="D332">
        <f>COUNTIF(SITE!$B$2:$B$573,B332)</f>
        <v/>
      </c>
      <c r="E332">
        <f>SUMIFS(SITE!$H$2:$H$573,SITE!$B$2:$B$573,B332)</f>
        <v/>
      </c>
      <c r="F332">
        <f>IF(COUNTIFS(SITE!$B$2:$B$573,B332,SITE!$E$2:$E$573,"완제의약품")&gt;0,"Y","")</f>
        <v/>
      </c>
      <c r="G332">
        <f>IF(COUNTIFS(SITE!$B$2:$B$573,B332,SITE!$E$2:$E$573,"원료의약품")&gt;0,"Y","")</f>
        <v/>
      </c>
      <c r="H332">
        <f>IF(COUNTIFS(SITE!$B$2:$B$573,B332,SITE!$I$2:$I$573,"Y")&gt;0,"Y","")</f>
        <v/>
      </c>
      <c r="I332">
        <f>IF(COUNTIFS(SITE!$B$2:$B$573,B332,SITE!$J$2:$J$573,"Y")&gt;0,"Y","")</f>
        <v/>
      </c>
      <c r="J332">
        <f>MINIFS(SITE!$G$2:$G$573,SITE!$B$2:$B$573,B332)</f>
        <v/>
      </c>
      <c r="K332">
        <f>IF(J332-TODAY()&lt;183,"임박","")</f>
        <v/>
      </c>
    </row>
    <row r="333">
      <c r="A333" t="inlineStr">
        <is>
          <t>C332</t>
        </is>
      </c>
      <c r="B333" t="inlineStr">
        <is>
          <t>넥스제너</t>
        </is>
      </c>
      <c r="C333" t="inlineStr">
        <is>
          <t>주식회사넥스제너</t>
        </is>
      </c>
      <c r="D333">
        <f>COUNTIF(SITE!$B$2:$B$573,B333)</f>
        <v/>
      </c>
      <c r="E333">
        <f>SUMIFS(SITE!$H$2:$H$573,SITE!$B$2:$B$573,B333)</f>
        <v/>
      </c>
      <c r="F333">
        <f>IF(COUNTIFS(SITE!$B$2:$B$573,B333,SITE!$E$2:$E$573,"완제의약품")&gt;0,"Y","")</f>
        <v/>
      </c>
      <c r="G333">
        <f>IF(COUNTIFS(SITE!$B$2:$B$573,B333,SITE!$E$2:$E$573,"원료의약품")&gt;0,"Y","")</f>
        <v/>
      </c>
      <c r="H333">
        <f>IF(COUNTIFS(SITE!$B$2:$B$573,B333,SITE!$I$2:$I$573,"Y")&gt;0,"Y","")</f>
        <v/>
      </c>
      <c r="I333">
        <f>IF(COUNTIFS(SITE!$B$2:$B$573,B333,SITE!$J$2:$J$573,"Y")&gt;0,"Y","")</f>
        <v/>
      </c>
      <c r="J333">
        <f>MINIFS(SITE!$G$2:$G$573,SITE!$B$2:$B$573,B333)</f>
        <v/>
      </c>
      <c r="K333">
        <f>IF(J333-TODAY()&lt;183,"임박","")</f>
        <v/>
      </c>
    </row>
    <row r="334">
      <c r="A334" t="inlineStr">
        <is>
          <t>C333</t>
        </is>
      </c>
      <c r="B334" t="inlineStr">
        <is>
          <t>녹십자</t>
        </is>
      </c>
      <c r="C334" t="inlineStr">
        <is>
          <t>(주)녹십자</t>
        </is>
      </c>
      <c r="D334">
        <f>COUNTIF(SITE!$B$2:$B$573,B334)</f>
        <v/>
      </c>
      <c r="E334">
        <f>SUMIFS(SITE!$H$2:$H$573,SITE!$B$2:$B$573,B334)</f>
        <v/>
      </c>
      <c r="F334">
        <f>IF(COUNTIFS(SITE!$B$2:$B$573,B334,SITE!$E$2:$E$573,"완제의약품")&gt;0,"Y","")</f>
        <v/>
      </c>
      <c r="G334">
        <f>IF(COUNTIFS(SITE!$B$2:$B$573,B334,SITE!$E$2:$E$573,"원료의약품")&gt;0,"Y","")</f>
        <v/>
      </c>
      <c r="H334">
        <f>IF(COUNTIFS(SITE!$B$2:$B$573,B334,SITE!$I$2:$I$573,"Y")&gt;0,"Y","")</f>
        <v/>
      </c>
      <c r="I334">
        <f>IF(COUNTIFS(SITE!$B$2:$B$573,B334,SITE!$J$2:$J$573,"Y")&gt;0,"Y","")</f>
        <v/>
      </c>
      <c r="J334">
        <f>MINIFS(SITE!$G$2:$G$573,SITE!$B$2:$B$573,B334)</f>
        <v/>
      </c>
      <c r="K334">
        <f>IF(J334-TODAY()&lt;183,"임박","")</f>
        <v/>
      </c>
      <c r="L334" t="inlineStr">
        <is>
          <t>Y</t>
        </is>
      </c>
      <c r="M334" t="inlineStr">
        <is>
          <t>유가</t>
        </is>
      </c>
      <c r="N334" t="inlineStr">
        <is>
          <t>006280</t>
        </is>
      </c>
      <c r="O334" t="inlineStr">
        <is>
          <t>의약품 제조업</t>
        </is>
      </c>
      <c r="P334" t="inlineStr">
        <is>
          <t>알부민외 제조,판매</t>
        </is>
      </c>
      <c r="Q334" t="inlineStr">
        <is>
          <t>허은철</t>
        </is>
      </c>
      <c r="R334" t="inlineStr">
        <is>
          <t>http://www.gcbiopharma.com</t>
        </is>
      </c>
      <c r="S334" t="inlineStr">
        <is>
          <t>경기도</t>
        </is>
      </c>
    </row>
    <row r="335">
      <c r="A335" t="inlineStr">
        <is>
          <t>C334</t>
        </is>
      </c>
      <c r="B335" t="inlineStr">
        <is>
          <t>연세의료원</t>
        </is>
      </c>
      <c r="C335" t="inlineStr">
        <is>
          <t>연세의료원</t>
        </is>
      </c>
      <c r="D335">
        <f>COUNTIF(SITE!$B$2:$B$573,B335)</f>
        <v/>
      </c>
      <c r="E335">
        <f>SUMIFS(SITE!$H$2:$H$573,SITE!$B$2:$B$573,B335)</f>
        <v/>
      </c>
      <c r="F335">
        <f>IF(COUNTIFS(SITE!$B$2:$B$573,B335,SITE!$E$2:$E$573,"완제의약품")&gt;0,"Y","")</f>
        <v/>
      </c>
      <c r="G335">
        <f>IF(COUNTIFS(SITE!$B$2:$B$573,B335,SITE!$E$2:$E$573,"원료의약품")&gt;0,"Y","")</f>
        <v/>
      </c>
      <c r="H335">
        <f>IF(COUNTIFS(SITE!$B$2:$B$573,B335,SITE!$I$2:$I$573,"Y")&gt;0,"Y","")</f>
        <v/>
      </c>
      <c r="I335">
        <f>IF(COUNTIFS(SITE!$B$2:$B$573,B335,SITE!$J$2:$J$573,"Y")&gt;0,"Y","")</f>
        <v/>
      </c>
      <c r="J335">
        <f>MINIFS(SITE!$G$2:$G$573,SITE!$B$2:$B$573,B335)</f>
        <v/>
      </c>
      <c r="K335">
        <f>IF(J335-TODAY()&lt;183,"임박","")</f>
        <v/>
      </c>
    </row>
    <row r="336">
      <c r="A336" t="inlineStr">
        <is>
          <t>C335</t>
        </is>
      </c>
      <c r="B336" t="inlineStr">
        <is>
          <t>휴온스생명과학</t>
        </is>
      </c>
      <c r="C336" t="inlineStr">
        <is>
          <t>(주)휴온스생명과학</t>
        </is>
      </c>
      <c r="D336">
        <f>COUNTIF(SITE!$B$2:$B$573,B336)</f>
        <v/>
      </c>
      <c r="E336">
        <f>SUMIFS(SITE!$H$2:$H$573,SITE!$B$2:$B$573,B336)</f>
        <v/>
      </c>
      <c r="F336">
        <f>IF(COUNTIFS(SITE!$B$2:$B$573,B336,SITE!$E$2:$E$573,"완제의약품")&gt;0,"Y","")</f>
        <v/>
      </c>
      <c r="G336">
        <f>IF(COUNTIFS(SITE!$B$2:$B$573,B336,SITE!$E$2:$E$573,"원료의약품")&gt;0,"Y","")</f>
        <v/>
      </c>
      <c r="H336">
        <f>IF(COUNTIFS(SITE!$B$2:$B$573,B336,SITE!$I$2:$I$573,"Y")&gt;0,"Y","")</f>
        <v/>
      </c>
      <c r="I336">
        <f>IF(COUNTIFS(SITE!$B$2:$B$573,B336,SITE!$J$2:$J$573,"Y")&gt;0,"Y","")</f>
        <v/>
      </c>
      <c r="J336">
        <f>MINIFS(SITE!$G$2:$G$573,SITE!$B$2:$B$573,B336)</f>
        <v/>
      </c>
      <c r="K336">
        <f>IF(J336-TODAY()&lt;183,"임박","")</f>
        <v/>
      </c>
    </row>
    <row r="337">
      <c r="A337" t="inlineStr">
        <is>
          <t>C336</t>
        </is>
      </c>
      <c r="B337" t="inlineStr">
        <is>
          <t>대정화금</t>
        </is>
      </c>
      <c r="C337" t="inlineStr">
        <is>
          <t>대정화금(주)</t>
        </is>
      </c>
      <c r="D337">
        <f>COUNTIF(SITE!$B$2:$B$573,B337)</f>
        <v/>
      </c>
      <c r="E337">
        <f>SUMIFS(SITE!$H$2:$H$573,SITE!$B$2:$B$573,B337)</f>
        <v/>
      </c>
      <c r="F337">
        <f>IF(COUNTIFS(SITE!$B$2:$B$573,B337,SITE!$E$2:$E$573,"완제의약품")&gt;0,"Y","")</f>
        <v/>
      </c>
      <c r="G337">
        <f>IF(COUNTIFS(SITE!$B$2:$B$573,B337,SITE!$E$2:$E$573,"원료의약품")&gt;0,"Y","")</f>
        <v/>
      </c>
      <c r="H337">
        <f>IF(COUNTIFS(SITE!$B$2:$B$573,B337,SITE!$I$2:$I$573,"Y")&gt;0,"Y","")</f>
        <v/>
      </c>
      <c r="I337">
        <f>IF(COUNTIFS(SITE!$B$2:$B$573,B337,SITE!$J$2:$J$573,"Y")&gt;0,"Y","")</f>
        <v/>
      </c>
      <c r="J337">
        <f>MINIFS(SITE!$G$2:$G$573,SITE!$B$2:$B$573,B337)</f>
        <v/>
      </c>
      <c r="K337">
        <f>IF(J337-TODAY()&lt;183,"임박","")</f>
        <v/>
      </c>
      <c r="L337" t="inlineStr">
        <is>
          <t>Y</t>
        </is>
      </c>
      <c r="M337" t="inlineStr">
        <is>
          <t>코스닥</t>
        </is>
      </c>
      <c r="N337" t="inlineStr">
        <is>
          <t>120240</t>
        </is>
      </c>
      <c r="O337" t="inlineStr">
        <is>
          <t>기초 화학물질 제조업</t>
        </is>
      </c>
      <c r="P337" t="inlineStr">
        <is>
          <t>시약, 원료의약품</t>
        </is>
      </c>
      <c r="Q337" t="inlineStr">
        <is>
          <t>송영준</t>
        </is>
      </c>
      <c r="R337" t="inlineStr">
        <is>
          <t>http://www.daejung.kr</t>
        </is>
      </c>
      <c r="S337" t="inlineStr">
        <is>
          <t>경기도</t>
        </is>
      </c>
    </row>
    <row r="338">
      <c r="A338" t="inlineStr">
        <is>
          <t>C337</t>
        </is>
      </c>
      <c r="B338" t="inlineStr">
        <is>
          <t>파마코스텍</t>
        </is>
      </c>
      <c r="C338" t="inlineStr">
        <is>
          <t>(주)파마코스텍</t>
        </is>
      </c>
      <c r="D338">
        <f>COUNTIF(SITE!$B$2:$B$573,B338)</f>
        <v/>
      </c>
      <c r="E338">
        <f>SUMIFS(SITE!$H$2:$H$573,SITE!$B$2:$B$573,B338)</f>
        <v/>
      </c>
      <c r="F338">
        <f>IF(COUNTIFS(SITE!$B$2:$B$573,B338,SITE!$E$2:$E$573,"완제의약품")&gt;0,"Y","")</f>
        <v/>
      </c>
      <c r="G338">
        <f>IF(COUNTIFS(SITE!$B$2:$B$573,B338,SITE!$E$2:$E$573,"원료의약품")&gt;0,"Y","")</f>
        <v/>
      </c>
      <c r="H338">
        <f>IF(COUNTIFS(SITE!$B$2:$B$573,B338,SITE!$I$2:$I$573,"Y")&gt;0,"Y","")</f>
        <v/>
      </c>
      <c r="I338">
        <f>IF(COUNTIFS(SITE!$B$2:$B$573,B338,SITE!$J$2:$J$573,"Y")&gt;0,"Y","")</f>
        <v/>
      </c>
      <c r="J338">
        <f>MINIFS(SITE!$G$2:$G$573,SITE!$B$2:$B$573,B338)</f>
        <v/>
      </c>
      <c r="K338">
        <f>IF(J338-TODAY()&lt;183,"임박","")</f>
        <v/>
      </c>
    </row>
    <row r="339">
      <c r="A339" t="inlineStr">
        <is>
          <t>C338</t>
        </is>
      </c>
      <c r="B339" t="inlineStr">
        <is>
          <t>종근당</t>
        </is>
      </c>
      <c r="C339" t="inlineStr">
        <is>
          <t>(주)종근당</t>
        </is>
      </c>
      <c r="D339">
        <f>COUNTIF(SITE!$B$2:$B$573,B339)</f>
        <v/>
      </c>
      <c r="E339">
        <f>SUMIFS(SITE!$H$2:$H$573,SITE!$B$2:$B$573,B339)</f>
        <v/>
      </c>
      <c r="F339">
        <f>IF(COUNTIFS(SITE!$B$2:$B$573,B339,SITE!$E$2:$E$573,"완제의약품")&gt;0,"Y","")</f>
        <v/>
      </c>
      <c r="G339">
        <f>IF(COUNTIFS(SITE!$B$2:$B$573,B339,SITE!$E$2:$E$573,"원료의약품")&gt;0,"Y","")</f>
        <v/>
      </c>
      <c r="H339">
        <f>IF(COUNTIFS(SITE!$B$2:$B$573,B339,SITE!$I$2:$I$573,"Y")&gt;0,"Y","")</f>
        <v/>
      </c>
      <c r="I339">
        <f>IF(COUNTIFS(SITE!$B$2:$B$573,B339,SITE!$J$2:$J$573,"Y")&gt;0,"Y","")</f>
        <v/>
      </c>
      <c r="J339">
        <f>MINIFS(SITE!$G$2:$G$573,SITE!$B$2:$B$573,B339)</f>
        <v/>
      </c>
      <c r="K339">
        <f>IF(J339-TODAY()&lt;183,"임박","")</f>
        <v/>
      </c>
      <c r="L339" t="inlineStr">
        <is>
          <t>Y</t>
        </is>
      </c>
      <c r="M339" t="inlineStr">
        <is>
          <t>유가</t>
        </is>
      </c>
      <c r="N339" t="inlineStr">
        <is>
          <t>185750</t>
        </is>
      </c>
      <c r="O339" t="inlineStr">
        <is>
          <t>의약품 제조업</t>
        </is>
      </c>
      <c r="P339" t="inlineStr">
        <is>
          <t>딜라트렌,리피로우</t>
        </is>
      </c>
      <c r="Q339" t="inlineStr">
        <is>
          <t>김영주</t>
        </is>
      </c>
      <c r="R339" t="inlineStr">
        <is>
          <t>http://www.ckdpharm.com</t>
        </is>
      </c>
      <c r="S339" t="inlineStr">
        <is>
          <t>서울특별시</t>
        </is>
      </c>
    </row>
    <row r="340">
      <c r="A340" t="inlineStr">
        <is>
          <t>C339</t>
        </is>
      </c>
      <c r="B340" t="inlineStr">
        <is>
          <t>광동제약</t>
        </is>
      </c>
      <c r="C340" t="inlineStr">
        <is>
          <t>광동제약(주)</t>
        </is>
      </c>
      <c r="D340">
        <f>COUNTIF(SITE!$B$2:$B$573,B340)</f>
        <v/>
      </c>
      <c r="E340">
        <f>SUMIFS(SITE!$H$2:$H$573,SITE!$B$2:$B$573,B340)</f>
        <v/>
      </c>
      <c r="F340">
        <f>IF(COUNTIFS(SITE!$B$2:$B$573,B340,SITE!$E$2:$E$573,"완제의약품")&gt;0,"Y","")</f>
        <v/>
      </c>
      <c r="G340">
        <f>IF(COUNTIFS(SITE!$B$2:$B$573,B340,SITE!$E$2:$E$573,"원료의약품")&gt;0,"Y","")</f>
        <v/>
      </c>
      <c r="H340">
        <f>IF(COUNTIFS(SITE!$B$2:$B$573,B340,SITE!$I$2:$I$573,"Y")&gt;0,"Y","")</f>
        <v/>
      </c>
      <c r="I340">
        <f>IF(COUNTIFS(SITE!$B$2:$B$573,B340,SITE!$J$2:$J$573,"Y")&gt;0,"Y","")</f>
        <v/>
      </c>
      <c r="J340">
        <f>MINIFS(SITE!$G$2:$G$573,SITE!$B$2:$B$573,B340)</f>
        <v/>
      </c>
      <c r="K340">
        <f>IF(J340-TODAY()&lt;183,"임박","")</f>
        <v/>
      </c>
      <c r="L340" t="inlineStr">
        <is>
          <t>Y</t>
        </is>
      </c>
      <c r="M340" t="inlineStr">
        <is>
          <t>유가</t>
        </is>
      </c>
      <c r="N340" t="inlineStr">
        <is>
          <t>009290</t>
        </is>
      </c>
      <c r="O340" t="inlineStr">
        <is>
          <t>의약품 제조업</t>
        </is>
      </c>
      <c r="P340" t="inlineStr">
        <is>
          <t>의약품,식음료 제조,도매</t>
        </is>
      </c>
      <c r="Q340" t="inlineStr">
        <is>
          <t>최성원, 박상영(각자대표)</t>
        </is>
      </c>
      <c r="R340" t="inlineStr">
        <is>
          <t>http://www.ekdp.com</t>
        </is>
      </c>
      <c r="S340" t="inlineStr">
        <is>
          <t>경기도</t>
        </is>
      </c>
    </row>
    <row r="341">
      <c r="A341" t="inlineStr">
        <is>
          <t>C340</t>
        </is>
      </c>
      <c r="B341" t="inlineStr">
        <is>
          <t>오스틴제약</t>
        </is>
      </c>
      <c r="C341" t="inlineStr">
        <is>
          <t>오스틴제약(주)</t>
        </is>
      </c>
      <c r="D341">
        <f>COUNTIF(SITE!$B$2:$B$573,B341)</f>
        <v/>
      </c>
      <c r="E341">
        <f>SUMIFS(SITE!$H$2:$H$573,SITE!$B$2:$B$573,B341)</f>
        <v/>
      </c>
      <c r="F341">
        <f>IF(COUNTIFS(SITE!$B$2:$B$573,B341,SITE!$E$2:$E$573,"완제의약품")&gt;0,"Y","")</f>
        <v/>
      </c>
      <c r="G341">
        <f>IF(COUNTIFS(SITE!$B$2:$B$573,B341,SITE!$E$2:$E$573,"원료의약품")&gt;0,"Y","")</f>
        <v/>
      </c>
      <c r="H341">
        <f>IF(COUNTIFS(SITE!$B$2:$B$573,B341,SITE!$I$2:$I$573,"Y")&gt;0,"Y","")</f>
        <v/>
      </c>
      <c r="I341">
        <f>IF(COUNTIFS(SITE!$B$2:$B$573,B341,SITE!$J$2:$J$573,"Y")&gt;0,"Y","")</f>
        <v/>
      </c>
      <c r="J341">
        <f>MINIFS(SITE!$G$2:$G$573,SITE!$B$2:$B$573,B341)</f>
        <v/>
      </c>
      <c r="K341">
        <f>IF(J341-TODAY()&lt;183,"임박","")</f>
        <v/>
      </c>
    </row>
    <row r="342">
      <c r="A342" t="inlineStr">
        <is>
          <t>C341</t>
        </is>
      </c>
      <c r="B342" t="inlineStr">
        <is>
          <t>세종산업가스</t>
        </is>
      </c>
      <c r="C342" t="inlineStr">
        <is>
          <t>(주)세종산업가스</t>
        </is>
      </c>
      <c r="D342">
        <f>COUNTIF(SITE!$B$2:$B$573,B342)</f>
        <v/>
      </c>
      <c r="E342">
        <f>SUMIFS(SITE!$H$2:$H$573,SITE!$B$2:$B$573,B342)</f>
        <v/>
      </c>
      <c r="F342">
        <f>IF(COUNTIFS(SITE!$B$2:$B$573,B342,SITE!$E$2:$E$573,"완제의약품")&gt;0,"Y","")</f>
        <v/>
      </c>
      <c r="G342">
        <f>IF(COUNTIFS(SITE!$B$2:$B$573,B342,SITE!$E$2:$E$573,"원료의약품")&gt;0,"Y","")</f>
        <v/>
      </c>
      <c r="H342">
        <f>IF(COUNTIFS(SITE!$B$2:$B$573,B342,SITE!$I$2:$I$573,"Y")&gt;0,"Y","")</f>
        <v/>
      </c>
      <c r="I342">
        <f>IF(COUNTIFS(SITE!$B$2:$B$573,B342,SITE!$J$2:$J$573,"Y")&gt;0,"Y","")</f>
        <v/>
      </c>
      <c r="J342">
        <f>MINIFS(SITE!$G$2:$G$573,SITE!$B$2:$B$573,B342)</f>
        <v/>
      </c>
      <c r="K342">
        <f>IF(J342-TODAY()&lt;183,"임박","")</f>
        <v/>
      </c>
    </row>
    <row r="343">
      <c r="A343" t="inlineStr">
        <is>
          <t>C342</t>
        </is>
      </c>
      <c r="B343" t="inlineStr">
        <is>
          <t>신일제약</t>
        </is>
      </c>
      <c r="C343" t="inlineStr">
        <is>
          <t>신일제약(주)</t>
        </is>
      </c>
      <c r="D343">
        <f>COUNTIF(SITE!$B$2:$B$573,B343)</f>
        <v/>
      </c>
      <c r="E343">
        <f>SUMIFS(SITE!$H$2:$H$573,SITE!$B$2:$B$573,B343)</f>
        <v/>
      </c>
      <c r="F343">
        <f>IF(COUNTIFS(SITE!$B$2:$B$573,B343,SITE!$E$2:$E$573,"완제의약품")&gt;0,"Y","")</f>
        <v/>
      </c>
      <c r="G343">
        <f>IF(COUNTIFS(SITE!$B$2:$B$573,B343,SITE!$E$2:$E$573,"원료의약품")&gt;0,"Y","")</f>
        <v/>
      </c>
      <c r="H343">
        <f>IF(COUNTIFS(SITE!$B$2:$B$573,B343,SITE!$I$2:$I$573,"Y")&gt;0,"Y","")</f>
        <v/>
      </c>
      <c r="I343">
        <f>IF(COUNTIFS(SITE!$B$2:$B$573,B343,SITE!$J$2:$J$573,"Y")&gt;0,"Y","")</f>
        <v/>
      </c>
      <c r="J343">
        <f>MINIFS(SITE!$G$2:$G$573,SITE!$B$2:$B$573,B343)</f>
        <v/>
      </c>
      <c r="K343">
        <f>IF(J343-TODAY()&lt;183,"임박","")</f>
        <v/>
      </c>
      <c r="L343" t="inlineStr">
        <is>
          <t>Y</t>
        </is>
      </c>
      <c r="M343" t="inlineStr">
        <is>
          <t>코스닥</t>
        </is>
      </c>
      <c r="N343" t="inlineStr">
        <is>
          <t>012790</t>
        </is>
      </c>
      <c r="O343" t="inlineStr">
        <is>
          <t>의약품 제조업</t>
        </is>
      </c>
      <c r="P343" t="inlineStr">
        <is>
          <t>디펜플라스타, 맥스케어, 트레스, 리피칸</t>
        </is>
      </c>
      <c r="Q343" t="inlineStr">
        <is>
          <t>홍재현</t>
        </is>
      </c>
      <c r="R343" t="inlineStr">
        <is>
          <t>http://www.sinilpharm.com</t>
        </is>
      </c>
      <c r="S343" t="inlineStr">
        <is>
          <t>충청북도</t>
        </is>
      </c>
    </row>
    <row r="344">
      <c r="A344" t="inlineStr">
        <is>
          <t>C343</t>
        </is>
      </c>
      <c r="B344" t="inlineStr">
        <is>
          <t>리독스바이오</t>
        </is>
      </c>
      <c r="C344" t="inlineStr">
        <is>
          <t>(주)리독스바이오</t>
        </is>
      </c>
      <c r="D344">
        <f>COUNTIF(SITE!$B$2:$B$573,B344)</f>
        <v/>
      </c>
      <c r="E344">
        <f>SUMIFS(SITE!$H$2:$H$573,SITE!$B$2:$B$573,B344)</f>
        <v/>
      </c>
      <c r="F344">
        <f>IF(COUNTIFS(SITE!$B$2:$B$573,B344,SITE!$E$2:$E$573,"완제의약품")&gt;0,"Y","")</f>
        <v/>
      </c>
      <c r="G344">
        <f>IF(COUNTIFS(SITE!$B$2:$B$573,B344,SITE!$E$2:$E$573,"원료의약품")&gt;0,"Y","")</f>
        <v/>
      </c>
      <c r="H344">
        <f>IF(COUNTIFS(SITE!$B$2:$B$573,B344,SITE!$I$2:$I$573,"Y")&gt;0,"Y","")</f>
        <v/>
      </c>
      <c r="I344">
        <f>IF(COUNTIFS(SITE!$B$2:$B$573,B344,SITE!$J$2:$J$573,"Y")&gt;0,"Y","")</f>
        <v/>
      </c>
      <c r="J344">
        <f>MINIFS(SITE!$G$2:$G$573,SITE!$B$2:$B$573,B344)</f>
        <v/>
      </c>
      <c r="K344">
        <f>IF(J344-TODAY()&lt;183,"임박","")</f>
        <v/>
      </c>
    </row>
    <row r="345">
      <c r="A345" t="inlineStr">
        <is>
          <t>C344</t>
        </is>
      </c>
      <c r="B345" t="inlineStr">
        <is>
          <t>경진제약</t>
        </is>
      </c>
      <c r="C345" t="inlineStr">
        <is>
          <t>경진제약(주)</t>
        </is>
      </c>
      <c r="D345">
        <f>COUNTIF(SITE!$B$2:$B$573,B345)</f>
        <v/>
      </c>
      <c r="E345">
        <f>SUMIFS(SITE!$H$2:$H$573,SITE!$B$2:$B$573,B345)</f>
        <v/>
      </c>
      <c r="F345">
        <f>IF(COUNTIFS(SITE!$B$2:$B$573,B345,SITE!$E$2:$E$573,"완제의약품")&gt;0,"Y","")</f>
        <v/>
      </c>
      <c r="G345">
        <f>IF(COUNTIFS(SITE!$B$2:$B$573,B345,SITE!$E$2:$E$573,"원료의약품")&gt;0,"Y","")</f>
        <v/>
      </c>
      <c r="H345">
        <f>IF(COUNTIFS(SITE!$B$2:$B$573,B345,SITE!$I$2:$I$573,"Y")&gt;0,"Y","")</f>
        <v/>
      </c>
      <c r="I345">
        <f>IF(COUNTIFS(SITE!$B$2:$B$573,B345,SITE!$J$2:$J$573,"Y")&gt;0,"Y","")</f>
        <v/>
      </c>
      <c r="J345">
        <f>MINIFS(SITE!$G$2:$G$573,SITE!$B$2:$B$573,B345)</f>
        <v/>
      </c>
      <c r="K345">
        <f>IF(J345-TODAY()&lt;183,"임박","")</f>
        <v/>
      </c>
    </row>
    <row r="346">
      <c r="A346" t="inlineStr">
        <is>
          <t>C345</t>
        </is>
      </c>
      <c r="B346" t="inlineStr">
        <is>
          <t>고려제약</t>
        </is>
      </c>
      <c r="C346" t="inlineStr">
        <is>
          <t>고려제약(주)</t>
        </is>
      </c>
      <c r="D346">
        <f>COUNTIF(SITE!$B$2:$B$573,B346)</f>
        <v/>
      </c>
      <c r="E346">
        <f>SUMIFS(SITE!$H$2:$H$573,SITE!$B$2:$B$573,B346)</f>
        <v/>
      </c>
      <c r="F346">
        <f>IF(COUNTIFS(SITE!$B$2:$B$573,B346,SITE!$E$2:$E$573,"완제의약품")&gt;0,"Y","")</f>
        <v/>
      </c>
      <c r="G346">
        <f>IF(COUNTIFS(SITE!$B$2:$B$573,B346,SITE!$E$2:$E$573,"원료의약품")&gt;0,"Y","")</f>
        <v/>
      </c>
      <c r="H346">
        <f>IF(COUNTIFS(SITE!$B$2:$B$573,B346,SITE!$I$2:$I$573,"Y")&gt;0,"Y","")</f>
        <v/>
      </c>
      <c r="I346">
        <f>IF(COUNTIFS(SITE!$B$2:$B$573,B346,SITE!$J$2:$J$573,"Y")&gt;0,"Y","")</f>
        <v/>
      </c>
      <c r="J346">
        <f>MINIFS(SITE!$G$2:$G$573,SITE!$B$2:$B$573,B346)</f>
        <v/>
      </c>
      <c r="K346">
        <f>IF(J346-TODAY()&lt;183,"임박","")</f>
        <v/>
      </c>
      <c r="L346" t="inlineStr">
        <is>
          <t>Y</t>
        </is>
      </c>
      <c r="M346" t="inlineStr">
        <is>
          <t>코스닥</t>
        </is>
      </c>
      <c r="N346" t="inlineStr">
        <is>
          <t>014570</t>
        </is>
      </c>
      <c r="O346" t="inlineStr">
        <is>
          <t>의약품 제조업</t>
        </is>
      </c>
      <c r="P346" t="inlineStr">
        <is>
          <t>하벤(종합감기약),뉴로메드(치매치료제)등</t>
        </is>
      </c>
      <c r="Q346" t="inlineStr">
        <is>
          <t>박해룡, 박상훈 (각자대표)</t>
        </is>
      </c>
      <c r="R346" t="inlineStr">
        <is>
          <t>http://www.nicepharma.com</t>
        </is>
      </c>
      <c r="S346" t="inlineStr">
        <is>
          <t>경기도</t>
        </is>
      </c>
    </row>
    <row r="347">
      <c r="A347" t="inlineStr">
        <is>
          <t>C346</t>
        </is>
      </c>
      <c r="B347" t="inlineStr">
        <is>
          <t>태경케미컬</t>
        </is>
      </c>
      <c r="C347" t="inlineStr">
        <is>
          <t>태경케미컬(주)</t>
        </is>
      </c>
      <c r="D347">
        <f>COUNTIF(SITE!$B$2:$B$573,B347)</f>
        <v/>
      </c>
      <c r="E347">
        <f>SUMIFS(SITE!$H$2:$H$573,SITE!$B$2:$B$573,B347)</f>
        <v/>
      </c>
      <c r="F347">
        <f>IF(COUNTIFS(SITE!$B$2:$B$573,B347,SITE!$E$2:$E$573,"완제의약품")&gt;0,"Y","")</f>
        <v/>
      </c>
      <c r="G347">
        <f>IF(COUNTIFS(SITE!$B$2:$B$573,B347,SITE!$E$2:$E$573,"원료의약품")&gt;0,"Y","")</f>
        <v/>
      </c>
      <c r="H347">
        <f>IF(COUNTIFS(SITE!$B$2:$B$573,B347,SITE!$I$2:$I$573,"Y")&gt;0,"Y","")</f>
        <v/>
      </c>
      <c r="I347">
        <f>IF(COUNTIFS(SITE!$B$2:$B$573,B347,SITE!$J$2:$J$573,"Y")&gt;0,"Y","")</f>
        <v/>
      </c>
      <c r="J347">
        <f>MINIFS(SITE!$G$2:$G$573,SITE!$B$2:$B$573,B347)</f>
        <v/>
      </c>
      <c r="K347">
        <f>IF(J347-TODAY()&lt;183,"임박","")</f>
        <v/>
      </c>
      <c r="L347" t="inlineStr">
        <is>
          <t>Y</t>
        </is>
      </c>
      <c r="M347" t="inlineStr">
        <is>
          <t>유가</t>
        </is>
      </c>
      <c r="N347" t="inlineStr">
        <is>
          <t>006890</t>
        </is>
      </c>
      <c r="O347" t="inlineStr">
        <is>
          <t>기초 화학물질 제조업</t>
        </is>
      </c>
      <c r="P347" t="inlineStr">
        <is>
          <t>드라이아이스,액체탄산,고체탄산 제조</t>
        </is>
      </c>
      <c r="Q347" t="inlineStr">
        <is>
          <t>박기환</t>
        </is>
      </c>
      <c r="R347" t="inlineStr">
        <is>
          <t>http://www.taekyungchem.co.kr</t>
        </is>
      </c>
      <c r="S347" t="inlineStr">
        <is>
          <t>서울특별시</t>
        </is>
      </c>
    </row>
    <row r="348">
      <c r="A348" t="inlineStr">
        <is>
          <t>C347</t>
        </is>
      </c>
      <c r="B348" t="inlineStr">
        <is>
          <t>와이에스생명과학</t>
        </is>
      </c>
      <c r="C348" t="inlineStr">
        <is>
          <t>(주)와이에스생명과학</t>
        </is>
      </c>
      <c r="D348">
        <f>COUNTIF(SITE!$B$2:$B$573,B348)</f>
        <v/>
      </c>
      <c r="E348">
        <f>SUMIFS(SITE!$H$2:$H$573,SITE!$B$2:$B$573,B348)</f>
        <v/>
      </c>
      <c r="F348">
        <f>IF(COUNTIFS(SITE!$B$2:$B$573,B348,SITE!$E$2:$E$573,"완제의약품")&gt;0,"Y","")</f>
        <v/>
      </c>
      <c r="G348">
        <f>IF(COUNTIFS(SITE!$B$2:$B$573,B348,SITE!$E$2:$E$573,"원료의약품")&gt;0,"Y","")</f>
        <v/>
      </c>
      <c r="H348">
        <f>IF(COUNTIFS(SITE!$B$2:$B$573,B348,SITE!$I$2:$I$573,"Y")&gt;0,"Y","")</f>
        <v/>
      </c>
      <c r="I348">
        <f>IF(COUNTIFS(SITE!$B$2:$B$573,B348,SITE!$J$2:$J$573,"Y")&gt;0,"Y","")</f>
        <v/>
      </c>
      <c r="J348">
        <f>MINIFS(SITE!$G$2:$G$573,SITE!$B$2:$B$573,B348)</f>
        <v/>
      </c>
      <c r="K348">
        <f>IF(J348-TODAY()&lt;183,"임박","")</f>
        <v/>
      </c>
    </row>
    <row r="349">
      <c r="A349" t="inlineStr">
        <is>
          <t>C348</t>
        </is>
      </c>
      <c r="B349" t="inlineStr">
        <is>
          <t>대봉엘에스</t>
        </is>
      </c>
      <c r="C349" t="inlineStr">
        <is>
          <t>대봉엘에스(주)</t>
        </is>
      </c>
      <c r="D349">
        <f>COUNTIF(SITE!$B$2:$B$573,B349)</f>
        <v/>
      </c>
      <c r="E349">
        <f>SUMIFS(SITE!$H$2:$H$573,SITE!$B$2:$B$573,B349)</f>
        <v/>
      </c>
      <c r="F349">
        <f>IF(COUNTIFS(SITE!$B$2:$B$573,B349,SITE!$E$2:$E$573,"완제의약품")&gt;0,"Y","")</f>
        <v/>
      </c>
      <c r="G349">
        <f>IF(COUNTIFS(SITE!$B$2:$B$573,B349,SITE!$E$2:$E$573,"원료의약품")&gt;0,"Y","")</f>
        <v/>
      </c>
      <c r="H349">
        <f>IF(COUNTIFS(SITE!$B$2:$B$573,B349,SITE!$I$2:$I$573,"Y")&gt;0,"Y","")</f>
        <v/>
      </c>
      <c r="I349">
        <f>IF(COUNTIFS(SITE!$B$2:$B$573,B349,SITE!$J$2:$J$573,"Y")&gt;0,"Y","")</f>
        <v/>
      </c>
      <c r="J349">
        <f>MINIFS(SITE!$G$2:$G$573,SITE!$B$2:$B$573,B349)</f>
        <v/>
      </c>
      <c r="K349">
        <f>IF(J349-TODAY()&lt;183,"임박","")</f>
        <v/>
      </c>
      <c r="L349" t="inlineStr">
        <is>
          <t>Y</t>
        </is>
      </c>
      <c r="M349" t="inlineStr">
        <is>
          <t>코스닥</t>
        </is>
      </c>
      <c r="N349" t="inlineStr">
        <is>
          <t>078140</t>
        </is>
      </c>
      <c r="O349" t="inlineStr">
        <is>
          <t>의약품 제조업</t>
        </is>
      </c>
      <c r="P349" t="inlineStr">
        <is>
          <t>원료의약품,화장품원료</t>
        </is>
      </c>
      <c r="Q349" t="inlineStr">
        <is>
          <t>박종호, 박진오</t>
        </is>
      </c>
      <c r="R349" t="inlineStr">
        <is>
          <t>http://www.daebongls.co.kr</t>
        </is>
      </c>
      <c r="S349" t="inlineStr">
        <is>
          <t>인천광역시</t>
        </is>
      </c>
    </row>
    <row r="350">
      <c r="A350" t="inlineStr">
        <is>
          <t>C349</t>
        </is>
      </c>
      <c r="B350" t="inlineStr">
        <is>
          <t>에스케이에어플러스</t>
        </is>
      </c>
      <c r="C350" t="inlineStr">
        <is>
          <t>에스케이에어플러스 주식회사</t>
        </is>
      </c>
      <c r="D350">
        <f>COUNTIF(SITE!$B$2:$B$573,B350)</f>
        <v/>
      </c>
      <c r="E350">
        <f>SUMIFS(SITE!$H$2:$H$573,SITE!$B$2:$B$573,B350)</f>
        <v/>
      </c>
      <c r="F350">
        <f>IF(COUNTIFS(SITE!$B$2:$B$573,B350,SITE!$E$2:$E$573,"완제의약품")&gt;0,"Y","")</f>
        <v/>
      </c>
      <c r="G350">
        <f>IF(COUNTIFS(SITE!$B$2:$B$573,B350,SITE!$E$2:$E$573,"원료의약품")&gt;0,"Y","")</f>
        <v/>
      </c>
      <c r="H350">
        <f>IF(COUNTIFS(SITE!$B$2:$B$573,B350,SITE!$I$2:$I$573,"Y")&gt;0,"Y","")</f>
        <v/>
      </c>
      <c r="I350">
        <f>IF(COUNTIFS(SITE!$B$2:$B$573,B350,SITE!$J$2:$J$573,"Y")&gt;0,"Y","")</f>
        <v/>
      </c>
      <c r="J350">
        <f>MINIFS(SITE!$G$2:$G$573,SITE!$B$2:$B$573,B350)</f>
        <v/>
      </c>
      <c r="K350">
        <f>IF(J350-TODAY()&lt;183,"임박","")</f>
        <v/>
      </c>
    </row>
    <row r="351">
      <c r="A351" t="inlineStr">
        <is>
          <t>C350</t>
        </is>
      </c>
      <c r="B351" t="inlineStr">
        <is>
          <t>테고사이언스</t>
        </is>
      </c>
      <c r="C351" t="inlineStr">
        <is>
          <t>테고사이언스(주)</t>
        </is>
      </c>
      <c r="D351">
        <f>COUNTIF(SITE!$B$2:$B$573,B351)</f>
        <v/>
      </c>
      <c r="E351">
        <f>SUMIFS(SITE!$H$2:$H$573,SITE!$B$2:$B$573,B351)</f>
        <v/>
      </c>
      <c r="F351">
        <f>IF(COUNTIFS(SITE!$B$2:$B$573,B351,SITE!$E$2:$E$573,"완제의약품")&gt;0,"Y","")</f>
        <v/>
      </c>
      <c r="G351">
        <f>IF(COUNTIFS(SITE!$B$2:$B$573,B351,SITE!$E$2:$E$573,"원료의약품")&gt;0,"Y","")</f>
        <v/>
      </c>
      <c r="H351">
        <f>IF(COUNTIFS(SITE!$B$2:$B$573,B351,SITE!$I$2:$I$573,"Y")&gt;0,"Y","")</f>
        <v/>
      </c>
      <c r="I351">
        <f>IF(COUNTIFS(SITE!$B$2:$B$573,B351,SITE!$J$2:$J$573,"Y")&gt;0,"Y","")</f>
        <v/>
      </c>
      <c r="J351">
        <f>MINIFS(SITE!$G$2:$G$573,SITE!$B$2:$B$573,B351)</f>
        <v/>
      </c>
      <c r="K351">
        <f>IF(J351-TODAY()&lt;183,"임박","")</f>
        <v/>
      </c>
      <c r="L351" t="inlineStr">
        <is>
          <t>Y</t>
        </is>
      </c>
      <c r="M351" t="inlineStr">
        <is>
          <t>코스닥</t>
        </is>
      </c>
      <c r="N351" t="inlineStr">
        <is>
          <t>191420</t>
        </is>
      </c>
      <c r="O351" t="inlineStr">
        <is>
          <t>기초 의약물질 제조업</t>
        </is>
      </c>
      <c r="P351" t="inlineStr">
        <is>
          <t>피부세포치료제</t>
        </is>
      </c>
      <c r="Q351" t="inlineStr">
        <is>
          <t>전세화</t>
        </is>
      </c>
      <c r="R351" t="inlineStr">
        <is>
          <t>http://www.tegoscience.com</t>
        </is>
      </c>
      <c r="S351" t="inlineStr">
        <is>
          <t>서울특별시</t>
        </is>
      </c>
    </row>
    <row r="352">
      <c r="A352" t="inlineStr">
        <is>
          <t>C351</t>
        </is>
      </c>
      <c r="B352" t="inlineStr">
        <is>
          <t>코오롱제약</t>
        </is>
      </c>
      <c r="C352" t="inlineStr">
        <is>
          <t>코오롱제약(주)</t>
        </is>
      </c>
      <c r="D352">
        <f>COUNTIF(SITE!$B$2:$B$573,B352)</f>
        <v/>
      </c>
      <c r="E352">
        <f>SUMIFS(SITE!$H$2:$H$573,SITE!$B$2:$B$573,B352)</f>
        <v/>
      </c>
      <c r="F352">
        <f>IF(COUNTIFS(SITE!$B$2:$B$573,B352,SITE!$E$2:$E$573,"완제의약품")&gt;0,"Y","")</f>
        <v/>
      </c>
      <c r="G352">
        <f>IF(COUNTIFS(SITE!$B$2:$B$573,B352,SITE!$E$2:$E$573,"원료의약품")&gt;0,"Y","")</f>
        <v/>
      </c>
      <c r="H352">
        <f>IF(COUNTIFS(SITE!$B$2:$B$573,B352,SITE!$I$2:$I$573,"Y")&gt;0,"Y","")</f>
        <v/>
      </c>
      <c r="I352">
        <f>IF(COUNTIFS(SITE!$B$2:$B$573,B352,SITE!$J$2:$J$573,"Y")&gt;0,"Y","")</f>
        <v/>
      </c>
      <c r="J352">
        <f>MINIFS(SITE!$G$2:$G$573,SITE!$B$2:$B$573,B352)</f>
        <v/>
      </c>
      <c r="K352">
        <f>IF(J352-TODAY()&lt;183,"임박","")</f>
        <v/>
      </c>
    </row>
    <row r="353">
      <c r="A353" t="inlineStr">
        <is>
          <t>C352</t>
        </is>
      </c>
      <c r="B353" t="inlineStr">
        <is>
          <t>지엘파마</t>
        </is>
      </c>
      <c r="C353" t="inlineStr">
        <is>
          <t>지엘파마(주)</t>
        </is>
      </c>
      <c r="D353">
        <f>COUNTIF(SITE!$B$2:$B$573,B353)</f>
        <v/>
      </c>
      <c r="E353">
        <f>SUMIFS(SITE!$H$2:$H$573,SITE!$B$2:$B$573,B353)</f>
        <v/>
      </c>
      <c r="F353">
        <f>IF(COUNTIFS(SITE!$B$2:$B$573,B353,SITE!$E$2:$E$573,"완제의약품")&gt;0,"Y","")</f>
        <v/>
      </c>
      <c r="G353">
        <f>IF(COUNTIFS(SITE!$B$2:$B$573,B353,SITE!$E$2:$E$573,"원료의약품")&gt;0,"Y","")</f>
        <v/>
      </c>
      <c r="H353">
        <f>IF(COUNTIFS(SITE!$B$2:$B$573,B353,SITE!$I$2:$I$573,"Y")&gt;0,"Y","")</f>
        <v/>
      </c>
      <c r="I353">
        <f>IF(COUNTIFS(SITE!$B$2:$B$573,B353,SITE!$J$2:$J$573,"Y")&gt;0,"Y","")</f>
        <v/>
      </c>
      <c r="J353">
        <f>MINIFS(SITE!$G$2:$G$573,SITE!$B$2:$B$573,B353)</f>
        <v/>
      </c>
      <c r="K353">
        <f>IF(J353-TODAY()&lt;183,"임박","")</f>
        <v/>
      </c>
    </row>
    <row r="354">
      <c r="A354" t="inlineStr">
        <is>
          <t>C353</t>
        </is>
      </c>
      <c r="B354" t="inlineStr">
        <is>
          <t>우진비앤지</t>
        </is>
      </c>
      <c r="C354" t="inlineStr">
        <is>
          <t>우진비앤지(주)</t>
        </is>
      </c>
      <c r="D354">
        <f>COUNTIF(SITE!$B$2:$B$573,B354)</f>
        <v/>
      </c>
      <c r="E354">
        <f>SUMIFS(SITE!$H$2:$H$573,SITE!$B$2:$B$573,B354)</f>
        <v/>
      </c>
      <c r="F354">
        <f>IF(COUNTIFS(SITE!$B$2:$B$573,B354,SITE!$E$2:$E$573,"완제의약품")&gt;0,"Y","")</f>
        <v/>
      </c>
      <c r="G354">
        <f>IF(COUNTIFS(SITE!$B$2:$B$573,B354,SITE!$E$2:$E$573,"원료의약품")&gt;0,"Y","")</f>
        <v/>
      </c>
      <c r="H354">
        <f>IF(COUNTIFS(SITE!$B$2:$B$573,B354,SITE!$I$2:$I$573,"Y")&gt;0,"Y","")</f>
        <v/>
      </c>
      <c r="I354">
        <f>IF(COUNTIFS(SITE!$B$2:$B$573,B354,SITE!$J$2:$J$573,"Y")&gt;0,"Y","")</f>
        <v/>
      </c>
      <c r="J354">
        <f>MINIFS(SITE!$G$2:$G$573,SITE!$B$2:$B$573,B354)</f>
        <v/>
      </c>
      <c r="K354">
        <f>IF(J354-TODAY()&lt;183,"임박","")</f>
        <v/>
      </c>
      <c r="L354" t="inlineStr">
        <is>
          <t>Y</t>
        </is>
      </c>
      <c r="M354" t="inlineStr">
        <is>
          <t>코스닥</t>
        </is>
      </c>
      <c r="N354" t="inlineStr">
        <is>
          <t>018620</t>
        </is>
      </c>
      <c r="O354" t="inlineStr">
        <is>
          <t>의약품 제조업</t>
        </is>
      </c>
      <c r="P354" t="inlineStr">
        <is>
          <t>슈퍼티아, 안티펜SM</t>
        </is>
      </c>
      <c r="Q354" t="inlineStr">
        <is>
          <t>강재구</t>
        </is>
      </c>
      <c r="R354" t="inlineStr">
        <is>
          <t>http://www.woogenebng.com</t>
        </is>
      </c>
      <c r="S354" t="inlineStr">
        <is>
          <t>경기도</t>
        </is>
      </c>
    </row>
    <row r="355">
      <c r="A355" t="inlineStr">
        <is>
          <t>C354</t>
        </is>
      </c>
      <c r="B355" t="inlineStr">
        <is>
          <t>씨엠지제약</t>
        </is>
      </c>
      <c r="C355" t="inlineStr">
        <is>
          <t>(주)씨엠지제약</t>
        </is>
      </c>
      <c r="D355">
        <f>COUNTIF(SITE!$B$2:$B$573,B355)</f>
        <v/>
      </c>
      <c r="E355">
        <f>SUMIFS(SITE!$H$2:$H$573,SITE!$B$2:$B$573,B355)</f>
        <v/>
      </c>
      <c r="F355">
        <f>IF(COUNTIFS(SITE!$B$2:$B$573,B355,SITE!$E$2:$E$573,"완제의약품")&gt;0,"Y","")</f>
        <v/>
      </c>
      <c r="G355">
        <f>IF(COUNTIFS(SITE!$B$2:$B$573,B355,SITE!$E$2:$E$573,"원료의약품")&gt;0,"Y","")</f>
        <v/>
      </c>
      <c r="H355">
        <f>IF(COUNTIFS(SITE!$B$2:$B$573,B355,SITE!$I$2:$I$573,"Y")&gt;0,"Y","")</f>
        <v/>
      </c>
      <c r="I355">
        <f>IF(COUNTIFS(SITE!$B$2:$B$573,B355,SITE!$J$2:$J$573,"Y")&gt;0,"Y","")</f>
        <v/>
      </c>
      <c r="J355">
        <f>MINIFS(SITE!$G$2:$G$573,SITE!$B$2:$B$573,B355)</f>
        <v/>
      </c>
      <c r="K355">
        <f>IF(J355-TODAY()&lt;183,"임박","")</f>
        <v/>
      </c>
    </row>
    <row r="356">
      <c r="A356" t="inlineStr">
        <is>
          <t>C355</t>
        </is>
      </c>
      <c r="B356" t="inlineStr">
        <is>
          <t>제일제약</t>
        </is>
      </c>
      <c r="C356" t="inlineStr">
        <is>
          <t>(주)제일제약</t>
        </is>
      </c>
      <c r="D356">
        <f>COUNTIF(SITE!$B$2:$B$573,B356)</f>
        <v/>
      </c>
      <c r="E356">
        <f>SUMIFS(SITE!$H$2:$H$573,SITE!$B$2:$B$573,B356)</f>
        <v/>
      </c>
      <c r="F356">
        <f>IF(COUNTIFS(SITE!$B$2:$B$573,B356,SITE!$E$2:$E$573,"완제의약품")&gt;0,"Y","")</f>
        <v/>
      </c>
      <c r="G356">
        <f>IF(COUNTIFS(SITE!$B$2:$B$573,B356,SITE!$E$2:$E$573,"원료의약품")&gt;0,"Y","")</f>
        <v/>
      </c>
      <c r="H356">
        <f>IF(COUNTIFS(SITE!$B$2:$B$573,B356,SITE!$I$2:$I$573,"Y")&gt;0,"Y","")</f>
        <v/>
      </c>
      <c r="I356">
        <f>IF(COUNTIFS(SITE!$B$2:$B$573,B356,SITE!$J$2:$J$573,"Y")&gt;0,"Y","")</f>
        <v/>
      </c>
      <c r="J356">
        <f>MINIFS(SITE!$G$2:$G$573,SITE!$B$2:$B$573,B356)</f>
        <v/>
      </c>
      <c r="K356">
        <f>IF(J356-TODAY()&lt;183,"임박","")</f>
        <v/>
      </c>
    </row>
    <row r="357">
      <c r="A357" t="inlineStr">
        <is>
          <t>C356</t>
        </is>
      </c>
      <c r="B357" t="inlineStr">
        <is>
          <t>코리아에어텍</t>
        </is>
      </c>
      <c r="C357" t="inlineStr">
        <is>
          <t>주식회사 코리아에어텍</t>
        </is>
      </c>
      <c r="D357">
        <f>COUNTIF(SITE!$B$2:$B$573,B357)</f>
        <v/>
      </c>
      <c r="E357">
        <f>SUMIFS(SITE!$H$2:$H$573,SITE!$B$2:$B$573,B357)</f>
        <v/>
      </c>
      <c r="F357">
        <f>IF(COUNTIFS(SITE!$B$2:$B$573,B357,SITE!$E$2:$E$573,"완제의약품")&gt;0,"Y","")</f>
        <v/>
      </c>
      <c r="G357">
        <f>IF(COUNTIFS(SITE!$B$2:$B$573,B357,SITE!$E$2:$E$573,"원료의약품")&gt;0,"Y","")</f>
        <v/>
      </c>
      <c r="H357">
        <f>IF(COUNTIFS(SITE!$B$2:$B$573,B357,SITE!$I$2:$I$573,"Y")&gt;0,"Y","")</f>
        <v/>
      </c>
      <c r="I357">
        <f>IF(COUNTIFS(SITE!$B$2:$B$573,B357,SITE!$J$2:$J$573,"Y")&gt;0,"Y","")</f>
        <v/>
      </c>
      <c r="J357">
        <f>MINIFS(SITE!$G$2:$G$573,SITE!$B$2:$B$573,B357)</f>
        <v/>
      </c>
      <c r="K357">
        <f>IF(J357-TODAY()&lt;183,"임박","")</f>
        <v/>
      </c>
    </row>
    <row r="358">
      <c r="A358" t="inlineStr">
        <is>
          <t>C357</t>
        </is>
      </c>
      <c r="B358" t="inlineStr">
        <is>
          <t>엔지켐생명과학</t>
        </is>
      </c>
      <c r="C358" t="inlineStr">
        <is>
          <t>(주)엔지켐생명과학</t>
        </is>
      </c>
      <c r="D358">
        <f>COUNTIF(SITE!$B$2:$B$573,B358)</f>
        <v/>
      </c>
      <c r="E358">
        <f>SUMIFS(SITE!$H$2:$H$573,SITE!$B$2:$B$573,B358)</f>
        <v/>
      </c>
      <c r="F358">
        <f>IF(COUNTIFS(SITE!$B$2:$B$573,B358,SITE!$E$2:$E$573,"완제의약품")&gt;0,"Y","")</f>
        <v/>
      </c>
      <c r="G358">
        <f>IF(COUNTIFS(SITE!$B$2:$B$573,B358,SITE!$E$2:$E$573,"원료의약품")&gt;0,"Y","")</f>
        <v/>
      </c>
      <c r="H358">
        <f>IF(COUNTIFS(SITE!$B$2:$B$573,B358,SITE!$I$2:$I$573,"Y")&gt;0,"Y","")</f>
        <v/>
      </c>
      <c r="I358">
        <f>IF(COUNTIFS(SITE!$B$2:$B$573,B358,SITE!$J$2:$J$573,"Y")&gt;0,"Y","")</f>
        <v/>
      </c>
      <c r="J358">
        <f>MINIFS(SITE!$G$2:$G$573,SITE!$B$2:$B$573,B358)</f>
        <v/>
      </c>
      <c r="K358">
        <f>IF(J358-TODAY()&lt;183,"임박","")</f>
        <v/>
      </c>
      <c r="L358" t="inlineStr">
        <is>
          <t>Y</t>
        </is>
      </c>
      <c r="M358" t="inlineStr">
        <is>
          <t>코스닥</t>
        </is>
      </c>
      <c r="N358" t="inlineStr">
        <is>
          <t>183490</t>
        </is>
      </c>
      <c r="O358" t="inlineStr">
        <is>
          <t>기초 의약물질 제조업</t>
        </is>
      </c>
      <c r="P358" t="inlineStr">
        <is>
          <t>EC-18(신약), 원료의약품</t>
        </is>
      </c>
      <c r="Q358" t="inlineStr">
        <is>
          <t>손기영</t>
        </is>
      </c>
      <c r="R358" t="inlineStr">
        <is>
          <t>http://www.enzychem.co.kr</t>
        </is>
      </c>
      <c r="S358" t="inlineStr">
        <is>
          <t>충청북도</t>
        </is>
      </c>
    </row>
    <row r="359">
      <c r="A359" t="inlineStr">
        <is>
          <t>C358</t>
        </is>
      </c>
      <c r="B359" t="inlineStr">
        <is>
          <t>씨티씨바이오</t>
        </is>
      </c>
      <c r="C359" t="inlineStr">
        <is>
          <t>(주)씨티씨바이오</t>
        </is>
      </c>
      <c r="D359">
        <f>COUNTIF(SITE!$B$2:$B$573,B359)</f>
        <v/>
      </c>
      <c r="E359">
        <f>SUMIFS(SITE!$H$2:$H$573,SITE!$B$2:$B$573,B359)</f>
        <v/>
      </c>
      <c r="F359">
        <f>IF(COUNTIFS(SITE!$B$2:$B$573,B359,SITE!$E$2:$E$573,"완제의약품")&gt;0,"Y","")</f>
        <v/>
      </c>
      <c r="G359">
        <f>IF(COUNTIFS(SITE!$B$2:$B$573,B359,SITE!$E$2:$E$573,"원료의약품")&gt;0,"Y","")</f>
        <v/>
      </c>
      <c r="H359">
        <f>IF(COUNTIFS(SITE!$B$2:$B$573,B359,SITE!$I$2:$I$573,"Y")&gt;0,"Y","")</f>
        <v/>
      </c>
      <c r="I359">
        <f>IF(COUNTIFS(SITE!$B$2:$B$573,B359,SITE!$J$2:$J$573,"Y")&gt;0,"Y","")</f>
        <v/>
      </c>
      <c r="J359">
        <f>MINIFS(SITE!$G$2:$G$573,SITE!$B$2:$B$573,B359)</f>
        <v/>
      </c>
      <c r="K359">
        <f>IF(J359-TODAY()&lt;183,"임박","")</f>
        <v/>
      </c>
      <c r="L359" t="inlineStr">
        <is>
          <t>Y</t>
        </is>
      </c>
      <c r="M359" t="inlineStr">
        <is>
          <t>코스닥</t>
        </is>
      </c>
      <c r="N359" t="inlineStr">
        <is>
          <t>060590</t>
        </is>
      </c>
      <c r="O359" t="inlineStr">
        <is>
          <t>의약품 제조업</t>
        </is>
      </c>
      <c r="P359" t="inlineStr">
        <is>
          <t>동물용항병원성제품, 생균효소제</t>
        </is>
      </c>
      <c r="Q359" t="inlineStr">
        <is>
          <t>조창선(단독대표이사)</t>
        </is>
      </c>
      <c r="R359" t="inlineStr">
        <is>
          <t>http://www.ctcbio.com</t>
        </is>
      </c>
      <c r="S359" t="inlineStr">
        <is>
          <t>서울특별시</t>
        </is>
      </c>
    </row>
    <row r="360">
      <c r="A360" t="inlineStr">
        <is>
          <t>C359</t>
        </is>
      </c>
      <c r="B360" t="inlineStr">
        <is>
          <t>유니온산업가스</t>
        </is>
      </c>
      <c r="C360" t="inlineStr">
        <is>
          <t>유니온산업가스(주)</t>
        </is>
      </c>
      <c r="D360">
        <f>COUNTIF(SITE!$B$2:$B$573,B360)</f>
        <v/>
      </c>
      <c r="E360">
        <f>SUMIFS(SITE!$H$2:$H$573,SITE!$B$2:$B$573,B360)</f>
        <v/>
      </c>
      <c r="F360">
        <f>IF(COUNTIFS(SITE!$B$2:$B$573,B360,SITE!$E$2:$E$573,"완제의약품")&gt;0,"Y","")</f>
        <v/>
      </c>
      <c r="G360">
        <f>IF(COUNTIFS(SITE!$B$2:$B$573,B360,SITE!$E$2:$E$573,"원료의약품")&gt;0,"Y","")</f>
        <v/>
      </c>
      <c r="H360">
        <f>IF(COUNTIFS(SITE!$B$2:$B$573,B360,SITE!$I$2:$I$573,"Y")&gt;0,"Y","")</f>
        <v/>
      </c>
      <c r="I360">
        <f>IF(COUNTIFS(SITE!$B$2:$B$573,B360,SITE!$J$2:$J$573,"Y")&gt;0,"Y","")</f>
        <v/>
      </c>
      <c r="J360">
        <f>MINIFS(SITE!$G$2:$G$573,SITE!$B$2:$B$573,B360)</f>
        <v/>
      </c>
      <c r="K360">
        <f>IF(J360-TODAY()&lt;183,"임박","")</f>
        <v/>
      </c>
    </row>
    <row r="361">
      <c r="A361" t="inlineStr">
        <is>
          <t>C360</t>
        </is>
      </c>
      <c r="B361" t="inlineStr">
        <is>
          <t>알리코제약</t>
        </is>
      </c>
      <c r="C361" t="inlineStr">
        <is>
          <t>알리코제약(주)</t>
        </is>
      </c>
      <c r="D361">
        <f>COUNTIF(SITE!$B$2:$B$573,B361)</f>
        <v/>
      </c>
      <c r="E361">
        <f>SUMIFS(SITE!$H$2:$H$573,SITE!$B$2:$B$573,B361)</f>
        <v/>
      </c>
      <c r="F361">
        <f>IF(COUNTIFS(SITE!$B$2:$B$573,B361,SITE!$E$2:$E$573,"완제의약품")&gt;0,"Y","")</f>
        <v/>
      </c>
      <c r="G361">
        <f>IF(COUNTIFS(SITE!$B$2:$B$573,B361,SITE!$E$2:$E$573,"원료의약품")&gt;0,"Y","")</f>
        <v/>
      </c>
      <c r="H361">
        <f>IF(COUNTIFS(SITE!$B$2:$B$573,B361,SITE!$I$2:$I$573,"Y")&gt;0,"Y","")</f>
        <v/>
      </c>
      <c r="I361">
        <f>IF(COUNTIFS(SITE!$B$2:$B$573,B361,SITE!$J$2:$J$573,"Y")&gt;0,"Y","")</f>
        <v/>
      </c>
      <c r="J361">
        <f>MINIFS(SITE!$G$2:$G$573,SITE!$B$2:$B$573,B361)</f>
        <v/>
      </c>
      <c r="K361">
        <f>IF(J361-TODAY()&lt;183,"임박","")</f>
        <v/>
      </c>
      <c r="L361" t="inlineStr">
        <is>
          <t>Y</t>
        </is>
      </c>
      <c r="M361" t="inlineStr">
        <is>
          <t>코스닥</t>
        </is>
      </c>
      <c r="N361" t="inlineStr">
        <is>
          <t>260660</t>
        </is>
      </c>
      <c r="O361" t="inlineStr">
        <is>
          <t>의료용품 및 기타 의약 관련제품 제조업</t>
        </is>
      </c>
      <c r="P361" t="inlineStr">
        <is>
          <t>완제 의약품</t>
        </is>
      </c>
      <c r="Q361" t="inlineStr">
        <is>
          <t>이항구</t>
        </is>
      </c>
      <c r="R361" t="inlineStr">
        <is>
          <t>http://www.arlico.co.kr</t>
        </is>
      </c>
      <c r="S361" t="inlineStr">
        <is>
          <t>서울특별시</t>
        </is>
      </c>
    </row>
    <row r="362">
      <c r="A362" t="inlineStr">
        <is>
          <t>C361</t>
        </is>
      </c>
      <c r="B362" t="inlineStr">
        <is>
          <t>성원애드콕제약</t>
        </is>
      </c>
      <c r="C362" t="inlineStr">
        <is>
          <t>성원애드콕제약(주)</t>
        </is>
      </c>
      <c r="D362">
        <f>COUNTIF(SITE!$B$2:$B$573,B362)</f>
        <v/>
      </c>
      <c r="E362">
        <f>SUMIFS(SITE!$H$2:$H$573,SITE!$B$2:$B$573,B362)</f>
        <v/>
      </c>
      <c r="F362">
        <f>IF(COUNTIFS(SITE!$B$2:$B$573,B362,SITE!$E$2:$E$573,"완제의약품")&gt;0,"Y","")</f>
        <v/>
      </c>
      <c r="G362">
        <f>IF(COUNTIFS(SITE!$B$2:$B$573,B362,SITE!$E$2:$E$573,"원료의약품")&gt;0,"Y","")</f>
        <v/>
      </c>
      <c r="H362">
        <f>IF(COUNTIFS(SITE!$B$2:$B$573,B362,SITE!$I$2:$I$573,"Y")&gt;0,"Y","")</f>
        <v/>
      </c>
      <c r="I362">
        <f>IF(COUNTIFS(SITE!$B$2:$B$573,B362,SITE!$J$2:$J$573,"Y")&gt;0,"Y","")</f>
        <v/>
      </c>
      <c r="J362">
        <f>MINIFS(SITE!$G$2:$G$573,SITE!$B$2:$B$573,B362)</f>
        <v/>
      </c>
      <c r="K362">
        <f>IF(J362-TODAY()&lt;183,"임박","")</f>
        <v/>
      </c>
    </row>
    <row r="363">
      <c r="A363" t="inlineStr">
        <is>
          <t>C362</t>
        </is>
      </c>
      <c r="B363" t="inlineStr">
        <is>
          <t>(재)전남바이오진흥원그린바이오본부천연센터</t>
        </is>
      </c>
      <c r="C363" t="inlineStr">
        <is>
          <t>(재)전남바이오진흥원 그린바이오본부 천연센터</t>
        </is>
      </c>
      <c r="D363">
        <f>COUNTIF(SITE!$B$2:$B$573,B363)</f>
        <v/>
      </c>
      <c r="E363">
        <f>SUMIFS(SITE!$H$2:$H$573,SITE!$B$2:$B$573,B363)</f>
        <v/>
      </c>
      <c r="F363">
        <f>IF(COUNTIFS(SITE!$B$2:$B$573,B363,SITE!$E$2:$E$573,"완제의약품")&gt;0,"Y","")</f>
        <v/>
      </c>
      <c r="G363">
        <f>IF(COUNTIFS(SITE!$B$2:$B$573,B363,SITE!$E$2:$E$573,"원료의약품")&gt;0,"Y","")</f>
        <v/>
      </c>
      <c r="H363">
        <f>IF(COUNTIFS(SITE!$B$2:$B$573,B363,SITE!$I$2:$I$573,"Y")&gt;0,"Y","")</f>
        <v/>
      </c>
      <c r="I363">
        <f>IF(COUNTIFS(SITE!$B$2:$B$573,B363,SITE!$J$2:$J$573,"Y")&gt;0,"Y","")</f>
        <v/>
      </c>
      <c r="J363">
        <f>MINIFS(SITE!$G$2:$G$573,SITE!$B$2:$B$573,B363)</f>
        <v/>
      </c>
      <c r="K363">
        <f>IF(J363-TODAY()&lt;183,"임박","")</f>
        <v/>
      </c>
    </row>
    <row r="364">
      <c r="A364" t="inlineStr">
        <is>
          <t>C363</t>
        </is>
      </c>
      <c r="B364" t="inlineStr">
        <is>
          <t>삼정바이오솔루션</t>
        </is>
      </c>
      <c r="C364" t="inlineStr">
        <is>
          <t>삼정바이오솔루션(주)</t>
        </is>
      </c>
      <c r="D364">
        <f>COUNTIF(SITE!$B$2:$B$573,B364)</f>
        <v/>
      </c>
      <c r="E364">
        <f>SUMIFS(SITE!$H$2:$H$573,SITE!$B$2:$B$573,B364)</f>
        <v/>
      </c>
      <c r="F364">
        <f>IF(COUNTIFS(SITE!$B$2:$B$573,B364,SITE!$E$2:$E$573,"완제의약품")&gt;0,"Y","")</f>
        <v/>
      </c>
      <c r="G364">
        <f>IF(COUNTIFS(SITE!$B$2:$B$573,B364,SITE!$E$2:$E$573,"원료의약품")&gt;0,"Y","")</f>
        <v/>
      </c>
      <c r="H364">
        <f>IF(COUNTIFS(SITE!$B$2:$B$573,B364,SITE!$I$2:$I$573,"Y")&gt;0,"Y","")</f>
        <v/>
      </c>
      <c r="I364">
        <f>IF(COUNTIFS(SITE!$B$2:$B$573,B364,SITE!$J$2:$J$573,"Y")&gt;0,"Y","")</f>
        <v/>
      </c>
      <c r="J364">
        <f>MINIFS(SITE!$G$2:$G$573,SITE!$B$2:$B$573,B364)</f>
        <v/>
      </c>
      <c r="K364">
        <f>IF(J364-TODAY()&lt;183,"임박","")</f>
        <v/>
      </c>
    </row>
    <row r="365">
      <c r="A365" t="inlineStr">
        <is>
          <t>C364</t>
        </is>
      </c>
      <c r="B365" t="inlineStr">
        <is>
          <t>한국백신</t>
        </is>
      </c>
      <c r="C365" t="inlineStr">
        <is>
          <t>(주)한국백신</t>
        </is>
      </c>
      <c r="D365">
        <f>COUNTIF(SITE!$B$2:$B$573,B365)</f>
        <v/>
      </c>
      <c r="E365">
        <f>SUMIFS(SITE!$H$2:$H$573,SITE!$B$2:$B$573,B365)</f>
        <v/>
      </c>
      <c r="F365">
        <f>IF(COUNTIFS(SITE!$B$2:$B$573,B365,SITE!$E$2:$E$573,"완제의약품")&gt;0,"Y","")</f>
        <v/>
      </c>
      <c r="G365">
        <f>IF(COUNTIFS(SITE!$B$2:$B$573,B365,SITE!$E$2:$E$573,"원료의약품")&gt;0,"Y","")</f>
        <v/>
      </c>
      <c r="H365">
        <f>IF(COUNTIFS(SITE!$B$2:$B$573,B365,SITE!$I$2:$I$573,"Y")&gt;0,"Y","")</f>
        <v/>
      </c>
      <c r="I365">
        <f>IF(COUNTIFS(SITE!$B$2:$B$573,B365,SITE!$J$2:$J$573,"Y")&gt;0,"Y","")</f>
        <v/>
      </c>
      <c r="J365">
        <f>MINIFS(SITE!$G$2:$G$573,SITE!$B$2:$B$573,B365)</f>
        <v/>
      </c>
      <c r="K365">
        <f>IF(J365-TODAY()&lt;183,"임박","")</f>
        <v/>
      </c>
    </row>
    <row r="366">
      <c r="A366" t="inlineStr">
        <is>
          <t>C365</t>
        </is>
      </c>
      <c r="B366" t="inlineStr">
        <is>
          <t>부광약품</t>
        </is>
      </c>
      <c r="C366" t="inlineStr">
        <is>
          <t>부광약품(주)</t>
        </is>
      </c>
      <c r="D366">
        <f>COUNTIF(SITE!$B$2:$B$573,B366)</f>
        <v/>
      </c>
      <c r="E366">
        <f>SUMIFS(SITE!$H$2:$H$573,SITE!$B$2:$B$573,B366)</f>
        <v/>
      </c>
      <c r="F366">
        <f>IF(COUNTIFS(SITE!$B$2:$B$573,B366,SITE!$E$2:$E$573,"완제의약품")&gt;0,"Y","")</f>
        <v/>
      </c>
      <c r="G366">
        <f>IF(COUNTIFS(SITE!$B$2:$B$573,B366,SITE!$E$2:$E$573,"원료의약품")&gt;0,"Y","")</f>
        <v/>
      </c>
      <c r="H366">
        <f>IF(COUNTIFS(SITE!$B$2:$B$573,B366,SITE!$I$2:$I$573,"Y")&gt;0,"Y","")</f>
        <v/>
      </c>
      <c r="I366">
        <f>IF(COUNTIFS(SITE!$B$2:$B$573,B366,SITE!$J$2:$J$573,"Y")&gt;0,"Y","")</f>
        <v/>
      </c>
      <c r="J366">
        <f>MINIFS(SITE!$G$2:$G$573,SITE!$B$2:$B$573,B366)</f>
        <v/>
      </c>
      <c r="K366">
        <f>IF(J366-TODAY()&lt;183,"임박","")</f>
        <v/>
      </c>
      <c r="L366" t="inlineStr">
        <is>
          <t>Y</t>
        </is>
      </c>
      <c r="M366" t="inlineStr">
        <is>
          <t>유가</t>
        </is>
      </c>
      <c r="N366" t="inlineStr">
        <is>
          <t>003000</t>
        </is>
      </c>
      <c r="O366" t="inlineStr">
        <is>
          <t>의약품 제조업</t>
        </is>
      </c>
      <c r="P366" t="inlineStr">
        <is>
          <t>의약품,치약,의약부외품(부광탁스,레가론,부광안티프라그) 제조</t>
        </is>
      </c>
      <c r="Q366" t="inlineStr">
        <is>
          <t>이제영</t>
        </is>
      </c>
      <c r="R366" t="inlineStr">
        <is>
          <t>http://www.bukwang.co.kr</t>
        </is>
      </c>
      <c r="S366" t="inlineStr">
        <is>
          <t>서울특별시</t>
        </is>
      </c>
    </row>
    <row r="367">
      <c r="A367" t="inlineStr">
        <is>
          <t>C366</t>
        </is>
      </c>
      <c r="B367" t="inlineStr">
        <is>
          <t>메딕스제약</t>
        </is>
      </c>
      <c r="C367" t="inlineStr">
        <is>
          <t>메딕스제약(주)</t>
        </is>
      </c>
      <c r="D367">
        <f>COUNTIF(SITE!$B$2:$B$573,B367)</f>
        <v/>
      </c>
      <c r="E367">
        <f>SUMIFS(SITE!$H$2:$H$573,SITE!$B$2:$B$573,B367)</f>
        <v/>
      </c>
      <c r="F367">
        <f>IF(COUNTIFS(SITE!$B$2:$B$573,B367,SITE!$E$2:$E$573,"완제의약품")&gt;0,"Y","")</f>
        <v/>
      </c>
      <c r="G367">
        <f>IF(COUNTIFS(SITE!$B$2:$B$573,B367,SITE!$E$2:$E$573,"원료의약품")&gt;0,"Y","")</f>
        <v/>
      </c>
      <c r="H367">
        <f>IF(COUNTIFS(SITE!$B$2:$B$573,B367,SITE!$I$2:$I$573,"Y")&gt;0,"Y","")</f>
        <v/>
      </c>
      <c r="I367">
        <f>IF(COUNTIFS(SITE!$B$2:$B$573,B367,SITE!$J$2:$J$573,"Y")&gt;0,"Y","")</f>
        <v/>
      </c>
      <c r="J367">
        <f>MINIFS(SITE!$G$2:$G$573,SITE!$B$2:$B$573,B367)</f>
        <v/>
      </c>
      <c r="K367">
        <f>IF(J367-TODAY()&lt;183,"임박","")</f>
        <v/>
      </c>
    </row>
    <row r="368">
      <c r="A368" t="inlineStr">
        <is>
          <t>C367</t>
        </is>
      </c>
      <c r="B368" t="inlineStr">
        <is>
          <t>한국유나이티드제약</t>
        </is>
      </c>
      <c r="C368" t="inlineStr">
        <is>
          <t>한국유나이티드제약(주)</t>
        </is>
      </c>
      <c r="D368">
        <f>COUNTIF(SITE!$B$2:$B$573,B368)</f>
        <v/>
      </c>
      <c r="E368">
        <f>SUMIFS(SITE!$H$2:$H$573,SITE!$B$2:$B$573,B368)</f>
        <v/>
      </c>
      <c r="F368">
        <f>IF(COUNTIFS(SITE!$B$2:$B$573,B368,SITE!$E$2:$E$573,"완제의약품")&gt;0,"Y","")</f>
        <v/>
      </c>
      <c r="G368">
        <f>IF(COUNTIFS(SITE!$B$2:$B$573,B368,SITE!$E$2:$E$573,"원료의약품")&gt;0,"Y","")</f>
        <v/>
      </c>
      <c r="H368">
        <f>IF(COUNTIFS(SITE!$B$2:$B$573,B368,SITE!$I$2:$I$573,"Y")&gt;0,"Y","")</f>
        <v/>
      </c>
      <c r="I368">
        <f>IF(COUNTIFS(SITE!$B$2:$B$573,B368,SITE!$J$2:$J$573,"Y")&gt;0,"Y","")</f>
        <v/>
      </c>
      <c r="J368">
        <f>MINIFS(SITE!$G$2:$G$573,SITE!$B$2:$B$573,B368)</f>
        <v/>
      </c>
      <c r="K368">
        <f>IF(J368-TODAY()&lt;183,"임박","")</f>
        <v/>
      </c>
    </row>
    <row r="369">
      <c r="A369" t="inlineStr">
        <is>
          <t>C368</t>
        </is>
      </c>
      <c r="B369" t="inlineStr">
        <is>
          <t>태광산업가스</t>
        </is>
      </c>
      <c r="C369" t="inlineStr">
        <is>
          <t>태광산업가스(주)</t>
        </is>
      </c>
      <c r="D369">
        <f>COUNTIF(SITE!$B$2:$B$573,B369)</f>
        <v/>
      </c>
      <c r="E369">
        <f>SUMIFS(SITE!$H$2:$H$573,SITE!$B$2:$B$573,B369)</f>
        <v/>
      </c>
      <c r="F369">
        <f>IF(COUNTIFS(SITE!$B$2:$B$573,B369,SITE!$E$2:$E$573,"완제의약품")&gt;0,"Y","")</f>
        <v/>
      </c>
      <c r="G369">
        <f>IF(COUNTIFS(SITE!$B$2:$B$573,B369,SITE!$E$2:$E$573,"원료의약품")&gt;0,"Y","")</f>
        <v/>
      </c>
      <c r="H369">
        <f>IF(COUNTIFS(SITE!$B$2:$B$573,B369,SITE!$I$2:$I$573,"Y")&gt;0,"Y","")</f>
        <v/>
      </c>
      <c r="I369">
        <f>IF(COUNTIFS(SITE!$B$2:$B$573,B369,SITE!$J$2:$J$573,"Y")&gt;0,"Y","")</f>
        <v/>
      </c>
      <c r="J369">
        <f>MINIFS(SITE!$G$2:$G$573,SITE!$B$2:$B$573,B369)</f>
        <v/>
      </c>
      <c r="K369">
        <f>IF(J369-TODAY()&lt;183,"임박","")</f>
        <v/>
      </c>
    </row>
    <row r="370">
      <c r="A370" t="inlineStr">
        <is>
          <t>C369</t>
        </is>
      </c>
      <c r="B370" t="inlineStr">
        <is>
          <t>국립암센터</t>
        </is>
      </c>
      <c r="C370" t="inlineStr">
        <is>
          <t>국립암센터</t>
        </is>
      </c>
      <c r="D370">
        <f>COUNTIF(SITE!$B$2:$B$573,B370)</f>
        <v/>
      </c>
      <c r="E370">
        <f>SUMIFS(SITE!$H$2:$H$573,SITE!$B$2:$B$573,B370)</f>
        <v/>
      </c>
      <c r="F370">
        <f>IF(COUNTIFS(SITE!$B$2:$B$573,B370,SITE!$E$2:$E$573,"완제의약품")&gt;0,"Y","")</f>
        <v/>
      </c>
      <c r="G370">
        <f>IF(COUNTIFS(SITE!$B$2:$B$573,B370,SITE!$E$2:$E$573,"원료의약품")&gt;0,"Y","")</f>
        <v/>
      </c>
      <c r="H370">
        <f>IF(COUNTIFS(SITE!$B$2:$B$573,B370,SITE!$I$2:$I$573,"Y")&gt;0,"Y","")</f>
        <v/>
      </c>
      <c r="I370">
        <f>IF(COUNTIFS(SITE!$B$2:$B$573,B370,SITE!$J$2:$J$573,"Y")&gt;0,"Y","")</f>
        <v/>
      </c>
      <c r="J370">
        <f>MINIFS(SITE!$G$2:$G$573,SITE!$B$2:$B$573,B370)</f>
        <v/>
      </c>
      <c r="K370">
        <f>IF(J370-TODAY()&lt;183,"임박","")</f>
        <v/>
      </c>
    </row>
    <row r="371">
      <c r="A371" t="inlineStr">
        <is>
          <t>C370</t>
        </is>
      </c>
      <c r="B371" t="inlineStr">
        <is>
          <t>휴온스</t>
        </is>
      </c>
      <c r="C371" t="inlineStr">
        <is>
          <t>(주)휴온스</t>
        </is>
      </c>
      <c r="D371">
        <f>COUNTIF(SITE!$B$2:$B$573,B371)</f>
        <v/>
      </c>
      <c r="E371">
        <f>SUMIFS(SITE!$H$2:$H$573,SITE!$B$2:$B$573,B371)</f>
        <v/>
      </c>
      <c r="F371">
        <f>IF(COUNTIFS(SITE!$B$2:$B$573,B371,SITE!$E$2:$E$573,"완제의약품")&gt;0,"Y","")</f>
        <v/>
      </c>
      <c r="G371">
        <f>IF(COUNTIFS(SITE!$B$2:$B$573,B371,SITE!$E$2:$E$573,"원료의약품")&gt;0,"Y","")</f>
        <v/>
      </c>
      <c r="H371">
        <f>IF(COUNTIFS(SITE!$B$2:$B$573,B371,SITE!$I$2:$I$573,"Y")&gt;0,"Y","")</f>
        <v/>
      </c>
      <c r="I371">
        <f>IF(COUNTIFS(SITE!$B$2:$B$573,B371,SITE!$J$2:$J$573,"Y")&gt;0,"Y","")</f>
        <v/>
      </c>
      <c r="J371">
        <f>MINIFS(SITE!$G$2:$G$573,SITE!$B$2:$B$573,B371)</f>
        <v/>
      </c>
      <c r="K371">
        <f>IF(J371-TODAY()&lt;183,"임박","")</f>
        <v/>
      </c>
      <c r="L371" t="inlineStr">
        <is>
          <t>Y</t>
        </is>
      </c>
      <c r="M371" t="inlineStr">
        <is>
          <t>코스닥</t>
        </is>
      </c>
      <c r="N371" t="inlineStr">
        <is>
          <t>243070</t>
        </is>
      </c>
      <c r="O371" t="inlineStr">
        <is>
          <t>의약품 제조업</t>
        </is>
      </c>
      <c r="P371" t="inlineStr">
        <is>
          <t>전문의약품, 일반의약품</t>
        </is>
      </c>
      <c r="Q371" t="inlineStr">
        <is>
          <t>Song Soo-young</t>
        </is>
      </c>
      <c r="R371" t="inlineStr">
        <is>
          <t>http://www.huons.com</t>
        </is>
      </c>
      <c r="S371" t="inlineStr">
        <is>
          <t>경기도</t>
        </is>
      </c>
    </row>
    <row r="372">
      <c r="A372" t="inlineStr">
        <is>
          <t>C371</t>
        </is>
      </c>
      <c r="B372" t="inlineStr">
        <is>
          <t>노바엠헬스케어</t>
        </is>
      </c>
      <c r="C372" t="inlineStr">
        <is>
          <t>주식회사 노바엠헬스케어</t>
        </is>
      </c>
      <c r="D372">
        <f>COUNTIF(SITE!$B$2:$B$573,B372)</f>
        <v/>
      </c>
      <c r="E372">
        <f>SUMIFS(SITE!$H$2:$H$573,SITE!$B$2:$B$573,B372)</f>
        <v/>
      </c>
      <c r="F372">
        <f>IF(COUNTIFS(SITE!$B$2:$B$573,B372,SITE!$E$2:$E$573,"완제의약품")&gt;0,"Y","")</f>
        <v/>
      </c>
      <c r="G372">
        <f>IF(COUNTIFS(SITE!$B$2:$B$573,B372,SITE!$E$2:$E$573,"원료의약품")&gt;0,"Y","")</f>
        <v/>
      </c>
      <c r="H372">
        <f>IF(COUNTIFS(SITE!$B$2:$B$573,B372,SITE!$I$2:$I$573,"Y")&gt;0,"Y","")</f>
        <v/>
      </c>
      <c r="I372">
        <f>IF(COUNTIFS(SITE!$B$2:$B$573,B372,SITE!$J$2:$J$573,"Y")&gt;0,"Y","")</f>
        <v/>
      </c>
      <c r="J372">
        <f>MINIFS(SITE!$G$2:$G$573,SITE!$B$2:$B$573,B372)</f>
        <v/>
      </c>
      <c r="K372">
        <f>IF(J372-TODAY()&lt;183,"임박","")</f>
        <v/>
      </c>
    </row>
    <row r="373">
      <c r="A373" t="inlineStr">
        <is>
          <t>C372</t>
        </is>
      </c>
      <c r="B373" t="inlineStr">
        <is>
          <t>신라충전소</t>
        </is>
      </c>
      <c r="C373" t="inlineStr">
        <is>
          <t>(주)신라충전소</t>
        </is>
      </c>
      <c r="D373">
        <f>COUNTIF(SITE!$B$2:$B$573,B373)</f>
        <v/>
      </c>
      <c r="E373">
        <f>SUMIFS(SITE!$H$2:$H$573,SITE!$B$2:$B$573,B373)</f>
        <v/>
      </c>
      <c r="F373">
        <f>IF(COUNTIFS(SITE!$B$2:$B$573,B373,SITE!$E$2:$E$573,"완제의약품")&gt;0,"Y","")</f>
        <v/>
      </c>
      <c r="G373">
        <f>IF(COUNTIFS(SITE!$B$2:$B$573,B373,SITE!$E$2:$E$573,"원료의약품")&gt;0,"Y","")</f>
        <v/>
      </c>
      <c r="H373">
        <f>IF(COUNTIFS(SITE!$B$2:$B$573,B373,SITE!$I$2:$I$573,"Y")&gt;0,"Y","")</f>
        <v/>
      </c>
      <c r="I373">
        <f>IF(COUNTIFS(SITE!$B$2:$B$573,B373,SITE!$J$2:$J$573,"Y")&gt;0,"Y","")</f>
        <v/>
      </c>
      <c r="J373">
        <f>MINIFS(SITE!$G$2:$G$573,SITE!$B$2:$B$573,B373)</f>
        <v/>
      </c>
      <c r="K373">
        <f>IF(J373-TODAY()&lt;183,"임박","")</f>
        <v/>
      </c>
    </row>
    <row r="374">
      <c r="A374" t="inlineStr">
        <is>
          <t>C373</t>
        </is>
      </c>
      <c r="B374" t="inlineStr">
        <is>
          <t>펜믹스</t>
        </is>
      </c>
      <c r="C374" t="inlineStr">
        <is>
          <t>(주)펜믹스</t>
        </is>
      </c>
      <c r="D374">
        <f>COUNTIF(SITE!$B$2:$B$573,B374)</f>
        <v/>
      </c>
      <c r="E374">
        <f>SUMIFS(SITE!$H$2:$H$573,SITE!$B$2:$B$573,B374)</f>
        <v/>
      </c>
      <c r="F374">
        <f>IF(COUNTIFS(SITE!$B$2:$B$573,B374,SITE!$E$2:$E$573,"완제의약품")&gt;0,"Y","")</f>
        <v/>
      </c>
      <c r="G374">
        <f>IF(COUNTIFS(SITE!$B$2:$B$573,B374,SITE!$E$2:$E$573,"원료의약품")&gt;0,"Y","")</f>
        <v/>
      </c>
      <c r="H374">
        <f>IF(COUNTIFS(SITE!$B$2:$B$573,B374,SITE!$I$2:$I$573,"Y")&gt;0,"Y","")</f>
        <v/>
      </c>
      <c r="I374">
        <f>IF(COUNTIFS(SITE!$B$2:$B$573,B374,SITE!$J$2:$J$573,"Y")&gt;0,"Y","")</f>
        <v/>
      </c>
      <c r="J374">
        <f>MINIFS(SITE!$G$2:$G$573,SITE!$B$2:$B$573,B374)</f>
        <v/>
      </c>
      <c r="K374">
        <f>IF(J374-TODAY()&lt;183,"임박","")</f>
        <v/>
      </c>
    </row>
    <row r="375">
      <c r="A375" t="inlineStr">
        <is>
          <t>C374</t>
        </is>
      </c>
      <c r="B375" t="inlineStr">
        <is>
          <t>코아팜바이오</t>
        </is>
      </c>
      <c r="C375" t="inlineStr">
        <is>
          <t>(주)코아팜바이오</t>
        </is>
      </c>
      <c r="D375">
        <f>COUNTIF(SITE!$B$2:$B$573,B375)</f>
        <v/>
      </c>
      <c r="E375">
        <f>SUMIFS(SITE!$H$2:$H$573,SITE!$B$2:$B$573,B375)</f>
        <v/>
      </c>
      <c r="F375">
        <f>IF(COUNTIFS(SITE!$B$2:$B$573,B375,SITE!$E$2:$E$573,"완제의약품")&gt;0,"Y","")</f>
        <v/>
      </c>
      <c r="G375">
        <f>IF(COUNTIFS(SITE!$B$2:$B$573,B375,SITE!$E$2:$E$573,"원료의약품")&gt;0,"Y","")</f>
        <v/>
      </c>
      <c r="H375">
        <f>IF(COUNTIFS(SITE!$B$2:$B$573,B375,SITE!$I$2:$I$573,"Y")&gt;0,"Y","")</f>
        <v/>
      </c>
      <c r="I375">
        <f>IF(COUNTIFS(SITE!$B$2:$B$573,B375,SITE!$J$2:$J$573,"Y")&gt;0,"Y","")</f>
        <v/>
      </c>
      <c r="J375">
        <f>MINIFS(SITE!$G$2:$G$573,SITE!$B$2:$B$573,B375)</f>
        <v/>
      </c>
      <c r="K375">
        <f>IF(J375-TODAY()&lt;183,"임박","")</f>
        <v/>
      </c>
    </row>
    <row r="376">
      <c r="A376" t="inlineStr">
        <is>
          <t>C375</t>
        </is>
      </c>
      <c r="B376" t="inlineStr">
        <is>
          <t>휴온스바이오파마</t>
        </is>
      </c>
      <c r="C376" t="inlineStr">
        <is>
          <t>(주)휴온스바이오파마</t>
        </is>
      </c>
      <c r="D376">
        <f>COUNTIF(SITE!$B$2:$B$573,B376)</f>
        <v/>
      </c>
      <c r="E376">
        <f>SUMIFS(SITE!$H$2:$H$573,SITE!$B$2:$B$573,B376)</f>
        <v/>
      </c>
      <c r="F376">
        <f>IF(COUNTIFS(SITE!$B$2:$B$573,B376,SITE!$E$2:$E$573,"완제의약품")&gt;0,"Y","")</f>
        <v/>
      </c>
      <c r="G376">
        <f>IF(COUNTIFS(SITE!$B$2:$B$573,B376,SITE!$E$2:$E$573,"원료의약품")&gt;0,"Y","")</f>
        <v/>
      </c>
      <c r="H376">
        <f>IF(COUNTIFS(SITE!$B$2:$B$573,B376,SITE!$I$2:$I$573,"Y")&gt;0,"Y","")</f>
        <v/>
      </c>
      <c r="I376">
        <f>IF(COUNTIFS(SITE!$B$2:$B$573,B376,SITE!$J$2:$J$573,"Y")&gt;0,"Y","")</f>
        <v/>
      </c>
      <c r="J376">
        <f>MINIFS(SITE!$G$2:$G$573,SITE!$B$2:$B$573,B376)</f>
        <v/>
      </c>
      <c r="K376">
        <f>IF(J376-TODAY()&lt;183,"임박","")</f>
        <v/>
      </c>
    </row>
    <row r="377">
      <c r="A377" t="inlineStr">
        <is>
          <t>C376</t>
        </is>
      </c>
      <c r="B377" t="inlineStr">
        <is>
          <t>비보존제약</t>
        </is>
      </c>
      <c r="C377" t="inlineStr">
        <is>
          <t>(주)비보존제약</t>
        </is>
      </c>
      <c r="D377">
        <f>COUNTIF(SITE!$B$2:$B$573,B377)</f>
        <v/>
      </c>
      <c r="E377">
        <f>SUMIFS(SITE!$H$2:$H$573,SITE!$B$2:$B$573,B377)</f>
        <v/>
      </c>
      <c r="F377">
        <f>IF(COUNTIFS(SITE!$B$2:$B$573,B377,SITE!$E$2:$E$573,"완제의약품")&gt;0,"Y","")</f>
        <v/>
      </c>
      <c r="G377">
        <f>IF(COUNTIFS(SITE!$B$2:$B$573,B377,SITE!$E$2:$E$573,"원료의약품")&gt;0,"Y","")</f>
        <v/>
      </c>
      <c r="H377">
        <f>IF(COUNTIFS(SITE!$B$2:$B$573,B377,SITE!$I$2:$I$573,"Y")&gt;0,"Y","")</f>
        <v/>
      </c>
      <c r="I377">
        <f>IF(COUNTIFS(SITE!$B$2:$B$573,B377,SITE!$J$2:$J$573,"Y")&gt;0,"Y","")</f>
        <v/>
      </c>
      <c r="J377">
        <f>MINIFS(SITE!$G$2:$G$573,SITE!$B$2:$B$573,B377)</f>
        <v/>
      </c>
      <c r="K377">
        <f>IF(J377-TODAY()&lt;183,"임박","")</f>
        <v/>
      </c>
      <c r="L377" t="inlineStr">
        <is>
          <t>Y</t>
        </is>
      </c>
      <c r="M377" t="inlineStr">
        <is>
          <t>코스닥</t>
        </is>
      </c>
      <c r="N377" t="inlineStr">
        <is>
          <t>082800</t>
        </is>
      </c>
      <c r="O377" t="inlineStr">
        <is>
          <t>의약품 제조업</t>
        </is>
      </c>
      <c r="P377" t="inlineStr">
        <is>
          <t>완제의약품제조</t>
        </is>
      </c>
      <c r="Q377" t="inlineStr">
        <is>
          <t>장부환</t>
        </is>
      </c>
      <c r="R377" t="inlineStr">
        <is>
          <t>http://www.vivozonpharm.com</t>
        </is>
      </c>
      <c r="S377" t="inlineStr">
        <is>
          <t>경기도</t>
        </is>
      </c>
    </row>
    <row r="378">
      <c r="A378" t="inlineStr">
        <is>
          <t>C377</t>
        </is>
      </c>
      <c r="B378" t="inlineStr">
        <is>
          <t>에스케이플라즈마</t>
        </is>
      </c>
      <c r="C378" t="inlineStr">
        <is>
          <t>에스케이플라즈마(주)</t>
        </is>
      </c>
      <c r="D378">
        <f>COUNTIF(SITE!$B$2:$B$573,B378)</f>
        <v/>
      </c>
      <c r="E378">
        <f>SUMIFS(SITE!$H$2:$H$573,SITE!$B$2:$B$573,B378)</f>
        <v/>
      </c>
      <c r="F378">
        <f>IF(COUNTIFS(SITE!$B$2:$B$573,B378,SITE!$E$2:$E$573,"완제의약품")&gt;0,"Y","")</f>
        <v/>
      </c>
      <c r="G378">
        <f>IF(COUNTIFS(SITE!$B$2:$B$573,B378,SITE!$E$2:$E$573,"원료의약품")&gt;0,"Y","")</f>
        <v/>
      </c>
      <c r="H378">
        <f>IF(COUNTIFS(SITE!$B$2:$B$573,B378,SITE!$I$2:$I$573,"Y")&gt;0,"Y","")</f>
        <v/>
      </c>
      <c r="I378">
        <f>IF(COUNTIFS(SITE!$B$2:$B$573,B378,SITE!$J$2:$J$573,"Y")&gt;0,"Y","")</f>
        <v/>
      </c>
      <c r="J378">
        <f>MINIFS(SITE!$G$2:$G$573,SITE!$B$2:$B$573,B378)</f>
        <v/>
      </c>
      <c r="K378">
        <f>IF(J378-TODAY()&lt;183,"임박","")</f>
        <v/>
      </c>
    </row>
    <row r="379">
      <c r="A379" t="inlineStr">
        <is>
          <t>C378</t>
        </is>
      </c>
      <c r="B379" t="inlineStr">
        <is>
          <t>삼현제약</t>
        </is>
      </c>
      <c r="C379" t="inlineStr">
        <is>
          <t>주식회사삼현제약</t>
        </is>
      </c>
      <c r="D379">
        <f>COUNTIF(SITE!$B$2:$B$573,B379)</f>
        <v/>
      </c>
      <c r="E379">
        <f>SUMIFS(SITE!$H$2:$H$573,SITE!$B$2:$B$573,B379)</f>
        <v/>
      </c>
      <c r="F379">
        <f>IF(COUNTIFS(SITE!$B$2:$B$573,B379,SITE!$E$2:$E$573,"완제의약품")&gt;0,"Y","")</f>
        <v/>
      </c>
      <c r="G379">
        <f>IF(COUNTIFS(SITE!$B$2:$B$573,B379,SITE!$E$2:$E$573,"원료의약품")&gt;0,"Y","")</f>
        <v/>
      </c>
      <c r="H379">
        <f>IF(COUNTIFS(SITE!$B$2:$B$573,B379,SITE!$I$2:$I$573,"Y")&gt;0,"Y","")</f>
        <v/>
      </c>
      <c r="I379">
        <f>IF(COUNTIFS(SITE!$B$2:$B$573,B379,SITE!$J$2:$J$573,"Y")&gt;0,"Y","")</f>
        <v/>
      </c>
      <c r="J379">
        <f>MINIFS(SITE!$G$2:$G$573,SITE!$B$2:$B$573,B379)</f>
        <v/>
      </c>
      <c r="K379">
        <f>IF(J379-TODAY()&lt;183,"임박","")</f>
        <v/>
      </c>
    </row>
    <row r="380">
      <c r="A380" t="inlineStr">
        <is>
          <t>C379</t>
        </is>
      </c>
      <c r="B380" t="inlineStr">
        <is>
          <t>대화제약</t>
        </is>
      </c>
      <c r="C380" t="inlineStr">
        <is>
          <t>대화제약(주)</t>
        </is>
      </c>
      <c r="D380">
        <f>COUNTIF(SITE!$B$2:$B$573,B380)</f>
        <v/>
      </c>
      <c r="E380">
        <f>SUMIFS(SITE!$H$2:$H$573,SITE!$B$2:$B$573,B380)</f>
        <v/>
      </c>
      <c r="F380">
        <f>IF(COUNTIFS(SITE!$B$2:$B$573,B380,SITE!$E$2:$E$573,"완제의약품")&gt;0,"Y","")</f>
        <v/>
      </c>
      <c r="G380">
        <f>IF(COUNTIFS(SITE!$B$2:$B$573,B380,SITE!$E$2:$E$573,"원료의약품")&gt;0,"Y","")</f>
        <v/>
      </c>
      <c r="H380">
        <f>IF(COUNTIFS(SITE!$B$2:$B$573,B380,SITE!$I$2:$I$573,"Y")&gt;0,"Y","")</f>
        <v/>
      </c>
      <c r="I380">
        <f>IF(COUNTIFS(SITE!$B$2:$B$573,B380,SITE!$J$2:$J$573,"Y")&gt;0,"Y","")</f>
        <v/>
      </c>
      <c r="J380">
        <f>MINIFS(SITE!$G$2:$G$573,SITE!$B$2:$B$573,B380)</f>
        <v/>
      </c>
      <c r="K380">
        <f>IF(J380-TODAY()&lt;183,"임박","")</f>
        <v/>
      </c>
      <c r="L380" t="inlineStr">
        <is>
          <t>Y</t>
        </is>
      </c>
      <c r="M380" t="inlineStr">
        <is>
          <t>코스닥</t>
        </is>
      </c>
      <c r="N380" t="inlineStr">
        <is>
          <t>067080</t>
        </is>
      </c>
      <c r="O380" t="inlineStr">
        <is>
          <t>의약품 제조업</t>
        </is>
      </c>
      <c r="P380" t="inlineStr">
        <is>
          <t>후로스판, 세파메칠 등</t>
        </is>
      </c>
      <c r="Q380" t="inlineStr">
        <is>
          <t>김은석(단독대표)</t>
        </is>
      </c>
      <c r="R380" t="inlineStr">
        <is>
          <t>http://www.dhpharm.co.kr</t>
        </is>
      </c>
      <c r="S380" t="inlineStr">
        <is>
          <t>강원특별자치도</t>
        </is>
      </c>
    </row>
    <row r="381">
      <c r="A381" t="inlineStr">
        <is>
          <t>C380</t>
        </is>
      </c>
      <c r="B381" t="inlineStr">
        <is>
          <t>성이바이오제약</t>
        </is>
      </c>
      <c r="C381" t="inlineStr">
        <is>
          <t>성이바이오제약주식회사</t>
        </is>
      </c>
      <c r="D381">
        <f>COUNTIF(SITE!$B$2:$B$573,B381)</f>
        <v/>
      </c>
      <c r="E381">
        <f>SUMIFS(SITE!$H$2:$H$573,SITE!$B$2:$B$573,B381)</f>
        <v/>
      </c>
      <c r="F381">
        <f>IF(COUNTIFS(SITE!$B$2:$B$573,B381,SITE!$E$2:$E$573,"완제의약품")&gt;0,"Y","")</f>
        <v/>
      </c>
      <c r="G381">
        <f>IF(COUNTIFS(SITE!$B$2:$B$573,B381,SITE!$E$2:$E$573,"원료의약품")&gt;0,"Y","")</f>
        <v/>
      </c>
      <c r="H381">
        <f>IF(COUNTIFS(SITE!$B$2:$B$573,B381,SITE!$I$2:$I$573,"Y")&gt;0,"Y","")</f>
        <v/>
      </c>
      <c r="I381">
        <f>IF(COUNTIFS(SITE!$B$2:$B$573,B381,SITE!$J$2:$J$573,"Y")&gt;0,"Y","")</f>
        <v/>
      </c>
      <c r="J381">
        <f>MINIFS(SITE!$G$2:$G$573,SITE!$B$2:$B$573,B381)</f>
        <v/>
      </c>
      <c r="K381">
        <f>IF(J381-TODAY()&lt;183,"임박","")</f>
        <v/>
      </c>
    </row>
    <row r="382">
      <c r="A382" t="inlineStr">
        <is>
          <t>C381</t>
        </is>
      </c>
      <c r="B382" t="inlineStr">
        <is>
          <t>서울제약</t>
        </is>
      </c>
      <c r="C382" t="inlineStr">
        <is>
          <t>(주)서울제약</t>
        </is>
      </c>
      <c r="D382">
        <f>COUNTIF(SITE!$B$2:$B$573,B382)</f>
        <v/>
      </c>
      <c r="E382">
        <f>SUMIFS(SITE!$H$2:$H$573,SITE!$B$2:$B$573,B382)</f>
        <v/>
      </c>
      <c r="F382">
        <f>IF(COUNTIFS(SITE!$B$2:$B$573,B382,SITE!$E$2:$E$573,"완제의약품")&gt;0,"Y","")</f>
        <v/>
      </c>
      <c r="G382">
        <f>IF(COUNTIFS(SITE!$B$2:$B$573,B382,SITE!$E$2:$E$573,"원료의약품")&gt;0,"Y","")</f>
        <v/>
      </c>
      <c r="H382">
        <f>IF(COUNTIFS(SITE!$B$2:$B$573,B382,SITE!$I$2:$I$573,"Y")&gt;0,"Y","")</f>
        <v/>
      </c>
      <c r="I382">
        <f>IF(COUNTIFS(SITE!$B$2:$B$573,B382,SITE!$J$2:$J$573,"Y")&gt;0,"Y","")</f>
        <v/>
      </c>
      <c r="J382">
        <f>MINIFS(SITE!$G$2:$G$573,SITE!$B$2:$B$573,B382)</f>
        <v/>
      </c>
      <c r="K382">
        <f>IF(J382-TODAY()&lt;183,"임박","")</f>
        <v/>
      </c>
      <c r="L382" t="inlineStr">
        <is>
          <t>Y</t>
        </is>
      </c>
      <c r="M382" t="inlineStr">
        <is>
          <t>코스닥</t>
        </is>
      </c>
      <c r="N382" t="inlineStr">
        <is>
          <t>018680</t>
        </is>
      </c>
      <c r="O382" t="inlineStr">
        <is>
          <t>의약품 제조업</t>
        </is>
      </c>
      <c r="P382" t="inlineStr">
        <is>
          <t>정제,연질캅셀제,경질캅셀제,연고 및 크림제 등</t>
        </is>
      </c>
      <c r="Q382" t="inlineStr">
        <is>
          <t>윤동현, 신봉환 (각자대표)</t>
        </is>
      </c>
      <c r="R382" t="inlineStr">
        <is>
          <t>http://www.seoulpharma.com</t>
        </is>
      </c>
      <c r="S382" t="inlineStr">
        <is>
          <t>충청북도</t>
        </is>
      </c>
    </row>
    <row r="383">
      <c r="A383" t="inlineStr">
        <is>
          <t>C382</t>
        </is>
      </c>
      <c r="B383" t="inlineStr">
        <is>
          <t>위지피제약</t>
        </is>
      </c>
      <c r="C383" t="inlineStr">
        <is>
          <t>주식회사위지피제약</t>
        </is>
      </c>
      <c r="D383">
        <f>COUNTIF(SITE!$B$2:$B$573,B383)</f>
        <v/>
      </c>
      <c r="E383">
        <f>SUMIFS(SITE!$H$2:$H$573,SITE!$B$2:$B$573,B383)</f>
        <v/>
      </c>
      <c r="F383">
        <f>IF(COUNTIFS(SITE!$B$2:$B$573,B383,SITE!$E$2:$E$573,"완제의약품")&gt;0,"Y","")</f>
        <v/>
      </c>
      <c r="G383">
        <f>IF(COUNTIFS(SITE!$B$2:$B$573,B383,SITE!$E$2:$E$573,"원료의약품")&gt;0,"Y","")</f>
        <v/>
      </c>
      <c r="H383">
        <f>IF(COUNTIFS(SITE!$B$2:$B$573,B383,SITE!$I$2:$I$573,"Y")&gt;0,"Y","")</f>
        <v/>
      </c>
      <c r="I383">
        <f>IF(COUNTIFS(SITE!$B$2:$B$573,B383,SITE!$J$2:$J$573,"Y")&gt;0,"Y","")</f>
        <v/>
      </c>
      <c r="J383">
        <f>MINIFS(SITE!$G$2:$G$573,SITE!$B$2:$B$573,B383)</f>
        <v/>
      </c>
      <c r="K383">
        <f>IF(J383-TODAY()&lt;183,"임박","")</f>
        <v/>
      </c>
    </row>
    <row r="384">
      <c r="A384" t="inlineStr">
        <is>
          <t>C383</t>
        </is>
      </c>
      <c r="B384" t="inlineStr">
        <is>
          <t>삼양바이오팜</t>
        </is>
      </c>
      <c r="C384" t="inlineStr">
        <is>
          <t>(주)삼양바이오팜</t>
        </is>
      </c>
      <c r="D384">
        <f>COUNTIF(SITE!$B$2:$B$573,B384)</f>
        <v/>
      </c>
      <c r="E384">
        <f>SUMIFS(SITE!$H$2:$H$573,SITE!$B$2:$B$573,B384)</f>
        <v/>
      </c>
      <c r="F384">
        <f>IF(COUNTIFS(SITE!$B$2:$B$573,B384,SITE!$E$2:$E$573,"완제의약품")&gt;0,"Y","")</f>
        <v/>
      </c>
      <c r="G384">
        <f>IF(COUNTIFS(SITE!$B$2:$B$573,B384,SITE!$E$2:$E$573,"원료의약품")&gt;0,"Y","")</f>
        <v/>
      </c>
      <c r="H384">
        <f>IF(COUNTIFS(SITE!$B$2:$B$573,B384,SITE!$I$2:$I$573,"Y")&gt;0,"Y","")</f>
        <v/>
      </c>
      <c r="I384">
        <f>IF(COUNTIFS(SITE!$B$2:$B$573,B384,SITE!$J$2:$J$573,"Y")&gt;0,"Y","")</f>
        <v/>
      </c>
      <c r="J384">
        <f>MINIFS(SITE!$G$2:$G$573,SITE!$B$2:$B$573,B384)</f>
        <v/>
      </c>
      <c r="K384">
        <f>IF(J384-TODAY()&lt;183,"임박","")</f>
        <v/>
      </c>
      <c r="L384" t="inlineStr">
        <is>
          <t>Y</t>
        </is>
      </c>
      <c r="M384" t="inlineStr">
        <is>
          <t>유가</t>
        </is>
      </c>
      <c r="N384" t="inlineStr">
        <is>
          <t>0120G0</t>
        </is>
      </c>
      <c r="O384" t="inlineStr">
        <is>
          <t>의약품 제조업</t>
        </is>
      </c>
      <c r="P384" t="inlineStr">
        <is>
          <t>의료기기 및 의약품</t>
        </is>
      </c>
      <c r="Q384" t="inlineStr">
        <is>
          <t>김경진</t>
        </is>
      </c>
      <c r="R384" t="inlineStr">
        <is>
          <t>http://www.samyangbiopharm.com</t>
        </is>
      </c>
      <c r="S384" t="inlineStr">
        <is>
          <t>경기도</t>
        </is>
      </c>
    </row>
    <row r="385">
      <c r="A385" t="inlineStr">
        <is>
          <t>C384</t>
        </is>
      </c>
      <c r="B385" t="inlineStr">
        <is>
          <t>에이치엘지노믹스</t>
        </is>
      </c>
      <c r="C385" t="inlineStr">
        <is>
          <t>에이치엘지노믹스(주)</t>
        </is>
      </c>
      <c r="D385">
        <f>COUNTIF(SITE!$B$2:$B$573,B385)</f>
        <v/>
      </c>
      <c r="E385">
        <f>SUMIFS(SITE!$H$2:$H$573,SITE!$B$2:$B$573,B385)</f>
        <v/>
      </c>
      <c r="F385">
        <f>IF(COUNTIFS(SITE!$B$2:$B$573,B385,SITE!$E$2:$E$573,"완제의약품")&gt;0,"Y","")</f>
        <v/>
      </c>
      <c r="G385">
        <f>IF(COUNTIFS(SITE!$B$2:$B$573,B385,SITE!$E$2:$E$573,"원료의약품")&gt;0,"Y","")</f>
        <v/>
      </c>
      <c r="H385">
        <f>IF(COUNTIFS(SITE!$B$2:$B$573,B385,SITE!$I$2:$I$573,"Y")&gt;0,"Y","")</f>
        <v/>
      </c>
      <c r="I385">
        <f>IF(COUNTIFS(SITE!$B$2:$B$573,B385,SITE!$J$2:$J$573,"Y")&gt;0,"Y","")</f>
        <v/>
      </c>
      <c r="J385">
        <f>MINIFS(SITE!$G$2:$G$573,SITE!$B$2:$B$573,B385)</f>
        <v/>
      </c>
      <c r="K385">
        <f>IF(J385-TODAY()&lt;183,"임박","")</f>
        <v/>
      </c>
    </row>
    <row r="386">
      <c r="A386" t="inlineStr">
        <is>
          <t>C385</t>
        </is>
      </c>
      <c r="B386" t="inlineStr">
        <is>
          <t>유영제약</t>
        </is>
      </c>
      <c r="C386" t="inlineStr">
        <is>
          <t>(주)유영제약</t>
        </is>
      </c>
      <c r="D386">
        <f>COUNTIF(SITE!$B$2:$B$573,B386)</f>
        <v/>
      </c>
      <c r="E386">
        <f>SUMIFS(SITE!$H$2:$H$573,SITE!$B$2:$B$573,B386)</f>
        <v/>
      </c>
      <c r="F386">
        <f>IF(COUNTIFS(SITE!$B$2:$B$573,B386,SITE!$E$2:$E$573,"완제의약품")&gt;0,"Y","")</f>
        <v/>
      </c>
      <c r="G386">
        <f>IF(COUNTIFS(SITE!$B$2:$B$573,B386,SITE!$E$2:$E$573,"원료의약품")&gt;0,"Y","")</f>
        <v/>
      </c>
      <c r="H386">
        <f>IF(COUNTIFS(SITE!$B$2:$B$573,B386,SITE!$I$2:$I$573,"Y")&gt;0,"Y","")</f>
        <v/>
      </c>
      <c r="I386">
        <f>IF(COUNTIFS(SITE!$B$2:$B$573,B386,SITE!$J$2:$J$573,"Y")&gt;0,"Y","")</f>
        <v/>
      </c>
      <c r="J386">
        <f>MINIFS(SITE!$G$2:$G$573,SITE!$B$2:$B$573,B386)</f>
        <v/>
      </c>
      <c r="K386">
        <f>IF(J386-TODAY()&lt;183,"임박","")</f>
        <v/>
      </c>
    </row>
    <row r="387">
      <c r="A387" t="inlineStr">
        <is>
          <t>C386</t>
        </is>
      </c>
      <c r="B387" t="inlineStr">
        <is>
          <t>팬젠</t>
        </is>
      </c>
      <c r="C387" t="inlineStr">
        <is>
          <t>(주)팬젠</t>
        </is>
      </c>
      <c r="D387">
        <f>COUNTIF(SITE!$B$2:$B$573,B387)</f>
        <v/>
      </c>
      <c r="E387">
        <f>SUMIFS(SITE!$H$2:$H$573,SITE!$B$2:$B$573,B387)</f>
        <v/>
      </c>
      <c r="F387">
        <f>IF(COUNTIFS(SITE!$B$2:$B$573,B387,SITE!$E$2:$E$573,"완제의약품")&gt;0,"Y","")</f>
        <v/>
      </c>
      <c r="G387">
        <f>IF(COUNTIFS(SITE!$B$2:$B$573,B387,SITE!$E$2:$E$573,"원료의약품")&gt;0,"Y","")</f>
        <v/>
      </c>
      <c r="H387">
        <f>IF(COUNTIFS(SITE!$B$2:$B$573,B387,SITE!$I$2:$I$573,"Y")&gt;0,"Y","")</f>
        <v/>
      </c>
      <c r="I387">
        <f>IF(COUNTIFS(SITE!$B$2:$B$573,B387,SITE!$J$2:$J$573,"Y")&gt;0,"Y","")</f>
        <v/>
      </c>
      <c r="J387">
        <f>MINIFS(SITE!$G$2:$G$573,SITE!$B$2:$B$573,B387)</f>
        <v/>
      </c>
      <c r="K387">
        <f>IF(J387-TODAY()&lt;183,"임박","")</f>
        <v/>
      </c>
      <c r="L387" t="inlineStr">
        <is>
          <t>Y</t>
        </is>
      </c>
      <c r="M387" t="inlineStr">
        <is>
          <t>코스닥</t>
        </is>
      </c>
      <c r="N387" t="inlineStr">
        <is>
          <t>222110</t>
        </is>
      </c>
      <c r="O387" t="inlineStr">
        <is>
          <t>의약품 제조업</t>
        </is>
      </c>
      <c r="P387" t="inlineStr">
        <is>
          <t>바이오시밀러 의약품 개발, 바이오의약품 개발 기술이전 서비스 등</t>
        </is>
      </c>
      <c r="Q387" t="inlineStr">
        <is>
          <t>윤재승</t>
        </is>
      </c>
      <c r="R387" t="inlineStr">
        <is>
          <t>http://www.pangen.com</t>
        </is>
      </c>
      <c r="S387" t="inlineStr">
        <is>
          <t>경기도</t>
        </is>
      </c>
    </row>
    <row r="388">
      <c r="A388" t="inlineStr">
        <is>
          <t>C387</t>
        </is>
      </c>
      <c r="B388" t="inlineStr">
        <is>
          <t>경북산업가스충전소</t>
        </is>
      </c>
      <c r="C388" t="inlineStr">
        <is>
          <t>경북산업가스충전소</t>
        </is>
      </c>
      <c r="D388">
        <f>COUNTIF(SITE!$B$2:$B$573,B388)</f>
        <v/>
      </c>
      <c r="E388">
        <f>SUMIFS(SITE!$H$2:$H$573,SITE!$B$2:$B$573,B388)</f>
        <v/>
      </c>
      <c r="F388">
        <f>IF(COUNTIFS(SITE!$B$2:$B$573,B388,SITE!$E$2:$E$573,"완제의약품")&gt;0,"Y","")</f>
        <v/>
      </c>
      <c r="G388">
        <f>IF(COUNTIFS(SITE!$B$2:$B$573,B388,SITE!$E$2:$E$573,"원료의약품")&gt;0,"Y","")</f>
        <v/>
      </c>
      <c r="H388">
        <f>IF(COUNTIFS(SITE!$B$2:$B$573,B388,SITE!$I$2:$I$573,"Y")&gt;0,"Y","")</f>
        <v/>
      </c>
      <c r="I388">
        <f>IF(COUNTIFS(SITE!$B$2:$B$573,B388,SITE!$J$2:$J$573,"Y")&gt;0,"Y","")</f>
        <v/>
      </c>
      <c r="J388">
        <f>MINIFS(SITE!$G$2:$G$573,SITE!$B$2:$B$573,B388)</f>
        <v/>
      </c>
      <c r="K388">
        <f>IF(J388-TODAY()&lt;183,"임박","")</f>
        <v/>
      </c>
    </row>
    <row r="389">
      <c r="A389" t="inlineStr">
        <is>
          <t>C388</t>
        </is>
      </c>
      <c r="B389" t="inlineStr">
        <is>
          <t>시믹씨엠오코리아</t>
        </is>
      </c>
      <c r="C389" t="inlineStr">
        <is>
          <t>시믹씨엠오코리아주식회사</t>
        </is>
      </c>
      <c r="D389">
        <f>COUNTIF(SITE!$B$2:$B$573,B389)</f>
        <v/>
      </c>
      <c r="E389">
        <f>SUMIFS(SITE!$H$2:$H$573,SITE!$B$2:$B$573,B389)</f>
        <v/>
      </c>
      <c r="F389">
        <f>IF(COUNTIFS(SITE!$B$2:$B$573,B389,SITE!$E$2:$E$573,"완제의약품")&gt;0,"Y","")</f>
        <v/>
      </c>
      <c r="G389">
        <f>IF(COUNTIFS(SITE!$B$2:$B$573,B389,SITE!$E$2:$E$573,"원료의약품")&gt;0,"Y","")</f>
        <v/>
      </c>
      <c r="H389">
        <f>IF(COUNTIFS(SITE!$B$2:$B$573,B389,SITE!$I$2:$I$573,"Y")&gt;0,"Y","")</f>
        <v/>
      </c>
      <c r="I389">
        <f>IF(COUNTIFS(SITE!$B$2:$B$573,B389,SITE!$J$2:$J$573,"Y")&gt;0,"Y","")</f>
        <v/>
      </c>
      <c r="J389">
        <f>MINIFS(SITE!$G$2:$G$573,SITE!$B$2:$B$573,B389)</f>
        <v/>
      </c>
      <c r="K389">
        <f>IF(J389-TODAY()&lt;183,"임박","")</f>
        <v/>
      </c>
    </row>
    <row r="390">
      <c r="A390" t="inlineStr">
        <is>
          <t>C389</t>
        </is>
      </c>
      <c r="B390" t="inlineStr">
        <is>
          <t>대성가스텍</t>
        </is>
      </c>
      <c r="C390" t="inlineStr">
        <is>
          <t>대성가스텍(주)</t>
        </is>
      </c>
      <c r="D390">
        <f>COUNTIF(SITE!$B$2:$B$573,B390)</f>
        <v/>
      </c>
      <c r="E390">
        <f>SUMIFS(SITE!$H$2:$H$573,SITE!$B$2:$B$573,B390)</f>
        <v/>
      </c>
      <c r="F390">
        <f>IF(COUNTIFS(SITE!$B$2:$B$573,B390,SITE!$E$2:$E$573,"완제의약품")&gt;0,"Y","")</f>
        <v/>
      </c>
      <c r="G390">
        <f>IF(COUNTIFS(SITE!$B$2:$B$573,B390,SITE!$E$2:$E$573,"원료의약품")&gt;0,"Y","")</f>
        <v/>
      </c>
      <c r="H390">
        <f>IF(COUNTIFS(SITE!$B$2:$B$573,B390,SITE!$I$2:$I$573,"Y")&gt;0,"Y","")</f>
        <v/>
      </c>
      <c r="I390">
        <f>IF(COUNTIFS(SITE!$B$2:$B$573,B390,SITE!$J$2:$J$573,"Y")&gt;0,"Y","")</f>
        <v/>
      </c>
      <c r="J390">
        <f>MINIFS(SITE!$G$2:$G$573,SITE!$B$2:$B$573,B390)</f>
        <v/>
      </c>
      <c r="K390">
        <f>IF(J390-TODAY()&lt;183,"임박","")</f>
        <v/>
      </c>
    </row>
    <row r="391">
      <c r="A391" t="inlineStr">
        <is>
          <t>C390</t>
        </is>
      </c>
      <c r="B391" t="inlineStr">
        <is>
          <t>삼남제약</t>
        </is>
      </c>
      <c r="C391" t="inlineStr">
        <is>
          <t>삼남제약(주)</t>
        </is>
      </c>
      <c r="D391">
        <f>COUNTIF(SITE!$B$2:$B$573,B391)</f>
        <v/>
      </c>
      <c r="E391">
        <f>SUMIFS(SITE!$H$2:$H$573,SITE!$B$2:$B$573,B391)</f>
        <v/>
      </c>
      <c r="F391">
        <f>IF(COUNTIFS(SITE!$B$2:$B$573,B391,SITE!$E$2:$E$573,"완제의약품")&gt;0,"Y","")</f>
        <v/>
      </c>
      <c r="G391">
        <f>IF(COUNTIFS(SITE!$B$2:$B$573,B391,SITE!$E$2:$E$573,"원료의약품")&gt;0,"Y","")</f>
        <v/>
      </c>
      <c r="H391">
        <f>IF(COUNTIFS(SITE!$B$2:$B$573,B391,SITE!$I$2:$I$573,"Y")&gt;0,"Y","")</f>
        <v/>
      </c>
      <c r="I391">
        <f>IF(COUNTIFS(SITE!$B$2:$B$573,B391,SITE!$J$2:$J$573,"Y")&gt;0,"Y","")</f>
        <v/>
      </c>
      <c r="J391">
        <f>MINIFS(SITE!$G$2:$G$573,SITE!$B$2:$B$573,B391)</f>
        <v/>
      </c>
      <c r="K391">
        <f>IF(J391-TODAY()&lt;183,"임박","")</f>
        <v/>
      </c>
    </row>
    <row r="392">
      <c r="A392" t="inlineStr">
        <is>
          <t>C391</t>
        </is>
      </c>
      <c r="B392" t="inlineStr">
        <is>
          <t>애경바이오팜</t>
        </is>
      </c>
      <c r="C392" t="inlineStr">
        <is>
          <t>애경바이오팜 주식회사</t>
        </is>
      </c>
      <c r="D392">
        <f>COUNTIF(SITE!$B$2:$B$573,B392)</f>
        <v/>
      </c>
      <c r="E392">
        <f>SUMIFS(SITE!$H$2:$H$573,SITE!$B$2:$B$573,B392)</f>
        <v/>
      </c>
      <c r="F392">
        <f>IF(COUNTIFS(SITE!$B$2:$B$573,B392,SITE!$E$2:$E$573,"완제의약품")&gt;0,"Y","")</f>
        <v/>
      </c>
      <c r="G392">
        <f>IF(COUNTIFS(SITE!$B$2:$B$573,B392,SITE!$E$2:$E$573,"원료의약품")&gt;0,"Y","")</f>
        <v/>
      </c>
      <c r="H392">
        <f>IF(COUNTIFS(SITE!$B$2:$B$573,B392,SITE!$I$2:$I$573,"Y")&gt;0,"Y","")</f>
        <v/>
      </c>
      <c r="I392">
        <f>IF(COUNTIFS(SITE!$B$2:$B$573,B392,SITE!$J$2:$J$573,"Y")&gt;0,"Y","")</f>
        <v/>
      </c>
      <c r="J392">
        <f>MINIFS(SITE!$G$2:$G$573,SITE!$B$2:$B$573,B392)</f>
        <v/>
      </c>
      <c r="K392">
        <f>IF(J392-TODAY()&lt;183,"임박","")</f>
        <v/>
      </c>
    </row>
    <row r="393">
      <c r="A393" t="inlineStr">
        <is>
          <t>C392</t>
        </is>
      </c>
      <c r="B393" t="inlineStr">
        <is>
          <t>유일팜테크</t>
        </is>
      </c>
      <c r="C393" t="inlineStr">
        <is>
          <t>(주)유일팜테크</t>
        </is>
      </c>
      <c r="D393">
        <f>COUNTIF(SITE!$B$2:$B$573,B393)</f>
        <v/>
      </c>
      <c r="E393">
        <f>SUMIFS(SITE!$H$2:$H$573,SITE!$B$2:$B$573,B393)</f>
        <v/>
      </c>
      <c r="F393">
        <f>IF(COUNTIFS(SITE!$B$2:$B$573,B393,SITE!$E$2:$E$573,"완제의약품")&gt;0,"Y","")</f>
        <v/>
      </c>
      <c r="G393">
        <f>IF(COUNTIFS(SITE!$B$2:$B$573,B393,SITE!$E$2:$E$573,"원료의약품")&gt;0,"Y","")</f>
        <v/>
      </c>
      <c r="H393">
        <f>IF(COUNTIFS(SITE!$B$2:$B$573,B393,SITE!$I$2:$I$573,"Y")&gt;0,"Y","")</f>
        <v/>
      </c>
      <c r="I393">
        <f>IF(COUNTIFS(SITE!$B$2:$B$573,B393,SITE!$J$2:$J$573,"Y")&gt;0,"Y","")</f>
        <v/>
      </c>
      <c r="J393">
        <f>MINIFS(SITE!$G$2:$G$573,SITE!$B$2:$B$573,B393)</f>
        <v/>
      </c>
      <c r="K393">
        <f>IF(J393-TODAY()&lt;183,"임박","")</f>
        <v/>
      </c>
    </row>
    <row r="394">
      <c r="A394" t="inlineStr">
        <is>
          <t>C393</t>
        </is>
      </c>
      <c r="B394" t="inlineStr">
        <is>
          <t>서진산업가스</t>
        </is>
      </c>
      <c r="C394" t="inlineStr">
        <is>
          <t>서진산업가스(주)</t>
        </is>
      </c>
      <c r="D394">
        <f>COUNTIF(SITE!$B$2:$B$573,B394)</f>
        <v/>
      </c>
      <c r="E394">
        <f>SUMIFS(SITE!$H$2:$H$573,SITE!$B$2:$B$573,B394)</f>
        <v/>
      </c>
      <c r="F394">
        <f>IF(COUNTIFS(SITE!$B$2:$B$573,B394,SITE!$E$2:$E$573,"완제의약품")&gt;0,"Y","")</f>
        <v/>
      </c>
      <c r="G394">
        <f>IF(COUNTIFS(SITE!$B$2:$B$573,B394,SITE!$E$2:$E$573,"원료의약품")&gt;0,"Y","")</f>
        <v/>
      </c>
      <c r="H394">
        <f>IF(COUNTIFS(SITE!$B$2:$B$573,B394,SITE!$I$2:$I$573,"Y")&gt;0,"Y","")</f>
        <v/>
      </c>
      <c r="I394">
        <f>IF(COUNTIFS(SITE!$B$2:$B$573,B394,SITE!$J$2:$J$573,"Y")&gt;0,"Y","")</f>
        <v/>
      </c>
      <c r="J394">
        <f>MINIFS(SITE!$G$2:$G$573,SITE!$B$2:$B$573,B394)</f>
        <v/>
      </c>
      <c r="K394">
        <f>IF(J394-TODAY()&lt;183,"임박","")</f>
        <v/>
      </c>
    </row>
    <row r="395">
      <c r="A395" t="inlineStr">
        <is>
          <t>C394</t>
        </is>
      </c>
      <c r="B395" t="inlineStr">
        <is>
          <t>평화산소</t>
        </is>
      </c>
      <c r="C395" t="inlineStr">
        <is>
          <t>(주)평화산소</t>
        </is>
      </c>
      <c r="D395">
        <f>COUNTIF(SITE!$B$2:$B$573,B395)</f>
        <v/>
      </c>
      <c r="E395">
        <f>SUMIFS(SITE!$H$2:$H$573,SITE!$B$2:$B$573,B395)</f>
        <v/>
      </c>
      <c r="F395">
        <f>IF(COUNTIFS(SITE!$B$2:$B$573,B395,SITE!$E$2:$E$573,"완제의약품")&gt;0,"Y","")</f>
        <v/>
      </c>
      <c r="G395">
        <f>IF(COUNTIFS(SITE!$B$2:$B$573,B395,SITE!$E$2:$E$573,"원료의약품")&gt;0,"Y","")</f>
        <v/>
      </c>
      <c r="H395">
        <f>IF(COUNTIFS(SITE!$B$2:$B$573,B395,SITE!$I$2:$I$573,"Y")&gt;0,"Y","")</f>
        <v/>
      </c>
      <c r="I395">
        <f>IF(COUNTIFS(SITE!$B$2:$B$573,B395,SITE!$J$2:$J$573,"Y")&gt;0,"Y","")</f>
        <v/>
      </c>
      <c r="J395">
        <f>MINIFS(SITE!$G$2:$G$573,SITE!$B$2:$B$573,B395)</f>
        <v/>
      </c>
      <c r="K395">
        <f>IF(J395-TODAY()&lt;183,"임박","")</f>
        <v/>
      </c>
    </row>
    <row r="396">
      <c r="A396" t="inlineStr">
        <is>
          <t>C395</t>
        </is>
      </c>
      <c r="B396" t="inlineStr">
        <is>
          <t>한국신약</t>
        </is>
      </c>
      <c r="C396" t="inlineStr">
        <is>
          <t>(주)한국신약</t>
        </is>
      </c>
      <c r="D396">
        <f>COUNTIF(SITE!$B$2:$B$573,B396)</f>
        <v/>
      </c>
      <c r="E396">
        <f>SUMIFS(SITE!$H$2:$H$573,SITE!$B$2:$B$573,B396)</f>
        <v/>
      </c>
      <c r="F396">
        <f>IF(COUNTIFS(SITE!$B$2:$B$573,B396,SITE!$E$2:$E$573,"완제의약품")&gt;0,"Y","")</f>
        <v/>
      </c>
      <c r="G396">
        <f>IF(COUNTIFS(SITE!$B$2:$B$573,B396,SITE!$E$2:$E$573,"원료의약품")&gt;0,"Y","")</f>
        <v/>
      </c>
      <c r="H396">
        <f>IF(COUNTIFS(SITE!$B$2:$B$573,B396,SITE!$I$2:$I$573,"Y")&gt;0,"Y","")</f>
        <v/>
      </c>
      <c r="I396">
        <f>IF(COUNTIFS(SITE!$B$2:$B$573,B396,SITE!$J$2:$J$573,"Y")&gt;0,"Y","")</f>
        <v/>
      </c>
      <c r="J396">
        <f>MINIFS(SITE!$G$2:$G$573,SITE!$B$2:$B$573,B396)</f>
        <v/>
      </c>
      <c r="K396">
        <f>IF(J396-TODAY()&lt;183,"임박","")</f>
        <v/>
      </c>
    </row>
    <row r="397">
      <c r="A397" t="inlineStr">
        <is>
          <t>C396</t>
        </is>
      </c>
      <c r="B397" t="inlineStr">
        <is>
          <t>태준제약</t>
        </is>
      </c>
      <c r="C397" t="inlineStr">
        <is>
          <t>(주)태준제약</t>
        </is>
      </c>
      <c r="D397">
        <f>COUNTIF(SITE!$B$2:$B$573,B397)</f>
        <v/>
      </c>
      <c r="E397">
        <f>SUMIFS(SITE!$H$2:$H$573,SITE!$B$2:$B$573,B397)</f>
        <v/>
      </c>
      <c r="F397">
        <f>IF(COUNTIFS(SITE!$B$2:$B$573,B397,SITE!$E$2:$E$573,"완제의약품")&gt;0,"Y","")</f>
        <v/>
      </c>
      <c r="G397">
        <f>IF(COUNTIFS(SITE!$B$2:$B$573,B397,SITE!$E$2:$E$573,"원료의약품")&gt;0,"Y","")</f>
        <v/>
      </c>
      <c r="H397">
        <f>IF(COUNTIFS(SITE!$B$2:$B$573,B397,SITE!$I$2:$I$573,"Y")&gt;0,"Y","")</f>
        <v/>
      </c>
      <c r="I397">
        <f>IF(COUNTIFS(SITE!$B$2:$B$573,B397,SITE!$J$2:$J$573,"Y")&gt;0,"Y","")</f>
        <v/>
      </c>
      <c r="J397">
        <f>MINIFS(SITE!$G$2:$G$573,SITE!$B$2:$B$573,B397)</f>
        <v/>
      </c>
      <c r="K397">
        <f>IF(J397-TODAY()&lt;183,"임박","")</f>
        <v/>
      </c>
    </row>
    <row r="398">
      <c r="A398" t="inlineStr">
        <is>
          <t>C397</t>
        </is>
      </c>
      <c r="B398" t="inlineStr">
        <is>
          <t>우진가스텍</t>
        </is>
      </c>
      <c r="C398" t="inlineStr">
        <is>
          <t>(주)우진가스텍</t>
        </is>
      </c>
      <c r="D398">
        <f>COUNTIF(SITE!$B$2:$B$573,B398)</f>
        <v/>
      </c>
      <c r="E398">
        <f>SUMIFS(SITE!$H$2:$H$573,SITE!$B$2:$B$573,B398)</f>
        <v/>
      </c>
      <c r="F398">
        <f>IF(COUNTIFS(SITE!$B$2:$B$573,B398,SITE!$E$2:$E$573,"완제의약품")&gt;0,"Y","")</f>
        <v/>
      </c>
      <c r="G398">
        <f>IF(COUNTIFS(SITE!$B$2:$B$573,B398,SITE!$E$2:$E$573,"원료의약품")&gt;0,"Y","")</f>
        <v/>
      </c>
      <c r="H398">
        <f>IF(COUNTIFS(SITE!$B$2:$B$573,B398,SITE!$I$2:$I$573,"Y")&gt;0,"Y","")</f>
        <v/>
      </c>
      <c r="I398">
        <f>IF(COUNTIFS(SITE!$B$2:$B$573,B398,SITE!$J$2:$J$573,"Y")&gt;0,"Y","")</f>
        <v/>
      </c>
      <c r="J398">
        <f>MINIFS(SITE!$G$2:$G$573,SITE!$B$2:$B$573,B398)</f>
        <v/>
      </c>
      <c r="K398">
        <f>IF(J398-TODAY()&lt;183,"임박","")</f>
        <v/>
      </c>
    </row>
    <row r="399">
      <c r="A399" t="inlineStr">
        <is>
          <t>C398</t>
        </is>
      </c>
      <c r="B399" t="inlineStr">
        <is>
          <t>의료법인한라의료재단</t>
        </is>
      </c>
      <c r="C399" t="inlineStr">
        <is>
          <t>의료법인한라의료재단</t>
        </is>
      </c>
      <c r="D399">
        <f>COUNTIF(SITE!$B$2:$B$573,B399)</f>
        <v/>
      </c>
      <c r="E399">
        <f>SUMIFS(SITE!$H$2:$H$573,SITE!$B$2:$B$573,B399)</f>
        <v/>
      </c>
      <c r="F399">
        <f>IF(COUNTIFS(SITE!$B$2:$B$573,B399,SITE!$E$2:$E$573,"완제의약품")&gt;0,"Y","")</f>
        <v/>
      </c>
      <c r="G399">
        <f>IF(COUNTIFS(SITE!$B$2:$B$573,B399,SITE!$E$2:$E$573,"원료의약품")&gt;0,"Y","")</f>
        <v/>
      </c>
      <c r="H399">
        <f>IF(COUNTIFS(SITE!$B$2:$B$573,B399,SITE!$I$2:$I$573,"Y")&gt;0,"Y","")</f>
        <v/>
      </c>
      <c r="I399">
        <f>IF(COUNTIFS(SITE!$B$2:$B$573,B399,SITE!$J$2:$J$573,"Y")&gt;0,"Y","")</f>
        <v/>
      </c>
      <c r="J399">
        <f>MINIFS(SITE!$G$2:$G$573,SITE!$B$2:$B$573,B399)</f>
        <v/>
      </c>
      <c r="K399">
        <f>IF(J399-TODAY()&lt;183,"임박","")</f>
        <v/>
      </c>
    </row>
    <row r="400">
      <c r="A400" t="inlineStr">
        <is>
          <t>C399</t>
        </is>
      </c>
      <c r="B400" t="inlineStr">
        <is>
          <t>안국약품</t>
        </is>
      </c>
      <c r="C400" t="inlineStr">
        <is>
          <t>안국약품(주)</t>
        </is>
      </c>
      <c r="D400">
        <f>COUNTIF(SITE!$B$2:$B$573,B400)</f>
        <v/>
      </c>
      <c r="E400">
        <f>SUMIFS(SITE!$H$2:$H$573,SITE!$B$2:$B$573,B400)</f>
        <v/>
      </c>
      <c r="F400">
        <f>IF(COUNTIFS(SITE!$B$2:$B$573,B400,SITE!$E$2:$E$573,"완제의약품")&gt;0,"Y","")</f>
        <v/>
      </c>
      <c r="G400">
        <f>IF(COUNTIFS(SITE!$B$2:$B$573,B400,SITE!$E$2:$E$573,"원료의약품")&gt;0,"Y","")</f>
        <v/>
      </c>
      <c r="H400">
        <f>IF(COUNTIFS(SITE!$B$2:$B$573,B400,SITE!$I$2:$I$573,"Y")&gt;0,"Y","")</f>
        <v/>
      </c>
      <c r="I400">
        <f>IF(COUNTIFS(SITE!$B$2:$B$573,B400,SITE!$J$2:$J$573,"Y")&gt;0,"Y","")</f>
        <v/>
      </c>
      <c r="J400">
        <f>MINIFS(SITE!$G$2:$G$573,SITE!$B$2:$B$573,B400)</f>
        <v/>
      </c>
      <c r="K400">
        <f>IF(J400-TODAY()&lt;183,"임박","")</f>
        <v/>
      </c>
      <c r="L400" t="inlineStr">
        <is>
          <t>Y</t>
        </is>
      </c>
      <c r="M400" t="inlineStr">
        <is>
          <t>코스닥</t>
        </is>
      </c>
      <c r="N400" t="inlineStr">
        <is>
          <t>001540</t>
        </is>
      </c>
      <c r="O400" t="inlineStr">
        <is>
          <t>의약품 제조업</t>
        </is>
      </c>
      <c r="P400" t="inlineStr">
        <is>
          <t>그랑파제, 토비콤-S</t>
        </is>
      </c>
      <c r="Q400" t="inlineStr">
        <is>
          <t>어진, 박인철 (각자 대표)</t>
        </is>
      </c>
      <c r="R400" t="inlineStr">
        <is>
          <t>http://www.ahn-gook.com</t>
        </is>
      </c>
      <c r="S400" t="inlineStr">
        <is>
          <t>경기도</t>
        </is>
      </c>
    </row>
    <row r="401">
      <c r="A401" t="inlineStr">
        <is>
          <t>C400</t>
        </is>
      </c>
      <c r="B401" t="inlineStr">
        <is>
          <t>엔비케이제약</t>
        </is>
      </c>
      <c r="C401" t="inlineStr">
        <is>
          <t>엔비케이제약(주)</t>
        </is>
      </c>
      <c r="D401">
        <f>COUNTIF(SITE!$B$2:$B$573,B401)</f>
        <v/>
      </c>
      <c r="E401">
        <f>SUMIFS(SITE!$H$2:$H$573,SITE!$B$2:$B$573,B401)</f>
        <v/>
      </c>
      <c r="F401">
        <f>IF(COUNTIFS(SITE!$B$2:$B$573,B401,SITE!$E$2:$E$573,"완제의약품")&gt;0,"Y","")</f>
        <v/>
      </c>
      <c r="G401">
        <f>IF(COUNTIFS(SITE!$B$2:$B$573,B401,SITE!$E$2:$E$573,"원료의약품")&gt;0,"Y","")</f>
        <v/>
      </c>
      <c r="H401">
        <f>IF(COUNTIFS(SITE!$B$2:$B$573,B401,SITE!$I$2:$I$573,"Y")&gt;0,"Y","")</f>
        <v/>
      </c>
      <c r="I401">
        <f>IF(COUNTIFS(SITE!$B$2:$B$573,B401,SITE!$J$2:$J$573,"Y")&gt;0,"Y","")</f>
        <v/>
      </c>
      <c r="J401">
        <f>MINIFS(SITE!$G$2:$G$573,SITE!$B$2:$B$573,B401)</f>
        <v/>
      </c>
      <c r="K401">
        <f>IF(J401-TODAY()&lt;183,"임박","")</f>
        <v/>
      </c>
    </row>
    <row r="402">
      <c r="A402" t="inlineStr">
        <is>
          <t>C401</t>
        </is>
      </c>
      <c r="B402" t="inlineStr">
        <is>
          <t>화승가스테크</t>
        </is>
      </c>
      <c r="C402" t="inlineStr">
        <is>
          <t>(주)화승가스테크</t>
        </is>
      </c>
      <c r="D402">
        <f>COUNTIF(SITE!$B$2:$B$573,B402)</f>
        <v/>
      </c>
      <c r="E402">
        <f>SUMIFS(SITE!$H$2:$H$573,SITE!$B$2:$B$573,B402)</f>
        <v/>
      </c>
      <c r="F402">
        <f>IF(COUNTIFS(SITE!$B$2:$B$573,B402,SITE!$E$2:$E$573,"완제의약품")&gt;0,"Y","")</f>
        <v/>
      </c>
      <c r="G402">
        <f>IF(COUNTIFS(SITE!$B$2:$B$573,B402,SITE!$E$2:$E$573,"원료의약품")&gt;0,"Y","")</f>
        <v/>
      </c>
      <c r="H402">
        <f>IF(COUNTIFS(SITE!$B$2:$B$573,B402,SITE!$I$2:$I$573,"Y")&gt;0,"Y","")</f>
        <v/>
      </c>
      <c r="I402">
        <f>IF(COUNTIFS(SITE!$B$2:$B$573,B402,SITE!$J$2:$J$573,"Y")&gt;0,"Y","")</f>
        <v/>
      </c>
      <c r="J402">
        <f>MINIFS(SITE!$G$2:$G$573,SITE!$B$2:$B$573,B402)</f>
        <v/>
      </c>
      <c r="K402">
        <f>IF(J402-TODAY()&lt;183,"임박","")</f>
        <v/>
      </c>
    </row>
    <row r="403">
      <c r="A403" t="inlineStr">
        <is>
          <t>C402</t>
        </is>
      </c>
      <c r="B403" t="inlineStr">
        <is>
          <t>이든파마</t>
        </is>
      </c>
      <c r="C403" t="inlineStr">
        <is>
          <t>(주)이든파마</t>
        </is>
      </c>
      <c r="D403">
        <f>COUNTIF(SITE!$B$2:$B$573,B403)</f>
        <v/>
      </c>
      <c r="E403">
        <f>SUMIFS(SITE!$H$2:$H$573,SITE!$B$2:$B$573,B403)</f>
        <v/>
      </c>
      <c r="F403">
        <f>IF(COUNTIFS(SITE!$B$2:$B$573,B403,SITE!$E$2:$E$573,"완제의약품")&gt;0,"Y","")</f>
        <v/>
      </c>
      <c r="G403">
        <f>IF(COUNTIFS(SITE!$B$2:$B$573,B403,SITE!$E$2:$E$573,"원료의약품")&gt;0,"Y","")</f>
        <v/>
      </c>
      <c r="H403">
        <f>IF(COUNTIFS(SITE!$B$2:$B$573,B403,SITE!$I$2:$I$573,"Y")&gt;0,"Y","")</f>
        <v/>
      </c>
      <c r="I403">
        <f>IF(COUNTIFS(SITE!$B$2:$B$573,B403,SITE!$J$2:$J$573,"Y")&gt;0,"Y","")</f>
        <v/>
      </c>
      <c r="J403">
        <f>MINIFS(SITE!$G$2:$G$573,SITE!$B$2:$B$573,B403)</f>
        <v/>
      </c>
      <c r="K403">
        <f>IF(J403-TODAY()&lt;183,"임박","")</f>
        <v/>
      </c>
    </row>
    <row r="404">
      <c r="A404" t="inlineStr">
        <is>
          <t>C403</t>
        </is>
      </c>
      <c r="B404" t="inlineStr">
        <is>
          <t>크로다코리아</t>
        </is>
      </c>
      <c r="C404" t="inlineStr">
        <is>
          <t>크로다코리아주식회사</t>
        </is>
      </c>
      <c r="D404">
        <f>COUNTIF(SITE!$B$2:$B$573,B404)</f>
        <v/>
      </c>
      <c r="E404">
        <f>SUMIFS(SITE!$H$2:$H$573,SITE!$B$2:$B$573,B404)</f>
        <v/>
      </c>
      <c r="F404">
        <f>IF(COUNTIFS(SITE!$B$2:$B$573,B404,SITE!$E$2:$E$573,"완제의약품")&gt;0,"Y","")</f>
        <v/>
      </c>
      <c r="G404">
        <f>IF(COUNTIFS(SITE!$B$2:$B$573,B404,SITE!$E$2:$E$573,"원료의약품")&gt;0,"Y","")</f>
        <v/>
      </c>
      <c r="H404">
        <f>IF(COUNTIFS(SITE!$B$2:$B$573,B404,SITE!$I$2:$I$573,"Y")&gt;0,"Y","")</f>
        <v/>
      </c>
      <c r="I404">
        <f>IF(COUNTIFS(SITE!$B$2:$B$573,B404,SITE!$J$2:$J$573,"Y")&gt;0,"Y","")</f>
        <v/>
      </c>
      <c r="J404">
        <f>MINIFS(SITE!$G$2:$G$573,SITE!$B$2:$B$573,B404)</f>
        <v/>
      </c>
      <c r="K404">
        <f>IF(J404-TODAY()&lt;183,"임박","")</f>
        <v/>
      </c>
    </row>
    <row r="405">
      <c r="A405" t="inlineStr">
        <is>
          <t>C404</t>
        </is>
      </c>
      <c r="B405" t="inlineStr">
        <is>
          <t>엠에프씨</t>
        </is>
      </c>
      <c r="C405" t="inlineStr">
        <is>
          <t>엠에프씨주식회사</t>
        </is>
      </c>
      <c r="D405">
        <f>COUNTIF(SITE!$B$2:$B$573,B405)</f>
        <v/>
      </c>
      <c r="E405">
        <f>SUMIFS(SITE!$H$2:$H$573,SITE!$B$2:$B$573,B405)</f>
        <v/>
      </c>
      <c r="F405">
        <f>IF(COUNTIFS(SITE!$B$2:$B$573,B405,SITE!$E$2:$E$573,"완제의약품")&gt;0,"Y","")</f>
        <v/>
      </c>
      <c r="G405">
        <f>IF(COUNTIFS(SITE!$B$2:$B$573,B405,SITE!$E$2:$E$573,"원료의약품")&gt;0,"Y","")</f>
        <v/>
      </c>
      <c r="H405">
        <f>IF(COUNTIFS(SITE!$B$2:$B$573,B405,SITE!$I$2:$I$573,"Y")&gt;0,"Y","")</f>
        <v/>
      </c>
      <c r="I405">
        <f>IF(COUNTIFS(SITE!$B$2:$B$573,B405,SITE!$J$2:$J$573,"Y")&gt;0,"Y","")</f>
        <v/>
      </c>
      <c r="J405">
        <f>MINIFS(SITE!$G$2:$G$573,SITE!$B$2:$B$573,B405)</f>
        <v/>
      </c>
      <c r="K405">
        <f>IF(J405-TODAY()&lt;183,"임박","")</f>
        <v/>
      </c>
      <c r="L405" t="inlineStr">
        <is>
          <t>Y</t>
        </is>
      </c>
      <c r="M405" t="inlineStr">
        <is>
          <t>코스닥</t>
        </is>
      </c>
      <c r="N405" t="inlineStr">
        <is>
          <t>432980</t>
        </is>
      </c>
      <c r="O405" t="inlineStr">
        <is>
          <t>기초 의약물질 제조업</t>
        </is>
      </c>
      <c r="P405" t="inlineStr">
        <is>
          <t>원료의약품(API) 및 핵심소재</t>
        </is>
      </c>
      <c r="Q405" t="inlineStr">
        <is>
          <t>황성관, 서기형(각자 대표이사)</t>
        </is>
      </c>
      <c r="R405" t="inlineStr">
        <is>
          <t>http://www.mfcglobal.co.kr</t>
        </is>
      </c>
      <c r="S405" t="inlineStr">
        <is>
          <t>경기도</t>
        </is>
      </c>
    </row>
    <row r="406">
      <c r="A406" t="inlineStr">
        <is>
          <t>C405</t>
        </is>
      </c>
      <c r="B406" t="inlineStr">
        <is>
          <t>(유한)동아가스산업</t>
        </is>
      </c>
      <c r="C406" t="inlineStr">
        <is>
          <t>(유한)동아가스산업</t>
        </is>
      </c>
      <c r="D406">
        <f>COUNTIF(SITE!$B$2:$B$573,B406)</f>
        <v/>
      </c>
      <c r="E406">
        <f>SUMIFS(SITE!$H$2:$H$573,SITE!$B$2:$B$573,B406)</f>
        <v/>
      </c>
      <c r="F406">
        <f>IF(COUNTIFS(SITE!$B$2:$B$573,B406,SITE!$E$2:$E$573,"완제의약품")&gt;0,"Y","")</f>
        <v/>
      </c>
      <c r="G406">
        <f>IF(COUNTIFS(SITE!$B$2:$B$573,B406,SITE!$E$2:$E$573,"원료의약품")&gt;0,"Y","")</f>
        <v/>
      </c>
      <c r="H406">
        <f>IF(COUNTIFS(SITE!$B$2:$B$573,B406,SITE!$I$2:$I$573,"Y")&gt;0,"Y","")</f>
        <v/>
      </c>
      <c r="I406">
        <f>IF(COUNTIFS(SITE!$B$2:$B$573,B406,SITE!$J$2:$J$573,"Y")&gt;0,"Y","")</f>
        <v/>
      </c>
      <c r="J406">
        <f>MINIFS(SITE!$G$2:$G$573,SITE!$B$2:$B$573,B406)</f>
        <v/>
      </c>
      <c r="K406">
        <f>IF(J406-TODAY()&lt;183,"임박","")</f>
        <v/>
      </c>
    </row>
    <row r="407">
      <c r="A407" t="inlineStr">
        <is>
          <t>C406</t>
        </is>
      </c>
      <c r="B407" t="inlineStr">
        <is>
          <t>엠에스종합가스</t>
        </is>
      </c>
      <c r="C407" t="inlineStr">
        <is>
          <t>엠에스종합가스(주)</t>
        </is>
      </c>
      <c r="D407">
        <f>COUNTIF(SITE!$B$2:$B$573,B407)</f>
        <v/>
      </c>
      <c r="E407">
        <f>SUMIFS(SITE!$H$2:$H$573,SITE!$B$2:$B$573,B407)</f>
        <v/>
      </c>
      <c r="F407">
        <f>IF(COUNTIFS(SITE!$B$2:$B$573,B407,SITE!$E$2:$E$573,"완제의약품")&gt;0,"Y","")</f>
        <v/>
      </c>
      <c r="G407">
        <f>IF(COUNTIFS(SITE!$B$2:$B$573,B407,SITE!$E$2:$E$573,"원료의약품")&gt;0,"Y","")</f>
        <v/>
      </c>
      <c r="H407">
        <f>IF(COUNTIFS(SITE!$B$2:$B$573,B407,SITE!$I$2:$I$573,"Y")&gt;0,"Y","")</f>
        <v/>
      </c>
      <c r="I407">
        <f>IF(COUNTIFS(SITE!$B$2:$B$573,B407,SITE!$J$2:$J$573,"Y")&gt;0,"Y","")</f>
        <v/>
      </c>
      <c r="J407">
        <f>MINIFS(SITE!$G$2:$G$573,SITE!$B$2:$B$573,B407)</f>
        <v/>
      </c>
      <c r="K407">
        <f>IF(J407-TODAY()&lt;183,"임박","")</f>
        <v/>
      </c>
    </row>
    <row r="408">
      <c r="A408" t="inlineStr">
        <is>
          <t>C407</t>
        </is>
      </c>
      <c r="B408" t="inlineStr">
        <is>
          <t>삼천당제약</t>
        </is>
      </c>
      <c r="C408" t="inlineStr">
        <is>
          <t>삼천당제약(주)</t>
        </is>
      </c>
      <c r="D408">
        <f>COUNTIF(SITE!$B$2:$B$573,B408)</f>
        <v/>
      </c>
      <c r="E408">
        <f>SUMIFS(SITE!$H$2:$H$573,SITE!$B$2:$B$573,B408)</f>
        <v/>
      </c>
      <c r="F408">
        <f>IF(COUNTIFS(SITE!$B$2:$B$573,B408,SITE!$E$2:$E$573,"완제의약품")&gt;0,"Y","")</f>
        <v/>
      </c>
      <c r="G408">
        <f>IF(COUNTIFS(SITE!$B$2:$B$573,B408,SITE!$E$2:$E$573,"원료의약품")&gt;0,"Y","")</f>
        <v/>
      </c>
      <c r="H408">
        <f>IF(COUNTIFS(SITE!$B$2:$B$573,B408,SITE!$I$2:$I$573,"Y")&gt;0,"Y","")</f>
        <v/>
      </c>
      <c r="I408">
        <f>IF(COUNTIFS(SITE!$B$2:$B$573,B408,SITE!$J$2:$J$573,"Y")&gt;0,"Y","")</f>
        <v/>
      </c>
      <c r="J408">
        <f>MINIFS(SITE!$G$2:$G$573,SITE!$B$2:$B$573,B408)</f>
        <v/>
      </c>
      <c r="K408">
        <f>IF(J408-TODAY()&lt;183,"임박","")</f>
        <v/>
      </c>
      <c r="L408" t="inlineStr">
        <is>
          <t>Y</t>
        </is>
      </c>
      <c r="M408" t="inlineStr">
        <is>
          <t>코스닥</t>
        </is>
      </c>
      <c r="N408" t="inlineStr">
        <is>
          <t>000250</t>
        </is>
      </c>
      <c r="O408" t="inlineStr">
        <is>
          <t>의약품 제조업</t>
        </is>
      </c>
      <c r="P408" t="inlineStr">
        <is>
          <t>하메론, 아토로우</t>
        </is>
      </c>
      <c r="Q408" t="inlineStr">
        <is>
          <t>전인석</t>
        </is>
      </c>
      <c r="R408" t="inlineStr">
        <is>
          <t>http://www.scd.co.kr</t>
        </is>
      </c>
      <c r="S408" t="inlineStr">
        <is>
          <t>경기도</t>
        </is>
      </c>
    </row>
    <row r="409">
      <c r="A409" t="inlineStr">
        <is>
          <t>C408</t>
        </is>
      </c>
      <c r="B409" t="inlineStr">
        <is>
          <t>에이치에스바이오</t>
        </is>
      </c>
      <c r="C409" t="inlineStr">
        <is>
          <t>(주)에이치에스바이오</t>
        </is>
      </c>
      <c r="D409">
        <f>COUNTIF(SITE!$B$2:$B$573,B409)</f>
        <v/>
      </c>
      <c r="E409">
        <f>SUMIFS(SITE!$H$2:$H$573,SITE!$B$2:$B$573,B409)</f>
        <v/>
      </c>
      <c r="F409">
        <f>IF(COUNTIFS(SITE!$B$2:$B$573,B409,SITE!$E$2:$E$573,"완제의약품")&gt;0,"Y","")</f>
        <v/>
      </c>
      <c r="G409">
        <f>IF(COUNTIFS(SITE!$B$2:$B$573,B409,SITE!$E$2:$E$573,"원료의약품")&gt;0,"Y","")</f>
        <v/>
      </c>
      <c r="H409">
        <f>IF(COUNTIFS(SITE!$B$2:$B$573,B409,SITE!$I$2:$I$573,"Y")&gt;0,"Y","")</f>
        <v/>
      </c>
      <c r="I409">
        <f>IF(COUNTIFS(SITE!$B$2:$B$573,B409,SITE!$J$2:$J$573,"Y")&gt;0,"Y","")</f>
        <v/>
      </c>
      <c r="J409">
        <f>MINIFS(SITE!$G$2:$G$573,SITE!$B$2:$B$573,B409)</f>
        <v/>
      </c>
      <c r="K409">
        <f>IF(J409-TODAY()&lt;183,"임박","")</f>
        <v/>
      </c>
    </row>
    <row r="410">
      <c r="A410" t="inlineStr">
        <is>
          <t>C409</t>
        </is>
      </c>
      <c r="B410" t="inlineStr">
        <is>
          <t>한국원자력의학원</t>
        </is>
      </c>
      <c r="C410" t="inlineStr">
        <is>
          <t>한국원자력의학원</t>
        </is>
      </c>
      <c r="D410">
        <f>COUNTIF(SITE!$B$2:$B$573,B410)</f>
        <v/>
      </c>
      <c r="E410">
        <f>SUMIFS(SITE!$H$2:$H$573,SITE!$B$2:$B$573,B410)</f>
        <v/>
      </c>
      <c r="F410">
        <f>IF(COUNTIFS(SITE!$B$2:$B$573,B410,SITE!$E$2:$E$573,"완제의약품")&gt;0,"Y","")</f>
        <v/>
      </c>
      <c r="G410">
        <f>IF(COUNTIFS(SITE!$B$2:$B$573,B410,SITE!$E$2:$E$573,"원료의약품")&gt;0,"Y","")</f>
        <v/>
      </c>
      <c r="H410">
        <f>IF(COUNTIFS(SITE!$B$2:$B$573,B410,SITE!$I$2:$I$573,"Y")&gt;0,"Y","")</f>
        <v/>
      </c>
      <c r="I410">
        <f>IF(COUNTIFS(SITE!$B$2:$B$573,B410,SITE!$J$2:$J$573,"Y")&gt;0,"Y","")</f>
        <v/>
      </c>
      <c r="J410">
        <f>MINIFS(SITE!$G$2:$G$573,SITE!$B$2:$B$573,B410)</f>
        <v/>
      </c>
      <c r="K410">
        <f>IF(J410-TODAY()&lt;183,"임박","")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0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4" t="inlineStr">
        <is>
          <t>번호</t>
        </is>
      </c>
      <c r="B1" s="14" t="inlineStr">
        <is>
          <t>업체명</t>
        </is>
      </c>
      <c r="C1" s="14" t="inlineStr">
        <is>
          <t>정규화업체명</t>
        </is>
      </c>
      <c r="D1" s="14" t="inlineStr">
        <is>
          <t>업종</t>
        </is>
      </c>
      <c r="E1" s="14" t="inlineStr">
        <is>
          <t>업체허가번호</t>
        </is>
      </c>
      <c r="F1" s="14" t="inlineStr">
        <is>
          <t>대표자명</t>
        </is>
      </c>
      <c r="G1" s="14" t="inlineStr">
        <is>
          <t>업체허가일자</t>
        </is>
      </c>
      <c r="H1" s="14" t="inlineStr">
        <is>
          <t>업체허가일자원본</t>
        </is>
      </c>
      <c r="I1" s="14" t="inlineStr">
        <is>
          <t>공장일련번호</t>
        </is>
      </c>
      <c r="J1" s="14" t="inlineStr">
        <is>
          <t>공장명</t>
        </is>
      </c>
      <c r="K1" s="14" t="inlineStr">
        <is>
          <t>공장전화번호</t>
        </is>
      </c>
      <c r="L1" s="14" t="inlineStr">
        <is>
          <t>공장주소1</t>
        </is>
      </c>
      <c r="M1" s="14" t="inlineStr">
        <is>
          <t>공장주소2</t>
        </is>
      </c>
      <c r="N1" s="14" t="inlineStr">
        <is>
          <t>통합공장주소</t>
        </is>
      </c>
      <c r="O1" s="14" t="inlineStr">
        <is>
          <t>시도</t>
        </is>
      </c>
      <c r="P1" s="14" t="inlineStr">
        <is>
          <t>시군구</t>
        </is>
      </c>
      <c r="Q1" s="14" t="inlineStr">
        <is>
          <t>중복여부</t>
        </is>
      </c>
      <c r="R1" s="14" t="inlineStr">
        <is>
          <t>중복그룹번호</t>
        </is>
      </c>
    </row>
    <row r="2">
      <c r="A2" t="n">
        <v>1</v>
      </c>
      <c r="B2" t="inlineStr">
        <is>
          <t>제주대학교병원</t>
        </is>
      </c>
      <c r="C2" t="inlineStr">
        <is>
          <t>제주대학교병원</t>
        </is>
      </c>
      <c r="D2" t="inlineStr">
        <is>
          <t>의약품</t>
        </is>
      </c>
      <c r="E2" t="inlineStr">
        <is>
          <t>304</t>
        </is>
      </c>
      <c r="F2" t="inlineStr">
        <is>
          <t>최국명</t>
        </is>
      </c>
      <c r="G2" t="inlineStr">
        <is>
          <t>2009-09-16</t>
        </is>
      </c>
      <c r="H2" t="inlineStr">
        <is>
          <t>20090916</t>
        </is>
      </c>
      <c r="I2" t="inlineStr">
        <is>
          <t>1</t>
        </is>
      </c>
      <c r="J2" t="inlineStr">
        <is>
          <t>제주대학교병원</t>
        </is>
      </c>
      <c r="K2" t="inlineStr">
        <is>
          <t>(064)717-1301</t>
        </is>
      </c>
      <c r="L2" t="inlineStr">
        <is>
          <t>제주특별자치도 제주시 아란13길 15</t>
        </is>
      </c>
      <c r="M2" t="inlineStr"/>
      <c r="N2" t="inlineStr">
        <is>
          <t>제주특별자치도 제주시 아란13길 15</t>
        </is>
      </c>
      <c r="O2" t="inlineStr">
        <is>
          <t>제주특별자치도</t>
        </is>
      </c>
      <c r="P2" t="inlineStr">
        <is>
          <t>제주시</t>
        </is>
      </c>
      <c r="Q2" t="inlineStr">
        <is>
          <t>N</t>
        </is>
      </c>
      <c r="R2" t="n">
        <v>0</v>
      </c>
    </row>
    <row r="3">
      <c r="A3" t="n">
        <v>2</v>
      </c>
      <c r="B3" t="inlineStr">
        <is>
          <t>(주)새한제약</t>
        </is>
      </c>
      <c r="C3" t="inlineStr">
        <is>
          <t>새한제약</t>
        </is>
      </c>
      <c r="D3" t="inlineStr">
        <is>
          <t>의약품</t>
        </is>
      </c>
      <c r="E3" t="inlineStr">
        <is>
          <t>1519</t>
        </is>
      </c>
      <c r="F3" t="inlineStr">
        <is>
          <t>오장석</t>
        </is>
      </c>
      <c r="G3" t="inlineStr">
        <is>
          <t>1971-03-08</t>
        </is>
      </c>
      <c r="H3" t="inlineStr">
        <is>
          <t>19710308</t>
        </is>
      </c>
      <c r="I3" t="inlineStr">
        <is>
          <t>1</t>
        </is>
      </c>
      <c r="J3" t="inlineStr">
        <is>
          <t>안성</t>
        </is>
      </c>
      <c r="K3" t="inlineStr">
        <is>
          <t>031-673-3132</t>
        </is>
      </c>
      <c r="L3" t="inlineStr">
        <is>
          <t>경기도 안성시 공단2로 50-4</t>
        </is>
      </c>
      <c r="M3" t="inlineStr"/>
      <c r="N3" t="inlineStr">
        <is>
          <t>경기도 안성시 공단2로 50-4</t>
        </is>
      </c>
      <c r="O3" t="inlineStr">
        <is>
          <t>경기도</t>
        </is>
      </c>
      <c r="P3" t="inlineStr">
        <is>
          <t>안성시</t>
        </is>
      </c>
      <c r="Q3" t="inlineStr">
        <is>
          <t>Y</t>
        </is>
      </c>
      <c r="R3" t="n">
        <v>1</v>
      </c>
    </row>
    <row r="4">
      <c r="A4" t="n">
        <v>3</v>
      </c>
      <c r="B4" t="inlineStr">
        <is>
          <t>태극제약(주)</t>
        </is>
      </c>
      <c r="C4" t="inlineStr">
        <is>
          <t>태극제약</t>
        </is>
      </c>
      <c r="D4" t="inlineStr">
        <is>
          <t>의약품</t>
        </is>
      </c>
      <c r="E4" t="inlineStr">
        <is>
          <t>1370</t>
        </is>
      </c>
      <c r="F4" t="inlineStr">
        <is>
          <t>최승만</t>
        </is>
      </c>
      <c r="G4" t="inlineStr">
        <is>
          <t>1958-06-29</t>
        </is>
      </c>
      <c r="H4" t="inlineStr">
        <is>
          <t>19580629</t>
        </is>
      </c>
      <c r="I4" t="inlineStr">
        <is>
          <t>3</t>
        </is>
      </c>
      <c r="J4" t="inlineStr">
        <is>
          <t>보관소</t>
        </is>
      </c>
      <c r="K4" t="inlineStr"/>
      <c r="L4" t="inlineStr">
        <is>
          <t>경기도 화성시 양감면 사릅재길 138-51</t>
        </is>
      </c>
      <c r="M4" t="inlineStr">
        <is>
          <t>1층</t>
        </is>
      </c>
      <c r="N4" t="inlineStr">
        <is>
          <t>경기도 화성시 양감면 사릅재길 138-51 1층</t>
        </is>
      </c>
      <c r="O4" t="inlineStr">
        <is>
          <t>경기도</t>
        </is>
      </c>
      <c r="P4" t="inlineStr">
        <is>
          <t>화성시</t>
        </is>
      </c>
      <c r="Q4" t="inlineStr">
        <is>
          <t>Y</t>
        </is>
      </c>
      <c r="R4" t="n">
        <v>2</v>
      </c>
    </row>
    <row r="5">
      <c r="A5" t="n">
        <v>4</v>
      </c>
      <c r="B5" t="inlineStr">
        <is>
          <t>해동한방제약(주)</t>
        </is>
      </c>
      <c r="C5" t="inlineStr">
        <is>
          <t>해동한방제약</t>
        </is>
      </c>
      <c r="D5" t="inlineStr">
        <is>
          <t>의약품</t>
        </is>
      </c>
      <c r="E5" t="inlineStr">
        <is>
          <t>932</t>
        </is>
      </c>
      <c r="F5" t="inlineStr">
        <is>
          <t>황지연</t>
        </is>
      </c>
      <c r="G5" t="inlineStr">
        <is>
          <t>2008-11-25</t>
        </is>
      </c>
      <c r="H5" t="inlineStr">
        <is>
          <t>20081125</t>
        </is>
      </c>
      <c r="I5" t="inlineStr">
        <is>
          <t>1</t>
        </is>
      </c>
      <c r="J5" t="inlineStr">
        <is>
          <t>제1공장</t>
        </is>
      </c>
      <c r="K5" t="inlineStr">
        <is>
          <t>041-932-6425</t>
        </is>
      </c>
      <c r="L5" t="inlineStr">
        <is>
          <t>충청남도 보령시 웅천읍 부당길 63-23</t>
        </is>
      </c>
      <c r="M5" t="inlineStr"/>
      <c r="N5" t="inlineStr">
        <is>
          <t>충청남도 보령시 웅천읍 부당길 63-23</t>
        </is>
      </c>
      <c r="O5" t="inlineStr">
        <is>
          <t>충청남도</t>
        </is>
      </c>
      <c r="P5" t="inlineStr">
        <is>
          <t>보령시</t>
        </is>
      </c>
      <c r="Q5" t="inlineStr">
        <is>
          <t>N</t>
        </is>
      </c>
      <c r="R5" t="n">
        <v>0</v>
      </c>
    </row>
    <row r="6">
      <c r="A6" t="n">
        <v>5</v>
      </c>
      <c r="B6" t="inlineStr">
        <is>
          <t>(주)서흥</t>
        </is>
      </c>
      <c r="C6" t="inlineStr">
        <is>
          <t>서흥</t>
        </is>
      </c>
      <c r="D6" t="inlineStr">
        <is>
          <t>의약품</t>
        </is>
      </c>
      <c r="E6" t="inlineStr">
        <is>
          <t>1518</t>
        </is>
      </c>
      <c r="F6" t="inlineStr">
        <is>
          <t>양주환</t>
        </is>
      </c>
      <c r="G6" t="inlineStr">
        <is>
          <t>1970-12-26</t>
        </is>
      </c>
      <c r="H6" t="inlineStr">
        <is>
          <t>19701226</t>
        </is>
      </c>
      <c r="I6" t="inlineStr">
        <is>
          <t>2</t>
        </is>
      </c>
      <c r="J6" t="inlineStr">
        <is>
          <t>오송</t>
        </is>
      </c>
      <c r="K6" t="inlineStr">
        <is>
          <t>043-249-4252</t>
        </is>
      </c>
      <c r="L6" t="inlineStr">
        <is>
          <t>충청북도 청주시 흥덕구 오송읍 오송생명로 61</t>
        </is>
      </c>
      <c r="M6" t="inlineStr"/>
      <c r="N6" t="inlineStr">
        <is>
          <t>충청북도 청주시 흥덕구 오송읍 오송생명로 61</t>
        </is>
      </c>
      <c r="O6" t="inlineStr">
        <is>
          <t>충청북도</t>
        </is>
      </c>
      <c r="P6" t="inlineStr">
        <is>
          <t>청주시</t>
        </is>
      </c>
      <c r="Q6" t="inlineStr">
        <is>
          <t>N</t>
        </is>
      </c>
      <c r="R6" t="n">
        <v>0</v>
      </c>
    </row>
    <row r="7">
      <c r="A7" t="n">
        <v>6</v>
      </c>
      <c r="B7" t="inlineStr">
        <is>
          <t>한미약품(주)</t>
        </is>
      </c>
      <c r="C7" t="inlineStr">
        <is>
          <t>한미약품</t>
        </is>
      </c>
      <c r="D7" t="inlineStr">
        <is>
          <t>의약품</t>
        </is>
      </c>
      <c r="E7" t="inlineStr">
        <is>
          <t>1337</t>
        </is>
      </c>
      <c r="F7" t="inlineStr">
        <is>
          <t>황상연</t>
        </is>
      </c>
      <c r="G7" t="inlineStr">
        <is>
          <t>1957-05-27</t>
        </is>
      </c>
      <c r="H7" t="inlineStr">
        <is>
          <t>19570527</t>
        </is>
      </c>
      <c r="I7" t="inlineStr">
        <is>
          <t>3</t>
        </is>
      </c>
      <c r="J7" t="inlineStr">
        <is>
          <t>유해화학물질 및 위험물보관소</t>
        </is>
      </c>
      <c r="K7" t="inlineStr"/>
      <c r="L7" t="inlineStr">
        <is>
          <t>경기도 평택시 청북읍 원한산길 141</t>
        </is>
      </c>
      <c r="M7" t="inlineStr">
        <is>
          <t>1동 일부</t>
        </is>
      </c>
      <c r="N7" t="inlineStr">
        <is>
          <t>경기도 평택시 청북읍 원한산길 141 1동 일부</t>
        </is>
      </c>
      <c r="O7" t="inlineStr">
        <is>
          <t>경기도</t>
        </is>
      </c>
      <c r="P7" t="inlineStr">
        <is>
          <t>평택시</t>
        </is>
      </c>
      <c r="Q7" t="inlineStr">
        <is>
          <t>N</t>
        </is>
      </c>
      <c r="R7" t="n">
        <v>0</v>
      </c>
    </row>
    <row r="8">
      <c r="A8" t="n">
        <v>7</v>
      </c>
      <c r="B8" t="inlineStr">
        <is>
          <t>한국신텍스제약(주)</t>
        </is>
      </c>
      <c r="C8" t="inlineStr">
        <is>
          <t>한국신텍스제약</t>
        </is>
      </c>
      <c r="D8" t="inlineStr">
        <is>
          <t>의약품</t>
        </is>
      </c>
      <c r="E8" t="inlineStr">
        <is>
          <t>1334</t>
        </is>
      </c>
      <c r="F8" t="inlineStr">
        <is>
          <t>최임용</t>
        </is>
      </c>
      <c r="G8" t="inlineStr">
        <is>
          <t>2001-01-10</t>
        </is>
      </c>
      <c r="H8" t="inlineStr">
        <is>
          <t>20010110</t>
        </is>
      </c>
      <c r="I8" t="inlineStr">
        <is>
          <t>2</t>
        </is>
      </c>
      <c r="J8" t="inlineStr">
        <is>
          <t>제 1공장</t>
        </is>
      </c>
      <c r="K8" t="inlineStr">
        <is>
          <t>063-853-8110</t>
        </is>
      </c>
      <c r="L8" t="inlineStr">
        <is>
          <t>전북특별자치도 익산시 삼기면 산단오룡길 106</t>
        </is>
      </c>
      <c r="M8" t="inlineStr"/>
      <c r="N8" t="inlineStr">
        <is>
          <t>전북특별자치도 익산시 삼기면 산단오룡길 106</t>
        </is>
      </c>
      <c r="O8" t="inlineStr">
        <is>
          <t>전북특별자치도</t>
        </is>
      </c>
      <c r="P8" t="inlineStr">
        <is>
          <t>익산시</t>
        </is>
      </c>
      <c r="Q8" t="inlineStr">
        <is>
          <t>Y</t>
        </is>
      </c>
      <c r="R8" t="n">
        <v>3</v>
      </c>
    </row>
    <row r="9">
      <c r="A9" t="n">
        <v>8</v>
      </c>
      <c r="B9" t="inlineStr">
        <is>
          <t>(주)녹십자</t>
        </is>
      </c>
      <c r="C9" t="inlineStr">
        <is>
          <t>녹십자</t>
        </is>
      </c>
      <c r="D9" t="inlineStr">
        <is>
          <t>의약품</t>
        </is>
      </c>
      <c r="E9" t="inlineStr">
        <is>
          <t>1735</t>
        </is>
      </c>
      <c r="F9" t="inlineStr">
        <is>
          <t>허은철</t>
        </is>
      </c>
      <c r="G9" t="inlineStr">
        <is>
          <t>1991-01-18</t>
        </is>
      </c>
      <c r="H9" t="inlineStr">
        <is>
          <t>19910118</t>
        </is>
      </c>
      <c r="I9" t="inlineStr">
        <is>
          <t>6</t>
        </is>
      </c>
      <c r="J9" t="inlineStr">
        <is>
          <t>청원(일반제제)</t>
        </is>
      </c>
      <c r="K9" t="inlineStr">
        <is>
          <t>031-260-9300</t>
        </is>
      </c>
      <c r="L9" t="inlineStr">
        <is>
          <t>충청북도 청주시 청원구 오창읍 과학산업2로 586</t>
        </is>
      </c>
      <c r="M9" t="inlineStr"/>
      <c r="N9" t="inlineStr">
        <is>
          <t>충청북도 청주시 청원구 오창읍 과학산업2로 586</t>
        </is>
      </c>
      <c r="O9" t="inlineStr">
        <is>
          <t>충청북도</t>
        </is>
      </c>
      <c r="P9" t="inlineStr">
        <is>
          <t>청주시</t>
        </is>
      </c>
      <c r="Q9" t="inlineStr">
        <is>
          <t>N</t>
        </is>
      </c>
      <c r="R9" t="n">
        <v>0</v>
      </c>
    </row>
    <row r="10">
      <c r="A10" t="n">
        <v>9</v>
      </c>
      <c r="B10" t="inlineStr">
        <is>
          <t>익수제약(주)</t>
        </is>
      </c>
      <c r="C10" t="inlineStr">
        <is>
          <t>익수제약</t>
        </is>
      </c>
      <c r="D10" t="inlineStr">
        <is>
          <t>의약품</t>
        </is>
      </c>
      <c r="E10" t="inlineStr">
        <is>
          <t>1510</t>
        </is>
      </c>
      <c r="F10" t="inlineStr">
        <is>
          <t>정용진</t>
        </is>
      </c>
      <c r="G10" t="inlineStr">
        <is>
          <t>1970-09-16</t>
        </is>
      </c>
      <c r="H10" t="inlineStr">
        <is>
          <t>19700916</t>
        </is>
      </c>
      <c r="I10" t="inlineStr">
        <is>
          <t>1</t>
        </is>
      </c>
      <c r="J10" t="inlineStr">
        <is>
          <t>광주</t>
        </is>
      </c>
      <c r="K10" t="inlineStr"/>
      <c r="L10" t="inlineStr">
        <is>
          <t>경기도 광주시 곤지암읍 독고개길86번길 38</t>
        </is>
      </c>
      <c r="M10" t="inlineStr">
        <is>
          <t>, 42 일부(보관소)</t>
        </is>
      </c>
      <c r="N10" t="inlineStr">
        <is>
          <t>경기도 광주시 곤지암읍 독고개길86번길 38 , 42 일부(보관소)</t>
        </is>
      </c>
      <c r="O10" t="inlineStr">
        <is>
          <t>경기도</t>
        </is>
      </c>
      <c r="P10" t="inlineStr">
        <is>
          <t>광주시</t>
        </is>
      </c>
      <c r="Q10" t="inlineStr">
        <is>
          <t>N</t>
        </is>
      </c>
      <c r="R10" t="n">
        <v>0</v>
      </c>
    </row>
    <row r="11">
      <c r="A11" t="n">
        <v>10</v>
      </c>
      <c r="B11" t="inlineStr">
        <is>
          <t>동방에프티엘(주)</t>
        </is>
      </c>
      <c r="C11" t="inlineStr">
        <is>
          <t>동방에프티엘</t>
        </is>
      </c>
      <c r="D11" t="inlineStr">
        <is>
          <t>의약품</t>
        </is>
      </c>
      <c r="E11" t="inlineStr">
        <is>
          <t>1731</t>
        </is>
      </c>
      <c r="F11" t="inlineStr">
        <is>
          <t>정헌석</t>
        </is>
      </c>
      <c r="G11" t="inlineStr">
        <is>
          <t>1991-08-05</t>
        </is>
      </c>
      <c r="H11" t="inlineStr">
        <is>
          <t>19910805</t>
        </is>
      </c>
      <c r="I11" t="inlineStr">
        <is>
          <t>3</t>
        </is>
      </c>
      <c r="J11" t="inlineStr">
        <is>
          <t>3공장</t>
        </is>
      </c>
      <c r="K11" t="inlineStr">
        <is>
          <t>027417517</t>
        </is>
      </c>
      <c r="L11" t="inlineStr">
        <is>
          <t>경기도 화성시 만세구 향남읍 제약공단4길 74</t>
        </is>
      </c>
      <c r="M11" t="inlineStr"/>
      <c r="N11" t="inlineStr">
        <is>
          <t>경기도 화성시 만세구 향남읍 제약공단4길 74</t>
        </is>
      </c>
      <c r="O11" t="inlineStr">
        <is>
          <t>경기도</t>
        </is>
      </c>
      <c r="P11" t="inlineStr">
        <is>
          <t>화성시</t>
        </is>
      </c>
      <c r="Q11" t="inlineStr">
        <is>
          <t>Y</t>
        </is>
      </c>
      <c r="R11" t="n">
        <v>4</v>
      </c>
    </row>
    <row r="12">
      <c r="A12" t="n">
        <v>11</v>
      </c>
      <c r="B12" t="inlineStr">
        <is>
          <t>(주)서울제약</t>
        </is>
      </c>
      <c r="C12" t="inlineStr">
        <is>
          <t>서울제약</t>
        </is>
      </c>
      <c r="D12" t="inlineStr">
        <is>
          <t>의약품</t>
        </is>
      </c>
      <c r="E12" t="inlineStr">
        <is>
          <t>1495</t>
        </is>
      </c>
      <c r="F12" t="inlineStr">
        <is>
          <t>신봉환</t>
        </is>
      </c>
      <c r="G12" t="inlineStr">
        <is>
          <t>1968-07-15</t>
        </is>
      </c>
      <c r="H12" t="inlineStr">
        <is>
          <t>19680715</t>
        </is>
      </c>
      <c r="I12" t="inlineStr">
        <is>
          <t>1</t>
        </is>
      </c>
      <c r="J12" t="inlineStr">
        <is>
          <t>시흥</t>
        </is>
      </c>
      <c r="K12" t="inlineStr">
        <is>
          <t>031-431-1931</t>
        </is>
      </c>
      <c r="L12" t="inlineStr">
        <is>
          <t>경기도 시흥시 경제로 59</t>
        </is>
      </c>
      <c r="M12" t="inlineStr"/>
      <c r="N12" t="inlineStr">
        <is>
          <t>경기도 시흥시 경제로 59</t>
        </is>
      </c>
      <c r="O12" t="inlineStr">
        <is>
          <t>경기도</t>
        </is>
      </c>
      <c r="P12" t="inlineStr">
        <is>
          <t>시흥시</t>
        </is>
      </c>
      <c r="Q12" t="inlineStr">
        <is>
          <t>N</t>
        </is>
      </c>
      <c r="R12" t="n">
        <v>0</v>
      </c>
    </row>
    <row r="13">
      <c r="A13" t="n">
        <v>12</v>
      </c>
      <c r="B13" t="inlineStr">
        <is>
          <t>(주)삼양사</t>
        </is>
      </c>
      <c r="C13" t="inlineStr">
        <is>
          <t>삼양사</t>
        </is>
      </c>
      <c r="D13" t="inlineStr">
        <is>
          <t>의약품</t>
        </is>
      </c>
      <c r="E13" t="inlineStr">
        <is>
          <t>1723</t>
        </is>
      </c>
      <c r="F13" t="inlineStr">
        <is>
          <t>이운익</t>
        </is>
      </c>
      <c r="G13" t="inlineStr">
        <is>
          <t>1990-05-09</t>
        </is>
      </c>
      <c r="H13" t="inlineStr">
        <is>
          <t>19900509</t>
        </is>
      </c>
      <c r="I13" t="inlineStr">
        <is>
          <t>1</t>
        </is>
      </c>
      <c r="J13" t="inlineStr">
        <is>
          <t>제1공장</t>
        </is>
      </c>
      <c r="K13" t="inlineStr">
        <is>
          <t>052-279-4614</t>
        </is>
      </c>
      <c r="L13" t="inlineStr">
        <is>
          <t>울산광역시 남구 장생포로 285</t>
        </is>
      </c>
      <c r="M13" t="inlineStr">
        <is>
          <t>.</t>
        </is>
      </c>
      <c r="N13" t="inlineStr">
        <is>
          <t>울산광역시 남구 장생포로 285 .</t>
        </is>
      </c>
      <c r="O13" t="inlineStr">
        <is>
          <t>울산광역시</t>
        </is>
      </c>
      <c r="P13" t="inlineStr">
        <is>
          <t>남구</t>
        </is>
      </c>
      <c r="Q13" t="inlineStr">
        <is>
          <t>N</t>
        </is>
      </c>
      <c r="R13" t="n">
        <v>0</v>
      </c>
    </row>
    <row r="14">
      <c r="A14" t="n">
        <v>13</v>
      </c>
      <c r="B14" t="inlineStr">
        <is>
          <t>(주)에스디</t>
        </is>
      </c>
      <c r="C14" t="inlineStr">
        <is>
          <t>에스디</t>
        </is>
      </c>
      <c r="D14" t="inlineStr">
        <is>
          <t>의약품</t>
        </is>
      </c>
      <c r="E14" t="inlineStr">
        <is>
          <t>2134</t>
        </is>
      </c>
      <c r="F14" t="inlineStr">
        <is>
          <t>조병기</t>
        </is>
      </c>
      <c r="G14" t="inlineStr">
        <is>
          <t>2000-06-28</t>
        </is>
      </c>
      <c r="H14" t="inlineStr">
        <is>
          <t>20000628</t>
        </is>
      </c>
      <c r="I14" t="inlineStr">
        <is>
          <t>10</t>
        </is>
      </c>
      <c r="J14" t="inlineStr">
        <is>
          <t>제5보관소</t>
        </is>
      </c>
      <c r="K14" t="inlineStr">
        <is>
          <t>031-899-2912</t>
        </is>
      </c>
      <c r="L14" t="inlineStr">
        <is>
          <t>경기도 용인시 기흥구 하갈로15번길 62</t>
        </is>
      </c>
      <c r="M14" t="inlineStr">
        <is>
          <t>(공세동) 에프티에이빌딩 2층</t>
        </is>
      </c>
      <c r="N14" t="inlineStr">
        <is>
          <t>경기도 용인시 기흥구 하갈로15번길 62 (공세동) 에프티에이빌딩 2층</t>
        </is>
      </c>
      <c r="O14" t="inlineStr">
        <is>
          <t>경기도</t>
        </is>
      </c>
      <c r="P14" t="inlineStr">
        <is>
          <t>용인시</t>
        </is>
      </c>
      <c r="Q14" t="inlineStr">
        <is>
          <t>N</t>
        </is>
      </c>
      <c r="R14" t="n">
        <v>0</v>
      </c>
    </row>
    <row r="15">
      <c r="A15" t="n">
        <v>14</v>
      </c>
      <c r="B15" t="inlineStr">
        <is>
          <t>(주)팜젠사이언스</t>
        </is>
      </c>
      <c r="C15" t="inlineStr">
        <is>
          <t>팜젠사이언스</t>
        </is>
      </c>
      <c r="D15" t="inlineStr">
        <is>
          <t>의약품</t>
        </is>
      </c>
      <c r="E15" t="inlineStr">
        <is>
          <t>1487</t>
        </is>
      </c>
      <c r="F15" t="inlineStr">
        <is>
          <t>박희덕</t>
        </is>
      </c>
      <c r="G15" t="inlineStr">
        <is>
          <t>1967-08-26</t>
        </is>
      </c>
      <c r="H15" t="inlineStr">
        <is>
          <t>19670826</t>
        </is>
      </c>
      <c r="I15" t="inlineStr">
        <is>
          <t>2</t>
        </is>
      </c>
      <c r="J15" t="inlineStr">
        <is>
          <t>화성(보관소)</t>
        </is>
      </c>
      <c r="K15" t="inlineStr"/>
      <c r="L15" t="inlineStr">
        <is>
          <t>경기도 화성시 향남읍 발안공단로 283</t>
        </is>
      </c>
      <c r="M15" t="inlineStr">
        <is>
          <t>1동, 2동(일부)(보관소)</t>
        </is>
      </c>
      <c r="N15" t="inlineStr">
        <is>
          <t>경기도 화성시 향남읍 발안공단로 283 1동, 2동(일부)(보관소)</t>
        </is>
      </c>
      <c r="O15" t="inlineStr">
        <is>
          <t>경기도</t>
        </is>
      </c>
      <c r="P15" t="inlineStr">
        <is>
          <t>화성시</t>
        </is>
      </c>
      <c r="Q15" t="inlineStr">
        <is>
          <t>N</t>
        </is>
      </c>
      <c r="R15" t="n">
        <v>0</v>
      </c>
    </row>
    <row r="16">
      <c r="A16" t="n">
        <v>15</v>
      </c>
      <c r="B16" t="inlineStr">
        <is>
          <t>단일시스켐(주)</t>
        </is>
      </c>
      <c r="C16" t="inlineStr">
        <is>
          <t>단일시스켐</t>
        </is>
      </c>
      <c r="D16" t="inlineStr">
        <is>
          <t>의약품</t>
        </is>
      </c>
      <c r="E16" t="inlineStr">
        <is>
          <t>1686</t>
        </is>
      </c>
      <c r="F16" t="inlineStr">
        <is>
          <t>장세훈</t>
        </is>
      </c>
      <c r="G16" t="inlineStr">
        <is>
          <t>1987-11-30</t>
        </is>
      </c>
      <c r="H16" t="inlineStr">
        <is>
          <t>19871130</t>
        </is>
      </c>
      <c r="I16" t="inlineStr">
        <is>
          <t>2</t>
        </is>
      </c>
      <c r="J16" t="inlineStr">
        <is>
          <t>김포 분공장</t>
        </is>
      </c>
      <c r="K16" t="inlineStr">
        <is>
          <t>031-981-5544</t>
        </is>
      </c>
      <c r="L16" t="inlineStr">
        <is>
          <t>경기도 김포시 양촌읍 황금로24번길 76</t>
        </is>
      </c>
      <c r="M16" t="inlineStr"/>
      <c r="N16" t="inlineStr">
        <is>
          <t>경기도 김포시 양촌읍 황금로24번길 76</t>
        </is>
      </c>
      <c r="O16" t="inlineStr">
        <is>
          <t>경기도</t>
        </is>
      </c>
      <c r="P16" t="inlineStr">
        <is>
          <t>김포시</t>
        </is>
      </c>
      <c r="Q16" t="inlineStr">
        <is>
          <t>N</t>
        </is>
      </c>
      <c r="R16" t="n">
        <v>0</v>
      </c>
    </row>
    <row r="17">
      <c r="A17" t="n">
        <v>16</v>
      </c>
      <c r="B17" t="inlineStr">
        <is>
          <t>(주)삼오제약</t>
        </is>
      </c>
      <c r="C17" t="inlineStr">
        <is>
          <t>삼오제약</t>
        </is>
      </c>
      <c r="D17" t="inlineStr">
        <is>
          <t>의약품</t>
        </is>
      </c>
      <c r="E17" t="inlineStr">
        <is>
          <t>2105</t>
        </is>
      </c>
      <c r="F17" t="inlineStr">
        <is>
          <t>오장석</t>
        </is>
      </c>
      <c r="G17" t="inlineStr">
        <is>
          <t>2000-01-06</t>
        </is>
      </c>
      <c r="H17" t="inlineStr">
        <is>
          <t>20000106</t>
        </is>
      </c>
      <c r="I17" t="inlineStr">
        <is>
          <t>2</t>
        </is>
      </c>
      <c r="J17" t="inlineStr">
        <is>
          <t>소분</t>
        </is>
      </c>
      <c r="K17" t="inlineStr">
        <is>
          <t>031-498-0355</t>
        </is>
      </c>
      <c r="L17" t="inlineStr"/>
      <c r="M17" t="inlineStr">
        <is>
          <t>경기도 시흥시 옥구천서로81번길 63, (시화공단 1마 705호) (정왕동)</t>
        </is>
      </c>
      <c r="N17" t="inlineStr">
        <is>
          <t>경기도 시흥시 옥구천서로81번길 63, (시화공단 1마 705호) (정왕동)</t>
        </is>
      </c>
      <c r="O17" t="inlineStr">
        <is>
          <t>경기도</t>
        </is>
      </c>
      <c r="P17" t="inlineStr">
        <is>
          <t>시흥시</t>
        </is>
      </c>
      <c r="Q17" t="inlineStr">
        <is>
          <t>Y</t>
        </is>
      </c>
      <c r="R17" t="n">
        <v>5</v>
      </c>
    </row>
    <row r="18">
      <c r="A18" t="n">
        <v>17</v>
      </c>
      <c r="B18" t="inlineStr">
        <is>
          <t>(주)태준제약</t>
        </is>
      </c>
      <c r="C18" t="inlineStr">
        <is>
          <t>태준제약</t>
        </is>
      </c>
      <c r="D18" t="inlineStr">
        <is>
          <t>의약품</t>
        </is>
      </c>
      <c r="E18" t="inlineStr">
        <is>
          <t>1458</t>
        </is>
      </c>
      <c r="F18" t="inlineStr">
        <is>
          <t>이태영</t>
        </is>
      </c>
      <c r="G18" t="inlineStr">
        <is>
          <t>1965-01-27</t>
        </is>
      </c>
      <c r="H18" t="inlineStr">
        <is>
          <t>19650127</t>
        </is>
      </c>
      <c r="I18" t="inlineStr">
        <is>
          <t>1</t>
        </is>
      </c>
      <c r="J18" t="inlineStr">
        <is>
          <t>용인</t>
        </is>
      </c>
      <c r="K18" t="inlineStr"/>
      <c r="L18" t="inlineStr">
        <is>
          <t>경기도 용인시 처인구 남사읍 경기동로 109-30</t>
        </is>
      </c>
      <c r="M18" t="inlineStr"/>
      <c r="N18" t="inlineStr">
        <is>
          <t>경기도 용인시 처인구 남사읍 경기동로 109-30</t>
        </is>
      </c>
      <c r="O18" t="inlineStr">
        <is>
          <t>경기도</t>
        </is>
      </c>
      <c r="P18" t="inlineStr">
        <is>
          <t>용인시</t>
        </is>
      </c>
      <c r="Q18" t="inlineStr">
        <is>
          <t>N</t>
        </is>
      </c>
      <c r="R18" t="n">
        <v>0</v>
      </c>
    </row>
    <row r="19">
      <c r="A19" t="n">
        <v>18</v>
      </c>
      <c r="B19" t="inlineStr">
        <is>
          <t>농업회사법인 주식회사 남영제약</t>
        </is>
      </c>
      <c r="C19" t="inlineStr">
        <is>
          <t>농업회사법인 남영제약</t>
        </is>
      </c>
      <c r="D19" t="inlineStr">
        <is>
          <t>의약품</t>
        </is>
      </c>
      <c r="E19" t="inlineStr">
        <is>
          <t>2084</t>
        </is>
      </c>
      <c r="F19" t="inlineStr">
        <is>
          <t>전순애</t>
        </is>
      </c>
      <c r="G19" t="inlineStr">
        <is>
          <t>1999-10-30</t>
        </is>
      </c>
      <c r="H19" t="inlineStr">
        <is>
          <t>19991030</t>
        </is>
      </c>
      <c r="I19" t="inlineStr">
        <is>
          <t>1</t>
        </is>
      </c>
      <c r="J19" t="inlineStr">
        <is>
          <t>무주</t>
        </is>
      </c>
      <c r="K19" t="inlineStr">
        <is>
          <t>063-322-4985</t>
        </is>
      </c>
      <c r="L19" t="inlineStr">
        <is>
          <t>전북특별자치도 무주군 무주읍 무금로 93</t>
        </is>
      </c>
      <c r="M19" t="inlineStr"/>
      <c r="N19" t="inlineStr">
        <is>
          <t>전북특별자치도 무주군 무주읍 무금로 93</t>
        </is>
      </c>
      <c r="O19" t="inlineStr">
        <is>
          <t>전북특별자치도</t>
        </is>
      </c>
      <c r="P19" t="inlineStr">
        <is>
          <t>무주군</t>
        </is>
      </c>
      <c r="Q19" t="inlineStr">
        <is>
          <t>N</t>
        </is>
      </c>
      <c r="R19" t="n">
        <v>0</v>
      </c>
    </row>
    <row r="20">
      <c r="A20" t="n">
        <v>19</v>
      </c>
      <c r="B20" t="inlineStr">
        <is>
          <t>경방신약(주)</t>
        </is>
      </c>
      <c r="C20" t="inlineStr">
        <is>
          <t>경방신약</t>
        </is>
      </c>
      <c r="D20" t="inlineStr">
        <is>
          <t>의약품</t>
        </is>
      </c>
      <c r="E20" t="inlineStr">
        <is>
          <t>2101</t>
        </is>
      </c>
      <c r="F20" t="inlineStr">
        <is>
          <t>김충환</t>
        </is>
      </c>
      <c r="G20" t="inlineStr">
        <is>
          <t>1999-12-22</t>
        </is>
      </c>
      <c r="H20" t="inlineStr">
        <is>
          <t>19991222</t>
        </is>
      </c>
      <c r="I20" t="inlineStr">
        <is>
          <t>5</t>
        </is>
      </c>
      <c r="J20" t="inlineStr"/>
      <c r="K20" t="inlineStr"/>
      <c r="L20" t="inlineStr">
        <is>
          <t>충청남도 금산군 제원면 인삼로 399</t>
        </is>
      </c>
      <c r="M20" t="inlineStr">
        <is>
          <t>2층 일부(보관소)</t>
        </is>
      </c>
      <c r="N20" t="inlineStr">
        <is>
          <t>충청남도 금산군 제원면 인삼로 399 2층 일부(보관소)</t>
        </is>
      </c>
      <c r="O20" t="inlineStr">
        <is>
          <t>충청남도</t>
        </is>
      </c>
      <c r="P20" t="inlineStr">
        <is>
          <t>금산군</t>
        </is>
      </c>
      <c r="Q20" t="inlineStr">
        <is>
          <t>N</t>
        </is>
      </c>
      <c r="R20" t="n">
        <v>0</v>
      </c>
    </row>
    <row r="21">
      <c r="A21" t="n">
        <v>20</v>
      </c>
      <c r="B21" t="inlineStr">
        <is>
          <t>에어코리아(주)</t>
        </is>
      </c>
      <c r="C21" t="inlineStr">
        <is>
          <t>에어코리아</t>
        </is>
      </c>
      <c r="D21" t="inlineStr">
        <is>
          <t>의약품</t>
        </is>
      </c>
      <c r="E21" t="inlineStr">
        <is>
          <t>340</t>
        </is>
      </c>
      <c r="F21" t="inlineStr">
        <is>
          <t>김광섭</t>
        </is>
      </c>
      <c r="G21" t="inlineStr">
        <is>
          <t>2011-10-10</t>
        </is>
      </c>
      <c r="H21" t="inlineStr">
        <is>
          <t>20111010</t>
        </is>
      </c>
      <c r="I21" t="inlineStr">
        <is>
          <t>1</t>
        </is>
      </c>
      <c r="J21" t="inlineStr">
        <is>
          <t>에어코리아(주)</t>
        </is>
      </c>
      <c r="K21" t="inlineStr"/>
      <c r="L21" t="inlineStr">
        <is>
          <t>경기도 여주시 주내로 799-16</t>
        </is>
      </c>
      <c r="M21" t="inlineStr">
        <is>
          <t>799-8(1층)(시험실)</t>
        </is>
      </c>
      <c r="N21" t="inlineStr">
        <is>
          <t>경기도 여주시 주내로 799-16 799-8(1층)(시험실)</t>
        </is>
      </c>
      <c r="O21" t="inlineStr">
        <is>
          <t>경기도</t>
        </is>
      </c>
      <c r="P21" t="inlineStr">
        <is>
          <t>여주시</t>
        </is>
      </c>
      <c r="Q21" t="inlineStr">
        <is>
          <t>N</t>
        </is>
      </c>
      <c r="R21" t="n">
        <v>0</v>
      </c>
    </row>
    <row r="22">
      <c r="A22" t="n">
        <v>21</v>
      </c>
      <c r="B22" t="inlineStr">
        <is>
          <t>디아이지에어가스(주)</t>
        </is>
      </c>
      <c r="C22" t="inlineStr">
        <is>
          <t>디아이지에어가스</t>
        </is>
      </c>
      <c r="D22" t="inlineStr">
        <is>
          <t>의약품</t>
        </is>
      </c>
      <c r="E22" t="inlineStr">
        <is>
          <t>1603</t>
        </is>
      </c>
      <c r="F22" t="inlineStr">
        <is>
          <t>오규석</t>
        </is>
      </c>
      <c r="G22" t="inlineStr">
        <is>
          <t>1981-02-06</t>
        </is>
      </c>
      <c r="H22" t="inlineStr">
        <is>
          <t>19810206</t>
        </is>
      </c>
      <c r="I22" t="inlineStr">
        <is>
          <t>1</t>
        </is>
      </c>
      <c r="J22" t="inlineStr">
        <is>
          <t>반월공장</t>
        </is>
      </c>
      <c r="K22" t="inlineStr"/>
      <c r="L22" t="inlineStr">
        <is>
          <t>경기도 안산시 단원구 산단로 128</t>
        </is>
      </c>
      <c r="M22" t="inlineStr"/>
      <c r="N22" t="inlineStr">
        <is>
          <t>경기도 안산시 단원구 산단로 128</t>
        </is>
      </c>
      <c r="O22" t="inlineStr">
        <is>
          <t>경기도</t>
        </is>
      </c>
      <c r="P22" t="inlineStr">
        <is>
          <t>안산시</t>
        </is>
      </c>
      <c r="Q22" t="inlineStr">
        <is>
          <t>N</t>
        </is>
      </c>
      <c r="R22" t="n">
        <v>0</v>
      </c>
    </row>
    <row r="23">
      <c r="A23" t="n">
        <v>22</v>
      </c>
      <c r="B23" t="inlineStr">
        <is>
          <t>에스케이바이오텍(주)</t>
        </is>
      </c>
      <c r="C23" t="inlineStr">
        <is>
          <t>에스케이바이오텍</t>
        </is>
      </c>
      <c r="D23" t="inlineStr">
        <is>
          <t>의약품</t>
        </is>
      </c>
      <c r="E23" t="inlineStr">
        <is>
          <t>940</t>
        </is>
      </c>
      <c r="F23" t="inlineStr">
        <is>
          <t>박용우</t>
        </is>
      </c>
      <c r="G23" t="inlineStr">
        <is>
          <t>2011-01-10</t>
        </is>
      </c>
      <c r="H23" t="inlineStr">
        <is>
          <t>20110110</t>
        </is>
      </c>
      <c r="I23" t="inlineStr">
        <is>
          <t>1</t>
        </is>
      </c>
      <c r="J23" t="inlineStr">
        <is>
          <t>대전1공장</t>
        </is>
      </c>
      <c r="K23" t="inlineStr">
        <is>
          <t>(042)866-7421</t>
        </is>
      </c>
      <c r="L23" t="inlineStr">
        <is>
          <t>대전광역시 유성구 엑스포로 325</t>
        </is>
      </c>
      <c r="M23" t="inlineStr">
        <is>
          <t>S17, S18, S19, S20, S21, S22동</t>
        </is>
      </c>
      <c r="N23" t="inlineStr">
        <is>
          <t>대전광역시 유성구 엑스포로 325 S17, S18, S19, S20, S21, S22동</t>
        </is>
      </c>
      <c r="O23" t="inlineStr">
        <is>
          <t>대전광역시</t>
        </is>
      </c>
      <c r="P23" t="inlineStr">
        <is>
          <t>유성구</t>
        </is>
      </c>
      <c r="Q23" t="inlineStr">
        <is>
          <t>N</t>
        </is>
      </c>
      <c r="R23" t="n">
        <v>0</v>
      </c>
    </row>
    <row r="24">
      <c r="A24" t="n">
        <v>23</v>
      </c>
      <c r="B24" t="inlineStr">
        <is>
          <t>(주)엘지화학</t>
        </is>
      </c>
      <c r="C24" t="inlineStr">
        <is>
          <t>엘지화학</t>
        </is>
      </c>
      <c r="D24" t="inlineStr">
        <is>
          <t>의약품</t>
        </is>
      </c>
      <c r="E24" t="inlineStr">
        <is>
          <t>1543</t>
        </is>
      </c>
      <c r="F24" t="inlineStr">
        <is>
          <t>김동춘</t>
        </is>
      </c>
      <c r="G24" t="inlineStr">
        <is>
          <t>1972-01-24</t>
        </is>
      </c>
      <c r="H24" t="inlineStr">
        <is>
          <t>19720124</t>
        </is>
      </c>
      <c r="I24" t="inlineStr">
        <is>
          <t>4</t>
        </is>
      </c>
      <c r="J24" t="inlineStr">
        <is>
          <t>울산공장</t>
        </is>
      </c>
      <c r="K24" t="inlineStr">
        <is>
          <t>052-231-5268</t>
        </is>
      </c>
      <c r="L24" t="inlineStr">
        <is>
          <t>울산광역시 울주군 온산읍 이진로 19</t>
        </is>
      </c>
      <c r="M24" t="inlineStr"/>
      <c r="N24" t="inlineStr">
        <is>
          <t>울산광역시 울주군 온산읍 이진로 19</t>
        </is>
      </c>
      <c r="O24" t="inlineStr">
        <is>
          <t>울산광역시</t>
        </is>
      </c>
      <c r="P24" t="inlineStr">
        <is>
          <t>울주군</t>
        </is>
      </c>
      <c r="Q24" t="inlineStr">
        <is>
          <t>N</t>
        </is>
      </c>
      <c r="R24" t="n">
        <v>0</v>
      </c>
    </row>
    <row r="25">
      <c r="A25" t="n">
        <v>24</v>
      </c>
      <c r="B25" t="inlineStr">
        <is>
          <t>삼아제약(주)</t>
        </is>
      </c>
      <c r="C25" t="inlineStr">
        <is>
          <t>삼아제약</t>
        </is>
      </c>
      <c r="D25" t="inlineStr">
        <is>
          <t>의약품</t>
        </is>
      </c>
      <c r="E25" t="inlineStr">
        <is>
          <t>1393</t>
        </is>
      </c>
      <c r="F25" t="inlineStr">
        <is>
          <t>허준</t>
        </is>
      </c>
      <c r="G25" t="inlineStr">
        <is>
          <t>1960-07-25</t>
        </is>
      </c>
      <c r="H25" t="inlineStr">
        <is>
          <t>19600725</t>
        </is>
      </c>
      <c r="I25" t="inlineStr">
        <is>
          <t>1</t>
        </is>
      </c>
      <c r="J25" t="inlineStr">
        <is>
          <t>의왕</t>
        </is>
      </c>
      <c r="K25" t="inlineStr">
        <is>
          <t>2056-7200</t>
        </is>
      </c>
      <c r="L25" t="inlineStr"/>
      <c r="M25" t="inlineStr">
        <is>
          <t>경기 의왕시 오전동265</t>
        </is>
      </c>
      <c r="N25" t="inlineStr">
        <is>
          <t>경기 의왕시 오전동265</t>
        </is>
      </c>
      <c r="O25" t="inlineStr">
        <is>
          <t>경기</t>
        </is>
      </c>
      <c r="P25" t="inlineStr">
        <is>
          <t>의왕시</t>
        </is>
      </c>
      <c r="Q25" t="inlineStr">
        <is>
          <t>N</t>
        </is>
      </c>
      <c r="R25" t="n">
        <v>0</v>
      </c>
    </row>
    <row r="26">
      <c r="A26" t="n">
        <v>25</v>
      </c>
      <c r="B26" t="inlineStr">
        <is>
          <t>(주)바이오닷</t>
        </is>
      </c>
      <c r="C26" t="inlineStr">
        <is>
          <t>바이오닷</t>
        </is>
      </c>
      <c r="D26" t="inlineStr">
        <is>
          <t>의약품</t>
        </is>
      </c>
      <c r="E26" t="inlineStr">
        <is>
          <t>295</t>
        </is>
      </c>
      <c r="F26" t="inlineStr">
        <is>
          <t>한현진</t>
        </is>
      </c>
      <c r="G26" t="inlineStr">
        <is>
          <t>2010-02-02</t>
        </is>
      </c>
      <c r="H26" t="inlineStr">
        <is>
          <t>20100202</t>
        </is>
      </c>
      <c r="I26" t="inlineStr">
        <is>
          <t>1</t>
        </is>
      </c>
      <c r="J26" t="inlineStr">
        <is>
          <t>폐업</t>
        </is>
      </c>
      <c r="K26" t="inlineStr"/>
      <c r="L26" t="inlineStr">
        <is>
          <t>서울특별시 동대문구 약령중앙로 39</t>
        </is>
      </c>
      <c r="M26" t="inlineStr">
        <is>
          <t>(보관소) 서울특별시 동대문구 약령중앙로 41 지하</t>
        </is>
      </c>
      <c r="N26" t="inlineStr">
        <is>
          <t>서울특별시 동대문구 약령중앙로 39 (보관소) 서울특별시 동대문구 약령중앙로 41 지하</t>
        </is>
      </c>
      <c r="O26" t="inlineStr">
        <is>
          <t>서울특별시</t>
        </is>
      </c>
      <c r="P26" t="inlineStr">
        <is>
          <t>동대문구</t>
        </is>
      </c>
      <c r="Q26" t="inlineStr">
        <is>
          <t>N</t>
        </is>
      </c>
      <c r="R26" t="n">
        <v>0</v>
      </c>
    </row>
    <row r="27">
      <c r="A27" t="n">
        <v>26</v>
      </c>
      <c r="B27" t="inlineStr">
        <is>
          <t>덕산약품공업(주)</t>
        </is>
      </c>
      <c r="C27" t="inlineStr">
        <is>
          <t>덕산약품공업</t>
        </is>
      </c>
      <c r="D27" t="inlineStr">
        <is>
          <t>의약품</t>
        </is>
      </c>
      <c r="E27" t="inlineStr">
        <is>
          <t>1553</t>
        </is>
      </c>
      <c r="F27" t="inlineStr">
        <is>
          <t>고영채</t>
        </is>
      </c>
      <c r="G27" t="inlineStr">
        <is>
          <t>1972-11-27</t>
        </is>
      </c>
      <c r="H27" t="inlineStr">
        <is>
          <t>19721127</t>
        </is>
      </c>
      <c r="I27" t="inlineStr">
        <is>
          <t>3</t>
        </is>
      </c>
      <c r="J27" t="inlineStr">
        <is>
          <t>완제품보관소</t>
        </is>
      </c>
      <c r="K27" t="inlineStr"/>
      <c r="L27" t="inlineStr">
        <is>
          <t>충청북도 진천군 덕산면 산수산단1로 13-37</t>
        </is>
      </c>
      <c r="M27" t="inlineStr">
        <is>
          <t>주4동 일부, 부5동 일부</t>
        </is>
      </c>
      <c r="N27" t="inlineStr">
        <is>
          <t>충청북도 진천군 덕산면 산수산단1로 13-37 주4동 일부, 부5동 일부</t>
        </is>
      </c>
      <c r="O27" t="inlineStr">
        <is>
          <t>충청북도</t>
        </is>
      </c>
      <c r="P27" t="inlineStr">
        <is>
          <t>진천군</t>
        </is>
      </c>
      <c r="Q27" t="inlineStr">
        <is>
          <t>N</t>
        </is>
      </c>
      <c r="R27" t="n">
        <v>0</v>
      </c>
    </row>
    <row r="28">
      <c r="A28" t="n">
        <v>27</v>
      </c>
      <c r="B28" t="inlineStr">
        <is>
          <t>(주)셀릭스</t>
        </is>
      </c>
      <c r="C28" t="inlineStr">
        <is>
          <t>셀릭스</t>
        </is>
      </c>
      <c r="D28" t="inlineStr">
        <is>
          <t>의약품</t>
        </is>
      </c>
      <c r="E28" t="inlineStr">
        <is>
          <t>1365</t>
        </is>
      </c>
      <c r="F28" t="inlineStr">
        <is>
          <t>정문기</t>
        </is>
      </c>
      <c r="G28" t="inlineStr">
        <is>
          <t>1958-04-11</t>
        </is>
      </c>
      <c r="H28" t="inlineStr">
        <is>
          <t>19580411</t>
        </is>
      </c>
      <c r="I28" t="inlineStr">
        <is>
          <t>1</t>
        </is>
      </c>
      <c r="J28" t="inlineStr">
        <is>
          <t>익산</t>
        </is>
      </c>
      <c r="K28" t="inlineStr">
        <is>
          <t>876-7777</t>
        </is>
      </c>
      <c r="L28" t="inlineStr">
        <is>
          <t>전북특별자치도 익산시 석암로9길 117</t>
        </is>
      </c>
      <c r="M28" t="inlineStr"/>
      <c r="N28" t="inlineStr">
        <is>
          <t>전북특별자치도 익산시 석암로9길 117</t>
        </is>
      </c>
      <c r="O28" t="inlineStr">
        <is>
          <t>전북특별자치도</t>
        </is>
      </c>
      <c r="P28" t="inlineStr">
        <is>
          <t>익산시</t>
        </is>
      </c>
      <c r="Q28" t="inlineStr">
        <is>
          <t>N</t>
        </is>
      </c>
      <c r="R28" t="n">
        <v>0</v>
      </c>
    </row>
    <row r="29">
      <c r="A29" t="n">
        <v>28</v>
      </c>
      <c r="B29" t="inlineStr">
        <is>
          <t>(주)제이에스산업가스</t>
        </is>
      </c>
      <c r="C29" t="inlineStr">
        <is>
          <t>제이에스산업가스</t>
        </is>
      </c>
      <c r="D29" t="inlineStr">
        <is>
          <t>의약품</t>
        </is>
      </c>
      <c r="E29" t="inlineStr">
        <is>
          <t>6189</t>
        </is>
      </c>
      <c r="F29" t="inlineStr">
        <is>
          <t>노지형</t>
        </is>
      </c>
      <c r="G29" t="inlineStr">
        <is>
          <t>2025-07-02</t>
        </is>
      </c>
      <c r="H29" t="inlineStr">
        <is>
          <t>20250702</t>
        </is>
      </c>
      <c r="I29" t="inlineStr">
        <is>
          <t>1</t>
        </is>
      </c>
      <c r="J29" t="inlineStr">
        <is>
          <t>(주)제이에스산업가스</t>
        </is>
      </c>
      <c r="K29" t="inlineStr">
        <is>
          <t>055-338-0577</t>
        </is>
      </c>
      <c r="L29" t="inlineStr">
        <is>
          <t>경상남도 김해시 한림면 한림로515번길 105-14</t>
        </is>
      </c>
      <c r="M29" t="inlineStr"/>
      <c r="N29" t="inlineStr">
        <is>
          <t>경상남도 김해시 한림면 한림로515번길 105-14</t>
        </is>
      </c>
      <c r="O29" t="inlineStr">
        <is>
          <t>경상남도</t>
        </is>
      </c>
      <c r="P29" t="inlineStr">
        <is>
          <t>김해시</t>
        </is>
      </c>
      <c r="Q29" t="inlineStr">
        <is>
          <t>N</t>
        </is>
      </c>
      <c r="R29" t="n">
        <v>0</v>
      </c>
    </row>
    <row r="30">
      <c r="A30" t="n">
        <v>29</v>
      </c>
      <c r="B30" t="inlineStr">
        <is>
          <t>신송강무역</t>
        </is>
      </c>
      <c r="C30" t="inlineStr">
        <is>
          <t>신송강무역</t>
        </is>
      </c>
      <c r="D30" t="inlineStr">
        <is>
          <t>의약품</t>
        </is>
      </c>
      <c r="E30" t="inlineStr">
        <is>
          <t>272</t>
        </is>
      </c>
      <c r="F30" t="inlineStr">
        <is>
          <t>송백영</t>
        </is>
      </c>
      <c r="G30" t="inlineStr">
        <is>
          <t>2009-01-30</t>
        </is>
      </c>
      <c r="H30" t="inlineStr">
        <is>
          <t>20090130</t>
        </is>
      </c>
      <c r="I30" t="inlineStr">
        <is>
          <t>1</t>
        </is>
      </c>
      <c r="J30" t="inlineStr">
        <is>
          <t>제조소</t>
        </is>
      </c>
      <c r="K30" t="inlineStr">
        <is>
          <t>02-960-7452</t>
        </is>
      </c>
      <c r="L30" t="inlineStr">
        <is>
          <t>서울특별시 동대문구 약령중앙로 24-2</t>
        </is>
      </c>
      <c r="M30" t="inlineStr">
        <is>
          <t>, 201호, 301호</t>
        </is>
      </c>
      <c r="N30" t="inlineStr">
        <is>
          <t>서울특별시 동대문구 약령중앙로 24-2 , 201호, 301호</t>
        </is>
      </c>
      <c r="O30" t="inlineStr">
        <is>
          <t>서울특별시</t>
        </is>
      </c>
      <c r="P30" t="inlineStr">
        <is>
          <t>동대문구</t>
        </is>
      </c>
      <c r="Q30" t="inlineStr">
        <is>
          <t>N</t>
        </is>
      </c>
      <c r="R30" t="n">
        <v>0</v>
      </c>
    </row>
    <row r="31">
      <c r="A31" t="n">
        <v>30</v>
      </c>
      <c r="B31" t="inlineStr">
        <is>
          <t>(주)셀트리온제약</t>
        </is>
      </c>
      <c r="C31" t="inlineStr">
        <is>
          <t>셀트리온제약</t>
        </is>
      </c>
      <c r="D31" t="inlineStr">
        <is>
          <t>의약품</t>
        </is>
      </c>
      <c r="E31" t="inlineStr">
        <is>
          <t>1534</t>
        </is>
      </c>
      <c r="F31" t="inlineStr">
        <is>
          <t>유영호</t>
        </is>
      </c>
      <c r="G31" t="inlineStr">
        <is>
          <t>1971-10-16</t>
        </is>
      </c>
      <c r="H31" t="inlineStr">
        <is>
          <t>19711016</t>
        </is>
      </c>
      <c r="I31" t="inlineStr">
        <is>
          <t>1</t>
        </is>
      </c>
      <c r="J31" t="inlineStr">
        <is>
          <t>진천</t>
        </is>
      </c>
      <c r="K31" t="inlineStr">
        <is>
          <t>408-3611</t>
        </is>
      </c>
      <c r="L31" t="inlineStr">
        <is>
          <t>충청북도 진천군 이월면 반지길 47-17</t>
        </is>
      </c>
      <c r="M31" t="inlineStr"/>
      <c r="N31" t="inlineStr">
        <is>
          <t>충청북도 진천군 이월면 반지길 47-17</t>
        </is>
      </c>
      <c r="O31" t="inlineStr">
        <is>
          <t>충청북도</t>
        </is>
      </c>
      <c r="P31" t="inlineStr">
        <is>
          <t>진천군</t>
        </is>
      </c>
      <c r="Q31" t="inlineStr">
        <is>
          <t>N</t>
        </is>
      </c>
      <c r="R31" t="n">
        <v>0</v>
      </c>
    </row>
    <row r="32">
      <c r="A32" t="n">
        <v>31</v>
      </c>
      <c r="B32" t="inlineStr">
        <is>
          <t>알보젠코리아(주)</t>
        </is>
      </c>
      <c r="C32" t="inlineStr">
        <is>
          <t>알보젠코리아</t>
        </is>
      </c>
      <c r="D32" t="inlineStr">
        <is>
          <t>의약품</t>
        </is>
      </c>
      <c r="E32" t="inlineStr">
        <is>
          <t>1367</t>
        </is>
      </c>
      <c r="F32" t="inlineStr">
        <is>
          <t>임희균</t>
        </is>
      </c>
      <c r="G32" t="inlineStr">
        <is>
          <t>1958-05-01</t>
        </is>
      </c>
      <c r="H32" t="inlineStr">
        <is>
          <t>19580501</t>
        </is>
      </c>
      <c r="I32" t="inlineStr">
        <is>
          <t>3</t>
        </is>
      </c>
      <c r="J32" t="inlineStr">
        <is>
          <t>보관소1</t>
        </is>
      </c>
      <c r="K32" t="inlineStr"/>
      <c r="L32" t="inlineStr">
        <is>
          <t>경기도 이천시 마장면 프리미엄아울렛로 113-60</t>
        </is>
      </c>
      <c r="M32" t="inlineStr">
        <is>
          <t>B동 1층일부</t>
        </is>
      </c>
      <c r="N32" t="inlineStr">
        <is>
          <t>경기도 이천시 마장면 프리미엄아울렛로 113-60 B동 1층일부</t>
        </is>
      </c>
      <c r="O32" t="inlineStr">
        <is>
          <t>경기도</t>
        </is>
      </c>
      <c r="P32" t="inlineStr">
        <is>
          <t>이천시</t>
        </is>
      </c>
      <c r="Q32" t="inlineStr">
        <is>
          <t>N</t>
        </is>
      </c>
      <c r="R32" t="n">
        <v>0</v>
      </c>
    </row>
    <row r="33">
      <c r="A33" t="n">
        <v>32</v>
      </c>
      <c r="B33" t="inlineStr">
        <is>
          <t>에스케이케미칼(주)</t>
        </is>
      </c>
      <c r="C33" t="inlineStr">
        <is>
          <t>에스케이케미칼</t>
        </is>
      </c>
      <c r="D33" t="inlineStr">
        <is>
          <t>의약품</t>
        </is>
      </c>
      <c r="E33" t="inlineStr">
        <is>
          <t>1346</t>
        </is>
      </c>
      <c r="F33" t="inlineStr">
        <is>
          <t>안재현</t>
        </is>
      </c>
      <c r="G33" t="inlineStr">
        <is>
          <t>1957-06-17</t>
        </is>
      </c>
      <c r="H33" t="inlineStr">
        <is>
          <t>19570617</t>
        </is>
      </c>
      <c r="I33" t="inlineStr">
        <is>
          <t>1</t>
        </is>
      </c>
      <c r="J33" t="inlineStr">
        <is>
          <t>안산</t>
        </is>
      </c>
      <c r="K33" t="inlineStr">
        <is>
          <t>2008-2900</t>
        </is>
      </c>
      <c r="L33" t="inlineStr"/>
      <c r="M33" t="inlineStr">
        <is>
          <t>경기도 안산시 단원구 강촌로 228-16</t>
        </is>
      </c>
      <c r="N33" t="inlineStr">
        <is>
          <t>경기도 안산시 단원구 강촌로 228-16</t>
        </is>
      </c>
      <c r="O33" t="inlineStr">
        <is>
          <t>경기도</t>
        </is>
      </c>
      <c r="P33" t="inlineStr">
        <is>
          <t>안산시</t>
        </is>
      </c>
      <c r="Q33" t="inlineStr">
        <is>
          <t>N</t>
        </is>
      </c>
      <c r="R33" t="n">
        <v>0</v>
      </c>
    </row>
    <row r="34">
      <c r="A34" t="n">
        <v>33</v>
      </c>
      <c r="B34" t="inlineStr">
        <is>
          <t>(주)녹십자</t>
        </is>
      </c>
      <c r="C34" t="inlineStr">
        <is>
          <t>녹십자</t>
        </is>
      </c>
      <c r="D34" t="inlineStr">
        <is>
          <t>의약품</t>
        </is>
      </c>
      <c r="E34" t="inlineStr">
        <is>
          <t>1735</t>
        </is>
      </c>
      <c r="F34" t="inlineStr">
        <is>
          <t>허은철</t>
        </is>
      </c>
      <c r="G34" t="inlineStr">
        <is>
          <t>1991-01-18</t>
        </is>
      </c>
      <c r="H34" t="inlineStr">
        <is>
          <t>19910118</t>
        </is>
      </c>
      <c r="I34" t="inlineStr">
        <is>
          <t>10</t>
        </is>
      </c>
      <c r="J34" t="inlineStr">
        <is>
          <t>보관소</t>
        </is>
      </c>
      <c r="K34" t="inlineStr"/>
      <c r="L34" t="inlineStr">
        <is>
          <t>충청북도 청주시 흥덕구 옥산면 오송가락로 834</t>
        </is>
      </c>
      <c r="M34" t="inlineStr">
        <is>
          <t>(주)보람로지스틱스 청주냉장 내(보관소)</t>
        </is>
      </c>
      <c r="N34" t="inlineStr">
        <is>
          <t>충청북도 청주시 흥덕구 옥산면 오송가락로 834 (주)보람로지스틱스 청주냉장 내(보관소)</t>
        </is>
      </c>
      <c r="O34" t="inlineStr">
        <is>
          <t>충청북도</t>
        </is>
      </c>
      <c r="P34" t="inlineStr">
        <is>
          <t>청주시</t>
        </is>
      </c>
      <c r="Q34" t="inlineStr">
        <is>
          <t>N</t>
        </is>
      </c>
      <c r="R34" t="n">
        <v>0</v>
      </c>
    </row>
    <row r="35">
      <c r="A35" t="n">
        <v>34</v>
      </c>
      <c r="B35" t="inlineStr">
        <is>
          <t>한국유나이티드제약(주)</t>
        </is>
      </c>
      <c r="C35" t="inlineStr">
        <is>
          <t>한국유나이티드제약</t>
        </is>
      </c>
      <c r="D35" t="inlineStr">
        <is>
          <t>의약품</t>
        </is>
      </c>
      <c r="E35" t="inlineStr">
        <is>
          <t>1752</t>
        </is>
      </c>
      <c r="F35" t="inlineStr">
        <is>
          <t>강덕영</t>
        </is>
      </c>
      <c r="G35" t="inlineStr">
        <is>
          <t>1991-10-11</t>
        </is>
      </c>
      <c r="H35" t="inlineStr">
        <is>
          <t>19911011</t>
        </is>
      </c>
      <c r="I35" t="inlineStr">
        <is>
          <t>2</t>
        </is>
      </c>
      <c r="J35" t="inlineStr">
        <is>
          <t>부동리(원료제조)</t>
        </is>
      </c>
      <c r="K35" t="inlineStr">
        <is>
          <t>041-862-6856</t>
        </is>
      </c>
      <c r="L35" t="inlineStr">
        <is>
          <t>세종특별자치시 연서면 공단로 107</t>
        </is>
      </c>
      <c r="M35" t="inlineStr"/>
      <c r="N35" t="inlineStr">
        <is>
          <t>세종특별자치시 연서면 공단로 107</t>
        </is>
      </c>
      <c r="O35" t="inlineStr">
        <is>
          <t>세종특별자치시</t>
        </is>
      </c>
      <c r="P35" t="inlineStr"/>
      <c r="Q35" t="inlineStr">
        <is>
          <t>N</t>
        </is>
      </c>
      <c r="R35" t="n">
        <v>0</v>
      </c>
    </row>
    <row r="36">
      <c r="A36" t="n">
        <v>35</v>
      </c>
      <c r="B36" t="inlineStr">
        <is>
          <t>명인제약(주)</t>
        </is>
      </c>
      <c r="C36" t="inlineStr">
        <is>
          <t>명인제약</t>
        </is>
      </c>
      <c r="D36" t="inlineStr">
        <is>
          <t>의약품</t>
        </is>
      </c>
      <c r="E36" t="inlineStr">
        <is>
          <t>1504</t>
        </is>
      </c>
      <c r="F36" t="inlineStr">
        <is>
          <t>이관순</t>
        </is>
      </c>
      <c r="G36" t="inlineStr">
        <is>
          <t>1969-11-15</t>
        </is>
      </c>
      <c r="H36" t="inlineStr">
        <is>
          <t>19691115</t>
        </is>
      </c>
      <c r="I36" t="inlineStr">
        <is>
          <t>1</t>
        </is>
      </c>
      <c r="J36" t="inlineStr">
        <is>
          <t>제1공장</t>
        </is>
      </c>
      <c r="K36" t="inlineStr">
        <is>
          <t>02-587-9060</t>
        </is>
      </c>
      <c r="L36" t="inlineStr">
        <is>
          <t>경기도 화성시 만세구 팔탄면 노하길 361-12</t>
        </is>
      </c>
      <c r="M36" t="inlineStr"/>
      <c r="N36" t="inlineStr">
        <is>
          <t>경기도 화성시 만세구 팔탄면 노하길 361-12</t>
        </is>
      </c>
      <c r="O36" t="inlineStr">
        <is>
          <t>경기도</t>
        </is>
      </c>
      <c r="P36" t="inlineStr">
        <is>
          <t>화성시</t>
        </is>
      </c>
      <c r="Q36" t="inlineStr">
        <is>
          <t>Y</t>
        </is>
      </c>
      <c r="R36" t="n">
        <v>6</v>
      </c>
    </row>
    <row r="37">
      <c r="A37" t="n">
        <v>36</v>
      </c>
      <c r="B37" t="inlineStr">
        <is>
          <t>한국코러스(주)</t>
        </is>
      </c>
      <c r="C37" t="inlineStr">
        <is>
          <t>한국코러스</t>
        </is>
      </c>
      <c r="D37" t="inlineStr">
        <is>
          <t>의약품</t>
        </is>
      </c>
      <c r="E37" t="inlineStr">
        <is>
          <t>1728</t>
        </is>
      </c>
      <c r="F37" t="inlineStr">
        <is>
          <t>황재간</t>
        </is>
      </c>
      <c r="G37" t="inlineStr">
        <is>
          <t>1990-10-30</t>
        </is>
      </c>
      <c r="H37" t="inlineStr">
        <is>
          <t>19901030</t>
        </is>
      </c>
      <c r="I37" t="inlineStr">
        <is>
          <t>2</t>
        </is>
      </c>
      <c r="J37" t="inlineStr">
        <is>
          <t>음성</t>
        </is>
      </c>
      <c r="K37" t="inlineStr">
        <is>
          <t>043-532-0391</t>
        </is>
      </c>
      <c r="L37" t="inlineStr">
        <is>
          <t>충청북도 음성군 대소면 대풍산단로 78</t>
        </is>
      </c>
      <c r="M37" t="inlineStr">
        <is>
          <t>(주)한독약품 내 세팔로스포린동 2층 건물</t>
        </is>
      </c>
      <c r="N37" t="inlineStr">
        <is>
          <t>충청북도 음성군 대소면 대풍산단로 78 (주)한독약품 내 세팔로스포린동 2층 건물</t>
        </is>
      </c>
      <c r="O37" t="inlineStr">
        <is>
          <t>충청북도</t>
        </is>
      </c>
      <c r="P37" t="inlineStr">
        <is>
          <t>음성군</t>
        </is>
      </c>
      <c r="Q37" t="inlineStr">
        <is>
          <t>N</t>
        </is>
      </c>
      <c r="R37" t="n">
        <v>0</v>
      </c>
    </row>
    <row r="38">
      <c r="A38" t="n">
        <v>37</v>
      </c>
      <c r="B38" t="inlineStr">
        <is>
          <t>금오가스(주)</t>
        </is>
      </c>
      <c r="C38" t="inlineStr">
        <is>
          <t>금오가스</t>
        </is>
      </c>
      <c r="D38" t="inlineStr">
        <is>
          <t>의약품</t>
        </is>
      </c>
      <c r="E38" t="inlineStr">
        <is>
          <t>2145</t>
        </is>
      </c>
      <c r="F38" t="inlineStr">
        <is>
          <t>권혁구</t>
        </is>
      </c>
      <c r="G38" t="inlineStr">
        <is>
          <t>2000-11-17</t>
        </is>
      </c>
      <c r="H38" t="inlineStr">
        <is>
          <t>20001117</t>
        </is>
      </c>
      <c r="I38" t="inlineStr">
        <is>
          <t>1</t>
        </is>
      </c>
      <c r="J38" t="inlineStr">
        <is>
          <t>공장</t>
        </is>
      </c>
      <c r="K38" t="inlineStr">
        <is>
          <t>031-941-9353</t>
        </is>
      </c>
      <c r="L38" t="inlineStr">
        <is>
          <t>경기도 파주시 조리읍 명봉산로 155</t>
        </is>
      </c>
      <c r="M38" t="inlineStr"/>
      <c r="N38" t="inlineStr">
        <is>
          <t>경기도 파주시 조리읍 명봉산로 155</t>
        </is>
      </c>
      <c r="O38" t="inlineStr">
        <is>
          <t>경기도</t>
        </is>
      </c>
      <c r="P38" t="inlineStr">
        <is>
          <t>파주시</t>
        </is>
      </c>
      <c r="Q38" t="inlineStr">
        <is>
          <t>N</t>
        </is>
      </c>
      <c r="R38" t="n">
        <v>0</v>
      </c>
    </row>
    <row r="39">
      <c r="A39" t="n">
        <v>38</v>
      </c>
      <c r="B39" t="inlineStr">
        <is>
          <t>풍림무약(주)</t>
        </is>
      </c>
      <c r="C39" t="inlineStr">
        <is>
          <t>풍림무약</t>
        </is>
      </c>
      <c r="D39" t="inlineStr">
        <is>
          <t>의약품</t>
        </is>
      </c>
      <c r="E39" t="inlineStr">
        <is>
          <t>1480</t>
        </is>
      </c>
      <c r="F39" t="inlineStr">
        <is>
          <t>이정석</t>
        </is>
      </c>
      <c r="G39" t="inlineStr">
        <is>
          <t>1967-03-14</t>
        </is>
      </c>
      <c r="H39" t="inlineStr">
        <is>
          <t>19670314</t>
        </is>
      </c>
      <c r="I39" t="inlineStr">
        <is>
          <t>2</t>
        </is>
      </c>
      <c r="J39" t="inlineStr">
        <is>
          <t>평택(완제품 보관소)</t>
        </is>
      </c>
      <c r="K39" t="inlineStr"/>
      <c r="L39" t="inlineStr">
        <is>
          <t>경기도 평택시 청북면 청북중앙로 658-13</t>
        </is>
      </c>
      <c r="M39" t="inlineStr">
        <is>
          <t>C동, D동</t>
        </is>
      </c>
      <c r="N39" t="inlineStr">
        <is>
          <t>경기도 평택시 청북면 청북중앙로 658-13 C동, D동</t>
        </is>
      </c>
      <c r="O39" t="inlineStr">
        <is>
          <t>경기도</t>
        </is>
      </c>
      <c r="P39" t="inlineStr">
        <is>
          <t>평택시</t>
        </is>
      </c>
      <c r="Q39" t="inlineStr">
        <is>
          <t>N</t>
        </is>
      </c>
      <c r="R39" t="n">
        <v>0</v>
      </c>
    </row>
    <row r="40">
      <c r="A40" t="n">
        <v>39</v>
      </c>
      <c r="B40" t="inlineStr">
        <is>
          <t>(주)보령</t>
        </is>
      </c>
      <c r="C40" t="inlineStr">
        <is>
          <t>보령</t>
        </is>
      </c>
      <c r="D40" t="inlineStr">
        <is>
          <t>의약품</t>
        </is>
      </c>
      <c r="E40" t="inlineStr">
        <is>
          <t>1689</t>
        </is>
      </c>
      <c r="F40" t="inlineStr">
        <is>
          <t>김정균</t>
        </is>
      </c>
      <c r="G40" t="inlineStr">
        <is>
          <t>1988-05-09</t>
        </is>
      </c>
      <c r="H40" t="inlineStr">
        <is>
          <t>19880509</t>
        </is>
      </c>
      <c r="I40" t="inlineStr">
        <is>
          <t>1</t>
        </is>
      </c>
      <c r="J40" t="inlineStr">
        <is>
          <t>안산</t>
        </is>
      </c>
      <c r="K40" t="inlineStr">
        <is>
          <t>02-708-8016</t>
        </is>
      </c>
      <c r="L40" t="inlineStr">
        <is>
          <t>경기도 안산시 단원구 능안로 107</t>
        </is>
      </c>
      <c r="M40" t="inlineStr">
        <is>
          <t>,109</t>
        </is>
      </c>
      <c r="N40" t="inlineStr">
        <is>
          <t>경기도 안산시 단원구 능안로 107 ,109</t>
        </is>
      </c>
      <c r="O40" t="inlineStr">
        <is>
          <t>경기도</t>
        </is>
      </c>
      <c r="P40" t="inlineStr">
        <is>
          <t>안산시</t>
        </is>
      </c>
      <c r="Q40" t="inlineStr">
        <is>
          <t>N</t>
        </is>
      </c>
      <c r="R40" t="n">
        <v>0</v>
      </c>
    </row>
    <row r="41">
      <c r="A41" t="n">
        <v>40</v>
      </c>
      <c r="B41" t="inlineStr">
        <is>
          <t>(주)에스디</t>
        </is>
      </c>
      <c r="C41" t="inlineStr">
        <is>
          <t>에스디</t>
        </is>
      </c>
      <c r="D41" t="inlineStr">
        <is>
          <t>의약품</t>
        </is>
      </c>
      <c r="E41" t="inlineStr">
        <is>
          <t>2134</t>
        </is>
      </c>
      <c r="F41" t="inlineStr">
        <is>
          <t>조병기</t>
        </is>
      </c>
      <c r="G41" t="inlineStr">
        <is>
          <t>2000-06-28</t>
        </is>
      </c>
      <c r="H41" t="inlineStr">
        <is>
          <t>20000628</t>
        </is>
      </c>
      <c r="I41" t="inlineStr">
        <is>
          <t>2</t>
        </is>
      </c>
      <c r="J41" t="inlineStr">
        <is>
          <t>수원</t>
        </is>
      </c>
      <c r="K41" t="inlineStr"/>
      <c r="L41" t="inlineStr"/>
      <c r="M41" t="inlineStr">
        <is>
          <t>경기도 수원시 장안구 경수대로1043번길 7</t>
        </is>
      </c>
      <c r="N41" t="inlineStr">
        <is>
          <t>경기도 수원시 장안구 경수대로1043번길 7</t>
        </is>
      </c>
      <c r="O41" t="inlineStr">
        <is>
          <t>경기도</t>
        </is>
      </c>
      <c r="P41" t="inlineStr">
        <is>
          <t>수원시</t>
        </is>
      </c>
      <c r="Q41" t="inlineStr">
        <is>
          <t>N</t>
        </is>
      </c>
      <c r="R41" t="n">
        <v>0</v>
      </c>
    </row>
    <row r="42">
      <c r="A42" t="n">
        <v>41</v>
      </c>
      <c r="B42" t="inlineStr">
        <is>
          <t>명문제약(주)</t>
        </is>
      </c>
      <c r="C42" t="inlineStr">
        <is>
          <t>명문제약</t>
        </is>
      </c>
      <c r="D42" t="inlineStr">
        <is>
          <t>의약품</t>
        </is>
      </c>
      <c r="E42" t="inlineStr">
        <is>
          <t>1476</t>
        </is>
      </c>
      <c r="F42" t="inlineStr">
        <is>
          <t>배철한</t>
        </is>
      </c>
      <c r="G42" t="inlineStr">
        <is>
          <t>1966-04-23</t>
        </is>
      </c>
      <c r="H42" t="inlineStr">
        <is>
          <t>19660423</t>
        </is>
      </c>
      <c r="I42" t="inlineStr">
        <is>
          <t>1</t>
        </is>
      </c>
      <c r="J42" t="inlineStr">
        <is>
          <t>화성</t>
        </is>
      </c>
      <c r="K42" t="inlineStr"/>
      <c r="L42" t="inlineStr">
        <is>
          <t>경기도 화성시 만세구 향남읍 제약공단2길 26</t>
        </is>
      </c>
      <c r="M42" t="inlineStr"/>
      <c r="N42" t="inlineStr">
        <is>
          <t>경기도 화성시 만세구 향남읍 제약공단2길 26</t>
        </is>
      </c>
      <c r="O42" t="inlineStr">
        <is>
          <t>경기도</t>
        </is>
      </c>
      <c r="P42" t="inlineStr">
        <is>
          <t>화성시</t>
        </is>
      </c>
      <c r="Q42" t="inlineStr">
        <is>
          <t>N</t>
        </is>
      </c>
      <c r="R42" t="n">
        <v>0</v>
      </c>
    </row>
    <row r="43">
      <c r="A43" t="n">
        <v>42</v>
      </c>
      <c r="B43" t="inlineStr">
        <is>
          <t>(주)휴온스</t>
        </is>
      </c>
      <c r="C43" t="inlineStr">
        <is>
          <t>휴온스</t>
        </is>
      </c>
      <c r="D43" t="inlineStr">
        <is>
          <t>의약품</t>
        </is>
      </c>
      <c r="E43" t="inlineStr">
        <is>
          <t>1683</t>
        </is>
      </c>
      <c r="F43" t="inlineStr">
        <is>
          <t>송수영</t>
        </is>
      </c>
      <c r="G43" t="inlineStr">
        <is>
          <t>1987-10-24</t>
        </is>
      </c>
      <c r="H43" t="inlineStr">
        <is>
          <t>19871024</t>
        </is>
      </c>
      <c r="I43" t="inlineStr">
        <is>
          <t>1</t>
        </is>
      </c>
      <c r="J43" t="inlineStr">
        <is>
          <t>화성</t>
        </is>
      </c>
      <c r="K43" t="inlineStr"/>
      <c r="L43" t="inlineStr"/>
      <c r="M43" t="inlineStr">
        <is>
          <t>경기도 화성시 향남읍 칼바위길 52</t>
        </is>
      </c>
      <c r="N43" t="inlineStr">
        <is>
          <t>경기도 화성시 향남읍 칼바위길 52</t>
        </is>
      </c>
      <c r="O43" t="inlineStr">
        <is>
          <t>경기도</t>
        </is>
      </c>
      <c r="P43" t="inlineStr">
        <is>
          <t>화성시</t>
        </is>
      </c>
      <c r="Q43" t="inlineStr">
        <is>
          <t>N</t>
        </is>
      </c>
      <c r="R43" t="n">
        <v>0</v>
      </c>
    </row>
    <row r="44">
      <c r="A44" t="n">
        <v>43</v>
      </c>
      <c r="B44" t="inlineStr">
        <is>
          <t>에어프로덕츠코리아(주)</t>
        </is>
      </c>
      <c r="C44" t="inlineStr">
        <is>
          <t>에어프로덕츠코리아</t>
        </is>
      </c>
      <c r="D44" t="inlineStr">
        <is>
          <t>의약품</t>
        </is>
      </c>
      <c r="E44" t="inlineStr">
        <is>
          <t>2065</t>
        </is>
      </c>
      <c r="F44" t="inlineStr">
        <is>
          <t>김승록</t>
        </is>
      </c>
      <c r="G44" t="inlineStr">
        <is>
          <t>1999-07-27</t>
        </is>
      </c>
      <c r="H44" t="inlineStr">
        <is>
          <t>19990727</t>
        </is>
      </c>
      <c r="I44" t="inlineStr">
        <is>
          <t>3</t>
        </is>
      </c>
      <c r="J44" t="inlineStr">
        <is>
          <t>여수</t>
        </is>
      </c>
      <c r="K44" t="inlineStr">
        <is>
          <t>052-259-4010</t>
        </is>
      </c>
      <c r="L44" t="inlineStr">
        <is>
          <t>전라남도 여수시 율촌면 여순로 889</t>
        </is>
      </c>
      <c r="M44" t="inlineStr"/>
      <c r="N44" t="inlineStr">
        <is>
          <t>전라남도 여수시 율촌면 여순로 889</t>
        </is>
      </c>
      <c r="O44" t="inlineStr">
        <is>
          <t>전라남도</t>
        </is>
      </c>
      <c r="P44" t="inlineStr">
        <is>
          <t>여수시</t>
        </is>
      </c>
      <c r="Q44" t="inlineStr">
        <is>
          <t>N</t>
        </is>
      </c>
      <c r="R44" t="n">
        <v>0</v>
      </c>
    </row>
    <row r="45">
      <c r="A45" t="n">
        <v>44</v>
      </c>
      <c r="B45" t="inlineStr">
        <is>
          <t>원광제약(주)</t>
        </is>
      </c>
      <c r="C45" t="inlineStr">
        <is>
          <t>원광제약</t>
        </is>
      </c>
      <c r="D45" t="inlineStr">
        <is>
          <t>의약품</t>
        </is>
      </c>
      <c r="E45" t="inlineStr">
        <is>
          <t>1450</t>
        </is>
      </c>
      <c r="F45" t="inlineStr">
        <is>
          <t>최경수</t>
        </is>
      </c>
      <c r="G45" t="inlineStr">
        <is>
          <t>1964-10-30</t>
        </is>
      </c>
      <c r="H45" t="inlineStr">
        <is>
          <t>19641030</t>
        </is>
      </c>
      <c r="I45" t="inlineStr">
        <is>
          <t>2</t>
        </is>
      </c>
      <c r="J45" t="inlineStr">
        <is>
          <t>1공장(삼기)</t>
        </is>
      </c>
      <c r="K45" t="inlineStr"/>
      <c r="L45" t="inlineStr">
        <is>
          <t>전북특별자치도 익산시 삼기면 미륵사지로 795-20</t>
        </is>
      </c>
      <c r="M45" t="inlineStr"/>
      <c r="N45" t="inlineStr">
        <is>
          <t>전북특별자치도 익산시 삼기면 미륵사지로 795-20</t>
        </is>
      </c>
      <c r="O45" t="inlineStr">
        <is>
          <t>전북특별자치도</t>
        </is>
      </c>
      <c r="P45" t="inlineStr">
        <is>
          <t>익산시</t>
        </is>
      </c>
      <c r="Q45" t="inlineStr">
        <is>
          <t>N</t>
        </is>
      </c>
      <c r="R45" t="n">
        <v>0</v>
      </c>
    </row>
    <row r="46">
      <c r="A46" t="n">
        <v>45</v>
      </c>
      <c r="B46" t="inlineStr">
        <is>
          <t>경방신약(주)</t>
        </is>
      </c>
      <c r="C46" t="inlineStr">
        <is>
          <t>경방신약</t>
        </is>
      </c>
      <c r="D46" t="inlineStr">
        <is>
          <t>의약품</t>
        </is>
      </c>
      <c r="E46" t="inlineStr">
        <is>
          <t>2101</t>
        </is>
      </c>
      <c r="F46" t="inlineStr">
        <is>
          <t>김충환</t>
        </is>
      </c>
      <c r="G46" t="inlineStr">
        <is>
          <t>1999-12-22</t>
        </is>
      </c>
      <c r="H46" t="inlineStr">
        <is>
          <t>19991222</t>
        </is>
      </c>
      <c r="I46" t="inlineStr">
        <is>
          <t>9</t>
        </is>
      </c>
      <c r="J46" t="inlineStr">
        <is>
          <t>보관소5</t>
        </is>
      </c>
      <c r="K46" t="inlineStr"/>
      <c r="L46" t="inlineStr">
        <is>
          <t>충청북도 충주시 대소원면 첨단산업로 357</t>
        </is>
      </c>
      <c r="M46" t="inlineStr">
        <is>
          <t>가동 1층 일부, 나동 1층, 다동, 라동</t>
        </is>
      </c>
      <c r="N46" t="inlineStr">
        <is>
          <t>충청북도 충주시 대소원면 첨단산업로 357 가동 1층 일부, 나동 1층, 다동, 라동</t>
        </is>
      </c>
      <c r="O46" t="inlineStr">
        <is>
          <t>충청북도</t>
        </is>
      </c>
      <c r="P46" t="inlineStr">
        <is>
          <t>충주시</t>
        </is>
      </c>
      <c r="Q46" t="inlineStr">
        <is>
          <t>N</t>
        </is>
      </c>
      <c r="R46" t="n">
        <v>0</v>
      </c>
    </row>
    <row r="47">
      <c r="A47" t="n">
        <v>46</v>
      </c>
      <c r="B47" t="inlineStr">
        <is>
          <t>(주)유바이오로직스</t>
        </is>
      </c>
      <c r="C47" t="inlineStr">
        <is>
          <t>유바이오로직스</t>
        </is>
      </c>
      <c r="D47" t="inlineStr">
        <is>
          <t>의약품</t>
        </is>
      </c>
      <c r="E47" t="inlineStr">
        <is>
          <t>322</t>
        </is>
      </c>
      <c r="F47" t="inlineStr">
        <is>
          <t>백영옥</t>
        </is>
      </c>
      <c r="G47" t="inlineStr">
        <is>
          <t>2011-11-28</t>
        </is>
      </c>
      <c r="H47" t="inlineStr">
        <is>
          <t>20111128</t>
        </is>
      </c>
      <c r="I47" t="inlineStr">
        <is>
          <t>2</t>
        </is>
      </c>
      <c r="J47" t="inlineStr">
        <is>
          <t>[제2공장]</t>
        </is>
      </c>
      <c r="K47" t="inlineStr">
        <is>
          <t>070-4235-1105</t>
        </is>
      </c>
      <c r="L47" t="inlineStr">
        <is>
          <t>강원특별자치도 춘천시 동산면 원무동길 125</t>
        </is>
      </c>
      <c r="M47" t="inlineStr">
        <is>
          <t>생산동 지하1층일부,1층~4층, 관리동 2층,4층</t>
        </is>
      </c>
      <c r="N47" t="inlineStr">
        <is>
          <t>강원특별자치도 춘천시 동산면 원무동길 125 생산동 지하1층일부,1층~4층, 관리동 2층,4층</t>
        </is>
      </c>
      <c r="O47" t="inlineStr">
        <is>
          <t>강원특별자치도</t>
        </is>
      </c>
      <c r="P47" t="inlineStr">
        <is>
          <t>춘천시</t>
        </is>
      </c>
      <c r="Q47" t="inlineStr">
        <is>
          <t>Y</t>
        </is>
      </c>
      <c r="R47" t="n">
        <v>7</v>
      </c>
    </row>
    <row r="48">
      <c r="A48" t="n">
        <v>47</v>
      </c>
      <c r="B48" t="inlineStr">
        <is>
          <t>디아이지에어가스(주)</t>
        </is>
      </c>
      <c r="C48" t="inlineStr">
        <is>
          <t>디아이지에어가스</t>
        </is>
      </c>
      <c r="D48" t="inlineStr">
        <is>
          <t>의약품</t>
        </is>
      </c>
      <c r="E48" t="inlineStr">
        <is>
          <t>1603</t>
        </is>
      </c>
      <c r="F48" t="inlineStr">
        <is>
          <t>오규석</t>
        </is>
      </c>
      <c r="G48" t="inlineStr">
        <is>
          <t>1981-02-06</t>
        </is>
      </c>
      <c r="H48" t="inlineStr">
        <is>
          <t>19810206</t>
        </is>
      </c>
      <c r="I48" t="inlineStr">
        <is>
          <t>5</t>
        </is>
      </c>
      <c r="J48" t="inlineStr">
        <is>
          <t>구미</t>
        </is>
      </c>
      <c r="K48" t="inlineStr"/>
      <c r="L48" t="inlineStr"/>
      <c r="M48" t="inlineStr">
        <is>
          <t>경상북도 구미시 3공단3로 196-34</t>
        </is>
      </c>
      <c r="N48" t="inlineStr">
        <is>
          <t>경상북도 구미시 3공단3로 196-34</t>
        </is>
      </c>
      <c r="O48" t="inlineStr">
        <is>
          <t>경상북도</t>
        </is>
      </c>
      <c r="P48" t="inlineStr">
        <is>
          <t>구미시</t>
        </is>
      </c>
      <c r="Q48" t="inlineStr">
        <is>
          <t>N</t>
        </is>
      </c>
      <c r="R48" t="n">
        <v>0</v>
      </c>
    </row>
    <row r="49">
      <c r="A49" t="n">
        <v>48</v>
      </c>
      <c r="B49" t="inlineStr">
        <is>
          <t>(주)대한특수가스</t>
        </is>
      </c>
      <c r="C49" t="inlineStr">
        <is>
          <t>대한특수가스</t>
        </is>
      </c>
      <c r="D49" t="inlineStr">
        <is>
          <t>의약품</t>
        </is>
      </c>
      <c r="E49" t="inlineStr">
        <is>
          <t>337</t>
        </is>
      </c>
      <c r="F49" t="inlineStr">
        <is>
          <t>김호성</t>
        </is>
      </c>
      <c r="G49" t="inlineStr">
        <is>
          <t>2011-03-23</t>
        </is>
      </c>
      <c r="H49" t="inlineStr">
        <is>
          <t>20110323</t>
        </is>
      </c>
      <c r="I49" t="inlineStr">
        <is>
          <t>1</t>
        </is>
      </c>
      <c r="J49" t="inlineStr">
        <is>
          <t>1공장</t>
        </is>
      </c>
      <c r="K49" t="inlineStr">
        <is>
          <t>(02)3663-2825</t>
        </is>
      </c>
      <c r="L49" t="inlineStr">
        <is>
          <t>경기도 김포시 하성면 하성로 710</t>
        </is>
      </c>
      <c r="M49" t="inlineStr"/>
      <c r="N49" t="inlineStr">
        <is>
          <t>경기도 김포시 하성면 하성로 710</t>
        </is>
      </c>
      <c r="O49" t="inlineStr">
        <is>
          <t>경기도</t>
        </is>
      </c>
      <c r="P49" t="inlineStr">
        <is>
          <t>김포시</t>
        </is>
      </c>
      <c r="Q49" t="inlineStr">
        <is>
          <t>N</t>
        </is>
      </c>
      <c r="R49" t="n">
        <v>0</v>
      </c>
    </row>
    <row r="50">
      <c r="A50" t="n">
        <v>49</v>
      </c>
      <c r="B50" t="inlineStr">
        <is>
          <t>경동제약(주)</t>
        </is>
      </c>
      <c r="C50" t="inlineStr">
        <is>
          <t>경동제약</t>
        </is>
      </c>
      <c r="D50" t="inlineStr">
        <is>
          <t>의약품</t>
        </is>
      </c>
      <c r="E50" t="inlineStr">
        <is>
          <t>1574</t>
        </is>
      </c>
      <c r="F50" t="inlineStr">
        <is>
          <t>김경훈</t>
        </is>
      </c>
      <c r="G50" t="inlineStr">
        <is>
          <t>1976-04-23</t>
        </is>
      </c>
      <c r="H50" t="inlineStr">
        <is>
          <t>19760423</t>
        </is>
      </c>
      <c r="I50" t="inlineStr">
        <is>
          <t>1</t>
        </is>
      </c>
      <c r="J50" t="inlineStr">
        <is>
          <t>화성</t>
        </is>
      </c>
      <c r="K50" t="inlineStr">
        <is>
          <t>02-576-6123</t>
        </is>
      </c>
      <c r="L50" t="inlineStr">
        <is>
          <t>경기도 화성시 만세구 양감면 제약단지로 224-3</t>
        </is>
      </c>
      <c r="M50" t="inlineStr"/>
      <c r="N50" t="inlineStr">
        <is>
          <t>경기도 화성시 만세구 양감면 제약단지로 224-3</t>
        </is>
      </c>
      <c r="O50" t="inlineStr">
        <is>
          <t>경기도</t>
        </is>
      </c>
      <c r="P50" t="inlineStr">
        <is>
          <t>화성시</t>
        </is>
      </c>
      <c r="Q50" t="inlineStr">
        <is>
          <t>Y</t>
        </is>
      </c>
      <c r="R50" t="n">
        <v>8</v>
      </c>
    </row>
    <row r="51">
      <c r="A51" t="n">
        <v>50</v>
      </c>
      <c r="B51" t="inlineStr">
        <is>
          <t>(주)일화</t>
        </is>
      </c>
      <c r="C51" t="inlineStr">
        <is>
          <t>일화</t>
        </is>
      </c>
      <c r="D51" t="inlineStr">
        <is>
          <t>의약품</t>
        </is>
      </c>
      <c r="E51" t="inlineStr">
        <is>
          <t>1396</t>
        </is>
      </c>
      <c r="F51" t="inlineStr">
        <is>
          <t>권형중</t>
        </is>
      </c>
      <c r="G51" t="inlineStr">
        <is>
          <t>1960-08-12</t>
        </is>
      </c>
      <c r="H51" t="inlineStr">
        <is>
          <t>19600812</t>
        </is>
      </c>
      <c r="I51" t="inlineStr">
        <is>
          <t>3</t>
        </is>
      </c>
      <c r="J51" t="inlineStr">
        <is>
          <t>춘천</t>
        </is>
      </c>
      <c r="K51" t="inlineStr">
        <is>
          <t>031-550-0477</t>
        </is>
      </c>
      <c r="L51" t="inlineStr">
        <is>
          <t>강원특별자치도 춘천시 동내면 거두단지2길 55</t>
        </is>
      </c>
      <c r="M51" t="inlineStr"/>
      <c r="N51" t="inlineStr">
        <is>
          <t>강원특별자치도 춘천시 동내면 거두단지2길 55</t>
        </is>
      </c>
      <c r="O51" t="inlineStr">
        <is>
          <t>강원특별자치도</t>
        </is>
      </c>
      <c r="P51" t="inlineStr">
        <is>
          <t>춘천시</t>
        </is>
      </c>
      <c r="Q51" t="inlineStr">
        <is>
          <t>N</t>
        </is>
      </c>
      <c r="R51" t="n">
        <v>0</v>
      </c>
    </row>
    <row r="52">
      <c r="A52" t="n">
        <v>51</v>
      </c>
      <c r="B52" t="inlineStr">
        <is>
          <t>에스케이에어플러스 주식회사</t>
        </is>
      </c>
      <c r="C52" t="inlineStr">
        <is>
          <t>에스케이에어플러스</t>
        </is>
      </c>
      <c r="D52" t="inlineStr">
        <is>
          <t>의약품</t>
        </is>
      </c>
      <c r="E52" t="inlineStr">
        <is>
          <t>502</t>
        </is>
      </c>
      <c r="F52" t="inlineStr">
        <is>
          <t>오종진</t>
        </is>
      </c>
      <c r="G52" t="inlineStr">
        <is>
          <t>2010-04-20</t>
        </is>
      </c>
      <c r="H52" t="inlineStr">
        <is>
          <t>20100420</t>
        </is>
      </c>
      <c r="I52" t="inlineStr">
        <is>
          <t>2</t>
        </is>
      </c>
      <c r="J52" t="inlineStr">
        <is>
          <t>2공장</t>
        </is>
      </c>
      <c r="K52" t="inlineStr">
        <is>
          <t>052-256-1641</t>
        </is>
      </c>
      <c r="L52" t="inlineStr">
        <is>
          <t>울산광역시 남구 처용로 72</t>
        </is>
      </c>
      <c r="M52" t="inlineStr"/>
      <c r="N52" t="inlineStr">
        <is>
          <t>울산광역시 남구 처용로 72</t>
        </is>
      </c>
      <c r="O52" t="inlineStr">
        <is>
          <t>울산광역시</t>
        </is>
      </c>
      <c r="P52" t="inlineStr">
        <is>
          <t>남구</t>
        </is>
      </c>
      <c r="Q52" t="inlineStr">
        <is>
          <t>N</t>
        </is>
      </c>
      <c r="R52" t="n">
        <v>0</v>
      </c>
    </row>
    <row r="53">
      <c r="A53" t="n">
        <v>52</v>
      </c>
      <c r="B53" t="inlineStr">
        <is>
          <t>천우신약(주)</t>
        </is>
      </c>
      <c r="C53" t="inlineStr">
        <is>
          <t>천우신약</t>
        </is>
      </c>
      <c r="D53" t="inlineStr">
        <is>
          <t>의약품</t>
        </is>
      </c>
      <c r="E53" t="inlineStr">
        <is>
          <t>1547</t>
        </is>
      </c>
      <c r="F53" t="inlineStr">
        <is>
          <t>유성준</t>
        </is>
      </c>
      <c r="G53" t="inlineStr">
        <is>
          <t>1972-04-04</t>
        </is>
      </c>
      <c r="H53" t="inlineStr">
        <is>
          <t>19720404</t>
        </is>
      </c>
      <c r="I53" t="inlineStr">
        <is>
          <t>2</t>
        </is>
      </c>
      <c r="J53" t="inlineStr">
        <is>
          <t>2공장</t>
        </is>
      </c>
      <c r="K53" t="inlineStr">
        <is>
          <t>070-4618-5862</t>
        </is>
      </c>
      <c r="L53" t="inlineStr">
        <is>
          <t>충청북도 음성군 삼성면 청용로365번길 2-1</t>
        </is>
      </c>
      <c r="M53" t="inlineStr"/>
      <c r="N53" t="inlineStr">
        <is>
          <t>충청북도 음성군 삼성면 청용로365번길 2-1</t>
        </is>
      </c>
      <c r="O53" t="inlineStr">
        <is>
          <t>충청북도</t>
        </is>
      </c>
      <c r="P53" t="inlineStr">
        <is>
          <t>음성군</t>
        </is>
      </c>
      <c r="Q53" t="inlineStr">
        <is>
          <t>N</t>
        </is>
      </c>
      <c r="R53" t="n">
        <v>0</v>
      </c>
    </row>
    <row r="54">
      <c r="A54" t="n">
        <v>53</v>
      </c>
      <c r="B54" t="inlineStr">
        <is>
          <t>(주)에이프로젠바이오로직스</t>
        </is>
      </c>
      <c r="C54" t="inlineStr">
        <is>
          <t>에이프로젠바이오로직스</t>
        </is>
      </c>
      <c r="D54" t="inlineStr">
        <is>
          <t>의약품</t>
        </is>
      </c>
      <c r="E54" t="inlineStr">
        <is>
          <t>1386</t>
        </is>
      </c>
      <c r="F54" t="inlineStr">
        <is>
          <t>김정출</t>
        </is>
      </c>
      <c r="G54" t="inlineStr">
        <is>
          <t>1959-12-24</t>
        </is>
      </c>
      <c r="H54" t="inlineStr">
        <is>
          <t>19591224</t>
        </is>
      </c>
      <c r="I54" t="inlineStr">
        <is>
          <t>1</t>
        </is>
      </c>
      <c r="J54" t="inlineStr">
        <is>
          <t>안산</t>
        </is>
      </c>
      <c r="K54" t="inlineStr">
        <is>
          <t>031-494-9221</t>
        </is>
      </c>
      <c r="L54" t="inlineStr">
        <is>
          <t>경기도 안산시 단원구 목내로 125</t>
        </is>
      </c>
      <c r="M54" t="inlineStr"/>
      <c r="N54" t="inlineStr">
        <is>
          <t>경기도 안산시 단원구 목내로 125</t>
        </is>
      </c>
      <c r="O54" t="inlineStr">
        <is>
          <t>경기도</t>
        </is>
      </c>
      <c r="P54" t="inlineStr">
        <is>
          <t>안산시</t>
        </is>
      </c>
      <c r="Q54" t="inlineStr">
        <is>
          <t>Y</t>
        </is>
      </c>
      <c r="R54" t="n">
        <v>9</v>
      </c>
    </row>
    <row r="55">
      <c r="A55" t="n">
        <v>54</v>
      </c>
      <c r="B55" t="inlineStr">
        <is>
          <t>주식회사중한무역</t>
        </is>
      </c>
      <c r="C55" t="inlineStr">
        <is>
          <t>중한무역</t>
        </is>
      </c>
      <c r="D55" t="inlineStr">
        <is>
          <t>의약품</t>
        </is>
      </c>
      <c r="E55" t="inlineStr">
        <is>
          <t>6192</t>
        </is>
      </c>
      <c r="F55" t="inlineStr">
        <is>
          <t>송해보(SONG HAIBO)</t>
        </is>
      </c>
      <c r="G55" t="inlineStr">
        <is>
          <t>2025-12-16</t>
        </is>
      </c>
      <c r="H55" t="inlineStr">
        <is>
          <t>20251216</t>
        </is>
      </c>
      <c r="I55" t="inlineStr">
        <is>
          <t>1</t>
        </is>
      </c>
      <c r="J55" t="inlineStr">
        <is>
          <t>1공장</t>
        </is>
      </c>
      <c r="K55" t="inlineStr">
        <is>
          <t>031-876-8886</t>
        </is>
      </c>
      <c r="L55" t="inlineStr">
        <is>
          <t>경기도 양주시 광적면 현석로 648-11</t>
        </is>
      </c>
      <c r="M55" t="inlineStr">
        <is>
          <t>, A동 B동</t>
        </is>
      </c>
      <c r="N55" t="inlineStr">
        <is>
          <t>경기도 양주시 광적면 현석로 648-11 , A동 B동</t>
        </is>
      </c>
      <c r="O55" t="inlineStr">
        <is>
          <t>경기도</t>
        </is>
      </c>
      <c r="P55" t="inlineStr">
        <is>
          <t>양주시</t>
        </is>
      </c>
      <c r="Q55" t="inlineStr">
        <is>
          <t>N</t>
        </is>
      </c>
      <c r="R55" t="n">
        <v>0</v>
      </c>
    </row>
    <row r="56">
      <c r="A56" t="n">
        <v>55</v>
      </c>
      <c r="B56" t="inlineStr">
        <is>
          <t>보성제약</t>
        </is>
      </c>
      <c r="C56" t="inlineStr">
        <is>
          <t>보성제약</t>
        </is>
      </c>
      <c r="D56" t="inlineStr">
        <is>
          <t>의약품</t>
        </is>
      </c>
      <c r="E56" t="inlineStr">
        <is>
          <t>68</t>
        </is>
      </c>
      <c r="F56" t="inlineStr">
        <is>
          <t>김인철</t>
        </is>
      </c>
      <c r="G56" t="inlineStr">
        <is>
          <t>2009-06-09</t>
        </is>
      </c>
      <c r="H56" t="inlineStr">
        <is>
          <t>20090609</t>
        </is>
      </c>
      <c r="I56" t="inlineStr">
        <is>
          <t>1</t>
        </is>
      </c>
      <c r="J56" t="inlineStr">
        <is>
          <t>보성제약</t>
        </is>
      </c>
      <c r="K56" t="inlineStr">
        <is>
          <t>053-625-2523</t>
        </is>
      </c>
      <c r="L56" t="inlineStr">
        <is>
          <t>대구광역시 중구 달성공원로8길 31-13</t>
        </is>
      </c>
      <c r="M56" t="inlineStr">
        <is>
          <t>1층</t>
        </is>
      </c>
      <c r="N56" t="inlineStr">
        <is>
          <t>대구광역시 중구 달성공원로8길 31-13 1층</t>
        </is>
      </c>
      <c r="O56" t="inlineStr">
        <is>
          <t>대구광역시</t>
        </is>
      </c>
      <c r="P56" t="inlineStr">
        <is>
          <t>중구</t>
        </is>
      </c>
      <c r="Q56" t="inlineStr">
        <is>
          <t>N</t>
        </is>
      </c>
      <c r="R56" t="n">
        <v>0</v>
      </c>
    </row>
    <row r="57">
      <c r="A57" t="n">
        <v>56</v>
      </c>
      <c r="B57" t="inlineStr">
        <is>
          <t>대우제약(주)</t>
        </is>
      </c>
      <c r="C57" t="inlineStr">
        <is>
          <t>대우제약</t>
        </is>
      </c>
      <c r="D57" t="inlineStr">
        <is>
          <t>의약품</t>
        </is>
      </c>
      <c r="E57" t="inlineStr">
        <is>
          <t>1526</t>
        </is>
      </c>
      <c r="F57" t="inlineStr">
        <is>
          <t>지용훈</t>
        </is>
      </c>
      <c r="G57" t="inlineStr">
        <is>
          <t>1971-05-08</t>
        </is>
      </c>
      <c r="H57" t="inlineStr">
        <is>
          <t>19710508</t>
        </is>
      </c>
      <c r="I57" t="inlineStr">
        <is>
          <t>2</t>
        </is>
      </c>
      <c r="J57" t="inlineStr">
        <is>
          <t>보관소</t>
        </is>
      </c>
      <c r="K57" t="inlineStr">
        <is>
          <t>051-790-3829</t>
        </is>
      </c>
      <c r="L57" t="inlineStr">
        <is>
          <t>부산광역시 사하구 장평로 255</t>
        </is>
      </c>
      <c r="M57" t="inlineStr">
        <is>
          <t>1동</t>
        </is>
      </c>
      <c r="N57" t="inlineStr">
        <is>
          <t>부산광역시 사하구 장평로 255 1동</t>
        </is>
      </c>
      <c r="O57" t="inlineStr">
        <is>
          <t>부산광역시</t>
        </is>
      </c>
      <c r="P57" t="inlineStr">
        <is>
          <t>사하구</t>
        </is>
      </c>
      <c r="Q57" t="inlineStr">
        <is>
          <t>N</t>
        </is>
      </c>
      <c r="R57" t="n">
        <v>0</v>
      </c>
    </row>
    <row r="58">
      <c r="A58" t="n">
        <v>57</v>
      </c>
      <c r="B58" t="inlineStr">
        <is>
          <t>태극제약(주)</t>
        </is>
      </c>
      <c r="C58" t="inlineStr">
        <is>
          <t>태극제약</t>
        </is>
      </c>
      <c r="D58" t="inlineStr">
        <is>
          <t>의약품</t>
        </is>
      </c>
      <c r="E58" t="inlineStr">
        <is>
          <t>1370</t>
        </is>
      </c>
      <c r="F58" t="inlineStr">
        <is>
          <t>최승만</t>
        </is>
      </c>
      <c r="G58" t="inlineStr">
        <is>
          <t>1958-06-29</t>
        </is>
      </c>
      <c r="H58" t="inlineStr">
        <is>
          <t>19580629</t>
        </is>
      </c>
      <c r="I58" t="inlineStr">
        <is>
          <t>1</t>
        </is>
      </c>
      <c r="J58" t="inlineStr">
        <is>
          <t>화성</t>
        </is>
      </c>
      <c r="K58" t="inlineStr">
        <is>
          <t>02-3474-7761</t>
        </is>
      </c>
      <c r="L58" t="inlineStr">
        <is>
          <t>경기도 화성시 만세구 향남읍 제약공단3길 123</t>
        </is>
      </c>
      <c r="M58" t="inlineStr"/>
      <c r="N58" t="inlineStr">
        <is>
          <t>경기도 화성시 만세구 향남읍 제약공단3길 123</t>
        </is>
      </c>
      <c r="O58" t="inlineStr">
        <is>
          <t>경기도</t>
        </is>
      </c>
      <c r="P58" t="inlineStr">
        <is>
          <t>화성시</t>
        </is>
      </c>
      <c r="Q58" t="inlineStr">
        <is>
          <t>Y</t>
        </is>
      </c>
      <c r="R58" t="n">
        <v>10</v>
      </c>
    </row>
    <row r="59">
      <c r="A59" t="n">
        <v>58</v>
      </c>
      <c r="B59" t="inlineStr">
        <is>
          <t>에스케이케미칼(주)</t>
        </is>
      </c>
      <c r="C59" t="inlineStr">
        <is>
          <t>에스케이케미칼</t>
        </is>
      </c>
      <c r="D59" t="inlineStr">
        <is>
          <t>의약품</t>
        </is>
      </c>
      <c r="E59" t="inlineStr">
        <is>
          <t>1346</t>
        </is>
      </c>
      <c r="F59" t="inlineStr">
        <is>
          <t>안재현</t>
        </is>
      </c>
      <c r="G59" t="inlineStr">
        <is>
          <t>1957-06-17</t>
        </is>
      </c>
      <c r="H59" t="inlineStr">
        <is>
          <t>19570617</t>
        </is>
      </c>
      <c r="I59" t="inlineStr">
        <is>
          <t>5</t>
        </is>
      </c>
      <c r="J59" t="inlineStr">
        <is>
          <t>수원</t>
        </is>
      </c>
      <c r="K59" t="inlineStr">
        <is>
          <t>2008-2846</t>
        </is>
      </c>
      <c r="L59" t="inlineStr"/>
      <c r="M59" t="inlineStr">
        <is>
          <t>경기 수원시 장안구 정자동 600</t>
        </is>
      </c>
      <c r="N59" t="inlineStr">
        <is>
          <t>경기 수원시 장안구 정자동 600</t>
        </is>
      </c>
      <c r="O59" t="inlineStr">
        <is>
          <t>경기</t>
        </is>
      </c>
      <c r="P59" t="inlineStr">
        <is>
          <t>수원시</t>
        </is>
      </c>
      <c r="Q59" t="inlineStr">
        <is>
          <t>N</t>
        </is>
      </c>
      <c r="R59" t="n">
        <v>0</v>
      </c>
    </row>
    <row r="60">
      <c r="A60" t="n">
        <v>59</v>
      </c>
      <c r="B60" t="inlineStr">
        <is>
          <t>경남제약(주)</t>
        </is>
      </c>
      <c r="C60" t="inlineStr">
        <is>
          <t>경남제약</t>
        </is>
      </c>
      <c r="D60" t="inlineStr">
        <is>
          <t>의약품</t>
        </is>
      </c>
      <c r="E60" t="inlineStr">
        <is>
          <t>1341</t>
        </is>
      </c>
      <c r="F60" t="inlineStr">
        <is>
          <t>김성곤</t>
        </is>
      </c>
      <c r="G60" t="inlineStr">
        <is>
          <t>1957-06-01</t>
        </is>
      </c>
      <c r="H60" t="inlineStr">
        <is>
          <t>19570601</t>
        </is>
      </c>
      <c r="I60" t="inlineStr">
        <is>
          <t>2</t>
        </is>
      </c>
      <c r="J60" t="inlineStr">
        <is>
          <t>의령</t>
        </is>
      </c>
      <c r="K60" t="inlineStr">
        <is>
          <t>055-572-8700/2</t>
        </is>
      </c>
      <c r="L60" t="inlineStr">
        <is>
          <t>경상남도 의령군 의령읍 구룡로4남길 79</t>
        </is>
      </c>
      <c r="M60" t="inlineStr"/>
      <c r="N60" t="inlineStr">
        <is>
          <t>경상남도 의령군 의령읍 구룡로4남길 79</t>
        </is>
      </c>
      <c r="O60" t="inlineStr">
        <is>
          <t>경상남도</t>
        </is>
      </c>
      <c r="P60" t="inlineStr">
        <is>
          <t>의령군</t>
        </is>
      </c>
      <c r="Q60" t="inlineStr">
        <is>
          <t>N</t>
        </is>
      </c>
      <c r="R60" t="n">
        <v>0</v>
      </c>
    </row>
    <row r="61">
      <c r="A61" t="n">
        <v>60</v>
      </c>
      <c r="B61" t="inlineStr">
        <is>
          <t>(주)녹십자</t>
        </is>
      </c>
      <c r="C61" t="inlineStr">
        <is>
          <t>녹십자</t>
        </is>
      </c>
      <c r="D61" t="inlineStr">
        <is>
          <t>의약품</t>
        </is>
      </c>
      <c r="E61" t="inlineStr">
        <is>
          <t>1735</t>
        </is>
      </c>
      <c r="F61" t="inlineStr">
        <is>
          <t>허은철</t>
        </is>
      </c>
      <c r="G61" t="inlineStr">
        <is>
          <t>1991-01-18</t>
        </is>
      </c>
      <c r="H61" t="inlineStr">
        <is>
          <t>19910118</t>
        </is>
      </c>
      <c r="I61" t="inlineStr">
        <is>
          <t>1</t>
        </is>
      </c>
      <c r="J61" t="inlineStr">
        <is>
          <t>음성</t>
        </is>
      </c>
      <c r="K61" t="inlineStr">
        <is>
          <t>043-879-2900</t>
        </is>
      </c>
      <c r="L61" t="inlineStr">
        <is>
          <t>충청북도 음성군 금왕읍 무극로65번길 26</t>
        </is>
      </c>
      <c r="M61" t="inlineStr"/>
      <c r="N61" t="inlineStr">
        <is>
          <t>충청북도 음성군 금왕읍 무극로65번길 26</t>
        </is>
      </c>
      <c r="O61" t="inlineStr">
        <is>
          <t>충청북도</t>
        </is>
      </c>
      <c r="P61" t="inlineStr">
        <is>
          <t>음성군</t>
        </is>
      </c>
      <c r="Q61" t="inlineStr">
        <is>
          <t>N</t>
        </is>
      </c>
      <c r="R61" t="n">
        <v>0</v>
      </c>
    </row>
    <row r="62">
      <c r="A62" t="n">
        <v>61</v>
      </c>
      <c r="B62" t="inlineStr">
        <is>
          <t>한림제약(주)</t>
        </is>
      </c>
      <c r="C62" t="inlineStr">
        <is>
          <t>한림제약</t>
        </is>
      </c>
      <c r="D62" t="inlineStr">
        <is>
          <t>의약품</t>
        </is>
      </c>
      <c r="E62" t="inlineStr">
        <is>
          <t>1496</t>
        </is>
      </c>
      <c r="F62" t="inlineStr">
        <is>
          <t>장규열</t>
        </is>
      </c>
      <c r="G62" t="inlineStr">
        <is>
          <t>1969-02-04</t>
        </is>
      </c>
      <c r="H62" t="inlineStr">
        <is>
          <t>19690204</t>
        </is>
      </c>
      <c r="I62" t="inlineStr">
        <is>
          <t>1</t>
        </is>
      </c>
      <c r="J62" t="inlineStr">
        <is>
          <t>용인</t>
        </is>
      </c>
      <c r="K62" t="inlineStr">
        <is>
          <t>02-3489-6000</t>
        </is>
      </c>
      <c r="L62" t="inlineStr">
        <is>
          <t>경기도 용인시 처인구 영문로 2-27</t>
        </is>
      </c>
      <c r="M62" t="inlineStr"/>
      <c r="N62" t="inlineStr">
        <is>
          <t>경기도 용인시 처인구 영문로 2-27</t>
        </is>
      </c>
      <c r="O62" t="inlineStr">
        <is>
          <t>경기도</t>
        </is>
      </c>
      <c r="P62" t="inlineStr">
        <is>
          <t>용인시</t>
        </is>
      </c>
      <c r="Q62" t="inlineStr">
        <is>
          <t>N</t>
        </is>
      </c>
      <c r="R62" t="n">
        <v>0</v>
      </c>
    </row>
    <row r="63">
      <c r="A63" t="n">
        <v>62</v>
      </c>
      <c r="B63" t="inlineStr">
        <is>
          <t>동방에프티엘(주)</t>
        </is>
      </c>
      <c r="C63" t="inlineStr">
        <is>
          <t>동방에프티엘</t>
        </is>
      </c>
      <c r="D63" t="inlineStr">
        <is>
          <t>의약품</t>
        </is>
      </c>
      <c r="E63" t="inlineStr">
        <is>
          <t>1731</t>
        </is>
      </c>
      <c r="F63" t="inlineStr">
        <is>
          <t>정헌석</t>
        </is>
      </c>
      <c r="G63" t="inlineStr">
        <is>
          <t>1991-08-05</t>
        </is>
      </c>
      <c r="H63" t="inlineStr">
        <is>
          <t>19910805</t>
        </is>
      </c>
      <c r="I63" t="inlineStr">
        <is>
          <t>1</t>
        </is>
      </c>
      <c r="J63" t="inlineStr">
        <is>
          <t>화성</t>
        </is>
      </c>
      <c r="K63" t="inlineStr"/>
      <c r="L63" t="inlineStr">
        <is>
          <t>경기도 화성시 만세구 향남읍 제약공단4길 78</t>
        </is>
      </c>
      <c r="M63" t="inlineStr"/>
      <c r="N63" t="inlineStr">
        <is>
          <t>경기도 화성시 만세구 향남읍 제약공단4길 78</t>
        </is>
      </c>
      <c r="O63" t="inlineStr">
        <is>
          <t>경기도</t>
        </is>
      </c>
      <c r="P63" t="inlineStr">
        <is>
          <t>화성시</t>
        </is>
      </c>
      <c r="Q63" t="inlineStr">
        <is>
          <t>Y</t>
        </is>
      </c>
      <c r="R63" t="n">
        <v>11</v>
      </c>
    </row>
    <row r="64">
      <c r="A64" t="n">
        <v>63</v>
      </c>
      <c r="B64" t="inlineStr">
        <is>
          <t>삼익제약(주)</t>
        </is>
      </c>
      <c r="C64" t="inlineStr">
        <is>
          <t>삼익제약</t>
        </is>
      </c>
      <c r="D64" t="inlineStr">
        <is>
          <t>의약품</t>
        </is>
      </c>
      <c r="E64" t="inlineStr">
        <is>
          <t>1493</t>
        </is>
      </c>
      <c r="F64" t="inlineStr">
        <is>
          <t>권영이</t>
        </is>
      </c>
      <c r="G64" t="inlineStr">
        <is>
          <t>1968-07-04</t>
        </is>
      </c>
      <c r="H64" t="inlineStr">
        <is>
          <t>19680704</t>
        </is>
      </c>
      <c r="I64" t="inlineStr">
        <is>
          <t>1</t>
        </is>
      </c>
      <c r="J64" t="inlineStr">
        <is>
          <t>인천</t>
        </is>
      </c>
      <c r="K64" t="inlineStr">
        <is>
          <t>032-519-6061</t>
        </is>
      </c>
      <c r="L64" t="inlineStr">
        <is>
          <t>인천광역시 부평구 청안로 13</t>
        </is>
      </c>
      <c r="M64" t="inlineStr"/>
      <c r="N64" t="inlineStr">
        <is>
          <t>인천광역시 부평구 청안로 13</t>
        </is>
      </c>
      <c r="O64" t="inlineStr">
        <is>
          <t>인천광역시</t>
        </is>
      </c>
      <c r="P64" t="inlineStr">
        <is>
          <t>부평구</t>
        </is>
      </c>
      <c r="Q64" t="inlineStr">
        <is>
          <t>N</t>
        </is>
      </c>
      <c r="R64" t="n">
        <v>0</v>
      </c>
    </row>
    <row r="65">
      <c r="A65" t="n">
        <v>64</v>
      </c>
      <c r="B65" t="inlineStr">
        <is>
          <t>신일가스(주)</t>
        </is>
      </c>
      <c r="C65" t="inlineStr">
        <is>
          <t>신일가스</t>
        </is>
      </c>
      <c r="D65" t="inlineStr">
        <is>
          <t>의약품</t>
        </is>
      </c>
      <c r="E65" t="inlineStr">
        <is>
          <t>1697</t>
        </is>
      </c>
      <c r="F65" t="inlineStr">
        <is>
          <t>유봉래</t>
        </is>
      </c>
      <c r="G65" t="inlineStr">
        <is>
          <t>1988-12-01</t>
        </is>
      </c>
      <c r="H65" t="inlineStr">
        <is>
          <t>19881201</t>
        </is>
      </c>
      <c r="I65" t="inlineStr">
        <is>
          <t>1</t>
        </is>
      </c>
      <c r="J65" t="inlineStr">
        <is>
          <t>광주</t>
        </is>
      </c>
      <c r="K65" t="inlineStr">
        <is>
          <t>062-951-0011</t>
        </is>
      </c>
      <c r="L65" t="inlineStr">
        <is>
          <t>광주광역시 광산구 하남산단5번로 122</t>
        </is>
      </c>
      <c r="M65" t="inlineStr"/>
      <c r="N65" t="inlineStr">
        <is>
          <t>광주광역시 광산구 하남산단5번로 122</t>
        </is>
      </c>
      <c r="O65" t="inlineStr">
        <is>
          <t>광주광역시</t>
        </is>
      </c>
      <c r="P65" t="inlineStr">
        <is>
          <t>광산구</t>
        </is>
      </c>
      <c r="Q65" t="inlineStr">
        <is>
          <t>N</t>
        </is>
      </c>
      <c r="R65" t="n">
        <v>0</v>
      </c>
    </row>
    <row r="66">
      <c r="A66" t="n">
        <v>65</v>
      </c>
      <c r="B66" t="inlineStr">
        <is>
          <t>(주)에스디</t>
        </is>
      </c>
      <c r="C66" t="inlineStr">
        <is>
          <t>에스디</t>
        </is>
      </c>
      <c r="D66" t="inlineStr">
        <is>
          <t>의약품</t>
        </is>
      </c>
      <c r="E66" t="inlineStr">
        <is>
          <t>2134</t>
        </is>
      </c>
      <c r="F66" t="inlineStr">
        <is>
          <t>조병기</t>
        </is>
      </c>
      <c r="G66" t="inlineStr">
        <is>
          <t>2000-06-28</t>
        </is>
      </c>
      <c r="H66" t="inlineStr">
        <is>
          <t>20000628</t>
        </is>
      </c>
      <c r="I66" t="inlineStr">
        <is>
          <t>6</t>
        </is>
      </c>
      <c r="J66" t="inlineStr">
        <is>
          <t>용인</t>
        </is>
      </c>
      <c r="K66" t="inlineStr">
        <is>
          <t>031-258-2994</t>
        </is>
      </c>
      <c r="L66" t="inlineStr">
        <is>
          <t>경기도 용인시 기흥구 하갈로15번길 46</t>
        </is>
      </c>
      <c r="M66" t="inlineStr">
        <is>
          <t>윤민테크노타운 로비층, 1층, 2층, 4층</t>
        </is>
      </c>
      <c r="N66" t="inlineStr">
        <is>
          <t>경기도 용인시 기흥구 하갈로15번길 46 윤민테크노타운 로비층, 1층, 2층, 4층</t>
        </is>
      </c>
      <c r="O66" t="inlineStr">
        <is>
          <t>경기도</t>
        </is>
      </c>
      <c r="P66" t="inlineStr">
        <is>
          <t>용인시</t>
        </is>
      </c>
      <c r="Q66" t="inlineStr">
        <is>
          <t>N</t>
        </is>
      </c>
      <c r="R66" t="n">
        <v>0</v>
      </c>
    </row>
    <row r="67">
      <c r="A67" t="n">
        <v>66</v>
      </c>
      <c r="B67" t="inlineStr">
        <is>
          <t>케이엠에스제약(주)</t>
        </is>
      </c>
      <c r="C67" t="inlineStr">
        <is>
          <t>케이엠에스제약</t>
        </is>
      </c>
      <c r="D67" t="inlineStr">
        <is>
          <t>의약품</t>
        </is>
      </c>
      <c r="E67" t="inlineStr">
        <is>
          <t>1479</t>
        </is>
      </c>
      <c r="F67" t="inlineStr">
        <is>
          <t>김순례</t>
        </is>
      </c>
      <c r="G67" t="inlineStr">
        <is>
          <t>1966-12-07</t>
        </is>
      </c>
      <c r="H67" t="inlineStr">
        <is>
          <t>19661207</t>
        </is>
      </c>
      <c r="I67" t="inlineStr">
        <is>
          <t>1</t>
        </is>
      </c>
      <c r="J67" t="inlineStr">
        <is>
          <t>수원</t>
        </is>
      </c>
      <c r="K67" t="inlineStr">
        <is>
          <t>031-215-5456</t>
        </is>
      </c>
      <c r="L67" t="inlineStr">
        <is>
          <t>경기도 수원시 영통구 신원로 236</t>
        </is>
      </c>
      <c r="M67" t="inlineStr"/>
      <c r="N67" t="inlineStr">
        <is>
          <t>경기도 수원시 영통구 신원로 236</t>
        </is>
      </c>
      <c r="O67" t="inlineStr">
        <is>
          <t>경기도</t>
        </is>
      </c>
      <c r="P67" t="inlineStr">
        <is>
          <t>수원시</t>
        </is>
      </c>
      <c r="Q67" t="inlineStr">
        <is>
          <t>Y</t>
        </is>
      </c>
      <c r="R67" t="n">
        <v>12</v>
      </c>
    </row>
    <row r="68">
      <c r="A68" t="n">
        <v>67</v>
      </c>
      <c r="B68" t="inlineStr">
        <is>
          <t>(주)켐트로스</t>
        </is>
      </c>
      <c r="C68" t="inlineStr">
        <is>
          <t>켐트로스</t>
        </is>
      </c>
      <c r="D68" t="inlineStr">
        <is>
          <t>의약품</t>
        </is>
      </c>
      <c r="E68" t="inlineStr">
        <is>
          <t>1670</t>
        </is>
      </c>
      <c r="F68" t="inlineStr">
        <is>
          <t>이동훈</t>
        </is>
      </c>
      <c r="G68" t="inlineStr">
        <is>
          <t>1987-02-13</t>
        </is>
      </c>
      <c r="H68" t="inlineStr">
        <is>
          <t>19870213</t>
        </is>
      </c>
      <c r="I68" t="inlineStr">
        <is>
          <t>1</t>
        </is>
      </c>
      <c r="J68" t="inlineStr">
        <is>
          <t>안산</t>
        </is>
      </c>
      <c r="K68" t="inlineStr">
        <is>
          <t>031-491-0653/4</t>
        </is>
      </c>
      <c r="L68" t="inlineStr">
        <is>
          <t>경기도 안산시 단원구 능안로 7</t>
        </is>
      </c>
      <c r="M68" t="inlineStr">
        <is>
          <t>반월공단B14-17</t>
        </is>
      </c>
      <c r="N68" t="inlineStr">
        <is>
          <t>경기도 안산시 단원구 능안로 7 반월공단B14-17</t>
        </is>
      </c>
      <c r="O68" t="inlineStr">
        <is>
          <t>경기도</t>
        </is>
      </c>
      <c r="P68" t="inlineStr">
        <is>
          <t>안산시</t>
        </is>
      </c>
      <c r="Q68" t="inlineStr">
        <is>
          <t>N</t>
        </is>
      </c>
      <c r="R68" t="n">
        <v>0</v>
      </c>
    </row>
    <row r="69">
      <c r="A69" t="n">
        <v>68</v>
      </c>
      <c r="B69" t="inlineStr">
        <is>
          <t>에어프로덕츠코리아(주)</t>
        </is>
      </c>
      <c r="C69" t="inlineStr">
        <is>
          <t>에어프로덕츠코리아</t>
        </is>
      </c>
      <c r="D69" t="inlineStr">
        <is>
          <t>의약품</t>
        </is>
      </c>
      <c r="E69" t="inlineStr">
        <is>
          <t>2065</t>
        </is>
      </c>
      <c r="F69" t="inlineStr">
        <is>
          <t>김승록</t>
        </is>
      </c>
      <c r="G69" t="inlineStr">
        <is>
          <t>1999-07-27</t>
        </is>
      </c>
      <c r="H69" t="inlineStr">
        <is>
          <t>19990727</t>
        </is>
      </c>
      <c r="I69" t="inlineStr">
        <is>
          <t>7</t>
        </is>
      </c>
      <c r="J69" t="inlineStr">
        <is>
          <t>온산</t>
        </is>
      </c>
      <c r="K69" t="inlineStr">
        <is>
          <t>052-259-4098</t>
        </is>
      </c>
      <c r="L69" t="inlineStr">
        <is>
          <t>울산광역시 울주군 온산읍 석당길 15</t>
        </is>
      </c>
      <c r="M69" t="inlineStr"/>
      <c r="N69" t="inlineStr">
        <is>
          <t>울산광역시 울주군 온산읍 석당길 15</t>
        </is>
      </c>
      <c r="O69" t="inlineStr">
        <is>
          <t>울산광역시</t>
        </is>
      </c>
      <c r="P69" t="inlineStr">
        <is>
          <t>울주군</t>
        </is>
      </c>
      <c r="Q69" t="inlineStr">
        <is>
          <t>N</t>
        </is>
      </c>
      <c r="R69" t="n">
        <v>0</v>
      </c>
    </row>
    <row r="70">
      <c r="A70" t="n">
        <v>69</v>
      </c>
      <c r="B70" t="inlineStr">
        <is>
          <t>(주)종근당</t>
        </is>
      </c>
      <c r="C70" t="inlineStr">
        <is>
          <t>종근당</t>
        </is>
      </c>
      <c r="D70" t="inlineStr">
        <is>
          <t>의약품</t>
        </is>
      </c>
      <c r="E70" t="inlineStr">
        <is>
          <t>1459</t>
        </is>
      </c>
      <c r="F70" t="inlineStr">
        <is>
          <t>김영주</t>
        </is>
      </c>
      <c r="G70" t="inlineStr">
        <is>
          <t>1965-02-05</t>
        </is>
      </c>
      <c r="H70" t="inlineStr">
        <is>
          <t>19650205</t>
        </is>
      </c>
      <c r="I70" t="inlineStr">
        <is>
          <t>1</t>
        </is>
      </c>
      <c r="J70" t="inlineStr">
        <is>
          <t>천안</t>
        </is>
      </c>
      <c r="K70" t="inlineStr">
        <is>
          <t>02-2194-0429</t>
        </is>
      </c>
      <c r="L70" t="inlineStr">
        <is>
          <t>충청남도 천안시 서북구 성거읍 망향로 797-48</t>
        </is>
      </c>
      <c r="M70" t="inlineStr"/>
      <c r="N70" t="inlineStr">
        <is>
          <t>충청남도 천안시 서북구 성거읍 망향로 797-48</t>
        </is>
      </c>
      <c r="O70" t="inlineStr">
        <is>
          <t>충청남도</t>
        </is>
      </c>
      <c r="P70" t="inlineStr">
        <is>
          <t>천안시</t>
        </is>
      </c>
      <c r="Q70" t="inlineStr">
        <is>
          <t>N</t>
        </is>
      </c>
      <c r="R70" t="n">
        <v>0</v>
      </c>
    </row>
    <row r="71">
      <c r="A71" t="n">
        <v>70</v>
      </c>
      <c r="B71" t="inlineStr">
        <is>
          <t>(주)청솔생약</t>
        </is>
      </c>
      <c r="C71" t="inlineStr">
        <is>
          <t>청솔생약</t>
        </is>
      </c>
      <c r="D71" t="inlineStr">
        <is>
          <t>의약품</t>
        </is>
      </c>
      <c r="E71" t="inlineStr">
        <is>
          <t>2078</t>
        </is>
      </c>
      <c r="F71" t="inlineStr">
        <is>
          <t>윤영주</t>
        </is>
      </c>
      <c r="G71" t="inlineStr">
        <is>
          <t>1999-09-30</t>
        </is>
      </c>
      <c r="H71" t="inlineStr">
        <is>
          <t>19990930</t>
        </is>
      </c>
      <c r="I71" t="inlineStr">
        <is>
          <t>1</t>
        </is>
      </c>
      <c r="J71" t="inlineStr">
        <is>
          <t>증평</t>
        </is>
      </c>
      <c r="K71" t="inlineStr">
        <is>
          <t>02-968-6336</t>
        </is>
      </c>
      <c r="L71" t="inlineStr">
        <is>
          <t>충청북도 증평군 도안면 인삼로 741-2</t>
        </is>
      </c>
      <c r="M71" t="inlineStr"/>
      <c r="N71" t="inlineStr">
        <is>
          <t>충청북도 증평군 도안면 인삼로 741-2</t>
        </is>
      </c>
      <c r="O71" t="inlineStr">
        <is>
          <t>충청북도</t>
        </is>
      </c>
      <c r="P71" t="inlineStr">
        <is>
          <t>증평군</t>
        </is>
      </c>
      <c r="Q71" t="inlineStr">
        <is>
          <t>N</t>
        </is>
      </c>
      <c r="R71" t="n">
        <v>0</v>
      </c>
    </row>
    <row r="72">
      <c r="A72" t="n">
        <v>71</v>
      </c>
      <c r="B72" t="inlineStr">
        <is>
          <t>경방신약(주)</t>
        </is>
      </c>
      <c r="C72" t="inlineStr">
        <is>
          <t>경방신약</t>
        </is>
      </c>
      <c r="D72" t="inlineStr">
        <is>
          <t>의약품</t>
        </is>
      </c>
      <c r="E72" t="inlineStr">
        <is>
          <t>2101</t>
        </is>
      </c>
      <c r="F72" t="inlineStr">
        <is>
          <t>김충환</t>
        </is>
      </c>
      <c r="G72" t="inlineStr">
        <is>
          <t>1999-12-22</t>
        </is>
      </c>
      <c r="H72" t="inlineStr">
        <is>
          <t>19991222</t>
        </is>
      </c>
      <c r="I72" t="inlineStr">
        <is>
          <t>1</t>
        </is>
      </c>
      <c r="J72" t="inlineStr">
        <is>
          <t>1공장</t>
        </is>
      </c>
      <c r="K72" t="inlineStr">
        <is>
          <t>032-822-4322//032-222-8905//1599-7199</t>
        </is>
      </c>
      <c r="L72" t="inlineStr">
        <is>
          <t>인천광역시 남동구 남동대로 394</t>
        </is>
      </c>
      <c r="M72" t="inlineStr"/>
      <c r="N72" t="inlineStr">
        <is>
          <t>인천광역시 남동구 남동대로 394</t>
        </is>
      </c>
      <c r="O72" t="inlineStr">
        <is>
          <t>인천광역시</t>
        </is>
      </c>
      <c r="P72" t="inlineStr">
        <is>
          <t>남동구</t>
        </is>
      </c>
      <c r="Q72" t="inlineStr">
        <is>
          <t>N</t>
        </is>
      </c>
      <c r="R72" t="n">
        <v>0</v>
      </c>
    </row>
    <row r="73">
      <c r="A73" t="n">
        <v>72</v>
      </c>
      <c r="B73" t="inlineStr">
        <is>
          <t>고려수제약</t>
        </is>
      </c>
      <c r="C73" t="inlineStr">
        <is>
          <t>고려수제약</t>
        </is>
      </c>
      <c r="D73" t="inlineStr">
        <is>
          <t>의약품</t>
        </is>
      </c>
      <c r="E73" t="inlineStr">
        <is>
          <t>311</t>
        </is>
      </c>
      <c r="F73" t="inlineStr">
        <is>
          <t>최수동</t>
        </is>
      </c>
      <c r="G73" t="inlineStr">
        <is>
          <t>2011-06-16</t>
        </is>
      </c>
      <c r="H73" t="inlineStr">
        <is>
          <t>20110616</t>
        </is>
      </c>
      <c r="I73" t="inlineStr">
        <is>
          <t>1</t>
        </is>
      </c>
      <c r="J73" t="inlineStr">
        <is>
          <t>고려수제약</t>
        </is>
      </c>
      <c r="K73" t="inlineStr">
        <is>
          <t>(02)957-1075</t>
        </is>
      </c>
      <c r="L73" t="inlineStr">
        <is>
          <t>서울특별시 동대문구 고산자로 477</t>
        </is>
      </c>
      <c r="M73" t="inlineStr">
        <is>
          <t>대동빌딩 4층 (제기동)</t>
        </is>
      </c>
      <c r="N73" t="inlineStr">
        <is>
          <t>서울특별시 동대문구 고산자로 477 대동빌딩 4층 (제기동)</t>
        </is>
      </c>
      <c r="O73" t="inlineStr">
        <is>
          <t>서울특별시</t>
        </is>
      </c>
      <c r="P73" t="inlineStr">
        <is>
          <t>동대문구</t>
        </is>
      </c>
      <c r="Q73" t="inlineStr">
        <is>
          <t>N</t>
        </is>
      </c>
      <c r="R73" t="n">
        <v>0</v>
      </c>
    </row>
    <row r="74">
      <c r="A74" t="n">
        <v>73</v>
      </c>
      <c r="B74" t="inlineStr">
        <is>
          <t>코오롱생명과학(주)</t>
        </is>
      </c>
      <c r="C74" t="inlineStr">
        <is>
          <t>코오롱생명과학</t>
        </is>
      </c>
      <c r="D74" t="inlineStr">
        <is>
          <t>의약품</t>
        </is>
      </c>
      <c r="E74" t="inlineStr">
        <is>
          <t>1607</t>
        </is>
      </c>
      <c r="F74" t="inlineStr">
        <is>
          <t>이한국</t>
        </is>
      </c>
      <c r="G74" t="inlineStr">
        <is>
          <t>1981-06-29</t>
        </is>
      </c>
      <c r="H74" t="inlineStr">
        <is>
          <t>19810629</t>
        </is>
      </c>
      <c r="I74" t="inlineStr">
        <is>
          <t>1</t>
        </is>
      </c>
      <c r="J74" t="inlineStr">
        <is>
          <t>인천</t>
        </is>
      </c>
      <c r="K74" t="inlineStr">
        <is>
          <t>032-580-0808</t>
        </is>
      </c>
      <c r="L74" t="inlineStr"/>
      <c r="M74" t="inlineStr">
        <is>
          <t>인천광역시 서구 백범로 680</t>
        </is>
      </c>
      <c r="N74" t="inlineStr">
        <is>
          <t>인천광역시 서구 백범로 680</t>
        </is>
      </c>
      <c r="O74" t="inlineStr">
        <is>
          <t>인천광역시</t>
        </is>
      </c>
      <c r="P74" t="inlineStr">
        <is>
          <t>서구</t>
        </is>
      </c>
      <c r="Q74" t="inlineStr">
        <is>
          <t>N</t>
        </is>
      </c>
      <c r="R74" t="n">
        <v>0</v>
      </c>
    </row>
    <row r="75">
      <c r="A75" t="n">
        <v>74</v>
      </c>
      <c r="B75" t="inlineStr">
        <is>
          <t>한국바스프(주)</t>
        </is>
      </c>
      <c r="C75" t="inlineStr">
        <is>
          <t>한국바스프</t>
        </is>
      </c>
      <c r="D75" t="inlineStr">
        <is>
          <t>의약품</t>
        </is>
      </c>
      <c r="E75" t="inlineStr">
        <is>
          <t>303</t>
        </is>
      </c>
      <c r="F75" t="inlineStr">
        <is>
          <t>이우석</t>
        </is>
      </c>
      <c r="G75" t="inlineStr">
        <is>
          <t>2010-08-20</t>
        </is>
      </c>
      <c r="H75" t="inlineStr">
        <is>
          <t>20100820</t>
        </is>
      </c>
      <c r="I75" t="inlineStr">
        <is>
          <t>1</t>
        </is>
      </c>
      <c r="J75" t="inlineStr">
        <is>
          <t>한국바스프(주)-군산</t>
        </is>
      </c>
      <c r="K75" t="inlineStr">
        <is>
          <t>(063)469-2500</t>
        </is>
      </c>
      <c r="L75" t="inlineStr">
        <is>
          <t>전북특별자치도 군산시 외항4길 57(소룡동)</t>
        </is>
      </c>
      <c r="M75" t="inlineStr"/>
      <c r="N75" t="inlineStr">
        <is>
          <t>전북특별자치도 군산시 외항4길 57(소룡동)</t>
        </is>
      </c>
      <c r="O75" t="inlineStr">
        <is>
          <t>전북특별자치도</t>
        </is>
      </c>
      <c r="P75" t="inlineStr">
        <is>
          <t>군산시</t>
        </is>
      </c>
      <c r="Q75" t="inlineStr">
        <is>
          <t>N</t>
        </is>
      </c>
      <c r="R75" t="n">
        <v>0</v>
      </c>
    </row>
    <row r="76">
      <c r="A76" t="n">
        <v>75</v>
      </c>
      <c r="B76" t="inlineStr">
        <is>
          <t>(주)한국백신</t>
        </is>
      </c>
      <c r="C76" t="inlineStr">
        <is>
          <t>한국백신</t>
        </is>
      </c>
      <c r="D76" t="inlineStr">
        <is>
          <t>의약품</t>
        </is>
      </c>
      <c r="E76" t="inlineStr">
        <is>
          <t>1548</t>
        </is>
      </c>
      <c r="F76" t="inlineStr">
        <is>
          <t>하성배</t>
        </is>
      </c>
      <c r="G76" t="inlineStr">
        <is>
          <t>1972-08-07</t>
        </is>
      </c>
      <c r="H76" t="inlineStr">
        <is>
          <t>19720807</t>
        </is>
      </c>
      <c r="I76" t="inlineStr">
        <is>
          <t>1</t>
        </is>
      </c>
      <c r="J76" t="inlineStr">
        <is>
          <t>안산</t>
        </is>
      </c>
      <c r="K76" t="inlineStr">
        <is>
          <t>031)495-6397</t>
        </is>
      </c>
      <c r="L76" t="inlineStr">
        <is>
          <t>경기도 안산시 단원구 목내로 128</t>
        </is>
      </c>
      <c r="M76" t="inlineStr"/>
      <c r="N76" t="inlineStr">
        <is>
          <t>경기도 안산시 단원구 목내로 128</t>
        </is>
      </c>
      <c r="O76" t="inlineStr">
        <is>
          <t>경기도</t>
        </is>
      </c>
      <c r="P76" t="inlineStr">
        <is>
          <t>안산시</t>
        </is>
      </c>
      <c r="Q76" t="inlineStr">
        <is>
          <t>Y</t>
        </is>
      </c>
      <c r="R76" t="n">
        <v>13</v>
      </c>
    </row>
    <row r="77">
      <c r="A77" t="n">
        <v>76</v>
      </c>
      <c r="B77" t="inlineStr">
        <is>
          <t>(주)에이프로젠바이오로직스</t>
        </is>
      </c>
      <c r="C77" t="inlineStr">
        <is>
          <t>에이프로젠바이오로직스</t>
        </is>
      </c>
      <c r="D77" t="inlineStr">
        <is>
          <t>의약품</t>
        </is>
      </c>
      <c r="E77" t="inlineStr">
        <is>
          <t>1386</t>
        </is>
      </c>
      <c r="F77" t="inlineStr">
        <is>
          <t>김정출</t>
        </is>
      </c>
      <c r="G77" t="inlineStr">
        <is>
          <t>1959-12-24</t>
        </is>
      </c>
      <c r="H77" t="inlineStr">
        <is>
          <t>19591224</t>
        </is>
      </c>
      <c r="I77" t="inlineStr">
        <is>
          <t>3</t>
        </is>
      </c>
      <c r="J77" t="inlineStr">
        <is>
          <t>오송</t>
        </is>
      </c>
      <c r="K77" t="inlineStr"/>
      <c r="L77" t="inlineStr">
        <is>
          <t>충청북도 청주시 흥덕구 오송읍 오송생명5로 5</t>
        </is>
      </c>
      <c r="M77" t="inlineStr"/>
      <c r="N77" t="inlineStr">
        <is>
          <t>충청북도 청주시 흥덕구 오송읍 오송생명5로 5</t>
        </is>
      </c>
      <c r="O77" t="inlineStr">
        <is>
          <t>충청북도</t>
        </is>
      </c>
      <c r="P77" t="inlineStr">
        <is>
          <t>청주시</t>
        </is>
      </c>
      <c r="Q77" t="inlineStr">
        <is>
          <t>Y</t>
        </is>
      </c>
      <c r="R77" t="n">
        <v>14</v>
      </c>
    </row>
    <row r="78">
      <c r="A78" t="n">
        <v>77</v>
      </c>
      <c r="B78" t="inlineStr">
        <is>
          <t>한국휴텍스제약(주)</t>
        </is>
      </c>
      <c r="C78" t="inlineStr">
        <is>
          <t>한국휴텍스제약</t>
        </is>
      </c>
      <c r="D78" t="inlineStr">
        <is>
          <t>의약품</t>
        </is>
      </c>
      <c r="E78" t="inlineStr">
        <is>
          <t>1666</t>
        </is>
      </c>
      <c r="F78" t="inlineStr">
        <is>
          <t>김성겸</t>
        </is>
      </c>
      <c r="G78" t="inlineStr">
        <is>
          <t>1986-09-15</t>
        </is>
      </c>
      <c r="H78" t="inlineStr">
        <is>
          <t>19860915</t>
        </is>
      </c>
      <c r="I78" t="inlineStr">
        <is>
          <t>1</t>
        </is>
      </c>
      <c r="J78" t="inlineStr">
        <is>
          <t>화성(제1공장)</t>
        </is>
      </c>
      <c r="K78" t="inlineStr">
        <is>
          <t>031-377-7900/7</t>
        </is>
      </c>
      <c r="L78" t="inlineStr"/>
      <c r="M78" t="inlineStr">
        <is>
          <t>경기도 화성군 동탄면 영천리 555-2</t>
        </is>
      </c>
      <c r="N78" t="inlineStr">
        <is>
          <t>경기도 화성군 동탄면 영천리 555-2</t>
        </is>
      </c>
      <c r="O78" t="inlineStr">
        <is>
          <t>경기도</t>
        </is>
      </c>
      <c r="P78" t="inlineStr">
        <is>
          <t>화성군</t>
        </is>
      </c>
      <c r="Q78" t="inlineStr">
        <is>
          <t>Y</t>
        </is>
      </c>
      <c r="R78" t="n">
        <v>15</v>
      </c>
    </row>
    <row r="79">
      <c r="A79" t="n">
        <v>78</v>
      </c>
      <c r="B79" t="inlineStr">
        <is>
          <t>(주)넥스팜코리아</t>
        </is>
      </c>
      <c r="C79" t="inlineStr">
        <is>
          <t>넥스팜코리아</t>
        </is>
      </c>
      <c r="D79" t="inlineStr">
        <is>
          <t>의약품</t>
        </is>
      </c>
      <c r="E79" t="inlineStr">
        <is>
          <t>1957</t>
        </is>
      </c>
      <c r="F79" t="inlineStr">
        <is>
          <t>김동필</t>
        </is>
      </c>
      <c r="G79" t="inlineStr">
        <is>
          <t>1996-12-05</t>
        </is>
      </c>
      <c r="H79" t="inlineStr">
        <is>
          <t>19961205</t>
        </is>
      </c>
      <c r="I79" t="inlineStr">
        <is>
          <t>2</t>
        </is>
      </c>
      <c r="J79" t="inlineStr">
        <is>
          <t>청원</t>
        </is>
      </c>
      <c r="K79" t="inlineStr">
        <is>
          <t>070-4346-1209</t>
        </is>
      </c>
      <c r="L79" t="inlineStr">
        <is>
          <t>충청북도 청주시 흥덕구 오송읍 오송생명4로 168-41</t>
        </is>
      </c>
      <c r="M79" t="inlineStr"/>
      <c r="N79" t="inlineStr">
        <is>
          <t>충청북도 청주시 흥덕구 오송읍 오송생명4로 168-41</t>
        </is>
      </c>
      <c r="O79" t="inlineStr">
        <is>
          <t>충청북도</t>
        </is>
      </c>
      <c r="P79" t="inlineStr">
        <is>
          <t>청주시</t>
        </is>
      </c>
      <c r="Q79" t="inlineStr">
        <is>
          <t>N</t>
        </is>
      </c>
      <c r="R79" t="n">
        <v>0</v>
      </c>
    </row>
    <row r="80">
      <c r="A80" t="n">
        <v>79</v>
      </c>
      <c r="B80" t="inlineStr">
        <is>
          <t>프레스티지바이오로직스(주)</t>
        </is>
      </c>
      <c r="C80" t="inlineStr">
        <is>
          <t>프레스티지바이오로직스</t>
        </is>
      </c>
      <c r="D80" t="inlineStr">
        <is>
          <t>의약품</t>
        </is>
      </c>
      <c r="E80" t="inlineStr">
        <is>
          <t>2646</t>
        </is>
      </c>
      <c r="F80" t="inlineStr">
        <is>
          <t>김진우</t>
        </is>
      </c>
      <c r="G80" t="inlineStr">
        <is>
          <t>2018-06-27</t>
        </is>
      </c>
      <c r="H80" t="inlineStr">
        <is>
          <t>20180627</t>
        </is>
      </c>
      <c r="I80" t="inlineStr">
        <is>
          <t>1</t>
        </is>
      </c>
      <c r="J80" t="inlineStr">
        <is>
          <t>프레스티지바이오로직스(주) 오송캠퍼스</t>
        </is>
      </c>
      <c r="K80" t="inlineStr">
        <is>
          <t>02-322-1552</t>
        </is>
      </c>
      <c r="L80" t="inlineStr">
        <is>
          <t>충청북도 청주시 흥덕구 오송읍 오송생명1로 197</t>
        </is>
      </c>
      <c r="M80" t="inlineStr">
        <is>
          <t>(연제리 654)</t>
        </is>
      </c>
      <c r="N80" t="inlineStr">
        <is>
          <t>충청북도 청주시 흥덕구 오송읍 오송생명1로 197 (연제리 654)</t>
        </is>
      </c>
      <c r="O80" t="inlineStr">
        <is>
          <t>충청북도</t>
        </is>
      </c>
      <c r="P80" t="inlineStr">
        <is>
          <t>청주시</t>
        </is>
      </c>
      <c r="Q80" t="inlineStr">
        <is>
          <t>N</t>
        </is>
      </c>
      <c r="R80" t="n">
        <v>0</v>
      </c>
    </row>
    <row r="81">
      <c r="A81" t="n">
        <v>80</v>
      </c>
      <c r="B81" t="inlineStr">
        <is>
          <t>(주)알피바이오</t>
        </is>
      </c>
      <c r="C81" t="inlineStr">
        <is>
          <t>알피바이오</t>
        </is>
      </c>
      <c r="D81" t="inlineStr">
        <is>
          <t>의약품</t>
        </is>
      </c>
      <c r="E81" t="inlineStr">
        <is>
          <t>1648</t>
        </is>
      </c>
      <c r="F81" t="inlineStr">
        <is>
          <t>윤재훈</t>
        </is>
      </c>
      <c r="G81" t="inlineStr">
        <is>
          <t>1984-09-22</t>
        </is>
      </c>
      <c r="H81" t="inlineStr">
        <is>
          <t>19840922</t>
        </is>
      </c>
      <c r="I81" t="inlineStr">
        <is>
          <t>3</t>
        </is>
      </c>
      <c r="J81" t="inlineStr">
        <is>
          <t>화성(보관소2)</t>
        </is>
      </c>
      <c r="K81" t="inlineStr"/>
      <c r="L81" t="inlineStr">
        <is>
          <t>경기도 화성시 만세구 향남읍 발안공단로4길 5</t>
        </is>
      </c>
      <c r="M81" t="inlineStr">
        <is>
          <t>(보관소2)</t>
        </is>
      </c>
      <c r="N81" t="inlineStr">
        <is>
          <t>경기도 화성시 만세구 향남읍 발안공단로4길 5 (보관소2)</t>
        </is>
      </c>
      <c r="O81" t="inlineStr">
        <is>
          <t>경기도</t>
        </is>
      </c>
      <c r="P81" t="inlineStr">
        <is>
          <t>화성시</t>
        </is>
      </c>
      <c r="Q81" t="inlineStr">
        <is>
          <t>N</t>
        </is>
      </c>
      <c r="R81" t="n">
        <v>0</v>
      </c>
    </row>
    <row r="82">
      <c r="A82" t="n">
        <v>81</v>
      </c>
      <c r="B82" t="inlineStr">
        <is>
          <t>주식회사 밸리</t>
        </is>
      </c>
      <c r="C82" t="inlineStr">
        <is>
          <t>밸리</t>
        </is>
      </c>
      <c r="D82" t="inlineStr">
        <is>
          <t>의약품</t>
        </is>
      </c>
      <c r="E82" t="inlineStr">
        <is>
          <t>93</t>
        </is>
      </c>
      <c r="F82" t="inlineStr">
        <is>
          <t>황동영</t>
        </is>
      </c>
      <c r="G82" t="inlineStr">
        <is>
          <t>2017-11-24</t>
        </is>
      </c>
      <c r="H82" t="inlineStr">
        <is>
          <t>20171124</t>
        </is>
      </c>
      <c r="I82" t="inlineStr">
        <is>
          <t>2</t>
        </is>
      </c>
      <c r="J82" t="inlineStr">
        <is>
          <t>보관소</t>
        </is>
      </c>
      <c r="K82" t="inlineStr">
        <is>
          <t>1566-2723</t>
        </is>
      </c>
      <c r="L82" t="inlineStr">
        <is>
          <t>대구광역시 수성구 파동로38길 16</t>
        </is>
      </c>
      <c r="M82" t="inlineStr">
        <is>
          <t>(1층)</t>
        </is>
      </c>
      <c r="N82" t="inlineStr">
        <is>
          <t>대구광역시 수성구 파동로38길 16 (1층)</t>
        </is>
      </c>
      <c r="O82" t="inlineStr">
        <is>
          <t>대구광역시</t>
        </is>
      </c>
      <c r="P82" t="inlineStr">
        <is>
          <t>수성구</t>
        </is>
      </c>
      <c r="Q82" t="inlineStr">
        <is>
          <t>N</t>
        </is>
      </c>
      <c r="R82" t="n">
        <v>0</v>
      </c>
    </row>
    <row r="83">
      <c r="A83" t="n">
        <v>82</v>
      </c>
      <c r="B83" t="inlineStr">
        <is>
          <t>호남고압가스</t>
        </is>
      </c>
      <c r="C83" t="inlineStr">
        <is>
          <t>호남고압가스</t>
        </is>
      </c>
      <c r="D83" t="inlineStr">
        <is>
          <t>의약품</t>
        </is>
      </c>
      <c r="E83" t="inlineStr">
        <is>
          <t>1617</t>
        </is>
      </c>
      <c r="F83" t="inlineStr">
        <is>
          <t>이은희</t>
        </is>
      </c>
      <c r="G83" t="inlineStr">
        <is>
          <t>1982-01-07</t>
        </is>
      </c>
      <c r="H83" t="inlineStr">
        <is>
          <t>19820107</t>
        </is>
      </c>
      <c r="I83" t="inlineStr">
        <is>
          <t>1</t>
        </is>
      </c>
      <c r="J83" t="inlineStr">
        <is>
          <t>광주</t>
        </is>
      </c>
      <c r="K83" t="inlineStr">
        <is>
          <t>062-951-4147</t>
        </is>
      </c>
      <c r="L83" t="inlineStr">
        <is>
          <t>광주광역시 광산구 하남산단5번로 101</t>
        </is>
      </c>
      <c r="M83" t="inlineStr"/>
      <c r="N83" t="inlineStr">
        <is>
          <t>광주광역시 광산구 하남산단5번로 101</t>
        </is>
      </c>
      <c r="O83" t="inlineStr">
        <is>
          <t>광주광역시</t>
        </is>
      </c>
      <c r="P83" t="inlineStr">
        <is>
          <t>광산구</t>
        </is>
      </c>
      <c r="Q83" t="inlineStr">
        <is>
          <t>N</t>
        </is>
      </c>
      <c r="R83" t="n">
        <v>0</v>
      </c>
    </row>
    <row r="84">
      <c r="A84" t="n">
        <v>83</v>
      </c>
      <c r="B84" t="inlineStr">
        <is>
          <t>삼일제약(주)</t>
        </is>
      </c>
      <c r="C84" t="inlineStr">
        <is>
          <t>삼일제약</t>
        </is>
      </c>
      <c r="D84" t="inlineStr">
        <is>
          <t>의약품</t>
        </is>
      </c>
      <c r="E84" t="inlineStr">
        <is>
          <t>1314</t>
        </is>
      </c>
      <c r="F84" t="inlineStr">
        <is>
          <t>허승범</t>
        </is>
      </c>
      <c r="G84" t="inlineStr">
        <is>
          <t>1955-12-29</t>
        </is>
      </c>
      <c r="H84" t="inlineStr">
        <is>
          <t>19551229</t>
        </is>
      </c>
      <c r="I84" t="inlineStr">
        <is>
          <t>2</t>
        </is>
      </c>
      <c r="J84" t="inlineStr">
        <is>
          <t>보관소</t>
        </is>
      </c>
      <c r="K84" t="inlineStr">
        <is>
          <t>031-8054-8015</t>
        </is>
      </c>
      <c r="L84" t="inlineStr">
        <is>
          <t>경기도 평택시 청북읍 드림산단4로 26</t>
        </is>
      </c>
      <c r="M84" t="inlineStr">
        <is>
          <t>피코이노베이션 물류센터 3층 일부</t>
        </is>
      </c>
      <c r="N84" t="inlineStr">
        <is>
          <t>경기도 평택시 청북읍 드림산단4로 26 피코이노베이션 물류센터 3층 일부</t>
        </is>
      </c>
      <c r="O84" t="inlineStr">
        <is>
          <t>경기도</t>
        </is>
      </c>
      <c r="P84" t="inlineStr">
        <is>
          <t>평택시</t>
        </is>
      </c>
      <c r="Q84" t="inlineStr">
        <is>
          <t>N</t>
        </is>
      </c>
      <c r="R84" t="n">
        <v>0</v>
      </c>
    </row>
    <row r="85">
      <c r="A85" t="n">
        <v>84</v>
      </c>
      <c r="B85" t="inlineStr">
        <is>
          <t>부야주식회사</t>
        </is>
      </c>
      <c r="C85" t="inlineStr">
        <is>
          <t>부야</t>
        </is>
      </c>
      <c r="D85" t="inlineStr">
        <is>
          <t>의약품</t>
        </is>
      </c>
      <c r="E85" t="inlineStr">
        <is>
          <t>88</t>
        </is>
      </c>
      <c r="F85" t="inlineStr">
        <is>
          <t>형석윤</t>
        </is>
      </c>
      <c r="G85" t="inlineStr">
        <is>
          <t>2017-06-08</t>
        </is>
      </c>
      <c r="H85" t="inlineStr">
        <is>
          <t>20170608</t>
        </is>
      </c>
      <c r="I85" t="inlineStr">
        <is>
          <t>1</t>
        </is>
      </c>
      <c r="J85" t="inlineStr">
        <is>
          <t>부야제약</t>
        </is>
      </c>
      <c r="K85" t="inlineStr">
        <is>
          <t>0543735200</t>
        </is>
      </c>
      <c r="L85" t="inlineStr">
        <is>
          <t>경상북도 청도군 청도읍 부야3길 69-1</t>
        </is>
      </c>
      <c r="M85" t="inlineStr"/>
      <c r="N85" t="inlineStr">
        <is>
          <t>경상북도 청도군 청도읍 부야3길 69-1</t>
        </is>
      </c>
      <c r="O85" t="inlineStr">
        <is>
          <t>경상북도</t>
        </is>
      </c>
      <c r="P85" t="inlineStr">
        <is>
          <t>청도군</t>
        </is>
      </c>
      <c r="Q85" t="inlineStr">
        <is>
          <t>N</t>
        </is>
      </c>
      <c r="R85" t="n">
        <v>0</v>
      </c>
    </row>
    <row r="86">
      <c r="A86" t="n">
        <v>85</v>
      </c>
      <c r="B86" t="inlineStr">
        <is>
          <t>디아이지에어가스(주)</t>
        </is>
      </c>
      <c r="C86" t="inlineStr">
        <is>
          <t>디아이지에어가스</t>
        </is>
      </c>
      <c r="D86" t="inlineStr">
        <is>
          <t>의약품</t>
        </is>
      </c>
      <c r="E86" t="inlineStr">
        <is>
          <t>1603</t>
        </is>
      </c>
      <c r="F86" t="inlineStr">
        <is>
          <t>오규석</t>
        </is>
      </c>
      <c r="G86" t="inlineStr">
        <is>
          <t>1981-02-06</t>
        </is>
      </c>
      <c r="H86" t="inlineStr">
        <is>
          <t>19810206</t>
        </is>
      </c>
      <c r="I86" t="inlineStr">
        <is>
          <t>10</t>
        </is>
      </c>
      <c r="J86" t="inlineStr">
        <is>
          <t>파주</t>
        </is>
      </c>
      <c r="K86" t="inlineStr">
        <is>
          <t>031-491-2648</t>
        </is>
      </c>
      <c r="L86" t="inlineStr">
        <is>
          <t>경기도 파주시 월롱면 엘씨디로 284</t>
        </is>
      </c>
      <c r="M86" t="inlineStr"/>
      <c r="N86" t="inlineStr">
        <is>
          <t>경기도 파주시 월롱면 엘씨디로 284</t>
        </is>
      </c>
      <c r="O86" t="inlineStr">
        <is>
          <t>경기도</t>
        </is>
      </c>
      <c r="P86" t="inlineStr">
        <is>
          <t>파주시</t>
        </is>
      </c>
      <c r="Q86" t="inlineStr">
        <is>
          <t>N</t>
        </is>
      </c>
      <c r="R86" t="n">
        <v>0</v>
      </c>
    </row>
    <row r="87">
      <c r="A87" t="n">
        <v>86</v>
      </c>
      <c r="B87" t="inlineStr">
        <is>
          <t>에스티팜주식회사</t>
        </is>
      </c>
      <c r="C87" t="inlineStr">
        <is>
          <t>에스티팜</t>
        </is>
      </c>
      <c r="D87" t="inlineStr">
        <is>
          <t>의약품</t>
        </is>
      </c>
      <c r="E87" t="inlineStr">
        <is>
          <t>1301</t>
        </is>
      </c>
      <c r="F87" t="inlineStr">
        <is>
          <t>성무제</t>
        </is>
      </c>
      <c r="G87" t="inlineStr">
        <is>
          <t>1955-04-11</t>
        </is>
      </c>
      <c r="H87" t="inlineStr">
        <is>
          <t>19550411</t>
        </is>
      </c>
      <c r="I87" t="inlineStr">
        <is>
          <t>5</t>
        </is>
      </c>
      <c r="J87" t="inlineStr">
        <is>
          <t>안산</t>
        </is>
      </c>
      <c r="K87" t="inlineStr"/>
      <c r="L87" t="inlineStr">
        <is>
          <t>경기도 안산시 단원구 해안로 171</t>
        </is>
      </c>
      <c r="M87" t="inlineStr"/>
      <c r="N87" t="inlineStr">
        <is>
          <t>경기도 안산시 단원구 해안로 171</t>
        </is>
      </c>
      <c r="O87" t="inlineStr">
        <is>
          <t>경기도</t>
        </is>
      </c>
      <c r="P87" t="inlineStr">
        <is>
          <t>안산시</t>
        </is>
      </c>
      <c r="Q87" t="inlineStr">
        <is>
          <t>N</t>
        </is>
      </c>
      <c r="R87" t="n">
        <v>0</v>
      </c>
    </row>
    <row r="88">
      <c r="A88" t="n">
        <v>87</v>
      </c>
      <c r="B88" t="inlineStr">
        <is>
          <t>경남제약(주)</t>
        </is>
      </c>
      <c r="C88" t="inlineStr">
        <is>
          <t>경남제약</t>
        </is>
      </c>
      <c r="D88" t="inlineStr">
        <is>
          <t>의약품</t>
        </is>
      </c>
      <c r="E88" t="inlineStr">
        <is>
          <t>1341</t>
        </is>
      </c>
      <c r="F88" t="inlineStr">
        <is>
          <t>김성곤</t>
        </is>
      </c>
      <c r="G88" t="inlineStr">
        <is>
          <t>1957-06-01</t>
        </is>
      </c>
      <c r="H88" t="inlineStr">
        <is>
          <t>19570601</t>
        </is>
      </c>
      <c r="I88" t="inlineStr">
        <is>
          <t>1</t>
        </is>
      </c>
      <c r="J88" t="inlineStr">
        <is>
          <t>아산</t>
        </is>
      </c>
      <c r="K88" t="inlineStr">
        <is>
          <t>041-543-7881</t>
        </is>
      </c>
      <c r="L88" t="inlineStr">
        <is>
          <t>충청남도 아산시 신창면 서부남로790번길 49</t>
        </is>
      </c>
      <c r="M88" t="inlineStr"/>
      <c r="N88" t="inlineStr">
        <is>
          <t>충청남도 아산시 신창면 서부남로790번길 49</t>
        </is>
      </c>
      <c r="O88" t="inlineStr">
        <is>
          <t>충청남도</t>
        </is>
      </c>
      <c r="P88" t="inlineStr">
        <is>
          <t>아산시</t>
        </is>
      </c>
      <c r="Q88" t="inlineStr">
        <is>
          <t>N</t>
        </is>
      </c>
      <c r="R88" t="n">
        <v>0</v>
      </c>
    </row>
    <row r="89">
      <c r="A89" t="n">
        <v>88</v>
      </c>
      <c r="B89" t="inlineStr">
        <is>
          <t>지에이치(주)</t>
        </is>
      </c>
      <c r="C89" t="inlineStr">
        <is>
          <t>지에이치</t>
        </is>
      </c>
      <c r="D89" t="inlineStr">
        <is>
          <t>의약품</t>
        </is>
      </c>
      <c r="E89" t="inlineStr">
        <is>
          <t>2636</t>
        </is>
      </c>
      <c r="F89" t="inlineStr">
        <is>
          <t>이희경</t>
        </is>
      </c>
      <c r="G89" t="inlineStr">
        <is>
          <t>2016-11-11</t>
        </is>
      </c>
      <c r="H89" t="inlineStr">
        <is>
          <t>20161111</t>
        </is>
      </c>
      <c r="I89" t="inlineStr">
        <is>
          <t>1</t>
        </is>
      </c>
      <c r="J89" t="inlineStr">
        <is>
          <t>응봉공장</t>
        </is>
      </c>
      <c r="K89" t="inlineStr">
        <is>
          <t>02-587-9123</t>
        </is>
      </c>
      <c r="L89" t="inlineStr">
        <is>
          <t>충청남도 예산군 응봉면 응봉로 50-33</t>
        </is>
      </c>
      <c r="M89" t="inlineStr"/>
      <c r="N89" t="inlineStr">
        <is>
          <t>충청남도 예산군 응봉면 응봉로 50-33</t>
        </is>
      </c>
      <c r="O89" t="inlineStr">
        <is>
          <t>충청남도</t>
        </is>
      </c>
      <c r="P89" t="inlineStr">
        <is>
          <t>예산군</t>
        </is>
      </c>
      <c r="Q89" t="inlineStr">
        <is>
          <t>N</t>
        </is>
      </c>
      <c r="R89" t="n">
        <v>0</v>
      </c>
    </row>
    <row r="90">
      <c r="A90" t="n">
        <v>89</v>
      </c>
      <c r="B90" t="inlineStr">
        <is>
          <t>제이더블유중외제약(주)</t>
        </is>
      </c>
      <c r="C90" t="inlineStr">
        <is>
          <t>제이더블유중외제약</t>
        </is>
      </c>
      <c r="D90" t="inlineStr">
        <is>
          <t>의약품</t>
        </is>
      </c>
      <c r="E90" t="inlineStr">
        <is>
          <t>1302</t>
        </is>
      </c>
      <c r="F90" t="inlineStr">
        <is>
          <t>신영섭</t>
        </is>
      </c>
      <c r="G90" t="inlineStr">
        <is>
          <t>1955-04-14</t>
        </is>
      </c>
      <c r="H90" t="inlineStr">
        <is>
          <t>19550414</t>
        </is>
      </c>
      <c r="I90" t="inlineStr">
        <is>
          <t>1</t>
        </is>
      </c>
      <c r="J90" t="inlineStr">
        <is>
          <t>화성</t>
        </is>
      </c>
      <c r="K90" t="inlineStr">
        <is>
          <t>02-840-6986</t>
        </is>
      </c>
      <c r="L90" t="inlineStr"/>
      <c r="M90" t="inlineStr">
        <is>
          <t>경기도 화성시 안녕남로 171</t>
        </is>
      </c>
      <c r="N90" t="inlineStr">
        <is>
          <t>경기도 화성시 안녕남로 171</t>
        </is>
      </c>
      <c r="O90" t="inlineStr">
        <is>
          <t>경기도</t>
        </is>
      </c>
      <c r="P90" t="inlineStr">
        <is>
          <t>화성시</t>
        </is>
      </c>
      <c r="Q90" t="inlineStr">
        <is>
          <t>Y</t>
        </is>
      </c>
      <c r="R90" t="n">
        <v>16</v>
      </c>
    </row>
    <row r="91">
      <c r="A91" t="n">
        <v>90</v>
      </c>
      <c r="B91" t="inlineStr">
        <is>
          <t>동화약품(주)</t>
        </is>
      </c>
      <c r="C91" t="inlineStr">
        <is>
          <t>동화약품</t>
        </is>
      </c>
      <c r="D91" t="inlineStr">
        <is>
          <t>의약품</t>
        </is>
      </c>
      <c r="E91" t="inlineStr">
        <is>
          <t>1331</t>
        </is>
      </c>
      <c r="F91" t="inlineStr">
        <is>
          <t>유준하</t>
        </is>
      </c>
      <c r="G91" t="inlineStr">
        <is>
          <t>1957-01-30</t>
        </is>
      </c>
      <c r="H91" t="inlineStr">
        <is>
          <t>19570130</t>
        </is>
      </c>
      <c r="I91" t="inlineStr">
        <is>
          <t>3</t>
        </is>
      </c>
      <c r="J91" t="inlineStr">
        <is>
          <t>안산</t>
        </is>
      </c>
      <c r="K91" t="inlineStr"/>
      <c r="L91" t="inlineStr">
        <is>
          <t>경기도 안산시 단원구 첨단로207번길 58</t>
        </is>
      </c>
      <c r="M91" t="inlineStr">
        <is>
          <t>7동, 9동</t>
        </is>
      </c>
      <c r="N91" t="inlineStr">
        <is>
          <t>경기도 안산시 단원구 첨단로207번길 58 7동, 9동</t>
        </is>
      </c>
      <c r="O91" t="inlineStr">
        <is>
          <t>경기도</t>
        </is>
      </c>
      <c r="P91" t="inlineStr">
        <is>
          <t>안산시</t>
        </is>
      </c>
      <c r="Q91" t="inlineStr">
        <is>
          <t>N</t>
        </is>
      </c>
      <c r="R91" t="n">
        <v>0</v>
      </c>
    </row>
    <row r="92">
      <c r="A92" t="n">
        <v>91</v>
      </c>
      <c r="B92" t="inlineStr">
        <is>
          <t>일동제약(주)</t>
        </is>
      </c>
      <c r="C92" t="inlineStr">
        <is>
          <t>일동제약</t>
        </is>
      </c>
      <c r="D92" t="inlineStr">
        <is>
          <t>의약품</t>
        </is>
      </c>
      <c r="E92" t="inlineStr">
        <is>
          <t>1293</t>
        </is>
      </c>
      <c r="F92" t="inlineStr">
        <is>
          <t>이재준</t>
        </is>
      </c>
      <c r="G92" t="inlineStr">
        <is>
          <t>1954-12-31</t>
        </is>
      </c>
      <c r="H92" t="inlineStr">
        <is>
          <t>19541231</t>
        </is>
      </c>
      <c r="I92" t="inlineStr">
        <is>
          <t>1</t>
        </is>
      </c>
      <c r="J92" t="inlineStr">
        <is>
          <t>안성</t>
        </is>
      </c>
      <c r="K92" t="inlineStr">
        <is>
          <t>02-526-3388</t>
        </is>
      </c>
      <c r="L92" t="inlineStr">
        <is>
          <t>경기도 안성시 공단1로 25</t>
        </is>
      </c>
      <c r="M92" t="inlineStr"/>
      <c r="N92" t="inlineStr">
        <is>
          <t>경기도 안성시 공단1로 25</t>
        </is>
      </c>
      <c r="O92" t="inlineStr">
        <is>
          <t>경기도</t>
        </is>
      </c>
      <c r="P92" t="inlineStr">
        <is>
          <t>안성시</t>
        </is>
      </c>
      <c r="Q92" t="inlineStr">
        <is>
          <t>Y</t>
        </is>
      </c>
      <c r="R92" t="n">
        <v>17</v>
      </c>
    </row>
    <row r="93">
      <c r="A93" t="n">
        <v>92</v>
      </c>
      <c r="B93" t="inlineStr">
        <is>
          <t>신일제약(주)</t>
        </is>
      </c>
      <c r="C93" t="inlineStr">
        <is>
          <t>신일제약</t>
        </is>
      </c>
      <c r="D93" t="inlineStr">
        <is>
          <t>의약품</t>
        </is>
      </c>
      <c r="E93" t="inlineStr">
        <is>
          <t>1321</t>
        </is>
      </c>
      <c r="F93" t="inlineStr">
        <is>
          <t>홍재현</t>
        </is>
      </c>
      <c r="G93" t="inlineStr">
        <is>
          <t>1956-07-20</t>
        </is>
      </c>
      <c r="H93" t="inlineStr">
        <is>
          <t>19560720</t>
        </is>
      </c>
      <c r="I93" t="inlineStr">
        <is>
          <t>1</t>
        </is>
      </c>
      <c r="J93" t="inlineStr">
        <is>
          <t>충주</t>
        </is>
      </c>
      <c r="K93" t="inlineStr">
        <is>
          <t>043-855-3944</t>
        </is>
      </c>
      <c r="L93" t="inlineStr">
        <is>
          <t>충청북도 충주시 앙성면 복상골길 28</t>
        </is>
      </c>
      <c r="M93" t="inlineStr"/>
      <c r="N93" t="inlineStr">
        <is>
          <t>충청북도 충주시 앙성면 복상골길 28</t>
        </is>
      </c>
      <c r="O93" t="inlineStr">
        <is>
          <t>충청북도</t>
        </is>
      </c>
      <c r="P93" t="inlineStr">
        <is>
          <t>충주시</t>
        </is>
      </c>
      <c r="Q93" t="inlineStr">
        <is>
          <t>N</t>
        </is>
      </c>
      <c r="R93" t="n">
        <v>0</v>
      </c>
    </row>
    <row r="94">
      <c r="A94" t="n">
        <v>93</v>
      </c>
      <c r="B94" t="inlineStr">
        <is>
          <t>시니어과학생명주식회사</t>
        </is>
      </c>
      <c r="C94" t="inlineStr">
        <is>
          <t>시니어과학생명</t>
        </is>
      </c>
      <c r="D94" t="inlineStr">
        <is>
          <t>의약품</t>
        </is>
      </c>
      <c r="E94" t="inlineStr">
        <is>
          <t>359</t>
        </is>
      </c>
      <c r="F94" t="inlineStr">
        <is>
          <t>김선동</t>
        </is>
      </c>
      <c r="G94" t="inlineStr">
        <is>
          <t>2016-09-27</t>
        </is>
      </c>
      <c r="H94" t="inlineStr">
        <is>
          <t>20160927</t>
        </is>
      </c>
      <c r="I94" t="inlineStr">
        <is>
          <t>1</t>
        </is>
      </c>
      <c r="J94" t="inlineStr">
        <is>
          <t>R&amp;D센터</t>
        </is>
      </c>
      <c r="K94" t="inlineStr">
        <is>
          <t>02-780-2646</t>
        </is>
      </c>
      <c r="L94" t="inlineStr">
        <is>
          <t>서울특별시 금천구 가산디지털1로 25 대륭테크노타운 17차</t>
        </is>
      </c>
      <c r="M94" t="inlineStr">
        <is>
          <t>1101호,1102호,1103호</t>
        </is>
      </c>
      <c r="N94" t="inlineStr">
        <is>
          <t>서울특별시 금천구 가산디지털1로 25 대륭테크노타운 17차 1101호,1102호,1103호</t>
        </is>
      </c>
      <c r="O94" t="inlineStr">
        <is>
          <t>서울특별시</t>
        </is>
      </c>
      <c r="P94" t="inlineStr">
        <is>
          <t>금천구</t>
        </is>
      </c>
      <c r="Q94" t="inlineStr">
        <is>
          <t>N</t>
        </is>
      </c>
      <c r="R94" t="n">
        <v>0</v>
      </c>
    </row>
    <row r="95">
      <c r="A95" t="n">
        <v>94</v>
      </c>
      <c r="B95" t="inlineStr">
        <is>
          <t>엔비케이제약(주)</t>
        </is>
      </c>
      <c r="C95" t="inlineStr">
        <is>
          <t>엔비케이제약</t>
        </is>
      </c>
      <c r="D95" t="inlineStr">
        <is>
          <t>의약품</t>
        </is>
      </c>
      <c r="E95" t="inlineStr">
        <is>
          <t>1309</t>
        </is>
      </c>
      <c r="F95" t="inlineStr">
        <is>
          <t>이상헌</t>
        </is>
      </c>
      <c r="G95" t="inlineStr">
        <is>
          <t>1955-10-07</t>
        </is>
      </c>
      <c r="H95" t="inlineStr">
        <is>
          <t>19551007</t>
        </is>
      </c>
      <c r="I95" t="inlineStr">
        <is>
          <t>1</t>
        </is>
      </c>
      <c r="J95" t="inlineStr">
        <is>
          <t>천안</t>
        </is>
      </c>
      <c r="K95" t="inlineStr">
        <is>
          <t>041-578-7490</t>
        </is>
      </c>
      <c r="L95" t="inlineStr">
        <is>
          <t>충청남도 천안시 동남구 풍세면 풍세로 539</t>
        </is>
      </c>
      <c r="M95" t="inlineStr"/>
      <c r="N95" t="inlineStr">
        <is>
          <t>충청남도 천안시 동남구 풍세면 풍세로 539</t>
        </is>
      </c>
      <c r="O95" t="inlineStr">
        <is>
          <t>충청남도</t>
        </is>
      </c>
      <c r="P95" t="inlineStr">
        <is>
          <t>천안시</t>
        </is>
      </c>
      <c r="Q95" t="inlineStr">
        <is>
          <t>N</t>
        </is>
      </c>
      <c r="R95" t="n">
        <v>0</v>
      </c>
    </row>
    <row r="96">
      <c r="A96" t="n">
        <v>95</v>
      </c>
      <c r="B96" t="inlineStr">
        <is>
          <t>대금제약</t>
        </is>
      </c>
      <c r="C96" t="inlineStr">
        <is>
          <t>대금제약</t>
        </is>
      </c>
      <c r="D96" t="inlineStr">
        <is>
          <t>의약품</t>
        </is>
      </c>
      <c r="E96" t="inlineStr">
        <is>
          <t>2629</t>
        </is>
      </c>
      <c r="F96" t="inlineStr">
        <is>
          <t>염현숙</t>
        </is>
      </c>
      <c r="G96" t="inlineStr">
        <is>
          <t>2015-12-30</t>
        </is>
      </c>
      <c r="H96" t="inlineStr">
        <is>
          <t>20151230</t>
        </is>
      </c>
      <c r="I96" t="inlineStr">
        <is>
          <t>1</t>
        </is>
      </c>
      <c r="J96" t="inlineStr">
        <is>
          <t>제1공장</t>
        </is>
      </c>
      <c r="K96" t="inlineStr">
        <is>
          <t>041-752-2734</t>
        </is>
      </c>
      <c r="L96" t="inlineStr">
        <is>
          <t>충청남도 금산군 금성면 구름고개길 68-6</t>
        </is>
      </c>
      <c r="M96" t="inlineStr"/>
      <c r="N96" t="inlineStr">
        <is>
          <t>충청남도 금산군 금성면 구름고개길 68-6</t>
        </is>
      </c>
      <c r="O96" t="inlineStr">
        <is>
          <t>충청남도</t>
        </is>
      </c>
      <c r="P96" t="inlineStr">
        <is>
          <t>금산군</t>
        </is>
      </c>
      <c r="Q96" t="inlineStr">
        <is>
          <t>N</t>
        </is>
      </c>
      <c r="R96" t="n">
        <v>0</v>
      </c>
    </row>
    <row r="97">
      <c r="A97" t="n">
        <v>96</v>
      </c>
      <c r="B97" t="inlineStr">
        <is>
          <t>(주)마더스제약</t>
        </is>
      </c>
      <c r="C97" t="inlineStr">
        <is>
          <t>마더스제약</t>
        </is>
      </c>
      <c r="D97" t="inlineStr">
        <is>
          <t>의약품</t>
        </is>
      </c>
      <c r="E97" t="inlineStr">
        <is>
          <t>1313</t>
        </is>
      </c>
      <c r="F97" t="inlineStr">
        <is>
          <t>김좌진</t>
        </is>
      </c>
      <c r="G97" t="inlineStr">
        <is>
          <t>1955-12-24</t>
        </is>
      </c>
      <c r="H97" t="inlineStr">
        <is>
          <t>19551224</t>
        </is>
      </c>
      <c r="I97" t="inlineStr">
        <is>
          <t>3</t>
        </is>
      </c>
      <c r="J97" t="inlineStr">
        <is>
          <t>(주)마더스제약 제2공장</t>
        </is>
      </c>
      <c r="K97" t="inlineStr"/>
      <c r="L97" t="inlineStr">
        <is>
          <t>전북특별자치도 익산시 삼기면 산단오룡길 38</t>
        </is>
      </c>
      <c r="M97" t="inlineStr">
        <is>
          <t>마더스제약 제2공장</t>
        </is>
      </c>
      <c r="N97" t="inlineStr">
        <is>
          <t>전북특별자치도 익산시 삼기면 산단오룡길 38 마더스제약 제2공장</t>
        </is>
      </c>
      <c r="O97" t="inlineStr">
        <is>
          <t>전북특별자치도</t>
        </is>
      </c>
      <c r="P97" t="inlineStr">
        <is>
          <t>익산시</t>
        </is>
      </c>
      <c r="Q97" t="inlineStr">
        <is>
          <t>N</t>
        </is>
      </c>
      <c r="R97" t="n">
        <v>0</v>
      </c>
    </row>
    <row r="98">
      <c r="A98" t="n">
        <v>97</v>
      </c>
      <c r="B98" t="inlineStr">
        <is>
          <t>한성산업(주)</t>
        </is>
      </c>
      <c r="C98" t="inlineStr">
        <is>
          <t>한성산업</t>
        </is>
      </c>
      <c r="D98" t="inlineStr">
        <is>
          <t>의약품</t>
        </is>
      </c>
      <c r="E98" t="inlineStr">
        <is>
          <t>2179</t>
        </is>
      </c>
      <c r="F98" t="inlineStr">
        <is>
          <t>양주은</t>
        </is>
      </c>
      <c r="G98" t="inlineStr">
        <is>
          <t>2001-01-04</t>
        </is>
      </c>
      <c r="H98" t="inlineStr">
        <is>
          <t>20010104</t>
        </is>
      </c>
      <c r="I98" t="inlineStr">
        <is>
          <t>1</t>
        </is>
      </c>
      <c r="J98" t="inlineStr">
        <is>
          <t>경주</t>
        </is>
      </c>
      <c r="K98" t="inlineStr">
        <is>
          <t>054-776-0001</t>
        </is>
      </c>
      <c r="L98" t="inlineStr">
        <is>
          <t>경상북도 경주시 광중길 18</t>
        </is>
      </c>
      <c r="M98" t="inlineStr"/>
      <c r="N98" t="inlineStr">
        <is>
          <t>경상북도 경주시 광중길 18</t>
        </is>
      </c>
      <c r="O98" t="inlineStr">
        <is>
          <t>경상북도</t>
        </is>
      </c>
      <c r="P98" t="inlineStr">
        <is>
          <t>경주시</t>
        </is>
      </c>
      <c r="Q98" t="inlineStr">
        <is>
          <t>Y</t>
        </is>
      </c>
      <c r="R98" t="n">
        <v>18</v>
      </c>
    </row>
    <row r="99">
      <c r="A99" t="n">
        <v>98</v>
      </c>
      <c r="B99" t="inlineStr">
        <is>
          <t>농협경제지주(주)한국인삼검사소</t>
        </is>
      </c>
      <c r="C99" t="inlineStr">
        <is>
          <t>농협경제지주한국인삼검사소</t>
        </is>
      </c>
      <c r="D99" t="inlineStr">
        <is>
          <t>의약품</t>
        </is>
      </c>
      <c r="E99" t="inlineStr">
        <is>
          <t>2626</t>
        </is>
      </c>
      <c r="F99" t="inlineStr">
        <is>
          <t>김정룡</t>
        </is>
      </c>
      <c r="G99" t="inlineStr">
        <is>
          <t>2015-08-21</t>
        </is>
      </c>
      <c r="H99" t="inlineStr">
        <is>
          <t>20150821</t>
        </is>
      </c>
      <c r="I99" t="inlineStr">
        <is>
          <t>1</t>
        </is>
      </c>
      <c r="J99" t="inlineStr">
        <is>
          <t>1공장</t>
        </is>
      </c>
      <c r="K99" t="inlineStr">
        <is>
          <t>041-751-3010</t>
        </is>
      </c>
      <c r="L99" t="inlineStr">
        <is>
          <t>충청남도 금산군 금산읍 방아동길 52</t>
        </is>
      </c>
      <c r="M99" t="inlineStr"/>
      <c r="N99" t="inlineStr">
        <is>
          <t>충청남도 금산군 금산읍 방아동길 52</t>
        </is>
      </c>
      <c r="O99" t="inlineStr">
        <is>
          <t>충청남도</t>
        </is>
      </c>
      <c r="P99" t="inlineStr">
        <is>
          <t>금산군</t>
        </is>
      </c>
      <c r="Q99" t="inlineStr">
        <is>
          <t>N</t>
        </is>
      </c>
      <c r="R99" t="n">
        <v>0</v>
      </c>
    </row>
    <row r="100">
      <c r="A100" t="n">
        <v>99</v>
      </c>
      <c r="B100" t="inlineStr">
        <is>
          <t>(주)진수녹용</t>
        </is>
      </c>
      <c r="C100" t="inlineStr">
        <is>
          <t>진수녹용</t>
        </is>
      </c>
      <c r="D100" t="inlineStr">
        <is>
          <t>의약품</t>
        </is>
      </c>
      <c r="E100" t="inlineStr">
        <is>
          <t>2230</t>
        </is>
      </c>
      <c r="F100" t="inlineStr">
        <is>
          <t>이진수</t>
        </is>
      </c>
      <c r="G100" t="inlineStr">
        <is>
          <t>2001-08-07</t>
        </is>
      </c>
      <c r="H100" t="inlineStr">
        <is>
          <t>20010807</t>
        </is>
      </c>
      <c r="I100" t="inlineStr">
        <is>
          <t>1</t>
        </is>
      </c>
      <c r="J100" t="inlineStr">
        <is>
          <t>서울</t>
        </is>
      </c>
      <c r="K100" t="inlineStr"/>
      <c r="L100" t="inlineStr">
        <is>
          <t>서울특별시 동대문구 약령중앙로 42-6</t>
        </is>
      </c>
      <c r="M100" t="inlineStr">
        <is>
          <t>2층, 3층</t>
        </is>
      </c>
      <c r="N100" t="inlineStr">
        <is>
          <t>서울특별시 동대문구 약령중앙로 42-6 2층, 3층</t>
        </is>
      </c>
      <c r="O100" t="inlineStr">
        <is>
          <t>서울특별시</t>
        </is>
      </c>
      <c r="P100" t="inlineStr">
        <is>
          <t>동대문구</t>
        </is>
      </c>
      <c r="Q100" t="inlineStr">
        <is>
          <t>N</t>
        </is>
      </c>
      <c r="R100" t="n">
        <v>0</v>
      </c>
    </row>
    <row r="101">
      <c r="A101" t="n">
        <v>100</v>
      </c>
      <c r="B101" t="inlineStr">
        <is>
          <t>(주)하이텍팜</t>
        </is>
      </c>
      <c r="C101" t="inlineStr">
        <is>
          <t>하이텍팜</t>
        </is>
      </c>
      <c r="D101" t="inlineStr">
        <is>
          <t>의약품</t>
        </is>
      </c>
      <c r="E101" t="inlineStr">
        <is>
          <t>2016</t>
        </is>
      </c>
      <c r="F101" t="inlineStr">
        <is>
          <t>차현준</t>
        </is>
      </c>
      <c r="G101" t="inlineStr">
        <is>
          <t>1998-09-07</t>
        </is>
      </c>
      <c r="H101" t="inlineStr">
        <is>
          <t>19980907</t>
        </is>
      </c>
      <c r="I101" t="inlineStr">
        <is>
          <t>1</t>
        </is>
      </c>
      <c r="J101" t="inlineStr">
        <is>
          <t>음성</t>
        </is>
      </c>
      <c r="K101" t="inlineStr">
        <is>
          <t>043-883-0012</t>
        </is>
      </c>
      <c r="L101" t="inlineStr">
        <is>
          <t>충청북도 음성군 대소읍 신내로 280</t>
        </is>
      </c>
      <c r="M101" t="inlineStr"/>
      <c r="N101" t="inlineStr">
        <is>
          <t>충청북도 음성군 대소읍 신내로 280</t>
        </is>
      </c>
      <c r="O101" t="inlineStr">
        <is>
          <t>충청북도</t>
        </is>
      </c>
      <c r="P101" t="inlineStr">
        <is>
          <t>음성군</t>
        </is>
      </c>
      <c r="Q101" t="inlineStr">
        <is>
          <t>N</t>
        </is>
      </c>
      <c r="R101" t="n">
        <v>0</v>
      </c>
    </row>
    <row r="102">
      <c r="A102" t="n">
        <v>101</v>
      </c>
      <c r="B102" t="inlineStr">
        <is>
          <t>(주)온누리바이오생약</t>
        </is>
      </c>
      <c r="C102" t="inlineStr">
        <is>
          <t>온누리바이오생약</t>
        </is>
      </c>
      <c r="D102" t="inlineStr">
        <is>
          <t>의약품</t>
        </is>
      </c>
      <c r="E102" t="inlineStr">
        <is>
          <t>369</t>
        </is>
      </c>
      <c r="F102" t="inlineStr">
        <is>
          <t>김성규</t>
        </is>
      </c>
      <c r="G102" t="inlineStr">
        <is>
          <t>2015-01-23</t>
        </is>
      </c>
      <c r="H102" t="inlineStr">
        <is>
          <t>20150123</t>
        </is>
      </c>
      <c r="I102" t="inlineStr">
        <is>
          <t>2</t>
        </is>
      </c>
      <c r="J102" t="inlineStr">
        <is>
          <t>제2공장</t>
        </is>
      </c>
      <c r="K102" t="inlineStr"/>
      <c r="L102" t="inlineStr">
        <is>
          <t>경기도 광주시 초월읍 현산로 295-17</t>
        </is>
      </c>
      <c r="M102" t="inlineStr"/>
      <c r="N102" t="inlineStr">
        <is>
          <t>경기도 광주시 초월읍 현산로 295-17</t>
        </is>
      </c>
      <c r="O102" t="inlineStr">
        <is>
          <t>경기도</t>
        </is>
      </c>
      <c r="P102" t="inlineStr">
        <is>
          <t>광주시</t>
        </is>
      </c>
      <c r="Q102" t="inlineStr">
        <is>
          <t>N</t>
        </is>
      </c>
      <c r="R102" t="n">
        <v>0</v>
      </c>
    </row>
    <row r="103">
      <c r="A103" t="n">
        <v>102</v>
      </c>
      <c r="B103" t="inlineStr">
        <is>
          <t>(주)유일팜테크</t>
        </is>
      </c>
      <c r="C103" t="inlineStr">
        <is>
          <t>유일팜테크</t>
        </is>
      </c>
      <c r="D103" t="inlineStr">
        <is>
          <t>의약품</t>
        </is>
      </c>
      <c r="E103" t="inlineStr">
        <is>
          <t>2236</t>
        </is>
      </c>
      <c r="F103" t="inlineStr">
        <is>
          <t>김한석</t>
        </is>
      </c>
      <c r="G103" t="inlineStr">
        <is>
          <t>2001-08-27</t>
        </is>
      </c>
      <c r="H103" t="inlineStr">
        <is>
          <t>20010827</t>
        </is>
      </c>
      <c r="I103" t="inlineStr">
        <is>
          <t>1</t>
        </is>
      </c>
      <c r="J103" t="inlineStr">
        <is>
          <t>진천</t>
        </is>
      </c>
      <c r="K103" t="inlineStr">
        <is>
          <t>043-537-2162</t>
        </is>
      </c>
      <c r="L103" t="inlineStr">
        <is>
          <t>충청북도 진천군 이월면 물미길 3</t>
        </is>
      </c>
      <c r="M103" t="inlineStr"/>
      <c r="N103" t="inlineStr">
        <is>
          <t>충청북도 진천군 이월면 물미길 3</t>
        </is>
      </c>
      <c r="O103" t="inlineStr">
        <is>
          <t>충청북도</t>
        </is>
      </c>
      <c r="P103" t="inlineStr">
        <is>
          <t>진천군</t>
        </is>
      </c>
      <c r="Q103" t="inlineStr">
        <is>
          <t>N</t>
        </is>
      </c>
      <c r="R103" t="n">
        <v>0</v>
      </c>
    </row>
    <row r="104">
      <c r="A104" t="n">
        <v>103</v>
      </c>
      <c r="B104" t="inlineStr">
        <is>
          <t>화일약품(주)</t>
        </is>
      </c>
      <c r="C104" t="inlineStr">
        <is>
          <t>화일약품</t>
        </is>
      </c>
      <c r="D104" t="inlineStr">
        <is>
          <t>의약품</t>
        </is>
      </c>
      <c r="E104" t="inlineStr">
        <is>
          <t>2014</t>
        </is>
      </c>
      <c r="F104" t="inlineStr">
        <is>
          <t>서생규</t>
        </is>
      </c>
      <c r="G104" t="inlineStr">
        <is>
          <t>1998-08-17</t>
        </is>
      </c>
      <c r="H104" t="inlineStr">
        <is>
          <t>19980817</t>
        </is>
      </c>
      <c r="I104" t="inlineStr">
        <is>
          <t>2</t>
        </is>
      </c>
      <c r="J104" t="inlineStr">
        <is>
          <t>안산시(완제의약품)</t>
        </is>
      </c>
      <c r="K104" t="inlineStr">
        <is>
          <t>031-491-4042</t>
        </is>
      </c>
      <c r="L104" t="inlineStr">
        <is>
          <t>경기도 안산시 단원구 산단로67번길 156</t>
        </is>
      </c>
      <c r="M104" t="inlineStr"/>
      <c r="N104" t="inlineStr">
        <is>
          <t>경기도 안산시 단원구 산단로67번길 156</t>
        </is>
      </c>
      <c r="O104" t="inlineStr">
        <is>
          <t>경기도</t>
        </is>
      </c>
      <c r="P104" t="inlineStr">
        <is>
          <t>안산시</t>
        </is>
      </c>
      <c r="Q104" t="inlineStr">
        <is>
          <t>Y</t>
        </is>
      </c>
      <c r="R104" t="n">
        <v>19</v>
      </c>
    </row>
    <row r="105">
      <c r="A105" t="n">
        <v>104</v>
      </c>
      <c r="B105" t="inlineStr">
        <is>
          <t>대성의료종합가스(주)</t>
        </is>
      </c>
      <c r="C105" t="inlineStr">
        <is>
          <t>대성의료종합가스</t>
        </is>
      </c>
      <c r="D105" t="inlineStr">
        <is>
          <t>의약품</t>
        </is>
      </c>
      <c r="E105" t="inlineStr">
        <is>
          <t>346</t>
        </is>
      </c>
      <c r="F105" t="inlineStr">
        <is>
          <t>이근우</t>
        </is>
      </c>
      <c r="G105" t="inlineStr">
        <is>
          <t>2014-07-24</t>
        </is>
      </c>
      <c r="H105" t="inlineStr">
        <is>
          <t>20140724</t>
        </is>
      </c>
      <c r="I105" t="inlineStr">
        <is>
          <t>2</t>
        </is>
      </c>
      <c r="J105" t="inlineStr">
        <is>
          <t>제2공장</t>
        </is>
      </c>
      <c r="K105" t="inlineStr">
        <is>
          <t>(031)585-7871</t>
        </is>
      </c>
      <c r="L105" t="inlineStr">
        <is>
          <t>경기도 가평군 조종면 비득재길 158</t>
        </is>
      </c>
      <c r="M105" t="inlineStr"/>
      <c r="N105" t="inlineStr">
        <is>
          <t>경기도 가평군 조종면 비득재길 158</t>
        </is>
      </c>
      <c r="O105" t="inlineStr">
        <is>
          <t>경기도</t>
        </is>
      </c>
      <c r="P105" t="inlineStr">
        <is>
          <t>가평군</t>
        </is>
      </c>
      <c r="Q105" t="inlineStr">
        <is>
          <t>N</t>
        </is>
      </c>
      <c r="R105" t="n">
        <v>0</v>
      </c>
    </row>
    <row r="106">
      <c r="A106" t="n">
        <v>105</v>
      </c>
      <c r="B106" t="inlineStr">
        <is>
          <t>풍산주식회사</t>
        </is>
      </c>
      <c r="C106" t="inlineStr">
        <is>
          <t>풍산</t>
        </is>
      </c>
      <c r="D106" t="inlineStr">
        <is>
          <t>의약품</t>
        </is>
      </c>
      <c r="E106" t="inlineStr">
        <is>
          <t>2155</t>
        </is>
      </c>
      <c r="F106" t="inlineStr">
        <is>
          <t>남종태</t>
        </is>
      </c>
      <c r="G106" t="inlineStr">
        <is>
          <t>2000-12-06</t>
        </is>
      </c>
      <c r="H106" t="inlineStr">
        <is>
          <t>20001206</t>
        </is>
      </c>
      <c r="I106" t="inlineStr">
        <is>
          <t>1</t>
        </is>
      </c>
      <c r="J106" t="inlineStr">
        <is>
          <t>안동</t>
        </is>
      </c>
      <c r="K106" t="inlineStr">
        <is>
          <t>054-858-2388</t>
        </is>
      </c>
      <c r="L106" t="inlineStr">
        <is>
          <t>경상북도 안동시 무주무6길 40</t>
        </is>
      </c>
      <c r="M106" t="inlineStr"/>
      <c r="N106" t="inlineStr">
        <is>
          <t>경상북도 안동시 무주무6길 40</t>
        </is>
      </c>
      <c r="O106" t="inlineStr">
        <is>
          <t>경상북도</t>
        </is>
      </c>
      <c r="P106" t="inlineStr">
        <is>
          <t>안동시</t>
        </is>
      </c>
      <c r="Q106" t="inlineStr">
        <is>
          <t>N</t>
        </is>
      </c>
      <c r="R106" t="n">
        <v>0</v>
      </c>
    </row>
    <row r="107">
      <c r="A107" t="n">
        <v>106</v>
      </c>
      <c r="B107" t="inlineStr">
        <is>
          <t>한국특수가스(주)</t>
        </is>
      </c>
      <c r="C107" t="inlineStr">
        <is>
          <t>한국특수가스</t>
        </is>
      </c>
      <c r="D107" t="inlineStr">
        <is>
          <t>의약품</t>
        </is>
      </c>
      <c r="E107" t="inlineStr">
        <is>
          <t>1909</t>
        </is>
      </c>
      <c r="F107" t="inlineStr">
        <is>
          <t>한승문</t>
        </is>
      </c>
      <c r="G107" t="inlineStr">
        <is>
          <t>1996-05-16</t>
        </is>
      </c>
      <c r="H107" t="inlineStr">
        <is>
          <t>19960516</t>
        </is>
      </c>
      <c r="I107" t="inlineStr">
        <is>
          <t>4</t>
        </is>
      </c>
      <c r="J107" t="inlineStr">
        <is>
          <t>한국특수가스(주) 군산사업장</t>
        </is>
      </c>
      <c r="K107" t="inlineStr"/>
      <c r="L107" t="inlineStr">
        <is>
          <t>전북특별자치도 군산시 외항1길 32-12</t>
        </is>
      </c>
      <c r="M107" t="inlineStr"/>
      <c r="N107" t="inlineStr">
        <is>
          <t>전북특별자치도 군산시 외항1길 32-12</t>
        </is>
      </c>
      <c r="O107" t="inlineStr">
        <is>
          <t>전북특별자치도</t>
        </is>
      </c>
      <c r="P107" t="inlineStr">
        <is>
          <t>군산시</t>
        </is>
      </c>
      <c r="Q107" t="inlineStr">
        <is>
          <t>Y</t>
        </is>
      </c>
      <c r="R107" t="n">
        <v>20</v>
      </c>
    </row>
    <row r="108">
      <c r="A108" t="n">
        <v>107</v>
      </c>
      <c r="B108" t="inlineStr">
        <is>
          <t>한국휴텍스제약(주)</t>
        </is>
      </c>
      <c r="C108" t="inlineStr">
        <is>
          <t>한국휴텍스제약</t>
        </is>
      </c>
      <c r="D108" t="inlineStr">
        <is>
          <t>의약품</t>
        </is>
      </c>
      <c r="E108" t="inlineStr">
        <is>
          <t>1666</t>
        </is>
      </c>
      <c r="F108" t="inlineStr">
        <is>
          <t>김성겸</t>
        </is>
      </c>
      <c r="G108" t="inlineStr">
        <is>
          <t>1986-09-15</t>
        </is>
      </c>
      <c r="H108" t="inlineStr">
        <is>
          <t>19860915</t>
        </is>
      </c>
      <c r="I108" t="inlineStr">
        <is>
          <t>3</t>
        </is>
      </c>
      <c r="J108" t="inlineStr">
        <is>
          <t>보관소</t>
        </is>
      </c>
      <c r="K108" t="inlineStr"/>
      <c r="L108" t="inlineStr">
        <is>
          <t>경기도 평택시 청북읍 청북중앙로 419</t>
        </is>
      </c>
      <c r="M108" t="inlineStr">
        <is>
          <t>A동, B동</t>
        </is>
      </c>
      <c r="N108" t="inlineStr">
        <is>
          <t>경기도 평택시 청북읍 청북중앙로 419 A동, B동</t>
        </is>
      </c>
      <c r="O108" t="inlineStr">
        <is>
          <t>경기도</t>
        </is>
      </c>
      <c r="P108" t="inlineStr">
        <is>
          <t>평택시</t>
        </is>
      </c>
      <c r="Q108" t="inlineStr">
        <is>
          <t>Y</t>
        </is>
      </c>
      <c r="R108" t="n">
        <v>21</v>
      </c>
    </row>
    <row r="109">
      <c r="A109" t="n">
        <v>108</v>
      </c>
      <c r="B109" t="inlineStr">
        <is>
          <t>(주)동양한방제약</t>
        </is>
      </c>
      <c r="C109" t="inlineStr">
        <is>
          <t>동양한방제약</t>
        </is>
      </c>
      <c r="D109" t="inlineStr">
        <is>
          <t>의약품</t>
        </is>
      </c>
      <c r="E109" t="inlineStr">
        <is>
          <t>1934</t>
        </is>
      </c>
      <c r="F109" t="inlineStr">
        <is>
          <t>윤성주</t>
        </is>
      </c>
      <c r="G109" t="inlineStr">
        <is>
          <t>1996-08-14</t>
        </is>
      </c>
      <c r="H109" t="inlineStr">
        <is>
          <t>19960814</t>
        </is>
      </c>
      <c r="I109" t="inlineStr">
        <is>
          <t>1</t>
        </is>
      </c>
      <c r="J109" t="inlineStr">
        <is>
          <t>공장</t>
        </is>
      </c>
      <c r="K109" t="inlineStr">
        <is>
          <t>031-534-3565</t>
        </is>
      </c>
      <c r="L109" t="inlineStr">
        <is>
          <t>경기도 포천시 가산면 정금로 121-38</t>
        </is>
      </c>
      <c r="M109" t="inlineStr">
        <is>
          <t>2동~4동</t>
        </is>
      </c>
      <c r="N109" t="inlineStr">
        <is>
          <t>경기도 포천시 가산면 정금로 121-38 2동~4동</t>
        </is>
      </c>
      <c r="O109" t="inlineStr">
        <is>
          <t>경기도</t>
        </is>
      </c>
      <c r="P109" t="inlineStr">
        <is>
          <t>포천시</t>
        </is>
      </c>
      <c r="Q109" t="inlineStr">
        <is>
          <t>N</t>
        </is>
      </c>
      <c r="R109" t="n">
        <v>0</v>
      </c>
    </row>
    <row r="110">
      <c r="A110" t="n">
        <v>109</v>
      </c>
      <c r="B110" t="inlineStr">
        <is>
          <t>(주)에니웨이</t>
        </is>
      </c>
      <c r="C110" t="inlineStr">
        <is>
          <t>에니웨이</t>
        </is>
      </c>
      <c r="D110" t="inlineStr">
        <is>
          <t>의약품</t>
        </is>
      </c>
      <c r="E110" t="inlineStr">
        <is>
          <t>753</t>
        </is>
      </c>
      <c r="F110" t="inlineStr">
        <is>
          <t>박정철</t>
        </is>
      </c>
      <c r="G110" t="inlineStr">
        <is>
          <t>2018-07-04</t>
        </is>
      </c>
      <c r="H110" t="inlineStr">
        <is>
          <t>20180704</t>
        </is>
      </c>
      <c r="I110" t="inlineStr">
        <is>
          <t>1</t>
        </is>
      </c>
      <c r="J110" t="inlineStr">
        <is>
          <t>(주)에니웨이</t>
        </is>
      </c>
      <c r="K110" t="inlineStr">
        <is>
          <t>0555874121</t>
        </is>
      </c>
      <c r="L110" t="inlineStr">
        <is>
          <t>경상남도 함안군 칠북면 영동1길 5</t>
        </is>
      </c>
      <c r="M110" t="inlineStr"/>
      <c r="N110" t="inlineStr">
        <is>
          <t>경상남도 함안군 칠북면 영동1길 5</t>
        </is>
      </c>
      <c r="O110" t="inlineStr">
        <is>
          <t>경상남도</t>
        </is>
      </c>
      <c r="P110" t="inlineStr">
        <is>
          <t>함안군</t>
        </is>
      </c>
      <c r="Q110" t="inlineStr">
        <is>
          <t>N</t>
        </is>
      </c>
      <c r="R110" t="n">
        <v>0</v>
      </c>
    </row>
    <row r="111">
      <c r="A111" t="n">
        <v>110</v>
      </c>
      <c r="B111" t="inlineStr">
        <is>
          <t>대신무약(주)</t>
        </is>
      </c>
      <c r="C111" t="inlineStr">
        <is>
          <t>대신무약</t>
        </is>
      </c>
      <c r="D111" t="inlineStr">
        <is>
          <t>의약품</t>
        </is>
      </c>
      <c r="E111" t="inlineStr">
        <is>
          <t>312</t>
        </is>
      </c>
      <c r="F111" t="inlineStr">
        <is>
          <t>김정덕</t>
        </is>
      </c>
      <c r="G111" t="inlineStr">
        <is>
          <t>1984-05-02</t>
        </is>
      </c>
      <c r="H111" t="inlineStr">
        <is>
          <t>19840502</t>
        </is>
      </c>
      <c r="I111" t="inlineStr">
        <is>
          <t>3</t>
        </is>
      </c>
      <c r="J111" t="inlineStr">
        <is>
          <t>제3보관소</t>
        </is>
      </c>
      <c r="K111" t="inlineStr"/>
      <c r="L111" t="inlineStr">
        <is>
          <t>경기도 평택시 청북읍 청북중앙로 298-20</t>
        </is>
      </c>
      <c r="M111" t="inlineStr"/>
      <c r="N111" t="inlineStr">
        <is>
          <t>경기도 평택시 청북읍 청북중앙로 298-20</t>
        </is>
      </c>
      <c r="O111" t="inlineStr">
        <is>
          <t>경기도</t>
        </is>
      </c>
      <c r="P111" t="inlineStr">
        <is>
          <t>평택시</t>
        </is>
      </c>
      <c r="Q111" t="inlineStr">
        <is>
          <t>N</t>
        </is>
      </c>
      <c r="R111" t="n">
        <v>0</v>
      </c>
    </row>
    <row r="112">
      <c r="A112" t="n">
        <v>111</v>
      </c>
      <c r="B112" t="inlineStr">
        <is>
          <t>주식회사군포가스</t>
        </is>
      </c>
      <c r="C112" t="inlineStr">
        <is>
          <t>군포가스</t>
        </is>
      </c>
      <c r="D112" t="inlineStr">
        <is>
          <t>의약품</t>
        </is>
      </c>
      <c r="E112" t="inlineStr">
        <is>
          <t>369</t>
        </is>
      </c>
      <c r="F112" t="inlineStr">
        <is>
          <t>손승국</t>
        </is>
      </c>
      <c r="G112" t="inlineStr">
        <is>
          <t>2018-02-14</t>
        </is>
      </c>
      <c r="H112" t="inlineStr">
        <is>
          <t>20180214</t>
        </is>
      </c>
      <c r="I112" t="inlineStr">
        <is>
          <t>1</t>
        </is>
      </c>
      <c r="J112" t="inlineStr">
        <is>
          <t>공장</t>
        </is>
      </c>
      <c r="K112" t="inlineStr">
        <is>
          <t>031-454-4001</t>
        </is>
      </c>
      <c r="L112" t="inlineStr">
        <is>
          <t>경기도 군포시 산본로86번길 41</t>
        </is>
      </c>
      <c r="M112" t="inlineStr">
        <is>
          <t>(당정동)</t>
        </is>
      </c>
      <c r="N112" t="inlineStr">
        <is>
          <t>경기도 군포시 산본로86번길 41 (당정동)</t>
        </is>
      </c>
      <c r="O112" t="inlineStr">
        <is>
          <t>경기도</t>
        </is>
      </c>
      <c r="P112" t="inlineStr">
        <is>
          <t>군포시</t>
        </is>
      </c>
      <c r="Q112" t="inlineStr">
        <is>
          <t>Y</t>
        </is>
      </c>
      <c r="R112" t="n">
        <v>22</v>
      </c>
    </row>
    <row r="113">
      <c r="A113" t="n">
        <v>112</v>
      </c>
      <c r="B113" t="inlineStr">
        <is>
          <t>대웅바이오(주)</t>
        </is>
      </c>
      <c r="C113" t="inlineStr">
        <is>
          <t>대웅바이오</t>
        </is>
      </c>
      <c r="D113" t="inlineStr">
        <is>
          <t>의약품</t>
        </is>
      </c>
      <c r="E113" t="inlineStr">
        <is>
          <t>1632</t>
        </is>
      </c>
      <c r="F113" t="inlineStr">
        <is>
          <t>진성곤</t>
        </is>
      </c>
      <c r="G113" t="inlineStr">
        <is>
          <t>1983-08-27</t>
        </is>
      </c>
      <c r="H113" t="inlineStr">
        <is>
          <t>19830827</t>
        </is>
      </c>
      <c r="I113" t="inlineStr">
        <is>
          <t>3</t>
        </is>
      </c>
      <c r="J113" t="inlineStr">
        <is>
          <t>안성</t>
        </is>
      </c>
      <c r="K113" t="inlineStr">
        <is>
          <t>031-353-5271~3</t>
        </is>
      </c>
      <c r="L113" t="inlineStr">
        <is>
          <t>경기도 안성시 공단1로 69</t>
        </is>
      </c>
      <c r="M113" t="inlineStr"/>
      <c r="N113" t="inlineStr">
        <is>
          <t>경기도 안성시 공단1로 69</t>
        </is>
      </c>
      <c r="O113" t="inlineStr">
        <is>
          <t>경기도</t>
        </is>
      </c>
      <c r="P113" t="inlineStr">
        <is>
          <t>안성시</t>
        </is>
      </c>
      <c r="Q113" t="inlineStr">
        <is>
          <t>N</t>
        </is>
      </c>
      <c r="R113" t="n">
        <v>0</v>
      </c>
    </row>
    <row r="114">
      <c r="A114" t="n">
        <v>113</v>
      </c>
      <c r="B114" t="inlineStr">
        <is>
          <t>동방산업가스</t>
        </is>
      </c>
      <c r="C114" t="inlineStr">
        <is>
          <t>동방산업가스</t>
        </is>
      </c>
      <c r="D114" t="inlineStr">
        <is>
          <t>의약품</t>
        </is>
      </c>
      <c r="E114" t="inlineStr">
        <is>
          <t>91</t>
        </is>
      </c>
      <c r="F114" t="inlineStr">
        <is>
          <t>김태건</t>
        </is>
      </c>
      <c r="G114" t="inlineStr">
        <is>
          <t>2017-07-14</t>
        </is>
      </c>
      <c r="H114" t="inlineStr">
        <is>
          <t>20170714</t>
        </is>
      </c>
      <c r="I114" t="inlineStr">
        <is>
          <t>1</t>
        </is>
      </c>
      <c r="J114" t="inlineStr">
        <is>
          <t>동방산업가스</t>
        </is>
      </c>
      <c r="K114" t="inlineStr">
        <is>
          <t>0548587593</t>
        </is>
      </c>
      <c r="L114" t="inlineStr">
        <is>
          <t>경상북도 안동시 풍산읍 절뒤길 34</t>
        </is>
      </c>
      <c r="M114" t="inlineStr">
        <is>
          <t>동방산업가스</t>
        </is>
      </c>
      <c r="N114" t="inlineStr">
        <is>
          <t>경상북도 안동시 풍산읍 절뒤길 34 동방산업가스</t>
        </is>
      </c>
      <c r="O114" t="inlineStr">
        <is>
          <t>경상북도</t>
        </is>
      </c>
      <c r="P114" t="inlineStr">
        <is>
          <t>안동시</t>
        </is>
      </c>
      <c r="Q114" t="inlineStr">
        <is>
          <t>N</t>
        </is>
      </c>
      <c r="R114" t="n">
        <v>0</v>
      </c>
    </row>
    <row r="115">
      <c r="A115" t="n">
        <v>114</v>
      </c>
      <c r="B115" t="inlineStr">
        <is>
          <t>디아이지에어가스(주)</t>
        </is>
      </c>
      <c r="C115" t="inlineStr">
        <is>
          <t>디아이지에어가스</t>
        </is>
      </c>
      <c r="D115" t="inlineStr">
        <is>
          <t>의약품</t>
        </is>
      </c>
      <c r="E115" t="inlineStr">
        <is>
          <t>1603</t>
        </is>
      </c>
      <c r="F115" t="inlineStr">
        <is>
          <t>오규석</t>
        </is>
      </c>
      <c r="G115" t="inlineStr">
        <is>
          <t>1981-02-06</t>
        </is>
      </c>
      <c r="H115" t="inlineStr">
        <is>
          <t>19810206</t>
        </is>
      </c>
      <c r="I115" t="inlineStr">
        <is>
          <t>14</t>
        </is>
      </c>
      <c r="J115" t="inlineStr">
        <is>
          <t>울산</t>
        </is>
      </c>
      <c r="K115" t="inlineStr">
        <is>
          <t>052-259-7221</t>
        </is>
      </c>
      <c r="L115" t="inlineStr">
        <is>
          <t>울산광역시 남구 처용로487번길 18-64</t>
        </is>
      </c>
      <c r="M115" t="inlineStr"/>
      <c r="N115" t="inlineStr">
        <is>
          <t>울산광역시 남구 처용로487번길 18-64</t>
        </is>
      </c>
      <c r="O115" t="inlineStr">
        <is>
          <t>울산광역시</t>
        </is>
      </c>
      <c r="P115" t="inlineStr">
        <is>
          <t>남구</t>
        </is>
      </c>
      <c r="Q115" t="inlineStr">
        <is>
          <t>N</t>
        </is>
      </c>
      <c r="R115" t="n">
        <v>0</v>
      </c>
    </row>
    <row r="116">
      <c r="A116" t="n">
        <v>115</v>
      </c>
      <c r="B116" t="inlineStr">
        <is>
          <t>한올바이오파마(주)</t>
        </is>
      </c>
      <c r="C116" t="inlineStr">
        <is>
          <t>한올바이오파마</t>
        </is>
      </c>
      <c r="D116" t="inlineStr">
        <is>
          <t>의약품</t>
        </is>
      </c>
      <c r="E116" t="inlineStr">
        <is>
          <t>1297</t>
        </is>
      </c>
      <c r="F116" t="inlineStr">
        <is>
          <t>박수진</t>
        </is>
      </c>
      <c r="G116" t="inlineStr">
        <is>
          <t>1955-02-01</t>
        </is>
      </c>
      <c r="H116" t="inlineStr">
        <is>
          <t>19550201</t>
        </is>
      </c>
      <c r="I116" t="inlineStr">
        <is>
          <t>1</t>
        </is>
      </c>
      <c r="J116" t="inlineStr">
        <is>
          <t>대전</t>
        </is>
      </c>
      <c r="K116" t="inlineStr">
        <is>
          <t>042-454-6105</t>
        </is>
      </c>
      <c r="L116" t="inlineStr">
        <is>
          <t>대전광역시 대덕구 상서당1길 43</t>
        </is>
      </c>
      <c r="M116" t="inlineStr"/>
      <c r="N116" t="inlineStr">
        <is>
          <t>대전광역시 대덕구 상서당1길 43</t>
        </is>
      </c>
      <c r="O116" t="inlineStr">
        <is>
          <t>대전광역시</t>
        </is>
      </c>
      <c r="P116" t="inlineStr">
        <is>
          <t>대덕구</t>
        </is>
      </c>
      <c r="Q116" t="inlineStr">
        <is>
          <t>Y</t>
        </is>
      </c>
      <c r="R116" t="n">
        <v>23</v>
      </c>
    </row>
    <row r="117">
      <c r="A117" t="n">
        <v>116</v>
      </c>
      <c r="B117" t="inlineStr">
        <is>
          <t>코스맥스파마(주)</t>
        </is>
      </c>
      <c r="C117" t="inlineStr">
        <is>
          <t>코스맥스파마</t>
        </is>
      </c>
      <c r="D117" t="inlineStr">
        <is>
          <t>의약품</t>
        </is>
      </c>
      <c r="E117" t="inlineStr">
        <is>
          <t>2638</t>
        </is>
      </c>
      <c r="F117" t="inlineStr">
        <is>
          <t>이호경</t>
        </is>
      </c>
      <c r="G117" t="inlineStr">
        <is>
          <t>2017-01-11</t>
        </is>
      </c>
      <c r="H117" t="inlineStr">
        <is>
          <t>20170111</t>
        </is>
      </c>
      <c r="I117" t="inlineStr">
        <is>
          <t>3</t>
        </is>
      </c>
      <c r="J117" t="inlineStr">
        <is>
          <t>보관소</t>
        </is>
      </c>
      <c r="K117" t="inlineStr">
        <is>
          <t>043-238-8477</t>
        </is>
      </c>
      <c r="L117" t="inlineStr">
        <is>
          <t>충청북도 제천시 제2바이오밸리로2길 38</t>
        </is>
      </c>
      <c r="M117" t="inlineStr"/>
      <c r="N117" t="inlineStr">
        <is>
          <t>충청북도 제천시 제2바이오밸리로2길 38</t>
        </is>
      </c>
      <c r="O117" t="inlineStr">
        <is>
          <t>충청북도</t>
        </is>
      </c>
      <c r="P117" t="inlineStr">
        <is>
          <t>제천시</t>
        </is>
      </c>
      <c r="Q117" t="inlineStr">
        <is>
          <t>N</t>
        </is>
      </c>
      <c r="R117" t="n">
        <v>0</v>
      </c>
    </row>
    <row r="118">
      <c r="A118" t="n">
        <v>117</v>
      </c>
      <c r="B118" t="inlineStr">
        <is>
          <t>제이더블유중외제약(주)</t>
        </is>
      </c>
      <c r="C118" t="inlineStr">
        <is>
          <t>제이더블유중외제약</t>
        </is>
      </c>
      <c r="D118" t="inlineStr">
        <is>
          <t>의약품</t>
        </is>
      </c>
      <c r="E118" t="inlineStr">
        <is>
          <t>1302</t>
        </is>
      </c>
      <c r="F118" t="inlineStr">
        <is>
          <t>신영섭</t>
        </is>
      </c>
      <c r="G118" t="inlineStr">
        <is>
          <t>1955-04-14</t>
        </is>
      </c>
      <c r="H118" t="inlineStr">
        <is>
          <t>19550414</t>
        </is>
      </c>
      <c r="I118" t="inlineStr">
        <is>
          <t>4</t>
        </is>
      </c>
      <c r="J118" t="inlineStr">
        <is>
          <t>당진</t>
        </is>
      </c>
      <c r="K118" t="inlineStr">
        <is>
          <t>02-840-6828</t>
        </is>
      </c>
      <c r="L118" t="inlineStr">
        <is>
          <t>충청남도 당진시 송악읍 한진1길 56</t>
        </is>
      </c>
      <c r="M118" t="inlineStr"/>
      <c r="N118" t="inlineStr">
        <is>
          <t>충청남도 당진시 송악읍 한진1길 56</t>
        </is>
      </c>
      <c r="O118" t="inlineStr">
        <is>
          <t>충청남도</t>
        </is>
      </c>
      <c r="P118" t="inlineStr">
        <is>
          <t>당진시</t>
        </is>
      </c>
      <c r="Q118" t="inlineStr">
        <is>
          <t>Y</t>
        </is>
      </c>
      <c r="R118" t="n">
        <v>24</v>
      </c>
    </row>
    <row r="119">
      <c r="A119" t="n">
        <v>118</v>
      </c>
      <c r="B119" t="inlineStr">
        <is>
          <t>일양약품(주)</t>
        </is>
      </c>
      <c r="C119" t="inlineStr">
        <is>
          <t>일양약품</t>
        </is>
      </c>
      <c r="D119" t="inlineStr">
        <is>
          <t>의약품</t>
        </is>
      </c>
      <c r="E119" t="inlineStr">
        <is>
          <t>1336</t>
        </is>
      </c>
      <c r="F119" t="inlineStr">
        <is>
          <t>정유석</t>
        </is>
      </c>
      <c r="G119" t="inlineStr">
        <is>
          <t>1957-05-25</t>
        </is>
      </c>
      <c r="H119" t="inlineStr">
        <is>
          <t>19570525</t>
        </is>
      </c>
      <c r="I119" t="inlineStr">
        <is>
          <t>2</t>
        </is>
      </c>
      <c r="J119" t="inlineStr">
        <is>
          <t>군산</t>
        </is>
      </c>
      <c r="K119" t="inlineStr"/>
      <c r="L119" t="inlineStr">
        <is>
          <t>전라북도 군산시 개정면 바르메길 20</t>
        </is>
      </c>
      <c r="M119" t="inlineStr"/>
      <c r="N119" t="inlineStr">
        <is>
          <t>전라북도 군산시 개정면 바르메길 20</t>
        </is>
      </c>
      <c r="O119" t="inlineStr">
        <is>
          <t>전라북도</t>
        </is>
      </c>
      <c r="P119" t="inlineStr">
        <is>
          <t>군산시</t>
        </is>
      </c>
      <c r="Q119" t="inlineStr">
        <is>
          <t>N</t>
        </is>
      </c>
      <c r="R119" t="n">
        <v>0</v>
      </c>
    </row>
    <row r="120">
      <c r="A120" t="n">
        <v>119</v>
      </c>
      <c r="B120" t="inlineStr">
        <is>
          <t>일동제약(주)</t>
        </is>
      </c>
      <c r="C120" t="inlineStr">
        <is>
          <t>일동제약</t>
        </is>
      </c>
      <c r="D120" t="inlineStr">
        <is>
          <t>의약품</t>
        </is>
      </c>
      <c r="E120" t="inlineStr">
        <is>
          <t>1293</t>
        </is>
      </c>
      <c r="F120" t="inlineStr">
        <is>
          <t>이재준</t>
        </is>
      </c>
      <c r="G120" t="inlineStr">
        <is>
          <t>1954-12-31</t>
        </is>
      </c>
      <c r="H120" t="inlineStr">
        <is>
          <t>19541231</t>
        </is>
      </c>
      <c r="I120" t="inlineStr">
        <is>
          <t>3</t>
        </is>
      </c>
      <c r="J120" t="inlineStr">
        <is>
          <t>화성</t>
        </is>
      </c>
      <c r="K120" t="inlineStr">
        <is>
          <t>02-526-3388</t>
        </is>
      </c>
      <c r="L120" t="inlineStr">
        <is>
          <t>경기도 화성시 삼성1로1길 20</t>
        </is>
      </c>
      <c r="M120" t="inlineStr">
        <is>
          <t>일동제약(주) 중앙연구소 4층 (실험실에 한함)</t>
        </is>
      </c>
      <c r="N120" t="inlineStr">
        <is>
          <t>경기도 화성시 삼성1로1길 20 일동제약(주) 중앙연구소 4층 (실험실에 한함)</t>
        </is>
      </c>
      <c r="O120" t="inlineStr">
        <is>
          <t>경기도</t>
        </is>
      </c>
      <c r="P120" t="inlineStr">
        <is>
          <t>화성시</t>
        </is>
      </c>
      <c r="Q120" t="inlineStr">
        <is>
          <t>Y</t>
        </is>
      </c>
      <c r="R120" t="n">
        <v>25</v>
      </c>
    </row>
    <row r="121">
      <c r="A121" t="n">
        <v>120</v>
      </c>
      <c r="B121" t="inlineStr">
        <is>
          <t>(주)바이넥스</t>
        </is>
      </c>
      <c r="C121" t="inlineStr">
        <is>
          <t>바이넥스</t>
        </is>
      </c>
      <c r="D121" t="inlineStr">
        <is>
          <t>의약품</t>
        </is>
      </c>
      <c r="E121" t="inlineStr">
        <is>
          <t>1358</t>
        </is>
      </c>
      <c r="F121" t="inlineStr">
        <is>
          <t>이혁종</t>
        </is>
      </c>
      <c r="G121" t="inlineStr">
        <is>
          <t>1957-12-17</t>
        </is>
      </c>
      <c r="H121" t="inlineStr">
        <is>
          <t>19571217</t>
        </is>
      </c>
      <c r="I121" t="inlineStr">
        <is>
          <t>1</t>
        </is>
      </c>
      <c r="J121" t="inlineStr">
        <is>
          <t>부산</t>
        </is>
      </c>
      <c r="K121" t="inlineStr">
        <is>
          <t>051-790-4414</t>
        </is>
      </c>
      <c r="L121" t="inlineStr">
        <is>
          <t>부산광역시 사하구 다대로 368-3</t>
        </is>
      </c>
      <c r="M121" t="inlineStr"/>
      <c r="N121" t="inlineStr">
        <is>
          <t>부산광역시 사하구 다대로 368-3</t>
        </is>
      </c>
      <c r="O121" t="inlineStr">
        <is>
          <t>부산광역시</t>
        </is>
      </c>
      <c r="P121" t="inlineStr">
        <is>
          <t>사하구</t>
        </is>
      </c>
      <c r="Q121" t="inlineStr">
        <is>
          <t>N</t>
        </is>
      </c>
      <c r="R121" t="n">
        <v>0</v>
      </c>
    </row>
    <row r="122">
      <c r="A122" t="n">
        <v>121</v>
      </c>
      <c r="B122" t="inlineStr">
        <is>
          <t>동아에스티(주)</t>
        </is>
      </c>
      <c r="C122" t="inlineStr">
        <is>
          <t>동아에스티</t>
        </is>
      </c>
      <c r="D122" t="inlineStr">
        <is>
          <t>의약품</t>
        </is>
      </c>
      <c r="E122" t="inlineStr">
        <is>
          <t>1290</t>
        </is>
      </c>
      <c r="F122" t="inlineStr">
        <is>
          <t>정재훈</t>
        </is>
      </c>
      <c r="G122" t="inlineStr">
        <is>
          <t>1954-12-13</t>
        </is>
      </c>
      <c r="H122" t="inlineStr">
        <is>
          <t>19541213</t>
        </is>
      </c>
      <c r="I122" t="inlineStr">
        <is>
          <t>3</t>
        </is>
      </c>
      <c r="J122" t="inlineStr">
        <is>
          <t>대구</t>
        </is>
      </c>
      <c r="K122" t="inlineStr">
        <is>
          <t>053-610-0540</t>
        </is>
      </c>
      <c r="L122" t="inlineStr">
        <is>
          <t>대구광역시 달성군 논공읍 논공로 493</t>
        </is>
      </c>
      <c r="M122" t="inlineStr"/>
      <c r="N122" t="inlineStr">
        <is>
          <t>대구광역시 달성군 논공읍 논공로 493</t>
        </is>
      </c>
      <c r="O122" t="inlineStr">
        <is>
          <t>대구광역시</t>
        </is>
      </c>
      <c r="P122" t="inlineStr">
        <is>
          <t>달성군</t>
        </is>
      </c>
      <c r="Q122" t="inlineStr">
        <is>
          <t>N</t>
        </is>
      </c>
      <c r="R122" t="n">
        <v>0</v>
      </c>
    </row>
    <row r="123">
      <c r="A123" t="n">
        <v>122</v>
      </c>
      <c r="B123" t="inlineStr">
        <is>
          <t>아주약품(주)</t>
        </is>
      </c>
      <c r="C123" t="inlineStr">
        <is>
          <t>아주약품</t>
        </is>
      </c>
      <c r="D123" t="inlineStr">
        <is>
          <t>의약품</t>
        </is>
      </c>
      <c r="E123" t="inlineStr">
        <is>
          <t>1323</t>
        </is>
      </c>
      <c r="F123" t="inlineStr">
        <is>
          <t>김태훈</t>
        </is>
      </c>
      <c r="G123" t="inlineStr">
        <is>
          <t>1956-09-28</t>
        </is>
      </c>
      <c r="H123" t="inlineStr">
        <is>
          <t>19560928</t>
        </is>
      </c>
      <c r="I123" t="inlineStr">
        <is>
          <t>1</t>
        </is>
      </c>
      <c r="J123" t="inlineStr">
        <is>
          <t>평택</t>
        </is>
      </c>
      <c r="K123" t="inlineStr">
        <is>
          <t>2630-0700</t>
        </is>
      </c>
      <c r="L123" t="inlineStr">
        <is>
          <t>경기도 평택시 산단로121번길 23</t>
        </is>
      </c>
      <c r="M123" t="inlineStr"/>
      <c r="N123" t="inlineStr">
        <is>
          <t>경기도 평택시 산단로121번길 23</t>
        </is>
      </c>
      <c r="O123" t="inlineStr">
        <is>
          <t>경기도</t>
        </is>
      </c>
      <c r="P123" t="inlineStr">
        <is>
          <t>평택시</t>
        </is>
      </c>
      <c r="Q123" t="inlineStr">
        <is>
          <t>N</t>
        </is>
      </c>
      <c r="R123" t="n">
        <v>0</v>
      </c>
    </row>
    <row r="124">
      <c r="A124" t="n">
        <v>123</v>
      </c>
      <c r="B124" t="inlineStr">
        <is>
          <t>한일금박공업사</t>
        </is>
      </c>
      <c r="C124" t="inlineStr">
        <is>
          <t>한일금박공업사</t>
        </is>
      </c>
      <c r="D124" t="inlineStr">
        <is>
          <t>의약품</t>
        </is>
      </c>
      <c r="E124" t="inlineStr">
        <is>
          <t>358</t>
        </is>
      </c>
      <c r="F124" t="inlineStr">
        <is>
          <t>정세철</t>
        </is>
      </c>
      <c r="G124" t="inlineStr">
        <is>
          <t>2016-01-27</t>
        </is>
      </c>
      <c r="H124" t="inlineStr">
        <is>
          <t>20160127</t>
        </is>
      </c>
      <c r="I124" t="inlineStr">
        <is>
          <t>1</t>
        </is>
      </c>
      <c r="J124" t="inlineStr">
        <is>
          <t>.</t>
        </is>
      </c>
      <c r="K124" t="inlineStr">
        <is>
          <t>(031)675-2456</t>
        </is>
      </c>
      <c r="L124" t="inlineStr">
        <is>
          <t>경기도 안성시 공단2로 105</t>
        </is>
      </c>
      <c r="M124" t="inlineStr">
        <is>
          <t>A동, B동, F동, G동</t>
        </is>
      </c>
      <c r="N124" t="inlineStr">
        <is>
          <t>경기도 안성시 공단2로 105 A동, B동, F동, G동</t>
        </is>
      </c>
      <c r="O124" t="inlineStr">
        <is>
          <t>경기도</t>
        </is>
      </c>
      <c r="P124" t="inlineStr">
        <is>
          <t>안성시</t>
        </is>
      </c>
      <c r="Q124" t="inlineStr">
        <is>
          <t>N</t>
        </is>
      </c>
      <c r="R124" t="n">
        <v>0</v>
      </c>
    </row>
    <row r="125">
      <c r="A125" t="n">
        <v>124</v>
      </c>
      <c r="B125" t="inlineStr">
        <is>
          <t>(주)동구바이오제약</t>
        </is>
      </c>
      <c r="C125" t="inlineStr">
        <is>
          <t>동구바이오제약</t>
        </is>
      </c>
      <c r="D125" t="inlineStr">
        <is>
          <t>의약품</t>
        </is>
      </c>
      <c r="E125" t="inlineStr">
        <is>
          <t>1305</t>
        </is>
      </c>
      <c r="F125" t="inlineStr">
        <is>
          <t>조용준</t>
        </is>
      </c>
      <c r="G125" t="inlineStr">
        <is>
          <t>1955-06-30</t>
        </is>
      </c>
      <c r="H125" t="inlineStr">
        <is>
          <t>19550630</t>
        </is>
      </c>
      <c r="I125" t="inlineStr">
        <is>
          <t>1</t>
        </is>
      </c>
      <c r="J125" t="inlineStr">
        <is>
          <t>화성</t>
        </is>
      </c>
      <c r="K125" t="inlineStr">
        <is>
          <t>031-353-5411~5</t>
        </is>
      </c>
      <c r="L125" t="inlineStr">
        <is>
          <t>경기도 화성시 만세구 향남읍 제약공단2길 18</t>
        </is>
      </c>
      <c r="M125" t="inlineStr">
        <is>
          <t>(상신리 901-3)</t>
        </is>
      </c>
      <c r="N125" t="inlineStr">
        <is>
          <t>경기도 화성시 만세구 향남읍 제약공단2길 18 (상신리 901-3)</t>
        </is>
      </c>
      <c r="O125" t="inlineStr">
        <is>
          <t>경기도</t>
        </is>
      </c>
      <c r="P125" t="inlineStr">
        <is>
          <t>화성시</t>
        </is>
      </c>
      <c r="Q125" t="inlineStr">
        <is>
          <t>N</t>
        </is>
      </c>
      <c r="R125" t="n">
        <v>0</v>
      </c>
    </row>
    <row r="126">
      <c r="A126" t="n">
        <v>125</v>
      </c>
      <c r="B126" t="inlineStr">
        <is>
          <t>(주)카이바이오텍</t>
        </is>
      </c>
      <c r="C126" t="inlineStr">
        <is>
          <t>카이바이오텍</t>
        </is>
      </c>
      <c r="D126" t="inlineStr">
        <is>
          <t>의약품</t>
        </is>
      </c>
      <c r="E126" t="inlineStr">
        <is>
          <t>567</t>
        </is>
      </c>
      <c r="F126" t="inlineStr">
        <is>
          <t>김영덕</t>
        </is>
      </c>
      <c r="G126" t="inlineStr">
        <is>
          <t>2015-09-01</t>
        </is>
      </c>
      <c r="H126" t="inlineStr">
        <is>
          <t>20150901</t>
        </is>
      </c>
      <c r="I126" t="inlineStr">
        <is>
          <t>1</t>
        </is>
      </c>
      <c r="J126" t="inlineStr">
        <is>
          <t>(주)카이바이오텍-전북대병원점</t>
        </is>
      </c>
      <c r="K126" t="inlineStr"/>
      <c r="L126" t="inlineStr">
        <is>
          <t>전북특별자치도 전주시 덕진구 백제대로 567</t>
        </is>
      </c>
      <c r="M126" t="inlineStr"/>
      <c r="N126" t="inlineStr">
        <is>
          <t>전북특별자치도 전주시 덕진구 백제대로 567</t>
        </is>
      </c>
      <c r="O126" t="inlineStr">
        <is>
          <t>전북특별자치도</t>
        </is>
      </c>
      <c r="P126" t="inlineStr">
        <is>
          <t>전주시</t>
        </is>
      </c>
      <c r="Q126" t="inlineStr">
        <is>
          <t>N</t>
        </is>
      </c>
      <c r="R126" t="n">
        <v>0</v>
      </c>
    </row>
    <row r="127">
      <c r="A127" t="n">
        <v>126</v>
      </c>
      <c r="B127" t="inlineStr">
        <is>
          <t>선도산업(주)</t>
        </is>
      </c>
      <c r="C127" t="inlineStr">
        <is>
          <t>선도산업</t>
        </is>
      </c>
      <c r="D127" t="inlineStr">
        <is>
          <t>의약품</t>
        </is>
      </c>
      <c r="E127" t="inlineStr">
        <is>
          <t>2188</t>
        </is>
      </c>
      <c r="F127" t="inlineStr">
        <is>
          <t>이성철</t>
        </is>
      </c>
      <c r="G127" t="inlineStr">
        <is>
          <t>1998-10-21</t>
        </is>
      </c>
      <c r="H127" t="inlineStr">
        <is>
          <t>19981021</t>
        </is>
      </c>
      <c r="I127" t="inlineStr">
        <is>
          <t>2</t>
        </is>
      </c>
      <c r="J127" t="inlineStr">
        <is>
          <t>남양주</t>
        </is>
      </c>
      <c r="K127" t="inlineStr">
        <is>
          <t>031-593-8286</t>
        </is>
      </c>
      <c r="L127" t="inlineStr">
        <is>
          <t>경기도 남양주시 화도읍 수레로 1060</t>
        </is>
      </c>
      <c r="M127" t="inlineStr"/>
      <c r="N127" t="inlineStr">
        <is>
          <t>경기도 남양주시 화도읍 수레로 1060</t>
        </is>
      </c>
      <c r="O127" t="inlineStr">
        <is>
          <t>경기도</t>
        </is>
      </c>
      <c r="P127" t="inlineStr">
        <is>
          <t>남양주시</t>
        </is>
      </c>
      <c r="Q127" t="inlineStr">
        <is>
          <t>N</t>
        </is>
      </c>
      <c r="R127" t="n">
        <v>0</v>
      </c>
    </row>
    <row r="128">
      <c r="A128" t="n">
        <v>127</v>
      </c>
      <c r="B128" t="inlineStr">
        <is>
          <t>삼성산소(주)</t>
        </is>
      </c>
      <c r="C128" t="inlineStr">
        <is>
          <t>삼성산소</t>
        </is>
      </c>
      <c r="D128" t="inlineStr">
        <is>
          <t>의약품</t>
        </is>
      </c>
      <c r="E128" t="inlineStr">
        <is>
          <t>2005</t>
        </is>
      </c>
      <c r="F128" t="inlineStr">
        <is>
          <t>전대수</t>
        </is>
      </c>
      <c r="G128" t="inlineStr">
        <is>
          <t>1998-04-22</t>
        </is>
      </c>
      <c r="H128" t="inlineStr">
        <is>
          <t>19980422</t>
        </is>
      </c>
      <c r="I128" t="inlineStr">
        <is>
          <t>1</t>
        </is>
      </c>
      <c r="J128" t="inlineStr">
        <is>
          <t>청원</t>
        </is>
      </c>
      <c r="K128" t="inlineStr">
        <is>
          <t>043-232-6237</t>
        </is>
      </c>
      <c r="L128" t="inlineStr">
        <is>
          <t>충청북도 청주시 흥덕구 강내면 상월곡길 10</t>
        </is>
      </c>
      <c r="M128" t="inlineStr"/>
      <c r="N128" t="inlineStr">
        <is>
          <t>충청북도 청주시 흥덕구 강내면 상월곡길 10</t>
        </is>
      </c>
      <c r="O128" t="inlineStr">
        <is>
          <t>충청북도</t>
        </is>
      </c>
      <c r="P128" t="inlineStr">
        <is>
          <t>청주시</t>
        </is>
      </c>
      <c r="Q128" t="inlineStr">
        <is>
          <t>N</t>
        </is>
      </c>
      <c r="R128" t="n">
        <v>0</v>
      </c>
    </row>
    <row r="129">
      <c r="A129" t="n">
        <v>128</v>
      </c>
      <c r="B129" t="inlineStr">
        <is>
          <t>(주)시어스제약</t>
        </is>
      </c>
      <c r="C129" t="inlineStr">
        <is>
          <t>시어스제약</t>
        </is>
      </c>
      <c r="D129" t="inlineStr">
        <is>
          <t>의약품</t>
        </is>
      </c>
      <c r="E129" t="inlineStr">
        <is>
          <t>2624</t>
        </is>
      </c>
      <c r="F129" t="inlineStr">
        <is>
          <t>김분래</t>
        </is>
      </c>
      <c r="G129" t="inlineStr">
        <is>
          <t>2015-04-15</t>
        </is>
      </c>
      <c r="H129" t="inlineStr">
        <is>
          <t>20150415</t>
        </is>
      </c>
      <c r="I129" t="inlineStr">
        <is>
          <t>3</t>
        </is>
      </c>
      <c r="J129" t="inlineStr">
        <is>
          <t>대전공장</t>
        </is>
      </c>
      <c r="K129" t="inlineStr">
        <is>
          <t>042-864-0977</t>
        </is>
      </c>
      <c r="L129" t="inlineStr">
        <is>
          <t>대전광역시 유성구 유성대로 1662</t>
        </is>
      </c>
      <c r="M129" t="inlineStr">
        <is>
          <t>(전민동, 대전바이오벤처타운) PILOT PLANT, 벤처 전용관(1층, 3층 일부)</t>
        </is>
      </c>
      <c r="N129" t="inlineStr">
        <is>
          <t>대전광역시 유성구 유성대로 1662 (전민동, 대전바이오벤처타운) PILOT PLANT, 벤처 전용관(1층, 3층 일부)</t>
        </is>
      </c>
      <c r="O129" t="inlineStr">
        <is>
          <t>대전광역시</t>
        </is>
      </c>
      <c r="P129" t="inlineStr">
        <is>
          <t>유성구</t>
        </is>
      </c>
      <c r="Q129" t="inlineStr">
        <is>
          <t>N</t>
        </is>
      </c>
      <c r="R129" t="n">
        <v>0</v>
      </c>
    </row>
    <row r="130">
      <c r="A130" t="n">
        <v>129</v>
      </c>
      <c r="B130" t="inlineStr">
        <is>
          <t>(주)와이에스생명과학</t>
        </is>
      </c>
      <c r="C130" t="inlineStr">
        <is>
          <t>와이에스생명과학</t>
        </is>
      </c>
      <c r="D130" t="inlineStr">
        <is>
          <t>의약품</t>
        </is>
      </c>
      <c r="E130" t="inlineStr">
        <is>
          <t>2247</t>
        </is>
      </c>
      <c r="F130" t="inlineStr">
        <is>
          <t>오창영</t>
        </is>
      </c>
      <c r="G130" t="inlineStr">
        <is>
          <t>2001-10-10</t>
        </is>
      </c>
      <c r="H130" t="inlineStr">
        <is>
          <t>20011010</t>
        </is>
      </c>
      <c r="I130" t="inlineStr">
        <is>
          <t>2</t>
        </is>
      </c>
      <c r="J130" t="inlineStr">
        <is>
          <t>군포</t>
        </is>
      </c>
      <c r="K130" t="inlineStr">
        <is>
          <t>031-290-7961</t>
        </is>
      </c>
      <c r="L130" t="inlineStr">
        <is>
          <t>경기도 군포시 봉성로 82-7</t>
        </is>
      </c>
      <c r="M130" t="inlineStr">
        <is>
          <t>삼풍프라자 402호 (당정동)</t>
        </is>
      </c>
      <c r="N130" t="inlineStr">
        <is>
          <t>경기도 군포시 봉성로 82-7 삼풍프라자 402호 (당정동)</t>
        </is>
      </c>
      <c r="O130" t="inlineStr">
        <is>
          <t>경기도</t>
        </is>
      </c>
      <c r="P130" t="inlineStr">
        <is>
          <t>군포시</t>
        </is>
      </c>
      <c r="Q130" t="inlineStr">
        <is>
          <t>N</t>
        </is>
      </c>
      <c r="R130" t="n">
        <v>0</v>
      </c>
    </row>
    <row r="131">
      <c r="A131" t="n">
        <v>130</v>
      </c>
      <c r="B131" t="inlineStr">
        <is>
          <t>화일약품(주)</t>
        </is>
      </c>
      <c r="C131" t="inlineStr">
        <is>
          <t>화일약품</t>
        </is>
      </c>
      <c r="D131" t="inlineStr">
        <is>
          <t>의약품</t>
        </is>
      </c>
      <c r="E131" t="inlineStr">
        <is>
          <t>2014</t>
        </is>
      </c>
      <c r="F131" t="inlineStr">
        <is>
          <t>서생규</t>
        </is>
      </c>
      <c r="G131" t="inlineStr">
        <is>
          <t>1998-08-17</t>
        </is>
      </c>
      <c r="H131" t="inlineStr">
        <is>
          <t>19980817</t>
        </is>
      </c>
      <c r="I131" t="inlineStr">
        <is>
          <t>4</t>
        </is>
      </c>
      <c r="J131" t="inlineStr">
        <is>
          <t>발안(소분)</t>
        </is>
      </c>
      <c r="K131" t="inlineStr">
        <is>
          <t>512-2592</t>
        </is>
      </c>
      <c r="L131" t="inlineStr">
        <is>
          <t>경기도 화성시 만세구 향남읍 발안공단로1길 45</t>
        </is>
      </c>
      <c r="M131" t="inlineStr"/>
      <c r="N131" t="inlineStr">
        <is>
          <t>경기도 화성시 만세구 향남읍 발안공단로1길 45</t>
        </is>
      </c>
      <c r="O131" t="inlineStr">
        <is>
          <t>경기도</t>
        </is>
      </c>
      <c r="P131" t="inlineStr">
        <is>
          <t>화성시</t>
        </is>
      </c>
      <c r="Q131" t="inlineStr">
        <is>
          <t>Y</t>
        </is>
      </c>
      <c r="R131" t="n">
        <v>26</v>
      </c>
    </row>
    <row r="132">
      <c r="A132" t="n">
        <v>131</v>
      </c>
      <c r="B132" t="inlineStr">
        <is>
          <t>(주)퓨쳐켐</t>
        </is>
      </c>
      <c r="C132" t="inlineStr">
        <is>
          <t>퓨쳐켐</t>
        </is>
      </c>
      <c r="D132" t="inlineStr">
        <is>
          <t>의약품</t>
        </is>
      </c>
      <c r="E132" t="inlineStr">
        <is>
          <t>6151</t>
        </is>
      </c>
      <c r="F132" t="inlineStr">
        <is>
          <t>지대윤</t>
        </is>
      </c>
      <c r="G132" t="inlineStr">
        <is>
          <t>2014-09-26</t>
        </is>
      </c>
      <c r="H132" t="inlineStr">
        <is>
          <t>20140926</t>
        </is>
      </c>
      <c r="I132" t="inlineStr">
        <is>
          <t>2</t>
        </is>
      </c>
      <c r="J132" t="inlineStr">
        <is>
          <t>제2공장</t>
        </is>
      </c>
      <c r="K132" t="inlineStr">
        <is>
          <t>02-497-3117</t>
        </is>
      </c>
      <c r="L132" t="inlineStr">
        <is>
          <t>서울특별시 성동구 성수일로10길 26</t>
        </is>
      </c>
      <c r="M132" t="inlineStr">
        <is>
          <t>하우스디 세종타워 14층 1403호 ~ 1405호(원료의약품)</t>
        </is>
      </c>
      <c r="N132" t="inlineStr">
        <is>
          <t>서울특별시 성동구 성수일로10길 26 하우스디 세종타워 14층 1403호 ~ 1405호(원료의약품)</t>
        </is>
      </c>
      <c r="O132" t="inlineStr">
        <is>
          <t>서울특별시</t>
        </is>
      </c>
      <c r="P132" t="inlineStr">
        <is>
          <t>성동구</t>
        </is>
      </c>
      <c r="Q132" t="inlineStr">
        <is>
          <t>N</t>
        </is>
      </c>
      <c r="R132" t="n">
        <v>0</v>
      </c>
    </row>
    <row r="133">
      <c r="A133" t="n">
        <v>132</v>
      </c>
      <c r="B133" t="inlineStr">
        <is>
          <t>주식회사현대바이오랜드</t>
        </is>
      </c>
      <c r="C133" t="inlineStr">
        <is>
          <t>현대바이오랜드</t>
        </is>
      </c>
      <c r="D133" t="inlineStr">
        <is>
          <t>의약품</t>
        </is>
      </c>
      <c r="E133" t="inlineStr">
        <is>
          <t>2180</t>
        </is>
      </c>
      <c r="F133" t="inlineStr">
        <is>
          <t>이희준</t>
        </is>
      </c>
      <c r="G133" t="inlineStr">
        <is>
          <t>2001-01-04</t>
        </is>
      </c>
      <c r="H133" t="inlineStr">
        <is>
          <t>20010104</t>
        </is>
      </c>
      <c r="I133" t="inlineStr">
        <is>
          <t>2</t>
        </is>
      </c>
      <c r="J133" t="inlineStr">
        <is>
          <t>오창공장</t>
        </is>
      </c>
      <c r="K133" t="inlineStr"/>
      <c r="L133" t="inlineStr">
        <is>
          <t>충청북도 청주시 청원구 오창읍 과학산업3로 162</t>
        </is>
      </c>
      <c r="M133" t="inlineStr"/>
      <c r="N133" t="inlineStr">
        <is>
          <t>충청북도 청주시 청원구 오창읍 과학산업3로 162</t>
        </is>
      </c>
      <c r="O133" t="inlineStr">
        <is>
          <t>충청북도</t>
        </is>
      </c>
      <c r="P133" t="inlineStr">
        <is>
          <t>청주시</t>
        </is>
      </c>
      <c r="Q133" t="inlineStr">
        <is>
          <t>N</t>
        </is>
      </c>
      <c r="R133" t="n">
        <v>0</v>
      </c>
    </row>
    <row r="134">
      <c r="A134" t="n">
        <v>133</v>
      </c>
      <c r="B134" t="inlineStr">
        <is>
          <t>보국약품(주)</t>
        </is>
      </c>
      <c r="C134" t="inlineStr">
        <is>
          <t>보국약품</t>
        </is>
      </c>
      <c r="D134" t="inlineStr">
        <is>
          <t>의약품</t>
        </is>
      </c>
      <c r="E134" t="inlineStr">
        <is>
          <t>1966</t>
        </is>
      </c>
      <c r="F134" t="inlineStr">
        <is>
          <t>손보영</t>
        </is>
      </c>
      <c r="G134" t="inlineStr">
        <is>
          <t>1997-01-25</t>
        </is>
      </c>
      <c r="H134" t="inlineStr">
        <is>
          <t>19970125</t>
        </is>
      </c>
      <c r="I134" t="inlineStr">
        <is>
          <t>1</t>
        </is>
      </c>
      <c r="J134" t="inlineStr">
        <is>
          <t>파주</t>
        </is>
      </c>
      <c r="K134" t="inlineStr">
        <is>
          <t>02-584-5169</t>
        </is>
      </c>
      <c r="L134" t="inlineStr">
        <is>
          <t>경기도 파주시 월롱면 엘지로344번길 29</t>
        </is>
      </c>
      <c r="M134" t="inlineStr"/>
      <c r="N134" t="inlineStr">
        <is>
          <t>경기도 파주시 월롱면 엘지로344번길 29</t>
        </is>
      </c>
      <c r="O134" t="inlineStr">
        <is>
          <t>경기도</t>
        </is>
      </c>
      <c r="P134" t="inlineStr">
        <is>
          <t>파주시</t>
        </is>
      </c>
      <c r="Q134" t="inlineStr">
        <is>
          <t>N</t>
        </is>
      </c>
      <c r="R134" t="n">
        <v>0</v>
      </c>
    </row>
    <row r="135">
      <c r="A135" t="n">
        <v>134</v>
      </c>
      <c r="B135" t="inlineStr">
        <is>
          <t>이화산소(주)</t>
        </is>
      </c>
      <c r="C135" t="inlineStr">
        <is>
          <t>이화산소</t>
        </is>
      </c>
      <c r="D135" t="inlineStr">
        <is>
          <t>의약품</t>
        </is>
      </c>
      <c r="E135" t="inlineStr">
        <is>
          <t>2132</t>
        </is>
      </c>
      <c r="F135" t="inlineStr">
        <is>
          <t>박상진</t>
        </is>
      </c>
      <c r="G135" t="inlineStr">
        <is>
          <t>2000-06-09</t>
        </is>
      </c>
      <c r="H135" t="inlineStr">
        <is>
          <t>20000609</t>
        </is>
      </c>
      <c r="I135" t="inlineStr">
        <is>
          <t>1</t>
        </is>
      </c>
      <c r="J135" t="inlineStr">
        <is>
          <t>인천</t>
        </is>
      </c>
      <c r="K135" t="inlineStr">
        <is>
          <t>032-575-4747</t>
        </is>
      </c>
      <c r="L135" t="inlineStr">
        <is>
          <t>인천광역시 서구 가정로58번길 32</t>
        </is>
      </c>
      <c r="M135" t="inlineStr"/>
      <c r="N135" t="inlineStr">
        <is>
          <t>인천광역시 서구 가정로58번길 32</t>
        </is>
      </c>
      <c r="O135" t="inlineStr">
        <is>
          <t>인천광역시</t>
        </is>
      </c>
      <c r="P135" t="inlineStr">
        <is>
          <t>서구</t>
        </is>
      </c>
      <c r="Q135" t="inlineStr">
        <is>
          <t>N</t>
        </is>
      </c>
      <c r="R135" t="n">
        <v>0</v>
      </c>
    </row>
    <row r="136">
      <c r="A136" t="n">
        <v>135</v>
      </c>
      <c r="B136" t="inlineStr">
        <is>
          <t>제일약품(주)</t>
        </is>
      </c>
      <c r="C136" t="inlineStr">
        <is>
          <t>제일약품</t>
        </is>
      </c>
      <c r="D136" t="inlineStr">
        <is>
          <t>의약품</t>
        </is>
      </c>
      <c r="E136" t="inlineStr">
        <is>
          <t>1668</t>
        </is>
      </c>
      <c r="F136" t="inlineStr">
        <is>
          <t>한상철</t>
        </is>
      </c>
      <c r="G136" t="inlineStr">
        <is>
          <t>1986-11-24</t>
        </is>
      </c>
      <c r="H136" t="inlineStr">
        <is>
          <t>19861124</t>
        </is>
      </c>
      <c r="I136" t="inlineStr">
        <is>
          <t>1</t>
        </is>
      </c>
      <c r="J136" t="inlineStr">
        <is>
          <t>용인</t>
        </is>
      </c>
      <c r="K136" t="inlineStr"/>
      <c r="L136" t="inlineStr">
        <is>
          <t>경기도 용인시 처인구 백암면 청강가창로 7</t>
        </is>
      </c>
      <c r="M136" t="inlineStr">
        <is>
          <t>(B동 외)</t>
        </is>
      </c>
      <c r="N136" t="inlineStr">
        <is>
          <t>경기도 용인시 처인구 백암면 청강가창로 7 (B동 외)</t>
        </is>
      </c>
      <c r="O136" t="inlineStr">
        <is>
          <t>경기도</t>
        </is>
      </c>
      <c r="P136" t="inlineStr">
        <is>
          <t>용인시</t>
        </is>
      </c>
      <c r="Q136" t="inlineStr">
        <is>
          <t>Y</t>
        </is>
      </c>
      <c r="R136" t="n">
        <v>27</v>
      </c>
    </row>
    <row r="137">
      <c r="A137" t="n">
        <v>136</v>
      </c>
      <c r="B137" t="inlineStr">
        <is>
          <t>충남제약(주)</t>
        </is>
      </c>
      <c r="C137" t="inlineStr">
        <is>
          <t>충남제약</t>
        </is>
      </c>
      <c r="D137" t="inlineStr">
        <is>
          <t>의약품</t>
        </is>
      </c>
      <c r="E137" t="inlineStr">
        <is>
          <t>1938</t>
        </is>
      </c>
      <c r="F137" t="inlineStr">
        <is>
          <t>유영표</t>
        </is>
      </c>
      <c r="G137" t="inlineStr">
        <is>
          <t>1996-08-19</t>
        </is>
      </c>
      <c r="H137" t="inlineStr">
        <is>
          <t>19960819</t>
        </is>
      </c>
      <c r="I137" t="inlineStr">
        <is>
          <t>1</t>
        </is>
      </c>
      <c r="J137" t="inlineStr">
        <is>
          <t>성남</t>
        </is>
      </c>
      <c r="K137" t="inlineStr">
        <is>
          <t>031-703-9303~4</t>
        </is>
      </c>
      <c r="L137" t="inlineStr">
        <is>
          <t>경기도 성남시 분당구 판교로 723</t>
        </is>
      </c>
      <c r="M137" t="inlineStr">
        <is>
          <t>B동 902호(야탑동, 분당테크노파크)</t>
        </is>
      </c>
      <c r="N137" t="inlineStr">
        <is>
          <t>경기도 성남시 분당구 판교로 723 B동 902호(야탑동, 분당테크노파크)</t>
        </is>
      </c>
      <c r="O137" t="inlineStr">
        <is>
          <t>경기도</t>
        </is>
      </c>
      <c r="P137" t="inlineStr">
        <is>
          <t>성남시</t>
        </is>
      </c>
      <c r="Q137" t="inlineStr">
        <is>
          <t>N</t>
        </is>
      </c>
      <c r="R137" t="n">
        <v>0</v>
      </c>
    </row>
    <row r="138">
      <c r="A138" t="n">
        <v>137</v>
      </c>
      <c r="B138" t="inlineStr">
        <is>
          <t>(주)테라젠이텍스</t>
        </is>
      </c>
      <c r="C138" t="inlineStr">
        <is>
          <t>테라젠이텍스</t>
        </is>
      </c>
      <c r="D138" t="inlineStr">
        <is>
          <t>의약품</t>
        </is>
      </c>
      <c r="E138" t="inlineStr">
        <is>
          <t>1654</t>
        </is>
      </c>
      <c r="F138" t="inlineStr">
        <is>
          <t>박시홍</t>
        </is>
      </c>
      <c r="G138" t="inlineStr">
        <is>
          <t>1985-07-26</t>
        </is>
      </c>
      <c r="H138" t="inlineStr">
        <is>
          <t>19850726</t>
        </is>
      </c>
      <c r="I138" t="inlineStr">
        <is>
          <t>1</t>
        </is>
      </c>
      <c r="J138" t="inlineStr">
        <is>
          <t>안산</t>
        </is>
      </c>
      <c r="K138" t="inlineStr">
        <is>
          <t>031-495-3399</t>
        </is>
      </c>
      <c r="L138" t="inlineStr">
        <is>
          <t>경기도 안산시 단원구 산단로68번길 58</t>
        </is>
      </c>
      <c r="M138" t="inlineStr"/>
      <c r="N138" t="inlineStr">
        <is>
          <t>경기도 안산시 단원구 산단로68번길 58</t>
        </is>
      </c>
      <c r="O138" t="inlineStr">
        <is>
          <t>경기도</t>
        </is>
      </c>
      <c r="P138" t="inlineStr">
        <is>
          <t>안산시</t>
        </is>
      </c>
      <c r="Q138" t="inlineStr">
        <is>
          <t>N</t>
        </is>
      </c>
      <c r="R138" t="n">
        <v>0</v>
      </c>
    </row>
    <row r="139">
      <c r="A139" t="n">
        <v>138</v>
      </c>
      <c r="B139" t="inlineStr">
        <is>
          <t>(주)라파스</t>
        </is>
      </c>
      <c r="C139" t="inlineStr">
        <is>
          <t>라파스</t>
        </is>
      </c>
      <c r="D139" t="inlineStr">
        <is>
          <t>의약품</t>
        </is>
      </c>
      <c r="E139" t="inlineStr">
        <is>
          <t>369</t>
        </is>
      </c>
      <c r="F139" t="inlineStr">
        <is>
          <t>정도현</t>
        </is>
      </c>
      <c r="G139" t="inlineStr">
        <is>
          <t>2018-04-10</t>
        </is>
      </c>
      <c r="H139" t="inlineStr">
        <is>
          <t>20180410</t>
        </is>
      </c>
      <c r="I139" t="inlineStr">
        <is>
          <t>2</t>
        </is>
      </c>
      <c r="J139" t="inlineStr">
        <is>
          <t>(주)라파스 천안공장</t>
        </is>
      </c>
      <c r="K139" t="inlineStr"/>
      <c r="L139" t="inlineStr">
        <is>
          <t>충청남도 천안시 서북구 2공단8길 51</t>
        </is>
      </c>
      <c r="M139" t="inlineStr">
        <is>
          <t>(주)라파스 천안공장 1층</t>
        </is>
      </c>
      <c r="N139" t="inlineStr">
        <is>
          <t>충청남도 천안시 서북구 2공단8길 51 (주)라파스 천안공장 1층</t>
        </is>
      </c>
      <c r="O139" t="inlineStr">
        <is>
          <t>충청남도</t>
        </is>
      </c>
      <c r="P139" t="inlineStr">
        <is>
          <t>천안시</t>
        </is>
      </c>
      <c r="Q139" t="inlineStr">
        <is>
          <t>N</t>
        </is>
      </c>
      <c r="R139" t="n">
        <v>0</v>
      </c>
    </row>
    <row r="140">
      <c r="A140" t="n">
        <v>139</v>
      </c>
      <c r="B140" t="inlineStr">
        <is>
          <t>대웅바이오(주)</t>
        </is>
      </c>
      <c r="C140" t="inlineStr">
        <is>
          <t>대웅바이오</t>
        </is>
      </c>
      <c r="D140" t="inlineStr">
        <is>
          <t>의약품</t>
        </is>
      </c>
      <c r="E140" t="inlineStr">
        <is>
          <t>1632</t>
        </is>
      </c>
      <c r="F140" t="inlineStr">
        <is>
          <t>진성곤</t>
        </is>
      </c>
      <c r="G140" t="inlineStr">
        <is>
          <t>1983-08-27</t>
        </is>
      </c>
      <c r="H140" t="inlineStr">
        <is>
          <t>19830827</t>
        </is>
      </c>
      <c r="I140" t="inlineStr">
        <is>
          <t>7</t>
        </is>
      </c>
      <c r="J140" t="inlineStr"/>
      <c r="K140" t="inlineStr"/>
      <c r="L140" t="inlineStr">
        <is>
          <t>경기도 화성시 만세구 향남읍 제약공단4길 57</t>
        </is>
      </c>
      <c r="M140" t="inlineStr"/>
      <c r="N140" t="inlineStr">
        <is>
          <t>경기도 화성시 만세구 향남읍 제약공단4길 57</t>
        </is>
      </c>
      <c r="O140" t="inlineStr">
        <is>
          <t>경기도</t>
        </is>
      </c>
      <c r="P140" t="inlineStr">
        <is>
          <t>화성시</t>
        </is>
      </c>
      <c r="Q140" t="inlineStr">
        <is>
          <t>N</t>
        </is>
      </c>
      <c r="R140" t="n">
        <v>0</v>
      </c>
    </row>
    <row r="141">
      <c r="A141" t="n">
        <v>140</v>
      </c>
      <c r="B141" t="inlineStr">
        <is>
          <t>주식회사코피텍</t>
        </is>
      </c>
      <c r="C141" t="inlineStr">
        <is>
          <t>코피텍</t>
        </is>
      </c>
      <c r="D141" t="inlineStr">
        <is>
          <t>의약품</t>
        </is>
      </c>
      <c r="E141" t="inlineStr">
        <is>
          <t>363</t>
        </is>
      </c>
      <c r="F141" t="inlineStr">
        <is>
          <t>이경호</t>
        </is>
      </c>
      <c r="G141" t="inlineStr">
        <is>
          <t>2017-10-12</t>
        </is>
      </c>
      <c r="H141" t="inlineStr">
        <is>
          <t>20171012</t>
        </is>
      </c>
      <c r="I141" t="inlineStr">
        <is>
          <t>1</t>
        </is>
      </c>
      <c r="J141" t="inlineStr">
        <is>
          <t>제1공장</t>
        </is>
      </c>
      <c r="K141" t="inlineStr"/>
      <c r="L141" t="inlineStr">
        <is>
          <t>경기도 화성시 만세구 양감면 은행나무로62번길 92-13</t>
        </is>
      </c>
      <c r="M141" t="inlineStr">
        <is>
          <t>1동, 2동</t>
        </is>
      </c>
      <c r="N141" t="inlineStr">
        <is>
          <t>경기도 화성시 만세구 양감면 은행나무로62번길 92-13 1동, 2동</t>
        </is>
      </c>
      <c r="O141" t="inlineStr">
        <is>
          <t>경기도</t>
        </is>
      </c>
      <c r="P141" t="inlineStr">
        <is>
          <t>화성시</t>
        </is>
      </c>
      <c r="Q141" t="inlineStr">
        <is>
          <t>N</t>
        </is>
      </c>
      <c r="R141" t="n">
        <v>0</v>
      </c>
    </row>
    <row r="142">
      <c r="A142" t="n">
        <v>141</v>
      </c>
      <c r="B142" t="inlineStr">
        <is>
          <t>린데코리아주식회사</t>
        </is>
      </c>
      <c r="C142" t="inlineStr">
        <is>
          <t>린데코리아</t>
        </is>
      </c>
      <c r="D142" t="inlineStr">
        <is>
          <t>의약품</t>
        </is>
      </c>
      <c r="E142" t="inlineStr">
        <is>
          <t>1615</t>
        </is>
      </c>
      <c r="F142" t="inlineStr">
        <is>
          <t>성백석</t>
        </is>
      </c>
      <c r="G142" t="inlineStr">
        <is>
          <t>1981-12-26</t>
        </is>
      </c>
      <c r="H142" t="inlineStr">
        <is>
          <t>19811226</t>
        </is>
      </c>
      <c r="I142" t="inlineStr">
        <is>
          <t>5</t>
        </is>
      </c>
      <c r="J142" t="inlineStr">
        <is>
          <t>탕정</t>
        </is>
      </c>
      <c r="K142" t="inlineStr">
        <is>
          <t>041-537-7300</t>
        </is>
      </c>
      <c r="L142" t="inlineStr">
        <is>
          <t>충청남도 아산시 탕정면 탕정로 380-43</t>
        </is>
      </c>
      <c r="M142" t="inlineStr"/>
      <c r="N142" t="inlineStr">
        <is>
          <t>충청남도 아산시 탕정면 탕정로 380-43</t>
        </is>
      </c>
      <c r="O142" t="inlineStr">
        <is>
          <t>충청남도</t>
        </is>
      </c>
      <c r="P142" t="inlineStr">
        <is>
          <t>아산시</t>
        </is>
      </c>
      <c r="Q142" t="inlineStr">
        <is>
          <t>N</t>
        </is>
      </c>
      <c r="R142" t="n">
        <v>0</v>
      </c>
    </row>
    <row r="143">
      <c r="A143" t="n">
        <v>142</v>
      </c>
      <c r="B143" t="inlineStr">
        <is>
          <t>한올바이오파마(주)</t>
        </is>
      </c>
      <c r="C143" t="inlineStr">
        <is>
          <t>한올바이오파마</t>
        </is>
      </c>
      <c r="D143" t="inlineStr">
        <is>
          <t>의약품</t>
        </is>
      </c>
      <c r="E143" t="inlineStr">
        <is>
          <t>1297</t>
        </is>
      </c>
      <c r="F143" t="inlineStr">
        <is>
          <t>박수진</t>
        </is>
      </c>
      <c r="G143" t="inlineStr">
        <is>
          <t>1955-02-01</t>
        </is>
      </c>
      <c r="H143" t="inlineStr">
        <is>
          <t>19550201</t>
        </is>
      </c>
      <c r="I143" t="inlineStr">
        <is>
          <t>3</t>
        </is>
      </c>
      <c r="J143" t="inlineStr">
        <is>
          <t>보관소</t>
        </is>
      </c>
      <c r="K143" t="inlineStr"/>
      <c r="L143" t="inlineStr">
        <is>
          <t>충청북도 청주시 서원구 남이면 비룡1길 90</t>
        </is>
      </c>
      <c r="M143" t="inlineStr"/>
      <c r="N143" t="inlineStr">
        <is>
          <t>충청북도 청주시 서원구 남이면 비룡1길 90</t>
        </is>
      </c>
      <c r="O143" t="inlineStr">
        <is>
          <t>충청북도</t>
        </is>
      </c>
      <c r="P143" t="inlineStr">
        <is>
          <t>청주시</t>
        </is>
      </c>
      <c r="Q143" t="inlineStr">
        <is>
          <t>Y</t>
        </is>
      </c>
      <c r="R143" t="n">
        <v>28</v>
      </c>
    </row>
    <row r="144">
      <c r="A144" t="n">
        <v>143</v>
      </c>
      <c r="B144" t="inlineStr">
        <is>
          <t>(주)에이치에스바이오</t>
        </is>
      </c>
      <c r="C144" t="inlineStr">
        <is>
          <t>에이치에스바이오</t>
        </is>
      </c>
      <c r="D144" t="inlineStr">
        <is>
          <t>의약품</t>
        </is>
      </c>
      <c r="E144" t="inlineStr">
        <is>
          <t>2639</t>
        </is>
      </c>
      <c r="F144" t="inlineStr">
        <is>
          <t>김기남</t>
        </is>
      </c>
      <c r="G144" t="inlineStr">
        <is>
          <t>2017-03-28</t>
        </is>
      </c>
      <c r="H144" t="inlineStr">
        <is>
          <t>20170328</t>
        </is>
      </c>
      <c r="I144" t="inlineStr">
        <is>
          <t>1</t>
        </is>
      </c>
      <c r="J144" t="inlineStr">
        <is>
          <t>(주)에이치에스바이오</t>
        </is>
      </c>
      <c r="K144" t="inlineStr">
        <is>
          <t>043-536-5780</t>
        </is>
      </c>
      <c r="L144" t="inlineStr">
        <is>
          <t>충청북도 진천군 덕산읍 신척산단4로 57</t>
        </is>
      </c>
      <c r="M144" t="inlineStr">
        <is>
          <t>(주)에이치에스바이오</t>
        </is>
      </c>
      <c r="N144" t="inlineStr">
        <is>
          <t>충청북도 진천군 덕산읍 신척산단4로 57 (주)에이치에스바이오</t>
        </is>
      </c>
      <c r="O144" t="inlineStr">
        <is>
          <t>충청북도</t>
        </is>
      </c>
      <c r="P144" t="inlineStr">
        <is>
          <t>진천군</t>
        </is>
      </c>
      <c r="Q144" t="inlineStr">
        <is>
          <t>Y</t>
        </is>
      </c>
      <c r="R144" t="n">
        <v>29</v>
      </c>
    </row>
    <row r="145">
      <c r="A145" t="n">
        <v>144</v>
      </c>
      <c r="B145" t="inlineStr">
        <is>
          <t>에스티팜주식회사</t>
        </is>
      </c>
      <c r="C145" t="inlineStr">
        <is>
          <t>에스티팜</t>
        </is>
      </c>
      <c r="D145" t="inlineStr">
        <is>
          <t>의약품</t>
        </is>
      </c>
      <c r="E145" t="inlineStr">
        <is>
          <t>1301</t>
        </is>
      </c>
      <c r="F145" t="inlineStr">
        <is>
          <t>성무제</t>
        </is>
      </c>
      <c r="G145" t="inlineStr">
        <is>
          <t>1955-04-11</t>
        </is>
      </c>
      <c r="H145" t="inlineStr">
        <is>
          <t>19550411</t>
        </is>
      </c>
      <c r="I145" t="inlineStr">
        <is>
          <t>1</t>
        </is>
      </c>
      <c r="J145" t="inlineStr">
        <is>
          <t>화성</t>
        </is>
      </c>
      <c r="K145" t="inlineStr">
        <is>
          <t>031-353-3000</t>
        </is>
      </c>
      <c r="L145" t="inlineStr"/>
      <c r="M145" t="inlineStr">
        <is>
          <t>경기도 화성시 양감면 두머리길 16</t>
        </is>
      </c>
      <c r="N145" t="inlineStr">
        <is>
          <t>경기도 화성시 양감면 두머리길 16</t>
        </is>
      </c>
      <c r="O145" t="inlineStr">
        <is>
          <t>경기도</t>
        </is>
      </c>
      <c r="P145" t="inlineStr">
        <is>
          <t>화성시</t>
        </is>
      </c>
      <c r="Q145" t="inlineStr">
        <is>
          <t>N</t>
        </is>
      </c>
      <c r="R145" t="n">
        <v>0</v>
      </c>
    </row>
    <row r="146">
      <c r="A146" t="n">
        <v>145</v>
      </c>
      <c r="B146" t="inlineStr">
        <is>
          <t>환인제약(주)</t>
        </is>
      </c>
      <c r="C146" t="inlineStr">
        <is>
          <t>환인제약</t>
        </is>
      </c>
      <c r="D146" t="inlineStr">
        <is>
          <t>의약품</t>
        </is>
      </c>
      <c r="E146" t="inlineStr">
        <is>
          <t>1351</t>
        </is>
      </c>
      <c r="F146" t="inlineStr">
        <is>
          <t>이원범</t>
        </is>
      </c>
      <c r="G146" t="inlineStr">
        <is>
          <t>1957-07-02</t>
        </is>
      </c>
      <c r="H146" t="inlineStr">
        <is>
          <t>19570702</t>
        </is>
      </c>
      <c r="I146" t="inlineStr">
        <is>
          <t>2</t>
        </is>
      </c>
      <c r="J146" t="inlineStr">
        <is>
          <t>향남</t>
        </is>
      </c>
      <c r="K146" t="inlineStr">
        <is>
          <t>031-849-4310</t>
        </is>
      </c>
      <c r="L146" t="inlineStr">
        <is>
          <t>경기도 화성시 만세구 향남읍 제약공단2길 45</t>
        </is>
      </c>
      <c r="M146" t="inlineStr"/>
      <c r="N146" t="inlineStr">
        <is>
          <t>경기도 화성시 만세구 향남읍 제약공단2길 45</t>
        </is>
      </c>
      <c r="O146" t="inlineStr">
        <is>
          <t>경기도</t>
        </is>
      </c>
      <c r="P146" t="inlineStr">
        <is>
          <t>화성시</t>
        </is>
      </c>
      <c r="Q146" t="inlineStr">
        <is>
          <t>N</t>
        </is>
      </c>
      <c r="R146" t="n">
        <v>0</v>
      </c>
    </row>
    <row r="147">
      <c r="A147" t="n">
        <v>146</v>
      </c>
      <c r="B147" t="inlineStr">
        <is>
          <t>(주)보제원</t>
        </is>
      </c>
      <c r="C147" t="inlineStr">
        <is>
          <t>보제원</t>
        </is>
      </c>
      <c r="D147" t="inlineStr">
        <is>
          <t>의약품</t>
        </is>
      </c>
      <c r="E147" t="inlineStr">
        <is>
          <t>360</t>
        </is>
      </c>
      <c r="F147" t="inlineStr">
        <is>
          <t>김유현</t>
        </is>
      </c>
      <c r="G147" t="inlineStr">
        <is>
          <t>2016-10-11</t>
        </is>
      </c>
      <c r="H147" t="inlineStr">
        <is>
          <t>20161011</t>
        </is>
      </c>
      <c r="I147" t="inlineStr">
        <is>
          <t>1</t>
        </is>
      </c>
      <c r="J147" t="inlineStr">
        <is>
          <t>제 1공장</t>
        </is>
      </c>
      <c r="K147" t="inlineStr">
        <is>
          <t>02-957-8934</t>
        </is>
      </c>
      <c r="L147" t="inlineStr">
        <is>
          <t>서울특별시 동대문구 약령동길 123</t>
        </is>
      </c>
      <c r="M147" t="inlineStr">
        <is>
          <t>, 1층(제기동)</t>
        </is>
      </c>
      <c r="N147" t="inlineStr">
        <is>
          <t>서울특별시 동대문구 약령동길 123 , 1층(제기동)</t>
        </is>
      </c>
      <c r="O147" t="inlineStr">
        <is>
          <t>서울특별시</t>
        </is>
      </c>
      <c r="P147" t="inlineStr">
        <is>
          <t>동대문구</t>
        </is>
      </c>
      <c r="Q147" t="inlineStr">
        <is>
          <t>N</t>
        </is>
      </c>
      <c r="R147" t="n">
        <v>0</v>
      </c>
    </row>
    <row r="148">
      <c r="A148" t="n">
        <v>147</v>
      </c>
      <c r="B148" t="inlineStr">
        <is>
          <t>(주)대웅제약</t>
        </is>
      </c>
      <c r="C148" t="inlineStr">
        <is>
          <t>대웅제약</t>
        </is>
      </c>
      <c r="D148" t="inlineStr">
        <is>
          <t>의약품</t>
        </is>
      </c>
      <c r="E148" t="inlineStr">
        <is>
          <t>1289</t>
        </is>
      </c>
      <c r="F148" t="inlineStr">
        <is>
          <t>박성수</t>
        </is>
      </c>
      <c r="G148" t="inlineStr">
        <is>
          <t>1954-11-09</t>
        </is>
      </c>
      <c r="H148" t="inlineStr">
        <is>
          <t>19541109</t>
        </is>
      </c>
      <c r="I148" t="inlineStr">
        <is>
          <t>4</t>
        </is>
      </c>
      <c r="J148" t="inlineStr">
        <is>
          <t>오송공장</t>
        </is>
      </c>
      <c r="K148" t="inlineStr">
        <is>
          <t>02-550-8721</t>
        </is>
      </c>
      <c r="L148" t="inlineStr">
        <is>
          <t>충청북도 청주시 흥덕구 오송읍 오송생명2로 1</t>
        </is>
      </c>
      <c r="M148" t="inlineStr"/>
      <c r="N148" t="inlineStr">
        <is>
          <t>충청북도 청주시 흥덕구 오송읍 오송생명2로 1</t>
        </is>
      </c>
      <c r="O148" t="inlineStr">
        <is>
          <t>충청북도</t>
        </is>
      </c>
      <c r="P148" t="inlineStr">
        <is>
          <t>청주시</t>
        </is>
      </c>
      <c r="Q148" t="inlineStr">
        <is>
          <t>N</t>
        </is>
      </c>
      <c r="R148" t="n">
        <v>0</v>
      </c>
    </row>
    <row r="149">
      <c r="A149" t="n">
        <v>148</v>
      </c>
      <c r="B149" t="inlineStr">
        <is>
          <t>(주)바이넥스</t>
        </is>
      </c>
      <c r="C149" t="inlineStr">
        <is>
          <t>바이넥스</t>
        </is>
      </c>
      <c r="D149" t="inlineStr">
        <is>
          <t>의약품</t>
        </is>
      </c>
      <c r="E149" t="inlineStr">
        <is>
          <t>1358</t>
        </is>
      </c>
      <c r="F149" t="inlineStr">
        <is>
          <t>이혁종</t>
        </is>
      </c>
      <c r="G149" t="inlineStr">
        <is>
          <t>1957-12-17</t>
        </is>
      </c>
      <c r="H149" t="inlineStr">
        <is>
          <t>19571217</t>
        </is>
      </c>
      <c r="I149" t="inlineStr">
        <is>
          <t>5</t>
        </is>
      </c>
      <c r="J149" t="inlineStr">
        <is>
          <t>보관소2</t>
        </is>
      </c>
      <c r="K149" t="inlineStr">
        <is>
          <t>043-7113-611</t>
        </is>
      </c>
      <c r="L149" t="inlineStr">
        <is>
          <t>충청북도 청주시 흥덕구 오송읍 오송생명8로 65</t>
        </is>
      </c>
      <c r="M149" t="inlineStr">
        <is>
          <t>창고동 1층(일부)</t>
        </is>
      </c>
      <c r="N149" t="inlineStr">
        <is>
          <t>충청북도 청주시 흥덕구 오송읍 오송생명8로 65 창고동 1층(일부)</t>
        </is>
      </c>
      <c r="O149" t="inlineStr">
        <is>
          <t>충청북도</t>
        </is>
      </c>
      <c r="P149" t="inlineStr">
        <is>
          <t>청주시</t>
        </is>
      </c>
      <c r="Q149" t="inlineStr">
        <is>
          <t>N</t>
        </is>
      </c>
      <c r="R149" t="n">
        <v>0</v>
      </c>
    </row>
    <row r="150">
      <c r="A150" t="n">
        <v>149</v>
      </c>
      <c r="B150" t="inlineStr">
        <is>
          <t>삼성제약(주)</t>
        </is>
      </c>
      <c r="C150" t="inlineStr">
        <is>
          <t>삼성제약</t>
        </is>
      </c>
      <c r="D150" t="inlineStr">
        <is>
          <t>의약품</t>
        </is>
      </c>
      <c r="E150" t="inlineStr">
        <is>
          <t>1294</t>
        </is>
      </c>
      <c r="F150" t="inlineStr">
        <is>
          <t>정성택</t>
        </is>
      </c>
      <c r="G150" t="inlineStr">
        <is>
          <t>1954-12-30</t>
        </is>
      </c>
      <c r="H150" t="inlineStr">
        <is>
          <t>19541230</t>
        </is>
      </c>
      <c r="I150" t="inlineStr">
        <is>
          <t>1</t>
        </is>
      </c>
      <c r="J150" t="inlineStr">
        <is>
          <t>제1공장</t>
        </is>
      </c>
      <c r="K150" t="inlineStr"/>
      <c r="L150" t="inlineStr">
        <is>
          <t>경기도 화성시 향남읍 제약공단2길 35</t>
        </is>
      </c>
      <c r="M150" t="inlineStr"/>
      <c r="N150" t="inlineStr">
        <is>
          <t>경기도 화성시 향남읍 제약공단2길 35</t>
        </is>
      </c>
      <c r="O150" t="inlineStr">
        <is>
          <t>경기도</t>
        </is>
      </c>
      <c r="P150" t="inlineStr">
        <is>
          <t>화성시</t>
        </is>
      </c>
      <c r="Q150" t="inlineStr">
        <is>
          <t>N</t>
        </is>
      </c>
      <c r="R150" t="n">
        <v>0</v>
      </c>
    </row>
    <row r="151">
      <c r="A151" t="n">
        <v>150</v>
      </c>
      <c r="B151" t="inlineStr">
        <is>
          <t>한국유니온제약(주)</t>
        </is>
      </c>
      <c r="C151" t="inlineStr">
        <is>
          <t>한국유니온제약</t>
        </is>
      </c>
      <c r="D151" t="inlineStr">
        <is>
          <t>의약품</t>
        </is>
      </c>
      <c r="E151" t="inlineStr">
        <is>
          <t>1326</t>
        </is>
      </c>
      <c r="F151" t="inlineStr">
        <is>
          <t>정근호</t>
        </is>
      </c>
      <c r="G151" t="inlineStr">
        <is>
          <t>1956-11-24</t>
        </is>
      </c>
      <c r="H151" t="inlineStr">
        <is>
          <t>19561124</t>
        </is>
      </c>
      <c r="I151" t="inlineStr">
        <is>
          <t>1</t>
        </is>
      </c>
      <c r="J151" t="inlineStr">
        <is>
          <t>제1공장</t>
        </is>
      </c>
      <c r="K151" t="inlineStr">
        <is>
          <t>02-489-3611</t>
        </is>
      </c>
      <c r="L151" t="inlineStr">
        <is>
          <t>강원도 원주시 문막읍 문막공단길 246</t>
        </is>
      </c>
      <c r="M151" t="inlineStr"/>
      <c r="N151" t="inlineStr">
        <is>
          <t>강원도 원주시 문막읍 문막공단길 246</t>
        </is>
      </c>
      <c r="O151" t="inlineStr">
        <is>
          <t>강원도</t>
        </is>
      </c>
      <c r="P151" t="inlineStr">
        <is>
          <t>원주시</t>
        </is>
      </c>
      <c r="Q151" t="inlineStr">
        <is>
          <t>N</t>
        </is>
      </c>
      <c r="R151" t="n">
        <v>0</v>
      </c>
    </row>
    <row r="152">
      <c r="A152" t="n">
        <v>151</v>
      </c>
      <c r="B152" t="inlineStr">
        <is>
          <t>(주)바른한방제약</t>
        </is>
      </c>
      <c r="C152" t="inlineStr">
        <is>
          <t>바른한방제약</t>
        </is>
      </c>
      <c r="D152" t="inlineStr">
        <is>
          <t>의약품</t>
        </is>
      </c>
      <c r="E152" t="inlineStr">
        <is>
          <t>359</t>
        </is>
      </c>
      <c r="F152" t="inlineStr">
        <is>
          <t>최규태</t>
        </is>
      </c>
      <c r="G152" t="inlineStr">
        <is>
          <t>2016-06-13</t>
        </is>
      </c>
      <c r="H152" t="inlineStr">
        <is>
          <t>20160613</t>
        </is>
      </c>
      <c r="I152" t="inlineStr">
        <is>
          <t>2</t>
        </is>
      </c>
      <c r="J152" t="inlineStr">
        <is>
          <t>시험실</t>
        </is>
      </c>
      <c r="K152" t="inlineStr"/>
      <c r="L152" t="inlineStr">
        <is>
          <t>서울특별시 중랑구 망우로 489</t>
        </is>
      </c>
      <c r="M152" t="inlineStr">
        <is>
          <t>망우송곡빌딩 B동 402호</t>
        </is>
      </c>
      <c r="N152" t="inlineStr">
        <is>
          <t>서울특별시 중랑구 망우로 489 망우송곡빌딩 B동 402호</t>
        </is>
      </c>
      <c r="O152" t="inlineStr">
        <is>
          <t>서울특별시</t>
        </is>
      </c>
      <c r="P152" t="inlineStr">
        <is>
          <t>중랑구</t>
        </is>
      </c>
      <c r="Q152" t="inlineStr">
        <is>
          <t>N</t>
        </is>
      </c>
      <c r="R152" t="n">
        <v>0</v>
      </c>
    </row>
    <row r="153">
      <c r="A153" t="n">
        <v>152</v>
      </c>
      <c r="B153" t="inlineStr">
        <is>
          <t>(주)다림바이오텍</t>
        </is>
      </c>
      <c r="C153" t="inlineStr">
        <is>
          <t>다림바이오텍</t>
        </is>
      </c>
      <c r="D153" t="inlineStr">
        <is>
          <t>의약품</t>
        </is>
      </c>
      <c r="E153" t="inlineStr">
        <is>
          <t>1308</t>
        </is>
      </c>
      <c r="F153" t="inlineStr">
        <is>
          <t>정종섭</t>
        </is>
      </c>
      <c r="G153" t="inlineStr">
        <is>
          <t>1955-09-15</t>
        </is>
      </c>
      <c r="H153" t="inlineStr">
        <is>
          <t>19550915</t>
        </is>
      </c>
      <c r="I153" t="inlineStr">
        <is>
          <t>4</t>
        </is>
      </c>
      <c r="J153" t="inlineStr">
        <is>
          <t>완제품보관소3</t>
        </is>
      </c>
      <c r="K153" t="inlineStr"/>
      <c r="L153" t="inlineStr">
        <is>
          <t>강원도 원주시 지정면 신평로 33</t>
        </is>
      </c>
      <c r="M153" t="inlineStr">
        <is>
          <t>A동 일부(보관소3)</t>
        </is>
      </c>
      <c r="N153" t="inlineStr">
        <is>
          <t>강원도 원주시 지정면 신평로 33 A동 일부(보관소3)</t>
        </is>
      </c>
      <c r="O153" t="inlineStr">
        <is>
          <t>강원도</t>
        </is>
      </c>
      <c r="P153" t="inlineStr">
        <is>
          <t>원주시</t>
        </is>
      </c>
      <c r="Q153" t="inlineStr">
        <is>
          <t>N</t>
        </is>
      </c>
      <c r="R153" t="n">
        <v>0</v>
      </c>
    </row>
    <row r="154">
      <c r="A154" t="n">
        <v>153</v>
      </c>
      <c r="B154" t="inlineStr">
        <is>
          <t>계림제약</t>
        </is>
      </c>
      <c r="C154" t="inlineStr">
        <is>
          <t>계림제약</t>
        </is>
      </c>
      <c r="D154" t="inlineStr">
        <is>
          <t>의약품</t>
        </is>
      </c>
      <c r="E154" t="inlineStr">
        <is>
          <t>86</t>
        </is>
      </c>
      <c r="F154" t="inlineStr">
        <is>
          <t>최상환</t>
        </is>
      </c>
      <c r="G154" t="inlineStr">
        <is>
          <t>2015-11-26</t>
        </is>
      </c>
      <c r="H154" t="inlineStr">
        <is>
          <t>20151126</t>
        </is>
      </c>
      <c r="I154" t="inlineStr">
        <is>
          <t>1</t>
        </is>
      </c>
      <c r="J154" t="inlineStr">
        <is>
          <t>제1공장</t>
        </is>
      </c>
      <c r="K154" t="inlineStr">
        <is>
          <t>054-776-4149</t>
        </is>
      </c>
      <c r="L154" t="inlineStr">
        <is>
          <t>경상북도 경주시 유림로5번길 166</t>
        </is>
      </c>
      <c r="M154" t="inlineStr"/>
      <c r="N154" t="inlineStr">
        <is>
          <t>경상북도 경주시 유림로5번길 166</t>
        </is>
      </c>
      <c r="O154" t="inlineStr">
        <is>
          <t>경상북도</t>
        </is>
      </c>
      <c r="P154" t="inlineStr">
        <is>
          <t>경주시</t>
        </is>
      </c>
      <c r="Q154" t="inlineStr">
        <is>
          <t>N</t>
        </is>
      </c>
      <c r="R154" t="n">
        <v>0</v>
      </c>
    </row>
    <row r="155">
      <c r="A155" t="n">
        <v>154</v>
      </c>
      <c r="B155" t="inlineStr">
        <is>
          <t>(주)제일가스</t>
        </is>
      </c>
      <c r="C155" t="inlineStr">
        <is>
          <t>제일가스</t>
        </is>
      </c>
      <c r="D155" t="inlineStr">
        <is>
          <t>의약품</t>
        </is>
      </c>
      <c r="E155" t="inlineStr">
        <is>
          <t>2174</t>
        </is>
      </c>
      <c r="F155" t="inlineStr">
        <is>
          <t>박삼원</t>
        </is>
      </c>
      <c r="G155" t="inlineStr">
        <is>
          <t>2001-01-03</t>
        </is>
      </c>
      <c r="H155" t="inlineStr">
        <is>
          <t>20010103</t>
        </is>
      </c>
      <c r="I155" t="inlineStr">
        <is>
          <t>1</t>
        </is>
      </c>
      <c r="J155" t="inlineStr">
        <is>
          <t>인천</t>
        </is>
      </c>
      <c r="K155" t="inlineStr">
        <is>
          <t>032-567-6050</t>
        </is>
      </c>
      <c r="L155" t="inlineStr">
        <is>
          <t>인천광역시 서구 두루물로8번길 46</t>
        </is>
      </c>
      <c r="M155" t="inlineStr"/>
      <c r="N155" t="inlineStr">
        <is>
          <t>인천광역시 서구 두루물로8번길 46</t>
        </is>
      </c>
      <c r="O155" t="inlineStr">
        <is>
          <t>인천광역시</t>
        </is>
      </c>
      <c r="P155" t="inlineStr">
        <is>
          <t>서구</t>
        </is>
      </c>
      <c r="Q155" t="inlineStr">
        <is>
          <t>N</t>
        </is>
      </c>
      <c r="R155" t="n">
        <v>0</v>
      </c>
    </row>
    <row r="156">
      <c r="A156" t="n">
        <v>155</v>
      </c>
      <c r="B156" t="inlineStr">
        <is>
          <t>동국생명과학(주)</t>
        </is>
      </c>
      <c r="C156" t="inlineStr">
        <is>
          <t>동국생명과학</t>
        </is>
      </c>
      <c r="D156" t="inlineStr">
        <is>
          <t>의약품</t>
        </is>
      </c>
      <c r="E156" t="inlineStr">
        <is>
          <t>0754</t>
        </is>
      </c>
      <c r="F156" t="inlineStr">
        <is>
          <t>박재원</t>
        </is>
      </c>
      <c r="G156" t="inlineStr">
        <is>
          <t>1999-02-23</t>
        </is>
      </c>
      <c r="H156" t="inlineStr">
        <is>
          <t>19990223</t>
        </is>
      </c>
      <c r="I156" t="inlineStr">
        <is>
          <t>3</t>
        </is>
      </c>
      <c r="J156" t="inlineStr">
        <is>
          <t>안성</t>
        </is>
      </c>
      <c r="K156" t="inlineStr"/>
      <c r="L156" t="inlineStr">
        <is>
          <t>경기도 안성시 미양면 제2공단1길 92</t>
        </is>
      </c>
      <c r="M156" t="inlineStr"/>
      <c r="N156" t="inlineStr">
        <is>
          <t>경기도 안성시 미양면 제2공단1길 92</t>
        </is>
      </c>
      <c r="O156" t="inlineStr">
        <is>
          <t>경기도</t>
        </is>
      </c>
      <c r="P156" t="inlineStr">
        <is>
          <t>안성시</t>
        </is>
      </c>
      <c r="Q156" t="inlineStr">
        <is>
          <t>N</t>
        </is>
      </c>
      <c r="R156" t="n">
        <v>0</v>
      </c>
    </row>
    <row r="157">
      <c r="A157" t="n">
        <v>156</v>
      </c>
      <c r="B157" t="inlineStr">
        <is>
          <t>에스케이플라즈마(주)</t>
        </is>
      </c>
      <c r="C157" t="inlineStr">
        <is>
          <t>에스케이플라즈마</t>
        </is>
      </c>
      <c r="D157" t="inlineStr">
        <is>
          <t>의약품</t>
        </is>
      </c>
      <c r="E157" t="inlineStr">
        <is>
          <t>352</t>
        </is>
      </c>
      <c r="F157" t="inlineStr">
        <is>
          <t>김승주</t>
        </is>
      </c>
      <c r="G157" t="inlineStr">
        <is>
          <t>2015-05-01</t>
        </is>
      </c>
      <c r="H157" t="inlineStr">
        <is>
          <t>20150501</t>
        </is>
      </c>
      <c r="I157" t="inlineStr">
        <is>
          <t>1</t>
        </is>
      </c>
      <c r="J157" t="inlineStr">
        <is>
          <t>오산</t>
        </is>
      </c>
      <c r="K157" t="inlineStr"/>
      <c r="L157" t="inlineStr">
        <is>
          <t>경기도 오산시 남부대로 430-11</t>
        </is>
      </c>
      <c r="M157" t="inlineStr"/>
      <c r="N157" t="inlineStr">
        <is>
          <t>경기도 오산시 남부대로 430-11</t>
        </is>
      </c>
      <c r="O157" t="inlineStr">
        <is>
          <t>경기도</t>
        </is>
      </c>
      <c r="P157" t="inlineStr">
        <is>
          <t>오산시</t>
        </is>
      </c>
      <c r="Q157" t="inlineStr">
        <is>
          <t>N</t>
        </is>
      </c>
      <c r="R157" t="n">
        <v>0</v>
      </c>
    </row>
    <row r="158">
      <c r="A158" t="n">
        <v>157</v>
      </c>
      <c r="B158" t="inlineStr">
        <is>
          <t>(주)종근당바이오</t>
        </is>
      </c>
      <c r="C158" t="inlineStr">
        <is>
          <t>종근당바이오</t>
        </is>
      </c>
      <c r="D158" t="inlineStr">
        <is>
          <t>의약품</t>
        </is>
      </c>
      <c r="E158" t="inlineStr">
        <is>
          <t>2253</t>
        </is>
      </c>
      <c r="F158" t="inlineStr">
        <is>
          <t>박완갑</t>
        </is>
      </c>
      <c r="G158" t="inlineStr">
        <is>
          <t>2001-11-27</t>
        </is>
      </c>
      <c r="H158" t="inlineStr">
        <is>
          <t>20011127</t>
        </is>
      </c>
      <c r="I158" t="inlineStr">
        <is>
          <t>2</t>
        </is>
      </c>
      <c r="J158" t="inlineStr">
        <is>
          <t>예산</t>
        </is>
      </c>
      <c r="K158" t="inlineStr"/>
      <c r="L158" t="inlineStr">
        <is>
          <t>충청남도 예산군 삽교읍 산단3길 226</t>
        </is>
      </c>
      <c r="M158" t="inlineStr">
        <is>
          <t>101호, 2-1동, 3-1동, 4동</t>
        </is>
      </c>
      <c r="N158" t="inlineStr">
        <is>
          <t>충청남도 예산군 삽교읍 산단3길 226 101호, 2-1동, 3-1동, 4동</t>
        </is>
      </c>
      <c r="O158" t="inlineStr">
        <is>
          <t>충청남도</t>
        </is>
      </c>
      <c r="P158" t="inlineStr">
        <is>
          <t>예산군</t>
        </is>
      </c>
      <c r="Q158" t="inlineStr">
        <is>
          <t>N</t>
        </is>
      </c>
      <c r="R158" t="n">
        <v>0</v>
      </c>
    </row>
    <row r="159">
      <c r="A159" t="n">
        <v>158</v>
      </c>
      <c r="B159" t="inlineStr">
        <is>
          <t>화일약품(주)</t>
        </is>
      </c>
      <c r="C159" t="inlineStr">
        <is>
          <t>화일약품</t>
        </is>
      </c>
      <c r="D159" t="inlineStr">
        <is>
          <t>의약품</t>
        </is>
      </c>
      <c r="E159" t="inlineStr">
        <is>
          <t>2014</t>
        </is>
      </c>
      <c r="F159" t="inlineStr">
        <is>
          <t>서생규</t>
        </is>
      </c>
      <c r="G159" t="inlineStr">
        <is>
          <t>1998-08-17</t>
        </is>
      </c>
      <c r="H159" t="inlineStr">
        <is>
          <t>19980817</t>
        </is>
      </c>
      <c r="I159" t="inlineStr">
        <is>
          <t>6</t>
        </is>
      </c>
      <c r="J159" t="inlineStr">
        <is>
          <t>평택(소분)</t>
        </is>
      </c>
      <c r="K159" t="inlineStr">
        <is>
          <t>031-628-3757</t>
        </is>
      </c>
      <c r="L159" t="inlineStr">
        <is>
          <t>경기도 평택시 산단로 241</t>
        </is>
      </c>
      <c r="M159" t="inlineStr">
        <is>
          <t>A동(칠괴동)</t>
        </is>
      </c>
      <c r="N159" t="inlineStr">
        <is>
          <t>경기도 평택시 산단로 241 A동(칠괴동)</t>
        </is>
      </c>
      <c r="O159" t="inlineStr">
        <is>
          <t>경기도</t>
        </is>
      </c>
      <c r="P159" t="inlineStr">
        <is>
          <t>평택시</t>
        </is>
      </c>
      <c r="Q159" t="inlineStr">
        <is>
          <t>Y</t>
        </is>
      </c>
      <c r="R159" t="n">
        <v>30</v>
      </c>
    </row>
    <row r="160">
      <c r="A160" t="n">
        <v>159</v>
      </c>
      <c r="B160" t="inlineStr">
        <is>
          <t>한국지엠피주식회사</t>
        </is>
      </c>
      <c r="C160" t="inlineStr">
        <is>
          <t>한국지엠피</t>
        </is>
      </c>
      <c r="D160" t="inlineStr">
        <is>
          <t>의약품</t>
        </is>
      </c>
      <c r="E160" t="inlineStr">
        <is>
          <t>350</t>
        </is>
      </c>
      <c r="F160" t="inlineStr">
        <is>
          <t>김명석</t>
        </is>
      </c>
      <c r="G160" t="inlineStr">
        <is>
          <t>2014-10-13</t>
        </is>
      </c>
      <c r="H160" t="inlineStr">
        <is>
          <t>20141013</t>
        </is>
      </c>
      <c r="I160" t="inlineStr">
        <is>
          <t>1</t>
        </is>
      </c>
      <c r="J160" t="inlineStr">
        <is>
          <t>농업회사법인 한국지엠피주식회사</t>
        </is>
      </c>
      <c r="K160" t="inlineStr">
        <is>
          <t>(031)677-3983</t>
        </is>
      </c>
      <c r="L160" t="inlineStr">
        <is>
          <t>경기도 안성시 대덕면 대농1길 39-10</t>
        </is>
      </c>
      <c r="M160" t="inlineStr"/>
      <c r="N160" t="inlineStr">
        <is>
          <t>경기도 안성시 대덕면 대농1길 39-10</t>
        </is>
      </c>
      <c r="O160" t="inlineStr">
        <is>
          <t>경기도</t>
        </is>
      </c>
      <c r="P160" t="inlineStr">
        <is>
          <t>안성시</t>
        </is>
      </c>
      <c r="Q160" t="inlineStr">
        <is>
          <t>N</t>
        </is>
      </c>
      <c r="R160" t="n">
        <v>0</v>
      </c>
    </row>
    <row r="161">
      <c r="A161" t="n">
        <v>160</v>
      </c>
      <c r="B161" t="inlineStr">
        <is>
          <t>이니스트에스티(주)</t>
        </is>
      </c>
      <c r="C161" t="inlineStr">
        <is>
          <t>이니스트에스티</t>
        </is>
      </c>
      <c r="D161" t="inlineStr">
        <is>
          <t>의약품</t>
        </is>
      </c>
      <c r="E161" t="inlineStr">
        <is>
          <t>2220</t>
        </is>
      </c>
      <c r="F161" t="inlineStr">
        <is>
          <t>한쌍수</t>
        </is>
      </c>
      <c r="G161" t="inlineStr">
        <is>
          <t>2001-06-25</t>
        </is>
      </c>
      <c r="H161" t="inlineStr">
        <is>
          <t>20010625</t>
        </is>
      </c>
      <c r="I161" t="inlineStr">
        <is>
          <t>2</t>
        </is>
      </c>
      <c r="J161" t="inlineStr">
        <is>
          <t>오송</t>
        </is>
      </c>
      <c r="K161" t="inlineStr">
        <is>
          <t>031-669-9515</t>
        </is>
      </c>
      <c r="L161" t="inlineStr">
        <is>
          <t>충청북도 청주시 흥덕구 오송읍 오송생명6로 54</t>
        </is>
      </c>
      <c r="M161" t="inlineStr"/>
      <c r="N161" t="inlineStr">
        <is>
          <t>충청북도 청주시 흥덕구 오송읍 오송생명6로 54</t>
        </is>
      </c>
      <c r="O161" t="inlineStr">
        <is>
          <t>충청북도</t>
        </is>
      </c>
      <c r="P161" t="inlineStr">
        <is>
          <t>청주시</t>
        </is>
      </c>
      <c r="Q161" t="inlineStr">
        <is>
          <t>N</t>
        </is>
      </c>
      <c r="R161" t="n">
        <v>0</v>
      </c>
    </row>
    <row r="162">
      <c r="A162" t="n">
        <v>161</v>
      </c>
      <c r="B162" t="inlineStr">
        <is>
          <t>한국원자력연구원</t>
        </is>
      </c>
      <c r="C162" t="inlineStr">
        <is>
          <t>한국원자력연구원</t>
        </is>
      </c>
      <c r="D162" t="inlineStr">
        <is>
          <t>의약품</t>
        </is>
      </c>
      <c r="E162" t="inlineStr">
        <is>
          <t>2000</t>
        </is>
      </c>
      <c r="F162" t="inlineStr">
        <is>
          <t>주한규</t>
        </is>
      </c>
      <c r="G162" t="inlineStr">
        <is>
          <t>1968-07-13</t>
        </is>
      </c>
      <c r="H162" t="inlineStr">
        <is>
          <t>19680713</t>
        </is>
      </c>
      <c r="I162" t="inlineStr">
        <is>
          <t>2</t>
        </is>
      </c>
      <c r="J162" t="inlineStr">
        <is>
          <t>서울</t>
        </is>
      </c>
      <c r="K162" t="inlineStr"/>
      <c r="L162" t="inlineStr"/>
      <c r="M162" t="inlineStr">
        <is>
          <t>서울특별시 노원구 노원로 75</t>
        </is>
      </c>
      <c r="N162" t="inlineStr">
        <is>
          <t>서울특별시 노원구 노원로 75</t>
        </is>
      </c>
      <c r="O162" t="inlineStr">
        <is>
          <t>서울특별시</t>
        </is>
      </c>
      <c r="P162" t="inlineStr">
        <is>
          <t>노원구</t>
        </is>
      </c>
      <c r="Q162" t="inlineStr">
        <is>
          <t>N</t>
        </is>
      </c>
      <c r="R162" t="n">
        <v>0</v>
      </c>
    </row>
    <row r="163">
      <c r="A163" t="n">
        <v>162</v>
      </c>
      <c r="B163" t="inlineStr">
        <is>
          <t>(주)엠에스가스</t>
        </is>
      </c>
      <c r="C163" t="inlineStr">
        <is>
          <t>엠에스가스</t>
        </is>
      </c>
      <c r="D163" t="inlineStr">
        <is>
          <t>의약품</t>
        </is>
      </c>
      <c r="E163" t="inlineStr">
        <is>
          <t>2119</t>
        </is>
      </c>
      <c r="F163" t="inlineStr">
        <is>
          <t>전청민</t>
        </is>
      </c>
      <c r="G163" t="inlineStr">
        <is>
          <t>2000-02-22</t>
        </is>
      </c>
      <c r="H163" t="inlineStr">
        <is>
          <t>20000222</t>
        </is>
      </c>
      <c r="I163" t="inlineStr">
        <is>
          <t>2</t>
        </is>
      </c>
      <c r="J163" t="inlineStr">
        <is>
          <t>용인</t>
        </is>
      </c>
      <c r="K163" t="inlineStr"/>
      <c r="L163" t="inlineStr">
        <is>
          <t>경기도 용인시 기흥구 중부대로 14-9</t>
        </is>
      </c>
      <c r="M163" t="inlineStr"/>
      <c r="N163" t="inlineStr">
        <is>
          <t>경기도 용인시 기흥구 중부대로 14-9</t>
        </is>
      </c>
      <c r="O163" t="inlineStr">
        <is>
          <t>경기도</t>
        </is>
      </c>
      <c r="P163" t="inlineStr">
        <is>
          <t>용인시</t>
        </is>
      </c>
      <c r="Q163" t="inlineStr">
        <is>
          <t>N</t>
        </is>
      </c>
      <c r="R163" t="n">
        <v>0</v>
      </c>
    </row>
    <row r="164">
      <c r="A164" t="n">
        <v>163</v>
      </c>
      <c r="B164" t="inlineStr">
        <is>
          <t>한국특수가스(주)</t>
        </is>
      </c>
      <c r="C164" t="inlineStr">
        <is>
          <t>한국특수가스</t>
        </is>
      </c>
      <c r="D164" t="inlineStr">
        <is>
          <t>의약품</t>
        </is>
      </c>
      <c r="E164" t="inlineStr">
        <is>
          <t>1909</t>
        </is>
      </c>
      <c r="F164" t="inlineStr">
        <is>
          <t>한승문</t>
        </is>
      </c>
      <c r="G164" t="inlineStr">
        <is>
          <t>1996-05-16</t>
        </is>
      </c>
      <c r="H164" t="inlineStr">
        <is>
          <t>19960516</t>
        </is>
      </c>
      <c r="I164" t="inlineStr">
        <is>
          <t>2</t>
        </is>
      </c>
      <c r="J164" t="inlineStr">
        <is>
          <t>한국특수가스(주)광주사업장</t>
        </is>
      </c>
      <c r="K164" t="inlineStr">
        <is>
          <t>010-****-5185</t>
        </is>
      </c>
      <c r="L164" t="inlineStr">
        <is>
          <t>광주광역시 광산구 평동로803번길 93</t>
        </is>
      </c>
      <c r="M164" t="inlineStr"/>
      <c r="N164" t="inlineStr">
        <is>
          <t>광주광역시 광산구 평동로803번길 93</t>
        </is>
      </c>
      <c r="O164" t="inlineStr">
        <is>
          <t>광주광역시</t>
        </is>
      </c>
      <c r="P164" t="inlineStr">
        <is>
          <t>광산구</t>
        </is>
      </c>
      <c r="Q164" t="inlineStr">
        <is>
          <t>Y</t>
        </is>
      </c>
      <c r="R164" t="n">
        <v>31</v>
      </c>
    </row>
    <row r="165">
      <c r="A165" t="n">
        <v>164</v>
      </c>
      <c r="B165" t="inlineStr">
        <is>
          <t>(주)휴온스메디텍</t>
        </is>
      </c>
      <c r="C165" t="inlineStr">
        <is>
          <t>휴온스메디텍</t>
        </is>
      </c>
      <c r="D165" t="inlineStr">
        <is>
          <t>의약품</t>
        </is>
      </c>
      <c r="E165" t="inlineStr">
        <is>
          <t>2286</t>
        </is>
      </c>
      <c r="F165" t="inlineStr">
        <is>
          <t>하창우</t>
        </is>
      </c>
      <c r="G165" t="inlineStr">
        <is>
          <t>2002-04-15</t>
        </is>
      </c>
      <c r="H165" t="inlineStr">
        <is>
          <t>20020415</t>
        </is>
      </c>
      <c r="I165" t="inlineStr">
        <is>
          <t>1</t>
        </is>
      </c>
      <c r="J165" t="inlineStr">
        <is>
          <t>부산</t>
        </is>
      </c>
      <c r="K165" t="inlineStr">
        <is>
          <t>051-831-1030(QA:051-979-0922)</t>
        </is>
      </c>
      <c r="L165" t="inlineStr">
        <is>
          <t>부산광역시 강서구 녹산산단165로 22</t>
        </is>
      </c>
      <c r="M165" t="inlineStr"/>
      <c r="N165" t="inlineStr">
        <is>
          <t>부산광역시 강서구 녹산산단165로 22</t>
        </is>
      </c>
      <c r="O165" t="inlineStr">
        <is>
          <t>부산광역시</t>
        </is>
      </c>
      <c r="P165" t="inlineStr">
        <is>
          <t>강서구</t>
        </is>
      </c>
      <c r="Q165" t="inlineStr">
        <is>
          <t>N</t>
        </is>
      </c>
      <c r="R165" t="n">
        <v>0</v>
      </c>
    </row>
    <row r="166">
      <c r="A166" t="n">
        <v>165</v>
      </c>
      <c r="B166" t="inlineStr">
        <is>
          <t>굿젠(주)</t>
        </is>
      </c>
      <c r="C166" t="inlineStr">
        <is>
          <t>굿젠</t>
        </is>
      </c>
      <c r="D166" t="inlineStr">
        <is>
          <t>의약품</t>
        </is>
      </c>
      <c r="E166" t="inlineStr">
        <is>
          <t>2605</t>
        </is>
      </c>
      <c r="F166" t="inlineStr">
        <is>
          <t>문우철</t>
        </is>
      </c>
      <c r="G166" t="inlineStr">
        <is>
          <t>2007-03-12</t>
        </is>
      </c>
      <c r="H166" t="inlineStr">
        <is>
          <t>20070312</t>
        </is>
      </c>
      <c r="I166" t="inlineStr">
        <is>
          <t>2</t>
        </is>
      </c>
      <c r="J166" t="inlineStr">
        <is>
          <t>굿젠(주)</t>
        </is>
      </c>
      <c r="K166" t="inlineStr">
        <is>
          <t>2088-0055</t>
        </is>
      </c>
      <c r="L166" t="inlineStr">
        <is>
          <t>서울특별시 구로구 디지털로30길 28</t>
        </is>
      </c>
      <c r="M166" t="inlineStr">
        <is>
          <t>마리오디지털타워 1117호(구로동)</t>
        </is>
      </c>
      <c r="N166" t="inlineStr">
        <is>
          <t>서울특별시 구로구 디지털로30길 28 마리오디지털타워 1117호(구로동)</t>
        </is>
      </c>
      <c r="O166" t="inlineStr">
        <is>
          <t>서울특별시</t>
        </is>
      </c>
      <c r="P166" t="inlineStr">
        <is>
          <t>구로구</t>
        </is>
      </c>
      <c r="Q166" t="inlineStr">
        <is>
          <t>N</t>
        </is>
      </c>
      <c r="R166" t="n">
        <v>0</v>
      </c>
    </row>
    <row r="167">
      <c r="A167" t="n">
        <v>166</v>
      </c>
      <c r="B167" t="inlineStr">
        <is>
          <t>이화산업가스주식회사</t>
        </is>
      </c>
      <c r="C167" t="inlineStr">
        <is>
          <t>이화산업가스</t>
        </is>
      </c>
      <c r="D167" t="inlineStr">
        <is>
          <t>의약품</t>
        </is>
      </c>
      <c r="E167" t="inlineStr">
        <is>
          <t>384</t>
        </is>
      </c>
      <c r="F167" t="inlineStr">
        <is>
          <t>박상형</t>
        </is>
      </c>
      <c r="G167" t="inlineStr">
        <is>
          <t>2020-11-26</t>
        </is>
      </c>
      <c r="H167" t="inlineStr">
        <is>
          <t>20201126</t>
        </is>
      </c>
      <c r="I167" t="inlineStr">
        <is>
          <t>1</t>
        </is>
      </c>
      <c r="J167" t="inlineStr">
        <is>
          <t>제1공장</t>
        </is>
      </c>
      <c r="K167" t="inlineStr">
        <is>
          <t>032-578-2345</t>
        </is>
      </c>
      <c r="L167" t="inlineStr">
        <is>
          <t>인천광역시 부평구 백범로578번길 32</t>
        </is>
      </c>
      <c r="M167" t="inlineStr">
        <is>
          <t>(십정동)</t>
        </is>
      </c>
      <c r="N167" t="inlineStr">
        <is>
          <t>인천광역시 부평구 백범로578번길 32 (십정동)</t>
        </is>
      </c>
      <c r="O167" t="inlineStr">
        <is>
          <t>인천광역시</t>
        </is>
      </c>
      <c r="P167" t="inlineStr">
        <is>
          <t>부평구</t>
        </is>
      </c>
      <c r="Q167" t="inlineStr">
        <is>
          <t>N</t>
        </is>
      </c>
      <c r="R167" t="n">
        <v>0</v>
      </c>
    </row>
    <row r="168">
      <c r="A168" t="n">
        <v>167</v>
      </c>
      <c r="B168" t="inlineStr">
        <is>
          <t>씨케이(주)</t>
        </is>
      </c>
      <c r="C168" t="inlineStr">
        <is>
          <t>씨케이</t>
        </is>
      </c>
      <c r="D168" t="inlineStr">
        <is>
          <t>의약품</t>
        </is>
      </c>
      <c r="E168" t="inlineStr">
        <is>
          <t>2586</t>
        </is>
      </c>
      <c r="F168" t="inlineStr">
        <is>
          <t>김성현</t>
        </is>
      </c>
      <c r="G168" t="inlineStr">
        <is>
          <t>2006-11-29</t>
        </is>
      </c>
      <c r="H168" t="inlineStr">
        <is>
          <t>20061129</t>
        </is>
      </c>
      <c r="I168" t="inlineStr">
        <is>
          <t>2</t>
        </is>
      </c>
      <c r="J168" t="inlineStr">
        <is>
          <t>2공장</t>
        </is>
      </c>
      <c r="K168" t="inlineStr">
        <is>
          <t>043-544-8511</t>
        </is>
      </c>
      <c r="L168" t="inlineStr">
        <is>
          <t>충청북도 보은군 보은읍 매화구인로 331-10</t>
        </is>
      </c>
      <c r="M168" t="inlineStr"/>
      <c r="N168" t="inlineStr">
        <is>
          <t>충청북도 보은군 보은읍 매화구인로 331-10</t>
        </is>
      </c>
      <c r="O168" t="inlineStr">
        <is>
          <t>충청북도</t>
        </is>
      </c>
      <c r="P168" t="inlineStr">
        <is>
          <t>보은군</t>
        </is>
      </c>
      <c r="Q168" t="inlineStr">
        <is>
          <t>Y</t>
        </is>
      </c>
      <c r="R168" t="n">
        <v>32</v>
      </c>
    </row>
    <row r="169">
      <c r="A169" t="n">
        <v>168</v>
      </c>
      <c r="B169" t="inlineStr">
        <is>
          <t>원덕제약(주)</t>
        </is>
      </c>
      <c r="C169" t="inlineStr">
        <is>
          <t>원덕제약</t>
        </is>
      </c>
      <c r="D169" t="inlineStr">
        <is>
          <t>의약품</t>
        </is>
      </c>
      <c r="E169" t="inlineStr">
        <is>
          <t>2568</t>
        </is>
      </c>
      <c r="F169" t="inlineStr">
        <is>
          <t>조형기</t>
        </is>
      </c>
      <c r="G169" t="inlineStr">
        <is>
          <t>2006-07-14</t>
        </is>
      </c>
      <c r="H169" t="inlineStr">
        <is>
          <t>20060714</t>
        </is>
      </c>
      <c r="I169" t="inlineStr">
        <is>
          <t>1</t>
        </is>
      </c>
      <c r="J169" t="inlineStr">
        <is>
          <t>.</t>
        </is>
      </c>
      <c r="K169" t="inlineStr">
        <is>
          <t>02-965-0081</t>
        </is>
      </c>
      <c r="L169" t="inlineStr">
        <is>
          <t>서울특별시 동대문구 약령시로11길 46-4</t>
        </is>
      </c>
      <c r="M169" t="inlineStr">
        <is>
          <t>, 지1층, 1층</t>
        </is>
      </c>
      <c r="N169" t="inlineStr">
        <is>
          <t>서울특별시 동대문구 약령시로11길 46-4 , 지1층, 1층</t>
        </is>
      </c>
      <c r="O169" t="inlineStr">
        <is>
          <t>서울특별시</t>
        </is>
      </c>
      <c r="P169" t="inlineStr">
        <is>
          <t>동대문구</t>
        </is>
      </c>
      <c r="Q169" t="inlineStr">
        <is>
          <t>N</t>
        </is>
      </c>
      <c r="R169" t="n">
        <v>0</v>
      </c>
    </row>
    <row r="170">
      <c r="A170" t="n">
        <v>169</v>
      </c>
      <c r="B170" t="inlineStr">
        <is>
          <t>(주)유케이케미팜</t>
        </is>
      </c>
      <c r="C170" t="inlineStr">
        <is>
          <t>유케이케미팜</t>
        </is>
      </c>
      <c r="D170" t="inlineStr">
        <is>
          <t>의약품</t>
        </is>
      </c>
      <c r="E170" t="inlineStr">
        <is>
          <t>2364</t>
        </is>
      </c>
      <c r="F170" t="inlineStr">
        <is>
          <t>오기범</t>
        </is>
      </c>
      <c r="G170" t="inlineStr">
        <is>
          <t>2003-03-13</t>
        </is>
      </c>
      <c r="H170" t="inlineStr">
        <is>
          <t>20030313</t>
        </is>
      </c>
      <c r="I170" t="inlineStr">
        <is>
          <t>3</t>
        </is>
      </c>
      <c r="J170" t="inlineStr">
        <is>
          <t>보관소2</t>
        </is>
      </c>
      <c r="K170" t="inlineStr"/>
      <c r="L170" t="inlineStr">
        <is>
          <t>경기도 안산시 단원구 별망로459번길 66</t>
        </is>
      </c>
      <c r="M170" t="inlineStr">
        <is>
          <t>다동 1층, 2층</t>
        </is>
      </c>
      <c r="N170" t="inlineStr">
        <is>
          <t>경기도 안산시 단원구 별망로459번길 66 다동 1층, 2층</t>
        </is>
      </c>
      <c r="O170" t="inlineStr">
        <is>
          <t>경기도</t>
        </is>
      </c>
      <c r="P170" t="inlineStr">
        <is>
          <t>안산시</t>
        </is>
      </c>
      <c r="Q170" t="inlineStr">
        <is>
          <t>N</t>
        </is>
      </c>
      <c r="R170" t="n">
        <v>0</v>
      </c>
    </row>
    <row r="171">
      <c r="A171" t="n">
        <v>170</v>
      </c>
      <c r="B171" t="inlineStr">
        <is>
          <t>주식회사제이투가스</t>
        </is>
      </c>
      <c r="C171" t="inlineStr">
        <is>
          <t>제이투가스</t>
        </is>
      </c>
      <c r="D171" t="inlineStr">
        <is>
          <t>의약품</t>
        </is>
      </c>
      <c r="E171" t="inlineStr">
        <is>
          <t>6176</t>
        </is>
      </c>
      <c r="F171" t="inlineStr">
        <is>
          <t>전동신</t>
        </is>
      </c>
      <c r="G171" t="inlineStr">
        <is>
          <t>2023-02-03</t>
        </is>
      </c>
      <c r="H171" t="inlineStr">
        <is>
          <t>20230203</t>
        </is>
      </c>
      <c r="I171" t="inlineStr">
        <is>
          <t>1</t>
        </is>
      </c>
      <c r="J171" t="inlineStr">
        <is>
          <t>주식회사제이투가스</t>
        </is>
      </c>
      <c r="K171" t="inlineStr">
        <is>
          <t>0319819942</t>
        </is>
      </c>
      <c r="L171" t="inlineStr">
        <is>
          <t>경기도 김포시 통진읍 애기봉로681번길 81</t>
        </is>
      </c>
      <c r="M171" t="inlineStr"/>
      <c r="N171" t="inlineStr">
        <is>
          <t>경기도 김포시 통진읍 애기봉로681번길 81</t>
        </is>
      </c>
      <c r="O171" t="inlineStr">
        <is>
          <t>경기도</t>
        </is>
      </c>
      <c r="P171" t="inlineStr">
        <is>
          <t>김포시</t>
        </is>
      </c>
      <c r="Q171" t="inlineStr">
        <is>
          <t>Y</t>
        </is>
      </c>
      <c r="R171" t="n">
        <v>33</v>
      </c>
    </row>
    <row r="172">
      <c r="A172" t="n">
        <v>171</v>
      </c>
      <c r="B172" t="inlineStr">
        <is>
          <t>아쎈코리아주식회사</t>
        </is>
      </c>
      <c r="C172" t="inlineStr">
        <is>
          <t>아쎈코리아</t>
        </is>
      </c>
      <c r="D172" t="inlineStr">
        <is>
          <t>의약품</t>
        </is>
      </c>
      <c r="E172" t="inlineStr">
        <is>
          <t>2289</t>
        </is>
      </c>
      <c r="F172" t="inlineStr">
        <is>
          <t>오원석</t>
        </is>
      </c>
      <c r="G172" t="inlineStr">
        <is>
          <t>2002-04-24</t>
        </is>
      </c>
      <c r="H172" t="inlineStr">
        <is>
          <t>20020424</t>
        </is>
      </c>
      <c r="I172" t="inlineStr">
        <is>
          <t>2</t>
        </is>
      </c>
      <c r="J172" t="inlineStr">
        <is>
          <t>인천</t>
        </is>
      </c>
      <c r="K172" t="inlineStr">
        <is>
          <t>032-501-7667</t>
        </is>
      </c>
      <c r="L172" t="inlineStr">
        <is>
          <t>인천광역시 부평구 경인로999번길 16-1</t>
        </is>
      </c>
      <c r="M172" t="inlineStr">
        <is>
          <t>1층 (보관소)</t>
        </is>
      </c>
      <c r="N172" t="inlineStr">
        <is>
          <t>인천광역시 부평구 경인로999번길 16-1 1층 (보관소)</t>
        </is>
      </c>
      <c r="O172" t="inlineStr">
        <is>
          <t>인천광역시</t>
        </is>
      </c>
      <c r="P172" t="inlineStr">
        <is>
          <t>부평구</t>
        </is>
      </c>
      <c r="Q172" t="inlineStr">
        <is>
          <t>N</t>
        </is>
      </c>
      <c r="R172" t="n">
        <v>0</v>
      </c>
    </row>
    <row r="173">
      <c r="A173" t="n">
        <v>172</v>
      </c>
      <c r="B173" t="inlineStr">
        <is>
          <t>(주)화승가스테크</t>
        </is>
      </c>
      <c r="C173" t="inlineStr">
        <is>
          <t>화승가스테크</t>
        </is>
      </c>
      <c r="D173" t="inlineStr">
        <is>
          <t>의약품</t>
        </is>
      </c>
      <c r="E173" t="inlineStr">
        <is>
          <t>55</t>
        </is>
      </c>
      <c r="F173" t="inlineStr">
        <is>
          <t>이흥수</t>
        </is>
      </c>
      <c r="G173" t="inlineStr">
        <is>
          <t>2007-12-28</t>
        </is>
      </c>
      <c r="H173" t="inlineStr">
        <is>
          <t>20071228</t>
        </is>
      </c>
      <c r="I173" t="inlineStr">
        <is>
          <t>1</t>
        </is>
      </c>
      <c r="J173" t="inlineStr">
        <is>
          <t>(주)화승가스테크</t>
        </is>
      </c>
      <c r="K173" t="inlineStr">
        <is>
          <t>(051)264-2080</t>
        </is>
      </c>
      <c r="L173" t="inlineStr">
        <is>
          <t>부산광역시 사하구 하신중앙로 44-5</t>
        </is>
      </c>
      <c r="M173" t="inlineStr"/>
      <c r="N173" t="inlineStr">
        <is>
          <t>부산광역시 사하구 하신중앙로 44-5</t>
        </is>
      </c>
      <c r="O173" t="inlineStr">
        <is>
          <t>부산광역시</t>
        </is>
      </c>
      <c r="P173" t="inlineStr">
        <is>
          <t>사하구</t>
        </is>
      </c>
      <c r="Q173" t="inlineStr">
        <is>
          <t>N</t>
        </is>
      </c>
      <c r="R173" t="n">
        <v>0</v>
      </c>
    </row>
    <row r="174">
      <c r="A174" t="n">
        <v>173</v>
      </c>
      <c r="B174" t="inlineStr">
        <is>
          <t>주식회사위지피제약</t>
        </is>
      </c>
      <c r="C174" t="inlineStr">
        <is>
          <t>위지피제약</t>
        </is>
      </c>
      <c r="D174" t="inlineStr">
        <is>
          <t>의약품</t>
        </is>
      </c>
      <c r="E174" t="inlineStr">
        <is>
          <t>6168</t>
        </is>
      </c>
      <c r="F174" t="inlineStr">
        <is>
          <t>박성준</t>
        </is>
      </c>
      <c r="G174" t="inlineStr">
        <is>
          <t>2021-11-29</t>
        </is>
      </c>
      <c r="H174" t="inlineStr">
        <is>
          <t>20211129</t>
        </is>
      </c>
      <c r="I174" t="inlineStr">
        <is>
          <t>1</t>
        </is>
      </c>
      <c r="J174" t="inlineStr">
        <is>
          <t>제1공장</t>
        </is>
      </c>
      <c r="K174" t="inlineStr"/>
      <c r="L174" t="inlineStr">
        <is>
          <t>경기도 시흥시 소망공원로 213</t>
        </is>
      </c>
      <c r="M174" t="inlineStr">
        <is>
          <t>1층 일부, 2층 일부</t>
        </is>
      </c>
      <c r="N174" t="inlineStr">
        <is>
          <t>경기도 시흥시 소망공원로 213 1층 일부, 2층 일부</t>
        </is>
      </c>
      <c r="O174" t="inlineStr">
        <is>
          <t>경기도</t>
        </is>
      </c>
      <c r="P174" t="inlineStr">
        <is>
          <t>시흥시</t>
        </is>
      </c>
      <c r="Q174" t="inlineStr">
        <is>
          <t>Y</t>
        </is>
      </c>
      <c r="R174" t="n">
        <v>34</v>
      </c>
    </row>
    <row r="175">
      <c r="A175" t="n">
        <v>174</v>
      </c>
      <c r="B175" t="inlineStr">
        <is>
          <t>주식회사제뉴원사이언스</t>
        </is>
      </c>
      <c r="C175" t="inlineStr">
        <is>
          <t>제뉴원사이언스</t>
        </is>
      </c>
      <c r="D175" t="inlineStr">
        <is>
          <t>의약품</t>
        </is>
      </c>
      <c r="E175" t="inlineStr">
        <is>
          <t>2296</t>
        </is>
      </c>
      <c r="F175" t="inlineStr">
        <is>
          <t>전광현</t>
        </is>
      </c>
      <c r="G175" t="inlineStr">
        <is>
          <t>2002-05-17</t>
        </is>
      </c>
      <c r="H175" t="inlineStr">
        <is>
          <t>20020517</t>
        </is>
      </c>
      <c r="I175" t="inlineStr">
        <is>
          <t>2</t>
        </is>
      </c>
      <c r="J175" t="inlineStr">
        <is>
          <t>서울(품질관리시험실)</t>
        </is>
      </c>
      <c r="K175" t="inlineStr"/>
      <c r="L175" t="inlineStr">
        <is>
          <t>서울특별시 구로구 디지털로 288</t>
        </is>
      </c>
      <c r="M175" t="inlineStr">
        <is>
          <t>대륭포스트타워1 1412호,1413호, 1414호</t>
        </is>
      </c>
      <c r="N175" t="inlineStr">
        <is>
          <t>서울특별시 구로구 디지털로 288 대륭포스트타워1 1412호,1413호, 1414호</t>
        </is>
      </c>
      <c r="O175" t="inlineStr">
        <is>
          <t>서울특별시</t>
        </is>
      </c>
      <c r="P175" t="inlineStr">
        <is>
          <t>구로구</t>
        </is>
      </c>
      <c r="Q175" t="inlineStr">
        <is>
          <t>N</t>
        </is>
      </c>
      <c r="R175" t="n">
        <v>0</v>
      </c>
    </row>
    <row r="176">
      <c r="A176" t="n">
        <v>175</v>
      </c>
      <c r="B176" t="inlineStr">
        <is>
          <t>(주)대한녹용수출입법인</t>
        </is>
      </c>
      <c r="C176" t="inlineStr">
        <is>
          <t>대한녹용수출입법인</t>
        </is>
      </c>
      <c r="D176" t="inlineStr">
        <is>
          <t>의약품</t>
        </is>
      </c>
      <c r="E176" t="inlineStr">
        <is>
          <t>925</t>
        </is>
      </c>
      <c r="F176" t="inlineStr">
        <is>
          <t>정충묵</t>
        </is>
      </c>
      <c r="G176" t="inlineStr">
        <is>
          <t>2007-05-31</t>
        </is>
      </c>
      <c r="H176" t="inlineStr">
        <is>
          <t>20070531</t>
        </is>
      </c>
      <c r="I176" t="inlineStr">
        <is>
          <t>1</t>
        </is>
      </c>
      <c r="J176" t="inlineStr">
        <is>
          <t>서울</t>
        </is>
      </c>
      <c r="K176" t="inlineStr">
        <is>
          <t>(02)957-2755</t>
        </is>
      </c>
      <c r="L176" t="inlineStr">
        <is>
          <t>서울특별시 동대문구 약령서길 60</t>
        </is>
      </c>
      <c r="M176" t="inlineStr">
        <is>
          <t>지하1층, 1층(제기동)</t>
        </is>
      </c>
      <c r="N176" t="inlineStr">
        <is>
          <t>서울특별시 동대문구 약령서길 60 지하1층, 1층(제기동)</t>
        </is>
      </c>
      <c r="O176" t="inlineStr">
        <is>
          <t>서울특별시</t>
        </is>
      </c>
      <c r="P176" t="inlineStr">
        <is>
          <t>동대문구</t>
        </is>
      </c>
      <c r="Q176" t="inlineStr">
        <is>
          <t>N</t>
        </is>
      </c>
      <c r="R176" t="n">
        <v>0</v>
      </c>
    </row>
    <row r="177">
      <c r="A177" t="n">
        <v>176</v>
      </c>
      <c r="B177" t="inlineStr">
        <is>
          <t>에어젠</t>
        </is>
      </c>
      <c r="C177" t="inlineStr">
        <is>
          <t>에어젠</t>
        </is>
      </c>
      <c r="D177" t="inlineStr">
        <is>
          <t>의약품</t>
        </is>
      </c>
      <c r="E177" t="inlineStr">
        <is>
          <t>107</t>
        </is>
      </c>
      <c r="F177" t="inlineStr">
        <is>
          <t>김명섭</t>
        </is>
      </c>
      <c r="G177" t="inlineStr">
        <is>
          <t>2021-03-03</t>
        </is>
      </c>
      <c r="H177" t="inlineStr">
        <is>
          <t>20210303</t>
        </is>
      </c>
      <c r="I177" t="inlineStr">
        <is>
          <t>1</t>
        </is>
      </c>
      <c r="J177" t="inlineStr">
        <is>
          <t>제1공장</t>
        </is>
      </c>
      <c r="K177" t="inlineStr">
        <is>
          <t>053-424-1312</t>
        </is>
      </c>
      <c r="L177" t="inlineStr">
        <is>
          <t>대구광역시 북구 검단북로2길 18</t>
        </is>
      </c>
      <c r="M177" t="inlineStr"/>
      <c r="N177" t="inlineStr">
        <is>
          <t>대구광역시 북구 검단북로2길 18</t>
        </is>
      </c>
      <c r="O177" t="inlineStr">
        <is>
          <t>대구광역시</t>
        </is>
      </c>
      <c r="P177" t="inlineStr">
        <is>
          <t>북구</t>
        </is>
      </c>
      <c r="Q177" t="inlineStr">
        <is>
          <t>N</t>
        </is>
      </c>
      <c r="R177" t="n">
        <v>0</v>
      </c>
    </row>
    <row r="178">
      <c r="A178" t="n">
        <v>177</v>
      </c>
      <c r="B178" t="inlineStr">
        <is>
          <t>(주)창신</t>
        </is>
      </c>
      <c r="C178" t="inlineStr">
        <is>
          <t>창신</t>
        </is>
      </c>
      <c r="D178" t="inlineStr">
        <is>
          <t>의약품</t>
        </is>
      </c>
      <c r="E178" t="inlineStr">
        <is>
          <t>2246</t>
        </is>
      </c>
      <c r="F178" t="inlineStr">
        <is>
          <t>배성학</t>
        </is>
      </c>
      <c r="G178" t="inlineStr">
        <is>
          <t>2001-09-27</t>
        </is>
      </c>
      <c r="H178" t="inlineStr">
        <is>
          <t>20010927</t>
        </is>
      </c>
      <c r="I178" t="inlineStr">
        <is>
          <t>2</t>
        </is>
      </c>
      <c r="J178" t="inlineStr">
        <is>
          <t>함안</t>
        </is>
      </c>
      <c r="K178" t="inlineStr">
        <is>
          <t>055-232-2000</t>
        </is>
      </c>
      <c r="L178" t="inlineStr">
        <is>
          <t>경상남도 함안군 산인면 신산로 159-15</t>
        </is>
      </c>
      <c r="M178" t="inlineStr"/>
      <c r="N178" t="inlineStr">
        <is>
          <t>경상남도 함안군 산인면 신산로 159-15</t>
        </is>
      </c>
      <c r="O178" t="inlineStr">
        <is>
          <t>경상남도</t>
        </is>
      </c>
      <c r="P178" t="inlineStr">
        <is>
          <t>함안군</t>
        </is>
      </c>
      <c r="Q178" t="inlineStr">
        <is>
          <t>Y</t>
        </is>
      </c>
      <c r="R178" t="n">
        <v>35</v>
      </c>
    </row>
    <row r="179">
      <c r="A179" t="n">
        <v>178</v>
      </c>
      <c r="B179" t="inlineStr">
        <is>
          <t>씨케이(주)</t>
        </is>
      </c>
      <c r="C179" t="inlineStr">
        <is>
          <t>씨케이</t>
        </is>
      </c>
      <c r="D179" t="inlineStr">
        <is>
          <t>의약품</t>
        </is>
      </c>
      <c r="E179" t="inlineStr">
        <is>
          <t>2586</t>
        </is>
      </c>
      <c r="F179" t="inlineStr">
        <is>
          <t>김성현</t>
        </is>
      </c>
      <c r="G179" t="inlineStr">
        <is>
          <t>2006-11-29</t>
        </is>
      </c>
      <c r="H179" t="inlineStr">
        <is>
          <t>20061129</t>
        </is>
      </c>
      <c r="I179" t="inlineStr">
        <is>
          <t>3</t>
        </is>
      </c>
      <c r="J179" t="inlineStr">
        <is>
          <t>보관소</t>
        </is>
      </c>
      <c r="K179" t="inlineStr">
        <is>
          <t>043-544-8511</t>
        </is>
      </c>
      <c r="L179" t="inlineStr">
        <is>
          <t>충청북도 보은군 보은읍 매화구인로 331-8</t>
        </is>
      </c>
      <c r="M179" t="inlineStr"/>
      <c r="N179" t="inlineStr">
        <is>
          <t>충청북도 보은군 보은읍 매화구인로 331-8</t>
        </is>
      </c>
      <c r="O179" t="inlineStr">
        <is>
          <t>충청북도</t>
        </is>
      </c>
      <c r="P179" t="inlineStr">
        <is>
          <t>보은군</t>
        </is>
      </c>
      <c r="Q179" t="inlineStr">
        <is>
          <t>Y</t>
        </is>
      </c>
      <c r="R179" t="n">
        <v>36</v>
      </c>
    </row>
    <row r="180">
      <c r="A180" t="n">
        <v>179</v>
      </c>
      <c r="B180" t="inlineStr">
        <is>
          <t>주식회사 제론셀베인</t>
        </is>
      </c>
      <c r="C180" t="inlineStr">
        <is>
          <t>제론셀베인</t>
        </is>
      </c>
      <c r="D180" t="inlineStr">
        <is>
          <t>의약품</t>
        </is>
      </c>
      <c r="E180" t="inlineStr">
        <is>
          <t>6161</t>
        </is>
      </c>
      <c r="F180" t="inlineStr">
        <is>
          <t>김덕규</t>
        </is>
      </c>
      <c r="G180" t="inlineStr">
        <is>
          <t>2020-06-02</t>
        </is>
      </c>
      <c r="H180" t="inlineStr">
        <is>
          <t>20200602</t>
        </is>
      </c>
      <c r="I180" t="inlineStr">
        <is>
          <t>1</t>
        </is>
      </c>
      <c r="J180" t="inlineStr">
        <is>
          <t>1공장</t>
        </is>
      </c>
      <c r="K180" t="inlineStr">
        <is>
          <t>041-533-9889</t>
        </is>
      </c>
      <c r="L180" t="inlineStr">
        <is>
          <t>충청남도 아산시 둔포면 윤보선로 342</t>
        </is>
      </c>
      <c r="M180" t="inlineStr">
        <is>
          <t>2동</t>
        </is>
      </c>
      <c r="N180" t="inlineStr">
        <is>
          <t>충청남도 아산시 둔포면 윤보선로 342 2동</t>
        </is>
      </c>
      <c r="O180" t="inlineStr">
        <is>
          <t>충청남도</t>
        </is>
      </c>
      <c r="P180" t="inlineStr">
        <is>
          <t>아산시</t>
        </is>
      </c>
      <c r="Q180" t="inlineStr">
        <is>
          <t>N</t>
        </is>
      </c>
      <c r="R180" t="n">
        <v>0</v>
      </c>
    </row>
    <row r="181">
      <c r="A181" t="n">
        <v>180</v>
      </c>
      <c r="B181" t="inlineStr">
        <is>
          <t>(주)파마코스텍</t>
        </is>
      </c>
      <c r="C181" t="inlineStr">
        <is>
          <t>파마코스텍</t>
        </is>
      </c>
      <c r="D181" t="inlineStr">
        <is>
          <t>의약품</t>
        </is>
      </c>
      <c r="E181" t="inlineStr">
        <is>
          <t>2572</t>
        </is>
      </c>
      <c r="F181" t="inlineStr">
        <is>
          <t>김재원</t>
        </is>
      </c>
      <c r="G181" t="inlineStr">
        <is>
          <t>2006-07-26</t>
        </is>
      </c>
      <c r="H181" t="inlineStr">
        <is>
          <t>20060726</t>
        </is>
      </c>
      <c r="I181" t="inlineStr">
        <is>
          <t>1</t>
        </is>
      </c>
      <c r="J181" t="inlineStr">
        <is>
          <t>화성시</t>
        </is>
      </c>
      <c r="K181" t="inlineStr">
        <is>
          <t>031-359-9969</t>
        </is>
      </c>
      <c r="L181" t="inlineStr">
        <is>
          <t>경기도 화성시 만세구 향남읍 제약단지로 47</t>
        </is>
      </c>
      <c r="M181" t="inlineStr"/>
      <c r="N181" t="inlineStr">
        <is>
          <t>경기도 화성시 만세구 향남읍 제약단지로 47</t>
        </is>
      </c>
      <c r="O181" t="inlineStr">
        <is>
          <t>경기도</t>
        </is>
      </c>
      <c r="P181" t="inlineStr">
        <is>
          <t>화성시</t>
        </is>
      </c>
      <c r="Q181" t="inlineStr">
        <is>
          <t>N</t>
        </is>
      </c>
      <c r="R181" t="n">
        <v>0</v>
      </c>
    </row>
    <row r="182">
      <c r="A182" t="n">
        <v>181</v>
      </c>
      <c r="B182" t="inlineStr">
        <is>
          <t>에이치디엑스(주)</t>
        </is>
      </c>
      <c r="C182" t="inlineStr">
        <is>
          <t>에이치디엑스</t>
        </is>
      </c>
      <c r="D182" t="inlineStr">
        <is>
          <t>의약품</t>
        </is>
      </c>
      <c r="E182" t="inlineStr">
        <is>
          <t>2407</t>
        </is>
      </c>
      <c r="F182" t="inlineStr">
        <is>
          <t>이창영</t>
        </is>
      </c>
      <c r="G182" t="inlineStr">
        <is>
          <t>2003-12-11</t>
        </is>
      </c>
      <c r="H182" t="inlineStr">
        <is>
          <t>20031211</t>
        </is>
      </c>
      <c r="I182" t="inlineStr">
        <is>
          <t>3</t>
        </is>
      </c>
      <c r="J182" t="inlineStr">
        <is>
          <t>경기 안양</t>
        </is>
      </c>
      <c r="K182" t="inlineStr"/>
      <c r="L182" t="inlineStr">
        <is>
          <t>경기도 안양시 동안구 관평로170번길 22</t>
        </is>
      </c>
      <c r="M182" t="inlineStr"/>
      <c r="N182" t="inlineStr">
        <is>
          <t>경기도 안양시 동안구 관평로170번길 22</t>
        </is>
      </c>
      <c r="O182" t="inlineStr">
        <is>
          <t>경기도</t>
        </is>
      </c>
      <c r="P182" t="inlineStr">
        <is>
          <t>안양시</t>
        </is>
      </c>
      <c r="Q182" t="inlineStr">
        <is>
          <t>N</t>
        </is>
      </c>
      <c r="R182" t="n">
        <v>0</v>
      </c>
    </row>
    <row r="183">
      <c r="A183" t="n">
        <v>182</v>
      </c>
      <c r="B183" t="inlineStr">
        <is>
          <t>(주)비앤씨코리아</t>
        </is>
      </c>
      <c r="C183" t="inlineStr">
        <is>
          <t>비앤씨코리아</t>
        </is>
      </c>
      <c r="D183" t="inlineStr">
        <is>
          <t>의약품</t>
        </is>
      </c>
      <c r="E183" t="inlineStr">
        <is>
          <t>6180</t>
        </is>
      </c>
      <c r="F183" t="inlineStr">
        <is>
          <t>박종갑</t>
        </is>
      </c>
      <c r="G183" t="inlineStr">
        <is>
          <t>2023-03-31</t>
        </is>
      </c>
      <c r="H183" t="inlineStr">
        <is>
          <t>20230331</t>
        </is>
      </c>
      <c r="I183" t="inlineStr">
        <is>
          <t>1</t>
        </is>
      </c>
      <c r="J183" t="inlineStr">
        <is>
          <t>(주)비앤씨코리아</t>
        </is>
      </c>
      <c r="K183" t="inlineStr">
        <is>
          <t>1599-0341</t>
        </is>
      </c>
      <c r="L183" t="inlineStr">
        <is>
          <t>충청북도 제천시 제2바이오밸리로7가길 24</t>
        </is>
      </c>
      <c r="M183" t="inlineStr"/>
      <c r="N183" t="inlineStr">
        <is>
          <t>충청북도 제천시 제2바이오밸리로7가길 24</t>
        </is>
      </c>
      <c r="O183" t="inlineStr">
        <is>
          <t>충청북도</t>
        </is>
      </c>
      <c r="P183" t="inlineStr">
        <is>
          <t>제천시</t>
        </is>
      </c>
      <c r="Q183" t="inlineStr">
        <is>
          <t>N</t>
        </is>
      </c>
      <c r="R183" t="n">
        <v>0</v>
      </c>
    </row>
    <row r="184">
      <c r="A184" t="n">
        <v>183</v>
      </c>
      <c r="B184" t="inlineStr">
        <is>
          <t>동우당제약(주)</t>
        </is>
      </c>
      <c r="C184" t="inlineStr">
        <is>
          <t>동우당제약</t>
        </is>
      </c>
      <c r="D184" t="inlineStr">
        <is>
          <t>의약품</t>
        </is>
      </c>
      <c r="E184" t="inlineStr">
        <is>
          <t>2320</t>
        </is>
      </c>
      <c r="F184" t="inlineStr">
        <is>
          <t>허담</t>
        </is>
      </c>
      <c r="G184" t="inlineStr">
        <is>
          <t>2002-08-09</t>
        </is>
      </c>
      <c r="H184" t="inlineStr">
        <is>
          <t>20020809</t>
        </is>
      </c>
      <c r="I184" t="inlineStr">
        <is>
          <t>1</t>
        </is>
      </c>
      <c r="J184" t="inlineStr">
        <is>
          <t>영천</t>
        </is>
      </c>
      <c r="K184" t="inlineStr">
        <is>
          <t>070-8633-3246</t>
        </is>
      </c>
      <c r="L184" t="inlineStr">
        <is>
          <t>경상북도 의성군 봉양면 농공신동길 27</t>
        </is>
      </c>
      <c r="M184" t="inlineStr"/>
      <c r="N184" t="inlineStr">
        <is>
          <t>경상북도 의성군 봉양면 농공신동길 27</t>
        </is>
      </c>
      <c r="O184" t="inlineStr">
        <is>
          <t>경상북도</t>
        </is>
      </c>
      <c r="P184" t="inlineStr">
        <is>
          <t>의성군</t>
        </is>
      </c>
      <c r="Q184" t="inlineStr">
        <is>
          <t>N</t>
        </is>
      </c>
      <c r="R184" t="n">
        <v>0</v>
      </c>
    </row>
    <row r="185">
      <c r="A185" t="n">
        <v>184</v>
      </c>
      <c r="B185" t="inlineStr">
        <is>
          <t>주식회사 코리아에어텍</t>
        </is>
      </c>
      <c r="C185" t="inlineStr">
        <is>
          <t>코리아에어텍</t>
        </is>
      </c>
      <c r="D185" t="inlineStr">
        <is>
          <t>의약품</t>
        </is>
      </c>
      <c r="E185" t="inlineStr">
        <is>
          <t>56</t>
        </is>
      </c>
      <c r="F185" t="inlineStr">
        <is>
          <t>채상수</t>
        </is>
      </c>
      <c r="G185" t="inlineStr">
        <is>
          <t>2008-03-11</t>
        </is>
      </c>
      <c r="H185" t="inlineStr">
        <is>
          <t>20080311</t>
        </is>
      </c>
      <c r="I185" t="inlineStr">
        <is>
          <t>1</t>
        </is>
      </c>
      <c r="J185" t="inlineStr">
        <is>
          <t>주식회사 코리아에어텍</t>
        </is>
      </c>
      <c r="K185" t="inlineStr">
        <is>
          <t>(052)278-6711</t>
        </is>
      </c>
      <c r="L185" t="inlineStr">
        <is>
          <t>울산광역시 남구 용잠로 14</t>
        </is>
      </c>
      <c r="M185" t="inlineStr"/>
      <c r="N185" t="inlineStr">
        <is>
          <t>울산광역시 남구 용잠로 14</t>
        </is>
      </c>
      <c r="O185" t="inlineStr">
        <is>
          <t>울산광역시</t>
        </is>
      </c>
      <c r="P185" t="inlineStr">
        <is>
          <t>남구</t>
        </is>
      </c>
      <c r="Q185" t="inlineStr">
        <is>
          <t>N</t>
        </is>
      </c>
      <c r="R185" t="n">
        <v>0</v>
      </c>
    </row>
    <row r="186">
      <c r="A186" t="n">
        <v>185</v>
      </c>
      <c r="B186" t="inlineStr">
        <is>
          <t>한국탄산화학(주)</t>
        </is>
      </c>
      <c r="C186" t="inlineStr">
        <is>
          <t>한국탄산화학</t>
        </is>
      </c>
      <c r="D186" t="inlineStr">
        <is>
          <t>의약품</t>
        </is>
      </c>
      <c r="E186" t="inlineStr">
        <is>
          <t>6171</t>
        </is>
      </c>
      <c r="F186" t="inlineStr">
        <is>
          <t>유연채</t>
        </is>
      </c>
      <c r="G186" t="inlineStr">
        <is>
          <t>2022-08-11</t>
        </is>
      </c>
      <c r="H186" t="inlineStr">
        <is>
          <t>20220811</t>
        </is>
      </c>
      <c r="I186" t="inlineStr">
        <is>
          <t>1</t>
        </is>
      </c>
      <c r="J186" t="inlineStr">
        <is>
          <t>한국탄산화학(주)</t>
        </is>
      </c>
      <c r="K186" t="inlineStr">
        <is>
          <t>031-498-9231</t>
        </is>
      </c>
      <c r="L186" t="inlineStr">
        <is>
          <t>경기도 시흥시 서해안로 140</t>
        </is>
      </c>
      <c r="M186" t="inlineStr"/>
      <c r="N186" t="inlineStr">
        <is>
          <t>경기도 시흥시 서해안로 140</t>
        </is>
      </c>
      <c r="O186" t="inlineStr">
        <is>
          <t>경기도</t>
        </is>
      </c>
      <c r="P186" t="inlineStr">
        <is>
          <t>시흥시</t>
        </is>
      </c>
      <c r="Q186" t="inlineStr">
        <is>
          <t>N</t>
        </is>
      </c>
      <c r="R186" t="n">
        <v>0</v>
      </c>
    </row>
    <row r="187">
      <c r="A187" t="n">
        <v>186</v>
      </c>
      <c r="B187" t="inlineStr">
        <is>
          <t>테고사이언스(주)</t>
        </is>
      </c>
      <c r="C187" t="inlineStr">
        <is>
          <t>테고사이언스</t>
        </is>
      </c>
      <c r="D187" t="inlineStr">
        <is>
          <t>의약품</t>
        </is>
      </c>
      <c r="E187" t="inlineStr">
        <is>
          <t>2353</t>
        </is>
      </c>
      <c r="F187" t="inlineStr">
        <is>
          <t>전세화</t>
        </is>
      </c>
      <c r="G187" t="inlineStr">
        <is>
          <t>2002-12-10</t>
        </is>
      </c>
      <c r="H187" t="inlineStr">
        <is>
          <t>20021210</t>
        </is>
      </c>
      <c r="I187" t="inlineStr">
        <is>
          <t>1</t>
        </is>
      </c>
      <c r="J187" t="inlineStr">
        <is>
          <t>서울</t>
        </is>
      </c>
      <c r="K187" t="inlineStr">
        <is>
          <t>02-2107-3053</t>
        </is>
      </c>
      <c r="L187" t="inlineStr">
        <is>
          <t>서울특별시 금천구 가산디지털2로 115</t>
        </is>
      </c>
      <c r="M187" t="inlineStr">
        <is>
          <t>, 101호 (가산동, 대륭테크노타운제3차)</t>
        </is>
      </c>
      <c r="N187" t="inlineStr">
        <is>
          <t>서울특별시 금천구 가산디지털2로 115 , 101호 (가산동, 대륭테크노타운제3차)</t>
        </is>
      </c>
      <c r="O187" t="inlineStr">
        <is>
          <t>서울특별시</t>
        </is>
      </c>
      <c r="P187" t="inlineStr">
        <is>
          <t>금천구</t>
        </is>
      </c>
      <c r="Q187" t="inlineStr">
        <is>
          <t>N</t>
        </is>
      </c>
      <c r="R187" t="n">
        <v>0</v>
      </c>
    </row>
    <row r="188">
      <c r="A188" t="n">
        <v>187</v>
      </c>
      <c r="B188" t="inlineStr">
        <is>
          <t>(주)평화산소</t>
        </is>
      </c>
      <c r="C188" t="inlineStr">
        <is>
          <t>평화산소</t>
        </is>
      </c>
      <c r="D188" t="inlineStr">
        <is>
          <t>의약품</t>
        </is>
      </c>
      <c r="E188" t="inlineStr">
        <is>
          <t>52</t>
        </is>
      </c>
      <c r="F188" t="inlineStr">
        <is>
          <t>김진태</t>
        </is>
      </c>
      <c r="G188" t="inlineStr">
        <is>
          <t>2007-09-06</t>
        </is>
      </c>
      <c r="H188" t="inlineStr">
        <is>
          <t>20070906</t>
        </is>
      </c>
      <c r="I188" t="inlineStr">
        <is>
          <t>1</t>
        </is>
      </c>
      <c r="J188" t="inlineStr">
        <is>
          <t>제1공장</t>
        </is>
      </c>
      <c r="K188" t="inlineStr">
        <is>
          <t>(055)255-9211</t>
        </is>
      </c>
      <c r="L188" t="inlineStr">
        <is>
          <t>경상남도 창원시 마산합포구 진북면 정현공단길 113</t>
        </is>
      </c>
      <c r="M188" t="inlineStr"/>
      <c r="N188" t="inlineStr">
        <is>
          <t>경상남도 창원시 마산합포구 진북면 정현공단길 113</t>
        </is>
      </c>
      <c r="O188" t="inlineStr">
        <is>
          <t>경상남도</t>
        </is>
      </c>
      <c r="P188" t="inlineStr">
        <is>
          <t>창원시</t>
        </is>
      </c>
      <c r="Q188" t="inlineStr">
        <is>
          <t>Y</t>
        </is>
      </c>
      <c r="R188" t="n">
        <v>37</v>
      </c>
    </row>
    <row r="189">
      <c r="A189" t="n">
        <v>188</v>
      </c>
      <c r="B189" t="inlineStr">
        <is>
          <t>주식회사진바이오팜</t>
        </is>
      </c>
      <c r="C189" t="inlineStr">
        <is>
          <t>진바이오팜</t>
        </is>
      </c>
      <c r="D189" t="inlineStr">
        <is>
          <t>의약품</t>
        </is>
      </c>
      <c r="E189" t="inlineStr">
        <is>
          <t>6165</t>
        </is>
      </c>
      <c r="F189" t="inlineStr">
        <is>
          <t>김영숙</t>
        </is>
      </c>
      <c r="G189" t="inlineStr">
        <is>
          <t>2021-04-28</t>
        </is>
      </c>
      <c r="H189" t="inlineStr">
        <is>
          <t>20210428</t>
        </is>
      </c>
      <c r="I189" t="inlineStr">
        <is>
          <t>1</t>
        </is>
      </c>
      <c r="J189" t="inlineStr">
        <is>
          <t>주식회사진바이오팜</t>
        </is>
      </c>
      <c r="K189" t="inlineStr">
        <is>
          <t>031-686-7736</t>
        </is>
      </c>
      <c r="L189" t="inlineStr">
        <is>
          <t>경기도 평택시 청북읍 드림산단5로 34</t>
        </is>
      </c>
      <c r="M189" t="inlineStr"/>
      <c r="N189" t="inlineStr">
        <is>
          <t>경기도 평택시 청북읍 드림산단5로 34</t>
        </is>
      </c>
      <c r="O189" t="inlineStr">
        <is>
          <t>경기도</t>
        </is>
      </c>
      <c r="P189" t="inlineStr">
        <is>
          <t>평택시</t>
        </is>
      </c>
      <c r="Q189" t="inlineStr">
        <is>
          <t>N</t>
        </is>
      </c>
      <c r="R189" t="n">
        <v>0</v>
      </c>
    </row>
    <row r="190">
      <c r="A190" t="n">
        <v>189</v>
      </c>
      <c r="B190" t="inlineStr">
        <is>
          <t>재단법인아산사회복지재단서울아산병원</t>
        </is>
      </c>
      <c r="C190" t="inlineStr">
        <is>
          <t>재단법인아산사회복지재단서울아산병원</t>
        </is>
      </c>
      <c r="D190" t="inlineStr">
        <is>
          <t>의약품</t>
        </is>
      </c>
      <c r="E190" t="inlineStr">
        <is>
          <t>2276</t>
        </is>
      </c>
      <c r="F190" t="inlineStr">
        <is>
          <t>정몽준</t>
        </is>
      </c>
      <c r="G190" t="inlineStr">
        <is>
          <t>2002-03-21</t>
        </is>
      </c>
      <c r="H190" t="inlineStr">
        <is>
          <t>20020321</t>
        </is>
      </c>
      <c r="I190" t="inlineStr">
        <is>
          <t>1</t>
        </is>
      </c>
      <c r="J190" t="inlineStr">
        <is>
          <t>.</t>
        </is>
      </c>
      <c r="K190" t="inlineStr"/>
      <c r="L190" t="inlineStr">
        <is>
          <t>서울특별시 송파구 올림픽로43길 88</t>
        </is>
      </c>
      <c r="M190" t="inlineStr"/>
      <c r="N190" t="inlineStr">
        <is>
          <t>서울특별시 송파구 올림픽로43길 88</t>
        </is>
      </c>
      <c r="O190" t="inlineStr">
        <is>
          <t>서울특별시</t>
        </is>
      </c>
      <c r="P190" t="inlineStr">
        <is>
          <t>송파구</t>
        </is>
      </c>
      <c r="Q190" t="inlineStr">
        <is>
          <t>N</t>
        </is>
      </c>
      <c r="R190" t="n">
        <v>0</v>
      </c>
    </row>
    <row r="191">
      <c r="A191" t="n">
        <v>190</v>
      </c>
      <c r="B191" t="inlineStr">
        <is>
          <t>(주)휴메딕스</t>
        </is>
      </c>
      <c r="C191" t="inlineStr">
        <is>
          <t>휴메딕스</t>
        </is>
      </c>
      <c r="D191" t="inlineStr">
        <is>
          <t>의약품</t>
        </is>
      </c>
      <c r="E191" t="inlineStr">
        <is>
          <t>899</t>
        </is>
      </c>
      <c r="F191" t="inlineStr">
        <is>
          <t>강민종</t>
        </is>
      </c>
      <c r="G191" t="inlineStr">
        <is>
          <t>2007-01-15</t>
        </is>
      </c>
      <c r="H191" t="inlineStr">
        <is>
          <t>20070115</t>
        </is>
      </c>
      <c r="I191" t="inlineStr">
        <is>
          <t>1</t>
        </is>
      </c>
      <c r="J191" t="inlineStr">
        <is>
          <t>제천</t>
        </is>
      </c>
      <c r="K191" t="inlineStr">
        <is>
          <t>043-648-6450</t>
        </is>
      </c>
      <c r="L191" t="inlineStr">
        <is>
          <t>충청북도 제천시 바이오밸리2로 17</t>
        </is>
      </c>
      <c r="M191" t="inlineStr"/>
      <c r="N191" t="inlineStr">
        <is>
          <t>충청북도 제천시 바이오밸리2로 17</t>
        </is>
      </c>
      <c r="O191" t="inlineStr">
        <is>
          <t>충청북도</t>
        </is>
      </c>
      <c r="P191" t="inlineStr">
        <is>
          <t>제천시</t>
        </is>
      </c>
      <c r="Q191" t="inlineStr">
        <is>
          <t>N</t>
        </is>
      </c>
      <c r="R191" t="n">
        <v>0</v>
      </c>
    </row>
    <row r="192">
      <c r="A192" t="n">
        <v>191</v>
      </c>
      <c r="B192" t="inlineStr">
        <is>
          <t>미생물실증지원센터</t>
        </is>
      </c>
      <c r="C192" t="inlineStr">
        <is>
          <t>미생물실증지원센터</t>
        </is>
      </c>
      <c r="D192" t="inlineStr">
        <is>
          <t>의약품</t>
        </is>
      </c>
      <c r="E192" t="inlineStr">
        <is>
          <t>383</t>
        </is>
      </c>
      <c r="F192" t="inlineStr">
        <is>
          <t>조민</t>
        </is>
      </c>
      <c r="G192" t="inlineStr">
        <is>
          <t>2020-09-14</t>
        </is>
      </c>
      <c r="H192" t="inlineStr">
        <is>
          <t>20200914</t>
        </is>
      </c>
      <c r="I192" t="inlineStr">
        <is>
          <t>1</t>
        </is>
      </c>
      <c r="J192" t="inlineStr">
        <is>
          <t>미생물실증지원센터</t>
        </is>
      </c>
      <c r="K192" t="inlineStr">
        <is>
          <t>061-928-8000</t>
        </is>
      </c>
      <c r="L192" t="inlineStr">
        <is>
          <t>전라남도 화순군 화순읍 산단길 132</t>
        </is>
      </c>
      <c r="M192" t="inlineStr">
        <is>
          <t>미생물실증지원센터</t>
        </is>
      </c>
      <c r="N192" t="inlineStr">
        <is>
          <t>전라남도 화순군 화순읍 산단길 132 미생물실증지원센터</t>
        </is>
      </c>
      <c r="O192" t="inlineStr">
        <is>
          <t>전라남도</t>
        </is>
      </c>
      <c r="P192" t="inlineStr">
        <is>
          <t>화순군</t>
        </is>
      </c>
      <c r="Q192" t="inlineStr">
        <is>
          <t>N</t>
        </is>
      </c>
      <c r="R192" t="n">
        <v>0</v>
      </c>
    </row>
    <row r="193">
      <c r="A193" t="n">
        <v>192</v>
      </c>
      <c r="B193" t="inlineStr">
        <is>
          <t>씨케이(주)</t>
        </is>
      </c>
      <c r="C193" t="inlineStr">
        <is>
          <t>씨케이</t>
        </is>
      </c>
      <c r="D193" t="inlineStr">
        <is>
          <t>의약품</t>
        </is>
      </c>
      <c r="E193" t="inlineStr">
        <is>
          <t>2586</t>
        </is>
      </c>
      <c r="F193" t="inlineStr">
        <is>
          <t>김성현</t>
        </is>
      </c>
      <c r="G193" t="inlineStr">
        <is>
          <t>2006-11-29</t>
        </is>
      </c>
      <c r="H193" t="inlineStr">
        <is>
          <t>20061129</t>
        </is>
      </c>
      <c r="I193" t="inlineStr">
        <is>
          <t>1</t>
        </is>
      </c>
      <c r="J193" t="inlineStr">
        <is>
          <t>시험실, 보관소</t>
        </is>
      </c>
      <c r="K193" t="inlineStr">
        <is>
          <t>043-544-8511</t>
        </is>
      </c>
      <c r="L193" t="inlineStr">
        <is>
          <t>충청북도 보은군 보은읍 매화구인로 331-13</t>
        </is>
      </c>
      <c r="M193" t="inlineStr"/>
      <c r="N193" t="inlineStr">
        <is>
          <t>충청북도 보은군 보은읍 매화구인로 331-13</t>
        </is>
      </c>
      <c r="O193" t="inlineStr">
        <is>
          <t>충청북도</t>
        </is>
      </c>
      <c r="P193" t="inlineStr">
        <is>
          <t>보은군</t>
        </is>
      </c>
      <c r="Q193" t="inlineStr">
        <is>
          <t>Y</t>
        </is>
      </c>
      <c r="R193" t="n">
        <v>38</v>
      </c>
    </row>
    <row r="194">
      <c r="A194" t="n">
        <v>193</v>
      </c>
      <c r="B194" t="inlineStr">
        <is>
          <t>에이치디엑스(주)</t>
        </is>
      </c>
      <c r="C194" t="inlineStr">
        <is>
          <t>에이치디엑스</t>
        </is>
      </c>
      <c r="D194" t="inlineStr">
        <is>
          <t>의약품</t>
        </is>
      </c>
      <c r="E194" t="inlineStr">
        <is>
          <t>2407</t>
        </is>
      </c>
      <c r="F194" t="inlineStr">
        <is>
          <t>이창영</t>
        </is>
      </c>
      <c r="G194" t="inlineStr">
        <is>
          <t>2003-12-11</t>
        </is>
      </c>
      <c r="H194" t="inlineStr">
        <is>
          <t>20031211</t>
        </is>
      </c>
      <c r="I194" t="inlineStr">
        <is>
          <t>7</t>
        </is>
      </c>
      <c r="J194" t="inlineStr">
        <is>
          <t>서울 서울시 종로구 인사동194-27</t>
        </is>
      </c>
      <c r="K194" t="inlineStr">
        <is>
          <t>02-365-84412003-8441</t>
        </is>
      </c>
      <c r="L194" t="inlineStr">
        <is>
          <t>서울특별시 서대문구 연세로 50</t>
        </is>
      </c>
      <c r="M194" t="inlineStr"/>
      <c r="N194" t="inlineStr">
        <is>
          <t>서울특별시 서대문구 연세로 50</t>
        </is>
      </c>
      <c r="O194" t="inlineStr">
        <is>
          <t>서울특별시</t>
        </is>
      </c>
      <c r="P194" t="inlineStr">
        <is>
          <t>서대문구</t>
        </is>
      </c>
      <c r="Q194" t="inlineStr">
        <is>
          <t>N</t>
        </is>
      </c>
      <c r="R194" t="n">
        <v>0</v>
      </c>
    </row>
    <row r="195">
      <c r="A195" t="n">
        <v>194</v>
      </c>
      <c r="B195" t="inlineStr">
        <is>
          <t>(주)인티그레이션</t>
        </is>
      </c>
      <c r="C195" t="inlineStr">
        <is>
          <t>인티그레이션</t>
        </is>
      </c>
      <c r="D195" t="inlineStr">
        <is>
          <t>의약품</t>
        </is>
      </c>
      <c r="E195" t="inlineStr">
        <is>
          <t>6184</t>
        </is>
      </c>
      <c r="F195" t="inlineStr">
        <is>
          <t>정희범</t>
        </is>
      </c>
      <c r="G195" t="inlineStr">
        <is>
          <t>2024-03-18</t>
        </is>
      </c>
      <c r="H195" t="inlineStr">
        <is>
          <t>20240318</t>
        </is>
      </c>
      <c r="I195" t="inlineStr">
        <is>
          <t>2</t>
        </is>
      </c>
      <c r="J195" t="inlineStr">
        <is>
          <t>2공장</t>
        </is>
      </c>
      <c r="K195" t="inlineStr"/>
      <c r="L195" t="inlineStr">
        <is>
          <t>경기도 남양주시 수동면 소래비로416번길 99-1</t>
        </is>
      </c>
      <c r="M195" t="inlineStr">
        <is>
          <t>, 가동</t>
        </is>
      </c>
      <c r="N195" t="inlineStr">
        <is>
          <t>경기도 남양주시 수동면 소래비로416번길 99-1 , 가동</t>
        </is>
      </c>
      <c r="O195" t="inlineStr">
        <is>
          <t>경기도</t>
        </is>
      </c>
      <c r="P195" t="inlineStr">
        <is>
          <t>남양주시</t>
        </is>
      </c>
      <c r="Q195" t="inlineStr">
        <is>
          <t>N</t>
        </is>
      </c>
      <c r="R195" t="n">
        <v>0</v>
      </c>
    </row>
    <row r="196">
      <c r="A196" t="n">
        <v>195</v>
      </c>
      <c r="B196" t="inlineStr">
        <is>
          <t>(주)대평</t>
        </is>
      </c>
      <c r="C196" t="inlineStr">
        <is>
          <t>대평</t>
        </is>
      </c>
      <c r="D196" t="inlineStr">
        <is>
          <t>의약품</t>
        </is>
      </c>
      <c r="E196" t="inlineStr">
        <is>
          <t>2361</t>
        </is>
      </c>
      <c r="F196" t="inlineStr">
        <is>
          <t>김동주</t>
        </is>
      </c>
      <c r="G196" t="inlineStr">
        <is>
          <t>2003-02-15</t>
        </is>
      </c>
      <c r="H196" t="inlineStr">
        <is>
          <t>20030215</t>
        </is>
      </c>
      <c r="I196" t="inlineStr">
        <is>
          <t>1</t>
        </is>
      </c>
      <c r="J196" t="inlineStr">
        <is>
          <t>상주</t>
        </is>
      </c>
      <c r="K196" t="inlineStr">
        <is>
          <t>054-541-9005</t>
        </is>
      </c>
      <c r="L196" t="inlineStr">
        <is>
          <t>경상북도 상주시 함창읍 영동길 19-8</t>
        </is>
      </c>
      <c r="M196" t="inlineStr"/>
      <c r="N196" t="inlineStr">
        <is>
          <t>경상북도 상주시 함창읍 영동길 19-8</t>
        </is>
      </c>
      <c r="O196" t="inlineStr">
        <is>
          <t>경상북도</t>
        </is>
      </c>
      <c r="P196" t="inlineStr">
        <is>
          <t>상주시</t>
        </is>
      </c>
      <c r="Q196" t="inlineStr">
        <is>
          <t>Y</t>
        </is>
      </c>
      <c r="R196" t="n">
        <v>39</v>
      </c>
    </row>
    <row r="197">
      <c r="A197" t="n">
        <v>196</v>
      </c>
      <c r="B197" t="inlineStr">
        <is>
          <t>주식회사제노스</t>
        </is>
      </c>
      <c r="C197" t="inlineStr">
        <is>
          <t>제노스</t>
        </is>
      </c>
      <c r="D197" t="inlineStr">
        <is>
          <t>의약품</t>
        </is>
      </c>
      <c r="E197" t="inlineStr">
        <is>
          <t>6173</t>
        </is>
      </c>
      <c r="F197" t="inlineStr">
        <is>
          <t>정성민</t>
        </is>
      </c>
      <c r="G197" t="inlineStr">
        <is>
          <t>2022-12-16</t>
        </is>
      </c>
      <c r="H197" t="inlineStr">
        <is>
          <t>20221216</t>
        </is>
      </c>
      <c r="I197" t="inlineStr">
        <is>
          <t>1</t>
        </is>
      </c>
      <c r="J197" t="inlineStr">
        <is>
          <t>제노스 의약품 제조소</t>
        </is>
      </c>
      <c r="K197" t="inlineStr">
        <is>
          <t>031-888-5100</t>
        </is>
      </c>
      <c r="L197" t="inlineStr">
        <is>
          <t>경기도 수원시 영통구 창룡대로256번길 76</t>
        </is>
      </c>
      <c r="M197" t="inlineStr">
        <is>
          <t>덴티움지식산업센터 지하 1층 일부</t>
        </is>
      </c>
      <c r="N197" t="inlineStr">
        <is>
          <t>경기도 수원시 영통구 창룡대로256번길 76 덴티움지식산업센터 지하 1층 일부</t>
        </is>
      </c>
      <c r="O197" t="inlineStr">
        <is>
          <t>경기도</t>
        </is>
      </c>
      <c r="P197" t="inlineStr">
        <is>
          <t>수원시</t>
        </is>
      </c>
      <c r="Q197" t="inlineStr">
        <is>
          <t>N</t>
        </is>
      </c>
      <c r="R197" t="n">
        <v>0</v>
      </c>
    </row>
    <row r="198">
      <c r="A198" t="n">
        <v>197</v>
      </c>
      <c r="B198" t="inlineStr">
        <is>
          <t>(주)대원알디티</t>
        </is>
      </c>
      <c r="C198" t="inlineStr">
        <is>
          <t>대원알디티</t>
        </is>
      </c>
      <c r="D198" t="inlineStr">
        <is>
          <t>의약품</t>
        </is>
      </c>
      <c r="E198" t="inlineStr">
        <is>
          <t>2308</t>
        </is>
      </c>
      <c r="F198" t="inlineStr">
        <is>
          <t>곽정희</t>
        </is>
      </c>
      <c r="G198" t="inlineStr">
        <is>
          <t>2002-06-18</t>
        </is>
      </c>
      <c r="H198" t="inlineStr">
        <is>
          <t>20020618</t>
        </is>
      </c>
      <c r="I198" t="inlineStr">
        <is>
          <t>1</t>
        </is>
      </c>
      <c r="J198" t="inlineStr">
        <is>
          <t>제조소</t>
        </is>
      </c>
      <c r="K198" t="inlineStr">
        <is>
          <t>02-968-2409</t>
        </is>
      </c>
      <c r="L198" t="inlineStr">
        <is>
          <t>서울특별시 동대문구 고산자로 477</t>
        </is>
      </c>
      <c r="M198" t="inlineStr">
        <is>
          <t>302호, 303호(제기동, 대동빌딩)</t>
        </is>
      </c>
      <c r="N198" t="inlineStr">
        <is>
          <t>서울특별시 동대문구 고산자로 477 302호, 303호(제기동, 대동빌딩)</t>
        </is>
      </c>
      <c r="O198" t="inlineStr">
        <is>
          <t>서울특별시</t>
        </is>
      </c>
      <c r="P198" t="inlineStr">
        <is>
          <t>동대문구</t>
        </is>
      </c>
      <c r="Q198" t="inlineStr">
        <is>
          <t>N</t>
        </is>
      </c>
      <c r="R198" t="n">
        <v>0</v>
      </c>
    </row>
    <row r="199">
      <c r="A199" t="n">
        <v>198</v>
      </c>
      <c r="B199" t="inlineStr">
        <is>
          <t>(주)에어퍼스트</t>
        </is>
      </c>
      <c r="C199" t="inlineStr">
        <is>
          <t>에어퍼스트</t>
        </is>
      </c>
      <c r="D199" t="inlineStr">
        <is>
          <t>의약품</t>
        </is>
      </c>
      <c r="E199" t="inlineStr">
        <is>
          <t>65</t>
        </is>
      </c>
      <c r="F199" t="inlineStr">
        <is>
          <t>양한용</t>
        </is>
      </c>
      <c r="G199" t="inlineStr">
        <is>
          <t>2007-11-19</t>
        </is>
      </c>
      <c r="H199" t="inlineStr">
        <is>
          <t>20071119</t>
        </is>
      </c>
      <c r="I199" t="inlineStr">
        <is>
          <t>2</t>
        </is>
      </c>
      <c r="J199" t="inlineStr">
        <is>
          <t>기흥공장(제2공장)</t>
        </is>
      </c>
      <c r="K199" t="inlineStr">
        <is>
          <t>02-780-9331</t>
        </is>
      </c>
      <c r="L199" t="inlineStr">
        <is>
          <t>경기도 용인시 기흥구 농서로 60</t>
        </is>
      </c>
      <c r="M199" t="inlineStr"/>
      <c r="N199" t="inlineStr">
        <is>
          <t>경기도 용인시 기흥구 농서로 60</t>
        </is>
      </c>
      <c r="O199" t="inlineStr">
        <is>
          <t>경기도</t>
        </is>
      </c>
      <c r="P199" t="inlineStr">
        <is>
          <t>용인시</t>
        </is>
      </c>
      <c r="Q199" t="inlineStr">
        <is>
          <t>N</t>
        </is>
      </c>
      <c r="R199" t="n">
        <v>0</v>
      </c>
    </row>
    <row r="200">
      <c r="A200" t="n">
        <v>199</v>
      </c>
      <c r="B200" t="inlineStr">
        <is>
          <t>제네톡스(주)</t>
        </is>
      </c>
      <c r="C200" t="inlineStr">
        <is>
          <t>제네톡스</t>
        </is>
      </c>
      <c r="D200" t="inlineStr">
        <is>
          <t>의약품</t>
        </is>
      </c>
      <c r="E200" t="inlineStr">
        <is>
          <t>394</t>
        </is>
      </c>
      <c r="F200" t="inlineStr">
        <is>
          <t>이영준</t>
        </is>
      </c>
      <c r="G200" t="inlineStr">
        <is>
          <t>2021-09-09</t>
        </is>
      </c>
      <c r="H200" t="inlineStr">
        <is>
          <t>20210909</t>
        </is>
      </c>
      <c r="I200" t="inlineStr">
        <is>
          <t>1</t>
        </is>
      </c>
      <c r="J200" t="inlineStr">
        <is>
          <t>제1공장</t>
        </is>
      </c>
      <c r="K200" t="inlineStr">
        <is>
          <t>033-344-3700(3220)</t>
        </is>
      </c>
      <c r="L200" t="inlineStr">
        <is>
          <t>강원특별자치도 횡성군 우천면 우천산업단지로 38-53</t>
        </is>
      </c>
      <c r="M200" t="inlineStr">
        <is>
          <t>1층, 2층 일부</t>
        </is>
      </c>
      <c r="N200" t="inlineStr">
        <is>
          <t>강원특별자치도 횡성군 우천면 우천산업단지로 38-53 1층, 2층 일부</t>
        </is>
      </c>
      <c r="O200" t="inlineStr">
        <is>
          <t>강원특별자치도</t>
        </is>
      </c>
      <c r="P200" t="inlineStr">
        <is>
          <t>횡성군</t>
        </is>
      </c>
      <c r="Q200" t="inlineStr">
        <is>
          <t>N</t>
        </is>
      </c>
      <c r="R200" t="n">
        <v>0</v>
      </c>
    </row>
    <row r="201">
      <c r="A201" t="n">
        <v>200</v>
      </c>
      <c r="B201" t="inlineStr">
        <is>
          <t>(주)삼양바이오팜</t>
        </is>
      </c>
      <c r="C201" t="inlineStr">
        <is>
          <t>삼양바이오팜</t>
        </is>
      </c>
      <c r="D201" t="inlineStr">
        <is>
          <t>의약품</t>
        </is>
      </c>
      <c r="E201" t="inlineStr">
        <is>
          <t>1888</t>
        </is>
      </c>
      <c r="F201" t="inlineStr">
        <is>
          <t>김경진</t>
        </is>
      </c>
      <c r="G201" t="inlineStr">
        <is>
          <t>1995-10-05</t>
        </is>
      </c>
      <c r="H201" t="inlineStr">
        <is>
          <t>19951005</t>
        </is>
      </c>
      <c r="I201" t="inlineStr">
        <is>
          <t>2</t>
        </is>
      </c>
      <c r="J201" t="inlineStr">
        <is>
          <t>신일</t>
        </is>
      </c>
      <c r="K201" t="inlineStr">
        <is>
          <t>042-930-3127</t>
        </is>
      </c>
      <c r="L201" t="inlineStr">
        <is>
          <t>대전광역시 대덕구 신일동로 79</t>
        </is>
      </c>
      <c r="M201" t="inlineStr"/>
      <c r="N201" t="inlineStr">
        <is>
          <t>대전광역시 대덕구 신일동로 79</t>
        </is>
      </c>
      <c r="O201" t="inlineStr">
        <is>
          <t>대전광역시</t>
        </is>
      </c>
      <c r="P201" t="inlineStr">
        <is>
          <t>대덕구</t>
        </is>
      </c>
      <c r="Q201" t="inlineStr">
        <is>
          <t>N</t>
        </is>
      </c>
      <c r="R201" t="n">
        <v>0</v>
      </c>
    </row>
    <row r="202">
      <c r="A202" t="n">
        <v>201</v>
      </c>
      <c r="B202" t="inlineStr">
        <is>
          <t>피케이씨 주식회사</t>
        </is>
      </c>
      <c r="C202" t="inlineStr">
        <is>
          <t>피케이씨</t>
        </is>
      </c>
      <c r="D202" t="inlineStr">
        <is>
          <t>의약품</t>
        </is>
      </c>
      <c r="E202" t="inlineStr">
        <is>
          <t>1855</t>
        </is>
      </c>
      <c r="F202" t="inlineStr">
        <is>
          <t>윤해구</t>
        </is>
      </c>
      <c r="G202" t="inlineStr">
        <is>
          <t>1994-12-17</t>
        </is>
      </c>
      <c r="H202" t="inlineStr">
        <is>
          <t>19941217</t>
        </is>
      </c>
      <c r="I202" t="inlineStr">
        <is>
          <t>1</t>
        </is>
      </c>
      <c r="J202" t="inlineStr"/>
      <c r="K202" t="inlineStr"/>
      <c r="L202" t="inlineStr">
        <is>
          <t>전북특별자치도 군산시 임해로 494-16</t>
        </is>
      </c>
      <c r="M202" t="inlineStr"/>
      <c r="N202" t="inlineStr">
        <is>
          <t>전북특별자치도 군산시 임해로 494-16</t>
        </is>
      </c>
      <c r="O202" t="inlineStr">
        <is>
          <t>전북특별자치도</t>
        </is>
      </c>
      <c r="P202" t="inlineStr">
        <is>
          <t>군산시</t>
        </is>
      </c>
      <c r="Q202" t="inlineStr">
        <is>
          <t>N</t>
        </is>
      </c>
      <c r="R202" t="n">
        <v>0</v>
      </c>
    </row>
    <row r="203">
      <c r="A203" t="n">
        <v>202</v>
      </c>
      <c r="B203" t="inlineStr">
        <is>
          <t>나주신일가스주식회사</t>
        </is>
      </c>
      <c r="C203" t="inlineStr">
        <is>
          <t>나주신일가스</t>
        </is>
      </c>
      <c r="D203" t="inlineStr">
        <is>
          <t>의약품</t>
        </is>
      </c>
      <c r="E203" t="inlineStr">
        <is>
          <t>1767</t>
        </is>
      </c>
      <c r="F203" t="inlineStr">
        <is>
          <t>유근택</t>
        </is>
      </c>
      <c r="G203" t="inlineStr">
        <is>
          <t>1992-02-24</t>
        </is>
      </c>
      <c r="H203" t="inlineStr">
        <is>
          <t>19920224</t>
        </is>
      </c>
      <c r="I203" t="inlineStr">
        <is>
          <t>1</t>
        </is>
      </c>
      <c r="J203" t="inlineStr">
        <is>
          <t>나주</t>
        </is>
      </c>
      <c r="K203" t="inlineStr">
        <is>
          <t>061-335-9955</t>
        </is>
      </c>
      <c r="L203" t="inlineStr">
        <is>
          <t>전라남도 나주시 동수농공단지길 124</t>
        </is>
      </c>
      <c r="M203" t="inlineStr"/>
      <c r="N203" t="inlineStr">
        <is>
          <t>전라남도 나주시 동수농공단지길 124</t>
        </is>
      </c>
      <c r="O203" t="inlineStr">
        <is>
          <t>전라남도</t>
        </is>
      </c>
      <c r="P203" t="inlineStr">
        <is>
          <t>나주시</t>
        </is>
      </c>
      <c r="Q203" t="inlineStr">
        <is>
          <t>N</t>
        </is>
      </c>
      <c r="R203" t="n">
        <v>0</v>
      </c>
    </row>
    <row r="204">
      <c r="A204" t="n">
        <v>203</v>
      </c>
      <c r="B204" t="inlineStr">
        <is>
          <t>(주)한빛화학</t>
        </is>
      </c>
      <c r="C204" t="inlineStr">
        <is>
          <t>한빛화학</t>
        </is>
      </c>
      <c r="D204" t="inlineStr">
        <is>
          <t>의약품</t>
        </is>
      </c>
      <c r="E204" t="inlineStr">
        <is>
          <t>1744</t>
        </is>
      </c>
      <c r="F204" t="inlineStr">
        <is>
          <t>이준식</t>
        </is>
      </c>
      <c r="G204" t="inlineStr">
        <is>
          <t>1991-06-05</t>
        </is>
      </c>
      <c r="H204" t="inlineStr">
        <is>
          <t>19910605</t>
        </is>
      </c>
      <c r="I204" t="inlineStr">
        <is>
          <t>1</t>
        </is>
      </c>
      <c r="J204" t="inlineStr">
        <is>
          <t>음성</t>
        </is>
      </c>
      <c r="K204" t="inlineStr">
        <is>
          <t>043-882-1601</t>
        </is>
      </c>
      <c r="L204" t="inlineStr">
        <is>
          <t>충청북도 음성군 삼성면 하이텍산단로 70</t>
        </is>
      </c>
      <c r="M204" t="inlineStr"/>
      <c r="N204" t="inlineStr">
        <is>
          <t>충청북도 음성군 삼성면 하이텍산단로 70</t>
        </is>
      </c>
      <c r="O204" t="inlineStr">
        <is>
          <t>충청북도</t>
        </is>
      </c>
      <c r="P204" t="inlineStr">
        <is>
          <t>음성군</t>
        </is>
      </c>
      <c r="Q204" t="inlineStr">
        <is>
          <t>N</t>
        </is>
      </c>
      <c r="R204" t="n">
        <v>0</v>
      </c>
    </row>
    <row r="205">
      <c r="A205" t="n">
        <v>204</v>
      </c>
      <c r="B205" t="inlineStr">
        <is>
          <t>(사)대한산업보건협회한마음혈액원</t>
        </is>
      </c>
      <c r="C205" t="inlineStr">
        <is>
          <t>(사)대한산업보건협회한마음혈액원</t>
        </is>
      </c>
      <c r="D205" t="inlineStr">
        <is>
          <t>의약품</t>
        </is>
      </c>
      <c r="E205" t="inlineStr">
        <is>
          <t>2538</t>
        </is>
      </c>
      <c r="F205" t="inlineStr">
        <is>
          <t>이승철</t>
        </is>
      </c>
      <c r="G205" t="inlineStr">
        <is>
          <t>2006-01-27</t>
        </is>
      </c>
      <c r="H205" t="inlineStr">
        <is>
          <t>20060127</t>
        </is>
      </c>
      <c r="I205" t="inlineStr">
        <is>
          <t>1</t>
        </is>
      </c>
      <c r="J205" t="inlineStr">
        <is>
          <t>제1공장</t>
        </is>
      </c>
      <c r="K205" t="inlineStr"/>
      <c r="L205" t="inlineStr">
        <is>
          <t>경기도 과천시 향나무로 4</t>
        </is>
      </c>
      <c r="M205" t="inlineStr"/>
      <c r="N205" t="inlineStr">
        <is>
          <t>경기도 과천시 향나무로 4</t>
        </is>
      </c>
      <c r="O205" t="inlineStr">
        <is>
          <t>경기도</t>
        </is>
      </c>
      <c r="P205" t="inlineStr">
        <is>
          <t>과천시</t>
        </is>
      </c>
      <c r="Q205" t="inlineStr">
        <is>
          <t>N</t>
        </is>
      </c>
      <c r="R205" t="n">
        <v>0</v>
      </c>
    </row>
    <row r="206">
      <c r="A206" t="n">
        <v>205</v>
      </c>
      <c r="B206" t="inlineStr">
        <is>
          <t>명보제약(주)</t>
        </is>
      </c>
      <c r="C206" t="inlineStr">
        <is>
          <t>명보제약</t>
        </is>
      </c>
      <c r="D206" t="inlineStr">
        <is>
          <t>의약품</t>
        </is>
      </c>
      <c r="E206" t="inlineStr">
        <is>
          <t>2450</t>
        </is>
      </c>
      <c r="F206" t="inlineStr">
        <is>
          <t>최택섭</t>
        </is>
      </c>
      <c r="G206" t="inlineStr">
        <is>
          <t>2004-11-03</t>
        </is>
      </c>
      <c r="H206" t="inlineStr">
        <is>
          <t>20041103</t>
        </is>
      </c>
      <c r="I206" t="inlineStr">
        <is>
          <t>1</t>
        </is>
      </c>
      <c r="J206" t="inlineStr">
        <is>
          <t>서울</t>
        </is>
      </c>
      <c r="K206" t="inlineStr">
        <is>
          <t>02-957-8577</t>
        </is>
      </c>
      <c r="L206" t="inlineStr">
        <is>
          <t>서울특별시 동대문구 약령중앙로 10</t>
        </is>
      </c>
      <c r="M206" t="inlineStr">
        <is>
          <t>동덕제약 (제기동)</t>
        </is>
      </c>
      <c r="N206" t="inlineStr">
        <is>
          <t>서울특별시 동대문구 약령중앙로 10 동덕제약 (제기동)</t>
        </is>
      </c>
      <c r="O206" t="inlineStr">
        <is>
          <t>서울특별시</t>
        </is>
      </c>
      <c r="P206" t="inlineStr">
        <is>
          <t>동대문구</t>
        </is>
      </c>
      <c r="Q206" t="inlineStr">
        <is>
          <t>N</t>
        </is>
      </c>
      <c r="R206" t="n">
        <v>0</v>
      </c>
    </row>
    <row r="207">
      <c r="A207" t="n">
        <v>206</v>
      </c>
      <c r="B207" t="inlineStr">
        <is>
          <t>대성의료종합가스(주)</t>
        </is>
      </c>
      <c r="C207" t="inlineStr">
        <is>
          <t>대성의료종합가스</t>
        </is>
      </c>
      <c r="D207" t="inlineStr">
        <is>
          <t>의약품</t>
        </is>
      </c>
      <c r="E207" t="inlineStr">
        <is>
          <t>346</t>
        </is>
      </c>
      <c r="F207" t="inlineStr">
        <is>
          <t>이근우</t>
        </is>
      </c>
      <c r="G207" t="inlineStr">
        <is>
          <t>2014-07-24</t>
        </is>
      </c>
      <c r="H207" t="inlineStr">
        <is>
          <t>20140724</t>
        </is>
      </c>
      <c r="I207" t="inlineStr">
        <is>
          <t>1</t>
        </is>
      </c>
      <c r="J207" t="inlineStr">
        <is>
          <t>제1공장</t>
        </is>
      </c>
      <c r="K207" t="inlineStr">
        <is>
          <t>(031)585-7871</t>
        </is>
      </c>
      <c r="L207" t="inlineStr">
        <is>
          <t>경기도 가평군 청평면 남가로 1909</t>
        </is>
      </c>
      <c r="M207" t="inlineStr"/>
      <c r="N207" t="inlineStr">
        <is>
          <t>경기도 가평군 청평면 남가로 1909</t>
        </is>
      </c>
      <c r="O207" t="inlineStr">
        <is>
          <t>경기도</t>
        </is>
      </c>
      <c r="P207" t="inlineStr">
        <is>
          <t>가평군</t>
        </is>
      </c>
      <c r="Q207" t="inlineStr">
        <is>
          <t>N</t>
        </is>
      </c>
      <c r="R207" t="n">
        <v>0</v>
      </c>
    </row>
    <row r="208">
      <c r="A208" t="n">
        <v>207</v>
      </c>
      <c r="B208" t="inlineStr">
        <is>
          <t>대한적십자사경기도혈액원</t>
        </is>
      </c>
      <c r="C208" t="inlineStr">
        <is>
          <t>대한적십자사경기도혈액원</t>
        </is>
      </c>
      <c r="D208" t="inlineStr">
        <is>
          <t>의약품</t>
        </is>
      </c>
      <c r="E208" t="inlineStr">
        <is>
          <t>2545</t>
        </is>
      </c>
      <c r="F208" t="inlineStr">
        <is>
          <t>김한규</t>
        </is>
      </c>
      <c r="G208" t="inlineStr">
        <is>
          <t>2006-01-27</t>
        </is>
      </c>
      <c r="H208" t="inlineStr">
        <is>
          <t>20060127</t>
        </is>
      </c>
      <c r="I208" t="inlineStr">
        <is>
          <t>1</t>
        </is>
      </c>
      <c r="J208" t="inlineStr">
        <is>
          <t>제1공장</t>
        </is>
      </c>
      <c r="K208" t="inlineStr">
        <is>
          <t>031-220-8500</t>
        </is>
      </c>
      <c r="L208" t="inlineStr">
        <is>
          <t>경기도 수원시 권선구 권광로 129</t>
        </is>
      </c>
      <c r="M208" t="inlineStr"/>
      <c r="N208" t="inlineStr">
        <is>
          <t>경기도 수원시 권선구 권광로 129</t>
        </is>
      </c>
      <c r="O208" t="inlineStr">
        <is>
          <t>경기도</t>
        </is>
      </c>
      <c r="P208" t="inlineStr">
        <is>
          <t>수원시</t>
        </is>
      </c>
      <c r="Q208" t="inlineStr">
        <is>
          <t>N</t>
        </is>
      </c>
      <c r="R208" t="n">
        <v>0</v>
      </c>
    </row>
    <row r="209">
      <c r="A209" t="n">
        <v>208</v>
      </c>
      <c r="B209" t="inlineStr">
        <is>
          <t>(주)녹십자엠에스</t>
        </is>
      </c>
      <c r="C209" t="inlineStr">
        <is>
          <t>녹십자엠에스</t>
        </is>
      </c>
      <c r="D209" t="inlineStr">
        <is>
          <t>의약품</t>
        </is>
      </c>
      <c r="E209" t="inlineStr">
        <is>
          <t>2453</t>
        </is>
      </c>
      <c r="F209" t="inlineStr">
        <is>
          <t>김연근</t>
        </is>
      </c>
      <c r="G209" t="inlineStr">
        <is>
          <t>2004-11-18</t>
        </is>
      </c>
      <c r="H209" t="inlineStr">
        <is>
          <t>20041118</t>
        </is>
      </c>
      <c r="I209" t="inlineStr">
        <is>
          <t>4</t>
        </is>
      </c>
      <c r="J209" t="inlineStr">
        <is>
          <t>이천</t>
        </is>
      </c>
      <c r="K209" t="inlineStr"/>
      <c r="L209" t="inlineStr">
        <is>
          <t>경기도 이천시 설성면 진상미로264번길 21-19</t>
        </is>
      </c>
      <c r="M209" t="inlineStr">
        <is>
          <t>(보관소에 한함)</t>
        </is>
      </c>
      <c r="N209" t="inlineStr">
        <is>
          <t>경기도 이천시 설성면 진상미로264번길 21-19 (보관소에 한함)</t>
        </is>
      </c>
      <c r="O209" t="inlineStr">
        <is>
          <t>경기도</t>
        </is>
      </c>
      <c r="P209" t="inlineStr">
        <is>
          <t>이천시</t>
        </is>
      </c>
      <c r="Q209" t="inlineStr">
        <is>
          <t>N</t>
        </is>
      </c>
      <c r="R209" t="n">
        <v>0</v>
      </c>
    </row>
    <row r="210">
      <c r="A210" t="n">
        <v>209</v>
      </c>
      <c r="B210" t="inlineStr">
        <is>
          <t>(주)켐포트</t>
        </is>
      </c>
      <c r="C210" t="inlineStr">
        <is>
          <t>켐포트</t>
        </is>
      </c>
      <c r="D210" t="inlineStr">
        <is>
          <t>의약품</t>
        </is>
      </c>
      <c r="E210" t="inlineStr">
        <is>
          <t>3</t>
        </is>
      </c>
      <c r="F210" t="inlineStr">
        <is>
          <t>김영주</t>
        </is>
      </c>
      <c r="G210" t="inlineStr">
        <is>
          <t>2013-08-21</t>
        </is>
      </c>
      <c r="H210" t="inlineStr">
        <is>
          <t>20130821</t>
        </is>
      </c>
      <c r="I210" t="inlineStr">
        <is>
          <t>1</t>
        </is>
      </c>
      <c r="J210" t="inlineStr">
        <is>
          <t>제1공장</t>
        </is>
      </c>
      <c r="K210" t="inlineStr"/>
      <c r="L210" t="inlineStr">
        <is>
          <t>전라남도 나주시 동수농공단지길 30-51</t>
        </is>
      </c>
      <c r="M210" t="inlineStr">
        <is>
          <t>실험실: 전라남도 목포시 고하대로719번길 52 연구동 2층 (주)켐포트 실험실(목포지점)</t>
        </is>
      </c>
      <c r="N210" t="inlineStr">
        <is>
          <t>전라남도 나주시 동수농공단지길 30-51 실험실: 전라남도 목포시 고하대로719번길 52 연구동 2층 (주)켐포트 실험실(목포지점)</t>
        </is>
      </c>
      <c r="O210" t="inlineStr">
        <is>
          <t>전라남도</t>
        </is>
      </c>
      <c r="P210" t="inlineStr">
        <is>
          <t>나주시</t>
        </is>
      </c>
      <c r="Q210" t="inlineStr">
        <is>
          <t>N</t>
        </is>
      </c>
      <c r="R210" t="n">
        <v>0</v>
      </c>
    </row>
    <row r="211">
      <c r="A211" t="n">
        <v>210</v>
      </c>
      <c r="B211" t="inlineStr">
        <is>
          <t>학교법인 경희학원(경희한약)</t>
        </is>
      </c>
      <c r="C211" t="inlineStr">
        <is>
          <t>학교법인 경희학원(경희한약)</t>
        </is>
      </c>
      <c r="D211" t="inlineStr">
        <is>
          <t>의약품</t>
        </is>
      </c>
      <c r="E211" t="inlineStr">
        <is>
          <t>2473</t>
        </is>
      </c>
      <c r="F211" t="inlineStr">
        <is>
          <t>김재민</t>
        </is>
      </c>
      <c r="G211" t="inlineStr">
        <is>
          <t>2005-04-20</t>
        </is>
      </c>
      <c r="H211" t="inlineStr">
        <is>
          <t>20050420</t>
        </is>
      </c>
      <c r="I211" t="inlineStr">
        <is>
          <t>1</t>
        </is>
      </c>
      <c r="J211" t="inlineStr">
        <is>
          <t>원주시</t>
        </is>
      </c>
      <c r="K211" t="inlineStr">
        <is>
          <t>033-731-5971-3</t>
        </is>
      </c>
      <c r="L211" t="inlineStr">
        <is>
          <t>강원특별자치도 원주시 문막공단길 99</t>
        </is>
      </c>
      <c r="M211" t="inlineStr"/>
      <c r="N211" t="inlineStr">
        <is>
          <t>강원특별자치도 원주시 문막공단길 99</t>
        </is>
      </c>
      <c r="O211" t="inlineStr">
        <is>
          <t>강원특별자치도</t>
        </is>
      </c>
      <c r="P211" t="inlineStr">
        <is>
          <t>원주시</t>
        </is>
      </c>
      <c r="Q211" t="inlineStr">
        <is>
          <t>N</t>
        </is>
      </c>
      <c r="R211" t="n">
        <v>0</v>
      </c>
    </row>
    <row r="212">
      <c r="A212" t="n">
        <v>211</v>
      </c>
      <c r="B212" t="inlineStr">
        <is>
          <t>주연</t>
        </is>
      </c>
      <c r="C212" t="inlineStr">
        <is>
          <t>주연</t>
        </is>
      </c>
      <c r="D212" t="inlineStr">
        <is>
          <t>의약품</t>
        </is>
      </c>
      <c r="E212" t="inlineStr">
        <is>
          <t>384</t>
        </is>
      </c>
      <c r="F212" t="inlineStr">
        <is>
          <t>원일송</t>
        </is>
      </c>
      <c r="G212" t="inlineStr">
        <is>
          <t>2020-02-12</t>
        </is>
      </c>
      <c r="H212" t="inlineStr">
        <is>
          <t>20200212</t>
        </is>
      </c>
      <c r="I212" t="inlineStr">
        <is>
          <t>1</t>
        </is>
      </c>
      <c r="J212" t="inlineStr">
        <is>
          <t>제1공장</t>
        </is>
      </c>
      <c r="K212" t="inlineStr">
        <is>
          <t>02-966-4490</t>
        </is>
      </c>
      <c r="L212" t="inlineStr">
        <is>
          <t>서울특별시 동대문구 약령중앙로2길 2</t>
        </is>
      </c>
      <c r="M212" t="inlineStr">
        <is>
          <t>, 3층 302호(제기동)</t>
        </is>
      </c>
      <c r="N212" t="inlineStr">
        <is>
          <t>서울특별시 동대문구 약령중앙로2길 2 , 3층 302호(제기동)</t>
        </is>
      </c>
      <c r="O212" t="inlineStr">
        <is>
          <t>서울특별시</t>
        </is>
      </c>
      <c r="P212" t="inlineStr">
        <is>
          <t>동대문구</t>
        </is>
      </c>
      <c r="Q212" t="inlineStr">
        <is>
          <t>Y</t>
        </is>
      </c>
      <c r="R212" t="n">
        <v>40</v>
      </c>
    </row>
    <row r="213">
      <c r="A213" t="n">
        <v>212</v>
      </c>
      <c r="B213" t="inlineStr">
        <is>
          <t>(주)듀켐바이오</t>
        </is>
      </c>
      <c r="C213" t="inlineStr">
        <is>
          <t>듀켐바이오</t>
        </is>
      </c>
      <c r="D213" t="inlineStr">
        <is>
          <t>의약품</t>
        </is>
      </c>
      <c r="E213" t="inlineStr">
        <is>
          <t>2437</t>
        </is>
      </c>
      <c r="F213" t="inlineStr">
        <is>
          <t>김상우</t>
        </is>
      </c>
      <c r="G213" t="inlineStr">
        <is>
          <t>2004-07-22</t>
        </is>
      </c>
      <c r="H213" t="inlineStr">
        <is>
          <t>20040722</t>
        </is>
      </c>
      <c r="I213" t="inlineStr">
        <is>
          <t>9</t>
        </is>
      </c>
      <c r="J213" t="inlineStr">
        <is>
          <t>9공장(부산)</t>
        </is>
      </c>
      <c r="K213" t="inlineStr"/>
      <c r="L213" t="inlineStr">
        <is>
          <t>부산광역시 부산진구 복지로 75</t>
        </is>
      </c>
      <c r="M213" t="inlineStr">
        <is>
          <t>부산백병원 지하2층(개금동)</t>
        </is>
      </c>
      <c r="N213" t="inlineStr">
        <is>
          <t>부산광역시 부산진구 복지로 75 부산백병원 지하2층(개금동)</t>
        </is>
      </c>
      <c r="O213" t="inlineStr">
        <is>
          <t>부산광역시</t>
        </is>
      </c>
      <c r="P213" t="inlineStr">
        <is>
          <t>부산진구</t>
        </is>
      </c>
      <c r="Q213" t="inlineStr">
        <is>
          <t>N</t>
        </is>
      </c>
      <c r="R213" t="n">
        <v>0</v>
      </c>
    </row>
    <row r="214">
      <c r="A214" t="n">
        <v>213</v>
      </c>
      <c r="B214" t="inlineStr">
        <is>
          <t>타나베파마코리아주식회사</t>
        </is>
      </c>
      <c r="C214" t="inlineStr">
        <is>
          <t>타나베파마코리아</t>
        </is>
      </c>
      <c r="D214" t="inlineStr">
        <is>
          <t>의약품</t>
        </is>
      </c>
      <c r="E214" t="inlineStr">
        <is>
          <t>1453</t>
        </is>
      </c>
      <c r="F214" t="inlineStr">
        <is>
          <t>이원규</t>
        </is>
      </c>
      <c r="G214" t="inlineStr">
        <is>
          <t>1964-12-09</t>
        </is>
      </c>
      <c r="H214" t="inlineStr">
        <is>
          <t>19641209</t>
        </is>
      </c>
      <c r="I214" t="inlineStr">
        <is>
          <t>2</t>
        </is>
      </c>
      <c r="J214" t="inlineStr">
        <is>
          <t>화성보관소</t>
        </is>
      </c>
      <c r="K214" t="inlineStr"/>
      <c r="L214" t="inlineStr">
        <is>
          <t>경기도 화성시 만세구 우정읍 석천길 17-5</t>
        </is>
      </c>
      <c r="M214" t="inlineStr">
        <is>
          <t>1층 일부(보관소)</t>
        </is>
      </c>
      <c r="N214" t="inlineStr">
        <is>
          <t>경기도 화성시 만세구 우정읍 석천길 17-5 1층 일부(보관소)</t>
        </is>
      </c>
      <c r="O214" t="inlineStr">
        <is>
          <t>경기도</t>
        </is>
      </c>
      <c r="P214" t="inlineStr">
        <is>
          <t>화성시</t>
        </is>
      </c>
      <c r="Q214" t="inlineStr">
        <is>
          <t>N</t>
        </is>
      </c>
      <c r="R214" t="n">
        <v>0</v>
      </c>
    </row>
    <row r="215">
      <c r="A215" t="n">
        <v>214</v>
      </c>
      <c r="B215" t="inlineStr">
        <is>
          <t>동아제약(주)</t>
        </is>
      </c>
      <c r="C215" t="inlineStr">
        <is>
          <t>동아제약</t>
        </is>
      </c>
      <c r="D215" t="inlineStr">
        <is>
          <t>의약품</t>
        </is>
      </c>
      <c r="E215" t="inlineStr">
        <is>
          <t>2606</t>
        </is>
      </c>
      <c r="F215" t="inlineStr">
        <is>
          <t>백상환</t>
        </is>
      </c>
      <c r="G215" t="inlineStr">
        <is>
          <t>2013-04-18</t>
        </is>
      </c>
      <c r="H215" t="inlineStr">
        <is>
          <t>20130418</t>
        </is>
      </c>
      <c r="I215" t="inlineStr">
        <is>
          <t>3</t>
        </is>
      </c>
      <c r="J215" t="inlineStr">
        <is>
          <t>대구</t>
        </is>
      </c>
      <c r="K215" t="inlineStr"/>
      <c r="L215" t="inlineStr">
        <is>
          <t>대구광역시 달성군 논공읍 논공로 493</t>
        </is>
      </c>
      <c r="M215" t="inlineStr">
        <is>
          <t>A동, B동1</t>
        </is>
      </c>
      <c r="N215" t="inlineStr">
        <is>
          <t>대구광역시 달성군 논공읍 논공로 493 A동, B동1</t>
        </is>
      </c>
      <c r="O215" t="inlineStr">
        <is>
          <t>대구광역시</t>
        </is>
      </c>
      <c r="P215" t="inlineStr">
        <is>
          <t>달성군</t>
        </is>
      </c>
      <c r="Q215" t="inlineStr">
        <is>
          <t>N</t>
        </is>
      </c>
      <c r="R215" t="n">
        <v>0</v>
      </c>
    </row>
    <row r="216">
      <c r="A216" t="n">
        <v>215</v>
      </c>
      <c r="B216" t="inlineStr">
        <is>
          <t>제주종합가스(주)</t>
        </is>
      </c>
      <c r="C216" t="inlineStr">
        <is>
          <t>제주종합가스</t>
        </is>
      </c>
      <c r="D216" t="inlineStr">
        <is>
          <t>의약품</t>
        </is>
      </c>
      <c r="E216" t="inlineStr">
        <is>
          <t>2459</t>
        </is>
      </c>
      <c r="F216" t="inlineStr">
        <is>
          <t>박준걸</t>
        </is>
      </c>
      <c r="G216" t="inlineStr">
        <is>
          <t>2004-12-22</t>
        </is>
      </c>
      <c r="H216" t="inlineStr">
        <is>
          <t>20041222</t>
        </is>
      </c>
      <c r="I216" t="inlineStr">
        <is>
          <t>1</t>
        </is>
      </c>
      <c r="J216" t="inlineStr">
        <is>
          <t>제주시</t>
        </is>
      </c>
      <c r="K216" t="inlineStr"/>
      <c r="L216" t="inlineStr">
        <is>
          <t>제주특별자치도 제주시 선반남1길 76</t>
        </is>
      </c>
      <c r="M216" t="inlineStr"/>
      <c r="N216" t="inlineStr">
        <is>
          <t>제주특별자치도 제주시 선반남1길 76</t>
        </is>
      </c>
      <c r="O216" t="inlineStr">
        <is>
          <t>제주특별자치도</t>
        </is>
      </c>
      <c r="P216" t="inlineStr">
        <is>
          <t>제주시</t>
        </is>
      </c>
      <c r="Q216" t="inlineStr">
        <is>
          <t>N</t>
        </is>
      </c>
      <c r="R216" t="n">
        <v>0</v>
      </c>
    </row>
    <row r="217">
      <c r="A217" t="n">
        <v>216</v>
      </c>
      <c r="B217" t="inlineStr">
        <is>
          <t>주식회사 세종가스산업</t>
        </is>
      </c>
      <c r="C217" t="inlineStr">
        <is>
          <t>세종가스산업</t>
        </is>
      </c>
      <c r="D217" t="inlineStr">
        <is>
          <t>의약품</t>
        </is>
      </c>
      <c r="E217" t="inlineStr">
        <is>
          <t>6159</t>
        </is>
      </c>
      <c r="F217" t="inlineStr">
        <is>
          <t>양필자</t>
        </is>
      </c>
      <c r="G217" t="inlineStr">
        <is>
          <t>2019-07-17</t>
        </is>
      </c>
      <c r="H217" t="inlineStr">
        <is>
          <t>20190717</t>
        </is>
      </c>
      <c r="I217" t="inlineStr">
        <is>
          <t>1</t>
        </is>
      </c>
      <c r="J217" t="inlineStr">
        <is>
          <t>주식회사 세종가스산업</t>
        </is>
      </c>
      <c r="K217" t="inlineStr">
        <is>
          <t>055-795-0001(010-****-2011)</t>
        </is>
      </c>
      <c r="L217" t="inlineStr">
        <is>
          <t>경상남도 사천시 축동면 서삼로 1000</t>
        </is>
      </c>
      <c r="M217" t="inlineStr"/>
      <c r="N217" t="inlineStr">
        <is>
          <t>경상남도 사천시 축동면 서삼로 1000</t>
        </is>
      </c>
      <c r="O217" t="inlineStr">
        <is>
          <t>경상남도</t>
        </is>
      </c>
      <c r="P217" t="inlineStr">
        <is>
          <t>사천시</t>
        </is>
      </c>
      <c r="Q217" t="inlineStr">
        <is>
          <t>N</t>
        </is>
      </c>
      <c r="R217" t="n">
        <v>0</v>
      </c>
    </row>
    <row r="218">
      <c r="A218" t="n">
        <v>217</v>
      </c>
      <c r="B218" t="inlineStr">
        <is>
          <t>(주)퓨쳐켐헬스케어</t>
        </is>
      </c>
      <c r="C218" t="inlineStr">
        <is>
          <t>퓨쳐켐헬스케어</t>
        </is>
      </c>
      <c r="D218" t="inlineStr">
        <is>
          <t>의약품</t>
        </is>
      </c>
      <c r="E218" t="inlineStr">
        <is>
          <t>2421</t>
        </is>
      </c>
      <c r="F218" t="inlineStr">
        <is>
          <t>지대윤</t>
        </is>
      </c>
      <c r="G218" t="inlineStr">
        <is>
          <t>2004-04-14</t>
        </is>
      </c>
      <c r="H218" t="inlineStr">
        <is>
          <t>20040414</t>
        </is>
      </c>
      <c r="I218" t="inlineStr">
        <is>
          <t>2</t>
        </is>
      </c>
      <c r="J218" t="inlineStr">
        <is>
          <t>부산</t>
        </is>
      </c>
      <c r="K218" t="inlineStr">
        <is>
          <t>051-253-1175</t>
        </is>
      </c>
      <c r="L218" t="inlineStr">
        <is>
          <t>부산광역시 서구 감천로 262</t>
        </is>
      </c>
      <c r="M218" t="inlineStr">
        <is>
          <t>고신대학교복음병원 2동 지하2층 사이크로트론실(암남동)</t>
        </is>
      </c>
      <c r="N218" t="inlineStr">
        <is>
          <t>부산광역시 서구 감천로 262 고신대학교복음병원 2동 지하2층 사이크로트론실(암남동)</t>
        </is>
      </c>
      <c r="O218" t="inlineStr">
        <is>
          <t>부산광역시</t>
        </is>
      </c>
      <c r="P218" t="inlineStr">
        <is>
          <t>서구</t>
        </is>
      </c>
      <c r="Q218" t="inlineStr">
        <is>
          <t>N</t>
        </is>
      </c>
      <c r="R218" t="n">
        <v>0</v>
      </c>
    </row>
    <row r="219">
      <c r="A219" t="n">
        <v>218</v>
      </c>
      <c r="B219" t="inlineStr">
        <is>
          <t>부광약품(주)</t>
        </is>
      </c>
      <c r="C219" t="inlineStr">
        <is>
          <t>부광약품</t>
        </is>
      </c>
      <c r="D219" t="inlineStr">
        <is>
          <t>의약품</t>
        </is>
      </c>
      <c r="E219" t="inlineStr">
        <is>
          <t>1427</t>
        </is>
      </c>
      <c r="F219" t="inlineStr">
        <is>
          <t>이제영</t>
        </is>
      </c>
      <c r="G219" t="inlineStr">
        <is>
          <t>1963-02-11</t>
        </is>
      </c>
      <c r="H219" t="inlineStr">
        <is>
          <t>19630211</t>
        </is>
      </c>
      <c r="I219" t="inlineStr">
        <is>
          <t>1</t>
        </is>
      </c>
      <c r="J219" t="inlineStr">
        <is>
          <t>안산1</t>
        </is>
      </c>
      <c r="K219" t="inlineStr">
        <is>
          <t>031-491-0912</t>
        </is>
      </c>
      <c r="L219" t="inlineStr">
        <is>
          <t>경기도 안산시 단원구 원시로 63</t>
        </is>
      </c>
      <c r="M219" t="inlineStr">
        <is>
          <t>가동(지하1층, 2층, 3층, 4층) 다동, 마동, 바동, 사동</t>
        </is>
      </c>
      <c r="N219" t="inlineStr">
        <is>
          <t>경기도 안산시 단원구 원시로 63 가동(지하1층, 2층, 3층, 4층) 다동, 마동, 바동, 사동</t>
        </is>
      </c>
      <c r="O219" t="inlineStr">
        <is>
          <t>경기도</t>
        </is>
      </c>
      <c r="P219" t="inlineStr">
        <is>
          <t>안산시</t>
        </is>
      </c>
      <c r="Q219" t="inlineStr">
        <is>
          <t>N</t>
        </is>
      </c>
      <c r="R219" t="n">
        <v>0</v>
      </c>
    </row>
    <row r="220">
      <c r="A220" t="n">
        <v>219</v>
      </c>
      <c r="B220" t="inlineStr">
        <is>
          <t>삼성바이오로직스 주식회사</t>
        </is>
      </c>
      <c r="C220" t="inlineStr">
        <is>
          <t>삼성바이오로직스</t>
        </is>
      </c>
      <c r="D220" t="inlineStr">
        <is>
          <t>의약품</t>
        </is>
      </c>
      <c r="E220" t="inlineStr">
        <is>
          <t>343</t>
        </is>
      </c>
      <c r="F220" t="inlineStr">
        <is>
          <t>John Chongbo Rim(임존종보)</t>
        </is>
      </c>
      <c r="G220" t="inlineStr">
        <is>
          <t>2012-10-08</t>
        </is>
      </c>
      <c r="H220" t="inlineStr">
        <is>
          <t>20121008</t>
        </is>
      </c>
      <c r="I220" t="inlineStr">
        <is>
          <t>1</t>
        </is>
      </c>
      <c r="J220" t="inlineStr">
        <is>
          <t>1.삼성바이오로직스 주식회사</t>
        </is>
      </c>
      <c r="K220" t="inlineStr"/>
      <c r="L220" t="inlineStr">
        <is>
          <t>인천광역시 연수구 송도바이오대로 300</t>
        </is>
      </c>
      <c r="M220" t="inlineStr">
        <is>
          <t>(송도동, 삼성바이오로직스)</t>
        </is>
      </c>
      <c r="N220" t="inlineStr">
        <is>
          <t>인천광역시 연수구 송도바이오대로 300 (송도동, 삼성바이오로직스)</t>
        </is>
      </c>
      <c r="O220" t="inlineStr">
        <is>
          <t>인천광역시</t>
        </is>
      </c>
      <c r="P220" t="inlineStr">
        <is>
          <t>연수구</t>
        </is>
      </c>
      <c r="Q220" t="inlineStr">
        <is>
          <t>N</t>
        </is>
      </c>
      <c r="R220" t="n">
        <v>0</v>
      </c>
    </row>
    <row r="221">
      <c r="A221" t="n">
        <v>220</v>
      </c>
      <c r="B221" t="inlineStr">
        <is>
          <t>(주)이니바이오</t>
        </is>
      </c>
      <c r="C221" t="inlineStr">
        <is>
          <t>이니바이오</t>
        </is>
      </c>
      <c r="D221" t="inlineStr">
        <is>
          <t>의약품</t>
        </is>
      </c>
      <c r="E221" t="inlineStr">
        <is>
          <t>374</t>
        </is>
      </c>
      <c r="F221" t="inlineStr">
        <is>
          <t>이기세</t>
        </is>
      </c>
      <c r="G221" t="inlineStr">
        <is>
          <t>2019-02-21</t>
        </is>
      </c>
      <c r="H221" t="inlineStr">
        <is>
          <t>20190221</t>
        </is>
      </c>
      <c r="I221" t="inlineStr">
        <is>
          <t>2</t>
        </is>
      </c>
      <c r="J221" t="inlineStr">
        <is>
          <t>원자재 보관소</t>
        </is>
      </c>
      <c r="K221" t="inlineStr"/>
      <c r="L221" t="inlineStr">
        <is>
          <t>인천광역시 중구 공항동로296번길 97-51</t>
        </is>
      </c>
      <c r="M221" t="inlineStr">
        <is>
          <t>G1블럭(2층 일부)</t>
        </is>
      </c>
      <c r="N221" t="inlineStr">
        <is>
          <t>인천광역시 중구 공항동로296번길 97-51 G1블럭(2층 일부)</t>
        </is>
      </c>
      <c r="O221" t="inlineStr">
        <is>
          <t>인천광역시</t>
        </is>
      </c>
      <c r="P221" t="inlineStr">
        <is>
          <t>중구</t>
        </is>
      </c>
      <c r="Q221" t="inlineStr">
        <is>
          <t>Y</t>
        </is>
      </c>
      <c r="R221" t="n">
        <v>41</v>
      </c>
    </row>
    <row r="222">
      <c r="A222" t="n">
        <v>221</v>
      </c>
      <c r="B222" t="inlineStr">
        <is>
          <t>동국제약(주)</t>
        </is>
      </c>
      <c r="C222" t="inlineStr">
        <is>
          <t>동국제약</t>
        </is>
      </c>
      <c r="D222" t="inlineStr">
        <is>
          <t>의약품</t>
        </is>
      </c>
      <c r="E222" t="inlineStr">
        <is>
          <t>1416</t>
        </is>
      </c>
      <c r="F222" t="inlineStr">
        <is>
          <t>송준호</t>
        </is>
      </c>
      <c r="G222" t="inlineStr">
        <is>
          <t>1962-07-14</t>
        </is>
      </c>
      <c r="H222" t="inlineStr">
        <is>
          <t>19620714</t>
        </is>
      </c>
      <c r="I222" t="inlineStr">
        <is>
          <t>1</t>
        </is>
      </c>
      <c r="J222" t="inlineStr">
        <is>
          <t>진광로</t>
        </is>
      </c>
      <c r="K222" t="inlineStr">
        <is>
          <t>02-2191-9856</t>
        </is>
      </c>
      <c r="L222" t="inlineStr">
        <is>
          <t>충청북도 진천군 광혜원면 진광로 1103</t>
        </is>
      </c>
      <c r="M222" t="inlineStr"/>
      <c r="N222" t="inlineStr">
        <is>
          <t>충청북도 진천군 광혜원면 진광로 1103</t>
        </is>
      </c>
      <c r="O222" t="inlineStr">
        <is>
          <t>충청북도</t>
        </is>
      </c>
      <c r="P222" t="inlineStr">
        <is>
          <t>진천군</t>
        </is>
      </c>
      <c r="Q222" t="inlineStr">
        <is>
          <t>N</t>
        </is>
      </c>
      <c r="R222" t="n">
        <v>0</v>
      </c>
    </row>
    <row r="223">
      <c r="A223" t="n">
        <v>222</v>
      </c>
      <c r="B223" t="inlineStr">
        <is>
          <t>(주)유바이오로직스</t>
        </is>
      </c>
      <c r="C223" t="inlineStr">
        <is>
          <t>유바이오로직스</t>
        </is>
      </c>
      <c r="D223" t="inlineStr">
        <is>
          <t>의약품</t>
        </is>
      </c>
      <c r="E223" t="inlineStr">
        <is>
          <t>322</t>
        </is>
      </c>
      <c r="F223" t="inlineStr">
        <is>
          <t>백영옥</t>
        </is>
      </c>
      <c r="G223" t="inlineStr">
        <is>
          <t>2011-11-28</t>
        </is>
      </c>
      <c r="H223" t="inlineStr">
        <is>
          <t>20111128</t>
        </is>
      </c>
      <c r="I223" t="inlineStr">
        <is>
          <t>3</t>
        </is>
      </c>
      <c r="J223" t="inlineStr">
        <is>
          <t>[보관소1]</t>
        </is>
      </c>
      <c r="K223" t="inlineStr"/>
      <c r="L223" t="inlineStr">
        <is>
          <t>강원특별자치도 춘천시 동산면 원무동길 125</t>
        </is>
      </c>
      <c r="M223" t="inlineStr">
        <is>
          <t>생산동 1층 1212호</t>
        </is>
      </c>
      <c r="N223" t="inlineStr">
        <is>
          <t>강원특별자치도 춘천시 동산면 원무동길 125 생산동 1층 1212호</t>
        </is>
      </c>
      <c r="O223" t="inlineStr">
        <is>
          <t>강원특별자치도</t>
        </is>
      </c>
      <c r="P223" t="inlineStr">
        <is>
          <t>춘천시</t>
        </is>
      </c>
      <c r="Q223" t="inlineStr">
        <is>
          <t>Y</t>
        </is>
      </c>
      <c r="R223" t="n">
        <v>42</v>
      </c>
    </row>
    <row r="224">
      <c r="A224" t="n">
        <v>223</v>
      </c>
      <c r="B224" t="inlineStr">
        <is>
          <t>(주)프로라젠</t>
        </is>
      </c>
      <c r="C224" t="inlineStr">
        <is>
          <t>프로라젠</t>
        </is>
      </c>
      <c r="D224" t="inlineStr">
        <is>
          <t>의약품</t>
        </is>
      </c>
      <c r="E224" t="inlineStr">
        <is>
          <t>378</t>
        </is>
      </c>
      <c r="F224" t="inlineStr">
        <is>
          <t>이광훈</t>
        </is>
      </c>
      <c r="G224" t="inlineStr">
        <is>
          <t>2018-11-20</t>
        </is>
      </c>
      <c r="H224" t="inlineStr">
        <is>
          <t>20181120</t>
        </is>
      </c>
      <c r="I224" t="inlineStr">
        <is>
          <t>1</t>
        </is>
      </c>
      <c r="J224" t="inlineStr">
        <is>
          <t>(주)프로라젠신촌공장</t>
        </is>
      </c>
      <c r="K224" t="inlineStr">
        <is>
          <t>070-7770-6330</t>
        </is>
      </c>
      <c r="L224" t="inlineStr">
        <is>
          <t>서울특별시 서대문구 연세로 50-1</t>
        </is>
      </c>
      <c r="M224" t="inlineStr">
        <is>
          <t>연세대학교 의과대학 연세의생명연구원 임상의학연구센터 206,207,211~216-1호</t>
        </is>
      </c>
      <c r="N224" t="inlineStr">
        <is>
          <t>서울특별시 서대문구 연세로 50-1 연세대학교 의과대학 연세의생명연구원 임상의학연구센터 206,207,211~216-1호</t>
        </is>
      </c>
      <c r="O224" t="inlineStr">
        <is>
          <t>서울특별시</t>
        </is>
      </c>
      <c r="P224" t="inlineStr">
        <is>
          <t>서대문구</t>
        </is>
      </c>
      <c r="Q224" t="inlineStr">
        <is>
          <t>Y</t>
        </is>
      </c>
      <c r="R224" t="n">
        <v>43</v>
      </c>
    </row>
    <row r="225">
      <c r="A225" t="n">
        <v>224</v>
      </c>
      <c r="B225" t="inlineStr">
        <is>
          <t>(주)한국파비스제약</t>
        </is>
      </c>
      <c r="C225" t="inlineStr">
        <is>
          <t>한국파비스제약</t>
        </is>
      </c>
      <c r="D225" t="inlineStr">
        <is>
          <t>의약품</t>
        </is>
      </c>
      <c r="E225" t="inlineStr">
        <is>
          <t>1388</t>
        </is>
      </c>
      <c r="F225" t="inlineStr">
        <is>
          <t>최용은</t>
        </is>
      </c>
      <c r="G225" t="inlineStr">
        <is>
          <t>1960-04-20</t>
        </is>
      </c>
      <c r="H225" t="inlineStr">
        <is>
          <t>19600420</t>
        </is>
      </c>
      <c r="I225" t="inlineStr">
        <is>
          <t>1</t>
        </is>
      </c>
      <c r="J225" t="inlineStr">
        <is>
          <t>안산</t>
        </is>
      </c>
      <c r="K225" t="inlineStr"/>
      <c r="L225" t="inlineStr">
        <is>
          <t>경기도 안산시 단원구 산단로83번길 127</t>
        </is>
      </c>
      <c r="M225" t="inlineStr"/>
      <c r="N225" t="inlineStr">
        <is>
          <t>경기도 안산시 단원구 산단로83번길 127</t>
        </is>
      </c>
      <c r="O225" t="inlineStr">
        <is>
          <t>경기도</t>
        </is>
      </c>
      <c r="P225" t="inlineStr">
        <is>
          <t>안산시</t>
        </is>
      </c>
      <c r="Q225" t="inlineStr">
        <is>
          <t>N</t>
        </is>
      </c>
      <c r="R225" t="n">
        <v>0</v>
      </c>
    </row>
    <row r="226">
      <c r="A226" t="n">
        <v>225</v>
      </c>
      <c r="B226" t="inlineStr">
        <is>
          <t>(주)화림제약</t>
        </is>
      </c>
      <c r="C226" t="inlineStr">
        <is>
          <t>화림제약</t>
        </is>
      </c>
      <c r="D226" t="inlineStr">
        <is>
          <t>의약품</t>
        </is>
      </c>
      <c r="E226" t="inlineStr">
        <is>
          <t>1871</t>
        </is>
      </c>
      <c r="F226" t="inlineStr">
        <is>
          <t>박행자</t>
        </is>
      </c>
      <c r="G226" t="inlineStr">
        <is>
          <t>1995-02-14</t>
        </is>
      </c>
      <c r="H226" t="inlineStr">
        <is>
          <t>19950214</t>
        </is>
      </c>
      <c r="I226" t="inlineStr">
        <is>
          <t>1</t>
        </is>
      </c>
      <c r="J226" t="inlineStr">
        <is>
          <t>남구</t>
        </is>
      </c>
      <c r="K226" t="inlineStr">
        <is>
          <t>051-626-7726~8</t>
        </is>
      </c>
      <c r="L226" t="inlineStr">
        <is>
          <t>부산광역시 남구 용호로159번길 94</t>
        </is>
      </c>
      <c r="M226" t="inlineStr">
        <is>
          <t>5층, 7층</t>
        </is>
      </c>
      <c r="N226" t="inlineStr">
        <is>
          <t>부산광역시 남구 용호로159번길 94 5층, 7층</t>
        </is>
      </c>
      <c r="O226" t="inlineStr">
        <is>
          <t>부산광역시</t>
        </is>
      </c>
      <c r="P226" t="inlineStr">
        <is>
          <t>남구</t>
        </is>
      </c>
      <c r="Q226" t="inlineStr">
        <is>
          <t>Y</t>
        </is>
      </c>
      <c r="R226" t="n">
        <v>44</v>
      </c>
    </row>
    <row r="227">
      <c r="A227" t="n">
        <v>226</v>
      </c>
      <c r="B227" t="inlineStr">
        <is>
          <t>(주)광덕생약</t>
        </is>
      </c>
      <c r="C227" t="inlineStr">
        <is>
          <t>광덕생약</t>
        </is>
      </c>
      <c r="D227" t="inlineStr">
        <is>
          <t>의약품</t>
        </is>
      </c>
      <c r="E227" t="inlineStr">
        <is>
          <t>1818</t>
        </is>
      </c>
      <c r="F227" t="inlineStr">
        <is>
          <t>조광득</t>
        </is>
      </c>
      <c r="G227" t="inlineStr">
        <is>
          <t>1994-05-20</t>
        </is>
      </c>
      <c r="H227" t="inlineStr">
        <is>
          <t>19940520</t>
        </is>
      </c>
      <c r="I227" t="inlineStr">
        <is>
          <t>1</t>
        </is>
      </c>
      <c r="J227" t="inlineStr">
        <is>
          <t>담양</t>
        </is>
      </c>
      <c r="K227" t="inlineStr">
        <is>
          <t>061-381-3433</t>
        </is>
      </c>
      <c r="L227" t="inlineStr">
        <is>
          <t>전라남도 담양군 금성면 금성공단길 75</t>
        </is>
      </c>
      <c r="M227" t="inlineStr">
        <is>
          <t>금성농공단지내</t>
        </is>
      </c>
      <c r="N227" t="inlineStr">
        <is>
          <t>전라남도 담양군 금성면 금성공단길 75 금성농공단지내</t>
        </is>
      </c>
      <c r="O227" t="inlineStr">
        <is>
          <t>전라남도</t>
        </is>
      </c>
      <c r="P227" t="inlineStr">
        <is>
          <t>담양군</t>
        </is>
      </c>
      <c r="Q227" t="inlineStr">
        <is>
          <t>N</t>
        </is>
      </c>
      <c r="R227" t="n">
        <v>0</v>
      </c>
    </row>
    <row r="228">
      <c r="A228" t="n">
        <v>227</v>
      </c>
      <c r="B228" t="inlineStr">
        <is>
          <t>주식회사 유한화학</t>
        </is>
      </c>
      <c r="C228" t="inlineStr">
        <is>
          <t>유한화학</t>
        </is>
      </c>
      <c r="D228" t="inlineStr">
        <is>
          <t>의약품</t>
        </is>
      </c>
      <c r="E228" t="inlineStr">
        <is>
          <t>1791</t>
        </is>
      </c>
      <c r="F228" t="inlineStr">
        <is>
          <t>이영래</t>
        </is>
      </c>
      <c r="G228" t="inlineStr">
        <is>
          <t>1993-09-02</t>
        </is>
      </c>
      <c r="H228" t="inlineStr">
        <is>
          <t>19930902</t>
        </is>
      </c>
      <c r="I228" t="inlineStr">
        <is>
          <t>2</t>
        </is>
      </c>
      <c r="J228" t="inlineStr">
        <is>
          <t>소분</t>
        </is>
      </c>
      <c r="K228" t="inlineStr">
        <is>
          <t>031-499-4111</t>
        </is>
      </c>
      <c r="L228" t="inlineStr"/>
      <c r="M228" t="inlineStr">
        <is>
          <t>경기도 안산시 단원구 지원로 45, 시화공업단지 5바 402호 (성곡동)</t>
        </is>
      </c>
      <c r="N228" t="inlineStr">
        <is>
          <t>경기도 안산시 단원구 지원로 45, 시화공업단지 5바 402호 (성곡동)</t>
        </is>
      </c>
      <c r="O228" t="inlineStr">
        <is>
          <t>경기도</t>
        </is>
      </c>
      <c r="P228" t="inlineStr">
        <is>
          <t>안산시</t>
        </is>
      </c>
      <c r="Q228" t="inlineStr">
        <is>
          <t>N</t>
        </is>
      </c>
      <c r="R228" t="n">
        <v>0</v>
      </c>
    </row>
    <row r="229">
      <c r="A229" t="n">
        <v>228</v>
      </c>
      <c r="B229" t="inlineStr">
        <is>
          <t>(주)대유코아</t>
        </is>
      </c>
      <c r="C229" t="inlineStr">
        <is>
          <t>대유코아</t>
        </is>
      </c>
      <c r="D229" t="inlineStr">
        <is>
          <t>의약품</t>
        </is>
      </c>
      <c r="E229" t="inlineStr">
        <is>
          <t>1762</t>
        </is>
      </c>
      <c r="F229" t="inlineStr">
        <is>
          <t>이태희</t>
        </is>
      </c>
      <c r="G229" t="inlineStr">
        <is>
          <t>1991-12-12</t>
        </is>
      </c>
      <c r="H229" t="inlineStr">
        <is>
          <t>19911212</t>
        </is>
      </c>
      <c r="I229" t="inlineStr">
        <is>
          <t>2</t>
        </is>
      </c>
      <c r="J229" t="inlineStr">
        <is>
          <t>칠서공장</t>
        </is>
      </c>
      <c r="K229" t="inlineStr">
        <is>
          <t>055-800-7403</t>
        </is>
      </c>
      <c r="L229" t="inlineStr">
        <is>
          <t>경상남도 함안군 칠서면 공단동길 98</t>
        </is>
      </c>
      <c r="M229" t="inlineStr"/>
      <c r="N229" t="inlineStr">
        <is>
          <t>경상남도 함안군 칠서면 공단동길 98</t>
        </is>
      </c>
      <c r="O229" t="inlineStr">
        <is>
          <t>경상남도</t>
        </is>
      </c>
      <c r="P229" t="inlineStr">
        <is>
          <t>함안군</t>
        </is>
      </c>
      <c r="Q229" t="inlineStr">
        <is>
          <t>N</t>
        </is>
      </c>
      <c r="R229" t="n">
        <v>0</v>
      </c>
    </row>
    <row r="230">
      <c r="A230" t="n">
        <v>229</v>
      </c>
      <c r="B230" t="inlineStr">
        <is>
          <t>에스피씨(주)</t>
        </is>
      </c>
      <c r="C230" t="inlineStr">
        <is>
          <t>에스피씨</t>
        </is>
      </c>
      <c r="D230" t="inlineStr">
        <is>
          <t>의약품</t>
        </is>
      </c>
      <c r="E230" t="inlineStr">
        <is>
          <t>2551</t>
        </is>
      </c>
      <c r="F230" t="inlineStr">
        <is>
          <t>이건호</t>
        </is>
      </c>
      <c r="G230" t="inlineStr">
        <is>
          <t>2006-03-08</t>
        </is>
      </c>
      <c r="H230" t="inlineStr">
        <is>
          <t>20060308</t>
        </is>
      </c>
      <c r="I230" t="inlineStr">
        <is>
          <t>1</t>
        </is>
      </c>
      <c r="J230" t="inlineStr">
        <is>
          <t>평택시</t>
        </is>
      </c>
      <c r="K230" t="inlineStr">
        <is>
          <t>031-682-4675</t>
        </is>
      </c>
      <c r="L230" t="inlineStr">
        <is>
          <t>경기도 평택시 포승읍 평택항만길 386</t>
        </is>
      </c>
      <c r="M230" t="inlineStr"/>
      <c r="N230" t="inlineStr">
        <is>
          <t>경기도 평택시 포승읍 평택항만길 386</t>
        </is>
      </c>
      <c r="O230" t="inlineStr">
        <is>
          <t>경기도</t>
        </is>
      </c>
      <c r="P230" t="inlineStr">
        <is>
          <t>평택시</t>
        </is>
      </c>
      <c r="Q230" t="inlineStr">
        <is>
          <t>N</t>
        </is>
      </c>
      <c r="R230" t="n">
        <v>0</v>
      </c>
    </row>
    <row r="231">
      <c r="A231" t="n">
        <v>230</v>
      </c>
      <c r="B231" t="inlineStr">
        <is>
          <t>주식회사 케이에스테크</t>
        </is>
      </c>
      <c r="C231" t="inlineStr">
        <is>
          <t>케이에스테크</t>
        </is>
      </c>
      <c r="D231" t="inlineStr">
        <is>
          <t>의약품</t>
        </is>
      </c>
      <c r="E231" t="inlineStr">
        <is>
          <t>2427</t>
        </is>
      </c>
      <c r="F231" t="inlineStr">
        <is>
          <t>임길수</t>
        </is>
      </c>
      <c r="G231" t="inlineStr">
        <is>
          <t>2004-05-20</t>
        </is>
      </c>
      <c r="H231" t="inlineStr">
        <is>
          <t>20040520</t>
        </is>
      </c>
      <c r="I231" t="inlineStr">
        <is>
          <t>1</t>
        </is>
      </c>
      <c r="J231" t="inlineStr">
        <is>
          <t>공장</t>
        </is>
      </c>
      <c r="K231" t="inlineStr">
        <is>
          <t>031-658-7440</t>
        </is>
      </c>
      <c r="L231" t="inlineStr">
        <is>
          <t>경기도 안성시 원곡면 원당로 160</t>
        </is>
      </c>
      <c r="M231" t="inlineStr"/>
      <c r="N231" t="inlineStr">
        <is>
          <t>경기도 안성시 원곡면 원당로 160</t>
        </is>
      </c>
      <c r="O231" t="inlineStr">
        <is>
          <t>경기도</t>
        </is>
      </c>
      <c r="P231" t="inlineStr">
        <is>
          <t>안성시</t>
        </is>
      </c>
      <c r="Q231" t="inlineStr">
        <is>
          <t>Y</t>
        </is>
      </c>
      <c r="R231" t="n">
        <v>45</v>
      </c>
    </row>
    <row r="232">
      <c r="A232" t="n">
        <v>231</v>
      </c>
      <c r="B232" t="inlineStr">
        <is>
          <t>대한적십자사충청북도혈액원</t>
        </is>
      </c>
      <c r="C232" t="inlineStr">
        <is>
          <t>대한적십자사충청북도혈액원</t>
        </is>
      </c>
      <c r="D232" t="inlineStr">
        <is>
          <t>의약품</t>
        </is>
      </c>
      <c r="E232" t="inlineStr">
        <is>
          <t>2534</t>
        </is>
      </c>
      <c r="F232" t="inlineStr">
        <is>
          <t>임군빈</t>
        </is>
      </c>
      <c r="G232" t="inlineStr">
        <is>
          <t>2006-01-27</t>
        </is>
      </c>
      <c r="H232" t="inlineStr">
        <is>
          <t>20060127</t>
        </is>
      </c>
      <c r="I232" t="inlineStr">
        <is>
          <t>1</t>
        </is>
      </c>
      <c r="J232" t="inlineStr">
        <is>
          <t>대한적십자충청북도혈액원</t>
        </is>
      </c>
      <c r="K232" t="inlineStr">
        <is>
          <t>043-230-8711</t>
        </is>
      </c>
      <c r="L232" t="inlineStr">
        <is>
          <t>충청북도 청주시 흥덕구 가로수로 1000</t>
        </is>
      </c>
      <c r="M232" t="inlineStr"/>
      <c r="N232" t="inlineStr">
        <is>
          <t>충청북도 청주시 흥덕구 가로수로 1000</t>
        </is>
      </c>
      <c r="O232" t="inlineStr">
        <is>
          <t>충청북도</t>
        </is>
      </c>
      <c r="P232" t="inlineStr">
        <is>
          <t>청주시</t>
        </is>
      </c>
      <c r="Q232" t="inlineStr">
        <is>
          <t>N</t>
        </is>
      </c>
      <c r="R232" t="n">
        <v>0</v>
      </c>
    </row>
    <row r="233">
      <c r="A233" t="n">
        <v>232</v>
      </c>
      <c r="B233" t="inlineStr">
        <is>
          <t>(주)녹십자엠에스</t>
        </is>
      </c>
      <c r="C233" t="inlineStr">
        <is>
          <t>녹십자엠에스</t>
        </is>
      </c>
      <c r="D233" t="inlineStr">
        <is>
          <t>의약품</t>
        </is>
      </c>
      <c r="E233" t="inlineStr">
        <is>
          <t>2453</t>
        </is>
      </c>
      <c r="F233" t="inlineStr">
        <is>
          <t>김연근</t>
        </is>
      </c>
      <c r="G233" t="inlineStr">
        <is>
          <t>2004-11-18</t>
        </is>
      </c>
      <c r="H233" t="inlineStr">
        <is>
          <t>20041118</t>
        </is>
      </c>
      <c r="I233" t="inlineStr">
        <is>
          <t>9</t>
        </is>
      </c>
      <c r="J233" t="inlineStr">
        <is>
          <t>8공장</t>
        </is>
      </c>
      <c r="K233" t="inlineStr">
        <is>
          <t>031-260-9553</t>
        </is>
      </c>
      <c r="L233" t="inlineStr">
        <is>
          <t>충청북도 음성군 맹동면 태정로 148</t>
        </is>
      </c>
      <c r="M233" t="inlineStr"/>
      <c r="N233" t="inlineStr">
        <is>
          <t>충청북도 음성군 맹동면 태정로 148</t>
        </is>
      </c>
      <c r="O233" t="inlineStr">
        <is>
          <t>충청북도</t>
        </is>
      </c>
      <c r="P233" t="inlineStr">
        <is>
          <t>음성군</t>
        </is>
      </c>
      <c r="Q233" t="inlineStr">
        <is>
          <t>N</t>
        </is>
      </c>
      <c r="R233" t="n">
        <v>0</v>
      </c>
    </row>
    <row r="234">
      <c r="A234" t="n">
        <v>233</v>
      </c>
      <c r="B234" t="inlineStr">
        <is>
          <t>(주)오스코리아제약</t>
        </is>
      </c>
      <c r="C234" t="inlineStr">
        <is>
          <t>오스코리아제약</t>
        </is>
      </c>
      <c r="D234" t="inlineStr">
        <is>
          <t>의약품</t>
        </is>
      </c>
      <c r="E234" t="inlineStr">
        <is>
          <t>339</t>
        </is>
      </c>
      <c r="F234" t="inlineStr">
        <is>
          <t>박종현</t>
        </is>
      </c>
      <c r="G234" t="inlineStr">
        <is>
          <t>2013-11-12</t>
        </is>
      </c>
      <c r="H234" t="inlineStr">
        <is>
          <t>20131112</t>
        </is>
      </c>
      <c r="I234" t="inlineStr">
        <is>
          <t>1</t>
        </is>
      </c>
      <c r="J234" t="inlineStr">
        <is>
          <t>(주)오스코리아제약</t>
        </is>
      </c>
      <c r="K234" t="inlineStr">
        <is>
          <t>(033)731-2801</t>
        </is>
      </c>
      <c r="L234" t="inlineStr">
        <is>
          <t>강원특별자치도 원주시 문막읍 문막공단길 252</t>
        </is>
      </c>
      <c r="M234" t="inlineStr"/>
      <c r="N234" t="inlineStr">
        <is>
          <t>강원특별자치도 원주시 문막읍 문막공단길 252</t>
        </is>
      </c>
      <c r="O234" t="inlineStr">
        <is>
          <t>강원특별자치도</t>
        </is>
      </c>
      <c r="P234" t="inlineStr">
        <is>
          <t>원주시</t>
        </is>
      </c>
      <c r="Q234" t="inlineStr">
        <is>
          <t>N</t>
        </is>
      </c>
      <c r="R234" t="n">
        <v>0</v>
      </c>
    </row>
    <row r="235">
      <c r="A235" t="n">
        <v>234</v>
      </c>
      <c r="B235" t="inlineStr">
        <is>
          <t>복지종합가스(주)</t>
        </is>
      </c>
      <c r="C235" t="inlineStr">
        <is>
          <t>복지종합가스</t>
        </is>
      </c>
      <c r="D235" t="inlineStr">
        <is>
          <t>의약품</t>
        </is>
      </c>
      <c r="E235" t="inlineStr">
        <is>
          <t>2516</t>
        </is>
      </c>
      <c r="F235" t="inlineStr">
        <is>
          <t>김동환</t>
        </is>
      </c>
      <c r="G235" t="inlineStr">
        <is>
          <t>2005-11-17</t>
        </is>
      </c>
      <c r="H235" t="inlineStr">
        <is>
          <t>20051117</t>
        </is>
      </c>
      <c r="I235" t="inlineStr">
        <is>
          <t>1</t>
        </is>
      </c>
      <c r="J235" t="inlineStr">
        <is>
          <t>양주시</t>
        </is>
      </c>
      <c r="K235" t="inlineStr">
        <is>
          <t>031-858-7373</t>
        </is>
      </c>
      <c r="L235" t="inlineStr">
        <is>
          <t>경기도 양주시 칠봉산로131번길 34-26</t>
        </is>
      </c>
      <c r="M235" t="inlineStr"/>
      <c r="N235" t="inlineStr">
        <is>
          <t>경기도 양주시 칠봉산로131번길 34-26</t>
        </is>
      </c>
      <c r="O235" t="inlineStr">
        <is>
          <t>경기도</t>
        </is>
      </c>
      <c r="P235" t="inlineStr">
        <is>
          <t>양주시</t>
        </is>
      </c>
      <c r="Q235" t="inlineStr">
        <is>
          <t>N</t>
        </is>
      </c>
      <c r="R235" t="n">
        <v>0</v>
      </c>
    </row>
    <row r="236">
      <c r="A236" t="n">
        <v>235</v>
      </c>
      <c r="B236" t="inlineStr">
        <is>
          <t>(주)엘앤씨바이오</t>
        </is>
      </c>
      <c r="C236" t="inlineStr">
        <is>
          <t>엘앤씨바이오</t>
        </is>
      </c>
      <c r="D236" t="inlineStr">
        <is>
          <t>의약품</t>
        </is>
      </c>
      <c r="E236" t="inlineStr">
        <is>
          <t>381</t>
        </is>
      </c>
      <c r="F236" t="inlineStr">
        <is>
          <t>이재호</t>
        </is>
      </c>
      <c r="G236" t="inlineStr">
        <is>
          <t>2020-03-05</t>
        </is>
      </c>
      <c r="H236" t="inlineStr">
        <is>
          <t>20200305</t>
        </is>
      </c>
      <c r="I236" t="inlineStr">
        <is>
          <t>1</t>
        </is>
      </c>
      <c r="J236" t="inlineStr">
        <is>
          <t>(주)엘앤씨바이오</t>
        </is>
      </c>
      <c r="K236" t="inlineStr">
        <is>
          <t>070-7720-0540</t>
        </is>
      </c>
      <c r="L236" t="inlineStr">
        <is>
          <t>경기도 안성시 공단2로 104</t>
        </is>
      </c>
      <c r="M236" t="inlineStr">
        <is>
          <t>가동 1층</t>
        </is>
      </c>
      <c r="N236" t="inlineStr">
        <is>
          <t>경기도 안성시 공단2로 104 가동 1층</t>
        </is>
      </c>
      <c r="O236" t="inlineStr">
        <is>
          <t>경기도</t>
        </is>
      </c>
      <c r="P236" t="inlineStr">
        <is>
          <t>안성시</t>
        </is>
      </c>
      <c r="Q236" t="inlineStr">
        <is>
          <t>Y</t>
        </is>
      </c>
      <c r="R236" t="n">
        <v>46</v>
      </c>
    </row>
    <row r="237">
      <c r="A237" t="n">
        <v>236</v>
      </c>
      <c r="B237" t="inlineStr">
        <is>
          <t>화순전남대학병원</t>
        </is>
      </c>
      <c r="C237" t="inlineStr">
        <is>
          <t>화순전남대학병원</t>
        </is>
      </c>
      <c r="D237" t="inlineStr">
        <is>
          <t>의약품</t>
        </is>
      </c>
      <c r="E237" t="inlineStr">
        <is>
          <t>2444</t>
        </is>
      </c>
      <c r="F237" t="inlineStr">
        <is>
          <t>이완식</t>
        </is>
      </c>
      <c r="G237" t="inlineStr">
        <is>
          <t>2004-09-06</t>
        </is>
      </c>
      <c r="H237" t="inlineStr">
        <is>
          <t>20040906</t>
        </is>
      </c>
      <c r="I237" t="inlineStr">
        <is>
          <t>1</t>
        </is>
      </c>
      <c r="J237" t="inlineStr">
        <is>
          <t>화순군</t>
        </is>
      </c>
      <c r="K237" t="inlineStr">
        <is>
          <t>061-379-7262</t>
        </is>
      </c>
      <c r="L237" t="inlineStr">
        <is>
          <t>전라남도 화순군 화순읍 서양로 322</t>
        </is>
      </c>
      <c r="M237" t="inlineStr">
        <is>
          <t>화순전남대학교병원</t>
        </is>
      </c>
      <c r="N237" t="inlineStr">
        <is>
          <t>전라남도 화순군 화순읍 서양로 322 화순전남대학교병원</t>
        </is>
      </c>
      <c r="O237" t="inlineStr">
        <is>
          <t>전라남도</t>
        </is>
      </c>
      <c r="P237" t="inlineStr">
        <is>
          <t>화순군</t>
        </is>
      </c>
      <c r="Q237" t="inlineStr">
        <is>
          <t>N</t>
        </is>
      </c>
      <c r="R237" t="n">
        <v>0</v>
      </c>
    </row>
    <row r="238">
      <c r="A238" t="n">
        <v>237</v>
      </c>
      <c r="B238" t="inlineStr">
        <is>
          <t>(주)씨엠지제약</t>
        </is>
      </c>
      <c r="C238" t="inlineStr">
        <is>
          <t>씨엠지제약</t>
        </is>
      </c>
      <c r="D238" t="inlineStr">
        <is>
          <t>의약품</t>
        </is>
      </c>
      <c r="E238" t="inlineStr">
        <is>
          <t>1439</t>
        </is>
      </c>
      <c r="F238" t="inlineStr">
        <is>
          <t>이주형</t>
        </is>
      </c>
      <c r="G238" t="inlineStr">
        <is>
          <t>1964-01-21</t>
        </is>
      </c>
      <c r="H238" t="inlineStr">
        <is>
          <t>19640121</t>
        </is>
      </c>
      <c r="I238" t="inlineStr">
        <is>
          <t>4</t>
        </is>
      </c>
      <c r="J238" t="inlineStr">
        <is>
          <t>보관소2</t>
        </is>
      </c>
      <c r="K238" t="inlineStr"/>
      <c r="L238" t="inlineStr">
        <is>
          <t>경기도 평택시 오성면 오성산단1로 131</t>
        </is>
      </c>
      <c r="M238" t="inlineStr">
        <is>
          <t>C동 5층 일부</t>
        </is>
      </c>
      <c r="N238" t="inlineStr">
        <is>
          <t>경기도 평택시 오성면 오성산단1로 131 C동 5층 일부</t>
        </is>
      </c>
      <c r="O238" t="inlineStr">
        <is>
          <t>경기도</t>
        </is>
      </c>
      <c r="P238" t="inlineStr">
        <is>
          <t>평택시</t>
        </is>
      </c>
      <c r="Q238" t="inlineStr">
        <is>
          <t>N</t>
        </is>
      </c>
      <c r="R238" t="n">
        <v>0</v>
      </c>
    </row>
    <row r="239">
      <c r="A239" t="n">
        <v>238</v>
      </c>
      <c r="B239" t="inlineStr">
        <is>
          <t>동아제약(주)</t>
        </is>
      </c>
      <c r="C239" t="inlineStr">
        <is>
          <t>동아제약</t>
        </is>
      </c>
      <c r="D239" t="inlineStr">
        <is>
          <t>의약품</t>
        </is>
      </c>
      <c r="E239" t="inlineStr">
        <is>
          <t>2606</t>
        </is>
      </c>
      <c r="F239" t="inlineStr">
        <is>
          <t>백상환</t>
        </is>
      </c>
      <c r="G239" t="inlineStr">
        <is>
          <t>2013-04-18</t>
        </is>
      </c>
      <c r="H239" t="inlineStr">
        <is>
          <t>20130418</t>
        </is>
      </c>
      <c r="I239" t="inlineStr">
        <is>
          <t>7</t>
        </is>
      </c>
      <c r="J239" t="inlineStr">
        <is>
          <t>시험실</t>
        </is>
      </c>
      <c r="K239" t="inlineStr"/>
      <c r="L239" t="inlineStr">
        <is>
          <t>충청남도 천안시 서북구 백석공단1로 200-23</t>
        </is>
      </c>
      <c r="M239" t="inlineStr">
        <is>
          <t>(12동 일부)</t>
        </is>
      </c>
      <c r="N239" t="inlineStr">
        <is>
          <t>충청남도 천안시 서북구 백석공단1로 200-23 (12동 일부)</t>
        </is>
      </c>
      <c r="O239" t="inlineStr">
        <is>
          <t>충청남도</t>
        </is>
      </c>
      <c r="P239" t="inlineStr">
        <is>
          <t>천안시</t>
        </is>
      </c>
      <c r="Q239" t="inlineStr">
        <is>
          <t>N</t>
        </is>
      </c>
      <c r="R239" t="n">
        <v>0</v>
      </c>
    </row>
    <row r="240">
      <c r="A240" t="n">
        <v>239</v>
      </c>
      <c r="B240" t="inlineStr">
        <is>
          <t>(주)국전</t>
        </is>
      </c>
      <c r="C240" t="inlineStr">
        <is>
          <t>국전</t>
        </is>
      </c>
      <c r="D240" t="inlineStr">
        <is>
          <t>의약품</t>
        </is>
      </c>
      <c r="E240" t="inlineStr">
        <is>
          <t>2520</t>
        </is>
      </c>
      <c r="F240" t="inlineStr">
        <is>
          <t>홍종호</t>
        </is>
      </c>
      <c r="G240" t="inlineStr">
        <is>
          <t>2005-12-09</t>
        </is>
      </c>
      <c r="H240" t="inlineStr">
        <is>
          <t>20051209</t>
        </is>
      </c>
      <c r="I240" t="inlineStr">
        <is>
          <t>3</t>
        </is>
      </c>
      <c r="J240" t="inlineStr">
        <is>
          <t>향남공장</t>
        </is>
      </c>
      <c r="K240" t="inlineStr">
        <is>
          <t>031-352-8179</t>
        </is>
      </c>
      <c r="L240" t="inlineStr">
        <is>
          <t>경기도 화성시 만세구 향남읍 발안공단로 8</t>
        </is>
      </c>
      <c r="M240" t="inlineStr"/>
      <c r="N240" t="inlineStr">
        <is>
          <t>경기도 화성시 만세구 향남읍 발안공단로 8</t>
        </is>
      </c>
      <c r="O240" t="inlineStr">
        <is>
          <t>경기도</t>
        </is>
      </c>
      <c r="P240" t="inlineStr">
        <is>
          <t>화성시</t>
        </is>
      </c>
      <c r="Q240" t="inlineStr">
        <is>
          <t>N</t>
        </is>
      </c>
      <c r="R240" t="n">
        <v>0</v>
      </c>
    </row>
    <row r="241">
      <c r="A241" t="n">
        <v>240</v>
      </c>
      <c r="B241" t="inlineStr">
        <is>
          <t>케이진바이오제약(주)</t>
        </is>
      </c>
      <c r="C241" t="inlineStr">
        <is>
          <t>케이진바이오제약</t>
        </is>
      </c>
      <c r="D241" t="inlineStr">
        <is>
          <t>의약품</t>
        </is>
      </c>
      <c r="E241" t="inlineStr">
        <is>
          <t>2652</t>
        </is>
      </c>
      <c r="F241" t="inlineStr">
        <is>
          <t>유재현</t>
        </is>
      </c>
      <c r="G241" t="inlineStr">
        <is>
          <t>2019-04-04</t>
        </is>
      </c>
      <c r="H241" t="inlineStr">
        <is>
          <t>20190404</t>
        </is>
      </c>
      <c r="I241" t="inlineStr">
        <is>
          <t>1</t>
        </is>
      </c>
      <c r="J241" t="inlineStr">
        <is>
          <t>1공장</t>
        </is>
      </c>
      <c r="K241" t="inlineStr">
        <is>
          <t>041-752-2224</t>
        </is>
      </c>
      <c r="L241" t="inlineStr">
        <is>
          <t>충청남도 금산군 복수면 다복로 491-15</t>
        </is>
      </c>
      <c r="M241" t="inlineStr">
        <is>
          <t>1층일부, 2층일부</t>
        </is>
      </c>
      <c r="N241" t="inlineStr">
        <is>
          <t>충청남도 금산군 복수면 다복로 491-15 1층일부, 2층일부</t>
        </is>
      </c>
      <c r="O241" t="inlineStr">
        <is>
          <t>충청남도</t>
        </is>
      </c>
      <c r="P241" t="inlineStr">
        <is>
          <t>금산군</t>
        </is>
      </c>
      <c r="Q241" t="inlineStr">
        <is>
          <t>N</t>
        </is>
      </c>
      <c r="R241" t="n">
        <v>0</v>
      </c>
    </row>
    <row r="242">
      <c r="A242" t="n">
        <v>241</v>
      </c>
      <c r="B242" t="inlineStr">
        <is>
          <t>(주)듀켐바이오</t>
        </is>
      </c>
      <c r="C242" t="inlineStr">
        <is>
          <t>듀켐바이오</t>
        </is>
      </c>
      <c r="D242" t="inlineStr">
        <is>
          <t>의약품</t>
        </is>
      </c>
      <c r="E242" t="inlineStr">
        <is>
          <t>2437</t>
        </is>
      </c>
      <c r="F242" t="inlineStr">
        <is>
          <t>김상우</t>
        </is>
      </c>
      <c r="G242" t="inlineStr">
        <is>
          <t>2004-07-22</t>
        </is>
      </c>
      <c r="H242" t="inlineStr">
        <is>
          <t>20040722</t>
        </is>
      </c>
      <c r="I242" t="inlineStr">
        <is>
          <t>1</t>
        </is>
      </c>
      <c r="J242" t="inlineStr">
        <is>
          <t>1공장(대전)</t>
        </is>
      </c>
      <c r="K242" t="inlineStr"/>
      <c r="L242" t="inlineStr">
        <is>
          <t>대전광역시 서구 둔산서로 95</t>
        </is>
      </c>
      <c r="M242" t="inlineStr"/>
      <c r="N242" t="inlineStr">
        <is>
          <t>대전광역시 서구 둔산서로 95</t>
        </is>
      </c>
      <c r="O242" t="inlineStr">
        <is>
          <t>대전광역시</t>
        </is>
      </c>
      <c r="P242" t="inlineStr">
        <is>
          <t>서구</t>
        </is>
      </c>
      <c r="Q242" t="inlineStr">
        <is>
          <t>N</t>
        </is>
      </c>
      <c r="R242" t="n">
        <v>0</v>
      </c>
    </row>
    <row r="243">
      <c r="A243" t="n">
        <v>242</v>
      </c>
      <c r="B243" t="inlineStr">
        <is>
          <t>롯데정밀화학(주)</t>
        </is>
      </c>
      <c r="C243" t="inlineStr">
        <is>
          <t>롯데정밀화학</t>
        </is>
      </c>
      <c r="D243" t="inlineStr">
        <is>
          <t>의약품</t>
        </is>
      </c>
      <c r="E243" t="inlineStr">
        <is>
          <t>1435</t>
        </is>
      </c>
      <c r="F243" t="inlineStr">
        <is>
          <t>정승원</t>
        </is>
      </c>
      <c r="G243" t="inlineStr">
        <is>
          <t>1963-10-26</t>
        </is>
      </c>
      <c r="H243" t="inlineStr">
        <is>
          <t>19631026</t>
        </is>
      </c>
      <c r="I243" t="inlineStr">
        <is>
          <t>1</t>
        </is>
      </c>
      <c r="J243" t="inlineStr">
        <is>
          <t>인천</t>
        </is>
      </c>
      <c r="K243" t="inlineStr">
        <is>
          <t>032-816-5981</t>
        </is>
      </c>
      <c r="L243" t="inlineStr">
        <is>
          <t>인천광역시 남동구 남동대로79번길</t>
        </is>
      </c>
      <c r="M243" t="inlineStr">
        <is>
          <t>47</t>
        </is>
      </c>
      <c r="N243" t="inlineStr">
        <is>
          <t>인천광역시 남동구 남동대로79번길 47</t>
        </is>
      </c>
      <c r="O243" t="inlineStr">
        <is>
          <t>인천광역시</t>
        </is>
      </c>
      <c r="P243" t="inlineStr">
        <is>
          <t>남동구</t>
        </is>
      </c>
      <c r="Q243" t="inlineStr">
        <is>
          <t>N</t>
        </is>
      </c>
      <c r="R243" t="n">
        <v>0</v>
      </c>
    </row>
    <row r="244">
      <c r="A244" t="n">
        <v>243</v>
      </c>
      <c r="B244" t="inlineStr">
        <is>
          <t>(주)화이트생명과학</t>
        </is>
      </c>
      <c r="C244" t="inlineStr">
        <is>
          <t>화이트생명과학</t>
        </is>
      </c>
      <c r="D244" t="inlineStr">
        <is>
          <t>의약품</t>
        </is>
      </c>
      <c r="E244" t="inlineStr">
        <is>
          <t>344</t>
        </is>
      </c>
      <c r="F244" t="inlineStr">
        <is>
          <t>양원철</t>
        </is>
      </c>
      <c r="G244" t="inlineStr">
        <is>
          <t>2012-10-16</t>
        </is>
      </c>
      <c r="H244" t="inlineStr">
        <is>
          <t>20121016</t>
        </is>
      </c>
      <c r="I244" t="inlineStr">
        <is>
          <t>1</t>
        </is>
      </c>
      <c r="J244" t="inlineStr">
        <is>
          <t>제1공장</t>
        </is>
      </c>
      <c r="K244" t="inlineStr"/>
      <c r="L244" t="inlineStr">
        <is>
          <t>경기도 화성시 만세구 향남읍 제약공단4길 89</t>
        </is>
      </c>
      <c r="M244" t="inlineStr"/>
      <c r="N244" t="inlineStr">
        <is>
          <t>경기도 화성시 만세구 향남읍 제약공단4길 89</t>
        </is>
      </c>
      <c r="O244" t="inlineStr">
        <is>
          <t>경기도</t>
        </is>
      </c>
      <c r="P244" t="inlineStr">
        <is>
          <t>화성시</t>
        </is>
      </c>
      <c r="Q244" t="inlineStr">
        <is>
          <t>N</t>
        </is>
      </c>
      <c r="R244" t="n">
        <v>0</v>
      </c>
    </row>
    <row r="245">
      <c r="A245" t="n">
        <v>244</v>
      </c>
      <c r="B245" t="inlineStr">
        <is>
          <t>(주)한국비엔씨</t>
        </is>
      </c>
      <c r="C245" t="inlineStr">
        <is>
          <t>한국비엔씨</t>
        </is>
      </c>
      <c r="D245" t="inlineStr">
        <is>
          <t>의약품</t>
        </is>
      </c>
      <c r="E245" t="inlineStr">
        <is>
          <t>98</t>
        </is>
      </c>
      <c r="F245" t="inlineStr">
        <is>
          <t>최완규</t>
        </is>
      </c>
      <c r="G245" t="inlineStr">
        <is>
          <t>2019-02-26</t>
        </is>
      </c>
      <c r="H245" t="inlineStr">
        <is>
          <t>20190226</t>
        </is>
      </c>
      <c r="I245" t="inlineStr">
        <is>
          <t>1</t>
        </is>
      </c>
      <c r="J245" t="inlineStr">
        <is>
          <t>1공장 대구공장</t>
        </is>
      </c>
      <c r="K245" t="inlineStr">
        <is>
          <t>070-4364-6683</t>
        </is>
      </c>
      <c r="L245" t="inlineStr">
        <is>
          <t>대구광역시 달서구 성서공단로11길 62</t>
        </is>
      </c>
      <c r="M245" t="inlineStr">
        <is>
          <t>대구테크노파크 벤처공장 1호관 405호, 505호, 2호관 622호</t>
        </is>
      </c>
      <c r="N245" t="inlineStr">
        <is>
          <t>대구광역시 달서구 성서공단로11길 62 대구테크노파크 벤처공장 1호관 405호, 505호, 2호관 622호</t>
        </is>
      </c>
      <c r="O245" t="inlineStr">
        <is>
          <t>대구광역시</t>
        </is>
      </c>
      <c r="P245" t="inlineStr">
        <is>
          <t>달서구</t>
        </is>
      </c>
      <c r="Q245" t="inlineStr">
        <is>
          <t>N</t>
        </is>
      </c>
      <c r="R245" t="n">
        <v>0</v>
      </c>
    </row>
    <row r="246">
      <c r="A246" t="n">
        <v>245</v>
      </c>
      <c r="B246" t="inlineStr">
        <is>
          <t>태안약업(주)</t>
        </is>
      </c>
      <c r="C246" t="inlineStr">
        <is>
          <t>태안약업</t>
        </is>
      </c>
      <c r="D246" t="inlineStr">
        <is>
          <t>의약품</t>
        </is>
      </c>
      <c r="E246" t="inlineStr">
        <is>
          <t>2376</t>
        </is>
      </c>
      <c r="F246" t="inlineStr">
        <is>
          <t>안태환</t>
        </is>
      </c>
      <c r="G246" t="inlineStr">
        <is>
          <t>2003-04-28</t>
        </is>
      </c>
      <c r="H246" t="inlineStr">
        <is>
          <t>20030428</t>
        </is>
      </c>
      <c r="I246" t="inlineStr">
        <is>
          <t>1</t>
        </is>
      </c>
      <c r="J246" t="inlineStr">
        <is>
          <t>.</t>
        </is>
      </c>
      <c r="K246" t="inlineStr"/>
      <c r="L246" t="inlineStr">
        <is>
          <t>서울특별시 동대문구 고산자로 467</t>
        </is>
      </c>
      <c r="M246" t="inlineStr">
        <is>
          <t>3층(제기동, 삼우빌딩)</t>
        </is>
      </c>
      <c r="N246" t="inlineStr">
        <is>
          <t>서울특별시 동대문구 고산자로 467 3층(제기동, 삼우빌딩)</t>
        </is>
      </c>
      <c r="O246" t="inlineStr">
        <is>
          <t>서울특별시</t>
        </is>
      </c>
      <c r="P246" t="inlineStr">
        <is>
          <t>동대문구</t>
        </is>
      </c>
      <c r="Q246" t="inlineStr">
        <is>
          <t>N</t>
        </is>
      </c>
      <c r="R246" t="n">
        <v>0</v>
      </c>
    </row>
    <row r="247">
      <c r="A247" t="n">
        <v>246</v>
      </c>
      <c r="B247" t="inlineStr">
        <is>
          <t>(주)한풍제약</t>
        </is>
      </c>
      <c r="C247" t="inlineStr">
        <is>
          <t>한풍제약</t>
        </is>
      </c>
      <c r="D247" t="inlineStr">
        <is>
          <t>의약품</t>
        </is>
      </c>
      <c r="E247" t="inlineStr">
        <is>
          <t>1417</t>
        </is>
      </c>
      <c r="F247" t="inlineStr">
        <is>
          <t>조인식</t>
        </is>
      </c>
      <c r="G247" t="inlineStr">
        <is>
          <t>1962-07-21</t>
        </is>
      </c>
      <c r="H247" t="inlineStr">
        <is>
          <t>19620721</t>
        </is>
      </c>
      <c r="I247" t="inlineStr">
        <is>
          <t>2</t>
        </is>
      </c>
      <c r="J247" t="inlineStr"/>
      <c r="K247" t="inlineStr"/>
      <c r="L247" t="inlineStr">
        <is>
          <t>전북특별자치도 완주군 봉동읍 완주산단6로 301</t>
        </is>
      </c>
      <c r="M247" t="inlineStr">
        <is>
          <t>, 봉동로 705</t>
        </is>
      </c>
      <c r="N247" t="inlineStr">
        <is>
          <t>전북특별자치도 완주군 봉동읍 완주산단6로 301 , 봉동로 705</t>
        </is>
      </c>
      <c r="O247" t="inlineStr">
        <is>
          <t>전북특별자치도</t>
        </is>
      </c>
      <c r="P247" t="inlineStr">
        <is>
          <t>완주군</t>
        </is>
      </c>
      <c r="Q247" t="inlineStr">
        <is>
          <t>Y</t>
        </is>
      </c>
      <c r="R247" t="n">
        <v>47</v>
      </c>
    </row>
    <row r="248">
      <c r="A248" t="n">
        <v>247</v>
      </c>
      <c r="B248" t="inlineStr">
        <is>
          <t>(주)유바이오로직스</t>
        </is>
      </c>
      <c r="C248" t="inlineStr">
        <is>
          <t>유바이오로직스</t>
        </is>
      </c>
      <c r="D248" t="inlineStr">
        <is>
          <t>의약품</t>
        </is>
      </c>
      <c r="E248" t="inlineStr">
        <is>
          <t>322</t>
        </is>
      </c>
      <c r="F248" t="inlineStr">
        <is>
          <t>백영옥</t>
        </is>
      </c>
      <c r="G248" t="inlineStr">
        <is>
          <t>2011-11-28</t>
        </is>
      </c>
      <c r="H248" t="inlineStr">
        <is>
          <t>20111128</t>
        </is>
      </c>
      <c r="I248" t="inlineStr">
        <is>
          <t>5</t>
        </is>
      </c>
      <c r="J248" t="inlineStr">
        <is>
          <t>[보관소2]</t>
        </is>
      </c>
      <c r="K248" t="inlineStr"/>
      <c r="L248" t="inlineStr">
        <is>
          <t>강원특별자치도 춘천시 소양강로 56</t>
        </is>
      </c>
      <c r="M248" t="inlineStr">
        <is>
          <t>4동 4층 냉장실9</t>
        </is>
      </c>
      <c r="N248" t="inlineStr">
        <is>
          <t>강원특별자치도 춘천시 소양강로 56 4동 4층 냉장실9</t>
        </is>
      </c>
      <c r="O248" t="inlineStr">
        <is>
          <t>강원특별자치도</t>
        </is>
      </c>
      <c r="P248" t="inlineStr">
        <is>
          <t>춘천시</t>
        </is>
      </c>
      <c r="Q248" t="inlineStr">
        <is>
          <t>Y</t>
        </is>
      </c>
      <c r="R248" t="n">
        <v>48</v>
      </c>
    </row>
    <row r="249">
      <c r="A249" t="n">
        <v>248</v>
      </c>
      <c r="B249" t="inlineStr">
        <is>
          <t>주식회사큐엘파마</t>
        </is>
      </c>
      <c r="C249" t="inlineStr">
        <is>
          <t>큐엘파마</t>
        </is>
      </c>
      <c r="D249" t="inlineStr">
        <is>
          <t>의약품</t>
        </is>
      </c>
      <c r="E249" t="inlineStr">
        <is>
          <t>2649</t>
        </is>
      </c>
      <c r="F249" t="inlineStr">
        <is>
          <t>이승하</t>
        </is>
      </c>
      <c r="G249" t="inlineStr">
        <is>
          <t>2018-12-24</t>
        </is>
      </c>
      <c r="H249" t="inlineStr">
        <is>
          <t>20181224</t>
        </is>
      </c>
      <c r="I249" t="inlineStr">
        <is>
          <t>1</t>
        </is>
      </c>
      <c r="J249" t="inlineStr">
        <is>
          <t>주식회사큐엘파마</t>
        </is>
      </c>
      <c r="K249" t="inlineStr">
        <is>
          <t>070-8858-7353</t>
        </is>
      </c>
      <c r="L249" t="inlineStr">
        <is>
          <t>충청북도 충주시 충주산단7로 53</t>
        </is>
      </c>
      <c r="M249" t="inlineStr"/>
      <c r="N249" t="inlineStr">
        <is>
          <t>충청북도 충주시 충주산단7로 53</t>
        </is>
      </c>
      <c r="O249" t="inlineStr">
        <is>
          <t>충청북도</t>
        </is>
      </c>
      <c r="P249" t="inlineStr">
        <is>
          <t>충주시</t>
        </is>
      </c>
      <c r="Q249" t="inlineStr">
        <is>
          <t>N</t>
        </is>
      </c>
      <c r="R249" t="n">
        <v>0</v>
      </c>
    </row>
    <row r="250">
      <c r="A250" t="n">
        <v>249</v>
      </c>
      <c r="B250" t="inlineStr">
        <is>
          <t>(주)유영제약</t>
        </is>
      </c>
      <c r="C250" t="inlineStr">
        <is>
          <t>유영제약</t>
        </is>
      </c>
      <c r="D250" t="inlineStr">
        <is>
          <t>의약품</t>
        </is>
      </c>
      <c r="E250" t="inlineStr">
        <is>
          <t>1394</t>
        </is>
      </c>
      <c r="F250" t="inlineStr">
        <is>
          <t>유주평</t>
        </is>
      </c>
      <c r="G250" t="inlineStr">
        <is>
          <t>1960-07-30</t>
        </is>
      </c>
      <c r="H250" t="inlineStr">
        <is>
          <t>19600730</t>
        </is>
      </c>
      <c r="I250" t="inlineStr">
        <is>
          <t>1</t>
        </is>
      </c>
      <c r="J250" t="inlineStr">
        <is>
          <t>진천</t>
        </is>
      </c>
      <c r="K250" t="inlineStr">
        <is>
          <t>043-535-2976</t>
        </is>
      </c>
      <c r="L250" t="inlineStr">
        <is>
          <t>충청북도 진천군 광혜원면 용소2길 33</t>
        </is>
      </c>
      <c r="M250" t="inlineStr"/>
      <c r="N250" t="inlineStr">
        <is>
          <t>충청북도 진천군 광혜원면 용소2길 33</t>
        </is>
      </c>
      <c r="O250" t="inlineStr">
        <is>
          <t>충청북도</t>
        </is>
      </c>
      <c r="P250" t="inlineStr">
        <is>
          <t>진천군</t>
        </is>
      </c>
      <c r="Q250" t="inlineStr">
        <is>
          <t>N</t>
        </is>
      </c>
      <c r="R250" t="n">
        <v>0</v>
      </c>
    </row>
    <row r="251">
      <c r="A251" t="n">
        <v>250</v>
      </c>
      <c r="B251" t="inlineStr">
        <is>
          <t>명문바이오(주)</t>
        </is>
      </c>
      <c r="C251" t="inlineStr">
        <is>
          <t>명문바이오</t>
        </is>
      </c>
      <c r="D251" t="inlineStr">
        <is>
          <t>의약품</t>
        </is>
      </c>
      <c r="E251" t="inlineStr">
        <is>
          <t>372</t>
        </is>
      </c>
      <c r="F251" t="inlineStr">
        <is>
          <t>우석민</t>
        </is>
      </c>
      <c r="G251" t="inlineStr">
        <is>
          <t>2018-08-07</t>
        </is>
      </c>
      <c r="H251" t="inlineStr">
        <is>
          <t>20180807</t>
        </is>
      </c>
      <c r="I251" t="inlineStr">
        <is>
          <t>1</t>
        </is>
      </c>
      <c r="J251" t="inlineStr">
        <is>
          <t>명문바이오(주)</t>
        </is>
      </c>
      <c r="K251" t="inlineStr"/>
      <c r="L251" t="inlineStr">
        <is>
          <t>경기도 화성시 향남읍 제약공단2길 28</t>
        </is>
      </c>
      <c r="M251" t="inlineStr">
        <is>
          <t>(10동 외)</t>
        </is>
      </c>
      <c r="N251" t="inlineStr">
        <is>
          <t>경기도 화성시 향남읍 제약공단2길 28 (10동 외)</t>
        </is>
      </c>
      <c r="O251" t="inlineStr">
        <is>
          <t>경기도</t>
        </is>
      </c>
      <c r="P251" t="inlineStr">
        <is>
          <t>화성시</t>
        </is>
      </c>
      <c r="Q251" t="inlineStr">
        <is>
          <t>N</t>
        </is>
      </c>
      <c r="R251" t="n">
        <v>0</v>
      </c>
    </row>
    <row r="252">
      <c r="A252" t="n">
        <v>251</v>
      </c>
      <c r="B252" t="inlineStr">
        <is>
          <t>삼전순약공업(주)</t>
        </is>
      </c>
      <c r="C252" t="inlineStr">
        <is>
          <t>삼전순약공업</t>
        </is>
      </c>
      <c r="D252" t="inlineStr">
        <is>
          <t>의약품</t>
        </is>
      </c>
      <c r="E252" t="inlineStr">
        <is>
          <t>1941</t>
        </is>
      </c>
      <c r="F252" t="inlineStr">
        <is>
          <t>박두곤</t>
        </is>
      </c>
      <c r="G252" t="inlineStr">
        <is>
          <t>1996-08-29</t>
        </is>
      </c>
      <c r="H252" t="inlineStr">
        <is>
          <t>19960829</t>
        </is>
      </c>
      <c r="I252" t="inlineStr">
        <is>
          <t>1</t>
        </is>
      </c>
      <c r="J252" t="inlineStr">
        <is>
          <t>평택</t>
        </is>
      </c>
      <c r="K252" t="inlineStr">
        <is>
          <t>031-668-0700/4</t>
        </is>
      </c>
      <c r="L252" t="inlineStr">
        <is>
          <t>경기도 평택시 산단로16번길 117</t>
        </is>
      </c>
      <c r="M252" t="inlineStr"/>
      <c r="N252" t="inlineStr">
        <is>
          <t>경기도 평택시 산단로16번길 117</t>
        </is>
      </c>
      <c r="O252" t="inlineStr">
        <is>
          <t>경기도</t>
        </is>
      </c>
      <c r="P252" t="inlineStr">
        <is>
          <t>평택시</t>
        </is>
      </c>
      <c r="Q252" t="inlineStr">
        <is>
          <t>Y</t>
        </is>
      </c>
      <c r="R252" t="n">
        <v>49</v>
      </c>
    </row>
    <row r="253">
      <c r="A253" t="n">
        <v>252</v>
      </c>
      <c r="B253" t="inlineStr">
        <is>
          <t>대봉엘에스(주)</t>
        </is>
      </c>
      <c r="C253" t="inlineStr">
        <is>
          <t>대봉엘에스</t>
        </is>
      </c>
      <c r="D253" t="inlineStr">
        <is>
          <t>의약품</t>
        </is>
      </c>
      <c r="E253" t="inlineStr">
        <is>
          <t>1867</t>
        </is>
      </c>
      <c r="F253" t="inlineStr">
        <is>
          <t>박진오</t>
        </is>
      </c>
      <c r="G253" t="inlineStr">
        <is>
          <t>1995-01-21</t>
        </is>
      </c>
      <c r="H253" t="inlineStr">
        <is>
          <t>19950121</t>
        </is>
      </c>
      <c r="I253" t="inlineStr">
        <is>
          <t>1</t>
        </is>
      </c>
      <c r="J253" t="inlineStr">
        <is>
          <t>인천</t>
        </is>
      </c>
      <c r="K253" t="inlineStr">
        <is>
          <t>032-817-8805</t>
        </is>
      </c>
      <c r="L253" t="inlineStr">
        <is>
          <t>인천광역시 남동구 능허대로649번길 123</t>
        </is>
      </c>
      <c r="M253" t="inlineStr">
        <is>
          <t>122B-9L</t>
        </is>
      </c>
      <c r="N253" t="inlineStr">
        <is>
          <t>인천광역시 남동구 능허대로649번길 123 122B-9L</t>
        </is>
      </c>
      <c r="O253" t="inlineStr">
        <is>
          <t>인천광역시</t>
        </is>
      </c>
      <c r="P253" t="inlineStr">
        <is>
          <t>남동구</t>
        </is>
      </c>
      <c r="Q253" t="inlineStr">
        <is>
          <t>Y</t>
        </is>
      </c>
      <c r="R253" t="n">
        <v>50</v>
      </c>
    </row>
    <row r="254">
      <c r="A254" t="n">
        <v>253</v>
      </c>
      <c r="B254" t="inlineStr">
        <is>
          <t>(주)그린제약</t>
        </is>
      </c>
      <c r="C254" t="inlineStr">
        <is>
          <t>그린제약</t>
        </is>
      </c>
      <c r="D254" t="inlineStr">
        <is>
          <t>의약품</t>
        </is>
      </c>
      <c r="E254" t="inlineStr">
        <is>
          <t>1851</t>
        </is>
      </c>
      <c r="F254" t="inlineStr">
        <is>
          <t>홍준표</t>
        </is>
      </c>
      <c r="G254" t="inlineStr">
        <is>
          <t>1994-11-14</t>
        </is>
      </c>
      <c r="H254" t="inlineStr">
        <is>
          <t>19941114</t>
        </is>
      </c>
      <c r="I254" t="inlineStr">
        <is>
          <t>2</t>
        </is>
      </c>
      <c r="J254" t="inlineStr">
        <is>
          <t>제2공장(금왕공장)</t>
        </is>
      </c>
      <c r="K254" t="inlineStr">
        <is>
          <t>043-534-1144</t>
        </is>
      </c>
      <c r="L254" t="inlineStr">
        <is>
          <t>충청북도 음성군 금왕읍 금왕테크노2길 42</t>
        </is>
      </c>
      <c r="M254" t="inlineStr"/>
      <c r="N254" t="inlineStr">
        <is>
          <t>충청북도 음성군 금왕읍 금왕테크노2길 42</t>
        </is>
      </c>
      <c r="O254" t="inlineStr">
        <is>
          <t>충청북도</t>
        </is>
      </c>
      <c r="P254" t="inlineStr">
        <is>
          <t>음성군</t>
        </is>
      </c>
      <c r="Q254" t="inlineStr">
        <is>
          <t>N</t>
        </is>
      </c>
      <c r="R254" t="n">
        <v>0</v>
      </c>
    </row>
    <row r="255">
      <c r="A255" t="n">
        <v>254</v>
      </c>
      <c r="B255" t="inlineStr">
        <is>
          <t>광동제약(주)</t>
        </is>
      </c>
      <c r="C255" t="inlineStr">
        <is>
          <t>광동제약</t>
        </is>
      </c>
      <c r="D255" t="inlineStr">
        <is>
          <t>의약품</t>
        </is>
      </c>
      <c r="E255" t="inlineStr">
        <is>
          <t>0150</t>
        </is>
      </c>
      <c r="F255" t="inlineStr">
        <is>
          <t>박상영</t>
        </is>
      </c>
      <c r="G255" t="inlineStr">
        <is>
          <t>1992-10-16</t>
        </is>
      </c>
      <c r="H255" t="inlineStr">
        <is>
          <t>19921016</t>
        </is>
      </c>
      <c r="I255" t="inlineStr">
        <is>
          <t>2</t>
        </is>
      </c>
      <c r="J255" t="inlineStr">
        <is>
          <t>보관소</t>
        </is>
      </c>
      <c r="K255" t="inlineStr"/>
      <c r="L255" t="inlineStr">
        <is>
          <t>경기도 평택시 경기대로 1081</t>
        </is>
      </c>
      <c r="M255" t="inlineStr">
        <is>
          <t>라동</t>
        </is>
      </c>
      <c r="N255" t="inlineStr">
        <is>
          <t>경기도 평택시 경기대로 1081 라동</t>
        </is>
      </c>
      <c r="O255" t="inlineStr">
        <is>
          <t>경기도</t>
        </is>
      </c>
      <c r="P255" t="inlineStr">
        <is>
          <t>평택시</t>
        </is>
      </c>
      <c r="Q255" t="inlineStr">
        <is>
          <t>Y</t>
        </is>
      </c>
      <c r="R255" t="n">
        <v>51</v>
      </c>
    </row>
    <row r="256">
      <c r="A256" t="n">
        <v>255</v>
      </c>
      <c r="B256" t="inlineStr">
        <is>
          <t>(주)셀트리온</t>
        </is>
      </c>
      <c r="C256" t="inlineStr">
        <is>
          <t>셀트리온</t>
        </is>
      </c>
      <c r="D256" t="inlineStr">
        <is>
          <t>의약품</t>
        </is>
      </c>
      <c r="E256" t="inlineStr">
        <is>
          <t>2569</t>
        </is>
      </c>
      <c r="F256" t="inlineStr">
        <is>
          <t>서진석</t>
        </is>
      </c>
      <c r="G256" t="inlineStr">
        <is>
          <t>2006-07-21</t>
        </is>
      </c>
      <c r="H256" t="inlineStr">
        <is>
          <t>20060721</t>
        </is>
      </c>
      <c r="I256" t="inlineStr">
        <is>
          <t>1</t>
        </is>
      </c>
      <c r="J256" t="inlineStr">
        <is>
          <t>제1공장</t>
        </is>
      </c>
      <c r="K256" t="inlineStr"/>
      <c r="L256" t="inlineStr">
        <is>
          <t>인천광역시 연수구 아카데미로 23</t>
        </is>
      </c>
      <c r="M256" t="inlineStr"/>
      <c r="N256" t="inlineStr">
        <is>
          <t>인천광역시 연수구 아카데미로 23</t>
        </is>
      </c>
      <c r="O256" t="inlineStr">
        <is>
          <t>인천광역시</t>
        </is>
      </c>
      <c r="P256" t="inlineStr">
        <is>
          <t>연수구</t>
        </is>
      </c>
      <c r="Q256" t="inlineStr">
        <is>
          <t>Y</t>
        </is>
      </c>
      <c r="R256" t="n">
        <v>52</v>
      </c>
    </row>
    <row r="257">
      <c r="A257" t="n">
        <v>256</v>
      </c>
      <c r="B257" t="inlineStr">
        <is>
          <t>대한적십자사대구경북혈액원</t>
        </is>
      </c>
      <c r="C257" t="inlineStr">
        <is>
          <t>대한적십자사대구경북혈액원</t>
        </is>
      </c>
      <c r="D257" t="inlineStr">
        <is>
          <t>의약품</t>
        </is>
      </c>
      <c r="E257" t="inlineStr">
        <is>
          <t>2537</t>
        </is>
      </c>
      <c r="F257" t="inlineStr">
        <is>
          <t>류경호</t>
        </is>
      </c>
      <c r="G257" t="inlineStr">
        <is>
          <t>2006-01-27</t>
        </is>
      </c>
      <c r="H257" t="inlineStr">
        <is>
          <t>20060127</t>
        </is>
      </c>
      <c r="I257" t="inlineStr">
        <is>
          <t>1</t>
        </is>
      </c>
      <c r="J257" t="inlineStr">
        <is>
          <t>대구</t>
        </is>
      </c>
      <c r="K257" t="inlineStr">
        <is>
          <t>053-605-5682</t>
        </is>
      </c>
      <c r="L257" t="inlineStr">
        <is>
          <t>대구광역시 중구 태평로 7</t>
        </is>
      </c>
      <c r="M257" t="inlineStr"/>
      <c r="N257" t="inlineStr">
        <is>
          <t>대구광역시 중구 태평로 7</t>
        </is>
      </c>
      <c r="O257" t="inlineStr">
        <is>
          <t>대구광역시</t>
        </is>
      </c>
      <c r="P257" t="inlineStr">
        <is>
          <t>중구</t>
        </is>
      </c>
      <c r="Q257" t="inlineStr">
        <is>
          <t>N</t>
        </is>
      </c>
      <c r="R257" t="n">
        <v>0</v>
      </c>
    </row>
    <row r="258">
      <c r="A258" t="n">
        <v>257</v>
      </c>
      <c r="B258" t="inlineStr">
        <is>
          <t>(주)이수앱지스</t>
        </is>
      </c>
      <c r="C258" t="inlineStr">
        <is>
          <t>이수앱지스</t>
        </is>
      </c>
      <c r="D258" t="inlineStr">
        <is>
          <t>의약품</t>
        </is>
      </c>
      <c r="E258" t="inlineStr">
        <is>
          <t>2456</t>
        </is>
      </c>
      <c r="F258" t="inlineStr">
        <is>
          <t>유준수</t>
        </is>
      </c>
      <c r="G258" t="inlineStr">
        <is>
          <t>2004-12-03</t>
        </is>
      </c>
      <c r="H258" t="inlineStr">
        <is>
          <t>20041203</t>
        </is>
      </c>
      <c r="I258" t="inlineStr">
        <is>
          <t>2</t>
        </is>
      </c>
      <c r="J258" t="inlineStr">
        <is>
          <t>연세의료원</t>
        </is>
      </c>
      <c r="K258" t="inlineStr">
        <is>
          <t>031-696-4761</t>
        </is>
      </c>
      <c r="L258" t="inlineStr">
        <is>
          <t>서울특별시 서대문구 연세로 50</t>
        </is>
      </c>
      <c r="M258" t="inlineStr">
        <is>
          <t>연세의료원 의과대학 신관6층 (신촌동)</t>
        </is>
      </c>
      <c r="N258" t="inlineStr">
        <is>
          <t>서울특별시 서대문구 연세로 50 연세의료원 의과대학 신관6층 (신촌동)</t>
        </is>
      </c>
      <c r="O258" t="inlineStr">
        <is>
          <t>서울특별시</t>
        </is>
      </c>
      <c r="P258" t="inlineStr">
        <is>
          <t>서대문구</t>
        </is>
      </c>
      <c r="Q258" t="inlineStr">
        <is>
          <t>N</t>
        </is>
      </c>
      <c r="R258" t="n">
        <v>0</v>
      </c>
    </row>
    <row r="259">
      <c r="A259" t="n">
        <v>258</v>
      </c>
      <c r="B259" t="inlineStr">
        <is>
          <t>(주)엔바이로코리아</t>
        </is>
      </c>
      <c r="C259" t="inlineStr">
        <is>
          <t>엔바이로코리아</t>
        </is>
      </c>
      <c r="D259" t="inlineStr">
        <is>
          <t>의약품</t>
        </is>
      </c>
      <c r="E259" t="inlineStr">
        <is>
          <t>2620</t>
        </is>
      </c>
      <c r="F259" t="inlineStr">
        <is>
          <t>서재원</t>
        </is>
      </c>
      <c r="G259" t="inlineStr">
        <is>
          <t>2014-02-25</t>
        </is>
      </c>
      <c r="H259" t="inlineStr">
        <is>
          <t>20140225</t>
        </is>
      </c>
      <c r="I259" t="inlineStr">
        <is>
          <t>1</t>
        </is>
      </c>
      <c r="J259" t="inlineStr">
        <is>
          <t>제1공장</t>
        </is>
      </c>
      <c r="K259" t="inlineStr">
        <is>
          <t>(042)864-2341</t>
        </is>
      </c>
      <c r="L259" t="inlineStr">
        <is>
          <t>대전광역시 유성구 테크노2로 167-10</t>
        </is>
      </c>
      <c r="M259" t="inlineStr">
        <is>
          <t>(용산동 528)</t>
        </is>
      </c>
      <c r="N259" t="inlineStr">
        <is>
          <t>대전광역시 유성구 테크노2로 167-10 (용산동 528)</t>
        </is>
      </c>
      <c r="O259" t="inlineStr">
        <is>
          <t>대전광역시</t>
        </is>
      </c>
      <c r="P259" t="inlineStr">
        <is>
          <t>유성구</t>
        </is>
      </c>
      <c r="Q259" t="inlineStr">
        <is>
          <t>Y</t>
        </is>
      </c>
      <c r="R259" t="n">
        <v>53</v>
      </c>
    </row>
    <row r="260">
      <c r="A260" t="n">
        <v>259</v>
      </c>
      <c r="B260" t="inlineStr">
        <is>
          <t>대한적십자사서울중앙혈액원</t>
        </is>
      </c>
      <c r="C260" t="inlineStr">
        <is>
          <t>대한적십자사서울중앙혈액원</t>
        </is>
      </c>
      <c r="D260" t="inlineStr">
        <is>
          <t>의약품</t>
        </is>
      </c>
      <c r="E260" t="inlineStr">
        <is>
          <t>2529</t>
        </is>
      </c>
      <c r="F260" t="inlineStr">
        <is>
          <t>이재용</t>
        </is>
      </c>
      <c r="G260" t="inlineStr">
        <is>
          <t>2006-01-27</t>
        </is>
      </c>
      <c r="H260" t="inlineStr">
        <is>
          <t>20060127</t>
        </is>
      </c>
      <c r="I260" t="inlineStr">
        <is>
          <t>1</t>
        </is>
      </c>
      <c r="J260" t="inlineStr">
        <is>
          <t>대한적십자사중앙혈액원</t>
        </is>
      </c>
      <c r="K260" t="inlineStr">
        <is>
          <t>6711-0114</t>
        </is>
      </c>
      <c r="L260" t="inlineStr">
        <is>
          <t>서울특별시 강서구 공항대로 591</t>
        </is>
      </c>
      <c r="M260" t="inlineStr"/>
      <c r="N260" t="inlineStr">
        <is>
          <t>서울특별시 강서구 공항대로 591</t>
        </is>
      </c>
      <c r="O260" t="inlineStr">
        <is>
          <t>서울특별시</t>
        </is>
      </c>
      <c r="P260" t="inlineStr">
        <is>
          <t>강서구</t>
        </is>
      </c>
      <c r="Q260" t="inlineStr">
        <is>
          <t>N</t>
        </is>
      </c>
      <c r="R260" t="n">
        <v>0</v>
      </c>
    </row>
    <row r="261">
      <c r="A261" t="n">
        <v>260</v>
      </c>
      <c r="B261" t="inlineStr">
        <is>
          <t>(주)메디톡스</t>
        </is>
      </c>
      <c r="C261" t="inlineStr">
        <is>
          <t>메디톡스</t>
        </is>
      </c>
      <c r="D261" t="inlineStr">
        <is>
          <t>의약품</t>
        </is>
      </c>
      <c r="E261" t="inlineStr">
        <is>
          <t>2454</t>
        </is>
      </c>
      <c r="F261" t="inlineStr">
        <is>
          <t>정현호</t>
        </is>
      </c>
      <c r="G261" t="inlineStr">
        <is>
          <t>2004-11-19</t>
        </is>
      </c>
      <c r="H261" t="inlineStr">
        <is>
          <t>20041119</t>
        </is>
      </c>
      <c r="I261" t="inlineStr">
        <is>
          <t>4</t>
        </is>
      </c>
      <c r="J261" t="inlineStr">
        <is>
          <t>완제품보관소</t>
        </is>
      </c>
      <c r="K261" t="inlineStr"/>
      <c r="L261" t="inlineStr">
        <is>
          <t>경기도 김포시 고촌읍 아라육로57번길 46</t>
        </is>
      </c>
      <c r="M261" t="inlineStr">
        <is>
          <t>B동 1층 112-1호</t>
        </is>
      </c>
      <c r="N261" t="inlineStr">
        <is>
          <t>경기도 김포시 고촌읍 아라육로57번길 46 B동 1층 112-1호</t>
        </is>
      </c>
      <c r="O261" t="inlineStr">
        <is>
          <t>경기도</t>
        </is>
      </c>
      <c r="P261" t="inlineStr">
        <is>
          <t>김포시</t>
        </is>
      </c>
      <c r="Q261" t="inlineStr">
        <is>
          <t>N</t>
        </is>
      </c>
      <c r="R261" t="n">
        <v>0</v>
      </c>
    </row>
    <row r="262">
      <c r="A262" t="n">
        <v>261</v>
      </c>
      <c r="B262" t="inlineStr">
        <is>
          <t>(주)파마리서치</t>
        </is>
      </c>
      <c r="C262" t="inlineStr">
        <is>
          <t>파마리서치</t>
        </is>
      </c>
      <c r="D262" t="inlineStr">
        <is>
          <t>의약품</t>
        </is>
      </c>
      <c r="E262" t="inlineStr">
        <is>
          <t>335</t>
        </is>
      </c>
      <c r="F262" t="inlineStr">
        <is>
          <t>손지훈</t>
        </is>
      </c>
      <c r="G262" t="inlineStr">
        <is>
          <t>2013-07-19</t>
        </is>
      </c>
      <c r="H262" t="inlineStr">
        <is>
          <t>20130719</t>
        </is>
      </c>
      <c r="I262" t="inlineStr">
        <is>
          <t>3</t>
        </is>
      </c>
      <c r="J262" t="inlineStr">
        <is>
          <t>(보관소2)</t>
        </is>
      </c>
      <c r="K262" t="inlineStr"/>
      <c r="L262" t="inlineStr">
        <is>
          <t>강원특별자치도 강릉시 과학단지로 77-22</t>
        </is>
      </c>
      <c r="M262" t="inlineStr">
        <is>
          <t>(대전동), 1층 일부(보관소)</t>
        </is>
      </c>
      <c r="N262" t="inlineStr">
        <is>
          <t>강원특별자치도 강릉시 과학단지로 77-22 (대전동), 1층 일부(보관소)</t>
        </is>
      </c>
      <c r="O262" t="inlineStr">
        <is>
          <t>강원특별자치도</t>
        </is>
      </c>
      <c r="P262" t="inlineStr">
        <is>
          <t>강릉시</t>
        </is>
      </c>
      <c r="Q262" t="inlineStr">
        <is>
          <t>N</t>
        </is>
      </c>
      <c r="R262" t="n">
        <v>0</v>
      </c>
    </row>
    <row r="263">
      <c r="A263" t="n">
        <v>262</v>
      </c>
      <c r="B263" t="inlineStr">
        <is>
          <t>(주)휴비스트제약</t>
        </is>
      </c>
      <c r="C263" t="inlineStr">
        <is>
          <t>휴비스트제약</t>
        </is>
      </c>
      <c r="D263" t="inlineStr">
        <is>
          <t>의약품</t>
        </is>
      </c>
      <c r="E263" t="inlineStr">
        <is>
          <t>2503</t>
        </is>
      </c>
      <c r="F263" t="inlineStr">
        <is>
          <t>박광남</t>
        </is>
      </c>
      <c r="G263" t="inlineStr">
        <is>
          <t>2005-09-13</t>
        </is>
      </c>
      <c r="H263" t="inlineStr">
        <is>
          <t>20050913</t>
        </is>
      </c>
      <c r="I263" t="inlineStr">
        <is>
          <t>1</t>
        </is>
      </c>
      <c r="J263" t="inlineStr">
        <is>
          <t>대덕</t>
        </is>
      </c>
      <c r="K263" t="inlineStr">
        <is>
          <t>042-933-7901</t>
        </is>
      </c>
      <c r="L263" t="inlineStr">
        <is>
          <t>대전광역시 대덕구 신일서로104번길 46</t>
        </is>
      </c>
      <c r="M263" t="inlineStr"/>
      <c r="N263" t="inlineStr">
        <is>
          <t>대전광역시 대덕구 신일서로104번길 46</t>
        </is>
      </c>
      <c r="O263" t="inlineStr">
        <is>
          <t>대전광역시</t>
        </is>
      </c>
      <c r="P263" t="inlineStr">
        <is>
          <t>대덕구</t>
        </is>
      </c>
      <c r="Q263" t="inlineStr">
        <is>
          <t>N</t>
        </is>
      </c>
      <c r="R263" t="n">
        <v>0</v>
      </c>
    </row>
    <row r="264">
      <c r="A264" t="n">
        <v>263</v>
      </c>
      <c r="B264" t="inlineStr">
        <is>
          <t>성이바이오제약주식회사</t>
        </is>
      </c>
      <c r="C264" t="inlineStr">
        <is>
          <t>성이바이오제약</t>
        </is>
      </c>
      <c r="D264" t="inlineStr">
        <is>
          <t>의약품</t>
        </is>
      </c>
      <c r="E264" t="inlineStr">
        <is>
          <t>383</t>
        </is>
      </c>
      <c r="F264" t="inlineStr">
        <is>
          <t>전통규</t>
        </is>
      </c>
      <c r="G264" t="inlineStr">
        <is>
          <t>2019-12-16</t>
        </is>
      </c>
      <c r="H264" t="inlineStr">
        <is>
          <t>20191216</t>
        </is>
      </c>
      <c r="I264" t="inlineStr">
        <is>
          <t>1</t>
        </is>
      </c>
      <c r="J264" t="inlineStr">
        <is>
          <t>성이바이오제약주식회사</t>
        </is>
      </c>
      <c r="K264" t="inlineStr">
        <is>
          <t>033-734-3360</t>
        </is>
      </c>
      <c r="L264" t="inlineStr">
        <is>
          <t>강원특별자치도 원주시 지정면 지래울로 184</t>
        </is>
      </c>
      <c r="M264" t="inlineStr">
        <is>
          <t>1층 일부, 3층</t>
        </is>
      </c>
      <c r="N264" t="inlineStr">
        <is>
          <t>강원특별자치도 원주시 지정면 지래울로 184 1층 일부, 3층</t>
        </is>
      </c>
      <c r="O264" t="inlineStr">
        <is>
          <t>강원특별자치도</t>
        </is>
      </c>
      <c r="P264" t="inlineStr">
        <is>
          <t>원주시</t>
        </is>
      </c>
      <c r="Q264" t="inlineStr">
        <is>
          <t>N</t>
        </is>
      </c>
      <c r="R264" t="n">
        <v>0</v>
      </c>
    </row>
    <row r="265">
      <c r="A265" t="n">
        <v>264</v>
      </c>
      <c r="B265" t="inlineStr">
        <is>
          <t>(주)듀켐바이오</t>
        </is>
      </c>
      <c r="C265" t="inlineStr">
        <is>
          <t>듀켐바이오</t>
        </is>
      </c>
      <c r="D265" t="inlineStr">
        <is>
          <t>의약품</t>
        </is>
      </c>
      <c r="E265" t="inlineStr">
        <is>
          <t>2437</t>
        </is>
      </c>
      <c r="F265" t="inlineStr">
        <is>
          <t>김상우</t>
        </is>
      </c>
      <c r="G265" t="inlineStr">
        <is>
          <t>2004-07-22</t>
        </is>
      </c>
      <c r="H265" t="inlineStr">
        <is>
          <t>20040722</t>
        </is>
      </c>
      <c r="I265" t="inlineStr">
        <is>
          <t>5</t>
        </is>
      </c>
      <c r="J265" t="inlineStr">
        <is>
          <t>5공장(대구)</t>
        </is>
      </c>
      <c r="K265" t="inlineStr">
        <is>
          <t>053-200-2591</t>
        </is>
      </c>
      <c r="L265" t="inlineStr">
        <is>
          <t>대구광역시 북구 호국로 807</t>
        </is>
      </c>
      <c r="M265" t="inlineStr"/>
      <c r="N265" t="inlineStr">
        <is>
          <t>대구광역시 북구 호국로 807</t>
        </is>
      </c>
      <c r="O265" t="inlineStr">
        <is>
          <t>대구광역시</t>
        </is>
      </c>
      <c r="P265" t="inlineStr">
        <is>
          <t>북구</t>
        </is>
      </c>
      <c r="Q265" t="inlineStr">
        <is>
          <t>N</t>
        </is>
      </c>
      <c r="R265" t="n">
        <v>0</v>
      </c>
    </row>
    <row r="266">
      <c r="A266" t="n">
        <v>265</v>
      </c>
      <c r="B266" t="inlineStr">
        <is>
          <t>에이치케이이노엔(주)</t>
        </is>
      </c>
      <c r="C266" t="inlineStr">
        <is>
          <t>에이치케이이노엔</t>
        </is>
      </c>
      <c r="D266" t="inlineStr">
        <is>
          <t>의약품</t>
        </is>
      </c>
      <c r="E266" t="inlineStr">
        <is>
          <t>1452</t>
        </is>
      </c>
      <c r="F266" t="inlineStr">
        <is>
          <t>곽달원</t>
        </is>
      </c>
      <c r="G266" t="inlineStr">
        <is>
          <t>1964-12-07</t>
        </is>
      </c>
      <c r="H266" t="inlineStr">
        <is>
          <t>19641207</t>
        </is>
      </c>
      <c r="I266" t="inlineStr">
        <is>
          <t>4</t>
        </is>
      </c>
      <c r="J266" t="inlineStr">
        <is>
          <t>화성</t>
        </is>
      </c>
      <c r="K266" t="inlineStr"/>
      <c r="L266" t="inlineStr"/>
      <c r="M266" t="inlineStr">
        <is>
          <t>경기도 화성시 봉담읍 와우로34번길 2</t>
        </is>
      </c>
      <c r="N266" t="inlineStr">
        <is>
          <t>경기도 화성시 봉담읍 와우로34번길 2</t>
        </is>
      </c>
      <c r="O266" t="inlineStr">
        <is>
          <t>경기도</t>
        </is>
      </c>
      <c r="P266" t="inlineStr">
        <is>
          <t>화성시</t>
        </is>
      </c>
      <c r="Q266" t="inlineStr">
        <is>
          <t>N</t>
        </is>
      </c>
      <c r="R266" t="n">
        <v>0</v>
      </c>
    </row>
    <row r="267">
      <c r="A267" t="n">
        <v>266</v>
      </c>
      <c r="B267" t="inlineStr">
        <is>
          <t>엔케이메디컬</t>
        </is>
      </c>
      <c r="C267" t="inlineStr">
        <is>
          <t>엔케이메디컬</t>
        </is>
      </c>
      <c r="D267" t="inlineStr">
        <is>
          <t>의약품</t>
        </is>
      </c>
      <c r="E267" t="inlineStr">
        <is>
          <t>345</t>
        </is>
      </c>
      <c r="F267" t="inlineStr">
        <is>
          <t>유능경</t>
        </is>
      </c>
      <c r="G267" t="inlineStr">
        <is>
          <t>2013-01-03</t>
        </is>
      </c>
      <c r="H267" t="inlineStr">
        <is>
          <t>20130103</t>
        </is>
      </c>
      <c r="I267" t="inlineStr">
        <is>
          <t>1</t>
        </is>
      </c>
      <c r="J267" t="inlineStr">
        <is>
          <t>엔케이메디컬</t>
        </is>
      </c>
      <c r="K267" t="inlineStr"/>
      <c r="L267" t="inlineStr">
        <is>
          <t>경기도 이천시 백사면 청백리로 64</t>
        </is>
      </c>
      <c r="M267" t="inlineStr">
        <is>
          <t>2동(도로기준, 본 건물에서 가장 좌측에 붙어 있는 부속건물)</t>
        </is>
      </c>
      <c r="N267" t="inlineStr">
        <is>
          <t>경기도 이천시 백사면 청백리로 64 2동(도로기준, 본 건물에서 가장 좌측에 붙어 있는 부속건물)</t>
        </is>
      </c>
      <c r="O267" t="inlineStr">
        <is>
          <t>경기도</t>
        </is>
      </c>
      <c r="P267" t="inlineStr">
        <is>
          <t>이천시</t>
        </is>
      </c>
      <c r="Q267" t="inlineStr">
        <is>
          <t>N</t>
        </is>
      </c>
      <c r="R267" t="n">
        <v>0</v>
      </c>
    </row>
    <row r="268">
      <c r="A268" t="n">
        <v>267</v>
      </c>
      <c r="B268" t="inlineStr">
        <is>
          <t>주식회사케이에스제약</t>
        </is>
      </c>
      <c r="C268" t="inlineStr">
        <is>
          <t>케이에스제약</t>
        </is>
      </c>
      <c r="D268" t="inlineStr">
        <is>
          <t>의약품</t>
        </is>
      </c>
      <c r="E268" t="inlineStr">
        <is>
          <t>382</t>
        </is>
      </c>
      <c r="F268" t="inlineStr">
        <is>
          <t>박기송</t>
        </is>
      </c>
      <c r="G268" t="inlineStr">
        <is>
          <t>2019-05-10</t>
        </is>
      </c>
      <c r="H268" t="inlineStr">
        <is>
          <t>20190510</t>
        </is>
      </c>
      <c r="I268" t="inlineStr">
        <is>
          <t>1</t>
        </is>
      </c>
      <c r="J268" t="inlineStr">
        <is>
          <t>주식회사케이에스제약</t>
        </is>
      </c>
      <c r="K268" t="inlineStr"/>
      <c r="L268" t="inlineStr">
        <is>
          <t>전라남도 화순군 화순읍 산단길 126</t>
        </is>
      </c>
      <c r="M268" t="inlineStr"/>
      <c r="N268" t="inlineStr">
        <is>
          <t>전라남도 화순군 화순읍 산단길 126</t>
        </is>
      </c>
      <c r="O268" t="inlineStr">
        <is>
          <t>전라남도</t>
        </is>
      </c>
      <c r="P268" t="inlineStr">
        <is>
          <t>화순군</t>
        </is>
      </c>
      <c r="Q268" t="inlineStr">
        <is>
          <t>N</t>
        </is>
      </c>
      <c r="R268" t="n">
        <v>0</v>
      </c>
    </row>
    <row r="269">
      <c r="A269" t="n">
        <v>268</v>
      </c>
      <c r="B269" t="inlineStr">
        <is>
          <t>다원제약(주)</t>
        </is>
      </c>
      <c r="C269" t="inlineStr">
        <is>
          <t>다원제약</t>
        </is>
      </c>
      <c r="D269" t="inlineStr">
        <is>
          <t>의약품</t>
        </is>
      </c>
      <c r="E269" t="inlineStr">
        <is>
          <t>2396</t>
        </is>
      </c>
      <c r="F269" t="inlineStr">
        <is>
          <t>김정한</t>
        </is>
      </c>
      <c r="G269" t="inlineStr">
        <is>
          <t>2003-10-29</t>
        </is>
      </c>
      <c r="H269" t="inlineStr">
        <is>
          <t>20031029</t>
        </is>
      </c>
      <c r="I269" t="inlineStr">
        <is>
          <t>1</t>
        </is>
      </c>
      <c r="J269" t="inlineStr">
        <is>
          <t>.</t>
        </is>
      </c>
      <c r="K269" t="inlineStr">
        <is>
          <t>053-852-2271</t>
        </is>
      </c>
      <c r="L269" t="inlineStr">
        <is>
          <t>경상북도 경산시 와촌면 계전길13길 116(계전리)</t>
        </is>
      </c>
      <c r="M269" t="inlineStr"/>
      <c r="N269" t="inlineStr">
        <is>
          <t>경상북도 경산시 와촌면 계전길13길 116(계전리)</t>
        </is>
      </c>
      <c r="O269" t="inlineStr">
        <is>
          <t>경상북도</t>
        </is>
      </c>
      <c r="P269" t="inlineStr">
        <is>
          <t>경산시</t>
        </is>
      </c>
      <c r="Q269" t="inlineStr">
        <is>
          <t>N</t>
        </is>
      </c>
      <c r="R269" t="n">
        <v>0</v>
      </c>
    </row>
    <row r="270">
      <c r="A270" t="n">
        <v>269</v>
      </c>
      <c r="B270" t="inlineStr">
        <is>
          <t>알리코제약(주)</t>
        </is>
      </c>
      <c r="C270" t="inlineStr">
        <is>
          <t>알리코제약</t>
        </is>
      </c>
      <c r="D270" t="inlineStr">
        <is>
          <t>의약품</t>
        </is>
      </c>
      <c r="E270" t="inlineStr">
        <is>
          <t>1420</t>
        </is>
      </c>
      <c r="F270" t="inlineStr">
        <is>
          <t>이항구</t>
        </is>
      </c>
      <c r="G270" t="inlineStr">
        <is>
          <t>1962-10-15</t>
        </is>
      </c>
      <c r="H270" t="inlineStr">
        <is>
          <t>19621015</t>
        </is>
      </c>
      <c r="I270" t="inlineStr">
        <is>
          <t>2</t>
        </is>
      </c>
      <c r="J270" t="inlineStr">
        <is>
          <t>보관소</t>
        </is>
      </c>
      <c r="K270" t="inlineStr"/>
      <c r="L270" t="inlineStr">
        <is>
          <t>충청북도 진천군 광혜원면 금천길 35-2</t>
        </is>
      </c>
      <c r="M270" t="inlineStr">
        <is>
          <t>일부</t>
        </is>
      </c>
      <c r="N270" t="inlineStr">
        <is>
          <t>충청북도 진천군 광혜원면 금천길 35-2 일부</t>
        </is>
      </c>
      <c r="O270" t="inlineStr">
        <is>
          <t>충청북도</t>
        </is>
      </c>
      <c r="P270" t="inlineStr">
        <is>
          <t>진천군</t>
        </is>
      </c>
      <c r="Q270" t="inlineStr">
        <is>
          <t>N</t>
        </is>
      </c>
      <c r="R270" t="n">
        <v>0</v>
      </c>
    </row>
    <row r="271">
      <c r="A271" t="n">
        <v>270</v>
      </c>
      <c r="B271" t="inlineStr">
        <is>
          <t>한성신약주식회사</t>
        </is>
      </c>
      <c r="C271" t="inlineStr">
        <is>
          <t>한성신약</t>
        </is>
      </c>
      <c r="D271" t="inlineStr">
        <is>
          <t>의약품</t>
        </is>
      </c>
      <c r="E271" t="inlineStr">
        <is>
          <t>342</t>
        </is>
      </c>
      <c r="F271" t="inlineStr">
        <is>
          <t>장세화</t>
        </is>
      </c>
      <c r="G271" t="inlineStr">
        <is>
          <t>2012-01-19</t>
        </is>
      </c>
      <c r="H271" t="inlineStr">
        <is>
          <t>20120119</t>
        </is>
      </c>
      <c r="I271" t="inlineStr">
        <is>
          <t>1</t>
        </is>
      </c>
      <c r="J271" t="inlineStr">
        <is>
          <t>제1공장 한성신약(주) 김포공장</t>
        </is>
      </c>
      <c r="K271" t="inlineStr">
        <is>
          <t>(031)988-9200</t>
        </is>
      </c>
      <c r="L271" t="inlineStr">
        <is>
          <t>경기도 김포시 통진읍 절골로 119</t>
        </is>
      </c>
      <c r="M271" t="inlineStr"/>
      <c r="N271" t="inlineStr">
        <is>
          <t>경기도 김포시 통진읍 절골로 119</t>
        </is>
      </c>
      <c r="O271" t="inlineStr">
        <is>
          <t>경기도</t>
        </is>
      </c>
      <c r="P271" t="inlineStr">
        <is>
          <t>김포시</t>
        </is>
      </c>
      <c r="Q271" t="inlineStr">
        <is>
          <t>N</t>
        </is>
      </c>
      <c r="R271" t="n">
        <v>0</v>
      </c>
    </row>
    <row r="272">
      <c r="A272" t="n">
        <v>271</v>
      </c>
      <c r="B272" t="inlineStr">
        <is>
          <t>주식회사삼인제약</t>
        </is>
      </c>
      <c r="C272" t="inlineStr">
        <is>
          <t>삼인제약</t>
        </is>
      </c>
      <c r="D272" t="inlineStr">
        <is>
          <t>의약품</t>
        </is>
      </c>
      <c r="E272" t="inlineStr">
        <is>
          <t>2650</t>
        </is>
      </c>
      <c r="F272" t="inlineStr">
        <is>
          <t>하재희</t>
        </is>
      </c>
      <c r="G272" t="inlineStr">
        <is>
          <t>2019-01-30</t>
        </is>
      </c>
      <c r="H272" t="inlineStr">
        <is>
          <t>20190130</t>
        </is>
      </c>
      <c r="I272" t="inlineStr">
        <is>
          <t>1</t>
        </is>
      </c>
      <c r="J272" t="inlineStr">
        <is>
          <t>삼인제약 증평공장</t>
        </is>
      </c>
      <c r="K272" t="inlineStr">
        <is>
          <t>043-838-3191</t>
        </is>
      </c>
      <c r="L272" t="inlineStr">
        <is>
          <t>충청북도 증평군 증평읍 덕상로 96</t>
        </is>
      </c>
      <c r="M272" t="inlineStr"/>
      <c r="N272" t="inlineStr">
        <is>
          <t>충청북도 증평군 증평읍 덕상로 96</t>
        </is>
      </c>
      <c r="O272" t="inlineStr">
        <is>
          <t>충청북도</t>
        </is>
      </c>
      <c r="P272" t="inlineStr">
        <is>
          <t>증평군</t>
        </is>
      </c>
      <c r="Q272" t="inlineStr">
        <is>
          <t>Y</t>
        </is>
      </c>
      <c r="R272" t="n">
        <v>54</v>
      </c>
    </row>
    <row r="273">
      <c r="A273" t="n">
        <v>272</v>
      </c>
      <c r="B273" t="inlineStr">
        <is>
          <t>대화제약(주)</t>
        </is>
      </c>
      <c r="C273" t="inlineStr">
        <is>
          <t>대화제약</t>
        </is>
      </c>
      <c r="D273" t="inlineStr">
        <is>
          <t>의약품</t>
        </is>
      </c>
      <c r="E273" t="inlineStr">
        <is>
          <t>1410</t>
        </is>
      </c>
      <c r="F273" t="inlineStr">
        <is>
          <t>김은석</t>
        </is>
      </c>
      <c r="G273" t="inlineStr">
        <is>
          <t>2001-01-06</t>
        </is>
      </c>
      <c r="H273" t="inlineStr">
        <is>
          <t>20010106</t>
        </is>
      </c>
      <c r="I273" t="inlineStr">
        <is>
          <t>3</t>
        </is>
      </c>
      <c r="J273" t="inlineStr">
        <is>
          <t>향남공장</t>
        </is>
      </c>
      <c r="K273" t="inlineStr"/>
      <c r="L273" t="inlineStr">
        <is>
          <t>경기도 화성시 향남읍 제약공단3길 83</t>
        </is>
      </c>
      <c r="M273" t="inlineStr"/>
      <c r="N273" t="inlineStr">
        <is>
          <t>경기도 화성시 향남읍 제약공단3길 83</t>
        </is>
      </c>
      <c r="O273" t="inlineStr">
        <is>
          <t>경기도</t>
        </is>
      </c>
      <c r="P273" t="inlineStr">
        <is>
          <t>화성시</t>
        </is>
      </c>
      <c r="Q273" t="inlineStr">
        <is>
          <t>N</t>
        </is>
      </c>
      <c r="R273" t="n">
        <v>0</v>
      </c>
    </row>
    <row r="274">
      <c r="A274" t="n">
        <v>273</v>
      </c>
      <c r="B274" t="inlineStr">
        <is>
          <t>(주)엔탭허브</t>
        </is>
      </c>
      <c r="C274" t="inlineStr">
        <is>
          <t>엔탭허브</t>
        </is>
      </c>
      <c r="D274" t="inlineStr">
        <is>
          <t>의약품</t>
        </is>
      </c>
      <c r="E274" t="inlineStr">
        <is>
          <t>376</t>
        </is>
      </c>
      <c r="F274" t="inlineStr">
        <is>
          <t>김은영</t>
        </is>
      </c>
      <c r="G274" t="inlineStr">
        <is>
          <t>2018-10-12</t>
        </is>
      </c>
      <c r="H274" t="inlineStr">
        <is>
          <t>20181012</t>
        </is>
      </c>
      <c r="I274" t="inlineStr">
        <is>
          <t>1</t>
        </is>
      </c>
      <c r="J274" t="inlineStr">
        <is>
          <t>(주)엔탭허브</t>
        </is>
      </c>
      <c r="K274" t="inlineStr">
        <is>
          <t>031-861-8295</t>
        </is>
      </c>
      <c r="L274" t="inlineStr">
        <is>
          <t>경기도 양주시 천보산로100번길 56</t>
        </is>
      </c>
      <c r="M274" t="inlineStr">
        <is>
          <t>가동, 라동(회암동)</t>
        </is>
      </c>
      <c r="N274" t="inlineStr">
        <is>
          <t>경기도 양주시 천보산로100번길 56 가동, 라동(회암동)</t>
        </is>
      </c>
      <c r="O274" t="inlineStr">
        <is>
          <t>경기도</t>
        </is>
      </c>
      <c r="P274" t="inlineStr">
        <is>
          <t>양주시</t>
        </is>
      </c>
      <c r="Q274" t="inlineStr">
        <is>
          <t>N</t>
        </is>
      </c>
      <c r="R274" t="n">
        <v>0</v>
      </c>
    </row>
    <row r="275">
      <c r="A275" t="n">
        <v>274</v>
      </c>
      <c r="B275" t="inlineStr">
        <is>
          <t>(주)한국파마</t>
        </is>
      </c>
      <c r="C275" t="inlineStr">
        <is>
          <t>한국파마</t>
        </is>
      </c>
      <c r="D275" t="inlineStr">
        <is>
          <t>의약품</t>
        </is>
      </c>
      <c r="E275" t="inlineStr">
        <is>
          <t>1401</t>
        </is>
      </c>
      <c r="F275" t="inlineStr">
        <is>
          <t>박은희</t>
        </is>
      </c>
      <c r="G275" t="inlineStr">
        <is>
          <t>1960-12-16</t>
        </is>
      </c>
      <c r="H275" t="inlineStr">
        <is>
          <t>19601216</t>
        </is>
      </c>
      <c r="I275" t="inlineStr">
        <is>
          <t>2</t>
        </is>
      </c>
      <c r="J275" t="inlineStr">
        <is>
          <t>화성-제2공장(보관소)</t>
        </is>
      </c>
      <c r="K275" t="inlineStr">
        <is>
          <t>031-353-7291</t>
        </is>
      </c>
      <c r="L275" t="inlineStr">
        <is>
          <t>경기도 화성시 향남읍 제약공단2길 34-26</t>
        </is>
      </c>
      <c r="M275" t="inlineStr">
        <is>
          <t>B동 지하1층(보관소)</t>
        </is>
      </c>
      <c r="N275" t="inlineStr">
        <is>
          <t>경기도 화성시 향남읍 제약공단2길 34-26 B동 지하1층(보관소)</t>
        </is>
      </c>
      <c r="O275" t="inlineStr">
        <is>
          <t>경기도</t>
        </is>
      </c>
      <c r="P275" t="inlineStr">
        <is>
          <t>화성시</t>
        </is>
      </c>
      <c r="Q275" t="inlineStr">
        <is>
          <t>N</t>
        </is>
      </c>
      <c r="R275" t="n">
        <v>0</v>
      </c>
    </row>
    <row r="276">
      <c r="A276" t="n">
        <v>275</v>
      </c>
      <c r="B276" t="inlineStr">
        <is>
          <t>(주)녹십자</t>
        </is>
      </c>
      <c r="C276" t="inlineStr">
        <is>
          <t>녹십자</t>
        </is>
      </c>
      <c r="D276" t="inlineStr">
        <is>
          <t>의약품</t>
        </is>
      </c>
      <c r="E276" t="inlineStr">
        <is>
          <t>1735</t>
        </is>
      </c>
      <c r="F276" t="inlineStr">
        <is>
          <t>허은철</t>
        </is>
      </c>
      <c r="G276" t="inlineStr">
        <is>
          <t>1991-01-18</t>
        </is>
      </c>
      <c r="H276" t="inlineStr">
        <is>
          <t>19910118</t>
        </is>
      </c>
      <c r="I276" t="inlineStr">
        <is>
          <t>5</t>
        </is>
      </c>
      <c r="J276" t="inlineStr">
        <is>
          <t>청원(동물실험실)</t>
        </is>
      </c>
      <c r="K276" t="inlineStr"/>
      <c r="L276" t="inlineStr">
        <is>
          <t>충청북도 청주시 청원구 오창읍 과학산업2로 586</t>
        </is>
      </c>
      <c r="M276" t="inlineStr">
        <is>
          <t>(동물실험실)</t>
        </is>
      </c>
      <c r="N276" t="inlineStr">
        <is>
          <t>충청북도 청주시 청원구 오창읍 과학산업2로 586 (동물실험실)</t>
        </is>
      </c>
      <c r="O276" t="inlineStr">
        <is>
          <t>충청북도</t>
        </is>
      </c>
      <c r="P276" t="inlineStr">
        <is>
          <t>청주시</t>
        </is>
      </c>
      <c r="Q276" t="inlineStr">
        <is>
          <t>N</t>
        </is>
      </c>
      <c r="R276" t="n">
        <v>0</v>
      </c>
    </row>
    <row r="277">
      <c r="A277" t="n">
        <v>276</v>
      </c>
      <c r="B277" t="inlineStr">
        <is>
          <t>일성아이에스(주)</t>
        </is>
      </c>
      <c r="C277" t="inlineStr">
        <is>
          <t>일성아이에스</t>
        </is>
      </c>
      <c r="D277" t="inlineStr">
        <is>
          <t>의약품</t>
        </is>
      </c>
      <c r="E277" t="inlineStr">
        <is>
          <t>1508</t>
        </is>
      </c>
      <c r="F277" t="inlineStr">
        <is>
          <t>엄대식</t>
        </is>
      </c>
      <c r="G277" t="inlineStr">
        <is>
          <t>1970-09-16</t>
        </is>
      </c>
      <c r="H277" t="inlineStr">
        <is>
          <t>19700916</t>
        </is>
      </c>
      <c r="I277" t="inlineStr">
        <is>
          <t>1</t>
        </is>
      </c>
      <c r="J277" t="inlineStr">
        <is>
          <t>안산</t>
        </is>
      </c>
      <c r="K277" t="inlineStr">
        <is>
          <t>031-490-3400</t>
        </is>
      </c>
      <c r="L277" t="inlineStr">
        <is>
          <t>경기도 안산시 단원구 산단로 349</t>
        </is>
      </c>
      <c r="M277" t="inlineStr">
        <is>
          <t>(B동제외,D동일부제외)</t>
        </is>
      </c>
      <c r="N277" t="inlineStr">
        <is>
          <t>경기도 안산시 단원구 산단로 349 (B동제외,D동일부제외)</t>
        </is>
      </c>
      <c r="O277" t="inlineStr">
        <is>
          <t>경기도</t>
        </is>
      </c>
      <c r="P277" t="inlineStr">
        <is>
          <t>안산시</t>
        </is>
      </c>
      <c r="Q277" t="inlineStr">
        <is>
          <t>N</t>
        </is>
      </c>
      <c r="R277" t="n">
        <v>0</v>
      </c>
    </row>
    <row r="278">
      <c r="A278" t="n">
        <v>277</v>
      </c>
      <c r="B278" t="inlineStr">
        <is>
          <t>동방에프티엘(주)</t>
        </is>
      </c>
      <c r="C278" t="inlineStr">
        <is>
          <t>동방에프티엘</t>
        </is>
      </c>
      <c r="D278" t="inlineStr">
        <is>
          <t>의약품</t>
        </is>
      </c>
      <c r="E278" t="inlineStr">
        <is>
          <t>1731</t>
        </is>
      </c>
      <c r="F278" t="inlineStr">
        <is>
          <t>김남기</t>
        </is>
      </c>
      <c r="G278" t="inlineStr">
        <is>
          <t>1991-08-05</t>
        </is>
      </c>
      <c r="H278" t="inlineStr">
        <is>
          <t>19910805</t>
        </is>
      </c>
      <c r="I278" t="inlineStr">
        <is>
          <t>2</t>
        </is>
      </c>
      <c r="J278" t="inlineStr">
        <is>
          <t>보관소</t>
        </is>
      </c>
      <c r="K278" t="inlineStr"/>
      <c r="L278" t="inlineStr">
        <is>
          <t>경기도 화성시 만세구 향남읍 제약공단4길 83</t>
        </is>
      </c>
      <c r="M278" t="inlineStr">
        <is>
          <t>4동</t>
        </is>
      </c>
      <c r="N278" t="inlineStr">
        <is>
          <t>경기도 화성시 만세구 향남읍 제약공단4길 83 4동</t>
        </is>
      </c>
      <c r="O278" t="inlineStr">
        <is>
          <t>경기도</t>
        </is>
      </c>
      <c r="P278" t="inlineStr">
        <is>
          <t>화성시</t>
        </is>
      </c>
      <c r="Q278" t="inlineStr">
        <is>
          <t>Y</t>
        </is>
      </c>
      <c r="R278" t="n">
        <v>55</v>
      </c>
    </row>
    <row r="279">
      <c r="A279" t="n">
        <v>278</v>
      </c>
      <c r="B279" t="inlineStr">
        <is>
          <t>삼익제약(주)</t>
        </is>
      </c>
      <c r="C279" t="inlineStr">
        <is>
          <t>삼익제약</t>
        </is>
      </c>
      <c r="D279" t="inlineStr">
        <is>
          <t>의약품</t>
        </is>
      </c>
      <c r="E279" t="inlineStr">
        <is>
          <t>1493</t>
        </is>
      </c>
      <c r="F279" t="inlineStr">
        <is>
          <t>권영이</t>
        </is>
      </c>
      <c r="G279" t="inlineStr">
        <is>
          <t>1968-07-04</t>
        </is>
      </c>
      <c r="H279" t="inlineStr">
        <is>
          <t>19680704</t>
        </is>
      </c>
      <c r="I279" t="inlineStr">
        <is>
          <t>4</t>
        </is>
      </c>
      <c r="J279" t="inlineStr">
        <is>
          <t>보관소</t>
        </is>
      </c>
      <c r="K279" t="inlineStr"/>
      <c r="L279" t="inlineStr">
        <is>
          <t>인천광역시 계양구 아나지로 20</t>
        </is>
      </c>
      <c r="M279" t="inlineStr">
        <is>
          <t>1동 2층일부, 3층</t>
        </is>
      </c>
      <c r="N279" t="inlineStr">
        <is>
          <t>인천광역시 계양구 아나지로 20 1동 2층일부, 3층</t>
        </is>
      </c>
      <c r="O279" t="inlineStr">
        <is>
          <t>인천광역시</t>
        </is>
      </c>
      <c r="P279" t="inlineStr">
        <is>
          <t>계양구</t>
        </is>
      </c>
      <c r="Q279" t="inlineStr">
        <is>
          <t>N</t>
        </is>
      </c>
      <c r="R279" t="n">
        <v>0</v>
      </c>
    </row>
    <row r="280">
      <c r="A280" t="n">
        <v>279</v>
      </c>
      <c r="B280" t="inlineStr">
        <is>
          <t>원창제약(합)</t>
        </is>
      </c>
      <c r="C280" t="inlineStr">
        <is>
          <t>원창제약(합)</t>
        </is>
      </c>
      <c r="D280" t="inlineStr">
        <is>
          <t>의약품</t>
        </is>
      </c>
      <c r="E280" t="inlineStr">
        <is>
          <t>1708</t>
        </is>
      </c>
      <c r="F280" t="inlineStr">
        <is>
          <t>최병창</t>
        </is>
      </c>
      <c r="G280" t="inlineStr">
        <is>
          <t>1989-08-31</t>
        </is>
      </c>
      <c r="H280" t="inlineStr">
        <is>
          <t>19890831</t>
        </is>
      </c>
      <c r="I280" t="inlineStr">
        <is>
          <t>1</t>
        </is>
      </c>
      <c r="J280" t="inlineStr">
        <is>
          <t>천안</t>
        </is>
      </c>
      <c r="K280" t="inlineStr">
        <is>
          <t>041-582-0097</t>
        </is>
      </c>
      <c r="L280" t="inlineStr">
        <is>
          <t>충청남도 천안시 서북구 직산읍 직산로 287</t>
        </is>
      </c>
      <c r="M280" t="inlineStr"/>
      <c r="N280" t="inlineStr">
        <is>
          <t>충청남도 천안시 서북구 직산읍 직산로 287</t>
        </is>
      </c>
      <c r="O280" t="inlineStr">
        <is>
          <t>충청남도</t>
        </is>
      </c>
      <c r="P280" t="inlineStr">
        <is>
          <t>천안시</t>
        </is>
      </c>
      <c r="Q280" t="inlineStr">
        <is>
          <t>N</t>
        </is>
      </c>
      <c r="R280" t="n">
        <v>0</v>
      </c>
    </row>
    <row r="281">
      <c r="A281" t="n">
        <v>280</v>
      </c>
      <c r="B281" t="inlineStr">
        <is>
          <t>(주)에스디</t>
        </is>
      </c>
      <c r="C281" t="inlineStr">
        <is>
          <t>에스디</t>
        </is>
      </c>
      <c r="D281" t="inlineStr">
        <is>
          <t>의약품</t>
        </is>
      </c>
      <c r="E281" t="inlineStr">
        <is>
          <t>2134</t>
        </is>
      </c>
      <c r="F281" t="inlineStr">
        <is>
          <t>조병기</t>
        </is>
      </c>
      <c r="G281" t="inlineStr">
        <is>
          <t>2000-06-28</t>
        </is>
      </c>
      <c r="H281" t="inlineStr">
        <is>
          <t>20000628</t>
        </is>
      </c>
      <c r="I281" t="inlineStr">
        <is>
          <t>9</t>
        </is>
      </c>
      <c r="J281" t="inlineStr">
        <is>
          <t>제4보관소</t>
        </is>
      </c>
      <c r="K281" t="inlineStr">
        <is>
          <t>031-899-2912</t>
        </is>
      </c>
      <c r="L281" t="inlineStr">
        <is>
          <t>경기도 화성시 동탄면 동탄산단3길 19-22</t>
        </is>
      </c>
      <c r="M281" t="inlineStr">
        <is>
          <t>상원로지스틱(주) 창고 1층 일부, 5층 일부</t>
        </is>
      </c>
      <c r="N281" t="inlineStr">
        <is>
          <t>경기도 화성시 동탄면 동탄산단3길 19-22 상원로지스틱(주) 창고 1층 일부, 5층 일부</t>
        </is>
      </c>
      <c r="O281" t="inlineStr">
        <is>
          <t>경기도</t>
        </is>
      </c>
      <c r="P281" t="inlineStr">
        <is>
          <t>화성시</t>
        </is>
      </c>
      <c r="Q281" t="inlineStr">
        <is>
          <t>N</t>
        </is>
      </c>
      <c r="R281" t="n">
        <v>0</v>
      </c>
    </row>
    <row r="282">
      <c r="A282" t="n">
        <v>281</v>
      </c>
      <c r="B282" t="inlineStr">
        <is>
          <t>(주)팜젠사이언스</t>
        </is>
      </c>
      <c r="C282" t="inlineStr">
        <is>
          <t>팜젠사이언스</t>
        </is>
      </c>
      <c r="D282" t="inlineStr">
        <is>
          <t>의약품</t>
        </is>
      </c>
      <c r="E282" t="inlineStr">
        <is>
          <t>1487</t>
        </is>
      </c>
      <c r="F282" t="inlineStr">
        <is>
          <t>박희덕</t>
        </is>
      </c>
      <c r="G282" t="inlineStr">
        <is>
          <t>1967-08-26</t>
        </is>
      </c>
      <c r="H282" t="inlineStr">
        <is>
          <t>19670826</t>
        </is>
      </c>
      <c r="I282" t="inlineStr">
        <is>
          <t>1</t>
        </is>
      </c>
      <c r="J282" t="inlineStr">
        <is>
          <t>화성</t>
        </is>
      </c>
      <c r="K282" t="inlineStr">
        <is>
          <t>02-2194-3590</t>
        </is>
      </c>
      <c r="L282" t="inlineStr">
        <is>
          <t>경기도 화성시 만세구 향남읍 제약공단2길 50</t>
        </is>
      </c>
      <c r="M282" t="inlineStr"/>
      <c r="N282" t="inlineStr">
        <is>
          <t>경기도 화성시 만세구 향남읍 제약공단2길 50</t>
        </is>
      </c>
      <c r="O282" t="inlineStr">
        <is>
          <t>경기도</t>
        </is>
      </c>
      <c r="P282" t="inlineStr">
        <is>
          <t>화성시</t>
        </is>
      </c>
      <c r="Q282" t="inlineStr">
        <is>
          <t>N</t>
        </is>
      </c>
      <c r="R282" t="n">
        <v>0</v>
      </c>
    </row>
    <row r="283">
      <c r="A283" t="n">
        <v>282</v>
      </c>
      <c r="B283" t="inlineStr">
        <is>
          <t>단일시스켐(주)</t>
        </is>
      </c>
      <c r="C283" t="inlineStr">
        <is>
          <t>단일시스켐</t>
        </is>
      </c>
      <c r="D283" t="inlineStr">
        <is>
          <t>의약품</t>
        </is>
      </c>
      <c r="E283" t="inlineStr">
        <is>
          <t>1686</t>
        </is>
      </c>
      <c r="F283" t="inlineStr">
        <is>
          <t>장세훈</t>
        </is>
      </c>
      <c r="G283" t="inlineStr">
        <is>
          <t>1987-11-30</t>
        </is>
      </c>
      <c r="H283" t="inlineStr">
        <is>
          <t>19871130</t>
        </is>
      </c>
      <c r="I283" t="inlineStr">
        <is>
          <t>1</t>
        </is>
      </c>
      <c r="J283" t="inlineStr">
        <is>
          <t>음성</t>
        </is>
      </c>
      <c r="K283" t="inlineStr">
        <is>
          <t>043-872-1331</t>
        </is>
      </c>
      <c r="L283" t="inlineStr">
        <is>
          <t>충청북도 음성군 음성읍 한불로69번길 12-7</t>
        </is>
      </c>
      <c r="M283" t="inlineStr"/>
      <c r="N283" t="inlineStr">
        <is>
          <t>충청북도 음성군 음성읍 한불로69번길 12-7</t>
        </is>
      </c>
      <c r="O283" t="inlineStr">
        <is>
          <t>충청북도</t>
        </is>
      </c>
      <c r="P283" t="inlineStr">
        <is>
          <t>음성군</t>
        </is>
      </c>
      <c r="Q283" t="inlineStr">
        <is>
          <t>N</t>
        </is>
      </c>
      <c r="R283" t="n">
        <v>0</v>
      </c>
    </row>
    <row r="284">
      <c r="A284" t="n">
        <v>283</v>
      </c>
      <c r="B284" t="inlineStr">
        <is>
          <t>(주)삼오제약</t>
        </is>
      </c>
      <c r="C284" t="inlineStr">
        <is>
          <t>삼오제약</t>
        </is>
      </c>
      <c r="D284" t="inlineStr">
        <is>
          <t>의약품</t>
        </is>
      </c>
      <c r="E284" t="inlineStr">
        <is>
          <t>2105</t>
        </is>
      </c>
      <c r="F284" t="inlineStr">
        <is>
          <t>오성석</t>
        </is>
      </c>
      <c r="G284" t="inlineStr">
        <is>
          <t>2000-01-06</t>
        </is>
      </c>
      <c r="H284" t="inlineStr">
        <is>
          <t>20000106</t>
        </is>
      </c>
      <c r="I284" t="inlineStr">
        <is>
          <t>1</t>
        </is>
      </c>
      <c r="J284" t="inlineStr">
        <is>
          <t>시화</t>
        </is>
      </c>
      <c r="K284" t="inlineStr">
        <is>
          <t>031-498-0355</t>
        </is>
      </c>
      <c r="L284" t="inlineStr">
        <is>
          <t>경기도 시흥시 옥구천서로81번길 63</t>
        </is>
      </c>
      <c r="M284" t="inlineStr">
        <is>
          <t>(시화공단 1마 705호) (정왕동)</t>
        </is>
      </c>
      <c r="N284" t="inlineStr">
        <is>
          <t>경기도 시흥시 옥구천서로81번길 63 (시화공단 1마 705호) (정왕동)</t>
        </is>
      </c>
      <c r="O284" t="inlineStr">
        <is>
          <t>경기도</t>
        </is>
      </c>
      <c r="P284" t="inlineStr">
        <is>
          <t>시흥시</t>
        </is>
      </c>
      <c r="Q284" t="inlineStr">
        <is>
          <t>Y</t>
        </is>
      </c>
      <c r="R284" t="n">
        <v>56</v>
      </c>
    </row>
    <row r="285">
      <c r="A285" t="n">
        <v>284</v>
      </c>
      <c r="B285" t="inlineStr">
        <is>
          <t>코오롱제약(주)</t>
        </is>
      </c>
      <c r="C285" t="inlineStr">
        <is>
          <t>코오롱제약</t>
        </is>
      </c>
      <c r="D285" t="inlineStr">
        <is>
          <t>의약품</t>
        </is>
      </c>
      <c r="E285" t="inlineStr">
        <is>
          <t>1472</t>
        </is>
      </c>
      <c r="F285" t="inlineStr">
        <is>
          <t>전승호</t>
        </is>
      </c>
      <c r="G285" t="inlineStr">
        <is>
          <t>1965-11-29</t>
        </is>
      </c>
      <c r="H285" t="inlineStr">
        <is>
          <t>19651129</t>
        </is>
      </c>
      <c r="I285" t="inlineStr">
        <is>
          <t>2</t>
        </is>
      </c>
      <c r="J285" t="inlineStr">
        <is>
          <t>보관소</t>
        </is>
      </c>
      <c r="K285" t="inlineStr"/>
      <c r="L285" t="inlineStr">
        <is>
          <t>충청북도 청주시 서원구 남이면 남석로 151-26</t>
        </is>
      </c>
      <c r="M285" t="inlineStr"/>
      <c r="N285" t="inlineStr">
        <is>
          <t>충청북도 청주시 서원구 남이면 남석로 151-26</t>
        </is>
      </c>
      <c r="O285" t="inlineStr">
        <is>
          <t>충청북도</t>
        </is>
      </c>
      <c r="P285" t="inlineStr">
        <is>
          <t>청주시</t>
        </is>
      </c>
      <c r="Q285" t="inlineStr">
        <is>
          <t>N</t>
        </is>
      </c>
      <c r="R285" t="n">
        <v>0</v>
      </c>
    </row>
    <row r="286">
      <c r="A286" t="n">
        <v>285</v>
      </c>
      <c r="B286" t="inlineStr">
        <is>
          <t>가스켐테크놀로지(주)</t>
        </is>
      </c>
      <c r="C286" t="inlineStr">
        <is>
          <t>가스켐테크놀로지</t>
        </is>
      </c>
      <c r="D286" t="inlineStr">
        <is>
          <t>의약품</t>
        </is>
      </c>
      <c r="E286" t="inlineStr">
        <is>
          <t>2103</t>
        </is>
      </c>
      <c r="F286" t="inlineStr">
        <is>
          <t>조창현</t>
        </is>
      </c>
      <c r="G286" t="inlineStr">
        <is>
          <t>1999-12-30</t>
        </is>
      </c>
      <c r="H286" t="inlineStr">
        <is>
          <t>19991230</t>
        </is>
      </c>
      <c r="I286" t="inlineStr">
        <is>
          <t>2</t>
        </is>
      </c>
      <c r="J286" t="inlineStr">
        <is>
          <t>진천</t>
        </is>
      </c>
      <c r="K286" t="inlineStr"/>
      <c r="L286" t="inlineStr">
        <is>
          <t>충청북도 진천군 덕산면 신척산단5로 74</t>
        </is>
      </c>
      <c r="M286" t="inlineStr"/>
      <c r="N286" t="inlineStr">
        <is>
          <t>충청북도 진천군 덕산면 신척산단5로 74</t>
        </is>
      </c>
      <c r="O286" t="inlineStr">
        <is>
          <t>충청북도</t>
        </is>
      </c>
      <c r="P286" t="inlineStr">
        <is>
          <t>진천군</t>
        </is>
      </c>
      <c r="Q286" t="inlineStr">
        <is>
          <t>N</t>
        </is>
      </c>
      <c r="R286" t="n">
        <v>0</v>
      </c>
    </row>
    <row r="287">
      <c r="A287" t="n">
        <v>286</v>
      </c>
      <c r="B287" t="inlineStr">
        <is>
          <t>경방신약(주)</t>
        </is>
      </c>
      <c r="C287" t="inlineStr">
        <is>
          <t>경방신약</t>
        </is>
      </c>
      <c r="D287" t="inlineStr">
        <is>
          <t>의약품</t>
        </is>
      </c>
      <c r="E287" t="inlineStr">
        <is>
          <t>2101</t>
        </is>
      </c>
      <c r="F287" t="inlineStr">
        <is>
          <t>김충환</t>
        </is>
      </c>
      <c r="G287" t="inlineStr">
        <is>
          <t>1999-12-22</t>
        </is>
      </c>
      <c r="H287" t="inlineStr">
        <is>
          <t>19991222</t>
        </is>
      </c>
      <c r="I287" t="inlineStr">
        <is>
          <t>4</t>
        </is>
      </c>
      <c r="J287" t="inlineStr">
        <is>
          <t>2공장</t>
        </is>
      </c>
      <c r="K287" t="inlineStr"/>
      <c r="L287" t="inlineStr">
        <is>
          <t>충청남도 금산군 부리면 인삼약초공단로 27</t>
        </is>
      </c>
      <c r="M287" t="inlineStr"/>
      <c r="N287" t="inlineStr">
        <is>
          <t>충청남도 금산군 부리면 인삼약초공단로 27</t>
        </is>
      </c>
      <c r="O287" t="inlineStr">
        <is>
          <t>충청남도</t>
        </is>
      </c>
      <c r="P287" t="inlineStr">
        <is>
          <t>금산군</t>
        </is>
      </c>
      <c r="Q287" t="inlineStr">
        <is>
          <t>N</t>
        </is>
      </c>
      <c r="R287" t="n">
        <v>0</v>
      </c>
    </row>
    <row r="288">
      <c r="A288" t="n">
        <v>287</v>
      </c>
      <c r="B288" t="inlineStr">
        <is>
          <t>농업회사법인선일생약주식회사</t>
        </is>
      </c>
      <c r="C288" t="inlineStr">
        <is>
          <t>농업회사법인선일생약</t>
        </is>
      </c>
      <c r="D288" t="inlineStr">
        <is>
          <t>의약품</t>
        </is>
      </c>
      <c r="E288" t="inlineStr">
        <is>
          <t>318</t>
        </is>
      </c>
      <c r="F288" t="inlineStr">
        <is>
          <t>강선원</t>
        </is>
      </c>
      <c r="G288" t="inlineStr">
        <is>
          <t>2011-10-10</t>
        </is>
      </c>
      <c r="H288" t="inlineStr">
        <is>
          <t>20111010</t>
        </is>
      </c>
      <c r="I288" t="inlineStr">
        <is>
          <t>1</t>
        </is>
      </c>
      <c r="J288" t="inlineStr">
        <is>
          <t>제1공장</t>
        </is>
      </c>
      <c r="K288" t="inlineStr">
        <is>
          <t>033-436-8836</t>
        </is>
      </c>
      <c r="L288" t="inlineStr">
        <is>
          <t>강원특별자치도 홍천군 남면 흥성길 193</t>
        </is>
      </c>
      <c r="M288" t="inlineStr"/>
      <c r="N288" t="inlineStr">
        <is>
          <t>강원특별자치도 홍천군 남면 흥성길 193</t>
        </is>
      </c>
      <c r="O288" t="inlineStr">
        <is>
          <t>강원특별자치도</t>
        </is>
      </c>
      <c r="P288" t="inlineStr">
        <is>
          <t>홍천군</t>
        </is>
      </c>
      <c r="Q288" t="inlineStr">
        <is>
          <t>N</t>
        </is>
      </c>
      <c r="R288" t="n">
        <v>0</v>
      </c>
    </row>
    <row r="289">
      <c r="A289" t="n">
        <v>288</v>
      </c>
      <c r="B289" t="inlineStr">
        <is>
          <t>중앙산업가스(주)</t>
        </is>
      </c>
      <c r="C289" t="inlineStr">
        <is>
          <t>중앙산업가스</t>
        </is>
      </c>
      <c r="D289" t="inlineStr">
        <is>
          <t>의약품</t>
        </is>
      </c>
      <c r="E289" t="inlineStr">
        <is>
          <t>1610</t>
        </is>
      </c>
      <c r="F289" t="inlineStr">
        <is>
          <t>이종재</t>
        </is>
      </c>
      <c r="G289" t="inlineStr">
        <is>
          <t>1981-08-10</t>
        </is>
      </c>
      <c r="H289" t="inlineStr">
        <is>
          <t>19810810</t>
        </is>
      </c>
      <c r="I289" t="inlineStr">
        <is>
          <t>1</t>
        </is>
      </c>
      <c r="J289" t="inlineStr">
        <is>
          <t>대덕</t>
        </is>
      </c>
      <c r="K289" t="inlineStr">
        <is>
          <t>042-623-2201</t>
        </is>
      </c>
      <c r="L289" t="inlineStr">
        <is>
          <t>대전광역시 대덕구 대전로 1331</t>
        </is>
      </c>
      <c r="M289" t="inlineStr"/>
      <c r="N289" t="inlineStr">
        <is>
          <t>대전광역시 대덕구 대전로 1331</t>
        </is>
      </c>
      <c r="O289" t="inlineStr">
        <is>
          <t>대전광역시</t>
        </is>
      </c>
      <c r="P289" t="inlineStr">
        <is>
          <t>대덕구</t>
        </is>
      </c>
      <c r="Q289" t="inlineStr">
        <is>
          <t>N</t>
        </is>
      </c>
      <c r="R289" t="n">
        <v>0</v>
      </c>
    </row>
    <row r="290">
      <c r="A290" t="n">
        <v>289</v>
      </c>
      <c r="B290" t="inlineStr">
        <is>
          <t>에리슨제약(주)</t>
        </is>
      </c>
      <c r="C290" t="inlineStr">
        <is>
          <t>에리슨제약</t>
        </is>
      </c>
      <c r="D290" t="inlineStr">
        <is>
          <t>의약품</t>
        </is>
      </c>
      <c r="E290" t="inlineStr">
        <is>
          <t>331</t>
        </is>
      </c>
      <c r="F290" t="inlineStr">
        <is>
          <t>지윤찬</t>
        </is>
      </c>
      <c r="G290" t="inlineStr">
        <is>
          <t>2010-12-30</t>
        </is>
      </c>
      <c r="H290" t="inlineStr">
        <is>
          <t>20101230</t>
        </is>
      </c>
      <c r="I290" t="inlineStr">
        <is>
          <t>2</t>
        </is>
      </c>
      <c r="J290" t="inlineStr">
        <is>
          <t>보관소</t>
        </is>
      </c>
      <c r="K290" t="inlineStr"/>
      <c r="L290" t="inlineStr">
        <is>
          <t>서울특별시 강남구 논현로64길 18</t>
        </is>
      </c>
      <c r="M290" t="inlineStr">
        <is>
          <t>경풍빌딩 지하2층(보관소)</t>
        </is>
      </c>
      <c r="N290" t="inlineStr">
        <is>
          <t>서울특별시 강남구 논현로64길 18 경풍빌딩 지하2층(보관소)</t>
        </is>
      </c>
      <c r="O290" t="inlineStr">
        <is>
          <t>서울특별시</t>
        </is>
      </c>
      <c r="P290" t="inlineStr">
        <is>
          <t>강남구</t>
        </is>
      </c>
      <c r="Q290" t="inlineStr">
        <is>
          <t>N</t>
        </is>
      </c>
      <c r="R290" t="n">
        <v>0</v>
      </c>
    </row>
    <row r="291">
      <c r="A291" t="n">
        <v>290</v>
      </c>
      <c r="B291" t="inlineStr">
        <is>
          <t>(주)엘지화학</t>
        </is>
      </c>
      <c r="C291" t="inlineStr">
        <is>
          <t>엘지화학</t>
        </is>
      </c>
      <c r="D291" t="inlineStr">
        <is>
          <t>의약품</t>
        </is>
      </c>
      <c r="E291" t="inlineStr">
        <is>
          <t>1543</t>
        </is>
      </c>
      <c r="F291" t="inlineStr">
        <is>
          <t>김동춘</t>
        </is>
      </c>
      <c r="G291" t="inlineStr">
        <is>
          <t>1972-01-24</t>
        </is>
      </c>
      <c r="H291" t="inlineStr">
        <is>
          <t>19720124</t>
        </is>
      </c>
      <c r="I291" t="inlineStr">
        <is>
          <t>3</t>
        </is>
      </c>
      <c r="J291" t="inlineStr">
        <is>
          <t>대전</t>
        </is>
      </c>
      <c r="K291" t="inlineStr"/>
      <c r="L291" t="inlineStr">
        <is>
          <t>대전광역시 유성구 문지로 188</t>
        </is>
      </c>
      <c r="M291" t="inlineStr"/>
      <c r="N291" t="inlineStr">
        <is>
          <t>대전광역시 유성구 문지로 188</t>
        </is>
      </c>
      <c r="O291" t="inlineStr">
        <is>
          <t>대전광역시</t>
        </is>
      </c>
      <c r="P291" t="inlineStr">
        <is>
          <t>유성구</t>
        </is>
      </c>
      <c r="Q291" t="inlineStr">
        <is>
          <t>N</t>
        </is>
      </c>
      <c r="R291" t="n">
        <v>0</v>
      </c>
    </row>
    <row r="292">
      <c r="A292" t="n">
        <v>291</v>
      </c>
      <c r="B292" t="inlineStr">
        <is>
          <t>오스틴제약(주)</t>
        </is>
      </c>
      <c r="C292" t="inlineStr">
        <is>
          <t>오스틴제약</t>
        </is>
      </c>
      <c r="D292" t="inlineStr">
        <is>
          <t>의약품</t>
        </is>
      </c>
      <c r="E292" t="inlineStr">
        <is>
          <t>1376</t>
        </is>
      </c>
      <c r="F292" t="inlineStr">
        <is>
          <t>이승근</t>
        </is>
      </c>
      <c r="G292" t="inlineStr">
        <is>
          <t>1959-04-21</t>
        </is>
      </c>
      <c r="H292" t="inlineStr">
        <is>
          <t>19590421</t>
        </is>
      </c>
      <c r="I292" t="inlineStr">
        <is>
          <t>1</t>
        </is>
      </c>
      <c r="J292" t="inlineStr">
        <is>
          <t>안산</t>
        </is>
      </c>
      <c r="K292" t="inlineStr">
        <is>
          <t>031-494-9681</t>
        </is>
      </c>
      <c r="L292" t="inlineStr">
        <is>
          <t>경기도 안산시 단원구 성곡로146번길 20</t>
        </is>
      </c>
      <c r="M292" t="inlineStr"/>
      <c r="N292" t="inlineStr">
        <is>
          <t>경기도 안산시 단원구 성곡로146번길 20</t>
        </is>
      </c>
      <c r="O292" t="inlineStr">
        <is>
          <t>경기도</t>
        </is>
      </c>
      <c r="P292" t="inlineStr">
        <is>
          <t>안산시</t>
        </is>
      </c>
      <c r="Q292" t="inlineStr">
        <is>
          <t>N</t>
        </is>
      </c>
      <c r="R292" t="n">
        <v>0</v>
      </c>
    </row>
    <row r="293">
      <c r="A293" t="n">
        <v>292</v>
      </c>
      <c r="B293" t="inlineStr">
        <is>
          <t>(주)한국피엠지제약</t>
        </is>
      </c>
      <c r="C293" t="inlineStr">
        <is>
          <t>한국피엠지제약</t>
        </is>
      </c>
      <c r="D293" t="inlineStr">
        <is>
          <t>의약품</t>
        </is>
      </c>
      <c r="E293" t="inlineStr">
        <is>
          <t>313</t>
        </is>
      </c>
      <c r="F293" t="inlineStr">
        <is>
          <t>전영진</t>
        </is>
      </c>
      <c r="G293" t="inlineStr">
        <is>
          <t>2009-11-27</t>
        </is>
      </c>
      <c r="H293" t="inlineStr">
        <is>
          <t>20091127</t>
        </is>
      </c>
      <c r="I293" t="inlineStr">
        <is>
          <t>1</t>
        </is>
      </c>
      <c r="J293" t="inlineStr">
        <is>
          <t>시흥</t>
        </is>
      </c>
      <c r="K293" t="inlineStr">
        <is>
          <t>(031)439-5470</t>
        </is>
      </c>
      <c r="L293" t="inlineStr">
        <is>
          <t>경기도 시흥시 경제로 59</t>
        </is>
      </c>
      <c r="M293" t="inlineStr"/>
      <c r="N293" t="inlineStr">
        <is>
          <t>경기도 시흥시 경제로 59</t>
        </is>
      </c>
      <c r="O293" t="inlineStr">
        <is>
          <t>경기도</t>
        </is>
      </c>
      <c r="P293" t="inlineStr">
        <is>
          <t>시흥시</t>
        </is>
      </c>
      <c r="Q293" t="inlineStr">
        <is>
          <t>N</t>
        </is>
      </c>
      <c r="R293" t="n">
        <v>0</v>
      </c>
    </row>
    <row r="294">
      <c r="A294" t="n">
        <v>293</v>
      </c>
      <c r="B294" t="inlineStr">
        <is>
          <t>덕산약품공업(주)</t>
        </is>
      </c>
      <c r="C294" t="inlineStr">
        <is>
          <t>덕산약품공업</t>
        </is>
      </c>
      <c r="D294" t="inlineStr">
        <is>
          <t>의약품</t>
        </is>
      </c>
      <c r="E294" t="inlineStr">
        <is>
          <t>1553</t>
        </is>
      </c>
      <c r="F294" t="inlineStr">
        <is>
          <t>고영채</t>
        </is>
      </c>
      <c r="G294" t="inlineStr">
        <is>
          <t>1972-11-27</t>
        </is>
      </c>
      <c r="H294" t="inlineStr">
        <is>
          <t>19721127</t>
        </is>
      </c>
      <c r="I294" t="inlineStr">
        <is>
          <t>2</t>
        </is>
      </c>
      <c r="J294" t="inlineStr">
        <is>
          <t>안산(실험실)</t>
        </is>
      </c>
      <c r="K294" t="inlineStr">
        <is>
          <t>031-495-4055</t>
        </is>
      </c>
      <c r="L294" t="inlineStr">
        <is>
          <t>경기도 안산시 단원구 신원로133번길 56</t>
        </is>
      </c>
      <c r="M294" t="inlineStr">
        <is>
          <t>(실험실)</t>
        </is>
      </c>
      <c r="N294" t="inlineStr">
        <is>
          <t>경기도 안산시 단원구 신원로133번길 56 (실험실)</t>
        </is>
      </c>
      <c r="O294" t="inlineStr">
        <is>
          <t>경기도</t>
        </is>
      </c>
      <c r="P294" t="inlineStr">
        <is>
          <t>안산시</t>
        </is>
      </c>
      <c r="Q294" t="inlineStr">
        <is>
          <t>N</t>
        </is>
      </c>
      <c r="R294" t="n">
        <v>0</v>
      </c>
    </row>
    <row r="295">
      <c r="A295" t="n">
        <v>294</v>
      </c>
      <c r="B295" t="inlineStr">
        <is>
          <t>대원제약(주)</t>
        </is>
      </c>
      <c r="C295" t="inlineStr">
        <is>
          <t>대원제약</t>
        </is>
      </c>
      <c r="D295" t="inlineStr">
        <is>
          <t>의약품</t>
        </is>
      </c>
      <c r="E295" t="inlineStr">
        <is>
          <t>1373</t>
        </is>
      </c>
      <c r="F295" t="inlineStr">
        <is>
          <t>백승열</t>
        </is>
      </c>
      <c r="G295" t="inlineStr">
        <is>
          <t>1958-12-10</t>
        </is>
      </c>
      <c r="H295" t="inlineStr">
        <is>
          <t>19581210</t>
        </is>
      </c>
      <c r="I295" t="inlineStr">
        <is>
          <t>2</t>
        </is>
      </c>
      <c r="J295" t="inlineStr">
        <is>
          <t>2공장 진천공장</t>
        </is>
      </c>
      <c r="K295" t="inlineStr">
        <is>
          <t>02-2204-6965</t>
        </is>
      </c>
      <c r="L295" t="inlineStr">
        <is>
          <t>충청북도 진천군 광혜원면 용소2길 44</t>
        </is>
      </c>
      <c r="M295" t="inlineStr"/>
      <c r="N295" t="inlineStr">
        <is>
          <t>충청북도 진천군 광혜원면 용소2길 44</t>
        </is>
      </c>
      <c r="O295" t="inlineStr">
        <is>
          <t>충청북도</t>
        </is>
      </c>
      <c r="P295" t="inlineStr">
        <is>
          <t>진천군</t>
        </is>
      </c>
      <c r="Q295" t="inlineStr">
        <is>
          <t>N</t>
        </is>
      </c>
      <c r="R295" t="n">
        <v>0</v>
      </c>
    </row>
    <row r="296">
      <c r="A296" t="n">
        <v>295</v>
      </c>
      <c r="B296" t="inlineStr">
        <is>
          <t>주식회사이엠비제약</t>
        </is>
      </c>
      <c r="C296" t="inlineStr">
        <is>
          <t>이엠비제약</t>
        </is>
      </c>
      <c r="D296" t="inlineStr">
        <is>
          <t>의약품</t>
        </is>
      </c>
      <c r="E296" t="inlineStr">
        <is>
          <t>6188</t>
        </is>
      </c>
      <c r="F296" t="inlineStr">
        <is>
          <t>오철승</t>
        </is>
      </c>
      <c r="G296" t="inlineStr">
        <is>
          <t>2025-04-28</t>
        </is>
      </c>
      <c r="H296" t="inlineStr">
        <is>
          <t>20250428</t>
        </is>
      </c>
      <c r="I296" t="inlineStr">
        <is>
          <t>1</t>
        </is>
      </c>
      <c r="J296" t="inlineStr">
        <is>
          <t>주식회사이엠비제약</t>
        </is>
      </c>
      <c r="K296" t="inlineStr">
        <is>
          <t>031-360-5607</t>
        </is>
      </c>
      <c r="L296" t="inlineStr">
        <is>
          <t>경기도 안양시 만안구 전파로24번길 93</t>
        </is>
      </c>
      <c r="M296" t="inlineStr">
        <is>
          <t>4층일부, 1층일부(보관소)</t>
        </is>
      </c>
      <c r="N296" t="inlineStr">
        <is>
          <t>경기도 안양시 만안구 전파로24번길 93 4층일부, 1층일부(보관소)</t>
        </is>
      </c>
      <c r="O296" t="inlineStr">
        <is>
          <t>경기도</t>
        </is>
      </c>
      <c r="P296" t="inlineStr">
        <is>
          <t>안양시</t>
        </is>
      </c>
      <c r="Q296" t="inlineStr">
        <is>
          <t>N</t>
        </is>
      </c>
      <c r="R296" t="n">
        <v>0</v>
      </c>
    </row>
    <row r="297">
      <c r="A297" t="n">
        <v>296</v>
      </c>
      <c r="B297" t="inlineStr">
        <is>
          <t>휴젤주식회사</t>
        </is>
      </c>
      <c r="C297" t="inlineStr">
        <is>
          <t>휴젤</t>
        </is>
      </c>
      <c r="D297" t="inlineStr">
        <is>
          <t>의약품</t>
        </is>
      </c>
      <c r="E297" t="inlineStr">
        <is>
          <t>273</t>
        </is>
      </c>
      <c r="F297" t="inlineStr">
        <is>
          <t>장두현</t>
        </is>
      </c>
      <c r="G297" t="inlineStr">
        <is>
          <t>2008-12-19</t>
        </is>
      </c>
      <c r="H297" t="inlineStr">
        <is>
          <t>20081219</t>
        </is>
      </c>
      <c r="I297" t="inlineStr">
        <is>
          <t>2</t>
        </is>
      </c>
      <c r="J297" t="inlineStr">
        <is>
          <t>제2공장</t>
        </is>
      </c>
      <c r="K297" t="inlineStr">
        <is>
          <t>(033)255-3882</t>
        </is>
      </c>
      <c r="L297" t="inlineStr">
        <is>
          <t>강원특별자치도 춘천시 동내면 거두단지1길 23</t>
        </is>
      </c>
      <c r="M297" t="inlineStr">
        <is>
          <t>(거두리)</t>
        </is>
      </c>
      <c r="N297" t="inlineStr">
        <is>
          <t>강원특별자치도 춘천시 동내면 거두단지1길 23 (거두리)</t>
        </is>
      </c>
      <c r="O297" t="inlineStr">
        <is>
          <t>강원특별자치도</t>
        </is>
      </c>
      <c r="P297" t="inlineStr">
        <is>
          <t>춘천시</t>
        </is>
      </c>
      <c r="Q297" t="inlineStr">
        <is>
          <t>N</t>
        </is>
      </c>
      <c r="R297" t="n">
        <v>0</v>
      </c>
    </row>
    <row r="298">
      <c r="A298" t="n">
        <v>297</v>
      </c>
      <c r="B298" t="inlineStr">
        <is>
          <t>맥널티제약(주)</t>
        </is>
      </c>
      <c r="C298" t="inlineStr">
        <is>
          <t>맥널티제약</t>
        </is>
      </c>
      <c r="D298" t="inlineStr">
        <is>
          <t>의약품</t>
        </is>
      </c>
      <c r="E298" t="inlineStr">
        <is>
          <t>1524</t>
        </is>
      </c>
      <c r="F298" t="inlineStr">
        <is>
          <t>이은정</t>
        </is>
      </c>
      <c r="G298" t="inlineStr">
        <is>
          <t>1971-04-19</t>
        </is>
      </c>
      <c r="H298" t="inlineStr">
        <is>
          <t>19710419</t>
        </is>
      </c>
      <c r="I298" t="inlineStr">
        <is>
          <t>3</t>
        </is>
      </c>
      <c r="J298" t="inlineStr">
        <is>
          <t>보관소</t>
        </is>
      </c>
      <c r="K298" t="inlineStr"/>
      <c r="L298" t="inlineStr">
        <is>
          <t>경기도 평택시 청북읍 드림산단4로 26</t>
        </is>
      </c>
      <c r="M298" t="inlineStr">
        <is>
          <t>3층(일부)</t>
        </is>
      </c>
      <c r="N298" t="inlineStr">
        <is>
          <t>경기도 평택시 청북읍 드림산단4로 26 3층(일부)</t>
        </is>
      </c>
      <c r="O298" t="inlineStr">
        <is>
          <t>경기도</t>
        </is>
      </c>
      <c r="P298" t="inlineStr">
        <is>
          <t>평택시</t>
        </is>
      </c>
      <c r="Q298" t="inlineStr">
        <is>
          <t>N</t>
        </is>
      </c>
      <c r="R298" t="n">
        <v>0</v>
      </c>
    </row>
    <row r="299">
      <c r="A299" t="n">
        <v>298</v>
      </c>
      <c r="B299" t="inlineStr">
        <is>
          <t>알보젠코리아(주)</t>
        </is>
      </c>
      <c r="C299" t="inlineStr">
        <is>
          <t>알보젠코리아</t>
        </is>
      </c>
      <c r="D299" t="inlineStr">
        <is>
          <t>의약품</t>
        </is>
      </c>
      <c r="E299" t="inlineStr">
        <is>
          <t>1367</t>
        </is>
      </c>
      <c r="F299" t="inlineStr">
        <is>
          <t>임희균</t>
        </is>
      </c>
      <c r="G299" t="inlineStr">
        <is>
          <t>1958-05-01</t>
        </is>
      </c>
      <c r="H299" t="inlineStr">
        <is>
          <t>19580501</t>
        </is>
      </c>
      <c r="I299" t="inlineStr">
        <is>
          <t>2</t>
        </is>
      </c>
      <c r="J299" t="inlineStr">
        <is>
          <t>화성</t>
        </is>
      </c>
      <c r="K299" t="inlineStr">
        <is>
          <t>031-678-9400</t>
        </is>
      </c>
      <c r="L299" t="inlineStr">
        <is>
          <t>경기도 화성시 만세구 향남읍 제약공단2길 36</t>
        </is>
      </c>
      <c r="M299" t="inlineStr"/>
      <c r="N299" t="inlineStr">
        <is>
          <t>경기도 화성시 만세구 향남읍 제약공단2길 36</t>
        </is>
      </c>
      <c r="O299" t="inlineStr">
        <is>
          <t>경기도</t>
        </is>
      </c>
      <c r="P299" t="inlineStr">
        <is>
          <t>화성시</t>
        </is>
      </c>
      <c r="Q299" t="inlineStr">
        <is>
          <t>N</t>
        </is>
      </c>
      <c r="R299" t="n">
        <v>0</v>
      </c>
    </row>
    <row r="300">
      <c r="A300" t="n">
        <v>299</v>
      </c>
      <c r="B300" t="inlineStr">
        <is>
          <t>하이플생명과학(주)</t>
        </is>
      </c>
      <c r="C300" t="inlineStr">
        <is>
          <t>하이플생명과학</t>
        </is>
      </c>
      <c r="D300" t="inlineStr">
        <is>
          <t>의약품</t>
        </is>
      </c>
      <c r="E300" t="inlineStr">
        <is>
          <t>1345</t>
        </is>
      </c>
      <c r="F300" t="inlineStr">
        <is>
          <t>조재민</t>
        </is>
      </c>
      <c r="G300" t="inlineStr">
        <is>
          <t>1957-06-18</t>
        </is>
      </c>
      <c r="H300" t="inlineStr">
        <is>
          <t>19570618</t>
        </is>
      </c>
      <c r="I300" t="inlineStr">
        <is>
          <t>1</t>
        </is>
      </c>
      <c r="J300" t="inlineStr">
        <is>
          <t>시흥</t>
        </is>
      </c>
      <c r="K300" t="inlineStr">
        <is>
          <t>031-319-1990</t>
        </is>
      </c>
      <c r="L300" t="inlineStr">
        <is>
          <t>경기도 시흥시 경제로 59</t>
        </is>
      </c>
      <c r="M300" t="inlineStr">
        <is>
          <t>, 603호(정왕동, 1라)</t>
        </is>
      </c>
      <c r="N300" t="inlineStr">
        <is>
          <t>경기도 시흥시 경제로 59 , 603호(정왕동, 1라)</t>
        </is>
      </c>
      <c r="O300" t="inlineStr">
        <is>
          <t>경기도</t>
        </is>
      </c>
      <c r="P300" t="inlineStr">
        <is>
          <t>시흥시</t>
        </is>
      </c>
      <c r="Q300" t="inlineStr">
        <is>
          <t>N</t>
        </is>
      </c>
      <c r="R300" t="n">
        <v>0</v>
      </c>
    </row>
    <row r="301">
      <c r="A301" t="n">
        <v>300</v>
      </c>
      <c r="B301" t="inlineStr">
        <is>
          <t>(주)녹십자</t>
        </is>
      </c>
      <c r="C301" t="inlineStr">
        <is>
          <t>녹십자</t>
        </is>
      </c>
      <c r="D301" t="inlineStr">
        <is>
          <t>의약품</t>
        </is>
      </c>
      <c r="E301" t="inlineStr">
        <is>
          <t>1735</t>
        </is>
      </c>
      <c r="F301" t="inlineStr">
        <is>
          <t>허은철</t>
        </is>
      </c>
      <c r="G301" t="inlineStr">
        <is>
          <t>1991-01-18</t>
        </is>
      </c>
      <c r="H301" t="inlineStr">
        <is>
          <t>19910118</t>
        </is>
      </c>
      <c r="I301" t="inlineStr">
        <is>
          <t>9</t>
        </is>
      </c>
      <c r="J301" t="inlineStr">
        <is>
          <t>보관소</t>
        </is>
      </c>
      <c r="K301" t="inlineStr"/>
      <c r="L301" t="inlineStr">
        <is>
          <t>경기도 화성시 정남면 가장로 285</t>
        </is>
      </c>
      <c r="M301" t="inlineStr">
        <is>
          <t>B1층 일부</t>
        </is>
      </c>
      <c r="N301" t="inlineStr">
        <is>
          <t>경기도 화성시 정남면 가장로 285 B1층 일부</t>
        </is>
      </c>
      <c r="O301" t="inlineStr">
        <is>
          <t>경기도</t>
        </is>
      </c>
      <c r="P301" t="inlineStr">
        <is>
          <t>화성시</t>
        </is>
      </c>
      <c r="Q301" t="inlineStr">
        <is>
          <t>N</t>
        </is>
      </c>
      <c r="R301" t="n">
        <v>0</v>
      </c>
    </row>
    <row r="302">
      <c r="A302" t="n">
        <v>301</v>
      </c>
      <c r="B302" t="inlineStr">
        <is>
          <t>한국유나이티드제약(주)</t>
        </is>
      </c>
      <c r="C302" t="inlineStr">
        <is>
          <t>한국유나이티드제약</t>
        </is>
      </c>
      <c r="D302" t="inlineStr">
        <is>
          <t>의약품</t>
        </is>
      </c>
      <c r="E302" t="inlineStr">
        <is>
          <t>1752</t>
        </is>
      </c>
      <c r="F302" t="inlineStr">
        <is>
          <t>강덕영</t>
        </is>
      </c>
      <c r="G302" t="inlineStr">
        <is>
          <t>1991-10-11</t>
        </is>
      </c>
      <c r="H302" t="inlineStr">
        <is>
          <t>19911011</t>
        </is>
      </c>
      <c r="I302" t="inlineStr">
        <is>
          <t>1</t>
        </is>
      </c>
      <c r="J302" t="inlineStr">
        <is>
          <t>노장리(1공장)</t>
        </is>
      </c>
      <c r="K302" t="inlineStr">
        <is>
          <t>044-862-5030</t>
        </is>
      </c>
      <c r="L302" t="inlineStr">
        <is>
          <t>세종특별자치시 전동면 노장공단길 25-23</t>
        </is>
      </c>
      <c r="M302" t="inlineStr"/>
      <c r="N302" t="inlineStr">
        <is>
          <t>세종특별자치시 전동면 노장공단길 25-23</t>
        </is>
      </c>
      <c r="O302" t="inlineStr">
        <is>
          <t>세종특별자치시</t>
        </is>
      </c>
      <c r="P302" t="inlineStr"/>
      <c r="Q302" t="inlineStr">
        <is>
          <t>N</t>
        </is>
      </c>
      <c r="R302" t="n">
        <v>0</v>
      </c>
    </row>
    <row r="303">
      <c r="A303" t="n">
        <v>302</v>
      </c>
      <c r="B303" t="inlineStr">
        <is>
          <t>(주)제이씨바이오</t>
        </is>
      </c>
      <c r="C303" t="inlineStr">
        <is>
          <t>제이씨바이오</t>
        </is>
      </c>
      <c r="D303" t="inlineStr">
        <is>
          <t>의약품</t>
        </is>
      </c>
      <c r="E303" t="inlineStr">
        <is>
          <t>1502</t>
        </is>
      </c>
      <c r="F303" t="inlineStr">
        <is>
          <t>정원희</t>
        </is>
      </c>
      <c r="G303" t="inlineStr">
        <is>
          <t>1969-08-01</t>
        </is>
      </c>
      <c r="H303" t="inlineStr">
        <is>
          <t>19690801</t>
        </is>
      </c>
      <c r="I303" t="inlineStr">
        <is>
          <t>2</t>
        </is>
      </c>
      <c r="J303" t="inlineStr">
        <is>
          <t>안동</t>
        </is>
      </c>
      <c r="K303" t="inlineStr">
        <is>
          <t>054-843-5285</t>
        </is>
      </c>
      <c r="L303" t="inlineStr">
        <is>
          <t>경상북도 안동시 풍산읍 산업단지길 106</t>
        </is>
      </c>
      <c r="M303" t="inlineStr"/>
      <c r="N303" t="inlineStr">
        <is>
          <t>경상북도 안동시 풍산읍 산업단지길 106</t>
        </is>
      </c>
      <c r="O303" t="inlineStr">
        <is>
          <t>경상북도</t>
        </is>
      </c>
      <c r="P303" t="inlineStr">
        <is>
          <t>안동시</t>
        </is>
      </c>
      <c r="Q303" t="inlineStr">
        <is>
          <t>N</t>
        </is>
      </c>
      <c r="R303" t="n">
        <v>0</v>
      </c>
    </row>
    <row r="304">
      <c r="A304" t="n">
        <v>303</v>
      </c>
      <c r="B304" t="inlineStr">
        <is>
          <t>한국코러스(주)</t>
        </is>
      </c>
      <c r="C304" t="inlineStr">
        <is>
          <t>한국코러스</t>
        </is>
      </c>
      <c r="D304" t="inlineStr">
        <is>
          <t>의약품</t>
        </is>
      </c>
      <c r="E304" t="inlineStr">
        <is>
          <t>1728</t>
        </is>
      </c>
      <c r="F304" t="inlineStr">
        <is>
          <t>황재간</t>
        </is>
      </c>
      <c r="G304" t="inlineStr">
        <is>
          <t>1990-10-30</t>
        </is>
      </c>
      <c r="H304" t="inlineStr">
        <is>
          <t>19901030</t>
        </is>
      </c>
      <c r="I304" t="inlineStr">
        <is>
          <t>1</t>
        </is>
      </c>
      <c r="J304" t="inlineStr">
        <is>
          <t>제천</t>
        </is>
      </c>
      <c r="K304" t="inlineStr">
        <is>
          <t>043-644-8457</t>
        </is>
      </c>
      <c r="L304" t="inlineStr">
        <is>
          <t>충청북도 제천시 강저로 30</t>
        </is>
      </c>
      <c r="M304" t="inlineStr"/>
      <c r="N304" t="inlineStr">
        <is>
          <t>충청북도 제천시 강저로 30</t>
        </is>
      </c>
      <c r="O304" t="inlineStr">
        <is>
          <t>충청북도</t>
        </is>
      </c>
      <c r="P304" t="inlineStr">
        <is>
          <t>제천시</t>
        </is>
      </c>
      <c r="Q304" t="inlineStr">
        <is>
          <t>N</t>
        </is>
      </c>
      <c r="R304" t="n">
        <v>0</v>
      </c>
    </row>
    <row r="305">
      <c r="A305" t="n">
        <v>304</v>
      </c>
      <c r="B305" t="inlineStr">
        <is>
          <t>(주)대일가스</t>
        </is>
      </c>
      <c r="C305" t="inlineStr">
        <is>
          <t>대일가스</t>
        </is>
      </c>
      <c r="D305" t="inlineStr">
        <is>
          <t>의약품</t>
        </is>
      </c>
      <c r="E305" t="inlineStr">
        <is>
          <t>2170</t>
        </is>
      </c>
      <c r="F305" t="inlineStr">
        <is>
          <t>최봉순</t>
        </is>
      </c>
      <c r="G305" t="inlineStr">
        <is>
          <t>2000-12-28</t>
        </is>
      </c>
      <c r="H305" t="inlineStr">
        <is>
          <t>20001228</t>
        </is>
      </c>
      <c r="I305" t="inlineStr">
        <is>
          <t>1</t>
        </is>
      </c>
      <c r="J305" t="inlineStr">
        <is>
          <t>강원</t>
        </is>
      </c>
      <c r="K305" t="inlineStr">
        <is>
          <t>033-645-7162</t>
        </is>
      </c>
      <c r="L305" t="inlineStr">
        <is>
          <t>강원특별자치도 강릉시 강동면 아래장작골길 68</t>
        </is>
      </c>
      <c r="M305" t="inlineStr"/>
      <c r="N305" t="inlineStr">
        <is>
          <t>강원특별자치도 강릉시 강동면 아래장작골길 68</t>
        </is>
      </c>
      <c r="O305" t="inlineStr">
        <is>
          <t>강원특별자치도</t>
        </is>
      </c>
      <c r="P305" t="inlineStr">
        <is>
          <t>강릉시</t>
        </is>
      </c>
      <c r="Q305" t="inlineStr">
        <is>
          <t>N</t>
        </is>
      </c>
      <c r="R305" t="n">
        <v>0</v>
      </c>
    </row>
    <row r="306">
      <c r="A306" t="n">
        <v>305</v>
      </c>
      <c r="B306" t="inlineStr">
        <is>
          <t>풍림무약(주)</t>
        </is>
      </c>
      <c r="C306" t="inlineStr">
        <is>
          <t>풍림무약</t>
        </is>
      </c>
      <c r="D306" t="inlineStr">
        <is>
          <t>의약품</t>
        </is>
      </c>
      <c r="E306" t="inlineStr">
        <is>
          <t>1480</t>
        </is>
      </c>
      <c r="F306" t="inlineStr">
        <is>
          <t>이정석</t>
        </is>
      </c>
      <c r="G306" t="inlineStr">
        <is>
          <t>1967-03-14</t>
        </is>
      </c>
      <c r="H306" t="inlineStr">
        <is>
          <t>19670314</t>
        </is>
      </c>
      <c r="I306" t="inlineStr">
        <is>
          <t>1</t>
        </is>
      </c>
      <c r="J306" t="inlineStr">
        <is>
          <t>화성</t>
        </is>
      </c>
      <c r="K306" t="inlineStr"/>
      <c r="L306" t="inlineStr">
        <is>
          <t>경기도 화성시 만세구 향남읍 제약공단3길 120</t>
        </is>
      </c>
      <c r="M306" t="inlineStr"/>
      <c r="N306" t="inlineStr">
        <is>
          <t>경기도 화성시 만세구 향남읍 제약공단3길 120</t>
        </is>
      </c>
      <c r="O306" t="inlineStr">
        <is>
          <t>경기도</t>
        </is>
      </c>
      <c r="P306" t="inlineStr">
        <is>
          <t>화성시</t>
        </is>
      </c>
      <c r="Q306" t="inlineStr">
        <is>
          <t>N</t>
        </is>
      </c>
      <c r="R306" t="n">
        <v>0</v>
      </c>
    </row>
    <row r="307">
      <c r="A307" t="n">
        <v>306</v>
      </c>
      <c r="B307" t="inlineStr">
        <is>
          <t>동성제약(주)</t>
        </is>
      </c>
      <c r="C307" t="inlineStr">
        <is>
          <t>동성제약</t>
        </is>
      </c>
      <c r="D307" t="inlineStr">
        <is>
          <t>의약품</t>
        </is>
      </c>
      <c r="E307" t="inlineStr">
        <is>
          <t>1693</t>
        </is>
      </c>
      <c r="F307" t="inlineStr">
        <is>
          <t>최용석</t>
        </is>
      </c>
      <c r="G307" t="inlineStr">
        <is>
          <t>1988-07-29</t>
        </is>
      </c>
      <c r="H307" t="inlineStr">
        <is>
          <t>19880729</t>
        </is>
      </c>
      <c r="I307" t="inlineStr">
        <is>
          <t>1</t>
        </is>
      </c>
      <c r="J307" t="inlineStr">
        <is>
          <t>아산</t>
        </is>
      </c>
      <c r="K307" t="inlineStr">
        <is>
          <t>041-420-5430</t>
        </is>
      </c>
      <c r="L307" t="inlineStr">
        <is>
          <t>충청남도 아산시 둔포면 관대안길 45</t>
        </is>
      </c>
      <c r="M307" t="inlineStr"/>
      <c r="N307" t="inlineStr">
        <is>
          <t>충청남도 아산시 둔포면 관대안길 45</t>
        </is>
      </c>
      <c r="O307" t="inlineStr">
        <is>
          <t>충청남도</t>
        </is>
      </c>
      <c r="P307" t="inlineStr">
        <is>
          <t>아산시</t>
        </is>
      </c>
      <c r="Q307" t="inlineStr">
        <is>
          <t>N</t>
        </is>
      </c>
      <c r="R307" t="n">
        <v>0</v>
      </c>
    </row>
    <row r="308">
      <c r="A308" t="n">
        <v>307</v>
      </c>
      <c r="B308" t="inlineStr">
        <is>
          <t>(주)에스디</t>
        </is>
      </c>
      <c r="C308" t="inlineStr">
        <is>
          <t>에스디</t>
        </is>
      </c>
      <c r="D308" t="inlineStr">
        <is>
          <t>의약품</t>
        </is>
      </c>
      <c r="E308" t="inlineStr">
        <is>
          <t>2134</t>
        </is>
      </c>
      <c r="F308" t="inlineStr">
        <is>
          <t>조병기</t>
        </is>
      </c>
      <c r="G308" t="inlineStr">
        <is>
          <t>2000-06-28</t>
        </is>
      </c>
      <c r="H308" t="inlineStr">
        <is>
          <t>20000628</t>
        </is>
      </c>
      <c r="I308" t="inlineStr">
        <is>
          <t>1</t>
        </is>
      </c>
      <c r="J308" t="inlineStr">
        <is>
          <t>제1제조소, 제1보관소</t>
        </is>
      </c>
      <c r="K308" t="inlineStr">
        <is>
          <t>031-258-2994</t>
        </is>
      </c>
      <c r="L308" t="inlineStr">
        <is>
          <t>경기도 용인시 기흥구 보라하갈로 65</t>
        </is>
      </c>
      <c r="M308" t="inlineStr"/>
      <c r="N308" t="inlineStr">
        <is>
          <t>경기도 용인시 기흥구 보라하갈로 65</t>
        </is>
      </c>
      <c r="O308" t="inlineStr">
        <is>
          <t>경기도</t>
        </is>
      </c>
      <c r="P308" t="inlineStr">
        <is>
          <t>용인시</t>
        </is>
      </c>
      <c r="Q308" t="inlineStr">
        <is>
          <t>N</t>
        </is>
      </c>
      <c r="R308" t="n">
        <v>0</v>
      </c>
    </row>
    <row r="309">
      <c r="A309" t="n">
        <v>308</v>
      </c>
      <c r="B309" t="inlineStr">
        <is>
          <t>현대약품(주)</t>
        </is>
      </c>
      <c r="C309" t="inlineStr">
        <is>
          <t>현대약품</t>
        </is>
      </c>
      <c r="D309" t="inlineStr">
        <is>
          <t>의약품</t>
        </is>
      </c>
      <c r="E309" t="inlineStr">
        <is>
          <t>1478</t>
        </is>
      </c>
      <c r="F309" t="inlineStr">
        <is>
          <t>이상준</t>
        </is>
      </c>
      <c r="G309" t="inlineStr">
        <is>
          <t>1966-05-02</t>
        </is>
      </c>
      <c r="H309" t="inlineStr">
        <is>
          <t>19660502</t>
        </is>
      </c>
      <c r="I309" t="inlineStr">
        <is>
          <t>1</t>
        </is>
      </c>
      <c r="J309" t="inlineStr">
        <is>
          <t>천안</t>
        </is>
      </c>
      <c r="K309" t="inlineStr">
        <is>
          <t>041-570-5114</t>
        </is>
      </c>
      <c r="L309" t="inlineStr">
        <is>
          <t>충청남도 천안시 동남구 풍세면 잔다리길 55</t>
        </is>
      </c>
      <c r="M309" t="inlineStr"/>
      <c r="N309" t="inlineStr">
        <is>
          <t>충청남도 천안시 동남구 풍세면 잔다리길 55</t>
        </is>
      </c>
      <c r="O309" t="inlineStr">
        <is>
          <t>충청남도</t>
        </is>
      </c>
      <c r="P309" t="inlineStr">
        <is>
          <t>천안시</t>
        </is>
      </c>
      <c r="Q309" t="inlineStr">
        <is>
          <t>N</t>
        </is>
      </c>
      <c r="R309" t="n">
        <v>0</v>
      </c>
    </row>
    <row r="310">
      <c r="A310" t="n">
        <v>309</v>
      </c>
      <c r="B310" t="inlineStr">
        <is>
          <t>에어프로덕츠코리아(주)</t>
        </is>
      </c>
      <c r="C310" t="inlineStr">
        <is>
          <t>에어프로덕츠코리아</t>
        </is>
      </c>
      <c r="D310" t="inlineStr">
        <is>
          <t>의약품</t>
        </is>
      </c>
      <c r="E310" t="inlineStr">
        <is>
          <t>2065</t>
        </is>
      </c>
      <c r="F310" t="inlineStr">
        <is>
          <t>김승록</t>
        </is>
      </c>
      <c r="G310" t="inlineStr">
        <is>
          <t>1999-07-27</t>
        </is>
      </c>
      <c r="H310" t="inlineStr">
        <is>
          <t>19990727</t>
        </is>
      </c>
      <c r="I310" t="inlineStr">
        <is>
          <t>2</t>
        </is>
      </c>
      <c r="J310" t="inlineStr">
        <is>
          <t>부천</t>
        </is>
      </c>
      <c r="K310" t="inlineStr">
        <is>
          <t>032-676-8911</t>
        </is>
      </c>
      <c r="L310" t="inlineStr"/>
      <c r="M310" t="inlineStr">
        <is>
          <t>경기도 부천시 오정구 송내대로518번길 110</t>
        </is>
      </c>
      <c r="N310" t="inlineStr">
        <is>
          <t>경기도 부천시 오정구 송내대로518번길 110</t>
        </is>
      </c>
      <c r="O310" t="inlineStr">
        <is>
          <t>경기도</t>
        </is>
      </c>
      <c r="P310" t="inlineStr">
        <is>
          <t>부천시</t>
        </is>
      </c>
      <c r="Q310" t="inlineStr">
        <is>
          <t>N</t>
        </is>
      </c>
      <c r="R310" t="n">
        <v>0</v>
      </c>
    </row>
    <row r="311">
      <c r="A311" t="n">
        <v>310</v>
      </c>
      <c r="B311" t="inlineStr">
        <is>
          <t>원광제약(주)</t>
        </is>
      </c>
      <c r="C311" t="inlineStr">
        <is>
          <t>원광제약</t>
        </is>
      </c>
      <c r="D311" t="inlineStr">
        <is>
          <t>의약품</t>
        </is>
      </c>
      <c r="E311" t="inlineStr">
        <is>
          <t>1450</t>
        </is>
      </c>
      <c r="F311" t="inlineStr">
        <is>
          <t>최경수</t>
        </is>
      </c>
      <c r="G311" t="inlineStr">
        <is>
          <t>1964-10-30</t>
        </is>
      </c>
      <c r="H311" t="inlineStr">
        <is>
          <t>19641030</t>
        </is>
      </c>
      <c r="I311" t="inlineStr">
        <is>
          <t>1</t>
        </is>
      </c>
      <c r="J311" t="inlineStr">
        <is>
          <t>2공장(춘포)</t>
        </is>
      </c>
      <c r="K311" t="inlineStr">
        <is>
          <t>063-832-3114</t>
        </is>
      </c>
      <c r="L311" t="inlineStr">
        <is>
          <t>전북특별자치도 익산시 춘포면 석암로11길 165</t>
        </is>
      </c>
      <c r="M311" t="inlineStr"/>
      <c r="N311" t="inlineStr">
        <is>
          <t>전북특별자치도 익산시 춘포면 석암로11길 165</t>
        </is>
      </c>
      <c r="O311" t="inlineStr">
        <is>
          <t>전북특별자치도</t>
        </is>
      </c>
      <c r="P311" t="inlineStr">
        <is>
          <t>익산시</t>
        </is>
      </c>
      <c r="Q311" t="inlineStr">
        <is>
          <t>N</t>
        </is>
      </c>
      <c r="R311" t="n">
        <v>0</v>
      </c>
    </row>
    <row r="312">
      <c r="A312" t="n">
        <v>311</v>
      </c>
      <c r="B312" t="inlineStr">
        <is>
          <t>경방신약(주)</t>
        </is>
      </c>
      <c r="C312" t="inlineStr">
        <is>
          <t>경방신약</t>
        </is>
      </c>
      <c r="D312" t="inlineStr">
        <is>
          <t>의약품</t>
        </is>
      </c>
      <c r="E312" t="inlineStr">
        <is>
          <t>2101</t>
        </is>
      </c>
      <c r="F312" t="inlineStr">
        <is>
          <t>김충환</t>
        </is>
      </c>
      <c r="G312" t="inlineStr">
        <is>
          <t>1999-12-22</t>
        </is>
      </c>
      <c r="H312" t="inlineStr">
        <is>
          <t>19991222</t>
        </is>
      </c>
      <c r="I312" t="inlineStr">
        <is>
          <t>8</t>
        </is>
      </c>
      <c r="J312" t="inlineStr">
        <is>
          <t>보관소4</t>
        </is>
      </c>
      <c r="K312" t="inlineStr"/>
      <c r="L312" t="inlineStr">
        <is>
          <t>충청남도 금산군 금산읍 인삼약초로 48-8</t>
        </is>
      </c>
      <c r="M312" t="inlineStr">
        <is>
          <t>2층 일부(보관소)</t>
        </is>
      </c>
      <c r="N312" t="inlineStr">
        <is>
          <t>충청남도 금산군 금산읍 인삼약초로 48-8 2층 일부(보관소)</t>
        </is>
      </c>
      <c r="O312" t="inlineStr">
        <is>
          <t>충청남도</t>
        </is>
      </c>
      <c r="P312" t="inlineStr">
        <is>
          <t>금산군</t>
        </is>
      </c>
      <c r="Q312" t="inlineStr">
        <is>
          <t>N</t>
        </is>
      </c>
      <c r="R312" t="n">
        <v>0</v>
      </c>
    </row>
    <row r="313">
      <c r="A313" t="n">
        <v>312</v>
      </c>
      <c r="B313" t="inlineStr">
        <is>
          <t>(주)유바이오로직스</t>
        </is>
      </c>
      <c r="C313" t="inlineStr">
        <is>
          <t>유바이오로직스</t>
        </is>
      </c>
      <c r="D313" t="inlineStr">
        <is>
          <t>의약품</t>
        </is>
      </c>
      <c r="E313" t="inlineStr">
        <is>
          <t>322</t>
        </is>
      </c>
      <c r="F313" t="inlineStr">
        <is>
          <t>허태영</t>
        </is>
      </c>
      <c r="G313" t="inlineStr">
        <is>
          <t>2011-11-28</t>
        </is>
      </c>
      <c r="H313" t="inlineStr">
        <is>
          <t>20111128</t>
        </is>
      </c>
      <c r="I313" t="inlineStr">
        <is>
          <t>1</t>
        </is>
      </c>
      <c r="J313" t="inlineStr">
        <is>
          <t>[제1공장]</t>
        </is>
      </c>
      <c r="K313" t="inlineStr"/>
      <c r="L313" t="inlineStr">
        <is>
          <t>강원특별자치도 춘천시 소양강로 56</t>
        </is>
      </c>
      <c r="M313" t="inlineStr">
        <is>
          <t>4동 1층, 2-4~2-6, 3-1~3-4, 4-6호, 1층 외곽냉장실 3~8, 지하일부</t>
        </is>
      </c>
      <c r="N313" t="inlineStr">
        <is>
          <t>강원특별자치도 춘천시 소양강로 56 4동 1층, 2-4~2-6, 3-1~3-4, 4-6호, 1층 외곽냉장실 3~8, 지하일부</t>
        </is>
      </c>
      <c r="O313" t="inlineStr">
        <is>
          <t>강원특별자치도</t>
        </is>
      </c>
      <c r="P313" t="inlineStr">
        <is>
          <t>춘천시</t>
        </is>
      </c>
      <c r="Q313" t="inlineStr">
        <is>
          <t>Y</t>
        </is>
      </c>
      <c r="R313" t="n">
        <v>57</v>
      </c>
    </row>
    <row r="314">
      <c r="A314" t="n">
        <v>313</v>
      </c>
      <c r="B314" t="inlineStr">
        <is>
          <t>디아이지에어가스(주)</t>
        </is>
      </c>
      <c r="C314" t="inlineStr">
        <is>
          <t>디아이지에어가스</t>
        </is>
      </c>
      <c r="D314" t="inlineStr">
        <is>
          <t>의약품</t>
        </is>
      </c>
      <c r="E314" t="inlineStr">
        <is>
          <t>1603</t>
        </is>
      </c>
      <c r="F314" t="inlineStr">
        <is>
          <t>오규석</t>
        </is>
      </c>
      <c r="G314" t="inlineStr">
        <is>
          <t>1981-02-06</t>
        </is>
      </c>
      <c r="H314" t="inlineStr">
        <is>
          <t>19810206</t>
        </is>
      </c>
      <c r="I314" t="inlineStr">
        <is>
          <t>4</t>
        </is>
      </c>
      <c r="J314" t="inlineStr">
        <is>
          <t>구리</t>
        </is>
      </c>
      <c r="K314" t="inlineStr"/>
      <c r="L314" t="inlineStr">
        <is>
          <t>경기도 구리시 동구릉로200번길 30</t>
        </is>
      </c>
      <c r="M314" t="inlineStr"/>
      <c r="N314" t="inlineStr">
        <is>
          <t>경기도 구리시 동구릉로200번길 30</t>
        </is>
      </c>
      <c r="O314" t="inlineStr">
        <is>
          <t>경기도</t>
        </is>
      </c>
      <c r="P314" t="inlineStr">
        <is>
          <t>구리시</t>
        </is>
      </c>
      <c r="Q314" t="inlineStr">
        <is>
          <t>N</t>
        </is>
      </c>
      <c r="R314" t="n">
        <v>0</v>
      </c>
    </row>
    <row r="315">
      <c r="A315" t="n">
        <v>314</v>
      </c>
      <c r="B315" t="inlineStr">
        <is>
          <t>농업회사법인다온허브주식회사</t>
        </is>
      </c>
      <c r="C315" t="inlineStr">
        <is>
          <t>농업회사법인다온허브</t>
        </is>
      </c>
      <c r="D315" t="inlineStr">
        <is>
          <t>의약품</t>
        </is>
      </c>
      <c r="E315" t="inlineStr">
        <is>
          <t>941</t>
        </is>
      </c>
      <c r="F315" t="inlineStr">
        <is>
          <t>조진희</t>
        </is>
      </c>
      <c r="G315" t="inlineStr">
        <is>
          <t>2011-02-22</t>
        </is>
      </c>
      <c r="H315" t="inlineStr">
        <is>
          <t>20110222</t>
        </is>
      </c>
      <c r="I315" t="inlineStr">
        <is>
          <t>1</t>
        </is>
      </c>
      <c r="J315" t="inlineStr">
        <is>
          <t>다온</t>
        </is>
      </c>
      <c r="K315" t="inlineStr">
        <is>
          <t>010-****-0654</t>
        </is>
      </c>
      <c r="L315" t="inlineStr">
        <is>
          <t>충청남도 논산시 양촌면 중산1길 239</t>
        </is>
      </c>
      <c r="M315" t="inlineStr"/>
      <c r="N315" t="inlineStr">
        <is>
          <t>충청남도 논산시 양촌면 중산1길 239</t>
        </is>
      </c>
      <c r="O315" t="inlineStr">
        <is>
          <t>충청남도</t>
        </is>
      </c>
      <c r="P315" t="inlineStr">
        <is>
          <t>논산시</t>
        </is>
      </c>
      <c r="Q315" t="inlineStr">
        <is>
          <t>N</t>
        </is>
      </c>
      <c r="R315" t="n">
        <v>0</v>
      </c>
    </row>
    <row r="316">
      <c r="A316" t="n">
        <v>315</v>
      </c>
      <c r="B316" t="inlineStr">
        <is>
          <t>경동제약(주)</t>
        </is>
      </c>
      <c r="C316" t="inlineStr">
        <is>
          <t>경동제약</t>
        </is>
      </c>
      <c r="D316" t="inlineStr">
        <is>
          <t>의약품</t>
        </is>
      </c>
      <c r="E316" t="inlineStr">
        <is>
          <t>1574</t>
        </is>
      </c>
      <c r="F316" t="inlineStr">
        <is>
          <t>류기성</t>
        </is>
      </c>
      <c r="G316" t="inlineStr">
        <is>
          <t>1976-04-23</t>
        </is>
      </c>
      <c r="H316" t="inlineStr">
        <is>
          <t>19760423</t>
        </is>
      </c>
      <c r="I316" t="inlineStr">
        <is>
          <t>1</t>
        </is>
      </c>
      <c r="J316" t="inlineStr">
        <is>
          <t>화성</t>
        </is>
      </c>
      <c r="K316" t="inlineStr">
        <is>
          <t>02-576-6123</t>
        </is>
      </c>
      <c r="L316" t="inlineStr">
        <is>
          <t>경기도 화성시 만세구 양감면 제약단지로 224-3</t>
        </is>
      </c>
      <c r="M316" t="inlineStr"/>
      <c r="N316" t="inlineStr">
        <is>
          <t>경기도 화성시 만세구 양감면 제약단지로 224-3</t>
        </is>
      </c>
      <c r="O316" t="inlineStr">
        <is>
          <t>경기도</t>
        </is>
      </c>
      <c r="P316" t="inlineStr">
        <is>
          <t>화성시</t>
        </is>
      </c>
      <c r="Q316" t="inlineStr">
        <is>
          <t>Y</t>
        </is>
      </c>
      <c r="R316" t="n">
        <v>8</v>
      </c>
    </row>
    <row r="317">
      <c r="A317" t="n">
        <v>316</v>
      </c>
      <c r="B317" t="inlineStr">
        <is>
          <t>(주)일화</t>
        </is>
      </c>
      <c r="C317" t="inlineStr">
        <is>
          <t>일화</t>
        </is>
      </c>
      <c r="D317" t="inlineStr">
        <is>
          <t>의약품</t>
        </is>
      </c>
      <c r="E317" t="inlineStr">
        <is>
          <t>1396</t>
        </is>
      </c>
      <c r="F317" t="inlineStr">
        <is>
          <t>권형중</t>
        </is>
      </c>
      <c r="G317" t="inlineStr">
        <is>
          <t>1960-08-12</t>
        </is>
      </c>
      <c r="H317" t="inlineStr">
        <is>
          <t>19600812</t>
        </is>
      </c>
      <c r="I317" t="inlineStr">
        <is>
          <t>2</t>
        </is>
      </c>
      <c r="J317" t="inlineStr">
        <is>
          <t>진천</t>
        </is>
      </c>
      <c r="K317" t="inlineStr">
        <is>
          <t>2223-1215</t>
        </is>
      </c>
      <c r="L317" t="inlineStr"/>
      <c r="M317" t="inlineStr">
        <is>
          <t>충청북도 진천군 광혜원면 광혜원산단2길 78-12</t>
        </is>
      </c>
      <c r="N317" t="inlineStr">
        <is>
          <t>충청북도 진천군 광혜원면 광혜원산단2길 78-12</t>
        </is>
      </c>
      <c r="O317" t="inlineStr">
        <is>
          <t>충청북도</t>
        </is>
      </c>
      <c r="P317" t="inlineStr">
        <is>
          <t>진천군</t>
        </is>
      </c>
      <c r="Q317" t="inlineStr">
        <is>
          <t>N</t>
        </is>
      </c>
      <c r="R317" t="n">
        <v>0</v>
      </c>
    </row>
    <row r="318">
      <c r="A318" t="n">
        <v>317</v>
      </c>
      <c r="B318" t="inlineStr">
        <is>
          <t>에스케이에어플러스 주식회사</t>
        </is>
      </c>
      <c r="C318" t="inlineStr">
        <is>
          <t>에스케이에어플러스</t>
        </is>
      </c>
      <c r="D318" t="inlineStr">
        <is>
          <t>의약품</t>
        </is>
      </c>
      <c r="E318" t="inlineStr">
        <is>
          <t>502</t>
        </is>
      </c>
      <c r="F318" t="inlineStr">
        <is>
          <t>오종진</t>
        </is>
      </c>
      <c r="G318" t="inlineStr">
        <is>
          <t>2010-04-20</t>
        </is>
      </c>
      <c r="H318" t="inlineStr">
        <is>
          <t>20100420</t>
        </is>
      </c>
      <c r="I318" t="inlineStr">
        <is>
          <t>1</t>
        </is>
      </c>
      <c r="J318" t="inlineStr">
        <is>
          <t>SK머티리얼즈에어플러스(주)</t>
        </is>
      </c>
      <c r="K318" t="inlineStr">
        <is>
          <t>010-****-3363(김기형)</t>
        </is>
      </c>
      <c r="L318" t="inlineStr">
        <is>
          <t>울산광역시 남구 용잠로 255</t>
        </is>
      </c>
      <c r="M318" t="inlineStr"/>
      <c r="N318" t="inlineStr">
        <is>
          <t>울산광역시 남구 용잠로 255</t>
        </is>
      </c>
      <c r="O318" t="inlineStr">
        <is>
          <t>울산광역시</t>
        </is>
      </c>
      <c r="P318" t="inlineStr">
        <is>
          <t>남구</t>
        </is>
      </c>
      <c r="Q318" t="inlineStr">
        <is>
          <t>N</t>
        </is>
      </c>
      <c r="R318" t="n">
        <v>0</v>
      </c>
    </row>
    <row r="319">
      <c r="A319" t="n">
        <v>318</v>
      </c>
      <c r="B319" t="inlineStr">
        <is>
          <t>천우신약(주)</t>
        </is>
      </c>
      <c r="C319" t="inlineStr">
        <is>
          <t>천우신약</t>
        </is>
      </c>
      <c r="D319" t="inlineStr">
        <is>
          <t>의약품</t>
        </is>
      </c>
      <c r="E319" t="inlineStr">
        <is>
          <t>1547</t>
        </is>
      </c>
      <c r="F319" t="inlineStr">
        <is>
          <t>유성준</t>
        </is>
      </c>
      <c r="G319" t="inlineStr">
        <is>
          <t>1972-04-04</t>
        </is>
      </c>
      <c r="H319" t="inlineStr">
        <is>
          <t>19720404</t>
        </is>
      </c>
      <c r="I319" t="inlineStr">
        <is>
          <t>1</t>
        </is>
      </c>
      <c r="J319" t="inlineStr">
        <is>
          <t>1공장</t>
        </is>
      </c>
      <c r="K319" t="inlineStr"/>
      <c r="L319" t="inlineStr">
        <is>
          <t>충청남도 아산시 신창면 서부남로790번길 60</t>
        </is>
      </c>
      <c r="M319" t="inlineStr"/>
      <c r="N319" t="inlineStr">
        <is>
          <t>충청남도 아산시 신창면 서부남로790번길 60</t>
        </is>
      </c>
      <c r="O319" t="inlineStr">
        <is>
          <t>충청남도</t>
        </is>
      </c>
      <c r="P319" t="inlineStr">
        <is>
          <t>아산시</t>
        </is>
      </c>
      <c r="Q319" t="inlineStr">
        <is>
          <t>N</t>
        </is>
      </c>
      <c r="R319" t="n">
        <v>0</v>
      </c>
    </row>
    <row r="320">
      <c r="A320" t="n">
        <v>319</v>
      </c>
      <c r="B320" t="inlineStr">
        <is>
          <t>하나제약(주)</t>
        </is>
      </c>
      <c r="C320" t="inlineStr">
        <is>
          <t>하나제약</t>
        </is>
      </c>
      <c r="D320" t="inlineStr">
        <is>
          <t>의약품</t>
        </is>
      </c>
      <c r="E320" t="inlineStr">
        <is>
          <t>1371</t>
        </is>
      </c>
      <c r="F320" t="inlineStr">
        <is>
          <t>최태홍</t>
        </is>
      </c>
      <c r="G320" t="inlineStr">
        <is>
          <t>1958-07-30</t>
        </is>
      </c>
      <c r="H320" t="inlineStr">
        <is>
          <t>19580730</t>
        </is>
      </c>
      <c r="I320" t="inlineStr">
        <is>
          <t>2</t>
        </is>
      </c>
      <c r="J320" t="inlineStr">
        <is>
          <t>화성하길공장</t>
        </is>
      </c>
      <c r="K320" t="inlineStr">
        <is>
          <t>031-366-5511</t>
        </is>
      </c>
      <c r="L320" t="inlineStr">
        <is>
          <t>경기도 화성시 만세구 향남읍 제약단지로 13-39</t>
        </is>
      </c>
      <c r="M320" t="inlineStr"/>
      <c r="N320" t="inlineStr">
        <is>
          <t>경기도 화성시 만세구 향남읍 제약단지로 13-39</t>
        </is>
      </c>
      <c r="O320" t="inlineStr">
        <is>
          <t>경기도</t>
        </is>
      </c>
      <c r="P320" t="inlineStr">
        <is>
          <t>화성시</t>
        </is>
      </c>
      <c r="Q320" t="inlineStr">
        <is>
          <t>N</t>
        </is>
      </c>
      <c r="R320" t="n">
        <v>0</v>
      </c>
    </row>
    <row r="321">
      <c r="A321" t="n">
        <v>320</v>
      </c>
      <c r="B321" t="inlineStr">
        <is>
          <t>주식회사 에이치이엠파마</t>
        </is>
      </c>
      <c r="C321" t="inlineStr">
        <is>
          <t>에이치이엠파마</t>
        </is>
      </c>
      <c r="D321" t="inlineStr">
        <is>
          <t>의약품</t>
        </is>
      </c>
      <c r="E321" t="inlineStr">
        <is>
          <t>6191</t>
        </is>
      </c>
      <c r="F321" t="inlineStr">
        <is>
          <t>지요셉</t>
        </is>
      </c>
      <c r="G321" t="inlineStr">
        <is>
          <t>2025-10-30</t>
        </is>
      </c>
      <c r="H321" t="inlineStr">
        <is>
          <t>20251030</t>
        </is>
      </c>
      <c r="I321" t="inlineStr">
        <is>
          <t>1</t>
        </is>
      </c>
      <c r="J321" t="inlineStr">
        <is>
          <t>에이치이엠파마</t>
        </is>
      </c>
      <c r="K321" t="inlineStr"/>
      <c r="L321" t="inlineStr">
        <is>
          <t>세종특별자치시 소정면 소정산단6로 80</t>
        </is>
      </c>
      <c r="M321" t="inlineStr"/>
      <c r="N321" t="inlineStr">
        <is>
          <t>세종특별자치시 소정면 소정산단6로 80</t>
        </is>
      </c>
      <c r="O321" t="inlineStr">
        <is>
          <t>세종특별자치시</t>
        </is>
      </c>
      <c r="P321" t="inlineStr"/>
      <c r="Q321" t="inlineStr">
        <is>
          <t>N</t>
        </is>
      </c>
      <c r="R321" t="n">
        <v>0</v>
      </c>
    </row>
    <row r="322">
      <c r="A322" t="n">
        <v>321</v>
      </c>
      <c r="B322" t="inlineStr">
        <is>
          <t>(주)대흥제약</t>
        </is>
      </c>
      <c r="C322" t="inlineStr">
        <is>
          <t>대흥제약</t>
        </is>
      </c>
      <c r="D322" t="inlineStr">
        <is>
          <t>의약품</t>
        </is>
      </c>
      <c r="E322" t="inlineStr">
        <is>
          <t>276</t>
        </is>
      </c>
      <c r="F322" t="inlineStr">
        <is>
          <t>지수현</t>
        </is>
      </c>
      <c r="G322" t="inlineStr">
        <is>
          <t>2009-05-12</t>
        </is>
      </c>
      <c r="H322" t="inlineStr">
        <is>
          <t>20090512</t>
        </is>
      </c>
      <c r="I322" t="inlineStr">
        <is>
          <t>1</t>
        </is>
      </c>
      <c r="J322" t="inlineStr">
        <is>
          <t>(주)대흥제약</t>
        </is>
      </c>
      <c r="K322" t="inlineStr">
        <is>
          <t>(02)964-5774</t>
        </is>
      </c>
      <c r="L322" t="inlineStr">
        <is>
          <t>서울특별시 동대문구 약령중앙로 40-1</t>
        </is>
      </c>
      <c r="M322" t="inlineStr">
        <is>
          <t>4층(제기동)</t>
        </is>
      </c>
      <c r="N322" t="inlineStr">
        <is>
          <t>서울특별시 동대문구 약령중앙로 40-1 4층(제기동)</t>
        </is>
      </c>
      <c r="O322" t="inlineStr">
        <is>
          <t>서울특별시</t>
        </is>
      </c>
      <c r="P322" t="inlineStr">
        <is>
          <t>동대문구</t>
        </is>
      </c>
      <c r="Q322" t="inlineStr">
        <is>
          <t>N</t>
        </is>
      </c>
      <c r="R322" t="n">
        <v>0</v>
      </c>
    </row>
    <row r="323">
      <c r="A323" t="n">
        <v>322</v>
      </c>
      <c r="B323" t="inlineStr">
        <is>
          <t>대우제약(주)</t>
        </is>
      </c>
      <c r="C323" t="inlineStr">
        <is>
          <t>대우제약</t>
        </is>
      </c>
      <c r="D323" t="inlineStr">
        <is>
          <t>의약품</t>
        </is>
      </c>
      <c r="E323" t="inlineStr">
        <is>
          <t>1526</t>
        </is>
      </c>
      <c r="F323" t="inlineStr">
        <is>
          <t>지용훈</t>
        </is>
      </c>
      <c r="G323" t="inlineStr">
        <is>
          <t>1971-05-08</t>
        </is>
      </c>
      <c r="H323" t="inlineStr">
        <is>
          <t>19710508</t>
        </is>
      </c>
      <c r="I323" t="inlineStr">
        <is>
          <t>1</t>
        </is>
      </c>
      <c r="J323" t="inlineStr">
        <is>
          <t>부산</t>
        </is>
      </c>
      <c r="K323" t="inlineStr">
        <is>
          <t>051-204-3831/4</t>
        </is>
      </c>
      <c r="L323" t="inlineStr">
        <is>
          <t>부산광역시 사하구 다대로 153</t>
        </is>
      </c>
      <c r="M323" t="inlineStr"/>
      <c r="N323" t="inlineStr">
        <is>
          <t>부산광역시 사하구 다대로 153</t>
        </is>
      </c>
      <c r="O323" t="inlineStr">
        <is>
          <t>부산광역시</t>
        </is>
      </c>
      <c r="P323" t="inlineStr">
        <is>
          <t>사하구</t>
        </is>
      </c>
      <c r="Q323" t="inlineStr">
        <is>
          <t>N</t>
        </is>
      </c>
      <c r="R323" t="n">
        <v>0</v>
      </c>
    </row>
    <row r="324">
      <c r="A324" t="n">
        <v>323</v>
      </c>
      <c r="B324" t="inlineStr">
        <is>
          <t>안국약품(주)</t>
        </is>
      </c>
      <c r="C324" t="inlineStr">
        <is>
          <t>안국약품</t>
        </is>
      </c>
      <c r="D324" t="inlineStr">
        <is>
          <t>의약품</t>
        </is>
      </c>
      <c r="E324" t="inlineStr">
        <is>
          <t>1362</t>
        </is>
      </c>
      <c r="F324" t="inlineStr">
        <is>
          <t>박인철</t>
        </is>
      </c>
      <c r="G324" t="inlineStr">
        <is>
          <t>1958-03-01</t>
        </is>
      </c>
      <c r="H324" t="inlineStr">
        <is>
          <t>19580301</t>
        </is>
      </c>
      <c r="I324" t="inlineStr">
        <is>
          <t>2</t>
        </is>
      </c>
      <c r="J324" t="inlineStr">
        <is>
          <t>보관소</t>
        </is>
      </c>
      <c r="K324" t="inlineStr"/>
      <c r="L324" t="inlineStr">
        <is>
          <t>경기도 평택시 청북읍 드림산단4로 26</t>
        </is>
      </c>
      <c r="M324" t="inlineStr">
        <is>
          <t>4층(일부)</t>
        </is>
      </c>
      <c r="N324" t="inlineStr">
        <is>
          <t>경기도 평택시 청북읍 드림산단4로 26 4층(일부)</t>
        </is>
      </c>
      <c r="O324" t="inlineStr">
        <is>
          <t>경기도</t>
        </is>
      </c>
      <c r="P324" t="inlineStr">
        <is>
          <t>평택시</t>
        </is>
      </c>
      <c r="Q324" t="inlineStr">
        <is>
          <t>N</t>
        </is>
      </c>
      <c r="R324" t="n">
        <v>0</v>
      </c>
    </row>
    <row r="325">
      <c r="A325" t="n">
        <v>324</v>
      </c>
      <c r="B325" t="inlineStr">
        <is>
          <t>에스케이케미칼(주)</t>
        </is>
      </c>
      <c r="C325" t="inlineStr">
        <is>
          <t>에스케이케미칼</t>
        </is>
      </c>
      <c r="D325" t="inlineStr">
        <is>
          <t>의약품</t>
        </is>
      </c>
      <c r="E325" t="inlineStr">
        <is>
          <t>1346</t>
        </is>
      </c>
      <c r="F325" t="inlineStr">
        <is>
          <t>안재현</t>
        </is>
      </c>
      <c r="G325" t="inlineStr">
        <is>
          <t>1957-06-17</t>
        </is>
      </c>
      <c r="H325" t="inlineStr">
        <is>
          <t>19570617</t>
        </is>
      </c>
      <c r="I325" t="inlineStr">
        <is>
          <t>4</t>
        </is>
      </c>
      <c r="J325" t="inlineStr">
        <is>
          <t>청주</t>
        </is>
      </c>
      <c r="K325" t="inlineStr"/>
      <c r="L325" t="inlineStr">
        <is>
          <t>충청북도 청주시 흥덕구 산단로 149</t>
        </is>
      </c>
      <c r="M325" t="inlineStr"/>
      <c r="N325" t="inlineStr">
        <is>
          <t>충청북도 청주시 흥덕구 산단로 149</t>
        </is>
      </c>
      <c r="O325" t="inlineStr">
        <is>
          <t>충청북도</t>
        </is>
      </c>
      <c r="P325" t="inlineStr">
        <is>
          <t>청주시</t>
        </is>
      </c>
      <c r="Q325" t="inlineStr">
        <is>
          <t>N</t>
        </is>
      </c>
      <c r="R325" t="n">
        <v>0</v>
      </c>
    </row>
    <row r="326">
      <c r="A326" t="n">
        <v>325</v>
      </c>
      <c r="B326" t="inlineStr">
        <is>
          <t>한국유나이티드제약(주)</t>
        </is>
      </c>
      <c r="C326" t="inlineStr">
        <is>
          <t>한국유나이티드제약</t>
        </is>
      </c>
      <c r="D326" t="inlineStr">
        <is>
          <t>의약품</t>
        </is>
      </c>
      <c r="E326" t="inlineStr">
        <is>
          <t>1752</t>
        </is>
      </c>
      <c r="F326" t="inlineStr">
        <is>
          <t>강덕영</t>
        </is>
      </c>
      <c r="G326" t="inlineStr">
        <is>
          <t>1991-10-11</t>
        </is>
      </c>
      <c r="H326" t="inlineStr">
        <is>
          <t>19911011</t>
        </is>
      </c>
      <c r="I326" t="inlineStr">
        <is>
          <t>6</t>
        </is>
      </c>
      <c r="J326" t="inlineStr">
        <is>
          <t>보관소(6 공장)</t>
        </is>
      </c>
      <c r="K326" t="inlineStr">
        <is>
          <t>044-862-5030</t>
        </is>
      </c>
      <c r="L326" t="inlineStr">
        <is>
          <t>세종특별자치시 전동면 노장공단길 25-15</t>
        </is>
      </c>
      <c r="M326" t="inlineStr"/>
      <c r="N326" t="inlineStr">
        <is>
          <t>세종특별자치시 전동면 노장공단길 25-15</t>
        </is>
      </c>
      <c r="O326" t="inlineStr">
        <is>
          <t>세종특별자치시</t>
        </is>
      </c>
      <c r="P326" t="inlineStr"/>
      <c r="Q326" t="inlineStr">
        <is>
          <t>N</t>
        </is>
      </c>
      <c r="R326" t="n">
        <v>0</v>
      </c>
    </row>
    <row r="327">
      <c r="A327" t="n">
        <v>326</v>
      </c>
      <c r="B327" t="inlineStr">
        <is>
          <t>명인제약(주)</t>
        </is>
      </c>
      <c r="C327" t="inlineStr">
        <is>
          <t>명인제약</t>
        </is>
      </c>
      <c r="D327" t="inlineStr">
        <is>
          <t>의약품</t>
        </is>
      </c>
      <c r="E327" t="inlineStr">
        <is>
          <t>1504</t>
        </is>
      </c>
      <c r="F327" t="inlineStr">
        <is>
          <t>차봉권</t>
        </is>
      </c>
      <c r="G327" t="inlineStr">
        <is>
          <t>1969-11-15</t>
        </is>
      </c>
      <c r="H327" t="inlineStr">
        <is>
          <t>19691115</t>
        </is>
      </c>
      <c r="I327" t="inlineStr">
        <is>
          <t>2</t>
        </is>
      </c>
      <c r="J327" t="inlineStr">
        <is>
          <t>제2공장</t>
        </is>
      </c>
      <c r="K327" t="inlineStr"/>
      <c r="L327" t="inlineStr">
        <is>
          <t>경기도 화성시 만세구 향남읍 발안공단로 17</t>
        </is>
      </c>
      <c r="M327" t="inlineStr"/>
      <c r="N327" t="inlineStr">
        <is>
          <t>경기도 화성시 만세구 향남읍 발안공단로 17</t>
        </is>
      </c>
      <c r="O327" t="inlineStr">
        <is>
          <t>경기도</t>
        </is>
      </c>
      <c r="P327" t="inlineStr">
        <is>
          <t>화성시</t>
        </is>
      </c>
      <c r="Q327" t="inlineStr">
        <is>
          <t>Y</t>
        </is>
      </c>
      <c r="R327" t="n">
        <v>58</v>
      </c>
    </row>
    <row r="328">
      <c r="A328" t="n">
        <v>327</v>
      </c>
      <c r="B328" t="inlineStr">
        <is>
          <t>유니메드제약(주)</t>
        </is>
      </c>
      <c r="C328" t="inlineStr">
        <is>
          <t>유니메드제약</t>
        </is>
      </c>
      <c r="D328" t="inlineStr">
        <is>
          <t>의약품</t>
        </is>
      </c>
      <c r="E328" t="inlineStr">
        <is>
          <t>1729</t>
        </is>
      </c>
      <c r="F328" t="inlineStr">
        <is>
          <t>김건남</t>
        </is>
      </c>
      <c r="G328" t="inlineStr">
        <is>
          <t>1990-10-31</t>
        </is>
      </c>
      <c r="H328" t="inlineStr">
        <is>
          <t>19901031</t>
        </is>
      </c>
      <c r="I328" t="inlineStr">
        <is>
          <t>2</t>
        </is>
      </c>
      <c r="J328" t="inlineStr">
        <is>
          <t>오송공장</t>
        </is>
      </c>
      <c r="K328" t="inlineStr">
        <is>
          <t>02-424-2777</t>
        </is>
      </c>
      <c r="L328" t="inlineStr">
        <is>
          <t>충청북도 청주시 흥덕구 오송읍 오송생명6로 132</t>
        </is>
      </c>
      <c r="M328" t="inlineStr"/>
      <c r="N328" t="inlineStr">
        <is>
          <t>충청북도 청주시 흥덕구 오송읍 오송생명6로 132</t>
        </is>
      </c>
      <c r="O328" t="inlineStr">
        <is>
          <t>충청북도</t>
        </is>
      </c>
      <c r="P328" t="inlineStr">
        <is>
          <t>청주시</t>
        </is>
      </c>
      <c r="Q328" t="inlineStr">
        <is>
          <t>N</t>
        </is>
      </c>
      <c r="R328" t="n">
        <v>0</v>
      </c>
    </row>
    <row r="329">
      <c r="A329" t="n">
        <v>328</v>
      </c>
      <c r="B329" t="inlineStr">
        <is>
          <t>경진제약(주)</t>
        </is>
      </c>
      <c r="C329" t="inlineStr">
        <is>
          <t>경진제약</t>
        </is>
      </c>
      <c r="D329" t="inlineStr">
        <is>
          <t>의약품</t>
        </is>
      </c>
      <c r="E329" t="inlineStr">
        <is>
          <t>1492</t>
        </is>
      </c>
      <c r="F329" t="inlineStr">
        <is>
          <t>이중기</t>
        </is>
      </c>
      <c r="G329" t="inlineStr">
        <is>
          <t>1968-06-26</t>
        </is>
      </c>
      <c r="H329" t="inlineStr">
        <is>
          <t>19680626</t>
        </is>
      </c>
      <c r="I329" t="inlineStr">
        <is>
          <t>2</t>
        </is>
      </c>
      <c r="J329" t="inlineStr">
        <is>
          <t>이천</t>
        </is>
      </c>
      <c r="K329" t="inlineStr">
        <is>
          <t>02-2612-0714</t>
        </is>
      </c>
      <c r="L329" t="inlineStr">
        <is>
          <t>경기도 이천시 율면 일생로406번길 6</t>
        </is>
      </c>
      <c r="M329" t="inlineStr"/>
      <c r="N329" t="inlineStr">
        <is>
          <t>경기도 이천시 율면 일생로406번길 6</t>
        </is>
      </c>
      <c r="O329" t="inlineStr">
        <is>
          <t>경기도</t>
        </is>
      </c>
      <c r="P329" t="inlineStr">
        <is>
          <t>이천시</t>
        </is>
      </c>
      <c r="Q329" t="inlineStr">
        <is>
          <t>N</t>
        </is>
      </c>
      <c r="R329" t="n">
        <v>0</v>
      </c>
    </row>
    <row r="330">
      <c r="A330" t="n">
        <v>329</v>
      </c>
      <c r="B330" t="inlineStr">
        <is>
          <t>(주)보령</t>
        </is>
      </c>
      <c r="C330" t="inlineStr">
        <is>
          <t>보령</t>
        </is>
      </c>
      <c r="D330" t="inlineStr">
        <is>
          <t>의약품</t>
        </is>
      </c>
      <c r="E330" t="inlineStr">
        <is>
          <t>1689</t>
        </is>
      </c>
      <c r="F330" t="inlineStr">
        <is>
          <t>김정균</t>
        </is>
      </c>
      <c r="G330" t="inlineStr">
        <is>
          <t>1988-05-09</t>
        </is>
      </c>
      <c r="H330" t="inlineStr">
        <is>
          <t>19880509</t>
        </is>
      </c>
      <c r="I330" t="inlineStr">
        <is>
          <t>4</t>
        </is>
      </c>
      <c r="J330" t="inlineStr">
        <is>
          <t>보관소</t>
        </is>
      </c>
      <c r="K330" t="inlineStr"/>
      <c r="L330" t="inlineStr">
        <is>
          <t>경기도 화성시 봉담읍 왕림2길 42-25</t>
        </is>
      </c>
      <c r="M330" t="inlineStr">
        <is>
          <t>가동 지하2층(일부)</t>
        </is>
      </c>
      <c r="N330" t="inlineStr">
        <is>
          <t>경기도 화성시 봉담읍 왕림2길 42-25 가동 지하2층(일부)</t>
        </is>
      </c>
      <c r="O330" t="inlineStr">
        <is>
          <t>경기도</t>
        </is>
      </c>
      <c r="P330" t="inlineStr">
        <is>
          <t>화성시</t>
        </is>
      </c>
      <c r="Q330" t="inlineStr">
        <is>
          <t>N</t>
        </is>
      </c>
      <c r="R330" t="n">
        <v>0</v>
      </c>
    </row>
    <row r="331">
      <c r="A331" t="n">
        <v>330</v>
      </c>
      <c r="B331" t="inlineStr">
        <is>
          <t>(주)에스디</t>
        </is>
      </c>
      <c r="C331" t="inlineStr">
        <is>
          <t>에스디</t>
        </is>
      </c>
      <c r="D331" t="inlineStr">
        <is>
          <t>의약품</t>
        </is>
      </c>
      <c r="E331" t="inlineStr">
        <is>
          <t>2134</t>
        </is>
      </c>
      <c r="F331" t="inlineStr">
        <is>
          <t>조병기</t>
        </is>
      </c>
      <c r="G331" t="inlineStr">
        <is>
          <t>2000-06-28</t>
        </is>
      </c>
      <c r="H331" t="inlineStr">
        <is>
          <t>20000628</t>
        </is>
      </c>
      <c r="I331" t="inlineStr">
        <is>
          <t>5</t>
        </is>
      </c>
      <c r="J331" t="inlineStr">
        <is>
          <t>제3보관소</t>
        </is>
      </c>
      <c r="K331" t="inlineStr"/>
      <c r="L331" t="inlineStr"/>
      <c r="M331" t="inlineStr">
        <is>
          <t>경기 용인시 처인구 삼가동 ~ 146-1 147-3</t>
        </is>
      </c>
      <c r="N331" t="inlineStr">
        <is>
          <t>경기 용인시 처인구 삼가동 ~ 146-1 147-3</t>
        </is>
      </c>
      <c r="O331" t="inlineStr">
        <is>
          <t>경기</t>
        </is>
      </c>
      <c r="P331" t="inlineStr">
        <is>
          <t>용인시</t>
        </is>
      </c>
      <c r="Q331" t="inlineStr">
        <is>
          <t>N</t>
        </is>
      </c>
      <c r="R331" t="n">
        <v>0</v>
      </c>
    </row>
    <row r="332">
      <c r="A332" t="n">
        <v>331</v>
      </c>
      <c r="B332" t="inlineStr">
        <is>
          <t>케이엠에스제약(주)</t>
        </is>
      </c>
      <c r="C332" t="inlineStr">
        <is>
          <t>케이엠에스제약</t>
        </is>
      </c>
      <c r="D332" t="inlineStr">
        <is>
          <t>의약품</t>
        </is>
      </c>
      <c r="E332" t="inlineStr">
        <is>
          <t>1479</t>
        </is>
      </c>
      <c r="F332" t="inlineStr">
        <is>
          <t>이승우</t>
        </is>
      </c>
      <c r="G332" t="inlineStr">
        <is>
          <t>1966-12-07</t>
        </is>
      </c>
      <c r="H332" t="inlineStr">
        <is>
          <t>19661207</t>
        </is>
      </c>
      <c r="I332" t="inlineStr">
        <is>
          <t>1</t>
        </is>
      </c>
      <c r="J332" t="inlineStr">
        <is>
          <t>수원</t>
        </is>
      </c>
      <c r="K332" t="inlineStr">
        <is>
          <t>031-215-5456</t>
        </is>
      </c>
      <c r="L332" t="inlineStr">
        <is>
          <t>경기도 수원시 영통구 신원로 236</t>
        </is>
      </c>
      <c r="M332" t="inlineStr"/>
      <c r="N332" t="inlineStr">
        <is>
          <t>경기도 수원시 영통구 신원로 236</t>
        </is>
      </c>
      <c r="O332" t="inlineStr">
        <is>
          <t>경기도</t>
        </is>
      </c>
      <c r="P332" t="inlineStr">
        <is>
          <t>수원시</t>
        </is>
      </c>
      <c r="Q332" t="inlineStr">
        <is>
          <t>Y</t>
        </is>
      </c>
      <c r="R332" t="n">
        <v>12</v>
      </c>
    </row>
    <row r="333">
      <c r="A333" t="n">
        <v>332</v>
      </c>
      <c r="B333" t="inlineStr">
        <is>
          <t>(주)휴온스</t>
        </is>
      </c>
      <c r="C333" t="inlineStr">
        <is>
          <t>휴온스</t>
        </is>
      </c>
      <c r="D333" t="inlineStr">
        <is>
          <t>의약품</t>
        </is>
      </c>
      <c r="E333" t="inlineStr">
        <is>
          <t>1683</t>
        </is>
      </c>
      <c r="F333" t="inlineStr">
        <is>
          <t>송수영</t>
        </is>
      </c>
      <c r="G333" t="inlineStr">
        <is>
          <t>1987-10-24</t>
        </is>
      </c>
      <c r="H333" t="inlineStr">
        <is>
          <t>19871024</t>
        </is>
      </c>
      <c r="I333" t="inlineStr">
        <is>
          <t>4</t>
        </is>
      </c>
      <c r="J333" t="inlineStr">
        <is>
          <t>제천 제2공장</t>
        </is>
      </c>
      <c r="K333" t="inlineStr"/>
      <c r="L333" t="inlineStr">
        <is>
          <t>충청북도 제천시 바이오밸리로 137</t>
        </is>
      </c>
      <c r="M333" t="inlineStr"/>
      <c r="N333" t="inlineStr">
        <is>
          <t>충청북도 제천시 바이오밸리로 137</t>
        </is>
      </c>
      <c r="O333" t="inlineStr">
        <is>
          <t>충청북도</t>
        </is>
      </c>
      <c r="P333" t="inlineStr">
        <is>
          <t>제천시</t>
        </is>
      </c>
      <c r="Q333" t="inlineStr">
        <is>
          <t>N</t>
        </is>
      </c>
      <c r="R333" t="n">
        <v>0</v>
      </c>
    </row>
    <row r="334">
      <c r="A334" t="n">
        <v>333</v>
      </c>
      <c r="B334" t="inlineStr">
        <is>
          <t>에어프로덕츠코리아(주)</t>
        </is>
      </c>
      <c r="C334" t="inlineStr">
        <is>
          <t>에어프로덕츠코리아</t>
        </is>
      </c>
      <c r="D334" t="inlineStr">
        <is>
          <t>의약품</t>
        </is>
      </c>
      <c r="E334" t="inlineStr">
        <is>
          <t>2065</t>
        </is>
      </c>
      <c r="F334" t="inlineStr">
        <is>
          <t>김승록</t>
        </is>
      </c>
      <c r="G334" t="inlineStr">
        <is>
          <t>1999-07-27</t>
        </is>
      </c>
      <c r="H334" t="inlineStr">
        <is>
          <t>19990727</t>
        </is>
      </c>
      <c r="I334" t="inlineStr">
        <is>
          <t>6</t>
        </is>
      </c>
      <c r="J334" t="inlineStr">
        <is>
          <t>용인</t>
        </is>
      </c>
      <c r="K334" t="inlineStr"/>
      <c r="L334" t="inlineStr">
        <is>
          <t>경기도 용인시 기흥구 농서로46번길 3</t>
        </is>
      </c>
      <c r="M334" t="inlineStr">
        <is>
          <t>, 농서로 48</t>
        </is>
      </c>
      <c r="N334" t="inlineStr">
        <is>
          <t>경기도 용인시 기흥구 농서로46번길 3 , 농서로 48</t>
        </is>
      </c>
      <c r="O334" t="inlineStr">
        <is>
          <t>경기도</t>
        </is>
      </c>
      <c r="P334" t="inlineStr">
        <is>
          <t>용인시</t>
        </is>
      </c>
      <c r="Q334" t="inlineStr">
        <is>
          <t>N</t>
        </is>
      </c>
      <c r="R334" t="n">
        <v>0</v>
      </c>
    </row>
    <row r="335">
      <c r="A335" t="n">
        <v>334</v>
      </c>
      <c r="B335" t="inlineStr">
        <is>
          <t>한미정밀화학(주)</t>
        </is>
      </c>
      <c r="C335" t="inlineStr">
        <is>
          <t>한미정밀화학</t>
        </is>
      </c>
      <c r="D335" t="inlineStr">
        <is>
          <t>의약품</t>
        </is>
      </c>
      <c r="E335" t="inlineStr">
        <is>
          <t>1444</t>
        </is>
      </c>
      <c r="F335" t="inlineStr">
        <is>
          <t>장영길</t>
        </is>
      </c>
      <c r="G335" t="inlineStr">
        <is>
          <t>1984-06-13</t>
        </is>
      </c>
      <c r="H335" t="inlineStr">
        <is>
          <t>19840613</t>
        </is>
      </c>
      <c r="I335" t="inlineStr">
        <is>
          <t>2</t>
        </is>
      </c>
      <c r="J335" t="inlineStr">
        <is>
          <t>위험물창고, 질소발생장치 및 NMR 시험실</t>
        </is>
      </c>
      <c r="K335" t="inlineStr"/>
      <c r="L335" t="inlineStr">
        <is>
          <t>경기도 시흥시 협력로 122</t>
        </is>
      </c>
      <c r="M335" t="inlineStr">
        <is>
          <t>일부(정왕동 1248-9)</t>
        </is>
      </c>
      <c r="N335" t="inlineStr">
        <is>
          <t>경기도 시흥시 협력로 122 일부(정왕동 1248-9)</t>
        </is>
      </c>
      <c r="O335" t="inlineStr">
        <is>
          <t>경기도</t>
        </is>
      </c>
      <c r="P335" t="inlineStr">
        <is>
          <t>시흥시</t>
        </is>
      </c>
      <c r="Q335" t="inlineStr">
        <is>
          <t>N</t>
        </is>
      </c>
      <c r="R335" t="n">
        <v>0</v>
      </c>
    </row>
    <row r="336">
      <c r="A336" t="n">
        <v>335</v>
      </c>
      <c r="B336" t="inlineStr">
        <is>
          <t>주신제약(주)</t>
        </is>
      </c>
      <c r="C336" t="inlineStr">
        <is>
          <t>주신제약</t>
        </is>
      </c>
      <c r="D336" t="inlineStr">
        <is>
          <t>의약품</t>
        </is>
      </c>
      <c r="E336" t="inlineStr">
        <is>
          <t>2072</t>
        </is>
      </c>
      <c r="F336" t="inlineStr">
        <is>
          <t>전인정</t>
        </is>
      </c>
      <c r="G336" t="inlineStr">
        <is>
          <t>1999-08-27</t>
        </is>
      </c>
      <c r="H336" t="inlineStr">
        <is>
          <t>19990827</t>
        </is>
      </c>
      <c r="I336" t="inlineStr">
        <is>
          <t>1</t>
        </is>
      </c>
      <c r="J336" t="inlineStr">
        <is>
          <t>금산</t>
        </is>
      </c>
      <c r="K336" t="inlineStr">
        <is>
          <t>041-754-0005</t>
        </is>
      </c>
      <c r="L336" t="inlineStr">
        <is>
          <t>충청남도 금산군 군북면 부말길 58-5</t>
        </is>
      </c>
      <c r="M336" t="inlineStr"/>
      <c r="N336" t="inlineStr">
        <is>
          <t>충청남도 금산군 군북면 부말길 58-5</t>
        </is>
      </c>
      <c r="O336" t="inlineStr">
        <is>
          <t>충청남도</t>
        </is>
      </c>
      <c r="P336" t="inlineStr">
        <is>
          <t>금산군</t>
        </is>
      </c>
      <c r="Q336" t="inlineStr">
        <is>
          <t>N</t>
        </is>
      </c>
      <c r="R336" t="n">
        <v>0</v>
      </c>
    </row>
    <row r="337">
      <c r="A337" t="n">
        <v>336</v>
      </c>
      <c r="B337" t="inlineStr">
        <is>
          <t>(주)얀센백신</t>
        </is>
      </c>
      <c r="C337" t="inlineStr">
        <is>
          <t>얀센백신</t>
        </is>
      </c>
      <c r="D337" t="inlineStr">
        <is>
          <t>의약품</t>
        </is>
      </c>
      <c r="E337" t="inlineStr">
        <is>
          <t>2091</t>
        </is>
      </c>
      <c r="F337" t="inlineStr">
        <is>
          <t>이존우춘</t>
        </is>
      </c>
      <c r="G337" t="inlineStr">
        <is>
          <t>1999-11-09</t>
        </is>
      </c>
      <c r="H337" t="inlineStr">
        <is>
          <t>19991109</t>
        </is>
      </c>
      <c r="I337" t="inlineStr">
        <is>
          <t>2</t>
        </is>
      </c>
      <c r="J337" t="inlineStr"/>
      <c r="K337" t="inlineStr">
        <is>
          <t>-</t>
        </is>
      </c>
      <c r="L337" t="inlineStr">
        <is>
          <t>인천광역시 연수구 하모니로303번길 23</t>
        </is>
      </c>
      <c r="M337" t="inlineStr">
        <is>
          <t>(송도동)</t>
        </is>
      </c>
      <c r="N337" t="inlineStr">
        <is>
          <t>인천광역시 연수구 하모니로303번길 23 (송도동)</t>
        </is>
      </c>
      <c r="O337" t="inlineStr">
        <is>
          <t>인천광역시</t>
        </is>
      </c>
      <c r="P337" t="inlineStr">
        <is>
          <t>연수구</t>
        </is>
      </c>
      <c r="Q337" t="inlineStr">
        <is>
          <t>N</t>
        </is>
      </c>
      <c r="R337" t="n">
        <v>0</v>
      </c>
    </row>
    <row r="338">
      <c r="A338" t="n">
        <v>337</v>
      </c>
      <c r="B338" t="inlineStr">
        <is>
          <t>(주)팬젠</t>
        </is>
      </c>
      <c r="C338" t="inlineStr">
        <is>
          <t>팬젠</t>
        </is>
      </c>
      <c r="D338" t="inlineStr">
        <is>
          <t>의약품</t>
        </is>
      </c>
      <c r="E338" t="inlineStr">
        <is>
          <t>339</t>
        </is>
      </c>
      <c r="F338" t="inlineStr">
        <is>
          <t>윤재승</t>
        </is>
      </c>
      <c r="G338" t="inlineStr">
        <is>
          <t>2011-05-19</t>
        </is>
      </c>
      <c r="H338" t="inlineStr">
        <is>
          <t>20110519</t>
        </is>
      </c>
      <c r="I338" t="inlineStr">
        <is>
          <t>1</t>
        </is>
      </c>
      <c r="J338" t="inlineStr">
        <is>
          <t>(주)팬젠 수원공장</t>
        </is>
      </c>
      <c r="K338" t="inlineStr">
        <is>
          <t>(031)733-9165</t>
        </is>
      </c>
      <c r="L338" t="inlineStr">
        <is>
          <t>경기도 수원시 영통구 신원로 306</t>
        </is>
      </c>
      <c r="M338" t="inlineStr">
        <is>
          <t>영통이노플렉스 2동 4층 (원천동)</t>
        </is>
      </c>
      <c r="N338" t="inlineStr">
        <is>
          <t>경기도 수원시 영통구 신원로 306 영통이노플렉스 2동 4층 (원천동)</t>
        </is>
      </c>
      <c r="O338" t="inlineStr">
        <is>
          <t>경기도</t>
        </is>
      </c>
      <c r="P338" t="inlineStr">
        <is>
          <t>수원시</t>
        </is>
      </c>
      <c r="Q338" t="inlineStr">
        <is>
          <t>N</t>
        </is>
      </c>
      <c r="R338" t="n">
        <v>0</v>
      </c>
    </row>
    <row r="339">
      <c r="A339" t="n">
        <v>338</v>
      </c>
      <c r="B339" t="inlineStr">
        <is>
          <t>한성산업(주)</t>
        </is>
      </c>
      <c r="C339" t="inlineStr">
        <is>
          <t>한성산업</t>
        </is>
      </c>
      <c r="D339" t="inlineStr">
        <is>
          <t>의약품</t>
        </is>
      </c>
      <c r="E339" t="inlineStr">
        <is>
          <t>1592</t>
        </is>
      </c>
      <c r="F339" t="inlineStr">
        <is>
          <t>이학주</t>
        </is>
      </c>
      <c r="G339" t="inlineStr">
        <is>
          <t>1979-11-02</t>
        </is>
      </c>
      <c r="H339" t="inlineStr">
        <is>
          <t>19791102</t>
        </is>
      </c>
      <c r="I339" t="inlineStr">
        <is>
          <t>1</t>
        </is>
      </c>
      <c r="J339" t="inlineStr">
        <is>
          <t>사상</t>
        </is>
      </c>
      <c r="K339" t="inlineStr">
        <is>
          <t>051)324-7001</t>
        </is>
      </c>
      <c r="L339" t="inlineStr">
        <is>
          <t>부산광역시 사상구 낙동대로915번길 12</t>
        </is>
      </c>
      <c r="M339" t="inlineStr"/>
      <c r="N339" t="inlineStr">
        <is>
          <t>부산광역시 사상구 낙동대로915번길 12</t>
        </is>
      </c>
      <c r="O339" t="inlineStr">
        <is>
          <t>부산광역시</t>
        </is>
      </c>
      <c r="P339" t="inlineStr">
        <is>
          <t>사상구</t>
        </is>
      </c>
      <c r="Q339" t="inlineStr">
        <is>
          <t>N</t>
        </is>
      </c>
      <c r="R339" t="n">
        <v>0</v>
      </c>
    </row>
    <row r="340">
      <c r="A340" t="n">
        <v>339</v>
      </c>
      <c r="B340" t="inlineStr">
        <is>
          <t>에이치엘비펩(주)</t>
        </is>
      </c>
      <c r="C340" t="inlineStr">
        <is>
          <t>에이치엘비펩</t>
        </is>
      </c>
      <c r="D340" t="inlineStr">
        <is>
          <t>의약품</t>
        </is>
      </c>
      <c r="E340" t="inlineStr">
        <is>
          <t>301</t>
        </is>
      </c>
      <c r="F340" t="inlineStr">
        <is>
          <t>심경재</t>
        </is>
      </c>
      <c r="G340" t="inlineStr">
        <is>
          <t>2010-08-19</t>
        </is>
      </c>
      <c r="H340" t="inlineStr">
        <is>
          <t>20100819</t>
        </is>
      </c>
      <c r="I340" t="inlineStr">
        <is>
          <t>2</t>
        </is>
      </c>
      <c r="J340" t="inlineStr">
        <is>
          <t>에이치엘비펩(주)-오송</t>
        </is>
      </c>
      <c r="K340" t="inlineStr">
        <is>
          <t>043-277-1166</t>
        </is>
      </c>
      <c r="L340" t="inlineStr">
        <is>
          <t>충청북도 청주시 흥덕구 오송읍 정중연제로 773</t>
        </is>
      </c>
      <c r="M340" t="inlineStr"/>
      <c r="N340" t="inlineStr">
        <is>
          <t>충청북도 청주시 흥덕구 오송읍 정중연제로 773</t>
        </is>
      </c>
      <c r="O340" t="inlineStr">
        <is>
          <t>충청북도</t>
        </is>
      </c>
      <c r="P340" t="inlineStr">
        <is>
          <t>청주시</t>
        </is>
      </c>
      <c r="Q340" t="inlineStr">
        <is>
          <t>N</t>
        </is>
      </c>
      <c r="R340" t="n">
        <v>0</v>
      </c>
    </row>
    <row r="341">
      <c r="A341" t="n">
        <v>340</v>
      </c>
      <c r="B341" t="inlineStr">
        <is>
          <t>(주)한국백신</t>
        </is>
      </c>
      <c r="C341" t="inlineStr">
        <is>
          <t>한국백신</t>
        </is>
      </c>
      <c r="D341" t="inlineStr">
        <is>
          <t>의약품</t>
        </is>
      </c>
      <c r="E341" t="inlineStr">
        <is>
          <t>1548</t>
        </is>
      </c>
      <c r="F341" t="inlineStr">
        <is>
          <t>하창화</t>
        </is>
      </c>
      <c r="G341" t="inlineStr">
        <is>
          <t>1972-08-07</t>
        </is>
      </c>
      <c r="H341" t="inlineStr">
        <is>
          <t>19720807</t>
        </is>
      </c>
      <c r="I341" t="inlineStr">
        <is>
          <t>1</t>
        </is>
      </c>
      <c r="J341" t="inlineStr">
        <is>
          <t>안산</t>
        </is>
      </c>
      <c r="K341" t="inlineStr">
        <is>
          <t>031)495-6397</t>
        </is>
      </c>
      <c r="L341" t="inlineStr">
        <is>
          <t>경기도 안산시 단원구 목내로 128</t>
        </is>
      </c>
      <c r="M341" t="inlineStr"/>
      <c r="N341" t="inlineStr">
        <is>
          <t>경기도 안산시 단원구 목내로 128</t>
        </is>
      </c>
      <c r="O341" t="inlineStr">
        <is>
          <t>경기도</t>
        </is>
      </c>
      <c r="P341" t="inlineStr">
        <is>
          <t>안산시</t>
        </is>
      </c>
      <c r="Q341" t="inlineStr">
        <is>
          <t>Y</t>
        </is>
      </c>
      <c r="R341" t="n">
        <v>13</v>
      </c>
    </row>
    <row r="342">
      <c r="A342" t="n">
        <v>341</v>
      </c>
      <c r="B342" t="inlineStr">
        <is>
          <t>(주)에이프로젠바이오로직스</t>
        </is>
      </c>
      <c r="C342" t="inlineStr">
        <is>
          <t>에이프로젠바이오로직스</t>
        </is>
      </c>
      <c r="D342" t="inlineStr">
        <is>
          <t>의약품</t>
        </is>
      </c>
      <c r="E342" t="inlineStr">
        <is>
          <t>1386</t>
        </is>
      </c>
      <c r="F342" t="inlineStr">
        <is>
          <t>김재섭</t>
        </is>
      </c>
      <c r="G342" t="inlineStr">
        <is>
          <t>1959-12-24</t>
        </is>
      </c>
      <c r="H342" t="inlineStr">
        <is>
          <t>19591224</t>
        </is>
      </c>
      <c r="I342" t="inlineStr">
        <is>
          <t>2</t>
        </is>
      </c>
      <c r="J342" t="inlineStr">
        <is>
          <t>화성</t>
        </is>
      </c>
      <c r="K342" t="inlineStr"/>
      <c r="L342" t="inlineStr">
        <is>
          <t>경기도 화성시 만세구 양감면 두머리길 16</t>
        </is>
      </c>
      <c r="M342" t="inlineStr"/>
      <c r="N342" t="inlineStr">
        <is>
          <t>경기도 화성시 만세구 양감면 두머리길 16</t>
        </is>
      </c>
      <c r="O342" t="inlineStr">
        <is>
          <t>경기도</t>
        </is>
      </c>
      <c r="P342" t="inlineStr">
        <is>
          <t>화성시</t>
        </is>
      </c>
      <c r="Q342" t="inlineStr">
        <is>
          <t>Y</t>
        </is>
      </c>
      <c r="R342" t="n">
        <v>59</v>
      </c>
    </row>
    <row r="343">
      <c r="A343" t="n">
        <v>342</v>
      </c>
      <c r="B343" t="inlineStr">
        <is>
          <t>(주)알바이오</t>
        </is>
      </c>
      <c r="C343" t="inlineStr">
        <is>
          <t>알바이오</t>
        </is>
      </c>
      <c r="D343" t="inlineStr">
        <is>
          <t>의약품</t>
        </is>
      </c>
      <c r="E343" t="inlineStr">
        <is>
          <t>298</t>
        </is>
      </c>
      <c r="F343" t="inlineStr">
        <is>
          <t>최경호</t>
        </is>
      </c>
      <c r="G343" t="inlineStr">
        <is>
          <t>2009-08-11</t>
        </is>
      </c>
      <c r="H343" t="inlineStr">
        <is>
          <t>20090811</t>
        </is>
      </c>
      <c r="I343" t="inlineStr">
        <is>
          <t>1</t>
        </is>
      </c>
      <c r="J343" t="inlineStr">
        <is>
          <t>.</t>
        </is>
      </c>
      <c r="K343" t="inlineStr"/>
      <c r="L343" t="inlineStr">
        <is>
          <t>서울특별시 금천구 가산디지털2로 98</t>
        </is>
      </c>
      <c r="M343" t="inlineStr">
        <is>
          <t>IT캐슬 2동 305-308호, 310-313호, 315호(시험실)</t>
        </is>
      </c>
      <c r="N343" t="inlineStr">
        <is>
          <t>서울특별시 금천구 가산디지털2로 98 IT캐슬 2동 305-308호, 310-313호, 315호(시험실)</t>
        </is>
      </c>
      <c r="O343" t="inlineStr">
        <is>
          <t>서울특별시</t>
        </is>
      </c>
      <c r="P343" t="inlineStr">
        <is>
          <t>금천구</t>
        </is>
      </c>
      <c r="Q343" t="inlineStr">
        <is>
          <t>Y</t>
        </is>
      </c>
      <c r="R343" t="n">
        <v>60</v>
      </c>
    </row>
    <row r="344">
      <c r="A344" t="n">
        <v>343</v>
      </c>
      <c r="B344" t="inlineStr">
        <is>
          <t>(주)새한제약</t>
        </is>
      </c>
      <c r="C344" t="inlineStr">
        <is>
          <t>새한제약</t>
        </is>
      </c>
      <c r="D344" t="inlineStr">
        <is>
          <t>의약품</t>
        </is>
      </c>
      <c r="E344" t="inlineStr">
        <is>
          <t>1519</t>
        </is>
      </c>
      <c r="F344" t="inlineStr">
        <is>
          <t>오성석</t>
        </is>
      </c>
      <c r="G344" t="inlineStr">
        <is>
          <t>1971-03-08</t>
        </is>
      </c>
      <c r="H344" t="inlineStr">
        <is>
          <t>19710308</t>
        </is>
      </c>
      <c r="I344" t="inlineStr">
        <is>
          <t>1</t>
        </is>
      </c>
      <c r="J344" t="inlineStr">
        <is>
          <t>안성</t>
        </is>
      </c>
      <c r="K344" t="inlineStr">
        <is>
          <t>031-673-3132</t>
        </is>
      </c>
      <c r="L344" t="inlineStr">
        <is>
          <t>경기도 안성시 공단2로 50-4</t>
        </is>
      </c>
      <c r="M344" t="inlineStr"/>
      <c r="N344" t="inlineStr">
        <is>
          <t>경기도 안성시 공단2로 50-4</t>
        </is>
      </c>
      <c r="O344" t="inlineStr">
        <is>
          <t>경기도</t>
        </is>
      </c>
      <c r="P344" t="inlineStr">
        <is>
          <t>안성시</t>
        </is>
      </c>
      <c r="Q344" t="inlineStr">
        <is>
          <t>Y</t>
        </is>
      </c>
      <c r="R344" t="n">
        <v>1</v>
      </c>
    </row>
    <row r="345">
      <c r="A345" t="n">
        <v>344</v>
      </c>
      <c r="B345" t="inlineStr">
        <is>
          <t>태극제약(주)</t>
        </is>
      </c>
      <c r="C345" t="inlineStr">
        <is>
          <t>태극제약</t>
        </is>
      </c>
      <c r="D345" t="inlineStr">
        <is>
          <t>의약품</t>
        </is>
      </c>
      <c r="E345" t="inlineStr">
        <is>
          <t>1370</t>
        </is>
      </c>
      <c r="F345" t="inlineStr">
        <is>
          <t>오상문</t>
        </is>
      </c>
      <c r="G345" t="inlineStr">
        <is>
          <t>1958-06-29</t>
        </is>
      </c>
      <c r="H345" t="inlineStr">
        <is>
          <t>19580629</t>
        </is>
      </c>
      <c r="I345" t="inlineStr">
        <is>
          <t>2</t>
        </is>
      </c>
      <c r="J345" t="inlineStr">
        <is>
          <t>부여</t>
        </is>
      </c>
      <c r="K345" t="inlineStr">
        <is>
          <t>02-7479-9325</t>
        </is>
      </c>
      <c r="L345" t="inlineStr">
        <is>
          <t>충청남도 부여군 초촌면 금백로 821</t>
        </is>
      </c>
      <c r="M345" t="inlineStr"/>
      <c r="N345" t="inlineStr">
        <is>
          <t>충청남도 부여군 초촌면 금백로 821</t>
        </is>
      </c>
      <c r="O345" t="inlineStr">
        <is>
          <t>충청남도</t>
        </is>
      </c>
      <c r="P345" t="inlineStr">
        <is>
          <t>부여군</t>
        </is>
      </c>
      <c r="Q345" t="inlineStr">
        <is>
          <t>Y</t>
        </is>
      </c>
      <c r="R345" t="n">
        <v>61</v>
      </c>
    </row>
    <row r="346">
      <c r="A346" t="n">
        <v>345</v>
      </c>
      <c r="B346" t="inlineStr">
        <is>
          <t>(주)디비즈</t>
        </is>
      </c>
      <c r="C346" t="inlineStr">
        <is>
          <t>디비즈</t>
        </is>
      </c>
      <c r="D346" t="inlineStr">
        <is>
          <t>의약품</t>
        </is>
      </c>
      <c r="E346" t="inlineStr">
        <is>
          <t>269</t>
        </is>
      </c>
      <c r="F346" t="inlineStr">
        <is>
          <t>성혜영</t>
        </is>
      </c>
      <c r="G346" t="inlineStr">
        <is>
          <t>2008-08-27</t>
        </is>
      </c>
      <c r="H346" t="inlineStr">
        <is>
          <t>20080827</t>
        </is>
      </c>
      <c r="I346" t="inlineStr">
        <is>
          <t>1</t>
        </is>
      </c>
      <c r="J346" t="inlineStr">
        <is>
          <t>(주)디비즈</t>
        </is>
      </c>
      <c r="K346" t="inlineStr">
        <is>
          <t>(02)864-9328</t>
        </is>
      </c>
      <c r="L346" t="inlineStr">
        <is>
          <t>서울특별시 구로구 디지털로26길 5</t>
        </is>
      </c>
      <c r="M346" t="inlineStr">
        <is>
          <t>에이스하이엔드타워 812호 (구로동)</t>
        </is>
      </c>
      <c r="N346" t="inlineStr">
        <is>
          <t>서울특별시 구로구 디지털로26길 5 에이스하이엔드타워 812호 (구로동)</t>
        </is>
      </c>
      <c r="O346" t="inlineStr">
        <is>
          <t>서울특별시</t>
        </is>
      </c>
      <c r="P346" t="inlineStr">
        <is>
          <t>구로구</t>
        </is>
      </c>
      <c r="Q346" t="inlineStr">
        <is>
          <t>N</t>
        </is>
      </c>
      <c r="R346" t="n">
        <v>0</v>
      </c>
    </row>
    <row r="347">
      <c r="A347" t="n">
        <v>346</v>
      </c>
      <c r="B347" t="inlineStr">
        <is>
          <t>(주)서흥</t>
        </is>
      </c>
      <c r="C347" t="inlineStr">
        <is>
          <t>서흥</t>
        </is>
      </c>
      <c r="D347" t="inlineStr">
        <is>
          <t>의약품</t>
        </is>
      </c>
      <c r="E347" t="inlineStr">
        <is>
          <t>1518</t>
        </is>
      </c>
      <c r="F347" t="inlineStr">
        <is>
          <t>양주환</t>
        </is>
      </c>
      <c r="G347" t="inlineStr">
        <is>
          <t>1970-12-26</t>
        </is>
      </c>
      <c r="H347" t="inlineStr">
        <is>
          <t>19701226</t>
        </is>
      </c>
      <c r="I347" t="inlineStr">
        <is>
          <t>1</t>
        </is>
      </c>
      <c r="J347" t="inlineStr">
        <is>
          <t>부천</t>
        </is>
      </c>
      <c r="K347" t="inlineStr">
        <is>
          <t>032-666-5180</t>
        </is>
      </c>
      <c r="L347" t="inlineStr">
        <is>
          <t>경기도 부천시 소사구 송내대로 14</t>
        </is>
      </c>
      <c r="M347" t="inlineStr">
        <is>
          <t>.</t>
        </is>
      </c>
      <c r="N347" t="inlineStr">
        <is>
          <t>경기도 부천시 소사구 송내대로 14 .</t>
        </is>
      </c>
      <c r="O347" t="inlineStr">
        <is>
          <t>경기도</t>
        </is>
      </c>
      <c r="P347" t="inlineStr">
        <is>
          <t>부천시</t>
        </is>
      </c>
      <c r="Q347" t="inlineStr">
        <is>
          <t>N</t>
        </is>
      </c>
      <c r="R347" t="n">
        <v>0</v>
      </c>
    </row>
    <row r="348">
      <c r="A348" t="n">
        <v>347</v>
      </c>
      <c r="B348" t="inlineStr">
        <is>
          <t>한미약품(주)</t>
        </is>
      </c>
      <c r="C348" t="inlineStr">
        <is>
          <t>한미약품</t>
        </is>
      </c>
      <c r="D348" t="inlineStr">
        <is>
          <t>의약품</t>
        </is>
      </c>
      <c r="E348" t="inlineStr">
        <is>
          <t>1337</t>
        </is>
      </c>
      <c r="F348" t="inlineStr">
        <is>
          <t>황상연</t>
        </is>
      </c>
      <c r="G348" t="inlineStr">
        <is>
          <t>1957-05-27</t>
        </is>
      </c>
      <c r="H348" t="inlineStr">
        <is>
          <t>19570527</t>
        </is>
      </c>
      <c r="I348" t="inlineStr">
        <is>
          <t>2</t>
        </is>
      </c>
      <c r="J348" t="inlineStr">
        <is>
          <t>평택</t>
        </is>
      </c>
      <c r="K348" t="inlineStr">
        <is>
          <t>02-410-9251</t>
        </is>
      </c>
      <c r="L348" t="inlineStr">
        <is>
          <t>경기도 평택시 팽성읍 추팔산단로 114</t>
        </is>
      </c>
      <c r="M348" t="inlineStr"/>
      <c r="N348" t="inlineStr">
        <is>
          <t>경기도 평택시 팽성읍 추팔산단로 114</t>
        </is>
      </c>
      <c r="O348" t="inlineStr">
        <is>
          <t>경기도</t>
        </is>
      </c>
      <c r="P348" t="inlineStr">
        <is>
          <t>평택시</t>
        </is>
      </c>
      <c r="Q348" t="inlineStr">
        <is>
          <t>N</t>
        </is>
      </c>
      <c r="R348" t="n">
        <v>0</v>
      </c>
    </row>
    <row r="349">
      <c r="A349" t="n">
        <v>348</v>
      </c>
      <c r="B349" t="inlineStr">
        <is>
          <t>한국신텍스제약(주)</t>
        </is>
      </c>
      <c r="C349" t="inlineStr">
        <is>
          <t>한국신텍스제약</t>
        </is>
      </c>
      <c r="D349" t="inlineStr">
        <is>
          <t>의약품</t>
        </is>
      </c>
      <c r="E349" t="inlineStr">
        <is>
          <t>1334</t>
        </is>
      </c>
      <c r="F349" t="inlineStr">
        <is>
          <t>박병철</t>
        </is>
      </c>
      <c r="G349" t="inlineStr">
        <is>
          <t>2001-01-10</t>
        </is>
      </c>
      <c r="H349" t="inlineStr">
        <is>
          <t>20010110</t>
        </is>
      </c>
      <c r="I349" t="inlineStr">
        <is>
          <t>2</t>
        </is>
      </c>
      <c r="J349" t="inlineStr">
        <is>
          <t>제 1공장</t>
        </is>
      </c>
      <c r="K349" t="inlineStr">
        <is>
          <t>063-853-8110</t>
        </is>
      </c>
      <c r="L349" t="inlineStr">
        <is>
          <t>전북특별자치도 익산시 삼기면 산단오룡길 106</t>
        </is>
      </c>
      <c r="M349" t="inlineStr"/>
      <c r="N349" t="inlineStr">
        <is>
          <t>전북특별자치도 익산시 삼기면 산단오룡길 106</t>
        </is>
      </c>
      <c r="O349" t="inlineStr">
        <is>
          <t>전북특별자치도</t>
        </is>
      </c>
      <c r="P349" t="inlineStr">
        <is>
          <t>익산시</t>
        </is>
      </c>
      <c r="Q349" t="inlineStr">
        <is>
          <t>Y</t>
        </is>
      </c>
      <c r="R349" t="n">
        <v>3</v>
      </c>
    </row>
    <row r="350">
      <c r="A350" t="n">
        <v>349</v>
      </c>
      <c r="B350" t="inlineStr">
        <is>
          <t>디아이지에어가스(주)</t>
        </is>
      </c>
      <c r="C350" t="inlineStr">
        <is>
          <t>디아이지에어가스</t>
        </is>
      </c>
      <c r="D350" t="inlineStr">
        <is>
          <t>의약품</t>
        </is>
      </c>
      <c r="E350" t="inlineStr">
        <is>
          <t>1603</t>
        </is>
      </c>
      <c r="F350" t="inlineStr">
        <is>
          <t>오규석</t>
        </is>
      </c>
      <c r="G350" t="inlineStr">
        <is>
          <t>1981-02-06</t>
        </is>
      </c>
      <c r="H350" t="inlineStr">
        <is>
          <t>19810206</t>
        </is>
      </c>
      <c r="I350" t="inlineStr">
        <is>
          <t>9</t>
        </is>
      </c>
      <c r="J350" t="inlineStr">
        <is>
          <t>구미</t>
        </is>
      </c>
      <c r="K350" t="inlineStr">
        <is>
          <t>054-471-4900~4</t>
        </is>
      </c>
      <c r="L350" t="inlineStr">
        <is>
          <t>경상북도 구미시 3공단3로 196-34</t>
        </is>
      </c>
      <c r="M350" t="inlineStr"/>
      <c r="N350" t="inlineStr">
        <is>
          <t>경상북도 구미시 3공단3로 196-34</t>
        </is>
      </c>
      <c r="O350" t="inlineStr">
        <is>
          <t>경상북도</t>
        </is>
      </c>
      <c r="P350" t="inlineStr">
        <is>
          <t>구미시</t>
        </is>
      </c>
      <c r="Q350" t="inlineStr">
        <is>
          <t>N</t>
        </is>
      </c>
      <c r="R350" t="n">
        <v>0</v>
      </c>
    </row>
    <row r="351">
      <c r="A351" t="n">
        <v>350</v>
      </c>
      <c r="B351" t="inlineStr">
        <is>
          <t>에스티팜주식회사</t>
        </is>
      </c>
      <c r="C351" t="inlineStr">
        <is>
          <t>에스티팜</t>
        </is>
      </c>
      <c r="D351" t="inlineStr">
        <is>
          <t>의약품</t>
        </is>
      </c>
      <c r="E351" t="inlineStr">
        <is>
          <t>1301</t>
        </is>
      </c>
      <c r="F351" t="inlineStr">
        <is>
          <t>성무제</t>
        </is>
      </c>
      <c r="G351" t="inlineStr">
        <is>
          <t>1955-04-11</t>
        </is>
      </c>
      <c r="H351" t="inlineStr">
        <is>
          <t>19550411</t>
        </is>
      </c>
      <c r="I351" t="inlineStr">
        <is>
          <t>4</t>
        </is>
      </c>
      <c r="J351" t="inlineStr">
        <is>
          <t>안산(실험실)</t>
        </is>
      </c>
      <c r="K351" t="inlineStr">
        <is>
          <t>031-8084-1500</t>
        </is>
      </c>
      <c r="L351" t="inlineStr">
        <is>
          <t>경기도 안산시 단원구 해안로 171</t>
        </is>
      </c>
      <c r="M351" t="inlineStr">
        <is>
          <t>사무동 3층(실험실)</t>
        </is>
      </c>
      <c r="N351" t="inlineStr">
        <is>
          <t>경기도 안산시 단원구 해안로 171 사무동 3층(실험실)</t>
        </is>
      </c>
      <c r="O351" t="inlineStr">
        <is>
          <t>경기도</t>
        </is>
      </c>
      <c r="P351" t="inlineStr">
        <is>
          <t>안산시</t>
        </is>
      </c>
      <c r="Q351" t="inlineStr">
        <is>
          <t>N</t>
        </is>
      </c>
      <c r="R351" t="n">
        <v>0</v>
      </c>
    </row>
    <row r="352">
      <c r="A352" t="n">
        <v>351</v>
      </c>
      <c r="B352" t="inlineStr">
        <is>
          <t>신신제약(주)</t>
        </is>
      </c>
      <c r="C352" t="inlineStr">
        <is>
          <t>신신제약</t>
        </is>
      </c>
      <c r="D352" t="inlineStr">
        <is>
          <t>의약품</t>
        </is>
      </c>
      <c r="E352" t="inlineStr">
        <is>
          <t>1332</t>
        </is>
      </c>
      <c r="F352" t="inlineStr">
        <is>
          <t>이병기</t>
        </is>
      </c>
      <c r="G352" t="inlineStr">
        <is>
          <t>1957-04-25</t>
        </is>
      </c>
      <c r="H352" t="inlineStr">
        <is>
          <t>19570425</t>
        </is>
      </c>
      <c r="I352" t="inlineStr">
        <is>
          <t>2</t>
        </is>
      </c>
      <c r="J352" t="inlineStr">
        <is>
          <t>세종</t>
        </is>
      </c>
      <c r="K352" t="inlineStr">
        <is>
          <t>031-776-1150</t>
        </is>
      </c>
      <c r="L352" t="inlineStr">
        <is>
          <t>세종특별자치시 소정면 소정산단동로 9</t>
        </is>
      </c>
      <c r="M352" t="inlineStr"/>
      <c r="N352" t="inlineStr">
        <is>
          <t>세종특별자치시 소정면 소정산단동로 9</t>
        </is>
      </c>
      <c r="O352" t="inlineStr">
        <is>
          <t>세종특별자치시</t>
        </is>
      </c>
      <c r="P352" t="inlineStr"/>
      <c r="Q352" t="inlineStr">
        <is>
          <t>N</t>
        </is>
      </c>
      <c r="R352" t="n">
        <v>0</v>
      </c>
    </row>
    <row r="353">
      <c r="A353" t="n">
        <v>352</v>
      </c>
      <c r="B353" t="inlineStr">
        <is>
          <t>제일헬스사이언스(주)</t>
        </is>
      </c>
      <c r="C353" t="inlineStr">
        <is>
          <t>제일헬스사이언스</t>
        </is>
      </c>
      <c r="D353" t="inlineStr">
        <is>
          <t>의약품</t>
        </is>
      </c>
      <c r="E353" t="inlineStr">
        <is>
          <t>361</t>
        </is>
      </c>
      <c r="F353" t="inlineStr">
        <is>
          <t>한상철</t>
        </is>
      </c>
      <c r="G353" t="inlineStr">
        <is>
          <t>2016-11-10</t>
        </is>
      </c>
      <c r="H353" t="inlineStr">
        <is>
          <t>20161110</t>
        </is>
      </c>
      <c r="I353" t="inlineStr">
        <is>
          <t>1</t>
        </is>
      </c>
      <c r="J353" t="inlineStr">
        <is>
          <t>제일헬스사이언스(주)</t>
        </is>
      </c>
      <c r="K353" t="inlineStr">
        <is>
          <t>02-549-7451</t>
        </is>
      </c>
      <c r="L353" t="inlineStr">
        <is>
          <t>경기도 용인시 처인구 백암면 청강가창로 7</t>
        </is>
      </c>
      <c r="M353" t="inlineStr">
        <is>
          <t>B동</t>
        </is>
      </c>
      <c r="N353" t="inlineStr">
        <is>
          <t>경기도 용인시 처인구 백암면 청강가창로 7 B동</t>
        </is>
      </c>
      <c r="O353" t="inlineStr">
        <is>
          <t>경기도</t>
        </is>
      </c>
      <c r="P353" t="inlineStr">
        <is>
          <t>용인시</t>
        </is>
      </c>
      <c r="Q353" t="inlineStr">
        <is>
          <t>N</t>
        </is>
      </c>
      <c r="R353" t="n">
        <v>0</v>
      </c>
    </row>
    <row r="354">
      <c r="A354" t="n">
        <v>353</v>
      </c>
      <c r="B354" t="inlineStr">
        <is>
          <t>(주)유유제약</t>
        </is>
      </c>
      <c r="C354" t="inlineStr">
        <is>
          <t>유유제약</t>
        </is>
      </c>
      <c r="D354" t="inlineStr">
        <is>
          <t>의약품</t>
        </is>
      </c>
      <c r="E354" t="inlineStr">
        <is>
          <t>1300</t>
        </is>
      </c>
      <c r="F354" t="inlineStr">
        <is>
          <t>박노용</t>
        </is>
      </c>
      <c r="G354" t="inlineStr">
        <is>
          <t>1955-04-11</t>
        </is>
      </c>
      <c r="H354" t="inlineStr">
        <is>
          <t>19550411</t>
        </is>
      </c>
      <c r="I354" t="inlineStr">
        <is>
          <t>1</t>
        </is>
      </c>
      <c r="J354" t="inlineStr">
        <is>
          <t>제천</t>
        </is>
      </c>
      <c r="K354" t="inlineStr">
        <is>
          <t>02-2253-6600</t>
        </is>
      </c>
      <c r="L354" t="inlineStr">
        <is>
          <t>충청북도 제천시 바이오밸리1로 94</t>
        </is>
      </c>
      <c r="M354" t="inlineStr"/>
      <c r="N354" t="inlineStr">
        <is>
          <t>충청북도 제천시 바이오밸리1로 94</t>
        </is>
      </c>
      <c r="O354" t="inlineStr">
        <is>
          <t>충청북도</t>
        </is>
      </c>
      <c r="P354" t="inlineStr">
        <is>
          <t>제천시</t>
        </is>
      </c>
      <c r="Q354" t="inlineStr">
        <is>
          <t>N</t>
        </is>
      </c>
      <c r="R354" t="n">
        <v>0</v>
      </c>
    </row>
    <row r="355">
      <c r="A355" t="n">
        <v>354</v>
      </c>
      <c r="B355" t="inlineStr">
        <is>
          <t>동화약품(주)</t>
        </is>
      </c>
      <c r="C355" t="inlineStr">
        <is>
          <t>동화약품</t>
        </is>
      </c>
      <c r="D355" t="inlineStr">
        <is>
          <t>의약품</t>
        </is>
      </c>
      <c r="E355" t="inlineStr">
        <is>
          <t>1331</t>
        </is>
      </c>
      <c r="F355" t="inlineStr">
        <is>
          <t>유준하</t>
        </is>
      </c>
      <c r="G355" t="inlineStr">
        <is>
          <t>1957-01-30</t>
        </is>
      </c>
      <c r="H355" t="inlineStr">
        <is>
          <t>19570130</t>
        </is>
      </c>
      <c r="I355" t="inlineStr">
        <is>
          <t>2</t>
        </is>
      </c>
      <c r="J355" t="inlineStr">
        <is>
          <t>충주</t>
        </is>
      </c>
      <c r="K355" t="inlineStr">
        <is>
          <t>080-023-1897</t>
        </is>
      </c>
      <c r="L355" t="inlineStr">
        <is>
          <t>충청북도 충주시 충주산단1로 167</t>
        </is>
      </c>
      <c r="M355" t="inlineStr"/>
      <c r="N355" t="inlineStr">
        <is>
          <t>충청북도 충주시 충주산단1로 167</t>
        </is>
      </c>
      <c r="O355" t="inlineStr">
        <is>
          <t>충청북도</t>
        </is>
      </c>
      <c r="P355" t="inlineStr">
        <is>
          <t>충주시</t>
        </is>
      </c>
      <c r="Q355" t="inlineStr">
        <is>
          <t>N</t>
        </is>
      </c>
      <c r="R355" t="n">
        <v>0</v>
      </c>
    </row>
    <row r="356">
      <c r="A356" t="n">
        <v>355</v>
      </c>
      <c r="B356" t="inlineStr">
        <is>
          <t>일동제약(주)</t>
        </is>
      </c>
      <c r="C356" t="inlineStr">
        <is>
          <t>일동제약</t>
        </is>
      </c>
      <c r="D356" t="inlineStr">
        <is>
          <t>의약품</t>
        </is>
      </c>
      <c r="E356" t="inlineStr">
        <is>
          <t>1293</t>
        </is>
      </c>
      <c r="F356" t="inlineStr">
        <is>
          <t>윤폴웅섭(윤웅섭)</t>
        </is>
      </c>
      <c r="G356" t="inlineStr">
        <is>
          <t>1954-12-31</t>
        </is>
      </c>
      <c r="H356" t="inlineStr">
        <is>
          <t>19541231</t>
        </is>
      </c>
      <c r="I356" t="inlineStr">
        <is>
          <t>1</t>
        </is>
      </c>
      <c r="J356" t="inlineStr">
        <is>
          <t>안성</t>
        </is>
      </c>
      <c r="K356" t="inlineStr">
        <is>
          <t>02-526-3388</t>
        </is>
      </c>
      <c r="L356" t="inlineStr">
        <is>
          <t>경기도 안성시 공단1로 25</t>
        </is>
      </c>
      <c r="M356" t="inlineStr"/>
      <c r="N356" t="inlineStr">
        <is>
          <t>경기도 안성시 공단1로 25</t>
        </is>
      </c>
      <c r="O356" t="inlineStr">
        <is>
          <t>경기도</t>
        </is>
      </c>
      <c r="P356" t="inlineStr">
        <is>
          <t>안성시</t>
        </is>
      </c>
      <c r="Q356" t="inlineStr">
        <is>
          <t>Y</t>
        </is>
      </c>
      <c r="R356" t="n">
        <v>17</v>
      </c>
    </row>
    <row r="357">
      <c r="A357" t="n">
        <v>356</v>
      </c>
      <c r="B357" t="inlineStr">
        <is>
          <t>삼진제약(주)</t>
        </is>
      </c>
      <c r="C357" t="inlineStr">
        <is>
          <t>삼진제약</t>
        </is>
      </c>
      <c r="D357" t="inlineStr">
        <is>
          <t>의약품</t>
        </is>
      </c>
      <c r="E357" t="inlineStr">
        <is>
          <t>1324</t>
        </is>
      </c>
      <c r="F357" t="inlineStr">
        <is>
          <t>조규석</t>
        </is>
      </c>
      <c r="G357" t="inlineStr">
        <is>
          <t>1956-10-19</t>
        </is>
      </c>
      <c r="H357" t="inlineStr">
        <is>
          <t>19561019</t>
        </is>
      </c>
      <c r="I357" t="inlineStr">
        <is>
          <t>2</t>
        </is>
      </c>
      <c r="J357" t="inlineStr">
        <is>
          <t>오송</t>
        </is>
      </c>
      <c r="K357" t="inlineStr">
        <is>
          <t>043-710-3000</t>
        </is>
      </c>
      <c r="L357" t="inlineStr">
        <is>
          <t>충청북도 청주시 흥덕구 오송읍 오송생명6로 156</t>
        </is>
      </c>
      <c r="M357" t="inlineStr"/>
      <c r="N357" t="inlineStr">
        <is>
          <t>충청북도 청주시 흥덕구 오송읍 오송생명6로 156</t>
        </is>
      </c>
      <c r="O357" t="inlineStr">
        <is>
          <t>충청북도</t>
        </is>
      </c>
      <c r="P357" t="inlineStr">
        <is>
          <t>청주시</t>
        </is>
      </c>
      <c r="Q357" t="inlineStr">
        <is>
          <t>N</t>
        </is>
      </c>
      <c r="R357" t="n">
        <v>0</v>
      </c>
    </row>
    <row r="358">
      <c r="A358" t="n">
        <v>357</v>
      </c>
      <c r="B358" t="inlineStr">
        <is>
          <t>안국뉴팜(주)</t>
        </is>
      </c>
      <c r="C358" t="inlineStr">
        <is>
          <t>안국뉴팜</t>
        </is>
      </c>
      <c r="D358" t="inlineStr">
        <is>
          <t>의약품</t>
        </is>
      </c>
      <c r="E358" t="inlineStr">
        <is>
          <t>360</t>
        </is>
      </c>
      <c r="F358" t="inlineStr">
        <is>
          <t>김도경</t>
        </is>
      </c>
      <c r="G358" t="inlineStr">
        <is>
          <t>2016-07-28</t>
        </is>
      </c>
      <c r="H358" t="inlineStr">
        <is>
          <t>20160728</t>
        </is>
      </c>
      <c r="I358" t="inlineStr">
        <is>
          <t>2</t>
        </is>
      </c>
      <c r="J358" t="inlineStr">
        <is>
          <t>적합완제품 보관소</t>
        </is>
      </c>
      <c r="K358" t="inlineStr"/>
      <c r="L358" t="inlineStr">
        <is>
          <t>경기도 김포시 통진읍 가현로85번길 166</t>
        </is>
      </c>
      <c r="M358" t="inlineStr"/>
      <c r="N358" t="inlineStr">
        <is>
          <t>경기도 김포시 통진읍 가현로85번길 166</t>
        </is>
      </c>
      <c r="O358" t="inlineStr">
        <is>
          <t>경기도</t>
        </is>
      </c>
      <c r="P358" t="inlineStr">
        <is>
          <t>김포시</t>
        </is>
      </c>
      <c r="Q358" t="inlineStr">
        <is>
          <t>N</t>
        </is>
      </c>
      <c r="R358" t="n">
        <v>0</v>
      </c>
    </row>
    <row r="359">
      <c r="A359" t="n">
        <v>358</v>
      </c>
      <c r="B359" t="inlineStr">
        <is>
          <t>삼남제약(주)</t>
        </is>
      </c>
      <c r="C359" t="inlineStr">
        <is>
          <t>삼남제약</t>
        </is>
      </c>
      <c r="D359" t="inlineStr">
        <is>
          <t>의약품</t>
        </is>
      </c>
      <c r="E359" t="inlineStr">
        <is>
          <t>1307</t>
        </is>
      </c>
      <c r="F359" t="inlineStr">
        <is>
          <t>김호택</t>
        </is>
      </c>
      <c r="G359" t="inlineStr">
        <is>
          <t>1955-09-05</t>
        </is>
      </c>
      <c r="H359" t="inlineStr">
        <is>
          <t>19550905</t>
        </is>
      </c>
      <c r="I359" t="inlineStr">
        <is>
          <t>2</t>
        </is>
      </c>
      <c r="J359" t="inlineStr">
        <is>
          <t>보관소</t>
        </is>
      </c>
      <c r="K359" t="inlineStr"/>
      <c r="L359" t="inlineStr">
        <is>
          <t>충청남도 금산군 남일면 창평로 124</t>
        </is>
      </c>
      <c r="M359" t="inlineStr"/>
      <c r="N359" t="inlineStr">
        <is>
          <t>충청남도 금산군 남일면 창평로 124</t>
        </is>
      </c>
      <c r="O359" t="inlineStr">
        <is>
          <t>충청남도</t>
        </is>
      </c>
      <c r="P359" t="inlineStr">
        <is>
          <t>금산군</t>
        </is>
      </c>
      <c r="Q359" t="inlineStr">
        <is>
          <t>N</t>
        </is>
      </c>
      <c r="R359" t="n">
        <v>0</v>
      </c>
    </row>
    <row r="360">
      <c r="A360" t="n">
        <v>359</v>
      </c>
      <c r="B360" t="inlineStr">
        <is>
          <t>(주)한국국일당</t>
        </is>
      </c>
      <c r="C360" t="inlineStr">
        <is>
          <t>한국국일당</t>
        </is>
      </c>
      <c r="D360" t="inlineStr">
        <is>
          <t>의약품</t>
        </is>
      </c>
      <c r="E360" t="inlineStr">
        <is>
          <t>355</t>
        </is>
      </c>
      <c r="F360" t="inlineStr">
        <is>
          <t>이상오</t>
        </is>
      </c>
      <c r="G360" t="inlineStr">
        <is>
          <t>2015-12-16</t>
        </is>
      </c>
      <c r="H360" t="inlineStr">
        <is>
          <t>20151216</t>
        </is>
      </c>
      <c r="I360" t="inlineStr">
        <is>
          <t>1</t>
        </is>
      </c>
      <c r="J360" t="inlineStr">
        <is>
          <t>제 1공장</t>
        </is>
      </c>
      <c r="K360" t="inlineStr"/>
      <c r="L360" t="inlineStr">
        <is>
          <t>경기도 포천시 정자동1길 14-35</t>
        </is>
      </c>
      <c r="M360" t="inlineStr">
        <is>
          <t>2동</t>
        </is>
      </c>
      <c r="N360" t="inlineStr">
        <is>
          <t>경기도 포천시 정자동1길 14-35 2동</t>
        </is>
      </c>
      <c r="O360" t="inlineStr">
        <is>
          <t>경기도</t>
        </is>
      </c>
      <c r="P360" t="inlineStr">
        <is>
          <t>포천시</t>
        </is>
      </c>
      <c r="Q360" t="inlineStr">
        <is>
          <t>N</t>
        </is>
      </c>
      <c r="R360" t="n">
        <v>0</v>
      </c>
    </row>
    <row r="361">
      <c r="A361" t="n">
        <v>360</v>
      </c>
      <c r="B361" t="inlineStr">
        <is>
          <t>(주)건영특수가스</t>
        </is>
      </c>
      <c r="C361" t="inlineStr">
        <is>
          <t>건영특수가스</t>
        </is>
      </c>
      <c r="D361" t="inlineStr">
        <is>
          <t>의약품</t>
        </is>
      </c>
      <c r="E361" t="inlineStr">
        <is>
          <t>2224</t>
        </is>
      </c>
      <c r="F361" t="inlineStr">
        <is>
          <t>나승욱</t>
        </is>
      </c>
      <c r="G361" t="inlineStr">
        <is>
          <t>2001-07-02</t>
        </is>
      </c>
      <c r="H361" t="inlineStr">
        <is>
          <t>20010702</t>
        </is>
      </c>
      <c r="I361" t="inlineStr">
        <is>
          <t>1</t>
        </is>
      </c>
      <c r="J361" t="inlineStr">
        <is>
          <t>광주</t>
        </is>
      </c>
      <c r="K361" t="inlineStr">
        <is>
          <t>062-954-0050</t>
        </is>
      </c>
      <c r="L361" t="inlineStr">
        <is>
          <t>광주광역시 광산구 고봉로230번길 24</t>
        </is>
      </c>
      <c r="M361" t="inlineStr"/>
      <c r="N361" t="inlineStr">
        <is>
          <t>광주광역시 광산구 고봉로230번길 24</t>
        </is>
      </c>
      <c r="O361" t="inlineStr">
        <is>
          <t>광주광역시</t>
        </is>
      </c>
      <c r="P361" t="inlineStr">
        <is>
          <t>광산구</t>
        </is>
      </c>
      <c r="Q361" t="inlineStr">
        <is>
          <t>N</t>
        </is>
      </c>
      <c r="R361" t="n">
        <v>0</v>
      </c>
    </row>
    <row r="362">
      <c r="A362" t="n">
        <v>361</v>
      </c>
      <c r="B362" t="inlineStr">
        <is>
          <t>㈜비알팜</t>
        </is>
      </c>
      <c r="C362" t="inlineStr">
        <is>
          <t>비알팜</t>
        </is>
      </c>
      <c r="D362" t="inlineStr">
        <is>
          <t>의약품</t>
        </is>
      </c>
      <c r="E362" t="inlineStr">
        <is>
          <t>354</t>
        </is>
      </c>
      <c r="F362" t="inlineStr">
        <is>
          <t>김석순</t>
        </is>
      </c>
      <c r="G362" t="inlineStr">
        <is>
          <t>2015-07-23</t>
        </is>
      </c>
      <c r="H362" t="inlineStr">
        <is>
          <t>20150723</t>
        </is>
      </c>
      <c r="I362" t="inlineStr">
        <is>
          <t>1</t>
        </is>
      </c>
      <c r="J362" t="inlineStr">
        <is>
          <t>(주)비알팜</t>
        </is>
      </c>
      <c r="K362" t="inlineStr"/>
      <c r="L362" t="inlineStr">
        <is>
          <t>강원특별자치도 원주시 지정면 신평로 13</t>
        </is>
      </c>
      <c r="M362" t="inlineStr">
        <is>
          <t>1층 일부(보관소), 2층</t>
        </is>
      </c>
      <c r="N362" t="inlineStr">
        <is>
          <t>강원특별자치도 원주시 지정면 신평로 13 1층 일부(보관소), 2층</t>
        </is>
      </c>
      <c r="O362" t="inlineStr">
        <is>
          <t>강원특별자치도</t>
        </is>
      </c>
      <c r="P362" t="inlineStr">
        <is>
          <t>원주시</t>
        </is>
      </c>
      <c r="Q362" t="inlineStr">
        <is>
          <t>N</t>
        </is>
      </c>
      <c r="R362" t="n">
        <v>0</v>
      </c>
    </row>
    <row r="363">
      <c r="A363" t="n">
        <v>362</v>
      </c>
      <c r="B363" t="inlineStr">
        <is>
          <t>상녹제약(주)</t>
        </is>
      </c>
      <c r="C363" t="inlineStr">
        <is>
          <t>상녹제약</t>
        </is>
      </c>
      <c r="D363" t="inlineStr">
        <is>
          <t>의약품</t>
        </is>
      </c>
      <c r="E363" t="inlineStr">
        <is>
          <t>2227</t>
        </is>
      </c>
      <c r="F363" t="inlineStr">
        <is>
          <t>강희상</t>
        </is>
      </c>
      <c r="G363" t="inlineStr">
        <is>
          <t>2001-07-26</t>
        </is>
      </c>
      <c r="H363" t="inlineStr">
        <is>
          <t>20010726</t>
        </is>
      </c>
      <c r="I363" t="inlineStr">
        <is>
          <t>2</t>
        </is>
      </c>
      <c r="J363" t="inlineStr">
        <is>
          <t>음성</t>
        </is>
      </c>
      <c r="K363" t="inlineStr">
        <is>
          <t>02-961-5900</t>
        </is>
      </c>
      <c r="L363" t="inlineStr"/>
      <c r="M363" t="inlineStr">
        <is>
          <t>충청북도 음성군 대소면 삼양로 738-4</t>
        </is>
      </c>
      <c r="N363" t="inlineStr">
        <is>
          <t>충청북도 음성군 대소면 삼양로 738-4</t>
        </is>
      </c>
      <c r="O363" t="inlineStr">
        <is>
          <t>충청북도</t>
        </is>
      </c>
      <c r="P363" t="inlineStr">
        <is>
          <t>음성군</t>
        </is>
      </c>
      <c r="Q363" t="inlineStr">
        <is>
          <t>N</t>
        </is>
      </c>
      <c r="R363" t="n">
        <v>0</v>
      </c>
    </row>
    <row r="364">
      <c r="A364" t="n">
        <v>363</v>
      </c>
      <c r="B364" t="inlineStr">
        <is>
          <t>(주)쎌바이오텍</t>
        </is>
      </c>
      <c r="C364" t="inlineStr">
        <is>
          <t>쎌바이오텍</t>
        </is>
      </c>
      <c r="D364" t="inlineStr">
        <is>
          <t>의약품</t>
        </is>
      </c>
      <c r="E364" t="inlineStr">
        <is>
          <t>2013</t>
        </is>
      </c>
      <c r="F364" t="inlineStr">
        <is>
          <t>정명준</t>
        </is>
      </c>
      <c r="G364" t="inlineStr">
        <is>
          <t>1998-08-17</t>
        </is>
      </c>
      <c r="H364" t="inlineStr">
        <is>
          <t>19980817</t>
        </is>
      </c>
      <c r="I364" t="inlineStr">
        <is>
          <t>3</t>
        </is>
      </c>
      <c r="J364" t="inlineStr">
        <is>
          <t>시험실</t>
        </is>
      </c>
      <c r="K364" t="inlineStr"/>
      <c r="L364" t="inlineStr">
        <is>
          <t>경기도 김포시 월곶면 애기봉로409번길 43</t>
        </is>
      </c>
      <c r="M364" t="inlineStr">
        <is>
          <t>2층</t>
        </is>
      </c>
      <c r="N364" t="inlineStr">
        <is>
          <t>경기도 김포시 월곶면 애기봉로409번길 43 2층</t>
        </is>
      </c>
      <c r="O364" t="inlineStr">
        <is>
          <t>경기도</t>
        </is>
      </c>
      <c r="P364" t="inlineStr">
        <is>
          <t>김포시</t>
        </is>
      </c>
      <c r="Q364" t="inlineStr">
        <is>
          <t>N</t>
        </is>
      </c>
      <c r="R364" t="n">
        <v>0</v>
      </c>
    </row>
    <row r="365">
      <c r="A365" t="n">
        <v>364</v>
      </c>
      <c r="B365" t="inlineStr">
        <is>
          <t>(주)온누리바이오생약</t>
        </is>
      </c>
      <c r="C365" t="inlineStr">
        <is>
          <t>온누리바이오생약</t>
        </is>
      </c>
      <c r="D365" t="inlineStr">
        <is>
          <t>의약품</t>
        </is>
      </c>
      <c r="E365" t="inlineStr">
        <is>
          <t>369</t>
        </is>
      </c>
      <c r="F365" t="inlineStr">
        <is>
          <t>김성규</t>
        </is>
      </c>
      <c r="G365" t="inlineStr">
        <is>
          <t>2015-01-23</t>
        </is>
      </c>
      <c r="H365" t="inlineStr">
        <is>
          <t>20150123</t>
        </is>
      </c>
      <c r="I365" t="inlineStr">
        <is>
          <t>1</t>
        </is>
      </c>
      <c r="J365" t="inlineStr">
        <is>
          <t>제1공장</t>
        </is>
      </c>
      <c r="K365" t="inlineStr"/>
      <c r="L365" t="inlineStr">
        <is>
          <t>경기도 광주시 초월읍 현산로 295-15</t>
        </is>
      </c>
      <c r="M365" t="inlineStr"/>
      <c r="N365" t="inlineStr">
        <is>
          <t>경기도 광주시 초월읍 현산로 295-15</t>
        </is>
      </c>
      <c r="O365" t="inlineStr">
        <is>
          <t>경기도</t>
        </is>
      </c>
      <c r="P365" t="inlineStr">
        <is>
          <t>광주시</t>
        </is>
      </c>
      <c r="Q365" t="inlineStr">
        <is>
          <t>N</t>
        </is>
      </c>
      <c r="R365" t="n">
        <v>0</v>
      </c>
    </row>
    <row r="366">
      <c r="A366" t="n">
        <v>365</v>
      </c>
      <c r="B366" t="inlineStr">
        <is>
          <t>서울대학교병원</t>
        </is>
      </c>
      <c r="C366" t="inlineStr">
        <is>
          <t>서울대학교병원</t>
        </is>
      </c>
      <c r="D366" t="inlineStr">
        <is>
          <t>의약품</t>
        </is>
      </c>
      <c r="E366" t="inlineStr">
        <is>
          <t>2222</t>
        </is>
      </c>
      <c r="F366" t="inlineStr">
        <is>
          <t>백남종</t>
        </is>
      </c>
      <c r="G366" t="inlineStr">
        <is>
          <t>2001-06-28</t>
        </is>
      </c>
      <c r="H366" t="inlineStr">
        <is>
          <t>20010628</t>
        </is>
      </c>
      <c r="I366" t="inlineStr">
        <is>
          <t>2</t>
        </is>
      </c>
      <c r="J366" t="inlineStr">
        <is>
          <t>성남</t>
        </is>
      </c>
      <c r="K366" t="inlineStr">
        <is>
          <t>031-6282-0127</t>
        </is>
      </c>
      <c r="L366" t="inlineStr">
        <is>
          <t>경기도 성남시 분당구 구미로173번길 82</t>
        </is>
      </c>
      <c r="M366" t="inlineStr">
        <is>
          <t>분당서울대학교병원 (구미동)</t>
        </is>
      </c>
      <c r="N366" t="inlineStr">
        <is>
          <t>경기도 성남시 분당구 구미로173번길 82 분당서울대학교병원 (구미동)</t>
        </is>
      </c>
      <c r="O366" t="inlineStr">
        <is>
          <t>경기도</t>
        </is>
      </c>
      <c r="P366" t="inlineStr">
        <is>
          <t>성남시</t>
        </is>
      </c>
      <c r="Q366" t="inlineStr">
        <is>
          <t>N</t>
        </is>
      </c>
      <c r="R366" t="n">
        <v>0</v>
      </c>
    </row>
    <row r="367">
      <c r="A367" t="n">
        <v>366</v>
      </c>
      <c r="B367" t="inlineStr">
        <is>
          <t>화일약품(주)</t>
        </is>
      </c>
      <c r="C367" t="inlineStr">
        <is>
          <t>화일약품</t>
        </is>
      </c>
      <c r="D367" t="inlineStr">
        <is>
          <t>의약품</t>
        </is>
      </c>
      <c r="E367" t="inlineStr">
        <is>
          <t>2014</t>
        </is>
      </c>
      <c r="F367" t="inlineStr">
        <is>
          <t>김유정</t>
        </is>
      </c>
      <c r="G367" t="inlineStr">
        <is>
          <t>1998-08-17</t>
        </is>
      </c>
      <c r="H367" t="inlineStr">
        <is>
          <t>19980817</t>
        </is>
      </c>
      <c r="I367" t="inlineStr">
        <is>
          <t>2</t>
        </is>
      </c>
      <c r="J367" t="inlineStr">
        <is>
          <t>안산시(완제의약품)</t>
        </is>
      </c>
      <c r="K367" t="inlineStr">
        <is>
          <t>031-491-4042</t>
        </is>
      </c>
      <c r="L367" t="inlineStr">
        <is>
          <t>경기도 안산시 단원구 산단로67번길 156</t>
        </is>
      </c>
      <c r="M367" t="inlineStr"/>
      <c r="N367" t="inlineStr">
        <is>
          <t>경기도 안산시 단원구 산단로67번길 156</t>
        </is>
      </c>
      <c r="O367" t="inlineStr">
        <is>
          <t>경기도</t>
        </is>
      </c>
      <c r="P367" t="inlineStr">
        <is>
          <t>안산시</t>
        </is>
      </c>
      <c r="Q367" t="inlineStr">
        <is>
          <t>Y</t>
        </is>
      </c>
      <c r="R367" t="n">
        <v>19</v>
      </c>
    </row>
    <row r="368">
      <c r="A368" t="n">
        <v>367</v>
      </c>
      <c r="B368" t="inlineStr">
        <is>
          <t>(주)대동가스텍</t>
        </is>
      </c>
      <c r="C368" t="inlineStr">
        <is>
          <t>대동가스텍</t>
        </is>
      </c>
      <c r="D368" t="inlineStr">
        <is>
          <t>의약품</t>
        </is>
      </c>
      <c r="E368" t="inlineStr">
        <is>
          <t>2147</t>
        </is>
      </c>
      <c r="F368" t="inlineStr">
        <is>
          <t>김재춘</t>
        </is>
      </c>
      <c r="G368" t="inlineStr">
        <is>
          <t>2000-11-24</t>
        </is>
      </c>
      <c r="H368" t="inlineStr">
        <is>
          <t>20001124</t>
        </is>
      </c>
      <c r="I368" t="inlineStr">
        <is>
          <t>1</t>
        </is>
      </c>
      <c r="J368" t="inlineStr">
        <is>
          <t>경산</t>
        </is>
      </c>
      <c r="K368" t="inlineStr">
        <is>
          <t>053-856-5142</t>
        </is>
      </c>
      <c r="L368" t="inlineStr">
        <is>
          <t>경상북도 경산시 진량읍 공단4로 96</t>
        </is>
      </c>
      <c r="M368" t="inlineStr"/>
      <c r="N368" t="inlineStr">
        <is>
          <t>경상북도 경산시 진량읍 공단4로 96</t>
        </is>
      </c>
      <c r="O368" t="inlineStr">
        <is>
          <t>경상북도</t>
        </is>
      </c>
      <c r="P368" t="inlineStr">
        <is>
          <t>경산시</t>
        </is>
      </c>
      <c r="Q368" t="inlineStr">
        <is>
          <t>N</t>
        </is>
      </c>
      <c r="R368" t="n">
        <v>0</v>
      </c>
    </row>
    <row r="369">
      <c r="A369" t="n">
        <v>368</v>
      </c>
      <c r="B369" t="inlineStr">
        <is>
          <t>한국특수가스(주)</t>
        </is>
      </c>
      <c r="C369" t="inlineStr">
        <is>
          <t>한국특수가스</t>
        </is>
      </c>
      <c r="D369" t="inlineStr">
        <is>
          <t>의약품</t>
        </is>
      </c>
      <c r="E369" t="inlineStr">
        <is>
          <t>1909</t>
        </is>
      </c>
      <c r="F369" t="inlineStr">
        <is>
          <t>김진선</t>
        </is>
      </c>
      <c r="G369" t="inlineStr">
        <is>
          <t>1996-05-16</t>
        </is>
      </c>
      <c r="H369" t="inlineStr">
        <is>
          <t>19960516</t>
        </is>
      </c>
      <c r="I369" t="inlineStr">
        <is>
          <t>3</t>
        </is>
      </c>
      <c r="J369" t="inlineStr">
        <is>
          <t>한국특수가스(주) 전주사업장</t>
        </is>
      </c>
      <c r="K369" t="inlineStr"/>
      <c r="L369" t="inlineStr">
        <is>
          <t>전북특별자치도 전주시 덕진구 추천로 177-8</t>
        </is>
      </c>
      <c r="M369" t="inlineStr"/>
      <c r="N369" t="inlineStr">
        <is>
          <t>전북특별자치도 전주시 덕진구 추천로 177-8</t>
        </is>
      </c>
      <c r="O369" t="inlineStr">
        <is>
          <t>전북특별자치도</t>
        </is>
      </c>
      <c r="P369" t="inlineStr">
        <is>
          <t>전주시</t>
        </is>
      </c>
      <c r="Q369" t="inlineStr">
        <is>
          <t>Y</t>
        </is>
      </c>
      <c r="R369" t="n">
        <v>62</v>
      </c>
    </row>
    <row r="370">
      <c r="A370" t="n">
        <v>369</v>
      </c>
      <c r="B370" t="inlineStr">
        <is>
          <t>한국휴텍스제약(주)</t>
        </is>
      </c>
      <c r="C370" t="inlineStr">
        <is>
          <t>한국휴텍스제약</t>
        </is>
      </c>
      <c r="D370" t="inlineStr">
        <is>
          <t>의약품</t>
        </is>
      </c>
      <c r="E370" t="inlineStr">
        <is>
          <t>1666</t>
        </is>
      </c>
      <c r="F370" t="inlineStr">
        <is>
          <t>이상일</t>
        </is>
      </c>
      <c r="G370" t="inlineStr">
        <is>
          <t>1986-09-15</t>
        </is>
      </c>
      <c r="H370" t="inlineStr">
        <is>
          <t>19860915</t>
        </is>
      </c>
      <c r="I370" t="inlineStr">
        <is>
          <t>3</t>
        </is>
      </c>
      <c r="J370" t="inlineStr">
        <is>
          <t>보관소</t>
        </is>
      </c>
      <c r="K370" t="inlineStr"/>
      <c r="L370" t="inlineStr">
        <is>
          <t>경기도 평택시 청북읍 청북중앙로 419</t>
        </is>
      </c>
      <c r="M370" t="inlineStr">
        <is>
          <t>A동, B동</t>
        </is>
      </c>
      <c r="N370" t="inlineStr">
        <is>
          <t>경기도 평택시 청북읍 청북중앙로 419 A동, B동</t>
        </is>
      </c>
      <c r="O370" t="inlineStr">
        <is>
          <t>경기도</t>
        </is>
      </c>
      <c r="P370" t="inlineStr">
        <is>
          <t>평택시</t>
        </is>
      </c>
      <c r="Q370" t="inlineStr">
        <is>
          <t>Y</t>
        </is>
      </c>
      <c r="R370" t="n">
        <v>21</v>
      </c>
    </row>
    <row r="371">
      <c r="A371" t="n">
        <v>370</v>
      </c>
      <c r="B371" t="inlineStr">
        <is>
          <t>(주)폴라리스에이아이파마</t>
        </is>
      </c>
      <c r="C371" t="inlineStr">
        <is>
          <t>폴라리스에이아이파마</t>
        </is>
      </c>
      <c r="D371" t="inlineStr">
        <is>
          <t>의약품</t>
        </is>
      </c>
      <c r="E371" t="inlineStr">
        <is>
          <t>1962</t>
        </is>
      </c>
      <c r="F371" t="inlineStr">
        <is>
          <t>조원경</t>
        </is>
      </c>
      <c r="G371" t="inlineStr">
        <is>
          <t>1996-12-17</t>
        </is>
      </c>
      <c r="H371" t="inlineStr">
        <is>
          <t>19961217</t>
        </is>
      </c>
      <c r="I371" t="inlineStr">
        <is>
          <t>2</t>
        </is>
      </c>
      <c r="J371" t="inlineStr">
        <is>
          <t>화성</t>
        </is>
      </c>
      <c r="K371" t="inlineStr">
        <is>
          <t>031-831-4800</t>
        </is>
      </c>
      <c r="L371" t="inlineStr">
        <is>
          <t>경기도 화성시 만세구 향남읍 발안공단로 25</t>
        </is>
      </c>
      <c r="M371" t="inlineStr"/>
      <c r="N371" t="inlineStr">
        <is>
          <t>경기도 화성시 만세구 향남읍 발안공단로 25</t>
        </is>
      </c>
      <c r="O371" t="inlineStr">
        <is>
          <t>경기도</t>
        </is>
      </c>
      <c r="P371" t="inlineStr">
        <is>
          <t>화성시</t>
        </is>
      </c>
      <c r="Q371" t="inlineStr">
        <is>
          <t>N</t>
        </is>
      </c>
      <c r="R371" t="n">
        <v>0</v>
      </c>
    </row>
    <row r="372">
      <c r="A372" t="n">
        <v>371</v>
      </c>
      <c r="B372" t="inlineStr">
        <is>
          <t>한영기업(주)</t>
        </is>
      </c>
      <c r="C372" t="inlineStr">
        <is>
          <t>한영기업</t>
        </is>
      </c>
      <c r="D372" t="inlineStr">
        <is>
          <t>의약품</t>
        </is>
      </c>
      <c r="E372" t="inlineStr">
        <is>
          <t>6158</t>
        </is>
      </c>
      <c r="F372" t="inlineStr">
        <is>
          <t>김영훈</t>
        </is>
      </c>
      <c r="G372" t="inlineStr">
        <is>
          <t>2018-07-04</t>
        </is>
      </c>
      <c r="H372" t="inlineStr">
        <is>
          <t>20180704</t>
        </is>
      </c>
      <c r="I372" t="inlineStr">
        <is>
          <t>1</t>
        </is>
      </c>
      <c r="J372" t="inlineStr">
        <is>
          <t>한영기업(주)</t>
        </is>
      </c>
      <c r="K372" t="inlineStr">
        <is>
          <t>051.403-4787</t>
        </is>
      </c>
      <c r="L372" t="inlineStr">
        <is>
          <t>부산광역시 영도구 해양로 206</t>
        </is>
      </c>
      <c r="M372" t="inlineStr"/>
      <c r="N372" t="inlineStr">
        <is>
          <t>부산광역시 영도구 해양로 206</t>
        </is>
      </c>
      <c r="O372" t="inlineStr">
        <is>
          <t>부산광역시</t>
        </is>
      </c>
      <c r="P372" t="inlineStr">
        <is>
          <t>영도구</t>
        </is>
      </c>
      <c r="Q372" t="inlineStr">
        <is>
          <t>N</t>
        </is>
      </c>
      <c r="R372" t="n">
        <v>0</v>
      </c>
    </row>
    <row r="373">
      <c r="A373" t="n">
        <v>372</v>
      </c>
      <c r="B373" t="inlineStr">
        <is>
          <t>대신무약(주)</t>
        </is>
      </c>
      <c r="C373" t="inlineStr">
        <is>
          <t>대신무약</t>
        </is>
      </c>
      <c r="D373" t="inlineStr">
        <is>
          <t>의약품</t>
        </is>
      </c>
      <c r="E373" t="inlineStr">
        <is>
          <t>312</t>
        </is>
      </c>
      <c r="F373" t="inlineStr">
        <is>
          <t>김정덕</t>
        </is>
      </c>
      <c r="G373" t="inlineStr">
        <is>
          <t>1984-05-02</t>
        </is>
      </c>
      <c r="H373" t="inlineStr">
        <is>
          <t>19840502</t>
        </is>
      </c>
      <c r="I373" t="inlineStr">
        <is>
          <t>2</t>
        </is>
      </c>
      <c r="J373" t="inlineStr">
        <is>
          <t>제2보관소</t>
        </is>
      </c>
      <c r="K373" t="inlineStr">
        <is>
          <t>572-5841</t>
        </is>
      </c>
      <c r="L373" t="inlineStr">
        <is>
          <t>경기도 평택시 청북면 청북중앙로 298-16</t>
        </is>
      </c>
      <c r="M373" t="inlineStr"/>
      <c r="N373" t="inlineStr">
        <is>
          <t>경기도 평택시 청북면 청북중앙로 298-16</t>
        </is>
      </c>
      <c r="O373" t="inlineStr">
        <is>
          <t>경기도</t>
        </is>
      </c>
      <c r="P373" t="inlineStr">
        <is>
          <t>평택시</t>
        </is>
      </c>
      <c r="Q373" t="inlineStr">
        <is>
          <t>N</t>
        </is>
      </c>
      <c r="R373" t="n">
        <v>0</v>
      </c>
    </row>
    <row r="374">
      <c r="A374" t="n">
        <v>373</v>
      </c>
      <c r="B374" t="inlineStr">
        <is>
          <t>대원바이오텍주식회사</t>
        </is>
      </c>
      <c r="C374" t="inlineStr">
        <is>
          <t>대원바이오텍</t>
        </is>
      </c>
      <c r="D374" t="inlineStr">
        <is>
          <t>의약품</t>
        </is>
      </c>
      <c r="E374" t="inlineStr">
        <is>
          <t>367</t>
        </is>
      </c>
      <c r="F374" t="inlineStr">
        <is>
          <t>조태균</t>
        </is>
      </c>
      <c r="G374" t="inlineStr">
        <is>
          <t>2018-02-12</t>
        </is>
      </c>
      <c r="H374" t="inlineStr">
        <is>
          <t>20180212</t>
        </is>
      </c>
      <c r="I374" t="inlineStr">
        <is>
          <t>1</t>
        </is>
      </c>
      <c r="J374" t="inlineStr">
        <is>
          <t>대원바이오텍주식회사</t>
        </is>
      </c>
      <c r="K374" t="inlineStr">
        <is>
          <t>070-4327-0447</t>
        </is>
      </c>
      <c r="L374" t="inlineStr">
        <is>
          <t>서울특별시 금천구 가산디지털1로 19</t>
        </is>
      </c>
      <c r="M374" t="inlineStr">
        <is>
          <t>15층, 1501호~1503호(가산동, 대륭테크노타운 18차)</t>
        </is>
      </c>
      <c r="N374" t="inlineStr">
        <is>
          <t>서울특별시 금천구 가산디지털1로 19 15층, 1501호~1503호(가산동, 대륭테크노타운 18차)</t>
        </is>
      </c>
      <c r="O374" t="inlineStr">
        <is>
          <t>서울특별시</t>
        </is>
      </c>
      <c r="P374" t="inlineStr">
        <is>
          <t>금천구</t>
        </is>
      </c>
      <c r="Q374" t="inlineStr">
        <is>
          <t>N</t>
        </is>
      </c>
      <c r="R374" t="n">
        <v>0</v>
      </c>
    </row>
    <row r="375">
      <c r="A375" t="n">
        <v>374</v>
      </c>
      <c r="B375" t="inlineStr">
        <is>
          <t>대웅바이오(주)</t>
        </is>
      </c>
      <c r="C375" t="inlineStr">
        <is>
          <t>대웅바이오</t>
        </is>
      </c>
      <c r="D375" t="inlineStr">
        <is>
          <t>의약품</t>
        </is>
      </c>
      <c r="E375" t="inlineStr">
        <is>
          <t>1632</t>
        </is>
      </c>
      <c r="F375" t="inlineStr">
        <is>
          <t>진성곤</t>
        </is>
      </c>
      <c r="G375" t="inlineStr">
        <is>
          <t>1983-08-27</t>
        </is>
      </c>
      <c r="H375" t="inlineStr">
        <is>
          <t>19830827</t>
        </is>
      </c>
      <c r="I375" t="inlineStr">
        <is>
          <t>2</t>
        </is>
      </c>
      <c r="J375" t="inlineStr">
        <is>
          <t>화성</t>
        </is>
      </c>
      <c r="K375" t="inlineStr">
        <is>
          <t>550-8416</t>
        </is>
      </c>
      <c r="L375" t="inlineStr"/>
      <c r="M375" t="inlineStr">
        <is>
          <t>경기도 화성시 향남읍 제약공단4길 53</t>
        </is>
      </c>
      <c r="N375" t="inlineStr">
        <is>
          <t>경기도 화성시 향남읍 제약공단4길 53</t>
        </is>
      </c>
      <c r="O375" t="inlineStr">
        <is>
          <t>경기도</t>
        </is>
      </c>
      <c r="P375" t="inlineStr">
        <is>
          <t>화성시</t>
        </is>
      </c>
      <c r="Q375" t="inlineStr">
        <is>
          <t>N</t>
        </is>
      </c>
      <c r="R375" t="n">
        <v>0</v>
      </c>
    </row>
    <row r="376">
      <c r="A376" t="n">
        <v>375</v>
      </c>
      <c r="B376" t="inlineStr">
        <is>
          <t>(주)세종산업가스</t>
        </is>
      </c>
      <c r="C376" t="inlineStr">
        <is>
          <t>세종산업가스</t>
        </is>
      </c>
      <c r="D376" t="inlineStr">
        <is>
          <t>의약품</t>
        </is>
      </c>
      <c r="E376" t="inlineStr">
        <is>
          <t>2643</t>
        </is>
      </c>
      <c r="F376" t="inlineStr">
        <is>
          <t>강민구</t>
        </is>
      </c>
      <c r="G376" t="inlineStr">
        <is>
          <t>2017-06-27</t>
        </is>
      </c>
      <c r="H376" t="inlineStr">
        <is>
          <t>20170627</t>
        </is>
      </c>
      <c r="I376" t="inlineStr">
        <is>
          <t>1</t>
        </is>
      </c>
      <c r="J376" t="inlineStr">
        <is>
          <t>세종산업가스</t>
        </is>
      </c>
      <c r="K376" t="inlineStr">
        <is>
          <t>0448659505</t>
        </is>
      </c>
      <c r="L376" t="inlineStr">
        <is>
          <t>세종특별자치시 전동면 운주산로 638</t>
        </is>
      </c>
      <c r="M376" t="inlineStr"/>
      <c r="N376" t="inlineStr">
        <is>
          <t>세종특별자치시 전동면 운주산로 638</t>
        </is>
      </c>
      <c r="O376" t="inlineStr">
        <is>
          <t>세종특별자치시</t>
        </is>
      </c>
      <c r="P376" t="inlineStr"/>
      <c r="Q376" t="inlineStr">
        <is>
          <t>N</t>
        </is>
      </c>
      <c r="R376" t="n">
        <v>0</v>
      </c>
    </row>
    <row r="377">
      <c r="A377" t="n">
        <v>376</v>
      </c>
      <c r="B377" t="inlineStr">
        <is>
          <t>디아이지에어가스(주)</t>
        </is>
      </c>
      <c r="C377" t="inlineStr">
        <is>
          <t>디아이지에어가스</t>
        </is>
      </c>
      <c r="D377" t="inlineStr">
        <is>
          <t>의약품</t>
        </is>
      </c>
      <c r="E377" t="inlineStr">
        <is>
          <t>1603</t>
        </is>
      </c>
      <c r="F377" t="inlineStr">
        <is>
          <t>오규석</t>
        </is>
      </c>
      <c r="G377" t="inlineStr">
        <is>
          <t>1981-02-06</t>
        </is>
      </c>
      <c r="H377" t="inlineStr">
        <is>
          <t>19810206</t>
        </is>
      </c>
      <c r="I377" t="inlineStr">
        <is>
          <t>13</t>
        </is>
      </c>
      <c r="J377" t="inlineStr">
        <is>
          <t>대성산업가스</t>
        </is>
      </c>
      <c r="K377" t="inlineStr"/>
      <c r="L377" t="inlineStr">
        <is>
          <t>충청남도 공주시 공단길 57</t>
        </is>
      </c>
      <c r="M377" t="inlineStr"/>
      <c r="N377" t="inlineStr">
        <is>
          <t>충청남도 공주시 공단길 57</t>
        </is>
      </c>
      <c r="O377" t="inlineStr">
        <is>
          <t>충청남도</t>
        </is>
      </c>
      <c r="P377" t="inlineStr">
        <is>
          <t>공주시</t>
        </is>
      </c>
      <c r="Q377" t="inlineStr">
        <is>
          <t>N</t>
        </is>
      </c>
      <c r="R377" t="n">
        <v>0</v>
      </c>
    </row>
    <row r="378">
      <c r="A378" t="n">
        <v>377</v>
      </c>
      <c r="B378" t="inlineStr">
        <is>
          <t>대한약품공업(주)</t>
        </is>
      </c>
      <c r="C378" t="inlineStr">
        <is>
          <t>대한약품공업</t>
        </is>
      </c>
      <c r="D378" t="inlineStr">
        <is>
          <t>의약품</t>
        </is>
      </c>
      <c r="E378" t="inlineStr">
        <is>
          <t>1303</t>
        </is>
      </c>
      <c r="F378" t="inlineStr">
        <is>
          <t>이승영</t>
        </is>
      </c>
      <c r="G378" t="inlineStr">
        <is>
          <t>1955-06-06</t>
        </is>
      </c>
      <c r="H378" t="inlineStr">
        <is>
          <t>19550606</t>
        </is>
      </c>
      <c r="I378" t="inlineStr">
        <is>
          <t>3</t>
        </is>
      </c>
      <c r="J378" t="inlineStr">
        <is>
          <t>보관소</t>
        </is>
      </c>
      <c r="K378" t="inlineStr"/>
      <c r="L378" t="inlineStr">
        <is>
          <t>경기도 안산시 단원구 산단로67번길 30</t>
        </is>
      </c>
      <c r="M378" t="inlineStr"/>
      <c r="N378" t="inlineStr">
        <is>
          <t>경기도 안산시 단원구 산단로67번길 30</t>
        </is>
      </c>
      <c r="O378" t="inlineStr">
        <is>
          <t>경기도</t>
        </is>
      </c>
      <c r="P378" t="inlineStr">
        <is>
          <t>안산시</t>
        </is>
      </c>
      <c r="Q378" t="inlineStr">
        <is>
          <t>N</t>
        </is>
      </c>
      <c r="R378" t="n">
        <v>0</v>
      </c>
    </row>
    <row r="379">
      <c r="A379" t="n">
        <v>378</v>
      </c>
      <c r="B379" t="inlineStr">
        <is>
          <t>코스맥스파마(주)</t>
        </is>
      </c>
      <c r="C379" t="inlineStr">
        <is>
          <t>코스맥스파마</t>
        </is>
      </c>
      <c r="D379" t="inlineStr">
        <is>
          <t>의약품</t>
        </is>
      </c>
      <c r="E379" t="inlineStr">
        <is>
          <t>2638</t>
        </is>
      </c>
      <c r="F379" t="inlineStr">
        <is>
          <t>이호경</t>
        </is>
      </c>
      <c r="G379" t="inlineStr">
        <is>
          <t>2017-01-11</t>
        </is>
      </c>
      <c r="H379" t="inlineStr">
        <is>
          <t>20170111</t>
        </is>
      </c>
      <c r="I379" t="inlineStr">
        <is>
          <t>2</t>
        </is>
      </c>
      <c r="J379" t="inlineStr">
        <is>
          <t>2공장</t>
        </is>
      </c>
      <c r="K379" t="inlineStr">
        <is>
          <t>043-238-8477</t>
        </is>
      </c>
      <c r="L379" t="inlineStr">
        <is>
          <t>충청북도 제천시 바이오밸리3로 30</t>
        </is>
      </c>
      <c r="M379" t="inlineStr">
        <is>
          <t>일부</t>
        </is>
      </c>
      <c r="N379" t="inlineStr">
        <is>
          <t>충청북도 제천시 바이오밸리3로 30 일부</t>
        </is>
      </c>
      <c r="O379" t="inlineStr">
        <is>
          <t>충청북도</t>
        </is>
      </c>
      <c r="P379" t="inlineStr">
        <is>
          <t>제천시</t>
        </is>
      </c>
      <c r="Q379" t="inlineStr">
        <is>
          <t>N</t>
        </is>
      </c>
      <c r="R379" t="n">
        <v>0</v>
      </c>
    </row>
    <row r="380">
      <c r="A380" t="n">
        <v>379</v>
      </c>
      <c r="B380" t="inlineStr">
        <is>
          <t>제이더블유중외제약(주)</t>
        </is>
      </c>
      <c r="C380" t="inlineStr">
        <is>
          <t>제이더블유중외제약</t>
        </is>
      </c>
      <c r="D380" t="inlineStr">
        <is>
          <t>의약품</t>
        </is>
      </c>
      <c r="E380" t="inlineStr">
        <is>
          <t>1302</t>
        </is>
      </c>
      <c r="F380" t="inlineStr">
        <is>
          <t>함은경</t>
        </is>
      </c>
      <c r="G380" t="inlineStr">
        <is>
          <t>1955-04-14</t>
        </is>
      </c>
      <c r="H380" t="inlineStr">
        <is>
          <t>19550414</t>
        </is>
      </c>
      <c r="I380" t="inlineStr">
        <is>
          <t>3</t>
        </is>
      </c>
      <c r="J380" t="inlineStr">
        <is>
          <t>시흥</t>
        </is>
      </c>
      <c r="K380" t="inlineStr">
        <is>
          <t>02-840-6986</t>
        </is>
      </c>
      <c r="L380" t="inlineStr">
        <is>
          <t>경기도 시흥시 경제로 56</t>
        </is>
      </c>
      <c r="M380" t="inlineStr">
        <is>
          <t>시화공단 1마 301 (정왕동)</t>
        </is>
      </c>
      <c r="N380" t="inlineStr">
        <is>
          <t>경기도 시흥시 경제로 56 시화공단 1마 301 (정왕동)</t>
        </is>
      </c>
      <c r="O380" t="inlineStr">
        <is>
          <t>경기도</t>
        </is>
      </c>
      <c r="P380" t="inlineStr">
        <is>
          <t>시흥시</t>
        </is>
      </c>
      <c r="Q380" t="inlineStr">
        <is>
          <t>Y</t>
        </is>
      </c>
      <c r="R380" t="n">
        <v>63</v>
      </c>
    </row>
    <row r="381">
      <c r="A381" t="n">
        <v>380</v>
      </c>
      <c r="B381" t="inlineStr">
        <is>
          <t>일양약품(주)</t>
        </is>
      </c>
      <c r="C381" t="inlineStr">
        <is>
          <t>일양약품</t>
        </is>
      </c>
      <c r="D381" t="inlineStr">
        <is>
          <t>의약품</t>
        </is>
      </c>
      <c r="E381" t="inlineStr">
        <is>
          <t>1336</t>
        </is>
      </c>
      <c r="F381" t="inlineStr">
        <is>
          <t>정유석</t>
        </is>
      </c>
      <c r="G381" t="inlineStr">
        <is>
          <t>1957-05-25</t>
        </is>
      </c>
      <c r="H381" t="inlineStr">
        <is>
          <t>19570525</t>
        </is>
      </c>
      <c r="I381" t="inlineStr">
        <is>
          <t>1</t>
        </is>
      </c>
      <c r="J381" t="inlineStr">
        <is>
          <t>용인</t>
        </is>
      </c>
      <c r="K381" t="inlineStr">
        <is>
          <t>031-281-7851</t>
        </is>
      </c>
      <c r="L381" t="inlineStr">
        <is>
          <t>경기도 용인시 기흥구 하갈로 110</t>
        </is>
      </c>
      <c r="M381" t="inlineStr"/>
      <c r="N381" t="inlineStr">
        <is>
          <t>경기도 용인시 기흥구 하갈로 110</t>
        </is>
      </c>
      <c r="O381" t="inlineStr">
        <is>
          <t>경기도</t>
        </is>
      </c>
      <c r="P381" t="inlineStr">
        <is>
          <t>용인시</t>
        </is>
      </c>
      <c r="Q381" t="inlineStr">
        <is>
          <t>N</t>
        </is>
      </c>
      <c r="R381" t="n">
        <v>0</v>
      </c>
    </row>
    <row r="382">
      <c r="A382" t="n">
        <v>381</v>
      </c>
      <c r="B382" t="inlineStr">
        <is>
          <t>일동제약(주)</t>
        </is>
      </c>
      <c r="C382" t="inlineStr">
        <is>
          <t>일동제약</t>
        </is>
      </c>
      <c r="D382" t="inlineStr">
        <is>
          <t>의약품</t>
        </is>
      </c>
      <c r="E382" t="inlineStr">
        <is>
          <t>1293</t>
        </is>
      </c>
      <c r="F382" t="inlineStr">
        <is>
          <t>윤폴웅섭(윤웅섭)</t>
        </is>
      </c>
      <c r="G382" t="inlineStr">
        <is>
          <t>1954-12-31</t>
        </is>
      </c>
      <c r="H382" t="inlineStr">
        <is>
          <t>19541231</t>
        </is>
      </c>
      <c r="I382" t="inlineStr">
        <is>
          <t>3</t>
        </is>
      </c>
      <c r="J382" t="inlineStr">
        <is>
          <t>화성</t>
        </is>
      </c>
      <c r="K382" t="inlineStr">
        <is>
          <t>02-526-3388</t>
        </is>
      </c>
      <c r="L382" t="inlineStr">
        <is>
          <t>경기도 화성시 삼성1로1길 20</t>
        </is>
      </c>
      <c r="M382" t="inlineStr">
        <is>
          <t>일동제약(주) 중앙연구소 4층 (실험실에 한함)</t>
        </is>
      </c>
      <c r="N382" t="inlineStr">
        <is>
          <t>경기도 화성시 삼성1로1길 20 일동제약(주) 중앙연구소 4층 (실험실에 한함)</t>
        </is>
      </c>
      <c r="O382" t="inlineStr">
        <is>
          <t>경기도</t>
        </is>
      </c>
      <c r="P382" t="inlineStr">
        <is>
          <t>화성시</t>
        </is>
      </c>
      <c r="Q382" t="inlineStr">
        <is>
          <t>Y</t>
        </is>
      </c>
      <c r="R382" t="n">
        <v>25</v>
      </c>
    </row>
    <row r="383">
      <c r="A383" t="n">
        <v>382</v>
      </c>
      <c r="B383" t="inlineStr">
        <is>
          <t>(주)퍼슨</t>
        </is>
      </c>
      <c r="C383" t="inlineStr">
        <is>
          <t>퍼슨</t>
        </is>
      </c>
      <c r="D383" t="inlineStr">
        <is>
          <t>의약품</t>
        </is>
      </c>
      <c r="E383" t="inlineStr">
        <is>
          <t>1338</t>
        </is>
      </c>
      <c r="F383" t="inlineStr">
        <is>
          <t>김동진</t>
        </is>
      </c>
      <c r="G383" t="inlineStr">
        <is>
          <t>1957-05-28</t>
        </is>
      </c>
      <c r="H383" t="inlineStr">
        <is>
          <t>19570528</t>
        </is>
      </c>
      <c r="I383" t="inlineStr">
        <is>
          <t>2</t>
        </is>
      </c>
      <c r="J383" t="inlineStr">
        <is>
          <t>천안</t>
        </is>
      </c>
      <c r="K383" t="inlineStr">
        <is>
          <t>070-4850-7650</t>
        </is>
      </c>
      <c r="L383" t="inlineStr">
        <is>
          <t>충청남도 천안시 서북구 백석공단1로 47</t>
        </is>
      </c>
      <c r="M383" t="inlineStr"/>
      <c r="N383" t="inlineStr">
        <is>
          <t>충청남도 천안시 서북구 백석공단1로 47</t>
        </is>
      </c>
      <c r="O383" t="inlineStr">
        <is>
          <t>충청남도</t>
        </is>
      </c>
      <c r="P383" t="inlineStr">
        <is>
          <t>천안시</t>
        </is>
      </c>
      <c r="Q383" t="inlineStr">
        <is>
          <t>N</t>
        </is>
      </c>
      <c r="R383" t="n">
        <v>0</v>
      </c>
    </row>
    <row r="384">
      <c r="A384" t="n">
        <v>383</v>
      </c>
      <c r="B384" t="inlineStr">
        <is>
          <t>동아에스티(주)</t>
        </is>
      </c>
      <c r="C384" t="inlineStr">
        <is>
          <t>동아에스티</t>
        </is>
      </c>
      <c r="D384" t="inlineStr">
        <is>
          <t>의약품</t>
        </is>
      </c>
      <c r="E384" t="inlineStr">
        <is>
          <t>1290</t>
        </is>
      </c>
      <c r="F384" t="inlineStr">
        <is>
          <t>정재훈</t>
        </is>
      </c>
      <c r="G384" t="inlineStr">
        <is>
          <t>1954-12-13</t>
        </is>
      </c>
      <c r="H384" t="inlineStr">
        <is>
          <t>19541213</t>
        </is>
      </c>
      <c r="I384" t="inlineStr">
        <is>
          <t>2</t>
        </is>
      </c>
      <c r="J384" t="inlineStr">
        <is>
          <t>안산</t>
        </is>
      </c>
      <c r="K384" t="inlineStr">
        <is>
          <t>920-8202</t>
        </is>
      </c>
      <c r="L384" t="inlineStr">
        <is>
          <t>경기도 안산시 단원구 해안로 171</t>
        </is>
      </c>
      <c r="M384" t="inlineStr">
        <is>
          <t>7블럭 46로트 (목내동)</t>
        </is>
      </c>
      <c r="N384" t="inlineStr">
        <is>
          <t>경기도 안산시 단원구 해안로 171 7블럭 46로트 (목내동)</t>
        </is>
      </c>
      <c r="O384" t="inlineStr">
        <is>
          <t>경기도</t>
        </is>
      </c>
      <c r="P384" t="inlineStr">
        <is>
          <t>안산시</t>
        </is>
      </c>
      <c r="Q384" t="inlineStr">
        <is>
          <t>N</t>
        </is>
      </c>
      <c r="R384" t="n">
        <v>0</v>
      </c>
    </row>
    <row r="385">
      <c r="A385" t="n">
        <v>384</v>
      </c>
      <c r="B385" t="inlineStr">
        <is>
          <t>(주)유한양행</t>
        </is>
      </c>
      <c r="C385" t="inlineStr">
        <is>
          <t>유한양행</t>
        </is>
      </c>
      <c r="D385" t="inlineStr">
        <is>
          <t>의약품</t>
        </is>
      </c>
      <c r="E385" t="inlineStr">
        <is>
          <t>1329</t>
        </is>
      </c>
      <c r="F385" t="inlineStr">
        <is>
          <t>조욱제</t>
        </is>
      </c>
      <c r="G385" t="inlineStr">
        <is>
          <t>1956-12-04</t>
        </is>
      </c>
      <c r="H385" t="inlineStr">
        <is>
          <t>19561204</t>
        </is>
      </c>
      <c r="I385" t="inlineStr">
        <is>
          <t>2</t>
        </is>
      </c>
      <c r="J385" t="inlineStr"/>
      <c r="K385" t="inlineStr"/>
      <c r="L385" t="inlineStr">
        <is>
          <t>충청북도 청주시 청원구 오창읍 연구단지로 238</t>
        </is>
      </c>
      <c r="M385" t="inlineStr"/>
      <c r="N385" t="inlineStr">
        <is>
          <t>충청북도 청주시 청원구 오창읍 연구단지로 238</t>
        </is>
      </c>
      <c r="O385" t="inlineStr">
        <is>
          <t>충청북도</t>
        </is>
      </c>
      <c r="P385" t="inlineStr">
        <is>
          <t>청주시</t>
        </is>
      </c>
      <c r="Q385" t="inlineStr">
        <is>
          <t>N</t>
        </is>
      </c>
      <c r="R385" t="n">
        <v>0</v>
      </c>
    </row>
    <row r="386">
      <c r="A386" t="n">
        <v>385</v>
      </c>
      <c r="B386" t="inlineStr">
        <is>
          <t>오송첨단의료산업진흥재단 바이오의약생산센터</t>
        </is>
      </c>
      <c r="C386" t="inlineStr">
        <is>
          <t>오송첨단의료산업진흥재단 바이오의약생산센터</t>
        </is>
      </c>
      <c r="D386" t="inlineStr">
        <is>
          <t>의약품</t>
        </is>
      </c>
      <c r="E386" t="inlineStr">
        <is>
          <t>2630</t>
        </is>
      </c>
      <c r="F386" t="inlineStr">
        <is>
          <t>차상훈</t>
        </is>
      </c>
      <c r="G386" t="inlineStr">
        <is>
          <t>2016-01-25</t>
        </is>
      </c>
      <c r="H386" t="inlineStr">
        <is>
          <t>20160125</t>
        </is>
      </c>
      <c r="I386" t="inlineStr">
        <is>
          <t>1</t>
        </is>
      </c>
      <c r="J386" t="inlineStr">
        <is>
          <t>제1공장</t>
        </is>
      </c>
      <c r="K386" t="inlineStr">
        <is>
          <t>043-200-9982</t>
        </is>
      </c>
      <c r="L386" t="inlineStr">
        <is>
          <t>충청북도 청주시 흥덕구 오송읍 오송생명로 123</t>
        </is>
      </c>
      <c r="M386" t="inlineStr"/>
      <c r="N386" t="inlineStr">
        <is>
          <t>충청북도 청주시 흥덕구 오송읍 오송생명로 123</t>
        </is>
      </c>
      <c r="O386" t="inlineStr">
        <is>
          <t>충청북도</t>
        </is>
      </c>
      <c r="P386" t="inlineStr">
        <is>
          <t>청주시</t>
        </is>
      </c>
      <c r="Q386" t="inlineStr">
        <is>
          <t>N</t>
        </is>
      </c>
      <c r="R386" t="n">
        <v>0</v>
      </c>
    </row>
    <row r="387">
      <c r="A387" t="n">
        <v>386</v>
      </c>
      <c r="B387" t="inlineStr">
        <is>
          <t>(주)제뉴파마</t>
        </is>
      </c>
      <c r="C387" t="inlineStr">
        <is>
          <t>제뉴파마</t>
        </is>
      </c>
      <c r="D387" t="inlineStr">
        <is>
          <t>의약품</t>
        </is>
      </c>
      <c r="E387" t="inlineStr">
        <is>
          <t>1295</t>
        </is>
      </c>
      <c r="F387" t="inlineStr">
        <is>
          <t>전광현</t>
        </is>
      </c>
      <c r="G387" t="inlineStr">
        <is>
          <t>1955-01-04</t>
        </is>
      </c>
      <c r="H387" t="inlineStr">
        <is>
          <t>19550104</t>
        </is>
      </c>
      <c r="I387" t="inlineStr">
        <is>
          <t>3</t>
        </is>
      </c>
      <c r="J387" t="inlineStr">
        <is>
          <t>보관소</t>
        </is>
      </c>
      <c r="K387" t="inlineStr"/>
      <c r="L387" t="inlineStr">
        <is>
          <t>경기도 화성시 삼성1로2길 16</t>
        </is>
      </c>
      <c r="M387" t="inlineStr">
        <is>
          <t>1층(일부)</t>
        </is>
      </c>
      <c r="N387" t="inlineStr">
        <is>
          <t>경기도 화성시 삼성1로2길 16 1층(일부)</t>
        </is>
      </c>
      <c r="O387" t="inlineStr">
        <is>
          <t>경기도</t>
        </is>
      </c>
      <c r="P387" t="inlineStr">
        <is>
          <t>화성시</t>
        </is>
      </c>
      <c r="Q387" t="inlineStr">
        <is>
          <t>N</t>
        </is>
      </c>
      <c r="R387" t="n">
        <v>0</v>
      </c>
    </row>
    <row r="388">
      <c r="A388" t="n">
        <v>387</v>
      </c>
      <c r="B388" t="inlineStr">
        <is>
          <t>(주)인트로바이오파마</t>
        </is>
      </c>
      <c r="C388" t="inlineStr">
        <is>
          <t>인트로바이오파마</t>
        </is>
      </c>
      <c r="D388" t="inlineStr">
        <is>
          <t>의약품</t>
        </is>
      </c>
      <c r="E388" t="inlineStr">
        <is>
          <t>353</t>
        </is>
      </c>
      <c r="F388" t="inlineStr">
        <is>
          <t>박석용</t>
        </is>
      </c>
      <c r="G388" t="inlineStr">
        <is>
          <t>2015-08-27</t>
        </is>
      </c>
      <c r="H388" t="inlineStr">
        <is>
          <t>20150827</t>
        </is>
      </c>
      <c r="I388" t="inlineStr">
        <is>
          <t>1</t>
        </is>
      </c>
      <c r="J388" t="inlineStr">
        <is>
          <t>평택</t>
        </is>
      </c>
      <c r="K388" t="inlineStr"/>
      <c r="L388" t="inlineStr">
        <is>
          <t>경기도 평택시 서탄면 마두길 104-12</t>
        </is>
      </c>
      <c r="M388" t="inlineStr">
        <is>
          <t>,104-2 1동 1층(일부)및2층(일부)(보관소)</t>
        </is>
      </c>
      <c r="N388" t="inlineStr">
        <is>
          <t>경기도 평택시 서탄면 마두길 104-12 ,104-2 1동 1층(일부)및2층(일부)(보관소)</t>
        </is>
      </c>
      <c r="O388" t="inlineStr">
        <is>
          <t>경기도</t>
        </is>
      </c>
      <c r="P388" t="inlineStr">
        <is>
          <t>평택시</t>
        </is>
      </c>
      <c r="Q388" t="inlineStr">
        <is>
          <t>N</t>
        </is>
      </c>
      <c r="R388" t="n">
        <v>0</v>
      </c>
    </row>
    <row r="389">
      <c r="A389" t="n">
        <v>388</v>
      </c>
      <c r="B389" t="inlineStr">
        <is>
          <t>선도산업(주)</t>
        </is>
      </c>
      <c r="C389" t="inlineStr">
        <is>
          <t>선도산업</t>
        </is>
      </c>
      <c r="D389" t="inlineStr">
        <is>
          <t>의약품</t>
        </is>
      </c>
      <c r="E389" t="inlineStr">
        <is>
          <t>2188</t>
        </is>
      </c>
      <c r="F389" t="inlineStr">
        <is>
          <t>이성철</t>
        </is>
      </c>
      <c r="G389" t="inlineStr">
        <is>
          <t>1998-10-21</t>
        </is>
      </c>
      <c r="H389" t="inlineStr">
        <is>
          <t>19981021</t>
        </is>
      </c>
      <c r="I389" t="inlineStr">
        <is>
          <t>1</t>
        </is>
      </c>
      <c r="J389" t="inlineStr">
        <is>
          <t>인천충전소</t>
        </is>
      </c>
      <c r="K389" t="inlineStr">
        <is>
          <t>032-551-5322</t>
        </is>
      </c>
      <c r="L389" t="inlineStr">
        <is>
          <t>인천광역시 서구 사렴로65번길 42</t>
        </is>
      </c>
      <c r="M389" t="inlineStr"/>
      <c r="N389" t="inlineStr">
        <is>
          <t>인천광역시 서구 사렴로65번길 42</t>
        </is>
      </c>
      <c r="O389" t="inlineStr">
        <is>
          <t>인천광역시</t>
        </is>
      </c>
      <c r="P389" t="inlineStr">
        <is>
          <t>서구</t>
        </is>
      </c>
      <c r="Q389" t="inlineStr">
        <is>
          <t>N</t>
        </is>
      </c>
      <c r="R389" t="n">
        <v>0</v>
      </c>
    </row>
    <row r="390">
      <c r="A390" t="n">
        <v>389</v>
      </c>
      <c r="B390" t="inlineStr">
        <is>
          <t>(주)한국루베</t>
        </is>
      </c>
      <c r="C390" t="inlineStr">
        <is>
          <t>한국루베</t>
        </is>
      </c>
      <c r="D390" t="inlineStr">
        <is>
          <t>의약품</t>
        </is>
      </c>
      <c r="E390" t="inlineStr">
        <is>
          <t>2029</t>
        </is>
      </c>
      <c r="F390" t="inlineStr">
        <is>
          <t>이정학</t>
        </is>
      </c>
      <c r="G390" t="inlineStr">
        <is>
          <t>1998-11-11</t>
        </is>
      </c>
      <c r="H390" t="inlineStr">
        <is>
          <t>19981111</t>
        </is>
      </c>
      <c r="I390" t="inlineStr">
        <is>
          <t>1</t>
        </is>
      </c>
      <c r="J390" t="inlineStr">
        <is>
          <t>(주)한국루베(제1공장)</t>
        </is>
      </c>
      <c r="K390" t="inlineStr">
        <is>
          <t>031-432-8942</t>
        </is>
      </c>
      <c r="L390" t="inlineStr">
        <is>
          <t>경기도 고양시 일산동구 은마길 79</t>
        </is>
      </c>
      <c r="M390" t="inlineStr">
        <is>
          <t>81-1</t>
        </is>
      </c>
      <c r="N390" t="inlineStr">
        <is>
          <t>경기도 고양시 일산동구 은마길 79 81-1</t>
        </is>
      </c>
      <c r="O390" t="inlineStr">
        <is>
          <t>경기도</t>
        </is>
      </c>
      <c r="P390" t="inlineStr">
        <is>
          <t>고양시</t>
        </is>
      </c>
      <c r="Q390" t="inlineStr">
        <is>
          <t>N</t>
        </is>
      </c>
      <c r="R390" t="n">
        <v>0</v>
      </c>
    </row>
    <row r="391">
      <c r="A391" t="n">
        <v>390</v>
      </c>
      <c r="B391" t="inlineStr">
        <is>
          <t>(주)시어스제약</t>
        </is>
      </c>
      <c r="C391" t="inlineStr">
        <is>
          <t>시어스제약</t>
        </is>
      </c>
      <c r="D391" t="inlineStr">
        <is>
          <t>의약품</t>
        </is>
      </c>
      <c r="E391" t="inlineStr">
        <is>
          <t>2624</t>
        </is>
      </c>
      <c r="F391" t="inlineStr">
        <is>
          <t>김분래</t>
        </is>
      </c>
      <c r="G391" t="inlineStr">
        <is>
          <t>2015-04-15</t>
        </is>
      </c>
      <c r="H391" t="inlineStr">
        <is>
          <t>20150415</t>
        </is>
      </c>
      <c r="I391" t="inlineStr">
        <is>
          <t>2</t>
        </is>
      </c>
      <c r="J391" t="inlineStr">
        <is>
          <t>2공장</t>
        </is>
      </c>
      <c r="K391" t="inlineStr">
        <is>
          <t>070-4105-8155</t>
        </is>
      </c>
      <c r="L391" t="inlineStr">
        <is>
          <t>경기도 화성시 만세구 향남읍 발안공단로 32</t>
        </is>
      </c>
      <c r="M391" t="inlineStr"/>
      <c r="N391" t="inlineStr">
        <is>
          <t>경기도 화성시 만세구 향남읍 발안공단로 32</t>
        </is>
      </c>
      <c r="O391" t="inlineStr">
        <is>
          <t>경기도</t>
        </is>
      </c>
      <c r="P391" t="inlineStr">
        <is>
          <t>화성시</t>
        </is>
      </c>
      <c r="Q391" t="inlineStr">
        <is>
          <t>N</t>
        </is>
      </c>
      <c r="R391" t="n">
        <v>0</v>
      </c>
    </row>
    <row r="392">
      <c r="A392" t="n">
        <v>391</v>
      </c>
      <c r="B392" t="inlineStr">
        <is>
          <t>(주)와이에스생명과학</t>
        </is>
      </c>
      <c r="C392" t="inlineStr">
        <is>
          <t>와이에스생명과학</t>
        </is>
      </c>
      <c r="D392" t="inlineStr">
        <is>
          <t>의약품</t>
        </is>
      </c>
      <c r="E392" t="inlineStr">
        <is>
          <t>2247</t>
        </is>
      </c>
      <c r="F392" t="inlineStr">
        <is>
          <t>오창영</t>
        </is>
      </c>
      <c r="G392" t="inlineStr">
        <is>
          <t>2001-10-10</t>
        </is>
      </c>
      <c r="H392" t="inlineStr">
        <is>
          <t>20011010</t>
        </is>
      </c>
      <c r="I392" t="inlineStr">
        <is>
          <t>1</t>
        </is>
      </c>
      <c r="J392" t="inlineStr">
        <is>
          <t>화성시</t>
        </is>
      </c>
      <c r="K392" t="inlineStr">
        <is>
          <t>031-351-6621</t>
        </is>
      </c>
      <c r="L392" t="inlineStr">
        <is>
          <t>경기도 화성시 만세구 장안면 수정로 207</t>
        </is>
      </c>
      <c r="M392" t="inlineStr"/>
      <c r="N392" t="inlineStr">
        <is>
          <t>경기도 화성시 만세구 장안면 수정로 207</t>
        </is>
      </c>
      <c r="O392" t="inlineStr">
        <is>
          <t>경기도</t>
        </is>
      </c>
      <c r="P392" t="inlineStr">
        <is>
          <t>화성시</t>
        </is>
      </c>
      <c r="Q392" t="inlineStr">
        <is>
          <t>N</t>
        </is>
      </c>
      <c r="R392" t="n">
        <v>0</v>
      </c>
    </row>
    <row r="393">
      <c r="A393" t="n">
        <v>392</v>
      </c>
      <c r="B393" t="inlineStr">
        <is>
          <t>화일약품(주)</t>
        </is>
      </c>
      <c r="C393" t="inlineStr">
        <is>
          <t>화일약품</t>
        </is>
      </c>
      <c r="D393" t="inlineStr">
        <is>
          <t>의약품</t>
        </is>
      </c>
      <c r="E393" t="inlineStr">
        <is>
          <t>2014</t>
        </is>
      </c>
      <c r="F393" t="inlineStr">
        <is>
          <t>김유정</t>
        </is>
      </c>
      <c r="G393" t="inlineStr">
        <is>
          <t>1998-08-17</t>
        </is>
      </c>
      <c r="H393" t="inlineStr">
        <is>
          <t>19980817</t>
        </is>
      </c>
      <c r="I393" t="inlineStr">
        <is>
          <t>4</t>
        </is>
      </c>
      <c r="J393" t="inlineStr">
        <is>
          <t>발안(소분)</t>
        </is>
      </c>
      <c r="K393" t="inlineStr">
        <is>
          <t>512-2592</t>
        </is>
      </c>
      <c r="L393" t="inlineStr">
        <is>
          <t>경기도 화성시 만세구 향남읍 발안공단로1길 45</t>
        </is>
      </c>
      <c r="M393" t="inlineStr"/>
      <c r="N393" t="inlineStr">
        <is>
          <t>경기도 화성시 만세구 향남읍 발안공단로1길 45</t>
        </is>
      </c>
      <c r="O393" t="inlineStr">
        <is>
          <t>경기도</t>
        </is>
      </c>
      <c r="P393" t="inlineStr">
        <is>
          <t>화성시</t>
        </is>
      </c>
      <c r="Q393" t="inlineStr">
        <is>
          <t>Y</t>
        </is>
      </c>
      <c r="R393" t="n">
        <v>26</v>
      </c>
    </row>
    <row r="394">
      <c r="A394" t="n">
        <v>393</v>
      </c>
      <c r="B394" t="inlineStr">
        <is>
          <t>(주)퓨쳐켐</t>
        </is>
      </c>
      <c r="C394" t="inlineStr">
        <is>
          <t>퓨쳐켐</t>
        </is>
      </c>
      <c r="D394" t="inlineStr">
        <is>
          <t>의약품</t>
        </is>
      </c>
      <c r="E394" t="inlineStr">
        <is>
          <t>6151</t>
        </is>
      </c>
      <c r="F394" t="inlineStr">
        <is>
          <t>지대윤</t>
        </is>
      </c>
      <c r="G394" t="inlineStr">
        <is>
          <t>2014-09-26</t>
        </is>
      </c>
      <c r="H394" t="inlineStr">
        <is>
          <t>20140926</t>
        </is>
      </c>
      <c r="I394" t="inlineStr">
        <is>
          <t>1</t>
        </is>
      </c>
      <c r="J394" t="inlineStr">
        <is>
          <t>제1공장</t>
        </is>
      </c>
      <c r="K394" t="inlineStr">
        <is>
          <t>(051)220-7554</t>
        </is>
      </c>
      <c r="L394" t="inlineStr">
        <is>
          <t>부산광역시 서구 대신공원로 26</t>
        </is>
      </c>
      <c r="M394" t="inlineStr">
        <is>
          <t>동아대학교병원(방사성의약품)</t>
        </is>
      </c>
      <c r="N394" t="inlineStr">
        <is>
          <t>부산광역시 서구 대신공원로 26 동아대학교병원(방사성의약품)</t>
        </is>
      </c>
      <c r="O394" t="inlineStr">
        <is>
          <t>부산광역시</t>
        </is>
      </c>
      <c r="P394" t="inlineStr">
        <is>
          <t>서구</t>
        </is>
      </c>
      <c r="Q394" t="inlineStr">
        <is>
          <t>N</t>
        </is>
      </c>
      <c r="R394" t="n">
        <v>0</v>
      </c>
    </row>
    <row r="395">
      <c r="A395" t="n">
        <v>394</v>
      </c>
      <c r="B395" t="inlineStr">
        <is>
          <t>주식회사현대바이오랜드</t>
        </is>
      </c>
      <c r="C395" t="inlineStr">
        <is>
          <t>현대바이오랜드</t>
        </is>
      </c>
      <c r="D395" t="inlineStr">
        <is>
          <t>의약품</t>
        </is>
      </c>
      <c r="E395" t="inlineStr">
        <is>
          <t>2180</t>
        </is>
      </c>
      <c r="F395" t="inlineStr">
        <is>
          <t>이희준</t>
        </is>
      </c>
      <c r="G395" t="inlineStr">
        <is>
          <t>2001-01-04</t>
        </is>
      </c>
      <c r="H395" t="inlineStr">
        <is>
          <t>20010104</t>
        </is>
      </c>
      <c r="I395" t="inlineStr">
        <is>
          <t>1</t>
        </is>
      </c>
      <c r="J395" t="inlineStr">
        <is>
          <t>천안공장</t>
        </is>
      </c>
      <c r="K395" t="inlineStr">
        <is>
          <t>041-564-8615</t>
        </is>
      </c>
      <c r="L395" t="inlineStr"/>
      <c r="M395" t="inlineStr">
        <is>
          <t>충청남도 천안시 동남구 병천면 송정리2길 59</t>
        </is>
      </c>
      <c r="N395" t="inlineStr">
        <is>
          <t>충청남도 천안시 동남구 병천면 송정리2길 59</t>
        </is>
      </c>
      <c r="O395" t="inlineStr">
        <is>
          <t>충청남도</t>
        </is>
      </c>
      <c r="P395" t="inlineStr">
        <is>
          <t>천안시</t>
        </is>
      </c>
      <c r="Q395" t="inlineStr">
        <is>
          <t>N</t>
        </is>
      </c>
      <c r="R395" t="n">
        <v>0</v>
      </c>
    </row>
    <row r="396">
      <c r="A396" t="n">
        <v>395</v>
      </c>
      <c r="B396" t="inlineStr">
        <is>
          <t>(주)하원정밀화학</t>
        </is>
      </c>
      <c r="C396" t="inlineStr">
        <is>
          <t>하원정밀화학</t>
        </is>
      </c>
      <c r="D396" t="inlineStr">
        <is>
          <t>의약품</t>
        </is>
      </c>
      <c r="E396" t="inlineStr">
        <is>
          <t>1974</t>
        </is>
      </c>
      <c r="F396" t="inlineStr">
        <is>
          <t>구자춘</t>
        </is>
      </c>
      <c r="G396" t="inlineStr">
        <is>
          <t>1997-04-22</t>
        </is>
      </c>
      <c r="H396" t="inlineStr">
        <is>
          <t>19970422</t>
        </is>
      </c>
      <c r="I396" t="inlineStr">
        <is>
          <t>1</t>
        </is>
      </c>
      <c r="J396" t="inlineStr">
        <is>
          <t>충남</t>
        </is>
      </c>
      <c r="K396" t="inlineStr">
        <is>
          <t>044-862-2681</t>
        </is>
      </c>
      <c r="L396" t="inlineStr">
        <is>
          <t>세종특별자치시 전동면 노장공단길 53-10</t>
        </is>
      </c>
      <c r="M396" t="inlineStr"/>
      <c r="N396" t="inlineStr">
        <is>
          <t>세종특별자치시 전동면 노장공단길 53-10</t>
        </is>
      </c>
      <c r="O396" t="inlineStr">
        <is>
          <t>세종특별자치시</t>
        </is>
      </c>
      <c r="P396" t="inlineStr"/>
      <c r="Q396" t="inlineStr">
        <is>
          <t>N</t>
        </is>
      </c>
      <c r="R396" t="n">
        <v>0</v>
      </c>
    </row>
    <row r="397">
      <c r="A397" t="n">
        <v>396</v>
      </c>
      <c r="B397" t="inlineStr">
        <is>
          <t>동양산업가스(주)</t>
        </is>
      </c>
      <c r="C397" t="inlineStr">
        <is>
          <t>동양산업가스</t>
        </is>
      </c>
      <c r="D397" t="inlineStr">
        <is>
          <t>의약품</t>
        </is>
      </c>
      <c r="E397" t="inlineStr">
        <is>
          <t>2171</t>
        </is>
      </c>
      <c r="F397" t="inlineStr">
        <is>
          <t>최지호</t>
        </is>
      </c>
      <c r="G397" t="inlineStr">
        <is>
          <t>2000-12-28</t>
        </is>
      </c>
      <c r="H397" t="inlineStr">
        <is>
          <t>20001228</t>
        </is>
      </c>
      <c r="I397" t="inlineStr">
        <is>
          <t>1</t>
        </is>
      </c>
      <c r="J397" t="inlineStr">
        <is>
          <t>광주</t>
        </is>
      </c>
      <c r="K397" t="inlineStr"/>
      <c r="L397" t="inlineStr">
        <is>
          <t>경기도 광주시 곤지암읍 경충대로 820</t>
        </is>
      </c>
      <c r="M397" t="inlineStr"/>
      <c r="N397" t="inlineStr">
        <is>
          <t>경기도 광주시 곤지암읍 경충대로 820</t>
        </is>
      </c>
      <c r="O397" t="inlineStr">
        <is>
          <t>경기도</t>
        </is>
      </c>
      <c r="P397" t="inlineStr">
        <is>
          <t>광주시</t>
        </is>
      </c>
      <c r="Q397" t="inlineStr">
        <is>
          <t>N</t>
        </is>
      </c>
      <c r="R397" t="n">
        <v>0</v>
      </c>
    </row>
    <row r="398">
      <c r="A398" t="n">
        <v>397</v>
      </c>
      <c r="B398" t="inlineStr">
        <is>
          <t>제일약품(주)</t>
        </is>
      </c>
      <c r="C398" t="inlineStr">
        <is>
          <t>제일약품</t>
        </is>
      </c>
      <c r="D398" t="inlineStr">
        <is>
          <t>의약품</t>
        </is>
      </c>
      <c r="E398" t="inlineStr">
        <is>
          <t>1668</t>
        </is>
      </c>
      <c r="F398" t="inlineStr">
        <is>
          <t>성석제</t>
        </is>
      </c>
      <c r="G398" t="inlineStr">
        <is>
          <t>1986-11-24</t>
        </is>
      </c>
      <c r="H398" t="inlineStr">
        <is>
          <t>19861124</t>
        </is>
      </c>
      <c r="I398" t="inlineStr">
        <is>
          <t>1</t>
        </is>
      </c>
      <c r="J398" t="inlineStr">
        <is>
          <t>용인</t>
        </is>
      </c>
      <c r="K398" t="inlineStr"/>
      <c r="L398" t="inlineStr">
        <is>
          <t>경기도 용인시 처인구 백암면 청강가창로 7</t>
        </is>
      </c>
      <c r="M398" t="inlineStr">
        <is>
          <t>(B동 외)</t>
        </is>
      </c>
      <c r="N398" t="inlineStr">
        <is>
          <t>경기도 용인시 처인구 백암면 청강가창로 7 (B동 외)</t>
        </is>
      </c>
      <c r="O398" t="inlineStr">
        <is>
          <t>경기도</t>
        </is>
      </c>
      <c r="P398" t="inlineStr">
        <is>
          <t>용인시</t>
        </is>
      </c>
      <c r="Q398" t="inlineStr">
        <is>
          <t>Y</t>
        </is>
      </c>
      <c r="R398" t="n">
        <v>27</v>
      </c>
    </row>
    <row r="399">
      <c r="A399" t="n">
        <v>398</v>
      </c>
      <c r="B399" t="inlineStr">
        <is>
          <t>대연제약</t>
        </is>
      </c>
      <c r="C399" t="inlineStr">
        <is>
          <t>대연제약</t>
        </is>
      </c>
      <c r="D399" t="inlineStr">
        <is>
          <t>의약품</t>
        </is>
      </c>
      <c r="E399" t="inlineStr">
        <is>
          <t>1936</t>
        </is>
      </c>
      <c r="F399" t="inlineStr">
        <is>
          <t>김충환</t>
        </is>
      </c>
      <c r="G399" t="inlineStr">
        <is>
          <t>1996-08-14</t>
        </is>
      </c>
      <c r="H399" t="inlineStr">
        <is>
          <t>19960814</t>
        </is>
      </c>
      <c r="I399" t="inlineStr">
        <is>
          <t>3</t>
        </is>
      </c>
      <c r="J399" t="inlineStr">
        <is>
          <t>적합원료보관소</t>
        </is>
      </c>
      <c r="K399" t="inlineStr"/>
      <c r="L399" t="inlineStr">
        <is>
          <t>인천광역시 남동구 남동대로 398</t>
        </is>
      </c>
      <c r="M399" t="inlineStr">
        <is>
          <t>3층 일부(보관소)</t>
        </is>
      </c>
      <c r="N399" t="inlineStr">
        <is>
          <t>인천광역시 남동구 남동대로 398 3층 일부(보관소)</t>
        </is>
      </c>
      <c r="O399" t="inlineStr">
        <is>
          <t>인천광역시</t>
        </is>
      </c>
      <c r="P399" t="inlineStr">
        <is>
          <t>남동구</t>
        </is>
      </c>
      <c r="Q399" t="inlineStr">
        <is>
          <t>N</t>
        </is>
      </c>
      <c r="R399" t="n">
        <v>0</v>
      </c>
    </row>
    <row r="400">
      <c r="A400" t="n">
        <v>399</v>
      </c>
      <c r="B400" t="inlineStr">
        <is>
          <t>에스케이바이오사이언스(주)</t>
        </is>
      </c>
      <c r="C400" t="inlineStr">
        <is>
          <t>에스케이바이오사이언스</t>
        </is>
      </c>
      <c r="D400" t="inlineStr">
        <is>
          <t>의약품</t>
        </is>
      </c>
      <c r="E400" t="inlineStr">
        <is>
          <t>97</t>
        </is>
      </c>
      <c r="F400" t="inlineStr">
        <is>
          <t>안재용</t>
        </is>
      </c>
      <c r="G400" t="inlineStr">
        <is>
          <t>2018-07-16</t>
        </is>
      </c>
      <c r="H400" t="inlineStr">
        <is>
          <t>20180716</t>
        </is>
      </c>
      <c r="I400" t="inlineStr">
        <is>
          <t>3</t>
        </is>
      </c>
      <c r="J400" t="inlineStr">
        <is>
          <t>보관소(화성)</t>
        </is>
      </c>
      <c r="K400" t="inlineStr"/>
      <c r="L400" t="inlineStr">
        <is>
          <t>경기도 화성시 양감면 정문송산로184번길 17</t>
        </is>
      </c>
      <c r="M400" t="inlineStr">
        <is>
          <t>1층(일부)</t>
        </is>
      </c>
      <c r="N400" t="inlineStr">
        <is>
          <t>경기도 화성시 양감면 정문송산로184번길 17 1층(일부)</t>
        </is>
      </c>
      <c r="O400" t="inlineStr">
        <is>
          <t>경기도</t>
        </is>
      </c>
      <c r="P400" t="inlineStr">
        <is>
          <t>화성시</t>
        </is>
      </c>
      <c r="Q400" t="inlineStr">
        <is>
          <t>N</t>
        </is>
      </c>
      <c r="R400" t="n">
        <v>0</v>
      </c>
    </row>
    <row r="401">
      <c r="A401" t="n">
        <v>400</v>
      </c>
      <c r="B401" t="inlineStr">
        <is>
          <t>대한생약제품(주)</t>
        </is>
      </c>
      <c r="C401" t="inlineStr">
        <is>
          <t>대한생약제품</t>
        </is>
      </c>
      <c r="D401" t="inlineStr">
        <is>
          <t>의약품</t>
        </is>
      </c>
      <c r="E401" t="inlineStr">
        <is>
          <t>1641</t>
        </is>
      </c>
      <c r="F401" t="inlineStr">
        <is>
          <t>신경수</t>
        </is>
      </c>
      <c r="G401" t="inlineStr">
        <is>
          <t>1984-04-12</t>
        </is>
      </c>
      <c r="H401" t="inlineStr">
        <is>
          <t>19840412</t>
        </is>
      </c>
      <c r="I401" t="inlineStr">
        <is>
          <t>2</t>
        </is>
      </c>
      <c r="J401" t="inlineStr">
        <is>
          <t>대한생약제품(주)-보관소</t>
        </is>
      </c>
      <c r="K401" t="inlineStr">
        <is>
          <t>051-863-7777</t>
        </is>
      </c>
      <c r="L401" t="inlineStr">
        <is>
          <t>경상남도 밀양시 삼랑진읍 만어로 135</t>
        </is>
      </c>
      <c r="M401" t="inlineStr"/>
      <c r="N401" t="inlineStr">
        <is>
          <t>경상남도 밀양시 삼랑진읍 만어로 135</t>
        </is>
      </c>
      <c r="O401" t="inlineStr">
        <is>
          <t>경상남도</t>
        </is>
      </c>
      <c r="P401" t="inlineStr">
        <is>
          <t>밀양시</t>
        </is>
      </c>
      <c r="Q401" t="inlineStr">
        <is>
          <t>N</t>
        </is>
      </c>
      <c r="R401" t="n">
        <v>0</v>
      </c>
    </row>
    <row r="402">
      <c r="A402" t="n">
        <v>401</v>
      </c>
      <c r="B402" t="inlineStr">
        <is>
          <t>(주)라파스</t>
        </is>
      </c>
      <c r="C402" t="inlineStr">
        <is>
          <t>라파스</t>
        </is>
      </c>
      <c r="D402" t="inlineStr">
        <is>
          <t>의약품</t>
        </is>
      </c>
      <c r="E402" t="inlineStr">
        <is>
          <t>369</t>
        </is>
      </c>
      <c r="F402" t="inlineStr">
        <is>
          <t>정도현</t>
        </is>
      </c>
      <c r="G402" t="inlineStr">
        <is>
          <t>2018-04-10</t>
        </is>
      </c>
      <c r="H402" t="inlineStr">
        <is>
          <t>20180410</t>
        </is>
      </c>
      <c r="I402" t="inlineStr">
        <is>
          <t>1</t>
        </is>
      </c>
      <c r="J402" t="inlineStr">
        <is>
          <t>(주)라파스 마곡공장</t>
        </is>
      </c>
      <c r="K402" t="inlineStr">
        <is>
          <t>02-392-3011</t>
        </is>
      </c>
      <c r="L402" t="inlineStr">
        <is>
          <t>서울특별시 강서구 마곡중앙8로1길 62</t>
        </is>
      </c>
      <c r="M402" t="inlineStr">
        <is>
          <t>3층, 4층일부(마곡동)</t>
        </is>
      </c>
      <c r="N402" t="inlineStr">
        <is>
          <t>서울특별시 강서구 마곡중앙8로1길 62 3층, 4층일부(마곡동)</t>
        </is>
      </c>
      <c r="O402" t="inlineStr">
        <is>
          <t>서울특별시</t>
        </is>
      </c>
      <c r="P402" t="inlineStr">
        <is>
          <t>강서구</t>
        </is>
      </c>
      <c r="Q402" t="inlineStr">
        <is>
          <t>N</t>
        </is>
      </c>
      <c r="R402" t="n">
        <v>0</v>
      </c>
    </row>
    <row r="403">
      <c r="A403" t="n">
        <v>402</v>
      </c>
      <c r="B403" t="inlineStr">
        <is>
          <t>대웅바이오(주)</t>
        </is>
      </c>
      <c r="C403" t="inlineStr">
        <is>
          <t>대웅바이오</t>
        </is>
      </c>
      <c r="D403" t="inlineStr">
        <is>
          <t>의약품</t>
        </is>
      </c>
      <c r="E403" t="inlineStr">
        <is>
          <t>1632</t>
        </is>
      </c>
      <c r="F403" t="inlineStr">
        <is>
          <t>진성곤</t>
        </is>
      </c>
      <c r="G403" t="inlineStr">
        <is>
          <t>1983-08-27</t>
        </is>
      </c>
      <c r="H403" t="inlineStr">
        <is>
          <t>19830827</t>
        </is>
      </c>
      <c r="I403" t="inlineStr">
        <is>
          <t>6</t>
        </is>
      </c>
      <c r="J403" t="inlineStr">
        <is>
          <t>화성</t>
        </is>
      </c>
      <c r="K403" t="inlineStr"/>
      <c r="L403" t="inlineStr">
        <is>
          <t>경기도 화성시 만세구 향남읍 제약공단4길 35-9</t>
        </is>
      </c>
      <c r="M403" t="inlineStr"/>
      <c r="N403" t="inlineStr">
        <is>
          <t>경기도 화성시 만세구 향남읍 제약공단4길 35-9</t>
        </is>
      </c>
      <c r="O403" t="inlineStr">
        <is>
          <t>경기도</t>
        </is>
      </c>
      <c r="P403" t="inlineStr">
        <is>
          <t>화성시</t>
        </is>
      </c>
      <c r="Q403" t="inlineStr">
        <is>
          <t>N</t>
        </is>
      </c>
      <c r="R403" t="n">
        <v>0</v>
      </c>
    </row>
    <row r="404">
      <c r="A404" t="n">
        <v>403</v>
      </c>
      <c r="B404" t="inlineStr">
        <is>
          <t>중원산업가스(주)</t>
        </is>
      </c>
      <c r="C404" t="inlineStr">
        <is>
          <t>중원산업가스</t>
        </is>
      </c>
      <c r="D404" t="inlineStr">
        <is>
          <t>의약품</t>
        </is>
      </c>
      <c r="E404" t="inlineStr">
        <is>
          <t>2645</t>
        </is>
      </c>
      <c r="F404" t="inlineStr">
        <is>
          <t>김기범</t>
        </is>
      </c>
      <c r="G404" t="inlineStr">
        <is>
          <t>2017-10-11</t>
        </is>
      </c>
      <c r="H404" t="inlineStr">
        <is>
          <t>20171011</t>
        </is>
      </c>
      <c r="I404" t="inlineStr">
        <is>
          <t>1</t>
        </is>
      </c>
      <c r="J404" t="inlineStr">
        <is>
          <t>당진공장</t>
        </is>
      </c>
      <c r="K404" t="inlineStr">
        <is>
          <t>0413550905</t>
        </is>
      </c>
      <c r="L404" t="inlineStr">
        <is>
          <t>충청남도 당진시 역천로 39</t>
        </is>
      </c>
      <c r="M404" t="inlineStr">
        <is>
          <t>중원산업가스</t>
        </is>
      </c>
      <c r="N404" t="inlineStr">
        <is>
          <t>충청남도 당진시 역천로 39 중원산업가스</t>
        </is>
      </c>
      <c r="O404" t="inlineStr">
        <is>
          <t>충청남도</t>
        </is>
      </c>
      <c r="P404" t="inlineStr">
        <is>
          <t>당진시</t>
        </is>
      </c>
      <c r="Q404" t="inlineStr">
        <is>
          <t>N</t>
        </is>
      </c>
      <c r="R404" t="n">
        <v>0</v>
      </c>
    </row>
    <row r="405">
      <c r="A405" t="n">
        <v>404</v>
      </c>
      <c r="B405" t="inlineStr">
        <is>
          <t>린데코리아주식회사</t>
        </is>
      </c>
      <c r="C405" t="inlineStr">
        <is>
          <t>린데코리아</t>
        </is>
      </c>
      <c r="D405" t="inlineStr">
        <is>
          <t>의약품</t>
        </is>
      </c>
      <c r="E405" t="inlineStr">
        <is>
          <t>1615</t>
        </is>
      </c>
      <c r="F405" t="inlineStr">
        <is>
          <t>성백석</t>
        </is>
      </c>
      <c r="G405" t="inlineStr">
        <is>
          <t>1981-12-26</t>
        </is>
      </c>
      <c r="H405" t="inlineStr">
        <is>
          <t>19811226</t>
        </is>
      </c>
      <c r="I405" t="inlineStr">
        <is>
          <t>4</t>
        </is>
      </c>
      <c r="J405" t="inlineStr">
        <is>
          <t>기흥</t>
        </is>
      </c>
      <c r="K405" t="inlineStr"/>
      <c r="L405" t="inlineStr">
        <is>
          <t>경기도 용인시 기흥구 농서로 60</t>
        </is>
      </c>
      <c r="M405" t="inlineStr"/>
      <c r="N405" t="inlineStr">
        <is>
          <t>경기도 용인시 기흥구 농서로 60</t>
        </is>
      </c>
      <c r="O405" t="inlineStr">
        <is>
          <t>경기도</t>
        </is>
      </c>
      <c r="P405" t="inlineStr">
        <is>
          <t>용인시</t>
        </is>
      </c>
      <c r="Q405" t="inlineStr">
        <is>
          <t>N</t>
        </is>
      </c>
      <c r="R405" t="n">
        <v>0</v>
      </c>
    </row>
    <row r="406">
      <c r="A406" t="n">
        <v>405</v>
      </c>
      <c r="B406" t="inlineStr">
        <is>
          <t>한올바이오파마(주)</t>
        </is>
      </c>
      <c r="C406" t="inlineStr">
        <is>
          <t>한올바이오파마</t>
        </is>
      </c>
      <c r="D406" t="inlineStr">
        <is>
          <t>의약품</t>
        </is>
      </c>
      <c r="E406" t="inlineStr">
        <is>
          <t>1297</t>
        </is>
      </c>
      <c r="F406" t="inlineStr">
        <is>
          <t>박승국</t>
        </is>
      </c>
      <c r="G406" t="inlineStr">
        <is>
          <t>1955-02-01</t>
        </is>
      </c>
      <c r="H406" t="inlineStr">
        <is>
          <t>19550201</t>
        </is>
      </c>
      <c r="I406" t="inlineStr">
        <is>
          <t>2</t>
        </is>
      </c>
      <c r="J406" t="inlineStr">
        <is>
          <t>관할변경</t>
        </is>
      </c>
      <c r="K406" t="inlineStr">
        <is>
          <t>02-447-0751</t>
        </is>
      </c>
      <c r="L406" t="inlineStr">
        <is>
          <t>대전광역시 대덕구 상서당1길 43</t>
        </is>
      </c>
      <c r="M406" t="inlineStr"/>
      <c r="N406" t="inlineStr">
        <is>
          <t>대전광역시 대덕구 상서당1길 43</t>
        </is>
      </c>
      <c r="O406" t="inlineStr">
        <is>
          <t>대전광역시</t>
        </is>
      </c>
      <c r="P406" t="inlineStr">
        <is>
          <t>대덕구</t>
        </is>
      </c>
      <c r="Q406" t="inlineStr">
        <is>
          <t>Y</t>
        </is>
      </c>
      <c r="R406" t="n">
        <v>64</v>
      </c>
    </row>
    <row r="407">
      <c r="A407" t="n">
        <v>406</v>
      </c>
      <c r="B407" t="inlineStr">
        <is>
          <t>(주)에이치에스바이오</t>
        </is>
      </c>
      <c r="C407" t="inlineStr">
        <is>
          <t>에이치에스바이오</t>
        </is>
      </c>
      <c r="D407" t="inlineStr">
        <is>
          <t>의약품</t>
        </is>
      </c>
      <c r="E407" t="inlineStr">
        <is>
          <t>2639</t>
        </is>
      </c>
      <c r="F407" t="inlineStr">
        <is>
          <t>오민근</t>
        </is>
      </c>
      <c r="G407" t="inlineStr">
        <is>
          <t>2017-03-28</t>
        </is>
      </c>
      <c r="H407" t="inlineStr">
        <is>
          <t>20170328</t>
        </is>
      </c>
      <c r="I407" t="inlineStr">
        <is>
          <t>1</t>
        </is>
      </c>
      <c r="J407" t="inlineStr">
        <is>
          <t>(주)에이치에스바이오</t>
        </is>
      </c>
      <c r="K407" t="inlineStr">
        <is>
          <t>043-536-5780</t>
        </is>
      </c>
      <c r="L407" t="inlineStr">
        <is>
          <t>충청북도 진천군 덕산읍 신척산단4로 57</t>
        </is>
      </c>
      <c r="M407" t="inlineStr">
        <is>
          <t>(주)에이치에스바이오</t>
        </is>
      </c>
      <c r="N407" t="inlineStr">
        <is>
          <t>충청북도 진천군 덕산읍 신척산단4로 57 (주)에이치에스바이오</t>
        </is>
      </c>
      <c r="O407" t="inlineStr">
        <is>
          <t>충청북도</t>
        </is>
      </c>
      <c r="P407" t="inlineStr">
        <is>
          <t>진천군</t>
        </is>
      </c>
      <c r="Q407" t="inlineStr">
        <is>
          <t>Y</t>
        </is>
      </c>
      <c r="R407" t="n">
        <v>29</v>
      </c>
    </row>
    <row r="408">
      <c r="A408" t="n">
        <v>407</v>
      </c>
      <c r="B408" t="inlineStr">
        <is>
          <t>제이더블유중외제약(주)</t>
        </is>
      </c>
      <c r="C408" t="inlineStr">
        <is>
          <t>제이더블유중외제약</t>
        </is>
      </c>
      <c r="D408" t="inlineStr">
        <is>
          <t>의약품</t>
        </is>
      </c>
      <c r="E408" t="inlineStr">
        <is>
          <t>1302</t>
        </is>
      </c>
      <c r="F408" t="inlineStr">
        <is>
          <t>함은경</t>
        </is>
      </c>
      <c r="G408" t="inlineStr">
        <is>
          <t>1955-04-14</t>
        </is>
      </c>
      <c r="H408" t="inlineStr">
        <is>
          <t>19550414</t>
        </is>
      </c>
      <c r="I408" t="inlineStr">
        <is>
          <t>5</t>
        </is>
      </c>
      <c r="J408" t="inlineStr">
        <is>
          <t>시험실</t>
        </is>
      </c>
      <c r="K408" t="inlineStr"/>
      <c r="L408" t="inlineStr">
        <is>
          <t>충청남도 당진시 송악읍 한진1길 28</t>
        </is>
      </c>
      <c r="M408" t="inlineStr">
        <is>
          <t>동물실험동 1층 미생물시험실</t>
        </is>
      </c>
      <c r="N408" t="inlineStr">
        <is>
          <t>충청남도 당진시 송악읍 한진1길 28 동물실험동 1층 미생물시험실</t>
        </is>
      </c>
      <c r="O408" t="inlineStr">
        <is>
          <t>충청남도</t>
        </is>
      </c>
      <c r="P408" t="inlineStr">
        <is>
          <t>당진시</t>
        </is>
      </c>
      <c r="Q408" t="inlineStr">
        <is>
          <t>Y</t>
        </is>
      </c>
      <c r="R408" t="n">
        <v>65</v>
      </c>
    </row>
    <row r="409">
      <c r="A409" t="n">
        <v>408</v>
      </c>
      <c r="B409" t="inlineStr">
        <is>
          <t>환인제약(주)</t>
        </is>
      </c>
      <c r="C409" t="inlineStr">
        <is>
          <t>환인제약</t>
        </is>
      </c>
      <c r="D409" t="inlineStr">
        <is>
          <t>의약품</t>
        </is>
      </c>
      <c r="E409" t="inlineStr">
        <is>
          <t>1351</t>
        </is>
      </c>
      <c r="F409" t="inlineStr">
        <is>
          <t>이원범</t>
        </is>
      </c>
      <c r="G409" t="inlineStr">
        <is>
          <t>1957-07-02</t>
        </is>
      </c>
      <c r="H409" t="inlineStr">
        <is>
          <t>19570702</t>
        </is>
      </c>
      <c r="I409" t="inlineStr">
        <is>
          <t>1</t>
        </is>
      </c>
      <c r="J409" t="inlineStr">
        <is>
          <t>안성</t>
        </is>
      </c>
      <c r="K409" t="inlineStr">
        <is>
          <t>080-405-1238</t>
        </is>
      </c>
      <c r="L409" t="inlineStr">
        <is>
          <t>경기도 안성시 공단로 50</t>
        </is>
      </c>
      <c r="M409" t="inlineStr"/>
      <c r="N409" t="inlineStr">
        <is>
          <t>경기도 안성시 공단로 50</t>
        </is>
      </c>
      <c r="O409" t="inlineStr">
        <is>
          <t>경기도</t>
        </is>
      </c>
      <c r="P409" t="inlineStr">
        <is>
          <t>안성시</t>
        </is>
      </c>
      <c r="Q409" t="inlineStr">
        <is>
          <t>N</t>
        </is>
      </c>
      <c r="R409" t="n">
        <v>0</v>
      </c>
    </row>
    <row r="410">
      <c r="A410" t="n">
        <v>409</v>
      </c>
      <c r="B410" t="inlineStr">
        <is>
          <t>(주)루텍</t>
        </is>
      </c>
      <c r="C410" t="inlineStr">
        <is>
          <t>루텍</t>
        </is>
      </c>
      <c r="D410" t="inlineStr">
        <is>
          <t>의약품</t>
        </is>
      </c>
      <c r="E410" t="inlineStr">
        <is>
          <t>2634</t>
        </is>
      </c>
      <c r="F410" t="inlineStr">
        <is>
          <t>이장휘</t>
        </is>
      </c>
      <c r="G410" t="inlineStr">
        <is>
          <t>2016-09-29</t>
        </is>
      </c>
      <c r="H410" t="inlineStr">
        <is>
          <t>20160929</t>
        </is>
      </c>
      <c r="I410" t="inlineStr">
        <is>
          <t>1</t>
        </is>
      </c>
      <c r="J410" t="inlineStr"/>
      <c r="K410" t="inlineStr">
        <is>
          <t>043-264-7038</t>
        </is>
      </c>
      <c r="L410" t="inlineStr">
        <is>
          <t>충청북도 청주시 흥덕구 공단로98번길 53-1</t>
        </is>
      </c>
      <c r="M410" t="inlineStr"/>
      <c r="N410" t="inlineStr">
        <is>
          <t>충청북도 청주시 흥덕구 공단로98번길 53-1</t>
        </is>
      </c>
      <c r="O410" t="inlineStr">
        <is>
          <t>충청북도</t>
        </is>
      </c>
      <c r="P410" t="inlineStr">
        <is>
          <t>청주시</t>
        </is>
      </c>
      <c r="Q410" t="inlineStr">
        <is>
          <t>N</t>
        </is>
      </c>
      <c r="R410" t="n">
        <v>0</v>
      </c>
    </row>
    <row r="411">
      <c r="A411" t="n">
        <v>410</v>
      </c>
      <c r="B411" t="inlineStr">
        <is>
          <t>(주)대웅제약</t>
        </is>
      </c>
      <c r="C411" t="inlineStr">
        <is>
          <t>대웅제약</t>
        </is>
      </c>
      <c r="D411" t="inlineStr">
        <is>
          <t>의약품</t>
        </is>
      </c>
      <c r="E411" t="inlineStr">
        <is>
          <t>1289</t>
        </is>
      </c>
      <c r="F411" t="inlineStr">
        <is>
          <t>박성수</t>
        </is>
      </c>
      <c r="G411" t="inlineStr">
        <is>
          <t>1954-11-09</t>
        </is>
      </c>
      <c r="H411" t="inlineStr">
        <is>
          <t>19541109</t>
        </is>
      </c>
      <c r="I411" t="inlineStr">
        <is>
          <t>3</t>
        </is>
      </c>
      <c r="J411" t="inlineStr">
        <is>
          <t>안성</t>
        </is>
      </c>
      <c r="K411" t="inlineStr">
        <is>
          <t>031-741-7700</t>
        </is>
      </c>
      <c r="L411" t="inlineStr">
        <is>
          <t>경기도 안성시 공단1로 69</t>
        </is>
      </c>
      <c r="M411" t="inlineStr"/>
      <c r="N411" t="inlineStr">
        <is>
          <t>경기도 안성시 공단1로 69</t>
        </is>
      </c>
      <c r="O411" t="inlineStr">
        <is>
          <t>경기도</t>
        </is>
      </c>
      <c r="P411" t="inlineStr">
        <is>
          <t>안성시</t>
        </is>
      </c>
      <c r="Q411" t="inlineStr">
        <is>
          <t>N</t>
        </is>
      </c>
      <c r="R411" t="n">
        <v>0</v>
      </c>
    </row>
    <row r="412">
      <c r="A412" t="n">
        <v>411</v>
      </c>
      <c r="B412" t="inlineStr">
        <is>
          <t>(주)바이넥스</t>
        </is>
      </c>
      <c r="C412" t="inlineStr">
        <is>
          <t>바이넥스</t>
        </is>
      </c>
      <c r="D412" t="inlineStr">
        <is>
          <t>의약품</t>
        </is>
      </c>
      <c r="E412" t="inlineStr">
        <is>
          <t>1358</t>
        </is>
      </c>
      <c r="F412" t="inlineStr">
        <is>
          <t>이혁종</t>
        </is>
      </c>
      <c r="G412" t="inlineStr">
        <is>
          <t>1957-12-17</t>
        </is>
      </c>
      <c r="H412" t="inlineStr">
        <is>
          <t>19571217</t>
        </is>
      </c>
      <c r="I412" t="inlineStr">
        <is>
          <t>4</t>
        </is>
      </c>
      <c r="J412" t="inlineStr">
        <is>
          <t>보관소</t>
        </is>
      </c>
      <c r="K412" t="inlineStr"/>
      <c r="L412" t="inlineStr">
        <is>
          <t>인천광역시 서구 갑문3로 37</t>
        </is>
      </c>
      <c r="M412" t="inlineStr">
        <is>
          <t>창고동 2층(일부)</t>
        </is>
      </c>
      <c r="N412" t="inlineStr">
        <is>
          <t>인천광역시 서구 갑문3로 37 창고동 2층(일부)</t>
        </is>
      </c>
      <c r="O412" t="inlineStr">
        <is>
          <t>인천광역시</t>
        </is>
      </c>
      <c r="P412" t="inlineStr">
        <is>
          <t>서구</t>
        </is>
      </c>
      <c r="Q412" t="inlineStr">
        <is>
          <t>N</t>
        </is>
      </c>
      <c r="R412" t="n">
        <v>0</v>
      </c>
    </row>
    <row r="413">
      <c r="A413" t="n">
        <v>412</v>
      </c>
      <c r="B413" t="inlineStr">
        <is>
          <t>동아에스티(주)</t>
        </is>
      </c>
      <c r="C413" t="inlineStr">
        <is>
          <t>동아에스티</t>
        </is>
      </c>
      <c r="D413" t="inlineStr">
        <is>
          <t>의약품</t>
        </is>
      </c>
      <c r="E413" t="inlineStr">
        <is>
          <t>1290</t>
        </is>
      </c>
      <c r="F413" t="inlineStr">
        <is>
          <t>정재훈</t>
        </is>
      </c>
      <c r="G413" t="inlineStr">
        <is>
          <t>1954-12-13</t>
        </is>
      </c>
      <c r="H413" t="inlineStr">
        <is>
          <t>19541213</t>
        </is>
      </c>
      <c r="I413" t="inlineStr">
        <is>
          <t>6</t>
        </is>
      </c>
      <c r="J413" t="inlineStr">
        <is>
          <t>시험실</t>
        </is>
      </c>
      <c r="K413" t="inlineStr">
        <is>
          <t>02-920-8208</t>
        </is>
      </c>
      <c r="L413" t="inlineStr">
        <is>
          <t>충청남도 천안시 서북구 백석공단1로 200-23</t>
        </is>
      </c>
      <c r="M413" t="inlineStr">
        <is>
          <t>(11동 2층)</t>
        </is>
      </c>
      <c r="N413" t="inlineStr">
        <is>
          <t>충청남도 천안시 서북구 백석공단1로 200-23 (11동 2층)</t>
        </is>
      </c>
      <c r="O413" t="inlineStr">
        <is>
          <t>충청남도</t>
        </is>
      </c>
      <c r="P413" t="inlineStr">
        <is>
          <t>천안시</t>
        </is>
      </c>
      <c r="Q413" t="inlineStr">
        <is>
          <t>N</t>
        </is>
      </c>
      <c r="R413" t="n">
        <v>0</v>
      </c>
    </row>
    <row r="414">
      <c r="A414" t="n">
        <v>413</v>
      </c>
      <c r="B414" t="inlineStr">
        <is>
          <t>(주)메디카코리아</t>
        </is>
      </c>
      <c r="C414" t="inlineStr">
        <is>
          <t>메디카코리아</t>
        </is>
      </c>
      <c r="D414" t="inlineStr">
        <is>
          <t>의약품</t>
        </is>
      </c>
      <c r="E414" t="inlineStr">
        <is>
          <t>1317</t>
        </is>
      </c>
      <c r="F414" t="inlineStr">
        <is>
          <t>김현식</t>
        </is>
      </c>
      <c r="G414" t="inlineStr">
        <is>
          <t>1956-01-29</t>
        </is>
      </c>
      <c r="H414" t="inlineStr">
        <is>
          <t>19560129</t>
        </is>
      </c>
      <c r="I414" t="inlineStr">
        <is>
          <t>3</t>
        </is>
      </c>
      <c r="J414" t="inlineStr">
        <is>
          <t>완제품보관소</t>
        </is>
      </c>
      <c r="K414" t="inlineStr"/>
      <c r="L414" t="inlineStr">
        <is>
          <t>경기도 화성시 정남면 가장로 285</t>
        </is>
      </c>
      <c r="M414" t="inlineStr">
        <is>
          <t>지하1층(일부)</t>
        </is>
      </c>
      <c r="N414" t="inlineStr">
        <is>
          <t>경기도 화성시 정남면 가장로 285 지하1층(일부)</t>
        </is>
      </c>
      <c r="O414" t="inlineStr">
        <is>
          <t>경기도</t>
        </is>
      </c>
      <c r="P414" t="inlineStr">
        <is>
          <t>화성시</t>
        </is>
      </c>
      <c r="Q414" t="inlineStr">
        <is>
          <t>N</t>
        </is>
      </c>
      <c r="R414" t="n">
        <v>0</v>
      </c>
    </row>
    <row r="415">
      <c r="A415" t="n">
        <v>414</v>
      </c>
      <c r="B415" t="inlineStr">
        <is>
          <t>(주)바른한방제약</t>
        </is>
      </c>
      <c r="C415" t="inlineStr">
        <is>
          <t>바른한방제약</t>
        </is>
      </c>
      <c r="D415" t="inlineStr">
        <is>
          <t>의약품</t>
        </is>
      </c>
      <c r="E415" t="inlineStr">
        <is>
          <t>359</t>
        </is>
      </c>
      <c r="F415" t="inlineStr">
        <is>
          <t>최규태</t>
        </is>
      </c>
      <c r="G415" t="inlineStr">
        <is>
          <t>2016-06-13</t>
        </is>
      </c>
      <c r="H415" t="inlineStr">
        <is>
          <t>20160613</t>
        </is>
      </c>
      <c r="I415" t="inlineStr">
        <is>
          <t>1</t>
        </is>
      </c>
      <c r="J415" t="inlineStr">
        <is>
          <t>(주)바른한방제약</t>
        </is>
      </c>
      <c r="K415" t="inlineStr">
        <is>
          <t>02-962-1669</t>
        </is>
      </c>
      <c r="L415" t="inlineStr">
        <is>
          <t>경기도 광주시 광남안로 39-26</t>
        </is>
      </c>
      <c r="M415" t="inlineStr"/>
      <c r="N415" t="inlineStr">
        <is>
          <t>경기도 광주시 광남안로 39-26</t>
        </is>
      </c>
      <c r="O415" t="inlineStr">
        <is>
          <t>경기도</t>
        </is>
      </c>
      <c r="P415" t="inlineStr">
        <is>
          <t>광주시</t>
        </is>
      </c>
      <c r="Q415" t="inlineStr">
        <is>
          <t>N</t>
        </is>
      </c>
      <c r="R415" t="n">
        <v>0</v>
      </c>
    </row>
    <row r="416">
      <c r="A416" t="n">
        <v>415</v>
      </c>
      <c r="B416" t="inlineStr">
        <is>
          <t>(주)다림바이오텍</t>
        </is>
      </c>
      <c r="C416" t="inlineStr">
        <is>
          <t>다림바이오텍</t>
        </is>
      </c>
      <c r="D416" t="inlineStr">
        <is>
          <t>의약품</t>
        </is>
      </c>
      <c r="E416" t="inlineStr">
        <is>
          <t>1308</t>
        </is>
      </c>
      <c r="F416" t="inlineStr">
        <is>
          <t>정종섭</t>
        </is>
      </c>
      <c r="G416" t="inlineStr">
        <is>
          <t>1955-09-15</t>
        </is>
      </c>
      <c r="H416" t="inlineStr">
        <is>
          <t>19550915</t>
        </is>
      </c>
      <c r="I416" t="inlineStr">
        <is>
          <t>3</t>
        </is>
      </c>
      <c r="J416" t="inlineStr">
        <is>
          <t>완제품보관소2</t>
        </is>
      </c>
      <c r="K416" t="inlineStr"/>
      <c r="L416" t="inlineStr">
        <is>
          <t>경기도 화성시 향남읍 발안공단로 267</t>
        </is>
      </c>
      <c r="M416" t="inlineStr">
        <is>
          <t>B동 일부(보관소2)</t>
        </is>
      </c>
      <c r="N416" t="inlineStr">
        <is>
          <t>경기도 화성시 향남읍 발안공단로 267 B동 일부(보관소2)</t>
        </is>
      </c>
      <c r="O416" t="inlineStr">
        <is>
          <t>경기도</t>
        </is>
      </c>
      <c r="P416" t="inlineStr">
        <is>
          <t>화성시</t>
        </is>
      </c>
      <c r="Q416" t="inlineStr">
        <is>
          <t>N</t>
        </is>
      </c>
      <c r="R416" t="n">
        <v>0</v>
      </c>
    </row>
    <row r="417">
      <c r="A417" t="n">
        <v>416</v>
      </c>
      <c r="B417" t="inlineStr">
        <is>
          <t>주식회사가온제약</t>
        </is>
      </c>
      <c r="C417" t="inlineStr">
        <is>
          <t>가온제약</t>
        </is>
      </c>
      <c r="D417" t="inlineStr">
        <is>
          <t>의약품</t>
        </is>
      </c>
      <c r="E417" t="inlineStr">
        <is>
          <t>87</t>
        </is>
      </c>
      <c r="F417" t="inlineStr">
        <is>
          <t>심상완</t>
        </is>
      </c>
      <c r="G417" t="inlineStr">
        <is>
          <t>2015-11-26</t>
        </is>
      </c>
      <c r="H417" t="inlineStr">
        <is>
          <t>20151126</t>
        </is>
      </c>
      <c r="I417" t="inlineStr">
        <is>
          <t>1</t>
        </is>
      </c>
      <c r="J417" t="inlineStr">
        <is>
          <t>제1공장</t>
        </is>
      </c>
      <c r="K417" t="inlineStr">
        <is>
          <t>(010)4521-0690</t>
        </is>
      </c>
      <c r="L417" t="inlineStr">
        <is>
          <t>대구광역시 동구 매여로 94</t>
        </is>
      </c>
      <c r="M417" t="inlineStr"/>
      <c r="N417" t="inlineStr">
        <is>
          <t>대구광역시 동구 매여로 94</t>
        </is>
      </c>
      <c r="O417" t="inlineStr">
        <is>
          <t>대구광역시</t>
        </is>
      </c>
      <c r="P417" t="inlineStr">
        <is>
          <t>동구</t>
        </is>
      </c>
      <c r="Q417" t="inlineStr">
        <is>
          <t>N</t>
        </is>
      </c>
      <c r="R417" t="n">
        <v>0</v>
      </c>
    </row>
    <row r="418">
      <c r="A418" t="n">
        <v>417</v>
      </c>
      <c r="B418" t="inlineStr">
        <is>
          <t>(주)조은생약</t>
        </is>
      </c>
      <c r="C418" t="inlineStr">
        <is>
          <t>조은생약</t>
        </is>
      </c>
      <c r="D418" t="inlineStr">
        <is>
          <t>의약품</t>
        </is>
      </c>
      <c r="E418" t="inlineStr">
        <is>
          <t>2183</t>
        </is>
      </c>
      <c r="F418" t="inlineStr">
        <is>
          <t>정원묵</t>
        </is>
      </c>
      <c r="G418" t="inlineStr">
        <is>
          <t>2001-01-06</t>
        </is>
      </c>
      <c r="H418" t="inlineStr">
        <is>
          <t>20010106</t>
        </is>
      </c>
      <c r="I418" t="inlineStr">
        <is>
          <t>1</t>
        </is>
      </c>
      <c r="J418" t="inlineStr">
        <is>
          <t>안양</t>
        </is>
      </c>
      <c r="K418" t="inlineStr">
        <is>
          <t>031-421-7291</t>
        </is>
      </c>
      <c r="L418" t="inlineStr">
        <is>
          <t>경기도 안양시 동안구 흥안대로439번길 65</t>
        </is>
      </c>
      <c r="M418" t="inlineStr">
        <is>
          <t>우리빌딩 2층</t>
        </is>
      </c>
      <c r="N418" t="inlineStr">
        <is>
          <t>경기도 안양시 동안구 흥안대로439번길 65 우리빌딩 2층</t>
        </is>
      </c>
      <c r="O418" t="inlineStr">
        <is>
          <t>경기도</t>
        </is>
      </c>
      <c r="P418" t="inlineStr">
        <is>
          <t>안양시</t>
        </is>
      </c>
      <c r="Q418" t="inlineStr">
        <is>
          <t>N</t>
        </is>
      </c>
      <c r="R418" t="n">
        <v>0</v>
      </c>
    </row>
    <row r="419">
      <c r="A419" t="n">
        <v>418</v>
      </c>
      <c r="B419" t="inlineStr">
        <is>
          <t>동국생명과학(주)</t>
        </is>
      </c>
      <c r="C419" t="inlineStr">
        <is>
          <t>동국생명과학</t>
        </is>
      </c>
      <c r="D419" t="inlineStr">
        <is>
          <t>의약품</t>
        </is>
      </c>
      <c r="E419" t="inlineStr">
        <is>
          <t>0754</t>
        </is>
      </c>
      <c r="F419" t="inlineStr">
        <is>
          <t>박재원</t>
        </is>
      </c>
      <c r="G419" t="inlineStr">
        <is>
          <t>1999-02-23</t>
        </is>
      </c>
      <c r="H419" t="inlineStr">
        <is>
          <t>19990223</t>
        </is>
      </c>
      <c r="I419" t="inlineStr">
        <is>
          <t>2</t>
        </is>
      </c>
      <c r="J419" t="inlineStr">
        <is>
          <t>진천</t>
        </is>
      </c>
      <c r="K419" t="inlineStr">
        <is>
          <t>043-535-3448</t>
        </is>
      </c>
      <c r="L419" t="inlineStr"/>
      <c r="M419" t="inlineStr">
        <is>
          <t>충청북도 진천군 광혜원면 진광로 1103</t>
        </is>
      </c>
      <c r="N419" t="inlineStr">
        <is>
          <t>충청북도 진천군 광혜원면 진광로 1103</t>
        </is>
      </c>
      <c r="O419" t="inlineStr">
        <is>
          <t>충청북도</t>
        </is>
      </c>
      <c r="P419" t="inlineStr">
        <is>
          <t>진천군</t>
        </is>
      </c>
      <c r="Q419" t="inlineStr">
        <is>
          <t>N</t>
        </is>
      </c>
      <c r="R419" t="n">
        <v>0</v>
      </c>
    </row>
    <row r="420">
      <c r="A420" t="n">
        <v>419</v>
      </c>
      <c r="B420" t="inlineStr">
        <is>
          <t>코스맥스바이오(주)</t>
        </is>
      </c>
      <c r="C420" t="inlineStr">
        <is>
          <t>코스맥스바이오</t>
        </is>
      </c>
      <c r="D420" t="inlineStr">
        <is>
          <t>의약품</t>
        </is>
      </c>
      <c r="E420" t="inlineStr">
        <is>
          <t>2625</t>
        </is>
      </c>
      <c r="F420" t="inlineStr">
        <is>
          <t>김경수</t>
        </is>
      </c>
      <c r="G420" t="inlineStr">
        <is>
          <t>2015-04-24</t>
        </is>
      </c>
      <c r="H420" t="inlineStr">
        <is>
          <t>20150424</t>
        </is>
      </c>
      <c r="I420" t="inlineStr">
        <is>
          <t>2</t>
        </is>
      </c>
      <c r="J420" t="inlineStr">
        <is>
          <t>보관소</t>
        </is>
      </c>
      <c r="K420" t="inlineStr"/>
      <c r="L420" t="inlineStr">
        <is>
          <t>충청북도 제천시 제2바이오밸리로2길 38</t>
        </is>
      </c>
      <c r="M420" t="inlineStr"/>
      <c r="N420" t="inlineStr">
        <is>
          <t>충청북도 제천시 제2바이오밸리로2길 38</t>
        </is>
      </c>
      <c r="O420" t="inlineStr">
        <is>
          <t>충청북도</t>
        </is>
      </c>
      <c r="P420" t="inlineStr">
        <is>
          <t>제천시</t>
        </is>
      </c>
      <c r="Q420" t="inlineStr">
        <is>
          <t>N</t>
        </is>
      </c>
      <c r="R420" t="n">
        <v>0</v>
      </c>
    </row>
    <row r="421">
      <c r="A421" t="n">
        <v>420</v>
      </c>
      <c r="B421" t="inlineStr">
        <is>
          <t>(주)종근당바이오</t>
        </is>
      </c>
      <c r="C421" t="inlineStr">
        <is>
          <t>종근당바이오</t>
        </is>
      </c>
      <c r="D421" t="inlineStr">
        <is>
          <t>의약품</t>
        </is>
      </c>
      <c r="E421" t="inlineStr">
        <is>
          <t>2253</t>
        </is>
      </c>
      <c r="F421" t="inlineStr">
        <is>
          <t>박완갑</t>
        </is>
      </c>
      <c r="G421" t="inlineStr">
        <is>
          <t>2001-11-27</t>
        </is>
      </c>
      <c r="H421" t="inlineStr">
        <is>
          <t>20011127</t>
        </is>
      </c>
      <c r="I421" t="inlineStr">
        <is>
          <t>1</t>
        </is>
      </c>
      <c r="J421" t="inlineStr">
        <is>
          <t>안산</t>
        </is>
      </c>
      <c r="K421" t="inlineStr">
        <is>
          <t>031-489-1121</t>
        </is>
      </c>
      <c r="L421" t="inlineStr">
        <is>
          <t>경기도 안산시 단원구 신원로 292</t>
        </is>
      </c>
      <c r="M421" t="inlineStr">
        <is>
          <t>.</t>
        </is>
      </c>
      <c r="N421" t="inlineStr">
        <is>
          <t>경기도 안산시 단원구 신원로 292 .</t>
        </is>
      </c>
      <c r="O421" t="inlineStr">
        <is>
          <t>경기도</t>
        </is>
      </c>
      <c r="P421" t="inlineStr">
        <is>
          <t>안산시</t>
        </is>
      </c>
      <c r="Q421" t="inlineStr">
        <is>
          <t>N</t>
        </is>
      </c>
      <c r="R421" t="n">
        <v>0</v>
      </c>
    </row>
    <row r="422">
      <c r="A422" t="n">
        <v>421</v>
      </c>
      <c r="B422" t="inlineStr">
        <is>
          <t>화일약품(주)</t>
        </is>
      </c>
      <c r="C422" t="inlineStr">
        <is>
          <t>화일약품</t>
        </is>
      </c>
      <c r="D422" t="inlineStr">
        <is>
          <t>의약품</t>
        </is>
      </c>
      <c r="E422" t="inlineStr">
        <is>
          <t>2014</t>
        </is>
      </c>
      <c r="F422" t="inlineStr">
        <is>
          <t>김유정</t>
        </is>
      </c>
      <c r="G422" t="inlineStr">
        <is>
          <t>1998-08-17</t>
        </is>
      </c>
      <c r="H422" t="inlineStr">
        <is>
          <t>19980817</t>
        </is>
      </c>
      <c r="I422" t="inlineStr">
        <is>
          <t>6</t>
        </is>
      </c>
      <c r="J422" t="inlineStr">
        <is>
          <t>평택(소분)</t>
        </is>
      </c>
      <c r="K422" t="inlineStr">
        <is>
          <t>031-628-3757</t>
        </is>
      </c>
      <c r="L422" t="inlineStr">
        <is>
          <t>경기도 평택시 산단로 241</t>
        </is>
      </c>
      <c r="M422" t="inlineStr">
        <is>
          <t>A동(칠괴동)</t>
        </is>
      </c>
      <c r="N422" t="inlineStr">
        <is>
          <t>경기도 평택시 산단로 241 A동(칠괴동)</t>
        </is>
      </c>
      <c r="O422" t="inlineStr">
        <is>
          <t>경기도</t>
        </is>
      </c>
      <c r="P422" t="inlineStr">
        <is>
          <t>평택시</t>
        </is>
      </c>
      <c r="Q422" t="inlineStr">
        <is>
          <t>Y</t>
        </is>
      </c>
      <c r="R422" t="n">
        <v>30</v>
      </c>
    </row>
    <row r="423">
      <c r="A423" t="n">
        <v>422</v>
      </c>
      <c r="B423" t="inlineStr">
        <is>
          <t>(주)우진가스텍</t>
        </is>
      </c>
      <c r="C423" t="inlineStr">
        <is>
          <t>우진가스텍</t>
        </is>
      </c>
      <c r="D423" t="inlineStr">
        <is>
          <t>의약품</t>
        </is>
      </c>
      <c r="E423" t="inlineStr">
        <is>
          <t>6152</t>
        </is>
      </c>
      <c r="F423" t="inlineStr">
        <is>
          <t>신은수</t>
        </is>
      </c>
      <c r="G423" t="inlineStr">
        <is>
          <t>2014-10-06</t>
        </is>
      </c>
      <c r="H423" t="inlineStr">
        <is>
          <t>20141006</t>
        </is>
      </c>
      <c r="I423" t="inlineStr">
        <is>
          <t>1</t>
        </is>
      </c>
      <c r="J423" t="inlineStr">
        <is>
          <t>(주)우진가스텍</t>
        </is>
      </c>
      <c r="K423" t="inlineStr">
        <is>
          <t>055-336-1261~2</t>
        </is>
      </c>
      <c r="L423" t="inlineStr">
        <is>
          <t>경상남도 김해시 생림면 마사로 29</t>
        </is>
      </c>
      <c r="M423" t="inlineStr"/>
      <c r="N423" t="inlineStr">
        <is>
          <t>경상남도 김해시 생림면 마사로 29</t>
        </is>
      </c>
      <c r="O423" t="inlineStr">
        <is>
          <t>경상남도</t>
        </is>
      </c>
      <c r="P423" t="inlineStr">
        <is>
          <t>김해시</t>
        </is>
      </c>
      <c r="Q423" t="inlineStr">
        <is>
          <t>N</t>
        </is>
      </c>
      <c r="R423" t="n">
        <v>0</v>
      </c>
    </row>
    <row r="424">
      <c r="A424" t="n">
        <v>423</v>
      </c>
      <c r="B424" t="inlineStr">
        <is>
          <t>이니스트에스티(주)</t>
        </is>
      </c>
      <c r="C424" t="inlineStr">
        <is>
          <t>이니스트에스티</t>
        </is>
      </c>
      <c r="D424" t="inlineStr">
        <is>
          <t>의약품</t>
        </is>
      </c>
      <c r="E424" t="inlineStr">
        <is>
          <t>2220</t>
        </is>
      </c>
      <c r="F424" t="inlineStr">
        <is>
          <t>한쌍수</t>
        </is>
      </c>
      <c r="G424" t="inlineStr">
        <is>
          <t>2001-06-25</t>
        </is>
      </c>
      <c r="H424" t="inlineStr">
        <is>
          <t>20010625</t>
        </is>
      </c>
      <c r="I424" t="inlineStr">
        <is>
          <t>1</t>
        </is>
      </c>
      <c r="J424" t="inlineStr">
        <is>
          <t>음성</t>
        </is>
      </c>
      <c r="K424" t="inlineStr">
        <is>
          <t>031-737-4091</t>
        </is>
      </c>
      <c r="L424" t="inlineStr">
        <is>
          <t>충청북도 음성군 금왕읍 신내로 500</t>
        </is>
      </c>
      <c r="M424" t="inlineStr"/>
      <c r="N424" t="inlineStr">
        <is>
          <t>충청북도 음성군 금왕읍 신내로 500</t>
        </is>
      </c>
      <c r="O424" t="inlineStr">
        <is>
          <t>충청북도</t>
        </is>
      </c>
      <c r="P424" t="inlineStr">
        <is>
          <t>음성군</t>
        </is>
      </c>
      <c r="Q424" t="inlineStr">
        <is>
          <t>N</t>
        </is>
      </c>
      <c r="R424" t="n">
        <v>0</v>
      </c>
    </row>
    <row r="425">
      <c r="A425" t="n">
        <v>424</v>
      </c>
      <c r="B425" t="inlineStr">
        <is>
          <t>한국원자력연구원</t>
        </is>
      </c>
      <c r="C425" t="inlineStr">
        <is>
          <t>한국원자력연구원</t>
        </is>
      </c>
      <c r="D425" t="inlineStr">
        <is>
          <t>의약품</t>
        </is>
      </c>
      <c r="E425" t="inlineStr">
        <is>
          <t>2000</t>
        </is>
      </c>
      <c r="F425" t="inlineStr">
        <is>
          <t>주한규</t>
        </is>
      </c>
      <c r="G425" t="inlineStr">
        <is>
          <t>1968-07-13</t>
        </is>
      </c>
      <c r="H425" t="inlineStr">
        <is>
          <t>19680713</t>
        </is>
      </c>
      <c r="I425" t="inlineStr">
        <is>
          <t>1</t>
        </is>
      </c>
      <c r="J425" t="inlineStr">
        <is>
          <t>대전</t>
        </is>
      </c>
      <c r="K425" t="inlineStr">
        <is>
          <t>042-868-2000</t>
        </is>
      </c>
      <c r="L425" t="inlineStr">
        <is>
          <t>대전광역시 유성구 대덕대로989번길 111</t>
        </is>
      </c>
      <c r="M425" t="inlineStr"/>
      <c r="N425" t="inlineStr">
        <is>
          <t>대전광역시 유성구 대덕대로989번길 111</t>
        </is>
      </c>
      <c r="O425" t="inlineStr">
        <is>
          <t>대전광역시</t>
        </is>
      </c>
      <c r="P425" t="inlineStr">
        <is>
          <t>유성구</t>
        </is>
      </c>
      <c r="Q425" t="inlineStr">
        <is>
          <t>N</t>
        </is>
      </c>
      <c r="R425" t="n">
        <v>0</v>
      </c>
    </row>
    <row r="426">
      <c r="A426" t="n">
        <v>425</v>
      </c>
      <c r="B426" t="inlineStr">
        <is>
          <t>(주)엠에스가스</t>
        </is>
      </c>
      <c r="C426" t="inlineStr">
        <is>
          <t>엠에스가스</t>
        </is>
      </c>
      <c r="D426" t="inlineStr">
        <is>
          <t>의약품</t>
        </is>
      </c>
      <c r="E426" t="inlineStr">
        <is>
          <t>2119</t>
        </is>
      </c>
      <c r="F426" t="inlineStr">
        <is>
          <t>전청민</t>
        </is>
      </c>
      <c r="G426" t="inlineStr">
        <is>
          <t>2000-02-22</t>
        </is>
      </c>
      <c r="H426" t="inlineStr">
        <is>
          <t>20000222</t>
        </is>
      </c>
      <c r="I426" t="inlineStr">
        <is>
          <t>1</t>
        </is>
      </c>
      <c r="J426" t="inlineStr">
        <is>
          <t>익산</t>
        </is>
      </c>
      <c r="K426" t="inlineStr"/>
      <c r="L426" t="inlineStr">
        <is>
          <t>전라북도 익산시 낭산면 진북로 555</t>
        </is>
      </c>
      <c r="M426" t="inlineStr"/>
      <c r="N426" t="inlineStr">
        <is>
          <t>전라북도 익산시 낭산면 진북로 555</t>
        </is>
      </c>
      <c r="O426" t="inlineStr">
        <is>
          <t>전라북도</t>
        </is>
      </c>
      <c r="P426" t="inlineStr">
        <is>
          <t>익산시</t>
        </is>
      </c>
      <c r="Q426" t="inlineStr">
        <is>
          <t>N</t>
        </is>
      </c>
      <c r="R426" t="n">
        <v>0</v>
      </c>
    </row>
    <row r="427">
      <c r="A427" t="n">
        <v>426</v>
      </c>
      <c r="B427" t="inlineStr">
        <is>
          <t>한국특수가스(주)</t>
        </is>
      </c>
      <c r="C427" t="inlineStr">
        <is>
          <t>한국특수가스</t>
        </is>
      </c>
      <c r="D427" t="inlineStr">
        <is>
          <t>의약품</t>
        </is>
      </c>
      <c r="E427" t="inlineStr">
        <is>
          <t>1909</t>
        </is>
      </c>
      <c r="F427" t="inlineStr">
        <is>
          <t>김진선</t>
        </is>
      </c>
      <c r="G427" t="inlineStr">
        <is>
          <t>1996-05-16</t>
        </is>
      </c>
      <c r="H427" t="inlineStr">
        <is>
          <t>19960516</t>
        </is>
      </c>
      <c r="I427" t="inlineStr">
        <is>
          <t>1</t>
        </is>
      </c>
      <c r="J427" t="inlineStr">
        <is>
          <t>한국특수가스(주)</t>
        </is>
      </c>
      <c r="K427" t="inlineStr">
        <is>
          <t>063-856-2320</t>
        </is>
      </c>
      <c r="L427" t="inlineStr">
        <is>
          <t>전북특별자치도 익산시 서동로32길 11</t>
        </is>
      </c>
      <c r="M427" t="inlineStr"/>
      <c r="N427" t="inlineStr">
        <is>
          <t>전북특별자치도 익산시 서동로32길 11</t>
        </is>
      </c>
      <c r="O427" t="inlineStr">
        <is>
          <t>전북특별자치도</t>
        </is>
      </c>
      <c r="P427" t="inlineStr">
        <is>
          <t>익산시</t>
        </is>
      </c>
      <c r="Q427" t="inlineStr">
        <is>
          <t>Y</t>
        </is>
      </c>
      <c r="R427" t="n">
        <v>66</v>
      </c>
    </row>
    <row r="428">
      <c r="A428" t="n">
        <v>427</v>
      </c>
      <c r="B428" t="inlineStr">
        <is>
          <t>한국휴텍스제약(주)</t>
        </is>
      </c>
      <c r="C428" t="inlineStr">
        <is>
          <t>한국휴텍스제약</t>
        </is>
      </c>
      <c r="D428" t="inlineStr">
        <is>
          <t>의약품</t>
        </is>
      </c>
      <c r="E428" t="inlineStr">
        <is>
          <t>1666</t>
        </is>
      </c>
      <c r="F428" t="inlineStr">
        <is>
          <t>이상일</t>
        </is>
      </c>
      <c r="G428" t="inlineStr">
        <is>
          <t>1986-09-15</t>
        </is>
      </c>
      <c r="H428" t="inlineStr">
        <is>
          <t>19860915</t>
        </is>
      </c>
      <c r="I428" t="inlineStr">
        <is>
          <t>1</t>
        </is>
      </c>
      <c r="J428" t="inlineStr">
        <is>
          <t>화성(제1공장)</t>
        </is>
      </c>
      <c r="K428" t="inlineStr">
        <is>
          <t>031-377-7900/7</t>
        </is>
      </c>
      <c r="L428" t="inlineStr"/>
      <c r="M428" t="inlineStr">
        <is>
          <t>경기도 화성군 동탄면 영천리 555-2</t>
        </is>
      </c>
      <c r="N428" t="inlineStr">
        <is>
          <t>경기도 화성군 동탄면 영천리 555-2</t>
        </is>
      </c>
      <c r="O428" t="inlineStr">
        <is>
          <t>경기도</t>
        </is>
      </c>
      <c r="P428" t="inlineStr">
        <is>
          <t>화성군</t>
        </is>
      </c>
      <c r="Q428" t="inlineStr">
        <is>
          <t>Y</t>
        </is>
      </c>
      <c r="R428" t="n">
        <v>15</v>
      </c>
    </row>
    <row r="429">
      <c r="A429" t="n">
        <v>428</v>
      </c>
      <c r="B429" t="inlineStr">
        <is>
          <t>(주)우리생약</t>
        </is>
      </c>
      <c r="C429" t="inlineStr">
        <is>
          <t>우리생약</t>
        </is>
      </c>
      <c r="D429" t="inlineStr">
        <is>
          <t>의약품</t>
        </is>
      </c>
      <c r="E429" t="inlineStr">
        <is>
          <t>372</t>
        </is>
      </c>
      <c r="F429" t="inlineStr">
        <is>
          <t>정창묵</t>
        </is>
      </c>
      <c r="G429" t="inlineStr">
        <is>
          <t>2018-06-20</t>
        </is>
      </c>
      <c r="H429" t="inlineStr">
        <is>
          <t>20180620</t>
        </is>
      </c>
      <c r="I429" t="inlineStr">
        <is>
          <t>1</t>
        </is>
      </c>
      <c r="J429" t="inlineStr">
        <is>
          <t>(주)우리생약</t>
        </is>
      </c>
      <c r="K429" t="inlineStr">
        <is>
          <t>02-957-5295</t>
        </is>
      </c>
      <c r="L429" t="inlineStr">
        <is>
          <t>서울특별시 동대문구 약령중앙로 19-5</t>
        </is>
      </c>
      <c r="M429" t="inlineStr">
        <is>
          <t>3층</t>
        </is>
      </c>
      <c r="N429" t="inlineStr">
        <is>
          <t>서울특별시 동대문구 약령중앙로 19-5 3층</t>
        </is>
      </c>
      <c r="O429" t="inlineStr">
        <is>
          <t>서울특별시</t>
        </is>
      </c>
      <c r="P429" t="inlineStr">
        <is>
          <t>동대문구</t>
        </is>
      </c>
      <c r="Q429" t="inlineStr">
        <is>
          <t>N</t>
        </is>
      </c>
      <c r="R429" t="n">
        <v>0</v>
      </c>
    </row>
    <row r="430">
      <c r="A430" t="n">
        <v>429</v>
      </c>
      <c r="B430" t="inlineStr">
        <is>
          <t>(주)알피바이오</t>
        </is>
      </c>
      <c r="C430" t="inlineStr">
        <is>
          <t>알피바이오</t>
        </is>
      </c>
      <c r="D430" t="inlineStr">
        <is>
          <t>의약품</t>
        </is>
      </c>
      <c r="E430" t="inlineStr">
        <is>
          <t>1648</t>
        </is>
      </c>
      <c r="F430" t="inlineStr">
        <is>
          <t>윤재훈</t>
        </is>
      </c>
      <c r="G430" t="inlineStr">
        <is>
          <t>1984-09-22</t>
        </is>
      </c>
      <c r="H430" t="inlineStr">
        <is>
          <t>19840922</t>
        </is>
      </c>
      <c r="I430" t="inlineStr">
        <is>
          <t>2</t>
        </is>
      </c>
      <c r="J430" t="inlineStr">
        <is>
          <t>화성(보관소1)</t>
        </is>
      </c>
      <c r="K430" t="inlineStr"/>
      <c r="L430" t="inlineStr">
        <is>
          <t>경기도 화성시 향남읍 발안공단로2길 27</t>
        </is>
      </c>
      <c r="M430" t="inlineStr">
        <is>
          <t>가동(일부)(보관소1)</t>
        </is>
      </c>
      <c r="N430" t="inlineStr">
        <is>
          <t>경기도 화성시 향남읍 발안공단로2길 27 가동(일부)(보관소1)</t>
        </is>
      </c>
      <c r="O430" t="inlineStr">
        <is>
          <t>경기도</t>
        </is>
      </c>
      <c r="P430" t="inlineStr">
        <is>
          <t>화성시</t>
        </is>
      </c>
      <c r="Q430" t="inlineStr">
        <is>
          <t>N</t>
        </is>
      </c>
      <c r="R430" t="n">
        <v>0</v>
      </c>
    </row>
    <row r="431">
      <c r="A431" t="n">
        <v>430</v>
      </c>
      <c r="B431" t="inlineStr">
        <is>
          <t>주식회사 밸리</t>
        </is>
      </c>
      <c r="C431" t="inlineStr">
        <is>
          <t>밸리</t>
        </is>
      </c>
      <c r="D431" t="inlineStr">
        <is>
          <t>의약품</t>
        </is>
      </c>
      <c r="E431" t="inlineStr">
        <is>
          <t>93</t>
        </is>
      </c>
      <c r="F431" t="inlineStr">
        <is>
          <t>황동영</t>
        </is>
      </c>
      <c r="G431" t="inlineStr">
        <is>
          <t>2017-11-24</t>
        </is>
      </c>
      <c r="H431" t="inlineStr">
        <is>
          <t>20171124</t>
        </is>
      </c>
      <c r="I431" t="inlineStr">
        <is>
          <t>1</t>
        </is>
      </c>
      <c r="J431" t="inlineStr">
        <is>
          <t>제1공장</t>
        </is>
      </c>
      <c r="K431" t="inlineStr">
        <is>
          <t>1566-2723</t>
        </is>
      </c>
      <c r="L431" t="inlineStr">
        <is>
          <t>대구광역시 수성구 파동로32길 16</t>
        </is>
      </c>
      <c r="M431" t="inlineStr"/>
      <c r="N431" t="inlineStr">
        <is>
          <t>대구광역시 수성구 파동로32길 16</t>
        </is>
      </c>
      <c r="O431" t="inlineStr">
        <is>
          <t>대구광역시</t>
        </is>
      </c>
      <c r="P431" t="inlineStr">
        <is>
          <t>수성구</t>
        </is>
      </c>
      <c r="Q431" t="inlineStr">
        <is>
          <t>N</t>
        </is>
      </c>
      <c r="R431" t="n">
        <v>0</v>
      </c>
    </row>
    <row r="432">
      <c r="A432" t="n">
        <v>431</v>
      </c>
      <c r="B432" t="inlineStr">
        <is>
          <t>아주산소(주)</t>
        </is>
      </c>
      <c r="C432" t="inlineStr">
        <is>
          <t>아주산소</t>
        </is>
      </c>
      <c r="D432" t="inlineStr">
        <is>
          <t>의약품</t>
        </is>
      </c>
      <c r="E432" t="inlineStr">
        <is>
          <t>1625</t>
        </is>
      </c>
      <c r="F432" t="inlineStr">
        <is>
          <t>박선욱</t>
        </is>
      </c>
      <c r="G432" t="inlineStr">
        <is>
          <t>1982-12-02</t>
        </is>
      </c>
      <c r="H432" t="inlineStr">
        <is>
          <t>19821202</t>
        </is>
      </c>
      <c r="I432" t="inlineStr">
        <is>
          <t>1</t>
        </is>
      </c>
      <c r="J432" t="inlineStr">
        <is>
          <t>광주</t>
        </is>
      </c>
      <c r="K432" t="inlineStr">
        <is>
          <t>062-674-2684</t>
        </is>
      </c>
      <c r="L432" t="inlineStr">
        <is>
          <t>광주광역시 남구 송암로58번길 46</t>
        </is>
      </c>
      <c r="M432" t="inlineStr"/>
      <c r="N432" t="inlineStr">
        <is>
          <t>광주광역시 남구 송암로58번길 46</t>
        </is>
      </c>
      <c r="O432" t="inlineStr">
        <is>
          <t>광주광역시</t>
        </is>
      </c>
      <c r="P432" t="inlineStr">
        <is>
          <t>남구</t>
        </is>
      </c>
      <c r="Q432" t="inlineStr">
        <is>
          <t>N</t>
        </is>
      </c>
      <c r="R432" t="n">
        <v>0</v>
      </c>
    </row>
    <row r="433">
      <c r="A433" t="n">
        <v>432</v>
      </c>
      <c r="B433" t="inlineStr">
        <is>
          <t>삼일제약(주)</t>
        </is>
      </c>
      <c r="C433" t="inlineStr">
        <is>
          <t>삼일제약</t>
        </is>
      </c>
      <c r="D433" t="inlineStr">
        <is>
          <t>의약품</t>
        </is>
      </c>
      <c r="E433" t="inlineStr">
        <is>
          <t>1314</t>
        </is>
      </c>
      <c r="F433" t="inlineStr">
        <is>
          <t>허승범</t>
        </is>
      </c>
      <c r="G433" t="inlineStr">
        <is>
          <t>1955-12-29</t>
        </is>
      </c>
      <c r="H433" t="inlineStr">
        <is>
          <t>19551229</t>
        </is>
      </c>
      <c r="I433" t="inlineStr">
        <is>
          <t>1</t>
        </is>
      </c>
      <c r="J433" t="inlineStr">
        <is>
          <t>안산</t>
        </is>
      </c>
      <c r="K433" t="inlineStr">
        <is>
          <t>031-492-4066</t>
        </is>
      </c>
      <c r="L433" t="inlineStr">
        <is>
          <t>경기도 안산시 단원구 산단로 216</t>
        </is>
      </c>
      <c r="M433" t="inlineStr">
        <is>
          <t>(원시동)</t>
        </is>
      </c>
      <c r="N433" t="inlineStr">
        <is>
          <t>경기도 안산시 단원구 산단로 216 (원시동)</t>
        </is>
      </c>
      <c r="O433" t="inlineStr">
        <is>
          <t>경기도</t>
        </is>
      </c>
      <c r="P433" t="inlineStr">
        <is>
          <t>안산시</t>
        </is>
      </c>
      <c r="Q433" t="inlineStr">
        <is>
          <t>N</t>
        </is>
      </c>
      <c r="R433" t="n">
        <v>0</v>
      </c>
    </row>
    <row r="434">
      <c r="A434" t="n">
        <v>433</v>
      </c>
      <c r="B434" t="inlineStr">
        <is>
          <t>선도화학주식회사</t>
        </is>
      </c>
      <c r="C434" t="inlineStr">
        <is>
          <t>선도화학</t>
        </is>
      </c>
      <c r="D434" t="inlineStr">
        <is>
          <t>의약품</t>
        </is>
      </c>
      <c r="E434" t="inlineStr">
        <is>
          <t>2641</t>
        </is>
      </c>
      <c r="F434" t="inlineStr">
        <is>
          <t>윤여환</t>
        </is>
      </c>
      <c r="G434" t="inlineStr">
        <is>
          <t>2017-05-08</t>
        </is>
      </c>
      <c r="H434" t="inlineStr">
        <is>
          <t>20170508</t>
        </is>
      </c>
      <c r="I434" t="inlineStr">
        <is>
          <t>1</t>
        </is>
      </c>
      <c r="J434" t="inlineStr">
        <is>
          <t>선도화학주식회사</t>
        </is>
      </c>
      <c r="K434" t="inlineStr">
        <is>
          <t>041-663-6465</t>
        </is>
      </c>
      <c r="L434" t="inlineStr">
        <is>
          <t>충청남도 서산시 대산읍 죽엽로 363</t>
        </is>
      </c>
      <c r="M434" t="inlineStr">
        <is>
          <t>3동, K동, 7동 101 호</t>
        </is>
      </c>
      <c r="N434" t="inlineStr">
        <is>
          <t>충청남도 서산시 대산읍 죽엽로 363 3동, K동, 7동 101 호</t>
        </is>
      </c>
      <c r="O434" t="inlineStr">
        <is>
          <t>충청남도</t>
        </is>
      </c>
      <c r="P434" t="inlineStr">
        <is>
          <t>서산시</t>
        </is>
      </c>
      <c r="Q434" t="inlineStr">
        <is>
          <t>N</t>
        </is>
      </c>
      <c r="R434" t="n">
        <v>0</v>
      </c>
    </row>
    <row r="435">
      <c r="A435" t="n">
        <v>434</v>
      </c>
      <c r="B435" t="inlineStr">
        <is>
          <t>(주)유케이케미팜</t>
        </is>
      </c>
      <c r="C435" t="inlineStr">
        <is>
          <t>유케이케미팜</t>
        </is>
      </c>
      <c r="D435" t="inlineStr">
        <is>
          <t>의약품</t>
        </is>
      </c>
      <c r="E435" t="inlineStr">
        <is>
          <t>2364</t>
        </is>
      </c>
      <c r="F435" t="inlineStr">
        <is>
          <t>오기범</t>
        </is>
      </c>
      <c r="G435" t="inlineStr">
        <is>
          <t>2003-03-13</t>
        </is>
      </c>
      <c r="H435" t="inlineStr">
        <is>
          <t>20030313</t>
        </is>
      </c>
      <c r="I435" t="inlineStr">
        <is>
          <t>2</t>
        </is>
      </c>
      <c r="J435" t="inlineStr">
        <is>
          <t>보관소1</t>
        </is>
      </c>
      <c r="K435" t="inlineStr"/>
      <c r="L435" t="inlineStr">
        <is>
          <t>경기도 안산시 단원구 범지기로141번길 46</t>
        </is>
      </c>
      <c r="M435" t="inlineStr">
        <is>
          <t>가동</t>
        </is>
      </c>
      <c r="N435" t="inlineStr">
        <is>
          <t>경기도 안산시 단원구 범지기로141번길 46 가동</t>
        </is>
      </c>
      <c r="O435" t="inlineStr">
        <is>
          <t>경기도</t>
        </is>
      </c>
      <c r="P435" t="inlineStr">
        <is>
          <t>안산시</t>
        </is>
      </c>
      <c r="Q435" t="inlineStr">
        <is>
          <t>N</t>
        </is>
      </c>
      <c r="R435" t="n">
        <v>0</v>
      </c>
    </row>
    <row r="436">
      <c r="A436" t="n">
        <v>435</v>
      </c>
      <c r="B436" t="inlineStr">
        <is>
          <t>주식회사제이투가스</t>
        </is>
      </c>
      <c r="C436" t="inlineStr">
        <is>
          <t>제이투가스</t>
        </is>
      </c>
      <c r="D436" t="inlineStr">
        <is>
          <t>의약품</t>
        </is>
      </c>
      <c r="E436" t="inlineStr">
        <is>
          <t>6176</t>
        </is>
      </c>
      <c r="F436" t="inlineStr">
        <is>
          <t>정은화</t>
        </is>
      </c>
      <c r="G436" t="inlineStr">
        <is>
          <t>2023-02-03</t>
        </is>
      </c>
      <c r="H436" t="inlineStr">
        <is>
          <t>20230203</t>
        </is>
      </c>
      <c r="I436" t="inlineStr">
        <is>
          <t>1</t>
        </is>
      </c>
      <c r="J436" t="inlineStr">
        <is>
          <t>주식회사제이투가스</t>
        </is>
      </c>
      <c r="K436" t="inlineStr">
        <is>
          <t>0319819942</t>
        </is>
      </c>
      <c r="L436" t="inlineStr">
        <is>
          <t>경기도 김포시 통진읍 애기봉로681번길 81</t>
        </is>
      </c>
      <c r="M436" t="inlineStr"/>
      <c r="N436" t="inlineStr">
        <is>
          <t>경기도 김포시 통진읍 애기봉로681번길 81</t>
        </is>
      </c>
      <c r="O436" t="inlineStr">
        <is>
          <t>경기도</t>
        </is>
      </c>
      <c r="P436" t="inlineStr">
        <is>
          <t>김포시</t>
        </is>
      </c>
      <c r="Q436" t="inlineStr">
        <is>
          <t>Y</t>
        </is>
      </c>
      <c r="R436" t="n">
        <v>33</v>
      </c>
    </row>
    <row r="437">
      <c r="A437" t="n">
        <v>436</v>
      </c>
      <c r="B437" t="inlineStr">
        <is>
          <t>아쎈코리아주식회사</t>
        </is>
      </c>
      <c r="C437" t="inlineStr">
        <is>
          <t>아쎈코리아</t>
        </is>
      </c>
      <c r="D437" t="inlineStr">
        <is>
          <t>의약품</t>
        </is>
      </c>
      <c r="E437" t="inlineStr">
        <is>
          <t>2289</t>
        </is>
      </c>
      <c r="F437" t="inlineStr">
        <is>
          <t>오원석</t>
        </is>
      </c>
      <c r="G437" t="inlineStr">
        <is>
          <t>2002-04-24</t>
        </is>
      </c>
      <c r="H437" t="inlineStr">
        <is>
          <t>20020424</t>
        </is>
      </c>
      <c r="I437" t="inlineStr">
        <is>
          <t>1</t>
        </is>
      </c>
      <c r="J437" t="inlineStr">
        <is>
          <t>인천</t>
        </is>
      </c>
      <c r="K437" t="inlineStr"/>
      <c r="L437" t="inlineStr">
        <is>
          <t>인천광역시 부평구 장제로38번길 30-2</t>
        </is>
      </c>
      <c r="M437" t="inlineStr"/>
      <c r="N437" t="inlineStr">
        <is>
          <t>인천광역시 부평구 장제로38번길 30-2</t>
        </is>
      </c>
      <c r="O437" t="inlineStr">
        <is>
          <t>인천광역시</t>
        </is>
      </c>
      <c r="P437" t="inlineStr">
        <is>
          <t>부평구</t>
        </is>
      </c>
      <c r="Q437" t="inlineStr">
        <is>
          <t>N</t>
        </is>
      </c>
      <c r="R437" t="n">
        <v>0</v>
      </c>
    </row>
    <row r="438">
      <c r="A438" t="n">
        <v>437</v>
      </c>
      <c r="B438" t="inlineStr">
        <is>
          <t>단일가스켐(주)</t>
        </is>
      </c>
      <c r="C438" t="inlineStr">
        <is>
          <t>단일가스켐</t>
        </is>
      </c>
      <c r="D438" t="inlineStr">
        <is>
          <t>의약품</t>
        </is>
      </c>
      <c r="E438" t="inlineStr">
        <is>
          <t>931</t>
        </is>
      </c>
      <c r="F438" t="inlineStr">
        <is>
          <t>장세훈</t>
        </is>
      </c>
      <c r="G438" t="inlineStr">
        <is>
          <t>2007-12-07</t>
        </is>
      </c>
      <c r="H438" t="inlineStr">
        <is>
          <t>20071207</t>
        </is>
      </c>
      <c r="I438" t="inlineStr">
        <is>
          <t>1</t>
        </is>
      </c>
      <c r="J438" t="inlineStr">
        <is>
          <t>오창</t>
        </is>
      </c>
      <c r="K438" t="inlineStr">
        <is>
          <t>(043)241-0070</t>
        </is>
      </c>
      <c r="L438" t="inlineStr">
        <is>
          <t>충청북도 청주시 청원구 오창읍 과학산업2로 587-6</t>
        </is>
      </c>
      <c r="M438" t="inlineStr"/>
      <c r="N438" t="inlineStr">
        <is>
          <t>충청북도 청주시 청원구 오창읍 과학산업2로 587-6</t>
        </is>
      </c>
      <c r="O438" t="inlineStr">
        <is>
          <t>충청북도</t>
        </is>
      </c>
      <c r="P438" t="inlineStr">
        <is>
          <t>청주시</t>
        </is>
      </c>
      <c r="Q438" t="inlineStr">
        <is>
          <t>N</t>
        </is>
      </c>
      <c r="R438" t="n">
        <v>0</v>
      </c>
    </row>
    <row r="439">
      <c r="A439" t="n">
        <v>438</v>
      </c>
      <c r="B439" t="inlineStr">
        <is>
          <t>제이투에이치바이오텍(주)</t>
        </is>
      </c>
      <c r="C439" t="inlineStr">
        <is>
          <t>제이투에이치바이오텍</t>
        </is>
      </c>
      <c r="D439" t="inlineStr">
        <is>
          <t>의약품</t>
        </is>
      </c>
      <c r="E439" t="inlineStr">
        <is>
          <t>6169</t>
        </is>
      </c>
      <c r="F439" t="inlineStr">
        <is>
          <t>김재선</t>
        </is>
      </c>
      <c r="G439" t="inlineStr">
        <is>
          <t>2021-11-02</t>
        </is>
      </c>
      <c r="H439" t="inlineStr">
        <is>
          <t>20211102</t>
        </is>
      </c>
      <c r="I439" t="inlineStr">
        <is>
          <t>1</t>
        </is>
      </c>
      <c r="J439" t="inlineStr">
        <is>
          <t>1공장</t>
        </is>
      </c>
      <c r="K439" t="inlineStr"/>
      <c r="L439" t="inlineStr">
        <is>
          <t>경기도 안산시 단원구 산단로 349</t>
        </is>
      </c>
      <c r="M439" t="inlineStr">
        <is>
          <t>B동,D동일부</t>
        </is>
      </c>
      <c r="N439" t="inlineStr">
        <is>
          <t>경기도 안산시 단원구 산단로 349 B동,D동일부</t>
        </is>
      </c>
      <c r="O439" t="inlineStr">
        <is>
          <t>경기도</t>
        </is>
      </c>
      <c r="P439" t="inlineStr">
        <is>
          <t>안산시</t>
        </is>
      </c>
      <c r="Q439" t="inlineStr">
        <is>
          <t>N</t>
        </is>
      </c>
      <c r="R439" t="n">
        <v>0</v>
      </c>
    </row>
    <row r="440">
      <c r="A440" t="n">
        <v>439</v>
      </c>
      <c r="B440" t="inlineStr">
        <is>
          <t>주식회사제뉴원사이언스</t>
        </is>
      </c>
      <c r="C440" t="inlineStr">
        <is>
          <t>제뉴원사이언스</t>
        </is>
      </c>
      <c r="D440" t="inlineStr">
        <is>
          <t>의약품</t>
        </is>
      </c>
      <c r="E440" t="inlineStr">
        <is>
          <t>2296</t>
        </is>
      </c>
      <c r="F440" t="inlineStr">
        <is>
          <t>전광현</t>
        </is>
      </c>
      <c r="G440" t="inlineStr">
        <is>
          <t>2002-05-17</t>
        </is>
      </c>
      <c r="H440" t="inlineStr">
        <is>
          <t>20020517</t>
        </is>
      </c>
      <c r="I440" t="inlineStr">
        <is>
          <t>1</t>
        </is>
      </c>
      <c r="J440" t="inlineStr">
        <is>
          <t>세종</t>
        </is>
      </c>
      <c r="K440" t="inlineStr">
        <is>
          <t>0806010080</t>
        </is>
      </c>
      <c r="L440" t="inlineStr">
        <is>
          <t>세종특별자치시 전의면 산단길 245</t>
        </is>
      </c>
      <c r="M440" t="inlineStr"/>
      <c r="N440" t="inlineStr">
        <is>
          <t>세종특별자치시 전의면 산단길 245</t>
        </is>
      </c>
      <c r="O440" t="inlineStr">
        <is>
          <t>세종특별자치시</t>
        </is>
      </c>
      <c r="P440" t="inlineStr"/>
      <c r="Q440" t="inlineStr">
        <is>
          <t>N</t>
        </is>
      </c>
      <c r="R440" t="n">
        <v>0</v>
      </c>
    </row>
    <row r="441">
      <c r="A441" t="n">
        <v>440</v>
      </c>
      <c r="B441" t="inlineStr">
        <is>
          <t>(주)푸른무약</t>
        </is>
      </c>
      <c r="C441" t="inlineStr">
        <is>
          <t>푸른무약</t>
        </is>
      </c>
      <c r="D441" t="inlineStr">
        <is>
          <t>의약품</t>
        </is>
      </c>
      <c r="E441" t="inlineStr">
        <is>
          <t>921</t>
        </is>
      </c>
      <c r="F441" t="inlineStr">
        <is>
          <t>심상구</t>
        </is>
      </c>
      <c r="G441" t="inlineStr">
        <is>
          <t>2007-05-30</t>
        </is>
      </c>
      <c r="H441" t="inlineStr">
        <is>
          <t>20070530</t>
        </is>
      </c>
      <c r="I441" t="inlineStr">
        <is>
          <t>1</t>
        </is>
      </c>
      <c r="J441" t="inlineStr">
        <is>
          <t>제조소</t>
        </is>
      </c>
      <c r="K441" t="inlineStr">
        <is>
          <t>02-968-2966</t>
        </is>
      </c>
      <c r="L441" t="inlineStr">
        <is>
          <t>서울특별시 동대문구 약령중앙로 68-2</t>
        </is>
      </c>
      <c r="M441" t="inlineStr">
        <is>
          <t>, 지1층, 1층, 3층</t>
        </is>
      </c>
      <c r="N441" t="inlineStr">
        <is>
          <t>서울특별시 동대문구 약령중앙로 68-2 , 지1층, 1층, 3층</t>
        </is>
      </c>
      <c r="O441" t="inlineStr">
        <is>
          <t>서울특별시</t>
        </is>
      </c>
      <c r="P441" t="inlineStr">
        <is>
          <t>동대문구</t>
        </is>
      </c>
      <c r="Q441" t="inlineStr">
        <is>
          <t>N</t>
        </is>
      </c>
      <c r="R441" t="n">
        <v>0</v>
      </c>
    </row>
    <row r="442">
      <c r="A442" t="n">
        <v>441</v>
      </c>
      <c r="B442" t="inlineStr">
        <is>
          <t>연세의료원</t>
        </is>
      </c>
      <c r="C442" t="inlineStr">
        <is>
          <t>연세의료원</t>
        </is>
      </c>
      <c r="D442" t="inlineStr">
        <is>
          <t>의약품</t>
        </is>
      </c>
      <c r="E442" t="inlineStr">
        <is>
          <t>391</t>
        </is>
      </c>
      <c r="F442" t="inlineStr">
        <is>
          <t>금기창</t>
        </is>
      </c>
      <c r="G442" t="inlineStr">
        <is>
          <t>2021-01-28</t>
        </is>
      </c>
      <c r="H442" t="inlineStr">
        <is>
          <t>20210128</t>
        </is>
      </c>
      <c r="I442" t="inlineStr">
        <is>
          <t>1</t>
        </is>
      </c>
      <c r="J442" t="inlineStr">
        <is>
          <t>제1공장</t>
        </is>
      </c>
      <c r="K442" t="inlineStr"/>
      <c r="L442" t="inlineStr">
        <is>
          <t>서울특별시 서대문구 연세로 50-1</t>
        </is>
      </c>
      <c r="M442" t="inlineStr">
        <is>
          <t>연세암병원 지하 5층</t>
        </is>
      </c>
      <c r="N442" t="inlineStr">
        <is>
          <t>서울특별시 서대문구 연세로 50-1 연세암병원 지하 5층</t>
        </is>
      </c>
      <c r="O442" t="inlineStr">
        <is>
          <t>서울특별시</t>
        </is>
      </c>
      <c r="P442" t="inlineStr">
        <is>
          <t>서대문구</t>
        </is>
      </c>
      <c r="Q442" t="inlineStr">
        <is>
          <t>N</t>
        </is>
      </c>
      <c r="R442" t="n">
        <v>0</v>
      </c>
    </row>
    <row r="443">
      <c r="A443" t="n">
        <v>442</v>
      </c>
      <c r="B443" t="inlineStr">
        <is>
          <t>(주)창신</t>
        </is>
      </c>
      <c r="C443" t="inlineStr">
        <is>
          <t>창신</t>
        </is>
      </c>
      <c r="D443" t="inlineStr">
        <is>
          <t>의약품</t>
        </is>
      </c>
      <c r="E443" t="inlineStr">
        <is>
          <t>2246</t>
        </is>
      </c>
      <c r="F443" t="inlineStr">
        <is>
          <t>배윤동</t>
        </is>
      </c>
      <c r="G443" t="inlineStr">
        <is>
          <t>2001-09-27</t>
        </is>
      </c>
      <c r="H443" t="inlineStr">
        <is>
          <t>20010927</t>
        </is>
      </c>
      <c r="I443" t="inlineStr">
        <is>
          <t>1</t>
        </is>
      </c>
      <c r="J443" t="inlineStr">
        <is>
          <t>마산</t>
        </is>
      </c>
      <c r="K443" t="inlineStr">
        <is>
          <t>055-232-2000</t>
        </is>
      </c>
      <c r="L443" t="inlineStr">
        <is>
          <t>경상남도 창원시 마산회원구 내서읍 광려천남로 135</t>
        </is>
      </c>
      <c r="M443" t="inlineStr"/>
      <c r="N443" t="inlineStr">
        <is>
          <t>경상남도 창원시 마산회원구 내서읍 광려천남로 135</t>
        </is>
      </c>
      <c r="O443" t="inlineStr">
        <is>
          <t>경상남도</t>
        </is>
      </c>
      <c r="P443" t="inlineStr">
        <is>
          <t>창원시</t>
        </is>
      </c>
      <c r="Q443" t="inlineStr">
        <is>
          <t>Y</t>
        </is>
      </c>
      <c r="R443" t="n">
        <v>67</v>
      </c>
    </row>
    <row r="444">
      <c r="A444" t="n">
        <v>443</v>
      </c>
      <c r="B444" t="inlineStr">
        <is>
          <t>씨케이(주)</t>
        </is>
      </c>
      <c r="C444" t="inlineStr">
        <is>
          <t>씨케이</t>
        </is>
      </c>
      <c r="D444" t="inlineStr">
        <is>
          <t>의약품</t>
        </is>
      </c>
      <c r="E444" t="inlineStr">
        <is>
          <t>2586</t>
        </is>
      </c>
      <c r="F444" t="inlineStr">
        <is>
          <t>윤복희</t>
        </is>
      </c>
      <c r="G444" t="inlineStr">
        <is>
          <t>2006-11-29</t>
        </is>
      </c>
      <c r="H444" t="inlineStr">
        <is>
          <t>20061129</t>
        </is>
      </c>
      <c r="I444" t="inlineStr">
        <is>
          <t>3</t>
        </is>
      </c>
      <c r="J444" t="inlineStr">
        <is>
          <t>보관소</t>
        </is>
      </c>
      <c r="K444" t="inlineStr">
        <is>
          <t>043-544-8511</t>
        </is>
      </c>
      <c r="L444" t="inlineStr">
        <is>
          <t>충청북도 보은군 보은읍 매화구인로 331-8</t>
        </is>
      </c>
      <c r="M444" t="inlineStr"/>
      <c r="N444" t="inlineStr">
        <is>
          <t>충청북도 보은군 보은읍 매화구인로 331-8</t>
        </is>
      </c>
      <c r="O444" t="inlineStr">
        <is>
          <t>충청북도</t>
        </is>
      </c>
      <c r="P444" t="inlineStr">
        <is>
          <t>보은군</t>
        </is>
      </c>
      <c r="Q444" t="inlineStr">
        <is>
          <t>Y</t>
        </is>
      </c>
      <c r="R444" t="n">
        <v>36</v>
      </c>
    </row>
    <row r="445">
      <c r="A445" t="n">
        <v>444</v>
      </c>
      <c r="B445" t="inlineStr">
        <is>
          <t>(주)애거슨바이오</t>
        </is>
      </c>
      <c r="C445" t="inlineStr">
        <is>
          <t>애거슨바이오</t>
        </is>
      </c>
      <c r="D445" t="inlineStr">
        <is>
          <t>의약품</t>
        </is>
      </c>
      <c r="E445" t="inlineStr">
        <is>
          <t>6160</t>
        </is>
      </c>
      <c r="F445" t="inlineStr">
        <is>
          <t>서승열</t>
        </is>
      </c>
      <c r="G445" t="inlineStr">
        <is>
          <t>2020-05-13</t>
        </is>
      </c>
      <c r="H445" t="inlineStr">
        <is>
          <t>20200513</t>
        </is>
      </c>
      <c r="I445" t="inlineStr">
        <is>
          <t>1</t>
        </is>
      </c>
      <c r="J445" t="inlineStr">
        <is>
          <t>(주)애거슨바이오</t>
        </is>
      </c>
      <c r="K445" t="inlineStr">
        <is>
          <t>043-882-8774</t>
        </is>
      </c>
      <c r="L445" t="inlineStr">
        <is>
          <t>충청북도 음성군 금왕읍 금왕테크노5길 7</t>
        </is>
      </c>
      <c r="M445" t="inlineStr"/>
      <c r="N445" t="inlineStr">
        <is>
          <t>충청북도 음성군 금왕읍 금왕테크노5길 7</t>
        </is>
      </c>
      <c r="O445" t="inlineStr">
        <is>
          <t>충청북도</t>
        </is>
      </c>
      <c r="P445" t="inlineStr">
        <is>
          <t>음성군</t>
        </is>
      </c>
      <c r="Q445" t="inlineStr">
        <is>
          <t>N</t>
        </is>
      </c>
      <c r="R445" t="n">
        <v>0</v>
      </c>
    </row>
    <row r="446">
      <c r="A446" t="n">
        <v>445</v>
      </c>
      <c r="B446" t="inlineStr">
        <is>
          <t>우진비앤지(주)</t>
        </is>
      </c>
      <c r="C446" t="inlineStr">
        <is>
          <t>우진비앤지</t>
        </is>
      </c>
      <c r="D446" t="inlineStr">
        <is>
          <t>의약품</t>
        </is>
      </c>
      <c r="E446" t="inlineStr">
        <is>
          <t>2571</t>
        </is>
      </c>
      <c r="F446" t="inlineStr">
        <is>
          <t>강석진</t>
        </is>
      </c>
      <c r="G446" t="inlineStr">
        <is>
          <t>2006-07-26</t>
        </is>
      </c>
      <c r="H446" t="inlineStr">
        <is>
          <t>20060726</t>
        </is>
      </c>
      <c r="I446" t="inlineStr">
        <is>
          <t>1</t>
        </is>
      </c>
      <c r="J446" t="inlineStr">
        <is>
          <t>화성</t>
        </is>
      </c>
      <c r="K446" t="inlineStr">
        <is>
          <t>031-352-0185</t>
        </is>
      </c>
      <c r="L446" t="inlineStr">
        <is>
          <t>경기도 화성시 양감면 정문송산로 230</t>
        </is>
      </c>
      <c r="M446" t="inlineStr"/>
      <c r="N446" t="inlineStr">
        <is>
          <t>경기도 화성시 양감면 정문송산로 230</t>
        </is>
      </c>
      <c r="O446" t="inlineStr">
        <is>
          <t>경기도</t>
        </is>
      </c>
      <c r="P446" t="inlineStr">
        <is>
          <t>화성시</t>
        </is>
      </c>
      <c r="Q446" t="inlineStr">
        <is>
          <t>N</t>
        </is>
      </c>
      <c r="R446" t="n">
        <v>0</v>
      </c>
    </row>
    <row r="447">
      <c r="A447" t="n">
        <v>446</v>
      </c>
      <c r="B447" t="inlineStr">
        <is>
          <t>에이치디엑스(주)</t>
        </is>
      </c>
      <c r="C447" t="inlineStr">
        <is>
          <t>에이치디엑스</t>
        </is>
      </c>
      <c r="D447" t="inlineStr">
        <is>
          <t>의약품</t>
        </is>
      </c>
      <c r="E447" t="inlineStr">
        <is>
          <t>2407</t>
        </is>
      </c>
      <c r="F447" t="inlineStr">
        <is>
          <t>이창영</t>
        </is>
      </c>
      <c r="G447" t="inlineStr">
        <is>
          <t>2003-12-11</t>
        </is>
      </c>
      <c r="H447" t="inlineStr">
        <is>
          <t>20031211</t>
        </is>
      </c>
      <c r="I447" t="inlineStr">
        <is>
          <t>2</t>
        </is>
      </c>
      <c r="J447" t="inlineStr">
        <is>
          <t>부산</t>
        </is>
      </c>
      <c r="K447" t="inlineStr"/>
      <c r="L447" t="inlineStr">
        <is>
          <t>부산광역시 서구 구덕로 179</t>
        </is>
      </c>
      <c r="M447" t="inlineStr">
        <is>
          <t>(아미동1가)</t>
        </is>
      </c>
      <c r="N447" t="inlineStr">
        <is>
          <t>부산광역시 서구 구덕로 179 (아미동1가)</t>
        </is>
      </c>
      <c r="O447" t="inlineStr">
        <is>
          <t>부산광역시</t>
        </is>
      </c>
      <c r="P447" t="inlineStr">
        <is>
          <t>서구</t>
        </is>
      </c>
      <c r="Q447" t="inlineStr">
        <is>
          <t>N</t>
        </is>
      </c>
      <c r="R447" t="n">
        <v>0</v>
      </c>
    </row>
    <row r="448">
      <c r="A448" t="n">
        <v>447</v>
      </c>
      <c r="B448" t="inlineStr">
        <is>
          <t>(재)전남바이오진흥원 그린바이오본부 천연센터</t>
        </is>
      </c>
      <c r="C448" t="inlineStr">
        <is>
          <t>(재)전남바이오진흥원 그린바이오본부 천연센터</t>
        </is>
      </c>
      <c r="D448" t="inlineStr">
        <is>
          <t>의약품</t>
        </is>
      </c>
      <c r="E448" t="inlineStr">
        <is>
          <t>6179</t>
        </is>
      </c>
      <c r="F448" t="inlineStr">
        <is>
          <t>김기홍</t>
        </is>
      </c>
      <c r="G448" t="inlineStr">
        <is>
          <t>2023-03-09</t>
        </is>
      </c>
      <c r="H448" t="inlineStr">
        <is>
          <t>20230309</t>
        </is>
      </c>
      <c r="I448" t="inlineStr">
        <is>
          <t>1</t>
        </is>
      </c>
      <c r="J448" t="inlineStr">
        <is>
          <t>천연물의약품원료플랜트</t>
        </is>
      </c>
      <c r="K448" t="inlineStr">
        <is>
          <t>061-375-6805</t>
        </is>
      </c>
      <c r="L448" t="inlineStr">
        <is>
          <t>전라남도 화순군 화순읍 산단길 100-1</t>
        </is>
      </c>
      <c r="M448" t="inlineStr">
        <is>
          <t>천연물의약품원료플랜트</t>
        </is>
      </c>
      <c r="N448" t="inlineStr">
        <is>
          <t>전라남도 화순군 화순읍 산단길 100-1 천연물의약품원료플랜트</t>
        </is>
      </c>
      <c r="O448" t="inlineStr">
        <is>
          <t>전라남도</t>
        </is>
      </c>
      <c r="P448" t="inlineStr">
        <is>
          <t>화순군</t>
        </is>
      </c>
      <c r="Q448" t="inlineStr">
        <is>
          <t>N</t>
        </is>
      </c>
      <c r="R448" t="n">
        <v>0</v>
      </c>
    </row>
    <row r="449">
      <c r="A449" t="n">
        <v>448</v>
      </c>
      <c r="B449" t="inlineStr">
        <is>
          <t>주식회사퓨어마인드농업회사법인</t>
        </is>
      </c>
      <c r="C449" t="inlineStr">
        <is>
          <t>퓨어마인드농업회사법인</t>
        </is>
      </c>
      <c r="D449" t="inlineStr">
        <is>
          <t>의약품</t>
        </is>
      </c>
      <c r="E449" t="inlineStr">
        <is>
          <t>2307</t>
        </is>
      </c>
      <c r="F449" t="inlineStr">
        <is>
          <t>이형동</t>
        </is>
      </c>
      <c r="G449" t="inlineStr">
        <is>
          <t>2002-06-14</t>
        </is>
      </c>
      <c r="H449" t="inlineStr">
        <is>
          <t>20020614</t>
        </is>
      </c>
      <c r="I449" t="inlineStr">
        <is>
          <t>1</t>
        </is>
      </c>
      <c r="J449" t="inlineStr">
        <is>
          <t>영천</t>
        </is>
      </c>
      <c r="K449" t="inlineStr">
        <is>
          <t>054-337-6550</t>
        </is>
      </c>
      <c r="L449" t="inlineStr">
        <is>
          <t>경상북도 영천시 안완산길 32</t>
        </is>
      </c>
      <c r="M449" t="inlineStr"/>
      <c r="N449" t="inlineStr">
        <is>
          <t>경상북도 영천시 안완산길 32</t>
        </is>
      </c>
      <c r="O449" t="inlineStr">
        <is>
          <t>경상북도</t>
        </is>
      </c>
      <c r="P449" t="inlineStr">
        <is>
          <t>영천시</t>
        </is>
      </c>
      <c r="Q449" t="inlineStr">
        <is>
          <t>N</t>
        </is>
      </c>
      <c r="R449" t="n">
        <v>0</v>
      </c>
    </row>
    <row r="450">
      <c r="A450" t="n">
        <v>449</v>
      </c>
      <c r="B450" t="inlineStr">
        <is>
          <t>(주)엔지켐생명과학</t>
        </is>
      </c>
      <c r="C450" t="inlineStr">
        <is>
          <t>엔지켐생명과학</t>
        </is>
      </c>
      <c r="D450" t="inlineStr">
        <is>
          <t>의약품</t>
        </is>
      </c>
      <c r="E450" t="inlineStr">
        <is>
          <t>238</t>
        </is>
      </c>
      <c r="F450" t="inlineStr">
        <is>
          <t>손기영</t>
        </is>
      </c>
      <c r="G450" t="inlineStr">
        <is>
          <t>2008-02-15</t>
        </is>
      </c>
      <c r="H450" t="inlineStr">
        <is>
          <t>20080215</t>
        </is>
      </c>
      <c r="I450" t="inlineStr">
        <is>
          <t>1</t>
        </is>
      </c>
      <c r="J450" t="inlineStr">
        <is>
          <t>제천</t>
        </is>
      </c>
      <c r="K450" t="inlineStr">
        <is>
          <t>(043)652-2846</t>
        </is>
      </c>
      <c r="L450" t="inlineStr">
        <is>
          <t>충청북도 제천시 바이오밸리로 59</t>
        </is>
      </c>
      <c r="M450" t="inlineStr"/>
      <c r="N450" t="inlineStr">
        <is>
          <t>충청북도 제천시 바이오밸리로 59</t>
        </is>
      </c>
      <c r="O450" t="inlineStr">
        <is>
          <t>충청북도</t>
        </is>
      </c>
      <c r="P450" t="inlineStr">
        <is>
          <t>제천시</t>
        </is>
      </c>
      <c r="Q450" t="inlineStr">
        <is>
          <t>N</t>
        </is>
      </c>
      <c r="R450" t="n">
        <v>0</v>
      </c>
    </row>
    <row r="451">
      <c r="A451" t="n">
        <v>450</v>
      </c>
      <c r="B451" t="inlineStr">
        <is>
          <t>주식회사우성허브</t>
        </is>
      </c>
      <c r="C451" t="inlineStr">
        <is>
          <t>우성허브</t>
        </is>
      </c>
      <c r="D451" t="inlineStr">
        <is>
          <t>의약품</t>
        </is>
      </c>
      <c r="E451" t="inlineStr">
        <is>
          <t>396</t>
        </is>
      </c>
      <c r="F451" t="inlineStr">
        <is>
          <t>방우성</t>
        </is>
      </c>
      <c r="G451" t="inlineStr">
        <is>
          <t>2022-03-21</t>
        </is>
      </c>
      <c r="H451" t="inlineStr">
        <is>
          <t>20220321</t>
        </is>
      </c>
      <c r="I451" t="inlineStr">
        <is>
          <t>1</t>
        </is>
      </c>
      <c r="J451" t="inlineStr">
        <is>
          <t>제1공장</t>
        </is>
      </c>
      <c r="K451" t="inlineStr">
        <is>
          <t>010****3578</t>
        </is>
      </c>
      <c r="L451" t="inlineStr">
        <is>
          <t>서울특별시 동대문구 고산자로 465</t>
        </is>
      </c>
      <c r="M451" t="inlineStr">
        <is>
          <t>4층</t>
        </is>
      </c>
      <c r="N451" t="inlineStr">
        <is>
          <t>서울특별시 동대문구 고산자로 465 4층</t>
        </is>
      </c>
      <c r="O451" t="inlineStr">
        <is>
          <t>서울특별시</t>
        </is>
      </c>
      <c r="P451" t="inlineStr">
        <is>
          <t>동대문구</t>
        </is>
      </c>
      <c r="Q451" t="inlineStr">
        <is>
          <t>N</t>
        </is>
      </c>
      <c r="R451" t="n">
        <v>0</v>
      </c>
    </row>
    <row r="452">
      <c r="A452" t="n">
        <v>451</v>
      </c>
      <c r="B452" t="inlineStr">
        <is>
          <t>(주)킵스바이오파마</t>
        </is>
      </c>
      <c r="C452" t="inlineStr">
        <is>
          <t>킵스바이오파마</t>
        </is>
      </c>
      <c r="D452" t="inlineStr">
        <is>
          <t>의약품</t>
        </is>
      </c>
      <c r="E452" t="inlineStr">
        <is>
          <t>2335</t>
        </is>
      </c>
      <c r="F452" t="inlineStr">
        <is>
          <t>김하용</t>
        </is>
      </c>
      <c r="G452" t="inlineStr">
        <is>
          <t>2002-10-23</t>
        </is>
      </c>
      <c r="H452" t="inlineStr">
        <is>
          <t>20021023</t>
        </is>
      </c>
      <c r="I452" t="inlineStr">
        <is>
          <t>1</t>
        </is>
      </c>
      <c r="J452" t="inlineStr">
        <is>
          <t>서천</t>
        </is>
      </c>
      <c r="K452" t="inlineStr">
        <is>
          <t>041-953-9800</t>
        </is>
      </c>
      <c r="L452" t="inlineStr">
        <is>
          <t>충청남도 서천군 종천면 종천공단길32번길 26</t>
        </is>
      </c>
      <c r="M452" t="inlineStr"/>
      <c r="N452" t="inlineStr">
        <is>
          <t>충청남도 서천군 종천면 종천공단길32번길 26</t>
        </is>
      </c>
      <c r="O452" t="inlineStr">
        <is>
          <t>충청남도</t>
        </is>
      </c>
      <c r="P452" t="inlineStr">
        <is>
          <t>서천군</t>
        </is>
      </c>
      <c r="Q452" t="inlineStr">
        <is>
          <t>N</t>
        </is>
      </c>
      <c r="R452" t="n">
        <v>0</v>
      </c>
    </row>
    <row r="453">
      <c r="A453" t="n">
        <v>452</v>
      </c>
      <c r="B453" t="inlineStr">
        <is>
          <t>(주)평화산소</t>
        </is>
      </c>
      <c r="C453" t="inlineStr">
        <is>
          <t>평화산소</t>
        </is>
      </c>
      <c r="D453" t="inlineStr">
        <is>
          <t>의약품</t>
        </is>
      </c>
      <c r="E453" t="inlineStr">
        <is>
          <t>52</t>
        </is>
      </c>
      <c r="F453" t="inlineStr">
        <is>
          <t>이기열</t>
        </is>
      </c>
      <c r="G453" t="inlineStr">
        <is>
          <t>2007-09-06</t>
        </is>
      </c>
      <c r="H453" t="inlineStr">
        <is>
          <t>20070906</t>
        </is>
      </c>
      <c r="I453" t="inlineStr">
        <is>
          <t>1</t>
        </is>
      </c>
      <c r="J453" t="inlineStr">
        <is>
          <t>제1공장</t>
        </is>
      </c>
      <c r="K453" t="inlineStr">
        <is>
          <t>(055)255-9211</t>
        </is>
      </c>
      <c r="L453" t="inlineStr">
        <is>
          <t>경상남도 창원시 마산합포구 진북면 정현공단길 113</t>
        </is>
      </c>
      <c r="M453" t="inlineStr"/>
      <c r="N453" t="inlineStr">
        <is>
          <t>경상남도 창원시 마산합포구 진북면 정현공단길 113</t>
        </is>
      </c>
      <c r="O453" t="inlineStr">
        <is>
          <t>경상남도</t>
        </is>
      </c>
      <c r="P453" t="inlineStr">
        <is>
          <t>창원시</t>
        </is>
      </c>
      <c r="Q453" t="inlineStr">
        <is>
          <t>Y</t>
        </is>
      </c>
      <c r="R453" t="n">
        <v>37</v>
      </c>
    </row>
    <row r="454">
      <c r="A454" t="n">
        <v>453</v>
      </c>
      <c r="B454" t="inlineStr">
        <is>
          <t>코오롱바이오텍(주)</t>
        </is>
      </c>
      <c r="C454" t="inlineStr">
        <is>
          <t>코오롱바이오텍</t>
        </is>
      </c>
      <c r="D454" t="inlineStr">
        <is>
          <t>의약품</t>
        </is>
      </c>
      <c r="E454" t="inlineStr">
        <is>
          <t>6164</t>
        </is>
      </c>
      <c r="F454" t="inlineStr">
        <is>
          <t>오범용</t>
        </is>
      </c>
      <c r="G454" t="inlineStr">
        <is>
          <t>2021-03-15</t>
        </is>
      </c>
      <c r="H454" t="inlineStr">
        <is>
          <t>20210315</t>
        </is>
      </c>
      <c r="I454" t="inlineStr">
        <is>
          <t>1</t>
        </is>
      </c>
      <c r="J454" t="inlineStr">
        <is>
          <t>1공장</t>
        </is>
      </c>
      <c r="K454" t="inlineStr">
        <is>
          <t>043-841-7591</t>
        </is>
      </c>
      <c r="L454" t="inlineStr">
        <is>
          <t>충청북도 충주시 대소원면 기업도시1로 54-1</t>
        </is>
      </c>
      <c r="M454" t="inlineStr"/>
      <c r="N454" t="inlineStr">
        <is>
          <t>충청북도 충주시 대소원면 기업도시1로 54-1</t>
        </is>
      </c>
      <c r="O454" t="inlineStr">
        <is>
          <t>충청북도</t>
        </is>
      </c>
      <c r="P454" t="inlineStr">
        <is>
          <t>충주시</t>
        </is>
      </c>
      <c r="Q454" t="inlineStr">
        <is>
          <t>N</t>
        </is>
      </c>
      <c r="R454" t="n">
        <v>0</v>
      </c>
    </row>
    <row r="455">
      <c r="A455" t="n">
        <v>454</v>
      </c>
      <c r="B455" t="inlineStr">
        <is>
          <t>(주)바이오포커스</t>
        </is>
      </c>
      <c r="C455" t="inlineStr">
        <is>
          <t>바이오포커스</t>
        </is>
      </c>
      <c r="D455" t="inlineStr">
        <is>
          <t>의약품</t>
        </is>
      </c>
      <c r="E455" t="inlineStr">
        <is>
          <t>2272</t>
        </is>
      </c>
      <c r="F455" t="inlineStr">
        <is>
          <t>서정구</t>
        </is>
      </c>
      <c r="G455" t="inlineStr">
        <is>
          <t>2002-03-11</t>
        </is>
      </c>
      <c r="H455" t="inlineStr">
        <is>
          <t>20020311</t>
        </is>
      </c>
      <c r="I455" t="inlineStr">
        <is>
          <t>1</t>
        </is>
      </c>
      <c r="J455" t="inlineStr">
        <is>
          <t>군포</t>
        </is>
      </c>
      <c r="K455" t="inlineStr">
        <is>
          <t>031-457-5870</t>
        </is>
      </c>
      <c r="L455" t="inlineStr">
        <is>
          <t>경기도 의왕시 오전공업길 19</t>
        </is>
      </c>
      <c r="M455" t="inlineStr">
        <is>
          <t>대현테크노월드 901호 , 902호, 903호, 911호, 912호(오전동)</t>
        </is>
      </c>
      <c r="N455" t="inlineStr">
        <is>
          <t>경기도 의왕시 오전공업길 19 대현테크노월드 901호 , 902호, 903호, 911호, 912호(오전동)</t>
        </is>
      </c>
      <c r="O455" t="inlineStr">
        <is>
          <t>경기도</t>
        </is>
      </c>
      <c r="P455" t="inlineStr">
        <is>
          <t>의왕시</t>
        </is>
      </c>
      <c r="Q455" t="inlineStr">
        <is>
          <t>N</t>
        </is>
      </c>
      <c r="R455" t="n">
        <v>0</v>
      </c>
    </row>
    <row r="456">
      <c r="A456" t="n">
        <v>455</v>
      </c>
      <c r="B456" t="inlineStr">
        <is>
          <t>향나바이오주식회사</t>
        </is>
      </c>
      <c r="C456" t="inlineStr">
        <is>
          <t>향나바이오</t>
        </is>
      </c>
      <c r="D456" t="inlineStr">
        <is>
          <t>의약품</t>
        </is>
      </c>
      <c r="E456" t="inlineStr">
        <is>
          <t>2594</t>
        </is>
      </c>
      <c r="F456" t="inlineStr">
        <is>
          <t>윤진성</t>
        </is>
      </c>
      <c r="G456" t="inlineStr">
        <is>
          <t>2007-01-15</t>
        </is>
      </c>
      <c r="H456" t="inlineStr">
        <is>
          <t>20070115</t>
        </is>
      </c>
      <c r="I456" t="inlineStr">
        <is>
          <t>1</t>
        </is>
      </c>
      <c r="J456" t="inlineStr">
        <is>
          <t>제1공장</t>
        </is>
      </c>
      <c r="K456" t="inlineStr"/>
      <c r="L456" t="inlineStr">
        <is>
          <t>서울특별시 동대문구 고산자로 459</t>
        </is>
      </c>
      <c r="M456" t="inlineStr">
        <is>
          <t>2층</t>
        </is>
      </c>
      <c r="N456" t="inlineStr">
        <is>
          <t>서울특별시 동대문구 고산자로 459 2층</t>
        </is>
      </c>
      <c r="O456" t="inlineStr">
        <is>
          <t>서울특별시</t>
        </is>
      </c>
      <c r="P456" t="inlineStr">
        <is>
          <t>동대문구</t>
        </is>
      </c>
      <c r="Q456" t="inlineStr">
        <is>
          <t>N</t>
        </is>
      </c>
      <c r="R456" t="n">
        <v>0</v>
      </c>
    </row>
    <row r="457">
      <c r="A457" t="n">
        <v>456</v>
      </c>
      <c r="B457" t="inlineStr">
        <is>
          <t>주식회사강스템바이오텍</t>
        </is>
      </c>
      <c r="C457" t="inlineStr">
        <is>
          <t>강스템바이오텍</t>
        </is>
      </c>
      <c r="D457" t="inlineStr">
        <is>
          <t>의약품</t>
        </is>
      </c>
      <c r="E457" t="inlineStr">
        <is>
          <t>383</t>
        </is>
      </c>
      <c r="F457" t="inlineStr">
        <is>
          <t>나종천</t>
        </is>
      </c>
      <c r="G457" t="inlineStr">
        <is>
          <t>2020-07-14</t>
        </is>
      </c>
      <c r="H457" t="inlineStr">
        <is>
          <t>20200714</t>
        </is>
      </c>
      <c r="I457" t="inlineStr">
        <is>
          <t>1</t>
        </is>
      </c>
      <c r="J457" t="inlineStr">
        <is>
          <t>제1공장</t>
        </is>
      </c>
      <c r="K457" t="inlineStr"/>
      <c r="L457" t="inlineStr">
        <is>
          <t>경기도 광명시 하안로 60</t>
        </is>
      </c>
      <c r="M457" t="inlineStr">
        <is>
          <t>광명테크노파크 A동 6층, 지하104호</t>
        </is>
      </c>
      <c r="N457" t="inlineStr">
        <is>
          <t>경기도 광명시 하안로 60 광명테크노파크 A동 6층, 지하104호</t>
        </is>
      </c>
      <c r="O457" t="inlineStr">
        <is>
          <t>경기도</t>
        </is>
      </c>
      <c r="P457" t="inlineStr">
        <is>
          <t>광명시</t>
        </is>
      </c>
      <c r="Q457" t="inlineStr">
        <is>
          <t>N</t>
        </is>
      </c>
      <c r="R457" t="n">
        <v>0</v>
      </c>
    </row>
    <row r="458">
      <c r="A458" t="n">
        <v>457</v>
      </c>
      <c r="B458" t="inlineStr">
        <is>
          <t>씨케이(주)</t>
        </is>
      </c>
      <c r="C458" t="inlineStr">
        <is>
          <t>씨케이</t>
        </is>
      </c>
      <c r="D458" t="inlineStr">
        <is>
          <t>의약품</t>
        </is>
      </c>
      <c r="E458" t="inlineStr">
        <is>
          <t>2586</t>
        </is>
      </c>
      <c r="F458" t="inlineStr">
        <is>
          <t>윤복희</t>
        </is>
      </c>
      <c r="G458" t="inlineStr">
        <is>
          <t>2006-11-29</t>
        </is>
      </c>
      <c r="H458" t="inlineStr">
        <is>
          <t>20061129</t>
        </is>
      </c>
      <c r="I458" t="inlineStr">
        <is>
          <t>1</t>
        </is>
      </c>
      <c r="J458" t="inlineStr">
        <is>
          <t>시험실, 보관소</t>
        </is>
      </c>
      <c r="K458" t="inlineStr">
        <is>
          <t>043-544-8511</t>
        </is>
      </c>
      <c r="L458" t="inlineStr">
        <is>
          <t>충청북도 보은군 보은읍 매화구인로 331-13</t>
        </is>
      </c>
      <c r="M458" t="inlineStr"/>
      <c r="N458" t="inlineStr">
        <is>
          <t>충청북도 보은군 보은읍 매화구인로 331-13</t>
        </is>
      </c>
      <c r="O458" t="inlineStr">
        <is>
          <t>충청북도</t>
        </is>
      </c>
      <c r="P458" t="inlineStr">
        <is>
          <t>보은군</t>
        </is>
      </c>
      <c r="Q458" t="inlineStr">
        <is>
          <t>Y</t>
        </is>
      </c>
      <c r="R458" t="n">
        <v>38</v>
      </c>
    </row>
    <row r="459">
      <c r="A459" t="n">
        <v>458</v>
      </c>
      <c r="B459" t="inlineStr">
        <is>
          <t>에이치디엑스(주)</t>
        </is>
      </c>
      <c r="C459" t="inlineStr">
        <is>
          <t>에이치디엑스</t>
        </is>
      </c>
      <c r="D459" t="inlineStr">
        <is>
          <t>의약품</t>
        </is>
      </c>
      <c r="E459" t="inlineStr">
        <is>
          <t>2407</t>
        </is>
      </c>
      <c r="F459" t="inlineStr">
        <is>
          <t>이창영</t>
        </is>
      </c>
      <c r="G459" t="inlineStr">
        <is>
          <t>2003-12-11</t>
        </is>
      </c>
      <c r="H459" t="inlineStr">
        <is>
          <t>20031211</t>
        </is>
      </c>
      <c r="I459" t="inlineStr">
        <is>
          <t>6</t>
        </is>
      </c>
      <c r="J459" t="inlineStr">
        <is>
          <t>전남순천</t>
        </is>
      </c>
      <c r="K459" t="inlineStr">
        <is>
          <t>061-722-8440</t>
        </is>
      </c>
      <c r="L459" t="inlineStr">
        <is>
          <t>전라남도 순천시 순광로 221</t>
        </is>
      </c>
      <c r="M459" t="inlineStr">
        <is>
          <t>성가롤로병원 내 (조례동)</t>
        </is>
      </c>
      <c r="N459" t="inlineStr">
        <is>
          <t>전라남도 순천시 순광로 221 성가롤로병원 내 (조례동)</t>
        </is>
      </c>
      <c r="O459" t="inlineStr">
        <is>
          <t>전라남도</t>
        </is>
      </c>
      <c r="P459" t="inlineStr">
        <is>
          <t>순천시</t>
        </is>
      </c>
      <c r="Q459" t="inlineStr">
        <is>
          <t>N</t>
        </is>
      </c>
      <c r="R459" t="n">
        <v>0</v>
      </c>
    </row>
    <row r="460">
      <c r="A460" t="n">
        <v>459</v>
      </c>
      <c r="B460" t="inlineStr">
        <is>
          <t>(주)인티그레이션</t>
        </is>
      </c>
      <c r="C460" t="inlineStr">
        <is>
          <t>인티그레이션</t>
        </is>
      </c>
      <c r="D460" t="inlineStr">
        <is>
          <t>의약품</t>
        </is>
      </c>
      <c r="E460" t="inlineStr">
        <is>
          <t>6184</t>
        </is>
      </c>
      <c r="F460" t="inlineStr">
        <is>
          <t>정희범</t>
        </is>
      </c>
      <c r="G460" t="inlineStr">
        <is>
          <t>2024-03-18</t>
        </is>
      </c>
      <c r="H460" t="inlineStr">
        <is>
          <t>20240318</t>
        </is>
      </c>
      <c r="I460" t="inlineStr">
        <is>
          <t>1</t>
        </is>
      </c>
      <c r="J460" t="inlineStr">
        <is>
          <t>1공장</t>
        </is>
      </c>
      <c r="K460" t="inlineStr"/>
      <c r="L460" t="inlineStr">
        <is>
          <t>전북특별자치도 장수군 장수읍 와동길 54-11</t>
        </is>
      </c>
      <c r="M460" t="inlineStr">
        <is>
          <t>인티그레이션 전북지점</t>
        </is>
      </c>
      <c r="N460" t="inlineStr">
        <is>
          <t>전북특별자치도 장수군 장수읍 와동길 54-11 인티그레이션 전북지점</t>
        </is>
      </c>
      <c r="O460" t="inlineStr">
        <is>
          <t>전북특별자치도</t>
        </is>
      </c>
      <c r="P460" t="inlineStr">
        <is>
          <t>장수군</t>
        </is>
      </c>
      <c r="Q460" t="inlineStr">
        <is>
          <t>N</t>
        </is>
      </c>
      <c r="R460" t="n">
        <v>0</v>
      </c>
    </row>
    <row r="461">
      <c r="A461" t="n">
        <v>460</v>
      </c>
      <c r="B461" t="inlineStr">
        <is>
          <t>(주)대평</t>
        </is>
      </c>
      <c r="C461" t="inlineStr">
        <is>
          <t>대평</t>
        </is>
      </c>
      <c r="D461" t="inlineStr">
        <is>
          <t>의약품</t>
        </is>
      </c>
      <c r="E461" t="inlineStr">
        <is>
          <t>2361</t>
        </is>
      </c>
      <c r="F461" t="inlineStr">
        <is>
          <t>김경재</t>
        </is>
      </c>
      <c r="G461" t="inlineStr">
        <is>
          <t>2003-02-15</t>
        </is>
      </c>
      <c r="H461" t="inlineStr">
        <is>
          <t>20030215</t>
        </is>
      </c>
      <c r="I461" t="inlineStr">
        <is>
          <t>1</t>
        </is>
      </c>
      <c r="J461" t="inlineStr">
        <is>
          <t>상주</t>
        </is>
      </c>
      <c r="K461" t="inlineStr">
        <is>
          <t>054-541-9005</t>
        </is>
      </c>
      <c r="L461" t="inlineStr">
        <is>
          <t>경상북도 상주시 함창읍 영동길 19-8</t>
        </is>
      </c>
      <c r="M461" t="inlineStr"/>
      <c r="N461" t="inlineStr">
        <is>
          <t>경상북도 상주시 함창읍 영동길 19-8</t>
        </is>
      </c>
      <c r="O461" t="inlineStr">
        <is>
          <t>경상북도</t>
        </is>
      </c>
      <c r="P461" t="inlineStr">
        <is>
          <t>상주시</t>
        </is>
      </c>
      <c r="Q461" t="inlineStr">
        <is>
          <t>Y</t>
        </is>
      </c>
      <c r="R461" t="n">
        <v>39</v>
      </c>
    </row>
    <row r="462">
      <c r="A462" t="n">
        <v>461</v>
      </c>
      <c r="B462" t="inlineStr">
        <is>
          <t>영웅제약주식회사</t>
        </is>
      </c>
      <c r="C462" t="inlineStr">
        <is>
          <t>영웅제약</t>
        </is>
      </c>
      <c r="D462" t="inlineStr">
        <is>
          <t>의약품</t>
        </is>
      </c>
      <c r="E462" t="inlineStr">
        <is>
          <t>397</t>
        </is>
      </c>
      <c r="F462" t="inlineStr">
        <is>
          <t>원종태</t>
        </is>
      </c>
      <c r="G462" t="inlineStr">
        <is>
          <t>2022-10-19</t>
        </is>
      </c>
      <c r="H462" t="inlineStr">
        <is>
          <t>20221019</t>
        </is>
      </c>
      <c r="I462" t="inlineStr">
        <is>
          <t>1</t>
        </is>
      </c>
      <c r="J462" t="inlineStr">
        <is>
          <t>영웅스토리주식회사</t>
        </is>
      </c>
      <c r="K462" t="inlineStr"/>
      <c r="L462" t="inlineStr">
        <is>
          <t>경기도 남양주시 진건읍 독정로성지2길 125</t>
        </is>
      </c>
      <c r="M462" t="inlineStr">
        <is>
          <t>주2동 2층</t>
        </is>
      </c>
      <c r="N462" t="inlineStr">
        <is>
          <t>경기도 남양주시 진건읍 독정로성지2길 125 주2동 2층</t>
        </is>
      </c>
      <c r="O462" t="inlineStr">
        <is>
          <t>경기도</t>
        </is>
      </c>
      <c r="P462" t="inlineStr">
        <is>
          <t>남양주시</t>
        </is>
      </c>
      <c r="Q462" t="inlineStr">
        <is>
          <t>N</t>
        </is>
      </c>
      <c r="R462" t="n">
        <v>0</v>
      </c>
    </row>
    <row r="463">
      <c r="A463" t="n">
        <v>462</v>
      </c>
      <c r="B463" t="inlineStr">
        <is>
          <t>(주)삼도제약</t>
        </is>
      </c>
      <c r="C463" t="inlineStr">
        <is>
          <t>삼도제약</t>
        </is>
      </c>
      <c r="D463" t="inlineStr">
        <is>
          <t>의약품</t>
        </is>
      </c>
      <c r="E463" t="inlineStr">
        <is>
          <t>2297</t>
        </is>
      </c>
      <c r="F463" t="inlineStr">
        <is>
          <t>최영근</t>
        </is>
      </c>
      <c r="G463" t="inlineStr">
        <is>
          <t>2002-05-21</t>
        </is>
      </c>
      <c r="H463" t="inlineStr">
        <is>
          <t>20020521</t>
        </is>
      </c>
      <c r="I463" t="inlineStr">
        <is>
          <t>1</t>
        </is>
      </c>
      <c r="J463" t="inlineStr">
        <is>
          <t>(주)삼도제약</t>
        </is>
      </c>
      <c r="K463" t="inlineStr"/>
      <c r="L463" t="inlineStr">
        <is>
          <t>전북특별자치도 전주시 덕진구 반촌로 25</t>
        </is>
      </c>
      <c r="M463" t="inlineStr">
        <is>
          <t>2층(진북동)</t>
        </is>
      </c>
      <c r="N463" t="inlineStr">
        <is>
          <t>전북특별자치도 전주시 덕진구 반촌로 25 2층(진북동)</t>
        </is>
      </c>
      <c r="O463" t="inlineStr">
        <is>
          <t>전북특별자치도</t>
        </is>
      </c>
      <c r="P463" t="inlineStr">
        <is>
          <t>전주시</t>
        </is>
      </c>
      <c r="Q463" t="inlineStr">
        <is>
          <t>N</t>
        </is>
      </c>
      <c r="R463" t="n">
        <v>0</v>
      </c>
    </row>
    <row r="464">
      <c r="A464" t="n">
        <v>463</v>
      </c>
      <c r="B464" t="inlineStr">
        <is>
          <t>(주)에어퍼스트</t>
        </is>
      </c>
      <c r="C464" t="inlineStr">
        <is>
          <t>에어퍼스트</t>
        </is>
      </c>
      <c r="D464" t="inlineStr">
        <is>
          <t>의약품</t>
        </is>
      </c>
      <c r="E464" t="inlineStr">
        <is>
          <t>65</t>
        </is>
      </c>
      <c r="F464" t="inlineStr">
        <is>
          <t>양한용</t>
        </is>
      </c>
      <c r="G464" t="inlineStr">
        <is>
          <t>2007-11-19</t>
        </is>
      </c>
      <c r="H464" t="inlineStr">
        <is>
          <t>20071119</t>
        </is>
      </c>
      <c r="I464" t="inlineStr">
        <is>
          <t>1</t>
        </is>
      </c>
      <c r="J464" t="inlineStr">
        <is>
          <t>포항</t>
        </is>
      </c>
      <c r="K464" t="inlineStr">
        <is>
          <t>(054)285-3401</t>
        </is>
      </c>
      <c r="L464" t="inlineStr">
        <is>
          <t>경상북도 포항시 남구 대송로101번길 35</t>
        </is>
      </c>
      <c r="M464" t="inlineStr"/>
      <c r="N464" t="inlineStr">
        <is>
          <t>경상북도 포항시 남구 대송로101번길 35</t>
        </is>
      </c>
      <c r="O464" t="inlineStr">
        <is>
          <t>경상북도</t>
        </is>
      </c>
      <c r="P464" t="inlineStr">
        <is>
          <t>포항시</t>
        </is>
      </c>
      <c r="Q464" t="inlineStr">
        <is>
          <t>N</t>
        </is>
      </c>
      <c r="R464" t="n">
        <v>0</v>
      </c>
    </row>
    <row r="465">
      <c r="A465" t="n">
        <v>464</v>
      </c>
      <c r="B465" t="inlineStr">
        <is>
          <t>주식회사 함소아제약</t>
        </is>
      </c>
      <c r="C465" t="inlineStr">
        <is>
          <t>함소아제약</t>
        </is>
      </c>
      <c r="D465" t="inlineStr">
        <is>
          <t>의약품</t>
        </is>
      </c>
      <c r="E465" t="inlineStr">
        <is>
          <t>62</t>
        </is>
      </c>
      <c r="F465" t="inlineStr">
        <is>
          <t>최재국</t>
        </is>
      </c>
      <c r="G465" t="inlineStr">
        <is>
          <t>2021-08-05</t>
        </is>
      </c>
      <c r="H465" t="inlineStr">
        <is>
          <t>20210805</t>
        </is>
      </c>
      <c r="I465" t="inlineStr">
        <is>
          <t>1</t>
        </is>
      </c>
      <c r="J465" t="inlineStr">
        <is>
          <t>진안공장</t>
        </is>
      </c>
      <c r="K465" t="inlineStr"/>
      <c r="L465" t="inlineStr">
        <is>
          <t>전북특별자치도 진안군 진안읍 홍삼한방로 42</t>
        </is>
      </c>
      <c r="M465" t="inlineStr">
        <is>
          <t>진안공장</t>
        </is>
      </c>
      <c r="N465" t="inlineStr">
        <is>
          <t>전북특별자치도 진안군 진안읍 홍삼한방로 42 진안공장</t>
        </is>
      </c>
      <c r="O465" t="inlineStr">
        <is>
          <t>전북특별자치도</t>
        </is>
      </c>
      <c r="P465" t="inlineStr">
        <is>
          <t>진안군</t>
        </is>
      </c>
      <c r="Q465" t="inlineStr">
        <is>
          <t>N</t>
        </is>
      </c>
      <c r="R465" t="n">
        <v>0</v>
      </c>
    </row>
    <row r="466">
      <c r="A466" t="n">
        <v>465</v>
      </c>
      <c r="B466" t="inlineStr">
        <is>
          <t>(주)나노팜</t>
        </is>
      </c>
      <c r="C466" t="inlineStr">
        <is>
          <t>나노팜</t>
        </is>
      </c>
      <c r="D466" t="inlineStr">
        <is>
          <t>의약품</t>
        </is>
      </c>
      <c r="E466" t="inlineStr">
        <is>
          <t>2284</t>
        </is>
      </c>
      <c r="F466" t="inlineStr">
        <is>
          <t>이승용</t>
        </is>
      </c>
      <c r="G466" t="inlineStr">
        <is>
          <t>2002-04-04</t>
        </is>
      </c>
      <c r="H466" t="inlineStr">
        <is>
          <t>20020404</t>
        </is>
      </c>
      <c r="I466" t="inlineStr">
        <is>
          <t>1</t>
        </is>
      </c>
      <c r="J466" t="inlineStr">
        <is>
          <t>(주)나노팜</t>
        </is>
      </c>
      <c r="K466" t="inlineStr">
        <is>
          <t>043-533-7780~4</t>
        </is>
      </c>
      <c r="L466" t="inlineStr">
        <is>
          <t>충청북도 진천군 진천읍 상신2길 70</t>
        </is>
      </c>
      <c r="M466" t="inlineStr"/>
      <c r="N466" t="inlineStr">
        <is>
          <t>충청북도 진천군 진천읍 상신2길 70</t>
        </is>
      </c>
      <c r="O466" t="inlineStr">
        <is>
          <t>충청북도</t>
        </is>
      </c>
      <c r="P466" t="inlineStr">
        <is>
          <t>진천군</t>
        </is>
      </c>
      <c r="Q466" t="inlineStr">
        <is>
          <t>N</t>
        </is>
      </c>
      <c r="R466" t="n">
        <v>0</v>
      </c>
    </row>
    <row r="467">
      <c r="A467" t="n">
        <v>466</v>
      </c>
      <c r="B467" t="inlineStr">
        <is>
          <t>주식회사뉴큐어엠</t>
        </is>
      </c>
      <c r="C467" t="inlineStr">
        <is>
          <t>뉴큐어엠</t>
        </is>
      </c>
      <c r="D467" t="inlineStr">
        <is>
          <t>의약품</t>
        </is>
      </c>
      <c r="E467" t="inlineStr">
        <is>
          <t>900</t>
        </is>
      </c>
      <c r="F467" t="inlineStr">
        <is>
          <t>기도연</t>
        </is>
      </c>
      <c r="G467" t="inlineStr">
        <is>
          <t>2007-02-05</t>
        </is>
      </c>
      <c r="H467" t="inlineStr">
        <is>
          <t>20070205</t>
        </is>
      </c>
      <c r="I467" t="inlineStr">
        <is>
          <t>1</t>
        </is>
      </c>
      <c r="J467" t="inlineStr">
        <is>
          <t>주식회사뉴큐어엠</t>
        </is>
      </c>
      <c r="K467" t="inlineStr">
        <is>
          <t>032-460-9032</t>
        </is>
      </c>
      <c r="L467" t="inlineStr">
        <is>
          <t>인천광역시 남동구 남동대로774번길 24</t>
        </is>
      </c>
      <c r="M467" t="inlineStr">
        <is>
          <t>뇌과학연구소 (구월동)</t>
        </is>
      </c>
      <c r="N467" t="inlineStr">
        <is>
          <t>인천광역시 남동구 남동대로774번길 24 뇌과학연구소 (구월동)</t>
        </is>
      </c>
      <c r="O467" t="inlineStr">
        <is>
          <t>인천광역시</t>
        </is>
      </c>
      <c r="P467" t="inlineStr">
        <is>
          <t>남동구</t>
        </is>
      </c>
      <c r="Q467" t="inlineStr">
        <is>
          <t>N</t>
        </is>
      </c>
      <c r="R467" t="n">
        <v>0</v>
      </c>
    </row>
    <row r="468">
      <c r="A468" t="n">
        <v>467</v>
      </c>
      <c r="B468" t="inlineStr">
        <is>
          <t>주식회사 노바엠헬스케어</t>
        </is>
      </c>
      <c r="C468" t="inlineStr">
        <is>
          <t>노바엠헬스케어</t>
        </is>
      </c>
      <c r="D468" t="inlineStr">
        <is>
          <t>의약품</t>
        </is>
      </c>
      <c r="E468" t="inlineStr">
        <is>
          <t>106</t>
        </is>
      </c>
      <c r="F468" t="inlineStr">
        <is>
          <t>권준범</t>
        </is>
      </c>
      <c r="G468" t="inlineStr">
        <is>
          <t>2020-11-20</t>
        </is>
      </c>
      <c r="H468" t="inlineStr">
        <is>
          <t>20201120</t>
        </is>
      </c>
      <c r="I468" t="inlineStr">
        <is>
          <t>1</t>
        </is>
      </c>
      <c r="J468" t="inlineStr">
        <is>
          <t>경산공장</t>
        </is>
      </c>
      <c r="K468" t="inlineStr">
        <is>
          <t>053-217-0033</t>
        </is>
      </c>
      <c r="L468" t="inlineStr">
        <is>
          <t>경상북도 경산시 하양읍 지식산업4로 16-53</t>
        </is>
      </c>
      <c r="M468" t="inlineStr"/>
      <c r="N468" t="inlineStr">
        <is>
          <t>경상북도 경산시 하양읍 지식산업4로 16-53</t>
        </is>
      </c>
      <c r="O468" t="inlineStr">
        <is>
          <t>경상북도</t>
        </is>
      </c>
      <c r="P468" t="inlineStr">
        <is>
          <t>경산시</t>
        </is>
      </c>
      <c r="Q468" t="inlineStr">
        <is>
          <t>N</t>
        </is>
      </c>
      <c r="R468" t="n">
        <v>0</v>
      </c>
    </row>
    <row r="469">
      <c r="A469" t="n">
        <v>468</v>
      </c>
      <c r="B469" t="inlineStr">
        <is>
          <t>씨케이(주)</t>
        </is>
      </c>
      <c r="C469" t="inlineStr">
        <is>
          <t>씨케이</t>
        </is>
      </c>
      <c r="D469" t="inlineStr">
        <is>
          <t>의약품</t>
        </is>
      </c>
      <c r="E469" t="inlineStr">
        <is>
          <t>2586</t>
        </is>
      </c>
      <c r="F469" t="inlineStr">
        <is>
          <t>윤복희</t>
        </is>
      </c>
      <c r="G469" t="inlineStr">
        <is>
          <t>2006-11-29</t>
        </is>
      </c>
      <c r="H469" t="inlineStr">
        <is>
          <t>20061129</t>
        </is>
      </c>
      <c r="I469" t="inlineStr">
        <is>
          <t>2</t>
        </is>
      </c>
      <c r="J469" t="inlineStr">
        <is>
          <t>2공장</t>
        </is>
      </c>
      <c r="K469" t="inlineStr">
        <is>
          <t>043-544-8511</t>
        </is>
      </c>
      <c r="L469" t="inlineStr">
        <is>
          <t>충청북도 보은군 보은읍 매화구인로 331-10</t>
        </is>
      </c>
      <c r="M469" t="inlineStr"/>
      <c r="N469" t="inlineStr">
        <is>
          <t>충청북도 보은군 보은읍 매화구인로 331-10</t>
        </is>
      </c>
      <c r="O469" t="inlineStr">
        <is>
          <t>충청북도</t>
        </is>
      </c>
      <c r="P469" t="inlineStr">
        <is>
          <t>보은군</t>
        </is>
      </c>
      <c r="Q469" t="inlineStr">
        <is>
          <t>Y</t>
        </is>
      </c>
      <c r="R469" t="n">
        <v>32</v>
      </c>
    </row>
    <row r="470">
      <c r="A470" t="n">
        <v>469</v>
      </c>
      <c r="B470" t="inlineStr">
        <is>
          <t>(주)동양허브</t>
        </is>
      </c>
      <c r="C470" t="inlineStr">
        <is>
          <t>동양허브</t>
        </is>
      </c>
      <c r="D470" t="inlineStr">
        <is>
          <t>의약품</t>
        </is>
      </c>
      <c r="E470" t="inlineStr">
        <is>
          <t>2563</t>
        </is>
      </c>
      <c r="F470" t="inlineStr">
        <is>
          <t>최원철</t>
        </is>
      </c>
      <c r="G470" t="inlineStr">
        <is>
          <t>2006-05-26</t>
        </is>
      </c>
      <c r="H470" t="inlineStr">
        <is>
          <t>20060526</t>
        </is>
      </c>
      <c r="I470" t="inlineStr">
        <is>
          <t>1</t>
        </is>
      </c>
      <c r="J470" t="inlineStr">
        <is>
          <t>(주)동양허브</t>
        </is>
      </c>
      <c r="K470" t="inlineStr">
        <is>
          <t>02-427-8255</t>
        </is>
      </c>
      <c r="L470" t="inlineStr">
        <is>
          <t>서울특별시 동대문구 왕산로23길 35</t>
        </is>
      </c>
      <c r="M470" t="inlineStr">
        <is>
          <t>지하1층 ~ 3층</t>
        </is>
      </c>
      <c r="N470" t="inlineStr">
        <is>
          <t>서울특별시 동대문구 왕산로23길 35 지하1층 ~ 3층</t>
        </is>
      </c>
      <c r="O470" t="inlineStr">
        <is>
          <t>서울특별시</t>
        </is>
      </c>
      <c r="P470" t="inlineStr">
        <is>
          <t>동대문구</t>
        </is>
      </c>
      <c r="Q470" t="inlineStr">
        <is>
          <t>N</t>
        </is>
      </c>
      <c r="R470" t="n">
        <v>0</v>
      </c>
    </row>
    <row r="471">
      <c r="A471" t="n">
        <v>470</v>
      </c>
      <c r="B471" t="inlineStr">
        <is>
          <t>(주)삼양바이오팜</t>
        </is>
      </c>
      <c r="C471" t="inlineStr">
        <is>
          <t>삼양바이오팜</t>
        </is>
      </c>
      <c r="D471" t="inlineStr">
        <is>
          <t>의약품</t>
        </is>
      </c>
      <c r="E471" t="inlineStr">
        <is>
          <t>1888</t>
        </is>
      </c>
      <c r="F471" t="inlineStr">
        <is>
          <t>김경진</t>
        </is>
      </c>
      <c r="G471" t="inlineStr">
        <is>
          <t>1995-10-05</t>
        </is>
      </c>
      <c r="H471" t="inlineStr">
        <is>
          <t>19951005</t>
        </is>
      </c>
      <c r="I471" t="inlineStr">
        <is>
          <t>1</t>
        </is>
      </c>
      <c r="J471" t="inlineStr">
        <is>
          <t>문평</t>
        </is>
      </c>
      <c r="K471" t="inlineStr">
        <is>
          <t>042-930-3127</t>
        </is>
      </c>
      <c r="L471" t="inlineStr">
        <is>
          <t>대전광역시 대덕구 문평서로18번길 55</t>
        </is>
      </c>
      <c r="M471" t="inlineStr"/>
      <c r="N471" t="inlineStr">
        <is>
          <t>대전광역시 대덕구 문평서로18번길 55</t>
        </is>
      </c>
      <c r="O471" t="inlineStr">
        <is>
          <t>대전광역시</t>
        </is>
      </c>
      <c r="P471" t="inlineStr">
        <is>
          <t>대덕구</t>
        </is>
      </c>
      <c r="Q471" t="inlineStr">
        <is>
          <t>N</t>
        </is>
      </c>
      <c r="R471" t="n">
        <v>0</v>
      </c>
    </row>
    <row r="472">
      <c r="A472" t="n">
        <v>471</v>
      </c>
      <c r="B472" t="inlineStr">
        <is>
          <t>신양화학약품(주)</t>
        </is>
      </c>
      <c r="C472" t="inlineStr">
        <is>
          <t>신양화학약품</t>
        </is>
      </c>
      <c r="D472" t="inlineStr">
        <is>
          <t>의약품</t>
        </is>
      </c>
      <c r="E472" t="inlineStr">
        <is>
          <t>1856</t>
        </is>
      </c>
      <c r="F472" t="inlineStr">
        <is>
          <t>안상욱</t>
        </is>
      </c>
      <c r="G472" t="inlineStr">
        <is>
          <t>1994-12-22</t>
        </is>
      </c>
      <c r="H472" t="inlineStr">
        <is>
          <t>19941222</t>
        </is>
      </c>
      <c r="I472" t="inlineStr">
        <is>
          <t>1</t>
        </is>
      </c>
      <c r="J472" t="inlineStr">
        <is>
          <t>시흥</t>
        </is>
      </c>
      <c r="K472" t="inlineStr">
        <is>
          <t>031-499-6521</t>
        </is>
      </c>
      <c r="L472" t="inlineStr">
        <is>
          <t>경기도 시흥시 옥구천서로81번길 31</t>
        </is>
      </c>
      <c r="M472" t="inlineStr">
        <is>
          <t>시화국가공업단지1마602호 (정왕동)</t>
        </is>
      </c>
      <c r="N472" t="inlineStr">
        <is>
          <t>경기도 시흥시 옥구천서로81번길 31 시화국가공업단지1마602호 (정왕동)</t>
        </is>
      </c>
      <c r="O472" t="inlineStr">
        <is>
          <t>경기도</t>
        </is>
      </c>
      <c r="P472" t="inlineStr">
        <is>
          <t>시흥시</t>
        </is>
      </c>
      <c r="Q472" t="inlineStr">
        <is>
          <t>N</t>
        </is>
      </c>
      <c r="R472" t="n">
        <v>0</v>
      </c>
    </row>
    <row r="473">
      <c r="A473" t="n">
        <v>472</v>
      </c>
      <c r="B473" t="inlineStr">
        <is>
          <t>주식회사 청도제약</t>
        </is>
      </c>
      <c r="C473" t="inlineStr">
        <is>
          <t>청도제약</t>
        </is>
      </c>
      <c r="D473" t="inlineStr">
        <is>
          <t>의약품</t>
        </is>
      </c>
      <c r="E473" t="inlineStr">
        <is>
          <t>1772</t>
        </is>
      </c>
      <c r="F473" t="inlineStr">
        <is>
          <t>김성진</t>
        </is>
      </c>
      <c r="G473" t="inlineStr">
        <is>
          <t>1992-10-26</t>
        </is>
      </c>
      <c r="H473" t="inlineStr">
        <is>
          <t>19921026</t>
        </is>
      </c>
      <c r="I473" t="inlineStr">
        <is>
          <t>1</t>
        </is>
      </c>
      <c r="J473" t="inlineStr">
        <is>
          <t>춘천</t>
        </is>
      </c>
      <c r="K473" t="inlineStr">
        <is>
          <t>033-258-6114</t>
        </is>
      </c>
      <c r="L473" t="inlineStr">
        <is>
          <t>강원특별자치도 춘천시 소양강로 32</t>
        </is>
      </c>
      <c r="M473" t="inlineStr">
        <is>
          <t>하이테크벤처타운 202(후평동)</t>
        </is>
      </c>
      <c r="N473" t="inlineStr">
        <is>
          <t>강원특별자치도 춘천시 소양강로 32 하이테크벤처타운 202(후평동)</t>
        </is>
      </c>
      <c r="O473" t="inlineStr">
        <is>
          <t>강원특별자치도</t>
        </is>
      </c>
      <c r="P473" t="inlineStr">
        <is>
          <t>춘천시</t>
        </is>
      </c>
      <c r="Q473" t="inlineStr">
        <is>
          <t>N</t>
        </is>
      </c>
      <c r="R473" t="n">
        <v>0</v>
      </c>
    </row>
    <row r="474">
      <c r="A474" t="n">
        <v>473</v>
      </c>
      <c r="B474" t="inlineStr">
        <is>
          <t>대명제약(주)</t>
        </is>
      </c>
      <c r="C474" t="inlineStr">
        <is>
          <t>대명제약</t>
        </is>
      </c>
      <c r="D474" t="inlineStr">
        <is>
          <t>의약품</t>
        </is>
      </c>
      <c r="E474" t="inlineStr">
        <is>
          <t>2546</t>
        </is>
      </c>
      <c r="F474" t="inlineStr">
        <is>
          <t>박흥민</t>
        </is>
      </c>
      <c r="G474" t="inlineStr">
        <is>
          <t>2006-02-02</t>
        </is>
      </c>
      <c r="H474" t="inlineStr">
        <is>
          <t>20060202</t>
        </is>
      </c>
      <c r="I474" t="inlineStr">
        <is>
          <t>1</t>
        </is>
      </c>
      <c r="J474" t="inlineStr">
        <is>
          <t>제1공장</t>
        </is>
      </c>
      <c r="K474" t="inlineStr"/>
      <c r="L474" t="inlineStr">
        <is>
          <t>서울특별시 동대문구 약령중앙로8길 5</t>
        </is>
      </c>
      <c r="M474" t="inlineStr"/>
      <c r="N474" t="inlineStr">
        <is>
          <t>서울특별시 동대문구 약령중앙로8길 5</t>
        </is>
      </c>
      <c r="O474" t="inlineStr">
        <is>
          <t>서울특별시</t>
        </is>
      </c>
      <c r="P474" t="inlineStr">
        <is>
          <t>동대문구</t>
        </is>
      </c>
      <c r="Q474" t="inlineStr">
        <is>
          <t>N</t>
        </is>
      </c>
      <c r="R474" t="n">
        <v>0</v>
      </c>
    </row>
    <row r="475">
      <c r="A475" t="n">
        <v>474</v>
      </c>
      <c r="B475" t="inlineStr">
        <is>
          <t>에스케이피아이씨글로벌 주식회사</t>
        </is>
      </c>
      <c r="C475" t="inlineStr">
        <is>
          <t>에스케이피아이씨글로벌</t>
        </is>
      </c>
      <c r="D475" t="inlineStr">
        <is>
          <t>의약품</t>
        </is>
      </c>
      <c r="E475" t="inlineStr">
        <is>
          <t>1734</t>
        </is>
      </c>
      <c r="F475" t="inlineStr">
        <is>
          <t>장지협</t>
        </is>
      </c>
      <c r="G475" t="inlineStr">
        <is>
          <t>1991-01-12</t>
        </is>
      </c>
      <c r="H475" t="inlineStr">
        <is>
          <t>19910112</t>
        </is>
      </c>
      <c r="I475" t="inlineStr">
        <is>
          <t>1</t>
        </is>
      </c>
      <c r="J475" t="inlineStr">
        <is>
          <t>에스케이피아이씨글로벌 주식회사</t>
        </is>
      </c>
      <c r="K475" t="inlineStr">
        <is>
          <t>052-278-5151</t>
        </is>
      </c>
      <c r="L475" t="inlineStr">
        <is>
          <t>울산광역시 남구 용잠로 255</t>
        </is>
      </c>
      <c r="M475" t="inlineStr"/>
      <c r="N475" t="inlineStr">
        <is>
          <t>울산광역시 남구 용잠로 255</t>
        </is>
      </c>
      <c r="O475" t="inlineStr">
        <is>
          <t>울산광역시</t>
        </is>
      </c>
      <c r="P475" t="inlineStr">
        <is>
          <t>남구</t>
        </is>
      </c>
      <c r="Q475" t="inlineStr">
        <is>
          <t>N</t>
        </is>
      </c>
      <c r="R475" t="n">
        <v>0</v>
      </c>
    </row>
    <row r="476">
      <c r="A476" t="n">
        <v>475</v>
      </c>
      <c r="B476" t="inlineStr">
        <is>
          <t>대한적십자사울산혈액원</t>
        </is>
      </c>
      <c r="C476" t="inlineStr">
        <is>
          <t>대한적십자사울산혈액원</t>
        </is>
      </c>
      <c r="D476" t="inlineStr">
        <is>
          <t>의약품</t>
        </is>
      </c>
      <c r="E476" t="inlineStr">
        <is>
          <t>2540</t>
        </is>
      </c>
      <c r="F476" t="inlineStr">
        <is>
          <t>최인규</t>
        </is>
      </c>
      <c r="G476" t="inlineStr">
        <is>
          <t>2006-01-27</t>
        </is>
      </c>
      <c r="H476" t="inlineStr">
        <is>
          <t>20060127</t>
        </is>
      </c>
      <c r="I476" t="inlineStr">
        <is>
          <t>1</t>
        </is>
      </c>
      <c r="J476" t="inlineStr">
        <is>
          <t>제1공장</t>
        </is>
      </c>
      <c r="K476" t="inlineStr">
        <is>
          <t>052-245-2982</t>
        </is>
      </c>
      <c r="L476" t="inlineStr">
        <is>
          <t>울산광역시 중구 함월10길 25</t>
        </is>
      </c>
      <c r="M476" t="inlineStr"/>
      <c r="N476" t="inlineStr">
        <is>
          <t>울산광역시 중구 함월10길 25</t>
        </is>
      </c>
      <c r="O476" t="inlineStr">
        <is>
          <t>울산광역시</t>
        </is>
      </c>
      <c r="P476" t="inlineStr">
        <is>
          <t>중구</t>
        </is>
      </c>
      <c r="Q476" t="inlineStr">
        <is>
          <t>N</t>
        </is>
      </c>
      <c r="R476" t="n">
        <v>0</v>
      </c>
    </row>
    <row r="477">
      <c r="A477" t="n">
        <v>476</v>
      </c>
      <c r="B477" t="inlineStr">
        <is>
          <t>(주)녹십자웰빙</t>
        </is>
      </c>
      <c r="C477" t="inlineStr">
        <is>
          <t>녹십자웰빙</t>
        </is>
      </c>
      <c r="D477" t="inlineStr">
        <is>
          <t>의약품</t>
        </is>
      </c>
      <c r="E477" t="inlineStr">
        <is>
          <t>2451</t>
        </is>
      </c>
      <c r="F477" t="inlineStr">
        <is>
          <t>김상현</t>
        </is>
      </c>
      <c r="G477" t="inlineStr">
        <is>
          <t>2004-11-16</t>
        </is>
      </c>
      <c r="H477" t="inlineStr">
        <is>
          <t>20041116</t>
        </is>
      </c>
      <c r="I477" t="inlineStr">
        <is>
          <t>2</t>
        </is>
      </c>
      <c r="J477" t="inlineStr">
        <is>
          <t>제2공장 음성혁신공장</t>
        </is>
      </c>
      <c r="K477" t="inlineStr">
        <is>
          <t>070-4470-2319</t>
        </is>
      </c>
      <c r="L477" t="inlineStr">
        <is>
          <t>충청북도 음성군 맹동면 두레로 173</t>
        </is>
      </c>
      <c r="M477" t="inlineStr"/>
      <c r="N477" t="inlineStr">
        <is>
          <t>충청북도 음성군 맹동면 두레로 173</t>
        </is>
      </c>
      <c r="O477" t="inlineStr">
        <is>
          <t>충청북도</t>
        </is>
      </c>
      <c r="P477" t="inlineStr">
        <is>
          <t>음성군</t>
        </is>
      </c>
      <c r="Q477" t="inlineStr">
        <is>
          <t>N</t>
        </is>
      </c>
      <c r="R477" t="n">
        <v>0</v>
      </c>
    </row>
    <row r="478">
      <c r="A478" t="n">
        <v>477</v>
      </c>
      <c r="B478" t="inlineStr">
        <is>
          <t>(주)이든파마</t>
        </is>
      </c>
      <c r="C478" t="inlineStr">
        <is>
          <t>이든파마</t>
        </is>
      </c>
      <c r="D478" t="inlineStr">
        <is>
          <t>의약품</t>
        </is>
      </c>
      <c r="E478" t="inlineStr">
        <is>
          <t>2621</t>
        </is>
      </c>
      <c r="F478" t="inlineStr">
        <is>
          <t>김용환</t>
        </is>
      </c>
      <c r="G478" t="inlineStr">
        <is>
          <t>2014-07-23</t>
        </is>
      </c>
      <c r="H478" t="inlineStr">
        <is>
          <t>20140723</t>
        </is>
      </c>
      <c r="I478" t="inlineStr">
        <is>
          <t>1</t>
        </is>
      </c>
      <c r="J478" t="inlineStr">
        <is>
          <t>진천공장</t>
        </is>
      </c>
      <c r="K478" t="inlineStr">
        <is>
          <t>043-534-9100</t>
        </is>
      </c>
      <c r="L478" t="inlineStr">
        <is>
          <t>충청북도 진천군 문백면 농다리로 1149</t>
        </is>
      </c>
      <c r="M478" t="inlineStr"/>
      <c r="N478" t="inlineStr">
        <is>
          <t>충청북도 진천군 문백면 농다리로 1149</t>
        </is>
      </c>
      <c r="O478" t="inlineStr">
        <is>
          <t>충청북도</t>
        </is>
      </c>
      <c r="P478" t="inlineStr">
        <is>
          <t>진천군</t>
        </is>
      </c>
      <c r="Q478" t="inlineStr">
        <is>
          <t>N</t>
        </is>
      </c>
      <c r="R478" t="n">
        <v>0</v>
      </c>
    </row>
    <row r="479">
      <c r="A479" t="n">
        <v>478</v>
      </c>
      <c r="B479" t="inlineStr">
        <is>
          <t>대한적십자사부산혈액원</t>
        </is>
      </c>
      <c r="C479" t="inlineStr">
        <is>
          <t>대한적십자사부산혈액원</t>
        </is>
      </c>
      <c r="D479" t="inlineStr">
        <is>
          <t>의약품</t>
        </is>
      </c>
      <c r="E479" t="inlineStr">
        <is>
          <t>2533</t>
        </is>
      </c>
      <c r="F479" t="inlineStr">
        <is>
          <t>이기훈</t>
        </is>
      </c>
      <c r="G479" t="inlineStr">
        <is>
          <t>2006-01-27</t>
        </is>
      </c>
      <c r="H479" t="inlineStr">
        <is>
          <t>20060127</t>
        </is>
      </c>
      <c r="I479" t="inlineStr">
        <is>
          <t>1</t>
        </is>
      </c>
      <c r="J479" t="inlineStr">
        <is>
          <t>대한적십자사부산혈액원</t>
        </is>
      </c>
      <c r="K479" t="inlineStr">
        <is>
          <t>051-810-9042</t>
        </is>
      </c>
      <c r="L479" t="inlineStr">
        <is>
          <t>부산광역시 부산진구 전포대로 168</t>
        </is>
      </c>
      <c r="M479" t="inlineStr"/>
      <c r="N479" t="inlineStr">
        <is>
          <t>부산광역시 부산진구 전포대로 168</t>
        </is>
      </c>
      <c r="O479" t="inlineStr">
        <is>
          <t>부산광역시</t>
        </is>
      </c>
      <c r="P479" t="inlineStr">
        <is>
          <t>부산진구</t>
        </is>
      </c>
      <c r="Q479" t="inlineStr">
        <is>
          <t>N</t>
        </is>
      </c>
      <c r="R479" t="n">
        <v>0</v>
      </c>
    </row>
    <row r="480">
      <c r="A480" t="n">
        <v>479</v>
      </c>
      <c r="B480" t="inlineStr">
        <is>
          <t>(주)녹십자엠에스</t>
        </is>
      </c>
      <c r="C480" t="inlineStr">
        <is>
          <t>녹십자엠에스</t>
        </is>
      </c>
      <c r="D480" t="inlineStr">
        <is>
          <t>의약품</t>
        </is>
      </c>
      <c r="E480" t="inlineStr">
        <is>
          <t>2453</t>
        </is>
      </c>
      <c r="F480" t="inlineStr">
        <is>
          <t>김연근</t>
        </is>
      </c>
      <c r="G480" t="inlineStr">
        <is>
          <t>2004-11-18</t>
        </is>
      </c>
      <c r="H480" t="inlineStr">
        <is>
          <t>20041118</t>
        </is>
      </c>
      <c r="I480" t="inlineStr">
        <is>
          <t>3</t>
        </is>
      </c>
      <c r="J480" t="inlineStr">
        <is>
          <t>용인</t>
        </is>
      </c>
      <c r="K480" t="inlineStr"/>
      <c r="L480" t="inlineStr">
        <is>
          <t>경기도 용인시 처인구 포곡읍 전대로16번길 16-13</t>
        </is>
      </c>
      <c r="M480" t="inlineStr">
        <is>
          <t>(인공신장관류용제 제조에 한함)</t>
        </is>
      </c>
      <c r="N480" t="inlineStr">
        <is>
          <t>경기도 용인시 처인구 포곡읍 전대로16번길 16-13 (인공신장관류용제 제조에 한함)</t>
        </is>
      </c>
      <c r="O480" t="inlineStr">
        <is>
          <t>경기도</t>
        </is>
      </c>
      <c r="P480" t="inlineStr">
        <is>
          <t>용인시</t>
        </is>
      </c>
      <c r="Q480" t="inlineStr">
        <is>
          <t>N</t>
        </is>
      </c>
      <c r="R480" t="n">
        <v>0</v>
      </c>
    </row>
    <row r="481">
      <c r="A481" t="n">
        <v>480</v>
      </c>
      <c r="B481" t="inlineStr">
        <is>
          <t>신진가스텍(주)</t>
        </is>
      </c>
      <c r="C481" t="inlineStr">
        <is>
          <t>신진가스텍</t>
        </is>
      </c>
      <c r="D481" t="inlineStr">
        <is>
          <t>의약품</t>
        </is>
      </c>
      <c r="E481" t="inlineStr">
        <is>
          <t>75</t>
        </is>
      </c>
      <c r="F481" t="inlineStr">
        <is>
          <t>김성우</t>
        </is>
      </c>
      <c r="G481" t="inlineStr">
        <is>
          <t>2013-08-16</t>
        </is>
      </c>
      <c r="H481" t="inlineStr">
        <is>
          <t>20130816</t>
        </is>
      </c>
      <c r="I481" t="inlineStr">
        <is>
          <t>1</t>
        </is>
      </c>
      <c r="J481" t="inlineStr">
        <is>
          <t>[구미]</t>
        </is>
      </c>
      <c r="K481" t="inlineStr">
        <is>
          <t>(054)463-8600</t>
        </is>
      </c>
      <c r="L481" t="inlineStr">
        <is>
          <t>경상북도 구미시 장천면 송신로 473</t>
        </is>
      </c>
      <c r="M481" t="inlineStr"/>
      <c r="N481" t="inlineStr">
        <is>
          <t>경상북도 구미시 장천면 송신로 473</t>
        </is>
      </c>
      <c r="O481" t="inlineStr">
        <is>
          <t>경상북도</t>
        </is>
      </c>
      <c r="P481" t="inlineStr">
        <is>
          <t>구미시</t>
        </is>
      </c>
      <c r="Q481" t="inlineStr">
        <is>
          <t>N</t>
        </is>
      </c>
      <c r="R481" t="n">
        <v>0</v>
      </c>
    </row>
    <row r="482">
      <c r="A482" t="n">
        <v>481</v>
      </c>
      <c r="B482" t="inlineStr">
        <is>
          <t>(주)현진제약</t>
        </is>
      </c>
      <c r="C482" t="inlineStr">
        <is>
          <t>현진제약</t>
        </is>
      </c>
      <c r="D482" t="inlineStr">
        <is>
          <t>의약품</t>
        </is>
      </c>
      <c r="E482" t="inlineStr">
        <is>
          <t>2470</t>
        </is>
      </c>
      <c r="F482" t="inlineStr">
        <is>
          <t>김인철</t>
        </is>
      </c>
      <c r="G482" t="inlineStr">
        <is>
          <t>2005-03-29</t>
        </is>
      </c>
      <c r="H482" t="inlineStr">
        <is>
          <t>20050329</t>
        </is>
      </c>
      <c r="I482" t="inlineStr">
        <is>
          <t>1</t>
        </is>
      </c>
      <c r="J482" t="inlineStr">
        <is>
          <t>동대문구</t>
        </is>
      </c>
      <c r="K482" t="inlineStr">
        <is>
          <t>02-967-1277</t>
        </is>
      </c>
      <c r="L482" t="inlineStr">
        <is>
          <t>서울특별시 동대문구 약령중앙로 62</t>
        </is>
      </c>
      <c r="M482" t="inlineStr">
        <is>
          <t>.</t>
        </is>
      </c>
      <c r="N482" t="inlineStr">
        <is>
          <t>서울특별시 동대문구 약령중앙로 62 .</t>
        </is>
      </c>
      <c r="O482" t="inlineStr">
        <is>
          <t>서울특별시</t>
        </is>
      </c>
      <c r="P482" t="inlineStr">
        <is>
          <t>동대문구</t>
        </is>
      </c>
      <c r="Q482" t="inlineStr">
        <is>
          <t>N</t>
        </is>
      </c>
      <c r="R482" t="n">
        <v>0</v>
      </c>
    </row>
    <row r="483">
      <c r="A483" t="n">
        <v>482</v>
      </c>
      <c r="B483" t="inlineStr">
        <is>
          <t>주식회사에프알디</t>
        </is>
      </c>
      <c r="C483" t="inlineStr">
        <is>
          <t>에프알디</t>
        </is>
      </c>
      <c r="D483" t="inlineStr">
        <is>
          <t>의약품</t>
        </is>
      </c>
      <c r="E483" t="inlineStr">
        <is>
          <t>2692</t>
        </is>
      </c>
      <c r="F483" t="inlineStr">
        <is>
          <t>박규홍</t>
        </is>
      </c>
      <c r="G483" t="inlineStr">
        <is>
          <t>2020-02-04</t>
        </is>
      </c>
      <c r="H483" t="inlineStr">
        <is>
          <t>20200204</t>
        </is>
      </c>
      <c r="I483" t="inlineStr">
        <is>
          <t>1</t>
        </is>
      </c>
      <c r="J483" t="inlineStr">
        <is>
          <t>1공장</t>
        </is>
      </c>
      <c r="K483" t="inlineStr">
        <is>
          <t>043-536-0397</t>
        </is>
      </c>
      <c r="L483" t="inlineStr">
        <is>
          <t>충청북도 진천군 이월면 장수로 343-1</t>
        </is>
      </c>
      <c r="M483" t="inlineStr"/>
      <c r="N483" t="inlineStr">
        <is>
          <t>충청북도 진천군 이월면 장수로 343-1</t>
        </is>
      </c>
      <c r="O483" t="inlineStr">
        <is>
          <t>충청북도</t>
        </is>
      </c>
      <c r="P483" t="inlineStr">
        <is>
          <t>진천군</t>
        </is>
      </c>
      <c r="Q483" t="inlineStr">
        <is>
          <t>N</t>
        </is>
      </c>
      <c r="R483" t="n">
        <v>0</v>
      </c>
    </row>
    <row r="484">
      <c r="A484" t="n">
        <v>483</v>
      </c>
      <c r="B484" t="inlineStr">
        <is>
          <t>(주)듀켐바이오</t>
        </is>
      </c>
      <c r="C484" t="inlineStr">
        <is>
          <t>듀켐바이오</t>
        </is>
      </c>
      <c r="D484" t="inlineStr">
        <is>
          <t>의약품</t>
        </is>
      </c>
      <c r="E484" t="inlineStr">
        <is>
          <t>2437</t>
        </is>
      </c>
      <c r="F484" t="inlineStr">
        <is>
          <t>김상우</t>
        </is>
      </c>
      <c r="G484" t="inlineStr">
        <is>
          <t>2004-07-22</t>
        </is>
      </c>
      <c r="H484" t="inlineStr">
        <is>
          <t>20040722</t>
        </is>
      </c>
      <c r="I484" t="inlineStr">
        <is>
          <t>8</t>
        </is>
      </c>
      <c r="J484" t="inlineStr">
        <is>
          <t>8공장(수원)</t>
        </is>
      </c>
      <c r="K484" t="inlineStr"/>
      <c r="L484" t="inlineStr">
        <is>
          <t>경기도 수원시 영통구 월드컵로 164</t>
        </is>
      </c>
      <c r="M484" t="inlineStr">
        <is>
          <t>아주대학교병원 지하 2층 일부 싸이클로트론센터</t>
        </is>
      </c>
      <c r="N484" t="inlineStr">
        <is>
          <t>경기도 수원시 영통구 월드컵로 164 아주대학교병원 지하 2층 일부 싸이클로트론센터</t>
        </is>
      </c>
      <c r="O484" t="inlineStr">
        <is>
          <t>경기도</t>
        </is>
      </c>
      <c r="P484" t="inlineStr">
        <is>
          <t>수원시</t>
        </is>
      </c>
      <c r="Q484" t="inlineStr">
        <is>
          <t>N</t>
        </is>
      </c>
      <c r="R484" t="n">
        <v>0</v>
      </c>
    </row>
    <row r="485">
      <c r="A485" t="n">
        <v>484</v>
      </c>
      <c r="B485" t="inlineStr">
        <is>
          <t>타나베파마코리아주식회사</t>
        </is>
      </c>
      <c r="C485" t="inlineStr">
        <is>
          <t>타나베파마코리아</t>
        </is>
      </c>
      <c r="D485" t="inlineStr">
        <is>
          <t>의약품</t>
        </is>
      </c>
      <c r="E485" t="inlineStr">
        <is>
          <t>1453</t>
        </is>
      </c>
      <c r="F485" t="inlineStr">
        <is>
          <t>이원규</t>
        </is>
      </c>
      <c r="G485" t="inlineStr">
        <is>
          <t>1964-12-09</t>
        </is>
      </c>
      <c r="H485" t="inlineStr">
        <is>
          <t>19641209</t>
        </is>
      </c>
      <c r="I485" t="inlineStr">
        <is>
          <t>1</t>
        </is>
      </c>
      <c r="J485" t="inlineStr">
        <is>
          <t>화성</t>
        </is>
      </c>
      <c r="K485" t="inlineStr">
        <is>
          <t>02-3475-104</t>
        </is>
      </c>
      <c r="L485" t="inlineStr">
        <is>
          <t>경기도 화성시 만세구 향남읍 제약공단2길 80</t>
        </is>
      </c>
      <c r="M485" t="inlineStr"/>
      <c r="N485" t="inlineStr">
        <is>
          <t>경기도 화성시 만세구 향남읍 제약공단2길 80</t>
        </is>
      </c>
      <c r="O485" t="inlineStr">
        <is>
          <t>경기도</t>
        </is>
      </c>
      <c r="P485" t="inlineStr">
        <is>
          <t>화성시</t>
        </is>
      </c>
      <c r="Q485" t="inlineStr">
        <is>
          <t>N</t>
        </is>
      </c>
      <c r="R485" t="n">
        <v>0</v>
      </c>
    </row>
    <row r="486">
      <c r="A486" t="n">
        <v>485</v>
      </c>
      <c r="B486" t="inlineStr">
        <is>
          <t>동아제약(주)</t>
        </is>
      </c>
      <c r="C486" t="inlineStr">
        <is>
          <t>동아제약</t>
        </is>
      </c>
      <c r="D486" t="inlineStr">
        <is>
          <t>의약품</t>
        </is>
      </c>
      <c r="E486" t="inlineStr">
        <is>
          <t>2606</t>
        </is>
      </c>
      <c r="F486" t="inlineStr">
        <is>
          <t>백상환</t>
        </is>
      </c>
      <c r="G486" t="inlineStr">
        <is>
          <t>2013-04-18</t>
        </is>
      </c>
      <c r="H486" t="inlineStr">
        <is>
          <t>20130418</t>
        </is>
      </c>
      <c r="I486" t="inlineStr">
        <is>
          <t>2</t>
        </is>
      </c>
      <c r="J486" t="inlineStr">
        <is>
          <t>천안</t>
        </is>
      </c>
      <c r="K486" t="inlineStr">
        <is>
          <t>02-920-8822</t>
        </is>
      </c>
      <c r="L486" t="inlineStr">
        <is>
          <t>충청남도 천안시 서북구 백석공단1로 200-23</t>
        </is>
      </c>
      <c r="M486" t="inlineStr">
        <is>
          <t>(1, 2A, 4A층)</t>
        </is>
      </c>
      <c r="N486" t="inlineStr">
        <is>
          <t>충청남도 천안시 서북구 백석공단1로 200-23 (1, 2A, 4A층)</t>
        </is>
      </c>
      <c r="O486" t="inlineStr">
        <is>
          <t>충청남도</t>
        </is>
      </c>
      <c r="P486" t="inlineStr">
        <is>
          <t>천안시</t>
        </is>
      </c>
      <c r="Q486" t="inlineStr">
        <is>
          <t>N</t>
        </is>
      </c>
      <c r="R486" t="n">
        <v>0</v>
      </c>
    </row>
    <row r="487">
      <c r="A487" t="n">
        <v>486</v>
      </c>
      <c r="B487" t="inlineStr">
        <is>
          <t>서진산업가스(주)</t>
        </is>
      </c>
      <c r="C487" t="inlineStr">
        <is>
          <t>서진산업가스</t>
        </is>
      </c>
      <c r="D487" t="inlineStr">
        <is>
          <t>의약품</t>
        </is>
      </c>
      <c r="E487" t="inlineStr">
        <is>
          <t>2432</t>
        </is>
      </c>
      <c r="F487" t="inlineStr">
        <is>
          <t>윤형순</t>
        </is>
      </c>
      <c r="G487" t="inlineStr">
        <is>
          <t>2004-06-16</t>
        </is>
      </c>
      <c r="H487" t="inlineStr">
        <is>
          <t>20040616</t>
        </is>
      </c>
      <c r="I487" t="inlineStr">
        <is>
          <t>1</t>
        </is>
      </c>
      <c r="J487" t="inlineStr">
        <is>
          <t>1공장</t>
        </is>
      </c>
      <c r="K487" t="inlineStr">
        <is>
          <t>041-353-3400</t>
        </is>
      </c>
      <c r="L487" t="inlineStr">
        <is>
          <t>충청남도 당진시 송산면 무수들길 334</t>
        </is>
      </c>
      <c r="M487" t="inlineStr"/>
      <c r="N487" t="inlineStr">
        <is>
          <t>충청남도 당진시 송산면 무수들길 334</t>
        </is>
      </c>
      <c r="O487" t="inlineStr">
        <is>
          <t>충청남도</t>
        </is>
      </c>
      <c r="P487" t="inlineStr">
        <is>
          <t>당진시</t>
        </is>
      </c>
      <c r="Q487" t="inlineStr">
        <is>
          <t>N</t>
        </is>
      </c>
      <c r="R487" t="n">
        <v>0</v>
      </c>
    </row>
    <row r="488">
      <c r="A488" t="n">
        <v>487</v>
      </c>
      <c r="B488" t="inlineStr">
        <is>
          <t>(주)비씨월드헬스케어</t>
        </is>
      </c>
      <c r="C488" t="inlineStr">
        <is>
          <t>비씨월드헬스케어</t>
        </is>
      </c>
      <c r="D488" t="inlineStr">
        <is>
          <t>의약품</t>
        </is>
      </c>
      <c r="E488" t="inlineStr">
        <is>
          <t>382</t>
        </is>
      </c>
      <c r="F488" t="inlineStr">
        <is>
          <t>홍성한</t>
        </is>
      </c>
      <c r="G488" t="inlineStr">
        <is>
          <t>2019-07-10</t>
        </is>
      </c>
      <c r="H488" t="inlineStr">
        <is>
          <t>20190710</t>
        </is>
      </c>
      <c r="I488" t="inlineStr">
        <is>
          <t>1</t>
        </is>
      </c>
      <c r="J488" t="inlineStr">
        <is>
          <t>공장</t>
        </is>
      </c>
      <c r="K488" t="inlineStr">
        <is>
          <t>033-813-0991</t>
        </is>
      </c>
      <c r="L488" t="inlineStr">
        <is>
          <t>강원특별자치도 원주시 지정면 신평로 77</t>
        </is>
      </c>
      <c r="M488" t="inlineStr">
        <is>
          <t>1층~3층</t>
        </is>
      </c>
      <c r="N488" t="inlineStr">
        <is>
          <t>강원특별자치도 원주시 지정면 신평로 77 1층~3층</t>
        </is>
      </c>
      <c r="O488" t="inlineStr">
        <is>
          <t>강원특별자치도</t>
        </is>
      </c>
      <c r="P488" t="inlineStr">
        <is>
          <t>원주시</t>
        </is>
      </c>
      <c r="Q488" t="inlineStr">
        <is>
          <t>N</t>
        </is>
      </c>
      <c r="R488" t="n">
        <v>0</v>
      </c>
    </row>
    <row r="489">
      <c r="A489" t="n">
        <v>488</v>
      </c>
      <c r="B489" t="inlineStr">
        <is>
          <t>(주)퓨쳐켐헬스케어</t>
        </is>
      </c>
      <c r="C489" t="inlineStr">
        <is>
          <t>퓨쳐켐헬스케어</t>
        </is>
      </c>
      <c r="D489" t="inlineStr">
        <is>
          <t>의약품</t>
        </is>
      </c>
      <c r="E489" t="inlineStr">
        <is>
          <t>2421</t>
        </is>
      </c>
      <c r="F489" t="inlineStr">
        <is>
          <t>지대윤</t>
        </is>
      </c>
      <c r="G489" t="inlineStr">
        <is>
          <t>2004-04-14</t>
        </is>
      </c>
      <c r="H489" t="inlineStr">
        <is>
          <t>20040414</t>
        </is>
      </c>
      <c r="I489" t="inlineStr">
        <is>
          <t>1</t>
        </is>
      </c>
      <c r="J489" t="inlineStr">
        <is>
          <t>서울</t>
        </is>
      </c>
      <c r="K489" t="inlineStr">
        <is>
          <t>02-3478-1816</t>
        </is>
      </c>
      <c r="L489" t="inlineStr">
        <is>
          <t>서울특별시 서초구 반포대로 222</t>
        </is>
      </c>
      <c r="M489" t="inlineStr">
        <is>
          <t>가톨릭대학교 가톨릭중앙의료원 의과학연구동 (반포동)</t>
        </is>
      </c>
      <c r="N489" t="inlineStr">
        <is>
          <t>서울특별시 서초구 반포대로 222 가톨릭대학교 가톨릭중앙의료원 의과학연구동 (반포동)</t>
        </is>
      </c>
      <c r="O489" t="inlineStr">
        <is>
          <t>서울특별시</t>
        </is>
      </c>
      <c r="P489" t="inlineStr">
        <is>
          <t>서초구</t>
        </is>
      </c>
      <c r="Q489" t="inlineStr">
        <is>
          <t>N</t>
        </is>
      </c>
      <c r="R489" t="n">
        <v>0</v>
      </c>
    </row>
    <row r="490">
      <c r="A490" t="n">
        <v>489</v>
      </c>
      <c r="B490" t="inlineStr">
        <is>
          <t>(주)보락</t>
        </is>
      </c>
      <c r="C490" t="inlineStr">
        <is>
          <t>보락</t>
        </is>
      </c>
      <c r="D490" t="inlineStr">
        <is>
          <t>의약품</t>
        </is>
      </c>
      <c r="E490" t="inlineStr">
        <is>
          <t>1422</t>
        </is>
      </c>
      <c r="F490" t="inlineStr">
        <is>
          <t>정기련</t>
        </is>
      </c>
      <c r="G490" t="inlineStr">
        <is>
          <t>1962-11-20</t>
        </is>
      </c>
      <c r="H490" t="inlineStr">
        <is>
          <t>19621120</t>
        </is>
      </c>
      <c r="I490" t="inlineStr">
        <is>
          <t>2</t>
        </is>
      </c>
      <c r="J490" t="inlineStr">
        <is>
          <t>보관소</t>
        </is>
      </c>
      <c r="K490" t="inlineStr"/>
      <c r="L490" t="inlineStr">
        <is>
          <t>경기도 화성시 만세구 양감면 초록로 720-38</t>
        </is>
      </c>
      <c r="M490" t="inlineStr"/>
      <c r="N490" t="inlineStr">
        <is>
          <t>경기도 화성시 만세구 양감면 초록로 720-38</t>
        </is>
      </c>
      <c r="O490" t="inlineStr">
        <is>
          <t>경기도</t>
        </is>
      </c>
      <c r="P490" t="inlineStr">
        <is>
          <t>화성시</t>
        </is>
      </c>
      <c r="Q490" t="inlineStr">
        <is>
          <t>N</t>
        </is>
      </c>
      <c r="R490" t="n">
        <v>0</v>
      </c>
    </row>
    <row r="491">
      <c r="A491" t="n">
        <v>490</v>
      </c>
      <c r="B491" t="inlineStr">
        <is>
          <t>(주)자연세상</t>
        </is>
      </c>
      <c r="C491" t="inlineStr">
        <is>
          <t>자연세상</t>
        </is>
      </c>
      <c r="D491" t="inlineStr">
        <is>
          <t>의약품</t>
        </is>
      </c>
      <c r="E491" t="inlineStr">
        <is>
          <t>330</t>
        </is>
      </c>
      <c r="F491" t="inlineStr">
        <is>
          <t>채상용</t>
        </is>
      </c>
      <c r="G491" t="inlineStr">
        <is>
          <t>2012-07-27</t>
        </is>
      </c>
      <c r="H491" t="inlineStr">
        <is>
          <t>20120727</t>
        </is>
      </c>
      <c r="I491" t="inlineStr">
        <is>
          <t>1</t>
        </is>
      </c>
      <c r="J491" t="inlineStr">
        <is>
          <t>.(주)자연세상</t>
        </is>
      </c>
      <c r="K491" t="inlineStr"/>
      <c r="L491" t="inlineStr">
        <is>
          <t>경기도 포천시 소흘읍 호국로481번길 21-16</t>
        </is>
      </c>
      <c r="M491" t="inlineStr"/>
      <c r="N491" t="inlineStr">
        <is>
          <t>경기도 포천시 소흘읍 호국로481번길 21-16</t>
        </is>
      </c>
      <c r="O491" t="inlineStr">
        <is>
          <t>경기도</t>
        </is>
      </c>
      <c r="P491" t="inlineStr">
        <is>
          <t>포천시</t>
        </is>
      </c>
      <c r="Q491" t="inlineStr">
        <is>
          <t>N</t>
        </is>
      </c>
      <c r="R491" t="n">
        <v>0</v>
      </c>
    </row>
    <row r="492">
      <c r="A492" t="n">
        <v>491</v>
      </c>
      <c r="B492" t="inlineStr">
        <is>
          <t>(주)이니바이오</t>
        </is>
      </c>
      <c r="C492" t="inlineStr">
        <is>
          <t>이니바이오</t>
        </is>
      </c>
      <c r="D492" t="inlineStr">
        <is>
          <t>의약품</t>
        </is>
      </c>
      <c r="E492" t="inlineStr">
        <is>
          <t>374</t>
        </is>
      </c>
      <c r="F492" t="inlineStr">
        <is>
          <t>김석훈</t>
        </is>
      </c>
      <c r="G492" t="inlineStr">
        <is>
          <t>2019-02-21</t>
        </is>
      </c>
      <c r="H492" t="inlineStr">
        <is>
          <t>20190221</t>
        </is>
      </c>
      <c r="I492" t="inlineStr">
        <is>
          <t>1</t>
        </is>
      </c>
      <c r="J492" t="inlineStr">
        <is>
          <t>제1공장</t>
        </is>
      </c>
      <c r="K492" t="inlineStr"/>
      <c r="L492" t="inlineStr">
        <is>
          <t>경기도 부천시 오정구 송내대로 506</t>
        </is>
      </c>
      <c r="M492" t="inlineStr">
        <is>
          <t>(삼정동)</t>
        </is>
      </c>
      <c r="N492" t="inlineStr">
        <is>
          <t>경기도 부천시 오정구 송내대로 506 (삼정동)</t>
        </is>
      </c>
      <c r="O492" t="inlineStr">
        <is>
          <t>경기도</t>
        </is>
      </c>
      <c r="P492" t="inlineStr">
        <is>
          <t>부천시</t>
        </is>
      </c>
      <c r="Q492" t="inlineStr">
        <is>
          <t>Y</t>
        </is>
      </c>
      <c r="R492" t="n">
        <v>68</v>
      </c>
    </row>
    <row r="493">
      <c r="A493" t="n">
        <v>492</v>
      </c>
      <c r="B493" t="inlineStr">
        <is>
          <t>신풍제약(주)</t>
        </is>
      </c>
      <c r="C493" t="inlineStr">
        <is>
          <t>신풍제약</t>
        </is>
      </c>
      <c r="D493" t="inlineStr">
        <is>
          <t>의약품</t>
        </is>
      </c>
      <c r="E493" t="inlineStr">
        <is>
          <t>1414</t>
        </is>
      </c>
      <c r="F493" t="inlineStr">
        <is>
          <t>유제만</t>
        </is>
      </c>
      <c r="G493" t="inlineStr">
        <is>
          <t>1962-06-04</t>
        </is>
      </c>
      <c r="H493" t="inlineStr">
        <is>
          <t>19620604</t>
        </is>
      </c>
      <c r="I493" t="inlineStr">
        <is>
          <t>3</t>
        </is>
      </c>
      <c r="J493" t="inlineStr">
        <is>
          <t>오송공장</t>
        </is>
      </c>
      <c r="K493" t="inlineStr">
        <is>
          <t>043-238-3950</t>
        </is>
      </c>
      <c r="L493" t="inlineStr">
        <is>
          <t>충청북도 청주시 흥덕구 오송읍 오송생명5로 41-15</t>
        </is>
      </c>
      <c r="M493" t="inlineStr"/>
      <c r="N493" t="inlineStr">
        <is>
          <t>충청북도 청주시 흥덕구 오송읍 오송생명5로 41-15</t>
        </is>
      </c>
      <c r="O493" t="inlineStr">
        <is>
          <t>충청북도</t>
        </is>
      </c>
      <c r="P493" t="inlineStr">
        <is>
          <t>청주시</t>
        </is>
      </c>
      <c r="Q493" t="inlineStr">
        <is>
          <t>N</t>
        </is>
      </c>
      <c r="R493" t="n">
        <v>0</v>
      </c>
    </row>
    <row r="494">
      <c r="A494" t="n">
        <v>493</v>
      </c>
      <c r="B494" t="inlineStr">
        <is>
          <t>(주)프로라젠</t>
        </is>
      </c>
      <c r="C494" t="inlineStr">
        <is>
          <t>프로라젠</t>
        </is>
      </c>
      <c r="D494" t="inlineStr">
        <is>
          <t>의약품</t>
        </is>
      </c>
      <c r="E494" t="inlineStr">
        <is>
          <t>378</t>
        </is>
      </c>
      <c r="F494" t="inlineStr">
        <is>
          <t>김지태</t>
        </is>
      </c>
      <c r="G494" t="inlineStr">
        <is>
          <t>2018-11-20</t>
        </is>
      </c>
      <c r="H494" t="inlineStr">
        <is>
          <t>20181120</t>
        </is>
      </c>
      <c r="I494" t="inlineStr">
        <is>
          <t>1</t>
        </is>
      </c>
      <c r="J494" t="inlineStr">
        <is>
          <t>(주)프로라젠신촌공장</t>
        </is>
      </c>
      <c r="K494" t="inlineStr">
        <is>
          <t>070-7770-6330</t>
        </is>
      </c>
      <c r="L494" t="inlineStr">
        <is>
          <t>서울특별시 서대문구 연세로 50-1</t>
        </is>
      </c>
      <c r="M494" t="inlineStr">
        <is>
          <t>연세대학교 의과대학 연세의생명연구원 임상의학연구센터 206,207,211~216-1호</t>
        </is>
      </c>
      <c r="N494" t="inlineStr">
        <is>
          <t>서울특별시 서대문구 연세로 50-1 연세대학교 의과대학 연세의생명연구원 임상의학연구센터 206,207,211~216-1호</t>
        </is>
      </c>
      <c r="O494" t="inlineStr">
        <is>
          <t>서울특별시</t>
        </is>
      </c>
      <c r="P494" t="inlineStr">
        <is>
          <t>서대문구</t>
        </is>
      </c>
      <c r="Q494" t="inlineStr">
        <is>
          <t>Y</t>
        </is>
      </c>
      <c r="R494" t="n">
        <v>43</v>
      </c>
    </row>
    <row r="495">
      <c r="A495" t="n">
        <v>494</v>
      </c>
      <c r="B495" t="inlineStr">
        <is>
          <t>미래바이오제약(주)</t>
        </is>
      </c>
      <c r="C495" t="inlineStr">
        <is>
          <t>미래바이오제약</t>
        </is>
      </c>
      <c r="D495" t="inlineStr">
        <is>
          <t>의약품</t>
        </is>
      </c>
      <c r="E495" t="inlineStr">
        <is>
          <t>1390</t>
        </is>
      </c>
      <c r="F495" t="inlineStr">
        <is>
          <t>김한석</t>
        </is>
      </c>
      <c r="G495" t="inlineStr">
        <is>
          <t>1960-06-14</t>
        </is>
      </c>
      <c r="H495" t="inlineStr">
        <is>
          <t>19600614</t>
        </is>
      </c>
      <c r="I495" t="inlineStr">
        <is>
          <t>1</t>
        </is>
      </c>
      <c r="J495" t="inlineStr">
        <is>
          <t>안성</t>
        </is>
      </c>
      <c r="K495" t="inlineStr">
        <is>
          <t>031-672-0221</t>
        </is>
      </c>
      <c r="L495" t="inlineStr">
        <is>
          <t>경기도 안성시 공단2로 104</t>
        </is>
      </c>
      <c r="M495" t="inlineStr"/>
      <c r="N495" t="inlineStr">
        <is>
          <t>경기도 안성시 공단2로 104</t>
        </is>
      </c>
      <c r="O495" t="inlineStr">
        <is>
          <t>경기도</t>
        </is>
      </c>
      <c r="P495" t="inlineStr">
        <is>
          <t>안성시</t>
        </is>
      </c>
      <c r="Q495" t="inlineStr">
        <is>
          <t>N</t>
        </is>
      </c>
      <c r="R495" t="n">
        <v>0</v>
      </c>
    </row>
    <row r="496">
      <c r="A496" t="n">
        <v>495</v>
      </c>
      <c r="B496" t="inlineStr">
        <is>
          <t>(주)화림제약</t>
        </is>
      </c>
      <c r="C496" t="inlineStr">
        <is>
          <t>화림제약</t>
        </is>
      </c>
      <c r="D496" t="inlineStr">
        <is>
          <t>의약품</t>
        </is>
      </c>
      <c r="E496" t="inlineStr">
        <is>
          <t>1871</t>
        </is>
      </c>
      <c r="F496" t="inlineStr">
        <is>
          <t>김종하</t>
        </is>
      </c>
      <c r="G496" t="inlineStr">
        <is>
          <t>1995-02-14</t>
        </is>
      </c>
      <c r="H496" t="inlineStr">
        <is>
          <t>19950214</t>
        </is>
      </c>
      <c r="I496" t="inlineStr">
        <is>
          <t>1</t>
        </is>
      </c>
      <c r="J496" t="inlineStr">
        <is>
          <t>남구</t>
        </is>
      </c>
      <c r="K496" t="inlineStr">
        <is>
          <t>051-626-7726~8</t>
        </is>
      </c>
      <c r="L496" t="inlineStr">
        <is>
          <t>부산광역시 남구 용호로159번길 94</t>
        </is>
      </c>
      <c r="M496" t="inlineStr">
        <is>
          <t>5층, 7층</t>
        </is>
      </c>
      <c r="N496" t="inlineStr">
        <is>
          <t>부산광역시 남구 용호로159번길 94 5층, 7층</t>
        </is>
      </c>
      <c r="O496" t="inlineStr">
        <is>
          <t>부산광역시</t>
        </is>
      </c>
      <c r="P496" t="inlineStr">
        <is>
          <t>남구</t>
        </is>
      </c>
      <c r="Q496" t="inlineStr">
        <is>
          <t>Y</t>
        </is>
      </c>
      <c r="R496" t="n">
        <v>44</v>
      </c>
    </row>
    <row r="497">
      <c r="A497" t="n">
        <v>496</v>
      </c>
      <c r="B497" t="inlineStr">
        <is>
          <t>신양메디슨(주)</t>
        </is>
      </c>
      <c r="C497" t="inlineStr">
        <is>
          <t>신양메디슨</t>
        </is>
      </c>
      <c r="D497" t="inlineStr">
        <is>
          <t>의약품</t>
        </is>
      </c>
      <c r="E497" t="inlineStr">
        <is>
          <t>1837</t>
        </is>
      </c>
      <c r="F497" t="inlineStr">
        <is>
          <t>박재홍</t>
        </is>
      </c>
      <c r="G497" t="inlineStr">
        <is>
          <t>1994-08-19</t>
        </is>
      </c>
      <c r="H497" t="inlineStr">
        <is>
          <t>19940819</t>
        </is>
      </c>
      <c r="I497" t="inlineStr">
        <is>
          <t>1</t>
        </is>
      </c>
      <c r="J497" t="inlineStr">
        <is>
          <t>안성</t>
        </is>
      </c>
      <c r="K497" t="inlineStr">
        <is>
          <t>031-336-1101</t>
        </is>
      </c>
      <c r="L497" t="inlineStr">
        <is>
          <t>경기도 안성시 양성면 양성로 409-14</t>
        </is>
      </c>
      <c r="M497" t="inlineStr"/>
      <c r="N497" t="inlineStr">
        <is>
          <t>경기도 안성시 양성면 양성로 409-14</t>
        </is>
      </c>
      <c r="O497" t="inlineStr">
        <is>
          <t>경기도</t>
        </is>
      </c>
      <c r="P497" t="inlineStr">
        <is>
          <t>안성시</t>
        </is>
      </c>
      <c r="Q497" t="inlineStr">
        <is>
          <t>Y</t>
        </is>
      </c>
      <c r="R497" t="n">
        <v>69</v>
      </c>
    </row>
    <row r="498">
      <c r="A498" t="n">
        <v>497</v>
      </c>
      <c r="B498" t="inlineStr">
        <is>
          <t>주식회사 유한화학</t>
        </is>
      </c>
      <c r="C498" t="inlineStr">
        <is>
          <t>유한화학</t>
        </is>
      </c>
      <c r="D498" t="inlineStr">
        <is>
          <t>의약품</t>
        </is>
      </c>
      <c r="E498" t="inlineStr">
        <is>
          <t>1791</t>
        </is>
      </c>
      <c r="F498" t="inlineStr">
        <is>
          <t>이영래</t>
        </is>
      </c>
      <c r="G498" t="inlineStr">
        <is>
          <t>1993-09-02</t>
        </is>
      </c>
      <c r="H498" t="inlineStr">
        <is>
          <t>19930902</t>
        </is>
      </c>
      <c r="I498" t="inlineStr">
        <is>
          <t>1</t>
        </is>
      </c>
      <c r="J498" t="inlineStr">
        <is>
          <t>안산</t>
        </is>
      </c>
      <c r="K498" t="inlineStr">
        <is>
          <t>031-499-4111</t>
        </is>
      </c>
      <c r="L498" t="inlineStr">
        <is>
          <t>경기도 안산시 단원구 지원로 45</t>
        </is>
      </c>
      <c r="M498" t="inlineStr">
        <is>
          <t>시화공단 5바 402호 (성곡동)</t>
        </is>
      </c>
      <c r="N498" t="inlineStr">
        <is>
          <t>경기도 안산시 단원구 지원로 45 시화공단 5바 402호 (성곡동)</t>
        </is>
      </c>
      <c r="O498" t="inlineStr">
        <is>
          <t>경기도</t>
        </is>
      </c>
      <c r="P498" t="inlineStr">
        <is>
          <t>안산시</t>
        </is>
      </c>
      <c r="Q498" t="inlineStr">
        <is>
          <t>N</t>
        </is>
      </c>
      <c r="R498" t="n">
        <v>0</v>
      </c>
    </row>
    <row r="499">
      <c r="A499" t="n">
        <v>498</v>
      </c>
      <c r="B499" t="inlineStr">
        <is>
          <t>(주)대유코아</t>
        </is>
      </c>
      <c r="C499" t="inlineStr">
        <is>
          <t>대유코아</t>
        </is>
      </c>
      <c r="D499" t="inlineStr">
        <is>
          <t>의약품</t>
        </is>
      </c>
      <c r="E499" t="inlineStr">
        <is>
          <t>1762</t>
        </is>
      </c>
      <c r="F499" t="inlineStr">
        <is>
          <t>이태희</t>
        </is>
      </c>
      <c r="G499" t="inlineStr">
        <is>
          <t>1991-12-12</t>
        </is>
      </c>
      <c r="H499" t="inlineStr">
        <is>
          <t>19911212</t>
        </is>
      </c>
      <c r="I499" t="inlineStr">
        <is>
          <t>1</t>
        </is>
      </c>
      <c r="J499" t="inlineStr">
        <is>
          <t>사상</t>
        </is>
      </c>
      <c r="K499" t="inlineStr">
        <is>
          <t>051)313-6821</t>
        </is>
      </c>
      <c r="L499" t="inlineStr">
        <is>
          <t>부산광역시 사상구 장인로78번길 13</t>
        </is>
      </c>
      <c r="M499" t="inlineStr"/>
      <c r="N499" t="inlineStr">
        <is>
          <t>부산광역시 사상구 장인로78번길 13</t>
        </is>
      </c>
      <c r="O499" t="inlineStr">
        <is>
          <t>부산광역시</t>
        </is>
      </c>
      <c r="P499" t="inlineStr">
        <is>
          <t>사상구</t>
        </is>
      </c>
      <c r="Q499" t="inlineStr">
        <is>
          <t>N</t>
        </is>
      </c>
      <c r="R499" t="n">
        <v>0</v>
      </c>
    </row>
    <row r="500">
      <c r="A500" t="n">
        <v>499</v>
      </c>
      <c r="B500" t="inlineStr">
        <is>
          <t>제이더블유생명과학(주)</t>
        </is>
      </c>
      <c r="C500" t="inlineStr">
        <is>
          <t>제이더블유생명과학</t>
        </is>
      </c>
      <c r="D500" t="inlineStr">
        <is>
          <t>의약품</t>
        </is>
      </c>
      <c r="E500" t="inlineStr">
        <is>
          <t>2548</t>
        </is>
      </c>
      <c r="F500" t="inlineStr">
        <is>
          <t>노정열</t>
        </is>
      </c>
      <c r="G500" t="inlineStr">
        <is>
          <t>2006-02-23</t>
        </is>
      </c>
      <c r="H500" t="inlineStr">
        <is>
          <t>20060223</t>
        </is>
      </c>
      <c r="I500" t="inlineStr">
        <is>
          <t>2</t>
        </is>
      </c>
      <c r="J500" t="inlineStr">
        <is>
          <t>시험실</t>
        </is>
      </c>
      <c r="K500" t="inlineStr">
        <is>
          <t>02-840-6828</t>
        </is>
      </c>
      <c r="L500" t="inlineStr">
        <is>
          <t>충청남도 당진시 송악읍 한진1길 28</t>
        </is>
      </c>
      <c r="M500" t="inlineStr">
        <is>
          <t>사무동2층</t>
        </is>
      </c>
      <c r="N500" t="inlineStr">
        <is>
          <t>충청남도 당진시 송악읍 한진1길 28 사무동2층</t>
        </is>
      </c>
      <c r="O500" t="inlineStr">
        <is>
          <t>충청남도</t>
        </is>
      </c>
      <c r="P500" t="inlineStr">
        <is>
          <t>당진시</t>
        </is>
      </c>
      <c r="Q500" t="inlineStr">
        <is>
          <t>N</t>
        </is>
      </c>
      <c r="R500" t="n">
        <v>0</v>
      </c>
    </row>
    <row r="501">
      <c r="A501" t="n">
        <v>500</v>
      </c>
      <c r="B501" t="inlineStr">
        <is>
          <t>주식회사 케이에스테크</t>
        </is>
      </c>
      <c r="C501" t="inlineStr">
        <is>
          <t>케이에스테크</t>
        </is>
      </c>
      <c r="D501" t="inlineStr">
        <is>
          <t>의약품</t>
        </is>
      </c>
      <c r="E501" t="inlineStr">
        <is>
          <t>2427</t>
        </is>
      </c>
      <c r="F501" t="inlineStr">
        <is>
          <t>강도춘</t>
        </is>
      </c>
      <c r="G501" t="inlineStr">
        <is>
          <t>2004-05-20</t>
        </is>
      </c>
      <c r="H501" t="inlineStr">
        <is>
          <t>20040520</t>
        </is>
      </c>
      <c r="I501" t="inlineStr">
        <is>
          <t>1</t>
        </is>
      </c>
      <c r="J501" t="inlineStr">
        <is>
          <t>공장</t>
        </is>
      </c>
      <c r="K501" t="inlineStr">
        <is>
          <t>031-658-7440</t>
        </is>
      </c>
      <c r="L501" t="inlineStr">
        <is>
          <t>경기도 안성시 원곡면 원당로 160</t>
        </is>
      </c>
      <c r="M501" t="inlineStr"/>
      <c r="N501" t="inlineStr">
        <is>
          <t>경기도 안성시 원곡면 원당로 160</t>
        </is>
      </c>
      <c r="O501" t="inlineStr">
        <is>
          <t>경기도</t>
        </is>
      </c>
      <c r="P501" t="inlineStr">
        <is>
          <t>안성시</t>
        </is>
      </c>
      <c r="Q501" t="inlineStr">
        <is>
          <t>Y</t>
        </is>
      </c>
      <c r="R501" t="n">
        <v>45</v>
      </c>
    </row>
    <row r="502">
      <c r="A502" t="n">
        <v>501</v>
      </c>
      <c r="B502" t="inlineStr">
        <is>
          <t>대한적십자사강원특별자치도혈액원</t>
        </is>
      </c>
      <c r="C502" t="inlineStr">
        <is>
          <t>대한적십자사강원특별자치도혈액원</t>
        </is>
      </c>
      <c r="D502" t="inlineStr">
        <is>
          <t>의약품</t>
        </is>
      </c>
      <c r="E502" t="inlineStr">
        <is>
          <t>2531</t>
        </is>
      </c>
      <c r="F502" t="inlineStr">
        <is>
          <t>김정주</t>
        </is>
      </c>
      <c r="G502" t="inlineStr">
        <is>
          <t>2006-01-27</t>
        </is>
      </c>
      <c r="H502" t="inlineStr">
        <is>
          <t>20060127</t>
        </is>
      </c>
      <c r="I502" t="inlineStr">
        <is>
          <t>1</t>
        </is>
      </c>
      <c r="J502" t="inlineStr">
        <is>
          <t>대한적십자사강원특별자치도혈액원</t>
        </is>
      </c>
      <c r="K502" t="inlineStr">
        <is>
          <t>033-269-1011</t>
        </is>
      </c>
      <c r="L502" t="inlineStr">
        <is>
          <t>강원특별자치도 춘천시 퇴계공단1길 8</t>
        </is>
      </c>
      <c r="M502" t="inlineStr"/>
      <c r="N502" t="inlineStr">
        <is>
          <t>강원특별자치도 춘천시 퇴계공단1길 8</t>
        </is>
      </c>
      <c r="O502" t="inlineStr">
        <is>
          <t>강원특별자치도</t>
        </is>
      </c>
      <c r="P502" t="inlineStr">
        <is>
          <t>춘천시</t>
        </is>
      </c>
      <c r="Q502" t="inlineStr">
        <is>
          <t>N</t>
        </is>
      </c>
      <c r="R502" t="n">
        <v>0</v>
      </c>
    </row>
    <row r="503">
      <c r="A503" t="n">
        <v>502</v>
      </c>
      <c r="B503" t="inlineStr">
        <is>
          <t>(주)녹십자엠에스</t>
        </is>
      </c>
      <c r="C503" t="inlineStr">
        <is>
          <t>녹십자엠에스</t>
        </is>
      </c>
      <c r="D503" t="inlineStr">
        <is>
          <t>의약품</t>
        </is>
      </c>
      <c r="E503" t="inlineStr">
        <is>
          <t>2453</t>
        </is>
      </c>
      <c r="F503" t="inlineStr">
        <is>
          <t>김연근</t>
        </is>
      </c>
      <c r="G503" t="inlineStr">
        <is>
          <t>2004-11-18</t>
        </is>
      </c>
      <c r="H503" t="inlineStr">
        <is>
          <t>20041118</t>
        </is>
      </c>
      <c r="I503" t="inlineStr">
        <is>
          <t>8</t>
        </is>
      </c>
      <c r="J503" t="inlineStr">
        <is>
          <t>7공장</t>
        </is>
      </c>
      <c r="K503" t="inlineStr">
        <is>
          <t>031-260-9553</t>
        </is>
      </c>
      <c r="L503" t="inlineStr">
        <is>
          <t>경기도 화성시 봉담읍 왕림2길 42-25</t>
        </is>
      </c>
      <c r="M503" t="inlineStr">
        <is>
          <t>지하2층 일부</t>
        </is>
      </c>
      <c r="N503" t="inlineStr">
        <is>
          <t>경기도 화성시 봉담읍 왕림2길 42-25 지하2층 일부</t>
        </is>
      </c>
      <c r="O503" t="inlineStr">
        <is>
          <t>경기도</t>
        </is>
      </c>
      <c r="P503" t="inlineStr">
        <is>
          <t>화성시</t>
        </is>
      </c>
      <c r="Q503" t="inlineStr">
        <is>
          <t>N</t>
        </is>
      </c>
      <c r="R503" t="n">
        <v>0</v>
      </c>
    </row>
    <row r="504">
      <c r="A504" t="n">
        <v>503</v>
      </c>
      <c r="B504" t="inlineStr">
        <is>
          <t>(주)나이벡</t>
        </is>
      </c>
      <c r="C504" t="inlineStr">
        <is>
          <t>나이벡</t>
        </is>
      </c>
      <c r="D504" t="inlineStr">
        <is>
          <t>의약품</t>
        </is>
      </c>
      <c r="E504" t="inlineStr">
        <is>
          <t>2618</t>
        </is>
      </c>
      <c r="F504" t="inlineStr">
        <is>
          <t>정종평</t>
        </is>
      </c>
      <c r="G504" t="inlineStr">
        <is>
          <t>2013-10-24</t>
        </is>
      </c>
      <c r="H504" t="inlineStr">
        <is>
          <t>20131024</t>
        </is>
      </c>
      <c r="I504" t="inlineStr">
        <is>
          <t>1</t>
        </is>
      </c>
      <c r="J504" t="inlineStr">
        <is>
          <t>(주)나이벡</t>
        </is>
      </c>
      <c r="K504" t="inlineStr">
        <is>
          <t>070-5006-8811</t>
        </is>
      </c>
      <c r="L504" t="inlineStr">
        <is>
          <t>충청북도 진천군 이월면 밤디길 116</t>
        </is>
      </c>
      <c r="M504" t="inlineStr"/>
      <c r="N504" t="inlineStr">
        <is>
          <t>충청북도 진천군 이월면 밤디길 116</t>
        </is>
      </c>
      <c r="O504" t="inlineStr">
        <is>
          <t>충청북도</t>
        </is>
      </c>
      <c r="P504" t="inlineStr">
        <is>
          <t>진천군</t>
        </is>
      </c>
      <c r="Q504" t="inlineStr">
        <is>
          <t>N</t>
        </is>
      </c>
      <c r="R504" t="n">
        <v>0</v>
      </c>
    </row>
    <row r="505">
      <c r="A505" t="n">
        <v>504</v>
      </c>
      <c r="B505" t="inlineStr">
        <is>
          <t>(주)녹원유통사업단</t>
        </is>
      </c>
      <c r="C505" t="inlineStr">
        <is>
          <t>녹원유통사업단</t>
        </is>
      </c>
      <c r="D505" t="inlineStr">
        <is>
          <t>의약품</t>
        </is>
      </c>
      <c r="E505" t="inlineStr">
        <is>
          <t>2498</t>
        </is>
      </c>
      <c r="F505" t="inlineStr">
        <is>
          <t>길은경</t>
        </is>
      </c>
      <c r="G505" t="inlineStr">
        <is>
          <t>2005-09-05</t>
        </is>
      </c>
      <c r="H505" t="inlineStr">
        <is>
          <t>20050905</t>
        </is>
      </c>
      <c r="I505" t="inlineStr">
        <is>
          <t>1</t>
        </is>
      </c>
      <c r="J505" t="inlineStr">
        <is>
          <t>동대문구</t>
        </is>
      </c>
      <c r="K505" t="inlineStr">
        <is>
          <t>02-3291-5588</t>
        </is>
      </c>
      <c r="L505" t="inlineStr">
        <is>
          <t>서울특별시 동대문구 왕산로23길 17</t>
        </is>
      </c>
      <c r="M505" t="inlineStr">
        <is>
          <t>중앙빌딩 306호 (제기동)</t>
        </is>
      </c>
      <c r="N505" t="inlineStr">
        <is>
          <t>서울특별시 동대문구 왕산로23길 17 중앙빌딩 306호 (제기동)</t>
        </is>
      </c>
      <c r="O505" t="inlineStr">
        <is>
          <t>서울특별시</t>
        </is>
      </c>
      <c r="P505" t="inlineStr">
        <is>
          <t>동대문구</t>
        </is>
      </c>
      <c r="Q505" t="inlineStr">
        <is>
          <t>N</t>
        </is>
      </c>
      <c r="R505" t="n">
        <v>0</v>
      </c>
    </row>
    <row r="506">
      <c r="A506" t="n">
        <v>505</v>
      </c>
      <c r="B506" t="inlineStr">
        <is>
          <t>(주)엘앤씨바이오</t>
        </is>
      </c>
      <c r="C506" t="inlineStr">
        <is>
          <t>엘앤씨바이오</t>
        </is>
      </c>
      <c r="D506" t="inlineStr">
        <is>
          <t>의약품</t>
        </is>
      </c>
      <c r="E506" t="inlineStr">
        <is>
          <t>381</t>
        </is>
      </c>
      <c r="F506" t="inlineStr">
        <is>
          <t>이환철</t>
        </is>
      </c>
      <c r="G506" t="inlineStr">
        <is>
          <t>2020-03-05</t>
        </is>
      </c>
      <c r="H506" t="inlineStr">
        <is>
          <t>20200305</t>
        </is>
      </c>
      <c r="I506" t="inlineStr">
        <is>
          <t>1</t>
        </is>
      </c>
      <c r="J506" t="inlineStr">
        <is>
          <t>(주)엘앤씨바이오</t>
        </is>
      </c>
      <c r="K506" t="inlineStr">
        <is>
          <t>070-7720-0540</t>
        </is>
      </c>
      <c r="L506" t="inlineStr">
        <is>
          <t>경기도 안성시 공단2로 104</t>
        </is>
      </c>
      <c r="M506" t="inlineStr">
        <is>
          <t>가동 1층</t>
        </is>
      </c>
      <c r="N506" t="inlineStr">
        <is>
          <t>경기도 안성시 공단2로 104 가동 1층</t>
        </is>
      </c>
      <c r="O506" t="inlineStr">
        <is>
          <t>경기도</t>
        </is>
      </c>
      <c r="P506" t="inlineStr">
        <is>
          <t>안성시</t>
        </is>
      </c>
      <c r="Q506" t="inlineStr">
        <is>
          <t>Y</t>
        </is>
      </c>
      <c r="R506" t="n">
        <v>46</v>
      </c>
    </row>
    <row r="507">
      <c r="A507" t="n">
        <v>506</v>
      </c>
      <c r="B507" t="inlineStr">
        <is>
          <t>그린생명과학(주)</t>
        </is>
      </c>
      <c r="C507" t="inlineStr">
        <is>
          <t>그린생명과학</t>
        </is>
      </c>
      <c r="D507" t="inlineStr">
        <is>
          <t>의약품</t>
        </is>
      </c>
      <c r="E507" t="inlineStr">
        <is>
          <t>2439</t>
        </is>
      </c>
      <c r="F507" t="inlineStr">
        <is>
          <t>이기성</t>
        </is>
      </c>
      <c r="G507" t="inlineStr">
        <is>
          <t>2004-08-05</t>
        </is>
      </c>
      <c r="H507" t="inlineStr">
        <is>
          <t>20040805</t>
        </is>
      </c>
      <c r="I507" t="inlineStr">
        <is>
          <t>1</t>
        </is>
      </c>
      <c r="J507" t="inlineStr">
        <is>
          <t>여수</t>
        </is>
      </c>
      <c r="K507" t="inlineStr">
        <is>
          <t>061-688-4840</t>
        </is>
      </c>
      <c r="L507" t="inlineStr">
        <is>
          <t>전라남도 여수시 여수산단2로 84</t>
        </is>
      </c>
      <c r="M507" t="inlineStr"/>
      <c r="N507" t="inlineStr">
        <is>
          <t>전라남도 여수시 여수산단2로 84</t>
        </is>
      </c>
      <c r="O507" t="inlineStr">
        <is>
          <t>전라남도</t>
        </is>
      </c>
      <c r="P507" t="inlineStr">
        <is>
          <t>여수시</t>
        </is>
      </c>
      <c r="Q507" t="inlineStr">
        <is>
          <t>N</t>
        </is>
      </c>
      <c r="R507" t="n">
        <v>0</v>
      </c>
    </row>
    <row r="508">
      <c r="A508" t="n">
        <v>507</v>
      </c>
      <c r="B508" t="inlineStr">
        <is>
          <t>(주)씨엠지제약</t>
        </is>
      </c>
      <c r="C508" t="inlineStr">
        <is>
          <t>씨엠지제약</t>
        </is>
      </c>
      <c r="D508" t="inlineStr">
        <is>
          <t>의약품</t>
        </is>
      </c>
      <c r="E508" t="inlineStr">
        <is>
          <t>1439</t>
        </is>
      </c>
      <c r="F508" t="inlineStr">
        <is>
          <t>이주형</t>
        </is>
      </c>
      <c r="G508" t="inlineStr">
        <is>
          <t>1964-01-21</t>
        </is>
      </c>
      <c r="H508" t="inlineStr">
        <is>
          <t>19640121</t>
        </is>
      </c>
      <c r="I508" t="inlineStr">
        <is>
          <t>3</t>
        </is>
      </c>
      <c r="J508" t="inlineStr">
        <is>
          <t>보관소1</t>
        </is>
      </c>
      <c r="K508" t="inlineStr"/>
      <c r="L508" t="inlineStr">
        <is>
          <t>경기도 시흥시 서해안로 252</t>
        </is>
      </c>
      <c r="M508" t="inlineStr">
        <is>
          <t>1층</t>
        </is>
      </c>
      <c r="N508" t="inlineStr">
        <is>
          <t>경기도 시흥시 서해안로 252 1층</t>
        </is>
      </c>
      <c r="O508" t="inlineStr">
        <is>
          <t>경기도</t>
        </is>
      </c>
      <c r="P508" t="inlineStr">
        <is>
          <t>시흥시</t>
        </is>
      </c>
      <c r="Q508" t="inlineStr">
        <is>
          <t>N</t>
        </is>
      </c>
      <c r="R508" t="n">
        <v>0</v>
      </c>
    </row>
    <row r="509">
      <c r="A509" t="n">
        <v>508</v>
      </c>
      <c r="B509" t="inlineStr">
        <is>
          <t>동아제약(주)</t>
        </is>
      </c>
      <c r="C509" t="inlineStr">
        <is>
          <t>동아제약</t>
        </is>
      </c>
      <c r="D509" t="inlineStr">
        <is>
          <t>의약품</t>
        </is>
      </c>
      <c r="E509" t="inlineStr">
        <is>
          <t>2606</t>
        </is>
      </c>
      <c r="F509" t="inlineStr">
        <is>
          <t>백상환</t>
        </is>
      </c>
      <c r="G509" t="inlineStr">
        <is>
          <t>2013-04-18</t>
        </is>
      </c>
      <c r="H509" t="inlineStr">
        <is>
          <t>20130418</t>
        </is>
      </c>
      <c r="I509" t="inlineStr">
        <is>
          <t>6</t>
        </is>
      </c>
      <c r="J509" t="inlineStr">
        <is>
          <t>당진</t>
        </is>
      </c>
      <c r="K509" t="inlineStr"/>
      <c r="L509" t="inlineStr">
        <is>
          <t>충청남도 당진시 합덕읍 인더스파크로 22</t>
        </is>
      </c>
      <c r="M509" t="inlineStr"/>
      <c r="N509" t="inlineStr">
        <is>
          <t>충청남도 당진시 합덕읍 인더스파크로 22</t>
        </is>
      </c>
      <c r="O509" t="inlineStr">
        <is>
          <t>충청남도</t>
        </is>
      </c>
      <c r="P509" t="inlineStr">
        <is>
          <t>당진시</t>
        </is>
      </c>
      <c r="Q509" t="inlineStr">
        <is>
          <t>N</t>
        </is>
      </c>
      <c r="R509" t="n">
        <v>0</v>
      </c>
    </row>
    <row r="510">
      <c r="A510" t="n">
        <v>509</v>
      </c>
      <c r="B510" t="inlineStr">
        <is>
          <t>(주)국전</t>
        </is>
      </c>
      <c r="C510" t="inlineStr">
        <is>
          <t>국전</t>
        </is>
      </c>
      <c r="D510" t="inlineStr">
        <is>
          <t>의약품</t>
        </is>
      </c>
      <c r="E510" t="inlineStr">
        <is>
          <t>2520</t>
        </is>
      </c>
      <c r="F510" t="inlineStr">
        <is>
          <t>홍종호</t>
        </is>
      </c>
      <c r="G510" t="inlineStr">
        <is>
          <t>2005-12-09</t>
        </is>
      </c>
      <c r="H510" t="inlineStr">
        <is>
          <t>20051209</t>
        </is>
      </c>
      <c r="I510" t="inlineStr">
        <is>
          <t>2</t>
        </is>
      </c>
      <c r="J510" t="inlineStr">
        <is>
          <t>서울</t>
        </is>
      </c>
      <c r="K510" t="inlineStr">
        <is>
          <t>762-8116</t>
        </is>
      </c>
      <c r="L510" t="inlineStr"/>
      <c r="M510" t="inlineStr">
        <is>
          <t>서울특별시 종로구 종로35길 39</t>
        </is>
      </c>
      <c r="N510" t="inlineStr">
        <is>
          <t>서울특별시 종로구 종로35길 39</t>
        </is>
      </c>
      <c r="O510" t="inlineStr">
        <is>
          <t>서울특별시</t>
        </is>
      </c>
      <c r="P510" t="inlineStr">
        <is>
          <t>종로구</t>
        </is>
      </c>
      <c r="Q510" t="inlineStr">
        <is>
          <t>N</t>
        </is>
      </c>
      <c r="R510" t="n">
        <v>0</v>
      </c>
    </row>
    <row r="511">
      <c r="A511" t="n">
        <v>510</v>
      </c>
      <c r="B511" t="inlineStr">
        <is>
          <t>(주)킴스제약</t>
        </is>
      </c>
      <c r="C511" t="inlineStr">
        <is>
          <t>킴스제약</t>
        </is>
      </c>
      <c r="D511" t="inlineStr">
        <is>
          <t>의약품</t>
        </is>
      </c>
      <c r="E511" t="inlineStr">
        <is>
          <t>2691</t>
        </is>
      </c>
      <c r="F511" t="inlineStr">
        <is>
          <t>김승현</t>
        </is>
      </c>
      <c r="G511" t="inlineStr">
        <is>
          <t>2019-09-19</t>
        </is>
      </c>
      <c r="H511" t="inlineStr">
        <is>
          <t>20190919</t>
        </is>
      </c>
      <c r="I511" t="inlineStr">
        <is>
          <t>1</t>
        </is>
      </c>
      <c r="J511" t="inlineStr">
        <is>
          <t>1공장</t>
        </is>
      </c>
      <c r="K511" t="inlineStr">
        <is>
          <t>043-714-3509</t>
        </is>
      </c>
      <c r="L511" t="inlineStr">
        <is>
          <t>충청북도 청주시 흥덕구 오송읍 오송생명14로 106</t>
        </is>
      </c>
      <c r="M511" t="inlineStr"/>
      <c r="N511" t="inlineStr">
        <is>
          <t>충청북도 청주시 흥덕구 오송읍 오송생명14로 106</t>
        </is>
      </c>
      <c r="O511" t="inlineStr">
        <is>
          <t>충청북도</t>
        </is>
      </c>
      <c r="P511" t="inlineStr">
        <is>
          <t>청주시</t>
        </is>
      </c>
      <c r="Q511" t="inlineStr">
        <is>
          <t>N</t>
        </is>
      </c>
      <c r="R511" t="n">
        <v>0</v>
      </c>
    </row>
    <row r="512">
      <c r="A512" t="n">
        <v>511</v>
      </c>
      <c r="B512" t="inlineStr">
        <is>
          <t>(주)씨티씨바이오</t>
        </is>
      </c>
      <c r="C512" t="inlineStr">
        <is>
          <t>씨티씨바이오</t>
        </is>
      </c>
      <c r="D512" t="inlineStr">
        <is>
          <t>의약품</t>
        </is>
      </c>
      <c r="E512" t="inlineStr">
        <is>
          <t>2423</t>
        </is>
      </c>
      <c r="F512" t="inlineStr">
        <is>
          <t>조창선</t>
        </is>
      </c>
      <c r="G512" t="inlineStr">
        <is>
          <t>2004-04-30</t>
        </is>
      </c>
      <c r="H512" t="inlineStr">
        <is>
          <t>20040430</t>
        </is>
      </c>
      <c r="I512" t="inlineStr">
        <is>
          <t>2</t>
        </is>
      </c>
      <c r="J512" t="inlineStr">
        <is>
          <t>제2공장</t>
        </is>
      </c>
      <c r="K512" t="inlineStr"/>
      <c r="L512" t="inlineStr">
        <is>
          <t>경기도 안산시 단원구 강촌로 228-16</t>
        </is>
      </c>
      <c r="M512" t="inlineStr"/>
      <c r="N512" t="inlineStr">
        <is>
          <t>경기도 안산시 단원구 강촌로 228-16</t>
        </is>
      </c>
      <c r="O512" t="inlineStr">
        <is>
          <t>경기도</t>
        </is>
      </c>
      <c r="P512" t="inlineStr">
        <is>
          <t>안산시</t>
        </is>
      </c>
      <c r="Q512" t="inlineStr">
        <is>
          <t>N</t>
        </is>
      </c>
      <c r="R512" t="n">
        <v>0</v>
      </c>
    </row>
    <row r="513">
      <c r="A513" t="n">
        <v>512</v>
      </c>
      <c r="B513" t="inlineStr">
        <is>
          <t>영풍제약(주)</t>
        </is>
      </c>
      <c r="C513" t="inlineStr">
        <is>
          <t>영풍제약</t>
        </is>
      </c>
      <c r="D513" t="inlineStr">
        <is>
          <t>의약품</t>
        </is>
      </c>
      <c r="E513" t="inlineStr">
        <is>
          <t>1437</t>
        </is>
      </c>
      <c r="F513" t="inlineStr">
        <is>
          <t>김재훈</t>
        </is>
      </c>
      <c r="G513" t="inlineStr">
        <is>
          <t>1963-12-07</t>
        </is>
      </c>
      <c r="H513" t="inlineStr">
        <is>
          <t>19631207</t>
        </is>
      </c>
      <c r="I513" t="inlineStr">
        <is>
          <t>1</t>
        </is>
      </c>
      <c r="J513" t="inlineStr">
        <is>
          <t>인천</t>
        </is>
      </c>
      <c r="K513" t="inlineStr">
        <is>
          <t>032-812-8356</t>
        </is>
      </c>
      <c r="L513" t="inlineStr">
        <is>
          <t>인천광역시 남동구 함박뫼로 333</t>
        </is>
      </c>
      <c r="M513" t="inlineStr"/>
      <c r="N513" t="inlineStr">
        <is>
          <t>인천광역시 남동구 함박뫼로 333</t>
        </is>
      </c>
      <c r="O513" t="inlineStr">
        <is>
          <t>인천광역시</t>
        </is>
      </c>
      <c r="P513" t="inlineStr">
        <is>
          <t>남동구</t>
        </is>
      </c>
      <c r="Q513" t="inlineStr">
        <is>
          <t>N</t>
        </is>
      </c>
      <c r="R513" t="n">
        <v>0</v>
      </c>
    </row>
    <row r="514">
      <c r="A514" t="n">
        <v>513</v>
      </c>
      <c r="B514" t="inlineStr">
        <is>
          <t>삼성바이오로직스 주식회사</t>
        </is>
      </c>
      <c r="C514" t="inlineStr">
        <is>
          <t>삼성바이오로직스</t>
        </is>
      </c>
      <c r="D514" t="inlineStr">
        <is>
          <t>의약품</t>
        </is>
      </c>
      <c r="E514" t="inlineStr">
        <is>
          <t>343</t>
        </is>
      </c>
      <c r="F514" t="inlineStr">
        <is>
          <t>John Chongbo Rim(임존종보)</t>
        </is>
      </c>
      <c r="G514" t="inlineStr">
        <is>
          <t>2012-10-08</t>
        </is>
      </c>
      <c r="H514" t="inlineStr">
        <is>
          <t>20121008</t>
        </is>
      </c>
      <c r="I514" t="inlineStr">
        <is>
          <t>4</t>
        </is>
      </c>
      <c r="J514" t="inlineStr">
        <is>
          <t>3.삼성바이오로직스 주식회사</t>
        </is>
      </c>
      <c r="K514" t="inlineStr"/>
      <c r="L514" t="inlineStr">
        <is>
          <t>인천광역시 연수구 송도미래로 100</t>
        </is>
      </c>
      <c r="M514" t="inlineStr"/>
      <c r="N514" t="inlineStr">
        <is>
          <t>인천광역시 연수구 송도미래로 100</t>
        </is>
      </c>
      <c r="O514" t="inlineStr">
        <is>
          <t>인천광역시</t>
        </is>
      </c>
      <c r="P514" t="inlineStr">
        <is>
          <t>연수구</t>
        </is>
      </c>
      <c r="Q514" t="inlineStr">
        <is>
          <t>N</t>
        </is>
      </c>
      <c r="R514" t="n">
        <v>0</v>
      </c>
    </row>
    <row r="515">
      <c r="A515" t="n">
        <v>514</v>
      </c>
      <c r="B515" t="inlineStr">
        <is>
          <t>(주)이니바이오</t>
        </is>
      </c>
      <c r="C515" t="inlineStr">
        <is>
          <t>이니바이오</t>
        </is>
      </c>
      <c r="D515" t="inlineStr">
        <is>
          <t>의약품</t>
        </is>
      </c>
      <c r="E515" t="inlineStr">
        <is>
          <t>374</t>
        </is>
      </c>
      <c r="F515" t="inlineStr">
        <is>
          <t>김석훈</t>
        </is>
      </c>
      <c r="G515" t="inlineStr">
        <is>
          <t>2019-02-21</t>
        </is>
      </c>
      <c r="H515" t="inlineStr">
        <is>
          <t>20190221</t>
        </is>
      </c>
      <c r="I515" t="inlineStr">
        <is>
          <t>3</t>
        </is>
      </c>
      <c r="J515" t="inlineStr">
        <is>
          <t>보관소</t>
        </is>
      </c>
      <c r="K515" t="inlineStr"/>
      <c r="L515" t="inlineStr">
        <is>
          <t>인천광역시 서구 정서진4로 10</t>
        </is>
      </c>
      <c r="M515" t="inlineStr">
        <is>
          <t>(1층 일부)</t>
        </is>
      </c>
      <c r="N515" t="inlineStr">
        <is>
          <t>인천광역시 서구 정서진4로 10 (1층 일부)</t>
        </is>
      </c>
      <c r="O515" t="inlineStr">
        <is>
          <t>인천광역시</t>
        </is>
      </c>
      <c r="P515" t="inlineStr">
        <is>
          <t>서구</t>
        </is>
      </c>
      <c r="Q515" t="inlineStr">
        <is>
          <t>Y</t>
        </is>
      </c>
      <c r="R515" t="n">
        <v>70</v>
      </c>
    </row>
    <row r="516">
      <c r="A516" t="n">
        <v>515</v>
      </c>
      <c r="B516" t="inlineStr">
        <is>
          <t>(주)한풍제약</t>
        </is>
      </c>
      <c r="C516" t="inlineStr">
        <is>
          <t>한풍제약</t>
        </is>
      </c>
      <c r="D516" t="inlineStr">
        <is>
          <t>의약품</t>
        </is>
      </c>
      <c r="E516" t="inlineStr">
        <is>
          <t>1417</t>
        </is>
      </c>
      <c r="F516" t="inlineStr">
        <is>
          <t>조형권</t>
        </is>
      </c>
      <c r="G516" t="inlineStr">
        <is>
          <t>1962-07-21</t>
        </is>
      </c>
      <c r="H516" t="inlineStr">
        <is>
          <t>19620721</t>
        </is>
      </c>
      <c r="I516" t="inlineStr">
        <is>
          <t>1</t>
        </is>
      </c>
      <c r="J516" t="inlineStr">
        <is>
          <t>전주</t>
        </is>
      </c>
      <c r="K516" t="inlineStr">
        <is>
          <t>02-586-5211</t>
        </is>
      </c>
      <c r="L516" t="inlineStr">
        <is>
          <t>전라북도 전주시 덕진구 구렛들3길 11</t>
        </is>
      </c>
      <c r="M516" t="inlineStr"/>
      <c r="N516" t="inlineStr">
        <is>
          <t>전라북도 전주시 덕진구 구렛들3길 11</t>
        </is>
      </c>
      <c r="O516" t="inlineStr">
        <is>
          <t>전라북도</t>
        </is>
      </c>
      <c r="P516" t="inlineStr">
        <is>
          <t>전주시</t>
        </is>
      </c>
      <c r="Q516" t="inlineStr">
        <is>
          <t>Y</t>
        </is>
      </c>
      <c r="R516" t="n">
        <v>71</v>
      </c>
    </row>
    <row r="517">
      <c r="A517" t="n">
        <v>516</v>
      </c>
      <c r="B517" t="inlineStr">
        <is>
          <t>(주)유바이오로직스</t>
        </is>
      </c>
      <c r="C517" t="inlineStr">
        <is>
          <t>유바이오로직스</t>
        </is>
      </c>
      <c r="D517" t="inlineStr">
        <is>
          <t>의약품</t>
        </is>
      </c>
      <c r="E517" t="inlineStr">
        <is>
          <t>322</t>
        </is>
      </c>
      <c r="F517" t="inlineStr">
        <is>
          <t>허태영</t>
        </is>
      </c>
      <c r="G517" t="inlineStr">
        <is>
          <t>2011-11-28</t>
        </is>
      </c>
      <c r="H517" t="inlineStr">
        <is>
          <t>20111128</t>
        </is>
      </c>
      <c r="I517" t="inlineStr">
        <is>
          <t>4</t>
        </is>
      </c>
      <c r="J517" t="inlineStr">
        <is>
          <t>[보관소3]</t>
        </is>
      </c>
      <c r="K517" t="inlineStr"/>
      <c r="L517" t="inlineStr">
        <is>
          <t>강원특별자치도 춘천시 소양강로 32</t>
        </is>
      </c>
      <c r="M517" t="inlineStr">
        <is>
          <t>2동 지하 일부</t>
        </is>
      </c>
      <c r="N517" t="inlineStr">
        <is>
          <t>강원특별자치도 춘천시 소양강로 32 2동 지하 일부</t>
        </is>
      </c>
      <c r="O517" t="inlineStr">
        <is>
          <t>강원특별자치도</t>
        </is>
      </c>
      <c r="P517" t="inlineStr">
        <is>
          <t>춘천시</t>
        </is>
      </c>
      <c r="Q517" t="inlineStr">
        <is>
          <t>Y</t>
        </is>
      </c>
      <c r="R517" t="n">
        <v>72</v>
      </c>
    </row>
    <row r="518">
      <c r="A518" t="n">
        <v>517</v>
      </c>
      <c r="B518" t="inlineStr">
        <is>
          <t>주식회사올본</t>
        </is>
      </c>
      <c r="C518" t="inlineStr">
        <is>
          <t>올본</t>
        </is>
      </c>
      <c r="D518" t="inlineStr">
        <is>
          <t>의약품</t>
        </is>
      </c>
      <c r="E518" t="inlineStr">
        <is>
          <t>379</t>
        </is>
      </c>
      <c r="F518" t="inlineStr">
        <is>
          <t>조익상</t>
        </is>
      </c>
      <c r="G518" t="inlineStr">
        <is>
          <t>2018-12-17</t>
        </is>
      </c>
      <c r="H518" t="inlineStr">
        <is>
          <t>20181217</t>
        </is>
      </c>
      <c r="I518" t="inlineStr">
        <is>
          <t>1</t>
        </is>
      </c>
      <c r="J518" t="inlineStr">
        <is>
          <t>제1공장</t>
        </is>
      </c>
      <c r="K518" t="inlineStr">
        <is>
          <t>02-1644-4230</t>
        </is>
      </c>
      <c r="L518" t="inlineStr">
        <is>
          <t>경기도 포천시 영중면 나삼길 57-35</t>
        </is>
      </c>
      <c r="M518" t="inlineStr">
        <is>
          <t>가동, 나동, 라동</t>
        </is>
      </c>
      <c r="N518" t="inlineStr">
        <is>
          <t>경기도 포천시 영중면 나삼길 57-35 가동, 나동, 라동</t>
        </is>
      </c>
      <c r="O518" t="inlineStr">
        <is>
          <t>경기도</t>
        </is>
      </c>
      <c r="P518" t="inlineStr">
        <is>
          <t>포천시</t>
        </is>
      </c>
      <c r="Q518" t="inlineStr">
        <is>
          <t>N</t>
        </is>
      </c>
      <c r="R518" t="n">
        <v>0</v>
      </c>
    </row>
    <row r="519">
      <c r="A519" t="n">
        <v>518</v>
      </c>
      <c r="B519" t="inlineStr">
        <is>
          <t>위더스제약(주)</t>
        </is>
      </c>
      <c r="C519" t="inlineStr">
        <is>
          <t>위더스제약</t>
        </is>
      </c>
      <c r="D519" t="inlineStr">
        <is>
          <t>의약품</t>
        </is>
      </c>
      <c r="E519" t="inlineStr">
        <is>
          <t>1397</t>
        </is>
      </c>
      <c r="F519" t="inlineStr">
        <is>
          <t>성대영</t>
        </is>
      </c>
      <c r="G519" t="inlineStr">
        <is>
          <t>1960-10-15</t>
        </is>
      </c>
      <c r="H519" t="inlineStr">
        <is>
          <t>19601015</t>
        </is>
      </c>
      <c r="I519" t="inlineStr">
        <is>
          <t>2</t>
        </is>
      </c>
      <c r="J519" t="inlineStr">
        <is>
          <t>1공장(안성) 보관소</t>
        </is>
      </c>
      <c r="K519" t="inlineStr"/>
      <c r="L519" t="inlineStr">
        <is>
          <t>경기도 안성시 미양면 제2공단2길 104</t>
        </is>
      </c>
      <c r="M519" t="inlineStr"/>
      <c r="N519" t="inlineStr">
        <is>
          <t>경기도 안성시 미양면 제2공단2길 104</t>
        </is>
      </c>
      <c r="O519" t="inlineStr">
        <is>
          <t>경기도</t>
        </is>
      </c>
      <c r="P519" t="inlineStr">
        <is>
          <t>안성시</t>
        </is>
      </c>
      <c r="Q519" t="inlineStr">
        <is>
          <t>N</t>
        </is>
      </c>
      <c r="R519" t="n">
        <v>0</v>
      </c>
    </row>
    <row r="520">
      <c r="A520" t="n">
        <v>519</v>
      </c>
      <c r="B520" t="inlineStr">
        <is>
          <t>삼전순약공업(주)</t>
        </is>
      </c>
      <c r="C520" t="inlineStr">
        <is>
          <t>삼전순약공업</t>
        </is>
      </c>
      <c r="D520" t="inlineStr">
        <is>
          <t>의약품</t>
        </is>
      </c>
      <c r="E520" t="inlineStr">
        <is>
          <t>1941</t>
        </is>
      </c>
      <c r="F520" t="inlineStr">
        <is>
          <t>전성혁</t>
        </is>
      </c>
      <c r="G520" t="inlineStr">
        <is>
          <t>1996-08-29</t>
        </is>
      </c>
      <c r="H520" t="inlineStr">
        <is>
          <t>19960829</t>
        </is>
      </c>
      <c r="I520" t="inlineStr">
        <is>
          <t>1</t>
        </is>
      </c>
      <c r="J520" t="inlineStr">
        <is>
          <t>평택</t>
        </is>
      </c>
      <c r="K520" t="inlineStr">
        <is>
          <t>031-668-0700/4</t>
        </is>
      </c>
      <c r="L520" t="inlineStr">
        <is>
          <t>경기도 평택시 산단로16번길 117</t>
        </is>
      </c>
      <c r="M520" t="inlineStr"/>
      <c r="N520" t="inlineStr">
        <is>
          <t>경기도 평택시 산단로16번길 117</t>
        </is>
      </c>
      <c r="O520" t="inlineStr">
        <is>
          <t>경기도</t>
        </is>
      </c>
      <c r="P520" t="inlineStr">
        <is>
          <t>평택시</t>
        </is>
      </c>
      <c r="Q520" t="inlineStr">
        <is>
          <t>Y</t>
        </is>
      </c>
      <c r="R520" t="n">
        <v>49</v>
      </c>
    </row>
    <row r="521">
      <c r="A521" t="n">
        <v>520</v>
      </c>
      <c r="B521" t="inlineStr">
        <is>
          <t>(주)팩슨</t>
        </is>
      </c>
      <c r="C521" t="inlineStr">
        <is>
          <t>팩슨</t>
        </is>
      </c>
      <c r="D521" t="inlineStr">
        <is>
          <t>의약품</t>
        </is>
      </c>
      <c r="E521" t="inlineStr">
        <is>
          <t>1845</t>
        </is>
      </c>
      <c r="F521" t="inlineStr">
        <is>
          <t>정상윤</t>
        </is>
      </c>
      <c r="G521" t="inlineStr">
        <is>
          <t>1994-09-23</t>
        </is>
      </c>
      <c r="H521" t="inlineStr">
        <is>
          <t>19940923</t>
        </is>
      </c>
      <c r="I521" t="inlineStr">
        <is>
          <t>1</t>
        </is>
      </c>
      <c r="J521" t="inlineStr">
        <is>
          <t>대구</t>
        </is>
      </c>
      <c r="K521" t="inlineStr">
        <is>
          <t>053-581-5425</t>
        </is>
      </c>
      <c r="L521" t="inlineStr">
        <is>
          <t>대구광역시 달서구 달서대로58길 53</t>
        </is>
      </c>
      <c r="M521" t="inlineStr"/>
      <c r="N521" t="inlineStr">
        <is>
          <t>대구광역시 달서구 달서대로58길 53</t>
        </is>
      </c>
      <c r="O521" t="inlineStr">
        <is>
          <t>대구광역시</t>
        </is>
      </c>
      <c r="P521" t="inlineStr">
        <is>
          <t>달서구</t>
        </is>
      </c>
      <c r="Q521" t="inlineStr">
        <is>
          <t>N</t>
        </is>
      </c>
      <c r="R521" t="n">
        <v>0</v>
      </c>
    </row>
    <row r="522">
      <c r="A522" t="n">
        <v>521</v>
      </c>
      <c r="B522" t="inlineStr">
        <is>
          <t>(주)그린제약</t>
        </is>
      </c>
      <c r="C522" t="inlineStr">
        <is>
          <t>그린제약</t>
        </is>
      </c>
      <c r="D522" t="inlineStr">
        <is>
          <t>의약품</t>
        </is>
      </c>
      <c r="E522" t="inlineStr">
        <is>
          <t>1851</t>
        </is>
      </c>
      <c r="F522" t="inlineStr">
        <is>
          <t>홍준표</t>
        </is>
      </c>
      <c r="G522" t="inlineStr">
        <is>
          <t>1994-11-14</t>
        </is>
      </c>
      <c r="H522" t="inlineStr">
        <is>
          <t>19941114</t>
        </is>
      </c>
      <c r="I522" t="inlineStr">
        <is>
          <t>1</t>
        </is>
      </c>
      <c r="J522" t="inlineStr">
        <is>
          <t>제1공장</t>
        </is>
      </c>
      <c r="K522" t="inlineStr">
        <is>
          <t>043-534-1144</t>
        </is>
      </c>
      <c r="L522" t="inlineStr">
        <is>
          <t>충청북도 진천군 문백면 농다리로 1097/1098</t>
        </is>
      </c>
      <c r="M522" t="inlineStr"/>
      <c r="N522" t="inlineStr">
        <is>
          <t>충청북도 진천군 문백면 농다리로 1097/1098</t>
        </is>
      </c>
      <c r="O522" t="inlineStr">
        <is>
          <t>충청북도</t>
        </is>
      </c>
      <c r="P522" t="inlineStr">
        <is>
          <t>진천군</t>
        </is>
      </c>
      <c r="Q522" t="inlineStr">
        <is>
          <t>N</t>
        </is>
      </c>
      <c r="R522" t="n">
        <v>0</v>
      </c>
    </row>
    <row r="523">
      <c r="A523" t="n">
        <v>522</v>
      </c>
      <c r="B523" t="inlineStr">
        <is>
          <t>광동제약(주)</t>
        </is>
      </c>
      <c r="C523" t="inlineStr">
        <is>
          <t>광동제약</t>
        </is>
      </c>
      <c r="D523" t="inlineStr">
        <is>
          <t>의약품</t>
        </is>
      </c>
      <c r="E523" t="inlineStr">
        <is>
          <t>0150</t>
        </is>
      </c>
      <c r="F523" t="inlineStr">
        <is>
          <t>최성원</t>
        </is>
      </c>
      <c r="G523" t="inlineStr">
        <is>
          <t>1992-10-16</t>
        </is>
      </c>
      <c r="H523" t="inlineStr">
        <is>
          <t>19921016</t>
        </is>
      </c>
      <c r="I523" t="inlineStr">
        <is>
          <t>2</t>
        </is>
      </c>
      <c r="J523" t="inlineStr">
        <is>
          <t>보관소</t>
        </is>
      </c>
      <c r="K523" t="inlineStr"/>
      <c r="L523" t="inlineStr">
        <is>
          <t>경기도 평택시 경기대로 1081</t>
        </is>
      </c>
      <c r="M523" t="inlineStr">
        <is>
          <t>라동</t>
        </is>
      </c>
      <c r="N523" t="inlineStr">
        <is>
          <t>경기도 평택시 경기대로 1081 라동</t>
        </is>
      </c>
      <c r="O523" t="inlineStr">
        <is>
          <t>경기도</t>
        </is>
      </c>
      <c r="P523" t="inlineStr">
        <is>
          <t>평택시</t>
        </is>
      </c>
      <c r="Q523" t="inlineStr">
        <is>
          <t>Y</t>
        </is>
      </c>
      <c r="R523" t="n">
        <v>51</v>
      </c>
    </row>
    <row r="524">
      <c r="A524" t="n">
        <v>523</v>
      </c>
      <c r="B524" t="inlineStr">
        <is>
          <t>(주)셀트리온</t>
        </is>
      </c>
      <c r="C524" t="inlineStr">
        <is>
          <t>셀트리온</t>
        </is>
      </c>
      <c r="D524" t="inlineStr">
        <is>
          <t>의약품</t>
        </is>
      </c>
      <c r="E524" t="inlineStr">
        <is>
          <t>2569</t>
        </is>
      </c>
      <c r="F524" t="inlineStr">
        <is>
          <t>기우성</t>
        </is>
      </c>
      <c r="G524" t="inlineStr">
        <is>
          <t>2006-07-21</t>
        </is>
      </c>
      <c r="H524" t="inlineStr">
        <is>
          <t>20060721</t>
        </is>
      </c>
      <c r="I524" t="inlineStr">
        <is>
          <t>1</t>
        </is>
      </c>
      <c r="J524" t="inlineStr">
        <is>
          <t>제1공장</t>
        </is>
      </c>
      <c r="K524" t="inlineStr"/>
      <c r="L524" t="inlineStr">
        <is>
          <t>인천광역시 연수구 아카데미로 23</t>
        </is>
      </c>
      <c r="M524" t="inlineStr"/>
      <c r="N524" t="inlineStr">
        <is>
          <t>인천광역시 연수구 아카데미로 23</t>
        </is>
      </c>
      <c r="O524" t="inlineStr">
        <is>
          <t>인천광역시</t>
        </is>
      </c>
      <c r="P524" t="inlineStr">
        <is>
          <t>연수구</t>
        </is>
      </c>
      <c r="Q524" t="inlineStr">
        <is>
          <t>Y</t>
        </is>
      </c>
      <c r="R524" t="n">
        <v>52</v>
      </c>
    </row>
    <row r="525">
      <c r="A525" t="n">
        <v>524</v>
      </c>
      <c r="B525" t="inlineStr">
        <is>
          <t>대한적십자사광주광역시전라남도혈액원</t>
        </is>
      </c>
      <c r="C525" t="inlineStr">
        <is>
          <t>대한적십자사광주광역시전라남도혈액원</t>
        </is>
      </c>
      <c r="D525" t="inlineStr">
        <is>
          <t>의약품</t>
        </is>
      </c>
      <c r="E525" t="inlineStr">
        <is>
          <t>2535</t>
        </is>
      </c>
      <c r="F525" t="inlineStr">
        <is>
          <t>박진성</t>
        </is>
      </c>
      <c r="G525" t="inlineStr">
        <is>
          <t>2006-01-27</t>
        </is>
      </c>
      <c r="H525" t="inlineStr">
        <is>
          <t>20060127</t>
        </is>
      </c>
      <c r="I525" t="inlineStr">
        <is>
          <t>1</t>
        </is>
      </c>
      <c r="J525" t="inlineStr">
        <is>
          <t>대한적십자광주전남혈액원</t>
        </is>
      </c>
      <c r="K525" t="inlineStr">
        <is>
          <t>062-600-0671</t>
        </is>
      </c>
      <c r="L525" t="inlineStr">
        <is>
          <t>광주광역시 남구 서문대로 406</t>
        </is>
      </c>
      <c r="M525" t="inlineStr"/>
      <c r="N525" t="inlineStr">
        <is>
          <t>광주광역시 남구 서문대로 406</t>
        </is>
      </c>
      <c r="O525" t="inlineStr">
        <is>
          <t>광주광역시</t>
        </is>
      </c>
      <c r="P525" t="inlineStr">
        <is>
          <t>남구</t>
        </is>
      </c>
      <c r="Q525" t="inlineStr">
        <is>
          <t>N</t>
        </is>
      </c>
      <c r="R525" t="n">
        <v>0</v>
      </c>
    </row>
    <row r="526">
      <c r="A526" t="n">
        <v>525</v>
      </c>
      <c r="B526" t="inlineStr">
        <is>
          <t>(주)이수앱지스</t>
        </is>
      </c>
      <c r="C526" t="inlineStr">
        <is>
          <t>이수앱지스</t>
        </is>
      </c>
      <c r="D526" t="inlineStr">
        <is>
          <t>의약품</t>
        </is>
      </c>
      <c r="E526" t="inlineStr">
        <is>
          <t>2456</t>
        </is>
      </c>
      <c r="F526" t="inlineStr">
        <is>
          <t>유준수</t>
        </is>
      </c>
      <c r="G526" t="inlineStr">
        <is>
          <t>2004-12-03</t>
        </is>
      </c>
      <c r="H526" t="inlineStr">
        <is>
          <t>20041203</t>
        </is>
      </c>
      <c r="I526" t="inlineStr">
        <is>
          <t>1</t>
        </is>
      </c>
      <c r="J526" t="inlineStr">
        <is>
          <t>고양시</t>
        </is>
      </c>
      <c r="K526" t="inlineStr">
        <is>
          <t>031-696-4622</t>
        </is>
      </c>
      <c r="L526" t="inlineStr"/>
      <c r="M526" t="inlineStr">
        <is>
          <t>경기 고양시 일산동구 백석동 1136~11821141-2 유니테크빌 811호</t>
        </is>
      </c>
      <c r="N526" t="inlineStr">
        <is>
          <t>경기 고양시 일산동구 백석동 1136~11821141-2 유니테크빌 811호</t>
        </is>
      </c>
      <c r="O526" t="inlineStr">
        <is>
          <t>경기</t>
        </is>
      </c>
      <c r="P526" t="inlineStr">
        <is>
          <t>고양시</t>
        </is>
      </c>
      <c r="Q526" t="inlineStr">
        <is>
          <t>N</t>
        </is>
      </c>
      <c r="R526" t="n">
        <v>0</v>
      </c>
    </row>
    <row r="527">
      <c r="A527" t="n">
        <v>526</v>
      </c>
      <c r="B527" t="inlineStr">
        <is>
          <t>(주)엔바이로코리아</t>
        </is>
      </c>
      <c r="C527" t="inlineStr">
        <is>
          <t>엔바이로코리아</t>
        </is>
      </c>
      <c r="D527" t="inlineStr">
        <is>
          <t>의약품</t>
        </is>
      </c>
      <c r="E527" t="inlineStr">
        <is>
          <t>2620</t>
        </is>
      </c>
      <c r="F527" t="inlineStr">
        <is>
          <t>박성한</t>
        </is>
      </c>
      <c r="G527" t="inlineStr">
        <is>
          <t>2014-02-25</t>
        </is>
      </c>
      <c r="H527" t="inlineStr">
        <is>
          <t>20140225</t>
        </is>
      </c>
      <c r="I527" t="inlineStr">
        <is>
          <t>1</t>
        </is>
      </c>
      <c r="J527" t="inlineStr">
        <is>
          <t>제1공장</t>
        </is>
      </c>
      <c r="K527" t="inlineStr">
        <is>
          <t>(042)864-2341</t>
        </is>
      </c>
      <c r="L527" t="inlineStr">
        <is>
          <t>대전광역시 유성구 테크노2로 167-10</t>
        </is>
      </c>
      <c r="M527" t="inlineStr">
        <is>
          <t>(용산동 528)</t>
        </is>
      </c>
      <c r="N527" t="inlineStr">
        <is>
          <t>대전광역시 유성구 테크노2로 167-10 (용산동 528)</t>
        </is>
      </c>
      <c r="O527" t="inlineStr">
        <is>
          <t>대전광역시</t>
        </is>
      </c>
      <c r="P527" t="inlineStr">
        <is>
          <t>유성구</t>
        </is>
      </c>
      <c r="Q527" t="inlineStr">
        <is>
          <t>Y</t>
        </is>
      </c>
      <c r="R527" t="n">
        <v>53</v>
      </c>
    </row>
    <row r="528">
      <c r="A528" t="n">
        <v>527</v>
      </c>
      <c r="B528" t="inlineStr">
        <is>
          <t>아이엠씨디코리아주식회사</t>
        </is>
      </c>
      <c r="C528" t="inlineStr">
        <is>
          <t>아이엠씨디코리아</t>
        </is>
      </c>
      <c r="D528" t="inlineStr">
        <is>
          <t>의약품</t>
        </is>
      </c>
      <c r="E528" t="inlineStr">
        <is>
          <t>0255</t>
        </is>
      </c>
      <c r="F528" t="inlineStr">
        <is>
          <t>이동준</t>
        </is>
      </c>
      <c r="G528" t="inlineStr">
        <is>
          <t>2000-11-15</t>
        </is>
      </c>
      <c r="H528" t="inlineStr">
        <is>
          <t>20001115</t>
        </is>
      </c>
      <c r="I528" t="inlineStr">
        <is>
          <t>2</t>
        </is>
      </c>
      <c r="J528" t="inlineStr">
        <is>
          <t>화성시(완제/소분)</t>
        </is>
      </c>
      <c r="K528" t="inlineStr">
        <is>
          <t>02-573-1858</t>
        </is>
      </c>
      <c r="L528" t="inlineStr"/>
      <c r="M528" t="inlineStr">
        <is>
          <t>경기도 화성시 향남면 발안지방산업단지 34-6</t>
        </is>
      </c>
      <c r="N528" t="inlineStr">
        <is>
          <t>경기도 화성시 향남면 발안지방산업단지 34-6</t>
        </is>
      </c>
      <c r="O528" t="inlineStr">
        <is>
          <t>경기도</t>
        </is>
      </c>
      <c r="P528" t="inlineStr">
        <is>
          <t>화성시</t>
        </is>
      </c>
      <c r="Q528" t="inlineStr">
        <is>
          <t>N</t>
        </is>
      </c>
      <c r="R528" t="n">
        <v>0</v>
      </c>
    </row>
    <row r="529">
      <c r="A529" t="n">
        <v>528</v>
      </c>
      <c r="B529" t="inlineStr">
        <is>
          <t>(주)메디톡스</t>
        </is>
      </c>
      <c r="C529" t="inlineStr">
        <is>
          <t>메디톡스</t>
        </is>
      </c>
      <c r="D529" t="inlineStr">
        <is>
          <t>의약품</t>
        </is>
      </c>
      <c r="E529" t="inlineStr">
        <is>
          <t>2454</t>
        </is>
      </c>
      <c r="F529" t="inlineStr">
        <is>
          <t>정현호</t>
        </is>
      </c>
      <c r="G529" t="inlineStr">
        <is>
          <t>2004-11-19</t>
        </is>
      </c>
      <c r="H529" t="inlineStr">
        <is>
          <t>20041119</t>
        </is>
      </c>
      <c r="I529" t="inlineStr">
        <is>
          <t>3</t>
        </is>
      </c>
      <c r="J529" t="inlineStr">
        <is>
          <t>오송 3공장</t>
        </is>
      </c>
      <c r="K529" t="inlineStr"/>
      <c r="L529" t="inlineStr">
        <is>
          <t>충청북도 청주시 흥덕구 오송읍 오송생명4로 102</t>
        </is>
      </c>
      <c r="M529" t="inlineStr"/>
      <c r="N529" t="inlineStr">
        <is>
          <t>충청북도 청주시 흥덕구 오송읍 오송생명4로 102</t>
        </is>
      </c>
      <c r="O529" t="inlineStr">
        <is>
          <t>충청북도</t>
        </is>
      </c>
      <c r="P529" t="inlineStr">
        <is>
          <t>청주시</t>
        </is>
      </c>
      <c r="Q529" t="inlineStr">
        <is>
          <t>N</t>
        </is>
      </c>
      <c r="R529" t="n">
        <v>0</v>
      </c>
    </row>
    <row r="530">
      <c r="A530" t="n">
        <v>529</v>
      </c>
      <c r="B530" t="inlineStr">
        <is>
          <t>(주)파마리서치</t>
        </is>
      </c>
      <c r="C530" t="inlineStr">
        <is>
          <t>파마리서치</t>
        </is>
      </c>
      <c r="D530" t="inlineStr">
        <is>
          <t>의약품</t>
        </is>
      </c>
      <c r="E530" t="inlineStr">
        <is>
          <t>335</t>
        </is>
      </c>
      <c r="F530" t="inlineStr">
        <is>
          <t>손지훈</t>
        </is>
      </c>
      <c r="G530" t="inlineStr">
        <is>
          <t>2013-07-19</t>
        </is>
      </c>
      <c r="H530" t="inlineStr">
        <is>
          <t>20130719</t>
        </is>
      </c>
      <c r="I530" t="inlineStr">
        <is>
          <t>2</t>
        </is>
      </c>
      <c r="J530" t="inlineStr"/>
      <c r="K530" t="inlineStr"/>
      <c r="L530" t="inlineStr">
        <is>
          <t>인천광역시 계양구 마장로 537</t>
        </is>
      </c>
      <c r="M530" t="inlineStr">
        <is>
          <t>(효성동) 3층 일부(보관소)</t>
        </is>
      </c>
      <c r="N530" t="inlineStr">
        <is>
          <t>인천광역시 계양구 마장로 537 (효성동) 3층 일부(보관소)</t>
        </is>
      </c>
      <c r="O530" t="inlineStr">
        <is>
          <t>인천광역시</t>
        </is>
      </c>
      <c r="P530" t="inlineStr">
        <is>
          <t>계양구</t>
        </is>
      </c>
      <c r="Q530" t="inlineStr">
        <is>
          <t>N</t>
        </is>
      </c>
      <c r="R530" t="n">
        <v>0</v>
      </c>
    </row>
    <row r="531">
      <c r="A531" t="n">
        <v>530</v>
      </c>
      <c r="B531" t="inlineStr">
        <is>
          <t>(주)동인화학</t>
        </is>
      </c>
      <c r="C531" t="inlineStr">
        <is>
          <t>동인화학</t>
        </is>
      </c>
      <c r="D531" t="inlineStr">
        <is>
          <t>의약품</t>
        </is>
      </c>
      <c r="E531" t="inlineStr">
        <is>
          <t>2501</t>
        </is>
      </c>
      <c r="F531" t="inlineStr">
        <is>
          <t>김선경</t>
        </is>
      </c>
      <c r="G531" t="inlineStr">
        <is>
          <t>2005-09-12</t>
        </is>
      </c>
      <c r="H531" t="inlineStr">
        <is>
          <t>20050912</t>
        </is>
      </c>
      <c r="I531" t="inlineStr">
        <is>
          <t>1</t>
        </is>
      </c>
      <c r="J531" t="inlineStr">
        <is>
          <t>평택</t>
        </is>
      </c>
      <c r="K531" t="inlineStr">
        <is>
          <t>031-665-0972</t>
        </is>
      </c>
      <c r="L531" t="inlineStr">
        <is>
          <t>경기도 평택시 산단로16번길 62</t>
        </is>
      </c>
      <c r="M531" t="inlineStr"/>
      <c r="N531" t="inlineStr">
        <is>
          <t>경기도 평택시 산단로16번길 62</t>
        </is>
      </c>
      <c r="O531" t="inlineStr">
        <is>
          <t>경기도</t>
        </is>
      </c>
      <c r="P531" t="inlineStr">
        <is>
          <t>평택시</t>
        </is>
      </c>
      <c r="Q531" t="inlineStr">
        <is>
          <t>N</t>
        </is>
      </c>
      <c r="R531" t="n">
        <v>0</v>
      </c>
    </row>
    <row r="532">
      <c r="A532" t="n">
        <v>531</v>
      </c>
      <c r="B532" t="inlineStr">
        <is>
          <t>㈜마티카바이오랩스</t>
        </is>
      </c>
      <c r="C532" t="inlineStr">
        <is>
          <t>마티카바이오랩스</t>
        </is>
      </c>
      <c r="D532" t="inlineStr">
        <is>
          <t>의약품</t>
        </is>
      </c>
      <c r="E532" t="inlineStr">
        <is>
          <t>380</t>
        </is>
      </c>
      <c r="F532" t="inlineStr">
        <is>
          <t>민병조</t>
        </is>
      </c>
      <c r="G532" t="inlineStr">
        <is>
          <t>2019-12-05</t>
        </is>
      </c>
      <c r="H532" t="inlineStr">
        <is>
          <t>20191205</t>
        </is>
      </c>
      <c r="I532" t="inlineStr">
        <is>
          <t>1</t>
        </is>
      </c>
      <c r="J532" t="inlineStr">
        <is>
          <t>제1공장</t>
        </is>
      </c>
      <c r="K532" t="inlineStr">
        <is>
          <t>0318817550</t>
        </is>
      </c>
      <c r="L532" t="inlineStr">
        <is>
          <t>경기도 성남시 분당구 판교로 335</t>
        </is>
      </c>
      <c r="M532" t="inlineStr">
        <is>
          <t>103호, 104호</t>
        </is>
      </c>
      <c r="N532" t="inlineStr">
        <is>
          <t>경기도 성남시 분당구 판교로 335 103호, 104호</t>
        </is>
      </c>
      <c r="O532" t="inlineStr">
        <is>
          <t>경기도</t>
        </is>
      </c>
      <c r="P532" t="inlineStr">
        <is>
          <t>성남시</t>
        </is>
      </c>
      <c r="Q532" t="inlineStr">
        <is>
          <t>N</t>
        </is>
      </c>
      <c r="R532" t="n">
        <v>0</v>
      </c>
    </row>
    <row r="533">
      <c r="A533" t="n">
        <v>532</v>
      </c>
      <c r="B533" t="inlineStr">
        <is>
          <t>(주)듀켐바이오</t>
        </is>
      </c>
      <c r="C533" t="inlineStr">
        <is>
          <t>듀켐바이오</t>
        </is>
      </c>
      <c r="D533" t="inlineStr">
        <is>
          <t>의약품</t>
        </is>
      </c>
      <c r="E533" t="inlineStr">
        <is>
          <t>2437</t>
        </is>
      </c>
      <c r="F533" t="inlineStr">
        <is>
          <t>김상우</t>
        </is>
      </c>
      <c r="G533" t="inlineStr">
        <is>
          <t>2004-07-22</t>
        </is>
      </c>
      <c r="H533" t="inlineStr">
        <is>
          <t>20040722</t>
        </is>
      </c>
      <c r="I533" t="inlineStr">
        <is>
          <t>4</t>
        </is>
      </c>
      <c r="J533" t="inlineStr">
        <is>
          <t>4공장(서울)</t>
        </is>
      </c>
      <c r="K533" t="inlineStr">
        <is>
          <t>042-488-6205</t>
        </is>
      </c>
      <c r="L533" t="inlineStr">
        <is>
          <t>서울특별시 성동구 왕십리로 222</t>
        </is>
      </c>
      <c r="M533" t="inlineStr">
        <is>
          <t>한양대학교병원 싸이클로트론센터 (행당동)</t>
        </is>
      </c>
      <c r="N533" t="inlineStr">
        <is>
          <t>서울특별시 성동구 왕십리로 222 한양대학교병원 싸이클로트론센터 (행당동)</t>
        </is>
      </c>
      <c r="O533" t="inlineStr">
        <is>
          <t>서울특별시</t>
        </is>
      </c>
      <c r="P533" t="inlineStr">
        <is>
          <t>성동구</t>
        </is>
      </c>
      <c r="Q533" t="inlineStr">
        <is>
          <t>N</t>
        </is>
      </c>
      <c r="R533" t="n">
        <v>0</v>
      </c>
    </row>
    <row r="534">
      <c r="A534" t="n">
        <v>533</v>
      </c>
      <c r="B534" t="inlineStr">
        <is>
          <t>에이치케이이노엔(주)</t>
        </is>
      </c>
      <c r="C534" t="inlineStr">
        <is>
          <t>에이치케이이노엔</t>
        </is>
      </c>
      <c r="D534" t="inlineStr">
        <is>
          <t>의약품</t>
        </is>
      </c>
      <c r="E534" t="inlineStr">
        <is>
          <t>1452</t>
        </is>
      </c>
      <c r="F534" t="inlineStr">
        <is>
          <t>곽달원</t>
        </is>
      </c>
      <c r="G534" t="inlineStr">
        <is>
          <t>1964-12-07</t>
        </is>
      </c>
      <c r="H534" t="inlineStr">
        <is>
          <t>19641207</t>
        </is>
      </c>
      <c r="I534" t="inlineStr">
        <is>
          <t>3</t>
        </is>
      </c>
      <c r="J534" t="inlineStr">
        <is>
          <t>인천</t>
        </is>
      </c>
      <c r="K534" t="inlineStr"/>
      <c r="L534" t="inlineStr">
        <is>
          <t>인천광역시 중구 아암대로 20</t>
        </is>
      </c>
      <c r="M534" t="inlineStr"/>
      <c r="N534" t="inlineStr">
        <is>
          <t>인천광역시 중구 아암대로 20</t>
        </is>
      </c>
      <c r="O534" t="inlineStr">
        <is>
          <t>인천광역시</t>
        </is>
      </c>
      <c r="P534" t="inlineStr">
        <is>
          <t>중구</t>
        </is>
      </c>
      <c r="Q534" t="inlineStr">
        <is>
          <t>N</t>
        </is>
      </c>
      <c r="R534" t="n">
        <v>0</v>
      </c>
    </row>
    <row r="535">
      <c r="A535" t="n">
        <v>534</v>
      </c>
      <c r="B535" t="inlineStr">
        <is>
          <t>경일가스텍주식회사</t>
        </is>
      </c>
      <c r="C535" t="inlineStr">
        <is>
          <t>경일가스텍</t>
        </is>
      </c>
      <c r="D535" t="inlineStr">
        <is>
          <t>의약품</t>
        </is>
      </c>
      <c r="E535" t="inlineStr">
        <is>
          <t>70</t>
        </is>
      </c>
      <c r="F535" t="inlineStr">
        <is>
          <t>김승회</t>
        </is>
      </c>
      <c r="G535" t="inlineStr">
        <is>
          <t>2012-12-20</t>
        </is>
      </c>
      <c r="H535" t="inlineStr">
        <is>
          <t>20121220</t>
        </is>
      </c>
      <c r="I535" t="inlineStr">
        <is>
          <t>1</t>
        </is>
      </c>
      <c r="J535" t="inlineStr">
        <is>
          <t>경일가스텍 주식회사</t>
        </is>
      </c>
      <c r="K535" t="inlineStr">
        <is>
          <t>053-853-7800</t>
        </is>
      </c>
      <c r="L535" t="inlineStr">
        <is>
          <t>경상북도 경산시 남산면 대왕로 98-1</t>
        </is>
      </c>
      <c r="M535" t="inlineStr"/>
      <c r="N535" t="inlineStr">
        <is>
          <t>경상북도 경산시 남산면 대왕로 98-1</t>
        </is>
      </c>
      <c r="O535" t="inlineStr">
        <is>
          <t>경상북도</t>
        </is>
      </c>
      <c r="P535" t="inlineStr">
        <is>
          <t>경산시</t>
        </is>
      </c>
      <c r="Q535" t="inlineStr">
        <is>
          <t>N</t>
        </is>
      </c>
      <c r="R535" t="n">
        <v>0</v>
      </c>
    </row>
    <row r="536">
      <c r="A536" t="n">
        <v>535</v>
      </c>
      <c r="B536" t="inlineStr">
        <is>
          <t>(주)한국호넥스</t>
        </is>
      </c>
      <c r="C536" t="inlineStr">
        <is>
          <t>한국호넥스</t>
        </is>
      </c>
      <c r="D536" t="inlineStr">
        <is>
          <t>의약품</t>
        </is>
      </c>
      <c r="E536" t="inlineStr">
        <is>
          <t>2651</t>
        </is>
      </c>
      <c r="F536" t="inlineStr">
        <is>
          <t>유원선</t>
        </is>
      </c>
      <c r="G536" t="inlineStr">
        <is>
          <t>2019-03-04</t>
        </is>
      </c>
      <c r="H536" t="inlineStr">
        <is>
          <t>20190304</t>
        </is>
      </c>
      <c r="I536" t="inlineStr">
        <is>
          <t>1</t>
        </is>
      </c>
      <c r="J536" t="inlineStr">
        <is>
          <t>(주)한국호넥스</t>
        </is>
      </c>
      <c r="K536" t="inlineStr">
        <is>
          <t>043-846-4907</t>
        </is>
      </c>
      <c r="L536" t="inlineStr">
        <is>
          <t>충청북도 충주시 대소원면 메가폴리스3로 43</t>
        </is>
      </c>
      <c r="M536" t="inlineStr"/>
      <c r="N536" t="inlineStr">
        <is>
          <t>충청북도 충주시 대소원면 메가폴리스3로 43</t>
        </is>
      </c>
      <c r="O536" t="inlineStr">
        <is>
          <t>충청북도</t>
        </is>
      </c>
      <c r="P536" t="inlineStr">
        <is>
          <t>충주시</t>
        </is>
      </c>
      <c r="Q536" t="inlineStr">
        <is>
          <t>Y</t>
        </is>
      </c>
      <c r="R536" t="n">
        <v>73</v>
      </c>
    </row>
    <row r="537">
      <c r="A537" t="n">
        <v>536</v>
      </c>
      <c r="B537" t="inlineStr">
        <is>
          <t>대흥산업가스주식회사</t>
        </is>
      </c>
      <c r="C537" t="inlineStr">
        <is>
          <t>대흥산업가스</t>
        </is>
      </c>
      <c r="D537" t="inlineStr">
        <is>
          <t>의약품</t>
        </is>
      </c>
      <c r="E537" t="inlineStr">
        <is>
          <t>2368</t>
        </is>
      </c>
      <c r="F537" t="inlineStr">
        <is>
          <t>김성주</t>
        </is>
      </c>
      <c r="G537" t="inlineStr">
        <is>
          <t>2003-03-26</t>
        </is>
      </c>
      <c r="H537" t="inlineStr">
        <is>
          <t>20030326</t>
        </is>
      </c>
      <c r="I537" t="inlineStr">
        <is>
          <t>1</t>
        </is>
      </c>
      <c r="J537" t="inlineStr">
        <is>
          <t>군산</t>
        </is>
      </c>
      <c r="K537" t="inlineStr">
        <is>
          <t>063-468-2626</t>
        </is>
      </c>
      <c r="L537" t="inlineStr">
        <is>
          <t>전북특별자치도 군산시 공항로 161</t>
        </is>
      </c>
      <c r="M537" t="inlineStr"/>
      <c r="N537" t="inlineStr">
        <is>
          <t>전북특별자치도 군산시 공항로 161</t>
        </is>
      </c>
      <c r="O537" t="inlineStr">
        <is>
          <t>전북특별자치도</t>
        </is>
      </c>
      <c r="P537" t="inlineStr">
        <is>
          <t>군산시</t>
        </is>
      </c>
      <c r="Q537" t="inlineStr">
        <is>
          <t>N</t>
        </is>
      </c>
      <c r="R537" t="n">
        <v>0</v>
      </c>
    </row>
    <row r="538">
      <c r="A538" t="n">
        <v>537</v>
      </c>
      <c r="B538" t="inlineStr">
        <is>
          <t>알리코제약(주)</t>
        </is>
      </c>
      <c r="C538" t="inlineStr">
        <is>
          <t>알리코제약</t>
        </is>
      </c>
      <c r="D538" t="inlineStr">
        <is>
          <t>의약품</t>
        </is>
      </c>
      <c r="E538" t="inlineStr">
        <is>
          <t>1420</t>
        </is>
      </c>
      <c r="F538" t="inlineStr">
        <is>
          <t>이항구</t>
        </is>
      </c>
      <c r="G538" t="inlineStr">
        <is>
          <t>1962-10-15</t>
        </is>
      </c>
      <c r="H538" t="inlineStr">
        <is>
          <t>19621015</t>
        </is>
      </c>
      <c r="I538" t="inlineStr">
        <is>
          <t>1</t>
        </is>
      </c>
      <c r="J538" t="inlineStr">
        <is>
          <t>진천</t>
        </is>
      </c>
      <c r="K538" t="inlineStr">
        <is>
          <t>043-535-8877</t>
        </is>
      </c>
      <c r="L538" t="inlineStr">
        <is>
          <t>충청북도 진천군 광혜원면 용소2길 21</t>
        </is>
      </c>
      <c r="M538" t="inlineStr"/>
      <c r="N538" t="inlineStr">
        <is>
          <t>충청북도 진천군 광혜원면 용소2길 21</t>
        </is>
      </c>
      <c r="O538" t="inlineStr">
        <is>
          <t>충청북도</t>
        </is>
      </c>
      <c r="P538" t="inlineStr">
        <is>
          <t>진천군</t>
        </is>
      </c>
      <c r="Q538" t="inlineStr">
        <is>
          <t>N</t>
        </is>
      </c>
      <c r="R538" t="n">
        <v>0</v>
      </c>
    </row>
    <row r="539">
      <c r="A539" t="n">
        <v>538</v>
      </c>
      <c r="B539" t="inlineStr">
        <is>
          <t>경원산소(주)</t>
        </is>
      </c>
      <c r="C539" t="inlineStr">
        <is>
          <t>경원산소</t>
        </is>
      </c>
      <c r="D539" t="inlineStr">
        <is>
          <t>의약품</t>
        </is>
      </c>
      <c r="E539" t="inlineStr">
        <is>
          <t>323</t>
        </is>
      </c>
      <c r="F539" t="inlineStr">
        <is>
          <t>임정규</t>
        </is>
      </c>
      <c r="G539" t="inlineStr">
        <is>
          <t>2011-12-27</t>
        </is>
      </c>
      <c r="H539" t="inlineStr">
        <is>
          <t>20111227</t>
        </is>
      </c>
      <c r="I539" t="inlineStr">
        <is>
          <t>1</t>
        </is>
      </c>
      <c r="J539" t="inlineStr">
        <is>
          <t>제1공장</t>
        </is>
      </c>
      <c r="K539" t="inlineStr">
        <is>
          <t>(033)731-0202</t>
        </is>
      </c>
      <c r="L539" t="inlineStr">
        <is>
          <t>강원특별자치도 원주시 우산공단길 149</t>
        </is>
      </c>
      <c r="M539" t="inlineStr"/>
      <c r="N539" t="inlineStr">
        <is>
          <t>강원특별자치도 원주시 우산공단길 149</t>
        </is>
      </c>
      <c r="O539" t="inlineStr">
        <is>
          <t>강원특별자치도</t>
        </is>
      </c>
      <c r="P539" t="inlineStr">
        <is>
          <t>원주시</t>
        </is>
      </c>
      <c r="Q539" t="inlineStr">
        <is>
          <t>N</t>
        </is>
      </c>
      <c r="R539" t="n">
        <v>0</v>
      </c>
    </row>
    <row r="540">
      <c r="A540" t="n">
        <v>539</v>
      </c>
      <c r="B540" t="inlineStr">
        <is>
          <t>주식회사삼인제약</t>
        </is>
      </c>
      <c r="C540" t="inlineStr">
        <is>
          <t>삼인제약</t>
        </is>
      </c>
      <c r="D540" t="inlineStr">
        <is>
          <t>의약품</t>
        </is>
      </c>
      <c r="E540" t="inlineStr">
        <is>
          <t>2650</t>
        </is>
      </c>
      <c r="F540" t="inlineStr">
        <is>
          <t>김은규</t>
        </is>
      </c>
      <c r="G540" t="inlineStr">
        <is>
          <t>2019-01-30</t>
        </is>
      </c>
      <c r="H540" t="inlineStr">
        <is>
          <t>20190130</t>
        </is>
      </c>
      <c r="I540" t="inlineStr">
        <is>
          <t>1</t>
        </is>
      </c>
      <c r="J540" t="inlineStr">
        <is>
          <t>삼인제약 증평공장</t>
        </is>
      </c>
      <c r="K540" t="inlineStr">
        <is>
          <t>043-838-3191</t>
        </is>
      </c>
      <c r="L540" t="inlineStr">
        <is>
          <t>충청북도 증평군 증평읍 덕상로 96</t>
        </is>
      </c>
      <c r="M540" t="inlineStr"/>
      <c r="N540" t="inlineStr">
        <is>
          <t>충청북도 증평군 증평읍 덕상로 96</t>
        </is>
      </c>
      <c r="O540" t="inlineStr">
        <is>
          <t>충청북도</t>
        </is>
      </c>
      <c r="P540" t="inlineStr">
        <is>
          <t>증평군</t>
        </is>
      </c>
      <c r="Q540" t="inlineStr">
        <is>
          <t>Y</t>
        </is>
      </c>
      <c r="R540" t="n">
        <v>54</v>
      </c>
    </row>
    <row r="541">
      <c r="A541" t="n">
        <v>540</v>
      </c>
      <c r="B541" t="inlineStr">
        <is>
          <t>대화제약(주)</t>
        </is>
      </c>
      <c r="C541" t="inlineStr">
        <is>
          <t>대화제약</t>
        </is>
      </c>
      <c r="D541" t="inlineStr">
        <is>
          <t>의약품</t>
        </is>
      </c>
      <c r="E541" t="inlineStr">
        <is>
          <t>1410</t>
        </is>
      </c>
      <c r="F541" t="inlineStr">
        <is>
          <t>김은석</t>
        </is>
      </c>
      <c r="G541" t="inlineStr">
        <is>
          <t>2001-01-06</t>
        </is>
      </c>
      <c r="H541" t="inlineStr">
        <is>
          <t>20010106</t>
        </is>
      </c>
      <c r="I541" t="inlineStr">
        <is>
          <t>2</t>
        </is>
      </c>
      <c r="J541" t="inlineStr">
        <is>
          <t>시흥</t>
        </is>
      </c>
      <c r="K541" t="inlineStr">
        <is>
          <t>033-342-5140</t>
        </is>
      </c>
      <c r="L541" t="inlineStr"/>
      <c r="M541" t="inlineStr">
        <is>
          <t>경기 시흥시 정왕동 시화공단1라 603</t>
        </is>
      </c>
      <c r="N541" t="inlineStr">
        <is>
          <t>경기 시흥시 정왕동 시화공단1라 603</t>
        </is>
      </c>
      <c r="O541" t="inlineStr">
        <is>
          <t>경기</t>
        </is>
      </c>
      <c r="P541" t="inlineStr">
        <is>
          <t>시흥시</t>
        </is>
      </c>
      <c r="Q541" t="inlineStr">
        <is>
          <t>N</t>
        </is>
      </c>
      <c r="R541" t="n">
        <v>0</v>
      </c>
    </row>
    <row r="542">
      <c r="A542" t="n">
        <v>541</v>
      </c>
      <c r="B542" t="inlineStr">
        <is>
          <t>(주)파마리서치바이오</t>
        </is>
      </c>
      <c r="C542" t="inlineStr">
        <is>
          <t>파마리서치바이오</t>
        </is>
      </c>
      <c r="D542" t="inlineStr">
        <is>
          <t>의약품</t>
        </is>
      </c>
      <c r="E542" t="inlineStr">
        <is>
          <t>374</t>
        </is>
      </c>
      <c r="F542" t="inlineStr">
        <is>
          <t>원치엽</t>
        </is>
      </c>
      <c r="G542" t="inlineStr">
        <is>
          <t>2018-08-21</t>
        </is>
      </c>
      <c r="H542" t="inlineStr">
        <is>
          <t>20180821</t>
        </is>
      </c>
      <c r="I542" t="inlineStr">
        <is>
          <t>1</t>
        </is>
      </c>
      <c r="J542" t="inlineStr">
        <is>
          <t>(주)파마리서치바이오</t>
        </is>
      </c>
      <c r="K542" t="inlineStr"/>
      <c r="L542" t="inlineStr">
        <is>
          <t>강원특별자치도 강릉시 사임당로 641-3</t>
        </is>
      </c>
      <c r="M542" t="inlineStr">
        <is>
          <t>1층, 2층, 3층 일부(대전동)</t>
        </is>
      </c>
      <c r="N542" t="inlineStr">
        <is>
          <t>강원특별자치도 강릉시 사임당로 641-3 1층, 2층, 3층 일부(대전동)</t>
        </is>
      </c>
      <c r="O542" t="inlineStr">
        <is>
          <t>강원특별자치도</t>
        </is>
      </c>
      <c r="P542" t="inlineStr">
        <is>
          <t>강릉시</t>
        </is>
      </c>
      <c r="Q542" t="inlineStr">
        <is>
          <t>Y</t>
        </is>
      </c>
      <c r="R542" t="n">
        <v>74</v>
      </c>
    </row>
    <row r="543">
      <c r="A543" t="n">
        <v>542</v>
      </c>
      <c r="B543" t="inlineStr">
        <is>
          <t>(주)한국파마</t>
        </is>
      </c>
      <c r="C543" t="inlineStr">
        <is>
          <t>한국파마</t>
        </is>
      </c>
      <c r="D543" t="inlineStr">
        <is>
          <t>의약품</t>
        </is>
      </c>
      <c r="E543" t="inlineStr">
        <is>
          <t>1401</t>
        </is>
      </c>
      <c r="F543" t="inlineStr">
        <is>
          <t>박은희</t>
        </is>
      </c>
      <c r="G543" t="inlineStr">
        <is>
          <t>1960-12-16</t>
        </is>
      </c>
      <c r="H543" t="inlineStr">
        <is>
          <t>19601216</t>
        </is>
      </c>
      <c r="I543" t="inlineStr">
        <is>
          <t>1</t>
        </is>
      </c>
      <c r="J543" t="inlineStr">
        <is>
          <t>화성-제1공장</t>
        </is>
      </c>
      <c r="K543" t="inlineStr">
        <is>
          <t>02-558-1277</t>
        </is>
      </c>
      <c r="L543" t="inlineStr">
        <is>
          <t>경기도 화성시 만세구 향남읍 제약공단3길 87</t>
        </is>
      </c>
      <c r="M543" t="inlineStr"/>
      <c r="N543" t="inlineStr">
        <is>
          <t>경기도 화성시 만세구 향남읍 제약공단3길 87</t>
        </is>
      </c>
      <c r="O543" t="inlineStr">
        <is>
          <t>경기도</t>
        </is>
      </c>
      <c r="P543" t="inlineStr">
        <is>
          <t>화성시</t>
        </is>
      </c>
      <c r="Q543" t="inlineStr">
        <is>
          <t>N</t>
        </is>
      </c>
      <c r="R543" t="n">
        <v>0</v>
      </c>
    </row>
    <row r="544">
      <c r="A544" t="n">
        <v>543</v>
      </c>
      <c r="B544" t="inlineStr">
        <is>
          <t>(주)넥스팜코리아</t>
        </is>
      </c>
      <c r="C544" t="inlineStr">
        <is>
          <t>넥스팜코리아</t>
        </is>
      </c>
      <c r="D544" t="inlineStr">
        <is>
          <t>의약품</t>
        </is>
      </c>
      <c r="E544" t="inlineStr">
        <is>
          <t>1957</t>
        </is>
      </c>
      <c r="F544" t="inlineStr">
        <is>
          <t>김동필</t>
        </is>
      </c>
      <c r="G544" t="inlineStr">
        <is>
          <t>1996-12-05</t>
        </is>
      </c>
      <c r="H544" t="inlineStr">
        <is>
          <t>19961205</t>
        </is>
      </c>
      <c r="I544" t="inlineStr">
        <is>
          <t>1</t>
        </is>
      </c>
      <c r="J544" t="inlineStr">
        <is>
          <t>폐업</t>
        </is>
      </c>
      <c r="K544" t="inlineStr"/>
      <c r="L544" t="inlineStr">
        <is>
          <t>충청북도 진천군 문백면 농다리로 1149</t>
        </is>
      </c>
      <c r="M544" t="inlineStr"/>
      <c r="N544" t="inlineStr">
        <is>
          <t>충청북도 진천군 문백면 농다리로 1149</t>
        </is>
      </c>
      <c r="O544" t="inlineStr">
        <is>
          <t>충청북도</t>
        </is>
      </c>
      <c r="P544" t="inlineStr">
        <is>
          <t>진천군</t>
        </is>
      </c>
      <c r="Q544" t="inlineStr">
        <is>
          <t>N</t>
        </is>
      </c>
      <c r="R544" t="n">
        <v>0</v>
      </c>
    </row>
    <row r="545">
      <c r="A545" t="n">
        <v>544</v>
      </c>
      <c r="B545" t="inlineStr">
        <is>
          <t>삼익제약(주)</t>
        </is>
      </c>
      <c r="C545" t="inlineStr">
        <is>
          <t>삼익제약</t>
        </is>
      </c>
      <c r="D545" t="inlineStr">
        <is>
          <t>의약품</t>
        </is>
      </c>
      <c r="E545" t="inlineStr">
        <is>
          <t>1493</t>
        </is>
      </c>
      <c r="F545" t="inlineStr">
        <is>
          <t>권영이</t>
        </is>
      </c>
      <c r="G545" t="inlineStr">
        <is>
          <t>1968-07-04</t>
        </is>
      </c>
      <c r="H545" t="inlineStr">
        <is>
          <t>19680704</t>
        </is>
      </c>
      <c r="I545" t="inlineStr">
        <is>
          <t>3</t>
        </is>
      </c>
      <c r="J545" t="inlineStr">
        <is>
          <t>보관소</t>
        </is>
      </c>
      <c r="K545" t="inlineStr"/>
      <c r="L545" t="inlineStr">
        <is>
          <t>인천광역시 부평구 안남로417번길 28</t>
        </is>
      </c>
      <c r="M545" t="inlineStr">
        <is>
          <t>2층일부(보관소)</t>
        </is>
      </c>
      <c r="N545" t="inlineStr">
        <is>
          <t>인천광역시 부평구 안남로417번길 28 2층일부(보관소)</t>
        </is>
      </c>
      <c r="O545" t="inlineStr">
        <is>
          <t>인천광역시</t>
        </is>
      </c>
      <c r="P545" t="inlineStr">
        <is>
          <t>부평구</t>
        </is>
      </c>
      <c r="Q545" t="inlineStr">
        <is>
          <t>N</t>
        </is>
      </c>
      <c r="R545" t="n">
        <v>0</v>
      </c>
    </row>
    <row r="546">
      <c r="A546" t="n">
        <v>545</v>
      </c>
      <c r="B546" t="inlineStr">
        <is>
          <t>한솔신약(주)</t>
        </is>
      </c>
      <c r="C546" t="inlineStr">
        <is>
          <t>한솔신약</t>
        </is>
      </c>
      <c r="D546" t="inlineStr">
        <is>
          <t>의약품</t>
        </is>
      </c>
      <c r="E546" t="inlineStr">
        <is>
          <t>1703</t>
        </is>
      </c>
      <c r="F546" t="inlineStr">
        <is>
          <t>조정호</t>
        </is>
      </c>
      <c r="G546" t="inlineStr">
        <is>
          <t>1989-05-01</t>
        </is>
      </c>
      <c r="H546" t="inlineStr">
        <is>
          <t>19890501</t>
        </is>
      </c>
      <c r="I546" t="inlineStr">
        <is>
          <t>1</t>
        </is>
      </c>
      <c r="J546" t="inlineStr">
        <is>
          <t>음성</t>
        </is>
      </c>
      <c r="K546" t="inlineStr">
        <is>
          <t>043-881-6333</t>
        </is>
      </c>
      <c r="L546" t="inlineStr">
        <is>
          <t>충청북도 음성군 금왕읍 청평길 2-11</t>
        </is>
      </c>
      <c r="M546" t="inlineStr"/>
      <c r="N546" t="inlineStr">
        <is>
          <t>충청북도 음성군 금왕읍 청평길 2-11</t>
        </is>
      </c>
      <c r="O546" t="inlineStr">
        <is>
          <t>충청북도</t>
        </is>
      </c>
      <c r="P546" t="inlineStr">
        <is>
          <t>음성군</t>
        </is>
      </c>
      <c r="Q546" t="inlineStr">
        <is>
          <t>N</t>
        </is>
      </c>
      <c r="R546" t="n">
        <v>0</v>
      </c>
    </row>
    <row r="547">
      <c r="A547" t="n">
        <v>546</v>
      </c>
      <c r="B547" t="inlineStr">
        <is>
          <t>(주)에스디</t>
        </is>
      </c>
      <c r="C547" t="inlineStr">
        <is>
          <t>에스디</t>
        </is>
      </c>
      <c r="D547" t="inlineStr">
        <is>
          <t>의약품</t>
        </is>
      </c>
      <c r="E547" t="inlineStr">
        <is>
          <t>2134</t>
        </is>
      </c>
      <c r="F547" t="inlineStr">
        <is>
          <t>조병기</t>
        </is>
      </c>
      <c r="G547" t="inlineStr">
        <is>
          <t>2000-06-28</t>
        </is>
      </c>
      <c r="H547" t="inlineStr">
        <is>
          <t>20000628</t>
        </is>
      </c>
      <c r="I547" t="inlineStr">
        <is>
          <t>8</t>
        </is>
      </c>
      <c r="J547" t="inlineStr">
        <is>
          <t>제3보관소</t>
        </is>
      </c>
      <c r="K547" t="inlineStr"/>
      <c r="L547" t="inlineStr">
        <is>
          <t>경기도 화성시 동탄면 동부대로 780</t>
        </is>
      </c>
      <c r="M547" t="inlineStr">
        <is>
          <t>동탄일반산업단지 28블록1로트 상원로지스틱(주) 3층</t>
        </is>
      </c>
      <c r="N547" t="inlineStr">
        <is>
          <t>경기도 화성시 동탄면 동부대로 780 동탄일반산업단지 28블록1로트 상원로지스틱(주) 3층</t>
        </is>
      </c>
      <c r="O547" t="inlineStr">
        <is>
          <t>경기도</t>
        </is>
      </c>
      <c r="P547" t="inlineStr">
        <is>
          <t>화성시</t>
        </is>
      </c>
      <c r="Q547" t="inlineStr">
        <is>
          <t>N</t>
        </is>
      </c>
      <c r="R547" t="n">
        <v>0</v>
      </c>
    </row>
    <row r="548">
      <c r="A548" t="n">
        <v>547</v>
      </c>
      <c r="B548" t="inlineStr">
        <is>
          <t>케이엠에스제약(주)</t>
        </is>
      </c>
      <c r="C548" t="inlineStr">
        <is>
          <t>케이엠에스제약</t>
        </is>
      </c>
      <c r="D548" t="inlineStr">
        <is>
          <t>의약품</t>
        </is>
      </c>
      <c r="E548" t="inlineStr">
        <is>
          <t>1479</t>
        </is>
      </c>
      <c r="F548" t="inlineStr">
        <is>
          <t>김순례</t>
        </is>
      </c>
      <c r="G548" t="inlineStr">
        <is>
          <t>1966-12-07</t>
        </is>
      </c>
      <c r="H548" t="inlineStr">
        <is>
          <t>19661207</t>
        </is>
      </c>
      <c r="I548" t="inlineStr">
        <is>
          <t>2</t>
        </is>
      </c>
      <c r="J548" t="inlineStr">
        <is>
          <t>수원(시험실)</t>
        </is>
      </c>
      <c r="K548" t="inlineStr">
        <is>
          <t>031-215-5456</t>
        </is>
      </c>
      <c r="L548" t="inlineStr">
        <is>
          <t>경기도 수원시 영통구 신원로 232</t>
        </is>
      </c>
      <c r="M548" t="inlineStr"/>
      <c r="N548" t="inlineStr">
        <is>
          <t>경기도 수원시 영통구 신원로 232</t>
        </is>
      </c>
      <c r="O548" t="inlineStr">
        <is>
          <t>경기도</t>
        </is>
      </c>
      <c r="P548" t="inlineStr">
        <is>
          <t>수원시</t>
        </is>
      </c>
      <c r="Q548" t="inlineStr">
        <is>
          <t>Y</t>
        </is>
      </c>
      <c r="R548" t="n">
        <v>75</v>
      </c>
    </row>
    <row r="549">
      <c r="A549" t="n">
        <v>548</v>
      </c>
      <c r="B549" t="inlineStr">
        <is>
          <t>아시아케미칼(주)</t>
        </is>
      </c>
      <c r="C549" t="inlineStr">
        <is>
          <t>아시아케미칼</t>
        </is>
      </c>
      <c r="D549" t="inlineStr">
        <is>
          <t>의약품</t>
        </is>
      </c>
      <c r="E549" t="inlineStr">
        <is>
          <t>1679</t>
        </is>
      </c>
      <c r="F549" t="inlineStr">
        <is>
          <t>유영춘</t>
        </is>
      </c>
      <c r="G549" t="inlineStr">
        <is>
          <t>1987-08-31</t>
        </is>
      </c>
      <c r="H549" t="inlineStr">
        <is>
          <t>19870831</t>
        </is>
      </c>
      <c r="I549" t="inlineStr">
        <is>
          <t>1</t>
        </is>
      </c>
      <c r="J549" t="inlineStr">
        <is>
          <t>인천</t>
        </is>
      </c>
      <c r="K549" t="inlineStr">
        <is>
          <t>032-525-0080</t>
        </is>
      </c>
      <c r="L549" t="inlineStr">
        <is>
          <t>인천광역시 부평구 안남로 391</t>
        </is>
      </c>
      <c r="M549" t="inlineStr"/>
      <c r="N549" t="inlineStr">
        <is>
          <t>인천광역시 부평구 안남로 391</t>
        </is>
      </c>
      <c r="O549" t="inlineStr">
        <is>
          <t>인천광역시</t>
        </is>
      </c>
      <c r="P549" t="inlineStr">
        <is>
          <t>부평구</t>
        </is>
      </c>
      <c r="Q549" t="inlineStr">
        <is>
          <t>N</t>
        </is>
      </c>
      <c r="R549" t="n">
        <v>0</v>
      </c>
    </row>
    <row r="550">
      <c r="A550" t="n">
        <v>549</v>
      </c>
      <c r="B550" t="inlineStr">
        <is>
          <t>(주)삼오제약</t>
        </is>
      </c>
      <c r="C550" t="inlineStr">
        <is>
          <t>삼오제약</t>
        </is>
      </c>
      <c r="D550" t="inlineStr">
        <is>
          <t>의약품</t>
        </is>
      </c>
      <c r="E550" t="inlineStr">
        <is>
          <t>2105</t>
        </is>
      </c>
      <c r="F550" t="inlineStr">
        <is>
          <t>오장석</t>
        </is>
      </c>
      <c r="G550" t="inlineStr">
        <is>
          <t>2000-01-06</t>
        </is>
      </c>
      <c r="H550" t="inlineStr">
        <is>
          <t>20000106</t>
        </is>
      </c>
      <c r="I550" t="inlineStr">
        <is>
          <t>1</t>
        </is>
      </c>
      <c r="J550" t="inlineStr">
        <is>
          <t>시화</t>
        </is>
      </c>
      <c r="K550" t="inlineStr">
        <is>
          <t>031-498-0355</t>
        </is>
      </c>
      <c r="L550" t="inlineStr">
        <is>
          <t>경기도 시흥시 옥구천서로81번길 63</t>
        </is>
      </c>
      <c r="M550" t="inlineStr">
        <is>
          <t>(시화공단 1마 705호) (정왕동)</t>
        </is>
      </c>
      <c r="N550" t="inlineStr">
        <is>
          <t>경기도 시흥시 옥구천서로81번길 63 (시화공단 1마 705호) (정왕동)</t>
        </is>
      </c>
      <c r="O550" t="inlineStr">
        <is>
          <t>경기도</t>
        </is>
      </c>
      <c r="P550" t="inlineStr">
        <is>
          <t>시흥시</t>
        </is>
      </c>
      <c r="Q550" t="inlineStr">
        <is>
          <t>Y</t>
        </is>
      </c>
      <c r="R550" t="n">
        <v>56</v>
      </c>
    </row>
    <row r="551">
      <c r="A551" t="n">
        <v>550</v>
      </c>
      <c r="B551" t="inlineStr">
        <is>
          <t>코오롱제약(주)</t>
        </is>
      </c>
      <c r="C551" t="inlineStr">
        <is>
          <t>코오롱제약</t>
        </is>
      </c>
      <c r="D551" t="inlineStr">
        <is>
          <t>의약품</t>
        </is>
      </c>
      <c r="E551" t="inlineStr">
        <is>
          <t>1472</t>
        </is>
      </c>
      <c r="F551" t="inlineStr">
        <is>
          <t>전승호</t>
        </is>
      </c>
      <c r="G551" t="inlineStr">
        <is>
          <t>1965-11-29</t>
        </is>
      </c>
      <c r="H551" t="inlineStr">
        <is>
          <t>19651129</t>
        </is>
      </c>
      <c r="I551" t="inlineStr">
        <is>
          <t>1</t>
        </is>
      </c>
      <c r="J551" t="inlineStr">
        <is>
          <t>대전</t>
        </is>
      </c>
      <c r="K551" t="inlineStr">
        <is>
          <t>042-930-5710</t>
        </is>
      </c>
      <c r="L551" t="inlineStr">
        <is>
          <t>대전광역시 대덕구 문평서로18번길 45</t>
        </is>
      </c>
      <c r="M551" t="inlineStr"/>
      <c r="N551" t="inlineStr">
        <is>
          <t>대전광역시 대덕구 문평서로18번길 45</t>
        </is>
      </c>
      <c r="O551" t="inlineStr">
        <is>
          <t>대전광역시</t>
        </is>
      </c>
      <c r="P551" t="inlineStr">
        <is>
          <t>대덕구</t>
        </is>
      </c>
      <c r="Q551" t="inlineStr">
        <is>
          <t>N</t>
        </is>
      </c>
      <c r="R551" t="n">
        <v>0</v>
      </c>
    </row>
    <row r="552">
      <c r="A552" t="n">
        <v>551</v>
      </c>
      <c r="B552" t="inlineStr">
        <is>
          <t>가스켐테크놀로지(주)</t>
        </is>
      </c>
      <c r="C552" t="inlineStr">
        <is>
          <t>가스켐테크놀로지</t>
        </is>
      </c>
      <c r="D552" t="inlineStr">
        <is>
          <t>의약품</t>
        </is>
      </c>
      <c r="E552" t="inlineStr">
        <is>
          <t>2103</t>
        </is>
      </c>
      <c r="F552" t="inlineStr">
        <is>
          <t>조창현</t>
        </is>
      </c>
      <c r="G552" t="inlineStr">
        <is>
          <t>1999-12-30</t>
        </is>
      </c>
      <c r="H552" t="inlineStr">
        <is>
          <t>19991230</t>
        </is>
      </c>
      <c r="I552" t="inlineStr">
        <is>
          <t>1</t>
        </is>
      </c>
      <c r="J552" t="inlineStr">
        <is>
          <t>천안</t>
        </is>
      </c>
      <c r="K552" t="inlineStr"/>
      <c r="L552" t="inlineStr">
        <is>
          <t>충청남도 천안시 서북구 성환읍 와룡길 350</t>
        </is>
      </c>
      <c r="M552" t="inlineStr"/>
      <c r="N552" t="inlineStr">
        <is>
          <t>충청남도 천안시 서북구 성환읍 와룡길 350</t>
        </is>
      </c>
      <c r="O552" t="inlineStr">
        <is>
          <t>충청남도</t>
        </is>
      </c>
      <c r="P552" t="inlineStr">
        <is>
          <t>천안시</t>
        </is>
      </c>
      <c r="Q552" t="inlineStr">
        <is>
          <t>N</t>
        </is>
      </c>
      <c r="R552" t="n">
        <v>0</v>
      </c>
    </row>
    <row r="553">
      <c r="A553" t="n">
        <v>552</v>
      </c>
      <c r="B553" t="inlineStr">
        <is>
          <t>경방신약(주)</t>
        </is>
      </c>
      <c r="C553" t="inlineStr">
        <is>
          <t>경방신약</t>
        </is>
      </c>
      <c r="D553" t="inlineStr">
        <is>
          <t>의약품</t>
        </is>
      </c>
      <c r="E553" t="inlineStr">
        <is>
          <t>2101</t>
        </is>
      </c>
      <c r="F553" t="inlineStr">
        <is>
          <t>김충환</t>
        </is>
      </c>
      <c r="G553" t="inlineStr">
        <is>
          <t>1999-12-22</t>
        </is>
      </c>
      <c r="H553" t="inlineStr">
        <is>
          <t>19991222</t>
        </is>
      </c>
      <c r="I553" t="inlineStr">
        <is>
          <t>3</t>
        </is>
      </c>
      <c r="J553" t="inlineStr">
        <is>
          <t>보관소1</t>
        </is>
      </c>
      <c r="K553" t="inlineStr">
        <is>
          <t>032-822-4322//032-222-8905//1599-7199</t>
        </is>
      </c>
      <c r="L553" t="inlineStr">
        <is>
          <t>인천광역시 남동구 남동대로 398</t>
        </is>
      </c>
      <c r="M553" t="inlineStr">
        <is>
          <t>3층일부(보관소)</t>
        </is>
      </c>
      <c r="N553" t="inlineStr">
        <is>
          <t>인천광역시 남동구 남동대로 398 3층일부(보관소)</t>
        </is>
      </c>
      <c r="O553" t="inlineStr">
        <is>
          <t>인천광역시</t>
        </is>
      </c>
      <c r="P553" t="inlineStr">
        <is>
          <t>남동구</t>
        </is>
      </c>
      <c r="Q553" t="inlineStr">
        <is>
          <t>N</t>
        </is>
      </c>
      <c r="R553" t="n">
        <v>0</v>
      </c>
    </row>
    <row r="554">
      <c r="A554" t="n">
        <v>553</v>
      </c>
      <c r="B554" t="inlineStr">
        <is>
          <t>(주)씨엘팜</t>
        </is>
      </c>
      <c r="C554" t="inlineStr">
        <is>
          <t>씨엘팜</t>
        </is>
      </c>
      <c r="D554" t="inlineStr">
        <is>
          <t>의약품</t>
        </is>
      </c>
      <c r="E554" t="inlineStr">
        <is>
          <t>942</t>
        </is>
      </c>
      <c r="F554" t="inlineStr">
        <is>
          <t>김의용</t>
        </is>
      </c>
      <c r="G554" t="inlineStr">
        <is>
          <t>2011-06-22</t>
        </is>
      </c>
      <c r="H554" t="inlineStr">
        <is>
          <t>20110622</t>
        </is>
      </c>
      <c r="I554" t="inlineStr">
        <is>
          <t>1</t>
        </is>
      </c>
      <c r="J554" t="inlineStr">
        <is>
          <t>(주)씨엘팜</t>
        </is>
      </c>
      <c r="K554" t="inlineStr">
        <is>
          <t>(041)546-1661</t>
        </is>
      </c>
      <c r="L554" t="inlineStr">
        <is>
          <t>충청남도 아산시 신창면 가내길 101</t>
        </is>
      </c>
      <c r="M554" t="inlineStr"/>
      <c r="N554" t="inlineStr">
        <is>
          <t>충청남도 아산시 신창면 가내길 101</t>
        </is>
      </c>
      <c r="O554" t="inlineStr">
        <is>
          <t>충청남도</t>
        </is>
      </c>
      <c r="P554" t="inlineStr">
        <is>
          <t>아산시</t>
        </is>
      </c>
      <c r="Q554" t="inlineStr">
        <is>
          <t>Y</t>
        </is>
      </c>
      <c r="R554" t="n">
        <v>76</v>
      </c>
    </row>
    <row r="555">
      <c r="A555" t="n">
        <v>554</v>
      </c>
      <c r="B555" t="inlineStr">
        <is>
          <t>코오롱생명과학(주)</t>
        </is>
      </c>
      <c r="C555" t="inlineStr">
        <is>
          <t>코오롱생명과학</t>
        </is>
      </c>
      <c r="D555" t="inlineStr">
        <is>
          <t>의약품</t>
        </is>
      </c>
      <c r="E555" t="inlineStr">
        <is>
          <t>1607</t>
        </is>
      </c>
      <c r="F555" t="inlineStr">
        <is>
          <t>이한국</t>
        </is>
      </c>
      <c r="G555" t="inlineStr">
        <is>
          <t>1981-06-29</t>
        </is>
      </c>
      <c r="H555" t="inlineStr">
        <is>
          <t>19810629</t>
        </is>
      </c>
      <c r="I555" t="inlineStr">
        <is>
          <t>3</t>
        </is>
      </c>
      <c r="J555" t="inlineStr">
        <is>
          <t>충주</t>
        </is>
      </c>
      <c r="K555" t="inlineStr">
        <is>
          <t>043-880-3336</t>
        </is>
      </c>
      <c r="L555" t="inlineStr">
        <is>
          <t>충청북도 충주시 대소원면 기업도시1로 54</t>
        </is>
      </c>
      <c r="M555" t="inlineStr"/>
      <c r="N555" t="inlineStr">
        <is>
          <t>충청북도 충주시 대소원면 기업도시1로 54</t>
        </is>
      </c>
      <c r="O555" t="inlineStr">
        <is>
          <t>충청북도</t>
        </is>
      </c>
      <c r="P555" t="inlineStr">
        <is>
          <t>충주시</t>
        </is>
      </c>
      <c r="Q555" t="inlineStr">
        <is>
          <t>N</t>
        </is>
      </c>
      <c r="R555" t="n">
        <v>0</v>
      </c>
    </row>
    <row r="556">
      <c r="A556" t="n">
        <v>555</v>
      </c>
      <c r="B556" t="inlineStr">
        <is>
          <t>에리슨제약(주)</t>
        </is>
      </c>
      <c r="C556" t="inlineStr">
        <is>
          <t>에리슨제약</t>
        </is>
      </c>
      <c r="D556" t="inlineStr">
        <is>
          <t>의약품</t>
        </is>
      </c>
      <c r="E556" t="inlineStr">
        <is>
          <t>331</t>
        </is>
      </c>
      <c r="F556" t="inlineStr">
        <is>
          <t>지윤찬</t>
        </is>
      </c>
      <c r="G556" t="inlineStr">
        <is>
          <t>2010-12-30</t>
        </is>
      </c>
      <c r="H556" t="inlineStr">
        <is>
          <t>20101230</t>
        </is>
      </c>
      <c r="I556" t="inlineStr">
        <is>
          <t>1</t>
        </is>
      </c>
      <c r="J556" t="inlineStr">
        <is>
          <t>제1공장</t>
        </is>
      </c>
      <c r="K556" t="inlineStr"/>
      <c r="L556" t="inlineStr">
        <is>
          <t>경기도 화성시 만세구 향남읍 제약공단3길 95</t>
        </is>
      </c>
      <c r="M556" t="inlineStr"/>
      <c r="N556" t="inlineStr">
        <is>
          <t>경기도 화성시 만세구 향남읍 제약공단3길 95</t>
        </is>
      </c>
      <c r="O556" t="inlineStr">
        <is>
          <t>경기도</t>
        </is>
      </c>
      <c r="P556" t="inlineStr">
        <is>
          <t>화성시</t>
        </is>
      </c>
      <c r="Q556" t="inlineStr">
        <is>
          <t>N</t>
        </is>
      </c>
      <c r="R556" t="n">
        <v>0</v>
      </c>
    </row>
    <row r="557">
      <c r="A557" t="n">
        <v>556</v>
      </c>
      <c r="B557" t="inlineStr">
        <is>
          <t>(주)엘지화학</t>
        </is>
      </c>
      <c r="C557" t="inlineStr">
        <is>
          <t>엘지화학</t>
        </is>
      </c>
      <c r="D557" t="inlineStr">
        <is>
          <t>의약품</t>
        </is>
      </c>
      <c r="E557" t="inlineStr">
        <is>
          <t>1543</t>
        </is>
      </c>
      <c r="F557" t="inlineStr">
        <is>
          <t>김동춘</t>
        </is>
      </c>
      <c r="G557" t="inlineStr">
        <is>
          <t>1972-01-24</t>
        </is>
      </c>
      <c r="H557" t="inlineStr">
        <is>
          <t>19720124</t>
        </is>
      </c>
      <c r="I557" t="inlineStr">
        <is>
          <t>1</t>
        </is>
      </c>
      <c r="J557" t="inlineStr">
        <is>
          <t>익산</t>
        </is>
      </c>
      <c r="K557" t="inlineStr">
        <is>
          <t>063-830-4777</t>
        </is>
      </c>
      <c r="L557" t="inlineStr">
        <is>
          <t>전북특별자치도 익산시 석암로 129</t>
        </is>
      </c>
      <c r="M557" t="inlineStr"/>
      <c r="N557" t="inlineStr">
        <is>
          <t>전북특별자치도 익산시 석암로 129</t>
        </is>
      </c>
      <c r="O557" t="inlineStr">
        <is>
          <t>전북특별자치도</t>
        </is>
      </c>
      <c r="P557" t="inlineStr">
        <is>
          <t>익산시</t>
        </is>
      </c>
      <c r="Q557" t="inlineStr">
        <is>
          <t>N</t>
        </is>
      </c>
      <c r="R557" t="n">
        <v>0</v>
      </c>
    </row>
    <row r="558">
      <c r="A558" t="n">
        <v>557</v>
      </c>
      <c r="B558" t="inlineStr">
        <is>
          <t>(주)한독</t>
        </is>
      </c>
      <c r="C558" t="inlineStr">
        <is>
          <t>한독</t>
        </is>
      </c>
      <c r="D558" t="inlineStr">
        <is>
          <t>의약품</t>
        </is>
      </c>
      <c r="E558" t="inlineStr">
        <is>
          <t>1374</t>
        </is>
      </c>
      <c r="F558" t="inlineStr">
        <is>
          <t>김영진</t>
        </is>
      </c>
      <c r="G558" t="inlineStr">
        <is>
          <t>1959-03-19</t>
        </is>
      </c>
      <c r="H558" t="inlineStr">
        <is>
          <t>19590319</t>
        </is>
      </c>
      <c r="I558" t="inlineStr">
        <is>
          <t>1</t>
        </is>
      </c>
      <c r="J558" t="inlineStr">
        <is>
          <t>음성</t>
        </is>
      </c>
      <c r="K558" t="inlineStr">
        <is>
          <t>02-537-5331</t>
        </is>
      </c>
      <c r="L558" t="inlineStr">
        <is>
          <t>충청북도 음성군 대소읍 대풍산단로 78</t>
        </is>
      </c>
      <c r="M558" t="inlineStr"/>
      <c r="N558" t="inlineStr">
        <is>
          <t>충청북도 음성군 대소읍 대풍산단로 78</t>
        </is>
      </c>
      <c r="O558" t="inlineStr">
        <is>
          <t>충청북도</t>
        </is>
      </c>
      <c r="P558" t="inlineStr">
        <is>
          <t>음성군</t>
        </is>
      </c>
      <c r="Q558" t="inlineStr">
        <is>
          <t>N</t>
        </is>
      </c>
      <c r="R558" t="n">
        <v>0</v>
      </c>
    </row>
    <row r="559">
      <c r="A559" t="n">
        <v>558</v>
      </c>
      <c r="B559" t="inlineStr">
        <is>
          <t>일양바이오팜(주)</t>
        </is>
      </c>
      <c r="C559" t="inlineStr">
        <is>
          <t>일양바이오팜</t>
        </is>
      </c>
      <c r="D559" t="inlineStr">
        <is>
          <t>의약품</t>
        </is>
      </c>
      <c r="E559" t="inlineStr">
        <is>
          <t>312</t>
        </is>
      </c>
      <c r="F559" t="inlineStr">
        <is>
          <t>정희석</t>
        </is>
      </c>
      <c r="G559" t="inlineStr">
        <is>
          <t>2009-11-23</t>
        </is>
      </c>
      <c r="H559" t="inlineStr">
        <is>
          <t>20091123</t>
        </is>
      </c>
      <c r="I559" t="inlineStr">
        <is>
          <t>1</t>
        </is>
      </c>
      <c r="J559" t="inlineStr">
        <is>
          <t>의약품</t>
        </is>
      </c>
      <c r="K559" t="inlineStr">
        <is>
          <t>02-570-3972</t>
        </is>
      </c>
      <c r="L559" t="inlineStr">
        <is>
          <t>충청북도 제천시 바이오밸리3로 8</t>
        </is>
      </c>
      <c r="M559" t="inlineStr"/>
      <c r="N559" t="inlineStr">
        <is>
          <t>충청북도 제천시 바이오밸리3로 8</t>
        </is>
      </c>
      <c r="O559" t="inlineStr">
        <is>
          <t>충청북도</t>
        </is>
      </c>
      <c r="P559" t="inlineStr">
        <is>
          <t>제천시</t>
        </is>
      </c>
      <c r="Q559" t="inlineStr">
        <is>
          <t>N</t>
        </is>
      </c>
      <c r="R559" t="n">
        <v>0</v>
      </c>
    </row>
    <row r="560">
      <c r="A560" t="n">
        <v>559</v>
      </c>
      <c r="B560" t="inlineStr">
        <is>
          <t>덕산약품공업(주)</t>
        </is>
      </c>
      <c r="C560" t="inlineStr">
        <is>
          <t>덕산약품공업</t>
        </is>
      </c>
      <c r="D560" t="inlineStr">
        <is>
          <t>의약품</t>
        </is>
      </c>
      <c r="E560" t="inlineStr">
        <is>
          <t>1553</t>
        </is>
      </c>
      <c r="F560" t="inlineStr">
        <is>
          <t>고영채</t>
        </is>
      </c>
      <c r="G560" t="inlineStr">
        <is>
          <t>1972-11-27</t>
        </is>
      </c>
      <c r="H560" t="inlineStr">
        <is>
          <t>19721127</t>
        </is>
      </c>
      <c r="I560" t="inlineStr">
        <is>
          <t>1</t>
        </is>
      </c>
      <c r="J560" t="inlineStr">
        <is>
          <t>안산</t>
        </is>
      </c>
      <c r="K560" t="inlineStr">
        <is>
          <t>031-495-4055</t>
        </is>
      </c>
      <c r="L560" t="inlineStr">
        <is>
          <t>경기도 안산시 단원구 신원로133번길 53</t>
        </is>
      </c>
      <c r="M560" t="inlineStr"/>
      <c r="N560" t="inlineStr">
        <is>
          <t>경기도 안산시 단원구 신원로133번길 53</t>
        </is>
      </c>
      <c r="O560" t="inlineStr">
        <is>
          <t>경기도</t>
        </is>
      </c>
      <c r="P560" t="inlineStr">
        <is>
          <t>안산시</t>
        </is>
      </c>
      <c r="Q560" t="inlineStr">
        <is>
          <t>N</t>
        </is>
      </c>
      <c r="R560" t="n">
        <v>0</v>
      </c>
    </row>
    <row r="561">
      <c r="A561" t="n">
        <v>560</v>
      </c>
      <c r="B561" t="inlineStr">
        <is>
          <t>대원제약(주)</t>
        </is>
      </c>
      <c r="C561" t="inlineStr">
        <is>
          <t>대원제약</t>
        </is>
      </c>
      <c r="D561" t="inlineStr">
        <is>
          <t>의약품</t>
        </is>
      </c>
      <c r="E561" t="inlineStr">
        <is>
          <t>1373</t>
        </is>
      </c>
      <c r="F561" t="inlineStr">
        <is>
          <t>백승열</t>
        </is>
      </c>
      <c r="G561" t="inlineStr">
        <is>
          <t>1958-12-10</t>
        </is>
      </c>
      <c r="H561" t="inlineStr">
        <is>
          <t>19581210</t>
        </is>
      </c>
      <c r="I561" t="inlineStr">
        <is>
          <t>1</t>
        </is>
      </c>
      <c r="J561" t="inlineStr">
        <is>
          <t>화성</t>
        </is>
      </c>
      <c r="K561" t="inlineStr">
        <is>
          <t>498-9100/7</t>
        </is>
      </c>
      <c r="L561" t="inlineStr">
        <is>
          <t>경기도 화성시 만세구 향남읍 제약공단1길 24</t>
        </is>
      </c>
      <c r="M561" t="inlineStr"/>
      <c r="N561" t="inlineStr">
        <is>
          <t>경기도 화성시 만세구 향남읍 제약공단1길 24</t>
        </is>
      </c>
      <c r="O561" t="inlineStr">
        <is>
          <t>경기도</t>
        </is>
      </c>
      <c r="P561" t="inlineStr">
        <is>
          <t>화성시</t>
        </is>
      </c>
      <c r="Q561" t="inlineStr">
        <is>
          <t>N</t>
        </is>
      </c>
      <c r="R561" t="n">
        <v>0</v>
      </c>
    </row>
    <row r="562">
      <c r="A562" t="n">
        <v>561</v>
      </c>
      <c r="B562" t="inlineStr">
        <is>
          <t>주식회사 누베라이트제약</t>
        </is>
      </c>
      <c r="C562" t="inlineStr">
        <is>
          <t>누베라이트제약</t>
        </is>
      </c>
      <c r="D562" t="inlineStr">
        <is>
          <t>의약품</t>
        </is>
      </c>
      <c r="E562" t="inlineStr">
        <is>
          <t>6187</t>
        </is>
      </c>
      <c r="F562" t="inlineStr">
        <is>
          <t>이승한</t>
        </is>
      </c>
      <c r="G562" t="inlineStr">
        <is>
          <t>2025-04-22</t>
        </is>
      </c>
      <c r="H562" t="inlineStr">
        <is>
          <t>20250422</t>
        </is>
      </c>
      <c r="I562" t="inlineStr">
        <is>
          <t>1</t>
        </is>
      </c>
      <c r="J562" t="inlineStr">
        <is>
          <t>주식회사 누베라이트제약</t>
        </is>
      </c>
      <c r="K562" t="inlineStr">
        <is>
          <t>0437429551</t>
        </is>
      </c>
      <c r="L562" t="inlineStr">
        <is>
          <t>충청북도 영동군 영동읍 산막골길 65</t>
        </is>
      </c>
      <c r="M562" t="inlineStr"/>
      <c r="N562" t="inlineStr">
        <is>
          <t>충청북도 영동군 영동읍 산막골길 65</t>
        </is>
      </c>
      <c r="O562" t="inlineStr">
        <is>
          <t>충청북도</t>
        </is>
      </c>
      <c r="P562" t="inlineStr">
        <is>
          <t>영동군</t>
        </is>
      </c>
      <c r="Q562" t="inlineStr">
        <is>
          <t>N</t>
        </is>
      </c>
      <c r="R562" t="n">
        <v>0</v>
      </c>
    </row>
    <row r="563">
      <c r="A563" t="n">
        <v>562</v>
      </c>
      <c r="B563" t="inlineStr">
        <is>
          <t>휴젤주식회사</t>
        </is>
      </c>
      <c r="C563" t="inlineStr">
        <is>
          <t>휴젤</t>
        </is>
      </c>
      <c r="D563" t="inlineStr">
        <is>
          <t>의약품</t>
        </is>
      </c>
      <c r="E563" t="inlineStr">
        <is>
          <t>273</t>
        </is>
      </c>
      <c r="F563" t="inlineStr">
        <is>
          <t>장두현</t>
        </is>
      </c>
      <c r="G563" t="inlineStr">
        <is>
          <t>2008-12-19</t>
        </is>
      </c>
      <c r="H563" t="inlineStr">
        <is>
          <t>20081219</t>
        </is>
      </c>
      <c r="I563" t="inlineStr">
        <is>
          <t>1</t>
        </is>
      </c>
      <c r="J563" t="inlineStr">
        <is>
          <t>제1공장</t>
        </is>
      </c>
      <c r="K563" t="inlineStr">
        <is>
          <t>(033)255-3882</t>
        </is>
      </c>
      <c r="L563" t="inlineStr">
        <is>
          <t>강원특별자치도 춘천시 신북읍 신북로 61-20</t>
        </is>
      </c>
      <c r="M563" t="inlineStr">
        <is>
          <t>강원테크노파크 단지 내</t>
        </is>
      </c>
      <c r="N563" t="inlineStr">
        <is>
          <t>강원특별자치도 춘천시 신북읍 신북로 61-20 강원테크노파크 단지 내</t>
        </is>
      </c>
      <c r="O563" t="inlineStr">
        <is>
          <t>강원특별자치도</t>
        </is>
      </c>
      <c r="P563" t="inlineStr">
        <is>
          <t>춘천시</t>
        </is>
      </c>
      <c r="Q563" t="inlineStr">
        <is>
          <t>N</t>
        </is>
      </c>
      <c r="R563" t="n">
        <v>0</v>
      </c>
    </row>
    <row r="564">
      <c r="A564" t="n">
        <v>563</v>
      </c>
      <c r="B564" t="inlineStr">
        <is>
          <t>맥널티제약(주)</t>
        </is>
      </c>
      <c r="C564" t="inlineStr">
        <is>
          <t>맥널티제약</t>
        </is>
      </c>
      <c r="D564" t="inlineStr">
        <is>
          <t>의약품</t>
        </is>
      </c>
      <c r="E564" t="inlineStr">
        <is>
          <t>1524</t>
        </is>
      </c>
      <c r="F564" t="inlineStr">
        <is>
          <t>이은정</t>
        </is>
      </c>
      <c r="G564" t="inlineStr">
        <is>
          <t>1971-04-19</t>
        </is>
      </c>
      <c r="H564" t="inlineStr">
        <is>
          <t>19710419</t>
        </is>
      </c>
      <c r="I564" t="inlineStr">
        <is>
          <t>2</t>
        </is>
      </c>
      <c r="J564" t="inlineStr">
        <is>
          <t>천안</t>
        </is>
      </c>
      <c r="K564" t="inlineStr">
        <is>
          <t>031-378-1460</t>
        </is>
      </c>
      <c r="L564" t="inlineStr">
        <is>
          <t>충청남도 천안시 서북구 성환읍 율금3길 46</t>
        </is>
      </c>
      <c r="M564" t="inlineStr"/>
      <c r="N564" t="inlineStr">
        <is>
          <t>충청남도 천안시 서북구 성환읍 율금3길 46</t>
        </is>
      </c>
      <c r="O564" t="inlineStr">
        <is>
          <t>충청남도</t>
        </is>
      </c>
      <c r="P564" t="inlineStr">
        <is>
          <t>천안시</t>
        </is>
      </c>
      <c r="Q564" t="inlineStr">
        <is>
          <t>N</t>
        </is>
      </c>
      <c r="R564" t="n">
        <v>0</v>
      </c>
    </row>
    <row r="565">
      <c r="A565" t="n">
        <v>564</v>
      </c>
      <c r="B565" t="inlineStr">
        <is>
          <t>알보젠코리아(주)</t>
        </is>
      </c>
      <c r="C565" t="inlineStr">
        <is>
          <t>알보젠코리아</t>
        </is>
      </c>
      <c r="D565" t="inlineStr">
        <is>
          <t>의약품</t>
        </is>
      </c>
      <c r="E565" t="inlineStr">
        <is>
          <t>1367</t>
        </is>
      </c>
      <c r="F565" t="inlineStr">
        <is>
          <t>임희균</t>
        </is>
      </c>
      <c r="G565" t="inlineStr">
        <is>
          <t>1958-05-01</t>
        </is>
      </c>
      <c r="H565" t="inlineStr">
        <is>
          <t>19580501</t>
        </is>
      </c>
      <c r="I565" t="inlineStr">
        <is>
          <t>1</t>
        </is>
      </c>
      <c r="J565" t="inlineStr">
        <is>
          <t>공주</t>
        </is>
      </c>
      <c r="K565" t="inlineStr">
        <is>
          <t>041-840-5300</t>
        </is>
      </c>
      <c r="L565" t="inlineStr">
        <is>
          <t>충청남도 공주시 정안면 정안농공단지길 55-8</t>
        </is>
      </c>
      <c r="M565" t="inlineStr"/>
      <c r="N565" t="inlineStr">
        <is>
          <t>충청남도 공주시 정안면 정안농공단지길 55-8</t>
        </is>
      </c>
      <c r="O565" t="inlineStr">
        <is>
          <t>충청남도</t>
        </is>
      </c>
      <c r="P565" t="inlineStr">
        <is>
          <t>공주시</t>
        </is>
      </c>
      <c r="Q565" t="inlineStr">
        <is>
          <t>N</t>
        </is>
      </c>
      <c r="R565" t="n">
        <v>0</v>
      </c>
    </row>
    <row r="566">
      <c r="A566" t="n">
        <v>565</v>
      </c>
      <c r="B566" t="inlineStr">
        <is>
          <t>(주)파마킹</t>
        </is>
      </c>
      <c r="C566" t="inlineStr">
        <is>
          <t>파마킹</t>
        </is>
      </c>
      <c r="D566" t="inlineStr">
        <is>
          <t>의약품</t>
        </is>
      </c>
      <c r="E566" t="inlineStr">
        <is>
          <t>1344</t>
        </is>
      </c>
      <c r="F566" t="inlineStr">
        <is>
          <t>김완배</t>
        </is>
      </c>
      <c r="G566" t="inlineStr">
        <is>
          <t>1957-06-14</t>
        </is>
      </c>
      <c r="H566" t="inlineStr">
        <is>
          <t>19570614</t>
        </is>
      </c>
      <c r="I566" t="inlineStr">
        <is>
          <t>1</t>
        </is>
      </c>
      <c r="J566" t="inlineStr">
        <is>
          <t>음성</t>
        </is>
      </c>
      <c r="K566" t="inlineStr">
        <is>
          <t>043-882-3501</t>
        </is>
      </c>
      <c r="L566" t="inlineStr">
        <is>
          <t>충청북도 음성군 감곡면 행군이길 87-17</t>
        </is>
      </c>
      <c r="M566" t="inlineStr"/>
      <c r="N566" t="inlineStr">
        <is>
          <t>충청북도 음성군 감곡면 행군이길 87-17</t>
        </is>
      </c>
      <c r="O566" t="inlineStr">
        <is>
          <t>충청북도</t>
        </is>
      </c>
      <c r="P566" t="inlineStr">
        <is>
          <t>음성군</t>
        </is>
      </c>
      <c r="Q566" t="inlineStr">
        <is>
          <t>N</t>
        </is>
      </c>
      <c r="R566" t="n">
        <v>0</v>
      </c>
    </row>
    <row r="567">
      <c r="A567" t="n">
        <v>566</v>
      </c>
      <c r="B567" t="inlineStr">
        <is>
          <t>(주)녹십자</t>
        </is>
      </c>
      <c r="C567" t="inlineStr">
        <is>
          <t>녹십자</t>
        </is>
      </c>
      <c r="D567" t="inlineStr">
        <is>
          <t>의약품</t>
        </is>
      </c>
      <c r="E567" t="inlineStr">
        <is>
          <t>1735</t>
        </is>
      </c>
      <c r="F567" t="inlineStr">
        <is>
          <t>허은철</t>
        </is>
      </c>
      <c r="G567" t="inlineStr">
        <is>
          <t>1991-01-18</t>
        </is>
      </c>
      <c r="H567" t="inlineStr">
        <is>
          <t>19910118</t>
        </is>
      </c>
      <c r="I567" t="inlineStr">
        <is>
          <t>8</t>
        </is>
      </c>
      <c r="J567" t="inlineStr">
        <is>
          <t>화순(생물학적제제)</t>
        </is>
      </c>
      <c r="K567" t="inlineStr">
        <is>
          <t>031-260-9382</t>
        </is>
      </c>
      <c r="L567" t="inlineStr">
        <is>
          <t>전라남도 화순군 화순읍 산단길 40</t>
        </is>
      </c>
      <c r="M567" t="inlineStr"/>
      <c r="N567" t="inlineStr">
        <is>
          <t>전라남도 화순군 화순읍 산단길 40</t>
        </is>
      </c>
      <c r="O567" t="inlineStr">
        <is>
          <t>전라남도</t>
        </is>
      </c>
      <c r="P567" t="inlineStr">
        <is>
          <t>화순군</t>
        </is>
      </c>
      <c r="Q567" t="inlineStr">
        <is>
          <t>N</t>
        </is>
      </c>
      <c r="R567" t="n">
        <v>0</v>
      </c>
    </row>
    <row r="568">
      <c r="A568" t="n">
        <v>567</v>
      </c>
      <c r="B568" t="inlineStr">
        <is>
          <t>경일제약사</t>
        </is>
      </c>
      <c r="C568" t="inlineStr">
        <is>
          <t>경일제약사</t>
        </is>
      </c>
      <c r="D568" t="inlineStr">
        <is>
          <t>의약품</t>
        </is>
      </c>
      <c r="E568" t="inlineStr">
        <is>
          <t>1721</t>
        </is>
      </c>
      <c r="F568" t="inlineStr">
        <is>
          <t>홍정식</t>
        </is>
      </c>
      <c r="G568" t="inlineStr">
        <is>
          <t>1990-04-25</t>
        </is>
      </c>
      <c r="H568" t="inlineStr">
        <is>
          <t>19900425</t>
        </is>
      </c>
      <c r="I568" t="inlineStr">
        <is>
          <t>1</t>
        </is>
      </c>
      <c r="J568" t="inlineStr">
        <is>
          <t>금산</t>
        </is>
      </c>
      <c r="K568" t="inlineStr">
        <is>
          <t>041-752-9701</t>
        </is>
      </c>
      <c r="L568" t="inlineStr">
        <is>
          <t>충청남도 금산군 금산읍 장동길 198</t>
        </is>
      </c>
      <c r="M568" t="inlineStr"/>
      <c r="N568" t="inlineStr">
        <is>
          <t>충청남도 금산군 금산읍 장동길 198</t>
        </is>
      </c>
      <c r="O568" t="inlineStr">
        <is>
          <t>충청남도</t>
        </is>
      </c>
      <c r="P568" t="inlineStr">
        <is>
          <t>금산군</t>
        </is>
      </c>
      <c r="Q568" t="inlineStr">
        <is>
          <t>N</t>
        </is>
      </c>
      <c r="R568" t="n">
        <v>0</v>
      </c>
    </row>
    <row r="569">
      <c r="A569" t="n">
        <v>568</v>
      </c>
      <c r="B569" t="inlineStr">
        <is>
          <t>(주)제이씨바이오</t>
        </is>
      </c>
      <c r="C569" t="inlineStr">
        <is>
          <t>제이씨바이오</t>
        </is>
      </c>
      <c r="D569" t="inlineStr">
        <is>
          <t>의약품</t>
        </is>
      </c>
      <c r="E569" t="inlineStr">
        <is>
          <t>1502</t>
        </is>
      </c>
      <c r="F569" t="inlineStr">
        <is>
          <t>정원희</t>
        </is>
      </c>
      <c r="G569" t="inlineStr">
        <is>
          <t>1969-08-01</t>
        </is>
      </c>
      <c r="H569" t="inlineStr">
        <is>
          <t>19690801</t>
        </is>
      </c>
      <c r="I569" t="inlineStr">
        <is>
          <t>1</t>
        </is>
      </c>
      <c r="J569" t="inlineStr">
        <is>
          <t>수원</t>
        </is>
      </c>
      <c r="K569" t="inlineStr">
        <is>
          <t>031-232-5285</t>
        </is>
      </c>
      <c r="L569" t="inlineStr"/>
      <c r="M569" t="inlineStr">
        <is>
          <t>경기도 수원시 권선구 세류3동 836번지</t>
        </is>
      </c>
      <c r="N569" t="inlineStr">
        <is>
          <t>경기도 수원시 권선구 세류3동 836번지</t>
        </is>
      </c>
      <c r="O569" t="inlineStr">
        <is>
          <t>경기도</t>
        </is>
      </c>
      <c r="P569" t="inlineStr">
        <is>
          <t>수원시</t>
        </is>
      </c>
      <c r="Q569" t="inlineStr">
        <is>
          <t>N</t>
        </is>
      </c>
      <c r="R569" t="n">
        <v>0</v>
      </c>
    </row>
    <row r="570">
      <c r="A570" t="n">
        <v>569</v>
      </c>
      <c r="B570" t="inlineStr">
        <is>
          <t>(주)삼양사</t>
        </is>
      </c>
      <c r="C570" t="inlineStr">
        <is>
          <t>삼양사</t>
        </is>
      </c>
      <c r="D570" t="inlineStr">
        <is>
          <t>의약품</t>
        </is>
      </c>
      <c r="E570" t="inlineStr">
        <is>
          <t>1723</t>
        </is>
      </c>
      <c r="F570" t="inlineStr">
        <is>
          <t>이운익</t>
        </is>
      </c>
      <c r="G570" t="inlineStr">
        <is>
          <t>1990-05-09</t>
        </is>
      </c>
      <c r="H570" t="inlineStr">
        <is>
          <t>19900509</t>
        </is>
      </c>
      <c r="I570" t="inlineStr">
        <is>
          <t>3</t>
        </is>
      </c>
      <c r="J570" t="inlineStr">
        <is>
          <t>제3공장</t>
        </is>
      </c>
      <c r="K570" t="inlineStr">
        <is>
          <t>052-279-4614</t>
        </is>
      </c>
      <c r="L570" t="inlineStr">
        <is>
          <t>울산광역시 남구 매암로 115</t>
        </is>
      </c>
      <c r="M570" t="inlineStr"/>
      <c r="N570" t="inlineStr">
        <is>
          <t>울산광역시 남구 매암로 115</t>
        </is>
      </c>
      <c r="O570" t="inlineStr">
        <is>
          <t>울산광역시</t>
        </is>
      </c>
      <c r="P570" t="inlineStr">
        <is>
          <t>남구</t>
        </is>
      </c>
      <c r="Q570" t="inlineStr">
        <is>
          <t>N</t>
        </is>
      </c>
      <c r="R570" t="n">
        <v>0</v>
      </c>
    </row>
    <row r="571">
      <c r="A571" t="n">
        <v>570</v>
      </c>
      <c r="B571" t="inlineStr">
        <is>
          <t>한국바이오켐제약(주)</t>
        </is>
      </c>
      <c r="C571" t="inlineStr">
        <is>
          <t>한국바이오켐제약</t>
        </is>
      </c>
      <c r="D571" t="inlineStr">
        <is>
          <t>의약품</t>
        </is>
      </c>
      <c r="E571" t="inlineStr">
        <is>
          <t>2152</t>
        </is>
      </c>
      <c r="F571" t="inlineStr">
        <is>
          <t>송원호</t>
        </is>
      </c>
      <c r="G571" t="inlineStr">
        <is>
          <t>2000-12-06</t>
        </is>
      </c>
      <c r="H571" t="inlineStr">
        <is>
          <t>20001206</t>
        </is>
      </c>
      <c r="I571" t="inlineStr">
        <is>
          <t>1</t>
        </is>
      </c>
      <c r="J571" t="inlineStr">
        <is>
          <t>세종</t>
        </is>
      </c>
      <c r="K571" t="inlineStr">
        <is>
          <t>044-865-5030</t>
        </is>
      </c>
      <c r="L571" t="inlineStr">
        <is>
          <t>세종특별자치시 전의면 산단길 204</t>
        </is>
      </c>
      <c r="M571" t="inlineStr"/>
      <c r="N571" t="inlineStr">
        <is>
          <t>세종특별자치시 전의면 산단길 204</t>
        </is>
      </c>
      <c r="O571" t="inlineStr">
        <is>
          <t>세종특별자치시</t>
        </is>
      </c>
      <c r="P571" t="inlineStr"/>
      <c r="Q571" t="inlineStr">
        <is>
          <t>N</t>
        </is>
      </c>
      <c r="R571" t="n">
        <v>0</v>
      </c>
    </row>
    <row r="572">
      <c r="A572" t="n">
        <v>571</v>
      </c>
      <c r="B572" t="inlineStr">
        <is>
          <t>초당약품공업(주)</t>
        </is>
      </c>
      <c r="C572" t="inlineStr">
        <is>
          <t>초당약품공업</t>
        </is>
      </c>
      <c r="D572" t="inlineStr">
        <is>
          <t>의약품</t>
        </is>
      </c>
      <c r="E572" t="inlineStr">
        <is>
          <t>1486</t>
        </is>
      </c>
      <c r="F572" t="inlineStr">
        <is>
          <t>김우석</t>
        </is>
      </c>
      <c r="G572" t="inlineStr">
        <is>
          <t>1967-08-08</t>
        </is>
      </c>
      <c r="H572" t="inlineStr">
        <is>
          <t>19670808</t>
        </is>
      </c>
      <c r="I572" t="inlineStr">
        <is>
          <t>1</t>
        </is>
      </c>
      <c r="J572" t="inlineStr">
        <is>
          <t>안산</t>
        </is>
      </c>
      <c r="K572" t="inlineStr">
        <is>
          <t>02-869-0181</t>
        </is>
      </c>
      <c r="L572" t="inlineStr">
        <is>
          <t>경기도 안산시 단원구 별망로 381</t>
        </is>
      </c>
      <c r="M572" t="inlineStr"/>
      <c r="N572" t="inlineStr">
        <is>
          <t>경기도 안산시 단원구 별망로 381</t>
        </is>
      </c>
      <c r="O572" t="inlineStr">
        <is>
          <t>경기도</t>
        </is>
      </c>
      <c r="P572" t="inlineStr">
        <is>
          <t>안산시</t>
        </is>
      </c>
      <c r="Q572" t="inlineStr">
        <is>
          <t>N</t>
        </is>
      </c>
      <c r="R572" t="n">
        <v>0</v>
      </c>
    </row>
    <row r="573">
      <c r="A573" t="n">
        <v>572</v>
      </c>
      <c r="B573" t="inlineStr">
        <is>
          <t>단일시스켐(주)</t>
        </is>
      </c>
      <c r="C573" t="inlineStr">
        <is>
          <t>단일시스켐</t>
        </is>
      </c>
      <c r="D573" t="inlineStr">
        <is>
          <t>의약품</t>
        </is>
      </c>
      <c r="E573" t="inlineStr">
        <is>
          <t>1686</t>
        </is>
      </c>
      <c r="F573" t="inlineStr">
        <is>
          <t>장세훈</t>
        </is>
      </c>
      <c r="G573" t="inlineStr">
        <is>
          <t>1987-11-30</t>
        </is>
      </c>
      <c r="H573" t="inlineStr">
        <is>
          <t>19871130</t>
        </is>
      </c>
      <c r="I573" t="inlineStr">
        <is>
          <t>4</t>
        </is>
      </c>
      <c r="J573" t="inlineStr">
        <is>
          <t>화성공장</t>
        </is>
      </c>
      <c r="K573" t="inlineStr">
        <is>
          <t>031-981-5544</t>
        </is>
      </c>
      <c r="L573" t="inlineStr">
        <is>
          <t>경기도 화성시 정남면 만년로98번길 24</t>
        </is>
      </c>
      <c r="M573" t="inlineStr"/>
      <c r="N573" t="inlineStr">
        <is>
          <t>경기도 화성시 정남면 만년로98번길 24</t>
        </is>
      </c>
      <c r="O573" t="inlineStr">
        <is>
          <t>경기도</t>
        </is>
      </c>
      <c r="P573" t="inlineStr">
        <is>
          <t>화성시</t>
        </is>
      </c>
      <c r="Q573" t="inlineStr">
        <is>
          <t>N</t>
        </is>
      </c>
      <c r="R573" t="n">
        <v>0</v>
      </c>
    </row>
    <row r="574">
      <c r="A574" t="n">
        <v>573</v>
      </c>
      <c r="B574" t="inlineStr">
        <is>
          <t>젤텍(주)</t>
        </is>
      </c>
      <c r="C574" t="inlineStr">
        <is>
          <t>젤텍</t>
        </is>
      </c>
      <c r="D574" t="inlineStr">
        <is>
          <t>의약품</t>
        </is>
      </c>
      <c r="E574" t="inlineStr">
        <is>
          <t>2110</t>
        </is>
      </c>
      <c r="F574" t="inlineStr">
        <is>
          <t>양주환</t>
        </is>
      </c>
      <c r="G574" t="inlineStr">
        <is>
          <t>2000-01-26</t>
        </is>
      </c>
      <c r="H574" t="inlineStr">
        <is>
          <t>20000126</t>
        </is>
      </c>
      <c r="I574" t="inlineStr">
        <is>
          <t>1</t>
        </is>
      </c>
      <c r="J574" t="inlineStr">
        <is>
          <t>(주)젤텍</t>
        </is>
      </c>
      <c r="K574" t="inlineStr">
        <is>
          <t>051-831-4761</t>
        </is>
      </c>
      <c r="L574" t="inlineStr">
        <is>
          <t>부산광역시 강서구 녹산산업중로 161</t>
        </is>
      </c>
      <c r="M574" t="inlineStr"/>
      <c r="N574" t="inlineStr">
        <is>
          <t>부산광역시 강서구 녹산산업중로 161</t>
        </is>
      </c>
      <c r="O574" t="inlineStr">
        <is>
          <t>부산광역시</t>
        </is>
      </c>
      <c r="P574" t="inlineStr">
        <is>
          <t>강서구</t>
        </is>
      </c>
      <c r="Q574" t="inlineStr">
        <is>
          <t>N</t>
        </is>
      </c>
      <c r="R574" t="n">
        <v>0</v>
      </c>
    </row>
    <row r="575">
      <c r="A575" t="n">
        <v>574</v>
      </c>
      <c r="B575" t="inlineStr">
        <is>
          <t>지엘파마(주)</t>
        </is>
      </c>
      <c r="C575" t="inlineStr">
        <is>
          <t>지엘파마</t>
        </is>
      </c>
      <c r="D575" t="inlineStr">
        <is>
          <t>의약품</t>
        </is>
      </c>
      <c r="E575" t="inlineStr">
        <is>
          <t>1475</t>
        </is>
      </c>
      <c r="F575" t="inlineStr">
        <is>
          <t>진성필</t>
        </is>
      </c>
      <c r="G575" t="inlineStr">
        <is>
          <t>1965-12-21</t>
        </is>
      </c>
      <c r="H575" t="inlineStr">
        <is>
          <t>19651221</t>
        </is>
      </c>
      <c r="I575" t="inlineStr">
        <is>
          <t>1</t>
        </is>
      </c>
      <c r="J575" t="inlineStr">
        <is>
          <t>안양</t>
        </is>
      </c>
      <c r="K575" t="inlineStr">
        <is>
          <t>031-443-3921,2</t>
        </is>
      </c>
      <c r="L575" t="inlineStr">
        <is>
          <t>경기도 안양시 만안구 시민대로 35</t>
        </is>
      </c>
      <c r="M575" t="inlineStr"/>
      <c r="N575" t="inlineStr">
        <is>
          <t>경기도 안양시 만안구 시민대로 35</t>
        </is>
      </c>
      <c r="O575" t="inlineStr">
        <is>
          <t>경기도</t>
        </is>
      </c>
      <c r="P575" t="inlineStr">
        <is>
          <t>안양시</t>
        </is>
      </c>
      <c r="Q575" t="inlineStr">
        <is>
          <t>N</t>
        </is>
      </c>
      <c r="R575" t="n">
        <v>0</v>
      </c>
    </row>
    <row r="576">
      <c r="A576" t="n">
        <v>575</v>
      </c>
      <c r="B576" t="inlineStr">
        <is>
          <t>에어프로덕츠코리아(주)</t>
        </is>
      </c>
      <c r="C576" t="inlineStr">
        <is>
          <t>에어프로덕츠코리아</t>
        </is>
      </c>
      <c r="D576" t="inlineStr">
        <is>
          <t>의약품</t>
        </is>
      </c>
      <c r="E576" t="inlineStr">
        <is>
          <t>2065</t>
        </is>
      </c>
      <c r="F576" t="inlineStr">
        <is>
          <t>김승록</t>
        </is>
      </c>
      <c r="G576" t="inlineStr">
        <is>
          <t>1999-07-27</t>
        </is>
      </c>
      <c r="H576" t="inlineStr">
        <is>
          <t>19990727</t>
        </is>
      </c>
      <c r="I576" t="inlineStr">
        <is>
          <t>1</t>
        </is>
      </c>
      <c r="J576" t="inlineStr">
        <is>
          <t>울산</t>
        </is>
      </c>
      <c r="K576" t="inlineStr">
        <is>
          <t>052-259-4000</t>
        </is>
      </c>
      <c r="L576" t="inlineStr">
        <is>
          <t>울산광역시 남구 처용로487번길 83</t>
        </is>
      </c>
      <c r="M576" t="inlineStr"/>
      <c r="N576" t="inlineStr">
        <is>
          <t>울산광역시 남구 처용로487번길 83</t>
        </is>
      </c>
      <c r="O576" t="inlineStr">
        <is>
          <t>울산광역시</t>
        </is>
      </c>
      <c r="P576" t="inlineStr">
        <is>
          <t>남구</t>
        </is>
      </c>
      <c r="Q576" t="inlineStr">
        <is>
          <t>N</t>
        </is>
      </c>
      <c r="R576" t="n">
        <v>0</v>
      </c>
    </row>
    <row r="577">
      <c r="A577" t="n">
        <v>576</v>
      </c>
      <c r="B577" t="inlineStr">
        <is>
          <t>(주)티디에스팜</t>
        </is>
      </c>
      <c r="C577" t="inlineStr">
        <is>
          <t>티디에스팜</t>
        </is>
      </c>
      <c r="D577" t="inlineStr">
        <is>
          <t>의약품</t>
        </is>
      </c>
      <c r="E577" t="inlineStr">
        <is>
          <t>1449</t>
        </is>
      </c>
      <c r="F577" t="inlineStr">
        <is>
          <t>김철준</t>
        </is>
      </c>
      <c r="G577" t="inlineStr">
        <is>
          <t>1964-10-20</t>
        </is>
      </c>
      <c r="H577" t="inlineStr">
        <is>
          <t>19641020</t>
        </is>
      </c>
      <c r="I577" t="inlineStr">
        <is>
          <t>2</t>
        </is>
      </c>
      <c r="J577" t="inlineStr">
        <is>
          <t>오송</t>
        </is>
      </c>
      <c r="K577" t="inlineStr">
        <is>
          <t>031-8018-7340</t>
        </is>
      </c>
      <c r="L577" t="inlineStr">
        <is>
          <t>충청북도 청주시 흥덕구 오송읍 오송생명4로 168-49</t>
        </is>
      </c>
      <c r="M577" t="inlineStr"/>
      <c r="N577" t="inlineStr">
        <is>
          <t>충청북도 청주시 흥덕구 오송읍 오송생명4로 168-49</t>
        </is>
      </c>
      <c r="O577" t="inlineStr">
        <is>
          <t>충청북도</t>
        </is>
      </c>
      <c r="P577" t="inlineStr">
        <is>
          <t>청주시</t>
        </is>
      </c>
      <c r="Q577" t="inlineStr">
        <is>
          <t>N</t>
        </is>
      </c>
      <c r="R577" t="n">
        <v>0</v>
      </c>
    </row>
    <row r="578">
      <c r="A578" t="n">
        <v>577</v>
      </c>
      <c r="B578" t="inlineStr">
        <is>
          <t>경방신약(주)</t>
        </is>
      </c>
      <c r="C578" t="inlineStr">
        <is>
          <t>경방신약</t>
        </is>
      </c>
      <c r="D578" t="inlineStr">
        <is>
          <t>의약품</t>
        </is>
      </c>
      <c r="E578" t="inlineStr">
        <is>
          <t>2101</t>
        </is>
      </c>
      <c r="F578" t="inlineStr">
        <is>
          <t>김충환</t>
        </is>
      </c>
      <c r="G578" t="inlineStr">
        <is>
          <t>1999-12-22</t>
        </is>
      </c>
      <c r="H578" t="inlineStr">
        <is>
          <t>19991222</t>
        </is>
      </c>
      <c r="I578" t="inlineStr">
        <is>
          <t>7</t>
        </is>
      </c>
      <c r="J578" t="inlineStr">
        <is>
          <t>보관소</t>
        </is>
      </c>
      <c r="K578" t="inlineStr"/>
      <c r="L578" t="inlineStr">
        <is>
          <t>충청남도 금산군 부리면 인삼약초공단로 20</t>
        </is>
      </c>
      <c r="M578" t="inlineStr">
        <is>
          <t>다동 1층(보관소)</t>
        </is>
      </c>
      <c r="N578" t="inlineStr">
        <is>
          <t>충청남도 금산군 부리면 인삼약초공단로 20 다동 1층(보관소)</t>
        </is>
      </c>
      <c r="O578" t="inlineStr">
        <is>
          <t>충청남도</t>
        </is>
      </c>
      <c r="P578" t="inlineStr">
        <is>
          <t>금산군</t>
        </is>
      </c>
      <c r="Q578" t="inlineStr">
        <is>
          <t>N</t>
        </is>
      </c>
      <c r="R578" t="n">
        <v>0</v>
      </c>
    </row>
    <row r="579">
      <c r="A579" t="n">
        <v>578</v>
      </c>
      <c r="B579" t="inlineStr">
        <is>
          <t>(주)유바이오로직스</t>
        </is>
      </c>
      <c r="C579" t="inlineStr">
        <is>
          <t>유바이오로직스</t>
        </is>
      </c>
      <c r="D579" t="inlineStr">
        <is>
          <t>의약품</t>
        </is>
      </c>
      <c r="E579" t="inlineStr">
        <is>
          <t>322</t>
        </is>
      </c>
      <c r="F579" t="inlineStr">
        <is>
          <t>백영옥</t>
        </is>
      </c>
      <c r="G579" t="inlineStr">
        <is>
          <t>2011-11-28</t>
        </is>
      </c>
      <c r="H579" t="inlineStr">
        <is>
          <t>20111128</t>
        </is>
      </c>
      <c r="I579" t="inlineStr">
        <is>
          <t>1</t>
        </is>
      </c>
      <c r="J579" t="inlineStr">
        <is>
          <t>[제1공장]</t>
        </is>
      </c>
      <c r="K579" t="inlineStr"/>
      <c r="L579" t="inlineStr">
        <is>
          <t>강원특별자치도 춘천시 소양강로 56</t>
        </is>
      </c>
      <c r="M579" t="inlineStr">
        <is>
          <t>4동 1층, 2-4~2-6, 3-1~3-4, 4-6호, 1층 외곽냉장실 3~8, 지하일부</t>
        </is>
      </c>
      <c r="N579" t="inlineStr">
        <is>
          <t>강원특별자치도 춘천시 소양강로 56 4동 1층, 2-4~2-6, 3-1~3-4, 4-6호, 1층 외곽냉장실 3~8, 지하일부</t>
        </is>
      </c>
      <c r="O579" t="inlineStr">
        <is>
          <t>강원특별자치도</t>
        </is>
      </c>
      <c r="P579" t="inlineStr">
        <is>
          <t>춘천시</t>
        </is>
      </c>
      <c r="Q579" t="inlineStr">
        <is>
          <t>Y</t>
        </is>
      </c>
      <c r="R579" t="n">
        <v>57</v>
      </c>
    </row>
    <row r="580">
      <c r="A580" t="n">
        <v>579</v>
      </c>
      <c r="B580" t="inlineStr">
        <is>
          <t>디아이지에어가스(주)</t>
        </is>
      </c>
      <c r="C580" t="inlineStr">
        <is>
          <t>디아이지에어가스</t>
        </is>
      </c>
      <c r="D580" t="inlineStr">
        <is>
          <t>의약품</t>
        </is>
      </c>
      <c r="E580" t="inlineStr">
        <is>
          <t>1603</t>
        </is>
      </c>
      <c r="F580" t="inlineStr">
        <is>
          <t>오규석</t>
        </is>
      </c>
      <c r="G580" t="inlineStr">
        <is>
          <t>1981-02-06</t>
        </is>
      </c>
      <c r="H580" t="inlineStr">
        <is>
          <t>19810206</t>
        </is>
      </c>
      <c r="I580" t="inlineStr">
        <is>
          <t>3</t>
        </is>
      </c>
      <c r="J580" t="inlineStr">
        <is>
          <t>시화</t>
        </is>
      </c>
      <c r="K580" t="inlineStr"/>
      <c r="L580" t="inlineStr">
        <is>
          <t>경기도 시흥시 서해안로 140</t>
        </is>
      </c>
      <c r="M580" t="inlineStr">
        <is>
          <t>(시화공단 1라 109호) (정왕동)</t>
        </is>
      </c>
      <c r="N580" t="inlineStr">
        <is>
          <t>경기도 시흥시 서해안로 140 (시화공단 1라 109호) (정왕동)</t>
        </is>
      </c>
      <c r="O580" t="inlineStr">
        <is>
          <t>경기도</t>
        </is>
      </c>
      <c r="P580" t="inlineStr">
        <is>
          <t>시흥시</t>
        </is>
      </c>
      <c r="Q580" t="inlineStr">
        <is>
          <t>N</t>
        </is>
      </c>
      <c r="R580" t="n">
        <v>0</v>
      </c>
    </row>
    <row r="581">
      <c r="A581" t="n">
        <v>580</v>
      </c>
      <c r="B581" t="inlineStr">
        <is>
          <t>(주)원용제약</t>
        </is>
      </c>
      <c r="C581" t="inlineStr">
        <is>
          <t>원용제약</t>
        </is>
      </c>
      <c r="D581" t="inlineStr">
        <is>
          <t>의약품</t>
        </is>
      </c>
      <c r="E581" t="inlineStr">
        <is>
          <t>308</t>
        </is>
      </c>
      <c r="F581" t="inlineStr">
        <is>
          <t>방기철</t>
        </is>
      </c>
      <c r="G581" t="inlineStr">
        <is>
          <t>2011-02-11</t>
        </is>
      </c>
      <c r="H581" t="inlineStr">
        <is>
          <t>20110211</t>
        </is>
      </c>
      <c r="I581" t="inlineStr">
        <is>
          <t>1</t>
        </is>
      </c>
      <c r="J581" t="inlineStr">
        <is>
          <t>제1공장</t>
        </is>
      </c>
      <c r="K581" t="inlineStr">
        <is>
          <t>02-966-1051</t>
        </is>
      </c>
      <c r="L581" t="inlineStr">
        <is>
          <t>서울특별시 동대문구 약령중앙로10길 9</t>
        </is>
      </c>
      <c r="M581" t="inlineStr">
        <is>
          <t>, 2층(제기동, 한성빌딩)</t>
        </is>
      </c>
      <c r="N581" t="inlineStr">
        <is>
          <t>서울특별시 동대문구 약령중앙로10길 9 , 2층(제기동, 한성빌딩)</t>
        </is>
      </c>
      <c r="O581" t="inlineStr">
        <is>
          <t>서울특별시</t>
        </is>
      </c>
      <c r="P581" t="inlineStr">
        <is>
          <t>동대문구</t>
        </is>
      </c>
      <c r="Q581" t="inlineStr">
        <is>
          <t>N</t>
        </is>
      </c>
      <c r="R581" t="n">
        <v>0</v>
      </c>
    </row>
    <row r="582">
      <c r="A582" t="n">
        <v>581</v>
      </c>
      <c r="B582" t="inlineStr">
        <is>
          <t>(주)제이엠씨</t>
        </is>
      </c>
      <c r="C582" t="inlineStr">
        <is>
          <t>제이엠씨</t>
        </is>
      </c>
      <c r="D582" t="inlineStr">
        <is>
          <t>의약품</t>
        </is>
      </c>
      <c r="E582" t="inlineStr">
        <is>
          <t>1563</t>
        </is>
      </c>
      <c r="F582" t="inlineStr">
        <is>
          <t>정원식</t>
        </is>
      </c>
      <c r="G582" t="inlineStr">
        <is>
          <t>1975-02-25</t>
        </is>
      </c>
      <c r="H582" t="inlineStr">
        <is>
          <t>19750225</t>
        </is>
      </c>
      <c r="I582" t="inlineStr">
        <is>
          <t>1</t>
        </is>
      </c>
      <c r="J582" t="inlineStr">
        <is>
          <t>(주)제이엠씨</t>
        </is>
      </c>
      <c r="K582" t="inlineStr">
        <is>
          <t>052-231-5741</t>
        </is>
      </c>
      <c r="L582" t="inlineStr">
        <is>
          <t>울산광역시 울주군 온산읍 이진로 71</t>
        </is>
      </c>
      <c r="M582" t="inlineStr"/>
      <c r="N582" t="inlineStr">
        <is>
          <t>울산광역시 울주군 온산읍 이진로 71</t>
        </is>
      </c>
      <c r="O582" t="inlineStr">
        <is>
          <t>울산광역시</t>
        </is>
      </c>
      <c r="P582" t="inlineStr">
        <is>
          <t>울주군</t>
        </is>
      </c>
      <c r="Q582" t="inlineStr">
        <is>
          <t>N</t>
        </is>
      </c>
      <c r="R582" t="n">
        <v>0</v>
      </c>
    </row>
    <row r="583">
      <c r="A583" t="n">
        <v>582</v>
      </c>
      <c r="B583" t="inlineStr">
        <is>
          <t>(주)일화</t>
        </is>
      </c>
      <c r="C583" t="inlineStr">
        <is>
          <t>일화</t>
        </is>
      </c>
      <c r="D583" t="inlineStr">
        <is>
          <t>의약품</t>
        </is>
      </c>
      <c r="E583" t="inlineStr">
        <is>
          <t>1396</t>
        </is>
      </c>
      <c r="F583" t="inlineStr">
        <is>
          <t>권형중</t>
        </is>
      </c>
      <c r="G583" t="inlineStr">
        <is>
          <t>1960-08-12</t>
        </is>
      </c>
      <c r="H583" t="inlineStr">
        <is>
          <t>19600812</t>
        </is>
      </c>
      <c r="I583" t="inlineStr">
        <is>
          <t>1</t>
        </is>
      </c>
      <c r="J583" t="inlineStr">
        <is>
          <t>구리</t>
        </is>
      </c>
      <c r="K583" t="inlineStr">
        <is>
          <t>2233-1215</t>
        </is>
      </c>
      <c r="L583" t="inlineStr">
        <is>
          <t>경기도 구리시 안골로56번길 25</t>
        </is>
      </c>
      <c r="M583" t="inlineStr"/>
      <c r="N583" t="inlineStr">
        <is>
          <t>경기도 구리시 안골로56번길 25</t>
        </is>
      </c>
      <c r="O583" t="inlineStr">
        <is>
          <t>경기도</t>
        </is>
      </c>
      <c r="P583" t="inlineStr">
        <is>
          <t>구리시</t>
        </is>
      </c>
      <c r="Q583" t="inlineStr">
        <is>
          <t>N</t>
        </is>
      </c>
      <c r="R583" t="n">
        <v>0</v>
      </c>
    </row>
    <row r="584">
      <c r="A584" t="n">
        <v>583</v>
      </c>
      <c r="B584" t="inlineStr">
        <is>
          <t>(주)바이오닷</t>
        </is>
      </c>
      <c r="C584" t="inlineStr">
        <is>
          <t>바이오닷</t>
        </is>
      </c>
      <c r="D584" t="inlineStr">
        <is>
          <t>의약품</t>
        </is>
      </c>
      <c r="E584" t="inlineStr">
        <is>
          <t>295</t>
        </is>
      </c>
      <c r="F584" t="inlineStr">
        <is>
          <t>한현진</t>
        </is>
      </c>
      <c r="G584" t="inlineStr">
        <is>
          <t>2010-02-02</t>
        </is>
      </c>
      <c r="H584" t="inlineStr">
        <is>
          <t>20100202</t>
        </is>
      </c>
      <c r="I584" t="inlineStr">
        <is>
          <t>3</t>
        </is>
      </c>
      <c r="J584" t="inlineStr">
        <is>
          <t>1공장</t>
        </is>
      </c>
      <c r="K584" t="inlineStr">
        <is>
          <t>(02)6406-3347</t>
        </is>
      </c>
      <c r="L584" t="inlineStr">
        <is>
          <t>경기도 파주시 광탄면 진지로 103</t>
        </is>
      </c>
      <c r="M584" t="inlineStr">
        <is>
          <t>, 가동 1층</t>
        </is>
      </c>
      <c r="N584" t="inlineStr">
        <is>
          <t>경기도 파주시 광탄면 진지로 103 , 가동 1층</t>
        </is>
      </c>
      <c r="O584" t="inlineStr">
        <is>
          <t>경기도</t>
        </is>
      </c>
      <c r="P584" t="inlineStr">
        <is>
          <t>파주시</t>
        </is>
      </c>
      <c r="Q584" t="inlineStr">
        <is>
          <t>N</t>
        </is>
      </c>
      <c r="R584" t="n">
        <v>0</v>
      </c>
    </row>
    <row r="585">
      <c r="A585" t="n">
        <v>584</v>
      </c>
      <c r="B585" t="inlineStr">
        <is>
          <t>시믹씨엠오코리아주식회사</t>
        </is>
      </c>
      <c r="C585" t="inlineStr">
        <is>
          <t>시믹씨엠오코리아</t>
        </is>
      </c>
      <c r="D585" t="inlineStr">
        <is>
          <t>의약품</t>
        </is>
      </c>
      <c r="E585" t="inlineStr">
        <is>
          <t>1544</t>
        </is>
      </c>
      <c r="F585" t="inlineStr">
        <is>
          <t>하마우라다케시</t>
        </is>
      </c>
      <c r="G585" t="inlineStr">
        <is>
          <t>1972-02-03</t>
        </is>
      </c>
      <c r="H585" t="inlineStr">
        <is>
          <t>19720203</t>
        </is>
      </c>
      <c r="I585" t="inlineStr">
        <is>
          <t>2</t>
        </is>
      </c>
      <c r="J585" t="inlineStr"/>
      <c r="K585" t="inlineStr">
        <is>
          <t>032-678-5773</t>
        </is>
      </c>
      <c r="L585" t="inlineStr">
        <is>
          <t>경기도 부천시 원미구 평천로 784-10</t>
        </is>
      </c>
      <c r="M585" t="inlineStr">
        <is>
          <t>(1층)</t>
        </is>
      </c>
      <c r="N585" t="inlineStr">
        <is>
          <t>경기도 부천시 원미구 평천로 784-10 (1층)</t>
        </is>
      </c>
      <c r="O585" t="inlineStr">
        <is>
          <t>경기도</t>
        </is>
      </c>
      <c r="P585" t="inlineStr">
        <is>
          <t>부천시</t>
        </is>
      </c>
      <c r="Q585" t="inlineStr">
        <is>
          <t>N</t>
        </is>
      </c>
      <c r="R585" t="n">
        <v>0</v>
      </c>
    </row>
    <row r="586">
      <c r="A586" t="n">
        <v>585</v>
      </c>
      <c r="B586" t="inlineStr">
        <is>
          <t>하나제약(주)</t>
        </is>
      </c>
      <c r="C586" t="inlineStr">
        <is>
          <t>하나제약</t>
        </is>
      </c>
      <c r="D586" t="inlineStr">
        <is>
          <t>의약품</t>
        </is>
      </c>
      <c r="E586" t="inlineStr">
        <is>
          <t>1371</t>
        </is>
      </c>
      <c r="F586" t="inlineStr">
        <is>
          <t>최태홍</t>
        </is>
      </c>
      <c r="G586" t="inlineStr">
        <is>
          <t>1958-07-30</t>
        </is>
      </c>
      <c r="H586" t="inlineStr">
        <is>
          <t>19580730</t>
        </is>
      </c>
      <c r="I586" t="inlineStr">
        <is>
          <t>1</t>
        </is>
      </c>
      <c r="J586" t="inlineStr">
        <is>
          <t>화성상신공장</t>
        </is>
      </c>
      <c r="K586" t="inlineStr">
        <is>
          <t>577-7667</t>
        </is>
      </c>
      <c r="L586" t="inlineStr">
        <is>
          <t>경기도 화성시 만세구 향남읍 제약공단3길 133</t>
        </is>
      </c>
      <c r="M586" t="inlineStr"/>
      <c r="N586" t="inlineStr">
        <is>
          <t>경기도 화성시 만세구 향남읍 제약공단3길 133</t>
        </is>
      </c>
      <c r="O586" t="inlineStr">
        <is>
          <t>경기도</t>
        </is>
      </c>
      <c r="P586" t="inlineStr">
        <is>
          <t>화성시</t>
        </is>
      </c>
      <c r="Q586" t="inlineStr">
        <is>
          <t>N</t>
        </is>
      </c>
      <c r="R586" t="n">
        <v>0</v>
      </c>
    </row>
    <row r="587">
      <c r="A587" t="n">
        <v>586</v>
      </c>
      <c r="B587" t="inlineStr">
        <is>
          <t>바이오플러스(주)</t>
        </is>
      </c>
      <c r="C587" t="inlineStr">
        <is>
          <t>바이오플러스</t>
        </is>
      </c>
      <c r="D587" t="inlineStr">
        <is>
          <t>의약품</t>
        </is>
      </c>
      <c r="E587" t="inlineStr">
        <is>
          <t>6190</t>
        </is>
      </c>
      <c r="F587" t="inlineStr">
        <is>
          <t>정현규</t>
        </is>
      </c>
      <c r="G587" t="inlineStr">
        <is>
          <t>2025-07-08</t>
        </is>
      </c>
      <c r="H587" t="inlineStr">
        <is>
          <t>20250708</t>
        </is>
      </c>
      <c r="I587" t="inlineStr">
        <is>
          <t>2</t>
        </is>
      </c>
      <c r="J587" t="inlineStr">
        <is>
          <t>성남</t>
        </is>
      </c>
      <c r="K587" t="inlineStr">
        <is>
          <t>070-7706-4437</t>
        </is>
      </c>
      <c r="L587" t="inlineStr">
        <is>
          <t>경기도 성남시 중원구 사기막골로45번길 14</t>
        </is>
      </c>
      <c r="M587" t="inlineStr">
        <is>
          <t>제에이-1113호, 1204호, 1803호</t>
        </is>
      </c>
      <c r="N587" t="inlineStr">
        <is>
          <t>경기도 성남시 중원구 사기막골로45번길 14 제에이-1113호, 1204호, 1803호</t>
        </is>
      </c>
      <c r="O587" t="inlineStr">
        <is>
          <t>경기도</t>
        </is>
      </c>
      <c r="P587" t="inlineStr">
        <is>
          <t>성남시</t>
        </is>
      </c>
      <c r="Q587" t="inlineStr">
        <is>
          <t>N</t>
        </is>
      </c>
      <c r="R587" t="n">
        <v>0</v>
      </c>
    </row>
    <row r="588">
      <c r="A588" t="n">
        <v>587</v>
      </c>
      <c r="B588" t="inlineStr">
        <is>
          <t>(주)참들제약</t>
        </is>
      </c>
      <c r="C588" t="inlineStr">
        <is>
          <t>참들제약</t>
        </is>
      </c>
      <c r="D588" t="inlineStr">
        <is>
          <t>의약품</t>
        </is>
      </c>
      <c r="E588" t="inlineStr">
        <is>
          <t>2615</t>
        </is>
      </c>
      <c r="F588" t="inlineStr">
        <is>
          <t>이혜정</t>
        </is>
      </c>
      <c r="G588" t="inlineStr">
        <is>
          <t>2009-04-22</t>
        </is>
      </c>
      <c r="H588" t="inlineStr">
        <is>
          <t>20090422</t>
        </is>
      </c>
      <c r="I588" t="inlineStr">
        <is>
          <t>1</t>
        </is>
      </c>
      <c r="J588" t="inlineStr">
        <is>
          <t>1공장</t>
        </is>
      </c>
      <c r="K588" t="inlineStr">
        <is>
          <t>055-326-2544</t>
        </is>
      </c>
      <c r="L588" t="inlineStr">
        <is>
          <t>경상남도 김해시 생림면 봉림로 175</t>
        </is>
      </c>
      <c r="M588" t="inlineStr"/>
      <c r="N588" t="inlineStr">
        <is>
          <t>경상남도 김해시 생림면 봉림로 175</t>
        </is>
      </c>
      <c r="O588" t="inlineStr">
        <is>
          <t>경상남도</t>
        </is>
      </c>
      <c r="P588" t="inlineStr">
        <is>
          <t>김해시</t>
        </is>
      </c>
      <c r="Q588" t="inlineStr">
        <is>
          <t>N</t>
        </is>
      </c>
      <c r="R588" t="n">
        <v>0</v>
      </c>
    </row>
    <row r="589">
      <c r="A589" t="n">
        <v>588</v>
      </c>
      <c r="B589" t="inlineStr">
        <is>
          <t>신화제약(주)</t>
        </is>
      </c>
      <c r="C589" t="inlineStr">
        <is>
          <t>신화제약</t>
        </is>
      </c>
      <c r="D589" t="inlineStr">
        <is>
          <t>의약품</t>
        </is>
      </c>
      <c r="E589" t="inlineStr">
        <is>
          <t>1528</t>
        </is>
      </c>
      <c r="F589" t="inlineStr">
        <is>
          <t>이두래</t>
        </is>
      </c>
      <c r="G589" t="inlineStr">
        <is>
          <t>1971-07-12</t>
        </is>
      </c>
      <c r="H589" t="inlineStr">
        <is>
          <t>19710712</t>
        </is>
      </c>
      <c r="I589" t="inlineStr">
        <is>
          <t>1</t>
        </is>
      </c>
      <c r="J589" t="inlineStr">
        <is>
          <t>대구</t>
        </is>
      </c>
      <c r="K589" t="inlineStr">
        <is>
          <t>053-581-7668</t>
        </is>
      </c>
      <c r="L589" t="inlineStr">
        <is>
          <t>대구광역시 달서구 성서동로 105</t>
        </is>
      </c>
      <c r="M589" t="inlineStr"/>
      <c r="N589" t="inlineStr">
        <is>
          <t>대구광역시 달서구 성서동로 105</t>
        </is>
      </c>
      <c r="O589" t="inlineStr">
        <is>
          <t>대구광역시</t>
        </is>
      </c>
      <c r="P589" t="inlineStr">
        <is>
          <t>달서구</t>
        </is>
      </c>
      <c r="Q589" t="inlineStr">
        <is>
          <t>N</t>
        </is>
      </c>
      <c r="R589" t="n">
        <v>0</v>
      </c>
    </row>
    <row r="590">
      <c r="A590" t="n">
        <v>589</v>
      </c>
      <c r="B590" t="inlineStr">
        <is>
          <t>안국약품(주)</t>
        </is>
      </c>
      <c r="C590" t="inlineStr">
        <is>
          <t>안국약품</t>
        </is>
      </c>
      <c r="D590" t="inlineStr">
        <is>
          <t>의약품</t>
        </is>
      </c>
      <c r="E590" t="inlineStr">
        <is>
          <t>1362</t>
        </is>
      </c>
      <c r="F590" t="inlineStr">
        <is>
          <t>박인철</t>
        </is>
      </c>
      <c r="G590" t="inlineStr">
        <is>
          <t>1958-03-01</t>
        </is>
      </c>
      <c r="H590" t="inlineStr">
        <is>
          <t>19580301</t>
        </is>
      </c>
      <c r="I590" t="inlineStr">
        <is>
          <t>1</t>
        </is>
      </c>
      <c r="J590" t="inlineStr">
        <is>
          <t>화성</t>
        </is>
      </c>
      <c r="K590" t="inlineStr">
        <is>
          <t>02-3289-4292</t>
        </is>
      </c>
      <c r="L590" t="inlineStr">
        <is>
          <t>경기도 화성시 만세구 향남읍 제약공단1길 40</t>
        </is>
      </c>
      <c r="M590" t="inlineStr"/>
      <c r="N590" t="inlineStr">
        <is>
          <t>경기도 화성시 만세구 향남읍 제약공단1길 40</t>
        </is>
      </c>
      <c r="O590" t="inlineStr">
        <is>
          <t>경기도</t>
        </is>
      </c>
      <c r="P590" t="inlineStr">
        <is>
          <t>화성시</t>
        </is>
      </c>
      <c r="Q590" t="inlineStr">
        <is>
          <t>N</t>
        </is>
      </c>
      <c r="R590" t="n">
        <v>0</v>
      </c>
    </row>
    <row r="591">
      <c r="A591" t="n">
        <v>590</v>
      </c>
      <c r="B591" t="inlineStr">
        <is>
          <t>에스케이케미칼(주)</t>
        </is>
      </c>
      <c r="C591" t="inlineStr">
        <is>
          <t>에스케이케미칼</t>
        </is>
      </c>
      <c r="D591" t="inlineStr">
        <is>
          <t>의약품</t>
        </is>
      </c>
      <c r="E591" t="inlineStr">
        <is>
          <t>1346</t>
        </is>
      </c>
      <c r="F591" t="inlineStr">
        <is>
          <t>안재현</t>
        </is>
      </c>
      <c r="G591" t="inlineStr">
        <is>
          <t>1957-06-17</t>
        </is>
      </c>
      <c r="H591" t="inlineStr">
        <is>
          <t>19570617</t>
        </is>
      </c>
      <c r="I591" t="inlineStr">
        <is>
          <t>3</t>
        </is>
      </c>
      <c r="J591" t="inlineStr">
        <is>
          <t>수원(원료의약품 제조에 한함)</t>
        </is>
      </c>
      <c r="K591" t="inlineStr">
        <is>
          <t>2008-2846</t>
        </is>
      </c>
      <c r="L591" t="inlineStr"/>
      <c r="M591" t="inlineStr">
        <is>
          <t>경기 수원시 장안구 정자동 600</t>
        </is>
      </c>
      <c r="N591" t="inlineStr">
        <is>
          <t>경기 수원시 장안구 정자동 600</t>
        </is>
      </c>
      <c r="O591" t="inlineStr">
        <is>
          <t>경기</t>
        </is>
      </c>
      <c r="P591" t="inlineStr">
        <is>
          <t>수원시</t>
        </is>
      </c>
      <c r="Q591" t="inlineStr">
        <is>
          <t>N</t>
        </is>
      </c>
      <c r="R591" t="n">
        <v>0</v>
      </c>
    </row>
    <row r="592">
      <c r="A592" t="n">
        <v>591</v>
      </c>
      <c r="B592" t="inlineStr">
        <is>
          <t>한국유나이티드제약(주)</t>
        </is>
      </c>
      <c r="C592" t="inlineStr">
        <is>
          <t>한국유나이티드제약</t>
        </is>
      </c>
      <c r="D592" t="inlineStr">
        <is>
          <t>의약품</t>
        </is>
      </c>
      <c r="E592" t="inlineStr">
        <is>
          <t>1752</t>
        </is>
      </c>
      <c r="F592" t="inlineStr">
        <is>
          <t>강덕영</t>
        </is>
      </c>
      <c r="G592" t="inlineStr">
        <is>
          <t>1991-10-11</t>
        </is>
      </c>
      <c r="H592" t="inlineStr">
        <is>
          <t>19911011</t>
        </is>
      </c>
      <c r="I592" t="inlineStr">
        <is>
          <t>5</t>
        </is>
      </c>
      <c r="J592" t="inlineStr">
        <is>
          <t>제2보관소(5공장)</t>
        </is>
      </c>
      <c r="K592" t="inlineStr"/>
      <c r="L592" t="inlineStr">
        <is>
          <t>세종특별자치시 전동면 노장공단길 15</t>
        </is>
      </c>
      <c r="M592" t="inlineStr"/>
      <c r="N592" t="inlineStr">
        <is>
          <t>세종특별자치시 전동면 노장공단길 15</t>
        </is>
      </c>
      <c r="O592" t="inlineStr">
        <is>
          <t>세종특별자치시</t>
        </is>
      </c>
      <c r="P592" t="inlineStr"/>
      <c r="Q592" t="inlineStr">
        <is>
          <t>N</t>
        </is>
      </c>
      <c r="R592" t="n">
        <v>0</v>
      </c>
    </row>
    <row r="593">
      <c r="A593" t="n">
        <v>592</v>
      </c>
      <c r="B593" t="inlineStr">
        <is>
          <t>명인제약(주)</t>
        </is>
      </c>
      <c r="C593" t="inlineStr">
        <is>
          <t>명인제약</t>
        </is>
      </c>
      <c r="D593" t="inlineStr">
        <is>
          <t>의약품</t>
        </is>
      </c>
      <c r="E593" t="inlineStr">
        <is>
          <t>1504</t>
        </is>
      </c>
      <c r="F593" t="inlineStr">
        <is>
          <t>이관순</t>
        </is>
      </c>
      <c r="G593" t="inlineStr">
        <is>
          <t>1969-11-15</t>
        </is>
      </c>
      <c r="H593" t="inlineStr">
        <is>
          <t>19691115</t>
        </is>
      </c>
      <c r="I593" t="inlineStr">
        <is>
          <t>2</t>
        </is>
      </c>
      <c r="J593" t="inlineStr">
        <is>
          <t>제2공장</t>
        </is>
      </c>
      <c r="K593" t="inlineStr"/>
      <c r="L593" t="inlineStr">
        <is>
          <t>경기도 화성시 만세구 향남읍 발안공단로 17</t>
        </is>
      </c>
      <c r="M593" t="inlineStr"/>
      <c r="N593" t="inlineStr">
        <is>
          <t>경기도 화성시 만세구 향남읍 발안공단로 17</t>
        </is>
      </c>
      <c r="O593" t="inlineStr">
        <is>
          <t>경기도</t>
        </is>
      </c>
      <c r="P593" t="inlineStr">
        <is>
          <t>화성시</t>
        </is>
      </c>
      <c r="Q593" t="inlineStr">
        <is>
          <t>Y</t>
        </is>
      </c>
      <c r="R593" t="n">
        <v>58</v>
      </c>
    </row>
    <row r="594">
      <c r="A594" t="n">
        <v>593</v>
      </c>
      <c r="B594" t="inlineStr">
        <is>
          <t>유니메드제약(주)</t>
        </is>
      </c>
      <c r="C594" t="inlineStr">
        <is>
          <t>유니메드제약</t>
        </is>
      </c>
      <c r="D594" t="inlineStr">
        <is>
          <t>의약품</t>
        </is>
      </c>
      <c r="E594" t="inlineStr">
        <is>
          <t>1729</t>
        </is>
      </c>
      <c r="F594" t="inlineStr">
        <is>
          <t>김건남</t>
        </is>
      </c>
      <c r="G594" t="inlineStr">
        <is>
          <t>1990-10-31</t>
        </is>
      </c>
      <c r="H594" t="inlineStr">
        <is>
          <t>19901031</t>
        </is>
      </c>
      <c r="I594" t="inlineStr">
        <is>
          <t>1</t>
        </is>
      </c>
      <c r="J594" t="inlineStr">
        <is>
          <t>아산공장</t>
        </is>
      </c>
      <c r="K594" t="inlineStr">
        <is>
          <t>02-424-2777</t>
        </is>
      </c>
      <c r="L594" t="inlineStr">
        <is>
          <t>충청남도 아산시 실옥로 110-27</t>
        </is>
      </c>
      <c r="M594" t="inlineStr"/>
      <c r="N594" t="inlineStr">
        <is>
          <t>충청남도 아산시 실옥로 110-27</t>
        </is>
      </c>
      <c r="O594" t="inlineStr">
        <is>
          <t>충청남도</t>
        </is>
      </c>
      <c r="P594" t="inlineStr">
        <is>
          <t>아산시</t>
        </is>
      </c>
      <c r="Q594" t="inlineStr">
        <is>
          <t>N</t>
        </is>
      </c>
      <c r="R594" t="n">
        <v>0</v>
      </c>
    </row>
    <row r="595">
      <c r="A595" t="n">
        <v>594</v>
      </c>
      <c r="B595" t="inlineStr">
        <is>
          <t>경진제약(주)</t>
        </is>
      </c>
      <c r="C595" t="inlineStr">
        <is>
          <t>경진제약</t>
        </is>
      </c>
      <c r="D595" t="inlineStr">
        <is>
          <t>의약품</t>
        </is>
      </c>
      <c r="E595" t="inlineStr">
        <is>
          <t>1492</t>
        </is>
      </c>
      <c r="F595" t="inlineStr">
        <is>
          <t>이중기</t>
        </is>
      </c>
      <c r="G595" t="inlineStr">
        <is>
          <t>1968-06-26</t>
        </is>
      </c>
      <c r="H595" t="inlineStr">
        <is>
          <t>19680626</t>
        </is>
      </c>
      <c r="I595" t="inlineStr">
        <is>
          <t>1</t>
        </is>
      </c>
      <c r="J595" t="inlineStr">
        <is>
          <t>시흥</t>
        </is>
      </c>
      <c r="K595" t="inlineStr">
        <is>
          <t>2612-0714</t>
        </is>
      </c>
      <c r="L595" t="inlineStr"/>
      <c r="M595" t="inlineStr">
        <is>
          <t>경기도 시흥시 금오로658번길 25</t>
        </is>
      </c>
      <c r="N595" t="inlineStr">
        <is>
          <t>경기도 시흥시 금오로658번길 25</t>
        </is>
      </c>
      <c r="O595" t="inlineStr">
        <is>
          <t>경기도</t>
        </is>
      </c>
      <c r="P595" t="inlineStr">
        <is>
          <t>시흥시</t>
        </is>
      </c>
      <c r="Q595" t="inlineStr">
        <is>
          <t>N</t>
        </is>
      </c>
      <c r="R595" t="n">
        <v>0</v>
      </c>
    </row>
    <row r="596">
      <c r="A596" t="n">
        <v>595</v>
      </c>
      <c r="B596" t="inlineStr">
        <is>
          <t>(주)보령</t>
        </is>
      </c>
      <c r="C596" t="inlineStr">
        <is>
          <t>보령</t>
        </is>
      </c>
      <c r="D596" t="inlineStr">
        <is>
          <t>의약품</t>
        </is>
      </c>
      <c r="E596" t="inlineStr">
        <is>
          <t>1689</t>
        </is>
      </c>
      <c r="F596" t="inlineStr">
        <is>
          <t>김정균</t>
        </is>
      </c>
      <c r="G596" t="inlineStr">
        <is>
          <t>1988-05-09</t>
        </is>
      </c>
      <c r="H596" t="inlineStr">
        <is>
          <t>19880509</t>
        </is>
      </c>
      <c r="I596" t="inlineStr">
        <is>
          <t>3</t>
        </is>
      </c>
      <c r="J596" t="inlineStr">
        <is>
          <t>예산</t>
        </is>
      </c>
      <c r="K596" t="inlineStr">
        <is>
          <t>02-708-8276</t>
        </is>
      </c>
      <c r="L596" t="inlineStr">
        <is>
          <t>충청남도 예산군 응봉면 충서로 254</t>
        </is>
      </c>
      <c r="M596" t="inlineStr"/>
      <c r="N596" t="inlineStr">
        <is>
          <t>충청남도 예산군 응봉면 충서로 254</t>
        </is>
      </c>
      <c r="O596" t="inlineStr">
        <is>
          <t>충청남도</t>
        </is>
      </c>
      <c r="P596" t="inlineStr">
        <is>
          <t>예산군</t>
        </is>
      </c>
      <c r="Q596" t="inlineStr">
        <is>
          <t>N</t>
        </is>
      </c>
      <c r="R596" t="n">
        <v>0</v>
      </c>
    </row>
    <row r="597">
      <c r="A597" t="n">
        <v>596</v>
      </c>
      <c r="B597" t="inlineStr">
        <is>
          <t>(주)에스디</t>
        </is>
      </c>
      <c r="C597" t="inlineStr">
        <is>
          <t>에스디</t>
        </is>
      </c>
      <c r="D597" t="inlineStr">
        <is>
          <t>의약품</t>
        </is>
      </c>
      <c r="E597" t="inlineStr">
        <is>
          <t>2134</t>
        </is>
      </c>
      <c r="F597" t="inlineStr">
        <is>
          <t>조병기</t>
        </is>
      </c>
      <c r="G597" t="inlineStr">
        <is>
          <t>2000-06-28</t>
        </is>
      </c>
      <c r="H597" t="inlineStr">
        <is>
          <t>20000628</t>
        </is>
      </c>
      <c r="I597" t="inlineStr">
        <is>
          <t>4</t>
        </is>
      </c>
      <c r="J597" t="inlineStr">
        <is>
          <t>제2보관소</t>
        </is>
      </c>
      <c r="K597" t="inlineStr"/>
      <c r="L597" t="inlineStr"/>
      <c r="M597" t="inlineStr">
        <is>
          <t>경기 용인시 처인구 삼가동 ~ 38-2 2층</t>
        </is>
      </c>
      <c r="N597" t="inlineStr">
        <is>
          <t>경기 용인시 처인구 삼가동 ~ 38-2 2층</t>
        </is>
      </c>
      <c r="O597" t="inlineStr">
        <is>
          <t>경기</t>
        </is>
      </c>
      <c r="P597" t="inlineStr">
        <is>
          <t>용인시</t>
        </is>
      </c>
      <c r="Q597" t="inlineStr">
        <is>
          <t>N</t>
        </is>
      </c>
      <c r="R597" t="n">
        <v>0</v>
      </c>
    </row>
    <row r="598">
      <c r="A598" t="n">
        <v>597</v>
      </c>
      <c r="B598" t="inlineStr">
        <is>
          <t>명문제약(주)</t>
        </is>
      </c>
      <c r="C598" t="inlineStr">
        <is>
          <t>명문제약</t>
        </is>
      </c>
      <c r="D598" t="inlineStr">
        <is>
          <t>의약품</t>
        </is>
      </c>
      <c r="E598" t="inlineStr">
        <is>
          <t>1476</t>
        </is>
      </c>
      <c r="F598" t="inlineStr">
        <is>
          <t>배철한</t>
        </is>
      </c>
      <c r="G598" t="inlineStr">
        <is>
          <t>1966-04-23</t>
        </is>
      </c>
      <c r="H598" t="inlineStr">
        <is>
          <t>19660423</t>
        </is>
      </c>
      <c r="I598" t="inlineStr">
        <is>
          <t>3</t>
        </is>
      </c>
      <c r="J598" t="inlineStr">
        <is>
          <t>보관소</t>
        </is>
      </c>
      <c r="K598" t="inlineStr"/>
      <c r="L598" t="inlineStr">
        <is>
          <t>경기도 화성시 만세구 향남읍 제약공단2길 28</t>
        </is>
      </c>
      <c r="M598" t="inlineStr">
        <is>
          <t>10동</t>
        </is>
      </c>
      <c r="N598" t="inlineStr">
        <is>
          <t>경기도 화성시 만세구 향남읍 제약공단2길 28 10동</t>
        </is>
      </c>
      <c r="O598" t="inlineStr">
        <is>
          <t>경기도</t>
        </is>
      </c>
      <c r="P598" t="inlineStr">
        <is>
          <t>화성시</t>
        </is>
      </c>
      <c r="Q598" t="inlineStr">
        <is>
          <t>N</t>
        </is>
      </c>
      <c r="R598" t="n">
        <v>0</v>
      </c>
    </row>
    <row r="599">
      <c r="A599" t="n">
        <v>598</v>
      </c>
      <c r="B599" t="inlineStr">
        <is>
          <t>(주)휴온스</t>
        </is>
      </c>
      <c r="C599" t="inlineStr">
        <is>
          <t>휴온스</t>
        </is>
      </c>
      <c r="D599" t="inlineStr">
        <is>
          <t>의약품</t>
        </is>
      </c>
      <c r="E599" t="inlineStr">
        <is>
          <t>1683</t>
        </is>
      </c>
      <c r="F599" t="inlineStr">
        <is>
          <t>송수영</t>
        </is>
      </c>
      <c r="G599" t="inlineStr">
        <is>
          <t>1987-10-24</t>
        </is>
      </c>
      <c r="H599" t="inlineStr">
        <is>
          <t>19871024</t>
        </is>
      </c>
      <c r="I599" t="inlineStr">
        <is>
          <t>3</t>
        </is>
      </c>
      <c r="J599" t="inlineStr">
        <is>
          <t>제천</t>
        </is>
      </c>
      <c r="K599" t="inlineStr">
        <is>
          <t>070-7492-5133</t>
        </is>
      </c>
      <c r="L599" t="inlineStr">
        <is>
          <t>충청북도 제천시 바이오밸리로 100</t>
        </is>
      </c>
      <c r="M599" t="inlineStr"/>
      <c r="N599" t="inlineStr">
        <is>
          <t>충청북도 제천시 바이오밸리로 100</t>
        </is>
      </c>
      <c r="O599" t="inlineStr">
        <is>
          <t>충청북도</t>
        </is>
      </c>
      <c r="P599" t="inlineStr">
        <is>
          <t>제천시</t>
        </is>
      </c>
      <c r="Q599" t="inlineStr">
        <is>
          <t>N</t>
        </is>
      </c>
      <c r="R599" t="n">
        <v>0</v>
      </c>
    </row>
    <row r="600">
      <c r="A600" t="n">
        <v>599</v>
      </c>
      <c r="B600" t="inlineStr">
        <is>
          <t>에어프로덕츠코리아(주)</t>
        </is>
      </c>
      <c r="C600" t="inlineStr">
        <is>
          <t>에어프로덕츠코리아</t>
        </is>
      </c>
      <c r="D600" t="inlineStr">
        <is>
          <t>의약품</t>
        </is>
      </c>
      <c r="E600" t="inlineStr">
        <is>
          <t>2065</t>
        </is>
      </c>
      <c r="F600" t="inlineStr">
        <is>
          <t>김승록</t>
        </is>
      </c>
      <c r="G600" t="inlineStr">
        <is>
          <t>1999-07-27</t>
        </is>
      </c>
      <c r="H600" t="inlineStr">
        <is>
          <t>19990727</t>
        </is>
      </c>
      <c r="I600" t="inlineStr">
        <is>
          <t>5</t>
        </is>
      </c>
      <c r="J600" t="inlineStr">
        <is>
          <t>아산(탕정)</t>
        </is>
      </c>
      <c r="K600" t="inlineStr">
        <is>
          <t>041-5388616</t>
        </is>
      </c>
      <c r="L600" t="inlineStr">
        <is>
          <t>충청남도 아산시 탕정면 탕정로 380-33</t>
        </is>
      </c>
      <c r="M600" t="inlineStr"/>
      <c r="N600" t="inlineStr">
        <is>
          <t>충청남도 아산시 탕정면 탕정로 380-33</t>
        </is>
      </c>
      <c r="O600" t="inlineStr">
        <is>
          <t>충청남도</t>
        </is>
      </c>
      <c r="P600" t="inlineStr">
        <is>
          <t>아산시</t>
        </is>
      </c>
      <c r="Q600" t="inlineStr">
        <is>
          <t>N</t>
        </is>
      </c>
      <c r="R600" t="n">
        <v>0</v>
      </c>
    </row>
    <row r="601">
      <c r="A601" t="n">
        <v>600</v>
      </c>
      <c r="B601" t="inlineStr">
        <is>
          <t>한미정밀화학(주)</t>
        </is>
      </c>
      <c r="C601" t="inlineStr">
        <is>
          <t>한미정밀화학</t>
        </is>
      </c>
      <c r="D601" t="inlineStr">
        <is>
          <t>의약품</t>
        </is>
      </c>
      <c r="E601" t="inlineStr">
        <is>
          <t>1444</t>
        </is>
      </c>
      <c r="F601" t="inlineStr">
        <is>
          <t>장영길</t>
        </is>
      </c>
      <c r="G601" t="inlineStr">
        <is>
          <t>1984-06-13</t>
        </is>
      </c>
      <c r="H601" t="inlineStr">
        <is>
          <t>19840613</t>
        </is>
      </c>
      <c r="I601" t="inlineStr">
        <is>
          <t>1</t>
        </is>
      </c>
      <c r="J601" t="inlineStr">
        <is>
          <t>공장, 위험물창고, 질소발생장치 및 NMR 시험실</t>
        </is>
      </c>
      <c r="K601" t="inlineStr"/>
      <c r="L601" t="inlineStr">
        <is>
          <t>경기도 시흥시 경제로 57</t>
        </is>
      </c>
      <c r="M601" t="inlineStr">
        <is>
          <t>(1248-10)</t>
        </is>
      </c>
      <c r="N601" t="inlineStr">
        <is>
          <t>경기도 시흥시 경제로 57 (1248-10)</t>
        </is>
      </c>
      <c r="O601" t="inlineStr">
        <is>
          <t>경기도</t>
        </is>
      </c>
      <c r="P601" t="inlineStr">
        <is>
          <t>시흥시</t>
        </is>
      </c>
      <c r="Q601" t="inlineStr">
        <is>
          <t>N</t>
        </is>
      </c>
      <c r="R601" t="n">
        <v>0</v>
      </c>
    </row>
    <row r="602">
      <c r="A602" t="n">
        <v>601</v>
      </c>
      <c r="B602" t="inlineStr">
        <is>
          <t>새롬제약(주)</t>
        </is>
      </c>
      <c r="C602" t="inlineStr">
        <is>
          <t>새롬제약</t>
        </is>
      </c>
      <c r="D602" t="inlineStr">
        <is>
          <t>의약품</t>
        </is>
      </c>
      <c r="E602" t="inlineStr">
        <is>
          <t>2075</t>
        </is>
      </c>
      <c r="F602" t="inlineStr">
        <is>
          <t>양승열</t>
        </is>
      </c>
      <c r="G602" t="inlineStr">
        <is>
          <t>1999-09-06</t>
        </is>
      </c>
      <c r="H602" t="inlineStr">
        <is>
          <t>19990906</t>
        </is>
      </c>
      <c r="I602" t="inlineStr">
        <is>
          <t>1</t>
        </is>
      </c>
      <c r="J602" t="inlineStr">
        <is>
          <t>안성</t>
        </is>
      </c>
      <c r="K602" t="inlineStr">
        <is>
          <t>031-671-5090</t>
        </is>
      </c>
      <c r="L602" t="inlineStr">
        <is>
          <t>경기도 안성시 서운면 바우덕이로 326</t>
        </is>
      </c>
      <c r="M602" t="inlineStr"/>
      <c r="N602" t="inlineStr">
        <is>
          <t>경기도 안성시 서운면 바우덕이로 326</t>
        </is>
      </c>
      <c r="O602" t="inlineStr">
        <is>
          <t>경기도</t>
        </is>
      </c>
      <c r="P602" t="inlineStr">
        <is>
          <t>안성시</t>
        </is>
      </c>
      <c r="Q602" t="inlineStr">
        <is>
          <t>N</t>
        </is>
      </c>
      <c r="R602" t="n">
        <v>0</v>
      </c>
    </row>
    <row r="603">
      <c r="A603" t="n">
        <v>602</v>
      </c>
      <c r="B603" t="inlineStr">
        <is>
          <t>디아이지에어가스(주)</t>
        </is>
      </c>
      <c r="C603" t="inlineStr">
        <is>
          <t>디아이지에어가스</t>
        </is>
      </c>
      <c r="D603" t="inlineStr">
        <is>
          <t>의약품</t>
        </is>
      </c>
      <c r="E603" t="inlineStr">
        <is>
          <t>1603</t>
        </is>
      </c>
      <c r="F603" t="inlineStr">
        <is>
          <t>오규석</t>
        </is>
      </c>
      <c r="G603" t="inlineStr">
        <is>
          <t>1981-02-06</t>
        </is>
      </c>
      <c r="H603" t="inlineStr">
        <is>
          <t>19810206</t>
        </is>
      </c>
      <c r="I603" t="inlineStr">
        <is>
          <t>7</t>
        </is>
      </c>
      <c r="J603" t="inlineStr">
        <is>
          <t>대전</t>
        </is>
      </c>
      <c r="K603" t="inlineStr"/>
      <c r="L603" t="inlineStr"/>
      <c r="M603" t="inlineStr">
        <is>
          <t>대전광역시 대덕구 대화로52번길 163</t>
        </is>
      </c>
      <c r="N603" t="inlineStr">
        <is>
          <t>대전광역시 대덕구 대화로52번길 163</t>
        </is>
      </c>
      <c r="O603" t="inlineStr">
        <is>
          <t>대전광역시</t>
        </is>
      </c>
      <c r="P603" t="inlineStr">
        <is>
          <t>대덕구</t>
        </is>
      </c>
      <c r="Q603" t="inlineStr">
        <is>
          <t>N</t>
        </is>
      </c>
      <c r="R603" t="n">
        <v>0</v>
      </c>
    </row>
    <row r="604">
      <c r="A604" t="n">
        <v>603</v>
      </c>
      <c r="B604" t="inlineStr">
        <is>
          <t>(주)얀센백신</t>
        </is>
      </c>
      <c r="C604" t="inlineStr">
        <is>
          <t>얀센백신</t>
        </is>
      </c>
      <c r="D604" t="inlineStr">
        <is>
          <t>의약품</t>
        </is>
      </c>
      <c r="E604" t="inlineStr">
        <is>
          <t>2091</t>
        </is>
      </c>
      <c r="F604" t="inlineStr">
        <is>
          <t>이존우춘</t>
        </is>
      </c>
      <c r="G604" t="inlineStr">
        <is>
          <t>1999-11-09</t>
        </is>
      </c>
      <c r="H604" t="inlineStr">
        <is>
          <t>19991109</t>
        </is>
      </c>
      <c r="I604" t="inlineStr">
        <is>
          <t>1</t>
        </is>
      </c>
      <c r="J604" t="inlineStr">
        <is>
          <t>용인</t>
        </is>
      </c>
      <c r="K604" t="inlineStr">
        <is>
          <t>0316968400</t>
        </is>
      </c>
      <c r="L604" t="inlineStr"/>
      <c r="M604" t="inlineStr">
        <is>
          <t>경기도 용인시 기흥구 중부대로 438</t>
        </is>
      </c>
      <c r="N604" t="inlineStr">
        <is>
          <t>경기도 용인시 기흥구 중부대로 438</t>
        </is>
      </c>
      <c r="O604" t="inlineStr">
        <is>
          <t>경기도</t>
        </is>
      </c>
      <c r="P604" t="inlineStr">
        <is>
          <t>용인시</t>
        </is>
      </c>
      <c r="Q604" t="inlineStr">
        <is>
          <t>N</t>
        </is>
      </c>
      <c r="R604" t="n">
        <v>0</v>
      </c>
    </row>
    <row r="605">
      <c r="A605" t="n">
        <v>604</v>
      </c>
      <c r="B605" t="inlineStr">
        <is>
          <t>(주)그린명품제약</t>
        </is>
      </c>
      <c r="C605" t="inlineStr">
        <is>
          <t>그린명품제약</t>
        </is>
      </c>
      <c r="D605" t="inlineStr">
        <is>
          <t>의약품</t>
        </is>
      </c>
      <c r="E605" t="inlineStr">
        <is>
          <t>309</t>
        </is>
      </c>
      <c r="F605" t="inlineStr">
        <is>
          <t>이성욱</t>
        </is>
      </c>
      <c r="G605" t="inlineStr">
        <is>
          <t>2011-04-05</t>
        </is>
      </c>
      <c r="H605" t="inlineStr">
        <is>
          <t>20110405</t>
        </is>
      </c>
      <c r="I605" t="inlineStr">
        <is>
          <t>3</t>
        </is>
      </c>
      <c r="J605" t="inlineStr">
        <is>
          <t>성남공장</t>
        </is>
      </c>
      <c r="K605" t="inlineStr">
        <is>
          <t>031-620-2222</t>
        </is>
      </c>
      <c r="L605" t="inlineStr">
        <is>
          <t>경기도 성남시 중원구 사기막골로 18</t>
        </is>
      </c>
      <c r="M605" t="inlineStr">
        <is>
          <t>자생메디바이오센터 3층</t>
        </is>
      </c>
      <c r="N605" t="inlineStr">
        <is>
          <t>경기도 성남시 중원구 사기막골로 18 자생메디바이오센터 3층</t>
        </is>
      </c>
      <c r="O605" t="inlineStr">
        <is>
          <t>경기도</t>
        </is>
      </c>
      <c r="P605" t="inlineStr">
        <is>
          <t>성남시</t>
        </is>
      </c>
      <c r="Q605" t="inlineStr">
        <is>
          <t>N</t>
        </is>
      </c>
      <c r="R605" t="n">
        <v>0</v>
      </c>
    </row>
    <row r="606">
      <c r="A606" t="n">
        <v>605</v>
      </c>
      <c r="B606" t="inlineStr">
        <is>
          <t>경동제약(주)</t>
        </is>
      </c>
      <c r="C606" t="inlineStr">
        <is>
          <t>경동제약</t>
        </is>
      </c>
      <c r="D606" t="inlineStr">
        <is>
          <t>의약품</t>
        </is>
      </c>
      <c r="E606" t="inlineStr">
        <is>
          <t>1574</t>
        </is>
      </c>
      <c r="F606" t="inlineStr">
        <is>
          <t>김경훈</t>
        </is>
      </c>
      <c r="G606" t="inlineStr">
        <is>
          <t>1976-04-23</t>
        </is>
      </c>
      <c r="H606" t="inlineStr">
        <is>
          <t>19760423</t>
        </is>
      </c>
      <c r="I606" t="inlineStr">
        <is>
          <t>2</t>
        </is>
      </c>
      <c r="J606" t="inlineStr">
        <is>
          <t>향남(원료)</t>
        </is>
      </c>
      <c r="K606" t="inlineStr">
        <is>
          <t>02-576-6123</t>
        </is>
      </c>
      <c r="L606" t="inlineStr">
        <is>
          <t>경기도 화성시 만세구 향남읍 발안공단로2길 15</t>
        </is>
      </c>
      <c r="M606" t="inlineStr"/>
      <c r="N606" t="inlineStr">
        <is>
          <t>경기도 화성시 만세구 향남읍 발안공단로2길 15</t>
        </is>
      </c>
      <c r="O606" t="inlineStr">
        <is>
          <t>경기도</t>
        </is>
      </c>
      <c r="P606" t="inlineStr">
        <is>
          <t>화성시</t>
        </is>
      </c>
      <c r="Q606" t="inlineStr">
        <is>
          <t>Y</t>
        </is>
      </c>
      <c r="R606" t="n">
        <v>77</v>
      </c>
    </row>
    <row r="607">
      <c r="A607" t="n">
        <v>606</v>
      </c>
      <c r="B607" t="inlineStr">
        <is>
          <t>에이치엘비펩(주)</t>
        </is>
      </c>
      <c r="C607" t="inlineStr">
        <is>
          <t>에이치엘비펩</t>
        </is>
      </c>
      <c r="D607" t="inlineStr">
        <is>
          <t>의약품</t>
        </is>
      </c>
      <c r="E607" t="inlineStr">
        <is>
          <t>301</t>
        </is>
      </c>
      <c r="F607" t="inlineStr">
        <is>
          <t>심경재</t>
        </is>
      </c>
      <c r="G607" t="inlineStr">
        <is>
          <t>2010-08-19</t>
        </is>
      </c>
      <c r="H607" t="inlineStr">
        <is>
          <t>20100819</t>
        </is>
      </c>
      <c r="I607" t="inlineStr">
        <is>
          <t>1</t>
        </is>
      </c>
      <c r="J607" t="inlineStr">
        <is>
          <t>에이치엘비펩(주)-장성</t>
        </is>
      </c>
      <c r="K607" t="inlineStr">
        <is>
          <t>070-4331-5130</t>
        </is>
      </c>
      <c r="L607" t="inlineStr">
        <is>
          <t>전라남도 장성군 남면 나노산단로 123</t>
        </is>
      </c>
      <c r="M607" t="inlineStr">
        <is>
          <t>전라남도 나노바이오센터 내 시험생산2동 (3층건물)</t>
        </is>
      </c>
      <c r="N607" t="inlineStr">
        <is>
          <t>전라남도 장성군 남면 나노산단로 123 전라남도 나노바이오센터 내 시험생산2동 (3층건물)</t>
        </is>
      </c>
      <c r="O607" t="inlineStr">
        <is>
          <t>전라남도</t>
        </is>
      </c>
      <c r="P607" t="inlineStr">
        <is>
          <t>장성군</t>
        </is>
      </c>
      <c r="Q607" t="inlineStr">
        <is>
          <t>N</t>
        </is>
      </c>
      <c r="R607" t="n">
        <v>0</v>
      </c>
    </row>
    <row r="608">
      <c r="A608" t="n">
        <v>607</v>
      </c>
      <c r="B608" t="inlineStr">
        <is>
          <t>에이치엘비제약(주)</t>
        </is>
      </c>
      <c r="C608" t="inlineStr">
        <is>
          <t>에이치엘비제약</t>
        </is>
      </c>
      <c r="D608" t="inlineStr">
        <is>
          <t>의약품</t>
        </is>
      </c>
      <c r="E608" t="inlineStr">
        <is>
          <t>1549</t>
        </is>
      </c>
      <c r="F608" t="inlineStr">
        <is>
          <t>박재형</t>
        </is>
      </c>
      <c r="G608" t="inlineStr">
        <is>
          <t>1972-08-11</t>
        </is>
      </c>
      <c r="H608" t="inlineStr">
        <is>
          <t>19720811</t>
        </is>
      </c>
      <c r="I608" t="inlineStr">
        <is>
          <t>2</t>
        </is>
      </c>
      <c r="J608" t="inlineStr">
        <is>
          <t>제2공장</t>
        </is>
      </c>
      <c r="K608" t="inlineStr"/>
      <c r="L608" t="inlineStr">
        <is>
          <t>경기도 화성시 향남읍 제약공단2길 35</t>
        </is>
      </c>
      <c r="M608" t="inlineStr"/>
      <c r="N608" t="inlineStr">
        <is>
          <t>경기도 화성시 향남읍 제약공단2길 35</t>
        </is>
      </c>
      <c r="O608" t="inlineStr">
        <is>
          <t>경기도</t>
        </is>
      </c>
      <c r="P608" t="inlineStr">
        <is>
          <t>화성시</t>
        </is>
      </c>
      <c r="Q608" t="inlineStr">
        <is>
          <t>N</t>
        </is>
      </c>
      <c r="R608" t="n">
        <v>0</v>
      </c>
    </row>
    <row r="609">
      <c r="A609" t="n">
        <v>608</v>
      </c>
      <c r="B609" t="inlineStr">
        <is>
          <t>(주)에이프로젠바이오로직스</t>
        </is>
      </c>
      <c r="C609" t="inlineStr">
        <is>
          <t>에이프로젠바이오로직스</t>
        </is>
      </c>
      <c r="D609" t="inlineStr">
        <is>
          <t>의약품</t>
        </is>
      </c>
      <c r="E609" t="inlineStr">
        <is>
          <t>1386</t>
        </is>
      </c>
      <c r="F609" t="inlineStr">
        <is>
          <t>김정출</t>
        </is>
      </c>
      <c r="G609" t="inlineStr">
        <is>
          <t>1959-12-24</t>
        </is>
      </c>
      <c r="H609" t="inlineStr">
        <is>
          <t>19591224</t>
        </is>
      </c>
      <c r="I609" t="inlineStr">
        <is>
          <t>2</t>
        </is>
      </c>
      <c r="J609" t="inlineStr">
        <is>
          <t>화성</t>
        </is>
      </c>
      <c r="K609" t="inlineStr"/>
      <c r="L609" t="inlineStr">
        <is>
          <t>경기도 화성시 만세구 양감면 두머리길 16</t>
        </is>
      </c>
      <c r="M609" t="inlineStr"/>
      <c r="N609" t="inlineStr">
        <is>
          <t>경기도 화성시 만세구 양감면 두머리길 16</t>
        </is>
      </c>
      <c r="O609" t="inlineStr">
        <is>
          <t>경기도</t>
        </is>
      </c>
      <c r="P609" t="inlineStr">
        <is>
          <t>화성시</t>
        </is>
      </c>
      <c r="Q609" t="inlineStr">
        <is>
          <t>Y</t>
        </is>
      </c>
      <c r="R609" t="n">
        <v>59</v>
      </c>
    </row>
    <row r="610">
      <c r="A610" t="n">
        <v>609</v>
      </c>
      <c r="B610" t="inlineStr">
        <is>
          <t>(주)알바이오</t>
        </is>
      </c>
      <c r="C610" t="inlineStr">
        <is>
          <t>알바이오</t>
        </is>
      </c>
      <c r="D610" t="inlineStr">
        <is>
          <t>의약품</t>
        </is>
      </c>
      <c r="E610" t="inlineStr">
        <is>
          <t>298</t>
        </is>
      </c>
      <c r="F610" t="inlineStr">
        <is>
          <t>김주선</t>
        </is>
      </c>
      <c r="G610" t="inlineStr">
        <is>
          <t>2009-08-11</t>
        </is>
      </c>
      <c r="H610" t="inlineStr">
        <is>
          <t>20090811</t>
        </is>
      </c>
      <c r="I610" t="inlineStr">
        <is>
          <t>1</t>
        </is>
      </c>
      <c r="J610" t="inlineStr">
        <is>
          <t>.</t>
        </is>
      </c>
      <c r="K610" t="inlineStr"/>
      <c r="L610" t="inlineStr">
        <is>
          <t>서울특별시 금천구 가산디지털2로 98</t>
        </is>
      </c>
      <c r="M610" t="inlineStr">
        <is>
          <t>IT캐슬 2동 305-308호, 310-313호, 315호(시험실)</t>
        </is>
      </c>
      <c r="N610" t="inlineStr">
        <is>
          <t>서울특별시 금천구 가산디지털2로 98 IT캐슬 2동 305-308호, 310-313호, 315호(시험실)</t>
        </is>
      </c>
      <c r="O610" t="inlineStr">
        <is>
          <t>서울특별시</t>
        </is>
      </c>
      <c r="P610" t="inlineStr">
        <is>
          <t>금천구</t>
        </is>
      </c>
      <c r="Q610" t="inlineStr">
        <is>
          <t>Y</t>
        </is>
      </c>
      <c r="R610" t="n">
        <v>60</v>
      </c>
    </row>
    <row r="611">
      <c r="A611" t="n">
        <v>610</v>
      </c>
      <c r="B611" t="inlineStr">
        <is>
          <t>영일제약(주)</t>
        </is>
      </c>
      <c r="C611" t="inlineStr">
        <is>
          <t>영일제약</t>
        </is>
      </c>
      <c r="D611" t="inlineStr">
        <is>
          <t>의약품</t>
        </is>
      </c>
      <c r="E611" t="inlineStr">
        <is>
          <t>1523</t>
        </is>
      </c>
      <c r="F611" t="inlineStr">
        <is>
          <t>김종우</t>
        </is>
      </c>
      <c r="G611" t="inlineStr">
        <is>
          <t>1971-03-20</t>
        </is>
      </c>
      <c r="H611" t="inlineStr">
        <is>
          <t>19710320</t>
        </is>
      </c>
      <c r="I611" t="inlineStr">
        <is>
          <t>1</t>
        </is>
      </c>
      <c r="J611" t="inlineStr">
        <is>
          <t>진천</t>
        </is>
      </c>
      <c r="K611" t="inlineStr">
        <is>
          <t>02-522-0150</t>
        </is>
      </c>
      <c r="L611" t="inlineStr">
        <is>
          <t>충청북도 진천군 진천읍 문화12길 6-1</t>
        </is>
      </c>
      <c r="M611" t="inlineStr"/>
      <c r="N611" t="inlineStr">
        <is>
          <t>충청북도 진천군 진천읍 문화12길 6-1</t>
        </is>
      </c>
      <c r="O611" t="inlineStr">
        <is>
          <t>충청북도</t>
        </is>
      </c>
      <c r="P611" t="inlineStr">
        <is>
          <t>진천군</t>
        </is>
      </c>
      <c r="Q611" t="inlineStr">
        <is>
          <t>N</t>
        </is>
      </c>
      <c r="R611" t="n">
        <v>0</v>
      </c>
    </row>
    <row r="612">
      <c r="A612" t="n">
        <v>611</v>
      </c>
      <c r="B612" t="inlineStr">
        <is>
          <t>태극제약(주)</t>
        </is>
      </c>
      <c r="C612" t="inlineStr">
        <is>
          <t>태극제약</t>
        </is>
      </c>
      <c r="D612" t="inlineStr">
        <is>
          <t>의약품</t>
        </is>
      </c>
      <c r="E612" t="inlineStr">
        <is>
          <t>1370</t>
        </is>
      </c>
      <c r="F612" t="inlineStr">
        <is>
          <t>최승만</t>
        </is>
      </c>
      <c r="G612" t="inlineStr">
        <is>
          <t>1958-06-29</t>
        </is>
      </c>
      <c r="H612" t="inlineStr">
        <is>
          <t>19580629</t>
        </is>
      </c>
      <c r="I612" t="inlineStr">
        <is>
          <t>2</t>
        </is>
      </c>
      <c r="J612" t="inlineStr">
        <is>
          <t>부여</t>
        </is>
      </c>
      <c r="K612" t="inlineStr">
        <is>
          <t>02-7479-9325</t>
        </is>
      </c>
      <c r="L612" t="inlineStr">
        <is>
          <t>충청남도 부여군 초촌면 금백로 821</t>
        </is>
      </c>
      <c r="M612" t="inlineStr"/>
      <c r="N612" t="inlineStr">
        <is>
          <t>충청남도 부여군 초촌면 금백로 821</t>
        </is>
      </c>
      <c r="O612" t="inlineStr">
        <is>
          <t>충청남도</t>
        </is>
      </c>
      <c r="P612" t="inlineStr">
        <is>
          <t>부여군</t>
        </is>
      </c>
      <c r="Q612" t="inlineStr">
        <is>
          <t>Y</t>
        </is>
      </c>
      <c r="R612" t="n">
        <v>61</v>
      </c>
    </row>
    <row r="613">
      <c r="A613" t="n">
        <v>612</v>
      </c>
      <c r="B613" t="inlineStr">
        <is>
          <t>(재)전남바이오진흥원 바이오의약본부</t>
        </is>
      </c>
      <c r="C613" t="inlineStr">
        <is>
          <t>(재)전남바이오진흥원 바이오의약본부</t>
        </is>
      </c>
      <c r="D613" t="inlineStr">
        <is>
          <t>의약품</t>
        </is>
      </c>
      <c r="E613" t="inlineStr">
        <is>
          <t>266</t>
        </is>
      </c>
      <c r="F613" t="inlineStr">
        <is>
          <t>김기홍</t>
        </is>
      </c>
      <c r="G613" t="inlineStr">
        <is>
          <t>2008-07-11</t>
        </is>
      </c>
      <c r="H613" t="inlineStr">
        <is>
          <t>20080711</t>
        </is>
      </c>
      <c r="I613" t="inlineStr">
        <is>
          <t>1</t>
        </is>
      </c>
      <c r="J613" t="inlineStr">
        <is>
          <t>화순공장</t>
        </is>
      </c>
      <c r="K613" t="inlineStr">
        <is>
          <t>(061)371-6895</t>
        </is>
      </c>
      <c r="L613" t="inlineStr">
        <is>
          <t>전라남도 화순군 화순읍 산단길 12-55</t>
        </is>
      </c>
      <c r="M613" t="inlineStr"/>
      <c r="N613" t="inlineStr">
        <is>
          <t>전라남도 화순군 화순읍 산단길 12-55</t>
        </is>
      </c>
      <c r="O613" t="inlineStr">
        <is>
          <t>전라남도</t>
        </is>
      </c>
      <c r="P613" t="inlineStr">
        <is>
          <t>화순군</t>
        </is>
      </c>
      <c r="Q613" t="inlineStr">
        <is>
          <t>N</t>
        </is>
      </c>
      <c r="R613" t="n">
        <v>0</v>
      </c>
    </row>
    <row r="614">
      <c r="A614" t="n">
        <v>613</v>
      </c>
      <c r="B614" t="inlineStr">
        <is>
          <t>한화제약(주)</t>
        </is>
      </c>
      <c r="C614" t="inlineStr">
        <is>
          <t>한화제약</t>
        </is>
      </c>
      <c r="D614" t="inlineStr">
        <is>
          <t>의약품</t>
        </is>
      </c>
      <c r="E614" t="inlineStr">
        <is>
          <t>1514</t>
        </is>
      </c>
      <c r="F614" t="inlineStr">
        <is>
          <t>김경락</t>
        </is>
      </c>
      <c r="G614" t="inlineStr">
        <is>
          <t>1970-11-02</t>
        </is>
      </c>
      <c r="H614" t="inlineStr">
        <is>
          <t>19701102</t>
        </is>
      </c>
      <c r="I614" t="inlineStr">
        <is>
          <t>2</t>
        </is>
      </c>
      <c r="J614" t="inlineStr">
        <is>
          <t>춘천</t>
        </is>
      </c>
      <c r="K614" t="inlineStr"/>
      <c r="L614" t="inlineStr">
        <is>
          <t>강원특별자치도 춘천시 남면 약암길 109</t>
        </is>
      </c>
      <c r="M614" t="inlineStr"/>
      <c r="N614" t="inlineStr">
        <is>
          <t>강원특별자치도 춘천시 남면 약암길 109</t>
        </is>
      </c>
      <c r="O614" t="inlineStr">
        <is>
          <t>강원특별자치도</t>
        </is>
      </c>
      <c r="P614" t="inlineStr">
        <is>
          <t>춘천시</t>
        </is>
      </c>
      <c r="Q614" t="inlineStr">
        <is>
          <t>N</t>
        </is>
      </c>
      <c r="R614" t="n">
        <v>0</v>
      </c>
    </row>
    <row r="615">
      <c r="A615" t="n">
        <v>614</v>
      </c>
      <c r="B615" t="inlineStr">
        <is>
          <t>한미약품(주)</t>
        </is>
      </c>
      <c r="C615" t="inlineStr">
        <is>
          <t>한미약품</t>
        </is>
      </c>
      <c r="D615" t="inlineStr">
        <is>
          <t>의약품</t>
        </is>
      </c>
      <c r="E615" t="inlineStr">
        <is>
          <t>1337</t>
        </is>
      </c>
      <c r="F615" t="inlineStr">
        <is>
          <t>황상연</t>
        </is>
      </c>
      <c r="G615" t="inlineStr">
        <is>
          <t>1957-05-27</t>
        </is>
      </c>
      <c r="H615" t="inlineStr">
        <is>
          <t>19570527</t>
        </is>
      </c>
      <c r="I615" t="inlineStr">
        <is>
          <t>1</t>
        </is>
      </c>
      <c r="J615" t="inlineStr">
        <is>
          <t>화성</t>
        </is>
      </c>
      <c r="K615" t="inlineStr">
        <is>
          <t>02-410-9114</t>
        </is>
      </c>
      <c r="L615" t="inlineStr">
        <is>
          <t>경기도 화성시 만세구 팔탄면 무하로 214</t>
        </is>
      </c>
      <c r="M615" t="inlineStr"/>
      <c r="N615" t="inlineStr">
        <is>
          <t>경기도 화성시 만세구 팔탄면 무하로 214</t>
        </is>
      </c>
      <c r="O615" t="inlineStr">
        <is>
          <t>경기도</t>
        </is>
      </c>
      <c r="P615" t="inlineStr">
        <is>
          <t>화성시</t>
        </is>
      </c>
      <c r="Q615" t="inlineStr">
        <is>
          <t>N</t>
        </is>
      </c>
      <c r="R615" t="n">
        <v>0</v>
      </c>
    </row>
    <row r="616">
      <c r="A616" t="n">
        <v>615</v>
      </c>
      <c r="B616" t="inlineStr">
        <is>
          <t>한국신텍스제약(주)</t>
        </is>
      </c>
      <c r="C616" t="inlineStr">
        <is>
          <t>한국신텍스제약</t>
        </is>
      </c>
      <c r="D616" t="inlineStr">
        <is>
          <t>의약품</t>
        </is>
      </c>
      <c r="E616" t="inlineStr">
        <is>
          <t>1334</t>
        </is>
      </c>
      <c r="F616" t="inlineStr">
        <is>
          <t>최임용</t>
        </is>
      </c>
      <c r="G616" t="inlineStr">
        <is>
          <t>2001-01-10</t>
        </is>
      </c>
      <c r="H616" t="inlineStr">
        <is>
          <t>20010110</t>
        </is>
      </c>
      <c r="I616" t="inlineStr">
        <is>
          <t>1</t>
        </is>
      </c>
      <c r="J616" t="inlineStr">
        <is>
          <t>진주</t>
        </is>
      </c>
      <c r="K616" t="inlineStr">
        <is>
          <t>055-7618100</t>
        </is>
      </c>
      <c r="L616" t="inlineStr">
        <is>
          <t>경상남도 진주시 동진로 258</t>
        </is>
      </c>
      <c r="M616" t="inlineStr"/>
      <c r="N616" t="inlineStr">
        <is>
          <t>경상남도 진주시 동진로 258</t>
        </is>
      </c>
      <c r="O616" t="inlineStr">
        <is>
          <t>경상남도</t>
        </is>
      </c>
      <c r="P616" t="inlineStr">
        <is>
          <t>진주시</t>
        </is>
      </c>
      <c r="Q616" t="inlineStr">
        <is>
          <t>Y</t>
        </is>
      </c>
      <c r="R616" t="n">
        <v>78</v>
      </c>
    </row>
    <row r="617">
      <c r="A617" t="n">
        <v>616</v>
      </c>
      <c r="B617" t="inlineStr">
        <is>
          <t>(주)녹십자</t>
        </is>
      </c>
      <c r="C617" t="inlineStr">
        <is>
          <t>녹십자</t>
        </is>
      </c>
      <c r="D617" t="inlineStr">
        <is>
          <t>의약품</t>
        </is>
      </c>
      <c r="E617" t="inlineStr">
        <is>
          <t>1735</t>
        </is>
      </c>
      <c r="F617" t="inlineStr">
        <is>
          <t>허은철</t>
        </is>
      </c>
      <c r="G617" t="inlineStr">
        <is>
          <t>1991-01-18</t>
        </is>
      </c>
      <c r="H617" t="inlineStr">
        <is>
          <t>19910118</t>
        </is>
      </c>
      <c r="I617" t="inlineStr">
        <is>
          <t>3</t>
        </is>
      </c>
      <c r="J617" t="inlineStr">
        <is>
          <t>용인</t>
        </is>
      </c>
      <c r="K617" t="inlineStr">
        <is>
          <t>031-280-6000</t>
        </is>
      </c>
      <c r="L617" t="inlineStr">
        <is>
          <t>경기도 용인시 처인구 포곡읍 전대로16번길 16-13</t>
        </is>
      </c>
      <c r="M617" t="inlineStr"/>
      <c r="N617" t="inlineStr">
        <is>
          <t>경기도 용인시 처인구 포곡읍 전대로16번길 16-13</t>
        </is>
      </c>
      <c r="O617" t="inlineStr">
        <is>
          <t>경기도</t>
        </is>
      </c>
      <c r="P617" t="inlineStr">
        <is>
          <t>용인시</t>
        </is>
      </c>
      <c r="Q617" t="inlineStr">
        <is>
          <t>N</t>
        </is>
      </c>
      <c r="R617" t="n">
        <v>0</v>
      </c>
    </row>
    <row r="618">
      <c r="A618" t="n">
        <v>617</v>
      </c>
      <c r="B618" t="inlineStr">
        <is>
          <t>진양제약(주)</t>
        </is>
      </c>
      <c r="C618" t="inlineStr">
        <is>
          <t>진양제약</t>
        </is>
      </c>
      <c r="D618" t="inlineStr">
        <is>
          <t>의약품</t>
        </is>
      </c>
      <c r="E618" t="inlineStr">
        <is>
          <t>1507</t>
        </is>
      </c>
      <c r="F618" t="inlineStr">
        <is>
          <t>최재준</t>
        </is>
      </c>
      <c r="G618" t="inlineStr">
        <is>
          <t>1970-08-10</t>
        </is>
      </c>
      <c r="H618" t="inlineStr">
        <is>
          <t>19700810</t>
        </is>
      </c>
      <c r="I618" t="inlineStr">
        <is>
          <t>2</t>
        </is>
      </c>
      <c r="J618" t="inlineStr">
        <is>
          <t>강원도</t>
        </is>
      </c>
      <c r="K618" t="inlineStr"/>
      <c r="L618" t="inlineStr">
        <is>
          <t>강원특별자치도 원주시 지정면 신평로 34</t>
        </is>
      </c>
      <c r="M618" t="inlineStr"/>
      <c r="N618" t="inlineStr">
        <is>
          <t>강원특별자치도 원주시 지정면 신평로 34</t>
        </is>
      </c>
      <c r="O618" t="inlineStr">
        <is>
          <t>강원특별자치도</t>
        </is>
      </c>
      <c r="P618" t="inlineStr">
        <is>
          <t>원주시</t>
        </is>
      </c>
      <c r="Q618" t="inlineStr">
        <is>
          <t>N</t>
        </is>
      </c>
      <c r="R618" t="n">
        <v>0</v>
      </c>
    </row>
    <row r="619">
      <c r="A619" t="n">
        <v>618</v>
      </c>
      <c r="B619" t="inlineStr">
        <is>
          <t>동방에프티엘(주)</t>
        </is>
      </c>
      <c r="C619" t="inlineStr">
        <is>
          <t>동방에프티엘</t>
        </is>
      </c>
      <c r="D619" t="inlineStr">
        <is>
          <t>의약품</t>
        </is>
      </c>
      <c r="E619" t="inlineStr">
        <is>
          <t>1731</t>
        </is>
      </c>
      <c r="F619" t="inlineStr">
        <is>
          <t>정헌석</t>
        </is>
      </c>
      <c r="G619" t="inlineStr">
        <is>
          <t>1991-08-05</t>
        </is>
      </c>
      <c r="H619" t="inlineStr">
        <is>
          <t>19910805</t>
        </is>
      </c>
      <c r="I619" t="inlineStr">
        <is>
          <t>2</t>
        </is>
      </c>
      <c r="J619" t="inlineStr">
        <is>
          <t>보관소</t>
        </is>
      </c>
      <c r="K619" t="inlineStr"/>
      <c r="L619" t="inlineStr">
        <is>
          <t>경기도 화성시 만세구 향남읍 제약공단4길 83</t>
        </is>
      </c>
      <c r="M619" t="inlineStr">
        <is>
          <t>4동</t>
        </is>
      </c>
      <c r="N619" t="inlineStr">
        <is>
          <t>경기도 화성시 만세구 향남읍 제약공단4길 83 4동</t>
        </is>
      </c>
      <c r="O619" t="inlineStr">
        <is>
          <t>경기도</t>
        </is>
      </c>
      <c r="P619" t="inlineStr">
        <is>
          <t>화성시</t>
        </is>
      </c>
      <c r="Q619" t="inlineStr">
        <is>
          <t>Y</t>
        </is>
      </c>
      <c r="R619" t="n">
        <v>55</v>
      </c>
    </row>
    <row r="620">
      <c r="A620" t="n">
        <v>619</v>
      </c>
      <c r="B620" t="inlineStr">
        <is>
          <t>안국뉴팜(주)</t>
        </is>
      </c>
      <c r="C620" t="inlineStr">
        <is>
          <t>안국뉴팜</t>
        </is>
      </c>
      <c r="D620" t="inlineStr">
        <is>
          <t>의약품</t>
        </is>
      </c>
      <c r="E620" t="inlineStr">
        <is>
          <t>360</t>
        </is>
      </c>
      <c r="F620" t="inlineStr">
        <is>
          <t>김도경</t>
        </is>
      </c>
      <c r="G620" t="inlineStr">
        <is>
          <t>2016-07-28</t>
        </is>
      </c>
      <c r="H620" t="inlineStr">
        <is>
          <t>20160728</t>
        </is>
      </c>
      <c r="I620" t="inlineStr">
        <is>
          <t>1</t>
        </is>
      </c>
      <c r="J620" t="inlineStr">
        <is>
          <t>김포</t>
        </is>
      </c>
      <c r="K620" t="inlineStr">
        <is>
          <t>02-3289-4259</t>
        </is>
      </c>
      <c r="L620" t="inlineStr">
        <is>
          <t>경기도 김포시 통진읍 가현로 182-4</t>
        </is>
      </c>
      <c r="M620" t="inlineStr"/>
      <c r="N620" t="inlineStr">
        <is>
          <t>경기도 김포시 통진읍 가현로 182-4</t>
        </is>
      </c>
      <c r="O620" t="inlineStr">
        <is>
          <t>경기도</t>
        </is>
      </c>
      <c r="P620" t="inlineStr">
        <is>
          <t>김포시</t>
        </is>
      </c>
      <c r="Q620" t="inlineStr">
        <is>
          <t>N</t>
        </is>
      </c>
      <c r="R620" t="n">
        <v>0</v>
      </c>
    </row>
    <row r="621">
      <c r="A621" t="n">
        <v>620</v>
      </c>
      <c r="B621" t="inlineStr">
        <is>
          <t>삼남제약(주)</t>
        </is>
      </c>
      <c r="C621" t="inlineStr">
        <is>
          <t>삼남제약</t>
        </is>
      </c>
      <c r="D621" t="inlineStr">
        <is>
          <t>의약품</t>
        </is>
      </c>
      <c r="E621" t="inlineStr">
        <is>
          <t>1307</t>
        </is>
      </c>
      <c r="F621" t="inlineStr">
        <is>
          <t>김호택</t>
        </is>
      </c>
      <c r="G621" t="inlineStr">
        <is>
          <t>1955-09-05</t>
        </is>
      </c>
      <c r="H621" t="inlineStr">
        <is>
          <t>19550905</t>
        </is>
      </c>
      <c r="I621" t="inlineStr">
        <is>
          <t>1</t>
        </is>
      </c>
      <c r="J621" t="inlineStr">
        <is>
          <t>금산</t>
        </is>
      </c>
      <c r="K621" t="inlineStr">
        <is>
          <t>041-754-3771</t>
        </is>
      </c>
      <c r="L621" t="inlineStr">
        <is>
          <t>충청남도 금산군 금산읍 인삼로 77</t>
        </is>
      </c>
      <c r="M621" t="inlineStr"/>
      <c r="N621" t="inlineStr">
        <is>
          <t>충청남도 금산군 금산읍 인삼로 77</t>
        </is>
      </c>
      <c r="O621" t="inlineStr">
        <is>
          <t>충청남도</t>
        </is>
      </c>
      <c r="P621" t="inlineStr">
        <is>
          <t>금산군</t>
        </is>
      </c>
      <c r="Q621" t="inlineStr">
        <is>
          <t>N</t>
        </is>
      </c>
      <c r="R621" t="n">
        <v>0</v>
      </c>
    </row>
    <row r="622">
      <c r="A622" t="n">
        <v>621</v>
      </c>
      <c r="B622" t="inlineStr">
        <is>
          <t>(주)리독스바이오</t>
        </is>
      </c>
      <c r="C622" t="inlineStr">
        <is>
          <t>리독스바이오</t>
        </is>
      </c>
      <c r="D622" t="inlineStr">
        <is>
          <t>의약품</t>
        </is>
      </c>
      <c r="E622" t="inlineStr">
        <is>
          <t>357</t>
        </is>
      </c>
      <c r="F622" t="inlineStr">
        <is>
          <t>김수지</t>
        </is>
      </c>
      <c r="G622" t="inlineStr">
        <is>
          <t>2015-12-03</t>
        </is>
      </c>
      <c r="H622" t="inlineStr">
        <is>
          <t>20151203</t>
        </is>
      </c>
      <c r="I622" t="inlineStr">
        <is>
          <t>2</t>
        </is>
      </c>
      <c r="J622" t="inlineStr">
        <is>
          <t>제2공장</t>
        </is>
      </c>
      <c r="K622" t="inlineStr"/>
      <c r="L622" t="inlineStr">
        <is>
          <t>경기도 화성시 향남읍 제약공단3길 83</t>
        </is>
      </c>
      <c r="M622" t="inlineStr"/>
      <c r="N622" t="inlineStr">
        <is>
          <t>경기도 화성시 향남읍 제약공단3길 83</t>
        </is>
      </c>
      <c r="O622" t="inlineStr">
        <is>
          <t>경기도</t>
        </is>
      </c>
      <c r="P622" t="inlineStr">
        <is>
          <t>화성시</t>
        </is>
      </c>
      <c r="Q622" t="inlineStr">
        <is>
          <t>N</t>
        </is>
      </c>
      <c r="R622" t="n">
        <v>0</v>
      </c>
    </row>
    <row r="623">
      <c r="A623" t="n">
        <v>622</v>
      </c>
      <c r="B623" t="inlineStr">
        <is>
          <t>대영제약(주)</t>
        </is>
      </c>
      <c r="C623" t="inlineStr">
        <is>
          <t>대영제약</t>
        </is>
      </c>
      <c r="D623" t="inlineStr">
        <is>
          <t>의약품</t>
        </is>
      </c>
      <c r="E623" t="inlineStr">
        <is>
          <t>2239</t>
        </is>
      </c>
      <c r="F623" t="inlineStr">
        <is>
          <t>신걸섭</t>
        </is>
      </c>
      <c r="G623" t="inlineStr">
        <is>
          <t>2001-09-06</t>
        </is>
      </c>
      <c r="H623" t="inlineStr">
        <is>
          <t>20010906</t>
        </is>
      </c>
      <c r="I623" t="inlineStr">
        <is>
          <t>1</t>
        </is>
      </c>
      <c r="J623" t="inlineStr">
        <is>
          <t>부천</t>
        </is>
      </c>
      <c r="K623" t="inlineStr">
        <is>
          <t>032-661-6100</t>
        </is>
      </c>
      <c r="L623" t="inlineStr">
        <is>
          <t>경기도 부천시 소사구 송내대로42번길 38-1</t>
        </is>
      </c>
      <c r="M623" t="inlineStr"/>
      <c r="N623" t="inlineStr">
        <is>
          <t>경기도 부천시 소사구 송내대로42번길 38-1</t>
        </is>
      </c>
      <c r="O623" t="inlineStr">
        <is>
          <t>경기도</t>
        </is>
      </c>
      <c r="P623" t="inlineStr">
        <is>
          <t>부천시</t>
        </is>
      </c>
      <c r="Q623" t="inlineStr">
        <is>
          <t>N</t>
        </is>
      </c>
      <c r="R623" t="n">
        <v>0</v>
      </c>
    </row>
    <row r="624">
      <c r="A624" t="n">
        <v>623</v>
      </c>
      <c r="B624" t="inlineStr">
        <is>
          <t>대구경북첨단의료산업진흥재단</t>
        </is>
      </c>
      <c r="C624" t="inlineStr">
        <is>
          <t>대구경북첨단의료산업진흥재단</t>
        </is>
      </c>
      <c r="D624" t="inlineStr">
        <is>
          <t>의약품</t>
        </is>
      </c>
      <c r="E624" t="inlineStr">
        <is>
          <t>81</t>
        </is>
      </c>
      <c r="F624" t="inlineStr">
        <is>
          <t>박구선</t>
        </is>
      </c>
      <c r="G624" t="inlineStr">
        <is>
          <t>2015-05-21</t>
        </is>
      </c>
      <c r="H624" t="inlineStr">
        <is>
          <t>20150521</t>
        </is>
      </c>
      <c r="I624" t="inlineStr">
        <is>
          <t>1</t>
        </is>
      </c>
      <c r="J624" t="inlineStr">
        <is>
          <t>제1공장</t>
        </is>
      </c>
      <c r="K624" t="inlineStr">
        <is>
          <t>(053)790-5822</t>
        </is>
      </c>
      <c r="L624" t="inlineStr">
        <is>
          <t>대구광역시 동구 첨복로 80</t>
        </is>
      </c>
      <c r="M624" t="inlineStr"/>
      <c r="N624" t="inlineStr">
        <is>
          <t>대구광역시 동구 첨복로 80</t>
        </is>
      </c>
      <c r="O624" t="inlineStr">
        <is>
          <t>대구광역시</t>
        </is>
      </c>
      <c r="P624" t="inlineStr">
        <is>
          <t>동구</t>
        </is>
      </c>
      <c r="Q624" t="inlineStr">
        <is>
          <t>N</t>
        </is>
      </c>
      <c r="R624" t="n">
        <v>0</v>
      </c>
    </row>
    <row r="625">
      <c r="A625" t="n">
        <v>624</v>
      </c>
      <c r="B625" t="inlineStr">
        <is>
          <t>상녹제약(주)</t>
        </is>
      </c>
      <c r="C625" t="inlineStr">
        <is>
          <t>상녹제약</t>
        </is>
      </c>
      <c r="D625" t="inlineStr">
        <is>
          <t>의약품</t>
        </is>
      </c>
      <c r="E625" t="inlineStr">
        <is>
          <t>2227</t>
        </is>
      </c>
      <c r="F625" t="inlineStr">
        <is>
          <t>강희상</t>
        </is>
      </c>
      <c r="G625" t="inlineStr">
        <is>
          <t>2001-07-26</t>
        </is>
      </c>
      <c r="H625" t="inlineStr">
        <is>
          <t>20010726</t>
        </is>
      </c>
      <c r="I625" t="inlineStr">
        <is>
          <t>1</t>
        </is>
      </c>
      <c r="J625" t="inlineStr">
        <is>
          <t>서울</t>
        </is>
      </c>
      <c r="K625" t="inlineStr">
        <is>
          <t>02-961-8811</t>
        </is>
      </c>
      <c r="L625" t="inlineStr">
        <is>
          <t>서울특별시 동대문구 약령동길 88</t>
        </is>
      </c>
      <c r="M625" t="inlineStr">
        <is>
          <t>, 지하1층, 1층</t>
        </is>
      </c>
      <c r="N625" t="inlineStr">
        <is>
          <t>서울특별시 동대문구 약령동길 88 , 지하1층, 1층</t>
        </is>
      </c>
      <c r="O625" t="inlineStr">
        <is>
          <t>서울특별시</t>
        </is>
      </c>
      <c r="P625" t="inlineStr">
        <is>
          <t>동대문구</t>
        </is>
      </c>
      <c r="Q625" t="inlineStr">
        <is>
          <t>N</t>
        </is>
      </c>
      <c r="R625" t="n">
        <v>0</v>
      </c>
    </row>
    <row r="626">
      <c r="A626" t="n">
        <v>625</v>
      </c>
      <c r="B626" t="inlineStr">
        <is>
          <t>(주)쎌바이오텍</t>
        </is>
      </c>
      <c r="C626" t="inlineStr">
        <is>
          <t>쎌바이오텍</t>
        </is>
      </c>
      <c r="D626" t="inlineStr">
        <is>
          <t>의약품</t>
        </is>
      </c>
      <c r="E626" t="inlineStr">
        <is>
          <t>2013</t>
        </is>
      </c>
      <c r="F626" t="inlineStr">
        <is>
          <t>정명준</t>
        </is>
      </c>
      <c r="G626" t="inlineStr">
        <is>
          <t>1998-08-17</t>
        </is>
      </c>
      <c r="H626" t="inlineStr">
        <is>
          <t>19980817</t>
        </is>
      </c>
      <c r="I626" t="inlineStr">
        <is>
          <t>2</t>
        </is>
      </c>
      <c r="J626" t="inlineStr">
        <is>
          <t>보관소</t>
        </is>
      </c>
      <c r="K626" t="inlineStr"/>
      <c r="L626" t="inlineStr">
        <is>
          <t>경기도 김포시 월곶면 애기봉로409번길 45</t>
        </is>
      </c>
      <c r="M626" t="inlineStr"/>
      <c r="N626" t="inlineStr">
        <is>
          <t>경기도 김포시 월곶면 애기봉로409번길 45</t>
        </is>
      </c>
      <c r="O626" t="inlineStr">
        <is>
          <t>경기도</t>
        </is>
      </c>
      <c r="P626" t="inlineStr">
        <is>
          <t>김포시</t>
        </is>
      </c>
      <c r="Q626" t="inlineStr">
        <is>
          <t>N</t>
        </is>
      </c>
      <c r="R626" t="n">
        <v>0</v>
      </c>
    </row>
    <row r="627">
      <c r="A627" t="n">
        <v>626</v>
      </c>
      <c r="B627" t="inlineStr">
        <is>
          <t>신보성제약</t>
        </is>
      </c>
      <c r="C627" t="inlineStr">
        <is>
          <t>신보성제약</t>
        </is>
      </c>
      <c r="D627" t="inlineStr">
        <is>
          <t>의약품</t>
        </is>
      </c>
      <c r="E627" t="inlineStr">
        <is>
          <t>348</t>
        </is>
      </c>
      <c r="F627" t="inlineStr">
        <is>
          <t>신기섭</t>
        </is>
      </c>
      <c r="G627" t="inlineStr">
        <is>
          <t>2015-01-12</t>
        </is>
      </c>
      <c r="H627" t="inlineStr">
        <is>
          <t>20150112</t>
        </is>
      </c>
      <c r="I627" t="inlineStr">
        <is>
          <t>1</t>
        </is>
      </c>
      <c r="J627" t="inlineStr">
        <is>
          <t>신보성제약</t>
        </is>
      </c>
      <c r="K627" t="inlineStr">
        <is>
          <t>(031)573-2388</t>
        </is>
      </c>
      <c r="L627" t="inlineStr">
        <is>
          <t>경기도 남양주시 진접읍 금강로1573번길 26</t>
        </is>
      </c>
      <c r="M627" t="inlineStr">
        <is>
          <t>201호</t>
        </is>
      </c>
      <c r="N627" t="inlineStr">
        <is>
          <t>경기도 남양주시 진접읍 금강로1573번길 26 201호</t>
        </is>
      </c>
      <c r="O627" t="inlineStr">
        <is>
          <t>경기도</t>
        </is>
      </c>
      <c r="P627" t="inlineStr">
        <is>
          <t>남양주시</t>
        </is>
      </c>
      <c r="Q627" t="inlineStr">
        <is>
          <t>N</t>
        </is>
      </c>
      <c r="R627" t="n">
        <v>0</v>
      </c>
    </row>
    <row r="628">
      <c r="A628" t="n">
        <v>627</v>
      </c>
      <c r="B628" t="inlineStr">
        <is>
          <t>서울대학교병원</t>
        </is>
      </c>
      <c r="C628" t="inlineStr">
        <is>
          <t>서울대학교병원</t>
        </is>
      </c>
      <c r="D628" t="inlineStr">
        <is>
          <t>의약품</t>
        </is>
      </c>
      <c r="E628" t="inlineStr">
        <is>
          <t>2222</t>
        </is>
      </c>
      <c r="F628" t="inlineStr">
        <is>
          <t>백남종</t>
        </is>
      </c>
      <c r="G628" t="inlineStr">
        <is>
          <t>2001-06-28</t>
        </is>
      </c>
      <c r="H628" t="inlineStr">
        <is>
          <t>20010628</t>
        </is>
      </c>
      <c r="I628" t="inlineStr">
        <is>
          <t>1</t>
        </is>
      </c>
      <c r="J628" t="inlineStr">
        <is>
          <t>종로</t>
        </is>
      </c>
      <c r="K628" t="inlineStr"/>
      <c r="L628" t="inlineStr">
        <is>
          <t>서울특별시 종로구 대학로 101</t>
        </is>
      </c>
      <c r="M628" t="inlineStr">
        <is>
          <t>서울대학교 암병원 종양핵의학검사실 사이클로트론실 (연건동)</t>
        </is>
      </c>
      <c r="N628" t="inlineStr">
        <is>
          <t>서울특별시 종로구 대학로 101 서울대학교 암병원 종양핵의학검사실 사이클로트론실 (연건동)</t>
        </is>
      </c>
      <c r="O628" t="inlineStr">
        <is>
          <t>서울특별시</t>
        </is>
      </c>
      <c r="P628" t="inlineStr">
        <is>
          <t>종로구</t>
        </is>
      </c>
      <c r="Q628" t="inlineStr">
        <is>
          <t>N</t>
        </is>
      </c>
      <c r="R628" t="n">
        <v>0</v>
      </c>
    </row>
    <row r="629">
      <c r="A629" t="n">
        <v>628</v>
      </c>
      <c r="B629" t="inlineStr">
        <is>
          <t>화일약품(주)</t>
        </is>
      </c>
      <c r="C629" t="inlineStr">
        <is>
          <t>화일약품</t>
        </is>
      </c>
      <c r="D629" t="inlineStr">
        <is>
          <t>의약품</t>
        </is>
      </c>
      <c r="E629" t="inlineStr">
        <is>
          <t>2014</t>
        </is>
      </c>
      <c r="F629" t="inlineStr">
        <is>
          <t>서생규</t>
        </is>
      </c>
      <c r="G629" t="inlineStr">
        <is>
          <t>1998-08-17</t>
        </is>
      </c>
      <c r="H629" t="inlineStr">
        <is>
          <t>19980817</t>
        </is>
      </c>
      <c r="I629" t="inlineStr">
        <is>
          <t>1</t>
        </is>
      </c>
      <c r="J629" t="inlineStr">
        <is>
          <t>화성(원료의약품)</t>
        </is>
      </c>
      <c r="K629" t="inlineStr">
        <is>
          <t>512-2592</t>
        </is>
      </c>
      <c r="L629" t="inlineStr">
        <is>
          <t>경기도 화성시 향남읍 제약공단3길 57</t>
        </is>
      </c>
      <c r="M629" t="inlineStr"/>
      <c r="N629" t="inlineStr">
        <is>
          <t>경기도 화성시 향남읍 제약공단3길 57</t>
        </is>
      </c>
      <c r="O629" t="inlineStr">
        <is>
          <t>경기도</t>
        </is>
      </c>
      <c r="P629" t="inlineStr">
        <is>
          <t>화성시</t>
        </is>
      </c>
      <c r="Q629" t="inlineStr">
        <is>
          <t>Y</t>
        </is>
      </c>
      <c r="R629" t="n">
        <v>79</v>
      </c>
    </row>
    <row r="630">
      <c r="A630" t="n">
        <v>629</v>
      </c>
      <c r="B630" t="inlineStr">
        <is>
          <t>(주)엠에스가스</t>
        </is>
      </c>
      <c r="C630" t="inlineStr">
        <is>
          <t>엠에스가스</t>
        </is>
      </c>
      <c r="D630" t="inlineStr">
        <is>
          <t>의약품</t>
        </is>
      </c>
      <c r="E630" t="inlineStr">
        <is>
          <t>2119</t>
        </is>
      </c>
      <c r="F630" t="inlineStr">
        <is>
          <t>전청민</t>
        </is>
      </c>
      <c r="G630" t="inlineStr">
        <is>
          <t>2000-02-22</t>
        </is>
      </c>
      <c r="H630" t="inlineStr">
        <is>
          <t>20000222</t>
        </is>
      </c>
      <c r="I630" t="inlineStr">
        <is>
          <t>4</t>
        </is>
      </c>
      <c r="J630" t="inlineStr">
        <is>
          <t>광주</t>
        </is>
      </c>
      <c r="K630" t="inlineStr"/>
      <c r="L630" t="inlineStr">
        <is>
          <t>경기도 광주시 초월읍 무들로8번길 51-4</t>
        </is>
      </c>
      <c r="M630" t="inlineStr"/>
      <c r="N630" t="inlineStr">
        <is>
          <t>경기도 광주시 초월읍 무들로8번길 51-4</t>
        </is>
      </c>
      <c r="O630" t="inlineStr">
        <is>
          <t>경기도</t>
        </is>
      </c>
      <c r="P630" t="inlineStr">
        <is>
          <t>광주시</t>
        </is>
      </c>
      <c r="Q630" t="inlineStr">
        <is>
          <t>N</t>
        </is>
      </c>
      <c r="R630" t="n">
        <v>0</v>
      </c>
    </row>
    <row r="631">
      <c r="A631" t="n">
        <v>630</v>
      </c>
      <c r="B631" t="inlineStr">
        <is>
          <t>한국특수가스(주)</t>
        </is>
      </c>
      <c r="C631" t="inlineStr">
        <is>
          <t>한국특수가스</t>
        </is>
      </c>
      <c r="D631" t="inlineStr">
        <is>
          <t>의약품</t>
        </is>
      </c>
      <c r="E631" t="inlineStr">
        <is>
          <t>1909</t>
        </is>
      </c>
      <c r="F631" t="inlineStr">
        <is>
          <t>한승문</t>
        </is>
      </c>
      <c r="G631" t="inlineStr">
        <is>
          <t>1996-05-16</t>
        </is>
      </c>
      <c r="H631" t="inlineStr">
        <is>
          <t>19960516</t>
        </is>
      </c>
      <c r="I631" t="inlineStr">
        <is>
          <t>3</t>
        </is>
      </c>
      <c r="J631" t="inlineStr">
        <is>
          <t>한국특수가스(주) 전주사업장</t>
        </is>
      </c>
      <c r="K631" t="inlineStr"/>
      <c r="L631" t="inlineStr">
        <is>
          <t>전북특별자치도 전주시 덕진구 추천로 177-8</t>
        </is>
      </c>
      <c r="M631" t="inlineStr"/>
      <c r="N631" t="inlineStr">
        <is>
          <t>전북특별자치도 전주시 덕진구 추천로 177-8</t>
        </is>
      </c>
      <c r="O631" t="inlineStr">
        <is>
          <t>전북특별자치도</t>
        </is>
      </c>
      <c r="P631" t="inlineStr">
        <is>
          <t>전주시</t>
        </is>
      </c>
      <c r="Q631" t="inlineStr">
        <is>
          <t>Y</t>
        </is>
      </c>
      <c r="R631" t="n">
        <v>62</v>
      </c>
    </row>
    <row r="632">
      <c r="A632" t="n">
        <v>631</v>
      </c>
      <c r="B632" t="inlineStr">
        <is>
          <t>한국휴텍스제약(주)</t>
        </is>
      </c>
      <c r="C632" t="inlineStr">
        <is>
          <t>한국휴텍스제약</t>
        </is>
      </c>
      <c r="D632" t="inlineStr">
        <is>
          <t>의약품</t>
        </is>
      </c>
      <c r="E632" t="inlineStr">
        <is>
          <t>1666</t>
        </is>
      </c>
      <c r="F632" t="inlineStr">
        <is>
          <t>김성겸</t>
        </is>
      </c>
      <c r="G632" t="inlineStr">
        <is>
          <t>1986-09-15</t>
        </is>
      </c>
      <c r="H632" t="inlineStr">
        <is>
          <t>19860915</t>
        </is>
      </c>
      <c r="I632" t="inlineStr">
        <is>
          <t>2</t>
        </is>
      </c>
      <c r="J632" t="inlineStr">
        <is>
          <t>화성(제2공장)</t>
        </is>
      </c>
      <c r="K632" t="inlineStr">
        <is>
          <t>031-377-7901</t>
        </is>
      </c>
      <c r="L632" t="inlineStr">
        <is>
          <t>경기도 화성시 만세구 향남읍 제약공단3길 99</t>
        </is>
      </c>
      <c r="M632" t="inlineStr"/>
      <c r="N632" t="inlineStr">
        <is>
          <t>경기도 화성시 만세구 향남읍 제약공단3길 99</t>
        </is>
      </c>
      <c r="O632" t="inlineStr">
        <is>
          <t>경기도</t>
        </is>
      </c>
      <c r="P632" t="inlineStr">
        <is>
          <t>화성시</t>
        </is>
      </c>
      <c r="Q632" t="inlineStr">
        <is>
          <t>Y</t>
        </is>
      </c>
      <c r="R632" t="n">
        <v>80</v>
      </c>
    </row>
    <row r="633">
      <c r="A633" t="n">
        <v>632</v>
      </c>
      <c r="B633" t="inlineStr">
        <is>
          <t>(주)폴라리스에이아이파마</t>
        </is>
      </c>
      <c r="C633" t="inlineStr">
        <is>
          <t>폴라리스에이아이파마</t>
        </is>
      </c>
      <c r="D633" t="inlineStr">
        <is>
          <t>의약품</t>
        </is>
      </c>
      <c r="E633" t="inlineStr">
        <is>
          <t>1962</t>
        </is>
      </c>
      <c r="F633" t="inlineStr">
        <is>
          <t>조원경</t>
        </is>
      </c>
      <c r="G633" t="inlineStr">
        <is>
          <t>1996-12-17</t>
        </is>
      </c>
      <c r="H633" t="inlineStr">
        <is>
          <t>19961217</t>
        </is>
      </c>
      <c r="I633" t="inlineStr">
        <is>
          <t>1</t>
        </is>
      </c>
      <c r="J633" t="inlineStr">
        <is>
          <t>안산</t>
        </is>
      </c>
      <c r="K633" t="inlineStr">
        <is>
          <t>031-454-3430</t>
        </is>
      </c>
      <c r="L633" t="inlineStr">
        <is>
          <t>경기도 안산시 단원구 목내로119번길 79</t>
        </is>
      </c>
      <c r="M633" t="inlineStr">
        <is>
          <t>(목내동)</t>
        </is>
      </c>
      <c r="N633" t="inlineStr">
        <is>
          <t>경기도 안산시 단원구 목내로119번길 79 (목내동)</t>
        </is>
      </c>
      <c r="O633" t="inlineStr">
        <is>
          <t>경기도</t>
        </is>
      </c>
      <c r="P633" t="inlineStr">
        <is>
          <t>안산시</t>
        </is>
      </c>
      <c r="Q633" t="inlineStr">
        <is>
          <t>N</t>
        </is>
      </c>
      <c r="R633" t="n">
        <v>0</v>
      </c>
    </row>
    <row r="634">
      <c r="A634" t="n">
        <v>633</v>
      </c>
      <c r="B634" t="inlineStr">
        <is>
          <t>아진산업가스주식회사</t>
        </is>
      </c>
      <c r="C634" t="inlineStr">
        <is>
          <t>아진산업가스</t>
        </is>
      </c>
      <c r="D634" t="inlineStr">
        <is>
          <t>의약품</t>
        </is>
      </c>
      <c r="E634" t="inlineStr">
        <is>
          <t>371</t>
        </is>
      </c>
      <c r="F634" t="inlineStr">
        <is>
          <t>심재복</t>
        </is>
      </c>
      <c r="G634" t="inlineStr">
        <is>
          <t>2018-07-03</t>
        </is>
      </c>
      <c r="H634" t="inlineStr">
        <is>
          <t>20180703</t>
        </is>
      </c>
      <c r="I634" t="inlineStr">
        <is>
          <t>1</t>
        </is>
      </c>
      <c r="J634" t="inlineStr">
        <is>
          <t>공장</t>
        </is>
      </c>
      <c r="K634" t="inlineStr">
        <is>
          <t>032-578-8884</t>
        </is>
      </c>
      <c r="L634" t="inlineStr">
        <is>
          <t>인천광역시 서구 봉수대로300번길 42</t>
        </is>
      </c>
      <c r="M634" t="inlineStr">
        <is>
          <t>(석남동)</t>
        </is>
      </c>
      <c r="N634" t="inlineStr">
        <is>
          <t>인천광역시 서구 봉수대로300번길 42 (석남동)</t>
        </is>
      </c>
      <c r="O634" t="inlineStr">
        <is>
          <t>인천광역시</t>
        </is>
      </c>
      <c r="P634" t="inlineStr">
        <is>
          <t>서구</t>
        </is>
      </c>
      <c r="Q634" t="inlineStr">
        <is>
          <t>N</t>
        </is>
      </c>
      <c r="R634" t="n">
        <v>0</v>
      </c>
    </row>
    <row r="635">
      <c r="A635" t="n">
        <v>634</v>
      </c>
      <c r="B635" t="inlineStr">
        <is>
          <t>대신무약(주)</t>
        </is>
      </c>
      <c r="C635" t="inlineStr">
        <is>
          <t>대신무약</t>
        </is>
      </c>
      <c r="D635" t="inlineStr">
        <is>
          <t>의약품</t>
        </is>
      </c>
      <c r="E635" t="inlineStr">
        <is>
          <t>312</t>
        </is>
      </c>
      <c r="F635" t="inlineStr">
        <is>
          <t>김정덕</t>
        </is>
      </c>
      <c r="G635" t="inlineStr">
        <is>
          <t>1984-05-02</t>
        </is>
      </c>
      <c r="H635" t="inlineStr">
        <is>
          <t>19840502</t>
        </is>
      </c>
      <c r="I635" t="inlineStr">
        <is>
          <t>1</t>
        </is>
      </c>
      <c r="J635" t="inlineStr">
        <is>
          <t>제조소 및 제1보관소</t>
        </is>
      </c>
      <c r="K635" t="inlineStr">
        <is>
          <t>572-5841</t>
        </is>
      </c>
      <c r="L635" t="inlineStr">
        <is>
          <t>서울특별시 서초구 양재천로 113-4</t>
        </is>
      </c>
      <c r="M635" t="inlineStr"/>
      <c r="N635" t="inlineStr">
        <is>
          <t>서울특별시 서초구 양재천로 113-4</t>
        </is>
      </c>
      <c r="O635" t="inlineStr">
        <is>
          <t>서울특별시</t>
        </is>
      </c>
      <c r="P635" t="inlineStr">
        <is>
          <t>서초구</t>
        </is>
      </c>
      <c r="Q635" t="inlineStr">
        <is>
          <t>N</t>
        </is>
      </c>
      <c r="R635" t="n">
        <v>0</v>
      </c>
    </row>
    <row r="636">
      <c r="A636" t="n">
        <v>635</v>
      </c>
      <c r="B636" t="inlineStr">
        <is>
          <t>(주)신라충전소</t>
        </is>
      </c>
      <c r="C636" t="inlineStr">
        <is>
          <t>신라충전소</t>
        </is>
      </c>
      <c r="D636" t="inlineStr">
        <is>
          <t>의약품</t>
        </is>
      </c>
      <c r="E636" t="inlineStr">
        <is>
          <t>95</t>
        </is>
      </c>
      <c r="F636" t="inlineStr">
        <is>
          <t>박용인</t>
        </is>
      </c>
      <c r="G636" t="inlineStr">
        <is>
          <t>2017-12-13</t>
        </is>
      </c>
      <c r="H636" t="inlineStr">
        <is>
          <t>20171213</t>
        </is>
      </c>
      <c r="I636" t="inlineStr">
        <is>
          <t>1</t>
        </is>
      </c>
      <c r="J636" t="inlineStr">
        <is>
          <t>제1공장</t>
        </is>
      </c>
      <c r="K636" t="inlineStr">
        <is>
          <t>054-453-0405</t>
        </is>
      </c>
      <c r="L636" t="inlineStr">
        <is>
          <t>경상북도 구미시 장천면 낙동대로 832</t>
        </is>
      </c>
      <c r="M636" t="inlineStr"/>
      <c r="N636" t="inlineStr">
        <is>
          <t>경상북도 구미시 장천면 낙동대로 832</t>
        </is>
      </c>
      <c r="O636" t="inlineStr">
        <is>
          <t>경상북도</t>
        </is>
      </c>
      <c r="P636" t="inlineStr">
        <is>
          <t>구미시</t>
        </is>
      </c>
      <c r="Q636" t="inlineStr">
        <is>
          <t>N</t>
        </is>
      </c>
      <c r="R636" t="n">
        <v>0</v>
      </c>
    </row>
    <row r="637">
      <c r="A637" t="n">
        <v>636</v>
      </c>
      <c r="B637" t="inlineStr">
        <is>
          <t>대웅바이오(주)</t>
        </is>
      </c>
      <c r="C637" t="inlineStr">
        <is>
          <t>대웅바이오</t>
        </is>
      </c>
      <c r="D637" t="inlineStr">
        <is>
          <t>의약품</t>
        </is>
      </c>
      <c r="E637" t="inlineStr">
        <is>
          <t>1632</t>
        </is>
      </c>
      <c r="F637" t="inlineStr">
        <is>
          <t>진성곤</t>
        </is>
      </c>
      <c r="G637" t="inlineStr">
        <is>
          <t>1983-08-27</t>
        </is>
      </c>
      <c r="H637" t="inlineStr">
        <is>
          <t>19830827</t>
        </is>
      </c>
      <c r="I637" t="inlineStr">
        <is>
          <t>1</t>
        </is>
      </c>
      <c r="J637" t="inlineStr">
        <is>
          <t>화성</t>
        </is>
      </c>
      <c r="K637" t="inlineStr">
        <is>
          <t>031-353-5271~3</t>
        </is>
      </c>
      <c r="L637" t="inlineStr">
        <is>
          <t>경기도 화성시 향남읍 제약공단4길 35-9</t>
        </is>
      </c>
      <c r="M637" t="inlineStr"/>
      <c r="N637" t="inlineStr">
        <is>
          <t>경기도 화성시 향남읍 제약공단4길 35-9</t>
        </is>
      </c>
      <c r="O637" t="inlineStr">
        <is>
          <t>경기도</t>
        </is>
      </c>
      <c r="P637" t="inlineStr">
        <is>
          <t>화성시</t>
        </is>
      </c>
      <c r="Q637" t="inlineStr">
        <is>
          <t>N</t>
        </is>
      </c>
      <c r="R637" t="n">
        <v>0</v>
      </c>
    </row>
    <row r="638">
      <c r="A638" t="n">
        <v>637</v>
      </c>
      <c r="B638" t="inlineStr">
        <is>
          <t>(주)마더스제약</t>
        </is>
      </c>
      <c r="C638" t="inlineStr">
        <is>
          <t>마더스제약</t>
        </is>
      </c>
      <c r="D638" t="inlineStr">
        <is>
          <t>의약품</t>
        </is>
      </c>
      <c r="E638" t="inlineStr">
        <is>
          <t>1313</t>
        </is>
      </c>
      <c r="F638" t="inlineStr">
        <is>
          <t>김좌진</t>
        </is>
      </c>
      <c r="G638" t="inlineStr">
        <is>
          <t>1955-12-24</t>
        </is>
      </c>
      <c r="H638" t="inlineStr">
        <is>
          <t>19551224</t>
        </is>
      </c>
      <c r="I638" t="inlineStr">
        <is>
          <t>2</t>
        </is>
      </c>
      <c r="J638" t="inlineStr">
        <is>
          <t>보관소</t>
        </is>
      </c>
      <c r="K638" t="inlineStr"/>
      <c r="L638" t="inlineStr">
        <is>
          <t>경상북도 경산시 진량읍 공단9로 70</t>
        </is>
      </c>
      <c r="M638" t="inlineStr"/>
      <c r="N638" t="inlineStr">
        <is>
          <t>경상북도 경산시 진량읍 공단9로 70</t>
        </is>
      </c>
      <c r="O638" t="inlineStr">
        <is>
          <t>경상북도</t>
        </is>
      </c>
      <c r="P638" t="inlineStr">
        <is>
          <t>경산시</t>
        </is>
      </c>
      <c r="Q638" t="inlineStr">
        <is>
          <t>N</t>
        </is>
      </c>
      <c r="R638" t="n">
        <v>0</v>
      </c>
    </row>
    <row r="639">
      <c r="A639" t="n">
        <v>638</v>
      </c>
      <c r="B639" t="inlineStr">
        <is>
          <t>(주)아리제약</t>
        </is>
      </c>
      <c r="C639" t="inlineStr">
        <is>
          <t>아리제약</t>
        </is>
      </c>
      <c r="D639" t="inlineStr">
        <is>
          <t>의약품</t>
        </is>
      </c>
      <c r="E639" t="inlineStr">
        <is>
          <t>2642</t>
        </is>
      </c>
      <c r="F639" t="inlineStr">
        <is>
          <t>김상영</t>
        </is>
      </c>
      <c r="G639" t="inlineStr">
        <is>
          <t>2017-06-23</t>
        </is>
      </c>
      <c r="H639" t="inlineStr">
        <is>
          <t>20170623</t>
        </is>
      </c>
      <c r="I639" t="inlineStr">
        <is>
          <t>1</t>
        </is>
      </c>
      <c r="J639" t="inlineStr">
        <is>
          <t>제1공장</t>
        </is>
      </c>
      <c r="K639" t="inlineStr"/>
      <c r="L639" t="inlineStr">
        <is>
          <t>충청북도 청주시 청원구 오창읍 양청3길 3</t>
        </is>
      </c>
      <c r="M639" t="inlineStr">
        <is>
          <t>충북테크노파크 생명기업관 B02호, B15호, B17-1호, B17-2호, 103호, 203호, 204호, 205호, 206호, 215호, 216호, 217호, 313호,314호, 315호</t>
        </is>
      </c>
      <c r="N639" t="inlineStr">
        <is>
          <t>충청북도 청주시 청원구 오창읍 양청3길 3 충북테크노파크 생명기업관 B02호, B15호, B17-1호, B17-2호, 103호, 203호, 204호, 205호, 206호, 215호, 216호, 217호, 313호,314호, 315호</t>
        </is>
      </c>
      <c r="O639" t="inlineStr">
        <is>
          <t>충청북도</t>
        </is>
      </c>
      <c r="P639" t="inlineStr">
        <is>
          <t>청주시</t>
        </is>
      </c>
      <c r="Q639" t="inlineStr">
        <is>
          <t>N</t>
        </is>
      </c>
      <c r="R639" t="n">
        <v>0</v>
      </c>
    </row>
    <row r="640">
      <c r="A640" t="n">
        <v>639</v>
      </c>
      <c r="B640" t="inlineStr">
        <is>
          <t>디아이지에어가스(주)</t>
        </is>
      </c>
      <c r="C640" t="inlineStr">
        <is>
          <t>디아이지에어가스</t>
        </is>
      </c>
      <c r="D640" t="inlineStr">
        <is>
          <t>의약품</t>
        </is>
      </c>
      <c r="E640" t="inlineStr">
        <is>
          <t>1603</t>
        </is>
      </c>
      <c r="F640" t="inlineStr">
        <is>
          <t>오규석</t>
        </is>
      </c>
      <c r="G640" t="inlineStr">
        <is>
          <t>1981-02-06</t>
        </is>
      </c>
      <c r="H640" t="inlineStr">
        <is>
          <t>19810206</t>
        </is>
      </c>
      <c r="I640" t="inlineStr">
        <is>
          <t>12</t>
        </is>
      </c>
      <c r="J640" t="inlineStr">
        <is>
          <t>대전</t>
        </is>
      </c>
      <c r="K640" t="inlineStr"/>
      <c r="L640" t="inlineStr">
        <is>
          <t>대전광역시 대덕구 신일동로 45</t>
        </is>
      </c>
      <c r="M640" t="inlineStr"/>
      <c r="N640" t="inlineStr">
        <is>
          <t>대전광역시 대덕구 신일동로 45</t>
        </is>
      </c>
      <c r="O640" t="inlineStr">
        <is>
          <t>대전광역시</t>
        </is>
      </c>
      <c r="P640" t="inlineStr">
        <is>
          <t>대덕구</t>
        </is>
      </c>
      <c r="Q640" t="inlineStr">
        <is>
          <t>N</t>
        </is>
      </c>
      <c r="R640" t="n">
        <v>0</v>
      </c>
    </row>
    <row r="641">
      <c r="A641" t="n">
        <v>640</v>
      </c>
      <c r="B641" t="inlineStr">
        <is>
          <t>대한약품공업(주)</t>
        </is>
      </c>
      <c r="C641" t="inlineStr">
        <is>
          <t>대한약품공업</t>
        </is>
      </c>
      <c r="D641" t="inlineStr">
        <is>
          <t>의약품</t>
        </is>
      </c>
      <c r="E641" t="inlineStr">
        <is>
          <t>1303</t>
        </is>
      </c>
      <c r="F641" t="inlineStr">
        <is>
          <t>이승영</t>
        </is>
      </c>
      <c r="G641" t="inlineStr">
        <is>
          <t>1955-06-06</t>
        </is>
      </c>
      <c r="H641" t="inlineStr">
        <is>
          <t>19550606</t>
        </is>
      </c>
      <c r="I641" t="inlineStr">
        <is>
          <t>2</t>
        </is>
      </c>
      <c r="J641" t="inlineStr">
        <is>
          <t>안산2공장</t>
        </is>
      </c>
      <c r="K641" t="inlineStr">
        <is>
          <t>02-678-8445</t>
        </is>
      </c>
      <c r="L641" t="inlineStr">
        <is>
          <t>경기도 안산시 단원구 해안로31번길 13</t>
        </is>
      </c>
      <c r="M641" t="inlineStr"/>
      <c r="N641" t="inlineStr">
        <is>
          <t>경기도 안산시 단원구 해안로31번길 13</t>
        </is>
      </c>
      <c r="O641" t="inlineStr">
        <is>
          <t>경기도</t>
        </is>
      </c>
      <c r="P641" t="inlineStr">
        <is>
          <t>안산시</t>
        </is>
      </c>
      <c r="Q641" t="inlineStr">
        <is>
          <t>N</t>
        </is>
      </c>
      <c r="R641" t="n">
        <v>0</v>
      </c>
    </row>
    <row r="642">
      <c r="A642" t="n">
        <v>641</v>
      </c>
      <c r="B642" t="inlineStr">
        <is>
          <t>코스맥스파마(주)</t>
        </is>
      </c>
      <c r="C642" t="inlineStr">
        <is>
          <t>코스맥스파마</t>
        </is>
      </c>
      <c r="D642" t="inlineStr">
        <is>
          <t>의약품</t>
        </is>
      </c>
      <c r="E642" t="inlineStr">
        <is>
          <t>2638</t>
        </is>
      </c>
      <c r="F642" t="inlineStr">
        <is>
          <t>이호경</t>
        </is>
      </c>
      <c r="G642" t="inlineStr">
        <is>
          <t>2017-01-11</t>
        </is>
      </c>
      <c r="H642" t="inlineStr">
        <is>
          <t>20170111</t>
        </is>
      </c>
      <c r="I642" t="inlineStr">
        <is>
          <t>1</t>
        </is>
      </c>
      <c r="J642" t="inlineStr">
        <is>
          <t>1공장</t>
        </is>
      </c>
      <c r="K642" t="inlineStr">
        <is>
          <t>043-238-8477</t>
        </is>
      </c>
      <c r="L642" t="inlineStr">
        <is>
          <t>충청북도 청주시 흥덕구 오송읍 오송생명4로 168-23</t>
        </is>
      </c>
      <c r="M642" t="inlineStr"/>
      <c r="N642" t="inlineStr">
        <is>
          <t>충청북도 청주시 흥덕구 오송읍 오송생명4로 168-23</t>
        </is>
      </c>
      <c r="O642" t="inlineStr">
        <is>
          <t>충청북도</t>
        </is>
      </c>
      <c r="P642" t="inlineStr">
        <is>
          <t>청주시</t>
        </is>
      </c>
      <c r="Q642" t="inlineStr">
        <is>
          <t>N</t>
        </is>
      </c>
      <c r="R642" t="n">
        <v>0</v>
      </c>
    </row>
    <row r="643">
      <c r="A643" t="n">
        <v>642</v>
      </c>
      <c r="B643" t="inlineStr">
        <is>
          <t>제이더블유중외제약(주)</t>
        </is>
      </c>
      <c r="C643" t="inlineStr">
        <is>
          <t>제이더블유중외제약</t>
        </is>
      </c>
      <c r="D643" t="inlineStr">
        <is>
          <t>의약품</t>
        </is>
      </c>
      <c r="E643" t="inlineStr">
        <is>
          <t>1302</t>
        </is>
      </c>
      <c r="F643" t="inlineStr">
        <is>
          <t>신영섭</t>
        </is>
      </c>
      <c r="G643" t="inlineStr">
        <is>
          <t>1955-04-14</t>
        </is>
      </c>
      <c r="H643" t="inlineStr">
        <is>
          <t>19550414</t>
        </is>
      </c>
      <c r="I643" t="inlineStr">
        <is>
          <t>3</t>
        </is>
      </c>
      <c r="J643" t="inlineStr">
        <is>
          <t>시흥</t>
        </is>
      </c>
      <c r="K643" t="inlineStr">
        <is>
          <t>02-840-6986</t>
        </is>
      </c>
      <c r="L643" t="inlineStr">
        <is>
          <t>경기도 시흥시 경제로 56</t>
        </is>
      </c>
      <c r="M643" t="inlineStr">
        <is>
          <t>시화공단 1마 301 (정왕동)</t>
        </is>
      </c>
      <c r="N643" t="inlineStr">
        <is>
          <t>경기도 시흥시 경제로 56 시화공단 1마 301 (정왕동)</t>
        </is>
      </c>
      <c r="O643" t="inlineStr">
        <is>
          <t>경기도</t>
        </is>
      </c>
      <c r="P643" t="inlineStr">
        <is>
          <t>시흥시</t>
        </is>
      </c>
      <c r="Q643" t="inlineStr">
        <is>
          <t>Y</t>
        </is>
      </c>
      <c r="R643" t="n">
        <v>63</v>
      </c>
    </row>
    <row r="644">
      <c r="A644" t="n">
        <v>643</v>
      </c>
      <c r="B644" t="inlineStr">
        <is>
          <t>(주)비보존제약</t>
        </is>
      </c>
      <c r="C644" t="inlineStr">
        <is>
          <t>비보존제약</t>
        </is>
      </c>
      <c r="D644" t="inlineStr">
        <is>
          <t>의약품</t>
        </is>
      </c>
      <c r="E644" t="inlineStr">
        <is>
          <t>1342</t>
        </is>
      </c>
      <c r="F644" t="inlineStr">
        <is>
          <t>장부환</t>
        </is>
      </c>
      <c r="G644" t="inlineStr">
        <is>
          <t>1957-06-07</t>
        </is>
      </c>
      <c r="H644" t="inlineStr">
        <is>
          <t>19570607</t>
        </is>
      </c>
      <c r="I644" t="inlineStr">
        <is>
          <t>1</t>
        </is>
      </c>
      <c r="J644" t="inlineStr">
        <is>
          <t>화성</t>
        </is>
      </c>
      <c r="K644" t="inlineStr">
        <is>
          <t>031-353-6551~3</t>
        </is>
      </c>
      <c r="L644" t="inlineStr">
        <is>
          <t>경기도 화성시 만세구 향남읍 제약공단2길 34-40</t>
        </is>
      </c>
      <c r="M644" t="inlineStr"/>
      <c r="N644" t="inlineStr">
        <is>
          <t>경기도 화성시 만세구 향남읍 제약공단2길 34-40</t>
        </is>
      </c>
      <c r="O644" t="inlineStr">
        <is>
          <t>경기도</t>
        </is>
      </c>
      <c r="P644" t="inlineStr">
        <is>
          <t>화성시</t>
        </is>
      </c>
      <c r="Q644" t="inlineStr">
        <is>
          <t>N</t>
        </is>
      </c>
      <c r="R644" t="n">
        <v>0</v>
      </c>
    </row>
    <row r="645">
      <c r="A645" t="n">
        <v>644</v>
      </c>
      <c r="B645" t="inlineStr">
        <is>
          <t>일동제약(주)</t>
        </is>
      </c>
      <c r="C645" t="inlineStr">
        <is>
          <t>일동제약</t>
        </is>
      </c>
      <c r="D645" t="inlineStr">
        <is>
          <t>의약품</t>
        </is>
      </c>
      <c r="E645" t="inlineStr">
        <is>
          <t>1293</t>
        </is>
      </c>
      <c r="F645" t="inlineStr">
        <is>
          <t>이재준</t>
        </is>
      </c>
      <c r="G645" t="inlineStr">
        <is>
          <t>1954-12-31</t>
        </is>
      </c>
      <c r="H645" t="inlineStr">
        <is>
          <t>19541231</t>
        </is>
      </c>
      <c r="I645" t="inlineStr">
        <is>
          <t>2</t>
        </is>
      </c>
      <c r="J645" t="inlineStr">
        <is>
          <t>청주</t>
        </is>
      </c>
      <c r="K645" t="inlineStr">
        <is>
          <t>02-526-3388</t>
        </is>
      </c>
      <c r="L645" t="inlineStr">
        <is>
          <t>충청북도 청주시 흥덕구 공단로98번길 53</t>
        </is>
      </c>
      <c r="M645" t="inlineStr"/>
      <c r="N645" t="inlineStr">
        <is>
          <t>충청북도 청주시 흥덕구 공단로98번길 53</t>
        </is>
      </c>
      <c r="O645" t="inlineStr">
        <is>
          <t>충청북도</t>
        </is>
      </c>
      <c r="P645" t="inlineStr">
        <is>
          <t>청주시</t>
        </is>
      </c>
      <c r="Q645" t="inlineStr">
        <is>
          <t>Y</t>
        </is>
      </c>
      <c r="R645" t="n">
        <v>81</v>
      </c>
    </row>
    <row r="646">
      <c r="A646" t="n">
        <v>645</v>
      </c>
      <c r="B646" t="inlineStr">
        <is>
          <t>(주)퍼슨</t>
        </is>
      </c>
      <c r="C646" t="inlineStr">
        <is>
          <t>퍼슨</t>
        </is>
      </c>
      <c r="D646" t="inlineStr">
        <is>
          <t>의약품</t>
        </is>
      </c>
      <c r="E646" t="inlineStr">
        <is>
          <t>1338</t>
        </is>
      </c>
      <c r="F646" t="inlineStr">
        <is>
          <t>김동진</t>
        </is>
      </c>
      <c r="G646" t="inlineStr">
        <is>
          <t>1957-05-28</t>
        </is>
      </c>
      <c r="H646" t="inlineStr">
        <is>
          <t>19570528</t>
        </is>
      </c>
      <c r="I646" t="inlineStr">
        <is>
          <t>1</t>
        </is>
      </c>
      <c r="J646" t="inlineStr">
        <is>
          <t>부천</t>
        </is>
      </c>
      <c r="K646" t="inlineStr">
        <is>
          <t>032-678-8282</t>
        </is>
      </c>
      <c r="L646" t="inlineStr"/>
      <c r="M646" t="inlineStr">
        <is>
          <t>경기도 부천시 원미구 정주로 63</t>
        </is>
      </c>
      <c r="N646" t="inlineStr">
        <is>
          <t>경기도 부천시 원미구 정주로 63</t>
        </is>
      </c>
      <c r="O646" t="inlineStr">
        <is>
          <t>경기도</t>
        </is>
      </c>
      <c r="P646" t="inlineStr">
        <is>
          <t>부천시</t>
        </is>
      </c>
      <c r="Q646" t="inlineStr">
        <is>
          <t>N</t>
        </is>
      </c>
      <c r="R646" t="n">
        <v>0</v>
      </c>
    </row>
    <row r="647">
      <c r="A647" t="n">
        <v>646</v>
      </c>
      <c r="B647" t="inlineStr">
        <is>
          <t>동아에스티(주)</t>
        </is>
      </c>
      <c r="C647" t="inlineStr">
        <is>
          <t>동아에스티</t>
        </is>
      </c>
      <c r="D647" t="inlineStr">
        <is>
          <t>의약품</t>
        </is>
      </c>
      <c r="E647" t="inlineStr">
        <is>
          <t>1290</t>
        </is>
      </c>
      <c r="F647" t="inlineStr">
        <is>
          <t>정재훈</t>
        </is>
      </c>
      <c r="G647" t="inlineStr">
        <is>
          <t>1954-12-13</t>
        </is>
      </c>
      <c r="H647" t="inlineStr">
        <is>
          <t>19541213</t>
        </is>
      </c>
      <c r="I647" t="inlineStr">
        <is>
          <t>1</t>
        </is>
      </c>
      <c r="J647" t="inlineStr">
        <is>
          <t>천안</t>
        </is>
      </c>
      <c r="K647" t="inlineStr">
        <is>
          <t>02-920-8208</t>
        </is>
      </c>
      <c r="L647" t="inlineStr">
        <is>
          <t>충청남도 천안시 서북구 백석공단1로 200-23</t>
        </is>
      </c>
      <c r="M647" t="inlineStr">
        <is>
          <t>(2B, 3, 4B층)</t>
        </is>
      </c>
      <c r="N647" t="inlineStr">
        <is>
          <t>충청남도 천안시 서북구 백석공단1로 200-23 (2B, 3, 4B층)</t>
        </is>
      </c>
      <c r="O647" t="inlineStr">
        <is>
          <t>충청남도</t>
        </is>
      </c>
      <c r="P647" t="inlineStr">
        <is>
          <t>천안시</t>
        </is>
      </c>
      <c r="Q647" t="inlineStr">
        <is>
          <t>N</t>
        </is>
      </c>
      <c r="R647" t="n">
        <v>0</v>
      </c>
    </row>
    <row r="648">
      <c r="A648" t="n">
        <v>647</v>
      </c>
      <c r="B648" t="inlineStr">
        <is>
          <t>(주)유한양행</t>
        </is>
      </c>
      <c r="C648" t="inlineStr">
        <is>
          <t>유한양행</t>
        </is>
      </c>
      <c r="D648" t="inlineStr">
        <is>
          <t>의약품</t>
        </is>
      </c>
      <c r="E648" t="inlineStr">
        <is>
          <t>1329</t>
        </is>
      </c>
      <c r="F648" t="inlineStr">
        <is>
          <t>조욱제</t>
        </is>
      </c>
      <c r="G648" t="inlineStr">
        <is>
          <t>1956-12-04</t>
        </is>
      </c>
      <c r="H648" t="inlineStr">
        <is>
          <t>19561204</t>
        </is>
      </c>
      <c r="I648" t="inlineStr">
        <is>
          <t>1</t>
        </is>
      </c>
      <c r="J648" t="inlineStr"/>
      <c r="K648" t="inlineStr">
        <is>
          <t>02-282-0214</t>
        </is>
      </c>
      <c r="L648" t="inlineStr">
        <is>
          <t>충청북도 청주시 청원구 오창읍 연구단지로 219</t>
        </is>
      </c>
      <c r="M648" t="inlineStr"/>
      <c r="N648" t="inlineStr">
        <is>
          <t>충청북도 청주시 청원구 오창읍 연구단지로 219</t>
        </is>
      </c>
      <c r="O648" t="inlineStr">
        <is>
          <t>충청북도</t>
        </is>
      </c>
      <c r="P648" t="inlineStr">
        <is>
          <t>청주시</t>
        </is>
      </c>
      <c r="Q648" t="inlineStr">
        <is>
          <t>N</t>
        </is>
      </c>
      <c r="R648" t="n">
        <v>0</v>
      </c>
    </row>
    <row r="649">
      <c r="A649" t="n">
        <v>648</v>
      </c>
      <c r="B649" t="inlineStr">
        <is>
          <t>오스템파마주식회사</t>
        </is>
      </c>
      <c r="C649" t="inlineStr">
        <is>
          <t>오스템파마</t>
        </is>
      </c>
      <c r="D649" t="inlineStr">
        <is>
          <t>의약품</t>
        </is>
      </c>
      <c r="E649" t="inlineStr">
        <is>
          <t>357</t>
        </is>
      </c>
      <c r="F649" t="inlineStr">
        <is>
          <t>문병점</t>
        </is>
      </c>
      <c r="G649" t="inlineStr">
        <is>
          <t>2016-01-20</t>
        </is>
      </c>
      <c r="H649" t="inlineStr">
        <is>
          <t>20160120</t>
        </is>
      </c>
      <c r="I649" t="inlineStr">
        <is>
          <t>2</t>
        </is>
      </c>
      <c r="J649" t="inlineStr">
        <is>
          <t>2공장</t>
        </is>
      </c>
      <c r="K649" t="inlineStr">
        <is>
          <t>070-4394-1482</t>
        </is>
      </c>
      <c r="L649" t="inlineStr">
        <is>
          <t>충청북도 청주시 흥덕구 오송읍 오송생명1로 265</t>
        </is>
      </c>
      <c r="M649" t="inlineStr"/>
      <c r="N649" t="inlineStr">
        <is>
          <t>충청북도 청주시 흥덕구 오송읍 오송생명1로 265</t>
        </is>
      </c>
      <c r="O649" t="inlineStr">
        <is>
          <t>충청북도</t>
        </is>
      </c>
      <c r="P649" t="inlineStr">
        <is>
          <t>청주시</t>
        </is>
      </c>
      <c r="Q649" t="inlineStr">
        <is>
          <t>N</t>
        </is>
      </c>
      <c r="R649" t="n">
        <v>0</v>
      </c>
    </row>
    <row r="650">
      <c r="A650" t="n">
        <v>649</v>
      </c>
      <c r="B650" t="inlineStr">
        <is>
          <t>(주)제뉴파마</t>
        </is>
      </c>
      <c r="C650" t="inlineStr">
        <is>
          <t>제뉴파마</t>
        </is>
      </c>
      <c r="D650" t="inlineStr">
        <is>
          <t>의약품</t>
        </is>
      </c>
      <c r="E650" t="inlineStr">
        <is>
          <t>1295</t>
        </is>
      </c>
      <c r="F650" t="inlineStr">
        <is>
          <t>전광현</t>
        </is>
      </c>
      <c r="G650" t="inlineStr">
        <is>
          <t>1955-01-04</t>
        </is>
      </c>
      <c r="H650" t="inlineStr">
        <is>
          <t>19550104</t>
        </is>
      </c>
      <c r="I650" t="inlineStr">
        <is>
          <t>2</t>
        </is>
      </c>
      <c r="J650" t="inlineStr">
        <is>
          <t>제천</t>
        </is>
      </c>
      <c r="K650" t="inlineStr">
        <is>
          <t>080-640-0088</t>
        </is>
      </c>
      <c r="L650" t="inlineStr">
        <is>
          <t>충청북도 제천시 바이오밸리2로 93</t>
        </is>
      </c>
      <c r="M650" t="inlineStr"/>
      <c r="N650" t="inlineStr">
        <is>
          <t>충청북도 제천시 바이오밸리2로 93</t>
        </is>
      </c>
      <c r="O650" t="inlineStr">
        <is>
          <t>충청북도</t>
        </is>
      </c>
      <c r="P650" t="inlineStr">
        <is>
          <t>제천시</t>
        </is>
      </c>
      <c r="Q650" t="inlineStr">
        <is>
          <t>N</t>
        </is>
      </c>
      <c r="R650" t="n">
        <v>0</v>
      </c>
    </row>
    <row r="651">
      <c r="A651" t="n">
        <v>650</v>
      </c>
      <c r="B651" t="inlineStr">
        <is>
          <t>(주)태극인 농업회사법인</t>
        </is>
      </c>
      <c r="C651" t="inlineStr">
        <is>
          <t>태극인 농업회사법인</t>
        </is>
      </c>
      <c r="D651" t="inlineStr">
        <is>
          <t>의약품</t>
        </is>
      </c>
      <c r="E651" t="inlineStr">
        <is>
          <t>2187</t>
        </is>
      </c>
      <c r="F651" t="inlineStr">
        <is>
          <t>김상진</t>
        </is>
      </c>
      <c r="G651" t="inlineStr">
        <is>
          <t>2001-01-08</t>
        </is>
      </c>
      <c r="H651" t="inlineStr">
        <is>
          <t>20010108</t>
        </is>
      </c>
      <c r="I651" t="inlineStr">
        <is>
          <t>1</t>
        </is>
      </c>
      <c r="J651" t="inlineStr">
        <is>
          <t>영천</t>
        </is>
      </c>
      <c r="K651" t="inlineStr">
        <is>
          <t>(054)336-2895</t>
        </is>
      </c>
      <c r="L651" t="inlineStr">
        <is>
          <t>경상북도 영천시 화산면 장수로 781</t>
        </is>
      </c>
      <c r="M651" t="inlineStr"/>
      <c r="N651" t="inlineStr">
        <is>
          <t>경상북도 영천시 화산면 장수로 781</t>
        </is>
      </c>
      <c r="O651" t="inlineStr">
        <is>
          <t>경상북도</t>
        </is>
      </c>
      <c r="P651" t="inlineStr">
        <is>
          <t>영천시</t>
        </is>
      </c>
      <c r="Q651" t="inlineStr">
        <is>
          <t>N</t>
        </is>
      </c>
      <c r="R651" t="n">
        <v>0</v>
      </c>
    </row>
    <row r="652">
      <c r="A652" t="n">
        <v>651</v>
      </c>
      <c r="B652" t="inlineStr">
        <is>
          <t>(주)코미팜</t>
        </is>
      </c>
      <c r="C652" t="inlineStr">
        <is>
          <t>코미팜</t>
        </is>
      </c>
      <c r="D652" t="inlineStr">
        <is>
          <t>의약품</t>
        </is>
      </c>
      <c r="E652" t="inlineStr">
        <is>
          <t>2627</t>
        </is>
      </c>
      <c r="F652" t="inlineStr">
        <is>
          <t>문성철</t>
        </is>
      </c>
      <c r="G652" t="inlineStr">
        <is>
          <t>2015-08-26</t>
        </is>
      </c>
      <c r="H652" t="inlineStr">
        <is>
          <t>20150826</t>
        </is>
      </c>
      <c r="I652" t="inlineStr">
        <is>
          <t>1</t>
        </is>
      </c>
      <c r="J652" t="inlineStr">
        <is>
          <t>1공장</t>
        </is>
      </c>
      <c r="K652" t="inlineStr">
        <is>
          <t>(043)238-8800</t>
        </is>
      </c>
      <c r="L652" t="inlineStr">
        <is>
          <t>충청북도 청주시 흥덕구 오송읍 오송가락로 291</t>
        </is>
      </c>
      <c r="M652" t="inlineStr"/>
      <c r="N652" t="inlineStr">
        <is>
          <t>충청북도 청주시 흥덕구 오송읍 오송가락로 291</t>
        </is>
      </c>
      <c r="O652" t="inlineStr">
        <is>
          <t>충청북도</t>
        </is>
      </c>
      <c r="P652" t="inlineStr">
        <is>
          <t>청주시</t>
        </is>
      </c>
      <c r="Q652" t="inlineStr">
        <is>
          <t>Y</t>
        </is>
      </c>
      <c r="R652" t="n">
        <v>82</v>
      </c>
    </row>
    <row r="653">
      <c r="A653" t="n">
        <v>652</v>
      </c>
      <c r="B653" t="inlineStr">
        <is>
          <t>(주)용보제약</t>
        </is>
      </c>
      <c r="C653" t="inlineStr">
        <is>
          <t>용보제약</t>
        </is>
      </c>
      <c r="D653" t="inlineStr">
        <is>
          <t>의약품</t>
        </is>
      </c>
      <c r="E653" t="inlineStr">
        <is>
          <t>2233</t>
        </is>
      </c>
      <c r="F653" t="inlineStr">
        <is>
          <t>김월진</t>
        </is>
      </c>
      <c r="G653" t="inlineStr">
        <is>
          <t>2001-08-17</t>
        </is>
      </c>
      <c r="H653" t="inlineStr">
        <is>
          <t>20010817</t>
        </is>
      </c>
      <c r="I653" t="inlineStr">
        <is>
          <t>1</t>
        </is>
      </c>
      <c r="J653" t="inlineStr">
        <is>
          <t>.</t>
        </is>
      </c>
      <c r="K653" t="inlineStr">
        <is>
          <t>02-959-4370</t>
        </is>
      </c>
      <c r="L653" t="inlineStr">
        <is>
          <t>경기도 양주시 광적면 광적로 485</t>
        </is>
      </c>
      <c r="M653" t="inlineStr"/>
      <c r="N653" t="inlineStr">
        <is>
          <t>경기도 양주시 광적면 광적로 485</t>
        </is>
      </c>
      <c r="O653" t="inlineStr">
        <is>
          <t>경기도</t>
        </is>
      </c>
      <c r="P653" t="inlineStr">
        <is>
          <t>양주시</t>
        </is>
      </c>
      <c r="Q653" t="inlineStr">
        <is>
          <t>N</t>
        </is>
      </c>
      <c r="R653" t="n">
        <v>0</v>
      </c>
    </row>
    <row r="654">
      <c r="A654" t="n">
        <v>653</v>
      </c>
      <c r="B654" t="inlineStr">
        <is>
          <t>성우화학(주)</t>
        </is>
      </c>
      <c r="C654" t="inlineStr">
        <is>
          <t>성우화학</t>
        </is>
      </c>
      <c r="D654" t="inlineStr">
        <is>
          <t>의약품</t>
        </is>
      </c>
      <c r="E654" t="inlineStr">
        <is>
          <t>2035</t>
        </is>
      </c>
      <c r="F654" t="inlineStr">
        <is>
          <t>윤영봉</t>
        </is>
      </c>
      <c r="G654" t="inlineStr">
        <is>
          <t>1998-12-19</t>
        </is>
      </c>
      <c r="H654" t="inlineStr">
        <is>
          <t>19981219</t>
        </is>
      </c>
      <c r="I654" t="inlineStr">
        <is>
          <t>1</t>
        </is>
      </c>
      <c r="J654" t="inlineStr">
        <is>
          <t>화성</t>
        </is>
      </c>
      <c r="K654" t="inlineStr">
        <is>
          <t>031-353-7251</t>
        </is>
      </c>
      <c r="L654" t="inlineStr">
        <is>
          <t>경기도 화성시 향남읍 발안공단로1길 32</t>
        </is>
      </c>
      <c r="M654" t="inlineStr"/>
      <c r="N654" t="inlineStr">
        <is>
          <t>경기도 화성시 향남읍 발안공단로1길 32</t>
        </is>
      </c>
      <c r="O654" t="inlineStr">
        <is>
          <t>경기도</t>
        </is>
      </c>
      <c r="P654" t="inlineStr">
        <is>
          <t>화성시</t>
        </is>
      </c>
      <c r="Q654" t="inlineStr">
        <is>
          <t>N</t>
        </is>
      </c>
      <c r="R654" t="n">
        <v>0</v>
      </c>
    </row>
    <row r="655">
      <c r="A655" t="n">
        <v>654</v>
      </c>
      <c r="B655" t="inlineStr">
        <is>
          <t>(주)시어스제약</t>
        </is>
      </c>
      <c r="C655" t="inlineStr">
        <is>
          <t>시어스제약</t>
        </is>
      </c>
      <c r="D655" t="inlineStr">
        <is>
          <t>의약품</t>
        </is>
      </c>
      <c r="E655" t="inlineStr">
        <is>
          <t>2624</t>
        </is>
      </c>
      <c r="F655" t="inlineStr">
        <is>
          <t>김분래</t>
        </is>
      </c>
      <c r="G655" t="inlineStr">
        <is>
          <t>2015-04-15</t>
        </is>
      </c>
      <c r="H655" t="inlineStr">
        <is>
          <t>20150415</t>
        </is>
      </c>
      <c r="I655" t="inlineStr">
        <is>
          <t>1</t>
        </is>
      </c>
      <c r="J655" t="inlineStr">
        <is>
          <t>1공장</t>
        </is>
      </c>
      <c r="K655" t="inlineStr"/>
      <c r="L655" t="inlineStr">
        <is>
          <t>충청북도 청주시 흥덕구 오송읍 오송생명6로 22</t>
        </is>
      </c>
      <c r="M655" t="inlineStr">
        <is>
          <t>3층일부</t>
        </is>
      </c>
      <c r="N655" t="inlineStr">
        <is>
          <t>충청북도 청주시 흥덕구 오송읍 오송생명6로 22 3층일부</t>
        </is>
      </c>
      <c r="O655" t="inlineStr">
        <is>
          <t>충청북도</t>
        </is>
      </c>
      <c r="P655" t="inlineStr">
        <is>
          <t>청주시</t>
        </is>
      </c>
      <c r="Q655" t="inlineStr">
        <is>
          <t>N</t>
        </is>
      </c>
      <c r="R655" t="n">
        <v>0</v>
      </c>
    </row>
    <row r="656">
      <c r="A656" t="n">
        <v>655</v>
      </c>
      <c r="B656" t="inlineStr">
        <is>
          <t>(주)다산제약</t>
        </is>
      </c>
      <c r="C656" t="inlineStr">
        <is>
          <t>다산제약</t>
        </is>
      </c>
      <c r="D656" t="inlineStr">
        <is>
          <t>의약품</t>
        </is>
      </c>
      <c r="E656" t="inlineStr">
        <is>
          <t>2243</t>
        </is>
      </c>
      <c r="F656" t="inlineStr">
        <is>
          <t>유형선</t>
        </is>
      </c>
      <c r="G656" t="inlineStr">
        <is>
          <t>2001-09-18</t>
        </is>
      </c>
      <c r="H656" t="inlineStr">
        <is>
          <t>20010918</t>
        </is>
      </c>
      <c r="I656" t="inlineStr">
        <is>
          <t>2</t>
        </is>
      </c>
      <c r="J656" t="inlineStr">
        <is>
          <t>제2공장</t>
        </is>
      </c>
      <c r="K656" t="inlineStr">
        <is>
          <t>041-543-5311</t>
        </is>
      </c>
      <c r="L656" t="inlineStr">
        <is>
          <t>충청남도 아산시 도고면 덕암산로 381</t>
        </is>
      </c>
      <c r="M656" t="inlineStr"/>
      <c r="N656" t="inlineStr">
        <is>
          <t>충청남도 아산시 도고면 덕암산로 381</t>
        </is>
      </c>
      <c r="O656" t="inlineStr">
        <is>
          <t>충청남도</t>
        </is>
      </c>
      <c r="P656" t="inlineStr">
        <is>
          <t>아산시</t>
        </is>
      </c>
      <c r="Q656" t="inlineStr">
        <is>
          <t>N</t>
        </is>
      </c>
      <c r="R656" t="n">
        <v>0</v>
      </c>
    </row>
    <row r="657">
      <c r="A657" t="n">
        <v>656</v>
      </c>
      <c r="B657" t="inlineStr">
        <is>
          <t>화일약품(주)</t>
        </is>
      </c>
      <c r="C657" t="inlineStr">
        <is>
          <t>화일약품</t>
        </is>
      </c>
      <c r="D657" t="inlineStr">
        <is>
          <t>의약품</t>
        </is>
      </c>
      <c r="E657" t="inlineStr">
        <is>
          <t>2014</t>
        </is>
      </c>
      <c r="F657" t="inlineStr">
        <is>
          <t>서생규</t>
        </is>
      </c>
      <c r="G657" t="inlineStr">
        <is>
          <t>1998-08-17</t>
        </is>
      </c>
      <c r="H657" t="inlineStr">
        <is>
          <t>19980817</t>
        </is>
      </c>
      <c r="I657" t="inlineStr">
        <is>
          <t>3</t>
        </is>
      </c>
      <c r="J657" t="inlineStr">
        <is>
          <t>화성/소분</t>
        </is>
      </c>
      <c r="K657" t="inlineStr">
        <is>
          <t>512-2592</t>
        </is>
      </c>
      <c r="L657" t="inlineStr"/>
      <c r="M657" t="inlineStr">
        <is>
          <t>경기도 화성시 향남읍 제약공단3길 57</t>
        </is>
      </c>
      <c r="N657" t="inlineStr">
        <is>
          <t>경기도 화성시 향남읍 제약공단3길 57</t>
        </is>
      </c>
      <c r="O657" t="inlineStr">
        <is>
          <t>경기도</t>
        </is>
      </c>
      <c r="P657" t="inlineStr">
        <is>
          <t>화성시</t>
        </is>
      </c>
      <c r="Q657" t="inlineStr">
        <is>
          <t>Y</t>
        </is>
      </c>
      <c r="R657" t="n">
        <v>83</v>
      </c>
    </row>
    <row r="658">
      <c r="A658" t="n">
        <v>657</v>
      </c>
      <c r="B658" t="inlineStr">
        <is>
          <t>대한한약협동조합</t>
        </is>
      </c>
      <c r="C658" t="inlineStr">
        <is>
          <t>대한한약협동조합</t>
        </is>
      </c>
      <c r="D658" t="inlineStr">
        <is>
          <t>의약품</t>
        </is>
      </c>
      <c r="E658" t="inlineStr">
        <is>
          <t>76</t>
        </is>
      </c>
      <c r="F658" t="inlineStr">
        <is>
          <t>한상일</t>
        </is>
      </c>
      <c r="G658" t="inlineStr">
        <is>
          <t>2014-09-04</t>
        </is>
      </c>
      <c r="H658" t="inlineStr">
        <is>
          <t>20140904</t>
        </is>
      </c>
      <c r="I658" t="inlineStr">
        <is>
          <t>1</t>
        </is>
      </c>
      <c r="J658" t="inlineStr">
        <is>
          <t>제1공장</t>
        </is>
      </c>
      <c r="K658" t="inlineStr">
        <is>
          <t>054-336-1085</t>
        </is>
      </c>
      <c r="L658" t="inlineStr">
        <is>
          <t>경상북도 영천시 화남면 한천길 131-13</t>
        </is>
      </c>
      <c r="M658" t="inlineStr"/>
      <c r="N658" t="inlineStr">
        <is>
          <t>경상북도 영천시 화남면 한천길 131-13</t>
        </is>
      </c>
      <c r="O658" t="inlineStr">
        <is>
          <t>경상북도</t>
        </is>
      </c>
      <c r="P658" t="inlineStr">
        <is>
          <t>영천시</t>
        </is>
      </c>
      <c r="Q658" t="inlineStr">
        <is>
          <t>N</t>
        </is>
      </c>
      <c r="R658" t="n">
        <v>0</v>
      </c>
    </row>
    <row r="659">
      <c r="A659" t="n">
        <v>658</v>
      </c>
      <c r="B659" t="inlineStr">
        <is>
          <t>(주)삼원제약</t>
        </is>
      </c>
      <c r="C659" t="inlineStr">
        <is>
          <t>삼원제약</t>
        </is>
      </c>
      <c r="D659" t="inlineStr">
        <is>
          <t>의약품</t>
        </is>
      </c>
      <c r="E659" t="inlineStr">
        <is>
          <t>2173</t>
        </is>
      </c>
      <c r="F659" t="inlineStr">
        <is>
          <t>박한기</t>
        </is>
      </c>
      <c r="G659" t="inlineStr">
        <is>
          <t>2000-12-30</t>
        </is>
      </c>
      <c r="H659" t="inlineStr">
        <is>
          <t>20001230</t>
        </is>
      </c>
      <c r="I659" t="inlineStr">
        <is>
          <t>1</t>
        </is>
      </c>
      <c r="J659" t="inlineStr">
        <is>
          <t>대구</t>
        </is>
      </c>
      <c r="K659" t="inlineStr">
        <is>
          <t>053-356-0308</t>
        </is>
      </c>
      <c r="L659" t="inlineStr">
        <is>
          <t>대구광역시 북구 노원로17길 18-23</t>
        </is>
      </c>
      <c r="M659" t="inlineStr"/>
      <c r="N659" t="inlineStr">
        <is>
          <t>대구광역시 북구 노원로17길 18-23</t>
        </is>
      </c>
      <c r="O659" t="inlineStr">
        <is>
          <t>대구광역시</t>
        </is>
      </c>
      <c r="P659" t="inlineStr">
        <is>
          <t>북구</t>
        </is>
      </c>
      <c r="Q659" t="inlineStr">
        <is>
          <t>N</t>
        </is>
      </c>
      <c r="R659" t="n">
        <v>0</v>
      </c>
    </row>
    <row r="660">
      <c r="A660" t="n">
        <v>659</v>
      </c>
      <c r="B660" t="inlineStr">
        <is>
          <t>한국넬슨제약(주)</t>
        </is>
      </c>
      <c r="C660" t="inlineStr">
        <is>
          <t>한국넬슨제약</t>
        </is>
      </c>
      <c r="D660" t="inlineStr">
        <is>
          <t>의약품</t>
        </is>
      </c>
      <c r="E660" t="inlineStr">
        <is>
          <t>1975</t>
        </is>
      </c>
      <c r="F660" t="inlineStr">
        <is>
          <t>김지동</t>
        </is>
      </c>
      <c r="G660" t="inlineStr">
        <is>
          <t>1997-04-29</t>
        </is>
      </c>
      <c r="H660" t="inlineStr">
        <is>
          <t>19970429</t>
        </is>
      </c>
      <c r="I660" t="inlineStr">
        <is>
          <t>1</t>
        </is>
      </c>
      <c r="J660" t="inlineStr">
        <is>
          <t>음성</t>
        </is>
      </c>
      <c r="K660" t="inlineStr">
        <is>
          <t>043-877-4722</t>
        </is>
      </c>
      <c r="L660" t="inlineStr">
        <is>
          <t>충청북도 음성군 금왕읍 금일로 271-8</t>
        </is>
      </c>
      <c r="M660" t="inlineStr"/>
      <c r="N660" t="inlineStr">
        <is>
          <t>충청북도 음성군 금왕읍 금일로 271-8</t>
        </is>
      </c>
      <c r="O660" t="inlineStr">
        <is>
          <t>충청북도</t>
        </is>
      </c>
      <c r="P660" t="inlineStr">
        <is>
          <t>음성군</t>
        </is>
      </c>
      <c r="Q660" t="inlineStr">
        <is>
          <t>N</t>
        </is>
      </c>
      <c r="R660" t="n">
        <v>0</v>
      </c>
    </row>
    <row r="661">
      <c r="A661" t="n">
        <v>660</v>
      </c>
      <c r="B661" t="inlineStr">
        <is>
          <t>화용제약(주)</t>
        </is>
      </c>
      <c r="C661" t="inlineStr">
        <is>
          <t>화용제약</t>
        </is>
      </c>
      <c r="D661" t="inlineStr">
        <is>
          <t>의약품</t>
        </is>
      </c>
      <c r="E661" t="inlineStr">
        <is>
          <t>2142</t>
        </is>
      </c>
      <c r="F661" t="inlineStr">
        <is>
          <t>유영화</t>
        </is>
      </c>
      <c r="G661" t="inlineStr">
        <is>
          <t>2000-10-30</t>
        </is>
      </c>
      <c r="H661" t="inlineStr">
        <is>
          <t>20001030</t>
        </is>
      </c>
      <c r="I661" t="inlineStr">
        <is>
          <t>2</t>
        </is>
      </c>
      <c r="J661" t="inlineStr">
        <is>
          <t>2공장</t>
        </is>
      </c>
      <c r="K661" t="inlineStr">
        <is>
          <t>02-969-5584</t>
        </is>
      </c>
      <c r="L661" t="inlineStr">
        <is>
          <t>경기도 파주시 월롱면 누현1길 55-22</t>
        </is>
      </c>
      <c r="M661" t="inlineStr">
        <is>
          <t>, 다동</t>
        </is>
      </c>
      <c r="N661" t="inlineStr">
        <is>
          <t>경기도 파주시 월롱면 누현1길 55-22 , 다동</t>
        </is>
      </c>
      <c r="O661" t="inlineStr">
        <is>
          <t>경기도</t>
        </is>
      </c>
      <c r="P661" t="inlineStr">
        <is>
          <t>파주시</t>
        </is>
      </c>
      <c r="Q661" t="inlineStr">
        <is>
          <t>N</t>
        </is>
      </c>
      <c r="R661" t="n">
        <v>0</v>
      </c>
    </row>
    <row r="662">
      <c r="A662" t="n">
        <v>661</v>
      </c>
      <c r="B662" t="inlineStr">
        <is>
          <t>한국휴텍스제약(주)</t>
        </is>
      </c>
      <c r="C662" t="inlineStr">
        <is>
          <t>한국휴텍스제약</t>
        </is>
      </c>
      <c r="D662" t="inlineStr">
        <is>
          <t>의약품</t>
        </is>
      </c>
      <c r="E662" t="inlineStr">
        <is>
          <t>1666</t>
        </is>
      </c>
      <c r="F662" t="inlineStr">
        <is>
          <t>김성겸</t>
        </is>
      </c>
      <c r="G662" t="inlineStr">
        <is>
          <t>1986-09-15</t>
        </is>
      </c>
      <c r="H662" t="inlineStr">
        <is>
          <t>19860915</t>
        </is>
      </c>
      <c r="I662" t="inlineStr">
        <is>
          <t>4</t>
        </is>
      </c>
      <c r="J662" t="inlineStr">
        <is>
          <t>3공장</t>
        </is>
      </c>
      <c r="K662" t="inlineStr"/>
      <c r="L662" t="inlineStr">
        <is>
          <t>경기도 안양시 만안구 전파로24번길 93</t>
        </is>
      </c>
      <c r="M662" t="inlineStr">
        <is>
          <t>4층일부, 1층일부(보관소)</t>
        </is>
      </c>
      <c r="N662" t="inlineStr">
        <is>
          <t>경기도 안양시 만안구 전파로24번길 93 4층일부, 1층일부(보관소)</t>
        </is>
      </c>
      <c r="O662" t="inlineStr">
        <is>
          <t>경기도</t>
        </is>
      </c>
      <c r="P662" t="inlineStr">
        <is>
          <t>안양시</t>
        </is>
      </c>
      <c r="Q662" t="inlineStr">
        <is>
          <t>Y</t>
        </is>
      </c>
      <c r="R662" t="n">
        <v>84</v>
      </c>
    </row>
    <row r="663">
      <c r="A663" t="n">
        <v>662</v>
      </c>
      <c r="B663" t="inlineStr">
        <is>
          <t>대연제약</t>
        </is>
      </c>
      <c r="C663" t="inlineStr">
        <is>
          <t>대연제약</t>
        </is>
      </c>
      <c r="D663" t="inlineStr">
        <is>
          <t>의약품</t>
        </is>
      </c>
      <c r="E663" t="inlineStr">
        <is>
          <t>1936</t>
        </is>
      </c>
      <c r="F663" t="inlineStr">
        <is>
          <t>김충환</t>
        </is>
      </c>
      <c r="G663" t="inlineStr">
        <is>
          <t>1996-08-14</t>
        </is>
      </c>
      <c r="H663" t="inlineStr">
        <is>
          <t>19960814</t>
        </is>
      </c>
      <c r="I663" t="inlineStr">
        <is>
          <t>2</t>
        </is>
      </c>
      <c r="J663" t="inlineStr">
        <is>
          <t>보관소</t>
        </is>
      </c>
      <c r="K663" t="inlineStr"/>
      <c r="L663" t="inlineStr">
        <is>
          <t>인천광역시 남동구 남동서로 141</t>
        </is>
      </c>
      <c r="M663" t="inlineStr">
        <is>
          <t>3층일부(보관소)</t>
        </is>
      </c>
      <c r="N663" t="inlineStr">
        <is>
          <t>인천광역시 남동구 남동서로 141 3층일부(보관소)</t>
        </is>
      </c>
      <c r="O663" t="inlineStr">
        <is>
          <t>인천광역시</t>
        </is>
      </c>
      <c r="P663" t="inlineStr">
        <is>
          <t>남동구</t>
        </is>
      </c>
      <c r="Q663" t="inlineStr">
        <is>
          <t>N</t>
        </is>
      </c>
      <c r="R663" t="n">
        <v>0</v>
      </c>
    </row>
    <row r="664">
      <c r="A664" t="n">
        <v>663</v>
      </c>
      <c r="B664" t="inlineStr">
        <is>
          <t>에스케이바이오사이언스(주)</t>
        </is>
      </c>
      <c r="C664" t="inlineStr">
        <is>
          <t>에스케이바이오사이언스</t>
        </is>
      </c>
      <c r="D664" t="inlineStr">
        <is>
          <t>의약품</t>
        </is>
      </c>
      <c r="E664" t="inlineStr">
        <is>
          <t>97</t>
        </is>
      </c>
      <c r="F664" t="inlineStr">
        <is>
          <t>안재용</t>
        </is>
      </c>
      <c r="G664" t="inlineStr">
        <is>
          <t>2018-07-16</t>
        </is>
      </c>
      <c r="H664" t="inlineStr">
        <is>
          <t>20180716</t>
        </is>
      </c>
      <c r="I664" t="inlineStr">
        <is>
          <t>2</t>
        </is>
      </c>
      <c r="J664" t="inlineStr">
        <is>
          <t>보관소(평택)</t>
        </is>
      </c>
      <c r="K664" t="inlineStr"/>
      <c r="L664" t="inlineStr">
        <is>
          <t>경기도 평택시 오성면 오성산단1로 131</t>
        </is>
      </c>
      <c r="M664" t="inlineStr">
        <is>
          <t>A동 3층 일부</t>
        </is>
      </c>
      <c r="N664" t="inlineStr">
        <is>
          <t>경기도 평택시 오성면 오성산단1로 131 A동 3층 일부</t>
        </is>
      </c>
      <c r="O664" t="inlineStr">
        <is>
          <t>경기도</t>
        </is>
      </c>
      <c r="P664" t="inlineStr">
        <is>
          <t>평택시</t>
        </is>
      </c>
      <c r="Q664" t="inlineStr">
        <is>
          <t>N</t>
        </is>
      </c>
      <c r="R664" t="n">
        <v>0</v>
      </c>
    </row>
    <row r="665">
      <c r="A665" t="n">
        <v>664</v>
      </c>
      <c r="B665" t="inlineStr">
        <is>
          <t>대한생약제품(주)</t>
        </is>
      </c>
      <c r="C665" t="inlineStr">
        <is>
          <t>대한생약제품</t>
        </is>
      </c>
      <c r="D665" t="inlineStr">
        <is>
          <t>의약품</t>
        </is>
      </c>
      <c r="E665" t="inlineStr">
        <is>
          <t>1641</t>
        </is>
      </c>
      <c r="F665" t="inlineStr">
        <is>
          <t>신경수</t>
        </is>
      </c>
      <c r="G665" t="inlineStr">
        <is>
          <t>1984-04-12</t>
        </is>
      </c>
      <c r="H665" t="inlineStr">
        <is>
          <t>19840412</t>
        </is>
      </c>
      <c r="I665" t="inlineStr">
        <is>
          <t>1</t>
        </is>
      </c>
      <c r="J665" t="inlineStr">
        <is>
          <t>대한생약제품(주)</t>
        </is>
      </c>
      <c r="K665" t="inlineStr">
        <is>
          <t>051-863-7777</t>
        </is>
      </c>
      <c r="L665" t="inlineStr">
        <is>
          <t>경상남도 밀양시 삼랑진읍 만어로 135</t>
        </is>
      </c>
      <c r="M665" t="inlineStr"/>
      <c r="N665" t="inlineStr">
        <is>
          <t>경상남도 밀양시 삼랑진읍 만어로 135</t>
        </is>
      </c>
      <c r="O665" t="inlineStr">
        <is>
          <t>경상남도</t>
        </is>
      </c>
      <c r="P665" t="inlineStr">
        <is>
          <t>밀양시</t>
        </is>
      </c>
      <c r="Q665" t="inlineStr">
        <is>
          <t>N</t>
        </is>
      </c>
      <c r="R665" t="n">
        <v>0</v>
      </c>
    </row>
    <row r="666">
      <c r="A666" t="n">
        <v>665</v>
      </c>
      <c r="B666" t="inlineStr">
        <is>
          <t>코리아지우약업(주)</t>
        </is>
      </c>
      <c r="C666" t="inlineStr">
        <is>
          <t>코리아지우약업</t>
        </is>
      </c>
      <c r="D666" t="inlineStr">
        <is>
          <t>의약품</t>
        </is>
      </c>
      <c r="E666" t="inlineStr">
        <is>
          <t>368</t>
        </is>
      </c>
      <c r="F666" t="inlineStr">
        <is>
          <t>김윤아</t>
        </is>
      </c>
      <c r="G666" t="inlineStr">
        <is>
          <t>2018-04-09</t>
        </is>
      </c>
      <c r="H666" t="inlineStr">
        <is>
          <t>20180409</t>
        </is>
      </c>
      <c r="I666" t="inlineStr">
        <is>
          <t>1</t>
        </is>
      </c>
      <c r="J666" t="inlineStr">
        <is>
          <t>제1공장</t>
        </is>
      </c>
      <c r="K666" t="inlineStr"/>
      <c r="L666" t="inlineStr">
        <is>
          <t>경기도 하남시 하남대로 947</t>
        </is>
      </c>
      <c r="M666" t="inlineStr">
        <is>
          <t>D동 1212호(풍산동, 하남테크노밸리)</t>
        </is>
      </c>
      <c r="N666" t="inlineStr">
        <is>
          <t>경기도 하남시 하남대로 947 D동 1212호(풍산동, 하남테크노밸리)</t>
        </is>
      </c>
      <c r="O666" t="inlineStr">
        <is>
          <t>경기도</t>
        </is>
      </c>
      <c r="P666" t="inlineStr">
        <is>
          <t>하남시</t>
        </is>
      </c>
      <c r="Q666" t="inlineStr">
        <is>
          <t>N</t>
        </is>
      </c>
      <c r="R666" t="n">
        <v>0</v>
      </c>
    </row>
    <row r="667">
      <c r="A667" t="n">
        <v>666</v>
      </c>
      <c r="B667" t="inlineStr">
        <is>
          <t>대웅바이오(주)</t>
        </is>
      </c>
      <c r="C667" t="inlineStr">
        <is>
          <t>대웅바이오</t>
        </is>
      </c>
      <c r="D667" t="inlineStr">
        <is>
          <t>의약품</t>
        </is>
      </c>
      <c r="E667" t="inlineStr">
        <is>
          <t>1632</t>
        </is>
      </c>
      <c r="F667" t="inlineStr">
        <is>
          <t>진성곤</t>
        </is>
      </c>
      <c r="G667" t="inlineStr">
        <is>
          <t>1983-08-27</t>
        </is>
      </c>
      <c r="H667" t="inlineStr">
        <is>
          <t>19830827</t>
        </is>
      </c>
      <c r="I667" t="inlineStr">
        <is>
          <t>5</t>
        </is>
      </c>
      <c r="J667" t="inlineStr">
        <is>
          <t>성남</t>
        </is>
      </c>
      <c r="K667" t="inlineStr"/>
      <c r="L667" t="inlineStr">
        <is>
          <t>경기도 성남시 중원구 갈마치로 244</t>
        </is>
      </c>
      <c r="M667" t="inlineStr"/>
      <c r="N667" t="inlineStr">
        <is>
          <t>경기도 성남시 중원구 갈마치로 244</t>
        </is>
      </c>
      <c r="O667" t="inlineStr">
        <is>
          <t>경기도</t>
        </is>
      </c>
      <c r="P667" t="inlineStr">
        <is>
          <t>성남시</t>
        </is>
      </c>
      <c r="Q667" t="inlineStr">
        <is>
          <t>N</t>
        </is>
      </c>
      <c r="R667" t="n">
        <v>0</v>
      </c>
    </row>
    <row r="668">
      <c r="A668" t="n">
        <v>667</v>
      </c>
      <c r="B668" t="inlineStr">
        <is>
          <t>(주)대덕제약</t>
        </is>
      </c>
      <c r="C668" t="inlineStr">
        <is>
          <t>대덕제약</t>
        </is>
      </c>
      <c r="D668" t="inlineStr">
        <is>
          <t>의약품</t>
        </is>
      </c>
      <c r="E668" t="inlineStr">
        <is>
          <t>366</t>
        </is>
      </c>
      <c r="F668" t="inlineStr">
        <is>
          <t>지영권</t>
        </is>
      </c>
      <c r="G668" t="inlineStr">
        <is>
          <t>2017-08-18</t>
        </is>
      </c>
      <c r="H668" t="inlineStr">
        <is>
          <t>20170818</t>
        </is>
      </c>
      <c r="I668" t="inlineStr">
        <is>
          <t>1</t>
        </is>
      </c>
      <c r="J668" t="inlineStr">
        <is>
          <t>제조소</t>
        </is>
      </c>
      <c r="K668" t="inlineStr">
        <is>
          <t>02-964-4881</t>
        </is>
      </c>
      <c r="L668" t="inlineStr">
        <is>
          <t>서울특별시 동대문구 약령중앙로 34,</t>
        </is>
      </c>
      <c r="M668" t="inlineStr">
        <is>
          <t>301호(제기동,백합빌딩)</t>
        </is>
      </c>
      <c r="N668" t="inlineStr">
        <is>
          <t>서울특별시 동대문구 약령중앙로 34, 301호(제기동,백합빌딩)</t>
        </is>
      </c>
      <c r="O668" t="inlineStr">
        <is>
          <t>서울특별시</t>
        </is>
      </c>
      <c r="P668" t="inlineStr">
        <is>
          <t>동대문구</t>
        </is>
      </c>
      <c r="Q668" t="inlineStr">
        <is>
          <t>N</t>
        </is>
      </c>
      <c r="R668" t="n">
        <v>0</v>
      </c>
    </row>
    <row r="669">
      <c r="A669" t="n">
        <v>668</v>
      </c>
      <c r="B669" t="inlineStr">
        <is>
          <t>린데코리아주식회사</t>
        </is>
      </c>
      <c r="C669" t="inlineStr">
        <is>
          <t>린데코리아</t>
        </is>
      </c>
      <c r="D669" t="inlineStr">
        <is>
          <t>의약품</t>
        </is>
      </c>
      <c r="E669" t="inlineStr">
        <is>
          <t>1615</t>
        </is>
      </c>
      <c r="F669" t="inlineStr">
        <is>
          <t>성백석</t>
        </is>
      </c>
      <c r="G669" t="inlineStr">
        <is>
          <t>1981-12-26</t>
        </is>
      </c>
      <c r="H669" t="inlineStr">
        <is>
          <t>19811226</t>
        </is>
      </c>
      <c r="I669" t="inlineStr">
        <is>
          <t>2</t>
        </is>
      </c>
      <c r="J669" t="inlineStr">
        <is>
          <t>창원</t>
        </is>
      </c>
      <c r="K669" t="inlineStr">
        <is>
          <t>055-268-2800,010-****-3883(조윤호)</t>
        </is>
      </c>
      <c r="L669" t="inlineStr">
        <is>
          <t>경상남도 창원시 성산구 삼동로 100-31</t>
        </is>
      </c>
      <c r="M669" t="inlineStr"/>
      <c r="N669" t="inlineStr">
        <is>
          <t>경상남도 창원시 성산구 삼동로 100-31</t>
        </is>
      </c>
      <c r="O669" t="inlineStr">
        <is>
          <t>경상남도</t>
        </is>
      </c>
      <c r="P669" t="inlineStr">
        <is>
          <t>창원시</t>
        </is>
      </c>
      <c r="Q669" t="inlineStr">
        <is>
          <t>N</t>
        </is>
      </c>
      <c r="R669" t="n">
        <v>0</v>
      </c>
    </row>
    <row r="670">
      <c r="A670" t="n">
        <v>669</v>
      </c>
      <c r="B670" t="inlineStr">
        <is>
          <t>한올바이오파마(주)</t>
        </is>
      </c>
      <c r="C670" t="inlineStr">
        <is>
          <t>한올바이오파마</t>
        </is>
      </c>
      <c r="D670" t="inlineStr">
        <is>
          <t>의약품</t>
        </is>
      </c>
      <c r="E670" t="inlineStr">
        <is>
          <t>1297</t>
        </is>
      </c>
      <c r="F670" t="inlineStr">
        <is>
          <t>박수진</t>
        </is>
      </c>
      <c r="G670" t="inlineStr">
        <is>
          <t>1955-02-01</t>
        </is>
      </c>
      <c r="H670" t="inlineStr">
        <is>
          <t>19550201</t>
        </is>
      </c>
      <c r="I670" t="inlineStr">
        <is>
          <t>2</t>
        </is>
      </c>
      <c r="J670" t="inlineStr">
        <is>
          <t>관할변경</t>
        </is>
      </c>
      <c r="K670" t="inlineStr">
        <is>
          <t>02-447-0751</t>
        </is>
      </c>
      <c r="L670" t="inlineStr">
        <is>
          <t>대전광역시 대덕구 상서당1길 43</t>
        </is>
      </c>
      <c r="M670" t="inlineStr"/>
      <c r="N670" t="inlineStr">
        <is>
          <t>대전광역시 대덕구 상서당1길 43</t>
        </is>
      </c>
      <c r="O670" t="inlineStr">
        <is>
          <t>대전광역시</t>
        </is>
      </c>
      <c r="P670" t="inlineStr">
        <is>
          <t>대덕구</t>
        </is>
      </c>
      <c r="Q670" t="inlineStr">
        <is>
          <t>Y</t>
        </is>
      </c>
      <c r="R670" t="n">
        <v>64</v>
      </c>
    </row>
    <row r="671">
      <c r="A671" t="n">
        <v>670</v>
      </c>
      <c r="B671" t="inlineStr">
        <is>
          <t>(주)셀비온</t>
        </is>
      </c>
      <c r="C671" t="inlineStr">
        <is>
          <t>셀비온</t>
        </is>
      </c>
      <c r="D671" t="inlineStr">
        <is>
          <t>의약품</t>
        </is>
      </c>
      <c r="E671" t="inlineStr">
        <is>
          <t>363</t>
        </is>
      </c>
      <c r="F671" t="inlineStr">
        <is>
          <t>김권</t>
        </is>
      </c>
      <c r="G671" t="inlineStr">
        <is>
          <t>2017-03-21</t>
        </is>
      </c>
      <c r="H671" t="inlineStr">
        <is>
          <t>20170321</t>
        </is>
      </c>
      <c r="I671" t="inlineStr">
        <is>
          <t>1</t>
        </is>
      </c>
      <c r="J671" t="inlineStr">
        <is>
          <t>제조소</t>
        </is>
      </c>
      <c r="K671" t="inlineStr"/>
      <c r="L671" t="inlineStr">
        <is>
          <t>서울특별시 종로구 대학로 101</t>
        </is>
      </c>
      <c r="M671" t="inlineStr">
        <is>
          <t>서울대학교병원 암연구소 6층 일부</t>
        </is>
      </c>
      <c r="N671" t="inlineStr">
        <is>
          <t>서울특별시 종로구 대학로 101 서울대학교병원 암연구소 6층 일부</t>
        </is>
      </c>
      <c r="O671" t="inlineStr">
        <is>
          <t>서울특별시</t>
        </is>
      </c>
      <c r="P671" t="inlineStr">
        <is>
          <t>종로구</t>
        </is>
      </c>
      <c r="Q671" t="inlineStr">
        <is>
          <t>N</t>
        </is>
      </c>
      <c r="R671" t="n">
        <v>0</v>
      </c>
    </row>
    <row r="672">
      <c r="A672" t="n">
        <v>671</v>
      </c>
      <c r="B672" t="inlineStr">
        <is>
          <t>제이더블유중외제약(주)</t>
        </is>
      </c>
      <c r="C672" t="inlineStr">
        <is>
          <t>제이더블유중외제약</t>
        </is>
      </c>
      <c r="D672" t="inlineStr">
        <is>
          <t>의약품</t>
        </is>
      </c>
      <c r="E672" t="inlineStr">
        <is>
          <t>1302</t>
        </is>
      </c>
      <c r="F672" t="inlineStr">
        <is>
          <t>신영섭</t>
        </is>
      </c>
      <c r="G672" t="inlineStr">
        <is>
          <t>1955-04-14</t>
        </is>
      </c>
      <c r="H672" t="inlineStr">
        <is>
          <t>19550414</t>
        </is>
      </c>
      <c r="I672" t="inlineStr">
        <is>
          <t>5</t>
        </is>
      </c>
      <c r="J672" t="inlineStr">
        <is>
          <t>시험실</t>
        </is>
      </c>
      <c r="K672" t="inlineStr"/>
      <c r="L672" t="inlineStr">
        <is>
          <t>충청남도 당진시 송악읍 한진1길 28</t>
        </is>
      </c>
      <c r="M672" t="inlineStr">
        <is>
          <t>동물실험동 1층 미생물시험실</t>
        </is>
      </c>
      <c r="N672" t="inlineStr">
        <is>
          <t>충청남도 당진시 송악읍 한진1길 28 동물실험동 1층 미생물시험실</t>
        </is>
      </c>
      <c r="O672" t="inlineStr">
        <is>
          <t>충청남도</t>
        </is>
      </c>
      <c r="P672" t="inlineStr">
        <is>
          <t>당진시</t>
        </is>
      </c>
      <c r="Q672" t="inlineStr">
        <is>
          <t>Y</t>
        </is>
      </c>
      <c r="R672" t="n">
        <v>65</v>
      </c>
    </row>
    <row r="673">
      <c r="A673" t="n">
        <v>672</v>
      </c>
      <c r="B673" t="inlineStr">
        <is>
          <t>일양약품(주)</t>
        </is>
      </c>
      <c r="C673" t="inlineStr">
        <is>
          <t>일양약품</t>
        </is>
      </c>
      <c r="D673" t="inlineStr">
        <is>
          <t>의약품</t>
        </is>
      </c>
      <c r="E673" t="inlineStr">
        <is>
          <t>1336</t>
        </is>
      </c>
      <c r="F673" t="inlineStr">
        <is>
          <t>정유석</t>
        </is>
      </c>
      <c r="G673" t="inlineStr">
        <is>
          <t>1957-05-25</t>
        </is>
      </c>
      <c r="H673" t="inlineStr">
        <is>
          <t>19570525</t>
        </is>
      </c>
      <c r="I673" t="inlineStr">
        <is>
          <t>4</t>
        </is>
      </c>
      <c r="J673" t="inlineStr">
        <is>
          <t>음성</t>
        </is>
      </c>
      <c r="K673" t="inlineStr">
        <is>
          <t>070-4172-6434</t>
        </is>
      </c>
      <c r="L673" t="inlineStr">
        <is>
          <t>충청북도 음성군 금왕읍 대금로 1291</t>
        </is>
      </c>
      <c r="M673" t="inlineStr"/>
      <c r="N673" t="inlineStr">
        <is>
          <t>충청북도 음성군 금왕읍 대금로 1291</t>
        </is>
      </c>
      <c r="O673" t="inlineStr">
        <is>
          <t>충청북도</t>
        </is>
      </c>
      <c r="P673" t="inlineStr">
        <is>
          <t>음성군</t>
        </is>
      </c>
      <c r="Q673" t="inlineStr">
        <is>
          <t>N</t>
        </is>
      </c>
      <c r="R673" t="n">
        <v>0</v>
      </c>
    </row>
    <row r="674">
      <c r="A674" t="n">
        <v>673</v>
      </c>
      <c r="B674" t="inlineStr">
        <is>
          <t>(주)대웅제약</t>
        </is>
      </c>
      <c r="C674" t="inlineStr">
        <is>
          <t>대웅제약</t>
        </is>
      </c>
      <c r="D674" t="inlineStr">
        <is>
          <t>의약품</t>
        </is>
      </c>
      <c r="E674" t="inlineStr">
        <is>
          <t>1289</t>
        </is>
      </c>
      <c r="F674" t="inlineStr">
        <is>
          <t>박성수</t>
        </is>
      </c>
      <c r="G674" t="inlineStr">
        <is>
          <t>1954-11-09</t>
        </is>
      </c>
      <c r="H674" t="inlineStr">
        <is>
          <t>19541109</t>
        </is>
      </c>
      <c r="I674" t="inlineStr">
        <is>
          <t>2</t>
        </is>
      </c>
      <c r="J674" t="inlineStr">
        <is>
          <t>화성</t>
        </is>
      </c>
      <c r="K674" t="inlineStr"/>
      <c r="L674" t="inlineStr">
        <is>
          <t>경기도 화성시 만세구 향남읍 제약공단4길 35-14</t>
        </is>
      </c>
      <c r="M674" t="inlineStr"/>
      <c r="N674" t="inlineStr">
        <is>
          <t>경기도 화성시 만세구 향남읍 제약공단4길 35-14</t>
        </is>
      </c>
      <c r="O674" t="inlineStr">
        <is>
          <t>경기도</t>
        </is>
      </c>
      <c r="P674" t="inlineStr">
        <is>
          <t>화성시</t>
        </is>
      </c>
      <c r="Q674" t="inlineStr">
        <is>
          <t>N</t>
        </is>
      </c>
      <c r="R674" t="n">
        <v>0</v>
      </c>
    </row>
    <row r="675">
      <c r="A675" t="n">
        <v>674</v>
      </c>
      <c r="B675" t="inlineStr">
        <is>
          <t>(주)바이넥스</t>
        </is>
      </c>
      <c r="C675" t="inlineStr">
        <is>
          <t>바이넥스</t>
        </is>
      </c>
      <c r="D675" t="inlineStr">
        <is>
          <t>의약품</t>
        </is>
      </c>
      <c r="E675" t="inlineStr">
        <is>
          <t>1358</t>
        </is>
      </c>
      <c r="F675" t="inlineStr">
        <is>
          <t>이혁종</t>
        </is>
      </c>
      <c r="G675" t="inlineStr">
        <is>
          <t>1957-12-17</t>
        </is>
      </c>
      <c r="H675" t="inlineStr">
        <is>
          <t>19571217</t>
        </is>
      </c>
      <c r="I675" t="inlineStr">
        <is>
          <t>3</t>
        </is>
      </c>
      <c r="J675" t="inlineStr">
        <is>
          <t>오송</t>
        </is>
      </c>
      <c r="K675" t="inlineStr">
        <is>
          <t>051-790-4414</t>
        </is>
      </c>
      <c r="L675" t="inlineStr">
        <is>
          <t>충청북도 청주시 흥덕구 오송읍 오송생명5로 147</t>
        </is>
      </c>
      <c r="M675" t="inlineStr"/>
      <c r="N675" t="inlineStr">
        <is>
          <t>충청북도 청주시 흥덕구 오송읍 오송생명5로 147</t>
        </is>
      </c>
      <c r="O675" t="inlineStr">
        <is>
          <t>충청북도</t>
        </is>
      </c>
      <c r="P675" t="inlineStr">
        <is>
          <t>청주시</t>
        </is>
      </c>
      <c r="Q675" t="inlineStr">
        <is>
          <t>N</t>
        </is>
      </c>
      <c r="R675" t="n">
        <v>0</v>
      </c>
    </row>
    <row r="676">
      <c r="A676" t="n">
        <v>675</v>
      </c>
      <c r="B676" t="inlineStr">
        <is>
          <t>동아에스티(주)</t>
        </is>
      </c>
      <c r="C676" t="inlineStr">
        <is>
          <t>동아에스티</t>
        </is>
      </c>
      <c r="D676" t="inlineStr">
        <is>
          <t>의약품</t>
        </is>
      </c>
      <c r="E676" t="inlineStr">
        <is>
          <t>1290</t>
        </is>
      </c>
      <c r="F676" t="inlineStr">
        <is>
          <t>정재훈</t>
        </is>
      </c>
      <c r="G676" t="inlineStr">
        <is>
          <t>1954-12-13</t>
        </is>
      </c>
      <c r="H676" t="inlineStr">
        <is>
          <t>19541213</t>
        </is>
      </c>
      <c r="I676" t="inlineStr">
        <is>
          <t>5</t>
        </is>
      </c>
      <c r="J676" t="inlineStr">
        <is>
          <t>송도</t>
        </is>
      </c>
      <c r="K676" t="inlineStr"/>
      <c r="L676" t="inlineStr">
        <is>
          <t>인천광역시 연수구 지식기반로 45</t>
        </is>
      </c>
      <c r="M676" t="inlineStr">
        <is>
          <t>주2,6,7,8동</t>
        </is>
      </c>
      <c r="N676" t="inlineStr">
        <is>
          <t>인천광역시 연수구 지식기반로 45 주2,6,7,8동</t>
        </is>
      </c>
      <c r="O676" t="inlineStr">
        <is>
          <t>인천광역시</t>
        </is>
      </c>
      <c r="P676" t="inlineStr">
        <is>
          <t>연수구</t>
        </is>
      </c>
      <c r="Q676" t="inlineStr">
        <is>
          <t>N</t>
        </is>
      </c>
      <c r="R676" t="n">
        <v>0</v>
      </c>
    </row>
    <row r="677">
      <c r="A677" t="n">
        <v>676</v>
      </c>
      <c r="B677" t="inlineStr">
        <is>
          <t>(주)메디카코리아</t>
        </is>
      </c>
      <c r="C677" t="inlineStr">
        <is>
          <t>메디카코리아</t>
        </is>
      </c>
      <c r="D677" t="inlineStr">
        <is>
          <t>의약품</t>
        </is>
      </c>
      <c r="E677" t="inlineStr">
        <is>
          <t>1317</t>
        </is>
      </c>
      <c r="F677" t="inlineStr">
        <is>
          <t>김현식</t>
        </is>
      </c>
      <c r="G677" t="inlineStr">
        <is>
          <t>1956-01-29</t>
        </is>
      </c>
      <c r="H677" t="inlineStr">
        <is>
          <t>19560129</t>
        </is>
      </c>
      <c r="I677" t="inlineStr">
        <is>
          <t>2</t>
        </is>
      </c>
      <c r="J677" t="inlineStr">
        <is>
          <t>보관소</t>
        </is>
      </c>
      <c r="K677" t="inlineStr"/>
      <c r="L677" t="inlineStr">
        <is>
          <t>경기도 화성시 만세구 향남읍 발안공단로3길 22</t>
        </is>
      </c>
      <c r="M677" t="inlineStr">
        <is>
          <t>제1동, 제2동</t>
        </is>
      </c>
      <c r="N677" t="inlineStr">
        <is>
          <t>경기도 화성시 만세구 향남읍 발안공단로3길 22 제1동, 제2동</t>
        </is>
      </c>
      <c r="O677" t="inlineStr">
        <is>
          <t>경기도</t>
        </is>
      </c>
      <c r="P677" t="inlineStr">
        <is>
          <t>화성시</t>
        </is>
      </c>
      <c r="Q677" t="inlineStr">
        <is>
          <t>N</t>
        </is>
      </c>
      <c r="R677" t="n">
        <v>0</v>
      </c>
    </row>
    <row r="678">
      <c r="A678" t="n">
        <v>677</v>
      </c>
      <c r="B678" t="inlineStr">
        <is>
          <t>(주)아이티켐</t>
        </is>
      </c>
      <c r="C678" t="inlineStr">
        <is>
          <t>아이티켐</t>
        </is>
      </c>
      <c r="D678" t="inlineStr">
        <is>
          <t>의약품</t>
        </is>
      </c>
      <c r="E678" t="inlineStr">
        <is>
          <t>2632</t>
        </is>
      </c>
      <c r="F678" t="inlineStr">
        <is>
          <t>김인규</t>
        </is>
      </c>
      <c r="G678" t="inlineStr">
        <is>
          <t>2016-05-25</t>
        </is>
      </c>
      <c r="H678" t="inlineStr">
        <is>
          <t>20160525</t>
        </is>
      </c>
      <c r="I678" t="inlineStr">
        <is>
          <t>1</t>
        </is>
      </c>
      <c r="J678" t="inlineStr">
        <is>
          <t>1공장</t>
        </is>
      </c>
      <c r="K678" t="inlineStr">
        <is>
          <t>043-217-7028,070-7546-1932</t>
        </is>
      </c>
      <c r="L678" t="inlineStr">
        <is>
          <t>충청북도 청주시 청원구 오창읍 양청송대길 231</t>
        </is>
      </c>
      <c r="M678" t="inlineStr"/>
      <c r="N678" t="inlineStr">
        <is>
          <t>충청북도 청주시 청원구 오창읍 양청송대길 231</t>
        </is>
      </c>
      <c r="O678" t="inlineStr">
        <is>
          <t>충청북도</t>
        </is>
      </c>
      <c r="P678" t="inlineStr">
        <is>
          <t>청주시</t>
        </is>
      </c>
      <c r="Q678" t="inlineStr">
        <is>
          <t>N</t>
        </is>
      </c>
      <c r="R678" t="n">
        <v>0</v>
      </c>
    </row>
    <row r="679">
      <c r="A679" t="n">
        <v>678</v>
      </c>
      <c r="B679" t="inlineStr">
        <is>
          <t>(주)다림바이오텍</t>
        </is>
      </c>
      <c r="C679" t="inlineStr">
        <is>
          <t>다림바이오텍</t>
        </is>
      </c>
      <c r="D679" t="inlineStr">
        <is>
          <t>의약품</t>
        </is>
      </c>
      <c r="E679" t="inlineStr">
        <is>
          <t>1308</t>
        </is>
      </c>
      <c r="F679" t="inlineStr">
        <is>
          <t>정종섭</t>
        </is>
      </c>
      <c r="G679" t="inlineStr">
        <is>
          <t>1955-09-15</t>
        </is>
      </c>
      <c r="H679" t="inlineStr">
        <is>
          <t>19550915</t>
        </is>
      </c>
      <c r="I679" t="inlineStr">
        <is>
          <t>2</t>
        </is>
      </c>
      <c r="J679" t="inlineStr">
        <is>
          <t>완제품보관소1</t>
        </is>
      </c>
      <c r="K679" t="inlineStr"/>
      <c r="L679" t="inlineStr">
        <is>
          <t>경기도 화성시 향남읍 발안공단로 283</t>
        </is>
      </c>
      <c r="M679" t="inlineStr">
        <is>
          <t>2동 일부(보관소1)</t>
        </is>
      </c>
      <c r="N679" t="inlineStr">
        <is>
          <t>경기도 화성시 향남읍 발안공단로 283 2동 일부(보관소1)</t>
        </is>
      </c>
      <c r="O679" t="inlineStr">
        <is>
          <t>경기도</t>
        </is>
      </c>
      <c r="P679" t="inlineStr">
        <is>
          <t>화성시</t>
        </is>
      </c>
      <c r="Q679" t="inlineStr">
        <is>
          <t>N</t>
        </is>
      </c>
      <c r="R679" t="n">
        <v>0</v>
      </c>
    </row>
    <row r="680">
      <c r="A680" t="n">
        <v>679</v>
      </c>
      <c r="B680" t="inlineStr">
        <is>
          <t>(주)산야초로</t>
        </is>
      </c>
      <c r="C680" t="inlineStr">
        <is>
          <t>산야초로</t>
        </is>
      </c>
      <c r="D680" t="inlineStr">
        <is>
          <t>의약품</t>
        </is>
      </c>
      <c r="E680" t="inlineStr">
        <is>
          <t>85</t>
        </is>
      </c>
      <c r="F680" t="inlineStr">
        <is>
          <t>박종열</t>
        </is>
      </c>
      <c r="G680" t="inlineStr">
        <is>
          <t>2015-11-10</t>
        </is>
      </c>
      <c r="H680" t="inlineStr">
        <is>
          <t>20151110</t>
        </is>
      </c>
      <c r="I680" t="inlineStr">
        <is>
          <t>1</t>
        </is>
      </c>
      <c r="J680" t="inlineStr">
        <is>
          <t>제1공장</t>
        </is>
      </c>
      <c r="K680" t="inlineStr">
        <is>
          <t>(054)331-4800</t>
        </is>
      </c>
      <c r="L680" t="inlineStr">
        <is>
          <t>경상북도 영천시 어봉길 48</t>
        </is>
      </c>
      <c r="M680" t="inlineStr"/>
      <c r="N680" t="inlineStr">
        <is>
          <t>경상북도 영천시 어봉길 48</t>
        </is>
      </c>
      <c r="O680" t="inlineStr">
        <is>
          <t>경상북도</t>
        </is>
      </c>
      <c r="P680" t="inlineStr">
        <is>
          <t>영천시</t>
        </is>
      </c>
      <c r="Q680" t="inlineStr">
        <is>
          <t>N</t>
        </is>
      </c>
      <c r="R680" t="n">
        <v>0</v>
      </c>
    </row>
    <row r="681">
      <c r="A681" t="n">
        <v>680</v>
      </c>
      <c r="B681" t="inlineStr">
        <is>
          <t>(유)대효제약</t>
        </is>
      </c>
      <c r="C681" t="inlineStr">
        <is>
          <t>(유)대효제약</t>
        </is>
      </c>
      <c r="D681" t="inlineStr">
        <is>
          <t>의약품</t>
        </is>
      </c>
      <c r="E681" t="inlineStr">
        <is>
          <t>2178</t>
        </is>
      </c>
      <c r="F681" t="inlineStr">
        <is>
          <t>박희덕</t>
        </is>
      </c>
      <c r="G681" t="inlineStr">
        <is>
          <t>2001-01-03</t>
        </is>
      </c>
      <c r="H681" t="inlineStr">
        <is>
          <t>20010103</t>
        </is>
      </c>
      <c r="I681" t="inlineStr">
        <is>
          <t>1</t>
        </is>
      </c>
      <c r="J681" t="inlineStr">
        <is>
          <t>수원</t>
        </is>
      </c>
      <c r="K681" t="inlineStr">
        <is>
          <t>031-205-4300</t>
        </is>
      </c>
      <c r="L681" t="inlineStr">
        <is>
          <t>경기도 수원시 영통구 신원로 162</t>
        </is>
      </c>
      <c r="M681" t="inlineStr"/>
      <c r="N681" t="inlineStr">
        <is>
          <t>경기도 수원시 영통구 신원로 162</t>
        </is>
      </c>
      <c r="O681" t="inlineStr">
        <is>
          <t>경기도</t>
        </is>
      </c>
      <c r="P681" t="inlineStr">
        <is>
          <t>수원시</t>
        </is>
      </c>
      <c r="Q681" t="inlineStr">
        <is>
          <t>N</t>
        </is>
      </c>
      <c r="R681" t="n">
        <v>0</v>
      </c>
    </row>
    <row r="682">
      <c r="A682" t="n">
        <v>681</v>
      </c>
      <c r="B682" t="inlineStr">
        <is>
          <t>동국생명과학(주)</t>
        </is>
      </c>
      <c r="C682" t="inlineStr">
        <is>
          <t>동국생명과학</t>
        </is>
      </c>
      <c r="D682" t="inlineStr">
        <is>
          <t>의약품</t>
        </is>
      </c>
      <c r="E682" t="inlineStr">
        <is>
          <t>0754</t>
        </is>
      </c>
      <c r="F682" t="inlineStr">
        <is>
          <t>박재원</t>
        </is>
      </c>
      <c r="G682" t="inlineStr">
        <is>
          <t>1999-02-23</t>
        </is>
      </c>
      <c r="H682" t="inlineStr">
        <is>
          <t>19990223</t>
        </is>
      </c>
      <c r="I682" t="inlineStr">
        <is>
          <t>1</t>
        </is>
      </c>
      <c r="J682" t="inlineStr">
        <is>
          <t>원주</t>
        </is>
      </c>
      <c r="K682" t="inlineStr">
        <is>
          <t>033-734-0860~1</t>
        </is>
      </c>
      <c r="L682" t="inlineStr">
        <is>
          <t>강원특별자치도 원주시 태장공단길 54-1</t>
        </is>
      </c>
      <c r="M682" t="inlineStr"/>
      <c r="N682" t="inlineStr">
        <is>
          <t>강원특별자치도 원주시 태장공단길 54-1</t>
        </is>
      </c>
      <c r="O682" t="inlineStr">
        <is>
          <t>강원특별자치도</t>
        </is>
      </c>
      <c r="P682" t="inlineStr">
        <is>
          <t>원주시</t>
        </is>
      </c>
      <c r="Q682" t="inlineStr">
        <is>
          <t>N</t>
        </is>
      </c>
      <c r="R682" t="n">
        <v>0</v>
      </c>
    </row>
    <row r="683">
      <c r="A683" t="n">
        <v>682</v>
      </c>
      <c r="B683" t="inlineStr">
        <is>
          <t>코스맥스바이오(주)</t>
        </is>
      </c>
      <c r="C683" t="inlineStr">
        <is>
          <t>코스맥스바이오</t>
        </is>
      </c>
      <c r="D683" t="inlineStr">
        <is>
          <t>의약품</t>
        </is>
      </c>
      <c r="E683" t="inlineStr">
        <is>
          <t>2625</t>
        </is>
      </c>
      <c r="F683" t="inlineStr">
        <is>
          <t>김경수</t>
        </is>
      </c>
      <c r="G683" t="inlineStr">
        <is>
          <t>2015-04-24</t>
        </is>
      </c>
      <c r="H683" t="inlineStr">
        <is>
          <t>20150424</t>
        </is>
      </c>
      <c r="I683" t="inlineStr">
        <is>
          <t>1</t>
        </is>
      </c>
      <c r="J683" t="inlineStr">
        <is>
          <t>제천공장</t>
        </is>
      </c>
      <c r="K683" t="inlineStr"/>
      <c r="L683" t="inlineStr">
        <is>
          <t>충청북도 제천시 바이오밸리3로 30</t>
        </is>
      </c>
      <c r="M683" t="inlineStr"/>
      <c r="N683" t="inlineStr">
        <is>
          <t>충청북도 제천시 바이오밸리3로 30</t>
        </is>
      </c>
      <c r="O683" t="inlineStr">
        <is>
          <t>충청북도</t>
        </is>
      </c>
      <c r="P683" t="inlineStr">
        <is>
          <t>제천시</t>
        </is>
      </c>
      <c r="Q683" t="inlineStr">
        <is>
          <t>N</t>
        </is>
      </c>
      <c r="R683" t="n">
        <v>0</v>
      </c>
    </row>
    <row r="684">
      <c r="A684" t="n">
        <v>683</v>
      </c>
      <c r="B684" t="inlineStr">
        <is>
          <t>(주)아이비디랩</t>
        </is>
      </c>
      <c r="C684" t="inlineStr">
        <is>
          <t>아이비디랩</t>
        </is>
      </c>
      <c r="D684" t="inlineStr">
        <is>
          <t>의약품</t>
        </is>
      </c>
      <c r="E684" t="inlineStr">
        <is>
          <t>2252</t>
        </is>
      </c>
      <c r="F684" t="inlineStr">
        <is>
          <t>윤현철</t>
        </is>
      </c>
      <c r="G684" t="inlineStr">
        <is>
          <t>2001-11-23</t>
        </is>
      </c>
      <c r="H684" t="inlineStr">
        <is>
          <t>20011123</t>
        </is>
      </c>
      <c r="I684" t="inlineStr">
        <is>
          <t>1</t>
        </is>
      </c>
      <c r="J684" t="inlineStr">
        <is>
          <t>제 1공장</t>
        </is>
      </c>
      <c r="K684" t="inlineStr">
        <is>
          <t>031-290-5763</t>
        </is>
      </c>
      <c r="L684" t="inlineStr">
        <is>
          <t>경기도 의왕시 오전공업길 19</t>
        </is>
      </c>
      <c r="M684" t="inlineStr">
        <is>
          <t>대현테크노월드 8층 805</t>
        </is>
      </c>
      <c r="N684" t="inlineStr">
        <is>
          <t>경기도 의왕시 오전공업길 19 대현테크노월드 8층 805</t>
        </is>
      </c>
      <c r="O684" t="inlineStr">
        <is>
          <t>경기도</t>
        </is>
      </c>
      <c r="P684" t="inlineStr">
        <is>
          <t>의왕시</t>
        </is>
      </c>
      <c r="Q684" t="inlineStr">
        <is>
          <t>N</t>
        </is>
      </c>
      <c r="R684" t="n">
        <v>0</v>
      </c>
    </row>
    <row r="685">
      <c r="A685" t="n">
        <v>684</v>
      </c>
      <c r="B685" t="inlineStr">
        <is>
          <t>화일약품(주)</t>
        </is>
      </c>
      <c r="C685" t="inlineStr">
        <is>
          <t>화일약품</t>
        </is>
      </c>
      <c r="D685" t="inlineStr">
        <is>
          <t>의약품</t>
        </is>
      </c>
      <c r="E685" t="inlineStr">
        <is>
          <t>2014</t>
        </is>
      </c>
      <c r="F685" t="inlineStr">
        <is>
          <t>서생규</t>
        </is>
      </c>
      <c r="G685" t="inlineStr">
        <is>
          <t>1998-08-17</t>
        </is>
      </c>
      <c r="H685" t="inlineStr">
        <is>
          <t>19980817</t>
        </is>
      </c>
      <c r="I685" t="inlineStr">
        <is>
          <t>5</t>
        </is>
      </c>
      <c r="J685" t="inlineStr">
        <is>
          <t>화성(원료의약품) 용인 원료보관</t>
        </is>
      </c>
      <c r="K685" t="inlineStr">
        <is>
          <t>031-628-3702</t>
        </is>
      </c>
      <c r="L685" t="inlineStr">
        <is>
          <t>경기도 용인시 기흥구 농서로22번길 8</t>
        </is>
      </c>
      <c r="M685" t="inlineStr">
        <is>
          <t>(고매동) B동 1층</t>
        </is>
      </c>
      <c r="N685" t="inlineStr">
        <is>
          <t>경기도 용인시 기흥구 농서로22번길 8 (고매동) B동 1층</t>
        </is>
      </c>
      <c r="O685" t="inlineStr">
        <is>
          <t>경기도</t>
        </is>
      </c>
      <c r="P685" t="inlineStr">
        <is>
          <t>용인시</t>
        </is>
      </c>
      <c r="Q685" t="inlineStr">
        <is>
          <t>Y</t>
        </is>
      </c>
      <c r="R685" t="n">
        <v>85</v>
      </c>
    </row>
    <row r="686">
      <c r="A686" t="n">
        <v>685</v>
      </c>
      <c r="B686" t="inlineStr">
        <is>
          <t>(주)퓨쳐켐</t>
        </is>
      </c>
      <c r="C686" t="inlineStr">
        <is>
          <t>퓨쳐켐</t>
        </is>
      </c>
      <c r="D686" t="inlineStr">
        <is>
          <t>의약품</t>
        </is>
      </c>
      <c r="E686" t="inlineStr">
        <is>
          <t>6151</t>
        </is>
      </c>
      <c r="F686" t="inlineStr">
        <is>
          <t>지대윤</t>
        </is>
      </c>
      <c r="G686" t="inlineStr">
        <is>
          <t>2014-09-26</t>
        </is>
      </c>
      <c r="H686" t="inlineStr">
        <is>
          <t>20140926</t>
        </is>
      </c>
      <c r="I686" t="inlineStr">
        <is>
          <t>4</t>
        </is>
      </c>
      <c r="J686" t="inlineStr">
        <is>
          <t>제4공장</t>
        </is>
      </c>
      <c r="K686" t="inlineStr">
        <is>
          <t>051-241-7554</t>
        </is>
      </c>
      <c r="L686" t="inlineStr">
        <is>
          <t>부산광역시 기장군 장안읍 의과학2로 27-6</t>
        </is>
      </c>
      <c r="M686" t="inlineStr">
        <is>
          <t>부산기장센터</t>
        </is>
      </c>
      <c r="N686" t="inlineStr">
        <is>
          <t>부산광역시 기장군 장안읍 의과학2로 27-6 부산기장센터</t>
        </is>
      </c>
      <c r="O686" t="inlineStr">
        <is>
          <t>부산광역시</t>
        </is>
      </c>
      <c r="P686" t="inlineStr">
        <is>
          <t>기장군</t>
        </is>
      </c>
      <c r="Q686" t="inlineStr">
        <is>
          <t>N</t>
        </is>
      </c>
      <c r="R686" t="n">
        <v>0</v>
      </c>
    </row>
    <row r="687">
      <c r="A687" t="n">
        <v>686</v>
      </c>
      <c r="B687" t="inlineStr">
        <is>
          <t>(주)한국메디코</t>
        </is>
      </c>
      <c r="C687" t="inlineStr">
        <is>
          <t>한국메디코</t>
        </is>
      </c>
      <c r="D687" t="inlineStr">
        <is>
          <t>의약품</t>
        </is>
      </c>
      <c r="E687" t="inlineStr">
        <is>
          <t>2208</t>
        </is>
      </c>
      <c r="F687" t="inlineStr">
        <is>
          <t>양영덕</t>
        </is>
      </c>
      <c r="G687" t="inlineStr">
        <is>
          <t>2001-04-18</t>
        </is>
      </c>
      <c r="H687" t="inlineStr">
        <is>
          <t>20010418</t>
        </is>
      </c>
      <c r="I687" t="inlineStr">
        <is>
          <t>1</t>
        </is>
      </c>
      <c r="J687" t="inlineStr">
        <is>
          <t>(주)한국메디코</t>
        </is>
      </c>
      <c r="K687" t="inlineStr">
        <is>
          <t>02-2695-5980</t>
        </is>
      </c>
      <c r="L687" t="inlineStr">
        <is>
          <t>서울특별시 강서구 곰달래로 167</t>
        </is>
      </c>
      <c r="M687" t="inlineStr"/>
      <c r="N687" t="inlineStr">
        <is>
          <t>서울특별시 강서구 곰달래로 167</t>
        </is>
      </c>
      <c r="O687" t="inlineStr">
        <is>
          <t>서울특별시</t>
        </is>
      </c>
      <c r="P687" t="inlineStr">
        <is>
          <t>강서구</t>
        </is>
      </c>
      <c r="Q687" t="inlineStr">
        <is>
          <t>N</t>
        </is>
      </c>
      <c r="R687" t="n">
        <v>0</v>
      </c>
    </row>
    <row r="688">
      <c r="A688" t="n">
        <v>687</v>
      </c>
      <c r="B688" t="inlineStr">
        <is>
          <t>(유한)동아가스산업</t>
        </is>
      </c>
      <c r="C688" t="inlineStr">
        <is>
          <t>(유한)동아가스산업</t>
        </is>
      </c>
      <c r="D688" t="inlineStr">
        <is>
          <t>의약품</t>
        </is>
      </c>
      <c r="E688" t="inlineStr">
        <is>
          <t>1992</t>
        </is>
      </c>
      <c r="F688" t="inlineStr">
        <is>
          <t>김대철</t>
        </is>
      </c>
      <c r="G688" t="inlineStr">
        <is>
          <t>1997-12-02</t>
        </is>
      </c>
      <c r="H688" t="inlineStr">
        <is>
          <t>19971202</t>
        </is>
      </c>
      <c r="I688" t="inlineStr">
        <is>
          <t>1</t>
        </is>
      </c>
      <c r="J688" t="inlineStr">
        <is>
          <t>사천</t>
        </is>
      </c>
      <c r="K688" t="inlineStr">
        <is>
          <t>055)834-3688</t>
        </is>
      </c>
      <c r="L688" t="inlineStr">
        <is>
          <t>경상남도 사천시 사천대로 712</t>
        </is>
      </c>
      <c r="M688" t="inlineStr"/>
      <c r="N688" t="inlineStr">
        <is>
          <t>경상남도 사천시 사천대로 712</t>
        </is>
      </c>
      <c r="O688" t="inlineStr">
        <is>
          <t>경상남도</t>
        </is>
      </c>
      <c r="P688" t="inlineStr">
        <is>
          <t>사천시</t>
        </is>
      </c>
      <c r="Q688" t="inlineStr">
        <is>
          <t>N</t>
        </is>
      </c>
      <c r="R688" t="n">
        <v>0</v>
      </c>
    </row>
    <row r="689">
      <c r="A689" t="n">
        <v>688</v>
      </c>
      <c r="B689" t="inlineStr">
        <is>
          <t>한솔제약(주)</t>
        </is>
      </c>
      <c r="C689" t="inlineStr">
        <is>
          <t>한솔제약</t>
        </is>
      </c>
      <c r="D689" t="inlineStr">
        <is>
          <t>의약품</t>
        </is>
      </c>
      <c r="E689" t="inlineStr">
        <is>
          <t>2106</t>
        </is>
      </c>
      <c r="F689" t="inlineStr">
        <is>
          <t>정연주</t>
        </is>
      </c>
      <c r="G689" t="inlineStr">
        <is>
          <t>2000-01-11</t>
        </is>
      </c>
      <c r="H689" t="inlineStr">
        <is>
          <t>20000111</t>
        </is>
      </c>
      <c r="I689" t="inlineStr">
        <is>
          <t>1</t>
        </is>
      </c>
      <c r="J689" t="inlineStr">
        <is>
          <t>김제</t>
        </is>
      </c>
      <c r="K689" t="inlineStr">
        <is>
          <t>063-546-0144</t>
        </is>
      </c>
      <c r="L689" t="inlineStr">
        <is>
          <t>전북특별자치도 김제시 황산면 봉월5길 41-16</t>
        </is>
      </c>
      <c r="M689" t="inlineStr"/>
      <c r="N689" t="inlineStr">
        <is>
          <t>전북특별자치도 김제시 황산면 봉월5길 41-16</t>
        </is>
      </c>
      <c r="O689" t="inlineStr">
        <is>
          <t>전북특별자치도</t>
        </is>
      </c>
      <c r="P689" t="inlineStr">
        <is>
          <t>김제시</t>
        </is>
      </c>
      <c r="Q689" t="inlineStr">
        <is>
          <t>N</t>
        </is>
      </c>
      <c r="R689" t="n">
        <v>0</v>
      </c>
    </row>
    <row r="690">
      <c r="A690" t="n">
        <v>689</v>
      </c>
      <c r="B690" t="inlineStr">
        <is>
          <t>경남산소</t>
        </is>
      </c>
      <c r="C690" t="inlineStr">
        <is>
          <t>경남산소</t>
        </is>
      </c>
      <c r="D690" t="inlineStr">
        <is>
          <t>의약품</t>
        </is>
      </c>
      <c r="E690" t="inlineStr">
        <is>
          <t>1663</t>
        </is>
      </c>
      <c r="F690" t="inlineStr">
        <is>
          <t>이종석</t>
        </is>
      </c>
      <c r="G690" t="inlineStr">
        <is>
          <t>1986-04-23</t>
        </is>
      </c>
      <c r="H690" t="inlineStr">
        <is>
          <t>19860423</t>
        </is>
      </c>
      <c r="I690" t="inlineStr">
        <is>
          <t>1</t>
        </is>
      </c>
      <c r="J690" t="inlineStr">
        <is>
          <t>창원</t>
        </is>
      </c>
      <c r="K690" t="inlineStr">
        <is>
          <t>055-295/6-0202</t>
        </is>
      </c>
      <c r="L690" t="inlineStr">
        <is>
          <t>경상남도 창원시 의창구 팔용로371번길 13</t>
        </is>
      </c>
      <c r="M690" t="inlineStr">
        <is>
          <t>차룡1단지 (팔용동)</t>
        </is>
      </c>
      <c r="N690" t="inlineStr">
        <is>
          <t>경상남도 창원시 의창구 팔용로371번길 13 차룡1단지 (팔용동)</t>
        </is>
      </c>
      <c r="O690" t="inlineStr">
        <is>
          <t>경상남도</t>
        </is>
      </c>
      <c r="P690" t="inlineStr">
        <is>
          <t>창원시</t>
        </is>
      </c>
      <c r="Q690" t="inlineStr">
        <is>
          <t>N</t>
        </is>
      </c>
      <c r="R690" t="n">
        <v>0</v>
      </c>
    </row>
    <row r="691">
      <c r="A691" t="n">
        <v>690</v>
      </c>
      <c r="B691" t="inlineStr">
        <is>
          <t>한국특수가스(주)</t>
        </is>
      </c>
      <c r="C691" t="inlineStr">
        <is>
          <t>한국특수가스</t>
        </is>
      </c>
      <c r="D691" t="inlineStr">
        <is>
          <t>의약품</t>
        </is>
      </c>
      <c r="E691" t="inlineStr">
        <is>
          <t>1909</t>
        </is>
      </c>
      <c r="F691" t="inlineStr">
        <is>
          <t>한승문</t>
        </is>
      </c>
      <c r="G691" t="inlineStr">
        <is>
          <t>1996-05-16</t>
        </is>
      </c>
      <c r="H691" t="inlineStr">
        <is>
          <t>19960516</t>
        </is>
      </c>
      <c r="I691" t="inlineStr">
        <is>
          <t>1</t>
        </is>
      </c>
      <c r="J691" t="inlineStr">
        <is>
          <t>한국특수가스(주)</t>
        </is>
      </c>
      <c r="K691" t="inlineStr">
        <is>
          <t>063-856-2320</t>
        </is>
      </c>
      <c r="L691" t="inlineStr">
        <is>
          <t>전북특별자치도 익산시 서동로32길 11</t>
        </is>
      </c>
      <c r="M691" t="inlineStr"/>
      <c r="N691" t="inlineStr">
        <is>
          <t>전북특별자치도 익산시 서동로32길 11</t>
        </is>
      </c>
      <c r="O691" t="inlineStr">
        <is>
          <t>전북특별자치도</t>
        </is>
      </c>
      <c r="P691" t="inlineStr">
        <is>
          <t>익산시</t>
        </is>
      </c>
      <c r="Q691" t="inlineStr">
        <is>
          <t>Y</t>
        </is>
      </c>
      <c r="R691" t="n">
        <v>66</v>
      </c>
    </row>
    <row r="692">
      <c r="A692" t="n">
        <v>691</v>
      </c>
      <c r="B692" t="inlineStr">
        <is>
          <t>에스에스팜(주)</t>
        </is>
      </c>
      <c r="C692" t="inlineStr">
        <is>
          <t>에스에스팜</t>
        </is>
      </c>
      <c r="D692" t="inlineStr">
        <is>
          <t>의약품</t>
        </is>
      </c>
      <c r="E692" t="inlineStr">
        <is>
          <t>1651</t>
        </is>
      </c>
      <c r="F692" t="inlineStr">
        <is>
          <t>고재원</t>
        </is>
      </c>
      <c r="G692" t="inlineStr">
        <is>
          <t>1985-04-24</t>
        </is>
      </c>
      <c r="H692" t="inlineStr">
        <is>
          <t>19850424</t>
        </is>
      </c>
      <c r="I692" t="inlineStr">
        <is>
          <t>1</t>
        </is>
      </c>
      <c r="J692" t="inlineStr">
        <is>
          <t>안산</t>
        </is>
      </c>
      <c r="K692" t="inlineStr">
        <is>
          <t>031-491-6311</t>
        </is>
      </c>
      <c r="L692" t="inlineStr">
        <is>
          <t>경기도 안산시 단원구 범지기로141번길 10</t>
        </is>
      </c>
      <c r="M692" t="inlineStr"/>
      <c r="N692" t="inlineStr">
        <is>
          <t>경기도 안산시 단원구 범지기로141번길 10</t>
        </is>
      </c>
      <c r="O692" t="inlineStr">
        <is>
          <t>경기도</t>
        </is>
      </c>
      <c r="P692" t="inlineStr">
        <is>
          <t>안산시</t>
        </is>
      </c>
      <c r="Q692" t="inlineStr">
        <is>
          <t>N</t>
        </is>
      </c>
      <c r="R692" t="n">
        <v>0</v>
      </c>
    </row>
    <row r="693">
      <c r="A693" t="n">
        <v>692</v>
      </c>
      <c r="B693" t="inlineStr">
        <is>
          <t>(주)한퓨어</t>
        </is>
      </c>
      <c r="C693" t="inlineStr">
        <is>
          <t>한퓨어</t>
        </is>
      </c>
      <c r="D693" t="inlineStr">
        <is>
          <t>의약품</t>
        </is>
      </c>
      <c r="E693" t="inlineStr">
        <is>
          <t>371</t>
        </is>
      </c>
      <c r="F693" t="inlineStr">
        <is>
          <t>정충묵</t>
        </is>
      </c>
      <c r="G693" t="inlineStr">
        <is>
          <t>2018-06-18</t>
        </is>
      </c>
      <c r="H693" t="inlineStr">
        <is>
          <t>20180618</t>
        </is>
      </c>
      <c r="I693" t="inlineStr">
        <is>
          <t>1</t>
        </is>
      </c>
      <c r="J693" t="inlineStr">
        <is>
          <t>(주)한퓨어</t>
        </is>
      </c>
      <c r="K693" t="inlineStr">
        <is>
          <t>070-4234-7725</t>
        </is>
      </c>
      <c r="L693" t="inlineStr">
        <is>
          <t>경기도 포천시 군내면 용정경제로1길 93-6</t>
        </is>
      </c>
      <c r="M693" t="inlineStr"/>
      <c r="N693" t="inlineStr">
        <is>
          <t>경기도 포천시 군내면 용정경제로1길 93-6</t>
        </is>
      </c>
      <c r="O693" t="inlineStr">
        <is>
          <t>경기도</t>
        </is>
      </c>
      <c r="P693" t="inlineStr">
        <is>
          <t>포천시</t>
        </is>
      </c>
      <c r="Q693" t="inlineStr">
        <is>
          <t>N</t>
        </is>
      </c>
      <c r="R693" t="n">
        <v>0</v>
      </c>
    </row>
    <row r="694">
      <c r="A694" t="n">
        <v>693</v>
      </c>
      <c r="B694" t="inlineStr">
        <is>
          <t>(주)알피바이오</t>
        </is>
      </c>
      <c r="C694" t="inlineStr">
        <is>
          <t>알피바이오</t>
        </is>
      </c>
      <c r="D694" t="inlineStr">
        <is>
          <t>의약품</t>
        </is>
      </c>
      <c r="E694" t="inlineStr">
        <is>
          <t>1648</t>
        </is>
      </c>
      <c r="F694" t="inlineStr">
        <is>
          <t>윤재훈</t>
        </is>
      </c>
      <c r="G694" t="inlineStr">
        <is>
          <t>1984-09-22</t>
        </is>
      </c>
      <c r="H694" t="inlineStr">
        <is>
          <t>19840922</t>
        </is>
      </c>
      <c r="I694" t="inlineStr">
        <is>
          <t>1</t>
        </is>
      </c>
      <c r="J694" t="inlineStr">
        <is>
          <t>화성(향남)</t>
        </is>
      </c>
      <c r="K694" t="inlineStr"/>
      <c r="L694" t="inlineStr">
        <is>
          <t>경기도 화성시 만세구 향남읍 제약공단4길 35-7</t>
        </is>
      </c>
      <c r="M694" t="inlineStr"/>
      <c r="N694" t="inlineStr">
        <is>
          <t>경기도 화성시 만세구 향남읍 제약공단4길 35-7</t>
        </is>
      </c>
      <c r="O694" t="inlineStr">
        <is>
          <t>경기도</t>
        </is>
      </c>
      <c r="P694" t="inlineStr">
        <is>
          <t>화성시</t>
        </is>
      </c>
      <c r="Q694" t="inlineStr">
        <is>
          <t>N</t>
        </is>
      </c>
      <c r="R694" t="n">
        <v>0</v>
      </c>
    </row>
    <row r="695">
      <c r="A695" t="n">
        <v>694</v>
      </c>
      <c r="B695" t="inlineStr">
        <is>
          <t>대한의산(주)</t>
        </is>
      </c>
      <c r="C695" t="inlineStr">
        <is>
          <t>대한의산</t>
        </is>
      </c>
      <c r="D695" t="inlineStr">
        <is>
          <t>의약품</t>
        </is>
      </c>
      <c r="E695" t="inlineStr">
        <is>
          <t>364</t>
        </is>
      </c>
      <c r="F695" t="inlineStr">
        <is>
          <t>김성주</t>
        </is>
      </c>
      <c r="G695" t="inlineStr">
        <is>
          <t>2017-10-23</t>
        </is>
      </c>
      <c r="H695" t="inlineStr">
        <is>
          <t>20171023</t>
        </is>
      </c>
      <c r="I695" t="inlineStr">
        <is>
          <t>1</t>
        </is>
      </c>
      <c r="J695" t="inlineStr">
        <is>
          <t>공장</t>
        </is>
      </c>
      <c r="K695" t="inlineStr">
        <is>
          <t>031-635-2345</t>
        </is>
      </c>
      <c r="L695" t="inlineStr">
        <is>
          <t>경기도 이천시 모가면 사실로 670</t>
        </is>
      </c>
      <c r="M695" t="inlineStr"/>
      <c r="N695" t="inlineStr">
        <is>
          <t>경기도 이천시 모가면 사실로 670</t>
        </is>
      </c>
      <c r="O695" t="inlineStr">
        <is>
          <t>경기도</t>
        </is>
      </c>
      <c r="P695" t="inlineStr">
        <is>
          <t>이천시</t>
        </is>
      </c>
      <c r="Q695" t="inlineStr">
        <is>
          <t>N</t>
        </is>
      </c>
      <c r="R695" t="n">
        <v>0</v>
      </c>
    </row>
    <row r="696">
      <c r="A696" t="n">
        <v>695</v>
      </c>
      <c r="B696" t="inlineStr">
        <is>
          <t>린데코리아주식회사</t>
        </is>
      </c>
      <c r="C696" t="inlineStr">
        <is>
          <t>린데코리아</t>
        </is>
      </c>
      <c r="D696" t="inlineStr">
        <is>
          <t>의약품</t>
        </is>
      </c>
      <c r="E696" t="inlineStr">
        <is>
          <t>1615</t>
        </is>
      </c>
      <c r="F696" t="inlineStr">
        <is>
          <t>성백석</t>
        </is>
      </c>
      <c r="G696" t="inlineStr">
        <is>
          <t>1981-12-26</t>
        </is>
      </c>
      <c r="H696" t="inlineStr">
        <is>
          <t>19811226</t>
        </is>
      </c>
      <c r="I696" t="inlineStr">
        <is>
          <t>8</t>
        </is>
      </c>
      <c r="J696" t="inlineStr">
        <is>
          <t>포항</t>
        </is>
      </c>
      <c r="K696" t="inlineStr"/>
      <c r="L696" t="inlineStr">
        <is>
          <t>경상북도 포항시 남구 철강로 357</t>
        </is>
      </c>
      <c r="M696" t="inlineStr"/>
      <c r="N696" t="inlineStr">
        <is>
          <t>경상북도 포항시 남구 철강로 357</t>
        </is>
      </c>
      <c r="O696" t="inlineStr">
        <is>
          <t>경상북도</t>
        </is>
      </c>
      <c r="P696" t="inlineStr">
        <is>
          <t>포항시</t>
        </is>
      </c>
      <c r="Q696" t="inlineStr">
        <is>
          <t>N</t>
        </is>
      </c>
      <c r="R696" t="n">
        <v>0</v>
      </c>
    </row>
    <row r="697">
      <c r="A697" t="n">
        <v>696</v>
      </c>
      <c r="B697" t="inlineStr">
        <is>
          <t>정우신약(주)</t>
        </is>
      </c>
      <c r="C697" t="inlineStr">
        <is>
          <t>정우신약</t>
        </is>
      </c>
      <c r="D697" t="inlineStr">
        <is>
          <t>의약품</t>
        </is>
      </c>
      <c r="E697" t="inlineStr">
        <is>
          <t>1311</t>
        </is>
      </c>
      <c r="F697" t="inlineStr">
        <is>
          <t>정순백</t>
        </is>
      </c>
      <c r="G697" t="inlineStr">
        <is>
          <t>1955-11-07</t>
        </is>
      </c>
      <c r="H697" t="inlineStr">
        <is>
          <t>19551107</t>
        </is>
      </c>
      <c r="I697" t="inlineStr">
        <is>
          <t>1</t>
        </is>
      </c>
      <c r="J697" t="inlineStr">
        <is>
          <t>아산</t>
        </is>
      </c>
      <c r="K697" t="inlineStr">
        <is>
          <t>041-533-6191</t>
        </is>
      </c>
      <c r="L697" t="inlineStr">
        <is>
          <t>충청남도 아산시 신창면 서부남로790번길 60</t>
        </is>
      </c>
      <c r="M697" t="inlineStr"/>
      <c r="N697" t="inlineStr">
        <is>
          <t>충청남도 아산시 신창면 서부남로790번길 60</t>
        </is>
      </c>
      <c r="O697" t="inlineStr">
        <is>
          <t>충청남도</t>
        </is>
      </c>
      <c r="P697" t="inlineStr">
        <is>
          <t>아산시</t>
        </is>
      </c>
      <c r="Q697" t="inlineStr">
        <is>
          <t>N</t>
        </is>
      </c>
      <c r="R697" t="n">
        <v>0</v>
      </c>
    </row>
    <row r="698">
      <c r="A698" t="n">
        <v>697</v>
      </c>
      <c r="B698" t="inlineStr">
        <is>
          <t>(주)약침학회</t>
        </is>
      </c>
      <c r="C698" t="inlineStr">
        <is>
          <t>약침학회</t>
        </is>
      </c>
      <c r="D698" t="inlineStr">
        <is>
          <t>의약품</t>
        </is>
      </c>
      <c r="E698" t="inlineStr">
        <is>
          <t>365</t>
        </is>
      </c>
      <c r="F698" t="inlineStr">
        <is>
          <t>강대인</t>
        </is>
      </c>
      <c r="G698" t="inlineStr">
        <is>
          <t>2017-04-27</t>
        </is>
      </c>
      <c r="H698" t="inlineStr">
        <is>
          <t>20170427</t>
        </is>
      </c>
      <c r="I698" t="inlineStr">
        <is>
          <t>1</t>
        </is>
      </c>
      <c r="J698" t="inlineStr">
        <is>
          <t>제1공장</t>
        </is>
      </c>
      <c r="K698" t="inlineStr">
        <is>
          <t>070-4888-6261</t>
        </is>
      </c>
      <c r="L698" t="inlineStr">
        <is>
          <t>서울특별시 강서구 양천로 401 B</t>
        </is>
      </c>
      <c r="M698" t="inlineStr">
        <is>
          <t>1201~1205호</t>
        </is>
      </c>
      <c r="N698" t="inlineStr">
        <is>
          <t>서울특별시 강서구 양천로 401 B 1201~1205호</t>
        </is>
      </c>
      <c r="O698" t="inlineStr">
        <is>
          <t>서울특별시</t>
        </is>
      </c>
      <c r="P698" t="inlineStr">
        <is>
          <t>강서구</t>
        </is>
      </c>
      <c r="Q698" t="inlineStr">
        <is>
          <t>N</t>
        </is>
      </c>
      <c r="R698" t="n">
        <v>0</v>
      </c>
    </row>
    <row r="699">
      <c r="A699" t="n">
        <v>698</v>
      </c>
      <c r="B699" t="inlineStr">
        <is>
          <t>디아이지에어가스(주)</t>
        </is>
      </c>
      <c r="C699" t="inlineStr">
        <is>
          <t>디아이지에어가스</t>
        </is>
      </c>
      <c r="D699" t="inlineStr">
        <is>
          <t>의약품</t>
        </is>
      </c>
      <c r="E699" t="inlineStr">
        <is>
          <t>1603</t>
        </is>
      </c>
      <c r="F699" t="inlineStr">
        <is>
          <t>오규석</t>
        </is>
      </c>
      <c r="G699" t="inlineStr">
        <is>
          <t>1981-02-06</t>
        </is>
      </c>
      <c r="H699" t="inlineStr">
        <is>
          <t>19810206</t>
        </is>
      </c>
      <c r="I699" t="inlineStr">
        <is>
          <t>8</t>
        </is>
      </c>
      <c r="J699" t="inlineStr">
        <is>
          <t>여천</t>
        </is>
      </c>
      <c r="K699" t="inlineStr"/>
      <c r="L699" t="inlineStr">
        <is>
          <t>전라남도 여수시 여수산단로 317</t>
        </is>
      </c>
      <c r="M699" t="inlineStr"/>
      <c r="N699" t="inlineStr">
        <is>
          <t>전라남도 여수시 여수산단로 317</t>
        </is>
      </c>
      <c r="O699" t="inlineStr">
        <is>
          <t>전라남도</t>
        </is>
      </c>
      <c r="P699" t="inlineStr">
        <is>
          <t>여수시</t>
        </is>
      </c>
      <c r="Q699" t="inlineStr">
        <is>
          <t>N</t>
        </is>
      </c>
      <c r="R699" t="n">
        <v>0</v>
      </c>
    </row>
    <row r="700">
      <c r="A700" t="n">
        <v>699</v>
      </c>
      <c r="B700" t="inlineStr">
        <is>
          <t>에스티팜주식회사</t>
        </is>
      </c>
      <c r="C700" t="inlineStr">
        <is>
          <t>에스티팜</t>
        </is>
      </c>
      <c r="D700" t="inlineStr">
        <is>
          <t>의약품</t>
        </is>
      </c>
      <c r="E700" t="inlineStr">
        <is>
          <t>1301</t>
        </is>
      </c>
      <c r="F700" t="inlineStr">
        <is>
          <t>성무제</t>
        </is>
      </c>
      <c r="G700" t="inlineStr">
        <is>
          <t>1955-04-11</t>
        </is>
      </c>
      <c r="H700" t="inlineStr">
        <is>
          <t>19550411</t>
        </is>
      </c>
      <c r="I700" t="inlineStr">
        <is>
          <t>3</t>
        </is>
      </c>
      <c r="J700" t="inlineStr">
        <is>
          <t>안산</t>
        </is>
      </c>
      <c r="K700" t="inlineStr">
        <is>
          <t>031-8084-1500</t>
        </is>
      </c>
      <c r="L700" t="inlineStr">
        <is>
          <t>경기도 안산시 단원구 산단로19번길 83</t>
        </is>
      </c>
      <c r="M700" t="inlineStr"/>
      <c r="N700" t="inlineStr">
        <is>
          <t>경기도 안산시 단원구 산단로19번길 83</t>
        </is>
      </c>
      <c r="O700" t="inlineStr">
        <is>
          <t>경기도</t>
        </is>
      </c>
      <c r="P700" t="inlineStr">
        <is>
          <t>안산시</t>
        </is>
      </c>
      <c r="Q700" t="inlineStr">
        <is>
          <t>N</t>
        </is>
      </c>
      <c r="R700" t="n">
        <v>0</v>
      </c>
    </row>
    <row r="701">
      <c r="A701" t="n">
        <v>700</v>
      </c>
      <c r="B701" t="inlineStr">
        <is>
          <t>신신제약(주)</t>
        </is>
      </c>
      <c r="C701" t="inlineStr">
        <is>
          <t>신신제약</t>
        </is>
      </c>
      <c r="D701" t="inlineStr">
        <is>
          <t>의약품</t>
        </is>
      </c>
      <c r="E701" t="inlineStr">
        <is>
          <t>1332</t>
        </is>
      </c>
      <c r="F701" t="inlineStr">
        <is>
          <t>이병기</t>
        </is>
      </c>
      <c r="G701" t="inlineStr">
        <is>
          <t>1957-04-25</t>
        </is>
      </c>
      <c r="H701" t="inlineStr">
        <is>
          <t>19570425</t>
        </is>
      </c>
      <c r="I701" t="inlineStr">
        <is>
          <t>1</t>
        </is>
      </c>
      <c r="J701" t="inlineStr">
        <is>
          <t>안산</t>
        </is>
      </c>
      <c r="K701" t="inlineStr"/>
      <c r="L701" t="inlineStr">
        <is>
          <t>경기도 안산시 단원구 범지기로141번길 90</t>
        </is>
      </c>
      <c r="M701" t="inlineStr"/>
      <c r="N701" t="inlineStr">
        <is>
          <t>경기도 안산시 단원구 범지기로141번길 90</t>
        </is>
      </c>
      <c r="O701" t="inlineStr">
        <is>
          <t>경기도</t>
        </is>
      </c>
      <c r="P701" t="inlineStr">
        <is>
          <t>안산시</t>
        </is>
      </c>
      <c r="Q701" t="inlineStr">
        <is>
          <t>N</t>
        </is>
      </c>
      <c r="R701" t="n">
        <v>0</v>
      </c>
    </row>
    <row r="702">
      <c r="A702" t="n">
        <v>701</v>
      </c>
      <c r="B702" t="inlineStr">
        <is>
          <t>(주)라이트팜텍</t>
        </is>
      </c>
      <c r="C702" t="inlineStr">
        <is>
          <t>라이트팜텍</t>
        </is>
      </c>
      <c r="D702" t="inlineStr">
        <is>
          <t>의약품</t>
        </is>
      </c>
      <c r="E702" t="inlineStr">
        <is>
          <t>361</t>
        </is>
      </c>
      <c r="F702" t="inlineStr">
        <is>
          <t>김철주</t>
        </is>
      </c>
      <c r="G702" t="inlineStr">
        <is>
          <t>2016-11-01</t>
        </is>
      </c>
      <c r="H702" t="inlineStr">
        <is>
          <t>20161101</t>
        </is>
      </c>
      <c r="I702" t="inlineStr">
        <is>
          <t>2</t>
        </is>
      </c>
      <c r="J702" t="inlineStr">
        <is>
          <t>평택</t>
        </is>
      </c>
      <c r="K702" t="inlineStr">
        <is>
          <t>02-801-8570</t>
        </is>
      </c>
      <c r="L702" t="inlineStr">
        <is>
          <t>경기도 평택시 청북읍 고렴산단로 89</t>
        </is>
      </c>
      <c r="M702" t="inlineStr"/>
      <c r="N702" t="inlineStr">
        <is>
          <t>경기도 평택시 청북읍 고렴산단로 89</t>
        </is>
      </c>
      <c r="O702" t="inlineStr">
        <is>
          <t>경기도</t>
        </is>
      </c>
      <c r="P702" t="inlineStr">
        <is>
          <t>평택시</t>
        </is>
      </c>
      <c r="Q702" t="inlineStr">
        <is>
          <t>N</t>
        </is>
      </c>
      <c r="R702" t="n">
        <v>0</v>
      </c>
    </row>
    <row r="703">
      <c r="A703" t="n">
        <v>702</v>
      </c>
      <c r="B703" t="inlineStr">
        <is>
          <t>이연제약(주)</t>
        </is>
      </c>
      <c r="C703" t="inlineStr">
        <is>
          <t>이연제약</t>
        </is>
      </c>
      <c r="D703" t="inlineStr">
        <is>
          <t>의약품</t>
        </is>
      </c>
      <c r="E703" t="inlineStr">
        <is>
          <t>1298</t>
        </is>
      </c>
      <c r="F703" t="inlineStr">
        <is>
          <t>유용환</t>
        </is>
      </c>
      <c r="G703" t="inlineStr">
        <is>
          <t>1955-02-06</t>
        </is>
      </c>
      <c r="H703" t="inlineStr">
        <is>
          <t>19550206</t>
        </is>
      </c>
      <c r="I703" t="inlineStr">
        <is>
          <t>2</t>
        </is>
      </c>
      <c r="J703" t="inlineStr">
        <is>
          <t>충주</t>
        </is>
      </c>
      <c r="K703" t="inlineStr">
        <is>
          <t>043-840-6300</t>
        </is>
      </c>
      <c r="L703" t="inlineStr">
        <is>
          <t>충청북도 충주시 대소원면 기업도시1로 64</t>
        </is>
      </c>
      <c r="M703" t="inlineStr"/>
      <c r="N703" t="inlineStr">
        <is>
          <t>충청북도 충주시 대소원면 기업도시1로 64</t>
        </is>
      </c>
      <c r="O703" t="inlineStr">
        <is>
          <t>충청북도</t>
        </is>
      </c>
      <c r="P703" t="inlineStr">
        <is>
          <t>충주시</t>
        </is>
      </c>
      <c r="Q703" t="inlineStr">
        <is>
          <t>N</t>
        </is>
      </c>
      <c r="R703" t="n">
        <v>0</v>
      </c>
    </row>
    <row r="704">
      <c r="A704" t="n">
        <v>703</v>
      </c>
      <c r="B704" t="inlineStr">
        <is>
          <t>동화약품(주)</t>
        </is>
      </c>
      <c r="C704" t="inlineStr">
        <is>
          <t>동화약품</t>
        </is>
      </c>
      <c r="D704" t="inlineStr">
        <is>
          <t>의약품</t>
        </is>
      </c>
      <c r="E704" t="inlineStr">
        <is>
          <t>1331</t>
        </is>
      </c>
      <c r="F704" t="inlineStr">
        <is>
          <t>유준하</t>
        </is>
      </c>
      <c r="G704" t="inlineStr">
        <is>
          <t>1957-01-30</t>
        </is>
      </c>
      <c r="H704" t="inlineStr">
        <is>
          <t>19570130</t>
        </is>
      </c>
      <c r="I704" t="inlineStr">
        <is>
          <t>1</t>
        </is>
      </c>
      <c r="J704" t="inlineStr">
        <is>
          <t>안양</t>
        </is>
      </c>
      <c r="K704" t="inlineStr">
        <is>
          <t>02-778-4331</t>
        </is>
      </c>
      <c r="L704" t="inlineStr"/>
      <c r="M704" t="inlineStr">
        <is>
          <t>경기도 안양시 만안구 안양천서로129번길 36</t>
        </is>
      </c>
      <c r="N704" t="inlineStr">
        <is>
          <t>경기도 안양시 만안구 안양천서로129번길 36</t>
        </is>
      </c>
      <c r="O704" t="inlineStr">
        <is>
          <t>경기도</t>
        </is>
      </c>
      <c r="P704" t="inlineStr">
        <is>
          <t>안양시</t>
        </is>
      </c>
      <c r="Q704" t="inlineStr">
        <is>
          <t>N</t>
        </is>
      </c>
      <c r="R704" t="n">
        <v>0</v>
      </c>
    </row>
    <row r="705">
      <c r="A705" t="n">
        <v>704</v>
      </c>
      <c r="B705" t="inlineStr">
        <is>
          <t>삼성제약(주)</t>
        </is>
      </c>
      <c r="C705" t="inlineStr">
        <is>
          <t>삼성제약</t>
        </is>
      </c>
      <c r="D705" t="inlineStr">
        <is>
          <t>의약품</t>
        </is>
      </c>
      <c r="E705" t="inlineStr">
        <is>
          <t>1294</t>
        </is>
      </c>
      <c r="F705" t="inlineStr">
        <is>
          <t>정성택</t>
        </is>
      </c>
      <c r="G705" t="inlineStr">
        <is>
          <t>1954-12-30</t>
        </is>
      </c>
      <c r="H705" t="inlineStr">
        <is>
          <t>19541230</t>
        </is>
      </c>
      <c r="I705" t="inlineStr">
        <is>
          <t>3</t>
        </is>
      </c>
      <c r="J705" t="inlineStr">
        <is>
          <t>제1공장</t>
        </is>
      </c>
      <c r="K705" t="inlineStr">
        <is>
          <t>031-353-6681</t>
        </is>
      </c>
      <c r="L705" t="inlineStr">
        <is>
          <t>경기도 화성시 향남읍 제약공단4길 10</t>
        </is>
      </c>
      <c r="M705" t="inlineStr"/>
      <c r="N705" t="inlineStr">
        <is>
          <t>경기도 화성시 향남읍 제약공단4길 10</t>
        </is>
      </c>
      <c r="O705" t="inlineStr">
        <is>
          <t>경기도</t>
        </is>
      </c>
      <c r="P705" t="inlineStr">
        <is>
          <t>화성시</t>
        </is>
      </c>
      <c r="Q705" t="inlineStr">
        <is>
          <t>N</t>
        </is>
      </c>
      <c r="R705" t="n">
        <v>0</v>
      </c>
    </row>
    <row r="706">
      <c r="A706" t="n">
        <v>705</v>
      </c>
      <c r="B706" t="inlineStr">
        <is>
          <t>삼진제약(주)</t>
        </is>
      </c>
      <c r="C706" t="inlineStr">
        <is>
          <t>삼진제약</t>
        </is>
      </c>
      <c r="D706" t="inlineStr">
        <is>
          <t>의약품</t>
        </is>
      </c>
      <c r="E706" t="inlineStr">
        <is>
          <t>1324</t>
        </is>
      </c>
      <c r="F706" t="inlineStr">
        <is>
          <t>조규석</t>
        </is>
      </c>
      <c r="G706" t="inlineStr">
        <is>
          <t>1956-10-19</t>
        </is>
      </c>
      <c r="H706" t="inlineStr">
        <is>
          <t>19561019</t>
        </is>
      </c>
      <c r="I706" t="inlineStr">
        <is>
          <t>1</t>
        </is>
      </c>
      <c r="J706" t="inlineStr">
        <is>
          <t>화성</t>
        </is>
      </c>
      <c r="K706" t="inlineStr">
        <is>
          <t>031-353-1712/6</t>
        </is>
      </c>
      <c r="L706" t="inlineStr">
        <is>
          <t>경기도 화성시 만세구 향남읍 제약공단1길 52</t>
        </is>
      </c>
      <c r="M706" t="inlineStr"/>
      <c r="N706" t="inlineStr">
        <is>
          <t>경기도 화성시 만세구 향남읍 제약공단1길 52</t>
        </is>
      </c>
      <c r="O706" t="inlineStr">
        <is>
          <t>경기도</t>
        </is>
      </c>
      <c r="P706" t="inlineStr">
        <is>
          <t>화성시</t>
        </is>
      </c>
      <c r="Q706" t="inlineStr">
        <is>
          <t>N</t>
        </is>
      </c>
      <c r="R706" t="n">
        <v>0</v>
      </c>
    </row>
    <row r="707">
      <c r="A707" t="n">
        <v>706</v>
      </c>
      <c r="B707" t="inlineStr">
        <is>
          <t>(주)유케이케미팜</t>
        </is>
      </c>
      <c r="C707" t="inlineStr">
        <is>
          <t>유케이케미팜</t>
        </is>
      </c>
      <c r="D707" t="inlineStr">
        <is>
          <t>의약품</t>
        </is>
      </c>
      <c r="E707" t="inlineStr">
        <is>
          <t>2364</t>
        </is>
      </c>
      <c r="F707" t="inlineStr">
        <is>
          <t>오기범</t>
        </is>
      </c>
      <c r="G707" t="inlineStr">
        <is>
          <t>2003-03-13</t>
        </is>
      </c>
      <c r="H707" t="inlineStr">
        <is>
          <t>20030313</t>
        </is>
      </c>
      <c r="I707" t="inlineStr">
        <is>
          <t>1</t>
        </is>
      </c>
      <c r="J707" t="inlineStr">
        <is>
          <t>안산</t>
        </is>
      </c>
      <c r="K707" t="inlineStr"/>
      <c r="L707" t="inlineStr">
        <is>
          <t>경기도 안산시 단원구 목내로122번길 11</t>
        </is>
      </c>
      <c r="M707" t="inlineStr"/>
      <c r="N707" t="inlineStr">
        <is>
          <t>경기도 안산시 단원구 목내로122번길 11</t>
        </is>
      </c>
      <c r="O707" t="inlineStr">
        <is>
          <t>경기도</t>
        </is>
      </c>
      <c r="P707" t="inlineStr">
        <is>
          <t>안산시</t>
        </is>
      </c>
      <c r="Q707" t="inlineStr">
        <is>
          <t>N</t>
        </is>
      </c>
      <c r="R707" t="n">
        <v>0</v>
      </c>
    </row>
    <row r="708">
      <c r="A708" t="n">
        <v>707</v>
      </c>
      <c r="B708" t="inlineStr">
        <is>
          <t>(주)한수산</t>
        </is>
      </c>
      <c r="C708" t="inlineStr">
        <is>
          <t>한수산</t>
        </is>
      </c>
      <c r="D708" t="inlineStr">
        <is>
          <t>의약품</t>
        </is>
      </c>
      <c r="E708" t="inlineStr">
        <is>
          <t>400</t>
        </is>
      </c>
      <c r="F708" t="inlineStr">
        <is>
          <t>임채영</t>
        </is>
      </c>
      <c r="G708" t="inlineStr">
        <is>
          <t>2023-01-31</t>
        </is>
      </c>
      <c r="H708" t="inlineStr">
        <is>
          <t>20230131</t>
        </is>
      </c>
      <c r="I708" t="inlineStr">
        <is>
          <t>1</t>
        </is>
      </c>
      <c r="J708" t="inlineStr">
        <is>
          <t>제1공장</t>
        </is>
      </c>
      <c r="K708" t="inlineStr">
        <is>
          <t>010-****-8563</t>
        </is>
      </c>
      <c r="L708" t="inlineStr">
        <is>
          <t>서울특별시 동대문구 약령시로 2</t>
        </is>
      </c>
      <c r="M708" t="inlineStr">
        <is>
          <t>3층</t>
        </is>
      </c>
      <c r="N708" t="inlineStr">
        <is>
          <t>서울특별시 동대문구 약령시로 2 3층</t>
        </is>
      </c>
      <c r="O708" t="inlineStr">
        <is>
          <t>서울특별시</t>
        </is>
      </c>
      <c r="P708" t="inlineStr">
        <is>
          <t>동대문구</t>
        </is>
      </c>
      <c r="Q708" t="inlineStr">
        <is>
          <t>N</t>
        </is>
      </c>
      <c r="R708" t="n">
        <v>0</v>
      </c>
    </row>
    <row r="709">
      <c r="A709" t="n">
        <v>708</v>
      </c>
      <c r="B709" t="inlineStr">
        <is>
          <t>한도제약</t>
        </is>
      </c>
      <c r="C709" t="inlineStr">
        <is>
          <t>한도제약</t>
        </is>
      </c>
      <c r="D709" t="inlineStr">
        <is>
          <t>의약품</t>
        </is>
      </c>
      <c r="E709" t="inlineStr">
        <is>
          <t>2316</t>
        </is>
      </c>
      <c r="F709" t="inlineStr">
        <is>
          <t>류경연</t>
        </is>
      </c>
      <c r="G709" t="inlineStr">
        <is>
          <t>2002-07-15</t>
        </is>
      </c>
      <c r="H709" t="inlineStr">
        <is>
          <t>20020715</t>
        </is>
      </c>
      <c r="I709" t="inlineStr">
        <is>
          <t>2</t>
        </is>
      </c>
      <c r="J709" t="inlineStr">
        <is>
          <t>서울사무소</t>
        </is>
      </c>
      <c r="K709" t="inlineStr">
        <is>
          <t>02-968-1212</t>
        </is>
      </c>
      <c r="L709" t="inlineStr"/>
      <c r="M709" t="inlineStr"/>
      <c r="N709" t="inlineStr"/>
      <c r="O709" t="inlineStr"/>
      <c r="P709" t="inlineStr"/>
      <c r="Q709" t="inlineStr">
        <is>
          <t>N</t>
        </is>
      </c>
      <c r="R709" t="n">
        <v>0</v>
      </c>
    </row>
    <row r="710">
      <c r="A710" t="n">
        <v>709</v>
      </c>
      <c r="B710" t="inlineStr">
        <is>
          <t>(주)에어퍼스트</t>
        </is>
      </c>
      <c r="C710" t="inlineStr">
        <is>
          <t>에어퍼스트</t>
        </is>
      </c>
      <c r="D710" t="inlineStr">
        <is>
          <t>의약품</t>
        </is>
      </c>
      <c r="E710" t="inlineStr">
        <is>
          <t>65</t>
        </is>
      </c>
      <c r="F710" t="inlineStr">
        <is>
          <t>양한용</t>
        </is>
      </c>
      <c r="G710" t="inlineStr">
        <is>
          <t>2007-11-19</t>
        </is>
      </c>
      <c r="H710" t="inlineStr">
        <is>
          <t>20071119</t>
        </is>
      </c>
      <c r="I710" t="inlineStr">
        <is>
          <t>4</t>
        </is>
      </c>
      <c r="J710" t="inlineStr">
        <is>
          <t>포항(충전소)</t>
        </is>
      </c>
      <c r="K710" t="inlineStr"/>
      <c r="L710" t="inlineStr">
        <is>
          <t>경상북도 포항시 남구 철강로 357</t>
        </is>
      </c>
      <c r="M710" t="inlineStr">
        <is>
          <t>(호동)</t>
        </is>
      </c>
      <c r="N710" t="inlineStr">
        <is>
          <t>경상북도 포항시 남구 철강로 357 (호동)</t>
        </is>
      </c>
      <c r="O710" t="inlineStr">
        <is>
          <t>경상북도</t>
        </is>
      </c>
      <c r="P710" t="inlineStr">
        <is>
          <t>포항시</t>
        </is>
      </c>
      <c r="Q710" t="inlineStr">
        <is>
          <t>N</t>
        </is>
      </c>
      <c r="R710" t="n">
        <v>0</v>
      </c>
    </row>
    <row r="711">
      <c r="A711" t="n">
        <v>710</v>
      </c>
      <c r="B711" t="inlineStr">
        <is>
          <t>씨엠에스제약(주)</t>
        </is>
      </c>
      <c r="C711" t="inlineStr">
        <is>
          <t>씨엠에스제약</t>
        </is>
      </c>
      <c r="D711" t="inlineStr">
        <is>
          <t>의약품</t>
        </is>
      </c>
      <c r="E711" t="inlineStr">
        <is>
          <t>6165</t>
        </is>
      </c>
      <c r="F711" t="inlineStr">
        <is>
          <t>김부근</t>
        </is>
      </c>
      <c r="G711" t="inlineStr">
        <is>
          <t>2021-10-25</t>
        </is>
      </c>
      <c r="H711" t="inlineStr">
        <is>
          <t>20211025</t>
        </is>
      </c>
      <c r="I711" t="inlineStr">
        <is>
          <t>1</t>
        </is>
      </c>
      <c r="J711" t="inlineStr">
        <is>
          <t>1공장</t>
        </is>
      </c>
      <c r="K711" t="inlineStr">
        <is>
          <t>043-238-5000</t>
        </is>
      </c>
      <c r="L711" t="inlineStr">
        <is>
          <t>충청북도 청주시 흥덕구 오송읍 오송생명10로 152</t>
        </is>
      </c>
      <c r="M711" t="inlineStr"/>
      <c r="N711" t="inlineStr">
        <is>
          <t>충청북도 청주시 흥덕구 오송읍 오송생명10로 152</t>
        </is>
      </c>
      <c r="O711" t="inlineStr">
        <is>
          <t>충청북도</t>
        </is>
      </c>
      <c r="P711" t="inlineStr">
        <is>
          <t>청주시</t>
        </is>
      </c>
      <c r="Q711" t="inlineStr">
        <is>
          <t>N</t>
        </is>
      </c>
      <c r="R711" t="n">
        <v>0</v>
      </c>
    </row>
    <row r="712">
      <c r="A712" t="n">
        <v>711</v>
      </c>
      <c r="B712" t="inlineStr">
        <is>
          <t>(주)한서켐</t>
        </is>
      </c>
      <c r="C712" t="inlineStr">
        <is>
          <t>한서켐</t>
        </is>
      </c>
      <c r="D712" t="inlineStr">
        <is>
          <t>의약품</t>
        </is>
      </c>
      <c r="E712" t="inlineStr">
        <is>
          <t>2295</t>
        </is>
      </c>
      <c r="F712" t="inlineStr">
        <is>
          <t>김기남</t>
        </is>
      </c>
      <c r="G712" t="inlineStr">
        <is>
          <t>2002-05-16</t>
        </is>
      </c>
      <c r="H712" t="inlineStr">
        <is>
          <t>20020516</t>
        </is>
      </c>
      <c r="I712" t="inlineStr">
        <is>
          <t>1</t>
        </is>
      </c>
      <c r="J712" t="inlineStr">
        <is>
          <t>.</t>
        </is>
      </c>
      <c r="K712" t="inlineStr">
        <is>
          <t>031-682-8655</t>
        </is>
      </c>
      <c r="L712" t="inlineStr">
        <is>
          <t>경기도 평택시 포승읍 포승공단로 41</t>
        </is>
      </c>
      <c r="M712" t="inlineStr"/>
      <c r="N712" t="inlineStr">
        <is>
          <t>경기도 평택시 포승읍 포승공단로 41</t>
        </is>
      </c>
      <c r="O712" t="inlineStr">
        <is>
          <t>경기도</t>
        </is>
      </c>
      <c r="P712" t="inlineStr">
        <is>
          <t>평택시</t>
        </is>
      </c>
      <c r="Q712" t="inlineStr">
        <is>
          <t>Y</t>
        </is>
      </c>
      <c r="R712" t="n">
        <v>86</v>
      </c>
    </row>
    <row r="713">
      <c r="A713" t="n">
        <v>712</v>
      </c>
      <c r="B713" t="inlineStr">
        <is>
          <t>에이치엘지노믹스(주)</t>
        </is>
      </c>
      <c r="C713" t="inlineStr">
        <is>
          <t>에이치엘지노믹스</t>
        </is>
      </c>
      <c r="D713" t="inlineStr">
        <is>
          <t>의약품</t>
        </is>
      </c>
      <c r="E713" t="inlineStr">
        <is>
          <t>0094</t>
        </is>
      </c>
      <c r="F713" t="inlineStr">
        <is>
          <t>김호진</t>
        </is>
      </c>
      <c r="G713" t="inlineStr">
        <is>
          <t>2007-04-26</t>
        </is>
      </c>
      <c r="H713" t="inlineStr">
        <is>
          <t>20070426</t>
        </is>
      </c>
      <c r="I713" t="inlineStr">
        <is>
          <t>2</t>
        </is>
      </c>
      <c r="J713" t="inlineStr">
        <is>
          <t>용인</t>
        </is>
      </c>
      <c r="K713" t="inlineStr">
        <is>
          <t>031-335-2080</t>
        </is>
      </c>
      <c r="L713" t="inlineStr">
        <is>
          <t>경기도 용인시 처인구 원삼면 보개원삼로 1552</t>
        </is>
      </c>
      <c r="M713" t="inlineStr"/>
      <c r="N713" t="inlineStr">
        <is>
          <t>경기도 용인시 처인구 원삼면 보개원삼로 1552</t>
        </is>
      </c>
      <c r="O713" t="inlineStr">
        <is>
          <t>경기도</t>
        </is>
      </c>
      <c r="P713" t="inlineStr">
        <is>
          <t>용인시</t>
        </is>
      </c>
      <c r="Q713" t="inlineStr">
        <is>
          <t>N</t>
        </is>
      </c>
      <c r="R713" t="n">
        <v>0</v>
      </c>
    </row>
    <row r="714">
      <c r="A714" t="n">
        <v>713</v>
      </c>
      <c r="B714" t="inlineStr">
        <is>
          <t>(주)셀리드</t>
        </is>
      </c>
      <c r="C714" t="inlineStr">
        <is>
          <t>셀리드</t>
        </is>
      </c>
      <c r="D714" t="inlineStr">
        <is>
          <t>의약품</t>
        </is>
      </c>
      <c r="E714" t="inlineStr">
        <is>
          <t>1818</t>
        </is>
      </c>
      <c r="F714" t="inlineStr">
        <is>
          <t>강창율</t>
        </is>
      </c>
      <c r="G714" t="inlineStr">
        <is>
          <t>2021-01-20</t>
        </is>
      </c>
      <c r="H714" t="inlineStr">
        <is>
          <t>20210120</t>
        </is>
      </c>
      <c r="I714" t="inlineStr">
        <is>
          <t>1</t>
        </is>
      </c>
      <c r="J714" t="inlineStr">
        <is>
          <t>제1공장</t>
        </is>
      </c>
      <c r="K714" t="inlineStr">
        <is>
          <t>02-3285-7860</t>
        </is>
      </c>
      <c r="L714" t="inlineStr">
        <is>
          <t>경기도 성남시 중원구 갈마치로288번길 14</t>
        </is>
      </c>
      <c r="M714" t="inlineStr">
        <is>
          <t>617 ~ 623호, 426 ~ 430호, 726호(상대원동, 성남 SK V1 tower)</t>
        </is>
      </c>
      <c r="N714" t="inlineStr">
        <is>
          <t>경기도 성남시 중원구 갈마치로288번길 14 617 ~ 623호, 426 ~ 430호, 726호(상대원동, 성남 SK V1 tower)</t>
        </is>
      </c>
      <c r="O714" t="inlineStr">
        <is>
          <t>경기도</t>
        </is>
      </c>
      <c r="P714" t="inlineStr">
        <is>
          <t>성남시</t>
        </is>
      </c>
      <c r="Q714" t="inlineStr">
        <is>
          <t>N</t>
        </is>
      </c>
      <c r="R714" t="n">
        <v>0</v>
      </c>
    </row>
    <row r="715">
      <c r="A715" t="n">
        <v>714</v>
      </c>
      <c r="B715" t="inlineStr">
        <is>
          <t>(주)창신</t>
        </is>
      </c>
      <c r="C715" t="inlineStr">
        <is>
          <t>창신</t>
        </is>
      </c>
      <c r="D715" t="inlineStr">
        <is>
          <t>의약품</t>
        </is>
      </c>
      <c r="E715" t="inlineStr">
        <is>
          <t>2246</t>
        </is>
      </c>
      <c r="F715" t="inlineStr">
        <is>
          <t>배성학</t>
        </is>
      </c>
      <c r="G715" t="inlineStr">
        <is>
          <t>2001-09-27</t>
        </is>
      </c>
      <c r="H715" t="inlineStr">
        <is>
          <t>20010927</t>
        </is>
      </c>
      <c r="I715" t="inlineStr">
        <is>
          <t>1</t>
        </is>
      </c>
      <c r="J715" t="inlineStr">
        <is>
          <t>마산</t>
        </is>
      </c>
      <c r="K715" t="inlineStr">
        <is>
          <t>055-232-2000</t>
        </is>
      </c>
      <c r="L715" t="inlineStr">
        <is>
          <t>경상남도 창원시 마산회원구 내서읍 광려천남로 135</t>
        </is>
      </c>
      <c r="M715" t="inlineStr"/>
      <c r="N715" t="inlineStr">
        <is>
          <t>경상남도 창원시 마산회원구 내서읍 광려천남로 135</t>
        </is>
      </c>
      <c r="O715" t="inlineStr">
        <is>
          <t>경상남도</t>
        </is>
      </c>
      <c r="P715" t="inlineStr">
        <is>
          <t>창원시</t>
        </is>
      </c>
      <c r="Q715" t="inlineStr">
        <is>
          <t>Y</t>
        </is>
      </c>
      <c r="R715" t="n">
        <v>67</v>
      </c>
    </row>
    <row r="716">
      <c r="A716" t="n">
        <v>715</v>
      </c>
      <c r="B716" t="inlineStr">
        <is>
          <t>씨케이(주)</t>
        </is>
      </c>
      <c r="C716" t="inlineStr">
        <is>
          <t>씨케이</t>
        </is>
      </c>
      <c r="D716" t="inlineStr">
        <is>
          <t>의약품</t>
        </is>
      </c>
      <c r="E716" t="inlineStr">
        <is>
          <t>2586</t>
        </is>
      </c>
      <c r="F716" t="inlineStr">
        <is>
          <t>김병철</t>
        </is>
      </c>
      <c r="G716" t="inlineStr">
        <is>
          <t>2006-11-29</t>
        </is>
      </c>
      <c r="H716" t="inlineStr">
        <is>
          <t>20061129</t>
        </is>
      </c>
      <c r="I716" t="inlineStr">
        <is>
          <t>3</t>
        </is>
      </c>
      <c r="J716" t="inlineStr">
        <is>
          <t>보관소</t>
        </is>
      </c>
      <c r="K716" t="inlineStr">
        <is>
          <t>043-544-8511</t>
        </is>
      </c>
      <c r="L716" t="inlineStr">
        <is>
          <t>충청북도 보은군 보은읍 매화구인로 331-8</t>
        </is>
      </c>
      <c r="M716" t="inlineStr"/>
      <c r="N716" t="inlineStr">
        <is>
          <t>충청북도 보은군 보은읍 매화구인로 331-8</t>
        </is>
      </c>
      <c r="O716" t="inlineStr">
        <is>
          <t>충청북도</t>
        </is>
      </c>
      <c r="P716" t="inlineStr">
        <is>
          <t>보은군</t>
        </is>
      </c>
      <c r="Q716" t="inlineStr">
        <is>
          <t>Y</t>
        </is>
      </c>
      <c r="R716" t="n">
        <v>36</v>
      </c>
    </row>
    <row r="717">
      <c r="A717" t="n">
        <v>716</v>
      </c>
      <c r="B717" t="inlineStr">
        <is>
          <t>오도제약주식회사</t>
        </is>
      </c>
      <c r="C717" t="inlineStr">
        <is>
          <t>오도제약</t>
        </is>
      </c>
      <c r="D717" t="inlineStr">
        <is>
          <t>의약품</t>
        </is>
      </c>
      <c r="E717" t="inlineStr">
        <is>
          <t>385</t>
        </is>
      </c>
      <c r="F717" t="inlineStr">
        <is>
          <t>장용현</t>
        </is>
      </c>
      <c r="G717" t="inlineStr">
        <is>
          <t>2020-05-08</t>
        </is>
      </c>
      <c r="H717" t="inlineStr">
        <is>
          <t>20200508</t>
        </is>
      </c>
      <c r="I717" t="inlineStr">
        <is>
          <t>1</t>
        </is>
      </c>
      <c r="J717" t="inlineStr">
        <is>
          <t>제1공장</t>
        </is>
      </c>
      <c r="K717" t="inlineStr">
        <is>
          <t>031-946-5679</t>
        </is>
      </c>
      <c r="L717" t="inlineStr">
        <is>
          <t>경기도 파주시 오도로 89</t>
        </is>
      </c>
      <c r="M717" t="inlineStr">
        <is>
          <t>2동 1층(오도동)</t>
        </is>
      </c>
      <c r="N717" t="inlineStr">
        <is>
          <t>경기도 파주시 오도로 89 2동 1층(오도동)</t>
        </is>
      </c>
      <c r="O717" t="inlineStr">
        <is>
          <t>경기도</t>
        </is>
      </c>
      <c r="P717" t="inlineStr">
        <is>
          <t>파주시</t>
        </is>
      </c>
      <c r="Q717" t="inlineStr">
        <is>
          <t>N</t>
        </is>
      </c>
      <c r="R717" t="n">
        <v>0</v>
      </c>
    </row>
    <row r="718">
      <c r="A718" t="n">
        <v>717</v>
      </c>
      <c r="B718" t="inlineStr">
        <is>
          <t>(주)남이제약</t>
        </is>
      </c>
      <c r="C718" t="inlineStr">
        <is>
          <t>남이제약</t>
        </is>
      </c>
      <c r="D718" t="inlineStr">
        <is>
          <t>의약품</t>
        </is>
      </c>
      <c r="E718" t="inlineStr">
        <is>
          <t>2528</t>
        </is>
      </c>
      <c r="F718" t="inlineStr">
        <is>
          <t>김민수</t>
        </is>
      </c>
      <c r="G718" t="inlineStr">
        <is>
          <t>2006-01-26</t>
        </is>
      </c>
      <c r="H718" t="inlineStr">
        <is>
          <t>20060126</t>
        </is>
      </c>
      <c r="I718" t="inlineStr">
        <is>
          <t>1</t>
        </is>
      </c>
      <c r="J718" t="inlineStr">
        <is>
          <t>경북</t>
        </is>
      </c>
      <c r="K718" t="inlineStr">
        <is>
          <t>054-333-3847</t>
        </is>
      </c>
      <c r="L718" t="inlineStr">
        <is>
          <t>경상북도 영천시 화남면 신선로 133</t>
        </is>
      </c>
      <c r="M718" t="inlineStr"/>
      <c r="N718" t="inlineStr">
        <is>
          <t>경상북도 영천시 화남면 신선로 133</t>
        </is>
      </c>
      <c r="O718" t="inlineStr">
        <is>
          <t>경상북도</t>
        </is>
      </c>
      <c r="P718" t="inlineStr">
        <is>
          <t>영천시</t>
        </is>
      </c>
      <c r="Q718" t="inlineStr">
        <is>
          <t>N</t>
        </is>
      </c>
      <c r="R718" t="n">
        <v>0</v>
      </c>
    </row>
    <row r="719">
      <c r="A719" t="n">
        <v>718</v>
      </c>
      <c r="B719" t="inlineStr">
        <is>
          <t>에이치디엑스(주)</t>
        </is>
      </c>
      <c r="C719" t="inlineStr">
        <is>
          <t>에이치디엑스</t>
        </is>
      </c>
      <c r="D719" t="inlineStr">
        <is>
          <t>의약품</t>
        </is>
      </c>
      <c r="E719" t="inlineStr">
        <is>
          <t>2407</t>
        </is>
      </c>
      <c r="F719" t="inlineStr">
        <is>
          <t>이창영</t>
        </is>
      </c>
      <c r="G719" t="inlineStr">
        <is>
          <t>2003-12-11</t>
        </is>
      </c>
      <c r="H719" t="inlineStr">
        <is>
          <t>20031211</t>
        </is>
      </c>
      <c r="I719" t="inlineStr">
        <is>
          <t>1</t>
        </is>
      </c>
      <c r="J719" t="inlineStr">
        <is>
          <t>서울(서대문구 연세로)</t>
        </is>
      </c>
      <c r="K719" t="inlineStr">
        <is>
          <t>02-365-84412003-8441</t>
        </is>
      </c>
      <c r="L719" t="inlineStr">
        <is>
          <t>서울특별시 서대문구 연세로 50</t>
        </is>
      </c>
      <c r="M719" t="inlineStr"/>
      <c r="N719" t="inlineStr">
        <is>
          <t>서울특별시 서대문구 연세로 50</t>
        </is>
      </c>
      <c r="O719" t="inlineStr">
        <is>
          <t>서울특별시</t>
        </is>
      </c>
      <c r="P719" t="inlineStr">
        <is>
          <t>서대문구</t>
        </is>
      </c>
      <c r="Q719" t="inlineStr">
        <is>
          <t>N</t>
        </is>
      </c>
      <c r="R719" t="n">
        <v>0</v>
      </c>
    </row>
    <row r="720">
      <c r="A720" t="n">
        <v>719</v>
      </c>
      <c r="B720" t="inlineStr">
        <is>
          <t>주식회사넥스제너</t>
        </is>
      </c>
      <c r="C720" t="inlineStr">
        <is>
          <t>넥스제너</t>
        </is>
      </c>
      <c r="D720" t="inlineStr">
        <is>
          <t>의약품</t>
        </is>
      </c>
      <c r="E720" t="inlineStr">
        <is>
          <t>6178</t>
        </is>
      </c>
      <c r="F720" t="inlineStr">
        <is>
          <t>김수동</t>
        </is>
      </c>
      <c r="G720" t="inlineStr">
        <is>
          <t>2023-03-02</t>
        </is>
      </c>
      <c r="H720" t="inlineStr">
        <is>
          <t>20230302</t>
        </is>
      </c>
      <c r="I720" t="inlineStr">
        <is>
          <t>1</t>
        </is>
      </c>
      <c r="J720" t="inlineStr">
        <is>
          <t>1공장</t>
        </is>
      </c>
      <c r="K720" t="inlineStr">
        <is>
          <t>031-376-1676</t>
        </is>
      </c>
      <c r="L720" t="inlineStr">
        <is>
          <t>경기도 화성시 동탄대로23길 93</t>
        </is>
      </c>
      <c r="M720" t="inlineStr">
        <is>
          <t>아너스카이 10층</t>
        </is>
      </c>
      <c r="N720" t="inlineStr">
        <is>
          <t>경기도 화성시 동탄대로23길 93 아너스카이 10층</t>
        </is>
      </c>
      <c r="O720" t="inlineStr">
        <is>
          <t>경기도</t>
        </is>
      </c>
      <c r="P720" t="inlineStr">
        <is>
          <t>화성시</t>
        </is>
      </c>
      <c r="Q720" t="inlineStr">
        <is>
          <t>N</t>
        </is>
      </c>
      <c r="R720" t="n">
        <v>0</v>
      </c>
    </row>
    <row r="721">
      <c r="A721" t="n">
        <v>720</v>
      </c>
      <c r="B721" t="inlineStr">
        <is>
          <t>주식회사에어가스코리아</t>
        </is>
      </c>
      <c r="C721" t="inlineStr">
        <is>
          <t>에어가스코리아</t>
        </is>
      </c>
      <c r="D721" t="inlineStr">
        <is>
          <t>의약품</t>
        </is>
      </c>
      <c r="E721" t="inlineStr">
        <is>
          <t>2310</t>
        </is>
      </c>
      <c r="F721" t="inlineStr">
        <is>
          <t>박열</t>
        </is>
      </c>
      <c r="G721" t="inlineStr">
        <is>
          <t>2002-06-25</t>
        </is>
      </c>
      <c r="H721" t="inlineStr">
        <is>
          <t>20020625</t>
        </is>
      </c>
      <c r="I721" t="inlineStr">
        <is>
          <t>1</t>
        </is>
      </c>
      <c r="J721" t="inlineStr">
        <is>
          <t>제1공장</t>
        </is>
      </c>
      <c r="K721" t="inlineStr">
        <is>
          <t>032-573-4001</t>
        </is>
      </c>
      <c r="L721" t="inlineStr">
        <is>
          <t>인천광역시 서구 가정로37번길 25</t>
        </is>
      </c>
      <c r="M721" t="inlineStr"/>
      <c r="N721" t="inlineStr">
        <is>
          <t>인천광역시 서구 가정로37번길 25</t>
        </is>
      </c>
      <c r="O721" t="inlineStr">
        <is>
          <t>인천광역시</t>
        </is>
      </c>
      <c r="P721" t="inlineStr">
        <is>
          <t>서구</t>
        </is>
      </c>
      <c r="Q721" t="inlineStr">
        <is>
          <t>N</t>
        </is>
      </c>
      <c r="R721" t="n">
        <v>0</v>
      </c>
    </row>
    <row r="722">
      <c r="A722" t="n">
        <v>721</v>
      </c>
      <c r="B722" t="inlineStr">
        <is>
          <t>(주)이풀잎제약</t>
        </is>
      </c>
      <c r="C722" t="inlineStr">
        <is>
          <t>이풀잎제약</t>
        </is>
      </c>
      <c r="D722" t="inlineStr">
        <is>
          <t>의약품</t>
        </is>
      </c>
      <c r="E722" t="inlineStr">
        <is>
          <t>255</t>
        </is>
      </c>
      <c r="F722" t="inlineStr">
        <is>
          <t>박정환</t>
        </is>
      </c>
      <c r="G722" t="inlineStr">
        <is>
          <t>2008-01-28</t>
        </is>
      </c>
      <c r="H722" t="inlineStr">
        <is>
          <t>20080128</t>
        </is>
      </c>
      <c r="I722" t="inlineStr">
        <is>
          <t>2</t>
        </is>
      </c>
      <c r="J722" t="inlineStr">
        <is>
          <t>제2공장</t>
        </is>
      </c>
      <c r="K722" t="inlineStr"/>
      <c r="L722" t="inlineStr">
        <is>
          <t>경기도 포천시 군내면 반월산성로153번길 9-12</t>
        </is>
      </c>
      <c r="M722" t="inlineStr">
        <is>
          <t>1층 102호</t>
        </is>
      </c>
      <c r="N722" t="inlineStr">
        <is>
          <t>경기도 포천시 군내면 반월산성로153번길 9-12 1층 102호</t>
        </is>
      </c>
      <c r="O722" t="inlineStr">
        <is>
          <t>경기도</t>
        </is>
      </c>
      <c r="P722" t="inlineStr">
        <is>
          <t>포천시</t>
        </is>
      </c>
      <c r="Q722" t="inlineStr">
        <is>
          <t>N</t>
        </is>
      </c>
      <c r="R722" t="n">
        <v>0</v>
      </c>
    </row>
    <row r="723">
      <c r="A723" t="n">
        <v>722</v>
      </c>
      <c r="B723" t="inlineStr">
        <is>
          <t>(주)에이치피앤씨</t>
        </is>
      </c>
      <c r="C723" t="inlineStr">
        <is>
          <t>에이치피앤씨</t>
        </is>
      </c>
      <c r="D723" t="inlineStr">
        <is>
          <t>의약품</t>
        </is>
      </c>
      <c r="E723" t="inlineStr">
        <is>
          <t>6170</t>
        </is>
      </c>
      <c r="F723" t="inlineStr">
        <is>
          <t>김홍숙</t>
        </is>
      </c>
      <c r="G723" t="inlineStr">
        <is>
          <t>2021-11-30</t>
        </is>
      </c>
      <c r="H723" t="inlineStr">
        <is>
          <t>20211130</t>
        </is>
      </c>
      <c r="I723" t="inlineStr">
        <is>
          <t>1</t>
        </is>
      </c>
      <c r="J723" t="inlineStr">
        <is>
          <t>1공장</t>
        </is>
      </c>
      <c r="K723" t="inlineStr">
        <is>
          <t>043-236-0026</t>
        </is>
      </c>
      <c r="L723" t="inlineStr">
        <is>
          <t>충청북도 청주시 흥덕구 오송읍 오송생명6로 22</t>
        </is>
      </c>
      <c r="M723" t="inlineStr"/>
      <c r="N723" t="inlineStr">
        <is>
          <t>충청북도 청주시 흥덕구 오송읍 오송생명6로 22</t>
        </is>
      </c>
      <c r="O723" t="inlineStr">
        <is>
          <t>충청북도</t>
        </is>
      </c>
      <c r="P723" t="inlineStr">
        <is>
          <t>청주시</t>
        </is>
      </c>
      <c r="Q723" t="inlineStr">
        <is>
          <t>N</t>
        </is>
      </c>
      <c r="R723" t="n">
        <v>0</v>
      </c>
    </row>
    <row r="724">
      <c r="A724" t="n">
        <v>723</v>
      </c>
      <c r="B724" t="inlineStr">
        <is>
          <t>(주)휴온스생명과학</t>
        </is>
      </c>
      <c r="C724" t="inlineStr">
        <is>
          <t>휴온스생명과학</t>
        </is>
      </c>
      <c r="D724" t="inlineStr">
        <is>
          <t>의약품</t>
        </is>
      </c>
      <c r="E724" t="inlineStr">
        <is>
          <t>2311</t>
        </is>
      </c>
      <c r="F724" t="inlineStr">
        <is>
          <t>이재훈</t>
        </is>
      </c>
      <c r="G724" t="inlineStr">
        <is>
          <t>2002-06-28</t>
        </is>
      </c>
      <c r="H724" t="inlineStr">
        <is>
          <t>20020628</t>
        </is>
      </c>
      <c r="I724" t="inlineStr">
        <is>
          <t>2</t>
        </is>
      </c>
      <c r="J724" t="inlineStr">
        <is>
          <t>오송</t>
        </is>
      </c>
      <c r="K724" t="inlineStr">
        <is>
          <t>070-4659-3131</t>
        </is>
      </c>
      <c r="L724" t="inlineStr">
        <is>
          <t>충청북도 청주시 흥덕구 오송읍 오송생명6로 70</t>
        </is>
      </c>
      <c r="M724" t="inlineStr"/>
      <c r="N724" t="inlineStr">
        <is>
          <t>충청북도 청주시 흥덕구 오송읍 오송생명6로 70</t>
        </is>
      </c>
      <c r="O724" t="inlineStr">
        <is>
          <t>충청북도</t>
        </is>
      </c>
      <c r="P724" t="inlineStr">
        <is>
          <t>청주시</t>
        </is>
      </c>
      <c r="Q724" t="inlineStr">
        <is>
          <t>N</t>
        </is>
      </c>
      <c r="R724" t="n">
        <v>0</v>
      </c>
    </row>
    <row r="725">
      <c r="A725" t="n">
        <v>724</v>
      </c>
      <c r="B725" t="inlineStr">
        <is>
          <t>㈜셀텍</t>
        </is>
      </c>
      <c r="C725" t="inlineStr">
        <is>
          <t>셀텍</t>
        </is>
      </c>
      <c r="D725" t="inlineStr">
        <is>
          <t>의약품</t>
        </is>
      </c>
      <c r="E725" t="inlineStr">
        <is>
          <t>2610</t>
        </is>
      </c>
      <c r="F725" t="inlineStr">
        <is>
          <t>문인수</t>
        </is>
      </c>
      <c r="G725" t="inlineStr">
        <is>
          <t>2007-08-07</t>
        </is>
      </c>
      <c r="H725" t="inlineStr">
        <is>
          <t>20070807</t>
        </is>
      </c>
      <c r="I725" t="inlineStr">
        <is>
          <t>1</t>
        </is>
      </c>
      <c r="J725" t="inlineStr">
        <is>
          <t>(주)엔케이바이오</t>
        </is>
      </c>
      <c r="K725" t="inlineStr">
        <is>
          <t>(031)733-5575</t>
        </is>
      </c>
      <c r="L725" t="inlineStr">
        <is>
          <t>경기도 성남시 중원구 순환로 204</t>
        </is>
      </c>
      <c r="M725" t="inlineStr">
        <is>
          <t>NKBIO빌딩 4층 (상대원동)</t>
        </is>
      </c>
      <c r="N725" t="inlineStr">
        <is>
          <t>경기도 성남시 중원구 순환로 204 NKBIO빌딩 4층 (상대원동)</t>
        </is>
      </c>
      <c r="O725" t="inlineStr">
        <is>
          <t>경기도</t>
        </is>
      </c>
      <c r="P725" t="inlineStr">
        <is>
          <t>성남시</t>
        </is>
      </c>
      <c r="Q725" t="inlineStr">
        <is>
          <t>N</t>
        </is>
      </c>
      <c r="R725" t="n">
        <v>0</v>
      </c>
    </row>
    <row r="726">
      <c r="A726" t="n">
        <v>725</v>
      </c>
      <c r="B726" t="inlineStr">
        <is>
          <t>건일바이오팜주식회사</t>
        </is>
      </c>
      <c r="C726" t="inlineStr">
        <is>
          <t>건일바이오팜</t>
        </is>
      </c>
      <c r="D726" t="inlineStr">
        <is>
          <t>의약품</t>
        </is>
      </c>
      <c r="E726" t="inlineStr">
        <is>
          <t>6163</t>
        </is>
      </c>
      <c r="F726" t="inlineStr">
        <is>
          <t>정병찬</t>
        </is>
      </c>
      <c r="G726" t="inlineStr">
        <is>
          <t>2021-02-26</t>
        </is>
      </c>
      <c r="H726" t="inlineStr">
        <is>
          <t>20210226</t>
        </is>
      </c>
      <c r="I726" t="inlineStr">
        <is>
          <t>1</t>
        </is>
      </c>
      <c r="J726" t="inlineStr">
        <is>
          <t>1공장</t>
        </is>
      </c>
      <c r="K726" t="inlineStr">
        <is>
          <t>041-415-2550</t>
        </is>
      </c>
      <c r="L726" t="inlineStr">
        <is>
          <t>충청남도 천안시 서북구 직산읍 거리막길 33</t>
        </is>
      </c>
      <c r="M726" t="inlineStr">
        <is>
          <t>제일동</t>
        </is>
      </c>
      <c r="N726" t="inlineStr">
        <is>
          <t>충청남도 천안시 서북구 직산읍 거리막길 33 제일동</t>
        </is>
      </c>
      <c r="O726" t="inlineStr">
        <is>
          <t>충청남도</t>
        </is>
      </c>
      <c r="P726" t="inlineStr">
        <is>
          <t>천안시</t>
        </is>
      </c>
      <c r="Q726" t="inlineStr">
        <is>
          <t>N</t>
        </is>
      </c>
      <c r="R726" t="n">
        <v>0</v>
      </c>
    </row>
    <row r="727">
      <c r="A727" t="n">
        <v>726</v>
      </c>
      <c r="B727" t="inlineStr">
        <is>
          <t>(주)성일바이오엑스</t>
        </is>
      </c>
      <c r="C727" t="inlineStr">
        <is>
          <t>성일바이오엑스</t>
        </is>
      </c>
      <c r="D727" t="inlineStr">
        <is>
          <t>의약품</t>
        </is>
      </c>
      <c r="E727" t="inlineStr">
        <is>
          <t>2264</t>
        </is>
      </c>
      <c r="F727" t="inlineStr">
        <is>
          <t>천성호</t>
        </is>
      </c>
      <c r="G727" t="inlineStr">
        <is>
          <t>2002-01-24</t>
        </is>
      </c>
      <c r="H727" t="inlineStr">
        <is>
          <t>20020124</t>
        </is>
      </c>
      <c r="I727" t="inlineStr">
        <is>
          <t>1</t>
        </is>
      </c>
      <c r="J727" t="inlineStr">
        <is>
          <t>화성공장</t>
        </is>
      </c>
      <c r="K727" t="inlineStr">
        <is>
          <t>031-355-4371</t>
        </is>
      </c>
      <c r="L727" t="inlineStr">
        <is>
          <t>경기도 화성시 만세구 마도면 마도로 775</t>
        </is>
      </c>
      <c r="M727" t="inlineStr"/>
      <c r="N727" t="inlineStr">
        <is>
          <t>경기도 화성시 만세구 마도면 마도로 775</t>
        </is>
      </c>
      <c r="O727" t="inlineStr">
        <is>
          <t>경기도</t>
        </is>
      </c>
      <c r="P727" t="inlineStr">
        <is>
          <t>화성시</t>
        </is>
      </c>
      <c r="Q727" t="inlineStr">
        <is>
          <t>N</t>
        </is>
      </c>
      <c r="R727" t="n">
        <v>0</v>
      </c>
    </row>
    <row r="728">
      <c r="A728" t="n">
        <v>727</v>
      </c>
      <c r="B728" t="inlineStr">
        <is>
          <t>(주)옵투스제약</t>
        </is>
      </c>
      <c r="C728" t="inlineStr">
        <is>
          <t>옵투스제약</t>
        </is>
      </c>
      <c r="D728" t="inlineStr">
        <is>
          <t>의약품</t>
        </is>
      </c>
      <c r="E728" t="inlineStr">
        <is>
          <t>918</t>
        </is>
      </c>
      <c r="F728" t="inlineStr">
        <is>
          <t>심상호</t>
        </is>
      </c>
      <c r="G728" t="inlineStr">
        <is>
          <t>2006-12-08</t>
        </is>
      </c>
      <c r="H728" t="inlineStr">
        <is>
          <t>20061208</t>
        </is>
      </c>
      <c r="I728" t="inlineStr">
        <is>
          <t>3</t>
        </is>
      </c>
      <c r="J728" t="inlineStr">
        <is>
          <t>2공장</t>
        </is>
      </c>
      <c r="K728" t="inlineStr">
        <is>
          <t>043-830-0500</t>
        </is>
      </c>
      <c r="L728" t="inlineStr">
        <is>
          <t>충청북도 청주시 흥덕구 오송읍 오송생명10로 195</t>
        </is>
      </c>
      <c r="M728" t="inlineStr"/>
      <c r="N728" t="inlineStr">
        <is>
          <t>충청북도 청주시 흥덕구 오송읍 오송생명10로 195</t>
        </is>
      </c>
      <c r="O728" t="inlineStr">
        <is>
          <t>충청북도</t>
        </is>
      </c>
      <c r="P728" t="inlineStr">
        <is>
          <t>청주시</t>
        </is>
      </c>
      <c r="Q728" t="inlineStr">
        <is>
          <t>N</t>
        </is>
      </c>
      <c r="R728" t="n">
        <v>0</v>
      </c>
    </row>
    <row r="729">
      <c r="A729" t="n">
        <v>728</v>
      </c>
      <c r="B729" t="inlineStr">
        <is>
          <t>주식회사이룡제약</t>
        </is>
      </c>
      <c r="C729" t="inlineStr">
        <is>
          <t>이룡제약</t>
        </is>
      </c>
      <c r="D729" t="inlineStr">
        <is>
          <t>의약품</t>
        </is>
      </c>
      <c r="E729" t="inlineStr">
        <is>
          <t>387</t>
        </is>
      </c>
      <c r="F729" t="inlineStr">
        <is>
          <t>봉용군</t>
        </is>
      </c>
      <c r="G729" t="inlineStr">
        <is>
          <t>2020-06-08</t>
        </is>
      </c>
      <c r="H729" t="inlineStr">
        <is>
          <t>20200608</t>
        </is>
      </c>
      <c r="I729" t="inlineStr">
        <is>
          <t>2</t>
        </is>
      </c>
      <c r="J729" t="inlineStr">
        <is>
          <t>2공장</t>
        </is>
      </c>
      <c r="K729" t="inlineStr">
        <is>
          <t>031-543-7786</t>
        </is>
      </c>
      <c r="L729" t="inlineStr">
        <is>
          <t>경기도 포천시 가산면 시우동6길 16</t>
        </is>
      </c>
      <c r="M729" t="inlineStr"/>
      <c r="N729" t="inlineStr">
        <is>
          <t>경기도 포천시 가산면 시우동6길 16</t>
        </is>
      </c>
      <c r="O729" t="inlineStr">
        <is>
          <t>경기도</t>
        </is>
      </c>
      <c r="P729" t="inlineStr">
        <is>
          <t>포천시</t>
        </is>
      </c>
      <c r="Q729" t="inlineStr">
        <is>
          <t>N</t>
        </is>
      </c>
      <c r="R729" t="n">
        <v>0</v>
      </c>
    </row>
    <row r="730">
      <c r="A730" t="n">
        <v>729</v>
      </c>
      <c r="B730" t="inlineStr">
        <is>
          <t>씨케이(주)</t>
        </is>
      </c>
      <c r="C730" t="inlineStr">
        <is>
          <t>씨케이</t>
        </is>
      </c>
      <c r="D730" t="inlineStr">
        <is>
          <t>의약품</t>
        </is>
      </c>
      <c r="E730" t="inlineStr">
        <is>
          <t>2586</t>
        </is>
      </c>
      <c r="F730" t="inlineStr">
        <is>
          <t>김병철</t>
        </is>
      </c>
      <c r="G730" t="inlineStr">
        <is>
          <t>2006-11-29</t>
        </is>
      </c>
      <c r="H730" t="inlineStr">
        <is>
          <t>20061129</t>
        </is>
      </c>
      <c r="I730" t="inlineStr">
        <is>
          <t>1</t>
        </is>
      </c>
      <c r="J730" t="inlineStr">
        <is>
          <t>시험실, 보관소</t>
        </is>
      </c>
      <c r="K730" t="inlineStr">
        <is>
          <t>043-544-8511</t>
        </is>
      </c>
      <c r="L730" t="inlineStr">
        <is>
          <t>충청북도 보은군 보은읍 매화구인로 331-13</t>
        </is>
      </c>
      <c r="M730" t="inlineStr"/>
      <c r="N730" t="inlineStr">
        <is>
          <t>충청북도 보은군 보은읍 매화구인로 331-13</t>
        </is>
      </c>
      <c r="O730" t="inlineStr">
        <is>
          <t>충청북도</t>
        </is>
      </c>
      <c r="P730" t="inlineStr">
        <is>
          <t>보은군</t>
        </is>
      </c>
      <c r="Q730" t="inlineStr">
        <is>
          <t>Y</t>
        </is>
      </c>
      <c r="R730" t="n">
        <v>38</v>
      </c>
    </row>
    <row r="731">
      <c r="A731" t="n">
        <v>730</v>
      </c>
      <c r="B731" t="inlineStr">
        <is>
          <t>에이치디엑스(주)</t>
        </is>
      </c>
      <c r="C731" t="inlineStr">
        <is>
          <t>에이치디엑스</t>
        </is>
      </c>
      <c r="D731" t="inlineStr">
        <is>
          <t>의약품</t>
        </is>
      </c>
      <c r="E731" t="inlineStr">
        <is>
          <t>2407</t>
        </is>
      </c>
      <c r="F731" t="inlineStr">
        <is>
          <t>이창영</t>
        </is>
      </c>
      <c r="G731" t="inlineStr">
        <is>
          <t>2003-12-11</t>
        </is>
      </c>
      <c r="H731" t="inlineStr">
        <is>
          <t>20031211</t>
        </is>
      </c>
      <c r="I731" t="inlineStr">
        <is>
          <t>5</t>
        </is>
      </c>
      <c r="J731" t="inlineStr">
        <is>
          <t>서울(종로구 대학로)</t>
        </is>
      </c>
      <c r="K731" t="inlineStr"/>
      <c r="L731" t="inlineStr">
        <is>
          <t>서울특별시 종로구 대학로 103</t>
        </is>
      </c>
      <c r="M731" t="inlineStr">
        <is>
          <t>지하2층(연건동, 서울대학교 의과대학 의과학관 싸이클로트론실)</t>
        </is>
      </c>
      <c r="N731" t="inlineStr">
        <is>
          <t>서울특별시 종로구 대학로 103 지하2층(연건동, 서울대학교 의과대학 의과학관 싸이클로트론실)</t>
        </is>
      </c>
      <c r="O731" t="inlineStr">
        <is>
          <t>서울특별시</t>
        </is>
      </c>
      <c r="P731" t="inlineStr">
        <is>
          <t>종로구</t>
        </is>
      </c>
      <c r="Q731" t="inlineStr">
        <is>
          <t>N</t>
        </is>
      </c>
      <c r="R731" t="n">
        <v>0</v>
      </c>
    </row>
    <row r="732">
      <c r="A732" t="n">
        <v>731</v>
      </c>
      <c r="B732" t="inlineStr">
        <is>
          <t>(주)펩트론</t>
        </is>
      </c>
      <c r="C732" t="inlineStr">
        <is>
          <t>펩트론</t>
        </is>
      </c>
      <c r="D732" t="inlineStr">
        <is>
          <t>의약품</t>
        </is>
      </c>
      <c r="E732" t="inlineStr">
        <is>
          <t>6183</t>
        </is>
      </c>
      <c r="F732" t="inlineStr">
        <is>
          <t>최호일</t>
        </is>
      </c>
      <c r="G732" t="inlineStr">
        <is>
          <t>2024-02-08</t>
        </is>
      </c>
      <c r="H732" t="inlineStr">
        <is>
          <t>20240208</t>
        </is>
      </c>
      <c r="I732" t="inlineStr">
        <is>
          <t>1</t>
        </is>
      </c>
      <c r="J732" t="inlineStr">
        <is>
          <t>㈜펩트론 오송바이오파크</t>
        </is>
      </c>
      <c r="K732" t="inlineStr"/>
      <c r="L732" t="inlineStr">
        <is>
          <t>충청북도 청주시 흥덕구 오송읍 의료단지길 135</t>
        </is>
      </c>
      <c r="M732" t="inlineStr"/>
      <c r="N732" t="inlineStr">
        <is>
          <t>충청북도 청주시 흥덕구 오송읍 의료단지길 135</t>
        </is>
      </c>
      <c r="O732" t="inlineStr">
        <is>
          <t>충청북도</t>
        </is>
      </c>
      <c r="P732" t="inlineStr">
        <is>
          <t>청주시</t>
        </is>
      </c>
      <c r="Q732" t="inlineStr">
        <is>
          <t>N</t>
        </is>
      </c>
      <c r="R732" t="n">
        <v>0</v>
      </c>
    </row>
    <row r="733">
      <c r="A733" t="n">
        <v>732</v>
      </c>
      <c r="B733" t="inlineStr">
        <is>
          <t>주식회사 광명당제약</t>
        </is>
      </c>
      <c r="C733" t="inlineStr">
        <is>
          <t>광명당제약</t>
        </is>
      </c>
      <c r="D733" t="inlineStr">
        <is>
          <t>의약품</t>
        </is>
      </c>
      <c r="E733" t="inlineStr">
        <is>
          <t>2301</t>
        </is>
      </c>
      <c r="F733" t="inlineStr">
        <is>
          <t>오승열</t>
        </is>
      </c>
      <c r="G733" t="inlineStr">
        <is>
          <t>2002-05-28</t>
        </is>
      </c>
      <c r="H733" t="inlineStr">
        <is>
          <t>20020528</t>
        </is>
      </c>
      <c r="I733" t="inlineStr">
        <is>
          <t>1</t>
        </is>
      </c>
      <c r="J733" t="inlineStr">
        <is>
          <t>울산남구</t>
        </is>
      </c>
      <c r="K733" t="inlineStr">
        <is>
          <t>052-272-2777</t>
        </is>
      </c>
      <c r="L733" t="inlineStr">
        <is>
          <t>울산광역시 남구 삼산로 109(달동)</t>
        </is>
      </c>
      <c r="M733" t="inlineStr"/>
      <c r="N733" t="inlineStr">
        <is>
          <t>울산광역시 남구 삼산로 109(달동)</t>
        </is>
      </c>
      <c r="O733" t="inlineStr">
        <is>
          <t>울산광역시</t>
        </is>
      </c>
      <c r="P733" t="inlineStr">
        <is>
          <t>남구</t>
        </is>
      </c>
      <c r="Q733" t="inlineStr">
        <is>
          <t>N</t>
        </is>
      </c>
      <c r="R733" t="n">
        <v>0</v>
      </c>
    </row>
    <row r="734">
      <c r="A734" t="n">
        <v>733</v>
      </c>
      <c r="B734" t="inlineStr">
        <is>
          <t>천지허브 주식회사</t>
        </is>
      </c>
      <c r="C734" t="inlineStr">
        <is>
          <t>천지허브</t>
        </is>
      </c>
      <c r="D734" t="inlineStr">
        <is>
          <t>의약품</t>
        </is>
      </c>
      <c r="E734" t="inlineStr">
        <is>
          <t>110</t>
        </is>
      </c>
      <c r="F734" t="inlineStr">
        <is>
          <t>박재성</t>
        </is>
      </c>
      <c r="G734" t="inlineStr">
        <is>
          <t>2022-08-24</t>
        </is>
      </c>
      <c r="H734" t="inlineStr">
        <is>
          <t>20220824</t>
        </is>
      </c>
      <c r="I734" t="inlineStr">
        <is>
          <t>1</t>
        </is>
      </c>
      <c r="J734" t="inlineStr">
        <is>
          <t>제1공장</t>
        </is>
      </c>
      <c r="K734" t="inlineStr">
        <is>
          <t>054-338-5677</t>
        </is>
      </c>
      <c r="L734" t="inlineStr">
        <is>
          <t>경상북도 영천시 매산길 103</t>
        </is>
      </c>
      <c r="M734" t="inlineStr"/>
      <c r="N734" t="inlineStr">
        <is>
          <t>경상북도 영천시 매산길 103</t>
        </is>
      </c>
      <c r="O734" t="inlineStr">
        <is>
          <t>경상북도</t>
        </is>
      </c>
      <c r="P734" t="inlineStr">
        <is>
          <t>영천시</t>
        </is>
      </c>
      <c r="Q734" t="inlineStr">
        <is>
          <t>N</t>
        </is>
      </c>
      <c r="R734" t="n">
        <v>0</v>
      </c>
    </row>
    <row r="735">
      <c r="A735" t="n">
        <v>734</v>
      </c>
      <c r="B735" t="inlineStr">
        <is>
          <t>경동무약</t>
        </is>
      </c>
      <c r="C735" t="inlineStr">
        <is>
          <t>경동무약</t>
        </is>
      </c>
      <c r="D735" t="inlineStr">
        <is>
          <t>의약품</t>
        </is>
      </c>
      <c r="E735" t="inlineStr">
        <is>
          <t>2263</t>
        </is>
      </c>
      <c r="F735" t="inlineStr">
        <is>
          <t>박세준</t>
        </is>
      </c>
      <c r="G735" t="inlineStr">
        <is>
          <t>2002-01-23</t>
        </is>
      </c>
      <c r="H735" t="inlineStr">
        <is>
          <t>20020123</t>
        </is>
      </c>
      <c r="I735" t="inlineStr">
        <is>
          <t>1</t>
        </is>
      </c>
      <c r="J735" t="inlineStr">
        <is>
          <t>서울</t>
        </is>
      </c>
      <c r="K735" t="inlineStr">
        <is>
          <t>02-968-2602</t>
        </is>
      </c>
      <c r="L735" t="inlineStr">
        <is>
          <t>서울특별시 동대문구 약령중앙로 57</t>
        </is>
      </c>
      <c r="M735" t="inlineStr">
        <is>
          <t>(보관소) 서울특별시 동대문구 약령서길 118-14</t>
        </is>
      </c>
      <c r="N735" t="inlineStr">
        <is>
          <t>서울특별시 동대문구 약령중앙로 57 (보관소) 서울특별시 동대문구 약령서길 118-14</t>
        </is>
      </c>
      <c r="O735" t="inlineStr">
        <is>
          <t>서울특별시</t>
        </is>
      </c>
      <c r="P735" t="inlineStr">
        <is>
          <t>동대문구</t>
        </is>
      </c>
      <c r="Q735" t="inlineStr">
        <is>
          <t>N</t>
        </is>
      </c>
      <c r="R735" t="n">
        <v>0</v>
      </c>
    </row>
    <row r="736">
      <c r="A736" t="n">
        <v>735</v>
      </c>
      <c r="B736" t="inlineStr">
        <is>
          <t>(주)자은생약</t>
        </is>
      </c>
      <c r="C736" t="inlineStr">
        <is>
          <t>자은생약</t>
        </is>
      </c>
      <c r="D736" t="inlineStr">
        <is>
          <t>의약품</t>
        </is>
      </c>
      <c r="E736" t="inlineStr">
        <is>
          <t>246</t>
        </is>
      </c>
      <c r="F736" t="inlineStr">
        <is>
          <t>이정혜</t>
        </is>
      </c>
      <c r="G736" t="inlineStr">
        <is>
          <t>2007-09-07</t>
        </is>
      </c>
      <c r="H736" t="inlineStr">
        <is>
          <t>20070907</t>
        </is>
      </c>
      <c r="I736" t="inlineStr">
        <is>
          <t>1</t>
        </is>
      </c>
      <c r="J736" t="inlineStr">
        <is>
          <t>(주)자은생약</t>
        </is>
      </c>
      <c r="K736" t="inlineStr">
        <is>
          <t>(02)965-1475</t>
        </is>
      </c>
      <c r="L736" t="inlineStr">
        <is>
          <t>경기도 양주시 광적면 삼일로185번길 109-10</t>
        </is>
      </c>
      <c r="M736" t="inlineStr">
        <is>
          <t>A동</t>
        </is>
      </c>
      <c r="N736" t="inlineStr">
        <is>
          <t>경기도 양주시 광적면 삼일로185번길 109-10 A동</t>
        </is>
      </c>
      <c r="O736" t="inlineStr">
        <is>
          <t>경기도</t>
        </is>
      </c>
      <c r="P736" t="inlineStr">
        <is>
          <t>양주시</t>
        </is>
      </c>
      <c r="Q736" t="inlineStr">
        <is>
          <t>N</t>
        </is>
      </c>
      <c r="R736" t="n">
        <v>0</v>
      </c>
    </row>
    <row r="737">
      <c r="A737" t="n">
        <v>736</v>
      </c>
      <c r="B737" t="inlineStr">
        <is>
          <t>경성제약주식회사</t>
        </is>
      </c>
      <c r="C737" t="inlineStr">
        <is>
          <t>경성제약</t>
        </is>
      </c>
      <c r="D737" t="inlineStr">
        <is>
          <t>의약품</t>
        </is>
      </c>
      <c r="E737" t="inlineStr">
        <is>
          <t>393</t>
        </is>
      </c>
      <c r="F737" t="inlineStr">
        <is>
          <t>배영호</t>
        </is>
      </c>
      <c r="G737" t="inlineStr">
        <is>
          <t>2021-06-07</t>
        </is>
      </c>
      <c r="H737" t="inlineStr">
        <is>
          <t>20210607</t>
        </is>
      </c>
      <c r="I737" t="inlineStr">
        <is>
          <t>1</t>
        </is>
      </c>
      <c r="J737" t="inlineStr">
        <is>
          <t>경성제약주식회사</t>
        </is>
      </c>
      <c r="K737" t="inlineStr">
        <is>
          <t>0315281511</t>
        </is>
      </c>
      <c r="L737" t="inlineStr">
        <is>
          <t>경기도 남양주시 진건읍 독정로성지2길 100</t>
        </is>
      </c>
      <c r="M737" t="inlineStr">
        <is>
          <t>제3동 2층</t>
        </is>
      </c>
      <c r="N737" t="inlineStr">
        <is>
          <t>경기도 남양주시 진건읍 독정로성지2길 100 제3동 2층</t>
        </is>
      </c>
      <c r="O737" t="inlineStr">
        <is>
          <t>경기도</t>
        </is>
      </c>
      <c r="P737" t="inlineStr">
        <is>
          <t>남양주시</t>
        </is>
      </c>
      <c r="Q737" t="inlineStr">
        <is>
          <t>N</t>
        </is>
      </c>
      <c r="R737" t="n">
        <v>0</v>
      </c>
    </row>
    <row r="738">
      <c r="A738" t="n">
        <v>737</v>
      </c>
      <c r="B738" t="inlineStr">
        <is>
          <t>성원애드콕제약(주)</t>
        </is>
      </c>
      <c r="C738" t="inlineStr">
        <is>
          <t>성원애드콕제약</t>
        </is>
      </c>
      <c r="D738" t="inlineStr">
        <is>
          <t>의약품</t>
        </is>
      </c>
      <c r="E738" t="inlineStr">
        <is>
          <t>2283</t>
        </is>
      </c>
      <c r="F738" t="inlineStr">
        <is>
          <t>박형미</t>
        </is>
      </c>
      <c r="G738" t="inlineStr">
        <is>
          <t>2002-04-03</t>
        </is>
      </c>
      <c r="H738" t="inlineStr">
        <is>
          <t>20020403</t>
        </is>
      </c>
      <c r="I738" t="inlineStr">
        <is>
          <t>2</t>
        </is>
      </c>
      <c r="J738" t="inlineStr">
        <is>
          <t>공장</t>
        </is>
      </c>
      <c r="K738" t="inlineStr">
        <is>
          <t>031-982-2982</t>
        </is>
      </c>
      <c r="L738" t="inlineStr">
        <is>
          <t>경기도 김포시 양촌읍 김포대로1644번길 54</t>
        </is>
      </c>
      <c r="M738" t="inlineStr"/>
      <c r="N738" t="inlineStr">
        <is>
          <t>경기도 김포시 양촌읍 김포대로1644번길 54</t>
        </is>
      </c>
      <c r="O738" t="inlineStr">
        <is>
          <t>경기도</t>
        </is>
      </c>
      <c r="P738" t="inlineStr">
        <is>
          <t>김포시</t>
        </is>
      </c>
      <c r="Q738" t="inlineStr">
        <is>
          <t>N</t>
        </is>
      </c>
      <c r="R738" t="n">
        <v>0</v>
      </c>
    </row>
    <row r="739">
      <c r="A739" t="n">
        <v>738</v>
      </c>
      <c r="B739" t="inlineStr">
        <is>
          <t>(주)아이월드제약</t>
        </is>
      </c>
      <c r="C739" t="inlineStr">
        <is>
          <t>아이월드제약</t>
        </is>
      </c>
      <c r="D739" t="inlineStr">
        <is>
          <t>의약품</t>
        </is>
      </c>
      <c r="E739" t="inlineStr">
        <is>
          <t>2599</t>
        </is>
      </c>
      <c r="F739" t="inlineStr">
        <is>
          <t>전광석</t>
        </is>
      </c>
      <c r="G739" t="inlineStr">
        <is>
          <t>2007-01-26</t>
        </is>
      </c>
      <c r="H739" t="inlineStr">
        <is>
          <t>20070126</t>
        </is>
      </c>
      <c r="I739" t="inlineStr">
        <is>
          <t>1</t>
        </is>
      </c>
      <c r="J739" t="inlineStr">
        <is>
          <t>(주)아이월드제약</t>
        </is>
      </c>
      <c r="K739" t="inlineStr">
        <is>
          <t>(032)815-2751</t>
        </is>
      </c>
      <c r="L739" t="inlineStr">
        <is>
          <t>인천광역시 남동구 함박뫼로 316</t>
        </is>
      </c>
      <c r="M739" t="inlineStr">
        <is>
          <t>17B-2L</t>
        </is>
      </c>
      <c r="N739" t="inlineStr">
        <is>
          <t>인천광역시 남동구 함박뫼로 316 17B-2L</t>
        </is>
      </c>
      <c r="O739" t="inlineStr">
        <is>
          <t>인천광역시</t>
        </is>
      </c>
      <c r="P739" t="inlineStr">
        <is>
          <t>남동구</t>
        </is>
      </c>
      <c r="Q739" t="inlineStr">
        <is>
          <t>N</t>
        </is>
      </c>
      <c r="R739" t="n">
        <v>0</v>
      </c>
    </row>
    <row r="740">
      <c r="A740" t="n">
        <v>739</v>
      </c>
      <c r="B740" t="inlineStr">
        <is>
          <t>동물세포실증지원센터</t>
        </is>
      </c>
      <c r="C740" t="inlineStr">
        <is>
          <t>동물세포실증지원센터</t>
        </is>
      </c>
      <c r="D740" t="inlineStr">
        <is>
          <t>의약품</t>
        </is>
      </c>
      <c r="E740" t="inlineStr">
        <is>
          <t>105</t>
        </is>
      </c>
      <c r="F740" t="inlineStr">
        <is>
          <t>이홍균</t>
        </is>
      </c>
      <c r="G740" t="inlineStr">
        <is>
          <t>2020-11-19</t>
        </is>
      </c>
      <c r="H740" t="inlineStr">
        <is>
          <t>20201119</t>
        </is>
      </c>
      <c r="I740" t="inlineStr">
        <is>
          <t>1</t>
        </is>
      </c>
      <c r="J740" t="inlineStr">
        <is>
          <t>제1공장</t>
        </is>
      </c>
      <c r="K740" t="inlineStr">
        <is>
          <t>054-842-6400</t>
        </is>
      </c>
      <c r="L740" t="inlineStr">
        <is>
          <t>경상북도 안동시 풍산읍 산업단지1길 48-27</t>
        </is>
      </c>
      <c r="M740" t="inlineStr"/>
      <c r="N740" t="inlineStr">
        <is>
          <t>경상북도 안동시 풍산읍 산업단지1길 48-27</t>
        </is>
      </c>
      <c r="O740" t="inlineStr">
        <is>
          <t>경상북도</t>
        </is>
      </c>
      <c r="P740" t="inlineStr">
        <is>
          <t>안동시</t>
        </is>
      </c>
      <c r="Q740" t="inlineStr">
        <is>
          <t>N</t>
        </is>
      </c>
      <c r="R740" t="n">
        <v>0</v>
      </c>
    </row>
    <row r="741">
      <c r="A741" t="n">
        <v>740</v>
      </c>
      <c r="B741" t="inlineStr">
        <is>
          <t>씨케이(주)</t>
        </is>
      </c>
      <c r="C741" t="inlineStr">
        <is>
          <t>씨케이</t>
        </is>
      </c>
      <c r="D741" t="inlineStr">
        <is>
          <t>의약품</t>
        </is>
      </c>
      <c r="E741" t="inlineStr">
        <is>
          <t>2586</t>
        </is>
      </c>
      <c r="F741" t="inlineStr">
        <is>
          <t>김병철</t>
        </is>
      </c>
      <c r="G741" t="inlineStr">
        <is>
          <t>2006-11-29</t>
        </is>
      </c>
      <c r="H741" t="inlineStr">
        <is>
          <t>20061129</t>
        </is>
      </c>
      <c r="I741" t="inlineStr">
        <is>
          <t>2</t>
        </is>
      </c>
      <c r="J741" t="inlineStr">
        <is>
          <t>2공장</t>
        </is>
      </c>
      <c r="K741" t="inlineStr">
        <is>
          <t>043-544-8511</t>
        </is>
      </c>
      <c r="L741" t="inlineStr">
        <is>
          <t>충청북도 보은군 보은읍 매화구인로 331-10</t>
        </is>
      </c>
      <c r="M741" t="inlineStr"/>
      <c r="N741" t="inlineStr">
        <is>
          <t>충청북도 보은군 보은읍 매화구인로 331-10</t>
        </is>
      </c>
      <c r="O741" t="inlineStr">
        <is>
          <t>충청북도</t>
        </is>
      </c>
      <c r="P741" t="inlineStr">
        <is>
          <t>보은군</t>
        </is>
      </c>
      <c r="Q741" t="inlineStr">
        <is>
          <t>Y</t>
        </is>
      </c>
      <c r="R741" t="n">
        <v>32</v>
      </c>
    </row>
    <row r="742">
      <c r="A742" t="n">
        <v>741</v>
      </c>
      <c r="B742" t="inlineStr">
        <is>
          <t>녹원제약(주)</t>
        </is>
      </c>
      <c r="C742" t="inlineStr">
        <is>
          <t>녹원제약</t>
        </is>
      </c>
      <c r="D742" t="inlineStr">
        <is>
          <t>의약품</t>
        </is>
      </c>
      <c r="E742" t="inlineStr">
        <is>
          <t>2557</t>
        </is>
      </c>
      <c r="F742" t="inlineStr">
        <is>
          <t>송종의</t>
        </is>
      </c>
      <c r="G742" t="inlineStr">
        <is>
          <t>2006-04-12</t>
        </is>
      </c>
      <c r="H742" t="inlineStr">
        <is>
          <t>20060412</t>
        </is>
      </c>
      <c r="I742" t="inlineStr">
        <is>
          <t>1</t>
        </is>
      </c>
      <c r="J742" t="inlineStr">
        <is>
          <t>공장</t>
        </is>
      </c>
      <c r="K742" t="inlineStr">
        <is>
          <t>031-534-1123</t>
        </is>
      </c>
      <c r="L742" t="inlineStr">
        <is>
          <t>경기도 포천시 소흘읍 무림길 91-17</t>
        </is>
      </c>
      <c r="M742" t="inlineStr"/>
      <c r="N742" t="inlineStr">
        <is>
          <t>경기도 포천시 소흘읍 무림길 91-17</t>
        </is>
      </c>
      <c r="O742" t="inlineStr">
        <is>
          <t>경기도</t>
        </is>
      </c>
      <c r="P742" t="inlineStr">
        <is>
          <t>포천시</t>
        </is>
      </c>
      <c r="Q742" t="inlineStr">
        <is>
          <t>N</t>
        </is>
      </c>
      <c r="R742" t="n">
        <v>0</v>
      </c>
    </row>
    <row r="743">
      <c r="A743" t="n">
        <v>742</v>
      </c>
      <c r="B743" t="inlineStr">
        <is>
          <t>대한적십자사제주도특별자치도혈액원</t>
        </is>
      </c>
      <c r="C743" t="inlineStr">
        <is>
          <t>대한적십자사제주도특별자치도혈액원</t>
        </is>
      </c>
      <c r="D743" t="inlineStr">
        <is>
          <t>의약품</t>
        </is>
      </c>
      <c r="E743" t="inlineStr">
        <is>
          <t>2541</t>
        </is>
      </c>
      <c r="F743" t="inlineStr">
        <is>
          <t>김선희</t>
        </is>
      </c>
      <c r="G743" t="inlineStr">
        <is>
          <t>2006-01-27</t>
        </is>
      </c>
      <c r="H743" t="inlineStr">
        <is>
          <t>20060127</t>
        </is>
      </c>
      <c r="I743" t="inlineStr">
        <is>
          <t>1</t>
        </is>
      </c>
      <c r="J743" t="inlineStr">
        <is>
          <t>대한적십자사 제주특별자치도혈액원</t>
        </is>
      </c>
      <c r="K743" t="inlineStr">
        <is>
          <t>064-758-3504</t>
        </is>
      </c>
      <c r="L743" t="inlineStr">
        <is>
          <t>제주특별자치도 제주시 오남로 45</t>
        </is>
      </c>
      <c r="M743" t="inlineStr"/>
      <c r="N743" t="inlineStr">
        <is>
          <t>제주특별자치도 제주시 오남로 45</t>
        </is>
      </c>
      <c r="O743" t="inlineStr">
        <is>
          <t>제주특별자치도</t>
        </is>
      </c>
      <c r="P743" t="inlineStr">
        <is>
          <t>제주시</t>
        </is>
      </c>
      <c r="Q743" t="inlineStr">
        <is>
          <t>N</t>
        </is>
      </c>
      <c r="R743" t="n">
        <v>0</v>
      </c>
    </row>
    <row r="744">
      <c r="A744" t="n">
        <v>743</v>
      </c>
      <c r="B744" t="inlineStr">
        <is>
          <t>(주)녹십자웰빙</t>
        </is>
      </c>
      <c r="C744" t="inlineStr">
        <is>
          <t>녹십자웰빙</t>
        </is>
      </c>
      <c r="D744" t="inlineStr">
        <is>
          <t>의약품</t>
        </is>
      </c>
      <c r="E744" t="inlineStr">
        <is>
          <t>2451</t>
        </is>
      </c>
      <c r="F744" t="inlineStr">
        <is>
          <t>김상현</t>
        </is>
      </c>
      <c r="G744" t="inlineStr">
        <is>
          <t>2004-11-16</t>
        </is>
      </c>
      <c r="H744" t="inlineStr">
        <is>
          <t>20041116</t>
        </is>
      </c>
      <c r="I744" t="inlineStr">
        <is>
          <t>1</t>
        </is>
      </c>
      <c r="J744" t="inlineStr">
        <is>
          <t>제1공장 충북공장</t>
        </is>
      </c>
      <c r="K744" t="inlineStr">
        <is>
          <t>031-260-9561</t>
        </is>
      </c>
      <c r="L744" t="inlineStr">
        <is>
          <t>충청북도 음성군 금왕읍 무극로65번길 26</t>
        </is>
      </c>
      <c r="M744" t="inlineStr"/>
      <c r="N744" t="inlineStr">
        <is>
          <t>충청북도 음성군 금왕읍 무극로65번길 26</t>
        </is>
      </c>
      <c r="O744" t="inlineStr">
        <is>
          <t>충청북도</t>
        </is>
      </c>
      <c r="P744" t="inlineStr">
        <is>
          <t>음성군</t>
        </is>
      </c>
      <c r="Q744" t="inlineStr">
        <is>
          <t>N</t>
        </is>
      </c>
      <c r="R744" t="n">
        <v>0</v>
      </c>
    </row>
    <row r="745">
      <c r="A745" t="n">
        <v>744</v>
      </c>
      <c r="B745" t="inlineStr">
        <is>
          <t>씨제이제일제당(주)</t>
        </is>
      </c>
      <c r="C745" t="inlineStr">
        <is>
          <t>씨제이제일제당</t>
        </is>
      </c>
      <c r="D745" t="inlineStr">
        <is>
          <t>의약품</t>
        </is>
      </c>
      <c r="E745" t="inlineStr">
        <is>
          <t>348</t>
        </is>
      </c>
      <c r="F745" t="inlineStr">
        <is>
          <t>윤석환</t>
        </is>
      </c>
      <c r="G745" t="inlineStr">
        <is>
          <t>2014-06-26</t>
        </is>
      </c>
      <c r="H745" t="inlineStr">
        <is>
          <t>20140626</t>
        </is>
      </c>
      <c r="I745" t="inlineStr">
        <is>
          <t>2</t>
        </is>
      </c>
      <c r="J745" t="inlineStr">
        <is>
          <t>실험실</t>
        </is>
      </c>
      <c r="K745" t="inlineStr">
        <is>
          <t>(032)890-9372</t>
        </is>
      </c>
      <c r="L745" t="inlineStr">
        <is>
          <t>서울특별시 구로구 경인로 518</t>
        </is>
      </c>
      <c r="M745" t="inlineStr">
        <is>
          <t>2층 (실험실)</t>
        </is>
      </c>
      <c r="N745" t="inlineStr">
        <is>
          <t>서울특별시 구로구 경인로 518 2층 (실험실)</t>
        </is>
      </c>
      <c r="O745" t="inlineStr">
        <is>
          <t>서울특별시</t>
        </is>
      </c>
      <c r="P745" t="inlineStr">
        <is>
          <t>구로구</t>
        </is>
      </c>
      <c r="Q745" t="inlineStr">
        <is>
          <t>N</t>
        </is>
      </c>
      <c r="R745" t="n">
        <v>0</v>
      </c>
    </row>
    <row r="746">
      <c r="A746" t="n">
        <v>745</v>
      </c>
      <c r="B746" t="inlineStr">
        <is>
          <t>대한적십자사서울남부혈액원</t>
        </is>
      </c>
      <c r="C746" t="inlineStr">
        <is>
          <t>대한적십자사서울남부혈액원</t>
        </is>
      </c>
      <c r="D746" t="inlineStr">
        <is>
          <t>의약품</t>
        </is>
      </c>
      <c r="E746" t="inlineStr">
        <is>
          <t>2543</t>
        </is>
      </c>
      <c r="F746" t="inlineStr">
        <is>
          <t>권영일</t>
        </is>
      </c>
      <c r="G746" t="inlineStr">
        <is>
          <t>2006-01-27</t>
        </is>
      </c>
      <c r="H746" t="inlineStr">
        <is>
          <t>20060127</t>
        </is>
      </c>
      <c r="I746" t="inlineStr">
        <is>
          <t>1</t>
        </is>
      </c>
      <c r="J746" t="inlineStr">
        <is>
          <t>대한적십자사남부혈액원</t>
        </is>
      </c>
      <c r="K746" t="inlineStr">
        <is>
          <t>570-0653</t>
        </is>
      </c>
      <c r="L746" t="inlineStr">
        <is>
          <t>서울특별시 강남구 개포로31길 48</t>
        </is>
      </c>
      <c r="M746" t="inlineStr"/>
      <c r="N746" t="inlineStr">
        <is>
          <t>서울특별시 강남구 개포로31길 48</t>
        </is>
      </c>
      <c r="O746" t="inlineStr">
        <is>
          <t>서울특별시</t>
        </is>
      </c>
      <c r="P746" t="inlineStr">
        <is>
          <t>강남구</t>
        </is>
      </c>
      <c r="Q746" t="inlineStr">
        <is>
          <t>N</t>
        </is>
      </c>
      <c r="R746" t="n">
        <v>0</v>
      </c>
    </row>
    <row r="747">
      <c r="A747" t="n">
        <v>746</v>
      </c>
      <c r="B747" t="inlineStr">
        <is>
          <t>(주)녹십자엠에스</t>
        </is>
      </c>
      <c r="C747" t="inlineStr">
        <is>
          <t>녹십자엠에스</t>
        </is>
      </c>
      <c r="D747" t="inlineStr">
        <is>
          <t>의약품</t>
        </is>
      </c>
      <c r="E747" t="inlineStr">
        <is>
          <t>2453</t>
        </is>
      </c>
      <c r="F747" t="inlineStr">
        <is>
          <t>김연근</t>
        </is>
      </c>
      <c r="G747" t="inlineStr">
        <is>
          <t>2004-11-18</t>
        </is>
      </c>
      <c r="H747" t="inlineStr">
        <is>
          <t>20041118</t>
        </is>
      </c>
      <c r="I747" t="inlineStr">
        <is>
          <t>2</t>
        </is>
      </c>
      <c r="J747" t="inlineStr">
        <is>
          <t>음성(2동1층)</t>
        </is>
      </c>
      <c r="K747" t="inlineStr">
        <is>
          <t>031-260-9236</t>
        </is>
      </c>
      <c r="L747" t="inlineStr">
        <is>
          <t>충청북도 음성군 금왕읍 무극로65번길 26</t>
        </is>
      </c>
      <c r="M747" t="inlineStr">
        <is>
          <t>2동1층일부(주사제제조에 한함)</t>
        </is>
      </c>
      <c r="N747" t="inlineStr">
        <is>
          <t>충청북도 음성군 금왕읍 무극로65번길 26 2동1층일부(주사제제조에 한함)</t>
        </is>
      </c>
      <c r="O747" t="inlineStr">
        <is>
          <t>충청북도</t>
        </is>
      </c>
      <c r="P747" t="inlineStr">
        <is>
          <t>음성군</t>
        </is>
      </c>
      <c r="Q747" t="inlineStr">
        <is>
          <t>N</t>
        </is>
      </c>
      <c r="R747" t="n">
        <v>0</v>
      </c>
    </row>
    <row r="748">
      <c r="A748" t="n">
        <v>747</v>
      </c>
      <c r="B748" t="inlineStr">
        <is>
          <t>엠에프씨주식회사</t>
        </is>
      </c>
      <c r="C748" t="inlineStr">
        <is>
          <t>엠에프씨</t>
        </is>
      </c>
      <c r="D748" t="inlineStr">
        <is>
          <t>의약품</t>
        </is>
      </c>
      <c r="E748" t="inlineStr">
        <is>
          <t>346</t>
        </is>
      </c>
      <c r="F748" t="inlineStr">
        <is>
          <t>황성관</t>
        </is>
      </c>
      <c r="G748" t="inlineStr">
        <is>
          <t>2013-07-25</t>
        </is>
      </c>
      <c r="H748" t="inlineStr">
        <is>
          <t>20130725</t>
        </is>
      </c>
      <c r="I748" t="inlineStr">
        <is>
          <t>2</t>
        </is>
      </c>
      <c r="J748" t="inlineStr">
        <is>
          <t>화성공장</t>
        </is>
      </c>
      <c r="K748" t="inlineStr"/>
      <c r="L748" t="inlineStr">
        <is>
          <t>경기도 화성시 만세구 마도면 청원산단7길 35</t>
        </is>
      </c>
      <c r="M748" t="inlineStr"/>
      <c r="N748" t="inlineStr">
        <is>
          <t>경기도 화성시 만세구 마도면 청원산단7길 35</t>
        </is>
      </c>
      <c r="O748" t="inlineStr">
        <is>
          <t>경기도</t>
        </is>
      </c>
      <c r="P748" t="inlineStr">
        <is>
          <t>화성시</t>
        </is>
      </c>
      <c r="Q748" t="inlineStr">
        <is>
          <t>N</t>
        </is>
      </c>
      <c r="R748" t="n">
        <v>0</v>
      </c>
    </row>
    <row r="749">
      <c r="A749" t="n">
        <v>748</v>
      </c>
      <c r="B749" t="inlineStr">
        <is>
          <t>(주)한국팜비오</t>
        </is>
      </c>
      <c r="C749" t="inlineStr">
        <is>
          <t>한국팜비오</t>
        </is>
      </c>
      <c r="D749" t="inlineStr">
        <is>
          <t>의약품</t>
        </is>
      </c>
      <c r="E749" t="inlineStr">
        <is>
          <t>2504</t>
        </is>
      </c>
      <c r="F749" t="inlineStr">
        <is>
          <t>남봉길</t>
        </is>
      </c>
      <c r="G749" t="inlineStr">
        <is>
          <t>2005-09-21</t>
        </is>
      </c>
      <c r="H749" t="inlineStr">
        <is>
          <t>20050921</t>
        </is>
      </c>
      <c r="I749" t="inlineStr">
        <is>
          <t>2</t>
        </is>
      </c>
      <c r="J749" t="inlineStr">
        <is>
          <t>제2공장</t>
        </is>
      </c>
      <c r="K749" t="inlineStr">
        <is>
          <t>02-587-2551</t>
        </is>
      </c>
      <c r="L749" t="inlineStr">
        <is>
          <t>충청북도 충주시 대소원면 첨단산업9로 36</t>
        </is>
      </c>
      <c r="M749" t="inlineStr"/>
      <c r="N749" t="inlineStr">
        <is>
          <t>충청북도 충주시 대소원면 첨단산업9로 36</t>
        </is>
      </c>
      <c r="O749" t="inlineStr">
        <is>
          <t>충청북도</t>
        </is>
      </c>
      <c r="P749" t="inlineStr">
        <is>
          <t>충주시</t>
        </is>
      </c>
      <c r="Q749" t="inlineStr">
        <is>
          <t>N</t>
        </is>
      </c>
      <c r="R749" t="n">
        <v>0</v>
      </c>
    </row>
    <row r="750">
      <c r="A750" t="n">
        <v>749</v>
      </c>
      <c r="B750" t="inlineStr">
        <is>
          <t>정원제약</t>
        </is>
      </c>
      <c r="C750" t="inlineStr">
        <is>
          <t>정원제약</t>
        </is>
      </c>
      <c r="D750" t="inlineStr">
        <is>
          <t>의약품</t>
        </is>
      </c>
      <c r="E750" t="inlineStr">
        <is>
          <t>389</t>
        </is>
      </c>
      <c r="F750" t="inlineStr">
        <is>
          <t>김용희</t>
        </is>
      </c>
      <c r="G750" t="inlineStr">
        <is>
          <t>2020-12-21</t>
        </is>
      </c>
      <c r="H750" t="inlineStr">
        <is>
          <t>20201221</t>
        </is>
      </c>
      <c r="I750" t="inlineStr">
        <is>
          <t>1</t>
        </is>
      </c>
      <c r="J750" t="inlineStr">
        <is>
          <t>제1공장</t>
        </is>
      </c>
      <c r="K750" t="inlineStr">
        <is>
          <t>02-960-3293</t>
        </is>
      </c>
      <c r="L750" t="inlineStr">
        <is>
          <t>경기도 군포시 고산로118번길 7</t>
        </is>
      </c>
      <c r="M750" t="inlineStr">
        <is>
          <t>3층</t>
        </is>
      </c>
      <c r="N750" t="inlineStr">
        <is>
          <t>경기도 군포시 고산로118번길 7 3층</t>
        </is>
      </c>
      <c r="O750" t="inlineStr">
        <is>
          <t>경기도</t>
        </is>
      </c>
      <c r="P750" t="inlineStr">
        <is>
          <t>군포시</t>
        </is>
      </c>
      <c r="Q750" t="inlineStr">
        <is>
          <t>N</t>
        </is>
      </c>
      <c r="R750" t="n">
        <v>0</v>
      </c>
    </row>
    <row r="751">
      <c r="A751" t="n">
        <v>750</v>
      </c>
      <c r="B751" t="inlineStr">
        <is>
          <t>(주)듀켐바이오</t>
        </is>
      </c>
      <c r="C751" t="inlineStr">
        <is>
          <t>듀켐바이오</t>
        </is>
      </c>
      <c r="D751" t="inlineStr">
        <is>
          <t>의약품</t>
        </is>
      </c>
      <c r="E751" t="inlineStr">
        <is>
          <t>2437</t>
        </is>
      </c>
      <c r="F751" t="inlineStr">
        <is>
          <t>김상우</t>
        </is>
      </c>
      <c r="G751" t="inlineStr">
        <is>
          <t>2004-07-22</t>
        </is>
      </c>
      <c r="H751" t="inlineStr">
        <is>
          <t>20040722</t>
        </is>
      </c>
      <c r="I751" t="inlineStr">
        <is>
          <t>7</t>
        </is>
      </c>
      <c r="J751" t="inlineStr">
        <is>
          <t>7공장(대구)</t>
        </is>
      </c>
      <c r="K751" t="inlineStr"/>
      <c r="L751" t="inlineStr">
        <is>
          <t>대구광역시 남구 현충로 170</t>
        </is>
      </c>
      <c r="M751" t="inlineStr"/>
      <c r="N751" t="inlineStr">
        <is>
          <t>대구광역시 남구 현충로 170</t>
        </is>
      </c>
      <c r="O751" t="inlineStr">
        <is>
          <t>대구광역시</t>
        </is>
      </c>
      <c r="P751" t="inlineStr">
        <is>
          <t>남구</t>
        </is>
      </c>
      <c r="Q751" t="inlineStr">
        <is>
          <t>N</t>
        </is>
      </c>
      <c r="R751" t="n">
        <v>0</v>
      </c>
    </row>
    <row r="752">
      <c r="A752" t="n">
        <v>751</v>
      </c>
      <c r="B752" t="inlineStr">
        <is>
          <t>에이치케이이노엔(주)</t>
        </is>
      </c>
      <c r="C752" t="inlineStr">
        <is>
          <t>에이치케이이노엔</t>
        </is>
      </c>
      <c r="D752" t="inlineStr">
        <is>
          <t>의약품</t>
        </is>
      </c>
      <c r="E752" t="inlineStr">
        <is>
          <t>1452</t>
        </is>
      </c>
      <c r="F752" t="inlineStr">
        <is>
          <t>곽달원</t>
        </is>
      </c>
      <c r="G752" t="inlineStr">
        <is>
          <t>1964-12-07</t>
        </is>
      </c>
      <c r="H752" t="inlineStr">
        <is>
          <t>19641207</t>
        </is>
      </c>
      <c r="I752" t="inlineStr">
        <is>
          <t>6</t>
        </is>
      </c>
      <c r="J752" t="inlineStr">
        <is>
          <t>옥산</t>
        </is>
      </c>
      <c r="K752" t="inlineStr"/>
      <c r="L752" t="inlineStr">
        <is>
          <t>충청북도 청주시 흥덕구 옥산면 오송가락로 729</t>
        </is>
      </c>
      <c r="M752" t="inlineStr"/>
      <c r="N752" t="inlineStr">
        <is>
          <t>충청북도 청주시 흥덕구 옥산면 오송가락로 729</t>
        </is>
      </c>
      <c r="O752" t="inlineStr">
        <is>
          <t>충청북도</t>
        </is>
      </c>
      <c r="P752" t="inlineStr">
        <is>
          <t>청주시</t>
        </is>
      </c>
      <c r="Q752" t="inlineStr">
        <is>
          <t>N</t>
        </is>
      </c>
      <c r="R752" t="n">
        <v>0</v>
      </c>
    </row>
    <row r="753">
      <c r="A753" t="n">
        <v>752</v>
      </c>
      <c r="B753" t="inlineStr">
        <is>
          <t>메딕스제약(주)</t>
        </is>
      </c>
      <c r="C753" t="inlineStr">
        <is>
          <t>메딕스제약</t>
        </is>
      </c>
      <c r="D753" t="inlineStr">
        <is>
          <t>의약품</t>
        </is>
      </c>
      <c r="E753" t="inlineStr">
        <is>
          <t>6144</t>
        </is>
      </c>
      <c r="F753" t="inlineStr">
        <is>
          <t>변광민</t>
        </is>
      </c>
      <c r="G753" t="inlineStr">
        <is>
          <t>2013-01-03</t>
        </is>
      </c>
      <c r="H753" t="inlineStr">
        <is>
          <t>20130103</t>
        </is>
      </c>
      <c r="I753" t="inlineStr">
        <is>
          <t>2</t>
        </is>
      </c>
      <c r="J753" t="inlineStr">
        <is>
          <t>제 2공장</t>
        </is>
      </c>
      <c r="K753" t="inlineStr"/>
      <c r="L753" t="inlineStr">
        <is>
          <t>전북특별자치도 완주군 봉동읍 완주산단6로 170</t>
        </is>
      </c>
      <c r="M753" t="inlineStr"/>
      <c r="N753" t="inlineStr">
        <is>
          <t>전북특별자치도 완주군 봉동읍 완주산단6로 170</t>
        </is>
      </c>
      <c r="O753" t="inlineStr">
        <is>
          <t>전북특별자치도</t>
        </is>
      </c>
      <c r="P753" t="inlineStr">
        <is>
          <t>완주군</t>
        </is>
      </c>
      <c r="Q753" t="inlineStr">
        <is>
          <t>N</t>
        </is>
      </c>
      <c r="R753" t="n">
        <v>0</v>
      </c>
    </row>
    <row r="754">
      <c r="A754" t="n">
        <v>753</v>
      </c>
      <c r="B754" t="inlineStr">
        <is>
          <t>(주)천일가스</t>
        </is>
      </c>
      <c r="C754" t="inlineStr">
        <is>
          <t>천일가스</t>
        </is>
      </c>
      <c r="D754" t="inlineStr">
        <is>
          <t>의약품</t>
        </is>
      </c>
      <c r="E754" t="inlineStr">
        <is>
          <t>100</t>
        </is>
      </c>
      <c r="F754" t="inlineStr">
        <is>
          <t>이석철</t>
        </is>
      </c>
      <c r="G754" t="inlineStr">
        <is>
          <t>2019-07-02</t>
        </is>
      </c>
      <c r="H754" t="inlineStr">
        <is>
          <t>20190702</t>
        </is>
      </c>
      <c r="I754" t="inlineStr">
        <is>
          <t>1</t>
        </is>
      </c>
      <c r="J754" t="inlineStr">
        <is>
          <t>(주)천일가스</t>
        </is>
      </c>
      <c r="K754" t="inlineStr">
        <is>
          <t>054-277-1001</t>
        </is>
      </c>
      <c r="L754" t="inlineStr">
        <is>
          <t>경상북도 포항시 남구 호동로 33</t>
        </is>
      </c>
      <c r="M754" t="inlineStr"/>
      <c r="N754" t="inlineStr">
        <is>
          <t>경상북도 포항시 남구 호동로 33</t>
        </is>
      </c>
      <c r="O754" t="inlineStr">
        <is>
          <t>경상북도</t>
        </is>
      </c>
      <c r="P754" t="inlineStr">
        <is>
          <t>포항시</t>
        </is>
      </c>
      <c r="Q754" t="inlineStr">
        <is>
          <t>N</t>
        </is>
      </c>
      <c r="R754" t="n">
        <v>0</v>
      </c>
    </row>
    <row r="755">
      <c r="A755" t="n">
        <v>754</v>
      </c>
      <c r="B755" t="inlineStr">
        <is>
          <t>(주)삼영유니텍</t>
        </is>
      </c>
      <c r="C755" t="inlineStr">
        <is>
          <t>삼영유니텍</t>
        </is>
      </c>
      <c r="D755" t="inlineStr">
        <is>
          <t>의약품</t>
        </is>
      </c>
      <c r="E755" t="inlineStr">
        <is>
          <t>2419</t>
        </is>
      </c>
      <c r="F755" t="inlineStr">
        <is>
          <t>정경일</t>
        </is>
      </c>
      <c r="G755" t="inlineStr">
        <is>
          <t>2004-04-06</t>
        </is>
      </c>
      <c r="H755" t="inlineStr">
        <is>
          <t>20040406</t>
        </is>
      </c>
      <c r="I755" t="inlineStr">
        <is>
          <t>2</t>
        </is>
      </c>
      <c r="J755" t="inlineStr">
        <is>
          <t>2공장</t>
        </is>
      </c>
      <c r="K755" t="inlineStr">
        <is>
          <t>042-863-8982</t>
        </is>
      </c>
      <c r="L755" t="inlineStr">
        <is>
          <t>대전광역시 유성구 테크노11로 33</t>
        </is>
      </c>
      <c r="M755" t="inlineStr"/>
      <c r="N755" t="inlineStr">
        <is>
          <t>대전광역시 유성구 테크노11로 33</t>
        </is>
      </c>
      <c r="O755" t="inlineStr">
        <is>
          <t>대전광역시</t>
        </is>
      </c>
      <c r="P755" t="inlineStr">
        <is>
          <t>유성구</t>
        </is>
      </c>
      <c r="Q755" t="inlineStr">
        <is>
          <t>N</t>
        </is>
      </c>
      <c r="R755" t="n">
        <v>0</v>
      </c>
    </row>
    <row r="756">
      <c r="A756" t="n">
        <v>755</v>
      </c>
      <c r="B756" t="inlineStr">
        <is>
          <t>(주)보락</t>
        </is>
      </c>
      <c r="C756" t="inlineStr">
        <is>
          <t>보락</t>
        </is>
      </c>
      <c r="D756" t="inlineStr">
        <is>
          <t>의약품</t>
        </is>
      </c>
      <c r="E756" t="inlineStr">
        <is>
          <t>1422</t>
        </is>
      </c>
      <c r="F756" t="inlineStr">
        <is>
          <t>정기련</t>
        </is>
      </c>
      <c r="G756" t="inlineStr">
        <is>
          <t>1962-11-20</t>
        </is>
      </c>
      <c r="H756" t="inlineStr">
        <is>
          <t>19621120</t>
        </is>
      </c>
      <c r="I756" t="inlineStr">
        <is>
          <t>1</t>
        </is>
      </c>
      <c r="J756" t="inlineStr">
        <is>
          <t>화성공장</t>
        </is>
      </c>
      <c r="K756" t="inlineStr"/>
      <c r="L756" t="inlineStr">
        <is>
          <t>경기도 화성시 만세구 양감면 초록로 720-37</t>
        </is>
      </c>
      <c r="M756" t="inlineStr"/>
      <c r="N756" t="inlineStr">
        <is>
          <t>경기도 화성시 만세구 양감면 초록로 720-37</t>
        </is>
      </c>
      <c r="O756" t="inlineStr">
        <is>
          <t>경기도</t>
        </is>
      </c>
      <c r="P756" t="inlineStr">
        <is>
          <t>화성시</t>
        </is>
      </c>
      <c r="Q756" t="inlineStr">
        <is>
          <t>N</t>
        </is>
      </c>
      <c r="R756" t="n">
        <v>0</v>
      </c>
    </row>
    <row r="757">
      <c r="A757" t="n">
        <v>756</v>
      </c>
      <c r="B757" t="inlineStr">
        <is>
          <t>(주)제일가스산업</t>
        </is>
      </c>
      <c r="C757" t="inlineStr">
        <is>
          <t>제일가스산업</t>
        </is>
      </c>
      <c r="D757" t="inlineStr">
        <is>
          <t>의약품</t>
        </is>
      </c>
      <c r="E757" t="inlineStr">
        <is>
          <t>944</t>
        </is>
      </c>
      <c r="F757" t="inlineStr">
        <is>
          <t>황옥화</t>
        </is>
      </c>
      <c r="G757" t="inlineStr">
        <is>
          <t>2012-02-06</t>
        </is>
      </c>
      <c r="H757" t="inlineStr">
        <is>
          <t>20120206</t>
        </is>
      </c>
      <c r="I757" t="inlineStr">
        <is>
          <t>1</t>
        </is>
      </c>
      <c r="J757" t="inlineStr">
        <is>
          <t>1공장</t>
        </is>
      </c>
      <c r="K757" t="inlineStr">
        <is>
          <t>(044)268-4001</t>
        </is>
      </c>
      <c r="L757" t="inlineStr">
        <is>
          <t>세종특별자치시 부강면 부강금호로 97</t>
        </is>
      </c>
      <c r="M757" t="inlineStr"/>
      <c r="N757" t="inlineStr">
        <is>
          <t>세종특별자치시 부강면 부강금호로 97</t>
        </is>
      </c>
      <c r="O757" t="inlineStr">
        <is>
          <t>세종특별자치시</t>
        </is>
      </c>
      <c r="P757" t="inlineStr"/>
      <c r="Q757" t="inlineStr">
        <is>
          <t>N</t>
        </is>
      </c>
      <c r="R757" t="n">
        <v>0</v>
      </c>
    </row>
    <row r="758">
      <c r="A758" t="n">
        <v>757</v>
      </c>
      <c r="B758" t="inlineStr">
        <is>
          <t>(주)이니바이오</t>
        </is>
      </c>
      <c r="C758" t="inlineStr">
        <is>
          <t>이니바이오</t>
        </is>
      </c>
      <c r="D758" t="inlineStr">
        <is>
          <t>의약품</t>
        </is>
      </c>
      <c r="E758" t="inlineStr">
        <is>
          <t>374</t>
        </is>
      </c>
      <c r="F758" t="inlineStr">
        <is>
          <t>이기세</t>
        </is>
      </c>
      <c r="G758" t="inlineStr">
        <is>
          <t>2019-02-21</t>
        </is>
      </c>
      <c r="H758" t="inlineStr">
        <is>
          <t>20190221</t>
        </is>
      </c>
      <c r="I758" t="inlineStr">
        <is>
          <t>1</t>
        </is>
      </c>
      <c r="J758" t="inlineStr">
        <is>
          <t>제1공장</t>
        </is>
      </c>
      <c r="K758" t="inlineStr"/>
      <c r="L758" t="inlineStr">
        <is>
          <t>경기도 부천시 오정구 송내대로 506</t>
        </is>
      </c>
      <c r="M758" t="inlineStr">
        <is>
          <t>(삼정동)</t>
        </is>
      </c>
      <c r="N758" t="inlineStr">
        <is>
          <t>경기도 부천시 오정구 송내대로 506 (삼정동)</t>
        </is>
      </c>
      <c r="O758" t="inlineStr">
        <is>
          <t>경기도</t>
        </is>
      </c>
      <c r="P758" t="inlineStr">
        <is>
          <t>부천시</t>
        </is>
      </c>
      <c r="Q758" t="inlineStr">
        <is>
          <t>Y</t>
        </is>
      </c>
      <c r="R758" t="n">
        <v>68</v>
      </c>
    </row>
    <row r="759">
      <c r="A759" t="n">
        <v>758</v>
      </c>
      <c r="B759" t="inlineStr">
        <is>
          <t>신풍제약(주)</t>
        </is>
      </c>
      <c r="C759" t="inlineStr">
        <is>
          <t>신풍제약</t>
        </is>
      </c>
      <c r="D759" t="inlineStr">
        <is>
          <t>의약품</t>
        </is>
      </c>
      <c r="E759" t="inlineStr">
        <is>
          <t>1414</t>
        </is>
      </c>
      <c r="F759" t="inlineStr">
        <is>
          <t>유제만</t>
        </is>
      </c>
      <c r="G759" t="inlineStr">
        <is>
          <t>1962-06-04</t>
        </is>
      </c>
      <c r="H759" t="inlineStr">
        <is>
          <t>19620604</t>
        </is>
      </c>
      <c r="I759" t="inlineStr">
        <is>
          <t>2</t>
        </is>
      </c>
      <c r="J759" t="inlineStr">
        <is>
          <t>안산2</t>
        </is>
      </c>
      <c r="K759" t="inlineStr"/>
      <c r="L759" t="inlineStr">
        <is>
          <t>경기도 안산시 단원구 산단로19번길 70</t>
        </is>
      </c>
      <c r="M759" t="inlineStr"/>
      <c r="N759" t="inlineStr">
        <is>
          <t>경기도 안산시 단원구 산단로19번길 70</t>
        </is>
      </c>
      <c r="O759" t="inlineStr">
        <is>
          <t>경기도</t>
        </is>
      </c>
      <c r="P759" t="inlineStr">
        <is>
          <t>안산시</t>
        </is>
      </c>
      <c r="Q759" t="inlineStr">
        <is>
          <t>N</t>
        </is>
      </c>
      <c r="R759" t="n">
        <v>0</v>
      </c>
    </row>
    <row r="760">
      <c r="A760" t="n">
        <v>759</v>
      </c>
      <c r="B760" t="inlineStr">
        <is>
          <t>(주)으뜸생약</t>
        </is>
      </c>
      <c r="C760" t="inlineStr">
        <is>
          <t>으뜸생약</t>
        </is>
      </c>
      <c r="D760" t="inlineStr">
        <is>
          <t>의약품</t>
        </is>
      </c>
      <c r="E760" t="inlineStr">
        <is>
          <t>377</t>
        </is>
      </c>
      <c r="F760" t="inlineStr">
        <is>
          <t>최민정</t>
        </is>
      </c>
      <c r="G760" t="inlineStr">
        <is>
          <t>2018-10-31</t>
        </is>
      </c>
      <c r="H760" t="inlineStr">
        <is>
          <t>20181031</t>
        </is>
      </c>
      <c r="I760" t="inlineStr">
        <is>
          <t>2</t>
        </is>
      </c>
      <c r="J760" t="inlineStr">
        <is>
          <t>(주)으뜸생약</t>
        </is>
      </c>
      <c r="K760" t="inlineStr"/>
      <c r="L760" t="inlineStr">
        <is>
          <t>서울특별시 양천구 국회대로 20</t>
        </is>
      </c>
      <c r="M760" t="inlineStr">
        <is>
          <t>, 2층</t>
        </is>
      </c>
      <c r="N760" t="inlineStr">
        <is>
          <t>서울특별시 양천구 국회대로 20 , 2층</t>
        </is>
      </c>
      <c r="O760" t="inlineStr">
        <is>
          <t>서울특별시</t>
        </is>
      </c>
      <c r="P760" t="inlineStr">
        <is>
          <t>양천구</t>
        </is>
      </c>
      <c r="Q760" t="inlineStr">
        <is>
          <t>N</t>
        </is>
      </c>
      <c r="R760" t="n">
        <v>0</v>
      </c>
    </row>
    <row r="761">
      <c r="A761" t="n">
        <v>760</v>
      </c>
      <c r="B761" t="inlineStr">
        <is>
          <t>(주)한국파마</t>
        </is>
      </c>
      <c r="C761" t="inlineStr">
        <is>
          <t>한국파마</t>
        </is>
      </c>
      <c r="D761" t="inlineStr">
        <is>
          <t>의약품</t>
        </is>
      </c>
      <c r="E761" t="inlineStr">
        <is>
          <t>1401</t>
        </is>
      </c>
      <c r="F761" t="inlineStr">
        <is>
          <t>박은희</t>
        </is>
      </c>
      <c r="G761" t="inlineStr">
        <is>
          <t>1960-12-16</t>
        </is>
      </c>
      <c r="H761" t="inlineStr">
        <is>
          <t>19601216</t>
        </is>
      </c>
      <c r="I761" t="inlineStr">
        <is>
          <t>4</t>
        </is>
      </c>
      <c r="J761" t="inlineStr">
        <is>
          <t>보관소</t>
        </is>
      </c>
      <c r="K761" t="inlineStr"/>
      <c r="L761" t="inlineStr">
        <is>
          <t>경기도 화성시 향남읍 제약공단2길 34-26</t>
        </is>
      </c>
      <c r="M761" t="inlineStr">
        <is>
          <t>1동 3층일부(보관소)</t>
        </is>
      </c>
      <c r="N761" t="inlineStr">
        <is>
          <t>경기도 화성시 향남읍 제약공단2길 34-26 1동 3층일부(보관소)</t>
        </is>
      </c>
      <c r="O761" t="inlineStr">
        <is>
          <t>경기도</t>
        </is>
      </c>
      <c r="P761" t="inlineStr">
        <is>
          <t>화성시</t>
        </is>
      </c>
      <c r="Q761" t="inlineStr">
        <is>
          <t>N</t>
        </is>
      </c>
      <c r="R761" t="n">
        <v>0</v>
      </c>
    </row>
    <row r="762">
      <c r="A762" t="n">
        <v>761</v>
      </c>
      <c r="B762" t="inlineStr">
        <is>
          <t>(주)신흥제약</t>
        </is>
      </c>
      <c r="C762" t="inlineStr">
        <is>
          <t>신흥제약</t>
        </is>
      </c>
      <c r="D762" t="inlineStr">
        <is>
          <t>의약품</t>
        </is>
      </c>
      <c r="E762" t="inlineStr">
        <is>
          <t>1885</t>
        </is>
      </c>
      <c r="F762" t="inlineStr">
        <is>
          <t>임동환</t>
        </is>
      </c>
      <c r="G762" t="inlineStr">
        <is>
          <t>1995-09-21</t>
        </is>
      </c>
      <c r="H762" t="inlineStr">
        <is>
          <t>19950921</t>
        </is>
      </c>
      <c r="I762" t="inlineStr">
        <is>
          <t>2</t>
        </is>
      </c>
      <c r="J762" t="inlineStr">
        <is>
          <t>보관소</t>
        </is>
      </c>
      <c r="K762" t="inlineStr">
        <is>
          <t>061-654-7988</t>
        </is>
      </c>
      <c r="L762" t="inlineStr">
        <is>
          <t>전라남도 여수시 망양로 494-17</t>
        </is>
      </c>
      <c r="M762" t="inlineStr">
        <is>
          <t>보관소</t>
        </is>
      </c>
      <c r="N762" t="inlineStr">
        <is>
          <t>전라남도 여수시 망양로 494-17 보관소</t>
        </is>
      </c>
      <c r="O762" t="inlineStr">
        <is>
          <t>전라남도</t>
        </is>
      </c>
      <c r="P762" t="inlineStr">
        <is>
          <t>여수시</t>
        </is>
      </c>
      <c r="Q762" t="inlineStr">
        <is>
          <t>N</t>
        </is>
      </c>
      <c r="R762" t="n">
        <v>0</v>
      </c>
    </row>
    <row r="763">
      <c r="A763" t="n">
        <v>762</v>
      </c>
      <c r="B763" t="inlineStr">
        <is>
          <t>신양메디슨(주)</t>
        </is>
      </c>
      <c r="C763" t="inlineStr">
        <is>
          <t>신양메디슨</t>
        </is>
      </c>
      <c r="D763" t="inlineStr">
        <is>
          <t>의약품</t>
        </is>
      </c>
      <c r="E763" t="inlineStr">
        <is>
          <t>1837</t>
        </is>
      </c>
      <c r="F763" t="inlineStr">
        <is>
          <t>김종민</t>
        </is>
      </c>
      <c r="G763" t="inlineStr">
        <is>
          <t>1994-08-19</t>
        </is>
      </c>
      <c r="H763" t="inlineStr">
        <is>
          <t>19940819</t>
        </is>
      </c>
      <c r="I763" t="inlineStr">
        <is>
          <t>1</t>
        </is>
      </c>
      <c r="J763" t="inlineStr">
        <is>
          <t>안성</t>
        </is>
      </c>
      <c r="K763" t="inlineStr">
        <is>
          <t>031-336-1101</t>
        </is>
      </c>
      <c r="L763" t="inlineStr">
        <is>
          <t>경기도 안성시 양성면 양성로 409-14</t>
        </is>
      </c>
      <c r="M763" t="inlineStr"/>
      <c r="N763" t="inlineStr">
        <is>
          <t>경기도 안성시 양성면 양성로 409-14</t>
        </is>
      </c>
      <c r="O763" t="inlineStr">
        <is>
          <t>경기도</t>
        </is>
      </c>
      <c r="P763" t="inlineStr">
        <is>
          <t>안성시</t>
        </is>
      </c>
      <c r="Q763" t="inlineStr">
        <is>
          <t>Y</t>
        </is>
      </c>
      <c r="R763" t="n">
        <v>69</v>
      </c>
    </row>
    <row r="764">
      <c r="A764" t="n">
        <v>763</v>
      </c>
      <c r="B764" t="inlineStr">
        <is>
          <t>(주)대창가스</t>
        </is>
      </c>
      <c r="C764" t="inlineStr">
        <is>
          <t>대창가스</t>
        </is>
      </c>
      <c r="D764" t="inlineStr">
        <is>
          <t>의약품</t>
        </is>
      </c>
      <c r="E764" t="inlineStr">
        <is>
          <t>1765</t>
        </is>
      </c>
      <c r="F764" t="inlineStr">
        <is>
          <t>이절부</t>
        </is>
      </c>
      <c r="G764" t="inlineStr">
        <is>
          <t>1992-01-10</t>
        </is>
      </c>
      <c r="H764" t="inlineStr">
        <is>
          <t>19920110</t>
        </is>
      </c>
      <c r="I764" t="inlineStr">
        <is>
          <t>1</t>
        </is>
      </c>
      <c r="J764" t="inlineStr">
        <is>
          <t>진주</t>
        </is>
      </c>
      <c r="K764" t="inlineStr">
        <is>
          <t>055)752-3330</t>
        </is>
      </c>
      <c r="L764" t="inlineStr">
        <is>
          <t>경상남도 진주시 돗골로 61</t>
        </is>
      </c>
      <c r="M764" t="inlineStr"/>
      <c r="N764" t="inlineStr">
        <is>
          <t>경상남도 진주시 돗골로 61</t>
        </is>
      </c>
      <c r="O764" t="inlineStr">
        <is>
          <t>경상남도</t>
        </is>
      </c>
      <c r="P764" t="inlineStr">
        <is>
          <t>진주시</t>
        </is>
      </c>
      <c r="Q764" t="inlineStr">
        <is>
          <t>N</t>
        </is>
      </c>
      <c r="R764" t="n">
        <v>0</v>
      </c>
    </row>
    <row r="765">
      <c r="A765" t="n">
        <v>764</v>
      </c>
      <c r="B765" t="inlineStr">
        <is>
          <t>청웅제약</t>
        </is>
      </c>
      <c r="C765" t="inlineStr">
        <is>
          <t>청웅제약</t>
        </is>
      </c>
      <c r="D765" t="inlineStr">
        <is>
          <t>의약품</t>
        </is>
      </c>
      <c r="E765" t="inlineStr">
        <is>
          <t>1751</t>
        </is>
      </c>
      <c r="F765" t="inlineStr">
        <is>
          <t>전대성</t>
        </is>
      </c>
      <c r="G765" t="inlineStr">
        <is>
          <t>1991-10-02</t>
        </is>
      </c>
      <c r="H765" t="inlineStr">
        <is>
          <t>19911002</t>
        </is>
      </c>
      <c r="I765" t="inlineStr">
        <is>
          <t>1</t>
        </is>
      </c>
      <c r="J765" t="inlineStr">
        <is>
          <t>임실</t>
        </is>
      </c>
      <c r="K765" t="inlineStr">
        <is>
          <t>063-643-0725</t>
        </is>
      </c>
      <c r="L765" t="inlineStr">
        <is>
          <t>전북특별자치도 임실군 청웅면 구고2길 16</t>
        </is>
      </c>
      <c r="M765" t="inlineStr"/>
      <c r="N765" t="inlineStr">
        <is>
          <t>전북특별자치도 임실군 청웅면 구고2길 16</t>
        </is>
      </c>
      <c r="O765" t="inlineStr">
        <is>
          <t>전북특별자치도</t>
        </is>
      </c>
      <c r="P765" t="inlineStr">
        <is>
          <t>임실군</t>
        </is>
      </c>
      <c r="Q765" t="inlineStr">
        <is>
          <t>N</t>
        </is>
      </c>
      <c r="R765" t="n">
        <v>0</v>
      </c>
    </row>
    <row r="766">
      <c r="A766" t="n">
        <v>765</v>
      </c>
      <c r="B766" t="inlineStr">
        <is>
          <t>제이더블유생명과학(주)</t>
        </is>
      </c>
      <c r="C766" t="inlineStr">
        <is>
          <t>제이더블유생명과학</t>
        </is>
      </c>
      <c r="D766" t="inlineStr">
        <is>
          <t>의약품</t>
        </is>
      </c>
      <c r="E766" t="inlineStr">
        <is>
          <t>2548</t>
        </is>
      </c>
      <c r="F766" t="inlineStr">
        <is>
          <t>노정열</t>
        </is>
      </c>
      <c r="G766" t="inlineStr">
        <is>
          <t>2006-02-23</t>
        </is>
      </c>
      <c r="H766" t="inlineStr">
        <is>
          <t>20060223</t>
        </is>
      </c>
      <c r="I766" t="inlineStr">
        <is>
          <t>1</t>
        </is>
      </c>
      <c r="J766" t="inlineStr">
        <is>
          <t>1공장</t>
        </is>
      </c>
      <c r="K766" t="inlineStr">
        <is>
          <t>041-351-7660</t>
        </is>
      </c>
      <c r="L766" t="inlineStr">
        <is>
          <t>충청남도 당진시 송악읍 한진1길 28</t>
        </is>
      </c>
      <c r="M766" t="inlineStr"/>
      <c r="N766" t="inlineStr">
        <is>
          <t>충청남도 당진시 송악읍 한진1길 28</t>
        </is>
      </c>
      <c r="O766" t="inlineStr">
        <is>
          <t>충청남도</t>
        </is>
      </c>
      <c r="P766" t="inlineStr">
        <is>
          <t>당진시</t>
        </is>
      </c>
      <c r="Q766" t="inlineStr">
        <is>
          <t>N</t>
        </is>
      </c>
      <c r="R766" t="n">
        <v>0</v>
      </c>
    </row>
    <row r="767">
      <c r="A767" t="n">
        <v>766</v>
      </c>
      <c r="B767" t="inlineStr">
        <is>
          <t>한국수소(주)</t>
        </is>
      </c>
      <c r="C767" t="inlineStr">
        <is>
          <t>한국수소</t>
        </is>
      </c>
      <c r="D767" t="inlineStr">
        <is>
          <t>의약품</t>
        </is>
      </c>
      <c r="E767" t="inlineStr">
        <is>
          <t>2422</t>
        </is>
      </c>
      <c r="F767" t="inlineStr">
        <is>
          <t>이종근</t>
        </is>
      </c>
      <c r="G767" t="inlineStr">
        <is>
          <t>2004-04-14</t>
        </is>
      </c>
      <c r="H767" t="inlineStr">
        <is>
          <t>20040414</t>
        </is>
      </c>
      <c r="I767" t="inlineStr">
        <is>
          <t>1</t>
        </is>
      </c>
      <c r="J767" t="inlineStr"/>
      <c r="K767" t="inlineStr">
        <is>
          <t>032-673-6223</t>
        </is>
      </c>
      <c r="L767" t="inlineStr">
        <is>
          <t>경기도 부천시 오정구 석천로398번길 39</t>
        </is>
      </c>
      <c r="M767" t="inlineStr"/>
      <c r="N767" t="inlineStr">
        <is>
          <t>경기도 부천시 오정구 석천로398번길 39</t>
        </is>
      </c>
      <c r="O767" t="inlineStr">
        <is>
          <t>경기도</t>
        </is>
      </c>
      <c r="P767" t="inlineStr">
        <is>
          <t>부천시</t>
        </is>
      </c>
      <c r="Q767" t="inlineStr">
        <is>
          <t>N</t>
        </is>
      </c>
      <c r="R767" t="n">
        <v>0</v>
      </c>
    </row>
    <row r="768">
      <c r="A768" t="n">
        <v>767</v>
      </c>
      <c r="B768" t="inlineStr">
        <is>
          <t>대한적십자사인천혈액원</t>
        </is>
      </c>
      <c r="C768" t="inlineStr">
        <is>
          <t>대한적십자사인천혈액원</t>
        </is>
      </c>
      <c r="D768" t="inlineStr">
        <is>
          <t>의약품</t>
        </is>
      </c>
      <c r="E768" t="inlineStr">
        <is>
          <t>2532</t>
        </is>
      </c>
      <c r="F768" t="inlineStr">
        <is>
          <t>김영섭</t>
        </is>
      </c>
      <c r="G768" t="inlineStr">
        <is>
          <t>2006-01-27</t>
        </is>
      </c>
      <c r="H768" t="inlineStr">
        <is>
          <t>20060127</t>
        </is>
      </c>
      <c r="I768" t="inlineStr">
        <is>
          <t>1</t>
        </is>
      </c>
      <c r="J768" t="inlineStr">
        <is>
          <t>제1공장</t>
        </is>
      </c>
      <c r="K768" t="inlineStr">
        <is>
          <t>032-815-0631</t>
        </is>
      </c>
      <c r="L768" t="inlineStr">
        <is>
          <t>인천광역시 연수구 함박뫼로 220</t>
        </is>
      </c>
      <c r="M768" t="inlineStr"/>
      <c r="N768" t="inlineStr">
        <is>
          <t>인천광역시 연수구 함박뫼로 220</t>
        </is>
      </c>
      <c r="O768" t="inlineStr">
        <is>
          <t>인천광역시</t>
        </is>
      </c>
      <c r="P768" t="inlineStr">
        <is>
          <t>연수구</t>
        </is>
      </c>
      <c r="Q768" t="inlineStr">
        <is>
          <t>N</t>
        </is>
      </c>
      <c r="R768" t="n">
        <v>0</v>
      </c>
    </row>
    <row r="769">
      <c r="A769" t="n">
        <v>768</v>
      </c>
      <c r="B769" t="inlineStr">
        <is>
          <t>(주)녹십자엠에스</t>
        </is>
      </c>
      <c r="C769" t="inlineStr">
        <is>
          <t>녹십자엠에스</t>
        </is>
      </c>
      <c r="D769" t="inlineStr">
        <is>
          <t>의약품</t>
        </is>
      </c>
      <c r="E769" t="inlineStr">
        <is>
          <t>2453</t>
        </is>
      </c>
      <c r="F769" t="inlineStr">
        <is>
          <t>김연근</t>
        </is>
      </c>
      <c r="G769" t="inlineStr">
        <is>
          <t>2004-11-18</t>
        </is>
      </c>
      <c r="H769" t="inlineStr">
        <is>
          <t>20041118</t>
        </is>
      </c>
      <c r="I769" t="inlineStr">
        <is>
          <t>6</t>
        </is>
      </c>
      <c r="J769" t="inlineStr">
        <is>
          <t>용인</t>
        </is>
      </c>
      <c r="K769" t="inlineStr"/>
      <c r="L769" t="inlineStr">
        <is>
          <t>경기도 용인시 처인구 포곡읍 전대로16번길 16-13</t>
        </is>
      </c>
      <c r="M769" t="inlineStr">
        <is>
          <t>(인공신장관류용제 제조에 한함)</t>
        </is>
      </c>
      <c r="N769" t="inlineStr">
        <is>
          <t>경기도 용인시 처인구 포곡읍 전대로16번길 16-13 (인공신장관류용제 제조에 한함)</t>
        </is>
      </c>
      <c r="O769" t="inlineStr">
        <is>
          <t>경기도</t>
        </is>
      </c>
      <c r="P769" t="inlineStr">
        <is>
          <t>용인시</t>
        </is>
      </c>
      <c r="Q769" t="inlineStr">
        <is>
          <t>N</t>
        </is>
      </c>
      <c r="R769" t="n">
        <v>0</v>
      </c>
    </row>
    <row r="770">
      <c r="A770" t="n">
        <v>769</v>
      </c>
      <c r="B770" t="inlineStr">
        <is>
          <t>(주)마루제약</t>
        </is>
      </c>
      <c r="C770" t="inlineStr">
        <is>
          <t>마루제약</t>
        </is>
      </c>
      <c r="D770" t="inlineStr">
        <is>
          <t>의약품</t>
        </is>
      </c>
      <c r="E770" t="inlineStr">
        <is>
          <t>337</t>
        </is>
      </c>
      <c r="F770" t="inlineStr">
        <is>
          <t>정해진</t>
        </is>
      </c>
      <c r="G770" t="inlineStr">
        <is>
          <t>2013-09-24</t>
        </is>
      </c>
      <c r="H770" t="inlineStr">
        <is>
          <t>20130924</t>
        </is>
      </c>
      <c r="I770" t="inlineStr">
        <is>
          <t>1</t>
        </is>
      </c>
      <c r="J770" t="inlineStr">
        <is>
          <t>(주)마루제약</t>
        </is>
      </c>
      <c r="K770" t="inlineStr">
        <is>
          <t>(031)932-0100</t>
        </is>
      </c>
      <c r="L770" t="inlineStr">
        <is>
          <t>경기도 고양시 일산동구 경의로 235</t>
        </is>
      </c>
      <c r="M770" t="inlineStr">
        <is>
          <t>(백석동, 케이티건물) 103호, 지1층3호</t>
        </is>
      </c>
      <c r="N770" t="inlineStr">
        <is>
          <t>경기도 고양시 일산동구 경의로 235 (백석동, 케이티건물) 103호, 지1층3호</t>
        </is>
      </c>
      <c r="O770" t="inlineStr">
        <is>
          <t>경기도</t>
        </is>
      </c>
      <c r="P770" t="inlineStr">
        <is>
          <t>고양시</t>
        </is>
      </c>
      <c r="Q770" t="inlineStr">
        <is>
          <t>N</t>
        </is>
      </c>
      <c r="R770" t="n">
        <v>0</v>
      </c>
    </row>
    <row r="771">
      <c r="A771" t="n">
        <v>770</v>
      </c>
      <c r="B771" t="inlineStr">
        <is>
          <t>(주)조화제약</t>
        </is>
      </c>
      <c r="C771" t="inlineStr">
        <is>
          <t>조화제약</t>
        </is>
      </c>
      <c r="D771" t="inlineStr">
        <is>
          <t>의약품</t>
        </is>
      </c>
      <c r="E771" t="inlineStr">
        <is>
          <t>2493</t>
        </is>
      </c>
      <c r="F771" t="inlineStr">
        <is>
          <t>이수봉</t>
        </is>
      </c>
      <c r="G771" t="inlineStr">
        <is>
          <t>2005-08-18</t>
        </is>
      </c>
      <c r="H771" t="inlineStr">
        <is>
          <t>20050818</t>
        </is>
      </c>
      <c r="I771" t="inlineStr">
        <is>
          <t>1</t>
        </is>
      </c>
      <c r="J771" t="inlineStr">
        <is>
          <t>(주)조화제약</t>
        </is>
      </c>
      <c r="K771" t="inlineStr">
        <is>
          <t>02-962-0560</t>
        </is>
      </c>
      <c r="L771" t="inlineStr">
        <is>
          <t>경기도 구리시 동구릉로389번길 98</t>
        </is>
      </c>
      <c r="M771" t="inlineStr">
        <is>
          <t>(사노동)</t>
        </is>
      </c>
      <c r="N771" t="inlineStr">
        <is>
          <t>경기도 구리시 동구릉로389번길 98 (사노동)</t>
        </is>
      </c>
      <c r="O771" t="inlineStr">
        <is>
          <t>경기도</t>
        </is>
      </c>
      <c r="P771" t="inlineStr">
        <is>
          <t>구리시</t>
        </is>
      </c>
      <c r="Q771" t="inlineStr">
        <is>
          <t>N</t>
        </is>
      </c>
      <c r="R771" t="n">
        <v>0</v>
      </c>
    </row>
    <row r="772">
      <c r="A772" t="n">
        <v>771</v>
      </c>
      <c r="B772" t="inlineStr">
        <is>
          <t>한국한의약진흥원</t>
        </is>
      </c>
      <c r="C772" t="inlineStr">
        <is>
          <t>한국한의약진흥원</t>
        </is>
      </c>
      <c r="D772" t="inlineStr">
        <is>
          <t>의약품</t>
        </is>
      </c>
      <c r="E772" t="inlineStr">
        <is>
          <t>101</t>
        </is>
      </c>
      <c r="F772" t="inlineStr">
        <is>
          <t>고호연</t>
        </is>
      </c>
      <c r="G772" t="inlineStr">
        <is>
          <t>2020-02-24</t>
        </is>
      </c>
      <c r="H772" t="inlineStr">
        <is>
          <t>20200224</t>
        </is>
      </c>
      <c r="I772" t="inlineStr">
        <is>
          <t>1</t>
        </is>
      </c>
      <c r="J772" t="inlineStr">
        <is>
          <t>한약제제생산센터</t>
        </is>
      </c>
      <c r="K772" t="inlineStr">
        <is>
          <t>053-810-0374</t>
        </is>
      </c>
      <c r="L772" t="inlineStr">
        <is>
          <t>대구광역시 동구 혁신대로78길 3</t>
        </is>
      </c>
      <c r="M772" t="inlineStr">
        <is>
          <t>한약제제생산센터</t>
        </is>
      </c>
      <c r="N772" t="inlineStr">
        <is>
          <t>대구광역시 동구 혁신대로78길 3 한약제제생산센터</t>
        </is>
      </c>
      <c r="O772" t="inlineStr">
        <is>
          <t>대구광역시</t>
        </is>
      </c>
      <c r="P772" t="inlineStr">
        <is>
          <t>동구</t>
        </is>
      </c>
      <c r="Q772" t="inlineStr">
        <is>
          <t>N</t>
        </is>
      </c>
      <c r="R772" t="n">
        <v>0</v>
      </c>
    </row>
    <row r="773">
      <c r="A773" t="n">
        <v>772</v>
      </c>
      <c r="B773" t="inlineStr">
        <is>
          <t>(주)듀켐바이오</t>
        </is>
      </c>
      <c r="C773" t="inlineStr">
        <is>
          <t>듀켐바이오</t>
        </is>
      </c>
      <c r="D773" t="inlineStr">
        <is>
          <t>의약품</t>
        </is>
      </c>
      <c r="E773" t="inlineStr">
        <is>
          <t>2437</t>
        </is>
      </c>
      <c r="F773" t="inlineStr">
        <is>
          <t>김상우</t>
        </is>
      </c>
      <c r="G773" t="inlineStr">
        <is>
          <t>2004-07-22</t>
        </is>
      </c>
      <c r="H773" t="inlineStr">
        <is>
          <t>20040722</t>
        </is>
      </c>
      <c r="I773" t="inlineStr">
        <is>
          <t>11</t>
        </is>
      </c>
      <c r="J773" t="inlineStr">
        <is>
          <t>11공장(서울)</t>
        </is>
      </c>
      <c r="K773" t="inlineStr"/>
      <c r="L773" t="inlineStr">
        <is>
          <t>서울특별시 강남구 일원로 81</t>
        </is>
      </c>
      <c r="M773" t="inlineStr">
        <is>
          <t>삼성서울병원 본관 지하 3층 사이클로트론센터</t>
        </is>
      </c>
      <c r="N773" t="inlineStr">
        <is>
          <t>서울특별시 강남구 일원로 81 삼성서울병원 본관 지하 3층 사이클로트론센터</t>
        </is>
      </c>
      <c r="O773" t="inlineStr">
        <is>
          <t>서울특별시</t>
        </is>
      </c>
      <c r="P773" t="inlineStr">
        <is>
          <t>강남구</t>
        </is>
      </c>
      <c r="Q773" t="inlineStr">
        <is>
          <t>N</t>
        </is>
      </c>
      <c r="R773" t="n">
        <v>0</v>
      </c>
    </row>
    <row r="774">
      <c r="A774" t="n">
        <v>773</v>
      </c>
      <c r="B774" t="inlineStr">
        <is>
          <t>(주)씨엠지제약</t>
        </is>
      </c>
      <c r="C774" t="inlineStr">
        <is>
          <t>씨엠지제약</t>
        </is>
      </c>
      <c r="D774" t="inlineStr">
        <is>
          <t>의약품</t>
        </is>
      </c>
      <c r="E774" t="inlineStr">
        <is>
          <t>1439</t>
        </is>
      </c>
      <c r="F774" t="inlineStr">
        <is>
          <t>이주형</t>
        </is>
      </c>
      <c r="G774" t="inlineStr">
        <is>
          <t>1964-01-21</t>
        </is>
      </c>
      <c r="H774" t="inlineStr">
        <is>
          <t>19640121</t>
        </is>
      </c>
      <c r="I774" t="inlineStr">
        <is>
          <t>2</t>
        </is>
      </c>
      <c r="J774" t="inlineStr">
        <is>
          <t>시흥(정왕동)</t>
        </is>
      </c>
      <c r="K774" t="inlineStr"/>
      <c r="L774" t="inlineStr">
        <is>
          <t>경기도 시흥시 공단1대로27번길 27</t>
        </is>
      </c>
      <c r="M774" t="inlineStr"/>
      <c r="N774" t="inlineStr">
        <is>
          <t>경기도 시흥시 공단1대로27번길 27</t>
        </is>
      </c>
      <c r="O774" t="inlineStr">
        <is>
          <t>경기도</t>
        </is>
      </c>
      <c r="P774" t="inlineStr">
        <is>
          <t>시흥시</t>
        </is>
      </c>
      <c r="Q774" t="inlineStr">
        <is>
          <t>N</t>
        </is>
      </c>
      <c r="R774" t="n">
        <v>0</v>
      </c>
    </row>
    <row r="775">
      <c r="A775" t="n">
        <v>774</v>
      </c>
      <c r="B775" t="inlineStr">
        <is>
          <t>동아제약(주)</t>
        </is>
      </c>
      <c r="C775" t="inlineStr">
        <is>
          <t>동아제약</t>
        </is>
      </c>
      <c r="D775" t="inlineStr">
        <is>
          <t>의약품</t>
        </is>
      </c>
      <c r="E775" t="inlineStr">
        <is>
          <t>2606</t>
        </is>
      </c>
      <c r="F775" t="inlineStr">
        <is>
          <t>백상환</t>
        </is>
      </c>
      <c r="G775" t="inlineStr">
        <is>
          <t>2013-04-18</t>
        </is>
      </c>
      <c r="H775" t="inlineStr">
        <is>
          <t>20130418</t>
        </is>
      </c>
      <c r="I775" t="inlineStr">
        <is>
          <t>5</t>
        </is>
      </c>
      <c r="J775" t="inlineStr">
        <is>
          <t>보관소</t>
        </is>
      </c>
      <c r="K775" t="inlineStr">
        <is>
          <t>02-920-8822</t>
        </is>
      </c>
      <c r="L775" t="inlineStr">
        <is>
          <t>충청남도 천안시 서북구 백석공단1로 200-23</t>
        </is>
      </c>
      <c r="M775" t="inlineStr">
        <is>
          <t>(2동 1A층, 8동)</t>
        </is>
      </c>
      <c r="N775" t="inlineStr">
        <is>
          <t>충청남도 천안시 서북구 백석공단1로 200-23 (2동 1A층, 8동)</t>
        </is>
      </c>
      <c r="O775" t="inlineStr">
        <is>
          <t>충청남도</t>
        </is>
      </c>
      <c r="P775" t="inlineStr">
        <is>
          <t>천안시</t>
        </is>
      </c>
      <c r="Q775" t="inlineStr">
        <is>
          <t>N</t>
        </is>
      </c>
      <c r="R775" t="n">
        <v>0</v>
      </c>
    </row>
    <row r="776">
      <c r="A776" t="n">
        <v>775</v>
      </c>
      <c r="B776" t="inlineStr">
        <is>
          <t>(주)국전</t>
        </is>
      </c>
      <c r="C776" t="inlineStr">
        <is>
          <t>국전</t>
        </is>
      </c>
      <c r="D776" t="inlineStr">
        <is>
          <t>의약품</t>
        </is>
      </c>
      <c r="E776" t="inlineStr">
        <is>
          <t>2520</t>
        </is>
      </c>
      <c r="F776" t="inlineStr">
        <is>
          <t>홍종호</t>
        </is>
      </c>
      <c r="G776" t="inlineStr">
        <is>
          <t>2005-12-09</t>
        </is>
      </c>
      <c r="H776" t="inlineStr">
        <is>
          <t>20051209</t>
        </is>
      </c>
      <c r="I776" t="inlineStr">
        <is>
          <t>1</t>
        </is>
      </c>
      <c r="J776" t="inlineStr">
        <is>
          <t>팔탄공장</t>
        </is>
      </c>
      <c r="K776" t="inlineStr">
        <is>
          <t>031-352-8459</t>
        </is>
      </c>
      <c r="L776" t="inlineStr">
        <is>
          <t>경기도 화성시 팔탄면 삼천병마로 542-8</t>
        </is>
      </c>
      <c r="M776" t="inlineStr"/>
      <c r="N776" t="inlineStr">
        <is>
          <t>경기도 화성시 팔탄면 삼천병마로 542-8</t>
        </is>
      </c>
      <c r="O776" t="inlineStr">
        <is>
          <t>경기도</t>
        </is>
      </c>
      <c r="P776" t="inlineStr">
        <is>
          <t>화성시</t>
        </is>
      </c>
      <c r="Q776" t="inlineStr">
        <is>
          <t>N</t>
        </is>
      </c>
      <c r="R776" t="n">
        <v>0</v>
      </c>
    </row>
    <row r="777">
      <c r="A777" t="n">
        <v>776</v>
      </c>
      <c r="B777" t="inlineStr">
        <is>
          <t>보란파마</t>
        </is>
      </c>
      <c r="C777" t="inlineStr">
        <is>
          <t>보란파마</t>
        </is>
      </c>
      <c r="D777" t="inlineStr">
        <is>
          <t>의약품</t>
        </is>
      </c>
      <c r="E777" t="inlineStr">
        <is>
          <t>377</t>
        </is>
      </c>
      <c r="F777" t="inlineStr">
        <is>
          <t>김현숙</t>
        </is>
      </c>
      <c r="G777" t="inlineStr">
        <is>
          <t>2019-09-09</t>
        </is>
      </c>
      <c r="H777" t="inlineStr">
        <is>
          <t>20190909</t>
        </is>
      </c>
      <c r="I777" t="inlineStr">
        <is>
          <t>1</t>
        </is>
      </c>
      <c r="J777" t="inlineStr">
        <is>
          <t>제1공장</t>
        </is>
      </c>
      <c r="K777" t="inlineStr">
        <is>
          <t>070-5100-4350</t>
        </is>
      </c>
      <c r="L777" t="inlineStr">
        <is>
          <t>경기도 평택시 청북읍 고렴산단로 121</t>
        </is>
      </c>
      <c r="M777" t="inlineStr"/>
      <c r="N777" t="inlineStr">
        <is>
          <t>경기도 평택시 청북읍 고렴산단로 121</t>
        </is>
      </c>
      <c r="O777" t="inlineStr">
        <is>
          <t>경기도</t>
        </is>
      </c>
      <c r="P777" t="inlineStr">
        <is>
          <t>평택시</t>
        </is>
      </c>
      <c r="Q777" t="inlineStr">
        <is>
          <t>N</t>
        </is>
      </c>
      <c r="R777" t="n">
        <v>0</v>
      </c>
    </row>
    <row r="778">
      <c r="A778" t="n">
        <v>777</v>
      </c>
      <c r="B778" t="inlineStr">
        <is>
          <t>(주)씨티씨바이오</t>
        </is>
      </c>
      <c r="C778" t="inlineStr">
        <is>
          <t>씨티씨바이오</t>
        </is>
      </c>
      <c r="D778" t="inlineStr">
        <is>
          <t>의약품</t>
        </is>
      </c>
      <c r="E778" t="inlineStr">
        <is>
          <t>2423</t>
        </is>
      </c>
      <c r="F778" t="inlineStr">
        <is>
          <t>조창선</t>
        </is>
      </c>
      <c r="G778" t="inlineStr">
        <is>
          <t>2004-04-30</t>
        </is>
      </c>
      <c r="H778" t="inlineStr">
        <is>
          <t>20040430</t>
        </is>
      </c>
      <c r="I778" t="inlineStr">
        <is>
          <t>1</t>
        </is>
      </c>
      <c r="J778" t="inlineStr">
        <is>
          <t>제1공장</t>
        </is>
      </c>
      <c r="K778" t="inlineStr"/>
      <c r="L778" t="inlineStr">
        <is>
          <t>경기도 화성시 팔탄면 현대기아로 38</t>
        </is>
      </c>
      <c r="M778" t="inlineStr">
        <is>
          <t>(노하리 450-34)</t>
        </is>
      </c>
      <c r="N778" t="inlineStr">
        <is>
          <t>경기도 화성시 팔탄면 현대기아로 38 (노하리 450-34)</t>
        </is>
      </c>
      <c r="O778" t="inlineStr">
        <is>
          <t>경기도</t>
        </is>
      </c>
      <c r="P778" t="inlineStr">
        <is>
          <t>화성시</t>
        </is>
      </c>
      <c r="Q778" t="inlineStr">
        <is>
          <t>N</t>
        </is>
      </c>
      <c r="R778" t="n">
        <v>0</v>
      </c>
    </row>
    <row r="779">
      <c r="A779" t="n">
        <v>778</v>
      </c>
      <c r="B779" t="inlineStr">
        <is>
          <t>알파제약(주)</t>
        </is>
      </c>
      <c r="C779" t="inlineStr">
        <is>
          <t>알파제약</t>
        </is>
      </c>
      <c r="D779" t="inlineStr">
        <is>
          <t>의약품</t>
        </is>
      </c>
      <c r="E779" t="inlineStr">
        <is>
          <t>1433</t>
        </is>
      </c>
      <c r="F779" t="inlineStr">
        <is>
          <t>서지나</t>
        </is>
      </c>
      <c r="G779" t="inlineStr">
        <is>
          <t>1963-09-21</t>
        </is>
      </c>
      <c r="H779" t="inlineStr">
        <is>
          <t>19630921</t>
        </is>
      </c>
      <c r="I779" t="inlineStr">
        <is>
          <t>1</t>
        </is>
      </c>
      <c r="J779" t="inlineStr">
        <is>
          <t>1공장</t>
        </is>
      </c>
      <c r="K779" t="inlineStr">
        <is>
          <t>054-552-5381</t>
        </is>
      </c>
      <c r="L779" t="inlineStr">
        <is>
          <t>경상북도 문경시 산양면 산양공단2길 20</t>
        </is>
      </c>
      <c r="M779" t="inlineStr"/>
      <c r="N779" t="inlineStr">
        <is>
          <t>경상북도 문경시 산양면 산양공단2길 20</t>
        </is>
      </c>
      <c r="O779" t="inlineStr">
        <is>
          <t>경상북도</t>
        </is>
      </c>
      <c r="P779" t="inlineStr">
        <is>
          <t>문경시</t>
        </is>
      </c>
      <c r="Q779" t="inlineStr">
        <is>
          <t>N</t>
        </is>
      </c>
      <c r="R779" t="n">
        <v>0</v>
      </c>
    </row>
    <row r="780">
      <c r="A780" t="n">
        <v>779</v>
      </c>
      <c r="B780" t="inlineStr">
        <is>
          <t>삼성바이오로직스 주식회사</t>
        </is>
      </c>
      <c r="C780" t="inlineStr">
        <is>
          <t>삼성바이오로직스</t>
        </is>
      </c>
      <c r="D780" t="inlineStr">
        <is>
          <t>의약품</t>
        </is>
      </c>
      <c r="E780" t="inlineStr">
        <is>
          <t>343</t>
        </is>
      </c>
      <c r="F780" t="inlineStr">
        <is>
          <t>John Chongbo Rim(임존종보)</t>
        </is>
      </c>
      <c r="G780" t="inlineStr">
        <is>
          <t>2012-10-08</t>
        </is>
      </c>
      <c r="H780" t="inlineStr">
        <is>
          <t>20121008</t>
        </is>
      </c>
      <c r="I780" t="inlineStr">
        <is>
          <t>3</t>
        </is>
      </c>
      <c r="J780" t="inlineStr">
        <is>
          <t>2.삼성바이오로직스 주식회사</t>
        </is>
      </c>
      <c r="K780" t="inlineStr"/>
      <c r="L780" t="inlineStr">
        <is>
          <t>인천광역시 연수구 송도바이오대로 365</t>
        </is>
      </c>
      <c r="M780" t="inlineStr"/>
      <c r="N780" t="inlineStr">
        <is>
          <t>인천광역시 연수구 송도바이오대로 365</t>
        </is>
      </c>
      <c r="O780" t="inlineStr">
        <is>
          <t>인천광역시</t>
        </is>
      </c>
      <c r="P780" t="inlineStr">
        <is>
          <t>연수구</t>
        </is>
      </c>
      <c r="Q780" t="inlineStr">
        <is>
          <t>N</t>
        </is>
      </c>
      <c r="R780" t="n">
        <v>0</v>
      </c>
    </row>
    <row r="781">
      <c r="A781" t="n">
        <v>780</v>
      </c>
      <c r="B781" t="inlineStr">
        <is>
          <t>(주)이니바이오</t>
        </is>
      </c>
      <c r="C781" t="inlineStr">
        <is>
          <t>이니바이오</t>
        </is>
      </c>
      <c r="D781" t="inlineStr">
        <is>
          <t>의약품</t>
        </is>
      </c>
      <c r="E781" t="inlineStr">
        <is>
          <t>374</t>
        </is>
      </c>
      <c r="F781" t="inlineStr">
        <is>
          <t>이기세</t>
        </is>
      </c>
      <c r="G781" t="inlineStr">
        <is>
          <t>2019-02-21</t>
        </is>
      </c>
      <c r="H781" t="inlineStr">
        <is>
          <t>20190221</t>
        </is>
      </c>
      <c r="I781" t="inlineStr">
        <is>
          <t>3</t>
        </is>
      </c>
      <c r="J781" t="inlineStr">
        <is>
          <t>보관소</t>
        </is>
      </c>
      <c r="K781" t="inlineStr"/>
      <c r="L781" t="inlineStr">
        <is>
          <t>인천광역시 서구 정서진4로 10</t>
        </is>
      </c>
      <c r="M781" t="inlineStr">
        <is>
          <t>(1층 일부)</t>
        </is>
      </c>
      <c r="N781" t="inlineStr">
        <is>
          <t>인천광역시 서구 정서진4로 10 (1층 일부)</t>
        </is>
      </c>
      <c r="O781" t="inlineStr">
        <is>
          <t>인천광역시</t>
        </is>
      </c>
      <c r="P781" t="inlineStr">
        <is>
          <t>서구</t>
        </is>
      </c>
      <c r="Q781" t="inlineStr">
        <is>
          <t>Y</t>
        </is>
      </c>
      <c r="R781" t="n">
        <v>70</v>
      </c>
    </row>
    <row r="782">
      <c r="A782" t="n">
        <v>781</v>
      </c>
      <c r="B782" t="inlineStr">
        <is>
          <t>(주)한풍제약</t>
        </is>
      </c>
      <c r="C782" t="inlineStr">
        <is>
          <t>한풍제약</t>
        </is>
      </c>
      <c r="D782" t="inlineStr">
        <is>
          <t>의약품</t>
        </is>
      </c>
      <c r="E782" t="inlineStr">
        <is>
          <t>1417</t>
        </is>
      </c>
      <c r="F782" t="inlineStr">
        <is>
          <t>조인식</t>
        </is>
      </c>
      <c r="G782" t="inlineStr">
        <is>
          <t>1962-07-21</t>
        </is>
      </c>
      <c r="H782" t="inlineStr">
        <is>
          <t>19620721</t>
        </is>
      </c>
      <c r="I782" t="inlineStr">
        <is>
          <t>1</t>
        </is>
      </c>
      <c r="J782" t="inlineStr">
        <is>
          <t>전주</t>
        </is>
      </c>
      <c r="K782" t="inlineStr">
        <is>
          <t>02-586-5211</t>
        </is>
      </c>
      <c r="L782" t="inlineStr">
        <is>
          <t>전라북도 전주시 덕진구 구렛들3길 11</t>
        </is>
      </c>
      <c r="M782" t="inlineStr"/>
      <c r="N782" t="inlineStr">
        <is>
          <t>전라북도 전주시 덕진구 구렛들3길 11</t>
        </is>
      </c>
      <c r="O782" t="inlineStr">
        <is>
          <t>전라북도</t>
        </is>
      </c>
      <c r="P782" t="inlineStr">
        <is>
          <t>전주시</t>
        </is>
      </c>
      <c r="Q782" t="inlineStr">
        <is>
          <t>Y</t>
        </is>
      </c>
      <c r="R782" t="n">
        <v>71</v>
      </c>
    </row>
    <row r="783">
      <c r="A783" t="n">
        <v>782</v>
      </c>
      <c r="B783" t="inlineStr">
        <is>
          <t>(주)유바이오로직스</t>
        </is>
      </c>
      <c r="C783" t="inlineStr">
        <is>
          <t>유바이오로직스</t>
        </is>
      </c>
      <c r="D783" t="inlineStr">
        <is>
          <t>의약품</t>
        </is>
      </c>
      <c r="E783" t="inlineStr">
        <is>
          <t>322</t>
        </is>
      </c>
      <c r="F783" t="inlineStr">
        <is>
          <t>백영옥</t>
        </is>
      </c>
      <c r="G783" t="inlineStr">
        <is>
          <t>2011-11-28</t>
        </is>
      </c>
      <c r="H783" t="inlineStr">
        <is>
          <t>20111128</t>
        </is>
      </c>
      <c r="I783" t="inlineStr">
        <is>
          <t>4</t>
        </is>
      </c>
      <c r="J783" t="inlineStr">
        <is>
          <t>[보관소3]</t>
        </is>
      </c>
      <c r="K783" t="inlineStr"/>
      <c r="L783" t="inlineStr">
        <is>
          <t>강원특별자치도 춘천시 소양강로 32</t>
        </is>
      </c>
      <c r="M783" t="inlineStr">
        <is>
          <t>2동 지하 일부</t>
        </is>
      </c>
      <c r="N783" t="inlineStr">
        <is>
          <t>강원특별자치도 춘천시 소양강로 32 2동 지하 일부</t>
        </is>
      </c>
      <c r="O783" t="inlineStr">
        <is>
          <t>강원특별자치도</t>
        </is>
      </c>
      <c r="P783" t="inlineStr">
        <is>
          <t>춘천시</t>
        </is>
      </c>
      <c r="Q783" t="inlineStr">
        <is>
          <t>Y</t>
        </is>
      </c>
      <c r="R783" t="n">
        <v>72</v>
      </c>
    </row>
    <row r="784">
      <c r="A784" t="n">
        <v>783</v>
      </c>
      <c r="B784" t="inlineStr">
        <is>
          <t>형율제약주식회사</t>
        </is>
      </c>
      <c r="C784" t="inlineStr">
        <is>
          <t>형율제약</t>
        </is>
      </c>
      <c r="D784" t="inlineStr">
        <is>
          <t>의약품</t>
        </is>
      </c>
      <c r="E784" t="inlineStr">
        <is>
          <t>373</t>
        </is>
      </c>
      <c r="F784" t="inlineStr">
        <is>
          <t>오상율</t>
        </is>
      </c>
      <c r="G784" t="inlineStr">
        <is>
          <t>2018-11-27</t>
        </is>
      </c>
      <c r="H784" t="inlineStr">
        <is>
          <t>20181127</t>
        </is>
      </c>
      <c r="I784" t="inlineStr">
        <is>
          <t>2</t>
        </is>
      </c>
      <c r="J784" t="inlineStr">
        <is>
          <t>보관소2</t>
        </is>
      </c>
      <c r="K784" t="inlineStr"/>
      <c r="L784" t="inlineStr">
        <is>
          <t>경기도 여주시 흥천면 은골길 58-10</t>
        </is>
      </c>
      <c r="M784" t="inlineStr">
        <is>
          <t>2동, 3동, 4동</t>
        </is>
      </c>
      <c r="N784" t="inlineStr">
        <is>
          <t>경기도 여주시 흥천면 은골길 58-10 2동, 3동, 4동</t>
        </is>
      </c>
      <c r="O784" t="inlineStr">
        <is>
          <t>경기도</t>
        </is>
      </c>
      <c r="P784" t="inlineStr">
        <is>
          <t>여주시</t>
        </is>
      </c>
      <c r="Q784" t="inlineStr">
        <is>
          <t>N</t>
        </is>
      </c>
      <c r="R784" t="n">
        <v>0</v>
      </c>
    </row>
    <row r="785">
      <c r="A785" t="n">
        <v>784</v>
      </c>
      <c r="B785" t="inlineStr">
        <is>
          <t>위더스제약(주)</t>
        </is>
      </c>
      <c r="C785" t="inlineStr">
        <is>
          <t>위더스제약</t>
        </is>
      </c>
      <c r="D785" t="inlineStr">
        <is>
          <t>의약품</t>
        </is>
      </c>
      <c r="E785" t="inlineStr">
        <is>
          <t>1397</t>
        </is>
      </c>
      <c r="F785" t="inlineStr">
        <is>
          <t>성대영</t>
        </is>
      </c>
      <c r="G785" t="inlineStr">
        <is>
          <t>1960-10-15</t>
        </is>
      </c>
      <c r="H785" t="inlineStr">
        <is>
          <t>19601015</t>
        </is>
      </c>
      <c r="I785" t="inlineStr">
        <is>
          <t>1</t>
        </is>
      </c>
      <c r="J785" t="inlineStr">
        <is>
          <t>안성</t>
        </is>
      </c>
      <c r="K785" t="inlineStr"/>
      <c r="L785" t="inlineStr">
        <is>
          <t>경기도 안성시 미양면 제2공단2길 103</t>
        </is>
      </c>
      <c r="M785" t="inlineStr"/>
      <c r="N785" t="inlineStr">
        <is>
          <t>경기도 안성시 미양면 제2공단2길 103</t>
        </is>
      </c>
      <c r="O785" t="inlineStr">
        <is>
          <t>경기도</t>
        </is>
      </c>
      <c r="P785" t="inlineStr">
        <is>
          <t>안성시</t>
        </is>
      </c>
      <c r="Q785" t="inlineStr">
        <is>
          <t>N</t>
        </is>
      </c>
      <c r="R785" t="n">
        <v>0</v>
      </c>
    </row>
    <row r="786">
      <c r="A786" t="n">
        <v>785</v>
      </c>
      <c r="B786" t="inlineStr">
        <is>
          <t>(주)화림제약</t>
        </is>
      </c>
      <c r="C786" t="inlineStr">
        <is>
          <t>화림제약</t>
        </is>
      </c>
      <c r="D786" t="inlineStr">
        <is>
          <t>의약품</t>
        </is>
      </c>
      <c r="E786" t="inlineStr">
        <is>
          <t>1871</t>
        </is>
      </c>
      <c r="F786" t="inlineStr">
        <is>
          <t>박행자</t>
        </is>
      </c>
      <c r="G786" t="inlineStr">
        <is>
          <t>1995-02-14</t>
        </is>
      </c>
      <c r="H786" t="inlineStr">
        <is>
          <t>19950214</t>
        </is>
      </c>
      <c r="I786" t="inlineStr">
        <is>
          <t>2</t>
        </is>
      </c>
      <c r="J786" t="inlineStr">
        <is>
          <t>남구</t>
        </is>
      </c>
      <c r="K786" t="inlineStr">
        <is>
          <t>051-626-7726</t>
        </is>
      </c>
      <c r="L786" t="inlineStr"/>
      <c r="M786" t="inlineStr">
        <is>
          <t>부산 남구 용호3동377-3 6층 5층 603호(보관소) 해운대구 재송동 1121-4(보관소)</t>
        </is>
      </c>
      <c r="N786" t="inlineStr">
        <is>
          <t>부산 남구 용호3동377-3 6층 5층 603호(보관소) 해운대구 재송동 1121-4(보관소)</t>
        </is>
      </c>
      <c r="O786" t="inlineStr">
        <is>
          <t>부산</t>
        </is>
      </c>
      <c r="P786" t="inlineStr">
        <is>
          <t>남구</t>
        </is>
      </c>
      <c r="Q786" t="inlineStr">
        <is>
          <t>Y</t>
        </is>
      </c>
      <c r="R786" t="n">
        <v>87</v>
      </c>
    </row>
    <row r="787">
      <c r="A787" t="n">
        <v>786</v>
      </c>
      <c r="B787" t="inlineStr">
        <is>
          <t>한국에스이엠(주)</t>
        </is>
      </c>
      <c r="C787" t="inlineStr">
        <is>
          <t>한국에스이엠</t>
        </is>
      </c>
      <c r="D787" t="inlineStr">
        <is>
          <t>의약품</t>
        </is>
      </c>
      <c r="E787" t="inlineStr">
        <is>
          <t>1822</t>
        </is>
      </c>
      <c r="F787" t="inlineStr">
        <is>
          <t>강신찬</t>
        </is>
      </c>
      <c r="G787" t="inlineStr">
        <is>
          <t>1994-06-04</t>
        </is>
      </c>
      <c r="H787" t="inlineStr">
        <is>
          <t>19940604</t>
        </is>
      </c>
      <c r="I787" t="inlineStr">
        <is>
          <t>2</t>
        </is>
      </c>
      <c r="J787" t="inlineStr">
        <is>
          <t>2공장</t>
        </is>
      </c>
      <c r="K787" t="inlineStr">
        <is>
          <t>055-375-1214</t>
        </is>
      </c>
      <c r="L787" t="inlineStr">
        <is>
          <t>경상남도 양산시 상북면 소토2길 29-33</t>
        </is>
      </c>
      <c r="M787" t="inlineStr"/>
      <c r="N787" t="inlineStr">
        <is>
          <t>경상남도 양산시 상북면 소토2길 29-33</t>
        </is>
      </c>
      <c r="O787" t="inlineStr">
        <is>
          <t>경상남도</t>
        </is>
      </c>
      <c r="P787" t="inlineStr">
        <is>
          <t>양산시</t>
        </is>
      </c>
      <c r="Q787" t="inlineStr">
        <is>
          <t>N</t>
        </is>
      </c>
      <c r="R787" t="n">
        <v>0</v>
      </c>
    </row>
    <row r="788">
      <c r="A788" t="n">
        <v>787</v>
      </c>
      <c r="B788" t="inlineStr">
        <is>
          <t>주식회사 유한화학</t>
        </is>
      </c>
      <c r="C788" t="inlineStr">
        <is>
          <t>유한화학</t>
        </is>
      </c>
      <c r="D788" t="inlineStr">
        <is>
          <t>의약품</t>
        </is>
      </c>
      <c r="E788" t="inlineStr">
        <is>
          <t>1791</t>
        </is>
      </c>
      <c r="F788" t="inlineStr">
        <is>
          <t>이영래</t>
        </is>
      </c>
      <c r="G788" t="inlineStr">
        <is>
          <t>1993-09-02</t>
        </is>
      </c>
      <c r="H788" t="inlineStr">
        <is>
          <t>19930902</t>
        </is>
      </c>
      <c r="I788" t="inlineStr">
        <is>
          <t>4</t>
        </is>
      </c>
      <c r="J788" t="inlineStr">
        <is>
          <t>화성</t>
        </is>
      </c>
      <c r="K788" t="inlineStr"/>
      <c r="L788" t="inlineStr">
        <is>
          <t>경기도 화성시 만세구 마도면 청원산단8길 162</t>
        </is>
      </c>
      <c r="M788" t="inlineStr"/>
      <c r="N788" t="inlineStr">
        <is>
          <t>경기도 화성시 만세구 마도면 청원산단8길 162</t>
        </is>
      </c>
      <c r="O788" t="inlineStr">
        <is>
          <t>경기도</t>
        </is>
      </c>
      <c r="P788" t="inlineStr">
        <is>
          <t>화성시</t>
        </is>
      </c>
      <c r="Q788" t="inlineStr">
        <is>
          <t>N</t>
        </is>
      </c>
      <c r="R788" t="n">
        <v>0</v>
      </c>
    </row>
    <row r="789">
      <c r="A789" t="n">
        <v>788</v>
      </c>
      <c r="B789" t="inlineStr">
        <is>
          <t>광동제약(주)</t>
        </is>
      </c>
      <c r="C789" t="inlineStr">
        <is>
          <t>광동제약</t>
        </is>
      </c>
      <c r="D789" t="inlineStr">
        <is>
          <t>의약품</t>
        </is>
      </c>
      <c r="E789" t="inlineStr">
        <is>
          <t>0150</t>
        </is>
      </c>
      <c r="F789" t="inlineStr">
        <is>
          <t>박상영</t>
        </is>
      </c>
      <c r="G789" t="inlineStr">
        <is>
          <t>1992-10-16</t>
        </is>
      </c>
      <c r="H789" t="inlineStr">
        <is>
          <t>19921016</t>
        </is>
      </c>
      <c r="I789" t="inlineStr">
        <is>
          <t>1</t>
        </is>
      </c>
      <c r="J789" t="inlineStr">
        <is>
          <t>평택</t>
        </is>
      </c>
      <c r="K789" t="inlineStr">
        <is>
          <t>031-612-1111</t>
        </is>
      </c>
      <c r="L789" t="inlineStr">
        <is>
          <t>경기도 평택시 산단로 114</t>
        </is>
      </c>
      <c r="M789" t="inlineStr"/>
      <c r="N789" t="inlineStr">
        <is>
          <t>경기도 평택시 산단로 114</t>
        </is>
      </c>
      <c r="O789" t="inlineStr">
        <is>
          <t>경기도</t>
        </is>
      </c>
      <c r="P789" t="inlineStr">
        <is>
          <t>평택시</t>
        </is>
      </c>
      <c r="Q789" t="inlineStr">
        <is>
          <t>Y</t>
        </is>
      </c>
      <c r="R789" t="n">
        <v>88</v>
      </c>
    </row>
    <row r="790">
      <c r="A790" t="n">
        <v>789</v>
      </c>
      <c r="B790" t="inlineStr">
        <is>
          <t>아이큐어(주)</t>
        </is>
      </c>
      <c r="C790" t="inlineStr">
        <is>
          <t>아이큐어</t>
        </is>
      </c>
      <c r="D790" t="inlineStr">
        <is>
          <t>의약품</t>
        </is>
      </c>
      <c r="E790" t="inlineStr">
        <is>
          <t>2553</t>
        </is>
      </c>
      <c r="F790" t="inlineStr">
        <is>
          <t>이영석</t>
        </is>
      </c>
      <c r="G790" t="inlineStr">
        <is>
          <t>2006-03-17</t>
        </is>
      </c>
      <c r="H790" t="inlineStr">
        <is>
          <t>20060317</t>
        </is>
      </c>
      <c r="I790" t="inlineStr">
        <is>
          <t>2</t>
        </is>
      </c>
      <c r="J790" t="inlineStr">
        <is>
          <t>완주</t>
        </is>
      </c>
      <c r="K790" t="inlineStr"/>
      <c r="L790" t="inlineStr">
        <is>
          <t>전북특별자치도 완주군 봉동읍 완주산단5로 248</t>
        </is>
      </c>
      <c r="M790" t="inlineStr"/>
      <c r="N790" t="inlineStr">
        <is>
          <t>전북특별자치도 완주군 봉동읍 완주산단5로 248</t>
        </is>
      </c>
      <c r="O790" t="inlineStr">
        <is>
          <t>전북특별자치도</t>
        </is>
      </c>
      <c r="P790" t="inlineStr">
        <is>
          <t>완주군</t>
        </is>
      </c>
      <c r="Q790" t="inlineStr">
        <is>
          <t>N</t>
        </is>
      </c>
      <c r="R790" t="n">
        <v>0</v>
      </c>
    </row>
    <row r="791">
      <c r="A791" t="n">
        <v>790</v>
      </c>
      <c r="B791" t="inlineStr">
        <is>
          <t>대한적십자사전북특별자치도혈액원</t>
        </is>
      </c>
      <c r="C791" t="inlineStr">
        <is>
          <t>대한적십자사전북특별자치도혈액원</t>
        </is>
      </c>
      <c r="D791" t="inlineStr">
        <is>
          <t>의약품</t>
        </is>
      </c>
      <c r="E791" t="inlineStr">
        <is>
          <t>2544</t>
        </is>
      </c>
      <c r="F791" t="inlineStr">
        <is>
          <t>김동기</t>
        </is>
      </c>
      <c r="G791" t="inlineStr">
        <is>
          <t>2006-01-27</t>
        </is>
      </c>
      <c r="H791" t="inlineStr">
        <is>
          <t>20060127</t>
        </is>
      </c>
      <c r="I791" t="inlineStr">
        <is>
          <t>1</t>
        </is>
      </c>
      <c r="J791" t="inlineStr">
        <is>
          <t>제1공장</t>
        </is>
      </c>
      <c r="K791" t="inlineStr">
        <is>
          <t>063-270-5800</t>
        </is>
      </c>
      <c r="L791" t="inlineStr">
        <is>
          <t>전북특별자치도 전주시 덕진구 혁신로 463</t>
        </is>
      </c>
      <c r="M791" t="inlineStr"/>
      <c r="N791" t="inlineStr">
        <is>
          <t>전북특별자치도 전주시 덕진구 혁신로 463</t>
        </is>
      </c>
      <c r="O791" t="inlineStr">
        <is>
          <t>전북특별자치도</t>
        </is>
      </c>
      <c r="P791" t="inlineStr">
        <is>
          <t>전주시</t>
        </is>
      </c>
      <c r="Q791" t="inlineStr">
        <is>
          <t>N</t>
        </is>
      </c>
      <c r="R791" t="n">
        <v>0</v>
      </c>
    </row>
    <row r="792">
      <c r="A792" t="n">
        <v>791</v>
      </c>
      <c r="B792" t="inlineStr">
        <is>
          <t>(주)녹십자엠에스</t>
        </is>
      </c>
      <c r="C792" t="inlineStr">
        <is>
          <t>녹십자엠에스</t>
        </is>
      </c>
      <c r="D792" t="inlineStr">
        <is>
          <t>의약품</t>
        </is>
      </c>
      <c r="E792" t="inlineStr">
        <is>
          <t>2453</t>
        </is>
      </c>
      <c r="F792" t="inlineStr">
        <is>
          <t>김연근</t>
        </is>
      </c>
      <c r="G792" t="inlineStr">
        <is>
          <t>2004-11-18</t>
        </is>
      </c>
      <c r="H792" t="inlineStr">
        <is>
          <t>20041118</t>
        </is>
      </c>
      <c r="I792" t="inlineStr">
        <is>
          <t>11</t>
        </is>
      </c>
      <c r="J792" t="inlineStr">
        <is>
          <t>보관소</t>
        </is>
      </c>
      <c r="K792" t="inlineStr">
        <is>
          <t>0438703630</t>
        </is>
      </c>
      <c r="L792" t="inlineStr">
        <is>
          <t>충청북도 음성군 금왕읍 대금로 1100</t>
        </is>
      </c>
      <c r="M792" t="inlineStr">
        <is>
          <t>(오선리 산103) 가동</t>
        </is>
      </c>
      <c r="N792" t="inlineStr">
        <is>
          <t>충청북도 음성군 금왕읍 대금로 1100 (오선리 산103) 가동</t>
        </is>
      </c>
      <c r="O792" t="inlineStr">
        <is>
          <t>충청북도</t>
        </is>
      </c>
      <c r="P792" t="inlineStr">
        <is>
          <t>음성군</t>
        </is>
      </c>
      <c r="Q792" t="inlineStr">
        <is>
          <t>N</t>
        </is>
      </c>
      <c r="R792" t="n">
        <v>0</v>
      </c>
    </row>
    <row r="793">
      <c r="A793" t="n">
        <v>792</v>
      </c>
      <c r="B793" t="inlineStr">
        <is>
          <t>애경바이오팜 주식회사</t>
        </is>
      </c>
      <c r="C793" t="inlineStr">
        <is>
          <t>애경바이오팜</t>
        </is>
      </c>
      <c r="D793" t="inlineStr">
        <is>
          <t>의약품</t>
        </is>
      </c>
      <c r="E793" t="inlineStr">
        <is>
          <t>6148</t>
        </is>
      </c>
      <c r="F793" t="inlineStr">
        <is>
          <t>김성완</t>
        </is>
      </c>
      <c r="G793" t="inlineStr">
        <is>
          <t>2013-12-23</t>
        </is>
      </c>
      <c r="H793" t="inlineStr">
        <is>
          <t>20131223</t>
        </is>
      </c>
      <c r="I793" t="inlineStr">
        <is>
          <t>1</t>
        </is>
      </c>
      <c r="J793" t="inlineStr">
        <is>
          <t>제1공장</t>
        </is>
      </c>
      <c r="K793" t="inlineStr">
        <is>
          <t>(052)259-4500</t>
        </is>
      </c>
      <c r="L793" t="inlineStr">
        <is>
          <t>울산광역시 남구 상개로 81</t>
        </is>
      </c>
      <c r="M793" t="inlineStr">
        <is>
          <t>(80, 80A)동</t>
        </is>
      </c>
      <c r="N793" t="inlineStr">
        <is>
          <t>울산광역시 남구 상개로 81 (80, 80A)동</t>
        </is>
      </c>
      <c r="O793" t="inlineStr">
        <is>
          <t>울산광역시</t>
        </is>
      </c>
      <c r="P793" t="inlineStr">
        <is>
          <t>남구</t>
        </is>
      </c>
      <c r="Q793" t="inlineStr">
        <is>
          <t>N</t>
        </is>
      </c>
      <c r="R793" t="n">
        <v>0</v>
      </c>
    </row>
    <row r="794">
      <c r="A794" t="n">
        <v>793</v>
      </c>
      <c r="B794" t="inlineStr">
        <is>
          <t>아이엠씨디코리아주식회사</t>
        </is>
      </c>
      <c r="C794" t="inlineStr">
        <is>
          <t>아이엠씨디코리아</t>
        </is>
      </c>
      <c r="D794" t="inlineStr">
        <is>
          <t>의약품</t>
        </is>
      </c>
      <c r="E794" t="inlineStr">
        <is>
          <t>0255</t>
        </is>
      </c>
      <c r="F794" t="inlineStr">
        <is>
          <t>이동준</t>
        </is>
      </c>
      <c r="G794" t="inlineStr">
        <is>
          <t>2000-11-15</t>
        </is>
      </c>
      <c r="H794" t="inlineStr">
        <is>
          <t>20001115</t>
        </is>
      </c>
      <c r="I794" t="inlineStr">
        <is>
          <t>1</t>
        </is>
      </c>
      <c r="J794" t="inlineStr">
        <is>
          <t>화성시</t>
        </is>
      </c>
      <c r="K794" t="inlineStr">
        <is>
          <t>02-573-1858</t>
        </is>
      </c>
      <c r="L794" t="inlineStr">
        <is>
          <t>경기도 화성시 향남읍 발안공단로1길 26</t>
        </is>
      </c>
      <c r="M794" t="inlineStr"/>
      <c r="N794" t="inlineStr">
        <is>
          <t>경기도 화성시 향남읍 발안공단로1길 26</t>
        </is>
      </c>
      <c r="O794" t="inlineStr">
        <is>
          <t>경기도</t>
        </is>
      </c>
      <c r="P794" t="inlineStr">
        <is>
          <t>화성시</t>
        </is>
      </c>
      <c r="Q794" t="inlineStr">
        <is>
          <t>N</t>
        </is>
      </c>
      <c r="R794" t="n">
        <v>0</v>
      </c>
    </row>
    <row r="795">
      <c r="A795" t="n">
        <v>794</v>
      </c>
      <c r="B795" t="inlineStr">
        <is>
          <t>(주)메디톡스</t>
        </is>
      </c>
      <c r="C795" t="inlineStr">
        <is>
          <t>메디톡스</t>
        </is>
      </c>
      <c r="D795" t="inlineStr">
        <is>
          <t>의약품</t>
        </is>
      </c>
      <c r="E795" t="inlineStr">
        <is>
          <t>2454</t>
        </is>
      </c>
      <c r="F795" t="inlineStr">
        <is>
          <t>정현호</t>
        </is>
      </c>
      <c r="G795" t="inlineStr">
        <is>
          <t>2004-11-19</t>
        </is>
      </c>
      <c r="H795" t="inlineStr">
        <is>
          <t>20041119</t>
        </is>
      </c>
      <c r="I795" t="inlineStr">
        <is>
          <t>2</t>
        </is>
      </c>
      <c r="J795" t="inlineStr">
        <is>
          <t>오송</t>
        </is>
      </c>
      <c r="K795" t="inlineStr">
        <is>
          <t>041-544-1558</t>
        </is>
      </c>
      <c r="L795" t="inlineStr">
        <is>
          <t>충청북도 청주시 흥덕구 오송읍 오송생명6로 71</t>
        </is>
      </c>
      <c r="M795" t="inlineStr"/>
      <c r="N795" t="inlineStr">
        <is>
          <t>충청북도 청주시 흥덕구 오송읍 오송생명6로 71</t>
        </is>
      </c>
      <c r="O795" t="inlineStr">
        <is>
          <t>충청북도</t>
        </is>
      </c>
      <c r="P795" t="inlineStr">
        <is>
          <t>청주시</t>
        </is>
      </c>
      <c r="Q795" t="inlineStr">
        <is>
          <t>N</t>
        </is>
      </c>
      <c r="R795" t="n">
        <v>0</v>
      </c>
    </row>
    <row r="796">
      <c r="A796" t="n">
        <v>795</v>
      </c>
      <c r="B796" t="inlineStr">
        <is>
          <t>(주)하원제약</t>
        </is>
      </c>
      <c r="C796" t="inlineStr">
        <is>
          <t>하원제약</t>
        </is>
      </c>
      <c r="D796" t="inlineStr">
        <is>
          <t>의약품</t>
        </is>
      </c>
      <c r="E796" t="inlineStr">
        <is>
          <t>1447</t>
        </is>
      </c>
      <c r="F796" t="inlineStr">
        <is>
          <t>구대호</t>
        </is>
      </c>
      <c r="G796" t="inlineStr">
        <is>
          <t>1964-08-20</t>
        </is>
      </c>
      <c r="H796" t="inlineStr">
        <is>
          <t>19640820</t>
        </is>
      </c>
      <c r="I796" t="inlineStr">
        <is>
          <t>1</t>
        </is>
      </c>
      <c r="J796" t="inlineStr">
        <is>
          <t>평택공장</t>
        </is>
      </c>
      <c r="K796" t="inlineStr">
        <is>
          <t>031)667-6272</t>
        </is>
      </c>
      <c r="L796" t="inlineStr">
        <is>
          <t>경기도 평택시 진위면 가곡길 42</t>
        </is>
      </c>
      <c r="M796" t="inlineStr"/>
      <c r="N796" t="inlineStr">
        <is>
          <t>경기도 평택시 진위면 가곡길 42</t>
        </is>
      </c>
      <c r="O796" t="inlineStr">
        <is>
          <t>경기도</t>
        </is>
      </c>
      <c r="P796" t="inlineStr">
        <is>
          <t>평택시</t>
        </is>
      </c>
      <c r="Q796" t="inlineStr">
        <is>
          <t>N</t>
        </is>
      </c>
      <c r="R796" t="n">
        <v>0</v>
      </c>
    </row>
    <row r="797">
      <c r="A797" t="n">
        <v>796</v>
      </c>
      <c r="B797" t="inlineStr">
        <is>
          <t>(주)파마리서치</t>
        </is>
      </c>
      <c r="C797" t="inlineStr">
        <is>
          <t>파마리서치</t>
        </is>
      </c>
      <c r="D797" t="inlineStr">
        <is>
          <t>의약품</t>
        </is>
      </c>
      <c r="E797" t="inlineStr">
        <is>
          <t>335</t>
        </is>
      </c>
      <c r="F797" t="inlineStr">
        <is>
          <t>손지훈</t>
        </is>
      </c>
      <c r="G797" t="inlineStr">
        <is>
          <t>2013-07-19</t>
        </is>
      </c>
      <c r="H797" t="inlineStr">
        <is>
          <t>20130719</t>
        </is>
      </c>
      <c r="I797" t="inlineStr">
        <is>
          <t>1</t>
        </is>
      </c>
      <c r="J797" t="inlineStr">
        <is>
          <t>영업소</t>
        </is>
      </c>
      <c r="K797" t="inlineStr"/>
      <c r="L797" t="inlineStr">
        <is>
          <t>강원특별자치도 강릉시 과학단지로 77-19</t>
        </is>
      </c>
      <c r="M797" t="inlineStr">
        <is>
          <t>(대전동)</t>
        </is>
      </c>
      <c r="N797" t="inlineStr">
        <is>
          <t>강원특별자치도 강릉시 과학단지로 77-19 (대전동)</t>
        </is>
      </c>
      <c r="O797" t="inlineStr">
        <is>
          <t>강원특별자치도</t>
        </is>
      </c>
      <c r="P797" t="inlineStr">
        <is>
          <t>강릉시</t>
        </is>
      </c>
      <c r="Q797" t="inlineStr">
        <is>
          <t>N</t>
        </is>
      </c>
      <c r="R797" t="n">
        <v>0</v>
      </c>
    </row>
    <row r="798">
      <c r="A798" t="n">
        <v>797</v>
      </c>
      <c r="B798" t="inlineStr">
        <is>
          <t>(주)와이즈메디</t>
        </is>
      </c>
      <c r="C798" t="inlineStr">
        <is>
          <t>와이즈메디</t>
        </is>
      </c>
      <c r="D798" t="inlineStr">
        <is>
          <t>의약품</t>
        </is>
      </c>
      <c r="E798" t="inlineStr">
        <is>
          <t>2464</t>
        </is>
      </c>
      <c r="F798" t="inlineStr">
        <is>
          <t>강덕현</t>
        </is>
      </c>
      <c r="G798" t="inlineStr">
        <is>
          <t>2005-01-20</t>
        </is>
      </c>
      <c r="H798" t="inlineStr">
        <is>
          <t>20050120</t>
        </is>
      </c>
      <c r="I798" t="inlineStr">
        <is>
          <t>2</t>
        </is>
      </c>
      <c r="J798" t="inlineStr">
        <is>
          <t>진천</t>
        </is>
      </c>
      <c r="K798" t="inlineStr"/>
      <c r="L798" t="inlineStr">
        <is>
          <t>충청북도 진천군 광혜원면 용소길 90</t>
        </is>
      </c>
      <c r="M798" t="inlineStr"/>
      <c r="N798" t="inlineStr">
        <is>
          <t>충청북도 진천군 광혜원면 용소길 90</t>
        </is>
      </c>
      <c r="O798" t="inlineStr">
        <is>
          <t>충청북도</t>
        </is>
      </c>
      <c r="P798" t="inlineStr">
        <is>
          <t>진천군</t>
        </is>
      </c>
      <c r="Q798" t="inlineStr">
        <is>
          <t>N</t>
        </is>
      </c>
      <c r="R798" t="n">
        <v>0</v>
      </c>
    </row>
    <row r="799">
      <c r="A799" t="n">
        <v>798</v>
      </c>
      <c r="B799" t="inlineStr">
        <is>
          <t>(주)유앤생명과학</t>
        </is>
      </c>
      <c r="C799" t="inlineStr">
        <is>
          <t>유앤생명과학</t>
        </is>
      </c>
      <c r="D799" t="inlineStr">
        <is>
          <t>의약품</t>
        </is>
      </c>
      <c r="E799" t="inlineStr">
        <is>
          <t>379</t>
        </is>
      </c>
      <c r="F799" t="inlineStr">
        <is>
          <t>김상한</t>
        </is>
      </c>
      <c r="G799" t="inlineStr">
        <is>
          <t>2019-10-14</t>
        </is>
      </c>
      <c r="H799" t="inlineStr">
        <is>
          <t>20191014</t>
        </is>
      </c>
      <c r="I799" t="inlineStr">
        <is>
          <t>1</t>
        </is>
      </c>
      <c r="J799" t="inlineStr">
        <is>
          <t>제1공장</t>
        </is>
      </c>
      <c r="K799" t="inlineStr">
        <is>
          <t>02-6952-8838</t>
        </is>
      </c>
      <c r="L799" t="inlineStr">
        <is>
          <t>경기도 안산시 단원구 별망로 627</t>
        </is>
      </c>
      <c r="M799" t="inlineStr"/>
      <c r="N799" t="inlineStr">
        <is>
          <t>경기도 안산시 단원구 별망로 627</t>
        </is>
      </c>
      <c r="O799" t="inlineStr">
        <is>
          <t>경기도</t>
        </is>
      </c>
      <c r="P799" t="inlineStr">
        <is>
          <t>안산시</t>
        </is>
      </c>
      <c r="Q799" t="inlineStr">
        <is>
          <t>N</t>
        </is>
      </c>
      <c r="R799" t="n">
        <v>0</v>
      </c>
    </row>
    <row r="800">
      <c r="A800" t="n">
        <v>799</v>
      </c>
      <c r="B800" t="inlineStr">
        <is>
          <t>(주)듀켐바이오</t>
        </is>
      </c>
      <c r="C800" t="inlineStr">
        <is>
          <t>듀켐바이오</t>
        </is>
      </c>
      <c r="D800" t="inlineStr">
        <is>
          <t>의약품</t>
        </is>
      </c>
      <c r="E800" t="inlineStr">
        <is>
          <t>2437</t>
        </is>
      </c>
      <c r="F800" t="inlineStr">
        <is>
          <t>김상우</t>
        </is>
      </c>
      <c r="G800" t="inlineStr">
        <is>
          <t>2004-07-22</t>
        </is>
      </c>
      <c r="H800" t="inlineStr">
        <is>
          <t>20040722</t>
        </is>
      </c>
      <c r="I800" t="inlineStr">
        <is>
          <t>3</t>
        </is>
      </c>
      <c r="J800" t="inlineStr">
        <is>
          <t>제3공장(강원도춘천)</t>
        </is>
      </c>
      <c r="K800" t="inlineStr">
        <is>
          <t>042-488-6205</t>
        </is>
      </c>
      <c r="L800" t="inlineStr"/>
      <c r="M800" t="inlineStr">
        <is>
          <t>강원도 춘천시 백령로 156</t>
        </is>
      </c>
      <c r="N800" t="inlineStr">
        <is>
          <t>강원도 춘천시 백령로 156</t>
        </is>
      </c>
      <c r="O800" t="inlineStr">
        <is>
          <t>강원도</t>
        </is>
      </c>
      <c r="P800" t="inlineStr">
        <is>
          <t>춘천시</t>
        </is>
      </c>
      <c r="Q800" t="inlineStr">
        <is>
          <t>N</t>
        </is>
      </c>
      <c r="R800" t="n">
        <v>0</v>
      </c>
    </row>
    <row r="801">
      <c r="A801" t="n">
        <v>800</v>
      </c>
      <c r="B801" t="inlineStr">
        <is>
          <t>에이치케이이노엔(주)</t>
        </is>
      </c>
      <c r="C801" t="inlineStr">
        <is>
          <t>에이치케이이노엔</t>
        </is>
      </c>
      <c r="D801" t="inlineStr">
        <is>
          <t>의약품</t>
        </is>
      </c>
      <c r="E801" t="inlineStr">
        <is>
          <t>1452</t>
        </is>
      </c>
      <c r="F801" t="inlineStr">
        <is>
          <t>곽달원</t>
        </is>
      </c>
      <c r="G801" t="inlineStr">
        <is>
          <t>1964-12-07</t>
        </is>
      </c>
      <c r="H801" t="inlineStr">
        <is>
          <t>19641207</t>
        </is>
      </c>
      <c r="I801" t="inlineStr">
        <is>
          <t>2</t>
        </is>
      </c>
      <c r="J801" t="inlineStr">
        <is>
          <t>이천</t>
        </is>
      </c>
      <c r="K801" t="inlineStr"/>
      <c r="L801" t="inlineStr">
        <is>
          <t>경기도 이천시 마장면 덕평로 811</t>
        </is>
      </c>
      <c r="M801" t="inlineStr"/>
      <c r="N801" t="inlineStr">
        <is>
          <t>경기도 이천시 마장면 덕평로 811</t>
        </is>
      </c>
      <c r="O801" t="inlineStr">
        <is>
          <t>경기도</t>
        </is>
      </c>
      <c r="P801" t="inlineStr">
        <is>
          <t>이천시</t>
        </is>
      </c>
      <c r="Q801" t="inlineStr">
        <is>
          <t>N</t>
        </is>
      </c>
      <c r="R801" t="n">
        <v>0</v>
      </c>
    </row>
    <row r="802">
      <c r="A802" t="n">
        <v>801</v>
      </c>
      <c r="B802" t="inlineStr">
        <is>
          <t>(주)텔콘알에프제약</t>
        </is>
      </c>
      <c r="C802" t="inlineStr">
        <is>
          <t>텔콘알에프제약</t>
        </is>
      </c>
      <c r="D802" t="inlineStr">
        <is>
          <t>의약품</t>
        </is>
      </c>
      <c r="E802" t="inlineStr">
        <is>
          <t>2603</t>
        </is>
      </c>
      <c r="F802" t="inlineStr">
        <is>
          <t>김지훈</t>
        </is>
      </c>
      <c r="G802" t="inlineStr">
        <is>
          <t>2012-11-27</t>
        </is>
      </c>
      <c r="H802" t="inlineStr">
        <is>
          <t>20121127</t>
        </is>
      </c>
      <c r="I802" t="inlineStr">
        <is>
          <t>2</t>
        </is>
      </c>
      <c r="J802" t="inlineStr">
        <is>
          <t>보관소</t>
        </is>
      </c>
      <c r="K802" t="inlineStr"/>
      <c r="L802" t="inlineStr">
        <is>
          <t>경기도 평택시 오성면 오성산단1로 131</t>
        </is>
      </c>
      <c r="M802" t="inlineStr">
        <is>
          <t>C동 7층(일부)</t>
        </is>
      </c>
      <c r="N802" t="inlineStr">
        <is>
          <t>경기도 평택시 오성면 오성산단1로 131 C동 7층(일부)</t>
        </is>
      </c>
      <c r="O802" t="inlineStr">
        <is>
          <t>경기도</t>
        </is>
      </c>
      <c r="P802" t="inlineStr">
        <is>
          <t>평택시</t>
        </is>
      </c>
      <c r="Q802" t="inlineStr">
        <is>
          <t>N</t>
        </is>
      </c>
      <c r="R802" t="n">
        <v>0</v>
      </c>
    </row>
    <row r="803">
      <c r="A803" t="n">
        <v>802</v>
      </c>
      <c r="B803" t="inlineStr">
        <is>
          <t>(주)한국호넥스</t>
        </is>
      </c>
      <c r="C803" t="inlineStr">
        <is>
          <t>한국호넥스</t>
        </is>
      </c>
      <c r="D803" t="inlineStr">
        <is>
          <t>의약품</t>
        </is>
      </c>
      <c r="E803" t="inlineStr">
        <is>
          <t>2651</t>
        </is>
      </c>
      <c r="F803" t="inlineStr">
        <is>
          <t>유성재</t>
        </is>
      </c>
      <c r="G803" t="inlineStr">
        <is>
          <t>2019-03-04</t>
        </is>
      </c>
      <c r="H803" t="inlineStr">
        <is>
          <t>20190304</t>
        </is>
      </c>
      <c r="I803" t="inlineStr">
        <is>
          <t>1</t>
        </is>
      </c>
      <c r="J803" t="inlineStr">
        <is>
          <t>(주)한국호넥스</t>
        </is>
      </c>
      <c r="K803" t="inlineStr">
        <is>
          <t>043-846-4907</t>
        </is>
      </c>
      <c r="L803" t="inlineStr">
        <is>
          <t>충청북도 충주시 대소원면 메가폴리스3로 43</t>
        </is>
      </c>
      <c r="M803" t="inlineStr"/>
      <c r="N803" t="inlineStr">
        <is>
          <t>충청북도 충주시 대소원면 메가폴리스3로 43</t>
        </is>
      </c>
      <c r="O803" t="inlineStr">
        <is>
          <t>충청북도</t>
        </is>
      </c>
      <c r="P803" t="inlineStr">
        <is>
          <t>충주시</t>
        </is>
      </c>
      <c r="Q803" t="inlineStr">
        <is>
          <t>Y</t>
        </is>
      </c>
      <c r="R803" t="n">
        <v>73</v>
      </c>
    </row>
    <row r="804">
      <c r="A804" t="n">
        <v>803</v>
      </c>
      <c r="B804" t="inlineStr">
        <is>
          <t>시원생약(주)</t>
        </is>
      </c>
      <c r="C804" t="inlineStr">
        <is>
          <t>시원생약</t>
        </is>
      </c>
      <c r="D804" t="inlineStr">
        <is>
          <t>의약품</t>
        </is>
      </c>
      <c r="E804" t="inlineStr">
        <is>
          <t>2400</t>
        </is>
      </c>
      <c r="F804" t="inlineStr">
        <is>
          <t>김복선</t>
        </is>
      </c>
      <c r="G804" t="inlineStr">
        <is>
          <t>2003-11-22</t>
        </is>
      </c>
      <c r="H804" t="inlineStr">
        <is>
          <t>20031122</t>
        </is>
      </c>
      <c r="I804" t="inlineStr">
        <is>
          <t>1</t>
        </is>
      </c>
      <c r="J804" t="inlineStr">
        <is>
          <t>제1공장</t>
        </is>
      </c>
      <c r="K804" t="inlineStr">
        <is>
          <t>043-537-2488</t>
        </is>
      </c>
      <c r="L804" t="inlineStr">
        <is>
          <t>충청북도 진천군 덕산면 초금로 452</t>
        </is>
      </c>
      <c r="M804" t="inlineStr"/>
      <c r="N804" t="inlineStr">
        <is>
          <t>충청북도 진천군 덕산면 초금로 452</t>
        </is>
      </c>
      <c r="O804" t="inlineStr">
        <is>
          <t>충청북도</t>
        </is>
      </c>
      <c r="P804" t="inlineStr">
        <is>
          <t>진천군</t>
        </is>
      </c>
      <c r="Q804" t="inlineStr">
        <is>
          <t>N</t>
        </is>
      </c>
      <c r="R804" t="n">
        <v>0</v>
      </c>
    </row>
    <row r="805">
      <c r="A805" t="n">
        <v>804</v>
      </c>
      <c r="B805" t="inlineStr">
        <is>
          <t>국제약품(주)</t>
        </is>
      </c>
      <c r="C805" t="inlineStr">
        <is>
          <t>국제약품</t>
        </is>
      </c>
      <c r="D805" t="inlineStr">
        <is>
          <t>의약품</t>
        </is>
      </c>
      <c r="E805" t="inlineStr">
        <is>
          <t>1419</t>
        </is>
      </c>
      <c r="F805" t="inlineStr">
        <is>
          <t>남태훈</t>
        </is>
      </c>
      <c r="G805" t="inlineStr">
        <is>
          <t>1962-08-16</t>
        </is>
      </c>
      <c r="H805" t="inlineStr">
        <is>
          <t>19620816</t>
        </is>
      </c>
      <c r="I805" t="inlineStr">
        <is>
          <t>1</t>
        </is>
      </c>
      <c r="J805" t="inlineStr">
        <is>
          <t>안산</t>
        </is>
      </c>
      <c r="K805" t="inlineStr">
        <is>
          <t>031-491-9411~4</t>
        </is>
      </c>
      <c r="L805" t="inlineStr">
        <is>
          <t>경기도 안산시 단원구 산성로 47</t>
        </is>
      </c>
      <c r="M805" t="inlineStr"/>
      <c r="N805" t="inlineStr">
        <is>
          <t>경기도 안산시 단원구 산성로 47</t>
        </is>
      </c>
      <c r="O805" t="inlineStr">
        <is>
          <t>경기도</t>
        </is>
      </c>
      <c r="P805" t="inlineStr">
        <is>
          <t>안산시</t>
        </is>
      </c>
      <c r="Q805" t="inlineStr">
        <is>
          <t>N</t>
        </is>
      </c>
      <c r="R805" t="n">
        <v>0</v>
      </c>
    </row>
    <row r="806">
      <c r="A806" t="n">
        <v>805</v>
      </c>
      <c r="B806" t="inlineStr">
        <is>
          <t>(주)옥천당</t>
        </is>
      </c>
      <c r="C806" t="inlineStr">
        <is>
          <t>옥천당</t>
        </is>
      </c>
      <c r="D806" t="inlineStr">
        <is>
          <t>의약품</t>
        </is>
      </c>
      <c r="E806" t="inlineStr">
        <is>
          <t>342</t>
        </is>
      </c>
      <c r="F806" t="inlineStr">
        <is>
          <t>구성민</t>
        </is>
      </c>
      <c r="G806" t="inlineStr">
        <is>
          <t>2011-12-26</t>
        </is>
      </c>
      <c r="H806" t="inlineStr">
        <is>
          <t>20111226</t>
        </is>
      </c>
      <c r="I806" t="inlineStr">
        <is>
          <t>1</t>
        </is>
      </c>
      <c r="J806" t="inlineStr">
        <is>
          <t>제1공장</t>
        </is>
      </c>
      <c r="K806" t="inlineStr">
        <is>
          <t>054-337-0788</t>
        </is>
      </c>
      <c r="L806" t="inlineStr">
        <is>
          <t>경상북도 영천시 임고면 황강공단길 15-4</t>
        </is>
      </c>
      <c r="M806" t="inlineStr"/>
      <c r="N806" t="inlineStr">
        <is>
          <t>경상북도 영천시 임고면 황강공단길 15-4</t>
        </is>
      </c>
      <c r="O806" t="inlineStr">
        <is>
          <t>경상북도</t>
        </is>
      </c>
      <c r="P806" t="inlineStr">
        <is>
          <t>영천시</t>
        </is>
      </c>
      <c r="Q806" t="inlineStr">
        <is>
          <t>N</t>
        </is>
      </c>
      <c r="R806" t="n">
        <v>0</v>
      </c>
    </row>
    <row r="807">
      <c r="A807" t="n">
        <v>806</v>
      </c>
      <c r="B807" t="inlineStr">
        <is>
          <t>주식회사삼인제약</t>
        </is>
      </c>
      <c r="C807" t="inlineStr">
        <is>
          <t>삼인제약</t>
        </is>
      </c>
      <c r="D807" t="inlineStr">
        <is>
          <t>의약품</t>
        </is>
      </c>
      <c r="E807" t="inlineStr">
        <is>
          <t>2650</t>
        </is>
      </c>
      <c r="F807" t="inlineStr">
        <is>
          <t>최기룡</t>
        </is>
      </c>
      <c r="G807" t="inlineStr">
        <is>
          <t>2019-01-30</t>
        </is>
      </c>
      <c r="H807" t="inlineStr">
        <is>
          <t>20190130</t>
        </is>
      </c>
      <c r="I807" t="inlineStr">
        <is>
          <t>1</t>
        </is>
      </c>
      <c r="J807" t="inlineStr">
        <is>
          <t>삼인제약 증평공장</t>
        </is>
      </c>
      <c r="K807" t="inlineStr">
        <is>
          <t>043-838-3191</t>
        </is>
      </c>
      <c r="L807" t="inlineStr">
        <is>
          <t>충청북도 증평군 증평읍 덕상로 96</t>
        </is>
      </c>
      <c r="M807" t="inlineStr"/>
      <c r="N807" t="inlineStr">
        <is>
          <t>충청북도 증평군 증평읍 덕상로 96</t>
        </is>
      </c>
      <c r="O807" t="inlineStr">
        <is>
          <t>충청북도</t>
        </is>
      </c>
      <c r="P807" t="inlineStr">
        <is>
          <t>증평군</t>
        </is>
      </c>
      <c r="Q807" t="inlineStr">
        <is>
          <t>Y</t>
        </is>
      </c>
      <c r="R807" t="n">
        <v>54</v>
      </c>
    </row>
    <row r="808">
      <c r="A808" t="n">
        <v>807</v>
      </c>
      <c r="B808" t="inlineStr">
        <is>
          <t>대화제약(주)</t>
        </is>
      </c>
      <c r="C808" t="inlineStr">
        <is>
          <t>대화제약</t>
        </is>
      </c>
      <c r="D808" t="inlineStr">
        <is>
          <t>의약품</t>
        </is>
      </c>
      <c r="E808" t="inlineStr">
        <is>
          <t>1410</t>
        </is>
      </c>
      <c r="F808" t="inlineStr">
        <is>
          <t>김은석</t>
        </is>
      </c>
      <c r="G808" t="inlineStr">
        <is>
          <t>2001-01-06</t>
        </is>
      </c>
      <c r="H808" t="inlineStr">
        <is>
          <t>20010106</t>
        </is>
      </c>
      <c r="I808" t="inlineStr">
        <is>
          <t>1</t>
        </is>
      </c>
      <c r="J808" t="inlineStr">
        <is>
          <t>횡성</t>
        </is>
      </c>
      <c r="K808" t="inlineStr">
        <is>
          <t>033-342-5140</t>
        </is>
      </c>
      <c r="L808" t="inlineStr">
        <is>
          <t>강원특별자치도 횡성군 횡성읍 한우로 495</t>
        </is>
      </c>
      <c r="M808" t="inlineStr"/>
      <c r="N808" t="inlineStr">
        <is>
          <t>강원특별자치도 횡성군 횡성읍 한우로 495</t>
        </is>
      </c>
      <c r="O808" t="inlineStr">
        <is>
          <t>강원특별자치도</t>
        </is>
      </c>
      <c r="P808" t="inlineStr">
        <is>
          <t>횡성군</t>
        </is>
      </c>
      <c r="Q808" t="inlineStr">
        <is>
          <t>N</t>
        </is>
      </c>
      <c r="R808" t="n">
        <v>0</v>
      </c>
    </row>
    <row r="809">
      <c r="A809" t="n">
        <v>808</v>
      </c>
      <c r="B809" t="inlineStr">
        <is>
          <t>(주)파마리서치바이오</t>
        </is>
      </c>
      <c r="C809" t="inlineStr">
        <is>
          <t>파마리서치바이오</t>
        </is>
      </c>
      <c r="D809" t="inlineStr">
        <is>
          <t>의약품</t>
        </is>
      </c>
      <c r="E809" t="inlineStr">
        <is>
          <t>374</t>
        </is>
      </c>
      <c r="F809" t="inlineStr">
        <is>
          <t>백승걸</t>
        </is>
      </c>
      <c r="G809" t="inlineStr">
        <is>
          <t>2018-08-21</t>
        </is>
      </c>
      <c r="H809" t="inlineStr">
        <is>
          <t>20180821</t>
        </is>
      </c>
      <c r="I809" t="inlineStr">
        <is>
          <t>1</t>
        </is>
      </c>
      <c r="J809" t="inlineStr">
        <is>
          <t>(주)파마리서치바이오</t>
        </is>
      </c>
      <c r="K809" t="inlineStr"/>
      <c r="L809" t="inlineStr">
        <is>
          <t>강원특별자치도 강릉시 사임당로 641-3</t>
        </is>
      </c>
      <c r="M809" t="inlineStr">
        <is>
          <t>1층, 2층, 3층 일부(대전동)</t>
        </is>
      </c>
      <c r="N809" t="inlineStr">
        <is>
          <t>강원특별자치도 강릉시 사임당로 641-3 1층, 2층, 3층 일부(대전동)</t>
        </is>
      </c>
      <c r="O809" t="inlineStr">
        <is>
          <t>강원특별자치도</t>
        </is>
      </c>
      <c r="P809" t="inlineStr">
        <is>
          <t>강릉시</t>
        </is>
      </c>
      <c r="Q809" t="inlineStr">
        <is>
          <t>Y</t>
        </is>
      </c>
      <c r="R809" t="n">
        <v>74</v>
      </c>
    </row>
    <row r="810">
      <c r="A810" t="n">
        <v>809</v>
      </c>
      <c r="B810" t="inlineStr">
        <is>
          <t>(주)일화</t>
        </is>
      </c>
      <c r="C810" t="inlineStr">
        <is>
          <t>일화</t>
        </is>
      </c>
      <c r="D810" t="inlineStr">
        <is>
          <t>의약품</t>
        </is>
      </c>
      <c r="E810" t="inlineStr">
        <is>
          <t>1396</t>
        </is>
      </c>
      <c r="F810" t="inlineStr">
        <is>
          <t>권형중</t>
        </is>
      </c>
      <c r="G810" t="inlineStr">
        <is>
          <t>1960-08-12</t>
        </is>
      </c>
      <c r="H810" t="inlineStr">
        <is>
          <t>19600812</t>
        </is>
      </c>
      <c r="I810" t="inlineStr">
        <is>
          <t>4</t>
        </is>
      </c>
      <c r="J810" t="inlineStr">
        <is>
          <t>금산</t>
        </is>
      </c>
      <c r="K810" t="inlineStr">
        <is>
          <t>031-550-0477</t>
        </is>
      </c>
      <c r="L810" t="inlineStr">
        <is>
          <t>충청남도 금산군 복수면 다복로 491-17</t>
        </is>
      </c>
      <c r="M810" t="inlineStr"/>
      <c r="N810" t="inlineStr">
        <is>
          <t>충청남도 금산군 복수면 다복로 491-17</t>
        </is>
      </c>
      <c r="O810" t="inlineStr">
        <is>
          <t>충청남도</t>
        </is>
      </c>
      <c r="P810" t="inlineStr">
        <is>
          <t>금산군</t>
        </is>
      </c>
      <c r="Q810" t="inlineStr">
        <is>
          <t>N</t>
        </is>
      </c>
      <c r="R810" t="n">
        <v>0</v>
      </c>
    </row>
    <row r="811">
      <c r="A811" t="n">
        <v>810</v>
      </c>
      <c r="B811" t="inlineStr">
        <is>
          <t>삼전순약공업(주)</t>
        </is>
      </c>
      <c r="C811" t="inlineStr">
        <is>
          <t>삼전순약공업</t>
        </is>
      </c>
      <c r="D811" t="inlineStr">
        <is>
          <t>의약품</t>
        </is>
      </c>
      <c r="E811" t="inlineStr">
        <is>
          <t>1941</t>
        </is>
      </c>
      <c r="F811" t="inlineStr">
        <is>
          <t>박두곤</t>
        </is>
      </c>
      <c r="G811" t="inlineStr">
        <is>
          <t>1996-08-29</t>
        </is>
      </c>
      <c r="H811" t="inlineStr">
        <is>
          <t>19960829</t>
        </is>
      </c>
      <c r="I811" t="inlineStr">
        <is>
          <t>2</t>
        </is>
      </c>
      <c r="J811" t="inlineStr">
        <is>
          <t>원료보관소</t>
        </is>
      </c>
      <c r="K811" t="inlineStr"/>
      <c r="L811" t="inlineStr">
        <is>
          <t>경기도 평택시 산단로64번길 15</t>
        </is>
      </c>
      <c r="M811" t="inlineStr">
        <is>
          <t>, F동일부</t>
        </is>
      </c>
      <c r="N811" t="inlineStr">
        <is>
          <t>경기도 평택시 산단로64번길 15 , F동일부</t>
        </is>
      </c>
      <c r="O811" t="inlineStr">
        <is>
          <t>경기도</t>
        </is>
      </c>
      <c r="P811" t="inlineStr">
        <is>
          <t>평택시</t>
        </is>
      </c>
      <c r="Q811" t="inlineStr">
        <is>
          <t>Y</t>
        </is>
      </c>
      <c r="R811" t="n">
        <v>89</v>
      </c>
    </row>
    <row r="812">
      <c r="A812" t="n">
        <v>811</v>
      </c>
      <c r="B812" t="inlineStr">
        <is>
          <t>대정화금(주)</t>
        </is>
      </c>
      <c r="C812" t="inlineStr">
        <is>
          <t>대정화금</t>
        </is>
      </c>
      <c r="D812" t="inlineStr">
        <is>
          <t>의약품</t>
        </is>
      </c>
      <c r="E812" t="inlineStr">
        <is>
          <t>1886</t>
        </is>
      </c>
      <c r="F812" t="inlineStr">
        <is>
          <t>송영준</t>
        </is>
      </c>
      <c r="G812" t="inlineStr">
        <is>
          <t>1995-09-21</t>
        </is>
      </c>
      <c r="H812" t="inlineStr">
        <is>
          <t>19950921</t>
        </is>
      </c>
      <c r="I812" t="inlineStr">
        <is>
          <t>1</t>
        </is>
      </c>
      <c r="J812" t="inlineStr">
        <is>
          <t>제1공장</t>
        </is>
      </c>
      <c r="K812" t="inlineStr">
        <is>
          <t>031-488-8821</t>
        </is>
      </c>
      <c r="L812" t="inlineStr">
        <is>
          <t>경기도 시흥시 서해안로 186</t>
        </is>
      </c>
      <c r="M812" t="inlineStr">
        <is>
          <t>(시화공단 1다 107) (정왕동)</t>
        </is>
      </c>
      <c r="N812" t="inlineStr">
        <is>
          <t>경기도 시흥시 서해안로 186 (시화공단 1다 107) (정왕동)</t>
        </is>
      </c>
      <c r="O812" t="inlineStr">
        <is>
          <t>경기도</t>
        </is>
      </c>
      <c r="P812" t="inlineStr">
        <is>
          <t>시흥시</t>
        </is>
      </c>
      <c r="Q812" t="inlineStr">
        <is>
          <t>N</t>
        </is>
      </c>
      <c r="R812" t="n">
        <v>0</v>
      </c>
    </row>
    <row r="813">
      <c r="A813" t="n">
        <v>812</v>
      </c>
      <c r="B813" t="inlineStr">
        <is>
          <t>대한뉴팜(주)</t>
        </is>
      </c>
      <c r="C813" t="inlineStr">
        <is>
          <t>대한뉴팜</t>
        </is>
      </c>
      <c r="D813" t="inlineStr">
        <is>
          <t>의약품</t>
        </is>
      </c>
      <c r="E813" t="inlineStr">
        <is>
          <t>1854</t>
        </is>
      </c>
      <c r="F813" t="inlineStr">
        <is>
          <t>이원석</t>
        </is>
      </c>
      <c r="G813" t="inlineStr">
        <is>
          <t>1994-12-07</t>
        </is>
      </c>
      <c r="H813" t="inlineStr">
        <is>
          <t>19941207</t>
        </is>
      </c>
      <c r="I813" t="inlineStr">
        <is>
          <t>2</t>
        </is>
      </c>
      <c r="J813" t="inlineStr">
        <is>
          <t>화성(보관소)</t>
        </is>
      </c>
      <c r="K813" t="inlineStr"/>
      <c r="L813" t="inlineStr">
        <is>
          <t>경기도 화성시 만세구 향남읍 발안공단로 283</t>
        </is>
      </c>
      <c r="M813" t="inlineStr">
        <is>
          <t>1동, 2동(일부)</t>
        </is>
      </c>
      <c r="N813" t="inlineStr">
        <is>
          <t>경기도 화성시 만세구 향남읍 발안공단로 283 1동, 2동(일부)</t>
        </is>
      </c>
      <c r="O813" t="inlineStr">
        <is>
          <t>경기도</t>
        </is>
      </c>
      <c r="P813" t="inlineStr">
        <is>
          <t>화성시</t>
        </is>
      </c>
      <c r="Q813" t="inlineStr">
        <is>
          <t>N</t>
        </is>
      </c>
      <c r="R813" t="n">
        <v>0</v>
      </c>
    </row>
    <row r="814">
      <c r="A814" t="n">
        <v>813</v>
      </c>
      <c r="B814" t="inlineStr">
        <is>
          <t>광동제약(주)</t>
        </is>
      </c>
      <c r="C814" t="inlineStr">
        <is>
          <t>광동제약</t>
        </is>
      </c>
      <c r="D814" t="inlineStr">
        <is>
          <t>의약품</t>
        </is>
      </c>
      <c r="E814" t="inlineStr">
        <is>
          <t>0150</t>
        </is>
      </c>
      <c r="F814" t="inlineStr">
        <is>
          <t>박상영</t>
        </is>
      </c>
      <c r="G814" t="inlineStr">
        <is>
          <t>1992-10-16</t>
        </is>
      </c>
      <c r="H814" t="inlineStr">
        <is>
          <t>19921016</t>
        </is>
      </c>
      <c r="I814" t="inlineStr">
        <is>
          <t>3</t>
        </is>
      </c>
      <c r="J814" t="inlineStr">
        <is>
          <t>서울</t>
        </is>
      </c>
      <c r="K814" t="inlineStr">
        <is>
          <t>850-9702</t>
        </is>
      </c>
      <c r="L814" t="inlineStr"/>
      <c r="M814" t="inlineStr">
        <is>
          <t>경기도 평택시 산단로 114</t>
        </is>
      </c>
      <c r="N814" t="inlineStr">
        <is>
          <t>경기도 평택시 산단로 114</t>
        </is>
      </c>
      <c r="O814" t="inlineStr">
        <is>
          <t>경기도</t>
        </is>
      </c>
      <c r="P814" t="inlineStr">
        <is>
          <t>평택시</t>
        </is>
      </c>
      <c r="Q814" t="inlineStr">
        <is>
          <t>Y</t>
        </is>
      </c>
      <c r="R814" t="n">
        <v>90</v>
      </c>
    </row>
    <row r="815">
      <c r="A815" t="n">
        <v>814</v>
      </c>
      <c r="B815" t="inlineStr">
        <is>
          <t>(주)셀트리온</t>
        </is>
      </c>
      <c r="C815" t="inlineStr">
        <is>
          <t>셀트리온</t>
        </is>
      </c>
      <c r="D815" t="inlineStr">
        <is>
          <t>의약품</t>
        </is>
      </c>
      <c r="E815" t="inlineStr">
        <is>
          <t>2569</t>
        </is>
      </c>
      <c r="F815" t="inlineStr">
        <is>
          <t>서진석</t>
        </is>
      </c>
      <c r="G815" t="inlineStr">
        <is>
          <t>2006-07-21</t>
        </is>
      </c>
      <c r="H815" t="inlineStr">
        <is>
          <t>20060721</t>
        </is>
      </c>
      <c r="I815" t="inlineStr">
        <is>
          <t>2</t>
        </is>
      </c>
      <c r="J815" t="inlineStr">
        <is>
          <t>제2공장</t>
        </is>
      </c>
      <c r="K815" t="inlineStr"/>
      <c r="L815" t="inlineStr">
        <is>
          <t>인천광역시 연수구 아카데미로51번길 20</t>
        </is>
      </c>
      <c r="M815" t="inlineStr"/>
      <c r="N815" t="inlineStr">
        <is>
          <t>인천광역시 연수구 아카데미로51번길 20</t>
        </is>
      </c>
      <c r="O815" t="inlineStr">
        <is>
          <t>인천광역시</t>
        </is>
      </c>
      <c r="P815" t="inlineStr">
        <is>
          <t>연수구</t>
        </is>
      </c>
      <c r="Q815" t="inlineStr">
        <is>
          <t>Y</t>
        </is>
      </c>
      <c r="R815" t="n">
        <v>91</v>
      </c>
    </row>
    <row r="816">
      <c r="A816" t="n">
        <v>815</v>
      </c>
      <c r="B816" t="inlineStr">
        <is>
          <t>한스약품주식회사</t>
        </is>
      </c>
      <c r="C816" t="inlineStr">
        <is>
          <t>한스약품</t>
        </is>
      </c>
      <c r="D816" t="inlineStr">
        <is>
          <t>의약품</t>
        </is>
      </c>
      <c r="E816" t="inlineStr">
        <is>
          <t>2095</t>
        </is>
      </c>
      <c r="F816" t="inlineStr">
        <is>
          <t>성정모</t>
        </is>
      </c>
      <c r="G816" t="inlineStr">
        <is>
          <t>1999-11-25</t>
        </is>
      </c>
      <c r="H816" t="inlineStr">
        <is>
          <t>19991125</t>
        </is>
      </c>
      <c r="I816" t="inlineStr">
        <is>
          <t>1</t>
        </is>
      </c>
      <c r="J816" t="inlineStr">
        <is>
          <t>논산</t>
        </is>
      </c>
      <c r="K816" t="inlineStr">
        <is>
          <t>041-732-3506</t>
        </is>
      </c>
      <c r="L816" t="inlineStr">
        <is>
          <t>충청남도 논산시 성동면 산업단지로2길 33</t>
        </is>
      </c>
      <c r="M816" t="inlineStr"/>
      <c r="N816" t="inlineStr">
        <is>
          <t>충청남도 논산시 성동면 산업단지로2길 33</t>
        </is>
      </c>
      <c r="O816" t="inlineStr">
        <is>
          <t>충청남도</t>
        </is>
      </c>
      <c r="P816" t="inlineStr">
        <is>
          <t>논산시</t>
        </is>
      </c>
      <c r="Q816" t="inlineStr">
        <is>
          <t>N</t>
        </is>
      </c>
      <c r="R816" t="n">
        <v>0</v>
      </c>
    </row>
    <row r="817">
      <c r="A817" t="n">
        <v>816</v>
      </c>
      <c r="B817" t="inlineStr">
        <is>
          <t>경방신약(주)</t>
        </is>
      </c>
      <c r="C817" t="inlineStr">
        <is>
          <t>경방신약</t>
        </is>
      </c>
      <c r="D817" t="inlineStr">
        <is>
          <t>의약품</t>
        </is>
      </c>
      <c r="E817" t="inlineStr">
        <is>
          <t>2101</t>
        </is>
      </c>
      <c r="F817" t="inlineStr">
        <is>
          <t>김충환</t>
        </is>
      </c>
      <c r="G817" t="inlineStr">
        <is>
          <t>1999-12-22</t>
        </is>
      </c>
      <c r="H817" t="inlineStr">
        <is>
          <t>19991222</t>
        </is>
      </c>
      <c r="I817" t="inlineStr">
        <is>
          <t>2</t>
        </is>
      </c>
      <c r="J817" t="inlineStr">
        <is>
          <t>보관소</t>
        </is>
      </c>
      <c r="K817" t="inlineStr"/>
      <c r="L817" t="inlineStr">
        <is>
          <t>인천광역시 남동구 남동서로 141</t>
        </is>
      </c>
      <c r="M817" t="inlineStr">
        <is>
          <t>3층일부(보관소)</t>
        </is>
      </c>
      <c r="N817" t="inlineStr">
        <is>
          <t>인천광역시 남동구 남동서로 141 3층일부(보관소)</t>
        </is>
      </c>
      <c r="O817" t="inlineStr">
        <is>
          <t>인천광역시</t>
        </is>
      </c>
      <c r="P817" t="inlineStr">
        <is>
          <t>남동구</t>
        </is>
      </c>
      <c r="Q817" t="inlineStr">
        <is>
          <t>N</t>
        </is>
      </c>
      <c r="R817" t="n">
        <v>0</v>
      </c>
    </row>
    <row r="818">
      <c r="A818" t="n">
        <v>817</v>
      </c>
      <c r="B818" t="inlineStr">
        <is>
          <t>(주)씨엘팜</t>
        </is>
      </c>
      <c r="C818" t="inlineStr">
        <is>
          <t>씨엘팜</t>
        </is>
      </c>
      <c r="D818" t="inlineStr">
        <is>
          <t>의약품</t>
        </is>
      </c>
      <c r="E818" t="inlineStr">
        <is>
          <t>942</t>
        </is>
      </c>
      <c r="F818" t="inlineStr">
        <is>
          <t>장석훈</t>
        </is>
      </c>
      <c r="G818" t="inlineStr">
        <is>
          <t>2011-06-22</t>
        </is>
      </c>
      <c r="H818" t="inlineStr">
        <is>
          <t>20110622</t>
        </is>
      </c>
      <c r="I818" t="inlineStr">
        <is>
          <t>1</t>
        </is>
      </c>
      <c r="J818" t="inlineStr">
        <is>
          <t>(주)씨엘팜</t>
        </is>
      </c>
      <c r="K818" t="inlineStr">
        <is>
          <t>(041)546-1661</t>
        </is>
      </c>
      <c r="L818" t="inlineStr">
        <is>
          <t>충청남도 아산시 신창면 가내길 101</t>
        </is>
      </c>
      <c r="M818" t="inlineStr"/>
      <c r="N818" t="inlineStr">
        <is>
          <t>충청남도 아산시 신창면 가내길 101</t>
        </is>
      </c>
      <c r="O818" t="inlineStr">
        <is>
          <t>충청남도</t>
        </is>
      </c>
      <c r="P818" t="inlineStr">
        <is>
          <t>아산시</t>
        </is>
      </c>
      <c r="Q818" t="inlineStr">
        <is>
          <t>Y</t>
        </is>
      </c>
      <c r="R818" t="n">
        <v>76</v>
      </c>
    </row>
    <row r="819">
      <c r="A819" t="n">
        <v>818</v>
      </c>
      <c r="B819" t="inlineStr">
        <is>
          <t>코오롱생명과학(주)</t>
        </is>
      </c>
      <c r="C819" t="inlineStr">
        <is>
          <t>코오롱생명과학</t>
        </is>
      </c>
      <c r="D819" t="inlineStr">
        <is>
          <t>의약품</t>
        </is>
      </c>
      <c r="E819" t="inlineStr">
        <is>
          <t>1607</t>
        </is>
      </c>
      <c r="F819" t="inlineStr">
        <is>
          <t>이한국</t>
        </is>
      </c>
      <c r="G819" t="inlineStr">
        <is>
          <t>1981-06-29</t>
        </is>
      </c>
      <c r="H819" t="inlineStr">
        <is>
          <t>19810629</t>
        </is>
      </c>
      <c r="I819" t="inlineStr">
        <is>
          <t>2</t>
        </is>
      </c>
      <c r="J819" t="inlineStr">
        <is>
          <t>음성</t>
        </is>
      </c>
      <c r="K819" t="inlineStr">
        <is>
          <t>043-880-3336</t>
        </is>
      </c>
      <c r="L819" t="inlineStr">
        <is>
          <t>충청북도 음성군 대소면 대동로530번길 11-16</t>
        </is>
      </c>
      <c r="M819" t="inlineStr"/>
      <c r="N819" t="inlineStr">
        <is>
          <t>충청북도 음성군 대소면 대동로530번길 11-16</t>
        </is>
      </c>
      <c r="O819" t="inlineStr">
        <is>
          <t>충청북도</t>
        </is>
      </c>
      <c r="P819" t="inlineStr">
        <is>
          <t>음성군</t>
        </is>
      </c>
      <c r="Q819" t="inlineStr">
        <is>
          <t>N</t>
        </is>
      </c>
      <c r="R819" t="n">
        <v>0</v>
      </c>
    </row>
    <row r="820">
      <c r="A820" t="n">
        <v>819</v>
      </c>
      <c r="B820" t="inlineStr">
        <is>
          <t>산들초제약(주)</t>
        </is>
      </c>
      <c r="C820" t="inlineStr">
        <is>
          <t>산들초제약</t>
        </is>
      </c>
      <c r="D820" t="inlineStr">
        <is>
          <t>의약품</t>
        </is>
      </c>
      <c r="E820" t="inlineStr">
        <is>
          <t>5778</t>
        </is>
      </c>
      <c r="F820" t="inlineStr">
        <is>
          <t>장세유</t>
        </is>
      </c>
      <c r="G820" t="inlineStr">
        <is>
          <t>2010-10-01</t>
        </is>
      </c>
      <c r="H820" t="inlineStr">
        <is>
          <t>20101001</t>
        </is>
      </c>
      <c r="I820" t="inlineStr">
        <is>
          <t>1</t>
        </is>
      </c>
      <c r="J820" t="inlineStr">
        <is>
          <t>산들초제약(주)</t>
        </is>
      </c>
      <c r="K820" t="inlineStr">
        <is>
          <t>055-342-1679</t>
        </is>
      </c>
      <c r="L820" t="inlineStr">
        <is>
          <t>경상남도 김해시 진례면 고모로582번길 27</t>
        </is>
      </c>
      <c r="M820" t="inlineStr"/>
      <c r="N820" t="inlineStr">
        <is>
          <t>경상남도 김해시 진례면 고모로582번길 27</t>
        </is>
      </c>
      <c r="O820" t="inlineStr">
        <is>
          <t>경상남도</t>
        </is>
      </c>
      <c r="P820" t="inlineStr">
        <is>
          <t>김해시</t>
        </is>
      </c>
      <c r="Q820" t="inlineStr">
        <is>
          <t>N</t>
        </is>
      </c>
      <c r="R820" t="n">
        <v>0</v>
      </c>
    </row>
    <row r="821">
      <c r="A821" t="n">
        <v>820</v>
      </c>
      <c r="B821" t="inlineStr">
        <is>
          <t>고려제약(주)</t>
        </is>
      </c>
      <c r="C821" t="inlineStr">
        <is>
          <t>고려제약</t>
        </is>
      </c>
      <c r="D821" t="inlineStr">
        <is>
          <t>의약품</t>
        </is>
      </c>
      <c r="E821" t="inlineStr">
        <is>
          <t>1554</t>
        </is>
      </c>
      <c r="F821" t="inlineStr">
        <is>
          <t>박상훈</t>
        </is>
      </c>
      <c r="G821" t="inlineStr">
        <is>
          <t>1972-12-17</t>
        </is>
      </c>
      <c r="H821" t="inlineStr">
        <is>
          <t>19721217</t>
        </is>
      </c>
      <c r="I821" t="inlineStr">
        <is>
          <t>1</t>
        </is>
      </c>
      <c r="J821" t="inlineStr">
        <is>
          <t>이천</t>
        </is>
      </c>
      <c r="K821" t="inlineStr">
        <is>
          <t>031-634-7100</t>
        </is>
      </c>
      <c r="L821" t="inlineStr">
        <is>
          <t>경기도 이천시 신둔면 원적로 69-10</t>
        </is>
      </c>
      <c r="M821" t="inlineStr"/>
      <c r="N821" t="inlineStr">
        <is>
          <t>경기도 이천시 신둔면 원적로 69-10</t>
        </is>
      </c>
      <c r="O821" t="inlineStr">
        <is>
          <t>경기도</t>
        </is>
      </c>
      <c r="P821" t="inlineStr">
        <is>
          <t>이천시</t>
        </is>
      </c>
      <c r="Q821" t="inlineStr">
        <is>
          <t>N</t>
        </is>
      </c>
      <c r="R821" t="n">
        <v>0</v>
      </c>
    </row>
    <row r="822">
      <c r="A822" t="n">
        <v>821</v>
      </c>
      <c r="B822" t="inlineStr">
        <is>
          <t>(주)에이프로젠바이오로직스</t>
        </is>
      </c>
      <c r="C822" t="inlineStr">
        <is>
          <t>에이프로젠바이오로직스</t>
        </is>
      </c>
      <c r="D822" t="inlineStr">
        <is>
          <t>의약품</t>
        </is>
      </c>
      <c r="E822" t="inlineStr">
        <is>
          <t>1386</t>
        </is>
      </c>
      <c r="F822" t="inlineStr">
        <is>
          <t>김재섭</t>
        </is>
      </c>
      <c r="G822" t="inlineStr">
        <is>
          <t>1959-12-24</t>
        </is>
      </c>
      <c r="H822" t="inlineStr">
        <is>
          <t>19591224</t>
        </is>
      </c>
      <c r="I822" t="inlineStr">
        <is>
          <t>3</t>
        </is>
      </c>
      <c r="J822" t="inlineStr">
        <is>
          <t>오송</t>
        </is>
      </c>
      <c r="K822" t="inlineStr"/>
      <c r="L822" t="inlineStr">
        <is>
          <t>충청북도 청주시 흥덕구 오송읍 오송생명5로 5</t>
        </is>
      </c>
      <c r="M822" t="inlineStr"/>
      <c r="N822" t="inlineStr">
        <is>
          <t>충청북도 청주시 흥덕구 오송읍 오송생명5로 5</t>
        </is>
      </c>
      <c r="O822" t="inlineStr">
        <is>
          <t>충청북도</t>
        </is>
      </c>
      <c r="P822" t="inlineStr">
        <is>
          <t>청주시</t>
        </is>
      </c>
      <c r="Q822" t="inlineStr">
        <is>
          <t>Y</t>
        </is>
      </c>
      <c r="R822" t="n">
        <v>14</v>
      </c>
    </row>
    <row r="823">
      <c r="A823" t="n">
        <v>822</v>
      </c>
      <c r="B823" t="inlineStr">
        <is>
          <t>(주)보양제약</t>
        </is>
      </c>
      <c r="C823" t="inlineStr">
        <is>
          <t>보양제약</t>
        </is>
      </c>
      <c r="D823" t="inlineStr">
        <is>
          <t>의약품</t>
        </is>
      </c>
      <c r="E823" t="inlineStr">
        <is>
          <t>287</t>
        </is>
      </c>
      <c r="F823" t="inlineStr">
        <is>
          <t>양형열</t>
        </is>
      </c>
      <c r="G823" t="inlineStr">
        <is>
          <t>2009-11-06</t>
        </is>
      </c>
      <c r="H823" t="inlineStr">
        <is>
          <t>20091106</t>
        </is>
      </c>
      <c r="I823" t="inlineStr">
        <is>
          <t>1</t>
        </is>
      </c>
      <c r="J823" t="inlineStr">
        <is>
          <t>파주</t>
        </is>
      </c>
      <c r="K823" t="inlineStr">
        <is>
          <t>031-942-2144</t>
        </is>
      </c>
      <c r="L823" t="inlineStr">
        <is>
          <t>경기도 파주시 교하로403번길 29-2</t>
        </is>
      </c>
      <c r="M823" t="inlineStr">
        <is>
          <t>1층</t>
        </is>
      </c>
      <c r="N823" t="inlineStr">
        <is>
          <t>경기도 파주시 교하로403번길 29-2 1층</t>
        </is>
      </c>
      <c r="O823" t="inlineStr">
        <is>
          <t>경기도</t>
        </is>
      </c>
      <c r="P823" t="inlineStr">
        <is>
          <t>파주시</t>
        </is>
      </c>
      <c r="Q823" t="inlineStr">
        <is>
          <t>N</t>
        </is>
      </c>
      <c r="R823" t="n">
        <v>0</v>
      </c>
    </row>
    <row r="824">
      <c r="A824" t="n">
        <v>823</v>
      </c>
      <c r="B824" t="inlineStr">
        <is>
          <t>(주)원풍약품상사</t>
        </is>
      </c>
      <c r="C824" t="inlineStr">
        <is>
          <t>원풍약품상사</t>
        </is>
      </c>
      <c r="D824" t="inlineStr">
        <is>
          <t>의약품</t>
        </is>
      </c>
      <c r="E824" t="inlineStr">
        <is>
          <t>1537</t>
        </is>
      </c>
      <c r="F824" t="inlineStr">
        <is>
          <t>이재진</t>
        </is>
      </c>
      <c r="G824" t="inlineStr">
        <is>
          <t>1971-11-11</t>
        </is>
      </c>
      <c r="H824" t="inlineStr">
        <is>
          <t>19711111</t>
        </is>
      </c>
      <c r="I824" t="inlineStr">
        <is>
          <t>1</t>
        </is>
      </c>
      <c r="J824" t="inlineStr">
        <is>
          <t>화성</t>
        </is>
      </c>
      <c r="K824" t="inlineStr">
        <is>
          <t>376-8100/9</t>
        </is>
      </c>
      <c r="L824" t="inlineStr">
        <is>
          <t>경기도 화성시 향남읍 발안공단로2길 33</t>
        </is>
      </c>
      <c r="M824" t="inlineStr"/>
      <c r="N824" t="inlineStr">
        <is>
          <t>경기도 화성시 향남읍 발안공단로2길 33</t>
        </is>
      </c>
      <c r="O824" t="inlineStr">
        <is>
          <t>경기도</t>
        </is>
      </c>
      <c r="P824" t="inlineStr">
        <is>
          <t>화성시</t>
        </is>
      </c>
      <c r="Q824" t="inlineStr">
        <is>
          <t>N</t>
        </is>
      </c>
      <c r="R824" t="n">
        <v>0</v>
      </c>
    </row>
    <row r="825">
      <c r="A825" t="n">
        <v>824</v>
      </c>
      <c r="B825" t="inlineStr">
        <is>
          <t>태극제약(주)</t>
        </is>
      </c>
      <c r="C825" t="inlineStr">
        <is>
          <t>태극제약</t>
        </is>
      </c>
      <c r="D825" t="inlineStr">
        <is>
          <t>의약품</t>
        </is>
      </c>
      <c r="E825" t="inlineStr">
        <is>
          <t>1370</t>
        </is>
      </c>
      <c r="F825" t="inlineStr">
        <is>
          <t>오상문</t>
        </is>
      </c>
      <c r="G825" t="inlineStr">
        <is>
          <t>1958-06-29</t>
        </is>
      </c>
      <c r="H825" t="inlineStr">
        <is>
          <t>19580629</t>
        </is>
      </c>
      <c r="I825" t="inlineStr">
        <is>
          <t>3</t>
        </is>
      </c>
      <c r="J825" t="inlineStr">
        <is>
          <t>보관소</t>
        </is>
      </c>
      <c r="K825" t="inlineStr"/>
      <c r="L825" t="inlineStr">
        <is>
          <t>경기도 화성시 양감면 사릅재길 138-51</t>
        </is>
      </c>
      <c r="M825" t="inlineStr">
        <is>
          <t>1층</t>
        </is>
      </c>
      <c r="N825" t="inlineStr">
        <is>
          <t>경기도 화성시 양감면 사릅재길 138-51 1층</t>
        </is>
      </c>
      <c r="O825" t="inlineStr">
        <is>
          <t>경기도</t>
        </is>
      </c>
      <c r="P825" t="inlineStr">
        <is>
          <t>화성시</t>
        </is>
      </c>
      <c r="Q825" t="inlineStr">
        <is>
          <t>Y</t>
        </is>
      </c>
      <c r="R825" t="n">
        <v>2</v>
      </c>
    </row>
    <row r="826">
      <c r="A826" t="n">
        <v>825</v>
      </c>
      <c r="B826" t="inlineStr">
        <is>
          <t>주식회사이노퓨틱스</t>
        </is>
      </c>
      <c r="C826" t="inlineStr">
        <is>
          <t>이노퓨틱스</t>
        </is>
      </c>
      <c r="D826" t="inlineStr">
        <is>
          <t>의약품</t>
        </is>
      </c>
      <c r="E826" t="inlineStr">
        <is>
          <t>6186</t>
        </is>
      </c>
      <c r="F826" t="inlineStr">
        <is>
          <t>김태균</t>
        </is>
      </c>
      <c r="G826" t="inlineStr">
        <is>
          <t>2024-11-18</t>
        </is>
      </c>
      <c r="H826" t="inlineStr">
        <is>
          <t>20241118</t>
        </is>
      </c>
      <c r="I826" t="inlineStr">
        <is>
          <t>1</t>
        </is>
      </c>
      <c r="J826" t="inlineStr">
        <is>
          <t>주식회사이노퓨틱스 제1공장</t>
        </is>
      </c>
      <c r="K826" t="inlineStr">
        <is>
          <t>02-3499-4266</t>
        </is>
      </c>
      <c r="L826" t="inlineStr">
        <is>
          <t>서울특별시 성동구 성수일로10길 26</t>
        </is>
      </c>
      <c r="M826" t="inlineStr">
        <is>
          <t>하우스디 세종타워 509-510호</t>
        </is>
      </c>
      <c r="N826" t="inlineStr">
        <is>
          <t>서울특별시 성동구 성수일로10길 26 하우스디 세종타워 509-510호</t>
        </is>
      </c>
      <c r="O826" t="inlineStr">
        <is>
          <t>서울특별시</t>
        </is>
      </c>
      <c r="P826" t="inlineStr">
        <is>
          <t>성동구</t>
        </is>
      </c>
      <c r="Q826" t="inlineStr">
        <is>
          <t>N</t>
        </is>
      </c>
      <c r="R826" t="n">
        <v>0</v>
      </c>
    </row>
    <row r="827">
      <c r="A827" t="n">
        <v>826</v>
      </c>
      <c r="B827" t="inlineStr">
        <is>
          <t>삼보제약</t>
        </is>
      </c>
      <c r="C827" t="inlineStr">
        <is>
          <t>삼보제약</t>
        </is>
      </c>
      <c r="D827" t="inlineStr">
        <is>
          <t>의약품</t>
        </is>
      </c>
      <c r="E827" t="inlineStr">
        <is>
          <t>2612</t>
        </is>
      </c>
      <c r="F827" t="inlineStr">
        <is>
          <t>강영민</t>
        </is>
      </c>
      <c r="G827" t="inlineStr">
        <is>
          <t>2008-12-05</t>
        </is>
      </c>
      <c r="H827" t="inlineStr">
        <is>
          <t>20081205</t>
        </is>
      </c>
      <c r="I827" t="inlineStr">
        <is>
          <t>1</t>
        </is>
      </c>
      <c r="J827" t="inlineStr">
        <is>
          <t>제1공장</t>
        </is>
      </c>
      <c r="K827" t="inlineStr">
        <is>
          <t>(051)466-7400</t>
        </is>
      </c>
      <c r="L827" t="inlineStr">
        <is>
          <t>부산광역시 동구 초량중로 40-1</t>
        </is>
      </c>
      <c r="M827" t="inlineStr"/>
      <c r="N827" t="inlineStr">
        <is>
          <t>부산광역시 동구 초량중로 40-1</t>
        </is>
      </c>
      <c r="O827" t="inlineStr">
        <is>
          <t>부산광역시</t>
        </is>
      </c>
      <c r="P827" t="inlineStr">
        <is>
          <t>동구</t>
        </is>
      </c>
      <c r="Q827" t="inlineStr">
        <is>
          <t>N</t>
        </is>
      </c>
      <c r="R827" t="n">
        <v>0</v>
      </c>
    </row>
    <row r="828">
      <c r="A828" t="n">
        <v>827</v>
      </c>
      <c r="B828" t="inlineStr">
        <is>
          <t>맥널티제약(주)</t>
        </is>
      </c>
      <c r="C828" t="inlineStr">
        <is>
          <t>맥널티제약</t>
        </is>
      </c>
      <c r="D828" t="inlineStr">
        <is>
          <t>의약품</t>
        </is>
      </c>
      <c r="E828" t="inlineStr">
        <is>
          <t>1524</t>
        </is>
      </c>
      <c r="F828" t="inlineStr">
        <is>
          <t>이은정</t>
        </is>
      </c>
      <c r="G828" t="inlineStr">
        <is>
          <t>1971-04-19</t>
        </is>
      </c>
      <c r="H828" t="inlineStr">
        <is>
          <t>19710419</t>
        </is>
      </c>
      <c r="I828" t="inlineStr">
        <is>
          <t>1</t>
        </is>
      </c>
      <c r="J828" t="inlineStr">
        <is>
          <t>화성</t>
        </is>
      </c>
      <c r="K828" t="inlineStr"/>
      <c r="L828" t="inlineStr">
        <is>
          <t>경기도 화성시 동탄면 영천로 9</t>
        </is>
      </c>
      <c r="M828" t="inlineStr"/>
      <c r="N828" t="inlineStr">
        <is>
          <t>경기도 화성시 동탄면 영천로 9</t>
        </is>
      </c>
      <c r="O828" t="inlineStr">
        <is>
          <t>경기도</t>
        </is>
      </c>
      <c r="P828" t="inlineStr">
        <is>
          <t>화성시</t>
        </is>
      </c>
      <c r="Q828" t="inlineStr">
        <is>
          <t>N</t>
        </is>
      </c>
      <c r="R828" t="n">
        <v>0</v>
      </c>
    </row>
    <row r="829">
      <c r="A829" t="n">
        <v>828</v>
      </c>
      <c r="B829" t="inlineStr">
        <is>
          <t>건일제약(주)</t>
        </is>
      </c>
      <c r="C829" t="inlineStr">
        <is>
          <t>건일제약</t>
        </is>
      </c>
      <c r="D829" t="inlineStr">
        <is>
          <t>의약품</t>
        </is>
      </c>
      <c r="E829" t="inlineStr">
        <is>
          <t>1363</t>
        </is>
      </c>
      <c r="F829" t="inlineStr">
        <is>
          <t>박동규</t>
        </is>
      </c>
      <c r="G829" t="inlineStr">
        <is>
          <t>1958-03-20</t>
        </is>
      </c>
      <c r="H829" t="inlineStr">
        <is>
          <t>19580320</t>
        </is>
      </c>
      <c r="I829" t="inlineStr">
        <is>
          <t>1</t>
        </is>
      </c>
      <c r="J829" t="inlineStr">
        <is>
          <t>1공장</t>
        </is>
      </c>
      <c r="K829" t="inlineStr">
        <is>
          <t>02-2175-9751</t>
        </is>
      </c>
      <c r="L829" t="inlineStr">
        <is>
          <t>충청남도 천안시 서북구 직산읍 거리막길 33</t>
        </is>
      </c>
      <c r="M829" t="inlineStr"/>
      <c r="N829" t="inlineStr">
        <is>
          <t>충청남도 천안시 서북구 직산읍 거리막길 33</t>
        </is>
      </c>
      <c r="O829" t="inlineStr">
        <is>
          <t>충청남도</t>
        </is>
      </c>
      <c r="P829" t="inlineStr">
        <is>
          <t>천안시</t>
        </is>
      </c>
      <c r="Q829" t="inlineStr">
        <is>
          <t>N</t>
        </is>
      </c>
      <c r="R829" t="n">
        <v>0</v>
      </c>
    </row>
    <row r="830">
      <c r="A830" t="n">
        <v>829</v>
      </c>
      <c r="B830" t="inlineStr">
        <is>
          <t>(주)비씨월드제약</t>
        </is>
      </c>
      <c r="C830" t="inlineStr">
        <is>
          <t>비씨월드제약</t>
        </is>
      </c>
      <c r="D830" t="inlineStr">
        <is>
          <t>의약품</t>
        </is>
      </c>
      <c r="E830" t="inlineStr">
        <is>
          <t>1357</t>
        </is>
      </c>
      <c r="F830" t="inlineStr">
        <is>
          <t>홍성한</t>
        </is>
      </c>
      <c r="G830" t="inlineStr">
        <is>
          <t>1957-12-13</t>
        </is>
      </c>
      <c r="H830" t="inlineStr">
        <is>
          <t>19571213</t>
        </is>
      </c>
      <c r="I830" t="inlineStr">
        <is>
          <t>1</t>
        </is>
      </c>
      <c r="J830" t="inlineStr">
        <is>
          <t>여주</t>
        </is>
      </c>
      <c r="K830" t="inlineStr">
        <is>
          <t>031-881-6146</t>
        </is>
      </c>
      <c r="L830" t="inlineStr">
        <is>
          <t>경기도 여주시 가남읍 여주남로 872-23</t>
        </is>
      </c>
      <c r="M830" t="inlineStr"/>
      <c r="N830" t="inlineStr">
        <is>
          <t>경기도 여주시 가남읍 여주남로 872-23</t>
        </is>
      </c>
      <c r="O830" t="inlineStr">
        <is>
          <t>경기도</t>
        </is>
      </c>
      <c r="P830" t="inlineStr">
        <is>
          <t>여주시</t>
        </is>
      </c>
      <c r="Q830" t="inlineStr">
        <is>
          <t>N</t>
        </is>
      </c>
      <c r="R830" t="n">
        <v>0</v>
      </c>
    </row>
    <row r="831">
      <c r="A831" t="n">
        <v>830</v>
      </c>
      <c r="B831" t="inlineStr">
        <is>
          <t>(주)녹십자</t>
        </is>
      </c>
      <c r="C831" t="inlineStr">
        <is>
          <t>녹십자</t>
        </is>
      </c>
      <c r="D831" t="inlineStr">
        <is>
          <t>의약품</t>
        </is>
      </c>
      <c r="E831" t="inlineStr">
        <is>
          <t>1735</t>
        </is>
      </c>
      <c r="F831" t="inlineStr">
        <is>
          <t>허은철</t>
        </is>
      </c>
      <c r="G831" t="inlineStr">
        <is>
          <t>1991-01-18</t>
        </is>
      </c>
      <c r="H831" t="inlineStr">
        <is>
          <t>19910118</t>
        </is>
      </c>
      <c r="I831" t="inlineStr">
        <is>
          <t>7</t>
        </is>
      </c>
      <c r="J831" t="inlineStr">
        <is>
          <t>기흥</t>
        </is>
      </c>
      <c r="K831" t="inlineStr">
        <is>
          <t>031-280-6000</t>
        </is>
      </c>
      <c r="L831" t="inlineStr">
        <is>
          <t>경기도 용인시 기흥구 중부대로 438</t>
        </is>
      </c>
      <c r="M831" t="inlineStr"/>
      <c r="N831" t="inlineStr">
        <is>
          <t>경기도 용인시 기흥구 중부대로 438</t>
        </is>
      </c>
      <c r="O831" t="inlineStr">
        <is>
          <t>경기도</t>
        </is>
      </c>
      <c r="P831" t="inlineStr">
        <is>
          <t>용인시</t>
        </is>
      </c>
      <c r="Q831" t="inlineStr">
        <is>
          <t>N</t>
        </is>
      </c>
      <c r="R831" t="n">
        <v>0</v>
      </c>
    </row>
    <row r="832">
      <c r="A832" t="n">
        <v>831</v>
      </c>
      <c r="B832" t="inlineStr">
        <is>
          <t>한화제약(주)</t>
        </is>
      </c>
      <c r="C832" t="inlineStr">
        <is>
          <t>한화제약</t>
        </is>
      </c>
      <c r="D832" t="inlineStr">
        <is>
          <t>의약품</t>
        </is>
      </c>
      <c r="E832" t="inlineStr">
        <is>
          <t>1514</t>
        </is>
      </c>
      <c r="F832" t="inlineStr">
        <is>
          <t>김경락</t>
        </is>
      </c>
      <c r="G832" t="inlineStr">
        <is>
          <t>1970-11-02</t>
        </is>
      </c>
      <c r="H832" t="inlineStr">
        <is>
          <t>19701102</t>
        </is>
      </c>
      <c r="I832" t="inlineStr">
        <is>
          <t>1</t>
        </is>
      </c>
      <c r="J832" t="inlineStr">
        <is>
          <t>용인(1공장)</t>
        </is>
      </c>
      <c r="K832" t="inlineStr">
        <is>
          <t>031-338-3216</t>
        </is>
      </c>
      <c r="L832" t="inlineStr"/>
      <c r="M832" t="inlineStr">
        <is>
          <t>경기 용인시 처인구 양지면 남곡리472</t>
        </is>
      </c>
      <c r="N832" t="inlineStr">
        <is>
          <t>경기 용인시 처인구 양지면 남곡리472</t>
        </is>
      </c>
      <c r="O832" t="inlineStr">
        <is>
          <t>경기</t>
        </is>
      </c>
      <c r="P832" t="inlineStr">
        <is>
          <t>용인시</t>
        </is>
      </c>
      <c r="Q832" t="inlineStr">
        <is>
          <t>N</t>
        </is>
      </c>
      <c r="R832" t="n">
        <v>0</v>
      </c>
    </row>
    <row r="833">
      <c r="A833" t="n">
        <v>832</v>
      </c>
      <c r="B833" t="inlineStr">
        <is>
          <t>동방에프티엘(주)</t>
        </is>
      </c>
      <c r="C833" t="inlineStr">
        <is>
          <t>동방에프티엘</t>
        </is>
      </c>
      <c r="D833" t="inlineStr">
        <is>
          <t>의약품</t>
        </is>
      </c>
      <c r="E833" t="inlineStr">
        <is>
          <t>1731</t>
        </is>
      </c>
      <c r="F833" t="inlineStr">
        <is>
          <t>김남기</t>
        </is>
      </c>
      <c r="G833" t="inlineStr">
        <is>
          <t>1991-08-05</t>
        </is>
      </c>
      <c r="H833" t="inlineStr">
        <is>
          <t>19910805</t>
        </is>
      </c>
      <c r="I833" t="inlineStr">
        <is>
          <t>3</t>
        </is>
      </c>
      <c r="J833" t="inlineStr">
        <is>
          <t>3공장</t>
        </is>
      </c>
      <c r="K833" t="inlineStr">
        <is>
          <t>027417517</t>
        </is>
      </c>
      <c r="L833" t="inlineStr">
        <is>
          <t>경기도 화성시 만세구 향남읍 제약공단4길 74</t>
        </is>
      </c>
      <c r="M833" t="inlineStr"/>
      <c r="N833" t="inlineStr">
        <is>
          <t>경기도 화성시 만세구 향남읍 제약공단4길 74</t>
        </is>
      </c>
      <c r="O833" t="inlineStr">
        <is>
          <t>경기도</t>
        </is>
      </c>
      <c r="P833" t="inlineStr">
        <is>
          <t>화성시</t>
        </is>
      </c>
      <c r="Q833" t="inlineStr">
        <is>
          <t>Y</t>
        </is>
      </c>
      <c r="R833" t="n">
        <v>4</v>
      </c>
    </row>
    <row r="834">
      <c r="A834" t="n">
        <v>833</v>
      </c>
      <c r="B834" t="inlineStr">
        <is>
          <t>(주)서울제약</t>
        </is>
      </c>
      <c r="C834" t="inlineStr">
        <is>
          <t>서울제약</t>
        </is>
      </c>
      <c r="D834" t="inlineStr">
        <is>
          <t>의약품</t>
        </is>
      </c>
      <c r="E834" t="inlineStr">
        <is>
          <t>1495</t>
        </is>
      </c>
      <c r="F834" t="inlineStr">
        <is>
          <t>신봉환</t>
        </is>
      </c>
      <c r="G834" t="inlineStr">
        <is>
          <t>1968-07-15</t>
        </is>
      </c>
      <c r="H834" t="inlineStr">
        <is>
          <t>19680715</t>
        </is>
      </c>
      <c r="I834" t="inlineStr">
        <is>
          <t>2</t>
        </is>
      </c>
      <c r="J834" t="inlineStr">
        <is>
          <t>청주</t>
        </is>
      </c>
      <c r="K834" t="inlineStr">
        <is>
          <t>02-3470-2382</t>
        </is>
      </c>
      <c r="L834" t="inlineStr">
        <is>
          <t>충청북도 청주시 흥덕구 오송읍 오송생명6로 124-31</t>
        </is>
      </c>
      <c r="M834" t="inlineStr"/>
      <c r="N834" t="inlineStr">
        <is>
          <t>충청북도 청주시 흥덕구 오송읍 오송생명6로 124-31</t>
        </is>
      </c>
      <c r="O834" t="inlineStr">
        <is>
          <t>충청북도</t>
        </is>
      </c>
      <c r="P834" t="inlineStr">
        <is>
          <t>청주시</t>
        </is>
      </c>
      <c r="Q834" t="inlineStr">
        <is>
          <t>N</t>
        </is>
      </c>
      <c r="R834" t="n">
        <v>0</v>
      </c>
    </row>
    <row r="835">
      <c r="A835" t="n">
        <v>834</v>
      </c>
      <c r="B835" t="inlineStr">
        <is>
          <t>(주)삼양사</t>
        </is>
      </c>
      <c r="C835" t="inlineStr">
        <is>
          <t>삼양사</t>
        </is>
      </c>
      <c r="D835" t="inlineStr">
        <is>
          <t>의약품</t>
        </is>
      </c>
      <c r="E835" t="inlineStr">
        <is>
          <t>1723</t>
        </is>
      </c>
      <c r="F835" t="inlineStr">
        <is>
          <t>이운익</t>
        </is>
      </c>
      <c r="G835" t="inlineStr">
        <is>
          <t>1990-05-09</t>
        </is>
      </c>
      <c r="H835" t="inlineStr">
        <is>
          <t>19900509</t>
        </is>
      </c>
      <c r="I835" t="inlineStr">
        <is>
          <t>2</t>
        </is>
      </c>
      <c r="J835" t="inlineStr">
        <is>
          <t>제2공장</t>
        </is>
      </c>
      <c r="K835" t="inlineStr"/>
      <c r="L835" t="inlineStr">
        <is>
          <t>인천광역시 중구 축항대로290번길 121</t>
        </is>
      </c>
      <c r="M835" t="inlineStr">
        <is>
          <t>(신흥동3가)</t>
        </is>
      </c>
      <c r="N835" t="inlineStr">
        <is>
          <t>인천광역시 중구 축항대로290번길 121 (신흥동3가)</t>
        </is>
      </c>
      <c r="O835" t="inlineStr">
        <is>
          <t>인천광역시</t>
        </is>
      </c>
      <c r="P835" t="inlineStr">
        <is>
          <t>중구</t>
        </is>
      </c>
      <c r="Q835" t="inlineStr">
        <is>
          <t>N</t>
        </is>
      </c>
      <c r="R835" t="n">
        <v>0</v>
      </c>
    </row>
    <row r="836">
      <c r="A836" t="n">
        <v>835</v>
      </c>
      <c r="B836" t="inlineStr">
        <is>
          <t>바이슨제약</t>
        </is>
      </c>
      <c r="C836" t="inlineStr">
        <is>
          <t>바이슨제약</t>
        </is>
      </c>
      <c r="D836" t="inlineStr">
        <is>
          <t>의약품</t>
        </is>
      </c>
      <c r="E836" t="inlineStr">
        <is>
          <t>2141</t>
        </is>
      </c>
      <c r="F836" t="inlineStr">
        <is>
          <t>신창국</t>
        </is>
      </c>
      <c r="G836" t="inlineStr">
        <is>
          <t>2000-08-14</t>
        </is>
      </c>
      <c r="H836" t="inlineStr">
        <is>
          <t>20000814</t>
        </is>
      </c>
      <c r="I836" t="inlineStr">
        <is>
          <t>1</t>
        </is>
      </c>
      <c r="J836" t="inlineStr">
        <is>
          <t>제1공장</t>
        </is>
      </c>
      <c r="K836" t="inlineStr">
        <is>
          <t>029422833</t>
        </is>
      </c>
      <c r="L836" t="inlineStr">
        <is>
          <t>경기도 양주시 칠봉산로 240-8</t>
        </is>
      </c>
      <c r="M836" t="inlineStr">
        <is>
          <t>1층 일부</t>
        </is>
      </c>
      <c r="N836" t="inlineStr">
        <is>
          <t>경기도 양주시 칠봉산로 240-8 1층 일부</t>
        </is>
      </c>
      <c r="O836" t="inlineStr">
        <is>
          <t>경기도</t>
        </is>
      </c>
      <c r="P836" t="inlineStr">
        <is>
          <t>양주시</t>
        </is>
      </c>
      <c r="Q836" t="inlineStr">
        <is>
          <t>N</t>
        </is>
      </c>
      <c r="R836" t="n">
        <v>0</v>
      </c>
    </row>
    <row r="837">
      <c r="A837" t="n">
        <v>836</v>
      </c>
      <c r="B837" t="inlineStr">
        <is>
          <t>(주)팜젠사이언스</t>
        </is>
      </c>
      <c r="C837" t="inlineStr">
        <is>
          <t>팜젠사이언스</t>
        </is>
      </c>
      <c r="D837" t="inlineStr">
        <is>
          <t>의약품</t>
        </is>
      </c>
      <c r="E837" t="inlineStr">
        <is>
          <t>1487</t>
        </is>
      </c>
      <c r="F837" t="inlineStr">
        <is>
          <t>박희덕</t>
        </is>
      </c>
      <c r="G837" t="inlineStr">
        <is>
          <t>1967-08-26</t>
        </is>
      </c>
      <c r="H837" t="inlineStr">
        <is>
          <t>19670826</t>
        </is>
      </c>
      <c r="I837" t="inlineStr">
        <is>
          <t>3</t>
        </is>
      </c>
      <c r="J837" t="inlineStr">
        <is>
          <t>화성(보관소2)</t>
        </is>
      </c>
      <c r="K837" t="inlineStr"/>
      <c r="L837" t="inlineStr">
        <is>
          <t>경기도 화성시 만세구 향남읍 발안공단로 92-45</t>
        </is>
      </c>
      <c r="M837" t="inlineStr">
        <is>
          <t>3동(보관소)</t>
        </is>
      </c>
      <c r="N837" t="inlineStr">
        <is>
          <t>경기도 화성시 만세구 향남읍 발안공단로 92-45 3동(보관소)</t>
        </is>
      </c>
      <c r="O837" t="inlineStr">
        <is>
          <t>경기도</t>
        </is>
      </c>
      <c r="P837" t="inlineStr">
        <is>
          <t>화성시</t>
        </is>
      </c>
      <c r="Q837" t="inlineStr">
        <is>
          <t>N</t>
        </is>
      </c>
      <c r="R837" t="n">
        <v>0</v>
      </c>
    </row>
    <row r="838">
      <c r="A838" t="n">
        <v>837</v>
      </c>
      <c r="B838" t="inlineStr">
        <is>
          <t>단일시스켐(주)</t>
        </is>
      </c>
      <c r="C838" t="inlineStr">
        <is>
          <t>단일시스켐</t>
        </is>
      </c>
      <c r="D838" t="inlineStr">
        <is>
          <t>의약품</t>
        </is>
      </c>
      <c r="E838" t="inlineStr">
        <is>
          <t>1686</t>
        </is>
      </c>
      <c r="F838" t="inlineStr">
        <is>
          <t>장세훈</t>
        </is>
      </c>
      <c r="G838" t="inlineStr">
        <is>
          <t>1987-11-30</t>
        </is>
      </c>
      <c r="H838" t="inlineStr">
        <is>
          <t>19871130</t>
        </is>
      </c>
      <c r="I838" t="inlineStr">
        <is>
          <t>3</t>
        </is>
      </c>
      <c r="J838" t="inlineStr">
        <is>
          <t>오창</t>
        </is>
      </c>
      <c r="K838" t="inlineStr">
        <is>
          <t>043-872-1331</t>
        </is>
      </c>
      <c r="L838" t="inlineStr"/>
      <c r="M838" t="inlineStr">
        <is>
          <t>충청북도 청원군 오창읍 과학산업2로 587-6</t>
        </is>
      </c>
      <c r="N838" t="inlineStr">
        <is>
          <t>충청북도 청원군 오창읍 과학산업2로 587-6</t>
        </is>
      </c>
      <c r="O838" t="inlineStr">
        <is>
          <t>충청북도</t>
        </is>
      </c>
      <c r="P838" t="inlineStr">
        <is>
          <t>청원군</t>
        </is>
      </c>
      <c r="Q838" t="inlineStr">
        <is>
          <t>N</t>
        </is>
      </c>
      <c r="R838" t="n">
        <v>0</v>
      </c>
    </row>
    <row r="839">
      <c r="A839" t="n">
        <v>838</v>
      </c>
      <c r="B839" t="inlineStr">
        <is>
          <t>(주)삼오제약</t>
        </is>
      </c>
      <c r="C839" t="inlineStr">
        <is>
          <t>삼오제약</t>
        </is>
      </c>
      <c r="D839" t="inlineStr">
        <is>
          <t>의약품</t>
        </is>
      </c>
      <c r="E839" t="inlineStr">
        <is>
          <t>2105</t>
        </is>
      </c>
      <c r="F839" t="inlineStr">
        <is>
          <t>오성석</t>
        </is>
      </c>
      <c r="G839" t="inlineStr">
        <is>
          <t>2000-01-06</t>
        </is>
      </c>
      <c r="H839" t="inlineStr">
        <is>
          <t>20000106</t>
        </is>
      </c>
      <c r="I839" t="inlineStr">
        <is>
          <t>2</t>
        </is>
      </c>
      <c r="J839" t="inlineStr">
        <is>
          <t>소분</t>
        </is>
      </c>
      <c r="K839" t="inlineStr">
        <is>
          <t>031-498-0355</t>
        </is>
      </c>
      <c r="L839" t="inlineStr"/>
      <c r="M839" t="inlineStr">
        <is>
          <t>경기도 시흥시 옥구천서로81번길 63, (시화공단 1마 705호) (정왕동)</t>
        </is>
      </c>
      <c r="N839" t="inlineStr">
        <is>
          <t>경기도 시흥시 옥구천서로81번길 63, (시화공단 1마 705호) (정왕동)</t>
        </is>
      </c>
      <c r="O839" t="inlineStr">
        <is>
          <t>경기도</t>
        </is>
      </c>
      <c r="P839" t="inlineStr">
        <is>
          <t>시흥시</t>
        </is>
      </c>
      <c r="Q839" t="inlineStr">
        <is>
          <t>Y</t>
        </is>
      </c>
      <c r="R839" t="n">
        <v>5</v>
      </c>
    </row>
    <row r="840">
      <c r="A840" t="n">
        <v>839</v>
      </c>
      <c r="B840" t="inlineStr">
        <is>
          <t>주식회사한국화공</t>
        </is>
      </c>
      <c r="C840" t="inlineStr">
        <is>
          <t>한국화공</t>
        </is>
      </c>
      <c r="D840" t="inlineStr">
        <is>
          <t>의약품</t>
        </is>
      </c>
      <c r="E840" t="inlineStr">
        <is>
          <t>1474</t>
        </is>
      </c>
      <c r="F840" t="inlineStr">
        <is>
          <t>이병갑</t>
        </is>
      </c>
      <c r="G840" t="inlineStr">
        <is>
          <t>1965-12-14</t>
        </is>
      </c>
      <c r="H840" t="inlineStr">
        <is>
          <t>19651214</t>
        </is>
      </c>
      <c r="I840" t="inlineStr">
        <is>
          <t>1</t>
        </is>
      </c>
      <c r="J840" t="inlineStr">
        <is>
          <t>부천</t>
        </is>
      </c>
      <c r="K840" t="inlineStr">
        <is>
          <t>032-672-3458</t>
        </is>
      </c>
      <c r="L840" t="inlineStr">
        <is>
          <t>경기도 부천시 오정구 신흥로390번길 14</t>
        </is>
      </c>
      <c r="M840" t="inlineStr"/>
      <c r="N840" t="inlineStr">
        <is>
          <t>경기도 부천시 오정구 신흥로390번길 14</t>
        </is>
      </c>
      <c r="O840" t="inlineStr">
        <is>
          <t>경기도</t>
        </is>
      </c>
      <c r="P840" t="inlineStr">
        <is>
          <t>부천시</t>
        </is>
      </c>
      <c r="Q840" t="inlineStr">
        <is>
          <t>N</t>
        </is>
      </c>
      <c r="R840" t="n">
        <v>0</v>
      </c>
    </row>
    <row r="841">
      <c r="A841" t="n">
        <v>840</v>
      </c>
      <c r="B841" t="inlineStr">
        <is>
          <t>엠에스종합가스(주)</t>
        </is>
      </c>
      <c r="C841" t="inlineStr">
        <is>
          <t>엠에스종합가스</t>
        </is>
      </c>
      <c r="D841" t="inlineStr">
        <is>
          <t>의약품</t>
        </is>
      </c>
      <c r="E841" t="inlineStr">
        <is>
          <t>2052</t>
        </is>
      </c>
      <c r="F841" t="inlineStr">
        <is>
          <t>전청민</t>
        </is>
      </c>
      <c r="G841" t="inlineStr">
        <is>
          <t>1999-05-04</t>
        </is>
      </c>
      <c r="H841" t="inlineStr">
        <is>
          <t>19990504</t>
        </is>
      </c>
      <c r="I841" t="inlineStr">
        <is>
          <t>1</t>
        </is>
      </c>
      <c r="J841" t="inlineStr">
        <is>
          <t>양산</t>
        </is>
      </c>
      <c r="K841" t="inlineStr">
        <is>
          <t>055)366-5522</t>
        </is>
      </c>
      <c r="L841" t="inlineStr">
        <is>
          <t>경상남도 양산시 소주공단2길 48</t>
        </is>
      </c>
      <c r="M841" t="inlineStr"/>
      <c r="N841" t="inlineStr">
        <is>
          <t>경상남도 양산시 소주공단2길 48</t>
        </is>
      </c>
      <c r="O841" t="inlineStr">
        <is>
          <t>경상남도</t>
        </is>
      </c>
      <c r="P841" t="inlineStr">
        <is>
          <t>양산시</t>
        </is>
      </c>
      <c r="Q841" t="inlineStr">
        <is>
          <t>N</t>
        </is>
      </c>
      <c r="R841" t="n">
        <v>0</v>
      </c>
    </row>
    <row r="842">
      <c r="A842" t="n">
        <v>841</v>
      </c>
      <c r="B842" t="inlineStr">
        <is>
          <t>(주)티디에스팜</t>
        </is>
      </c>
      <c r="C842" t="inlineStr">
        <is>
          <t>티디에스팜</t>
        </is>
      </c>
      <c r="D842" t="inlineStr">
        <is>
          <t>의약품</t>
        </is>
      </c>
      <c r="E842" t="inlineStr">
        <is>
          <t>1449</t>
        </is>
      </c>
      <c r="F842" t="inlineStr">
        <is>
          <t>김철준</t>
        </is>
      </c>
      <c r="G842" t="inlineStr">
        <is>
          <t>1964-10-20</t>
        </is>
      </c>
      <c r="H842" t="inlineStr">
        <is>
          <t>19641020</t>
        </is>
      </c>
      <c r="I842" t="inlineStr">
        <is>
          <t>1</t>
        </is>
      </c>
      <c r="J842" t="inlineStr">
        <is>
          <t>음성</t>
        </is>
      </c>
      <c r="K842" t="inlineStr">
        <is>
          <t>043-873-9556</t>
        </is>
      </c>
      <c r="L842" t="inlineStr">
        <is>
          <t>충청북도 음성군 음성읍 한불로69번길 12-13</t>
        </is>
      </c>
      <c r="M842" t="inlineStr"/>
      <c r="N842" t="inlineStr">
        <is>
          <t>충청북도 음성군 음성읍 한불로69번길 12-13</t>
        </is>
      </c>
      <c r="O842" t="inlineStr">
        <is>
          <t>충청북도</t>
        </is>
      </c>
      <c r="P842" t="inlineStr">
        <is>
          <t>음성군</t>
        </is>
      </c>
      <c r="Q842" t="inlineStr">
        <is>
          <t>N</t>
        </is>
      </c>
      <c r="R842" t="n">
        <v>0</v>
      </c>
    </row>
    <row r="843">
      <c r="A843" t="n">
        <v>842</v>
      </c>
      <c r="B843" t="inlineStr">
        <is>
          <t>경방신약(주)</t>
        </is>
      </c>
      <c r="C843" t="inlineStr">
        <is>
          <t>경방신약</t>
        </is>
      </c>
      <c r="D843" t="inlineStr">
        <is>
          <t>의약품</t>
        </is>
      </c>
      <c r="E843" t="inlineStr">
        <is>
          <t>2101</t>
        </is>
      </c>
      <c r="F843" t="inlineStr">
        <is>
          <t>김충환</t>
        </is>
      </c>
      <c r="G843" t="inlineStr">
        <is>
          <t>1999-12-22</t>
        </is>
      </c>
      <c r="H843" t="inlineStr">
        <is>
          <t>19991222</t>
        </is>
      </c>
      <c r="I843" t="inlineStr">
        <is>
          <t>6</t>
        </is>
      </c>
      <c r="J843" t="inlineStr">
        <is>
          <t>보관소3</t>
        </is>
      </c>
      <c r="K843" t="inlineStr"/>
      <c r="L843" t="inlineStr">
        <is>
          <t>충청남도 금산군 부리면 인삼약초공단로 36</t>
        </is>
      </c>
      <c r="M843" t="inlineStr"/>
      <c r="N843" t="inlineStr">
        <is>
          <t>충청남도 금산군 부리면 인삼약초공단로 36</t>
        </is>
      </c>
      <c r="O843" t="inlineStr">
        <is>
          <t>충청남도</t>
        </is>
      </c>
      <c r="P843" t="inlineStr">
        <is>
          <t>금산군</t>
        </is>
      </c>
      <c r="Q843" t="inlineStr">
        <is>
          <t>N</t>
        </is>
      </c>
      <c r="R843" t="n">
        <v>0</v>
      </c>
    </row>
    <row r="844">
      <c r="A844" t="n">
        <v>843</v>
      </c>
      <c r="B844" t="inlineStr">
        <is>
          <t>에어코리아(주)</t>
        </is>
      </c>
      <c r="C844" t="inlineStr">
        <is>
          <t>에어코리아</t>
        </is>
      </c>
      <c r="D844" t="inlineStr">
        <is>
          <t>의약품</t>
        </is>
      </c>
      <c r="E844" t="inlineStr">
        <is>
          <t>340</t>
        </is>
      </c>
      <c r="F844" t="inlineStr">
        <is>
          <t>김광섭</t>
        </is>
      </c>
      <c r="G844" t="inlineStr">
        <is>
          <t>2011-10-10</t>
        </is>
      </c>
      <c r="H844" t="inlineStr">
        <is>
          <t>20111010</t>
        </is>
      </c>
      <c r="I844" t="inlineStr">
        <is>
          <t>2</t>
        </is>
      </c>
      <c r="J844" t="inlineStr">
        <is>
          <t>시험실</t>
        </is>
      </c>
      <c r="K844" t="inlineStr"/>
      <c r="L844" t="inlineStr">
        <is>
          <t>경기도 여주시 주내로 799-16</t>
        </is>
      </c>
      <c r="M844" t="inlineStr">
        <is>
          <t>799-8(1층)(시험실)</t>
        </is>
      </c>
      <c r="N844" t="inlineStr">
        <is>
          <t>경기도 여주시 주내로 799-16 799-8(1층)(시험실)</t>
        </is>
      </c>
      <c r="O844" t="inlineStr">
        <is>
          <t>경기도</t>
        </is>
      </c>
      <c r="P844" t="inlineStr">
        <is>
          <t>여주시</t>
        </is>
      </c>
      <c r="Q844" t="inlineStr">
        <is>
          <t>N</t>
        </is>
      </c>
      <c r="R844" t="n">
        <v>0</v>
      </c>
    </row>
    <row r="845">
      <c r="A845" t="n">
        <v>844</v>
      </c>
      <c r="B845" t="inlineStr">
        <is>
          <t>디아이지에어가스(주)</t>
        </is>
      </c>
      <c r="C845" t="inlineStr">
        <is>
          <t>디아이지에어가스</t>
        </is>
      </c>
      <c r="D845" t="inlineStr">
        <is>
          <t>의약품</t>
        </is>
      </c>
      <c r="E845" t="inlineStr">
        <is>
          <t>1603</t>
        </is>
      </c>
      <c r="F845" t="inlineStr">
        <is>
          <t>오규석</t>
        </is>
      </c>
      <c r="G845" t="inlineStr">
        <is>
          <t>1981-02-06</t>
        </is>
      </c>
      <c r="H845" t="inlineStr">
        <is>
          <t>19810206</t>
        </is>
      </c>
      <c r="I845" t="inlineStr">
        <is>
          <t>2</t>
        </is>
      </c>
      <c r="J845" t="inlineStr">
        <is>
          <t>인천</t>
        </is>
      </c>
      <c r="K845" t="inlineStr">
        <is>
          <t>032-578-2345</t>
        </is>
      </c>
      <c r="L845" t="inlineStr">
        <is>
          <t>인천광역시 부평구 백범로578번길 32</t>
        </is>
      </c>
      <c r="M845" t="inlineStr"/>
      <c r="N845" t="inlineStr">
        <is>
          <t>인천광역시 부평구 백범로578번길 32</t>
        </is>
      </c>
      <c r="O845" t="inlineStr">
        <is>
          <t>인천광역시</t>
        </is>
      </c>
      <c r="P845" t="inlineStr">
        <is>
          <t>부평구</t>
        </is>
      </c>
      <c r="Q845" t="inlineStr">
        <is>
          <t>N</t>
        </is>
      </c>
      <c r="R845" t="n">
        <v>0</v>
      </c>
    </row>
    <row r="846">
      <c r="A846" t="n">
        <v>845</v>
      </c>
      <c r="B846" t="inlineStr">
        <is>
          <t>에스케이바이오텍(주)</t>
        </is>
      </c>
      <c r="C846" t="inlineStr">
        <is>
          <t>에스케이바이오텍</t>
        </is>
      </c>
      <c r="D846" t="inlineStr">
        <is>
          <t>의약품</t>
        </is>
      </c>
      <c r="E846" t="inlineStr">
        <is>
          <t>940</t>
        </is>
      </c>
      <c r="F846" t="inlineStr">
        <is>
          <t>박용우</t>
        </is>
      </c>
      <c r="G846" t="inlineStr">
        <is>
          <t>2011-01-10</t>
        </is>
      </c>
      <c r="H846" t="inlineStr">
        <is>
          <t>20110110</t>
        </is>
      </c>
      <c r="I846" t="inlineStr">
        <is>
          <t>2</t>
        </is>
      </c>
      <c r="J846" t="inlineStr">
        <is>
          <t>세종공장</t>
        </is>
      </c>
      <c r="K846" t="inlineStr">
        <is>
          <t>044-850-0806</t>
        </is>
      </c>
      <c r="L846" t="inlineStr">
        <is>
          <t>세종특별자치시 연동면 명학산단로 80</t>
        </is>
      </c>
      <c r="M846" t="inlineStr"/>
      <c r="N846" t="inlineStr">
        <is>
          <t>세종특별자치시 연동면 명학산단로 80</t>
        </is>
      </c>
      <c r="O846" t="inlineStr">
        <is>
          <t>세종특별자치시</t>
        </is>
      </c>
      <c r="P846" t="inlineStr"/>
      <c r="Q846" t="inlineStr">
        <is>
          <t>N</t>
        </is>
      </c>
      <c r="R846" t="n">
        <v>0</v>
      </c>
    </row>
    <row r="847">
      <c r="A847" t="n">
        <v>846</v>
      </c>
      <c r="B847" t="inlineStr">
        <is>
          <t>(주)엘지화학</t>
        </is>
      </c>
      <c r="C847" t="inlineStr">
        <is>
          <t>엘지화학</t>
        </is>
      </c>
      <c r="D847" t="inlineStr">
        <is>
          <t>의약품</t>
        </is>
      </c>
      <c r="E847" t="inlineStr">
        <is>
          <t>1543</t>
        </is>
      </c>
      <c r="F847" t="inlineStr">
        <is>
          <t>김동춘</t>
        </is>
      </c>
      <c r="G847" t="inlineStr">
        <is>
          <t>1972-01-24</t>
        </is>
      </c>
      <c r="H847" t="inlineStr">
        <is>
          <t>19720124</t>
        </is>
      </c>
      <c r="I847" t="inlineStr">
        <is>
          <t>5</t>
        </is>
      </c>
      <c r="J847" t="inlineStr">
        <is>
          <t>오송공장</t>
        </is>
      </c>
      <c r="K847" t="inlineStr">
        <is>
          <t>02-3773-3131</t>
        </is>
      </c>
      <c r="L847" t="inlineStr">
        <is>
          <t>충청북도 청주시 흥덕구 오송읍 오송생명1로 151</t>
        </is>
      </c>
      <c r="M847" t="inlineStr"/>
      <c r="N847" t="inlineStr">
        <is>
          <t>충청북도 청주시 흥덕구 오송읍 오송생명1로 151</t>
        </is>
      </c>
      <c r="O847" t="inlineStr">
        <is>
          <t>충청북도</t>
        </is>
      </c>
      <c r="P847" t="inlineStr">
        <is>
          <t>청주시</t>
        </is>
      </c>
      <c r="Q847" t="inlineStr">
        <is>
          <t>N</t>
        </is>
      </c>
      <c r="R847" t="n">
        <v>0</v>
      </c>
    </row>
    <row r="848">
      <c r="A848" t="n">
        <v>847</v>
      </c>
      <c r="B848" t="inlineStr">
        <is>
          <t>삼아제약(주)</t>
        </is>
      </c>
      <c r="C848" t="inlineStr">
        <is>
          <t>삼아제약</t>
        </is>
      </c>
      <c r="D848" t="inlineStr">
        <is>
          <t>의약품</t>
        </is>
      </c>
      <c r="E848" t="inlineStr">
        <is>
          <t>1393</t>
        </is>
      </c>
      <c r="F848" t="inlineStr">
        <is>
          <t>허준</t>
        </is>
      </c>
      <c r="G848" t="inlineStr">
        <is>
          <t>1960-07-25</t>
        </is>
      </c>
      <c r="H848" t="inlineStr">
        <is>
          <t>19600725</t>
        </is>
      </c>
      <c r="I848" t="inlineStr">
        <is>
          <t>2</t>
        </is>
      </c>
      <c r="J848" t="inlineStr">
        <is>
          <t>문막</t>
        </is>
      </c>
      <c r="K848" t="inlineStr">
        <is>
          <t>2056-7200</t>
        </is>
      </c>
      <c r="L848" t="inlineStr">
        <is>
          <t>강원특별자치도 원주시 문막읍 동화공단로 49</t>
        </is>
      </c>
      <c r="M848" t="inlineStr"/>
      <c r="N848" t="inlineStr">
        <is>
          <t>강원특별자치도 원주시 문막읍 동화공단로 49</t>
        </is>
      </c>
      <c r="O848" t="inlineStr">
        <is>
          <t>강원특별자치도</t>
        </is>
      </c>
      <c r="P848" t="inlineStr">
        <is>
          <t>원주시</t>
        </is>
      </c>
      <c r="Q848" t="inlineStr">
        <is>
          <t>N</t>
        </is>
      </c>
      <c r="R848" t="n">
        <v>0</v>
      </c>
    </row>
    <row r="849">
      <c r="A849" t="n">
        <v>848</v>
      </c>
      <c r="B849" t="inlineStr">
        <is>
          <t>(주)바이오닷</t>
        </is>
      </c>
      <c r="C849" t="inlineStr">
        <is>
          <t>바이오닷</t>
        </is>
      </c>
      <c r="D849" t="inlineStr">
        <is>
          <t>의약품</t>
        </is>
      </c>
      <c r="E849" t="inlineStr">
        <is>
          <t>295</t>
        </is>
      </c>
      <c r="F849" t="inlineStr">
        <is>
          <t>한현진</t>
        </is>
      </c>
      <c r="G849" t="inlineStr">
        <is>
          <t>2010-02-02</t>
        </is>
      </c>
      <c r="H849" t="inlineStr">
        <is>
          <t>20100202</t>
        </is>
      </c>
      <c r="I849" t="inlineStr">
        <is>
          <t>2</t>
        </is>
      </c>
      <c r="J849" t="inlineStr">
        <is>
          <t>폐업</t>
        </is>
      </c>
      <c r="K849" t="inlineStr">
        <is>
          <t>(02)6406-3347</t>
        </is>
      </c>
      <c r="L849" t="inlineStr">
        <is>
          <t>서울특별시 동대문구 약령서길 78</t>
        </is>
      </c>
      <c r="M849" t="inlineStr">
        <is>
          <t>지층 (보관소) 서울특별시 동대문구 약령서길 68 2층</t>
        </is>
      </c>
      <c r="N849" t="inlineStr">
        <is>
          <t>서울특별시 동대문구 약령서길 78 지층 (보관소) 서울특별시 동대문구 약령서길 68 2층</t>
        </is>
      </c>
      <c r="O849" t="inlineStr">
        <is>
          <t>서울특별시</t>
        </is>
      </c>
      <c r="P849" t="inlineStr">
        <is>
          <t>동대문구</t>
        </is>
      </c>
      <c r="Q849" t="inlineStr">
        <is>
          <t>N</t>
        </is>
      </c>
      <c r="R849" t="n">
        <v>0</v>
      </c>
    </row>
    <row r="850">
      <c r="A850" t="n">
        <v>849</v>
      </c>
      <c r="B850" t="inlineStr">
        <is>
          <t>시믹씨엠오코리아주식회사</t>
        </is>
      </c>
      <c r="C850" t="inlineStr">
        <is>
          <t>시믹씨엠오코리아</t>
        </is>
      </c>
      <c r="D850" t="inlineStr">
        <is>
          <t>의약품</t>
        </is>
      </c>
      <c r="E850" t="inlineStr">
        <is>
          <t>1544</t>
        </is>
      </c>
      <c r="F850" t="inlineStr">
        <is>
          <t>하마우라다케시</t>
        </is>
      </c>
      <c r="G850" t="inlineStr">
        <is>
          <t>1972-02-03</t>
        </is>
      </c>
      <c r="H850" t="inlineStr">
        <is>
          <t>19720203</t>
        </is>
      </c>
      <c r="I850" t="inlineStr">
        <is>
          <t>1</t>
        </is>
      </c>
      <c r="J850" t="inlineStr">
        <is>
          <t>.</t>
        </is>
      </c>
      <c r="K850" t="inlineStr"/>
      <c r="L850" t="inlineStr">
        <is>
          <t>경기도 부천시 원미구 옥산로230번길 23</t>
        </is>
      </c>
      <c r="M850" t="inlineStr"/>
      <c r="N850" t="inlineStr">
        <is>
          <t>경기도 부천시 원미구 옥산로230번길 23</t>
        </is>
      </c>
      <c r="O850" t="inlineStr">
        <is>
          <t>경기도</t>
        </is>
      </c>
      <c r="P850" t="inlineStr">
        <is>
          <t>부천시</t>
        </is>
      </c>
      <c r="Q850" t="inlineStr">
        <is>
          <t>N</t>
        </is>
      </c>
      <c r="R850" t="n">
        <v>0</v>
      </c>
    </row>
    <row r="851">
      <c r="A851" t="n">
        <v>850</v>
      </c>
      <c r="B851" t="inlineStr">
        <is>
          <t>(주)셀릭스</t>
        </is>
      </c>
      <c r="C851" t="inlineStr">
        <is>
          <t>셀릭스</t>
        </is>
      </c>
      <c r="D851" t="inlineStr">
        <is>
          <t>의약품</t>
        </is>
      </c>
      <c r="E851" t="inlineStr">
        <is>
          <t>1365</t>
        </is>
      </c>
      <c r="F851" t="inlineStr">
        <is>
          <t>정문기</t>
        </is>
      </c>
      <c r="G851" t="inlineStr">
        <is>
          <t>1958-04-11</t>
        </is>
      </c>
      <c r="H851" t="inlineStr">
        <is>
          <t>19580411</t>
        </is>
      </c>
      <c r="I851" t="inlineStr">
        <is>
          <t>2</t>
        </is>
      </c>
      <c r="J851" t="inlineStr">
        <is>
          <t>(주)셀릭스</t>
        </is>
      </c>
      <c r="K851" t="inlineStr">
        <is>
          <t>0638346055</t>
        </is>
      </c>
      <c r="L851" t="inlineStr">
        <is>
          <t>제주특별자치도 제주시 첨단로 179</t>
        </is>
      </c>
      <c r="M851" t="inlineStr"/>
      <c r="N851" t="inlineStr">
        <is>
          <t>제주특별자치도 제주시 첨단로 179</t>
        </is>
      </c>
      <c r="O851" t="inlineStr">
        <is>
          <t>제주특별자치도</t>
        </is>
      </c>
      <c r="P851" t="inlineStr">
        <is>
          <t>제주시</t>
        </is>
      </c>
      <c r="Q851" t="inlineStr">
        <is>
          <t>N</t>
        </is>
      </c>
      <c r="R851" t="n">
        <v>0</v>
      </c>
    </row>
    <row r="852">
      <c r="A852" t="n">
        <v>851</v>
      </c>
      <c r="B852" t="inlineStr">
        <is>
          <t>바이오플러스(주)</t>
        </is>
      </c>
      <c r="C852" t="inlineStr">
        <is>
          <t>바이오플러스</t>
        </is>
      </c>
      <c r="D852" t="inlineStr">
        <is>
          <t>의약품</t>
        </is>
      </c>
      <c r="E852" t="inlineStr">
        <is>
          <t>6190</t>
        </is>
      </c>
      <c r="F852" t="inlineStr">
        <is>
          <t>정현규</t>
        </is>
      </c>
      <c r="G852" t="inlineStr">
        <is>
          <t>2025-07-08</t>
        </is>
      </c>
      <c r="H852" t="inlineStr">
        <is>
          <t>20250708</t>
        </is>
      </c>
      <c r="I852" t="inlineStr">
        <is>
          <t>1</t>
        </is>
      </c>
      <c r="J852" t="inlineStr">
        <is>
          <t>BioComplex</t>
        </is>
      </c>
      <c r="K852" t="inlineStr">
        <is>
          <t>070-7706-4437</t>
        </is>
      </c>
      <c r="L852" t="inlineStr">
        <is>
          <t>충청북도 음성군 금왕읍 성본산단2로 14</t>
        </is>
      </c>
      <c r="M852" t="inlineStr">
        <is>
          <t>나동, 다동</t>
        </is>
      </c>
      <c r="N852" t="inlineStr">
        <is>
          <t>충청북도 음성군 금왕읍 성본산단2로 14 나동, 다동</t>
        </is>
      </c>
      <c r="O852" t="inlineStr">
        <is>
          <t>충청북도</t>
        </is>
      </c>
      <c r="P852" t="inlineStr">
        <is>
          <t>음성군</t>
        </is>
      </c>
      <c r="Q852" t="inlineStr">
        <is>
          <t>N</t>
        </is>
      </c>
      <c r="R852" t="n">
        <v>0</v>
      </c>
    </row>
    <row r="853">
      <c r="A853" t="n">
        <v>852</v>
      </c>
      <c r="B853" t="inlineStr">
        <is>
          <t>(주)삼흥에너지</t>
        </is>
      </c>
      <c r="C853" t="inlineStr">
        <is>
          <t>삼흥에너지</t>
        </is>
      </c>
      <c r="D853" t="inlineStr">
        <is>
          <t>의약품</t>
        </is>
      </c>
      <c r="E853" t="inlineStr">
        <is>
          <t>2614</t>
        </is>
      </c>
      <c r="F853" t="inlineStr">
        <is>
          <t>노천섭</t>
        </is>
      </c>
      <c r="G853" t="inlineStr">
        <is>
          <t>2009-04-16</t>
        </is>
      </c>
      <c r="H853" t="inlineStr">
        <is>
          <t>20090416</t>
        </is>
      </c>
      <c r="I853" t="inlineStr">
        <is>
          <t>1</t>
        </is>
      </c>
      <c r="J853" t="inlineStr">
        <is>
          <t>1공장</t>
        </is>
      </c>
      <c r="K853" t="inlineStr">
        <is>
          <t>(055)338-7618</t>
        </is>
      </c>
      <c r="L853" t="inlineStr">
        <is>
          <t>경상남도 김해시 장유면 장유로55번길 40</t>
        </is>
      </c>
      <c r="M853" t="inlineStr"/>
      <c r="N853" t="inlineStr">
        <is>
          <t>경상남도 김해시 장유면 장유로55번길 40</t>
        </is>
      </c>
      <c r="O853" t="inlineStr">
        <is>
          <t>경상남도</t>
        </is>
      </c>
      <c r="P853" t="inlineStr">
        <is>
          <t>김해시</t>
        </is>
      </c>
      <c r="Q853" t="inlineStr">
        <is>
          <t>N</t>
        </is>
      </c>
      <c r="R853" t="n">
        <v>0</v>
      </c>
    </row>
    <row r="854">
      <c r="A854" t="n">
        <v>853</v>
      </c>
      <c r="B854" t="inlineStr">
        <is>
          <t>(주)셀트리온제약</t>
        </is>
      </c>
      <c r="C854" t="inlineStr">
        <is>
          <t>셀트리온제약</t>
        </is>
      </c>
      <c r="D854" t="inlineStr">
        <is>
          <t>의약품</t>
        </is>
      </c>
      <c r="E854" t="inlineStr">
        <is>
          <t>1534</t>
        </is>
      </c>
      <c r="F854" t="inlineStr">
        <is>
          <t>유영호</t>
        </is>
      </c>
      <c r="G854" t="inlineStr">
        <is>
          <t>1971-10-16</t>
        </is>
      </c>
      <c r="H854" t="inlineStr">
        <is>
          <t>19711016</t>
        </is>
      </c>
      <c r="I854" t="inlineStr">
        <is>
          <t>2</t>
        </is>
      </c>
      <c r="J854" t="inlineStr">
        <is>
          <t>오창</t>
        </is>
      </c>
      <c r="K854" t="inlineStr">
        <is>
          <t>070-8675-7406</t>
        </is>
      </c>
      <c r="L854" t="inlineStr">
        <is>
          <t>충청북도 청주시 청원구 오창읍 2산단로 82</t>
        </is>
      </c>
      <c r="M854" t="inlineStr"/>
      <c r="N854" t="inlineStr">
        <is>
          <t>충청북도 청주시 청원구 오창읍 2산단로 82</t>
        </is>
      </c>
      <c r="O854" t="inlineStr">
        <is>
          <t>충청북도</t>
        </is>
      </c>
      <c r="P854" t="inlineStr">
        <is>
          <t>청주시</t>
        </is>
      </c>
      <c r="Q854" t="inlineStr">
        <is>
          <t>N</t>
        </is>
      </c>
      <c r="R854" t="n">
        <v>0</v>
      </c>
    </row>
    <row r="855">
      <c r="A855" t="n">
        <v>854</v>
      </c>
      <c r="B855" t="inlineStr">
        <is>
          <t>알보젠코리아(주)</t>
        </is>
      </c>
      <c r="C855" t="inlineStr">
        <is>
          <t>알보젠코리아</t>
        </is>
      </c>
      <c r="D855" t="inlineStr">
        <is>
          <t>의약품</t>
        </is>
      </c>
      <c r="E855" t="inlineStr">
        <is>
          <t>1367</t>
        </is>
      </c>
      <c r="F855" t="inlineStr">
        <is>
          <t>임희균</t>
        </is>
      </c>
      <c r="G855" t="inlineStr">
        <is>
          <t>1958-05-01</t>
        </is>
      </c>
      <c r="H855" t="inlineStr">
        <is>
          <t>19580501</t>
        </is>
      </c>
      <c r="I855" t="inlineStr">
        <is>
          <t>4</t>
        </is>
      </c>
      <c r="J855" t="inlineStr">
        <is>
          <t>보관소2</t>
        </is>
      </c>
      <c r="K855" t="inlineStr"/>
      <c r="L855" t="inlineStr">
        <is>
          <t>경기도 안성시 삼죽면 삼죽로 75</t>
        </is>
      </c>
      <c r="M855" t="inlineStr">
        <is>
          <t>1동 B1층 일부</t>
        </is>
      </c>
      <c r="N855" t="inlineStr">
        <is>
          <t>경기도 안성시 삼죽면 삼죽로 75 1동 B1층 일부</t>
        </is>
      </c>
      <c r="O855" t="inlineStr">
        <is>
          <t>경기도</t>
        </is>
      </c>
      <c r="P855" t="inlineStr">
        <is>
          <t>안성시</t>
        </is>
      </c>
      <c r="Q855" t="inlineStr">
        <is>
          <t>N</t>
        </is>
      </c>
      <c r="R855" t="n">
        <v>0</v>
      </c>
    </row>
    <row r="856">
      <c r="A856" t="n">
        <v>855</v>
      </c>
      <c r="B856" t="inlineStr">
        <is>
          <t>에스케이케미칼(주)</t>
        </is>
      </c>
      <c r="C856" t="inlineStr">
        <is>
          <t>에스케이케미칼</t>
        </is>
      </c>
      <c r="D856" t="inlineStr">
        <is>
          <t>의약품</t>
        </is>
      </c>
      <c r="E856" t="inlineStr">
        <is>
          <t>1346</t>
        </is>
      </c>
      <c r="F856" t="inlineStr">
        <is>
          <t>안재현</t>
        </is>
      </c>
      <c r="G856" t="inlineStr">
        <is>
          <t>1957-06-17</t>
        </is>
      </c>
      <c r="H856" t="inlineStr">
        <is>
          <t>19570617</t>
        </is>
      </c>
      <c r="I856" t="inlineStr">
        <is>
          <t>2</t>
        </is>
      </c>
      <c r="J856" t="inlineStr">
        <is>
          <t>오산</t>
        </is>
      </c>
      <c r="K856" t="inlineStr">
        <is>
          <t>02-2008-2146</t>
        </is>
      </c>
      <c r="L856" t="inlineStr">
        <is>
          <t>경기도 오산시 남부대로 430-11</t>
        </is>
      </c>
      <c r="M856" t="inlineStr"/>
      <c r="N856" t="inlineStr">
        <is>
          <t>경기도 오산시 남부대로 430-11</t>
        </is>
      </c>
      <c r="O856" t="inlineStr">
        <is>
          <t>경기도</t>
        </is>
      </c>
      <c r="P856" t="inlineStr">
        <is>
          <t>오산시</t>
        </is>
      </c>
      <c r="Q856" t="inlineStr">
        <is>
          <t>N</t>
        </is>
      </c>
      <c r="R856" t="n">
        <v>0</v>
      </c>
    </row>
    <row r="857">
      <c r="A857" t="n">
        <v>856</v>
      </c>
      <c r="B857" t="inlineStr">
        <is>
          <t>한국유나이티드제약(주)</t>
        </is>
      </c>
      <c r="C857" t="inlineStr">
        <is>
          <t>한국유나이티드제약</t>
        </is>
      </c>
      <c r="D857" t="inlineStr">
        <is>
          <t>의약품</t>
        </is>
      </c>
      <c r="E857" t="inlineStr">
        <is>
          <t>1752</t>
        </is>
      </c>
      <c r="F857" t="inlineStr">
        <is>
          <t>강덕영</t>
        </is>
      </c>
      <c r="G857" t="inlineStr">
        <is>
          <t>1991-10-11</t>
        </is>
      </c>
      <c r="H857" t="inlineStr">
        <is>
          <t>19911011</t>
        </is>
      </c>
      <c r="I857" t="inlineStr">
        <is>
          <t>4</t>
        </is>
      </c>
      <c r="J857" t="inlineStr">
        <is>
          <t>연서면(4공장)</t>
        </is>
      </c>
      <c r="K857" t="inlineStr">
        <is>
          <t>041-862-6856</t>
        </is>
      </c>
      <c r="L857" t="inlineStr">
        <is>
          <t>세종특별자치시 연서면 공단로 107</t>
        </is>
      </c>
      <c r="M857" t="inlineStr"/>
      <c r="N857" t="inlineStr">
        <is>
          <t>세종특별자치시 연서면 공단로 107</t>
        </is>
      </c>
      <c r="O857" t="inlineStr">
        <is>
          <t>세종특별자치시</t>
        </is>
      </c>
      <c r="P857" t="inlineStr"/>
      <c r="Q857" t="inlineStr">
        <is>
          <t>N</t>
        </is>
      </c>
      <c r="R857" t="n">
        <v>0</v>
      </c>
    </row>
    <row r="858">
      <c r="A858" t="n">
        <v>857</v>
      </c>
      <c r="B858" t="inlineStr">
        <is>
          <t>명인제약(주)</t>
        </is>
      </c>
      <c r="C858" t="inlineStr">
        <is>
          <t>명인제약</t>
        </is>
      </c>
      <c r="D858" t="inlineStr">
        <is>
          <t>의약품</t>
        </is>
      </c>
      <c r="E858" t="inlineStr">
        <is>
          <t>1504</t>
        </is>
      </c>
      <c r="F858" t="inlineStr">
        <is>
          <t>차봉권</t>
        </is>
      </c>
      <c r="G858" t="inlineStr">
        <is>
          <t>1969-11-15</t>
        </is>
      </c>
      <c r="H858" t="inlineStr">
        <is>
          <t>19691115</t>
        </is>
      </c>
      <c r="I858" t="inlineStr">
        <is>
          <t>1</t>
        </is>
      </c>
      <c r="J858" t="inlineStr">
        <is>
          <t>제1공장</t>
        </is>
      </c>
      <c r="K858" t="inlineStr">
        <is>
          <t>02-587-9060</t>
        </is>
      </c>
      <c r="L858" t="inlineStr">
        <is>
          <t>경기도 화성시 만세구 팔탄면 노하길 361-12</t>
        </is>
      </c>
      <c r="M858" t="inlineStr"/>
      <c r="N858" t="inlineStr">
        <is>
          <t>경기도 화성시 만세구 팔탄면 노하길 361-12</t>
        </is>
      </c>
      <c r="O858" t="inlineStr">
        <is>
          <t>경기도</t>
        </is>
      </c>
      <c r="P858" t="inlineStr">
        <is>
          <t>화성시</t>
        </is>
      </c>
      <c r="Q858" t="inlineStr">
        <is>
          <t>Y</t>
        </is>
      </c>
      <c r="R858" t="n">
        <v>6</v>
      </c>
    </row>
    <row r="859">
      <c r="A859" t="n">
        <v>858</v>
      </c>
      <c r="B859" t="inlineStr">
        <is>
          <t>한국코러스(주)</t>
        </is>
      </c>
      <c r="C859" t="inlineStr">
        <is>
          <t>한국코러스</t>
        </is>
      </c>
      <c r="D859" t="inlineStr">
        <is>
          <t>의약품</t>
        </is>
      </c>
      <c r="E859" t="inlineStr">
        <is>
          <t>1728</t>
        </is>
      </c>
      <c r="F859" t="inlineStr">
        <is>
          <t>황재간</t>
        </is>
      </c>
      <c r="G859" t="inlineStr">
        <is>
          <t>1990-10-30</t>
        </is>
      </c>
      <c r="H859" t="inlineStr">
        <is>
          <t>19901030</t>
        </is>
      </c>
      <c r="I859" t="inlineStr">
        <is>
          <t>3</t>
        </is>
      </c>
      <c r="J859" t="inlineStr">
        <is>
          <t>춘천</t>
        </is>
      </c>
      <c r="K859" t="inlineStr">
        <is>
          <t>043-644-8457</t>
        </is>
      </c>
      <c r="L859" t="inlineStr">
        <is>
          <t>강원특별자치도 춘천시 동내면 거두단지 1길11</t>
        </is>
      </c>
      <c r="M859" t="inlineStr"/>
      <c r="N859" t="inlineStr">
        <is>
          <t>강원특별자치도 춘천시 동내면 거두단지 1길11</t>
        </is>
      </c>
      <c r="O859" t="inlineStr">
        <is>
          <t>강원특별자치도</t>
        </is>
      </c>
      <c r="P859" t="inlineStr">
        <is>
          <t>춘천시</t>
        </is>
      </c>
      <c r="Q859" t="inlineStr">
        <is>
          <t>N</t>
        </is>
      </c>
      <c r="R859" t="n">
        <v>0</v>
      </c>
    </row>
    <row r="860">
      <c r="A860" t="n">
        <v>859</v>
      </c>
      <c r="B860" t="inlineStr">
        <is>
          <t>화용제약(주)</t>
        </is>
      </c>
      <c r="C860" t="inlineStr">
        <is>
          <t>화용제약</t>
        </is>
      </c>
      <c r="D860" t="inlineStr">
        <is>
          <t>의약품</t>
        </is>
      </c>
      <c r="E860" t="inlineStr">
        <is>
          <t>2142</t>
        </is>
      </c>
      <c r="F860" t="inlineStr">
        <is>
          <t>유영화</t>
        </is>
      </c>
      <c r="G860" t="inlineStr">
        <is>
          <t>2000-10-30</t>
        </is>
      </c>
      <c r="H860" t="inlineStr">
        <is>
          <t>20001030</t>
        </is>
      </c>
      <c r="I860" t="inlineStr">
        <is>
          <t>1</t>
        </is>
      </c>
      <c r="J860" t="inlineStr">
        <is>
          <t>1공장</t>
        </is>
      </c>
      <c r="K860" t="inlineStr">
        <is>
          <t>02-969-5584</t>
        </is>
      </c>
      <c r="L860" t="inlineStr">
        <is>
          <t>서울특별시 동대문구 고산자로 473</t>
        </is>
      </c>
      <c r="M860" t="inlineStr">
        <is>
          <t>, 401호 (보관소) 경기도 파주시 월롱면 누현1길 55-22, 가동</t>
        </is>
      </c>
      <c r="N860" t="inlineStr">
        <is>
          <t>서울특별시 동대문구 고산자로 473 , 401호 (보관소) 경기도 파주시 월롱면 누현1길 55-22, 가동</t>
        </is>
      </c>
      <c r="O860" t="inlineStr">
        <is>
          <t>서울특별시</t>
        </is>
      </c>
      <c r="P860" t="inlineStr">
        <is>
          <t>동대문구</t>
        </is>
      </c>
      <c r="Q860" t="inlineStr">
        <is>
          <t>N</t>
        </is>
      </c>
      <c r="R860" t="n">
        <v>0</v>
      </c>
    </row>
    <row r="861">
      <c r="A861" t="n">
        <v>860</v>
      </c>
      <c r="B861" t="inlineStr">
        <is>
          <t>(주)보령바이오파마</t>
        </is>
      </c>
      <c r="C861" t="inlineStr">
        <is>
          <t>보령바이오파마</t>
        </is>
      </c>
      <c r="D861" t="inlineStr">
        <is>
          <t>의약품</t>
        </is>
      </c>
      <c r="E861" t="inlineStr">
        <is>
          <t>1488</t>
        </is>
      </c>
      <c r="F861" t="inlineStr">
        <is>
          <t>장홍두</t>
        </is>
      </c>
      <c r="G861" t="inlineStr">
        <is>
          <t>1967-09-09</t>
        </is>
      </c>
      <c r="H861" t="inlineStr">
        <is>
          <t>19670909</t>
        </is>
      </c>
      <c r="I861" t="inlineStr">
        <is>
          <t>1</t>
        </is>
      </c>
      <c r="J861" t="inlineStr">
        <is>
          <t>(주)보령바이오파마</t>
        </is>
      </c>
      <c r="K861" t="inlineStr">
        <is>
          <t>02-740-4204</t>
        </is>
      </c>
      <c r="L861" t="inlineStr">
        <is>
          <t>충청북도 진천군 광혜원면 사동길 2</t>
        </is>
      </c>
      <c r="M861" t="inlineStr"/>
      <c r="N861" t="inlineStr">
        <is>
          <t>충청북도 진천군 광혜원면 사동길 2</t>
        </is>
      </c>
      <c r="O861" t="inlineStr">
        <is>
          <t>충청북도</t>
        </is>
      </c>
      <c r="P861" t="inlineStr">
        <is>
          <t>진천군</t>
        </is>
      </c>
      <c r="Q861" t="inlineStr">
        <is>
          <t>N</t>
        </is>
      </c>
      <c r="R861" t="n">
        <v>0</v>
      </c>
    </row>
    <row r="862">
      <c r="A862" t="n">
        <v>861</v>
      </c>
      <c r="B862" t="inlineStr">
        <is>
          <t>(주)보령</t>
        </is>
      </c>
      <c r="C862" t="inlineStr">
        <is>
          <t>보령</t>
        </is>
      </c>
      <c r="D862" t="inlineStr">
        <is>
          <t>의약품</t>
        </is>
      </c>
      <c r="E862" t="inlineStr">
        <is>
          <t>1689</t>
        </is>
      </c>
      <c r="F862" t="inlineStr">
        <is>
          <t>김정균</t>
        </is>
      </c>
      <c r="G862" t="inlineStr">
        <is>
          <t>1988-05-09</t>
        </is>
      </c>
      <c r="H862" t="inlineStr">
        <is>
          <t>19880509</t>
        </is>
      </c>
      <c r="I862" t="inlineStr">
        <is>
          <t>2</t>
        </is>
      </c>
      <c r="J862" t="inlineStr">
        <is>
          <t>군포</t>
        </is>
      </c>
      <c r="K862" t="inlineStr"/>
      <c r="L862" t="inlineStr">
        <is>
          <t>경기도 군포시 엘에스로 141</t>
        </is>
      </c>
      <c r="M862" t="inlineStr"/>
      <c r="N862" t="inlineStr">
        <is>
          <t>경기도 군포시 엘에스로 141</t>
        </is>
      </c>
      <c r="O862" t="inlineStr">
        <is>
          <t>경기도</t>
        </is>
      </c>
      <c r="P862" t="inlineStr">
        <is>
          <t>군포시</t>
        </is>
      </c>
      <c r="Q862" t="inlineStr">
        <is>
          <t>N</t>
        </is>
      </c>
      <c r="R862" t="n">
        <v>0</v>
      </c>
    </row>
    <row r="863">
      <c r="A863" t="n">
        <v>862</v>
      </c>
      <c r="B863" t="inlineStr">
        <is>
          <t>(주)에스디</t>
        </is>
      </c>
      <c r="C863" t="inlineStr">
        <is>
          <t>에스디</t>
        </is>
      </c>
      <c r="D863" t="inlineStr">
        <is>
          <t>의약품</t>
        </is>
      </c>
      <c r="E863" t="inlineStr">
        <is>
          <t>2134</t>
        </is>
      </c>
      <c r="F863" t="inlineStr">
        <is>
          <t>조병기</t>
        </is>
      </c>
      <c r="G863" t="inlineStr">
        <is>
          <t>2000-06-28</t>
        </is>
      </c>
      <c r="H863" t="inlineStr">
        <is>
          <t>20000628</t>
        </is>
      </c>
      <c r="I863" t="inlineStr">
        <is>
          <t>3</t>
        </is>
      </c>
      <c r="J863" t="inlineStr">
        <is>
          <t>제1보관소</t>
        </is>
      </c>
      <c r="K863" t="inlineStr"/>
      <c r="L863" t="inlineStr"/>
      <c r="M863" t="inlineStr">
        <is>
          <t>경기 용인시 기흥구 공세동 ~ 325-6 325-8 325-9</t>
        </is>
      </c>
      <c r="N863" t="inlineStr">
        <is>
          <t>경기 용인시 기흥구 공세동 ~ 325-6 325-8 325-9</t>
        </is>
      </c>
      <c r="O863" t="inlineStr">
        <is>
          <t>경기</t>
        </is>
      </c>
      <c r="P863" t="inlineStr">
        <is>
          <t>용인시</t>
        </is>
      </c>
      <c r="Q863" t="inlineStr">
        <is>
          <t>N</t>
        </is>
      </c>
      <c r="R863" t="n">
        <v>0</v>
      </c>
    </row>
    <row r="864">
      <c r="A864" t="n">
        <v>863</v>
      </c>
      <c r="B864" t="inlineStr">
        <is>
          <t>명문제약(주)</t>
        </is>
      </c>
      <c r="C864" t="inlineStr">
        <is>
          <t>명문제약</t>
        </is>
      </c>
      <c r="D864" t="inlineStr">
        <is>
          <t>의약품</t>
        </is>
      </c>
      <c r="E864" t="inlineStr">
        <is>
          <t>1476</t>
        </is>
      </c>
      <c r="F864" t="inlineStr">
        <is>
          <t>배철한</t>
        </is>
      </c>
      <c r="G864" t="inlineStr">
        <is>
          <t>1966-04-23</t>
        </is>
      </c>
      <c r="H864" t="inlineStr">
        <is>
          <t>19660423</t>
        </is>
      </c>
      <c r="I864" t="inlineStr">
        <is>
          <t>2</t>
        </is>
      </c>
      <c r="J864" t="inlineStr">
        <is>
          <t>화성(원료의약품 제조에 한함)</t>
        </is>
      </c>
      <c r="K864" t="inlineStr"/>
      <c r="L864" t="inlineStr"/>
      <c r="M864" t="inlineStr">
        <is>
          <t>경기도 화성시 향남읍 제약공단2길 26</t>
        </is>
      </c>
      <c r="N864" t="inlineStr">
        <is>
          <t>경기도 화성시 향남읍 제약공단2길 26</t>
        </is>
      </c>
      <c r="O864" t="inlineStr">
        <is>
          <t>경기도</t>
        </is>
      </c>
      <c r="P864" t="inlineStr">
        <is>
          <t>화성시</t>
        </is>
      </c>
      <c r="Q864" t="inlineStr">
        <is>
          <t>N</t>
        </is>
      </c>
      <c r="R864" t="n">
        <v>0</v>
      </c>
    </row>
    <row r="865">
      <c r="A865" t="n">
        <v>864</v>
      </c>
      <c r="B865" t="inlineStr">
        <is>
          <t>(주)휴온스</t>
        </is>
      </c>
      <c r="C865" t="inlineStr">
        <is>
          <t>휴온스</t>
        </is>
      </c>
      <c r="D865" t="inlineStr">
        <is>
          <t>의약품</t>
        </is>
      </c>
      <c r="E865" t="inlineStr">
        <is>
          <t>1683</t>
        </is>
      </c>
      <c r="F865" t="inlineStr">
        <is>
          <t>송수영</t>
        </is>
      </c>
      <c r="G865" t="inlineStr">
        <is>
          <t>1987-10-24</t>
        </is>
      </c>
      <c r="H865" t="inlineStr">
        <is>
          <t>19871024</t>
        </is>
      </c>
      <c r="I865" t="inlineStr">
        <is>
          <t>2</t>
        </is>
      </c>
      <c r="J865" t="inlineStr">
        <is>
          <t>보관소</t>
        </is>
      </c>
      <c r="K865" t="inlineStr"/>
      <c r="L865" t="inlineStr"/>
      <c r="M865" t="inlineStr">
        <is>
          <t>경기도 화성시 향남읍 칼바위길 52</t>
        </is>
      </c>
      <c r="N865" t="inlineStr">
        <is>
          <t>경기도 화성시 향남읍 칼바위길 52</t>
        </is>
      </c>
      <c r="O865" t="inlineStr">
        <is>
          <t>경기도</t>
        </is>
      </c>
      <c r="P865" t="inlineStr">
        <is>
          <t>화성시</t>
        </is>
      </c>
      <c r="Q865" t="inlineStr">
        <is>
          <t>N</t>
        </is>
      </c>
      <c r="R865" t="n">
        <v>0</v>
      </c>
    </row>
    <row r="866">
      <c r="A866" t="n">
        <v>865</v>
      </c>
      <c r="B866" t="inlineStr">
        <is>
          <t>에어프로덕츠코리아(주)</t>
        </is>
      </c>
      <c r="C866" t="inlineStr">
        <is>
          <t>에어프로덕츠코리아</t>
        </is>
      </c>
      <c r="D866" t="inlineStr">
        <is>
          <t>의약품</t>
        </is>
      </c>
      <c r="E866" t="inlineStr">
        <is>
          <t>2065</t>
        </is>
      </c>
      <c r="F866" t="inlineStr">
        <is>
          <t>김승록</t>
        </is>
      </c>
      <c r="G866" t="inlineStr">
        <is>
          <t>1999-07-27</t>
        </is>
      </c>
      <c r="H866" t="inlineStr">
        <is>
          <t>19990727</t>
        </is>
      </c>
      <c r="I866" t="inlineStr">
        <is>
          <t>4</t>
        </is>
      </c>
      <c r="J866" t="inlineStr">
        <is>
          <t>에어프로덕츠코리아 시화</t>
        </is>
      </c>
      <c r="K866" t="inlineStr"/>
      <c r="L866" t="inlineStr">
        <is>
          <t>경기도 시흥시 협력로 143</t>
        </is>
      </c>
      <c r="M866" t="inlineStr">
        <is>
          <t>시화단지 1라 204호 (정왕동)</t>
        </is>
      </c>
      <c r="N866" t="inlineStr">
        <is>
          <t>경기도 시흥시 협력로 143 시화단지 1라 204호 (정왕동)</t>
        </is>
      </c>
      <c r="O866" t="inlineStr">
        <is>
          <t>경기도</t>
        </is>
      </c>
      <c r="P866" t="inlineStr">
        <is>
          <t>시흥시</t>
        </is>
      </c>
      <c r="Q866" t="inlineStr">
        <is>
          <t>N</t>
        </is>
      </c>
      <c r="R866" t="n">
        <v>0</v>
      </c>
    </row>
    <row r="867">
      <c r="A867" t="n">
        <v>866</v>
      </c>
      <c r="B867" t="inlineStr">
        <is>
          <t>구주제약(주)</t>
        </is>
      </c>
      <c r="C867" t="inlineStr">
        <is>
          <t>구주제약</t>
        </is>
      </c>
      <c r="D867" t="inlineStr">
        <is>
          <t>의약품</t>
        </is>
      </c>
      <c r="E867" t="inlineStr">
        <is>
          <t>1455</t>
        </is>
      </c>
      <c r="F867" t="inlineStr">
        <is>
          <t>김우태</t>
        </is>
      </c>
      <c r="G867" t="inlineStr">
        <is>
          <t>1964-12-16</t>
        </is>
      </c>
      <c r="H867" t="inlineStr">
        <is>
          <t>19641216</t>
        </is>
      </c>
      <c r="I867" t="inlineStr">
        <is>
          <t>1</t>
        </is>
      </c>
      <c r="J867" t="inlineStr">
        <is>
          <t>화성</t>
        </is>
      </c>
      <c r="K867" t="inlineStr">
        <is>
          <t>672-1096</t>
        </is>
      </c>
      <c r="L867" t="inlineStr">
        <is>
          <t>경기도 화성시 효행구 정남면 덕절제기길 5</t>
        </is>
      </c>
      <c r="M867" t="inlineStr"/>
      <c r="N867" t="inlineStr">
        <is>
          <t>경기도 화성시 효행구 정남면 덕절제기길 5</t>
        </is>
      </c>
      <c r="O867" t="inlineStr">
        <is>
          <t>경기도</t>
        </is>
      </c>
      <c r="P867" t="inlineStr">
        <is>
          <t>화성시</t>
        </is>
      </c>
      <c r="Q867" t="inlineStr">
        <is>
          <t>N</t>
        </is>
      </c>
      <c r="R867" t="n">
        <v>0</v>
      </c>
    </row>
    <row r="868">
      <c r="A868" t="n">
        <v>867</v>
      </c>
      <c r="B868" t="inlineStr">
        <is>
          <t>춘천종합가스</t>
        </is>
      </c>
      <c r="C868" t="inlineStr">
        <is>
          <t>춘천종합가스</t>
        </is>
      </c>
      <c r="D868" t="inlineStr">
        <is>
          <t>의약품</t>
        </is>
      </c>
      <c r="E868" t="inlineStr">
        <is>
          <t>2083</t>
        </is>
      </c>
      <c r="F868" t="inlineStr">
        <is>
          <t>한천석</t>
        </is>
      </c>
      <c r="G868" t="inlineStr">
        <is>
          <t>1999-10-19</t>
        </is>
      </c>
      <c r="H868" t="inlineStr">
        <is>
          <t>19991019</t>
        </is>
      </c>
      <c r="I868" t="inlineStr">
        <is>
          <t>1</t>
        </is>
      </c>
      <c r="J868" t="inlineStr">
        <is>
          <t>춘천종합가스</t>
        </is>
      </c>
      <c r="K868" t="inlineStr">
        <is>
          <t>033-262-3849</t>
        </is>
      </c>
      <c r="L868" t="inlineStr">
        <is>
          <t>강원특별자치도 춘천시 동산면 영서로 1266</t>
        </is>
      </c>
      <c r="M868" t="inlineStr"/>
      <c r="N868" t="inlineStr">
        <is>
          <t>강원특별자치도 춘천시 동산면 영서로 1266</t>
        </is>
      </c>
      <c r="O868" t="inlineStr">
        <is>
          <t>강원특별자치도</t>
        </is>
      </c>
      <c r="P868" t="inlineStr">
        <is>
          <t>춘천시</t>
        </is>
      </c>
      <c r="Q868" t="inlineStr">
        <is>
          <t>N</t>
        </is>
      </c>
      <c r="R868" t="n">
        <v>0</v>
      </c>
    </row>
    <row r="869">
      <c r="A869" t="n">
        <v>868</v>
      </c>
      <c r="B869" t="inlineStr">
        <is>
          <t>(주)유바이오로직스</t>
        </is>
      </c>
      <c r="C869" t="inlineStr">
        <is>
          <t>유바이오로직스</t>
        </is>
      </c>
      <c r="D869" t="inlineStr">
        <is>
          <t>의약품</t>
        </is>
      </c>
      <c r="E869" t="inlineStr">
        <is>
          <t>322</t>
        </is>
      </c>
      <c r="F869" t="inlineStr">
        <is>
          <t>허태영</t>
        </is>
      </c>
      <c r="G869" t="inlineStr">
        <is>
          <t>2011-11-28</t>
        </is>
      </c>
      <c r="H869" t="inlineStr">
        <is>
          <t>20111128</t>
        </is>
      </c>
      <c r="I869" t="inlineStr">
        <is>
          <t>2</t>
        </is>
      </c>
      <c r="J869" t="inlineStr">
        <is>
          <t>[제2공장]</t>
        </is>
      </c>
      <c r="K869" t="inlineStr">
        <is>
          <t>070-4235-1105</t>
        </is>
      </c>
      <c r="L869" t="inlineStr">
        <is>
          <t>강원특별자치도 춘천시 동산면 원무동길 125</t>
        </is>
      </c>
      <c r="M869" t="inlineStr">
        <is>
          <t>생산동 지하1층일부,1층~4층, 관리동 2층,4층</t>
        </is>
      </c>
      <c r="N869" t="inlineStr">
        <is>
          <t>강원특별자치도 춘천시 동산면 원무동길 125 생산동 지하1층일부,1층~4층, 관리동 2층,4층</t>
        </is>
      </c>
      <c r="O869" t="inlineStr">
        <is>
          <t>강원특별자치도</t>
        </is>
      </c>
      <c r="P869" t="inlineStr">
        <is>
          <t>춘천시</t>
        </is>
      </c>
      <c r="Q869" t="inlineStr">
        <is>
          <t>Y</t>
        </is>
      </c>
      <c r="R869" t="n">
        <v>7</v>
      </c>
    </row>
    <row r="870">
      <c r="A870" t="n">
        <v>869</v>
      </c>
      <c r="B870" t="inlineStr">
        <is>
          <t>디아이지에어가스(주)</t>
        </is>
      </c>
      <c r="C870" t="inlineStr">
        <is>
          <t>디아이지에어가스</t>
        </is>
      </c>
      <c r="D870" t="inlineStr">
        <is>
          <t>의약품</t>
        </is>
      </c>
      <c r="E870" t="inlineStr">
        <is>
          <t>1603</t>
        </is>
      </c>
      <c r="F870" t="inlineStr">
        <is>
          <t>오규석</t>
        </is>
      </c>
      <c r="G870" t="inlineStr">
        <is>
          <t>1981-02-06</t>
        </is>
      </c>
      <c r="H870" t="inlineStr">
        <is>
          <t>19810206</t>
        </is>
      </c>
      <c r="I870" t="inlineStr">
        <is>
          <t>6</t>
        </is>
      </c>
      <c r="J870" t="inlineStr">
        <is>
          <t>양산</t>
        </is>
      </c>
      <c r="K870" t="inlineStr">
        <is>
          <t>055-780-3103</t>
        </is>
      </c>
      <c r="L870" t="inlineStr">
        <is>
          <t>경상남도 양산시 유산공단8길 10</t>
        </is>
      </c>
      <c r="M870" t="inlineStr"/>
      <c r="N870" t="inlineStr">
        <is>
          <t>경상남도 양산시 유산공단8길 10</t>
        </is>
      </c>
      <c r="O870" t="inlineStr">
        <is>
          <t>경상남도</t>
        </is>
      </c>
      <c r="P870" t="inlineStr">
        <is>
          <t>양산시</t>
        </is>
      </c>
      <c r="Q870" t="inlineStr">
        <is>
          <t>N</t>
        </is>
      </c>
      <c r="R870" t="n">
        <v>0</v>
      </c>
    </row>
    <row r="871">
      <c r="A871" t="n">
        <v>870</v>
      </c>
      <c r="B871" t="inlineStr">
        <is>
          <t>큐앤큐팜(주)</t>
        </is>
      </c>
      <c r="C871" t="inlineStr">
        <is>
          <t>큐앤큐팜</t>
        </is>
      </c>
      <c r="D871" t="inlineStr">
        <is>
          <t>의약품</t>
        </is>
      </c>
      <c r="E871" t="inlineStr">
        <is>
          <t>2079</t>
        </is>
      </c>
      <c r="F871" t="inlineStr">
        <is>
          <t>정운진</t>
        </is>
      </c>
      <c r="G871" t="inlineStr">
        <is>
          <t>1999-10-04</t>
        </is>
      </c>
      <c r="H871" t="inlineStr">
        <is>
          <t>19991004</t>
        </is>
      </c>
      <c r="I871" t="inlineStr">
        <is>
          <t>1</t>
        </is>
      </c>
      <c r="J871" t="inlineStr">
        <is>
          <t>세종</t>
        </is>
      </c>
      <c r="K871" t="inlineStr">
        <is>
          <t>044-867-6400</t>
        </is>
      </c>
      <c r="L871" t="inlineStr">
        <is>
          <t>세종특별자치시 전의면 양지편길 19-11</t>
        </is>
      </c>
      <c r="M871" t="inlineStr"/>
      <c r="N871" t="inlineStr">
        <is>
          <t>세종특별자치시 전의면 양지편길 19-11</t>
        </is>
      </c>
      <c r="O871" t="inlineStr">
        <is>
          <t>세종특별자치시</t>
        </is>
      </c>
      <c r="P871" t="inlineStr"/>
      <c r="Q871" t="inlineStr">
        <is>
          <t>N</t>
        </is>
      </c>
      <c r="R871" t="n">
        <v>0</v>
      </c>
    </row>
    <row r="872">
      <c r="A872" t="n">
        <v>871</v>
      </c>
      <c r="B872" t="inlineStr">
        <is>
          <t>(주)그린명품제약</t>
        </is>
      </c>
      <c r="C872" t="inlineStr">
        <is>
          <t>그린명품제약</t>
        </is>
      </c>
      <c r="D872" t="inlineStr">
        <is>
          <t>의약품</t>
        </is>
      </c>
      <c r="E872" t="inlineStr">
        <is>
          <t>309</t>
        </is>
      </c>
      <c r="F872" t="inlineStr">
        <is>
          <t>이성욱</t>
        </is>
      </c>
      <c r="G872" t="inlineStr">
        <is>
          <t>2011-04-05</t>
        </is>
      </c>
      <c r="H872" t="inlineStr">
        <is>
          <t>20110405</t>
        </is>
      </c>
      <c r="I872" t="inlineStr">
        <is>
          <t>2</t>
        </is>
      </c>
      <c r="J872" t="inlineStr">
        <is>
          <t>제1공장</t>
        </is>
      </c>
      <c r="K872" t="inlineStr">
        <is>
          <t>031-529-9404</t>
        </is>
      </c>
      <c r="L872" t="inlineStr">
        <is>
          <t>경기도 남양주시 진접읍 팔야로 251</t>
        </is>
      </c>
      <c r="M872" t="inlineStr">
        <is>
          <t>가, 나, 라동</t>
        </is>
      </c>
      <c r="N872" t="inlineStr">
        <is>
          <t>경기도 남양주시 진접읍 팔야로 251 가, 나, 라동</t>
        </is>
      </c>
      <c r="O872" t="inlineStr">
        <is>
          <t>경기도</t>
        </is>
      </c>
      <c r="P872" t="inlineStr">
        <is>
          <t>남양주시</t>
        </is>
      </c>
      <c r="Q872" t="inlineStr">
        <is>
          <t>N</t>
        </is>
      </c>
      <c r="R872" t="n">
        <v>0</v>
      </c>
    </row>
    <row r="873">
      <c r="A873" t="n">
        <v>872</v>
      </c>
      <c r="B873" t="inlineStr">
        <is>
          <t>경동제약(주)</t>
        </is>
      </c>
      <c r="C873" t="inlineStr">
        <is>
          <t>경동제약</t>
        </is>
      </c>
      <c r="D873" t="inlineStr">
        <is>
          <t>의약품</t>
        </is>
      </c>
      <c r="E873" t="inlineStr">
        <is>
          <t>1574</t>
        </is>
      </c>
      <c r="F873" t="inlineStr">
        <is>
          <t>류기성</t>
        </is>
      </c>
      <c r="G873" t="inlineStr">
        <is>
          <t>1976-04-23</t>
        </is>
      </c>
      <c r="H873" t="inlineStr">
        <is>
          <t>19760423</t>
        </is>
      </c>
      <c r="I873" t="inlineStr">
        <is>
          <t>2</t>
        </is>
      </c>
      <c r="J873" t="inlineStr">
        <is>
          <t>향남(원료)</t>
        </is>
      </c>
      <c r="K873" t="inlineStr">
        <is>
          <t>02-576-6123</t>
        </is>
      </c>
      <c r="L873" t="inlineStr">
        <is>
          <t>경기도 화성시 만세구 향남읍 발안공단로2길 15</t>
        </is>
      </c>
      <c r="M873" t="inlineStr"/>
      <c r="N873" t="inlineStr">
        <is>
          <t>경기도 화성시 만세구 향남읍 발안공단로2길 15</t>
        </is>
      </c>
      <c r="O873" t="inlineStr">
        <is>
          <t>경기도</t>
        </is>
      </c>
      <c r="P873" t="inlineStr">
        <is>
          <t>화성시</t>
        </is>
      </c>
      <c r="Q873" t="inlineStr">
        <is>
          <t>Y</t>
        </is>
      </c>
      <c r="R873" t="n">
        <v>77</v>
      </c>
    </row>
    <row r="874">
      <c r="A874" t="n">
        <v>873</v>
      </c>
      <c r="B874" t="inlineStr">
        <is>
          <t>명가녹용주식회사</t>
        </is>
      </c>
      <c r="C874" t="inlineStr">
        <is>
          <t>명가녹용</t>
        </is>
      </c>
      <c r="D874" t="inlineStr">
        <is>
          <t>의약품</t>
        </is>
      </c>
      <c r="E874" t="inlineStr">
        <is>
          <t>70</t>
        </is>
      </c>
      <c r="F874" t="inlineStr">
        <is>
          <t>이짐식</t>
        </is>
      </c>
      <c r="G874" t="inlineStr">
        <is>
          <t>2010-08-02</t>
        </is>
      </c>
      <c r="H874" t="inlineStr">
        <is>
          <t>20100802</t>
        </is>
      </c>
      <c r="I874" t="inlineStr">
        <is>
          <t>1</t>
        </is>
      </c>
      <c r="J874" t="inlineStr">
        <is>
          <t>제1공장</t>
        </is>
      </c>
      <c r="K874" t="inlineStr">
        <is>
          <t>053-965-2351</t>
        </is>
      </c>
      <c r="L874" t="inlineStr">
        <is>
          <t>대구광역시 동구 경안로102길 15</t>
        </is>
      </c>
      <c r="M874" t="inlineStr"/>
      <c r="N874" t="inlineStr">
        <is>
          <t>대구광역시 동구 경안로102길 15</t>
        </is>
      </c>
      <c r="O874" t="inlineStr">
        <is>
          <t>대구광역시</t>
        </is>
      </c>
      <c r="P874" t="inlineStr">
        <is>
          <t>동구</t>
        </is>
      </c>
      <c r="Q874" t="inlineStr">
        <is>
          <t>N</t>
        </is>
      </c>
      <c r="R874" t="n">
        <v>0</v>
      </c>
    </row>
    <row r="875">
      <c r="A875" t="n">
        <v>874</v>
      </c>
      <c r="B875" t="inlineStr">
        <is>
          <t>에이치엘비제약(주)</t>
        </is>
      </c>
      <c r="C875" t="inlineStr">
        <is>
          <t>에이치엘비제약</t>
        </is>
      </c>
      <c r="D875" t="inlineStr">
        <is>
          <t>의약품</t>
        </is>
      </c>
      <c r="E875" t="inlineStr">
        <is>
          <t>1549</t>
        </is>
      </c>
      <c r="F875" t="inlineStr">
        <is>
          <t>박재형</t>
        </is>
      </c>
      <c r="G875" t="inlineStr">
        <is>
          <t>1972-08-11</t>
        </is>
      </c>
      <c r="H875" t="inlineStr">
        <is>
          <t>19720811</t>
        </is>
      </c>
      <c r="I875" t="inlineStr">
        <is>
          <t>1</t>
        </is>
      </c>
      <c r="J875" t="inlineStr">
        <is>
          <t>제1공장</t>
        </is>
      </c>
      <c r="K875" t="inlineStr">
        <is>
          <t>031-557-0001</t>
        </is>
      </c>
      <c r="L875" t="inlineStr">
        <is>
          <t>경기도 남양주시 경강로 27</t>
        </is>
      </c>
      <c r="M875" t="inlineStr"/>
      <c r="N875" t="inlineStr">
        <is>
          <t>경기도 남양주시 경강로 27</t>
        </is>
      </c>
      <c r="O875" t="inlineStr">
        <is>
          <t>경기도</t>
        </is>
      </c>
      <c r="P875" t="inlineStr">
        <is>
          <t>남양주시</t>
        </is>
      </c>
      <c r="Q875" t="inlineStr">
        <is>
          <t>N</t>
        </is>
      </c>
      <c r="R875" t="n">
        <v>0</v>
      </c>
    </row>
    <row r="876">
      <c r="A876" t="n">
        <v>875</v>
      </c>
      <c r="B876" t="inlineStr">
        <is>
          <t>(주)에이프로젠바이오로직스</t>
        </is>
      </c>
      <c r="C876" t="inlineStr">
        <is>
          <t>에이프로젠바이오로직스</t>
        </is>
      </c>
      <c r="D876" t="inlineStr">
        <is>
          <t>의약품</t>
        </is>
      </c>
      <c r="E876" t="inlineStr">
        <is>
          <t>1386</t>
        </is>
      </c>
      <c r="F876" t="inlineStr">
        <is>
          <t>김재섭</t>
        </is>
      </c>
      <c r="G876" t="inlineStr">
        <is>
          <t>1959-12-24</t>
        </is>
      </c>
      <c r="H876" t="inlineStr">
        <is>
          <t>19591224</t>
        </is>
      </c>
      <c r="I876" t="inlineStr">
        <is>
          <t>1</t>
        </is>
      </c>
      <c r="J876" t="inlineStr">
        <is>
          <t>안산</t>
        </is>
      </c>
      <c r="K876" t="inlineStr">
        <is>
          <t>031-494-9221</t>
        </is>
      </c>
      <c r="L876" t="inlineStr">
        <is>
          <t>경기도 안산시 단원구 목내로 125</t>
        </is>
      </c>
      <c r="M876" t="inlineStr"/>
      <c r="N876" t="inlineStr">
        <is>
          <t>경기도 안산시 단원구 목내로 125</t>
        </is>
      </c>
      <c r="O876" t="inlineStr">
        <is>
          <t>경기도</t>
        </is>
      </c>
      <c r="P876" t="inlineStr">
        <is>
          <t>안산시</t>
        </is>
      </c>
      <c r="Q876" t="inlineStr">
        <is>
          <t>Y</t>
        </is>
      </c>
      <c r="R876" t="n">
        <v>9</v>
      </c>
    </row>
    <row r="877">
      <c r="A877" t="n">
        <v>876</v>
      </c>
      <c r="B877" t="inlineStr">
        <is>
          <t>(주)케어팜</t>
        </is>
      </c>
      <c r="C877" t="inlineStr">
        <is>
          <t>케어팜</t>
        </is>
      </c>
      <c r="D877" t="inlineStr">
        <is>
          <t>의약품</t>
        </is>
      </c>
      <c r="E877" t="inlineStr">
        <is>
          <t>6193</t>
        </is>
      </c>
      <c r="F877" t="inlineStr">
        <is>
          <t>윤희권</t>
        </is>
      </c>
      <c r="G877" t="inlineStr">
        <is>
          <t>2026-01-16</t>
        </is>
      </c>
      <c r="H877" t="inlineStr">
        <is>
          <t>20260116</t>
        </is>
      </c>
      <c r="I877" t="inlineStr">
        <is>
          <t>1</t>
        </is>
      </c>
      <c r="J877" t="inlineStr">
        <is>
          <t>(주)케어팜</t>
        </is>
      </c>
      <c r="K877" t="inlineStr">
        <is>
          <t>15440045</t>
        </is>
      </c>
      <c r="L877" t="inlineStr">
        <is>
          <t>경기도 화성시 비봉면 현대기아로 771-14</t>
        </is>
      </c>
      <c r="M877" t="inlineStr"/>
      <c r="N877" t="inlineStr">
        <is>
          <t>경기도 화성시 비봉면 현대기아로 771-14</t>
        </is>
      </c>
      <c r="O877" t="inlineStr">
        <is>
          <t>경기도</t>
        </is>
      </c>
      <c r="P877" t="inlineStr">
        <is>
          <t>화성시</t>
        </is>
      </c>
      <c r="Q877" t="inlineStr">
        <is>
          <t>N</t>
        </is>
      </c>
      <c r="R877" t="n">
        <v>0</v>
      </c>
    </row>
    <row r="878">
      <c r="A878" t="n">
        <v>877</v>
      </c>
      <c r="B878" t="inlineStr">
        <is>
          <t>(주)지엘켐</t>
        </is>
      </c>
      <c r="C878" t="inlineStr">
        <is>
          <t>지엘켐</t>
        </is>
      </c>
      <c r="D878" t="inlineStr">
        <is>
          <t>의약품</t>
        </is>
      </c>
      <c r="E878" t="inlineStr">
        <is>
          <t>292</t>
        </is>
      </c>
      <c r="F878" t="inlineStr">
        <is>
          <t>이원민</t>
        </is>
      </c>
      <c r="G878" t="inlineStr">
        <is>
          <t>2009-07-16</t>
        </is>
      </c>
      <c r="H878" t="inlineStr">
        <is>
          <t>20090716</t>
        </is>
      </c>
      <c r="I878" t="inlineStr">
        <is>
          <t>1</t>
        </is>
      </c>
      <c r="J878" t="inlineStr">
        <is>
          <t>오창공장</t>
        </is>
      </c>
      <c r="K878" t="inlineStr">
        <is>
          <t>(043)624-8933</t>
        </is>
      </c>
      <c r="L878" t="inlineStr">
        <is>
          <t>충청북도 청주시 청원구 오창읍 여천3길 143</t>
        </is>
      </c>
      <c r="M878" t="inlineStr"/>
      <c r="N878" t="inlineStr">
        <is>
          <t>충청북도 청주시 청원구 오창읍 여천3길 143</t>
        </is>
      </c>
      <c r="O878" t="inlineStr">
        <is>
          <t>충청북도</t>
        </is>
      </c>
      <c r="P878" t="inlineStr">
        <is>
          <t>청주시</t>
        </is>
      </c>
      <c r="Q878" t="inlineStr">
        <is>
          <t>N</t>
        </is>
      </c>
      <c r="R878" t="n">
        <v>0</v>
      </c>
    </row>
    <row r="879">
      <c r="A879" t="n">
        <v>878</v>
      </c>
      <c r="B879" t="inlineStr">
        <is>
          <t>삼미산업(주)</t>
        </is>
      </c>
      <c r="C879" t="inlineStr">
        <is>
          <t>삼미산업</t>
        </is>
      </c>
      <c r="D879" t="inlineStr">
        <is>
          <t>의약품</t>
        </is>
      </c>
      <c r="E879" t="inlineStr">
        <is>
          <t>1538</t>
        </is>
      </c>
      <c r="F879" t="inlineStr">
        <is>
          <t>김경림</t>
        </is>
      </c>
      <c r="G879" t="inlineStr">
        <is>
          <t>1971-12-15</t>
        </is>
      </c>
      <c r="H879" t="inlineStr">
        <is>
          <t>19711215</t>
        </is>
      </c>
      <c r="I879" t="inlineStr">
        <is>
          <t>1</t>
        </is>
      </c>
      <c r="J879" t="inlineStr">
        <is>
          <t>안산</t>
        </is>
      </c>
      <c r="K879" t="inlineStr"/>
      <c r="L879" t="inlineStr">
        <is>
          <t>경기도 안산시 상록구 남산평길 41-21</t>
        </is>
      </c>
      <c r="M879" t="inlineStr">
        <is>
          <t>(팔곡일동)</t>
        </is>
      </c>
      <c r="N879" t="inlineStr">
        <is>
          <t>경기도 안산시 상록구 남산평길 41-21 (팔곡일동)</t>
        </is>
      </c>
      <c r="O879" t="inlineStr">
        <is>
          <t>경기도</t>
        </is>
      </c>
      <c r="P879" t="inlineStr">
        <is>
          <t>안산시</t>
        </is>
      </c>
      <c r="Q879" t="inlineStr">
        <is>
          <t>N</t>
        </is>
      </c>
      <c r="R879" t="n">
        <v>0</v>
      </c>
    </row>
    <row r="880">
      <c r="A880" t="n">
        <v>879</v>
      </c>
      <c r="B880" t="inlineStr">
        <is>
          <t>태극제약(주)</t>
        </is>
      </c>
      <c r="C880" t="inlineStr">
        <is>
          <t>태극제약</t>
        </is>
      </c>
      <c r="D880" t="inlineStr">
        <is>
          <t>의약품</t>
        </is>
      </c>
      <c r="E880" t="inlineStr">
        <is>
          <t>1370</t>
        </is>
      </c>
      <c r="F880" t="inlineStr">
        <is>
          <t>오상문</t>
        </is>
      </c>
      <c r="G880" t="inlineStr">
        <is>
          <t>1958-06-29</t>
        </is>
      </c>
      <c r="H880" t="inlineStr">
        <is>
          <t>19580629</t>
        </is>
      </c>
      <c r="I880" t="inlineStr">
        <is>
          <t>1</t>
        </is>
      </c>
      <c r="J880" t="inlineStr">
        <is>
          <t>화성</t>
        </is>
      </c>
      <c r="K880" t="inlineStr">
        <is>
          <t>02-3474-7761</t>
        </is>
      </c>
      <c r="L880" t="inlineStr">
        <is>
          <t>경기도 화성시 만세구 향남읍 제약공단3길 123</t>
        </is>
      </c>
      <c r="M880" t="inlineStr"/>
      <c r="N880" t="inlineStr">
        <is>
          <t>경기도 화성시 만세구 향남읍 제약공단3길 123</t>
        </is>
      </c>
      <c r="O880" t="inlineStr">
        <is>
          <t>경기도</t>
        </is>
      </c>
      <c r="P880" t="inlineStr">
        <is>
          <t>화성시</t>
        </is>
      </c>
      <c r="Q880" t="inlineStr">
        <is>
          <t>Y</t>
        </is>
      </c>
      <c r="R880" t="n">
        <v>10</v>
      </c>
    </row>
    <row r="881">
      <c r="A881" t="n">
        <v>880</v>
      </c>
      <c r="B881" t="inlineStr">
        <is>
          <t>(주)케이앤씨디어트레이드</t>
        </is>
      </c>
      <c r="C881" t="inlineStr">
        <is>
          <t>케이앤씨디어트레이드</t>
        </is>
      </c>
      <c r="D881" t="inlineStr">
        <is>
          <t>의약품</t>
        </is>
      </c>
      <c r="E881" t="inlineStr">
        <is>
          <t>258</t>
        </is>
      </c>
      <c r="F881" t="inlineStr">
        <is>
          <t>전종범</t>
        </is>
      </c>
      <c r="G881" t="inlineStr">
        <is>
          <t>2008-05-13</t>
        </is>
      </c>
      <c r="H881" t="inlineStr">
        <is>
          <t>20080513</t>
        </is>
      </c>
      <c r="I881" t="inlineStr">
        <is>
          <t>1</t>
        </is>
      </c>
      <c r="J881" t="inlineStr">
        <is>
          <t>(주)케이앤씨디어트레이드</t>
        </is>
      </c>
      <c r="K881" t="inlineStr">
        <is>
          <t>041-753-2706</t>
        </is>
      </c>
      <c r="L881" t="inlineStr">
        <is>
          <t>충청남도 금산군 금성면 두곡길 12</t>
        </is>
      </c>
      <c r="M881" t="inlineStr"/>
      <c r="N881" t="inlineStr">
        <is>
          <t>충청남도 금산군 금성면 두곡길 12</t>
        </is>
      </c>
      <c r="O881" t="inlineStr">
        <is>
          <t>충청남도</t>
        </is>
      </c>
      <c r="P881" t="inlineStr">
        <is>
          <t>금산군</t>
        </is>
      </c>
      <c r="Q881" t="inlineStr">
        <is>
          <t>N</t>
        </is>
      </c>
      <c r="R881" t="n">
        <v>0</v>
      </c>
    </row>
    <row r="882">
      <c r="A882" t="n">
        <v>881</v>
      </c>
      <c r="B882" t="inlineStr">
        <is>
          <t>에스케이케미칼(주)</t>
        </is>
      </c>
      <c r="C882" t="inlineStr">
        <is>
          <t>에스케이케미칼</t>
        </is>
      </c>
      <c r="D882" t="inlineStr">
        <is>
          <t>의약품</t>
        </is>
      </c>
      <c r="E882" t="inlineStr">
        <is>
          <t>1346</t>
        </is>
      </c>
      <c r="F882" t="inlineStr">
        <is>
          <t>안재현</t>
        </is>
      </c>
      <c r="G882" t="inlineStr">
        <is>
          <t>1957-06-17</t>
        </is>
      </c>
      <c r="H882" t="inlineStr">
        <is>
          <t>19570617</t>
        </is>
      </c>
      <c r="I882" t="inlineStr">
        <is>
          <t>6</t>
        </is>
      </c>
      <c r="J882" t="inlineStr">
        <is>
          <t>안동백신공장</t>
        </is>
      </c>
      <c r="K882" t="inlineStr">
        <is>
          <t>2008-2900</t>
        </is>
      </c>
      <c r="L882" t="inlineStr">
        <is>
          <t>경상북도 안동시 풍산읍 산업단지길 150</t>
        </is>
      </c>
      <c r="M882" t="inlineStr"/>
      <c r="N882" t="inlineStr">
        <is>
          <t>경상북도 안동시 풍산읍 산업단지길 150</t>
        </is>
      </c>
      <c r="O882" t="inlineStr">
        <is>
          <t>경상북도</t>
        </is>
      </c>
      <c r="P882" t="inlineStr">
        <is>
          <t>안동시</t>
        </is>
      </c>
      <c r="Q882" t="inlineStr">
        <is>
          <t>N</t>
        </is>
      </c>
      <c r="R882" t="n">
        <v>0</v>
      </c>
    </row>
    <row r="883">
      <c r="A883" t="n">
        <v>882</v>
      </c>
      <c r="B883" t="inlineStr">
        <is>
          <t>한국신텍스제약(주)</t>
        </is>
      </c>
      <c r="C883" t="inlineStr">
        <is>
          <t>한국신텍스제약</t>
        </is>
      </c>
      <c r="D883" t="inlineStr">
        <is>
          <t>의약품</t>
        </is>
      </c>
      <c r="E883" t="inlineStr">
        <is>
          <t>1334</t>
        </is>
      </c>
      <c r="F883" t="inlineStr">
        <is>
          <t>박병철</t>
        </is>
      </c>
      <c r="G883" t="inlineStr">
        <is>
          <t>2001-01-10</t>
        </is>
      </c>
      <c r="H883" t="inlineStr">
        <is>
          <t>20010110</t>
        </is>
      </c>
      <c r="I883" t="inlineStr">
        <is>
          <t>1</t>
        </is>
      </c>
      <c r="J883" t="inlineStr">
        <is>
          <t>진주</t>
        </is>
      </c>
      <c r="K883" t="inlineStr">
        <is>
          <t>055-7618100</t>
        </is>
      </c>
      <c r="L883" t="inlineStr">
        <is>
          <t>경상남도 진주시 동진로 258</t>
        </is>
      </c>
      <c r="M883" t="inlineStr"/>
      <c r="N883" t="inlineStr">
        <is>
          <t>경상남도 진주시 동진로 258</t>
        </is>
      </c>
      <c r="O883" t="inlineStr">
        <is>
          <t>경상남도</t>
        </is>
      </c>
      <c r="P883" t="inlineStr">
        <is>
          <t>진주시</t>
        </is>
      </c>
      <c r="Q883" t="inlineStr">
        <is>
          <t>Y</t>
        </is>
      </c>
      <c r="R883" t="n">
        <v>78</v>
      </c>
    </row>
    <row r="884">
      <c r="A884" t="n">
        <v>883</v>
      </c>
      <c r="B884" t="inlineStr">
        <is>
          <t>(주)녹십자</t>
        </is>
      </c>
      <c r="C884" t="inlineStr">
        <is>
          <t>녹십자</t>
        </is>
      </c>
      <c r="D884" t="inlineStr">
        <is>
          <t>의약품</t>
        </is>
      </c>
      <c r="E884" t="inlineStr">
        <is>
          <t>1735</t>
        </is>
      </c>
      <c r="F884" t="inlineStr">
        <is>
          <t>허은철</t>
        </is>
      </c>
      <c r="G884" t="inlineStr">
        <is>
          <t>1991-01-18</t>
        </is>
      </c>
      <c r="H884" t="inlineStr">
        <is>
          <t>19910118</t>
        </is>
      </c>
      <c r="I884" t="inlineStr">
        <is>
          <t>2</t>
        </is>
      </c>
      <c r="J884" t="inlineStr">
        <is>
          <t>기흥</t>
        </is>
      </c>
      <c r="K884" t="inlineStr">
        <is>
          <t>031-280-6000</t>
        </is>
      </c>
      <c r="L884" t="inlineStr">
        <is>
          <t>경기도 용인시 기흥구 중부대로 438</t>
        </is>
      </c>
      <c r="M884" t="inlineStr"/>
      <c r="N884" t="inlineStr">
        <is>
          <t>경기도 용인시 기흥구 중부대로 438</t>
        </is>
      </c>
      <c r="O884" t="inlineStr">
        <is>
          <t>경기도</t>
        </is>
      </c>
      <c r="P884" t="inlineStr">
        <is>
          <t>용인시</t>
        </is>
      </c>
      <c r="Q884" t="inlineStr">
        <is>
          <t>N</t>
        </is>
      </c>
      <c r="R884" t="n">
        <v>0</v>
      </c>
    </row>
    <row r="885">
      <c r="A885" t="n">
        <v>884</v>
      </c>
      <c r="B885" t="inlineStr">
        <is>
          <t>진양제약(주)</t>
        </is>
      </c>
      <c r="C885" t="inlineStr">
        <is>
          <t>진양제약</t>
        </is>
      </c>
      <c r="D885" t="inlineStr">
        <is>
          <t>의약품</t>
        </is>
      </c>
      <c r="E885" t="inlineStr">
        <is>
          <t>1507</t>
        </is>
      </c>
      <c r="F885" t="inlineStr">
        <is>
          <t>최재준</t>
        </is>
      </c>
      <c r="G885" t="inlineStr">
        <is>
          <t>1970-08-10</t>
        </is>
      </c>
      <c r="H885" t="inlineStr">
        <is>
          <t>19700810</t>
        </is>
      </c>
      <c r="I885" t="inlineStr">
        <is>
          <t>1</t>
        </is>
      </c>
      <c r="J885" t="inlineStr">
        <is>
          <t>안산</t>
        </is>
      </c>
      <c r="K885" t="inlineStr"/>
      <c r="L885" t="inlineStr">
        <is>
          <t>경기도 안산시 단원구 별망로 627</t>
        </is>
      </c>
      <c r="M885" t="inlineStr">
        <is>
          <t>1~3층</t>
        </is>
      </c>
      <c r="N885" t="inlineStr">
        <is>
          <t>경기도 안산시 단원구 별망로 627 1~3층</t>
        </is>
      </c>
      <c r="O885" t="inlineStr">
        <is>
          <t>경기도</t>
        </is>
      </c>
      <c r="P885" t="inlineStr">
        <is>
          <t>안산시</t>
        </is>
      </c>
      <c r="Q885" t="inlineStr">
        <is>
          <t>N</t>
        </is>
      </c>
      <c r="R885" t="n">
        <v>0</v>
      </c>
    </row>
    <row r="886">
      <c r="A886" t="n">
        <v>885</v>
      </c>
      <c r="B886" t="inlineStr">
        <is>
          <t>동방에프티엘(주)</t>
        </is>
      </c>
      <c r="C886" t="inlineStr">
        <is>
          <t>동방에프티엘</t>
        </is>
      </c>
      <c r="D886" t="inlineStr">
        <is>
          <t>의약품</t>
        </is>
      </c>
      <c r="E886" t="inlineStr">
        <is>
          <t>1731</t>
        </is>
      </c>
      <c r="F886" t="inlineStr">
        <is>
          <t>김남기</t>
        </is>
      </c>
      <c r="G886" t="inlineStr">
        <is>
          <t>1991-08-05</t>
        </is>
      </c>
      <c r="H886" t="inlineStr">
        <is>
          <t>19910805</t>
        </is>
      </c>
      <c r="I886" t="inlineStr">
        <is>
          <t>1</t>
        </is>
      </c>
      <c r="J886" t="inlineStr">
        <is>
          <t>화성</t>
        </is>
      </c>
      <c r="K886" t="inlineStr"/>
      <c r="L886" t="inlineStr">
        <is>
          <t>경기도 화성시 만세구 향남읍 제약공단4길 78</t>
        </is>
      </c>
      <c r="M886" t="inlineStr"/>
      <c r="N886" t="inlineStr">
        <is>
          <t>경기도 화성시 만세구 향남읍 제약공단4길 78</t>
        </is>
      </c>
      <c r="O886" t="inlineStr">
        <is>
          <t>경기도</t>
        </is>
      </c>
      <c r="P886" t="inlineStr">
        <is>
          <t>화성시</t>
        </is>
      </c>
      <c r="Q886" t="inlineStr">
        <is>
          <t>Y</t>
        </is>
      </c>
      <c r="R886" t="n">
        <v>11</v>
      </c>
    </row>
    <row r="887">
      <c r="A887" t="n">
        <v>886</v>
      </c>
      <c r="B887" t="inlineStr">
        <is>
          <t>삼익제약(주)</t>
        </is>
      </c>
      <c r="C887" t="inlineStr">
        <is>
          <t>삼익제약</t>
        </is>
      </c>
      <c r="D887" t="inlineStr">
        <is>
          <t>의약품</t>
        </is>
      </c>
      <c r="E887" t="inlineStr">
        <is>
          <t>1493</t>
        </is>
      </c>
      <c r="F887" t="inlineStr">
        <is>
          <t>권영이</t>
        </is>
      </c>
      <c r="G887" t="inlineStr">
        <is>
          <t>1968-07-04</t>
        </is>
      </c>
      <c r="H887" t="inlineStr">
        <is>
          <t>19680704</t>
        </is>
      </c>
      <c r="I887" t="inlineStr">
        <is>
          <t>2</t>
        </is>
      </c>
      <c r="J887" t="inlineStr">
        <is>
          <t>보관소</t>
        </is>
      </c>
      <c r="K887" t="inlineStr"/>
      <c r="L887" t="inlineStr">
        <is>
          <t>경기도 김포시 고촌읍 아라육로58번길 35-28</t>
        </is>
      </c>
      <c r="M887" t="inlineStr">
        <is>
          <t>1층 일부(보관소)</t>
        </is>
      </c>
      <c r="N887" t="inlineStr">
        <is>
          <t>경기도 김포시 고촌읍 아라육로58번길 35-28 1층 일부(보관소)</t>
        </is>
      </c>
      <c r="O887" t="inlineStr">
        <is>
          <t>경기도</t>
        </is>
      </c>
      <c r="P887" t="inlineStr">
        <is>
          <t>김포시</t>
        </is>
      </c>
      <c r="Q887" t="inlineStr">
        <is>
          <t>N</t>
        </is>
      </c>
      <c r="R887" t="n">
        <v>0</v>
      </c>
    </row>
    <row r="888">
      <c r="A888" t="n">
        <v>887</v>
      </c>
      <c r="B888" t="inlineStr">
        <is>
          <t>신일가스(주)</t>
        </is>
      </c>
      <c r="C888" t="inlineStr">
        <is>
          <t>신일가스</t>
        </is>
      </c>
      <c r="D888" t="inlineStr">
        <is>
          <t>의약품</t>
        </is>
      </c>
      <c r="E888" t="inlineStr">
        <is>
          <t>1697</t>
        </is>
      </c>
      <c r="F888" t="inlineStr">
        <is>
          <t>유봉래</t>
        </is>
      </c>
      <c r="G888" t="inlineStr">
        <is>
          <t>1988-12-01</t>
        </is>
      </c>
      <c r="H888" t="inlineStr">
        <is>
          <t>19881201</t>
        </is>
      </c>
      <c r="I888" t="inlineStr">
        <is>
          <t>2</t>
        </is>
      </c>
      <c r="J888" t="inlineStr">
        <is>
          <t>화성</t>
        </is>
      </c>
      <c r="K888" t="inlineStr">
        <is>
          <t>031-366-0799</t>
        </is>
      </c>
      <c r="L888" t="inlineStr">
        <is>
          <t>경기도 화성시 팔탄면 서해로 1327-17</t>
        </is>
      </c>
      <c r="M888" t="inlineStr">
        <is>
          <t>1동</t>
        </is>
      </c>
      <c r="N888" t="inlineStr">
        <is>
          <t>경기도 화성시 팔탄면 서해로 1327-17 1동</t>
        </is>
      </c>
      <c r="O888" t="inlineStr">
        <is>
          <t>경기도</t>
        </is>
      </c>
      <c r="P888" t="inlineStr">
        <is>
          <t>화성시</t>
        </is>
      </c>
      <c r="Q888" t="inlineStr">
        <is>
          <t>N</t>
        </is>
      </c>
      <c r="R888" t="n">
        <v>0</v>
      </c>
    </row>
    <row r="889">
      <c r="A889" t="n">
        <v>888</v>
      </c>
      <c r="B889" t="inlineStr">
        <is>
          <t>(주)에스디</t>
        </is>
      </c>
      <c r="C889" t="inlineStr">
        <is>
          <t>에스디</t>
        </is>
      </c>
      <c r="D889" t="inlineStr">
        <is>
          <t>의약품</t>
        </is>
      </c>
      <c r="E889" t="inlineStr">
        <is>
          <t>2134</t>
        </is>
      </c>
      <c r="F889" t="inlineStr">
        <is>
          <t>조병기</t>
        </is>
      </c>
      <c r="G889" t="inlineStr">
        <is>
          <t>2000-06-28</t>
        </is>
      </c>
      <c r="H889" t="inlineStr">
        <is>
          <t>20000628</t>
        </is>
      </c>
      <c r="I889" t="inlineStr">
        <is>
          <t>7</t>
        </is>
      </c>
      <c r="J889" t="inlineStr">
        <is>
          <t>제2보관소</t>
        </is>
      </c>
      <c r="K889" t="inlineStr">
        <is>
          <t>031-258-2994</t>
        </is>
      </c>
      <c r="L889" t="inlineStr">
        <is>
          <t>경기도 용인시 기흥구 하갈로15번길 46</t>
        </is>
      </c>
      <c r="M889" t="inlineStr">
        <is>
          <t>(보라동 473-4)윤민테크노타운 로비층(제4보관소)</t>
        </is>
      </c>
      <c r="N889" t="inlineStr">
        <is>
          <t>경기도 용인시 기흥구 하갈로15번길 46 (보라동 473-4)윤민테크노타운 로비층(제4보관소)</t>
        </is>
      </c>
      <c r="O889" t="inlineStr">
        <is>
          <t>경기도</t>
        </is>
      </c>
      <c r="P889" t="inlineStr">
        <is>
          <t>용인시</t>
        </is>
      </c>
      <c r="Q889" t="inlineStr">
        <is>
          <t>N</t>
        </is>
      </c>
      <c r="R889" t="n">
        <v>0</v>
      </c>
    </row>
    <row r="890">
      <c r="A890" t="n">
        <v>889</v>
      </c>
      <c r="B890" t="inlineStr">
        <is>
          <t>케이엠에스제약(주)</t>
        </is>
      </c>
      <c r="C890" t="inlineStr">
        <is>
          <t>케이엠에스제약</t>
        </is>
      </c>
      <c r="D890" t="inlineStr">
        <is>
          <t>의약품</t>
        </is>
      </c>
      <c r="E890" t="inlineStr">
        <is>
          <t>1479</t>
        </is>
      </c>
      <c r="F890" t="inlineStr">
        <is>
          <t>이승우</t>
        </is>
      </c>
      <c r="G890" t="inlineStr">
        <is>
          <t>1966-12-07</t>
        </is>
      </c>
      <c r="H890" t="inlineStr">
        <is>
          <t>19661207</t>
        </is>
      </c>
      <c r="I890" t="inlineStr">
        <is>
          <t>2</t>
        </is>
      </c>
      <c r="J890" t="inlineStr">
        <is>
          <t>수원(시험실)</t>
        </is>
      </c>
      <c r="K890" t="inlineStr">
        <is>
          <t>031-215-5456</t>
        </is>
      </c>
      <c r="L890" t="inlineStr">
        <is>
          <t>경기도 수원시 영통구 신원로 232</t>
        </is>
      </c>
      <c r="M890" t="inlineStr"/>
      <c r="N890" t="inlineStr">
        <is>
          <t>경기도 수원시 영통구 신원로 232</t>
        </is>
      </c>
      <c r="O890" t="inlineStr">
        <is>
          <t>경기도</t>
        </is>
      </c>
      <c r="P890" t="inlineStr">
        <is>
          <t>수원시</t>
        </is>
      </c>
      <c r="Q890" t="inlineStr">
        <is>
          <t>Y</t>
        </is>
      </c>
      <c r="R890" t="n">
        <v>75</v>
      </c>
    </row>
    <row r="891">
      <c r="A891" t="n">
        <v>890</v>
      </c>
      <c r="B891" t="inlineStr">
        <is>
          <t>(주)경보제약</t>
        </is>
      </c>
      <c r="C891" t="inlineStr">
        <is>
          <t>경보제약</t>
        </is>
      </c>
      <c r="D891" t="inlineStr">
        <is>
          <t>의약품</t>
        </is>
      </c>
      <c r="E891" t="inlineStr">
        <is>
          <t>1673</t>
        </is>
      </c>
      <c r="F891" t="inlineStr">
        <is>
          <t>김태영</t>
        </is>
      </c>
      <c r="G891" t="inlineStr">
        <is>
          <t>1987-05-18</t>
        </is>
      </c>
      <c r="H891" t="inlineStr">
        <is>
          <t>19870518</t>
        </is>
      </c>
      <c r="I891" t="inlineStr">
        <is>
          <t>1</t>
        </is>
      </c>
      <c r="J891" t="inlineStr">
        <is>
          <t>아산</t>
        </is>
      </c>
      <c r="K891" t="inlineStr">
        <is>
          <t>041-545-0456</t>
        </is>
      </c>
      <c r="L891" t="inlineStr">
        <is>
          <t>충청남도 아산시 실옥로 174</t>
        </is>
      </c>
      <c r="M891" t="inlineStr"/>
      <c r="N891" t="inlineStr">
        <is>
          <t>충청남도 아산시 실옥로 174</t>
        </is>
      </c>
      <c r="O891" t="inlineStr">
        <is>
          <t>충청남도</t>
        </is>
      </c>
      <c r="P891" t="inlineStr">
        <is>
          <t>아산시</t>
        </is>
      </c>
      <c r="Q891" t="inlineStr">
        <is>
          <t>N</t>
        </is>
      </c>
      <c r="R891" t="n">
        <v>0</v>
      </c>
    </row>
    <row r="892">
      <c r="A892" t="n">
        <v>891</v>
      </c>
      <c r="B892" t="inlineStr">
        <is>
          <t>구미제약(주)</t>
        </is>
      </c>
      <c r="C892" t="inlineStr">
        <is>
          <t>구미제약</t>
        </is>
      </c>
      <c r="D892" t="inlineStr">
        <is>
          <t>의약품</t>
        </is>
      </c>
      <c r="E892" t="inlineStr">
        <is>
          <t>2128</t>
        </is>
      </c>
      <c r="F892" t="inlineStr">
        <is>
          <t>이용의</t>
        </is>
      </c>
      <c r="G892" t="inlineStr">
        <is>
          <t>2000-04-10</t>
        </is>
      </c>
      <c r="H892" t="inlineStr">
        <is>
          <t>20000410</t>
        </is>
      </c>
      <c r="I892" t="inlineStr">
        <is>
          <t>1</t>
        </is>
      </c>
      <c r="J892" t="inlineStr">
        <is>
          <t>김포</t>
        </is>
      </c>
      <c r="K892" t="inlineStr">
        <is>
          <t>031-989-8226</t>
        </is>
      </c>
      <c r="L892" t="inlineStr">
        <is>
          <t>경기도 김포시 통진읍 옹정로 242</t>
        </is>
      </c>
      <c r="M892" t="inlineStr"/>
      <c r="N892" t="inlineStr">
        <is>
          <t>경기도 김포시 통진읍 옹정로 242</t>
        </is>
      </c>
      <c r="O892" t="inlineStr">
        <is>
          <t>경기도</t>
        </is>
      </c>
      <c r="P892" t="inlineStr">
        <is>
          <t>김포시</t>
        </is>
      </c>
      <c r="Q892" t="inlineStr">
        <is>
          <t>N</t>
        </is>
      </c>
      <c r="R892" t="n">
        <v>0</v>
      </c>
    </row>
    <row r="893">
      <c r="A893" t="n">
        <v>892</v>
      </c>
      <c r="B893" t="inlineStr">
        <is>
          <t>(주)종근당</t>
        </is>
      </c>
      <c r="C893" t="inlineStr">
        <is>
          <t>종근당</t>
        </is>
      </c>
      <c r="D893" t="inlineStr">
        <is>
          <t>의약품</t>
        </is>
      </c>
      <c r="E893" t="inlineStr">
        <is>
          <t>1459</t>
        </is>
      </c>
      <c r="F893" t="inlineStr">
        <is>
          <t>김영주</t>
        </is>
      </c>
      <c r="G893" t="inlineStr">
        <is>
          <t>1965-02-05</t>
        </is>
      </c>
      <c r="H893" t="inlineStr">
        <is>
          <t>19650205</t>
        </is>
      </c>
      <c r="I893" t="inlineStr">
        <is>
          <t>2</t>
        </is>
      </c>
      <c r="J893" t="inlineStr">
        <is>
          <t>천안</t>
        </is>
      </c>
      <c r="K893" t="inlineStr">
        <is>
          <t>041-529-3100</t>
        </is>
      </c>
      <c r="L893" t="inlineStr">
        <is>
          <t>충청남도 천안시 서북구 성거읍 망향로 797-46</t>
        </is>
      </c>
      <c r="M893" t="inlineStr"/>
      <c r="N893" t="inlineStr">
        <is>
          <t>충청남도 천안시 서북구 성거읍 망향로 797-46</t>
        </is>
      </c>
      <c r="O893" t="inlineStr">
        <is>
          <t>충청남도</t>
        </is>
      </c>
      <c r="P893" t="inlineStr">
        <is>
          <t>천안시</t>
        </is>
      </c>
      <c r="Q893" t="inlineStr">
        <is>
          <t>N</t>
        </is>
      </c>
      <c r="R893" t="n">
        <v>0</v>
      </c>
    </row>
    <row r="894">
      <c r="A894" t="n">
        <v>893</v>
      </c>
      <c r="B894" t="inlineStr">
        <is>
          <t>(주)쎌바이오텍</t>
        </is>
      </c>
      <c r="C894" t="inlineStr">
        <is>
          <t>쎌바이오텍</t>
        </is>
      </c>
      <c r="D894" t="inlineStr">
        <is>
          <t>의약품</t>
        </is>
      </c>
      <c r="E894" t="inlineStr">
        <is>
          <t>2013</t>
        </is>
      </c>
      <c r="F894" t="inlineStr">
        <is>
          <t>정명준</t>
        </is>
      </c>
      <c r="G894" t="inlineStr">
        <is>
          <t>1998-08-17</t>
        </is>
      </c>
      <c r="H894" t="inlineStr">
        <is>
          <t>19980817</t>
        </is>
      </c>
      <c r="I894" t="inlineStr">
        <is>
          <t>1</t>
        </is>
      </c>
      <c r="J894" t="inlineStr">
        <is>
          <t>김포</t>
        </is>
      </c>
      <c r="K894" t="inlineStr">
        <is>
          <t>031-987-6205</t>
        </is>
      </c>
      <c r="L894" t="inlineStr">
        <is>
          <t>경기도 김포시 월곶면 애기봉로409번길 50</t>
        </is>
      </c>
      <c r="M894" t="inlineStr"/>
      <c r="N894" t="inlineStr">
        <is>
          <t>경기도 김포시 월곶면 애기봉로409번길 50</t>
        </is>
      </c>
      <c r="O894" t="inlineStr">
        <is>
          <t>경기도</t>
        </is>
      </c>
      <c r="P894" t="inlineStr">
        <is>
          <t>김포시</t>
        </is>
      </c>
      <c r="Q894" t="inlineStr">
        <is>
          <t>N</t>
        </is>
      </c>
      <c r="R894" t="n">
        <v>0</v>
      </c>
    </row>
    <row r="895">
      <c r="A895" t="n">
        <v>894</v>
      </c>
      <c r="B895" t="inlineStr">
        <is>
          <t>나눔제약주식회사</t>
        </is>
      </c>
      <c r="C895" t="inlineStr">
        <is>
          <t>나눔제약</t>
        </is>
      </c>
      <c r="D895" t="inlineStr">
        <is>
          <t>의약품</t>
        </is>
      </c>
      <c r="E895" t="inlineStr">
        <is>
          <t>78</t>
        </is>
      </c>
      <c r="F895" t="inlineStr">
        <is>
          <t>노경남</t>
        </is>
      </c>
      <c r="G895" t="inlineStr">
        <is>
          <t>2014-11-03</t>
        </is>
      </c>
      <c r="H895" t="inlineStr">
        <is>
          <t>20141103</t>
        </is>
      </c>
      <c r="I895" t="inlineStr">
        <is>
          <t>1</t>
        </is>
      </c>
      <c r="J895" t="inlineStr">
        <is>
          <t>제1공장</t>
        </is>
      </c>
      <c r="K895" t="inlineStr">
        <is>
          <t>(010)2290-1484</t>
        </is>
      </c>
      <c r="L895" t="inlineStr">
        <is>
          <t>경상북도 영천시 세홈길 68</t>
        </is>
      </c>
      <c r="M895" t="inlineStr"/>
      <c r="N895" t="inlineStr">
        <is>
          <t>경상북도 영천시 세홈길 68</t>
        </is>
      </c>
      <c r="O895" t="inlineStr">
        <is>
          <t>경상북도</t>
        </is>
      </c>
      <c r="P895" t="inlineStr">
        <is>
          <t>영천시</t>
        </is>
      </c>
      <c r="Q895" t="inlineStr">
        <is>
          <t>N</t>
        </is>
      </c>
      <c r="R895" t="n">
        <v>0</v>
      </c>
    </row>
    <row r="896">
      <c r="A896" t="n">
        <v>895</v>
      </c>
      <c r="B896" t="inlineStr">
        <is>
          <t>삼성서울병원</t>
        </is>
      </c>
      <c r="C896" t="inlineStr">
        <is>
          <t>삼성서울병원</t>
        </is>
      </c>
      <c r="D896" t="inlineStr">
        <is>
          <t>의약품</t>
        </is>
      </c>
      <c r="E896" t="inlineStr">
        <is>
          <t>2221</t>
        </is>
      </c>
      <c r="F896" t="inlineStr">
        <is>
          <t>한승환</t>
        </is>
      </c>
      <c r="G896" t="inlineStr">
        <is>
          <t>2001-06-28</t>
        </is>
      </c>
      <c r="H896" t="inlineStr">
        <is>
          <t>20010628</t>
        </is>
      </c>
      <c r="I896" t="inlineStr">
        <is>
          <t>1</t>
        </is>
      </c>
      <c r="J896" t="inlineStr">
        <is>
          <t>양성자센터 지하 2층 방사성의약품제조소</t>
        </is>
      </c>
      <c r="K896" t="inlineStr"/>
      <c r="L896" t="inlineStr">
        <is>
          <t>서울특별시 강남구 일원로 81 양성자센터 지하 2층 방사성의약품제조소</t>
        </is>
      </c>
      <c r="M896" t="inlineStr"/>
      <c r="N896" t="inlineStr">
        <is>
          <t>서울특별시 강남구 일원로 81 양성자센터 지하 2층 방사성의약품제조소</t>
        </is>
      </c>
      <c r="O896" t="inlineStr">
        <is>
          <t>서울특별시</t>
        </is>
      </c>
      <c r="P896" t="inlineStr">
        <is>
          <t>강남구</t>
        </is>
      </c>
      <c r="Q896" t="inlineStr">
        <is>
          <t>N</t>
        </is>
      </c>
      <c r="R896" t="n">
        <v>0</v>
      </c>
    </row>
    <row r="897">
      <c r="A897" t="n">
        <v>896</v>
      </c>
      <c r="B897" t="inlineStr">
        <is>
          <t>화일약품(주)</t>
        </is>
      </c>
      <c r="C897" t="inlineStr">
        <is>
          <t>화일약품</t>
        </is>
      </c>
      <c r="D897" t="inlineStr">
        <is>
          <t>의약품</t>
        </is>
      </c>
      <c r="E897" t="inlineStr">
        <is>
          <t>2014</t>
        </is>
      </c>
      <c r="F897" t="inlineStr">
        <is>
          <t>김유정</t>
        </is>
      </c>
      <c r="G897" t="inlineStr">
        <is>
          <t>1998-08-17</t>
        </is>
      </c>
      <c r="H897" t="inlineStr">
        <is>
          <t>19980817</t>
        </is>
      </c>
      <c r="I897" t="inlineStr">
        <is>
          <t>1</t>
        </is>
      </c>
      <c r="J897" t="inlineStr">
        <is>
          <t>화성(원료의약품)</t>
        </is>
      </c>
      <c r="K897" t="inlineStr">
        <is>
          <t>512-2592</t>
        </is>
      </c>
      <c r="L897" t="inlineStr">
        <is>
          <t>경기도 화성시 향남읍 제약공단3길 57</t>
        </is>
      </c>
      <c r="M897" t="inlineStr"/>
      <c r="N897" t="inlineStr">
        <is>
          <t>경기도 화성시 향남읍 제약공단3길 57</t>
        </is>
      </c>
      <c r="O897" t="inlineStr">
        <is>
          <t>경기도</t>
        </is>
      </c>
      <c r="P897" t="inlineStr">
        <is>
          <t>화성시</t>
        </is>
      </c>
      <c r="Q897" t="inlineStr">
        <is>
          <t>Y</t>
        </is>
      </c>
      <c r="R897" t="n">
        <v>79</v>
      </c>
    </row>
    <row r="898">
      <c r="A898" t="n">
        <v>897</v>
      </c>
      <c r="B898" t="inlineStr">
        <is>
          <t>(주)엠에스가스</t>
        </is>
      </c>
      <c r="C898" t="inlineStr">
        <is>
          <t>엠에스가스</t>
        </is>
      </c>
      <c r="D898" t="inlineStr">
        <is>
          <t>의약품</t>
        </is>
      </c>
      <c r="E898" t="inlineStr">
        <is>
          <t>2119</t>
        </is>
      </c>
      <c r="F898" t="inlineStr">
        <is>
          <t>전청민</t>
        </is>
      </c>
      <c r="G898" t="inlineStr">
        <is>
          <t>2000-02-22</t>
        </is>
      </c>
      <c r="H898" t="inlineStr">
        <is>
          <t>20000222</t>
        </is>
      </c>
      <c r="I898" t="inlineStr">
        <is>
          <t>3</t>
        </is>
      </c>
      <c r="J898" t="inlineStr">
        <is>
          <t>인천</t>
        </is>
      </c>
      <c r="K898" t="inlineStr"/>
      <c r="L898" t="inlineStr"/>
      <c r="M898" t="inlineStr">
        <is>
          <t>인천광역시 동구 방축로157번길 32</t>
        </is>
      </c>
      <c r="N898" t="inlineStr">
        <is>
          <t>인천광역시 동구 방축로157번길 32</t>
        </is>
      </c>
      <c r="O898" t="inlineStr">
        <is>
          <t>인천광역시</t>
        </is>
      </c>
      <c r="P898" t="inlineStr">
        <is>
          <t>동구</t>
        </is>
      </c>
      <c r="Q898" t="inlineStr">
        <is>
          <t>N</t>
        </is>
      </c>
      <c r="R898" t="n">
        <v>0</v>
      </c>
    </row>
    <row r="899">
      <c r="A899" t="n">
        <v>898</v>
      </c>
      <c r="B899" t="inlineStr">
        <is>
          <t>한국특수가스(주)</t>
        </is>
      </c>
      <c r="C899" t="inlineStr">
        <is>
          <t>한국특수가스</t>
        </is>
      </c>
      <c r="D899" t="inlineStr">
        <is>
          <t>의약품</t>
        </is>
      </c>
      <c r="E899" t="inlineStr">
        <is>
          <t>1909</t>
        </is>
      </c>
      <c r="F899" t="inlineStr">
        <is>
          <t>김진선</t>
        </is>
      </c>
      <c r="G899" t="inlineStr">
        <is>
          <t>1996-05-16</t>
        </is>
      </c>
      <c r="H899" t="inlineStr">
        <is>
          <t>19960516</t>
        </is>
      </c>
      <c r="I899" t="inlineStr">
        <is>
          <t>2</t>
        </is>
      </c>
      <c r="J899" t="inlineStr">
        <is>
          <t>한국특수가스(주)광주사업장</t>
        </is>
      </c>
      <c r="K899" t="inlineStr">
        <is>
          <t>010-****-5185</t>
        </is>
      </c>
      <c r="L899" t="inlineStr">
        <is>
          <t>광주광역시 광산구 평동로803번길 93</t>
        </is>
      </c>
      <c r="M899" t="inlineStr"/>
      <c r="N899" t="inlineStr">
        <is>
          <t>광주광역시 광산구 평동로803번길 93</t>
        </is>
      </c>
      <c r="O899" t="inlineStr">
        <is>
          <t>광주광역시</t>
        </is>
      </c>
      <c r="P899" t="inlineStr">
        <is>
          <t>광산구</t>
        </is>
      </c>
      <c r="Q899" t="inlineStr">
        <is>
          <t>Y</t>
        </is>
      </c>
      <c r="R899" t="n">
        <v>31</v>
      </c>
    </row>
    <row r="900">
      <c r="A900" t="n">
        <v>899</v>
      </c>
      <c r="B900" t="inlineStr">
        <is>
          <t>한국휴텍스제약(주)</t>
        </is>
      </c>
      <c r="C900" t="inlineStr">
        <is>
          <t>한국휴텍스제약</t>
        </is>
      </c>
      <c r="D900" t="inlineStr">
        <is>
          <t>의약품</t>
        </is>
      </c>
      <c r="E900" t="inlineStr">
        <is>
          <t>1666</t>
        </is>
      </c>
      <c r="F900" t="inlineStr">
        <is>
          <t>이상일</t>
        </is>
      </c>
      <c r="G900" t="inlineStr">
        <is>
          <t>1986-09-15</t>
        </is>
      </c>
      <c r="H900" t="inlineStr">
        <is>
          <t>19860915</t>
        </is>
      </c>
      <c r="I900" t="inlineStr">
        <is>
          <t>2</t>
        </is>
      </c>
      <c r="J900" t="inlineStr">
        <is>
          <t>화성(제2공장)</t>
        </is>
      </c>
      <c r="K900" t="inlineStr">
        <is>
          <t>031-377-7901</t>
        </is>
      </c>
      <c r="L900" t="inlineStr">
        <is>
          <t>경기도 화성시 만세구 향남읍 제약공단3길 99</t>
        </is>
      </c>
      <c r="M900" t="inlineStr"/>
      <c r="N900" t="inlineStr">
        <is>
          <t>경기도 화성시 만세구 향남읍 제약공단3길 99</t>
        </is>
      </c>
      <c r="O900" t="inlineStr">
        <is>
          <t>경기도</t>
        </is>
      </c>
      <c r="P900" t="inlineStr">
        <is>
          <t>화성시</t>
        </is>
      </c>
      <c r="Q900" t="inlineStr">
        <is>
          <t>Y</t>
        </is>
      </c>
      <c r="R900" t="n">
        <v>80</v>
      </c>
    </row>
    <row r="901">
      <c r="A901" t="n">
        <v>900</v>
      </c>
      <c r="B901" t="inlineStr">
        <is>
          <t>크로다코리아주식회사</t>
        </is>
      </c>
      <c r="C901" t="inlineStr">
        <is>
          <t>크로다코리아</t>
        </is>
      </c>
      <c r="D901" t="inlineStr">
        <is>
          <t>의약품</t>
        </is>
      </c>
      <c r="E901" t="inlineStr">
        <is>
          <t>1961</t>
        </is>
      </c>
      <c r="F901" t="inlineStr">
        <is>
          <t>최용진</t>
        </is>
      </c>
      <c r="G901" t="inlineStr">
        <is>
          <t>1996-12-11</t>
        </is>
      </c>
      <c r="H901" t="inlineStr">
        <is>
          <t>19961211</t>
        </is>
      </c>
      <c r="I901" t="inlineStr">
        <is>
          <t>1</t>
        </is>
      </c>
      <c r="J901" t="inlineStr">
        <is>
          <t>전북 익산</t>
        </is>
      </c>
      <c r="K901" t="inlineStr">
        <is>
          <t>063-830-8911</t>
        </is>
      </c>
      <c r="L901" t="inlineStr">
        <is>
          <t>전북특별자치도 익산시 석암로11길 11</t>
        </is>
      </c>
      <c r="M901" t="inlineStr">
        <is>
          <t>제2공단 3차지구 21블럭 (용제동)</t>
        </is>
      </c>
      <c r="N901" t="inlineStr">
        <is>
          <t>전북특별자치도 익산시 석암로11길 11 제2공단 3차지구 21블럭 (용제동)</t>
        </is>
      </c>
      <c r="O901" t="inlineStr">
        <is>
          <t>전북특별자치도</t>
        </is>
      </c>
      <c r="P901" t="inlineStr">
        <is>
          <t>익산시</t>
        </is>
      </c>
      <c r="Q901" t="inlineStr">
        <is>
          <t>N</t>
        </is>
      </c>
      <c r="R901" t="n">
        <v>0</v>
      </c>
    </row>
    <row r="902">
      <c r="A902" t="n">
        <v>901</v>
      </c>
      <c r="B902" t="inlineStr">
        <is>
          <t>프레스티지바이오로직스(주)</t>
        </is>
      </c>
      <c r="C902" t="inlineStr">
        <is>
          <t>프레스티지바이오로직스</t>
        </is>
      </c>
      <c r="D902" t="inlineStr">
        <is>
          <t>의약품</t>
        </is>
      </c>
      <c r="E902" t="inlineStr">
        <is>
          <t>2646</t>
        </is>
      </c>
      <c r="F902" t="inlineStr">
        <is>
          <t>김진우</t>
        </is>
      </c>
      <c r="G902" t="inlineStr">
        <is>
          <t>2018-06-27</t>
        </is>
      </c>
      <c r="H902" t="inlineStr">
        <is>
          <t>20180627</t>
        </is>
      </c>
      <c r="I902" t="inlineStr">
        <is>
          <t>2</t>
        </is>
      </c>
      <c r="J902" t="inlineStr">
        <is>
          <t>프레스티지바이오로직스(주) 오송 2캠퍼스</t>
        </is>
      </c>
      <c r="K902" t="inlineStr">
        <is>
          <t>043-232-1552</t>
        </is>
      </c>
      <c r="L902" t="inlineStr">
        <is>
          <t>충청북도 청주시 흥덕구 오송읍 오송생명8로 56</t>
        </is>
      </c>
      <c r="M902" t="inlineStr">
        <is>
          <t>(정중리 799)</t>
        </is>
      </c>
      <c r="N902" t="inlineStr">
        <is>
          <t>충청북도 청주시 흥덕구 오송읍 오송생명8로 56 (정중리 799)</t>
        </is>
      </c>
      <c r="O902" t="inlineStr">
        <is>
          <t>충청북도</t>
        </is>
      </c>
      <c r="P902" t="inlineStr">
        <is>
          <t>청주시</t>
        </is>
      </c>
      <c r="Q902" t="inlineStr">
        <is>
          <t>N</t>
        </is>
      </c>
      <c r="R902" t="n">
        <v>0</v>
      </c>
    </row>
    <row r="903">
      <c r="A903" t="n">
        <v>902</v>
      </c>
      <c r="B903" t="inlineStr">
        <is>
          <t>(주)알피바이오</t>
        </is>
      </c>
      <c r="C903" t="inlineStr">
        <is>
          <t>알피바이오</t>
        </is>
      </c>
      <c r="D903" t="inlineStr">
        <is>
          <t>의약품</t>
        </is>
      </c>
      <c r="E903" t="inlineStr">
        <is>
          <t>1648</t>
        </is>
      </c>
      <c r="F903" t="inlineStr">
        <is>
          <t>윤재훈</t>
        </is>
      </c>
      <c r="G903" t="inlineStr">
        <is>
          <t>1984-09-22</t>
        </is>
      </c>
      <c r="H903" t="inlineStr">
        <is>
          <t>19840922</t>
        </is>
      </c>
      <c r="I903" t="inlineStr">
        <is>
          <t>4</t>
        </is>
      </c>
      <c r="J903" t="inlineStr">
        <is>
          <t>화성(마도)</t>
        </is>
      </c>
      <c r="K903" t="inlineStr"/>
      <c r="L903" t="inlineStr">
        <is>
          <t>경기도 화성시 만세구 마도면 청원산단5길 60</t>
        </is>
      </c>
      <c r="M903" t="inlineStr">
        <is>
          <t>(1층,2층일부,3층일부)</t>
        </is>
      </c>
      <c r="N903" t="inlineStr">
        <is>
          <t>경기도 화성시 만세구 마도면 청원산단5길 60 (1층,2층일부,3층일부)</t>
        </is>
      </c>
      <c r="O903" t="inlineStr">
        <is>
          <t>경기도</t>
        </is>
      </c>
      <c r="P903" t="inlineStr">
        <is>
          <t>화성시</t>
        </is>
      </c>
      <c r="Q903" t="inlineStr">
        <is>
          <t>N</t>
        </is>
      </c>
      <c r="R903" t="n">
        <v>0</v>
      </c>
    </row>
    <row r="904">
      <c r="A904" t="n">
        <v>903</v>
      </c>
      <c r="B904" t="inlineStr">
        <is>
          <t>삼정바이오솔루션(주)</t>
        </is>
      </c>
      <c r="C904" t="inlineStr">
        <is>
          <t>삼정바이오솔루션</t>
        </is>
      </c>
      <c r="D904" t="inlineStr">
        <is>
          <t>의약품</t>
        </is>
      </c>
      <c r="E904" t="inlineStr">
        <is>
          <t>365</t>
        </is>
      </c>
      <c r="F904" t="inlineStr">
        <is>
          <t>심승일</t>
        </is>
      </c>
      <c r="G904" t="inlineStr">
        <is>
          <t>2017-11-27</t>
        </is>
      </c>
      <c r="H904" t="inlineStr">
        <is>
          <t>20171127</t>
        </is>
      </c>
      <c r="I904" t="inlineStr">
        <is>
          <t>1</t>
        </is>
      </c>
      <c r="J904" t="inlineStr">
        <is>
          <t>공장</t>
        </is>
      </c>
      <c r="K904" t="inlineStr">
        <is>
          <t>031-8059-3244</t>
        </is>
      </c>
      <c r="L904" t="inlineStr">
        <is>
          <t>경기도 화성시 양감면 개월안길 110-26</t>
        </is>
      </c>
      <c r="M904" t="inlineStr"/>
      <c r="N904" t="inlineStr">
        <is>
          <t>경기도 화성시 양감면 개월안길 110-26</t>
        </is>
      </c>
      <c r="O904" t="inlineStr">
        <is>
          <t>경기도</t>
        </is>
      </c>
      <c r="P904" t="inlineStr">
        <is>
          <t>화성시</t>
        </is>
      </c>
      <c r="Q904" t="inlineStr">
        <is>
          <t>N</t>
        </is>
      </c>
      <c r="R904" t="n">
        <v>0</v>
      </c>
    </row>
    <row r="905">
      <c r="A905" t="n">
        <v>904</v>
      </c>
      <c r="B905" t="inlineStr">
        <is>
          <t>(주)신창</t>
        </is>
      </c>
      <c r="C905" t="inlineStr">
        <is>
          <t>신창</t>
        </is>
      </c>
      <c r="D905" t="inlineStr">
        <is>
          <t>의약품</t>
        </is>
      </c>
      <c r="E905" t="inlineStr">
        <is>
          <t>1623</t>
        </is>
      </c>
      <c r="F905" t="inlineStr">
        <is>
          <t>최준혁</t>
        </is>
      </c>
      <c r="G905" t="inlineStr">
        <is>
          <t>1982-07-06</t>
        </is>
      </c>
      <c r="H905" t="inlineStr">
        <is>
          <t>19820706</t>
        </is>
      </c>
      <c r="I905" t="inlineStr">
        <is>
          <t>1</t>
        </is>
      </c>
      <c r="J905" t="inlineStr">
        <is>
          <t>마산</t>
        </is>
      </c>
      <c r="K905" t="inlineStr">
        <is>
          <t>055)232-7570</t>
        </is>
      </c>
      <c r="L905" t="inlineStr"/>
      <c r="M905" t="inlineStr">
        <is>
          <t>경상남도 마산시 회원구 내서면 호계리 790-6</t>
        </is>
      </c>
      <c r="N905" t="inlineStr">
        <is>
          <t>경상남도 마산시 회원구 내서면 호계리 790-6</t>
        </is>
      </c>
      <c r="O905" t="inlineStr">
        <is>
          <t>경상남도</t>
        </is>
      </c>
      <c r="P905" t="inlineStr">
        <is>
          <t>마산시</t>
        </is>
      </c>
      <c r="Q905" t="inlineStr">
        <is>
          <t>N</t>
        </is>
      </c>
      <c r="R905" t="n">
        <v>0</v>
      </c>
    </row>
    <row r="906">
      <c r="A906" t="n">
        <v>905</v>
      </c>
      <c r="B906" t="inlineStr">
        <is>
          <t>(주)마더스제약</t>
        </is>
      </c>
      <c r="C906" t="inlineStr">
        <is>
          <t>마더스제약</t>
        </is>
      </c>
      <c r="D906" t="inlineStr">
        <is>
          <t>의약품</t>
        </is>
      </c>
      <c r="E906" t="inlineStr">
        <is>
          <t>1313</t>
        </is>
      </c>
      <c r="F906" t="inlineStr">
        <is>
          <t>김좌진</t>
        </is>
      </c>
      <c r="G906" t="inlineStr">
        <is>
          <t>1955-12-24</t>
        </is>
      </c>
      <c r="H906" t="inlineStr">
        <is>
          <t>19551224</t>
        </is>
      </c>
      <c r="I906" t="inlineStr">
        <is>
          <t>1</t>
        </is>
      </c>
      <c r="J906" t="inlineStr">
        <is>
          <t>(주)마더스제약</t>
        </is>
      </c>
      <c r="K906" t="inlineStr"/>
      <c r="L906" t="inlineStr">
        <is>
          <t>경상북도 경산시 진량읍 공단6로24길 18</t>
        </is>
      </c>
      <c r="M906" t="inlineStr"/>
      <c r="N906" t="inlineStr">
        <is>
          <t>경상북도 경산시 진량읍 공단6로24길 18</t>
        </is>
      </c>
      <c r="O906" t="inlineStr">
        <is>
          <t>경상북도</t>
        </is>
      </c>
      <c r="P906" t="inlineStr">
        <is>
          <t>경산시</t>
        </is>
      </c>
      <c r="Q906" t="inlineStr">
        <is>
          <t>N</t>
        </is>
      </c>
      <c r="R906" t="n">
        <v>0</v>
      </c>
    </row>
    <row r="907">
      <c r="A907" t="n">
        <v>906</v>
      </c>
      <c r="B907" t="inlineStr">
        <is>
          <t>우향제약</t>
        </is>
      </c>
      <c r="C907" t="inlineStr">
        <is>
          <t>우향제약</t>
        </is>
      </c>
      <c r="D907" t="inlineStr">
        <is>
          <t>의약품</t>
        </is>
      </c>
      <c r="E907" t="inlineStr">
        <is>
          <t>89</t>
        </is>
      </c>
      <c r="F907" t="inlineStr">
        <is>
          <t>김병창</t>
        </is>
      </c>
      <c r="G907" t="inlineStr">
        <is>
          <t>2017-06-21</t>
        </is>
      </c>
      <c r="H907" t="inlineStr">
        <is>
          <t>20170621</t>
        </is>
      </c>
      <c r="I907" t="inlineStr">
        <is>
          <t>1</t>
        </is>
      </c>
      <c r="J907" t="inlineStr">
        <is>
          <t>우향제약</t>
        </is>
      </c>
      <c r="K907" t="inlineStr">
        <is>
          <t>054-335-4849</t>
        </is>
      </c>
      <c r="L907" t="inlineStr">
        <is>
          <t>경상북도 영천시 어봉길 86</t>
        </is>
      </c>
      <c r="M907" t="inlineStr">
        <is>
          <t>(대전동)</t>
        </is>
      </c>
      <c r="N907" t="inlineStr">
        <is>
          <t>경상북도 영천시 어봉길 86 (대전동)</t>
        </is>
      </c>
      <c r="O907" t="inlineStr">
        <is>
          <t>경상북도</t>
        </is>
      </c>
      <c r="P907" t="inlineStr">
        <is>
          <t>영천시</t>
        </is>
      </c>
      <c r="Q907" t="inlineStr">
        <is>
          <t>N</t>
        </is>
      </c>
      <c r="R907" t="n">
        <v>0</v>
      </c>
    </row>
    <row r="908">
      <c r="A908" t="n">
        <v>907</v>
      </c>
      <c r="B908" t="inlineStr">
        <is>
          <t>디아이지에어가스(주)</t>
        </is>
      </c>
      <c r="C908" t="inlineStr">
        <is>
          <t>디아이지에어가스</t>
        </is>
      </c>
      <c r="D908" t="inlineStr">
        <is>
          <t>의약품</t>
        </is>
      </c>
      <c r="E908" t="inlineStr">
        <is>
          <t>1603</t>
        </is>
      </c>
      <c r="F908" t="inlineStr">
        <is>
          <t>오규석</t>
        </is>
      </c>
      <c r="G908" t="inlineStr">
        <is>
          <t>1981-02-06</t>
        </is>
      </c>
      <c r="H908" t="inlineStr">
        <is>
          <t>19810206</t>
        </is>
      </c>
      <c r="I908" t="inlineStr">
        <is>
          <t>11</t>
        </is>
      </c>
      <c r="J908" t="inlineStr">
        <is>
          <t>울산</t>
        </is>
      </c>
      <c r="K908" t="inlineStr"/>
      <c r="L908" t="inlineStr">
        <is>
          <t>울산광역시 남구 처용로487번길 18-64</t>
        </is>
      </c>
      <c r="M908" t="inlineStr"/>
      <c r="N908" t="inlineStr">
        <is>
          <t>울산광역시 남구 처용로487번길 18-64</t>
        </is>
      </c>
      <c r="O908" t="inlineStr">
        <is>
          <t>울산광역시</t>
        </is>
      </c>
      <c r="P908" t="inlineStr">
        <is>
          <t>남구</t>
        </is>
      </c>
      <c r="Q908" t="inlineStr">
        <is>
          <t>N</t>
        </is>
      </c>
      <c r="R908" t="n">
        <v>0</v>
      </c>
    </row>
    <row r="909">
      <c r="A909" t="n">
        <v>908</v>
      </c>
      <c r="B909" t="inlineStr">
        <is>
          <t>대한약품공업(주)</t>
        </is>
      </c>
      <c r="C909" t="inlineStr">
        <is>
          <t>대한약품공업</t>
        </is>
      </c>
      <c r="D909" t="inlineStr">
        <is>
          <t>의약품</t>
        </is>
      </c>
      <c r="E909" t="inlineStr">
        <is>
          <t>1303</t>
        </is>
      </c>
      <c r="F909" t="inlineStr">
        <is>
          <t>이승영</t>
        </is>
      </c>
      <c r="G909" t="inlineStr">
        <is>
          <t>1955-06-06</t>
        </is>
      </c>
      <c r="H909" t="inlineStr">
        <is>
          <t>19550606</t>
        </is>
      </c>
      <c r="I909" t="inlineStr">
        <is>
          <t>1</t>
        </is>
      </c>
      <c r="J909" t="inlineStr">
        <is>
          <t>안산1공장</t>
        </is>
      </c>
      <c r="K909" t="inlineStr">
        <is>
          <t>02-2678-3911</t>
        </is>
      </c>
      <c r="L909" t="inlineStr">
        <is>
          <t>경기도 안산시 단원구 산단로 77</t>
        </is>
      </c>
      <c r="M909" t="inlineStr"/>
      <c r="N909" t="inlineStr">
        <is>
          <t>경기도 안산시 단원구 산단로 77</t>
        </is>
      </c>
      <c r="O909" t="inlineStr">
        <is>
          <t>경기도</t>
        </is>
      </c>
      <c r="P909" t="inlineStr">
        <is>
          <t>안산시</t>
        </is>
      </c>
      <c r="Q909" t="inlineStr">
        <is>
          <t>N</t>
        </is>
      </c>
      <c r="R909" t="n">
        <v>0</v>
      </c>
    </row>
    <row r="910">
      <c r="A910" t="n">
        <v>909</v>
      </c>
      <c r="B910" t="inlineStr">
        <is>
          <t>(주)휴온스바이오파마</t>
        </is>
      </c>
      <c r="C910" t="inlineStr">
        <is>
          <t>휴온스바이오파마</t>
        </is>
      </c>
      <c r="D910" t="inlineStr">
        <is>
          <t>의약품</t>
        </is>
      </c>
      <c r="E910" t="inlineStr">
        <is>
          <t>2637</t>
        </is>
      </c>
      <c r="F910" t="inlineStr">
        <is>
          <t>이정희</t>
        </is>
      </c>
      <c r="G910" t="inlineStr">
        <is>
          <t>2016-12-07</t>
        </is>
      </c>
      <c r="H910" t="inlineStr">
        <is>
          <t>20161207</t>
        </is>
      </c>
      <c r="I910" t="inlineStr">
        <is>
          <t>1</t>
        </is>
      </c>
      <c r="J910" t="inlineStr">
        <is>
          <t>제1공장</t>
        </is>
      </c>
      <c r="K910" t="inlineStr">
        <is>
          <t>070-7492-3131</t>
        </is>
      </c>
      <c r="L910" t="inlineStr">
        <is>
          <t>충청북도 제천시 바이오밸리2로 50</t>
        </is>
      </c>
      <c r="M910" t="inlineStr"/>
      <c r="N910" t="inlineStr">
        <is>
          <t>충청북도 제천시 바이오밸리2로 50</t>
        </is>
      </c>
      <c r="O910" t="inlineStr">
        <is>
          <t>충청북도</t>
        </is>
      </c>
      <c r="P910" t="inlineStr">
        <is>
          <t>제천시</t>
        </is>
      </c>
      <c r="Q910" t="inlineStr">
        <is>
          <t>N</t>
        </is>
      </c>
      <c r="R910" t="n">
        <v>0</v>
      </c>
    </row>
    <row r="911">
      <c r="A911" t="n">
        <v>910</v>
      </c>
      <c r="B911" t="inlineStr">
        <is>
          <t>제이더블유중외제약(주)</t>
        </is>
      </c>
      <c r="C911" t="inlineStr">
        <is>
          <t>제이더블유중외제약</t>
        </is>
      </c>
      <c r="D911" t="inlineStr">
        <is>
          <t>의약품</t>
        </is>
      </c>
      <c r="E911" t="inlineStr">
        <is>
          <t>1302</t>
        </is>
      </c>
      <c r="F911" t="inlineStr">
        <is>
          <t>함은경</t>
        </is>
      </c>
      <c r="G911" t="inlineStr">
        <is>
          <t>1955-04-14</t>
        </is>
      </c>
      <c r="H911" t="inlineStr">
        <is>
          <t>19550414</t>
        </is>
      </c>
      <c r="I911" t="inlineStr">
        <is>
          <t>1</t>
        </is>
      </c>
      <c r="J911" t="inlineStr">
        <is>
          <t>화성</t>
        </is>
      </c>
      <c r="K911" t="inlineStr">
        <is>
          <t>02-840-6986</t>
        </is>
      </c>
      <c r="L911" t="inlineStr"/>
      <c r="M911" t="inlineStr">
        <is>
          <t>경기도 화성시 안녕남로 171</t>
        </is>
      </c>
      <c r="N911" t="inlineStr">
        <is>
          <t>경기도 화성시 안녕남로 171</t>
        </is>
      </c>
      <c r="O911" t="inlineStr">
        <is>
          <t>경기도</t>
        </is>
      </c>
      <c r="P911" t="inlineStr">
        <is>
          <t>화성시</t>
        </is>
      </c>
      <c r="Q911" t="inlineStr">
        <is>
          <t>Y</t>
        </is>
      </c>
      <c r="R911" t="n">
        <v>16</v>
      </c>
    </row>
    <row r="912">
      <c r="A912" t="n">
        <v>911</v>
      </c>
      <c r="B912" t="inlineStr">
        <is>
          <t>삼천당제약(주)</t>
        </is>
      </c>
      <c r="C912" t="inlineStr">
        <is>
          <t>삼천당제약</t>
        </is>
      </c>
      <c r="D912" t="inlineStr">
        <is>
          <t>의약품</t>
        </is>
      </c>
      <c r="E912" t="inlineStr">
        <is>
          <t>1335</t>
        </is>
      </c>
      <c r="F912" t="inlineStr">
        <is>
          <t>전인석</t>
        </is>
      </c>
      <c r="G912" t="inlineStr">
        <is>
          <t>1957-05-15</t>
        </is>
      </c>
      <c r="H912" t="inlineStr">
        <is>
          <t>19570515</t>
        </is>
      </c>
      <c r="I912" t="inlineStr">
        <is>
          <t>1</t>
        </is>
      </c>
      <c r="J912" t="inlineStr">
        <is>
          <t>화성</t>
        </is>
      </c>
      <c r="K912" t="inlineStr">
        <is>
          <t>031-350-7300</t>
        </is>
      </c>
      <c r="L912" t="inlineStr">
        <is>
          <t>경기도 화성시 만세구 향남읍 제약공단2길 71</t>
        </is>
      </c>
      <c r="M912" t="inlineStr"/>
      <c r="N912" t="inlineStr">
        <is>
          <t>경기도 화성시 만세구 향남읍 제약공단2길 71</t>
        </is>
      </c>
      <c r="O912" t="inlineStr">
        <is>
          <t>경기도</t>
        </is>
      </c>
      <c r="P912" t="inlineStr">
        <is>
          <t>화성시</t>
        </is>
      </c>
      <c r="Q912" t="inlineStr">
        <is>
          <t>N</t>
        </is>
      </c>
      <c r="R912" t="n">
        <v>0</v>
      </c>
    </row>
    <row r="913">
      <c r="A913" t="n">
        <v>912</v>
      </c>
      <c r="B913" t="inlineStr">
        <is>
          <t>일동제약(주)</t>
        </is>
      </c>
      <c r="C913" t="inlineStr">
        <is>
          <t>일동제약</t>
        </is>
      </c>
      <c r="D913" t="inlineStr">
        <is>
          <t>의약품</t>
        </is>
      </c>
      <c r="E913" t="inlineStr">
        <is>
          <t>1293</t>
        </is>
      </c>
      <c r="F913" t="inlineStr">
        <is>
          <t>윤폴웅섭(윤웅섭)</t>
        </is>
      </c>
      <c r="G913" t="inlineStr">
        <is>
          <t>1954-12-31</t>
        </is>
      </c>
      <c r="H913" t="inlineStr">
        <is>
          <t>19541231</t>
        </is>
      </c>
      <c r="I913" t="inlineStr">
        <is>
          <t>2</t>
        </is>
      </c>
      <c r="J913" t="inlineStr">
        <is>
          <t>청주</t>
        </is>
      </c>
      <c r="K913" t="inlineStr">
        <is>
          <t>02-526-3388</t>
        </is>
      </c>
      <c r="L913" t="inlineStr">
        <is>
          <t>충청북도 청주시 흥덕구 공단로98번길 53</t>
        </is>
      </c>
      <c r="M913" t="inlineStr"/>
      <c r="N913" t="inlineStr">
        <is>
          <t>충청북도 청주시 흥덕구 공단로98번길 53</t>
        </is>
      </c>
      <c r="O913" t="inlineStr">
        <is>
          <t>충청북도</t>
        </is>
      </c>
      <c r="P913" t="inlineStr">
        <is>
          <t>청주시</t>
        </is>
      </c>
      <c r="Q913" t="inlineStr">
        <is>
          <t>Y</t>
        </is>
      </c>
      <c r="R913" t="n">
        <v>81</v>
      </c>
    </row>
    <row r="914">
      <c r="A914" t="n">
        <v>913</v>
      </c>
      <c r="B914" t="inlineStr">
        <is>
          <t>제이더블유신약(주)</t>
        </is>
      </c>
      <c r="C914" t="inlineStr">
        <is>
          <t>제이더블유신약</t>
        </is>
      </c>
      <c r="D914" t="inlineStr">
        <is>
          <t>의약품</t>
        </is>
      </c>
      <c r="E914" t="inlineStr">
        <is>
          <t>1325</t>
        </is>
      </c>
      <c r="F914" t="inlineStr">
        <is>
          <t>김용관</t>
        </is>
      </c>
      <c r="G914" t="inlineStr">
        <is>
          <t>1956-11-06</t>
        </is>
      </c>
      <c r="H914" t="inlineStr">
        <is>
          <t>19561106</t>
        </is>
      </c>
      <c r="I914" t="inlineStr">
        <is>
          <t>1</t>
        </is>
      </c>
      <c r="J914" t="inlineStr">
        <is>
          <t>평택</t>
        </is>
      </c>
      <c r="K914" t="inlineStr">
        <is>
          <t>031-668-0561</t>
        </is>
      </c>
      <c r="L914" t="inlineStr">
        <is>
          <t>경기도 평택시 산단로 88-24</t>
        </is>
      </c>
      <c r="M914" t="inlineStr"/>
      <c r="N914" t="inlineStr">
        <is>
          <t>경기도 평택시 산단로 88-24</t>
        </is>
      </c>
      <c r="O914" t="inlineStr">
        <is>
          <t>경기도</t>
        </is>
      </c>
      <c r="P914" t="inlineStr">
        <is>
          <t>평택시</t>
        </is>
      </c>
      <c r="Q914" t="inlineStr">
        <is>
          <t>N</t>
        </is>
      </c>
      <c r="R914" t="n">
        <v>0</v>
      </c>
    </row>
    <row r="915">
      <c r="A915" t="n">
        <v>914</v>
      </c>
      <c r="B915" t="inlineStr">
        <is>
          <t>동광제약(주)</t>
        </is>
      </c>
      <c r="C915" t="inlineStr">
        <is>
          <t>동광제약</t>
        </is>
      </c>
      <c r="D915" t="inlineStr">
        <is>
          <t>의약품</t>
        </is>
      </c>
      <c r="E915" t="inlineStr">
        <is>
          <t>1327</t>
        </is>
      </c>
      <c r="F915" t="inlineStr">
        <is>
          <t>장만식</t>
        </is>
      </c>
      <c r="G915" t="inlineStr">
        <is>
          <t>1956-12-01</t>
        </is>
      </c>
      <c r="H915" t="inlineStr">
        <is>
          <t>19561201</t>
        </is>
      </c>
      <c r="I915" t="inlineStr">
        <is>
          <t>1</t>
        </is>
      </c>
      <c r="J915" t="inlineStr">
        <is>
          <t>평택</t>
        </is>
      </c>
      <c r="K915" t="inlineStr">
        <is>
          <t>02-776-7641</t>
        </is>
      </c>
      <c r="L915" t="inlineStr">
        <is>
          <t>경기도 평택시 산단로 115</t>
        </is>
      </c>
      <c r="M915" t="inlineStr"/>
      <c r="N915" t="inlineStr">
        <is>
          <t>경기도 평택시 산단로 115</t>
        </is>
      </c>
      <c r="O915" t="inlineStr">
        <is>
          <t>경기도</t>
        </is>
      </c>
      <c r="P915" t="inlineStr">
        <is>
          <t>평택시</t>
        </is>
      </c>
      <c r="Q915" t="inlineStr">
        <is>
          <t>N</t>
        </is>
      </c>
      <c r="R915" t="n">
        <v>0</v>
      </c>
    </row>
    <row r="916">
      <c r="A916" t="n">
        <v>915</v>
      </c>
      <c r="B916" t="inlineStr">
        <is>
          <t>오스템파마주식회사</t>
        </is>
      </c>
      <c r="C916" t="inlineStr">
        <is>
          <t>오스템파마</t>
        </is>
      </c>
      <c r="D916" t="inlineStr">
        <is>
          <t>의약품</t>
        </is>
      </c>
      <c r="E916" t="inlineStr">
        <is>
          <t>357</t>
        </is>
      </c>
      <c r="F916" t="inlineStr">
        <is>
          <t>문병점</t>
        </is>
      </c>
      <c r="G916" t="inlineStr">
        <is>
          <t>2016-01-20</t>
        </is>
      </c>
      <c r="H916" t="inlineStr">
        <is>
          <t>20160120</t>
        </is>
      </c>
      <c r="I916" t="inlineStr">
        <is>
          <t>1</t>
        </is>
      </c>
      <c r="J916" t="inlineStr">
        <is>
          <t>1공장</t>
        </is>
      </c>
      <c r="K916" t="inlineStr"/>
      <c r="L916" t="inlineStr">
        <is>
          <t>서울특별시 금천구 가산디지털2로 123</t>
        </is>
      </c>
      <c r="M916" t="inlineStr">
        <is>
          <t>12층 1201~1204호(가산동, 월드메르디앙벤처센터2차)</t>
        </is>
      </c>
      <c r="N916" t="inlineStr">
        <is>
          <t>서울특별시 금천구 가산디지털2로 123 12층 1201~1204호(가산동, 월드메르디앙벤처센터2차)</t>
        </is>
      </c>
      <c r="O916" t="inlineStr">
        <is>
          <t>서울특별시</t>
        </is>
      </c>
      <c r="P916" t="inlineStr">
        <is>
          <t>금천구</t>
        </is>
      </c>
      <c r="Q916" t="inlineStr">
        <is>
          <t>N</t>
        </is>
      </c>
      <c r="R916" t="n">
        <v>0</v>
      </c>
    </row>
    <row r="917">
      <c r="A917" t="n">
        <v>916</v>
      </c>
      <c r="B917" t="inlineStr">
        <is>
          <t>(주)제뉴파마</t>
        </is>
      </c>
      <c r="C917" t="inlineStr">
        <is>
          <t>제뉴파마</t>
        </is>
      </c>
      <c r="D917" t="inlineStr">
        <is>
          <t>의약품</t>
        </is>
      </c>
      <c r="E917" t="inlineStr">
        <is>
          <t>1295</t>
        </is>
      </c>
      <c r="F917" t="inlineStr">
        <is>
          <t>전광현</t>
        </is>
      </c>
      <c r="G917" t="inlineStr">
        <is>
          <t>1955-01-04</t>
        </is>
      </c>
      <c r="H917" t="inlineStr">
        <is>
          <t>19550104</t>
        </is>
      </c>
      <c r="I917" t="inlineStr">
        <is>
          <t>1</t>
        </is>
      </c>
      <c r="J917" t="inlineStr">
        <is>
          <t>안산</t>
        </is>
      </c>
      <c r="K917" t="inlineStr">
        <is>
          <t>031-493-0077</t>
        </is>
      </c>
      <c r="L917" t="inlineStr">
        <is>
          <t>경기도 안산시 단원구 능안로 54</t>
        </is>
      </c>
      <c r="M917" t="inlineStr"/>
      <c r="N917" t="inlineStr">
        <is>
          <t>경기도 안산시 단원구 능안로 54</t>
        </is>
      </c>
      <c r="O917" t="inlineStr">
        <is>
          <t>경기도</t>
        </is>
      </c>
      <c r="P917" t="inlineStr">
        <is>
          <t>안산시</t>
        </is>
      </c>
      <c r="Q917" t="inlineStr">
        <is>
          <t>N</t>
        </is>
      </c>
      <c r="R917" t="n">
        <v>0</v>
      </c>
    </row>
    <row r="918">
      <c r="A918" t="n">
        <v>917</v>
      </c>
      <c r="B918" t="inlineStr">
        <is>
          <t>한성산업(주)</t>
        </is>
      </c>
      <c r="C918" t="inlineStr">
        <is>
          <t>한성산업</t>
        </is>
      </c>
      <c r="D918" t="inlineStr">
        <is>
          <t>의약품</t>
        </is>
      </c>
      <c r="E918" t="inlineStr">
        <is>
          <t>2179</t>
        </is>
      </c>
      <c r="F918" t="inlineStr">
        <is>
          <t>양지애</t>
        </is>
      </c>
      <c r="G918" t="inlineStr">
        <is>
          <t>2001-01-04</t>
        </is>
      </c>
      <c r="H918" t="inlineStr">
        <is>
          <t>20010104</t>
        </is>
      </c>
      <c r="I918" t="inlineStr">
        <is>
          <t>1</t>
        </is>
      </c>
      <c r="J918" t="inlineStr">
        <is>
          <t>경주</t>
        </is>
      </c>
      <c r="K918" t="inlineStr">
        <is>
          <t>054-776-0001</t>
        </is>
      </c>
      <c r="L918" t="inlineStr">
        <is>
          <t>경상북도 경주시 광중길 18</t>
        </is>
      </c>
      <c r="M918" t="inlineStr"/>
      <c r="N918" t="inlineStr">
        <is>
          <t>경상북도 경주시 광중길 18</t>
        </is>
      </c>
      <c r="O918" t="inlineStr">
        <is>
          <t>경상북도</t>
        </is>
      </c>
      <c r="P918" t="inlineStr">
        <is>
          <t>경주시</t>
        </is>
      </c>
      <c r="Q918" t="inlineStr">
        <is>
          <t>Y</t>
        </is>
      </c>
      <c r="R918" t="n">
        <v>18</v>
      </c>
    </row>
    <row r="919">
      <c r="A919" t="n">
        <v>918</v>
      </c>
      <c r="B919" t="inlineStr">
        <is>
          <t>(주)코미팜</t>
        </is>
      </c>
      <c r="C919" t="inlineStr">
        <is>
          <t>코미팜</t>
        </is>
      </c>
      <c r="D919" t="inlineStr">
        <is>
          <t>의약품</t>
        </is>
      </c>
      <c r="E919" t="inlineStr">
        <is>
          <t>2627</t>
        </is>
      </c>
      <c r="F919" t="inlineStr">
        <is>
          <t>양경훈</t>
        </is>
      </c>
      <c r="G919" t="inlineStr">
        <is>
          <t>2015-08-26</t>
        </is>
      </c>
      <c r="H919" t="inlineStr">
        <is>
          <t>20150826</t>
        </is>
      </c>
      <c r="I919" t="inlineStr">
        <is>
          <t>1</t>
        </is>
      </c>
      <c r="J919" t="inlineStr">
        <is>
          <t>1공장</t>
        </is>
      </c>
      <c r="K919" t="inlineStr">
        <is>
          <t>(043)238-8800</t>
        </is>
      </c>
      <c r="L919" t="inlineStr">
        <is>
          <t>충청북도 청주시 흥덕구 오송읍 오송가락로 291</t>
        </is>
      </c>
      <c r="M919" t="inlineStr"/>
      <c r="N919" t="inlineStr">
        <is>
          <t>충청북도 청주시 흥덕구 오송읍 오송가락로 291</t>
        </is>
      </c>
      <c r="O919" t="inlineStr">
        <is>
          <t>충청북도</t>
        </is>
      </c>
      <c r="P919" t="inlineStr">
        <is>
          <t>청주시</t>
        </is>
      </c>
      <c r="Q919" t="inlineStr">
        <is>
          <t>Y</t>
        </is>
      </c>
      <c r="R919" t="n">
        <v>82</v>
      </c>
    </row>
    <row r="920">
      <c r="A920" t="n">
        <v>919</v>
      </c>
      <c r="B920" t="inlineStr">
        <is>
          <t>건향제약(주)</t>
        </is>
      </c>
      <c r="C920" t="inlineStr">
        <is>
          <t>건향제약</t>
        </is>
      </c>
      <c r="D920" t="inlineStr">
        <is>
          <t>의약품</t>
        </is>
      </c>
      <c r="E920" t="inlineStr">
        <is>
          <t>2231</t>
        </is>
      </c>
      <c r="F920" t="inlineStr">
        <is>
          <t>김성록</t>
        </is>
      </c>
      <c r="G920" t="inlineStr">
        <is>
          <t>2001-08-17</t>
        </is>
      </c>
      <c r="H920" t="inlineStr">
        <is>
          <t>20010817</t>
        </is>
      </c>
      <c r="I920" t="inlineStr">
        <is>
          <t>1</t>
        </is>
      </c>
      <c r="J920" t="inlineStr">
        <is>
          <t>서울</t>
        </is>
      </c>
      <c r="K920" t="inlineStr">
        <is>
          <t>02-966-7771</t>
        </is>
      </c>
      <c r="L920" t="inlineStr">
        <is>
          <t>서울특별시 동대문구 약령서길 54</t>
        </is>
      </c>
      <c r="M920" t="inlineStr">
        <is>
          <t>고려빌딩 4층</t>
        </is>
      </c>
      <c r="N920" t="inlineStr">
        <is>
          <t>서울특별시 동대문구 약령서길 54 고려빌딩 4층</t>
        </is>
      </c>
      <c r="O920" t="inlineStr">
        <is>
          <t>서울특별시</t>
        </is>
      </c>
      <c r="P920" t="inlineStr">
        <is>
          <t>동대문구</t>
        </is>
      </c>
      <c r="Q920" t="inlineStr">
        <is>
          <t>N</t>
        </is>
      </c>
      <c r="R920" t="n">
        <v>0</v>
      </c>
    </row>
    <row r="921">
      <c r="A921" t="n">
        <v>920</v>
      </c>
      <c r="B921" t="inlineStr">
        <is>
          <t>(주)하이텍팜</t>
        </is>
      </c>
      <c r="C921" t="inlineStr">
        <is>
          <t>하이텍팜</t>
        </is>
      </c>
      <c r="D921" t="inlineStr">
        <is>
          <t>의약품</t>
        </is>
      </c>
      <c r="E921" t="inlineStr">
        <is>
          <t>2016</t>
        </is>
      </c>
      <c r="F921" t="inlineStr">
        <is>
          <t>차현준</t>
        </is>
      </c>
      <c r="G921" t="inlineStr">
        <is>
          <t>1998-09-07</t>
        </is>
      </c>
      <c r="H921" t="inlineStr">
        <is>
          <t>19980907</t>
        </is>
      </c>
      <c r="I921" t="inlineStr">
        <is>
          <t>2</t>
        </is>
      </c>
      <c r="J921" t="inlineStr">
        <is>
          <t>충주공장</t>
        </is>
      </c>
      <c r="K921" t="inlineStr"/>
      <c r="L921" t="inlineStr">
        <is>
          <t>충청북도 충주시 대소원면 첨단산업6로 12</t>
        </is>
      </c>
      <c r="M921" t="inlineStr">
        <is>
          <t>(주)하이텍팜</t>
        </is>
      </c>
      <c r="N921" t="inlineStr">
        <is>
          <t>충청북도 충주시 대소원면 첨단산업6로 12 (주)하이텍팜</t>
        </is>
      </c>
      <c r="O921" t="inlineStr">
        <is>
          <t>충청북도</t>
        </is>
      </c>
      <c r="P921" t="inlineStr">
        <is>
          <t>충주시</t>
        </is>
      </c>
      <c r="Q921" t="inlineStr">
        <is>
          <t>N</t>
        </is>
      </c>
      <c r="R921" t="n">
        <v>0</v>
      </c>
    </row>
    <row r="922">
      <c r="A922" t="n">
        <v>921</v>
      </c>
      <c r="B922" t="inlineStr">
        <is>
          <t>(주)비봉허브</t>
        </is>
      </c>
      <c r="C922" t="inlineStr">
        <is>
          <t>비봉허브</t>
        </is>
      </c>
      <c r="D922" t="inlineStr">
        <is>
          <t>의약품</t>
        </is>
      </c>
      <c r="E922" t="inlineStr">
        <is>
          <t>351</t>
        </is>
      </c>
      <c r="F922" t="inlineStr">
        <is>
          <t>서승태</t>
        </is>
      </c>
      <c r="G922" t="inlineStr">
        <is>
          <t>2015-03-27</t>
        </is>
      </c>
      <c r="H922" t="inlineStr">
        <is>
          <t>20150327</t>
        </is>
      </c>
      <c r="I922" t="inlineStr">
        <is>
          <t>1</t>
        </is>
      </c>
      <c r="J922" t="inlineStr">
        <is>
          <t>제 1공장</t>
        </is>
      </c>
      <c r="K922" t="inlineStr">
        <is>
          <t>(031)829-1043</t>
        </is>
      </c>
      <c r="L922" t="inlineStr">
        <is>
          <t>경기도 양주시 광적면 광적로224번길 224-42</t>
        </is>
      </c>
      <c r="M922" t="inlineStr">
        <is>
          <t>가동 1층</t>
        </is>
      </c>
      <c r="N922" t="inlineStr">
        <is>
          <t>경기도 양주시 광적면 광적로224번길 224-42 가동 1층</t>
        </is>
      </c>
      <c r="O922" t="inlineStr">
        <is>
          <t>경기도</t>
        </is>
      </c>
      <c r="P922" t="inlineStr">
        <is>
          <t>양주시</t>
        </is>
      </c>
      <c r="Q922" t="inlineStr">
        <is>
          <t>N</t>
        </is>
      </c>
      <c r="R922" t="n">
        <v>0</v>
      </c>
    </row>
    <row r="923">
      <c r="A923" t="n">
        <v>922</v>
      </c>
      <c r="B923" t="inlineStr">
        <is>
          <t>(주)다산제약</t>
        </is>
      </c>
      <c r="C923" t="inlineStr">
        <is>
          <t>다산제약</t>
        </is>
      </c>
      <c r="D923" t="inlineStr">
        <is>
          <t>의약품</t>
        </is>
      </c>
      <c r="E923" t="inlineStr">
        <is>
          <t>2243</t>
        </is>
      </c>
      <c r="F923" t="inlineStr">
        <is>
          <t>유형선</t>
        </is>
      </c>
      <c r="G923" t="inlineStr">
        <is>
          <t>2001-09-18</t>
        </is>
      </c>
      <c r="H923" t="inlineStr">
        <is>
          <t>20010918</t>
        </is>
      </c>
      <c r="I923" t="inlineStr">
        <is>
          <t>1</t>
        </is>
      </c>
      <c r="J923" t="inlineStr">
        <is>
          <t>제1공장</t>
        </is>
      </c>
      <c r="K923" t="inlineStr">
        <is>
          <t>041-543-5311</t>
        </is>
      </c>
      <c r="L923" t="inlineStr">
        <is>
          <t>충청남도 아산시 도고면 덕암산로 342</t>
        </is>
      </c>
      <c r="M923" t="inlineStr"/>
      <c r="N923" t="inlineStr">
        <is>
          <t>충청남도 아산시 도고면 덕암산로 342</t>
        </is>
      </c>
      <c r="O923" t="inlineStr">
        <is>
          <t>충청남도</t>
        </is>
      </c>
      <c r="P923" t="inlineStr">
        <is>
          <t>아산시</t>
        </is>
      </c>
      <c r="Q923" t="inlineStr">
        <is>
          <t>N</t>
        </is>
      </c>
      <c r="R923" t="n">
        <v>0</v>
      </c>
    </row>
    <row r="924">
      <c r="A924" t="n">
        <v>923</v>
      </c>
      <c r="B924" t="inlineStr">
        <is>
          <t>화일약품(주)</t>
        </is>
      </c>
      <c r="C924" t="inlineStr">
        <is>
          <t>화일약품</t>
        </is>
      </c>
      <c r="D924" t="inlineStr">
        <is>
          <t>의약품</t>
        </is>
      </c>
      <c r="E924" t="inlineStr">
        <is>
          <t>2014</t>
        </is>
      </c>
      <c r="F924" t="inlineStr">
        <is>
          <t>김유정</t>
        </is>
      </c>
      <c r="G924" t="inlineStr">
        <is>
          <t>1998-08-17</t>
        </is>
      </c>
      <c r="H924" t="inlineStr">
        <is>
          <t>19980817</t>
        </is>
      </c>
      <c r="I924" t="inlineStr">
        <is>
          <t>3</t>
        </is>
      </c>
      <c r="J924" t="inlineStr">
        <is>
          <t>화성/소분</t>
        </is>
      </c>
      <c r="K924" t="inlineStr">
        <is>
          <t>512-2592</t>
        </is>
      </c>
      <c r="L924" t="inlineStr"/>
      <c r="M924" t="inlineStr">
        <is>
          <t>경기도 화성시 향남읍 제약공단3길 57</t>
        </is>
      </c>
      <c r="N924" t="inlineStr">
        <is>
          <t>경기도 화성시 향남읍 제약공단3길 57</t>
        </is>
      </c>
      <c r="O924" t="inlineStr">
        <is>
          <t>경기도</t>
        </is>
      </c>
      <c r="P924" t="inlineStr">
        <is>
          <t>화성시</t>
        </is>
      </c>
      <c r="Q924" t="inlineStr">
        <is>
          <t>Y</t>
        </is>
      </c>
      <c r="R924" t="n">
        <v>83</v>
      </c>
    </row>
    <row r="925">
      <c r="A925" t="n">
        <v>924</v>
      </c>
      <c r="B925" t="inlineStr">
        <is>
          <t>(주)피피디</t>
        </is>
      </c>
      <c r="C925" t="inlineStr">
        <is>
          <t>피피디</t>
        </is>
      </c>
      <c r="D925" t="inlineStr">
        <is>
          <t>의약품</t>
        </is>
      </c>
      <c r="E925" t="inlineStr">
        <is>
          <t>347</t>
        </is>
      </c>
      <c r="F925" t="inlineStr">
        <is>
          <t>우상규</t>
        </is>
      </c>
      <c r="G925" t="inlineStr">
        <is>
          <t>2014-07-29</t>
        </is>
      </c>
      <c r="H925" t="inlineStr">
        <is>
          <t>20140729</t>
        </is>
      </c>
      <c r="I925" t="inlineStr">
        <is>
          <t>1</t>
        </is>
      </c>
      <c r="J925" t="inlineStr">
        <is>
          <t>(주)피피디</t>
        </is>
      </c>
      <c r="K925" t="inlineStr">
        <is>
          <t>1644-7176</t>
        </is>
      </c>
      <c r="L925" t="inlineStr">
        <is>
          <t>서울특별시 금천구 디지털로9길 56 코오롱테크노밸리</t>
        </is>
      </c>
      <c r="M925" t="inlineStr">
        <is>
          <t>703호</t>
        </is>
      </c>
      <c r="N925" t="inlineStr">
        <is>
          <t>서울특별시 금천구 디지털로9길 56 코오롱테크노밸리 703호</t>
        </is>
      </c>
      <c r="O925" t="inlineStr">
        <is>
          <t>서울특별시</t>
        </is>
      </c>
      <c r="P925" t="inlineStr">
        <is>
          <t>금천구</t>
        </is>
      </c>
      <c r="Q925" t="inlineStr">
        <is>
          <t>N</t>
        </is>
      </c>
      <c r="R925" t="n">
        <v>0</v>
      </c>
    </row>
    <row r="926">
      <c r="A926" t="n">
        <v>925</v>
      </c>
      <c r="B926" t="inlineStr">
        <is>
          <t>우성제약(주)</t>
        </is>
      </c>
      <c r="C926" t="inlineStr">
        <is>
          <t>우성제약</t>
        </is>
      </c>
      <c r="D926" t="inlineStr">
        <is>
          <t>의약품</t>
        </is>
      </c>
      <c r="E926" t="inlineStr">
        <is>
          <t>2159</t>
        </is>
      </c>
      <c r="F926" t="inlineStr">
        <is>
          <t>조진숙</t>
        </is>
      </c>
      <c r="G926" t="inlineStr">
        <is>
          <t>2000-12-11</t>
        </is>
      </c>
      <c r="H926" t="inlineStr">
        <is>
          <t>20001211</t>
        </is>
      </c>
      <c r="I926" t="inlineStr">
        <is>
          <t>1</t>
        </is>
      </c>
      <c r="J926" t="inlineStr">
        <is>
          <t>군위</t>
        </is>
      </c>
      <c r="K926" t="inlineStr">
        <is>
          <t>054-382-8902</t>
        </is>
      </c>
      <c r="L926" t="inlineStr">
        <is>
          <t>경상북도 군위군 우보면 동부로 1666</t>
        </is>
      </c>
      <c r="M926" t="inlineStr"/>
      <c r="N926" t="inlineStr">
        <is>
          <t>경상북도 군위군 우보면 동부로 1666</t>
        </is>
      </c>
      <c r="O926" t="inlineStr">
        <is>
          <t>경상북도</t>
        </is>
      </c>
      <c r="P926" t="inlineStr">
        <is>
          <t>군위군</t>
        </is>
      </c>
      <c r="Q926" t="inlineStr">
        <is>
          <t>N</t>
        </is>
      </c>
      <c r="R926" t="n">
        <v>0</v>
      </c>
    </row>
    <row r="927">
      <c r="A927" t="n">
        <v>926</v>
      </c>
      <c r="B927" t="inlineStr">
        <is>
          <t>한국특수가스(주)</t>
        </is>
      </c>
      <c r="C927" t="inlineStr">
        <is>
          <t>한국특수가스</t>
        </is>
      </c>
      <c r="D927" t="inlineStr">
        <is>
          <t>의약품</t>
        </is>
      </c>
      <c r="E927" t="inlineStr">
        <is>
          <t>1909</t>
        </is>
      </c>
      <c r="F927" t="inlineStr">
        <is>
          <t>김진선</t>
        </is>
      </c>
      <c r="G927" t="inlineStr">
        <is>
          <t>1996-05-16</t>
        </is>
      </c>
      <c r="H927" t="inlineStr">
        <is>
          <t>19960516</t>
        </is>
      </c>
      <c r="I927" t="inlineStr">
        <is>
          <t>4</t>
        </is>
      </c>
      <c r="J927" t="inlineStr">
        <is>
          <t>한국특수가스(주) 군산사업장</t>
        </is>
      </c>
      <c r="K927" t="inlineStr"/>
      <c r="L927" t="inlineStr">
        <is>
          <t>전북특별자치도 군산시 외항1길 32-12</t>
        </is>
      </c>
      <c r="M927" t="inlineStr"/>
      <c r="N927" t="inlineStr">
        <is>
          <t>전북특별자치도 군산시 외항1길 32-12</t>
        </is>
      </c>
      <c r="O927" t="inlineStr">
        <is>
          <t>전북특별자치도</t>
        </is>
      </c>
      <c r="P927" t="inlineStr">
        <is>
          <t>군산시</t>
        </is>
      </c>
      <c r="Q927" t="inlineStr">
        <is>
          <t>Y</t>
        </is>
      </c>
      <c r="R927" t="n">
        <v>20</v>
      </c>
    </row>
    <row r="928">
      <c r="A928" t="n">
        <v>927</v>
      </c>
      <c r="B928" t="inlineStr">
        <is>
          <t>한국휴텍스제약(주)</t>
        </is>
      </c>
      <c r="C928" t="inlineStr">
        <is>
          <t>한국휴텍스제약</t>
        </is>
      </c>
      <c r="D928" t="inlineStr">
        <is>
          <t>의약품</t>
        </is>
      </c>
      <c r="E928" t="inlineStr">
        <is>
          <t>1666</t>
        </is>
      </c>
      <c r="F928" t="inlineStr">
        <is>
          <t>이상일</t>
        </is>
      </c>
      <c r="G928" t="inlineStr">
        <is>
          <t>1986-09-15</t>
        </is>
      </c>
      <c r="H928" t="inlineStr">
        <is>
          <t>19860915</t>
        </is>
      </c>
      <c r="I928" t="inlineStr">
        <is>
          <t>4</t>
        </is>
      </c>
      <c r="J928" t="inlineStr">
        <is>
          <t>3공장</t>
        </is>
      </c>
      <c r="K928" t="inlineStr"/>
      <c r="L928" t="inlineStr">
        <is>
          <t>경기도 안양시 만안구 전파로24번길 93</t>
        </is>
      </c>
      <c r="M928" t="inlineStr">
        <is>
          <t>4층일부, 1층일부(보관소)</t>
        </is>
      </c>
      <c r="N928" t="inlineStr">
        <is>
          <t>경기도 안양시 만안구 전파로24번길 93 4층일부, 1층일부(보관소)</t>
        </is>
      </c>
      <c r="O928" t="inlineStr">
        <is>
          <t>경기도</t>
        </is>
      </c>
      <c r="P928" t="inlineStr">
        <is>
          <t>안양시</t>
        </is>
      </c>
      <c r="Q928" t="inlineStr">
        <is>
          <t>Y</t>
        </is>
      </c>
      <c r="R928" t="n">
        <v>84</v>
      </c>
    </row>
    <row r="929">
      <c r="A929" t="n">
        <v>928</v>
      </c>
      <c r="B929" t="inlineStr">
        <is>
          <t>대연제약</t>
        </is>
      </c>
      <c r="C929" t="inlineStr">
        <is>
          <t>대연제약</t>
        </is>
      </c>
      <c r="D929" t="inlineStr">
        <is>
          <t>의약품</t>
        </is>
      </c>
      <c r="E929" t="inlineStr">
        <is>
          <t>1936</t>
        </is>
      </c>
      <c r="F929" t="inlineStr">
        <is>
          <t>김충환</t>
        </is>
      </c>
      <c r="G929" t="inlineStr">
        <is>
          <t>1996-08-14</t>
        </is>
      </c>
      <c r="H929" t="inlineStr">
        <is>
          <t>19960814</t>
        </is>
      </c>
      <c r="I929" t="inlineStr">
        <is>
          <t>1</t>
        </is>
      </c>
      <c r="J929" t="inlineStr">
        <is>
          <t>대연제약</t>
        </is>
      </c>
      <c r="K929" t="inlineStr"/>
      <c r="L929" t="inlineStr">
        <is>
          <t>인천광역시 남동구 남동대로 394</t>
        </is>
      </c>
      <c r="M929" t="inlineStr"/>
      <c r="N929" t="inlineStr">
        <is>
          <t>인천광역시 남동구 남동대로 394</t>
        </is>
      </c>
      <c r="O929" t="inlineStr">
        <is>
          <t>인천광역시</t>
        </is>
      </c>
      <c r="P929" t="inlineStr">
        <is>
          <t>남동구</t>
        </is>
      </c>
      <c r="Q929" t="inlineStr">
        <is>
          <t>N</t>
        </is>
      </c>
      <c r="R929" t="n">
        <v>0</v>
      </c>
    </row>
    <row r="930">
      <c r="A930" t="n">
        <v>929</v>
      </c>
      <c r="B930" t="inlineStr">
        <is>
          <t>에스케이바이오사이언스(주)</t>
        </is>
      </c>
      <c r="C930" t="inlineStr">
        <is>
          <t>에스케이바이오사이언스</t>
        </is>
      </c>
      <c r="D930" t="inlineStr">
        <is>
          <t>의약품</t>
        </is>
      </c>
      <c r="E930" t="inlineStr">
        <is>
          <t>97</t>
        </is>
      </c>
      <c r="F930" t="inlineStr">
        <is>
          <t>안재용</t>
        </is>
      </c>
      <c r="G930" t="inlineStr">
        <is>
          <t>2018-07-16</t>
        </is>
      </c>
      <c r="H930" t="inlineStr">
        <is>
          <t>20180716</t>
        </is>
      </c>
      <c r="I930" t="inlineStr">
        <is>
          <t>1</t>
        </is>
      </c>
      <c r="J930" t="inlineStr">
        <is>
          <t>L HOUSE</t>
        </is>
      </c>
      <c r="K930" t="inlineStr"/>
      <c r="L930" t="inlineStr">
        <is>
          <t>경상북도 안동시 풍산읍 산업단지길 150</t>
        </is>
      </c>
      <c r="M930" t="inlineStr"/>
      <c r="N930" t="inlineStr">
        <is>
          <t>경상북도 안동시 풍산읍 산업단지길 150</t>
        </is>
      </c>
      <c r="O930" t="inlineStr">
        <is>
          <t>경상북도</t>
        </is>
      </c>
      <c r="P930" t="inlineStr">
        <is>
          <t>안동시</t>
        </is>
      </c>
      <c r="Q930" t="inlineStr">
        <is>
          <t>N</t>
        </is>
      </c>
      <c r="R930" t="n">
        <v>0</v>
      </c>
    </row>
    <row r="931">
      <c r="A931" t="n">
        <v>930</v>
      </c>
      <c r="B931" t="inlineStr">
        <is>
          <t>(주)세화당</t>
        </is>
      </c>
      <c r="C931" t="inlineStr">
        <is>
          <t>세화당</t>
        </is>
      </c>
      <c r="D931" t="inlineStr">
        <is>
          <t>의약품</t>
        </is>
      </c>
      <c r="E931" t="inlineStr">
        <is>
          <t>1644</t>
        </is>
      </c>
      <c r="F931" t="inlineStr">
        <is>
          <t>정경훈</t>
        </is>
      </c>
      <c r="G931" t="inlineStr">
        <is>
          <t>1984-06-07</t>
        </is>
      </c>
      <c r="H931" t="inlineStr">
        <is>
          <t>19840607</t>
        </is>
      </c>
      <c r="I931" t="inlineStr">
        <is>
          <t>1</t>
        </is>
      </c>
      <c r="J931" t="inlineStr">
        <is>
          <t>화순</t>
        </is>
      </c>
      <c r="K931" t="inlineStr">
        <is>
          <t>061-371-3355</t>
        </is>
      </c>
      <c r="L931" t="inlineStr">
        <is>
          <t>전라남도 화순군 동면 먹골길 11</t>
        </is>
      </c>
      <c r="M931" t="inlineStr"/>
      <c r="N931" t="inlineStr">
        <is>
          <t>전라남도 화순군 동면 먹골길 11</t>
        </is>
      </c>
      <c r="O931" t="inlineStr">
        <is>
          <t>전라남도</t>
        </is>
      </c>
      <c r="P931" t="inlineStr">
        <is>
          <t>화순군</t>
        </is>
      </c>
      <c r="Q931" t="inlineStr">
        <is>
          <t>N</t>
        </is>
      </c>
      <c r="R931" t="n">
        <v>0</v>
      </c>
    </row>
    <row r="932">
      <c r="A932" t="n">
        <v>931</v>
      </c>
      <c r="B932" t="inlineStr">
        <is>
          <t>주식회사군포가스</t>
        </is>
      </c>
      <c r="C932" t="inlineStr">
        <is>
          <t>군포가스</t>
        </is>
      </c>
      <c r="D932" t="inlineStr">
        <is>
          <t>의약품</t>
        </is>
      </c>
      <c r="E932" t="inlineStr">
        <is>
          <t>369</t>
        </is>
      </c>
      <c r="F932" t="inlineStr">
        <is>
          <t>전유경</t>
        </is>
      </c>
      <c r="G932" t="inlineStr">
        <is>
          <t>2018-02-14</t>
        </is>
      </c>
      <c r="H932" t="inlineStr">
        <is>
          <t>20180214</t>
        </is>
      </c>
      <c r="I932" t="inlineStr">
        <is>
          <t>1</t>
        </is>
      </c>
      <c r="J932" t="inlineStr">
        <is>
          <t>공장</t>
        </is>
      </c>
      <c r="K932" t="inlineStr">
        <is>
          <t>031-454-4001</t>
        </is>
      </c>
      <c r="L932" t="inlineStr">
        <is>
          <t>경기도 군포시 산본로86번길 41</t>
        </is>
      </c>
      <c r="M932" t="inlineStr">
        <is>
          <t>(당정동)</t>
        </is>
      </c>
      <c r="N932" t="inlineStr">
        <is>
          <t>경기도 군포시 산본로86번길 41 (당정동)</t>
        </is>
      </c>
      <c r="O932" t="inlineStr">
        <is>
          <t>경기도</t>
        </is>
      </c>
      <c r="P932" t="inlineStr">
        <is>
          <t>군포시</t>
        </is>
      </c>
      <c r="Q932" t="inlineStr">
        <is>
          <t>Y</t>
        </is>
      </c>
      <c r="R932" t="n">
        <v>22</v>
      </c>
    </row>
    <row r="933">
      <c r="A933" t="n">
        <v>932</v>
      </c>
      <c r="B933" t="inlineStr">
        <is>
          <t>대웅바이오(주)</t>
        </is>
      </c>
      <c r="C933" t="inlineStr">
        <is>
          <t>대웅바이오</t>
        </is>
      </c>
      <c r="D933" t="inlineStr">
        <is>
          <t>의약품</t>
        </is>
      </c>
      <c r="E933" t="inlineStr">
        <is>
          <t>1632</t>
        </is>
      </c>
      <c r="F933" t="inlineStr">
        <is>
          <t>진성곤</t>
        </is>
      </c>
      <c r="G933" t="inlineStr">
        <is>
          <t>1983-08-27</t>
        </is>
      </c>
      <c r="H933" t="inlineStr">
        <is>
          <t>19830827</t>
        </is>
      </c>
      <c r="I933" t="inlineStr">
        <is>
          <t>4</t>
        </is>
      </c>
      <c r="J933" t="inlineStr">
        <is>
          <t>하길</t>
        </is>
      </c>
      <c r="K933" t="inlineStr"/>
      <c r="L933" t="inlineStr">
        <is>
          <t>경기도 화성시 만세구 향남읍 제약단지로 29</t>
        </is>
      </c>
      <c r="M933" t="inlineStr"/>
      <c r="N933" t="inlineStr">
        <is>
          <t>경기도 화성시 만세구 향남읍 제약단지로 29</t>
        </is>
      </c>
      <c r="O933" t="inlineStr">
        <is>
          <t>경기도</t>
        </is>
      </c>
      <c r="P933" t="inlineStr">
        <is>
          <t>화성시</t>
        </is>
      </c>
      <c r="Q933" t="inlineStr">
        <is>
          <t>N</t>
        </is>
      </c>
      <c r="R933" t="n">
        <v>0</v>
      </c>
    </row>
    <row r="934">
      <c r="A934" t="n">
        <v>933</v>
      </c>
      <c r="B934" t="inlineStr">
        <is>
          <t>태경케미컬(주)</t>
        </is>
      </c>
      <c r="C934" t="inlineStr">
        <is>
          <t>태경케미컬</t>
        </is>
      </c>
      <c r="D934" t="inlineStr">
        <is>
          <t>의약품</t>
        </is>
      </c>
      <c r="E934" t="inlineStr">
        <is>
          <t>2644</t>
        </is>
      </c>
      <c r="F934" t="inlineStr">
        <is>
          <t>박기환</t>
        </is>
      </c>
      <c r="G934" t="inlineStr">
        <is>
          <t>2017-08-07</t>
        </is>
      </c>
      <c r="H934" t="inlineStr">
        <is>
          <t>20170807</t>
        </is>
      </c>
      <c r="I934" t="inlineStr">
        <is>
          <t>1</t>
        </is>
      </c>
      <c r="J934" t="inlineStr">
        <is>
          <t>1공장</t>
        </is>
      </c>
      <c r="K934" t="inlineStr">
        <is>
          <t>041-681-3191</t>
        </is>
      </c>
      <c r="L934" t="inlineStr">
        <is>
          <t>충청남도 서산시 대산읍 독곶2로 96-43</t>
        </is>
      </c>
      <c r="M934" t="inlineStr"/>
      <c r="N934" t="inlineStr">
        <is>
          <t>충청남도 서산시 대산읍 독곶2로 96-43</t>
        </is>
      </c>
      <c r="O934" t="inlineStr">
        <is>
          <t>충청남도</t>
        </is>
      </c>
      <c r="P934" t="inlineStr">
        <is>
          <t>서산시</t>
        </is>
      </c>
      <c r="Q934" t="inlineStr">
        <is>
          <t>N</t>
        </is>
      </c>
      <c r="R934" t="n">
        <v>0</v>
      </c>
    </row>
    <row r="935">
      <c r="A935" t="n">
        <v>934</v>
      </c>
      <c r="B935" t="inlineStr">
        <is>
          <t>린데코리아주식회사</t>
        </is>
      </c>
      <c r="C935" t="inlineStr">
        <is>
          <t>린데코리아</t>
        </is>
      </c>
      <c r="D935" t="inlineStr">
        <is>
          <t>의약품</t>
        </is>
      </c>
      <c r="E935" t="inlineStr">
        <is>
          <t>1615</t>
        </is>
      </c>
      <c r="F935" t="inlineStr">
        <is>
          <t>성백석</t>
        </is>
      </c>
      <c r="G935" t="inlineStr">
        <is>
          <t>1981-12-26</t>
        </is>
      </c>
      <c r="H935" t="inlineStr">
        <is>
          <t>19811226</t>
        </is>
      </c>
      <c r="I935" t="inlineStr">
        <is>
          <t>1</t>
        </is>
      </c>
      <c r="J935" t="inlineStr">
        <is>
          <t>화성</t>
        </is>
      </c>
      <c r="K935" t="inlineStr">
        <is>
          <t>031-370-8100</t>
        </is>
      </c>
      <c r="L935" t="inlineStr">
        <is>
          <t>경기도 화성시 동탄면 영천로 111-28</t>
        </is>
      </c>
      <c r="M935" t="inlineStr"/>
      <c r="N935" t="inlineStr">
        <is>
          <t>경기도 화성시 동탄면 영천로 111-28</t>
        </is>
      </c>
      <c r="O935" t="inlineStr">
        <is>
          <t>경기도</t>
        </is>
      </c>
      <c r="P935" t="inlineStr">
        <is>
          <t>화성시</t>
        </is>
      </c>
      <c r="Q935" t="inlineStr">
        <is>
          <t>N</t>
        </is>
      </c>
      <c r="R935" t="n">
        <v>0</v>
      </c>
    </row>
    <row r="936">
      <c r="A936" t="n">
        <v>935</v>
      </c>
      <c r="B936" t="inlineStr">
        <is>
          <t>한올바이오파마(주)</t>
        </is>
      </c>
      <c r="C936" t="inlineStr">
        <is>
          <t>한올바이오파마</t>
        </is>
      </c>
      <c r="D936" t="inlineStr">
        <is>
          <t>의약품</t>
        </is>
      </c>
      <c r="E936" t="inlineStr">
        <is>
          <t>1297</t>
        </is>
      </c>
      <c r="F936" t="inlineStr">
        <is>
          <t>박승국</t>
        </is>
      </c>
      <c r="G936" t="inlineStr">
        <is>
          <t>1955-02-01</t>
        </is>
      </c>
      <c r="H936" t="inlineStr">
        <is>
          <t>19550201</t>
        </is>
      </c>
      <c r="I936" t="inlineStr">
        <is>
          <t>1</t>
        </is>
      </c>
      <c r="J936" t="inlineStr">
        <is>
          <t>대전</t>
        </is>
      </c>
      <c r="K936" t="inlineStr">
        <is>
          <t>042-454-6105</t>
        </is>
      </c>
      <c r="L936" t="inlineStr">
        <is>
          <t>대전광역시 대덕구 상서당1길 43</t>
        </is>
      </c>
      <c r="M936" t="inlineStr"/>
      <c r="N936" t="inlineStr">
        <is>
          <t>대전광역시 대덕구 상서당1길 43</t>
        </is>
      </c>
      <c r="O936" t="inlineStr">
        <is>
          <t>대전광역시</t>
        </is>
      </c>
      <c r="P936" t="inlineStr">
        <is>
          <t>대덕구</t>
        </is>
      </c>
      <c r="Q936" t="inlineStr">
        <is>
          <t>Y</t>
        </is>
      </c>
      <c r="R936" t="n">
        <v>23</v>
      </c>
    </row>
    <row r="937">
      <c r="A937" t="n">
        <v>936</v>
      </c>
      <c r="B937" t="inlineStr">
        <is>
          <t>(주)티제이씨라이프</t>
        </is>
      </c>
      <c r="C937" t="inlineStr">
        <is>
          <t>티제이씨라이프</t>
        </is>
      </c>
      <c r="D937" t="inlineStr">
        <is>
          <t>의약품</t>
        </is>
      </c>
      <c r="E937" t="inlineStr">
        <is>
          <t>362</t>
        </is>
      </c>
      <c r="F937" t="inlineStr">
        <is>
          <t>임경락</t>
        </is>
      </c>
      <c r="G937" t="inlineStr">
        <is>
          <t>2017-03-06</t>
        </is>
      </c>
      <c r="H937" t="inlineStr">
        <is>
          <t>20170306</t>
        </is>
      </c>
      <c r="I937" t="inlineStr">
        <is>
          <t>1</t>
        </is>
      </c>
      <c r="J937" t="inlineStr">
        <is>
          <t>티제이씨라이프</t>
        </is>
      </c>
      <c r="K937" t="inlineStr">
        <is>
          <t>02-6949-1012</t>
        </is>
      </c>
      <c r="L937" t="inlineStr">
        <is>
          <t>서울특별시 금천구 가산디지털1로 33-33</t>
        </is>
      </c>
      <c r="M937" t="inlineStr">
        <is>
          <t>대륭테크노타운2차 801-A호, 302호</t>
        </is>
      </c>
      <c r="N937" t="inlineStr">
        <is>
          <t>서울특별시 금천구 가산디지털1로 33-33 대륭테크노타운2차 801-A호, 302호</t>
        </is>
      </c>
      <c r="O937" t="inlineStr">
        <is>
          <t>서울특별시</t>
        </is>
      </c>
      <c r="P937" t="inlineStr">
        <is>
          <t>금천구</t>
        </is>
      </c>
      <c r="Q937" t="inlineStr">
        <is>
          <t>N</t>
        </is>
      </c>
      <c r="R937" t="n">
        <v>0</v>
      </c>
    </row>
    <row r="938">
      <c r="A938" t="n">
        <v>937</v>
      </c>
      <c r="B938" t="inlineStr">
        <is>
          <t>제이더블유중외제약(주)</t>
        </is>
      </c>
      <c r="C938" t="inlineStr">
        <is>
          <t>제이더블유중외제약</t>
        </is>
      </c>
      <c r="D938" t="inlineStr">
        <is>
          <t>의약품</t>
        </is>
      </c>
      <c r="E938" t="inlineStr">
        <is>
          <t>1302</t>
        </is>
      </c>
      <c r="F938" t="inlineStr">
        <is>
          <t>함은경</t>
        </is>
      </c>
      <c r="G938" t="inlineStr">
        <is>
          <t>1955-04-14</t>
        </is>
      </c>
      <c r="H938" t="inlineStr">
        <is>
          <t>19550414</t>
        </is>
      </c>
      <c r="I938" t="inlineStr">
        <is>
          <t>4</t>
        </is>
      </c>
      <c r="J938" t="inlineStr">
        <is>
          <t>당진</t>
        </is>
      </c>
      <c r="K938" t="inlineStr">
        <is>
          <t>02-840-6828</t>
        </is>
      </c>
      <c r="L938" t="inlineStr">
        <is>
          <t>충청남도 당진시 송악읍 한진1길 56</t>
        </is>
      </c>
      <c r="M938" t="inlineStr"/>
      <c r="N938" t="inlineStr">
        <is>
          <t>충청남도 당진시 송악읍 한진1길 56</t>
        </is>
      </c>
      <c r="O938" t="inlineStr">
        <is>
          <t>충청남도</t>
        </is>
      </c>
      <c r="P938" t="inlineStr">
        <is>
          <t>당진시</t>
        </is>
      </c>
      <c r="Q938" t="inlineStr">
        <is>
          <t>Y</t>
        </is>
      </c>
      <c r="R938" t="n">
        <v>24</v>
      </c>
    </row>
    <row r="939">
      <c r="A939" t="n">
        <v>938</v>
      </c>
      <c r="B939" t="inlineStr">
        <is>
          <t>일양약품(주)</t>
        </is>
      </c>
      <c r="C939" t="inlineStr">
        <is>
          <t>일양약품</t>
        </is>
      </c>
      <c r="D939" t="inlineStr">
        <is>
          <t>의약품</t>
        </is>
      </c>
      <c r="E939" t="inlineStr">
        <is>
          <t>1336</t>
        </is>
      </c>
      <c r="F939" t="inlineStr">
        <is>
          <t>정유석</t>
        </is>
      </c>
      <c r="G939" t="inlineStr">
        <is>
          <t>1957-05-25</t>
        </is>
      </c>
      <c r="H939" t="inlineStr">
        <is>
          <t>19570525</t>
        </is>
      </c>
      <c r="I939" t="inlineStr">
        <is>
          <t>3</t>
        </is>
      </c>
      <c r="J939" t="inlineStr">
        <is>
          <t>용인</t>
        </is>
      </c>
      <c r="K939" t="inlineStr">
        <is>
          <t>031-281-7851</t>
        </is>
      </c>
      <c r="L939" t="inlineStr"/>
      <c r="M939" t="inlineStr">
        <is>
          <t>경기도 용인시 기흥구 하갈로 110</t>
        </is>
      </c>
      <c r="N939" t="inlineStr">
        <is>
          <t>경기도 용인시 기흥구 하갈로 110</t>
        </is>
      </c>
      <c r="O939" t="inlineStr">
        <is>
          <t>경기도</t>
        </is>
      </c>
      <c r="P939" t="inlineStr">
        <is>
          <t>용인시</t>
        </is>
      </c>
      <c r="Q939" t="inlineStr">
        <is>
          <t>N</t>
        </is>
      </c>
      <c r="R939" t="n">
        <v>0</v>
      </c>
    </row>
    <row r="940">
      <c r="A940" t="n">
        <v>939</v>
      </c>
      <c r="B940" t="inlineStr">
        <is>
          <t>(주)대웅제약</t>
        </is>
      </c>
      <c r="C940" t="inlineStr">
        <is>
          <t>대웅제약</t>
        </is>
      </c>
      <c r="D940" t="inlineStr">
        <is>
          <t>의약품</t>
        </is>
      </c>
      <c r="E940" t="inlineStr">
        <is>
          <t>1289</t>
        </is>
      </c>
      <c r="F940" t="inlineStr">
        <is>
          <t>박성수</t>
        </is>
      </c>
      <c r="G940" t="inlineStr">
        <is>
          <t>1954-11-09</t>
        </is>
      </c>
      <c r="H940" t="inlineStr">
        <is>
          <t>19541109</t>
        </is>
      </c>
      <c r="I940" t="inlineStr">
        <is>
          <t>1</t>
        </is>
      </c>
      <c r="J940" t="inlineStr">
        <is>
          <t>성남</t>
        </is>
      </c>
      <c r="K940" t="inlineStr">
        <is>
          <t>031-741-7700</t>
        </is>
      </c>
      <c r="L940" t="inlineStr">
        <is>
          <t>경기도 성남시 중원구 갈마치로 244</t>
        </is>
      </c>
      <c r="M940" t="inlineStr"/>
      <c r="N940" t="inlineStr">
        <is>
          <t>경기도 성남시 중원구 갈마치로 244</t>
        </is>
      </c>
      <c r="O940" t="inlineStr">
        <is>
          <t>경기도</t>
        </is>
      </c>
      <c r="P940" t="inlineStr">
        <is>
          <t>성남시</t>
        </is>
      </c>
      <c r="Q940" t="inlineStr">
        <is>
          <t>N</t>
        </is>
      </c>
      <c r="R940" t="n">
        <v>0</v>
      </c>
    </row>
    <row r="941">
      <c r="A941" t="n">
        <v>940</v>
      </c>
      <c r="B941" t="inlineStr">
        <is>
          <t>(주)바이넥스</t>
        </is>
      </c>
      <c r="C941" t="inlineStr">
        <is>
          <t>바이넥스</t>
        </is>
      </c>
      <c r="D941" t="inlineStr">
        <is>
          <t>의약품</t>
        </is>
      </c>
      <c r="E941" t="inlineStr">
        <is>
          <t>1358</t>
        </is>
      </c>
      <c r="F941" t="inlineStr">
        <is>
          <t>이혁종</t>
        </is>
      </c>
      <c r="G941" t="inlineStr">
        <is>
          <t>1957-12-17</t>
        </is>
      </c>
      <c r="H941" t="inlineStr">
        <is>
          <t>19571217</t>
        </is>
      </c>
      <c r="I941" t="inlineStr">
        <is>
          <t>2</t>
        </is>
      </c>
      <c r="J941" t="inlineStr">
        <is>
          <t>인천</t>
        </is>
      </c>
      <c r="K941" t="inlineStr">
        <is>
          <t>032-850-3013</t>
        </is>
      </c>
      <c r="L941" t="inlineStr">
        <is>
          <t>인천광역시 연수구 갯벌로 3</t>
        </is>
      </c>
      <c r="M941" t="inlineStr"/>
      <c r="N941" t="inlineStr">
        <is>
          <t>인천광역시 연수구 갯벌로 3</t>
        </is>
      </c>
      <c r="O941" t="inlineStr">
        <is>
          <t>인천광역시</t>
        </is>
      </c>
      <c r="P941" t="inlineStr">
        <is>
          <t>연수구</t>
        </is>
      </c>
      <c r="Q941" t="inlineStr">
        <is>
          <t>N</t>
        </is>
      </c>
      <c r="R941" t="n">
        <v>0</v>
      </c>
    </row>
    <row r="942">
      <c r="A942" t="n">
        <v>941</v>
      </c>
      <c r="B942" t="inlineStr">
        <is>
          <t>동아에스티(주)</t>
        </is>
      </c>
      <c r="C942" t="inlineStr">
        <is>
          <t>동아에스티</t>
        </is>
      </c>
      <c r="D942" t="inlineStr">
        <is>
          <t>의약품</t>
        </is>
      </c>
      <c r="E942" t="inlineStr">
        <is>
          <t>1290</t>
        </is>
      </c>
      <c r="F942" t="inlineStr">
        <is>
          <t>정재훈</t>
        </is>
      </c>
      <c r="G942" t="inlineStr">
        <is>
          <t>1954-12-13</t>
        </is>
      </c>
      <c r="H942" t="inlineStr">
        <is>
          <t>19541213</t>
        </is>
      </c>
      <c r="I942" t="inlineStr">
        <is>
          <t>4</t>
        </is>
      </c>
      <c r="J942" t="inlineStr">
        <is>
          <t>보관소</t>
        </is>
      </c>
      <c r="K942" t="inlineStr">
        <is>
          <t>02-920-8208</t>
        </is>
      </c>
      <c r="L942" t="inlineStr">
        <is>
          <t>충청남도 천안시 서북구 백석공단1로 200-23</t>
        </is>
      </c>
      <c r="M942" t="inlineStr">
        <is>
          <t>(2동 1B층, 11동 1층 일부)</t>
        </is>
      </c>
      <c r="N942" t="inlineStr">
        <is>
          <t>충청남도 천안시 서북구 백석공단1로 200-23 (2동 1B층, 11동 1층 일부)</t>
        </is>
      </c>
      <c r="O942" t="inlineStr">
        <is>
          <t>충청남도</t>
        </is>
      </c>
      <c r="P942" t="inlineStr">
        <is>
          <t>천안시</t>
        </is>
      </c>
      <c r="Q942" t="inlineStr">
        <is>
          <t>N</t>
        </is>
      </c>
      <c r="R942" t="n">
        <v>0</v>
      </c>
    </row>
    <row r="943">
      <c r="A943" t="n">
        <v>942</v>
      </c>
      <c r="B943" t="inlineStr">
        <is>
          <t>(주)메디카코리아</t>
        </is>
      </c>
      <c r="C943" t="inlineStr">
        <is>
          <t>메디카코리아</t>
        </is>
      </c>
      <c r="D943" t="inlineStr">
        <is>
          <t>의약품</t>
        </is>
      </c>
      <c r="E943" t="inlineStr">
        <is>
          <t>1317</t>
        </is>
      </c>
      <c r="F943" t="inlineStr">
        <is>
          <t>김현식</t>
        </is>
      </c>
      <c r="G943" t="inlineStr">
        <is>
          <t>1956-01-29</t>
        </is>
      </c>
      <c r="H943" t="inlineStr">
        <is>
          <t>19560129</t>
        </is>
      </c>
      <c r="I943" t="inlineStr">
        <is>
          <t>1</t>
        </is>
      </c>
      <c r="J943" t="inlineStr">
        <is>
          <t>화성</t>
        </is>
      </c>
      <c r="K943" t="inlineStr">
        <is>
          <t>02-2025-0214</t>
        </is>
      </c>
      <c r="L943" t="inlineStr">
        <is>
          <t>경기도 화성시 만세구 향남읍 제약공단4길 96</t>
        </is>
      </c>
      <c r="M943" t="inlineStr"/>
      <c r="N943" t="inlineStr">
        <is>
          <t>경기도 화성시 만세구 향남읍 제약공단4길 96</t>
        </is>
      </c>
      <c r="O943" t="inlineStr">
        <is>
          <t>경기도</t>
        </is>
      </c>
      <c r="P943" t="inlineStr">
        <is>
          <t>화성시</t>
        </is>
      </c>
      <c r="Q943" t="inlineStr">
        <is>
          <t>N</t>
        </is>
      </c>
      <c r="R943" t="n">
        <v>0</v>
      </c>
    </row>
    <row r="944">
      <c r="A944" t="n">
        <v>943</v>
      </c>
      <c r="B944" t="inlineStr">
        <is>
          <t>(주)중헌제약</t>
        </is>
      </c>
      <c r="C944" t="inlineStr">
        <is>
          <t>중헌제약</t>
        </is>
      </c>
      <c r="D944" t="inlineStr">
        <is>
          <t>의약품</t>
        </is>
      </c>
      <c r="E944" t="inlineStr">
        <is>
          <t>2631</t>
        </is>
      </c>
      <c r="F944" t="inlineStr">
        <is>
          <t>윤석준</t>
        </is>
      </c>
      <c r="G944" t="inlineStr">
        <is>
          <t>2016-04-18</t>
        </is>
      </c>
      <c r="H944" t="inlineStr">
        <is>
          <t>20160418</t>
        </is>
      </c>
      <c r="I944" t="inlineStr">
        <is>
          <t>1</t>
        </is>
      </c>
      <c r="J944" t="inlineStr">
        <is>
          <t>옥산공장</t>
        </is>
      </c>
      <c r="K944" t="inlineStr">
        <is>
          <t>043-711-2000//02-6929-3605</t>
        </is>
      </c>
      <c r="L944" t="inlineStr">
        <is>
          <t>충청북도 청주시 흥덕구 옥산면 옥산산단로 28 공장동</t>
        </is>
      </c>
      <c r="M944" t="inlineStr"/>
      <c r="N944" t="inlineStr">
        <is>
          <t>충청북도 청주시 흥덕구 옥산면 옥산산단로 28 공장동</t>
        </is>
      </c>
      <c r="O944" t="inlineStr">
        <is>
          <t>충청북도</t>
        </is>
      </c>
      <c r="P944" t="inlineStr">
        <is>
          <t>청주시</t>
        </is>
      </c>
      <c r="Q944" t="inlineStr">
        <is>
          <t>N</t>
        </is>
      </c>
      <c r="R944" t="n">
        <v>0</v>
      </c>
    </row>
    <row r="945">
      <c r="A945" t="n">
        <v>944</v>
      </c>
      <c r="B945" t="inlineStr">
        <is>
          <t>(주)다림바이오텍</t>
        </is>
      </c>
      <c r="C945" t="inlineStr">
        <is>
          <t>다림바이오텍</t>
        </is>
      </c>
      <c r="D945" t="inlineStr">
        <is>
          <t>의약품</t>
        </is>
      </c>
      <c r="E945" t="inlineStr">
        <is>
          <t>1308</t>
        </is>
      </c>
      <c r="F945" t="inlineStr">
        <is>
          <t>정종섭</t>
        </is>
      </c>
      <c r="G945" t="inlineStr">
        <is>
          <t>1955-09-15</t>
        </is>
      </c>
      <c r="H945" t="inlineStr">
        <is>
          <t>19550915</t>
        </is>
      </c>
      <c r="I945" t="inlineStr">
        <is>
          <t>1</t>
        </is>
      </c>
      <c r="J945" t="inlineStr">
        <is>
          <t>공장1</t>
        </is>
      </c>
      <c r="K945" t="inlineStr"/>
      <c r="L945" t="inlineStr">
        <is>
          <t>경기도 화성시 향남읍 제약공단3길 107</t>
        </is>
      </c>
      <c r="M945" t="inlineStr"/>
      <c r="N945" t="inlineStr">
        <is>
          <t>경기도 화성시 향남읍 제약공단3길 107</t>
        </is>
      </c>
      <c r="O945" t="inlineStr">
        <is>
          <t>경기도</t>
        </is>
      </c>
      <c r="P945" t="inlineStr">
        <is>
          <t>화성시</t>
        </is>
      </c>
      <c r="Q945" t="inlineStr">
        <is>
          <t>N</t>
        </is>
      </c>
      <c r="R945" t="n">
        <v>0</v>
      </c>
    </row>
    <row r="946">
      <c r="A946" t="n">
        <v>945</v>
      </c>
      <c r="B946" t="inlineStr">
        <is>
          <t>비티젠(주)</t>
        </is>
      </c>
      <c r="C946" t="inlineStr">
        <is>
          <t>비티젠</t>
        </is>
      </c>
      <c r="D946" t="inlineStr">
        <is>
          <t>의약품</t>
        </is>
      </c>
      <c r="E946" t="inlineStr">
        <is>
          <t>355</t>
        </is>
      </c>
      <c r="F946" t="inlineStr">
        <is>
          <t>이현민</t>
        </is>
      </c>
      <c r="G946" t="inlineStr">
        <is>
          <t>2015-09-24</t>
        </is>
      </c>
      <c r="H946" t="inlineStr">
        <is>
          <t>20150924</t>
        </is>
      </c>
      <c r="I946" t="inlineStr">
        <is>
          <t>1</t>
        </is>
      </c>
      <c r="J946" t="inlineStr">
        <is>
          <t>인천</t>
        </is>
      </c>
      <c r="K946" t="inlineStr">
        <is>
          <t>070-8636-1200</t>
        </is>
      </c>
      <c r="L946" t="inlineStr">
        <is>
          <t>인천광역시 연수구 지식기반로 45</t>
        </is>
      </c>
      <c r="M946" t="inlineStr">
        <is>
          <t>주1동</t>
        </is>
      </c>
      <c r="N946" t="inlineStr">
        <is>
          <t>인천광역시 연수구 지식기반로 45 주1동</t>
        </is>
      </c>
      <c r="O946" t="inlineStr">
        <is>
          <t>인천광역시</t>
        </is>
      </c>
      <c r="P946" t="inlineStr">
        <is>
          <t>연수구</t>
        </is>
      </c>
      <c r="Q946" t="inlineStr">
        <is>
          <t>N</t>
        </is>
      </c>
      <c r="R946" t="n">
        <v>0</v>
      </c>
    </row>
    <row r="947">
      <c r="A947" t="n">
        <v>946</v>
      </c>
      <c r="B947" t="inlineStr">
        <is>
          <t>선도산업(주)</t>
        </is>
      </c>
      <c r="C947" t="inlineStr">
        <is>
          <t>선도산업</t>
        </is>
      </c>
      <c r="D947" t="inlineStr">
        <is>
          <t>의약품</t>
        </is>
      </c>
      <c r="E947" t="inlineStr">
        <is>
          <t>2188</t>
        </is>
      </c>
      <c r="F947" t="inlineStr">
        <is>
          <t>이성철</t>
        </is>
      </c>
      <c r="G947" t="inlineStr">
        <is>
          <t>1998-10-21</t>
        </is>
      </c>
      <c r="H947" t="inlineStr">
        <is>
          <t>19981021</t>
        </is>
      </c>
      <c r="I947" t="inlineStr">
        <is>
          <t>3</t>
        </is>
      </c>
      <c r="J947" t="inlineStr">
        <is>
          <t>진천공장</t>
        </is>
      </c>
      <c r="K947" t="inlineStr"/>
      <c r="L947" t="inlineStr">
        <is>
          <t>충청북도 진천군 이월면 산수산단2로 241</t>
        </is>
      </c>
      <c r="M947" t="inlineStr"/>
      <c r="N947" t="inlineStr">
        <is>
          <t>충청북도 진천군 이월면 산수산단2로 241</t>
        </is>
      </c>
      <c r="O947" t="inlineStr">
        <is>
          <t>충청북도</t>
        </is>
      </c>
      <c r="P947" t="inlineStr">
        <is>
          <t>진천군</t>
        </is>
      </c>
      <c r="Q947" t="inlineStr">
        <is>
          <t>N</t>
        </is>
      </c>
      <c r="R947" t="n">
        <v>0</v>
      </c>
    </row>
    <row r="948">
      <c r="A948" t="n">
        <v>947</v>
      </c>
      <c r="B948" t="inlineStr">
        <is>
          <t>중부산업가스(주)</t>
        </is>
      </c>
      <c r="C948" t="inlineStr">
        <is>
          <t>중부산업가스</t>
        </is>
      </c>
      <c r="D948" t="inlineStr">
        <is>
          <t>의약품</t>
        </is>
      </c>
      <c r="E948" t="inlineStr">
        <is>
          <t>2030</t>
        </is>
      </c>
      <c r="F948" t="inlineStr">
        <is>
          <t>김장수</t>
        </is>
      </c>
      <c r="G948" t="inlineStr">
        <is>
          <t>1998-11-20</t>
        </is>
      </c>
      <c r="H948" t="inlineStr">
        <is>
          <t>19981120</t>
        </is>
      </c>
      <c r="I948" t="inlineStr">
        <is>
          <t>1</t>
        </is>
      </c>
      <c r="J948" t="inlineStr">
        <is>
          <t>청원</t>
        </is>
      </c>
      <c r="K948" t="inlineStr">
        <is>
          <t>044-275-2387-8</t>
        </is>
      </c>
      <c r="L948" t="inlineStr">
        <is>
          <t>세종특별자치시 부강면 시목부강로 622</t>
        </is>
      </c>
      <c r="M948" t="inlineStr"/>
      <c r="N948" t="inlineStr">
        <is>
          <t>세종특별자치시 부강면 시목부강로 622</t>
        </is>
      </c>
      <c r="O948" t="inlineStr">
        <is>
          <t>세종특별자치시</t>
        </is>
      </c>
      <c r="P948" t="inlineStr"/>
      <c r="Q948" t="inlineStr">
        <is>
          <t>N</t>
        </is>
      </c>
      <c r="R948" t="n">
        <v>0</v>
      </c>
    </row>
    <row r="949">
      <c r="A949" t="n">
        <v>948</v>
      </c>
      <c r="B949" t="inlineStr">
        <is>
          <t>영천약초도매시장주식회사</t>
        </is>
      </c>
      <c r="C949" t="inlineStr">
        <is>
          <t>영천약초도매시장</t>
        </is>
      </c>
      <c r="D949" t="inlineStr">
        <is>
          <t>의약품</t>
        </is>
      </c>
      <c r="E949" t="inlineStr">
        <is>
          <t>80</t>
        </is>
      </c>
      <c r="F949" t="inlineStr">
        <is>
          <t>정연주</t>
        </is>
      </c>
      <c r="G949" t="inlineStr">
        <is>
          <t>2015-04-16</t>
        </is>
      </c>
      <c r="H949" t="inlineStr">
        <is>
          <t>20150416</t>
        </is>
      </c>
      <c r="I949" t="inlineStr">
        <is>
          <t>1</t>
        </is>
      </c>
      <c r="J949" t="inlineStr">
        <is>
          <t>제1공장</t>
        </is>
      </c>
      <c r="K949" t="inlineStr">
        <is>
          <t>054-333-0710</t>
        </is>
      </c>
      <c r="L949" t="inlineStr">
        <is>
          <t>경상북도 영천시 한방로 16</t>
        </is>
      </c>
      <c r="M949" t="inlineStr">
        <is>
          <t>(도동)</t>
        </is>
      </c>
      <c r="N949" t="inlineStr">
        <is>
          <t>경상북도 영천시 한방로 16 (도동)</t>
        </is>
      </c>
      <c r="O949" t="inlineStr">
        <is>
          <t>경상북도</t>
        </is>
      </c>
      <c r="P949" t="inlineStr">
        <is>
          <t>영천시</t>
        </is>
      </c>
      <c r="Q949" t="inlineStr">
        <is>
          <t>N</t>
        </is>
      </c>
      <c r="R949" t="n">
        <v>0</v>
      </c>
    </row>
    <row r="950">
      <c r="A950" t="n">
        <v>949</v>
      </c>
      <c r="B950" t="inlineStr">
        <is>
          <t>(주)와이에스생명과학</t>
        </is>
      </c>
      <c r="C950" t="inlineStr">
        <is>
          <t>와이에스생명과학</t>
        </is>
      </c>
      <c r="D950" t="inlineStr">
        <is>
          <t>의약품</t>
        </is>
      </c>
      <c r="E950" t="inlineStr">
        <is>
          <t>2247</t>
        </is>
      </c>
      <c r="F950" t="inlineStr">
        <is>
          <t>오창영</t>
        </is>
      </c>
      <c r="G950" t="inlineStr">
        <is>
          <t>2001-10-10</t>
        </is>
      </c>
      <c r="H950" t="inlineStr">
        <is>
          <t>20011010</t>
        </is>
      </c>
      <c r="I950" t="inlineStr">
        <is>
          <t>3</t>
        </is>
      </c>
      <c r="J950" t="inlineStr">
        <is>
          <t>이천</t>
        </is>
      </c>
      <c r="K950" t="inlineStr">
        <is>
          <t>070-4754-7383</t>
        </is>
      </c>
      <c r="L950" t="inlineStr">
        <is>
          <t>경기도 이천시 모가면 공원로 133-1</t>
        </is>
      </c>
      <c r="M950" t="inlineStr"/>
      <c r="N950" t="inlineStr">
        <is>
          <t>경기도 이천시 모가면 공원로 133-1</t>
        </is>
      </c>
      <c r="O950" t="inlineStr">
        <is>
          <t>경기도</t>
        </is>
      </c>
      <c r="P950" t="inlineStr">
        <is>
          <t>이천시</t>
        </is>
      </c>
      <c r="Q950" t="inlineStr">
        <is>
          <t>N</t>
        </is>
      </c>
      <c r="R950" t="n">
        <v>0</v>
      </c>
    </row>
    <row r="951">
      <c r="A951" t="n">
        <v>950</v>
      </c>
      <c r="B951" t="inlineStr">
        <is>
          <t>화일약품(주)</t>
        </is>
      </c>
      <c r="C951" t="inlineStr">
        <is>
          <t>화일약품</t>
        </is>
      </c>
      <c r="D951" t="inlineStr">
        <is>
          <t>의약품</t>
        </is>
      </c>
      <c r="E951" t="inlineStr">
        <is>
          <t>2014</t>
        </is>
      </c>
      <c r="F951" t="inlineStr">
        <is>
          <t>김유정</t>
        </is>
      </c>
      <c r="G951" t="inlineStr">
        <is>
          <t>1998-08-17</t>
        </is>
      </c>
      <c r="H951" t="inlineStr">
        <is>
          <t>19980817</t>
        </is>
      </c>
      <c r="I951" t="inlineStr">
        <is>
          <t>5</t>
        </is>
      </c>
      <c r="J951" t="inlineStr">
        <is>
          <t>화성(원료의약품) 용인 원료보관</t>
        </is>
      </c>
      <c r="K951" t="inlineStr">
        <is>
          <t>031-628-3702</t>
        </is>
      </c>
      <c r="L951" t="inlineStr">
        <is>
          <t>경기도 용인시 기흥구 농서로22번길 8</t>
        </is>
      </c>
      <c r="M951" t="inlineStr">
        <is>
          <t>(고매동) B동 1층</t>
        </is>
      </c>
      <c r="N951" t="inlineStr">
        <is>
          <t>경기도 용인시 기흥구 농서로22번길 8 (고매동) B동 1층</t>
        </is>
      </c>
      <c r="O951" t="inlineStr">
        <is>
          <t>경기도</t>
        </is>
      </c>
      <c r="P951" t="inlineStr">
        <is>
          <t>용인시</t>
        </is>
      </c>
      <c r="Q951" t="inlineStr">
        <is>
          <t>Y</t>
        </is>
      </c>
      <c r="R951" t="n">
        <v>85</v>
      </c>
    </row>
    <row r="952">
      <c r="A952" t="n">
        <v>951</v>
      </c>
      <c r="B952" t="inlineStr">
        <is>
          <t>(주)퓨쳐켐</t>
        </is>
      </c>
      <c r="C952" t="inlineStr">
        <is>
          <t>퓨쳐켐</t>
        </is>
      </c>
      <c r="D952" t="inlineStr">
        <is>
          <t>의약품</t>
        </is>
      </c>
      <c r="E952" t="inlineStr">
        <is>
          <t>6151</t>
        </is>
      </c>
      <c r="F952" t="inlineStr">
        <is>
          <t>지대윤</t>
        </is>
      </c>
      <c r="G952" t="inlineStr">
        <is>
          <t>2014-09-26</t>
        </is>
      </c>
      <c r="H952" t="inlineStr">
        <is>
          <t>20140926</t>
        </is>
      </c>
      <c r="I952" t="inlineStr">
        <is>
          <t>3</t>
        </is>
      </c>
      <c r="J952" t="inlineStr">
        <is>
          <t>제3공장</t>
        </is>
      </c>
      <c r="K952" t="inlineStr">
        <is>
          <t>02-2038-2311</t>
        </is>
      </c>
      <c r="L952" t="inlineStr">
        <is>
          <t>서울특별시 강서구 공항대로 260</t>
        </is>
      </c>
      <c r="M952" t="inlineStr">
        <is>
          <t>이화의대부속서울병원 지하1층(방사성의약품)</t>
        </is>
      </c>
      <c r="N952" t="inlineStr">
        <is>
          <t>서울특별시 강서구 공항대로 260 이화의대부속서울병원 지하1층(방사성의약품)</t>
        </is>
      </c>
      <c r="O952" t="inlineStr">
        <is>
          <t>서울특별시</t>
        </is>
      </c>
      <c r="P952" t="inlineStr">
        <is>
          <t>강서구</t>
        </is>
      </c>
      <c r="Q952" t="inlineStr">
        <is>
          <t>N</t>
        </is>
      </c>
      <c r="R952" t="n">
        <v>0</v>
      </c>
    </row>
    <row r="953">
      <c r="A953" t="n">
        <v>952</v>
      </c>
      <c r="B953" t="inlineStr">
        <is>
          <t>주식회사현대바이오랜드</t>
        </is>
      </c>
      <c r="C953" t="inlineStr">
        <is>
          <t>현대바이오랜드</t>
        </is>
      </c>
      <c r="D953" t="inlineStr">
        <is>
          <t>의약품</t>
        </is>
      </c>
      <c r="E953" t="inlineStr">
        <is>
          <t>2180</t>
        </is>
      </c>
      <c r="F953" t="inlineStr">
        <is>
          <t>이희준</t>
        </is>
      </c>
      <c r="G953" t="inlineStr">
        <is>
          <t>2001-01-04</t>
        </is>
      </c>
      <c r="H953" t="inlineStr">
        <is>
          <t>20010104</t>
        </is>
      </c>
      <c r="I953" t="inlineStr">
        <is>
          <t>3</t>
        </is>
      </c>
      <c r="J953" t="inlineStr">
        <is>
          <t>오송공장</t>
        </is>
      </c>
      <c r="K953" t="inlineStr">
        <is>
          <t>043-249-6720</t>
        </is>
      </c>
      <c r="L953" t="inlineStr">
        <is>
          <t>충청북도 청주시 흥덕구 오송읍 오송생명2로 22</t>
        </is>
      </c>
      <c r="M953" t="inlineStr"/>
      <c r="N953" t="inlineStr">
        <is>
          <t>충청북도 청주시 흥덕구 오송읍 오송생명2로 22</t>
        </is>
      </c>
      <c r="O953" t="inlineStr">
        <is>
          <t>충청북도</t>
        </is>
      </c>
      <c r="P953" t="inlineStr">
        <is>
          <t>청주시</t>
        </is>
      </c>
      <c r="Q953" t="inlineStr">
        <is>
          <t>N</t>
        </is>
      </c>
      <c r="R953" t="n">
        <v>0</v>
      </c>
    </row>
    <row r="954">
      <c r="A954" t="n">
        <v>953</v>
      </c>
      <c r="B954" t="inlineStr">
        <is>
          <t>삼덕가스공업(주)</t>
        </is>
      </c>
      <c r="C954" t="inlineStr">
        <is>
          <t>삼덕가스공업</t>
        </is>
      </c>
      <c r="D954" t="inlineStr">
        <is>
          <t>의약품</t>
        </is>
      </c>
      <c r="E954" t="inlineStr">
        <is>
          <t>1988</t>
        </is>
      </c>
      <c r="F954" t="inlineStr">
        <is>
          <t>김기도</t>
        </is>
      </c>
      <c r="G954" t="inlineStr">
        <is>
          <t>1997-10-16</t>
        </is>
      </c>
      <c r="H954" t="inlineStr">
        <is>
          <t>19971016</t>
        </is>
      </c>
      <c r="I954" t="inlineStr">
        <is>
          <t>1</t>
        </is>
      </c>
      <c r="J954" t="inlineStr">
        <is>
          <t>김포</t>
        </is>
      </c>
      <c r="K954" t="inlineStr">
        <is>
          <t>031-983-5584</t>
        </is>
      </c>
      <c r="L954" t="inlineStr">
        <is>
          <t>경기도 김포시 조리미로 14-1</t>
        </is>
      </c>
      <c r="M954" t="inlineStr"/>
      <c r="N954" t="inlineStr">
        <is>
          <t>경기도 김포시 조리미로 14-1</t>
        </is>
      </c>
      <c r="O954" t="inlineStr">
        <is>
          <t>경기도</t>
        </is>
      </c>
      <c r="P954" t="inlineStr">
        <is>
          <t>김포시</t>
        </is>
      </c>
      <c r="Q954" t="inlineStr">
        <is>
          <t>N</t>
        </is>
      </c>
      <c r="R954" t="n">
        <v>0</v>
      </c>
    </row>
    <row r="955">
      <c r="A955" t="n">
        <v>954</v>
      </c>
      <c r="B955" t="inlineStr">
        <is>
          <t>당진산업가스(주)</t>
        </is>
      </c>
      <c r="C955" t="inlineStr">
        <is>
          <t>당진산업가스</t>
        </is>
      </c>
      <c r="D955" t="inlineStr">
        <is>
          <t>의약품</t>
        </is>
      </c>
      <c r="E955" t="inlineStr">
        <is>
          <t>2131</t>
        </is>
      </c>
      <c r="F955" t="inlineStr">
        <is>
          <t>남준우</t>
        </is>
      </c>
      <c r="G955" t="inlineStr">
        <is>
          <t>2000-05-06</t>
        </is>
      </c>
      <c r="H955" t="inlineStr">
        <is>
          <t>20000506</t>
        </is>
      </c>
      <c r="I955" t="inlineStr">
        <is>
          <t>1</t>
        </is>
      </c>
      <c r="J955" t="inlineStr">
        <is>
          <t>당진</t>
        </is>
      </c>
      <c r="K955" t="inlineStr">
        <is>
          <t>041-357-5544</t>
        </is>
      </c>
      <c r="L955" t="inlineStr">
        <is>
          <t>충청남도 당진시 송악읍 송악로 418</t>
        </is>
      </c>
      <c r="M955" t="inlineStr"/>
      <c r="N955" t="inlineStr">
        <is>
          <t>충청남도 당진시 송악읍 송악로 418</t>
        </is>
      </c>
      <c r="O955" t="inlineStr">
        <is>
          <t>충청남도</t>
        </is>
      </c>
      <c r="P955" t="inlineStr">
        <is>
          <t>당진시</t>
        </is>
      </c>
      <c r="Q955" t="inlineStr">
        <is>
          <t>N</t>
        </is>
      </c>
      <c r="R955" t="n">
        <v>0</v>
      </c>
    </row>
    <row r="956">
      <c r="A956" t="n">
        <v>955</v>
      </c>
      <c r="B956" t="inlineStr">
        <is>
          <t>국제산업가스(주)</t>
        </is>
      </c>
      <c r="C956" t="inlineStr">
        <is>
          <t>국제산업가스</t>
        </is>
      </c>
      <c r="D956" t="inlineStr">
        <is>
          <t>의약품</t>
        </is>
      </c>
      <c r="E956" t="inlineStr">
        <is>
          <t>1660</t>
        </is>
      </c>
      <c r="F956" t="inlineStr">
        <is>
          <t>안성태</t>
        </is>
      </c>
      <c r="G956" t="inlineStr">
        <is>
          <t>1986-02-28</t>
        </is>
      </c>
      <c r="H956" t="inlineStr">
        <is>
          <t>19860228</t>
        </is>
      </c>
      <c r="I956" t="inlineStr">
        <is>
          <t>1</t>
        </is>
      </c>
      <c r="J956" t="inlineStr">
        <is>
          <t>안양</t>
        </is>
      </c>
      <c r="K956" t="inlineStr">
        <is>
          <t>031-452-1533</t>
        </is>
      </c>
      <c r="L956" t="inlineStr">
        <is>
          <t>경기도 안양시 동안구 시민대로 95</t>
        </is>
      </c>
      <c r="M956" t="inlineStr"/>
      <c r="N956" t="inlineStr">
        <is>
          <t>경기도 안양시 동안구 시민대로 95</t>
        </is>
      </c>
      <c r="O956" t="inlineStr">
        <is>
          <t>경기도</t>
        </is>
      </c>
      <c r="P956" t="inlineStr">
        <is>
          <t>안양시</t>
        </is>
      </c>
      <c r="Q956" t="inlineStr">
        <is>
          <t>N</t>
        </is>
      </c>
      <c r="R956" t="n">
        <v>0</v>
      </c>
    </row>
    <row r="957">
      <c r="A957" t="n">
        <v>956</v>
      </c>
      <c r="B957" t="inlineStr">
        <is>
          <t>신일가스(주)-영암</t>
        </is>
      </c>
      <c r="C957" t="inlineStr">
        <is>
          <t>신일가스-영암</t>
        </is>
      </c>
      <c r="D957" t="inlineStr">
        <is>
          <t>의약품</t>
        </is>
      </c>
      <c r="E957" t="inlineStr">
        <is>
          <t>1960</t>
        </is>
      </c>
      <c r="F957" t="inlineStr">
        <is>
          <t>유봉래</t>
        </is>
      </c>
      <c r="G957" t="inlineStr">
        <is>
          <t>1996-12-09</t>
        </is>
      </c>
      <c r="H957" t="inlineStr">
        <is>
          <t>19961209</t>
        </is>
      </c>
      <c r="I957" t="inlineStr">
        <is>
          <t>1</t>
        </is>
      </c>
      <c r="J957" t="inlineStr">
        <is>
          <t>영암</t>
        </is>
      </c>
      <c r="K957" t="inlineStr">
        <is>
          <t>061-462-8981</t>
        </is>
      </c>
      <c r="L957" t="inlineStr">
        <is>
          <t>전라남도 영암군 삼호읍 대아로 24</t>
        </is>
      </c>
      <c r="M957" t="inlineStr"/>
      <c r="N957" t="inlineStr">
        <is>
          <t>전라남도 영암군 삼호읍 대아로 24</t>
        </is>
      </c>
      <c r="O957" t="inlineStr">
        <is>
          <t>전라남도</t>
        </is>
      </c>
      <c r="P957" t="inlineStr">
        <is>
          <t>영암군</t>
        </is>
      </c>
      <c r="Q957" t="inlineStr">
        <is>
          <t>N</t>
        </is>
      </c>
      <c r="R957" t="n">
        <v>0</v>
      </c>
    </row>
    <row r="958">
      <c r="A958" t="n">
        <v>957</v>
      </c>
      <c r="B958" t="inlineStr">
        <is>
          <t>(주)테라젠이텍스</t>
        </is>
      </c>
      <c r="C958" t="inlineStr">
        <is>
          <t>테라젠이텍스</t>
        </is>
      </c>
      <c r="D958" t="inlineStr">
        <is>
          <t>의약품</t>
        </is>
      </c>
      <c r="E958" t="inlineStr">
        <is>
          <t>1654</t>
        </is>
      </c>
      <c r="F958" t="inlineStr">
        <is>
          <t>박시홍</t>
        </is>
      </c>
      <c r="G958" t="inlineStr">
        <is>
          <t>1985-07-26</t>
        </is>
      </c>
      <c r="H958" t="inlineStr">
        <is>
          <t>19850726</t>
        </is>
      </c>
      <c r="I958" t="inlineStr">
        <is>
          <t>2</t>
        </is>
      </c>
      <c r="J958" t="inlineStr">
        <is>
          <t>완제품보관소</t>
        </is>
      </c>
      <c r="K958" t="inlineStr"/>
      <c r="L958" t="inlineStr">
        <is>
          <t>경기도 화성시 봉담읍 왕림2길 42-25</t>
        </is>
      </c>
      <c r="M958" t="inlineStr">
        <is>
          <t>, 가동 3층일부</t>
        </is>
      </c>
      <c r="N958" t="inlineStr">
        <is>
          <t>경기도 화성시 봉담읍 왕림2길 42-25 , 가동 3층일부</t>
        </is>
      </c>
      <c r="O958" t="inlineStr">
        <is>
          <t>경기도</t>
        </is>
      </c>
      <c r="P958" t="inlineStr">
        <is>
          <t>화성시</t>
        </is>
      </c>
      <c r="Q958" t="inlineStr">
        <is>
          <t>N</t>
        </is>
      </c>
      <c r="R958" t="n">
        <v>0</v>
      </c>
    </row>
    <row r="959">
      <c r="A959" t="n">
        <v>958</v>
      </c>
      <c r="B959" t="inlineStr">
        <is>
          <t>유진통상</t>
        </is>
      </c>
      <c r="C959" t="inlineStr">
        <is>
          <t>유진통상</t>
        </is>
      </c>
      <c r="D959" t="inlineStr">
        <is>
          <t>의약품</t>
        </is>
      </c>
      <c r="E959" t="inlineStr">
        <is>
          <t>370</t>
        </is>
      </c>
      <c r="F959" t="inlineStr">
        <is>
          <t>이정예</t>
        </is>
      </c>
      <c r="G959" t="inlineStr">
        <is>
          <t>2018-06-04</t>
        </is>
      </c>
      <c r="H959" t="inlineStr">
        <is>
          <t>20180604</t>
        </is>
      </c>
      <c r="I959" t="inlineStr">
        <is>
          <t>1</t>
        </is>
      </c>
      <c r="J959" t="inlineStr">
        <is>
          <t>유진통상</t>
        </is>
      </c>
      <c r="K959" t="inlineStr">
        <is>
          <t>02-965-9810</t>
        </is>
      </c>
      <c r="L959" t="inlineStr">
        <is>
          <t>서울특별시 동대문구 정릉천동로 156</t>
        </is>
      </c>
      <c r="M959" t="inlineStr">
        <is>
          <t>2층(제기동, 인영빌딩)</t>
        </is>
      </c>
      <c r="N959" t="inlineStr">
        <is>
          <t>서울특별시 동대문구 정릉천동로 156 2층(제기동, 인영빌딩)</t>
        </is>
      </c>
      <c r="O959" t="inlineStr">
        <is>
          <t>서울특별시</t>
        </is>
      </c>
      <c r="P959" t="inlineStr">
        <is>
          <t>동대문구</t>
        </is>
      </c>
      <c r="Q959" t="inlineStr">
        <is>
          <t>N</t>
        </is>
      </c>
      <c r="R959" t="n">
        <v>0</v>
      </c>
    </row>
    <row r="960">
      <c r="A960" t="n">
        <v>959</v>
      </c>
      <c r="B960" t="inlineStr">
        <is>
          <t>한국오츠카제약(주)</t>
        </is>
      </c>
      <c r="C960" t="inlineStr">
        <is>
          <t>한국오츠카제약</t>
        </is>
      </c>
      <c r="D960" t="inlineStr">
        <is>
          <t>의약품</t>
        </is>
      </c>
      <c r="E960" t="inlineStr">
        <is>
          <t>1633</t>
        </is>
      </c>
      <c r="F960" t="inlineStr">
        <is>
          <t>문성호</t>
        </is>
      </c>
      <c r="G960" t="inlineStr">
        <is>
          <t>1983-09-14</t>
        </is>
      </c>
      <c r="H960" t="inlineStr">
        <is>
          <t>19830914</t>
        </is>
      </c>
      <c r="I960" t="inlineStr">
        <is>
          <t>1</t>
        </is>
      </c>
      <c r="J960" t="inlineStr">
        <is>
          <t>화성</t>
        </is>
      </c>
      <c r="K960" t="inlineStr">
        <is>
          <t>02-3465-3929</t>
        </is>
      </c>
      <c r="L960" t="inlineStr">
        <is>
          <t>경기도 화성시 만세구 향남읍 제약공단3길 27</t>
        </is>
      </c>
      <c r="M960" t="inlineStr"/>
      <c r="N960" t="inlineStr">
        <is>
          <t>경기도 화성시 만세구 향남읍 제약공단3길 27</t>
        </is>
      </c>
      <c r="O960" t="inlineStr">
        <is>
          <t>경기도</t>
        </is>
      </c>
      <c r="P960" t="inlineStr">
        <is>
          <t>화성시</t>
        </is>
      </c>
      <c r="Q960" t="inlineStr">
        <is>
          <t>N</t>
        </is>
      </c>
      <c r="R960" t="n">
        <v>0</v>
      </c>
    </row>
    <row r="961">
      <c r="A961" t="n">
        <v>960</v>
      </c>
      <c r="B961" t="inlineStr">
        <is>
          <t>경북산업가스충전소</t>
        </is>
      </c>
      <c r="C961" t="inlineStr">
        <is>
          <t>경북산업가스충전소</t>
        </is>
      </c>
      <c r="D961" t="inlineStr">
        <is>
          <t>의약품</t>
        </is>
      </c>
      <c r="E961" t="inlineStr">
        <is>
          <t>92</t>
        </is>
      </c>
      <c r="F961" t="inlineStr">
        <is>
          <t>남은식</t>
        </is>
      </c>
      <c r="G961" t="inlineStr">
        <is>
          <t>2017-10-17</t>
        </is>
      </c>
      <c r="H961" t="inlineStr">
        <is>
          <t>20171017</t>
        </is>
      </c>
      <c r="I961" t="inlineStr">
        <is>
          <t>1</t>
        </is>
      </c>
      <c r="J961" t="inlineStr">
        <is>
          <t>경북산업가스충전소</t>
        </is>
      </c>
      <c r="K961" t="inlineStr">
        <is>
          <t>054-443-0331</t>
        </is>
      </c>
      <c r="L961" t="inlineStr">
        <is>
          <t>경상북도 구미시 고아읍 선산대로 516</t>
        </is>
      </c>
      <c r="M961" t="inlineStr">
        <is>
          <t>, 518</t>
        </is>
      </c>
      <c r="N961" t="inlineStr">
        <is>
          <t>경상북도 구미시 고아읍 선산대로 516 , 518</t>
        </is>
      </c>
      <c r="O961" t="inlineStr">
        <is>
          <t>경상북도</t>
        </is>
      </c>
      <c r="P961" t="inlineStr">
        <is>
          <t>구미시</t>
        </is>
      </c>
      <c r="Q961" t="inlineStr">
        <is>
          <t>N</t>
        </is>
      </c>
      <c r="R961" t="n">
        <v>0</v>
      </c>
    </row>
    <row r="962">
      <c r="A962" t="n">
        <v>961</v>
      </c>
      <c r="B962" t="inlineStr">
        <is>
          <t>린데코리아주식회사</t>
        </is>
      </c>
      <c r="C962" t="inlineStr">
        <is>
          <t>린데코리아</t>
        </is>
      </c>
      <c r="D962" t="inlineStr">
        <is>
          <t>의약품</t>
        </is>
      </c>
      <c r="E962" t="inlineStr">
        <is>
          <t>1615</t>
        </is>
      </c>
      <c r="F962" t="inlineStr">
        <is>
          <t>성백석</t>
        </is>
      </c>
      <c r="G962" t="inlineStr">
        <is>
          <t>1981-12-26</t>
        </is>
      </c>
      <c r="H962" t="inlineStr">
        <is>
          <t>19811226</t>
        </is>
      </c>
      <c r="I962" t="inlineStr">
        <is>
          <t>6</t>
        </is>
      </c>
      <c r="J962" t="inlineStr">
        <is>
          <t>용인</t>
        </is>
      </c>
      <c r="K962" t="inlineStr"/>
      <c r="L962" t="inlineStr">
        <is>
          <t>경기도 용인시 기흥구 삼성2로96번길 20</t>
        </is>
      </c>
      <c r="M962" t="inlineStr"/>
      <c r="N962" t="inlineStr">
        <is>
          <t>경기도 용인시 기흥구 삼성2로96번길 20</t>
        </is>
      </c>
      <c r="O962" t="inlineStr">
        <is>
          <t>경기도</t>
        </is>
      </c>
      <c r="P962" t="inlineStr">
        <is>
          <t>용인시</t>
        </is>
      </c>
      <c r="Q962" t="inlineStr">
        <is>
          <t>N</t>
        </is>
      </c>
      <c r="R962" t="n">
        <v>0</v>
      </c>
    </row>
    <row r="963">
      <c r="A963" t="n">
        <v>962</v>
      </c>
      <c r="B963" t="inlineStr">
        <is>
          <t>한올바이오파마(주)</t>
        </is>
      </c>
      <c r="C963" t="inlineStr">
        <is>
          <t>한올바이오파마</t>
        </is>
      </c>
      <c r="D963" t="inlineStr">
        <is>
          <t>의약품</t>
        </is>
      </c>
      <c r="E963" t="inlineStr">
        <is>
          <t>1297</t>
        </is>
      </c>
      <c r="F963" t="inlineStr">
        <is>
          <t>박승국</t>
        </is>
      </c>
      <c r="G963" t="inlineStr">
        <is>
          <t>1955-02-01</t>
        </is>
      </c>
      <c r="H963" t="inlineStr">
        <is>
          <t>19550201</t>
        </is>
      </c>
      <c r="I963" t="inlineStr">
        <is>
          <t>3</t>
        </is>
      </c>
      <c r="J963" t="inlineStr">
        <is>
          <t>보관소</t>
        </is>
      </c>
      <c r="K963" t="inlineStr"/>
      <c r="L963" t="inlineStr">
        <is>
          <t>충청북도 청주시 서원구 남이면 비룡1길 90</t>
        </is>
      </c>
      <c r="M963" t="inlineStr"/>
      <c r="N963" t="inlineStr">
        <is>
          <t>충청북도 청주시 서원구 남이면 비룡1길 90</t>
        </is>
      </c>
      <c r="O963" t="inlineStr">
        <is>
          <t>충청북도</t>
        </is>
      </c>
      <c r="P963" t="inlineStr">
        <is>
          <t>청주시</t>
        </is>
      </c>
      <c r="Q963" t="inlineStr">
        <is>
          <t>Y</t>
        </is>
      </c>
      <c r="R963" t="n">
        <v>28</v>
      </c>
    </row>
    <row r="964">
      <c r="A964" t="n">
        <v>963</v>
      </c>
      <c r="B964" t="inlineStr">
        <is>
          <t>(주)네이처셀</t>
        </is>
      </c>
      <c r="C964" t="inlineStr">
        <is>
          <t>네이처셀</t>
        </is>
      </c>
      <c r="D964" t="inlineStr">
        <is>
          <t>의약품</t>
        </is>
      </c>
      <c r="E964" t="inlineStr">
        <is>
          <t>364</t>
        </is>
      </c>
      <c r="F964" t="inlineStr">
        <is>
          <t>김주선</t>
        </is>
      </c>
      <c r="G964" t="inlineStr">
        <is>
          <t>2017-04-21</t>
        </is>
      </c>
      <c r="H964" t="inlineStr">
        <is>
          <t>20170421</t>
        </is>
      </c>
      <c r="I964" t="inlineStr">
        <is>
          <t>1</t>
        </is>
      </c>
      <c r="J964" t="inlineStr">
        <is>
          <t>제1공장</t>
        </is>
      </c>
      <c r="K964" t="inlineStr">
        <is>
          <t>02-545-4137</t>
        </is>
      </c>
      <c r="L964" t="inlineStr">
        <is>
          <t>서울특별시 금천구 가산디지털1로 151</t>
        </is>
      </c>
      <c r="M964" t="inlineStr">
        <is>
          <t>402호 ~ 407호</t>
        </is>
      </c>
      <c r="N964" t="inlineStr">
        <is>
          <t>서울특별시 금천구 가산디지털1로 151 402호 ~ 407호</t>
        </is>
      </c>
      <c r="O964" t="inlineStr">
        <is>
          <t>서울특별시</t>
        </is>
      </c>
      <c r="P964" t="inlineStr">
        <is>
          <t>금천구</t>
        </is>
      </c>
      <c r="Q964" t="inlineStr">
        <is>
          <t>N</t>
        </is>
      </c>
      <c r="R964" t="n">
        <v>0</v>
      </c>
    </row>
    <row r="965">
      <c r="A965" t="n">
        <v>964</v>
      </c>
      <c r="B965" t="inlineStr">
        <is>
          <t>에스티팜주식회사</t>
        </is>
      </c>
      <c r="C965" t="inlineStr">
        <is>
          <t>에스티팜</t>
        </is>
      </c>
      <c r="D965" t="inlineStr">
        <is>
          <t>의약품</t>
        </is>
      </c>
      <c r="E965" t="inlineStr">
        <is>
          <t>1301</t>
        </is>
      </c>
      <c r="F965" t="inlineStr">
        <is>
          <t>성무제</t>
        </is>
      </c>
      <c r="G965" t="inlineStr">
        <is>
          <t>1955-04-11</t>
        </is>
      </c>
      <c r="H965" t="inlineStr">
        <is>
          <t>19550411</t>
        </is>
      </c>
      <c r="I965" t="inlineStr">
        <is>
          <t>2</t>
        </is>
      </c>
      <c r="J965" t="inlineStr">
        <is>
          <t>시흥</t>
        </is>
      </c>
      <c r="K965" t="inlineStr"/>
      <c r="L965" t="inlineStr">
        <is>
          <t>경기도 시흥시 협력로 231</t>
        </is>
      </c>
      <c r="M965" t="inlineStr"/>
      <c r="N965" t="inlineStr">
        <is>
          <t>경기도 시흥시 협력로 231</t>
        </is>
      </c>
      <c r="O965" t="inlineStr">
        <is>
          <t>경기도</t>
        </is>
      </c>
      <c r="P965" t="inlineStr">
        <is>
          <t>시흥시</t>
        </is>
      </c>
      <c r="Q965" t="inlineStr">
        <is>
          <t>N</t>
        </is>
      </c>
      <c r="R965" t="n">
        <v>0</v>
      </c>
    </row>
    <row r="966">
      <c r="A966" t="n">
        <v>965</v>
      </c>
      <c r="B966" t="inlineStr">
        <is>
          <t>씨에이치디제약주식회사</t>
        </is>
      </c>
      <c r="C966" t="inlineStr">
        <is>
          <t>씨에이치디제약</t>
        </is>
      </c>
      <c r="D966" t="inlineStr">
        <is>
          <t>의약품</t>
        </is>
      </c>
      <c r="E966" t="inlineStr">
        <is>
          <t>1339</t>
        </is>
      </c>
      <c r="F966" t="inlineStr">
        <is>
          <t>김창준</t>
        </is>
      </c>
      <c r="G966" t="inlineStr">
        <is>
          <t>1957-06-01</t>
        </is>
      </c>
      <c r="H966" t="inlineStr">
        <is>
          <t>19570601</t>
        </is>
      </c>
      <c r="I966" t="inlineStr">
        <is>
          <t>1</t>
        </is>
      </c>
      <c r="J966" t="inlineStr">
        <is>
          <t>부천</t>
        </is>
      </c>
      <c r="K966" t="inlineStr">
        <is>
          <t>032-675-5561</t>
        </is>
      </c>
      <c r="L966" t="inlineStr">
        <is>
          <t>경기도 부천시 원미구 정주로14번길 65</t>
        </is>
      </c>
      <c r="M966" t="inlineStr"/>
      <c r="N966" t="inlineStr">
        <is>
          <t>경기도 부천시 원미구 정주로14번길 65</t>
        </is>
      </c>
      <c r="O966" t="inlineStr">
        <is>
          <t>경기도</t>
        </is>
      </c>
      <c r="P966" t="inlineStr">
        <is>
          <t>부천시</t>
        </is>
      </c>
      <c r="Q966" t="inlineStr">
        <is>
          <t>N</t>
        </is>
      </c>
      <c r="R966" t="n">
        <v>0</v>
      </c>
    </row>
    <row r="967">
      <c r="A967" t="n">
        <v>966</v>
      </c>
      <c r="B967" t="inlineStr">
        <is>
          <t>(주)라이트팜텍</t>
        </is>
      </c>
      <c r="C967" t="inlineStr">
        <is>
          <t>라이트팜텍</t>
        </is>
      </c>
      <c r="D967" t="inlineStr">
        <is>
          <t>의약품</t>
        </is>
      </c>
      <c r="E967" t="inlineStr">
        <is>
          <t>361</t>
        </is>
      </c>
      <c r="F967" t="inlineStr">
        <is>
          <t>김철주</t>
        </is>
      </c>
      <c r="G967" t="inlineStr">
        <is>
          <t>2016-11-01</t>
        </is>
      </c>
      <c r="H967" t="inlineStr">
        <is>
          <t>20161101</t>
        </is>
      </c>
      <c r="I967" t="inlineStr">
        <is>
          <t>1</t>
        </is>
      </c>
      <c r="J967" t="inlineStr">
        <is>
          <t>서울</t>
        </is>
      </c>
      <c r="K967" t="inlineStr">
        <is>
          <t>02-6929-0788</t>
        </is>
      </c>
      <c r="L967" t="inlineStr">
        <is>
          <t>서울특별시 구로구 디지털로 272</t>
        </is>
      </c>
      <c r="M967" t="inlineStr">
        <is>
          <t>108호(구로동)</t>
        </is>
      </c>
      <c r="N967" t="inlineStr">
        <is>
          <t>서울특별시 구로구 디지털로 272 108호(구로동)</t>
        </is>
      </c>
      <c r="O967" t="inlineStr">
        <is>
          <t>서울특별시</t>
        </is>
      </c>
      <c r="P967" t="inlineStr">
        <is>
          <t>구로구</t>
        </is>
      </c>
      <c r="Q967" t="inlineStr">
        <is>
          <t>N</t>
        </is>
      </c>
      <c r="R967" t="n">
        <v>0</v>
      </c>
    </row>
    <row r="968">
      <c r="A968" t="n">
        <v>967</v>
      </c>
      <c r="B968" t="inlineStr">
        <is>
          <t>이연제약(주)</t>
        </is>
      </c>
      <c r="C968" t="inlineStr">
        <is>
          <t>이연제약</t>
        </is>
      </c>
      <c r="D968" t="inlineStr">
        <is>
          <t>의약품</t>
        </is>
      </c>
      <c r="E968" t="inlineStr">
        <is>
          <t>1298</t>
        </is>
      </c>
      <c r="F968" t="inlineStr">
        <is>
          <t>유용환</t>
        </is>
      </c>
      <c r="G968" t="inlineStr">
        <is>
          <t>1955-02-06</t>
        </is>
      </c>
      <c r="H968" t="inlineStr">
        <is>
          <t>19550206</t>
        </is>
      </c>
      <c r="I968" t="inlineStr">
        <is>
          <t>1</t>
        </is>
      </c>
      <c r="J968" t="inlineStr">
        <is>
          <t>진천</t>
        </is>
      </c>
      <c r="K968" t="inlineStr">
        <is>
          <t>043-536-5177</t>
        </is>
      </c>
      <c r="L968" t="inlineStr">
        <is>
          <t>충청북도 진천군 덕산읍 한삼로 69-10</t>
        </is>
      </c>
      <c r="M968" t="inlineStr"/>
      <c r="N968" t="inlineStr">
        <is>
          <t>충청북도 진천군 덕산읍 한삼로 69-10</t>
        </is>
      </c>
      <c r="O968" t="inlineStr">
        <is>
          <t>충청북도</t>
        </is>
      </c>
      <c r="P968" t="inlineStr">
        <is>
          <t>진천군</t>
        </is>
      </c>
      <c r="Q968" t="inlineStr">
        <is>
          <t>N</t>
        </is>
      </c>
      <c r="R968" t="n">
        <v>0</v>
      </c>
    </row>
    <row r="969">
      <c r="A969" t="n">
        <v>968</v>
      </c>
      <c r="B969" t="inlineStr">
        <is>
          <t>(주)제일제약</t>
        </is>
      </c>
      <c r="C969" t="inlineStr">
        <is>
          <t>제일제약</t>
        </is>
      </c>
      <c r="D969" t="inlineStr">
        <is>
          <t>의약품</t>
        </is>
      </c>
      <c r="E969" t="inlineStr">
        <is>
          <t>1333</t>
        </is>
      </c>
      <c r="F969" t="inlineStr">
        <is>
          <t>경훈표</t>
        </is>
      </c>
      <c r="G969" t="inlineStr">
        <is>
          <t>1957-04-29</t>
        </is>
      </c>
      <c r="H969" t="inlineStr">
        <is>
          <t>19570429</t>
        </is>
      </c>
      <c r="I969" t="inlineStr">
        <is>
          <t>1</t>
        </is>
      </c>
      <c r="J969" t="inlineStr">
        <is>
          <t>대구</t>
        </is>
      </c>
      <c r="K969" t="inlineStr">
        <is>
          <t>053-583-6226/8</t>
        </is>
      </c>
      <c r="L969" t="inlineStr">
        <is>
          <t>대구광역시 달서구 성서로 18-29</t>
        </is>
      </c>
      <c r="M969" t="inlineStr">
        <is>
          <t>대천동</t>
        </is>
      </c>
      <c r="N969" t="inlineStr">
        <is>
          <t>대구광역시 달서구 성서로 18-29 대천동</t>
        </is>
      </c>
      <c r="O969" t="inlineStr">
        <is>
          <t>대구광역시</t>
        </is>
      </c>
      <c r="P969" t="inlineStr">
        <is>
          <t>달서구</t>
        </is>
      </c>
      <c r="Q969" t="inlineStr">
        <is>
          <t>N</t>
        </is>
      </c>
      <c r="R969" t="n">
        <v>0</v>
      </c>
    </row>
    <row r="970">
      <c r="A970" t="n">
        <v>969</v>
      </c>
      <c r="B970" t="inlineStr">
        <is>
          <t>삼성제약(주)</t>
        </is>
      </c>
      <c r="C970" t="inlineStr">
        <is>
          <t>삼성제약</t>
        </is>
      </c>
      <c r="D970" t="inlineStr">
        <is>
          <t>의약품</t>
        </is>
      </c>
      <c r="E970" t="inlineStr">
        <is>
          <t>1294</t>
        </is>
      </c>
      <c r="F970" t="inlineStr">
        <is>
          <t>정성택</t>
        </is>
      </c>
      <c r="G970" t="inlineStr">
        <is>
          <t>1954-12-30</t>
        </is>
      </c>
      <c r="H970" t="inlineStr">
        <is>
          <t>19541230</t>
        </is>
      </c>
      <c r="I970" t="inlineStr">
        <is>
          <t>2</t>
        </is>
      </c>
      <c r="J970" t="inlineStr">
        <is>
          <t>분공장</t>
        </is>
      </c>
      <c r="K970" t="inlineStr">
        <is>
          <t>02-3408-4541</t>
        </is>
      </c>
      <c r="L970" t="inlineStr"/>
      <c r="M970" t="inlineStr">
        <is>
          <t>경기도 성남시 중원구 둔촌대로 456</t>
        </is>
      </c>
      <c r="N970" t="inlineStr">
        <is>
          <t>경기도 성남시 중원구 둔촌대로 456</t>
        </is>
      </c>
      <c r="O970" t="inlineStr">
        <is>
          <t>경기도</t>
        </is>
      </c>
      <c r="P970" t="inlineStr">
        <is>
          <t>성남시</t>
        </is>
      </c>
      <c r="Q970" t="inlineStr">
        <is>
          <t>N</t>
        </is>
      </c>
      <c r="R970" t="n">
        <v>0</v>
      </c>
    </row>
    <row r="971">
      <c r="A971" t="n">
        <v>970</v>
      </c>
      <c r="B971" t="inlineStr">
        <is>
          <t>한국유니온제약(주)</t>
        </is>
      </c>
      <c r="C971" t="inlineStr">
        <is>
          <t>한국유니온제약</t>
        </is>
      </c>
      <c r="D971" t="inlineStr">
        <is>
          <t>의약품</t>
        </is>
      </c>
      <c r="E971" t="inlineStr">
        <is>
          <t>1326</t>
        </is>
      </c>
      <c r="F971" t="inlineStr">
        <is>
          <t>정근호</t>
        </is>
      </c>
      <c r="G971" t="inlineStr">
        <is>
          <t>1956-11-24</t>
        </is>
      </c>
      <c r="H971" t="inlineStr">
        <is>
          <t>19561124</t>
        </is>
      </c>
      <c r="I971" t="inlineStr">
        <is>
          <t>2</t>
        </is>
      </c>
      <c r="J971" t="inlineStr">
        <is>
          <t>제2공장</t>
        </is>
      </c>
      <c r="K971" t="inlineStr"/>
      <c r="L971" t="inlineStr">
        <is>
          <t>강원특별자치도 원주시 문막읍 문막공단길 247</t>
        </is>
      </c>
      <c r="M971" t="inlineStr">
        <is>
          <t>A동 1층, 2층, C동, D동(시험동) 2층, 3층, E동(완제보관소)</t>
        </is>
      </c>
      <c r="N971" t="inlineStr">
        <is>
          <t>강원특별자치도 원주시 문막읍 문막공단길 247 A동 1층, 2층, C동, D동(시험동) 2층, 3층, E동(완제보관소)</t>
        </is>
      </c>
      <c r="O971" t="inlineStr">
        <is>
          <t>강원특별자치도</t>
        </is>
      </c>
      <c r="P971" t="inlineStr">
        <is>
          <t>원주시</t>
        </is>
      </c>
      <c r="Q971" t="inlineStr">
        <is>
          <t>N</t>
        </is>
      </c>
      <c r="R971" t="n">
        <v>0</v>
      </c>
    </row>
    <row r="972">
      <c r="A972" t="n">
        <v>971</v>
      </c>
      <c r="B972" t="inlineStr">
        <is>
          <t>(주)바른한방제약</t>
        </is>
      </c>
      <c r="C972" t="inlineStr">
        <is>
          <t>바른한방제약</t>
        </is>
      </c>
      <c r="D972" t="inlineStr">
        <is>
          <t>의약품</t>
        </is>
      </c>
      <c r="E972" t="inlineStr">
        <is>
          <t>359</t>
        </is>
      </c>
      <c r="F972" t="inlineStr">
        <is>
          <t>최규태</t>
        </is>
      </c>
      <c r="G972" t="inlineStr">
        <is>
          <t>2016-06-13</t>
        </is>
      </c>
      <c r="H972" t="inlineStr">
        <is>
          <t>20160613</t>
        </is>
      </c>
      <c r="I972" t="inlineStr">
        <is>
          <t>3</t>
        </is>
      </c>
      <c r="J972" t="inlineStr">
        <is>
          <t>광주</t>
        </is>
      </c>
      <c r="K972" t="inlineStr">
        <is>
          <t>02-962-1669</t>
        </is>
      </c>
      <c r="L972" t="inlineStr">
        <is>
          <t>경기도 광주시 초월읍 현산로 341-40</t>
        </is>
      </c>
      <c r="M972" t="inlineStr"/>
      <c r="N972" t="inlineStr">
        <is>
          <t>경기도 광주시 초월읍 현산로 341-40</t>
        </is>
      </c>
      <c r="O972" t="inlineStr">
        <is>
          <t>경기도</t>
        </is>
      </c>
      <c r="P972" t="inlineStr">
        <is>
          <t>광주시</t>
        </is>
      </c>
      <c r="Q972" t="inlineStr">
        <is>
          <t>N</t>
        </is>
      </c>
      <c r="R972" t="n">
        <v>0</v>
      </c>
    </row>
    <row r="973">
      <c r="A973" t="n">
        <v>972</v>
      </c>
      <c r="B973" t="inlineStr">
        <is>
          <t>(주)다림바이오텍</t>
        </is>
      </c>
      <c r="C973" t="inlineStr">
        <is>
          <t>다림바이오텍</t>
        </is>
      </c>
      <c r="D973" t="inlineStr">
        <is>
          <t>의약품</t>
        </is>
      </c>
      <c r="E973" t="inlineStr">
        <is>
          <t>1308</t>
        </is>
      </c>
      <c r="F973" t="inlineStr">
        <is>
          <t>정종섭</t>
        </is>
      </c>
      <c r="G973" t="inlineStr">
        <is>
          <t>1955-09-15</t>
        </is>
      </c>
      <c r="H973" t="inlineStr">
        <is>
          <t>19550915</t>
        </is>
      </c>
      <c r="I973" t="inlineStr">
        <is>
          <t>5</t>
        </is>
      </c>
      <c r="J973" t="inlineStr">
        <is>
          <t>공장2</t>
        </is>
      </c>
      <c r="K973" t="inlineStr"/>
      <c r="L973" t="inlineStr">
        <is>
          <t>강원특별자치도 원주시 지정면 신평로 33</t>
        </is>
      </c>
      <c r="M973" t="inlineStr">
        <is>
          <t>A동1~3층, B동1층, S동</t>
        </is>
      </c>
      <c r="N973" t="inlineStr">
        <is>
          <t>강원특별자치도 원주시 지정면 신평로 33 A동1~3층, B동1층, S동</t>
        </is>
      </c>
      <c r="O973" t="inlineStr">
        <is>
          <t>강원특별자치도</t>
        </is>
      </c>
      <c r="P973" t="inlineStr">
        <is>
          <t>원주시</t>
        </is>
      </c>
      <c r="Q973" t="inlineStr">
        <is>
          <t>N</t>
        </is>
      </c>
      <c r="R973" t="n">
        <v>0</v>
      </c>
    </row>
    <row r="974">
      <c r="A974" t="n">
        <v>973</v>
      </c>
      <c r="B974" t="inlineStr">
        <is>
          <t>(주)리독스바이오</t>
        </is>
      </c>
      <c r="C974" t="inlineStr">
        <is>
          <t>리독스바이오</t>
        </is>
      </c>
      <c r="D974" t="inlineStr">
        <is>
          <t>의약품</t>
        </is>
      </c>
      <c r="E974" t="inlineStr">
        <is>
          <t>357</t>
        </is>
      </c>
      <c r="F974" t="inlineStr">
        <is>
          <t>김수지</t>
        </is>
      </c>
      <c r="G974" t="inlineStr">
        <is>
          <t>2015-12-03</t>
        </is>
      </c>
      <c r="H974" t="inlineStr">
        <is>
          <t>20151203</t>
        </is>
      </c>
      <c r="I974" t="inlineStr">
        <is>
          <t>1</t>
        </is>
      </c>
      <c r="J974" t="inlineStr">
        <is>
          <t>제1공장</t>
        </is>
      </c>
      <c r="K974" t="inlineStr"/>
      <c r="L974" t="inlineStr">
        <is>
          <t>경기도 화성시 만세구 향남읍 제약공단3길 83</t>
        </is>
      </c>
      <c r="M974" t="inlineStr"/>
      <c r="N974" t="inlineStr">
        <is>
          <t>경기도 화성시 만세구 향남읍 제약공단3길 83</t>
        </is>
      </c>
      <c r="O974" t="inlineStr">
        <is>
          <t>경기도</t>
        </is>
      </c>
      <c r="P974" t="inlineStr">
        <is>
          <t>화성시</t>
        </is>
      </c>
      <c r="Q974" t="inlineStr">
        <is>
          <t>N</t>
        </is>
      </c>
      <c r="R974" t="n">
        <v>0</v>
      </c>
    </row>
    <row r="975">
      <c r="A975" t="n">
        <v>974</v>
      </c>
      <c r="B975" t="inlineStr">
        <is>
          <t>석전의료공업(주)</t>
        </is>
      </c>
      <c r="C975" t="inlineStr">
        <is>
          <t>석전의료공업</t>
        </is>
      </c>
      <c r="D975" t="inlineStr">
        <is>
          <t>의약품</t>
        </is>
      </c>
      <c r="E975" t="inlineStr">
        <is>
          <t>2176</t>
        </is>
      </c>
      <c r="F975" t="inlineStr">
        <is>
          <t>성용제</t>
        </is>
      </c>
      <c r="G975" t="inlineStr">
        <is>
          <t>1980-11-03</t>
        </is>
      </c>
      <c r="H975" t="inlineStr">
        <is>
          <t>19801103</t>
        </is>
      </c>
      <c r="I975" t="inlineStr">
        <is>
          <t>1</t>
        </is>
      </c>
      <c r="J975" t="inlineStr">
        <is>
          <t>오산</t>
        </is>
      </c>
      <c r="K975" t="inlineStr">
        <is>
          <t>02-2271-0271</t>
        </is>
      </c>
      <c r="L975" t="inlineStr">
        <is>
          <t>경기도 오산시 황새로149번길 16</t>
        </is>
      </c>
      <c r="M975" t="inlineStr"/>
      <c r="N975" t="inlineStr">
        <is>
          <t>경기도 오산시 황새로149번길 16</t>
        </is>
      </c>
      <c r="O975" t="inlineStr">
        <is>
          <t>경기도</t>
        </is>
      </c>
      <c r="P975" t="inlineStr">
        <is>
          <t>오산시</t>
        </is>
      </c>
      <c r="Q975" t="inlineStr">
        <is>
          <t>N</t>
        </is>
      </c>
      <c r="R975" t="n">
        <v>0</v>
      </c>
    </row>
    <row r="976">
      <c r="A976" t="n">
        <v>975</v>
      </c>
      <c r="B976" t="inlineStr">
        <is>
          <t>에스케이플라즈마(주)</t>
        </is>
      </c>
      <c r="C976" t="inlineStr">
        <is>
          <t>에스케이플라즈마</t>
        </is>
      </c>
      <c r="D976" t="inlineStr">
        <is>
          <t>의약품</t>
        </is>
      </c>
      <c r="E976" t="inlineStr">
        <is>
          <t>352</t>
        </is>
      </c>
      <c r="F976" t="inlineStr">
        <is>
          <t>김승주</t>
        </is>
      </c>
      <c r="G976" t="inlineStr">
        <is>
          <t>2015-05-01</t>
        </is>
      </c>
      <c r="H976" t="inlineStr">
        <is>
          <t>20150501</t>
        </is>
      </c>
      <c r="I976" t="inlineStr">
        <is>
          <t>2</t>
        </is>
      </c>
      <c r="J976" t="inlineStr">
        <is>
          <t>제2공장</t>
        </is>
      </c>
      <c r="K976" t="inlineStr"/>
      <c r="L976" t="inlineStr">
        <is>
          <t>경상북도 안동시 풍산읍 산업단지길 157</t>
        </is>
      </c>
      <c r="M976" t="inlineStr"/>
      <c r="N976" t="inlineStr">
        <is>
          <t>경상북도 안동시 풍산읍 산업단지길 157</t>
        </is>
      </c>
      <c r="O976" t="inlineStr">
        <is>
          <t>경상북도</t>
        </is>
      </c>
      <c r="P976" t="inlineStr">
        <is>
          <t>안동시</t>
        </is>
      </c>
      <c r="Q976" t="inlineStr">
        <is>
          <t>N</t>
        </is>
      </c>
      <c r="R976" t="n">
        <v>0</v>
      </c>
    </row>
    <row r="977">
      <c r="A977" t="n">
        <v>976</v>
      </c>
      <c r="B977" t="inlineStr">
        <is>
          <t>(주)종근당바이오</t>
        </is>
      </c>
      <c r="C977" t="inlineStr">
        <is>
          <t>종근당바이오</t>
        </is>
      </c>
      <c r="D977" t="inlineStr">
        <is>
          <t>의약품</t>
        </is>
      </c>
      <c r="E977" t="inlineStr">
        <is>
          <t>2253</t>
        </is>
      </c>
      <c r="F977" t="inlineStr">
        <is>
          <t>박완갑</t>
        </is>
      </c>
      <c r="G977" t="inlineStr">
        <is>
          <t>2001-11-27</t>
        </is>
      </c>
      <c r="H977" t="inlineStr">
        <is>
          <t>20011127</t>
        </is>
      </c>
      <c r="I977" t="inlineStr">
        <is>
          <t>3</t>
        </is>
      </c>
      <c r="J977" t="inlineStr">
        <is>
          <t>오송</t>
        </is>
      </c>
      <c r="K977" t="inlineStr">
        <is>
          <t>02-2194-0503</t>
        </is>
      </c>
      <c r="L977" t="inlineStr">
        <is>
          <t>충청북도 청주시 흥덕구 오송읍 오송생명4로 22</t>
        </is>
      </c>
      <c r="M977" t="inlineStr"/>
      <c r="N977" t="inlineStr">
        <is>
          <t>충청북도 청주시 흥덕구 오송읍 오송생명4로 22</t>
        </is>
      </c>
      <c r="O977" t="inlineStr">
        <is>
          <t>충청북도</t>
        </is>
      </c>
      <c r="P977" t="inlineStr">
        <is>
          <t>청주시</t>
        </is>
      </c>
      <c r="Q977" t="inlineStr">
        <is>
          <t>N</t>
        </is>
      </c>
      <c r="R977" t="n">
        <v>0</v>
      </c>
    </row>
    <row r="978">
      <c r="A978" t="n">
        <v>977</v>
      </c>
      <c r="B978" t="inlineStr">
        <is>
          <t>에이치디엑스(주)</t>
        </is>
      </c>
      <c r="C978" t="inlineStr">
        <is>
          <t>에이치디엑스</t>
        </is>
      </c>
      <c r="D978" t="inlineStr">
        <is>
          <t>의약품</t>
        </is>
      </c>
      <c r="E978" t="inlineStr">
        <is>
          <t>2407</t>
        </is>
      </c>
      <c r="F978" t="inlineStr">
        <is>
          <t>이창영</t>
        </is>
      </c>
      <c r="G978" t="inlineStr">
        <is>
          <t>2003-12-11</t>
        </is>
      </c>
      <c r="H978" t="inlineStr">
        <is>
          <t>20031211</t>
        </is>
      </c>
      <c r="I978" t="inlineStr">
        <is>
          <t>8</t>
        </is>
      </c>
      <c r="J978" t="inlineStr">
        <is>
          <t>부산</t>
        </is>
      </c>
      <c r="K978" t="inlineStr"/>
      <c r="L978" t="inlineStr">
        <is>
          <t>부산광역시 사상구 새벽시장로 122</t>
        </is>
      </c>
      <c r="M978" t="inlineStr"/>
      <c r="N978" t="inlineStr">
        <is>
          <t>부산광역시 사상구 새벽시장로 122</t>
        </is>
      </c>
      <c r="O978" t="inlineStr">
        <is>
          <t>부산광역시</t>
        </is>
      </c>
      <c r="P978" t="inlineStr">
        <is>
          <t>사상구</t>
        </is>
      </c>
      <c r="Q978" t="inlineStr">
        <is>
          <t>N</t>
        </is>
      </c>
      <c r="R978" t="n">
        <v>0</v>
      </c>
    </row>
    <row r="979">
      <c r="A979" t="n">
        <v>978</v>
      </c>
      <c r="B979" t="inlineStr">
        <is>
          <t>주식회사마이크로바이오틱스</t>
        </is>
      </c>
      <c r="C979" t="inlineStr">
        <is>
          <t>마이크로바이오틱스</t>
        </is>
      </c>
      <c r="D979" t="inlineStr">
        <is>
          <t>의약품</t>
        </is>
      </c>
      <c r="E979" t="inlineStr">
        <is>
          <t>6185</t>
        </is>
      </c>
      <c r="F979" t="inlineStr">
        <is>
          <t>용동은</t>
        </is>
      </c>
      <c r="G979" t="inlineStr">
        <is>
          <t>2024-06-03</t>
        </is>
      </c>
      <c r="H979" t="inlineStr">
        <is>
          <t>20240603</t>
        </is>
      </c>
      <c r="I979" t="inlineStr">
        <is>
          <t>1</t>
        </is>
      </c>
      <c r="J979" t="inlineStr">
        <is>
          <t>주식회사마이크로바이오틱스</t>
        </is>
      </c>
      <c r="K979" t="inlineStr">
        <is>
          <t>0263792649</t>
        </is>
      </c>
      <c r="L979" t="inlineStr">
        <is>
          <t>서울특별시 금천구 디지털로9길 33</t>
        </is>
      </c>
      <c r="M979" t="inlineStr">
        <is>
          <t>, 1105호, 1106호, 1107호(가산동, 아이티미래타워)</t>
        </is>
      </c>
      <c r="N979" t="inlineStr">
        <is>
          <t>서울특별시 금천구 디지털로9길 33 , 1105호, 1106호, 1107호(가산동, 아이티미래타워)</t>
        </is>
      </c>
      <c r="O979" t="inlineStr">
        <is>
          <t>서울특별시</t>
        </is>
      </c>
      <c r="P979" t="inlineStr">
        <is>
          <t>금천구</t>
        </is>
      </c>
      <c r="Q979" t="inlineStr">
        <is>
          <t>N</t>
        </is>
      </c>
      <c r="R979" t="n">
        <v>0</v>
      </c>
    </row>
    <row r="980">
      <c r="A980" t="n">
        <v>979</v>
      </c>
      <c r="B980" t="inlineStr">
        <is>
          <t>(주)펜믹스</t>
        </is>
      </c>
      <c r="C980" t="inlineStr">
        <is>
          <t>펜믹스</t>
        </is>
      </c>
      <c r="D980" t="inlineStr">
        <is>
          <t>의약품</t>
        </is>
      </c>
      <c r="E980" t="inlineStr">
        <is>
          <t>2363</t>
        </is>
      </c>
      <c r="F980" t="inlineStr">
        <is>
          <t>박동규</t>
        </is>
      </c>
      <c r="G980" t="inlineStr">
        <is>
          <t>2003-03-04</t>
        </is>
      </c>
      <c r="H980" t="inlineStr">
        <is>
          <t>20030304</t>
        </is>
      </c>
      <c r="I980" t="inlineStr">
        <is>
          <t>1</t>
        </is>
      </c>
      <c r="J980" t="inlineStr">
        <is>
          <t>천안</t>
        </is>
      </c>
      <c r="K980" t="inlineStr">
        <is>
          <t>041-580-5890</t>
        </is>
      </c>
      <c r="L980" t="inlineStr">
        <is>
          <t>충청남도 천안시 서북구 직산읍 거리막길 33</t>
        </is>
      </c>
      <c r="M980" t="inlineStr"/>
      <c r="N980" t="inlineStr">
        <is>
          <t>충청남도 천안시 서북구 직산읍 거리막길 33</t>
        </is>
      </c>
      <c r="O980" t="inlineStr">
        <is>
          <t>충청남도</t>
        </is>
      </c>
      <c r="P980" t="inlineStr">
        <is>
          <t>천안시</t>
        </is>
      </c>
      <c r="Q980" t="inlineStr">
        <is>
          <t>N</t>
        </is>
      </c>
      <c r="R980" t="n">
        <v>0</v>
      </c>
    </row>
    <row r="981">
      <c r="A981" t="n">
        <v>980</v>
      </c>
      <c r="B981" t="inlineStr">
        <is>
          <t>(주)두원사이언스제약</t>
        </is>
      </c>
      <c r="C981" t="inlineStr">
        <is>
          <t>두원사이언스제약</t>
        </is>
      </c>
      <c r="D981" t="inlineStr">
        <is>
          <t>의약품</t>
        </is>
      </c>
      <c r="E981" t="inlineStr">
        <is>
          <t>6174</t>
        </is>
      </c>
      <c r="F981" t="inlineStr">
        <is>
          <t>윤병학</t>
        </is>
      </c>
      <c r="G981" t="inlineStr">
        <is>
          <t>2023-01-05</t>
        </is>
      </c>
      <c r="H981" t="inlineStr">
        <is>
          <t>20230105</t>
        </is>
      </c>
      <c r="I981" t="inlineStr">
        <is>
          <t>1</t>
        </is>
      </c>
      <c r="J981" t="inlineStr">
        <is>
          <t>제1공장</t>
        </is>
      </c>
      <c r="K981" t="inlineStr">
        <is>
          <t>031-575-5008</t>
        </is>
      </c>
      <c r="L981" t="inlineStr">
        <is>
          <t>경기도 남양주시 진접읍 팔야산단로 51</t>
        </is>
      </c>
      <c r="M981" t="inlineStr">
        <is>
          <t>1층 일부, 2~4층</t>
        </is>
      </c>
      <c r="N981" t="inlineStr">
        <is>
          <t>경기도 남양주시 진접읍 팔야산단로 51 1층 일부, 2~4층</t>
        </is>
      </c>
      <c r="O981" t="inlineStr">
        <is>
          <t>경기도</t>
        </is>
      </c>
      <c r="P981" t="inlineStr">
        <is>
          <t>남양주시</t>
        </is>
      </c>
      <c r="Q981" t="inlineStr">
        <is>
          <t>N</t>
        </is>
      </c>
      <c r="R981" t="n">
        <v>0</v>
      </c>
    </row>
    <row r="982">
      <c r="A982" t="n">
        <v>981</v>
      </c>
      <c r="B982" t="inlineStr">
        <is>
          <t>한도제약</t>
        </is>
      </c>
      <c r="C982" t="inlineStr">
        <is>
          <t>한도제약</t>
        </is>
      </c>
      <c r="D982" t="inlineStr">
        <is>
          <t>의약품</t>
        </is>
      </c>
      <c r="E982" t="inlineStr">
        <is>
          <t>2316</t>
        </is>
      </c>
      <c r="F982" t="inlineStr">
        <is>
          <t>류경연</t>
        </is>
      </c>
      <c r="G982" t="inlineStr">
        <is>
          <t>2002-07-15</t>
        </is>
      </c>
      <c r="H982" t="inlineStr">
        <is>
          <t>20020715</t>
        </is>
      </c>
      <c r="I982" t="inlineStr">
        <is>
          <t>1</t>
        </is>
      </c>
      <c r="J982" t="inlineStr">
        <is>
          <t>가동,라동,사동</t>
        </is>
      </c>
      <c r="K982" t="inlineStr">
        <is>
          <t>031-829-1717</t>
        </is>
      </c>
      <c r="L982" t="inlineStr">
        <is>
          <t>경기도 양주시 백석읍 월암로170번길 85-9</t>
        </is>
      </c>
      <c r="M982" t="inlineStr">
        <is>
          <t>, 라동</t>
        </is>
      </c>
      <c r="N982" t="inlineStr">
        <is>
          <t>경기도 양주시 백석읍 월암로170번길 85-9 , 라동</t>
        </is>
      </c>
      <c r="O982" t="inlineStr">
        <is>
          <t>경기도</t>
        </is>
      </c>
      <c r="P982" t="inlineStr">
        <is>
          <t>양주시</t>
        </is>
      </c>
      <c r="Q982" t="inlineStr">
        <is>
          <t>N</t>
        </is>
      </c>
      <c r="R982" t="n">
        <v>0</v>
      </c>
    </row>
    <row r="983">
      <c r="A983" t="n">
        <v>982</v>
      </c>
      <c r="B983" t="inlineStr">
        <is>
          <t>(주)에어퍼스트</t>
        </is>
      </c>
      <c r="C983" t="inlineStr">
        <is>
          <t>에어퍼스트</t>
        </is>
      </c>
      <c r="D983" t="inlineStr">
        <is>
          <t>의약품</t>
        </is>
      </c>
      <c r="E983" t="inlineStr">
        <is>
          <t>65</t>
        </is>
      </c>
      <c r="F983" t="inlineStr">
        <is>
          <t>양한용</t>
        </is>
      </c>
      <c r="G983" t="inlineStr">
        <is>
          <t>2007-11-19</t>
        </is>
      </c>
      <c r="H983" t="inlineStr">
        <is>
          <t>20071119</t>
        </is>
      </c>
      <c r="I983" t="inlineStr">
        <is>
          <t>3</t>
        </is>
      </c>
      <c r="J983" t="inlineStr">
        <is>
          <t>아산</t>
        </is>
      </c>
      <c r="K983" t="inlineStr"/>
      <c r="L983" t="inlineStr">
        <is>
          <t>충청남도 아산시 인주면 인주산단로 123-30</t>
        </is>
      </c>
      <c r="M983" t="inlineStr"/>
      <c r="N983" t="inlineStr">
        <is>
          <t>충청남도 아산시 인주면 인주산단로 123-30</t>
        </is>
      </c>
      <c r="O983" t="inlineStr">
        <is>
          <t>충청남도</t>
        </is>
      </c>
      <c r="P983" t="inlineStr">
        <is>
          <t>아산시</t>
        </is>
      </c>
      <c r="Q983" t="inlineStr">
        <is>
          <t>N</t>
        </is>
      </c>
      <c r="R983" t="n">
        <v>0</v>
      </c>
    </row>
    <row r="984">
      <c r="A984" t="n">
        <v>983</v>
      </c>
      <c r="B984" t="inlineStr">
        <is>
          <t>(주)레모넥스</t>
        </is>
      </c>
      <c r="C984" t="inlineStr">
        <is>
          <t>레모넥스</t>
        </is>
      </c>
      <c r="D984" t="inlineStr">
        <is>
          <t>의약품</t>
        </is>
      </c>
      <c r="E984" t="inlineStr">
        <is>
          <t>395</t>
        </is>
      </c>
      <c r="F984" t="inlineStr">
        <is>
          <t>원철희</t>
        </is>
      </c>
      <c r="G984" t="inlineStr">
        <is>
          <t>2021-10-20</t>
        </is>
      </c>
      <c r="H984" t="inlineStr">
        <is>
          <t>20211020</t>
        </is>
      </c>
      <c r="I984" t="inlineStr">
        <is>
          <t>1</t>
        </is>
      </c>
      <c r="J984" t="inlineStr">
        <is>
          <t>제1공장</t>
        </is>
      </c>
      <c r="K984" t="inlineStr">
        <is>
          <t>02-875-7797</t>
        </is>
      </c>
      <c r="L984" t="inlineStr">
        <is>
          <t>서울특별시 서초구 효령로33길 55</t>
        </is>
      </c>
      <c r="M984" t="inlineStr">
        <is>
          <t>4층(방배동, 디엠타워동관)</t>
        </is>
      </c>
      <c r="N984" t="inlineStr">
        <is>
          <t>서울특별시 서초구 효령로33길 55 4층(방배동, 디엠타워동관)</t>
        </is>
      </c>
      <c r="O984" t="inlineStr">
        <is>
          <t>서울특별시</t>
        </is>
      </c>
      <c r="P984" t="inlineStr">
        <is>
          <t>서초구</t>
        </is>
      </c>
      <c r="Q984" t="inlineStr">
        <is>
          <t>N</t>
        </is>
      </c>
      <c r="R984" t="n">
        <v>0</v>
      </c>
    </row>
    <row r="985">
      <c r="A985" t="n">
        <v>984</v>
      </c>
      <c r="B985" t="inlineStr">
        <is>
          <t>(주)한서켐</t>
        </is>
      </c>
      <c r="C985" t="inlineStr">
        <is>
          <t>한서켐</t>
        </is>
      </c>
      <c r="D985" t="inlineStr">
        <is>
          <t>의약품</t>
        </is>
      </c>
      <c r="E985" t="inlineStr">
        <is>
          <t>2295</t>
        </is>
      </c>
      <c r="F985" t="inlineStr">
        <is>
          <t>오민근</t>
        </is>
      </c>
      <c r="G985" t="inlineStr">
        <is>
          <t>2002-05-16</t>
        </is>
      </c>
      <c r="H985" t="inlineStr">
        <is>
          <t>20020516</t>
        </is>
      </c>
      <c r="I985" t="inlineStr">
        <is>
          <t>1</t>
        </is>
      </c>
      <c r="J985" t="inlineStr">
        <is>
          <t>.</t>
        </is>
      </c>
      <c r="K985" t="inlineStr">
        <is>
          <t>031-682-8655</t>
        </is>
      </c>
      <c r="L985" t="inlineStr">
        <is>
          <t>경기도 평택시 포승읍 포승공단로 41</t>
        </is>
      </c>
      <c r="M985" t="inlineStr"/>
      <c r="N985" t="inlineStr">
        <is>
          <t>경기도 평택시 포승읍 포승공단로 41</t>
        </is>
      </c>
      <c r="O985" t="inlineStr">
        <is>
          <t>경기도</t>
        </is>
      </c>
      <c r="P985" t="inlineStr">
        <is>
          <t>평택시</t>
        </is>
      </c>
      <c r="Q985" t="inlineStr">
        <is>
          <t>Y</t>
        </is>
      </c>
      <c r="R985" t="n">
        <v>86</v>
      </c>
    </row>
    <row r="986">
      <c r="A986" t="n">
        <v>985</v>
      </c>
      <c r="B986" t="inlineStr">
        <is>
          <t>라이프슈티컬</t>
        </is>
      </c>
      <c r="C986" t="inlineStr">
        <is>
          <t>라이프슈티컬</t>
        </is>
      </c>
      <c r="D986" t="inlineStr">
        <is>
          <t>의약품</t>
        </is>
      </c>
      <c r="E986" t="inlineStr">
        <is>
          <t>256</t>
        </is>
      </c>
      <c r="F986" t="inlineStr">
        <is>
          <t>손재민</t>
        </is>
      </c>
      <c r="G986" t="inlineStr">
        <is>
          <t>2007-03-20</t>
        </is>
      </c>
      <c r="H986" t="inlineStr">
        <is>
          <t>20070320</t>
        </is>
      </c>
      <c r="I986" t="inlineStr">
        <is>
          <t>1</t>
        </is>
      </c>
      <c r="J986" t="inlineStr">
        <is>
          <t>제천</t>
        </is>
      </c>
      <c r="K986" t="inlineStr">
        <is>
          <t>043-652-8404</t>
        </is>
      </c>
      <c r="L986" t="inlineStr">
        <is>
          <t>충청북도 제천시 바이오밸리2로 100</t>
        </is>
      </c>
      <c r="M986" t="inlineStr"/>
      <c r="N986" t="inlineStr">
        <is>
          <t>충청북도 제천시 바이오밸리2로 100</t>
        </is>
      </c>
      <c r="O986" t="inlineStr">
        <is>
          <t>충청북도</t>
        </is>
      </c>
      <c r="P986" t="inlineStr">
        <is>
          <t>제천시</t>
        </is>
      </c>
      <c r="Q986" t="inlineStr">
        <is>
          <t>N</t>
        </is>
      </c>
      <c r="R986" t="n">
        <v>0</v>
      </c>
    </row>
    <row r="987">
      <c r="A987" t="n">
        <v>986</v>
      </c>
      <c r="B987" t="inlineStr">
        <is>
          <t>주식회사큐라티스</t>
        </is>
      </c>
      <c r="C987" t="inlineStr">
        <is>
          <t>큐라티스</t>
        </is>
      </c>
      <c r="D987" t="inlineStr">
        <is>
          <t>의약품</t>
        </is>
      </c>
      <c r="E987" t="inlineStr">
        <is>
          <t>6162</t>
        </is>
      </c>
      <c r="F987" t="inlineStr">
        <is>
          <t>김성준</t>
        </is>
      </c>
      <c r="G987" t="inlineStr">
        <is>
          <t>2021-01-11</t>
        </is>
      </c>
      <c r="H987" t="inlineStr">
        <is>
          <t>20210111</t>
        </is>
      </c>
      <c r="I987" t="inlineStr">
        <is>
          <t>1</t>
        </is>
      </c>
      <c r="J987" t="inlineStr">
        <is>
          <t>1공장</t>
        </is>
      </c>
      <c r="K987" t="inlineStr">
        <is>
          <t>043-904-7002</t>
        </is>
      </c>
      <c r="L987" t="inlineStr">
        <is>
          <t>충청북도 청주시 흥덕구 오송읍 의료단지길 143</t>
        </is>
      </c>
      <c r="M987" t="inlineStr"/>
      <c r="N987" t="inlineStr">
        <is>
          <t>충청북도 청주시 흥덕구 오송읍 의료단지길 143</t>
        </is>
      </c>
      <c r="O987" t="inlineStr">
        <is>
          <t>충청북도</t>
        </is>
      </c>
      <c r="P987" t="inlineStr">
        <is>
          <t>청주시</t>
        </is>
      </c>
      <c r="Q987" t="inlineStr">
        <is>
          <t>N</t>
        </is>
      </c>
      <c r="R987" t="n">
        <v>0</v>
      </c>
    </row>
    <row r="988">
      <c r="A988" t="n">
        <v>987</v>
      </c>
      <c r="B988" t="inlineStr">
        <is>
          <t>삼양산업(주)</t>
        </is>
      </c>
      <c r="C988" t="inlineStr">
        <is>
          <t>삼양산업</t>
        </is>
      </c>
      <c r="D988" t="inlineStr">
        <is>
          <t>의약품</t>
        </is>
      </c>
      <c r="E988" t="inlineStr">
        <is>
          <t>2225</t>
        </is>
      </c>
      <c r="F988" t="inlineStr">
        <is>
          <t>홍지유</t>
        </is>
      </c>
      <c r="G988" t="inlineStr">
        <is>
          <t>2001-07-09</t>
        </is>
      </c>
      <c r="H988" t="inlineStr">
        <is>
          <t>20010709</t>
        </is>
      </c>
      <c r="I988" t="inlineStr">
        <is>
          <t>1</t>
        </is>
      </c>
      <c r="J988" t="inlineStr">
        <is>
          <t>제1공장</t>
        </is>
      </c>
      <c r="K988" t="inlineStr">
        <is>
          <t>054-262-0033</t>
        </is>
      </c>
      <c r="L988" t="inlineStr">
        <is>
          <t>경상북도 포항시 북구 흥해읍 동해대로 1887</t>
        </is>
      </c>
      <c r="M988" t="inlineStr"/>
      <c r="N988" t="inlineStr">
        <is>
          <t>경상북도 포항시 북구 흥해읍 동해대로 1887</t>
        </is>
      </c>
      <c r="O988" t="inlineStr">
        <is>
          <t>경상북도</t>
        </is>
      </c>
      <c r="P988" t="inlineStr">
        <is>
          <t>포항시</t>
        </is>
      </c>
      <c r="Q988" t="inlineStr">
        <is>
          <t>N</t>
        </is>
      </c>
      <c r="R988" t="n">
        <v>0</v>
      </c>
    </row>
    <row r="989">
      <c r="A989" t="n">
        <v>988</v>
      </c>
      <c r="B989" t="inlineStr">
        <is>
          <t>씨케이(주)</t>
        </is>
      </c>
      <c r="C989" t="inlineStr">
        <is>
          <t>씨케이</t>
        </is>
      </c>
      <c r="D989" t="inlineStr">
        <is>
          <t>의약품</t>
        </is>
      </c>
      <c r="E989" t="inlineStr">
        <is>
          <t>2586</t>
        </is>
      </c>
      <c r="F989" t="inlineStr">
        <is>
          <t>김동락</t>
        </is>
      </c>
      <c r="G989" t="inlineStr">
        <is>
          <t>2006-11-29</t>
        </is>
      </c>
      <c r="H989" t="inlineStr">
        <is>
          <t>20061129</t>
        </is>
      </c>
      <c r="I989" t="inlineStr">
        <is>
          <t>3</t>
        </is>
      </c>
      <c r="J989" t="inlineStr">
        <is>
          <t>보관소</t>
        </is>
      </c>
      <c r="K989" t="inlineStr">
        <is>
          <t>043-544-8511</t>
        </is>
      </c>
      <c r="L989" t="inlineStr">
        <is>
          <t>충청북도 보은군 보은읍 매화구인로 331-8</t>
        </is>
      </c>
      <c r="M989" t="inlineStr"/>
      <c r="N989" t="inlineStr">
        <is>
          <t>충청북도 보은군 보은읍 매화구인로 331-8</t>
        </is>
      </c>
      <c r="O989" t="inlineStr">
        <is>
          <t>충청북도</t>
        </is>
      </c>
      <c r="P989" t="inlineStr">
        <is>
          <t>보은군</t>
        </is>
      </c>
      <c r="Q989" t="inlineStr">
        <is>
          <t>Y</t>
        </is>
      </c>
      <c r="R989" t="n">
        <v>36</v>
      </c>
    </row>
    <row r="990">
      <c r="A990" t="n">
        <v>989</v>
      </c>
      <c r="B990" t="inlineStr">
        <is>
          <t>주식회사셀라토즈테라퓨틱스</t>
        </is>
      </c>
      <c r="C990" t="inlineStr">
        <is>
          <t>셀라토즈테라퓨틱스</t>
        </is>
      </c>
      <c r="D990" t="inlineStr">
        <is>
          <t>의약품</t>
        </is>
      </c>
      <c r="E990" t="inlineStr">
        <is>
          <t>382</t>
        </is>
      </c>
      <c r="F990" t="inlineStr">
        <is>
          <t>임재승</t>
        </is>
      </c>
      <c r="G990" t="inlineStr">
        <is>
          <t>2020-03-13</t>
        </is>
      </c>
      <c r="H990" t="inlineStr">
        <is>
          <t>20200313</t>
        </is>
      </c>
      <c r="I990" t="inlineStr">
        <is>
          <t>1</t>
        </is>
      </c>
      <c r="J990" t="inlineStr">
        <is>
          <t>제1공장</t>
        </is>
      </c>
      <c r="K990" t="inlineStr"/>
      <c r="L990" t="inlineStr">
        <is>
          <t>경기도 성남시 분당구 돌마로 172</t>
        </is>
      </c>
      <c r="M990" t="inlineStr">
        <is>
          <t>H2208호, H2211호(정자동, 헬스케어혁신파크)</t>
        </is>
      </c>
      <c r="N990" t="inlineStr">
        <is>
          <t>경기도 성남시 분당구 돌마로 172 H2208호, H2211호(정자동, 헬스케어혁신파크)</t>
        </is>
      </c>
      <c r="O990" t="inlineStr">
        <is>
          <t>경기도</t>
        </is>
      </c>
      <c r="P990" t="inlineStr">
        <is>
          <t>성남시</t>
        </is>
      </c>
      <c r="Q990" t="inlineStr">
        <is>
          <t>N</t>
        </is>
      </c>
      <c r="R990" t="n">
        <v>0</v>
      </c>
    </row>
    <row r="991">
      <c r="A991" t="n">
        <v>990</v>
      </c>
      <c r="B991" t="inlineStr">
        <is>
          <t>민국제약</t>
        </is>
      </c>
      <c r="C991" t="inlineStr">
        <is>
          <t>민국제약</t>
        </is>
      </c>
      <c r="D991" t="inlineStr">
        <is>
          <t>의약품</t>
        </is>
      </c>
      <c r="E991" t="inlineStr">
        <is>
          <t>2570</t>
        </is>
      </c>
      <c r="F991" t="inlineStr">
        <is>
          <t>김용환</t>
        </is>
      </c>
      <c r="G991" t="inlineStr">
        <is>
          <t>2006-07-21</t>
        </is>
      </c>
      <c r="H991" t="inlineStr">
        <is>
          <t>20060721</t>
        </is>
      </c>
      <c r="I991" t="inlineStr">
        <is>
          <t>1</t>
        </is>
      </c>
      <c r="J991" t="inlineStr">
        <is>
          <t>남양주</t>
        </is>
      </c>
      <c r="K991" t="inlineStr">
        <is>
          <t>031-528-3980</t>
        </is>
      </c>
      <c r="L991" t="inlineStr">
        <is>
          <t>경기도 남양주시 수동면 비룡로972번길 43</t>
        </is>
      </c>
      <c r="M991" t="inlineStr">
        <is>
          <t>민국제약</t>
        </is>
      </c>
      <c r="N991" t="inlineStr">
        <is>
          <t>경기도 남양주시 수동면 비룡로972번길 43 민국제약</t>
        </is>
      </c>
      <c r="O991" t="inlineStr">
        <is>
          <t>경기도</t>
        </is>
      </c>
      <c r="P991" t="inlineStr">
        <is>
          <t>남양주시</t>
        </is>
      </c>
      <c r="Q991" t="inlineStr">
        <is>
          <t>N</t>
        </is>
      </c>
      <c r="R991" t="n">
        <v>0</v>
      </c>
    </row>
    <row r="992">
      <c r="A992" t="n">
        <v>991</v>
      </c>
      <c r="B992" t="inlineStr">
        <is>
          <t>국립암센터</t>
        </is>
      </c>
      <c r="C992" t="inlineStr">
        <is>
          <t>국립암센터</t>
        </is>
      </c>
      <c r="D992" t="inlineStr">
        <is>
          <t>의약품</t>
        </is>
      </c>
      <c r="E992" t="inlineStr">
        <is>
          <t>2384</t>
        </is>
      </c>
      <c r="F992" t="inlineStr">
        <is>
          <t>양한광</t>
        </is>
      </c>
      <c r="G992" t="inlineStr">
        <is>
          <t>2003-07-15</t>
        </is>
      </c>
      <c r="H992" t="inlineStr">
        <is>
          <t>20030715</t>
        </is>
      </c>
      <c r="I992" t="inlineStr">
        <is>
          <t>1</t>
        </is>
      </c>
      <c r="J992" t="inlineStr">
        <is>
          <t>고양</t>
        </is>
      </c>
      <c r="K992" t="inlineStr">
        <is>
          <t>031-920-0114</t>
        </is>
      </c>
      <c r="L992" t="inlineStr">
        <is>
          <t>경기도 고양시 일산동구 일산로 323</t>
        </is>
      </c>
      <c r="M992" t="inlineStr"/>
      <c r="N992" t="inlineStr">
        <is>
          <t>경기도 고양시 일산동구 일산로 323</t>
        </is>
      </c>
      <c r="O992" t="inlineStr">
        <is>
          <t>경기도</t>
        </is>
      </c>
      <c r="P992" t="inlineStr">
        <is>
          <t>고양시</t>
        </is>
      </c>
      <c r="Q992" t="inlineStr">
        <is>
          <t>N</t>
        </is>
      </c>
      <c r="R992" t="n">
        <v>0</v>
      </c>
    </row>
    <row r="993">
      <c r="A993" t="n">
        <v>992</v>
      </c>
      <c r="B993" t="inlineStr">
        <is>
          <t>(주)코아팜바이오</t>
        </is>
      </c>
      <c r="C993" t="inlineStr">
        <is>
          <t>코아팜바이오</t>
        </is>
      </c>
      <c r="D993" t="inlineStr">
        <is>
          <t>의약품</t>
        </is>
      </c>
      <c r="E993" t="inlineStr">
        <is>
          <t>6177</t>
        </is>
      </c>
      <c r="F993" t="inlineStr">
        <is>
          <t>백진욱</t>
        </is>
      </c>
      <c r="G993" t="inlineStr">
        <is>
          <t>2023-02-03</t>
        </is>
      </c>
      <c r="H993" t="inlineStr">
        <is>
          <t>20230203</t>
        </is>
      </c>
      <c r="I993" t="inlineStr">
        <is>
          <t>1</t>
        </is>
      </c>
      <c r="J993" t="inlineStr">
        <is>
          <t>(주)코아팜바이오</t>
        </is>
      </c>
      <c r="K993" t="inlineStr">
        <is>
          <t>02-927-8220</t>
        </is>
      </c>
      <c r="L993" t="inlineStr">
        <is>
          <t>충청북도 청주시 흥덕구 오송읍 오송생명14로 5</t>
        </is>
      </c>
      <c r="M993" t="inlineStr"/>
      <c r="N993" t="inlineStr">
        <is>
          <t>충청북도 청주시 흥덕구 오송읍 오송생명14로 5</t>
        </is>
      </c>
      <c r="O993" t="inlineStr">
        <is>
          <t>충청북도</t>
        </is>
      </c>
      <c r="P993" t="inlineStr">
        <is>
          <t>청주시</t>
        </is>
      </c>
      <c r="Q993" t="inlineStr">
        <is>
          <t>N</t>
        </is>
      </c>
      <c r="R993" t="n">
        <v>0</v>
      </c>
    </row>
    <row r="994">
      <c r="A994" t="n">
        <v>993</v>
      </c>
      <c r="B994" t="inlineStr">
        <is>
          <t>고강제약</t>
        </is>
      </c>
      <c r="C994" t="inlineStr">
        <is>
          <t>고강제약</t>
        </is>
      </c>
      <c r="D994" t="inlineStr">
        <is>
          <t>의약품</t>
        </is>
      </c>
      <c r="E994" t="inlineStr">
        <is>
          <t>2293</t>
        </is>
      </c>
      <c r="F994" t="inlineStr">
        <is>
          <t>민광식</t>
        </is>
      </c>
      <c r="G994" t="inlineStr">
        <is>
          <t>2002-05-07</t>
        </is>
      </c>
      <c r="H994" t="inlineStr">
        <is>
          <t>20020507</t>
        </is>
      </c>
      <c r="I994" t="inlineStr">
        <is>
          <t>1</t>
        </is>
      </c>
      <c r="J994" t="inlineStr">
        <is>
          <t>김포</t>
        </is>
      </c>
      <c r="K994" t="inlineStr">
        <is>
          <t>032-548-2411</t>
        </is>
      </c>
      <c r="L994" t="inlineStr">
        <is>
          <t>인천광역시 계양구 선주로 48-13</t>
        </is>
      </c>
      <c r="M994" t="inlineStr"/>
      <c r="N994" t="inlineStr">
        <is>
          <t>인천광역시 계양구 선주로 48-13</t>
        </is>
      </c>
      <c r="O994" t="inlineStr">
        <is>
          <t>인천광역시</t>
        </is>
      </c>
      <c r="P994" t="inlineStr">
        <is>
          <t>계양구</t>
        </is>
      </c>
      <c r="Q994" t="inlineStr">
        <is>
          <t>N</t>
        </is>
      </c>
      <c r="R994" t="n">
        <v>0</v>
      </c>
    </row>
    <row r="995">
      <c r="A995" t="n">
        <v>994</v>
      </c>
      <c r="B995" t="inlineStr">
        <is>
          <t>(주)이풀잎제약</t>
        </is>
      </c>
      <c r="C995" t="inlineStr">
        <is>
          <t>이풀잎제약</t>
        </is>
      </c>
      <c r="D995" t="inlineStr">
        <is>
          <t>의약품</t>
        </is>
      </c>
      <c r="E995" t="inlineStr">
        <is>
          <t>255</t>
        </is>
      </c>
      <c r="F995" t="inlineStr">
        <is>
          <t>박정환</t>
        </is>
      </c>
      <c r="G995" t="inlineStr">
        <is>
          <t>2008-01-28</t>
        </is>
      </c>
      <c r="H995" t="inlineStr">
        <is>
          <t>20080128</t>
        </is>
      </c>
      <c r="I995" t="inlineStr">
        <is>
          <t>1</t>
        </is>
      </c>
      <c r="J995" t="inlineStr">
        <is>
          <t>제1공장</t>
        </is>
      </c>
      <c r="K995" t="inlineStr">
        <is>
          <t>02-965-1884</t>
        </is>
      </c>
      <c r="L995" t="inlineStr">
        <is>
          <t>서울특별시 동대문구 약령동길 147</t>
        </is>
      </c>
      <c r="M995" t="inlineStr">
        <is>
          <t>101호 (보관소) 서울특별시 동대문구 약령중앙로 72-2 지하층 2호</t>
        </is>
      </c>
      <c r="N995" t="inlineStr">
        <is>
          <t>서울특별시 동대문구 약령동길 147 101호 (보관소) 서울특별시 동대문구 약령중앙로 72-2 지하층 2호</t>
        </is>
      </c>
      <c r="O995" t="inlineStr">
        <is>
          <t>서울특별시</t>
        </is>
      </c>
      <c r="P995" t="inlineStr">
        <is>
          <t>동대문구</t>
        </is>
      </c>
      <c r="Q995" t="inlineStr">
        <is>
          <t>N</t>
        </is>
      </c>
      <c r="R995" t="n">
        <v>0</v>
      </c>
    </row>
    <row r="996">
      <c r="A996" t="n">
        <v>995</v>
      </c>
      <c r="B996" t="inlineStr">
        <is>
          <t>주식회사위지피제약</t>
        </is>
      </c>
      <c r="C996" t="inlineStr">
        <is>
          <t>위지피제약</t>
        </is>
      </c>
      <c r="D996" t="inlineStr">
        <is>
          <t>의약품</t>
        </is>
      </c>
      <c r="E996" t="inlineStr">
        <is>
          <t>6168</t>
        </is>
      </c>
      <c r="F996" t="inlineStr">
        <is>
          <t>강진구</t>
        </is>
      </c>
      <c r="G996" t="inlineStr">
        <is>
          <t>2021-11-29</t>
        </is>
      </c>
      <c r="H996" t="inlineStr">
        <is>
          <t>20211129</t>
        </is>
      </c>
      <c r="I996" t="inlineStr">
        <is>
          <t>1</t>
        </is>
      </c>
      <c r="J996" t="inlineStr">
        <is>
          <t>제1공장</t>
        </is>
      </c>
      <c r="K996" t="inlineStr"/>
      <c r="L996" t="inlineStr">
        <is>
          <t>경기도 시흥시 소망공원로 213</t>
        </is>
      </c>
      <c r="M996" t="inlineStr">
        <is>
          <t>1층 일부, 2층 일부</t>
        </is>
      </c>
      <c r="N996" t="inlineStr">
        <is>
          <t>경기도 시흥시 소망공원로 213 1층 일부, 2층 일부</t>
        </is>
      </c>
      <c r="O996" t="inlineStr">
        <is>
          <t>경기도</t>
        </is>
      </c>
      <c r="P996" t="inlineStr">
        <is>
          <t>시흥시</t>
        </is>
      </c>
      <c r="Q996" t="inlineStr">
        <is>
          <t>Y</t>
        </is>
      </c>
      <c r="R996" t="n">
        <v>34</v>
      </c>
    </row>
    <row r="997">
      <c r="A997" t="n">
        <v>996</v>
      </c>
      <c r="B997" t="inlineStr">
        <is>
          <t>(주)휴온스생명과학</t>
        </is>
      </c>
      <c r="C997" t="inlineStr">
        <is>
          <t>휴온스생명과학</t>
        </is>
      </c>
      <c r="D997" t="inlineStr">
        <is>
          <t>의약품</t>
        </is>
      </c>
      <c r="E997" t="inlineStr">
        <is>
          <t>2311</t>
        </is>
      </c>
      <c r="F997" t="inlineStr">
        <is>
          <t>이재훈</t>
        </is>
      </c>
      <c r="G997" t="inlineStr">
        <is>
          <t>2002-06-28</t>
        </is>
      </c>
      <c r="H997" t="inlineStr">
        <is>
          <t>20020628</t>
        </is>
      </c>
      <c r="I997" t="inlineStr">
        <is>
          <t>1</t>
        </is>
      </c>
      <c r="J997" t="inlineStr">
        <is>
          <t>이천</t>
        </is>
      </c>
      <c r="K997" t="inlineStr">
        <is>
          <t>031-635-1496</t>
        </is>
      </c>
      <c r="L997" t="inlineStr">
        <is>
          <t>경기도 이천시 부발읍 경충대로 1878-5</t>
        </is>
      </c>
      <c r="M997" t="inlineStr"/>
      <c r="N997" t="inlineStr">
        <is>
          <t>경기도 이천시 부발읍 경충대로 1878-5</t>
        </is>
      </c>
      <c r="O997" t="inlineStr">
        <is>
          <t>경기도</t>
        </is>
      </c>
      <c r="P997" t="inlineStr">
        <is>
          <t>이천시</t>
        </is>
      </c>
      <c r="Q997" t="inlineStr">
        <is>
          <t>N</t>
        </is>
      </c>
      <c r="R997" t="n">
        <v>0</v>
      </c>
    </row>
    <row r="998">
      <c r="A998" t="n">
        <v>997</v>
      </c>
      <c r="B998" t="inlineStr">
        <is>
          <t>한국원자력의학원</t>
        </is>
      </c>
      <c r="C998" t="inlineStr">
        <is>
          <t>한국원자력의학원</t>
        </is>
      </c>
      <c r="D998" t="inlineStr">
        <is>
          <t>의약품</t>
        </is>
      </c>
      <c r="E998" t="inlineStr">
        <is>
          <t>899</t>
        </is>
      </c>
      <c r="F998" t="inlineStr">
        <is>
          <t>이진경</t>
        </is>
      </c>
      <c r="G998" t="inlineStr">
        <is>
          <t>2007-06-19</t>
        </is>
      </c>
      <c r="H998" t="inlineStr">
        <is>
          <t>20070619</t>
        </is>
      </c>
      <c r="I998" t="inlineStr">
        <is>
          <t>1</t>
        </is>
      </c>
      <c r="J998" t="inlineStr">
        <is>
          <t>서울</t>
        </is>
      </c>
      <c r="K998" t="inlineStr">
        <is>
          <t>02-970-2114</t>
        </is>
      </c>
      <c r="L998" t="inlineStr">
        <is>
          <t>서울특별시 노원구 노원로 75</t>
        </is>
      </c>
      <c r="M998" t="inlineStr">
        <is>
          <t>한국원자력의학원 비상진료센터동 지하1층~2층, 국가RI신약센터 지하1층</t>
        </is>
      </c>
      <c r="N998" t="inlineStr">
        <is>
          <t>서울특별시 노원구 노원로 75 한국원자력의학원 비상진료센터동 지하1층~2층, 국가RI신약센터 지하1층</t>
        </is>
      </c>
      <c r="O998" t="inlineStr">
        <is>
          <t>서울특별시</t>
        </is>
      </c>
      <c r="P998" t="inlineStr">
        <is>
          <t>노원구</t>
        </is>
      </c>
      <c r="Q998" t="inlineStr">
        <is>
          <t>N</t>
        </is>
      </c>
      <c r="R998" t="n">
        <v>0</v>
      </c>
    </row>
    <row r="999">
      <c r="A999" t="n">
        <v>998</v>
      </c>
      <c r="B999" t="inlineStr">
        <is>
          <t>(주)덕양가스</t>
        </is>
      </c>
      <c r="C999" t="inlineStr">
        <is>
          <t>덕양가스</t>
        </is>
      </c>
      <c r="D999" t="inlineStr">
        <is>
          <t>의약품</t>
        </is>
      </c>
      <c r="E999" t="inlineStr">
        <is>
          <t>6160</t>
        </is>
      </c>
      <c r="F999" t="inlineStr">
        <is>
          <t>이치윤</t>
        </is>
      </c>
      <c r="G999" t="inlineStr">
        <is>
          <t>2021-03-05</t>
        </is>
      </c>
      <c r="H999" t="inlineStr">
        <is>
          <t>20210305</t>
        </is>
      </c>
      <c r="I999" t="inlineStr">
        <is>
          <t>1</t>
        </is>
      </c>
      <c r="J999" t="inlineStr">
        <is>
          <t>덕양가스 달천공장</t>
        </is>
      </c>
      <c r="K999" t="inlineStr">
        <is>
          <t>0522828100</t>
        </is>
      </c>
      <c r="L999" t="inlineStr">
        <is>
          <t>울산광역시 북구 농공단지2길 9</t>
        </is>
      </c>
      <c r="M999" t="inlineStr"/>
      <c r="N999" t="inlineStr">
        <is>
          <t>울산광역시 북구 농공단지2길 9</t>
        </is>
      </c>
      <c r="O999" t="inlineStr">
        <is>
          <t>울산광역시</t>
        </is>
      </c>
      <c r="P999" t="inlineStr">
        <is>
          <t>북구</t>
        </is>
      </c>
      <c r="Q999" t="inlineStr">
        <is>
          <t>N</t>
        </is>
      </c>
      <c r="R999" t="n">
        <v>0</v>
      </c>
    </row>
    <row r="1000">
      <c r="A1000" t="n">
        <v>999</v>
      </c>
      <c r="B1000" t="inlineStr">
        <is>
          <t>(주)창신</t>
        </is>
      </c>
      <c r="C1000" t="inlineStr">
        <is>
          <t>창신</t>
        </is>
      </c>
      <c r="D1000" t="inlineStr">
        <is>
          <t>의약품</t>
        </is>
      </c>
      <c r="E1000" t="inlineStr">
        <is>
          <t>2246</t>
        </is>
      </c>
      <c r="F1000" t="inlineStr">
        <is>
          <t>배윤동</t>
        </is>
      </c>
      <c r="G1000" t="inlineStr">
        <is>
          <t>2001-09-27</t>
        </is>
      </c>
      <c r="H1000" t="inlineStr">
        <is>
          <t>20010927</t>
        </is>
      </c>
      <c r="I1000" t="inlineStr">
        <is>
          <t>2</t>
        </is>
      </c>
      <c r="J1000" t="inlineStr">
        <is>
          <t>함안</t>
        </is>
      </c>
      <c r="K1000" t="inlineStr">
        <is>
          <t>055-232-2000</t>
        </is>
      </c>
      <c r="L1000" t="inlineStr">
        <is>
          <t>경상남도 함안군 산인면 신산로 159-15</t>
        </is>
      </c>
      <c r="M1000" t="inlineStr"/>
      <c r="N1000" t="inlineStr">
        <is>
          <t>경상남도 함안군 산인면 신산로 159-15</t>
        </is>
      </c>
      <c r="O1000" t="inlineStr">
        <is>
          <t>경상남도</t>
        </is>
      </c>
      <c r="P1000" t="inlineStr">
        <is>
          <t>함안군</t>
        </is>
      </c>
      <c r="Q1000" t="inlineStr">
        <is>
          <t>Y</t>
        </is>
      </c>
      <c r="R1000" t="n">
        <v>35</v>
      </c>
    </row>
    <row r="1001">
      <c r="A1001" t="n">
        <v>1000</v>
      </c>
      <c r="B1001" t="inlineStr">
        <is>
          <t>(주)옵투스제약</t>
        </is>
      </c>
      <c r="C1001" t="inlineStr">
        <is>
          <t>옵투스제약</t>
        </is>
      </c>
      <c r="D1001" t="inlineStr">
        <is>
          <t>의약품</t>
        </is>
      </c>
      <c r="E1001" t="inlineStr">
        <is>
          <t>918</t>
        </is>
      </c>
      <c r="F1001" t="inlineStr">
        <is>
          <t>심상호</t>
        </is>
      </c>
      <c r="G1001" t="inlineStr">
        <is>
          <t>2006-12-08</t>
        </is>
      </c>
      <c r="H1001" t="inlineStr">
        <is>
          <t>20061208</t>
        </is>
      </c>
      <c r="I1001" t="inlineStr">
        <is>
          <t>2</t>
        </is>
      </c>
      <c r="J1001" t="inlineStr">
        <is>
          <t>1공장</t>
        </is>
      </c>
      <c r="K1001" t="inlineStr">
        <is>
          <t>043-230-0300</t>
        </is>
      </c>
      <c r="L1001" t="inlineStr">
        <is>
          <t>충청북도 청주시 흥덕구 오송읍 오송생명6로 50</t>
        </is>
      </c>
      <c r="M1001" t="inlineStr"/>
      <c r="N1001" t="inlineStr">
        <is>
          <t>충청북도 청주시 흥덕구 오송읍 오송생명6로 50</t>
        </is>
      </c>
      <c r="O1001" t="inlineStr">
        <is>
          <t>충청북도</t>
        </is>
      </c>
      <c r="P1001" t="inlineStr">
        <is>
          <t>청주시</t>
        </is>
      </c>
      <c r="Q1001" t="inlineStr">
        <is>
          <t>N</t>
        </is>
      </c>
      <c r="R1001" t="n">
        <v>0</v>
      </c>
    </row>
    <row r="1002">
      <c r="A1002" t="n">
        <v>1001</v>
      </c>
      <c r="B1002" t="inlineStr">
        <is>
          <t>주식회사이룡제약</t>
        </is>
      </c>
      <c r="C1002" t="inlineStr">
        <is>
          <t>이룡제약</t>
        </is>
      </c>
      <c r="D1002" t="inlineStr">
        <is>
          <t>의약품</t>
        </is>
      </c>
      <c r="E1002" t="inlineStr">
        <is>
          <t>387</t>
        </is>
      </c>
      <c r="F1002" t="inlineStr">
        <is>
          <t>봉용군</t>
        </is>
      </c>
      <c r="G1002" t="inlineStr">
        <is>
          <t>2020-06-08</t>
        </is>
      </c>
      <c r="H1002" t="inlineStr">
        <is>
          <t>20200608</t>
        </is>
      </c>
      <c r="I1002" t="inlineStr">
        <is>
          <t>1</t>
        </is>
      </c>
      <c r="J1002" t="inlineStr">
        <is>
          <t>1공장</t>
        </is>
      </c>
      <c r="K1002" t="inlineStr">
        <is>
          <t>02-3295-5883</t>
        </is>
      </c>
      <c r="L1002" t="inlineStr">
        <is>
          <t>서울특별시 동대문구 약령중앙로 30</t>
        </is>
      </c>
      <c r="M1002" t="inlineStr">
        <is>
          <t>303호(제기동)</t>
        </is>
      </c>
      <c r="N1002" t="inlineStr">
        <is>
          <t>서울특별시 동대문구 약령중앙로 30 303호(제기동)</t>
        </is>
      </c>
      <c r="O1002" t="inlineStr">
        <is>
          <t>서울특별시</t>
        </is>
      </c>
      <c r="P1002" t="inlineStr">
        <is>
          <t>동대문구</t>
        </is>
      </c>
      <c r="Q1002" t="inlineStr">
        <is>
          <t>N</t>
        </is>
      </c>
      <c r="R1002" t="n">
        <v>0</v>
      </c>
    </row>
    <row r="1003">
      <c r="A1003" t="n">
        <v>1002</v>
      </c>
      <c r="B1003" t="inlineStr">
        <is>
          <t>씨케이(주)</t>
        </is>
      </c>
      <c r="C1003" t="inlineStr">
        <is>
          <t>씨케이</t>
        </is>
      </c>
      <c r="D1003" t="inlineStr">
        <is>
          <t>의약품</t>
        </is>
      </c>
      <c r="E1003" t="inlineStr">
        <is>
          <t>2586</t>
        </is>
      </c>
      <c r="F1003" t="inlineStr">
        <is>
          <t>김동락</t>
        </is>
      </c>
      <c r="G1003" t="inlineStr">
        <is>
          <t>2006-11-29</t>
        </is>
      </c>
      <c r="H1003" t="inlineStr">
        <is>
          <t>20061129</t>
        </is>
      </c>
      <c r="I1003" t="inlineStr">
        <is>
          <t>1</t>
        </is>
      </c>
      <c r="J1003" t="inlineStr">
        <is>
          <t>시험실, 보관소</t>
        </is>
      </c>
      <c r="K1003" t="inlineStr">
        <is>
          <t>043-544-8511</t>
        </is>
      </c>
      <c r="L1003" t="inlineStr">
        <is>
          <t>충청북도 보은군 보은읍 매화구인로 331-13</t>
        </is>
      </c>
      <c r="M1003" t="inlineStr"/>
      <c r="N1003" t="inlineStr">
        <is>
          <t>충청북도 보은군 보은읍 매화구인로 331-13</t>
        </is>
      </c>
      <c r="O1003" t="inlineStr">
        <is>
          <t>충청북도</t>
        </is>
      </c>
      <c r="P1003" t="inlineStr">
        <is>
          <t>보은군</t>
        </is>
      </c>
      <c r="Q1003" t="inlineStr">
        <is>
          <t>Y</t>
        </is>
      </c>
      <c r="R1003" t="n">
        <v>38</v>
      </c>
    </row>
    <row r="1004">
      <c r="A1004" t="n">
        <v>1003</v>
      </c>
      <c r="B1004" t="inlineStr">
        <is>
          <t>에이치디엑스(주)</t>
        </is>
      </c>
      <c r="C1004" t="inlineStr">
        <is>
          <t>에이치디엑스</t>
        </is>
      </c>
      <c r="D1004" t="inlineStr">
        <is>
          <t>의약품</t>
        </is>
      </c>
      <c r="E1004" t="inlineStr">
        <is>
          <t>2407</t>
        </is>
      </c>
      <c r="F1004" t="inlineStr">
        <is>
          <t>이창영</t>
        </is>
      </c>
      <c r="G1004" t="inlineStr">
        <is>
          <t>2003-12-11</t>
        </is>
      </c>
      <c r="H1004" t="inlineStr">
        <is>
          <t>20031211</t>
        </is>
      </c>
      <c r="I1004" t="inlineStr">
        <is>
          <t>4</t>
        </is>
      </c>
      <c r="J1004" t="inlineStr">
        <is>
          <t>대전</t>
        </is>
      </c>
      <c r="K1004" t="inlineStr"/>
      <c r="L1004" t="inlineStr">
        <is>
          <t>대전광역시 서구 관저동로 158</t>
        </is>
      </c>
      <c r="M1004" t="inlineStr">
        <is>
          <t>지하1층(관저동, 건양대학교병원)</t>
        </is>
      </c>
      <c r="N1004" t="inlineStr">
        <is>
          <t>대전광역시 서구 관저동로 158 지하1층(관저동, 건양대학교병원)</t>
        </is>
      </c>
      <c r="O1004" t="inlineStr">
        <is>
          <t>대전광역시</t>
        </is>
      </c>
      <c r="P1004" t="inlineStr">
        <is>
          <t>서구</t>
        </is>
      </c>
      <c r="Q1004" t="inlineStr">
        <is>
          <t>N</t>
        </is>
      </c>
      <c r="R1004" t="n">
        <v>0</v>
      </c>
    </row>
    <row r="1005">
      <c r="A1005" t="n">
        <v>1004</v>
      </c>
      <c r="B1005" t="inlineStr">
        <is>
          <t>(주)한창메딕</t>
        </is>
      </c>
      <c r="C1005" t="inlineStr">
        <is>
          <t>한창메딕</t>
        </is>
      </c>
      <c r="D1005" t="inlineStr">
        <is>
          <t>의약품</t>
        </is>
      </c>
      <c r="E1005" t="inlineStr">
        <is>
          <t>6182</t>
        </is>
      </c>
      <c r="F1005" t="inlineStr">
        <is>
          <t>한 경 준</t>
        </is>
      </c>
      <c r="G1005" t="inlineStr">
        <is>
          <t>2023-08-02</t>
        </is>
      </c>
      <c r="H1005" t="inlineStr">
        <is>
          <t>20230802</t>
        </is>
      </c>
      <c r="I1005" t="inlineStr">
        <is>
          <t>1</t>
        </is>
      </c>
      <c r="J1005" t="inlineStr">
        <is>
          <t>(주)한창메딕</t>
        </is>
      </c>
      <c r="K1005" t="inlineStr">
        <is>
          <t>041-547-8805</t>
        </is>
      </c>
      <c r="L1005" t="inlineStr">
        <is>
          <t>충청남도 아산시 음봉면 월산로201번길 10</t>
        </is>
      </c>
      <c r="M1005" t="inlineStr"/>
      <c r="N1005" t="inlineStr">
        <is>
          <t>충청남도 아산시 음봉면 월산로201번길 10</t>
        </is>
      </c>
      <c r="O1005" t="inlineStr">
        <is>
          <t>충청남도</t>
        </is>
      </c>
      <c r="P1005" t="inlineStr">
        <is>
          <t>아산시</t>
        </is>
      </c>
      <c r="Q1005" t="inlineStr">
        <is>
          <t>N</t>
        </is>
      </c>
      <c r="R1005" t="n">
        <v>0</v>
      </c>
    </row>
    <row r="1006">
      <c r="A1006" t="n">
        <v>1005</v>
      </c>
      <c r="B1006" t="inlineStr">
        <is>
          <t>동우당제약(주)</t>
        </is>
      </c>
      <c r="C1006" t="inlineStr">
        <is>
          <t>동우당제약</t>
        </is>
      </c>
      <c r="D1006" t="inlineStr">
        <is>
          <t>의약품</t>
        </is>
      </c>
      <c r="E1006" t="inlineStr">
        <is>
          <t>2320</t>
        </is>
      </c>
      <c r="F1006" t="inlineStr">
        <is>
          <t>허담</t>
        </is>
      </c>
      <c r="G1006" t="inlineStr">
        <is>
          <t>2002-08-09</t>
        </is>
      </c>
      <c r="H1006" t="inlineStr">
        <is>
          <t>20020809</t>
        </is>
      </c>
      <c r="I1006" t="inlineStr">
        <is>
          <t>2</t>
        </is>
      </c>
      <c r="J1006" t="inlineStr">
        <is>
          <t>호남</t>
        </is>
      </c>
      <c r="K1006" t="inlineStr"/>
      <c r="L1006" t="inlineStr">
        <is>
          <t>전라남도 장흥군 장흥읍 장흥대로 3683</t>
        </is>
      </c>
      <c r="M1006" t="inlineStr">
        <is>
          <t>가동 2층(실험실)</t>
        </is>
      </c>
      <c r="N1006" t="inlineStr">
        <is>
          <t>전라남도 장흥군 장흥읍 장흥대로 3683 가동 2층(실험실)</t>
        </is>
      </c>
      <c r="O1006" t="inlineStr">
        <is>
          <t>전라남도</t>
        </is>
      </c>
      <c r="P1006" t="inlineStr">
        <is>
          <t>장흥군</t>
        </is>
      </c>
      <c r="Q1006" t="inlineStr">
        <is>
          <t>N</t>
        </is>
      </c>
      <c r="R1006" t="n">
        <v>0</v>
      </c>
    </row>
    <row r="1007">
      <c r="A1007" t="n">
        <v>1006</v>
      </c>
      <c r="B1007" t="inlineStr">
        <is>
          <t>주식회사 코리아에어텍</t>
        </is>
      </c>
      <c r="C1007" t="inlineStr">
        <is>
          <t>코리아에어텍</t>
        </is>
      </c>
      <c r="D1007" t="inlineStr">
        <is>
          <t>의약품</t>
        </is>
      </c>
      <c r="E1007" t="inlineStr">
        <is>
          <t>56</t>
        </is>
      </c>
      <c r="F1007" t="inlineStr">
        <is>
          <t>채상수</t>
        </is>
      </c>
      <c r="G1007" t="inlineStr">
        <is>
          <t>2008-03-11</t>
        </is>
      </c>
      <c r="H1007" t="inlineStr">
        <is>
          <t>20080311</t>
        </is>
      </c>
      <c r="I1007" t="inlineStr">
        <is>
          <t>2</t>
        </is>
      </c>
      <c r="J1007" t="inlineStr">
        <is>
          <t>코리아에어텍온산공장</t>
        </is>
      </c>
      <c r="K1007" t="inlineStr">
        <is>
          <t>052-278-6782</t>
        </is>
      </c>
      <c r="L1007" t="inlineStr">
        <is>
          <t>울산광역시 울주군 온산읍 온산로 134</t>
        </is>
      </c>
      <c r="M1007" t="inlineStr"/>
      <c r="N1007" t="inlineStr">
        <is>
          <t>울산광역시 울주군 온산읍 온산로 134</t>
        </is>
      </c>
      <c r="O1007" t="inlineStr">
        <is>
          <t>울산광역시</t>
        </is>
      </c>
      <c r="P1007" t="inlineStr">
        <is>
          <t>울주군</t>
        </is>
      </c>
      <c r="Q1007" t="inlineStr">
        <is>
          <t>N</t>
        </is>
      </c>
      <c r="R1007" t="n">
        <v>0</v>
      </c>
    </row>
    <row r="1008">
      <c r="A1008" t="n">
        <v>1007</v>
      </c>
      <c r="B1008" t="inlineStr">
        <is>
          <t>(주)평화산소공업</t>
        </is>
      </c>
      <c r="C1008" t="inlineStr">
        <is>
          <t>평화산소공업</t>
        </is>
      </c>
      <c r="D1008" t="inlineStr">
        <is>
          <t>의약품</t>
        </is>
      </c>
      <c r="E1008" t="inlineStr">
        <is>
          <t>6172</t>
        </is>
      </c>
      <c r="F1008" t="inlineStr">
        <is>
          <t>김진태</t>
        </is>
      </c>
      <c r="G1008" t="inlineStr">
        <is>
          <t>2022-08-24</t>
        </is>
      </c>
      <c r="H1008" t="inlineStr">
        <is>
          <t>20220824</t>
        </is>
      </c>
      <c r="I1008" t="inlineStr">
        <is>
          <t>1</t>
        </is>
      </c>
      <c r="J1008" t="inlineStr">
        <is>
          <t>(주)평화산소공업</t>
        </is>
      </c>
      <c r="K1008" t="inlineStr">
        <is>
          <t>0513134631</t>
        </is>
      </c>
      <c r="L1008" t="inlineStr">
        <is>
          <t>부산광역시 사상구 대동로269번길 41</t>
        </is>
      </c>
      <c r="M1008" t="inlineStr">
        <is>
          <t>1층(감전동)</t>
        </is>
      </c>
      <c r="N1008" t="inlineStr">
        <is>
          <t>부산광역시 사상구 대동로269번길 41 1층(감전동)</t>
        </is>
      </c>
      <c r="O1008" t="inlineStr">
        <is>
          <t>부산광역시</t>
        </is>
      </c>
      <c r="P1008" t="inlineStr">
        <is>
          <t>사상구</t>
        </is>
      </c>
      <c r="Q1008" t="inlineStr">
        <is>
          <t>N</t>
        </is>
      </c>
      <c r="R1008" t="n">
        <v>0</v>
      </c>
    </row>
    <row r="1009">
      <c r="A1009" t="n">
        <v>1008</v>
      </c>
      <c r="B1009" t="inlineStr">
        <is>
          <t>테고사이언스(주)</t>
        </is>
      </c>
      <c r="C1009" t="inlineStr">
        <is>
          <t>테고사이언스</t>
        </is>
      </c>
      <c r="D1009" t="inlineStr">
        <is>
          <t>의약품</t>
        </is>
      </c>
      <c r="E1009" t="inlineStr">
        <is>
          <t>2353</t>
        </is>
      </c>
      <c r="F1009" t="inlineStr">
        <is>
          <t>전세화</t>
        </is>
      </c>
      <c r="G1009" t="inlineStr">
        <is>
          <t>2002-12-10</t>
        </is>
      </c>
      <c r="H1009" t="inlineStr">
        <is>
          <t>20021210</t>
        </is>
      </c>
      <c r="I1009" t="inlineStr">
        <is>
          <t>2</t>
        </is>
      </c>
      <c r="J1009" t="inlineStr">
        <is>
          <t>제2공장</t>
        </is>
      </c>
      <c r="K1009" t="inlineStr">
        <is>
          <t>02-818-2927</t>
        </is>
      </c>
      <c r="L1009" t="inlineStr">
        <is>
          <t>서울특별시 강서구 마곡중앙8로 93</t>
        </is>
      </c>
      <c r="M1009" t="inlineStr">
        <is>
          <t>, 지하2층, 1층, 3층</t>
        </is>
      </c>
      <c r="N1009" t="inlineStr">
        <is>
          <t>서울특별시 강서구 마곡중앙8로 93 , 지하2층, 1층, 3층</t>
        </is>
      </c>
      <c r="O1009" t="inlineStr">
        <is>
          <t>서울특별시</t>
        </is>
      </c>
      <c r="P1009" t="inlineStr">
        <is>
          <t>강서구</t>
        </is>
      </c>
      <c r="Q1009" t="inlineStr">
        <is>
          <t>N</t>
        </is>
      </c>
      <c r="R1009" t="n">
        <v>0</v>
      </c>
    </row>
    <row r="1010">
      <c r="A1010" t="n">
        <v>1009</v>
      </c>
      <c r="B1010" t="inlineStr">
        <is>
          <t>(주)농림생약</t>
        </is>
      </c>
      <c r="C1010" t="inlineStr">
        <is>
          <t>농림생약</t>
        </is>
      </c>
      <c r="D1010" t="inlineStr">
        <is>
          <t>의약품</t>
        </is>
      </c>
      <c r="E1010" t="inlineStr">
        <is>
          <t>247</t>
        </is>
      </c>
      <c r="F1010" t="inlineStr">
        <is>
          <t>손재철</t>
        </is>
      </c>
      <c r="G1010" t="inlineStr">
        <is>
          <t>2007-09-07</t>
        </is>
      </c>
      <c r="H1010" t="inlineStr">
        <is>
          <t>20070907</t>
        </is>
      </c>
      <c r="I1010" t="inlineStr">
        <is>
          <t>1</t>
        </is>
      </c>
      <c r="J1010" t="inlineStr">
        <is>
          <t>농림생약</t>
        </is>
      </c>
      <c r="K1010" t="inlineStr">
        <is>
          <t>(02)957-2464</t>
        </is>
      </c>
      <c r="L1010" t="inlineStr">
        <is>
          <t>서울특별시 동대문구 고산자로 481</t>
        </is>
      </c>
      <c r="M1010" t="inlineStr">
        <is>
          <t>(제기동)</t>
        </is>
      </c>
      <c r="N1010" t="inlineStr">
        <is>
          <t>서울특별시 동대문구 고산자로 481 (제기동)</t>
        </is>
      </c>
      <c r="O1010" t="inlineStr">
        <is>
          <t>서울특별시</t>
        </is>
      </c>
      <c r="P1010" t="inlineStr">
        <is>
          <t>동대문구</t>
        </is>
      </c>
      <c r="Q1010" t="inlineStr">
        <is>
          <t>N</t>
        </is>
      </c>
      <c r="R1010" t="n">
        <v>0</v>
      </c>
    </row>
    <row r="1011">
      <c r="A1011" t="n">
        <v>1010</v>
      </c>
      <c r="B1011" t="inlineStr">
        <is>
          <t>단일에이피(주)</t>
        </is>
      </c>
      <c r="C1011" t="inlineStr">
        <is>
          <t>단일에이피</t>
        </is>
      </c>
      <c r="D1011" t="inlineStr">
        <is>
          <t>의약품</t>
        </is>
      </c>
      <c r="E1011" t="inlineStr">
        <is>
          <t>392</t>
        </is>
      </c>
      <c r="F1011" t="inlineStr">
        <is>
          <t>장세정</t>
        </is>
      </c>
      <c r="G1011" t="inlineStr">
        <is>
          <t>2021-04-28</t>
        </is>
      </c>
      <c r="H1011" t="inlineStr">
        <is>
          <t>20210428</t>
        </is>
      </c>
      <c r="I1011" t="inlineStr">
        <is>
          <t>1</t>
        </is>
      </c>
      <c r="J1011" t="inlineStr">
        <is>
          <t>제1공장</t>
        </is>
      </c>
      <c r="K1011" t="inlineStr">
        <is>
          <t>031-563-3379</t>
        </is>
      </c>
      <c r="L1011" t="inlineStr">
        <is>
          <t>경기도 구리시 동구릉로200번길 30</t>
        </is>
      </c>
      <c r="M1011" t="inlineStr">
        <is>
          <t>충전동</t>
        </is>
      </c>
      <c r="N1011" t="inlineStr">
        <is>
          <t>경기도 구리시 동구릉로200번길 30 충전동</t>
        </is>
      </c>
      <c r="O1011" t="inlineStr">
        <is>
          <t>경기도</t>
        </is>
      </c>
      <c r="P1011" t="inlineStr">
        <is>
          <t>구리시</t>
        </is>
      </c>
      <c r="Q1011" t="inlineStr">
        <is>
          <t>N</t>
        </is>
      </c>
      <c r="R1011" t="n">
        <v>0</v>
      </c>
    </row>
    <row r="1012">
      <c r="A1012" t="n">
        <v>1011</v>
      </c>
      <c r="B1012" t="inlineStr">
        <is>
          <t>성원애드콕제약(주)</t>
        </is>
      </c>
      <c r="C1012" t="inlineStr">
        <is>
          <t>성원애드콕제약</t>
        </is>
      </c>
      <c r="D1012" t="inlineStr">
        <is>
          <t>의약품</t>
        </is>
      </c>
      <c r="E1012" t="inlineStr">
        <is>
          <t>2283</t>
        </is>
      </c>
      <c r="F1012" t="inlineStr">
        <is>
          <t>박형미</t>
        </is>
      </c>
      <c r="G1012" t="inlineStr">
        <is>
          <t>2002-04-03</t>
        </is>
      </c>
      <c r="H1012" t="inlineStr">
        <is>
          <t>20020403</t>
        </is>
      </c>
      <c r="I1012" t="inlineStr">
        <is>
          <t>1</t>
        </is>
      </c>
      <c r="J1012" t="inlineStr">
        <is>
          <t>제 1공장</t>
        </is>
      </c>
      <c r="K1012" t="inlineStr"/>
      <c r="L1012" t="inlineStr">
        <is>
          <t>경기도 김포시 통진읍 가현로 182-4</t>
        </is>
      </c>
      <c r="M1012" t="inlineStr"/>
      <c r="N1012" t="inlineStr">
        <is>
          <t>경기도 김포시 통진읍 가현로 182-4</t>
        </is>
      </c>
      <c r="O1012" t="inlineStr">
        <is>
          <t>경기도</t>
        </is>
      </c>
      <c r="P1012" t="inlineStr">
        <is>
          <t>김포시</t>
        </is>
      </c>
      <c r="Q1012" t="inlineStr">
        <is>
          <t>N</t>
        </is>
      </c>
      <c r="R1012" t="n">
        <v>0</v>
      </c>
    </row>
    <row r="1013">
      <c r="A1013" t="n">
        <v>1012</v>
      </c>
      <c r="B1013" t="inlineStr">
        <is>
          <t>(주)휴메딕스</t>
        </is>
      </c>
      <c r="C1013" t="inlineStr">
        <is>
          <t>휴메딕스</t>
        </is>
      </c>
      <c r="D1013" t="inlineStr">
        <is>
          <t>의약품</t>
        </is>
      </c>
      <c r="E1013" t="inlineStr">
        <is>
          <t>899</t>
        </is>
      </c>
      <c r="F1013" t="inlineStr">
        <is>
          <t>강민종</t>
        </is>
      </c>
      <c r="G1013" t="inlineStr">
        <is>
          <t>2007-01-15</t>
        </is>
      </c>
      <c r="H1013" t="inlineStr">
        <is>
          <t>20070115</t>
        </is>
      </c>
      <c r="I1013" t="inlineStr">
        <is>
          <t>2</t>
        </is>
      </c>
      <c r="J1013" t="inlineStr">
        <is>
          <t>보관소</t>
        </is>
      </c>
      <c r="K1013" t="inlineStr"/>
      <c r="L1013" t="inlineStr"/>
      <c r="M1013" t="inlineStr">
        <is>
          <t>충북제천시 왕암동937-1(보관소)</t>
        </is>
      </c>
      <c r="N1013" t="inlineStr">
        <is>
          <t>충북제천시 왕암동937-1(보관소)</t>
        </is>
      </c>
      <c r="O1013" t="inlineStr">
        <is>
          <t>충북제천시</t>
        </is>
      </c>
      <c r="P1013" t="inlineStr"/>
      <c r="Q1013" t="inlineStr">
        <is>
          <t>N</t>
        </is>
      </c>
      <c r="R1013" t="n">
        <v>0</v>
      </c>
    </row>
    <row r="1014">
      <c r="A1014" t="n">
        <v>1013</v>
      </c>
      <c r="B1014" t="inlineStr">
        <is>
          <t>안동농협 한약재유통센터</t>
        </is>
      </c>
      <c r="C1014" t="inlineStr">
        <is>
          <t>안동농협 한약재유통센터</t>
        </is>
      </c>
      <c r="D1014" t="inlineStr">
        <is>
          <t>의약품</t>
        </is>
      </c>
      <c r="E1014" t="inlineStr">
        <is>
          <t>104</t>
        </is>
      </c>
      <c r="F1014" t="inlineStr">
        <is>
          <t>권태형</t>
        </is>
      </c>
      <c r="G1014" t="inlineStr">
        <is>
          <t>2020-11-11</t>
        </is>
      </c>
      <c r="H1014" t="inlineStr">
        <is>
          <t>20201111</t>
        </is>
      </c>
      <c r="I1014" t="inlineStr">
        <is>
          <t>1</t>
        </is>
      </c>
      <c r="J1014" t="inlineStr">
        <is>
          <t>제1공장</t>
        </is>
      </c>
      <c r="K1014" t="inlineStr"/>
      <c r="L1014" t="inlineStr">
        <is>
          <t>경상북도 안동시 풍산읍 유통단지길 116</t>
        </is>
      </c>
      <c r="M1014" t="inlineStr">
        <is>
          <t>(보관소) 경북 안동시 직곡길 45(송현동) 2~ 4</t>
        </is>
      </c>
      <c r="N1014" t="inlineStr">
        <is>
          <t>경상북도 안동시 풍산읍 유통단지길 116 (보관소) 경북 안동시 직곡길 45(송현동) 2~ 4</t>
        </is>
      </c>
      <c r="O1014" t="inlineStr">
        <is>
          <t>경상북도</t>
        </is>
      </c>
      <c r="P1014" t="inlineStr">
        <is>
          <t>안동시</t>
        </is>
      </c>
      <c r="Q1014" t="inlineStr">
        <is>
          <t>N</t>
        </is>
      </c>
      <c r="R1014" t="n">
        <v>0</v>
      </c>
    </row>
    <row r="1015">
      <c r="A1015" t="n">
        <v>1014</v>
      </c>
      <c r="B1015" t="inlineStr">
        <is>
          <t>씨케이(주)</t>
        </is>
      </c>
      <c r="C1015" t="inlineStr">
        <is>
          <t>씨케이</t>
        </is>
      </c>
      <c r="D1015" t="inlineStr">
        <is>
          <t>의약품</t>
        </is>
      </c>
      <c r="E1015" t="inlineStr">
        <is>
          <t>2586</t>
        </is>
      </c>
      <c r="F1015" t="inlineStr">
        <is>
          <t>김동락</t>
        </is>
      </c>
      <c r="G1015" t="inlineStr">
        <is>
          <t>2006-11-29</t>
        </is>
      </c>
      <c r="H1015" t="inlineStr">
        <is>
          <t>20061129</t>
        </is>
      </c>
      <c r="I1015" t="inlineStr">
        <is>
          <t>2</t>
        </is>
      </c>
      <c r="J1015" t="inlineStr">
        <is>
          <t>2공장</t>
        </is>
      </c>
      <c r="K1015" t="inlineStr">
        <is>
          <t>043-544-8511</t>
        </is>
      </c>
      <c r="L1015" t="inlineStr">
        <is>
          <t>충청북도 보은군 보은읍 매화구인로 331-10</t>
        </is>
      </c>
      <c r="M1015" t="inlineStr"/>
      <c r="N1015" t="inlineStr">
        <is>
          <t>충청북도 보은군 보은읍 매화구인로 331-10</t>
        </is>
      </c>
      <c r="O1015" t="inlineStr">
        <is>
          <t>충청북도</t>
        </is>
      </c>
      <c r="P1015" t="inlineStr">
        <is>
          <t>보은군</t>
        </is>
      </c>
      <c r="Q1015" t="inlineStr">
        <is>
          <t>Y</t>
        </is>
      </c>
      <c r="R1015" t="n">
        <v>32</v>
      </c>
    </row>
    <row r="1016">
      <c r="A1016" t="n">
        <v>1015</v>
      </c>
      <c r="B1016" t="inlineStr">
        <is>
          <t>대명제약(주)</t>
        </is>
      </c>
      <c r="C1016" t="inlineStr">
        <is>
          <t>대명제약</t>
        </is>
      </c>
      <c r="D1016" t="inlineStr">
        <is>
          <t>의약품</t>
        </is>
      </c>
      <c r="E1016" t="inlineStr">
        <is>
          <t>2546</t>
        </is>
      </c>
      <c r="F1016" t="inlineStr">
        <is>
          <t>박흥민</t>
        </is>
      </c>
      <c r="G1016" t="inlineStr">
        <is>
          <t>2006-02-02</t>
        </is>
      </c>
      <c r="H1016" t="inlineStr">
        <is>
          <t>20060202</t>
        </is>
      </c>
      <c r="I1016" t="inlineStr">
        <is>
          <t>2</t>
        </is>
      </c>
      <c r="J1016" t="inlineStr">
        <is>
          <t>제2공장</t>
        </is>
      </c>
      <c r="K1016" t="inlineStr">
        <is>
          <t>02-963-0333</t>
        </is>
      </c>
      <c r="L1016" t="inlineStr">
        <is>
          <t>서울특별시 동대문구 약령중앙로 42-6</t>
        </is>
      </c>
      <c r="M1016" t="inlineStr">
        <is>
          <t>1층, 2층(제기동)</t>
        </is>
      </c>
      <c r="N1016" t="inlineStr">
        <is>
          <t>서울특별시 동대문구 약령중앙로 42-6 1층, 2층(제기동)</t>
        </is>
      </c>
      <c r="O1016" t="inlineStr">
        <is>
          <t>서울특별시</t>
        </is>
      </c>
      <c r="P1016" t="inlineStr">
        <is>
          <t>동대문구</t>
        </is>
      </c>
      <c r="Q1016" t="inlineStr">
        <is>
          <t>N</t>
        </is>
      </c>
      <c r="R1016" t="n">
        <v>0</v>
      </c>
    </row>
    <row r="1017">
      <c r="A1017" t="n">
        <v>1016</v>
      </c>
      <c r="B1017" t="inlineStr">
        <is>
          <t>메딕스제약(주)</t>
        </is>
      </c>
      <c r="C1017" t="inlineStr">
        <is>
          <t>메딕스제약</t>
        </is>
      </c>
      <c r="D1017" t="inlineStr">
        <is>
          <t>의약품</t>
        </is>
      </c>
      <c r="E1017" t="inlineStr">
        <is>
          <t>6144</t>
        </is>
      </c>
      <c r="F1017" t="inlineStr">
        <is>
          <t>변광민</t>
        </is>
      </c>
      <c r="G1017" t="inlineStr">
        <is>
          <t>2013-01-03</t>
        </is>
      </c>
      <c r="H1017" t="inlineStr">
        <is>
          <t>20130103</t>
        </is>
      </c>
      <c r="I1017" t="inlineStr">
        <is>
          <t>1</t>
        </is>
      </c>
      <c r="J1017" t="inlineStr">
        <is>
          <t>제1공장</t>
        </is>
      </c>
      <c r="K1017" t="inlineStr">
        <is>
          <t>063-906-5555</t>
        </is>
      </c>
      <c r="L1017" t="inlineStr">
        <is>
          <t>전라북도 완주군 이서면 콩쥐팥쥐로 1012-7</t>
        </is>
      </c>
      <c r="M1017" t="inlineStr"/>
      <c r="N1017" t="inlineStr">
        <is>
          <t>전라북도 완주군 이서면 콩쥐팥쥐로 1012-7</t>
        </is>
      </c>
      <c r="O1017" t="inlineStr">
        <is>
          <t>전라북도</t>
        </is>
      </c>
      <c r="P1017" t="inlineStr">
        <is>
          <t>완주군</t>
        </is>
      </c>
      <c r="Q1017" t="inlineStr">
        <is>
          <t>N</t>
        </is>
      </c>
      <c r="R1017" t="n">
        <v>0</v>
      </c>
    </row>
    <row r="1018">
      <c r="A1018" t="n">
        <v>1017</v>
      </c>
      <c r="B1018" t="inlineStr">
        <is>
          <t>에이치케이바이오이노베이션주식회사</t>
        </is>
      </c>
      <c r="C1018" t="inlineStr">
        <is>
          <t>에이치케이바이오이노베이션</t>
        </is>
      </c>
      <c r="D1018" t="inlineStr">
        <is>
          <t>의약품</t>
        </is>
      </c>
      <c r="E1018" t="inlineStr">
        <is>
          <t>2654</t>
        </is>
      </c>
      <c r="F1018" t="inlineStr">
        <is>
          <t>변형원</t>
        </is>
      </c>
      <c r="G1018" t="inlineStr">
        <is>
          <t>2019-05-16</t>
        </is>
      </c>
      <c r="H1018" t="inlineStr">
        <is>
          <t>20190516</t>
        </is>
      </c>
      <c r="I1018" t="inlineStr">
        <is>
          <t>1</t>
        </is>
      </c>
      <c r="J1018" t="inlineStr">
        <is>
          <t>1공장</t>
        </is>
      </c>
      <c r="K1018" t="inlineStr">
        <is>
          <t>043-269-3800</t>
        </is>
      </c>
      <c r="L1018" t="inlineStr">
        <is>
          <t>충청북도 청주시 흥덕구 옥산면 오송가락로 729</t>
        </is>
      </c>
      <c r="M1018" t="inlineStr"/>
      <c r="N1018" t="inlineStr">
        <is>
          <t>충청북도 청주시 흥덕구 옥산면 오송가락로 729</t>
        </is>
      </c>
      <c r="O1018" t="inlineStr">
        <is>
          <t>충청북도</t>
        </is>
      </c>
      <c r="P1018" t="inlineStr">
        <is>
          <t>청주시</t>
        </is>
      </c>
      <c r="Q1018" t="inlineStr">
        <is>
          <t>N</t>
        </is>
      </c>
      <c r="R1018" t="n">
        <v>0</v>
      </c>
    </row>
    <row r="1019">
      <c r="A1019" t="n">
        <v>1018</v>
      </c>
      <c r="B1019" t="inlineStr">
        <is>
          <t>(주)삼영유니텍</t>
        </is>
      </c>
      <c r="C1019" t="inlineStr">
        <is>
          <t>삼영유니텍</t>
        </is>
      </c>
      <c r="D1019" t="inlineStr">
        <is>
          <t>의약품</t>
        </is>
      </c>
      <c r="E1019" t="inlineStr">
        <is>
          <t>2419</t>
        </is>
      </c>
      <c r="F1019" t="inlineStr">
        <is>
          <t>정경일</t>
        </is>
      </c>
      <c r="G1019" t="inlineStr">
        <is>
          <t>2004-04-06</t>
        </is>
      </c>
      <c r="H1019" t="inlineStr">
        <is>
          <t>20040406</t>
        </is>
      </c>
      <c r="I1019" t="inlineStr">
        <is>
          <t>1</t>
        </is>
      </c>
      <c r="J1019" t="inlineStr">
        <is>
          <t>유성</t>
        </is>
      </c>
      <c r="K1019" t="inlineStr">
        <is>
          <t>042-863-8982</t>
        </is>
      </c>
      <c r="L1019" t="inlineStr"/>
      <c r="M1019" t="inlineStr">
        <is>
          <t>대전시 유성구 덕진동 150 한국원자력연구소내 하나로이용연구단BANK4</t>
        </is>
      </c>
      <c r="N1019" t="inlineStr">
        <is>
          <t>대전시 유성구 덕진동 150 한국원자력연구소내 하나로이용연구단BANK4</t>
        </is>
      </c>
      <c r="O1019" t="inlineStr">
        <is>
          <t>대전시</t>
        </is>
      </c>
      <c r="P1019" t="inlineStr">
        <is>
          <t>유성구</t>
        </is>
      </c>
      <c r="Q1019" t="inlineStr">
        <is>
          <t>N</t>
        </is>
      </c>
      <c r="R1019" t="n">
        <v>0</v>
      </c>
    </row>
    <row r="1020">
      <c r="A1020" t="n">
        <v>1019</v>
      </c>
      <c r="B1020" t="inlineStr">
        <is>
          <t>알리코제약(주)</t>
        </is>
      </c>
      <c r="C1020" t="inlineStr">
        <is>
          <t>알리코제약</t>
        </is>
      </c>
      <c r="D1020" t="inlineStr">
        <is>
          <t>의약품</t>
        </is>
      </c>
      <c r="E1020" t="inlineStr">
        <is>
          <t>1420</t>
        </is>
      </c>
      <c r="F1020" t="inlineStr">
        <is>
          <t>이항구</t>
        </is>
      </c>
      <c r="G1020" t="inlineStr">
        <is>
          <t>1962-10-15</t>
        </is>
      </c>
      <c r="H1020" t="inlineStr">
        <is>
          <t>19621015</t>
        </is>
      </c>
      <c r="I1020" t="inlineStr">
        <is>
          <t>3</t>
        </is>
      </c>
      <c r="J1020" t="inlineStr">
        <is>
          <t>보관소</t>
        </is>
      </c>
      <c r="K1020" t="inlineStr"/>
      <c r="L1020" t="inlineStr">
        <is>
          <t>충청북도 진천군 이월면 이덕로 520-1</t>
        </is>
      </c>
      <c r="M1020" t="inlineStr"/>
      <c r="N1020" t="inlineStr">
        <is>
          <t>충청북도 진천군 이월면 이덕로 520-1</t>
        </is>
      </c>
      <c r="O1020" t="inlineStr">
        <is>
          <t>충청북도</t>
        </is>
      </c>
      <c r="P1020" t="inlineStr">
        <is>
          <t>진천군</t>
        </is>
      </c>
      <c r="Q1020" t="inlineStr">
        <is>
          <t>N</t>
        </is>
      </c>
      <c r="R1020" t="n">
        <v>0</v>
      </c>
    </row>
    <row r="1021">
      <c r="A1021" t="n">
        <v>1020</v>
      </c>
      <c r="B1021" t="inlineStr">
        <is>
          <t>한성신약주식회사</t>
        </is>
      </c>
      <c r="C1021" t="inlineStr">
        <is>
          <t>한성신약</t>
        </is>
      </c>
      <c r="D1021" t="inlineStr">
        <is>
          <t>의약품</t>
        </is>
      </c>
      <c r="E1021" t="inlineStr">
        <is>
          <t>342</t>
        </is>
      </c>
      <c r="F1021" t="inlineStr">
        <is>
          <t>장세화</t>
        </is>
      </c>
      <c r="G1021" t="inlineStr">
        <is>
          <t>2012-01-19</t>
        </is>
      </c>
      <c r="H1021" t="inlineStr">
        <is>
          <t>20120119</t>
        </is>
      </c>
      <c r="I1021" t="inlineStr">
        <is>
          <t>2</t>
        </is>
      </c>
      <c r="J1021" t="inlineStr">
        <is>
          <t>제2공장 한성신약(주) 진천공장</t>
        </is>
      </c>
      <c r="K1021" t="inlineStr">
        <is>
          <t>031-988-0353</t>
        </is>
      </c>
      <c r="L1021" t="inlineStr">
        <is>
          <t>충청북도 진천군 덕산읍 신척산단4로 93</t>
        </is>
      </c>
      <c r="M1021" t="inlineStr"/>
      <c r="N1021" t="inlineStr">
        <is>
          <t>충청북도 진천군 덕산읍 신척산단4로 93</t>
        </is>
      </c>
      <c r="O1021" t="inlineStr">
        <is>
          <t>충청북도</t>
        </is>
      </c>
      <c r="P1021" t="inlineStr">
        <is>
          <t>진천군</t>
        </is>
      </c>
      <c r="Q1021" t="inlineStr">
        <is>
          <t>N</t>
        </is>
      </c>
      <c r="R1021" t="n">
        <v>0</v>
      </c>
    </row>
    <row r="1022">
      <c r="A1022" t="n">
        <v>1021</v>
      </c>
      <c r="B1022" t="inlineStr">
        <is>
          <t>(주)나음제약</t>
        </is>
      </c>
      <c r="C1022" t="inlineStr">
        <is>
          <t>나음제약</t>
        </is>
      </c>
      <c r="D1022" t="inlineStr">
        <is>
          <t>의약품</t>
        </is>
      </c>
      <c r="E1022" t="inlineStr">
        <is>
          <t>381</t>
        </is>
      </c>
      <c r="F1022" t="inlineStr">
        <is>
          <t>조형준</t>
        </is>
      </c>
      <c r="G1022" t="inlineStr">
        <is>
          <t>2019-02-01</t>
        </is>
      </c>
      <c r="H1022" t="inlineStr">
        <is>
          <t>20190201</t>
        </is>
      </c>
      <c r="I1022" t="inlineStr">
        <is>
          <t>1</t>
        </is>
      </c>
      <c r="J1022" t="inlineStr">
        <is>
          <t>(주)나음제약</t>
        </is>
      </c>
      <c r="K1022" t="inlineStr"/>
      <c r="L1022" t="inlineStr">
        <is>
          <t>경기도 포천시 화현면 화동로496번길 25-61</t>
        </is>
      </c>
      <c r="M1022" t="inlineStr">
        <is>
          <t>1층</t>
        </is>
      </c>
      <c r="N1022" t="inlineStr">
        <is>
          <t>경기도 포천시 화현면 화동로496번길 25-61 1층</t>
        </is>
      </c>
      <c r="O1022" t="inlineStr">
        <is>
          <t>경기도</t>
        </is>
      </c>
      <c r="P1022" t="inlineStr">
        <is>
          <t>포천시</t>
        </is>
      </c>
      <c r="Q1022" t="inlineStr">
        <is>
          <t>N</t>
        </is>
      </c>
      <c r="R1022" t="n">
        <v>0</v>
      </c>
    </row>
    <row r="1023">
      <c r="A1023" t="n">
        <v>1022</v>
      </c>
      <c r="B1023" t="inlineStr">
        <is>
          <t>신풍제약(주)</t>
        </is>
      </c>
      <c r="C1023" t="inlineStr">
        <is>
          <t>신풍제약</t>
        </is>
      </c>
      <c r="D1023" t="inlineStr">
        <is>
          <t>의약품</t>
        </is>
      </c>
      <c r="E1023" t="inlineStr">
        <is>
          <t>1414</t>
        </is>
      </c>
      <c r="F1023" t="inlineStr">
        <is>
          <t>유제만</t>
        </is>
      </c>
      <c r="G1023" t="inlineStr">
        <is>
          <t>1962-06-04</t>
        </is>
      </c>
      <c r="H1023" t="inlineStr">
        <is>
          <t>19620604</t>
        </is>
      </c>
      <c r="I1023" t="inlineStr">
        <is>
          <t>1</t>
        </is>
      </c>
      <c r="J1023" t="inlineStr">
        <is>
          <t>안산1</t>
        </is>
      </c>
      <c r="K1023" t="inlineStr">
        <is>
          <t>031-491-6191</t>
        </is>
      </c>
      <c r="L1023" t="inlineStr">
        <is>
          <t>경기도 안산시 단원구 원시로 7</t>
        </is>
      </c>
      <c r="M1023" t="inlineStr"/>
      <c r="N1023" t="inlineStr">
        <is>
          <t>경기도 안산시 단원구 원시로 7</t>
        </is>
      </c>
      <c r="O1023" t="inlineStr">
        <is>
          <t>경기도</t>
        </is>
      </c>
      <c r="P1023" t="inlineStr">
        <is>
          <t>안산시</t>
        </is>
      </c>
      <c r="Q1023" t="inlineStr">
        <is>
          <t>N</t>
        </is>
      </c>
      <c r="R1023" t="n">
        <v>0</v>
      </c>
    </row>
    <row r="1024">
      <c r="A1024" t="n">
        <v>1023</v>
      </c>
      <c r="B1024" t="inlineStr">
        <is>
          <t>(주)으뜸생약</t>
        </is>
      </c>
      <c r="C1024" t="inlineStr">
        <is>
          <t>으뜸생약</t>
        </is>
      </c>
      <c r="D1024" t="inlineStr">
        <is>
          <t>의약품</t>
        </is>
      </c>
      <c r="E1024" t="inlineStr">
        <is>
          <t>377</t>
        </is>
      </c>
      <c r="F1024" t="inlineStr">
        <is>
          <t>최민정</t>
        </is>
      </c>
      <c r="G1024" t="inlineStr">
        <is>
          <t>2018-10-31</t>
        </is>
      </c>
      <c r="H1024" t="inlineStr">
        <is>
          <t>20181031</t>
        </is>
      </c>
      <c r="I1024" t="inlineStr">
        <is>
          <t>1</t>
        </is>
      </c>
      <c r="J1024" t="inlineStr">
        <is>
          <t>(주)으뜸생약</t>
        </is>
      </c>
      <c r="K1024" t="inlineStr">
        <is>
          <t>02-2602-7503</t>
        </is>
      </c>
      <c r="L1024" t="inlineStr">
        <is>
          <t>서울특별시 양천구 신정중앙로 50</t>
        </is>
      </c>
      <c r="M1024" t="inlineStr">
        <is>
          <t>301호(신정동)</t>
        </is>
      </c>
      <c r="N1024" t="inlineStr">
        <is>
          <t>서울특별시 양천구 신정중앙로 50 301호(신정동)</t>
        </is>
      </c>
      <c r="O1024" t="inlineStr">
        <is>
          <t>서울특별시</t>
        </is>
      </c>
      <c r="P1024" t="inlineStr">
        <is>
          <t>양천구</t>
        </is>
      </c>
      <c r="Q1024" t="inlineStr">
        <is>
          <t>N</t>
        </is>
      </c>
      <c r="R1024" t="n">
        <v>0</v>
      </c>
    </row>
    <row r="1025">
      <c r="A1025" t="n">
        <v>1024</v>
      </c>
      <c r="B1025" t="inlineStr">
        <is>
          <t>(주)한국파마</t>
        </is>
      </c>
      <c r="C1025" t="inlineStr">
        <is>
          <t>한국파마</t>
        </is>
      </c>
      <c r="D1025" t="inlineStr">
        <is>
          <t>의약품</t>
        </is>
      </c>
      <c r="E1025" t="inlineStr">
        <is>
          <t>1401</t>
        </is>
      </c>
      <c r="F1025" t="inlineStr">
        <is>
          <t>박은희</t>
        </is>
      </c>
      <c r="G1025" t="inlineStr">
        <is>
          <t>1960-12-16</t>
        </is>
      </c>
      <c r="H1025" t="inlineStr">
        <is>
          <t>19601216</t>
        </is>
      </c>
      <c r="I1025" t="inlineStr">
        <is>
          <t>3</t>
        </is>
      </c>
      <c r="J1025" t="inlineStr">
        <is>
          <t>화성</t>
        </is>
      </c>
      <c r="K1025" t="inlineStr">
        <is>
          <t>02-558-1277</t>
        </is>
      </c>
      <c r="L1025" t="inlineStr"/>
      <c r="M1025" t="inlineStr">
        <is>
          <t>경기도 화성시 향남읍 제약공단3길 87</t>
        </is>
      </c>
      <c r="N1025" t="inlineStr">
        <is>
          <t>경기도 화성시 향남읍 제약공단3길 87</t>
        </is>
      </c>
      <c r="O1025" t="inlineStr">
        <is>
          <t>경기도</t>
        </is>
      </c>
      <c r="P1025" t="inlineStr">
        <is>
          <t>화성시</t>
        </is>
      </c>
      <c r="Q1025" t="inlineStr">
        <is>
          <t>N</t>
        </is>
      </c>
      <c r="R1025" t="n">
        <v>0</v>
      </c>
    </row>
    <row r="1026">
      <c r="A1026" t="n">
        <v>1025</v>
      </c>
      <c r="B1026" t="inlineStr">
        <is>
          <t>(주)신흥제약</t>
        </is>
      </c>
      <c r="C1026" t="inlineStr">
        <is>
          <t>신흥제약</t>
        </is>
      </c>
      <c r="D1026" t="inlineStr">
        <is>
          <t>의약품</t>
        </is>
      </c>
      <c r="E1026" t="inlineStr">
        <is>
          <t>1885</t>
        </is>
      </c>
      <c r="F1026" t="inlineStr">
        <is>
          <t>임동환</t>
        </is>
      </c>
      <c r="G1026" t="inlineStr">
        <is>
          <t>1995-09-21</t>
        </is>
      </c>
      <c r="H1026" t="inlineStr">
        <is>
          <t>19950921</t>
        </is>
      </c>
      <c r="I1026" t="inlineStr">
        <is>
          <t>1</t>
        </is>
      </c>
      <c r="J1026" t="inlineStr">
        <is>
          <t>제1공장</t>
        </is>
      </c>
      <c r="K1026" t="inlineStr">
        <is>
          <t>061-654-7988</t>
        </is>
      </c>
      <c r="L1026" t="inlineStr">
        <is>
          <t>전라남도 여수시 망양로 514-11</t>
        </is>
      </c>
      <c r="M1026" t="inlineStr"/>
      <c r="N1026" t="inlineStr">
        <is>
          <t>전라남도 여수시 망양로 514-11</t>
        </is>
      </c>
      <c r="O1026" t="inlineStr">
        <is>
          <t>전라남도</t>
        </is>
      </c>
      <c r="P1026" t="inlineStr">
        <is>
          <t>여수시</t>
        </is>
      </c>
      <c r="Q1026" t="inlineStr">
        <is>
          <t>N</t>
        </is>
      </c>
      <c r="R1026" t="n">
        <v>0</v>
      </c>
    </row>
    <row r="1027">
      <c r="A1027" t="n">
        <v>1026</v>
      </c>
      <c r="B1027" t="inlineStr">
        <is>
          <t>피케이씨 주식회사</t>
        </is>
      </c>
      <c r="C1027" t="inlineStr">
        <is>
          <t>피케이씨</t>
        </is>
      </c>
      <c r="D1027" t="inlineStr">
        <is>
          <t>의약품</t>
        </is>
      </c>
      <c r="E1027" t="inlineStr">
        <is>
          <t>1855</t>
        </is>
      </c>
      <c r="F1027" t="inlineStr">
        <is>
          <t>윤해구</t>
        </is>
      </c>
      <c r="G1027" t="inlineStr">
        <is>
          <t>1994-12-17</t>
        </is>
      </c>
      <c r="H1027" t="inlineStr">
        <is>
          <t>19941217</t>
        </is>
      </c>
      <c r="I1027" t="inlineStr">
        <is>
          <t>2</t>
        </is>
      </c>
      <c r="J1027" t="inlineStr">
        <is>
          <t>음성공장</t>
        </is>
      </c>
      <c r="K1027" t="inlineStr"/>
      <c r="L1027" t="inlineStr">
        <is>
          <t>충청북도 음성군 생극면 생극산단1길 17</t>
        </is>
      </c>
      <c r="M1027" t="inlineStr">
        <is>
          <t>바동, 사동, 아동, 자동</t>
        </is>
      </c>
      <c r="N1027" t="inlineStr">
        <is>
          <t>충청북도 음성군 생극면 생극산단1길 17 바동, 사동, 아동, 자동</t>
        </is>
      </c>
      <c r="O1027" t="inlineStr">
        <is>
          <t>충청북도</t>
        </is>
      </c>
      <c r="P1027" t="inlineStr">
        <is>
          <t>음성군</t>
        </is>
      </c>
      <c r="Q1027" t="inlineStr">
        <is>
          <t>N</t>
        </is>
      </c>
      <c r="R1027" t="n">
        <v>0</v>
      </c>
    </row>
    <row r="1028">
      <c r="A1028" t="n">
        <v>1027</v>
      </c>
      <c r="B1028" t="inlineStr">
        <is>
          <t>대창가스공업사</t>
        </is>
      </c>
      <c r="C1028" t="inlineStr">
        <is>
          <t>대창가스공업사</t>
        </is>
      </c>
      <c r="D1028" t="inlineStr">
        <is>
          <t>의약품</t>
        </is>
      </c>
      <c r="E1028" t="inlineStr">
        <is>
          <t>1770</t>
        </is>
      </c>
      <c r="F1028" t="inlineStr">
        <is>
          <t>이광용</t>
        </is>
      </c>
      <c r="G1028" t="inlineStr">
        <is>
          <t>1992-05-15</t>
        </is>
      </c>
      <c r="H1028" t="inlineStr">
        <is>
          <t>19920515</t>
        </is>
      </c>
      <c r="I1028" t="inlineStr">
        <is>
          <t>1</t>
        </is>
      </c>
      <c r="J1028" t="inlineStr">
        <is>
          <t>광주</t>
        </is>
      </c>
      <c r="K1028" t="inlineStr">
        <is>
          <t>062-674-3331</t>
        </is>
      </c>
      <c r="L1028" t="inlineStr">
        <is>
          <t>광주광역시 남구 서문대로473번길 12</t>
        </is>
      </c>
      <c r="M1028" t="inlineStr"/>
      <c r="N1028" t="inlineStr">
        <is>
          <t>광주광역시 남구 서문대로473번길 12</t>
        </is>
      </c>
      <c r="O1028" t="inlineStr">
        <is>
          <t>광주광역시</t>
        </is>
      </c>
      <c r="P1028" t="inlineStr">
        <is>
          <t>남구</t>
        </is>
      </c>
      <c r="Q1028" t="inlineStr">
        <is>
          <t>N</t>
        </is>
      </c>
      <c r="R1028" t="n">
        <v>0</v>
      </c>
    </row>
    <row r="1029">
      <c r="A1029" t="n">
        <v>1028</v>
      </c>
      <c r="B1029" t="inlineStr">
        <is>
          <t>대한적십자사혈장분획센터</t>
        </is>
      </c>
      <c r="C1029" t="inlineStr">
        <is>
          <t>대한적십자사혈장분획센터</t>
        </is>
      </c>
      <c r="D1029" t="inlineStr">
        <is>
          <t>의약품</t>
        </is>
      </c>
      <c r="E1029" t="inlineStr">
        <is>
          <t>1755</t>
        </is>
      </c>
      <c r="F1029" t="inlineStr">
        <is>
          <t>지용훈</t>
        </is>
      </c>
      <c r="G1029" t="inlineStr">
        <is>
          <t>1991-11-12</t>
        </is>
      </c>
      <c r="H1029" t="inlineStr">
        <is>
          <t>19911112</t>
        </is>
      </c>
      <c r="I1029" t="inlineStr">
        <is>
          <t>1</t>
        </is>
      </c>
      <c r="J1029" t="inlineStr">
        <is>
          <t>음성</t>
        </is>
      </c>
      <c r="K1029" t="inlineStr">
        <is>
          <t>043-879-1234/1365</t>
        </is>
      </c>
      <c r="L1029" t="inlineStr">
        <is>
          <t>충청북도 음성군 감곡면 대학길232번길 16</t>
        </is>
      </c>
      <c r="M1029" t="inlineStr"/>
      <c r="N1029" t="inlineStr">
        <is>
          <t>충청북도 음성군 감곡면 대학길232번길 16</t>
        </is>
      </c>
      <c r="O1029" t="inlineStr">
        <is>
          <t>충청북도</t>
        </is>
      </c>
      <c r="P1029" t="inlineStr">
        <is>
          <t>음성군</t>
        </is>
      </c>
      <c r="Q1029" t="inlineStr">
        <is>
          <t>N</t>
        </is>
      </c>
      <c r="R1029" t="n">
        <v>0</v>
      </c>
    </row>
    <row r="1030">
      <c r="A1030" t="n">
        <v>1029</v>
      </c>
      <c r="B1030" t="inlineStr">
        <is>
          <t>(사)대한산업보건협회한마음혈액원</t>
        </is>
      </c>
      <c r="C1030" t="inlineStr">
        <is>
          <t>(사)대한산업보건협회한마음혈액원</t>
        </is>
      </c>
      <c r="D1030" t="inlineStr">
        <is>
          <t>의약품</t>
        </is>
      </c>
      <c r="E1030" t="inlineStr">
        <is>
          <t>2538</t>
        </is>
      </c>
      <c r="F1030" t="inlineStr">
        <is>
          <t>이승철</t>
        </is>
      </c>
      <c r="G1030" t="inlineStr">
        <is>
          <t>2006-01-27</t>
        </is>
      </c>
      <c r="H1030" t="inlineStr">
        <is>
          <t>20060127</t>
        </is>
      </c>
      <c r="I1030" t="inlineStr">
        <is>
          <t>2</t>
        </is>
      </c>
      <c r="J1030" t="inlineStr">
        <is>
          <t>제2공장</t>
        </is>
      </c>
      <c r="K1030" t="inlineStr"/>
      <c r="L1030" t="inlineStr">
        <is>
          <t>경기도 군포시 산본로48번길 8</t>
        </is>
      </c>
      <c r="M1030" t="inlineStr"/>
      <c r="N1030" t="inlineStr">
        <is>
          <t>경기도 군포시 산본로48번길 8</t>
        </is>
      </c>
      <c r="O1030" t="inlineStr">
        <is>
          <t>경기도</t>
        </is>
      </c>
      <c r="P1030" t="inlineStr">
        <is>
          <t>군포시</t>
        </is>
      </c>
      <c r="Q1030" t="inlineStr">
        <is>
          <t>N</t>
        </is>
      </c>
      <c r="R1030" t="n">
        <v>0</v>
      </c>
    </row>
    <row r="1031">
      <c r="A1031" t="n">
        <v>1030</v>
      </c>
      <c r="B1031" t="inlineStr">
        <is>
          <t>한사랑제약</t>
        </is>
      </c>
      <c r="C1031" t="inlineStr">
        <is>
          <t>한사랑제약</t>
        </is>
      </c>
      <c r="D1031" t="inlineStr">
        <is>
          <t>의약품</t>
        </is>
      </c>
      <c r="E1031" t="inlineStr">
        <is>
          <t>2457</t>
        </is>
      </c>
      <c r="F1031" t="inlineStr">
        <is>
          <t>최갑순</t>
        </is>
      </c>
      <c r="G1031" t="inlineStr">
        <is>
          <t>2004-12-07</t>
        </is>
      </c>
      <c r="H1031" t="inlineStr">
        <is>
          <t>20041207</t>
        </is>
      </c>
      <c r="I1031" t="inlineStr">
        <is>
          <t>1</t>
        </is>
      </c>
      <c r="J1031" t="inlineStr">
        <is>
          <t>한사랑</t>
        </is>
      </c>
      <c r="K1031" t="inlineStr">
        <is>
          <t>02-963-9911</t>
        </is>
      </c>
      <c r="L1031" t="inlineStr">
        <is>
          <t>서울특별시 동대문구 약령중앙로10길 17</t>
        </is>
      </c>
      <c r="M1031" t="inlineStr">
        <is>
          <t>부광빌딩6층 (제기동)</t>
        </is>
      </c>
      <c r="N1031" t="inlineStr">
        <is>
          <t>서울특별시 동대문구 약령중앙로10길 17 부광빌딩6층 (제기동)</t>
        </is>
      </c>
      <c r="O1031" t="inlineStr">
        <is>
          <t>서울특별시</t>
        </is>
      </c>
      <c r="P1031" t="inlineStr">
        <is>
          <t>동대문구</t>
        </is>
      </c>
      <c r="Q1031" t="inlineStr">
        <is>
          <t>N</t>
        </is>
      </c>
      <c r="R1031" t="n">
        <v>0</v>
      </c>
    </row>
    <row r="1032">
      <c r="A1032" t="n">
        <v>1031</v>
      </c>
      <c r="B1032" t="inlineStr">
        <is>
          <t>대한적십자사경기도혈액원</t>
        </is>
      </c>
      <c r="C1032" t="inlineStr">
        <is>
          <t>대한적십자사경기도혈액원</t>
        </is>
      </c>
      <c r="D1032" t="inlineStr">
        <is>
          <t>의약품</t>
        </is>
      </c>
      <c r="E1032" t="inlineStr">
        <is>
          <t>2545</t>
        </is>
      </c>
      <c r="F1032" t="inlineStr">
        <is>
          <t>김한규</t>
        </is>
      </c>
      <c r="G1032" t="inlineStr">
        <is>
          <t>2006-01-27</t>
        </is>
      </c>
      <c r="H1032" t="inlineStr">
        <is>
          <t>20060127</t>
        </is>
      </c>
      <c r="I1032" t="inlineStr">
        <is>
          <t>2</t>
        </is>
      </c>
      <c r="J1032" t="inlineStr">
        <is>
          <t>대한적십자사경기도혈액원</t>
        </is>
      </c>
      <c r="K1032" t="inlineStr"/>
      <c r="L1032" t="inlineStr">
        <is>
          <t>경기도 수원시 영통구 월드컵로82번길 20</t>
        </is>
      </c>
      <c r="M1032" t="inlineStr">
        <is>
          <t>(원천동)</t>
        </is>
      </c>
      <c r="N1032" t="inlineStr">
        <is>
          <t>경기도 수원시 영통구 월드컵로82번길 20 (원천동)</t>
        </is>
      </c>
      <c r="O1032" t="inlineStr">
        <is>
          <t>경기도</t>
        </is>
      </c>
      <c r="P1032" t="inlineStr">
        <is>
          <t>수원시</t>
        </is>
      </c>
      <c r="Q1032" t="inlineStr">
        <is>
          <t>N</t>
        </is>
      </c>
      <c r="R1032" t="n">
        <v>0</v>
      </c>
    </row>
    <row r="1033">
      <c r="A1033" t="n">
        <v>1032</v>
      </c>
      <c r="B1033" t="inlineStr">
        <is>
          <t>(주)녹십자엠에스</t>
        </is>
      </c>
      <c r="C1033" t="inlineStr">
        <is>
          <t>녹십자엠에스</t>
        </is>
      </c>
      <c r="D1033" t="inlineStr">
        <is>
          <t>의약품</t>
        </is>
      </c>
      <c r="E1033" t="inlineStr">
        <is>
          <t>2453</t>
        </is>
      </c>
      <c r="F1033" t="inlineStr">
        <is>
          <t>김연근</t>
        </is>
      </c>
      <c r="G1033" t="inlineStr">
        <is>
          <t>2004-11-18</t>
        </is>
      </c>
      <c r="H1033" t="inlineStr">
        <is>
          <t>20041118</t>
        </is>
      </c>
      <c r="I1033" t="inlineStr">
        <is>
          <t>5</t>
        </is>
      </c>
      <c r="J1033" t="inlineStr">
        <is>
          <t>음성(2동2층)</t>
        </is>
      </c>
      <c r="K1033" t="inlineStr">
        <is>
          <t>043-879-2949</t>
        </is>
      </c>
      <c r="L1033" t="inlineStr">
        <is>
          <t>충청북도 음성군 금왕읍 무극로65번길 26</t>
        </is>
      </c>
      <c r="M1033" t="inlineStr">
        <is>
          <t>2동2층(체외진단용에 한함)</t>
        </is>
      </c>
      <c r="N1033" t="inlineStr">
        <is>
          <t>충청북도 음성군 금왕읍 무극로65번길 26 2동2층(체외진단용에 한함)</t>
        </is>
      </c>
      <c r="O1033" t="inlineStr">
        <is>
          <t>충청북도</t>
        </is>
      </c>
      <c r="P1033" t="inlineStr">
        <is>
          <t>음성군</t>
        </is>
      </c>
      <c r="Q1033" t="inlineStr">
        <is>
          <t>N</t>
        </is>
      </c>
      <c r="R1033" t="n">
        <v>0</v>
      </c>
    </row>
    <row r="1034">
      <c r="A1034" t="n">
        <v>1033</v>
      </c>
      <c r="B1034" t="inlineStr">
        <is>
          <t>(주)밀성산업가스</t>
        </is>
      </c>
      <c r="C1034" t="inlineStr">
        <is>
          <t>밀성산업가스</t>
        </is>
      </c>
      <c r="D1034" t="inlineStr">
        <is>
          <t>의약품</t>
        </is>
      </c>
      <c r="E1034" t="inlineStr">
        <is>
          <t>347</t>
        </is>
      </c>
      <c r="F1034" t="inlineStr">
        <is>
          <t>김의중</t>
        </is>
      </c>
      <c r="G1034" t="inlineStr">
        <is>
          <t>2013-09-10</t>
        </is>
      </c>
      <c r="H1034" t="inlineStr">
        <is>
          <t>20130910</t>
        </is>
      </c>
      <c r="I1034" t="inlineStr">
        <is>
          <t>1</t>
        </is>
      </c>
      <c r="J1034" t="inlineStr">
        <is>
          <t>(주)밀성산업가스</t>
        </is>
      </c>
      <c r="K1034" t="inlineStr">
        <is>
          <t>(031)8059-5950</t>
        </is>
      </c>
      <c r="L1034" t="inlineStr">
        <is>
          <t>경기도 화성시 팔탄면 포승향남로 2960-115</t>
        </is>
      </c>
      <c r="M1034" t="inlineStr"/>
      <c r="N1034" t="inlineStr">
        <is>
          <t>경기도 화성시 팔탄면 포승향남로 2960-115</t>
        </is>
      </c>
      <c r="O1034" t="inlineStr">
        <is>
          <t>경기도</t>
        </is>
      </c>
      <c r="P1034" t="inlineStr">
        <is>
          <t>화성시</t>
        </is>
      </c>
      <c r="Q1034" t="inlineStr">
        <is>
          <t>N</t>
        </is>
      </c>
      <c r="R1034" t="n">
        <v>0</v>
      </c>
    </row>
    <row r="1035">
      <c r="A1035" t="n">
        <v>1034</v>
      </c>
      <c r="B1035" t="inlineStr">
        <is>
          <t>(주)허브팜</t>
        </is>
      </c>
      <c r="C1035" t="inlineStr">
        <is>
          <t>허브팜</t>
        </is>
      </c>
      <c r="D1035" t="inlineStr">
        <is>
          <t>의약품</t>
        </is>
      </c>
      <c r="E1035" t="inlineStr">
        <is>
          <t>2484</t>
        </is>
      </c>
      <c r="F1035" t="inlineStr">
        <is>
          <t>백광훈</t>
        </is>
      </c>
      <c r="G1035" t="inlineStr">
        <is>
          <t>2005-06-17</t>
        </is>
      </c>
      <c r="H1035" t="inlineStr">
        <is>
          <t>20050617</t>
        </is>
      </c>
      <c r="I1035" t="inlineStr">
        <is>
          <t>1</t>
        </is>
      </c>
      <c r="J1035" t="inlineStr">
        <is>
          <t>남양주시</t>
        </is>
      </c>
      <c r="K1035" t="inlineStr">
        <is>
          <t>031-575-7717</t>
        </is>
      </c>
      <c r="L1035" t="inlineStr">
        <is>
          <t>경기도 남양주시 진건읍 독정로성지2길 80-38</t>
        </is>
      </c>
      <c r="M1035" t="inlineStr">
        <is>
          <t>2층</t>
        </is>
      </c>
      <c r="N1035" t="inlineStr">
        <is>
          <t>경기도 남양주시 진건읍 독정로성지2길 80-38 2층</t>
        </is>
      </c>
      <c r="O1035" t="inlineStr">
        <is>
          <t>경기도</t>
        </is>
      </c>
      <c r="P1035" t="inlineStr">
        <is>
          <t>남양주시</t>
        </is>
      </c>
      <c r="Q1035" t="inlineStr">
        <is>
          <t>N</t>
        </is>
      </c>
      <c r="R1035" t="n">
        <v>0</v>
      </c>
    </row>
    <row r="1036">
      <c r="A1036" t="n">
        <v>1035</v>
      </c>
      <c r="B1036" t="inlineStr">
        <is>
          <t>주연</t>
        </is>
      </c>
      <c r="C1036" t="inlineStr">
        <is>
          <t>주연</t>
        </is>
      </c>
      <c r="D1036" t="inlineStr">
        <is>
          <t>의약품</t>
        </is>
      </c>
      <c r="E1036" t="inlineStr">
        <is>
          <t>384</t>
        </is>
      </c>
      <c r="F1036" t="inlineStr">
        <is>
          <t>김경희</t>
        </is>
      </c>
      <c r="G1036" t="inlineStr">
        <is>
          <t>2020-02-12</t>
        </is>
      </c>
      <c r="H1036" t="inlineStr">
        <is>
          <t>20200212</t>
        </is>
      </c>
      <c r="I1036" t="inlineStr">
        <is>
          <t>1</t>
        </is>
      </c>
      <c r="J1036" t="inlineStr">
        <is>
          <t>제1공장</t>
        </is>
      </c>
      <c r="K1036" t="inlineStr">
        <is>
          <t>02-966-4490</t>
        </is>
      </c>
      <c r="L1036" t="inlineStr">
        <is>
          <t>서울특별시 동대문구 약령중앙로2길 2</t>
        </is>
      </c>
      <c r="M1036" t="inlineStr">
        <is>
          <t>, 3층 302호(제기동)</t>
        </is>
      </c>
      <c r="N1036" t="inlineStr">
        <is>
          <t>서울특별시 동대문구 약령중앙로2길 2 , 3층 302호(제기동)</t>
        </is>
      </c>
      <c r="O1036" t="inlineStr">
        <is>
          <t>서울특별시</t>
        </is>
      </c>
      <c r="P1036" t="inlineStr">
        <is>
          <t>동대문구</t>
        </is>
      </c>
      <c r="Q1036" t="inlineStr">
        <is>
          <t>Y</t>
        </is>
      </c>
      <c r="R1036" t="n">
        <v>40</v>
      </c>
    </row>
    <row r="1037">
      <c r="A1037" t="n">
        <v>1036</v>
      </c>
      <c r="B1037" t="inlineStr">
        <is>
          <t>(주)듀켐바이오</t>
        </is>
      </c>
      <c r="C1037" t="inlineStr">
        <is>
          <t>듀켐바이오</t>
        </is>
      </c>
      <c r="D1037" t="inlineStr">
        <is>
          <t>의약품</t>
        </is>
      </c>
      <c r="E1037" t="inlineStr">
        <is>
          <t>2437</t>
        </is>
      </c>
      <c r="F1037" t="inlineStr">
        <is>
          <t>김상우</t>
        </is>
      </c>
      <c r="G1037" t="inlineStr">
        <is>
          <t>2004-07-22</t>
        </is>
      </c>
      <c r="H1037" t="inlineStr">
        <is>
          <t>20040722</t>
        </is>
      </c>
      <c r="I1037" t="inlineStr">
        <is>
          <t>10</t>
        </is>
      </c>
      <c r="J1037" t="inlineStr">
        <is>
          <t>10공장(부산)</t>
        </is>
      </c>
      <c r="K1037" t="inlineStr">
        <is>
          <t>051-254-3126</t>
        </is>
      </c>
      <c r="L1037" t="inlineStr">
        <is>
          <t>부산광역시 서구 대신공원로 26</t>
        </is>
      </c>
      <c r="M1037" t="inlineStr">
        <is>
          <t>동아대학교 병원 센터동 지하1층 Cyclotron센터</t>
        </is>
      </c>
      <c r="N1037" t="inlineStr">
        <is>
          <t>부산광역시 서구 대신공원로 26 동아대학교 병원 센터동 지하1층 Cyclotron센터</t>
        </is>
      </c>
      <c r="O1037" t="inlineStr">
        <is>
          <t>부산광역시</t>
        </is>
      </c>
      <c r="P1037" t="inlineStr">
        <is>
          <t>서구</t>
        </is>
      </c>
      <c r="Q1037" t="inlineStr">
        <is>
          <t>N</t>
        </is>
      </c>
      <c r="R1037" t="n">
        <v>0</v>
      </c>
    </row>
    <row r="1038">
      <c r="A1038" t="n">
        <v>1037</v>
      </c>
      <c r="B1038" t="inlineStr">
        <is>
          <t>(주)씨엠지제약</t>
        </is>
      </c>
      <c r="C1038" t="inlineStr">
        <is>
          <t>씨엠지제약</t>
        </is>
      </c>
      <c r="D1038" t="inlineStr">
        <is>
          <t>의약품</t>
        </is>
      </c>
      <c r="E1038" t="inlineStr">
        <is>
          <t>1439</t>
        </is>
      </c>
      <c r="F1038" t="inlineStr">
        <is>
          <t>이주형</t>
        </is>
      </c>
      <c r="G1038" t="inlineStr">
        <is>
          <t>1964-01-21</t>
        </is>
      </c>
      <c r="H1038" t="inlineStr">
        <is>
          <t>19640121</t>
        </is>
      </c>
      <c r="I1038" t="inlineStr">
        <is>
          <t>1</t>
        </is>
      </c>
      <c r="J1038" t="inlineStr">
        <is>
          <t>시흥(대야동)</t>
        </is>
      </c>
      <c r="K1038" t="inlineStr">
        <is>
          <t>032-314-0325</t>
        </is>
      </c>
      <c r="L1038" t="inlineStr"/>
      <c r="M1038" t="inlineStr">
        <is>
          <t>경기 시흥시 대야동418-21</t>
        </is>
      </c>
      <c r="N1038" t="inlineStr">
        <is>
          <t>경기 시흥시 대야동418-21</t>
        </is>
      </c>
      <c r="O1038" t="inlineStr">
        <is>
          <t>경기</t>
        </is>
      </c>
      <c r="P1038" t="inlineStr">
        <is>
          <t>시흥시</t>
        </is>
      </c>
      <c r="Q1038" t="inlineStr">
        <is>
          <t>N</t>
        </is>
      </c>
      <c r="R1038" t="n">
        <v>0</v>
      </c>
    </row>
    <row r="1039">
      <c r="A1039" t="n">
        <v>1038</v>
      </c>
      <c r="B1039" t="inlineStr">
        <is>
          <t>동아제약(주)</t>
        </is>
      </c>
      <c r="C1039" t="inlineStr">
        <is>
          <t>동아제약</t>
        </is>
      </c>
      <c r="D1039" t="inlineStr">
        <is>
          <t>의약품</t>
        </is>
      </c>
      <c r="E1039" t="inlineStr">
        <is>
          <t>2606</t>
        </is>
      </c>
      <c r="F1039" t="inlineStr">
        <is>
          <t>백상환</t>
        </is>
      </c>
      <c r="G1039" t="inlineStr">
        <is>
          <t>2013-04-18</t>
        </is>
      </c>
      <c r="H1039" t="inlineStr">
        <is>
          <t>20130418</t>
        </is>
      </c>
      <c r="I1039" t="inlineStr">
        <is>
          <t>4</t>
        </is>
      </c>
      <c r="J1039" t="inlineStr">
        <is>
          <t>이천</t>
        </is>
      </c>
      <c r="K1039" t="inlineStr"/>
      <c r="L1039" t="inlineStr">
        <is>
          <t>경기도 이천시 경충대로2946번길 61</t>
        </is>
      </c>
      <c r="M1039" t="inlineStr"/>
      <c r="N1039" t="inlineStr">
        <is>
          <t>경기도 이천시 경충대로2946번길 61</t>
        </is>
      </c>
      <c r="O1039" t="inlineStr">
        <is>
          <t>경기도</t>
        </is>
      </c>
      <c r="P1039" t="inlineStr">
        <is>
          <t>이천시</t>
        </is>
      </c>
      <c r="Q1039" t="inlineStr">
        <is>
          <t>N</t>
        </is>
      </c>
      <c r="R1039" t="n">
        <v>0</v>
      </c>
    </row>
    <row r="1040">
      <c r="A1040" t="n">
        <v>1039</v>
      </c>
      <c r="B1040" t="inlineStr">
        <is>
          <t>주식회사휴먼허브</t>
        </is>
      </c>
      <c r="C1040" t="inlineStr">
        <is>
          <t>휴먼허브</t>
        </is>
      </c>
      <c r="D1040" t="inlineStr">
        <is>
          <t>의약품</t>
        </is>
      </c>
      <c r="E1040" t="inlineStr">
        <is>
          <t>2446</t>
        </is>
      </c>
      <c r="F1040" t="inlineStr">
        <is>
          <t>이운호</t>
        </is>
      </c>
      <c r="G1040" t="inlineStr">
        <is>
          <t>2004-09-30</t>
        </is>
      </c>
      <c r="H1040" t="inlineStr">
        <is>
          <t>20040930</t>
        </is>
      </c>
      <c r="I1040" t="inlineStr">
        <is>
          <t>1</t>
        </is>
      </c>
      <c r="J1040" t="inlineStr">
        <is>
          <t>주식회사휴먼허브</t>
        </is>
      </c>
      <c r="K1040" t="inlineStr">
        <is>
          <t>053-817-7013</t>
        </is>
      </c>
      <c r="L1040" t="inlineStr">
        <is>
          <t>대구광역시 동구 율암로 138</t>
        </is>
      </c>
      <c r="M1040" t="inlineStr">
        <is>
          <t>(율암동)</t>
        </is>
      </c>
      <c r="N1040" t="inlineStr">
        <is>
          <t>대구광역시 동구 율암로 138 (율암동)</t>
        </is>
      </c>
      <c r="O1040" t="inlineStr">
        <is>
          <t>대구광역시</t>
        </is>
      </c>
      <c r="P1040" t="inlineStr">
        <is>
          <t>동구</t>
        </is>
      </c>
      <c r="Q1040" t="inlineStr">
        <is>
          <t>N</t>
        </is>
      </c>
      <c r="R1040" t="n">
        <v>0</v>
      </c>
    </row>
    <row r="1041">
      <c r="A1041" t="n">
        <v>1040</v>
      </c>
      <c r="B1041" t="inlineStr">
        <is>
          <t>전남대학교병원</t>
        </is>
      </c>
      <c r="C1041" t="inlineStr">
        <is>
          <t>전남대학교병원</t>
        </is>
      </c>
      <c r="D1041" t="inlineStr">
        <is>
          <t>의약품</t>
        </is>
      </c>
      <c r="E1041" t="inlineStr">
        <is>
          <t>2655</t>
        </is>
      </c>
      <c r="F1041" t="inlineStr">
        <is>
          <t>정신</t>
        </is>
      </c>
      <c r="G1041" t="inlineStr">
        <is>
          <t>2019-07-22</t>
        </is>
      </c>
      <c r="H1041" t="inlineStr">
        <is>
          <t>20190722</t>
        </is>
      </c>
      <c r="I1041" t="inlineStr">
        <is>
          <t>1</t>
        </is>
      </c>
      <c r="J1041" t="inlineStr">
        <is>
          <t>전남대학교병원 분자영상신약개발센터</t>
        </is>
      </c>
      <c r="K1041" t="inlineStr">
        <is>
          <t>062-220-6877</t>
        </is>
      </c>
      <c r="L1041" t="inlineStr">
        <is>
          <t>광주광역시 동구 제봉로 42</t>
        </is>
      </c>
      <c r="M1041" t="inlineStr">
        <is>
          <t>전남대학교병원 6동 어린이병원, 지하 1층 분자영상신약개발센터</t>
        </is>
      </c>
      <c r="N1041" t="inlineStr">
        <is>
          <t>광주광역시 동구 제봉로 42 전남대학교병원 6동 어린이병원, 지하 1층 분자영상신약개발센터</t>
        </is>
      </c>
      <c r="O1041" t="inlineStr">
        <is>
          <t>광주광역시</t>
        </is>
      </c>
      <c r="P1041" t="inlineStr">
        <is>
          <t>동구</t>
        </is>
      </c>
      <c r="Q1041" t="inlineStr">
        <is>
          <t>N</t>
        </is>
      </c>
      <c r="R1041" t="n">
        <v>0</v>
      </c>
    </row>
    <row r="1042">
      <c r="A1042" t="n">
        <v>1041</v>
      </c>
      <c r="B1042" t="inlineStr">
        <is>
          <t>(주)퓨쳐켐헬스케어</t>
        </is>
      </c>
      <c r="C1042" t="inlineStr">
        <is>
          <t>퓨쳐켐헬스케어</t>
        </is>
      </c>
      <c r="D1042" t="inlineStr">
        <is>
          <t>의약품</t>
        </is>
      </c>
      <c r="E1042" t="inlineStr">
        <is>
          <t>2421</t>
        </is>
      </c>
      <c r="F1042" t="inlineStr">
        <is>
          <t>지대윤</t>
        </is>
      </c>
      <c r="G1042" t="inlineStr">
        <is>
          <t>2004-04-14</t>
        </is>
      </c>
      <c r="H1042" t="inlineStr">
        <is>
          <t>20040414</t>
        </is>
      </c>
      <c r="I1042" t="inlineStr">
        <is>
          <t>3</t>
        </is>
      </c>
      <c r="J1042" t="inlineStr">
        <is>
          <t>대구</t>
        </is>
      </c>
      <c r="K1042" t="inlineStr">
        <is>
          <t>053-255-9318</t>
        </is>
      </c>
      <c r="L1042" t="inlineStr">
        <is>
          <t>대구광역시 중구 동덕로 130</t>
        </is>
      </c>
      <c r="M1042" t="inlineStr">
        <is>
          <t>경북대학교병원(삼덕동2가)</t>
        </is>
      </c>
      <c r="N1042" t="inlineStr">
        <is>
          <t>대구광역시 중구 동덕로 130 경북대학교병원(삼덕동2가)</t>
        </is>
      </c>
      <c r="O1042" t="inlineStr">
        <is>
          <t>대구광역시</t>
        </is>
      </c>
      <c r="P1042" t="inlineStr">
        <is>
          <t>중구</t>
        </is>
      </c>
      <c r="Q1042" t="inlineStr">
        <is>
          <t>N</t>
        </is>
      </c>
      <c r="R1042" t="n">
        <v>0</v>
      </c>
    </row>
    <row r="1043">
      <c r="A1043" t="n">
        <v>1042</v>
      </c>
      <c r="B1043" t="inlineStr">
        <is>
          <t>부광약품(주)</t>
        </is>
      </c>
      <c r="C1043" t="inlineStr">
        <is>
          <t>부광약품</t>
        </is>
      </c>
      <c r="D1043" t="inlineStr">
        <is>
          <t>의약품</t>
        </is>
      </c>
      <c r="E1043" t="inlineStr">
        <is>
          <t>1427</t>
        </is>
      </c>
      <c r="F1043" t="inlineStr">
        <is>
          <t>이제영</t>
        </is>
      </c>
      <c r="G1043" t="inlineStr">
        <is>
          <t>1963-02-11</t>
        </is>
      </c>
      <c r="H1043" t="inlineStr">
        <is>
          <t>19630211</t>
        </is>
      </c>
      <c r="I1043" t="inlineStr">
        <is>
          <t>2</t>
        </is>
      </c>
      <c r="J1043" t="inlineStr">
        <is>
          <t>안산2</t>
        </is>
      </c>
      <c r="K1043" t="inlineStr">
        <is>
          <t>031-492-0908</t>
        </is>
      </c>
      <c r="L1043" t="inlineStr">
        <is>
          <t>경기도 안산시 단원구 능안로 47</t>
        </is>
      </c>
      <c r="M1043" t="inlineStr"/>
      <c r="N1043" t="inlineStr">
        <is>
          <t>경기도 안산시 단원구 능안로 47</t>
        </is>
      </c>
      <c r="O1043" t="inlineStr">
        <is>
          <t>경기도</t>
        </is>
      </c>
      <c r="P1043" t="inlineStr">
        <is>
          <t>안산시</t>
        </is>
      </c>
      <c r="Q1043" t="inlineStr">
        <is>
          <t>N</t>
        </is>
      </c>
      <c r="R1043" t="n">
        <v>0</v>
      </c>
    </row>
    <row r="1044">
      <c r="A1044" t="n">
        <v>1043</v>
      </c>
      <c r="B1044" t="inlineStr">
        <is>
          <t>삼성바이오로직스 주식회사</t>
        </is>
      </c>
      <c r="C1044" t="inlineStr">
        <is>
          <t>삼성바이오로직스</t>
        </is>
      </c>
      <c r="D1044" t="inlineStr">
        <is>
          <t>의약품</t>
        </is>
      </c>
      <c r="E1044" t="inlineStr">
        <is>
          <t>343</t>
        </is>
      </c>
      <c r="F1044" t="inlineStr">
        <is>
          <t>John Chongbo Rim(임존종보)</t>
        </is>
      </c>
      <c r="G1044" t="inlineStr">
        <is>
          <t>2012-10-08</t>
        </is>
      </c>
      <c r="H1044" t="inlineStr">
        <is>
          <t>20121008</t>
        </is>
      </c>
      <c r="I1044" t="inlineStr">
        <is>
          <t>2</t>
        </is>
      </c>
      <c r="J1044" t="inlineStr">
        <is>
          <t>보관소</t>
        </is>
      </c>
      <c r="K1044" t="inlineStr"/>
      <c r="L1044" t="inlineStr">
        <is>
          <t>인천광역시 서구 갑문3로 34</t>
        </is>
      </c>
      <c r="M1044" t="inlineStr">
        <is>
          <t>3층 일부(오류동)</t>
        </is>
      </c>
      <c r="N1044" t="inlineStr">
        <is>
          <t>인천광역시 서구 갑문3로 34 3층 일부(오류동)</t>
        </is>
      </c>
      <c r="O1044" t="inlineStr">
        <is>
          <t>인천광역시</t>
        </is>
      </c>
      <c r="P1044" t="inlineStr">
        <is>
          <t>서구</t>
        </is>
      </c>
      <c r="Q1044" t="inlineStr">
        <is>
          <t>N</t>
        </is>
      </c>
      <c r="R1044" t="n">
        <v>0</v>
      </c>
    </row>
    <row r="1045">
      <c r="A1045" t="n">
        <v>1044</v>
      </c>
      <c r="B1045" t="inlineStr">
        <is>
          <t>(주)이니바이오</t>
        </is>
      </c>
      <c r="C1045" t="inlineStr">
        <is>
          <t>이니바이오</t>
        </is>
      </c>
      <c r="D1045" t="inlineStr">
        <is>
          <t>의약품</t>
        </is>
      </c>
      <c r="E1045" t="inlineStr">
        <is>
          <t>374</t>
        </is>
      </c>
      <c r="F1045" t="inlineStr">
        <is>
          <t>김석훈</t>
        </is>
      </c>
      <c r="G1045" t="inlineStr">
        <is>
          <t>2019-02-21</t>
        </is>
      </c>
      <c r="H1045" t="inlineStr">
        <is>
          <t>20190221</t>
        </is>
      </c>
      <c r="I1045" t="inlineStr">
        <is>
          <t>2</t>
        </is>
      </c>
      <c r="J1045" t="inlineStr">
        <is>
          <t>원자재 보관소</t>
        </is>
      </c>
      <c r="K1045" t="inlineStr"/>
      <c r="L1045" t="inlineStr">
        <is>
          <t>인천광역시 중구 공항동로296번길 97-51</t>
        </is>
      </c>
      <c r="M1045" t="inlineStr">
        <is>
          <t>G1블럭(2층 일부)</t>
        </is>
      </c>
      <c r="N1045" t="inlineStr">
        <is>
          <t>인천광역시 중구 공항동로296번길 97-51 G1블럭(2층 일부)</t>
        </is>
      </c>
      <c r="O1045" t="inlineStr">
        <is>
          <t>인천광역시</t>
        </is>
      </c>
      <c r="P1045" t="inlineStr">
        <is>
          <t>중구</t>
        </is>
      </c>
      <c r="Q1045" t="inlineStr">
        <is>
          <t>Y</t>
        </is>
      </c>
      <c r="R1045" t="n">
        <v>41</v>
      </c>
    </row>
    <row r="1046">
      <c r="A1046" t="n">
        <v>1045</v>
      </c>
      <c r="B1046" t="inlineStr">
        <is>
          <t>동국제약(주)</t>
        </is>
      </c>
      <c r="C1046" t="inlineStr">
        <is>
          <t>동국제약</t>
        </is>
      </c>
      <c r="D1046" t="inlineStr">
        <is>
          <t>의약품</t>
        </is>
      </c>
      <c r="E1046" t="inlineStr">
        <is>
          <t>1416</t>
        </is>
      </c>
      <c r="F1046" t="inlineStr">
        <is>
          <t>송준호</t>
        </is>
      </c>
      <c r="G1046" t="inlineStr">
        <is>
          <t>1962-07-14</t>
        </is>
      </c>
      <c r="H1046" t="inlineStr">
        <is>
          <t>19620714</t>
        </is>
      </c>
      <c r="I1046" t="inlineStr">
        <is>
          <t>2</t>
        </is>
      </c>
      <c r="J1046" t="inlineStr">
        <is>
          <t>용소2길</t>
        </is>
      </c>
      <c r="K1046" t="inlineStr">
        <is>
          <t>02-2191-9856</t>
        </is>
      </c>
      <c r="L1046" t="inlineStr">
        <is>
          <t>충청북도 진천군 광혜원면 용소2길 33-19</t>
        </is>
      </c>
      <c r="M1046" t="inlineStr"/>
      <c r="N1046" t="inlineStr">
        <is>
          <t>충청북도 진천군 광혜원면 용소2길 33-19</t>
        </is>
      </c>
      <c r="O1046" t="inlineStr">
        <is>
          <t>충청북도</t>
        </is>
      </c>
      <c r="P1046" t="inlineStr">
        <is>
          <t>진천군</t>
        </is>
      </c>
      <c r="Q1046" t="inlineStr">
        <is>
          <t>N</t>
        </is>
      </c>
      <c r="R1046" t="n">
        <v>0</v>
      </c>
    </row>
    <row r="1047">
      <c r="A1047" t="n">
        <v>1046</v>
      </c>
      <c r="B1047" t="inlineStr">
        <is>
          <t>(주)유바이오로직스</t>
        </is>
      </c>
      <c r="C1047" t="inlineStr">
        <is>
          <t>유바이오로직스</t>
        </is>
      </c>
      <c r="D1047" t="inlineStr">
        <is>
          <t>의약품</t>
        </is>
      </c>
      <c r="E1047" t="inlineStr">
        <is>
          <t>322</t>
        </is>
      </c>
      <c r="F1047" t="inlineStr">
        <is>
          <t>허태영</t>
        </is>
      </c>
      <c r="G1047" t="inlineStr">
        <is>
          <t>2011-11-28</t>
        </is>
      </c>
      <c r="H1047" t="inlineStr">
        <is>
          <t>20111128</t>
        </is>
      </c>
      <c r="I1047" t="inlineStr">
        <is>
          <t>3</t>
        </is>
      </c>
      <c r="J1047" t="inlineStr">
        <is>
          <t>[보관소1]</t>
        </is>
      </c>
      <c r="K1047" t="inlineStr"/>
      <c r="L1047" t="inlineStr">
        <is>
          <t>강원특별자치도 춘천시 동산면 원무동길 125</t>
        </is>
      </c>
      <c r="M1047" t="inlineStr">
        <is>
          <t>생산동 1층 1212호</t>
        </is>
      </c>
      <c r="N1047" t="inlineStr">
        <is>
          <t>강원특별자치도 춘천시 동산면 원무동길 125 생산동 1층 1212호</t>
        </is>
      </c>
      <c r="O1047" t="inlineStr">
        <is>
          <t>강원특별자치도</t>
        </is>
      </c>
      <c r="P1047" t="inlineStr">
        <is>
          <t>춘천시</t>
        </is>
      </c>
      <c r="Q1047" t="inlineStr">
        <is>
          <t>Y</t>
        </is>
      </c>
      <c r="R1047" t="n">
        <v>42</v>
      </c>
    </row>
    <row r="1048">
      <c r="A1048" t="n">
        <v>1047</v>
      </c>
      <c r="B1048" t="inlineStr">
        <is>
          <t>형율제약주식회사</t>
        </is>
      </c>
      <c r="C1048" t="inlineStr">
        <is>
          <t>형율제약</t>
        </is>
      </c>
      <c r="D1048" t="inlineStr">
        <is>
          <t>의약품</t>
        </is>
      </c>
      <c r="E1048" t="inlineStr">
        <is>
          <t>373</t>
        </is>
      </c>
      <c r="F1048" t="inlineStr">
        <is>
          <t>오상율</t>
        </is>
      </c>
      <c r="G1048" t="inlineStr">
        <is>
          <t>2018-11-27</t>
        </is>
      </c>
      <c r="H1048" t="inlineStr">
        <is>
          <t>20181127</t>
        </is>
      </c>
      <c r="I1048" t="inlineStr">
        <is>
          <t>1</t>
        </is>
      </c>
      <c r="J1048" t="inlineStr">
        <is>
          <t>형율제약주식회사</t>
        </is>
      </c>
      <c r="K1048" t="inlineStr">
        <is>
          <t>02-959-7939</t>
        </is>
      </c>
      <c r="L1048" t="inlineStr">
        <is>
          <t>경기도 여주시 흥천면 은골길 58-10</t>
        </is>
      </c>
      <c r="M1048" t="inlineStr">
        <is>
          <t>1동</t>
        </is>
      </c>
      <c r="N1048" t="inlineStr">
        <is>
          <t>경기도 여주시 흥천면 은골길 58-10 1동</t>
        </is>
      </c>
      <c r="O1048" t="inlineStr">
        <is>
          <t>경기도</t>
        </is>
      </c>
      <c r="P1048" t="inlineStr">
        <is>
          <t>여주시</t>
        </is>
      </c>
      <c r="Q1048" t="inlineStr">
        <is>
          <t>N</t>
        </is>
      </c>
      <c r="R1048" t="n">
        <v>0</v>
      </c>
    </row>
    <row r="1049">
      <c r="A1049" t="n">
        <v>1048</v>
      </c>
      <c r="B1049" t="inlineStr">
        <is>
          <t>(주)한국파비스제약</t>
        </is>
      </c>
      <c r="C1049" t="inlineStr">
        <is>
          <t>한국파비스제약</t>
        </is>
      </c>
      <c r="D1049" t="inlineStr">
        <is>
          <t>의약품</t>
        </is>
      </c>
      <c r="E1049" t="inlineStr">
        <is>
          <t>1388</t>
        </is>
      </c>
      <c r="F1049" t="inlineStr">
        <is>
          <t>최용은</t>
        </is>
      </c>
      <c r="G1049" t="inlineStr">
        <is>
          <t>1960-04-20</t>
        </is>
      </c>
      <c r="H1049" t="inlineStr">
        <is>
          <t>19600420</t>
        </is>
      </c>
      <c r="I1049" t="inlineStr">
        <is>
          <t>2</t>
        </is>
      </c>
      <c r="J1049" t="inlineStr">
        <is>
          <t>적합완제품보관소</t>
        </is>
      </c>
      <c r="K1049" t="inlineStr"/>
      <c r="L1049" t="inlineStr">
        <is>
          <t>경기도 안산시 단원구 별망로 627</t>
        </is>
      </c>
      <c r="M1049" t="inlineStr">
        <is>
          <t>지하1층</t>
        </is>
      </c>
      <c r="N1049" t="inlineStr">
        <is>
          <t>경기도 안산시 단원구 별망로 627 지하1층</t>
        </is>
      </c>
      <c r="O1049" t="inlineStr">
        <is>
          <t>경기도</t>
        </is>
      </c>
      <c r="P1049" t="inlineStr">
        <is>
          <t>안산시</t>
        </is>
      </c>
      <c r="Q1049" t="inlineStr">
        <is>
          <t>N</t>
        </is>
      </c>
      <c r="R1049" t="n">
        <v>0</v>
      </c>
    </row>
    <row r="1050">
      <c r="A1050" t="n">
        <v>1049</v>
      </c>
      <c r="B1050" t="inlineStr">
        <is>
          <t>(주)화림제약</t>
        </is>
      </c>
      <c r="C1050" t="inlineStr">
        <is>
          <t>화림제약</t>
        </is>
      </c>
      <c r="D1050" t="inlineStr">
        <is>
          <t>의약품</t>
        </is>
      </c>
      <c r="E1050" t="inlineStr">
        <is>
          <t>1871</t>
        </is>
      </c>
      <c r="F1050" t="inlineStr">
        <is>
          <t>김종하</t>
        </is>
      </c>
      <c r="G1050" t="inlineStr">
        <is>
          <t>1995-02-14</t>
        </is>
      </c>
      <c r="H1050" t="inlineStr">
        <is>
          <t>19950214</t>
        </is>
      </c>
      <c r="I1050" t="inlineStr">
        <is>
          <t>2</t>
        </is>
      </c>
      <c r="J1050" t="inlineStr">
        <is>
          <t>남구</t>
        </is>
      </c>
      <c r="K1050" t="inlineStr">
        <is>
          <t>051-626-7726</t>
        </is>
      </c>
      <c r="L1050" t="inlineStr"/>
      <c r="M1050" t="inlineStr">
        <is>
          <t>부산 남구 용호3동377-3 6층 5층 603호(보관소) 해운대구 재송동 1121-4(보관소)</t>
        </is>
      </c>
      <c r="N1050" t="inlineStr">
        <is>
          <t>부산 남구 용호3동377-3 6층 5층 603호(보관소) 해운대구 재송동 1121-4(보관소)</t>
        </is>
      </c>
      <c r="O1050" t="inlineStr">
        <is>
          <t>부산</t>
        </is>
      </c>
      <c r="P1050" t="inlineStr">
        <is>
          <t>남구</t>
        </is>
      </c>
      <c r="Q1050" t="inlineStr">
        <is>
          <t>Y</t>
        </is>
      </c>
      <c r="R1050" t="n">
        <v>87</v>
      </c>
    </row>
    <row r="1051">
      <c r="A1051" t="n">
        <v>1050</v>
      </c>
      <c r="B1051" t="inlineStr">
        <is>
          <t>한국에스이엠(주)</t>
        </is>
      </c>
      <c r="C1051" t="inlineStr">
        <is>
          <t>한국에스이엠</t>
        </is>
      </c>
      <c r="D1051" t="inlineStr">
        <is>
          <t>의약품</t>
        </is>
      </c>
      <c r="E1051" t="inlineStr">
        <is>
          <t>1822</t>
        </is>
      </c>
      <c r="F1051" t="inlineStr">
        <is>
          <t>강신찬</t>
        </is>
      </c>
      <c r="G1051" t="inlineStr">
        <is>
          <t>1994-06-04</t>
        </is>
      </c>
      <c r="H1051" t="inlineStr">
        <is>
          <t>19940604</t>
        </is>
      </c>
      <c r="I1051" t="inlineStr">
        <is>
          <t>1</t>
        </is>
      </c>
      <c r="J1051" t="inlineStr">
        <is>
          <t>1공장</t>
        </is>
      </c>
      <c r="K1051" t="inlineStr"/>
      <c r="L1051" t="inlineStr">
        <is>
          <t>경상남도 양산시 어실로 331</t>
        </is>
      </c>
      <c r="M1051" t="inlineStr"/>
      <c r="N1051" t="inlineStr">
        <is>
          <t>경상남도 양산시 어실로 331</t>
        </is>
      </c>
      <c r="O1051" t="inlineStr">
        <is>
          <t>경상남도</t>
        </is>
      </c>
      <c r="P1051" t="inlineStr">
        <is>
          <t>양산시</t>
        </is>
      </c>
      <c r="Q1051" t="inlineStr">
        <is>
          <t>N</t>
        </is>
      </c>
      <c r="R1051" t="n">
        <v>0</v>
      </c>
    </row>
    <row r="1052">
      <c r="A1052" t="n">
        <v>1051</v>
      </c>
      <c r="B1052" t="inlineStr">
        <is>
          <t>주식회사 유한화학</t>
        </is>
      </c>
      <c r="C1052" t="inlineStr">
        <is>
          <t>유한화학</t>
        </is>
      </c>
      <c r="D1052" t="inlineStr">
        <is>
          <t>의약품</t>
        </is>
      </c>
      <c r="E1052" t="inlineStr">
        <is>
          <t>1791</t>
        </is>
      </c>
      <c r="F1052" t="inlineStr">
        <is>
          <t>이영래</t>
        </is>
      </c>
      <c r="G1052" t="inlineStr">
        <is>
          <t>1993-09-02</t>
        </is>
      </c>
      <c r="H1052" t="inlineStr">
        <is>
          <t>19930902</t>
        </is>
      </c>
      <c r="I1052" t="inlineStr">
        <is>
          <t>3</t>
        </is>
      </c>
      <c r="J1052" t="inlineStr">
        <is>
          <t>안산(보관소)</t>
        </is>
      </c>
      <c r="K1052" t="inlineStr">
        <is>
          <t>031-499-4111</t>
        </is>
      </c>
      <c r="L1052" t="inlineStr">
        <is>
          <t>경기도 안산시 단원구 강촌로 35</t>
        </is>
      </c>
      <c r="M1052" t="inlineStr">
        <is>
          <t>(공장좌내측 1층)</t>
        </is>
      </c>
      <c r="N1052" t="inlineStr">
        <is>
          <t>경기도 안산시 단원구 강촌로 35 (공장좌내측 1층)</t>
        </is>
      </c>
      <c r="O1052" t="inlineStr">
        <is>
          <t>경기도</t>
        </is>
      </c>
      <c r="P1052" t="inlineStr">
        <is>
          <t>안산시</t>
        </is>
      </c>
      <c r="Q1052" t="inlineStr">
        <is>
          <t>N</t>
        </is>
      </c>
      <c r="R1052" t="n">
        <v>0</v>
      </c>
    </row>
    <row r="1053">
      <c r="A1053" t="n">
        <v>1052</v>
      </c>
      <c r="B1053" t="inlineStr">
        <is>
          <t>광동제약(주)</t>
        </is>
      </c>
      <c r="C1053" t="inlineStr">
        <is>
          <t>광동제약</t>
        </is>
      </c>
      <c r="D1053" t="inlineStr">
        <is>
          <t>의약품</t>
        </is>
      </c>
      <c r="E1053" t="inlineStr">
        <is>
          <t>0150</t>
        </is>
      </c>
      <c r="F1053" t="inlineStr">
        <is>
          <t>최성원</t>
        </is>
      </c>
      <c r="G1053" t="inlineStr">
        <is>
          <t>1992-10-16</t>
        </is>
      </c>
      <c r="H1053" t="inlineStr">
        <is>
          <t>19921016</t>
        </is>
      </c>
      <c r="I1053" t="inlineStr">
        <is>
          <t>1</t>
        </is>
      </c>
      <c r="J1053" t="inlineStr">
        <is>
          <t>평택</t>
        </is>
      </c>
      <c r="K1053" t="inlineStr">
        <is>
          <t>031-612-1111</t>
        </is>
      </c>
      <c r="L1053" t="inlineStr">
        <is>
          <t>경기도 평택시 산단로 114</t>
        </is>
      </c>
      <c r="M1053" t="inlineStr"/>
      <c r="N1053" t="inlineStr">
        <is>
          <t>경기도 평택시 산단로 114</t>
        </is>
      </c>
      <c r="O1053" t="inlineStr">
        <is>
          <t>경기도</t>
        </is>
      </c>
      <c r="P1053" t="inlineStr">
        <is>
          <t>평택시</t>
        </is>
      </c>
      <c r="Q1053" t="inlineStr">
        <is>
          <t>Y</t>
        </is>
      </c>
      <c r="R1053" t="n">
        <v>88</v>
      </c>
    </row>
    <row r="1054">
      <c r="A1054" t="n">
        <v>1053</v>
      </c>
      <c r="B1054" t="inlineStr">
        <is>
          <t>아이큐어(주)</t>
        </is>
      </c>
      <c r="C1054" t="inlineStr">
        <is>
          <t>아이큐어</t>
        </is>
      </c>
      <c r="D1054" t="inlineStr">
        <is>
          <t>의약품</t>
        </is>
      </c>
      <c r="E1054" t="inlineStr">
        <is>
          <t>2553</t>
        </is>
      </c>
      <c r="F1054" t="inlineStr">
        <is>
          <t>이영석</t>
        </is>
      </c>
      <c r="G1054" t="inlineStr">
        <is>
          <t>2006-03-17</t>
        </is>
      </c>
      <c r="H1054" t="inlineStr">
        <is>
          <t>20060317</t>
        </is>
      </c>
      <c r="I1054" t="inlineStr">
        <is>
          <t>1</t>
        </is>
      </c>
      <c r="J1054" t="inlineStr">
        <is>
          <t>안성시</t>
        </is>
      </c>
      <c r="K1054" t="inlineStr">
        <is>
          <t>031-671-5070</t>
        </is>
      </c>
      <c r="L1054" t="inlineStr">
        <is>
          <t>경기도 안성시 서운면 제3공단3길 13</t>
        </is>
      </c>
      <c r="M1054" t="inlineStr"/>
      <c r="N1054" t="inlineStr">
        <is>
          <t>경기도 안성시 서운면 제3공단3길 13</t>
        </is>
      </c>
      <c r="O1054" t="inlineStr">
        <is>
          <t>경기도</t>
        </is>
      </c>
      <c r="P1054" t="inlineStr">
        <is>
          <t>안성시</t>
        </is>
      </c>
      <c r="Q1054" t="inlineStr">
        <is>
          <t>N</t>
        </is>
      </c>
      <c r="R1054" t="n">
        <v>0</v>
      </c>
    </row>
    <row r="1055">
      <c r="A1055" t="n">
        <v>1054</v>
      </c>
      <c r="B1055" t="inlineStr">
        <is>
          <t>대한적십자사 대전·세종·충남혈액원</t>
        </is>
      </c>
      <c r="C1055" t="inlineStr">
        <is>
          <t>대한적십자사 대전·세종·충남혈액원</t>
        </is>
      </c>
      <c r="D1055" t="inlineStr">
        <is>
          <t>의약품</t>
        </is>
      </c>
      <c r="E1055" t="inlineStr">
        <is>
          <t>2542</t>
        </is>
      </c>
      <c r="F1055" t="inlineStr">
        <is>
          <t>성낙준</t>
        </is>
      </c>
      <c r="G1055" t="inlineStr">
        <is>
          <t>2006-01-27</t>
        </is>
      </c>
      <c r="H1055" t="inlineStr">
        <is>
          <t>20060127</t>
        </is>
      </c>
      <c r="I1055" t="inlineStr">
        <is>
          <t>1</t>
        </is>
      </c>
      <c r="J1055" t="inlineStr">
        <is>
          <t>대한적십자사 대전·세종·충남혈액원</t>
        </is>
      </c>
      <c r="K1055" t="inlineStr">
        <is>
          <t>042-630-0546</t>
        </is>
      </c>
      <c r="L1055" t="inlineStr">
        <is>
          <t>대전광역시 대덕구 송촌남로 22</t>
        </is>
      </c>
      <c r="M1055" t="inlineStr"/>
      <c r="N1055" t="inlineStr">
        <is>
          <t>대전광역시 대덕구 송촌남로 22</t>
        </is>
      </c>
      <c r="O1055" t="inlineStr">
        <is>
          <t>대전광역시</t>
        </is>
      </c>
      <c r="P1055" t="inlineStr">
        <is>
          <t>대덕구</t>
        </is>
      </c>
      <c r="Q1055" t="inlineStr">
        <is>
          <t>N</t>
        </is>
      </c>
      <c r="R1055" t="n">
        <v>0</v>
      </c>
    </row>
    <row r="1056">
      <c r="A1056" t="n">
        <v>1055</v>
      </c>
      <c r="B1056" t="inlineStr">
        <is>
          <t>(주)녹십자엠에스</t>
        </is>
      </c>
      <c r="C1056" t="inlineStr">
        <is>
          <t>녹십자엠에스</t>
        </is>
      </c>
      <c r="D1056" t="inlineStr">
        <is>
          <t>의약품</t>
        </is>
      </c>
      <c r="E1056" t="inlineStr">
        <is>
          <t>2453</t>
        </is>
      </c>
      <c r="F1056" t="inlineStr">
        <is>
          <t>김연근</t>
        </is>
      </c>
      <c r="G1056" t="inlineStr">
        <is>
          <t>2004-11-18</t>
        </is>
      </c>
      <c r="H1056" t="inlineStr">
        <is>
          <t>20041118</t>
        </is>
      </c>
      <c r="I1056" t="inlineStr">
        <is>
          <t>10</t>
        </is>
      </c>
      <c r="J1056" t="inlineStr">
        <is>
          <t>9공장-보관소</t>
        </is>
      </c>
      <c r="K1056" t="inlineStr">
        <is>
          <t>043-870-3630</t>
        </is>
      </c>
      <c r="L1056" t="inlineStr">
        <is>
          <t>충청북도 음성군 삼성면 금일로 665</t>
        </is>
      </c>
      <c r="M1056" t="inlineStr">
        <is>
          <t>다동</t>
        </is>
      </c>
      <c r="N1056" t="inlineStr">
        <is>
          <t>충청북도 음성군 삼성면 금일로 665 다동</t>
        </is>
      </c>
      <c r="O1056" t="inlineStr">
        <is>
          <t>충청북도</t>
        </is>
      </c>
      <c r="P1056" t="inlineStr">
        <is>
          <t>음성군</t>
        </is>
      </c>
      <c r="Q1056" t="inlineStr">
        <is>
          <t>N</t>
        </is>
      </c>
      <c r="R1056" t="n">
        <v>0</v>
      </c>
    </row>
    <row r="1057">
      <c r="A1057" t="n">
        <v>1056</v>
      </c>
      <c r="B1057" t="inlineStr">
        <is>
          <t>㈜동화산업가스</t>
        </is>
      </c>
      <c r="C1057" t="inlineStr">
        <is>
          <t>동화산업가스</t>
        </is>
      </c>
      <c r="D1057" t="inlineStr">
        <is>
          <t>의약품</t>
        </is>
      </c>
      <c r="E1057" t="inlineStr">
        <is>
          <t>340</t>
        </is>
      </c>
      <c r="F1057" t="inlineStr">
        <is>
          <t>김영란</t>
        </is>
      </c>
      <c r="G1057" t="inlineStr">
        <is>
          <t>2013-12-16</t>
        </is>
      </c>
      <c r="H1057" t="inlineStr">
        <is>
          <t>20131216</t>
        </is>
      </c>
      <c r="I1057" t="inlineStr">
        <is>
          <t>1</t>
        </is>
      </c>
      <c r="J1057" t="inlineStr">
        <is>
          <t>㈜동화산업가스</t>
        </is>
      </c>
      <c r="K1057" t="inlineStr">
        <is>
          <t>(033)521-1818</t>
        </is>
      </c>
      <c r="L1057" t="inlineStr">
        <is>
          <t>강원도 동해시 공단2로 5</t>
        </is>
      </c>
      <c r="M1057" t="inlineStr"/>
      <c r="N1057" t="inlineStr">
        <is>
          <t>강원도 동해시 공단2로 5</t>
        </is>
      </c>
      <c r="O1057" t="inlineStr">
        <is>
          <t>강원도</t>
        </is>
      </c>
      <c r="P1057" t="inlineStr">
        <is>
          <t>동해시</t>
        </is>
      </c>
      <c r="Q1057" t="inlineStr">
        <is>
          <t>N</t>
        </is>
      </c>
      <c r="R1057" t="n">
        <v>0</v>
      </c>
    </row>
    <row r="1058">
      <c r="A1058" t="n">
        <v>1057</v>
      </c>
      <c r="B1058" t="inlineStr">
        <is>
          <t>새한가스공업</t>
        </is>
      </c>
      <c r="C1058" t="inlineStr">
        <is>
          <t>새한가스공업</t>
        </is>
      </c>
      <c r="D1058" t="inlineStr">
        <is>
          <t>의약품</t>
        </is>
      </c>
      <c r="E1058" t="inlineStr">
        <is>
          <t>2463</t>
        </is>
      </c>
      <c r="F1058" t="inlineStr">
        <is>
          <t>이성학</t>
        </is>
      </c>
      <c r="G1058" t="inlineStr">
        <is>
          <t>2005-01-06</t>
        </is>
      </c>
      <c r="H1058" t="inlineStr">
        <is>
          <t>20050106</t>
        </is>
      </c>
      <c r="I1058" t="inlineStr">
        <is>
          <t>1</t>
        </is>
      </c>
      <c r="J1058" t="inlineStr">
        <is>
          <t>제주</t>
        </is>
      </c>
      <c r="K1058" t="inlineStr">
        <is>
          <t>064-755-2827</t>
        </is>
      </c>
      <c r="L1058" t="inlineStr">
        <is>
          <t>제주특별자치도 제주시 선반로 40</t>
        </is>
      </c>
      <c r="M1058" t="inlineStr"/>
      <c r="N1058" t="inlineStr">
        <is>
          <t>제주특별자치도 제주시 선반로 40</t>
        </is>
      </c>
      <c r="O1058" t="inlineStr">
        <is>
          <t>제주특별자치도</t>
        </is>
      </c>
      <c r="P1058" t="inlineStr">
        <is>
          <t>제주시</t>
        </is>
      </c>
      <c r="Q1058" t="inlineStr">
        <is>
          <t>N</t>
        </is>
      </c>
      <c r="R1058" t="n">
        <v>0</v>
      </c>
    </row>
    <row r="1059">
      <c r="A1059" t="n">
        <v>1058</v>
      </c>
      <c r="B1059" t="inlineStr">
        <is>
          <t>(주)메디톡스</t>
        </is>
      </c>
      <c r="C1059" t="inlineStr">
        <is>
          <t>메디톡스</t>
        </is>
      </c>
      <c r="D1059" t="inlineStr">
        <is>
          <t>의약품</t>
        </is>
      </c>
      <c r="E1059" t="inlineStr">
        <is>
          <t>2454</t>
        </is>
      </c>
      <c r="F1059" t="inlineStr">
        <is>
          <t>정현호</t>
        </is>
      </c>
      <c r="G1059" t="inlineStr">
        <is>
          <t>2004-11-19</t>
        </is>
      </c>
      <c r="H1059" t="inlineStr">
        <is>
          <t>20041119</t>
        </is>
      </c>
      <c r="I1059" t="inlineStr">
        <is>
          <t>1</t>
        </is>
      </c>
      <c r="J1059" t="inlineStr">
        <is>
          <t>오창</t>
        </is>
      </c>
      <c r="K1059" t="inlineStr">
        <is>
          <t>041-544-1558</t>
        </is>
      </c>
      <c r="L1059" t="inlineStr">
        <is>
          <t>충청북도 청주시 청원구 오창읍 각리1길 78</t>
        </is>
      </c>
      <c r="M1059" t="inlineStr"/>
      <c r="N1059" t="inlineStr">
        <is>
          <t>충청북도 청주시 청원구 오창읍 각리1길 78</t>
        </is>
      </c>
      <c r="O1059" t="inlineStr">
        <is>
          <t>충청북도</t>
        </is>
      </c>
      <c r="P1059" t="inlineStr">
        <is>
          <t>청주시</t>
        </is>
      </c>
      <c r="Q1059" t="inlineStr">
        <is>
          <t>N</t>
        </is>
      </c>
      <c r="R1059" t="n">
        <v>0</v>
      </c>
    </row>
    <row r="1060">
      <c r="A1060" t="n">
        <v>1059</v>
      </c>
      <c r="B1060" t="inlineStr">
        <is>
          <t>조아제약(주)</t>
        </is>
      </c>
      <c r="C1060" t="inlineStr">
        <is>
          <t>조아제약</t>
        </is>
      </c>
      <c r="D1060" t="inlineStr">
        <is>
          <t>의약품</t>
        </is>
      </c>
      <c r="E1060" t="inlineStr">
        <is>
          <t>1442</t>
        </is>
      </c>
      <c r="F1060" t="inlineStr">
        <is>
          <t>조성배</t>
        </is>
      </c>
      <c r="G1060" t="inlineStr">
        <is>
          <t>1964-05-09</t>
        </is>
      </c>
      <c r="H1060" t="inlineStr">
        <is>
          <t>19640509</t>
        </is>
      </c>
      <c r="I1060" t="inlineStr">
        <is>
          <t>1</t>
        </is>
      </c>
      <c r="J1060" t="inlineStr">
        <is>
          <t>함안</t>
        </is>
      </c>
      <c r="K1060" t="inlineStr">
        <is>
          <t>055-580-5302</t>
        </is>
      </c>
      <c r="L1060" t="inlineStr">
        <is>
          <t>경상남도 함안군 함안면 광정로 318</t>
        </is>
      </c>
      <c r="M1060" t="inlineStr"/>
      <c r="N1060" t="inlineStr">
        <is>
          <t>경상남도 함안군 함안면 광정로 318</t>
        </is>
      </c>
      <c r="O1060" t="inlineStr">
        <is>
          <t>경상남도</t>
        </is>
      </c>
      <c r="P1060" t="inlineStr">
        <is>
          <t>함안군</t>
        </is>
      </c>
      <c r="Q1060" t="inlineStr">
        <is>
          <t>N</t>
        </is>
      </c>
      <c r="R1060" t="n">
        <v>0</v>
      </c>
    </row>
    <row r="1061">
      <c r="A1061" t="n">
        <v>1060</v>
      </c>
      <c r="B1061" t="inlineStr">
        <is>
          <t>한창메딕</t>
        </is>
      </c>
      <c r="C1061" t="inlineStr">
        <is>
          <t>한창메딕</t>
        </is>
      </c>
      <c r="D1061" t="inlineStr">
        <is>
          <t>의약품</t>
        </is>
      </c>
      <c r="E1061" t="inlineStr">
        <is>
          <t>2607</t>
        </is>
      </c>
      <c r="F1061" t="inlineStr">
        <is>
          <t>한경준</t>
        </is>
      </c>
      <c r="G1061" t="inlineStr">
        <is>
          <t>2013-06-03</t>
        </is>
      </c>
      <c r="H1061" t="inlineStr">
        <is>
          <t>20130603</t>
        </is>
      </c>
      <c r="I1061" t="inlineStr">
        <is>
          <t>1</t>
        </is>
      </c>
      <c r="J1061" t="inlineStr">
        <is>
          <t>제1공장</t>
        </is>
      </c>
      <c r="K1061" t="inlineStr">
        <is>
          <t>041-569-8898</t>
        </is>
      </c>
      <c r="L1061" t="inlineStr">
        <is>
          <t>충청남도 천안시 동남구 수신면 장산2길 79-35</t>
        </is>
      </c>
      <c r="M1061" t="inlineStr"/>
      <c r="N1061" t="inlineStr">
        <is>
          <t>충청남도 천안시 동남구 수신면 장산2길 79-35</t>
        </is>
      </c>
      <c r="O1061" t="inlineStr">
        <is>
          <t>충청남도</t>
        </is>
      </c>
      <c r="P1061" t="inlineStr">
        <is>
          <t>천안시</t>
        </is>
      </c>
      <c r="Q1061" t="inlineStr">
        <is>
          <t>N</t>
        </is>
      </c>
      <c r="R1061" t="n">
        <v>0</v>
      </c>
    </row>
    <row r="1062">
      <c r="A1062" t="n">
        <v>1061</v>
      </c>
      <c r="B1062" t="inlineStr">
        <is>
          <t>(주)와이즈메디</t>
        </is>
      </c>
      <c r="C1062" t="inlineStr">
        <is>
          <t>와이즈메디</t>
        </is>
      </c>
      <c r="D1062" t="inlineStr">
        <is>
          <t>의약품</t>
        </is>
      </c>
      <c r="E1062" t="inlineStr">
        <is>
          <t>2464</t>
        </is>
      </c>
      <c r="F1062" t="inlineStr">
        <is>
          <t>강덕현</t>
        </is>
      </c>
      <c r="G1062" t="inlineStr">
        <is>
          <t>2005-01-20</t>
        </is>
      </c>
      <c r="H1062" t="inlineStr">
        <is>
          <t>20050120</t>
        </is>
      </c>
      <c r="I1062" t="inlineStr">
        <is>
          <t>1</t>
        </is>
      </c>
      <c r="J1062" t="inlineStr">
        <is>
          <t>진천</t>
        </is>
      </c>
      <c r="K1062" t="inlineStr">
        <is>
          <t>043)535-5680-1</t>
        </is>
      </c>
      <c r="L1062" t="inlineStr">
        <is>
          <t>충청북도 진천군 광혜원면 용소2길 27</t>
        </is>
      </c>
      <c r="M1062" t="inlineStr"/>
      <c r="N1062" t="inlineStr">
        <is>
          <t>충청북도 진천군 광혜원면 용소2길 27</t>
        </is>
      </c>
      <c r="O1062" t="inlineStr">
        <is>
          <t>충청북도</t>
        </is>
      </c>
      <c r="P1062" t="inlineStr">
        <is>
          <t>진천군</t>
        </is>
      </c>
      <c r="Q1062" t="inlineStr">
        <is>
          <t>N</t>
        </is>
      </c>
      <c r="R1062" t="n">
        <v>0</v>
      </c>
    </row>
    <row r="1063">
      <c r="A1063" t="n">
        <v>1062</v>
      </c>
      <c r="B1063" t="inlineStr">
        <is>
          <t>(주)프로톡스</t>
        </is>
      </c>
      <c r="C1063" t="inlineStr">
        <is>
          <t>프로톡스</t>
        </is>
      </c>
      <c r="D1063" t="inlineStr">
        <is>
          <t>의약품</t>
        </is>
      </c>
      <c r="E1063" t="inlineStr">
        <is>
          <t>378</t>
        </is>
      </c>
      <c r="F1063" t="inlineStr">
        <is>
          <t>김창수</t>
        </is>
      </c>
      <c r="G1063" t="inlineStr">
        <is>
          <t>2019-10-07</t>
        </is>
      </c>
      <c r="H1063" t="inlineStr">
        <is>
          <t>20191007</t>
        </is>
      </c>
      <c r="I1063" t="inlineStr">
        <is>
          <t>1</t>
        </is>
      </c>
      <c r="J1063" t="inlineStr">
        <is>
          <t>제1공장</t>
        </is>
      </c>
      <c r="K1063" t="inlineStr"/>
      <c r="L1063" t="inlineStr">
        <is>
          <t>경기도 화성시 향남읍 제약공단4길 94</t>
        </is>
      </c>
      <c r="M1063" t="inlineStr"/>
      <c r="N1063" t="inlineStr">
        <is>
          <t>경기도 화성시 향남읍 제약공단4길 94</t>
        </is>
      </c>
      <c r="O1063" t="inlineStr">
        <is>
          <t>경기도</t>
        </is>
      </c>
      <c r="P1063" t="inlineStr">
        <is>
          <t>화성시</t>
        </is>
      </c>
      <c r="Q1063" t="inlineStr">
        <is>
          <t>N</t>
        </is>
      </c>
      <c r="R1063" t="n">
        <v>0</v>
      </c>
    </row>
    <row r="1064">
      <c r="A1064" t="n">
        <v>1063</v>
      </c>
      <c r="B1064" t="inlineStr">
        <is>
          <t>(주)듀켐바이오</t>
        </is>
      </c>
      <c r="C1064" t="inlineStr">
        <is>
          <t>듀켐바이오</t>
        </is>
      </c>
      <c r="D1064" t="inlineStr">
        <is>
          <t>의약품</t>
        </is>
      </c>
      <c r="E1064" t="inlineStr">
        <is>
          <t>2437</t>
        </is>
      </c>
      <c r="F1064" t="inlineStr">
        <is>
          <t>김상우</t>
        </is>
      </c>
      <c r="G1064" t="inlineStr">
        <is>
          <t>2004-07-22</t>
        </is>
      </c>
      <c r="H1064" t="inlineStr">
        <is>
          <t>20040722</t>
        </is>
      </c>
      <c r="I1064" t="inlineStr">
        <is>
          <t>2</t>
        </is>
      </c>
      <c r="J1064" t="inlineStr">
        <is>
          <t>2공장(부평)</t>
        </is>
      </c>
      <c r="K1064" t="inlineStr">
        <is>
          <t>032-362-2812</t>
        </is>
      </c>
      <c r="L1064" t="inlineStr">
        <is>
          <t>인천광역시 부평구 동수로 56</t>
        </is>
      </c>
      <c r="M1064" t="inlineStr"/>
      <c r="N1064" t="inlineStr">
        <is>
          <t>인천광역시 부평구 동수로 56</t>
        </is>
      </c>
      <c r="O1064" t="inlineStr">
        <is>
          <t>인천광역시</t>
        </is>
      </c>
      <c r="P1064" t="inlineStr">
        <is>
          <t>부평구</t>
        </is>
      </c>
      <c r="Q1064" t="inlineStr">
        <is>
          <t>N</t>
        </is>
      </c>
      <c r="R1064" t="n">
        <v>0</v>
      </c>
    </row>
    <row r="1065">
      <c r="A1065" t="n">
        <v>1064</v>
      </c>
      <c r="B1065" t="inlineStr">
        <is>
          <t>에이치케이이노엔(주)</t>
        </is>
      </c>
      <c r="C1065" t="inlineStr">
        <is>
          <t>에이치케이이노엔</t>
        </is>
      </c>
      <c r="D1065" t="inlineStr">
        <is>
          <t>의약품</t>
        </is>
      </c>
      <c r="E1065" t="inlineStr">
        <is>
          <t>1452</t>
        </is>
      </c>
      <c r="F1065" t="inlineStr">
        <is>
          <t>곽달원</t>
        </is>
      </c>
      <c r="G1065" t="inlineStr">
        <is>
          <t>1964-12-07</t>
        </is>
      </c>
      <c r="H1065" t="inlineStr">
        <is>
          <t>19641207</t>
        </is>
      </c>
      <c r="I1065" t="inlineStr">
        <is>
          <t>1</t>
        </is>
      </c>
      <c r="J1065" t="inlineStr">
        <is>
          <t>음성</t>
        </is>
      </c>
      <c r="K1065" t="inlineStr">
        <is>
          <t>031-639-4270</t>
        </is>
      </c>
      <c r="L1065" t="inlineStr">
        <is>
          <t>충청북도 음성군 대소읍 대소산단로 20</t>
        </is>
      </c>
      <c r="M1065" t="inlineStr"/>
      <c r="N1065" t="inlineStr">
        <is>
          <t>충청북도 음성군 대소읍 대소산단로 20</t>
        </is>
      </c>
      <c r="O1065" t="inlineStr">
        <is>
          <t>충청북도</t>
        </is>
      </c>
      <c r="P1065" t="inlineStr">
        <is>
          <t>음성군</t>
        </is>
      </c>
      <c r="Q1065" t="inlineStr">
        <is>
          <t>N</t>
        </is>
      </c>
      <c r="R1065" t="n">
        <v>0</v>
      </c>
    </row>
    <row r="1066">
      <c r="A1066" t="n">
        <v>1065</v>
      </c>
      <c r="B1066" t="inlineStr">
        <is>
          <t>(주)텔콘알에프제약</t>
        </is>
      </c>
      <c r="C1066" t="inlineStr">
        <is>
          <t>텔콘알에프제약</t>
        </is>
      </c>
      <c r="D1066" t="inlineStr">
        <is>
          <t>의약품</t>
        </is>
      </c>
      <c r="E1066" t="inlineStr">
        <is>
          <t>2603</t>
        </is>
      </c>
      <c r="F1066" t="inlineStr">
        <is>
          <t>김지훈</t>
        </is>
      </c>
      <c r="G1066" t="inlineStr">
        <is>
          <t>2012-11-27</t>
        </is>
      </c>
      <c r="H1066" t="inlineStr">
        <is>
          <t>20121127</t>
        </is>
      </c>
      <c r="I1066" t="inlineStr">
        <is>
          <t>1</t>
        </is>
      </c>
      <c r="J1066" t="inlineStr">
        <is>
          <t>제1공장</t>
        </is>
      </c>
      <c r="K1066" t="inlineStr">
        <is>
          <t>043-849-0200</t>
        </is>
      </c>
      <c r="L1066" t="inlineStr">
        <is>
          <t>충청북도 충주시 대소원면 첨단산업1로 120</t>
        </is>
      </c>
      <c r="M1066" t="inlineStr"/>
      <c r="N1066" t="inlineStr">
        <is>
          <t>충청북도 충주시 대소원면 첨단산업1로 120</t>
        </is>
      </c>
      <c r="O1066" t="inlineStr">
        <is>
          <t>충청북도</t>
        </is>
      </c>
      <c r="P1066" t="inlineStr">
        <is>
          <t>충주시</t>
        </is>
      </c>
      <c r="Q1066" t="inlineStr">
        <is>
          <t>N</t>
        </is>
      </c>
      <c r="R1066" t="n">
        <v>0</v>
      </c>
    </row>
    <row r="1067">
      <c r="A1067" t="n">
        <v>1066</v>
      </c>
      <c r="B1067" t="inlineStr">
        <is>
          <t>(주)한국비엔씨</t>
        </is>
      </c>
      <c r="C1067" t="inlineStr">
        <is>
          <t>한국비엔씨</t>
        </is>
      </c>
      <c r="D1067" t="inlineStr">
        <is>
          <t>의약품</t>
        </is>
      </c>
      <c r="E1067" t="inlineStr">
        <is>
          <t>98</t>
        </is>
      </c>
      <c r="F1067" t="inlineStr">
        <is>
          <t>최완규</t>
        </is>
      </c>
      <c r="G1067" t="inlineStr">
        <is>
          <t>2019-02-26</t>
        </is>
      </c>
      <c r="H1067" t="inlineStr">
        <is>
          <t>20190226</t>
        </is>
      </c>
      <c r="I1067" t="inlineStr">
        <is>
          <t>2</t>
        </is>
      </c>
      <c r="J1067" t="inlineStr">
        <is>
          <t>2공장 세종공장</t>
        </is>
      </c>
      <c r="K1067" t="inlineStr">
        <is>
          <t>044-715-5101</t>
        </is>
      </c>
      <c r="L1067" t="inlineStr">
        <is>
          <t>세종특별자치시 소정면 소정산단북로 7</t>
        </is>
      </c>
      <c r="M1067" t="inlineStr"/>
      <c r="N1067" t="inlineStr">
        <is>
          <t>세종특별자치시 소정면 소정산단북로 7</t>
        </is>
      </c>
      <c r="O1067" t="inlineStr">
        <is>
          <t>세종특별자치시</t>
        </is>
      </c>
      <c r="P1067" t="inlineStr"/>
      <c r="Q1067" t="inlineStr">
        <is>
          <t>N</t>
        </is>
      </c>
      <c r="R1067" t="n">
        <v>0</v>
      </c>
    </row>
    <row r="1068">
      <c r="A1068" t="n">
        <v>1067</v>
      </c>
      <c r="B1068" t="inlineStr">
        <is>
          <t>영북가스</t>
        </is>
      </c>
      <c r="C1068" t="inlineStr">
        <is>
          <t>영북가스</t>
        </is>
      </c>
      <c r="D1068" t="inlineStr">
        <is>
          <t>의약품</t>
        </is>
      </c>
      <c r="E1068" t="inlineStr">
        <is>
          <t>2406</t>
        </is>
      </c>
      <c r="F1068" t="inlineStr">
        <is>
          <t>이상운</t>
        </is>
      </c>
      <c r="G1068" t="inlineStr">
        <is>
          <t>2003-12-09</t>
        </is>
      </c>
      <c r="H1068" t="inlineStr">
        <is>
          <t>20031209</t>
        </is>
      </c>
      <c r="I1068" t="inlineStr">
        <is>
          <t>1</t>
        </is>
      </c>
      <c r="J1068" t="inlineStr">
        <is>
          <t>.</t>
        </is>
      </c>
      <c r="K1068" t="inlineStr">
        <is>
          <t>033-635-4707</t>
        </is>
      </c>
      <c r="L1068" t="inlineStr">
        <is>
          <t>강원도 속초시 학사평2길 20</t>
        </is>
      </c>
      <c r="M1068" t="inlineStr"/>
      <c r="N1068" t="inlineStr">
        <is>
          <t>강원도 속초시 학사평2길 20</t>
        </is>
      </c>
      <c r="O1068" t="inlineStr">
        <is>
          <t>강원도</t>
        </is>
      </c>
      <c r="P1068" t="inlineStr">
        <is>
          <t>속초시</t>
        </is>
      </c>
      <c r="Q1068" t="inlineStr">
        <is>
          <t>N</t>
        </is>
      </c>
      <c r="R1068" t="n">
        <v>0</v>
      </c>
    </row>
    <row r="1069">
      <c r="A1069" t="n">
        <v>1068</v>
      </c>
      <c r="B1069" t="inlineStr">
        <is>
          <t>(주)한풍제약</t>
        </is>
      </c>
      <c r="C1069" t="inlineStr">
        <is>
          <t>한풍제약</t>
        </is>
      </c>
      <c r="D1069" t="inlineStr">
        <is>
          <t>의약품</t>
        </is>
      </c>
      <c r="E1069" t="inlineStr">
        <is>
          <t>1417</t>
        </is>
      </c>
      <c r="F1069" t="inlineStr">
        <is>
          <t>조형권</t>
        </is>
      </c>
      <c r="G1069" t="inlineStr">
        <is>
          <t>1962-07-21</t>
        </is>
      </c>
      <c r="H1069" t="inlineStr">
        <is>
          <t>19620721</t>
        </is>
      </c>
      <c r="I1069" t="inlineStr">
        <is>
          <t>2</t>
        </is>
      </c>
      <c r="J1069" t="inlineStr"/>
      <c r="K1069" t="inlineStr"/>
      <c r="L1069" t="inlineStr">
        <is>
          <t>전북특별자치도 완주군 봉동읍 완주산단6로 301</t>
        </is>
      </c>
      <c r="M1069" t="inlineStr">
        <is>
          <t>, 봉동로 705</t>
        </is>
      </c>
      <c r="N1069" t="inlineStr">
        <is>
          <t>전북특별자치도 완주군 봉동읍 완주산단6로 301 , 봉동로 705</t>
        </is>
      </c>
      <c r="O1069" t="inlineStr">
        <is>
          <t>전북특별자치도</t>
        </is>
      </c>
      <c r="P1069" t="inlineStr">
        <is>
          <t>완주군</t>
        </is>
      </c>
      <c r="Q1069" t="inlineStr">
        <is>
          <t>Y</t>
        </is>
      </c>
      <c r="R1069" t="n">
        <v>47</v>
      </c>
    </row>
    <row r="1070">
      <c r="A1070" t="n">
        <v>1069</v>
      </c>
      <c r="B1070" t="inlineStr">
        <is>
          <t>(주)유바이오로직스</t>
        </is>
      </c>
      <c r="C1070" t="inlineStr">
        <is>
          <t>유바이오로직스</t>
        </is>
      </c>
      <c r="D1070" t="inlineStr">
        <is>
          <t>의약품</t>
        </is>
      </c>
      <c r="E1070" t="inlineStr">
        <is>
          <t>322</t>
        </is>
      </c>
      <c r="F1070" t="inlineStr">
        <is>
          <t>허태영</t>
        </is>
      </c>
      <c r="G1070" t="inlineStr">
        <is>
          <t>2011-11-28</t>
        </is>
      </c>
      <c r="H1070" t="inlineStr">
        <is>
          <t>20111128</t>
        </is>
      </c>
      <c r="I1070" t="inlineStr">
        <is>
          <t>5</t>
        </is>
      </c>
      <c r="J1070" t="inlineStr">
        <is>
          <t>[보관소2]</t>
        </is>
      </c>
      <c r="K1070" t="inlineStr"/>
      <c r="L1070" t="inlineStr">
        <is>
          <t>강원특별자치도 춘천시 소양강로 56</t>
        </is>
      </c>
      <c r="M1070" t="inlineStr">
        <is>
          <t>4동 4층 냉장실9</t>
        </is>
      </c>
      <c r="N1070" t="inlineStr">
        <is>
          <t>강원특별자치도 춘천시 소양강로 56 4동 4층 냉장실9</t>
        </is>
      </c>
      <c r="O1070" t="inlineStr">
        <is>
          <t>강원특별자치도</t>
        </is>
      </c>
      <c r="P1070" t="inlineStr">
        <is>
          <t>춘천시</t>
        </is>
      </c>
      <c r="Q1070" t="inlineStr">
        <is>
          <t>Y</t>
        </is>
      </c>
      <c r="R1070" t="n">
        <v>48</v>
      </c>
    </row>
    <row r="1071">
      <c r="A1071" t="n">
        <v>1070</v>
      </c>
      <c r="B1071" t="inlineStr">
        <is>
          <t>(주)제테마</t>
        </is>
      </c>
      <c r="C1071" t="inlineStr">
        <is>
          <t>제테마</t>
        </is>
      </c>
      <c r="D1071" t="inlineStr">
        <is>
          <t>의약품</t>
        </is>
      </c>
      <c r="E1071" t="inlineStr">
        <is>
          <t>380</t>
        </is>
      </c>
      <c r="F1071" t="inlineStr">
        <is>
          <t>남정선</t>
        </is>
      </c>
      <c r="G1071" t="inlineStr">
        <is>
          <t>2019-01-23</t>
        </is>
      </c>
      <c r="H1071" t="inlineStr">
        <is>
          <t>20190123</t>
        </is>
      </c>
      <c r="I1071" t="inlineStr">
        <is>
          <t>1</t>
        </is>
      </c>
      <c r="J1071" t="inlineStr">
        <is>
          <t>(주)제테마원주공장</t>
        </is>
      </c>
      <c r="K1071" t="inlineStr"/>
      <c r="L1071" t="inlineStr">
        <is>
          <t>강원특별자치도 원주시 지정면 조엄로 321</t>
        </is>
      </c>
      <c r="M1071" t="inlineStr"/>
      <c r="N1071" t="inlineStr">
        <is>
          <t>강원특별자치도 원주시 지정면 조엄로 321</t>
        </is>
      </c>
      <c r="O1071" t="inlineStr">
        <is>
          <t>강원특별자치도</t>
        </is>
      </c>
      <c r="P1071" t="inlineStr">
        <is>
          <t>원주시</t>
        </is>
      </c>
      <c r="Q1071" t="inlineStr">
        <is>
          <t>N</t>
        </is>
      </c>
      <c r="R1071" t="n">
        <v>0</v>
      </c>
    </row>
    <row r="1072">
      <c r="A1072" t="n">
        <v>1071</v>
      </c>
      <c r="B1072" t="inlineStr">
        <is>
          <t>(주)한국신약</t>
        </is>
      </c>
      <c r="C1072" t="inlineStr">
        <is>
          <t>한국신약</t>
        </is>
      </c>
      <c r="D1072" t="inlineStr">
        <is>
          <t>의약품</t>
        </is>
      </c>
      <c r="E1072" t="inlineStr">
        <is>
          <t>1404</t>
        </is>
      </c>
      <c r="F1072" t="inlineStr">
        <is>
          <t>한상욱</t>
        </is>
      </c>
      <c r="G1072" t="inlineStr">
        <is>
          <t>1961-02-27</t>
        </is>
      </c>
      <c r="H1072" t="inlineStr">
        <is>
          <t>19610227</t>
        </is>
      </c>
      <c r="I1072" t="inlineStr">
        <is>
          <t>1</t>
        </is>
      </c>
      <c r="J1072" t="inlineStr">
        <is>
          <t>논산공장</t>
        </is>
      </c>
      <c r="K1072" t="inlineStr">
        <is>
          <t>041-740-8830</t>
        </is>
      </c>
      <c r="L1072" t="inlineStr">
        <is>
          <t>충청남도 논산시 양촌면 중산길 39-83</t>
        </is>
      </c>
      <c r="M1072" t="inlineStr"/>
      <c r="N1072" t="inlineStr">
        <is>
          <t>충청남도 논산시 양촌면 중산길 39-83</t>
        </is>
      </c>
      <c r="O1072" t="inlineStr">
        <is>
          <t>충청남도</t>
        </is>
      </c>
      <c r="P1072" t="inlineStr">
        <is>
          <t>논산시</t>
        </is>
      </c>
      <c r="Q1072" t="inlineStr">
        <is>
          <t>N</t>
        </is>
      </c>
      <c r="R1072" t="n">
        <v>0</v>
      </c>
    </row>
    <row r="1073">
      <c r="A1073" t="n">
        <v>1072</v>
      </c>
      <c r="B1073" t="inlineStr">
        <is>
          <t>주식회사더유제약</t>
        </is>
      </c>
      <c r="C1073" t="inlineStr">
        <is>
          <t>더유제약</t>
        </is>
      </c>
      <c r="D1073" t="inlineStr">
        <is>
          <t>의약품</t>
        </is>
      </c>
      <c r="E1073" t="inlineStr">
        <is>
          <t>373</t>
        </is>
      </c>
      <c r="F1073" t="inlineStr">
        <is>
          <t>김민구</t>
        </is>
      </c>
      <c r="G1073" t="inlineStr">
        <is>
          <t>2018-08-14</t>
        </is>
      </c>
      <c r="H1073" t="inlineStr">
        <is>
          <t>20180814</t>
        </is>
      </c>
      <c r="I1073" t="inlineStr">
        <is>
          <t>1</t>
        </is>
      </c>
      <c r="J1073" t="inlineStr">
        <is>
          <t>(주)더유제약</t>
        </is>
      </c>
      <c r="K1073" t="inlineStr"/>
      <c r="L1073" t="inlineStr">
        <is>
          <t>경기도 남양주시 진접읍 경복대로바람골길 42-151</t>
        </is>
      </c>
      <c r="M1073" t="inlineStr">
        <is>
          <t>, 1~4층</t>
        </is>
      </c>
      <c r="N1073" t="inlineStr">
        <is>
          <t>경기도 남양주시 진접읍 경복대로바람골길 42-151 , 1~4층</t>
        </is>
      </c>
      <c r="O1073" t="inlineStr">
        <is>
          <t>경기도</t>
        </is>
      </c>
      <c r="P1073" t="inlineStr">
        <is>
          <t>남양주시</t>
        </is>
      </c>
      <c r="Q1073" t="inlineStr">
        <is>
          <t>N</t>
        </is>
      </c>
      <c r="R1073" t="n">
        <v>0</v>
      </c>
    </row>
    <row r="1074">
      <c r="A1074" t="n">
        <v>1073</v>
      </c>
      <c r="B1074" t="inlineStr">
        <is>
          <t>삼전순약공업(주)</t>
        </is>
      </c>
      <c r="C1074" t="inlineStr">
        <is>
          <t>삼전순약공업</t>
        </is>
      </c>
      <c r="D1074" t="inlineStr">
        <is>
          <t>의약품</t>
        </is>
      </c>
      <c r="E1074" t="inlineStr">
        <is>
          <t>1941</t>
        </is>
      </c>
      <c r="F1074" t="inlineStr">
        <is>
          <t>전성혁</t>
        </is>
      </c>
      <c r="G1074" t="inlineStr">
        <is>
          <t>1996-08-29</t>
        </is>
      </c>
      <c r="H1074" t="inlineStr">
        <is>
          <t>19960829</t>
        </is>
      </c>
      <c r="I1074" t="inlineStr">
        <is>
          <t>2</t>
        </is>
      </c>
      <c r="J1074" t="inlineStr">
        <is>
          <t>원료보관소</t>
        </is>
      </c>
      <c r="K1074" t="inlineStr"/>
      <c r="L1074" t="inlineStr">
        <is>
          <t>경기도 평택시 산단로64번길 15</t>
        </is>
      </c>
      <c r="M1074" t="inlineStr">
        <is>
          <t>, F동일부</t>
        </is>
      </c>
      <c r="N1074" t="inlineStr">
        <is>
          <t>경기도 평택시 산단로64번길 15 , F동일부</t>
        </is>
      </c>
      <c r="O1074" t="inlineStr">
        <is>
          <t>경기도</t>
        </is>
      </c>
      <c r="P1074" t="inlineStr">
        <is>
          <t>평택시</t>
        </is>
      </c>
      <c r="Q1074" t="inlineStr">
        <is>
          <t>Y</t>
        </is>
      </c>
      <c r="R1074" t="n">
        <v>89</v>
      </c>
    </row>
    <row r="1075">
      <c r="A1075" t="n">
        <v>1074</v>
      </c>
      <c r="B1075" t="inlineStr">
        <is>
          <t>대봉엘에스(주)</t>
        </is>
      </c>
      <c r="C1075" t="inlineStr">
        <is>
          <t>대봉엘에스</t>
        </is>
      </c>
      <c r="D1075" t="inlineStr">
        <is>
          <t>의약품</t>
        </is>
      </c>
      <c r="E1075" t="inlineStr">
        <is>
          <t>1867</t>
        </is>
      </c>
      <c r="F1075" t="inlineStr">
        <is>
          <t>박종호</t>
        </is>
      </c>
      <c r="G1075" t="inlineStr">
        <is>
          <t>1995-01-21</t>
        </is>
      </c>
      <c r="H1075" t="inlineStr">
        <is>
          <t>19950121</t>
        </is>
      </c>
      <c r="I1075" t="inlineStr">
        <is>
          <t>1</t>
        </is>
      </c>
      <c r="J1075" t="inlineStr">
        <is>
          <t>인천</t>
        </is>
      </c>
      <c r="K1075" t="inlineStr">
        <is>
          <t>032-817-8805</t>
        </is>
      </c>
      <c r="L1075" t="inlineStr">
        <is>
          <t>인천광역시 남동구 능허대로649번길 123</t>
        </is>
      </c>
      <c r="M1075" t="inlineStr">
        <is>
          <t>122B-9L</t>
        </is>
      </c>
      <c r="N1075" t="inlineStr">
        <is>
          <t>인천광역시 남동구 능허대로649번길 123 122B-9L</t>
        </is>
      </c>
      <c r="O1075" t="inlineStr">
        <is>
          <t>인천광역시</t>
        </is>
      </c>
      <c r="P1075" t="inlineStr">
        <is>
          <t>남동구</t>
        </is>
      </c>
      <c r="Q1075" t="inlineStr">
        <is>
          <t>Y</t>
        </is>
      </c>
      <c r="R1075" t="n">
        <v>50</v>
      </c>
    </row>
    <row r="1076">
      <c r="A1076" t="n">
        <v>1075</v>
      </c>
      <c r="B1076" t="inlineStr">
        <is>
          <t>대한뉴팜(주)</t>
        </is>
      </c>
      <c r="C1076" t="inlineStr">
        <is>
          <t>대한뉴팜</t>
        </is>
      </c>
      <c r="D1076" t="inlineStr">
        <is>
          <t>의약품</t>
        </is>
      </c>
      <c r="E1076" t="inlineStr">
        <is>
          <t>1854</t>
        </is>
      </c>
      <c r="F1076" t="inlineStr">
        <is>
          <t>이원석</t>
        </is>
      </c>
      <c r="G1076" t="inlineStr">
        <is>
          <t>1994-12-07</t>
        </is>
      </c>
      <c r="H1076" t="inlineStr">
        <is>
          <t>19941207</t>
        </is>
      </c>
      <c r="I1076" t="inlineStr">
        <is>
          <t>1</t>
        </is>
      </c>
      <c r="J1076" t="inlineStr">
        <is>
          <t>화성</t>
        </is>
      </c>
      <c r="K1076" t="inlineStr">
        <is>
          <t>031-350-6114</t>
        </is>
      </c>
      <c r="L1076" t="inlineStr">
        <is>
          <t>경기도 화성시 만세구 향남읍 제약공단1길 66</t>
        </is>
      </c>
      <c r="M1076" t="inlineStr"/>
      <c r="N1076" t="inlineStr">
        <is>
          <t>경기도 화성시 만세구 향남읍 제약공단1길 66</t>
        </is>
      </c>
      <c r="O1076" t="inlineStr">
        <is>
          <t>경기도</t>
        </is>
      </c>
      <c r="P1076" t="inlineStr">
        <is>
          <t>화성시</t>
        </is>
      </c>
      <c r="Q1076" t="inlineStr">
        <is>
          <t>N</t>
        </is>
      </c>
      <c r="R1076" t="n">
        <v>0</v>
      </c>
    </row>
    <row r="1077">
      <c r="A1077" t="n">
        <v>1076</v>
      </c>
      <c r="B1077" t="inlineStr">
        <is>
          <t>광동제약(주)</t>
        </is>
      </c>
      <c r="C1077" t="inlineStr">
        <is>
          <t>광동제약</t>
        </is>
      </c>
      <c r="D1077" t="inlineStr">
        <is>
          <t>의약품</t>
        </is>
      </c>
      <c r="E1077" t="inlineStr">
        <is>
          <t>0150</t>
        </is>
      </c>
      <c r="F1077" t="inlineStr">
        <is>
          <t>최성원</t>
        </is>
      </c>
      <c r="G1077" t="inlineStr">
        <is>
          <t>1992-10-16</t>
        </is>
      </c>
      <c r="H1077" t="inlineStr">
        <is>
          <t>19921016</t>
        </is>
      </c>
      <c r="I1077" t="inlineStr">
        <is>
          <t>3</t>
        </is>
      </c>
      <c r="J1077" t="inlineStr">
        <is>
          <t>서울</t>
        </is>
      </c>
      <c r="K1077" t="inlineStr">
        <is>
          <t>850-9702</t>
        </is>
      </c>
      <c r="L1077" t="inlineStr"/>
      <c r="M1077" t="inlineStr">
        <is>
          <t>경기도 평택시 산단로 114</t>
        </is>
      </c>
      <c r="N1077" t="inlineStr">
        <is>
          <t>경기도 평택시 산단로 114</t>
        </is>
      </c>
      <c r="O1077" t="inlineStr">
        <is>
          <t>경기도</t>
        </is>
      </c>
      <c r="P1077" t="inlineStr">
        <is>
          <t>평택시</t>
        </is>
      </c>
      <c r="Q1077" t="inlineStr">
        <is>
          <t>Y</t>
        </is>
      </c>
      <c r="R1077" t="n">
        <v>90</v>
      </c>
    </row>
    <row r="1078">
      <c r="A1078" t="n">
        <v>1077</v>
      </c>
      <c r="B1078" t="inlineStr">
        <is>
          <t>(주)셀트리온</t>
        </is>
      </c>
      <c r="C1078" t="inlineStr">
        <is>
          <t>셀트리온</t>
        </is>
      </c>
      <c r="D1078" t="inlineStr">
        <is>
          <t>의약품</t>
        </is>
      </c>
      <c r="E1078" t="inlineStr">
        <is>
          <t>2569</t>
        </is>
      </c>
      <c r="F1078" t="inlineStr">
        <is>
          <t>기우성</t>
        </is>
      </c>
      <c r="G1078" t="inlineStr">
        <is>
          <t>2006-07-21</t>
        </is>
      </c>
      <c r="H1078" t="inlineStr">
        <is>
          <t>20060721</t>
        </is>
      </c>
      <c r="I1078" t="inlineStr">
        <is>
          <t>2</t>
        </is>
      </c>
      <c r="J1078" t="inlineStr">
        <is>
          <t>제2공장</t>
        </is>
      </c>
      <c r="K1078" t="inlineStr"/>
      <c r="L1078" t="inlineStr">
        <is>
          <t>인천광역시 연수구 아카데미로51번길 20</t>
        </is>
      </c>
      <c r="M1078" t="inlineStr"/>
      <c r="N1078" t="inlineStr">
        <is>
          <t>인천광역시 연수구 아카데미로51번길 20</t>
        </is>
      </c>
      <c r="O1078" t="inlineStr">
        <is>
          <t>인천광역시</t>
        </is>
      </c>
      <c r="P1078" t="inlineStr">
        <is>
          <t>연수구</t>
        </is>
      </c>
      <c r="Q1078" t="inlineStr">
        <is>
          <t>Y</t>
        </is>
      </c>
      <c r="R1078" t="n">
        <v>91</v>
      </c>
    </row>
    <row r="1079">
      <c r="A1079" t="n">
        <v>1078</v>
      </c>
      <c r="B1079" t="inlineStr">
        <is>
          <t>대한적십자사경상남도혈액원</t>
        </is>
      </c>
      <c r="C1079" t="inlineStr">
        <is>
          <t>대한적십자사경상남도혈액원</t>
        </is>
      </c>
      <c r="D1079" t="inlineStr">
        <is>
          <t>의약품</t>
        </is>
      </c>
      <c r="E1079" t="inlineStr">
        <is>
          <t>2536</t>
        </is>
      </c>
      <c r="F1079" t="inlineStr">
        <is>
          <t>이정우</t>
        </is>
      </c>
      <c r="G1079" t="inlineStr">
        <is>
          <t>2006-01-27</t>
        </is>
      </c>
      <c r="H1079" t="inlineStr">
        <is>
          <t>20060127</t>
        </is>
      </c>
      <c r="I1079" t="inlineStr">
        <is>
          <t>1</t>
        </is>
      </c>
      <c r="J1079" t="inlineStr">
        <is>
          <t>대한적십자사경상남도혈액원</t>
        </is>
      </c>
      <c r="K1079" t="inlineStr"/>
      <c r="L1079" t="inlineStr">
        <is>
          <t>경상남도 창원시 성산구 용지로 226</t>
        </is>
      </c>
      <c r="M1079" t="inlineStr"/>
      <c r="N1079" t="inlineStr">
        <is>
          <t>경상남도 창원시 성산구 용지로 226</t>
        </is>
      </c>
      <c r="O1079" t="inlineStr">
        <is>
          <t>경상남도</t>
        </is>
      </c>
      <c r="P1079" t="inlineStr">
        <is>
          <t>창원시</t>
        </is>
      </c>
      <c r="Q1079" t="inlineStr">
        <is>
          <t>N</t>
        </is>
      </c>
      <c r="R1079" t="n">
        <v>0</v>
      </c>
    </row>
    <row r="1080">
      <c r="A1080" t="n">
        <v>1079</v>
      </c>
      <c r="B1080" t="inlineStr">
        <is>
          <t>(주)이수앱지스</t>
        </is>
      </c>
      <c r="C1080" t="inlineStr">
        <is>
          <t>이수앱지스</t>
        </is>
      </c>
      <c r="D1080" t="inlineStr">
        <is>
          <t>의약품</t>
        </is>
      </c>
      <c r="E1080" t="inlineStr">
        <is>
          <t>2456</t>
        </is>
      </c>
      <c r="F1080" t="inlineStr">
        <is>
          <t>유준수</t>
        </is>
      </c>
      <c r="G1080" t="inlineStr">
        <is>
          <t>2004-12-03</t>
        </is>
      </c>
      <c r="H1080" t="inlineStr">
        <is>
          <t>20041203</t>
        </is>
      </c>
      <c r="I1080" t="inlineStr">
        <is>
          <t>3</t>
        </is>
      </c>
      <c r="J1080" t="inlineStr">
        <is>
          <t>용인공장</t>
        </is>
      </c>
      <c r="K1080" t="inlineStr"/>
      <c r="L1080" t="inlineStr">
        <is>
          <t>경기도 용인시 기흥구 동백중앙로16번길 16-25</t>
        </is>
      </c>
      <c r="M1080" t="inlineStr">
        <is>
          <t>대우프론티어밸리 1차 203~209호, 219~221호, 213호, 304호</t>
        </is>
      </c>
      <c r="N1080" t="inlineStr">
        <is>
          <t>경기도 용인시 기흥구 동백중앙로16번길 16-25 대우프론티어밸리 1차 203~209호, 219~221호, 213호, 304호</t>
        </is>
      </c>
      <c r="O1080" t="inlineStr">
        <is>
          <t>경기도</t>
        </is>
      </c>
      <c r="P1080" t="inlineStr">
        <is>
          <t>용인시</t>
        </is>
      </c>
      <c r="Q1080" t="inlineStr">
        <is>
          <t>N</t>
        </is>
      </c>
      <c r="R1080" t="n">
        <v>0</v>
      </c>
    </row>
    <row r="1081">
      <c r="A1081" t="n">
        <v>1080</v>
      </c>
      <c r="B1081" t="inlineStr">
        <is>
          <t>씨제이제일제당(주)</t>
        </is>
      </c>
      <c r="C1081" t="inlineStr">
        <is>
          <t>씨제이제일제당</t>
        </is>
      </c>
      <c r="D1081" t="inlineStr">
        <is>
          <t>의약품</t>
        </is>
      </c>
      <c r="E1081" t="inlineStr">
        <is>
          <t>348</t>
        </is>
      </c>
      <c r="F1081" t="inlineStr">
        <is>
          <t>윤석환</t>
        </is>
      </c>
      <c r="G1081" t="inlineStr">
        <is>
          <t>2014-06-26</t>
        </is>
      </c>
      <c r="H1081" t="inlineStr">
        <is>
          <t>20140626</t>
        </is>
      </c>
      <c r="I1081" t="inlineStr">
        <is>
          <t>1</t>
        </is>
      </c>
      <c r="J1081" t="inlineStr">
        <is>
          <t>제조소</t>
        </is>
      </c>
      <c r="K1081" t="inlineStr">
        <is>
          <t>(032)890-9372</t>
        </is>
      </c>
      <c r="L1081" t="inlineStr">
        <is>
          <t>인천광역시 중구 아암대로 20</t>
        </is>
      </c>
      <c r="M1081" t="inlineStr"/>
      <c r="N1081" t="inlineStr">
        <is>
          <t>인천광역시 중구 아암대로 20</t>
        </is>
      </c>
      <c r="O1081" t="inlineStr">
        <is>
          <t>인천광역시</t>
        </is>
      </c>
      <c r="P1081" t="inlineStr">
        <is>
          <t>중구</t>
        </is>
      </c>
      <c r="Q1081" t="inlineStr">
        <is>
          <t>N</t>
        </is>
      </c>
      <c r="R1081" t="n">
        <v>0</v>
      </c>
    </row>
    <row r="1082">
      <c r="A1082" t="n">
        <v>1081</v>
      </c>
      <c r="B1082" t="inlineStr">
        <is>
          <t>대한적십자사서울동부혈액원</t>
        </is>
      </c>
      <c r="C1082" t="inlineStr">
        <is>
          <t>대한적십자사서울동부혈액원</t>
        </is>
      </c>
      <c r="D1082" t="inlineStr">
        <is>
          <t>의약품</t>
        </is>
      </c>
      <c r="E1082" t="inlineStr">
        <is>
          <t>2530</t>
        </is>
      </c>
      <c r="F1082" t="inlineStr">
        <is>
          <t>박기홍</t>
        </is>
      </c>
      <c r="G1082" t="inlineStr">
        <is>
          <t>2006-01-27</t>
        </is>
      </c>
      <c r="H1082" t="inlineStr">
        <is>
          <t>20060127</t>
        </is>
      </c>
      <c r="I1082" t="inlineStr">
        <is>
          <t>1</t>
        </is>
      </c>
      <c r="J1082" t="inlineStr">
        <is>
          <t>제1공장</t>
        </is>
      </c>
      <c r="K1082" t="inlineStr">
        <is>
          <t>952-0322</t>
        </is>
      </c>
      <c r="L1082" t="inlineStr">
        <is>
          <t>서울특별시 노원구 동일로 1329</t>
        </is>
      </c>
      <c r="M1082" t="inlineStr">
        <is>
          <t>(상계동)</t>
        </is>
      </c>
      <c r="N1082" t="inlineStr">
        <is>
          <t>서울특별시 노원구 동일로 1329 (상계동)</t>
        </is>
      </c>
      <c r="O1082" t="inlineStr">
        <is>
          <t>서울특별시</t>
        </is>
      </c>
      <c r="P1082" t="inlineStr">
        <is>
          <t>노원구</t>
        </is>
      </c>
      <c r="Q1082" t="inlineStr">
        <is>
          <t>N</t>
        </is>
      </c>
      <c r="R1082" t="n">
        <v>0</v>
      </c>
    </row>
    <row r="1083">
      <c r="A1083" t="n">
        <v>1082</v>
      </c>
      <c r="B1083" t="inlineStr">
        <is>
          <t>(주)녹십자엠에스</t>
        </is>
      </c>
      <c r="C1083" t="inlineStr">
        <is>
          <t>녹십자엠에스</t>
        </is>
      </c>
      <c r="D1083" t="inlineStr">
        <is>
          <t>의약품</t>
        </is>
      </c>
      <c r="E1083" t="inlineStr">
        <is>
          <t>2453</t>
        </is>
      </c>
      <c r="F1083" t="inlineStr">
        <is>
          <t>김연근</t>
        </is>
      </c>
      <c r="G1083" t="inlineStr">
        <is>
          <t>2004-11-18</t>
        </is>
      </c>
      <c r="H1083" t="inlineStr">
        <is>
          <t>20041118</t>
        </is>
      </c>
      <c r="I1083" t="inlineStr">
        <is>
          <t>1</t>
        </is>
      </c>
      <c r="J1083" t="inlineStr">
        <is>
          <t>음성(2동2층)</t>
        </is>
      </c>
      <c r="K1083" t="inlineStr"/>
      <c r="L1083" t="inlineStr">
        <is>
          <t>충청북도 음성군 금왕읍 무극로65번길 26</t>
        </is>
      </c>
      <c r="M1083" t="inlineStr">
        <is>
          <t>2동2층(체외진단용에 한함)</t>
        </is>
      </c>
      <c r="N1083" t="inlineStr">
        <is>
          <t>충청북도 음성군 금왕읍 무극로65번길 26 2동2층(체외진단용에 한함)</t>
        </is>
      </c>
      <c r="O1083" t="inlineStr">
        <is>
          <t>충청북도</t>
        </is>
      </c>
      <c r="P1083" t="inlineStr">
        <is>
          <t>음성군</t>
        </is>
      </c>
      <c r="Q1083" t="inlineStr">
        <is>
          <t>N</t>
        </is>
      </c>
      <c r="R1083" t="n">
        <v>0</v>
      </c>
    </row>
    <row r="1084">
      <c r="A1084" t="n">
        <v>1083</v>
      </c>
      <c r="B1084" t="inlineStr">
        <is>
          <t>엠에프씨주식회사</t>
        </is>
      </c>
      <c r="C1084" t="inlineStr">
        <is>
          <t>엠에프씨</t>
        </is>
      </c>
      <c r="D1084" t="inlineStr">
        <is>
          <t>의약품</t>
        </is>
      </c>
      <c r="E1084" t="inlineStr">
        <is>
          <t>346</t>
        </is>
      </c>
      <c r="F1084" t="inlineStr">
        <is>
          <t>황성관</t>
        </is>
      </c>
      <c r="G1084" t="inlineStr">
        <is>
          <t>2013-07-25</t>
        </is>
      </c>
      <c r="H1084" t="inlineStr">
        <is>
          <t>20130725</t>
        </is>
      </c>
      <c r="I1084" t="inlineStr">
        <is>
          <t>1</t>
        </is>
      </c>
      <c r="J1084" t="inlineStr">
        <is>
          <t>1공장</t>
        </is>
      </c>
      <c r="K1084" t="inlineStr"/>
      <c r="L1084" t="inlineStr">
        <is>
          <t>경기도 화성시 향남읍 제약단지로 50</t>
        </is>
      </c>
      <c r="M1084" t="inlineStr"/>
      <c r="N1084" t="inlineStr">
        <is>
          <t>경기도 화성시 향남읍 제약단지로 50</t>
        </is>
      </c>
      <c r="O1084" t="inlineStr">
        <is>
          <t>경기도</t>
        </is>
      </c>
      <c r="P1084" t="inlineStr">
        <is>
          <t>화성시</t>
        </is>
      </c>
      <c r="Q1084" t="inlineStr">
        <is>
          <t>N</t>
        </is>
      </c>
      <c r="R1084" t="n">
        <v>0</v>
      </c>
    </row>
    <row r="1085">
      <c r="A1085" t="n">
        <v>1084</v>
      </c>
      <c r="B1085" t="inlineStr">
        <is>
          <t>(주)한국팜비오</t>
        </is>
      </c>
      <c r="C1085" t="inlineStr">
        <is>
          <t>한국팜비오</t>
        </is>
      </c>
      <c r="D1085" t="inlineStr">
        <is>
          <t>의약품</t>
        </is>
      </c>
      <c r="E1085" t="inlineStr">
        <is>
          <t>2504</t>
        </is>
      </c>
      <c r="F1085" t="inlineStr">
        <is>
          <t>남봉길</t>
        </is>
      </c>
      <c r="G1085" t="inlineStr">
        <is>
          <t>2005-09-21</t>
        </is>
      </c>
      <c r="H1085" t="inlineStr">
        <is>
          <t>20050921</t>
        </is>
      </c>
      <c r="I1085" t="inlineStr">
        <is>
          <t>1</t>
        </is>
      </c>
      <c r="J1085" t="inlineStr">
        <is>
          <t>충주</t>
        </is>
      </c>
      <c r="K1085" t="inlineStr">
        <is>
          <t>043-856-2550</t>
        </is>
      </c>
      <c r="L1085" t="inlineStr">
        <is>
          <t>충청북도 충주시 충주산단7로 53</t>
        </is>
      </c>
      <c r="M1085" t="inlineStr"/>
      <c r="N1085" t="inlineStr">
        <is>
          <t>충청북도 충주시 충주산단7로 53</t>
        </is>
      </c>
      <c r="O1085" t="inlineStr">
        <is>
          <t>충청북도</t>
        </is>
      </c>
      <c r="P1085" t="inlineStr">
        <is>
          <t>충주시</t>
        </is>
      </c>
      <c r="Q1085" t="inlineStr">
        <is>
          <t>N</t>
        </is>
      </c>
      <c r="R1085" t="n">
        <v>0</v>
      </c>
    </row>
    <row r="1086">
      <c r="A1086" t="n">
        <v>1085</v>
      </c>
      <c r="B1086" t="inlineStr">
        <is>
          <t>주식회사 린데에스지코리아</t>
        </is>
      </c>
      <c r="C1086" t="inlineStr">
        <is>
          <t>린데에스지코리아</t>
        </is>
      </c>
      <c r="D1086" t="inlineStr">
        <is>
          <t>의약품</t>
        </is>
      </c>
      <c r="E1086" t="inlineStr">
        <is>
          <t>99</t>
        </is>
      </c>
      <c r="F1086" t="inlineStr">
        <is>
          <t>성백석</t>
        </is>
      </c>
      <c r="G1086" t="inlineStr">
        <is>
          <t>2019-04-23</t>
        </is>
      </c>
      <c r="H1086" t="inlineStr">
        <is>
          <t>20190423</t>
        </is>
      </c>
      <c r="I1086" t="inlineStr">
        <is>
          <t>1</t>
        </is>
      </c>
      <c r="J1086" t="inlineStr">
        <is>
          <t>포항공장</t>
        </is>
      </c>
      <c r="K1086" t="inlineStr">
        <is>
          <t>054)278-6748~9</t>
        </is>
      </c>
      <c r="L1086" t="inlineStr">
        <is>
          <t>경상북도 포항시 남구 철강로 357</t>
        </is>
      </c>
      <c r="M1086" t="inlineStr">
        <is>
          <t>주식회사 린데에스지코리아</t>
        </is>
      </c>
      <c r="N1086" t="inlineStr">
        <is>
          <t>경상북도 포항시 남구 철강로 357 주식회사 린데에스지코리아</t>
        </is>
      </c>
      <c r="O1086" t="inlineStr">
        <is>
          <t>경상북도</t>
        </is>
      </c>
      <c r="P1086" t="inlineStr">
        <is>
          <t>포항시</t>
        </is>
      </c>
      <c r="Q1086" t="inlineStr">
        <is>
          <t>N</t>
        </is>
      </c>
      <c r="R1086" t="n">
        <v>0</v>
      </c>
    </row>
    <row r="1087">
      <c r="A1087" t="n">
        <v>1086</v>
      </c>
      <c r="B1087" t="inlineStr">
        <is>
          <t>(주)듀켐바이오</t>
        </is>
      </c>
      <c r="C1087" t="inlineStr">
        <is>
          <t>듀켐바이오</t>
        </is>
      </c>
      <c r="D1087" t="inlineStr">
        <is>
          <t>의약품</t>
        </is>
      </c>
      <c r="E1087" t="inlineStr">
        <is>
          <t>2437</t>
        </is>
      </c>
      <c r="F1087" t="inlineStr">
        <is>
          <t>김상우</t>
        </is>
      </c>
      <c r="G1087" t="inlineStr">
        <is>
          <t>2004-07-22</t>
        </is>
      </c>
      <c r="H1087" t="inlineStr">
        <is>
          <t>20040722</t>
        </is>
      </c>
      <c r="I1087" t="inlineStr">
        <is>
          <t>6</t>
        </is>
      </c>
      <c r="J1087" t="inlineStr">
        <is>
          <t>6공장(서울)</t>
        </is>
      </c>
      <c r="K1087" t="inlineStr">
        <is>
          <t>02-2298-4868</t>
        </is>
      </c>
      <c r="L1087" t="inlineStr">
        <is>
          <t>서울특별시 서대문구 연세로 50-1</t>
        </is>
      </c>
      <c r="M1087" t="inlineStr">
        <is>
          <t>(신촌동, 연세의료원 암전문병원 지하5층)</t>
        </is>
      </c>
      <c r="N1087" t="inlineStr">
        <is>
          <t>서울특별시 서대문구 연세로 50-1 (신촌동, 연세의료원 암전문병원 지하5층)</t>
        </is>
      </c>
      <c r="O1087" t="inlineStr">
        <is>
          <t>서울특별시</t>
        </is>
      </c>
      <c r="P1087" t="inlineStr">
        <is>
          <t>서대문구</t>
        </is>
      </c>
      <c r="Q1087" t="inlineStr">
        <is>
          <t>N</t>
        </is>
      </c>
      <c r="R1087" t="n">
        <v>0</v>
      </c>
    </row>
    <row r="1088">
      <c r="A1088" t="n">
        <v>1087</v>
      </c>
      <c r="B1088" t="inlineStr">
        <is>
          <t>에이치케이이노엔(주)</t>
        </is>
      </c>
      <c r="C1088" t="inlineStr">
        <is>
          <t>에이치케이이노엔</t>
        </is>
      </c>
      <c r="D1088" t="inlineStr">
        <is>
          <t>의약품</t>
        </is>
      </c>
      <c r="E1088" t="inlineStr">
        <is>
          <t>1452</t>
        </is>
      </c>
      <c r="F1088" t="inlineStr">
        <is>
          <t>곽달원</t>
        </is>
      </c>
      <c r="G1088" t="inlineStr">
        <is>
          <t>1964-12-07</t>
        </is>
      </c>
      <c r="H1088" t="inlineStr">
        <is>
          <t>19641207</t>
        </is>
      </c>
      <c r="I1088" t="inlineStr">
        <is>
          <t>5</t>
        </is>
      </c>
      <c r="J1088" t="inlineStr">
        <is>
          <t>오송</t>
        </is>
      </c>
      <c r="K1088" t="inlineStr">
        <is>
          <t>02-6363-0565</t>
        </is>
      </c>
      <c r="L1088" t="inlineStr">
        <is>
          <t>충청북도 청주시 흥덕구 오송읍 오송생명2로 239</t>
        </is>
      </c>
      <c r="M1088" t="inlineStr"/>
      <c r="N1088" t="inlineStr">
        <is>
          <t>충청북도 청주시 흥덕구 오송읍 오송생명2로 239</t>
        </is>
      </c>
      <c r="O1088" t="inlineStr">
        <is>
          <t>충청북도</t>
        </is>
      </c>
      <c r="P1088" t="inlineStr">
        <is>
          <t>청주시</t>
        </is>
      </c>
      <c r="Q1088" t="inlineStr">
        <is>
          <t>N</t>
        </is>
      </c>
      <c r="R10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2026-07-05T23:13:28Z</dcterms:created>
  <dcterms:modified xmlns:dcterms="http://purl.org/dc/terms/" xmlns:xsi="http://www.w3.org/2001/XMLSchema-instance" xsi:type="dcterms:W3CDTF">2026-07-05T23:13:34Z</dcterms:modified>
</cp:coreProperties>
</file>